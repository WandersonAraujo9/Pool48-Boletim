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MEDIA POOL" sheetId="2" state="visible" r:id="rId4"/>
    <sheet name="PROTEINA" sheetId="3" state="visible" r:id="rId5"/>
    <sheet name="UMIDADE" sheetId="4" state="visible" r:id="rId6"/>
    <sheet name="FIBRA" sheetId="5" state="visible" r:id="rId7"/>
    <sheet name="Amaggi" sheetId="6" state="visible" r:id="rId8"/>
    <sheet name="Brejeiro" sheetId="7" state="visible" r:id="rId9"/>
    <sheet name="Caramuru" sheetId="8" state="visible" r:id="rId10"/>
    <sheet name="Cargill" sheetId="9" state="visible" r:id="rId11"/>
    <sheet name="Cofco" sheetId="10" state="visible" r:id="rId12"/>
    <sheet name="3Tentos" sheetId="11" state="visible" r:id="rId13"/>
    <sheet name="Bunge" sheetId="12" state="visible" r:id="rId14"/>
    <sheet name="ADM" sheetId="13" state="visible" r:id="rId15"/>
    <sheet name="Aliança" sheetId="14" state="visible" r:id="rId16"/>
    <sheet name="Olfar" sheetId="15" state="visible" r:id="rId17"/>
    <sheet name="Novo06" sheetId="16" state="visible" r:id="rId18"/>
    <sheet name="Novo07" sheetId="17" state="visible" r:id="rId19"/>
    <sheet name="Base Cobranca" sheetId="18" state="visible" r:id="rId20"/>
    <sheet name="Clientes" sheetId="19" state="visible" r:id="rId21"/>
    <sheet name="DADOS" sheetId="20" state="visible" r:id="rId22"/>
    <sheet name="Parametros_ANEC73" sheetId="21" state="visible" r:id="rId23"/>
    <sheet name="Media_Cliente_Mes" sheetId="22" state="visible" r:id="rId24"/>
    <sheet name="Media_Pool_Mes" sheetId="23" state="visible" r:id="rId25"/>
    <sheet name="Desconto_Cliente_Mes" sheetId="24" state="visible" r:id="rId26"/>
    <sheet name="Acerto_Detalhado" sheetId="25" state="visible" r:id="rId27"/>
    <sheet name="Resumo_Cliente_Mes" sheetId="26" state="visible" r:id="rId28"/>
  </sheets>
  <definedNames>
    <definedName function="false" hidden="true" localSheetId="17" name="_xlnm._FilterDatabase" vbProcedure="false">'Base Cobranca'!$A$4:$E$4756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<sst xmlns="http://schemas.openxmlformats.org/spreadsheetml/2006/main" count="26705" uniqueCount="239">
  <si>
    <t xml:space="preserve">Controle de Qualidade ANEC 73 x Pool — Motor de Calculo</t>
  </si>
  <si>
    <t xml:space="preserve">Estrutura da planilha</t>
  </si>
  <si>
    <t xml:space="preserve">Esta planilha tem duas camadas, ligadas por formula (nao ha nenhum valor digitado manualmente nos resultados):</t>
  </si>
  <si>
    <t xml:space="preserve">1) ABAS NO LAYOUT ORIGINAL (azul-marinho na aba): MEDIA POOL, PROTEINA, UMIDADE, FIBRA, uma aba por</t>
  </si>
  <si>
    <t xml:space="preserve">   cliente e Base Cobranca. Aparencia igual a planilha anterior, mas cada celula agora e formula — nada</t>
  </si>
  <si>
    <t xml:space="preserve">   e mais digitado a mao, entao nao ha risco de referencia errada ou valor esquecido de um mes pro outro.</t>
  </si>
  <si>
    <t xml:space="preserve">2) MOTOR DE CALCULO (amarelo/azul-claro na aba): DADOS, Parametros_ANEC73, Clientes, Media_Cliente_Mes,</t>
  </si>
  <si>
    <t xml:space="preserve">   Media_Pool_Mes, Desconto_Cliente_Mes, Acerto_Detalhado, Resumo_Cliente_Mes. E onde a regra ANEC 73 x</t>
  </si>
  <si>
    <t xml:space="preserve">   pool e calculada de fato, uma unica vez, para depois alimentar as abas do item 1. Se um dia quiser</t>
  </si>
  <si>
    <t xml:space="preserve">   auditar um numero especifico, comece pela aba Desconto_Cliente_Mes (fica claro linha a linha o porque</t>
  </si>
  <si>
    <t xml:space="preserve">   de cada desconto).</t>
  </si>
  <si>
    <t xml:space="preserve">Como usar todo mes</t>
  </si>
  <si>
    <t xml:space="preserve">1. Lance os embarques do mes na aba DADOS (uma linha por embarque). E a UNICA aba onde voce digita.</t>
  </si>
  <si>
    <t xml:space="preserve">2. Recalcule (abrir e salvar no Excel ja faz isso; no LibreOffice, F9).</t>
  </si>
  <si>
    <t xml:space="preserve">3. As abas MEDIA POOL, PROTEINA, UMIDADE, FIBRA, as abas de cliente e a Base Cobranca atualizam sozinhas.</t>
  </si>
  <si>
    <t xml:space="preserve">4. Se o preco USD do mes mudar, atualize na aba Parametros_ANEC73 (celula azul).</t>
  </si>
  <si>
    <t xml:space="preserve">5. Para incluir um cliente novo no pool, adicione o nome na aba Clientes.</t>
  </si>
  <si>
    <t xml:space="preserve">Regra implementada (proteina, umidade, fibra)</t>
  </si>
  <si>
    <t xml:space="preserve">- Se o resultado do cliente atende o padrao ANEC 73, sem desconto.</t>
  </si>
  <si>
    <t xml:space="preserve">- Se o resultado e pior que o padrao mas ainda assim melhor ou igual a media ponderada do pool, sem desconto.</t>
  </si>
  <si>
    <t xml:space="preserve">- Se o resultado e pior que o padrao E pior que a media do pool, desconto = diferenca entre o resultado e a</t>
  </si>
  <si>
    <t xml:space="preserve">  referencia mais branda entre padrao e media do pool.</t>
  </si>
  <si>
    <t xml:space="preserve">- Faixas adicionais (2a e ate 3a faixa) aplicam multiplicador maior sobre a parte do desvio que ultrapassa</t>
  </si>
  <si>
    <t xml:space="preserve">  limites fixos do padrao ANEC 73, independente do pool.</t>
  </si>
  <si>
    <t xml:space="preserve">- O valor arrecadado dos clientes descontados vira credito, redistribuido proporcionalmente ao volume dos</t>
  </si>
  <si>
    <t xml:space="preserve">  clientes que nao foram descontados (aba Base Cobranca mostra o par a par: quem paga, quem recebe).</t>
  </si>
  <si>
    <t xml:space="preserve">Inconsistencias encontradas na planilha original e corrigidas aqui</t>
  </si>
  <si>
    <t xml:space="preserve">- Base Cobranca da planilha original tinha valores digitados manualmente. Aqui e formula, par a par,</t>
  </si>
  <si>
    <t xml:space="preserve">  auditavel (SUMIFS sobre Acerto_Detalhado).</t>
  </si>
  <si>
    <t xml:space="preserve">- Aba PROTEINA (fev/2026) tinha formula referenciando a linha errada (K26 em vez de K36).</t>
  </si>
  <si>
    <t xml:space="preserve">- Aba UMIDADE (fev/2026) tinha valores fixos digitados em 4 celulas em vez de formula.</t>
  </si>
  <si>
    <t xml:space="preserve">- Aba FIBRA tinha celulas com texto "-" fixo quebrando a soma em alguns meses, e a 1a faixa de desconto</t>
  </si>
  <si>
    <t xml:space="preserve">  nao conferia o padrao ANEC 73 antes de aplicar (so comparava com a media do pool).</t>
  </si>
  <si>
    <t xml:space="preserve">- Cabecalho da MEDIA POOL original tinha "ADM" duplicado e nao listava "Novo06" — corrigido na aba Clientes.</t>
  </si>
  <si>
    <t xml:space="preserve">- Meses digitados com capitalizacao inconsistente na base (ex.: "jul" e "Jul" misturados) — normalizado.</t>
  </si>
  <si>
    <t xml:space="preserve">- Clientes sem embarque no mes apareciam com resultado "0,00%" em vez de vazio em alguns calculos —</t>
  </si>
  <si>
    <t xml:space="preserve">  corrigido para nao gerar desconto fantasma sobre cliente que nao embarcou.</t>
  </si>
  <si>
    <t xml:space="preserve">MEDIA POOL 48 (corrigida — lista de clientes ajustada, sem duplicidade)</t>
  </si>
  <si>
    <t xml:space="preserve">Jan</t>
  </si>
  <si>
    <t xml:space="preserve">Amaggi</t>
  </si>
  <si>
    <t xml:space="preserve">Brejeiro</t>
  </si>
  <si>
    <t xml:space="preserve">Caramuru</t>
  </si>
  <si>
    <t xml:space="preserve">Cargill</t>
  </si>
  <si>
    <t xml:space="preserve">Cofco</t>
  </si>
  <si>
    <t xml:space="preserve">3Tentos</t>
  </si>
  <si>
    <t xml:space="preserve">Bunge</t>
  </si>
  <si>
    <t xml:space="preserve">ADM</t>
  </si>
  <si>
    <t xml:space="preserve">Aliança</t>
  </si>
  <si>
    <t xml:space="preserve">Olfar</t>
  </si>
  <si>
    <t xml:space="preserve">Novo06</t>
  </si>
  <si>
    <t xml:space="preserve">Novo07</t>
  </si>
  <si>
    <t xml:space="preserve">Media Pool</t>
  </si>
  <si>
    <t xml:space="preserve">Volume</t>
  </si>
  <si>
    <t xml:space="preserve">Proteina Bruta (%)</t>
  </si>
  <si>
    <t xml:space="preserve">Umidade (%)</t>
  </si>
  <si>
    <t xml:space="preserve">Fibra (%)</t>
  </si>
  <si>
    <t xml:space="preserve">Oleo (%)</t>
  </si>
  <si>
    <t xml:space="preserve">Vol. Rodo (t)</t>
  </si>
  <si>
    <t xml:space="preserve">Vol. Ferro (t)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</si>
  <si>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</si>
  <si>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</si>
  <si>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</si>
  <si>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</si>
  <si>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</si>
  <si>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</si>
  <si>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</si>
  <si>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</si>
  <si>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</si>
  <si>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</si>
  <si>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</si>
  <si>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PROTEINA — TABELA DE REGRAMENTO POOL T39 (ver Parametros_ANEC73 para editar)</t>
  </si>
  <si>
    <t xml:space="preserve">Padrao ANEC73 (%)</t>
  </si>
  <si>
    <t xml:space="preserve">Faixa 2 a partir de (%)</t>
  </si>
  <si>
    <t xml:space="preserve">Faixa 3 a partir de (%)</t>
  </si>
  <si>
    <t xml:space="preserve">Resultado (%)</t>
  </si>
  <si>
    <t xml:space="preserve">Volume (t)</t>
  </si>
  <si>
    <t xml:space="preserve">Desconto 1:1 (%)</t>
  </si>
  <si>
    <t xml:space="preserve">Desconto 1,5:1 (%)</t>
  </si>
  <si>
    <t xml:space="preserve">Desconto 2:1 (%)</t>
  </si>
  <si>
    <t xml:space="preserve">Cobranca 1:1 - USD</t>
  </si>
  <si>
    <t xml:space="preserve">Cobranca 1,5:1 - USD</t>
  </si>
  <si>
    <t xml:space="preserve">Cobranca 2:1 - USD</t>
  </si>
  <si>
    <t xml:space="preserve">Credito - USD</t>
  </si>
  <si>
    <t xml:space="preserve">UMIDADE — TABELA DE REGRAMENTO POOL T39 (ver Parametros_ANEC73 para editar)</t>
  </si>
  <si>
    <t xml:space="preserve">FIBRA — TABELA DE REGRAMENTO POOL T39 (ver Parametros_ANEC73 para editar)</t>
  </si>
  <si>
    <t xml:space="preserve">RECEBIMENTO CONSOLIDADO (todas as origens e locais de analise)</t>
  </si>
  <si>
    <t xml:space="preserve">Mes</t>
  </si>
  <si>
    <t xml:space="preserve">Fibra Bruta (%)</t>
  </si>
  <si>
    <t xml:space="preserve">Saldo do mes (US$)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</si>
  <si>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</si>
  <si>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</si>
  <si>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</si>
  <si>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</si>
  <si>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</si>
  <si>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</si>
  <si>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</si>
  <si>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</si>
  <si>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</si>
  <si>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</si>
  <si>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</si>
  <si>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</si>
  <si>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Geral</t>
  </si>
  <si>
    <t xml:space="preserve">Base de Cobranca — acerto par a par entre clientes do pool (calculado por formula)</t>
  </si>
  <si>
    <t xml:space="preserve">Cada devedor paga cada credor proporcionalmente a participacao do credor no credito do mes/parametro. Linhas com Valor = 0 podem ser filtradas.</t>
  </si>
  <si>
    <t xml:space="preserve">Parametro</t>
  </si>
  <si>
    <t xml:space="preserve">Cliente Paga</t>
  </si>
  <si>
    <t xml:space="preserve">Cliente Recebe</t>
  </si>
  <si>
    <t xml:space="preserve">Valor (US$)</t>
  </si>
  <si>
    <t xml:space="preserve">Janeiro</t>
  </si>
  <si>
    <t xml:space="preserve">Proteina</t>
  </si>
  <si>
    <t xml:space="preserve">Umidade</t>
  </si>
  <si>
    <t xml:space="preserve">Fibra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</si>
  <si>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</si>
  <si>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</si>
  <si>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</si>
  <si>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</si>
  <si>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</si>
  <si>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</si>
  <si>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</si>
  <si>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</si>
  <si>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</si>
  <si>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</si>
  <si>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</si>
  <si>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Cliente</t>
  </si>
  <si>
    <t xml:space="preserve">Data Inicial</t>
  </si>
  <si>
    <t xml:space="preserve">Data Final</t>
  </si>
  <si>
    <t xml:space="preserve">Modal</t>
  </si>
  <si>
    <t xml:space="preserve">Local de Analise</t>
  </si>
  <si>
    <t xml:space="preserve">Proteina (%)</t>
  </si>
  <si>
    <t xml:space="preserve">Origem</t>
  </si>
  <si>
    <t xml:space="preserve">2026-01-05</t>
  </si>
  <si>
    <t xml:space="preserve">2026-01-12</t>
  </si>
  <si>
    <t xml:space="preserve">Rodo</t>
  </si>
  <si>
    <t xml:space="preserve">T39 - SGS</t>
  </si>
  <si>
    <t xml:space="preserve">Ipameri</t>
  </si>
  <si>
    <t xml:space="preserve">Ferro</t>
  </si>
  <si>
    <t xml:space="preserve">Orlândia</t>
  </si>
  <si>
    <t xml:space="preserve">Anápolis</t>
  </si>
  <si>
    <t xml:space="preserve">PDL</t>
  </si>
  <si>
    <t xml:space="preserve">TLG</t>
  </si>
  <si>
    <t xml:space="preserve">Porto Alegre</t>
  </si>
  <si>
    <t xml:space="preserve">Rondonópolis</t>
  </si>
  <si>
    <t xml:space="preserve">TRO</t>
  </si>
  <si>
    <t xml:space="preserve">2026-01-14</t>
  </si>
  <si>
    <t xml:space="preserve">2026-01-15</t>
  </si>
  <si>
    <t xml:space="preserve">Nova Mutum</t>
  </si>
  <si>
    <t xml:space="preserve">Sorriso</t>
  </si>
  <si>
    <t xml:space="preserve">Vera</t>
  </si>
  <si>
    <t xml:space="preserve">2026-01-19</t>
  </si>
  <si>
    <t xml:space="preserve">São Simão</t>
  </si>
  <si>
    <t xml:space="preserve">2026-01-26</t>
  </si>
  <si>
    <t xml:space="preserve">2026-02-02</t>
  </si>
  <si>
    <t xml:space="preserve">2026-02-09</t>
  </si>
  <si>
    <t xml:space="preserve">2026-02-16</t>
  </si>
  <si>
    <t xml:space="preserve">2026-02-23</t>
  </si>
  <si>
    <t xml:space="preserve">2026-03-02</t>
  </si>
  <si>
    <t xml:space="preserve">2026-03-09</t>
  </si>
  <si>
    <t xml:space="preserve">2026-03-16</t>
  </si>
  <si>
    <t xml:space="preserve">2026-03-23</t>
  </si>
  <si>
    <t xml:space="preserve">2026-03-30</t>
  </si>
  <si>
    <t xml:space="preserve">2026-04-06</t>
  </si>
  <si>
    <t xml:space="preserve">Itumbiara</t>
  </si>
  <si>
    <t xml:space="preserve">2026-04-13</t>
  </si>
  <si>
    <t xml:space="preserve">2026-04-20</t>
  </si>
  <si>
    <t xml:space="preserve">2026-04-27</t>
  </si>
  <si>
    <t xml:space="preserve">LRV</t>
  </si>
  <si>
    <t xml:space="preserve">2026-05-04</t>
  </si>
  <si>
    <t xml:space="preserve">2026-05-11</t>
  </si>
  <si>
    <t xml:space="preserve">2026-05-18</t>
  </si>
  <si>
    <t xml:space="preserve">2026-05-25</t>
  </si>
  <si>
    <t xml:space="preserve">2026-06-01</t>
  </si>
  <si>
    <t xml:space="preserve">2026-06-08</t>
  </si>
  <si>
    <t xml:space="preserve">2026-06-15</t>
  </si>
  <si>
    <t xml:space="preserve">2026-06-22</t>
  </si>
  <si>
    <t xml:space="preserve">2026-06-29</t>
  </si>
  <si>
    <t xml:space="preserve">2026-07-06</t>
  </si>
  <si>
    <t xml:space="preserve">Porangatu</t>
  </si>
  <si>
    <t xml:space="preserve">Lucas do Rio Verde</t>
  </si>
  <si>
    <t xml:space="preserve">Santos</t>
  </si>
  <si>
    <t xml:space="preserve">2026-07-13</t>
  </si>
  <si>
    <t xml:space="preserve">2026-07-20</t>
  </si>
  <si>
    <t xml:space="preserve">Três Lagoas</t>
  </si>
  <si>
    <t xml:space="preserve">2026-07-27</t>
  </si>
  <si>
    <t xml:space="preserve">2026-08-03</t>
  </si>
  <si>
    <t xml:space="preserve">2026-08-10</t>
  </si>
  <si>
    <t xml:space="preserve">Primavera do Leste</t>
  </si>
  <si>
    <t xml:space="preserve">2026-08-17</t>
  </si>
  <si>
    <t xml:space="preserve">2026-08-24</t>
  </si>
  <si>
    <t xml:space="preserve">2026-08-31</t>
  </si>
  <si>
    <t xml:space="preserve">Rio Verde</t>
  </si>
  <si>
    <t xml:space="preserve">2026-09-07</t>
  </si>
  <si>
    <t xml:space="preserve">Padroes ANEC 73 e Faixas de Desconto por Parametro</t>
  </si>
  <si>
    <t xml:space="preserve">Direcao</t>
  </si>
  <si>
    <t xml:space="preserve">Faixa1 De (%)</t>
  </si>
  <si>
    <t xml:space="preserve">Faixa1 Ate (%)</t>
  </si>
  <si>
    <t xml:space="preserve">Mult1</t>
  </si>
  <si>
    <t xml:space="preserve">Faixa2 De (%)</t>
  </si>
  <si>
    <t xml:space="preserve">Faixa2 Ate (%)</t>
  </si>
  <si>
    <t xml:space="preserve">Mult2</t>
  </si>
  <si>
    <t xml:space="preserve">Faixa3 De (%)</t>
  </si>
  <si>
    <t xml:space="preserve">Faixa3 Ate (%)</t>
  </si>
  <si>
    <t xml:space="preserve">Mult3</t>
  </si>
  <si>
    <t xml:space="preserve">Rejeitado (pior que, %)</t>
  </si>
  <si>
    <t xml:space="preserve">Direcao: -1 = menor valor e pior (proteina). +1 = maior valor e pior (umidade, fibra).</t>
  </si>
  <si>
    <t xml:space="preserve">Fonte: Tabela de Regramento Pool T39 (planilha original enviada por Wanderson), normalizada em uma unica tabela editavel.</t>
  </si>
  <si>
    <t xml:space="preserve">Preco USD/t por mes (referencia para calculo do valor do desconto)</t>
  </si>
  <si>
    <t xml:space="preserve">Preco USD</t>
  </si>
  <si>
    <t xml:space="preserve">Out/Nov/Dez com preco 0 = ainda sem embarques/preco definido nesses meses; atualize quando o mes fechar.</t>
  </si>
  <si>
    <t xml:space="preserve">Proteina Media (%)</t>
  </si>
  <si>
    <t xml:space="preserve">Umidade Media (%)</t>
  </si>
  <si>
    <t xml:space="preserve">Fibra Media (%)</t>
  </si>
  <si>
    <t xml:space="preserve">Oleo Media (%)</t>
  </si>
  <si>
    <t xml:space="preserve">Volume Pool (t)</t>
  </si>
  <si>
    <t xml:space="preserve">Proteina Pool (%)</t>
  </si>
  <si>
    <t xml:space="preserve">Umidade Pool (%)</t>
  </si>
  <si>
    <t xml:space="preserve">Fibra Pool (%)</t>
  </si>
  <si>
    <t xml:space="preserve">Media Pool (%)</t>
  </si>
  <si>
    <t xml:space="preserve">Referencia (%)</t>
  </si>
  <si>
    <t xml:space="preserve">Pool abaixo padrao?</t>
  </si>
  <si>
    <t xml:space="preserve">Aplica desconto?</t>
  </si>
  <si>
    <t xml:space="preserve">Desconto Base (%)</t>
  </si>
  <si>
    <t xml:space="preserve">Limite Faixa2 (%)</t>
  </si>
  <si>
    <t xml:space="preserve">Excedente Faixa2 (%)</t>
  </si>
  <si>
    <t xml:space="preserve">Limite Faixa3 (%)</t>
  </si>
  <si>
    <t xml:space="preserve">Excedente Faixa3 (%)</t>
  </si>
  <si>
    <t xml:space="preserve">Preco USD/t</t>
  </si>
  <si>
    <t xml:space="preserve">Valor Desconto (US$)</t>
  </si>
  <si>
    <t xml:space="preserve">Rejeitado (revisar)?</t>
  </si>
  <si>
    <t xml:space="preserve">Chave</t>
  </si>
  <si>
    <t xml:space="preserve">Total cobrado no pool (US$)</t>
  </si>
  <si>
    <t xml:space="preserve">Volume elegivel a credito (t)</t>
  </si>
  <si>
    <t xml:space="preserve">Participacao no credito (%)</t>
  </si>
  <si>
    <t xml:space="preserve">Credito (US$)</t>
  </si>
  <si>
    <t xml:space="preserve">Saldo do cliente (US$)</t>
  </si>
  <si>
    <t xml:space="preserve">Situacao</t>
  </si>
  <si>
    <t xml:space="preserve">Saldo Proteina (US$)</t>
  </si>
  <si>
    <t xml:space="preserve">Saldo Umidade (US$)</t>
  </si>
  <si>
    <t xml:space="preserve">Saldo Fibra (US$)</t>
  </si>
  <si>
    <t xml:space="preserve">Saldo Total (US$)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</si>
</sst>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0.00"/>
    <numFmt numFmtId="167" formatCode="0.0000"/>
    <numFmt numFmtId="168" formatCode="\$#,##0"/>
    <numFmt numFmtId="169" formatCode="\$#,##0.00"/>
    <numFmt numFmtId="170" formatCode="General"/>
    <numFmt numFmtId="171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0549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1295C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305496"/>
      <name val="Arial"/>
      <family val="0"/>
      <charset val="1"/>
    </font>
    <font>
      <b val="true"/>
      <sz val="9"/>
      <color rgb="FF21295C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30549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1295C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305496"/>
        <bgColor rgb="FF1C729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2"/>
  </cols>
  <sheetData>
    <row r="1" customFormat="false" ht="15" hidden="false" customHeight="true" outlineLevel="0" collapsed="false"/>
    <row r="2" customFormat="false" ht="15" hidden="false" customHeight="true" outlineLevel="0" collapsed="false">
      <c r="B2" s="1" t="s">
        <v>0</v>
      </c>
    </row>
    <row r="3" customFormat="false" ht="15" hidden="false" customHeight="true" outlineLevel="0" collapsed="false"/>
    <row r="4" customFormat="false" ht="15" hidden="false" customHeight="true" outlineLevel="0" collapsed="false">
      <c r="B4" s="2" t="s">
        <v>1</v>
      </c>
    </row>
    <row r="5" customFormat="false" ht="15" hidden="false" customHeight="true" outlineLevel="0" collapsed="false">
      <c r="B5" s="3" t="s">
        <v>2</v>
      </c>
    </row>
    <row r="6" customFormat="false" ht="15" hidden="false" customHeight="true" outlineLevel="0" collapsed="false">
      <c r="B6" s="3"/>
    </row>
    <row r="7" customFormat="false" ht="15" hidden="false" customHeight="true" outlineLevel="0" collapsed="false">
      <c r="B7" s="3" t="s">
        <v>3</v>
      </c>
    </row>
    <row r="8" customFormat="false" ht="15" hidden="false" customHeight="true" outlineLevel="0" collapsed="false">
      <c r="B8" s="3" t="s">
        <v>4</v>
      </c>
    </row>
    <row r="9" customFormat="false" ht="15" hidden="false" customHeight="true" outlineLevel="0" collapsed="false">
      <c r="B9" s="3" t="s">
        <v>5</v>
      </c>
    </row>
    <row r="10" customFormat="false" ht="15" hidden="false" customHeight="true" outlineLevel="0" collapsed="false">
      <c r="B10" s="3"/>
    </row>
    <row r="11" customFormat="false" ht="15" hidden="false" customHeight="true" outlineLevel="0" collapsed="false">
      <c r="B11" s="3" t="s">
        <v>6</v>
      </c>
    </row>
    <row r="12" customFormat="false" ht="15" hidden="false" customHeight="true" outlineLevel="0" collapsed="false">
      <c r="B12" s="3" t="s">
        <v>7</v>
      </c>
    </row>
    <row r="13" customFormat="false" ht="15" hidden="false" customHeight="true" outlineLevel="0" collapsed="false">
      <c r="B13" s="3" t="s">
        <v>8</v>
      </c>
    </row>
    <row r="14" customFormat="false" ht="15" hidden="false" customHeight="true" outlineLevel="0" collapsed="false">
      <c r="B14" s="3" t="s">
        <v>9</v>
      </c>
    </row>
    <row r="15" customFormat="false" ht="15" hidden="false" customHeight="true" outlineLevel="0" collapsed="false">
      <c r="B15" s="3" t="s">
        <v>10</v>
      </c>
    </row>
    <row r="16" customFormat="false" ht="15" hidden="false" customHeight="true" outlineLevel="0" collapsed="false"/>
    <row r="17" customFormat="false" ht="15" hidden="false" customHeight="true" outlineLevel="0" collapsed="false">
      <c r="B17" s="2" t="s">
        <v>11</v>
      </c>
    </row>
    <row r="18" customFormat="false" ht="15" hidden="false" customHeight="true" outlineLevel="0" collapsed="false">
      <c r="B18" s="3" t="s">
        <v>12</v>
      </c>
    </row>
    <row r="19" customFormat="false" ht="15" hidden="false" customHeight="true" outlineLevel="0" collapsed="false">
      <c r="B19" s="3" t="s">
        <v>13</v>
      </c>
    </row>
    <row r="20" customFormat="false" ht="15" hidden="false" customHeight="true" outlineLevel="0" collapsed="false">
      <c r="B20" s="3" t="s">
        <v>14</v>
      </c>
    </row>
    <row r="21" customFormat="false" ht="15" hidden="false" customHeight="true" outlineLevel="0" collapsed="false">
      <c r="B21" s="3" t="s">
        <v>15</v>
      </c>
    </row>
    <row r="22" customFormat="false" ht="15" hidden="false" customHeight="true" outlineLevel="0" collapsed="false">
      <c r="B22" s="3" t="s">
        <v>16</v>
      </c>
    </row>
    <row r="23" customFormat="false" ht="15" hidden="false" customHeight="true" outlineLevel="0" collapsed="false">
      <c r="B23" s="3"/>
    </row>
    <row r="24" customFormat="false" ht="15" hidden="false" customHeight="true" outlineLevel="0" collapsed="false">
      <c r="B24" s="4" t="s">
        <v>17</v>
      </c>
    </row>
    <row r="25" customFormat="false" ht="15" hidden="false" customHeight="true" outlineLevel="0" collapsed="false">
      <c r="B25" s="3" t="s">
        <v>18</v>
      </c>
    </row>
    <row r="26" customFormat="false" ht="15" hidden="false" customHeight="true" outlineLevel="0" collapsed="false">
      <c r="B26" s="3" t="s">
        <v>19</v>
      </c>
    </row>
    <row r="27" customFormat="false" ht="15" hidden="false" customHeight="true" outlineLevel="0" collapsed="false">
      <c r="B27" s="3" t="s">
        <v>20</v>
      </c>
    </row>
    <row r="28" customFormat="false" ht="15" hidden="false" customHeight="true" outlineLevel="0" collapsed="false">
      <c r="B28" s="3" t="s">
        <v>21</v>
      </c>
    </row>
    <row r="29" customFormat="false" ht="15" hidden="false" customHeight="true" outlineLevel="0" collapsed="false">
      <c r="B29" s="3" t="s">
        <v>22</v>
      </c>
    </row>
    <row r="30" customFormat="false" ht="15" hidden="false" customHeight="true" outlineLevel="0" collapsed="false">
      <c r="B30" s="3" t="s">
        <v>23</v>
      </c>
    </row>
    <row r="31" customFormat="false" ht="15" hidden="false" customHeight="true" outlineLevel="0" collapsed="false">
      <c r="B31" s="3" t="s">
        <v>24</v>
      </c>
    </row>
    <row r="32" customFormat="false" ht="15" hidden="false" customHeight="true" outlineLevel="0" collapsed="false">
      <c r="B32" s="3" t="s">
        <v>25</v>
      </c>
    </row>
    <row r="33" customFormat="false" ht="15" hidden="false" customHeight="true" outlineLevel="0" collapsed="false"/>
    <row r="34" customFormat="false" ht="15" hidden="false" customHeight="true" outlineLevel="0" collapsed="false">
      <c r="B34" s="2" t="s">
        <v>26</v>
      </c>
    </row>
    <row r="35" customFormat="false" ht="15" hidden="false" customHeight="true" outlineLevel="0" collapsed="false">
      <c r="B35" s="3" t="s">
        <v>27</v>
      </c>
    </row>
    <row r="36" customFormat="false" ht="15" hidden="false" customHeight="true" outlineLevel="0" collapsed="false">
      <c r="B36" s="3" t="s">
        <v>28</v>
      </c>
    </row>
    <row r="37" customFormat="false" ht="15" hidden="false" customHeight="true" outlineLevel="0" collapsed="false">
      <c r="B37" s="3" t="s">
        <v>29</v>
      </c>
    </row>
    <row r="38" customFormat="false" ht="15" hidden="false" customHeight="true" outlineLevel="0" collapsed="false">
      <c r="B38" s="3" t="s">
        <v>30</v>
      </c>
    </row>
    <row r="39" customFormat="false" ht="15" hidden="false" customHeight="true" outlineLevel="0" collapsed="false">
      <c r="B39" s="3" t="s">
        <v>31</v>
      </c>
    </row>
    <row r="40" customFormat="false" ht="15" hidden="false" customHeight="true" outlineLevel="0" collapsed="false">
      <c r="B40" s="3" t="s">
        <v>32</v>
      </c>
    </row>
    <row r="41" customFormat="false" ht="15" hidden="false" customHeight="true" outlineLevel="0" collapsed="false">
      <c r="B41" s="3" t="s">
        <v>33</v>
      </c>
    </row>
    <row r="42" customFormat="false" ht="15" hidden="false" customHeight="true" outlineLevel="0" collapsed="false">
      <c r="B42" s="3" t="s">
        <v>34</v>
      </c>
    </row>
    <row r="43" customFormat="false" ht="15" hidden="false" customHeight="true" outlineLevel="0" collapsed="false">
      <c r="B43" s="3" t="s">
        <v>35</v>
      </c>
    </row>
    <row r="44" customFormat="false" ht="15" hidden="false" customHeight="true" outlineLevel="0" collapsed="false">
      <c r="B44" s="3" t="s">
        <v>36</v>
      </c>
    </row>
    <row r="45" customFormat="false" ht="15" hidden="false" customHeight="true" outlineLevel="0" collapsed="false"/>
    <row r="4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95C"/>
    <pageSetUpPr fitToPage="false"/>
  </sheetPr>
  <dimension ref="A1:N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1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37</v>
      </c>
    </row>
    <row r="3" customFormat="false" ht="15" hidden="false" customHeight="false" outlineLevel="0" collapsed="false">
      <c r="A3" s="5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51</v>
      </c>
    </row>
    <row r="4" customFormat="false" ht="15" hidden="false" customHeight="false" outlineLevel="0" collapsed="false">
      <c r="A4" s="7" t="s">
        <v>52</v>
      </c>
      <c r="B4" s="8" t="n">
        <f aca="false">IFERROR(SUMIFS(Media_Cliente_Mes!$C$2:$C$145,Media_Cliente_Mes!$A$2:$A$145,$B$3,Media_Cliente_Mes!$B$2:$B$145,$A3),0)</f>
        <v>0</v>
      </c>
      <c r="C4" s="8" t="n">
        <f aca="false">IFERROR(SUMIFS(Media_Cliente_Mes!$C$2:$C$145,Media_Cliente_Mes!$A$2:$A$145,$C$3,Media_Cliente_Mes!$B$2:$B$145,$A3),0)</f>
        <v>39842.6</v>
      </c>
      <c r="D4" s="8" t="n">
        <f aca="false">IFERROR(SUMIFS(Media_Cliente_Mes!$C$2:$C$145,Media_Cliente_Mes!$A$2:$A$145,$D$3,Media_Cliente_Mes!$B$2:$B$145,$A3),0)</f>
        <v>18891.74</v>
      </c>
      <c r="E4" s="8" t="n">
        <f aca="false">IFERROR(SUMIFS(Media_Cliente_Mes!$C$2:$C$145,Media_Cliente_Mes!$A$2:$A$145,$E$3,Media_Cliente_Mes!$B$2:$B$145,$A3),0)</f>
        <v>26334.33</v>
      </c>
      <c r="F4" s="8" t="n">
        <f aca="false">IFERROR(SUMIFS(Media_Cliente_Mes!$C$2:$C$145,Media_Cliente_Mes!$A$2:$A$145,$F$3,Media_Cliente_Mes!$B$2:$B$145,$A3),0)</f>
        <v>58133.28</v>
      </c>
      <c r="G4" s="8" t="n">
        <f aca="false">IFERROR(SUMIFS(Media_Cliente_Mes!$C$2:$C$145,Media_Cliente_Mes!$A$2:$A$145,$G$3,Media_Cliente_Mes!$B$2:$B$145,$A3),0)</f>
        <v>48560.63</v>
      </c>
      <c r="H4" s="8" t="n">
        <f aca="false">IFERROR(SUMIFS(Media_Cliente_Mes!$C$2:$C$145,Media_Cliente_Mes!$A$2:$A$145,$H$3,Media_Cliente_Mes!$B$2:$B$145,$A3),0)</f>
        <v>72053.69</v>
      </c>
      <c r="I4" s="8" t="n">
        <f aca="false">IFERROR(SUMIFS(Media_Cliente_Mes!$C$2:$C$145,Media_Cliente_Mes!$A$2:$A$145,$I$3,Media_Cliente_Mes!$B$2:$B$145,$A3),0)</f>
        <v>0</v>
      </c>
      <c r="J4" s="8" t="n">
        <f aca="false">IFERROR(SUMIFS(Media_Cliente_Mes!$C$2:$C$145,Media_Cliente_Mes!$A$2:$A$145,$J$3,Media_Cliente_Mes!$B$2:$B$145,$A3),0)</f>
        <v>0</v>
      </c>
      <c r="K4" s="8" t="n">
        <f aca="false">IFERROR(SUMIFS(Media_Cliente_Mes!$C$2:$C$145,Media_Cliente_Mes!$A$2:$A$145,$K$3,Media_Cliente_Mes!$B$2:$B$145,$A3),0)</f>
        <v>0</v>
      </c>
      <c r="L4" s="8" t="n">
        <f aca="false">IFERROR(SUMIFS(Media_Cliente_Mes!$C$2:$C$145,Media_Cliente_Mes!$A$2:$A$145,$L$3,Media_Cliente_Mes!$B$2:$B$145,$A3),0)</f>
        <v>0</v>
      </c>
      <c r="M4" s="8" t="n">
        <f aca="false">IFERROR(SUMIFS(Media_Cliente_Mes!$C$2:$C$145,Media_Cliente_Mes!$A$2:$A$145,$M$3,Media_Cliente_Mes!$B$2:$B$145,$A3),0)</f>
        <v>0</v>
      </c>
      <c r="N4" s="9" t="n">
        <f aca="false">SUM(B4:M4)</f>
        <v>263816.27</v>
      </c>
    </row>
    <row r="5" customFormat="false" ht="15" hidden="false" customHeight="false" outlineLevel="0" collapsed="false">
      <c r="A5" s="7" t="s">
        <v>53</v>
      </c>
      <c r="B5" s="10" t="n">
        <f aca="false">IFERROR(SUMIFS(Media_Cliente_Mes!$D$2:$D$145,Media_Cliente_Mes!$A$2:$A$145,$B$3,Media_Cliente_Mes!$B$2:$B$145,$A3),0)</f>
        <v>0</v>
      </c>
      <c r="C5" s="10" t="n">
        <f aca="false">IFERROR(SUMIFS(Media_Cliente_Mes!$D$2:$D$145,Media_Cliente_Mes!$A$2:$A$145,$C$3,Media_Cliente_Mes!$B$2:$B$145,$A3),0)</f>
        <v>48.328750568487</v>
      </c>
      <c r="D5" s="10" t="n">
        <f aca="false">IFERROR(SUMIFS(Media_Cliente_Mes!$D$2:$D$145,Media_Cliente_Mes!$A$2:$A$145,$D$3,Media_Cliente_Mes!$B$2:$B$145,$A3),0)</f>
        <v>47.9859376743487</v>
      </c>
      <c r="E5" s="10" t="n">
        <f aca="false">IFERROR(SUMIFS(Media_Cliente_Mes!$D$2:$D$145,Media_Cliente_Mes!$A$2:$A$145,$E$3,Media_Cliente_Mes!$B$2:$B$145,$A3),0)</f>
        <v>47.805871594227</v>
      </c>
      <c r="F5" s="10" t="n">
        <f aca="false">IFERROR(SUMIFS(Media_Cliente_Mes!$D$2:$D$145,Media_Cliente_Mes!$A$2:$A$145,$F$3,Media_Cliente_Mes!$B$2:$B$145,$A3),0)</f>
        <v>47.7608013396113</v>
      </c>
      <c r="G5" s="10" t="n">
        <f aca="false">IFERROR(SUMIFS(Media_Cliente_Mes!$D$2:$D$145,Media_Cliente_Mes!$A$2:$A$145,$G$3,Media_Cliente_Mes!$B$2:$B$145,$A3),0)</f>
        <v>47.5683354869984</v>
      </c>
      <c r="H5" s="10" t="n">
        <f aca="false">IFERROR(SUMIFS(Media_Cliente_Mes!$D$2:$D$145,Media_Cliente_Mes!$A$2:$A$145,$H$3,Media_Cliente_Mes!$B$2:$B$145,$A3),0)</f>
        <v>47.7010027605803</v>
      </c>
      <c r="I5" s="10" t="n">
        <f aca="false">IFERROR(SUMIFS(Media_Cliente_Mes!$D$2:$D$145,Media_Cliente_Mes!$A$2:$A$145,$I$3,Media_Cliente_Mes!$B$2:$B$145,$A3),0)</f>
        <v>0</v>
      </c>
      <c r="J5" s="10" t="n">
        <f aca="false">IFERROR(SUMIFS(Media_Cliente_Mes!$D$2:$D$145,Media_Cliente_Mes!$A$2:$A$145,$J$3,Media_Cliente_Mes!$B$2:$B$145,$A3),0)</f>
        <v>0</v>
      </c>
      <c r="K5" s="10" t="n">
        <f aca="false">IFERROR(SUMIFS(Media_Cliente_Mes!$D$2:$D$145,Media_Cliente_Mes!$A$2:$A$145,$K$3,Media_Cliente_Mes!$B$2:$B$145,$A3),0)</f>
        <v>0</v>
      </c>
      <c r="L5" s="10" t="n">
        <f aca="false">IFERROR(SUMIFS(Media_Cliente_Mes!$D$2:$D$145,Media_Cliente_Mes!$A$2:$A$145,$L$3,Media_Cliente_Mes!$B$2:$B$145,$A3),0)</f>
        <v>0</v>
      </c>
      <c r="M5" s="10" t="n">
        <f aca="false">IFERROR(SUMIFS(Media_Cliente_Mes!$D$2:$D$145,Media_Cliente_Mes!$A$2:$A$145,$M$3,Media_Cliente_Mes!$B$2:$B$145,$A3),0)</f>
        <v>0</v>
      </c>
      <c r="N5" s="11" t="n">
        <f aca="false">IFERROR(SUMPRODUCT(B4:M4,B5:M5)/SUM(B4:M4),0)</f>
        <v>47.8154367670349</v>
      </c>
    </row>
    <row r="6" customFormat="false" ht="15" hidden="false" customHeight="false" outlineLevel="0" collapsed="false">
      <c r="A6" s="7" t="s">
        <v>54</v>
      </c>
      <c r="B6" s="10" t="n">
        <f aca="false">IFERROR(SUMIFS(Media_Cliente_Mes!$E$2:$E$145,Media_Cliente_Mes!$A$2:$A$145,$B$3,Media_Cliente_Mes!$B$2:$B$145,$A3),0)</f>
        <v>0</v>
      </c>
      <c r="C6" s="10" t="n">
        <f aca="false">IFERROR(SUMIFS(Media_Cliente_Mes!$E$2:$E$145,Media_Cliente_Mes!$A$2:$A$145,$C$3,Media_Cliente_Mes!$B$2:$B$145,$A3),0)</f>
        <v>11.6180667802804</v>
      </c>
      <c r="D6" s="10" t="n">
        <f aca="false">IFERROR(SUMIFS(Media_Cliente_Mes!$E$2:$E$145,Media_Cliente_Mes!$A$2:$A$145,$D$3,Media_Cliente_Mes!$B$2:$B$145,$A3),0)</f>
        <v>12.4164668156559</v>
      </c>
      <c r="E6" s="10" t="n">
        <f aca="false">IFERROR(SUMIFS(Media_Cliente_Mes!$E$2:$E$145,Media_Cliente_Mes!$A$2:$A$145,$E$3,Media_Cliente_Mes!$B$2:$B$145,$A3),0)</f>
        <v>12.1108984280215</v>
      </c>
      <c r="F6" s="10" t="n">
        <f aca="false">IFERROR(SUMIFS(Media_Cliente_Mes!$E$2:$E$145,Media_Cliente_Mes!$A$2:$A$145,$F$3,Media_Cliente_Mes!$B$2:$B$145,$A3),0)</f>
        <v>12.0883999973853</v>
      </c>
      <c r="G6" s="10" t="n">
        <f aca="false">IFERROR(SUMIFS(Media_Cliente_Mes!$E$2:$E$145,Media_Cliente_Mes!$A$2:$A$145,$G$3,Media_Cliente_Mes!$B$2:$B$145,$A3),0)</f>
        <v>12.2074596664005</v>
      </c>
      <c r="H6" s="10" t="n">
        <f aca="false">IFERROR(SUMIFS(Media_Cliente_Mes!$E$2:$E$145,Media_Cliente_Mes!$A$2:$A$145,$H$3,Media_Cliente_Mes!$B$2:$B$145,$A3),0)</f>
        <v>12.1312591374571</v>
      </c>
      <c r="I6" s="10" t="n">
        <f aca="false">IFERROR(SUMIFS(Media_Cliente_Mes!$E$2:$E$145,Media_Cliente_Mes!$A$2:$A$145,$I$3,Media_Cliente_Mes!$B$2:$B$145,$A3),0)</f>
        <v>0</v>
      </c>
      <c r="J6" s="10" t="n">
        <f aca="false">IFERROR(SUMIFS(Media_Cliente_Mes!$E$2:$E$145,Media_Cliente_Mes!$A$2:$A$145,$J$3,Media_Cliente_Mes!$B$2:$B$145,$A3),0)</f>
        <v>0</v>
      </c>
      <c r="K6" s="10" t="n">
        <f aca="false">IFERROR(SUMIFS(Media_Cliente_Mes!$E$2:$E$145,Media_Cliente_Mes!$A$2:$A$145,$K$3,Media_Cliente_Mes!$B$2:$B$145,$A3),0)</f>
        <v>0</v>
      </c>
      <c r="L6" s="10" t="n">
        <f aca="false">IFERROR(SUMIFS(Media_Cliente_Mes!$E$2:$E$145,Media_Cliente_Mes!$A$2:$A$145,$L$3,Media_Cliente_Mes!$B$2:$B$145,$A3),0)</f>
        <v>0</v>
      </c>
      <c r="M6" s="10" t="n">
        <f aca="false">IFERROR(SUMIFS(Media_Cliente_Mes!$E$2:$E$145,Media_Cliente_Mes!$A$2:$A$145,$M$3,Media_Cliente_Mes!$B$2:$B$145,$A3),0)</f>
        <v>0</v>
      </c>
      <c r="N6" s="11" t="n">
        <f aca="false">IFERROR(SUMPRODUCT(B4:M4,B6:M6)/SUM(B4:M4),0)</f>
        <v>12.076727887935</v>
      </c>
    </row>
    <row r="7" customFormat="false" ht="15" hidden="false" customHeight="false" outlineLevel="0" collapsed="false">
      <c r="A7" s="7" t="s">
        <v>55</v>
      </c>
      <c r="B7" s="10" t="n">
        <f aca="false">IFERROR(SUMIFS(Media_Cliente_Mes!$F$2:$F$145,Media_Cliente_Mes!$A$2:$A$145,$B$3,Media_Cliente_Mes!$B$2:$B$145,$A3),0)</f>
        <v>0</v>
      </c>
      <c r="C7" s="10" t="n">
        <f aca="false">IFERROR(SUMIFS(Media_Cliente_Mes!$F$2:$F$145,Media_Cliente_Mes!$A$2:$A$145,$C$3,Media_Cliente_Mes!$B$2:$B$145,$A3),0)</f>
        <v>3.12451483688314</v>
      </c>
      <c r="D7" s="10" t="n">
        <f aca="false">IFERROR(SUMIFS(Media_Cliente_Mes!$F$2:$F$145,Media_Cliente_Mes!$A$2:$A$145,$D$3,Media_Cliente_Mes!$B$2:$B$145,$A3),0)</f>
        <v>3.37654047747852</v>
      </c>
      <c r="E7" s="10" t="n">
        <f aca="false">IFERROR(SUMIFS(Media_Cliente_Mes!$F$2:$F$145,Media_Cliente_Mes!$A$2:$A$145,$E$3,Media_Cliente_Mes!$B$2:$B$145,$A3),0)</f>
        <v>3.59836961487154</v>
      </c>
      <c r="F7" s="10" t="n">
        <f aca="false">IFERROR(SUMIFS(Media_Cliente_Mes!$F$2:$F$145,Media_Cliente_Mes!$A$2:$A$145,$F$3,Media_Cliente_Mes!$B$2:$B$145,$A3),0)</f>
        <v>3.51532527839475</v>
      </c>
      <c r="G7" s="10" t="n">
        <f aca="false">IFERROR(SUMIFS(Media_Cliente_Mes!$F$2:$F$145,Media_Cliente_Mes!$A$2:$A$145,$G$3,Media_Cliente_Mes!$B$2:$B$145,$A3),0)</f>
        <v>3.62389218385346</v>
      </c>
      <c r="H7" s="10" t="n">
        <f aca="false">IFERROR(SUMIFS(Media_Cliente_Mes!$F$2:$F$145,Media_Cliente_Mes!$A$2:$A$145,$H$3,Media_Cliente_Mes!$B$2:$B$145,$A3),0)</f>
        <v>3.67234818369469</v>
      </c>
      <c r="I7" s="10" t="n">
        <f aca="false">IFERROR(SUMIFS(Media_Cliente_Mes!$F$2:$F$145,Media_Cliente_Mes!$A$2:$A$145,$I$3,Media_Cliente_Mes!$B$2:$B$145,$A3),0)</f>
        <v>0</v>
      </c>
      <c r="J7" s="10" t="n">
        <f aca="false">IFERROR(SUMIFS(Media_Cliente_Mes!$F$2:$F$145,Media_Cliente_Mes!$A$2:$A$145,$J$3,Media_Cliente_Mes!$B$2:$B$145,$A3),0)</f>
        <v>0</v>
      </c>
      <c r="K7" s="10" t="n">
        <f aca="false">IFERROR(SUMIFS(Media_Cliente_Mes!$F$2:$F$145,Media_Cliente_Mes!$A$2:$A$145,$K$3,Media_Cliente_Mes!$B$2:$B$145,$A3),0)</f>
        <v>0</v>
      </c>
      <c r="L7" s="10" t="n">
        <f aca="false">IFERROR(SUMIFS(Media_Cliente_Mes!$F$2:$F$145,Media_Cliente_Mes!$A$2:$A$145,$L$3,Media_Cliente_Mes!$B$2:$B$145,$A3),0)</f>
        <v>0</v>
      </c>
      <c r="M7" s="10" t="n">
        <f aca="false">IFERROR(SUMIFS(Media_Cliente_Mes!$F$2:$F$145,Media_Cliente_Mes!$A$2:$A$145,$M$3,Media_Cliente_Mes!$B$2:$B$145,$A3),0)</f>
        <v>0</v>
      </c>
      <c r="N7" s="11" t="n">
        <f aca="false">IFERROR(SUMPRODUCT(B4:M4,B7:M7)/SUM(B4:M4),0)</f>
        <v>3.51752485295922</v>
      </c>
    </row>
    <row r="8" customFormat="false" ht="15" hidden="false" customHeight="false" outlineLevel="0" collapsed="false">
      <c r="A8" s="7" t="s">
        <v>56</v>
      </c>
      <c r="B8" s="10" t="n">
        <f aca="false">IFERROR(SUMIFS(Media_Cliente_Mes!$G$2:$G$145,Media_Cliente_Mes!$A$2:$A$145,$B$3,Media_Cliente_Mes!$B$2:$B$145,$A3),0)</f>
        <v>0</v>
      </c>
      <c r="C8" s="10" t="n">
        <f aca="false">IFERROR(SUMIFS(Media_Cliente_Mes!$G$2:$G$145,Media_Cliente_Mes!$A$2:$A$145,$C$3,Media_Cliente_Mes!$B$2:$B$145,$A3),0)</f>
        <v>1.40354292490952</v>
      </c>
      <c r="D8" s="10" t="n">
        <f aca="false">IFERROR(SUMIFS(Media_Cliente_Mes!$G$2:$G$145,Media_Cliente_Mes!$A$2:$A$145,$D$3,Media_Cliente_Mes!$B$2:$B$145,$A3),0)</f>
        <v>1.2043201632036</v>
      </c>
      <c r="E8" s="10" t="n">
        <f aca="false">IFERROR(SUMIFS(Media_Cliente_Mes!$G$2:$G$145,Media_Cliente_Mes!$A$2:$A$145,$E$3,Media_Cliente_Mes!$B$2:$B$145,$A3),0)</f>
        <v>1.74676691603698</v>
      </c>
      <c r="F8" s="10" t="n">
        <f aca="false">IFERROR(SUMIFS(Media_Cliente_Mes!$G$2:$G$145,Media_Cliente_Mes!$A$2:$A$145,$F$3,Media_Cliente_Mes!$B$2:$B$145,$A3),0)</f>
        <v>1.59289670219881</v>
      </c>
      <c r="G8" s="10" t="n">
        <f aca="false">IFERROR(SUMIFS(Media_Cliente_Mes!$G$2:$G$145,Media_Cliente_Mes!$A$2:$A$145,$G$3,Media_Cliente_Mes!$B$2:$B$145,$A3),0)</f>
        <v>1.6171416865885</v>
      </c>
      <c r="H8" s="10" t="n">
        <f aca="false">IFERROR(SUMIFS(Media_Cliente_Mes!$G$2:$G$145,Media_Cliente_Mes!$A$2:$A$145,$H$3,Media_Cliente_Mes!$B$2:$B$145,$A3),0)</f>
        <v>1.64048116480919</v>
      </c>
      <c r="I8" s="10" t="n">
        <f aca="false">IFERROR(SUMIFS(Media_Cliente_Mes!$G$2:$G$145,Media_Cliente_Mes!$A$2:$A$145,$I$3,Media_Cliente_Mes!$B$2:$B$145,$A3),0)</f>
        <v>0</v>
      </c>
      <c r="J8" s="10" t="n">
        <f aca="false">IFERROR(SUMIFS(Media_Cliente_Mes!$G$2:$G$145,Media_Cliente_Mes!$A$2:$A$145,$J$3,Media_Cliente_Mes!$B$2:$B$145,$A3),0)</f>
        <v>0</v>
      </c>
      <c r="K8" s="10" t="n">
        <f aca="false">IFERROR(SUMIFS(Media_Cliente_Mes!$G$2:$G$145,Media_Cliente_Mes!$A$2:$A$145,$K$3,Media_Cliente_Mes!$B$2:$B$145,$A3),0)</f>
        <v>0</v>
      </c>
      <c r="L8" s="10" t="n">
        <f aca="false">IFERROR(SUMIFS(Media_Cliente_Mes!$G$2:$G$145,Media_Cliente_Mes!$A$2:$A$145,$L$3,Media_Cliente_Mes!$B$2:$B$145,$A3),0)</f>
        <v>0</v>
      </c>
      <c r="M8" s="10" t="n">
        <f aca="false">IFERROR(SUMIFS(Media_Cliente_Mes!$G$2:$G$145,Media_Cliente_Mes!$A$2:$A$145,$M$3,Media_Cliente_Mes!$B$2:$B$145,$A3),0)</f>
        <v>0</v>
      </c>
      <c r="N8" s="11" t="n">
        <f aca="false">IFERROR(SUMPRODUCT(B4:M4,B8:M8)/SUM(B4:M4),0)</f>
        <v>1.56929248351514</v>
      </c>
    </row>
    <row r="9" customFormat="false" ht="15" hidden="false" customHeight="false" outlineLevel="0" collapsed="false">
      <c r="A9" s="7" t="s">
        <v>57</v>
      </c>
      <c r="B9" s="8" t="n">
        <f aca="false">IFERROR(SUMIFS(Media_Cliente_Mes!$H$2:$H$145,Media_Cliente_Mes!$A$2:$A$145,$B$3,Media_Cliente_Mes!$B$2:$B$145,$A3),0)</f>
        <v>0</v>
      </c>
      <c r="C9" s="8" t="n">
        <f aca="false">IFERROR(SUMIFS(Media_Cliente_Mes!$H$2:$H$145,Media_Cliente_Mes!$A$2:$A$145,$C$3,Media_Cliente_Mes!$B$2:$B$145,$A3),0)</f>
        <v>39842.6</v>
      </c>
      <c r="D9" s="8" t="n">
        <f aca="false">IFERROR(SUMIFS(Media_Cliente_Mes!$H$2:$H$145,Media_Cliente_Mes!$A$2:$A$145,$D$3,Media_Cliente_Mes!$B$2:$B$145,$A3),0)</f>
        <v>664.72</v>
      </c>
      <c r="E9" s="8" t="n">
        <f aca="false">IFERROR(SUMIFS(Media_Cliente_Mes!$H$2:$H$145,Media_Cliente_Mes!$A$2:$A$145,$E$3,Media_Cliente_Mes!$B$2:$B$145,$A3),0)</f>
        <v>25284.64</v>
      </c>
      <c r="F9" s="8" t="n">
        <f aca="false">IFERROR(SUMIFS(Media_Cliente_Mes!$H$2:$H$145,Media_Cliente_Mes!$A$2:$A$145,$F$3,Media_Cliente_Mes!$B$2:$B$145,$A3),0)</f>
        <v>10502.32</v>
      </c>
      <c r="G9" s="8" t="n">
        <f aca="false">IFERROR(SUMIFS(Media_Cliente_Mes!$H$2:$H$145,Media_Cliente_Mes!$A$2:$A$145,$G$3,Media_Cliente_Mes!$B$2:$B$145,$A3),0)</f>
        <v>47.73</v>
      </c>
      <c r="H9" s="8" t="n">
        <f aca="false">IFERROR(SUMIFS(Media_Cliente_Mes!$H$2:$H$145,Media_Cliente_Mes!$A$2:$A$145,$H$3,Media_Cliente_Mes!$B$2:$B$145,$A3),0)</f>
        <v>33837.06</v>
      </c>
      <c r="I9" s="8" t="n">
        <f aca="false">IFERROR(SUMIFS(Media_Cliente_Mes!$H$2:$H$145,Media_Cliente_Mes!$A$2:$A$145,$I$3,Media_Cliente_Mes!$B$2:$B$145,$A3),0)</f>
        <v>0</v>
      </c>
      <c r="J9" s="8" t="n">
        <f aca="false">IFERROR(SUMIFS(Media_Cliente_Mes!$H$2:$H$145,Media_Cliente_Mes!$A$2:$A$145,$J$3,Media_Cliente_Mes!$B$2:$B$145,$A3),0)</f>
        <v>0</v>
      </c>
      <c r="K9" s="8" t="n">
        <f aca="false">IFERROR(SUMIFS(Media_Cliente_Mes!$H$2:$H$145,Media_Cliente_Mes!$A$2:$A$145,$K$3,Media_Cliente_Mes!$B$2:$B$145,$A3),0)</f>
        <v>0</v>
      </c>
      <c r="L9" s="8" t="n">
        <f aca="false">IFERROR(SUMIFS(Media_Cliente_Mes!$H$2:$H$145,Media_Cliente_Mes!$A$2:$A$145,$L$3,Media_Cliente_Mes!$B$2:$B$145,$A3),0)</f>
        <v>0</v>
      </c>
      <c r="M9" s="8" t="n">
        <f aca="false">IFERROR(SUMIFS(Media_Cliente_Mes!$H$2:$H$145,Media_Cliente_Mes!$A$2:$A$145,$M$3,Media_Cliente_Mes!$B$2:$B$145,$A3),0)</f>
        <v>0</v>
      </c>
      <c r="N9" s="9" t="n">
        <f aca="false">SUM(B9:M9)</f>
        <v>110179.07</v>
      </c>
    </row>
    <row r="10" customFormat="false" ht="15" hidden="false" customHeight="false" outlineLevel="0" collapsed="false">
      <c r="A10" s="7" t="s">
        <v>58</v>
      </c>
      <c r="B10" s="8" t="n">
        <f aca="false">IFERROR(SUMIFS(Media_Cliente_Mes!$I$2:$I$145,Media_Cliente_Mes!$A$2:$A$145,$B$3,Media_Cliente_Mes!$B$2:$B$145,$A3),0)</f>
        <v>0</v>
      </c>
      <c r="C10" s="8" t="n">
        <f aca="false">IFERROR(SUMIFS(Media_Cliente_Mes!$I$2:$I$145,Media_Cliente_Mes!$A$2:$A$145,$C$3,Media_Cliente_Mes!$B$2:$B$145,$A3),0)</f>
        <v>0</v>
      </c>
      <c r="D10" s="8" t="n">
        <f aca="false">IFERROR(SUMIFS(Media_Cliente_Mes!$I$2:$I$145,Media_Cliente_Mes!$A$2:$A$145,$D$3,Media_Cliente_Mes!$B$2:$B$145,$A3),0)</f>
        <v>18227.02</v>
      </c>
      <c r="E10" s="8" t="n">
        <f aca="false">IFERROR(SUMIFS(Media_Cliente_Mes!$I$2:$I$145,Media_Cliente_Mes!$A$2:$A$145,$E$3,Media_Cliente_Mes!$B$2:$B$145,$A3),0)</f>
        <v>1049.69</v>
      </c>
      <c r="F10" s="8" t="n">
        <f aca="false">IFERROR(SUMIFS(Media_Cliente_Mes!$I$2:$I$145,Media_Cliente_Mes!$A$2:$A$145,$F$3,Media_Cliente_Mes!$B$2:$B$145,$A3),0)</f>
        <v>47630.96</v>
      </c>
      <c r="G10" s="8" t="n">
        <f aca="false">IFERROR(SUMIFS(Media_Cliente_Mes!$I$2:$I$145,Media_Cliente_Mes!$A$2:$A$145,$G$3,Media_Cliente_Mes!$B$2:$B$145,$A3),0)</f>
        <v>48512.9</v>
      </c>
      <c r="H10" s="8" t="n">
        <f aca="false">IFERROR(SUMIFS(Media_Cliente_Mes!$I$2:$I$145,Media_Cliente_Mes!$A$2:$A$145,$H$3,Media_Cliente_Mes!$B$2:$B$145,$A3),0)</f>
        <v>38216.63</v>
      </c>
      <c r="I10" s="8" t="n">
        <f aca="false">IFERROR(SUMIFS(Media_Cliente_Mes!$I$2:$I$145,Media_Cliente_Mes!$A$2:$A$145,$I$3,Media_Cliente_Mes!$B$2:$B$145,$A3),0)</f>
        <v>0</v>
      </c>
      <c r="J10" s="8" t="n">
        <f aca="false">IFERROR(SUMIFS(Media_Cliente_Mes!$I$2:$I$145,Media_Cliente_Mes!$A$2:$A$145,$J$3,Media_Cliente_Mes!$B$2:$B$145,$A3),0)</f>
        <v>0</v>
      </c>
      <c r="K10" s="8" t="n">
        <f aca="false">IFERROR(SUMIFS(Media_Cliente_Mes!$I$2:$I$145,Media_Cliente_Mes!$A$2:$A$145,$K$3,Media_Cliente_Mes!$B$2:$B$145,$A3),0)</f>
        <v>0</v>
      </c>
      <c r="L10" s="8" t="n">
        <f aca="false">IFERROR(SUMIFS(Media_Cliente_Mes!$I$2:$I$145,Media_Cliente_Mes!$A$2:$A$145,$L$3,Media_Cliente_Mes!$B$2:$B$145,$A3),0)</f>
        <v>0</v>
      </c>
      <c r="M10" s="8" t="n">
        <f aca="false">IFERROR(SUMIFS(Media_Cliente_Mes!$I$2:$I$145,Media_Cliente_Mes!$A$2:$A$145,$M$3,Media_Cliente_Mes!$B$2:$B$145,$A3),0)</f>
        <v>0</v>
      </c>
      <c r="N10" s="9" t="n">
        <f aca="false">SUM(B10:M10)</f>
        <v>153637.2</v>
      </c>
    </row>
    <row r="12" customFormat="false" ht="15" hidden="false" customHeight="false" outlineLevel="0" collapsed="false">
      <c r="A12" s="5" t="s">
        <v>59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44</v>
      </c>
      <c r="H12" s="6" t="s">
        <v>45</v>
      </c>
      <c r="I12" s="6" t="s">
        <v>46</v>
      </c>
      <c r="J12" s="6" t="s">
        <v>47</v>
      </c>
      <c r="K12" s="6" t="s">
        <v>48</v>
      </c>
      <c r="L12" s="6" t="s">
        <v>49</v>
      </c>
      <c r="M12" s="6" t="s">
        <v>50</v>
      </c>
      <c r="N12" s="6" t="s">
        <v>51</v>
      </c>
    </row>
    <row r="13" customFormat="false" ht="15" hidden="false" customHeight="false" outlineLevel="0" collapsed="false">
      <c r="A13" s="7" t="s">
        <v>52</v>
      </c>
      <c r="B13" s="8" t="n">
        <f aca="false">IFERROR(SUMIFS(Media_Cliente_Mes!$C$2:$C$145,Media_Cliente_Mes!$A$2:$A$145,$B$12,Media_Cliente_Mes!$B$2:$B$145,$A12),0)</f>
        <v>0</v>
      </c>
      <c r="C13" s="8" t="n">
        <f aca="false">IFERROR(SUMIFS(Media_Cliente_Mes!$C$2:$C$145,Media_Cliente_Mes!$A$2:$A$145,$C$12,Media_Cliente_Mes!$B$2:$B$145,$A12),0)</f>
        <v>30370.33</v>
      </c>
      <c r="D13" s="8" t="n">
        <f aca="false">IFERROR(SUMIFS(Media_Cliente_Mes!$C$2:$C$145,Media_Cliente_Mes!$A$2:$A$145,$D$12,Media_Cliente_Mes!$B$2:$B$145,$A12),0)</f>
        <v>9485.48</v>
      </c>
      <c r="E13" s="8" t="n">
        <f aca="false">IFERROR(SUMIFS(Media_Cliente_Mes!$C$2:$C$145,Media_Cliente_Mes!$A$2:$A$145,$E$12,Media_Cliente_Mes!$B$2:$B$145,$A12),0)</f>
        <v>62578.1</v>
      </c>
      <c r="F13" s="8" t="n">
        <f aca="false">IFERROR(SUMIFS(Media_Cliente_Mes!$C$2:$C$145,Media_Cliente_Mes!$A$2:$A$145,$F$12,Media_Cliente_Mes!$B$2:$B$145,$A12),0)</f>
        <v>53224.28</v>
      </c>
      <c r="G13" s="8" t="n">
        <f aca="false">IFERROR(SUMIFS(Media_Cliente_Mes!$C$2:$C$145,Media_Cliente_Mes!$A$2:$A$145,$G$12,Media_Cliente_Mes!$B$2:$B$145,$A12),0)</f>
        <v>41884.18</v>
      </c>
      <c r="H13" s="8" t="n">
        <f aca="false">IFERROR(SUMIFS(Media_Cliente_Mes!$C$2:$C$145,Media_Cliente_Mes!$A$2:$A$145,$H$12,Media_Cliente_Mes!$B$2:$B$145,$A12),0)</f>
        <v>101673.63</v>
      </c>
      <c r="I13" s="8" t="n">
        <f aca="false">IFERROR(SUMIFS(Media_Cliente_Mes!$C$2:$C$145,Media_Cliente_Mes!$A$2:$A$145,$I$12,Media_Cliente_Mes!$B$2:$B$145,$A12),0)</f>
        <v>0</v>
      </c>
      <c r="J13" s="8" t="n">
        <f aca="false">IFERROR(SUMIFS(Media_Cliente_Mes!$C$2:$C$145,Media_Cliente_Mes!$A$2:$A$145,$J$12,Media_Cliente_Mes!$B$2:$B$145,$A12),0)</f>
        <v>0</v>
      </c>
      <c r="K13" s="8" t="n">
        <f aca="false">IFERROR(SUMIFS(Media_Cliente_Mes!$C$2:$C$145,Media_Cliente_Mes!$A$2:$A$145,$K$12,Media_Cliente_Mes!$B$2:$B$145,$A12),0)</f>
        <v>0</v>
      </c>
      <c r="L13" s="8" t="n">
        <f aca="false">IFERROR(SUMIFS(Media_Cliente_Mes!$C$2:$C$145,Media_Cliente_Mes!$A$2:$A$145,$L$12,Media_Cliente_Mes!$B$2:$B$145,$A12),0)</f>
        <v>0</v>
      </c>
      <c r="M13" s="8" t="n">
        <f aca="false">IFERROR(SUMIFS(Media_Cliente_Mes!$C$2:$C$145,Media_Cliente_Mes!$A$2:$A$145,$M$12,Media_Cliente_Mes!$B$2:$B$145,$A12),0)</f>
        <v>0</v>
      </c>
      <c r="N13" s="9" t="n">
        <f aca="false">SUM(B13:M13)</f>
        <v>299216</v>
      </c>
    </row>
    <row r="14" customFormat="false" ht="15" hidden="false" customHeight="false" outlineLevel="0" collapsed="false">
      <c r="A14" s="7" t="s">
        <v>53</v>
      </c>
      <c r="B14" s="10" t="n">
        <f aca="false">IFERROR(SUMIFS(Media_Cliente_Mes!$D$2:$D$145,Media_Cliente_Mes!$A$2:$A$145,$B$12,Media_Cliente_Mes!$B$2:$B$145,$A12),0)</f>
        <v>0</v>
      </c>
      <c r="C14" s="10" t="n">
        <f aca="false">IFERROR(SUMIFS(Media_Cliente_Mes!$D$2:$D$145,Media_Cliente_Mes!$A$2:$A$145,$C$12,Media_Cliente_Mes!$B$2:$B$145,$A12),0)</f>
        <v>47.9807398503737</v>
      </c>
      <c r="D14" s="10" t="n">
        <f aca="false">IFERROR(SUMIFS(Media_Cliente_Mes!$D$2:$D$145,Media_Cliente_Mes!$A$2:$A$145,$D$12,Media_Cliente_Mes!$B$2:$B$145,$A12),0)</f>
        <v>47.2086670258121</v>
      </c>
      <c r="E14" s="10" t="n">
        <f aca="false">IFERROR(SUMIFS(Media_Cliente_Mes!$D$2:$D$145,Media_Cliente_Mes!$A$2:$A$145,$E$12,Media_Cliente_Mes!$B$2:$B$145,$A12),0)</f>
        <v>46.9693151837464</v>
      </c>
      <c r="F14" s="10" t="n">
        <f aca="false">IFERROR(SUMIFS(Media_Cliente_Mes!$D$2:$D$145,Media_Cliente_Mes!$A$2:$A$145,$F$12,Media_Cliente_Mes!$B$2:$B$145,$A12),0)</f>
        <v>47.7410028036077</v>
      </c>
      <c r="G14" s="10" t="n">
        <f aca="false">IFERROR(SUMIFS(Media_Cliente_Mes!$D$2:$D$145,Media_Cliente_Mes!$A$2:$A$145,$G$12,Media_Cliente_Mes!$B$2:$B$145,$A12),0)</f>
        <v>47.1484876652712</v>
      </c>
      <c r="H14" s="10" t="n">
        <f aca="false">IFERROR(SUMIFS(Media_Cliente_Mes!$D$2:$D$145,Media_Cliente_Mes!$A$2:$A$145,$H$12,Media_Cliente_Mes!$B$2:$B$145,$A12),0)</f>
        <v>47.2596707238642</v>
      </c>
      <c r="I14" s="10" t="n">
        <f aca="false">IFERROR(SUMIFS(Media_Cliente_Mes!$D$2:$D$145,Media_Cliente_Mes!$A$2:$A$145,$I$12,Media_Cliente_Mes!$B$2:$B$145,$A12),0)</f>
        <v>0</v>
      </c>
      <c r="J14" s="10" t="n">
        <f aca="false">IFERROR(SUMIFS(Media_Cliente_Mes!$D$2:$D$145,Media_Cliente_Mes!$A$2:$A$145,$J$12,Media_Cliente_Mes!$B$2:$B$145,$A12),0)</f>
        <v>0</v>
      </c>
      <c r="K14" s="10" t="n">
        <f aca="false">IFERROR(SUMIFS(Media_Cliente_Mes!$D$2:$D$145,Media_Cliente_Mes!$A$2:$A$145,$K$12,Media_Cliente_Mes!$B$2:$B$145,$A12),0)</f>
        <v>0</v>
      </c>
      <c r="L14" s="10" t="n">
        <f aca="false">IFERROR(SUMIFS(Media_Cliente_Mes!$D$2:$D$145,Media_Cliente_Mes!$A$2:$A$145,$L$12,Media_Cliente_Mes!$B$2:$B$145,$A12),0)</f>
        <v>0</v>
      </c>
      <c r="M14" s="10" t="n">
        <f aca="false">IFERROR(SUMIFS(Media_Cliente_Mes!$D$2:$D$145,Media_Cliente_Mes!$A$2:$A$145,$M$12,Media_Cliente_Mes!$B$2:$B$145,$A12),0)</f>
        <v>0</v>
      </c>
      <c r="N14" s="11" t="n">
        <f aca="false">IFERROR(SUMPRODUCT(B13:M13,B14:M14)/SUM(B13:M13),0)</f>
        <v>47.3405726705791</v>
      </c>
    </row>
    <row r="15" customFormat="false" ht="15" hidden="false" customHeight="false" outlineLevel="0" collapsed="false">
      <c r="A15" s="7" t="s">
        <v>54</v>
      </c>
      <c r="B15" s="10" t="n">
        <f aca="false">IFERROR(SUMIFS(Media_Cliente_Mes!$E$2:$E$145,Media_Cliente_Mes!$A$2:$A$145,$B$12,Media_Cliente_Mes!$B$2:$B$145,$A12),0)</f>
        <v>0</v>
      </c>
      <c r="C15" s="10" t="n">
        <f aca="false">IFERROR(SUMIFS(Media_Cliente_Mes!$E$2:$E$145,Media_Cliente_Mes!$A$2:$A$145,$C$12,Media_Cliente_Mes!$B$2:$B$145,$A12),0)</f>
        <v>11.5584933584851</v>
      </c>
      <c r="D15" s="10" t="n">
        <f aca="false">IFERROR(SUMIFS(Media_Cliente_Mes!$E$2:$E$145,Media_Cliente_Mes!$A$2:$A$145,$D$12,Media_Cliente_Mes!$B$2:$B$145,$A12),0)</f>
        <v>12.7192715392368</v>
      </c>
      <c r="E15" s="10" t="n">
        <f aca="false">IFERROR(SUMIFS(Media_Cliente_Mes!$E$2:$E$145,Media_Cliente_Mes!$A$2:$A$145,$E$12,Media_Cliente_Mes!$B$2:$B$145,$A12),0)</f>
        <v>12.3393796839469</v>
      </c>
      <c r="F15" s="10" t="n">
        <f aca="false">IFERROR(SUMIFS(Media_Cliente_Mes!$E$2:$E$145,Media_Cliente_Mes!$A$2:$A$145,$F$12,Media_Cliente_Mes!$B$2:$B$145,$A12),0)</f>
        <v>12.2364620658091</v>
      </c>
      <c r="G15" s="10" t="n">
        <f aca="false">IFERROR(SUMIFS(Media_Cliente_Mes!$E$2:$E$145,Media_Cliente_Mes!$A$2:$A$145,$G$12,Media_Cliente_Mes!$B$2:$B$145,$A12),0)</f>
        <v>12.2362354473694</v>
      </c>
      <c r="H15" s="10" t="n">
        <f aca="false">IFERROR(SUMIFS(Media_Cliente_Mes!$E$2:$E$145,Media_Cliente_Mes!$A$2:$A$145,$H$12,Media_Cliente_Mes!$B$2:$B$145,$A12),0)</f>
        <v>12.3572284180274</v>
      </c>
      <c r="I15" s="10" t="n">
        <f aca="false">IFERROR(SUMIFS(Media_Cliente_Mes!$E$2:$E$145,Media_Cliente_Mes!$A$2:$A$145,$I$12,Media_Cliente_Mes!$B$2:$B$145,$A12),0)</f>
        <v>0</v>
      </c>
      <c r="J15" s="10" t="n">
        <f aca="false">IFERROR(SUMIFS(Media_Cliente_Mes!$E$2:$E$145,Media_Cliente_Mes!$A$2:$A$145,$J$12,Media_Cliente_Mes!$B$2:$B$145,$A12),0)</f>
        <v>0</v>
      </c>
      <c r="K15" s="10" t="n">
        <f aca="false">IFERROR(SUMIFS(Media_Cliente_Mes!$E$2:$E$145,Media_Cliente_Mes!$A$2:$A$145,$K$12,Media_Cliente_Mes!$B$2:$B$145,$A12),0)</f>
        <v>0</v>
      </c>
      <c r="L15" s="10" t="n">
        <f aca="false">IFERROR(SUMIFS(Media_Cliente_Mes!$E$2:$E$145,Media_Cliente_Mes!$A$2:$A$145,$L$12,Media_Cliente_Mes!$B$2:$B$145,$A12),0)</f>
        <v>0</v>
      </c>
      <c r="M15" s="10" t="n">
        <f aca="false">IFERROR(SUMIFS(Media_Cliente_Mes!$E$2:$E$145,Media_Cliente_Mes!$A$2:$A$145,$M$12,Media_Cliente_Mes!$B$2:$B$145,$A12),0)</f>
        <v>0</v>
      </c>
      <c r="N15" s="11" t="n">
        <f aca="false">IFERROR(SUMPRODUCT(B13:M13,B15:M15)/SUM(B13:M13),0)</f>
        <v>12.2454829634779</v>
      </c>
    </row>
    <row r="16" customFormat="false" ht="15" hidden="false" customHeight="false" outlineLevel="0" collapsed="false">
      <c r="A16" s="7" t="s">
        <v>55</v>
      </c>
      <c r="B16" s="10" t="n">
        <f aca="false">IFERROR(SUMIFS(Media_Cliente_Mes!$F$2:$F$145,Media_Cliente_Mes!$A$2:$A$145,$B$12,Media_Cliente_Mes!$B$2:$B$145,$A12),0)</f>
        <v>0</v>
      </c>
      <c r="C16" s="10" t="n">
        <f aca="false">IFERROR(SUMIFS(Media_Cliente_Mes!$F$2:$F$145,Media_Cliente_Mes!$A$2:$A$145,$C$12,Media_Cliente_Mes!$B$2:$B$145,$A12),0)</f>
        <v>3.46095443809797</v>
      </c>
      <c r="D16" s="10" t="n">
        <f aca="false">IFERROR(SUMIFS(Media_Cliente_Mes!$F$2:$F$145,Media_Cliente_Mes!$A$2:$A$145,$D$12,Media_Cliente_Mes!$B$2:$B$145,$A12),0)</f>
        <v>3.73136726870965</v>
      </c>
      <c r="E16" s="10" t="n">
        <f aca="false">IFERROR(SUMIFS(Media_Cliente_Mes!$F$2:$F$145,Media_Cliente_Mes!$A$2:$A$145,$E$12,Media_Cliente_Mes!$B$2:$B$145,$A12),0)</f>
        <v>3.7083901652495</v>
      </c>
      <c r="F16" s="10" t="n">
        <f aca="false">IFERROR(SUMIFS(Media_Cliente_Mes!$F$2:$F$145,Media_Cliente_Mes!$A$2:$A$145,$F$12,Media_Cliente_Mes!$B$2:$B$145,$A12),0)</f>
        <v>3.49707755558178</v>
      </c>
      <c r="G16" s="10" t="n">
        <f aca="false">IFERROR(SUMIFS(Media_Cliente_Mes!$F$2:$F$145,Media_Cliente_Mes!$A$2:$A$145,$G$12,Media_Cliente_Mes!$B$2:$B$145,$A12),0)</f>
        <v>3.74981974817222</v>
      </c>
      <c r="H16" s="10" t="n">
        <f aca="false">IFERROR(SUMIFS(Media_Cliente_Mes!$F$2:$F$145,Media_Cliente_Mes!$A$2:$A$145,$H$12,Media_Cliente_Mes!$B$2:$B$145,$A12),0)</f>
        <v>3.60902725121548</v>
      </c>
      <c r="I16" s="10" t="n">
        <f aca="false">IFERROR(SUMIFS(Media_Cliente_Mes!$F$2:$F$145,Media_Cliente_Mes!$A$2:$A$145,$I$12,Media_Cliente_Mes!$B$2:$B$145,$A12),0)</f>
        <v>0</v>
      </c>
      <c r="J16" s="10" t="n">
        <f aca="false">IFERROR(SUMIFS(Media_Cliente_Mes!$F$2:$F$145,Media_Cliente_Mes!$A$2:$A$145,$J$12,Media_Cliente_Mes!$B$2:$B$145,$A12),0)</f>
        <v>0</v>
      </c>
      <c r="K16" s="10" t="n">
        <f aca="false">IFERROR(SUMIFS(Media_Cliente_Mes!$F$2:$F$145,Media_Cliente_Mes!$A$2:$A$145,$K$12,Media_Cliente_Mes!$B$2:$B$145,$A12),0)</f>
        <v>0</v>
      </c>
      <c r="L16" s="10" t="n">
        <f aca="false">IFERROR(SUMIFS(Media_Cliente_Mes!$F$2:$F$145,Media_Cliente_Mes!$A$2:$A$145,$L$12,Media_Cliente_Mes!$B$2:$B$145,$A12),0)</f>
        <v>0</v>
      </c>
      <c r="M16" s="10" t="n">
        <f aca="false">IFERROR(SUMIFS(Media_Cliente_Mes!$F$2:$F$145,Media_Cliente_Mes!$A$2:$A$145,$M$12,Media_Cliente_Mes!$B$2:$B$145,$A12),0)</f>
        <v>0</v>
      </c>
      <c r="N16" s="11" t="n">
        <f aca="false">IFERROR(SUMPRODUCT(B13:M13,B16:M16)/SUM(B13:M13),0)</f>
        <v>3.61845158781616</v>
      </c>
    </row>
    <row r="17" customFormat="false" ht="15" hidden="false" customHeight="false" outlineLevel="0" collapsed="false">
      <c r="A17" s="7" t="s">
        <v>56</v>
      </c>
      <c r="B17" s="10" t="n">
        <f aca="false">IFERROR(SUMIFS(Media_Cliente_Mes!$G$2:$G$145,Media_Cliente_Mes!$A$2:$A$145,$B$12,Media_Cliente_Mes!$B$2:$B$145,$A12),0)</f>
        <v>0</v>
      </c>
      <c r="C17" s="10" t="n">
        <f aca="false">IFERROR(SUMIFS(Media_Cliente_Mes!$G$2:$G$145,Media_Cliente_Mes!$A$2:$A$145,$C$12,Media_Cliente_Mes!$B$2:$B$145,$A12),0)</f>
        <v>1.31159919236966</v>
      </c>
      <c r="D17" s="10" t="n">
        <f aca="false">IFERROR(SUMIFS(Media_Cliente_Mes!$G$2:$G$145,Media_Cliente_Mes!$A$2:$A$145,$D$12,Media_Cliente_Mes!$B$2:$B$145,$A12),0)</f>
        <v>1.16851368618141</v>
      </c>
      <c r="E17" s="10" t="n">
        <f aca="false">IFERROR(SUMIFS(Media_Cliente_Mes!$G$2:$G$145,Media_Cliente_Mes!$A$2:$A$145,$E$12,Media_Cliente_Mes!$B$2:$B$145,$A12),0)</f>
        <v>1.73184073981153</v>
      </c>
      <c r="F17" s="10" t="n">
        <f aca="false">IFERROR(SUMIFS(Media_Cliente_Mes!$G$2:$G$145,Media_Cliente_Mes!$A$2:$A$145,$F$12,Media_Cliente_Mes!$B$2:$B$145,$A12),0)</f>
        <v>1.77413490234156</v>
      </c>
      <c r="G17" s="10" t="n">
        <f aca="false">IFERROR(SUMIFS(Media_Cliente_Mes!$G$2:$G$145,Media_Cliente_Mes!$A$2:$A$145,$G$12,Media_Cliente_Mes!$B$2:$B$145,$A12),0)</f>
        <v>1.58629456515563</v>
      </c>
      <c r="H17" s="10" t="n">
        <f aca="false">IFERROR(SUMIFS(Media_Cliente_Mes!$G$2:$G$145,Media_Cliente_Mes!$A$2:$A$145,$H$12,Media_Cliente_Mes!$B$2:$B$145,$A12),0)</f>
        <v>1.69166907486238</v>
      </c>
      <c r="I17" s="10" t="n">
        <f aca="false">IFERROR(SUMIFS(Media_Cliente_Mes!$G$2:$G$145,Media_Cliente_Mes!$A$2:$A$145,$I$12,Media_Cliente_Mes!$B$2:$B$145,$A12),0)</f>
        <v>0</v>
      </c>
      <c r="J17" s="10" t="n">
        <f aca="false">IFERROR(SUMIFS(Media_Cliente_Mes!$G$2:$G$145,Media_Cliente_Mes!$A$2:$A$145,$J$12,Media_Cliente_Mes!$B$2:$B$145,$A12),0)</f>
        <v>0</v>
      </c>
      <c r="K17" s="10" t="n">
        <f aca="false">IFERROR(SUMIFS(Media_Cliente_Mes!$G$2:$G$145,Media_Cliente_Mes!$A$2:$A$145,$K$12,Media_Cliente_Mes!$B$2:$B$145,$A12),0)</f>
        <v>0</v>
      </c>
      <c r="L17" s="10" t="n">
        <f aca="false">IFERROR(SUMIFS(Media_Cliente_Mes!$G$2:$G$145,Media_Cliente_Mes!$A$2:$A$145,$L$12,Media_Cliente_Mes!$B$2:$B$145,$A12),0)</f>
        <v>0</v>
      </c>
      <c r="M17" s="10" t="n">
        <f aca="false">IFERROR(SUMIFS(Media_Cliente_Mes!$G$2:$G$145,Media_Cliente_Mes!$A$2:$A$145,$M$12,Media_Cliente_Mes!$B$2:$B$145,$A12),0)</f>
        <v>0</v>
      </c>
      <c r="N17" s="11" t="n">
        <f aca="false">IFERROR(SUMPRODUCT(B13:M13,B17:M17)/SUM(B13:M13),0)</f>
        <v>1.64482765627507</v>
      </c>
    </row>
    <row r="18" customFormat="false" ht="15" hidden="false" customHeight="false" outlineLevel="0" collapsed="false">
      <c r="A18" s="7" t="s">
        <v>57</v>
      </c>
      <c r="B18" s="8" t="n">
        <f aca="false">IFERROR(SUMIFS(Media_Cliente_Mes!$H$2:$H$145,Media_Cliente_Mes!$A$2:$A$145,$B$12,Media_Cliente_Mes!$B$2:$B$145,$A12),0)</f>
        <v>0</v>
      </c>
      <c r="C18" s="8" t="n">
        <f aca="false">IFERROR(SUMIFS(Media_Cliente_Mes!$H$2:$H$145,Media_Cliente_Mes!$A$2:$A$145,$C$12,Media_Cliente_Mes!$B$2:$B$145,$A12),0)</f>
        <v>30370.33</v>
      </c>
      <c r="D18" s="8" t="n">
        <f aca="false">IFERROR(SUMIFS(Media_Cliente_Mes!$H$2:$H$145,Media_Cliente_Mes!$A$2:$A$145,$D$12,Media_Cliente_Mes!$B$2:$B$145,$A12),0)</f>
        <v>0</v>
      </c>
      <c r="E18" s="8" t="n">
        <f aca="false">IFERROR(SUMIFS(Media_Cliente_Mes!$H$2:$H$145,Media_Cliente_Mes!$A$2:$A$145,$E$12,Media_Cliente_Mes!$B$2:$B$145,$A12),0)</f>
        <v>11853.83</v>
      </c>
      <c r="F18" s="8" t="n">
        <f aca="false">IFERROR(SUMIFS(Media_Cliente_Mes!$H$2:$H$145,Media_Cliente_Mes!$A$2:$A$145,$F$12,Media_Cliente_Mes!$B$2:$B$145,$A12),0)</f>
        <v>0</v>
      </c>
      <c r="G18" s="8" t="n">
        <f aca="false">IFERROR(SUMIFS(Media_Cliente_Mes!$H$2:$H$145,Media_Cliente_Mes!$A$2:$A$145,$G$12,Media_Cliente_Mes!$B$2:$B$145,$A12),0)</f>
        <v>39.21</v>
      </c>
      <c r="H18" s="8" t="n">
        <f aca="false">IFERROR(SUMIFS(Media_Cliente_Mes!$H$2:$H$145,Media_Cliente_Mes!$A$2:$A$145,$H$12,Media_Cliente_Mes!$B$2:$B$145,$A12),0)</f>
        <v>0</v>
      </c>
      <c r="I18" s="8" t="n">
        <f aca="false">IFERROR(SUMIFS(Media_Cliente_Mes!$H$2:$H$145,Media_Cliente_Mes!$A$2:$A$145,$I$12,Media_Cliente_Mes!$B$2:$B$145,$A12),0)</f>
        <v>0</v>
      </c>
      <c r="J18" s="8" t="n">
        <f aca="false">IFERROR(SUMIFS(Media_Cliente_Mes!$H$2:$H$145,Media_Cliente_Mes!$A$2:$A$145,$J$12,Media_Cliente_Mes!$B$2:$B$145,$A12),0)</f>
        <v>0</v>
      </c>
      <c r="K18" s="8" t="n">
        <f aca="false">IFERROR(SUMIFS(Media_Cliente_Mes!$H$2:$H$145,Media_Cliente_Mes!$A$2:$A$145,$K$12,Media_Cliente_Mes!$B$2:$B$145,$A12),0)</f>
        <v>0</v>
      </c>
      <c r="L18" s="8" t="n">
        <f aca="false">IFERROR(SUMIFS(Media_Cliente_Mes!$H$2:$H$145,Media_Cliente_Mes!$A$2:$A$145,$L$12,Media_Cliente_Mes!$B$2:$B$145,$A12),0)</f>
        <v>0</v>
      </c>
      <c r="M18" s="8" t="n">
        <f aca="false">IFERROR(SUMIFS(Media_Cliente_Mes!$H$2:$H$145,Media_Cliente_Mes!$A$2:$A$145,$M$12,Media_Cliente_Mes!$B$2:$B$145,$A12),0)</f>
        <v>0</v>
      </c>
      <c r="N18" s="9" t="n">
        <f aca="false">SUM(B18:M18)</f>
        <v>42263.37</v>
      </c>
    </row>
    <row r="19" customFormat="false" ht="15" hidden="false" customHeight="false" outlineLevel="0" collapsed="false">
      <c r="A19" s="7" t="s">
        <v>58</v>
      </c>
      <c r="B19" s="8" t="n">
        <f aca="false">IFERROR(SUMIFS(Media_Cliente_Mes!$I$2:$I$145,Media_Cliente_Mes!$A$2:$A$145,$B$12,Media_Cliente_Mes!$B$2:$B$145,$A12),0)</f>
        <v>0</v>
      </c>
      <c r="C19" s="8" t="n">
        <f aca="false">IFERROR(SUMIFS(Media_Cliente_Mes!$I$2:$I$145,Media_Cliente_Mes!$A$2:$A$145,$C$12,Media_Cliente_Mes!$B$2:$B$145,$A12),0)</f>
        <v>0</v>
      </c>
      <c r="D19" s="8" t="n">
        <f aca="false">IFERROR(SUMIFS(Media_Cliente_Mes!$I$2:$I$145,Media_Cliente_Mes!$A$2:$A$145,$D$12,Media_Cliente_Mes!$B$2:$B$145,$A12),0)</f>
        <v>9485.48</v>
      </c>
      <c r="E19" s="8" t="n">
        <f aca="false">IFERROR(SUMIFS(Media_Cliente_Mes!$I$2:$I$145,Media_Cliente_Mes!$A$2:$A$145,$E$12,Media_Cliente_Mes!$B$2:$B$145,$A12),0)</f>
        <v>50724.27</v>
      </c>
      <c r="F19" s="8" t="n">
        <f aca="false">IFERROR(SUMIFS(Media_Cliente_Mes!$I$2:$I$145,Media_Cliente_Mes!$A$2:$A$145,$F$12,Media_Cliente_Mes!$B$2:$B$145,$A12),0)</f>
        <v>53224.28</v>
      </c>
      <c r="G19" s="8" t="n">
        <f aca="false">IFERROR(SUMIFS(Media_Cliente_Mes!$I$2:$I$145,Media_Cliente_Mes!$A$2:$A$145,$G$12,Media_Cliente_Mes!$B$2:$B$145,$A12),0)</f>
        <v>41844.97</v>
      </c>
      <c r="H19" s="8" t="n">
        <f aca="false">IFERROR(SUMIFS(Media_Cliente_Mes!$I$2:$I$145,Media_Cliente_Mes!$A$2:$A$145,$H$12,Media_Cliente_Mes!$B$2:$B$145,$A12),0)</f>
        <v>101673.63</v>
      </c>
      <c r="I19" s="8" t="n">
        <f aca="false">IFERROR(SUMIFS(Media_Cliente_Mes!$I$2:$I$145,Media_Cliente_Mes!$A$2:$A$145,$I$12,Media_Cliente_Mes!$B$2:$B$145,$A12),0)</f>
        <v>0</v>
      </c>
      <c r="J19" s="8" t="n">
        <f aca="false">IFERROR(SUMIFS(Media_Cliente_Mes!$I$2:$I$145,Media_Cliente_Mes!$A$2:$A$145,$J$12,Media_Cliente_Mes!$B$2:$B$145,$A12),0)</f>
        <v>0</v>
      </c>
      <c r="K19" s="8" t="n">
        <f aca="false">IFERROR(SUMIFS(Media_Cliente_Mes!$I$2:$I$145,Media_Cliente_Mes!$A$2:$A$145,$K$12,Media_Cliente_Mes!$B$2:$B$145,$A12),0)</f>
        <v>0</v>
      </c>
      <c r="L19" s="8" t="n">
        <f aca="false">IFERROR(SUMIFS(Media_Cliente_Mes!$I$2:$I$145,Media_Cliente_Mes!$A$2:$A$145,$L$12,Media_Cliente_Mes!$B$2:$B$145,$A12),0)</f>
        <v>0</v>
      </c>
      <c r="M19" s="8" t="n">
        <f aca="false">IFERROR(SUMIFS(Media_Cliente_Mes!$I$2:$I$145,Media_Cliente_Mes!$A$2:$A$145,$M$12,Media_Cliente_Mes!$B$2:$B$145,$A12),0)</f>
        <v>0</v>
      </c>
      <c r="N19" s="9" t="n">
        <f aca="false">SUM(B19:M19)</f>
        <v>256952.63</v>
      </c>
    </row>
    <row r="21" customFormat="false" ht="15" hidden="false" customHeight="false" outlineLevel="0" collapsed="false">
      <c r="A21" s="5" t="s">
        <v>60</v>
      </c>
      <c r="B21" s="6" t="s">
        <v>39</v>
      </c>
      <c r="C21" s="6" t="s">
        <v>40</v>
      </c>
      <c r="D21" s="6" t="s">
        <v>41</v>
      </c>
      <c r="E21" s="6" t="s">
        <v>42</v>
      </c>
      <c r="F21" s="6" t="s">
        <v>43</v>
      </c>
      <c r="G21" s="6" t="s">
        <v>44</v>
      </c>
      <c r="H21" s="6" t="s">
        <v>45</v>
      </c>
      <c r="I21" s="6" t="s">
        <v>46</v>
      </c>
      <c r="J21" s="6" t="s">
        <v>47</v>
      </c>
      <c r="K21" s="6" t="s">
        <v>48</v>
      </c>
      <c r="L21" s="6" t="s">
        <v>49</v>
      </c>
      <c r="M21" s="6" t="s">
        <v>50</v>
      </c>
      <c r="N21" s="6" t="s">
        <v>51</v>
      </c>
    </row>
    <row r="22" customFormat="false" ht="15" hidden="false" customHeight="false" outlineLevel="0" collapsed="false">
      <c r="A22" s="7" t="s">
        <v>52</v>
      </c>
      <c r="B22" s="8" t="n">
        <f aca="false">IFERROR(SUMIFS(Media_Cliente_Mes!$C$2:$C$145,Media_Cliente_Mes!$A$2:$A$145,$B$21,Media_Cliente_Mes!$B$2:$B$145,$A21),0)</f>
        <v>0</v>
      </c>
      <c r="C22" s="8" t="n">
        <f aca="false">IFERROR(SUMIFS(Media_Cliente_Mes!$C$2:$C$145,Media_Cliente_Mes!$A$2:$A$145,$C$21,Media_Cliente_Mes!$B$2:$B$145,$A21),0)</f>
        <v>43330.53</v>
      </c>
      <c r="D22" s="8" t="n">
        <f aca="false">IFERROR(SUMIFS(Media_Cliente_Mes!$C$2:$C$145,Media_Cliente_Mes!$A$2:$A$145,$D$21,Media_Cliente_Mes!$B$2:$B$145,$A21),0)</f>
        <v>12278.31</v>
      </c>
      <c r="E22" s="8" t="n">
        <f aca="false">IFERROR(SUMIFS(Media_Cliente_Mes!$C$2:$C$145,Media_Cliente_Mes!$A$2:$A$145,$E$21,Media_Cliente_Mes!$B$2:$B$145,$A21),0)</f>
        <v>60137.37</v>
      </c>
      <c r="F22" s="8" t="n">
        <f aca="false">IFERROR(SUMIFS(Media_Cliente_Mes!$C$2:$C$145,Media_Cliente_Mes!$A$2:$A$145,$F$21,Media_Cliente_Mes!$B$2:$B$145,$A21),0)</f>
        <v>66365.71</v>
      </c>
      <c r="G22" s="8" t="n">
        <f aca="false">IFERROR(SUMIFS(Media_Cliente_Mes!$C$2:$C$145,Media_Cliente_Mes!$A$2:$A$145,$G$21,Media_Cliente_Mes!$B$2:$B$145,$A21),0)</f>
        <v>58475.74</v>
      </c>
      <c r="H22" s="8" t="n">
        <f aca="false">IFERROR(SUMIFS(Media_Cliente_Mes!$C$2:$C$145,Media_Cliente_Mes!$A$2:$A$145,$H$21,Media_Cliente_Mes!$B$2:$B$145,$A21),0)</f>
        <v>141.56</v>
      </c>
      <c r="I22" s="8" t="n">
        <f aca="false">IFERROR(SUMIFS(Media_Cliente_Mes!$C$2:$C$145,Media_Cliente_Mes!$A$2:$A$145,$I$21,Media_Cliente_Mes!$B$2:$B$145,$A21),0)</f>
        <v>0</v>
      </c>
      <c r="J22" s="8" t="n">
        <f aca="false">IFERROR(SUMIFS(Media_Cliente_Mes!$C$2:$C$145,Media_Cliente_Mes!$A$2:$A$145,$J$21,Media_Cliente_Mes!$B$2:$B$145,$A21),0)</f>
        <v>0</v>
      </c>
      <c r="K22" s="8" t="n">
        <f aca="false">IFERROR(SUMIFS(Media_Cliente_Mes!$C$2:$C$145,Media_Cliente_Mes!$A$2:$A$145,$K$21,Media_Cliente_Mes!$B$2:$B$145,$A21),0)</f>
        <v>0</v>
      </c>
      <c r="L22" s="8" t="n">
        <f aca="false">IFERROR(SUMIFS(Media_Cliente_Mes!$C$2:$C$145,Media_Cliente_Mes!$A$2:$A$145,$L$21,Media_Cliente_Mes!$B$2:$B$145,$A21),0)</f>
        <v>0</v>
      </c>
      <c r="M22" s="8" t="n">
        <f aca="false">IFERROR(SUMIFS(Media_Cliente_Mes!$C$2:$C$145,Media_Cliente_Mes!$A$2:$A$145,$M$21,Media_Cliente_Mes!$B$2:$B$145,$A21),0)</f>
        <v>0</v>
      </c>
      <c r="N22" s="9" t="n">
        <f aca="false">SUM(B22:M22)</f>
        <v>240729.22</v>
      </c>
    </row>
    <row r="23" customFormat="false" ht="15" hidden="false" customHeight="false" outlineLevel="0" collapsed="false">
      <c r="A23" s="7" t="s">
        <v>53</v>
      </c>
      <c r="B23" s="10" t="n">
        <f aca="false">IFERROR(SUMIFS(Media_Cliente_Mes!$D$2:$D$145,Media_Cliente_Mes!$A$2:$A$145,$B$21,Media_Cliente_Mes!$B$2:$B$145,$A21),0)</f>
        <v>0</v>
      </c>
      <c r="C23" s="10" t="n">
        <f aca="false">IFERROR(SUMIFS(Media_Cliente_Mes!$D$2:$D$145,Media_Cliente_Mes!$A$2:$A$145,$C$21,Media_Cliente_Mes!$B$2:$B$145,$A21),0)</f>
        <v>47.5729858462382</v>
      </c>
      <c r="D23" s="10" t="n">
        <f aca="false">IFERROR(SUMIFS(Media_Cliente_Mes!$D$2:$D$145,Media_Cliente_Mes!$A$2:$A$145,$D$21,Media_Cliente_Mes!$B$2:$B$145,$A21),0)</f>
        <v>48.0034353180527</v>
      </c>
      <c r="E23" s="10" t="n">
        <f aca="false">IFERROR(SUMIFS(Media_Cliente_Mes!$D$2:$D$145,Media_Cliente_Mes!$A$2:$A$145,$E$21,Media_Cliente_Mes!$B$2:$B$145,$A21),0)</f>
        <v>47.2270532748605</v>
      </c>
      <c r="F23" s="10" t="n">
        <f aca="false">IFERROR(SUMIFS(Media_Cliente_Mes!$D$2:$D$145,Media_Cliente_Mes!$A$2:$A$145,$F$21,Media_Cliente_Mes!$B$2:$B$145,$A21),0)</f>
        <v>47.3106617528841</v>
      </c>
      <c r="G23" s="10" t="n">
        <f aca="false">IFERROR(SUMIFS(Media_Cliente_Mes!$D$2:$D$145,Media_Cliente_Mes!$A$2:$A$145,$G$21,Media_Cliente_Mes!$B$2:$B$145,$A21),0)</f>
        <v>47.144728696037</v>
      </c>
      <c r="H23" s="10" t="n">
        <f aca="false">IFERROR(SUMIFS(Media_Cliente_Mes!$D$2:$D$145,Media_Cliente_Mes!$A$2:$A$145,$H$21,Media_Cliente_Mes!$B$2:$B$145,$A21),0)</f>
        <v>47.67</v>
      </c>
      <c r="I23" s="10" t="n">
        <f aca="false">IFERROR(SUMIFS(Media_Cliente_Mes!$D$2:$D$145,Media_Cliente_Mes!$A$2:$A$145,$I$21,Media_Cliente_Mes!$B$2:$B$145,$A21),0)</f>
        <v>0</v>
      </c>
      <c r="J23" s="10" t="n">
        <f aca="false">IFERROR(SUMIFS(Media_Cliente_Mes!$D$2:$D$145,Media_Cliente_Mes!$A$2:$A$145,$J$21,Media_Cliente_Mes!$B$2:$B$145,$A21),0)</f>
        <v>0</v>
      </c>
      <c r="K23" s="10" t="n">
        <f aca="false">IFERROR(SUMIFS(Media_Cliente_Mes!$D$2:$D$145,Media_Cliente_Mes!$A$2:$A$145,$K$21,Media_Cliente_Mes!$B$2:$B$145,$A21),0)</f>
        <v>0</v>
      </c>
      <c r="L23" s="10" t="n">
        <f aca="false">IFERROR(SUMIFS(Media_Cliente_Mes!$D$2:$D$145,Media_Cliente_Mes!$A$2:$A$145,$L$21,Media_Cliente_Mes!$B$2:$B$145,$A21),0)</f>
        <v>0</v>
      </c>
      <c r="M23" s="10" t="n">
        <f aca="false">IFERROR(SUMIFS(Media_Cliente_Mes!$D$2:$D$145,Media_Cliente_Mes!$A$2:$A$145,$M$21,Media_Cliente_Mes!$B$2:$B$145,$A21),0)</f>
        <v>0</v>
      </c>
      <c r="N23" s="11" t="n">
        <f aca="false">IFERROR(SUMPRODUCT(B22:M22,B23:M23)/SUM(B22:M22),0)</f>
        <v>47.332231823374</v>
      </c>
    </row>
    <row r="24" customFormat="false" ht="15" hidden="false" customHeight="false" outlineLevel="0" collapsed="false">
      <c r="A24" s="7" t="s">
        <v>54</v>
      </c>
      <c r="B24" s="10" t="n">
        <f aca="false">IFERROR(SUMIFS(Media_Cliente_Mes!$E$2:$E$145,Media_Cliente_Mes!$A$2:$A$145,$B$21,Media_Cliente_Mes!$B$2:$B$145,$A21),0)</f>
        <v>0</v>
      </c>
      <c r="C24" s="10" t="n">
        <f aca="false">IFERROR(SUMIFS(Media_Cliente_Mes!$E$2:$E$145,Media_Cliente_Mes!$A$2:$A$145,$C$21,Media_Cliente_Mes!$B$2:$B$145,$A21),0)</f>
        <v>11.6025461677944</v>
      </c>
      <c r="D24" s="10" t="n">
        <f aca="false">IFERROR(SUMIFS(Media_Cliente_Mes!$E$2:$E$145,Media_Cliente_Mes!$A$2:$A$145,$D$21,Media_Cliente_Mes!$B$2:$B$145,$A21),0)</f>
        <v>12.3977709554491</v>
      </c>
      <c r="E24" s="10" t="n">
        <f aca="false">IFERROR(SUMIFS(Media_Cliente_Mes!$E$2:$E$145,Media_Cliente_Mes!$A$2:$A$145,$E$21,Media_Cliente_Mes!$B$2:$B$145,$A21),0)</f>
        <v>12.1412336754999</v>
      </c>
      <c r="F24" s="10" t="n">
        <f aca="false">IFERROR(SUMIFS(Media_Cliente_Mes!$E$2:$E$145,Media_Cliente_Mes!$A$2:$A$145,$F$21,Media_Cliente_Mes!$B$2:$B$145,$A21),0)</f>
        <v>12.365805033955</v>
      </c>
      <c r="G24" s="10" t="n">
        <f aca="false">IFERROR(SUMIFS(Media_Cliente_Mes!$E$2:$E$145,Media_Cliente_Mes!$A$2:$A$145,$G$21,Media_Cliente_Mes!$B$2:$B$145,$A21),0)</f>
        <v>12.3664502578334</v>
      </c>
      <c r="H24" s="10" t="n">
        <f aca="false">IFERROR(SUMIFS(Media_Cliente_Mes!$E$2:$E$145,Media_Cliente_Mes!$A$2:$A$145,$H$21,Media_Cliente_Mes!$B$2:$B$145,$A21),0)</f>
        <v>12.33</v>
      </c>
      <c r="I24" s="10" t="n">
        <f aca="false">IFERROR(SUMIFS(Media_Cliente_Mes!$E$2:$E$145,Media_Cliente_Mes!$A$2:$A$145,$I$21,Media_Cliente_Mes!$B$2:$B$145,$A21),0)</f>
        <v>0</v>
      </c>
      <c r="J24" s="10" t="n">
        <f aca="false">IFERROR(SUMIFS(Media_Cliente_Mes!$E$2:$E$145,Media_Cliente_Mes!$A$2:$A$145,$J$21,Media_Cliente_Mes!$B$2:$B$145,$A21),0)</f>
        <v>0</v>
      </c>
      <c r="K24" s="10" t="n">
        <f aca="false">IFERROR(SUMIFS(Media_Cliente_Mes!$E$2:$E$145,Media_Cliente_Mes!$A$2:$A$145,$K$21,Media_Cliente_Mes!$B$2:$B$145,$A21),0)</f>
        <v>0</v>
      </c>
      <c r="L24" s="10" t="n">
        <f aca="false">IFERROR(SUMIFS(Media_Cliente_Mes!$E$2:$E$145,Media_Cliente_Mes!$A$2:$A$145,$L$21,Media_Cliente_Mes!$B$2:$B$145,$A21),0)</f>
        <v>0</v>
      </c>
      <c r="M24" s="10" t="n">
        <f aca="false">IFERROR(SUMIFS(Media_Cliente_Mes!$E$2:$E$145,Media_Cliente_Mes!$A$2:$A$145,$M$21,Media_Cliente_Mes!$B$2:$B$145,$A21),0)</f>
        <v>0</v>
      </c>
      <c r="N24" s="11" t="n">
        <f aca="false">IFERROR(SUMPRODUCT(B22:M22,B24:M24)/SUM(B22:M22),0)</f>
        <v>12.1740859181947</v>
      </c>
    </row>
    <row r="25" customFormat="false" ht="15" hidden="false" customHeight="false" outlineLevel="0" collapsed="false">
      <c r="A25" s="7" t="s">
        <v>55</v>
      </c>
      <c r="B25" s="10" t="n">
        <f aca="false">IFERROR(SUMIFS(Media_Cliente_Mes!$F$2:$F$145,Media_Cliente_Mes!$A$2:$A$145,$B$21,Media_Cliente_Mes!$B$2:$B$145,$A21),0)</f>
        <v>0</v>
      </c>
      <c r="C25" s="10" t="n">
        <f aca="false">IFERROR(SUMIFS(Media_Cliente_Mes!$F$2:$F$145,Media_Cliente_Mes!$A$2:$A$145,$C$21,Media_Cliente_Mes!$B$2:$B$145,$A21),0)</f>
        <v>3.6616401161029</v>
      </c>
      <c r="D25" s="10" t="n">
        <f aca="false">IFERROR(SUMIFS(Media_Cliente_Mes!$F$2:$F$145,Media_Cliente_Mes!$A$2:$A$145,$D$21,Media_Cliente_Mes!$B$2:$B$145,$A21),0)</f>
        <v>3.54249561218116</v>
      </c>
      <c r="E25" s="10" t="n">
        <f aca="false">IFERROR(SUMIFS(Media_Cliente_Mes!$F$2:$F$145,Media_Cliente_Mes!$A$2:$A$145,$E$21,Media_Cliente_Mes!$B$2:$B$145,$A21),0)</f>
        <v>3.73296846037663</v>
      </c>
      <c r="F25" s="10" t="n">
        <f aca="false">IFERROR(SUMIFS(Media_Cliente_Mes!$F$2:$F$145,Media_Cliente_Mes!$A$2:$A$145,$F$21,Media_Cliente_Mes!$B$2:$B$145,$A21),0)</f>
        <v>3.72221019107608</v>
      </c>
      <c r="G25" s="10" t="n">
        <f aca="false">IFERROR(SUMIFS(Media_Cliente_Mes!$F$2:$F$145,Media_Cliente_Mes!$A$2:$A$145,$G$21,Media_Cliente_Mes!$B$2:$B$145,$A21),0)</f>
        <v>3.72735838999216</v>
      </c>
      <c r="H25" s="10" t="n">
        <f aca="false">IFERROR(SUMIFS(Media_Cliente_Mes!$F$2:$F$145,Media_Cliente_Mes!$A$2:$A$145,$H$21,Media_Cliente_Mes!$B$2:$B$145,$A21),0)</f>
        <v>3.52</v>
      </c>
      <c r="I25" s="10" t="n">
        <f aca="false">IFERROR(SUMIFS(Media_Cliente_Mes!$F$2:$F$145,Media_Cliente_Mes!$A$2:$A$145,$I$21,Media_Cliente_Mes!$B$2:$B$145,$A21),0)</f>
        <v>0</v>
      </c>
      <c r="J25" s="10" t="n">
        <f aca="false">IFERROR(SUMIFS(Media_Cliente_Mes!$F$2:$F$145,Media_Cliente_Mes!$A$2:$A$145,$J$21,Media_Cliente_Mes!$B$2:$B$145,$A21),0)</f>
        <v>0</v>
      </c>
      <c r="K25" s="10" t="n">
        <f aca="false">IFERROR(SUMIFS(Media_Cliente_Mes!$F$2:$F$145,Media_Cliente_Mes!$A$2:$A$145,$K$21,Media_Cliente_Mes!$B$2:$B$145,$A21),0)</f>
        <v>0</v>
      </c>
      <c r="L25" s="10" t="n">
        <f aca="false">IFERROR(SUMIFS(Media_Cliente_Mes!$F$2:$F$145,Media_Cliente_Mes!$A$2:$A$145,$L$21,Media_Cliente_Mes!$B$2:$B$145,$A21),0)</f>
        <v>0</v>
      </c>
      <c r="M25" s="10" t="n">
        <f aca="false">IFERROR(SUMIFS(Media_Cliente_Mes!$F$2:$F$145,Media_Cliente_Mes!$A$2:$A$145,$M$21,Media_Cliente_Mes!$B$2:$B$145,$A21),0)</f>
        <v>0</v>
      </c>
      <c r="N25" s="11" t="n">
        <f aca="false">IFERROR(SUMPRODUCT(B22:M22,B25:M25)/SUM(B22:M22),0)</f>
        <v>3.70596068520473</v>
      </c>
    </row>
    <row r="26" customFormat="false" ht="15" hidden="false" customHeight="false" outlineLevel="0" collapsed="false">
      <c r="A26" s="7" t="s">
        <v>56</v>
      </c>
      <c r="B26" s="10" t="n">
        <f aca="false">IFERROR(SUMIFS(Media_Cliente_Mes!$G$2:$G$145,Media_Cliente_Mes!$A$2:$A$145,$B$21,Media_Cliente_Mes!$B$2:$B$145,$A21),0)</f>
        <v>0</v>
      </c>
      <c r="C26" s="10" t="n">
        <f aca="false">IFERROR(SUMIFS(Media_Cliente_Mes!$G$2:$G$145,Media_Cliente_Mes!$A$2:$A$145,$C$21,Media_Cliente_Mes!$B$2:$B$145,$A21),0)</f>
        <v>1.25338768992671</v>
      </c>
      <c r="D26" s="10" t="n">
        <f aca="false">IFERROR(SUMIFS(Media_Cliente_Mes!$G$2:$G$145,Media_Cliente_Mes!$A$2:$A$145,$D$21,Media_Cliente_Mes!$B$2:$B$145,$A21),0)</f>
        <v>1.38639728105904</v>
      </c>
      <c r="E26" s="10" t="n">
        <f aca="false">IFERROR(SUMIFS(Media_Cliente_Mes!$G$2:$G$145,Media_Cliente_Mes!$A$2:$A$145,$E$21,Media_Cliente_Mes!$B$2:$B$145,$A21),0)</f>
        <v>1.52968446741186</v>
      </c>
      <c r="F26" s="10" t="n">
        <f aca="false">IFERROR(SUMIFS(Media_Cliente_Mes!$G$2:$G$145,Media_Cliente_Mes!$A$2:$A$145,$F$21,Media_Cliente_Mes!$B$2:$B$145,$A21),0)</f>
        <v>1.54120652367013</v>
      </c>
      <c r="G26" s="10" t="n">
        <f aca="false">IFERROR(SUMIFS(Media_Cliente_Mes!$G$2:$G$145,Media_Cliente_Mes!$A$2:$A$145,$G$21,Media_Cliente_Mes!$B$2:$B$145,$A21),0)</f>
        <v>1.60726033565373</v>
      </c>
      <c r="H26" s="10" t="n">
        <f aca="false">IFERROR(SUMIFS(Media_Cliente_Mes!$G$2:$G$145,Media_Cliente_Mes!$A$2:$A$145,$H$21,Media_Cliente_Mes!$B$2:$B$145,$A21),0)</f>
        <v>1.23</v>
      </c>
      <c r="I26" s="10" t="n">
        <f aca="false">IFERROR(SUMIFS(Media_Cliente_Mes!$G$2:$G$145,Media_Cliente_Mes!$A$2:$A$145,$I$21,Media_Cliente_Mes!$B$2:$B$145,$A21),0)</f>
        <v>0</v>
      </c>
      <c r="J26" s="10" t="n">
        <f aca="false">IFERROR(SUMIFS(Media_Cliente_Mes!$G$2:$G$145,Media_Cliente_Mes!$A$2:$A$145,$J$21,Media_Cliente_Mes!$B$2:$B$145,$A21),0)</f>
        <v>0</v>
      </c>
      <c r="K26" s="10" t="n">
        <f aca="false">IFERROR(SUMIFS(Media_Cliente_Mes!$G$2:$G$145,Media_Cliente_Mes!$A$2:$A$145,$K$21,Media_Cliente_Mes!$B$2:$B$145,$A21),0)</f>
        <v>0</v>
      </c>
      <c r="L26" s="10" t="n">
        <f aca="false">IFERROR(SUMIFS(Media_Cliente_Mes!$G$2:$G$145,Media_Cliente_Mes!$A$2:$A$145,$L$21,Media_Cliente_Mes!$B$2:$B$145,$A21),0)</f>
        <v>0</v>
      </c>
      <c r="M26" s="10" t="n">
        <f aca="false">IFERROR(SUMIFS(Media_Cliente_Mes!$G$2:$G$145,Media_Cliente_Mes!$A$2:$A$145,$M$21,Media_Cliente_Mes!$B$2:$B$145,$A21),0)</f>
        <v>0</v>
      </c>
      <c r="N26" s="11" t="n">
        <f aca="false">IFERROR(SUMPRODUCT(B22:M22,B26:M26)/SUM(B22:M22),0)</f>
        <v>1.49448783492091</v>
      </c>
    </row>
    <row r="27" customFormat="false" ht="15" hidden="false" customHeight="false" outlineLevel="0" collapsed="false">
      <c r="A27" s="7" t="s">
        <v>57</v>
      </c>
      <c r="B27" s="8" t="n">
        <f aca="false">IFERROR(SUMIFS(Media_Cliente_Mes!$H$2:$H$145,Media_Cliente_Mes!$A$2:$A$145,$B$21,Media_Cliente_Mes!$B$2:$B$145,$A21),0)</f>
        <v>0</v>
      </c>
      <c r="C27" s="8" t="n">
        <f aca="false">IFERROR(SUMIFS(Media_Cliente_Mes!$H$2:$H$145,Media_Cliente_Mes!$A$2:$A$145,$C$21,Media_Cliente_Mes!$B$2:$B$145,$A21),0)</f>
        <v>43330.53</v>
      </c>
      <c r="D27" s="8" t="n">
        <f aca="false">IFERROR(SUMIFS(Media_Cliente_Mes!$H$2:$H$145,Media_Cliente_Mes!$A$2:$A$145,$D$21,Media_Cliente_Mes!$B$2:$B$145,$A21),0)</f>
        <v>7362.99</v>
      </c>
      <c r="E27" s="8" t="n">
        <f aca="false">IFERROR(SUMIFS(Media_Cliente_Mes!$H$2:$H$145,Media_Cliente_Mes!$A$2:$A$145,$E$21,Media_Cliente_Mes!$B$2:$B$145,$A21),0)</f>
        <v>22201.52</v>
      </c>
      <c r="F27" s="8" t="n">
        <f aca="false">IFERROR(SUMIFS(Media_Cliente_Mes!$H$2:$H$145,Media_Cliente_Mes!$A$2:$A$145,$F$21,Media_Cliente_Mes!$B$2:$B$145,$A21),0)</f>
        <v>0</v>
      </c>
      <c r="G27" s="8" t="n">
        <f aca="false">IFERROR(SUMIFS(Media_Cliente_Mes!$H$2:$H$145,Media_Cliente_Mes!$A$2:$A$145,$G$21,Media_Cliente_Mes!$B$2:$B$145,$A21),0)</f>
        <v>1340.51</v>
      </c>
      <c r="H27" s="8" t="n">
        <f aca="false">IFERROR(SUMIFS(Media_Cliente_Mes!$H$2:$H$145,Media_Cliente_Mes!$A$2:$A$145,$H$21,Media_Cliente_Mes!$B$2:$B$145,$A21),0)</f>
        <v>0</v>
      </c>
      <c r="I27" s="8" t="n">
        <f aca="false">IFERROR(SUMIFS(Media_Cliente_Mes!$H$2:$H$145,Media_Cliente_Mes!$A$2:$A$145,$I$21,Media_Cliente_Mes!$B$2:$B$145,$A21),0)</f>
        <v>0</v>
      </c>
      <c r="J27" s="8" t="n">
        <f aca="false">IFERROR(SUMIFS(Media_Cliente_Mes!$H$2:$H$145,Media_Cliente_Mes!$A$2:$A$145,$J$21,Media_Cliente_Mes!$B$2:$B$145,$A21),0)</f>
        <v>0</v>
      </c>
      <c r="K27" s="8" t="n">
        <f aca="false">IFERROR(SUMIFS(Media_Cliente_Mes!$H$2:$H$145,Media_Cliente_Mes!$A$2:$A$145,$K$21,Media_Cliente_Mes!$B$2:$B$145,$A21),0)</f>
        <v>0</v>
      </c>
      <c r="L27" s="8" t="n">
        <f aca="false">IFERROR(SUMIFS(Media_Cliente_Mes!$H$2:$H$145,Media_Cliente_Mes!$A$2:$A$145,$L$21,Media_Cliente_Mes!$B$2:$B$145,$A21),0)</f>
        <v>0</v>
      </c>
      <c r="M27" s="8" t="n">
        <f aca="false">IFERROR(SUMIFS(Media_Cliente_Mes!$H$2:$H$145,Media_Cliente_Mes!$A$2:$A$145,$M$21,Media_Cliente_Mes!$B$2:$B$145,$A21),0)</f>
        <v>0</v>
      </c>
      <c r="N27" s="9" t="n">
        <f aca="false">SUM(B27:M27)</f>
        <v>74235.55</v>
      </c>
    </row>
    <row r="28" customFormat="false" ht="15" hidden="false" customHeight="false" outlineLevel="0" collapsed="false">
      <c r="A28" s="7" t="s">
        <v>58</v>
      </c>
      <c r="B28" s="8" t="n">
        <f aca="false">IFERROR(SUMIFS(Media_Cliente_Mes!$I$2:$I$145,Media_Cliente_Mes!$A$2:$A$145,$B$21,Media_Cliente_Mes!$B$2:$B$145,$A21),0)</f>
        <v>0</v>
      </c>
      <c r="C28" s="8" t="n">
        <f aca="false">IFERROR(SUMIFS(Media_Cliente_Mes!$I$2:$I$145,Media_Cliente_Mes!$A$2:$A$145,$C$21,Media_Cliente_Mes!$B$2:$B$145,$A21),0)</f>
        <v>0</v>
      </c>
      <c r="D28" s="8" t="n">
        <f aca="false">IFERROR(SUMIFS(Media_Cliente_Mes!$I$2:$I$145,Media_Cliente_Mes!$A$2:$A$145,$D$21,Media_Cliente_Mes!$B$2:$B$145,$A21),0)</f>
        <v>4915.32</v>
      </c>
      <c r="E28" s="8" t="n">
        <f aca="false">IFERROR(SUMIFS(Media_Cliente_Mes!$I$2:$I$145,Media_Cliente_Mes!$A$2:$A$145,$E$21,Media_Cliente_Mes!$B$2:$B$145,$A21),0)</f>
        <v>37935.85</v>
      </c>
      <c r="F28" s="8" t="n">
        <f aca="false">IFERROR(SUMIFS(Media_Cliente_Mes!$I$2:$I$145,Media_Cliente_Mes!$A$2:$A$145,$F$21,Media_Cliente_Mes!$B$2:$B$145,$A21),0)</f>
        <v>66365.71</v>
      </c>
      <c r="G28" s="8" t="n">
        <f aca="false">IFERROR(SUMIFS(Media_Cliente_Mes!$I$2:$I$145,Media_Cliente_Mes!$A$2:$A$145,$G$21,Media_Cliente_Mes!$B$2:$B$145,$A21),0)</f>
        <v>57135.23</v>
      </c>
      <c r="H28" s="8" t="n">
        <f aca="false">IFERROR(SUMIFS(Media_Cliente_Mes!$I$2:$I$145,Media_Cliente_Mes!$A$2:$A$145,$H$21,Media_Cliente_Mes!$B$2:$B$145,$A21),0)</f>
        <v>141.56</v>
      </c>
      <c r="I28" s="8" t="n">
        <f aca="false">IFERROR(SUMIFS(Media_Cliente_Mes!$I$2:$I$145,Media_Cliente_Mes!$A$2:$A$145,$I$21,Media_Cliente_Mes!$B$2:$B$145,$A21),0)</f>
        <v>0</v>
      </c>
      <c r="J28" s="8" t="n">
        <f aca="false">IFERROR(SUMIFS(Media_Cliente_Mes!$I$2:$I$145,Media_Cliente_Mes!$A$2:$A$145,$J$21,Media_Cliente_Mes!$B$2:$B$145,$A21),0)</f>
        <v>0</v>
      </c>
      <c r="K28" s="8" t="n">
        <f aca="false">IFERROR(SUMIFS(Media_Cliente_Mes!$I$2:$I$145,Media_Cliente_Mes!$A$2:$A$145,$K$21,Media_Cliente_Mes!$B$2:$B$145,$A21),0)</f>
        <v>0</v>
      </c>
      <c r="L28" s="8" t="n">
        <f aca="false">IFERROR(SUMIFS(Media_Cliente_Mes!$I$2:$I$145,Media_Cliente_Mes!$A$2:$A$145,$L$21,Media_Cliente_Mes!$B$2:$B$145,$A21),0)</f>
        <v>0</v>
      </c>
      <c r="M28" s="8" t="n">
        <f aca="false">IFERROR(SUMIFS(Media_Cliente_Mes!$I$2:$I$145,Media_Cliente_Mes!$A$2:$A$145,$M$21,Media_Cliente_Mes!$B$2:$B$145,$A21),0)</f>
        <v>0</v>
      </c>
      <c r="N28" s="9" t="n">
        <f aca="false">SUM(B28:M28)</f>
        <v>166493.67</v>
      </c>
    </row>
    <row r="30" customFormat="false" ht="15" hidden="false" customHeight="false" outlineLevel="0" collapsed="false">
      <c r="A30" s="5" t="s">
        <v>61</v>
      </c>
      <c r="B30" s="6" t="s">
        <v>39</v>
      </c>
      <c r="C30" s="6" t="s">
        <v>40</v>
      </c>
      <c r="D30" s="6" t="s">
        <v>41</v>
      </c>
      <c r="E30" s="6" t="s">
        <v>42</v>
      </c>
      <c r="F30" s="6" t="s">
        <v>43</v>
      </c>
      <c r="G30" s="6" t="s">
        <v>44</v>
      </c>
      <c r="H30" s="6" t="s">
        <v>45</v>
      </c>
      <c r="I30" s="6" t="s">
        <v>46</v>
      </c>
      <c r="J30" s="6" t="s">
        <v>47</v>
      </c>
      <c r="K30" s="6" t="s">
        <v>48</v>
      </c>
      <c r="L30" s="6" t="s">
        <v>49</v>
      </c>
      <c r="M30" s="6" t="s">
        <v>50</v>
      </c>
      <c r="N30" s="6" t="s">
        <v>51</v>
      </c>
    </row>
    <row r="31" customFormat="false" ht="15" hidden="false" customHeight="false" outlineLevel="0" collapsed="false">
      <c r="A31" s="7" t="s">
        <v>52</v>
      </c>
      <c r="B31" s="8" t="n">
        <f aca="false">IFERROR(SUMIFS(Media_Cliente_Mes!$C$2:$C$145,Media_Cliente_Mes!$A$2:$A$145,$B$30,Media_Cliente_Mes!$B$2:$B$145,$A30),0)</f>
        <v>16786.6</v>
      </c>
      <c r="C31" s="8" t="n">
        <f aca="false">IFERROR(SUMIFS(Media_Cliente_Mes!$C$2:$C$145,Media_Cliente_Mes!$A$2:$A$145,$C$30,Media_Cliente_Mes!$B$2:$B$145,$A30),0)</f>
        <v>53319.92</v>
      </c>
      <c r="D31" s="8" t="n">
        <f aca="false">IFERROR(SUMIFS(Media_Cliente_Mes!$C$2:$C$145,Media_Cliente_Mes!$A$2:$A$145,$D$30,Media_Cliente_Mes!$B$2:$B$145,$A30),0)</f>
        <v>42872.69</v>
      </c>
      <c r="E31" s="8" t="n">
        <f aca="false">IFERROR(SUMIFS(Media_Cliente_Mes!$C$2:$C$145,Media_Cliente_Mes!$A$2:$A$145,$E$30,Media_Cliente_Mes!$B$2:$B$145,$A30),0)</f>
        <v>53714.89</v>
      </c>
      <c r="F31" s="8" t="n">
        <f aca="false">IFERROR(SUMIFS(Media_Cliente_Mes!$C$2:$C$145,Media_Cliente_Mes!$A$2:$A$145,$F$30,Media_Cliente_Mes!$B$2:$B$145,$A30),0)</f>
        <v>92764.41</v>
      </c>
      <c r="G31" s="8" t="n">
        <f aca="false">IFERROR(SUMIFS(Media_Cliente_Mes!$C$2:$C$145,Media_Cliente_Mes!$A$2:$A$145,$G$30,Media_Cliente_Mes!$B$2:$B$145,$A30),0)</f>
        <v>88798.66</v>
      </c>
      <c r="H31" s="8" t="n">
        <f aca="false">IFERROR(SUMIFS(Media_Cliente_Mes!$C$2:$C$145,Media_Cliente_Mes!$A$2:$A$145,$H$30,Media_Cliente_Mes!$B$2:$B$145,$A30),0)</f>
        <v>10176.79</v>
      </c>
      <c r="I31" s="8" t="n">
        <f aca="false">IFERROR(SUMIFS(Media_Cliente_Mes!$C$2:$C$145,Media_Cliente_Mes!$A$2:$A$145,$I$30,Media_Cliente_Mes!$B$2:$B$145,$A30),0)</f>
        <v>0</v>
      </c>
      <c r="J31" s="8" t="n">
        <f aca="false">IFERROR(SUMIFS(Media_Cliente_Mes!$C$2:$C$145,Media_Cliente_Mes!$A$2:$A$145,$J$30,Media_Cliente_Mes!$B$2:$B$145,$A30),0)</f>
        <v>0</v>
      </c>
      <c r="K31" s="8" t="n">
        <f aca="false">IFERROR(SUMIFS(Media_Cliente_Mes!$C$2:$C$145,Media_Cliente_Mes!$A$2:$A$145,$K$30,Media_Cliente_Mes!$B$2:$B$145,$A30),0)</f>
        <v>0</v>
      </c>
      <c r="L31" s="8" t="n">
        <f aca="false">IFERROR(SUMIFS(Media_Cliente_Mes!$C$2:$C$145,Media_Cliente_Mes!$A$2:$A$145,$L$30,Media_Cliente_Mes!$B$2:$B$145,$A30),0)</f>
        <v>0</v>
      </c>
      <c r="M31" s="8" t="n">
        <f aca="false">IFERROR(SUMIFS(Media_Cliente_Mes!$C$2:$C$145,Media_Cliente_Mes!$A$2:$A$145,$M$30,Media_Cliente_Mes!$B$2:$B$145,$A30),0)</f>
        <v>0</v>
      </c>
      <c r="N31" s="9" t="n">
        <f aca="false">SUM(B31:M31)</f>
        <v>358433.96</v>
      </c>
    </row>
    <row r="32" customFormat="false" ht="15" hidden="false" customHeight="false" outlineLevel="0" collapsed="false">
      <c r="A32" s="7" t="s">
        <v>53</v>
      </c>
      <c r="B32" s="10" t="n">
        <f aca="false">IFERROR(SUMIFS(Media_Cliente_Mes!$D$2:$D$145,Media_Cliente_Mes!$A$2:$A$145,$B$30,Media_Cliente_Mes!$B$2:$B$145,$A30),0)</f>
        <v>47.3792490438802</v>
      </c>
      <c r="C32" s="10" t="n">
        <f aca="false">IFERROR(SUMIFS(Media_Cliente_Mes!$D$2:$D$145,Media_Cliente_Mes!$A$2:$A$145,$C$30,Media_Cliente_Mes!$B$2:$B$145,$A30),0)</f>
        <v>47.8448746115898</v>
      </c>
      <c r="D32" s="10" t="n">
        <f aca="false">IFERROR(SUMIFS(Media_Cliente_Mes!$D$2:$D$145,Media_Cliente_Mes!$A$2:$A$145,$D$30,Media_Cliente_Mes!$B$2:$B$145,$A30),0)</f>
        <v>47.5376382051138</v>
      </c>
      <c r="E32" s="10" t="n">
        <f aca="false">IFERROR(SUMIFS(Media_Cliente_Mes!$D$2:$D$145,Media_Cliente_Mes!$A$2:$A$145,$E$30,Media_Cliente_Mes!$B$2:$B$145,$A30),0)</f>
        <v>47.5865365357725</v>
      </c>
      <c r="F32" s="10" t="n">
        <f aca="false">IFERROR(SUMIFS(Media_Cliente_Mes!$D$2:$D$145,Media_Cliente_Mes!$A$2:$A$145,$F$30,Media_Cliente_Mes!$B$2:$B$145,$A30),0)</f>
        <v>47.3172978624022</v>
      </c>
      <c r="G32" s="10" t="n">
        <f aca="false">IFERROR(SUMIFS(Media_Cliente_Mes!$D$2:$D$145,Media_Cliente_Mes!$A$2:$A$145,$G$30,Media_Cliente_Mes!$B$2:$B$145,$A30),0)</f>
        <v>47.6019370855371</v>
      </c>
      <c r="H32" s="10" t="n">
        <f aca="false">IFERROR(SUMIFS(Media_Cliente_Mes!$D$2:$D$145,Media_Cliente_Mes!$A$2:$A$145,$H$30,Media_Cliente_Mes!$B$2:$B$145,$A30),0)</f>
        <v>47.4442792275364</v>
      </c>
      <c r="I32" s="10" t="n">
        <f aca="false">IFERROR(SUMIFS(Media_Cliente_Mes!$D$2:$D$145,Media_Cliente_Mes!$A$2:$A$145,$I$30,Media_Cliente_Mes!$B$2:$B$145,$A30),0)</f>
        <v>0</v>
      </c>
      <c r="J32" s="10" t="n">
        <f aca="false">IFERROR(SUMIFS(Media_Cliente_Mes!$D$2:$D$145,Media_Cliente_Mes!$A$2:$A$145,$J$30,Media_Cliente_Mes!$B$2:$B$145,$A30),0)</f>
        <v>0</v>
      </c>
      <c r="K32" s="10" t="n">
        <f aca="false">IFERROR(SUMIFS(Media_Cliente_Mes!$D$2:$D$145,Media_Cliente_Mes!$A$2:$A$145,$K$30,Media_Cliente_Mes!$B$2:$B$145,$A30),0)</f>
        <v>0</v>
      </c>
      <c r="L32" s="10" t="n">
        <f aca="false">IFERROR(SUMIFS(Media_Cliente_Mes!$D$2:$D$145,Media_Cliente_Mes!$A$2:$A$145,$L$30,Media_Cliente_Mes!$B$2:$B$145,$A30),0)</f>
        <v>0</v>
      </c>
      <c r="M32" s="10" t="n">
        <f aca="false">IFERROR(SUMIFS(Media_Cliente_Mes!$D$2:$D$145,Media_Cliente_Mes!$A$2:$A$145,$M$30,Media_Cliente_Mes!$B$2:$B$145,$A30),0)</f>
        <v>0</v>
      </c>
      <c r="N32" s="11" t="n">
        <f aca="false">IFERROR(SUMPRODUCT(B31:M31,B32:M32)/SUM(B31:M31),0)</f>
        <v>47.5395057496784</v>
      </c>
    </row>
    <row r="33" customFormat="false" ht="15" hidden="false" customHeight="false" outlineLevel="0" collapsed="false">
      <c r="A33" s="7" t="s">
        <v>54</v>
      </c>
      <c r="B33" s="10" t="n">
        <f aca="false">IFERROR(SUMIFS(Media_Cliente_Mes!$E$2:$E$145,Media_Cliente_Mes!$A$2:$A$145,$B$30,Media_Cliente_Mes!$B$2:$B$145,$A30),0)</f>
        <v>12.2752566928383</v>
      </c>
      <c r="C33" s="10" t="n">
        <f aca="false">IFERROR(SUMIFS(Media_Cliente_Mes!$E$2:$E$145,Media_Cliente_Mes!$A$2:$A$145,$C$30,Media_Cliente_Mes!$B$2:$B$145,$A30),0)</f>
        <v>11.6439859493413</v>
      </c>
      <c r="D33" s="10" t="n">
        <f aca="false">IFERROR(SUMIFS(Media_Cliente_Mes!$E$2:$E$145,Media_Cliente_Mes!$A$2:$A$145,$D$30,Media_Cliente_Mes!$B$2:$B$145,$A30),0)</f>
        <v>13.0024262764944</v>
      </c>
      <c r="E33" s="10" t="n">
        <f aca="false">IFERROR(SUMIFS(Media_Cliente_Mes!$E$2:$E$145,Media_Cliente_Mes!$A$2:$A$145,$E$30,Media_Cliente_Mes!$B$2:$B$145,$A30),0)</f>
        <v>12.2551331185822</v>
      </c>
      <c r="F33" s="10" t="n">
        <f aca="false">IFERROR(SUMIFS(Media_Cliente_Mes!$E$2:$E$145,Media_Cliente_Mes!$A$2:$A$145,$F$30,Media_Cliente_Mes!$B$2:$B$145,$A30),0)</f>
        <v>12.4482291732357</v>
      </c>
      <c r="G33" s="10" t="n">
        <f aca="false">IFERROR(SUMIFS(Media_Cliente_Mes!$E$2:$E$145,Media_Cliente_Mes!$A$2:$A$145,$G$30,Media_Cliente_Mes!$B$2:$B$145,$A30),0)</f>
        <v>12.4580976098063</v>
      </c>
      <c r="H33" s="10" t="n">
        <f aca="false">IFERROR(SUMIFS(Media_Cliente_Mes!$E$2:$E$145,Media_Cliente_Mes!$A$2:$A$145,$H$30,Media_Cliente_Mes!$B$2:$B$145,$A30),0)</f>
        <v>12.4597512083869</v>
      </c>
      <c r="I33" s="10" t="n">
        <f aca="false">IFERROR(SUMIFS(Media_Cliente_Mes!$E$2:$E$145,Media_Cliente_Mes!$A$2:$A$145,$I$30,Media_Cliente_Mes!$B$2:$B$145,$A30),0)</f>
        <v>0</v>
      </c>
      <c r="J33" s="10" t="n">
        <f aca="false">IFERROR(SUMIFS(Media_Cliente_Mes!$E$2:$E$145,Media_Cliente_Mes!$A$2:$A$145,$J$30,Media_Cliente_Mes!$B$2:$B$145,$A30),0)</f>
        <v>0</v>
      </c>
      <c r="K33" s="10" t="n">
        <f aca="false">IFERROR(SUMIFS(Media_Cliente_Mes!$E$2:$E$145,Media_Cliente_Mes!$A$2:$A$145,$K$30,Media_Cliente_Mes!$B$2:$B$145,$A30),0)</f>
        <v>0</v>
      </c>
      <c r="L33" s="10" t="n">
        <f aca="false">IFERROR(SUMIFS(Media_Cliente_Mes!$E$2:$E$145,Media_Cliente_Mes!$A$2:$A$145,$L$30,Media_Cliente_Mes!$B$2:$B$145,$A30),0)</f>
        <v>0</v>
      </c>
      <c r="M33" s="10" t="n">
        <f aca="false">IFERROR(SUMIFS(Media_Cliente_Mes!$E$2:$E$145,Media_Cliente_Mes!$A$2:$A$145,$M$30,Media_Cliente_Mes!$B$2:$B$145,$A30),0)</f>
        <v>0</v>
      </c>
      <c r="N33" s="11" t="n">
        <f aca="false">IFERROR(SUMPRODUCT(B31:M31,B33:M33)/SUM(B31:M31),0)</f>
        <v>12.3606134360148</v>
      </c>
    </row>
    <row r="34" customFormat="false" ht="15" hidden="false" customHeight="false" outlineLevel="0" collapsed="false">
      <c r="A34" s="7" t="s">
        <v>55</v>
      </c>
      <c r="B34" s="10" t="n">
        <f aca="false">IFERROR(SUMIFS(Media_Cliente_Mes!$F$2:$F$145,Media_Cliente_Mes!$A$2:$A$145,$B$30,Media_Cliente_Mes!$B$2:$B$145,$A30),0)</f>
        <v>3.75</v>
      </c>
      <c r="C34" s="10" t="n">
        <f aca="false">IFERROR(SUMIFS(Media_Cliente_Mes!$F$2:$F$145,Media_Cliente_Mes!$A$2:$A$145,$C$30,Media_Cliente_Mes!$B$2:$B$145,$A30),0)</f>
        <v>3.5823332011751</v>
      </c>
      <c r="D34" s="10" t="n">
        <f aca="false">IFERROR(SUMIFS(Media_Cliente_Mes!$F$2:$F$145,Media_Cliente_Mes!$A$2:$A$145,$D$30,Media_Cliente_Mes!$B$2:$B$145,$A30),0)</f>
        <v>3.60550451114684</v>
      </c>
      <c r="E34" s="10" t="n">
        <f aca="false">IFERROR(SUMIFS(Media_Cliente_Mes!$F$2:$F$145,Media_Cliente_Mes!$A$2:$A$145,$E$30,Media_Cliente_Mes!$B$2:$B$145,$A30),0)</f>
        <v>3.65791646785463</v>
      </c>
      <c r="F34" s="10" t="n">
        <f aca="false">IFERROR(SUMIFS(Media_Cliente_Mes!$F$2:$F$145,Media_Cliente_Mes!$A$2:$A$145,$F$30,Media_Cliente_Mes!$B$2:$B$145,$A30),0)</f>
        <v>3.76102840626055</v>
      </c>
      <c r="G34" s="10" t="n">
        <f aca="false">IFERROR(SUMIFS(Media_Cliente_Mes!$F$2:$F$145,Media_Cliente_Mes!$A$2:$A$145,$G$30,Media_Cliente_Mes!$B$2:$B$145,$A30),0)</f>
        <v>3.61371181614678</v>
      </c>
      <c r="H34" s="10" t="n">
        <f aca="false">IFERROR(SUMIFS(Media_Cliente_Mes!$F$2:$F$145,Media_Cliente_Mes!$A$2:$A$145,$H$30,Media_Cliente_Mes!$B$2:$B$145,$A30),0)</f>
        <v>3.69685069653594</v>
      </c>
      <c r="I34" s="10" t="n">
        <f aca="false">IFERROR(SUMIFS(Media_Cliente_Mes!$F$2:$F$145,Media_Cliente_Mes!$A$2:$A$145,$I$30,Media_Cliente_Mes!$B$2:$B$145,$A30),0)</f>
        <v>0</v>
      </c>
      <c r="J34" s="10" t="n">
        <f aca="false">IFERROR(SUMIFS(Media_Cliente_Mes!$F$2:$F$145,Media_Cliente_Mes!$A$2:$A$145,$J$30,Media_Cliente_Mes!$B$2:$B$145,$A30),0)</f>
        <v>0</v>
      </c>
      <c r="K34" s="10" t="n">
        <f aca="false">IFERROR(SUMIFS(Media_Cliente_Mes!$F$2:$F$145,Media_Cliente_Mes!$A$2:$A$145,$K$30,Media_Cliente_Mes!$B$2:$B$145,$A30),0)</f>
        <v>0</v>
      </c>
      <c r="L34" s="10" t="n">
        <f aca="false">IFERROR(SUMIFS(Media_Cliente_Mes!$F$2:$F$145,Media_Cliente_Mes!$A$2:$A$145,$L$30,Media_Cliente_Mes!$B$2:$B$145,$A30),0)</f>
        <v>0</v>
      </c>
      <c r="M34" s="10" t="n">
        <f aca="false">IFERROR(SUMIFS(Media_Cliente_Mes!$F$2:$F$145,Media_Cliente_Mes!$A$2:$A$145,$M$30,Media_Cliente_Mes!$B$2:$B$145,$A30),0)</f>
        <v>0</v>
      </c>
      <c r="N34" s="11" t="n">
        <f aca="false">IFERROR(SUMPRODUCT(B31:M31,B34:M34)/SUM(B31:M31),0)</f>
        <v>3.66155636815217</v>
      </c>
    </row>
    <row r="35" customFormat="false" ht="15" hidden="false" customHeight="false" outlineLevel="0" collapsed="false">
      <c r="A35" s="7" t="s">
        <v>56</v>
      </c>
      <c r="B35" s="10" t="n">
        <f aca="false">IFERROR(SUMIFS(Media_Cliente_Mes!$G$2:$G$145,Media_Cliente_Mes!$A$2:$A$145,$B$30,Media_Cliente_Mes!$B$2:$B$145,$A30),0)</f>
        <v>1.63824776905389</v>
      </c>
      <c r="C35" s="10" t="n">
        <f aca="false">IFERROR(SUMIFS(Media_Cliente_Mes!$G$2:$G$145,Media_Cliente_Mes!$A$2:$A$145,$C$30,Media_Cliente_Mes!$B$2:$B$145,$A30),0)</f>
        <v>1.36257957438796</v>
      </c>
      <c r="D35" s="10" t="n">
        <f aca="false">IFERROR(SUMIFS(Media_Cliente_Mes!$G$2:$G$145,Media_Cliente_Mes!$A$2:$A$145,$D$30,Media_Cliente_Mes!$B$2:$B$145,$A30),0)</f>
        <v>1.29211321472947</v>
      </c>
      <c r="E35" s="10" t="n">
        <f aca="false">IFERROR(SUMIFS(Media_Cliente_Mes!$G$2:$G$145,Media_Cliente_Mes!$A$2:$A$145,$E$30,Media_Cliente_Mes!$B$2:$B$145,$A30),0)</f>
        <v>1.70305808314976</v>
      </c>
      <c r="F35" s="10" t="n">
        <f aca="false">IFERROR(SUMIFS(Media_Cliente_Mes!$G$2:$G$145,Media_Cliente_Mes!$A$2:$A$145,$F$30,Media_Cliente_Mes!$B$2:$B$145,$A30),0)</f>
        <v>1.51240147810998</v>
      </c>
      <c r="G35" s="10" t="n">
        <f aca="false">IFERROR(SUMIFS(Media_Cliente_Mes!$G$2:$G$145,Media_Cliente_Mes!$A$2:$A$145,$G$30,Media_Cliente_Mes!$B$2:$B$145,$A30),0)</f>
        <v>1.63347967863479</v>
      </c>
      <c r="H35" s="10" t="n">
        <f aca="false">IFERROR(SUMIFS(Media_Cliente_Mes!$G$2:$G$145,Media_Cliente_Mes!$A$2:$A$145,$H$30,Media_Cliente_Mes!$B$2:$B$145,$A30),0)</f>
        <v>1.84278681195151</v>
      </c>
      <c r="I35" s="10" t="n">
        <f aca="false">IFERROR(SUMIFS(Media_Cliente_Mes!$G$2:$G$145,Media_Cliente_Mes!$A$2:$A$145,$I$30,Media_Cliente_Mes!$B$2:$B$145,$A30),0)</f>
        <v>0</v>
      </c>
      <c r="J35" s="10" t="n">
        <f aca="false">IFERROR(SUMIFS(Media_Cliente_Mes!$G$2:$G$145,Media_Cliente_Mes!$A$2:$A$145,$J$30,Media_Cliente_Mes!$B$2:$B$145,$A30),0)</f>
        <v>0</v>
      </c>
      <c r="K35" s="10" t="n">
        <f aca="false">IFERROR(SUMIFS(Media_Cliente_Mes!$G$2:$G$145,Media_Cliente_Mes!$A$2:$A$145,$K$30,Media_Cliente_Mes!$B$2:$B$145,$A30),0)</f>
        <v>0</v>
      </c>
      <c r="L35" s="10" t="n">
        <f aca="false">IFERROR(SUMIFS(Media_Cliente_Mes!$G$2:$G$145,Media_Cliente_Mes!$A$2:$A$145,$L$30,Media_Cliente_Mes!$B$2:$B$145,$A30),0)</f>
        <v>0</v>
      </c>
      <c r="M35" s="10" t="n">
        <f aca="false">IFERROR(SUMIFS(Media_Cliente_Mes!$G$2:$G$145,Media_Cliente_Mes!$A$2:$A$145,$M$30,Media_Cliente_Mes!$B$2:$B$145,$A30),0)</f>
        <v>0</v>
      </c>
      <c r="N35" s="11" t="n">
        <f aca="false">IFERROR(SUMPRODUCT(B31:M31,B35:M35)/SUM(B31:M31),0)</f>
        <v>1.53760732548891</v>
      </c>
    </row>
    <row r="36" customFormat="false" ht="15" hidden="false" customHeight="false" outlineLevel="0" collapsed="false">
      <c r="A36" s="7" t="s">
        <v>57</v>
      </c>
      <c r="B36" s="8" t="n">
        <f aca="false">IFERROR(SUMIFS(Media_Cliente_Mes!$H$2:$H$145,Media_Cliente_Mes!$A$2:$A$145,$B$30,Media_Cliente_Mes!$B$2:$B$145,$A30),0)</f>
        <v>0</v>
      </c>
      <c r="C36" s="8" t="n">
        <f aca="false">IFERROR(SUMIFS(Media_Cliente_Mes!$H$2:$H$145,Media_Cliente_Mes!$A$2:$A$145,$C$30,Media_Cliente_Mes!$B$2:$B$145,$A30),0)</f>
        <v>53319.92</v>
      </c>
      <c r="D36" s="8" t="n">
        <f aca="false">IFERROR(SUMIFS(Media_Cliente_Mes!$H$2:$H$145,Media_Cliente_Mes!$A$2:$A$145,$D$30,Media_Cliente_Mes!$B$2:$B$145,$A30),0)</f>
        <v>9022.05</v>
      </c>
      <c r="E36" s="8" t="n">
        <f aca="false">IFERROR(SUMIFS(Media_Cliente_Mes!$H$2:$H$145,Media_Cliente_Mes!$A$2:$A$145,$E$30,Media_Cliente_Mes!$B$2:$B$145,$A30),0)</f>
        <v>31236.13</v>
      </c>
      <c r="F36" s="8" t="n">
        <f aca="false">IFERROR(SUMIFS(Media_Cliente_Mes!$H$2:$H$145,Media_Cliente_Mes!$A$2:$A$145,$F$30,Media_Cliente_Mes!$B$2:$B$145,$A30),0)</f>
        <v>0</v>
      </c>
      <c r="G36" s="8" t="n">
        <f aca="false">IFERROR(SUMIFS(Media_Cliente_Mes!$H$2:$H$145,Media_Cliente_Mes!$A$2:$A$145,$G$30,Media_Cliente_Mes!$B$2:$B$145,$A30),0)</f>
        <v>28630.42</v>
      </c>
      <c r="H36" s="8" t="n">
        <f aca="false">IFERROR(SUMIFS(Media_Cliente_Mes!$H$2:$H$145,Media_Cliente_Mes!$A$2:$A$145,$H$30,Media_Cliente_Mes!$B$2:$B$145,$A30),0)</f>
        <v>0</v>
      </c>
      <c r="I36" s="8" t="n">
        <f aca="false">IFERROR(SUMIFS(Media_Cliente_Mes!$H$2:$H$145,Media_Cliente_Mes!$A$2:$A$145,$I$30,Media_Cliente_Mes!$B$2:$B$145,$A30),0)</f>
        <v>0</v>
      </c>
      <c r="J36" s="8" t="n">
        <f aca="false">IFERROR(SUMIFS(Media_Cliente_Mes!$H$2:$H$145,Media_Cliente_Mes!$A$2:$A$145,$J$30,Media_Cliente_Mes!$B$2:$B$145,$A30),0)</f>
        <v>0</v>
      </c>
      <c r="K36" s="8" t="n">
        <f aca="false">IFERROR(SUMIFS(Media_Cliente_Mes!$H$2:$H$145,Media_Cliente_Mes!$A$2:$A$145,$K$30,Media_Cliente_Mes!$B$2:$B$145,$A30),0)</f>
        <v>0</v>
      </c>
      <c r="L36" s="8" t="n">
        <f aca="false">IFERROR(SUMIFS(Media_Cliente_Mes!$H$2:$H$145,Media_Cliente_Mes!$A$2:$A$145,$L$30,Media_Cliente_Mes!$B$2:$B$145,$A30),0)</f>
        <v>0</v>
      </c>
      <c r="M36" s="8" t="n">
        <f aca="false">IFERROR(SUMIFS(Media_Cliente_Mes!$H$2:$H$145,Media_Cliente_Mes!$A$2:$A$145,$M$30,Media_Cliente_Mes!$B$2:$B$145,$A30),0)</f>
        <v>0</v>
      </c>
      <c r="N36" s="9" t="n">
        <f aca="false">SUM(B36:M36)</f>
        <v>122208.52</v>
      </c>
    </row>
    <row r="37" customFormat="false" ht="15" hidden="false" customHeight="false" outlineLevel="0" collapsed="false">
      <c r="A37" s="7" t="s">
        <v>58</v>
      </c>
      <c r="B37" s="8" t="n">
        <f aca="false">IFERROR(SUMIFS(Media_Cliente_Mes!$I$2:$I$145,Media_Cliente_Mes!$A$2:$A$145,$B$30,Media_Cliente_Mes!$B$2:$B$145,$A30),0)</f>
        <v>16786.6</v>
      </c>
      <c r="C37" s="8" t="n">
        <f aca="false">IFERROR(SUMIFS(Media_Cliente_Mes!$I$2:$I$145,Media_Cliente_Mes!$A$2:$A$145,$C$30,Media_Cliente_Mes!$B$2:$B$145,$A30),0)</f>
        <v>0</v>
      </c>
      <c r="D37" s="8" t="n">
        <f aca="false">IFERROR(SUMIFS(Media_Cliente_Mes!$I$2:$I$145,Media_Cliente_Mes!$A$2:$A$145,$D$30,Media_Cliente_Mes!$B$2:$B$145,$A30),0)</f>
        <v>33850.64</v>
      </c>
      <c r="E37" s="8" t="n">
        <f aca="false">IFERROR(SUMIFS(Media_Cliente_Mes!$I$2:$I$145,Media_Cliente_Mes!$A$2:$A$145,$E$30,Media_Cliente_Mes!$B$2:$B$145,$A30),0)</f>
        <v>22478.76</v>
      </c>
      <c r="F37" s="8" t="n">
        <f aca="false">IFERROR(SUMIFS(Media_Cliente_Mes!$I$2:$I$145,Media_Cliente_Mes!$A$2:$A$145,$F$30,Media_Cliente_Mes!$B$2:$B$145,$A30),0)</f>
        <v>92764.41</v>
      </c>
      <c r="G37" s="8" t="n">
        <f aca="false">IFERROR(SUMIFS(Media_Cliente_Mes!$I$2:$I$145,Media_Cliente_Mes!$A$2:$A$145,$G$30,Media_Cliente_Mes!$B$2:$B$145,$A30),0)</f>
        <v>60168.24</v>
      </c>
      <c r="H37" s="8" t="n">
        <f aca="false">IFERROR(SUMIFS(Media_Cliente_Mes!$I$2:$I$145,Media_Cliente_Mes!$A$2:$A$145,$H$30,Media_Cliente_Mes!$B$2:$B$145,$A30),0)</f>
        <v>10176.79</v>
      </c>
      <c r="I37" s="8" t="n">
        <f aca="false">IFERROR(SUMIFS(Media_Cliente_Mes!$I$2:$I$145,Media_Cliente_Mes!$A$2:$A$145,$I$30,Media_Cliente_Mes!$B$2:$B$145,$A30),0)</f>
        <v>0</v>
      </c>
      <c r="J37" s="8" t="n">
        <f aca="false">IFERROR(SUMIFS(Media_Cliente_Mes!$I$2:$I$145,Media_Cliente_Mes!$A$2:$A$145,$J$30,Media_Cliente_Mes!$B$2:$B$145,$A30),0)</f>
        <v>0</v>
      </c>
      <c r="K37" s="8" t="n">
        <f aca="false">IFERROR(SUMIFS(Media_Cliente_Mes!$I$2:$I$145,Media_Cliente_Mes!$A$2:$A$145,$K$30,Media_Cliente_Mes!$B$2:$B$145,$A30),0)</f>
        <v>0</v>
      </c>
      <c r="L37" s="8" t="n">
        <f aca="false">IFERROR(SUMIFS(Media_Cliente_Mes!$I$2:$I$145,Media_Cliente_Mes!$A$2:$A$145,$L$30,Media_Cliente_Mes!$B$2:$B$145,$A30),0)</f>
        <v>0</v>
      </c>
      <c r="M37" s="8" t="n">
        <f aca="false">IFERROR(SUMIFS(Media_Cliente_Mes!$I$2:$I$145,Media_Cliente_Mes!$A$2:$A$145,$M$30,Media_Cliente_Mes!$B$2:$B$145,$A30),0)</f>
        <v>0</v>
      </c>
      <c r="N37" s="9" t="n">
        <f aca="false">SUM(B37:M37)</f>
        <v>236225.44</v>
      </c>
    </row>
    <row r="39" customFormat="false" ht="15" hidden="false" customHeight="false" outlineLevel="0" collapsed="false">
      <c r="A39" s="5" t="s">
        <v>62</v>
      </c>
      <c r="B39" s="6" t="s">
        <v>39</v>
      </c>
      <c r="C39" s="6" t="s">
        <v>40</v>
      </c>
      <c r="D39" s="6" t="s">
        <v>41</v>
      </c>
      <c r="E39" s="6" t="s">
        <v>42</v>
      </c>
      <c r="F39" s="6" t="s">
        <v>43</v>
      </c>
      <c r="G39" s="6" t="s">
        <v>44</v>
      </c>
      <c r="H39" s="6" t="s">
        <v>45</v>
      </c>
      <c r="I39" s="6" t="s">
        <v>46</v>
      </c>
      <c r="J39" s="6" t="s">
        <v>47</v>
      </c>
      <c r="K39" s="6" t="s">
        <v>48</v>
      </c>
      <c r="L39" s="6" t="s">
        <v>49</v>
      </c>
      <c r="M39" s="6" t="s">
        <v>50</v>
      </c>
      <c r="N39" s="6" t="s">
        <v>51</v>
      </c>
    </row>
    <row r="40" customFormat="false" ht="15" hidden="false" customHeight="false" outlineLevel="0" collapsed="false">
      <c r="A40" s="7" t="s">
        <v>52</v>
      </c>
      <c r="B40" s="8" t="n">
        <f aca="false">IFERROR(SUMIFS(Media_Cliente_Mes!$C$2:$C$145,Media_Cliente_Mes!$A$2:$A$145,$B$39,Media_Cliente_Mes!$B$2:$B$145,$A39),0)</f>
        <v>43820.37</v>
      </c>
      <c r="C40" s="8" t="n">
        <f aca="false">IFERROR(SUMIFS(Media_Cliente_Mes!$C$2:$C$145,Media_Cliente_Mes!$A$2:$A$145,$C$39,Media_Cliente_Mes!$B$2:$B$145,$A39),0)</f>
        <v>49598.12</v>
      </c>
      <c r="D40" s="8" t="n">
        <f aca="false">IFERROR(SUMIFS(Media_Cliente_Mes!$C$2:$C$145,Media_Cliente_Mes!$A$2:$A$145,$D$39,Media_Cliente_Mes!$B$2:$B$145,$A39),0)</f>
        <v>17619.63</v>
      </c>
      <c r="E40" s="8" t="n">
        <f aca="false">IFERROR(SUMIFS(Media_Cliente_Mes!$C$2:$C$145,Media_Cliente_Mes!$A$2:$A$145,$E$39,Media_Cliente_Mes!$B$2:$B$145,$A39),0)</f>
        <v>53120.9</v>
      </c>
      <c r="F40" s="8" t="n">
        <f aca="false">IFERROR(SUMIFS(Media_Cliente_Mes!$C$2:$C$145,Media_Cliente_Mes!$A$2:$A$145,$F$39,Media_Cliente_Mes!$B$2:$B$145,$A39),0)</f>
        <v>63744.72</v>
      </c>
      <c r="G40" s="8" t="n">
        <f aca="false">IFERROR(SUMIFS(Media_Cliente_Mes!$C$2:$C$145,Media_Cliente_Mes!$A$2:$A$145,$G$39,Media_Cliente_Mes!$B$2:$B$145,$A39),0)</f>
        <v>62604.74</v>
      </c>
      <c r="H40" s="8" t="n">
        <f aca="false">IFERROR(SUMIFS(Media_Cliente_Mes!$C$2:$C$145,Media_Cliente_Mes!$A$2:$A$145,$H$39,Media_Cliente_Mes!$B$2:$B$145,$A39),0)</f>
        <v>0</v>
      </c>
      <c r="I40" s="8" t="n">
        <f aca="false">IFERROR(SUMIFS(Media_Cliente_Mes!$C$2:$C$145,Media_Cliente_Mes!$A$2:$A$145,$I$39,Media_Cliente_Mes!$B$2:$B$145,$A39),0)</f>
        <v>0</v>
      </c>
      <c r="J40" s="8" t="n">
        <f aca="false">IFERROR(SUMIFS(Media_Cliente_Mes!$C$2:$C$145,Media_Cliente_Mes!$A$2:$A$145,$J$39,Media_Cliente_Mes!$B$2:$B$145,$A39),0)</f>
        <v>0</v>
      </c>
      <c r="K40" s="8" t="n">
        <f aca="false">IFERROR(SUMIFS(Media_Cliente_Mes!$C$2:$C$145,Media_Cliente_Mes!$A$2:$A$145,$K$39,Media_Cliente_Mes!$B$2:$B$145,$A39),0)</f>
        <v>0</v>
      </c>
      <c r="L40" s="8" t="n">
        <f aca="false">IFERROR(SUMIFS(Media_Cliente_Mes!$C$2:$C$145,Media_Cliente_Mes!$A$2:$A$145,$L$39,Media_Cliente_Mes!$B$2:$B$145,$A39),0)</f>
        <v>0</v>
      </c>
      <c r="M40" s="8" t="n">
        <f aca="false">IFERROR(SUMIFS(Media_Cliente_Mes!$C$2:$C$145,Media_Cliente_Mes!$A$2:$A$145,$M$39,Media_Cliente_Mes!$B$2:$B$145,$A39),0)</f>
        <v>0</v>
      </c>
      <c r="N40" s="9" t="n">
        <f aca="false">SUM(B40:M40)</f>
        <v>290508.48</v>
      </c>
    </row>
    <row r="41" customFormat="false" ht="15" hidden="false" customHeight="false" outlineLevel="0" collapsed="false">
      <c r="A41" s="7" t="s">
        <v>53</v>
      </c>
      <c r="B41" s="10" t="n">
        <f aca="false">IFERROR(SUMIFS(Media_Cliente_Mes!$D$2:$D$145,Media_Cliente_Mes!$A$2:$A$145,$B$39,Media_Cliente_Mes!$B$2:$B$145,$A39),0)</f>
        <v>47.5830749238311</v>
      </c>
      <c r="C41" s="10" t="n">
        <f aca="false">IFERROR(SUMIFS(Media_Cliente_Mes!$D$2:$D$145,Media_Cliente_Mes!$A$2:$A$145,$C$39,Media_Cliente_Mes!$B$2:$B$145,$A39),0)</f>
        <v>48.0503403374967</v>
      </c>
      <c r="D41" s="10" t="n">
        <f aca="false">IFERROR(SUMIFS(Media_Cliente_Mes!$D$2:$D$145,Media_Cliente_Mes!$A$2:$A$145,$D$39,Media_Cliente_Mes!$B$2:$B$145,$A39),0)</f>
        <v>47.4505838261076</v>
      </c>
      <c r="E41" s="10" t="n">
        <f aca="false">IFERROR(SUMIFS(Media_Cliente_Mes!$D$2:$D$145,Media_Cliente_Mes!$A$2:$A$145,$E$39,Media_Cliente_Mes!$B$2:$B$145,$A39),0)</f>
        <v>47.4496849168595</v>
      </c>
      <c r="F41" s="10" t="n">
        <f aca="false">IFERROR(SUMIFS(Media_Cliente_Mes!$D$2:$D$145,Media_Cliente_Mes!$A$2:$A$145,$F$39,Media_Cliente_Mes!$B$2:$B$145,$A39),0)</f>
        <v>47.6858338070981</v>
      </c>
      <c r="G41" s="10" t="n">
        <f aca="false">IFERROR(SUMIFS(Media_Cliente_Mes!$D$2:$D$145,Media_Cliente_Mes!$A$2:$A$145,$G$39,Media_Cliente_Mes!$B$2:$B$145,$A39),0)</f>
        <v>47.4925409721373</v>
      </c>
      <c r="H41" s="10" t="n">
        <f aca="false">IFERROR(SUMIFS(Media_Cliente_Mes!$D$2:$D$145,Media_Cliente_Mes!$A$2:$A$145,$H$39,Media_Cliente_Mes!$B$2:$B$145,$A39),0)</f>
        <v>0</v>
      </c>
      <c r="I41" s="10" t="n">
        <f aca="false">IFERROR(SUMIFS(Media_Cliente_Mes!$D$2:$D$145,Media_Cliente_Mes!$A$2:$A$145,$I$39,Media_Cliente_Mes!$B$2:$B$145,$A39),0)</f>
        <v>0</v>
      </c>
      <c r="J41" s="10" t="n">
        <f aca="false">IFERROR(SUMIFS(Media_Cliente_Mes!$D$2:$D$145,Media_Cliente_Mes!$A$2:$A$145,$J$39,Media_Cliente_Mes!$B$2:$B$145,$A39),0)</f>
        <v>0</v>
      </c>
      <c r="K41" s="10" t="n">
        <f aca="false">IFERROR(SUMIFS(Media_Cliente_Mes!$D$2:$D$145,Media_Cliente_Mes!$A$2:$A$145,$K$39,Media_Cliente_Mes!$B$2:$B$145,$A39),0)</f>
        <v>0</v>
      </c>
      <c r="L41" s="10" t="n">
        <f aca="false">IFERROR(SUMIFS(Media_Cliente_Mes!$D$2:$D$145,Media_Cliente_Mes!$A$2:$A$145,$L$39,Media_Cliente_Mes!$B$2:$B$145,$A39),0)</f>
        <v>0</v>
      </c>
      <c r="M41" s="10" t="n">
        <f aca="false">IFERROR(SUMIFS(Media_Cliente_Mes!$D$2:$D$145,Media_Cliente_Mes!$A$2:$A$145,$M$39,Media_Cliente_Mes!$B$2:$B$145,$A39),0)</f>
        <v>0</v>
      </c>
      <c r="N41" s="11" t="n">
        <f aca="false">IFERROR(SUMPRODUCT(B40:M40,B41:M41)/SUM(B40:M40),0)</f>
        <v>47.6334614958572</v>
      </c>
    </row>
    <row r="42" customFormat="false" ht="15" hidden="false" customHeight="false" outlineLevel="0" collapsed="false">
      <c r="A42" s="7" t="s">
        <v>54</v>
      </c>
      <c r="B42" s="10" t="n">
        <f aca="false">IFERROR(SUMIFS(Media_Cliente_Mes!$E$2:$E$145,Media_Cliente_Mes!$A$2:$A$145,$B$39,Media_Cliente_Mes!$B$2:$B$145,$A39),0)</f>
        <v>12.3889542123903</v>
      </c>
      <c r="C42" s="10" t="n">
        <f aca="false">IFERROR(SUMIFS(Media_Cliente_Mes!$E$2:$E$145,Media_Cliente_Mes!$A$2:$A$145,$C$39,Media_Cliente_Mes!$B$2:$B$145,$A39),0)</f>
        <v>11.6689749188074</v>
      </c>
      <c r="D42" s="10" t="n">
        <f aca="false">IFERROR(SUMIFS(Media_Cliente_Mes!$E$2:$E$145,Media_Cliente_Mes!$A$2:$A$145,$D$39,Media_Cliente_Mes!$B$2:$B$145,$A39),0)</f>
        <v>12.7822017318184</v>
      </c>
      <c r="E42" s="10" t="n">
        <f aca="false">IFERROR(SUMIFS(Media_Cliente_Mes!$E$2:$E$145,Media_Cliente_Mes!$A$2:$A$145,$E$39,Media_Cliente_Mes!$B$2:$B$145,$A39),0)</f>
        <v>12.3561943848843</v>
      </c>
      <c r="F42" s="10" t="n">
        <f aca="false">IFERROR(SUMIFS(Media_Cliente_Mes!$E$2:$E$145,Media_Cliente_Mes!$A$2:$A$145,$F$39,Media_Cliente_Mes!$B$2:$B$145,$A39),0)</f>
        <v>12.5075041415195</v>
      </c>
      <c r="G42" s="10" t="n">
        <f aca="false">IFERROR(SUMIFS(Media_Cliente_Mes!$E$2:$E$145,Media_Cliente_Mes!$A$2:$A$145,$G$39,Media_Cliente_Mes!$B$2:$B$145,$A39),0)</f>
        <v>12.3994822532607</v>
      </c>
      <c r="H42" s="10" t="n">
        <f aca="false">IFERROR(SUMIFS(Media_Cliente_Mes!$E$2:$E$145,Media_Cliente_Mes!$A$2:$A$145,$H$39,Media_Cliente_Mes!$B$2:$B$145,$A39),0)</f>
        <v>0</v>
      </c>
      <c r="I42" s="10" t="n">
        <f aca="false">IFERROR(SUMIFS(Media_Cliente_Mes!$E$2:$E$145,Media_Cliente_Mes!$A$2:$A$145,$I$39,Media_Cliente_Mes!$B$2:$B$145,$A39),0)</f>
        <v>0</v>
      </c>
      <c r="J42" s="10" t="n">
        <f aca="false">IFERROR(SUMIFS(Media_Cliente_Mes!$E$2:$E$145,Media_Cliente_Mes!$A$2:$A$145,$J$39,Media_Cliente_Mes!$B$2:$B$145,$A39),0)</f>
        <v>0</v>
      </c>
      <c r="K42" s="10" t="n">
        <f aca="false">IFERROR(SUMIFS(Media_Cliente_Mes!$E$2:$E$145,Media_Cliente_Mes!$A$2:$A$145,$K$39,Media_Cliente_Mes!$B$2:$B$145,$A39),0)</f>
        <v>0</v>
      </c>
      <c r="L42" s="10" t="n">
        <f aca="false">IFERROR(SUMIFS(Media_Cliente_Mes!$E$2:$E$145,Media_Cliente_Mes!$A$2:$A$145,$L$39,Media_Cliente_Mes!$B$2:$B$145,$A39),0)</f>
        <v>0</v>
      </c>
      <c r="M42" s="10" t="n">
        <f aca="false">IFERROR(SUMIFS(Media_Cliente_Mes!$E$2:$E$145,Media_Cliente_Mes!$A$2:$A$145,$M$39,Media_Cliente_Mes!$B$2:$B$145,$A39),0)</f>
        <v>0</v>
      </c>
      <c r="N42" s="11" t="n">
        <f aca="false">IFERROR(SUMPRODUCT(B40:M40,B42:M42)/SUM(B40:M40),0)</f>
        <v>12.3121752562954</v>
      </c>
    </row>
    <row r="43" customFormat="false" ht="15" hidden="false" customHeight="false" outlineLevel="0" collapsed="false">
      <c r="A43" s="7" t="s">
        <v>55</v>
      </c>
      <c r="B43" s="10" t="n">
        <f aca="false">IFERROR(SUMIFS(Media_Cliente_Mes!$F$2:$F$145,Media_Cliente_Mes!$A$2:$A$145,$B$39,Media_Cliente_Mes!$B$2:$B$145,$A39),0)</f>
        <v>3.63771904253661</v>
      </c>
      <c r="C43" s="10" t="n">
        <f aca="false">IFERROR(SUMIFS(Media_Cliente_Mes!$F$2:$F$145,Media_Cliente_Mes!$A$2:$A$145,$C$39,Media_Cliente_Mes!$B$2:$B$145,$A39),0)</f>
        <v>3.51012144815166</v>
      </c>
      <c r="D43" s="10" t="n">
        <f aca="false">IFERROR(SUMIFS(Media_Cliente_Mes!$F$2:$F$145,Media_Cliente_Mes!$A$2:$A$145,$D$39,Media_Cliente_Mes!$B$2:$B$145,$A39),0)</f>
        <v>3.69716205731903</v>
      </c>
      <c r="E43" s="10" t="n">
        <f aca="false">IFERROR(SUMIFS(Media_Cliente_Mes!$F$2:$F$145,Media_Cliente_Mes!$A$2:$A$145,$E$39,Media_Cliente_Mes!$B$2:$B$145,$A39),0)</f>
        <v>3.69318510040304</v>
      </c>
      <c r="F43" s="10" t="n">
        <f aca="false">IFERROR(SUMIFS(Media_Cliente_Mes!$F$2:$F$145,Media_Cliente_Mes!$A$2:$A$145,$F$39,Media_Cliente_Mes!$B$2:$B$145,$A39),0)</f>
        <v>3.59712009088753</v>
      </c>
      <c r="G43" s="10" t="n">
        <f aca="false">IFERROR(SUMIFS(Media_Cliente_Mes!$F$2:$F$145,Media_Cliente_Mes!$A$2:$A$145,$G$39,Media_Cliente_Mes!$B$2:$B$145,$A39),0)</f>
        <v>3.75129450102341</v>
      </c>
      <c r="H43" s="10" t="n">
        <f aca="false">IFERROR(SUMIFS(Media_Cliente_Mes!$F$2:$F$145,Media_Cliente_Mes!$A$2:$A$145,$H$39,Media_Cliente_Mes!$B$2:$B$145,$A39),0)</f>
        <v>0</v>
      </c>
      <c r="I43" s="10" t="n">
        <f aca="false">IFERROR(SUMIFS(Media_Cliente_Mes!$F$2:$F$145,Media_Cliente_Mes!$A$2:$A$145,$I$39,Media_Cliente_Mes!$B$2:$B$145,$A39),0)</f>
        <v>0</v>
      </c>
      <c r="J43" s="10" t="n">
        <f aca="false">IFERROR(SUMIFS(Media_Cliente_Mes!$F$2:$F$145,Media_Cliente_Mes!$A$2:$A$145,$J$39,Media_Cliente_Mes!$B$2:$B$145,$A39),0)</f>
        <v>0</v>
      </c>
      <c r="K43" s="10" t="n">
        <f aca="false">IFERROR(SUMIFS(Media_Cliente_Mes!$F$2:$F$145,Media_Cliente_Mes!$A$2:$A$145,$K$39,Media_Cliente_Mes!$B$2:$B$145,$A39),0)</f>
        <v>0</v>
      </c>
      <c r="L43" s="10" t="n">
        <f aca="false">IFERROR(SUMIFS(Media_Cliente_Mes!$F$2:$F$145,Media_Cliente_Mes!$A$2:$A$145,$L$39,Media_Cliente_Mes!$B$2:$B$145,$A39),0)</f>
        <v>0</v>
      </c>
      <c r="M43" s="10" t="n">
        <f aca="false">IFERROR(SUMIFS(Media_Cliente_Mes!$F$2:$F$145,Media_Cliente_Mes!$A$2:$A$145,$M$39,Media_Cliente_Mes!$B$2:$B$145,$A39),0)</f>
        <v>0</v>
      </c>
      <c r="N43" s="11" t="n">
        <f aca="false">IFERROR(SUMPRODUCT(B40:M40,B43:M43)/SUM(B40:M40),0)</f>
        <v>3.64524916105719</v>
      </c>
    </row>
    <row r="44" customFormat="false" ht="15" hidden="false" customHeight="false" outlineLevel="0" collapsed="false">
      <c r="A44" s="7" t="s">
        <v>56</v>
      </c>
      <c r="B44" s="10" t="n">
        <f aca="false">IFERROR(SUMIFS(Media_Cliente_Mes!$G$2:$G$145,Media_Cliente_Mes!$A$2:$A$145,$B$39,Media_Cliente_Mes!$B$2:$B$145,$A39),0)</f>
        <v>1.74079959160546</v>
      </c>
      <c r="C44" s="10" t="n">
        <f aca="false">IFERROR(SUMIFS(Media_Cliente_Mes!$G$2:$G$145,Media_Cliente_Mes!$A$2:$A$145,$C$39,Media_Cliente_Mes!$B$2:$B$145,$A39),0)</f>
        <v>1.0572906513392</v>
      </c>
      <c r="D44" s="10" t="n">
        <f aca="false">IFERROR(SUMIFS(Media_Cliente_Mes!$G$2:$G$145,Media_Cliente_Mes!$A$2:$A$145,$D$39,Media_Cliente_Mes!$B$2:$B$145,$A39),0)</f>
        <v>1.37270627703306</v>
      </c>
      <c r="E44" s="10" t="n">
        <f aca="false">IFERROR(SUMIFS(Media_Cliente_Mes!$G$2:$G$145,Media_Cliente_Mes!$A$2:$A$145,$E$39,Media_Cliente_Mes!$B$2:$B$145,$A39),0)</f>
        <v>1.56632251900853</v>
      </c>
      <c r="F44" s="10" t="n">
        <f aca="false">IFERROR(SUMIFS(Media_Cliente_Mes!$G$2:$G$145,Media_Cliente_Mes!$A$2:$A$145,$F$39,Media_Cliente_Mes!$B$2:$B$145,$A39),0)</f>
        <v>1.51299671251203</v>
      </c>
      <c r="G44" s="10" t="n">
        <f aca="false">IFERROR(SUMIFS(Media_Cliente_Mes!$G$2:$G$145,Media_Cliente_Mes!$A$2:$A$145,$G$39,Media_Cliente_Mes!$B$2:$B$145,$A39),0)</f>
        <v>1.68461407075567</v>
      </c>
      <c r="H44" s="10" t="n">
        <f aca="false">IFERROR(SUMIFS(Media_Cliente_Mes!$G$2:$G$145,Media_Cliente_Mes!$A$2:$A$145,$H$39,Media_Cliente_Mes!$B$2:$B$145,$A39),0)</f>
        <v>0</v>
      </c>
      <c r="I44" s="10" t="n">
        <f aca="false">IFERROR(SUMIFS(Media_Cliente_Mes!$G$2:$G$145,Media_Cliente_Mes!$A$2:$A$145,$I$39,Media_Cliente_Mes!$B$2:$B$145,$A39),0)</f>
        <v>0</v>
      </c>
      <c r="J44" s="10" t="n">
        <f aca="false">IFERROR(SUMIFS(Media_Cliente_Mes!$G$2:$G$145,Media_Cliente_Mes!$A$2:$A$145,$J$39,Media_Cliente_Mes!$B$2:$B$145,$A39),0)</f>
        <v>0</v>
      </c>
      <c r="K44" s="10" t="n">
        <f aca="false">IFERROR(SUMIFS(Media_Cliente_Mes!$G$2:$G$145,Media_Cliente_Mes!$A$2:$A$145,$K$39,Media_Cliente_Mes!$B$2:$B$145,$A39),0)</f>
        <v>0</v>
      </c>
      <c r="L44" s="10" t="n">
        <f aca="false">IFERROR(SUMIFS(Media_Cliente_Mes!$G$2:$G$145,Media_Cliente_Mes!$A$2:$A$145,$L$39,Media_Cliente_Mes!$B$2:$B$145,$A39),0)</f>
        <v>0</v>
      </c>
      <c r="M44" s="10" t="n">
        <f aca="false">IFERROR(SUMIFS(Media_Cliente_Mes!$G$2:$G$145,Media_Cliente_Mes!$A$2:$A$145,$M$39,Media_Cliente_Mes!$B$2:$B$145,$A39),0)</f>
        <v>0</v>
      </c>
      <c r="N44" s="11" t="n">
        <f aca="false">IFERROR(SUMPRODUCT(B40:M40,B44:M44)/SUM(B40:M40),0)</f>
        <v>1.50778224133079</v>
      </c>
    </row>
    <row r="45" customFormat="false" ht="15" hidden="false" customHeight="false" outlineLevel="0" collapsed="false">
      <c r="A45" s="7" t="s">
        <v>57</v>
      </c>
      <c r="B45" s="8" t="n">
        <f aca="false">IFERROR(SUMIFS(Media_Cliente_Mes!$H$2:$H$145,Media_Cliente_Mes!$A$2:$A$145,$B$39,Media_Cliente_Mes!$B$2:$B$145,$A39),0)</f>
        <v>0</v>
      </c>
      <c r="C45" s="8" t="n">
        <f aca="false">IFERROR(SUMIFS(Media_Cliente_Mes!$H$2:$H$145,Media_Cliente_Mes!$A$2:$A$145,$C$39,Media_Cliente_Mes!$B$2:$B$145,$A39),0)</f>
        <v>49598.12</v>
      </c>
      <c r="D45" s="8" t="n">
        <f aca="false">IFERROR(SUMIFS(Media_Cliente_Mes!$H$2:$H$145,Media_Cliente_Mes!$A$2:$A$145,$D$39,Media_Cliente_Mes!$B$2:$B$145,$A39),0)</f>
        <v>2946.95</v>
      </c>
      <c r="E45" s="8" t="n">
        <f aca="false">IFERROR(SUMIFS(Media_Cliente_Mes!$H$2:$H$145,Media_Cliente_Mes!$A$2:$A$145,$E$39,Media_Cliente_Mes!$B$2:$B$145,$A39),0)</f>
        <v>28076.92</v>
      </c>
      <c r="F45" s="8" t="n">
        <f aca="false">IFERROR(SUMIFS(Media_Cliente_Mes!$H$2:$H$145,Media_Cliente_Mes!$A$2:$A$145,$F$39,Media_Cliente_Mes!$B$2:$B$145,$A39),0)</f>
        <v>4750.58</v>
      </c>
      <c r="G45" s="8" t="n">
        <f aca="false">IFERROR(SUMIFS(Media_Cliente_Mes!$H$2:$H$145,Media_Cliente_Mes!$A$2:$A$145,$G$39,Media_Cliente_Mes!$B$2:$B$145,$A39),0)</f>
        <v>17880.02</v>
      </c>
      <c r="H45" s="8" t="n">
        <f aca="false">IFERROR(SUMIFS(Media_Cliente_Mes!$H$2:$H$145,Media_Cliente_Mes!$A$2:$A$145,$H$39,Media_Cliente_Mes!$B$2:$B$145,$A39),0)</f>
        <v>0</v>
      </c>
      <c r="I45" s="8" t="n">
        <f aca="false">IFERROR(SUMIFS(Media_Cliente_Mes!$H$2:$H$145,Media_Cliente_Mes!$A$2:$A$145,$I$39,Media_Cliente_Mes!$B$2:$B$145,$A39),0)</f>
        <v>0</v>
      </c>
      <c r="J45" s="8" t="n">
        <f aca="false">IFERROR(SUMIFS(Media_Cliente_Mes!$H$2:$H$145,Media_Cliente_Mes!$A$2:$A$145,$J$39,Media_Cliente_Mes!$B$2:$B$145,$A39),0)</f>
        <v>0</v>
      </c>
      <c r="K45" s="8" t="n">
        <f aca="false">IFERROR(SUMIFS(Media_Cliente_Mes!$H$2:$H$145,Media_Cliente_Mes!$A$2:$A$145,$K$39,Media_Cliente_Mes!$B$2:$B$145,$A39),0)</f>
        <v>0</v>
      </c>
      <c r="L45" s="8" t="n">
        <f aca="false">IFERROR(SUMIFS(Media_Cliente_Mes!$H$2:$H$145,Media_Cliente_Mes!$A$2:$A$145,$L$39,Media_Cliente_Mes!$B$2:$B$145,$A39),0)</f>
        <v>0</v>
      </c>
      <c r="M45" s="8" t="n">
        <f aca="false">IFERROR(SUMIFS(Media_Cliente_Mes!$H$2:$H$145,Media_Cliente_Mes!$A$2:$A$145,$M$39,Media_Cliente_Mes!$B$2:$B$145,$A39),0)</f>
        <v>0</v>
      </c>
      <c r="N45" s="9" t="n">
        <f aca="false">SUM(B45:M45)</f>
        <v>103252.59</v>
      </c>
    </row>
    <row r="46" customFormat="false" ht="15" hidden="false" customHeight="false" outlineLevel="0" collapsed="false">
      <c r="A46" s="7" t="s">
        <v>58</v>
      </c>
      <c r="B46" s="8" t="n">
        <f aca="false">IFERROR(SUMIFS(Media_Cliente_Mes!$I$2:$I$145,Media_Cliente_Mes!$A$2:$A$145,$B$39,Media_Cliente_Mes!$B$2:$B$145,$A39),0)</f>
        <v>43820.37</v>
      </c>
      <c r="C46" s="8" t="n">
        <f aca="false">IFERROR(SUMIFS(Media_Cliente_Mes!$I$2:$I$145,Media_Cliente_Mes!$A$2:$A$145,$C$39,Media_Cliente_Mes!$B$2:$B$145,$A39),0)</f>
        <v>0</v>
      </c>
      <c r="D46" s="8" t="n">
        <f aca="false">IFERROR(SUMIFS(Media_Cliente_Mes!$I$2:$I$145,Media_Cliente_Mes!$A$2:$A$145,$D$39,Media_Cliente_Mes!$B$2:$B$145,$A39),0)</f>
        <v>14672.68</v>
      </c>
      <c r="E46" s="8" t="n">
        <f aca="false">IFERROR(SUMIFS(Media_Cliente_Mes!$I$2:$I$145,Media_Cliente_Mes!$A$2:$A$145,$E$39,Media_Cliente_Mes!$B$2:$B$145,$A39),0)</f>
        <v>25043.98</v>
      </c>
      <c r="F46" s="8" t="n">
        <f aca="false">IFERROR(SUMIFS(Media_Cliente_Mes!$I$2:$I$145,Media_Cliente_Mes!$A$2:$A$145,$F$39,Media_Cliente_Mes!$B$2:$B$145,$A39),0)</f>
        <v>58994.14</v>
      </c>
      <c r="G46" s="8" t="n">
        <f aca="false">IFERROR(SUMIFS(Media_Cliente_Mes!$I$2:$I$145,Media_Cliente_Mes!$A$2:$A$145,$G$39,Media_Cliente_Mes!$B$2:$B$145,$A39),0)</f>
        <v>44724.72</v>
      </c>
      <c r="H46" s="8" t="n">
        <f aca="false">IFERROR(SUMIFS(Media_Cliente_Mes!$I$2:$I$145,Media_Cliente_Mes!$A$2:$A$145,$H$39,Media_Cliente_Mes!$B$2:$B$145,$A39),0)</f>
        <v>0</v>
      </c>
      <c r="I46" s="8" t="n">
        <f aca="false">IFERROR(SUMIFS(Media_Cliente_Mes!$I$2:$I$145,Media_Cliente_Mes!$A$2:$A$145,$I$39,Media_Cliente_Mes!$B$2:$B$145,$A39),0)</f>
        <v>0</v>
      </c>
      <c r="J46" s="8" t="n">
        <f aca="false">IFERROR(SUMIFS(Media_Cliente_Mes!$I$2:$I$145,Media_Cliente_Mes!$A$2:$A$145,$J$39,Media_Cliente_Mes!$B$2:$B$145,$A39),0)</f>
        <v>0</v>
      </c>
      <c r="K46" s="8" t="n">
        <f aca="false">IFERROR(SUMIFS(Media_Cliente_Mes!$I$2:$I$145,Media_Cliente_Mes!$A$2:$A$145,$K$39,Media_Cliente_Mes!$B$2:$B$145,$A39),0)</f>
        <v>0</v>
      </c>
      <c r="L46" s="8" t="n">
        <f aca="false">IFERROR(SUMIFS(Media_Cliente_Mes!$I$2:$I$145,Media_Cliente_Mes!$A$2:$A$145,$L$39,Media_Cliente_Mes!$B$2:$B$145,$A39),0)</f>
        <v>0</v>
      </c>
      <c r="M46" s="8" t="n">
        <f aca="false">IFERROR(SUMIFS(Media_Cliente_Mes!$I$2:$I$145,Media_Cliente_Mes!$A$2:$A$145,$M$39,Media_Cliente_Mes!$B$2:$B$145,$A39),0)</f>
        <v>0</v>
      </c>
      <c r="N46" s="9" t="n">
        <f aca="false">SUM(B46:M46)</f>
        <v>187255.89</v>
      </c>
    </row>
    <row r="48" customFormat="false" ht="15" hidden="false" customHeight="false" outlineLevel="0" collapsed="false">
      <c r="A48" s="5" t="s">
        <v>63</v>
      </c>
      <c r="B48" s="6" t="s">
        <v>39</v>
      </c>
      <c r="C48" s="6" t="s">
        <v>40</v>
      </c>
      <c r="D48" s="6" t="s">
        <v>41</v>
      </c>
      <c r="E48" s="6" t="s">
        <v>42</v>
      </c>
      <c r="F48" s="6" t="s">
        <v>43</v>
      </c>
      <c r="G48" s="6" t="s">
        <v>44</v>
      </c>
      <c r="H48" s="6" t="s">
        <v>45</v>
      </c>
      <c r="I48" s="6" t="s">
        <v>46</v>
      </c>
      <c r="J48" s="6" t="s">
        <v>47</v>
      </c>
      <c r="K48" s="6" t="s">
        <v>48</v>
      </c>
      <c r="L48" s="6" t="s">
        <v>49</v>
      </c>
      <c r="M48" s="6" t="s">
        <v>50</v>
      </c>
      <c r="N48" s="6" t="s">
        <v>51</v>
      </c>
    </row>
    <row r="49" customFormat="false" ht="15" hidden="false" customHeight="false" outlineLevel="0" collapsed="false">
      <c r="A49" s="7" t="s">
        <v>52</v>
      </c>
      <c r="B49" s="8" t="n">
        <f aca="false">IFERROR(SUMIFS(Media_Cliente_Mes!$C$2:$C$145,Media_Cliente_Mes!$A$2:$A$145,$B$48,Media_Cliente_Mes!$B$2:$B$145,$A48),0)</f>
        <v>41353.91</v>
      </c>
      <c r="C49" s="8" t="n">
        <f aca="false">IFERROR(SUMIFS(Media_Cliente_Mes!$C$2:$C$145,Media_Cliente_Mes!$A$2:$A$145,$C$48,Media_Cliente_Mes!$B$2:$B$145,$A48),0)</f>
        <v>45020.35</v>
      </c>
      <c r="D49" s="8" t="n">
        <f aca="false">IFERROR(SUMIFS(Media_Cliente_Mes!$C$2:$C$145,Media_Cliente_Mes!$A$2:$A$145,$D$48,Media_Cliente_Mes!$B$2:$B$145,$A48),0)</f>
        <v>41497.14</v>
      </c>
      <c r="E49" s="8" t="n">
        <f aca="false">IFERROR(SUMIFS(Media_Cliente_Mes!$C$2:$C$145,Media_Cliente_Mes!$A$2:$A$145,$E$48,Media_Cliente_Mes!$B$2:$B$145,$A48),0)</f>
        <v>40336.83</v>
      </c>
      <c r="F49" s="8" t="n">
        <f aca="false">IFERROR(SUMIFS(Media_Cliente_Mes!$C$2:$C$145,Media_Cliente_Mes!$A$2:$A$145,$F$48,Media_Cliente_Mes!$B$2:$B$145,$A48),0)</f>
        <v>94743.83</v>
      </c>
      <c r="G49" s="8" t="n">
        <f aca="false">IFERROR(SUMIFS(Media_Cliente_Mes!$C$2:$C$145,Media_Cliente_Mes!$A$2:$A$145,$G$48,Media_Cliente_Mes!$B$2:$B$145,$A48),0)</f>
        <v>51533.03</v>
      </c>
      <c r="H49" s="8" t="n">
        <f aca="false">IFERROR(SUMIFS(Media_Cliente_Mes!$C$2:$C$145,Media_Cliente_Mes!$A$2:$A$145,$H$48,Media_Cliente_Mes!$B$2:$B$145,$A48),0)</f>
        <v>33179.88</v>
      </c>
      <c r="I49" s="8" t="n">
        <f aca="false">IFERROR(SUMIFS(Media_Cliente_Mes!$C$2:$C$145,Media_Cliente_Mes!$A$2:$A$145,$I$48,Media_Cliente_Mes!$B$2:$B$145,$A48),0)</f>
        <v>0</v>
      </c>
      <c r="J49" s="8" t="n">
        <f aca="false">IFERROR(SUMIFS(Media_Cliente_Mes!$C$2:$C$145,Media_Cliente_Mes!$A$2:$A$145,$J$48,Media_Cliente_Mes!$B$2:$B$145,$A48),0)</f>
        <v>0</v>
      </c>
      <c r="K49" s="8" t="n">
        <f aca="false">IFERROR(SUMIFS(Media_Cliente_Mes!$C$2:$C$145,Media_Cliente_Mes!$A$2:$A$145,$K$48,Media_Cliente_Mes!$B$2:$B$145,$A48),0)</f>
        <v>0</v>
      </c>
      <c r="L49" s="8" t="n">
        <f aca="false">IFERROR(SUMIFS(Media_Cliente_Mes!$C$2:$C$145,Media_Cliente_Mes!$A$2:$A$145,$L$48,Media_Cliente_Mes!$B$2:$B$145,$A48),0)</f>
        <v>0</v>
      </c>
      <c r="M49" s="8" t="n">
        <f aca="false">IFERROR(SUMIFS(Media_Cliente_Mes!$C$2:$C$145,Media_Cliente_Mes!$A$2:$A$145,$M$48,Media_Cliente_Mes!$B$2:$B$145,$A48),0)</f>
        <v>0</v>
      </c>
      <c r="N49" s="9" t="n">
        <f aca="false">SUM(B49:M49)</f>
        <v>347664.97</v>
      </c>
    </row>
    <row r="50" customFormat="false" ht="15" hidden="false" customHeight="false" outlineLevel="0" collapsed="false">
      <c r="A50" s="7" t="s">
        <v>53</v>
      </c>
      <c r="B50" s="10" t="n">
        <f aca="false">IFERROR(SUMIFS(Media_Cliente_Mes!$D$2:$D$145,Media_Cliente_Mes!$A$2:$A$145,$B$48,Media_Cliente_Mes!$B$2:$B$145,$A48),0)</f>
        <v>47.4970982405291</v>
      </c>
      <c r="C50" s="10" t="n">
        <f aca="false">IFERROR(SUMIFS(Media_Cliente_Mes!$D$2:$D$145,Media_Cliente_Mes!$A$2:$A$145,$C$48,Media_Cliente_Mes!$B$2:$B$145,$A48),0)</f>
        <v>47.7612164498943</v>
      </c>
      <c r="D50" s="10" t="n">
        <f aca="false">IFERROR(SUMIFS(Media_Cliente_Mes!$D$2:$D$145,Media_Cliente_Mes!$A$2:$A$145,$D$48,Media_Cliente_Mes!$B$2:$B$145,$A48),0)</f>
        <v>47.521829550181</v>
      </c>
      <c r="E50" s="10" t="n">
        <f aca="false">IFERROR(SUMIFS(Media_Cliente_Mes!$D$2:$D$145,Media_Cliente_Mes!$A$2:$A$145,$E$48,Media_Cliente_Mes!$B$2:$B$145,$A48),0)</f>
        <v>47.4440278425449</v>
      </c>
      <c r="F50" s="10" t="n">
        <f aca="false">IFERROR(SUMIFS(Media_Cliente_Mes!$D$2:$D$145,Media_Cliente_Mes!$A$2:$A$145,$F$48,Media_Cliente_Mes!$B$2:$B$145,$A48),0)</f>
        <v>47.4441337055933</v>
      </c>
      <c r="G50" s="10" t="n">
        <f aca="false">IFERROR(SUMIFS(Media_Cliente_Mes!$D$2:$D$145,Media_Cliente_Mes!$A$2:$A$145,$G$48,Media_Cliente_Mes!$B$2:$B$145,$A48),0)</f>
        <v>47.4120016288582</v>
      </c>
      <c r="H50" s="10" t="n">
        <f aca="false">IFERROR(SUMIFS(Media_Cliente_Mes!$D$2:$D$145,Media_Cliente_Mes!$A$2:$A$145,$H$48,Media_Cliente_Mes!$B$2:$B$145,$A48),0)</f>
        <v>47.3124242613295</v>
      </c>
      <c r="I50" s="10" t="n">
        <f aca="false">IFERROR(SUMIFS(Media_Cliente_Mes!$D$2:$D$145,Media_Cliente_Mes!$A$2:$A$145,$I$48,Media_Cliente_Mes!$B$2:$B$145,$A48),0)</f>
        <v>0</v>
      </c>
      <c r="J50" s="10" t="n">
        <f aca="false">IFERROR(SUMIFS(Media_Cliente_Mes!$D$2:$D$145,Media_Cliente_Mes!$A$2:$A$145,$J$48,Media_Cliente_Mes!$B$2:$B$145,$A48),0)</f>
        <v>0</v>
      </c>
      <c r="K50" s="10" t="n">
        <f aca="false">IFERROR(SUMIFS(Media_Cliente_Mes!$D$2:$D$145,Media_Cliente_Mes!$A$2:$A$145,$K$48,Media_Cliente_Mes!$B$2:$B$145,$A48),0)</f>
        <v>0</v>
      </c>
      <c r="L50" s="10" t="n">
        <f aca="false">IFERROR(SUMIFS(Media_Cliente_Mes!$D$2:$D$145,Media_Cliente_Mes!$A$2:$A$145,$L$48,Media_Cliente_Mes!$B$2:$B$145,$A48),0)</f>
        <v>0</v>
      </c>
      <c r="M50" s="10" t="n">
        <f aca="false">IFERROR(SUMIFS(Media_Cliente_Mes!$D$2:$D$145,Media_Cliente_Mes!$A$2:$A$145,$M$48,Media_Cliente_Mes!$B$2:$B$145,$A48),0)</f>
        <v>0</v>
      </c>
      <c r="N50" s="11" t="n">
        <f aca="false">IFERROR(SUMPRODUCT(B49:M49,B50:M50)/SUM(B49:M49),0)</f>
        <v>47.4834226367413</v>
      </c>
    </row>
    <row r="51" customFormat="false" ht="15" hidden="false" customHeight="false" outlineLevel="0" collapsed="false">
      <c r="A51" s="7" t="s">
        <v>54</v>
      </c>
      <c r="B51" s="10" t="n">
        <f aca="false">IFERROR(SUMIFS(Media_Cliente_Mes!$E$2:$E$145,Media_Cliente_Mes!$A$2:$A$145,$B$48,Media_Cliente_Mes!$B$2:$B$145,$A48),0)</f>
        <v>12.4137175469019</v>
      </c>
      <c r="C51" s="10" t="n">
        <f aca="false">IFERROR(SUMIFS(Media_Cliente_Mes!$E$2:$E$145,Media_Cliente_Mes!$A$2:$A$145,$C$48,Media_Cliente_Mes!$B$2:$B$145,$A48),0)</f>
        <v>12.2785090209205</v>
      </c>
      <c r="D51" s="10" t="n">
        <f aca="false">IFERROR(SUMIFS(Media_Cliente_Mes!$E$2:$E$145,Media_Cliente_Mes!$A$2:$A$145,$D$48,Media_Cliente_Mes!$B$2:$B$145,$A48),0)</f>
        <v>13.5359303990588</v>
      </c>
      <c r="E51" s="10" t="n">
        <f aca="false">IFERROR(SUMIFS(Media_Cliente_Mes!$E$2:$E$145,Media_Cliente_Mes!$A$2:$A$145,$E$48,Media_Cliente_Mes!$B$2:$B$145,$A48),0)</f>
        <v>12.7524888247292</v>
      </c>
      <c r="F51" s="10" t="n">
        <f aca="false">IFERROR(SUMIFS(Media_Cliente_Mes!$E$2:$E$145,Media_Cliente_Mes!$A$2:$A$145,$F$48,Media_Cliente_Mes!$B$2:$B$145,$A48),0)</f>
        <v>12.4664559254149</v>
      </c>
      <c r="G51" s="10" t="n">
        <f aca="false">IFERROR(SUMIFS(Media_Cliente_Mes!$E$2:$E$145,Media_Cliente_Mes!$A$2:$A$145,$G$48,Media_Cliente_Mes!$B$2:$B$145,$A48),0)</f>
        <v>12.4986174711636</v>
      </c>
      <c r="H51" s="10" t="n">
        <f aca="false">IFERROR(SUMIFS(Media_Cliente_Mes!$E$2:$E$145,Media_Cliente_Mes!$A$2:$A$145,$H$48,Media_Cliente_Mes!$B$2:$B$145,$A48),0)</f>
        <v>12.6871173072356</v>
      </c>
      <c r="I51" s="10" t="n">
        <f aca="false">IFERROR(SUMIFS(Media_Cliente_Mes!$E$2:$E$145,Media_Cliente_Mes!$A$2:$A$145,$I$48,Media_Cliente_Mes!$B$2:$B$145,$A48),0)</f>
        <v>0</v>
      </c>
      <c r="J51" s="10" t="n">
        <f aca="false">IFERROR(SUMIFS(Media_Cliente_Mes!$E$2:$E$145,Media_Cliente_Mes!$A$2:$A$145,$J$48,Media_Cliente_Mes!$B$2:$B$145,$A48),0)</f>
        <v>0</v>
      </c>
      <c r="K51" s="10" t="n">
        <f aca="false">IFERROR(SUMIFS(Media_Cliente_Mes!$E$2:$E$145,Media_Cliente_Mes!$A$2:$A$145,$K$48,Media_Cliente_Mes!$B$2:$B$145,$A48),0)</f>
        <v>0</v>
      </c>
      <c r="L51" s="10" t="n">
        <f aca="false">IFERROR(SUMIFS(Media_Cliente_Mes!$E$2:$E$145,Media_Cliente_Mes!$A$2:$A$145,$L$48,Media_Cliente_Mes!$B$2:$B$145,$A48),0)</f>
        <v>0</v>
      </c>
      <c r="M51" s="10" t="n">
        <f aca="false">IFERROR(SUMIFS(Media_Cliente_Mes!$E$2:$E$145,Media_Cliente_Mes!$A$2:$A$145,$M$48,Media_Cliente_Mes!$B$2:$B$145,$A48),0)</f>
        <v>0</v>
      </c>
      <c r="N51" s="11" t="n">
        <f aca="false">IFERROR(SUMPRODUCT(B49:M49,B51:M51)/SUM(B49:M49),0)</f>
        <v>12.6225093779221</v>
      </c>
    </row>
    <row r="52" customFormat="false" ht="15" hidden="false" customHeight="false" outlineLevel="0" collapsed="false">
      <c r="A52" s="7" t="s">
        <v>55</v>
      </c>
      <c r="B52" s="10" t="n">
        <f aca="false">IFERROR(SUMIFS(Media_Cliente_Mes!$F$2:$F$145,Media_Cliente_Mes!$A$2:$A$145,$B$48,Media_Cliente_Mes!$B$2:$B$145,$A48),0)</f>
        <v>3.6945016202821</v>
      </c>
      <c r="C52" s="10" t="n">
        <f aca="false">IFERROR(SUMIFS(Media_Cliente_Mes!$F$2:$F$145,Media_Cliente_Mes!$A$2:$A$145,$C$48,Media_Cliente_Mes!$B$2:$B$145,$A48),0)</f>
        <v>3.61071148491738</v>
      </c>
      <c r="D52" s="10" t="n">
        <f aca="false">IFERROR(SUMIFS(Media_Cliente_Mes!$F$2:$F$145,Media_Cliente_Mes!$A$2:$A$145,$D$48,Media_Cliente_Mes!$B$2:$B$145,$A48),0)</f>
        <v>3.65032825153734</v>
      </c>
      <c r="E52" s="10" t="n">
        <f aca="false">IFERROR(SUMIFS(Media_Cliente_Mes!$F$2:$F$145,Media_Cliente_Mes!$A$2:$A$145,$E$48,Media_Cliente_Mes!$B$2:$B$145,$A48),0)</f>
        <v>3.76910687081756</v>
      </c>
      <c r="F52" s="10" t="n">
        <f aca="false">IFERROR(SUMIFS(Media_Cliente_Mes!$F$2:$F$145,Media_Cliente_Mes!$A$2:$A$145,$F$48,Media_Cliente_Mes!$B$2:$B$145,$A48),0)</f>
        <v>3.77768767000447</v>
      </c>
      <c r="G52" s="10" t="n">
        <f aca="false">IFERROR(SUMIFS(Media_Cliente_Mes!$F$2:$F$145,Media_Cliente_Mes!$A$2:$A$145,$G$48,Media_Cliente_Mes!$B$2:$B$145,$A48),0)</f>
        <v>3.76879404335433</v>
      </c>
      <c r="H52" s="10" t="n">
        <f aca="false">IFERROR(SUMIFS(Media_Cliente_Mes!$F$2:$F$145,Media_Cliente_Mes!$A$2:$A$145,$H$48,Media_Cliente_Mes!$B$2:$B$145,$A48),0)</f>
        <v>3.75532690895808</v>
      </c>
      <c r="I52" s="10" t="n">
        <f aca="false">IFERROR(SUMIFS(Media_Cliente_Mes!$F$2:$F$145,Media_Cliente_Mes!$A$2:$A$145,$I$48,Media_Cliente_Mes!$B$2:$B$145,$A48),0)</f>
        <v>0</v>
      </c>
      <c r="J52" s="10" t="n">
        <f aca="false">IFERROR(SUMIFS(Media_Cliente_Mes!$F$2:$F$145,Media_Cliente_Mes!$A$2:$A$145,$J$48,Media_Cliente_Mes!$B$2:$B$145,$A48),0)</f>
        <v>0</v>
      </c>
      <c r="K52" s="10" t="n">
        <f aca="false">IFERROR(SUMIFS(Media_Cliente_Mes!$F$2:$F$145,Media_Cliente_Mes!$A$2:$A$145,$K$48,Media_Cliente_Mes!$B$2:$B$145,$A48),0)</f>
        <v>0</v>
      </c>
      <c r="L52" s="10" t="n">
        <f aca="false">IFERROR(SUMIFS(Media_Cliente_Mes!$F$2:$F$145,Media_Cliente_Mes!$A$2:$A$145,$L$48,Media_Cliente_Mes!$B$2:$B$145,$A48),0)</f>
        <v>0</v>
      </c>
      <c r="M52" s="10" t="n">
        <f aca="false">IFERROR(SUMIFS(Media_Cliente_Mes!$F$2:$F$145,Media_Cliente_Mes!$A$2:$A$145,$M$48,Media_Cliente_Mes!$B$2:$B$145,$A48),0)</f>
        <v>0</v>
      </c>
      <c r="N52" s="11" t="n">
        <f aca="false">IFERROR(SUMPRODUCT(B49:M49,B52:M52)/SUM(B49:M49),0)</f>
        <v>3.72652113613862</v>
      </c>
    </row>
    <row r="53" customFormat="false" ht="15" hidden="false" customHeight="false" outlineLevel="0" collapsed="false">
      <c r="A53" s="7" t="s">
        <v>56</v>
      </c>
      <c r="B53" s="10" t="n">
        <f aca="false">IFERROR(SUMIFS(Media_Cliente_Mes!$G$2:$G$145,Media_Cliente_Mes!$A$2:$A$145,$B$48,Media_Cliente_Mes!$B$2:$B$145,$A48),0)</f>
        <v>1.44193663428682</v>
      </c>
      <c r="C53" s="10" t="n">
        <f aca="false">IFERROR(SUMIFS(Media_Cliente_Mes!$G$2:$G$145,Media_Cliente_Mes!$A$2:$A$145,$C$48,Media_Cliente_Mes!$B$2:$B$145,$A48),0)</f>
        <v>1.17034676984963</v>
      </c>
      <c r="D53" s="10" t="n">
        <f aca="false">IFERROR(SUMIFS(Media_Cliente_Mes!$G$2:$G$145,Media_Cliente_Mes!$A$2:$A$145,$D$48,Media_Cliente_Mes!$B$2:$B$145,$A48),0)</f>
        <v>1.30169416012766</v>
      </c>
      <c r="E53" s="10" t="n">
        <f aca="false">IFERROR(SUMIFS(Media_Cliente_Mes!$G$2:$G$145,Media_Cliente_Mes!$A$2:$A$145,$E$48,Media_Cliente_Mes!$B$2:$B$145,$A48),0)</f>
        <v>1.66082917274362</v>
      </c>
      <c r="F53" s="10" t="n">
        <f aca="false">IFERROR(SUMIFS(Media_Cliente_Mes!$G$2:$G$145,Media_Cliente_Mes!$A$2:$A$145,$F$48,Media_Cliente_Mes!$B$2:$B$145,$A48),0)</f>
        <v>1.59874791318865</v>
      </c>
      <c r="G53" s="10" t="n">
        <f aca="false">IFERROR(SUMIFS(Media_Cliente_Mes!$G$2:$G$145,Media_Cliente_Mes!$A$2:$A$145,$G$48,Media_Cliente_Mes!$B$2:$B$145,$A48),0)</f>
        <v>1.60154147931919</v>
      </c>
      <c r="H53" s="10" t="n">
        <f aca="false">IFERROR(SUMIFS(Media_Cliente_Mes!$G$2:$G$145,Media_Cliente_Mes!$A$2:$A$145,$H$48,Media_Cliente_Mes!$B$2:$B$145,$A48),0)</f>
        <v>1.46703077889372</v>
      </c>
      <c r="I53" s="10" t="n">
        <f aca="false">IFERROR(SUMIFS(Media_Cliente_Mes!$G$2:$G$145,Media_Cliente_Mes!$A$2:$A$145,$I$48,Media_Cliente_Mes!$B$2:$B$145,$A48),0)</f>
        <v>0</v>
      </c>
      <c r="J53" s="10" t="n">
        <f aca="false">IFERROR(SUMIFS(Media_Cliente_Mes!$G$2:$G$145,Media_Cliente_Mes!$A$2:$A$145,$J$48,Media_Cliente_Mes!$B$2:$B$145,$A48),0)</f>
        <v>0</v>
      </c>
      <c r="K53" s="10" t="n">
        <f aca="false">IFERROR(SUMIFS(Media_Cliente_Mes!$G$2:$G$145,Media_Cliente_Mes!$A$2:$A$145,$K$48,Media_Cliente_Mes!$B$2:$B$145,$A48),0)</f>
        <v>0</v>
      </c>
      <c r="L53" s="10" t="n">
        <f aca="false">IFERROR(SUMIFS(Media_Cliente_Mes!$G$2:$G$145,Media_Cliente_Mes!$A$2:$A$145,$L$48,Media_Cliente_Mes!$B$2:$B$145,$A48),0)</f>
        <v>0</v>
      </c>
      <c r="M53" s="10" t="n">
        <f aca="false">IFERROR(SUMIFS(Media_Cliente_Mes!$G$2:$G$145,Media_Cliente_Mes!$A$2:$A$145,$M$48,Media_Cliente_Mes!$B$2:$B$145,$A48),0)</f>
        <v>0</v>
      </c>
      <c r="N53" s="11" t="n">
        <f aca="false">IFERROR(SUMPRODUCT(B49:M49,B53:M53)/SUM(B49:M49),0)</f>
        <v>1.48421049897549</v>
      </c>
    </row>
    <row r="54" customFormat="false" ht="15" hidden="false" customHeight="false" outlineLevel="0" collapsed="false">
      <c r="A54" s="7" t="s">
        <v>57</v>
      </c>
      <c r="B54" s="8" t="n">
        <f aca="false">IFERROR(SUMIFS(Media_Cliente_Mes!$H$2:$H$145,Media_Cliente_Mes!$A$2:$A$145,$B$48,Media_Cliente_Mes!$B$2:$B$145,$A48),0)</f>
        <v>0</v>
      </c>
      <c r="C54" s="8" t="n">
        <f aca="false">IFERROR(SUMIFS(Media_Cliente_Mes!$H$2:$H$145,Media_Cliente_Mes!$A$2:$A$145,$C$48,Media_Cliente_Mes!$B$2:$B$145,$A48),0)</f>
        <v>45020.35</v>
      </c>
      <c r="D54" s="8" t="n">
        <f aca="false">IFERROR(SUMIFS(Media_Cliente_Mes!$H$2:$H$145,Media_Cliente_Mes!$A$2:$A$145,$D$48,Media_Cliente_Mes!$B$2:$B$145,$A48),0)</f>
        <v>1999.6</v>
      </c>
      <c r="E54" s="8" t="n">
        <f aca="false">IFERROR(SUMIFS(Media_Cliente_Mes!$H$2:$H$145,Media_Cliente_Mes!$A$2:$A$145,$E$48,Media_Cliente_Mes!$B$2:$B$145,$A48),0)</f>
        <v>28267.56</v>
      </c>
      <c r="F54" s="8" t="n">
        <f aca="false">IFERROR(SUMIFS(Media_Cliente_Mes!$H$2:$H$145,Media_Cliente_Mes!$A$2:$A$145,$F$48,Media_Cliente_Mes!$B$2:$B$145,$A48),0)</f>
        <v>13224.4</v>
      </c>
      <c r="G54" s="8" t="n">
        <f aca="false">IFERROR(SUMIFS(Media_Cliente_Mes!$H$2:$H$145,Media_Cliente_Mes!$A$2:$A$145,$G$48,Media_Cliente_Mes!$B$2:$B$145,$A48),0)</f>
        <v>4122.77</v>
      </c>
      <c r="H54" s="8" t="n">
        <f aca="false">IFERROR(SUMIFS(Media_Cliente_Mes!$H$2:$H$145,Media_Cliente_Mes!$A$2:$A$145,$H$48,Media_Cliente_Mes!$B$2:$B$145,$A48),0)</f>
        <v>634.24</v>
      </c>
      <c r="I54" s="8" t="n">
        <f aca="false">IFERROR(SUMIFS(Media_Cliente_Mes!$H$2:$H$145,Media_Cliente_Mes!$A$2:$A$145,$I$48,Media_Cliente_Mes!$B$2:$B$145,$A48),0)</f>
        <v>0</v>
      </c>
      <c r="J54" s="8" t="n">
        <f aca="false">IFERROR(SUMIFS(Media_Cliente_Mes!$H$2:$H$145,Media_Cliente_Mes!$A$2:$A$145,$J$48,Media_Cliente_Mes!$B$2:$B$145,$A48),0)</f>
        <v>0</v>
      </c>
      <c r="K54" s="8" t="n">
        <f aca="false">IFERROR(SUMIFS(Media_Cliente_Mes!$H$2:$H$145,Media_Cliente_Mes!$A$2:$A$145,$K$48,Media_Cliente_Mes!$B$2:$B$145,$A48),0)</f>
        <v>0</v>
      </c>
      <c r="L54" s="8" t="n">
        <f aca="false">IFERROR(SUMIFS(Media_Cliente_Mes!$H$2:$H$145,Media_Cliente_Mes!$A$2:$A$145,$L$48,Media_Cliente_Mes!$B$2:$B$145,$A48),0)</f>
        <v>0</v>
      </c>
      <c r="M54" s="8" t="n">
        <f aca="false">IFERROR(SUMIFS(Media_Cliente_Mes!$H$2:$H$145,Media_Cliente_Mes!$A$2:$A$145,$M$48,Media_Cliente_Mes!$B$2:$B$145,$A48),0)</f>
        <v>0</v>
      </c>
      <c r="N54" s="9" t="n">
        <f aca="false">SUM(B54:M54)</f>
        <v>93268.92</v>
      </c>
    </row>
    <row r="55" customFormat="false" ht="15" hidden="false" customHeight="false" outlineLevel="0" collapsed="false">
      <c r="A55" s="7" t="s">
        <v>58</v>
      </c>
      <c r="B55" s="8" t="n">
        <f aca="false">IFERROR(SUMIFS(Media_Cliente_Mes!$I$2:$I$145,Media_Cliente_Mes!$A$2:$A$145,$B$48,Media_Cliente_Mes!$B$2:$B$145,$A48),0)</f>
        <v>41353.91</v>
      </c>
      <c r="C55" s="8" t="n">
        <f aca="false">IFERROR(SUMIFS(Media_Cliente_Mes!$I$2:$I$145,Media_Cliente_Mes!$A$2:$A$145,$C$48,Media_Cliente_Mes!$B$2:$B$145,$A48),0)</f>
        <v>0</v>
      </c>
      <c r="D55" s="8" t="n">
        <f aca="false">IFERROR(SUMIFS(Media_Cliente_Mes!$I$2:$I$145,Media_Cliente_Mes!$A$2:$A$145,$D$48,Media_Cliente_Mes!$B$2:$B$145,$A48),0)</f>
        <v>39497.54</v>
      </c>
      <c r="E55" s="8" t="n">
        <f aca="false">IFERROR(SUMIFS(Media_Cliente_Mes!$I$2:$I$145,Media_Cliente_Mes!$A$2:$A$145,$E$48,Media_Cliente_Mes!$B$2:$B$145,$A48),0)</f>
        <v>12069.27</v>
      </c>
      <c r="F55" s="8" t="n">
        <f aca="false">IFERROR(SUMIFS(Media_Cliente_Mes!$I$2:$I$145,Media_Cliente_Mes!$A$2:$A$145,$F$48,Media_Cliente_Mes!$B$2:$B$145,$A48),0)</f>
        <v>81519.43</v>
      </c>
      <c r="G55" s="8" t="n">
        <f aca="false">IFERROR(SUMIFS(Media_Cliente_Mes!$I$2:$I$145,Media_Cliente_Mes!$A$2:$A$145,$G$48,Media_Cliente_Mes!$B$2:$B$145,$A48),0)</f>
        <v>47410.26</v>
      </c>
      <c r="H55" s="8" t="n">
        <f aca="false">IFERROR(SUMIFS(Media_Cliente_Mes!$I$2:$I$145,Media_Cliente_Mes!$A$2:$A$145,$H$48,Media_Cliente_Mes!$B$2:$B$145,$A48),0)</f>
        <v>32545.64</v>
      </c>
      <c r="I55" s="8" t="n">
        <f aca="false">IFERROR(SUMIFS(Media_Cliente_Mes!$I$2:$I$145,Media_Cliente_Mes!$A$2:$A$145,$I$48,Media_Cliente_Mes!$B$2:$B$145,$A48),0)</f>
        <v>0</v>
      </c>
      <c r="J55" s="8" t="n">
        <f aca="false">IFERROR(SUMIFS(Media_Cliente_Mes!$I$2:$I$145,Media_Cliente_Mes!$A$2:$A$145,$J$48,Media_Cliente_Mes!$B$2:$B$145,$A48),0)</f>
        <v>0</v>
      </c>
      <c r="K55" s="8" t="n">
        <f aca="false">IFERROR(SUMIFS(Media_Cliente_Mes!$I$2:$I$145,Media_Cliente_Mes!$A$2:$A$145,$K$48,Media_Cliente_Mes!$B$2:$B$145,$A48),0)</f>
        <v>0</v>
      </c>
      <c r="L55" s="8" t="n">
        <f aca="false">IFERROR(SUMIFS(Media_Cliente_Mes!$I$2:$I$145,Media_Cliente_Mes!$A$2:$A$145,$L$48,Media_Cliente_Mes!$B$2:$B$145,$A48),0)</f>
        <v>0</v>
      </c>
      <c r="M55" s="8" t="n">
        <f aca="false">IFERROR(SUMIFS(Media_Cliente_Mes!$I$2:$I$145,Media_Cliente_Mes!$A$2:$A$145,$M$48,Media_Cliente_Mes!$B$2:$B$145,$A48),0)</f>
        <v>0</v>
      </c>
      <c r="N55" s="9" t="n">
        <f aca="false">SUM(B55:M55)</f>
        <v>254396.05</v>
      </c>
    </row>
    <row r="57" customFormat="false" ht="15" hidden="false" customHeight="false" outlineLevel="0" collapsed="false">
      <c r="A57" s="5" t="s">
        <v>64</v>
      </c>
      <c r="B57" s="6" t="s">
        <v>39</v>
      </c>
      <c r="C57" s="6" t="s">
        <v>40</v>
      </c>
      <c r="D57" s="6" t="s">
        <v>41</v>
      </c>
      <c r="E57" s="6" t="s">
        <v>42</v>
      </c>
      <c r="F57" s="6" t="s">
        <v>43</v>
      </c>
      <c r="G57" s="6" t="s">
        <v>44</v>
      </c>
      <c r="H57" s="6" t="s">
        <v>45</v>
      </c>
      <c r="I57" s="6" t="s">
        <v>46</v>
      </c>
      <c r="J57" s="6" t="s">
        <v>47</v>
      </c>
      <c r="K57" s="6" t="s">
        <v>48</v>
      </c>
      <c r="L57" s="6" t="s">
        <v>49</v>
      </c>
      <c r="M57" s="6" t="s">
        <v>50</v>
      </c>
      <c r="N57" s="6" t="s">
        <v>51</v>
      </c>
    </row>
    <row r="58" customFormat="false" ht="15" hidden="false" customHeight="false" outlineLevel="0" collapsed="false">
      <c r="A58" s="7" t="s">
        <v>52</v>
      </c>
      <c r="B58" s="8" t="n">
        <f aca="false">IFERROR(SUMIFS(Media_Cliente_Mes!$C$2:$C$145,Media_Cliente_Mes!$A$2:$A$145,$B$57,Media_Cliente_Mes!$B$2:$B$145,$A57),0)</f>
        <v>46167.46</v>
      </c>
      <c r="C58" s="8" t="n">
        <f aca="false">IFERROR(SUMIFS(Media_Cliente_Mes!$C$2:$C$145,Media_Cliente_Mes!$A$2:$A$145,$C$57,Media_Cliente_Mes!$B$2:$B$145,$A57),0)</f>
        <v>44244.44</v>
      </c>
      <c r="D58" s="8" t="n">
        <f aca="false">IFERROR(SUMIFS(Media_Cliente_Mes!$C$2:$C$145,Media_Cliente_Mes!$A$2:$A$145,$D$57,Media_Cliente_Mes!$B$2:$B$145,$A57),0)</f>
        <v>78263.287</v>
      </c>
      <c r="E58" s="8" t="n">
        <f aca="false">IFERROR(SUMIFS(Media_Cliente_Mes!$C$2:$C$145,Media_Cliente_Mes!$A$2:$A$145,$E$57,Media_Cliente_Mes!$B$2:$B$145,$A57),0)</f>
        <v>5705.09</v>
      </c>
      <c r="F58" s="8" t="n">
        <f aca="false">IFERROR(SUMIFS(Media_Cliente_Mes!$C$2:$C$145,Media_Cliente_Mes!$A$2:$A$145,$F$57,Media_Cliente_Mes!$B$2:$B$145,$A57),0)</f>
        <v>72870.58</v>
      </c>
      <c r="G58" s="8" t="n">
        <f aca="false">IFERROR(SUMIFS(Media_Cliente_Mes!$C$2:$C$145,Media_Cliente_Mes!$A$2:$A$145,$G$57,Media_Cliente_Mes!$B$2:$B$145,$A57),0)</f>
        <v>49521.94</v>
      </c>
      <c r="H58" s="8" t="n">
        <f aca="false">IFERROR(SUMIFS(Media_Cliente_Mes!$C$2:$C$145,Media_Cliente_Mes!$A$2:$A$145,$H$57,Media_Cliente_Mes!$B$2:$B$145,$A57),0)</f>
        <v>99472.54</v>
      </c>
      <c r="I58" s="8" t="n">
        <f aca="false">IFERROR(SUMIFS(Media_Cliente_Mes!$C$2:$C$145,Media_Cliente_Mes!$A$2:$A$145,$I$57,Media_Cliente_Mes!$B$2:$B$145,$A57),0)</f>
        <v>0</v>
      </c>
      <c r="J58" s="8" t="n">
        <f aca="false">IFERROR(SUMIFS(Media_Cliente_Mes!$C$2:$C$145,Media_Cliente_Mes!$A$2:$A$145,$J$57,Media_Cliente_Mes!$B$2:$B$145,$A57),0)</f>
        <v>0</v>
      </c>
      <c r="K58" s="8" t="n">
        <f aca="false">IFERROR(SUMIFS(Media_Cliente_Mes!$C$2:$C$145,Media_Cliente_Mes!$A$2:$A$145,$K$57,Media_Cliente_Mes!$B$2:$B$145,$A57),0)</f>
        <v>55089.56</v>
      </c>
      <c r="L58" s="8" t="n">
        <f aca="false">IFERROR(SUMIFS(Media_Cliente_Mes!$C$2:$C$145,Media_Cliente_Mes!$A$2:$A$145,$L$57,Media_Cliente_Mes!$B$2:$B$145,$A57),0)</f>
        <v>0</v>
      </c>
      <c r="M58" s="8" t="n">
        <f aca="false">IFERROR(SUMIFS(Media_Cliente_Mes!$C$2:$C$145,Media_Cliente_Mes!$A$2:$A$145,$M$57,Media_Cliente_Mes!$B$2:$B$145,$A57),0)</f>
        <v>0</v>
      </c>
      <c r="N58" s="9" t="n">
        <f aca="false">SUM(B58:M58)</f>
        <v>451334.897</v>
      </c>
    </row>
    <row r="59" customFormat="false" ht="15" hidden="false" customHeight="false" outlineLevel="0" collapsed="false">
      <c r="A59" s="7" t="s">
        <v>53</v>
      </c>
      <c r="B59" s="10" t="n">
        <f aca="false">IFERROR(SUMIFS(Media_Cliente_Mes!$D$2:$D$145,Media_Cliente_Mes!$A$2:$A$145,$B$57,Media_Cliente_Mes!$B$2:$B$145,$A57),0)</f>
        <v>47.3126271122561</v>
      </c>
      <c r="C59" s="10" t="n">
        <f aca="false">IFERROR(SUMIFS(Media_Cliente_Mes!$D$2:$D$145,Media_Cliente_Mes!$A$2:$A$145,$C$57,Media_Cliente_Mes!$B$2:$B$145,$A57),0)</f>
        <v>47.9669295011983</v>
      </c>
      <c r="D59" s="10" t="n">
        <f aca="false">IFERROR(SUMIFS(Media_Cliente_Mes!$D$2:$D$145,Media_Cliente_Mes!$A$2:$A$145,$D$57,Media_Cliente_Mes!$B$2:$B$145,$A57),0)</f>
        <v>47.8575363503452</v>
      </c>
      <c r="E59" s="10" t="n">
        <f aca="false">IFERROR(SUMIFS(Media_Cliente_Mes!$D$2:$D$145,Media_Cliente_Mes!$A$2:$A$145,$E$57,Media_Cliente_Mes!$B$2:$B$145,$A57),0)</f>
        <v>47.0914792755241</v>
      </c>
      <c r="F59" s="10" t="n">
        <f aca="false">IFERROR(SUMIFS(Media_Cliente_Mes!$D$2:$D$145,Media_Cliente_Mes!$A$2:$A$145,$F$57,Media_Cliente_Mes!$B$2:$B$145,$A57),0)</f>
        <v>47.3975879593658</v>
      </c>
      <c r="G59" s="10" t="n">
        <f aca="false">IFERROR(SUMIFS(Media_Cliente_Mes!$D$2:$D$145,Media_Cliente_Mes!$A$2:$A$145,$G$57,Media_Cliente_Mes!$B$2:$B$145,$A57),0)</f>
        <v>47.709732193448</v>
      </c>
      <c r="H59" s="10" t="n">
        <f aca="false">IFERROR(SUMIFS(Media_Cliente_Mes!$D$2:$D$145,Media_Cliente_Mes!$A$2:$A$145,$H$57,Media_Cliente_Mes!$B$2:$B$145,$A57),0)</f>
        <v>47.5493505212594</v>
      </c>
      <c r="I59" s="10" t="n">
        <f aca="false">IFERROR(SUMIFS(Media_Cliente_Mes!$D$2:$D$145,Media_Cliente_Mes!$A$2:$A$145,$I$57,Media_Cliente_Mes!$B$2:$B$145,$A57),0)</f>
        <v>0</v>
      </c>
      <c r="J59" s="10" t="n">
        <f aca="false">IFERROR(SUMIFS(Media_Cliente_Mes!$D$2:$D$145,Media_Cliente_Mes!$A$2:$A$145,$J$57,Media_Cliente_Mes!$B$2:$B$145,$A57),0)</f>
        <v>0</v>
      </c>
      <c r="K59" s="10" t="n">
        <f aca="false">IFERROR(SUMIFS(Media_Cliente_Mes!$D$2:$D$145,Media_Cliente_Mes!$A$2:$A$145,$K$57,Media_Cliente_Mes!$B$2:$B$145,$A57),0)</f>
        <v>48.1625710933251</v>
      </c>
      <c r="L59" s="10" t="n">
        <f aca="false">IFERROR(SUMIFS(Media_Cliente_Mes!$D$2:$D$145,Media_Cliente_Mes!$A$2:$A$145,$L$57,Media_Cliente_Mes!$B$2:$B$145,$A57),0)</f>
        <v>0</v>
      </c>
      <c r="M59" s="10" t="n">
        <f aca="false">IFERROR(SUMIFS(Media_Cliente_Mes!$D$2:$D$145,Media_Cliente_Mes!$A$2:$A$145,$M$57,Media_Cliente_Mes!$B$2:$B$145,$A57),0)</f>
        <v>0</v>
      </c>
      <c r="N59" s="11" t="n">
        <f aca="false">IFERROR(SUMPRODUCT(B58:M58,B59:M59)/SUM(B58:M58),0)</f>
        <v>47.6816680231132</v>
      </c>
    </row>
    <row r="60" customFormat="false" ht="15" hidden="false" customHeight="false" outlineLevel="0" collapsed="false">
      <c r="A60" s="7" t="s">
        <v>54</v>
      </c>
      <c r="B60" s="10" t="n">
        <f aca="false">IFERROR(SUMIFS(Media_Cliente_Mes!$E$2:$E$145,Media_Cliente_Mes!$A$2:$A$145,$B$57,Media_Cliente_Mes!$B$2:$B$145,$A57),0)</f>
        <v>12.3186585465174</v>
      </c>
      <c r="C60" s="10" t="n">
        <f aca="false">IFERROR(SUMIFS(Media_Cliente_Mes!$E$2:$E$145,Media_Cliente_Mes!$A$2:$A$145,$C$57,Media_Cliente_Mes!$B$2:$B$145,$A57),0)</f>
        <v>12.0272818844583</v>
      </c>
      <c r="D60" s="10" t="n">
        <f aca="false">IFERROR(SUMIFS(Media_Cliente_Mes!$E$2:$E$145,Media_Cliente_Mes!$A$2:$A$145,$D$57,Media_Cliente_Mes!$B$2:$B$145,$A57),0)</f>
        <v>12.7900274938618</v>
      </c>
      <c r="E60" s="10" t="n">
        <f aca="false">IFERROR(SUMIFS(Media_Cliente_Mes!$E$2:$E$145,Media_Cliente_Mes!$A$2:$A$145,$E$57,Media_Cliente_Mes!$B$2:$B$145,$A57),0)</f>
        <v>12.7232038057244</v>
      </c>
      <c r="F60" s="10" t="n">
        <f aca="false">IFERROR(SUMIFS(Media_Cliente_Mes!$E$2:$E$145,Media_Cliente_Mes!$A$2:$A$145,$F$57,Media_Cliente_Mes!$B$2:$B$145,$A57),0)</f>
        <v>12.3047121293669</v>
      </c>
      <c r="G60" s="10" t="n">
        <f aca="false">IFERROR(SUMIFS(Media_Cliente_Mes!$E$2:$E$145,Media_Cliente_Mes!$A$2:$A$145,$G$57,Media_Cliente_Mes!$B$2:$B$145,$A57),0)</f>
        <v>12.239923759045</v>
      </c>
      <c r="H60" s="10" t="n">
        <f aca="false">IFERROR(SUMIFS(Media_Cliente_Mes!$E$2:$E$145,Media_Cliente_Mes!$A$2:$A$145,$H$57,Media_Cliente_Mes!$B$2:$B$145,$A57),0)</f>
        <v>12.3413029354634</v>
      </c>
      <c r="I60" s="10" t="n">
        <f aca="false">IFERROR(SUMIFS(Media_Cliente_Mes!$E$2:$E$145,Media_Cliente_Mes!$A$2:$A$145,$I$57,Media_Cliente_Mes!$B$2:$B$145,$A57),0)</f>
        <v>0</v>
      </c>
      <c r="J60" s="10" t="n">
        <f aca="false">IFERROR(SUMIFS(Media_Cliente_Mes!$E$2:$E$145,Media_Cliente_Mes!$A$2:$A$145,$J$57,Media_Cliente_Mes!$B$2:$B$145,$A57),0)</f>
        <v>0</v>
      </c>
      <c r="K60" s="10" t="n">
        <f aca="false">IFERROR(SUMIFS(Media_Cliente_Mes!$E$2:$E$145,Media_Cliente_Mes!$A$2:$A$145,$K$57,Media_Cliente_Mes!$B$2:$B$145,$A57),0)</f>
        <v>11.2093864245785</v>
      </c>
      <c r="L60" s="10" t="n">
        <f aca="false">IFERROR(SUMIFS(Media_Cliente_Mes!$E$2:$E$145,Media_Cliente_Mes!$A$2:$A$145,$L$57,Media_Cliente_Mes!$B$2:$B$145,$A57),0)</f>
        <v>0</v>
      </c>
      <c r="M60" s="10" t="n">
        <f aca="false">IFERROR(SUMIFS(Media_Cliente_Mes!$E$2:$E$145,Media_Cliente_Mes!$A$2:$A$145,$M$57,Media_Cliente_Mes!$B$2:$B$145,$A57),0)</f>
        <v>0</v>
      </c>
      <c r="N60" s="11" t="n">
        <f aca="false">IFERROR(SUMPRODUCT(B58:M58,B60:M60)/SUM(B58:M58),0)</f>
        <v>12.2356489048309</v>
      </c>
    </row>
    <row r="61" customFormat="false" ht="15" hidden="false" customHeight="false" outlineLevel="0" collapsed="false">
      <c r="A61" s="7" t="s">
        <v>55</v>
      </c>
      <c r="B61" s="10" t="n">
        <f aca="false">IFERROR(SUMIFS(Media_Cliente_Mes!$F$2:$F$145,Media_Cliente_Mes!$A$2:$A$145,$B$57,Media_Cliente_Mes!$B$2:$B$145,$A57),0)</f>
        <v>3.63484523515047</v>
      </c>
      <c r="C61" s="10" t="n">
        <f aca="false">IFERROR(SUMIFS(Media_Cliente_Mes!$F$2:$F$145,Media_Cliente_Mes!$A$2:$A$145,$C$57,Media_Cliente_Mes!$B$2:$B$145,$A57),0)</f>
        <v>3.43935206774004</v>
      </c>
      <c r="D61" s="10" t="n">
        <f aca="false">IFERROR(SUMIFS(Media_Cliente_Mes!$F$2:$F$145,Media_Cliente_Mes!$A$2:$A$145,$D$57,Media_Cliente_Mes!$B$2:$B$145,$A57),0)</f>
        <v>3.406907422378</v>
      </c>
      <c r="E61" s="10" t="n">
        <f aca="false">IFERROR(SUMIFS(Media_Cliente_Mes!$F$2:$F$145,Media_Cliente_Mes!$A$2:$A$145,$E$57,Media_Cliente_Mes!$B$2:$B$145,$A57),0)</f>
        <v>3.89869810993341</v>
      </c>
      <c r="F61" s="10" t="n">
        <f aca="false">IFERROR(SUMIFS(Media_Cliente_Mes!$F$2:$F$145,Media_Cliente_Mes!$A$2:$A$145,$F$57,Media_Cliente_Mes!$B$2:$B$145,$A57),0)</f>
        <v>3.49811115542102</v>
      </c>
      <c r="G61" s="10" t="n">
        <f aca="false">IFERROR(SUMIFS(Media_Cliente_Mes!$F$2:$F$145,Media_Cliente_Mes!$A$2:$A$145,$G$57,Media_Cliente_Mes!$B$2:$B$145,$A57),0)</f>
        <v>3.5944892344686</v>
      </c>
      <c r="H61" s="10" t="n">
        <f aca="false">IFERROR(SUMIFS(Media_Cliente_Mes!$F$2:$F$145,Media_Cliente_Mes!$A$2:$A$145,$H$57,Media_Cliente_Mes!$B$2:$B$145,$A57),0)</f>
        <v>3.52883952395304</v>
      </c>
      <c r="I61" s="10" t="n">
        <f aca="false">IFERROR(SUMIFS(Media_Cliente_Mes!$F$2:$F$145,Media_Cliente_Mes!$A$2:$A$145,$I$57,Media_Cliente_Mes!$B$2:$B$145,$A57),0)</f>
        <v>0</v>
      </c>
      <c r="J61" s="10" t="n">
        <f aca="false">IFERROR(SUMIFS(Media_Cliente_Mes!$F$2:$F$145,Media_Cliente_Mes!$A$2:$A$145,$J$57,Media_Cliente_Mes!$B$2:$B$145,$A57),0)</f>
        <v>0</v>
      </c>
      <c r="K61" s="10" t="n">
        <f aca="false">IFERROR(SUMIFS(Media_Cliente_Mes!$F$2:$F$145,Media_Cliente_Mes!$A$2:$A$145,$K$57,Media_Cliente_Mes!$B$2:$B$145,$A57),0)</f>
        <v>3.26234643914382</v>
      </c>
      <c r="L61" s="10" t="n">
        <f aca="false">IFERROR(SUMIFS(Media_Cliente_Mes!$F$2:$F$145,Media_Cliente_Mes!$A$2:$A$145,$L$57,Media_Cliente_Mes!$B$2:$B$145,$A57),0)</f>
        <v>0</v>
      </c>
      <c r="M61" s="10" t="n">
        <f aca="false">IFERROR(SUMIFS(Media_Cliente_Mes!$F$2:$F$145,Media_Cliente_Mes!$A$2:$A$145,$M$57,Media_Cliente_Mes!$B$2:$B$145,$A57),0)</f>
        <v>0</v>
      </c>
      <c r="N61" s="11" t="n">
        <f aca="false">IFERROR(SUMPRODUCT(B58:M58,B61:M61)/SUM(B58:M58),0)</f>
        <v>3.48415625565953</v>
      </c>
    </row>
    <row r="62" customFormat="false" ht="15" hidden="false" customHeight="false" outlineLevel="0" collapsed="false">
      <c r="A62" s="7" t="s">
        <v>56</v>
      </c>
      <c r="B62" s="10" t="n">
        <f aca="false">IFERROR(SUMIFS(Media_Cliente_Mes!$G$2:$G$145,Media_Cliente_Mes!$A$2:$A$145,$B$57,Media_Cliente_Mes!$B$2:$B$145,$A57),0)</f>
        <v>1.66602401345017</v>
      </c>
      <c r="C62" s="10" t="n">
        <f aca="false">IFERROR(SUMIFS(Media_Cliente_Mes!$G$2:$G$145,Media_Cliente_Mes!$A$2:$A$145,$C$57,Media_Cliente_Mes!$B$2:$B$145,$A57),0)</f>
        <v>1.51032560701412</v>
      </c>
      <c r="D62" s="10" t="n">
        <f aca="false">IFERROR(SUMIFS(Media_Cliente_Mes!$G$2:$G$145,Media_Cliente_Mes!$A$2:$A$145,$D$57,Media_Cliente_Mes!$B$2:$B$145,$A57),0)</f>
        <v>1.08824316246774</v>
      </c>
      <c r="E62" s="10" t="n">
        <f aca="false">IFERROR(SUMIFS(Media_Cliente_Mes!$G$2:$G$145,Media_Cliente_Mes!$A$2:$A$145,$E$57,Media_Cliente_Mes!$B$2:$B$145,$A57),0)</f>
        <v>1.82679156682892</v>
      </c>
      <c r="F62" s="10" t="n">
        <f aca="false">IFERROR(SUMIFS(Media_Cliente_Mes!$G$2:$G$145,Media_Cliente_Mes!$A$2:$A$145,$F$57,Media_Cliente_Mes!$B$2:$B$145,$A57),0)</f>
        <v>1.65992517282009</v>
      </c>
      <c r="G62" s="10" t="n">
        <f aca="false">IFERROR(SUMIFS(Media_Cliente_Mes!$G$2:$G$145,Media_Cliente_Mes!$A$2:$A$145,$G$57,Media_Cliente_Mes!$B$2:$B$145,$A57),0)</f>
        <v>1.67647246048923</v>
      </c>
      <c r="H62" s="10" t="n">
        <f aca="false">IFERROR(SUMIFS(Media_Cliente_Mes!$G$2:$G$145,Media_Cliente_Mes!$A$2:$A$145,$H$57,Media_Cliente_Mes!$B$2:$B$145,$A57),0)</f>
        <v>1.58405541871154</v>
      </c>
      <c r="I62" s="10" t="n">
        <f aca="false">IFERROR(SUMIFS(Media_Cliente_Mes!$G$2:$G$145,Media_Cliente_Mes!$A$2:$A$145,$I$57,Media_Cliente_Mes!$B$2:$B$145,$A57),0)</f>
        <v>0</v>
      </c>
      <c r="J62" s="10" t="n">
        <f aca="false">IFERROR(SUMIFS(Media_Cliente_Mes!$G$2:$G$145,Media_Cliente_Mes!$A$2:$A$145,$J$57,Media_Cliente_Mes!$B$2:$B$145,$A57),0)</f>
        <v>0</v>
      </c>
      <c r="K62" s="10" t="n">
        <f aca="false">IFERROR(SUMIFS(Media_Cliente_Mes!$G$2:$G$145,Media_Cliente_Mes!$A$2:$A$145,$K$57,Media_Cliente_Mes!$B$2:$B$145,$A57),0)</f>
        <v>1.38641517739477</v>
      </c>
      <c r="L62" s="10" t="n">
        <f aca="false">IFERROR(SUMIFS(Media_Cliente_Mes!$G$2:$G$145,Media_Cliente_Mes!$A$2:$A$145,$L$57,Media_Cliente_Mes!$B$2:$B$145,$A57),0)</f>
        <v>0</v>
      </c>
      <c r="M62" s="10" t="n">
        <f aca="false">IFERROR(SUMIFS(Media_Cliente_Mes!$G$2:$G$145,Media_Cliente_Mes!$A$2:$A$145,$M$57,Media_Cliente_Mes!$B$2:$B$145,$A57),0)</f>
        <v>0</v>
      </c>
      <c r="N62" s="11" t="n">
        <f aca="false">IFERROR(SUMPRODUCT(B58:M58,B62:M62)/SUM(B58:M58),0)</f>
        <v>1.50057087597638</v>
      </c>
    </row>
    <row r="63" customFormat="false" ht="15" hidden="false" customHeight="false" outlineLevel="0" collapsed="false">
      <c r="A63" s="7" t="s">
        <v>57</v>
      </c>
      <c r="B63" s="8" t="n">
        <f aca="false">IFERROR(SUMIFS(Media_Cliente_Mes!$H$2:$H$145,Media_Cliente_Mes!$A$2:$A$145,$B$57,Media_Cliente_Mes!$B$2:$B$145,$A57),0)</f>
        <v>0</v>
      </c>
      <c r="C63" s="8" t="n">
        <f aca="false">IFERROR(SUMIFS(Media_Cliente_Mes!$H$2:$H$145,Media_Cliente_Mes!$A$2:$A$145,$C$57,Media_Cliente_Mes!$B$2:$B$145,$A57),0)</f>
        <v>43458.2</v>
      </c>
      <c r="D63" s="8" t="n">
        <f aca="false">IFERROR(SUMIFS(Media_Cliente_Mes!$H$2:$H$145,Media_Cliente_Mes!$A$2:$A$145,$D$57,Media_Cliente_Mes!$B$2:$B$145,$A57),0)</f>
        <v>0</v>
      </c>
      <c r="E63" s="8" t="n">
        <f aca="false">IFERROR(SUMIFS(Media_Cliente_Mes!$H$2:$H$145,Media_Cliente_Mes!$A$2:$A$145,$E$57,Media_Cliente_Mes!$B$2:$B$145,$A57),0)</f>
        <v>5705.09</v>
      </c>
      <c r="F63" s="8" t="n">
        <f aca="false">IFERROR(SUMIFS(Media_Cliente_Mes!$H$2:$H$145,Media_Cliente_Mes!$A$2:$A$145,$F$57,Media_Cliente_Mes!$B$2:$B$145,$A57),0)</f>
        <v>0</v>
      </c>
      <c r="G63" s="8" t="n">
        <f aca="false">IFERROR(SUMIFS(Media_Cliente_Mes!$H$2:$H$145,Media_Cliente_Mes!$A$2:$A$145,$G$57,Media_Cliente_Mes!$B$2:$B$145,$A57),0)</f>
        <v>11591.03</v>
      </c>
      <c r="H63" s="8" t="n">
        <f aca="false">IFERROR(SUMIFS(Media_Cliente_Mes!$H$2:$H$145,Media_Cliente_Mes!$A$2:$A$145,$H$57,Media_Cliente_Mes!$B$2:$B$145,$A57),0)</f>
        <v>3066.23</v>
      </c>
      <c r="I63" s="8" t="n">
        <f aca="false">IFERROR(SUMIFS(Media_Cliente_Mes!$H$2:$H$145,Media_Cliente_Mes!$A$2:$A$145,$I$57,Media_Cliente_Mes!$B$2:$B$145,$A57),0)</f>
        <v>0</v>
      </c>
      <c r="J63" s="8" t="n">
        <f aca="false">IFERROR(SUMIFS(Media_Cliente_Mes!$H$2:$H$145,Media_Cliente_Mes!$A$2:$A$145,$J$57,Media_Cliente_Mes!$B$2:$B$145,$A57),0)</f>
        <v>0</v>
      </c>
      <c r="K63" s="8" t="n">
        <f aca="false">IFERROR(SUMIFS(Media_Cliente_Mes!$H$2:$H$145,Media_Cliente_Mes!$A$2:$A$145,$K$57,Media_Cliente_Mes!$B$2:$B$145,$A57),0)</f>
        <v>0</v>
      </c>
      <c r="L63" s="8" t="n">
        <f aca="false">IFERROR(SUMIFS(Media_Cliente_Mes!$H$2:$H$145,Media_Cliente_Mes!$A$2:$A$145,$L$57,Media_Cliente_Mes!$B$2:$B$145,$A57),0)</f>
        <v>0</v>
      </c>
      <c r="M63" s="8" t="n">
        <f aca="false">IFERROR(SUMIFS(Media_Cliente_Mes!$H$2:$H$145,Media_Cliente_Mes!$A$2:$A$145,$M$57,Media_Cliente_Mes!$B$2:$B$145,$A57),0)</f>
        <v>0</v>
      </c>
      <c r="N63" s="9" t="n">
        <f aca="false">SUM(B63:M63)</f>
        <v>63820.55</v>
      </c>
    </row>
    <row r="64" customFormat="false" ht="15" hidden="false" customHeight="false" outlineLevel="0" collapsed="false">
      <c r="A64" s="7" t="s">
        <v>58</v>
      </c>
      <c r="B64" s="8" t="n">
        <f aca="false">IFERROR(SUMIFS(Media_Cliente_Mes!$I$2:$I$145,Media_Cliente_Mes!$A$2:$A$145,$B$57,Media_Cliente_Mes!$B$2:$B$145,$A57),0)</f>
        <v>46167.46</v>
      </c>
      <c r="C64" s="8" t="n">
        <f aca="false">IFERROR(SUMIFS(Media_Cliente_Mes!$I$2:$I$145,Media_Cliente_Mes!$A$2:$A$145,$C$57,Media_Cliente_Mes!$B$2:$B$145,$A57),0)</f>
        <v>786.24</v>
      </c>
      <c r="D64" s="8" t="n">
        <f aca="false">IFERROR(SUMIFS(Media_Cliente_Mes!$I$2:$I$145,Media_Cliente_Mes!$A$2:$A$145,$D$57,Media_Cliente_Mes!$B$2:$B$145,$A57),0)</f>
        <v>78263.287</v>
      </c>
      <c r="E64" s="8" t="n">
        <f aca="false">IFERROR(SUMIFS(Media_Cliente_Mes!$I$2:$I$145,Media_Cliente_Mes!$A$2:$A$145,$E$57,Media_Cliente_Mes!$B$2:$B$145,$A57),0)</f>
        <v>0</v>
      </c>
      <c r="F64" s="8" t="n">
        <f aca="false">IFERROR(SUMIFS(Media_Cliente_Mes!$I$2:$I$145,Media_Cliente_Mes!$A$2:$A$145,$F$57,Media_Cliente_Mes!$B$2:$B$145,$A57),0)</f>
        <v>72870.58</v>
      </c>
      <c r="G64" s="8" t="n">
        <f aca="false">IFERROR(SUMIFS(Media_Cliente_Mes!$I$2:$I$145,Media_Cliente_Mes!$A$2:$A$145,$G$57,Media_Cliente_Mes!$B$2:$B$145,$A57),0)</f>
        <v>37930.91</v>
      </c>
      <c r="H64" s="8" t="n">
        <f aca="false">IFERROR(SUMIFS(Media_Cliente_Mes!$I$2:$I$145,Media_Cliente_Mes!$A$2:$A$145,$H$57,Media_Cliente_Mes!$B$2:$B$145,$A57),0)</f>
        <v>96406.31</v>
      </c>
      <c r="I64" s="8" t="n">
        <f aca="false">IFERROR(SUMIFS(Media_Cliente_Mes!$I$2:$I$145,Media_Cliente_Mes!$A$2:$A$145,$I$57,Media_Cliente_Mes!$B$2:$B$145,$A57),0)</f>
        <v>0</v>
      </c>
      <c r="J64" s="8" t="n">
        <f aca="false">IFERROR(SUMIFS(Media_Cliente_Mes!$I$2:$I$145,Media_Cliente_Mes!$A$2:$A$145,$J$57,Media_Cliente_Mes!$B$2:$B$145,$A57),0)</f>
        <v>0</v>
      </c>
      <c r="K64" s="8" t="n">
        <f aca="false">IFERROR(SUMIFS(Media_Cliente_Mes!$I$2:$I$145,Media_Cliente_Mes!$A$2:$A$145,$K$57,Media_Cliente_Mes!$B$2:$B$145,$A57),0)</f>
        <v>55089.56</v>
      </c>
      <c r="L64" s="8" t="n">
        <f aca="false">IFERROR(SUMIFS(Media_Cliente_Mes!$I$2:$I$145,Media_Cliente_Mes!$A$2:$A$145,$L$57,Media_Cliente_Mes!$B$2:$B$145,$A57),0)</f>
        <v>0</v>
      </c>
      <c r="M64" s="8" t="n">
        <f aca="false">IFERROR(SUMIFS(Media_Cliente_Mes!$I$2:$I$145,Media_Cliente_Mes!$A$2:$A$145,$M$57,Media_Cliente_Mes!$B$2:$B$145,$A57),0)</f>
        <v>0</v>
      </c>
      <c r="N64" s="9" t="n">
        <f aca="false">SUM(B64:M64)</f>
        <v>387514.347</v>
      </c>
    </row>
    <row r="66" customFormat="false" ht="15" hidden="false" customHeight="false" outlineLevel="0" collapsed="false">
      <c r="A66" s="5" t="s">
        <v>65</v>
      </c>
      <c r="B66" s="6" t="s">
        <v>39</v>
      </c>
      <c r="C66" s="6" t="s">
        <v>40</v>
      </c>
      <c r="D66" s="6" t="s">
        <v>41</v>
      </c>
      <c r="E66" s="6" t="s">
        <v>42</v>
      </c>
      <c r="F66" s="6" t="s">
        <v>43</v>
      </c>
      <c r="G66" s="6" t="s">
        <v>44</v>
      </c>
      <c r="H66" s="6" t="s">
        <v>45</v>
      </c>
      <c r="I66" s="6" t="s">
        <v>46</v>
      </c>
      <c r="J66" s="6" t="s">
        <v>47</v>
      </c>
      <c r="K66" s="6" t="s">
        <v>48</v>
      </c>
      <c r="L66" s="6" t="s">
        <v>49</v>
      </c>
      <c r="M66" s="6" t="s">
        <v>50</v>
      </c>
      <c r="N66" s="6" t="s">
        <v>51</v>
      </c>
    </row>
    <row r="67" customFormat="false" ht="15" hidden="false" customHeight="false" outlineLevel="0" collapsed="false">
      <c r="A67" s="7" t="s">
        <v>52</v>
      </c>
      <c r="B67" s="8" t="n">
        <f aca="false">IFERROR(SUMIFS(Media_Cliente_Mes!$C$2:$C$145,Media_Cliente_Mes!$A$2:$A$145,$B$66,Media_Cliente_Mes!$B$2:$B$145,$A66),0)</f>
        <v>44263.22</v>
      </c>
      <c r="C67" s="8" t="n">
        <f aca="false">IFERROR(SUMIFS(Media_Cliente_Mes!$C$2:$C$145,Media_Cliente_Mes!$A$2:$A$145,$C$66,Media_Cliente_Mes!$B$2:$B$145,$A66),0)</f>
        <v>43335.41</v>
      </c>
      <c r="D67" s="8" t="n">
        <f aca="false">IFERROR(SUMIFS(Media_Cliente_Mes!$C$2:$C$145,Media_Cliente_Mes!$A$2:$A$145,$D$66,Media_Cliente_Mes!$B$2:$B$145,$A66),0)</f>
        <v>77775.89</v>
      </c>
      <c r="E67" s="8" t="n">
        <f aca="false">IFERROR(SUMIFS(Media_Cliente_Mes!$C$2:$C$145,Media_Cliente_Mes!$A$2:$A$145,$E$66,Media_Cliente_Mes!$B$2:$B$145,$A66),0)</f>
        <v>5005.2</v>
      </c>
      <c r="F67" s="8" t="n">
        <f aca="false">IFERROR(SUMIFS(Media_Cliente_Mes!$C$2:$C$145,Media_Cliente_Mes!$A$2:$A$145,$F$66,Media_Cliente_Mes!$B$2:$B$145,$A66),0)</f>
        <v>70028.07</v>
      </c>
      <c r="G67" s="8" t="n">
        <f aca="false">IFERROR(SUMIFS(Media_Cliente_Mes!$C$2:$C$145,Media_Cliente_Mes!$A$2:$A$145,$G$66,Media_Cliente_Mes!$B$2:$B$145,$A66),0)</f>
        <v>47668.74</v>
      </c>
      <c r="H67" s="8" t="n">
        <f aca="false">IFERROR(SUMIFS(Media_Cliente_Mes!$C$2:$C$145,Media_Cliente_Mes!$A$2:$A$145,$H$66,Media_Cliente_Mes!$B$2:$B$145,$A66),0)</f>
        <v>78501.68</v>
      </c>
      <c r="I67" s="8" t="n">
        <f aca="false">IFERROR(SUMIFS(Media_Cliente_Mes!$C$2:$C$145,Media_Cliente_Mes!$A$2:$A$145,$I$66,Media_Cliente_Mes!$B$2:$B$145,$A66),0)</f>
        <v>11582.49</v>
      </c>
      <c r="J67" s="8" t="n">
        <f aca="false">IFERROR(SUMIFS(Media_Cliente_Mes!$C$2:$C$145,Media_Cliente_Mes!$A$2:$A$145,$J$66,Media_Cliente_Mes!$B$2:$B$145,$A66),0)</f>
        <v>0</v>
      </c>
      <c r="K67" s="8" t="n">
        <f aca="false">IFERROR(SUMIFS(Media_Cliente_Mes!$C$2:$C$145,Media_Cliente_Mes!$A$2:$A$145,$K$66,Media_Cliente_Mes!$B$2:$B$145,$A66),0)</f>
        <v>33862.86</v>
      </c>
      <c r="L67" s="8" t="n">
        <f aca="false">IFERROR(SUMIFS(Media_Cliente_Mes!$C$2:$C$145,Media_Cliente_Mes!$A$2:$A$145,$L$66,Media_Cliente_Mes!$B$2:$B$145,$A66),0)</f>
        <v>0</v>
      </c>
      <c r="M67" s="8" t="n">
        <f aca="false">IFERROR(SUMIFS(Media_Cliente_Mes!$C$2:$C$145,Media_Cliente_Mes!$A$2:$A$145,$M$66,Media_Cliente_Mes!$B$2:$B$145,$A66),0)</f>
        <v>0</v>
      </c>
      <c r="N67" s="9" t="n">
        <f aca="false">SUM(B67:M67)</f>
        <v>412023.56</v>
      </c>
    </row>
    <row r="68" customFormat="false" ht="15" hidden="false" customHeight="false" outlineLevel="0" collapsed="false">
      <c r="A68" s="7" t="s">
        <v>53</v>
      </c>
      <c r="B68" s="10" t="n">
        <f aca="false">IFERROR(SUMIFS(Media_Cliente_Mes!$D$2:$D$145,Media_Cliente_Mes!$A$2:$A$145,$B$66,Media_Cliente_Mes!$B$2:$B$145,$A66),0)</f>
        <v>46.6847857656989</v>
      </c>
      <c r="C68" s="10" t="n">
        <f aca="false">IFERROR(SUMIFS(Media_Cliente_Mes!$D$2:$D$145,Media_Cliente_Mes!$A$2:$A$145,$C$66,Media_Cliente_Mes!$B$2:$B$145,$A66),0)</f>
        <v>47.4500461400965</v>
      </c>
      <c r="D68" s="10" t="n">
        <f aca="false">IFERROR(SUMIFS(Media_Cliente_Mes!$D$2:$D$145,Media_Cliente_Mes!$A$2:$A$145,$D$66,Media_Cliente_Mes!$B$2:$B$145,$A66),0)</f>
        <v>48.0554540770925</v>
      </c>
      <c r="E68" s="10" t="n">
        <f aca="false">IFERROR(SUMIFS(Media_Cliente_Mes!$D$2:$D$145,Media_Cliente_Mes!$A$2:$A$145,$E$66,Media_Cliente_Mes!$B$2:$B$145,$A66),0)</f>
        <v>47.1574070566611</v>
      </c>
      <c r="F68" s="10" t="n">
        <f aca="false">IFERROR(SUMIFS(Media_Cliente_Mes!$D$2:$D$145,Media_Cliente_Mes!$A$2:$A$145,$F$66,Media_Cliente_Mes!$B$2:$B$145,$A66),0)</f>
        <v>47.0074795578402</v>
      </c>
      <c r="G68" s="10" t="n">
        <f aca="false">IFERROR(SUMIFS(Media_Cliente_Mes!$D$2:$D$145,Media_Cliente_Mes!$A$2:$A$145,$G$66,Media_Cliente_Mes!$B$2:$B$145,$A66),0)</f>
        <v>47.1529461529715</v>
      </c>
      <c r="H68" s="10" t="n">
        <f aca="false">IFERROR(SUMIFS(Media_Cliente_Mes!$D$2:$D$145,Media_Cliente_Mes!$A$2:$A$145,$H$66,Media_Cliente_Mes!$B$2:$B$145,$A66),0)</f>
        <v>47.2132038384401</v>
      </c>
      <c r="I68" s="10" t="n">
        <f aca="false">IFERROR(SUMIFS(Media_Cliente_Mes!$D$2:$D$145,Media_Cliente_Mes!$A$2:$A$145,$I$66,Media_Cliente_Mes!$B$2:$B$145,$A66),0)</f>
        <v>47.4047032719217</v>
      </c>
      <c r="J68" s="10" t="n">
        <f aca="false">IFERROR(SUMIFS(Media_Cliente_Mes!$D$2:$D$145,Media_Cliente_Mes!$A$2:$A$145,$J$66,Media_Cliente_Mes!$B$2:$B$145,$A66),0)</f>
        <v>0</v>
      </c>
      <c r="K68" s="10" t="n">
        <f aca="false">IFERROR(SUMIFS(Media_Cliente_Mes!$D$2:$D$145,Media_Cliente_Mes!$A$2:$A$145,$K$66,Media_Cliente_Mes!$B$2:$B$145,$A66),0)</f>
        <v>47.4182555165157</v>
      </c>
      <c r="L68" s="10" t="n">
        <f aca="false">IFERROR(SUMIFS(Media_Cliente_Mes!$D$2:$D$145,Media_Cliente_Mes!$A$2:$A$145,$L$66,Media_Cliente_Mes!$B$2:$B$145,$A66),0)</f>
        <v>0</v>
      </c>
      <c r="M68" s="10" t="n">
        <f aca="false">IFERROR(SUMIFS(Media_Cliente_Mes!$D$2:$D$145,Media_Cliente_Mes!$A$2:$A$145,$M$66,Media_Cliente_Mes!$B$2:$B$145,$A66),0)</f>
        <v>0</v>
      </c>
      <c r="N68" s="11" t="n">
        <f aca="false">IFERROR(SUMPRODUCT(B67:M67,B68:M68)/SUM(B67:M67),0)</f>
        <v>47.3199561197423</v>
      </c>
    </row>
    <row r="69" customFormat="false" ht="15" hidden="false" customHeight="false" outlineLevel="0" collapsed="false">
      <c r="A69" s="7" t="s">
        <v>54</v>
      </c>
      <c r="B69" s="10" t="n">
        <f aca="false">IFERROR(SUMIFS(Media_Cliente_Mes!$E$2:$E$145,Media_Cliente_Mes!$A$2:$A$145,$B$66,Media_Cliente_Mes!$B$2:$B$145,$A66),0)</f>
        <v>12.0926542126849</v>
      </c>
      <c r="C69" s="10" t="n">
        <f aca="false">IFERROR(SUMIFS(Media_Cliente_Mes!$E$2:$E$145,Media_Cliente_Mes!$A$2:$A$145,$C$66,Media_Cliente_Mes!$B$2:$B$145,$A66),0)</f>
        <v>12.2156633732091</v>
      </c>
      <c r="D69" s="10" t="n">
        <f aca="false">IFERROR(SUMIFS(Media_Cliente_Mes!$E$2:$E$145,Media_Cliente_Mes!$A$2:$A$145,$D$66,Media_Cliente_Mes!$B$2:$B$145,$A66),0)</f>
        <v>12.3959995803327</v>
      </c>
      <c r="E69" s="10" t="n">
        <f aca="false">IFERROR(SUMIFS(Media_Cliente_Mes!$E$2:$E$145,Media_Cliente_Mes!$A$2:$A$145,$E$66,Media_Cliente_Mes!$B$2:$B$145,$A66),0)</f>
        <v>12.3512501198753</v>
      </c>
      <c r="F69" s="10" t="n">
        <f aca="false">IFERROR(SUMIFS(Media_Cliente_Mes!$E$2:$E$145,Media_Cliente_Mes!$A$2:$A$145,$F$66,Media_Cliente_Mes!$B$2:$B$145,$A66),0)</f>
        <v>11.923930461028</v>
      </c>
      <c r="G69" s="10" t="n">
        <f aca="false">IFERROR(SUMIFS(Media_Cliente_Mes!$E$2:$E$145,Media_Cliente_Mes!$A$2:$A$145,$G$66,Media_Cliente_Mes!$B$2:$B$145,$A66),0)</f>
        <v>11.9345679453663</v>
      </c>
      <c r="H69" s="10" t="n">
        <f aca="false">IFERROR(SUMIFS(Media_Cliente_Mes!$E$2:$E$145,Media_Cliente_Mes!$A$2:$A$145,$H$66,Media_Cliente_Mes!$B$2:$B$145,$A66),0)</f>
        <v>12.1241707718867</v>
      </c>
      <c r="I69" s="10" t="n">
        <f aca="false">IFERROR(SUMIFS(Media_Cliente_Mes!$E$2:$E$145,Media_Cliente_Mes!$A$2:$A$145,$I$66,Media_Cliente_Mes!$B$2:$B$145,$A66),0)</f>
        <v>12.3567068221082</v>
      </c>
      <c r="J69" s="10" t="n">
        <f aca="false">IFERROR(SUMIFS(Media_Cliente_Mes!$E$2:$E$145,Media_Cliente_Mes!$A$2:$A$145,$J$66,Media_Cliente_Mes!$B$2:$B$145,$A66),0)</f>
        <v>0</v>
      </c>
      <c r="K69" s="10" t="n">
        <f aca="false">IFERROR(SUMIFS(Media_Cliente_Mes!$E$2:$E$145,Media_Cliente_Mes!$A$2:$A$145,$K$66,Media_Cliente_Mes!$B$2:$B$145,$A66),0)</f>
        <v>12.9977005368123</v>
      </c>
      <c r="L69" s="10" t="n">
        <f aca="false">IFERROR(SUMIFS(Media_Cliente_Mes!$E$2:$E$145,Media_Cliente_Mes!$A$2:$A$145,$L$66,Media_Cliente_Mes!$B$2:$B$145,$A66),0)</f>
        <v>0</v>
      </c>
      <c r="M69" s="10" t="n">
        <f aca="false">IFERROR(SUMIFS(Media_Cliente_Mes!$E$2:$E$145,Media_Cliente_Mes!$A$2:$A$145,$M$66,Media_Cliente_Mes!$B$2:$B$145,$A66),0)</f>
        <v>0</v>
      </c>
      <c r="N69" s="11" t="n">
        <f aca="false">IFERROR(SUMPRODUCT(B67:M67,B69:M69)/SUM(B67:M67),0)</f>
        <v>12.2068387200965</v>
      </c>
    </row>
    <row r="70" customFormat="false" ht="15" hidden="false" customHeight="false" outlineLevel="0" collapsed="false">
      <c r="A70" s="7" t="s">
        <v>55</v>
      </c>
      <c r="B70" s="10" t="n">
        <f aca="false">IFERROR(SUMIFS(Media_Cliente_Mes!$F$2:$F$145,Media_Cliente_Mes!$A$2:$A$145,$B$66,Media_Cliente_Mes!$B$2:$B$145,$A66),0)</f>
        <v>3.98946561050009</v>
      </c>
      <c r="C70" s="10" t="n">
        <f aca="false">IFERROR(SUMIFS(Media_Cliente_Mes!$F$2:$F$145,Media_Cliente_Mes!$A$2:$A$145,$C$66,Media_Cliente_Mes!$B$2:$B$145,$A66),0)</f>
        <v>3.72450805011421</v>
      </c>
      <c r="D70" s="10" t="n">
        <f aca="false">IFERROR(SUMIFS(Media_Cliente_Mes!$F$2:$F$145,Media_Cliente_Mes!$A$2:$A$145,$D$66,Media_Cliente_Mes!$B$2:$B$145,$A66),0)</f>
        <v>3.41285904667886</v>
      </c>
      <c r="E70" s="10" t="n">
        <f aca="false">IFERROR(SUMIFS(Media_Cliente_Mes!$F$2:$F$145,Media_Cliente_Mes!$A$2:$A$145,$E$66,Media_Cliente_Mes!$B$2:$B$145,$A66),0)</f>
        <v>3.92197017102214</v>
      </c>
      <c r="F70" s="10" t="n">
        <f aca="false">IFERROR(SUMIFS(Media_Cliente_Mes!$F$2:$F$145,Media_Cliente_Mes!$A$2:$A$145,$F$66,Media_Cliente_Mes!$B$2:$B$145,$A66),0)</f>
        <v>3.90033135712579</v>
      </c>
      <c r="G70" s="10" t="n">
        <f aca="false">IFERROR(SUMIFS(Media_Cliente_Mes!$F$2:$F$145,Media_Cliente_Mes!$A$2:$A$145,$G$66,Media_Cliente_Mes!$B$2:$B$145,$A66),0)</f>
        <v>3.85339618374641</v>
      </c>
      <c r="H70" s="10" t="n">
        <f aca="false">IFERROR(SUMIFS(Media_Cliente_Mes!$F$2:$F$145,Media_Cliente_Mes!$A$2:$A$145,$H$66,Media_Cliente_Mes!$B$2:$B$145,$A66),0)</f>
        <v>3.80781625947368</v>
      </c>
      <c r="I70" s="10" t="n">
        <f aca="false">IFERROR(SUMIFS(Media_Cliente_Mes!$F$2:$F$145,Media_Cliente_Mes!$A$2:$A$145,$I$66,Media_Cliente_Mes!$B$2:$B$145,$A66),0)</f>
        <v>3.75247210228543</v>
      </c>
      <c r="J70" s="10" t="n">
        <f aca="false">IFERROR(SUMIFS(Media_Cliente_Mes!$F$2:$F$145,Media_Cliente_Mes!$A$2:$A$145,$J$66,Media_Cliente_Mes!$B$2:$B$145,$A66),0)</f>
        <v>0</v>
      </c>
      <c r="K70" s="10" t="n">
        <f aca="false">IFERROR(SUMIFS(Media_Cliente_Mes!$F$2:$F$145,Media_Cliente_Mes!$A$2:$A$145,$K$66,Media_Cliente_Mes!$B$2:$B$145,$A66),0)</f>
        <v>3.86167457798898</v>
      </c>
      <c r="L70" s="10" t="n">
        <f aca="false">IFERROR(SUMIFS(Media_Cliente_Mes!$F$2:$F$145,Media_Cliente_Mes!$A$2:$A$145,$L$66,Media_Cliente_Mes!$B$2:$B$145,$A66),0)</f>
        <v>0</v>
      </c>
      <c r="M70" s="10" t="n">
        <f aca="false">IFERROR(SUMIFS(Media_Cliente_Mes!$F$2:$F$145,Media_Cliente_Mes!$A$2:$A$145,$M$66,Media_Cliente_Mes!$B$2:$B$145,$A66),0)</f>
        <v>0</v>
      </c>
      <c r="N70" s="11" t="n">
        <f aca="false">IFERROR(SUMPRODUCT(B67:M67,B70:M70)/SUM(B67:M67),0)</f>
        <v>3.7692688740906</v>
      </c>
    </row>
    <row r="71" customFormat="false" ht="15" hidden="false" customHeight="false" outlineLevel="0" collapsed="false">
      <c r="A71" s="7" t="s">
        <v>56</v>
      </c>
      <c r="B71" s="10" t="n">
        <f aca="false">IFERROR(SUMIFS(Media_Cliente_Mes!$G$2:$G$145,Media_Cliente_Mes!$A$2:$A$145,$B$66,Media_Cliente_Mes!$B$2:$B$145,$A66),0)</f>
        <v>1.56388846089372</v>
      </c>
      <c r="C71" s="10" t="n">
        <f aca="false">IFERROR(SUMIFS(Media_Cliente_Mes!$G$2:$G$145,Media_Cliente_Mes!$A$2:$A$145,$C$66,Media_Cliente_Mes!$B$2:$B$145,$A66),0)</f>
        <v>1.5082864636564</v>
      </c>
      <c r="D71" s="10" t="n">
        <f aca="false">IFERROR(SUMIFS(Media_Cliente_Mes!$G$2:$G$145,Media_Cliente_Mes!$A$2:$A$145,$D$66,Media_Cliente_Mes!$B$2:$B$145,$A66),0)</f>
        <v>1.05339736774468</v>
      </c>
      <c r="E71" s="10" t="n">
        <f aca="false">IFERROR(SUMIFS(Media_Cliente_Mes!$G$2:$G$145,Media_Cliente_Mes!$A$2:$A$145,$E$66,Media_Cliente_Mes!$B$2:$B$145,$A66),0)</f>
        <v>1.34203666187165</v>
      </c>
      <c r="F71" s="10" t="n">
        <f aca="false">IFERROR(SUMIFS(Media_Cliente_Mes!$G$2:$G$145,Media_Cliente_Mes!$A$2:$A$145,$F$66,Media_Cliente_Mes!$B$2:$B$145,$A66),0)</f>
        <v>1.65335985269907</v>
      </c>
      <c r="G71" s="10" t="n">
        <f aca="false">IFERROR(SUMIFS(Media_Cliente_Mes!$G$2:$G$145,Media_Cliente_Mes!$A$2:$A$145,$G$66,Media_Cliente_Mes!$B$2:$B$145,$A66),0)</f>
        <v>1.58431325644437</v>
      </c>
      <c r="H71" s="10" t="n">
        <f aca="false">IFERROR(SUMIFS(Media_Cliente_Mes!$G$2:$G$145,Media_Cliente_Mes!$A$2:$A$145,$H$66,Media_Cliente_Mes!$B$2:$B$145,$A66),0)</f>
        <v>1.61950174059969</v>
      </c>
      <c r="I71" s="10" t="n">
        <f aca="false">IFERROR(SUMIFS(Media_Cliente_Mes!$G$2:$G$145,Media_Cliente_Mes!$A$2:$A$145,$I$66,Media_Cliente_Mes!$B$2:$B$145,$A66),0)</f>
        <v>1.55082551333953</v>
      </c>
      <c r="J71" s="10" t="n">
        <f aca="false">IFERROR(SUMIFS(Media_Cliente_Mes!$G$2:$G$145,Media_Cliente_Mes!$A$2:$A$145,$J$66,Media_Cliente_Mes!$B$2:$B$145,$A66),0)</f>
        <v>0</v>
      </c>
      <c r="K71" s="10" t="n">
        <f aca="false">IFERROR(SUMIFS(Media_Cliente_Mes!$G$2:$G$145,Media_Cliente_Mes!$A$2:$A$145,$K$66,Media_Cliente_Mes!$B$2:$B$145,$A66),0)</f>
        <v>1.08642470246164</v>
      </c>
      <c r="L71" s="10" t="n">
        <f aca="false">IFERROR(SUMIFS(Media_Cliente_Mes!$G$2:$G$145,Media_Cliente_Mes!$A$2:$A$145,$L$66,Media_Cliente_Mes!$B$2:$B$145,$A66),0)</f>
        <v>0</v>
      </c>
      <c r="M71" s="10" t="n">
        <f aca="false">IFERROR(SUMIFS(Media_Cliente_Mes!$G$2:$G$145,Media_Cliente_Mes!$A$2:$A$145,$M$66,Media_Cliente_Mes!$B$2:$B$145,$A66),0)</f>
        <v>0</v>
      </c>
      <c r="N71" s="11" t="n">
        <f aca="false">IFERROR(SUMPRODUCT(B67:M67,B71:M71)/SUM(B67:M67),0)</f>
        <v>1.44753936692358</v>
      </c>
    </row>
    <row r="72" customFormat="false" ht="15" hidden="false" customHeight="false" outlineLevel="0" collapsed="false">
      <c r="A72" s="7" t="s">
        <v>57</v>
      </c>
      <c r="B72" s="8" t="n">
        <f aca="false">IFERROR(SUMIFS(Media_Cliente_Mes!$H$2:$H$145,Media_Cliente_Mes!$A$2:$A$145,$B$66,Media_Cliente_Mes!$B$2:$B$145,$A66),0)</f>
        <v>0</v>
      </c>
      <c r="C72" s="8" t="n">
        <f aca="false">IFERROR(SUMIFS(Media_Cliente_Mes!$H$2:$H$145,Media_Cliente_Mes!$A$2:$A$145,$C$66,Media_Cliente_Mes!$B$2:$B$145,$A66),0)</f>
        <v>41538.79</v>
      </c>
      <c r="D72" s="8" t="n">
        <f aca="false">IFERROR(SUMIFS(Media_Cliente_Mes!$H$2:$H$145,Media_Cliente_Mes!$A$2:$A$145,$D$66,Media_Cliente_Mes!$B$2:$B$145,$A66),0)</f>
        <v>1976.25</v>
      </c>
      <c r="E72" s="8" t="n">
        <f aca="false">IFERROR(SUMIFS(Media_Cliente_Mes!$H$2:$H$145,Media_Cliente_Mes!$A$2:$A$145,$E$66,Media_Cliente_Mes!$B$2:$B$145,$A66),0)</f>
        <v>5005.2</v>
      </c>
      <c r="F72" s="8" t="n">
        <f aca="false">IFERROR(SUMIFS(Media_Cliente_Mes!$H$2:$H$145,Media_Cliente_Mes!$A$2:$A$145,$F$66,Media_Cliente_Mes!$B$2:$B$145,$A66),0)</f>
        <v>4866.18</v>
      </c>
      <c r="G72" s="8" t="n">
        <f aca="false">IFERROR(SUMIFS(Media_Cliente_Mes!$H$2:$H$145,Media_Cliente_Mes!$A$2:$A$145,$G$66,Media_Cliente_Mes!$B$2:$B$145,$A66),0)</f>
        <v>16733.4</v>
      </c>
      <c r="H72" s="8" t="n">
        <f aca="false">IFERROR(SUMIFS(Media_Cliente_Mes!$H$2:$H$145,Media_Cliente_Mes!$A$2:$A$145,$H$66,Media_Cliente_Mes!$B$2:$B$145,$A66),0)</f>
        <v>37.21</v>
      </c>
      <c r="I72" s="8" t="n">
        <f aca="false">IFERROR(SUMIFS(Media_Cliente_Mes!$H$2:$H$145,Media_Cliente_Mes!$A$2:$A$145,$I$66,Media_Cliente_Mes!$B$2:$B$145,$A66),0)</f>
        <v>0</v>
      </c>
      <c r="J72" s="8" t="n">
        <f aca="false">IFERROR(SUMIFS(Media_Cliente_Mes!$H$2:$H$145,Media_Cliente_Mes!$A$2:$A$145,$J$66,Media_Cliente_Mes!$B$2:$B$145,$A66),0)</f>
        <v>0</v>
      </c>
      <c r="K72" s="8" t="n">
        <f aca="false">IFERROR(SUMIFS(Media_Cliente_Mes!$H$2:$H$145,Media_Cliente_Mes!$A$2:$A$145,$K$66,Media_Cliente_Mes!$B$2:$B$145,$A66),0)</f>
        <v>0</v>
      </c>
      <c r="L72" s="8" t="n">
        <f aca="false">IFERROR(SUMIFS(Media_Cliente_Mes!$H$2:$H$145,Media_Cliente_Mes!$A$2:$A$145,$L$66,Media_Cliente_Mes!$B$2:$B$145,$A66),0)</f>
        <v>0</v>
      </c>
      <c r="M72" s="8" t="n">
        <f aca="false">IFERROR(SUMIFS(Media_Cliente_Mes!$H$2:$H$145,Media_Cliente_Mes!$A$2:$A$145,$M$66,Media_Cliente_Mes!$B$2:$B$145,$A66),0)</f>
        <v>0</v>
      </c>
      <c r="N72" s="9" t="n">
        <f aca="false">SUM(B72:M72)</f>
        <v>70157.03</v>
      </c>
    </row>
    <row r="73" customFormat="false" ht="15" hidden="false" customHeight="false" outlineLevel="0" collapsed="false">
      <c r="A73" s="7" t="s">
        <v>58</v>
      </c>
      <c r="B73" s="8" t="n">
        <f aca="false">IFERROR(SUMIFS(Media_Cliente_Mes!$I$2:$I$145,Media_Cliente_Mes!$A$2:$A$145,$B$66,Media_Cliente_Mes!$B$2:$B$145,$A66),0)</f>
        <v>44263.22</v>
      </c>
      <c r="C73" s="8" t="n">
        <f aca="false">IFERROR(SUMIFS(Media_Cliente_Mes!$I$2:$I$145,Media_Cliente_Mes!$A$2:$A$145,$C$66,Media_Cliente_Mes!$B$2:$B$145,$A66),0)</f>
        <v>1796.62</v>
      </c>
      <c r="D73" s="8" t="n">
        <f aca="false">IFERROR(SUMIFS(Media_Cliente_Mes!$I$2:$I$145,Media_Cliente_Mes!$A$2:$A$145,$D$66,Media_Cliente_Mes!$B$2:$B$145,$A66),0)</f>
        <v>75799.64</v>
      </c>
      <c r="E73" s="8" t="n">
        <f aca="false">IFERROR(SUMIFS(Media_Cliente_Mes!$I$2:$I$145,Media_Cliente_Mes!$A$2:$A$145,$E$66,Media_Cliente_Mes!$B$2:$B$145,$A66),0)</f>
        <v>0</v>
      </c>
      <c r="F73" s="8" t="n">
        <f aca="false">IFERROR(SUMIFS(Media_Cliente_Mes!$I$2:$I$145,Media_Cliente_Mes!$A$2:$A$145,$F$66,Media_Cliente_Mes!$B$2:$B$145,$A66),0)</f>
        <v>65161.89</v>
      </c>
      <c r="G73" s="8" t="n">
        <f aca="false">IFERROR(SUMIFS(Media_Cliente_Mes!$I$2:$I$145,Media_Cliente_Mes!$A$2:$A$145,$G$66,Media_Cliente_Mes!$B$2:$B$145,$A66),0)</f>
        <v>30935.34</v>
      </c>
      <c r="H73" s="8" t="n">
        <f aca="false">IFERROR(SUMIFS(Media_Cliente_Mes!$I$2:$I$145,Media_Cliente_Mes!$A$2:$A$145,$H$66,Media_Cliente_Mes!$B$2:$B$145,$A66),0)</f>
        <v>78464.47</v>
      </c>
      <c r="I73" s="8" t="n">
        <f aca="false">IFERROR(SUMIFS(Media_Cliente_Mes!$I$2:$I$145,Media_Cliente_Mes!$A$2:$A$145,$I$66,Media_Cliente_Mes!$B$2:$B$145,$A66),0)</f>
        <v>11582.49</v>
      </c>
      <c r="J73" s="8" t="n">
        <f aca="false">IFERROR(SUMIFS(Media_Cliente_Mes!$I$2:$I$145,Media_Cliente_Mes!$A$2:$A$145,$J$66,Media_Cliente_Mes!$B$2:$B$145,$A66),0)</f>
        <v>0</v>
      </c>
      <c r="K73" s="8" t="n">
        <f aca="false">IFERROR(SUMIFS(Media_Cliente_Mes!$I$2:$I$145,Media_Cliente_Mes!$A$2:$A$145,$K$66,Media_Cliente_Mes!$B$2:$B$145,$A66),0)</f>
        <v>33862.86</v>
      </c>
      <c r="L73" s="8" t="n">
        <f aca="false">IFERROR(SUMIFS(Media_Cliente_Mes!$I$2:$I$145,Media_Cliente_Mes!$A$2:$A$145,$L$66,Media_Cliente_Mes!$B$2:$B$145,$A66),0)</f>
        <v>0</v>
      </c>
      <c r="M73" s="8" t="n">
        <f aca="false">IFERROR(SUMIFS(Media_Cliente_Mes!$I$2:$I$145,Media_Cliente_Mes!$A$2:$A$145,$M$66,Media_Cliente_Mes!$B$2:$B$145,$A66),0)</f>
        <v>0</v>
      </c>
      <c r="N73" s="9" t="n">
        <f aca="false">SUM(B73:M73)</f>
        <v>341866.53</v>
      </c>
    </row>
    <row r="75" customFormat="false" ht="15" hidden="false" customHeight="false" outlineLevel="0" collapsed="false">
      <c r="A75" s="5" t="s">
        <v>66</v>
      </c>
      <c r="B75" s="6" t="s">
        <v>39</v>
      </c>
      <c r="C75" s="6" t="s">
        <v>40</v>
      </c>
      <c r="D75" s="6" t="s">
        <v>41</v>
      </c>
      <c r="E75" s="6" t="s">
        <v>42</v>
      </c>
      <c r="F75" s="6" t="s">
        <v>43</v>
      </c>
      <c r="G75" s="6" t="s">
        <v>44</v>
      </c>
      <c r="H75" s="6" t="s">
        <v>45</v>
      </c>
      <c r="I75" s="6" t="s">
        <v>46</v>
      </c>
      <c r="J75" s="6" t="s">
        <v>47</v>
      </c>
      <c r="K75" s="6" t="s">
        <v>48</v>
      </c>
      <c r="L75" s="6" t="s">
        <v>49</v>
      </c>
      <c r="M75" s="6" t="s">
        <v>50</v>
      </c>
      <c r="N75" s="6" t="s">
        <v>51</v>
      </c>
    </row>
    <row r="76" customFormat="false" ht="15" hidden="false" customHeight="false" outlineLevel="0" collapsed="false">
      <c r="A76" s="7" t="s">
        <v>52</v>
      </c>
      <c r="B76" s="8" t="n">
        <f aca="false">IFERROR(SUMIFS(Media_Cliente_Mes!$C$2:$C$145,Media_Cliente_Mes!$A$2:$A$145,$B$75,Media_Cliente_Mes!$B$2:$B$145,$A75),0)</f>
        <v>2244.02</v>
      </c>
      <c r="C76" s="8" t="n">
        <f aca="false">IFERROR(SUMIFS(Media_Cliente_Mes!$C$2:$C$145,Media_Cliente_Mes!$A$2:$A$145,$C$75,Media_Cliente_Mes!$B$2:$B$145,$A75),0)</f>
        <v>9195.05</v>
      </c>
      <c r="D76" s="8" t="n">
        <f aca="false">IFERROR(SUMIFS(Media_Cliente_Mes!$C$2:$C$145,Media_Cliente_Mes!$A$2:$A$145,$D$75,Media_Cliente_Mes!$B$2:$B$145,$A75),0)</f>
        <v>4163.45</v>
      </c>
      <c r="E76" s="8" t="n">
        <f aca="false">IFERROR(SUMIFS(Media_Cliente_Mes!$C$2:$C$145,Media_Cliente_Mes!$A$2:$A$145,$E$75,Media_Cliente_Mes!$B$2:$B$145,$A75),0)</f>
        <v>229.82</v>
      </c>
      <c r="F76" s="8" t="n">
        <f aca="false">IFERROR(SUMIFS(Media_Cliente_Mes!$C$2:$C$145,Media_Cliente_Mes!$A$2:$A$145,$F$75,Media_Cliente_Mes!$B$2:$B$145,$A75),0)</f>
        <v>16598.01</v>
      </c>
      <c r="G76" s="8" t="n">
        <f aca="false">IFERROR(SUMIFS(Media_Cliente_Mes!$C$2:$C$145,Media_Cliente_Mes!$A$2:$A$145,$G$75,Media_Cliente_Mes!$B$2:$B$145,$A75),0)</f>
        <v>5121.78</v>
      </c>
      <c r="H76" s="8" t="n">
        <f aca="false">IFERROR(SUMIFS(Media_Cliente_Mes!$C$2:$C$145,Media_Cliente_Mes!$A$2:$A$145,$H$75,Media_Cliente_Mes!$B$2:$B$145,$A75),0)</f>
        <v>19994.68</v>
      </c>
      <c r="I76" s="8" t="n">
        <f aca="false">IFERROR(SUMIFS(Media_Cliente_Mes!$C$2:$C$145,Media_Cliente_Mes!$A$2:$A$145,$I$75,Media_Cliente_Mes!$B$2:$B$145,$A75),0)</f>
        <v>3730.96</v>
      </c>
      <c r="J76" s="8" t="n">
        <f aca="false">IFERROR(SUMIFS(Media_Cliente_Mes!$C$2:$C$145,Media_Cliente_Mes!$A$2:$A$145,$J$75,Media_Cliente_Mes!$B$2:$B$145,$A75),0)</f>
        <v>0</v>
      </c>
      <c r="K76" s="8" t="n">
        <f aca="false">IFERROR(SUMIFS(Media_Cliente_Mes!$C$2:$C$145,Media_Cliente_Mes!$A$2:$A$145,$K$75,Media_Cliente_Mes!$B$2:$B$145,$A75),0)</f>
        <v>6769.23</v>
      </c>
      <c r="L76" s="8" t="n">
        <f aca="false">IFERROR(SUMIFS(Media_Cliente_Mes!$C$2:$C$145,Media_Cliente_Mes!$A$2:$A$145,$L$75,Media_Cliente_Mes!$B$2:$B$145,$A75),0)</f>
        <v>0</v>
      </c>
      <c r="M76" s="8" t="n">
        <f aca="false">IFERROR(SUMIFS(Media_Cliente_Mes!$C$2:$C$145,Media_Cliente_Mes!$A$2:$A$145,$M$75,Media_Cliente_Mes!$B$2:$B$145,$A75),0)</f>
        <v>0</v>
      </c>
      <c r="N76" s="9" t="n">
        <f aca="false">SUM(B76:M76)</f>
        <v>68047</v>
      </c>
    </row>
    <row r="77" customFormat="false" ht="15" hidden="false" customHeight="false" outlineLevel="0" collapsed="false">
      <c r="A77" s="7" t="s">
        <v>53</v>
      </c>
      <c r="B77" s="10" t="n">
        <f aca="false">IFERROR(SUMIFS(Media_Cliente_Mes!$D$2:$D$145,Media_Cliente_Mes!$A$2:$A$145,$B$75,Media_Cliente_Mes!$B$2:$B$145,$A75),0)</f>
        <v>47.12</v>
      </c>
      <c r="C77" s="10" t="n">
        <f aca="false">IFERROR(SUMIFS(Media_Cliente_Mes!$D$2:$D$145,Media_Cliente_Mes!$A$2:$A$145,$C$75,Media_Cliente_Mes!$B$2:$B$145,$A75),0)</f>
        <v>47.8702843703949</v>
      </c>
      <c r="D77" s="10" t="n">
        <f aca="false">IFERROR(SUMIFS(Media_Cliente_Mes!$D$2:$D$145,Media_Cliente_Mes!$A$2:$A$145,$D$75,Media_Cliente_Mes!$B$2:$B$145,$A75),0)</f>
        <v>47.91</v>
      </c>
      <c r="E77" s="10" t="n">
        <f aca="false">IFERROR(SUMIFS(Media_Cliente_Mes!$D$2:$D$145,Media_Cliente_Mes!$A$2:$A$145,$E$75,Media_Cliente_Mes!$B$2:$B$145,$A75),0)</f>
        <v>47.26</v>
      </c>
      <c r="F77" s="10" t="n">
        <f aca="false">IFERROR(SUMIFS(Media_Cliente_Mes!$D$2:$D$145,Media_Cliente_Mes!$A$2:$A$145,$F$75,Media_Cliente_Mes!$B$2:$B$145,$A75),0)</f>
        <v>47.51</v>
      </c>
      <c r="G77" s="10" t="n">
        <f aca="false">IFERROR(SUMIFS(Media_Cliente_Mes!$D$2:$D$145,Media_Cliente_Mes!$A$2:$A$145,$G$75,Media_Cliente_Mes!$B$2:$B$145,$A75),0)</f>
        <v>47.7855840742867</v>
      </c>
      <c r="H77" s="10" t="n">
        <f aca="false">IFERROR(SUMIFS(Media_Cliente_Mes!$D$2:$D$145,Media_Cliente_Mes!$A$2:$A$145,$H$75,Media_Cliente_Mes!$B$2:$B$145,$A75),0)</f>
        <v>47.2522293179986</v>
      </c>
      <c r="I77" s="10" t="n">
        <f aca="false">IFERROR(SUMIFS(Media_Cliente_Mes!$D$2:$D$145,Media_Cliente_Mes!$A$2:$A$145,$I$75,Media_Cliente_Mes!$B$2:$B$145,$A75),0)</f>
        <v>47.3</v>
      </c>
      <c r="J77" s="10" t="n">
        <f aca="false">IFERROR(SUMIFS(Media_Cliente_Mes!$D$2:$D$145,Media_Cliente_Mes!$A$2:$A$145,$J$75,Media_Cliente_Mes!$B$2:$B$145,$A75),0)</f>
        <v>0</v>
      </c>
      <c r="K77" s="10" t="n">
        <f aca="false">IFERROR(SUMIFS(Media_Cliente_Mes!$D$2:$D$145,Media_Cliente_Mes!$A$2:$A$145,$K$75,Media_Cliente_Mes!$B$2:$B$145,$A75),0)</f>
        <v>47.87</v>
      </c>
      <c r="L77" s="10" t="n">
        <f aca="false">IFERROR(SUMIFS(Media_Cliente_Mes!$D$2:$D$145,Media_Cliente_Mes!$A$2:$A$145,$L$75,Media_Cliente_Mes!$B$2:$B$145,$A75),0)</f>
        <v>0</v>
      </c>
      <c r="M77" s="10" t="n">
        <f aca="false">IFERROR(SUMIFS(Media_Cliente_Mes!$D$2:$D$145,Media_Cliente_Mes!$A$2:$A$145,$M$75,Media_Cliente_Mes!$B$2:$B$145,$A75),0)</f>
        <v>0</v>
      </c>
      <c r="N77" s="11" t="n">
        <f aca="false">IFERROR(SUMPRODUCT(B76:M76,B77:M77)/SUM(B76:M76),0)</f>
        <v>47.5387514497333</v>
      </c>
    </row>
    <row r="78" customFormat="false" ht="15" hidden="false" customHeight="false" outlineLevel="0" collapsed="false">
      <c r="A78" s="7" t="s">
        <v>54</v>
      </c>
      <c r="B78" s="10" t="n">
        <f aca="false">IFERROR(SUMIFS(Media_Cliente_Mes!$E$2:$E$145,Media_Cliente_Mes!$A$2:$A$145,$B$75,Media_Cliente_Mes!$B$2:$B$145,$A75),0)</f>
        <v>12.28</v>
      </c>
      <c r="C78" s="10" t="n">
        <f aca="false">IFERROR(SUMIFS(Media_Cliente_Mes!$E$2:$E$145,Media_Cliente_Mes!$A$2:$A$145,$C$75,Media_Cliente_Mes!$B$2:$B$145,$A75),0)</f>
        <v>12.299296860811</v>
      </c>
      <c r="D78" s="10" t="n">
        <f aca="false">IFERROR(SUMIFS(Media_Cliente_Mes!$E$2:$E$145,Media_Cliente_Mes!$A$2:$A$145,$D$75,Media_Cliente_Mes!$B$2:$B$145,$A75),0)</f>
        <v>12.62</v>
      </c>
      <c r="E78" s="10" t="n">
        <f aca="false">IFERROR(SUMIFS(Media_Cliente_Mes!$E$2:$E$145,Media_Cliente_Mes!$A$2:$A$145,$E$75,Media_Cliente_Mes!$B$2:$B$145,$A75),0)</f>
        <v>11.78</v>
      </c>
      <c r="F78" s="10" t="n">
        <f aca="false">IFERROR(SUMIFS(Media_Cliente_Mes!$E$2:$E$145,Media_Cliente_Mes!$A$2:$A$145,$F$75,Media_Cliente_Mes!$B$2:$B$145,$A75),0)</f>
        <v>12.76</v>
      </c>
      <c r="G78" s="10" t="n">
        <f aca="false">IFERROR(SUMIFS(Media_Cliente_Mes!$E$2:$E$145,Media_Cliente_Mes!$A$2:$A$145,$G$75,Media_Cliente_Mes!$B$2:$B$145,$A75),0)</f>
        <v>12.3737207962857</v>
      </c>
      <c r="H78" s="10" t="n">
        <f aca="false">IFERROR(SUMIFS(Media_Cliente_Mes!$E$2:$E$145,Media_Cliente_Mes!$A$2:$A$145,$H$75,Media_Cliente_Mes!$B$2:$B$145,$A75),0)</f>
        <v>12.2652482610374</v>
      </c>
      <c r="I78" s="10" t="n">
        <f aca="false">IFERROR(SUMIFS(Media_Cliente_Mes!$E$2:$E$145,Media_Cliente_Mes!$A$2:$A$145,$I$75,Media_Cliente_Mes!$B$2:$B$145,$A75),0)</f>
        <v>12.52</v>
      </c>
      <c r="J78" s="10" t="n">
        <f aca="false">IFERROR(SUMIFS(Media_Cliente_Mes!$E$2:$E$145,Media_Cliente_Mes!$A$2:$A$145,$J$75,Media_Cliente_Mes!$B$2:$B$145,$A75),0)</f>
        <v>0</v>
      </c>
      <c r="K78" s="10" t="n">
        <f aca="false">IFERROR(SUMIFS(Media_Cliente_Mes!$E$2:$E$145,Media_Cliente_Mes!$A$2:$A$145,$K$75,Media_Cliente_Mes!$B$2:$B$145,$A75),0)</f>
        <v>12.71</v>
      </c>
      <c r="L78" s="10" t="n">
        <f aca="false">IFERROR(SUMIFS(Media_Cliente_Mes!$E$2:$E$145,Media_Cliente_Mes!$A$2:$A$145,$L$75,Media_Cliente_Mes!$B$2:$B$145,$A75),0)</f>
        <v>0</v>
      </c>
      <c r="M78" s="10" t="n">
        <f aca="false">IFERROR(SUMIFS(Media_Cliente_Mes!$E$2:$E$145,Media_Cliente_Mes!$A$2:$A$145,$M$75,Media_Cliente_Mes!$B$2:$B$145,$A75),0)</f>
        <v>0</v>
      </c>
      <c r="N78" s="11" t="n">
        <f aca="false">IFERROR(SUMPRODUCT(B76:M76,B78:M78)/SUM(B76:M76),0)</f>
        <v>12.4774576939468</v>
      </c>
    </row>
    <row r="79" customFormat="false" ht="15" hidden="false" customHeight="false" outlineLevel="0" collapsed="false">
      <c r="A79" s="7" t="s">
        <v>55</v>
      </c>
      <c r="B79" s="10" t="n">
        <f aca="false">IFERROR(SUMIFS(Media_Cliente_Mes!$F$2:$F$145,Media_Cliente_Mes!$A$2:$A$145,$B$75,Media_Cliente_Mes!$B$2:$B$145,$A75),0)</f>
        <v>3.91</v>
      </c>
      <c r="C79" s="10" t="n">
        <f aca="false">IFERROR(SUMIFS(Media_Cliente_Mes!$F$2:$F$145,Media_Cliente_Mes!$A$2:$A$145,$C$75,Media_Cliente_Mes!$B$2:$B$145,$A75),0)</f>
        <v>3.61068685869027</v>
      </c>
      <c r="D79" s="10" t="n">
        <f aca="false">IFERROR(SUMIFS(Media_Cliente_Mes!$F$2:$F$145,Media_Cliente_Mes!$A$2:$A$145,$D$75,Media_Cliente_Mes!$B$2:$B$145,$A75),0)</f>
        <v>3.56</v>
      </c>
      <c r="E79" s="10" t="n">
        <f aca="false">IFERROR(SUMIFS(Media_Cliente_Mes!$F$2:$F$145,Media_Cliente_Mes!$A$2:$A$145,$E$75,Media_Cliente_Mes!$B$2:$B$145,$A75),0)</f>
        <v>3.87</v>
      </c>
      <c r="F79" s="10" t="n">
        <f aca="false">IFERROR(SUMIFS(Media_Cliente_Mes!$F$2:$F$145,Media_Cliente_Mes!$A$2:$A$145,$F$75,Media_Cliente_Mes!$B$2:$B$145,$A75),0)</f>
        <v>3.64</v>
      </c>
      <c r="G79" s="10" t="n">
        <f aca="false">IFERROR(SUMIFS(Media_Cliente_Mes!$F$2:$F$145,Media_Cliente_Mes!$A$2:$A$145,$G$75,Media_Cliente_Mes!$B$2:$B$145,$A75),0)</f>
        <v>3.68953274057066</v>
      </c>
      <c r="H79" s="10" t="n">
        <f aca="false">IFERROR(SUMIFS(Media_Cliente_Mes!$F$2:$F$145,Media_Cliente_Mes!$A$2:$A$145,$H$75,Media_Cliente_Mes!$B$2:$B$145,$A75),0)</f>
        <v>3.82615528230509</v>
      </c>
      <c r="I79" s="10" t="n">
        <f aca="false">IFERROR(SUMIFS(Media_Cliente_Mes!$F$2:$F$145,Media_Cliente_Mes!$A$2:$A$145,$I$75,Media_Cliente_Mes!$B$2:$B$145,$A75),0)</f>
        <v>3.82</v>
      </c>
      <c r="J79" s="10" t="n">
        <f aca="false">IFERROR(SUMIFS(Media_Cliente_Mes!$F$2:$F$145,Media_Cliente_Mes!$A$2:$A$145,$J$75,Media_Cliente_Mes!$B$2:$B$145,$A75),0)</f>
        <v>0</v>
      </c>
      <c r="K79" s="10" t="n">
        <f aca="false">IFERROR(SUMIFS(Media_Cliente_Mes!$F$2:$F$145,Media_Cliente_Mes!$A$2:$A$145,$K$75,Media_Cliente_Mes!$B$2:$B$145,$A75),0)</f>
        <v>3.61</v>
      </c>
      <c r="L79" s="10" t="n">
        <f aca="false">IFERROR(SUMIFS(Media_Cliente_Mes!$F$2:$F$145,Media_Cliente_Mes!$A$2:$A$145,$L$75,Media_Cliente_Mes!$B$2:$B$145,$A75),0)</f>
        <v>0</v>
      </c>
      <c r="M79" s="10" t="n">
        <f aca="false">IFERROR(SUMIFS(Media_Cliente_Mes!$F$2:$F$145,Media_Cliente_Mes!$A$2:$A$145,$M$75,Media_Cliente_Mes!$B$2:$B$145,$A75),0)</f>
        <v>0</v>
      </c>
      <c r="N79" s="11" t="n">
        <f aca="false">IFERROR(SUMPRODUCT(B76:M76,B79:M79)/SUM(B76:M76),0)</f>
        <v>3.7061372169236</v>
      </c>
    </row>
    <row r="80" customFormat="false" ht="15" hidden="false" customHeight="false" outlineLevel="0" collapsed="false">
      <c r="A80" s="7" t="s">
        <v>56</v>
      </c>
      <c r="B80" s="10" t="n">
        <f aca="false">IFERROR(SUMIFS(Media_Cliente_Mes!$G$2:$G$145,Media_Cliente_Mes!$A$2:$A$145,$B$75,Media_Cliente_Mes!$B$2:$B$145,$A75),0)</f>
        <v>1.65</v>
      </c>
      <c r="C80" s="10" t="n">
        <f aca="false">IFERROR(SUMIFS(Media_Cliente_Mes!$G$2:$G$145,Media_Cliente_Mes!$A$2:$A$145,$C$75,Media_Cliente_Mes!$B$2:$B$145,$A75),0)</f>
        <v>1.19386390503586</v>
      </c>
      <c r="D80" s="10" t="n">
        <f aca="false">IFERROR(SUMIFS(Media_Cliente_Mes!$G$2:$G$145,Media_Cliente_Mes!$A$2:$A$145,$D$75,Media_Cliente_Mes!$B$2:$B$145,$A75),0)</f>
        <v>1.42</v>
      </c>
      <c r="E80" s="10" t="n">
        <f aca="false">IFERROR(SUMIFS(Media_Cliente_Mes!$G$2:$G$145,Media_Cliente_Mes!$A$2:$A$145,$E$75,Media_Cliente_Mes!$B$2:$B$145,$A75),0)</f>
        <v>1.65</v>
      </c>
      <c r="F80" s="10" t="n">
        <f aca="false">IFERROR(SUMIFS(Media_Cliente_Mes!$G$2:$G$145,Media_Cliente_Mes!$A$2:$A$145,$F$75,Media_Cliente_Mes!$B$2:$B$145,$A75),0)</f>
        <v>1.57</v>
      </c>
      <c r="G80" s="10" t="n">
        <f aca="false">IFERROR(SUMIFS(Media_Cliente_Mes!$G$2:$G$145,Media_Cliente_Mes!$A$2:$A$145,$G$75,Media_Cliente_Mes!$B$2:$B$145,$A75),0)</f>
        <v>1.67837035171366</v>
      </c>
      <c r="H80" s="10" t="n">
        <f aca="false">IFERROR(SUMIFS(Media_Cliente_Mes!$G$2:$G$145,Media_Cliente_Mes!$A$2:$A$145,$H$75,Media_Cliente_Mes!$B$2:$B$145,$A75),0)</f>
        <v>1.74531173292096</v>
      </c>
      <c r="I80" s="10" t="n">
        <f aca="false">IFERROR(SUMIFS(Media_Cliente_Mes!$G$2:$G$145,Media_Cliente_Mes!$A$2:$A$145,$I$75,Media_Cliente_Mes!$B$2:$B$145,$A75),0)</f>
        <v>1.65</v>
      </c>
      <c r="J80" s="10" t="n">
        <f aca="false">IFERROR(SUMIFS(Media_Cliente_Mes!$G$2:$G$145,Media_Cliente_Mes!$A$2:$A$145,$J$75,Media_Cliente_Mes!$B$2:$B$145,$A75),0)</f>
        <v>0</v>
      </c>
      <c r="K80" s="10" t="n">
        <f aca="false">IFERROR(SUMIFS(Media_Cliente_Mes!$G$2:$G$145,Media_Cliente_Mes!$A$2:$A$145,$K$75,Media_Cliente_Mes!$B$2:$B$145,$A75),0)</f>
        <v>1.08</v>
      </c>
      <c r="L80" s="10" t="n">
        <f aca="false">IFERROR(SUMIFS(Media_Cliente_Mes!$G$2:$G$145,Media_Cliente_Mes!$A$2:$A$145,$L$75,Media_Cliente_Mes!$B$2:$B$145,$A75),0)</f>
        <v>0</v>
      </c>
      <c r="M80" s="10" t="n">
        <f aca="false">IFERROR(SUMIFS(Media_Cliente_Mes!$G$2:$G$145,Media_Cliente_Mes!$A$2:$A$145,$M$75,Media_Cliente_Mes!$B$2:$B$145,$A75),0)</f>
        <v>0</v>
      </c>
      <c r="N80" s="11" t="n">
        <f aca="false">IFERROR(SUMPRODUCT(B76:M76,B80:M80)/SUM(B76:M76),0)</f>
        <v>1.52821571413876</v>
      </c>
    </row>
    <row r="81" customFormat="false" ht="15" hidden="false" customHeight="false" outlineLevel="0" collapsed="false">
      <c r="A81" s="7" t="s">
        <v>57</v>
      </c>
      <c r="B81" s="8" t="n">
        <f aca="false">IFERROR(SUMIFS(Media_Cliente_Mes!$H$2:$H$145,Media_Cliente_Mes!$A$2:$A$145,$B$75,Media_Cliente_Mes!$B$2:$B$145,$A75),0)</f>
        <v>0</v>
      </c>
      <c r="C81" s="8" t="n">
        <f aca="false">IFERROR(SUMIFS(Media_Cliente_Mes!$H$2:$H$145,Media_Cliente_Mes!$A$2:$A$145,$C$75,Media_Cliente_Mes!$B$2:$B$145,$A75),0)</f>
        <v>9016.69</v>
      </c>
      <c r="D81" s="8" t="n">
        <f aca="false">IFERROR(SUMIFS(Media_Cliente_Mes!$H$2:$H$145,Media_Cliente_Mes!$A$2:$A$145,$D$75,Media_Cliente_Mes!$B$2:$B$145,$A75),0)</f>
        <v>0</v>
      </c>
      <c r="E81" s="8" t="n">
        <f aca="false">IFERROR(SUMIFS(Media_Cliente_Mes!$H$2:$H$145,Media_Cliente_Mes!$A$2:$A$145,$E$75,Media_Cliente_Mes!$B$2:$B$145,$A75),0)</f>
        <v>229.82</v>
      </c>
      <c r="F81" s="8" t="n">
        <f aca="false">IFERROR(SUMIFS(Media_Cliente_Mes!$H$2:$H$145,Media_Cliente_Mes!$A$2:$A$145,$F$75,Media_Cliente_Mes!$B$2:$B$145,$A75),0)</f>
        <v>0</v>
      </c>
      <c r="G81" s="8" t="n">
        <f aca="false">IFERROR(SUMIFS(Media_Cliente_Mes!$H$2:$H$145,Media_Cliente_Mes!$A$2:$A$145,$G$75,Media_Cliente_Mes!$B$2:$B$145,$A75),0)</f>
        <v>1905.71</v>
      </c>
      <c r="H81" s="8" t="n">
        <f aca="false">IFERROR(SUMIFS(Media_Cliente_Mes!$H$2:$H$145,Media_Cliente_Mes!$A$2:$A$145,$H$75,Media_Cliente_Mes!$B$2:$B$145,$A75),0)</f>
        <v>0</v>
      </c>
      <c r="I81" s="8" t="n">
        <f aca="false">IFERROR(SUMIFS(Media_Cliente_Mes!$H$2:$H$145,Media_Cliente_Mes!$A$2:$A$145,$I$75,Media_Cliente_Mes!$B$2:$B$145,$A75),0)</f>
        <v>0</v>
      </c>
      <c r="J81" s="8" t="n">
        <f aca="false">IFERROR(SUMIFS(Media_Cliente_Mes!$H$2:$H$145,Media_Cliente_Mes!$A$2:$A$145,$J$75,Media_Cliente_Mes!$B$2:$B$145,$A75),0)</f>
        <v>0</v>
      </c>
      <c r="K81" s="8" t="n">
        <f aca="false">IFERROR(SUMIFS(Media_Cliente_Mes!$H$2:$H$145,Media_Cliente_Mes!$A$2:$A$145,$K$75,Media_Cliente_Mes!$B$2:$B$145,$A75),0)</f>
        <v>0</v>
      </c>
      <c r="L81" s="8" t="n">
        <f aca="false">IFERROR(SUMIFS(Media_Cliente_Mes!$H$2:$H$145,Media_Cliente_Mes!$A$2:$A$145,$L$75,Media_Cliente_Mes!$B$2:$B$145,$A75),0)</f>
        <v>0</v>
      </c>
      <c r="M81" s="8" t="n">
        <f aca="false">IFERROR(SUMIFS(Media_Cliente_Mes!$H$2:$H$145,Media_Cliente_Mes!$A$2:$A$145,$M$75,Media_Cliente_Mes!$B$2:$B$145,$A75),0)</f>
        <v>0</v>
      </c>
      <c r="N81" s="9" t="n">
        <f aca="false">SUM(B81:M81)</f>
        <v>11152.22</v>
      </c>
    </row>
    <row r="82" customFormat="false" ht="15" hidden="false" customHeight="false" outlineLevel="0" collapsed="false">
      <c r="A82" s="7" t="s">
        <v>58</v>
      </c>
      <c r="B82" s="8" t="n">
        <f aca="false">IFERROR(SUMIFS(Media_Cliente_Mes!$I$2:$I$145,Media_Cliente_Mes!$A$2:$A$145,$B$75,Media_Cliente_Mes!$B$2:$B$145,$A75),0)</f>
        <v>2244.02</v>
      </c>
      <c r="C82" s="8" t="n">
        <f aca="false">IFERROR(SUMIFS(Media_Cliente_Mes!$I$2:$I$145,Media_Cliente_Mes!$A$2:$A$145,$C$75,Media_Cliente_Mes!$B$2:$B$145,$A75),0)</f>
        <v>178.36</v>
      </c>
      <c r="D82" s="8" t="n">
        <f aca="false">IFERROR(SUMIFS(Media_Cliente_Mes!$I$2:$I$145,Media_Cliente_Mes!$A$2:$A$145,$D$75,Media_Cliente_Mes!$B$2:$B$145,$A75),0)</f>
        <v>4163.45</v>
      </c>
      <c r="E82" s="8" t="n">
        <f aca="false">IFERROR(SUMIFS(Media_Cliente_Mes!$I$2:$I$145,Media_Cliente_Mes!$A$2:$A$145,$E$75,Media_Cliente_Mes!$B$2:$B$145,$A75),0)</f>
        <v>0</v>
      </c>
      <c r="F82" s="8" t="n">
        <f aca="false">IFERROR(SUMIFS(Media_Cliente_Mes!$I$2:$I$145,Media_Cliente_Mes!$A$2:$A$145,$F$75,Media_Cliente_Mes!$B$2:$B$145,$A75),0)</f>
        <v>16598.01</v>
      </c>
      <c r="G82" s="8" t="n">
        <f aca="false">IFERROR(SUMIFS(Media_Cliente_Mes!$I$2:$I$145,Media_Cliente_Mes!$A$2:$A$145,$G$75,Media_Cliente_Mes!$B$2:$B$145,$A75),0)</f>
        <v>3216.07</v>
      </c>
      <c r="H82" s="8" t="n">
        <f aca="false">IFERROR(SUMIFS(Media_Cliente_Mes!$I$2:$I$145,Media_Cliente_Mes!$A$2:$A$145,$H$75,Media_Cliente_Mes!$B$2:$B$145,$A75),0)</f>
        <v>19994.68</v>
      </c>
      <c r="I82" s="8" t="n">
        <f aca="false">IFERROR(SUMIFS(Media_Cliente_Mes!$I$2:$I$145,Media_Cliente_Mes!$A$2:$A$145,$I$75,Media_Cliente_Mes!$B$2:$B$145,$A75),0)</f>
        <v>3730.96</v>
      </c>
      <c r="J82" s="8" t="n">
        <f aca="false">IFERROR(SUMIFS(Media_Cliente_Mes!$I$2:$I$145,Media_Cliente_Mes!$A$2:$A$145,$J$75,Media_Cliente_Mes!$B$2:$B$145,$A75),0)</f>
        <v>0</v>
      </c>
      <c r="K82" s="8" t="n">
        <f aca="false">IFERROR(SUMIFS(Media_Cliente_Mes!$I$2:$I$145,Media_Cliente_Mes!$A$2:$A$145,$K$75,Media_Cliente_Mes!$B$2:$B$145,$A75),0)</f>
        <v>6769.23</v>
      </c>
      <c r="L82" s="8" t="n">
        <f aca="false">IFERROR(SUMIFS(Media_Cliente_Mes!$I$2:$I$145,Media_Cliente_Mes!$A$2:$A$145,$L$75,Media_Cliente_Mes!$B$2:$B$145,$A75),0)</f>
        <v>0</v>
      </c>
      <c r="M82" s="8" t="n">
        <f aca="false">IFERROR(SUMIFS(Media_Cliente_Mes!$I$2:$I$145,Media_Cliente_Mes!$A$2:$A$145,$M$75,Media_Cliente_Mes!$B$2:$B$145,$A75),0)</f>
        <v>0</v>
      </c>
      <c r="N82" s="9" t="n">
        <f aca="false">SUM(B82:M82)</f>
        <v>56894.78</v>
      </c>
    </row>
    <row r="84" customFormat="false" ht="15" hidden="false" customHeight="false" outlineLevel="0" collapsed="false">
      <c r="A84" s="5" t="s">
        <v>67</v>
      </c>
      <c r="B84" s="6" t="s">
        <v>39</v>
      </c>
      <c r="C84" s="6" t="s">
        <v>40</v>
      </c>
      <c r="D84" s="6" t="s">
        <v>41</v>
      </c>
      <c r="E84" s="6" t="s">
        <v>42</v>
      </c>
      <c r="F84" s="6" t="s">
        <v>43</v>
      </c>
      <c r="G84" s="6" t="s">
        <v>44</v>
      </c>
      <c r="H84" s="6" t="s">
        <v>45</v>
      </c>
      <c r="I84" s="6" t="s">
        <v>46</v>
      </c>
      <c r="J84" s="6" t="s">
        <v>47</v>
      </c>
      <c r="K84" s="6" t="s">
        <v>48</v>
      </c>
      <c r="L84" s="6" t="s">
        <v>49</v>
      </c>
      <c r="M84" s="6" t="s">
        <v>50</v>
      </c>
      <c r="N84" s="6" t="s">
        <v>51</v>
      </c>
    </row>
    <row r="85" customFormat="false" ht="15" hidden="false" customHeight="false" outlineLevel="0" collapsed="false">
      <c r="A85" s="7" t="s">
        <v>52</v>
      </c>
      <c r="B85" s="8" t="n">
        <f aca="false">IFERROR(SUMIFS(Media_Cliente_Mes!$C$2:$C$145,Media_Cliente_Mes!$A$2:$A$145,$B$84,Media_Cliente_Mes!$B$2:$B$145,$A84),0)</f>
        <v>0</v>
      </c>
      <c r="C85" s="8" t="n">
        <f aca="false">IFERROR(SUMIFS(Media_Cliente_Mes!$C$2:$C$145,Media_Cliente_Mes!$A$2:$A$145,$C$84,Media_Cliente_Mes!$B$2:$B$145,$A84),0)</f>
        <v>0</v>
      </c>
      <c r="D85" s="8" t="n">
        <f aca="false">IFERROR(SUMIFS(Media_Cliente_Mes!$C$2:$C$145,Media_Cliente_Mes!$A$2:$A$145,$D$84,Media_Cliente_Mes!$B$2:$B$145,$A84),0)</f>
        <v>0</v>
      </c>
      <c r="E85" s="8" t="n">
        <f aca="false">IFERROR(SUMIFS(Media_Cliente_Mes!$C$2:$C$145,Media_Cliente_Mes!$A$2:$A$145,$E$84,Media_Cliente_Mes!$B$2:$B$145,$A84),0)</f>
        <v>0</v>
      </c>
      <c r="F85" s="8" t="n">
        <f aca="false">IFERROR(SUMIFS(Media_Cliente_Mes!$C$2:$C$145,Media_Cliente_Mes!$A$2:$A$145,$F$84,Media_Cliente_Mes!$B$2:$B$145,$A84),0)</f>
        <v>0</v>
      </c>
      <c r="G85" s="8" t="n">
        <f aca="false">IFERROR(SUMIFS(Media_Cliente_Mes!$C$2:$C$145,Media_Cliente_Mes!$A$2:$A$145,$G$84,Media_Cliente_Mes!$B$2:$B$145,$A84),0)</f>
        <v>0</v>
      </c>
      <c r="H85" s="8" t="n">
        <f aca="false">IFERROR(SUMIFS(Media_Cliente_Mes!$C$2:$C$145,Media_Cliente_Mes!$A$2:$A$145,$H$84,Media_Cliente_Mes!$B$2:$B$145,$A84),0)</f>
        <v>0</v>
      </c>
      <c r="I85" s="8" t="n">
        <f aca="false">IFERROR(SUMIFS(Media_Cliente_Mes!$C$2:$C$145,Media_Cliente_Mes!$A$2:$A$145,$I$84,Media_Cliente_Mes!$B$2:$B$145,$A84),0)</f>
        <v>0</v>
      </c>
      <c r="J85" s="8" t="n">
        <f aca="false">IFERROR(SUMIFS(Media_Cliente_Mes!$C$2:$C$145,Media_Cliente_Mes!$A$2:$A$145,$J$84,Media_Cliente_Mes!$B$2:$B$145,$A84),0)</f>
        <v>0</v>
      </c>
      <c r="K85" s="8" t="n">
        <f aca="false">IFERROR(SUMIFS(Media_Cliente_Mes!$C$2:$C$145,Media_Cliente_Mes!$A$2:$A$145,$K$84,Media_Cliente_Mes!$B$2:$B$145,$A84),0)</f>
        <v>0</v>
      </c>
      <c r="L85" s="8" t="n">
        <f aca="false">IFERROR(SUMIFS(Media_Cliente_Mes!$C$2:$C$145,Media_Cliente_Mes!$A$2:$A$145,$L$84,Media_Cliente_Mes!$B$2:$B$145,$A84),0)</f>
        <v>0</v>
      </c>
      <c r="M85" s="8" t="n">
        <f aca="false">IFERROR(SUMIFS(Media_Cliente_Mes!$C$2:$C$145,Media_Cliente_Mes!$A$2:$A$145,$M$84,Media_Cliente_Mes!$B$2:$B$145,$A84),0)</f>
        <v>0</v>
      </c>
      <c r="N85" s="9" t="n">
        <f aca="false">SUM(B85:M85)</f>
        <v>0</v>
      </c>
    </row>
    <row r="86" customFormat="false" ht="15" hidden="false" customHeight="false" outlineLevel="0" collapsed="false">
      <c r="A86" s="7" t="s">
        <v>53</v>
      </c>
      <c r="B86" s="10" t="n">
        <f aca="false">IFERROR(SUMIFS(Media_Cliente_Mes!$D$2:$D$145,Media_Cliente_Mes!$A$2:$A$145,$B$84,Media_Cliente_Mes!$B$2:$B$145,$A84),0)</f>
        <v>0</v>
      </c>
      <c r="C86" s="10" t="n">
        <f aca="false">IFERROR(SUMIFS(Media_Cliente_Mes!$D$2:$D$145,Media_Cliente_Mes!$A$2:$A$145,$C$84,Media_Cliente_Mes!$B$2:$B$145,$A84),0)</f>
        <v>0</v>
      </c>
      <c r="D86" s="10" t="n">
        <f aca="false">IFERROR(SUMIFS(Media_Cliente_Mes!$D$2:$D$145,Media_Cliente_Mes!$A$2:$A$145,$D$84,Media_Cliente_Mes!$B$2:$B$145,$A84),0)</f>
        <v>0</v>
      </c>
      <c r="E86" s="10" t="n">
        <f aca="false">IFERROR(SUMIFS(Media_Cliente_Mes!$D$2:$D$145,Media_Cliente_Mes!$A$2:$A$145,$E$84,Media_Cliente_Mes!$B$2:$B$145,$A84),0)</f>
        <v>0</v>
      </c>
      <c r="F86" s="10" t="n">
        <f aca="false">IFERROR(SUMIFS(Media_Cliente_Mes!$D$2:$D$145,Media_Cliente_Mes!$A$2:$A$145,$F$84,Media_Cliente_Mes!$B$2:$B$145,$A84),0)</f>
        <v>0</v>
      </c>
      <c r="G86" s="10" t="n">
        <f aca="false">IFERROR(SUMIFS(Media_Cliente_Mes!$D$2:$D$145,Media_Cliente_Mes!$A$2:$A$145,$G$84,Media_Cliente_Mes!$B$2:$B$145,$A84),0)</f>
        <v>0</v>
      </c>
      <c r="H86" s="10" t="n">
        <f aca="false">IFERROR(SUMIFS(Media_Cliente_Mes!$D$2:$D$145,Media_Cliente_Mes!$A$2:$A$145,$H$84,Media_Cliente_Mes!$B$2:$B$145,$A84),0)</f>
        <v>0</v>
      </c>
      <c r="I86" s="10" t="n">
        <f aca="false">IFERROR(SUMIFS(Media_Cliente_Mes!$D$2:$D$145,Media_Cliente_Mes!$A$2:$A$145,$I$84,Media_Cliente_Mes!$B$2:$B$145,$A84),0)</f>
        <v>0</v>
      </c>
      <c r="J86" s="10" t="n">
        <f aca="false">IFERROR(SUMIFS(Media_Cliente_Mes!$D$2:$D$145,Media_Cliente_Mes!$A$2:$A$145,$J$84,Media_Cliente_Mes!$B$2:$B$145,$A84),0)</f>
        <v>0</v>
      </c>
      <c r="K86" s="10" t="n">
        <f aca="false">IFERROR(SUMIFS(Media_Cliente_Mes!$D$2:$D$145,Media_Cliente_Mes!$A$2:$A$145,$K$84,Media_Cliente_Mes!$B$2:$B$145,$A84),0)</f>
        <v>0</v>
      </c>
      <c r="L86" s="10" t="n">
        <f aca="false">IFERROR(SUMIFS(Media_Cliente_Mes!$D$2:$D$145,Media_Cliente_Mes!$A$2:$A$145,$L$84,Media_Cliente_Mes!$B$2:$B$145,$A84),0)</f>
        <v>0</v>
      </c>
      <c r="M86" s="10" t="n">
        <f aca="false">IFERROR(SUMIFS(Media_Cliente_Mes!$D$2:$D$145,Media_Cliente_Mes!$A$2:$A$145,$M$84,Media_Cliente_Mes!$B$2:$B$145,$A84),0)</f>
        <v>0</v>
      </c>
      <c r="N86" s="11" t="n">
        <f aca="false">IFERROR(SUMPRODUCT(B85:M85,B86:M86)/SUM(B85:M85),0)</f>
        <v>0</v>
      </c>
    </row>
    <row r="87" customFormat="false" ht="15" hidden="false" customHeight="false" outlineLevel="0" collapsed="false">
      <c r="A87" s="7" t="s">
        <v>54</v>
      </c>
      <c r="B87" s="10" t="n">
        <f aca="false">IFERROR(SUMIFS(Media_Cliente_Mes!$E$2:$E$145,Media_Cliente_Mes!$A$2:$A$145,$B$84,Media_Cliente_Mes!$B$2:$B$145,$A84),0)</f>
        <v>0</v>
      </c>
      <c r="C87" s="10" t="n">
        <f aca="false">IFERROR(SUMIFS(Media_Cliente_Mes!$E$2:$E$145,Media_Cliente_Mes!$A$2:$A$145,$C$84,Media_Cliente_Mes!$B$2:$B$145,$A84),0)</f>
        <v>0</v>
      </c>
      <c r="D87" s="10" t="n">
        <f aca="false">IFERROR(SUMIFS(Media_Cliente_Mes!$E$2:$E$145,Media_Cliente_Mes!$A$2:$A$145,$D$84,Media_Cliente_Mes!$B$2:$B$145,$A84),0)</f>
        <v>0</v>
      </c>
      <c r="E87" s="10" t="n">
        <f aca="false">IFERROR(SUMIFS(Media_Cliente_Mes!$E$2:$E$145,Media_Cliente_Mes!$A$2:$A$145,$E$84,Media_Cliente_Mes!$B$2:$B$145,$A84),0)</f>
        <v>0</v>
      </c>
      <c r="F87" s="10" t="n">
        <f aca="false">IFERROR(SUMIFS(Media_Cliente_Mes!$E$2:$E$145,Media_Cliente_Mes!$A$2:$A$145,$F$84,Media_Cliente_Mes!$B$2:$B$145,$A84),0)</f>
        <v>0</v>
      </c>
      <c r="G87" s="10" t="n">
        <f aca="false">IFERROR(SUMIFS(Media_Cliente_Mes!$E$2:$E$145,Media_Cliente_Mes!$A$2:$A$145,$G$84,Media_Cliente_Mes!$B$2:$B$145,$A84),0)</f>
        <v>0</v>
      </c>
      <c r="H87" s="10" t="n">
        <f aca="false">IFERROR(SUMIFS(Media_Cliente_Mes!$E$2:$E$145,Media_Cliente_Mes!$A$2:$A$145,$H$84,Media_Cliente_Mes!$B$2:$B$145,$A84),0)</f>
        <v>0</v>
      </c>
      <c r="I87" s="10" t="n">
        <f aca="false">IFERROR(SUMIFS(Media_Cliente_Mes!$E$2:$E$145,Media_Cliente_Mes!$A$2:$A$145,$I$84,Media_Cliente_Mes!$B$2:$B$145,$A84),0)</f>
        <v>0</v>
      </c>
      <c r="J87" s="10" t="n">
        <f aca="false">IFERROR(SUMIFS(Media_Cliente_Mes!$E$2:$E$145,Media_Cliente_Mes!$A$2:$A$145,$J$84,Media_Cliente_Mes!$B$2:$B$145,$A84),0)</f>
        <v>0</v>
      </c>
      <c r="K87" s="10" t="n">
        <f aca="false">IFERROR(SUMIFS(Media_Cliente_Mes!$E$2:$E$145,Media_Cliente_Mes!$A$2:$A$145,$K$84,Media_Cliente_Mes!$B$2:$B$145,$A84),0)</f>
        <v>0</v>
      </c>
      <c r="L87" s="10" t="n">
        <f aca="false">IFERROR(SUMIFS(Media_Cliente_Mes!$E$2:$E$145,Media_Cliente_Mes!$A$2:$A$145,$L$84,Media_Cliente_Mes!$B$2:$B$145,$A84),0)</f>
        <v>0</v>
      </c>
      <c r="M87" s="10" t="n">
        <f aca="false">IFERROR(SUMIFS(Media_Cliente_Mes!$E$2:$E$145,Media_Cliente_Mes!$A$2:$A$145,$M$84,Media_Cliente_Mes!$B$2:$B$145,$A84),0)</f>
        <v>0</v>
      </c>
      <c r="N87" s="11" t="n">
        <f aca="false">IFERROR(SUMPRODUCT(B85:M85,B87:M87)/SUM(B85:M85),0)</f>
        <v>0</v>
      </c>
    </row>
    <row r="88" customFormat="false" ht="15" hidden="false" customHeight="false" outlineLevel="0" collapsed="false">
      <c r="A88" s="7" t="s">
        <v>55</v>
      </c>
      <c r="B88" s="10" t="n">
        <f aca="false">IFERROR(SUMIFS(Media_Cliente_Mes!$F$2:$F$145,Media_Cliente_Mes!$A$2:$A$145,$B$84,Media_Cliente_Mes!$B$2:$B$145,$A84),0)</f>
        <v>0</v>
      </c>
      <c r="C88" s="10" t="n">
        <f aca="false">IFERROR(SUMIFS(Media_Cliente_Mes!$F$2:$F$145,Media_Cliente_Mes!$A$2:$A$145,$C$84,Media_Cliente_Mes!$B$2:$B$145,$A84),0)</f>
        <v>0</v>
      </c>
      <c r="D88" s="10" t="n">
        <f aca="false">IFERROR(SUMIFS(Media_Cliente_Mes!$F$2:$F$145,Media_Cliente_Mes!$A$2:$A$145,$D$84,Media_Cliente_Mes!$B$2:$B$145,$A84),0)</f>
        <v>0</v>
      </c>
      <c r="E88" s="10" t="n">
        <f aca="false">IFERROR(SUMIFS(Media_Cliente_Mes!$F$2:$F$145,Media_Cliente_Mes!$A$2:$A$145,$E$84,Media_Cliente_Mes!$B$2:$B$145,$A84),0)</f>
        <v>0</v>
      </c>
      <c r="F88" s="10" t="n">
        <f aca="false">IFERROR(SUMIFS(Media_Cliente_Mes!$F$2:$F$145,Media_Cliente_Mes!$A$2:$A$145,$F$84,Media_Cliente_Mes!$B$2:$B$145,$A84),0)</f>
        <v>0</v>
      </c>
      <c r="G88" s="10" t="n">
        <f aca="false">IFERROR(SUMIFS(Media_Cliente_Mes!$F$2:$F$145,Media_Cliente_Mes!$A$2:$A$145,$G$84,Media_Cliente_Mes!$B$2:$B$145,$A84),0)</f>
        <v>0</v>
      </c>
      <c r="H88" s="10" t="n">
        <f aca="false">IFERROR(SUMIFS(Media_Cliente_Mes!$F$2:$F$145,Media_Cliente_Mes!$A$2:$A$145,$H$84,Media_Cliente_Mes!$B$2:$B$145,$A84),0)</f>
        <v>0</v>
      </c>
      <c r="I88" s="10" t="n">
        <f aca="false">IFERROR(SUMIFS(Media_Cliente_Mes!$F$2:$F$145,Media_Cliente_Mes!$A$2:$A$145,$I$84,Media_Cliente_Mes!$B$2:$B$145,$A84),0)</f>
        <v>0</v>
      </c>
      <c r="J88" s="10" t="n">
        <f aca="false">IFERROR(SUMIFS(Media_Cliente_Mes!$F$2:$F$145,Media_Cliente_Mes!$A$2:$A$145,$J$84,Media_Cliente_Mes!$B$2:$B$145,$A84),0)</f>
        <v>0</v>
      </c>
      <c r="K88" s="10" t="n">
        <f aca="false">IFERROR(SUMIFS(Media_Cliente_Mes!$F$2:$F$145,Media_Cliente_Mes!$A$2:$A$145,$K$84,Media_Cliente_Mes!$B$2:$B$145,$A84),0)</f>
        <v>0</v>
      </c>
      <c r="L88" s="10" t="n">
        <f aca="false">IFERROR(SUMIFS(Media_Cliente_Mes!$F$2:$F$145,Media_Cliente_Mes!$A$2:$A$145,$L$84,Media_Cliente_Mes!$B$2:$B$145,$A84),0)</f>
        <v>0</v>
      </c>
      <c r="M88" s="10" t="n">
        <f aca="false">IFERROR(SUMIFS(Media_Cliente_Mes!$F$2:$F$145,Media_Cliente_Mes!$A$2:$A$145,$M$84,Media_Cliente_Mes!$B$2:$B$145,$A84),0)</f>
        <v>0</v>
      </c>
      <c r="N88" s="11" t="n">
        <f aca="false">IFERROR(SUMPRODUCT(B85:M85,B88:M88)/SUM(B85:M85),0)</f>
        <v>0</v>
      </c>
    </row>
    <row r="89" customFormat="false" ht="15" hidden="false" customHeight="false" outlineLevel="0" collapsed="false">
      <c r="A89" s="7" t="s">
        <v>56</v>
      </c>
      <c r="B89" s="10" t="n">
        <f aca="false">IFERROR(SUMIFS(Media_Cliente_Mes!$G$2:$G$145,Media_Cliente_Mes!$A$2:$A$145,$B$84,Media_Cliente_Mes!$B$2:$B$145,$A84),0)</f>
        <v>0</v>
      </c>
      <c r="C89" s="10" t="n">
        <f aca="false">IFERROR(SUMIFS(Media_Cliente_Mes!$G$2:$G$145,Media_Cliente_Mes!$A$2:$A$145,$C$84,Media_Cliente_Mes!$B$2:$B$145,$A84),0)</f>
        <v>0</v>
      </c>
      <c r="D89" s="10" t="n">
        <f aca="false">IFERROR(SUMIFS(Media_Cliente_Mes!$G$2:$G$145,Media_Cliente_Mes!$A$2:$A$145,$D$84,Media_Cliente_Mes!$B$2:$B$145,$A84),0)</f>
        <v>0</v>
      </c>
      <c r="E89" s="10" t="n">
        <f aca="false">IFERROR(SUMIFS(Media_Cliente_Mes!$G$2:$G$145,Media_Cliente_Mes!$A$2:$A$145,$E$84,Media_Cliente_Mes!$B$2:$B$145,$A84),0)</f>
        <v>0</v>
      </c>
      <c r="F89" s="10" t="n">
        <f aca="false">IFERROR(SUMIFS(Media_Cliente_Mes!$G$2:$G$145,Media_Cliente_Mes!$A$2:$A$145,$F$84,Media_Cliente_Mes!$B$2:$B$145,$A84),0)</f>
        <v>0</v>
      </c>
      <c r="G89" s="10" t="n">
        <f aca="false">IFERROR(SUMIFS(Media_Cliente_Mes!$G$2:$G$145,Media_Cliente_Mes!$A$2:$A$145,$G$84,Media_Cliente_Mes!$B$2:$B$145,$A84),0)</f>
        <v>0</v>
      </c>
      <c r="H89" s="10" t="n">
        <f aca="false">IFERROR(SUMIFS(Media_Cliente_Mes!$G$2:$G$145,Media_Cliente_Mes!$A$2:$A$145,$H$84,Media_Cliente_Mes!$B$2:$B$145,$A84),0)</f>
        <v>0</v>
      </c>
      <c r="I89" s="10" t="n">
        <f aca="false">IFERROR(SUMIFS(Media_Cliente_Mes!$G$2:$G$145,Media_Cliente_Mes!$A$2:$A$145,$I$84,Media_Cliente_Mes!$B$2:$B$145,$A84),0)</f>
        <v>0</v>
      </c>
      <c r="J89" s="10" t="n">
        <f aca="false">IFERROR(SUMIFS(Media_Cliente_Mes!$G$2:$G$145,Media_Cliente_Mes!$A$2:$A$145,$J$84,Media_Cliente_Mes!$B$2:$B$145,$A84),0)</f>
        <v>0</v>
      </c>
      <c r="K89" s="10" t="n">
        <f aca="false">IFERROR(SUMIFS(Media_Cliente_Mes!$G$2:$G$145,Media_Cliente_Mes!$A$2:$A$145,$K$84,Media_Cliente_Mes!$B$2:$B$145,$A84),0)</f>
        <v>0</v>
      </c>
      <c r="L89" s="10" t="n">
        <f aca="false">IFERROR(SUMIFS(Media_Cliente_Mes!$G$2:$G$145,Media_Cliente_Mes!$A$2:$A$145,$L$84,Media_Cliente_Mes!$B$2:$B$145,$A84),0)</f>
        <v>0</v>
      </c>
      <c r="M89" s="10" t="n">
        <f aca="false">IFERROR(SUMIFS(Media_Cliente_Mes!$G$2:$G$145,Media_Cliente_Mes!$A$2:$A$145,$M$84,Media_Cliente_Mes!$B$2:$B$145,$A84),0)</f>
        <v>0</v>
      </c>
      <c r="N89" s="11" t="n">
        <f aca="false">IFERROR(SUMPRODUCT(B85:M85,B89:M89)/SUM(B85:M85),0)</f>
        <v>0</v>
      </c>
    </row>
    <row r="90" customFormat="false" ht="15" hidden="false" customHeight="false" outlineLevel="0" collapsed="false">
      <c r="A90" s="7" t="s">
        <v>57</v>
      </c>
      <c r="B90" s="8" t="n">
        <f aca="false">IFERROR(SUMIFS(Media_Cliente_Mes!$H$2:$H$145,Media_Cliente_Mes!$A$2:$A$145,$B$84,Media_Cliente_Mes!$B$2:$B$145,$A84),0)</f>
        <v>0</v>
      </c>
      <c r="C90" s="8" t="n">
        <f aca="false">IFERROR(SUMIFS(Media_Cliente_Mes!$H$2:$H$145,Media_Cliente_Mes!$A$2:$A$145,$C$84,Media_Cliente_Mes!$B$2:$B$145,$A84),0)</f>
        <v>0</v>
      </c>
      <c r="D90" s="8" t="n">
        <f aca="false">IFERROR(SUMIFS(Media_Cliente_Mes!$H$2:$H$145,Media_Cliente_Mes!$A$2:$A$145,$D$84,Media_Cliente_Mes!$B$2:$B$145,$A84),0)</f>
        <v>0</v>
      </c>
      <c r="E90" s="8" t="n">
        <f aca="false">IFERROR(SUMIFS(Media_Cliente_Mes!$H$2:$H$145,Media_Cliente_Mes!$A$2:$A$145,$E$84,Media_Cliente_Mes!$B$2:$B$145,$A84),0)</f>
        <v>0</v>
      </c>
      <c r="F90" s="8" t="n">
        <f aca="false">IFERROR(SUMIFS(Media_Cliente_Mes!$H$2:$H$145,Media_Cliente_Mes!$A$2:$A$145,$F$84,Media_Cliente_Mes!$B$2:$B$145,$A84),0)</f>
        <v>0</v>
      </c>
      <c r="G90" s="8" t="n">
        <f aca="false">IFERROR(SUMIFS(Media_Cliente_Mes!$H$2:$H$145,Media_Cliente_Mes!$A$2:$A$145,$G$84,Media_Cliente_Mes!$B$2:$B$145,$A84),0)</f>
        <v>0</v>
      </c>
      <c r="H90" s="8" t="n">
        <f aca="false">IFERROR(SUMIFS(Media_Cliente_Mes!$H$2:$H$145,Media_Cliente_Mes!$A$2:$A$145,$H$84,Media_Cliente_Mes!$B$2:$B$145,$A84),0)</f>
        <v>0</v>
      </c>
      <c r="I90" s="8" t="n">
        <f aca="false">IFERROR(SUMIFS(Media_Cliente_Mes!$H$2:$H$145,Media_Cliente_Mes!$A$2:$A$145,$I$84,Media_Cliente_Mes!$B$2:$B$145,$A84),0)</f>
        <v>0</v>
      </c>
      <c r="J90" s="8" t="n">
        <f aca="false">IFERROR(SUMIFS(Media_Cliente_Mes!$H$2:$H$145,Media_Cliente_Mes!$A$2:$A$145,$J$84,Media_Cliente_Mes!$B$2:$B$145,$A84),0)</f>
        <v>0</v>
      </c>
      <c r="K90" s="8" t="n">
        <f aca="false">IFERROR(SUMIFS(Media_Cliente_Mes!$H$2:$H$145,Media_Cliente_Mes!$A$2:$A$145,$K$84,Media_Cliente_Mes!$B$2:$B$145,$A84),0)</f>
        <v>0</v>
      </c>
      <c r="L90" s="8" t="n">
        <f aca="false">IFERROR(SUMIFS(Media_Cliente_Mes!$H$2:$H$145,Media_Cliente_Mes!$A$2:$A$145,$L$84,Media_Cliente_Mes!$B$2:$B$145,$A84),0)</f>
        <v>0</v>
      </c>
      <c r="M90" s="8" t="n">
        <f aca="false">IFERROR(SUMIFS(Media_Cliente_Mes!$H$2:$H$145,Media_Cliente_Mes!$A$2:$A$145,$M$84,Media_Cliente_Mes!$B$2:$B$145,$A84),0)</f>
        <v>0</v>
      </c>
      <c r="N90" s="9" t="n">
        <f aca="false">SUM(B90:M90)</f>
        <v>0</v>
      </c>
    </row>
    <row r="91" customFormat="false" ht="15" hidden="false" customHeight="false" outlineLevel="0" collapsed="false">
      <c r="A91" s="7" t="s">
        <v>58</v>
      </c>
      <c r="B91" s="8" t="n">
        <f aca="false">IFERROR(SUMIFS(Media_Cliente_Mes!$I$2:$I$145,Media_Cliente_Mes!$A$2:$A$145,$B$84,Media_Cliente_Mes!$B$2:$B$145,$A84),0)</f>
        <v>0</v>
      </c>
      <c r="C91" s="8" t="n">
        <f aca="false">IFERROR(SUMIFS(Media_Cliente_Mes!$I$2:$I$145,Media_Cliente_Mes!$A$2:$A$145,$C$84,Media_Cliente_Mes!$B$2:$B$145,$A84),0)</f>
        <v>0</v>
      </c>
      <c r="D91" s="8" t="n">
        <f aca="false">IFERROR(SUMIFS(Media_Cliente_Mes!$I$2:$I$145,Media_Cliente_Mes!$A$2:$A$145,$D$84,Media_Cliente_Mes!$B$2:$B$145,$A84),0)</f>
        <v>0</v>
      </c>
      <c r="E91" s="8" t="n">
        <f aca="false">IFERROR(SUMIFS(Media_Cliente_Mes!$I$2:$I$145,Media_Cliente_Mes!$A$2:$A$145,$E$84,Media_Cliente_Mes!$B$2:$B$145,$A84),0)</f>
        <v>0</v>
      </c>
      <c r="F91" s="8" t="n">
        <f aca="false">IFERROR(SUMIFS(Media_Cliente_Mes!$I$2:$I$145,Media_Cliente_Mes!$A$2:$A$145,$F$84,Media_Cliente_Mes!$B$2:$B$145,$A84),0)</f>
        <v>0</v>
      </c>
      <c r="G91" s="8" t="n">
        <f aca="false">IFERROR(SUMIFS(Media_Cliente_Mes!$I$2:$I$145,Media_Cliente_Mes!$A$2:$A$145,$G$84,Media_Cliente_Mes!$B$2:$B$145,$A84),0)</f>
        <v>0</v>
      </c>
      <c r="H91" s="8" t="n">
        <f aca="false">IFERROR(SUMIFS(Media_Cliente_Mes!$I$2:$I$145,Media_Cliente_Mes!$A$2:$A$145,$H$84,Media_Cliente_Mes!$B$2:$B$145,$A84),0)</f>
        <v>0</v>
      </c>
      <c r="I91" s="8" t="n">
        <f aca="false">IFERROR(SUMIFS(Media_Cliente_Mes!$I$2:$I$145,Media_Cliente_Mes!$A$2:$A$145,$I$84,Media_Cliente_Mes!$B$2:$B$145,$A84),0)</f>
        <v>0</v>
      </c>
      <c r="J91" s="8" t="n">
        <f aca="false">IFERROR(SUMIFS(Media_Cliente_Mes!$I$2:$I$145,Media_Cliente_Mes!$A$2:$A$145,$J$84,Media_Cliente_Mes!$B$2:$B$145,$A84),0)</f>
        <v>0</v>
      </c>
      <c r="K91" s="8" t="n">
        <f aca="false">IFERROR(SUMIFS(Media_Cliente_Mes!$I$2:$I$145,Media_Cliente_Mes!$A$2:$A$145,$K$84,Media_Cliente_Mes!$B$2:$B$145,$A84),0)</f>
        <v>0</v>
      </c>
      <c r="L91" s="8" t="n">
        <f aca="false">IFERROR(SUMIFS(Media_Cliente_Mes!$I$2:$I$145,Media_Cliente_Mes!$A$2:$A$145,$L$84,Media_Cliente_Mes!$B$2:$B$145,$A84),0)</f>
        <v>0</v>
      </c>
      <c r="M91" s="8" t="n">
        <f aca="false">IFERROR(SUMIFS(Media_Cliente_Mes!$I$2:$I$145,Media_Cliente_Mes!$A$2:$A$145,$M$84,Media_Cliente_Mes!$B$2:$B$145,$A84),0)</f>
        <v>0</v>
      </c>
      <c r="N91" s="9" t="n">
        <f aca="false">SUM(B91:M91)</f>
        <v>0</v>
      </c>
    </row>
    <row r="93" customFormat="false" ht="15" hidden="false" customHeight="false" outlineLevel="0" collapsed="false">
      <c r="A93" s="5" t="s">
        <v>68</v>
      </c>
      <c r="B93" s="6" t="s">
        <v>39</v>
      </c>
      <c r="C93" s="6" t="s">
        <v>40</v>
      </c>
      <c r="D93" s="6" t="s">
        <v>41</v>
      </c>
      <c r="E93" s="6" t="s">
        <v>42</v>
      </c>
      <c r="F93" s="6" t="s">
        <v>43</v>
      </c>
      <c r="G93" s="6" t="s">
        <v>44</v>
      </c>
      <c r="H93" s="6" t="s">
        <v>45</v>
      </c>
      <c r="I93" s="6" t="s">
        <v>46</v>
      </c>
      <c r="J93" s="6" t="s">
        <v>47</v>
      </c>
      <c r="K93" s="6" t="s">
        <v>48</v>
      </c>
      <c r="L93" s="6" t="s">
        <v>49</v>
      </c>
      <c r="M93" s="6" t="s">
        <v>50</v>
      </c>
      <c r="N93" s="6" t="s">
        <v>51</v>
      </c>
    </row>
    <row r="94" customFormat="false" ht="15" hidden="false" customHeight="false" outlineLevel="0" collapsed="false">
      <c r="A94" s="7" t="s">
        <v>52</v>
      </c>
      <c r="B94" s="8" t="n">
        <f aca="false">IFERROR(SUMIFS(Media_Cliente_Mes!$C$2:$C$145,Media_Cliente_Mes!$A$2:$A$145,$B$93,Media_Cliente_Mes!$B$2:$B$145,$A93),0)</f>
        <v>0</v>
      </c>
      <c r="C94" s="8" t="n">
        <f aca="false">IFERROR(SUMIFS(Media_Cliente_Mes!$C$2:$C$145,Media_Cliente_Mes!$A$2:$A$145,$C$93,Media_Cliente_Mes!$B$2:$B$145,$A93),0)</f>
        <v>0</v>
      </c>
      <c r="D94" s="8" t="n">
        <f aca="false">IFERROR(SUMIFS(Media_Cliente_Mes!$C$2:$C$145,Media_Cliente_Mes!$A$2:$A$145,$D$93,Media_Cliente_Mes!$B$2:$B$145,$A93),0)</f>
        <v>0</v>
      </c>
      <c r="E94" s="8" t="n">
        <f aca="false">IFERROR(SUMIFS(Media_Cliente_Mes!$C$2:$C$145,Media_Cliente_Mes!$A$2:$A$145,$E$93,Media_Cliente_Mes!$B$2:$B$145,$A93),0)</f>
        <v>0</v>
      </c>
      <c r="F94" s="8" t="n">
        <f aca="false">IFERROR(SUMIFS(Media_Cliente_Mes!$C$2:$C$145,Media_Cliente_Mes!$A$2:$A$145,$F$93,Media_Cliente_Mes!$B$2:$B$145,$A93),0)</f>
        <v>0</v>
      </c>
      <c r="G94" s="8" t="n">
        <f aca="false">IFERROR(SUMIFS(Media_Cliente_Mes!$C$2:$C$145,Media_Cliente_Mes!$A$2:$A$145,$G$93,Media_Cliente_Mes!$B$2:$B$145,$A93),0)</f>
        <v>0</v>
      </c>
      <c r="H94" s="8" t="n">
        <f aca="false">IFERROR(SUMIFS(Media_Cliente_Mes!$C$2:$C$145,Media_Cliente_Mes!$A$2:$A$145,$H$93,Media_Cliente_Mes!$B$2:$B$145,$A93),0)</f>
        <v>0</v>
      </c>
      <c r="I94" s="8" t="n">
        <f aca="false">IFERROR(SUMIFS(Media_Cliente_Mes!$C$2:$C$145,Media_Cliente_Mes!$A$2:$A$145,$I$93,Media_Cliente_Mes!$B$2:$B$145,$A93),0)</f>
        <v>0</v>
      </c>
      <c r="J94" s="8" t="n">
        <f aca="false">IFERROR(SUMIFS(Media_Cliente_Mes!$C$2:$C$145,Media_Cliente_Mes!$A$2:$A$145,$J$93,Media_Cliente_Mes!$B$2:$B$145,$A93),0)</f>
        <v>0</v>
      </c>
      <c r="K94" s="8" t="n">
        <f aca="false">IFERROR(SUMIFS(Media_Cliente_Mes!$C$2:$C$145,Media_Cliente_Mes!$A$2:$A$145,$K$93,Media_Cliente_Mes!$B$2:$B$145,$A93),0)</f>
        <v>0</v>
      </c>
      <c r="L94" s="8" t="n">
        <f aca="false">IFERROR(SUMIFS(Media_Cliente_Mes!$C$2:$C$145,Media_Cliente_Mes!$A$2:$A$145,$L$93,Media_Cliente_Mes!$B$2:$B$145,$A93),0)</f>
        <v>0</v>
      </c>
      <c r="M94" s="8" t="n">
        <f aca="false">IFERROR(SUMIFS(Media_Cliente_Mes!$C$2:$C$145,Media_Cliente_Mes!$A$2:$A$145,$M$93,Media_Cliente_Mes!$B$2:$B$145,$A93),0)</f>
        <v>0</v>
      </c>
      <c r="N94" s="9" t="n">
        <f aca="false">SUM(B94:M94)</f>
        <v>0</v>
      </c>
    </row>
    <row r="95" customFormat="false" ht="15" hidden="false" customHeight="false" outlineLevel="0" collapsed="false">
      <c r="A95" s="7" t="s">
        <v>53</v>
      </c>
      <c r="B95" s="10" t="n">
        <f aca="false">IFERROR(SUMIFS(Media_Cliente_Mes!$D$2:$D$145,Media_Cliente_Mes!$A$2:$A$145,$B$93,Media_Cliente_Mes!$B$2:$B$145,$A93),0)</f>
        <v>0</v>
      </c>
      <c r="C95" s="10" t="n">
        <f aca="false">IFERROR(SUMIFS(Media_Cliente_Mes!$D$2:$D$145,Media_Cliente_Mes!$A$2:$A$145,$C$93,Media_Cliente_Mes!$B$2:$B$145,$A93),0)</f>
        <v>0</v>
      </c>
      <c r="D95" s="10" t="n">
        <f aca="false">IFERROR(SUMIFS(Media_Cliente_Mes!$D$2:$D$145,Media_Cliente_Mes!$A$2:$A$145,$D$93,Media_Cliente_Mes!$B$2:$B$145,$A93),0)</f>
        <v>0</v>
      </c>
      <c r="E95" s="10" t="n">
        <f aca="false">IFERROR(SUMIFS(Media_Cliente_Mes!$D$2:$D$145,Media_Cliente_Mes!$A$2:$A$145,$E$93,Media_Cliente_Mes!$B$2:$B$145,$A93),0)</f>
        <v>0</v>
      </c>
      <c r="F95" s="10" t="n">
        <f aca="false">IFERROR(SUMIFS(Media_Cliente_Mes!$D$2:$D$145,Media_Cliente_Mes!$A$2:$A$145,$F$93,Media_Cliente_Mes!$B$2:$B$145,$A93),0)</f>
        <v>0</v>
      </c>
      <c r="G95" s="10" t="n">
        <f aca="false">IFERROR(SUMIFS(Media_Cliente_Mes!$D$2:$D$145,Media_Cliente_Mes!$A$2:$A$145,$G$93,Media_Cliente_Mes!$B$2:$B$145,$A93),0)</f>
        <v>0</v>
      </c>
      <c r="H95" s="10" t="n">
        <f aca="false">IFERROR(SUMIFS(Media_Cliente_Mes!$D$2:$D$145,Media_Cliente_Mes!$A$2:$A$145,$H$93,Media_Cliente_Mes!$B$2:$B$145,$A93),0)</f>
        <v>0</v>
      </c>
      <c r="I95" s="10" t="n">
        <f aca="false">IFERROR(SUMIFS(Media_Cliente_Mes!$D$2:$D$145,Media_Cliente_Mes!$A$2:$A$145,$I$93,Media_Cliente_Mes!$B$2:$B$145,$A93),0)</f>
        <v>0</v>
      </c>
      <c r="J95" s="10" t="n">
        <f aca="false">IFERROR(SUMIFS(Media_Cliente_Mes!$D$2:$D$145,Media_Cliente_Mes!$A$2:$A$145,$J$93,Media_Cliente_Mes!$B$2:$B$145,$A93),0)</f>
        <v>0</v>
      </c>
      <c r="K95" s="10" t="n">
        <f aca="false">IFERROR(SUMIFS(Media_Cliente_Mes!$D$2:$D$145,Media_Cliente_Mes!$A$2:$A$145,$K$93,Media_Cliente_Mes!$B$2:$B$145,$A93),0)</f>
        <v>0</v>
      </c>
      <c r="L95" s="10" t="n">
        <f aca="false">IFERROR(SUMIFS(Media_Cliente_Mes!$D$2:$D$145,Media_Cliente_Mes!$A$2:$A$145,$L$93,Media_Cliente_Mes!$B$2:$B$145,$A93),0)</f>
        <v>0</v>
      </c>
      <c r="M95" s="10" t="n">
        <f aca="false">IFERROR(SUMIFS(Media_Cliente_Mes!$D$2:$D$145,Media_Cliente_Mes!$A$2:$A$145,$M$93,Media_Cliente_Mes!$B$2:$B$145,$A93),0)</f>
        <v>0</v>
      </c>
      <c r="N95" s="11" t="n">
        <f aca="false">IFERROR(SUMPRODUCT(B94:M94,B95:M95)/SUM(B94:M94),0)</f>
        <v>0</v>
      </c>
    </row>
    <row r="96" customFormat="false" ht="15" hidden="false" customHeight="false" outlineLevel="0" collapsed="false">
      <c r="A96" s="7" t="s">
        <v>54</v>
      </c>
      <c r="B96" s="10" t="n">
        <f aca="false">IFERROR(SUMIFS(Media_Cliente_Mes!$E$2:$E$145,Media_Cliente_Mes!$A$2:$A$145,$B$93,Media_Cliente_Mes!$B$2:$B$145,$A93),0)</f>
        <v>0</v>
      </c>
      <c r="C96" s="10" t="n">
        <f aca="false">IFERROR(SUMIFS(Media_Cliente_Mes!$E$2:$E$145,Media_Cliente_Mes!$A$2:$A$145,$C$93,Media_Cliente_Mes!$B$2:$B$145,$A93),0)</f>
        <v>0</v>
      </c>
      <c r="D96" s="10" t="n">
        <f aca="false">IFERROR(SUMIFS(Media_Cliente_Mes!$E$2:$E$145,Media_Cliente_Mes!$A$2:$A$145,$D$93,Media_Cliente_Mes!$B$2:$B$145,$A93),0)</f>
        <v>0</v>
      </c>
      <c r="E96" s="10" t="n">
        <f aca="false">IFERROR(SUMIFS(Media_Cliente_Mes!$E$2:$E$145,Media_Cliente_Mes!$A$2:$A$145,$E$93,Media_Cliente_Mes!$B$2:$B$145,$A93),0)</f>
        <v>0</v>
      </c>
      <c r="F96" s="10" t="n">
        <f aca="false">IFERROR(SUMIFS(Media_Cliente_Mes!$E$2:$E$145,Media_Cliente_Mes!$A$2:$A$145,$F$93,Media_Cliente_Mes!$B$2:$B$145,$A93),0)</f>
        <v>0</v>
      </c>
      <c r="G96" s="10" t="n">
        <f aca="false">IFERROR(SUMIFS(Media_Cliente_Mes!$E$2:$E$145,Media_Cliente_Mes!$A$2:$A$145,$G$93,Media_Cliente_Mes!$B$2:$B$145,$A93),0)</f>
        <v>0</v>
      </c>
      <c r="H96" s="10" t="n">
        <f aca="false">IFERROR(SUMIFS(Media_Cliente_Mes!$E$2:$E$145,Media_Cliente_Mes!$A$2:$A$145,$H$93,Media_Cliente_Mes!$B$2:$B$145,$A93),0)</f>
        <v>0</v>
      </c>
      <c r="I96" s="10" t="n">
        <f aca="false">IFERROR(SUMIFS(Media_Cliente_Mes!$E$2:$E$145,Media_Cliente_Mes!$A$2:$A$145,$I$93,Media_Cliente_Mes!$B$2:$B$145,$A93),0)</f>
        <v>0</v>
      </c>
      <c r="J96" s="10" t="n">
        <f aca="false">IFERROR(SUMIFS(Media_Cliente_Mes!$E$2:$E$145,Media_Cliente_Mes!$A$2:$A$145,$J$93,Media_Cliente_Mes!$B$2:$B$145,$A93),0)</f>
        <v>0</v>
      </c>
      <c r="K96" s="10" t="n">
        <f aca="false">IFERROR(SUMIFS(Media_Cliente_Mes!$E$2:$E$145,Media_Cliente_Mes!$A$2:$A$145,$K$93,Media_Cliente_Mes!$B$2:$B$145,$A93),0)</f>
        <v>0</v>
      </c>
      <c r="L96" s="10" t="n">
        <f aca="false">IFERROR(SUMIFS(Media_Cliente_Mes!$E$2:$E$145,Media_Cliente_Mes!$A$2:$A$145,$L$93,Media_Cliente_Mes!$B$2:$B$145,$A93),0)</f>
        <v>0</v>
      </c>
      <c r="M96" s="10" t="n">
        <f aca="false">IFERROR(SUMIFS(Media_Cliente_Mes!$E$2:$E$145,Media_Cliente_Mes!$A$2:$A$145,$M$93,Media_Cliente_Mes!$B$2:$B$145,$A93),0)</f>
        <v>0</v>
      </c>
      <c r="N96" s="11" t="n">
        <f aca="false">IFERROR(SUMPRODUCT(B94:M94,B96:M96)/SUM(B94:M94),0)</f>
        <v>0</v>
      </c>
    </row>
    <row r="97" customFormat="false" ht="15" hidden="false" customHeight="false" outlineLevel="0" collapsed="false">
      <c r="A97" s="7" t="s">
        <v>55</v>
      </c>
      <c r="B97" s="10" t="n">
        <f aca="false">IFERROR(SUMIFS(Media_Cliente_Mes!$F$2:$F$145,Media_Cliente_Mes!$A$2:$A$145,$B$93,Media_Cliente_Mes!$B$2:$B$145,$A93),0)</f>
        <v>0</v>
      </c>
      <c r="C97" s="10" t="n">
        <f aca="false">IFERROR(SUMIFS(Media_Cliente_Mes!$F$2:$F$145,Media_Cliente_Mes!$A$2:$A$145,$C$93,Media_Cliente_Mes!$B$2:$B$145,$A93),0)</f>
        <v>0</v>
      </c>
      <c r="D97" s="10" t="n">
        <f aca="false">IFERROR(SUMIFS(Media_Cliente_Mes!$F$2:$F$145,Media_Cliente_Mes!$A$2:$A$145,$D$93,Media_Cliente_Mes!$B$2:$B$145,$A93),0)</f>
        <v>0</v>
      </c>
      <c r="E97" s="10" t="n">
        <f aca="false">IFERROR(SUMIFS(Media_Cliente_Mes!$F$2:$F$145,Media_Cliente_Mes!$A$2:$A$145,$E$93,Media_Cliente_Mes!$B$2:$B$145,$A93),0)</f>
        <v>0</v>
      </c>
      <c r="F97" s="10" t="n">
        <f aca="false">IFERROR(SUMIFS(Media_Cliente_Mes!$F$2:$F$145,Media_Cliente_Mes!$A$2:$A$145,$F$93,Media_Cliente_Mes!$B$2:$B$145,$A93),0)</f>
        <v>0</v>
      </c>
      <c r="G97" s="10" t="n">
        <f aca="false">IFERROR(SUMIFS(Media_Cliente_Mes!$F$2:$F$145,Media_Cliente_Mes!$A$2:$A$145,$G$93,Media_Cliente_Mes!$B$2:$B$145,$A93),0)</f>
        <v>0</v>
      </c>
      <c r="H97" s="10" t="n">
        <f aca="false">IFERROR(SUMIFS(Media_Cliente_Mes!$F$2:$F$145,Media_Cliente_Mes!$A$2:$A$145,$H$93,Media_Cliente_Mes!$B$2:$B$145,$A93),0)</f>
        <v>0</v>
      </c>
      <c r="I97" s="10" t="n">
        <f aca="false">IFERROR(SUMIFS(Media_Cliente_Mes!$F$2:$F$145,Media_Cliente_Mes!$A$2:$A$145,$I$93,Media_Cliente_Mes!$B$2:$B$145,$A93),0)</f>
        <v>0</v>
      </c>
      <c r="J97" s="10" t="n">
        <f aca="false">IFERROR(SUMIFS(Media_Cliente_Mes!$F$2:$F$145,Media_Cliente_Mes!$A$2:$A$145,$J$93,Media_Cliente_Mes!$B$2:$B$145,$A93),0)</f>
        <v>0</v>
      </c>
      <c r="K97" s="10" t="n">
        <f aca="false">IFERROR(SUMIFS(Media_Cliente_Mes!$F$2:$F$145,Media_Cliente_Mes!$A$2:$A$145,$K$93,Media_Cliente_Mes!$B$2:$B$145,$A93),0)</f>
        <v>0</v>
      </c>
      <c r="L97" s="10" t="n">
        <f aca="false">IFERROR(SUMIFS(Media_Cliente_Mes!$F$2:$F$145,Media_Cliente_Mes!$A$2:$A$145,$L$93,Media_Cliente_Mes!$B$2:$B$145,$A93),0)</f>
        <v>0</v>
      </c>
      <c r="M97" s="10" t="n">
        <f aca="false">IFERROR(SUMIFS(Media_Cliente_Mes!$F$2:$F$145,Media_Cliente_Mes!$A$2:$A$145,$M$93,Media_Cliente_Mes!$B$2:$B$145,$A93),0)</f>
        <v>0</v>
      </c>
      <c r="N97" s="11" t="n">
        <f aca="false">IFERROR(SUMPRODUCT(B94:M94,B97:M97)/SUM(B94:M94),0)</f>
        <v>0</v>
      </c>
    </row>
    <row r="98" customFormat="false" ht="15" hidden="false" customHeight="false" outlineLevel="0" collapsed="false">
      <c r="A98" s="7" t="s">
        <v>56</v>
      </c>
      <c r="B98" s="10" t="n">
        <f aca="false">IFERROR(SUMIFS(Media_Cliente_Mes!$G$2:$G$145,Media_Cliente_Mes!$A$2:$A$145,$B$93,Media_Cliente_Mes!$B$2:$B$145,$A93),0)</f>
        <v>0</v>
      </c>
      <c r="C98" s="10" t="n">
        <f aca="false">IFERROR(SUMIFS(Media_Cliente_Mes!$G$2:$G$145,Media_Cliente_Mes!$A$2:$A$145,$C$93,Media_Cliente_Mes!$B$2:$B$145,$A93),0)</f>
        <v>0</v>
      </c>
      <c r="D98" s="10" t="n">
        <f aca="false">IFERROR(SUMIFS(Media_Cliente_Mes!$G$2:$G$145,Media_Cliente_Mes!$A$2:$A$145,$D$93,Media_Cliente_Mes!$B$2:$B$145,$A93),0)</f>
        <v>0</v>
      </c>
      <c r="E98" s="10" t="n">
        <f aca="false">IFERROR(SUMIFS(Media_Cliente_Mes!$G$2:$G$145,Media_Cliente_Mes!$A$2:$A$145,$E$93,Media_Cliente_Mes!$B$2:$B$145,$A93),0)</f>
        <v>0</v>
      </c>
      <c r="F98" s="10" t="n">
        <f aca="false">IFERROR(SUMIFS(Media_Cliente_Mes!$G$2:$G$145,Media_Cliente_Mes!$A$2:$A$145,$F$93,Media_Cliente_Mes!$B$2:$B$145,$A93),0)</f>
        <v>0</v>
      </c>
      <c r="G98" s="10" t="n">
        <f aca="false">IFERROR(SUMIFS(Media_Cliente_Mes!$G$2:$G$145,Media_Cliente_Mes!$A$2:$A$145,$G$93,Media_Cliente_Mes!$B$2:$B$145,$A93),0)</f>
        <v>0</v>
      </c>
      <c r="H98" s="10" t="n">
        <f aca="false">IFERROR(SUMIFS(Media_Cliente_Mes!$G$2:$G$145,Media_Cliente_Mes!$A$2:$A$145,$H$93,Media_Cliente_Mes!$B$2:$B$145,$A93),0)</f>
        <v>0</v>
      </c>
      <c r="I98" s="10" t="n">
        <f aca="false">IFERROR(SUMIFS(Media_Cliente_Mes!$G$2:$G$145,Media_Cliente_Mes!$A$2:$A$145,$I$93,Media_Cliente_Mes!$B$2:$B$145,$A93),0)</f>
        <v>0</v>
      </c>
      <c r="J98" s="10" t="n">
        <f aca="false">IFERROR(SUMIFS(Media_Cliente_Mes!$G$2:$G$145,Media_Cliente_Mes!$A$2:$A$145,$J$93,Media_Cliente_Mes!$B$2:$B$145,$A93),0)</f>
        <v>0</v>
      </c>
      <c r="K98" s="10" t="n">
        <f aca="false">IFERROR(SUMIFS(Media_Cliente_Mes!$G$2:$G$145,Media_Cliente_Mes!$A$2:$A$145,$K$93,Media_Cliente_Mes!$B$2:$B$145,$A93),0)</f>
        <v>0</v>
      </c>
      <c r="L98" s="10" t="n">
        <f aca="false">IFERROR(SUMIFS(Media_Cliente_Mes!$G$2:$G$145,Media_Cliente_Mes!$A$2:$A$145,$L$93,Media_Cliente_Mes!$B$2:$B$145,$A93),0)</f>
        <v>0</v>
      </c>
      <c r="M98" s="10" t="n">
        <f aca="false">IFERROR(SUMIFS(Media_Cliente_Mes!$G$2:$G$145,Media_Cliente_Mes!$A$2:$A$145,$M$93,Media_Cliente_Mes!$B$2:$B$145,$A93),0)</f>
        <v>0</v>
      </c>
      <c r="N98" s="11" t="n">
        <f aca="false">IFERROR(SUMPRODUCT(B94:M94,B98:M98)/SUM(B94:M94),0)</f>
        <v>0</v>
      </c>
    </row>
    <row r="99" customFormat="false" ht="15" hidden="false" customHeight="false" outlineLevel="0" collapsed="false">
      <c r="A99" s="7" t="s">
        <v>57</v>
      </c>
      <c r="B99" s="8" t="n">
        <f aca="false">IFERROR(SUMIFS(Media_Cliente_Mes!$H$2:$H$145,Media_Cliente_Mes!$A$2:$A$145,$B$93,Media_Cliente_Mes!$B$2:$B$145,$A93),0)</f>
        <v>0</v>
      </c>
      <c r="C99" s="8" t="n">
        <f aca="false">IFERROR(SUMIFS(Media_Cliente_Mes!$H$2:$H$145,Media_Cliente_Mes!$A$2:$A$145,$C$93,Media_Cliente_Mes!$B$2:$B$145,$A93),0)</f>
        <v>0</v>
      </c>
      <c r="D99" s="8" t="n">
        <f aca="false">IFERROR(SUMIFS(Media_Cliente_Mes!$H$2:$H$145,Media_Cliente_Mes!$A$2:$A$145,$D$93,Media_Cliente_Mes!$B$2:$B$145,$A93),0)</f>
        <v>0</v>
      </c>
      <c r="E99" s="8" t="n">
        <f aca="false">IFERROR(SUMIFS(Media_Cliente_Mes!$H$2:$H$145,Media_Cliente_Mes!$A$2:$A$145,$E$93,Media_Cliente_Mes!$B$2:$B$145,$A93),0)</f>
        <v>0</v>
      </c>
      <c r="F99" s="8" t="n">
        <f aca="false">IFERROR(SUMIFS(Media_Cliente_Mes!$H$2:$H$145,Media_Cliente_Mes!$A$2:$A$145,$F$93,Media_Cliente_Mes!$B$2:$B$145,$A93),0)</f>
        <v>0</v>
      </c>
      <c r="G99" s="8" t="n">
        <f aca="false">IFERROR(SUMIFS(Media_Cliente_Mes!$H$2:$H$145,Media_Cliente_Mes!$A$2:$A$145,$G$93,Media_Cliente_Mes!$B$2:$B$145,$A93),0)</f>
        <v>0</v>
      </c>
      <c r="H99" s="8" t="n">
        <f aca="false">IFERROR(SUMIFS(Media_Cliente_Mes!$H$2:$H$145,Media_Cliente_Mes!$A$2:$A$145,$H$93,Media_Cliente_Mes!$B$2:$B$145,$A93),0)</f>
        <v>0</v>
      </c>
      <c r="I99" s="8" t="n">
        <f aca="false">IFERROR(SUMIFS(Media_Cliente_Mes!$H$2:$H$145,Media_Cliente_Mes!$A$2:$A$145,$I$93,Media_Cliente_Mes!$B$2:$B$145,$A93),0)</f>
        <v>0</v>
      </c>
      <c r="J99" s="8" t="n">
        <f aca="false">IFERROR(SUMIFS(Media_Cliente_Mes!$H$2:$H$145,Media_Cliente_Mes!$A$2:$A$145,$J$93,Media_Cliente_Mes!$B$2:$B$145,$A93),0)</f>
        <v>0</v>
      </c>
      <c r="K99" s="8" t="n">
        <f aca="false">IFERROR(SUMIFS(Media_Cliente_Mes!$H$2:$H$145,Media_Cliente_Mes!$A$2:$A$145,$K$93,Media_Cliente_Mes!$B$2:$B$145,$A93),0)</f>
        <v>0</v>
      </c>
      <c r="L99" s="8" t="n">
        <f aca="false">IFERROR(SUMIFS(Media_Cliente_Mes!$H$2:$H$145,Media_Cliente_Mes!$A$2:$A$145,$L$93,Media_Cliente_Mes!$B$2:$B$145,$A93),0)</f>
        <v>0</v>
      </c>
      <c r="M99" s="8" t="n">
        <f aca="false">IFERROR(SUMIFS(Media_Cliente_Mes!$H$2:$H$145,Media_Cliente_Mes!$A$2:$A$145,$M$93,Media_Cliente_Mes!$B$2:$B$145,$A93),0)</f>
        <v>0</v>
      </c>
      <c r="N99" s="9" t="n">
        <f aca="false">SUM(B99:M99)</f>
        <v>0</v>
      </c>
    </row>
    <row r="100" customFormat="false" ht="15" hidden="false" customHeight="false" outlineLevel="0" collapsed="false">
      <c r="A100" s="7" t="s">
        <v>58</v>
      </c>
      <c r="B100" s="8" t="n">
        <f aca="false">IFERROR(SUMIFS(Media_Cliente_Mes!$I$2:$I$145,Media_Cliente_Mes!$A$2:$A$145,$B$93,Media_Cliente_Mes!$B$2:$B$145,$A93),0)</f>
        <v>0</v>
      </c>
      <c r="C100" s="8" t="n">
        <f aca="false">IFERROR(SUMIFS(Media_Cliente_Mes!$I$2:$I$145,Media_Cliente_Mes!$A$2:$A$145,$C$93,Media_Cliente_Mes!$B$2:$B$145,$A93),0)</f>
        <v>0</v>
      </c>
      <c r="D100" s="8" t="n">
        <f aca="false">IFERROR(SUMIFS(Media_Cliente_Mes!$I$2:$I$145,Media_Cliente_Mes!$A$2:$A$145,$D$93,Media_Cliente_Mes!$B$2:$B$145,$A93),0)</f>
        <v>0</v>
      </c>
      <c r="E100" s="8" t="n">
        <f aca="false">IFERROR(SUMIFS(Media_Cliente_Mes!$I$2:$I$145,Media_Cliente_Mes!$A$2:$A$145,$E$93,Media_Cliente_Mes!$B$2:$B$145,$A93),0)</f>
        <v>0</v>
      </c>
      <c r="F100" s="8" t="n">
        <f aca="false">IFERROR(SUMIFS(Media_Cliente_Mes!$I$2:$I$145,Media_Cliente_Mes!$A$2:$A$145,$F$93,Media_Cliente_Mes!$B$2:$B$145,$A93),0)</f>
        <v>0</v>
      </c>
      <c r="G100" s="8" t="n">
        <f aca="false">IFERROR(SUMIFS(Media_Cliente_Mes!$I$2:$I$145,Media_Cliente_Mes!$A$2:$A$145,$G$93,Media_Cliente_Mes!$B$2:$B$145,$A93),0)</f>
        <v>0</v>
      </c>
      <c r="H100" s="8" t="n">
        <f aca="false">IFERROR(SUMIFS(Media_Cliente_Mes!$I$2:$I$145,Media_Cliente_Mes!$A$2:$A$145,$H$93,Media_Cliente_Mes!$B$2:$B$145,$A93),0)</f>
        <v>0</v>
      </c>
      <c r="I100" s="8" t="n">
        <f aca="false">IFERROR(SUMIFS(Media_Cliente_Mes!$I$2:$I$145,Media_Cliente_Mes!$A$2:$A$145,$I$93,Media_Cliente_Mes!$B$2:$B$145,$A93),0)</f>
        <v>0</v>
      </c>
      <c r="J100" s="8" t="n">
        <f aca="false">IFERROR(SUMIFS(Media_Cliente_Mes!$I$2:$I$145,Media_Cliente_Mes!$A$2:$A$145,$J$93,Media_Cliente_Mes!$B$2:$B$145,$A93),0)</f>
        <v>0</v>
      </c>
      <c r="K100" s="8" t="n">
        <f aca="false">IFERROR(SUMIFS(Media_Cliente_Mes!$I$2:$I$145,Media_Cliente_Mes!$A$2:$A$145,$K$93,Media_Cliente_Mes!$B$2:$B$145,$A93),0)</f>
        <v>0</v>
      </c>
      <c r="L100" s="8" t="n">
        <f aca="false">IFERROR(SUMIFS(Media_Cliente_Mes!$I$2:$I$145,Media_Cliente_Mes!$A$2:$A$145,$L$93,Media_Cliente_Mes!$B$2:$B$145,$A93),0)</f>
        <v>0</v>
      </c>
      <c r="M100" s="8" t="n">
        <f aca="false">IFERROR(SUMIFS(Media_Cliente_Mes!$I$2:$I$145,Media_Cliente_Mes!$A$2:$A$145,$M$93,Media_Cliente_Mes!$B$2:$B$145,$A93),0)</f>
        <v>0</v>
      </c>
      <c r="N100" s="9" t="n">
        <f aca="false">SUM(B100:M100)</f>
        <v>0</v>
      </c>
    </row>
    <row r="102" customFormat="false" ht="15" hidden="false" customHeight="false" outlineLevel="0" collapsed="false">
      <c r="A102" s="5" t="s">
        <v>69</v>
      </c>
      <c r="B102" s="6" t="s">
        <v>39</v>
      </c>
      <c r="C102" s="6" t="s">
        <v>40</v>
      </c>
      <c r="D102" s="6" t="s">
        <v>41</v>
      </c>
      <c r="E102" s="6" t="s">
        <v>42</v>
      </c>
      <c r="F102" s="6" t="s">
        <v>43</v>
      </c>
      <c r="G102" s="6" t="s">
        <v>44</v>
      </c>
      <c r="H102" s="6" t="s">
        <v>45</v>
      </c>
      <c r="I102" s="6" t="s">
        <v>46</v>
      </c>
      <c r="J102" s="6" t="s">
        <v>47</v>
      </c>
      <c r="K102" s="6" t="s">
        <v>48</v>
      </c>
      <c r="L102" s="6" t="s">
        <v>49</v>
      </c>
      <c r="M102" s="6" t="s">
        <v>50</v>
      </c>
      <c r="N102" s="6" t="s">
        <v>51</v>
      </c>
    </row>
    <row r="103" customFormat="false" ht="15" hidden="false" customHeight="false" outlineLevel="0" collapsed="false">
      <c r="A103" s="7" t="s">
        <v>52</v>
      </c>
      <c r="B103" s="8" t="n">
        <f aca="false">IFERROR(SUMIFS(Media_Cliente_Mes!$C$2:$C$145,Media_Cliente_Mes!$A$2:$A$145,$B$102,Media_Cliente_Mes!$B$2:$B$145,$A102),0)</f>
        <v>0</v>
      </c>
      <c r="C103" s="8" t="n">
        <f aca="false">IFERROR(SUMIFS(Media_Cliente_Mes!$C$2:$C$145,Media_Cliente_Mes!$A$2:$A$145,$C$102,Media_Cliente_Mes!$B$2:$B$145,$A102),0)</f>
        <v>0</v>
      </c>
      <c r="D103" s="8" t="n">
        <f aca="false">IFERROR(SUMIFS(Media_Cliente_Mes!$C$2:$C$145,Media_Cliente_Mes!$A$2:$A$145,$D$102,Media_Cliente_Mes!$B$2:$B$145,$A102),0)</f>
        <v>0</v>
      </c>
      <c r="E103" s="8" t="n">
        <f aca="false">IFERROR(SUMIFS(Media_Cliente_Mes!$C$2:$C$145,Media_Cliente_Mes!$A$2:$A$145,$E$102,Media_Cliente_Mes!$B$2:$B$145,$A102),0)</f>
        <v>0</v>
      </c>
      <c r="F103" s="8" t="n">
        <f aca="false">IFERROR(SUMIFS(Media_Cliente_Mes!$C$2:$C$145,Media_Cliente_Mes!$A$2:$A$145,$F$102,Media_Cliente_Mes!$B$2:$B$145,$A102),0)</f>
        <v>0</v>
      </c>
      <c r="G103" s="8" t="n">
        <f aca="false">IFERROR(SUMIFS(Media_Cliente_Mes!$C$2:$C$145,Media_Cliente_Mes!$A$2:$A$145,$G$102,Media_Cliente_Mes!$B$2:$B$145,$A102),0)</f>
        <v>0</v>
      </c>
      <c r="H103" s="8" t="n">
        <f aca="false">IFERROR(SUMIFS(Media_Cliente_Mes!$C$2:$C$145,Media_Cliente_Mes!$A$2:$A$145,$H$102,Media_Cliente_Mes!$B$2:$B$145,$A102),0)</f>
        <v>0</v>
      </c>
      <c r="I103" s="8" t="n">
        <f aca="false">IFERROR(SUMIFS(Media_Cliente_Mes!$C$2:$C$145,Media_Cliente_Mes!$A$2:$A$145,$I$102,Media_Cliente_Mes!$B$2:$B$145,$A102),0)</f>
        <v>0</v>
      </c>
      <c r="J103" s="8" t="n">
        <f aca="false">IFERROR(SUMIFS(Media_Cliente_Mes!$C$2:$C$145,Media_Cliente_Mes!$A$2:$A$145,$J$102,Media_Cliente_Mes!$B$2:$B$145,$A102),0)</f>
        <v>0</v>
      </c>
      <c r="K103" s="8" t="n">
        <f aca="false">IFERROR(SUMIFS(Media_Cliente_Mes!$C$2:$C$145,Media_Cliente_Mes!$A$2:$A$145,$K$102,Media_Cliente_Mes!$B$2:$B$145,$A102),0)</f>
        <v>0</v>
      </c>
      <c r="L103" s="8" t="n">
        <f aca="false">IFERROR(SUMIFS(Media_Cliente_Mes!$C$2:$C$145,Media_Cliente_Mes!$A$2:$A$145,$L$102,Media_Cliente_Mes!$B$2:$B$145,$A102),0)</f>
        <v>0</v>
      </c>
      <c r="M103" s="8" t="n">
        <f aca="false">IFERROR(SUMIFS(Media_Cliente_Mes!$C$2:$C$145,Media_Cliente_Mes!$A$2:$A$145,$M$102,Media_Cliente_Mes!$B$2:$B$145,$A102),0)</f>
        <v>0</v>
      </c>
      <c r="N103" s="9" t="n">
        <f aca="false">SUM(B103:M103)</f>
        <v>0</v>
      </c>
    </row>
    <row r="104" customFormat="false" ht="15" hidden="false" customHeight="false" outlineLevel="0" collapsed="false">
      <c r="A104" s="7" t="s">
        <v>53</v>
      </c>
      <c r="B104" s="10" t="n">
        <f aca="false">IFERROR(SUMIFS(Media_Cliente_Mes!$D$2:$D$145,Media_Cliente_Mes!$A$2:$A$145,$B$102,Media_Cliente_Mes!$B$2:$B$145,$A102),0)</f>
        <v>0</v>
      </c>
      <c r="C104" s="10" t="n">
        <f aca="false">IFERROR(SUMIFS(Media_Cliente_Mes!$D$2:$D$145,Media_Cliente_Mes!$A$2:$A$145,$C$102,Media_Cliente_Mes!$B$2:$B$145,$A102),0)</f>
        <v>0</v>
      </c>
      <c r="D104" s="10" t="n">
        <f aca="false">IFERROR(SUMIFS(Media_Cliente_Mes!$D$2:$D$145,Media_Cliente_Mes!$A$2:$A$145,$D$102,Media_Cliente_Mes!$B$2:$B$145,$A102),0)</f>
        <v>0</v>
      </c>
      <c r="E104" s="10" t="n">
        <f aca="false">IFERROR(SUMIFS(Media_Cliente_Mes!$D$2:$D$145,Media_Cliente_Mes!$A$2:$A$145,$E$102,Media_Cliente_Mes!$B$2:$B$145,$A102),0)</f>
        <v>0</v>
      </c>
      <c r="F104" s="10" t="n">
        <f aca="false">IFERROR(SUMIFS(Media_Cliente_Mes!$D$2:$D$145,Media_Cliente_Mes!$A$2:$A$145,$F$102,Media_Cliente_Mes!$B$2:$B$145,$A102),0)</f>
        <v>0</v>
      </c>
      <c r="G104" s="10" t="n">
        <f aca="false">IFERROR(SUMIFS(Media_Cliente_Mes!$D$2:$D$145,Media_Cliente_Mes!$A$2:$A$145,$G$102,Media_Cliente_Mes!$B$2:$B$145,$A102),0)</f>
        <v>0</v>
      </c>
      <c r="H104" s="10" t="n">
        <f aca="false">IFERROR(SUMIFS(Media_Cliente_Mes!$D$2:$D$145,Media_Cliente_Mes!$A$2:$A$145,$H$102,Media_Cliente_Mes!$B$2:$B$145,$A102),0)</f>
        <v>0</v>
      </c>
      <c r="I104" s="10" t="n">
        <f aca="false">IFERROR(SUMIFS(Media_Cliente_Mes!$D$2:$D$145,Media_Cliente_Mes!$A$2:$A$145,$I$102,Media_Cliente_Mes!$B$2:$B$145,$A102),0)</f>
        <v>0</v>
      </c>
      <c r="J104" s="10" t="n">
        <f aca="false">IFERROR(SUMIFS(Media_Cliente_Mes!$D$2:$D$145,Media_Cliente_Mes!$A$2:$A$145,$J$102,Media_Cliente_Mes!$B$2:$B$145,$A102),0)</f>
        <v>0</v>
      </c>
      <c r="K104" s="10" t="n">
        <f aca="false">IFERROR(SUMIFS(Media_Cliente_Mes!$D$2:$D$145,Media_Cliente_Mes!$A$2:$A$145,$K$102,Media_Cliente_Mes!$B$2:$B$145,$A102),0)</f>
        <v>0</v>
      </c>
      <c r="L104" s="10" t="n">
        <f aca="false">IFERROR(SUMIFS(Media_Cliente_Mes!$D$2:$D$145,Media_Cliente_Mes!$A$2:$A$145,$L$102,Media_Cliente_Mes!$B$2:$B$145,$A102),0)</f>
        <v>0</v>
      </c>
      <c r="M104" s="10" t="n">
        <f aca="false">IFERROR(SUMIFS(Media_Cliente_Mes!$D$2:$D$145,Media_Cliente_Mes!$A$2:$A$145,$M$102,Media_Cliente_Mes!$B$2:$B$145,$A102),0)</f>
        <v>0</v>
      </c>
      <c r="N104" s="11" t="n">
        <f aca="false">IFERROR(SUMPRODUCT(B103:M103,B104:M104)/SUM(B103:M103),0)</f>
        <v>0</v>
      </c>
    </row>
    <row r="105" customFormat="false" ht="15" hidden="false" customHeight="false" outlineLevel="0" collapsed="false">
      <c r="A105" s="7" t="s">
        <v>54</v>
      </c>
      <c r="B105" s="10" t="n">
        <f aca="false">IFERROR(SUMIFS(Media_Cliente_Mes!$E$2:$E$145,Media_Cliente_Mes!$A$2:$A$145,$B$102,Media_Cliente_Mes!$B$2:$B$145,$A102),0)</f>
        <v>0</v>
      </c>
      <c r="C105" s="10" t="n">
        <f aca="false">IFERROR(SUMIFS(Media_Cliente_Mes!$E$2:$E$145,Media_Cliente_Mes!$A$2:$A$145,$C$102,Media_Cliente_Mes!$B$2:$B$145,$A102),0)</f>
        <v>0</v>
      </c>
      <c r="D105" s="10" t="n">
        <f aca="false">IFERROR(SUMIFS(Media_Cliente_Mes!$E$2:$E$145,Media_Cliente_Mes!$A$2:$A$145,$D$102,Media_Cliente_Mes!$B$2:$B$145,$A102),0)</f>
        <v>0</v>
      </c>
      <c r="E105" s="10" t="n">
        <f aca="false">IFERROR(SUMIFS(Media_Cliente_Mes!$E$2:$E$145,Media_Cliente_Mes!$A$2:$A$145,$E$102,Media_Cliente_Mes!$B$2:$B$145,$A102),0)</f>
        <v>0</v>
      </c>
      <c r="F105" s="10" t="n">
        <f aca="false">IFERROR(SUMIFS(Media_Cliente_Mes!$E$2:$E$145,Media_Cliente_Mes!$A$2:$A$145,$F$102,Media_Cliente_Mes!$B$2:$B$145,$A102),0)</f>
        <v>0</v>
      </c>
      <c r="G105" s="10" t="n">
        <f aca="false">IFERROR(SUMIFS(Media_Cliente_Mes!$E$2:$E$145,Media_Cliente_Mes!$A$2:$A$145,$G$102,Media_Cliente_Mes!$B$2:$B$145,$A102),0)</f>
        <v>0</v>
      </c>
      <c r="H105" s="10" t="n">
        <f aca="false">IFERROR(SUMIFS(Media_Cliente_Mes!$E$2:$E$145,Media_Cliente_Mes!$A$2:$A$145,$H$102,Media_Cliente_Mes!$B$2:$B$145,$A102),0)</f>
        <v>0</v>
      </c>
      <c r="I105" s="10" t="n">
        <f aca="false">IFERROR(SUMIFS(Media_Cliente_Mes!$E$2:$E$145,Media_Cliente_Mes!$A$2:$A$145,$I$102,Media_Cliente_Mes!$B$2:$B$145,$A102),0)</f>
        <v>0</v>
      </c>
      <c r="J105" s="10" t="n">
        <f aca="false">IFERROR(SUMIFS(Media_Cliente_Mes!$E$2:$E$145,Media_Cliente_Mes!$A$2:$A$145,$J$102,Media_Cliente_Mes!$B$2:$B$145,$A102),0)</f>
        <v>0</v>
      </c>
      <c r="K105" s="10" t="n">
        <f aca="false">IFERROR(SUMIFS(Media_Cliente_Mes!$E$2:$E$145,Media_Cliente_Mes!$A$2:$A$145,$K$102,Media_Cliente_Mes!$B$2:$B$145,$A102),0)</f>
        <v>0</v>
      </c>
      <c r="L105" s="10" t="n">
        <f aca="false">IFERROR(SUMIFS(Media_Cliente_Mes!$E$2:$E$145,Media_Cliente_Mes!$A$2:$A$145,$L$102,Media_Cliente_Mes!$B$2:$B$145,$A102),0)</f>
        <v>0</v>
      </c>
      <c r="M105" s="10" t="n">
        <f aca="false">IFERROR(SUMIFS(Media_Cliente_Mes!$E$2:$E$145,Media_Cliente_Mes!$A$2:$A$145,$M$102,Media_Cliente_Mes!$B$2:$B$145,$A102),0)</f>
        <v>0</v>
      </c>
      <c r="N105" s="11" t="n">
        <f aca="false">IFERROR(SUMPRODUCT(B103:M103,B105:M105)/SUM(B103:M103),0)</f>
        <v>0</v>
      </c>
    </row>
    <row r="106" customFormat="false" ht="15" hidden="false" customHeight="false" outlineLevel="0" collapsed="false">
      <c r="A106" s="7" t="s">
        <v>55</v>
      </c>
      <c r="B106" s="10" t="n">
        <f aca="false">IFERROR(SUMIFS(Media_Cliente_Mes!$F$2:$F$145,Media_Cliente_Mes!$A$2:$A$145,$B$102,Media_Cliente_Mes!$B$2:$B$145,$A102),0)</f>
        <v>0</v>
      </c>
      <c r="C106" s="10" t="n">
        <f aca="false">IFERROR(SUMIFS(Media_Cliente_Mes!$F$2:$F$145,Media_Cliente_Mes!$A$2:$A$145,$C$102,Media_Cliente_Mes!$B$2:$B$145,$A102),0)</f>
        <v>0</v>
      </c>
      <c r="D106" s="10" t="n">
        <f aca="false">IFERROR(SUMIFS(Media_Cliente_Mes!$F$2:$F$145,Media_Cliente_Mes!$A$2:$A$145,$D$102,Media_Cliente_Mes!$B$2:$B$145,$A102),0)</f>
        <v>0</v>
      </c>
      <c r="E106" s="10" t="n">
        <f aca="false">IFERROR(SUMIFS(Media_Cliente_Mes!$F$2:$F$145,Media_Cliente_Mes!$A$2:$A$145,$E$102,Media_Cliente_Mes!$B$2:$B$145,$A102),0)</f>
        <v>0</v>
      </c>
      <c r="F106" s="10" t="n">
        <f aca="false">IFERROR(SUMIFS(Media_Cliente_Mes!$F$2:$F$145,Media_Cliente_Mes!$A$2:$A$145,$F$102,Media_Cliente_Mes!$B$2:$B$145,$A102),0)</f>
        <v>0</v>
      </c>
      <c r="G106" s="10" t="n">
        <f aca="false">IFERROR(SUMIFS(Media_Cliente_Mes!$F$2:$F$145,Media_Cliente_Mes!$A$2:$A$145,$G$102,Media_Cliente_Mes!$B$2:$B$145,$A102),0)</f>
        <v>0</v>
      </c>
      <c r="H106" s="10" t="n">
        <f aca="false">IFERROR(SUMIFS(Media_Cliente_Mes!$F$2:$F$145,Media_Cliente_Mes!$A$2:$A$145,$H$102,Media_Cliente_Mes!$B$2:$B$145,$A102),0)</f>
        <v>0</v>
      </c>
      <c r="I106" s="10" t="n">
        <f aca="false">IFERROR(SUMIFS(Media_Cliente_Mes!$F$2:$F$145,Media_Cliente_Mes!$A$2:$A$145,$I$102,Media_Cliente_Mes!$B$2:$B$145,$A102),0)</f>
        <v>0</v>
      </c>
      <c r="J106" s="10" t="n">
        <f aca="false">IFERROR(SUMIFS(Media_Cliente_Mes!$F$2:$F$145,Media_Cliente_Mes!$A$2:$A$145,$J$102,Media_Cliente_Mes!$B$2:$B$145,$A102),0)</f>
        <v>0</v>
      </c>
      <c r="K106" s="10" t="n">
        <f aca="false">IFERROR(SUMIFS(Media_Cliente_Mes!$F$2:$F$145,Media_Cliente_Mes!$A$2:$A$145,$K$102,Media_Cliente_Mes!$B$2:$B$145,$A102),0)</f>
        <v>0</v>
      </c>
      <c r="L106" s="10" t="n">
        <f aca="false">IFERROR(SUMIFS(Media_Cliente_Mes!$F$2:$F$145,Media_Cliente_Mes!$A$2:$A$145,$L$102,Media_Cliente_Mes!$B$2:$B$145,$A102),0)</f>
        <v>0</v>
      </c>
      <c r="M106" s="10" t="n">
        <f aca="false">IFERROR(SUMIFS(Media_Cliente_Mes!$F$2:$F$145,Media_Cliente_Mes!$A$2:$A$145,$M$102,Media_Cliente_Mes!$B$2:$B$145,$A102),0)</f>
        <v>0</v>
      </c>
      <c r="N106" s="11" t="n">
        <f aca="false">IFERROR(SUMPRODUCT(B103:M103,B106:M106)/SUM(B103:M103),0)</f>
        <v>0</v>
      </c>
    </row>
    <row r="107" customFormat="false" ht="15" hidden="false" customHeight="false" outlineLevel="0" collapsed="false">
      <c r="A107" s="7" t="s">
        <v>56</v>
      </c>
      <c r="B107" s="10" t="n">
        <f aca="false">IFERROR(SUMIFS(Media_Cliente_Mes!$G$2:$G$145,Media_Cliente_Mes!$A$2:$A$145,$B$102,Media_Cliente_Mes!$B$2:$B$145,$A102),0)</f>
        <v>0</v>
      </c>
      <c r="C107" s="10" t="n">
        <f aca="false">IFERROR(SUMIFS(Media_Cliente_Mes!$G$2:$G$145,Media_Cliente_Mes!$A$2:$A$145,$C$102,Media_Cliente_Mes!$B$2:$B$145,$A102),0)</f>
        <v>0</v>
      </c>
      <c r="D107" s="10" t="n">
        <f aca="false">IFERROR(SUMIFS(Media_Cliente_Mes!$G$2:$G$145,Media_Cliente_Mes!$A$2:$A$145,$D$102,Media_Cliente_Mes!$B$2:$B$145,$A102),0)</f>
        <v>0</v>
      </c>
      <c r="E107" s="10" t="n">
        <f aca="false">IFERROR(SUMIFS(Media_Cliente_Mes!$G$2:$G$145,Media_Cliente_Mes!$A$2:$A$145,$E$102,Media_Cliente_Mes!$B$2:$B$145,$A102),0)</f>
        <v>0</v>
      </c>
      <c r="F107" s="10" t="n">
        <f aca="false">IFERROR(SUMIFS(Media_Cliente_Mes!$G$2:$G$145,Media_Cliente_Mes!$A$2:$A$145,$F$102,Media_Cliente_Mes!$B$2:$B$145,$A102),0)</f>
        <v>0</v>
      </c>
      <c r="G107" s="10" t="n">
        <f aca="false">IFERROR(SUMIFS(Media_Cliente_Mes!$G$2:$G$145,Media_Cliente_Mes!$A$2:$A$145,$G$102,Media_Cliente_Mes!$B$2:$B$145,$A102),0)</f>
        <v>0</v>
      </c>
      <c r="H107" s="10" t="n">
        <f aca="false">IFERROR(SUMIFS(Media_Cliente_Mes!$G$2:$G$145,Media_Cliente_Mes!$A$2:$A$145,$H$102,Media_Cliente_Mes!$B$2:$B$145,$A102),0)</f>
        <v>0</v>
      </c>
      <c r="I107" s="10" t="n">
        <f aca="false">IFERROR(SUMIFS(Media_Cliente_Mes!$G$2:$G$145,Media_Cliente_Mes!$A$2:$A$145,$I$102,Media_Cliente_Mes!$B$2:$B$145,$A102),0)</f>
        <v>0</v>
      </c>
      <c r="J107" s="10" t="n">
        <f aca="false">IFERROR(SUMIFS(Media_Cliente_Mes!$G$2:$G$145,Media_Cliente_Mes!$A$2:$A$145,$J$102,Media_Cliente_Mes!$B$2:$B$145,$A102),0)</f>
        <v>0</v>
      </c>
      <c r="K107" s="10" t="n">
        <f aca="false">IFERROR(SUMIFS(Media_Cliente_Mes!$G$2:$G$145,Media_Cliente_Mes!$A$2:$A$145,$K$102,Media_Cliente_Mes!$B$2:$B$145,$A102),0)</f>
        <v>0</v>
      </c>
      <c r="L107" s="10" t="n">
        <f aca="false">IFERROR(SUMIFS(Media_Cliente_Mes!$G$2:$G$145,Media_Cliente_Mes!$A$2:$A$145,$L$102,Media_Cliente_Mes!$B$2:$B$145,$A102),0)</f>
        <v>0</v>
      </c>
      <c r="M107" s="10" t="n">
        <f aca="false">IFERROR(SUMIFS(Media_Cliente_Mes!$G$2:$G$145,Media_Cliente_Mes!$A$2:$A$145,$M$102,Media_Cliente_Mes!$B$2:$B$145,$A102),0)</f>
        <v>0</v>
      </c>
      <c r="N107" s="11" t="n">
        <f aca="false">IFERROR(SUMPRODUCT(B103:M103,B107:M107)/SUM(B103:M103),0)</f>
        <v>0</v>
      </c>
    </row>
    <row r="108" customFormat="false" ht="15" hidden="false" customHeight="false" outlineLevel="0" collapsed="false">
      <c r="A108" s="7" t="s">
        <v>57</v>
      </c>
      <c r="B108" s="8" t="n">
        <f aca="false">IFERROR(SUMIFS(Media_Cliente_Mes!$H$2:$H$145,Media_Cliente_Mes!$A$2:$A$145,$B$102,Media_Cliente_Mes!$B$2:$B$145,$A102),0)</f>
        <v>0</v>
      </c>
      <c r="C108" s="8" t="n">
        <f aca="false">IFERROR(SUMIFS(Media_Cliente_Mes!$H$2:$H$145,Media_Cliente_Mes!$A$2:$A$145,$C$102,Media_Cliente_Mes!$B$2:$B$145,$A102),0)</f>
        <v>0</v>
      </c>
      <c r="D108" s="8" t="n">
        <f aca="false">IFERROR(SUMIFS(Media_Cliente_Mes!$H$2:$H$145,Media_Cliente_Mes!$A$2:$A$145,$D$102,Media_Cliente_Mes!$B$2:$B$145,$A102),0)</f>
        <v>0</v>
      </c>
      <c r="E108" s="8" t="n">
        <f aca="false">IFERROR(SUMIFS(Media_Cliente_Mes!$H$2:$H$145,Media_Cliente_Mes!$A$2:$A$145,$E$102,Media_Cliente_Mes!$B$2:$B$145,$A102),0)</f>
        <v>0</v>
      </c>
      <c r="F108" s="8" t="n">
        <f aca="false">IFERROR(SUMIFS(Media_Cliente_Mes!$H$2:$H$145,Media_Cliente_Mes!$A$2:$A$145,$F$102,Media_Cliente_Mes!$B$2:$B$145,$A102),0)</f>
        <v>0</v>
      </c>
      <c r="G108" s="8" t="n">
        <f aca="false">IFERROR(SUMIFS(Media_Cliente_Mes!$H$2:$H$145,Media_Cliente_Mes!$A$2:$A$145,$G$102,Media_Cliente_Mes!$B$2:$B$145,$A102),0)</f>
        <v>0</v>
      </c>
      <c r="H108" s="8" t="n">
        <f aca="false">IFERROR(SUMIFS(Media_Cliente_Mes!$H$2:$H$145,Media_Cliente_Mes!$A$2:$A$145,$H$102,Media_Cliente_Mes!$B$2:$B$145,$A102),0)</f>
        <v>0</v>
      </c>
      <c r="I108" s="8" t="n">
        <f aca="false">IFERROR(SUMIFS(Media_Cliente_Mes!$H$2:$H$145,Media_Cliente_Mes!$A$2:$A$145,$I$102,Media_Cliente_Mes!$B$2:$B$145,$A102),0)</f>
        <v>0</v>
      </c>
      <c r="J108" s="8" t="n">
        <f aca="false">IFERROR(SUMIFS(Media_Cliente_Mes!$H$2:$H$145,Media_Cliente_Mes!$A$2:$A$145,$J$102,Media_Cliente_Mes!$B$2:$B$145,$A102),0)</f>
        <v>0</v>
      </c>
      <c r="K108" s="8" t="n">
        <f aca="false">IFERROR(SUMIFS(Media_Cliente_Mes!$H$2:$H$145,Media_Cliente_Mes!$A$2:$A$145,$K$102,Media_Cliente_Mes!$B$2:$B$145,$A102),0)</f>
        <v>0</v>
      </c>
      <c r="L108" s="8" t="n">
        <f aca="false">IFERROR(SUMIFS(Media_Cliente_Mes!$H$2:$H$145,Media_Cliente_Mes!$A$2:$A$145,$L$102,Media_Cliente_Mes!$B$2:$B$145,$A102),0)</f>
        <v>0</v>
      </c>
      <c r="M108" s="8" t="n">
        <f aca="false">IFERROR(SUMIFS(Media_Cliente_Mes!$H$2:$H$145,Media_Cliente_Mes!$A$2:$A$145,$M$102,Media_Cliente_Mes!$B$2:$B$145,$A102),0)</f>
        <v>0</v>
      </c>
      <c r="N108" s="9" t="n">
        <f aca="false">SUM(B108:M108)</f>
        <v>0</v>
      </c>
    </row>
    <row r="109" customFormat="false" ht="15" hidden="false" customHeight="false" outlineLevel="0" collapsed="false">
      <c r="A109" s="7" t="s">
        <v>58</v>
      </c>
      <c r="B109" s="8" t="n">
        <f aca="false">IFERROR(SUMIFS(Media_Cliente_Mes!$I$2:$I$145,Media_Cliente_Mes!$A$2:$A$145,$B$102,Media_Cliente_Mes!$B$2:$B$145,$A102),0)</f>
        <v>0</v>
      </c>
      <c r="C109" s="8" t="n">
        <f aca="false">IFERROR(SUMIFS(Media_Cliente_Mes!$I$2:$I$145,Media_Cliente_Mes!$A$2:$A$145,$C$102,Media_Cliente_Mes!$B$2:$B$145,$A102),0)</f>
        <v>0</v>
      </c>
      <c r="D109" s="8" t="n">
        <f aca="false">IFERROR(SUMIFS(Media_Cliente_Mes!$I$2:$I$145,Media_Cliente_Mes!$A$2:$A$145,$D$102,Media_Cliente_Mes!$B$2:$B$145,$A102),0)</f>
        <v>0</v>
      </c>
      <c r="E109" s="8" t="n">
        <f aca="false">IFERROR(SUMIFS(Media_Cliente_Mes!$I$2:$I$145,Media_Cliente_Mes!$A$2:$A$145,$E$102,Media_Cliente_Mes!$B$2:$B$145,$A102),0)</f>
        <v>0</v>
      </c>
      <c r="F109" s="8" t="n">
        <f aca="false">IFERROR(SUMIFS(Media_Cliente_Mes!$I$2:$I$145,Media_Cliente_Mes!$A$2:$A$145,$F$102,Media_Cliente_Mes!$B$2:$B$145,$A102),0)</f>
        <v>0</v>
      </c>
      <c r="G109" s="8" t="n">
        <f aca="false">IFERROR(SUMIFS(Media_Cliente_Mes!$I$2:$I$145,Media_Cliente_Mes!$A$2:$A$145,$G$102,Media_Cliente_Mes!$B$2:$B$145,$A102),0)</f>
        <v>0</v>
      </c>
      <c r="H109" s="8" t="n">
        <f aca="false">IFERROR(SUMIFS(Media_Cliente_Mes!$I$2:$I$145,Media_Cliente_Mes!$A$2:$A$145,$H$102,Media_Cliente_Mes!$B$2:$B$145,$A102),0)</f>
        <v>0</v>
      </c>
      <c r="I109" s="8" t="n">
        <f aca="false">IFERROR(SUMIFS(Media_Cliente_Mes!$I$2:$I$145,Media_Cliente_Mes!$A$2:$A$145,$I$102,Media_Cliente_Mes!$B$2:$B$145,$A102),0)</f>
        <v>0</v>
      </c>
      <c r="J109" s="8" t="n">
        <f aca="false">IFERROR(SUMIFS(Media_Cliente_Mes!$I$2:$I$145,Media_Cliente_Mes!$A$2:$A$145,$J$102,Media_Cliente_Mes!$B$2:$B$145,$A102),0)</f>
        <v>0</v>
      </c>
      <c r="K109" s="8" t="n">
        <f aca="false">IFERROR(SUMIFS(Media_Cliente_Mes!$I$2:$I$145,Media_Cliente_Mes!$A$2:$A$145,$K$102,Media_Cliente_Mes!$B$2:$B$145,$A102),0)</f>
        <v>0</v>
      </c>
      <c r="L109" s="8" t="n">
        <f aca="false">IFERROR(SUMIFS(Media_Cliente_Mes!$I$2:$I$145,Media_Cliente_Mes!$A$2:$A$145,$L$102,Media_Cliente_Mes!$B$2:$B$145,$A102),0)</f>
        <v>0</v>
      </c>
      <c r="M109" s="8" t="n">
        <f aca="false">IFERROR(SUMIFS(Media_Cliente_Mes!$I$2:$I$145,Media_Cliente_Mes!$A$2:$A$145,$M$102,Media_Cliente_Mes!$B$2:$B$145,$A102),0)</f>
        <v>0</v>
      </c>
      <c r="N109" s="9" t="n">
        <f aca="false">SUM(B109:M109)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95C"/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13" min="2" style="0" width="11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2" t="s">
        <v>70</v>
      </c>
    </row>
    <row r="3" customFormat="false" ht="15" hidden="false" customHeight="false" outlineLevel="0" collapsed="false">
      <c r="A3" s="13" t="s">
        <v>71</v>
      </c>
      <c r="B3" s="14" t="n">
        <f aca="false">Parametros_ANEC73!C4</f>
        <v>48</v>
      </c>
    </row>
    <row r="4" customFormat="false" ht="15" hidden="false" customHeight="false" outlineLevel="0" collapsed="false">
      <c r="A4" s="13" t="s">
        <v>72</v>
      </c>
      <c r="B4" s="14" t="n">
        <f aca="false">Parametros_ANEC73!G4</f>
        <v>47</v>
      </c>
    </row>
    <row r="5" customFormat="false" ht="15" hidden="false" customHeight="false" outlineLevel="0" collapsed="false">
      <c r="A5" s="13" t="s">
        <v>73</v>
      </c>
      <c r="B5" s="14" t="n">
        <f aca="false">Parametros_ANEC73!J4</f>
        <v>0</v>
      </c>
    </row>
    <row r="7" customFormat="false" ht="15" hidden="false" customHeight="false" outlineLevel="0" collapsed="false">
      <c r="A7" s="5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L7" s="6" t="s">
        <v>49</v>
      </c>
      <c r="M7" s="6" t="s">
        <v>50</v>
      </c>
      <c r="N7" s="6" t="s">
        <v>51</v>
      </c>
    </row>
    <row r="8" customFormat="false" ht="15" hidden="false" customHeight="false" outlineLevel="0" collapsed="false">
      <c r="A8" s="13" t="s">
        <v>74</v>
      </c>
      <c r="B8" s="10" t="str">
        <f aca="false">IF((SUMIFS(Desconto_Cliente_Mes!$D$2:$D$433,Desconto_Cliente_Mes!$A$2:$A$433,B$7,Desconto_Cliente_Mes!$B$2:$B$433,$A7,Desconto_Cliente_Mes!$C$2:$C$433,"Proteina"))=0,"",IFERROR(SUMIFS(Desconto_Cliente_Mes!$E$2:$E$433,Desconto_Cliente_Mes!$A$2:$A$433,B$7,Desconto_Cliente_Mes!$B$2:$B$433,$A7,Desconto_Cliente_Mes!$C$2:$C$433,"Proteina"),""))</f>
        <v/>
      </c>
      <c r="C8" s="10" t="n">
        <f aca="false">IF((SUMIFS(Desconto_Cliente_Mes!$D$2:$D$433,Desconto_Cliente_Mes!$A$2:$A$433,C$7,Desconto_Cliente_Mes!$B$2:$B$433,$A7,Desconto_Cliente_Mes!$C$2:$C$433,"Proteina"))=0,"",IFERROR(SUMIFS(Desconto_Cliente_Mes!$E$2:$E$433,Desconto_Cliente_Mes!$A$2:$A$433,C$7,Desconto_Cliente_Mes!$B$2:$B$433,$A7,Desconto_Cliente_Mes!$C$2:$C$433,"Proteina"),""))</f>
        <v>48.328750568487</v>
      </c>
      <c r="D8" s="10" t="n">
        <f aca="false">IF((SUMIFS(Desconto_Cliente_Mes!$D$2:$D$433,Desconto_Cliente_Mes!$A$2:$A$433,D$7,Desconto_Cliente_Mes!$B$2:$B$433,$A7,Desconto_Cliente_Mes!$C$2:$C$433,"Proteina"))=0,"",IFERROR(SUMIFS(Desconto_Cliente_Mes!$E$2:$E$433,Desconto_Cliente_Mes!$A$2:$A$433,D$7,Desconto_Cliente_Mes!$B$2:$B$433,$A7,Desconto_Cliente_Mes!$C$2:$C$433,"Proteina"),""))</f>
        <v>47.9859376743487</v>
      </c>
      <c r="E8" s="10" t="n">
        <f aca="false">IF((SUMIFS(Desconto_Cliente_Mes!$D$2:$D$433,Desconto_Cliente_Mes!$A$2:$A$433,E$7,Desconto_Cliente_Mes!$B$2:$B$433,$A7,Desconto_Cliente_Mes!$C$2:$C$433,"Proteina"))=0,"",IFERROR(SUMIFS(Desconto_Cliente_Mes!$E$2:$E$433,Desconto_Cliente_Mes!$A$2:$A$433,E$7,Desconto_Cliente_Mes!$B$2:$B$433,$A7,Desconto_Cliente_Mes!$C$2:$C$433,"Proteina"),""))</f>
        <v>47.805871594227</v>
      </c>
      <c r="F8" s="10" t="n">
        <f aca="false">IF((SUMIFS(Desconto_Cliente_Mes!$D$2:$D$433,Desconto_Cliente_Mes!$A$2:$A$433,F$7,Desconto_Cliente_Mes!$B$2:$B$433,$A7,Desconto_Cliente_Mes!$C$2:$C$433,"Proteina"))=0,"",IFERROR(SUMIFS(Desconto_Cliente_Mes!$E$2:$E$433,Desconto_Cliente_Mes!$A$2:$A$433,F$7,Desconto_Cliente_Mes!$B$2:$B$433,$A7,Desconto_Cliente_Mes!$C$2:$C$433,"Proteina"),""))</f>
        <v>47.7608013396113</v>
      </c>
      <c r="G8" s="10" t="n">
        <f aca="false">IF((SUMIFS(Desconto_Cliente_Mes!$D$2:$D$433,Desconto_Cliente_Mes!$A$2:$A$433,G$7,Desconto_Cliente_Mes!$B$2:$B$433,$A7,Desconto_Cliente_Mes!$C$2:$C$433,"Proteina"))=0,"",IFERROR(SUMIFS(Desconto_Cliente_Mes!$E$2:$E$433,Desconto_Cliente_Mes!$A$2:$A$433,G$7,Desconto_Cliente_Mes!$B$2:$B$433,$A7,Desconto_Cliente_Mes!$C$2:$C$433,"Proteina"),""))</f>
        <v>47.5683354869984</v>
      </c>
      <c r="H8" s="10" t="n">
        <f aca="false">IF((SUMIFS(Desconto_Cliente_Mes!$D$2:$D$433,Desconto_Cliente_Mes!$A$2:$A$433,H$7,Desconto_Cliente_Mes!$B$2:$B$433,$A7,Desconto_Cliente_Mes!$C$2:$C$433,"Proteina"))=0,"",IFERROR(SUMIFS(Desconto_Cliente_Mes!$E$2:$E$433,Desconto_Cliente_Mes!$A$2:$A$433,H$7,Desconto_Cliente_Mes!$B$2:$B$433,$A7,Desconto_Cliente_Mes!$C$2:$C$433,"Proteina"),""))</f>
        <v>47.7010027605803</v>
      </c>
      <c r="I8" s="10" t="str">
        <f aca="false">IF((SUMIFS(Desconto_Cliente_Mes!$D$2:$D$433,Desconto_Cliente_Mes!$A$2:$A$433,I$7,Desconto_Cliente_Mes!$B$2:$B$433,$A7,Desconto_Cliente_Mes!$C$2:$C$433,"Proteina"))=0,"",IFERROR(SUMIFS(Desconto_Cliente_Mes!$E$2:$E$433,Desconto_Cliente_Mes!$A$2:$A$433,I$7,Desconto_Cliente_Mes!$B$2:$B$433,$A7,Desconto_Cliente_Mes!$C$2:$C$433,"Proteina"),""))</f>
        <v/>
      </c>
      <c r="J8" s="10" t="str">
        <f aca="false">IF((SUMIFS(Desconto_Cliente_Mes!$D$2:$D$433,Desconto_Cliente_Mes!$A$2:$A$433,J$7,Desconto_Cliente_Mes!$B$2:$B$433,$A7,Desconto_Cliente_Mes!$C$2:$C$433,"Proteina"))=0,"",IFERROR(SUMIFS(Desconto_Cliente_Mes!$E$2:$E$433,Desconto_Cliente_Mes!$A$2:$A$433,J$7,Desconto_Cliente_Mes!$B$2:$B$433,$A7,Desconto_Cliente_Mes!$C$2:$C$433,"Proteina"),""))</f>
        <v/>
      </c>
      <c r="K8" s="10" t="str">
        <f aca="false">IF((SUMIFS(Desconto_Cliente_Mes!$D$2:$D$433,Desconto_Cliente_Mes!$A$2:$A$433,K$7,Desconto_Cliente_Mes!$B$2:$B$433,$A7,Desconto_Cliente_Mes!$C$2:$C$433,"Proteina"))=0,"",IFERROR(SUMIFS(Desconto_Cliente_Mes!$E$2:$E$433,Desconto_Cliente_Mes!$A$2:$A$433,K$7,Desconto_Cliente_Mes!$B$2:$B$433,$A7,Desconto_Cliente_Mes!$C$2:$C$433,"Proteina"),""))</f>
        <v/>
      </c>
      <c r="L8" s="10" t="str">
        <f aca="false">IF((SUMIFS(Desconto_Cliente_Mes!$D$2:$D$433,Desconto_Cliente_Mes!$A$2:$A$433,L$7,Desconto_Cliente_Mes!$B$2:$B$433,$A7,Desconto_Cliente_Mes!$C$2:$C$433,"Proteina"))=0,"",IFERROR(SUMIFS(Desconto_Cliente_Mes!$E$2:$E$433,Desconto_Cliente_Mes!$A$2:$A$433,L$7,Desconto_Cliente_Mes!$B$2:$B$433,$A7,Desconto_Cliente_Mes!$C$2:$C$433,"Proteina"),""))</f>
        <v/>
      </c>
      <c r="M8" s="10" t="str">
        <f aca="false">IF((SUMIFS(Desconto_Cliente_Mes!$D$2:$D$433,Desconto_Cliente_Mes!$A$2:$A$433,M$7,Desconto_Cliente_Mes!$B$2:$B$433,$A7,Desconto_Cliente_Mes!$C$2:$C$433,"Proteina"))=0,"",IFERROR(SUMIFS(Desconto_Cliente_Mes!$E$2:$E$433,Desconto_Cliente_Mes!$A$2:$A$433,M$7,Desconto_Cliente_Mes!$B$2:$B$433,$A7,Desconto_Cliente_Mes!$C$2:$C$433,"Proteina"),""))</f>
        <v/>
      </c>
      <c r="N8" s="11" t="n">
        <f aca="false">IFERROR(Media_Pool_Mes!C2,"")</f>
        <v>47.8154367670349</v>
      </c>
    </row>
    <row r="9" customFormat="false" ht="15" hidden="false" customHeight="false" outlineLevel="0" collapsed="false">
      <c r="A9" s="13" t="s">
        <v>75</v>
      </c>
      <c r="B9" s="8" t="n">
        <f aca="false">IFERROR(SUMIFS(Desconto_Cliente_Mes!$D$2:$D$433,Desconto_Cliente_Mes!$A$2:$A$433,B$7,Desconto_Cliente_Mes!$B$2:$B$433,$A7,Desconto_Cliente_Mes!$C$2:$C$433,"Proteina"),0)</f>
        <v>0</v>
      </c>
      <c r="C9" s="8" t="n">
        <f aca="false">IFERROR(SUMIFS(Desconto_Cliente_Mes!$D$2:$D$433,Desconto_Cliente_Mes!$A$2:$A$433,C$7,Desconto_Cliente_Mes!$B$2:$B$433,$A7,Desconto_Cliente_Mes!$C$2:$C$433,"Proteina"),0)</f>
        <v>39842.6</v>
      </c>
      <c r="D9" s="8" t="n">
        <f aca="false">IFERROR(SUMIFS(Desconto_Cliente_Mes!$D$2:$D$433,Desconto_Cliente_Mes!$A$2:$A$433,D$7,Desconto_Cliente_Mes!$B$2:$B$433,$A7,Desconto_Cliente_Mes!$C$2:$C$433,"Proteina"),0)</f>
        <v>18891.74</v>
      </c>
      <c r="E9" s="8" t="n">
        <f aca="false">IFERROR(SUMIFS(Desconto_Cliente_Mes!$D$2:$D$433,Desconto_Cliente_Mes!$A$2:$A$433,E$7,Desconto_Cliente_Mes!$B$2:$B$433,$A7,Desconto_Cliente_Mes!$C$2:$C$433,"Proteina"),0)</f>
        <v>26334.33</v>
      </c>
      <c r="F9" s="8" t="n">
        <f aca="false">IFERROR(SUMIFS(Desconto_Cliente_Mes!$D$2:$D$433,Desconto_Cliente_Mes!$A$2:$A$433,F$7,Desconto_Cliente_Mes!$B$2:$B$433,$A7,Desconto_Cliente_Mes!$C$2:$C$433,"Proteina"),0)</f>
        <v>58133.28</v>
      </c>
      <c r="G9" s="8" t="n">
        <f aca="false">IFERROR(SUMIFS(Desconto_Cliente_Mes!$D$2:$D$433,Desconto_Cliente_Mes!$A$2:$A$433,G$7,Desconto_Cliente_Mes!$B$2:$B$433,$A7,Desconto_Cliente_Mes!$C$2:$C$433,"Proteina"),0)</f>
        <v>48560.63</v>
      </c>
      <c r="H9" s="8" t="n">
        <f aca="false">IFERROR(SUMIFS(Desconto_Cliente_Mes!$D$2:$D$433,Desconto_Cliente_Mes!$A$2:$A$433,H$7,Desconto_Cliente_Mes!$B$2:$B$433,$A7,Desconto_Cliente_Mes!$C$2:$C$433,"Proteina"),0)</f>
        <v>72053.69</v>
      </c>
      <c r="I9" s="8" t="n">
        <f aca="false">IFERROR(SUMIFS(Desconto_Cliente_Mes!$D$2:$D$433,Desconto_Cliente_Mes!$A$2:$A$433,I$7,Desconto_Cliente_Mes!$B$2:$B$433,$A7,Desconto_Cliente_Mes!$C$2:$C$433,"Proteina"),0)</f>
        <v>0</v>
      </c>
      <c r="J9" s="8" t="n">
        <f aca="false">IFERROR(SUMIFS(Desconto_Cliente_Mes!$D$2:$D$433,Desconto_Cliente_Mes!$A$2:$A$433,J$7,Desconto_Cliente_Mes!$B$2:$B$433,$A7,Desconto_Cliente_Mes!$C$2:$C$433,"Proteina"),0)</f>
        <v>0</v>
      </c>
      <c r="K9" s="8" t="n">
        <f aca="false">IFERROR(SUMIFS(Desconto_Cliente_Mes!$D$2:$D$433,Desconto_Cliente_Mes!$A$2:$A$433,K$7,Desconto_Cliente_Mes!$B$2:$B$433,$A7,Desconto_Cliente_Mes!$C$2:$C$433,"Proteina"),0)</f>
        <v>0</v>
      </c>
      <c r="L9" s="8" t="n">
        <f aca="false">IFERROR(SUMIFS(Desconto_Cliente_Mes!$D$2:$D$433,Desconto_Cliente_Mes!$A$2:$A$433,L$7,Desconto_Cliente_Mes!$B$2:$B$433,$A7,Desconto_Cliente_Mes!$C$2:$C$433,"Proteina"),0)</f>
        <v>0</v>
      </c>
      <c r="M9" s="8" t="n">
        <f aca="false">IFERROR(SUMIFS(Desconto_Cliente_Mes!$D$2:$D$433,Desconto_Cliente_Mes!$A$2:$A$433,M$7,Desconto_Cliente_Mes!$B$2:$B$433,$A7,Desconto_Cliente_Mes!$C$2:$C$433,"Proteina"),0)</f>
        <v>0</v>
      </c>
      <c r="N9" s="9" t="n">
        <f aca="false">SUM(B9:M9)</f>
        <v>263816.27</v>
      </c>
    </row>
    <row r="10" customFormat="false" ht="15" hidden="false" customHeight="false" outlineLevel="0" collapsed="false">
      <c r="A10" s="13" t="s">
        <v>76</v>
      </c>
      <c r="B10" s="15" t="n">
        <f aca="false">MAX(0,(SUMIFS(Desconto_Cliente_Mes!$L$2:$L$433,Desconto_Cliente_Mes!$A$2:$A$433,B$7,Desconto_Cliente_Mes!$B$2:$B$433,$A7,Desconto_Cliente_Mes!$C$2:$C$433,"Proteina"))-(SUMIFS(Desconto_Cliente_Mes!$N$2:$N$433,Desconto_Cliente_Mes!$A$2:$A$433,B$7,Desconto_Cliente_Mes!$B$2:$B$433,$A7,Desconto_Cliente_Mes!$C$2:$C$433,"Proteina")))</f>
        <v>0</v>
      </c>
      <c r="C10" s="15" t="n">
        <f aca="false">MAX(0,(SUMIFS(Desconto_Cliente_Mes!$L$2:$L$433,Desconto_Cliente_Mes!$A$2:$A$433,C$7,Desconto_Cliente_Mes!$B$2:$B$433,$A7,Desconto_Cliente_Mes!$C$2:$C$433,"Proteina"))-(SUMIFS(Desconto_Cliente_Mes!$N$2:$N$433,Desconto_Cliente_Mes!$A$2:$A$433,C$7,Desconto_Cliente_Mes!$B$2:$B$433,$A7,Desconto_Cliente_Mes!$C$2:$C$433,"Proteina")))</f>
        <v>0</v>
      </c>
      <c r="D10" s="15" t="n">
        <f aca="false">MAX(0,(SUMIFS(Desconto_Cliente_Mes!$L$2:$L$433,Desconto_Cliente_Mes!$A$2:$A$433,D$7,Desconto_Cliente_Mes!$B$2:$B$433,$A7,Desconto_Cliente_Mes!$C$2:$C$433,"Proteina"))-(SUMIFS(Desconto_Cliente_Mes!$N$2:$N$433,Desconto_Cliente_Mes!$A$2:$A$433,D$7,Desconto_Cliente_Mes!$B$2:$B$433,$A7,Desconto_Cliente_Mes!$C$2:$C$433,"Proteina")))</f>
        <v>0</v>
      </c>
      <c r="E10" s="15" t="n">
        <f aca="false">MAX(0,(SUMIFS(Desconto_Cliente_Mes!$L$2:$L$433,Desconto_Cliente_Mes!$A$2:$A$433,E$7,Desconto_Cliente_Mes!$B$2:$B$433,$A7,Desconto_Cliente_Mes!$C$2:$C$433,"Proteina"))-(SUMIFS(Desconto_Cliente_Mes!$N$2:$N$433,Desconto_Cliente_Mes!$A$2:$A$433,E$7,Desconto_Cliente_Mes!$B$2:$B$433,$A7,Desconto_Cliente_Mes!$C$2:$C$433,"Proteina")))</f>
        <v>0.00956517280787494</v>
      </c>
      <c r="F10" s="15" t="n">
        <f aca="false">MAX(0,(SUMIFS(Desconto_Cliente_Mes!$L$2:$L$433,Desconto_Cliente_Mes!$A$2:$A$433,F$7,Desconto_Cliente_Mes!$B$2:$B$433,$A7,Desconto_Cliente_Mes!$C$2:$C$433,"Proteina"))-(SUMIFS(Desconto_Cliente_Mes!$N$2:$N$433,Desconto_Cliente_Mes!$A$2:$A$433,F$7,Desconto_Cliente_Mes!$B$2:$B$433,$A7,Desconto_Cliente_Mes!$C$2:$C$433,"Proteina")))</f>
        <v>0.0546354274235554</v>
      </c>
      <c r="G10" s="15" t="n">
        <f aca="false">MAX(0,(SUMIFS(Desconto_Cliente_Mes!$L$2:$L$433,Desconto_Cliente_Mes!$A$2:$A$433,G$7,Desconto_Cliente_Mes!$B$2:$B$433,$A7,Desconto_Cliente_Mes!$C$2:$C$433,"Proteina"))-(SUMIFS(Desconto_Cliente_Mes!$N$2:$N$433,Desconto_Cliente_Mes!$A$2:$A$433,G$7,Desconto_Cliente_Mes!$B$2:$B$433,$A7,Desconto_Cliente_Mes!$C$2:$C$433,"Proteina")))</f>
        <v>0.247101280036453</v>
      </c>
      <c r="H10" s="15" t="n">
        <f aca="false">MAX(0,(SUMIFS(Desconto_Cliente_Mes!$L$2:$L$433,Desconto_Cliente_Mes!$A$2:$A$433,H$7,Desconto_Cliente_Mes!$B$2:$B$433,$A7,Desconto_Cliente_Mes!$C$2:$C$433,"Proteina"))-(SUMIFS(Desconto_Cliente_Mes!$N$2:$N$433,Desconto_Cliente_Mes!$A$2:$A$433,H$7,Desconto_Cliente_Mes!$B$2:$B$433,$A7,Desconto_Cliente_Mes!$C$2:$C$433,"Proteina")))</f>
        <v>0.114434006454538</v>
      </c>
      <c r="I10" s="15" t="n">
        <f aca="false">MAX(0,(SUMIFS(Desconto_Cliente_Mes!$L$2:$L$433,Desconto_Cliente_Mes!$A$2:$A$433,I$7,Desconto_Cliente_Mes!$B$2:$B$433,$A7,Desconto_Cliente_Mes!$C$2:$C$433,"Proteina"))-(SUMIFS(Desconto_Cliente_Mes!$N$2:$N$433,Desconto_Cliente_Mes!$A$2:$A$433,I$7,Desconto_Cliente_Mes!$B$2:$B$433,$A7,Desconto_Cliente_Mes!$C$2:$C$433,"Proteina")))</f>
        <v>0</v>
      </c>
      <c r="J10" s="15" t="n">
        <f aca="false">MAX(0,(SUMIFS(Desconto_Cliente_Mes!$L$2:$L$433,Desconto_Cliente_Mes!$A$2:$A$433,J$7,Desconto_Cliente_Mes!$B$2:$B$433,$A7,Desconto_Cliente_Mes!$C$2:$C$433,"Proteina"))-(SUMIFS(Desconto_Cliente_Mes!$N$2:$N$433,Desconto_Cliente_Mes!$A$2:$A$433,J$7,Desconto_Cliente_Mes!$B$2:$B$433,$A7,Desconto_Cliente_Mes!$C$2:$C$433,"Proteina")))</f>
        <v>0</v>
      </c>
      <c r="K10" s="15" t="n">
        <f aca="false">MAX(0,(SUMIFS(Desconto_Cliente_Mes!$L$2:$L$433,Desconto_Cliente_Mes!$A$2:$A$433,K$7,Desconto_Cliente_Mes!$B$2:$B$433,$A7,Desconto_Cliente_Mes!$C$2:$C$433,"Proteina"))-(SUMIFS(Desconto_Cliente_Mes!$N$2:$N$433,Desconto_Cliente_Mes!$A$2:$A$433,K$7,Desconto_Cliente_Mes!$B$2:$B$433,$A7,Desconto_Cliente_Mes!$C$2:$C$433,"Proteina")))</f>
        <v>0</v>
      </c>
      <c r="L10" s="15" t="n">
        <f aca="false">MAX(0,(SUMIFS(Desconto_Cliente_Mes!$L$2:$L$433,Desconto_Cliente_Mes!$A$2:$A$433,L$7,Desconto_Cliente_Mes!$B$2:$B$433,$A7,Desconto_Cliente_Mes!$C$2:$C$433,"Proteina"))-(SUMIFS(Desconto_Cliente_Mes!$N$2:$N$433,Desconto_Cliente_Mes!$A$2:$A$433,L$7,Desconto_Cliente_Mes!$B$2:$B$433,$A7,Desconto_Cliente_Mes!$C$2:$C$433,"Proteina")))</f>
        <v>0</v>
      </c>
      <c r="M10" s="15" t="n">
        <f aca="false">MAX(0,(SUMIFS(Desconto_Cliente_Mes!$L$2:$L$433,Desconto_Cliente_Mes!$A$2:$A$433,M$7,Desconto_Cliente_Mes!$B$2:$B$433,$A7,Desconto_Cliente_Mes!$C$2:$C$433,"Proteina"))-(SUMIFS(Desconto_Cliente_Mes!$N$2:$N$433,Desconto_Cliente_Mes!$A$2:$A$433,M$7,Desconto_Cliente_Mes!$B$2:$B$433,$A7,Desconto_Cliente_Mes!$C$2:$C$433,"Proteina")))</f>
        <v>0</v>
      </c>
    </row>
    <row r="11" customFormat="false" ht="15" hidden="false" customHeight="false" outlineLevel="0" collapsed="false">
      <c r="A11" s="13" t="s">
        <v>77</v>
      </c>
      <c r="B11" s="15" t="n">
        <f aca="false">MAX(0,(SUMIFS(Desconto_Cliente_Mes!$N$2:$N$433,Desconto_Cliente_Mes!$A$2:$A$433,B$7,Desconto_Cliente_Mes!$B$2:$B$433,$A7,Desconto_Cliente_Mes!$C$2:$C$433,"Proteina"))-(SUMIFS(Desconto_Cliente_Mes!$P$2:$P$433,Desconto_Cliente_Mes!$A$2:$A$433,B$7,Desconto_Cliente_Mes!$B$2:$B$433,$A7,Desconto_Cliente_Mes!$C$2:$C$433,"Proteina")))</f>
        <v>0</v>
      </c>
      <c r="C11" s="15" t="n">
        <f aca="false">MAX(0,(SUMIFS(Desconto_Cliente_Mes!$N$2:$N$433,Desconto_Cliente_Mes!$A$2:$A$433,C$7,Desconto_Cliente_Mes!$B$2:$B$433,$A7,Desconto_Cliente_Mes!$C$2:$C$433,"Proteina"))-(SUMIFS(Desconto_Cliente_Mes!$P$2:$P$433,Desconto_Cliente_Mes!$A$2:$A$433,C$7,Desconto_Cliente_Mes!$B$2:$B$433,$A7,Desconto_Cliente_Mes!$C$2:$C$433,"Proteina")))</f>
        <v>0</v>
      </c>
      <c r="D11" s="15" t="n">
        <f aca="false">MAX(0,(SUMIFS(Desconto_Cliente_Mes!$N$2:$N$433,Desconto_Cliente_Mes!$A$2:$A$433,D$7,Desconto_Cliente_Mes!$B$2:$B$433,$A7,Desconto_Cliente_Mes!$C$2:$C$433,"Proteina"))-(SUMIFS(Desconto_Cliente_Mes!$P$2:$P$433,Desconto_Cliente_Mes!$A$2:$A$433,D$7,Desconto_Cliente_Mes!$B$2:$B$433,$A7,Desconto_Cliente_Mes!$C$2:$C$433,"Proteina")))</f>
        <v>0</v>
      </c>
      <c r="E11" s="15" t="n">
        <f aca="false">MAX(0,(SUMIFS(Desconto_Cliente_Mes!$N$2:$N$433,Desconto_Cliente_Mes!$A$2:$A$433,E$7,Desconto_Cliente_Mes!$B$2:$B$433,$A7,Desconto_Cliente_Mes!$C$2:$C$433,"Proteina"))-(SUMIFS(Desconto_Cliente_Mes!$P$2:$P$433,Desconto_Cliente_Mes!$A$2:$A$433,E$7,Desconto_Cliente_Mes!$B$2:$B$433,$A7,Desconto_Cliente_Mes!$C$2:$C$433,"Proteina")))</f>
        <v>0</v>
      </c>
      <c r="F11" s="15" t="n">
        <f aca="false">MAX(0,(SUMIFS(Desconto_Cliente_Mes!$N$2:$N$433,Desconto_Cliente_Mes!$A$2:$A$433,F$7,Desconto_Cliente_Mes!$B$2:$B$433,$A7,Desconto_Cliente_Mes!$C$2:$C$433,"Proteina"))-(SUMIFS(Desconto_Cliente_Mes!$P$2:$P$433,Desconto_Cliente_Mes!$A$2:$A$433,F$7,Desconto_Cliente_Mes!$B$2:$B$433,$A7,Desconto_Cliente_Mes!$C$2:$C$433,"Proteina")))</f>
        <v>0</v>
      </c>
      <c r="G11" s="15" t="n">
        <f aca="false">MAX(0,(SUMIFS(Desconto_Cliente_Mes!$N$2:$N$433,Desconto_Cliente_Mes!$A$2:$A$433,G$7,Desconto_Cliente_Mes!$B$2:$B$433,$A7,Desconto_Cliente_Mes!$C$2:$C$433,"Proteina"))-(SUMIFS(Desconto_Cliente_Mes!$P$2:$P$433,Desconto_Cliente_Mes!$A$2:$A$433,G$7,Desconto_Cliente_Mes!$B$2:$B$433,$A7,Desconto_Cliente_Mes!$C$2:$C$433,"Proteina")))</f>
        <v>0</v>
      </c>
      <c r="H11" s="15" t="n">
        <f aca="false">MAX(0,(SUMIFS(Desconto_Cliente_Mes!$N$2:$N$433,Desconto_Cliente_Mes!$A$2:$A$433,H$7,Desconto_Cliente_Mes!$B$2:$B$433,$A7,Desconto_Cliente_Mes!$C$2:$C$433,"Proteina"))-(SUMIFS(Desconto_Cliente_Mes!$P$2:$P$433,Desconto_Cliente_Mes!$A$2:$A$433,H$7,Desconto_Cliente_Mes!$B$2:$B$433,$A7,Desconto_Cliente_Mes!$C$2:$C$433,"Proteina")))</f>
        <v>0</v>
      </c>
      <c r="I11" s="15" t="n">
        <f aca="false">MAX(0,(SUMIFS(Desconto_Cliente_Mes!$N$2:$N$433,Desconto_Cliente_Mes!$A$2:$A$433,I$7,Desconto_Cliente_Mes!$B$2:$B$433,$A7,Desconto_Cliente_Mes!$C$2:$C$433,"Proteina"))-(SUMIFS(Desconto_Cliente_Mes!$P$2:$P$433,Desconto_Cliente_Mes!$A$2:$A$433,I$7,Desconto_Cliente_Mes!$B$2:$B$433,$A7,Desconto_Cliente_Mes!$C$2:$C$433,"Proteina")))</f>
        <v>0</v>
      </c>
      <c r="J11" s="15" t="n">
        <f aca="false">MAX(0,(SUMIFS(Desconto_Cliente_Mes!$N$2:$N$433,Desconto_Cliente_Mes!$A$2:$A$433,J$7,Desconto_Cliente_Mes!$B$2:$B$433,$A7,Desconto_Cliente_Mes!$C$2:$C$433,"Proteina"))-(SUMIFS(Desconto_Cliente_Mes!$P$2:$P$433,Desconto_Cliente_Mes!$A$2:$A$433,J$7,Desconto_Cliente_Mes!$B$2:$B$433,$A7,Desconto_Cliente_Mes!$C$2:$C$433,"Proteina")))</f>
        <v>0</v>
      </c>
      <c r="K11" s="15" t="n">
        <f aca="false">MAX(0,(SUMIFS(Desconto_Cliente_Mes!$N$2:$N$433,Desconto_Cliente_Mes!$A$2:$A$433,K$7,Desconto_Cliente_Mes!$B$2:$B$433,$A7,Desconto_Cliente_Mes!$C$2:$C$433,"Proteina"))-(SUMIFS(Desconto_Cliente_Mes!$P$2:$P$433,Desconto_Cliente_Mes!$A$2:$A$433,K$7,Desconto_Cliente_Mes!$B$2:$B$433,$A7,Desconto_Cliente_Mes!$C$2:$C$433,"Proteina")))</f>
        <v>0</v>
      </c>
      <c r="L11" s="15" t="n">
        <f aca="false">MAX(0,(SUMIFS(Desconto_Cliente_Mes!$N$2:$N$433,Desconto_Cliente_Mes!$A$2:$A$433,L$7,Desconto_Cliente_Mes!$B$2:$B$433,$A7,Desconto_Cliente_Mes!$C$2:$C$433,"Proteina"))-(SUMIFS(Desconto_Cliente_Mes!$P$2:$P$433,Desconto_Cliente_Mes!$A$2:$A$433,L$7,Desconto_Cliente_Mes!$B$2:$B$433,$A7,Desconto_Cliente_Mes!$C$2:$C$433,"Proteina")))</f>
        <v>0</v>
      </c>
      <c r="M11" s="15" t="n">
        <f aca="false">MAX(0,(SUMIFS(Desconto_Cliente_Mes!$N$2:$N$433,Desconto_Cliente_Mes!$A$2:$A$433,M$7,Desconto_Cliente_Mes!$B$2:$B$433,$A7,Desconto_Cliente_Mes!$C$2:$C$433,"Proteina"))-(SUMIFS(Desconto_Cliente_Mes!$P$2:$P$433,Desconto_Cliente_Mes!$A$2:$A$433,M$7,Desconto_Cliente_Mes!$B$2:$B$433,$A7,Desconto_Cliente_Mes!$C$2:$C$433,"Proteina")))</f>
        <v>0</v>
      </c>
    </row>
    <row r="12" customFormat="false" ht="15" hidden="false" customHeight="false" outlineLevel="0" collapsed="false">
      <c r="A12" s="13" t="s">
        <v>78</v>
      </c>
      <c r="B12" s="15" t="n">
        <f aca="false">MAX(0,SUMIFS(Desconto_Cliente_Mes!$P$2:$P$433,Desconto_Cliente_Mes!$A$2:$A$433,B$7,Desconto_Cliente_Mes!$B$2:$B$433,$A7,Desconto_Cliente_Mes!$C$2:$C$433,"Proteina"))</f>
        <v>0</v>
      </c>
      <c r="C12" s="15" t="n">
        <f aca="false">MAX(0,SUMIFS(Desconto_Cliente_Mes!$P$2:$P$433,Desconto_Cliente_Mes!$A$2:$A$433,C$7,Desconto_Cliente_Mes!$B$2:$B$433,$A7,Desconto_Cliente_Mes!$C$2:$C$433,"Proteina"))</f>
        <v>0</v>
      </c>
      <c r="D12" s="15" t="n">
        <f aca="false">MAX(0,SUMIFS(Desconto_Cliente_Mes!$P$2:$P$433,Desconto_Cliente_Mes!$A$2:$A$433,D$7,Desconto_Cliente_Mes!$B$2:$B$433,$A7,Desconto_Cliente_Mes!$C$2:$C$433,"Proteina"))</f>
        <v>0</v>
      </c>
      <c r="E12" s="15" t="n">
        <f aca="false">MAX(0,SUMIFS(Desconto_Cliente_Mes!$P$2:$P$433,Desconto_Cliente_Mes!$A$2:$A$433,E$7,Desconto_Cliente_Mes!$B$2:$B$433,$A7,Desconto_Cliente_Mes!$C$2:$C$433,"Proteina"))</f>
        <v>0</v>
      </c>
      <c r="F12" s="15" t="n">
        <f aca="false">MAX(0,SUMIFS(Desconto_Cliente_Mes!$P$2:$P$433,Desconto_Cliente_Mes!$A$2:$A$433,F$7,Desconto_Cliente_Mes!$B$2:$B$433,$A7,Desconto_Cliente_Mes!$C$2:$C$433,"Proteina"))</f>
        <v>0</v>
      </c>
      <c r="G12" s="15" t="n">
        <f aca="false">MAX(0,SUMIFS(Desconto_Cliente_Mes!$P$2:$P$433,Desconto_Cliente_Mes!$A$2:$A$433,G$7,Desconto_Cliente_Mes!$B$2:$B$433,$A7,Desconto_Cliente_Mes!$C$2:$C$433,"Proteina"))</f>
        <v>0</v>
      </c>
      <c r="H12" s="15" t="n">
        <f aca="false">MAX(0,SUMIFS(Desconto_Cliente_Mes!$P$2:$P$433,Desconto_Cliente_Mes!$A$2:$A$433,H$7,Desconto_Cliente_Mes!$B$2:$B$433,$A7,Desconto_Cliente_Mes!$C$2:$C$433,"Proteina"))</f>
        <v>0</v>
      </c>
      <c r="I12" s="15" t="n">
        <f aca="false">MAX(0,SUMIFS(Desconto_Cliente_Mes!$P$2:$P$433,Desconto_Cliente_Mes!$A$2:$A$433,I$7,Desconto_Cliente_Mes!$B$2:$B$433,$A7,Desconto_Cliente_Mes!$C$2:$C$433,"Proteina"))</f>
        <v>0</v>
      </c>
      <c r="J12" s="15" t="n">
        <f aca="false">MAX(0,SUMIFS(Desconto_Cliente_Mes!$P$2:$P$433,Desconto_Cliente_Mes!$A$2:$A$433,J$7,Desconto_Cliente_Mes!$B$2:$B$433,$A7,Desconto_Cliente_Mes!$C$2:$C$433,"Proteina"))</f>
        <v>0</v>
      </c>
      <c r="K12" s="15" t="n">
        <f aca="false">MAX(0,SUMIFS(Desconto_Cliente_Mes!$P$2:$P$433,Desconto_Cliente_Mes!$A$2:$A$433,K$7,Desconto_Cliente_Mes!$B$2:$B$433,$A7,Desconto_Cliente_Mes!$C$2:$C$433,"Proteina"))</f>
        <v>0</v>
      </c>
      <c r="L12" s="15" t="n">
        <f aca="false">MAX(0,SUMIFS(Desconto_Cliente_Mes!$P$2:$P$433,Desconto_Cliente_Mes!$A$2:$A$433,L$7,Desconto_Cliente_Mes!$B$2:$B$433,$A7,Desconto_Cliente_Mes!$C$2:$C$433,"Proteina"))</f>
        <v>0</v>
      </c>
      <c r="M12" s="15" t="n">
        <f aca="false">MAX(0,SUMIFS(Desconto_Cliente_Mes!$P$2:$P$433,Desconto_Cliente_Mes!$A$2:$A$433,M$7,Desconto_Cliente_Mes!$B$2:$B$433,$A7,Desconto_Cliente_Mes!$C$2:$C$433,"Proteina"))</f>
        <v>0</v>
      </c>
    </row>
    <row r="13" customFormat="false" ht="15" hidden="false" customHeight="false" outlineLevel="0" collapsed="false">
      <c r="A13" s="13" t="s">
        <v>79</v>
      </c>
      <c r="B13" s="16" t="n">
        <f aca="false">$B$9*($B$10/100)*(SUMIFS(Desconto_Cliente_Mes!$Q$2:$Q$433,Desconto_Cliente_Mes!$A$2:$A$433,B$7,Desconto_Cliente_Mes!$B$2:$B$433,$A7,Desconto_Cliente_Mes!$C$2:$C$433,"Proteina"))*(SUMIFS(Desconto_Cliente_Mes!$T$2:$T$433,Desconto_Cliente_Mes!$A$2:$A$433,B$7,Desconto_Cliente_Mes!$B$2:$B$433,$A7,Desconto_Cliente_Mes!$C$2:$C$433,"Proteina"))</f>
        <v>0</v>
      </c>
      <c r="C13" s="16" t="n">
        <f aca="false">$C$9*($C$10/100)*(SUMIFS(Desconto_Cliente_Mes!$Q$2:$Q$433,Desconto_Cliente_Mes!$A$2:$A$433,C$7,Desconto_Cliente_Mes!$B$2:$B$433,$A7,Desconto_Cliente_Mes!$C$2:$C$433,"Proteina"))*(SUMIFS(Desconto_Cliente_Mes!$T$2:$T$433,Desconto_Cliente_Mes!$A$2:$A$433,C$7,Desconto_Cliente_Mes!$B$2:$B$433,$A7,Desconto_Cliente_Mes!$C$2:$C$433,"Proteina"))</f>
        <v>0</v>
      </c>
      <c r="D13" s="16" t="n">
        <f aca="false">$D$9*($D$10/100)*(SUMIFS(Desconto_Cliente_Mes!$Q$2:$Q$433,Desconto_Cliente_Mes!$A$2:$A$433,D$7,Desconto_Cliente_Mes!$B$2:$B$433,$A7,Desconto_Cliente_Mes!$C$2:$C$433,"Proteina"))*(SUMIFS(Desconto_Cliente_Mes!$T$2:$T$433,Desconto_Cliente_Mes!$A$2:$A$433,D$7,Desconto_Cliente_Mes!$B$2:$B$433,$A7,Desconto_Cliente_Mes!$C$2:$C$433,"Proteina"))</f>
        <v>0</v>
      </c>
      <c r="E13" s="16" t="n">
        <f aca="false">$E$9*($E$10/100)*(SUMIFS(Desconto_Cliente_Mes!$Q$2:$Q$433,Desconto_Cliente_Mes!$A$2:$A$433,E$7,Desconto_Cliente_Mes!$B$2:$B$433,$A7,Desconto_Cliente_Mes!$C$2:$C$433,"Proteina"))*(SUMIFS(Desconto_Cliente_Mes!$T$2:$T$433,Desconto_Cliente_Mes!$A$2:$A$433,E$7,Desconto_Cliente_Mes!$B$2:$B$433,$A7,Desconto_Cliente_Mes!$C$2:$C$433,"Proteina"))</f>
        <v>972.304730506277</v>
      </c>
      <c r="F13" s="16" t="n">
        <f aca="false">$F$9*($F$10/100)*(SUMIFS(Desconto_Cliente_Mes!$Q$2:$Q$433,Desconto_Cliente_Mes!$A$2:$A$433,F$7,Desconto_Cliente_Mes!$B$2:$B$433,$A7,Desconto_Cliente_Mes!$C$2:$C$433,"Proteina"))*(SUMIFS(Desconto_Cliente_Mes!$T$2:$T$433,Desconto_Cliente_Mes!$A$2:$A$433,F$7,Desconto_Cliente_Mes!$B$2:$B$433,$A7,Desconto_Cliente_Mes!$C$2:$C$433,"Proteina"))</f>
        <v>12259.8872772863</v>
      </c>
      <c r="G13" s="16" t="n">
        <f aca="false">$G$9*($G$10/100)*(SUMIFS(Desconto_Cliente_Mes!$Q$2:$Q$433,Desconto_Cliente_Mes!$A$2:$A$433,G$7,Desconto_Cliente_Mes!$B$2:$B$433,$A7,Desconto_Cliente_Mes!$C$2:$C$433,"Proteina"))*(SUMIFS(Desconto_Cliente_Mes!$T$2:$T$433,Desconto_Cliente_Mes!$A$2:$A$433,G$7,Desconto_Cliente_Mes!$B$2:$B$433,$A7,Desconto_Cliente_Mes!$C$2:$C$433,"Proteina"))</f>
        <v>46317.6601929737</v>
      </c>
      <c r="H13" s="16" t="n">
        <f aca="false">$H$9*($H$10/100)*(SUMIFS(Desconto_Cliente_Mes!$Q$2:$Q$433,Desconto_Cliente_Mes!$A$2:$A$433,H$7,Desconto_Cliente_Mes!$B$2:$B$433,$A7,Desconto_Cliente_Mes!$C$2:$C$433,"Proteina"))*(SUMIFS(Desconto_Cliente_Mes!$T$2:$T$433,Desconto_Cliente_Mes!$A$2:$A$433,H$7,Desconto_Cliente_Mes!$B$2:$B$433,$A7,Desconto_Cliente_Mes!$C$2:$C$433,"Proteina"))</f>
        <v>31827.2147664183</v>
      </c>
      <c r="I13" s="16" t="n">
        <f aca="false">$I$9*($I$10/100)*(SUMIFS(Desconto_Cliente_Mes!$Q$2:$Q$433,Desconto_Cliente_Mes!$A$2:$A$433,I$7,Desconto_Cliente_Mes!$B$2:$B$433,$A7,Desconto_Cliente_Mes!$C$2:$C$433,"Proteina"))*(SUMIFS(Desconto_Cliente_Mes!$T$2:$T$433,Desconto_Cliente_Mes!$A$2:$A$433,I$7,Desconto_Cliente_Mes!$B$2:$B$433,$A7,Desconto_Cliente_Mes!$C$2:$C$433,"Proteina"))</f>
        <v>0</v>
      </c>
      <c r="J13" s="16" t="n">
        <f aca="false">$J$9*($J$10/100)*(SUMIFS(Desconto_Cliente_Mes!$Q$2:$Q$433,Desconto_Cliente_Mes!$A$2:$A$433,J$7,Desconto_Cliente_Mes!$B$2:$B$433,$A7,Desconto_Cliente_Mes!$C$2:$C$433,"Proteina"))*(SUMIFS(Desconto_Cliente_Mes!$T$2:$T$433,Desconto_Cliente_Mes!$A$2:$A$433,J$7,Desconto_Cliente_Mes!$B$2:$B$433,$A7,Desconto_Cliente_Mes!$C$2:$C$433,"Proteina"))</f>
        <v>0</v>
      </c>
      <c r="K13" s="16" t="n">
        <f aca="false">$K$9*($K$10/100)*(SUMIFS(Desconto_Cliente_Mes!$Q$2:$Q$433,Desconto_Cliente_Mes!$A$2:$A$433,K$7,Desconto_Cliente_Mes!$B$2:$B$433,$A7,Desconto_Cliente_Mes!$C$2:$C$433,"Proteina"))*(SUMIFS(Desconto_Cliente_Mes!$T$2:$T$433,Desconto_Cliente_Mes!$A$2:$A$433,K$7,Desconto_Cliente_Mes!$B$2:$B$433,$A7,Desconto_Cliente_Mes!$C$2:$C$433,"Proteina"))</f>
        <v>0</v>
      </c>
      <c r="L13" s="16" t="n">
        <f aca="false">$L$9*($L$10/100)*(SUMIFS(Desconto_Cliente_Mes!$Q$2:$Q$433,Desconto_Cliente_Mes!$A$2:$A$433,L$7,Desconto_Cliente_Mes!$B$2:$B$433,$A7,Desconto_Cliente_Mes!$C$2:$C$433,"Proteina"))*(SUMIFS(Desconto_Cliente_Mes!$T$2:$T$433,Desconto_Cliente_Mes!$A$2:$A$433,L$7,Desconto_Cliente_Mes!$B$2:$B$433,$A7,Desconto_Cliente_Mes!$C$2:$C$433,"Proteina"))</f>
        <v>0</v>
      </c>
      <c r="M13" s="16" t="n">
        <f aca="false">$M$9*($M$10/100)*(SUMIFS(Desconto_Cliente_Mes!$Q$2:$Q$433,Desconto_Cliente_Mes!$A$2:$A$433,M$7,Desconto_Cliente_Mes!$B$2:$B$433,$A7,Desconto_Cliente_Mes!$C$2:$C$433,"Proteina"))*(SUMIFS(Desconto_Cliente_Mes!$T$2:$T$433,Desconto_Cliente_Mes!$A$2:$A$433,M$7,Desconto_Cliente_Mes!$B$2:$B$433,$A7,Desconto_Cliente_Mes!$C$2:$C$433,"Proteina"))</f>
        <v>0</v>
      </c>
      <c r="N13" s="17" t="n">
        <f aca="false">SUM(B13:M13)</f>
        <v>91377.0669671845</v>
      </c>
    </row>
    <row r="14" customFormat="false" ht="15" hidden="false" customHeight="false" outlineLevel="0" collapsed="false">
      <c r="A14" s="13" t="s">
        <v>80</v>
      </c>
      <c r="B14" s="16" t="n">
        <f aca="false">$B$9*($B$11/100)*((IF(SUMIFS(Desconto_Cliente_Mes!$R$2:$R$433,Desconto_Cliente_Mes!$A$2:$A$433,B$7,Desconto_Cliente_Mes!$B$2:$B$433,$A7,Desconto_Cliente_Mes!$C$2:$C$433,"Proteina")="",SUMIFS(Desconto_Cliente_Mes!$Q$2:$Q$433,Desconto_Cliente_Mes!$A$2:$A$433,B$7,Desconto_Cliente_Mes!$B$2:$B$433,$A7,Desconto_Cliente_Mes!$C$2:$C$433,"Proteina"),SUMIFS(Desconto_Cliente_Mes!$R$2:$R$433,Desconto_Cliente_Mes!$A$2:$A$433,B$7,Desconto_Cliente_Mes!$B$2:$B$433,$A7,Desconto_Cliente_Mes!$C$2:$C$433,"Proteina")))-(SUMIFS(Desconto_Cliente_Mes!$Q$2:$Q$433,Desconto_Cliente_Mes!$A$2:$A$433,B$7,Desconto_Cliente_Mes!$B$2:$B$433,$A7,Desconto_Cliente_Mes!$C$2:$C$433,"Proteina")))*(SUMIFS(Desconto_Cliente_Mes!$T$2:$T$433,Desconto_Cliente_Mes!$A$2:$A$433,B$7,Desconto_Cliente_Mes!$B$2:$B$433,$A7,Desconto_Cliente_Mes!$C$2:$C$433,"Proteina"))</f>
        <v>0</v>
      </c>
      <c r="C14" s="16" t="n">
        <f aca="false">$C$9*($C$11/100)*((IF(SUMIFS(Desconto_Cliente_Mes!$R$2:$R$433,Desconto_Cliente_Mes!$A$2:$A$433,C$7,Desconto_Cliente_Mes!$B$2:$B$433,$A7,Desconto_Cliente_Mes!$C$2:$C$433,"Proteina")="",SUMIFS(Desconto_Cliente_Mes!$Q$2:$Q$433,Desconto_Cliente_Mes!$A$2:$A$433,C$7,Desconto_Cliente_Mes!$B$2:$B$433,$A7,Desconto_Cliente_Mes!$C$2:$C$433,"Proteina"),SUMIFS(Desconto_Cliente_Mes!$R$2:$R$433,Desconto_Cliente_Mes!$A$2:$A$433,C$7,Desconto_Cliente_Mes!$B$2:$B$433,$A7,Desconto_Cliente_Mes!$C$2:$C$433,"Proteina")))-(SUMIFS(Desconto_Cliente_Mes!$Q$2:$Q$433,Desconto_Cliente_Mes!$A$2:$A$433,C$7,Desconto_Cliente_Mes!$B$2:$B$433,$A7,Desconto_Cliente_Mes!$C$2:$C$433,"Proteina")))*(SUMIFS(Desconto_Cliente_Mes!$T$2:$T$433,Desconto_Cliente_Mes!$A$2:$A$433,C$7,Desconto_Cliente_Mes!$B$2:$B$433,$A7,Desconto_Cliente_Mes!$C$2:$C$433,"Proteina"))</f>
        <v>0</v>
      </c>
      <c r="D14" s="16" t="n">
        <f aca="false">$D$9*($D$11/100)*((IF(SUMIFS(Desconto_Cliente_Mes!$R$2:$R$433,Desconto_Cliente_Mes!$A$2:$A$433,D$7,Desconto_Cliente_Mes!$B$2:$B$433,$A7,Desconto_Cliente_Mes!$C$2:$C$433,"Proteina")="",SUMIFS(Desconto_Cliente_Mes!$Q$2:$Q$433,Desconto_Cliente_Mes!$A$2:$A$433,D$7,Desconto_Cliente_Mes!$B$2:$B$433,$A7,Desconto_Cliente_Mes!$C$2:$C$433,"Proteina"),SUMIFS(Desconto_Cliente_Mes!$R$2:$R$433,Desconto_Cliente_Mes!$A$2:$A$433,D$7,Desconto_Cliente_Mes!$B$2:$B$433,$A7,Desconto_Cliente_Mes!$C$2:$C$433,"Proteina")))-(SUMIFS(Desconto_Cliente_Mes!$Q$2:$Q$433,Desconto_Cliente_Mes!$A$2:$A$433,D$7,Desconto_Cliente_Mes!$B$2:$B$433,$A7,Desconto_Cliente_Mes!$C$2:$C$433,"Proteina")))*(SUMIFS(Desconto_Cliente_Mes!$T$2:$T$433,Desconto_Cliente_Mes!$A$2:$A$433,D$7,Desconto_Cliente_Mes!$B$2:$B$433,$A7,Desconto_Cliente_Mes!$C$2:$C$433,"Proteina"))</f>
        <v>0</v>
      </c>
      <c r="E14" s="16" t="n">
        <f aca="false">$E$9*($E$11/100)*((IF(SUMIFS(Desconto_Cliente_Mes!$R$2:$R$433,Desconto_Cliente_Mes!$A$2:$A$433,E$7,Desconto_Cliente_Mes!$B$2:$B$433,$A7,Desconto_Cliente_Mes!$C$2:$C$433,"Proteina")="",SUMIFS(Desconto_Cliente_Mes!$Q$2:$Q$433,Desconto_Cliente_Mes!$A$2:$A$433,E$7,Desconto_Cliente_Mes!$B$2:$B$433,$A7,Desconto_Cliente_Mes!$C$2:$C$433,"Proteina"),SUMIFS(Desconto_Cliente_Mes!$R$2:$R$433,Desconto_Cliente_Mes!$A$2:$A$433,E$7,Desconto_Cliente_Mes!$B$2:$B$433,$A7,Desconto_Cliente_Mes!$C$2:$C$433,"Proteina")))-(SUMIFS(Desconto_Cliente_Mes!$Q$2:$Q$433,Desconto_Cliente_Mes!$A$2:$A$433,E$7,Desconto_Cliente_Mes!$B$2:$B$433,$A7,Desconto_Cliente_Mes!$C$2:$C$433,"Proteina")))*(SUMIFS(Desconto_Cliente_Mes!$T$2:$T$433,Desconto_Cliente_Mes!$A$2:$A$433,E$7,Desconto_Cliente_Mes!$B$2:$B$433,$A7,Desconto_Cliente_Mes!$C$2:$C$433,"Proteina"))</f>
        <v>0</v>
      </c>
      <c r="F14" s="16" t="n">
        <f aca="false">$F$9*($F$11/100)*((IF(SUMIFS(Desconto_Cliente_Mes!$R$2:$R$433,Desconto_Cliente_Mes!$A$2:$A$433,F$7,Desconto_Cliente_Mes!$B$2:$B$433,$A7,Desconto_Cliente_Mes!$C$2:$C$433,"Proteina")="",SUMIFS(Desconto_Cliente_Mes!$Q$2:$Q$433,Desconto_Cliente_Mes!$A$2:$A$433,F$7,Desconto_Cliente_Mes!$B$2:$B$433,$A7,Desconto_Cliente_Mes!$C$2:$C$433,"Proteina"),SUMIFS(Desconto_Cliente_Mes!$R$2:$R$433,Desconto_Cliente_Mes!$A$2:$A$433,F$7,Desconto_Cliente_Mes!$B$2:$B$433,$A7,Desconto_Cliente_Mes!$C$2:$C$433,"Proteina")))-(SUMIFS(Desconto_Cliente_Mes!$Q$2:$Q$433,Desconto_Cliente_Mes!$A$2:$A$433,F$7,Desconto_Cliente_Mes!$B$2:$B$433,$A7,Desconto_Cliente_Mes!$C$2:$C$433,"Proteina")))*(SUMIFS(Desconto_Cliente_Mes!$T$2:$T$433,Desconto_Cliente_Mes!$A$2:$A$433,F$7,Desconto_Cliente_Mes!$B$2:$B$433,$A7,Desconto_Cliente_Mes!$C$2:$C$433,"Proteina"))</f>
        <v>0</v>
      </c>
      <c r="G14" s="16" t="n">
        <f aca="false">$G$9*($G$11/100)*((IF(SUMIFS(Desconto_Cliente_Mes!$R$2:$R$433,Desconto_Cliente_Mes!$A$2:$A$433,G$7,Desconto_Cliente_Mes!$B$2:$B$433,$A7,Desconto_Cliente_Mes!$C$2:$C$433,"Proteina")="",SUMIFS(Desconto_Cliente_Mes!$Q$2:$Q$433,Desconto_Cliente_Mes!$A$2:$A$433,G$7,Desconto_Cliente_Mes!$B$2:$B$433,$A7,Desconto_Cliente_Mes!$C$2:$C$433,"Proteina"),SUMIFS(Desconto_Cliente_Mes!$R$2:$R$433,Desconto_Cliente_Mes!$A$2:$A$433,G$7,Desconto_Cliente_Mes!$B$2:$B$433,$A7,Desconto_Cliente_Mes!$C$2:$C$433,"Proteina")))-(SUMIFS(Desconto_Cliente_Mes!$Q$2:$Q$433,Desconto_Cliente_Mes!$A$2:$A$433,G$7,Desconto_Cliente_Mes!$B$2:$B$433,$A7,Desconto_Cliente_Mes!$C$2:$C$433,"Proteina")))*(SUMIFS(Desconto_Cliente_Mes!$T$2:$T$433,Desconto_Cliente_Mes!$A$2:$A$433,G$7,Desconto_Cliente_Mes!$B$2:$B$433,$A7,Desconto_Cliente_Mes!$C$2:$C$433,"Proteina"))</f>
        <v>0</v>
      </c>
      <c r="H14" s="16" t="n">
        <f aca="false">$H$9*($H$11/100)*((IF(SUMIFS(Desconto_Cliente_Mes!$R$2:$R$433,Desconto_Cliente_Mes!$A$2:$A$433,H$7,Desconto_Cliente_Mes!$B$2:$B$433,$A7,Desconto_Cliente_Mes!$C$2:$C$433,"Proteina")="",SUMIFS(Desconto_Cliente_Mes!$Q$2:$Q$433,Desconto_Cliente_Mes!$A$2:$A$433,H$7,Desconto_Cliente_Mes!$B$2:$B$433,$A7,Desconto_Cliente_Mes!$C$2:$C$433,"Proteina"),SUMIFS(Desconto_Cliente_Mes!$R$2:$R$433,Desconto_Cliente_Mes!$A$2:$A$433,H$7,Desconto_Cliente_Mes!$B$2:$B$433,$A7,Desconto_Cliente_Mes!$C$2:$C$433,"Proteina")))-(SUMIFS(Desconto_Cliente_Mes!$Q$2:$Q$433,Desconto_Cliente_Mes!$A$2:$A$433,H$7,Desconto_Cliente_Mes!$B$2:$B$433,$A7,Desconto_Cliente_Mes!$C$2:$C$433,"Proteina")))*(SUMIFS(Desconto_Cliente_Mes!$T$2:$T$433,Desconto_Cliente_Mes!$A$2:$A$433,H$7,Desconto_Cliente_Mes!$B$2:$B$433,$A7,Desconto_Cliente_Mes!$C$2:$C$433,"Proteina"))</f>
        <v>0</v>
      </c>
      <c r="I14" s="16" t="n">
        <f aca="false">$I$9*($I$11/100)*((IF(SUMIFS(Desconto_Cliente_Mes!$R$2:$R$433,Desconto_Cliente_Mes!$A$2:$A$433,I$7,Desconto_Cliente_Mes!$B$2:$B$433,$A7,Desconto_Cliente_Mes!$C$2:$C$433,"Proteina")="",SUMIFS(Desconto_Cliente_Mes!$Q$2:$Q$433,Desconto_Cliente_Mes!$A$2:$A$433,I$7,Desconto_Cliente_Mes!$B$2:$B$433,$A7,Desconto_Cliente_Mes!$C$2:$C$433,"Proteina"),SUMIFS(Desconto_Cliente_Mes!$R$2:$R$433,Desconto_Cliente_Mes!$A$2:$A$433,I$7,Desconto_Cliente_Mes!$B$2:$B$433,$A7,Desconto_Cliente_Mes!$C$2:$C$433,"Proteina")))-(SUMIFS(Desconto_Cliente_Mes!$Q$2:$Q$433,Desconto_Cliente_Mes!$A$2:$A$433,I$7,Desconto_Cliente_Mes!$B$2:$B$433,$A7,Desconto_Cliente_Mes!$C$2:$C$433,"Proteina")))*(SUMIFS(Desconto_Cliente_Mes!$T$2:$T$433,Desconto_Cliente_Mes!$A$2:$A$433,I$7,Desconto_Cliente_Mes!$B$2:$B$433,$A7,Desconto_Cliente_Mes!$C$2:$C$433,"Proteina"))</f>
        <v>0</v>
      </c>
      <c r="J14" s="16" t="n">
        <f aca="false">$J$9*($J$11/100)*((IF(SUMIFS(Desconto_Cliente_Mes!$R$2:$R$433,Desconto_Cliente_Mes!$A$2:$A$433,J$7,Desconto_Cliente_Mes!$B$2:$B$433,$A7,Desconto_Cliente_Mes!$C$2:$C$433,"Proteina")="",SUMIFS(Desconto_Cliente_Mes!$Q$2:$Q$433,Desconto_Cliente_Mes!$A$2:$A$433,J$7,Desconto_Cliente_Mes!$B$2:$B$433,$A7,Desconto_Cliente_Mes!$C$2:$C$433,"Proteina"),SUMIFS(Desconto_Cliente_Mes!$R$2:$R$433,Desconto_Cliente_Mes!$A$2:$A$433,J$7,Desconto_Cliente_Mes!$B$2:$B$433,$A7,Desconto_Cliente_Mes!$C$2:$C$433,"Proteina")))-(SUMIFS(Desconto_Cliente_Mes!$Q$2:$Q$433,Desconto_Cliente_Mes!$A$2:$A$433,J$7,Desconto_Cliente_Mes!$B$2:$B$433,$A7,Desconto_Cliente_Mes!$C$2:$C$433,"Proteina")))*(SUMIFS(Desconto_Cliente_Mes!$T$2:$T$433,Desconto_Cliente_Mes!$A$2:$A$433,J$7,Desconto_Cliente_Mes!$B$2:$B$433,$A7,Desconto_Cliente_Mes!$C$2:$C$433,"Proteina"))</f>
        <v>0</v>
      </c>
      <c r="K14" s="16" t="n">
        <f aca="false">$K$9*($K$11/100)*((IF(SUMIFS(Desconto_Cliente_Mes!$R$2:$R$433,Desconto_Cliente_Mes!$A$2:$A$433,K$7,Desconto_Cliente_Mes!$B$2:$B$433,$A7,Desconto_Cliente_Mes!$C$2:$C$433,"Proteina")="",SUMIFS(Desconto_Cliente_Mes!$Q$2:$Q$433,Desconto_Cliente_Mes!$A$2:$A$433,K$7,Desconto_Cliente_Mes!$B$2:$B$433,$A7,Desconto_Cliente_Mes!$C$2:$C$433,"Proteina"),SUMIFS(Desconto_Cliente_Mes!$R$2:$R$433,Desconto_Cliente_Mes!$A$2:$A$433,K$7,Desconto_Cliente_Mes!$B$2:$B$433,$A7,Desconto_Cliente_Mes!$C$2:$C$433,"Proteina")))-(SUMIFS(Desconto_Cliente_Mes!$Q$2:$Q$433,Desconto_Cliente_Mes!$A$2:$A$433,K$7,Desconto_Cliente_Mes!$B$2:$B$433,$A7,Desconto_Cliente_Mes!$C$2:$C$433,"Proteina")))*(SUMIFS(Desconto_Cliente_Mes!$T$2:$T$433,Desconto_Cliente_Mes!$A$2:$A$433,K$7,Desconto_Cliente_Mes!$B$2:$B$433,$A7,Desconto_Cliente_Mes!$C$2:$C$433,"Proteina"))</f>
        <v>0</v>
      </c>
      <c r="L14" s="16" t="n">
        <f aca="false">$L$9*($L$11/100)*((IF(SUMIFS(Desconto_Cliente_Mes!$R$2:$R$433,Desconto_Cliente_Mes!$A$2:$A$433,L$7,Desconto_Cliente_Mes!$B$2:$B$433,$A7,Desconto_Cliente_Mes!$C$2:$C$433,"Proteina")="",SUMIFS(Desconto_Cliente_Mes!$Q$2:$Q$433,Desconto_Cliente_Mes!$A$2:$A$433,L$7,Desconto_Cliente_Mes!$B$2:$B$433,$A7,Desconto_Cliente_Mes!$C$2:$C$433,"Proteina"),SUMIFS(Desconto_Cliente_Mes!$R$2:$R$433,Desconto_Cliente_Mes!$A$2:$A$433,L$7,Desconto_Cliente_Mes!$B$2:$B$433,$A7,Desconto_Cliente_Mes!$C$2:$C$433,"Proteina")))-(SUMIFS(Desconto_Cliente_Mes!$Q$2:$Q$433,Desconto_Cliente_Mes!$A$2:$A$433,L$7,Desconto_Cliente_Mes!$B$2:$B$433,$A7,Desconto_Cliente_Mes!$C$2:$C$433,"Proteina")))*(SUMIFS(Desconto_Cliente_Mes!$T$2:$T$433,Desconto_Cliente_Mes!$A$2:$A$433,L$7,Desconto_Cliente_Mes!$B$2:$B$433,$A7,Desconto_Cliente_Mes!$C$2:$C$433,"Proteina"))</f>
        <v>0</v>
      </c>
      <c r="M14" s="16" t="n">
        <f aca="false">$M$9*($M$11/100)*((IF(SUMIFS(Desconto_Cliente_Mes!$R$2:$R$433,Desconto_Cliente_Mes!$A$2:$A$433,M$7,Desconto_Cliente_Mes!$B$2:$B$433,$A7,Desconto_Cliente_Mes!$C$2:$C$433,"Proteina")="",SUMIFS(Desconto_Cliente_Mes!$Q$2:$Q$433,Desconto_Cliente_Mes!$A$2:$A$433,M$7,Desconto_Cliente_Mes!$B$2:$B$433,$A7,Desconto_Cliente_Mes!$C$2:$C$433,"Proteina"),SUMIFS(Desconto_Cliente_Mes!$R$2:$R$433,Desconto_Cliente_Mes!$A$2:$A$433,M$7,Desconto_Cliente_Mes!$B$2:$B$433,$A7,Desconto_Cliente_Mes!$C$2:$C$433,"Proteina")))-(SUMIFS(Desconto_Cliente_Mes!$Q$2:$Q$433,Desconto_Cliente_Mes!$A$2:$A$433,M$7,Desconto_Cliente_Mes!$B$2:$B$433,$A7,Desconto_Cliente_Mes!$C$2:$C$433,"Proteina")))*(SUMIFS(Desconto_Cliente_Mes!$T$2:$T$433,Desconto_Cliente_Mes!$A$2:$A$433,M$7,Desconto_Cliente_Mes!$B$2:$B$433,$A7,Desconto_Cliente_Mes!$C$2:$C$433,"Proteina"))</f>
        <v>0</v>
      </c>
      <c r="N14" s="17" t="n">
        <f aca="false">SUM(B14:M14)</f>
        <v>0</v>
      </c>
    </row>
    <row r="15" customFormat="false" ht="15" hidden="false" customHeight="false" outlineLevel="0" collapsed="false">
      <c r="A15" s="13" t="s">
        <v>81</v>
      </c>
      <c r="B15" s="16" t="n">
        <f aca="false">$B$9*($B$12/100)*((IF(SUMIFS(Desconto_Cliente_Mes!$S$2:$S$433,Desconto_Cliente_Mes!$A$2:$A$433,B$7,Desconto_Cliente_Mes!$B$2:$B$433,$A7,Desconto_Cliente_Mes!$C$2:$C$433,"Proteina")="",(IF(SUMIFS(Desconto_Cliente_Mes!$R$2:$R$433,Desconto_Cliente_Mes!$A$2:$A$433,B$7,Desconto_Cliente_Mes!$B$2:$B$433,$A7,Desconto_Cliente_Mes!$C$2:$C$433,"Proteina")="",SUMIFS(Desconto_Cliente_Mes!$Q$2:$Q$433,Desconto_Cliente_Mes!$A$2:$A$433,B$7,Desconto_Cliente_Mes!$B$2:$B$433,$A7,Desconto_Cliente_Mes!$C$2:$C$433,"Proteina"),SUMIFS(Desconto_Cliente_Mes!$R$2:$R$433,Desconto_Cliente_Mes!$A$2:$A$433,B$7,Desconto_Cliente_Mes!$B$2:$B$433,$A7,Desconto_Cliente_Mes!$C$2:$C$433,"Proteina"))),SUMIFS(Desconto_Cliente_Mes!$S$2:$S$433,Desconto_Cliente_Mes!$A$2:$A$433,B$7,Desconto_Cliente_Mes!$B$2:$B$433,$A7,Desconto_Cliente_Mes!$C$2:$C$433,"Proteina")))-(IF(SUMIFS(Desconto_Cliente_Mes!$R$2:$R$433,Desconto_Cliente_Mes!$A$2:$A$433,B$7,Desconto_Cliente_Mes!$B$2:$B$433,$A7,Desconto_Cliente_Mes!$C$2:$C$433,"Proteina")="",SUMIFS(Desconto_Cliente_Mes!$Q$2:$Q$433,Desconto_Cliente_Mes!$A$2:$A$433,B$7,Desconto_Cliente_Mes!$B$2:$B$433,$A7,Desconto_Cliente_Mes!$C$2:$C$433,"Proteina"),SUMIFS(Desconto_Cliente_Mes!$R$2:$R$433,Desconto_Cliente_Mes!$A$2:$A$433,B$7,Desconto_Cliente_Mes!$B$2:$B$433,$A7,Desconto_Cliente_Mes!$C$2:$C$433,"Proteina"))))*(SUMIFS(Desconto_Cliente_Mes!$T$2:$T$433,Desconto_Cliente_Mes!$A$2:$A$433,B$7,Desconto_Cliente_Mes!$B$2:$B$433,$A7,Desconto_Cliente_Mes!$C$2:$C$433,"Proteina"))</f>
        <v>-0</v>
      </c>
      <c r="C15" s="16" t="n">
        <f aca="false">$C$9*($C$12/100)*((IF(SUMIFS(Desconto_Cliente_Mes!$S$2:$S$433,Desconto_Cliente_Mes!$A$2:$A$433,C$7,Desconto_Cliente_Mes!$B$2:$B$433,$A7,Desconto_Cliente_Mes!$C$2:$C$433,"Proteina")="",(IF(SUMIFS(Desconto_Cliente_Mes!$R$2:$R$433,Desconto_Cliente_Mes!$A$2:$A$433,C$7,Desconto_Cliente_Mes!$B$2:$B$433,$A7,Desconto_Cliente_Mes!$C$2:$C$433,"Proteina")="",SUMIFS(Desconto_Cliente_Mes!$Q$2:$Q$433,Desconto_Cliente_Mes!$A$2:$A$433,C$7,Desconto_Cliente_Mes!$B$2:$B$433,$A7,Desconto_Cliente_Mes!$C$2:$C$433,"Proteina"),SUMIFS(Desconto_Cliente_Mes!$R$2:$R$433,Desconto_Cliente_Mes!$A$2:$A$433,C$7,Desconto_Cliente_Mes!$B$2:$B$433,$A7,Desconto_Cliente_Mes!$C$2:$C$433,"Proteina"))),SUMIFS(Desconto_Cliente_Mes!$S$2:$S$433,Desconto_Cliente_Mes!$A$2:$A$433,C$7,Desconto_Cliente_Mes!$B$2:$B$433,$A7,Desconto_Cliente_Mes!$C$2:$C$433,"Proteina")))-(IF(SUMIFS(Desconto_Cliente_Mes!$R$2:$R$433,Desconto_Cliente_Mes!$A$2:$A$433,C$7,Desconto_Cliente_Mes!$B$2:$B$433,$A7,Desconto_Cliente_Mes!$C$2:$C$433,"Proteina")="",SUMIFS(Desconto_Cliente_Mes!$Q$2:$Q$433,Desconto_Cliente_Mes!$A$2:$A$433,C$7,Desconto_Cliente_Mes!$B$2:$B$433,$A7,Desconto_Cliente_Mes!$C$2:$C$433,"Proteina"),SUMIFS(Desconto_Cliente_Mes!$R$2:$R$433,Desconto_Cliente_Mes!$A$2:$A$433,C$7,Desconto_Cliente_Mes!$B$2:$B$433,$A7,Desconto_Cliente_Mes!$C$2:$C$433,"Proteina"))))*(SUMIFS(Desconto_Cliente_Mes!$T$2:$T$433,Desconto_Cliente_Mes!$A$2:$A$433,C$7,Desconto_Cliente_Mes!$B$2:$B$433,$A7,Desconto_Cliente_Mes!$C$2:$C$433,"Proteina"))</f>
        <v>-0</v>
      </c>
      <c r="D15" s="16" t="n">
        <f aca="false">$D$9*($D$12/100)*((IF(SUMIFS(Desconto_Cliente_Mes!$S$2:$S$433,Desconto_Cliente_Mes!$A$2:$A$433,D$7,Desconto_Cliente_Mes!$B$2:$B$433,$A7,Desconto_Cliente_Mes!$C$2:$C$433,"Proteina")="",(IF(SUMIFS(Desconto_Cliente_Mes!$R$2:$R$433,Desconto_Cliente_Mes!$A$2:$A$433,D$7,Desconto_Cliente_Mes!$B$2:$B$433,$A7,Desconto_Cliente_Mes!$C$2:$C$433,"Proteina")="",SUMIFS(Desconto_Cliente_Mes!$Q$2:$Q$433,Desconto_Cliente_Mes!$A$2:$A$433,D$7,Desconto_Cliente_Mes!$B$2:$B$433,$A7,Desconto_Cliente_Mes!$C$2:$C$433,"Proteina"),SUMIFS(Desconto_Cliente_Mes!$R$2:$R$433,Desconto_Cliente_Mes!$A$2:$A$433,D$7,Desconto_Cliente_Mes!$B$2:$B$433,$A7,Desconto_Cliente_Mes!$C$2:$C$433,"Proteina"))),SUMIFS(Desconto_Cliente_Mes!$S$2:$S$433,Desconto_Cliente_Mes!$A$2:$A$433,D$7,Desconto_Cliente_Mes!$B$2:$B$433,$A7,Desconto_Cliente_Mes!$C$2:$C$433,"Proteina")))-(IF(SUMIFS(Desconto_Cliente_Mes!$R$2:$R$433,Desconto_Cliente_Mes!$A$2:$A$433,D$7,Desconto_Cliente_Mes!$B$2:$B$433,$A7,Desconto_Cliente_Mes!$C$2:$C$433,"Proteina")="",SUMIFS(Desconto_Cliente_Mes!$Q$2:$Q$433,Desconto_Cliente_Mes!$A$2:$A$433,D$7,Desconto_Cliente_Mes!$B$2:$B$433,$A7,Desconto_Cliente_Mes!$C$2:$C$433,"Proteina"),SUMIFS(Desconto_Cliente_Mes!$R$2:$R$433,Desconto_Cliente_Mes!$A$2:$A$433,D$7,Desconto_Cliente_Mes!$B$2:$B$433,$A7,Desconto_Cliente_Mes!$C$2:$C$433,"Proteina"))))*(SUMIFS(Desconto_Cliente_Mes!$T$2:$T$433,Desconto_Cliente_Mes!$A$2:$A$433,D$7,Desconto_Cliente_Mes!$B$2:$B$433,$A7,Desconto_Cliente_Mes!$C$2:$C$433,"Proteina"))</f>
        <v>-0</v>
      </c>
      <c r="E15" s="16" t="n">
        <f aca="false">$E$9*($E$12/100)*((IF(SUMIFS(Desconto_Cliente_Mes!$S$2:$S$433,Desconto_Cliente_Mes!$A$2:$A$433,E$7,Desconto_Cliente_Mes!$B$2:$B$433,$A7,Desconto_Cliente_Mes!$C$2:$C$433,"Proteina")="",(IF(SUMIFS(Desconto_Cliente_Mes!$R$2:$R$433,Desconto_Cliente_Mes!$A$2:$A$433,E$7,Desconto_Cliente_Mes!$B$2:$B$433,$A7,Desconto_Cliente_Mes!$C$2:$C$433,"Proteina")="",SUMIFS(Desconto_Cliente_Mes!$Q$2:$Q$433,Desconto_Cliente_Mes!$A$2:$A$433,E$7,Desconto_Cliente_Mes!$B$2:$B$433,$A7,Desconto_Cliente_Mes!$C$2:$C$433,"Proteina"),SUMIFS(Desconto_Cliente_Mes!$R$2:$R$433,Desconto_Cliente_Mes!$A$2:$A$433,E$7,Desconto_Cliente_Mes!$B$2:$B$433,$A7,Desconto_Cliente_Mes!$C$2:$C$433,"Proteina"))),SUMIFS(Desconto_Cliente_Mes!$S$2:$S$433,Desconto_Cliente_Mes!$A$2:$A$433,E$7,Desconto_Cliente_Mes!$B$2:$B$433,$A7,Desconto_Cliente_Mes!$C$2:$C$433,"Proteina")))-(IF(SUMIFS(Desconto_Cliente_Mes!$R$2:$R$433,Desconto_Cliente_Mes!$A$2:$A$433,E$7,Desconto_Cliente_Mes!$B$2:$B$433,$A7,Desconto_Cliente_Mes!$C$2:$C$433,"Proteina")="",SUMIFS(Desconto_Cliente_Mes!$Q$2:$Q$433,Desconto_Cliente_Mes!$A$2:$A$433,E$7,Desconto_Cliente_Mes!$B$2:$B$433,$A7,Desconto_Cliente_Mes!$C$2:$C$433,"Proteina"),SUMIFS(Desconto_Cliente_Mes!$R$2:$R$433,Desconto_Cliente_Mes!$A$2:$A$433,E$7,Desconto_Cliente_Mes!$B$2:$B$433,$A7,Desconto_Cliente_Mes!$C$2:$C$433,"Proteina"))))*(SUMIFS(Desconto_Cliente_Mes!$T$2:$T$433,Desconto_Cliente_Mes!$A$2:$A$433,E$7,Desconto_Cliente_Mes!$B$2:$B$433,$A7,Desconto_Cliente_Mes!$C$2:$C$433,"Proteina"))</f>
        <v>-0</v>
      </c>
      <c r="F15" s="16" t="n">
        <f aca="false">$F$9*($F$12/100)*((IF(SUMIFS(Desconto_Cliente_Mes!$S$2:$S$433,Desconto_Cliente_Mes!$A$2:$A$433,F$7,Desconto_Cliente_Mes!$B$2:$B$433,$A7,Desconto_Cliente_Mes!$C$2:$C$433,"Proteina")="",(IF(SUMIFS(Desconto_Cliente_Mes!$R$2:$R$433,Desconto_Cliente_Mes!$A$2:$A$433,F$7,Desconto_Cliente_Mes!$B$2:$B$433,$A7,Desconto_Cliente_Mes!$C$2:$C$433,"Proteina")="",SUMIFS(Desconto_Cliente_Mes!$Q$2:$Q$433,Desconto_Cliente_Mes!$A$2:$A$433,F$7,Desconto_Cliente_Mes!$B$2:$B$433,$A7,Desconto_Cliente_Mes!$C$2:$C$433,"Proteina"),SUMIFS(Desconto_Cliente_Mes!$R$2:$R$433,Desconto_Cliente_Mes!$A$2:$A$433,F$7,Desconto_Cliente_Mes!$B$2:$B$433,$A7,Desconto_Cliente_Mes!$C$2:$C$433,"Proteina"))),SUMIFS(Desconto_Cliente_Mes!$S$2:$S$433,Desconto_Cliente_Mes!$A$2:$A$433,F$7,Desconto_Cliente_Mes!$B$2:$B$433,$A7,Desconto_Cliente_Mes!$C$2:$C$433,"Proteina")))-(IF(SUMIFS(Desconto_Cliente_Mes!$R$2:$R$433,Desconto_Cliente_Mes!$A$2:$A$433,F$7,Desconto_Cliente_Mes!$B$2:$B$433,$A7,Desconto_Cliente_Mes!$C$2:$C$433,"Proteina")="",SUMIFS(Desconto_Cliente_Mes!$Q$2:$Q$433,Desconto_Cliente_Mes!$A$2:$A$433,F$7,Desconto_Cliente_Mes!$B$2:$B$433,$A7,Desconto_Cliente_Mes!$C$2:$C$433,"Proteina"),SUMIFS(Desconto_Cliente_Mes!$R$2:$R$433,Desconto_Cliente_Mes!$A$2:$A$433,F$7,Desconto_Cliente_Mes!$B$2:$B$433,$A7,Desconto_Cliente_Mes!$C$2:$C$433,"Proteina"))))*(SUMIFS(Desconto_Cliente_Mes!$T$2:$T$433,Desconto_Cliente_Mes!$A$2:$A$433,F$7,Desconto_Cliente_Mes!$B$2:$B$433,$A7,Desconto_Cliente_Mes!$C$2:$C$433,"Proteina"))</f>
        <v>-0</v>
      </c>
      <c r="G15" s="16" t="n">
        <f aca="false">$G$9*($G$12/100)*((IF(SUMIFS(Desconto_Cliente_Mes!$S$2:$S$433,Desconto_Cliente_Mes!$A$2:$A$433,G$7,Desconto_Cliente_Mes!$B$2:$B$433,$A7,Desconto_Cliente_Mes!$C$2:$C$433,"Proteina")="",(IF(SUMIFS(Desconto_Cliente_Mes!$R$2:$R$433,Desconto_Cliente_Mes!$A$2:$A$433,G$7,Desconto_Cliente_Mes!$B$2:$B$433,$A7,Desconto_Cliente_Mes!$C$2:$C$433,"Proteina")="",SUMIFS(Desconto_Cliente_Mes!$Q$2:$Q$433,Desconto_Cliente_Mes!$A$2:$A$433,G$7,Desconto_Cliente_Mes!$B$2:$B$433,$A7,Desconto_Cliente_Mes!$C$2:$C$433,"Proteina"),SUMIFS(Desconto_Cliente_Mes!$R$2:$R$433,Desconto_Cliente_Mes!$A$2:$A$433,G$7,Desconto_Cliente_Mes!$B$2:$B$433,$A7,Desconto_Cliente_Mes!$C$2:$C$433,"Proteina"))),SUMIFS(Desconto_Cliente_Mes!$S$2:$S$433,Desconto_Cliente_Mes!$A$2:$A$433,G$7,Desconto_Cliente_Mes!$B$2:$B$433,$A7,Desconto_Cliente_Mes!$C$2:$C$433,"Proteina")))-(IF(SUMIFS(Desconto_Cliente_Mes!$R$2:$R$433,Desconto_Cliente_Mes!$A$2:$A$433,G$7,Desconto_Cliente_Mes!$B$2:$B$433,$A7,Desconto_Cliente_Mes!$C$2:$C$433,"Proteina")="",SUMIFS(Desconto_Cliente_Mes!$Q$2:$Q$433,Desconto_Cliente_Mes!$A$2:$A$433,G$7,Desconto_Cliente_Mes!$B$2:$B$433,$A7,Desconto_Cliente_Mes!$C$2:$C$433,"Proteina"),SUMIFS(Desconto_Cliente_Mes!$R$2:$R$433,Desconto_Cliente_Mes!$A$2:$A$433,G$7,Desconto_Cliente_Mes!$B$2:$B$433,$A7,Desconto_Cliente_Mes!$C$2:$C$433,"Proteina"))))*(SUMIFS(Desconto_Cliente_Mes!$T$2:$T$433,Desconto_Cliente_Mes!$A$2:$A$433,G$7,Desconto_Cliente_Mes!$B$2:$B$433,$A7,Desconto_Cliente_Mes!$C$2:$C$433,"Proteina"))</f>
        <v>-0</v>
      </c>
      <c r="H15" s="16" t="n">
        <f aca="false">$H$9*($H$12/100)*((IF(SUMIFS(Desconto_Cliente_Mes!$S$2:$S$433,Desconto_Cliente_Mes!$A$2:$A$433,H$7,Desconto_Cliente_Mes!$B$2:$B$433,$A7,Desconto_Cliente_Mes!$C$2:$C$433,"Proteina")="",(IF(SUMIFS(Desconto_Cliente_Mes!$R$2:$R$433,Desconto_Cliente_Mes!$A$2:$A$433,H$7,Desconto_Cliente_Mes!$B$2:$B$433,$A7,Desconto_Cliente_Mes!$C$2:$C$433,"Proteina")="",SUMIFS(Desconto_Cliente_Mes!$Q$2:$Q$433,Desconto_Cliente_Mes!$A$2:$A$433,H$7,Desconto_Cliente_Mes!$B$2:$B$433,$A7,Desconto_Cliente_Mes!$C$2:$C$433,"Proteina"),SUMIFS(Desconto_Cliente_Mes!$R$2:$R$433,Desconto_Cliente_Mes!$A$2:$A$433,H$7,Desconto_Cliente_Mes!$B$2:$B$433,$A7,Desconto_Cliente_Mes!$C$2:$C$433,"Proteina"))),SUMIFS(Desconto_Cliente_Mes!$S$2:$S$433,Desconto_Cliente_Mes!$A$2:$A$433,H$7,Desconto_Cliente_Mes!$B$2:$B$433,$A7,Desconto_Cliente_Mes!$C$2:$C$433,"Proteina")))-(IF(SUMIFS(Desconto_Cliente_Mes!$R$2:$R$433,Desconto_Cliente_Mes!$A$2:$A$433,H$7,Desconto_Cliente_Mes!$B$2:$B$433,$A7,Desconto_Cliente_Mes!$C$2:$C$433,"Proteina")="",SUMIFS(Desconto_Cliente_Mes!$Q$2:$Q$433,Desconto_Cliente_Mes!$A$2:$A$433,H$7,Desconto_Cliente_Mes!$B$2:$B$433,$A7,Desconto_Cliente_Mes!$C$2:$C$433,"Proteina"),SUMIFS(Desconto_Cliente_Mes!$R$2:$R$433,Desconto_Cliente_Mes!$A$2:$A$433,H$7,Desconto_Cliente_Mes!$B$2:$B$433,$A7,Desconto_Cliente_Mes!$C$2:$C$433,"Proteina"))))*(SUMIFS(Desconto_Cliente_Mes!$T$2:$T$433,Desconto_Cliente_Mes!$A$2:$A$433,H$7,Desconto_Cliente_Mes!$B$2:$B$433,$A7,Desconto_Cliente_Mes!$C$2:$C$433,"Proteina"))</f>
        <v>-0</v>
      </c>
      <c r="I15" s="16" t="n">
        <f aca="false">$I$9*($I$12/100)*((IF(SUMIFS(Desconto_Cliente_Mes!$S$2:$S$433,Desconto_Cliente_Mes!$A$2:$A$433,I$7,Desconto_Cliente_Mes!$B$2:$B$433,$A7,Desconto_Cliente_Mes!$C$2:$C$433,"Proteina")="",(IF(SUMIFS(Desconto_Cliente_Mes!$R$2:$R$433,Desconto_Cliente_Mes!$A$2:$A$433,I$7,Desconto_Cliente_Mes!$B$2:$B$433,$A7,Desconto_Cliente_Mes!$C$2:$C$433,"Proteina")="",SUMIFS(Desconto_Cliente_Mes!$Q$2:$Q$433,Desconto_Cliente_Mes!$A$2:$A$433,I$7,Desconto_Cliente_Mes!$B$2:$B$433,$A7,Desconto_Cliente_Mes!$C$2:$C$433,"Proteina"),SUMIFS(Desconto_Cliente_Mes!$R$2:$R$433,Desconto_Cliente_Mes!$A$2:$A$433,I$7,Desconto_Cliente_Mes!$B$2:$B$433,$A7,Desconto_Cliente_Mes!$C$2:$C$433,"Proteina"))),SUMIFS(Desconto_Cliente_Mes!$S$2:$S$433,Desconto_Cliente_Mes!$A$2:$A$433,I$7,Desconto_Cliente_Mes!$B$2:$B$433,$A7,Desconto_Cliente_Mes!$C$2:$C$433,"Proteina")))-(IF(SUMIFS(Desconto_Cliente_Mes!$R$2:$R$433,Desconto_Cliente_Mes!$A$2:$A$433,I$7,Desconto_Cliente_Mes!$B$2:$B$433,$A7,Desconto_Cliente_Mes!$C$2:$C$433,"Proteina")="",SUMIFS(Desconto_Cliente_Mes!$Q$2:$Q$433,Desconto_Cliente_Mes!$A$2:$A$433,I$7,Desconto_Cliente_Mes!$B$2:$B$433,$A7,Desconto_Cliente_Mes!$C$2:$C$433,"Proteina"),SUMIFS(Desconto_Cliente_Mes!$R$2:$R$433,Desconto_Cliente_Mes!$A$2:$A$433,I$7,Desconto_Cliente_Mes!$B$2:$B$433,$A7,Desconto_Cliente_Mes!$C$2:$C$433,"Proteina"))))*(SUMIFS(Desconto_Cliente_Mes!$T$2:$T$433,Desconto_Cliente_Mes!$A$2:$A$433,I$7,Desconto_Cliente_Mes!$B$2:$B$433,$A7,Desconto_Cliente_Mes!$C$2:$C$433,"Proteina"))</f>
        <v>-0</v>
      </c>
      <c r="J15" s="16" t="n">
        <f aca="false">$J$9*($J$12/100)*((IF(SUMIFS(Desconto_Cliente_Mes!$S$2:$S$433,Desconto_Cliente_Mes!$A$2:$A$433,J$7,Desconto_Cliente_Mes!$B$2:$B$433,$A7,Desconto_Cliente_Mes!$C$2:$C$433,"Proteina")="",(IF(SUMIFS(Desconto_Cliente_Mes!$R$2:$R$433,Desconto_Cliente_Mes!$A$2:$A$433,J$7,Desconto_Cliente_Mes!$B$2:$B$433,$A7,Desconto_Cliente_Mes!$C$2:$C$433,"Proteina")="",SUMIFS(Desconto_Cliente_Mes!$Q$2:$Q$433,Desconto_Cliente_Mes!$A$2:$A$433,J$7,Desconto_Cliente_Mes!$B$2:$B$433,$A7,Desconto_Cliente_Mes!$C$2:$C$433,"Proteina"),SUMIFS(Desconto_Cliente_Mes!$R$2:$R$433,Desconto_Cliente_Mes!$A$2:$A$433,J$7,Desconto_Cliente_Mes!$B$2:$B$433,$A7,Desconto_Cliente_Mes!$C$2:$C$433,"Proteina"))),SUMIFS(Desconto_Cliente_Mes!$S$2:$S$433,Desconto_Cliente_Mes!$A$2:$A$433,J$7,Desconto_Cliente_Mes!$B$2:$B$433,$A7,Desconto_Cliente_Mes!$C$2:$C$433,"Proteina")))-(IF(SUMIFS(Desconto_Cliente_Mes!$R$2:$R$433,Desconto_Cliente_Mes!$A$2:$A$433,J$7,Desconto_Cliente_Mes!$B$2:$B$433,$A7,Desconto_Cliente_Mes!$C$2:$C$433,"Proteina")="",SUMIFS(Desconto_Cliente_Mes!$Q$2:$Q$433,Desconto_Cliente_Mes!$A$2:$A$433,J$7,Desconto_Cliente_Mes!$B$2:$B$433,$A7,Desconto_Cliente_Mes!$C$2:$C$433,"Proteina"),SUMIFS(Desconto_Cliente_Mes!$R$2:$R$433,Desconto_Cliente_Mes!$A$2:$A$433,J$7,Desconto_Cliente_Mes!$B$2:$B$433,$A7,Desconto_Cliente_Mes!$C$2:$C$433,"Proteina"))))*(SUMIFS(Desconto_Cliente_Mes!$T$2:$T$433,Desconto_Cliente_Mes!$A$2:$A$433,J$7,Desconto_Cliente_Mes!$B$2:$B$433,$A7,Desconto_Cliente_Mes!$C$2:$C$433,"Proteina"))</f>
        <v>-0</v>
      </c>
      <c r="K15" s="16" t="n">
        <f aca="false">$K$9*($K$12/100)*((IF(SUMIFS(Desconto_Cliente_Mes!$S$2:$S$433,Desconto_Cliente_Mes!$A$2:$A$433,K$7,Desconto_Cliente_Mes!$B$2:$B$433,$A7,Desconto_Cliente_Mes!$C$2:$C$433,"Proteina")="",(IF(SUMIFS(Desconto_Cliente_Mes!$R$2:$R$433,Desconto_Cliente_Mes!$A$2:$A$433,K$7,Desconto_Cliente_Mes!$B$2:$B$433,$A7,Desconto_Cliente_Mes!$C$2:$C$433,"Proteina")="",SUMIFS(Desconto_Cliente_Mes!$Q$2:$Q$433,Desconto_Cliente_Mes!$A$2:$A$433,K$7,Desconto_Cliente_Mes!$B$2:$B$433,$A7,Desconto_Cliente_Mes!$C$2:$C$433,"Proteina"),SUMIFS(Desconto_Cliente_Mes!$R$2:$R$433,Desconto_Cliente_Mes!$A$2:$A$433,K$7,Desconto_Cliente_Mes!$B$2:$B$433,$A7,Desconto_Cliente_Mes!$C$2:$C$433,"Proteina"))),SUMIFS(Desconto_Cliente_Mes!$S$2:$S$433,Desconto_Cliente_Mes!$A$2:$A$433,K$7,Desconto_Cliente_Mes!$B$2:$B$433,$A7,Desconto_Cliente_Mes!$C$2:$C$433,"Proteina")))-(IF(SUMIFS(Desconto_Cliente_Mes!$R$2:$R$433,Desconto_Cliente_Mes!$A$2:$A$433,K$7,Desconto_Cliente_Mes!$B$2:$B$433,$A7,Desconto_Cliente_Mes!$C$2:$C$433,"Proteina")="",SUMIFS(Desconto_Cliente_Mes!$Q$2:$Q$433,Desconto_Cliente_Mes!$A$2:$A$433,K$7,Desconto_Cliente_Mes!$B$2:$B$433,$A7,Desconto_Cliente_Mes!$C$2:$C$433,"Proteina"),SUMIFS(Desconto_Cliente_Mes!$R$2:$R$433,Desconto_Cliente_Mes!$A$2:$A$433,K$7,Desconto_Cliente_Mes!$B$2:$B$433,$A7,Desconto_Cliente_Mes!$C$2:$C$433,"Proteina"))))*(SUMIFS(Desconto_Cliente_Mes!$T$2:$T$433,Desconto_Cliente_Mes!$A$2:$A$433,K$7,Desconto_Cliente_Mes!$B$2:$B$433,$A7,Desconto_Cliente_Mes!$C$2:$C$433,"Proteina"))</f>
        <v>-0</v>
      </c>
      <c r="L15" s="16" t="n">
        <f aca="false">$L$9*($L$12/100)*((IF(SUMIFS(Desconto_Cliente_Mes!$S$2:$S$433,Desconto_Cliente_Mes!$A$2:$A$433,L$7,Desconto_Cliente_Mes!$B$2:$B$433,$A7,Desconto_Cliente_Mes!$C$2:$C$433,"Proteina")="",(IF(SUMIFS(Desconto_Cliente_Mes!$R$2:$R$433,Desconto_Cliente_Mes!$A$2:$A$433,L$7,Desconto_Cliente_Mes!$B$2:$B$433,$A7,Desconto_Cliente_Mes!$C$2:$C$433,"Proteina")="",SUMIFS(Desconto_Cliente_Mes!$Q$2:$Q$433,Desconto_Cliente_Mes!$A$2:$A$433,L$7,Desconto_Cliente_Mes!$B$2:$B$433,$A7,Desconto_Cliente_Mes!$C$2:$C$433,"Proteina"),SUMIFS(Desconto_Cliente_Mes!$R$2:$R$433,Desconto_Cliente_Mes!$A$2:$A$433,L$7,Desconto_Cliente_Mes!$B$2:$B$433,$A7,Desconto_Cliente_Mes!$C$2:$C$433,"Proteina"))),SUMIFS(Desconto_Cliente_Mes!$S$2:$S$433,Desconto_Cliente_Mes!$A$2:$A$433,L$7,Desconto_Cliente_Mes!$B$2:$B$433,$A7,Desconto_Cliente_Mes!$C$2:$C$433,"Proteina")))-(IF(SUMIFS(Desconto_Cliente_Mes!$R$2:$R$433,Desconto_Cliente_Mes!$A$2:$A$433,L$7,Desconto_Cliente_Mes!$B$2:$B$433,$A7,Desconto_Cliente_Mes!$C$2:$C$433,"Proteina")="",SUMIFS(Desconto_Cliente_Mes!$Q$2:$Q$433,Desconto_Cliente_Mes!$A$2:$A$433,L$7,Desconto_Cliente_Mes!$B$2:$B$433,$A7,Desconto_Cliente_Mes!$C$2:$C$433,"Proteina"),SUMIFS(Desconto_Cliente_Mes!$R$2:$R$433,Desconto_Cliente_Mes!$A$2:$A$433,L$7,Desconto_Cliente_Mes!$B$2:$B$433,$A7,Desconto_Cliente_Mes!$C$2:$C$433,"Proteina"))))*(SUMIFS(Desconto_Cliente_Mes!$T$2:$T$433,Desconto_Cliente_Mes!$A$2:$A$433,L$7,Desconto_Cliente_Mes!$B$2:$B$433,$A7,Desconto_Cliente_Mes!$C$2:$C$433,"Proteina"))</f>
        <v>-0</v>
      </c>
      <c r="M15" s="16" t="n">
        <f aca="false">$M$9*($M$12/100)*((IF(SUMIFS(Desconto_Cliente_Mes!$S$2:$S$433,Desconto_Cliente_Mes!$A$2:$A$433,M$7,Desconto_Cliente_Mes!$B$2:$B$433,$A7,Desconto_Cliente_Mes!$C$2:$C$433,"Proteina")="",(IF(SUMIFS(Desconto_Cliente_Mes!$R$2:$R$433,Desconto_Cliente_Mes!$A$2:$A$433,M$7,Desconto_Cliente_Mes!$B$2:$B$433,$A7,Desconto_Cliente_Mes!$C$2:$C$433,"Proteina")="",SUMIFS(Desconto_Cliente_Mes!$Q$2:$Q$433,Desconto_Cliente_Mes!$A$2:$A$433,M$7,Desconto_Cliente_Mes!$B$2:$B$433,$A7,Desconto_Cliente_Mes!$C$2:$C$433,"Proteina"),SUMIFS(Desconto_Cliente_Mes!$R$2:$R$433,Desconto_Cliente_Mes!$A$2:$A$433,M$7,Desconto_Cliente_Mes!$B$2:$B$433,$A7,Desconto_Cliente_Mes!$C$2:$C$433,"Proteina"))),SUMIFS(Desconto_Cliente_Mes!$S$2:$S$433,Desconto_Cliente_Mes!$A$2:$A$433,M$7,Desconto_Cliente_Mes!$B$2:$B$433,$A7,Desconto_Cliente_Mes!$C$2:$C$433,"Proteina")))-(IF(SUMIFS(Desconto_Cliente_Mes!$R$2:$R$433,Desconto_Cliente_Mes!$A$2:$A$433,M$7,Desconto_Cliente_Mes!$B$2:$B$433,$A7,Desconto_Cliente_Mes!$C$2:$C$433,"Proteina")="",SUMIFS(Desconto_Cliente_Mes!$Q$2:$Q$433,Desconto_Cliente_Mes!$A$2:$A$433,M$7,Desconto_Cliente_Mes!$B$2:$B$433,$A7,Desconto_Cliente_Mes!$C$2:$C$433,"Proteina"),SUMIFS(Desconto_Cliente_Mes!$R$2:$R$433,Desconto_Cliente_Mes!$A$2:$A$433,M$7,Desconto_Cliente_Mes!$B$2:$B$433,$A7,Desconto_Cliente_Mes!$C$2:$C$433,"Proteina"))))*(SUMIFS(Desconto_Cliente_Mes!$T$2:$T$433,Desconto_Cliente_Mes!$A$2:$A$433,M$7,Desconto_Cliente_Mes!$B$2:$B$433,$A7,Desconto_Cliente_Mes!$C$2:$C$433,"Proteina"))</f>
        <v>-0</v>
      </c>
      <c r="N15" s="17" t="n">
        <f aca="false">SUM(B15:M15)</f>
        <v>0</v>
      </c>
    </row>
    <row r="16" customFormat="false" ht="15" hidden="false" customHeight="false" outlineLevel="0" collapsed="false">
      <c r="A16" s="13" t="s">
        <v>82</v>
      </c>
      <c r="B16" s="16" t="n">
        <f aca="false">SUMIFS(Acerto_Detalhado!$J$2:$J$433,Acerto_Detalhado!$A$2:$A$433,B$7,Acerto_Detalhado!$B$2:$B$433,$A7,Acerto_Detalhado!$C$2:$C$433,"Proteina")</f>
        <v>0</v>
      </c>
      <c r="C16" s="16" t="n">
        <f aca="false">SUMIFS(Acerto_Detalhado!$J$2:$J$433,Acerto_Detalhado!$A$2:$A$433,C$7,Acerto_Detalhado!$B$2:$B$433,$A7,Acerto_Detalhado!$C$2:$C$433,"Proteina")</f>
        <v>61985.8830174434</v>
      </c>
      <c r="D16" s="16" t="n">
        <f aca="false">SUMIFS(Acerto_Detalhado!$J$2:$J$433,Acerto_Detalhado!$A$2:$A$433,D$7,Acerto_Detalhado!$B$2:$B$433,$A7,Acerto_Detalhado!$C$2:$C$433,"Proteina")</f>
        <v>29391.1839497411</v>
      </c>
      <c r="E16" s="16" t="n">
        <f aca="false">SUMIFS(Acerto_Detalhado!$J$2:$J$433,Acerto_Detalhado!$A$2:$A$433,E$7,Acerto_Detalhado!$B$2:$B$433,$A7,Acerto_Detalhado!$C$2:$C$433,"Proteina")</f>
        <v>0</v>
      </c>
      <c r="F16" s="16" t="n">
        <f aca="false">SUMIFS(Acerto_Detalhado!$J$2:$J$433,Acerto_Detalhado!$A$2:$A$433,F$7,Acerto_Detalhado!$B$2:$B$433,$A7,Acerto_Detalhado!$C$2:$C$433,"Proteina")</f>
        <v>0</v>
      </c>
      <c r="G16" s="16" t="n">
        <f aca="false">SUMIFS(Acerto_Detalhado!$J$2:$J$433,Acerto_Detalhado!$A$2:$A$433,G$7,Acerto_Detalhado!$B$2:$B$433,$A7,Acerto_Detalhado!$C$2:$C$433,"Proteina")</f>
        <v>0</v>
      </c>
      <c r="H16" s="16" t="n">
        <f aca="false">SUMIFS(Acerto_Detalhado!$J$2:$J$433,Acerto_Detalhado!$A$2:$A$433,H$7,Acerto_Detalhado!$B$2:$B$433,$A7,Acerto_Detalhado!$C$2:$C$433,"Proteina")</f>
        <v>0</v>
      </c>
      <c r="I16" s="16" t="n">
        <f aca="false">SUMIFS(Acerto_Detalhado!$J$2:$J$433,Acerto_Detalhado!$A$2:$A$433,I$7,Acerto_Detalhado!$B$2:$B$433,$A7,Acerto_Detalhado!$C$2:$C$433,"Proteina")</f>
        <v>0</v>
      </c>
      <c r="J16" s="16" t="n">
        <f aca="false">SUMIFS(Acerto_Detalhado!$J$2:$J$433,Acerto_Detalhado!$A$2:$A$433,J$7,Acerto_Detalhado!$B$2:$B$433,$A7,Acerto_Detalhado!$C$2:$C$433,"Proteina")</f>
        <v>0</v>
      </c>
      <c r="K16" s="16" t="n">
        <f aca="false">SUMIFS(Acerto_Detalhado!$J$2:$J$433,Acerto_Detalhado!$A$2:$A$433,K$7,Acerto_Detalhado!$B$2:$B$433,$A7,Acerto_Detalhado!$C$2:$C$433,"Proteina")</f>
        <v>0</v>
      </c>
      <c r="L16" s="16" t="n">
        <f aca="false">SUMIFS(Acerto_Detalhado!$J$2:$J$433,Acerto_Detalhado!$A$2:$A$433,L$7,Acerto_Detalhado!$B$2:$B$433,$A7,Acerto_Detalhado!$C$2:$C$433,"Proteina")</f>
        <v>0</v>
      </c>
      <c r="M16" s="16" t="n">
        <f aca="false">SUMIFS(Acerto_Detalhado!$J$2:$J$433,Acerto_Detalhado!$A$2:$A$433,M$7,Acerto_Detalhado!$B$2:$B$433,$A7,Acerto_Detalhado!$C$2:$C$433,"Proteina")</f>
        <v>0</v>
      </c>
      <c r="N16" s="17" t="n">
        <f aca="false">SUM(B16:M16)</f>
        <v>91377.0669671845</v>
      </c>
    </row>
    <row r="18" customFormat="false" ht="15" hidden="false" customHeight="false" outlineLevel="0" collapsed="false">
      <c r="A18" s="5" t="s">
        <v>59</v>
      </c>
      <c r="B18" s="6" t="s">
        <v>39</v>
      </c>
      <c r="C18" s="6" t="s">
        <v>40</v>
      </c>
      <c r="D18" s="6" t="s">
        <v>41</v>
      </c>
      <c r="E18" s="6" t="s">
        <v>42</v>
      </c>
      <c r="F18" s="6" t="s">
        <v>43</v>
      </c>
      <c r="G18" s="6" t="s">
        <v>44</v>
      </c>
      <c r="H18" s="6" t="s">
        <v>45</v>
      </c>
      <c r="I18" s="6" t="s">
        <v>46</v>
      </c>
      <c r="J18" s="6" t="s">
        <v>47</v>
      </c>
      <c r="K18" s="6" t="s">
        <v>48</v>
      </c>
      <c r="L18" s="6" t="s">
        <v>49</v>
      </c>
      <c r="M18" s="6" t="s">
        <v>50</v>
      </c>
      <c r="N18" s="6" t="s">
        <v>51</v>
      </c>
    </row>
    <row r="19" customFormat="false" ht="15" hidden="false" customHeight="false" outlineLevel="0" collapsed="false">
      <c r="A19" s="13" t="s">
        <v>74</v>
      </c>
      <c r="B19" s="10" t="str">
        <f aca="false">IF((SUMIFS(Desconto_Cliente_Mes!$D$2:$D$433,Desconto_Cliente_Mes!$A$2:$A$433,B$18,Desconto_Cliente_Mes!$B$2:$B$433,$A18,Desconto_Cliente_Mes!$C$2:$C$433,"Proteina"))=0,"",IFERROR(SUMIFS(Desconto_Cliente_Mes!$E$2:$E$433,Desconto_Cliente_Mes!$A$2:$A$433,B$18,Desconto_Cliente_Mes!$B$2:$B$433,$A18,Desconto_Cliente_Mes!$C$2:$C$433,"Proteina"),""))</f>
        <v/>
      </c>
      <c r="C19" s="10" t="n">
        <f aca="false">IF((SUMIFS(Desconto_Cliente_Mes!$D$2:$D$433,Desconto_Cliente_Mes!$A$2:$A$433,C$18,Desconto_Cliente_Mes!$B$2:$B$433,$A18,Desconto_Cliente_Mes!$C$2:$C$433,"Proteina"))=0,"",IFERROR(SUMIFS(Desconto_Cliente_Mes!$E$2:$E$433,Desconto_Cliente_Mes!$A$2:$A$433,C$18,Desconto_Cliente_Mes!$B$2:$B$433,$A18,Desconto_Cliente_Mes!$C$2:$C$433,"Proteina"),""))</f>
        <v>47.9807398503737</v>
      </c>
      <c r="D19" s="10" t="n">
        <f aca="false">IF((SUMIFS(Desconto_Cliente_Mes!$D$2:$D$433,Desconto_Cliente_Mes!$A$2:$A$433,D$18,Desconto_Cliente_Mes!$B$2:$B$433,$A18,Desconto_Cliente_Mes!$C$2:$C$433,"Proteina"))=0,"",IFERROR(SUMIFS(Desconto_Cliente_Mes!$E$2:$E$433,Desconto_Cliente_Mes!$A$2:$A$433,D$18,Desconto_Cliente_Mes!$B$2:$B$433,$A18,Desconto_Cliente_Mes!$C$2:$C$433,"Proteina"),""))</f>
        <v>47.2086670258121</v>
      </c>
      <c r="E19" s="10" t="n">
        <f aca="false">IF((SUMIFS(Desconto_Cliente_Mes!$D$2:$D$433,Desconto_Cliente_Mes!$A$2:$A$433,E$18,Desconto_Cliente_Mes!$B$2:$B$433,$A18,Desconto_Cliente_Mes!$C$2:$C$433,"Proteina"))=0,"",IFERROR(SUMIFS(Desconto_Cliente_Mes!$E$2:$E$433,Desconto_Cliente_Mes!$A$2:$A$433,E$18,Desconto_Cliente_Mes!$B$2:$B$433,$A18,Desconto_Cliente_Mes!$C$2:$C$433,"Proteina"),""))</f>
        <v>46.9693151837464</v>
      </c>
      <c r="F19" s="10" t="n">
        <f aca="false">IF((SUMIFS(Desconto_Cliente_Mes!$D$2:$D$433,Desconto_Cliente_Mes!$A$2:$A$433,F$18,Desconto_Cliente_Mes!$B$2:$B$433,$A18,Desconto_Cliente_Mes!$C$2:$C$433,"Proteina"))=0,"",IFERROR(SUMIFS(Desconto_Cliente_Mes!$E$2:$E$433,Desconto_Cliente_Mes!$A$2:$A$433,F$18,Desconto_Cliente_Mes!$B$2:$B$433,$A18,Desconto_Cliente_Mes!$C$2:$C$433,"Proteina"),""))</f>
        <v>47.7410028036077</v>
      </c>
      <c r="G19" s="10" t="n">
        <f aca="false">IF((SUMIFS(Desconto_Cliente_Mes!$D$2:$D$433,Desconto_Cliente_Mes!$A$2:$A$433,G$18,Desconto_Cliente_Mes!$B$2:$B$433,$A18,Desconto_Cliente_Mes!$C$2:$C$433,"Proteina"))=0,"",IFERROR(SUMIFS(Desconto_Cliente_Mes!$E$2:$E$433,Desconto_Cliente_Mes!$A$2:$A$433,G$18,Desconto_Cliente_Mes!$B$2:$B$433,$A18,Desconto_Cliente_Mes!$C$2:$C$433,"Proteina"),""))</f>
        <v>47.1484876652712</v>
      </c>
      <c r="H19" s="10" t="n">
        <f aca="false">IF((SUMIFS(Desconto_Cliente_Mes!$D$2:$D$433,Desconto_Cliente_Mes!$A$2:$A$433,H$18,Desconto_Cliente_Mes!$B$2:$B$433,$A18,Desconto_Cliente_Mes!$C$2:$C$433,"Proteina"))=0,"",IFERROR(SUMIFS(Desconto_Cliente_Mes!$E$2:$E$433,Desconto_Cliente_Mes!$A$2:$A$433,H$18,Desconto_Cliente_Mes!$B$2:$B$433,$A18,Desconto_Cliente_Mes!$C$2:$C$433,"Proteina"),""))</f>
        <v>47.2596707238642</v>
      </c>
      <c r="I19" s="10" t="str">
        <f aca="false">IF((SUMIFS(Desconto_Cliente_Mes!$D$2:$D$433,Desconto_Cliente_Mes!$A$2:$A$433,I$18,Desconto_Cliente_Mes!$B$2:$B$433,$A18,Desconto_Cliente_Mes!$C$2:$C$433,"Proteina"))=0,"",IFERROR(SUMIFS(Desconto_Cliente_Mes!$E$2:$E$433,Desconto_Cliente_Mes!$A$2:$A$433,I$18,Desconto_Cliente_Mes!$B$2:$B$433,$A18,Desconto_Cliente_Mes!$C$2:$C$433,"Proteina"),""))</f>
        <v/>
      </c>
      <c r="J19" s="10" t="str">
        <f aca="false">IF((SUMIFS(Desconto_Cliente_Mes!$D$2:$D$433,Desconto_Cliente_Mes!$A$2:$A$433,J$18,Desconto_Cliente_Mes!$B$2:$B$433,$A18,Desconto_Cliente_Mes!$C$2:$C$433,"Proteina"))=0,"",IFERROR(SUMIFS(Desconto_Cliente_Mes!$E$2:$E$433,Desconto_Cliente_Mes!$A$2:$A$433,J$18,Desconto_Cliente_Mes!$B$2:$B$433,$A18,Desconto_Cliente_Mes!$C$2:$C$433,"Proteina"),""))</f>
        <v/>
      </c>
      <c r="K19" s="10" t="str">
        <f aca="false">IF((SUMIFS(Desconto_Cliente_Mes!$D$2:$D$433,Desconto_Cliente_Mes!$A$2:$A$433,K$18,Desconto_Cliente_Mes!$B$2:$B$433,$A18,Desconto_Cliente_Mes!$C$2:$C$433,"Proteina"))=0,"",IFERROR(SUMIFS(Desconto_Cliente_Mes!$E$2:$E$433,Desconto_Cliente_Mes!$A$2:$A$433,K$18,Desconto_Cliente_Mes!$B$2:$B$433,$A18,Desconto_Cliente_Mes!$C$2:$C$433,"Proteina"),""))</f>
        <v/>
      </c>
      <c r="L19" s="10" t="str">
        <f aca="false">IF((SUMIFS(Desconto_Cliente_Mes!$D$2:$D$433,Desconto_Cliente_Mes!$A$2:$A$433,L$18,Desconto_Cliente_Mes!$B$2:$B$433,$A18,Desconto_Cliente_Mes!$C$2:$C$433,"Proteina"))=0,"",IFERROR(SUMIFS(Desconto_Cliente_Mes!$E$2:$E$433,Desconto_Cliente_Mes!$A$2:$A$433,L$18,Desconto_Cliente_Mes!$B$2:$B$433,$A18,Desconto_Cliente_Mes!$C$2:$C$433,"Proteina"),""))</f>
        <v/>
      </c>
      <c r="M19" s="10" t="str">
        <f aca="false">IF((SUMIFS(Desconto_Cliente_Mes!$D$2:$D$433,Desconto_Cliente_Mes!$A$2:$A$433,M$18,Desconto_Cliente_Mes!$B$2:$B$433,$A18,Desconto_Cliente_Mes!$C$2:$C$433,"Proteina"))=0,"",IFERROR(SUMIFS(Desconto_Cliente_Mes!$E$2:$E$433,Desconto_Cliente_Mes!$A$2:$A$433,M$18,Desconto_Cliente_Mes!$B$2:$B$433,$A18,Desconto_Cliente_Mes!$C$2:$C$433,"Proteina"),""))</f>
        <v/>
      </c>
      <c r="N19" s="11" t="n">
        <f aca="false">IFERROR(Media_Pool_Mes!C3,"")</f>
        <v>47.3405726705791</v>
      </c>
    </row>
    <row r="20" customFormat="false" ht="15" hidden="false" customHeight="false" outlineLevel="0" collapsed="false">
      <c r="A20" s="13" t="s">
        <v>75</v>
      </c>
      <c r="B20" s="8" t="n">
        <f aca="false">IFERROR(SUMIFS(Desconto_Cliente_Mes!$D$2:$D$433,Desconto_Cliente_Mes!$A$2:$A$433,B$18,Desconto_Cliente_Mes!$B$2:$B$433,$A18,Desconto_Cliente_Mes!$C$2:$C$433,"Proteina"),0)</f>
        <v>0</v>
      </c>
      <c r="C20" s="8" t="n">
        <f aca="false">IFERROR(SUMIFS(Desconto_Cliente_Mes!$D$2:$D$433,Desconto_Cliente_Mes!$A$2:$A$433,C$18,Desconto_Cliente_Mes!$B$2:$B$433,$A18,Desconto_Cliente_Mes!$C$2:$C$433,"Proteina"),0)</f>
        <v>30370.33</v>
      </c>
      <c r="D20" s="8" t="n">
        <f aca="false">IFERROR(SUMIFS(Desconto_Cliente_Mes!$D$2:$D$433,Desconto_Cliente_Mes!$A$2:$A$433,D$18,Desconto_Cliente_Mes!$B$2:$B$433,$A18,Desconto_Cliente_Mes!$C$2:$C$433,"Proteina"),0)</f>
        <v>9485.48</v>
      </c>
      <c r="E20" s="8" t="n">
        <f aca="false">IFERROR(SUMIFS(Desconto_Cliente_Mes!$D$2:$D$433,Desconto_Cliente_Mes!$A$2:$A$433,E$18,Desconto_Cliente_Mes!$B$2:$B$433,$A18,Desconto_Cliente_Mes!$C$2:$C$433,"Proteina"),0)</f>
        <v>62578.1</v>
      </c>
      <c r="F20" s="8" t="n">
        <f aca="false">IFERROR(SUMIFS(Desconto_Cliente_Mes!$D$2:$D$433,Desconto_Cliente_Mes!$A$2:$A$433,F$18,Desconto_Cliente_Mes!$B$2:$B$433,$A18,Desconto_Cliente_Mes!$C$2:$C$433,"Proteina"),0)</f>
        <v>53224.28</v>
      </c>
      <c r="G20" s="8" t="n">
        <f aca="false">IFERROR(SUMIFS(Desconto_Cliente_Mes!$D$2:$D$433,Desconto_Cliente_Mes!$A$2:$A$433,G$18,Desconto_Cliente_Mes!$B$2:$B$433,$A18,Desconto_Cliente_Mes!$C$2:$C$433,"Proteina"),0)</f>
        <v>41884.18</v>
      </c>
      <c r="H20" s="8" t="n">
        <f aca="false">IFERROR(SUMIFS(Desconto_Cliente_Mes!$D$2:$D$433,Desconto_Cliente_Mes!$A$2:$A$433,H$18,Desconto_Cliente_Mes!$B$2:$B$433,$A18,Desconto_Cliente_Mes!$C$2:$C$433,"Proteina"),0)</f>
        <v>101673.63</v>
      </c>
      <c r="I20" s="8" t="n">
        <f aca="false">IFERROR(SUMIFS(Desconto_Cliente_Mes!$D$2:$D$433,Desconto_Cliente_Mes!$A$2:$A$433,I$18,Desconto_Cliente_Mes!$B$2:$B$433,$A18,Desconto_Cliente_Mes!$C$2:$C$433,"Proteina"),0)</f>
        <v>0</v>
      </c>
      <c r="J20" s="8" t="n">
        <f aca="false">IFERROR(SUMIFS(Desconto_Cliente_Mes!$D$2:$D$433,Desconto_Cliente_Mes!$A$2:$A$433,J$18,Desconto_Cliente_Mes!$B$2:$B$433,$A18,Desconto_Cliente_Mes!$C$2:$C$433,"Proteina"),0)</f>
        <v>0</v>
      </c>
      <c r="K20" s="8" t="n">
        <f aca="false">IFERROR(SUMIFS(Desconto_Cliente_Mes!$D$2:$D$433,Desconto_Cliente_Mes!$A$2:$A$433,K$18,Desconto_Cliente_Mes!$B$2:$B$433,$A18,Desconto_Cliente_Mes!$C$2:$C$433,"Proteina"),0)</f>
        <v>0</v>
      </c>
      <c r="L20" s="8" t="n">
        <f aca="false">IFERROR(SUMIFS(Desconto_Cliente_Mes!$D$2:$D$433,Desconto_Cliente_Mes!$A$2:$A$433,L$18,Desconto_Cliente_Mes!$B$2:$B$433,$A18,Desconto_Cliente_Mes!$C$2:$C$433,"Proteina"),0)</f>
        <v>0</v>
      </c>
      <c r="M20" s="8" t="n">
        <f aca="false">IFERROR(SUMIFS(Desconto_Cliente_Mes!$D$2:$D$433,Desconto_Cliente_Mes!$A$2:$A$433,M$18,Desconto_Cliente_Mes!$B$2:$B$433,$A18,Desconto_Cliente_Mes!$C$2:$C$433,"Proteina"),0)</f>
        <v>0</v>
      </c>
      <c r="N20" s="9" t="n">
        <f aca="false">SUM(B20:M20)</f>
        <v>299216</v>
      </c>
    </row>
    <row r="21" customFormat="false" ht="15" hidden="false" customHeight="false" outlineLevel="0" collapsed="false">
      <c r="A21" s="13" t="s">
        <v>76</v>
      </c>
      <c r="B21" s="15" t="n">
        <f aca="false">MAX(0,(SUMIFS(Desconto_Cliente_Mes!$L$2:$L$433,Desconto_Cliente_Mes!$A$2:$A$433,B$18,Desconto_Cliente_Mes!$B$2:$B$433,$A18,Desconto_Cliente_Mes!$C$2:$C$433,"Proteina"))-(SUMIFS(Desconto_Cliente_Mes!$N$2:$N$433,Desconto_Cliente_Mes!$A$2:$A$433,B$18,Desconto_Cliente_Mes!$B$2:$B$433,$A18,Desconto_Cliente_Mes!$C$2:$C$433,"Proteina")))</f>
        <v>0</v>
      </c>
      <c r="C21" s="15" t="n">
        <f aca="false">MAX(0,(SUMIFS(Desconto_Cliente_Mes!$L$2:$L$433,Desconto_Cliente_Mes!$A$2:$A$433,C$18,Desconto_Cliente_Mes!$B$2:$B$433,$A18,Desconto_Cliente_Mes!$C$2:$C$433,"Proteina"))-(SUMIFS(Desconto_Cliente_Mes!$N$2:$N$433,Desconto_Cliente_Mes!$A$2:$A$433,C$18,Desconto_Cliente_Mes!$B$2:$B$433,$A18,Desconto_Cliente_Mes!$C$2:$C$433,"Proteina")))</f>
        <v>0</v>
      </c>
      <c r="D21" s="15" t="n">
        <f aca="false">MAX(0,(SUMIFS(Desconto_Cliente_Mes!$L$2:$L$433,Desconto_Cliente_Mes!$A$2:$A$433,D$18,Desconto_Cliente_Mes!$B$2:$B$433,$A18,Desconto_Cliente_Mes!$C$2:$C$433,"Proteina"))-(SUMIFS(Desconto_Cliente_Mes!$N$2:$N$433,Desconto_Cliente_Mes!$A$2:$A$433,D$18,Desconto_Cliente_Mes!$B$2:$B$433,$A18,Desconto_Cliente_Mes!$C$2:$C$433,"Proteina")))</f>
        <v>0.131905644767024</v>
      </c>
      <c r="E21" s="15" t="n">
        <f aca="false">MAX(0,(SUMIFS(Desconto_Cliente_Mes!$L$2:$L$433,Desconto_Cliente_Mes!$A$2:$A$433,E$18,Desconto_Cliente_Mes!$B$2:$B$433,$A18,Desconto_Cliente_Mes!$C$2:$C$433,"Proteina"))-(SUMIFS(Desconto_Cliente_Mes!$N$2:$N$433,Desconto_Cliente_Mes!$A$2:$A$433,E$18,Desconto_Cliente_Mes!$B$2:$B$433,$A18,Desconto_Cliente_Mes!$C$2:$C$433,"Proteina")))</f>
        <v>0.340572670579114</v>
      </c>
      <c r="F21" s="15" t="n">
        <f aca="false">MAX(0,(SUMIFS(Desconto_Cliente_Mes!$L$2:$L$433,Desconto_Cliente_Mes!$A$2:$A$433,F$18,Desconto_Cliente_Mes!$B$2:$B$433,$A18,Desconto_Cliente_Mes!$C$2:$C$433,"Proteina"))-(SUMIFS(Desconto_Cliente_Mes!$N$2:$N$433,Desconto_Cliente_Mes!$A$2:$A$433,F$18,Desconto_Cliente_Mes!$B$2:$B$433,$A18,Desconto_Cliente_Mes!$C$2:$C$433,"Proteina")))</f>
        <v>0</v>
      </c>
      <c r="G21" s="15" t="n">
        <f aca="false">MAX(0,(SUMIFS(Desconto_Cliente_Mes!$L$2:$L$433,Desconto_Cliente_Mes!$A$2:$A$433,G$18,Desconto_Cliente_Mes!$B$2:$B$433,$A18,Desconto_Cliente_Mes!$C$2:$C$433,"Proteina"))-(SUMIFS(Desconto_Cliente_Mes!$N$2:$N$433,Desconto_Cliente_Mes!$A$2:$A$433,G$18,Desconto_Cliente_Mes!$B$2:$B$433,$A18,Desconto_Cliente_Mes!$C$2:$C$433,"Proteina")))</f>
        <v>0.192085005307881</v>
      </c>
      <c r="H21" s="15" t="n">
        <f aca="false">MAX(0,(SUMIFS(Desconto_Cliente_Mes!$L$2:$L$433,Desconto_Cliente_Mes!$A$2:$A$433,H$18,Desconto_Cliente_Mes!$B$2:$B$433,$A18,Desconto_Cliente_Mes!$C$2:$C$433,"Proteina"))-(SUMIFS(Desconto_Cliente_Mes!$N$2:$N$433,Desconto_Cliente_Mes!$A$2:$A$433,H$18,Desconto_Cliente_Mes!$B$2:$B$433,$A18,Desconto_Cliente_Mes!$C$2:$C$433,"Proteina")))</f>
        <v>0.0809019467149241</v>
      </c>
      <c r="I21" s="15" t="n">
        <f aca="false">MAX(0,(SUMIFS(Desconto_Cliente_Mes!$L$2:$L$433,Desconto_Cliente_Mes!$A$2:$A$433,I$18,Desconto_Cliente_Mes!$B$2:$B$433,$A18,Desconto_Cliente_Mes!$C$2:$C$433,"Proteina"))-(SUMIFS(Desconto_Cliente_Mes!$N$2:$N$433,Desconto_Cliente_Mes!$A$2:$A$433,I$18,Desconto_Cliente_Mes!$B$2:$B$433,$A18,Desconto_Cliente_Mes!$C$2:$C$433,"Proteina")))</f>
        <v>0</v>
      </c>
      <c r="J21" s="15" t="n">
        <f aca="false">MAX(0,(SUMIFS(Desconto_Cliente_Mes!$L$2:$L$433,Desconto_Cliente_Mes!$A$2:$A$433,J$18,Desconto_Cliente_Mes!$B$2:$B$433,$A18,Desconto_Cliente_Mes!$C$2:$C$433,"Proteina"))-(SUMIFS(Desconto_Cliente_Mes!$N$2:$N$433,Desconto_Cliente_Mes!$A$2:$A$433,J$18,Desconto_Cliente_Mes!$B$2:$B$433,$A18,Desconto_Cliente_Mes!$C$2:$C$433,"Proteina")))</f>
        <v>0</v>
      </c>
      <c r="K21" s="15" t="n">
        <f aca="false">MAX(0,(SUMIFS(Desconto_Cliente_Mes!$L$2:$L$433,Desconto_Cliente_Mes!$A$2:$A$433,K$18,Desconto_Cliente_Mes!$B$2:$B$433,$A18,Desconto_Cliente_Mes!$C$2:$C$433,"Proteina"))-(SUMIFS(Desconto_Cliente_Mes!$N$2:$N$433,Desconto_Cliente_Mes!$A$2:$A$433,K$18,Desconto_Cliente_Mes!$B$2:$B$433,$A18,Desconto_Cliente_Mes!$C$2:$C$433,"Proteina")))</f>
        <v>0</v>
      </c>
      <c r="L21" s="15" t="n">
        <f aca="false">MAX(0,(SUMIFS(Desconto_Cliente_Mes!$L$2:$L$433,Desconto_Cliente_Mes!$A$2:$A$433,L$18,Desconto_Cliente_Mes!$B$2:$B$433,$A18,Desconto_Cliente_Mes!$C$2:$C$433,"Proteina"))-(SUMIFS(Desconto_Cliente_Mes!$N$2:$N$433,Desconto_Cliente_Mes!$A$2:$A$433,L$18,Desconto_Cliente_Mes!$B$2:$B$433,$A18,Desconto_Cliente_Mes!$C$2:$C$433,"Proteina")))</f>
        <v>0</v>
      </c>
      <c r="M21" s="15" t="n">
        <f aca="false">MAX(0,(SUMIFS(Desconto_Cliente_Mes!$L$2:$L$433,Desconto_Cliente_Mes!$A$2:$A$433,M$18,Desconto_Cliente_Mes!$B$2:$B$433,$A18,Desconto_Cliente_Mes!$C$2:$C$433,"Proteina"))-(SUMIFS(Desconto_Cliente_Mes!$N$2:$N$433,Desconto_Cliente_Mes!$A$2:$A$433,M$18,Desconto_Cliente_Mes!$B$2:$B$433,$A18,Desconto_Cliente_Mes!$C$2:$C$433,"Proteina")))</f>
        <v>0</v>
      </c>
    </row>
    <row r="22" customFormat="false" ht="15" hidden="false" customHeight="false" outlineLevel="0" collapsed="false">
      <c r="A22" s="13" t="s">
        <v>77</v>
      </c>
      <c r="B22" s="15" t="n">
        <f aca="false">MAX(0,(SUMIFS(Desconto_Cliente_Mes!$N$2:$N$433,Desconto_Cliente_Mes!$A$2:$A$433,B$18,Desconto_Cliente_Mes!$B$2:$B$433,$A18,Desconto_Cliente_Mes!$C$2:$C$433,"Proteina"))-(SUMIFS(Desconto_Cliente_Mes!$P$2:$P$433,Desconto_Cliente_Mes!$A$2:$A$433,B$18,Desconto_Cliente_Mes!$B$2:$B$433,$A18,Desconto_Cliente_Mes!$C$2:$C$433,"Proteina")))</f>
        <v>0</v>
      </c>
      <c r="C22" s="15" t="n">
        <f aca="false">MAX(0,(SUMIFS(Desconto_Cliente_Mes!$N$2:$N$433,Desconto_Cliente_Mes!$A$2:$A$433,C$18,Desconto_Cliente_Mes!$B$2:$B$433,$A18,Desconto_Cliente_Mes!$C$2:$C$433,"Proteina"))-(SUMIFS(Desconto_Cliente_Mes!$P$2:$P$433,Desconto_Cliente_Mes!$A$2:$A$433,C$18,Desconto_Cliente_Mes!$B$2:$B$433,$A18,Desconto_Cliente_Mes!$C$2:$C$433,"Proteina")))</f>
        <v>0</v>
      </c>
      <c r="D22" s="15" t="n">
        <f aca="false">MAX(0,(SUMIFS(Desconto_Cliente_Mes!$N$2:$N$433,Desconto_Cliente_Mes!$A$2:$A$433,D$18,Desconto_Cliente_Mes!$B$2:$B$433,$A18,Desconto_Cliente_Mes!$C$2:$C$433,"Proteina"))-(SUMIFS(Desconto_Cliente_Mes!$P$2:$P$433,Desconto_Cliente_Mes!$A$2:$A$433,D$18,Desconto_Cliente_Mes!$B$2:$B$433,$A18,Desconto_Cliente_Mes!$C$2:$C$433,"Proteina")))</f>
        <v>0</v>
      </c>
      <c r="E22" s="15" t="n">
        <f aca="false">MAX(0,(SUMIFS(Desconto_Cliente_Mes!$N$2:$N$433,Desconto_Cliente_Mes!$A$2:$A$433,E$18,Desconto_Cliente_Mes!$B$2:$B$433,$A18,Desconto_Cliente_Mes!$C$2:$C$433,"Proteina"))-(SUMIFS(Desconto_Cliente_Mes!$P$2:$P$433,Desconto_Cliente_Mes!$A$2:$A$433,E$18,Desconto_Cliente_Mes!$B$2:$B$433,$A18,Desconto_Cliente_Mes!$C$2:$C$433,"Proteina")))</f>
        <v>0.0306848162536113</v>
      </c>
      <c r="F22" s="15" t="n">
        <f aca="false">MAX(0,(SUMIFS(Desconto_Cliente_Mes!$N$2:$N$433,Desconto_Cliente_Mes!$A$2:$A$433,F$18,Desconto_Cliente_Mes!$B$2:$B$433,$A18,Desconto_Cliente_Mes!$C$2:$C$433,"Proteina"))-(SUMIFS(Desconto_Cliente_Mes!$P$2:$P$433,Desconto_Cliente_Mes!$A$2:$A$433,F$18,Desconto_Cliente_Mes!$B$2:$B$433,$A18,Desconto_Cliente_Mes!$C$2:$C$433,"Proteina")))</f>
        <v>0</v>
      </c>
      <c r="G22" s="15" t="n">
        <f aca="false">MAX(0,(SUMIFS(Desconto_Cliente_Mes!$N$2:$N$433,Desconto_Cliente_Mes!$A$2:$A$433,G$18,Desconto_Cliente_Mes!$B$2:$B$433,$A18,Desconto_Cliente_Mes!$C$2:$C$433,"Proteina"))-(SUMIFS(Desconto_Cliente_Mes!$P$2:$P$433,Desconto_Cliente_Mes!$A$2:$A$433,G$18,Desconto_Cliente_Mes!$B$2:$B$433,$A18,Desconto_Cliente_Mes!$C$2:$C$433,"Proteina")))</f>
        <v>0</v>
      </c>
      <c r="H22" s="15" t="n">
        <f aca="false">MAX(0,(SUMIFS(Desconto_Cliente_Mes!$N$2:$N$433,Desconto_Cliente_Mes!$A$2:$A$433,H$18,Desconto_Cliente_Mes!$B$2:$B$433,$A18,Desconto_Cliente_Mes!$C$2:$C$433,"Proteina"))-(SUMIFS(Desconto_Cliente_Mes!$P$2:$P$433,Desconto_Cliente_Mes!$A$2:$A$433,H$18,Desconto_Cliente_Mes!$B$2:$B$433,$A18,Desconto_Cliente_Mes!$C$2:$C$433,"Proteina")))</f>
        <v>0</v>
      </c>
      <c r="I22" s="15" t="n">
        <f aca="false">MAX(0,(SUMIFS(Desconto_Cliente_Mes!$N$2:$N$433,Desconto_Cliente_Mes!$A$2:$A$433,I$18,Desconto_Cliente_Mes!$B$2:$B$433,$A18,Desconto_Cliente_Mes!$C$2:$C$433,"Proteina"))-(SUMIFS(Desconto_Cliente_Mes!$P$2:$P$433,Desconto_Cliente_Mes!$A$2:$A$433,I$18,Desconto_Cliente_Mes!$B$2:$B$433,$A18,Desconto_Cliente_Mes!$C$2:$C$433,"Proteina")))</f>
        <v>0</v>
      </c>
      <c r="J22" s="15" t="n">
        <f aca="false">MAX(0,(SUMIFS(Desconto_Cliente_Mes!$N$2:$N$433,Desconto_Cliente_Mes!$A$2:$A$433,J$18,Desconto_Cliente_Mes!$B$2:$B$433,$A18,Desconto_Cliente_Mes!$C$2:$C$433,"Proteina"))-(SUMIFS(Desconto_Cliente_Mes!$P$2:$P$433,Desconto_Cliente_Mes!$A$2:$A$433,J$18,Desconto_Cliente_Mes!$B$2:$B$433,$A18,Desconto_Cliente_Mes!$C$2:$C$433,"Proteina")))</f>
        <v>0</v>
      </c>
      <c r="K22" s="15" t="n">
        <f aca="false">MAX(0,(SUMIFS(Desconto_Cliente_Mes!$N$2:$N$433,Desconto_Cliente_Mes!$A$2:$A$433,K$18,Desconto_Cliente_Mes!$B$2:$B$433,$A18,Desconto_Cliente_Mes!$C$2:$C$433,"Proteina"))-(SUMIFS(Desconto_Cliente_Mes!$P$2:$P$433,Desconto_Cliente_Mes!$A$2:$A$433,K$18,Desconto_Cliente_Mes!$B$2:$B$433,$A18,Desconto_Cliente_Mes!$C$2:$C$433,"Proteina")))</f>
        <v>0</v>
      </c>
      <c r="L22" s="15" t="n">
        <f aca="false">MAX(0,(SUMIFS(Desconto_Cliente_Mes!$N$2:$N$433,Desconto_Cliente_Mes!$A$2:$A$433,L$18,Desconto_Cliente_Mes!$B$2:$B$433,$A18,Desconto_Cliente_Mes!$C$2:$C$433,"Proteina"))-(SUMIFS(Desconto_Cliente_Mes!$P$2:$P$433,Desconto_Cliente_Mes!$A$2:$A$433,L$18,Desconto_Cliente_Mes!$B$2:$B$433,$A18,Desconto_Cliente_Mes!$C$2:$C$433,"Proteina")))</f>
        <v>0</v>
      </c>
      <c r="M22" s="15" t="n">
        <f aca="false">MAX(0,(SUMIFS(Desconto_Cliente_Mes!$N$2:$N$433,Desconto_Cliente_Mes!$A$2:$A$433,M$18,Desconto_Cliente_Mes!$B$2:$B$433,$A18,Desconto_Cliente_Mes!$C$2:$C$433,"Proteina"))-(SUMIFS(Desconto_Cliente_Mes!$P$2:$P$433,Desconto_Cliente_Mes!$A$2:$A$433,M$18,Desconto_Cliente_Mes!$B$2:$B$433,$A18,Desconto_Cliente_Mes!$C$2:$C$433,"Proteina")))</f>
        <v>0</v>
      </c>
    </row>
    <row r="23" customFormat="false" ht="15" hidden="false" customHeight="false" outlineLevel="0" collapsed="false">
      <c r="A23" s="13" t="s">
        <v>78</v>
      </c>
      <c r="B23" s="15" t="n">
        <f aca="false">MAX(0,SUMIFS(Desconto_Cliente_Mes!$P$2:$P$433,Desconto_Cliente_Mes!$A$2:$A$433,B$18,Desconto_Cliente_Mes!$B$2:$B$433,$A18,Desconto_Cliente_Mes!$C$2:$C$433,"Proteina"))</f>
        <v>0</v>
      </c>
      <c r="C23" s="15" t="n">
        <f aca="false">MAX(0,SUMIFS(Desconto_Cliente_Mes!$P$2:$P$433,Desconto_Cliente_Mes!$A$2:$A$433,C$18,Desconto_Cliente_Mes!$B$2:$B$433,$A18,Desconto_Cliente_Mes!$C$2:$C$433,"Proteina"))</f>
        <v>0</v>
      </c>
      <c r="D23" s="15" t="n">
        <f aca="false">MAX(0,SUMIFS(Desconto_Cliente_Mes!$P$2:$P$433,Desconto_Cliente_Mes!$A$2:$A$433,D$18,Desconto_Cliente_Mes!$B$2:$B$433,$A18,Desconto_Cliente_Mes!$C$2:$C$433,"Proteina"))</f>
        <v>0</v>
      </c>
      <c r="E23" s="15" t="n">
        <f aca="false">MAX(0,SUMIFS(Desconto_Cliente_Mes!$P$2:$P$433,Desconto_Cliente_Mes!$A$2:$A$433,E$18,Desconto_Cliente_Mes!$B$2:$B$433,$A18,Desconto_Cliente_Mes!$C$2:$C$433,"Proteina"))</f>
        <v>0</v>
      </c>
      <c r="F23" s="15" t="n">
        <f aca="false">MAX(0,SUMIFS(Desconto_Cliente_Mes!$P$2:$P$433,Desconto_Cliente_Mes!$A$2:$A$433,F$18,Desconto_Cliente_Mes!$B$2:$B$433,$A18,Desconto_Cliente_Mes!$C$2:$C$433,"Proteina"))</f>
        <v>0</v>
      </c>
      <c r="G23" s="15" t="n">
        <f aca="false">MAX(0,SUMIFS(Desconto_Cliente_Mes!$P$2:$P$433,Desconto_Cliente_Mes!$A$2:$A$433,G$18,Desconto_Cliente_Mes!$B$2:$B$433,$A18,Desconto_Cliente_Mes!$C$2:$C$433,"Proteina"))</f>
        <v>0</v>
      </c>
      <c r="H23" s="15" t="n">
        <f aca="false">MAX(0,SUMIFS(Desconto_Cliente_Mes!$P$2:$P$433,Desconto_Cliente_Mes!$A$2:$A$433,H$18,Desconto_Cliente_Mes!$B$2:$B$433,$A18,Desconto_Cliente_Mes!$C$2:$C$433,"Proteina"))</f>
        <v>0</v>
      </c>
      <c r="I23" s="15" t="n">
        <f aca="false">MAX(0,SUMIFS(Desconto_Cliente_Mes!$P$2:$P$433,Desconto_Cliente_Mes!$A$2:$A$433,I$18,Desconto_Cliente_Mes!$B$2:$B$433,$A18,Desconto_Cliente_Mes!$C$2:$C$433,"Proteina"))</f>
        <v>0</v>
      </c>
      <c r="J23" s="15" t="n">
        <f aca="false">MAX(0,SUMIFS(Desconto_Cliente_Mes!$P$2:$P$433,Desconto_Cliente_Mes!$A$2:$A$433,J$18,Desconto_Cliente_Mes!$B$2:$B$433,$A18,Desconto_Cliente_Mes!$C$2:$C$433,"Proteina"))</f>
        <v>0</v>
      </c>
      <c r="K23" s="15" t="n">
        <f aca="false">MAX(0,SUMIFS(Desconto_Cliente_Mes!$P$2:$P$433,Desconto_Cliente_Mes!$A$2:$A$433,K$18,Desconto_Cliente_Mes!$B$2:$B$433,$A18,Desconto_Cliente_Mes!$C$2:$C$433,"Proteina"))</f>
        <v>0</v>
      </c>
      <c r="L23" s="15" t="n">
        <f aca="false">MAX(0,SUMIFS(Desconto_Cliente_Mes!$P$2:$P$433,Desconto_Cliente_Mes!$A$2:$A$433,L$18,Desconto_Cliente_Mes!$B$2:$B$433,$A18,Desconto_Cliente_Mes!$C$2:$C$433,"Proteina"))</f>
        <v>0</v>
      </c>
      <c r="M23" s="15" t="n">
        <f aca="false">MAX(0,SUMIFS(Desconto_Cliente_Mes!$P$2:$P$433,Desconto_Cliente_Mes!$A$2:$A$433,M$18,Desconto_Cliente_Mes!$B$2:$B$433,$A18,Desconto_Cliente_Mes!$C$2:$C$433,"Proteina"))</f>
        <v>0</v>
      </c>
    </row>
    <row r="24" customFormat="false" ht="15" hidden="false" customHeight="false" outlineLevel="0" collapsed="false">
      <c r="A24" s="13" t="s">
        <v>79</v>
      </c>
      <c r="B24" s="16" t="n">
        <f aca="false">$B$20*($B$21/100)*(SUMIFS(Desconto_Cliente_Mes!$Q$2:$Q$433,Desconto_Cliente_Mes!$A$2:$A$433,B$18,Desconto_Cliente_Mes!$B$2:$B$433,$A18,Desconto_Cliente_Mes!$C$2:$C$433,"Proteina"))*(SUMIFS(Desconto_Cliente_Mes!$T$2:$T$433,Desconto_Cliente_Mes!$A$2:$A$433,B$18,Desconto_Cliente_Mes!$B$2:$B$433,$A18,Desconto_Cliente_Mes!$C$2:$C$433,"Proteina"))</f>
        <v>0</v>
      </c>
      <c r="C24" s="16" t="n">
        <f aca="false">$C$20*($C$21/100)*(SUMIFS(Desconto_Cliente_Mes!$Q$2:$Q$433,Desconto_Cliente_Mes!$A$2:$A$433,C$18,Desconto_Cliente_Mes!$B$2:$B$433,$A18,Desconto_Cliente_Mes!$C$2:$C$433,"Proteina"))*(SUMIFS(Desconto_Cliente_Mes!$T$2:$T$433,Desconto_Cliente_Mes!$A$2:$A$433,C$18,Desconto_Cliente_Mes!$B$2:$B$433,$A18,Desconto_Cliente_Mes!$C$2:$C$433,"Proteina"))</f>
        <v>0</v>
      </c>
      <c r="D24" s="16" t="n">
        <f aca="false">$D$20*($D$21/100)*(SUMIFS(Desconto_Cliente_Mes!$Q$2:$Q$433,Desconto_Cliente_Mes!$A$2:$A$433,D$18,Desconto_Cliente_Mes!$B$2:$B$433,$A18,Desconto_Cliente_Mes!$C$2:$C$433,"Proteina"))*(SUMIFS(Desconto_Cliente_Mes!$T$2:$T$433,Desconto_Cliente_Mes!$A$2:$A$433,D$18,Desconto_Cliente_Mes!$B$2:$B$433,$A18,Desconto_Cliente_Mes!$C$2:$C$433,"Proteina"))</f>
        <v>4892.1464693196</v>
      </c>
      <c r="E24" s="16" t="n">
        <f aca="false">$E$20*($E$21/100)*(SUMIFS(Desconto_Cliente_Mes!$Q$2:$Q$433,Desconto_Cliente_Mes!$A$2:$A$433,E$18,Desconto_Cliente_Mes!$B$2:$B$433,$A18,Desconto_Cliente_Mes!$C$2:$C$433,"Proteina"))*(SUMIFS(Desconto_Cliente_Mes!$T$2:$T$433,Desconto_Cliente_Mes!$A$2:$A$433,E$18,Desconto_Cliente_Mes!$B$2:$B$433,$A18,Desconto_Cliente_Mes!$C$2:$C$433,"Proteina"))</f>
        <v>83331.4473897584</v>
      </c>
      <c r="F24" s="16" t="n">
        <f aca="false">$F$20*($F$21/100)*(SUMIFS(Desconto_Cliente_Mes!$Q$2:$Q$433,Desconto_Cliente_Mes!$A$2:$A$433,F$18,Desconto_Cliente_Mes!$B$2:$B$433,$A18,Desconto_Cliente_Mes!$C$2:$C$433,"Proteina"))*(SUMIFS(Desconto_Cliente_Mes!$T$2:$T$433,Desconto_Cliente_Mes!$A$2:$A$433,F$18,Desconto_Cliente_Mes!$B$2:$B$433,$A18,Desconto_Cliente_Mes!$C$2:$C$433,"Proteina"))</f>
        <v>0</v>
      </c>
      <c r="G24" s="16" t="n">
        <f aca="false">$G$20*($G$21/100)*(SUMIFS(Desconto_Cliente_Mes!$Q$2:$Q$433,Desconto_Cliente_Mes!$A$2:$A$433,G$18,Desconto_Cliente_Mes!$B$2:$B$433,$A18,Desconto_Cliente_Mes!$C$2:$C$433,"Proteina"))*(SUMIFS(Desconto_Cliente_Mes!$T$2:$T$433,Desconto_Cliente_Mes!$A$2:$A$433,G$18,Desconto_Cliente_Mes!$B$2:$B$433,$A18,Desconto_Cliente_Mes!$C$2:$C$433,"Proteina"))</f>
        <v>31457.2126860795</v>
      </c>
      <c r="H24" s="16" t="n">
        <f aca="false">$H$20*($H$21/100)*(SUMIFS(Desconto_Cliente_Mes!$Q$2:$Q$433,Desconto_Cliente_Mes!$A$2:$A$433,H$18,Desconto_Cliente_Mes!$B$2:$B$433,$A18,Desconto_Cliente_Mes!$C$2:$C$433,"Proteina"))*(SUMIFS(Desconto_Cliente_Mes!$T$2:$T$433,Desconto_Cliente_Mes!$A$2:$A$433,H$18,Desconto_Cliente_Mes!$B$2:$B$433,$A18,Desconto_Cliente_Mes!$C$2:$C$433,"Proteina"))</f>
        <v>32162.0748726001</v>
      </c>
      <c r="I24" s="16" t="n">
        <f aca="false">$I$20*($I$21/100)*(SUMIFS(Desconto_Cliente_Mes!$Q$2:$Q$433,Desconto_Cliente_Mes!$A$2:$A$433,I$18,Desconto_Cliente_Mes!$B$2:$B$433,$A18,Desconto_Cliente_Mes!$C$2:$C$433,"Proteina"))*(SUMIFS(Desconto_Cliente_Mes!$T$2:$T$433,Desconto_Cliente_Mes!$A$2:$A$433,I$18,Desconto_Cliente_Mes!$B$2:$B$433,$A18,Desconto_Cliente_Mes!$C$2:$C$433,"Proteina"))</f>
        <v>0</v>
      </c>
      <c r="J24" s="16" t="n">
        <f aca="false">$J$20*($J$21/100)*(SUMIFS(Desconto_Cliente_Mes!$Q$2:$Q$433,Desconto_Cliente_Mes!$A$2:$A$433,J$18,Desconto_Cliente_Mes!$B$2:$B$433,$A18,Desconto_Cliente_Mes!$C$2:$C$433,"Proteina"))*(SUMIFS(Desconto_Cliente_Mes!$T$2:$T$433,Desconto_Cliente_Mes!$A$2:$A$433,J$18,Desconto_Cliente_Mes!$B$2:$B$433,$A18,Desconto_Cliente_Mes!$C$2:$C$433,"Proteina"))</f>
        <v>0</v>
      </c>
      <c r="K24" s="16" t="n">
        <f aca="false">$K$20*($K$21/100)*(SUMIFS(Desconto_Cliente_Mes!$Q$2:$Q$433,Desconto_Cliente_Mes!$A$2:$A$433,K$18,Desconto_Cliente_Mes!$B$2:$B$433,$A18,Desconto_Cliente_Mes!$C$2:$C$433,"Proteina"))*(SUMIFS(Desconto_Cliente_Mes!$T$2:$T$433,Desconto_Cliente_Mes!$A$2:$A$433,K$18,Desconto_Cliente_Mes!$B$2:$B$433,$A18,Desconto_Cliente_Mes!$C$2:$C$433,"Proteina"))</f>
        <v>0</v>
      </c>
      <c r="L24" s="16" t="n">
        <f aca="false">$L$20*($L$21/100)*(SUMIFS(Desconto_Cliente_Mes!$Q$2:$Q$433,Desconto_Cliente_Mes!$A$2:$A$433,L$18,Desconto_Cliente_Mes!$B$2:$B$433,$A18,Desconto_Cliente_Mes!$C$2:$C$433,"Proteina"))*(SUMIFS(Desconto_Cliente_Mes!$T$2:$T$433,Desconto_Cliente_Mes!$A$2:$A$433,L$18,Desconto_Cliente_Mes!$B$2:$B$433,$A18,Desconto_Cliente_Mes!$C$2:$C$433,"Proteina"))</f>
        <v>0</v>
      </c>
      <c r="M24" s="16" t="n">
        <f aca="false">$M$20*($M$21/100)*(SUMIFS(Desconto_Cliente_Mes!$Q$2:$Q$433,Desconto_Cliente_Mes!$A$2:$A$433,M$18,Desconto_Cliente_Mes!$B$2:$B$433,$A18,Desconto_Cliente_Mes!$C$2:$C$433,"Proteina"))*(SUMIFS(Desconto_Cliente_Mes!$T$2:$T$433,Desconto_Cliente_Mes!$A$2:$A$433,M$18,Desconto_Cliente_Mes!$B$2:$B$433,$A18,Desconto_Cliente_Mes!$C$2:$C$433,"Proteina"))</f>
        <v>0</v>
      </c>
      <c r="N24" s="17" t="n">
        <f aca="false">SUM(B24:M24)</f>
        <v>151842.881417758</v>
      </c>
    </row>
    <row r="25" customFormat="false" ht="15" hidden="false" customHeight="false" outlineLevel="0" collapsed="false">
      <c r="A25" s="13" t="s">
        <v>80</v>
      </c>
      <c r="B25" s="16" t="n">
        <f aca="false">$B$20*($B$22/100)*((IF(SUMIFS(Desconto_Cliente_Mes!$R$2:$R$433,Desconto_Cliente_Mes!$A$2:$A$433,B$18,Desconto_Cliente_Mes!$B$2:$B$433,$A18,Desconto_Cliente_Mes!$C$2:$C$433,"Proteina")="",SUMIFS(Desconto_Cliente_Mes!$Q$2:$Q$433,Desconto_Cliente_Mes!$A$2:$A$433,B$18,Desconto_Cliente_Mes!$B$2:$B$433,$A18,Desconto_Cliente_Mes!$C$2:$C$433,"Proteina"),SUMIFS(Desconto_Cliente_Mes!$R$2:$R$433,Desconto_Cliente_Mes!$A$2:$A$433,B$18,Desconto_Cliente_Mes!$B$2:$B$433,$A18,Desconto_Cliente_Mes!$C$2:$C$433,"Proteina")))-(SUMIFS(Desconto_Cliente_Mes!$Q$2:$Q$433,Desconto_Cliente_Mes!$A$2:$A$433,B$18,Desconto_Cliente_Mes!$B$2:$B$433,$A18,Desconto_Cliente_Mes!$C$2:$C$433,"Proteina")))*(SUMIFS(Desconto_Cliente_Mes!$T$2:$T$433,Desconto_Cliente_Mes!$A$2:$A$433,B$18,Desconto_Cliente_Mes!$B$2:$B$433,$A18,Desconto_Cliente_Mes!$C$2:$C$433,"Proteina"))</f>
        <v>0</v>
      </c>
      <c r="C25" s="16" t="n">
        <f aca="false">$C$20*($C$22/100)*((IF(SUMIFS(Desconto_Cliente_Mes!$R$2:$R$433,Desconto_Cliente_Mes!$A$2:$A$433,C$18,Desconto_Cliente_Mes!$B$2:$B$433,$A18,Desconto_Cliente_Mes!$C$2:$C$433,"Proteina")="",SUMIFS(Desconto_Cliente_Mes!$Q$2:$Q$433,Desconto_Cliente_Mes!$A$2:$A$433,C$18,Desconto_Cliente_Mes!$B$2:$B$433,$A18,Desconto_Cliente_Mes!$C$2:$C$433,"Proteina"),SUMIFS(Desconto_Cliente_Mes!$R$2:$R$433,Desconto_Cliente_Mes!$A$2:$A$433,C$18,Desconto_Cliente_Mes!$B$2:$B$433,$A18,Desconto_Cliente_Mes!$C$2:$C$433,"Proteina")))-(SUMIFS(Desconto_Cliente_Mes!$Q$2:$Q$433,Desconto_Cliente_Mes!$A$2:$A$433,C$18,Desconto_Cliente_Mes!$B$2:$B$433,$A18,Desconto_Cliente_Mes!$C$2:$C$433,"Proteina")))*(SUMIFS(Desconto_Cliente_Mes!$T$2:$T$433,Desconto_Cliente_Mes!$A$2:$A$433,C$18,Desconto_Cliente_Mes!$B$2:$B$433,$A18,Desconto_Cliente_Mes!$C$2:$C$433,"Proteina"))</f>
        <v>0</v>
      </c>
      <c r="D25" s="16" t="n">
        <f aca="false">$D$20*($D$22/100)*((IF(SUMIFS(Desconto_Cliente_Mes!$R$2:$R$433,Desconto_Cliente_Mes!$A$2:$A$433,D$18,Desconto_Cliente_Mes!$B$2:$B$433,$A18,Desconto_Cliente_Mes!$C$2:$C$433,"Proteina")="",SUMIFS(Desconto_Cliente_Mes!$Q$2:$Q$433,Desconto_Cliente_Mes!$A$2:$A$433,D$18,Desconto_Cliente_Mes!$B$2:$B$433,$A18,Desconto_Cliente_Mes!$C$2:$C$433,"Proteina"),SUMIFS(Desconto_Cliente_Mes!$R$2:$R$433,Desconto_Cliente_Mes!$A$2:$A$433,D$18,Desconto_Cliente_Mes!$B$2:$B$433,$A18,Desconto_Cliente_Mes!$C$2:$C$433,"Proteina")))-(SUMIFS(Desconto_Cliente_Mes!$Q$2:$Q$433,Desconto_Cliente_Mes!$A$2:$A$433,D$18,Desconto_Cliente_Mes!$B$2:$B$433,$A18,Desconto_Cliente_Mes!$C$2:$C$433,"Proteina")))*(SUMIFS(Desconto_Cliente_Mes!$T$2:$T$433,Desconto_Cliente_Mes!$A$2:$A$433,D$18,Desconto_Cliente_Mes!$B$2:$B$433,$A18,Desconto_Cliente_Mes!$C$2:$C$433,"Proteina"))</f>
        <v>0</v>
      </c>
      <c r="E25" s="16" t="n">
        <f aca="false">$E$20*($E$22/100)*((IF(SUMIFS(Desconto_Cliente_Mes!$R$2:$R$433,Desconto_Cliente_Mes!$A$2:$A$433,E$18,Desconto_Cliente_Mes!$B$2:$B$433,$A18,Desconto_Cliente_Mes!$C$2:$C$433,"Proteina")="",SUMIFS(Desconto_Cliente_Mes!$Q$2:$Q$433,Desconto_Cliente_Mes!$A$2:$A$433,E$18,Desconto_Cliente_Mes!$B$2:$B$433,$A18,Desconto_Cliente_Mes!$C$2:$C$433,"Proteina"),SUMIFS(Desconto_Cliente_Mes!$R$2:$R$433,Desconto_Cliente_Mes!$A$2:$A$433,E$18,Desconto_Cliente_Mes!$B$2:$B$433,$A18,Desconto_Cliente_Mes!$C$2:$C$433,"Proteina")))-(SUMIFS(Desconto_Cliente_Mes!$Q$2:$Q$433,Desconto_Cliente_Mes!$A$2:$A$433,E$18,Desconto_Cliente_Mes!$B$2:$B$433,$A18,Desconto_Cliente_Mes!$C$2:$C$433,"Proteina")))*(SUMIFS(Desconto_Cliente_Mes!$T$2:$T$433,Desconto_Cliente_Mes!$A$2:$A$433,E$18,Desconto_Cliente_Mes!$B$2:$B$433,$A18,Desconto_Cliente_Mes!$C$2:$C$433,"Proteina"))</f>
        <v>7507.97222500044</v>
      </c>
      <c r="F25" s="16" t="n">
        <f aca="false">$F$20*($F$22/100)*((IF(SUMIFS(Desconto_Cliente_Mes!$R$2:$R$433,Desconto_Cliente_Mes!$A$2:$A$433,F$18,Desconto_Cliente_Mes!$B$2:$B$433,$A18,Desconto_Cliente_Mes!$C$2:$C$433,"Proteina")="",SUMIFS(Desconto_Cliente_Mes!$Q$2:$Q$433,Desconto_Cliente_Mes!$A$2:$A$433,F$18,Desconto_Cliente_Mes!$B$2:$B$433,$A18,Desconto_Cliente_Mes!$C$2:$C$433,"Proteina"),SUMIFS(Desconto_Cliente_Mes!$R$2:$R$433,Desconto_Cliente_Mes!$A$2:$A$433,F$18,Desconto_Cliente_Mes!$B$2:$B$433,$A18,Desconto_Cliente_Mes!$C$2:$C$433,"Proteina")))-(SUMIFS(Desconto_Cliente_Mes!$Q$2:$Q$433,Desconto_Cliente_Mes!$A$2:$A$433,F$18,Desconto_Cliente_Mes!$B$2:$B$433,$A18,Desconto_Cliente_Mes!$C$2:$C$433,"Proteina")))*(SUMIFS(Desconto_Cliente_Mes!$T$2:$T$433,Desconto_Cliente_Mes!$A$2:$A$433,F$18,Desconto_Cliente_Mes!$B$2:$B$433,$A18,Desconto_Cliente_Mes!$C$2:$C$433,"Proteina"))</f>
        <v>0</v>
      </c>
      <c r="G25" s="16" t="n">
        <f aca="false">$G$20*($G$22/100)*((IF(SUMIFS(Desconto_Cliente_Mes!$R$2:$R$433,Desconto_Cliente_Mes!$A$2:$A$433,G$18,Desconto_Cliente_Mes!$B$2:$B$433,$A18,Desconto_Cliente_Mes!$C$2:$C$433,"Proteina")="",SUMIFS(Desconto_Cliente_Mes!$Q$2:$Q$433,Desconto_Cliente_Mes!$A$2:$A$433,G$18,Desconto_Cliente_Mes!$B$2:$B$433,$A18,Desconto_Cliente_Mes!$C$2:$C$433,"Proteina"),SUMIFS(Desconto_Cliente_Mes!$R$2:$R$433,Desconto_Cliente_Mes!$A$2:$A$433,G$18,Desconto_Cliente_Mes!$B$2:$B$433,$A18,Desconto_Cliente_Mes!$C$2:$C$433,"Proteina")))-(SUMIFS(Desconto_Cliente_Mes!$Q$2:$Q$433,Desconto_Cliente_Mes!$A$2:$A$433,G$18,Desconto_Cliente_Mes!$B$2:$B$433,$A18,Desconto_Cliente_Mes!$C$2:$C$433,"Proteina")))*(SUMIFS(Desconto_Cliente_Mes!$T$2:$T$433,Desconto_Cliente_Mes!$A$2:$A$433,G$18,Desconto_Cliente_Mes!$B$2:$B$433,$A18,Desconto_Cliente_Mes!$C$2:$C$433,"Proteina"))</f>
        <v>0</v>
      </c>
      <c r="H25" s="16" t="n">
        <f aca="false">$H$20*($H$22/100)*((IF(SUMIFS(Desconto_Cliente_Mes!$R$2:$R$433,Desconto_Cliente_Mes!$A$2:$A$433,H$18,Desconto_Cliente_Mes!$B$2:$B$433,$A18,Desconto_Cliente_Mes!$C$2:$C$433,"Proteina")="",SUMIFS(Desconto_Cliente_Mes!$Q$2:$Q$433,Desconto_Cliente_Mes!$A$2:$A$433,H$18,Desconto_Cliente_Mes!$B$2:$B$433,$A18,Desconto_Cliente_Mes!$C$2:$C$433,"Proteina"),SUMIFS(Desconto_Cliente_Mes!$R$2:$R$433,Desconto_Cliente_Mes!$A$2:$A$433,H$18,Desconto_Cliente_Mes!$B$2:$B$433,$A18,Desconto_Cliente_Mes!$C$2:$C$433,"Proteina")))-(SUMIFS(Desconto_Cliente_Mes!$Q$2:$Q$433,Desconto_Cliente_Mes!$A$2:$A$433,H$18,Desconto_Cliente_Mes!$B$2:$B$433,$A18,Desconto_Cliente_Mes!$C$2:$C$433,"Proteina")))*(SUMIFS(Desconto_Cliente_Mes!$T$2:$T$433,Desconto_Cliente_Mes!$A$2:$A$433,H$18,Desconto_Cliente_Mes!$B$2:$B$433,$A18,Desconto_Cliente_Mes!$C$2:$C$433,"Proteina"))</f>
        <v>0</v>
      </c>
      <c r="I25" s="16" t="n">
        <f aca="false">$I$20*($I$22/100)*((IF(SUMIFS(Desconto_Cliente_Mes!$R$2:$R$433,Desconto_Cliente_Mes!$A$2:$A$433,I$18,Desconto_Cliente_Mes!$B$2:$B$433,$A18,Desconto_Cliente_Mes!$C$2:$C$433,"Proteina")="",SUMIFS(Desconto_Cliente_Mes!$Q$2:$Q$433,Desconto_Cliente_Mes!$A$2:$A$433,I$18,Desconto_Cliente_Mes!$B$2:$B$433,$A18,Desconto_Cliente_Mes!$C$2:$C$433,"Proteina"),SUMIFS(Desconto_Cliente_Mes!$R$2:$R$433,Desconto_Cliente_Mes!$A$2:$A$433,I$18,Desconto_Cliente_Mes!$B$2:$B$433,$A18,Desconto_Cliente_Mes!$C$2:$C$433,"Proteina")))-(SUMIFS(Desconto_Cliente_Mes!$Q$2:$Q$433,Desconto_Cliente_Mes!$A$2:$A$433,I$18,Desconto_Cliente_Mes!$B$2:$B$433,$A18,Desconto_Cliente_Mes!$C$2:$C$433,"Proteina")))*(SUMIFS(Desconto_Cliente_Mes!$T$2:$T$433,Desconto_Cliente_Mes!$A$2:$A$433,I$18,Desconto_Cliente_Mes!$B$2:$B$433,$A18,Desconto_Cliente_Mes!$C$2:$C$433,"Proteina"))</f>
        <v>0</v>
      </c>
      <c r="J25" s="16" t="n">
        <f aca="false">$J$20*($J$22/100)*((IF(SUMIFS(Desconto_Cliente_Mes!$R$2:$R$433,Desconto_Cliente_Mes!$A$2:$A$433,J$18,Desconto_Cliente_Mes!$B$2:$B$433,$A18,Desconto_Cliente_Mes!$C$2:$C$433,"Proteina")="",SUMIFS(Desconto_Cliente_Mes!$Q$2:$Q$433,Desconto_Cliente_Mes!$A$2:$A$433,J$18,Desconto_Cliente_Mes!$B$2:$B$433,$A18,Desconto_Cliente_Mes!$C$2:$C$433,"Proteina"),SUMIFS(Desconto_Cliente_Mes!$R$2:$R$433,Desconto_Cliente_Mes!$A$2:$A$433,J$18,Desconto_Cliente_Mes!$B$2:$B$433,$A18,Desconto_Cliente_Mes!$C$2:$C$433,"Proteina")))-(SUMIFS(Desconto_Cliente_Mes!$Q$2:$Q$433,Desconto_Cliente_Mes!$A$2:$A$433,J$18,Desconto_Cliente_Mes!$B$2:$B$433,$A18,Desconto_Cliente_Mes!$C$2:$C$433,"Proteina")))*(SUMIFS(Desconto_Cliente_Mes!$T$2:$T$433,Desconto_Cliente_Mes!$A$2:$A$433,J$18,Desconto_Cliente_Mes!$B$2:$B$433,$A18,Desconto_Cliente_Mes!$C$2:$C$433,"Proteina"))</f>
        <v>0</v>
      </c>
      <c r="K25" s="16" t="n">
        <f aca="false">$K$20*($K$22/100)*((IF(SUMIFS(Desconto_Cliente_Mes!$R$2:$R$433,Desconto_Cliente_Mes!$A$2:$A$433,K$18,Desconto_Cliente_Mes!$B$2:$B$433,$A18,Desconto_Cliente_Mes!$C$2:$C$433,"Proteina")="",SUMIFS(Desconto_Cliente_Mes!$Q$2:$Q$433,Desconto_Cliente_Mes!$A$2:$A$433,K$18,Desconto_Cliente_Mes!$B$2:$B$433,$A18,Desconto_Cliente_Mes!$C$2:$C$433,"Proteina"),SUMIFS(Desconto_Cliente_Mes!$R$2:$R$433,Desconto_Cliente_Mes!$A$2:$A$433,K$18,Desconto_Cliente_Mes!$B$2:$B$433,$A18,Desconto_Cliente_Mes!$C$2:$C$433,"Proteina")))-(SUMIFS(Desconto_Cliente_Mes!$Q$2:$Q$433,Desconto_Cliente_Mes!$A$2:$A$433,K$18,Desconto_Cliente_Mes!$B$2:$B$433,$A18,Desconto_Cliente_Mes!$C$2:$C$433,"Proteina")))*(SUMIFS(Desconto_Cliente_Mes!$T$2:$T$433,Desconto_Cliente_Mes!$A$2:$A$433,K$18,Desconto_Cliente_Mes!$B$2:$B$433,$A18,Desconto_Cliente_Mes!$C$2:$C$433,"Proteina"))</f>
        <v>0</v>
      </c>
      <c r="L25" s="16" t="n">
        <f aca="false">$L$20*($L$22/100)*((IF(SUMIFS(Desconto_Cliente_Mes!$R$2:$R$433,Desconto_Cliente_Mes!$A$2:$A$433,L$18,Desconto_Cliente_Mes!$B$2:$B$433,$A18,Desconto_Cliente_Mes!$C$2:$C$433,"Proteina")="",SUMIFS(Desconto_Cliente_Mes!$Q$2:$Q$433,Desconto_Cliente_Mes!$A$2:$A$433,L$18,Desconto_Cliente_Mes!$B$2:$B$433,$A18,Desconto_Cliente_Mes!$C$2:$C$433,"Proteina"),SUMIFS(Desconto_Cliente_Mes!$R$2:$R$433,Desconto_Cliente_Mes!$A$2:$A$433,L$18,Desconto_Cliente_Mes!$B$2:$B$433,$A18,Desconto_Cliente_Mes!$C$2:$C$433,"Proteina")))-(SUMIFS(Desconto_Cliente_Mes!$Q$2:$Q$433,Desconto_Cliente_Mes!$A$2:$A$433,L$18,Desconto_Cliente_Mes!$B$2:$B$433,$A18,Desconto_Cliente_Mes!$C$2:$C$433,"Proteina")))*(SUMIFS(Desconto_Cliente_Mes!$T$2:$T$433,Desconto_Cliente_Mes!$A$2:$A$433,L$18,Desconto_Cliente_Mes!$B$2:$B$433,$A18,Desconto_Cliente_Mes!$C$2:$C$433,"Proteina"))</f>
        <v>0</v>
      </c>
      <c r="M25" s="16" t="n">
        <f aca="false">$M$20*($M$22/100)*((IF(SUMIFS(Desconto_Cliente_Mes!$R$2:$R$433,Desconto_Cliente_Mes!$A$2:$A$433,M$18,Desconto_Cliente_Mes!$B$2:$B$433,$A18,Desconto_Cliente_Mes!$C$2:$C$433,"Proteina")="",SUMIFS(Desconto_Cliente_Mes!$Q$2:$Q$433,Desconto_Cliente_Mes!$A$2:$A$433,M$18,Desconto_Cliente_Mes!$B$2:$B$433,$A18,Desconto_Cliente_Mes!$C$2:$C$433,"Proteina"),SUMIFS(Desconto_Cliente_Mes!$R$2:$R$433,Desconto_Cliente_Mes!$A$2:$A$433,M$18,Desconto_Cliente_Mes!$B$2:$B$433,$A18,Desconto_Cliente_Mes!$C$2:$C$433,"Proteina")))-(SUMIFS(Desconto_Cliente_Mes!$Q$2:$Q$433,Desconto_Cliente_Mes!$A$2:$A$433,M$18,Desconto_Cliente_Mes!$B$2:$B$433,$A18,Desconto_Cliente_Mes!$C$2:$C$433,"Proteina")))*(SUMIFS(Desconto_Cliente_Mes!$T$2:$T$433,Desconto_Cliente_Mes!$A$2:$A$433,M$18,Desconto_Cliente_Mes!$B$2:$B$433,$A18,Desconto_Cliente_Mes!$C$2:$C$433,"Proteina"))</f>
        <v>0</v>
      </c>
      <c r="N25" s="17" t="n">
        <f aca="false">SUM(B25:M25)</f>
        <v>7507.97222500044</v>
      </c>
    </row>
    <row r="26" customFormat="false" ht="15" hidden="false" customHeight="false" outlineLevel="0" collapsed="false">
      <c r="A26" s="13" t="s">
        <v>81</v>
      </c>
      <c r="B26" s="16" t="n">
        <f aca="false">$B$20*($B$23/100)*((IF(SUMIFS(Desconto_Cliente_Mes!$S$2:$S$433,Desconto_Cliente_Mes!$A$2:$A$433,B$18,Desconto_Cliente_Mes!$B$2:$B$433,$A18,Desconto_Cliente_Mes!$C$2:$C$433,"Proteina")="",(IF(SUMIFS(Desconto_Cliente_Mes!$R$2:$R$433,Desconto_Cliente_Mes!$A$2:$A$433,B$18,Desconto_Cliente_Mes!$B$2:$B$433,$A18,Desconto_Cliente_Mes!$C$2:$C$433,"Proteina")="",SUMIFS(Desconto_Cliente_Mes!$Q$2:$Q$433,Desconto_Cliente_Mes!$A$2:$A$433,B$18,Desconto_Cliente_Mes!$B$2:$B$433,$A18,Desconto_Cliente_Mes!$C$2:$C$433,"Proteina"),SUMIFS(Desconto_Cliente_Mes!$R$2:$R$433,Desconto_Cliente_Mes!$A$2:$A$433,B$18,Desconto_Cliente_Mes!$B$2:$B$433,$A18,Desconto_Cliente_Mes!$C$2:$C$433,"Proteina"))),SUMIFS(Desconto_Cliente_Mes!$S$2:$S$433,Desconto_Cliente_Mes!$A$2:$A$433,B$18,Desconto_Cliente_Mes!$B$2:$B$433,$A18,Desconto_Cliente_Mes!$C$2:$C$433,"Proteina")))-(IF(SUMIFS(Desconto_Cliente_Mes!$R$2:$R$433,Desconto_Cliente_Mes!$A$2:$A$433,B$18,Desconto_Cliente_Mes!$B$2:$B$433,$A18,Desconto_Cliente_Mes!$C$2:$C$433,"Proteina")="",SUMIFS(Desconto_Cliente_Mes!$Q$2:$Q$433,Desconto_Cliente_Mes!$A$2:$A$433,B$18,Desconto_Cliente_Mes!$B$2:$B$433,$A18,Desconto_Cliente_Mes!$C$2:$C$433,"Proteina"),SUMIFS(Desconto_Cliente_Mes!$R$2:$R$433,Desconto_Cliente_Mes!$A$2:$A$433,B$18,Desconto_Cliente_Mes!$B$2:$B$433,$A18,Desconto_Cliente_Mes!$C$2:$C$433,"Proteina"))))*(SUMIFS(Desconto_Cliente_Mes!$T$2:$T$433,Desconto_Cliente_Mes!$A$2:$A$433,B$18,Desconto_Cliente_Mes!$B$2:$B$433,$A18,Desconto_Cliente_Mes!$C$2:$C$433,"Proteina"))</f>
        <v>-0</v>
      </c>
      <c r="C26" s="16" t="n">
        <f aca="false">$C$20*($C$23/100)*((IF(SUMIFS(Desconto_Cliente_Mes!$S$2:$S$433,Desconto_Cliente_Mes!$A$2:$A$433,C$18,Desconto_Cliente_Mes!$B$2:$B$433,$A18,Desconto_Cliente_Mes!$C$2:$C$433,"Proteina")="",(IF(SUMIFS(Desconto_Cliente_Mes!$R$2:$R$433,Desconto_Cliente_Mes!$A$2:$A$433,C$18,Desconto_Cliente_Mes!$B$2:$B$433,$A18,Desconto_Cliente_Mes!$C$2:$C$433,"Proteina")="",SUMIFS(Desconto_Cliente_Mes!$Q$2:$Q$433,Desconto_Cliente_Mes!$A$2:$A$433,C$18,Desconto_Cliente_Mes!$B$2:$B$433,$A18,Desconto_Cliente_Mes!$C$2:$C$433,"Proteina"),SUMIFS(Desconto_Cliente_Mes!$R$2:$R$433,Desconto_Cliente_Mes!$A$2:$A$433,C$18,Desconto_Cliente_Mes!$B$2:$B$433,$A18,Desconto_Cliente_Mes!$C$2:$C$433,"Proteina"))),SUMIFS(Desconto_Cliente_Mes!$S$2:$S$433,Desconto_Cliente_Mes!$A$2:$A$433,C$18,Desconto_Cliente_Mes!$B$2:$B$433,$A18,Desconto_Cliente_Mes!$C$2:$C$433,"Proteina")))-(IF(SUMIFS(Desconto_Cliente_Mes!$R$2:$R$433,Desconto_Cliente_Mes!$A$2:$A$433,C$18,Desconto_Cliente_Mes!$B$2:$B$433,$A18,Desconto_Cliente_Mes!$C$2:$C$433,"Proteina")="",SUMIFS(Desconto_Cliente_Mes!$Q$2:$Q$433,Desconto_Cliente_Mes!$A$2:$A$433,C$18,Desconto_Cliente_Mes!$B$2:$B$433,$A18,Desconto_Cliente_Mes!$C$2:$C$433,"Proteina"),SUMIFS(Desconto_Cliente_Mes!$R$2:$R$433,Desconto_Cliente_Mes!$A$2:$A$433,C$18,Desconto_Cliente_Mes!$B$2:$B$433,$A18,Desconto_Cliente_Mes!$C$2:$C$433,"Proteina"))))*(SUMIFS(Desconto_Cliente_Mes!$T$2:$T$433,Desconto_Cliente_Mes!$A$2:$A$433,C$18,Desconto_Cliente_Mes!$B$2:$B$433,$A18,Desconto_Cliente_Mes!$C$2:$C$433,"Proteina"))</f>
        <v>-0</v>
      </c>
      <c r="D26" s="16" t="n">
        <f aca="false">$D$20*($D$23/100)*((IF(SUMIFS(Desconto_Cliente_Mes!$S$2:$S$433,Desconto_Cliente_Mes!$A$2:$A$433,D$18,Desconto_Cliente_Mes!$B$2:$B$433,$A18,Desconto_Cliente_Mes!$C$2:$C$433,"Proteina")="",(IF(SUMIFS(Desconto_Cliente_Mes!$R$2:$R$433,Desconto_Cliente_Mes!$A$2:$A$433,D$18,Desconto_Cliente_Mes!$B$2:$B$433,$A18,Desconto_Cliente_Mes!$C$2:$C$433,"Proteina")="",SUMIFS(Desconto_Cliente_Mes!$Q$2:$Q$433,Desconto_Cliente_Mes!$A$2:$A$433,D$18,Desconto_Cliente_Mes!$B$2:$B$433,$A18,Desconto_Cliente_Mes!$C$2:$C$433,"Proteina"),SUMIFS(Desconto_Cliente_Mes!$R$2:$R$433,Desconto_Cliente_Mes!$A$2:$A$433,D$18,Desconto_Cliente_Mes!$B$2:$B$433,$A18,Desconto_Cliente_Mes!$C$2:$C$433,"Proteina"))),SUMIFS(Desconto_Cliente_Mes!$S$2:$S$433,Desconto_Cliente_Mes!$A$2:$A$433,D$18,Desconto_Cliente_Mes!$B$2:$B$433,$A18,Desconto_Cliente_Mes!$C$2:$C$433,"Proteina")))-(IF(SUMIFS(Desconto_Cliente_Mes!$R$2:$R$433,Desconto_Cliente_Mes!$A$2:$A$433,D$18,Desconto_Cliente_Mes!$B$2:$B$433,$A18,Desconto_Cliente_Mes!$C$2:$C$433,"Proteina")="",SUMIFS(Desconto_Cliente_Mes!$Q$2:$Q$433,Desconto_Cliente_Mes!$A$2:$A$433,D$18,Desconto_Cliente_Mes!$B$2:$B$433,$A18,Desconto_Cliente_Mes!$C$2:$C$433,"Proteina"),SUMIFS(Desconto_Cliente_Mes!$R$2:$R$433,Desconto_Cliente_Mes!$A$2:$A$433,D$18,Desconto_Cliente_Mes!$B$2:$B$433,$A18,Desconto_Cliente_Mes!$C$2:$C$433,"Proteina"))))*(SUMIFS(Desconto_Cliente_Mes!$T$2:$T$433,Desconto_Cliente_Mes!$A$2:$A$433,D$18,Desconto_Cliente_Mes!$B$2:$B$433,$A18,Desconto_Cliente_Mes!$C$2:$C$433,"Proteina"))</f>
        <v>-0</v>
      </c>
      <c r="E26" s="16" t="n">
        <f aca="false">$E$20*($E$23/100)*((IF(SUMIFS(Desconto_Cliente_Mes!$S$2:$S$433,Desconto_Cliente_Mes!$A$2:$A$433,E$18,Desconto_Cliente_Mes!$B$2:$B$433,$A18,Desconto_Cliente_Mes!$C$2:$C$433,"Proteina")="",(IF(SUMIFS(Desconto_Cliente_Mes!$R$2:$R$433,Desconto_Cliente_Mes!$A$2:$A$433,E$18,Desconto_Cliente_Mes!$B$2:$B$433,$A18,Desconto_Cliente_Mes!$C$2:$C$433,"Proteina")="",SUMIFS(Desconto_Cliente_Mes!$Q$2:$Q$433,Desconto_Cliente_Mes!$A$2:$A$433,E$18,Desconto_Cliente_Mes!$B$2:$B$433,$A18,Desconto_Cliente_Mes!$C$2:$C$433,"Proteina"),SUMIFS(Desconto_Cliente_Mes!$R$2:$R$433,Desconto_Cliente_Mes!$A$2:$A$433,E$18,Desconto_Cliente_Mes!$B$2:$B$433,$A18,Desconto_Cliente_Mes!$C$2:$C$433,"Proteina"))),SUMIFS(Desconto_Cliente_Mes!$S$2:$S$433,Desconto_Cliente_Mes!$A$2:$A$433,E$18,Desconto_Cliente_Mes!$B$2:$B$433,$A18,Desconto_Cliente_Mes!$C$2:$C$433,"Proteina")))-(IF(SUMIFS(Desconto_Cliente_Mes!$R$2:$R$433,Desconto_Cliente_Mes!$A$2:$A$433,E$18,Desconto_Cliente_Mes!$B$2:$B$433,$A18,Desconto_Cliente_Mes!$C$2:$C$433,"Proteina")="",SUMIFS(Desconto_Cliente_Mes!$Q$2:$Q$433,Desconto_Cliente_Mes!$A$2:$A$433,E$18,Desconto_Cliente_Mes!$B$2:$B$433,$A18,Desconto_Cliente_Mes!$C$2:$C$433,"Proteina"),SUMIFS(Desconto_Cliente_Mes!$R$2:$R$433,Desconto_Cliente_Mes!$A$2:$A$433,E$18,Desconto_Cliente_Mes!$B$2:$B$433,$A18,Desconto_Cliente_Mes!$C$2:$C$433,"Proteina"))))*(SUMIFS(Desconto_Cliente_Mes!$T$2:$T$433,Desconto_Cliente_Mes!$A$2:$A$433,E$18,Desconto_Cliente_Mes!$B$2:$B$433,$A18,Desconto_Cliente_Mes!$C$2:$C$433,"Proteina"))</f>
        <v>-0</v>
      </c>
      <c r="F26" s="16" t="n">
        <f aca="false">$F$20*($F$23/100)*((IF(SUMIFS(Desconto_Cliente_Mes!$S$2:$S$433,Desconto_Cliente_Mes!$A$2:$A$433,F$18,Desconto_Cliente_Mes!$B$2:$B$433,$A18,Desconto_Cliente_Mes!$C$2:$C$433,"Proteina")="",(IF(SUMIFS(Desconto_Cliente_Mes!$R$2:$R$433,Desconto_Cliente_Mes!$A$2:$A$433,F$18,Desconto_Cliente_Mes!$B$2:$B$433,$A18,Desconto_Cliente_Mes!$C$2:$C$433,"Proteina")="",SUMIFS(Desconto_Cliente_Mes!$Q$2:$Q$433,Desconto_Cliente_Mes!$A$2:$A$433,F$18,Desconto_Cliente_Mes!$B$2:$B$433,$A18,Desconto_Cliente_Mes!$C$2:$C$433,"Proteina"),SUMIFS(Desconto_Cliente_Mes!$R$2:$R$433,Desconto_Cliente_Mes!$A$2:$A$433,F$18,Desconto_Cliente_Mes!$B$2:$B$433,$A18,Desconto_Cliente_Mes!$C$2:$C$433,"Proteina"))),SUMIFS(Desconto_Cliente_Mes!$S$2:$S$433,Desconto_Cliente_Mes!$A$2:$A$433,F$18,Desconto_Cliente_Mes!$B$2:$B$433,$A18,Desconto_Cliente_Mes!$C$2:$C$433,"Proteina")))-(IF(SUMIFS(Desconto_Cliente_Mes!$R$2:$R$433,Desconto_Cliente_Mes!$A$2:$A$433,F$18,Desconto_Cliente_Mes!$B$2:$B$433,$A18,Desconto_Cliente_Mes!$C$2:$C$433,"Proteina")="",SUMIFS(Desconto_Cliente_Mes!$Q$2:$Q$433,Desconto_Cliente_Mes!$A$2:$A$433,F$18,Desconto_Cliente_Mes!$B$2:$B$433,$A18,Desconto_Cliente_Mes!$C$2:$C$433,"Proteina"),SUMIFS(Desconto_Cliente_Mes!$R$2:$R$433,Desconto_Cliente_Mes!$A$2:$A$433,F$18,Desconto_Cliente_Mes!$B$2:$B$433,$A18,Desconto_Cliente_Mes!$C$2:$C$433,"Proteina"))))*(SUMIFS(Desconto_Cliente_Mes!$T$2:$T$433,Desconto_Cliente_Mes!$A$2:$A$433,F$18,Desconto_Cliente_Mes!$B$2:$B$433,$A18,Desconto_Cliente_Mes!$C$2:$C$433,"Proteina"))</f>
        <v>-0</v>
      </c>
      <c r="G26" s="16" t="n">
        <f aca="false">$G$20*($G$23/100)*((IF(SUMIFS(Desconto_Cliente_Mes!$S$2:$S$433,Desconto_Cliente_Mes!$A$2:$A$433,G$18,Desconto_Cliente_Mes!$B$2:$B$433,$A18,Desconto_Cliente_Mes!$C$2:$C$433,"Proteina")="",(IF(SUMIFS(Desconto_Cliente_Mes!$R$2:$R$433,Desconto_Cliente_Mes!$A$2:$A$433,G$18,Desconto_Cliente_Mes!$B$2:$B$433,$A18,Desconto_Cliente_Mes!$C$2:$C$433,"Proteina")="",SUMIFS(Desconto_Cliente_Mes!$Q$2:$Q$433,Desconto_Cliente_Mes!$A$2:$A$433,G$18,Desconto_Cliente_Mes!$B$2:$B$433,$A18,Desconto_Cliente_Mes!$C$2:$C$433,"Proteina"),SUMIFS(Desconto_Cliente_Mes!$R$2:$R$433,Desconto_Cliente_Mes!$A$2:$A$433,G$18,Desconto_Cliente_Mes!$B$2:$B$433,$A18,Desconto_Cliente_Mes!$C$2:$C$433,"Proteina"))),SUMIFS(Desconto_Cliente_Mes!$S$2:$S$433,Desconto_Cliente_Mes!$A$2:$A$433,G$18,Desconto_Cliente_Mes!$B$2:$B$433,$A18,Desconto_Cliente_Mes!$C$2:$C$433,"Proteina")))-(IF(SUMIFS(Desconto_Cliente_Mes!$R$2:$R$433,Desconto_Cliente_Mes!$A$2:$A$433,G$18,Desconto_Cliente_Mes!$B$2:$B$433,$A18,Desconto_Cliente_Mes!$C$2:$C$433,"Proteina")="",SUMIFS(Desconto_Cliente_Mes!$Q$2:$Q$433,Desconto_Cliente_Mes!$A$2:$A$433,G$18,Desconto_Cliente_Mes!$B$2:$B$433,$A18,Desconto_Cliente_Mes!$C$2:$C$433,"Proteina"),SUMIFS(Desconto_Cliente_Mes!$R$2:$R$433,Desconto_Cliente_Mes!$A$2:$A$433,G$18,Desconto_Cliente_Mes!$B$2:$B$433,$A18,Desconto_Cliente_Mes!$C$2:$C$433,"Proteina"))))*(SUMIFS(Desconto_Cliente_Mes!$T$2:$T$433,Desconto_Cliente_Mes!$A$2:$A$433,G$18,Desconto_Cliente_Mes!$B$2:$B$433,$A18,Desconto_Cliente_Mes!$C$2:$C$433,"Proteina"))</f>
        <v>-0</v>
      </c>
      <c r="H26" s="16" t="n">
        <f aca="false">$H$20*($H$23/100)*((IF(SUMIFS(Desconto_Cliente_Mes!$S$2:$S$433,Desconto_Cliente_Mes!$A$2:$A$433,H$18,Desconto_Cliente_Mes!$B$2:$B$433,$A18,Desconto_Cliente_Mes!$C$2:$C$433,"Proteina")="",(IF(SUMIFS(Desconto_Cliente_Mes!$R$2:$R$433,Desconto_Cliente_Mes!$A$2:$A$433,H$18,Desconto_Cliente_Mes!$B$2:$B$433,$A18,Desconto_Cliente_Mes!$C$2:$C$433,"Proteina")="",SUMIFS(Desconto_Cliente_Mes!$Q$2:$Q$433,Desconto_Cliente_Mes!$A$2:$A$433,H$18,Desconto_Cliente_Mes!$B$2:$B$433,$A18,Desconto_Cliente_Mes!$C$2:$C$433,"Proteina"),SUMIFS(Desconto_Cliente_Mes!$R$2:$R$433,Desconto_Cliente_Mes!$A$2:$A$433,H$18,Desconto_Cliente_Mes!$B$2:$B$433,$A18,Desconto_Cliente_Mes!$C$2:$C$433,"Proteina"))),SUMIFS(Desconto_Cliente_Mes!$S$2:$S$433,Desconto_Cliente_Mes!$A$2:$A$433,H$18,Desconto_Cliente_Mes!$B$2:$B$433,$A18,Desconto_Cliente_Mes!$C$2:$C$433,"Proteina")))-(IF(SUMIFS(Desconto_Cliente_Mes!$R$2:$R$433,Desconto_Cliente_Mes!$A$2:$A$433,H$18,Desconto_Cliente_Mes!$B$2:$B$433,$A18,Desconto_Cliente_Mes!$C$2:$C$433,"Proteina")="",SUMIFS(Desconto_Cliente_Mes!$Q$2:$Q$433,Desconto_Cliente_Mes!$A$2:$A$433,H$18,Desconto_Cliente_Mes!$B$2:$B$433,$A18,Desconto_Cliente_Mes!$C$2:$C$433,"Proteina"),SUMIFS(Desconto_Cliente_Mes!$R$2:$R$433,Desconto_Cliente_Mes!$A$2:$A$433,H$18,Desconto_Cliente_Mes!$B$2:$B$433,$A18,Desconto_Cliente_Mes!$C$2:$C$433,"Proteina"))))*(SUMIFS(Desconto_Cliente_Mes!$T$2:$T$433,Desconto_Cliente_Mes!$A$2:$A$433,H$18,Desconto_Cliente_Mes!$B$2:$B$433,$A18,Desconto_Cliente_Mes!$C$2:$C$433,"Proteina"))</f>
        <v>-0</v>
      </c>
      <c r="I26" s="16" t="n">
        <f aca="false">$I$20*($I$23/100)*((IF(SUMIFS(Desconto_Cliente_Mes!$S$2:$S$433,Desconto_Cliente_Mes!$A$2:$A$433,I$18,Desconto_Cliente_Mes!$B$2:$B$433,$A18,Desconto_Cliente_Mes!$C$2:$C$433,"Proteina")="",(IF(SUMIFS(Desconto_Cliente_Mes!$R$2:$R$433,Desconto_Cliente_Mes!$A$2:$A$433,I$18,Desconto_Cliente_Mes!$B$2:$B$433,$A18,Desconto_Cliente_Mes!$C$2:$C$433,"Proteina")="",SUMIFS(Desconto_Cliente_Mes!$Q$2:$Q$433,Desconto_Cliente_Mes!$A$2:$A$433,I$18,Desconto_Cliente_Mes!$B$2:$B$433,$A18,Desconto_Cliente_Mes!$C$2:$C$433,"Proteina"),SUMIFS(Desconto_Cliente_Mes!$R$2:$R$433,Desconto_Cliente_Mes!$A$2:$A$433,I$18,Desconto_Cliente_Mes!$B$2:$B$433,$A18,Desconto_Cliente_Mes!$C$2:$C$433,"Proteina"))),SUMIFS(Desconto_Cliente_Mes!$S$2:$S$433,Desconto_Cliente_Mes!$A$2:$A$433,I$18,Desconto_Cliente_Mes!$B$2:$B$433,$A18,Desconto_Cliente_Mes!$C$2:$C$433,"Proteina")))-(IF(SUMIFS(Desconto_Cliente_Mes!$R$2:$R$433,Desconto_Cliente_Mes!$A$2:$A$433,I$18,Desconto_Cliente_Mes!$B$2:$B$433,$A18,Desconto_Cliente_Mes!$C$2:$C$433,"Proteina")="",SUMIFS(Desconto_Cliente_Mes!$Q$2:$Q$433,Desconto_Cliente_Mes!$A$2:$A$433,I$18,Desconto_Cliente_Mes!$B$2:$B$433,$A18,Desconto_Cliente_Mes!$C$2:$C$433,"Proteina"),SUMIFS(Desconto_Cliente_Mes!$R$2:$R$433,Desconto_Cliente_Mes!$A$2:$A$433,I$18,Desconto_Cliente_Mes!$B$2:$B$433,$A18,Desconto_Cliente_Mes!$C$2:$C$433,"Proteina"))))*(SUMIFS(Desconto_Cliente_Mes!$T$2:$T$433,Desconto_Cliente_Mes!$A$2:$A$433,I$18,Desconto_Cliente_Mes!$B$2:$B$433,$A18,Desconto_Cliente_Mes!$C$2:$C$433,"Proteina"))</f>
        <v>-0</v>
      </c>
      <c r="J26" s="16" t="n">
        <f aca="false">$J$20*($J$23/100)*((IF(SUMIFS(Desconto_Cliente_Mes!$S$2:$S$433,Desconto_Cliente_Mes!$A$2:$A$433,J$18,Desconto_Cliente_Mes!$B$2:$B$433,$A18,Desconto_Cliente_Mes!$C$2:$C$433,"Proteina")="",(IF(SUMIFS(Desconto_Cliente_Mes!$R$2:$R$433,Desconto_Cliente_Mes!$A$2:$A$433,J$18,Desconto_Cliente_Mes!$B$2:$B$433,$A18,Desconto_Cliente_Mes!$C$2:$C$433,"Proteina")="",SUMIFS(Desconto_Cliente_Mes!$Q$2:$Q$433,Desconto_Cliente_Mes!$A$2:$A$433,J$18,Desconto_Cliente_Mes!$B$2:$B$433,$A18,Desconto_Cliente_Mes!$C$2:$C$433,"Proteina"),SUMIFS(Desconto_Cliente_Mes!$R$2:$R$433,Desconto_Cliente_Mes!$A$2:$A$433,J$18,Desconto_Cliente_Mes!$B$2:$B$433,$A18,Desconto_Cliente_Mes!$C$2:$C$433,"Proteina"))),SUMIFS(Desconto_Cliente_Mes!$S$2:$S$433,Desconto_Cliente_Mes!$A$2:$A$433,J$18,Desconto_Cliente_Mes!$B$2:$B$433,$A18,Desconto_Cliente_Mes!$C$2:$C$433,"Proteina")))-(IF(SUMIFS(Desconto_Cliente_Mes!$R$2:$R$433,Desconto_Cliente_Mes!$A$2:$A$433,J$18,Desconto_Cliente_Mes!$B$2:$B$433,$A18,Desconto_Cliente_Mes!$C$2:$C$433,"Proteina")="",SUMIFS(Desconto_Cliente_Mes!$Q$2:$Q$433,Desconto_Cliente_Mes!$A$2:$A$433,J$18,Desconto_Cliente_Mes!$B$2:$B$433,$A18,Desconto_Cliente_Mes!$C$2:$C$433,"Proteina"),SUMIFS(Desconto_Cliente_Mes!$R$2:$R$433,Desconto_Cliente_Mes!$A$2:$A$433,J$18,Desconto_Cliente_Mes!$B$2:$B$433,$A18,Desconto_Cliente_Mes!$C$2:$C$433,"Proteina"))))*(SUMIFS(Desconto_Cliente_Mes!$T$2:$T$433,Desconto_Cliente_Mes!$A$2:$A$433,J$18,Desconto_Cliente_Mes!$B$2:$B$433,$A18,Desconto_Cliente_Mes!$C$2:$C$433,"Proteina"))</f>
        <v>-0</v>
      </c>
      <c r="K26" s="16" t="n">
        <f aca="false">$K$20*($K$23/100)*((IF(SUMIFS(Desconto_Cliente_Mes!$S$2:$S$433,Desconto_Cliente_Mes!$A$2:$A$433,K$18,Desconto_Cliente_Mes!$B$2:$B$433,$A18,Desconto_Cliente_Mes!$C$2:$C$433,"Proteina")="",(IF(SUMIFS(Desconto_Cliente_Mes!$R$2:$R$433,Desconto_Cliente_Mes!$A$2:$A$433,K$18,Desconto_Cliente_Mes!$B$2:$B$433,$A18,Desconto_Cliente_Mes!$C$2:$C$433,"Proteina")="",SUMIFS(Desconto_Cliente_Mes!$Q$2:$Q$433,Desconto_Cliente_Mes!$A$2:$A$433,K$18,Desconto_Cliente_Mes!$B$2:$B$433,$A18,Desconto_Cliente_Mes!$C$2:$C$433,"Proteina"),SUMIFS(Desconto_Cliente_Mes!$R$2:$R$433,Desconto_Cliente_Mes!$A$2:$A$433,K$18,Desconto_Cliente_Mes!$B$2:$B$433,$A18,Desconto_Cliente_Mes!$C$2:$C$433,"Proteina"))),SUMIFS(Desconto_Cliente_Mes!$S$2:$S$433,Desconto_Cliente_Mes!$A$2:$A$433,K$18,Desconto_Cliente_Mes!$B$2:$B$433,$A18,Desconto_Cliente_Mes!$C$2:$C$433,"Proteina")))-(IF(SUMIFS(Desconto_Cliente_Mes!$R$2:$R$433,Desconto_Cliente_Mes!$A$2:$A$433,K$18,Desconto_Cliente_Mes!$B$2:$B$433,$A18,Desconto_Cliente_Mes!$C$2:$C$433,"Proteina")="",SUMIFS(Desconto_Cliente_Mes!$Q$2:$Q$433,Desconto_Cliente_Mes!$A$2:$A$433,K$18,Desconto_Cliente_Mes!$B$2:$B$433,$A18,Desconto_Cliente_Mes!$C$2:$C$433,"Proteina"),SUMIFS(Desconto_Cliente_Mes!$R$2:$R$433,Desconto_Cliente_Mes!$A$2:$A$433,K$18,Desconto_Cliente_Mes!$B$2:$B$433,$A18,Desconto_Cliente_Mes!$C$2:$C$433,"Proteina"))))*(SUMIFS(Desconto_Cliente_Mes!$T$2:$T$433,Desconto_Cliente_Mes!$A$2:$A$433,K$18,Desconto_Cliente_Mes!$B$2:$B$433,$A18,Desconto_Cliente_Mes!$C$2:$C$433,"Proteina"))</f>
        <v>-0</v>
      </c>
      <c r="L26" s="16" t="n">
        <f aca="false">$L$20*($L$23/100)*((IF(SUMIFS(Desconto_Cliente_Mes!$S$2:$S$433,Desconto_Cliente_Mes!$A$2:$A$433,L$18,Desconto_Cliente_Mes!$B$2:$B$433,$A18,Desconto_Cliente_Mes!$C$2:$C$433,"Proteina")="",(IF(SUMIFS(Desconto_Cliente_Mes!$R$2:$R$433,Desconto_Cliente_Mes!$A$2:$A$433,L$18,Desconto_Cliente_Mes!$B$2:$B$433,$A18,Desconto_Cliente_Mes!$C$2:$C$433,"Proteina")="",SUMIFS(Desconto_Cliente_Mes!$Q$2:$Q$433,Desconto_Cliente_Mes!$A$2:$A$433,L$18,Desconto_Cliente_Mes!$B$2:$B$433,$A18,Desconto_Cliente_Mes!$C$2:$C$433,"Proteina"),SUMIFS(Desconto_Cliente_Mes!$R$2:$R$433,Desconto_Cliente_Mes!$A$2:$A$433,L$18,Desconto_Cliente_Mes!$B$2:$B$433,$A18,Desconto_Cliente_Mes!$C$2:$C$433,"Proteina"))),SUMIFS(Desconto_Cliente_Mes!$S$2:$S$433,Desconto_Cliente_Mes!$A$2:$A$433,L$18,Desconto_Cliente_Mes!$B$2:$B$433,$A18,Desconto_Cliente_Mes!$C$2:$C$433,"Proteina")))-(IF(SUMIFS(Desconto_Cliente_Mes!$R$2:$R$433,Desconto_Cliente_Mes!$A$2:$A$433,L$18,Desconto_Cliente_Mes!$B$2:$B$433,$A18,Desconto_Cliente_Mes!$C$2:$C$433,"Proteina")="",SUMIFS(Desconto_Cliente_Mes!$Q$2:$Q$433,Desconto_Cliente_Mes!$A$2:$A$433,L$18,Desconto_Cliente_Mes!$B$2:$B$433,$A18,Desconto_Cliente_Mes!$C$2:$C$433,"Proteina"),SUMIFS(Desconto_Cliente_Mes!$R$2:$R$433,Desconto_Cliente_Mes!$A$2:$A$433,L$18,Desconto_Cliente_Mes!$B$2:$B$433,$A18,Desconto_Cliente_Mes!$C$2:$C$433,"Proteina"))))*(SUMIFS(Desconto_Cliente_Mes!$T$2:$T$433,Desconto_Cliente_Mes!$A$2:$A$433,L$18,Desconto_Cliente_Mes!$B$2:$B$433,$A18,Desconto_Cliente_Mes!$C$2:$C$433,"Proteina"))</f>
        <v>-0</v>
      </c>
      <c r="M26" s="16" t="n">
        <f aca="false">$M$20*($M$23/100)*((IF(SUMIFS(Desconto_Cliente_Mes!$S$2:$S$433,Desconto_Cliente_Mes!$A$2:$A$433,M$18,Desconto_Cliente_Mes!$B$2:$B$433,$A18,Desconto_Cliente_Mes!$C$2:$C$433,"Proteina")="",(IF(SUMIFS(Desconto_Cliente_Mes!$R$2:$R$433,Desconto_Cliente_Mes!$A$2:$A$433,M$18,Desconto_Cliente_Mes!$B$2:$B$433,$A18,Desconto_Cliente_Mes!$C$2:$C$433,"Proteina")="",SUMIFS(Desconto_Cliente_Mes!$Q$2:$Q$433,Desconto_Cliente_Mes!$A$2:$A$433,M$18,Desconto_Cliente_Mes!$B$2:$B$433,$A18,Desconto_Cliente_Mes!$C$2:$C$433,"Proteina"),SUMIFS(Desconto_Cliente_Mes!$R$2:$R$433,Desconto_Cliente_Mes!$A$2:$A$433,M$18,Desconto_Cliente_Mes!$B$2:$B$433,$A18,Desconto_Cliente_Mes!$C$2:$C$433,"Proteina"))),SUMIFS(Desconto_Cliente_Mes!$S$2:$S$433,Desconto_Cliente_Mes!$A$2:$A$433,M$18,Desconto_Cliente_Mes!$B$2:$B$433,$A18,Desconto_Cliente_Mes!$C$2:$C$433,"Proteina")))-(IF(SUMIFS(Desconto_Cliente_Mes!$R$2:$R$433,Desconto_Cliente_Mes!$A$2:$A$433,M$18,Desconto_Cliente_Mes!$B$2:$B$433,$A18,Desconto_Cliente_Mes!$C$2:$C$433,"Proteina")="",SUMIFS(Desconto_Cliente_Mes!$Q$2:$Q$433,Desconto_Cliente_Mes!$A$2:$A$433,M$18,Desconto_Cliente_Mes!$B$2:$B$433,$A18,Desconto_Cliente_Mes!$C$2:$C$433,"Proteina"),SUMIFS(Desconto_Cliente_Mes!$R$2:$R$433,Desconto_Cliente_Mes!$A$2:$A$433,M$18,Desconto_Cliente_Mes!$B$2:$B$433,$A18,Desconto_Cliente_Mes!$C$2:$C$433,"Proteina"))))*(SUMIFS(Desconto_Cliente_Mes!$T$2:$T$433,Desconto_Cliente_Mes!$A$2:$A$433,M$18,Desconto_Cliente_Mes!$B$2:$B$433,$A18,Desconto_Cliente_Mes!$C$2:$C$433,"Proteina"))</f>
        <v>-0</v>
      </c>
      <c r="N26" s="17" t="n">
        <f aca="false">SUM(B26:M26)</f>
        <v>0</v>
      </c>
    </row>
    <row r="27" customFormat="false" ht="15" hidden="false" customHeight="false" outlineLevel="0" collapsed="false">
      <c r="A27" s="13" t="s">
        <v>82</v>
      </c>
      <c r="B27" s="16" t="n">
        <f aca="false">SUMIFS(Acerto_Detalhado!$J$2:$J$433,Acerto_Detalhado!$A$2:$A$433,B$18,Acerto_Detalhado!$B$2:$B$433,$A18,Acerto_Detalhado!$C$2:$C$433,"Proteina")</f>
        <v>0</v>
      </c>
      <c r="C27" s="16" t="n">
        <f aca="false">SUMIFS(Acerto_Detalhado!$J$2:$J$433,Acerto_Detalhado!$A$2:$A$433,C$18,Acerto_Detalhado!$B$2:$B$433,$A18,Acerto_Detalhado!$C$2:$C$433,"Proteina")</f>
        <v>60620.6261984638</v>
      </c>
      <c r="D27" s="16" t="n">
        <f aca="false">SUMIFS(Acerto_Detalhado!$J$2:$J$433,Acerto_Detalhado!$A$2:$A$433,D$18,Acerto_Detalhado!$B$2:$B$433,$A18,Acerto_Detalhado!$C$2:$C$433,"Proteina")</f>
        <v>0</v>
      </c>
      <c r="E27" s="16" t="n">
        <f aca="false">SUMIFS(Acerto_Detalhado!$J$2:$J$433,Acerto_Detalhado!$A$2:$A$433,E$18,Acerto_Detalhado!$B$2:$B$433,$A18,Acerto_Detalhado!$C$2:$C$433,"Proteina")</f>
        <v>0</v>
      </c>
      <c r="F27" s="16" t="n">
        <f aca="false">SUMIFS(Acerto_Detalhado!$J$2:$J$433,Acerto_Detalhado!$A$2:$A$433,F$18,Acerto_Detalhado!$B$2:$B$433,$A18,Acerto_Detalhado!$C$2:$C$433,"Proteina")</f>
        <v>106238.199669295</v>
      </c>
      <c r="G27" s="16" t="n">
        <f aca="false">SUMIFS(Acerto_Detalhado!$J$2:$J$433,Acerto_Detalhado!$A$2:$A$433,G$18,Acerto_Detalhado!$B$2:$B$433,$A18,Acerto_Detalhado!$C$2:$C$433,"Proteina")</f>
        <v>0</v>
      </c>
      <c r="H27" s="16" t="n">
        <f aca="false">SUMIFS(Acerto_Detalhado!$J$2:$J$433,Acerto_Detalhado!$A$2:$A$433,H$18,Acerto_Detalhado!$B$2:$B$433,$A18,Acerto_Detalhado!$C$2:$C$433,"Proteina")</f>
        <v>0</v>
      </c>
      <c r="I27" s="16" t="n">
        <f aca="false">SUMIFS(Acerto_Detalhado!$J$2:$J$433,Acerto_Detalhado!$A$2:$A$433,I$18,Acerto_Detalhado!$B$2:$B$433,$A18,Acerto_Detalhado!$C$2:$C$433,"Proteina")</f>
        <v>0</v>
      </c>
      <c r="J27" s="16" t="n">
        <f aca="false">SUMIFS(Acerto_Detalhado!$J$2:$J$433,Acerto_Detalhado!$A$2:$A$433,J$18,Acerto_Detalhado!$B$2:$B$433,$A18,Acerto_Detalhado!$C$2:$C$433,"Proteina")</f>
        <v>0</v>
      </c>
      <c r="K27" s="16" t="n">
        <f aca="false">SUMIFS(Acerto_Detalhado!$J$2:$J$433,Acerto_Detalhado!$A$2:$A$433,K$18,Acerto_Detalhado!$B$2:$B$433,$A18,Acerto_Detalhado!$C$2:$C$433,"Proteina")</f>
        <v>0</v>
      </c>
      <c r="L27" s="16" t="n">
        <f aca="false">SUMIFS(Acerto_Detalhado!$J$2:$J$433,Acerto_Detalhado!$A$2:$A$433,L$18,Acerto_Detalhado!$B$2:$B$433,$A18,Acerto_Detalhado!$C$2:$C$433,"Proteina")</f>
        <v>0</v>
      </c>
      <c r="M27" s="16" t="n">
        <f aca="false">SUMIFS(Acerto_Detalhado!$J$2:$J$433,Acerto_Detalhado!$A$2:$A$433,M$18,Acerto_Detalhado!$B$2:$B$433,$A18,Acerto_Detalhado!$C$2:$C$433,"Proteina")</f>
        <v>0</v>
      </c>
      <c r="N27" s="17" t="n">
        <f aca="false">SUM(B27:M27)</f>
        <v>166858.825867758</v>
      </c>
    </row>
    <row r="29" customFormat="false" ht="15" hidden="false" customHeight="false" outlineLevel="0" collapsed="false">
      <c r="A29" s="5" t="s">
        <v>60</v>
      </c>
      <c r="B29" s="6" t="s">
        <v>39</v>
      </c>
      <c r="C29" s="6" t="s">
        <v>40</v>
      </c>
      <c r="D29" s="6" t="s">
        <v>41</v>
      </c>
      <c r="E29" s="6" t="s">
        <v>42</v>
      </c>
      <c r="F29" s="6" t="s">
        <v>43</v>
      </c>
      <c r="G29" s="6" t="s">
        <v>44</v>
      </c>
      <c r="H29" s="6" t="s">
        <v>45</v>
      </c>
      <c r="I29" s="6" t="s">
        <v>46</v>
      </c>
      <c r="J29" s="6" t="s">
        <v>47</v>
      </c>
      <c r="K29" s="6" t="s">
        <v>48</v>
      </c>
      <c r="L29" s="6" t="s">
        <v>49</v>
      </c>
      <c r="M29" s="6" t="s">
        <v>50</v>
      </c>
      <c r="N29" s="6" t="s">
        <v>51</v>
      </c>
    </row>
    <row r="30" customFormat="false" ht="15" hidden="false" customHeight="false" outlineLevel="0" collapsed="false">
      <c r="A30" s="13" t="s">
        <v>74</v>
      </c>
      <c r="B30" s="10" t="str">
        <f aca="false">IF((SUMIFS(Desconto_Cliente_Mes!$D$2:$D$433,Desconto_Cliente_Mes!$A$2:$A$433,B$29,Desconto_Cliente_Mes!$B$2:$B$433,$A29,Desconto_Cliente_Mes!$C$2:$C$433,"Proteina"))=0,"",IFERROR(SUMIFS(Desconto_Cliente_Mes!$E$2:$E$433,Desconto_Cliente_Mes!$A$2:$A$433,B$29,Desconto_Cliente_Mes!$B$2:$B$433,$A29,Desconto_Cliente_Mes!$C$2:$C$433,"Proteina"),""))</f>
        <v/>
      </c>
      <c r="C30" s="10" t="n">
        <f aca="false">IF((SUMIFS(Desconto_Cliente_Mes!$D$2:$D$433,Desconto_Cliente_Mes!$A$2:$A$433,C$29,Desconto_Cliente_Mes!$B$2:$B$433,$A29,Desconto_Cliente_Mes!$C$2:$C$433,"Proteina"))=0,"",IFERROR(SUMIFS(Desconto_Cliente_Mes!$E$2:$E$433,Desconto_Cliente_Mes!$A$2:$A$433,C$29,Desconto_Cliente_Mes!$B$2:$B$433,$A29,Desconto_Cliente_Mes!$C$2:$C$433,"Proteina"),""))</f>
        <v>47.5729858462382</v>
      </c>
      <c r="D30" s="10" t="n">
        <f aca="false">IF((SUMIFS(Desconto_Cliente_Mes!$D$2:$D$433,Desconto_Cliente_Mes!$A$2:$A$433,D$29,Desconto_Cliente_Mes!$B$2:$B$433,$A29,Desconto_Cliente_Mes!$C$2:$C$433,"Proteina"))=0,"",IFERROR(SUMIFS(Desconto_Cliente_Mes!$E$2:$E$433,Desconto_Cliente_Mes!$A$2:$A$433,D$29,Desconto_Cliente_Mes!$B$2:$B$433,$A29,Desconto_Cliente_Mes!$C$2:$C$433,"Proteina"),""))</f>
        <v>48.0034353180527</v>
      </c>
      <c r="E30" s="10" t="n">
        <f aca="false">IF((SUMIFS(Desconto_Cliente_Mes!$D$2:$D$433,Desconto_Cliente_Mes!$A$2:$A$433,E$29,Desconto_Cliente_Mes!$B$2:$B$433,$A29,Desconto_Cliente_Mes!$C$2:$C$433,"Proteina"))=0,"",IFERROR(SUMIFS(Desconto_Cliente_Mes!$E$2:$E$433,Desconto_Cliente_Mes!$A$2:$A$433,E$29,Desconto_Cliente_Mes!$B$2:$B$433,$A29,Desconto_Cliente_Mes!$C$2:$C$433,"Proteina"),""))</f>
        <v>47.2270532748605</v>
      </c>
      <c r="F30" s="10" t="n">
        <f aca="false">IF((SUMIFS(Desconto_Cliente_Mes!$D$2:$D$433,Desconto_Cliente_Mes!$A$2:$A$433,F$29,Desconto_Cliente_Mes!$B$2:$B$433,$A29,Desconto_Cliente_Mes!$C$2:$C$433,"Proteina"))=0,"",IFERROR(SUMIFS(Desconto_Cliente_Mes!$E$2:$E$433,Desconto_Cliente_Mes!$A$2:$A$433,F$29,Desconto_Cliente_Mes!$B$2:$B$433,$A29,Desconto_Cliente_Mes!$C$2:$C$433,"Proteina"),""))</f>
        <v>47.3106617528841</v>
      </c>
      <c r="G30" s="10" t="n">
        <f aca="false">IF((SUMIFS(Desconto_Cliente_Mes!$D$2:$D$433,Desconto_Cliente_Mes!$A$2:$A$433,G$29,Desconto_Cliente_Mes!$B$2:$B$433,$A29,Desconto_Cliente_Mes!$C$2:$C$433,"Proteina"))=0,"",IFERROR(SUMIFS(Desconto_Cliente_Mes!$E$2:$E$433,Desconto_Cliente_Mes!$A$2:$A$433,G$29,Desconto_Cliente_Mes!$B$2:$B$433,$A29,Desconto_Cliente_Mes!$C$2:$C$433,"Proteina"),""))</f>
        <v>47.144728696037</v>
      </c>
      <c r="H30" s="10" t="n">
        <f aca="false">IF((SUMIFS(Desconto_Cliente_Mes!$D$2:$D$433,Desconto_Cliente_Mes!$A$2:$A$433,H$29,Desconto_Cliente_Mes!$B$2:$B$433,$A29,Desconto_Cliente_Mes!$C$2:$C$433,"Proteina"))=0,"",IFERROR(SUMIFS(Desconto_Cliente_Mes!$E$2:$E$433,Desconto_Cliente_Mes!$A$2:$A$433,H$29,Desconto_Cliente_Mes!$B$2:$B$433,$A29,Desconto_Cliente_Mes!$C$2:$C$433,"Proteina"),""))</f>
        <v>47.67</v>
      </c>
      <c r="I30" s="10" t="str">
        <f aca="false">IF((SUMIFS(Desconto_Cliente_Mes!$D$2:$D$433,Desconto_Cliente_Mes!$A$2:$A$433,I$29,Desconto_Cliente_Mes!$B$2:$B$433,$A29,Desconto_Cliente_Mes!$C$2:$C$433,"Proteina"))=0,"",IFERROR(SUMIFS(Desconto_Cliente_Mes!$E$2:$E$433,Desconto_Cliente_Mes!$A$2:$A$433,I$29,Desconto_Cliente_Mes!$B$2:$B$433,$A29,Desconto_Cliente_Mes!$C$2:$C$433,"Proteina"),""))</f>
        <v/>
      </c>
      <c r="J30" s="10" t="str">
        <f aca="false">IF((SUMIFS(Desconto_Cliente_Mes!$D$2:$D$433,Desconto_Cliente_Mes!$A$2:$A$433,J$29,Desconto_Cliente_Mes!$B$2:$B$433,$A29,Desconto_Cliente_Mes!$C$2:$C$433,"Proteina"))=0,"",IFERROR(SUMIFS(Desconto_Cliente_Mes!$E$2:$E$433,Desconto_Cliente_Mes!$A$2:$A$433,J$29,Desconto_Cliente_Mes!$B$2:$B$433,$A29,Desconto_Cliente_Mes!$C$2:$C$433,"Proteina"),""))</f>
        <v/>
      </c>
      <c r="K30" s="10" t="str">
        <f aca="false">IF((SUMIFS(Desconto_Cliente_Mes!$D$2:$D$433,Desconto_Cliente_Mes!$A$2:$A$433,K$29,Desconto_Cliente_Mes!$B$2:$B$433,$A29,Desconto_Cliente_Mes!$C$2:$C$433,"Proteina"))=0,"",IFERROR(SUMIFS(Desconto_Cliente_Mes!$E$2:$E$433,Desconto_Cliente_Mes!$A$2:$A$433,K$29,Desconto_Cliente_Mes!$B$2:$B$433,$A29,Desconto_Cliente_Mes!$C$2:$C$433,"Proteina"),""))</f>
        <v/>
      </c>
      <c r="L30" s="10" t="str">
        <f aca="false">IF((SUMIFS(Desconto_Cliente_Mes!$D$2:$D$433,Desconto_Cliente_Mes!$A$2:$A$433,L$29,Desconto_Cliente_Mes!$B$2:$B$433,$A29,Desconto_Cliente_Mes!$C$2:$C$433,"Proteina"))=0,"",IFERROR(SUMIFS(Desconto_Cliente_Mes!$E$2:$E$433,Desconto_Cliente_Mes!$A$2:$A$433,L$29,Desconto_Cliente_Mes!$B$2:$B$433,$A29,Desconto_Cliente_Mes!$C$2:$C$433,"Proteina"),""))</f>
        <v/>
      </c>
      <c r="M30" s="10" t="str">
        <f aca="false">IF((SUMIFS(Desconto_Cliente_Mes!$D$2:$D$433,Desconto_Cliente_Mes!$A$2:$A$433,M$29,Desconto_Cliente_Mes!$B$2:$B$433,$A29,Desconto_Cliente_Mes!$C$2:$C$433,"Proteina"))=0,"",IFERROR(SUMIFS(Desconto_Cliente_Mes!$E$2:$E$433,Desconto_Cliente_Mes!$A$2:$A$433,M$29,Desconto_Cliente_Mes!$B$2:$B$433,$A29,Desconto_Cliente_Mes!$C$2:$C$433,"Proteina"),""))</f>
        <v/>
      </c>
      <c r="N30" s="11" t="n">
        <f aca="false">IFERROR(Media_Pool_Mes!C4,"")</f>
        <v>47.332231823374</v>
      </c>
    </row>
    <row r="31" customFormat="false" ht="15" hidden="false" customHeight="false" outlineLevel="0" collapsed="false">
      <c r="A31" s="13" t="s">
        <v>75</v>
      </c>
      <c r="B31" s="8" t="n">
        <f aca="false">IFERROR(SUMIFS(Desconto_Cliente_Mes!$D$2:$D$433,Desconto_Cliente_Mes!$A$2:$A$433,B$29,Desconto_Cliente_Mes!$B$2:$B$433,$A29,Desconto_Cliente_Mes!$C$2:$C$433,"Proteina"),0)</f>
        <v>0</v>
      </c>
      <c r="C31" s="8" t="n">
        <f aca="false">IFERROR(SUMIFS(Desconto_Cliente_Mes!$D$2:$D$433,Desconto_Cliente_Mes!$A$2:$A$433,C$29,Desconto_Cliente_Mes!$B$2:$B$433,$A29,Desconto_Cliente_Mes!$C$2:$C$433,"Proteina"),0)</f>
        <v>43330.53</v>
      </c>
      <c r="D31" s="8" t="n">
        <f aca="false">IFERROR(SUMIFS(Desconto_Cliente_Mes!$D$2:$D$433,Desconto_Cliente_Mes!$A$2:$A$433,D$29,Desconto_Cliente_Mes!$B$2:$B$433,$A29,Desconto_Cliente_Mes!$C$2:$C$433,"Proteina"),0)</f>
        <v>12278.31</v>
      </c>
      <c r="E31" s="8" t="n">
        <f aca="false">IFERROR(SUMIFS(Desconto_Cliente_Mes!$D$2:$D$433,Desconto_Cliente_Mes!$A$2:$A$433,E$29,Desconto_Cliente_Mes!$B$2:$B$433,$A29,Desconto_Cliente_Mes!$C$2:$C$433,"Proteina"),0)</f>
        <v>60137.37</v>
      </c>
      <c r="F31" s="8" t="n">
        <f aca="false">IFERROR(SUMIFS(Desconto_Cliente_Mes!$D$2:$D$433,Desconto_Cliente_Mes!$A$2:$A$433,F$29,Desconto_Cliente_Mes!$B$2:$B$433,$A29,Desconto_Cliente_Mes!$C$2:$C$433,"Proteina"),0)</f>
        <v>66365.71</v>
      </c>
      <c r="G31" s="8" t="n">
        <f aca="false">IFERROR(SUMIFS(Desconto_Cliente_Mes!$D$2:$D$433,Desconto_Cliente_Mes!$A$2:$A$433,G$29,Desconto_Cliente_Mes!$B$2:$B$433,$A29,Desconto_Cliente_Mes!$C$2:$C$433,"Proteina"),0)</f>
        <v>58475.74</v>
      </c>
      <c r="H31" s="8" t="n">
        <f aca="false">IFERROR(SUMIFS(Desconto_Cliente_Mes!$D$2:$D$433,Desconto_Cliente_Mes!$A$2:$A$433,H$29,Desconto_Cliente_Mes!$B$2:$B$433,$A29,Desconto_Cliente_Mes!$C$2:$C$433,"Proteina"),0)</f>
        <v>141.56</v>
      </c>
      <c r="I31" s="8" t="n">
        <f aca="false">IFERROR(SUMIFS(Desconto_Cliente_Mes!$D$2:$D$433,Desconto_Cliente_Mes!$A$2:$A$433,I$29,Desconto_Cliente_Mes!$B$2:$B$433,$A29,Desconto_Cliente_Mes!$C$2:$C$433,"Proteina"),0)</f>
        <v>0</v>
      </c>
      <c r="J31" s="8" t="n">
        <f aca="false">IFERROR(SUMIFS(Desconto_Cliente_Mes!$D$2:$D$433,Desconto_Cliente_Mes!$A$2:$A$433,J$29,Desconto_Cliente_Mes!$B$2:$B$433,$A29,Desconto_Cliente_Mes!$C$2:$C$433,"Proteina"),0)</f>
        <v>0</v>
      </c>
      <c r="K31" s="8" t="n">
        <f aca="false">IFERROR(SUMIFS(Desconto_Cliente_Mes!$D$2:$D$433,Desconto_Cliente_Mes!$A$2:$A$433,K$29,Desconto_Cliente_Mes!$B$2:$B$433,$A29,Desconto_Cliente_Mes!$C$2:$C$433,"Proteina"),0)</f>
        <v>0</v>
      </c>
      <c r="L31" s="8" t="n">
        <f aca="false">IFERROR(SUMIFS(Desconto_Cliente_Mes!$D$2:$D$433,Desconto_Cliente_Mes!$A$2:$A$433,L$29,Desconto_Cliente_Mes!$B$2:$B$433,$A29,Desconto_Cliente_Mes!$C$2:$C$433,"Proteina"),0)</f>
        <v>0</v>
      </c>
      <c r="M31" s="8" t="n">
        <f aca="false">IFERROR(SUMIFS(Desconto_Cliente_Mes!$D$2:$D$433,Desconto_Cliente_Mes!$A$2:$A$433,M$29,Desconto_Cliente_Mes!$B$2:$B$433,$A29,Desconto_Cliente_Mes!$C$2:$C$433,"Proteina"),0)</f>
        <v>0</v>
      </c>
      <c r="N31" s="9" t="n">
        <f aca="false">SUM(B31:M31)</f>
        <v>240729.22</v>
      </c>
    </row>
    <row r="32" customFormat="false" ht="15" hidden="false" customHeight="false" outlineLevel="0" collapsed="false">
      <c r="A32" s="13" t="s">
        <v>76</v>
      </c>
      <c r="B32" s="15" t="n">
        <f aca="false">MAX(0,(SUMIFS(Desconto_Cliente_Mes!$L$2:$L$433,Desconto_Cliente_Mes!$A$2:$A$433,B$29,Desconto_Cliente_Mes!$B$2:$B$433,$A29,Desconto_Cliente_Mes!$C$2:$C$433,"Proteina"))-(SUMIFS(Desconto_Cliente_Mes!$N$2:$N$433,Desconto_Cliente_Mes!$A$2:$A$433,B$29,Desconto_Cliente_Mes!$B$2:$B$433,$A29,Desconto_Cliente_Mes!$C$2:$C$433,"Proteina")))</f>
        <v>0</v>
      </c>
      <c r="C32" s="15" t="n">
        <f aca="false">MAX(0,(SUMIFS(Desconto_Cliente_Mes!$L$2:$L$433,Desconto_Cliente_Mes!$A$2:$A$433,C$29,Desconto_Cliente_Mes!$B$2:$B$433,$A29,Desconto_Cliente_Mes!$C$2:$C$433,"Proteina"))-(SUMIFS(Desconto_Cliente_Mes!$N$2:$N$433,Desconto_Cliente_Mes!$A$2:$A$433,C$29,Desconto_Cliente_Mes!$B$2:$B$433,$A29,Desconto_Cliente_Mes!$C$2:$C$433,"Proteina")))</f>
        <v>0</v>
      </c>
      <c r="D32" s="15" t="n">
        <f aca="false">MAX(0,(SUMIFS(Desconto_Cliente_Mes!$L$2:$L$433,Desconto_Cliente_Mes!$A$2:$A$433,D$29,Desconto_Cliente_Mes!$B$2:$B$433,$A29,Desconto_Cliente_Mes!$C$2:$C$433,"Proteina"))-(SUMIFS(Desconto_Cliente_Mes!$N$2:$N$433,Desconto_Cliente_Mes!$A$2:$A$433,D$29,Desconto_Cliente_Mes!$B$2:$B$433,$A29,Desconto_Cliente_Mes!$C$2:$C$433,"Proteina")))</f>
        <v>0</v>
      </c>
      <c r="E32" s="15" t="n">
        <f aca="false">MAX(0,(SUMIFS(Desconto_Cliente_Mes!$L$2:$L$433,Desconto_Cliente_Mes!$A$2:$A$433,E$29,Desconto_Cliente_Mes!$B$2:$B$433,$A29,Desconto_Cliente_Mes!$C$2:$C$433,"Proteina"))-(SUMIFS(Desconto_Cliente_Mes!$N$2:$N$433,Desconto_Cliente_Mes!$A$2:$A$433,E$29,Desconto_Cliente_Mes!$B$2:$B$433,$A29,Desconto_Cliente_Mes!$C$2:$C$433,"Proteina")))</f>
        <v>0.105178548513457</v>
      </c>
      <c r="F32" s="15" t="n">
        <f aca="false">MAX(0,(SUMIFS(Desconto_Cliente_Mes!$L$2:$L$433,Desconto_Cliente_Mes!$A$2:$A$433,F$29,Desconto_Cliente_Mes!$B$2:$B$433,$A29,Desconto_Cliente_Mes!$C$2:$C$433,"Proteina"))-(SUMIFS(Desconto_Cliente_Mes!$N$2:$N$433,Desconto_Cliente_Mes!$A$2:$A$433,F$29,Desconto_Cliente_Mes!$B$2:$B$433,$A29,Desconto_Cliente_Mes!$C$2:$C$433,"Proteina")))</f>
        <v>0.0215700704898651</v>
      </c>
      <c r="G32" s="15" t="n">
        <f aca="false">MAX(0,(SUMIFS(Desconto_Cliente_Mes!$L$2:$L$433,Desconto_Cliente_Mes!$A$2:$A$433,G$29,Desconto_Cliente_Mes!$B$2:$B$433,$A29,Desconto_Cliente_Mes!$C$2:$C$433,"Proteina"))-(SUMIFS(Desconto_Cliente_Mes!$N$2:$N$433,Desconto_Cliente_Mes!$A$2:$A$433,G$29,Desconto_Cliente_Mes!$B$2:$B$433,$A29,Desconto_Cliente_Mes!$C$2:$C$433,"Proteina")))</f>
        <v>0.187503127336967</v>
      </c>
      <c r="H32" s="15" t="n">
        <f aca="false">MAX(0,(SUMIFS(Desconto_Cliente_Mes!$L$2:$L$433,Desconto_Cliente_Mes!$A$2:$A$433,H$29,Desconto_Cliente_Mes!$B$2:$B$433,$A29,Desconto_Cliente_Mes!$C$2:$C$433,"Proteina"))-(SUMIFS(Desconto_Cliente_Mes!$N$2:$N$433,Desconto_Cliente_Mes!$A$2:$A$433,H$29,Desconto_Cliente_Mes!$B$2:$B$433,$A29,Desconto_Cliente_Mes!$C$2:$C$433,"Proteina")))</f>
        <v>0</v>
      </c>
      <c r="I32" s="15" t="n">
        <f aca="false">MAX(0,(SUMIFS(Desconto_Cliente_Mes!$L$2:$L$433,Desconto_Cliente_Mes!$A$2:$A$433,I$29,Desconto_Cliente_Mes!$B$2:$B$433,$A29,Desconto_Cliente_Mes!$C$2:$C$433,"Proteina"))-(SUMIFS(Desconto_Cliente_Mes!$N$2:$N$433,Desconto_Cliente_Mes!$A$2:$A$433,I$29,Desconto_Cliente_Mes!$B$2:$B$433,$A29,Desconto_Cliente_Mes!$C$2:$C$433,"Proteina")))</f>
        <v>0</v>
      </c>
      <c r="J32" s="15" t="n">
        <f aca="false">MAX(0,(SUMIFS(Desconto_Cliente_Mes!$L$2:$L$433,Desconto_Cliente_Mes!$A$2:$A$433,J$29,Desconto_Cliente_Mes!$B$2:$B$433,$A29,Desconto_Cliente_Mes!$C$2:$C$433,"Proteina"))-(SUMIFS(Desconto_Cliente_Mes!$N$2:$N$433,Desconto_Cliente_Mes!$A$2:$A$433,J$29,Desconto_Cliente_Mes!$B$2:$B$433,$A29,Desconto_Cliente_Mes!$C$2:$C$433,"Proteina")))</f>
        <v>0</v>
      </c>
      <c r="K32" s="15" t="n">
        <f aca="false">MAX(0,(SUMIFS(Desconto_Cliente_Mes!$L$2:$L$433,Desconto_Cliente_Mes!$A$2:$A$433,K$29,Desconto_Cliente_Mes!$B$2:$B$433,$A29,Desconto_Cliente_Mes!$C$2:$C$433,"Proteina"))-(SUMIFS(Desconto_Cliente_Mes!$N$2:$N$433,Desconto_Cliente_Mes!$A$2:$A$433,K$29,Desconto_Cliente_Mes!$B$2:$B$433,$A29,Desconto_Cliente_Mes!$C$2:$C$433,"Proteina")))</f>
        <v>0</v>
      </c>
      <c r="L32" s="15" t="n">
        <f aca="false">MAX(0,(SUMIFS(Desconto_Cliente_Mes!$L$2:$L$433,Desconto_Cliente_Mes!$A$2:$A$433,L$29,Desconto_Cliente_Mes!$B$2:$B$433,$A29,Desconto_Cliente_Mes!$C$2:$C$433,"Proteina"))-(SUMIFS(Desconto_Cliente_Mes!$N$2:$N$433,Desconto_Cliente_Mes!$A$2:$A$433,L$29,Desconto_Cliente_Mes!$B$2:$B$433,$A29,Desconto_Cliente_Mes!$C$2:$C$433,"Proteina")))</f>
        <v>0</v>
      </c>
      <c r="M32" s="15" t="n">
        <f aca="false">MAX(0,(SUMIFS(Desconto_Cliente_Mes!$L$2:$L$433,Desconto_Cliente_Mes!$A$2:$A$433,M$29,Desconto_Cliente_Mes!$B$2:$B$433,$A29,Desconto_Cliente_Mes!$C$2:$C$433,"Proteina"))-(SUMIFS(Desconto_Cliente_Mes!$N$2:$N$433,Desconto_Cliente_Mes!$A$2:$A$433,M$29,Desconto_Cliente_Mes!$B$2:$B$433,$A29,Desconto_Cliente_Mes!$C$2:$C$433,"Proteina")))</f>
        <v>0</v>
      </c>
    </row>
    <row r="33" customFormat="false" ht="15" hidden="false" customHeight="false" outlineLevel="0" collapsed="false">
      <c r="A33" s="13" t="s">
        <v>77</v>
      </c>
      <c r="B33" s="15" t="n">
        <f aca="false">MAX(0,(SUMIFS(Desconto_Cliente_Mes!$N$2:$N$433,Desconto_Cliente_Mes!$A$2:$A$433,B$29,Desconto_Cliente_Mes!$B$2:$B$433,$A29,Desconto_Cliente_Mes!$C$2:$C$433,"Proteina"))-(SUMIFS(Desconto_Cliente_Mes!$P$2:$P$433,Desconto_Cliente_Mes!$A$2:$A$433,B$29,Desconto_Cliente_Mes!$B$2:$B$433,$A29,Desconto_Cliente_Mes!$C$2:$C$433,"Proteina")))</f>
        <v>0</v>
      </c>
      <c r="C33" s="15" t="n">
        <f aca="false">MAX(0,(SUMIFS(Desconto_Cliente_Mes!$N$2:$N$433,Desconto_Cliente_Mes!$A$2:$A$433,C$29,Desconto_Cliente_Mes!$B$2:$B$433,$A29,Desconto_Cliente_Mes!$C$2:$C$433,"Proteina"))-(SUMIFS(Desconto_Cliente_Mes!$P$2:$P$433,Desconto_Cliente_Mes!$A$2:$A$433,C$29,Desconto_Cliente_Mes!$B$2:$B$433,$A29,Desconto_Cliente_Mes!$C$2:$C$433,"Proteina")))</f>
        <v>0</v>
      </c>
      <c r="D33" s="15" t="n">
        <f aca="false">MAX(0,(SUMIFS(Desconto_Cliente_Mes!$N$2:$N$433,Desconto_Cliente_Mes!$A$2:$A$433,D$29,Desconto_Cliente_Mes!$B$2:$B$433,$A29,Desconto_Cliente_Mes!$C$2:$C$433,"Proteina"))-(SUMIFS(Desconto_Cliente_Mes!$P$2:$P$433,Desconto_Cliente_Mes!$A$2:$A$433,D$29,Desconto_Cliente_Mes!$B$2:$B$433,$A29,Desconto_Cliente_Mes!$C$2:$C$433,"Proteina")))</f>
        <v>0</v>
      </c>
      <c r="E33" s="15" t="n">
        <f aca="false">MAX(0,(SUMIFS(Desconto_Cliente_Mes!$N$2:$N$433,Desconto_Cliente_Mes!$A$2:$A$433,E$29,Desconto_Cliente_Mes!$B$2:$B$433,$A29,Desconto_Cliente_Mes!$C$2:$C$433,"Proteina"))-(SUMIFS(Desconto_Cliente_Mes!$P$2:$P$433,Desconto_Cliente_Mes!$A$2:$A$433,E$29,Desconto_Cliente_Mes!$B$2:$B$433,$A29,Desconto_Cliente_Mes!$C$2:$C$433,"Proteina")))</f>
        <v>0</v>
      </c>
      <c r="F33" s="15" t="n">
        <f aca="false">MAX(0,(SUMIFS(Desconto_Cliente_Mes!$N$2:$N$433,Desconto_Cliente_Mes!$A$2:$A$433,F$29,Desconto_Cliente_Mes!$B$2:$B$433,$A29,Desconto_Cliente_Mes!$C$2:$C$433,"Proteina"))-(SUMIFS(Desconto_Cliente_Mes!$P$2:$P$433,Desconto_Cliente_Mes!$A$2:$A$433,F$29,Desconto_Cliente_Mes!$B$2:$B$433,$A29,Desconto_Cliente_Mes!$C$2:$C$433,"Proteina")))</f>
        <v>0</v>
      </c>
      <c r="G33" s="15" t="n">
        <f aca="false">MAX(0,(SUMIFS(Desconto_Cliente_Mes!$N$2:$N$433,Desconto_Cliente_Mes!$A$2:$A$433,G$29,Desconto_Cliente_Mes!$B$2:$B$433,$A29,Desconto_Cliente_Mes!$C$2:$C$433,"Proteina"))-(SUMIFS(Desconto_Cliente_Mes!$P$2:$P$433,Desconto_Cliente_Mes!$A$2:$A$433,G$29,Desconto_Cliente_Mes!$B$2:$B$433,$A29,Desconto_Cliente_Mes!$C$2:$C$433,"Proteina")))</f>
        <v>0</v>
      </c>
      <c r="H33" s="15" t="n">
        <f aca="false">MAX(0,(SUMIFS(Desconto_Cliente_Mes!$N$2:$N$433,Desconto_Cliente_Mes!$A$2:$A$433,H$29,Desconto_Cliente_Mes!$B$2:$B$433,$A29,Desconto_Cliente_Mes!$C$2:$C$433,"Proteina"))-(SUMIFS(Desconto_Cliente_Mes!$P$2:$P$433,Desconto_Cliente_Mes!$A$2:$A$433,H$29,Desconto_Cliente_Mes!$B$2:$B$433,$A29,Desconto_Cliente_Mes!$C$2:$C$433,"Proteina")))</f>
        <v>0</v>
      </c>
      <c r="I33" s="15" t="n">
        <f aca="false">MAX(0,(SUMIFS(Desconto_Cliente_Mes!$N$2:$N$433,Desconto_Cliente_Mes!$A$2:$A$433,I$29,Desconto_Cliente_Mes!$B$2:$B$433,$A29,Desconto_Cliente_Mes!$C$2:$C$433,"Proteina"))-(SUMIFS(Desconto_Cliente_Mes!$P$2:$P$433,Desconto_Cliente_Mes!$A$2:$A$433,I$29,Desconto_Cliente_Mes!$B$2:$B$433,$A29,Desconto_Cliente_Mes!$C$2:$C$433,"Proteina")))</f>
        <v>0</v>
      </c>
      <c r="J33" s="15" t="n">
        <f aca="false">MAX(0,(SUMIFS(Desconto_Cliente_Mes!$N$2:$N$433,Desconto_Cliente_Mes!$A$2:$A$433,J$29,Desconto_Cliente_Mes!$B$2:$B$433,$A29,Desconto_Cliente_Mes!$C$2:$C$433,"Proteina"))-(SUMIFS(Desconto_Cliente_Mes!$P$2:$P$433,Desconto_Cliente_Mes!$A$2:$A$433,J$29,Desconto_Cliente_Mes!$B$2:$B$433,$A29,Desconto_Cliente_Mes!$C$2:$C$433,"Proteina")))</f>
        <v>0</v>
      </c>
      <c r="K33" s="15" t="n">
        <f aca="false">MAX(0,(SUMIFS(Desconto_Cliente_Mes!$N$2:$N$433,Desconto_Cliente_Mes!$A$2:$A$433,K$29,Desconto_Cliente_Mes!$B$2:$B$433,$A29,Desconto_Cliente_Mes!$C$2:$C$433,"Proteina"))-(SUMIFS(Desconto_Cliente_Mes!$P$2:$P$433,Desconto_Cliente_Mes!$A$2:$A$433,K$29,Desconto_Cliente_Mes!$B$2:$B$433,$A29,Desconto_Cliente_Mes!$C$2:$C$433,"Proteina")))</f>
        <v>0</v>
      </c>
      <c r="L33" s="15" t="n">
        <f aca="false">MAX(0,(SUMIFS(Desconto_Cliente_Mes!$N$2:$N$433,Desconto_Cliente_Mes!$A$2:$A$433,L$29,Desconto_Cliente_Mes!$B$2:$B$433,$A29,Desconto_Cliente_Mes!$C$2:$C$433,"Proteina"))-(SUMIFS(Desconto_Cliente_Mes!$P$2:$P$433,Desconto_Cliente_Mes!$A$2:$A$433,L$29,Desconto_Cliente_Mes!$B$2:$B$433,$A29,Desconto_Cliente_Mes!$C$2:$C$433,"Proteina")))</f>
        <v>0</v>
      </c>
      <c r="M33" s="15" t="n">
        <f aca="false">MAX(0,(SUMIFS(Desconto_Cliente_Mes!$N$2:$N$433,Desconto_Cliente_Mes!$A$2:$A$433,M$29,Desconto_Cliente_Mes!$B$2:$B$433,$A29,Desconto_Cliente_Mes!$C$2:$C$433,"Proteina"))-(SUMIFS(Desconto_Cliente_Mes!$P$2:$P$433,Desconto_Cliente_Mes!$A$2:$A$433,M$29,Desconto_Cliente_Mes!$B$2:$B$433,$A29,Desconto_Cliente_Mes!$C$2:$C$433,"Proteina")))</f>
        <v>0</v>
      </c>
    </row>
    <row r="34" customFormat="false" ht="15" hidden="false" customHeight="false" outlineLevel="0" collapsed="false">
      <c r="A34" s="13" t="s">
        <v>78</v>
      </c>
      <c r="B34" s="15" t="n">
        <f aca="false">MAX(0,SUMIFS(Desconto_Cliente_Mes!$P$2:$P$433,Desconto_Cliente_Mes!$A$2:$A$433,B$29,Desconto_Cliente_Mes!$B$2:$B$433,$A29,Desconto_Cliente_Mes!$C$2:$C$433,"Proteina"))</f>
        <v>0</v>
      </c>
      <c r="C34" s="15" t="n">
        <f aca="false">MAX(0,SUMIFS(Desconto_Cliente_Mes!$P$2:$P$433,Desconto_Cliente_Mes!$A$2:$A$433,C$29,Desconto_Cliente_Mes!$B$2:$B$433,$A29,Desconto_Cliente_Mes!$C$2:$C$433,"Proteina"))</f>
        <v>0</v>
      </c>
      <c r="D34" s="15" t="n">
        <f aca="false">MAX(0,SUMIFS(Desconto_Cliente_Mes!$P$2:$P$433,Desconto_Cliente_Mes!$A$2:$A$433,D$29,Desconto_Cliente_Mes!$B$2:$B$433,$A29,Desconto_Cliente_Mes!$C$2:$C$433,"Proteina"))</f>
        <v>0</v>
      </c>
      <c r="E34" s="15" t="n">
        <f aca="false">MAX(0,SUMIFS(Desconto_Cliente_Mes!$P$2:$P$433,Desconto_Cliente_Mes!$A$2:$A$433,E$29,Desconto_Cliente_Mes!$B$2:$B$433,$A29,Desconto_Cliente_Mes!$C$2:$C$433,"Proteina"))</f>
        <v>0</v>
      </c>
      <c r="F34" s="15" t="n">
        <f aca="false">MAX(0,SUMIFS(Desconto_Cliente_Mes!$P$2:$P$433,Desconto_Cliente_Mes!$A$2:$A$433,F$29,Desconto_Cliente_Mes!$B$2:$B$433,$A29,Desconto_Cliente_Mes!$C$2:$C$433,"Proteina"))</f>
        <v>0</v>
      </c>
      <c r="G34" s="15" t="n">
        <f aca="false">MAX(0,SUMIFS(Desconto_Cliente_Mes!$P$2:$P$433,Desconto_Cliente_Mes!$A$2:$A$433,G$29,Desconto_Cliente_Mes!$B$2:$B$433,$A29,Desconto_Cliente_Mes!$C$2:$C$433,"Proteina"))</f>
        <v>0</v>
      </c>
      <c r="H34" s="15" t="n">
        <f aca="false">MAX(0,SUMIFS(Desconto_Cliente_Mes!$P$2:$P$433,Desconto_Cliente_Mes!$A$2:$A$433,H$29,Desconto_Cliente_Mes!$B$2:$B$433,$A29,Desconto_Cliente_Mes!$C$2:$C$433,"Proteina"))</f>
        <v>0</v>
      </c>
      <c r="I34" s="15" t="n">
        <f aca="false">MAX(0,SUMIFS(Desconto_Cliente_Mes!$P$2:$P$433,Desconto_Cliente_Mes!$A$2:$A$433,I$29,Desconto_Cliente_Mes!$B$2:$B$433,$A29,Desconto_Cliente_Mes!$C$2:$C$433,"Proteina"))</f>
        <v>0</v>
      </c>
      <c r="J34" s="15" t="n">
        <f aca="false">MAX(0,SUMIFS(Desconto_Cliente_Mes!$P$2:$P$433,Desconto_Cliente_Mes!$A$2:$A$433,J$29,Desconto_Cliente_Mes!$B$2:$B$433,$A29,Desconto_Cliente_Mes!$C$2:$C$433,"Proteina"))</f>
        <v>0</v>
      </c>
      <c r="K34" s="15" t="n">
        <f aca="false">MAX(0,SUMIFS(Desconto_Cliente_Mes!$P$2:$P$433,Desconto_Cliente_Mes!$A$2:$A$433,K$29,Desconto_Cliente_Mes!$B$2:$B$433,$A29,Desconto_Cliente_Mes!$C$2:$C$433,"Proteina"))</f>
        <v>0</v>
      </c>
      <c r="L34" s="15" t="n">
        <f aca="false">MAX(0,SUMIFS(Desconto_Cliente_Mes!$P$2:$P$433,Desconto_Cliente_Mes!$A$2:$A$433,L$29,Desconto_Cliente_Mes!$B$2:$B$433,$A29,Desconto_Cliente_Mes!$C$2:$C$433,"Proteina"))</f>
        <v>0</v>
      </c>
      <c r="M34" s="15" t="n">
        <f aca="false">MAX(0,SUMIFS(Desconto_Cliente_Mes!$P$2:$P$433,Desconto_Cliente_Mes!$A$2:$A$433,M$29,Desconto_Cliente_Mes!$B$2:$B$433,$A29,Desconto_Cliente_Mes!$C$2:$C$433,"Proteina"))</f>
        <v>0</v>
      </c>
    </row>
    <row r="35" customFormat="false" ht="15" hidden="false" customHeight="false" outlineLevel="0" collapsed="false">
      <c r="A35" s="13" t="s">
        <v>79</v>
      </c>
      <c r="B35" s="16" t="n">
        <f aca="false">$B$31*($B$32/100)*(SUMIFS(Desconto_Cliente_Mes!$Q$2:$Q$433,Desconto_Cliente_Mes!$A$2:$A$433,B$29,Desconto_Cliente_Mes!$B$2:$B$433,$A29,Desconto_Cliente_Mes!$C$2:$C$433,"Proteina"))*(SUMIFS(Desconto_Cliente_Mes!$T$2:$T$433,Desconto_Cliente_Mes!$A$2:$A$433,B$29,Desconto_Cliente_Mes!$B$2:$B$433,$A29,Desconto_Cliente_Mes!$C$2:$C$433,"Proteina"))</f>
        <v>0</v>
      </c>
      <c r="C35" s="16" t="n">
        <f aca="false">$C$31*($C$32/100)*(SUMIFS(Desconto_Cliente_Mes!$Q$2:$Q$433,Desconto_Cliente_Mes!$A$2:$A$433,C$29,Desconto_Cliente_Mes!$B$2:$B$433,$A29,Desconto_Cliente_Mes!$C$2:$C$433,"Proteina"))*(SUMIFS(Desconto_Cliente_Mes!$T$2:$T$433,Desconto_Cliente_Mes!$A$2:$A$433,C$29,Desconto_Cliente_Mes!$B$2:$B$433,$A29,Desconto_Cliente_Mes!$C$2:$C$433,"Proteina"))</f>
        <v>0</v>
      </c>
      <c r="D35" s="16" t="n">
        <f aca="false">$D$31*($D$32/100)*(SUMIFS(Desconto_Cliente_Mes!$Q$2:$Q$433,Desconto_Cliente_Mes!$A$2:$A$433,D$29,Desconto_Cliente_Mes!$B$2:$B$433,$A29,Desconto_Cliente_Mes!$C$2:$C$433,"Proteina"))*(SUMIFS(Desconto_Cliente_Mes!$T$2:$T$433,Desconto_Cliente_Mes!$A$2:$A$433,D$29,Desconto_Cliente_Mes!$B$2:$B$433,$A29,Desconto_Cliente_Mes!$C$2:$C$433,"Proteina"))</f>
        <v>0</v>
      </c>
      <c r="E35" s="16" t="n">
        <f aca="false">$E$31*($E$32/100)*(SUMIFS(Desconto_Cliente_Mes!$Q$2:$Q$433,Desconto_Cliente_Mes!$A$2:$A$433,E$29,Desconto_Cliente_Mes!$B$2:$B$433,$A29,Desconto_Cliente_Mes!$C$2:$C$433,"Proteina"))*(SUMIFS(Desconto_Cliente_Mes!$T$2:$T$433,Desconto_Cliente_Mes!$A$2:$A$433,E$29,Desconto_Cliente_Mes!$B$2:$B$433,$A29,Desconto_Cliente_Mes!$C$2:$C$433,"Proteina"))</f>
        <v>25553.6516035876</v>
      </c>
      <c r="F35" s="16" t="n">
        <f aca="false">$F$31*($F$32/100)*(SUMIFS(Desconto_Cliente_Mes!$Q$2:$Q$433,Desconto_Cliente_Mes!$A$2:$A$433,F$29,Desconto_Cliente_Mes!$B$2:$B$433,$A29,Desconto_Cliente_Mes!$C$2:$C$433,"Proteina"))*(SUMIFS(Desconto_Cliente_Mes!$T$2:$T$433,Desconto_Cliente_Mes!$A$2:$A$433,F$29,Desconto_Cliente_Mes!$B$2:$B$433,$A29,Desconto_Cliente_Mes!$C$2:$C$433,"Proteina"))</f>
        <v>5783.31269295219</v>
      </c>
      <c r="G35" s="16" t="n">
        <f aca="false">$G$31*($G$32/100)*(SUMIFS(Desconto_Cliente_Mes!$Q$2:$Q$433,Desconto_Cliente_Mes!$A$2:$A$433,G$29,Desconto_Cliente_Mes!$B$2:$B$433,$A29,Desconto_Cliente_Mes!$C$2:$C$433,"Proteina"))*(SUMIFS(Desconto_Cliente_Mes!$T$2:$T$433,Desconto_Cliente_Mes!$A$2:$A$433,G$29,Desconto_Cliente_Mes!$B$2:$B$433,$A29,Desconto_Cliente_Mes!$C$2:$C$433,"Proteina"))</f>
        <v>44296.1118583073</v>
      </c>
      <c r="H35" s="16" t="n">
        <f aca="false">$H$31*($H$32/100)*(SUMIFS(Desconto_Cliente_Mes!$Q$2:$Q$433,Desconto_Cliente_Mes!$A$2:$A$433,H$29,Desconto_Cliente_Mes!$B$2:$B$433,$A29,Desconto_Cliente_Mes!$C$2:$C$433,"Proteina"))*(SUMIFS(Desconto_Cliente_Mes!$T$2:$T$433,Desconto_Cliente_Mes!$A$2:$A$433,H$29,Desconto_Cliente_Mes!$B$2:$B$433,$A29,Desconto_Cliente_Mes!$C$2:$C$433,"Proteina"))</f>
        <v>0</v>
      </c>
      <c r="I35" s="16" t="n">
        <f aca="false">$I$31*($I$32/100)*(SUMIFS(Desconto_Cliente_Mes!$Q$2:$Q$433,Desconto_Cliente_Mes!$A$2:$A$433,I$29,Desconto_Cliente_Mes!$B$2:$B$433,$A29,Desconto_Cliente_Mes!$C$2:$C$433,"Proteina"))*(SUMIFS(Desconto_Cliente_Mes!$T$2:$T$433,Desconto_Cliente_Mes!$A$2:$A$433,I$29,Desconto_Cliente_Mes!$B$2:$B$433,$A29,Desconto_Cliente_Mes!$C$2:$C$433,"Proteina"))</f>
        <v>0</v>
      </c>
      <c r="J35" s="16" t="n">
        <f aca="false">$J$31*($J$32/100)*(SUMIFS(Desconto_Cliente_Mes!$Q$2:$Q$433,Desconto_Cliente_Mes!$A$2:$A$433,J$29,Desconto_Cliente_Mes!$B$2:$B$433,$A29,Desconto_Cliente_Mes!$C$2:$C$433,"Proteina"))*(SUMIFS(Desconto_Cliente_Mes!$T$2:$T$433,Desconto_Cliente_Mes!$A$2:$A$433,J$29,Desconto_Cliente_Mes!$B$2:$B$433,$A29,Desconto_Cliente_Mes!$C$2:$C$433,"Proteina"))</f>
        <v>0</v>
      </c>
      <c r="K35" s="16" t="n">
        <f aca="false">$K$31*($K$32/100)*(SUMIFS(Desconto_Cliente_Mes!$Q$2:$Q$433,Desconto_Cliente_Mes!$A$2:$A$433,K$29,Desconto_Cliente_Mes!$B$2:$B$433,$A29,Desconto_Cliente_Mes!$C$2:$C$433,"Proteina"))*(SUMIFS(Desconto_Cliente_Mes!$T$2:$T$433,Desconto_Cliente_Mes!$A$2:$A$433,K$29,Desconto_Cliente_Mes!$B$2:$B$433,$A29,Desconto_Cliente_Mes!$C$2:$C$433,"Proteina"))</f>
        <v>0</v>
      </c>
      <c r="L35" s="16" t="n">
        <f aca="false">$L$31*($L$32/100)*(SUMIFS(Desconto_Cliente_Mes!$Q$2:$Q$433,Desconto_Cliente_Mes!$A$2:$A$433,L$29,Desconto_Cliente_Mes!$B$2:$B$433,$A29,Desconto_Cliente_Mes!$C$2:$C$433,"Proteina"))*(SUMIFS(Desconto_Cliente_Mes!$T$2:$T$433,Desconto_Cliente_Mes!$A$2:$A$433,L$29,Desconto_Cliente_Mes!$B$2:$B$433,$A29,Desconto_Cliente_Mes!$C$2:$C$433,"Proteina"))</f>
        <v>0</v>
      </c>
      <c r="M35" s="16" t="n">
        <f aca="false">$M$31*($M$32/100)*(SUMIFS(Desconto_Cliente_Mes!$Q$2:$Q$433,Desconto_Cliente_Mes!$A$2:$A$433,M$29,Desconto_Cliente_Mes!$B$2:$B$433,$A29,Desconto_Cliente_Mes!$C$2:$C$433,"Proteina"))*(SUMIFS(Desconto_Cliente_Mes!$T$2:$T$433,Desconto_Cliente_Mes!$A$2:$A$433,M$29,Desconto_Cliente_Mes!$B$2:$B$433,$A29,Desconto_Cliente_Mes!$C$2:$C$433,"Proteina"))</f>
        <v>0</v>
      </c>
      <c r="N35" s="17" t="n">
        <f aca="false">SUM(B35:M35)</f>
        <v>75633.0761548471</v>
      </c>
    </row>
    <row r="36" customFormat="false" ht="15" hidden="false" customHeight="false" outlineLevel="0" collapsed="false">
      <c r="A36" s="13" t="s">
        <v>80</v>
      </c>
      <c r="B36" s="16" t="n">
        <f aca="false">$B$31*($B$33/100)*((IF(SUMIFS(Desconto_Cliente_Mes!$R$2:$R$433,Desconto_Cliente_Mes!$A$2:$A$433,B$29,Desconto_Cliente_Mes!$B$2:$B$433,$A29,Desconto_Cliente_Mes!$C$2:$C$433,"Proteina")="",SUMIFS(Desconto_Cliente_Mes!$Q$2:$Q$433,Desconto_Cliente_Mes!$A$2:$A$433,B$29,Desconto_Cliente_Mes!$B$2:$B$433,$A29,Desconto_Cliente_Mes!$C$2:$C$433,"Proteina"),SUMIFS(Desconto_Cliente_Mes!$R$2:$R$433,Desconto_Cliente_Mes!$A$2:$A$433,B$29,Desconto_Cliente_Mes!$B$2:$B$433,$A29,Desconto_Cliente_Mes!$C$2:$C$433,"Proteina")))-(SUMIFS(Desconto_Cliente_Mes!$Q$2:$Q$433,Desconto_Cliente_Mes!$A$2:$A$433,B$29,Desconto_Cliente_Mes!$B$2:$B$433,$A29,Desconto_Cliente_Mes!$C$2:$C$433,"Proteina")))*(SUMIFS(Desconto_Cliente_Mes!$T$2:$T$433,Desconto_Cliente_Mes!$A$2:$A$433,B$29,Desconto_Cliente_Mes!$B$2:$B$433,$A29,Desconto_Cliente_Mes!$C$2:$C$433,"Proteina"))</f>
        <v>0</v>
      </c>
      <c r="C36" s="16" t="n">
        <f aca="false">$C$31*($C$33/100)*((IF(SUMIFS(Desconto_Cliente_Mes!$R$2:$R$433,Desconto_Cliente_Mes!$A$2:$A$433,C$29,Desconto_Cliente_Mes!$B$2:$B$433,$A29,Desconto_Cliente_Mes!$C$2:$C$433,"Proteina")="",SUMIFS(Desconto_Cliente_Mes!$Q$2:$Q$433,Desconto_Cliente_Mes!$A$2:$A$433,C$29,Desconto_Cliente_Mes!$B$2:$B$433,$A29,Desconto_Cliente_Mes!$C$2:$C$433,"Proteina"),SUMIFS(Desconto_Cliente_Mes!$R$2:$R$433,Desconto_Cliente_Mes!$A$2:$A$433,C$29,Desconto_Cliente_Mes!$B$2:$B$433,$A29,Desconto_Cliente_Mes!$C$2:$C$433,"Proteina")))-(SUMIFS(Desconto_Cliente_Mes!$Q$2:$Q$433,Desconto_Cliente_Mes!$A$2:$A$433,C$29,Desconto_Cliente_Mes!$B$2:$B$433,$A29,Desconto_Cliente_Mes!$C$2:$C$433,"Proteina")))*(SUMIFS(Desconto_Cliente_Mes!$T$2:$T$433,Desconto_Cliente_Mes!$A$2:$A$433,C$29,Desconto_Cliente_Mes!$B$2:$B$433,$A29,Desconto_Cliente_Mes!$C$2:$C$433,"Proteina"))</f>
        <v>0</v>
      </c>
      <c r="D36" s="16" t="n">
        <f aca="false">$D$31*($D$33/100)*((IF(SUMIFS(Desconto_Cliente_Mes!$R$2:$R$433,Desconto_Cliente_Mes!$A$2:$A$433,D$29,Desconto_Cliente_Mes!$B$2:$B$433,$A29,Desconto_Cliente_Mes!$C$2:$C$433,"Proteina")="",SUMIFS(Desconto_Cliente_Mes!$Q$2:$Q$433,Desconto_Cliente_Mes!$A$2:$A$433,D$29,Desconto_Cliente_Mes!$B$2:$B$433,$A29,Desconto_Cliente_Mes!$C$2:$C$433,"Proteina"),SUMIFS(Desconto_Cliente_Mes!$R$2:$R$433,Desconto_Cliente_Mes!$A$2:$A$433,D$29,Desconto_Cliente_Mes!$B$2:$B$433,$A29,Desconto_Cliente_Mes!$C$2:$C$433,"Proteina")))-(SUMIFS(Desconto_Cliente_Mes!$Q$2:$Q$433,Desconto_Cliente_Mes!$A$2:$A$433,D$29,Desconto_Cliente_Mes!$B$2:$B$433,$A29,Desconto_Cliente_Mes!$C$2:$C$433,"Proteina")))*(SUMIFS(Desconto_Cliente_Mes!$T$2:$T$433,Desconto_Cliente_Mes!$A$2:$A$433,D$29,Desconto_Cliente_Mes!$B$2:$B$433,$A29,Desconto_Cliente_Mes!$C$2:$C$433,"Proteina"))</f>
        <v>0</v>
      </c>
      <c r="E36" s="16" t="n">
        <f aca="false">$E$31*($E$33/100)*((IF(SUMIFS(Desconto_Cliente_Mes!$R$2:$R$433,Desconto_Cliente_Mes!$A$2:$A$433,E$29,Desconto_Cliente_Mes!$B$2:$B$433,$A29,Desconto_Cliente_Mes!$C$2:$C$433,"Proteina")="",SUMIFS(Desconto_Cliente_Mes!$Q$2:$Q$433,Desconto_Cliente_Mes!$A$2:$A$433,E$29,Desconto_Cliente_Mes!$B$2:$B$433,$A29,Desconto_Cliente_Mes!$C$2:$C$433,"Proteina"),SUMIFS(Desconto_Cliente_Mes!$R$2:$R$433,Desconto_Cliente_Mes!$A$2:$A$433,E$29,Desconto_Cliente_Mes!$B$2:$B$433,$A29,Desconto_Cliente_Mes!$C$2:$C$433,"Proteina")))-(SUMIFS(Desconto_Cliente_Mes!$Q$2:$Q$433,Desconto_Cliente_Mes!$A$2:$A$433,E$29,Desconto_Cliente_Mes!$B$2:$B$433,$A29,Desconto_Cliente_Mes!$C$2:$C$433,"Proteina")))*(SUMIFS(Desconto_Cliente_Mes!$T$2:$T$433,Desconto_Cliente_Mes!$A$2:$A$433,E$29,Desconto_Cliente_Mes!$B$2:$B$433,$A29,Desconto_Cliente_Mes!$C$2:$C$433,"Proteina"))</f>
        <v>0</v>
      </c>
      <c r="F36" s="16" t="n">
        <f aca="false">$F$31*($F$33/100)*((IF(SUMIFS(Desconto_Cliente_Mes!$R$2:$R$433,Desconto_Cliente_Mes!$A$2:$A$433,F$29,Desconto_Cliente_Mes!$B$2:$B$433,$A29,Desconto_Cliente_Mes!$C$2:$C$433,"Proteina")="",SUMIFS(Desconto_Cliente_Mes!$Q$2:$Q$433,Desconto_Cliente_Mes!$A$2:$A$433,F$29,Desconto_Cliente_Mes!$B$2:$B$433,$A29,Desconto_Cliente_Mes!$C$2:$C$433,"Proteina"),SUMIFS(Desconto_Cliente_Mes!$R$2:$R$433,Desconto_Cliente_Mes!$A$2:$A$433,F$29,Desconto_Cliente_Mes!$B$2:$B$433,$A29,Desconto_Cliente_Mes!$C$2:$C$433,"Proteina")))-(SUMIFS(Desconto_Cliente_Mes!$Q$2:$Q$433,Desconto_Cliente_Mes!$A$2:$A$433,F$29,Desconto_Cliente_Mes!$B$2:$B$433,$A29,Desconto_Cliente_Mes!$C$2:$C$433,"Proteina")))*(SUMIFS(Desconto_Cliente_Mes!$T$2:$T$433,Desconto_Cliente_Mes!$A$2:$A$433,F$29,Desconto_Cliente_Mes!$B$2:$B$433,$A29,Desconto_Cliente_Mes!$C$2:$C$433,"Proteina"))</f>
        <v>0</v>
      </c>
      <c r="G36" s="16" t="n">
        <f aca="false">$G$31*($G$33/100)*((IF(SUMIFS(Desconto_Cliente_Mes!$R$2:$R$433,Desconto_Cliente_Mes!$A$2:$A$433,G$29,Desconto_Cliente_Mes!$B$2:$B$433,$A29,Desconto_Cliente_Mes!$C$2:$C$433,"Proteina")="",SUMIFS(Desconto_Cliente_Mes!$Q$2:$Q$433,Desconto_Cliente_Mes!$A$2:$A$433,G$29,Desconto_Cliente_Mes!$B$2:$B$433,$A29,Desconto_Cliente_Mes!$C$2:$C$433,"Proteina"),SUMIFS(Desconto_Cliente_Mes!$R$2:$R$433,Desconto_Cliente_Mes!$A$2:$A$433,G$29,Desconto_Cliente_Mes!$B$2:$B$433,$A29,Desconto_Cliente_Mes!$C$2:$C$433,"Proteina")))-(SUMIFS(Desconto_Cliente_Mes!$Q$2:$Q$433,Desconto_Cliente_Mes!$A$2:$A$433,G$29,Desconto_Cliente_Mes!$B$2:$B$433,$A29,Desconto_Cliente_Mes!$C$2:$C$433,"Proteina")))*(SUMIFS(Desconto_Cliente_Mes!$T$2:$T$433,Desconto_Cliente_Mes!$A$2:$A$433,G$29,Desconto_Cliente_Mes!$B$2:$B$433,$A29,Desconto_Cliente_Mes!$C$2:$C$433,"Proteina"))</f>
        <v>0</v>
      </c>
      <c r="H36" s="16" t="n">
        <f aca="false">$H$31*($H$33/100)*((IF(SUMIFS(Desconto_Cliente_Mes!$R$2:$R$433,Desconto_Cliente_Mes!$A$2:$A$433,H$29,Desconto_Cliente_Mes!$B$2:$B$433,$A29,Desconto_Cliente_Mes!$C$2:$C$433,"Proteina")="",SUMIFS(Desconto_Cliente_Mes!$Q$2:$Q$433,Desconto_Cliente_Mes!$A$2:$A$433,H$29,Desconto_Cliente_Mes!$B$2:$B$433,$A29,Desconto_Cliente_Mes!$C$2:$C$433,"Proteina"),SUMIFS(Desconto_Cliente_Mes!$R$2:$R$433,Desconto_Cliente_Mes!$A$2:$A$433,H$29,Desconto_Cliente_Mes!$B$2:$B$433,$A29,Desconto_Cliente_Mes!$C$2:$C$433,"Proteina")))-(SUMIFS(Desconto_Cliente_Mes!$Q$2:$Q$433,Desconto_Cliente_Mes!$A$2:$A$433,H$29,Desconto_Cliente_Mes!$B$2:$B$433,$A29,Desconto_Cliente_Mes!$C$2:$C$433,"Proteina")))*(SUMIFS(Desconto_Cliente_Mes!$T$2:$T$433,Desconto_Cliente_Mes!$A$2:$A$433,H$29,Desconto_Cliente_Mes!$B$2:$B$433,$A29,Desconto_Cliente_Mes!$C$2:$C$433,"Proteina"))</f>
        <v>0</v>
      </c>
      <c r="I36" s="16" t="n">
        <f aca="false">$I$31*($I$33/100)*((IF(SUMIFS(Desconto_Cliente_Mes!$R$2:$R$433,Desconto_Cliente_Mes!$A$2:$A$433,I$29,Desconto_Cliente_Mes!$B$2:$B$433,$A29,Desconto_Cliente_Mes!$C$2:$C$433,"Proteina")="",SUMIFS(Desconto_Cliente_Mes!$Q$2:$Q$433,Desconto_Cliente_Mes!$A$2:$A$433,I$29,Desconto_Cliente_Mes!$B$2:$B$433,$A29,Desconto_Cliente_Mes!$C$2:$C$433,"Proteina"),SUMIFS(Desconto_Cliente_Mes!$R$2:$R$433,Desconto_Cliente_Mes!$A$2:$A$433,I$29,Desconto_Cliente_Mes!$B$2:$B$433,$A29,Desconto_Cliente_Mes!$C$2:$C$433,"Proteina")))-(SUMIFS(Desconto_Cliente_Mes!$Q$2:$Q$433,Desconto_Cliente_Mes!$A$2:$A$433,I$29,Desconto_Cliente_Mes!$B$2:$B$433,$A29,Desconto_Cliente_Mes!$C$2:$C$433,"Proteina")))*(SUMIFS(Desconto_Cliente_Mes!$T$2:$T$433,Desconto_Cliente_Mes!$A$2:$A$433,I$29,Desconto_Cliente_Mes!$B$2:$B$433,$A29,Desconto_Cliente_Mes!$C$2:$C$433,"Proteina"))</f>
        <v>0</v>
      </c>
      <c r="J36" s="16" t="n">
        <f aca="false">$J$31*($J$33/100)*((IF(SUMIFS(Desconto_Cliente_Mes!$R$2:$R$433,Desconto_Cliente_Mes!$A$2:$A$433,J$29,Desconto_Cliente_Mes!$B$2:$B$433,$A29,Desconto_Cliente_Mes!$C$2:$C$433,"Proteina")="",SUMIFS(Desconto_Cliente_Mes!$Q$2:$Q$433,Desconto_Cliente_Mes!$A$2:$A$433,J$29,Desconto_Cliente_Mes!$B$2:$B$433,$A29,Desconto_Cliente_Mes!$C$2:$C$433,"Proteina"),SUMIFS(Desconto_Cliente_Mes!$R$2:$R$433,Desconto_Cliente_Mes!$A$2:$A$433,J$29,Desconto_Cliente_Mes!$B$2:$B$433,$A29,Desconto_Cliente_Mes!$C$2:$C$433,"Proteina")))-(SUMIFS(Desconto_Cliente_Mes!$Q$2:$Q$433,Desconto_Cliente_Mes!$A$2:$A$433,J$29,Desconto_Cliente_Mes!$B$2:$B$433,$A29,Desconto_Cliente_Mes!$C$2:$C$433,"Proteina")))*(SUMIFS(Desconto_Cliente_Mes!$T$2:$T$433,Desconto_Cliente_Mes!$A$2:$A$433,J$29,Desconto_Cliente_Mes!$B$2:$B$433,$A29,Desconto_Cliente_Mes!$C$2:$C$433,"Proteina"))</f>
        <v>0</v>
      </c>
      <c r="K36" s="16" t="n">
        <f aca="false">$K$31*($K$33/100)*((IF(SUMIFS(Desconto_Cliente_Mes!$R$2:$R$433,Desconto_Cliente_Mes!$A$2:$A$433,K$29,Desconto_Cliente_Mes!$B$2:$B$433,$A29,Desconto_Cliente_Mes!$C$2:$C$433,"Proteina")="",SUMIFS(Desconto_Cliente_Mes!$Q$2:$Q$433,Desconto_Cliente_Mes!$A$2:$A$433,K$29,Desconto_Cliente_Mes!$B$2:$B$433,$A29,Desconto_Cliente_Mes!$C$2:$C$433,"Proteina"),SUMIFS(Desconto_Cliente_Mes!$R$2:$R$433,Desconto_Cliente_Mes!$A$2:$A$433,K$29,Desconto_Cliente_Mes!$B$2:$B$433,$A29,Desconto_Cliente_Mes!$C$2:$C$433,"Proteina")))-(SUMIFS(Desconto_Cliente_Mes!$Q$2:$Q$433,Desconto_Cliente_Mes!$A$2:$A$433,K$29,Desconto_Cliente_Mes!$B$2:$B$433,$A29,Desconto_Cliente_Mes!$C$2:$C$433,"Proteina")))*(SUMIFS(Desconto_Cliente_Mes!$T$2:$T$433,Desconto_Cliente_Mes!$A$2:$A$433,K$29,Desconto_Cliente_Mes!$B$2:$B$433,$A29,Desconto_Cliente_Mes!$C$2:$C$433,"Proteina"))</f>
        <v>0</v>
      </c>
      <c r="L36" s="16" t="n">
        <f aca="false">$L$31*($L$33/100)*((IF(SUMIFS(Desconto_Cliente_Mes!$R$2:$R$433,Desconto_Cliente_Mes!$A$2:$A$433,L$29,Desconto_Cliente_Mes!$B$2:$B$433,$A29,Desconto_Cliente_Mes!$C$2:$C$433,"Proteina")="",SUMIFS(Desconto_Cliente_Mes!$Q$2:$Q$433,Desconto_Cliente_Mes!$A$2:$A$433,L$29,Desconto_Cliente_Mes!$B$2:$B$433,$A29,Desconto_Cliente_Mes!$C$2:$C$433,"Proteina"),SUMIFS(Desconto_Cliente_Mes!$R$2:$R$433,Desconto_Cliente_Mes!$A$2:$A$433,L$29,Desconto_Cliente_Mes!$B$2:$B$433,$A29,Desconto_Cliente_Mes!$C$2:$C$433,"Proteina")))-(SUMIFS(Desconto_Cliente_Mes!$Q$2:$Q$433,Desconto_Cliente_Mes!$A$2:$A$433,L$29,Desconto_Cliente_Mes!$B$2:$B$433,$A29,Desconto_Cliente_Mes!$C$2:$C$433,"Proteina")))*(SUMIFS(Desconto_Cliente_Mes!$T$2:$T$433,Desconto_Cliente_Mes!$A$2:$A$433,L$29,Desconto_Cliente_Mes!$B$2:$B$433,$A29,Desconto_Cliente_Mes!$C$2:$C$433,"Proteina"))</f>
        <v>0</v>
      </c>
      <c r="M36" s="16" t="n">
        <f aca="false">$M$31*($M$33/100)*((IF(SUMIFS(Desconto_Cliente_Mes!$R$2:$R$433,Desconto_Cliente_Mes!$A$2:$A$433,M$29,Desconto_Cliente_Mes!$B$2:$B$433,$A29,Desconto_Cliente_Mes!$C$2:$C$433,"Proteina")="",SUMIFS(Desconto_Cliente_Mes!$Q$2:$Q$433,Desconto_Cliente_Mes!$A$2:$A$433,M$29,Desconto_Cliente_Mes!$B$2:$B$433,$A29,Desconto_Cliente_Mes!$C$2:$C$433,"Proteina"),SUMIFS(Desconto_Cliente_Mes!$R$2:$R$433,Desconto_Cliente_Mes!$A$2:$A$433,M$29,Desconto_Cliente_Mes!$B$2:$B$433,$A29,Desconto_Cliente_Mes!$C$2:$C$433,"Proteina")))-(SUMIFS(Desconto_Cliente_Mes!$Q$2:$Q$433,Desconto_Cliente_Mes!$A$2:$A$433,M$29,Desconto_Cliente_Mes!$B$2:$B$433,$A29,Desconto_Cliente_Mes!$C$2:$C$433,"Proteina")))*(SUMIFS(Desconto_Cliente_Mes!$T$2:$T$433,Desconto_Cliente_Mes!$A$2:$A$433,M$29,Desconto_Cliente_Mes!$B$2:$B$433,$A29,Desconto_Cliente_Mes!$C$2:$C$433,"Proteina"))</f>
        <v>0</v>
      </c>
      <c r="N36" s="17" t="n">
        <f aca="false">SUM(B36:M36)</f>
        <v>0</v>
      </c>
    </row>
    <row r="37" customFormat="false" ht="15" hidden="false" customHeight="false" outlineLevel="0" collapsed="false">
      <c r="A37" s="13" t="s">
        <v>81</v>
      </c>
      <c r="B37" s="16" t="n">
        <f aca="false">$B$31*($B$34/100)*((IF(SUMIFS(Desconto_Cliente_Mes!$S$2:$S$433,Desconto_Cliente_Mes!$A$2:$A$433,B$29,Desconto_Cliente_Mes!$B$2:$B$433,$A29,Desconto_Cliente_Mes!$C$2:$C$433,"Proteina")="",(IF(SUMIFS(Desconto_Cliente_Mes!$R$2:$R$433,Desconto_Cliente_Mes!$A$2:$A$433,B$29,Desconto_Cliente_Mes!$B$2:$B$433,$A29,Desconto_Cliente_Mes!$C$2:$C$433,"Proteina")="",SUMIFS(Desconto_Cliente_Mes!$Q$2:$Q$433,Desconto_Cliente_Mes!$A$2:$A$433,B$29,Desconto_Cliente_Mes!$B$2:$B$433,$A29,Desconto_Cliente_Mes!$C$2:$C$433,"Proteina"),SUMIFS(Desconto_Cliente_Mes!$R$2:$R$433,Desconto_Cliente_Mes!$A$2:$A$433,B$29,Desconto_Cliente_Mes!$B$2:$B$433,$A29,Desconto_Cliente_Mes!$C$2:$C$433,"Proteina"))),SUMIFS(Desconto_Cliente_Mes!$S$2:$S$433,Desconto_Cliente_Mes!$A$2:$A$433,B$29,Desconto_Cliente_Mes!$B$2:$B$433,$A29,Desconto_Cliente_Mes!$C$2:$C$433,"Proteina")))-(IF(SUMIFS(Desconto_Cliente_Mes!$R$2:$R$433,Desconto_Cliente_Mes!$A$2:$A$433,B$29,Desconto_Cliente_Mes!$B$2:$B$433,$A29,Desconto_Cliente_Mes!$C$2:$C$433,"Proteina")="",SUMIFS(Desconto_Cliente_Mes!$Q$2:$Q$433,Desconto_Cliente_Mes!$A$2:$A$433,B$29,Desconto_Cliente_Mes!$B$2:$B$433,$A29,Desconto_Cliente_Mes!$C$2:$C$433,"Proteina"),SUMIFS(Desconto_Cliente_Mes!$R$2:$R$433,Desconto_Cliente_Mes!$A$2:$A$433,B$29,Desconto_Cliente_Mes!$B$2:$B$433,$A29,Desconto_Cliente_Mes!$C$2:$C$433,"Proteina"))))*(SUMIFS(Desconto_Cliente_Mes!$T$2:$T$433,Desconto_Cliente_Mes!$A$2:$A$433,B$29,Desconto_Cliente_Mes!$B$2:$B$433,$A29,Desconto_Cliente_Mes!$C$2:$C$433,"Proteina"))</f>
        <v>-0</v>
      </c>
      <c r="C37" s="16" t="n">
        <f aca="false">$C$31*($C$34/100)*((IF(SUMIFS(Desconto_Cliente_Mes!$S$2:$S$433,Desconto_Cliente_Mes!$A$2:$A$433,C$29,Desconto_Cliente_Mes!$B$2:$B$433,$A29,Desconto_Cliente_Mes!$C$2:$C$433,"Proteina")="",(IF(SUMIFS(Desconto_Cliente_Mes!$R$2:$R$433,Desconto_Cliente_Mes!$A$2:$A$433,C$29,Desconto_Cliente_Mes!$B$2:$B$433,$A29,Desconto_Cliente_Mes!$C$2:$C$433,"Proteina")="",SUMIFS(Desconto_Cliente_Mes!$Q$2:$Q$433,Desconto_Cliente_Mes!$A$2:$A$433,C$29,Desconto_Cliente_Mes!$B$2:$B$433,$A29,Desconto_Cliente_Mes!$C$2:$C$433,"Proteina"),SUMIFS(Desconto_Cliente_Mes!$R$2:$R$433,Desconto_Cliente_Mes!$A$2:$A$433,C$29,Desconto_Cliente_Mes!$B$2:$B$433,$A29,Desconto_Cliente_Mes!$C$2:$C$433,"Proteina"))),SUMIFS(Desconto_Cliente_Mes!$S$2:$S$433,Desconto_Cliente_Mes!$A$2:$A$433,C$29,Desconto_Cliente_Mes!$B$2:$B$433,$A29,Desconto_Cliente_Mes!$C$2:$C$433,"Proteina")))-(IF(SUMIFS(Desconto_Cliente_Mes!$R$2:$R$433,Desconto_Cliente_Mes!$A$2:$A$433,C$29,Desconto_Cliente_Mes!$B$2:$B$433,$A29,Desconto_Cliente_Mes!$C$2:$C$433,"Proteina")="",SUMIFS(Desconto_Cliente_Mes!$Q$2:$Q$433,Desconto_Cliente_Mes!$A$2:$A$433,C$29,Desconto_Cliente_Mes!$B$2:$B$433,$A29,Desconto_Cliente_Mes!$C$2:$C$433,"Proteina"),SUMIFS(Desconto_Cliente_Mes!$R$2:$R$433,Desconto_Cliente_Mes!$A$2:$A$433,C$29,Desconto_Cliente_Mes!$B$2:$B$433,$A29,Desconto_Cliente_Mes!$C$2:$C$433,"Proteina"))))*(SUMIFS(Desconto_Cliente_Mes!$T$2:$T$433,Desconto_Cliente_Mes!$A$2:$A$433,C$29,Desconto_Cliente_Mes!$B$2:$B$433,$A29,Desconto_Cliente_Mes!$C$2:$C$433,"Proteina"))</f>
        <v>-0</v>
      </c>
      <c r="D37" s="16" t="n">
        <f aca="false">$D$31*($D$34/100)*((IF(SUMIFS(Desconto_Cliente_Mes!$S$2:$S$433,Desconto_Cliente_Mes!$A$2:$A$433,D$29,Desconto_Cliente_Mes!$B$2:$B$433,$A29,Desconto_Cliente_Mes!$C$2:$C$433,"Proteina")="",(IF(SUMIFS(Desconto_Cliente_Mes!$R$2:$R$433,Desconto_Cliente_Mes!$A$2:$A$433,D$29,Desconto_Cliente_Mes!$B$2:$B$433,$A29,Desconto_Cliente_Mes!$C$2:$C$433,"Proteina")="",SUMIFS(Desconto_Cliente_Mes!$Q$2:$Q$433,Desconto_Cliente_Mes!$A$2:$A$433,D$29,Desconto_Cliente_Mes!$B$2:$B$433,$A29,Desconto_Cliente_Mes!$C$2:$C$433,"Proteina"),SUMIFS(Desconto_Cliente_Mes!$R$2:$R$433,Desconto_Cliente_Mes!$A$2:$A$433,D$29,Desconto_Cliente_Mes!$B$2:$B$433,$A29,Desconto_Cliente_Mes!$C$2:$C$433,"Proteina"))),SUMIFS(Desconto_Cliente_Mes!$S$2:$S$433,Desconto_Cliente_Mes!$A$2:$A$433,D$29,Desconto_Cliente_Mes!$B$2:$B$433,$A29,Desconto_Cliente_Mes!$C$2:$C$433,"Proteina")))-(IF(SUMIFS(Desconto_Cliente_Mes!$R$2:$R$433,Desconto_Cliente_Mes!$A$2:$A$433,D$29,Desconto_Cliente_Mes!$B$2:$B$433,$A29,Desconto_Cliente_Mes!$C$2:$C$433,"Proteina")="",SUMIFS(Desconto_Cliente_Mes!$Q$2:$Q$433,Desconto_Cliente_Mes!$A$2:$A$433,D$29,Desconto_Cliente_Mes!$B$2:$B$433,$A29,Desconto_Cliente_Mes!$C$2:$C$433,"Proteina"),SUMIFS(Desconto_Cliente_Mes!$R$2:$R$433,Desconto_Cliente_Mes!$A$2:$A$433,D$29,Desconto_Cliente_Mes!$B$2:$B$433,$A29,Desconto_Cliente_Mes!$C$2:$C$433,"Proteina"))))*(SUMIFS(Desconto_Cliente_Mes!$T$2:$T$433,Desconto_Cliente_Mes!$A$2:$A$433,D$29,Desconto_Cliente_Mes!$B$2:$B$433,$A29,Desconto_Cliente_Mes!$C$2:$C$433,"Proteina"))</f>
        <v>-0</v>
      </c>
      <c r="E37" s="16" t="n">
        <f aca="false">$E$31*($E$34/100)*((IF(SUMIFS(Desconto_Cliente_Mes!$S$2:$S$433,Desconto_Cliente_Mes!$A$2:$A$433,E$29,Desconto_Cliente_Mes!$B$2:$B$433,$A29,Desconto_Cliente_Mes!$C$2:$C$433,"Proteina")="",(IF(SUMIFS(Desconto_Cliente_Mes!$R$2:$R$433,Desconto_Cliente_Mes!$A$2:$A$433,E$29,Desconto_Cliente_Mes!$B$2:$B$433,$A29,Desconto_Cliente_Mes!$C$2:$C$433,"Proteina")="",SUMIFS(Desconto_Cliente_Mes!$Q$2:$Q$433,Desconto_Cliente_Mes!$A$2:$A$433,E$29,Desconto_Cliente_Mes!$B$2:$B$433,$A29,Desconto_Cliente_Mes!$C$2:$C$433,"Proteina"),SUMIFS(Desconto_Cliente_Mes!$R$2:$R$433,Desconto_Cliente_Mes!$A$2:$A$433,E$29,Desconto_Cliente_Mes!$B$2:$B$433,$A29,Desconto_Cliente_Mes!$C$2:$C$433,"Proteina"))),SUMIFS(Desconto_Cliente_Mes!$S$2:$S$433,Desconto_Cliente_Mes!$A$2:$A$433,E$29,Desconto_Cliente_Mes!$B$2:$B$433,$A29,Desconto_Cliente_Mes!$C$2:$C$433,"Proteina")))-(IF(SUMIFS(Desconto_Cliente_Mes!$R$2:$R$433,Desconto_Cliente_Mes!$A$2:$A$433,E$29,Desconto_Cliente_Mes!$B$2:$B$433,$A29,Desconto_Cliente_Mes!$C$2:$C$433,"Proteina")="",SUMIFS(Desconto_Cliente_Mes!$Q$2:$Q$433,Desconto_Cliente_Mes!$A$2:$A$433,E$29,Desconto_Cliente_Mes!$B$2:$B$433,$A29,Desconto_Cliente_Mes!$C$2:$C$433,"Proteina"),SUMIFS(Desconto_Cliente_Mes!$R$2:$R$433,Desconto_Cliente_Mes!$A$2:$A$433,E$29,Desconto_Cliente_Mes!$B$2:$B$433,$A29,Desconto_Cliente_Mes!$C$2:$C$433,"Proteina"))))*(SUMIFS(Desconto_Cliente_Mes!$T$2:$T$433,Desconto_Cliente_Mes!$A$2:$A$433,E$29,Desconto_Cliente_Mes!$B$2:$B$433,$A29,Desconto_Cliente_Mes!$C$2:$C$433,"Proteina"))</f>
        <v>-0</v>
      </c>
      <c r="F37" s="16" t="n">
        <f aca="false">$F$31*($F$34/100)*((IF(SUMIFS(Desconto_Cliente_Mes!$S$2:$S$433,Desconto_Cliente_Mes!$A$2:$A$433,F$29,Desconto_Cliente_Mes!$B$2:$B$433,$A29,Desconto_Cliente_Mes!$C$2:$C$433,"Proteina")="",(IF(SUMIFS(Desconto_Cliente_Mes!$R$2:$R$433,Desconto_Cliente_Mes!$A$2:$A$433,F$29,Desconto_Cliente_Mes!$B$2:$B$433,$A29,Desconto_Cliente_Mes!$C$2:$C$433,"Proteina")="",SUMIFS(Desconto_Cliente_Mes!$Q$2:$Q$433,Desconto_Cliente_Mes!$A$2:$A$433,F$29,Desconto_Cliente_Mes!$B$2:$B$433,$A29,Desconto_Cliente_Mes!$C$2:$C$433,"Proteina"),SUMIFS(Desconto_Cliente_Mes!$R$2:$R$433,Desconto_Cliente_Mes!$A$2:$A$433,F$29,Desconto_Cliente_Mes!$B$2:$B$433,$A29,Desconto_Cliente_Mes!$C$2:$C$433,"Proteina"))),SUMIFS(Desconto_Cliente_Mes!$S$2:$S$433,Desconto_Cliente_Mes!$A$2:$A$433,F$29,Desconto_Cliente_Mes!$B$2:$B$433,$A29,Desconto_Cliente_Mes!$C$2:$C$433,"Proteina")))-(IF(SUMIFS(Desconto_Cliente_Mes!$R$2:$R$433,Desconto_Cliente_Mes!$A$2:$A$433,F$29,Desconto_Cliente_Mes!$B$2:$B$433,$A29,Desconto_Cliente_Mes!$C$2:$C$433,"Proteina")="",SUMIFS(Desconto_Cliente_Mes!$Q$2:$Q$433,Desconto_Cliente_Mes!$A$2:$A$433,F$29,Desconto_Cliente_Mes!$B$2:$B$433,$A29,Desconto_Cliente_Mes!$C$2:$C$433,"Proteina"),SUMIFS(Desconto_Cliente_Mes!$R$2:$R$433,Desconto_Cliente_Mes!$A$2:$A$433,F$29,Desconto_Cliente_Mes!$B$2:$B$433,$A29,Desconto_Cliente_Mes!$C$2:$C$433,"Proteina"))))*(SUMIFS(Desconto_Cliente_Mes!$T$2:$T$433,Desconto_Cliente_Mes!$A$2:$A$433,F$29,Desconto_Cliente_Mes!$B$2:$B$433,$A29,Desconto_Cliente_Mes!$C$2:$C$433,"Proteina"))</f>
        <v>-0</v>
      </c>
      <c r="G37" s="16" t="n">
        <f aca="false">$G$31*($G$34/100)*((IF(SUMIFS(Desconto_Cliente_Mes!$S$2:$S$433,Desconto_Cliente_Mes!$A$2:$A$433,G$29,Desconto_Cliente_Mes!$B$2:$B$433,$A29,Desconto_Cliente_Mes!$C$2:$C$433,"Proteina")="",(IF(SUMIFS(Desconto_Cliente_Mes!$R$2:$R$433,Desconto_Cliente_Mes!$A$2:$A$433,G$29,Desconto_Cliente_Mes!$B$2:$B$433,$A29,Desconto_Cliente_Mes!$C$2:$C$433,"Proteina")="",SUMIFS(Desconto_Cliente_Mes!$Q$2:$Q$433,Desconto_Cliente_Mes!$A$2:$A$433,G$29,Desconto_Cliente_Mes!$B$2:$B$433,$A29,Desconto_Cliente_Mes!$C$2:$C$433,"Proteina"),SUMIFS(Desconto_Cliente_Mes!$R$2:$R$433,Desconto_Cliente_Mes!$A$2:$A$433,G$29,Desconto_Cliente_Mes!$B$2:$B$433,$A29,Desconto_Cliente_Mes!$C$2:$C$433,"Proteina"))),SUMIFS(Desconto_Cliente_Mes!$S$2:$S$433,Desconto_Cliente_Mes!$A$2:$A$433,G$29,Desconto_Cliente_Mes!$B$2:$B$433,$A29,Desconto_Cliente_Mes!$C$2:$C$433,"Proteina")))-(IF(SUMIFS(Desconto_Cliente_Mes!$R$2:$R$433,Desconto_Cliente_Mes!$A$2:$A$433,G$29,Desconto_Cliente_Mes!$B$2:$B$433,$A29,Desconto_Cliente_Mes!$C$2:$C$433,"Proteina")="",SUMIFS(Desconto_Cliente_Mes!$Q$2:$Q$433,Desconto_Cliente_Mes!$A$2:$A$433,G$29,Desconto_Cliente_Mes!$B$2:$B$433,$A29,Desconto_Cliente_Mes!$C$2:$C$433,"Proteina"),SUMIFS(Desconto_Cliente_Mes!$R$2:$R$433,Desconto_Cliente_Mes!$A$2:$A$433,G$29,Desconto_Cliente_Mes!$B$2:$B$433,$A29,Desconto_Cliente_Mes!$C$2:$C$433,"Proteina"))))*(SUMIFS(Desconto_Cliente_Mes!$T$2:$T$433,Desconto_Cliente_Mes!$A$2:$A$433,G$29,Desconto_Cliente_Mes!$B$2:$B$433,$A29,Desconto_Cliente_Mes!$C$2:$C$433,"Proteina"))</f>
        <v>-0</v>
      </c>
      <c r="H37" s="16" t="n">
        <f aca="false">$H$31*($H$34/100)*((IF(SUMIFS(Desconto_Cliente_Mes!$S$2:$S$433,Desconto_Cliente_Mes!$A$2:$A$433,H$29,Desconto_Cliente_Mes!$B$2:$B$433,$A29,Desconto_Cliente_Mes!$C$2:$C$433,"Proteina")="",(IF(SUMIFS(Desconto_Cliente_Mes!$R$2:$R$433,Desconto_Cliente_Mes!$A$2:$A$433,H$29,Desconto_Cliente_Mes!$B$2:$B$433,$A29,Desconto_Cliente_Mes!$C$2:$C$433,"Proteina")="",SUMIFS(Desconto_Cliente_Mes!$Q$2:$Q$433,Desconto_Cliente_Mes!$A$2:$A$433,H$29,Desconto_Cliente_Mes!$B$2:$B$433,$A29,Desconto_Cliente_Mes!$C$2:$C$433,"Proteina"),SUMIFS(Desconto_Cliente_Mes!$R$2:$R$433,Desconto_Cliente_Mes!$A$2:$A$433,H$29,Desconto_Cliente_Mes!$B$2:$B$433,$A29,Desconto_Cliente_Mes!$C$2:$C$433,"Proteina"))),SUMIFS(Desconto_Cliente_Mes!$S$2:$S$433,Desconto_Cliente_Mes!$A$2:$A$433,H$29,Desconto_Cliente_Mes!$B$2:$B$433,$A29,Desconto_Cliente_Mes!$C$2:$C$433,"Proteina")))-(IF(SUMIFS(Desconto_Cliente_Mes!$R$2:$R$433,Desconto_Cliente_Mes!$A$2:$A$433,H$29,Desconto_Cliente_Mes!$B$2:$B$433,$A29,Desconto_Cliente_Mes!$C$2:$C$433,"Proteina")="",SUMIFS(Desconto_Cliente_Mes!$Q$2:$Q$433,Desconto_Cliente_Mes!$A$2:$A$433,H$29,Desconto_Cliente_Mes!$B$2:$B$433,$A29,Desconto_Cliente_Mes!$C$2:$C$433,"Proteina"),SUMIFS(Desconto_Cliente_Mes!$R$2:$R$433,Desconto_Cliente_Mes!$A$2:$A$433,H$29,Desconto_Cliente_Mes!$B$2:$B$433,$A29,Desconto_Cliente_Mes!$C$2:$C$433,"Proteina"))))*(SUMIFS(Desconto_Cliente_Mes!$T$2:$T$433,Desconto_Cliente_Mes!$A$2:$A$433,H$29,Desconto_Cliente_Mes!$B$2:$B$433,$A29,Desconto_Cliente_Mes!$C$2:$C$433,"Proteina"))</f>
        <v>-0</v>
      </c>
      <c r="I37" s="16" t="n">
        <f aca="false">$I$31*($I$34/100)*((IF(SUMIFS(Desconto_Cliente_Mes!$S$2:$S$433,Desconto_Cliente_Mes!$A$2:$A$433,I$29,Desconto_Cliente_Mes!$B$2:$B$433,$A29,Desconto_Cliente_Mes!$C$2:$C$433,"Proteina")="",(IF(SUMIFS(Desconto_Cliente_Mes!$R$2:$R$433,Desconto_Cliente_Mes!$A$2:$A$433,I$29,Desconto_Cliente_Mes!$B$2:$B$433,$A29,Desconto_Cliente_Mes!$C$2:$C$433,"Proteina")="",SUMIFS(Desconto_Cliente_Mes!$Q$2:$Q$433,Desconto_Cliente_Mes!$A$2:$A$433,I$29,Desconto_Cliente_Mes!$B$2:$B$433,$A29,Desconto_Cliente_Mes!$C$2:$C$433,"Proteina"),SUMIFS(Desconto_Cliente_Mes!$R$2:$R$433,Desconto_Cliente_Mes!$A$2:$A$433,I$29,Desconto_Cliente_Mes!$B$2:$B$433,$A29,Desconto_Cliente_Mes!$C$2:$C$433,"Proteina"))),SUMIFS(Desconto_Cliente_Mes!$S$2:$S$433,Desconto_Cliente_Mes!$A$2:$A$433,I$29,Desconto_Cliente_Mes!$B$2:$B$433,$A29,Desconto_Cliente_Mes!$C$2:$C$433,"Proteina")))-(IF(SUMIFS(Desconto_Cliente_Mes!$R$2:$R$433,Desconto_Cliente_Mes!$A$2:$A$433,I$29,Desconto_Cliente_Mes!$B$2:$B$433,$A29,Desconto_Cliente_Mes!$C$2:$C$433,"Proteina")="",SUMIFS(Desconto_Cliente_Mes!$Q$2:$Q$433,Desconto_Cliente_Mes!$A$2:$A$433,I$29,Desconto_Cliente_Mes!$B$2:$B$433,$A29,Desconto_Cliente_Mes!$C$2:$C$433,"Proteina"),SUMIFS(Desconto_Cliente_Mes!$R$2:$R$433,Desconto_Cliente_Mes!$A$2:$A$433,I$29,Desconto_Cliente_Mes!$B$2:$B$433,$A29,Desconto_Cliente_Mes!$C$2:$C$433,"Proteina"))))*(SUMIFS(Desconto_Cliente_Mes!$T$2:$T$433,Desconto_Cliente_Mes!$A$2:$A$433,I$29,Desconto_Cliente_Mes!$B$2:$B$433,$A29,Desconto_Cliente_Mes!$C$2:$C$433,"Proteina"))</f>
        <v>-0</v>
      </c>
      <c r="J37" s="16" t="n">
        <f aca="false">$J$31*($J$34/100)*((IF(SUMIFS(Desconto_Cliente_Mes!$S$2:$S$433,Desconto_Cliente_Mes!$A$2:$A$433,J$29,Desconto_Cliente_Mes!$B$2:$B$433,$A29,Desconto_Cliente_Mes!$C$2:$C$433,"Proteina")="",(IF(SUMIFS(Desconto_Cliente_Mes!$R$2:$R$433,Desconto_Cliente_Mes!$A$2:$A$433,J$29,Desconto_Cliente_Mes!$B$2:$B$433,$A29,Desconto_Cliente_Mes!$C$2:$C$433,"Proteina")="",SUMIFS(Desconto_Cliente_Mes!$Q$2:$Q$433,Desconto_Cliente_Mes!$A$2:$A$433,J$29,Desconto_Cliente_Mes!$B$2:$B$433,$A29,Desconto_Cliente_Mes!$C$2:$C$433,"Proteina"),SUMIFS(Desconto_Cliente_Mes!$R$2:$R$433,Desconto_Cliente_Mes!$A$2:$A$433,J$29,Desconto_Cliente_Mes!$B$2:$B$433,$A29,Desconto_Cliente_Mes!$C$2:$C$433,"Proteina"))),SUMIFS(Desconto_Cliente_Mes!$S$2:$S$433,Desconto_Cliente_Mes!$A$2:$A$433,J$29,Desconto_Cliente_Mes!$B$2:$B$433,$A29,Desconto_Cliente_Mes!$C$2:$C$433,"Proteina")))-(IF(SUMIFS(Desconto_Cliente_Mes!$R$2:$R$433,Desconto_Cliente_Mes!$A$2:$A$433,J$29,Desconto_Cliente_Mes!$B$2:$B$433,$A29,Desconto_Cliente_Mes!$C$2:$C$433,"Proteina")="",SUMIFS(Desconto_Cliente_Mes!$Q$2:$Q$433,Desconto_Cliente_Mes!$A$2:$A$433,J$29,Desconto_Cliente_Mes!$B$2:$B$433,$A29,Desconto_Cliente_Mes!$C$2:$C$433,"Proteina"),SUMIFS(Desconto_Cliente_Mes!$R$2:$R$433,Desconto_Cliente_Mes!$A$2:$A$433,J$29,Desconto_Cliente_Mes!$B$2:$B$433,$A29,Desconto_Cliente_Mes!$C$2:$C$433,"Proteina"))))*(SUMIFS(Desconto_Cliente_Mes!$T$2:$T$433,Desconto_Cliente_Mes!$A$2:$A$433,J$29,Desconto_Cliente_Mes!$B$2:$B$433,$A29,Desconto_Cliente_Mes!$C$2:$C$433,"Proteina"))</f>
        <v>-0</v>
      </c>
      <c r="K37" s="16" t="n">
        <f aca="false">$K$31*($K$34/100)*((IF(SUMIFS(Desconto_Cliente_Mes!$S$2:$S$433,Desconto_Cliente_Mes!$A$2:$A$433,K$29,Desconto_Cliente_Mes!$B$2:$B$433,$A29,Desconto_Cliente_Mes!$C$2:$C$433,"Proteina")="",(IF(SUMIFS(Desconto_Cliente_Mes!$R$2:$R$433,Desconto_Cliente_Mes!$A$2:$A$433,K$29,Desconto_Cliente_Mes!$B$2:$B$433,$A29,Desconto_Cliente_Mes!$C$2:$C$433,"Proteina")="",SUMIFS(Desconto_Cliente_Mes!$Q$2:$Q$433,Desconto_Cliente_Mes!$A$2:$A$433,K$29,Desconto_Cliente_Mes!$B$2:$B$433,$A29,Desconto_Cliente_Mes!$C$2:$C$433,"Proteina"),SUMIFS(Desconto_Cliente_Mes!$R$2:$R$433,Desconto_Cliente_Mes!$A$2:$A$433,K$29,Desconto_Cliente_Mes!$B$2:$B$433,$A29,Desconto_Cliente_Mes!$C$2:$C$433,"Proteina"))),SUMIFS(Desconto_Cliente_Mes!$S$2:$S$433,Desconto_Cliente_Mes!$A$2:$A$433,K$29,Desconto_Cliente_Mes!$B$2:$B$433,$A29,Desconto_Cliente_Mes!$C$2:$C$433,"Proteina")))-(IF(SUMIFS(Desconto_Cliente_Mes!$R$2:$R$433,Desconto_Cliente_Mes!$A$2:$A$433,K$29,Desconto_Cliente_Mes!$B$2:$B$433,$A29,Desconto_Cliente_Mes!$C$2:$C$433,"Proteina")="",SUMIFS(Desconto_Cliente_Mes!$Q$2:$Q$433,Desconto_Cliente_Mes!$A$2:$A$433,K$29,Desconto_Cliente_Mes!$B$2:$B$433,$A29,Desconto_Cliente_Mes!$C$2:$C$433,"Proteina"),SUMIFS(Desconto_Cliente_Mes!$R$2:$R$433,Desconto_Cliente_Mes!$A$2:$A$433,K$29,Desconto_Cliente_Mes!$B$2:$B$433,$A29,Desconto_Cliente_Mes!$C$2:$C$433,"Proteina"))))*(SUMIFS(Desconto_Cliente_Mes!$T$2:$T$433,Desconto_Cliente_Mes!$A$2:$A$433,K$29,Desconto_Cliente_Mes!$B$2:$B$433,$A29,Desconto_Cliente_Mes!$C$2:$C$433,"Proteina"))</f>
        <v>-0</v>
      </c>
      <c r="L37" s="16" t="n">
        <f aca="false">$L$31*($L$34/100)*((IF(SUMIFS(Desconto_Cliente_Mes!$S$2:$S$433,Desconto_Cliente_Mes!$A$2:$A$433,L$29,Desconto_Cliente_Mes!$B$2:$B$433,$A29,Desconto_Cliente_Mes!$C$2:$C$433,"Proteina")="",(IF(SUMIFS(Desconto_Cliente_Mes!$R$2:$R$433,Desconto_Cliente_Mes!$A$2:$A$433,L$29,Desconto_Cliente_Mes!$B$2:$B$433,$A29,Desconto_Cliente_Mes!$C$2:$C$433,"Proteina")="",SUMIFS(Desconto_Cliente_Mes!$Q$2:$Q$433,Desconto_Cliente_Mes!$A$2:$A$433,L$29,Desconto_Cliente_Mes!$B$2:$B$433,$A29,Desconto_Cliente_Mes!$C$2:$C$433,"Proteina"),SUMIFS(Desconto_Cliente_Mes!$R$2:$R$433,Desconto_Cliente_Mes!$A$2:$A$433,L$29,Desconto_Cliente_Mes!$B$2:$B$433,$A29,Desconto_Cliente_Mes!$C$2:$C$433,"Proteina"))),SUMIFS(Desconto_Cliente_Mes!$S$2:$S$433,Desconto_Cliente_Mes!$A$2:$A$433,L$29,Desconto_Cliente_Mes!$B$2:$B$433,$A29,Desconto_Cliente_Mes!$C$2:$C$433,"Proteina")))-(IF(SUMIFS(Desconto_Cliente_Mes!$R$2:$R$433,Desconto_Cliente_Mes!$A$2:$A$433,L$29,Desconto_Cliente_Mes!$B$2:$B$433,$A29,Desconto_Cliente_Mes!$C$2:$C$433,"Proteina")="",SUMIFS(Desconto_Cliente_Mes!$Q$2:$Q$433,Desconto_Cliente_Mes!$A$2:$A$433,L$29,Desconto_Cliente_Mes!$B$2:$B$433,$A29,Desconto_Cliente_Mes!$C$2:$C$433,"Proteina"),SUMIFS(Desconto_Cliente_Mes!$R$2:$R$433,Desconto_Cliente_Mes!$A$2:$A$433,L$29,Desconto_Cliente_Mes!$B$2:$B$433,$A29,Desconto_Cliente_Mes!$C$2:$C$433,"Proteina"))))*(SUMIFS(Desconto_Cliente_Mes!$T$2:$T$433,Desconto_Cliente_Mes!$A$2:$A$433,L$29,Desconto_Cliente_Mes!$B$2:$B$433,$A29,Desconto_Cliente_Mes!$C$2:$C$433,"Proteina"))</f>
        <v>-0</v>
      </c>
      <c r="M37" s="16" t="n">
        <f aca="false">$M$31*($M$34/100)*((IF(SUMIFS(Desconto_Cliente_Mes!$S$2:$S$433,Desconto_Cliente_Mes!$A$2:$A$433,M$29,Desconto_Cliente_Mes!$B$2:$B$433,$A29,Desconto_Cliente_Mes!$C$2:$C$433,"Proteina")="",(IF(SUMIFS(Desconto_Cliente_Mes!$R$2:$R$433,Desconto_Cliente_Mes!$A$2:$A$433,M$29,Desconto_Cliente_Mes!$B$2:$B$433,$A29,Desconto_Cliente_Mes!$C$2:$C$433,"Proteina")="",SUMIFS(Desconto_Cliente_Mes!$Q$2:$Q$433,Desconto_Cliente_Mes!$A$2:$A$433,M$29,Desconto_Cliente_Mes!$B$2:$B$433,$A29,Desconto_Cliente_Mes!$C$2:$C$433,"Proteina"),SUMIFS(Desconto_Cliente_Mes!$R$2:$R$433,Desconto_Cliente_Mes!$A$2:$A$433,M$29,Desconto_Cliente_Mes!$B$2:$B$433,$A29,Desconto_Cliente_Mes!$C$2:$C$433,"Proteina"))),SUMIFS(Desconto_Cliente_Mes!$S$2:$S$433,Desconto_Cliente_Mes!$A$2:$A$433,M$29,Desconto_Cliente_Mes!$B$2:$B$433,$A29,Desconto_Cliente_Mes!$C$2:$C$433,"Proteina")))-(IF(SUMIFS(Desconto_Cliente_Mes!$R$2:$R$433,Desconto_Cliente_Mes!$A$2:$A$433,M$29,Desconto_Cliente_Mes!$B$2:$B$433,$A29,Desconto_Cliente_Mes!$C$2:$C$433,"Proteina")="",SUMIFS(Desconto_Cliente_Mes!$Q$2:$Q$433,Desconto_Cliente_Mes!$A$2:$A$433,M$29,Desconto_Cliente_Mes!$B$2:$B$433,$A29,Desconto_Cliente_Mes!$C$2:$C$433,"Proteina"),SUMIFS(Desconto_Cliente_Mes!$R$2:$R$433,Desconto_Cliente_Mes!$A$2:$A$433,M$29,Desconto_Cliente_Mes!$B$2:$B$433,$A29,Desconto_Cliente_Mes!$C$2:$C$433,"Proteina"))))*(SUMIFS(Desconto_Cliente_Mes!$T$2:$T$433,Desconto_Cliente_Mes!$A$2:$A$433,M$29,Desconto_Cliente_Mes!$B$2:$B$433,$A29,Desconto_Cliente_Mes!$C$2:$C$433,"Proteina"))</f>
        <v>-0</v>
      </c>
      <c r="N37" s="17" t="n">
        <f aca="false">SUM(B37:M37)</f>
        <v>0</v>
      </c>
    </row>
    <row r="38" customFormat="false" ht="15" hidden="false" customHeight="false" outlineLevel="0" collapsed="false">
      <c r="A38" s="13" t="s">
        <v>82</v>
      </c>
      <c r="B38" s="16" t="n">
        <f aca="false">SUMIFS(Acerto_Detalhado!$J$2:$J$433,Acerto_Detalhado!$A$2:$A$433,B$29,Acerto_Detalhado!$B$2:$B$433,$A29,Acerto_Detalhado!$C$2:$C$433,"Proteina")</f>
        <v>0</v>
      </c>
      <c r="C38" s="16" t="n">
        <f aca="false">SUMIFS(Acerto_Detalhado!$J$2:$J$433,Acerto_Detalhado!$A$2:$A$433,C$29,Acerto_Detalhado!$B$2:$B$433,$A29,Acerto_Detalhado!$C$2:$C$433,"Proteina")</f>
        <v>58783.8163550375</v>
      </c>
      <c r="D38" s="16" t="n">
        <f aca="false">SUMIFS(Acerto_Detalhado!$J$2:$J$433,Acerto_Detalhado!$A$2:$A$433,D$29,Acerto_Detalhado!$B$2:$B$433,$A29,Acerto_Detalhado!$C$2:$C$433,"Proteina")</f>
        <v>16657.2142134015</v>
      </c>
      <c r="E38" s="16" t="n">
        <f aca="false">SUMIFS(Acerto_Detalhado!$J$2:$J$433,Acerto_Detalhado!$A$2:$A$433,E$29,Acerto_Detalhado!$B$2:$B$433,$A29,Acerto_Detalhado!$C$2:$C$433,"Proteina")</f>
        <v>0</v>
      </c>
      <c r="F38" s="16" t="n">
        <f aca="false">SUMIFS(Acerto_Detalhado!$J$2:$J$433,Acerto_Detalhado!$A$2:$A$433,F$29,Acerto_Detalhado!$B$2:$B$433,$A29,Acerto_Detalhado!$C$2:$C$433,"Proteina")</f>
        <v>0</v>
      </c>
      <c r="G38" s="16" t="n">
        <f aca="false">SUMIFS(Acerto_Detalhado!$J$2:$J$433,Acerto_Detalhado!$A$2:$A$433,G$29,Acerto_Detalhado!$B$2:$B$433,$A29,Acerto_Detalhado!$C$2:$C$433,"Proteina")</f>
        <v>0</v>
      </c>
      <c r="H38" s="16" t="n">
        <f aca="false">SUMIFS(Acerto_Detalhado!$J$2:$J$433,Acerto_Detalhado!$A$2:$A$433,H$29,Acerto_Detalhado!$B$2:$B$433,$A29,Acerto_Detalhado!$C$2:$C$433,"Proteina")</f>
        <v>192.045586407993</v>
      </c>
      <c r="I38" s="16" t="n">
        <f aca="false">SUMIFS(Acerto_Detalhado!$J$2:$J$433,Acerto_Detalhado!$A$2:$A$433,I$29,Acerto_Detalhado!$B$2:$B$433,$A29,Acerto_Detalhado!$C$2:$C$433,"Proteina")</f>
        <v>0</v>
      </c>
      <c r="J38" s="16" t="n">
        <f aca="false">SUMIFS(Acerto_Detalhado!$J$2:$J$433,Acerto_Detalhado!$A$2:$A$433,J$29,Acerto_Detalhado!$B$2:$B$433,$A29,Acerto_Detalhado!$C$2:$C$433,"Proteina")</f>
        <v>0</v>
      </c>
      <c r="K38" s="16" t="n">
        <f aca="false">SUMIFS(Acerto_Detalhado!$J$2:$J$433,Acerto_Detalhado!$A$2:$A$433,K$29,Acerto_Detalhado!$B$2:$B$433,$A29,Acerto_Detalhado!$C$2:$C$433,"Proteina")</f>
        <v>0</v>
      </c>
      <c r="L38" s="16" t="n">
        <f aca="false">SUMIFS(Acerto_Detalhado!$J$2:$J$433,Acerto_Detalhado!$A$2:$A$433,L$29,Acerto_Detalhado!$B$2:$B$433,$A29,Acerto_Detalhado!$C$2:$C$433,"Proteina")</f>
        <v>0</v>
      </c>
      <c r="M38" s="16" t="n">
        <f aca="false">SUMIFS(Acerto_Detalhado!$J$2:$J$433,Acerto_Detalhado!$A$2:$A$433,M$29,Acerto_Detalhado!$B$2:$B$433,$A29,Acerto_Detalhado!$C$2:$C$433,"Proteina")</f>
        <v>0</v>
      </c>
      <c r="N38" s="17" t="n">
        <f aca="false">SUM(B38:M38)</f>
        <v>75633.0761548471</v>
      </c>
    </row>
    <row r="40" customFormat="false" ht="15" hidden="false" customHeight="false" outlineLevel="0" collapsed="false">
      <c r="A40" s="5" t="s">
        <v>61</v>
      </c>
      <c r="B40" s="6" t="s">
        <v>39</v>
      </c>
      <c r="C40" s="6" t="s">
        <v>40</v>
      </c>
      <c r="D40" s="6" t="s">
        <v>41</v>
      </c>
      <c r="E40" s="6" t="s">
        <v>42</v>
      </c>
      <c r="F40" s="6" t="s">
        <v>43</v>
      </c>
      <c r="G40" s="6" t="s">
        <v>44</v>
      </c>
      <c r="H40" s="6" t="s">
        <v>45</v>
      </c>
      <c r="I40" s="6" t="s">
        <v>46</v>
      </c>
      <c r="J40" s="6" t="s">
        <v>47</v>
      </c>
      <c r="K40" s="6" t="s">
        <v>48</v>
      </c>
      <c r="L40" s="6" t="s">
        <v>49</v>
      </c>
      <c r="M40" s="6" t="s">
        <v>50</v>
      </c>
      <c r="N40" s="6" t="s">
        <v>51</v>
      </c>
    </row>
    <row r="41" customFormat="false" ht="15" hidden="false" customHeight="false" outlineLevel="0" collapsed="false">
      <c r="A41" s="13" t="s">
        <v>74</v>
      </c>
      <c r="B41" s="10" t="n">
        <f aca="false">IF((SUMIFS(Desconto_Cliente_Mes!$D$2:$D$433,Desconto_Cliente_Mes!$A$2:$A$433,B$40,Desconto_Cliente_Mes!$B$2:$B$433,$A40,Desconto_Cliente_Mes!$C$2:$C$433,"Proteina"))=0,"",IFERROR(SUMIFS(Desconto_Cliente_Mes!$E$2:$E$433,Desconto_Cliente_Mes!$A$2:$A$433,B$40,Desconto_Cliente_Mes!$B$2:$B$433,$A40,Desconto_Cliente_Mes!$C$2:$C$433,"Proteina"),""))</f>
        <v>47.3792490438802</v>
      </c>
      <c r="C41" s="10" t="n">
        <f aca="false">IF((SUMIFS(Desconto_Cliente_Mes!$D$2:$D$433,Desconto_Cliente_Mes!$A$2:$A$433,C$40,Desconto_Cliente_Mes!$B$2:$B$433,$A40,Desconto_Cliente_Mes!$C$2:$C$433,"Proteina"))=0,"",IFERROR(SUMIFS(Desconto_Cliente_Mes!$E$2:$E$433,Desconto_Cliente_Mes!$A$2:$A$433,C$40,Desconto_Cliente_Mes!$B$2:$B$433,$A40,Desconto_Cliente_Mes!$C$2:$C$433,"Proteina"),""))</f>
        <v>47.8448746115898</v>
      </c>
      <c r="D41" s="10" t="n">
        <f aca="false">IF((SUMIFS(Desconto_Cliente_Mes!$D$2:$D$433,Desconto_Cliente_Mes!$A$2:$A$433,D$40,Desconto_Cliente_Mes!$B$2:$B$433,$A40,Desconto_Cliente_Mes!$C$2:$C$433,"Proteina"))=0,"",IFERROR(SUMIFS(Desconto_Cliente_Mes!$E$2:$E$433,Desconto_Cliente_Mes!$A$2:$A$433,D$40,Desconto_Cliente_Mes!$B$2:$B$433,$A40,Desconto_Cliente_Mes!$C$2:$C$433,"Proteina"),""))</f>
        <v>47.5376382051138</v>
      </c>
      <c r="E41" s="10" t="n">
        <f aca="false">IF((SUMIFS(Desconto_Cliente_Mes!$D$2:$D$433,Desconto_Cliente_Mes!$A$2:$A$433,E$40,Desconto_Cliente_Mes!$B$2:$B$433,$A40,Desconto_Cliente_Mes!$C$2:$C$433,"Proteina"))=0,"",IFERROR(SUMIFS(Desconto_Cliente_Mes!$E$2:$E$433,Desconto_Cliente_Mes!$A$2:$A$433,E$40,Desconto_Cliente_Mes!$B$2:$B$433,$A40,Desconto_Cliente_Mes!$C$2:$C$433,"Proteina"),""))</f>
        <v>47.5865365357725</v>
      </c>
      <c r="F41" s="10" t="n">
        <f aca="false">IF((SUMIFS(Desconto_Cliente_Mes!$D$2:$D$433,Desconto_Cliente_Mes!$A$2:$A$433,F$40,Desconto_Cliente_Mes!$B$2:$B$433,$A40,Desconto_Cliente_Mes!$C$2:$C$433,"Proteina"))=0,"",IFERROR(SUMIFS(Desconto_Cliente_Mes!$E$2:$E$433,Desconto_Cliente_Mes!$A$2:$A$433,F$40,Desconto_Cliente_Mes!$B$2:$B$433,$A40,Desconto_Cliente_Mes!$C$2:$C$433,"Proteina"),""))</f>
        <v>47.3172978624022</v>
      </c>
      <c r="G41" s="10" t="n">
        <f aca="false">IF((SUMIFS(Desconto_Cliente_Mes!$D$2:$D$433,Desconto_Cliente_Mes!$A$2:$A$433,G$40,Desconto_Cliente_Mes!$B$2:$B$433,$A40,Desconto_Cliente_Mes!$C$2:$C$433,"Proteina"))=0,"",IFERROR(SUMIFS(Desconto_Cliente_Mes!$E$2:$E$433,Desconto_Cliente_Mes!$A$2:$A$433,G$40,Desconto_Cliente_Mes!$B$2:$B$433,$A40,Desconto_Cliente_Mes!$C$2:$C$433,"Proteina"),""))</f>
        <v>47.6019370855371</v>
      </c>
      <c r="H41" s="10" t="n">
        <f aca="false">IF((SUMIFS(Desconto_Cliente_Mes!$D$2:$D$433,Desconto_Cliente_Mes!$A$2:$A$433,H$40,Desconto_Cliente_Mes!$B$2:$B$433,$A40,Desconto_Cliente_Mes!$C$2:$C$433,"Proteina"))=0,"",IFERROR(SUMIFS(Desconto_Cliente_Mes!$E$2:$E$433,Desconto_Cliente_Mes!$A$2:$A$433,H$40,Desconto_Cliente_Mes!$B$2:$B$433,$A40,Desconto_Cliente_Mes!$C$2:$C$433,"Proteina"),""))</f>
        <v>47.4442792275364</v>
      </c>
      <c r="I41" s="10" t="str">
        <f aca="false">IF((SUMIFS(Desconto_Cliente_Mes!$D$2:$D$433,Desconto_Cliente_Mes!$A$2:$A$433,I$40,Desconto_Cliente_Mes!$B$2:$B$433,$A40,Desconto_Cliente_Mes!$C$2:$C$433,"Proteina"))=0,"",IFERROR(SUMIFS(Desconto_Cliente_Mes!$E$2:$E$433,Desconto_Cliente_Mes!$A$2:$A$433,I$40,Desconto_Cliente_Mes!$B$2:$B$433,$A40,Desconto_Cliente_Mes!$C$2:$C$433,"Proteina"),""))</f>
        <v/>
      </c>
      <c r="J41" s="10" t="str">
        <f aca="false">IF((SUMIFS(Desconto_Cliente_Mes!$D$2:$D$433,Desconto_Cliente_Mes!$A$2:$A$433,J$40,Desconto_Cliente_Mes!$B$2:$B$433,$A40,Desconto_Cliente_Mes!$C$2:$C$433,"Proteina"))=0,"",IFERROR(SUMIFS(Desconto_Cliente_Mes!$E$2:$E$433,Desconto_Cliente_Mes!$A$2:$A$433,J$40,Desconto_Cliente_Mes!$B$2:$B$433,$A40,Desconto_Cliente_Mes!$C$2:$C$433,"Proteina"),""))</f>
        <v/>
      </c>
      <c r="K41" s="10" t="str">
        <f aca="false">IF((SUMIFS(Desconto_Cliente_Mes!$D$2:$D$433,Desconto_Cliente_Mes!$A$2:$A$433,K$40,Desconto_Cliente_Mes!$B$2:$B$433,$A40,Desconto_Cliente_Mes!$C$2:$C$433,"Proteina"))=0,"",IFERROR(SUMIFS(Desconto_Cliente_Mes!$E$2:$E$433,Desconto_Cliente_Mes!$A$2:$A$433,K$40,Desconto_Cliente_Mes!$B$2:$B$433,$A40,Desconto_Cliente_Mes!$C$2:$C$433,"Proteina"),""))</f>
        <v/>
      </c>
      <c r="L41" s="10" t="str">
        <f aca="false">IF((SUMIFS(Desconto_Cliente_Mes!$D$2:$D$433,Desconto_Cliente_Mes!$A$2:$A$433,L$40,Desconto_Cliente_Mes!$B$2:$B$433,$A40,Desconto_Cliente_Mes!$C$2:$C$433,"Proteina"))=0,"",IFERROR(SUMIFS(Desconto_Cliente_Mes!$E$2:$E$433,Desconto_Cliente_Mes!$A$2:$A$433,L$40,Desconto_Cliente_Mes!$B$2:$B$433,$A40,Desconto_Cliente_Mes!$C$2:$C$433,"Proteina"),""))</f>
        <v/>
      </c>
      <c r="M41" s="10" t="str">
        <f aca="false">IF((SUMIFS(Desconto_Cliente_Mes!$D$2:$D$433,Desconto_Cliente_Mes!$A$2:$A$433,M$40,Desconto_Cliente_Mes!$B$2:$B$433,$A40,Desconto_Cliente_Mes!$C$2:$C$433,"Proteina"))=0,"",IFERROR(SUMIFS(Desconto_Cliente_Mes!$E$2:$E$433,Desconto_Cliente_Mes!$A$2:$A$433,M$40,Desconto_Cliente_Mes!$B$2:$B$433,$A40,Desconto_Cliente_Mes!$C$2:$C$433,"Proteina"),""))</f>
        <v/>
      </c>
      <c r="N41" s="11" t="n">
        <f aca="false">IFERROR(Media_Pool_Mes!C5,"")</f>
        <v>47.5395057496784</v>
      </c>
    </row>
    <row r="42" customFormat="false" ht="15" hidden="false" customHeight="false" outlineLevel="0" collapsed="false">
      <c r="A42" s="13" t="s">
        <v>75</v>
      </c>
      <c r="B42" s="8" t="n">
        <f aca="false">IFERROR(SUMIFS(Desconto_Cliente_Mes!$D$2:$D$433,Desconto_Cliente_Mes!$A$2:$A$433,B$40,Desconto_Cliente_Mes!$B$2:$B$433,$A40,Desconto_Cliente_Mes!$C$2:$C$433,"Proteina"),0)</f>
        <v>16786.6</v>
      </c>
      <c r="C42" s="8" t="n">
        <f aca="false">IFERROR(SUMIFS(Desconto_Cliente_Mes!$D$2:$D$433,Desconto_Cliente_Mes!$A$2:$A$433,C$40,Desconto_Cliente_Mes!$B$2:$B$433,$A40,Desconto_Cliente_Mes!$C$2:$C$433,"Proteina"),0)</f>
        <v>53319.92</v>
      </c>
      <c r="D42" s="8" t="n">
        <f aca="false">IFERROR(SUMIFS(Desconto_Cliente_Mes!$D$2:$D$433,Desconto_Cliente_Mes!$A$2:$A$433,D$40,Desconto_Cliente_Mes!$B$2:$B$433,$A40,Desconto_Cliente_Mes!$C$2:$C$433,"Proteina"),0)</f>
        <v>42872.69</v>
      </c>
      <c r="E42" s="8" t="n">
        <f aca="false">IFERROR(SUMIFS(Desconto_Cliente_Mes!$D$2:$D$433,Desconto_Cliente_Mes!$A$2:$A$433,E$40,Desconto_Cliente_Mes!$B$2:$B$433,$A40,Desconto_Cliente_Mes!$C$2:$C$433,"Proteina"),0)</f>
        <v>53714.89</v>
      </c>
      <c r="F42" s="8" t="n">
        <f aca="false">IFERROR(SUMIFS(Desconto_Cliente_Mes!$D$2:$D$433,Desconto_Cliente_Mes!$A$2:$A$433,F$40,Desconto_Cliente_Mes!$B$2:$B$433,$A40,Desconto_Cliente_Mes!$C$2:$C$433,"Proteina"),0)</f>
        <v>92764.41</v>
      </c>
      <c r="G42" s="8" t="n">
        <f aca="false">IFERROR(SUMIFS(Desconto_Cliente_Mes!$D$2:$D$433,Desconto_Cliente_Mes!$A$2:$A$433,G$40,Desconto_Cliente_Mes!$B$2:$B$433,$A40,Desconto_Cliente_Mes!$C$2:$C$433,"Proteina"),0)</f>
        <v>88798.66</v>
      </c>
      <c r="H42" s="8" t="n">
        <f aca="false">IFERROR(SUMIFS(Desconto_Cliente_Mes!$D$2:$D$433,Desconto_Cliente_Mes!$A$2:$A$433,H$40,Desconto_Cliente_Mes!$B$2:$B$433,$A40,Desconto_Cliente_Mes!$C$2:$C$433,"Proteina"),0)</f>
        <v>10176.79</v>
      </c>
      <c r="I42" s="8" t="n">
        <f aca="false">IFERROR(SUMIFS(Desconto_Cliente_Mes!$D$2:$D$433,Desconto_Cliente_Mes!$A$2:$A$433,I$40,Desconto_Cliente_Mes!$B$2:$B$433,$A40,Desconto_Cliente_Mes!$C$2:$C$433,"Proteina"),0)</f>
        <v>0</v>
      </c>
      <c r="J42" s="8" t="n">
        <f aca="false">IFERROR(SUMIFS(Desconto_Cliente_Mes!$D$2:$D$433,Desconto_Cliente_Mes!$A$2:$A$433,J$40,Desconto_Cliente_Mes!$B$2:$B$433,$A40,Desconto_Cliente_Mes!$C$2:$C$433,"Proteina"),0)</f>
        <v>0</v>
      </c>
      <c r="K42" s="8" t="n">
        <f aca="false">IFERROR(SUMIFS(Desconto_Cliente_Mes!$D$2:$D$433,Desconto_Cliente_Mes!$A$2:$A$433,K$40,Desconto_Cliente_Mes!$B$2:$B$433,$A40,Desconto_Cliente_Mes!$C$2:$C$433,"Proteina"),0)</f>
        <v>0</v>
      </c>
      <c r="L42" s="8" t="n">
        <f aca="false">IFERROR(SUMIFS(Desconto_Cliente_Mes!$D$2:$D$433,Desconto_Cliente_Mes!$A$2:$A$433,L$40,Desconto_Cliente_Mes!$B$2:$B$433,$A40,Desconto_Cliente_Mes!$C$2:$C$433,"Proteina"),0)</f>
        <v>0</v>
      </c>
      <c r="M42" s="8" t="n">
        <f aca="false">IFERROR(SUMIFS(Desconto_Cliente_Mes!$D$2:$D$433,Desconto_Cliente_Mes!$A$2:$A$433,M$40,Desconto_Cliente_Mes!$B$2:$B$433,$A40,Desconto_Cliente_Mes!$C$2:$C$433,"Proteina"),0)</f>
        <v>0</v>
      </c>
      <c r="N42" s="9" t="n">
        <f aca="false">SUM(B42:M42)</f>
        <v>358433.96</v>
      </c>
    </row>
    <row r="43" customFormat="false" ht="15" hidden="false" customHeight="false" outlineLevel="0" collapsed="false">
      <c r="A43" s="13" t="s">
        <v>76</v>
      </c>
      <c r="B43" s="15" t="n">
        <f aca="false">MAX(0,(SUMIFS(Desconto_Cliente_Mes!$L$2:$L$433,Desconto_Cliente_Mes!$A$2:$A$433,B$40,Desconto_Cliente_Mes!$B$2:$B$433,$A40,Desconto_Cliente_Mes!$C$2:$C$433,"Proteina"))-(SUMIFS(Desconto_Cliente_Mes!$N$2:$N$433,Desconto_Cliente_Mes!$A$2:$A$433,B$40,Desconto_Cliente_Mes!$B$2:$B$433,$A40,Desconto_Cliente_Mes!$C$2:$C$433,"Proteina")))</f>
        <v>0.160256705798155</v>
      </c>
      <c r="C43" s="15" t="n">
        <f aca="false">MAX(0,(SUMIFS(Desconto_Cliente_Mes!$L$2:$L$433,Desconto_Cliente_Mes!$A$2:$A$433,C$40,Desconto_Cliente_Mes!$B$2:$B$433,$A40,Desconto_Cliente_Mes!$C$2:$C$433,"Proteina"))-(SUMIFS(Desconto_Cliente_Mes!$N$2:$N$433,Desconto_Cliente_Mes!$A$2:$A$433,C$40,Desconto_Cliente_Mes!$B$2:$B$433,$A40,Desconto_Cliente_Mes!$C$2:$C$433,"Proteina")))</f>
        <v>0</v>
      </c>
      <c r="D43" s="15" t="n">
        <f aca="false">MAX(0,(SUMIFS(Desconto_Cliente_Mes!$L$2:$L$433,Desconto_Cliente_Mes!$A$2:$A$433,D$40,Desconto_Cliente_Mes!$B$2:$B$433,$A40,Desconto_Cliente_Mes!$C$2:$C$433,"Proteina"))-(SUMIFS(Desconto_Cliente_Mes!$N$2:$N$433,Desconto_Cliente_Mes!$A$2:$A$433,D$40,Desconto_Cliente_Mes!$B$2:$B$433,$A40,Desconto_Cliente_Mes!$C$2:$C$433,"Proteina")))</f>
        <v>0.00186754456461102</v>
      </c>
      <c r="E43" s="15" t="n">
        <f aca="false">MAX(0,(SUMIFS(Desconto_Cliente_Mes!$L$2:$L$433,Desconto_Cliente_Mes!$A$2:$A$433,E$40,Desconto_Cliente_Mes!$B$2:$B$433,$A40,Desconto_Cliente_Mes!$C$2:$C$433,"Proteina"))-(SUMIFS(Desconto_Cliente_Mes!$N$2:$N$433,Desconto_Cliente_Mes!$A$2:$A$433,E$40,Desconto_Cliente_Mes!$B$2:$B$433,$A40,Desconto_Cliente_Mes!$C$2:$C$433,"Proteina")))</f>
        <v>0</v>
      </c>
      <c r="F43" s="15" t="n">
        <f aca="false">MAX(0,(SUMIFS(Desconto_Cliente_Mes!$L$2:$L$433,Desconto_Cliente_Mes!$A$2:$A$433,F$40,Desconto_Cliente_Mes!$B$2:$B$433,$A40,Desconto_Cliente_Mes!$C$2:$C$433,"Proteina"))-(SUMIFS(Desconto_Cliente_Mes!$N$2:$N$433,Desconto_Cliente_Mes!$A$2:$A$433,F$40,Desconto_Cliente_Mes!$B$2:$B$433,$A40,Desconto_Cliente_Mes!$C$2:$C$433,"Proteina")))</f>
        <v>0.22220788727622</v>
      </c>
      <c r="G43" s="15" t="n">
        <f aca="false">MAX(0,(SUMIFS(Desconto_Cliente_Mes!$L$2:$L$433,Desconto_Cliente_Mes!$A$2:$A$433,G$40,Desconto_Cliente_Mes!$B$2:$B$433,$A40,Desconto_Cliente_Mes!$C$2:$C$433,"Proteina"))-(SUMIFS(Desconto_Cliente_Mes!$N$2:$N$433,Desconto_Cliente_Mes!$A$2:$A$433,G$40,Desconto_Cliente_Mes!$B$2:$B$433,$A40,Desconto_Cliente_Mes!$C$2:$C$433,"Proteina")))</f>
        <v>0</v>
      </c>
      <c r="H43" s="15" t="n">
        <f aca="false">MAX(0,(SUMIFS(Desconto_Cliente_Mes!$L$2:$L$433,Desconto_Cliente_Mes!$A$2:$A$433,H$40,Desconto_Cliente_Mes!$B$2:$B$433,$A40,Desconto_Cliente_Mes!$C$2:$C$433,"Proteina"))-(SUMIFS(Desconto_Cliente_Mes!$N$2:$N$433,Desconto_Cliente_Mes!$A$2:$A$433,H$40,Desconto_Cliente_Mes!$B$2:$B$433,$A40,Desconto_Cliente_Mes!$C$2:$C$433,"Proteina")))</f>
        <v>0.0952265221420063</v>
      </c>
      <c r="I43" s="15" t="n">
        <f aca="false">MAX(0,(SUMIFS(Desconto_Cliente_Mes!$L$2:$L$433,Desconto_Cliente_Mes!$A$2:$A$433,I$40,Desconto_Cliente_Mes!$B$2:$B$433,$A40,Desconto_Cliente_Mes!$C$2:$C$433,"Proteina"))-(SUMIFS(Desconto_Cliente_Mes!$N$2:$N$433,Desconto_Cliente_Mes!$A$2:$A$433,I$40,Desconto_Cliente_Mes!$B$2:$B$433,$A40,Desconto_Cliente_Mes!$C$2:$C$433,"Proteina")))</f>
        <v>0</v>
      </c>
      <c r="J43" s="15" t="n">
        <f aca="false">MAX(0,(SUMIFS(Desconto_Cliente_Mes!$L$2:$L$433,Desconto_Cliente_Mes!$A$2:$A$433,J$40,Desconto_Cliente_Mes!$B$2:$B$433,$A40,Desconto_Cliente_Mes!$C$2:$C$433,"Proteina"))-(SUMIFS(Desconto_Cliente_Mes!$N$2:$N$433,Desconto_Cliente_Mes!$A$2:$A$433,J$40,Desconto_Cliente_Mes!$B$2:$B$433,$A40,Desconto_Cliente_Mes!$C$2:$C$433,"Proteina")))</f>
        <v>0</v>
      </c>
      <c r="K43" s="15" t="n">
        <f aca="false">MAX(0,(SUMIFS(Desconto_Cliente_Mes!$L$2:$L$433,Desconto_Cliente_Mes!$A$2:$A$433,K$40,Desconto_Cliente_Mes!$B$2:$B$433,$A40,Desconto_Cliente_Mes!$C$2:$C$433,"Proteina"))-(SUMIFS(Desconto_Cliente_Mes!$N$2:$N$433,Desconto_Cliente_Mes!$A$2:$A$433,K$40,Desconto_Cliente_Mes!$B$2:$B$433,$A40,Desconto_Cliente_Mes!$C$2:$C$433,"Proteina")))</f>
        <v>0</v>
      </c>
      <c r="L43" s="15" t="n">
        <f aca="false">MAX(0,(SUMIFS(Desconto_Cliente_Mes!$L$2:$L$433,Desconto_Cliente_Mes!$A$2:$A$433,L$40,Desconto_Cliente_Mes!$B$2:$B$433,$A40,Desconto_Cliente_Mes!$C$2:$C$433,"Proteina"))-(SUMIFS(Desconto_Cliente_Mes!$N$2:$N$433,Desconto_Cliente_Mes!$A$2:$A$433,L$40,Desconto_Cliente_Mes!$B$2:$B$433,$A40,Desconto_Cliente_Mes!$C$2:$C$433,"Proteina")))</f>
        <v>0</v>
      </c>
      <c r="M43" s="15" t="n">
        <f aca="false">MAX(0,(SUMIFS(Desconto_Cliente_Mes!$L$2:$L$433,Desconto_Cliente_Mes!$A$2:$A$433,M$40,Desconto_Cliente_Mes!$B$2:$B$433,$A40,Desconto_Cliente_Mes!$C$2:$C$433,"Proteina"))-(SUMIFS(Desconto_Cliente_Mes!$N$2:$N$433,Desconto_Cliente_Mes!$A$2:$A$433,M$40,Desconto_Cliente_Mes!$B$2:$B$433,$A40,Desconto_Cliente_Mes!$C$2:$C$433,"Proteina")))</f>
        <v>0</v>
      </c>
    </row>
    <row r="44" customFormat="false" ht="15" hidden="false" customHeight="false" outlineLevel="0" collapsed="false">
      <c r="A44" s="13" t="s">
        <v>77</v>
      </c>
      <c r="B44" s="15" t="n">
        <f aca="false">MAX(0,(SUMIFS(Desconto_Cliente_Mes!$N$2:$N$433,Desconto_Cliente_Mes!$A$2:$A$433,B$40,Desconto_Cliente_Mes!$B$2:$B$433,$A40,Desconto_Cliente_Mes!$C$2:$C$433,"Proteina"))-(SUMIFS(Desconto_Cliente_Mes!$P$2:$P$433,Desconto_Cliente_Mes!$A$2:$A$433,B$40,Desconto_Cliente_Mes!$B$2:$B$433,$A40,Desconto_Cliente_Mes!$C$2:$C$433,"Proteina")))</f>
        <v>0</v>
      </c>
      <c r="C44" s="15" t="n">
        <f aca="false">MAX(0,(SUMIFS(Desconto_Cliente_Mes!$N$2:$N$433,Desconto_Cliente_Mes!$A$2:$A$433,C$40,Desconto_Cliente_Mes!$B$2:$B$433,$A40,Desconto_Cliente_Mes!$C$2:$C$433,"Proteina"))-(SUMIFS(Desconto_Cliente_Mes!$P$2:$P$433,Desconto_Cliente_Mes!$A$2:$A$433,C$40,Desconto_Cliente_Mes!$B$2:$B$433,$A40,Desconto_Cliente_Mes!$C$2:$C$433,"Proteina")))</f>
        <v>0</v>
      </c>
      <c r="D44" s="15" t="n">
        <f aca="false">MAX(0,(SUMIFS(Desconto_Cliente_Mes!$N$2:$N$433,Desconto_Cliente_Mes!$A$2:$A$433,D$40,Desconto_Cliente_Mes!$B$2:$B$433,$A40,Desconto_Cliente_Mes!$C$2:$C$433,"Proteina"))-(SUMIFS(Desconto_Cliente_Mes!$P$2:$P$433,Desconto_Cliente_Mes!$A$2:$A$433,D$40,Desconto_Cliente_Mes!$B$2:$B$433,$A40,Desconto_Cliente_Mes!$C$2:$C$433,"Proteina")))</f>
        <v>0</v>
      </c>
      <c r="E44" s="15" t="n">
        <f aca="false">MAX(0,(SUMIFS(Desconto_Cliente_Mes!$N$2:$N$433,Desconto_Cliente_Mes!$A$2:$A$433,E$40,Desconto_Cliente_Mes!$B$2:$B$433,$A40,Desconto_Cliente_Mes!$C$2:$C$433,"Proteina"))-(SUMIFS(Desconto_Cliente_Mes!$P$2:$P$433,Desconto_Cliente_Mes!$A$2:$A$433,E$40,Desconto_Cliente_Mes!$B$2:$B$433,$A40,Desconto_Cliente_Mes!$C$2:$C$433,"Proteina")))</f>
        <v>0</v>
      </c>
      <c r="F44" s="15" t="n">
        <f aca="false">MAX(0,(SUMIFS(Desconto_Cliente_Mes!$N$2:$N$433,Desconto_Cliente_Mes!$A$2:$A$433,F$40,Desconto_Cliente_Mes!$B$2:$B$433,$A40,Desconto_Cliente_Mes!$C$2:$C$433,"Proteina"))-(SUMIFS(Desconto_Cliente_Mes!$P$2:$P$433,Desconto_Cliente_Mes!$A$2:$A$433,F$40,Desconto_Cliente_Mes!$B$2:$B$433,$A40,Desconto_Cliente_Mes!$C$2:$C$433,"Proteina")))</f>
        <v>0</v>
      </c>
      <c r="G44" s="15" t="n">
        <f aca="false">MAX(0,(SUMIFS(Desconto_Cliente_Mes!$N$2:$N$433,Desconto_Cliente_Mes!$A$2:$A$433,G$40,Desconto_Cliente_Mes!$B$2:$B$433,$A40,Desconto_Cliente_Mes!$C$2:$C$433,"Proteina"))-(SUMIFS(Desconto_Cliente_Mes!$P$2:$P$433,Desconto_Cliente_Mes!$A$2:$A$433,G$40,Desconto_Cliente_Mes!$B$2:$B$433,$A40,Desconto_Cliente_Mes!$C$2:$C$433,"Proteina")))</f>
        <v>0</v>
      </c>
      <c r="H44" s="15" t="n">
        <f aca="false">MAX(0,(SUMIFS(Desconto_Cliente_Mes!$N$2:$N$433,Desconto_Cliente_Mes!$A$2:$A$433,H$40,Desconto_Cliente_Mes!$B$2:$B$433,$A40,Desconto_Cliente_Mes!$C$2:$C$433,"Proteina"))-(SUMIFS(Desconto_Cliente_Mes!$P$2:$P$433,Desconto_Cliente_Mes!$A$2:$A$433,H$40,Desconto_Cliente_Mes!$B$2:$B$433,$A40,Desconto_Cliente_Mes!$C$2:$C$433,"Proteina")))</f>
        <v>0</v>
      </c>
      <c r="I44" s="15" t="n">
        <f aca="false">MAX(0,(SUMIFS(Desconto_Cliente_Mes!$N$2:$N$433,Desconto_Cliente_Mes!$A$2:$A$433,I$40,Desconto_Cliente_Mes!$B$2:$B$433,$A40,Desconto_Cliente_Mes!$C$2:$C$433,"Proteina"))-(SUMIFS(Desconto_Cliente_Mes!$P$2:$P$433,Desconto_Cliente_Mes!$A$2:$A$433,I$40,Desconto_Cliente_Mes!$B$2:$B$433,$A40,Desconto_Cliente_Mes!$C$2:$C$433,"Proteina")))</f>
        <v>0</v>
      </c>
      <c r="J44" s="15" t="n">
        <f aca="false">MAX(0,(SUMIFS(Desconto_Cliente_Mes!$N$2:$N$433,Desconto_Cliente_Mes!$A$2:$A$433,J$40,Desconto_Cliente_Mes!$B$2:$B$433,$A40,Desconto_Cliente_Mes!$C$2:$C$433,"Proteina"))-(SUMIFS(Desconto_Cliente_Mes!$P$2:$P$433,Desconto_Cliente_Mes!$A$2:$A$433,J$40,Desconto_Cliente_Mes!$B$2:$B$433,$A40,Desconto_Cliente_Mes!$C$2:$C$433,"Proteina")))</f>
        <v>0</v>
      </c>
      <c r="K44" s="15" t="n">
        <f aca="false">MAX(0,(SUMIFS(Desconto_Cliente_Mes!$N$2:$N$433,Desconto_Cliente_Mes!$A$2:$A$433,K$40,Desconto_Cliente_Mes!$B$2:$B$433,$A40,Desconto_Cliente_Mes!$C$2:$C$433,"Proteina"))-(SUMIFS(Desconto_Cliente_Mes!$P$2:$P$433,Desconto_Cliente_Mes!$A$2:$A$433,K$40,Desconto_Cliente_Mes!$B$2:$B$433,$A40,Desconto_Cliente_Mes!$C$2:$C$433,"Proteina")))</f>
        <v>0</v>
      </c>
      <c r="L44" s="15" t="n">
        <f aca="false">MAX(0,(SUMIFS(Desconto_Cliente_Mes!$N$2:$N$433,Desconto_Cliente_Mes!$A$2:$A$433,L$40,Desconto_Cliente_Mes!$B$2:$B$433,$A40,Desconto_Cliente_Mes!$C$2:$C$433,"Proteina"))-(SUMIFS(Desconto_Cliente_Mes!$P$2:$P$433,Desconto_Cliente_Mes!$A$2:$A$433,L$40,Desconto_Cliente_Mes!$B$2:$B$433,$A40,Desconto_Cliente_Mes!$C$2:$C$433,"Proteina")))</f>
        <v>0</v>
      </c>
      <c r="M44" s="15" t="n">
        <f aca="false">MAX(0,(SUMIFS(Desconto_Cliente_Mes!$N$2:$N$433,Desconto_Cliente_Mes!$A$2:$A$433,M$40,Desconto_Cliente_Mes!$B$2:$B$433,$A40,Desconto_Cliente_Mes!$C$2:$C$433,"Proteina"))-(SUMIFS(Desconto_Cliente_Mes!$P$2:$P$433,Desconto_Cliente_Mes!$A$2:$A$433,M$40,Desconto_Cliente_Mes!$B$2:$B$433,$A40,Desconto_Cliente_Mes!$C$2:$C$433,"Proteina")))</f>
        <v>0</v>
      </c>
    </row>
    <row r="45" customFormat="false" ht="15" hidden="false" customHeight="false" outlineLevel="0" collapsed="false">
      <c r="A45" s="13" t="s">
        <v>78</v>
      </c>
      <c r="B45" s="15" t="n">
        <f aca="false">MAX(0,SUMIFS(Desconto_Cliente_Mes!$P$2:$P$433,Desconto_Cliente_Mes!$A$2:$A$433,B$40,Desconto_Cliente_Mes!$B$2:$B$433,$A40,Desconto_Cliente_Mes!$C$2:$C$433,"Proteina"))</f>
        <v>0</v>
      </c>
      <c r="C45" s="15" t="n">
        <f aca="false">MAX(0,SUMIFS(Desconto_Cliente_Mes!$P$2:$P$433,Desconto_Cliente_Mes!$A$2:$A$433,C$40,Desconto_Cliente_Mes!$B$2:$B$433,$A40,Desconto_Cliente_Mes!$C$2:$C$433,"Proteina"))</f>
        <v>0</v>
      </c>
      <c r="D45" s="15" t="n">
        <f aca="false">MAX(0,SUMIFS(Desconto_Cliente_Mes!$P$2:$P$433,Desconto_Cliente_Mes!$A$2:$A$433,D$40,Desconto_Cliente_Mes!$B$2:$B$433,$A40,Desconto_Cliente_Mes!$C$2:$C$433,"Proteina"))</f>
        <v>0</v>
      </c>
      <c r="E45" s="15" t="n">
        <f aca="false">MAX(0,SUMIFS(Desconto_Cliente_Mes!$P$2:$P$433,Desconto_Cliente_Mes!$A$2:$A$433,E$40,Desconto_Cliente_Mes!$B$2:$B$433,$A40,Desconto_Cliente_Mes!$C$2:$C$433,"Proteina"))</f>
        <v>0</v>
      </c>
      <c r="F45" s="15" t="n">
        <f aca="false">MAX(0,SUMIFS(Desconto_Cliente_Mes!$P$2:$P$433,Desconto_Cliente_Mes!$A$2:$A$433,F$40,Desconto_Cliente_Mes!$B$2:$B$433,$A40,Desconto_Cliente_Mes!$C$2:$C$433,"Proteina"))</f>
        <v>0</v>
      </c>
      <c r="G45" s="15" t="n">
        <f aca="false">MAX(0,SUMIFS(Desconto_Cliente_Mes!$P$2:$P$433,Desconto_Cliente_Mes!$A$2:$A$433,G$40,Desconto_Cliente_Mes!$B$2:$B$433,$A40,Desconto_Cliente_Mes!$C$2:$C$433,"Proteina"))</f>
        <v>0</v>
      </c>
      <c r="H45" s="15" t="n">
        <f aca="false">MAX(0,SUMIFS(Desconto_Cliente_Mes!$P$2:$P$433,Desconto_Cliente_Mes!$A$2:$A$433,H$40,Desconto_Cliente_Mes!$B$2:$B$433,$A40,Desconto_Cliente_Mes!$C$2:$C$433,"Proteina"))</f>
        <v>0</v>
      </c>
      <c r="I45" s="15" t="n">
        <f aca="false">MAX(0,SUMIFS(Desconto_Cliente_Mes!$P$2:$P$433,Desconto_Cliente_Mes!$A$2:$A$433,I$40,Desconto_Cliente_Mes!$B$2:$B$433,$A40,Desconto_Cliente_Mes!$C$2:$C$433,"Proteina"))</f>
        <v>0</v>
      </c>
      <c r="J45" s="15" t="n">
        <f aca="false">MAX(0,SUMIFS(Desconto_Cliente_Mes!$P$2:$P$433,Desconto_Cliente_Mes!$A$2:$A$433,J$40,Desconto_Cliente_Mes!$B$2:$B$433,$A40,Desconto_Cliente_Mes!$C$2:$C$433,"Proteina"))</f>
        <v>0</v>
      </c>
      <c r="K45" s="15" t="n">
        <f aca="false">MAX(0,SUMIFS(Desconto_Cliente_Mes!$P$2:$P$433,Desconto_Cliente_Mes!$A$2:$A$433,K$40,Desconto_Cliente_Mes!$B$2:$B$433,$A40,Desconto_Cliente_Mes!$C$2:$C$433,"Proteina"))</f>
        <v>0</v>
      </c>
      <c r="L45" s="15" t="n">
        <f aca="false">MAX(0,SUMIFS(Desconto_Cliente_Mes!$P$2:$P$433,Desconto_Cliente_Mes!$A$2:$A$433,L$40,Desconto_Cliente_Mes!$B$2:$B$433,$A40,Desconto_Cliente_Mes!$C$2:$C$433,"Proteina"))</f>
        <v>0</v>
      </c>
      <c r="M45" s="15" t="n">
        <f aca="false">MAX(0,SUMIFS(Desconto_Cliente_Mes!$P$2:$P$433,Desconto_Cliente_Mes!$A$2:$A$433,M$40,Desconto_Cliente_Mes!$B$2:$B$433,$A40,Desconto_Cliente_Mes!$C$2:$C$433,"Proteina"))</f>
        <v>0</v>
      </c>
    </row>
    <row r="46" customFormat="false" ht="15" hidden="false" customHeight="false" outlineLevel="0" collapsed="false">
      <c r="A46" s="13" t="s">
        <v>79</v>
      </c>
      <c r="B46" s="16" t="n">
        <f aca="false">$B$42*($B$43/100)*(SUMIFS(Desconto_Cliente_Mes!$Q$2:$Q$433,Desconto_Cliente_Mes!$A$2:$A$433,B$40,Desconto_Cliente_Mes!$B$2:$B$433,$A40,Desconto_Cliente_Mes!$C$2:$C$433,"Proteina"))*(SUMIFS(Desconto_Cliente_Mes!$T$2:$T$433,Desconto_Cliente_Mes!$A$2:$A$433,B$40,Desconto_Cliente_Mes!$B$2:$B$433,$A40,Desconto_Cliente_Mes!$C$2:$C$433,"Proteina"))</f>
        <v>11164.1856528379</v>
      </c>
      <c r="C46" s="16" t="n">
        <f aca="false">$C$42*($C$43/100)*(SUMIFS(Desconto_Cliente_Mes!$Q$2:$Q$433,Desconto_Cliente_Mes!$A$2:$A$433,C$40,Desconto_Cliente_Mes!$B$2:$B$433,$A40,Desconto_Cliente_Mes!$C$2:$C$433,"Proteina"))*(SUMIFS(Desconto_Cliente_Mes!$T$2:$T$433,Desconto_Cliente_Mes!$A$2:$A$433,C$40,Desconto_Cliente_Mes!$B$2:$B$433,$A40,Desconto_Cliente_Mes!$C$2:$C$433,"Proteina"))</f>
        <v>0</v>
      </c>
      <c r="D46" s="16" t="n">
        <f aca="false">$D$42*($D$43/100)*(SUMIFS(Desconto_Cliente_Mes!$Q$2:$Q$433,Desconto_Cliente_Mes!$A$2:$A$433,D$40,Desconto_Cliente_Mes!$B$2:$B$433,$A40,Desconto_Cliente_Mes!$C$2:$C$433,"Proteina"))*(SUMIFS(Desconto_Cliente_Mes!$T$2:$T$433,Desconto_Cliente_Mes!$A$2:$A$433,D$40,Desconto_Cliente_Mes!$B$2:$B$433,$A40,Desconto_Cliente_Mes!$C$2:$C$433,"Proteina"))</f>
        <v>332.276635595977</v>
      </c>
      <c r="E46" s="16" t="n">
        <f aca="false">$E$42*($E$43/100)*(SUMIFS(Desconto_Cliente_Mes!$Q$2:$Q$433,Desconto_Cliente_Mes!$A$2:$A$433,E$40,Desconto_Cliente_Mes!$B$2:$B$433,$A40,Desconto_Cliente_Mes!$C$2:$C$433,"Proteina"))*(SUMIFS(Desconto_Cliente_Mes!$T$2:$T$433,Desconto_Cliente_Mes!$A$2:$A$433,E$40,Desconto_Cliente_Mes!$B$2:$B$433,$A40,Desconto_Cliente_Mes!$C$2:$C$433,"Proteina"))</f>
        <v>0</v>
      </c>
      <c r="F46" s="16" t="n">
        <f aca="false">$F$42*($F$43/100)*(SUMIFS(Desconto_Cliente_Mes!$Q$2:$Q$433,Desconto_Cliente_Mes!$A$2:$A$433,F$40,Desconto_Cliente_Mes!$B$2:$B$433,$A40,Desconto_Cliente_Mes!$C$2:$C$433,"Proteina"))*(SUMIFS(Desconto_Cliente_Mes!$T$2:$T$433,Desconto_Cliente_Mes!$A$2:$A$433,F$40,Desconto_Cliente_Mes!$B$2:$B$433,$A40,Desconto_Cliente_Mes!$C$2:$C$433,"Proteina"))</f>
        <v>85543.8817761789</v>
      </c>
      <c r="G46" s="16" t="n">
        <f aca="false">$G$42*($G$43/100)*(SUMIFS(Desconto_Cliente_Mes!$Q$2:$Q$433,Desconto_Cliente_Mes!$A$2:$A$433,G$40,Desconto_Cliente_Mes!$B$2:$B$433,$A40,Desconto_Cliente_Mes!$C$2:$C$433,"Proteina"))*(SUMIFS(Desconto_Cliente_Mes!$T$2:$T$433,Desconto_Cliente_Mes!$A$2:$A$433,G$40,Desconto_Cliente_Mes!$B$2:$B$433,$A40,Desconto_Cliente_Mes!$C$2:$C$433,"Proteina"))</f>
        <v>0</v>
      </c>
      <c r="H46" s="16" t="n">
        <f aca="false">$H$42*($H$43/100)*(SUMIFS(Desconto_Cliente_Mes!$Q$2:$Q$433,Desconto_Cliente_Mes!$A$2:$A$433,H$40,Desconto_Cliente_Mes!$B$2:$B$433,$A40,Desconto_Cliente_Mes!$C$2:$C$433,"Proteina"))*(SUMIFS(Desconto_Cliente_Mes!$T$2:$T$433,Desconto_Cliente_Mes!$A$2:$A$433,H$40,Desconto_Cliente_Mes!$B$2:$B$433,$A40,Desconto_Cliente_Mes!$C$2:$C$433,"Proteina"))</f>
        <v>4021.76632081863</v>
      </c>
      <c r="I46" s="16" t="n">
        <f aca="false">$I$42*($I$43/100)*(SUMIFS(Desconto_Cliente_Mes!$Q$2:$Q$433,Desconto_Cliente_Mes!$A$2:$A$433,I$40,Desconto_Cliente_Mes!$B$2:$B$433,$A40,Desconto_Cliente_Mes!$C$2:$C$433,"Proteina"))*(SUMIFS(Desconto_Cliente_Mes!$T$2:$T$433,Desconto_Cliente_Mes!$A$2:$A$433,I$40,Desconto_Cliente_Mes!$B$2:$B$433,$A40,Desconto_Cliente_Mes!$C$2:$C$433,"Proteina"))</f>
        <v>0</v>
      </c>
      <c r="J46" s="16" t="n">
        <f aca="false">$J$42*($J$43/100)*(SUMIFS(Desconto_Cliente_Mes!$Q$2:$Q$433,Desconto_Cliente_Mes!$A$2:$A$433,J$40,Desconto_Cliente_Mes!$B$2:$B$433,$A40,Desconto_Cliente_Mes!$C$2:$C$433,"Proteina"))*(SUMIFS(Desconto_Cliente_Mes!$T$2:$T$433,Desconto_Cliente_Mes!$A$2:$A$433,J$40,Desconto_Cliente_Mes!$B$2:$B$433,$A40,Desconto_Cliente_Mes!$C$2:$C$433,"Proteina"))</f>
        <v>0</v>
      </c>
      <c r="K46" s="16" t="n">
        <f aca="false">$K$42*($K$43/100)*(SUMIFS(Desconto_Cliente_Mes!$Q$2:$Q$433,Desconto_Cliente_Mes!$A$2:$A$433,K$40,Desconto_Cliente_Mes!$B$2:$B$433,$A40,Desconto_Cliente_Mes!$C$2:$C$433,"Proteina"))*(SUMIFS(Desconto_Cliente_Mes!$T$2:$T$433,Desconto_Cliente_Mes!$A$2:$A$433,K$40,Desconto_Cliente_Mes!$B$2:$B$433,$A40,Desconto_Cliente_Mes!$C$2:$C$433,"Proteina"))</f>
        <v>0</v>
      </c>
      <c r="L46" s="16" t="n">
        <f aca="false">$L$42*($L$43/100)*(SUMIFS(Desconto_Cliente_Mes!$Q$2:$Q$433,Desconto_Cliente_Mes!$A$2:$A$433,L$40,Desconto_Cliente_Mes!$B$2:$B$433,$A40,Desconto_Cliente_Mes!$C$2:$C$433,"Proteina"))*(SUMIFS(Desconto_Cliente_Mes!$T$2:$T$433,Desconto_Cliente_Mes!$A$2:$A$433,L$40,Desconto_Cliente_Mes!$B$2:$B$433,$A40,Desconto_Cliente_Mes!$C$2:$C$433,"Proteina"))</f>
        <v>0</v>
      </c>
      <c r="M46" s="16" t="n">
        <f aca="false">$M$42*($M$43/100)*(SUMIFS(Desconto_Cliente_Mes!$Q$2:$Q$433,Desconto_Cliente_Mes!$A$2:$A$433,M$40,Desconto_Cliente_Mes!$B$2:$B$433,$A40,Desconto_Cliente_Mes!$C$2:$C$433,"Proteina"))*(SUMIFS(Desconto_Cliente_Mes!$T$2:$T$433,Desconto_Cliente_Mes!$A$2:$A$433,M$40,Desconto_Cliente_Mes!$B$2:$B$433,$A40,Desconto_Cliente_Mes!$C$2:$C$433,"Proteina"))</f>
        <v>0</v>
      </c>
      <c r="N46" s="17" t="n">
        <f aca="false">SUM(B46:M46)</f>
        <v>101062.110385431</v>
      </c>
    </row>
    <row r="47" customFormat="false" ht="15" hidden="false" customHeight="false" outlineLevel="0" collapsed="false">
      <c r="A47" s="13" t="s">
        <v>80</v>
      </c>
      <c r="B47" s="16" t="n">
        <f aca="false">$B$42*($B$44/100)*((IF(SUMIFS(Desconto_Cliente_Mes!$R$2:$R$433,Desconto_Cliente_Mes!$A$2:$A$433,B$40,Desconto_Cliente_Mes!$B$2:$B$433,$A40,Desconto_Cliente_Mes!$C$2:$C$433,"Proteina")="",SUMIFS(Desconto_Cliente_Mes!$Q$2:$Q$433,Desconto_Cliente_Mes!$A$2:$A$433,B$40,Desconto_Cliente_Mes!$B$2:$B$433,$A40,Desconto_Cliente_Mes!$C$2:$C$433,"Proteina"),SUMIFS(Desconto_Cliente_Mes!$R$2:$R$433,Desconto_Cliente_Mes!$A$2:$A$433,B$40,Desconto_Cliente_Mes!$B$2:$B$433,$A40,Desconto_Cliente_Mes!$C$2:$C$433,"Proteina")))-(SUMIFS(Desconto_Cliente_Mes!$Q$2:$Q$433,Desconto_Cliente_Mes!$A$2:$A$433,B$40,Desconto_Cliente_Mes!$B$2:$B$433,$A40,Desconto_Cliente_Mes!$C$2:$C$433,"Proteina")))*(SUMIFS(Desconto_Cliente_Mes!$T$2:$T$433,Desconto_Cliente_Mes!$A$2:$A$433,B$40,Desconto_Cliente_Mes!$B$2:$B$433,$A40,Desconto_Cliente_Mes!$C$2:$C$433,"Proteina"))</f>
        <v>0</v>
      </c>
      <c r="C47" s="16" t="n">
        <f aca="false">$C$42*($C$44/100)*((IF(SUMIFS(Desconto_Cliente_Mes!$R$2:$R$433,Desconto_Cliente_Mes!$A$2:$A$433,C$40,Desconto_Cliente_Mes!$B$2:$B$433,$A40,Desconto_Cliente_Mes!$C$2:$C$433,"Proteina")="",SUMIFS(Desconto_Cliente_Mes!$Q$2:$Q$433,Desconto_Cliente_Mes!$A$2:$A$433,C$40,Desconto_Cliente_Mes!$B$2:$B$433,$A40,Desconto_Cliente_Mes!$C$2:$C$433,"Proteina"),SUMIFS(Desconto_Cliente_Mes!$R$2:$R$433,Desconto_Cliente_Mes!$A$2:$A$433,C$40,Desconto_Cliente_Mes!$B$2:$B$433,$A40,Desconto_Cliente_Mes!$C$2:$C$433,"Proteina")))-(SUMIFS(Desconto_Cliente_Mes!$Q$2:$Q$433,Desconto_Cliente_Mes!$A$2:$A$433,C$40,Desconto_Cliente_Mes!$B$2:$B$433,$A40,Desconto_Cliente_Mes!$C$2:$C$433,"Proteina")))*(SUMIFS(Desconto_Cliente_Mes!$T$2:$T$433,Desconto_Cliente_Mes!$A$2:$A$433,C$40,Desconto_Cliente_Mes!$B$2:$B$433,$A40,Desconto_Cliente_Mes!$C$2:$C$433,"Proteina"))</f>
        <v>0</v>
      </c>
      <c r="D47" s="16" t="n">
        <f aca="false">$D$42*($D$44/100)*((IF(SUMIFS(Desconto_Cliente_Mes!$R$2:$R$433,Desconto_Cliente_Mes!$A$2:$A$433,D$40,Desconto_Cliente_Mes!$B$2:$B$433,$A40,Desconto_Cliente_Mes!$C$2:$C$433,"Proteina")="",SUMIFS(Desconto_Cliente_Mes!$Q$2:$Q$433,Desconto_Cliente_Mes!$A$2:$A$433,D$40,Desconto_Cliente_Mes!$B$2:$B$433,$A40,Desconto_Cliente_Mes!$C$2:$C$433,"Proteina"),SUMIFS(Desconto_Cliente_Mes!$R$2:$R$433,Desconto_Cliente_Mes!$A$2:$A$433,D$40,Desconto_Cliente_Mes!$B$2:$B$433,$A40,Desconto_Cliente_Mes!$C$2:$C$433,"Proteina")))-(SUMIFS(Desconto_Cliente_Mes!$Q$2:$Q$433,Desconto_Cliente_Mes!$A$2:$A$433,D$40,Desconto_Cliente_Mes!$B$2:$B$433,$A40,Desconto_Cliente_Mes!$C$2:$C$433,"Proteina")))*(SUMIFS(Desconto_Cliente_Mes!$T$2:$T$433,Desconto_Cliente_Mes!$A$2:$A$433,D$40,Desconto_Cliente_Mes!$B$2:$B$433,$A40,Desconto_Cliente_Mes!$C$2:$C$433,"Proteina"))</f>
        <v>0</v>
      </c>
      <c r="E47" s="16" t="n">
        <f aca="false">$E$42*($E$44/100)*((IF(SUMIFS(Desconto_Cliente_Mes!$R$2:$R$433,Desconto_Cliente_Mes!$A$2:$A$433,E$40,Desconto_Cliente_Mes!$B$2:$B$433,$A40,Desconto_Cliente_Mes!$C$2:$C$433,"Proteina")="",SUMIFS(Desconto_Cliente_Mes!$Q$2:$Q$433,Desconto_Cliente_Mes!$A$2:$A$433,E$40,Desconto_Cliente_Mes!$B$2:$B$433,$A40,Desconto_Cliente_Mes!$C$2:$C$433,"Proteina"),SUMIFS(Desconto_Cliente_Mes!$R$2:$R$433,Desconto_Cliente_Mes!$A$2:$A$433,E$40,Desconto_Cliente_Mes!$B$2:$B$433,$A40,Desconto_Cliente_Mes!$C$2:$C$433,"Proteina")))-(SUMIFS(Desconto_Cliente_Mes!$Q$2:$Q$433,Desconto_Cliente_Mes!$A$2:$A$433,E$40,Desconto_Cliente_Mes!$B$2:$B$433,$A40,Desconto_Cliente_Mes!$C$2:$C$433,"Proteina")))*(SUMIFS(Desconto_Cliente_Mes!$T$2:$T$433,Desconto_Cliente_Mes!$A$2:$A$433,E$40,Desconto_Cliente_Mes!$B$2:$B$433,$A40,Desconto_Cliente_Mes!$C$2:$C$433,"Proteina"))</f>
        <v>0</v>
      </c>
      <c r="F47" s="16" t="n">
        <f aca="false">$F$42*($F$44/100)*((IF(SUMIFS(Desconto_Cliente_Mes!$R$2:$R$433,Desconto_Cliente_Mes!$A$2:$A$433,F$40,Desconto_Cliente_Mes!$B$2:$B$433,$A40,Desconto_Cliente_Mes!$C$2:$C$433,"Proteina")="",SUMIFS(Desconto_Cliente_Mes!$Q$2:$Q$433,Desconto_Cliente_Mes!$A$2:$A$433,F$40,Desconto_Cliente_Mes!$B$2:$B$433,$A40,Desconto_Cliente_Mes!$C$2:$C$433,"Proteina"),SUMIFS(Desconto_Cliente_Mes!$R$2:$R$433,Desconto_Cliente_Mes!$A$2:$A$433,F$40,Desconto_Cliente_Mes!$B$2:$B$433,$A40,Desconto_Cliente_Mes!$C$2:$C$433,"Proteina")))-(SUMIFS(Desconto_Cliente_Mes!$Q$2:$Q$433,Desconto_Cliente_Mes!$A$2:$A$433,F$40,Desconto_Cliente_Mes!$B$2:$B$433,$A40,Desconto_Cliente_Mes!$C$2:$C$433,"Proteina")))*(SUMIFS(Desconto_Cliente_Mes!$T$2:$T$433,Desconto_Cliente_Mes!$A$2:$A$433,F$40,Desconto_Cliente_Mes!$B$2:$B$433,$A40,Desconto_Cliente_Mes!$C$2:$C$433,"Proteina"))</f>
        <v>0</v>
      </c>
      <c r="G47" s="16" t="n">
        <f aca="false">$G$42*($G$44/100)*((IF(SUMIFS(Desconto_Cliente_Mes!$R$2:$R$433,Desconto_Cliente_Mes!$A$2:$A$433,G$40,Desconto_Cliente_Mes!$B$2:$B$433,$A40,Desconto_Cliente_Mes!$C$2:$C$433,"Proteina")="",SUMIFS(Desconto_Cliente_Mes!$Q$2:$Q$433,Desconto_Cliente_Mes!$A$2:$A$433,G$40,Desconto_Cliente_Mes!$B$2:$B$433,$A40,Desconto_Cliente_Mes!$C$2:$C$433,"Proteina"),SUMIFS(Desconto_Cliente_Mes!$R$2:$R$433,Desconto_Cliente_Mes!$A$2:$A$433,G$40,Desconto_Cliente_Mes!$B$2:$B$433,$A40,Desconto_Cliente_Mes!$C$2:$C$433,"Proteina")))-(SUMIFS(Desconto_Cliente_Mes!$Q$2:$Q$433,Desconto_Cliente_Mes!$A$2:$A$433,G$40,Desconto_Cliente_Mes!$B$2:$B$433,$A40,Desconto_Cliente_Mes!$C$2:$C$433,"Proteina")))*(SUMIFS(Desconto_Cliente_Mes!$T$2:$T$433,Desconto_Cliente_Mes!$A$2:$A$433,G$40,Desconto_Cliente_Mes!$B$2:$B$433,$A40,Desconto_Cliente_Mes!$C$2:$C$433,"Proteina"))</f>
        <v>0</v>
      </c>
      <c r="H47" s="16" t="n">
        <f aca="false">$H$42*($H$44/100)*((IF(SUMIFS(Desconto_Cliente_Mes!$R$2:$R$433,Desconto_Cliente_Mes!$A$2:$A$433,H$40,Desconto_Cliente_Mes!$B$2:$B$433,$A40,Desconto_Cliente_Mes!$C$2:$C$433,"Proteina")="",SUMIFS(Desconto_Cliente_Mes!$Q$2:$Q$433,Desconto_Cliente_Mes!$A$2:$A$433,H$40,Desconto_Cliente_Mes!$B$2:$B$433,$A40,Desconto_Cliente_Mes!$C$2:$C$433,"Proteina"),SUMIFS(Desconto_Cliente_Mes!$R$2:$R$433,Desconto_Cliente_Mes!$A$2:$A$433,H$40,Desconto_Cliente_Mes!$B$2:$B$433,$A40,Desconto_Cliente_Mes!$C$2:$C$433,"Proteina")))-(SUMIFS(Desconto_Cliente_Mes!$Q$2:$Q$433,Desconto_Cliente_Mes!$A$2:$A$433,H$40,Desconto_Cliente_Mes!$B$2:$B$433,$A40,Desconto_Cliente_Mes!$C$2:$C$433,"Proteina")))*(SUMIFS(Desconto_Cliente_Mes!$T$2:$T$433,Desconto_Cliente_Mes!$A$2:$A$433,H$40,Desconto_Cliente_Mes!$B$2:$B$433,$A40,Desconto_Cliente_Mes!$C$2:$C$433,"Proteina"))</f>
        <v>0</v>
      </c>
      <c r="I47" s="16" t="n">
        <f aca="false">$I$42*($I$44/100)*((IF(SUMIFS(Desconto_Cliente_Mes!$R$2:$R$433,Desconto_Cliente_Mes!$A$2:$A$433,I$40,Desconto_Cliente_Mes!$B$2:$B$433,$A40,Desconto_Cliente_Mes!$C$2:$C$433,"Proteina")="",SUMIFS(Desconto_Cliente_Mes!$Q$2:$Q$433,Desconto_Cliente_Mes!$A$2:$A$433,I$40,Desconto_Cliente_Mes!$B$2:$B$433,$A40,Desconto_Cliente_Mes!$C$2:$C$433,"Proteina"),SUMIFS(Desconto_Cliente_Mes!$R$2:$R$433,Desconto_Cliente_Mes!$A$2:$A$433,I$40,Desconto_Cliente_Mes!$B$2:$B$433,$A40,Desconto_Cliente_Mes!$C$2:$C$433,"Proteina")))-(SUMIFS(Desconto_Cliente_Mes!$Q$2:$Q$433,Desconto_Cliente_Mes!$A$2:$A$433,I$40,Desconto_Cliente_Mes!$B$2:$B$433,$A40,Desconto_Cliente_Mes!$C$2:$C$433,"Proteina")))*(SUMIFS(Desconto_Cliente_Mes!$T$2:$T$433,Desconto_Cliente_Mes!$A$2:$A$433,I$40,Desconto_Cliente_Mes!$B$2:$B$433,$A40,Desconto_Cliente_Mes!$C$2:$C$433,"Proteina"))</f>
        <v>0</v>
      </c>
      <c r="J47" s="16" t="n">
        <f aca="false">$J$42*($J$44/100)*((IF(SUMIFS(Desconto_Cliente_Mes!$R$2:$R$433,Desconto_Cliente_Mes!$A$2:$A$433,J$40,Desconto_Cliente_Mes!$B$2:$B$433,$A40,Desconto_Cliente_Mes!$C$2:$C$433,"Proteina")="",SUMIFS(Desconto_Cliente_Mes!$Q$2:$Q$433,Desconto_Cliente_Mes!$A$2:$A$433,J$40,Desconto_Cliente_Mes!$B$2:$B$433,$A40,Desconto_Cliente_Mes!$C$2:$C$433,"Proteina"),SUMIFS(Desconto_Cliente_Mes!$R$2:$R$433,Desconto_Cliente_Mes!$A$2:$A$433,J$40,Desconto_Cliente_Mes!$B$2:$B$433,$A40,Desconto_Cliente_Mes!$C$2:$C$433,"Proteina")))-(SUMIFS(Desconto_Cliente_Mes!$Q$2:$Q$433,Desconto_Cliente_Mes!$A$2:$A$433,J$40,Desconto_Cliente_Mes!$B$2:$B$433,$A40,Desconto_Cliente_Mes!$C$2:$C$433,"Proteina")))*(SUMIFS(Desconto_Cliente_Mes!$T$2:$T$433,Desconto_Cliente_Mes!$A$2:$A$433,J$40,Desconto_Cliente_Mes!$B$2:$B$433,$A40,Desconto_Cliente_Mes!$C$2:$C$433,"Proteina"))</f>
        <v>0</v>
      </c>
      <c r="K47" s="16" t="n">
        <f aca="false">$K$42*($K$44/100)*((IF(SUMIFS(Desconto_Cliente_Mes!$R$2:$R$433,Desconto_Cliente_Mes!$A$2:$A$433,K$40,Desconto_Cliente_Mes!$B$2:$B$433,$A40,Desconto_Cliente_Mes!$C$2:$C$433,"Proteina")="",SUMIFS(Desconto_Cliente_Mes!$Q$2:$Q$433,Desconto_Cliente_Mes!$A$2:$A$433,K$40,Desconto_Cliente_Mes!$B$2:$B$433,$A40,Desconto_Cliente_Mes!$C$2:$C$433,"Proteina"),SUMIFS(Desconto_Cliente_Mes!$R$2:$R$433,Desconto_Cliente_Mes!$A$2:$A$433,K$40,Desconto_Cliente_Mes!$B$2:$B$433,$A40,Desconto_Cliente_Mes!$C$2:$C$433,"Proteina")))-(SUMIFS(Desconto_Cliente_Mes!$Q$2:$Q$433,Desconto_Cliente_Mes!$A$2:$A$433,K$40,Desconto_Cliente_Mes!$B$2:$B$433,$A40,Desconto_Cliente_Mes!$C$2:$C$433,"Proteina")))*(SUMIFS(Desconto_Cliente_Mes!$T$2:$T$433,Desconto_Cliente_Mes!$A$2:$A$433,K$40,Desconto_Cliente_Mes!$B$2:$B$433,$A40,Desconto_Cliente_Mes!$C$2:$C$433,"Proteina"))</f>
        <v>0</v>
      </c>
      <c r="L47" s="16" t="n">
        <f aca="false">$L$42*($L$44/100)*((IF(SUMIFS(Desconto_Cliente_Mes!$R$2:$R$433,Desconto_Cliente_Mes!$A$2:$A$433,L$40,Desconto_Cliente_Mes!$B$2:$B$433,$A40,Desconto_Cliente_Mes!$C$2:$C$433,"Proteina")="",SUMIFS(Desconto_Cliente_Mes!$Q$2:$Q$433,Desconto_Cliente_Mes!$A$2:$A$433,L$40,Desconto_Cliente_Mes!$B$2:$B$433,$A40,Desconto_Cliente_Mes!$C$2:$C$433,"Proteina"),SUMIFS(Desconto_Cliente_Mes!$R$2:$R$433,Desconto_Cliente_Mes!$A$2:$A$433,L$40,Desconto_Cliente_Mes!$B$2:$B$433,$A40,Desconto_Cliente_Mes!$C$2:$C$433,"Proteina")))-(SUMIFS(Desconto_Cliente_Mes!$Q$2:$Q$433,Desconto_Cliente_Mes!$A$2:$A$433,L$40,Desconto_Cliente_Mes!$B$2:$B$433,$A40,Desconto_Cliente_Mes!$C$2:$C$433,"Proteina")))*(SUMIFS(Desconto_Cliente_Mes!$T$2:$T$433,Desconto_Cliente_Mes!$A$2:$A$433,L$40,Desconto_Cliente_Mes!$B$2:$B$433,$A40,Desconto_Cliente_Mes!$C$2:$C$433,"Proteina"))</f>
        <v>0</v>
      </c>
      <c r="M47" s="16" t="n">
        <f aca="false">$M$42*($M$44/100)*((IF(SUMIFS(Desconto_Cliente_Mes!$R$2:$R$433,Desconto_Cliente_Mes!$A$2:$A$433,M$40,Desconto_Cliente_Mes!$B$2:$B$433,$A40,Desconto_Cliente_Mes!$C$2:$C$433,"Proteina")="",SUMIFS(Desconto_Cliente_Mes!$Q$2:$Q$433,Desconto_Cliente_Mes!$A$2:$A$433,M$40,Desconto_Cliente_Mes!$B$2:$B$433,$A40,Desconto_Cliente_Mes!$C$2:$C$433,"Proteina"),SUMIFS(Desconto_Cliente_Mes!$R$2:$R$433,Desconto_Cliente_Mes!$A$2:$A$433,M$40,Desconto_Cliente_Mes!$B$2:$B$433,$A40,Desconto_Cliente_Mes!$C$2:$C$433,"Proteina")))-(SUMIFS(Desconto_Cliente_Mes!$Q$2:$Q$433,Desconto_Cliente_Mes!$A$2:$A$433,M$40,Desconto_Cliente_Mes!$B$2:$B$433,$A40,Desconto_Cliente_Mes!$C$2:$C$433,"Proteina")))*(SUMIFS(Desconto_Cliente_Mes!$T$2:$T$433,Desconto_Cliente_Mes!$A$2:$A$433,M$40,Desconto_Cliente_Mes!$B$2:$B$433,$A40,Desconto_Cliente_Mes!$C$2:$C$433,"Proteina"))</f>
        <v>0</v>
      </c>
      <c r="N47" s="17" t="n">
        <f aca="false">SUM(B47:M47)</f>
        <v>0</v>
      </c>
    </row>
    <row r="48" customFormat="false" ht="15" hidden="false" customHeight="false" outlineLevel="0" collapsed="false">
      <c r="A48" s="13" t="s">
        <v>81</v>
      </c>
      <c r="B48" s="16" t="n">
        <f aca="false">$B$42*($B$45/100)*((IF(SUMIFS(Desconto_Cliente_Mes!$S$2:$S$433,Desconto_Cliente_Mes!$A$2:$A$433,B$40,Desconto_Cliente_Mes!$B$2:$B$433,$A40,Desconto_Cliente_Mes!$C$2:$C$433,"Proteina")="",(IF(SUMIFS(Desconto_Cliente_Mes!$R$2:$R$433,Desconto_Cliente_Mes!$A$2:$A$433,B$40,Desconto_Cliente_Mes!$B$2:$B$433,$A40,Desconto_Cliente_Mes!$C$2:$C$433,"Proteina")="",SUMIFS(Desconto_Cliente_Mes!$Q$2:$Q$433,Desconto_Cliente_Mes!$A$2:$A$433,B$40,Desconto_Cliente_Mes!$B$2:$B$433,$A40,Desconto_Cliente_Mes!$C$2:$C$433,"Proteina"),SUMIFS(Desconto_Cliente_Mes!$R$2:$R$433,Desconto_Cliente_Mes!$A$2:$A$433,B$40,Desconto_Cliente_Mes!$B$2:$B$433,$A40,Desconto_Cliente_Mes!$C$2:$C$433,"Proteina"))),SUMIFS(Desconto_Cliente_Mes!$S$2:$S$433,Desconto_Cliente_Mes!$A$2:$A$433,B$40,Desconto_Cliente_Mes!$B$2:$B$433,$A40,Desconto_Cliente_Mes!$C$2:$C$433,"Proteina")))-(IF(SUMIFS(Desconto_Cliente_Mes!$R$2:$R$433,Desconto_Cliente_Mes!$A$2:$A$433,B$40,Desconto_Cliente_Mes!$B$2:$B$433,$A40,Desconto_Cliente_Mes!$C$2:$C$433,"Proteina")="",SUMIFS(Desconto_Cliente_Mes!$Q$2:$Q$433,Desconto_Cliente_Mes!$A$2:$A$433,B$40,Desconto_Cliente_Mes!$B$2:$B$433,$A40,Desconto_Cliente_Mes!$C$2:$C$433,"Proteina"),SUMIFS(Desconto_Cliente_Mes!$R$2:$R$433,Desconto_Cliente_Mes!$A$2:$A$433,B$40,Desconto_Cliente_Mes!$B$2:$B$433,$A40,Desconto_Cliente_Mes!$C$2:$C$433,"Proteina"))))*(SUMIFS(Desconto_Cliente_Mes!$T$2:$T$433,Desconto_Cliente_Mes!$A$2:$A$433,B$40,Desconto_Cliente_Mes!$B$2:$B$433,$A40,Desconto_Cliente_Mes!$C$2:$C$433,"Proteina"))</f>
        <v>-0</v>
      </c>
      <c r="C48" s="16" t="n">
        <f aca="false">$C$42*($C$45/100)*((IF(SUMIFS(Desconto_Cliente_Mes!$S$2:$S$433,Desconto_Cliente_Mes!$A$2:$A$433,C$40,Desconto_Cliente_Mes!$B$2:$B$433,$A40,Desconto_Cliente_Mes!$C$2:$C$433,"Proteina")="",(IF(SUMIFS(Desconto_Cliente_Mes!$R$2:$R$433,Desconto_Cliente_Mes!$A$2:$A$433,C$40,Desconto_Cliente_Mes!$B$2:$B$433,$A40,Desconto_Cliente_Mes!$C$2:$C$433,"Proteina")="",SUMIFS(Desconto_Cliente_Mes!$Q$2:$Q$433,Desconto_Cliente_Mes!$A$2:$A$433,C$40,Desconto_Cliente_Mes!$B$2:$B$433,$A40,Desconto_Cliente_Mes!$C$2:$C$433,"Proteina"),SUMIFS(Desconto_Cliente_Mes!$R$2:$R$433,Desconto_Cliente_Mes!$A$2:$A$433,C$40,Desconto_Cliente_Mes!$B$2:$B$433,$A40,Desconto_Cliente_Mes!$C$2:$C$433,"Proteina"))),SUMIFS(Desconto_Cliente_Mes!$S$2:$S$433,Desconto_Cliente_Mes!$A$2:$A$433,C$40,Desconto_Cliente_Mes!$B$2:$B$433,$A40,Desconto_Cliente_Mes!$C$2:$C$433,"Proteina")))-(IF(SUMIFS(Desconto_Cliente_Mes!$R$2:$R$433,Desconto_Cliente_Mes!$A$2:$A$433,C$40,Desconto_Cliente_Mes!$B$2:$B$433,$A40,Desconto_Cliente_Mes!$C$2:$C$433,"Proteina")="",SUMIFS(Desconto_Cliente_Mes!$Q$2:$Q$433,Desconto_Cliente_Mes!$A$2:$A$433,C$40,Desconto_Cliente_Mes!$B$2:$B$433,$A40,Desconto_Cliente_Mes!$C$2:$C$433,"Proteina"),SUMIFS(Desconto_Cliente_Mes!$R$2:$R$433,Desconto_Cliente_Mes!$A$2:$A$433,C$40,Desconto_Cliente_Mes!$B$2:$B$433,$A40,Desconto_Cliente_Mes!$C$2:$C$433,"Proteina"))))*(SUMIFS(Desconto_Cliente_Mes!$T$2:$T$433,Desconto_Cliente_Mes!$A$2:$A$433,C$40,Desconto_Cliente_Mes!$B$2:$B$433,$A40,Desconto_Cliente_Mes!$C$2:$C$433,"Proteina"))</f>
        <v>-0</v>
      </c>
      <c r="D48" s="16" t="n">
        <f aca="false">$D$42*($D$45/100)*((IF(SUMIFS(Desconto_Cliente_Mes!$S$2:$S$433,Desconto_Cliente_Mes!$A$2:$A$433,D$40,Desconto_Cliente_Mes!$B$2:$B$433,$A40,Desconto_Cliente_Mes!$C$2:$C$433,"Proteina")="",(IF(SUMIFS(Desconto_Cliente_Mes!$R$2:$R$433,Desconto_Cliente_Mes!$A$2:$A$433,D$40,Desconto_Cliente_Mes!$B$2:$B$433,$A40,Desconto_Cliente_Mes!$C$2:$C$433,"Proteina")="",SUMIFS(Desconto_Cliente_Mes!$Q$2:$Q$433,Desconto_Cliente_Mes!$A$2:$A$433,D$40,Desconto_Cliente_Mes!$B$2:$B$433,$A40,Desconto_Cliente_Mes!$C$2:$C$433,"Proteina"),SUMIFS(Desconto_Cliente_Mes!$R$2:$R$433,Desconto_Cliente_Mes!$A$2:$A$433,D$40,Desconto_Cliente_Mes!$B$2:$B$433,$A40,Desconto_Cliente_Mes!$C$2:$C$433,"Proteina"))),SUMIFS(Desconto_Cliente_Mes!$S$2:$S$433,Desconto_Cliente_Mes!$A$2:$A$433,D$40,Desconto_Cliente_Mes!$B$2:$B$433,$A40,Desconto_Cliente_Mes!$C$2:$C$433,"Proteina")))-(IF(SUMIFS(Desconto_Cliente_Mes!$R$2:$R$433,Desconto_Cliente_Mes!$A$2:$A$433,D$40,Desconto_Cliente_Mes!$B$2:$B$433,$A40,Desconto_Cliente_Mes!$C$2:$C$433,"Proteina")="",SUMIFS(Desconto_Cliente_Mes!$Q$2:$Q$433,Desconto_Cliente_Mes!$A$2:$A$433,D$40,Desconto_Cliente_Mes!$B$2:$B$433,$A40,Desconto_Cliente_Mes!$C$2:$C$433,"Proteina"),SUMIFS(Desconto_Cliente_Mes!$R$2:$R$433,Desconto_Cliente_Mes!$A$2:$A$433,D$40,Desconto_Cliente_Mes!$B$2:$B$433,$A40,Desconto_Cliente_Mes!$C$2:$C$433,"Proteina"))))*(SUMIFS(Desconto_Cliente_Mes!$T$2:$T$433,Desconto_Cliente_Mes!$A$2:$A$433,D$40,Desconto_Cliente_Mes!$B$2:$B$433,$A40,Desconto_Cliente_Mes!$C$2:$C$433,"Proteina"))</f>
        <v>-0</v>
      </c>
      <c r="E48" s="16" t="n">
        <f aca="false">$E$42*($E$45/100)*((IF(SUMIFS(Desconto_Cliente_Mes!$S$2:$S$433,Desconto_Cliente_Mes!$A$2:$A$433,E$40,Desconto_Cliente_Mes!$B$2:$B$433,$A40,Desconto_Cliente_Mes!$C$2:$C$433,"Proteina")="",(IF(SUMIFS(Desconto_Cliente_Mes!$R$2:$R$433,Desconto_Cliente_Mes!$A$2:$A$433,E$40,Desconto_Cliente_Mes!$B$2:$B$433,$A40,Desconto_Cliente_Mes!$C$2:$C$433,"Proteina")="",SUMIFS(Desconto_Cliente_Mes!$Q$2:$Q$433,Desconto_Cliente_Mes!$A$2:$A$433,E$40,Desconto_Cliente_Mes!$B$2:$B$433,$A40,Desconto_Cliente_Mes!$C$2:$C$433,"Proteina"),SUMIFS(Desconto_Cliente_Mes!$R$2:$R$433,Desconto_Cliente_Mes!$A$2:$A$433,E$40,Desconto_Cliente_Mes!$B$2:$B$433,$A40,Desconto_Cliente_Mes!$C$2:$C$433,"Proteina"))),SUMIFS(Desconto_Cliente_Mes!$S$2:$S$433,Desconto_Cliente_Mes!$A$2:$A$433,E$40,Desconto_Cliente_Mes!$B$2:$B$433,$A40,Desconto_Cliente_Mes!$C$2:$C$433,"Proteina")))-(IF(SUMIFS(Desconto_Cliente_Mes!$R$2:$R$433,Desconto_Cliente_Mes!$A$2:$A$433,E$40,Desconto_Cliente_Mes!$B$2:$B$433,$A40,Desconto_Cliente_Mes!$C$2:$C$433,"Proteina")="",SUMIFS(Desconto_Cliente_Mes!$Q$2:$Q$433,Desconto_Cliente_Mes!$A$2:$A$433,E$40,Desconto_Cliente_Mes!$B$2:$B$433,$A40,Desconto_Cliente_Mes!$C$2:$C$433,"Proteina"),SUMIFS(Desconto_Cliente_Mes!$R$2:$R$433,Desconto_Cliente_Mes!$A$2:$A$433,E$40,Desconto_Cliente_Mes!$B$2:$B$433,$A40,Desconto_Cliente_Mes!$C$2:$C$433,"Proteina"))))*(SUMIFS(Desconto_Cliente_Mes!$T$2:$T$433,Desconto_Cliente_Mes!$A$2:$A$433,E$40,Desconto_Cliente_Mes!$B$2:$B$433,$A40,Desconto_Cliente_Mes!$C$2:$C$433,"Proteina"))</f>
        <v>-0</v>
      </c>
      <c r="F48" s="16" t="n">
        <f aca="false">$F$42*($F$45/100)*((IF(SUMIFS(Desconto_Cliente_Mes!$S$2:$S$433,Desconto_Cliente_Mes!$A$2:$A$433,F$40,Desconto_Cliente_Mes!$B$2:$B$433,$A40,Desconto_Cliente_Mes!$C$2:$C$433,"Proteina")="",(IF(SUMIFS(Desconto_Cliente_Mes!$R$2:$R$433,Desconto_Cliente_Mes!$A$2:$A$433,F$40,Desconto_Cliente_Mes!$B$2:$B$433,$A40,Desconto_Cliente_Mes!$C$2:$C$433,"Proteina")="",SUMIFS(Desconto_Cliente_Mes!$Q$2:$Q$433,Desconto_Cliente_Mes!$A$2:$A$433,F$40,Desconto_Cliente_Mes!$B$2:$B$433,$A40,Desconto_Cliente_Mes!$C$2:$C$433,"Proteina"),SUMIFS(Desconto_Cliente_Mes!$R$2:$R$433,Desconto_Cliente_Mes!$A$2:$A$433,F$40,Desconto_Cliente_Mes!$B$2:$B$433,$A40,Desconto_Cliente_Mes!$C$2:$C$433,"Proteina"))),SUMIFS(Desconto_Cliente_Mes!$S$2:$S$433,Desconto_Cliente_Mes!$A$2:$A$433,F$40,Desconto_Cliente_Mes!$B$2:$B$433,$A40,Desconto_Cliente_Mes!$C$2:$C$433,"Proteina")))-(IF(SUMIFS(Desconto_Cliente_Mes!$R$2:$R$433,Desconto_Cliente_Mes!$A$2:$A$433,F$40,Desconto_Cliente_Mes!$B$2:$B$433,$A40,Desconto_Cliente_Mes!$C$2:$C$433,"Proteina")="",SUMIFS(Desconto_Cliente_Mes!$Q$2:$Q$433,Desconto_Cliente_Mes!$A$2:$A$433,F$40,Desconto_Cliente_Mes!$B$2:$B$433,$A40,Desconto_Cliente_Mes!$C$2:$C$433,"Proteina"),SUMIFS(Desconto_Cliente_Mes!$R$2:$R$433,Desconto_Cliente_Mes!$A$2:$A$433,F$40,Desconto_Cliente_Mes!$B$2:$B$433,$A40,Desconto_Cliente_Mes!$C$2:$C$433,"Proteina"))))*(SUMIFS(Desconto_Cliente_Mes!$T$2:$T$433,Desconto_Cliente_Mes!$A$2:$A$433,F$40,Desconto_Cliente_Mes!$B$2:$B$433,$A40,Desconto_Cliente_Mes!$C$2:$C$433,"Proteina"))</f>
        <v>-0</v>
      </c>
      <c r="G48" s="16" t="n">
        <f aca="false">$G$42*($G$45/100)*((IF(SUMIFS(Desconto_Cliente_Mes!$S$2:$S$433,Desconto_Cliente_Mes!$A$2:$A$433,G$40,Desconto_Cliente_Mes!$B$2:$B$433,$A40,Desconto_Cliente_Mes!$C$2:$C$433,"Proteina")="",(IF(SUMIFS(Desconto_Cliente_Mes!$R$2:$R$433,Desconto_Cliente_Mes!$A$2:$A$433,G$40,Desconto_Cliente_Mes!$B$2:$B$433,$A40,Desconto_Cliente_Mes!$C$2:$C$433,"Proteina")="",SUMIFS(Desconto_Cliente_Mes!$Q$2:$Q$433,Desconto_Cliente_Mes!$A$2:$A$433,G$40,Desconto_Cliente_Mes!$B$2:$B$433,$A40,Desconto_Cliente_Mes!$C$2:$C$433,"Proteina"),SUMIFS(Desconto_Cliente_Mes!$R$2:$R$433,Desconto_Cliente_Mes!$A$2:$A$433,G$40,Desconto_Cliente_Mes!$B$2:$B$433,$A40,Desconto_Cliente_Mes!$C$2:$C$433,"Proteina"))),SUMIFS(Desconto_Cliente_Mes!$S$2:$S$433,Desconto_Cliente_Mes!$A$2:$A$433,G$40,Desconto_Cliente_Mes!$B$2:$B$433,$A40,Desconto_Cliente_Mes!$C$2:$C$433,"Proteina")))-(IF(SUMIFS(Desconto_Cliente_Mes!$R$2:$R$433,Desconto_Cliente_Mes!$A$2:$A$433,G$40,Desconto_Cliente_Mes!$B$2:$B$433,$A40,Desconto_Cliente_Mes!$C$2:$C$433,"Proteina")="",SUMIFS(Desconto_Cliente_Mes!$Q$2:$Q$433,Desconto_Cliente_Mes!$A$2:$A$433,G$40,Desconto_Cliente_Mes!$B$2:$B$433,$A40,Desconto_Cliente_Mes!$C$2:$C$433,"Proteina"),SUMIFS(Desconto_Cliente_Mes!$R$2:$R$433,Desconto_Cliente_Mes!$A$2:$A$433,G$40,Desconto_Cliente_Mes!$B$2:$B$433,$A40,Desconto_Cliente_Mes!$C$2:$C$433,"Proteina"))))*(SUMIFS(Desconto_Cliente_Mes!$T$2:$T$433,Desconto_Cliente_Mes!$A$2:$A$433,G$40,Desconto_Cliente_Mes!$B$2:$B$433,$A40,Desconto_Cliente_Mes!$C$2:$C$433,"Proteina"))</f>
        <v>-0</v>
      </c>
      <c r="H48" s="16" t="n">
        <f aca="false">$H$42*($H$45/100)*((IF(SUMIFS(Desconto_Cliente_Mes!$S$2:$S$433,Desconto_Cliente_Mes!$A$2:$A$433,H$40,Desconto_Cliente_Mes!$B$2:$B$433,$A40,Desconto_Cliente_Mes!$C$2:$C$433,"Proteina")="",(IF(SUMIFS(Desconto_Cliente_Mes!$R$2:$R$433,Desconto_Cliente_Mes!$A$2:$A$433,H$40,Desconto_Cliente_Mes!$B$2:$B$433,$A40,Desconto_Cliente_Mes!$C$2:$C$433,"Proteina")="",SUMIFS(Desconto_Cliente_Mes!$Q$2:$Q$433,Desconto_Cliente_Mes!$A$2:$A$433,H$40,Desconto_Cliente_Mes!$B$2:$B$433,$A40,Desconto_Cliente_Mes!$C$2:$C$433,"Proteina"),SUMIFS(Desconto_Cliente_Mes!$R$2:$R$433,Desconto_Cliente_Mes!$A$2:$A$433,H$40,Desconto_Cliente_Mes!$B$2:$B$433,$A40,Desconto_Cliente_Mes!$C$2:$C$433,"Proteina"))),SUMIFS(Desconto_Cliente_Mes!$S$2:$S$433,Desconto_Cliente_Mes!$A$2:$A$433,H$40,Desconto_Cliente_Mes!$B$2:$B$433,$A40,Desconto_Cliente_Mes!$C$2:$C$433,"Proteina")))-(IF(SUMIFS(Desconto_Cliente_Mes!$R$2:$R$433,Desconto_Cliente_Mes!$A$2:$A$433,H$40,Desconto_Cliente_Mes!$B$2:$B$433,$A40,Desconto_Cliente_Mes!$C$2:$C$433,"Proteina")="",SUMIFS(Desconto_Cliente_Mes!$Q$2:$Q$433,Desconto_Cliente_Mes!$A$2:$A$433,H$40,Desconto_Cliente_Mes!$B$2:$B$433,$A40,Desconto_Cliente_Mes!$C$2:$C$433,"Proteina"),SUMIFS(Desconto_Cliente_Mes!$R$2:$R$433,Desconto_Cliente_Mes!$A$2:$A$433,H$40,Desconto_Cliente_Mes!$B$2:$B$433,$A40,Desconto_Cliente_Mes!$C$2:$C$433,"Proteina"))))*(SUMIFS(Desconto_Cliente_Mes!$T$2:$T$433,Desconto_Cliente_Mes!$A$2:$A$433,H$40,Desconto_Cliente_Mes!$B$2:$B$433,$A40,Desconto_Cliente_Mes!$C$2:$C$433,"Proteina"))</f>
        <v>-0</v>
      </c>
      <c r="I48" s="16" t="n">
        <f aca="false">$I$42*($I$45/100)*((IF(SUMIFS(Desconto_Cliente_Mes!$S$2:$S$433,Desconto_Cliente_Mes!$A$2:$A$433,I$40,Desconto_Cliente_Mes!$B$2:$B$433,$A40,Desconto_Cliente_Mes!$C$2:$C$433,"Proteina")="",(IF(SUMIFS(Desconto_Cliente_Mes!$R$2:$R$433,Desconto_Cliente_Mes!$A$2:$A$433,I$40,Desconto_Cliente_Mes!$B$2:$B$433,$A40,Desconto_Cliente_Mes!$C$2:$C$433,"Proteina")="",SUMIFS(Desconto_Cliente_Mes!$Q$2:$Q$433,Desconto_Cliente_Mes!$A$2:$A$433,I$40,Desconto_Cliente_Mes!$B$2:$B$433,$A40,Desconto_Cliente_Mes!$C$2:$C$433,"Proteina"),SUMIFS(Desconto_Cliente_Mes!$R$2:$R$433,Desconto_Cliente_Mes!$A$2:$A$433,I$40,Desconto_Cliente_Mes!$B$2:$B$433,$A40,Desconto_Cliente_Mes!$C$2:$C$433,"Proteina"))),SUMIFS(Desconto_Cliente_Mes!$S$2:$S$433,Desconto_Cliente_Mes!$A$2:$A$433,I$40,Desconto_Cliente_Mes!$B$2:$B$433,$A40,Desconto_Cliente_Mes!$C$2:$C$433,"Proteina")))-(IF(SUMIFS(Desconto_Cliente_Mes!$R$2:$R$433,Desconto_Cliente_Mes!$A$2:$A$433,I$40,Desconto_Cliente_Mes!$B$2:$B$433,$A40,Desconto_Cliente_Mes!$C$2:$C$433,"Proteina")="",SUMIFS(Desconto_Cliente_Mes!$Q$2:$Q$433,Desconto_Cliente_Mes!$A$2:$A$433,I$40,Desconto_Cliente_Mes!$B$2:$B$433,$A40,Desconto_Cliente_Mes!$C$2:$C$433,"Proteina"),SUMIFS(Desconto_Cliente_Mes!$R$2:$R$433,Desconto_Cliente_Mes!$A$2:$A$433,I$40,Desconto_Cliente_Mes!$B$2:$B$433,$A40,Desconto_Cliente_Mes!$C$2:$C$433,"Proteina"))))*(SUMIFS(Desconto_Cliente_Mes!$T$2:$T$433,Desconto_Cliente_Mes!$A$2:$A$433,I$40,Desconto_Cliente_Mes!$B$2:$B$433,$A40,Desconto_Cliente_Mes!$C$2:$C$433,"Proteina"))</f>
        <v>-0</v>
      </c>
      <c r="J48" s="16" t="n">
        <f aca="false">$J$42*($J$45/100)*((IF(SUMIFS(Desconto_Cliente_Mes!$S$2:$S$433,Desconto_Cliente_Mes!$A$2:$A$433,J$40,Desconto_Cliente_Mes!$B$2:$B$433,$A40,Desconto_Cliente_Mes!$C$2:$C$433,"Proteina")="",(IF(SUMIFS(Desconto_Cliente_Mes!$R$2:$R$433,Desconto_Cliente_Mes!$A$2:$A$433,J$40,Desconto_Cliente_Mes!$B$2:$B$433,$A40,Desconto_Cliente_Mes!$C$2:$C$433,"Proteina")="",SUMIFS(Desconto_Cliente_Mes!$Q$2:$Q$433,Desconto_Cliente_Mes!$A$2:$A$433,J$40,Desconto_Cliente_Mes!$B$2:$B$433,$A40,Desconto_Cliente_Mes!$C$2:$C$433,"Proteina"),SUMIFS(Desconto_Cliente_Mes!$R$2:$R$433,Desconto_Cliente_Mes!$A$2:$A$433,J$40,Desconto_Cliente_Mes!$B$2:$B$433,$A40,Desconto_Cliente_Mes!$C$2:$C$433,"Proteina"))),SUMIFS(Desconto_Cliente_Mes!$S$2:$S$433,Desconto_Cliente_Mes!$A$2:$A$433,J$40,Desconto_Cliente_Mes!$B$2:$B$433,$A40,Desconto_Cliente_Mes!$C$2:$C$433,"Proteina")))-(IF(SUMIFS(Desconto_Cliente_Mes!$R$2:$R$433,Desconto_Cliente_Mes!$A$2:$A$433,J$40,Desconto_Cliente_Mes!$B$2:$B$433,$A40,Desconto_Cliente_Mes!$C$2:$C$433,"Proteina")="",SUMIFS(Desconto_Cliente_Mes!$Q$2:$Q$433,Desconto_Cliente_Mes!$A$2:$A$433,J$40,Desconto_Cliente_Mes!$B$2:$B$433,$A40,Desconto_Cliente_Mes!$C$2:$C$433,"Proteina"),SUMIFS(Desconto_Cliente_Mes!$R$2:$R$433,Desconto_Cliente_Mes!$A$2:$A$433,J$40,Desconto_Cliente_Mes!$B$2:$B$433,$A40,Desconto_Cliente_Mes!$C$2:$C$433,"Proteina"))))*(SUMIFS(Desconto_Cliente_Mes!$T$2:$T$433,Desconto_Cliente_Mes!$A$2:$A$433,J$40,Desconto_Cliente_Mes!$B$2:$B$433,$A40,Desconto_Cliente_Mes!$C$2:$C$433,"Proteina"))</f>
        <v>-0</v>
      </c>
      <c r="K48" s="16" t="n">
        <f aca="false">$K$42*($K$45/100)*((IF(SUMIFS(Desconto_Cliente_Mes!$S$2:$S$433,Desconto_Cliente_Mes!$A$2:$A$433,K$40,Desconto_Cliente_Mes!$B$2:$B$433,$A40,Desconto_Cliente_Mes!$C$2:$C$433,"Proteina")="",(IF(SUMIFS(Desconto_Cliente_Mes!$R$2:$R$433,Desconto_Cliente_Mes!$A$2:$A$433,K$40,Desconto_Cliente_Mes!$B$2:$B$433,$A40,Desconto_Cliente_Mes!$C$2:$C$433,"Proteina")="",SUMIFS(Desconto_Cliente_Mes!$Q$2:$Q$433,Desconto_Cliente_Mes!$A$2:$A$433,K$40,Desconto_Cliente_Mes!$B$2:$B$433,$A40,Desconto_Cliente_Mes!$C$2:$C$433,"Proteina"),SUMIFS(Desconto_Cliente_Mes!$R$2:$R$433,Desconto_Cliente_Mes!$A$2:$A$433,K$40,Desconto_Cliente_Mes!$B$2:$B$433,$A40,Desconto_Cliente_Mes!$C$2:$C$433,"Proteina"))),SUMIFS(Desconto_Cliente_Mes!$S$2:$S$433,Desconto_Cliente_Mes!$A$2:$A$433,K$40,Desconto_Cliente_Mes!$B$2:$B$433,$A40,Desconto_Cliente_Mes!$C$2:$C$433,"Proteina")))-(IF(SUMIFS(Desconto_Cliente_Mes!$R$2:$R$433,Desconto_Cliente_Mes!$A$2:$A$433,K$40,Desconto_Cliente_Mes!$B$2:$B$433,$A40,Desconto_Cliente_Mes!$C$2:$C$433,"Proteina")="",SUMIFS(Desconto_Cliente_Mes!$Q$2:$Q$433,Desconto_Cliente_Mes!$A$2:$A$433,K$40,Desconto_Cliente_Mes!$B$2:$B$433,$A40,Desconto_Cliente_Mes!$C$2:$C$433,"Proteina"),SUMIFS(Desconto_Cliente_Mes!$R$2:$R$433,Desconto_Cliente_Mes!$A$2:$A$433,K$40,Desconto_Cliente_Mes!$B$2:$B$433,$A40,Desconto_Cliente_Mes!$C$2:$C$433,"Proteina"))))*(SUMIFS(Desconto_Cliente_Mes!$T$2:$T$433,Desconto_Cliente_Mes!$A$2:$A$433,K$40,Desconto_Cliente_Mes!$B$2:$B$433,$A40,Desconto_Cliente_Mes!$C$2:$C$433,"Proteina"))</f>
        <v>-0</v>
      </c>
      <c r="L48" s="16" t="n">
        <f aca="false">$L$42*($L$45/100)*((IF(SUMIFS(Desconto_Cliente_Mes!$S$2:$S$433,Desconto_Cliente_Mes!$A$2:$A$433,L$40,Desconto_Cliente_Mes!$B$2:$B$433,$A40,Desconto_Cliente_Mes!$C$2:$C$433,"Proteina")="",(IF(SUMIFS(Desconto_Cliente_Mes!$R$2:$R$433,Desconto_Cliente_Mes!$A$2:$A$433,L$40,Desconto_Cliente_Mes!$B$2:$B$433,$A40,Desconto_Cliente_Mes!$C$2:$C$433,"Proteina")="",SUMIFS(Desconto_Cliente_Mes!$Q$2:$Q$433,Desconto_Cliente_Mes!$A$2:$A$433,L$40,Desconto_Cliente_Mes!$B$2:$B$433,$A40,Desconto_Cliente_Mes!$C$2:$C$433,"Proteina"),SUMIFS(Desconto_Cliente_Mes!$R$2:$R$433,Desconto_Cliente_Mes!$A$2:$A$433,L$40,Desconto_Cliente_Mes!$B$2:$B$433,$A40,Desconto_Cliente_Mes!$C$2:$C$433,"Proteina"))),SUMIFS(Desconto_Cliente_Mes!$S$2:$S$433,Desconto_Cliente_Mes!$A$2:$A$433,L$40,Desconto_Cliente_Mes!$B$2:$B$433,$A40,Desconto_Cliente_Mes!$C$2:$C$433,"Proteina")))-(IF(SUMIFS(Desconto_Cliente_Mes!$R$2:$R$433,Desconto_Cliente_Mes!$A$2:$A$433,L$40,Desconto_Cliente_Mes!$B$2:$B$433,$A40,Desconto_Cliente_Mes!$C$2:$C$433,"Proteina")="",SUMIFS(Desconto_Cliente_Mes!$Q$2:$Q$433,Desconto_Cliente_Mes!$A$2:$A$433,L$40,Desconto_Cliente_Mes!$B$2:$B$433,$A40,Desconto_Cliente_Mes!$C$2:$C$433,"Proteina"),SUMIFS(Desconto_Cliente_Mes!$R$2:$R$433,Desconto_Cliente_Mes!$A$2:$A$433,L$40,Desconto_Cliente_Mes!$B$2:$B$433,$A40,Desconto_Cliente_Mes!$C$2:$C$433,"Proteina"))))*(SUMIFS(Desconto_Cliente_Mes!$T$2:$T$433,Desconto_Cliente_Mes!$A$2:$A$433,L$40,Desconto_Cliente_Mes!$B$2:$B$433,$A40,Desconto_Cliente_Mes!$C$2:$C$433,"Proteina"))</f>
        <v>-0</v>
      </c>
      <c r="M48" s="16" t="n">
        <f aca="false">$M$42*($M$45/100)*((IF(SUMIFS(Desconto_Cliente_Mes!$S$2:$S$433,Desconto_Cliente_Mes!$A$2:$A$433,M$40,Desconto_Cliente_Mes!$B$2:$B$433,$A40,Desconto_Cliente_Mes!$C$2:$C$433,"Proteina")="",(IF(SUMIFS(Desconto_Cliente_Mes!$R$2:$R$433,Desconto_Cliente_Mes!$A$2:$A$433,M$40,Desconto_Cliente_Mes!$B$2:$B$433,$A40,Desconto_Cliente_Mes!$C$2:$C$433,"Proteina")="",SUMIFS(Desconto_Cliente_Mes!$Q$2:$Q$433,Desconto_Cliente_Mes!$A$2:$A$433,M$40,Desconto_Cliente_Mes!$B$2:$B$433,$A40,Desconto_Cliente_Mes!$C$2:$C$433,"Proteina"),SUMIFS(Desconto_Cliente_Mes!$R$2:$R$433,Desconto_Cliente_Mes!$A$2:$A$433,M$40,Desconto_Cliente_Mes!$B$2:$B$433,$A40,Desconto_Cliente_Mes!$C$2:$C$433,"Proteina"))),SUMIFS(Desconto_Cliente_Mes!$S$2:$S$433,Desconto_Cliente_Mes!$A$2:$A$433,M$40,Desconto_Cliente_Mes!$B$2:$B$433,$A40,Desconto_Cliente_Mes!$C$2:$C$433,"Proteina")))-(IF(SUMIFS(Desconto_Cliente_Mes!$R$2:$R$433,Desconto_Cliente_Mes!$A$2:$A$433,M$40,Desconto_Cliente_Mes!$B$2:$B$433,$A40,Desconto_Cliente_Mes!$C$2:$C$433,"Proteina")="",SUMIFS(Desconto_Cliente_Mes!$Q$2:$Q$433,Desconto_Cliente_Mes!$A$2:$A$433,M$40,Desconto_Cliente_Mes!$B$2:$B$433,$A40,Desconto_Cliente_Mes!$C$2:$C$433,"Proteina"),SUMIFS(Desconto_Cliente_Mes!$R$2:$R$433,Desconto_Cliente_Mes!$A$2:$A$433,M$40,Desconto_Cliente_Mes!$B$2:$B$433,$A40,Desconto_Cliente_Mes!$C$2:$C$433,"Proteina"))))*(SUMIFS(Desconto_Cliente_Mes!$T$2:$T$433,Desconto_Cliente_Mes!$A$2:$A$433,M$40,Desconto_Cliente_Mes!$B$2:$B$433,$A40,Desconto_Cliente_Mes!$C$2:$C$433,"Proteina"))</f>
        <v>-0</v>
      </c>
      <c r="N48" s="17" t="n">
        <f aca="false">SUM(B48:M48)</f>
        <v>0</v>
      </c>
    </row>
    <row r="49" customFormat="false" ht="15" hidden="false" customHeight="false" outlineLevel="0" collapsed="false">
      <c r="A49" s="13" t="s">
        <v>82</v>
      </c>
      <c r="B49" s="16" t="n">
        <f aca="false">SUMIFS(Acerto_Detalhado!$J$2:$J$433,Acerto_Detalhado!$A$2:$A$433,B$40,Acerto_Detalhado!$B$2:$B$433,$A40,Acerto_Detalhado!$C$2:$C$433,"Proteina")</f>
        <v>0</v>
      </c>
      <c r="C49" s="16" t="n">
        <f aca="false">SUMIFS(Acerto_Detalhado!$J$2:$J$433,Acerto_Detalhado!$A$2:$A$433,C$40,Acerto_Detalhado!$B$2:$B$433,$A40,Acerto_Detalhado!$C$2:$C$433,"Proteina")</f>
        <v>27516.3568351333</v>
      </c>
      <c r="D49" s="16" t="n">
        <f aca="false">SUMIFS(Acerto_Detalhado!$J$2:$J$433,Acerto_Detalhado!$A$2:$A$433,D$40,Acerto_Detalhado!$B$2:$B$433,$A40,Acerto_Detalhado!$C$2:$C$433,"Proteina")</f>
        <v>0</v>
      </c>
      <c r="E49" s="16" t="n">
        <f aca="false">SUMIFS(Acerto_Detalhado!$J$2:$J$433,Acerto_Detalhado!$A$2:$A$433,E$40,Acerto_Detalhado!$B$2:$B$433,$A40,Acerto_Detalhado!$C$2:$C$433,"Proteina")</f>
        <v>27720.1856379367</v>
      </c>
      <c r="F49" s="16" t="n">
        <f aca="false">SUMIFS(Acerto_Detalhado!$J$2:$J$433,Acerto_Detalhado!$A$2:$A$433,F$40,Acerto_Detalhado!$B$2:$B$433,$A40,Acerto_Detalhado!$C$2:$C$433,"Proteina")</f>
        <v>0</v>
      </c>
      <c r="G49" s="16" t="n">
        <f aca="false">SUMIFS(Acerto_Detalhado!$J$2:$J$433,Acerto_Detalhado!$A$2:$A$433,G$40,Acerto_Detalhado!$B$2:$B$433,$A40,Acerto_Detalhado!$C$2:$C$433,"Proteina")</f>
        <v>45825.5679123614</v>
      </c>
      <c r="H49" s="16" t="n">
        <f aca="false">SUMIFS(Acerto_Detalhado!$J$2:$J$433,Acerto_Detalhado!$A$2:$A$433,H$40,Acerto_Detalhado!$B$2:$B$433,$A40,Acerto_Detalhado!$C$2:$C$433,"Proteina")</f>
        <v>0</v>
      </c>
      <c r="I49" s="16" t="n">
        <f aca="false">SUMIFS(Acerto_Detalhado!$J$2:$J$433,Acerto_Detalhado!$A$2:$A$433,I$40,Acerto_Detalhado!$B$2:$B$433,$A40,Acerto_Detalhado!$C$2:$C$433,"Proteina")</f>
        <v>0</v>
      </c>
      <c r="J49" s="16" t="n">
        <f aca="false">SUMIFS(Acerto_Detalhado!$J$2:$J$433,Acerto_Detalhado!$A$2:$A$433,J$40,Acerto_Detalhado!$B$2:$B$433,$A40,Acerto_Detalhado!$C$2:$C$433,"Proteina")</f>
        <v>0</v>
      </c>
      <c r="K49" s="16" t="n">
        <f aca="false">SUMIFS(Acerto_Detalhado!$J$2:$J$433,Acerto_Detalhado!$A$2:$A$433,K$40,Acerto_Detalhado!$B$2:$B$433,$A40,Acerto_Detalhado!$C$2:$C$433,"Proteina")</f>
        <v>0</v>
      </c>
      <c r="L49" s="16" t="n">
        <f aca="false">SUMIFS(Acerto_Detalhado!$J$2:$J$433,Acerto_Detalhado!$A$2:$A$433,L$40,Acerto_Detalhado!$B$2:$B$433,$A40,Acerto_Detalhado!$C$2:$C$433,"Proteina")</f>
        <v>0</v>
      </c>
      <c r="M49" s="16" t="n">
        <f aca="false">SUMIFS(Acerto_Detalhado!$J$2:$J$433,Acerto_Detalhado!$A$2:$A$433,M$40,Acerto_Detalhado!$B$2:$B$433,$A40,Acerto_Detalhado!$C$2:$C$433,"Proteina")</f>
        <v>0</v>
      </c>
      <c r="N49" s="17" t="n">
        <f aca="false">SUM(B49:M49)</f>
        <v>101062.110385431</v>
      </c>
    </row>
    <row r="51" customFormat="false" ht="15" hidden="false" customHeight="false" outlineLevel="0" collapsed="false">
      <c r="A51" s="5" t="s">
        <v>62</v>
      </c>
      <c r="B51" s="6" t="s">
        <v>39</v>
      </c>
      <c r="C51" s="6" t="s">
        <v>40</v>
      </c>
      <c r="D51" s="6" t="s">
        <v>41</v>
      </c>
      <c r="E51" s="6" t="s">
        <v>42</v>
      </c>
      <c r="F51" s="6" t="s">
        <v>43</v>
      </c>
      <c r="G51" s="6" t="s">
        <v>44</v>
      </c>
      <c r="H51" s="6" t="s">
        <v>45</v>
      </c>
      <c r="I51" s="6" t="s">
        <v>46</v>
      </c>
      <c r="J51" s="6" t="s">
        <v>47</v>
      </c>
      <c r="K51" s="6" t="s">
        <v>48</v>
      </c>
      <c r="L51" s="6" t="s">
        <v>49</v>
      </c>
      <c r="M51" s="6" t="s">
        <v>50</v>
      </c>
      <c r="N51" s="6" t="s">
        <v>51</v>
      </c>
    </row>
    <row r="52" customFormat="false" ht="15" hidden="false" customHeight="false" outlineLevel="0" collapsed="false">
      <c r="A52" s="13" t="s">
        <v>74</v>
      </c>
      <c r="B52" s="10" t="n">
        <f aca="false">IF((SUMIFS(Desconto_Cliente_Mes!$D$2:$D$433,Desconto_Cliente_Mes!$A$2:$A$433,B$51,Desconto_Cliente_Mes!$B$2:$B$433,$A51,Desconto_Cliente_Mes!$C$2:$C$433,"Proteina"))=0,"",IFERROR(SUMIFS(Desconto_Cliente_Mes!$E$2:$E$433,Desconto_Cliente_Mes!$A$2:$A$433,B$51,Desconto_Cliente_Mes!$B$2:$B$433,$A51,Desconto_Cliente_Mes!$C$2:$C$433,"Proteina"),""))</f>
        <v>47.5830749238311</v>
      </c>
      <c r="C52" s="10" t="n">
        <f aca="false">IF((SUMIFS(Desconto_Cliente_Mes!$D$2:$D$433,Desconto_Cliente_Mes!$A$2:$A$433,C$51,Desconto_Cliente_Mes!$B$2:$B$433,$A51,Desconto_Cliente_Mes!$C$2:$C$433,"Proteina"))=0,"",IFERROR(SUMIFS(Desconto_Cliente_Mes!$E$2:$E$433,Desconto_Cliente_Mes!$A$2:$A$433,C$51,Desconto_Cliente_Mes!$B$2:$B$433,$A51,Desconto_Cliente_Mes!$C$2:$C$433,"Proteina"),""))</f>
        <v>48.0503403374967</v>
      </c>
      <c r="D52" s="10" t="n">
        <f aca="false">IF((SUMIFS(Desconto_Cliente_Mes!$D$2:$D$433,Desconto_Cliente_Mes!$A$2:$A$433,D$51,Desconto_Cliente_Mes!$B$2:$B$433,$A51,Desconto_Cliente_Mes!$C$2:$C$433,"Proteina"))=0,"",IFERROR(SUMIFS(Desconto_Cliente_Mes!$E$2:$E$433,Desconto_Cliente_Mes!$A$2:$A$433,D$51,Desconto_Cliente_Mes!$B$2:$B$433,$A51,Desconto_Cliente_Mes!$C$2:$C$433,"Proteina"),""))</f>
        <v>47.4505838261076</v>
      </c>
      <c r="E52" s="10" t="n">
        <f aca="false">IF((SUMIFS(Desconto_Cliente_Mes!$D$2:$D$433,Desconto_Cliente_Mes!$A$2:$A$433,E$51,Desconto_Cliente_Mes!$B$2:$B$433,$A51,Desconto_Cliente_Mes!$C$2:$C$433,"Proteina"))=0,"",IFERROR(SUMIFS(Desconto_Cliente_Mes!$E$2:$E$433,Desconto_Cliente_Mes!$A$2:$A$433,E$51,Desconto_Cliente_Mes!$B$2:$B$433,$A51,Desconto_Cliente_Mes!$C$2:$C$433,"Proteina"),""))</f>
        <v>47.4496849168595</v>
      </c>
      <c r="F52" s="10" t="n">
        <f aca="false">IF((SUMIFS(Desconto_Cliente_Mes!$D$2:$D$433,Desconto_Cliente_Mes!$A$2:$A$433,F$51,Desconto_Cliente_Mes!$B$2:$B$433,$A51,Desconto_Cliente_Mes!$C$2:$C$433,"Proteina"))=0,"",IFERROR(SUMIFS(Desconto_Cliente_Mes!$E$2:$E$433,Desconto_Cliente_Mes!$A$2:$A$433,F$51,Desconto_Cliente_Mes!$B$2:$B$433,$A51,Desconto_Cliente_Mes!$C$2:$C$433,"Proteina"),""))</f>
        <v>47.6858338070981</v>
      </c>
      <c r="G52" s="10" t="n">
        <f aca="false">IF((SUMIFS(Desconto_Cliente_Mes!$D$2:$D$433,Desconto_Cliente_Mes!$A$2:$A$433,G$51,Desconto_Cliente_Mes!$B$2:$B$433,$A51,Desconto_Cliente_Mes!$C$2:$C$433,"Proteina"))=0,"",IFERROR(SUMIFS(Desconto_Cliente_Mes!$E$2:$E$433,Desconto_Cliente_Mes!$A$2:$A$433,G$51,Desconto_Cliente_Mes!$B$2:$B$433,$A51,Desconto_Cliente_Mes!$C$2:$C$433,"Proteina"),""))</f>
        <v>47.4925409721373</v>
      </c>
      <c r="H52" s="10" t="str">
        <f aca="false">IF((SUMIFS(Desconto_Cliente_Mes!$D$2:$D$433,Desconto_Cliente_Mes!$A$2:$A$433,H$51,Desconto_Cliente_Mes!$B$2:$B$433,$A51,Desconto_Cliente_Mes!$C$2:$C$433,"Proteina"))=0,"",IFERROR(SUMIFS(Desconto_Cliente_Mes!$E$2:$E$433,Desconto_Cliente_Mes!$A$2:$A$433,H$51,Desconto_Cliente_Mes!$B$2:$B$433,$A51,Desconto_Cliente_Mes!$C$2:$C$433,"Proteina"),""))</f>
        <v/>
      </c>
      <c r="I52" s="10" t="str">
        <f aca="false">IF((SUMIFS(Desconto_Cliente_Mes!$D$2:$D$433,Desconto_Cliente_Mes!$A$2:$A$433,I$51,Desconto_Cliente_Mes!$B$2:$B$433,$A51,Desconto_Cliente_Mes!$C$2:$C$433,"Proteina"))=0,"",IFERROR(SUMIFS(Desconto_Cliente_Mes!$E$2:$E$433,Desconto_Cliente_Mes!$A$2:$A$433,I$51,Desconto_Cliente_Mes!$B$2:$B$433,$A51,Desconto_Cliente_Mes!$C$2:$C$433,"Proteina"),""))</f>
        <v/>
      </c>
      <c r="J52" s="10" t="str">
        <f aca="false">IF((SUMIFS(Desconto_Cliente_Mes!$D$2:$D$433,Desconto_Cliente_Mes!$A$2:$A$433,J$51,Desconto_Cliente_Mes!$B$2:$B$433,$A51,Desconto_Cliente_Mes!$C$2:$C$433,"Proteina"))=0,"",IFERROR(SUMIFS(Desconto_Cliente_Mes!$E$2:$E$433,Desconto_Cliente_Mes!$A$2:$A$433,J$51,Desconto_Cliente_Mes!$B$2:$B$433,$A51,Desconto_Cliente_Mes!$C$2:$C$433,"Proteina"),""))</f>
        <v/>
      </c>
      <c r="K52" s="10" t="str">
        <f aca="false">IF((SUMIFS(Desconto_Cliente_Mes!$D$2:$D$433,Desconto_Cliente_Mes!$A$2:$A$433,K$51,Desconto_Cliente_Mes!$B$2:$B$433,$A51,Desconto_Cliente_Mes!$C$2:$C$433,"Proteina"))=0,"",IFERROR(SUMIFS(Desconto_Cliente_Mes!$E$2:$E$433,Desconto_Cliente_Mes!$A$2:$A$433,K$51,Desconto_Cliente_Mes!$B$2:$B$433,$A51,Desconto_Cliente_Mes!$C$2:$C$433,"Proteina"),""))</f>
        <v/>
      </c>
      <c r="L52" s="10" t="str">
        <f aca="false">IF((SUMIFS(Desconto_Cliente_Mes!$D$2:$D$433,Desconto_Cliente_Mes!$A$2:$A$433,L$51,Desconto_Cliente_Mes!$B$2:$B$433,$A51,Desconto_Cliente_Mes!$C$2:$C$433,"Proteina"))=0,"",IFERROR(SUMIFS(Desconto_Cliente_Mes!$E$2:$E$433,Desconto_Cliente_Mes!$A$2:$A$433,L$51,Desconto_Cliente_Mes!$B$2:$B$433,$A51,Desconto_Cliente_Mes!$C$2:$C$433,"Proteina"),""))</f>
        <v/>
      </c>
      <c r="M52" s="10" t="str">
        <f aca="false">IF((SUMIFS(Desconto_Cliente_Mes!$D$2:$D$433,Desconto_Cliente_Mes!$A$2:$A$433,M$51,Desconto_Cliente_Mes!$B$2:$B$433,$A51,Desconto_Cliente_Mes!$C$2:$C$433,"Proteina"))=0,"",IFERROR(SUMIFS(Desconto_Cliente_Mes!$E$2:$E$433,Desconto_Cliente_Mes!$A$2:$A$433,M$51,Desconto_Cliente_Mes!$B$2:$B$433,$A51,Desconto_Cliente_Mes!$C$2:$C$433,"Proteina"),""))</f>
        <v/>
      </c>
      <c r="N52" s="11" t="n">
        <f aca="false">IFERROR(Media_Pool_Mes!C6,"")</f>
        <v>47.6334614958572</v>
      </c>
    </row>
    <row r="53" customFormat="false" ht="15" hidden="false" customHeight="false" outlineLevel="0" collapsed="false">
      <c r="A53" s="13" t="s">
        <v>75</v>
      </c>
      <c r="B53" s="8" t="n">
        <f aca="false">IFERROR(SUMIFS(Desconto_Cliente_Mes!$D$2:$D$433,Desconto_Cliente_Mes!$A$2:$A$433,B$51,Desconto_Cliente_Mes!$B$2:$B$433,$A51,Desconto_Cliente_Mes!$C$2:$C$433,"Proteina"),0)</f>
        <v>43820.37</v>
      </c>
      <c r="C53" s="8" t="n">
        <f aca="false">IFERROR(SUMIFS(Desconto_Cliente_Mes!$D$2:$D$433,Desconto_Cliente_Mes!$A$2:$A$433,C$51,Desconto_Cliente_Mes!$B$2:$B$433,$A51,Desconto_Cliente_Mes!$C$2:$C$433,"Proteina"),0)</f>
        <v>49598.12</v>
      </c>
      <c r="D53" s="8" t="n">
        <f aca="false">IFERROR(SUMIFS(Desconto_Cliente_Mes!$D$2:$D$433,Desconto_Cliente_Mes!$A$2:$A$433,D$51,Desconto_Cliente_Mes!$B$2:$B$433,$A51,Desconto_Cliente_Mes!$C$2:$C$433,"Proteina"),0)</f>
        <v>17619.63</v>
      </c>
      <c r="E53" s="8" t="n">
        <f aca="false">IFERROR(SUMIFS(Desconto_Cliente_Mes!$D$2:$D$433,Desconto_Cliente_Mes!$A$2:$A$433,E$51,Desconto_Cliente_Mes!$B$2:$B$433,$A51,Desconto_Cliente_Mes!$C$2:$C$433,"Proteina"),0)</f>
        <v>53120.9</v>
      </c>
      <c r="F53" s="8" t="n">
        <f aca="false">IFERROR(SUMIFS(Desconto_Cliente_Mes!$D$2:$D$433,Desconto_Cliente_Mes!$A$2:$A$433,F$51,Desconto_Cliente_Mes!$B$2:$B$433,$A51,Desconto_Cliente_Mes!$C$2:$C$433,"Proteina"),0)</f>
        <v>63744.72</v>
      </c>
      <c r="G53" s="8" t="n">
        <f aca="false">IFERROR(SUMIFS(Desconto_Cliente_Mes!$D$2:$D$433,Desconto_Cliente_Mes!$A$2:$A$433,G$51,Desconto_Cliente_Mes!$B$2:$B$433,$A51,Desconto_Cliente_Mes!$C$2:$C$433,"Proteina"),0)</f>
        <v>62604.74</v>
      </c>
      <c r="H53" s="8" t="n">
        <f aca="false">IFERROR(SUMIFS(Desconto_Cliente_Mes!$D$2:$D$433,Desconto_Cliente_Mes!$A$2:$A$433,H$51,Desconto_Cliente_Mes!$B$2:$B$433,$A51,Desconto_Cliente_Mes!$C$2:$C$433,"Proteina"),0)</f>
        <v>0</v>
      </c>
      <c r="I53" s="8" t="n">
        <f aca="false">IFERROR(SUMIFS(Desconto_Cliente_Mes!$D$2:$D$433,Desconto_Cliente_Mes!$A$2:$A$433,I$51,Desconto_Cliente_Mes!$B$2:$B$433,$A51,Desconto_Cliente_Mes!$C$2:$C$433,"Proteina"),0)</f>
        <v>0</v>
      </c>
      <c r="J53" s="8" t="n">
        <f aca="false">IFERROR(SUMIFS(Desconto_Cliente_Mes!$D$2:$D$433,Desconto_Cliente_Mes!$A$2:$A$433,J$51,Desconto_Cliente_Mes!$B$2:$B$433,$A51,Desconto_Cliente_Mes!$C$2:$C$433,"Proteina"),0)</f>
        <v>0</v>
      </c>
      <c r="K53" s="8" t="n">
        <f aca="false">IFERROR(SUMIFS(Desconto_Cliente_Mes!$D$2:$D$433,Desconto_Cliente_Mes!$A$2:$A$433,K$51,Desconto_Cliente_Mes!$B$2:$B$433,$A51,Desconto_Cliente_Mes!$C$2:$C$433,"Proteina"),0)</f>
        <v>0</v>
      </c>
      <c r="L53" s="8" t="n">
        <f aca="false">IFERROR(SUMIFS(Desconto_Cliente_Mes!$D$2:$D$433,Desconto_Cliente_Mes!$A$2:$A$433,L$51,Desconto_Cliente_Mes!$B$2:$B$433,$A51,Desconto_Cliente_Mes!$C$2:$C$433,"Proteina"),0)</f>
        <v>0</v>
      </c>
      <c r="M53" s="8" t="n">
        <f aca="false">IFERROR(SUMIFS(Desconto_Cliente_Mes!$D$2:$D$433,Desconto_Cliente_Mes!$A$2:$A$433,M$51,Desconto_Cliente_Mes!$B$2:$B$433,$A51,Desconto_Cliente_Mes!$C$2:$C$433,"Proteina"),0)</f>
        <v>0</v>
      </c>
      <c r="N53" s="9" t="n">
        <f aca="false">SUM(B53:M53)</f>
        <v>290508.48</v>
      </c>
    </row>
    <row r="54" customFormat="false" ht="15" hidden="false" customHeight="false" outlineLevel="0" collapsed="false">
      <c r="A54" s="13" t="s">
        <v>76</v>
      </c>
      <c r="B54" s="15" t="n">
        <f aca="false">MAX(0,(SUMIFS(Desconto_Cliente_Mes!$L$2:$L$433,Desconto_Cliente_Mes!$A$2:$A$433,B$51,Desconto_Cliente_Mes!$B$2:$B$433,$A51,Desconto_Cliente_Mes!$C$2:$C$433,"Proteina"))-(SUMIFS(Desconto_Cliente_Mes!$N$2:$N$433,Desconto_Cliente_Mes!$A$2:$A$433,B$51,Desconto_Cliente_Mes!$B$2:$B$433,$A51,Desconto_Cliente_Mes!$C$2:$C$433,"Proteina")))</f>
        <v>0.0503865720261132</v>
      </c>
      <c r="C54" s="15" t="n">
        <f aca="false">MAX(0,(SUMIFS(Desconto_Cliente_Mes!$L$2:$L$433,Desconto_Cliente_Mes!$A$2:$A$433,C$51,Desconto_Cliente_Mes!$B$2:$B$433,$A51,Desconto_Cliente_Mes!$C$2:$C$433,"Proteina"))-(SUMIFS(Desconto_Cliente_Mes!$N$2:$N$433,Desconto_Cliente_Mes!$A$2:$A$433,C$51,Desconto_Cliente_Mes!$B$2:$B$433,$A51,Desconto_Cliente_Mes!$C$2:$C$433,"Proteina")))</f>
        <v>0</v>
      </c>
      <c r="D54" s="15" t="n">
        <f aca="false">MAX(0,(SUMIFS(Desconto_Cliente_Mes!$L$2:$L$433,Desconto_Cliente_Mes!$A$2:$A$433,D$51,Desconto_Cliente_Mes!$B$2:$B$433,$A51,Desconto_Cliente_Mes!$C$2:$C$433,"Proteina"))-(SUMIFS(Desconto_Cliente_Mes!$N$2:$N$433,Desconto_Cliente_Mes!$A$2:$A$433,D$51,Desconto_Cliente_Mes!$B$2:$B$433,$A51,Desconto_Cliente_Mes!$C$2:$C$433,"Proteina")))</f>
        <v>0.182877669749608</v>
      </c>
      <c r="E54" s="15" t="n">
        <f aca="false">MAX(0,(SUMIFS(Desconto_Cliente_Mes!$L$2:$L$433,Desconto_Cliente_Mes!$A$2:$A$433,E$51,Desconto_Cliente_Mes!$B$2:$B$433,$A51,Desconto_Cliente_Mes!$C$2:$C$433,"Proteina"))-(SUMIFS(Desconto_Cliente_Mes!$N$2:$N$433,Desconto_Cliente_Mes!$A$2:$A$433,E$51,Desconto_Cliente_Mes!$B$2:$B$433,$A51,Desconto_Cliente_Mes!$C$2:$C$433,"Proteina")))</f>
        <v>0.183776578997737</v>
      </c>
      <c r="F54" s="15" t="n">
        <f aca="false">MAX(0,(SUMIFS(Desconto_Cliente_Mes!$L$2:$L$433,Desconto_Cliente_Mes!$A$2:$A$433,F$51,Desconto_Cliente_Mes!$B$2:$B$433,$A51,Desconto_Cliente_Mes!$C$2:$C$433,"Proteina"))-(SUMIFS(Desconto_Cliente_Mes!$N$2:$N$433,Desconto_Cliente_Mes!$A$2:$A$433,F$51,Desconto_Cliente_Mes!$B$2:$B$433,$A51,Desconto_Cliente_Mes!$C$2:$C$433,"Proteina")))</f>
        <v>0</v>
      </c>
      <c r="G54" s="15" t="n">
        <f aca="false">MAX(0,(SUMIFS(Desconto_Cliente_Mes!$L$2:$L$433,Desconto_Cliente_Mes!$A$2:$A$433,G$51,Desconto_Cliente_Mes!$B$2:$B$433,$A51,Desconto_Cliente_Mes!$C$2:$C$433,"Proteina"))-(SUMIFS(Desconto_Cliente_Mes!$N$2:$N$433,Desconto_Cliente_Mes!$A$2:$A$433,G$51,Desconto_Cliente_Mes!$B$2:$B$433,$A51,Desconto_Cliente_Mes!$C$2:$C$433,"Proteina")))</f>
        <v>0.140920523719942</v>
      </c>
      <c r="H54" s="15" t="n">
        <f aca="false">MAX(0,(SUMIFS(Desconto_Cliente_Mes!$L$2:$L$433,Desconto_Cliente_Mes!$A$2:$A$433,H$51,Desconto_Cliente_Mes!$B$2:$B$433,$A51,Desconto_Cliente_Mes!$C$2:$C$433,"Proteina"))-(SUMIFS(Desconto_Cliente_Mes!$N$2:$N$433,Desconto_Cliente_Mes!$A$2:$A$433,H$51,Desconto_Cliente_Mes!$B$2:$B$433,$A51,Desconto_Cliente_Mes!$C$2:$C$433,"Proteina")))</f>
        <v>0</v>
      </c>
      <c r="I54" s="15" t="n">
        <f aca="false">MAX(0,(SUMIFS(Desconto_Cliente_Mes!$L$2:$L$433,Desconto_Cliente_Mes!$A$2:$A$433,I$51,Desconto_Cliente_Mes!$B$2:$B$433,$A51,Desconto_Cliente_Mes!$C$2:$C$433,"Proteina"))-(SUMIFS(Desconto_Cliente_Mes!$N$2:$N$433,Desconto_Cliente_Mes!$A$2:$A$433,I$51,Desconto_Cliente_Mes!$B$2:$B$433,$A51,Desconto_Cliente_Mes!$C$2:$C$433,"Proteina")))</f>
        <v>0</v>
      </c>
      <c r="J54" s="15" t="n">
        <f aca="false">MAX(0,(SUMIFS(Desconto_Cliente_Mes!$L$2:$L$433,Desconto_Cliente_Mes!$A$2:$A$433,J$51,Desconto_Cliente_Mes!$B$2:$B$433,$A51,Desconto_Cliente_Mes!$C$2:$C$433,"Proteina"))-(SUMIFS(Desconto_Cliente_Mes!$N$2:$N$433,Desconto_Cliente_Mes!$A$2:$A$433,J$51,Desconto_Cliente_Mes!$B$2:$B$433,$A51,Desconto_Cliente_Mes!$C$2:$C$433,"Proteina")))</f>
        <v>0</v>
      </c>
      <c r="K54" s="15" t="n">
        <f aca="false">MAX(0,(SUMIFS(Desconto_Cliente_Mes!$L$2:$L$433,Desconto_Cliente_Mes!$A$2:$A$433,K$51,Desconto_Cliente_Mes!$B$2:$B$433,$A51,Desconto_Cliente_Mes!$C$2:$C$433,"Proteina"))-(SUMIFS(Desconto_Cliente_Mes!$N$2:$N$433,Desconto_Cliente_Mes!$A$2:$A$433,K$51,Desconto_Cliente_Mes!$B$2:$B$433,$A51,Desconto_Cliente_Mes!$C$2:$C$433,"Proteina")))</f>
        <v>0</v>
      </c>
      <c r="L54" s="15" t="n">
        <f aca="false">MAX(0,(SUMIFS(Desconto_Cliente_Mes!$L$2:$L$433,Desconto_Cliente_Mes!$A$2:$A$433,L$51,Desconto_Cliente_Mes!$B$2:$B$433,$A51,Desconto_Cliente_Mes!$C$2:$C$433,"Proteina"))-(SUMIFS(Desconto_Cliente_Mes!$N$2:$N$433,Desconto_Cliente_Mes!$A$2:$A$433,L$51,Desconto_Cliente_Mes!$B$2:$B$433,$A51,Desconto_Cliente_Mes!$C$2:$C$433,"Proteina")))</f>
        <v>0</v>
      </c>
      <c r="M54" s="15" t="n">
        <f aca="false">MAX(0,(SUMIFS(Desconto_Cliente_Mes!$L$2:$L$433,Desconto_Cliente_Mes!$A$2:$A$433,M$51,Desconto_Cliente_Mes!$B$2:$B$433,$A51,Desconto_Cliente_Mes!$C$2:$C$433,"Proteina"))-(SUMIFS(Desconto_Cliente_Mes!$N$2:$N$433,Desconto_Cliente_Mes!$A$2:$A$433,M$51,Desconto_Cliente_Mes!$B$2:$B$433,$A51,Desconto_Cliente_Mes!$C$2:$C$433,"Proteina")))</f>
        <v>0</v>
      </c>
    </row>
    <row r="55" customFormat="false" ht="15" hidden="false" customHeight="false" outlineLevel="0" collapsed="false">
      <c r="A55" s="13" t="s">
        <v>77</v>
      </c>
      <c r="B55" s="15" t="n">
        <f aca="false">MAX(0,(SUMIFS(Desconto_Cliente_Mes!$N$2:$N$433,Desconto_Cliente_Mes!$A$2:$A$433,B$51,Desconto_Cliente_Mes!$B$2:$B$433,$A51,Desconto_Cliente_Mes!$C$2:$C$433,"Proteina"))-(SUMIFS(Desconto_Cliente_Mes!$P$2:$P$433,Desconto_Cliente_Mes!$A$2:$A$433,B$51,Desconto_Cliente_Mes!$B$2:$B$433,$A51,Desconto_Cliente_Mes!$C$2:$C$433,"Proteina")))</f>
        <v>0</v>
      </c>
      <c r="C55" s="15" t="n">
        <f aca="false">MAX(0,(SUMIFS(Desconto_Cliente_Mes!$N$2:$N$433,Desconto_Cliente_Mes!$A$2:$A$433,C$51,Desconto_Cliente_Mes!$B$2:$B$433,$A51,Desconto_Cliente_Mes!$C$2:$C$433,"Proteina"))-(SUMIFS(Desconto_Cliente_Mes!$P$2:$P$433,Desconto_Cliente_Mes!$A$2:$A$433,C$51,Desconto_Cliente_Mes!$B$2:$B$433,$A51,Desconto_Cliente_Mes!$C$2:$C$433,"Proteina")))</f>
        <v>0</v>
      </c>
      <c r="D55" s="15" t="n">
        <f aca="false">MAX(0,(SUMIFS(Desconto_Cliente_Mes!$N$2:$N$433,Desconto_Cliente_Mes!$A$2:$A$433,D$51,Desconto_Cliente_Mes!$B$2:$B$433,$A51,Desconto_Cliente_Mes!$C$2:$C$433,"Proteina"))-(SUMIFS(Desconto_Cliente_Mes!$P$2:$P$433,Desconto_Cliente_Mes!$A$2:$A$433,D$51,Desconto_Cliente_Mes!$B$2:$B$433,$A51,Desconto_Cliente_Mes!$C$2:$C$433,"Proteina")))</f>
        <v>0</v>
      </c>
      <c r="E55" s="15" t="n">
        <f aca="false">MAX(0,(SUMIFS(Desconto_Cliente_Mes!$N$2:$N$433,Desconto_Cliente_Mes!$A$2:$A$433,E$51,Desconto_Cliente_Mes!$B$2:$B$433,$A51,Desconto_Cliente_Mes!$C$2:$C$433,"Proteina"))-(SUMIFS(Desconto_Cliente_Mes!$P$2:$P$433,Desconto_Cliente_Mes!$A$2:$A$433,E$51,Desconto_Cliente_Mes!$B$2:$B$433,$A51,Desconto_Cliente_Mes!$C$2:$C$433,"Proteina")))</f>
        <v>0</v>
      </c>
      <c r="F55" s="15" t="n">
        <f aca="false">MAX(0,(SUMIFS(Desconto_Cliente_Mes!$N$2:$N$433,Desconto_Cliente_Mes!$A$2:$A$433,F$51,Desconto_Cliente_Mes!$B$2:$B$433,$A51,Desconto_Cliente_Mes!$C$2:$C$433,"Proteina"))-(SUMIFS(Desconto_Cliente_Mes!$P$2:$P$433,Desconto_Cliente_Mes!$A$2:$A$433,F$51,Desconto_Cliente_Mes!$B$2:$B$433,$A51,Desconto_Cliente_Mes!$C$2:$C$433,"Proteina")))</f>
        <v>0</v>
      </c>
      <c r="G55" s="15" t="n">
        <f aca="false">MAX(0,(SUMIFS(Desconto_Cliente_Mes!$N$2:$N$433,Desconto_Cliente_Mes!$A$2:$A$433,G$51,Desconto_Cliente_Mes!$B$2:$B$433,$A51,Desconto_Cliente_Mes!$C$2:$C$433,"Proteina"))-(SUMIFS(Desconto_Cliente_Mes!$P$2:$P$433,Desconto_Cliente_Mes!$A$2:$A$433,G$51,Desconto_Cliente_Mes!$B$2:$B$433,$A51,Desconto_Cliente_Mes!$C$2:$C$433,"Proteina")))</f>
        <v>0</v>
      </c>
      <c r="H55" s="15" t="n">
        <f aca="false">MAX(0,(SUMIFS(Desconto_Cliente_Mes!$N$2:$N$433,Desconto_Cliente_Mes!$A$2:$A$433,H$51,Desconto_Cliente_Mes!$B$2:$B$433,$A51,Desconto_Cliente_Mes!$C$2:$C$433,"Proteina"))-(SUMIFS(Desconto_Cliente_Mes!$P$2:$P$433,Desconto_Cliente_Mes!$A$2:$A$433,H$51,Desconto_Cliente_Mes!$B$2:$B$433,$A51,Desconto_Cliente_Mes!$C$2:$C$433,"Proteina")))</f>
        <v>0</v>
      </c>
      <c r="I55" s="15" t="n">
        <f aca="false">MAX(0,(SUMIFS(Desconto_Cliente_Mes!$N$2:$N$433,Desconto_Cliente_Mes!$A$2:$A$433,I$51,Desconto_Cliente_Mes!$B$2:$B$433,$A51,Desconto_Cliente_Mes!$C$2:$C$433,"Proteina"))-(SUMIFS(Desconto_Cliente_Mes!$P$2:$P$433,Desconto_Cliente_Mes!$A$2:$A$433,I$51,Desconto_Cliente_Mes!$B$2:$B$433,$A51,Desconto_Cliente_Mes!$C$2:$C$433,"Proteina")))</f>
        <v>0</v>
      </c>
      <c r="J55" s="15" t="n">
        <f aca="false">MAX(0,(SUMIFS(Desconto_Cliente_Mes!$N$2:$N$433,Desconto_Cliente_Mes!$A$2:$A$433,J$51,Desconto_Cliente_Mes!$B$2:$B$433,$A51,Desconto_Cliente_Mes!$C$2:$C$433,"Proteina"))-(SUMIFS(Desconto_Cliente_Mes!$P$2:$P$433,Desconto_Cliente_Mes!$A$2:$A$433,J$51,Desconto_Cliente_Mes!$B$2:$B$433,$A51,Desconto_Cliente_Mes!$C$2:$C$433,"Proteina")))</f>
        <v>0</v>
      </c>
      <c r="K55" s="15" t="n">
        <f aca="false">MAX(0,(SUMIFS(Desconto_Cliente_Mes!$N$2:$N$433,Desconto_Cliente_Mes!$A$2:$A$433,K$51,Desconto_Cliente_Mes!$B$2:$B$433,$A51,Desconto_Cliente_Mes!$C$2:$C$433,"Proteina"))-(SUMIFS(Desconto_Cliente_Mes!$P$2:$P$433,Desconto_Cliente_Mes!$A$2:$A$433,K$51,Desconto_Cliente_Mes!$B$2:$B$433,$A51,Desconto_Cliente_Mes!$C$2:$C$433,"Proteina")))</f>
        <v>0</v>
      </c>
      <c r="L55" s="15" t="n">
        <f aca="false">MAX(0,(SUMIFS(Desconto_Cliente_Mes!$N$2:$N$433,Desconto_Cliente_Mes!$A$2:$A$433,L$51,Desconto_Cliente_Mes!$B$2:$B$433,$A51,Desconto_Cliente_Mes!$C$2:$C$433,"Proteina"))-(SUMIFS(Desconto_Cliente_Mes!$P$2:$P$433,Desconto_Cliente_Mes!$A$2:$A$433,L$51,Desconto_Cliente_Mes!$B$2:$B$433,$A51,Desconto_Cliente_Mes!$C$2:$C$433,"Proteina")))</f>
        <v>0</v>
      </c>
      <c r="M55" s="15" t="n">
        <f aca="false">MAX(0,(SUMIFS(Desconto_Cliente_Mes!$N$2:$N$433,Desconto_Cliente_Mes!$A$2:$A$433,M$51,Desconto_Cliente_Mes!$B$2:$B$433,$A51,Desconto_Cliente_Mes!$C$2:$C$433,"Proteina"))-(SUMIFS(Desconto_Cliente_Mes!$P$2:$P$433,Desconto_Cliente_Mes!$A$2:$A$433,M$51,Desconto_Cliente_Mes!$B$2:$B$433,$A51,Desconto_Cliente_Mes!$C$2:$C$433,"Proteina")))</f>
        <v>0</v>
      </c>
    </row>
    <row r="56" customFormat="false" ht="15" hidden="false" customHeight="false" outlineLevel="0" collapsed="false">
      <c r="A56" s="13" t="s">
        <v>78</v>
      </c>
      <c r="B56" s="15" t="n">
        <f aca="false">MAX(0,SUMIFS(Desconto_Cliente_Mes!$P$2:$P$433,Desconto_Cliente_Mes!$A$2:$A$433,B$51,Desconto_Cliente_Mes!$B$2:$B$433,$A51,Desconto_Cliente_Mes!$C$2:$C$433,"Proteina"))</f>
        <v>0</v>
      </c>
      <c r="C56" s="15" t="n">
        <f aca="false">MAX(0,SUMIFS(Desconto_Cliente_Mes!$P$2:$P$433,Desconto_Cliente_Mes!$A$2:$A$433,C$51,Desconto_Cliente_Mes!$B$2:$B$433,$A51,Desconto_Cliente_Mes!$C$2:$C$433,"Proteina"))</f>
        <v>0</v>
      </c>
      <c r="D56" s="15" t="n">
        <f aca="false">MAX(0,SUMIFS(Desconto_Cliente_Mes!$P$2:$P$433,Desconto_Cliente_Mes!$A$2:$A$433,D$51,Desconto_Cliente_Mes!$B$2:$B$433,$A51,Desconto_Cliente_Mes!$C$2:$C$433,"Proteina"))</f>
        <v>0</v>
      </c>
      <c r="E56" s="15" t="n">
        <f aca="false">MAX(0,SUMIFS(Desconto_Cliente_Mes!$P$2:$P$433,Desconto_Cliente_Mes!$A$2:$A$433,E$51,Desconto_Cliente_Mes!$B$2:$B$433,$A51,Desconto_Cliente_Mes!$C$2:$C$433,"Proteina"))</f>
        <v>0</v>
      </c>
      <c r="F56" s="15" t="n">
        <f aca="false">MAX(0,SUMIFS(Desconto_Cliente_Mes!$P$2:$P$433,Desconto_Cliente_Mes!$A$2:$A$433,F$51,Desconto_Cliente_Mes!$B$2:$B$433,$A51,Desconto_Cliente_Mes!$C$2:$C$433,"Proteina"))</f>
        <v>0</v>
      </c>
      <c r="G56" s="15" t="n">
        <f aca="false">MAX(0,SUMIFS(Desconto_Cliente_Mes!$P$2:$P$433,Desconto_Cliente_Mes!$A$2:$A$433,G$51,Desconto_Cliente_Mes!$B$2:$B$433,$A51,Desconto_Cliente_Mes!$C$2:$C$433,"Proteina"))</f>
        <v>0</v>
      </c>
      <c r="H56" s="15" t="n">
        <f aca="false">MAX(0,SUMIFS(Desconto_Cliente_Mes!$P$2:$P$433,Desconto_Cliente_Mes!$A$2:$A$433,H$51,Desconto_Cliente_Mes!$B$2:$B$433,$A51,Desconto_Cliente_Mes!$C$2:$C$433,"Proteina"))</f>
        <v>0</v>
      </c>
      <c r="I56" s="15" t="n">
        <f aca="false">MAX(0,SUMIFS(Desconto_Cliente_Mes!$P$2:$P$433,Desconto_Cliente_Mes!$A$2:$A$433,I$51,Desconto_Cliente_Mes!$B$2:$B$433,$A51,Desconto_Cliente_Mes!$C$2:$C$433,"Proteina"))</f>
        <v>0</v>
      </c>
      <c r="J56" s="15" t="n">
        <f aca="false">MAX(0,SUMIFS(Desconto_Cliente_Mes!$P$2:$P$433,Desconto_Cliente_Mes!$A$2:$A$433,J$51,Desconto_Cliente_Mes!$B$2:$B$433,$A51,Desconto_Cliente_Mes!$C$2:$C$433,"Proteina"))</f>
        <v>0</v>
      </c>
      <c r="K56" s="15" t="n">
        <f aca="false">MAX(0,SUMIFS(Desconto_Cliente_Mes!$P$2:$P$433,Desconto_Cliente_Mes!$A$2:$A$433,K$51,Desconto_Cliente_Mes!$B$2:$B$433,$A51,Desconto_Cliente_Mes!$C$2:$C$433,"Proteina"))</f>
        <v>0</v>
      </c>
      <c r="L56" s="15" t="n">
        <f aca="false">MAX(0,SUMIFS(Desconto_Cliente_Mes!$P$2:$P$433,Desconto_Cliente_Mes!$A$2:$A$433,L$51,Desconto_Cliente_Mes!$B$2:$B$433,$A51,Desconto_Cliente_Mes!$C$2:$C$433,"Proteina"))</f>
        <v>0</v>
      </c>
      <c r="M56" s="15" t="n">
        <f aca="false">MAX(0,SUMIFS(Desconto_Cliente_Mes!$P$2:$P$433,Desconto_Cliente_Mes!$A$2:$A$433,M$51,Desconto_Cliente_Mes!$B$2:$B$433,$A51,Desconto_Cliente_Mes!$C$2:$C$433,"Proteina"))</f>
        <v>0</v>
      </c>
    </row>
    <row r="57" customFormat="false" ht="15" hidden="false" customHeight="false" outlineLevel="0" collapsed="false">
      <c r="A57" s="13" t="s">
        <v>79</v>
      </c>
      <c r="B57" s="16" t="n">
        <f aca="false">$B$53*($B$54/100)*(SUMIFS(Desconto_Cliente_Mes!$Q$2:$Q$433,Desconto_Cliente_Mes!$A$2:$A$433,B$51,Desconto_Cliente_Mes!$B$2:$B$433,$A51,Desconto_Cliente_Mes!$C$2:$C$433,"Proteina"))*(SUMIFS(Desconto_Cliente_Mes!$T$2:$T$433,Desconto_Cliente_Mes!$A$2:$A$433,B$51,Desconto_Cliente_Mes!$B$2:$B$433,$A51,Desconto_Cliente_Mes!$C$2:$C$433,"Proteina"))</f>
        <v>7573.29672621064</v>
      </c>
      <c r="C57" s="16" t="n">
        <f aca="false">$C$53*($C$54/100)*(SUMIFS(Desconto_Cliente_Mes!$Q$2:$Q$433,Desconto_Cliente_Mes!$A$2:$A$433,C$51,Desconto_Cliente_Mes!$B$2:$B$433,$A51,Desconto_Cliente_Mes!$C$2:$C$433,"Proteina"))*(SUMIFS(Desconto_Cliente_Mes!$T$2:$T$433,Desconto_Cliente_Mes!$A$2:$A$433,C$51,Desconto_Cliente_Mes!$B$2:$B$433,$A51,Desconto_Cliente_Mes!$C$2:$C$433,"Proteina"))</f>
        <v>0</v>
      </c>
      <c r="D57" s="16" t="n">
        <f aca="false">$D$53*($D$54/100)*(SUMIFS(Desconto_Cliente_Mes!$Q$2:$Q$433,Desconto_Cliente_Mes!$A$2:$A$433,D$51,Desconto_Cliente_Mes!$B$2:$B$433,$A51,Desconto_Cliente_Mes!$C$2:$C$433,"Proteina"))*(SUMIFS(Desconto_Cliente_Mes!$T$2:$T$433,Desconto_Cliente_Mes!$A$2:$A$433,D$51,Desconto_Cliente_Mes!$B$2:$B$433,$A51,Desconto_Cliente_Mes!$C$2:$C$433,"Proteina"))</f>
        <v>11052.2724855385</v>
      </c>
      <c r="E57" s="16" t="n">
        <f aca="false">$E$53*($E$54/100)*(SUMIFS(Desconto_Cliente_Mes!$Q$2:$Q$433,Desconto_Cliente_Mes!$A$2:$A$433,E$51,Desconto_Cliente_Mes!$B$2:$B$433,$A51,Desconto_Cliente_Mes!$C$2:$C$433,"Proteina"))*(SUMIFS(Desconto_Cliente_Mes!$T$2:$T$433,Desconto_Cliente_Mes!$A$2:$A$433,E$51,Desconto_Cliente_Mes!$B$2:$B$433,$A51,Desconto_Cliente_Mes!$C$2:$C$433,"Proteina"))</f>
        <v>33484.9540542134</v>
      </c>
      <c r="F57" s="16" t="n">
        <f aca="false">$F$53*($F$54/100)*(SUMIFS(Desconto_Cliente_Mes!$Q$2:$Q$433,Desconto_Cliente_Mes!$A$2:$A$433,F$51,Desconto_Cliente_Mes!$B$2:$B$433,$A51,Desconto_Cliente_Mes!$C$2:$C$433,"Proteina"))*(SUMIFS(Desconto_Cliente_Mes!$T$2:$T$433,Desconto_Cliente_Mes!$A$2:$A$433,F$51,Desconto_Cliente_Mes!$B$2:$B$433,$A51,Desconto_Cliente_Mes!$C$2:$C$433,"Proteina"))</f>
        <v>0</v>
      </c>
      <c r="G57" s="16" t="n">
        <f aca="false">$G$53*($G$54/100)*(SUMIFS(Desconto_Cliente_Mes!$Q$2:$Q$433,Desconto_Cliente_Mes!$A$2:$A$433,G$51,Desconto_Cliente_Mes!$B$2:$B$433,$A51,Desconto_Cliente_Mes!$C$2:$C$433,"Proteina"))*(SUMIFS(Desconto_Cliente_Mes!$T$2:$T$433,Desconto_Cliente_Mes!$A$2:$A$433,G$51,Desconto_Cliente_Mes!$B$2:$B$433,$A51,Desconto_Cliente_Mes!$C$2:$C$433,"Proteina"))</f>
        <v>30260.4641261572</v>
      </c>
      <c r="H57" s="16" t="n">
        <f aca="false">$H$53*($H$54/100)*(SUMIFS(Desconto_Cliente_Mes!$Q$2:$Q$433,Desconto_Cliente_Mes!$A$2:$A$433,H$51,Desconto_Cliente_Mes!$B$2:$B$433,$A51,Desconto_Cliente_Mes!$C$2:$C$433,"Proteina"))*(SUMIFS(Desconto_Cliente_Mes!$T$2:$T$433,Desconto_Cliente_Mes!$A$2:$A$433,H$51,Desconto_Cliente_Mes!$B$2:$B$433,$A51,Desconto_Cliente_Mes!$C$2:$C$433,"Proteina"))</f>
        <v>0</v>
      </c>
      <c r="I57" s="16" t="n">
        <f aca="false">$I$53*($I$54/100)*(SUMIFS(Desconto_Cliente_Mes!$Q$2:$Q$433,Desconto_Cliente_Mes!$A$2:$A$433,I$51,Desconto_Cliente_Mes!$B$2:$B$433,$A51,Desconto_Cliente_Mes!$C$2:$C$433,"Proteina"))*(SUMIFS(Desconto_Cliente_Mes!$T$2:$T$433,Desconto_Cliente_Mes!$A$2:$A$433,I$51,Desconto_Cliente_Mes!$B$2:$B$433,$A51,Desconto_Cliente_Mes!$C$2:$C$433,"Proteina"))</f>
        <v>0</v>
      </c>
      <c r="J57" s="16" t="n">
        <f aca="false">$J$53*($J$54/100)*(SUMIFS(Desconto_Cliente_Mes!$Q$2:$Q$433,Desconto_Cliente_Mes!$A$2:$A$433,J$51,Desconto_Cliente_Mes!$B$2:$B$433,$A51,Desconto_Cliente_Mes!$C$2:$C$433,"Proteina"))*(SUMIFS(Desconto_Cliente_Mes!$T$2:$T$433,Desconto_Cliente_Mes!$A$2:$A$433,J$51,Desconto_Cliente_Mes!$B$2:$B$433,$A51,Desconto_Cliente_Mes!$C$2:$C$433,"Proteina"))</f>
        <v>0</v>
      </c>
      <c r="K57" s="16" t="n">
        <f aca="false">$K$53*($K$54/100)*(SUMIFS(Desconto_Cliente_Mes!$Q$2:$Q$433,Desconto_Cliente_Mes!$A$2:$A$433,K$51,Desconto_Cliente_Mes!$B$2:$B$433,$A51,Desconto_Cliente_Mes!$C$2:$C$433,"Proteina"))*(SUMIFS(Desconto_Cliente_Mes!$T$2:$T$433,Desconto_Cliente_Mes!$A$2:$A$433,K$51,Desconto_Cliente_Mes!$B$2:$B$433,$A51,Desconto_Cliente_Mes!$C$2:$C$433,"Proteina"))</f>
        <v>0</v>
      </c>
      <c r="L57" s="16" t="n">
        <f aca="false">$L$53*($L$54/100)*(SUMIFS(Desconto_Cliente_Mes!$Q$2:$Q$433,Desconto_Cliente_Mes!$A$2:$A$433,L$51,Desconto_Cliente_Mes!$B$2:$B$433,$A51,Desconto_Cliente_Mes!$C$2:$C$433,"Proteina"))*(SUMIFS(Desconto_Cliente_Mes!$T$2:$T$433,Desconto_Cliente_Mes!$A$2:$A$433,L$51,Desconto_Cliente_Mes!$B$2:$B$433,$A51,Desconto_Cliente_Mes!$C$2:$C$433,"Proteina"))</f>
        <v>0</v>
      </c>
      <c r="M57" s="16" t="n">
        <f aca="false">$M$53*($M$54/100)*(SUMIFS(Desconto_Cliente_Mes!$Q$2:$Q$433,Desconto_Cliente_Mes!$A$2:$A$433,M$51,Desconto_Cliente_Mes!$B$2:$B$433,$A51,Desconto_Cliente_Mes!$C$2:$C$433,"Proteina"))*(SUMIFS(Desconto_Cliente_Mes!$T$2:$T$433,Desconto_Cliente_Mes!$A$2:$A$433,M$51,Desconto_Cliente_Mes!$B$2:$B$433,$A51,Desconto_Cliente_Mes!$C$2:$C$433,"Proteina"))</f>
        <v>0</v>
      </c>
      <c r="N57" s="17" t="n">
        <f aca="false">SUM(B57:M57)</f>
        <v>82370.9873921197</v>
      </c>
    </row>
    <row r="58" customFormat="false" ht="15" hidden="false" customHeight="false" outlineLevel="0" collapsed="false">
      <c r="A58" s="13" t="s">
        <v>80</v>
      </c>
      <c r="B58" s="16" t="n">
        <f aca="false">$B$53*($B$55/100)*((IF(SUMIFS(Desconto_Cliente_Mes!$R$2:$R$433,Desconto_Cliente_Mes!$A$2:$A$433,B$51,Desconto_Cliente_Mes!$B$2:$B$433,$A51,Desconto_Cliente_Mes!$C$2:$C$433,"Proteina")="",SUMIFS(Desconto_Cliente_Mes!$Q$2:$Q$433,Desconto_Cliente_Mes!$A$2:$A$433,B$51,Desconto_Cliente_Mes!$B$2:$B$433,$A51,Desconto_Cliente_Mes!$C$2:$C$433,"Proteina"),SUMIFS(Desconto_Cliente_Mes!$R$2:$R$433,Desconto_Cliente_Mes!$A$2:$A$433,B$51,Desconto_Cliente_Mes!$B$2:$B$433,$A51,Desconto_Cliente_Mes!$C$2:$C$433,"Proteina")))-(SUMIFS(Desconto_Cliente_Mes!$Q$2:$Q$433,Desconto_Cliente_Mes!$A$2:$A$433,B$51,Desconto_Cliente_Mes!$B$2:$B$433,$A51,Desconto_Cliente_Mes!$C$2:$C$433,"Proteina")))*(SUMIFS(Desconto_Cliente_Mes!$T$2:$T$433,Desconto_Cliente_Mes!$A$2:$A$433,B$51,Desconto_Cliente_Mes!$B$2:$B$433,$A51,Desconto_Cliente_Mes!$C$2:$C$433,"Proteina"))</f>
        <v>0</v>
      </c>
      <c r="C58" s="16" t="n">
        <f aca="false">$C$53*($C$55/100)*((IF(SUMIFS(Desconto_Cliente_Mes!$R$2:$R$433,Desconto_Cliente_Mes!$A$2:$A$433,C$51,Desconto_Cliente_Mes!$B$2:$B$433,$A51,Desconto_Cliente_Mes!$C$2:$C$433,"Proteina")="",SUMIFS(Desconto_Cliente_Mes!$Q$2:$Q$433,Desconto_Cliente_Mes!$A$2:$A$433,C$51,Desconto_Cliente_Mes!$B$2:$B$433,$A51,Desconto_Cliente_Mes!$C$2:$C$433,"Proteina"),SUMIFS(Desconto_Cliente_Mes!$R$2:$R$433,Desconto_Cliente_Mes!$A$2:$A$433,C$51,Desconto_Cliente_Mes!$B$2:$B$433,$A51,Desconto_Cliente_Mes!$C$2:$C$433,"Proteina")))-(SUMIFS(Desconto_Cliente_Mes!$Q$2:$Q$433,Desconto_Cliente_Mes!$A$2:$A$433,C$51,Desconto_Cliente_Mes!$B$2:$B$433,$A51,Desconto_Cliente_Mes!$C$2:$C$433,"Proteina")))*(SUMIFS(Desconto_Cliente_Mes!$T$2:$T$433,Desconto_Cliente_Mes!$A$2:$A$433,C$51,Desconto_Cliente_Mes!$B$2:$B$433,$A51,Desconto_Cliente_Mes!$C$2:$C$433,"Proteina"))</f>
        <v>0</v>
      </c>
      <c r="D58" s="16" t="n">
        <f aca="false">$D$53*($D$55/100)*((IF(SUMIFS(Desconto_Cliente_Mes!$R$2:$R$433,Desconto_Cliente_Mes!$A$2:$A$433,D$51,Desconto_Cliente_Mes!$B$2:$B$433,$A51,Desconto_Cliente_Mes!$C$2:$C$433,"Proteina")="",SUMIFS(Desconto_Cliente_Mes!$Q$2:$Q$433,Desconto_Cliente_Mes!$A$2:$A$433,D$51,Desconto_Cliente_Mes!$B$2:$B$433,$A51,Desconto_Cliente_Mes!$C$2:$C$433,"Proteina"),SUMIFS(Desconto_Cliente_Mes!$R$2:$R$433,Desconto_Cliente_Mes!$A$2:$A$433,D$51,Desconto_Cliente_Mes!$B$2:$B$433,$A51,Desconto_Cliente_Mes!$C$2:$C$433,"Proteina")))-(SUMIFS(Desconto_Cliente_Mes!$Q$2:$Q$433,Desconto_Cliente_Mes!$A$2:$A$433,D$51,Desconto_Cliente_Mes!$B$2:$B$433,$A51,Desconto_Cliente_Mes!$C$2:$C$433,"Proteina")))*(SUMIFS(Desconto_Cliente_Mes!$T$2:$T$433,Desconto_Cliente_Mes!$A$2:$A$433,D$51,Desconto_Cliente_Mes!$B$2:$B$433,$A51,Desconto_Cliente_Mes!$C$2:$C$433,"Proteina"))</f>
        <v>0</v>
      </c>
      <c r="E58" s="16" t="n">
        <f aca="false">$E$53*($E$55/100)*((IF(SUMIFS(Desconto_Cliente_Mes!$R$2:$R$433,Desconto_Cliente_Mes!$A$2:$A$433,E$51,Desconto_Cliente_Mes!$B$2:$B$433,$A51,Desconto_Cliente_Mes!$C$2:$C$433,"Proteina")="",SUMIFS(Desconto_Cliente_Mes!$Q$2:$Q$433,Desconto_Cliente_Mes!$A$2:$A$433,E$51,Desconto_Cliente_Mes!$B$2:$B$433,$A51,Desconto_Cliente_Mes!$C$2:$C$433,"Proteina"),SUMIFS(Desconto_Cliente_Mes!$R$2:$R$433,Desconto_Cliente_Mes!$A$2:$A$433,E$51,Desconto_Cliente_Mes!$B$2:$B$433,$A51,Desconto_Cliente_Mes!$C$2:$C$433,"Proteina")))-(SUMIFS(Desconto_Cliente_Mes!$Q$2:$Q$433,Desconto_Cliente_Mes!$A$2:$A$433,E$51,Desconto_Cliente_Mes!$B$2:$B$433,$A51,Desconto_Cliente_Mes!$C$2:$C$433,"Proteina")))*(SUMIFS(Desconto_Cliente_Mes!$T$2:$T$433,Desconto_Cliente_Mes!$A$2:$A$433,E$51,Desconto_Cliente_Mes!$B$2:$B$433,$A51,Desconto_Cliente_Mes!$C$2:$C$433,"Proteina"))</f>
        <v>0</v>
      </c>
      <c r="F58" s="16" t="n">
        <f aca="false">$F$53*($F$55/100)*((IF(SUMIFS(Desconto_Cliente_Mes!$R$2:$R$433,Desconto_Cliente_Mes!$A$2:$A$433,F$51,Desconto_Cliente_Mes!$B$2:$B$433,$A51,Desconto_Cliente_Mes!$C$2:$C$433,"Proteina")="",SUMIFS(Desconto_Cliente_Mes!$Q$2:$Q$433,Desconto_Cliente_Mes!$A$2:$A$433,F$51,Desconto_Cliente_Mes!$B$2:$B$433,$A51,Desconto_Cliente_Mes!$C$2:$C$433,"Proteina"),SUMIFS(Desconto_Cliente_Mes!$R$2:$R$433,Desconto_Cliente_Mes!$A$2:$A$433,F$51,Desconto_Cliente_Mes!$B$2:$B$433,$A51,Desconto_Cliente_Mes!$C$2:$C$433,"Proteina")))-(SUMIFS(Desconto_Cliente_Mes!$Q$2:$Q$433,Desconto_Cliente_Mes!$A$2:$A$433,F$51,Desconto_Cliente_Mes!$B$2:$B$433,$A51,Desconto_Cliente_Mes!$C$2:$C$433,"Proteina")))*(SUMIFS(Desconto_Cliente_Mes!$T$2:$T$433,Desconto_Cliente_Mes!$A$2:$A$433,F$51,Desconto_Cliente_Mes!$B$2:$B$433,$A51,Desconto_Cliente_Mes!$C$2:$C$433,"Proteina"))</f>
        <v>0</v>
      </c>
      <c r="G58" s="16" t="n">
        <f aca="false">$G$53*($G$55/100)*((IF(SUMIFS(Desconto_Cliente_Mes!$R$2:$R$433,Desconto_Cliente_Mes!$A$2:$A$433,G$51,Desconto_Cliente_Mes!$B$2:$B$433,$A51,Desconto_Cliente_Mes!$C$2:$C$433,"Proteina")="",SUMIFS(Desconto_Cliente_Mes!$Q$2:$Q$433,Desconto_Cliente_Mes!$A$2:$A$433,G$51,Desconto_Cliente_Mes!$B$2:$B$433,$A51,Desconto_Cliente_Mes!$C$2:$C$433,"Proteina"),SUMIFS(Desconto_Cliente_Mes!$R$2:$R$433,Desconto_Cliente_Mes!$A$2:$A$433,G$51,Desconto_Cliente_Mes!$B$2:$B$433,$A51,Desconto_Cliente_Mes!$C$2:$C$433,"Proteina")))-(SUMIFS(Desconto_Cliente_Mes!$Q$2:$Q$433,Desconto_Cliente_Mes!$A$2:$A$433,G$51,Desconto_Cliente_Mes!$B$2:$B$433,$A51,Desconto_Cliente_Mes!$C$2:$C$433,"Proteina")))*(SUMIFS(Desconto_Cliente_Mes!$T$2:$T$433,Desconto_Cliente_Mes!$A$2:$A$433,G$51,Desconto_Cliente_Mes!$B$2:$B$433,$A51,Desconto_Cliente_Mes!$C$2:$C$433,"Proteina"))</f>
        <v>0</v>
      </c>
      <c r="H58" s="16" t="n">
        <f aca="false">$H$53*($H$55/100)*((IF(SUMIFS(Desconto_Cliente_Mes!$R$2:$R$433,Desconto_Cliente_Mes!$A$2:$A$433,H$51,Desconto_Cliente_Mes!$B$2:$B$433,$A51,Desconto_Cliente_Mes!$C$2:$C$433,"Proteina")="",SUMIFS(Desconto_Cliente_Mes!$Q$2:$Q$433,Desconto_Cliente_Mes!$A$2:$A$433,H$51,Desconto_Cliente_Mes!$B$2:$B$433,$A51,Desconto_Cliente_Mes!$C$2:$C$433,"Proteina"),SUMIFS(Desconto_Cliente_Mes!$R$2:$R$433,Desconto_Cliente_Mes!$A$2:$A$433,H$51,Desconto_Cliente_Mes!$B$2:$B$433,$A51,Desconto_Cliente_Mes!$C$2:$C$433,"Proteina")))-(SUMIFS(Desconto_Cliente_Mes!$Q$2:$Q$433,Desconto_Cliente_Mes!$A$2:$A$433,H$51,Desconto_Cliente_Mes!$B$2:$B$433,$A51,Desconto_Cliente_Mes!$C$2:$C$433,"Proteina")))*(SUMIFS(Desconto_Cliente_Mes!$T$2:$T$433,Desconto_Cliente_Mes!$A$2:$A$433,H$51,Desconto_Cliente_Mes!$B$2:$B$433,$A51,Desconto_Cliente_Mes!$C$2:$C$433,"Proteina"))</f>
        <v>0</v>
      </c>
      <c r="I58" s="16" t="n">
        <f aca="false">$I$53*($I$55/100)*((IF(SUMIFS(Desconto_Cliente_Mes!$R$2:$R$433,Desconto_Cliente_Mes!$A$2:$A$433,I$51,Desconto_Cliente_Mes!$B$2:$B$433,$A51,Desconto_Cliente_Mes!$C$2:$C$433,"Proteina")="",SUMIFS(Desconto_Cliente_Mes!$Q$2:$Q$433,Desconto_Cliente_Mes!$A$2:$A$433,I$51,Desconto_Cliente_Mes!$B$2:$B$433,$A51,Desconto_Cliente_Mes!$C$2:$C$433,"Proteina"),SUMIFS(Desconto_Cliente_Mes!$R$2:$R$433,Desconto_Cliente_Mes!$A$2:$A$433,I$51,Desconto_Cliente_Mes!$B$2:$B$433,$A51,Desconto_Cliente_Mes!$C$2:$C$433,"Proteina")))-(SUMIFS(Desconto_Cliente_Mes!$Q$2:$Q$433,Desconto_Cliente_Mes!$A$2:$A$433,I$51,Desconto_Cliente_Mes!$B$2:$B$433,$A51,Desconto_Cliente_Mes!$C$2:$C$433,"Proteina")))*(SUMIFS(Desconto_Cliente_Mes!$T$2:$T$433,Desconto_Cliente_Mes!$A$2:$A$433,I$51,Desconto_Cliente_Mes!$B$2:$B$433,$A51,Desconto_Cliente_Mes!$C$2:$C$433,"Proteina"))</f>
        <v>0</v>
      </c>
      <c r="J58" s="16" t="n">
        <f aca="false">$J$53*($J$55/100)*((IF(SUMIFS(Desconto_Cliente_Mes!$R$2:$R$433,Desconto_Cliente_Mes!$A$2:$A$433,J$51,Desconto_Cliente_Mes!$B$2:$B$433,$A51,Desconto_Cliente_Mes!$C$2:$C$433,"Proteina")="",SUMIFS(Desconto_Cliente_Mes!$Q$2:$Q$433,Desconto_Cliente_Mes!$A$2:$A$433,J$51,Desconto_Cliente_Mes!$B$2:$B$433,$A51,Desconto_Cliente_Mes!$C$2:$C$433,"Proteina"),SUMIFS(Desconto_Cliente_Mes!$R$2:$R$433,Desconto_Cliente_Mes!$A$2:$A$433,J$51,Desconto_Cliente_Mes!$B$2:$B$433,$A51,Desconto_Cliente_Mes!$C$2:$C$433,"Proteina")))-(SUMIFS(Desconto_Cliente_Mes!$Q$2:$Q$433,Desconto_Cliente_Mes!$A$2:$A$433,J$51,Desconto_Cliente_Mes!$B$2:$B$433,$A51,Desconto_Cliente_Mes!$C$2:$C$433,"Proteina")))*(SUMIFS(Desconto_Cliente_Mes!$T$2:$T$433,Desconto_Cliente_Mes!$A$2:$A$433,J$51,Desconto_Cliente_Mes!$B$2:$B$433,$A51,Desconto_Cliente_Mes!$C$2:$C$433,"Proteina"))</f>
        <v>0</v>
      </c>
      <c r="K58" s="16" t="n">
        <f aca="false">$K$53*($K$55/100)*((IF(SUMIFS(Desconto_Cliente_Mes!$R$2:$R$433,Desconto_Cliente_Mes!$A$2:$A$433,K$51,Desconto_Cliente_Mes!$B$2:$B$433,$A51,Desconto_Cliente_Mes!$C$2:$C$433,"Proteina")="",SUMIFS(Desconto_Cliente_Mes!$Q$2:$Q$433,Desconto_Cliente_Mes!$A$2:$A$433,K$51,Desconto_Cliente_Mes!$B$2:$B$433,$A51,Desconto_Cliente_Mes!$C$2:$C$433,"Proteina"),SUMIFS(Desconto_Cliente_Mes!$R$2:$R$433,Desconto_Cliente_Mes!$A$2:$A$433,K$51,Desconto_Cliente_Mes!$B$2:$B$433,$A51,Desconto_Cliente_Mes!$C$2:$C$433,"Proteina")))-(SUMIFS(Desconto_Cliente_Mes!$Q$2:$Q$433,Desconto_Cliente_Mes!$A$2:$A$433,K$51,Desconto_Cliente_Mes!$B$2:$B$433,$A51,Desconto_Cliente_Mes!$C$2:$C$433,"Proteina")))*(SUMIFS(Desconto_Cliente_Mes!$T$2:$T$433,Desconto_Cliente_Mes!$A$2:$A$433,K$51,Desconto_Cliente_Mes!$B$2:$B$433,$A51,Desconto_Cliente_Mes!$C$2:$C$433,"Proteina"))</f>
        <v>0</v>
      </c>
      <c r="L58" s="16" t="n">
        <f aca="false">$L$53*($L$55/100)*((IF(SUMIFS(Desconto_Cliente_Mes!$R$2:$R$433,Desconto_Cliente_Mes!$A$2:$A$433,L$51,Desconto_Cliente_Mes!$B$2:$B$433,$A51,Desconto_Cliente_Mes!$C$2:$C$433,"Proteina")="",SUMIFS(Desconto_Cliente_Mes!$Q$2:$Q$433,Desconto_Cliente_Mes!$A$2:$A$433,L$51,Desconto_Cliente_Mes!$B$2:$B$433,$A51,Desconto_Cliente_Mes!$C$2:$C$433,"Proteina"),SUMIFS(Desconto_Cliente_Mes!$R$2:$R$433,Desconto_Cliente_Mes!$A$2:$A$433,L$51,Desconto_Cliente_Mes!$B$2:$B$433,$A51,Desconto_Cliente_Mes!$C$2:$C$433,"Proteina")))-(SUMIFS(Desconto_Cliente_Mes!$Q$2:$Q$433,Desconto_Cliente_Mes!$A$2:$A$433,L$51,Desconto_Cliente_Mes!$B$2:$B$433,$A51,Desconto_Cliente_Mes!$C$2:$C$433,"Proteina")))*(SUMIFS(Desconto_Cliente_Mes!$T$2:$T$433,Desconto_Cliente_Mes!$A$2:$A$433,L$51,Desconto_Cliente_Mes!$B$2:$B$433,$A51,Desconto_Cliente_Mes!$C$2:$C$433,"Proteina"))</f>
        <v>0</v>
      </c>
      <c r="M58" s="16" t="n">
        <f aca="false">$M$53*($M$55/100)*((IF(SUMIFS(Desconto_Cliente_Mes!$R$2:$R$433,Desconto_Cliente_Mes!$A$2:$A$433,M$51,Desconto_Cliente_Mes!$B$2:$B$433,$A51,Desconto_Cliente_Mes!$C$2:$C$433,"Proteina")="",SUMIFS(Desconto_Cliente_Mes!$Q$2:$Q$433,Desconto_Cliente_Mes!$A$2:$A$433,M$51,Desconto_Cliente_Mes!$B$2:$B$433,$A51,Desconto_Cliente_Mes!$C$2:$C$433,"Proteina"),SUMIFS(Desconto_Cliente_Mes!$R$2:$R$433,Desconto_Cliente_Mes!$A$2:$A$433,M$51,Desconto_Cliente_Mes!$B$2:$B$433,$A51,Desconto_Cliente_Mes!$C$2:$C$433,"Proteina")))-(SUMIFS(Desconto_Cliente_Mes!$Q$2:$Q$433,Desconto_Cliente_Mes!$A$2:$A$433,M$51,Desconto_Cliente_Mes!$B$2:$B$433,$A51,Desconto_Cliente_Mes!$C$2:$C$433,"Proteina")))*(SUMIFS(Desconto_Cliente_Mes!$T$2:$T$433,Desconto_Cliente_Mes!$A$2:$A$433,M$51,Desconto_Cliente_Mes!$B$2:$B$433,$A51,Desconto_Cliente_Mes!$C$2:$C$433,"Proteina"))</f>
        <v>0</v>
      </c>
      <c r="N58" s="17" t="n">
        <f aca="false">SUM(B58:M58)</f>
        <v>0</v>
      </c>
    </row>
    <row r="59" customFormat="false" ht="15" hidden="false" customHeight="false" outlineLevel="0" collapsed="false">
      <c r="A59" s="13" t="s">
        <v>81</v>
      </c>
      <c r="B59" s="16" t="n">
        <f aca="false">$B$53*($B$56/100)*((IF(SUMIFS(Desconto_Cliente_Mes!$S$2:$S$433,Desconto_Cliente_Mes!$A$2:$A$433,B$51,Desconto_Cliente_Mes!$B$2:$B$433,$A51,Desconto_Cliente_Mes!$C$2:$C$433,"Proteina")="",(IF(SUMIFS(Desconto_Cliente_Mes!$R$2:$R$433,Desconto_Cliente_Mes!$A$2:$A$433,B$51,Desconto_Cliente_Mes!$B$2:$B$433,$A51,Desconto_Cliente_Mes!$C$2:$C$433,"Proteina")="",SUMIFS(Desconto_Cliente_Mes!$Q$2:$Q$433,Desconto_Cliente_Mes!$A$2:$A$433,B$51,Desconto_Cliente_Mes!$B$2:$B$433,$A51,Desconto_Cliente_Mes!$C$2:$C$433,"Proteina"),SUMIFS(Desconto_Cliente_Mes!$R$2:$R$433,Desconto_Cliente_Mes!$A$2:$A$433,B$51,Desconto_Cliente_Mes!$B$2:$B$433,$A51,Desconto_Cliente_Mes!$C$2:$C$433,"Proteina"))),SUMIFS(Desconto_Cliente_Mes!$S$2:$S$433,Desconto_Cliente_Mes!$A$2:$A$433,B$51,Desconto_Cliente_Mes!$B$2:$B$433,$A51,Desconto_Cliente_Mes!$C$2:$C$433,"Proteina")))-(IF(SUMIFS(Desconto_Cliente_Mes!$R$2:$R$433,Desconto_Cliente_Mes!$A$2:$A$433,B$51,Desconto_Cliente_Mes!$B$2:$B$433,$A51,Desconto_Cliente_Mes!$C$2:$C$433,"Proteina")="",SUMIFS(Desconto_Cliente_Mes!$Q$2:$Q$433,Desconto_Cliente_Mes!$A$2:$A$433,B$51,Desconto_Cliente_Mes!$B$2:$B$433,$A51,Desconto_Cliente_Mes!$C$2:$C$433,"Proteina"),SUMIFS(Desconto_Cliente_Mes!$R$2:$R$433,Desconto_Cliente_Mes!$A$2:$A$433,B$51,Desconto_Cliente_Mes!$B$2:$B$433,$A51,Desconto_Cliente_Mes!$C$2:$C$433,"Proteina"))))*(SUMIFS(Desconto_Cliente_Mes!$T$2:$T$433,Desconto_Cliente_Mes!$A$2:$A$433,B$51,Desconto_Cliente_Mes!$B$2:$B$433,$A51,Desconto_Cliente_Mes!$C$2:$C$433,"Proteina"))</f>
        <v>-0</v>
      </c>
      <c r="C59" s="16" t="n">
        <f aca="false">$C$53*($C$56/100)*((IF(SUMIFS(Desconto_Cliente_Mes!$S$2:$S$433,Desconto_Cliente_Mes!$A$2:$A$433,C$51,Desconto_Cliente_Mes!$B$2:$B$433,$A51,Desconto_Cliente_Mes!$C$2:$C$433,"Proteina")="",(IF(SUMIFS(Desconto_Cliente_Mes!$R$2:$R$433,Desconto_Cliente_Mes!$A$2:$A$433,C$51,Desconto_Cliente_Mes!$B$2:$B$433,$A51,Desconto_Cliente_Mes!$C$2:$C$433,"Proteina")="",SUMIFS(Desconto_Cliente_Mes!$Q$2:$Q$433,Desconto_Cliente_Mes!$A$2:$A$433,C$51,Desconto_Cliente_Mes!$B$2:$B$433,$A51,Desconto_Cliente_Mes!$C$2:$C$433,"Proteina"),SUMIFS(Desconto_Cliente_Mes!$R$2:$R$433,Desconto_Cliente_Mes!$A$2:$A$433,C$51,Desconto_Cliente_Mes!$B$2:$B$433,$A51,Desconto_Cliente_Mes!$C$2:$C$433,"Proteina"))),SUMIFS(Desconto_Cliente_Mes!$S$2:$S$433,Desconto_Cliente_Mes!$A$2:$A$433,C$51,Desconto_Cliente_Mes!$B$2:$B$433,$A51,Desconto_Cliente_Mes!$C$2:$C$433,"Proteina")))-(IF(SUMIFS(Desconto_Cliente_Mes!$R$2:$R$433,Desconto_Cliente_Mes!$A$2:$A$433,C$51,Desconto_Cliente_Mes!$B$2:$B$433,$A51,Desconto_Cliente_Mes!$C$2:$C$433,"Proteina")="",SUMIFS(Desconto_Cliente_Mes!$Q$2:$Q$433,Desconto_Cliente_Mes!$A$2:$A$433,C$51,Desconto_Cliente_Mes!$B$2:$B$433,$A51,Desconto_Cliente_Mes!$C$2:$C$433,"Proteina"),SUMIFS(Desconto_Cliente_Mes!$R$2:$R$433,Desconto_Cliente_Mes!$A$2:$A$433,C$51,Desconto_Cliente_Mes!$B$2:$B$433,$A51,Desconto_Cliente_Mes!$C$2:$C$433,"Proteina"))))*(SUMIFS(Desconto_Cliente_Mes!$T$2:$T$433,Desconto_Cliente_Mes!$A$2:$A$433,C$51,Desconto_Cliente_Mes!$B$2:$B$433,$A51,Desconto_Cliente_Mes!$C$2:$C$433,"Proteina"))</f>
        <v>-0</v>
      </c>
      <c r="D59" s="16" t="n">
        <f aca="false">$D$53*($D$56/100)*((IF(SUMIFS(Desconto_Cliente_Mes!$S$2:$S$433,Desconto_Cliente_Mes!$A$2:$A$433,D$51,Desconto_Cliente_Mes!$B$2:$B$433,$A51,Desconto_Cliente_Mes!$C$2:$C$433,"Proteina")="",(IF(SUMIFS(Desconto_Cliente_Mes!$R$2:$R$433,Desconto_Cliente_Mes!$A$2:$A$433,D$51,Desconto_Cliente_Mes!$B$2:$B$433,$A51,Desconto_Cliente_Mes!$C$2:$C$433,"Proteina")="",SUMIFS(Desconto_Cliente_Mes!$Q$2:$Q$433,Desconto_Cliente_Mes!$A$2:$A$433,D$51,Desconto_Cliente_Mes!$B$2:$B$433,$A51,Desconto_Cliente_Mes!$C$2:$C$433,"Proteina"),SUMIFS(Desconto_Cliente_Mes!$R$2:$R$433,Desconto_Cliente_Mes!$A$2:$A$433,D$51,Desconto_Cliente_Mes!$B$2:$B$433,$A51,Desconto_Cliente_Mes!$C$2:$C$433,"Proteina"))),SUMIFS(Desconto_Cliente_Mes!$S$2:$S$433,Desconto_Cliente_Mes!$A$2:$A$433,D$51,Desconto_Cliente_Mes!$B$2:$B$433,$A51,Desconto_Cliente_Mes!$C$2:$C$433,"Proteina")))-(IF(SUMIFS(Desconto_Cliente_Mes!$R$2:$R$433,Desconto_Cliente_Mes!$A$2:$A$433,D$51,Desconto_Cliente_Mes!$B$2:$B$433,$A51,Desconto_Cliente_Mes!$C$2:$C$433,"Proteina")="",SUMIFS(Desconto_Cliente_Mes!$Q$2:$Q$433,Desconto_Cliente_Mes!$A$2:$A$433,D$51,Desconto_Cliente_Mes!$B$2:$B$433,$A51,Desconto_Cliente_Mes!$C$2:$C$433,"Proteina"),SUMIFS(Desconto_Cliente_Mes!$R$2:$R$433,Desconto_Cliente_Mes!$A$2:$A$433,D$51,Desconto_Cliente_Mes!$B$2:$B$433,$A51,Desconto_Cliente_Mes!$C$2:$C$433,"Proteina"))))*(SUMIFS(Desconto_Cliente_Mes!$T$2:$T$433,Desconto_Cliente_Mes!$A$2:$A$433,D$51,Desconto_Cliente_Mes!$B$2:$B$433,$A51,Desconto_Cliente_Mes!$C$2:$C$433,"Proteina"))</f>
        <v>-0</v>
      </c>
      <c r="E59" s="16" t="n">
        <f aca="false">$E$53*($E$56/100)*((IF(SUMIFS(Desconto_Cliente_Mes!$S$2:$S$433,Desconto_Cliente_Mes!$A$2:$A$433,E$51,Desconto_Cliente_Mes!$B$2:$B$433,$A51,Desconto_Cliente_Mes!$C$2:$C$433,"Proteina")="",(IF(SUMIFS(Desconto_Cliente_Mes!$R$2:$R$433,Desconto_Cliente_Mes!$A$2:$A$433,E$51,Desconto_Cliente_Mes!$B$2:$B$433,$A51,Desconto_Cliente_Mes!$C$2:$C$433,"Proteina")="",SUMIFS(Desconto_Cliente_Mes!$Q$2:$Q$433,Desconto_Cliente_Mes!$A$2:$A$433,E$51,Desconto_Cliente_Mes!$B$2:$B$433,$A51,Desconto_Cliente_Mes!$C$2:$C$433,"Proteina"),SUMIFS(Desconto_Cliente_Mes!$R$2:$R$433,Desconto_Cliente_Mes!$A$2:$A$433,E$51,Desconto_Cliente_Mes!$B$2:$B$433,$A51,Desconto_Cliente_Mes!$C$2:$C$433,"Proteina"))),SUMIFS(Desconto_Cliente_Mes!$S$2:$S$433,Desconto_Cliente_Mes!$A$2:$A$433,E$51,Desconto_Cliente_Mes!$B$2:$B$433,$A51,Desconto_Cliente_Mes!$C$2:$C$433,"Proteina")))-(IF(SUMIFS(Desconto_Cliente_Mes!$R$2:$R$433,Desconto_Cliente_Mes!$A$2:$A$433,E$51,Desconto_Cliente_Mes!$B$2:$B$433,$A51,Desconto_Cliente_Mes!$C$2:$C$433,"Proteina")="",SUMIFS(Desconto_Cliente_Mes!$Q$2:$Q$433,Desconto_Cliente_Mes!$A$2:$A$433,E$51,Desconto_Cliente_Mes!$B$2:$B$433,$A51,Desconto_Cliente_Mes!$C$2:$C$433,"Proteina"),SUMIFS(Desconto_Cliente_Mes!$R$2:$R$433,Desconto_Cliente_Mes!$A$2:$A$433,E$51,Desconto_Cliente_Mes!$B$2:$B$433,$A51,Desconto_Cliente_Mes!$C$2:$C$433,"Proteina"))))*(SUMIFS(Desconto_Cliente_Mes!$T$2:$T$433,Desconto_Cliente_Mes!$A$2:$A$433,E$51,Desconto_Cliente_Mes!$B$2:$B$433,$A51,Desconto_Cliente_Mes!$C$2:$C$433,"Proteina"))</f>
        <v>-0</v>
      </c>
      <c r="F59" s="16" t="n">
        <f aca="false">$F$53*($F$56/100)*((IF(SUMIFS(Desconto_Cliente_Mes!$S$2:$S$433,Desconto_Cliente_Mes!$A$2:$A$433,F$51,Desconto_Cliente_Mes!$B$2:$B$433,$A51,Desconto_Cliente_Mes!$C$2:$C$433,"Proteina")="",(IF(SUMIFS(Desconto_Cliente_Mes!$R$2:$R$433,Desconto_Cliente_Mes!$A$2:$A$433,F$51,Desconto_Cliente_Mes!$B$2:$B$433,$A51,Desconto_Cliente_Mes!$C$2:$C$433,"Proteina")="",SUMIFS(Desconto_Cliente_Mes!$Q$2:$Q$433,Desconto_Cliente_Mes!$A$2:$A$433,F$51,Desconto_Cliente_Mes!$B$2:$B$433,$A51,Desconto_Cliente_Mes!$C$2:$C$433,"Proteina"),SUMIFS(Desconto_Cliente_Mes!$R$2:$R$433,Desconto_Cliente_Mes!$A$2:$A$433,F$51,Desconto_Cliente_Mes!$B$2:$B$433,$A51,Desconto_Cliente_Mes!$C$2:$C$433,"Proteina"))),SUMIFS(Desconto_Cliente_Mes!$S$2:$S$433,Desconto_Cliente_Mes!$A$2:$A$433,F$51,Desconto_Cliente_Mes!$B$2:$B$433,$A51,Desconto_Cliente_Mes!$C$2:$C$433,"Proteina")))-(IF(SUMIFS(Desconto_Cliente_Mes!$R$2:$R$433,Desconto_Cliente_Mes!$A$2:$A$433,F$51,Desconto_Cliente_Mes!$B$2:$B$433,$A51,Desconto_Cliente_Mes!$C$2:$C$433,"Proteina")="",SUMIFS(Desconto_Cliente_Mes!$Q$2:$Q$433,Desconto_Cliente_Mes!$A$2:$A$433,F$51,Desconto_Cliente_Mes!$B$2:$B$433,$A51,Desconto_Cliente_Mes!$C$2:$C$433,"Proteina"),SUMIFS(Desconto_Cliente_Mes!$R$2:$R$433,Desconto_Cliente_Mes!$A$2:$A$433,F$51,Desconto_Cliente_Mes!$B$2:$B$433,$A51,Desconto_Cliente_Mes!$C$2:$C$433,"Proteina"))))*(SUMIFS(Desconto_Cliente_Mes!$T$2:$T$433,Desconto_Cliente_Mes!$A$2:$A$433,F$51,Desconto_Cliente_Mes!$B$2:$B$433,$A51,Desconto_Cliente_Mes!$C$2:$C$433,"Proteina"))</f>
        <v>-0</v>
      </c>
      <c r="G59" s="16" t="n">
        <f aca="false">$G$53*($G$56/100)*((IF(SUMIFS(Desconto_Cliente_Mes!$S$2:$S$433,Desconto_Cliente_Mes!$A$2:$A$433,G$51,Desconto_Cliente_Mes!$B$2:$B$433,$A51,Desconto_Cliente_Mes!$C$2:$C$433,"Proteina")="",(IF(SUMIFS(Desconto_Cliente_Mes!$R$2:$R$433,Desconto_Cliente_Mes!$A$2:$A$433,G$51,Desconto_Cliente_Mes!$B$2:$B$433,$A51,Desconto_Cliente_Mes!$C$2:$C$433,"Proteina")="",SUMIFS(Desconto_Cliente_Mes!$Q$2:$Q$433,Desconto_Cliente_Mes!$A$2:$A$433,G$51,Desconto_Cliente_Mes!$B$2:$B$433,$A51,Desconto_Cliente_Mes!$C$2:$C$433,"Proteina"),SUMIFS(Desconto_Cliente_Mes!$R$2:$R$433,Desconto_Cliente_Mes!$A$2:$A$433,G$51,Desconto_Cliente_Mes!$B$2:$B$433,$A51,Desconto_Cliente_Mes!$C$2:$C$433,"Proteina"))),SUMIFS(Desconto_Cliente_Mes!$S$2:$S$433,Desconto_Cliente_Mes!$A$2:$A$433,G$51,Desconto_Cliente_Mes!$B$2:$B$433,$A51,Desconto_Cliente_Mes!$C$2:$C$433,"Proteina")))-(IF(SUMIFS(Desconto_Cliente_Mes!$R$2:$R$433,Desconto_Cliente_Mes!$A$2:$A$433,G$51,Desconto_Cliente_Mes!$B$2:$B$433,$A51,Desconto_Cliente_Mes!$C$2:$C$433,"Proteina")="",SUMIFS(Desconto_Cliente_Mes!$Q$2:$Q$433,Desconto_Cliente_Mes!$A$2:$A$433,G$51,Desconto_Cliente_Mes!$B$2:$B$433,$A51,Desconto_Cliente_Mes!$C$2:$C$433,"Proteina"),SUMIFS(Desconto_Cliente_Mes!$R$2:$R$433,Desconto_Cliente_Mes!$A$2:$A$433,G$51,Desconto_Cliente_Mes!$B$2:$B$433,$A51,Desconto_Cliente_Mes!$C$2:$C$433,"Proteina"))))*(SUMIFS(Desconto_Cliente_Mes!$T$2:$T$433,Desconto_Cliente_Mes!$A$2:$A$433,G$51,Desconto_Cliente_Mes!$B$2:$B$433,$A51,Desconto_Cliente_Mes!$C$2:$C$433,"Proteina"))</f>
        <v>-0</v>
      </c>
      <c r="H59" s="16" t="n">
        <f aca="false">$H$53*($H$56/100)*((IF(SUMIFS(Desconto_Cliente_Mes!$S$2:$S$433,Desconto_Cliente_Mes!$A$2:$A$433,H$51,Desconto_Cliente_Mes!$B$2:$B$433,$A51,Desconto_Cliente_Mes!$C$2:$C$433,"Proteina")="",(IF(SUMIFS(Desconto_Cliente_Mes!$R$2:$R$433,Desconto_Cliente_Mes!$A$2:$A$433,H$51,Desconto_Cliente_Mes!$B$2:$B$433,$A51,Desconto_Cliente_Mes!$C$2:$C$433,"Proteina")="",SUMIFS(Desconto_Cliente_Mes!$Q$2:$Q$433,Desconto_Cliente_Mes!$A$2:$A$433,H$51,Desconto_Cliente_Mes!$B$2:$B$433,$A51,Desconto_Cliente_Mes!$C$2:$C$433,"Proteina"),SUMIFS(Desconto_Cliente_Mes!$R$2:$R$433,Desconto_Cliente_Mes!$A$2:$A$433,H$51,Desconto_Cliente_Mes!$B$2:$B$433,$A51,Desconto_Cliente_Mes!$C$2:$C$433,"Proteina"))),SUMIFS(Desconto_Cliente_Mes!$S$2:$S$433,Desconto_Cliente_Mes!$A$2:$A$433,H$51,Desconto_Cliente_Mes!$B$2:$B$433,$A51,Desconto_Cliente_Mes!$C$2:$C$433,"Proteina")))-(IF(SUMIFS(Desconto_Cliente_Mes!$R$2:$R$433,Desconto_Cliente_Mes!$A$2:$A$433,H$51,Desconto_Cliente_Mes!$B$2:$B$433,$A51,Desconto_Cliente_Mes!$C$2:$C$433,"Proteina")="",SUMIFS(Desconto_Cliente_Mes!$Q$2:$Q$433,Desconto_Cliente_Mes!$A$2:$A$433,H$51,Desconto_Cliente_Mes!$B$2:$B$433,$A51,Desconto_Cliente_Mes!$C$2:$C$433,"Proteina"),SUMIFS(Desconto_Cliente_Mes!$R$2:$R$433,Desconto_Cliente_Mes!$A$2:$A$433,H$51,Desconto_Cliente_Mes!$B$2:$B$433,$A51,Desconto_Cliente_Mes!$C$2:$C$433,"Proteina"))))*(SUMIFS(Desconto_Cliente_Mes!$T$2:$T$433,Desconto_Cliente_Mes!$A$2:$A$433,H$51,Desconto_Cliente_Mes!$B$2:$B$433,$A51,Desconto_Cliente_Mes!$C$2:$C$433,"Proteina"))</f>
        <v>-0</v>
      </c>
      <c r="I59" s="16" t="n">
        <f aca="false">$I$53*($I$56/100)*((IF(SUMIFS(Desconto_Cliente_Mes!$S$2:$S$433,Desconto_Cliente_Mes!$A$2:$A$433,I$51,Desconto_Cliente_Mes!$B$2:$B$433,$A51,Desconto_Cliente_Mes!$C$2:$C$433,"Proteina")="",(IF(SUMIFS(Desconto_Cliente_Mes!$R$2:$R$433,Desconto_Cliente_Mes!$A$2:$A$433,I$51,Desconto_Cliente_Mes!$B$2:$B$433,$A51,Desconto_Cliente_Mes!$C$2:$C$433,"Proteina")="",SUMIFS(Desconto_Cliente_Mes!$Q$2:$Q$433,Desconto_Cliente_Mes!$A$2:$A$433,I$51,Desconto_Cliente_Mes!$B$2:$B$433,$A51,Desconto_Cliente_Mes!$C$2:$C$433,"Proteina"),SUMIFS(Desconto_Cliente_Mes!$R$2:$R$433,Desconto_Cliente_Mes!$A$2:$A$433,I$51,Desconto_Cliente_Mes!$B$2:$B$433,$A51,Desconto_Cliente_Mes!$C$2:$C$433,"Proteina"))),SUMIFS(Desconto_Cliente_Mes!$S$2:$S$433,Desconto_Cliente_Mes!$A$2:$A$433,I$51,Desconto_Cliente_Mes!$B$2:$B$433,$A51,Desconto_Cliente_Mes!$C$2:$C$433,"Proteina")))-(IF(SUMIFS(Desconto_Cliente_Mes!$R$2:$R$433,Desconto_Cliente_Mes!$A$2:$A$433,I$51,Desconto_Cliente_Mes!$B$2:$B$433,$A51,Desconto_Cliente_Mes!$C$2:$C$433,"Proteina")="",SUMIFS(Desconto_Cliente_Mes!$Q$2:$Q$433,Desconto_Cliente_Mes!$A$2:$A$433,I$51,Desconto_Cliente_Mes!$B$2:$B$433,$A51,Desconto_Cliente_Mes!$C$2:$C$433,"Proteina"),SUMIFS(Desconto_Cliente_Mes!$R$2:$R$433,Desconto_Cliente_Mes!$A$2:$A$433,I$51,Desconto_Cliente_Mes!$B$2:$B$433,$A51,Desconto_Cliente_Mes!$C$2:$C$433,"Proteina"))))*(SUMIFS(Desconto_Cliente_Mes!$T$2:$T$433,Desconto_Cliente_Mes!$A$2:$A$433,I$51,Desconto_Cliente_Mes!$B$2:$B$433,$A51,Desconto_Cliente_Mes!$C$2:$C$433,"Proteina"))</f>
        <v>-0</v>
      </c>
      <c r="J59" s="16" t="n">
        <f aca="false">$J$53*($J$56/100)*((IF(SUMIFS(Desconto_Cliente_Mes!$S$2:$S$433,Desconto_Cliente_Mes!$A$2:$A$433,J$51,Desconto_Cliente_Mes!$B$2:$B$433,$A51,Desconto_Cliente_Mes!$C$2:$C$433,"Proteina")="",(IF(SUMIFS(Desconto_Cliente_Mes!$R$2:$R$433,Desconto_Cliente_Mes!$A$2:$A$433,J$51,Desconto_Cliente_Mes!$B$2:$B$433,$A51,Desconto_Cliente_Mes!$C$2:$C$433,"Proteina")="",SUMIFS(Desconto_Cliente_Mes!$Q$2:$Q$433,Desconto_Cliente_Mes!$A$2:$A$433,J$51,Desconto_Cliente_Mes!$B$2:$B$433,$A51,Desconto_Cliente_Mes!$C$2:$C$433,"Proteina"),SUMIFS(Desconto_Cliente_Mes!$R$2:$R$433,Desconto_Cliente_Mes!$A$2:$A$433,J$51,Desconto_Cliente_Mes!$B$2:$B$433,$A51,Desconto_Cliente_Mes!$C$2:$C$433,"Proteina"))),SUMIFS(Desconto_Cliente_Mes!$S$2:$S$433,Desconto_Cliente_Mes!$A$2:$A$433,J$51,Desconto_Cliente_Mes!$B$2:$B$433,$A51,Desconto_Cliente_Mes!$C$2:$C$433,"Proteina")))-(IF(SUMIFS(Desconto_Cliente_Mes!$R$2:$R$433,Desconto_Cliente_Mes!$A$2:$A$433,J$51,Desconto_Cliente_Mes!$B$2:$B$433,$A51,Desconto_Cliente_Mes!$C$2:$C$433,"Proteina")="",SUMIFS(Desconto_Cliente_Mes!$Q$2:$Q$433,Desconto_Cliente_Mes!$A$2:$A$433,J$51,Desconto_Cliente_Mes!$B$2:$B$433,$A51,Desconto_Cliente_Mes!$C$2:$C$433,"Proteina"),SUMIFS(Desconto_Cliente_Mes!$R$2:$R$433,Desconto_Cliente_Mes!$A$2:$A$433,J$51,Desconto_Cliente_Mes!$B$2:$B$433,$A51,Desconto_Cliente_Mes!$C$2:$C$433,"Proteina"))))*(SUMIFS(Desconto_Cliente_Mes!$T$2:$T$433,Desconto_Cliente_Mes!$A$2:$A$433,J$51,Desconto_Cliente_Mes!$B$2:$B$433,$A51,Desconto_Cliente_Mes!$C$2:$C$433,"Proteina"))</f>
        <v>-0</v>
      </c>
      <c r="K59" s="16" t="n">
        <f aca="false">$K$53*($K$56/100)*((IF(SUMIFS(Desconto_Cliente_Mes!$S$2:$S$433,Desconto_Cliente_Mes!$A$2:$A$433,K$51,Desconto_Cliente_Mes!$B$2:$B$433,$A51,Desconto_Cliente_Mes!$C$2:$C$433,"Proteina")="",(IF(SUMIFS(Desconto_Cliente_Mes!$R$2:$R$433,Desconto_Cliente_Mes!$A$2:$A$433,K$51,Desconto_Cliente_Mes!$B$2:$B$433,$A51,Desconto_Cliente_Mes!$C$2:$C$433,"Proteina")="",SUMIFS(Desconto_Cliente_Mes!$Q$2:$Q$433,Desconto_Cliente_Mes!$A$2:$A$433,K$51,Desconto_Cliente_Mes!$B$2:$B$433,$A51,Desconto_Cliente_Mes!$C$2:$C$433,"Proteina"),SUMIFS(Desconto_Cliente_Mes!$R$2:$R$433,Desconto_Cliente_Mes!$A$2:$A$433,K$51,Desconto_Cliente_Mes!$B$2:$B$433,$A51,Desconto_Cliente_Mes!$C$2:$C$433,"Proteina"))),SUMIFS(Desconto_Cliente_Mes!$S$2:$S$433,Desconto_Cliente_Mes!$A$2:$A$433,K$51,Desconto_Cliente_Mes!$B$2:$B$433,$A51,Desconto_Cliente_Mes!$C$2:$C$433,"Proteina")))-(IF(SUMIFS(Desconto_Cliente_Mes!$R$2:$R$433,Desconto_Cliente_Mes!$A$2:$A$433,K$51,Desconto_Cliente_Mes!$B$2:$B$433,$A51,Desconto_Cliente_Mes!$C$2:$C$433,"Proteina")="",SUMIFS(Desconto_Cliente_Mes!$Q$2:$Q$433,Desconto_Cliente_Mes!$A$2:$A$433,K$51,Desconto_Cliente_Mes!$B$2:$B$433,$A51,Desconto_Cliente_Mes!$C$2:$C$433,"Proteina"),SUMIFS(Desconto_Cliente_Mes!$R$2:$R$433,Desconto_Cliente_Mes!$A$2:$A$433,K$51,Desconto_Cliente_Mes!$B$2:$B$433,$A51,Desconto_Cliente_Mes!$C$2:$C$433,"Proteina"))))*(SUMIFS(Desconto_Cliente_Mes!$T$2:$T$433,Desconto_Cliente_Mes!$A$2:$A$433,K$51,Desconto_Cliente_Mes!$B$2:$B$433,$A51,Desconto_Cliente_Mes!$C$2:$C$433,"Proteina"))</f>
        <v>-0</v>
      </c>
      <c r="L59" s="16" t="n">
        <f aca="false">$L$53*($L$56/100)*((IF(SUMIFS(Desconto_Cliente_Mes!$S$2:$S$433,Desconto_Cliente_Mes!$A$2:$A$433,L$51,Desconto_Cliente_Mes!$B$2:$B$433,$A51,Desconto_Cliente_Mes!$C$2:$C$433,"Proteina")="",(IF(SUMIFS(Desconto_Cliente_Mes!$R$2:$R$433,Desconto_Cliente_Mes!$A$2:$A$433,L$51,Desconto_Cliente_Mes!$B$2:$B$433,$A51,Desconto_Cliente_Mes!$C$2:$C$433,"Proteina")="",SUMIFS(Desconto_Cliente_Mes!$Q$2:$Q$433,Desconto_Cliente_Mes!$A$2:$A$433,L$51,Desconto_Cliente_Mes!$B$2:$B$433,$A51,Desconto_Cliente_Mes!$C$2:$C$433,"Proteina"),SUMIFS(Desconto_Cliente_Mes!$R$2:$R$433,Desconto_Cliente_Mes!$A$2:$A$433,L$51,Desconto_Cliente_Mes!$B$2:$B$433,$A51,Desconto_Cliente_Mes!$C$2:$C$433,"Proteina"))),SUMIFS(Desconto_Cliente_Mes!$S$2:$S$433,Desconto_Cliente_Mes!$A$2:$A$433,L$51,Desconto_Cliente_Mes!$B$2:$B$433,$A51,Desconto_Cliente_Mes!$C$2:$C$433,"Proteina")))-(IF(SUMIFS(Desconto_Cliente_Mes!$R$2:$R$433,Desconto_Cliente_Mes!$A$2:$A$433,L$51,Desconto_Cliente_Mes!$B$2:$B$433,$A51,Desconto_Cliente_Mes!$C$2:$C$433,"Proteina")="",SUMIFS(Desconto_Cliente_Mes!$Q$2:$Q$433,Desconto_Cliente_Mes!$A$2:$A$433,L$51,Desconto_Cliente_Mes!$B$2:$B$433,$A51,Desconto_Cliente_Mes!$C$2:$C$433,"Proteina"),SUMIFS(Desconto_Cliente_Mes!$R$2:$R$433,Desconto_Cliente_Mes!$A$2:$A$433,L$51,Desconto_Cliente_Mes!$B$2:$B$433,$A51,Desconto_Cliente_Mes!$C$2:$C$433,"Proteina"))))*(SUMIFS(Desconto_Cliente_Mes!$T$2:$T$433,Desconto_Cliente_Mes!$A$2:$A$433,L$51,Desconto_Cliente_Mes!$B$2:$B$433,$A51,Desconto_Cliente_Mes!$C$2:$C$433,"Proteina"))</f>
        <v>-0</v>
      </c>
      <c r="M59" s="16" t="n">
        <f aca="false">$M$53*($M$56/100)*((IF(SUMIFS(Desconto_Cliente_Mes!$S$2:$S$433,Desconto_Cliente_Mes!$A$2:$A$433,M$51,Desconto_Cliente_Mes!$B$2:$B$433,$A51,Desconto_Cliente_Mes!$C$2:$C$433,"Proteina")="",(IF(SUMIFS(Desconto_Cliente_Mes!$R$2:$R$433,Desconto_Cliente_Mes!$A$2:$A$433,M$51,Desconto_Cliente_Mes!$B$2:$B$433,$A51,Desconto_Cliente_Mes!$C$2:$C$433,"Proteina")="",SUMIFS(Desconto_Cliente_Mes!$Q$2:$Q$433,Desconto_Cliente_Mes!$A$2:$A$433,M$51,Desconto_Cliente_Mes!$B$2:$B$433,$A51,Desconto_Cliente_Mes!$C$2:$C$433,"Proteina"),SUMIFS(Desconto_Cliente_Mes!$R$2:$R$433,Desconto_Cliente_Mes!$A$2:$A$433,M$51,Desconto_Cliente_Mes!$B$2:$B$433,$A51,Desconto_Cliente_Mes!$C$2:$C$433,"Proteina"))),SUMIFS(Desconto_Cliente_Mes!$S$2:$S$433,Desconto_Cliente_Mes!$A$2:$A$433,M$51,Desconto_Cliente_Mes!$B$2:$B$433,$A51,Desconto_Cliente_Mes!$C$2:$C$433,"Proteina")))-(IF(SUMIFS(Desconto_Cliente_Mes!$R$2:$R$433,Desconto_Cliente_Mes!$A$2:$A$433,M$51,Desconto_Cliente_Mes!$B$2:$B$433,$A51,Desconto_Cliente_Mes!$C$2:$C$433,"Proteina")="",SUMIFS(Desconto_Cliente_Mes!$Q$2:$Q$433,Desconto_Cliente_Mes!$A$2:$A$433,M$51,Desconto_Cliente_Mes!$B$2:$B$433,$A51,Desconto_Cliente_Mes!$C$2:$C$433,"Proteina"),SUMIFS(Desconto_Cliente_Mes!$R$2:$R$433,Desconto_Cliente_Mes!$A$2:$A$433,M$51,Desconto_Cliente_Mes!$B$2:$B$433,$A51,Desconto_Cliente_Mes!$C$2:$C$433,"Proteina"))))*(SUMIFS(Desconto_Cliente_Mes!$T$2:$T$433,Desconto_Cliente_Mes!$A$2:$A$433,M$51,Desconto_Cliente_Mes!$B$2:$B$433,$A51,Desconto_Cliente_Mes!$C$2:$C$433,"Proteina"))</f>
        <v>-0</v>
      </c>
      <c r="N59" s="17" t="n">
        <f aca="false">SUM(B59:M59)</f>
        <v>0</v>
      </c>
    </row>
    <row r="60" customFormat="false" ht="15" hidden="false" customHeight="false" outlineLevel="0" collapsed="false">
      <c r="A60" s="13" t="s">
        <v>82</v>
      </c>
      <c r="B60" s="16" t="n">
        <f aca="false">SUMIFS(Acerto_Detalhado!$J$2:$J$433,Acerto_Detalhado!$A$2:$A$433,B$51,Acerto_Detalhado!$B$2:$B$433,$A51,Acerto_Detalhado!$C$2:$C$433,"Proteina")</f>
        <v>0</v>
      </c>
      <c r="C60" s="16" t="n">
        <f aca="false">SUMIFS(Acerto_Detalhado!$J$2:$J$433,Acerto_Detalhado!$A$2:$A$433,C$51,Acerto_Detalhado!$B$2:$B$433,$A51,Acerto_Detalhado!$C$2:$C$433,"Proteina")</f>
        <v>36045.0304332664</v>
      </c>
      <c r="D60" s="16" t="n">
        <f aca="false">SUMIFS(Acerto_Detalhado!$J$2:$J$433,Acerto_Detalhado!$A$2:$A$433,D$51,Acerto_Detalhado!$B$2:$B$433,$A51,Acerto_Detalhado!$C$2:$C$433,"Proteina")</f>
        <v>0</v>
      </c>
      <c r="E60" s="16" t="n">
        <f aca="false">SUMIFS(Acerto_Detalhado!$J$2:$J$433,Acerto_Detalhado!$A$2:$A$433,E$51,Acerto_Detalhado!$B$2:$B$433,$A51,Acerto_Detalhado!$C$2:$C$433,"Proteina")</f>
        <v>0</v>
      </c>
      <c r="F60" s="16" t="n">
        <f aca="false">SUMIFS(Acerto_Detalhado!$J$2:$J$433,Acerto_Detalhado!$A$2:$A$433,F$51,Acerto_Detalhado!$B$2:$B$433,$A51,Acerto_Detalhado!$C$2:$C$433,"Proteina")</f>
        <v>46325.9569588533</v>
      </c>
      <c r="G60" s="16" t="n">
        <f aca="false">SUMIFS(Acerto_Detalhado!$J$2:$J$433,Acerto_Detalhado!$A$2:$A$433,G$51,Acerto_Detalhado!$B$2:$B$433,$A51,Acerto_Detalhado!$C$2:$C$433,"Proteina")</f>
        <v>0</v>
      </c>
      <c r="H60" s="16" t="n">
        <f aca="false">SUMIFS(Acerto_Detalhado!$J$2:$J$433,Acerto_Detalhado!$A$2:$A$433,H$51,Acerto_Detalhado!$B$2:$B$433,$A51,Acerto_Detalhado!$C$2:$C$433,"Proteina")</f>
        <v>0</v>
      </c>
      <c r="I60" s="16" t="n">
        <f aca="false">SUMIFS(Acerto_Detalhado!$J$2:$J$433,Acerto_Detalhado!$A$2:$A$433,I$51,Acerto_Detalhado!$B$2:$B$433,$A51,Acerto_Detalhado!$C$2:$C$433,"Proteina")</f>
        <v>0</v>
      </c>
      <c r="J60" s="16" t="n">
        <f aca="false">SUMIFS(Acerto_Detalhado!$J$2:$J$433,Acerto_Detalhado!$A$2:$A$433,J$51,Acerto_Detalhado!$B$2:$B$433,$A51,Acerto_Detalhado!$C$2:$C$433,"Proteina")</f>
        <v>0</v>
      </c>
      <c r="K60" s="16" t="n">
        <f aca="false">SUMIFS(Acerto_Detalhado!$J$2:$J$433,Acerto_Detalhado!$A$2:$A$433,K$51,Acerto_Detalhado!$B$2:$B$433,$A51,Acerto_Detalhado!$C$2:$C$433,"Proteina")</f>
        <v>0</v>
      </c>
      <c r="L60" s="16" t="n">
        <f aca="false">SUMIFS(Acerto_Detalhado!$J$2:$J$433,Acerto_Detalhado!$A$2:$A$433,L$51,Acerto_Detalhado!$B$2:$B$433,$A51,Acerto_Detalhado!$C$2:$C$433,"Proteina")</f>
        <v>0</v>
      </c>
      <c r="M60" s="16" t="n">
        <f aca="false">SUMIFS(Acerto_Detalhado!$J$2:$J$433,Acerto_Detalhado!$A$2:$A$433,M$51,Acerto_Detalhado!$B$2:$B$433,$A51,Acerto_Detalhado!$C$2:$C$433,"Proteina")</f>
        <v>0</v>
      </c>
      <c r="N60" s="17" t="n">
        <f aca="false">SUM(B60:M60)</f>
        <v>82370.9873921197</v>
      </c>
    </row>
    <row r="62" customFormat="false" ht="15" hidden="false" customHeight="false" outlineLevel="0" collapsed="false">
      <c r="A62" s="5" t="s">
        <v>63</v>
      </c>
      <c r="B62" s="6" t="s">
        <v>39</v>
      </c>
      <c r="C62" s="6" t="s">
        <v>40</v>
      </c>
      <c r="D62" s="6" t="s">
        <v>41</v>
      </c>
      <c r="E62" s="6" t="s">
        <v>42</v>
      </c>
      <c r="F62" s="6" t="s">
        <v>43</v>
      </c>
      <c r="G62" s="6" t="s">
        <v>44</v>
      </c>
      <c r="H62" s="6" t="s">
        <v>45</v>
      </c>
      <c r="I62" s="6" t="s">
        <v>46</v>
      </c>
      <c r="J62" s="6" t="s">
        <v>47</v>
      </c>
      <c r="K62" s="6" t="s">
        <v>48</v>
      </c>
      <c r="L62" s="6" t="s">
        <v>49</v>
      </c>
      <c r="M62" s="6" t="s">
        <v>50</v>
      </c>
      <c r="N62" s="6" t="s">
        <v>51</v>
      </c>
    </row>
    <row r="63" customFormat="false" ht="15" hidden="false" customHeight="false" outlineLevel="0" collapsed="false">
      <c r="A63" s="13" t="s">
        <v>74</v>
      </c>
      <c r="B63" s="10" t="n">
        <f aca="false">IF((SUMIFS(Desconto_Cliente_Mes!$D$2:$D$433,Desconto_Cliente_Mes!$A$2:$A$433,B$62,Desconto_Cliente_Mes!$B$2:$B$433,$A62,Desconto_Cliente_Mes!$C$2:$C$433,"Proteina"))=0,"",IFERROR(SUMIFS(Desconto_Cliente_Mes!$E$2:$E$433,Desconto_Cliente_Mes!$A$2:$A$433,B$62,Desconto_Cliente_Mes!$B$2:$B$433,$A62,Desconto_Cliente_Mes!$C$2:$C$433,"Proteina"),""))</f>
        <v>47.4970982405291</v>
      </c>
      <c r="C63" s="10" t="n">
        <f aca="false">IF((SUMIFS(Desconto_Cliente_Mes!$D$2:$D$433,Desconto_Cliente_Mes!$A$2:$A$433,C$62,Desconto_Cliente_Mes!$B$2:$B$433,$A62,Desconto_Cliente_Mes!$C$2:$C$433,"Proteina"))=0,"",IFERROR(SUMIFS(Desconto_Cliente_Mes!$E$2:$E$433,Desconto_Cliente_Mes!$A$2:$A$433,C$62,Desconto_Cliente_Mes!$B$2:$B$433,$A62,Desconto_Cliente_Mes!$C$2:$C$433,"Proteina"),""))</f>
        <v>47.7612164498943</v>
      </c>
      <c r="D63" s="10" t="n">
        <f aca="false">IF((SUMIFS(Desconto_Cliente_Mes!$D$2:$D$433,Desconto_Cliente_Mes!$A$2:$A$433,D$62,Desconto_Cliente_Mes!$B$2:$B$433,$A62,Desconto_Cliente_Mes!$C$2:$C$433,"Proteina"))=0,"",IFERROR(SUMIFS(Desconto_Cliente_Mes!$E$2:$E$433,Desconto_Cliente_Mes!$A$2:$A$433,D$62,Desconto_Cliente_Mes!$B$2:$B$433,$A62,Desconto_Cliente_Mes!$C$2:$C$433,"Proteina"),""))</f>
        <v>47.521829550181</v>
      </c>
      <c r="E63" s="10" t="n">
        <f aca="false">IF((SUMIFS(Desconto_Cliente_Mes!$D$2:$D$433,Desconto_Cliente_Mes!$A$2:$A$433,E$62,Desconto_Cliente_Mes!$B$2:$B$433,$A62,Desconto_Cliente_Mes!$C$2:$C$433,"Proteina"))=0,"",IFERROR(SUMIFS(Desconto_Cliente_Mes!$E$2:$E$433,Desconto_Cliente_Mes!$A$2:$A$433,E$62,Desconto_Cliente_Mes!$B$2:$B$433,$A62,Desconto_Cliente_Mes!$C$2:$C$433,"Proteina"),""))</f>
        <v>47.4440278425449</v>
      </c>
      <c r="F63" s="10" t="n">
        <f aca="false">IF((SUMIFS(Desconto_Cliente_Mes!$D$2:$D$433,Desconto_Cliente_Mes!$A$2:$A$433,F$62,Desconto_Cliente_Mes!$B$2:$B$433,$A62,Desconto_Cliente_Mes!$C$2:$C$433,"Proteina"))=0,"",IFERROR(SUMIFS(Desconto_Cliente_Mes!$E$2:$E$433,Desconto_Cliente_Mes!$A$2:$A$433,F$62,Desconto_Cliente_Mes!$B$2:$B$433,$A62,Desconto_Cliente_Mes!$C$2:$C$433,"Proteina"),""))</f>
        <v>47.4441337055933</v>
      </c>
      <c r="G63" s="10" t="n">
        <f aca="false">IF((SUMIFS(Desconto_Cliente_Mes!$D$2:$D$433,Desconto_Cliente_Mes!$A$2:$A$433,G$62,Desconto_Cliente_Mes!$B$2:$B$433,$A62,Desconto_Cliente_Mes!$C$2:$C$433,"Proteina"))=0,"",IFERROR(SUMIFS(Desconto_Cliente_Mes!$E$2:$E$433,Desconto_Cliente_Mes!$A$2:$A$433,G$62,Desconto_Cliente_Mes!$B$2:$B$433,$A62,Desconto_Cliente_Mes!$C$2:$C$433,"Proteina"),""))</f>
        <v>47.4120016288582</v>
      </c>
      <c r="H63" s="10" t="n">
        <f aca="false">IF((SUMIFS(Desconto_Cliente_Mes!$D$2:$D$433,Desconto_Cliente_Mes!$A$2:$A$433,H$62,Desconto_Cliente_Mes!$B$2:$B$433,$A62,Desconto_Cliente_Mes!$C$2:$C$433,"Proteina"))=0,"",IFERROR(SUMIFS(Desconto_Cliente_Mes!$E$2:$E$433,Desconto_Cliente_Mes!$A$2:$A$433,H$62,Desconto_Cliente_Mes!$B$2:$B$433,$A62,Desconto_Cliente_Mes!$C$2:$C$433,"Proteina"),""))</f>
        <v>47.3124242613295</v>
      </c>
      <c r="I63" s="10" t="str">
        <f aca="false">IF((SUMIFS(Desconto_Cliente_Mes!$D$2:$D$433,Desconto_Cliente_Mes!$A$2:$A$433,I$62,Desconto_Cliente_Mes!$B$2:$B$433,$A62,Desconto_Cliente_Mes!$C$2:$C$433,"Proteina"))=0,"",IFERROR(SUMIFS(Desconto_Cliente_Mes!$E$2:$E$433,Desconto_Cliente_Mes!$A$2:$A$433,I$62,Desconto_Cliente_Mes!$B$2:$B$433,$A62,Desconto_Cliente_Mes!$C$2:$C$433,"Proteina"),""))</f>
        <v/>
      </c>
      <c r="J63" s="10" t="str">
        <f aca="false">IF((SUMIFS(Desconto_Cliente_Mes!$D$2:$D$433,Desconto_Cliente_Mes!$A$2:$A$433,J$62,Desconto_Cliente_Mes!$B$2:$B$433,$A62,Desconto_Cliente_Mes!$C$2:$C$433,"Proteina"))=0,"",IFERROR(SUMIFS(Desconto_Cliente_Mes!$E$2:$E$433,Desconto_Cliente_Mes!$A$2:$A$433,J$62,Desconto_Cliente_Mes!$B$2:$B$433,$A62,Desconto_Cliente_Mes!$C$2:$C$433,"Proteina"),""))</f>
        <v/>
      </c>
      <c r="K63" s="10" t="str">
        <f aca="false">IF((SUMIFS(Desconto_Cliente_Mes!$D$2:$D$433,Desconto_Cliente_Mes!$A$2:$A$433,K$62,Desconto_Cliente_Mes!$B$2:$B$433,$A62,Desconto_Cliente_Mes!$C$2:$C$433,"Proteina"))=0,"",IFERROR(SUMIFS(Desconto_Cliente_Mes!$E$2:$E$433,Desconto_Cliente_Mes!$A$2:$A$433,K$62,Desconto_Cliente_Mes!$B$2:$B$433,$A62,Desconto_Cliente_Mes!$C$2:$C$433,"Proteina"),""))</f>
        <v/>
      </c>
      <c r="L63" s="10" t="str">
        <f aca="false">IF((SUMIFS(Desconto_Cliente_Mes!$D$2:$D$433,Desconto_Cliente_Mes!$A$2:$A$433,L$62,Desconto_Cliente_Mes!$B$2:$B$433,$A62,Desconto_Cliente_Mes!$C$2:$C$433,"Proteina"))=0,"",IFERROR(SUMIFS(Desconto_Cliente_Mes!$E$2:$E$433,Desconto_Cliente_Mes!$A$2:$A$433,L$62,Desconto_Cliente_Mes!$B$2:$B$433,$A62,Desconto_Cliente_Mes!$C$2:$C$433,"Proteina"),""))</f>
        <v/>
      </c>
      <c r="M63" s="10" t="str">
        <f aca="false">IF((SUMIFS(Desconto_Cliente_Mes!$D$2:$D$433,Desconto_Cliente_Mes!$A$2:$A$433,M$62,Desconto_Cliente_Mes!$B$2:$B$433,$A62,Desconto_Cliente_Mes!$C$2:$C$433,"Proteina"))=0,"",IFERROR(SUMIFS(Desconto_Cliente_Mes!$E$2:$E$433,Desconto_Cliente_Mes!$A$2:$A$433,M$62,Desconto_Cliente_Mes!$B$2:$B$433,$A62,Desconto_Cliente_Mes!$C$2:$C$433,"Proteina"),""))</f>
        <v/>
      </c>
      <c r="N63" s="11" t="n">
        <f aca="false">IFERROR(Media_Pool_Mes!C7,"")</f>
        <v>47.4834226367413</v>
      </c>
    </row>
    <row r="64" customFormat="false" ht="15" hidden="false" customHeight="false" outlineLevel="0" collapsed="false">
      <c r="A64" s="13" t="s">
        <v>75</v>
      </c>
      <c r="B64" s="8" t="n">
        <f aca="false">IFERROR(SUMIFS(Desconto_Cliente_Mes!$D$2:$D$433,Desconto_Cliente_Mes!$A$2:$A$433,B$62,Desconto_Cliente_Mes!$B$2:$B$433,$A62,Desconto_Cliente_Mes!$C$2:$C$433,"Proteina"),0)</f>
        <v>41353.91</v>
      </c>
      <c r="C64" s="8" t="n">
        <f aca="false">IFERROR(SUMIFS(Desconto_Cliente_Mes!$D$2:$D$433,Desconto_Cliente_Mes!$A$2:$A$433,C$62,Desconto_Cliente_Mes!$B$2:$B$433,$A62,Desconto_Cliente_Mes!$C$2:$C$433,"Proteina"),0)</f>
        <v>45020.35</v>
      </c>
      <c r="D64" s="8" t="n">
        <f aca="false">IFERROR(SUMIFS(Desconto_Cliente_Mes!$D$2:$D$433,Desconto_Cliente_Mes!$A$2:$A$433,D$62,Desconto_Cliente_Mes!$B$2:$B$433,$A62,Desconto_Cliente_Mes!$C$2:$C$433,"Proteina"),0)</f>
        <v>41497.14</v>
      </c>
      <c r="E64" s="8" t="n">
        <f aca="false">IFERROR(SUMIFS(Desconto_Cliente_Mes!$D$2:$D$433,Desconto_Cliente_Mes!$A$2:$A$433,E$62,Desconto_Cliente_Mes!$B$2:$B$433,$A62,Desconto_Cliente_Mes!$C$2:$C$433,"Proteina"),0)</f>
        <v>40336.83</v>
      </c>
      <c r="F64" s="8" t="n">
        <f aca="false">IFERROR(SUMIFS(Desconto_Cliente_Mes!$D$2:$D$433,Desconto_Cliente_Mes!$A$2:$A$433,F$62,Desconto_Cliente_Mes!$B$2:$B$433,$A62,Desconto_Cliente_Mes!$C$2:$C$433,"Proteina"),0)</f>
        <v>94743.83</v>
      </c>
      <c r="G64" s="8" t="n">
        <f aca="false">IFERROR(SUMIFS(Desconto_Cliente_Mes!$D$2:$D$433,Desconto_Cliente_Mes!$A$2:$A$433,G$62,Desconto_Cliente_Mes!$B$2:$B$433,$A62,Desconto_Cliente_Mes!$C$2:$C$433,"Proteina"),0)</f>
        <v>51533.03</v>
      </c>
      <c r="H64" s="8" t="n">
        <f aca="false">IFERROR(SUMIFS(Desconto_Cliente_Mes!$D$2:$D$433,Desconto_Cliente_Mes!$A$2:$A$433,H$62,Desconto_Cliente_Mes!$B$2:$B$433,$A62,Desconto_Cliente_Mes!$C$2:$C$433,"Proteina"),0)</f>
        <v>33179.88</v>
      </c>
      <c r="I64" s="8" t="n">
        <f aca="false">IFERROR(SUMIFS(Desconto_Cliente_Mes!$D$2:$D$433,Desconto_Cliente_Mes!$A$2:$A$433,I$62,Desconto_Cliente_Mes!$B$2:$B$433,$A62,Desconto_Cliente_Mes!$C$2:$C$433,"Proteina"),0)</f>
        <v>0</v>
      </c>
      <c r="J64" s="8" t="n">
        <f aca="false">IFERROR(SUMIFS(Desconto_Cliente_Mes!$D$2:$D$433,Desconto_Cliente_Mes!$A$2:$A$433,J$62,Desconto_Cliente_Mes!$B$2:$B$433,$A62,Desconto_Cliente_Mes!$C$2:$C$433,"Proteina"),0)</f>
        <v>0</v>
      </c>
      <c r="K64" s="8" t="n">
        <f aca="false">IFERROR(SUMIFS(Desconto_Cliente_Mes!$D$2:$D$433,Desconto_Cliente_Mes!$A$2:$A$433,K$62,Desconto_Cliente_Mes!$B$2:$B$433,$A62,Desconto_Cliente_Mes!$C$2:$C$433,"Proteina"),0)</f>
        <v>0</v>
      </c>
      <c r="L64" s="8" t="n">
        <f aca="false">IFERROR(SUMIFS(Desconto_Cliente_Mes!$D$2:$D$433,Desconto_Cliente_Mes!$A$2:$A$433,L$62,Desconto_Cliente_Mes!$B$2:$B$433,$A62,Desconto_Cliente_Mes!$C$2:$C$433,"Proteina"),0)</f>
        <v>0</v>
      </c>
      <c r="M64" s="8" t="n">
        <f aca="false">IFERROR(SUMIFS(Desconto_Cliente_Mes!$D$2:$D$433,Desconto_Cliente_Mes!$A$2:$A$433,M$62,Desconto_Cliente_Mes!$B$2:$B$433,$A62,Desconto_Cliente_Mes!$C$2:$C$433,"Proteina"),0)</f>
        <v>0</v>
      </c>
      <c r="N64" s="9" t="n">
        <f aca="false">SUM(B64:M64)</f>
        <v>347664.97</v>
      </c>
    </row>
    <row r="65" customFormat="false" ht="15" hidden="false" customHeight="false" outlineLevel="0" collapsed="false">
      <c r="A65" s="13" t="s">
        <v>76</v>
      </c>
      <c r="B65" s="15" t="n">
        <f aca="false">MAX(0,(SUMIFS(Desconto_Cliente_Mes!$L$2:$L$433,Desconto_Cliente_Mes!$A$2:$A$433,B$62,Desconto_Cliente_Mes!$B$2:$B$433,$A62,Desconto_Cliente_Mes!$C$2:$C$433,"Proteina"))-(SUMIFS(Desconto_Cliente_Mes!$N$2:$N$433,Desconto_Cliente_Mes!$A$2:$A$433,B$62,Desconto_Cliente_Mes!$B$2:$B$433,$A62,Desconto_Cliente_Mes!$C$2:$C$433,"Proteina")))</f>
        <v>0</v>
      </c>
      <c r="C65" s="15" t="n">
        <f aca="false">MAX(0,(SUMIFS(Desconto_Cliente_Mes!$L$2:$L$433,Desconto_Cliente_Mes!$A$2:$A$433,C$62,Desconto_Cliente_Mes!$B$2:$B$433,$A62,Desconto_Cliente_Mes!$C$2:$C$433,"Proteina"))-(SUMIFS(Desconto_Cliente_Mes!$N$2:$N$433,Desconto_Cliente_Mes!$A$2:$A$433,C$62,Desconto_Cliente_Mes!$B$2:$B$433,$A62,Desconto_Cliente_Mes!$C$2:$C$433,"Proteina")))</f>
        <v>0</v>
      </c>
      <c r="D65" s="15" t="n">
        <f aca="false">MAX(0,(SUMIFS(Desconto_Cliente_Mes!$L$2:$L$433,Desconto_Cliente_Mes!$A$2:$A$433,D$62,Desconto_Cliente_Mes!$B$2:$B$433,$A62,Desconto_Cliente_Mes!$C$2:$C$433,"Proteina"))-(SUMIFS(Desconto_Cliente_Mes!$N$2:$N$433,Desconto_Cliente_Mes!$A$2:$A$433,D$62,Desconto_Cliente_Mes!$B$2:$B$433,$A62,Desconto_Cliente_Mes!$C$2:$C$433,"Proteina")))</f>
        <v>0</v>
      </c>
      <c r="E65" s="15" t="n">
        <f aca="false">MAX(0,(SUMIFS(Desconto_Cliente_Mes!$L$2:$L$433,Desconto_Cliente_Mes!$A$2:$A$433,E$62,Desconto_Cliente_Mes!$B$2:$B$433,$A62,Desconto_Cliente_Mes!$C$2:$C$433,"Proteina"))-(SUMIFS(Desconto_Cliente_Mes!$N$2:$N$433,Desconto_Cliente_Mes!$A$2:$A$433,E$62,Desconto_Cliente_Mes!$B$2:$B$433,$A62,Desconto_Cliente_Mes!$C$2:$C$433,"Proteina")))</f>
        <v>0.0393947941964612</v>
      </c>
      <c r="F65" s="15" t="n">
        <f aca="false">MAX(0,(SUMIFS(Desconto_Cliente_Mes!$L$2:$L$433,Desconto_Cliente_Mes!$A$2:$A$433,F$62,Desconto_Cliente_Mes!$B$2:$B$433,$A62,Desconto_Cliente_Mes!$C$2:$C$433,"Proteina"))-(SUMIFS(Desconto_Cliente_Mes!$N$2:$N$433,Desconto_Cliente_Mes!$A$2:$A$433,F$62,Desconto_Cliente_Mes!$B$2:$B$433,$A62,Desconto_Cliente_Mes!$C$2:$C$433,"Proteina")))</f>
        <v>0.0392889311480573</v>
      </c>
      <c r="G65" s="15" t="n">
        <f aca="false">MAX(0,(SUMIFS(Desconto_Cliente_Mes!$L$2:$L$433,Desconto_Cliente_Mes!$A$2:$A$433,G$62,Desconto_Cliente_Mes!$B$2:$B$433,$A62,Desconto_Cliente_Mes!$C$2:$C$433,"Proteina"))-(SUMIFS(Desconto_Cliente_Mes!$N$2:$N$433,Desconto_Cliente_Mes!$A$2:$A$433,G$62,Desconto_Cliente_Mes!$B$2:$B$433,$A62,Desconto_Cliente_Mes!$C$2:$C$433,"Proteina")))</f>
        <v>0.0714210078831172</v>
      </c>
      <c r="H65" s="15" t="n">
        <f aca="false">MAX(0,(SUMIFS(Desconto_Cliente_Mes!$L$2:$L$433,Desconto_Cliente_Mes!$A$2:$A$433,H$62,Desconto_Cliente_Mes!$B$2:$B$433,$A62,Desconto_Cliente_Mes!$C$2:$C$433,"Proteina"))-(SUMIFS(Desconto_Cliente_Mes!$N$2:$N$433,Desconto_Cliente_Mes!$A$2:$A$433,H$62,Desconto_Cliente_Mes!$B$2:$B$433,$A62,Desconto_Cliente_Mes!$C$2:$C$433,"Proteina")))</f>
        <v>0.170998375411884</v>
      </c>
      <c r="I65" s="15" t="n">
        <f aca="false">MAX(0,(SUMIFS(Desconto_Cliente_Mes!$L$2:$L$433,Desconto_Cliente_Mes!$A$2:$A$433,I$62,Desconto_Cliente_Mes!$B$2:$B$433,$A62,Desconto_Cliente_Mes!$C$2:$C$433,"Proteina"))-(SUMIFS(Desconto_Cliente_Mes!$N$2:$N$433,Desconto_Cliente_Mes!$A$2:$A$433,I$62,Desconto_Cliente_Mes!$B$2:$B$433,$A62,Desconto_Cliente_Mes!$C$2:$C$433,"Proteina")))</f>
        <v>0</v>
      </c>
      <c r="J65" s="15" t="n">
        <f aca="false">MAX(0,(SUMIFS(Desconto_Cliente_Mes!$L$2:$L$433,Desconto_Cliente_Mes!$A$2:$A$433,J$62,Desconto_Cliente_Mes!$B$2:$B$433,$A62,Desconto_Cliente_Mes!$C$2:$C$433,"Proteina"))-(SUMIFS(Desconto_Cliente_Mes!$N$2:$N$433,Desconto_Cliente_Mes!$A$2:$A$433,J$62,Desconto_Cliente_Mes!$B$2:$B$433,$A62,Desconto_Cliente_Mes!$C$2:$C$433,"Proteina")))</f>
        <v>0</v>
      </c>
      <c r="K65" s="15" t="n">
        <f aca="false">MAX(0,(SUMIFS(Desconto_Cliente_Mes!$L$2:$L$433,Desconto_Cliente_Mes!$A$2:$A$433,K$62,Desconto_Cliente_Mes!$B$2:$B$433,$A62,Desconto_Cliente_Mes!$C$2:$C$433,"Proteina"))-(SUMIFS(Desconto_Cliente_Mes!$N$2:$N$433,Desconto_Cliente_Mes!$A$2:$A$433,K$62,Desconto_Cliente_Mes!$B$2:$B$433,$A62,Desconto_Cliente_Mes!$C$2:$C$433,"Proteina")))</f>
        <v>0</v>
      </c>
      <c r="L65" s="15" t="n">
        <f aca="false">MAX(0,(SUMIFS(Desconto_Cliente_Mes!$L$2:$L$433,Desconto_Cliente_Mes!$A$2:$A$433,L$62,Desconto_Cliente_Mes!$B$2:$B$433,$A62,Desconto_Cliente_Mes!$C$2:$C$433,"Proteina"))-(SUMIFS(Desconto_Cliente_Mes!$N$2:$N$433,Desconto_Cliente_Mes!$A$2:$A$433,L$62,Desconto_Cliente_Mes!$B$2:$B$433,$A62,Desconto_Cliente_Mes!$C$2:$C$433,"Proteina")))</f>
        <v>0</v>
      </c>
      <c r="M65" s="15" t="n">
        <f aca="false">MAX(0,(SUMIFS(Desconto_Cliente_Mes!$L$2:$L$433,Desconto_Cliente_Mes!$A$2:$A$433,M$62,Desconto_Cliente_Mes!$B$2:$B$433,$A62,Desconto_Cliente_Mes!$C$2:$C$433,"Proteina"))-(SUMIFS(Desconto_Cliente_Mes!$N$2:$N$433,Desconto_Cliente_Mes!$A$2:$A$433,M$62,Desconto_Cliente_Mes!$B$2:$B$433,$A62,Desconto_Cliente_Mes!$C$2:$C$433,"Proteina")))</f>
        <v>0</v>
      </c>
    </row>
    <row r="66" customFormat="false" ht="15" hidden="false" customHeight="false" outlineLevel="0" collapsed="false">
      <c r="A66" s="13" t="s">
        <v>77</v>
      </c>
      <c r="B66" s="15" t="n">
        <f aca="false">MAX(0,(SUMIFS(Desconto_Cliente_Mes!$N$2:$N$433,Desconto_Cliente_Mes!$A$2:$A$433,B$62,Desconto_Cliente_Mes!$B$2:$B$433,$A62,Desconto_Cliente_Mes!$C$2:$C$433,"Proteina"))-(SUMIFS(Desconto_Cliente_Mes!$P$2:$P$433,Desconto_Cliente_Mes!$A$2:$A$433,B$62,Desconto_Cliente_Mes!$B$2:$B$433,$A62,Desconto_Cliente_Mes!$C$2:$C$433,"Proteina")))</f>
        <v>0</v>
      </c>
      <c r="C66" s="15" t="n">
        <f aca="false">MAX(0,(SUMIFS(Desconto_Cliente_Mes!$N$2:$N$433,Desconto_Cliente_Mes!$A$2:$A$433,C$62,Desconto_Cliente_Mes!$B$2:$B$433,$A62,Desconto_Cliente_Mes!$C$2:$C$433,"Proteina"))-(SUMIFS(Desconto_Cliente_Mes!$P$2:$P$433,Desconto_Cliente_Mes!$A$2:$A$433,C$62,Desconto_Cliente_Mes!$B$2:$B$433,$A62,Desconto_Cliente_Mes!$C$2:$C$433,"Proteina")))</f>
        <v>0</v>
      </c>
      <c r="D66" s="15" t="n">
        <f aca="false">MAX(0,(SUMIFS(Desconto_Cliente_Mes!$N$2:$N$433,Desconto_Cliente_Mes!$A$2:$A$433,D$62,Desconto_Cliente_Mes!$B$2:$B$433,$A62,Desconto_Cliente_Mes!$C$2:$C$433,"Proteina"))-(SUMIFS(Desconto_Cliente_Mes!$P$2:$P$433,Desconto_Cliente_Mes!$A$2:$A$433,D$62,Desconto_Cliente_Mes!$B$2:$B$433,$A62,Desconto_Cliente_Mes!$C$2:$C$433,"Proteina")))</f>
        <v>0</v>
      </c>
      <c r="E66" s="15" t="n">
        <f aca="false">MAX(0,(SUMIFS(Desconto_Cliente_Mes!$N$2:$N$433,Desconto_Cliente_Mes!$A$2:$A$433,E$62,Desconto_Cliente_Mes!$B$2:$B$433,$A62,Desconto_Cliente_Mes!$C$2:$C$433,"Proteina"))-(SUMIFS(Desconto_Cliente_Mes!$P$2:$P$433,Desconto_Cliente_Mes!$A$2:$A$433,E$62,Desconto_Cliente_Mes!$B$2:$B$433,$A62,Desconto_Cliente_Mes!$C$2:$C$433,"Proteina")))</f>
        <v>0</v>
      </c>
      <c r="F66" s="15" t="n">
        <f aca="false">MAX(0,(SUMIFS(Desconto_Cliente_Mes!$N$2:$N$433,Desconto_Cliente_Mes!$A$2:$A$433,F$62,Desconto_Cliente_Mes!$B$2:$B$433,$A62,Desconto_Cliente_Mes!$C$2:$C$433,"Proteina"))-(SUMIFS(Desconto_Cliente_Mes!$P$2:$P$433,Desconto_Cliente_Mes!$A$2:$A$433,F$62,Desconto_Cliente_Mes!$B$2:$B$433,$A62,Desconto_Cliente_Mes!$C$2:$C$433,"Proteina")))</f>
        <v>0</v>
      </c>
      <c r="G66" s="15" t="n">
        <f aca="false">MAX(0,(SUMIFS(Desconto_Cliente_Mes!$N$2:$N$433,Desconto_Cliente_Mes!$A$2:$A$433,G$62,Desconto_Cliente_Mes!$B$2:$B$433,$A62,Desconto_Cliente_Mes!$C$2:$C$433,"Proteina"))-(SUMIFS(Desconto_Cliente_Mes!$P$2:$P$433,Desconto_Cliente_Mes!$A$2:$A$433,G$62,Desconto_Cliente_Mes!$B$2:$B$433,$A62,Desconto_Cliente_Mes!$C$2:$C$433,"Proteina")))</f>
        <v>0</v>
      </c>
      <c r="H66" s="15" t="n">
        <f aca="false">MAX(0,(SUMIFS(Desconto_Cliente_Mes!$N$2:$N$433,Desconto_Cliente_Mes!$A$2:$A$433,H$62,Desconto_Cliente_Mes!$B$2:$B$433,$A62,Desconto_Cliente_Mes!$C$2:$C$433,"Proteina"))-(SUMIFS(Desconto_Cliente_Mes!$P$2:$P$433,Desconto_Cliente_Mes!$A$2:$A$433,H$62,Desconto_Cliente_Mes!$B$2:$B$433,$A62,Desconto_Cliente_Mes!$C$2:$C$433,"Proteina")))</f>
        <v>0</v>
      </c>
      <c r="I66" s="15" t="n">
        <f aca="false">MAX(0,(SUMIFS(Desconto_Cliente_Mes!$N$2:$N$433,Desconto_Cliente_Mes!$A$2:$A$433,I$62,Desconto_Cliente_Mes!$B$2:$B$433,$A62,Desconto_Cliente_Mes!$C$2:$C$433,"Proteina"))-(SUMIFS(Desconto_Cliente_Mes!$P$2:$P$433,Desconto_Cliente_Mes!$A$2:$A$433,I$62,Desconto_Cliente_Mes!$B$2:$B$433,$A62,Desconto_Cliente_Mes!$C$2:$C$433,"Proteina")))</f>
        <v>0</v>
      </c>
      <c r="J66" s="15" t="n">
        <f aca="false">MAX(0,(SUMIFS(Desconto_Cliente_Mes!$N$2:$N$433,Desconto_Cliente_Mes!$A$2:$A$433,J$62,Desconto_Cliente_Mes!$B$2:$B$433,$A62,Desconto_Cliente_Mes!$C$2:$C$433,"Proteina"))-(SUMIFS(Desconto_Cliente_Mes!$P$2:$P$433,Desconto_Cliente_Mes!$A$2:$A$433,J$62,Desconto_Cliente_Mes!$B$2:$B$433,$A62,Desconto_Cliente_Mes!$C$2:$C$433,"Proteina")))</f>
        <v>0</v>
      </c>
      <c r="K66" s="15" t="n">
        <f aca="false">MAX(0,(SUMIFS(Desconto_Cliente_Mes!$N$2:$N$433,Desconto_Cliente_Mes!$A$2:$A$433,K$62,Desconto_Cliente_Mes!$B$2:$B$433,$A62,Desconto_Cliente_Mes!$C$2:$C$433,"Proteina"))-(SUMIFS(Desconto_Cliente_Mes!$P$2:$P$433,Desconto_Cliente_Mes!$A$2:$A$433,K$62,Desconto_Cliente_Mes!$B$2:$B$433,$A62,Desconto_Cliente_Mes!$C$2:$C$433,"Proteina")))</f>
        <v>0</v>
      </c>
      <c r="L66" s="15" t="n">
        <f aca="false">MAX(0,(SUMIFS(Desconto_Cliente_Mes!$N$2:$N$433,Desconto_Cliente_Mes!$A$2:$A$433,L$62,Desconto_Cliente_Mes!$B$2:$B$433,$A62,Desconto_Cliente_Mes!$C$2:$C$433,"Proteina"))-(SUMIFS(Desconto_Cliente_Mes!$P$2:$P$433,Desconto_Cliente_Mes!$A$2:$A$433,L$62,Desconto_Cliente_Mes!$B$2:$B$433,$A62,Desconto_Cliente_Mes!$C$2:$C$433,"Proteina")))</f>
        <v>0</v>
      </c>
      <c r="M66" s="15" t="n">
        <f aca="false">MAX(0,(SUMIFS(Desconto_Cliente_Mes!$N$2:$N$433,Desconto_Cliente_Mes!$A$2:$A$433,M$62,Desconto_Cliente_Mes!$B$2:$B$433,$A62,Desconto_Cliente_Mes!$C$2:$C$433,"Proteina"))-(SUMIFS(Desconto_Cliente_Mes!$P$2:$P$433,Desconto_Cliente_Mes!$A$2:$A$433,M$62,Desconto_Cliente_Mes!$B$2:$B$433,$A62,Desconto_Cliente_Mes!$C$2:$C$433,"Proteina")))</f>
        <v>0</v>
      </c>
    </row>
    <row r="67" customFormat="false" ht="15" hidden="false" customHeight="false" outlineLevel="0" collapsed="false">
      <c r="A67" s="13" t="s">
        <v>78</v>
      </c>
      <c r="B67" s="15" t="n">
        <f aca="false">MAX(0,SUMIFS(Desconto_Cliente_Mes!$P$2:$P$433,Desconto_Cliente_Mes!$A$2:$A$433,B$62,Desconto_Cliente_Mes!$B$2:$B$433,$A62,Desconto_Cliente_Mes!$C$2:$C$433,"Proteina"))</f>
        <v>0</v>
      </c>
      <c r="C67" s="15" t="n">
        <f aca="false">MAX(0,SUMIFS(Desconto_Cliente_Mes!$P$2:$P$433,Desconto_Cliente_Mes!$A$2:$A$433,C$62,Desconto_Cliente_Mes!$B$2:$B$433,$A62,Desconto_Cliente_Mes!$C$2:$C$433,"Proteina"))</f>
        <v>0</v>
      </c>
      <c r="D67" s="15" t="n">
        <f aca="false">MAX(0,SUMIFS(Desconto_Cliente_Mes!$P$2:$P$433,Desconto_Cliente_Mes!$A$2:$A$433,D$62,Desconto_Cliente_Mes!$B$2:$B$433,$A62,Desconto_Cliente_Mes!$C$2:$C$433,"Proteina"))</f>
        <v>0</v>
      </c>
      <c r="E67" s="15" t="n">
        <f aca="false">MAX(0,SUMIFS(Desconto_Cliente_Mes!$P$2:$P$433,Desconto_Cliente_Mes!$A$2:$A$433,E$62,Desconto_Cliente_Mes!$B$2:$B$433,$A62,Desconto_Cliente_Mes!$C$2:$C$433,"Proteina"))</f>
        <v>0</v>
      </c>
      <c r="F67" s="15" t="n">
        <f aca="false">MAX(0,SUMIFS(Desconto_Cliente_Mes!$P$2:$P$433,Desconto_Cliente_Mes!$A$2:$A$433,F$62,Desconto_Cliente_Mes!$B$2:$B$433,$A62,Desconto_Cliente_Mes!$C$2:$C$433,"Proteina"))</f>
        <v>0</v>
      </c>
      <c r="G67" s="15" t="n">
        <f aca="false">MAX(0,SUMIFS(Desconto_Cliente_Mes!$P$2:$P$433,Desconto_Cliente_Mes!$A$2:$A$433,G$62,Desconto_Cliente_Mes!$B$2:$B$433,$A62,Desconto_Cliente_Mes!$C$2:$C$433,"Proteina"))</f>
        <v>0</v>
      </c>
      <c r="H67" s="15" t="n">
        <f aca="false">MAX(0,SUMIFS(Desconto_Cliente_Mes!$P$2:$P$433,Desconto_Cliente_Mes!$A$2:$A$433,H$62,Desconto_Cliente_Mes!$B$2:$B$433,$A62,Desconto_Cliente_Mes!$C$2:$C$433,"Proteina"))</f>
        <v>0</v>
      </c>
      <c r="I67" s="15" t="n">
        <f aca="false">MAX(0,SUMIFS(Desconto_Cliente_Mes!$P$2:$P$433,Desconto_Cliente_Mes!$A$2:$A$433,I$62,Desconto_Cliente_Mes!$B$2:$B$433,$A62,Desconto_Cliente_Mes!$C$2:$C$433,"Proteina"))</f>
        <v>0</v>
      </c>
      <c r="J67" s="15" t="n">
        <f aca="false">MAX(0,SUMIFS(Desconto_Cliente_Mes!$P$2:$P$433,Desconto_Cliente_Mes!$A$2:$A$433,J$62,Desconto_Cliente_Mes!$B$2:$B$433,$A62,Desconto_Cliente_Mes!$C$2:$C$433,"Proteina"))</f>
        <v>0</v>
      </c>
      <c r="K67" s="15" t="n">
        <f aca="false">MAX(0,SUMIFS(Desconto_Cliente_Mes!$P$2:$P$433,Desconto_Cliente_Mes!$A$2:$A$433,K$62,Desconto_Cliente_Mes!$B$2:$B$433,$A62,Desconto_Cliente_Mes!$C$2:$C$433,"Proteina"))</f>
        <v>0</v>
      </c>
      <c r="L67" s="15" t="n">
        <f aca="false">MAX(0,SUMIFS(Desconto_Cliente_Mes!$P$2:$P$433,Desconto_Cliente_Mes!$A$2:$A$433,L$62,Desconto_Cliente_Mes!$B$2:$B$433,$A62,Desconto_Cliente_Mes!$C$2:$C$433,"Proteina"))</f>
        <v>0</v>
      </c>
      <c r="M67" s="15" t="n">
        <f aca="false">MAX(0,SUMIFS(Desconto_Cliente_Mes!$P$2:$P$433,Desconto_Cliente_Mes!$A$2:$A$433,M$62,Desconto_Cliente_Mes!$B$2:$B$433,$A62,Desconto_Cliente_Mes!$C$2:$C$433,"Proteina"))</f>
        <v>0</v>
      </c>
    </row>
    <row r="68" customFormat="false" ht="15" hidden="false" customHeight="false" outlineLevel="0" collapsed="false">
      <c r="A68" s="13" t="s">
        <v>79</v>
      </c>
      <c r="B68" s="16" t="n">
        <f aca="false">$B$64*($B$65/100)*(SUMIFS(Desconto_Cliente_Mes!$Q$2:$Q$433,Desconto_Cliente_Mes!$A$2:$A$433,B$62,Desconto_Cliente_Mes!$B$2:$B$433,$A62,Desconto_Cliente_Mes!$C$2:$C$433,"Proteina"))*(SUMIFS(Desconto_Cliente_Mes!$T$2:$T$433,Desconto_Cliente_Mes!$A$2:$A$433,B$62,Desconto_Cliente_Mes!$B$2:$B$433,$A62,Desconto_Cliente_Mes!$C$2:$C$433,"Proteina"))</f>
        <v>0</v>
      </c>
      <c r="C68" s="16" t="n">
        <f aca="false">$C$64*($C$65/100)*(SUMIFS(Desconto_Cliente_Mes!$Q$2:$Q$433,Desconto_Cliente_Mes!$A$2:$A$433,C$62,Desconto_Cliente_Mes!$B$2:$B$433,$A62,Desconto_Cliente_Mes!$C$2:$C$433,"Proteina"))*(SUMIFS(Desconto_Cliente_Mes!$T$2:$T$433,Desconto_Cliente_Mes!$A$2:$A$433,C$62,Desconto_Cliente_Mes!$B$2:$B$433,$A62,Desconto_Cliente_Mes!$C$2:$C$433,"Proteina"))</f>
        <v>0</v>
      </c>
      <c r="D68" s="16" t="n">
        <f aca="false">$D$64*($D$65/100)*(SUMIFS(Desconto_Cliente_Mes!$Q$2:$Q$433,Desconto_Cliente_Mes!$A$2:$A$433,D$62,Desconto_Cliente_Mes!$B$2:$B$433,$A62,Desconto_Cliente_Mes!$C$2:$C$433,"Proteina"))*(SUMIFS(Desconto_Cliente_Mes!$T$2:$T$433,Desconto_Cliente_Mes!$A$2:$A$433,D$62,Desconto_Cliente_Mes!$B$2:$B$433,$A62,Desconto_Cliente_Mes!$C$2:$C$433,"Proteina"))</f>
        <v>0</v>
      </c>
      <c r="E68" s="16" t="n">
        <f aca="false">$E$64*($E$65/100)*(SUMIFS(Desconto_Cliente_Mes!$Q$2:$Q$433,Desconto_Cliente_Mes!$A$2:$A$433,E$62,Desconto_Cliente_Mes!$B$2:$B$433,$A62,Desconto_Cliente_Mes!$C$2:$C$433,"Proteina"))*(SUMIFS(Desconto_Cliente_Mes!$T$2:$T$433,Desconto_Cliente_Mes!$A$2:$A$433,E$62,Desconto_Cliente_Mes!$B$2:$B$433,$A62,Desconto_Cliente_Mes!$C$2:$C$433,"Proteina"))</f>
        <v>5180.33923942371</v>
      </c>
      <c r="F68" s="16" t="n">
        <f aca="false">$F$64*($F$65/100)*(SUMIFS(Desconto_Cliente_Mes!$Q$2:$Q$433,Desconto_Cliente_Mes!$A$2:$A$433,F$62,Desconto_Cliente_Mes!$B$2:$B$433,$A62,Desconto_Cliente_Mes!$C$2:$C$433,"Proteina"))*(SUMIFS(Desconto_Cliente_Mes!$T$2:$T$433,Desconto_Cliente_Mes!$A$2:$A$433,F$62,Desconto_Cliente_Mes!$B$2:$B$433,$A62,Desconto_Cliente_Mes!$C$2:$C$433,"Proteina"))</f>
        <v>12134.9712322488</v>
      </c>
      <c r="G68" s="16" t="n">
        <f aca="false">$G$64*($G$65/100)*(SUMIFS(Desconto_Cliente_Mes!$Q$2:$Q$433,Desconto_Cliente_Mes!$A$2:$A$433,G$62,Desconto_Cliente_Mes!$B$2:$B$433,$A62,Desconto_Cliente_Mes!$C$2:$C$433,"Proteina"))*(SUMIFS(Desconto_Cliente_Mes!$T$2:$T$433,Desconto_Cliente_Mes!$A$2:$A$433,G$62,Desconto_Cliente_Mes!$B$2:$B$433,$A62,Desconto_Cliente_Mes!$C$2:$C$433,"Proteina"))</f>
        <v>11998.5634704992</v>
      </c>
      <c r="H68" s="16" t="n">
        <f aca="false">$H$64*($H$65/100)*(SUMIFS(Desconto_Cliente_Mes!$Q$2:$Q$433,Desconto_Cliente_Mes!$A$2:$A$433,H$62,Desconto_Cliente_Mes!$B$2:$B$433,$A62,Desconto_Cliente_Mes!$C$2:$C$433,"Proteina"))*(SUMIFS(Desconto_Cliente_Mes!$T$2:$T$433,Desconto_Cliente_Mes!$A$2:$A$433,H$62,Desconto_Cliente_Mes!$B$2:$B$433,$A62,Desconto_Cliente_Mes!$C$2:$C$433,"Proteina"))</f>
        <v>18496.2801789377</v>
      </c>
      <c r="I68" s="16" t="n">
        <f aca="false">$I$64*($I$65/100)*(SUMIFS(Desconto_Cliente_Mes!$Q$2:$Q$433,Desconto_Cliente_Mes!$A$2:$A$433,I$62,Desconto_Cliente_Mes!$B$2:$B$433,$A62,Desconto_Cliente_Mes!$C$2:$C$433,"Proteina"))*(SUMIFS(Desconto_Cliente_Mes!$T$2:$T$433,Desconto_Cliente_Mes!$A$2:$A$433,I$62,Desconto_Cliente_Mes!$B$2:$B$433,$A62,Desconto_Cliente_Mes!$C$2:$C$433,"Proteina"))</f>
        <v>0</v>
      </c>
      <c r="J68" s="16" t="n">
        <f aca="false">$J$64*($J$65/100)*(SUMIFS(Desconto_Cliente_Mes!$Q$2:$Q$433,Desconto_Cliente_Mes!$A$2:$A$433,J$62,Desconto_Cliente_Mes!$B$2:$B$433,$A62,Desconto_Cliente_Mes!$C$2:$C$433,"Proteina"))*(SUMIFS(Desconto_Cliente_Mes!$T$2:$T$433,Desconto_Cliente_Mes!$A$2:$A$433,J$62,Desconto_Cliente_Mes!$B$2:$B$433,$A62,Desconto_Cliente_Mes!$C$2:$C$433,"Proteina"))</f>
        <v>0</v>
      </c>
      <c r="K68" s="16" t="n">
        <f aca="false">$K$64*($K$65/100)*(SUMIFS(Desconto_Cliente_Mes!$Q$2:$Q$433,Desconto_Cliente_Mes!$A$2:$A$433,K$62,Desconto_Cliente_Mes!$B$2:$B$433,$A62,Desconto_Cliente_Mes!$C$2:$C$433,"Proteina"))*(SUMIFS(Desconto_Cliente_Mes!$T$2:$T$433,Desconto_Cliente_Mes!$A$2:$A$433,K$62,Desconto_Cliente_Mes!$B$2:$B$433,$A62,Desconto_Cliente_Mes!$C$2:$C$433,"Proteina"))</f>
        <v>0</v>
      </c>
      <c r="L68" s="16" t="n">
        <f aca="false">$L$64*($L$65/100)*(SUMIFS(Desconto_Cliente_Mes!$Q$2:$Q$433,Desconto_Cliente_Mes!$A$2:$A$433,L$62,Desconto_Cliente_Mes!$B$2:$B$433,$A62,Desconto_Cliente_Mes!$C$2:$C$433,"Proteina"))*(SUMIFS(Desconto_Cliente_Mes!$T$2:$T$433,Desconto_Cliente_Mes!$A$2:$A$433,L$62,Desconto_Cliente_Mes!$B$2:$B$433,$A62,Desconto_Cliente_Mes!$C$2:$C$433,"Proteina"))</f>
        <v>0</v>
      </c>
      <c r="M68" s="16" t="n">
        <f aca="false">$M$64*($M$65/100)*(SUMIFS(Desconto_Cliente_Mes!$Q$2:$Q$433,Desconto_Cliente_Mes!$A$2:$A$433,M$62,Desconto_Cliente_Mes!$B$2:$B$433,$A62,Desconto_Cliente_Mes!$C$2:$C$433,"Proteina"))*(SUMIFS(Desconto_Cliente_Mes!$T$2:$T$433,Desconto_Cliente_Mes!$A$2:$A$433,M$62,Desconto_Cliente_Mes!$B$2:$B$433,$A62,Desconto_Cliente_Mes!$C$2:$C$433,"Proteina"))</f>
        <v>0</v>
      </c>
      <c r="N68" s="17" t="n">
        <f aca="false">SUM(B68:M68)</f>
        <v>47810.1541211094</v>
      </c>
    </row>
    <row r="69" customFormat="false" ht="15" hidden="false" customHeight="false" outlineLevel="0" collapsed="false">
      <c r="A69" s="13" t="s">
        <v>80</v>
      </c>
      <c r="B69" s="16" t="n">
        <f aca="false">$B$64*($B$66/100)*((IF(SUMIFS(Desconto_Cliente_Mes!$R$2:$R$433,Desconto_Cliente_Mes!$A$2:$A$433,B$62,Desconto_Cliente_Mes!$B$2:$B$433,$A62,Desconto_Cliente_Mes!$C$2:$C$433,"Proteina")="",SUMIFS(Desconto_Cliente_Mes!$Q$2:$Q$433,Desconto_Cliente_Mes!$A$2:$A$433,B$62,Desconto_Cliente_Mes!$B$2:$B$433,$A62,Desconto_Cliente_Mes!$C$2:$C$433,"Proteina"),SUMIFS(Desconto_Cliente_Mes!$R$2:$R$433,Desconto_Cliente_Mes!$A$2:$A$433,B$62,Desconto_Cliente_Mes!$B$2:$B$433,$A62,Desconto_Cliente_Mes!$C$2:$C$433,"Proteina")))-(SUMIFS(Desconto_Cliente_Mes!$Q$2:$Q$433,Desconto_Cliente_Mes!$A$2:$A$433,B$62,Desconto_Cliente_Mes!$B$2:$B$433,$A62,Desconto_Cliente_Mes!$C$2:$C$433,"Proteina")))*(SUMIFS(Desconto_Cliente_Mes!$T$2:$T$433,Desconto_Cliente_Mes!$A$2:$A$433,B$62,Desconto_Cliente_Mes!$B$2:$B$433,$A62,Desconto_Cliente_Mes!$C$2:$C$433,"Proteina"))</f>
        <v>0</v>
      </c>
      <c r="C69" s="16" t="n">
        <f aca="false">$C$64*($C$66/100)*((IF(SUMIFS(Desconto_Cliente_Mes!$R$2:$R$433,Desconto_Cliente_Mes!$A$2:$A$433,C$62,Desconto_Cliente_Mes!$B$2:$B$433,$A62,Desconto_Cliente_Mes!$C$2:$C$433,"Proteina")="",SUMIFS(Desconto_Cliente_Mes!$Q$2:$Q$433,Desconto_Cliente_Mes!$A$2:$A$433,C$62,Desconto_Cliente_Mes!$B$2:$B$433,$A62,Desconto_Cliente_Mes!$C$2:$C$433,"Proteina"),SUMIFS(Desconto_Cliente_Mes!$R$2:$R$433,Desconto_Cliente_Mes!$A$2:$A$433,C$62,Desconto_Cliente_Mes!$B$2:$B$433,$A62,Desconto_Cliente_Mes!$C$2:$C$433,"Proteina")))-(SUMIFS(Desconto_Cliente_Mes!$Q$2:$Q$433,Desconto_Cliente_Mes!$A$2:$A$433,C$62,Desconto_Cliente_Mes!$B$2:$B$433,$A62,Desconto_Cliente_Mes!$C$2:$C$433,"Proteina")))*(SUMIFS(Desconto_Cliente_Mes!$T$2:$T$433,Desconto_Cliente_Mes!$A$2:$A$433,C$62,Desconto_Cliente_Mes!$B$2:$B$433,$A62,Desconto_Cliente_Mes!$C$2:$C$433,"Proteina"))</f>
        <v>0</v>
      </c>
      <c r="D69" s="16" t="n">
        <f aca="false">$D$64*($D$66/100)*((IF(SUMIFS(Desconto_Cliente_Mes!$R$2:$R$433,Desconto_Cliente_Mes!$A$2:$A$433,D$62,Desconto_Cliente_Mes!$B$2:$B$433,$A62,Desconto_Cliente_Mes!$C$2:$C$433,"Proteina")="",SUMIFS(Desconto_Cliente_Mes!$Q$2:$Q$433,Desconto_Cliente_Mes!$A$2:$A$433,D$62,Desconto_Cliente_Mes!$B$2:$B$433,$A62,Desconto_Cliente_Mes!$C$2:$C$433,"Proteina"),SUMIFS(Desconto_Cliente_Mes!$R$2:$R$433,Desconto_Cliente_Mes!$A$2:$A$433,D$62,Desconto_Cliente_Mes!$B$2:$B$433,$A62,Desconto_Cliente_Mes!$C$2:$C$433,"Proteina")))-(SUMIFS(Desconto_Cliente_Mes!$Q$2:$Q$433,Desconto_Cliente_Mes!$A$2:$A$433,D$62,Desconto_Cliente_Mes!$B$2:$B$433,$A62,Desconto_Cliente_Mes!$C$2:$C$433,"Proteina")))*(SUMIFS(Desconto_Cliente_Mes!$T$2:$T$433,Desconto_Cliente_Mes!$A$2:$A$433,D$62,Desconto_Cliente_Mes!$B$2:$B$433,$A62,Desconto_Cliente_Mes!$C$2:$C$433,"Proteina"))</f>
        <v>0</v>
      </c>
      <c r="E69" s="16" t="n">
        <f aca="false">$E$64*($E$66/100)*((IF(SUMIFS(Desconto_Cliente_Mes!$R$2:$R$433,Desconto_Cliente_Mes!$A$2:$A$433,E$62,Desconto_Cliente_Mes!$B$2:$B$433,$A62,Desconto_Cliente_Mes!$C$2:$C$433,"Proteina")="",SUMIFS(Desconto_Cliente_Mes!$Q$2:$Q$433,Desconto_Cliente_Mes!$A$2:$A$433,E$62,Desconto_Cliente_Mes!$B$2:$B$433,$A62,Desconto_Cliente_Mes!$C$2:$C$433,"Proteina"),SUMIFS(Desconto_Cliente_Mes!$R$2:$R$433,Desconto_Cliente_Mes!$A$2:$A$433,E$62,Desconto_Cliente_Mes!$B$2:$B$433,$A62,Desconto_Cliente_Mes!$C$2:$C$433,"Proteina")))-(SUMIFS(Desconto_Cliente_Mes!$Q$2:$Q$433,Desconto_Cliente_Mes!$A$2:$A$433,E$62,Desconto_Cliente_Mes!$B$2:$B$433,$A62,Desconto_Cliente_Mes!$C$2:$C$433,"Proteina")))*(SUMIFS(Desconto_Cliente_Mes!$T$2:$T$433,Desconto_Cliente_Mes!$A$2:$A$433,E$62,Desconto_Cliente_Mes!$B$2:$B$433,$A62,Desconto_Cliente_Mes!$C$2:$C$433,"Proteina"))</f>
        <v>0</v>
      </c>
      <c r="F69" s="16" t="n">
        <f aca="false">$F$64*($F$66/100)*((IF(SUMIFS(Desconto_Cliente_Mes!$R$2:$R$433,Desconto_Cliente_Mes!$A$2:$A$433,F$62,Desconto_Cliente_Mes!$B$2:$B$433,$A62,Desconto_Cliente_Mes!$C$2:$C$433,"Proteina")="",SUMIFS(Desconto_Cliente_Mes!$Q$2:$Q$433,Desconto_Cliente_Mes!$A$2:$A$433,F$62,Desconto_Cliente_Mes!$B$2:$B$433,$A62,Desconto_Cliente_Mes!$C$2:$C$433,"Proteina"),SUMIFS(Desconto_Cliente_Mes!$R$2:$R$433,Desconto_Cliente_Mes!$A$2:$A$433,F$62,Desconto_Cliente_Mes!$B$2:$B$433,$A62,Desconto_Cliente_Mes!$C$2:$C$433,"Proteina")))-(SUMIFS(Desconto_Cliente_Mes!$Q$2:$Q$433,Desconto_Cliente_Mes!$A$2:$A$433,F$62,Desconto_Cliente_Mes!$B$2:$B$433,$A62,Desconto_Cliente_Mes!$C$2:$C$433,"Proteina")))*(SUMIFS(Desconto_Cliente_Mes!$T$2:$T$433,Desconto_Cliente_Mes!$A$2:$A$433,F$62,Desconto_Cliente_Mes!$B$2:$B$433,$A62,Desconto_Cliente_Mes!$C$2:$C$433,"Proteina"))</f>
        <v>0</v>
      </c>
      <c r="G69" s="16" t="n">
        <f aca="false">$G$64*($G$66/100)*((IF(SUMIFS(Desconto_Cliente_Mes!$R$2:$R$433,Desconto_Cliente_Mes!$A$2:$A$433,G$62,Desconto_Cliente_Mes!$B$2:$B$433,$A62,Desconto_Cliente_Mes!$C$2:$C$433,"Proteina")="",SUMIFS(Desconto_Cliente_Mes!$Q$2:$Q$433,Desconto_Cliente_Mes!$A$2:$A$433,G$62,Desconto_Cliente_Mes!$B$2:$B$433,$A62,Desconto_Cliente_Mes!$C$2:$C$433,"Proteina"),SUMIFS(Desconto_Cliente_Mes!$R$2:$R$433,Desconto_Cliente_Mes!$A$2:$A$433,G$62,Desconto_Cliente_Mes!$B$2:$B$433,$A62,Desconto_Cliente_Mes!$C$2:$C$433,"Proteina")))-(SUMIFS(Desconto_Cliente_Mes!$Q$2:$Q$433,Desconto_Cliente_Mes!$A$2:$A$433,G$62,Desconto_Cliente_Mes!$B$2:$B$433,$A62,Desconto_Cliente_Mes!$C$2:$C$433,"Proteina")))*(SUMIFS(Desconto_Cliente_Mes!$T$2:$T$433,Desconto_Cliente_Mes!$A$2:$A$433,G$62,Desconto_Cliente_Mes!$B$2:$B$433,$A62,Desconto_Cliente_Mes!$C$2:$C$433,"Proteina"))</f>
        <v>0</v>
      </c>
      <c r="H69" s="16" t="n">
        <f aca="false">$H$64*($H$66/100)*((IF(SUMIFS(Desconto_Cliente_Mes!$R$2:$R$433,Desconto_Cliente_Mes!$A$2:$A$433,H$62,Desconto_Cliente_Mes!$B$2:$B$433,$A62,Desconto_Cliente_Mes!$C$2:$C$433,"Proteina")="",SUMIFS(Desconto_Cliente_Mes!$Q$2:$Q$433,Desconto_Cliente_Mes!$A$2:$A$433,H$62,Desconto_Cliente_Mes!$B$2:$B$433,$A62,Desconto_Cliente_Mes!$C$2:$C$433,"Proteina"),SUMIFS(Desconto_Cliente_Mes!$R$2:$R$433,Desconto_Cliente_Mes!$A$2:$A$433,H$62,Desconto_Cliente_Mes!$B$2:$B$433,$A62,Desconto_Cliente_Mes!$C$2:$C$433,"Proteina")))-(SUMIFS(Desconto_Cliente_Mes!$Q$2:$Q$433,Desconto_Cliente_Mes!$A$2:$A$433,H$62,Desconto_Cliente_Mes!$B$2:$B$433,$A62,Desconto_Cliente_Mes!$C$2:$C$433,"Proteina")))*(SUMIFS(Desconto_Cliente_Mes!$T$2:$T$433,Desconto_Cliente_Mes!$A$2:$A$433,H$62,Desconto_Cliente_Mes!$B$2:$B$433,$A62,Desconto_Cliente_Mes!$C$2:$C$433,"Proteina"))</f>
        <v>0</v>
      </c>
      <c r="I69" s="16" t="n">
        <f aca="false">$I$64*($I$66/100)*((IF(SUMIFS(Desconto_Cliente_Mes!$R$2:$R$433,Desconto_Cliente_Mes!$A$2:$A$433,I$62,Desconto_Cliente_Mes!$B$2:$B$433,$A62,Desconto_Cliente_Mes!$C$2:$C$433,"Proteina")="",SUMIFS(Desconto_Cliente_Mes!$Q$2:$Q$433,Desconto_Cliente_Mes!$A$2:$A$433,I$62,Desconto_Cliente_Mes!$B$2:$B$433,$A62,Desconto_Cliente_Mes!$C$2:$C$433,"Proteina"),SUMIFS(Desconto_Cliente_Mes!$R$2:$R$433,Desconto_Cliente_Mes!$A$2:$A$433,I$62,Desconto_Cliente_Mes!$B$2:$B$433,$A62,Desconto_Cliente_Mes!$C$2:$C$433,"Proteina")))-(SUMIFS(Desconto_Cliente_Mes!$Q$2:$Q$433,Desconto_Cliente_Mes!$A$2:$A$433,I$62,Desconto_Cliente_Mes!$B$2:$B$433,$A62,Desconto_Cliente_Mes!$C$2:$C$433,"Proteina")))*(SUMIFS(Desconto_Cliente_Mes!$T$2:$T$433,Desconto_Cliente_Mes!$A$2:$A$433,I$62,Desconto_Cliente_Mes!$B$2:$B$433,$A62,Desconto_Cliente_Mes!$C$2:$C$433,"Proteina"))</f>
        <v>0</v>
      </c>
      <c r="J69" s="16" t="n">
        <f aca="false">$J$64*($J$66/100)*((IF(SUMIFS(Desconto_Cliente_Mes!$R$2:$R$433,Desconto_Cliente_Mes!$A$2:$A$433,J$62,Desconto_Cliente_Mes!$B$2:$B$433,$A62,Desconto_Cliente_Mes!$C$2:$C$433,"Proteina")="",SUMIFS(Desconto_Cliente_Mes!$Q$2:$Q$433,Desconto_Cliente_Mes!$A$2:$A$433,J$62,Desconto_Cliente_Mes!$B$2:$B$433,$A62,Desconto_Cliente_Mes!$C$2:$C$433,"Proteina"),SUMIFS(Desconto_Cliente_Mes!$R$2:$R$433,Desconto_Cliente_Mes!$A$2:$A$433,J$62,Desconto_Cliente_Mes!$B$2:$B$433,$A62,Desconto_Cliente_Mes!$C$2:$C$433,"Proteina")))-(SUMIFS(Desconto_Cliente_Mes!$Q$2:$Q$433,Desconto_Cliente_Mes!$A$2:$A$433,J$62,Desconto_Cliente_Mes!$B$2:$B$433,$A62,Desconto_Cliente_Mes!$C$2:$C$433,"Proteina")))*(SUMIFS(Desconto_Cliente_Mes!$T$2:$T$433,Desconto_Cliente_Mes!$A$2:$A$433,J$62,Desconto_Cliente_Mes!$B$2:$B$433,$A62,Desconto_Cliente_Mes!$C$2:$C$433,"Proteina"))</f>
        <v>0</v>
      </c>
      <c r="K69" s="16" t="n">
        <f aca="false">$K$64*($K$66/100)*((IF(SUMIFS(Desconto_Cliente_Mes!$R$2:$R$433,Desconto_Cliente_Mes!$A$2:$A$433,K$62,Desconto_Cliente_Mes!$B$2:$B$433,$A62,Desconto_Cliente_Mes!$C$2:$C$433,"Proteina")="",SUMIFS(Desconto_Cliente_Mes!$Q$2:$Q$433,Desconto_Cliente_Mes!$A$2:$A$433,K$62,Desconto_Cliente_Mes!$B$2:$B$433,$A62,Desconto_Cliente_Mes!$C$2:$C$433,"Proteina"),SUMIFS(Desconto_Cliente_Mes!$R$2:$R$433,Desconto_Cliente_Mes!$A$2:$A$433,K$62,Desconto_Cliente_Mes!$B$2:$B$433,$A62,Desconto_Cliente_Mes!$C$2:$C$433,"Proteina")))-(SUMIFS(Desconto_Cliente_Mes!$Q$2:$Q$433,Desconto_Cliente_Mes!$A$2:$A$433,K$62,Desconto_Cliente_Mes!$B$2:$B$433,$A62,Desconto_Cliente_Mes!$C$2:$C$433,"Proteina")))*(SUMIFS(Desconto_Cliente_Mes!$T$2:$T$433,Desconto_Cliente_Mes!$A$2:$A$433,K$62,Desconto_Cliente_Mes!$B$2:$B$433,$A62,Desconto_Cliente_Mes!$C$2:$C$433,"Proteina"))</f>
        <v>0</v>
      </c>
      <c r="L69" s="16" t="n">
        <f aca="false">$L$64*($L$66/100)*((IF(SUMIFS(Desconto_Cliente_Mes!$R$2:$R$433,Desconto_Cliente_Mes!$A$2:$A$433,L$62,Desconto_Cliente_Mes!$B$2:$B$433,$A62,Desconto_Cliente_Mes!$C$2:$C$433,"Proteina")="",SUMIFS(Desconto_Cliente_Mes!$Q$2:$Q$433,Desconto_Cliente_Mes!$A$2:$A$433,L$62,Desconto_Cliente_Mes!$B$2:$B$433,$A62,Desconto_Cliente_Mes!$C$2:$C$433,"Proteina"),SUMIFS(Desconto_Cliente_Mes!$R$2:$R$433,Desconto_Cliente_Mes!$A$2:$A$433,L$62,Desconto_Cliente_Mes!$B$2:$B$433,$A62,Desconto_Cliente_Mes!$C$2:$C$433,"Proteina")))-(SUMIFS(Desconto_Cliente_Mes!$Q$2:$Q$433,Desconto_Cliente_Mes!$A$2:$A$433,L$62,Desconto_Cliente_Mes!$B$2:$B$433,$A62,Desconto_Cliente_Mes!$C$2:$C$433,"Proteina")))*(SUMIFS(Desconto_Cliente_Mes!$T$2:$T$433,Desconto_Cliente_Mes!$A$2:$A$433,L$62,Desconto_Cliente_Mes!$B$2:$B$433,$A62,Desconto_Cliente_Mes!$C$2:$C$433,"Proteina"))</f>
        <v>0</v>
      </c>
      <c r="M69" s="16" t="n">
        <f aca="false">$M$64*($M$66/100)*((IF(SUMIFS(Desconto_Cliente_Mes!$R$2:$R$433,Desconto_Cliente_Mes!$A$2:$A$433,M$62,Desconto_Cliente_Mes!$B$2:$B$433,$A62,Desconto_Cliente_Mes!$C$2:$C$433,"Proteina")="",SUMIFS(Desconto_Cliente_Mes!$Q$2:$Q$433,Desconto_Cliente_Mes!$A$2:$A$433,M$62,Desconto_Cliente_Mes!$B$2:$B$433,$A62,Desconto_Cliente_Mes!$C$2:$C$433,"Proteina"),SUMIFS(Desconto_Cliente_Mes!$R$2:$R$433,Desconto_Cliente_Mes!$A$2:$A$433,M$62,Desconto_Cliente_Mes!$B$2:$B$433,$A62,Desconto_Cliente_Mes!$C$2:$C$433,"Proteina")))-(SUMIFS(Desconto_Cliente_Mes!$Q$2:$Q$433,Desconto_Cliente_Mes!$A$2:$A$433,M$62,Desconto_Cliente_Mes!$B$2:$B$433,$A62,Desconto_Cliente_Mes!$C$2:$C$433,"Proteina")))*(SUMIFS(Desconto_Cliente_Mes!$T$2:$T$433,Desconto_Cliente_Mes!$A$2:$A$433,M$62,Desconto_Cliente_Mes!$B$2:$B$433,$A62,Desconto_Cliente_Mes!$C$2:$C$433,"Proteina"))</f>
        <v>0</v>
      </c>
      <c r="N69" s="17" t="n">
        <f aca="false">SUM(B69:M69)</f>
        <v>0</v>
      </c>
    </row>
    <row r="70" customFormat="false" ht="15" hidden="false" customHeight="false" outlineLevel="0" collapsed="false">
      <c r="A70" s="13" t="s">
        <v>81</v>
      </c>
      <c r="B70" s="16" t="n">
        <f aca="false">$B$64*($B$67/100)*((IF(SUMIFS(Desconto_Cliente_Mes!$S$2:$S$433,Desconto_Cliente_Mes!$A$2:$A$433,B$62,Desconto_Cliente_Mes!$B$2:$B$433,$A62,Desconto_Cliente_Mes!$C$2:$C$433,"Proteina")="",(IF(SUMIFS(Desconto_Cliente_Mes!$R$2:$R$433,Desconto_Cliente_Mes!$A$2:$A$433,B$62,Desconto_Cliente_Mes!$B$2:$B$433,$A62,Desconto_Cliente_Mes!$C$2:$C$433,"Proteina")="",SUMIFS(Desconto_Cliente_Mes!$Q$2:$Q$433,Desconto_Cliente_Mes!$A$2:$A$433,B$62,Desconto_Cliente_Mes!$B$2:$B$433,$A62,Desconto_Cliente_Mes!$C$2:$C$433,"Proteina"),SUMIFS(Desconto_Cliente_Mes!$R$2:$R$433,Desconto_Cliente_Mes!$A$2:$A$433,B$62,Desconto_Cliente_Mes!$B$2:$B$433,$A62,Desconto_Cliente_Mes!$C$2:$C$433,"Proteina"))),SUMIFS(Desconto_Cliente_Mes!$S$2:$S$433,Desconto_Cliente_Mes!$A$2:$A$433,B$62,Desconto_Cliente_Mes!$B$2:$B$433,$A62,Desconto_Cliente_Mes!$C$2:$C$433,"Proteina")))-(IF(SUMIFS(Desconto_Cliente_Mes!$R$2:$R$433,Desconto_Cliente_Mes!$A$2:$A$433,B$62,Desconto_Cliente_Mes!$B$2:$B$433,$A62,Desconto_Cliente_Mes!$C$2:$C$433,"Proteina")="",SUMIFS(Desconto_Cliente_Mes!$Q$2:$Q$433,Desconto_Cliente_Mes!$A$2:$A$433,B$62,Desconto_Cliente_Mes!$B$2:$B$433,$A62,Desconto_Cliente_Mes!$C$2:$C$433,"Proteina"),SUMIFS(Desconto_Cliente_Mes!$R$2:$R$433,Desconto_Cliente_Mes!$A$2:$A$433,B$62,Desconto_Cliente_Mes!$B$2:$B$433,$A62,Desconto_Cliente_Mes!$C$2:$C$433,"Proteina"))))*(SUMIFS(Desconto_Cliente_Mes!$T$2:$T$433,Desconto_Cliente_Mes!$A$2:$A$433,B$62,Desconto_Cliente_Mes!$B$2:$B$433,$A62,Desconto_Cliente_Mes!$C$2:$C$433,"Proteina"))</f>
        <v>-0</v>
      </c>
      <c r="C70" s="16" t="n">
        <f aca="false">$C$64*($C$67/100)*((IF(SUMIFS(Desconto_Cliente_Mes!$S$2:$S$433,Desconto_Cliente_Mes!$A$2:$A$433,C$62,Desconto_Cliente_Mes!$B$2:$B$433,$A62,Desconto_Cliente_Mes!$C$2:$C$433,"Proteina")="",(IF(SUMIFS(Desconto_Cliente_Mes!$R$2:$R$433,Desconto_Cliente_Mes!$A$2:$A$433,C$62,Desconto_Cliente_Mes!$B$2:$B$433,$A62,Desconto_Cliente_Mes!$C$2:$C$433,"Proteina")="",SUMIFS(Desconto_Cliente_Mes!$Q$2:$Q$433,Desconto_Cliente_Mes!$A$2:$A$433,C$62,Desconto_Cliente_Mes!$B$2:$B$433,$A62,Desconto_Cliente_Mes!$C$2:$C$433,"Proteina"),SUMIFS(Desconto_Cliente_Mes!$R$2:$R$433,Desconto_Cliente_Mes!$A$2:$A$433,C$62,Desconto_Cliente_Mes!$B$2:$B$433,$A62,Desconto_Cliente_Mes!$C$2:$C$433,"Proteina"))),SUMIFS(Desconto_Cliente_Mes!$S$2:$S$433,Desconto_Cliente_Mes!$A$2:$A$433,C$62,Desconto_Cliente_Mes!$B$2:$B$433,$A62,Desconto_Cliente_Mes!$C$2:$C$433,"Proteina")))-(IF(SUMIFS(Desconto_Cliente_Mes!$R$2:$R$433,Desconto_Cliente_Mes!$A$2:$A$433,C$62,Desconto_Cliente_Mes!$B$2:$B$433,$A62,Desconto_Cliente_Mes!$C$2:$C$433,"Proteina")="",SUMIFS(Desconto_Cliente_Mes!$Q$2:$Q$433,Desconto_Cliente_Mes!$A$2:$A$433,C$62,Desconto_Cliente_Mes!$B$2:$B$433,$A62,Desconto_Cliente_Mes!$C$2:$C$433,"Proteina"),SUMIFS(Desconto_Cliente_Mes!$R$2:$R$433,Desconto_Cliente_Mes!$A$2:$A$433,C$62,Desconto_Cliente_Mes!$B$2:$B$433,$A62,Desconto_Cliente_Mes!$C$2:$C$433,"Proteina"))))*(SUMIFS(Desconto_Cliente_Mes!$T$2:$T$433,Desconto_Cliente_Mes!$A$2:$A$433,C$62,Desconto_Cliente_Mes!$B$2:$B$433,$A62,Desconto_Cliente_Mes!$C$2:$C$433,"Proteina"))</f>
        <v>-0</v>
      </c>
      <c r="D70" s="16" t="n">
        <f aca="false">$D$64*($D$67/100)*((IF(SUMIFS(Desconto_Cliente_Mes!$S$2:$S$433,Desconto_Cliente_Mes!$A$2:$A$433,D$62,Desconto_Cliente_Mes!$B$2:$B$433,$A62,Desconto_Cliente_Mes!$C$2:$C$433,"Proteina")="",(IF(SUMIFS(Desconto_Cliente_Mes!$R$2:$R$433,Desconto_Cliente_Mes!$A$2:$A$433,D$62,Desconto_Cliente_Mes!$B$2:$B$433,$A62,Desconto_Cliente_Mes!$C$2:$C$433,"Proteina")="",SUMIFS(Desconto_Cliente_Mes!$Q$2:$Q$433,Desconto_Cliente_Mes!$A$2:$A$433,D$62,Desconto_Cliente_Mes!$B$2:$B$433,$A62,Desconto_Cliente_Mes!$C$2:$C$433,"Proteina"),SUMIFS(Desconto_Cliente_Mes!$R$2:$R$433,Desconto_Cliente_Mes!$A$2:$A$433,D$62,Desconto_Cliente_Mes!$B$2:$B$433,$A62,Desconto_Cliente_Mes!$C$2:$C$433,"Proteina"))),SUMIFS(Desconto_Cliente_Mes!$S$2:$S$433,Desconto_Cliente_Mes!$A$2:$A$433,D$62,Desconto_Cliente_Mes!$B$2:$B$433,$A62,Desconto_Cliente_Mes!$C$2:$C$433,"Proteina")))-(IF(SUMIFS(Desconto_Cliente_Mes!$R$2:$R$433,Desconto_Cliente_Mes!$A$2:$A$433,D$62,Desconto_Cliente_Mes!$B$2:$B$433,$A62,Desconto_Cliente_Mes!$C$2:$C$433,"Proteina")="",SUMIFS(Desconto_Cliente_Mes!$Q$2:$Q$433,Desconto_Cliente_Mes!$A$2:$A$433,D$62,Desconto_Cliente_Mes!$B$2:$B$433,$A62,Desconto_Cliente_Mes!$C$2:$C$433,"Proteina"),SUMIFS(Desconto_Cliente_Mes!$R$2:$R$433,Desconto_Cliente_Mes!$A$2:$A$433,D$62,Desconto_Cliente_Mes!$B$2:$B$433,$A62,Desconto_Cliente_Mes!$C$2:$C$433,"Proteina"))))*(SUMIFS(Desconto_Cliente_Mes!$T$2:$T$433,Desconto_Cliente_Mes!$A$2:$A$433,D$62,Desconto_Cliente_Mes!$B$2:$B$433,$A62,Desconto_Cliente_Mes!$C$2:$C$433,"Proteina"))</f>
        <v>-0</v>
      </c>
      <c r="E70" s="16" t="n">
        <f aca="false">$E$64*($E$67/100)*((IF(SUMIFS(Desconto_Cliente_Mes!$S$2:$S$433,Desconto_Cliente_Mes!$A$2:$A$433,E$62,Desconto_Cliente_Mes!$B$2:$B$433,$A62,Desconto_Cliente_Mes!$C$2:$C$433,"Proteina")="",(IF(SUMIFS(Desconto_Cliente_Mes!$R$2:$R$433,Desconto_Cliente_Mes!$A$2:$A$433,E$62,Desconto_Cliente_Mes!$B$2:$B$433,$A62,Desconto_Cliente_Mes!$C$2:$C$433,"Proteina")="",SUMIFS(Desconto_Cliente_Mes!$Q$2:$Q$433,Desconto_Cliente_Mes!$A$2:$A$433,E$62,Desconto_Cliente_Mes!$B$2:$B$433,$A62,Desconto_Cliente_Mes!$C$2:$C$433,"Proteina"),SUMIFS(Desconto_Cliente_Mes!$R$2:$R$433,Desconto_Cliente_Mes!$A$2:$A$433,E$62,Desconto_Cliente_Mes!$B$2:$B$433,$A62,Desconto_Cliente_Mes!$C$2:$C$433,"Proteina"))),SUMIFS(Desconto_Cliente_Mes!$S$2:$S$433,Desconto_Cliente_Mes!$A$2:$A$433,E$62,Desconto_Cliente_Mes!$B$2:$B$433,$A62,Desconto_Cliente_Mes!$C$2:$C$433,"Proteina")))-(IF(SUMIFS(Desconto_Cliente_Mes!$R$2:$R$433,Desconto_Cliente_Mes!$A$2:$A$433,E$62,Desconto_Cliente_Mes!$B$2:$B$433,$A62,Desconto_Cliente_Mes!$C$2:$C$433,"Proteina")="",SUMIFS(Desconto_Cliente_Mes!$Q$2:$Q$433,Desconto_Cliente_Mes!$A$2:$A$433,E$62,Desconto_Cliente_Mes!$B$2:$B$433,$A62,Desconto_Cliente_Mes!$C$2:$C$433,"Proteina"),SUMIFS(Desconto_Cliente_Mes!$R$2:$R$433,Desconto_Cliente_Mes!$A$2:$A$433,E$62,Desconto_Cliente_Mes!$B$2:$B$433,$A62,Desconto_Cliente_Mes!$C$2:$C$433,"Proteina"))))*(SUMIFS(Desconto_Cliente_Mes!$T$2:$T$433,Desconto_Cliente_Mes!$A$2:$A$433,E$62,Desconto_Cliente_Mes!$B$2:$B$433,$A62,Desconto_Cliente_Mes!$C$2:$C$433,"Proteina"))</f>
        <v>-0</v>
      </c>
      <c r="F70" s="16" t="n">
        <f aca="false">$F$64*($F$67/100)*((IF(SUMIFS(Desconto_Cliente_Mes!$S$2:$S$433,Desconto_Cliente_Mes!$A$2:$A$433,F$62,Desconto_Cliente_Mes!$B$2:$B$433,$A62,Desconto_Cliente_Mes!$C$2:$C$433,"Proteina")="",(IF(SUMIFS(Desconto_Cliente_Mes!$R$2:$R$433,Desconto_Cliente_Mes!$A$2:$A$433,F$62,Desconto_Cliente_Mes!$B$2:$B$433,$A62,Desconto_Cliente_Mes!$C$2:$C$433,"Proteina")="",SUMIFS(Desconto_Cliente_Mes!$Q$2:$Q$433,Desconto_Cliente_Mes!$A$2:$A$433,F$62,Desconto_Cliente_Mes!$B$2:$B$433,$A62,Desconto_Cliente_Mes!$C$2:$C$433,"Proteina"),SUMIFS(Desconto_Cliente_Mes!$R$2:$R$433,Desconto_Cliente_Mes!$A$2:$A$433,F$62,Desconto_Cliente_Mes!$B$2:$B$433,$A62,Desconto_Cliente_Mes!$C$2:$C$433,"Proteina"))),SUMIFS(Desconto_Cliente_Mes!$S$2:$S$433,Desconto_Cliente_Mes!$A$2:$A$433,F$62,Desconto_Cliente_Mes!$B$2:$B$433,$A62,Desconto_Cliente_Mes!$C$2:$C$433,"Proteina")))-(IF(SUMIFS(Desconto_Cliente_Mes!$R$2:$R$433,Desconto_Cliente_Mes!$A$2:$A$433,F$62,Desconto_Cliente_Mes!$B$2:$B$433,$A62,Desconto_Cliente_Mes!$C$2:$C$433,"Proteina")="",SUMIFS(Desconto_Cliente_Mes!$Q$2:$Q$433,Desconto_Cliente_Mes!$A$2:$A$433,F$62,Desconto_Cliente_Mes!$B$2:$B$433,$A62,Desconto_Cliente_Mes!$C$2:$C$433,"Proteina"),SUMIFS(Desconto_Cliente_Mes!$R$2:$R$433,Desconto_Cliente_Mes!$A$2:$A$433,F$62,Desconto_Cliente_Mes!$B$2:$B$433,$A62,Desconto_Cliente_Mes!$C$2:$C$433,"Proteina"))))*(SUMIFS(Desconto_Cliente_Mes!$T$2:$T$433,Desconto_Cliente_Mes!$A$2:$A$433,F$62,Desconto_Cliente_Mes!$B$2:$B$433,$A62,Desconto_Cliente_Mes!$C$2:$C$433,"Proteina"))</f>
        <v>-0</v>
      </c>
      <c r="G70" s="16" t="n">
        <f aca="false">$G$64*($G$67/100)*((IF(SUMIFS(Desconto_Cliente_Mes!$S$2:$S$433,Desconto_Cliente_Mes!$A$2:$A$433,G$62,Desconto_Cliente_Mes!$B$2:$B$433,$A62,Desconto_Cliente_Mes!$C$2:$C$433,"Proteina")="",(IF(SUMIFS(Desconto_Cliente_Mes!$R$2:$R$433,Desconto_Cliente_Mes!$A$2:$A$433,G$62,Desconto_Cliente_Mes!$B$2:$B$433,$A62,Desconto_Cliente_Mes!$C$2:$C$433,"Proteina")="",SUMIFS(Desconto_Cliente_Mes!$Q$2:$Q$433,Desconto_Cliente_Mes!$A$2:$A$433,G$62,Desconto_Cliente_Mes!$B$2:$B$433,$A62,Desconto_Cliente_Mes!$C$2:$C$433,"Proteina"),SUMIFS(Desconto_Cliente_Mes!$R$2:$R$433,Desconto_Cliente_Mes!$A$2:$A$433,G$62,Desconto_Cliente_Mes!$B$2:$B$433,$A62,Desconto_Cliente_Mes!$C$2:$C$433,"Proteina"))),SUMIFS(Desconto_Cliente_Mes!$S$2:$S$433,Desconto_Cliente_Mes!$A$2:$A$433,G$62,Desconto_Cliente_Mes!$B$2:$B$433,$A62,Desconto_Cliente_Mes!$C$2:$C$433,"Proteina")))-(IF(SUMIFS(Desconto_Cliente_Mes!$R$2:$R$433,Desconto_Cliente_Mes!$A$2:$A$433,G$62,Desconto_Cliente_Mes!$B$2:$B$433,$A62,Desconto_Cliente_Mes!$C$2:$C$433,"Proteina")="",SUMIFS(Desconto_Cliente_Mes!$Q$2:$Q$433,Desconto_Cliente_Mes!$A$2:$A$433,G$62,Desconto_Cliente_Mes!$B$2:$B$433,$A62,Desconto_Cliente_Mes!$C$2:$C$433,"Proteina"),SUMIFS(Desconto_Cliente_Mes!$R$2:$R$433,Desconto_Cliente_Mes!$A$2:$A$433,G$62,Desconto_Cliente_Mes!$B$2:$B$433,$A62,Desconto_Cliente_Mes!$C$2:$C$433,"Proteina"))))*(SUMIFS(Desconto_Cliente_Mes!$T$2:$T$433,Desconto_Cliente_Mes!$A$2:$A$433,G$62,Desconto_Cliente_Mes!$B$2:$B$433,$A62,Desconto_Cliente_Mes!$C$2:$C$433,"Proteina"))</f>
        <v>-0</v>
      </c>
      <c r="H70" s="16" t="n">
        <f aca="false">$H$64*($H$67/100)*((IF(SUMIFS(Desconto_Cliente_Mes!$S$2:$S$433,Desconto_Cliente_Mes!$A$2:$A$433,H$62,Desconto_Cliente_Mes!$B$2:$B$433,$A62,Desconto_Cliente_Mes!$C$2:$C$433,"Proteina")="",(IF(SUMIFS(Desconto_Cliente_Mes!$R$2:$R$433,Desconto_Cliente_Mes!$A$2:$A$433,H$62,Desconto_Cliente_Mes!$B$2:$B$433,$A62,Desconto_Cliente_Mes!$C$2:$C$433,"Proteina")="",SUMIFS(Desconto_Cliente_Mes!$Q$2:$Q$433,Desconto_Cliente_Mes!$A$2:$A$433,H$62,Desconto_Cliente_Mes!$B$2:$B$433,$A62,Desconto_Cliente_Mes!$C$2:$C$433,"Proteina"),SUMIFS(Desconto_Cliente_Mes!$R$2:$R$433,Desconto_Cliente_Mes!$A$2:$A$433,H$62,Desconto_Cliente_Mes!$B$2:$B$433,$A62,Desconto_Cliente_Mes!$C$2:$C$433,"Proteina"))),SUMIFS(Desconto_Cliente_Mes!$S$2:$S$433,Desconto_Cliente_Mes!$A$2:$A$433,H$62,Desconto_Cliente_Mes!$B$2:$B$433,$A62,Desconto_Cliente_Mes!$C$2:$C$433,"Proteina")))-(IF(SUMIFS(Desconto_Cliente_Mes!$R$2:$R$433,Desconto_Cliente_Mes!$A$2:$A$433,H$62,Desconto_Cliente_Mes!$B$2:$B$433,$A62,Desconto_Cliente_Mes!$C$2:$C$433,"Proteina")="",SUMIFS(Desconto_Cliente_Mes!$Q$2:$Q$433,Desconto_Cliente_Mes!$A$2:$A$433,H$62,Desconto_Cliente_Mes!$B$2:$B$433,$A62,Desconto_Cliente_Mes!$C$2:$C$433,"Proteina"),SUMIFS(Desconto_Cliente_Mes!$R$2:$R$433,Desconto_Cliente_Mes!$A$2:$A$433,H$62,Desconto_Cliente_Mes!$B$2:$B$433,$A62,Desconto_Cliente_Mes!$C$2:$C$433,"Proteina"))))*(SUMIFS(Desconto_Cliente_Mes!$T$2:$T$433,Desconto_Cliente_Mes!$A$2:$A$433,H$62,Desconto_Cliente_Mes!$B$2:$B$433,$A62,Desconto_Cliente_Mes!$C$2:$C$433,"Proteina"))</f>
        <v>-0</v>
      </c>
      <c r="I70" s="16" t="n">
        <f aca="false">$I$64*($I$67/100)*((IF(SUMIFS(Desconto_Cliente_Mes!$S$2:$S$433,Desconto_Cliente_Mes!$A$2:$A$433,I$62,Desconto_Cliente_Mes!$B$2:$B$433,$A62,Desconto_Cliente_Mes!$C$2:$C$433,"Proteina")="",(IF(SUMIFS(Desconto_Cliente_Mes!$R$2:$R$433,Desconto_Cliente_Mes!$A$2:$A$433,I$62,Desconto_Cliente_Mes!$B$2:$B$433,$A62,Desconto_Cliente_Mes!$C$2:$C$433,"Proteina")="",SUMIFS(Desconto_Cliente_Mes!$Q$2:$Q$433,Desconto_Cliente_Mes!$A$2:$A$433,I$62,Desconto_Cliente_Mes!$B$2:$B$433,$A62,Desconto_Cliente_Mes!$C$2:$C$433,"Proteina"),SUMIFS(Desconto_Cliente_Mes!$R$2:$R$433,Desconto_Cliente_Mes!$A$2:$A$433,I$62,Desconto_Cliente_Mes!$B$2:$B$433,$A62,Desconto_Cliente_Mes!$C$2:$C$433,"Proteina"))),SUMIFS(Desconto_Cliente_Mes!$S$2:$S$433,Desconto_Cliente_Mes!$A$2:$A$433,I$62,Desconto_Cliente_Mes!$B$2:$B$433,$A62,Desconto_Cliente_Mes!$C$2:$C$433,"Proteina")))-(IF(SUMIFS(Desconto_Cliente_Mes!$R$2:$R$433,Desconto_Cliente_Mes!$A$2:$A$433,I$62,Desconto_Cliente_Mes!$B$2:$B$433,$A62,Desconto_Cliente_Mes!$C$2:$C$433,"Proteina")="",SUMIFS(Desconto_Cliente_Mes!$Q$2:$Q$433,Desconto_Cliente_Mes!$A$2:$A$433,I$62,Desconto_Cliente_Mes!$B$2:$B$433,$A62,Desconto_Cliente_Mes!$C$2:$C$433,"Proteina"),SUMIFS(Desconto_Cliente_Mes!$R$2:$R$433,Desconto_Cliente_Mes!$A$2:$A$433,I$62,Desconto_Cliente_Mes!$B$2:$B$433,$A62,Desconto_Cliente_Mes!$C$2:$C$433,"Proteina"))))*(SUMIFS(Desconto_Cliente_Mes!$T$2:$T$433,Desconto_Cliente_Mes!$A$2:$A$433,I$62,Desconto_Cliente_Mes!$B$2:$B$433,$A62,Desconto_Cliente_Mes!$C$2:$C$433,"Proteina"))</f>
        <v>-0</v>
      </c>
      <c r="J70" s="16" t="n">
        <f aca="false">$J$64*($J$67/100)*((IF(SUMIFS(Desconto_Cliente_Mes!$S$2:$S$433,Desconto_Cliente_Mes!$A$2:$A$433,J$62,Desconto_Cliente_Mes!$B$2:$B$433,$A62,Desconto_Cliente_Mes!$C$2:$C$433,"Proteina")="",(IF(SUMIFS(Desconto_Cliente_Mes!$R$2:$R$433,Desconto_Cliente_Mes!$A$2:$A$433,J$62,Desconto_Cliente_Mes!$B$2:$B$433,$A62,Desconto_Cliente_Mes!$C$2:$C$433,"Proteina")="",SUMIFS(Desconto_Cliente_Mes!$Q$2:$Q$433,Desconto_Cliente_Mes!$A$2:$A$433,J$62,Desconto_Cliente_Mes!$B$2:$B$433,$A62,Desconto_Cliente_Mes!$C$2:$C$433,"Proteina"),SUMIFS(Desconto_Cliente_Mes!$R$2:$R$433,Desconto_Cliente_Mes!$A$2:$A$433,J$62,Desconto_Cliente_Mes!$B$2:$B$433,$A62,Desconto_Cliente_Mes!$C$2:$C$433,"Proteina"))),SUMIFS(Desconto_Cliente_Mes!$S$2:$S$433,Desconto_Cliente_Mes!$A$2:$A$433,J$62,Desconto_Cliente_Mes!$B$2:$B$433,$A62,Desconto_Cliente_Mes!$C$2:$C$433,"Proteina")))-(IF(SUMIFS(Desconto_Cliente_Mes!$R$2:$R$433,Desconto_Cliente_Mes!$A$2:$A$433,J$62,Desconto_Cliente_Mes!$B$2:$B$433,$A62,Desconto_Cliente_Mes!$C$2:$C$433,"Proteina")="",SUMIFS(Desconto_Cliente_Mes!$Q$2:$Q$433,Desconto_Cliente_Mes!$A$2:$A$433,J$62,Desconto_Cliente_Mes!$B$2:$B$433,$A62,Desconto_Cliente_Mes!$C$2:$C$433,"Proteina"),SUMIFS(Desconto_Cliente_Mes!$R$2:$R$433,Desconto_Cliente_Mes!$A$2:$A$433,J$62,Desconto_Cliente_Mes!$B$2:$B$433,$A62,Desconto_Cliente_Mes!$C$2:$C$433,"Proteina"))))*(SUMIFS(Desconto_Cliente_Mes!$T$2:$T$433,Desconto_Cliente_Mes!$A$2:$A$433,J$62,Desconto_Cliente_Mes!$B$2:$B$433,$A62,Desconto_Cliente_Mes!$C$2:$C$433,"Proteina"))</f>
        <v>-0</v>
      </c>
      <c r="K70" s="16" t="n">
        <f aca="false">$K$64*($K$67/100)*((IF(SUMIFS(Desconto_Cliente_Mes!$S$2:$S$433,Desconto_Cliente_Mes!$A$2:$A$433,K$62,Desconto_Cliente_Mes!$B$2:$B$433,$A62,Desconto_Cliente_Mes!$C$2:$C$433,"Proteina")="",(IF(SUMIFS(Desconto_Cliente_Mes!$R$2:$R$433,Desconto_Cliente_Mes!$A$2:$A$433,K$62,Desconto_Cliente_Mes!$B$2:$B$433,$A62,Desconto_Cliente_Mes!$C$2:$C$433,"Proteina")="",SUMIFS(Desconto_Cliente_Mes!$Q$2:$Q$433,Desconto_Cliente_Mes!$A$2:$A$433,K$62,Desconto_Cliente_Mes!$B$2:$B$433,$A62,Desconto_Cliente_Mes!$C$2:$C$433,"Proteina"),SUMIFS(Desconto_Cliente_Mes!$R$2:$R$433,Desconto_Cliente_Mes!$A$2:$A$433,K$62,Desconto_Cliente_Mes!$B$2:$B$433,$A62,Desconto_Cliente_Mes!$C$2:$C$433,"Proteina"))),SUMIFS(Desconto_Cliente_Mes!$S$2:$S$433,Desconto_Cliente_Mes!$A$2:$A$433,K$62,Desconto_Cliente_Mes!$B$2:$B$433,$A62,Desconto_Cliente_Mes!$C$2:$C$433,"Proteina")))-(IF(SUMIFS(Desconto_Cliente_Mes!$R$2:$R$433,Desconto_Cliente_Mes!$A$2:$A$433,K$62,Desconto_Cliente_Mes!$B$2:$B$433,$A62,Desconto_Cliente_Mes!$C$2:$C$433,"Proteina")="",SUMIFS(Desconto_Cliente_Mes!$Q$2:$Q$433,Desconto_Cliente_Mes!$A$2:$A$433,K$62,Desconto_Cliente_Mes!$B$2:$B$433,$A62,Desconto_Cliente_Mes!$C$2:$C$433,"Proteina"),SUMIFS(Desconto_Cliente_Mes!$R$2:$R$433,Desconto_Cliente_Mes!$A$2:$A$433,K$62,Desconto_Cliente_Mes!$B$2:$B$433,$A62,Desconto_Cliente_Mes!$C$2:$C$433,"Proteina"))))*(SUMIFS(Desconto_Cliente_Mes!$T$2:$T$433,Desconto_Cliente_Mes!$A$2:$A$433,K$62,Desconto_Cliente_Mes!$B$2:$B$433,$A62,Desconto_Cliente_Mes!$C$2:$C$433,"Proteina"))</f>
        <v>-0</v>
      </c>
      <c r="L70" s="16" t="n">
        <f aca="false">$L$64*($L$67/100)*((IF(SUMIFS(Desconto_Cliente_Mes!$S$2:$S$433,Desconto_Cliente_Mes!$A$2:$A$433,L$62,Desconto_Cliente_Mes!$B$2:$B$433,$A62,Desconto_Cliente_Mes!$C$2:$C$433,"Proteina")="",(IF(SUMIFS(Desconto_Cliente_Mes!$R$2:$R$433,Desconto_Cliente_Mes!$A$2:$A$433,L$62,Desconto_Cliente_Mes!$B$2:$B$433,$A62,Desconto_Cliente_Mes!$C$2:$C$433,"Proteina")="",SUMIFS(Desconto_Cliente_Mes!$Q$2:$Q$433,Desconto_Cliente_Mes!$A$2:$A$433,L$62,Desconto_Cliente_Mes!$B$2:$B$433,$A62,Desconto_Cliente_Mes!$C$2:$C$433,"Proteina"),SUMIFS(Desconto_Cliente_Mes!$R$2:$R$433,Desconto_Cliente_Mes!$A$2:$A$433,L$62,Desconto_Cliente_Mes!$B$2:$B$433,$A62,Desconto_Cliente_Mes!$C$2:$C$433,"Proteina"))),SUMIFS(Desconto_Cliente_Mes!$S$2:$S$433,Desconto_Cliente_Mes!$A$2:$A$433,L$62,Desconto_Cliente_Mes!$B$2:$B$433,$A62,Desconto_Cliente_Mes!$C$2:$C$433,"Proteina")))-(IF(SUMIFS(Desconto_Cliente_Mes!$R$2:$R$433,Desconto_Cliente_Mes!$A$2:$A$433,L$62,Desconto_Cliente_Mes!$B$2:$B$433,$A62,Desconto_Cliente_Mes!$C$2:$C$433,"Proteina")="",SUMIFS(Desconto_Cliente_Mes!$Q$2:$Q$433,Desconto_Cliente_Mes!$A$2:$A$433,L$62,Desconto_Cliente_Mes!$B$2:$B$433,$A62,Desconto_Cliente_Mes!$C$2:$C$433,"Proteina"),SUMIFS(Desconto_Cliente_Mes!$R$2:$R$433,Desconto_Cliente_Mes!$A$2:$A$433,L$62,Desconto_Cliente_Mes!$B$2:$B$433,$A62,Desconto_Cliente_Mes!$C$2:$C$433,"Proteina"))))*(SUMIFS(Desconto_Cliente_Mes!$T$2:$T$433,Desconto_Cliente_Mes!$A$2:$A$433,L$62,Desconto_Cliente_Mes!$B$2:$B$433,$A62,Desconto_Cliente_Mes!$C$2:$C$433,"Proteina"))</f>
        <v>-0</v>
      </c>
      <c r="M70" s="16" t="n">
        <f aca="false">$M$64*($M$67/100)*((IF(SUMIFS(Desconto_Cliente_Mes!$S$2:$S$433,Desconto_Cliente_Mes!$A$2:$A$433,M$62,Desconto_Cliente_Mes!$B$2:$B$433,$A62,Desconto_Cliente_Mes!$C$2:$C$433,"Proteina")="",(IF(SUMIFS(Desconto_Cliente_Mes!$R$2:$R$433,Desconto_Cliente_Mes!$A$2:$A$433,M$62,Desconto_Cliente_Mes!$B$2:$B$433,$A62,Desconto_Cliente_Mes!$C$2:$C$433,"Proteina")="",SUMIFS(Desconto_Cliente_Mes!$Q$2:$Q$433,Desconto_Cliente_Mes!$A$2:$A$433,M$62,Desconto_Cliente_Mes!$B$2:$B$433,$A62,Desconto_Cliente_Mes!$C$2:$C$433,"Proteina"),SUMIFS(Desconto_Cliente_Mes!$R$2:$R$433,Desconto_Cliente_Mes!$A$2:$A$433,M$62,Desconto_Cliente_Mes!$B$2:$B$433,$A62,Desconto_Cliente_Mes!$C$2:$C$433,"Proteina"))),SUMIFS(Desconto_Cliente_Mes!$S$2:$S$433,Desconto_Cliente_Mes!$A$2:$A$433,M$62,Desconto_Cliente_Mes!$B$2:$B$433,$A62,Desconto_Cliente_Mes!$C$2:$C$433,"Proteina")))-(IF(SUMIFS(Desconto_Cliente_Mes!$R$2:$R$433,Desconto_Cliente_Mes!$A$2:$A$433,M$62,Desconto_Cliente_Mes!$B$2:$B$433,$A62,Desconto_Cliente_Mes!$C$2:$C$433,"Proteina")="",SUMIFS(Desconto_Cliente_Mes!$Q$2:$Q$433,Desconto_Cliente_Mes!$A$2:$A$433,M$62,Desconto_Cliente_Mes!$B$2:$B$433,$A62,Desconto_Cliente_Mes!$C$2:$C$433,"Proteina"),SUMIFS(Desconto_Cliente_Mes!$R$2:$R$433,Desconto_Cliente_Mes!$A$2:$A$433,M$62,Desconto_Cliente_Mes!$B$2:$B$433,$A62,Desconto_Cliente_Mes!$C$2:$C$433,"Proteina"))))*(SUMIFS(Desconto_Cliente_Mes!$T$2:$T$433,Desconto_Cliente_Mes!$A$2:$A$433,M$62,Desconto_Cliente_Mes!$B$2:$B$433,$A62,Desconto_Cliente_Mes!$C$2:$C$433,"Proteina"))</f>
        <v>-0</v>
      </c>
      <c r="N70" s="17" t="n">
        <f aca="false">SUM(B70:M70)</f>
        <v>0</v>
      </c>
    </row>
    <row r="71" customFormat="false" ht="15" hidden="false" customHeight="false" outlineLevel="0" collapsed="false">
      <c r="A71" s="13" t="s">
        <v>82</v>
      </c>
      <c r="B71" s="16" t="n">
        <f aca="false">SUMIFS(Acerto_Detalhado!$J$2:$J$433,Acerto_Detalhado!$A$2:$A$433,B$62,Acerto_Detalhado!$B$2:$B$433,$A62,Acerto_Detalhado!$C$2:$C$433,"Proteina")</f>
        <v>15461.9157263507</v>
      </c>
      <c r="C71" s="16" t="n">
        <f aca="false">SUMIFS(Acerto_Detalhado!$J$2:$J$433,Acerto_Detalhado!$A$2:$A$433,C$62,Acerto_Detalhado!$B$2:$B$433,$A62,Acerto_Detalhado!$C$2:$C$433,"Proteina")</f>
        <v>16832.7700493331</v>
      </c>
      <c r="D71" s="16" t="n">
        <f aca="false">SUMIFS(Acerto_Detalhado!$J$2:$J$433,Acerto_Detalhado!$A$2:$A$433,D$62,Acerto_Detalhado!$B$2:$B$433,$A62,Acerto_Detalhado!$C$2:$C$433,"Proteina")</f>
        <v>15515.4683454256</v>
      </c>
      <c r="E71" s="16" t="n">
        <f aca="false">SUMIFS(Acerto_Detalhado!$J$2:$J$433,Acerto_Detalhado!$A$2:$A$433,E$62,Acerto_Detalhado!$B$2:$B$433,$A62,Acerto_Detalhado!$C$2:$C$433,"Proteina")</f>
        <v>0</v>
      </c>
      <c r="F71" s="16" t="n">
        <f aca="false">SUMIFS(Acerto_Detalhado!$J$2:$J$433,Acerto_Detalhado!$A$2:$A$433,F$62,Acerto_Detalhado!$B$2:$B$433,$A62,Acerto_Detalhado!$C$2:$C$433,"Proteina")</f>
        <v>0</v>
      </c>
      <c r="G71" s="16" t="n">
        <f aca="false">SUMIFS(Acerto_Detalhado!$J$2:$J$433,Acerto_Detalhado!$A$2:$A$433,G$62,Acerto_Detalhado!$B$2:$B$433,$A62,Acerto_Detalhado!$C$2:$C$433,"Proteina")</f>
        <v>0</v>
      </c>
      <c r="H71" s="16" t="n">
        <f aca="false">SUMIFS(Acerto_Detalhado!$J$2:$J$433,Acerto_Detalhado!$A$2:$A$433,H$62,Acerto_Detalhado!$B$2:$B$433,$A62,Acerto_Detalhado!$C$2:$C$433,"Proteina")</f>
        <v>0</v>
      </c>
      <c r="I71" s="16" t="n">
        <f aca="false">SUMIFS(Acerto_Detalhado!$J$2:$J$433,Acerto_Detalhado!$A$2:$A$433,I$62,Acerto_Detalhado!$B$2:$B$433,$A62,Acerto_Detalhado!$C$2:$C$433,"Proteina")</f>
        <v>0</v>
      </c>
      <c r="J71" s="16" t="n">
        <f aca="false">SUMIFS(Acerto_Detalhado!$J$2:$J$433,Acerto_Detalhado!$A$2:$A$433,J$62,Acerto_Detalhado!$B$2:$B$433,$A62,Acerto_Detalhado!$C$2:$C$433,"Proteina")</f>
        <v>0</v>
      </c>
      <c r="K71" s="16" t="n">
        <f aca="false">SUMIFS(Acerto_Detalhado!$J$2:$J$433,Acerto_Detalhado!$A$2:$A$433,K$62,Acerto_Detalhado!$B$2:$B$433,$A62,Acerto_Detalhado!$C$2:$C$433,"Proteina")</f>
        <v>0</v>
      </c>
      <c r="L71" s="16" t="n">
        <f aca="false">SUMIFS(Acerto_Detalhado!$J$2:$J$433,Acerto_Detalhado!$A$2:$A$433,L$62,Acerto_Detalhado!$B$2:$B$433,$A62,Acerto_Detalhado!$C$2:$C$433,"Proteina")</f>
        <v>0</v>
      </c>
      <c r="M71" s="16" t="n">
        <f aca="false">SUMIFS(Acerto_Detalhado!$J$2:$J$433,Acerto_Detalhado!$A$2:$A$433,M$62,Acerto_Detalhado!$B$2:$B$433,$A62,Acerto_Detalhado!$C$2:$C$433,"Proteina")</f>
        <v>0</v>
      </c>
      <c r="N71" s="17" t="n">
        <f aca="false">SUM(B71:M71)</f>
        <v>47810.1541211094</v>
      </c>
    </row>
    <row r="73" customFormat="false" ht="15" hidden="false" customHeight="false" outlineLevel="0" collapsed="false">
      <c r="A73" s="5" t="s">
        <v>64</v>
      </c>
      <c r="B73" s="6" t="s">
        <v>39</v>
      </c>
      <c r="C73" s="6" t="s">
        <v>40</v>
      </c>
      <c r="D73" s="6" t="s">
        <v>41</v>
      </c>
      <c r="E73" s="6" t="s">
        <v>42</v>
      </c>
      <c r="F73" s="6" t="s">
        <v>43</v>
      </c>
      <c r="G73" s="6" t="s">
        <v>44</v>
      </c>
      <c r="H73" s="6" t="s">
        <v>45</v>
      </c>
      <c r="I73" s="6" t="s">
        <v>46</v>
      </c>
      <c r="J73" s="6" t="s">
        <v>47</v>
      </c>
      <c r="K73" s="6" t="s">
        <v>48</v>
      </c>
      <c r="L73" s="6" t="s">
        <v>49</v>
      </c>
      <c r="M73" s="6" t="s">
        <v>50</v>
      </c>
      <c r="N73" s="6" t="s">
        <v>51</v>
      </c>
    </row>
    <row r="74" customFormat="false" ht="15" hidden="false" customHeight="false" outlineLevel="0" collapsed="false">
      <c r="A74" s="13" t="s">
        <v>74</v>
      </c>
      <c r="B74" s="10" t="n">
        <f aca="false">IF((SUMIFS(Desconto_Cliente_Mes!$D$2:$D$433,Desconto_Cliente_Mes!$A$2:$A$433,B$73,Desconto_Cliente_Mes!$B$2:$B$433,$A73,Desconto_Cliente_Mes!$C$2:$C$433,"Proteina"))=0,"",IFERROR(SUMIFS(Desconto_Cliente_Mes!$E$2:$E$433,Desconto_Cliente_Mes!$A$2:$A$433,B$73,Desconto_Cliente_Mes!$B$2:$B$433,$A73,Desconto_Cliente_Mes!$C$2:$C$433,"Proteina"),""))</f>
        <v>47.3126271122561</v>
      </c>
      <c r="C74" s="10" t="n">
        <f aca="false">IF((SUMIFS(Desconto_Cliente_Mes!$D$2:$D$433,Desconto_Cliente_Mes!$A$2:$A$433,C$73,Desconto_Cliente_Mes!$B$2:$B$433,$A73,Desconto_Cliente_Mes!$C$2:$C$433,"Proteina"))=0,"",IFERROR(SUMIFS(Desconto_Cliente_Mes!$E$2:$E$433,Desconto_Cliente_Mes!$A$2:$A$433,C$73,Desconto_Cliente_Mes!$B$2:$B$433,$A73,Desconto_Cliente_Mes!$C$2:$C$433,"Proteina"),""))</f>
        <v>47.9669295011983</v>
      </c>
      <c r="D74" s="10" t="n">
        <f aca="false">IF((SUMIFS(Desconto_Cliente_Mes!$D$2:$D$433,Desconto_Cliente_Mes!$A$2:$A$433,D$73,Desconto_Cliente_Mes!$B$2:$B$433,$A73,Desconto_Cliente_Mes!$C$2:$C$433,"Proteina"))=0,"",IFERROR(SUMIFS(Desconto_Cliente_Mes!$E$2:$E$433,Desconto_Cliente_Mes!$A$2:$A$433,D$73,Desconto_Cliente_Mes!$B$2:$B$433,$A73,Desconto_Cliente_Mes!$C$2:$C$433,"Proteina"),""))</f>
        <v>47.8575363503452</v>
      </c>
      <c r="E74" s="10" t="n">
        <f aca="false">IF((SUMIFS(Desconto_Cliente_Mes!$D$2:$D$433,Desconto_Cliente_Mes!$A$2:$A$433,E$73,Desconto_Cliente_Mes!$B$2:$B$433,$A73,Desconto_Cliente_Mes!$C$2:$C$433,"Proteina"))=0,"",IFERROR(SUMIFS(Desconto_Cliente_Mes!$E$2:$E$433,Desconto_Cliente_Mes!$A$2:$A$433,E$73,Desconto_Cliente_Mes!$B$2:$B$433,$A73,Desconto_Cliente_Mes!$C$2:$C$433,"Proteina"),""))</f>
        <v>47.0914792755241</v>
      </c>
      <c r="F74" s="10" t="n">
        <f aca="false">IF((SUMIFS(Desconto_Cliente_Mes!$D$2:$D$433,Desconto_Cliente_Mes!$A$2:$A$433,F$73,Desconto_Cliente_Mes!$B$2:$B$433,$A73,Desconto_Cliente_Mes!$C$2:$C$433,"Proteina"))=0,"",IFERROR(SUMIFS(Desconto_Cliente_Mes!$E$2:$E$433,Desconto_Cliente_Mes!$A$2:$A$433,F$73,Desconto_Cliente_Mes!$B$2:$B$433,$A73,Desconto_Cliente_Mes!$C$2:$C$433,"Proteina"),""))</f>
        <v>47.3975879593658</v>
      </c>
      <c r="G74" s="10" t="n">
        <f aca="false">IF((SUMIFS(Desconto_Cliente_Mes!$D$2:$D$433,Desconto_Cliente_Mes!$A$2:$A$433,G$73,Desconto_Cliente_Mes!$B$2:$B$433,$A73,Desconto_Cliente_Mes!$C$2:$C$433,"Proteina"))=0,"",IFERROR(SUMIFS(Desconto_Cliente_Mes!$E$2:$E$433,Desconto_Cliente_Mes!$A$2:$A$433,G$73,Desconto_Cliente_Mes!$B$2:$B$433,$A73,Desconto_Cliente_Mes!$C$2:$C$433,"Proteina"),""))</f>
        <v>47.709732193448</v>
      </c>
      <c r="H74" s="10" t="n">
        <f aca="false">IF((SUMIFS(Desconto_Cliente_Mes!$D$2:$D$433,Desconto_Cliente_Mes!$A$2:$A$433,H$73,Desconto_Cliente_Mes!$B$2:$B$433,$A73,Desconto_Cliente_Mes!$C$2:$C$433,"Proteina"))=0,"",IFERROR(SUMIFS(Desconto_Cliente_Mes!$E$2:$E$433,Desconto_Cliente_Mes!$A$2:$A$433,H$73,Desconto_Cliente_Mes!$B$2:$B$433,$A73,Desconto_Cliente_Mes!$C$2:$C$433,"Proteina"),""))</f>
        <v>47.5493505212594</v>
      </c>
      <c r="I74" s="10" t="str">
        <f aca="false">IF((SUMIFS(Desconto_Cliente_Mes!$D$2:$D$433,Desconto_Cliente_Mes!$A$2:$A$433,I$73,Desconto_Cliente_Mes!$B$2:$B$433,$A73,Desconto_Cliente_Mes!$C$2:$C$433,"Proteina"))=0,"",IFERROR(SUMIFS(Desconto_Cliente_Mes!$E$2:$E$433,Desconto_Cliente_Mes!$A$2:$A$433,I$73,Desconto_Cliente_Mes!$B$2:$B$433,$A73,Desconto_Cliente_Mes!$C$2:$C$433,"Proteina"),""))</f>
        <v/>
      </c>
      <c r="J74" s="10" t="str">
        <f aca="false">IF((SUMIFS(Desconto_Cliente_Mes!$D$2:$D$433,Desconto_Cliente_Mes!$A$2:$A$433,J$73,Desconto_Cliente_Mes!$B$2:$B$433,$A73,Desconto_Cliente_Mes!$C$2:$C$433,"Proteina"))=0,"",IFERROR(SUMIFS(Desconto_Cliente_Mes!$E$2:$E$433,Desconto_Cliente_Mes!$A$2:$A$433,J$73,Desconto_Cliente_Mes!$B$2:$B$433,$A73,Desconto_Cliente_Mes!$C$2:$C$433,"Proteina"),""))</f>
        <v/>
      </c>
      <c r="K74" s="10" t="n">
        <f aca="false">IF((SUMIFS(Desconto_Cliente_Mes!$D$2:$D$433,Desconto_Cliente_Mes!$A$2:$A$433,K$73,Desconto_Cliente_Mes!$B$2:$B$433,$A73,Desconto_Cliente_Mes!$C$2:$C$433,"Proteina"))=0,"",IFERROR(SUMIFS(Desconto_Cliente_Mes!$E$2:$E$433,Desconto_Cliente_Mes!$A$2:$A$433,K$73,Desconto_Cliente_Mes!$B$2:$B$433,$A73,Desconto_Cliente_Mes!$C$2:$C$433,"Proteina"),""))</f>
        <v>48.1625710933251</v>
      </c>
      <c r="L74" s="10" t="str">
        <f aca="false">IF((SUMIFS(Desconto_Cliente_Mes!$D$2:$D$433,Desconto_Cliente_Mes!$A$2:$A$433,L$73,Desconto_Cliente_Mes!$B$2:$B$433,$A73,Desconto_Cliente_Mes!$C$2:$C$433,"Proteina"))=0,"",IFERROR(SUMIFS(Desconto_Cliente_Mes!$E$2:$E$433,Desconto_Cliente_Mes!$A$2:$A$433,L$73,Desconto_Cliente_Mes!$B$2:$B$433,$A73,Desconto_Cliente_Mes!$C$2:$C$433,"Proteina"),""))</f>
        <v/>
      </c>
      <c r="M74" s="10" t="str">
        <f aca="false">IF((SUMIFS(Desconto_Cliente_Mes!$D$2:$D$433,Desconto_Cliente_Mes!$A$2:$A$433,M$73,Desconto_Cliente_Mes!$B$2:$B$433,$A73,Desconto_Cliente_Mes!$C$2:$C$433,"Proteina"))=0,"",IFERROR(SUMIFS(Desconto_Cliente_Mes!$E$2:$E$433,Desconto_Cliente_Mes!$A$2:$A$433,M$73,Desconto_Cliente_Mes!$B$2:$B$433,$A73,Desconto_Cliente_Mes!$C$2:$C$433,"Proteina"),""))</f>
        <v/>
      </c>
      <c r="N74" s="11" t="n">
        <f aca="false">IFERROR(Media_Pool_Mes!C8,"")</f>
        <v>47.6816680231132</v>
      </c>
    </row>
    <row r="75" customFormat="false" ht="15" hidden="false" customHeight="false" outlineLevel="0" collapsed="false">
      <c r="A75" s="13" t="s">
        <v>75</v>
      </c>
      <c r="B75" s="8" t="n">
        <f aca="false">IFERROR(SUMIFS(Desconto_Cliente_Mes!$D$2:$D$433,Desconto_Cliente_Mes!$A$2:$A$433,B$73,Desconto_Cliente_Mes!$B$2:$B$433,$A73,Desconto_Cliente_Mes!$C$2:$C$433,"Proteina"),0)</f>
        <v>46167.46</v>
      </c>
      <c r="C75" s="8" t="n">
        <f aca="false">IFERROR(SUMIFS(Desconto_Cliente_Mes!$D$2:$D$433,Desconto_Cliente_Mes!$A$2:$A$433,C$73,Desconto_Cliente_Mes!$B$2:$B$433,$A73,Desconto_Cliente_Mes!$C$2:$C$433,"Proteina"),0)</f>
        <v>44244.44</v>
      </c>
      <c r="D75" s="8" t="n">
        <f aca="false">IFERROR(SUMIFS(Desconto_Cliente_Mes!$D$2:$D$433,Desconto_Cliente_Mes!$A$2:$A$433,D$73,Desconto_Cliente_Mes!$B$2:$B$433,$A73,Desconto_Cliente_Mes!$C$2:$C$433,"Proteina"),0)</f>
        <v>78263.287</v>
      </c>
      <c r="E75" s="8" t="n">
        <f aca="false">IFERROR(SUMIFS(Desconto_Cliente_Mes!$D$2:$D$433,Desconto_Cliente_Mes!$A$2:$A$433,E$73,Desconto_Cliente_Mes!$B$2:$B$433,$A73,Desconto_Cliente_Mes!$C$2:$C$433,"Proteina"),0)</f>
        <v>5705.09</v>
      </c>
      <c r="F75" s="8" t="n">
        <f aca="false">IFERROR(SUMIFS(Desconto_Cliente_Mes!$D$2:$D$433,Desconto_Cliente_Mes!$A$2:$A$433,F$73,Desconto_Cliente_Mes!$B$2:$B$433,$A73,Desconto_Cliente_Mes!$C$2:$C$433,"Proteina"),0)</f>
        <v>72870.58</v>
      </c>
      <c r="G75" s="8" t="n">
        <f aca="false">IFERROR(SUMIFS(Desconto_Cliente_Mes!$D$2:$D$433,Desconto_Cliente_Mes!$A$2:$A$433,G$73,Desconto_Cliente_Mes!$B$2:$B$433,$A73,Desconto_Cliente_Mes!$C$2:$C$433,"Proteina"),0)</f>
        <v>49521.94</v>
      </c>
      <c r="H75" s="8" t="n">
        <f aca="false">IFERROR(SUMIFS(Desconto_Cliente_Mes!$D$2:$D$433,Desconto_Cliente_Mes!$A$2:$A$433,H$73,Desconto_Cliente_Mes!$B$2:$B$433,$A73,Desconto_Cliente_Mes!$C$2:$C$433,"Proteina"),0)</f>
        <v>99472.54</v>
      </c>
      <c r="I75" s="8" t="n">
        <f aca="false">IFERROR(SUMIFS(Desconto_Cliente_Mes!$D$2:$D$433,Desconto_Cliente_Mes!$A$2:$A$433,I$73,Desconto_Cliente_Mes!$B$2:$B$433,$A73,Desconto_Cliente_Mes!$C$2:$C$433,"Proteina"),0)</f>
        <v>0</v>
      </c>
      <c r="J75" s="8" t="n">
        <f aca="false">IFERROR(SUMIFS(Desconto_Cliente_Mes!$D$2:$D$433,Desconto_Cliente_Mes!$A$2:$A$433,J$73,Desconto_Cliente_Mes!$B$2:$B$433,$A73,Desconto_Cliente_Mes!$C$2:$C$433,"Proteina"),0)</f>
        <v>0</v>
      </c>
      <c r="K75" s="8" t="n">
        <f aca="false">IFERROR(SUMIFS(Desconto_Cliente_Mes!$D$2:$D$433,Desconto_Cliente_Mes!$A$2:$A$433,K$73,Desconto_Cliente_Mes!$B$2:$B$433,$A73,Desconto_Cliente_Mes!$C$2:$C$433,"Proteina"),0)</f>
        <v>55089.56</v>
      </c>
      <c r="L75" s="8" t="n">
        <f aca="false">IFERROR(SUMIFS(Desconto_Cliente_Mes!$D$2:$D$433,Desconto_Cliente_Mes!$A$2:$A$433,L$73,Desconto_Cliente_Mes!$B$2:$B$433,$A73,Desconto_Cliente_Mes!$C$2:$C$433,"Proteina"),0)</f>
        <v>0</v>
      </c>
      <c r="M75" s="8" t="n">
        <f aca="false">IFERROR(SUMIFS(Desconto_Cliente_Mes!$D$2:$D$433,Desconto_Cliente_Mes!$A$2:$A$433,M$73,Desconto_Cliente_Mes!$B$2:$B$433,$A73,Desconto_Cliente_Mes!$C$2:$C$433,"Proteina"),0)</f>
        <v>0</v>
      </c>
      <c r="N75" s="9" t="n">
        <f aca="false">SUM(B75:M75)</f>
        <v>451334.897</v>
      </c>
    </row>
    <row r="76" customFormat="false" ht="15" hidden="false" customHeight="false" outlineLevel="0" collapsed="false">
      <c r="A76" s="13" t="s">
        <v>76</v>
      </c>
      <c r="B76" s="15" t="n">
        <f aca="false">MAX(0,(SUMIFS(Desconto_Cliente_Mes!$L$2:$L$433,Desconto_Cliente_Mes!$A$2:$A$433,B$73,Desconto_Cliente_Mes!$B$2:$B$433,$A73,Desconto_Cliente_Mes!$C$2:$C$433,"Proteina"))-(SUMIFS(Desconto_Cliente_Mes!$N$2:$N$433,Desconto_Cliente_Mes!$A$2:$A$433,B$73,Desconto_Cliente_Mes!$B$2:$B$433,$A73,Desconto_Cliente_Mes!$C$2:$C$433,"Proteina")))</f>
        <v>0.369040910857109</v>
      </c>
      <c r="C76" s="15" t="n">
        <f aca="false">MAX(0,(SUMIFS(Desconto_Cliente_Mes!$L$2:$L$433,Desconto_Cliente_Mes!$A$2:$A$433,C$73,Desconto_Cliente_Mes!$B$2:$B$433,$A73,Desconto_Cliente_Mes!$C$2:$C$433,"Proteina"))-(SUMIFS(Desconto_Cliente_Mes!$N$2:$N$433,Desconto_Cliente_Mes!$A$2:$A$433,C$73,Desconto_Cliente_Mes!$B$2:$B$433,$A73,Desconto_Cliente_Mes!$C$2:$C$433,"Proteina")))</f>
        <v>0</v>
      </c>
      <c r="D76" s="15" t="n">
        <f aca="false">MAX(0,(SUMIFS(Desconto_Cliente_Mes!$L$2:$L$433,Desconto_Cliente_Mes!$A$2:$A$433,D$73,Desconto_Cliente_Mes!$B$2:$B$433,$A73,Desconto_Cliente_Mes!$C$2:$C$433,"Proteina"))-(SUMIFS(Desconto_Cliente_Mes!$N$2:$N$433,Desconto_Cliente_Mes!$A$2:$A$433,D$73,Desconto_Cliente_Mes!$B$2:$B$433,$A73,Desconto_Cliente_Mes!$C$2:$C$433,"Proteina")))</f>
        <v>0</v>
      </c>
      <c r="E76" s="15" t="n">
        <f aca="false">MAX(0,(SUMIFS(Desconto_Cliente_Mes!$L$2:$L$433,Desconto_Cliente_Mes!$A$2:$A$433,E$73,Desconto_Cliente_Mes!$B$2:$B$433,$A73,Desconto_Cliente_Mes!$C$2:$C$433,"Proteina"))-(SUMIFS(Desconto_Cliente_Mes!$N$2:$N$433,Desconto_Cliente_Mes!$A$2:$A$433,E$73,Desconto_Cliente_Mes!$B$2:$B$433,$A73,Desconto_Cliente_Mes!$C$2:$C$433,"Proteina")))</f>
        <v>0.590188747589089</v>
      </c>
      <c r="F76" s="15" t="n">
        <f aca="false">MAX(0,(SUMIFS(Desconto_Cliente_Mes!$L$2:$L$433,Desconto_Cliente_Mes!$A$2:$A$433,F$73,Desconto_Cliente_Mes!$B$2:$B$433,$A73,Desconto_Cliente_Mes!$C$2:$C$433,"Proteina"))-(SUMIFS(Desconto_Cliente_Mes!$N$2:$N$433,Desconto_Cliente_Mes!$A$2:$A$433,F$73,Desconto_Cliente_Mes!$B$2:$B$433,$A73,Desconto_Cliente_Mes!$C$2:$C$433,"Proteina")))</f>
        <v>0.284080063747453</v>
      </c>
      <c r="G76" s="15" t="n">
        <f aca="false">MAX(0,(SUMIFS(Desconto_Cliente_Mes!$L$2:$L$433,Desconto_Cliente_Mes!$A$2:$A$433,G$73,Desconto_Cliente_Mes!$B$2:$B$433,$A73,Desconto_Cliente_Mes!$C$2:$C$433,"Proteina"))-(SUMIFS(Desconto_Cliente_Mes!$N$2:$N$433,Desconto_Cliente_Mes!$A$2:$A$433,G$73,Desconto_Cliente_Mes!$B$2:$B$433,$A73,Desconto_Cliente_Mes!$C$2:$C$433,"Proteina")))</f>
        <v>0</v>
      </c>
      <c r="H76" s="15" t="n">
        <f aca="false">MAX(0,(SUMIFS(Desconto_Cliente_Mes!$L$2:$L$433,Desconto_Cliente_Mes!$A$2:$A$433,H$73,Desconto_Cliente_Mes!$B$2:$B$433,$A73,Desconto_Cliente_Mes!$C$2:$C$433,"Proteina"))-(SUMIFS(Desconto_Cliente_Mes!$N$2:$N$433,Desconto_Cliente_Mes!$A$2:$A$433,H$73,Desconto_Cliente_Mes!$B$2:$B$433,$A73,Desconto_Cliente_Mes!$C$2:$C$433,"Proteina")))</f>
        <v>0.132317501853791</v>
      </c>
      <c r="I76" s="15" t="n">
        <f aca="false">MAX(0,(SUMIFS(Desconto_Cliente_Mes!$L$2:$L$433,Desconto_Cliente_Mes!$A$2:$A$433,I$73,Desconto_Cliente_Mes!$B$2:$B$433,$A73,Desconto_Cliente_Mes!$C$2:$C$433,"Proteina"))-(SUMIFS(Desconto_Cliente_Mes!$N$2:$N$433,Desconto_Cliente_Mes!$A$2:$A$433,I$73,Desconto_Cliente_Mes!$B$2:$B$433,$A73,Desconto_Cliente_Mes!$C$2:$C$433,"Proteina")))</f>
        <v>0</v>
      </c>
      <c r="J76" s="15" t="n">
        <f aca="false">MAX(0,(SUMIFS(Desconto_Cliente_Mes!$L$2:$L$433,Desconto_Cliente_Mes!$A$2:$A$433,J$73,Desconto_Cliente_Mes!$B$2:$B$433,$A73,Desconto_Cliente_Mes!$C$2:$C$433,"Proteina"))-(SUMIFS(Desconto_Cliente_Mes!$N$2:$N$433,Desconto_Cliente_Mes!$A$2:$A$433,J$73,Desconto_Cliente_Mes!$B$2:$B$433,$A73,Desconto_Cliente_Mes!$C$2:$C$433,"Proteina")))</f>
        <v>0</v>
      </c>
      <c r="K76" s="15" t="n">
        <f aca="false">MAX(0,(SUMIFS(Desconto_Cliente_Mes!$L$2:$L$433,Desconto_Cliente_Mes!$A$2:$A$433,K$73,Desconto_Cliente_Mes!$B$2:$B$433,$A73,Desconto_Cliente_Mes!$C$2:$C$433,"Proteina"))-(SUMIFS(Desconto_Cliente_Mes!$N$2:$N$433,Desconto_Cliente_Mes!$A$2:$A$433,K$73,Desconto_Cliente_Mes!$B$2:$B$433,$A73,Desconto_Cliente_Mes!$C$2:$C$433,"Proteina")))</f>
        <v>0</v>
      </c>
      <c r="L76" s="15" t="n">
        <f aca="false">MAX(0,(SUMIFS(Desconto_Cliente_Mes!$L$2:$L$433,Desconto_Cliente_Mes!$A$2:$A$433,L$73,Desconto_Cliente_Mes!$B$2:$B$433,$A73,Desconto_Cliente_Mes!$C$2:$C$433,"Proteina"))-(SUMIFS(Desconto_Cliente_Mes!$N$2:$N$433,Desconto_Cliente_Mes!$A$2:$A$433,L$73,Desconto_Cliente_Mes!$B$2:$B$433,$A73,Desconto_Cliente_Mes!$C$2:$C$433,"Proteina")))</f>
        <v>0</v>
      </c>
      <c r="M76" s="15" t="n">
        <f aca="false">MAX(0,(SUMIFS(Desconto_Cliente_Mes!$L$2:$L$433,Desconto_Cliente_Mes!$A$2:$A$433,M$73,Desconto_Cliente_Mes!$B$2:$B$433,$A73,Desconto_Cliente_Mes!$C$2:$C$433,"Proteina"))-(SUMIFS(Desconto_Cliente_Mes!$N$2:$N$433,Desconto_Cliente_Mes!$A$2:$A$433,M$73,Desconto_Cliente_Mes!$B$2:$B$433,$A73,Desconto_Cliente_Mes!$C$2:$C$433,"Proteina")))</f>
        <v>0</v>
      </c>
    </row>
    <row r="77" customFormat="false" ht="15" hidden="false" customHeight="false" outlineLevel="0" collapsed="false">
      <c r="A77" s="13" t="s">
        <v>77</v>
      </c>
      <c r="B77" s="15" t="n">
        <f aca="false">MAX(0,(SUMIFS(Desconto_Cliente_Mes!$N$2:$N$433,Desconto_Cliente_Mes!$A$2:$A$433,B$73,Desconto_Cliente_Mes!$B$2:$B$433,$A73,Desconto_Cliente_Mes!$C$2:$C$433,"Proteina"))-(SUMIFS(Desconto_Cliente_Mes!$P$2:$P$433,Desconto_Cliente_Mes!$A$2:$A$433,B$73,Desconto_Cliente_Mes!$B$2:$B$433,$A73,Desconto_Cliente_Mes!$C$2:$C$433,"Proteina")))</f>
        <v>0</v>
      </c>
      <c r="C77" s="15" t="n">
        <f aca="false">MAX(0,(SUMIFS(Desconto_Cliente_Mes!$N$2:$N$433,Desconto_Cliente_Mes!$A$2:$A$433,C$73,Desconto_Cliente_Mes!$B$2:$B$433,$A73,Desconto_Cliente_Mes!$C$2:$C$433,"Proteina"))-(SUMIFS(Desconto_Cliente_Mes!$P$2:$P$433,Desconto_Cliente_Mes!$A$2:$A$433,C$73,Desconto_Cliente_Mes!$B$2:$B$433,$A73,Desconto_Cliente_Mes!$C$2:$C$433,"Proteina")))</f>
        <v>0</v>
      </c>
      <c r="D77" s="15" t="n">
        <f aca="false">MAX(0,(SUMIFS(Desconto_Cliente_Mes!$N$2:$N$433,Desconto_Cliente_Mes!$A$2:$A$433,D$73,Desconto_Cliente_Mes!$B$2:$B$433,$A73,Desconto_Cliente_Mes!$C$2:$C$433,"Proteina"))-(SUMIFS(Desconto_Cliente_Mes!$P$2:$P$433,Desconto_Cliente_Mes!$A$2:$A$433,D$73,Desconto_Cliente_Mes!$B$2:$B$433,$A73,Desconto_Cliente_Mes!$C$2:$C$433,"Proteina")))</f>
        <v>0</v>
      </c>
      <c r="E77" s="15" t="n">
        <f aca="false">MAX(0,(SUMIFS(Desconto_Cliente_Mes!$N$2:$N$433,Desconto_Cliente_Mes!$A$2:$A$433,E$73,Desconto_Cliente_Mes!$B$2:$B$433,$A73,Desconto_Cliente_Mes!$C$2:$C$433,"Proteina"))-(SUMIFS(Desconto_Cliente_Mes!$P$2:$P$433,Desconto_Cliente_Mes!$A$2:$A$433,E$73,Desconto_Cliente_Mes!$B$2:$B$433,$A73,Desconto_Cliente_Mes!$C$2:$C$433,"Proteina")))</f>
        <v>0</v>
      </c>
      <c r="F77" s="15" t="n">
        <f aca="false">MAX(0,(SUMIFS(Desconto_Cliente_Mes!$N$2:$N$433,Desconto_Cliente_Mes!$A$2:$A$433,F$73,Desconto_Cliente_Mes!$B$2:$B$433,$A73,Desconto_Cliente_Mes!$C$2:$C$433,"Proteina"))-(SUMIFS(Desconto_Cliente_Mes!$P$2:$P$433,Desconto_Cliente_Mes!$A$2:$A$433,F$73,Desconto_Cliente_Mes!$B$2:$B$433,$A73,Desconto_Cliente_Mes!$C$2:$C$433,"Proteina")))</f>
        <v>0</v>
      </c>
      <c r="G77" s="15" t="n">
        <f aca="false">MAX(0,(SUMIFS(Desconto_Cliente_Mes!$N$2:$N$433,Desconto_Cliente_Mes!$A$2:$A$433,G$73,Desconto_Cliente_Mes!$B$2:$B$433,$A73,Desconto_Cliente_Mes!$C$2:$C$433,"Proteina"))-(SUMIFS(Desconto_Cliente_Mes!$P$2:$P$433,Desconto_Cliente_Mes!$A$2:$A$433,G$73,Desconto_Cliente_Mes!$B$2:$B$433,$A73,Desconto_Cliente_Mes!$C$2:$C$433,"Proteina")))</f>
        <v>0</v>
      </c>
      <c r="H77" s="15" t="n">
        <f aca="false">MAX(0,(SUMIFS(Desconto_Cliente_Mes!$N$2:$N$433,Desconto_Cliente_Mes!$A$2:$A$433,H$73,Desconto_Cliente_Mes!$B$2:$B$433,$A73,Desconto_Cliente_Mes!$C$2:$C$433,"Proteina"))-(SUMIFS(Desconto_Cliente_Mes!$P$2:$P$433,Desconto_Cliente_Mes!$A$2:$A$433,H$73,Desconto_Cliente_Mes!$B$2:$B$433,$A73,Desconto_Cliente_Mes!$C$2:$C$433,"Proteina")))</f>
        <v>0</v>
      </c>
      <c r="I77" s="15" t="n">
        <f aca="false">MAX(0,(SUMIFS(Desconto_Cliente_Mes!$N$2:$N$433,Desconto_Cliente_Mes!$A$2:$A$433,I$73,Desconto_Cliente_Mes!$B$2:$B$433,$A73,Desconto_Cliente_Mes!$C$2:$C$433,"Proteina"))-(SUMIFS(Desconto_Cliente_Mes!$P$2:$P$433,Desconto_Cliente_Mes!$A$2:$A$433,I$73,Desconto_Cliente_Mes!$B$2:$B$433,$A73,Desconto_Cliente_Mes!$C$2:$C$433,"Proteina")))</f>
        <v>0</v>
      </c>
      <c r="J77" s="15" t="n">
        <f aca="false">MAX(0,(SUMIFS(Desconto_Cliente_Mes!$N$2:$N$433,Desconto_Cliente_Mes!$A$2:$A$433,J$73,Desconto_Cliente_Mes!$B$2:$B$433,$A73,Desconto_Cliente_Mes!$C$2:$C$433,"Proteina"))-(SUMIFS(Desconto_Cliente_Mes!$P$2:$P$433,Desconto_Cliente_Mes!$A$2:$A$433,J$73,Desconto_Cliente_Mes!$B$2:$B$433,$A73,Desconto_Cliente_Mes!$C$2:$C$433,"Proteina")))</f>
        <v>0</v>
      </c>
      <c r="K77" s="15" t="n">
        <f aca="false">MAX(0,(SUMIFS(Desconto_Cliente_Mes!$N$2:$N$433,Desconto_Cliente_Mes!$A$2:$A$433,K$73,Desconto_Cliente_Mes!$B$2:$B$433,$A73,Desconto_Cliente_Mes!$C$2:$C$433,"Proteina"))-(SUMIFS(Desconto_Cliente_Mes!$P$2:$P$433,Desconto_Cliente_Mes!$A$2:$A$433,K$73,Desconto_Cliente_Mes!$B$2:$B$433,$A73,Desconto_Cliente_Mes!$C$2:$C$433,"Proteina")))</f>
        <v>0</v>
      </c>
      <c r="L77" s="15" t="n">
        <f aca="false">MAX(0,(SUMIFS(Desconto_Cliente_Mes!$N$2:$N$433,Desconto_Cliente_Mes!$A$2:$A$433,L$73,Desconto_Cliente_Mes!$B$2:$B$433,$A73,Desconto_Cliente_Mes!$C$2:$C$433,"Proteina"))-(SUMIFS(Desconto_Cliente_Mes!$P$2:$P$433,Desconto_Cliente_Mes!$A$2:$A$433,L$73,Desconto_Cliente_Mes!$B$2:$B$433,$A73,Desconto_Cliente_Mes!$C$2:$C$433,"Proteina")))</f>
        <v>0</v>
      </c>
      <c r="M77" s="15" t="n">
        <f aca="false">MAX(0,(SUMIFS(Desconto_Cliente_Mes!$N$2:$N$433,Desconto_Cliente_Mes!$A$2:$A$433,M$73,Desconto_Cliente_Mes!$B$2:$B$433,$A73,Desconto_Cliente_Mes!$C$2:$C$433,"Proteina"))-(SUMIFS(Desconto_Cliente_Mes!$P$2:$P$433,Desconto_Cliente_Mes!$A$2:$A$433,M$73,Desconto_Cliente_Mes!$B$2:$B$433,$A73,Desconto_Cliente_Mes!$C$2:$C$433,"Proteina")))</f>
        <v>0</v>
      </c>
    </row>
    <row r="78" customFormat="false" ht="15" hidden="false" customHeight="false" outlineLevel="0" collapsed="false">
      <c r="A78" s="13" t="s">
        <v>78</v>
      </c>
      <c r="B78" s="15" t="n">
        <f aca="false">MAX(0,SUMIFS(Desconto_Cliente_Mes!$P$2:$P$433,Desconto_Cliente_Mes!$A$2:$A$433,B$73,Desconto_Cliente_Mes!$B$2:$B$433,$A73,Desconto_Cliente_Mes!$C$2:$C$433,"Proteina"))</f>
        <v>0</v>
      </c>
      <c r="C78" s="15" t="n">
        <f aca="false">MAX(0,SUMIFS(Desconto_Cliente_Mes!$P$2:$P$433,Desconto_Cliente_Mes!$A$2:$A$433,C$73,Desconto_Cliente_Mes!$B$2:$B$433,$A73,Desconto_Cliente_Mes!$C$2:$C$433,"Proteina"))</f>
        <v>0</v>
      </c>
      <c r="D78" s="15" t="n">
        <f aca="false">MAX(0,SUMIFS(Desconto_Cliente_Mes!$P$2:$P$433,Desconto_Cliente_Mes!$A$2:$A$433,D$73,Desconto_Cliente_Mes!$B$2:$B$433,$A73,Desconto_Cliente_Mes!$C$2:$C$433,"Proteina"))</f>
        <v>0</v>
      </c>
      <c r="E78" s="15" t="n">
        <f aca="false">MAX(0,SUMIFS(Desconto_Cliente_Mes!$P$2:$P$433,Desconto_Cliente_Mes!$A$2:$A$433,E$73,Desconto_Cliente_Mes!$B$2:$B$433,$A73,Desconto_Cliente_Mes!$C$2:$C$433,"Proteina"))</f>
        <v>0</v>
      </c>
      <c r="F78" s="15" t="n">
        <f aca="false">MAX(0,SUMIFS(Desconto_Cliente_Mes!$P$2:$P$433,Desconto_Cliente_Mes!$A$2:$A$433,F$73,Desconto_Cliente_Mes!$B$2:$B$433,$A73,Desconto_Cliente_Mes!$C$2:$C$433,"Proteina"))</f>
        <v>0</v>
      </c>
      <c r="G78" s="15" t="n">
        <f aca="false">MAX(0,SUMIFS(Desconto_Cliente_Mes!$P$2:$P$433,Desconto_Cliente_Mes!$A$2:$A$433,G$73,Desconto_Cliente_Mes!$B$2:$B$433,$A73,Desconto_Cliente_Mes!$C$2:$C$433,"Proteina"))</f>
        <v>0</v>
      </c>
      <c r="H78" s="15" t="n">
        <f aca="false">MAX(0,SUMIFS(Desconto_Cliente_Mes!$P$2:$P$433,Desconto_Cliente_Mes!$A$2:$A$433,H$73,Desconto_Cliente_Mes!$B$2:$B$433,$A73,Desconto_Cliente_Mes!$C$2:$C$433,"Proteina"))</f>
        <v>0</v>
      </c>
      <c r="I78" s="15" t="n">
        <f aca="false">MAX(0,SUMIFS(Desconto_Cliente_Mes!$P$2:$P$433,Desconto_Cliente_Mes!$A$2:$A$433,I$73,Desconto_Cliente_Mes!$B$2:$B$433,$A73,Desconto_Cliente_Mes!$C$2:$C$433,"Proteina"))</f>
        <v>0</v>
      </c>
      <c r="J78" s="15" t="n">
        <f aca="false">MAX(0,SUMIFS(Desconto_Cliente_Mes!$P$2:$P$433,Desconto_Cliente_Mes!$A$2:$A$433,J$73,Desconto_Cliente_Mes!$B$2:$B$433,$A73,Desconto_Cliente_Mes!$C$2:$C$433,"Proteina"))</f>
        <v>0</v>
      </c>
      <c r="K78" s="15" t="n">
        <f aca="false">MAX(0,SUMIFS(Desconto_Cliente_Mes!$P$2:$P$433,Desconto_Cliente_Mes!$A$2:$A$433,K$73,Desconto_Cliente_Mes!$B$2:$B$433,$A73,Desconto_Cliente_Mes!$C$2:$C$433,"Proteina"))</f>
        <v>0</v>
      </c>
      <c r="L78" s="15" t="n">
        <f aca="false">MAX(0,SUMIFS(Desconto_Cliente_Mes!$P$2:$P$433,Desconto_Cliente_Mes!$A$2:$A$433,L$73,Desconto_Cliente_Mes!$B$2:$B$433,$A73,Desconto_Cliente_Mes!$C$2:$C$433,"Proteina"))</f>
        <v>0</v>
      </c>
      <c r="M78" s="15" t="n">
        <f aca="false">MAX(0,SUMIFS(Desconto_Cliente_Mes!$P$2:$P$433,Desconto_Cliente_Mes!$A$2:$A$433,M$73,Desconto_Cliente_Mes!$B$2:$B$433,$A73,Desconto_Cliente_Mes!$C$2:$C$433,"Proteina"))</f>
        <v>0</v>
      </c>
    </row>
    <row r="79" customFormat="false" ht="15" hidden="false" customHeight="false" outlineLevel="0" collapsed="false">
      <c r="A79" s="13" t="s">
        <v>79</v>
      </c>
      <c r="B79" s="16" t="n">
        <f aca="false">$B$75*($B$76/100)*(SUMIFS(Desconto_Cliente_Mes!$Q$2:$Q$433,Desconto_Cliente_Mes!$A$2:$A$433,B$73,Desconto_Cliente_Mes!$B$2:$B$433,$A73,Desconto_Cliente_Mes!$C$2:$C$433,"Proteina"))*(SUMIFS(Desconto_Cliente_Mes!$T$2:$T$433,Desconto_Cliente_Mes!$A$2:$A$433,B$73,Desconto_Cliente_Mes!$B$2:$B$433,$A73,Desconto_Cliente_Mes!$C$2:$C$433,"Proteina"))</f>
        <v>55542.8416585708</v>
      </c>
      <c r="C79" s="16" t="n">
        <f aca="false">$C$75*($C$76/100)*(SUMIFS(Desconto_Cliente_Mes!$Q$2:$Q$433,Desconto_Cliente_Mes!$A$2:$A$433,C$73,Desconto_Cliente_Mes!$B$2:$B$433,$A73,Desconto_Cliente_Mes!$C$2:$C$433,"Proteina"))*(SUMIFS(Desconto_Cliente_Mes!$T$2:$T$433,Desconto_Cliente_Mes!$A$2:$A$433,C$73,Desconto_Cliente_Mes!$B$2:$B$433,$A73,Desconto_Cliente_Mes!$C$2:$C$433,"Proteina"))</f>
        <v>0</v>
      </c>
      <c r="D79" s="16" t="n">
        <f aca="false">$D$75*($D$76/100)*(SUMIFS(Desconto_Cliente_Mes!$Q$2:$Q$433,Desconto_Cliente_Mes!$A$2:$A$433,D$73,Desconto_Cliente_Mes!$B$2:$B$433,$A73,Desconto_Cliente_Mes!$C$2:$C$433,"Proteina"))*(SUMIFS(Desconto_Cliente_Mes!$T$2:$T$433,Desconto_Cliente_Mes!$A$2:$A$433,D$73,Desconto_Cliente_Mes!$B$2:$B$433,$A73,Desconto_Cliente_Mes!$C$2:$C$433,"Proteina"))</f>
        <v>0</v>
      </c>
      <c r="E79" s="16" t="n">
        <f aca="false">$E$75*($E$76/100)*(SUMIFS(Desconto_Cliente_Mes!$Q$2:$Q$433,Desconto_Cliente_Mes!$A$2:$A$433,E$73,Desconto_Cliente_Mes!$B$2:$B$433,$A73,Desconto_Cliente_Mes!$C$2:$C$433,"Proteina"))*(SUMIFS(Desconto_Cliente_Mes!$T$2:$T$433,Desconto_Cliente_Mes!$A$2:$A$433,E$73,Desconto_Cliente_Mes!$B$2:$B$433,$A73,Desconto_Cliente_Mes!$C$2:$C$433,"Proteina"))</f>
        <v>10976.6805456647</v>
      </c>
      <c r="F79" s="16" t="n">
        <f aca="false">$F$75*($F$76/100)*(SUMIFS(Desconto_Cliente_Mes!$Q$2:$Q$433,Desconto_Cliente_Mes!$A$2:$A$433,F$73,Desconto_Cliente_Mes!$B$2:$B$433,$A73,Desconto_Cliente_Mes!$C$2:$C$433,"Proteina"))*(SUMIFS(Desconto_Cliente_Mes!$T$2:$T$433,Desconto_Cliente_Mes!$A$2:$A$433,F$73,Desconto_Cliente_Mes!$B$2:$B$433,$A73,Desconto_Cliente_Mes!$C$2:$C$433,"Proteina"))</f>
        <v>67485.5175781872</v>
      </c>
      <c r="G79" s="16" t="n">
        <f aca="false">$G$75*($G$76/100)*(SUMIFS(Desconto_Cliente_Mes!$Q$2:$Q$433,Desconto_Cliente_Mes!$A$2:$A$433,G$73,Desconto_Cliente_Mes!$B$2:$B$433,$A73,Desconto_Cliente_Mes!$C$2:$C$433,"Proteina"))*(SUMIFS(Desconto_Cliente_Mes!$T$2:$T$433,Desconto_Cliente_Mes!$A$2:$A$433,G$73,Desconto_Cliente_Mes!$B$2:$B$433,$A73,Desconto_Cliente_Mes!$C$2:$C$433,"Proteina"))</f>
        <v>0</v>
      </c>
      <c r="H79" s="16" t="n">
        <f aca="false">$H$75*($H$76/100)*(SUMIFS(Desconto_Cliente_Mes!$Q$2:$Q$433,Desconto_Cliente_Mes!$A$2:$A$433,H$73,Desconto_Cliente_Mes!$B$2:$B$433,$A73,Desconto_Cliente_Mes!$C$2:$C$433,"Proteina"))*(SUMIFS(Desconto_Cliente_Mes!$T$2:$T$433,Desconto_Cliente_Mes!$A$2:$A$433,H$73,Desconto_Cliente_Mes!$B$2:$B$433,$A73,Desconto_Cliente_Mes!$C$2:$C$433,"Proteina"))</f>
        <v>42907.9830664752</v>
      </c>
      <c r="I79" s="16" t="n">
        <f aca="false">$I$75*($I$76/100)*(SUMIFS(Desconto_Cliente_Mes!$Q$2:$Q$433,Desconto_Cliente_Mes!$A$2:$A$433,I$73,Desconto_Cliente_Mes!$B$2:$B$433,$A73,Desconto_Cliente_Mes!$C$2:$C$433,"Proteina"))*(SUMIFS(Desconto_Cliente_Mes!$T$2:$T$433,Desconto_Cliente_Mes!$A$2:$A$433,I$73,Desconto_Cliente_Mes!$B$2:$B$433,$A73,Desconto_Cliente_Mes!$C$2:$C$433,"Proteina"))</f>
        <v>0</v>
      </c>
      <c r="J79" s="16" t="n">
        <f aca="false">$J$75*($J$76/100)*(SUMIFS(Desconto_Cliente_Mes!$Q$2:$Q$433,Desconto_Cliente_Mes!$A$2:$A$433,J$73,Desconto_Cliente_Mes!$B$2:$B$433,$A73,Desconto_Cliente_Mes!$C$2:$C$433,"Proteina"))*(SUMIFS(Desconto_Cliente_Mes!$T$2:$T$433,Desconto_Cliente_Mes!$A$2:$A$433,J$73,Desconto_Cliente_Mes!$B$2:$B$433,$A73,Desconto_Cliente_Mes!$C$2:$C$433,"Proteina"))</f>
        <v>0</v>
      </c>
      <c r="K79" s="16" t="n">
        <f aca="false">$K$75*($K$76/100)*(SUMIFS(Desconto_Cliente_Mes!$Q$2:$Q$433,Desconto_Cliente_Mes!$A$2:$A$433,K$73,Desconto_Cliente_Mes!$B$2:$B$433,$A73,Desconto_Cliente_Mes!$C$2:$C$433,"Proteina"))*(SUMIFS(Desconto_Cliente_Mes!$T$2:$T$433,Desconto_Cliente_Mes!$A$2:$A$433,K$73,Desconto_Cliente_Mes!$B$2:$B$433,$A73,Desconto_Cliente_Mes!$C$2:$C$433,"Proteina"))</f>
        <v>0</v>
      </c>
      <c r="L79" s="16" t="n">
        <f aca="false">$L$75*($L$76/100)*(SUMIFS(Desconto_Cliente_Mes!$Q$2:$Q$433,Desconto_Cliente_Mes!$A$2:$A$433,L$73,Desconto_Cliente_Mes!$B$2:$B$433,$A73,Desconto_Cliente_Mes!$C$2:$C$433,"Proteina"))*(SUMIFS(Desconto_Cliente_Mes!$T$2:$T$433,Desconto_Cliente_Mes!$A$2:$A$433,L$73,Desconto_Cliente_Mes!$B$2:$B$433,$A73,Desconto_Cliente_Mes!$C$2:$C$433,"Proteina"))</f>
        <v>0</v>
      </c>
      <c r="M79" s="16" t="n">
        <f aca="false">$M$75*($M$76/100)*(SUMIFS(Desconto_Cliente_Mes!$Q$2:$Q$433,Desconto_Cliente_Mes!$A$2:$A$433,M$73,Desconto_Cliente_Mes!$B$2:$B$433,$A73,Desconto_Cliente_Mes!$C$2:$C$433,"Proteina"))*(SUMIFS(Desconto_Cliente_Mes!$T$2:$T$433,Desconto_Cliente_Mes!$A$2:$A$433,M$73,Desconto_Cliente_Mes!$B$2:$B$433,$A73,Desconto_Cliente_Mes!$C$2:$C$433,"Proteina"))</f>
        <v>0</v>
      </c>
      <c r="N79" s="17" t="n">
        <f aca="false">SUM(B79:M79)</f>
        <v>176913.022848898</v>
      </c>
    </row>
    <row r="80" customFormat="false" ht="15" hidden="false" customHeight="false" outlineLevel="0" collapsed="false">
      <c r="A80" s="13" t="s">
        <v>80</v>
      </c>
      <c r="B80" s="16" t="n">
        <f aca="false">$B$75*($B$77/100)*((IF(SUMIFS(Desconto_Cliente_Mes!$R$2:$R$433,Desconto_Cliente_Mes!$A$2:$A$433,B$73,Desconto_Cliente_Mes!$B$2:$B$433,$A73,Desconto_Cliente_Mes!$C$2:$C$433,"Proteina")="",SUMIFS(Desconto_Cliente_Mes!$Q$2:$Q$433,Desconto_Cliente_Mes!$A$2:$A$433,B$73,Desconto_Cliente_Mes!$B$2:$B$433,$A73,Desconto_Cliente_Mes!$C$2:$C$433,"Proteina"),SUMIFS(Desconto_Cliente_Mes!$R$2:$R$433,Desconto_Cliente_Mes!$A$2:$A$433,B$73,Desconto_Cliente_Mes!$B$2:$B$433,$A73,Desconto_Cliente_Mes!$C$2:$C$433,"Proteina")))-(SUMIFS(Desconto_Cliente_Mes!$Q$2:$Q$433,Desconto_Cliente_Mes!$A$2:$A$433,B$73,Desconto_Cliente_Mes!$B$2:$B$433,$A73,Desconto_Cliente_Mes!$C$2:$C$433,"Proteina")))*(SUMIFS(Desconto_Cliente_Mes!$T$2:$T$433,Desconto_Cliente_Mes!$A$2:$A$433,B$73,Desconto_Cliente_Mes!$B$2:$B$433,$A73,Desconto_Cliente_Mes!$C$2:$C$433,"Proteina"))</f>
        <v>0</v>
      </c>
      <c r="C80" s="16" t="n">
        <f aca="false">$C$75*($C$77/100)*((IF(SUMIFS(Desconto_Cliente_Mes!$R$2:$R$433,Desconto_Cliente_Mes!$A$2:$A$433,C$73,Desconto_Cliente_Mes!$B$2:$B$433,$A73,Desconto_Cliente_Mes!$C$2:$C$433,"Proteina")="",SUMIFS(Desconto_Cliente_Mes!$Q$2:$Q$433,Desconto_Cliente_Mes!$A$2:$A$433,C$73,Desconto_Cliente_Mes!$B$2:$B$433,$A73,Desconto_Cliente_Mes!$C$2:$C$433,"Proteina"),SUMIFS(Desconto_Cliente_Mes!$R$2:$R$433,Desconto_Cliente_Mes!$A$2:$A$433,C$73,Desconto_Cliente_Mes!$B$2:$B$433,$A73,Desconto_Cliente_Mes!$C$2:$C$433,"Proteina")))-(SUMIFS(Desconto_Cliente_Mes!$Q$2:$Q$433,Desconto_Cliente_Mes!$A$2:$A$433,C$73,Desconto_Cliente_Mes!$B$2:$B$433,$A73,Desconto_Cliente_Mes!$C$2:$C$433,"Proteina")))*(SUMIFS(Desconto_Cliente_Mes!$T$2:$T$433,Desconto_Cliente_Mes!$A$2:$A$433,C$73,Desconto_Cliente_Mes!$B$2:$B$433,$A73,Desconto_Cliente_Mes!$C$2:$C$433,"Proteina"))</f>
        <v>0</v>
      </c>
      <c r="D80" s="16" t="n">
        <f aca="false">$D$75*($D$77/100)*((IF(SUMIFS(Desconto_Cliente_Mes!$R$2:$R$433,Desconto_Cliente_Mes!$A$2:$A$433,D$73,Desconto_Cliente_Mes!$B$2:$B$433,$A73,Desconto_Cliente_Mes!$C$2:$C$433,"Proteina")="",SUMIFS(Desconto_Cliente_Mes!$Q$2:$Q$433,Desconto_Cliente_Mes!$A$2:$A$433,D$73,Desconto_Cliente_Mes!$B$2:$B$433,$A73,Desconto_Cliente_Mes!$C$2:$C$433,"Proteina"),SUMIFS(Desconto_Cliente_Mes!$R$2:$R$433,Desconto_Cliente_Mes!$A$2:$A$433,D$73,Desconto_Cliente_Mes!$B$2:$B$433,$A73,Desconto_Cliente_Mes!$C$2:$C$433,"Proteina")))-(SUMIFS(Desconto_Cliente_Mes!$Q$2:$Q$433,Desconto_Cliente_Mes!$A$2:$A$433,D$73,Desconto_Cliente_Mes!$B$2:$B$433,$A73,Desconto_Cliente_Mes!$C$2:$C$433,"Proteina")))*(SUMIFS(Desconto_Cliente_Mes!$T$2:$T$433,Desconto_Cliente_Mes!$A$2:$A$433,D$73,Desconto_Cliente_Mes!$B$2:$B$433,$A73,Desconto_Cliente_Mes!$C$2:$C$433,"Proteina"))</f>
        <v>0</v>
      </c>
      <c r="E80" s="16" t="n">
        <f aca="false">$E$75*($E$77/100)*((IF(SUMIFS(Desconto_Cliente_Mes!$R$2:$R$433,Desconto_Cliente_Mes!$A$2:$A$433,E$73,Desconto_Cliente_Mes!$B$2:$B$433,$A73,Desconto_Cliente_Mes!$C$2:$C$433,"Proteina")="",SUMIFS(Desconto_Cliente_Mes!$Q$2:$Q$433,Desconto_Cliente_Mes!$A$2:$A$433,E$73,Desconto_Cliente_Mes!$B$2:$B$433,$A73,Desconto_Cliente_Mes!$C$2:$C$433,"Proteina"),SUMIFS(Desconto_Cliente_Mes!$R$2:$R$433,Desconto_Cliente_Mes!$A$2:$A$433,E$73,Desconto_Cliente_Mes!$B$2:$B$433,$A73,Desconto_Cliente_Mes!$C$2:$C$433,"Proteina")))-(SUMIFS(Desconto_Cliente_Mes!$Q$2:$Q$433,Desconto_Cliente_Mes!$A$2:$A$433,E$73,Desconto_Cliente_Mes!$B$2:$B$433,$A73,Desconto_Cliente_Mes!$C$2:$C$433,"Proteina")))*(SUMIFS(Desconto_Cliente_Mes!$T$2:$T$433,Desconto_Cliente_Mes!$A$2:$A$433,E$73,Desconto_Cliente_Mes!$B$2:$B$433,$A73,Desconto_Cliente_Mes!$C$2:$C$433,"Proteina"))</f>
        <v>0</v>
      </c>
      <c r="F80" s="16" t="n">
        <f aca="false">$F$75*($F$77/100)*((IF(SUMIFS(Desconto_Cliente_Mes!$R$2:$R$433,Desconto_Cliente_Mes!$A$2:$A$433,F$73,Desconto_Cliente_Mes!$B$2:$B$433,$A73,Desconto_Cliente_Mes!$C$2:$C$433,"Proteina")="",SUMIFS(Desconto_Cliente_Mes!$Q$2:$Q$433,Desconto_Cliente_Mes!$A$2:$A$433,F$73,Desconto_Cliente_Mes!$B$2:$B$433,$A73,Desconto_Cliente_Mes!$C$2:$C$433,"Proteina"),SUMIFS(Desconto_Cliente_Mes!$R$2:$R$433,Desconto_Cliente_Mes!$A$2:$A$433,F$73,Desconto_Cliente_Mes!$B$2:$B$433,$A73,Desconto_Cliente_Mes!$C$2:$C$433,"Proteina")))-(SUMIFS(Desconto_Cliente_Mes!$Q$2:$Q$433,Desconto_Cliente_Mes!$A$2:$A$433,F$73,Desconto_Cliente_Mes!$B$2:$B$433,$A73,Desconto_Cliente_Mes!$C$2:$C$433,"Proteina")))*(SUMIFS(Desconto_Cliente_Mes!$T$2:$T$433,Desconto_Cliente_Mes!$A$2:$A$433,F$73,Desconto_Cliente_Mes!$B$2:$B$433,$A73,Desconto_Cliente_Mes!$C$2:$C$433,"Proteina"))</f>
        <v>0</v>
      </c>
      <c r="G80" s="16" t="n">
        <f aca="false">$G$75*($G$77/100)*((IF(SUMIFS(Desconto_Cliente_Mes!$R$2:$R$433,Desconto_Cliente_Mes!$A$2:$A$433,G$73,Desconto_Cliente_Mes!$B$2:$B$433,$A73,Desconto_Cliente_Mes!$C$2:$C$433,"Proteina")="",SUMIFS(Desconto_Cliente_Mes!$Q$2:$Q$433,Desconto_Cliente_Mes!$A$2:$A$433,G$73,Desconto_Cliente_Mes!$B$2:$B$433,$A73,Desconto_Cliente_Mes!$C$2:$C$433,"Proteina"),SUMIFS(Desconto_Cliente_Mes!$R$2:$R$433,Desconto_Cliente_Mes!$A$2:$A$433,G$73,Desconto_Cliente_Mes!$B$2:$B$433,$A73,Desconto_Cliente_Mes!$C$2:$C$433,"Proteina")))-(SUMIFS(Desconto_Cliente_Mes!$Q$2:$Q$433,Desconto_Cliente_Mes!$A$2:$A$433,G$73,Desconto_Cliente_Mes!$B$2:$B$433,$A73,Desconto_Cliente_Mes!$C$2:$C$433,"Proteina")))*(SUMIFS(Desconto_Cliente_Mes!$T$2:$T$433,Desconto_Cliente_Mes!$A$2:$A$433,G$73,Desconto_Cliente_Mes!$B$2:$B$433,$A73,Desconto_Cliente_Mes!$C$2:$C$433,"Proteina"))</f>
        <v>0</v>
      </c>
      <c r="H80" s="16" t="n">
        <f aca="false">$H$75*($H$77/100)*((IF(SUMIFS(Desconto_Cliente_Mes!$R$2:$R$433,Desconto_Cliente_Mes!$A$2:$A$433,H$73,Desconto_Cliente_Mes!$B$2:$B$433,$A73,Desconto_Cliente_Mes!$C$2:$C$433,"Proteina")="",SUMIFS(Desconto_Cliente_Mes!$Q$2:$Q$433,Desconto_Cliente_Mes!$A$2:$A$433,H$73,Desconto_Cliente_Mes!$B$2:$B$433,$A73,Desconto_Cliente_Mes!$C$2:$C$433,"Proteina"),SUMIFS(Desconto_Cliente_Mes!$R$2:$R$433,Desconto_Cliente_Mes!$A$2:$A$433,H$73,Desconto_Cliente_Mes!$B$2:$B$433,$A73,Desconto_Cliente_Mes!$C$2:$C$433,"Proteina")))-(SUMIFS(Desconto_Cliente_Mes!$Q$2:$Q$433,Desconto_Cliente_Mes!$A$2:$A$433,H$73,Desconto_Cliente_Mes!$B$2:$B$433,$A73,Desconto_Cliente_Mes!$C$2:$C$433,"Proteina")))*(SUMIFS(Desconto_Cliente_Mes!$T$2:$T$433,Desconto_Cliente_Mes!$A$2:$A$433,H$73,Desconto_Cliente_Mes!$B$2:$B$433,$A73,Desconto_Cliente_Mes!$C$2:$C$433,"Proteina"))</f>
        <v>0</v>
      </c>
      <c r="I80" s="16" t="n">
        <f aca="false">$I$75*($I$77/100)*((IF(SUMIFS(Desconto_Cliente_Mes!$R$2:$R$433,Desconto_Cliente_Mes!$A$2:$A$433,I$73,Desconto_Cliente_Mes!$B$2:$B$433,$A73,Desconto_Cliente_Mes!$C$2:$C$433,"Proteina")="",SUMIFS(Desconto_Cliente_Mes!$Q$2:$Q$433,Desconto_Cliente_Mes!$A$2:$A$433,I$73,Desconto_Cliente_Mes!$B$2:$B$433,$A73,Desconto_Cliente_Mes!$C$2:$C$433,"Proteina"),SUMIFS(Desconto_Cliente_Mes!$R$2:$R$433,Desconto_Cliente_Mes!$A$2:$A$433,I$73,Desconto_Cliente_Mes!$B$2:$B$433,$A73,Desconto_Cliente_Mes!$C$2:$C$433,"Proteina")))-(SUMIFS(Desconto_Cliente_Mes!$Q$2:$Q$433,Desconto_Cliente_Mes!$A$2:$A$433,I$73,Desconto_Cliente_Mes!$B$2:$B$433,$A73,Desconto_Cliente_Mes!$C$2:$C$433,"Proteina")))*(SUMIFS(Desconto_Cliente_Mes!$T$2:$T$433,Desconto_Cliente_Mes!$A$2:$A$433,I$73,Desconto_Cliente_Mes!$B$2:$B$433,$A73,Desconto_Cliente_Mes!$C$2:$C$433,"Proteina"))</f>
        <v>0</v>
      </c>
      <c r="J80" s="16" t="n">
        <f aca="false">$J$75*($J$77/100)*((IF(SUMIFS(Desconto_Cliente_Mes!$R$2:$R$433,Desconto_Cliente_Mes!$A$2:$A$433,J$73,Desconto_Cliente_Mes!$B$2:$B$433,$A73,Desconto_Cliente_Mes!$C$2:$C$433,"Proteina")="",SUMIFS(Desconto_Cliente_Mes!$Q$2:$Q$433,Desconto_Cliente_Mes!$A$2:$A$433,J$73,Desconto_Cliente_Mes!$B$2:$B$433,$A73,Desconto_Cliente_Mes!$C$2:$C$433,"Proteina"),SUMIFS(Desconto_Cliente_Mes!$R$2:$R$433,Desconto_Cliente_Mes!$A$2:$A$433,J$73,Desconto_Cliente_Mes!$B$2:$B$433,$A73,Desconto_Cliente_Mes!$C$2:$C$433,"Proteina")))-(SUMIFS(Desconto_Cliente_Mes!$Q$2:$Q$433,Desconto_Cliente_Mes!$A$2:$A$433,J$73,Desconto_Cliente_Mes!$B$2:$B$433,$A73,Desconto_Cliente_Mes!$C$2:$C$433,"Proteina")))*(SUMIFS(Desconto_Cliente_Mes!$T$2:$T$433,Desconto_Cliente_Mes!$A$2:$A$433,J$73,Desconto_Cliente_Mes!$B$2:$B$433,$A73,Desconto_Cliente_Mes!$C$2:$C$433,"Proteina"))</f>
        <v>0</v>
      </c>
      <c r="K80" s="16" t="n">
        <f aca="false">$K$75*($K$77/100)*((IF(SUMIFS(Desconto_Cliente_Mes!$R$2:$R$433,Desconto_Cliente_Mes!$A$2:$A$433,K$73,Desconto_Cliente_Mes!$B$2:$B$433,$A73,Desconto_Cliente_Mes!$C$2:$C$433,"Proteina")="",SUMIFS(Desconto_Cliente_Mes!$Q$2:$Q$433,Desconto_Cliente_Mes!$A$2:$A$433,K$73,Desconto_Cliente_Mes!$B$2:$B$433,$A73,Desconto_Cliente_Mes!$C$2:$C$433,"Proteina"),SUMIFS(Desconto_Cliente_Mes!$R$2:$R$433,Desconto_Cliente_Mes!$A$2:$A$433,K$73,Desconto_Cliente_Mes!$B$2:$B$433,$A73,Desconto_Cliente_Mes!$C$2:$C$433,"Proteina")))-(SUMIFS(Desconto_Cliente_Mes!$Q$2:$Q$433,Desconto_Cliente_Mes!$A$2:$A$433,K$73,Desconto_Cliente_Mes!$B$2:$B$433,$A73,Desconto_Cliente_Mes!$C$2:$C$433,"Proteina")))*(SUMIFS(Desconto_Cliente_Mes!$T$2:$T$433,Desconto_Cliente_Mes!$A$2:$A$433,K$73,Desconto_Cliente_Mes!$B$2:$B$433,$A73,Desconto_Cliente_Mes!$C$2:$C$433,"Proteina"))</f>
        <v>0</v>
      </c>
      <c r="L80" s="16" t="n">
        <f aca="false">$L$75*($L$77/100)*((IF(SUMIFS(Desconto_Cliente_Mes!$R$2:$R$433,Desconto_Cliente_Mes!$A$2:$A$433,L$73,Desconto_Cliente_Mes!$B$2:$B$433,$A73,Desconto_Cliente_Mes!$C$2:$C$433,"Proteina")="",SUMIFS(Desconto_Cliente_Mes!$Q$2:$Q$433,Desconto_Cliente_Mes!$A$2:$A$433,L$73,Desconto_Cliente_Mes!$B$2:$B$433,$A73,Desconto_Cliente_Mes!$C$2:$C$433,"Proteina"),SUMIFS(Desconto_Cliente_Mes!$R$2:$R$433,Desconto_Cliente_Mes!$A$2:$A$433,L$73,Desconto_Cliente_Mes!$B$2:$B$433,$A73,Desconto_Cliente_Mes!$C$2:$C$433,"Proteina")))-(SUMIFS(Desconto_Cliente_Mes!$Q$2:$Q$433,Desconto_Cliente_Mes!$A$2:$A$433,L$73,Desconto_Cliente_Mes!$B$2:$B$433,$A73,Desconto_Cliente_Mes!$C$2:$C$433,"Proteina")))*(SUMIFS(Desconto_Cliente_Mes!$T$2:$T$433,Desconto_Cliente_Mes!$A$2:$A$433,L$73,Desconto_Cliente_Mes!$B$2:$B$433,$A73,Desconto_Cliente_Mes!$C$2:$C$433,"Proteina"))</f>
        <v>0</v>
      </c>
      <c r="M80" s="16" t="n">
        <f aca="false">$M$75*($M$77/100)*((IF(SUMIFS(Desconto_Cliente_Mes!$R$2:$R$433,Desconto_Cliente_Mes!$A$2:$A$433,M$73,Desconto_Cliente_Mes!$B$2:$B$433,$A73,Desconto_Cliente_Mes!$C$2:$C$433,"Proteina")="",SUMIFS(Desconto_Cliente_Mes!$Q$2:$Q$433,Desconto_Cliente_Mes!$A$2:$A$433,M$73,Desconto_Cliente_Mes!$B$2:$B$433,$A73,Desconto_Cliente_Mes!$C$2:$C$433,"Proteina"),SUMIFS(Desconto_Cliente_Mes!$R$2:$R$433,Desconto_Cliente_Mes!$A$2:$A$433,M$73,Desconto_Cliente_Mes!$B$2:$B$433,$A73,Desconto_Cliente_Mes!$C$2:$C$433,"Proteina")))-(SUMIFS(Desconto_Cliente_Mes!$Q$2:$Q$433,Desconto_Cliente_Mes!$A$2:$A$433,M$73,Desconto_Cliente_Mes!$B$2:$B$433,$A73,Desconto_Cliente_Mes!$C$2:$C$433,"Proteina")))*(SUMIFS(Desconto_Cliente_Mes!$T$2:$T$433,Desconto_Cliente_Mes!$A$2:$A$433,M$73,Desconto_Cliente_Mes!$B$2:$B$433,$A73,Desconto_Cliente_Mes!$C$2:$C$433,"Proteina"))</f>
        <v>0</v>
      </c>
      <c r="N80" s="17" t="n">
        <f aca="false">SUM(B80:M80)</f>
        <v>0</v>
      </c>
    </row>
    <row r="81" customFormat="false" ht="15" hidden="false" customHeight="false" outlineLevel="0" collapsed="false">
      <c r="A81" s="13" t="s">
        <v>81</v>
      </c>
      <c r="B81" s="16" t="n">
        <f aca="false">$B$75*($B$78/100)*((IF(SUMIFS(Desconto_Cliente_Mes!$S$2:$S$433,Desconto_Cliente_Mes!$A$2:$A$433,B$73,Desconto_Cliente_Mes!$B$2:$B$433,$A73,Desconto_Cliente_Mes!$C$2:$C$433,"Proteina")="",(IF(SUMIFS(Desconto_Cliente_Mes!$R$2:$R$433,Desconto_Cliente_Mes!$A$2:$A$433,B$73,Desconto_Cliente_Mes!$B$2:$B$433,$A73,Desconto_Cliente_Mes!$C$2:$C$433,"Proteina")="",SUMIFS(Desconto_Cliente_Mes!$Q$2:$Q$433,Desconto_Cliente_Mes!$A$2:$A$433,B$73,Desconto_Cliente_Mes!$B$2:$B$433,$A73,Desconto_Cliente_Mes!$C$2:$C$433,"Proteina"),SUMIFS(Desconto_Cliente_Mes!$R$2:$R$433,Desconto_Cliente_Mes!$A$2:$A$433,B$73,Desconto_Cliente_Mes!$B$2:$B$433,$A73,Desconto_Cliente_Mes!$C$2:$C$433,"Proteina"))),SUMIFS(Desconto_Cliente_Mes!$S$2:$S$433,Desconto_Cliente_Mes!$A$2:$A$433,B$73,Desconto_Cliente_Mes!$B$2:$B$433,$A73,Desconto_Cliente_Mes!$C$2:$C$433,"Proteina")))-(IF(SUMIFS(Desconto_Cliente_Mes!$R$2:$R$433,Desconto_Cliente_Mes!$A$2:$A$433,B$73,Desconto_Cliente_Mes!$B$2:$B$433,$A73,Desconto_Cliente_Mes!$C$2:$C$433,"Proteina")="",SUMIFS(Desconto_Cliente_Mes!$Q$2:$Q$433,Desconto_Cliente_Mes!$A$2:$A$433,B$73,Desconto_Cliente_Mes!$B$2:$B$433,$A73,Desconto_Cliente_Mes!$C$2:$C$433,"Proteina"),SUMIFS(Desconto_Cliente_Mes!$R$2:$R$433,Desconto_Cliente_Mes!$A$2:$A$433,B$73,Desconto_Cliente_Mes!$B$2:$B$433,$A73,Desconto_Cliente_Mes!$C$2:$C$433,"Proteina"))))*(SUMIFS(Desconto_Cliente_Mes!$T$2:$T$433,Desconto_Cliente_Mes!$A$2:$A$433,B$73,Desconto_Cliente_Mes!$B$2:$B$433,$A73,Desconto_Cliente_Mes!$C$2:$C$433,"Proteina"))</f>
        <v>-0</v>
      </c>
      <c r="C81" s="16" t="n">
        <f aca="false">$C$75*($C$78/100)*((IF(SUMIFS(Desconto_Cliente_Mes!$S$2:$S$433,Desconto_Cliente_Mes!$A$2:$A$433,C$73,Desconto_Cliente_Mes!$B$2:$B$433,$A73,Desconto_Cliente_Mes!$C$2:$C$433,"Proteina")="",(IF(SUMIFS(Desconto_Cliente_Mes!$R$2:$R$433,Desconto_Cliente_Mes!$A$2:$A$433,C$73,Desconto_Cliente_Mes!$B$2:$B$433,$A73,Desconto_Cliente_Mes!$C$2:$C$433,"Proteina")="",SUMIFS(Desconto_Cliente_Mes!$Q$2:$Q$433,Desconto_Cliente_Mes!$A$2:$A$433,C$73,Desconto_Cliente_Mes!$B$2:$B$433,$A73,Desconto_Cliente_Mes!$C$2:$C$433,"Proteina"),SUMIFS(Desconto_Cliente_Mes!$R$2:$R$433,Desconto_Cliente_Mes!$A$2:$A$433,C$73,Desconto_Cliente_Mes!$B$2:$B$433,$A73,Desconto_Cliente_Mes!$C$2:$C$433,"Proteina"))),SUMIFS(Desconto_Cliente_Mes!$S$2:$S$433,Desconto_Cliente_Mes!$A$2:$A$433,C$73,Desconto_Cliente_Mes!$B$2:$B$433,$A73,Desconto_Cliente_Mes!$C$2:$C$433,"Proteina")))-(IF(SUMIFS(Desconto_Cliente_Mes!$R$2:$R$433,Desconto_Cliente_Mes!$A$2:$A$433,C$73,Desconto_Cliente_Mes!$B$2:$B$433,$A73,Desconto_Cliente_Mes!$C$2:$C$433,"Proteina")="",SUMIFS(Desconto_Cliente_Mes!$Q$2:$Q$433,Desconto_Cliente_Mes!$A$2:$A$433,C$73,Desconto_Cliente_Mes!$B$2:$B$433,$A73,Desconto_Cliente_Mes!$C$2:$C$433,"Proteina"),SUMIFS(Desconto_Cliente_Mes!$R$2:$R$433,Desconto_Cliente_Mes!$A$2:$A$433,C$73,Desconto_Cliente_Mes!$B$2:$B$433,$A73,Desconto_Cliente_Mes!$C$2:$C$433,"Proteina"))))*(SUMIFS(Desconto_Cliente_Mes!$T$2:$T$433,Desconto_Cliente_Mes!$A$2:$A$433,C$73,Desconto_Cliente_Mes!$B$2:$B$433,$A73,Desconto_Cliente_Mes!$C$2:$C$433,"Proteina"))</f>
        <v>-0</v>
      </c>
      <c r="D81" s="16" t="n">
        <f aca="false">$D$75*($D$78/100)*((IF(SUMIFS(Desconto_Cliente_Mes!$S$2:$S$433,Desconto_Cliente_Mes!$A$2:$A$433,D$73,Desconto_Cliente_Mes!$B$2:$B$433,$A73,Desconto_Cliente_Mes!$C$2:$C$433,"Proteina")="",(IF(SUMIFS(Desconto_Cliente_Mes!$R$2:$R$433,Desconto_Cliente_Mes!$A$2:$A$433,D$73,Desconto_Cliente_Mes!$B$2:$B$433,$A73,Desconto_Cliente_Mes!$C$2:$C$433,"Proteina")="",SUMIFS(Desconto_Cliente_Mes!$Q$2:$Q$433,Desconto_Cliente_Mes!$A$2:$A$433,D$73,Desconto_Cliente_Mes!$B$2:$B$433,$A73,Desconto_Cliente_Mes!$C$2:$C$433,"Proteina"),SUMIFS(Desconto_Cliente_Mes!$R$2:$R$433,Desconto_Cliente_Mes!$A$2:$A$433,D$73,Desconto_Cliente_Mes!$B$2:$B$433,$A73,Desconto_Cliente_Mes!$C$2:$C$433,"Proteina"))),SUMIFS(Desconto_Cliente_Mes!$S$2:$S$433,Desconto_Cliente_Mes!$A$2:$A$433,D$73,Desconto_Cliente_Mes!$B$2:$B$433,$A73,Desconto_Cliente_Mes!$C$2:$C$433,"Proteina")))-(IF(SUMIFS(Desconto_Cliente_Mes!$R$2:$R$433,Desconto_Cliente_Mes!$A$2:$A$433,D$73,Desconto_Cliente_Mes!$B$2:$B$433,$A73,Desconto_Cliente_Mes!$C$2:$C$433,"Proteina")="",SUMIFS(Desconto_Cliente_Mes!$Q$2:$Q$433,Desconto_Cliente_Mes!$A$2:$A$433,D$73,Desconto_Cliente_Mes!$B$2:$B$433,$A73,Desconto_Cliente_Mes!$C$2:$C$433,"Proteina"),SUMIFS(Desconto_Cliente_Mes!$R$2:$R$433,Desconto_Cliente_Mes!$A$2:$A$433,D$73,Desconto_Cliente_Mes!$B$2:$B$433,$A73,Desconto_Cliente_Mes!$C$2:$C$433,"Proteina"))))*(SUMIFS(Desconto_Cliente_Mes!$T$2:$T$433,Desconto_Cliente_Mes!$A$2:$A$433,D$73,Desconto_Cliente_Mes!$B$2:$B$433,$A73,Desconto_Cliente_Mes!$C$2:$C$433,"Proteina"))</f>
        <v>-0</v>
      </c>
      <c r="E81" s="16" t="n">
        <f aca="false">$E$75*($E$78/100)*((IF(SUMIFS(Desconto_Cliente_Mes!$S$2:$S$433,Desconto_Cliente_Mes!$A$2:$A$433,E$73,Desconto_Cliente_Mes!$B$2:$B$433,$A73,Desconto_Cliente_Mes!$C$2:$C$433,"Proteina")="",(IF(SUMIFS(Desconto_Cliente_Mes!$R$2:$R$433,Desconto_Cliente_Mes!$A$2:$A$433,E$73,Desconto_Cliente_Mes!$B$2:$B$433,$A73,Desconto_Cliente_Mes!$C$2:$C$433,"Proteina")="",SUMIFS(Desconto_Cliente_Mes!$Q$2:$Q$433,Desconto_Cliente_Mes!$A$2:$A$433,E$73,Desconto_Cliente_Mes!$B$2:$B$433,$A73,Desconto_Cliente_Mes!$C$2:$C$433,"Proteina"),SUMIFS(Desconto_Cliente_Mes!$R$2:$R$433,Desconto_Cliente_Mes!$A$2:$A$433,E$73,Desconto_Cliente_Mes!$B$2:$B$433,$A73,Desconto_Cliente_Mes!$C$2:$C$433,"Proteina"))),SUMIFS(Desconto_Cliente_Mes!$S$2:$S$433,Desconto_Cliente_Mes!$A$2:$A$433,E$73,Desconto_Cliente_Mes!$B$2:$B$433,$A73,Desconto_Cliente_Mes!$C$2:$C$433,"Proteina")))-(IF(SUMIFS(Desconto_Cliente_Mes!$R$2:$R$433,Desconto_Cliente_Mes!$A$2:$A$433,E$73,Desconto_Cliente_Mes!$B$2:$B$433,$A73,Desconto_Cliente_Mes!$C$2:$C$433,"Proteina")="",SUMIFS(Desconto_Cliente_Mes!$Q$2:$Q$433,Desconto_Cliente_Mes!$A$2:$A$433,E$73,Desconto_Cliente_Mes!$B$2:$B$433,$A73,Desconto_Cliente_Mes!$C$2:$C$433,"Proteina"),SUMIFS(Desconto_Cliente_Mes!$R$2:$R$433,Desconto_Cliente_Mes!$A$2:$A$433,E$73,Desconto_Cliente_Mes!$B$2:$B$433,$A73,Desconto_Cliente_Mes!$C$2:$C$433,"Proteina"))))*(SUMIFS(Desconto_Cliente_Mes!$T$2:$T$433,Desconto_Cliente_Mes!$A$2:$A$433,E$73,Desconto_Cliente_Mes!$B$2:$B$433,$A73,Desconto_Cliente_Mes!$C$2:$C$433,"Proteina"))</f>
        <v>-0</v>
      </c>
      <c r="F81" s="16" t="n">
        <f aca="false">$F$75*($F$78/100)*((IF(SUMIFS(Desconto_Cliente_Mes!$S$2:$S$433,Desconto_Cliente_Mes!$A$2:$A$433,F$73,Desconto_Cliente_Mes!$B$2:$B$433,$A73,Desconto_Cliente_Mes!$C$2:$C$433,"Proteina")="",(IF(SUMIFS(Desconto_Cliente_Mes!$R$2:$R$433,Desconto_Cliente_Mes!$A$2:$A$433,F$73,Desconto_Cliente_Mes!$B$2:$B$433,$A73,Desconto_Cliente_Mes!$C$2:$C$433,"Proteina")="",SUMIFS(Desconto_Cliente_Mes!$Q$2:$Q$433,Desconto_Cliente_Mes!$A$2:$A$433,F$73,Desconto_Cliente_Mes!$B$2:$B$433,$A73,Desconto_Cliente_Mes!$C$2:$C$433,"Proteina"),SUMIFS(Desconto_Cliente_Mes!$R$2:$R$433,Desconto_Cliente_Mes!$A$2:$A$433,F$73,Desconto_Cliente_Mes!$B$2:$B$433,$A73,Desconto_Cliente_Mes!$C$2:$C$433,"Proteina"))),SUMIFS(Desconto_Cliente_Mes!$S$2:$S$433,Desconto_Cliente_Mes!$A$2:$A$433,F$73,Desconto_Cliente_Mes!$B$2:$B$433,$A73,Desconto_Cliente_Mes!$C$2:$C$433,"Proteina")))-(IF(SUMIFS(Desconto_Cliente_Mes!$R$2:$R$433,Desconto_Cliente_Mes!$A$2:$A$433,F$73,Desconto_Cliente_Mes!$B$2:$B$433,$A73,Desconto_Cliente_Mes!$C$2:$C$433,"Proteina")="",SUMIFS(Desconto_Cliente_Mes!$Q$2:$Q$433,Desconto_Cliente_Mes!$A$2:$A$433,F$73,Desconto_Cliente_Mes!$B$2:$B$433,$A73,Desconto_Cliente_Mes!$C$2:$C$433,"Proteina"),SUMIFS(Desconto_Cliente_Mes!$R$2:$R$433,Desconto_Cliente_Mes!$A$2:$A$433,F$73,Desconto_Cliente_Mes!$B$2:$B$433,$A73,Desconto_Cliente_Mes!$C$2:$C$433,"Proteina"))))*(SUMIFS(Desconto_Cliente_Mes!$T$2:$T$433,Desconto_Cliente_Mes!$A$2:$A$433,F$73,Desconto_Cliente_Mes!$B$2:$B$433,$A73,Desconto_Cliente_Mes!$C$2:$C$433,"Proteina"))</f>
        <v>-0</v>
      </c>
      <c r="G81" s="16" t="n">
        <f aca="false">$G$75*($G$78/100)*((IF(SUMIFS(Desconto_Cliente_Mes!$S$2:$S$433,Desconto_Cliente_Mes!$A$2:$A$433,G$73,Desconto_Cliente_Mes!$B$2:$B$433,$A73,Desconto_Cliente_Mes!$C$2:$C$433,"Proteina")="",(IF(SUMIFS(Desconto_Cliente_Mes!$R$2:$R$433,Desconto_Cliente_Mes!$A$2:$A$433,G$73,Desconto_Cliente_Mes!$B$2:$B$433,$A73,Desconto_Cliente_Mes!$C$2:$C$433,"Proteina")="",SUMIFS(Desconto_Cliente_Mes!$Q$2:$Q$433,Desconto_Cliente_Mes!$A$2:$A$433,G$73,Desconto_Cliente_Mes!$B$2:$B$433,$A73,Desconto_Cliente_Mes!$C$2:$C$433,"Proteina"),SUMIFS(Desconto_Cliente_Mes!$R$2:$R$433,Desconto_Cliente_Mes!$A$2:$A$433,G$73,Desconto_Cliente_Mes!$B$2:$B$433,$A73,Desconto_Cliente_Mes!$C$2:$C$433,"Proteina"))),SUMIFS(Desconto_Cliente_Mes!$S$2:$S$433,Desconto_Cliente_Mes!$A$2:$A$433,G$73,Desconto_Cliente_Mes!$B$2:$B$433,$A73,Desconto_Cliente_Mes!$C$2:$C$433,"Proteina")))-(IF(SUMIFS(Desconto_Cliente_Mes!$R$2:$R$433,Desconto_Cliente_Mes!$A$2:$A$433,G$73,Desconto_Cliente_Mes!$B$2:$B$433,$A73,Desconto_Cliente_Mes!$C$2:$C$433,"Proteina")="",SUMIFS(Desconto_Cliente_Mes!$Q$2:$Q$433,Desconto_Cliente_Mes!$A$2:$A$433,G$73,Desconto_Cliente_Mes!$B$2:$B$433,$A73,Desconto_Cliente_Mes!$C$2:$C$433,"Proteina"),SUMIFS(Desconto_Cliente_Mes!$R$2:$R$433,Desconto_Cliente_Mes!$A$2:$A$433,G$73,Desconto_Cliente_Mes!$B$2:$B$433,$A73,Desconto_Cliente_Mes!$C$2:$C$433,"Proteina"))))*(SUMIFS(Desconto_Cliente_Mes!$T$2:$T$433,Desconto_Cliente_Mes!$A$2:$A$433,G$73,Desconto_Cliente_Mes!$B$2:$B$433,$A73,Desconto_Cliente_Mes!$C$2:$C$433,"Proteina"))</f>
        <v>-0</v>
      </c>
      <c r="H81" s="16" t="n">
        <f aca="false">$H$75*($H$78/100)*((IF(SUMIFS(Desconto_Cliente_Mes!$S$2:$S$433,Desconto_Cliente_Mes!$A$2:$A$433,H$73,Desconto_Cliente_Mes!$B$2:$B$433,$A73,Desconto_Cliente_Mes!$C$2:$C$433,"Proteina")="",(IF(SUMIFS(Desconto_Cliente_Mes!$R$2:$R$433,Desconto_Cliente_Mes!$A$2:$A$433,H$73,Desconto_Cliente_Mes!$B$2:$B$433,$A73,Desconto_Cliente_Mes!$C$2:$C$433,"Proteina")="",SUMIFS(Desconto_Cliente_Mes!$Q$2:$Q$433,Desconto_Cliente_Mes!$A$2:$A$433,H$73,Desconto_Cliente_Mes!$B$2:$B$433,$A73,Desconto_Cliente_Mes!$C$2:$C$433,"Proteina"),SUMIFS(Desconto_Cliente_Mes!$R$2:$R$433,Desconto_Cliente_Mes!$A$2:$A$433,H$73,Desconto_Cliente_Mes!$B$2:$B$433,$A73,Desconto_Cliente_Mes!$C$2:$C$433,"Proteina"))),SUMIFS(Desconto_Cliente_Mes!$S$2:$S$433,Desconto_Cliente_Mes!$A$2:$A$433,H$73,Desconto_Cliente_Mes!$B$2:$B$433,$A73,Desconto_Cliente_Mes!$C$2:$C$433,"Proteina")))-(IF(SUMIFS(Desconto_Cliente_Mes!$R$2:$R$433,Desconto_Cliente_Mes!$A$2:$A$433,H$73,Desconto_Cliente_Mes!$B$2:$B$433,$A73,Desconto_Cliente_Mes!$C$2:$C$433,"Proteina")="",SUMIFS(Desconto_Cliente_Mes!$Q$2:$Q$433,Desconto_Cliente_Mes!$A$2:$A$433,H$73,Desconto_Cliente_Mes!$B$2:$B$433,$A73,Desconto_Cliente_Mes!$C$2:$C$433,"Proteina"),SUMIFS(Desconto_Cliente_Mes!$R$2:$R$433,Desconto_Cliente_Mes!$A$2:$A$433,H$73,Desconto_Cliente_Mes!$B$2:$B$433,$A73,Desconto_Cliente_Mes!$C$2:$C$433,"Proteina"))))*(SUMIFS(Desconto_Cliente_Mes!$T$2:$T$433,Desconto_Cliente_Mes!$A$2:$A$433,H$73,Desconto_Cliente_Mes!$B$2:$B$433,$A73,Desconto_Cliente_Mes!$C$2:$C$433,"Proteina"))</f>
        <v>-0</v>
      </c>
      <c r="I81" s="16" t="n">
        <f aca="false">$I$75*($I$78/100)*((IF(SUMIFS(Desconto_Cliente_Mes!$S$2:$S$433,Desconto_Cliente_Mes!$A$2:$A$433,I$73,Desconto_Cliente_Mes!$B$2:$B$433,$A73,Desconto_Cliente_Mes!$C$2:$C$433,"Proteina")="",(IF(SUMIFS(Desconto_Cliente_Mes!$R$2:$R$433,Desconto_Cliente_Mes!$A$2:$A$433,I$73,Desconto_Cliente_Mes!$B$2:$B$433,$A73,Desconto_Cliente_Mes!$C$2:$C$433,"Proteina")="",SUMIFS(Desconto_Cliente_Mes!$Q$2:$Q$433,Desconto_Cliente_Mes!$A$2:$A$433,I$73,Desconto_Cliente_Mes!$B$2:$B$433,$A73,Desconto_Cliente_Mes!$C$2:$C$433,"Proteina"),SUMIFS(Desconto_Cliente_Mes!$R$2:$R$433,Desconto_Cliente_Mes!$A$2:$A$433,I$73,Desconto_Cliente_Mes!$B$2:$B$433,$A73,Desconto_Cliente_Mes!$C$2:$C$433,"Proteina"))),SUMIFS(Desconto_Cliente_Mes!$S$2:$S$433,Desconto_Cliente_Mes!$A$2:$A$433,I$73,Desconto_Cliente_Mes!$B$2:$B$433,$A73,Desconto_Cliente_Mes!$C$2:$C$433,"Proteina")))-(IF(SUMIFS(Desconto_Cliente_Mes!$R$2:$R$433,Desconto_Cliente_Mes!$A$2:$A$433,I$73,Desconto_Cliente_Mes!$B$2:$B$433,$A73,Desconto_Cliente_Mes!$C$2:$C$433,"Proteina")="",SUMIFS(Desconto_Cliente_Mes!$Q$2:$Q$433,Desconto_Cliente_Mes!$A$2:$A$433,I$73,Desconto_Cliente_Mes!$B$2:$B$433,$A73,Desconto_Cliente_Mes!$C$2:$C$433,"Proteina"),SUMIFS(Desconto_Cliente_Mes!$R$2:$R$433,Desconto_Cliente_Mes!$A$2:$A$433,I$73,Desconto_Cliente_Mes!$B$2:$B$433,$A73,Desconto_Cliente_Mes!$C$2:$C$433,"Proteina"))))*(SUMIFS(Desconto_Cliente_Mes!$T$2:$T$433,Desconto_Cliente_Mes!$A$2:$A$433,I$73,Desconto_Cliente_Mes!$B$2:$B$433,$A73,Desconto_Cliente_Mes!$C$2:$C$433,"Proteina"))</f>
        <v>-0</v>
      </c>
      <c r="J81" s="16" t="n">
        <f aca="false">$J$75*($J$78/100)*((IF(SUMIFS(Desconto_Cliente_Mes!$S$2:$S$433,Desconto_Cliente_Mes!$A$2:$A$433,J$73,Desconto_Cliente_Mes!$B$2:$B$433,$A73,Desconto_Cliente_Mes!$C$2:$C$433,"Proteina")="",(IF(SUMIFS(Desconto_Cliente_Mes!$R$2:$R$433,Desconto_Cliente_Mes!$A$2:$A$433,J$73,Desconto_Cliente_Mes!$B$2:$B$433,$A73,Desconto_Cliente_Mes!$C$2:$C$433,"Proteina")="",SUMIFS(Desconto_Cliente_Mes!$Q$2:$Q$433,Desconto_Cliente_Mes!$A$2:$A$433,J$73,Desconto_Cliente_Mes!$B$2:$B$433,$A73,Desconto_Cliente_Mes!$C$2:$C$433,"Proteina"),SUMIFS(Desconto_Cliente_Mes!$R$2:$R$433,Desconto_Cliente_Mes!$A$2:$A$433,J$73,Desconto_Cliente_Mes!$B$2:$B$433,$A73,Desconto_Cliente_Mes!$C$2:$C$433,"Proteina"))),SUMIFS(Desconto_Cliente_Mes!$S$2:$S$433,Desconto_Cliente_Mes!$A$2:$A$433,J$73,Desconto_Cliente_Mes!$B$2:$B$433,$A73,Desconto_Cliente_Mes!$C$2:$C$433,"Proteina")))-(IF(SUMIFS(Desconto_Cliente_Mes!$R$2:$R$433,Desconto_Cliente_Mes!$A$2:$A$433,J$73,Desconto_Cliente_Mes!$B$2:$B$433,$A73,Desconto_Cliente_Mes!$C$2:$C$433,"Proteina")="",SUMIFS(Desconto_Cliente_Mes!$Q$2:$Q$433,Desconto_Cliente_Mes!$A$2:$A$433,J$73,Desconto_Cliente_Mes!$B$2:$B$433,$A73,Desconto_Cliente_Mes!$C$2:$C$433,"Proteina"),SUMIFS(Desconto_Cliente_Mes!$R$2:$R$433,Desconto_Cliente_Mes!$A$2:$A$433,J$73,Desconto_Cliente_Mes!$B$2:$B$433,$A73,Desconto_Cliente_Mes!$C$2:$C$433,"Proteina"))))*(SUMIFS(Desconto_Cliente_Mes!$T$2:$T$433,Desconto_Cliente_Mes!$A$2:$A$433,J$73,Desconto_Cliente_Mes!$B$2:$B$433,$A73,Desconto_Cliente_Mes!$C$2:$C$433,"Proteina"))</f>
        <v>-0</v>
      </c>
      <c r="K81" s="16" t="n">
        <f aca="false">$K$75*($K$78/100)*((IF(SUMIFS(Desconto_Cliente_Mes!$S$2:$S$433,Desconto_Cliente_Mes!$A$2:$A$433,K$73,Desconto_Cliente_Mes!$B$2:$B$433,$A73,Desconto_Cliente_Mes!$C$2:$C$433,"Proteina")="",(IF(SUMIFS(Desconto_Cliente_Mes!$R$2:$R$433,Desconto_Cliente_Mes!$A$2:$A$433,K$73,Desconto_Cliente_Mes!$B$2:$B$433,$A73,Desconto_Cliente_Mes!$C$2:$C$433,"Proteina")="",SUMIFS(Desconto_Cliente_Mes!$Q$2:$Q$433,Desconto_Cliente_Mes!$A$2:$A$433,K$73,Desconto_Cliente_Mes!$B$2:$B$433,$A73,Desconto_Cliente_Mes!$C$2:$C$433,"Proteina"),SUMIFS(Desconto_Cliente_Mes!$R$2:$R$433,Desconto_Cliente_Mes!$A$2:$A$433,K$73,Desconto_Cliente_Mes!$B$2:$B$433,$A73,Desconto_Cliente_Mes!$C$2:$C$433,"Proteina"))),SUMIFS(Desconto_Cliente_Mes!$S$2:$S$433,Desconto_Cliente_Mes!$A$2:$A$433,K$73,Desconto_Cliente_Mes!$B$2:$B$433,$A73,Desconto_Cliente_Mes!$C$2:$C$433,"Proteina")))-(IF(SUMIFS(Desconto_Cliente_Mes!$R$2:$R$433,Desconto_Cliente_Mes!$A$2:$A$433,K$73,Desconto_Cliente_Mes!$B$2:$B$433,$A73,Desconto_Cliente_Mes!$C$2:$C$433,"Proteina")="",SUMIFS(Desconto_Cliente_Mes!$Q$2:$Q$433,Desconto_Cliente_Mes!$A$2:$A$433,K$73,Desconto_Cliente_Mes!$B$2:$B$433,$A73,Desconto_Cliente_Mes!$C$2:$C$433,"Proteina"),SUMIFS(Desconto_Cliente_Mes!$R$2:$R$433,Desconto_Cliente_Mes!$A$2:$A$433,K$73,Desconto_Cliente_Mes!$B$2:$B$433,$A73,Desconto_Cliente_Mes!$C$2:$C$433,"Proteina"))))*(SUMIFS(Desconto_Cliente_Mes!$T$2:$T$433,Desconto_Cliente_Mes!$A$2:$A$433,K$73,Desconto_Cliente_Mes!$B$2:$B$433,$A73,Desconto_Cliente_Mes!$C$2:$C$433,"Proteina"))</f>
        <v>-0</v>
      </c>
      <c r="L81" s="16" t="n">
        <f aca="false">$L$75*($L$78/100)*((IF(SUMIFS(Desconto_Cliente_Mes!$S$2:$S$433,Desconto_Cliente_Mes!$A$2:$A$433,L$73,Desconto_Cliente_Mes!$B$2:$B$433,$A73,Desconto_Cliente_Mes!$C$2:$C$433,"Proteina")="",(IF(SUMIFS(Desconto_Cliente_Mes!$R$2:$R$433,Desconto_Cliente_Mes!$A$2:$A$433,L$73,Desconto_Cliente_Mes!$B$2:$B$433,$A73,Desconto_Cliente_Mes!$C$2:$C$433,"Proteina")="",SUMIFS(Desconto_Cliente_Mes!$Q$2:$Q$433,Desconto_Cliente_Mes!$A$2:$A$433,L$73,Desconto_Cliente_Mes!$B$2:$B$433,$A73,Desconto_Cliente_Mes!$C$2:$C$433,"Proteina"),SUMIFS(Desconto_Cliente_Mes!$R$2:$R$433,Desconto_Cliente_Mes!$A$2:$A$433,L$73,Desconto_Cliente_Mes!$B$2:$B$433,$A73,Desconto_Cliente_Mes!$C$2:$C$433,"Proteina"))),SUMIFS(Desconto_Cliente_Mes!$S$2:$S$433,Desconto_Cliente_Mes!$A$2:$A$433,L$73,Desconto_Cliente_Mes!$B$2:$B$433,$A73,Desconto_Cliente_Mes!$C$2:$C$433,"Proteina")))-(IF(SUMIFS(Desconto_Cliente_Mes!$R$2:$R$433,Desconto_Cliente_Mes!$A$2:$A$433,L$73,Desconto_Cliente_Mes!$B$2:$B$433,$A73,Desconto_Cliente_Mes!$C$2:$C$433,"Proteina")="",SUMIFS(Desconto_Cliente_Mes!$Q$2:$Q$433,Desconto_Cliente_Mes!$A$2:$A$433,L$73,Desconto_Cliente_Mes!$B$2:$B$433,$A73,Desconto_Cliente_Mes!$C$2:$C$433,"Proteina"),SUMIFS(Desconto_Cliente_Mes!$R$2:$R$433,Desconto_Cliente_Mes!$A$2:$A$433,L$73,Desconto_Cliente_Mes!$B$2:$B$433,$A73,Desconto_Cliente_Mes!$C$2:$C$433,"Proteina"))))*(SUMIFS(Desconto_Cliente_Mes!$T$2:$T$433,Desconto_Cliente_Mes!$A$2:$A$433,L$73,Desconto_Cliente_Mes!$B$2:$B$433,$A73,Desconto_Cliente_Mes!$C$2:$C$433,"Proteina"))</f>
        <v>-0</v>
      </c>
      <c r="M81" s="16" t="n">
        <f aca="false">$M$75*($M$78/100)*((IF(SUMIFS(Desconto_Cliente_Mes!$S$2:$S$433,Desconto_Cliente_Mes!$A$2:$A$433,M$73,Desconto_Cliente_Mes!$B$2:$B$433,$A73,Desconto_Cliente_Mes!$C$2:$C$433,"Proteina")="",(IF(SUMIFS(Desconto_Cliente_Mes!$R$2:$R$433,Desconto_Cliente_Mes!$A$2:$A$433,M$73,Desconto_Cliente_Mes!$B$2:$B$433,$A73,Desconto_Cliente_Mes!$C$2:$C$433,"Proteina")="",SUMIFS(Desconto_Cliente_Mes!$Q$2:$Q$433,Desconto_Cliente_Mes!$A$2:$A$433,M$73,Desconto_Cliente_Mes!$B$2:$B$433,$A73,Desconto_Cliente_Mes!$C$2:$C$433,"Proteina"),SUMIFS(Desconto_Cliente_Mes!$R$2:$R$433,Desconto_Cliente_Mes!$A$2:$A$433,M$73,Desconto_Cliente_Mes!$B$2:$B$433,$A73,Desconto_Cliente_Mes!$C$2:$C$433,"Proteina"))),SUMIFS(Desconto_Cliente_Mes!$S$2:$S$433,Desconto_Cliente_Mes!$A$2:$A$433,M$73,Desconto_Cliente_Mes!$B$2:$B$433,$A73,Desconto_Cliente_Mes!$C$2:$C$433,"Proteina")))-(IF(SUMIFS(Desconto_Cliente_Mes!$R$2:$R$433,Desconto_Cliente_Mes!$A$2:$A$433,M$73,Desconto_Cliente_Mes!$B$2:$B$433,$A73,Desconto_Cliente_Mes!$C$2:$C$433,"Proteina")="",SUMIFS(Desconto_Cliente_Mes!$Q$2:$Q$433,Desconto_Cliente_Mes!$A$2:$A$433,M$73,Desconto_Cliente_Mes!$B$2:$B$433,$A73,Desconto_Cliente_Mes!$C$2:$C$433,"Proteina"),SUMIFS(Desconto_Cliente_Mes!$R$2:$R$433,Desconto_Cliente_Mes!$A$2:$A$433,M$73,Desconto_Cliente_Mes!$B$2:$B$433,$A73,Desconto_Cliente_Mes!$C$2:$C$433,"Proteina"))))*(SUMIFS(Desconto_Cliente_Mes!$T$2:$T$433,Desconto_Cliente_Mes!$A$2:$A$433,M$73,Desconto_Cliente_Mes!$B$2:$B$433,$A73,Desconto_Cliente_Mes!$C$2:$C$433,"Proteina"))</f>
        <v>-0</v>
      </c>
      <c r="N81" s="17" t="n">
        <f aca="false">SUM(B81:M81)</f>
        <v>0</v>
      </c>
    </row>
    <row r="82" customFormat="false" ht="15" hidden="false" customHeight="false" outlineLevel="0" collapsed="false">
      <c r="A82" s="13" t="s">
        <v>82</v>
      </c>
      <c r="B82" s="16" t="n">
        <f aca="false">SUMIFS(Acerto_Detalhado!$J$2:$J$433,Acerto_Detalhado!$A$2:$A$433,B$73,Acerto_Detalhado!$B$2:$B$433,$A73,Acerto_Detalhado!$C$2:$C$433,"Proteina")</f>
        <v>0</v>
      </c>
      <c r="C82" s="16" t="n">
        <f aca="false">SUMIFS(Acerto_Detalhado!$J$2:$J$433,Acerto_Detalhado!$A$2:$A$433,C$73,Acerto_Detalhado!$B$2:$B$433,$A73,Acerto_Detalhado!$C$2:$C$433,"Proteina")</f>
        <v>34463.9145177114</v>
      </c>
      <c r="D82" s="16" t="n">
        <f aca="false">SUMIFS(Acerto_Detalhado!$J$2:$J$433,Acerto_Detalhado!$A$2:$A$433,D$73,Acerto_Detalhado!$B$2:$B$433,$A73,Acerto_Detalhado!$C$2:$C$433,"Proteina")</f>
        <v>60962.6708586009</v>
      </c>
      <c r="E82" s="16" t="n">
        <f aca="false">SUMIFS(Acerto_Detalhado!$J$2:$J$433,Acerto_Detalhado!$A$2:$A$433,E$73,Acerto_Detalhado!$B$2:$B$433,$A73,Acerto_Detalhado!$C$2:$C$433,"Proteina")</f>
        <v>0</v>
      </c>
      <c r="F82" s="16" t="n">
        <f aca="false">SUMIFS(Acerto_Detalhado!$J$2:$J$433,Acerto_Detalhado!$A$2:$A$433,F$73,Acerto_Detalhado!$B$2:$B$433,$A73,Acerto_Detalhado!$C$2:$C$433,"Proteina")</f>
        <v>0</v>
      </c>
      <c r="G82" s="16" t="n">
        <f aca="false">SUMIFS(Acerto_Detalhado!$J$2:$J$433,Acerto_Detalhado!$A$2:$A$433,G$73,Acerto_Detalhado!$B$2:$B$433,$A73,Acerto_Detalhado!$C$2:$C$433,"Proteina")</f>
        <v>38574.7883103783</v>
      </c>
      <c r="H82" s="16" t="n">
        <f aca="false">SUMIFS(Acerto_Detalhado!$J$2:$J$433,Acerto_Detalhado!$A$2:$A$433,H$73,Acerto_Detalhado!$B$2:$B$433,$A73,Acerto_Detalhado!$C$2:$C$433,"Proteina")</f>
        <v>0</v>
      </c>
      <c r="I82" s="16" t="n">
        <f aca="false">SUMIFS(Acerto_Detalhado!$J$2:$J$433,Acerto_Detalhado!$A$2:$A$433,I$73,Acerto_Detalhado!$B$2:$B$433,$A73,Acerto_Detalhado!$C$2:$C$433,"Proteina")</f>
        <v>0</v>
      </c>
      <c r="J82" s="16" t="n">
        <f aca="false">SUMIFS(Acerto_Detalhado!$J$2:$J$433,Acerto_Detalhado!$A$2:$A$433,J$73,Acerto_Detalhado!$B$2:$B$433,$A73,Acerto_Detalhado!$C$2:$C$433,"Proteina")</f>
        <v>0</v>
      </c>
      <c r="K82" s="16" t="n">
        <f aca="false">SUMIFS(Acerto_Detalhado!$J$2:$J$433,Acerto_Detalhado!$A$2:$A$433,K$73,Acerto_Detalhado!$B$2:$B$433,$A73,Acerto_Detalhado!$C$2:$C$433,"Proteina")</f>
        <v>42911.6491622074</v>
      </c>
      <c r="L82" s="16" t="n">
        <f aca="false">SUMIFS(Acerto_Detalhado!$J$2:$J$433,Acerto_Detalhado!$A$2:$A$433,L$73,Acerto_Detalhado!$B$2:$B$433,$A73,Acerto_Detalhado!$C$2:$C$433,"Proteina")</f>
        <v>0</v>
      </c>
      <c r="M82" s="16" t="n">
        <f aca="false">SUMIFS(Acerto_Detalhado!$J$2:$J$433,Acerto_Detalhado!$A$2:$A$433,M$73,Acerto_Detalhado!$B$2:$B$433,$A73,Acerto_Detalhado!$C$2:$C$433,"Proteina")</f>
        <v>0</v>
      </c>
      <c r="N82" s="17" t="n">
        <f aca="false">SUM(B82:M82)</f>
        <v>176913.022848898</v>
      </c>
    </row>
    <row r="84" customFormat="false" ht="15" hidden="false" customHeight="false" outlineLevel="0" collapsed="false">
      <c r="A84" s="5" t="s">
        <v>65</v>
      </c>
      <c r="B84" s="6" t="s">
        <v>39</v>
      </c>
      <c r="C84" s="6" t="s">
        <v>40</v>
      </c>
      <c r="D84" s="6" t="s">
        <v>41</v>
      </c>
      <c r="E84" s="6" t="s">
        <v>42</v>
      </c>
      <c r="F84" s="6" t="s">
        <v>43</v>
      </c>
      <c r="G84" s="6" t="s">
        <v>44</v>
      </c>
      <c r="H84" s="6" t="s">
        <v>45</v>
      </c>
      <c r="I84" s="6" t="s">
        <v>46</v>
      </c>
      <c r="J84" s="6" t="s">
        <v>47</v>
      </c>
      <c r="K84" s="6" t="s">
        <v>48</v>
      </c>
      <c r="L84" s="6" t="s">
        <v>49</v>
      </c>
      <c r="M84" s="6" t="s">
        <v>50</v>
      </c>
      <c r="N84" s="6" t="s">
        <v>51</v>
      </c>
    </row>
    <row r="85" customFormat="false" ht="15" hidden="false" customHeight="false" outlineLevel="0" collapsed="false">
      <c r="A85" s="13" t="s">
        <v>74</v>
      </c>
      <c r="B85" s="10" t="n">
        <f aca="false">IF((SUMIFS(Desconto_Cliente_Mes!$D$2:$D$433,Desconto_Cliente_Mes!$A$2:$A$433,B$84,Desconto_Cliente_Mes!$B$2:$B$433,$A84,Desconto_Cliente_Mes!$C$2:$C$433,"Proteina"))=0,"",IFERROR(SUMIFS(Desconto_Cliente_Mes!$E$2:$E$433,Desconto_Cliente_Mes!$A$2:$A$433,B$84,Desconto_Cliente_Mes!$B$2:$B$433,$A84,Desconto_Cliente_Mes!$C$2:$C$433,"Proteina"),""))</f>
        <v>46.6847857656989</v>
      </c>
      <c r="C85" s="10" t="n">
        <f aca="false">IF((SUMIFS(Desconto_Cliente_Mes!$D$2:$D$433,Desconto_Cliente_Mes!$A$2:$A$433,C$84,Desconto_Cliente_Mes!$B$2:$B$433,$A84,Desconto_Cliente_Mes!$C$2:$C$433,"Proteina"))=0,"",IFERROR(SUMIFS(Desconto_Cliente_Mes!$E$2:$E$433,Desconto_Cliente_Mes!$A$2:$A$433,C$84,Desconto_Cliente_Mes!$B$2:$B$433,$A84,Desconto_Cliente_Mes!$C$2:$C$433,"Proteina"),""))</f>
        <v>47.4500461400965</v>
      </c>
      <c r="D85" s="10" t="n">
        <f aca="false">IF((SUMIFS(Desconto_Cliente_Mes!$D$2:$D$433,Desconto_Cliente_Mes!$A$2:$A$433,D$84,Desconto_Cliente_Mes!$B$2:$B$433,$A84,Desconto_Cliente_Mes!$C$2:$C$433,"Proteina"))=0,"",IFERROR(SUMIFS(Desconto_Cliente_Mes!$E$2:$E$433,Desconto_Cliente_Mes!$A$2:$A$433,D$84,Desconto_Cliente_Mes!$B$2:$B$433,$A84,Desconto_Cliente_Mes!$C$2:$C$433,"Proteina"),""))</f>
        <v>48.0554540770925</v>
      </c>
      <c r="E85" s="10" t="n">
        <f aca="false">IF((SUMIFS(Desconto_Cliente_Mes!$D$2:$D$433,Desconto_Cliente_Mes!$A$2:$A$433,E$84,Desconto_Cliente_Mes!$B$2:$B$433,$A84,Desconto_Cliente_Mes!$C$2:$C$433,"Proteina"))=0,"",IFERROR(SUMIFS(Desconto_Cliente_Mes!$E$2:$E$433,Desconto_Cliente_Mes!$A$2:$A$433,E$84,Desconto_Cliente_Mes!$B$2:$B$433,$A84,Desconto_Cliente_Mes!$C$2:$C$433,"Proteina"),""))</f>
        <v>47.1574070566611</v>
      </c>
      <c r="F85" s="10" t="n">
        <f aca="false">IF((SUMIFS(Desconto_Cliente_Mes!$D$2:$D$433,Desconto_Cliente_Mes!$A$2:$A$433,F$84,Desconto_Cliente_Mes!$B$2:$B$433,$A84,Desconto_Cliente_Mes!$C$2:$C$433,"Proteina"))=0,"",IFERROR(SUMIFS(Desconto_Cliente_Mes!$E$2:$E$433,Desconto_Cliente_Mes!$A$2:$A$433,F$84,Desconto_Cliente_Mes!$B$2:$B$433,$A84,Desconto_Cliente_Mes!$C$2:$C$433,"Proteina"),""))</f>
        <v>47.0074795578402</v>
      </c>
      <c r="G85" s="10" t="n">
        <f aca="false">IF((SUMIFS(Desconto_Cliente_Mes!$D$2:$D$433,Desconto_Cliente_Mes!$A$2:$A$433,G$84,Desconto_Cliente_Mes!$B$2:$B$433,$A84,Desconto_Cliente_Mes!$C$2:$C$433,"Proteina"))=0,"",IFERROR(SUMIFS(Desconto_Cliente_Mes!$E$2:$E$433,Desconto_Cliente_Mes!$A$2:$A$433,G$84,Desconto_Cliente_Mes!$B$2:$B$433,$A84,Desconto_Cliente_Mes!$C$2:$C$433,"Proteina"),""))</f>
        <v>47.1529461529715</v>
      </c>
      <c r="H85" s="10" t="n">
        <f aca="false">IF((SUMIFS(Desconto_Cliente_Mes!$D$2:$D$433,Desconto_Cliente_Mes!$A$2:$A$433,H$84,Desconto_Cliente_Mes!$B$2:$B$433,$A84,Desconto_Cliente_Mes!$C$2:$C$433,"Proteina"))=0,"",IFERROR(SUMIFS(Desconto_Cliente_Mes!$E$2:$E$433,Desconto_Cliente_Mes!$A$2:$A$433,H$84,Desconto_Cliente_Mes!$B$2:$B$433,$A84,Desconto_Cliente_Mes!$C$2:$C$433,"Proteina"),""))</f>
        <v>47.2132038384401</v>
      </c>
      <c r="I85" s="10" t="n">
        <f aca="false">IF((SUMIFS(Desconto_Cliente_Mes!$D$2:$D$433,Desconto_Cliente_Mes!$A$2:$A$433,I$84,Desconto_Cliente_Mes!$B$2:$B$433,$A84,Desconto_Cliente_Mes!$C$2:$C$433,"Proteina"))=0,"",IFERROR(SUMIFS(Desconto_Cliente_Mes!$E$2:$E$433,Desconto_Cliente_Mes!$A$2:$A$433,I$84,Desconto_Cliente_Mes!$B$2:$B$433,$A84,Desconto_Cliente_Mes!$C$2:$C$433,"Proteina"),""))</f>
        <v>47.4047032719217</v>
      </c>
      <c r="J85" s="10" t="str">
        <f aca="false">IF((SUMIFS(Desconto_Cliente_Mes!$D$2:$D$433,Desconto_Cliente_Mes!$A$2:$A$433,J$84,Desconto_Cliente_Mes!$B$2:$B$433,$A84,Desconto_Cliente_Mes!$C$2:$C$433,"Proteina"))=0,"",IFERROR(SUMIFS(Desconto_Cliente_Mes!$E$2:$E$433,Desconto_Cliente_Mes!$A$2:$A$433,J$84,Desconto_Cliente_Mes!$B$2:$B$433,$A84,Desconto_Cliente_Mes!$C$2:$C$433,"Proteina"),""))</f>
        <v/>
      </c>
      <c r="K85" s="10" t="n">
        <f aca="false">IF((SUMIFS(Desconto_Cliente_Mes!$D$2:$D$433,Desconto_Cliente_Mes!$A$2:$A$433,K$84,Desconto_Cliente_Mes!$B$2:$B$433,$A84,Desconto_Cliente_Mes!$C$2:$C$433,"Proteina"))=0,"",IFERROR(SUMIFS(Desconto_Cliente_Mes!$E$2:$E$433,Desconto_Cliente_Mes!$A$2:$A$433,K$84,Desconto_Cliente_Mes!$B$2:$B$433,$A84,Desconto_Cliente_Mes!$C$2:$C$433,"Proteina"),""))</f>
        <v>47.4182555165157</v>
      </c>
      <c r="L85" s="10" t="str">
        <f aca="false">IF((SUMIFS(Desconto_Cliente_Mes!$D$2:$D$433,Desconto_Cliente_Mes!$A$2:$A$433,L$84,Desconto_Cliente_Mes!$B$2:$B$433,$A84,Desconto_Cliente_Mes!$C$2:$C$433,"Proteina"))=0,"",IFERROR(SUMIFS(Desconto_Cliente_Mes!$E$2:$E$433,Desconto_Cliente_Mes!$A$2:$A$433,L$84,Desconto_Cliente_Mes!$B$2:$B$433,$A84,Desconto_Cliente_Mes!$C$2:$C$433,"Proteina"),""))</f>
        <v/>
      </c>
      <c r="M85" s="10" t="str">
        <f aca="false">IF((SUMIFS(Desconto_Cliente_Mes!$D$2:$D$433,Desconto_Cliente_Mes!$A$2:$A$433,M$84,Desconto_Cliente_Mes!$B$2:$B$433,$A84,Desconto_Cliente_Mes!$C$2:$C$433,"Proteina"))=0,"",IFERROR(SUMIFS(Desconto_Cliente_Mes!$E$2:$E$433,Desconto_Cliente_Mes!$A$2:$A$433,M$84,Desconto_Cliente_Mes!$B$2:$B$433,$A84,Desconto_Cliente_Mes!$C$2:$C$433,"Proteina"),""))</f>
        <v/>
      </c>
      <c r="N85" s="11" t="n">
        <f aca="false">IFERROR(Media_Pool_Mes!C9,"")</f>
        <v>47.3199561197423</v>
      </c>
    </row>
    <row r="86" customFormat="false" ht="15" hidden="false" customHeight="false" outlineLevel="0" collapsed="false">
      <c r="A86" s="13" t="s">
        <v>75</v>
      </c>
      <c r="B86" s="8" t="n">
        <f aca="false">IFERROR(SUMIFS(Desconto_Cliente_Mes!$D$2:$D$433,Desconto_Cliente_Mes!$A$2:$A$433,B$84,Desconto_Cliente_Mes!$B$2:$B$433,$A84,Desconto_Cliente_Mes!$C$2:$C$433,"Proteina"),0)</f>
        <v>44263.22</v>
      </c>
      <c r="C86" s="8" t="n">
        <f aca="false">IFERROR(SUMIFS(Desconto_Cliente_Mes!$D$2:$D$433,Desconto_Cliente_Mes!$A$2:$A$433,C$84,Desconto_Cliente_Mes!$B$2:$B$433,$A84,Desconto_Cliente_Mes!$C$2:$C$433,"Proteina"),0)</f>
        <v>43335.41</v>
      </c>
      <c r="D86" s="8" t="n">
        <f aca="false">IFERROR(SUMIFS(Desconto_Cliente_Mes!$D$2:$D$433,Desconto_Cliente_Mes!$A$2:$A$433,D$84,Desconto_Cliente_Mes!$B$2:$B$433,$A84,Desconto_Cliente_Mes!$C$2:$C$433,"Proteina"),0)</f>
        <v>77775.89</v>
      </c>
      <c r="E86" s="8" t="n">
        <f aca="false">IFERROR(SUMIFS(Desconto_Cliente_Mes!$D$2:$D$433,Desconto_Cliente_Mes!$A$2:$A$433,E$84,Desconto_Cliente_Mes!$B$2:$B$433,$A84,Desconto_Cliente_Mes!$C$2:$C$433,"Proteina"),0)</f>
        <v>5005.2</v>
      </c>
      <c r="F86" s="8" t="n">
        <f aca="false">IFERROR(SUMIFS(Desconto_Cliente_Mes!$D$2:$D$433,Desconto_Cliente_Mes!$A$2:$A$433,F$84,Desconto_Cliente_Mes!$B$2:$B$433,$A84,Desconto_Cliente_Mes!$C$2:$C$433,"Proteina"),0)</f>
        <v>70028.07</v>
      </c>
      <c r="G86" s="8" t="n">
        <f aca="false">IFERROR(SUMIFS(Desconto_Cliente_Mes!$D$2:$D$433,Desconto_Cliente_Mes!$A$2:$A$433,G$84,Desconto_Cliente_Mes!$B$2:$B$433,$A84,Desconto_Cliente_Mes!$C$2:$C$433,"Proteina"),0)</f>
        <v>47668.74</v>
      </c>
      <c r="H86" s="8" t="n">
        <f aca="false">IFERROR(SUMIFS(Desconto_Cliente_Mes!$D$2:$D$433,Desconto_Cliente_Mes!$A$2:$A$433,H$84,Desconto_Cliente_Mes!$B$2:$B$433,$A84,Desconto_Cliente_Mes!$C$2:$C$433,"Proteina"),0)</f>
        <v>78501.68</v>
      </c>
      <c r="I86" s="8" t="n">
        <f aca="false">IFERROR(SUMIFS(Desconto_Cliente_Mes!$D$2:$D$433,Desconto_Cliente_Mes!$A$2:$A$433,I$84,Desconto_Cliente_Mes!$B$2:$B$433,$A84,Desconto_Cliente_Mes!$C$2:$C$433,"Proteina"),0)</f>
        <v>11582.49</v>
      </c>
      <c r="J86" s="8" t="n">
        <f aca="false">IFERROR(SUMIFS(Desconto_Cliente_Mes!$D$2:$D$433,Desconto_Cliente_Mes!$A$2:$A$433,J$84,Desconto_Cliente_Mes!$B$2:$B$433,$A84,Desconto_Cliente_Mes!$C$2:$C$433,"Proteina"),0)</f>
        <v>0</v>
      </c>
      <c r="K86" s="8" t="n">
        <f aca="false">IFERROR(SUMIFS(Desconto_Cliente_Mes!$D$2:$D$433,Desconto_Cliente_Mes!$A$2:$A$433,K$84,Desconto_Cliente_Mes!$B$2:$B$433,$A84,Desconto_Cliente_Mes!$C$2:$C$433,"Proteina"),0)</f>
        <v>33862.86</v>
      </c>
      <c r="L86" s="8" t="n">
        <f aca="false">IFERROR(SUMIFS(Desconto_Cliente_Mes!$D$2:$D$433,Desconto_Cliente_Mes!$A$2:$A$433,L$84,Desconto_Cliente_Mes!$B$2:$B$433,$A84,Desconto_Cliente_Mes!$C$2:$C$433,"Proteina"),0)</f>
        <v>0</v>
      </c>
      <c r="M86" s="8" t="n">
        <f aca="false">IFERROR(SUMIFS(Desconto_Cliente_Mes!$D$2:$D$433,Desconto_Cliente_Mes!$A$2:$A$433,M$84,Desconto_Cliente_Mes!$B$2:$B$433,$A84,Desconto_Cliente_Mes!$C$2:$C$433,"Proteina"),0)</f>
        <v>0</v>
      </c>
      <c r="N86" s="9" t="n">
        <f aca="false">SUM(B86:M86)</f>
        <v>412023.56</v>
      </c>
    </row>
    <row r="87" customFormat="false" ht="15" hidden="false" customHeight="false" outlineLevel="0" collapsed="false">
      <c r="A87" s="13" t="s">
        <v>76</v>
      </c>
      <c r="B87" s="15" t="n">
        <f aca="false">MAX(0,(SUMIFS(Desconto_Cliente_Mes!$L$2:$L$433,Desconto_Cliente_Mes!$A$2:$A$433,B$84,Desconto_Cliente_Mes!$B$2:$B$433,$A84,Desconto_Cliente_Mes!$C$2:$C$433,"Proteina"))-(SUMIFS(Desconto_Cliente_Mes!$N$2:$N$433,Desconto_Cliente_Mes!$A$2:$A$433,B$84,Desconto_Cliente_Mes!$B$2:$B$433,$A84,Desconto_Cliente_Mes!$C$2:$C$433,"Proteina")))</f>
        <v>0.31995611974228</v>
      </c>
      <c r="C87" s="15" t="n">
        <f aca="false">MAX(0,(SUMIFS(Desconto_Cliente_Mes!$L$2:$L$433,Desconto_Cliente_Mes!$A$2:$A$433,C$84,Desconto_Cliente_Mes!$B$2:$B$433,$A84,Desconto_Cliente_Mes!$C$2:$C$433,"Proteina"))-(SUMIFS(Desconto_Cliente_Mes!$N$2:$N$433,Desconto_Cliente_Mes!$A$2:$A$433,C$84,Desconto_Cliente_Mes!$B$2:$B$433,$A84,Desconto_Cliente_Mes!$C$2:$C$433,"Proteina")))</f>
        <v>0</v>
      </c>
      <c r="D87" s="15" t="n">
        <f aca="false">MAX(0,(SUMIFS(Desconto_Cliente_Mes!$L$2:$L$433,Desconto_Cliente_Mes!$A$2:$A$433,D$84,Desconto_Cliente_Mes!$B$2:$B$433,$A84,Desconto_Cliente_Mes!$C$2:$C$433,"Proteina"))-(SUMIFS(Desconto_Cliente_Mes!$N$2:$N$433,Desconto_Cliente_Mes!$A$2:$A$433,D$84,Desconto_Cliente_Mes!$B$2:$B$433,$A84,Desconto_Cliente_Mes!$C$2:$C$433,"Proteina")))</f>
        <v>0</v>
      </c>
      <c r="E87" s="15" t="n">
        <f aca="false">MAX(0,(SUMIFS(Desconto_Cliente_Mes!$L$2:$L$433,Desconto_Cliente_Mes!$A$2:$A$433,E$84,Desconto_Cliente_Mes!$B$2:$B$433,$A84,Desconto_Cliente_Mes!$C$2:$C$433,"Proteina"))-(SUMIFS(Desconto_Cliente_Mes!$N$2:$N$433,Desconto_Cliente_Mes!$A$2:$A$433,E$84,Desconto_Cliente_Mes!$B$2:$B$433,$A84,Desconto_Cliente_Mes!$C$2:$C$433,"Proteina")))</f>
        <v>0.162549063081201</v>
      </c>
      <c r="F87" s="15" t="n">
        <f aca="false">MAX(0,(SUMIFS(Desconto_Cliente_Mes!$L$2:$L$433,Desconto_Cliente_Mes!$A$2:$A$433,F$84,Desconto_Cliente_Mes!$B$2:$B$433,$A84,Desconto_Cliente_Mes!$C$2:$C$433,"Proteina"))-(SUMIFS(Desconto_Cliente_Mes!$N$2:$N$433,Desconto_Cliente_Mes!$A$2:$A$433,F$84,Desconto_Cliente_Mes!$B$2:$B$433,$A84,Desconto_Cliente_Mes!$C$2:$C$433,"Proteina")))</f>
        <v>0.312476561902116</v>
      </c>
      <c r="G87" s="15" t="n">
        <f aca="false">MAX(0,(SUMIFS(Desconto_Cliente_Mes!$L$2:$L$433,Desconto_Cliente_Mes!$A$2:$A$433,G$84,Desconto_Cliente_Mes!$B$2:$B$433,$A84,Desconto_Cliente_Mes!$C$2:$C$433,"Proteina"))-(SUMIFS(Desconto_Cliente_Mes!$N$2:$N$433,Desconto_Cliente_Mes!$A$2:$A$433,G$84,Desconto_Cliente_Mes!$B$2:$B$433,$A84,Desconto_Cliente_Mes!$C$2:$C$433,"Proteina")))</f>
        <v>0.167009966770749</v>
      </c>
      <c r="H87" s="15" t="n">
        <f aca="false">MAX(0,(SUMIFS(Desconto_Cliente_Mes!$L$2:$L$433,Desconto_Cliente_Mes!$A$2:$A$433,H$84,Desconto_Cliente_Mes!$B$2:$B$433,$A84,Desconto_Cliente_Mes!$C$2:$C$433,"Proteina"))-(SUMIFS(Desconto_Cliente_Mes!$N$2:$N$433,Desconto_Cliente_Mes!$A$2:$A$433,H$84,Desconto_Cliente_Mes!$B$2:$B$433,$A84,Desconto_Cliente_Mes!$C$2:$C$433,"Proteina")))</f>
        <v>0.106752281302136</v>
      </c>
      <c r="I87" s="15" t="n">
        <f aca="false">MAX(0,(SUMIFS(Desconto_Cliente_Mes!$L$2:$L$433,Desconto_Cliente_Mes!$A$2:$A$433,I$84,Desconto_Cliente_Mes!$B$2:$B$433,$A84,Desconto_Cliente_Mes!$C$2:$C$433,"Proteina"))-(SUMIFS(Desconto_Cliente_Mes!$N$2:$N$433,Desconto_Cliente_Mes!$A$2:$A$433,I$84,Desconto_Cliente_Mes!$B$2:$B$433,$A84,Desconto_Cliente_Mes!$C$2:$C$433,"Proteina")))</f>
        <v>0</v>
      </c>
      <c r="J87" s="15" t="n">
        <f aca="false">MAX(0,(SUMIFS(Desconto_Cliente_Mes!$L$2:$L$433,Desconto_Cliente_Mes!$A$2:$A$433,J$84,Desconto_Cliente_Mes!$B$2:$B$433,$A84,Desconto_Cliente_Mes!$C$2:$C$433,"Proteina"))-(SUMIFS(Desconto_Cliente_Mes!$N$2:$N$433,Desconto_Cliente_Mes!$A$2:$A$433,J$84,Desconto_Cliente_Mes!$B$2:$B$433,$A84,Desconto_Cliente_Mes!$C$2:$C$433,"Proteina")))</f>
        <v>0</v>
      </c>
      <c r="K87" s="15" t="n">
        <f aca="false">MAX(0,(SUMIFS(Desconto_Cliente_Mes!$L$2:$L$433,Desconto_Cliente_Mes!$A$2:$A$433,K$84,Desconto_Cliente_Mes!$B$2:$B$433,$A84,Desconto_Cliente_Mes!$C$2:$C$433,"Proteina"))-(SUMIFS(Desconto_Cliente_Mes!$N$2:$N$433,Desconto_Cliente_Mes!$A$2:$A$433,K$84,Desconto_Cliente_Mes!$B$2:$B$433,$A84,Desconto_Cliente_Mes!$C$2:$C$433,"Proteina")))</f>
        <v>0</v>
      </c>
      <c r="L87" s="15" t="n">
        <f aca="false">MAX(0,(SUMIFS(Desconto_Cliente_Mes!$L$2:$L$433,Desconto_Cliente_Mes!$A$2:$A$433,L$84,Desconto_Cliente_Mes!$B$2:$B$433,$A84,Desconto_Cliente_Mes!$C$2:$C$433,"Proteina"))-(SUMIFS(Desconto_Cliente_Mes!$N$2:$N$433,Desconto_Cliente_Mes!$A$2:$A$433,L$84,Desconto_Cliente_Mes!$B$2:$B$433,$A84,Desconto_Cliente_Mes!$C$2:$C$433,"Proteina")))</f>
        <v>0</v>
      </c>
      <c r="M87" s="15" t="n">
        <f aca="false">MAX(0,(SUMIFS(Desconto_Cliente_Mes!$L$2:$L$433,Desconto_Cliente_Mes!$A$2:$A$433,M$84,Desconto_Cliente_Mes!$B$2:$B$433,$A84,Desconto_Cliente_Mes!$C$2:$C$433,"Proteina"))-(SUMIFS(Desconto_Cliente_Mes!$N$2:$N$433,Desconto_Cliente_Mes!$A$2:$A$433,M$84,Desconto_Cliente_Mes!$B$2:$B$433,$A84,Desconto_Cliente_Mes!$C$2:$C$433,"Proteina")))</f>
        <v>0</v>
      </c>
    </row>
    <row r="88" customFormat="false" ht="15" hidden="false" customHeight="false" outlineLevel="0" collapsed="false">
      <c r="A88" s="13" t="s">
        <v>77</v>
      </c>
      <c r="B88" s="15" t="n">
        <f aca="false">MAX(0,(SUMIFS(Desconto_Cliente_Mes!$N$2:$N$433,Desconto_Cliente_Mes!$A$2:$A$433,B$84,Desconto_Cliente_Mes!$B$2:$B$433,$A84,Desconto_Cliente_Mes!$C$2:$C$433,"Proteina"))-(SUMIFS(Desconto_Cliente_Mes!$P$2:$P$433,Desconto_Cliente_Mes!$A$2:$A$433,B$84,Desconto_Cliente_Mes!$B$2:$B$433,$A84,Desconto_Cliente_Mes!$C$2:$C$433,"Proteina")))</f>
        <v>0.315214234301074</v>
      </c>
      <c r="C88" s="15" t="n">
        <f aca="false">MAX(0,(SUMIFS(Desconto_Cliente_Mes!$N$2:$N$433,Desconto_Cliente_Mes!$A$2:$A$433,C$84,Desconto_Cliente_Mes!$B$2:$B$433,$A84,Desconto_Cliente_Mes!$C$2:$C$433,"Proteina"))-(SUMIFS(Desconto_Cliente_Mes!$P$2:$P$433,Desconto_Cliente_Mes!$A$2:$A$433,C$84,Desconto_Cliente_Mes!$B$2:$B$433,$A84,Desconto_Cliente_Mes!$C$2:$C$433,"Proteina")))</f>
        <v>0</v>
      </c>
      <c r="D88" s="15" t="n">
        <f aca="false">MAX(0,(SUMIFS(Desconto_Cliente_Mes!$N$2:$N$433,Desconto_Cliente_Mes!$A$2:$A$433,D$84,Desconto_Cliente_Mes!$B$2:$B$433,$A84,Desconto_Cliente_Mes!$C$2:$C$433,"Proteina"))-(SUMIFS(Desconto_Cliente_Mes!$P$2:$P$433,Desconto_Cliente_Mes!$A$2:$A$433,D$84,Desconto_Cliente_Mes!$B$2:$B$433,$A84,Desconto_Cliente_Mes!$C$2:$C$433,"Proteina")))</f>
        <v>0</v>
      </c>
      <c r="E88" s="15" t="n">
        <f aca="false">MAX(0,(SUMIFS(Desconto_Cliente_Mes!$N$2:$N$433,Desconto_Cliente_Mes!$A$2:$A$433,E$84,Desconto_Cliente_Mes!$B$2:$B$433,$A84,Desconto_Cliente_Mes!$C$2:$C$433,"Proteina"))-(SUMIFS(Desconto_Cliente_Mes!$P$2:$P$433,Desconto_Cliente_Mes!$A$2:$A$433,E$84,Desconto_Cliente_Mes!$B$2:$B$433,$A84,Desconto_Cliente_Mes!$C$2:$C$433,"Proteina")))</f>
        <v>0</v>
      </c>
      <c r="F88" s="15" t="n">
        <f aca="false">MAX(0,(SUMIFS(Desconto_Cliente_Mes!$N$2:$N$433,Desconto_Cliente_Mes!$A$2:$A$433,F$84,Desconto_Cliente_Mes!$B$2:$B$433,$A84,Desconto_Cliente_Mes!$C$2:$C$433,"Proteina"))-(SUMIFS(Desconto_Cliente_Mes!$P$2:$P$433,Desconto_Cliente_Mes!$A$2:$A$433,F$84,Desconto_Cliente_Mes!$B$2:$B$433,$A84,Desconto_Cliente_Mes!$C$2:$C$433,"Proteina")))</f>
        <v>0</v>
      </c>
      <c r="G88" s="15" t="n">
        <f aca="false">MAX(0,(SUMIFS(Desconto_Cliente_Mes!$N$2:$N$433,Desconto_Cliente_Mes!$A$2:$A$433,G$84,Desconto_Cliente_Mes!$B$2:$B$433,$A84,Desconto_Cliente_Mes!$C$2:$C$433,"Proteina"))-(SUMIFS(Desconto_Cliente_Mes!$P$2:$P$433,Desconto_Cliente_Mes!$A$2:$A$433,G$84,Desconto_Cliente_Mes!$B$2:$B$433,$A84,Desconto_Cliente_Mes!$C$2:$C$433,"Proteina")))</f>
        <v>0</v>
      </c>
      <c r="H88" s="15" t="n">
        <f aca="false">MAX(0,(SUMIFS(Desconto_Cliente_Mes!$N$2:$N$433,Desconto_Cliente_Mes!$A$2:$A$433,H$84,Desconto_Cliente_Mes!$B$2:$B$433,$A84,Desconto_Cliente_Mes!$C$2:$C$433,"Proteina"))-(SUMIFS(Desconto_Cliente_Mes!$P$2:$P$433,Desconto_Cliente_Mes!$A$2:$A$433,H$84,Desconto_Cliente_Mes!$B$2:$B$433,$A84,Desconto_Cliente_Mes!$C$2:$C$433,"Proteina")))</f>
        <v>0</v>
      </c>
      <c r="I88" s="15" t="n">
        <f aca="false">MAX(0,(SUMIFS(Desconto_Cliente_Mes!$N$2:$N$433,Desconto_Cliente_Mes!$A$2:$A$433,I$84,Desconto_Cliente_Mes!$B$2:$B$433,$A84,Desconto_Cliente_Mes!$C$2:$C$433,"Proteina"))-(SUMIFS(Desconto_Cliente_Mes!$P$2:$P$433,Desconto_Cliente_Mes!$A$2:$A$433,I$84,Desconto_Cliente_Mes!$B$2:$B$433,$A84,Desconto_Cliente_Mes!$C$2:$C$433,"Proteina")))</f>
        <v>0</v>
      </c>
      <c r="J88" s="15" t="n">
        <f aca="false">MAX(0,(SUMIFS(Desconto_Cliente_Mes!$N$2:$N$433,Desconto_Cliente_Mes!$A$2:$A$433,J$84,Desconto_Cliente_Mes!$B$2:$B$433,$A84,Desconto_Cliente_Mes!$C$2:$C$433,"Proteina"))-(SUMIFS(Desconto_Cliente_Mes!$P$2:$P$433,Desconto_Cliente_Mes!$A$2:$A$433,J$84,Desconto_Cliente_Mes!$B$2:$B$433,$A84,Desconto_Cliente_Mes!$C$2:$C$433,"Proteina")))</f>
        <v>0</v>
      </c>
      <c r="K88" s="15" t="n">
        <f aca="false">MAX(0,(SUMIFS(Desconto_Cliente_Mes!$N$2:$N$433,Desconto_Cliente_Mes!$A$2:$A$433,K$84,Desconto_Cliente_Mes!$B$2:$B$433,$A84,Desconto_Cliente_Mes!$C$2:$C$433,"Proteina"))-(SUMIFS(Desconto_Cliente_Mes!$P$2:$P$433,Desconto_Cliente_Mes!$A$2:$A$433,K$84,Desconto_Cliente_Mes!$B$2:$B$433,$A84,Desconto_Cliente_Mes!$C$2:$C$433,"Proteina")))</f>
        <v>0</v>
      </c>
      <c r="L88" s="15" t="n">
        <f aca="false">MAX(0,(SUMIFS(Desconto_Cliente_Mes!$N$2:$N$433,Desconto_Cliente_Mes!$A$2:$A$433,L$84,Desconto_Cliente_Mes!$B$2:$B$433,$A84,Desconto_Cliente_Mes!$C$2:$C$433,"Proteina"))-(SUMIFS(Desconto_Cliente_Mes!$P$2:$P$433,Desconto_Cliente_Mes!$A$2:$A$433,L$84,Desconto_Cliente_Mes!$B$2:$B$433,$A84,Desconto_Cliente_Mes!$C$2:$C$433,"Proteina")))</f>
        <v>0</v>
      </c>
      <c r="M88" s="15" t="n">
        <f aca="false">MAX(0,(SUMIFS(Desconto_Cliente_Mes!$N$2:$N$433,Desconto_Cliente_Mes!$A$2:$A$433,M$84,Desconto_Cliente_Mes!$B$2:$B$433,$A84,Desconto_Cliente_Mes!$C$2:$C$433,"Proteina"))-(SUMIFS(Desconto_Cliente_Mes!$P$2:$P$433,Desconto_Cliente_Mes!$A$2:$A$433,M$84,Desconto_Cliente_Mes!$B$2:$B$433,$A84,Desconto_Cliente_Mes!$C$2:$C$433,"Proteina")))</f>
        <v>0</v>
      </c>
    </row>
    <row r="89" customFormat="false" ht="15" hidden="false" customHeight="false" outlineLevel="0" collapsed="false">
      <c r="A89" s="13" t="s">
        <v>78</v>
      </c>
      <c r="B89" s="15" t="n">
        <f aca="false">MAX(0,SUMIFS(Desconto_Cliente_Mes!$P$2:$P$433,Desconto_Cliente_Mes!$A$2:$A$433,B$84,Desconto_Cliente_Mes!$B$2:$B$433,$A84,Desconto_Cliente_Mes!$C$2:$C$433,"Proteina"))</f>
        <v>0</v>
      </c>
      <c r="C89" s="15" t="n">
        <f aca="false">MAX(0,SUMIFS(Desconto_Cliente_Mes!$P$2:$P$433,Desconto_Cliente_Mes!$A$2:$A$433,C$84,Desconto_Cliente_Mes!$B$2:$B$433,$A84,Desconto_Cliente_Mes!$C$2:$C$433,"Proteina"))</f>
        <v>0</v>
      </c>
      <c r="D89" s="15" t="n">
        <f aca="false">MAX(0,SUMIFS(Desconto_Cliente_Mes!$P$2:$P$433,Desconto_Cliente_Mes!$A$2:$A$433,D$84,Desconto_Cliente_Mes!$B$2:$B$433,$A84,Desconto_Cliente_Mes!$C$2:$C$433,"Proteina"))</f>
        <v>0</v>
      </c>
      <c r="E89" s="15" t="n">
        <f aca="false">MAX(0,SUMIFS(Desconto_Cliente_Mes!$P$2:$P$433,Desconto_Cliente_Mes!$A$2:$A$433,E$84,Desconto_Cliente_Mes!$B$2:$B$433,$A84,Desconto_Cliente_Mes!$C$2:$C$433,"Proteina"))</f>
        <v>0</v>
      </c>
      <c r="F89" s="15" t="n">
        <f aca="false">MAX(0,SUMIFS(Desconto_Cliente_Mes!$P$2:$P$433,Desconto_Cliente_Mes!$A$2:$A$433,F$84,Desconto_Cliente_Mes!$B$2:$B$433,$A84,Desconto_Cliente_Mes!$C$2:$C$433,"Proteina"))</f>
        <v>0</v>
      </c>
      <c r="G89" s="15" t="n">
        <f aca="false">MAX(0,SUMIFS(Desconto_Cliente_Mes!$P$2:$P$433,Desconto_Cliente_Mes!$A$2:$A$433,G$84,Desconto_Cliente_Mes!$B$2:$B$433,$A84,Desconto_Cliente_Mes!$C$2:$C$433,"Proteina"))</f>
        <v>0</v>
      </c>
      <c r="H89" s="15" t="n">
        <f aca="false">MAX(0,SUMIFS(Desconto_Cliente_Mes!$P$2:$P$433,Desconto_Cliente_Mes!$A$2:$A$433,H$84,Desconto_Cliente_Mes!$B$2:$B$433,$A84,Desconto_Cliente_Mes!$C$2:$C$433,"Proteina"))</f>
        <v>0</v>
      </c>
      <c r="I89" s="15" t="n">
        <f aca="false">MAX(0,SUMIFS(Desconto_Cliente_Mes!$P$2:$P$433,Desconto_Cliente_Mes!$A$2:$A$433,I$84,Desconto_Cliente_Mes!$B$2:$B$433,$A84,Desconto_Cliente_Mes!$C$2:$C$433,"Proteina"))</f>
        <v>0</v>
      </c>
      <c r="J89" s="15" t="n">
        <f aca="false">MAX(0,SUMIFS(Desconto_Cliente_Mes!$P$2:$P$433,Desconto_Cliente_Mes!$A$2:$A$433,J$84,Desconto_Cliente_Mes!$B$2:$B$433,$A84,Desconto_Cliente_Mes!$C$2:$C$433,"Proteina"))</f>
        <v>0</v>
      </c>
      <c r="K89" s="15" t="n">
        <f aca="false">MAX(0,SUMIFS(Desconto_Cliente_Mes!$P$2:$P$433,Desconto_Cliente_Mes!$A$2:$A$433,K$84,Desconto_Cliente_Mes!$B$2:$B$433,$A84,Desconto_Cliente_Mes!$C$2:$C$433,"Proteina"))</f>
        <v>0</v>
      </c>
      <c r="L89" s="15" t="n">
        <f aca="false">MAX(0,SUMIFS(Desconto_Cliente_Mes!$P$2:$P$433,Desconto_Cliente_Mes!$A$2:$A$433,L$84,Desconto_Cliente_Mes!$B$2:$B$433,$A84,Desconto_Cliente_Mes!$C$2:$C$433,"Proteina"))</f>
        <v>0</v>
      </c>
      <c r="M89" s="15" t="n">
        <f aca="false">MAX(0,SUMIFS(Desconto_Cliente_Mes!$P$2:$P$433,Desconto_Cliente_Mes!$A$2:$A$433,M$84,Desconto_Cliente_Mes!$B$2:$B$433,$A84,Desconto_Cliente_Mes!$C$2:$C$433,"Proteina"))</f>
        <v>0</v>
      </c>
    </row>
    <row r="90" customFormat="false" ht="15" hidden="false" customHeight="false" outlineLevel="0" collapsed="false">
      <c r="A90" s="13" t="s">
        <v>79</v>
      </c>
      <c r="B90" s="16" t="n">
        <f aca="false">$B$86*($B$87/100)*(SUMIFS(Desconto_Cliente_Mes!$Q$2:$Q$433,Desconto_Cliente_Mes!$A$2:$A$433,B$84,Desconto_Cliente_Mes!$B$2:$B$433,$A84,Desconto_Cliente_Mes!$C$2:$C$433,"Proteina"))*(SUMIFS(Desconto_Cliente_Mes!$T$2:$T$433,Desconto_Cliente_Mes!$A$2:$A$433,B$84,Desconto_Cliente_Mes!$B$2:$B$433,$A84,Desconto_Cliente_Mes!$C$2:$C$433,"Proteina"))</f>
        <v>46169.0592663063</v>
      </c>
      <c r="C90" s="16" t="n">
        <f aca="false">$C$86*($C$87/100)*(SUMIFS(Desconto_Cliente_Mes!$Q$2:$Q$433,Desconto_Cliente_Mes!$A$2:$A$433,C$84,Desconto_Cliente_Mes!$B$2:$B$433,$A84,Desconto_Cliente_Mes!$C$2:$C$433,"Proteina"))*(SUMIFS(Desconto_Cliente_Mes!$T$2:$T$433,Desconto_Cliente_Mes!$A$2:$A$433,C$84,Desconto_Cliente_Mes!$B$2:$B$433,$A84,Desconto_Cliente_Mes!$C$2:$C$433,"Proteina"))</f>
        <v>0</v>
      </c>
      <c r="D90" s="16" t="n">
        <f aca="false">$D$86*($D$87/100)*(SUMIFS(Desconto_Cliente_Mes!$Q$2:$Q$433,Desconto_Cliente_Mes!$A$2:$A$433,D$84,Desconto_Cliente_Mes!$B$2:$B$433,$A84,Desconto_Cliente_Mes!$C$2:$C$433,"Proteina"))*(SUMIFS(Desconto_Cliente_Mes!$T$2:$T$433,Desconto_Cliente_Mes!$A$2:$A$433,D$84,Desconto_Cliente_Mes!$B$2:$B$433,$A84,Desconto_Cliente_Mes!$C$2:$C$433,"Proteina"))</f>
        <v>0</v>
      </c>
      <c r="E90" s="16" t="n">
        <f aca="false">$E$86*($E$87/100)*(SUMIFS(Desconto_Cliente_Mes!$Q$2:$Q$433,Desconto_Cliente_Mes!$A$2:$A$433,E$84,Desconto_Cliente_Mes!$B$2:$B$433,$A84,Desconto_Cliente_Mes!$C$2:$C$433,"Proteina"))*(SUMIFS(Desconto_Cliente_Mes!$T$2:$T$433,Desconto_Cliente_Mes!$A$2:$A$433,E$84,Desconto_Cliente_Mes!$B$2:$B$433,$A84,Desconto_Cliente_Mes!$C$2:$C$433,"Proteina"))</f>
        <v>2652.30525994093</v>
      </c>
      <c r="F90" s="16" t="n">
        <f aca="false">$F$86*($F$87/100)*(SUMIFS(Desconto_Cliente_Mes!$Q$2:$Q$433,Desconto_Cliente_Mes!$A$2:$A$433,F$84,Desconto_Cliente_Mes!$B$2:$B$433,$A84,Desconto_Cliente_Mes!$C$2:$C$433,"Proteina"))*(SUMIFS(Desconto_Cliente_Mes!$T$2:$T$433,Desconto_Cliente_Mes!$A$2:$A$433,F$84,Desconto_Cliente_Mes!$B$2:$B$433,$A84,Desconto_Cliente_Mes!$C$2:$C$433,"Proteina"))</f>
        <v>71335.7455937847</v>
      </c>
      <c r="G90" s="16" t="n">
        <f aca="false">$G$86*($G$87/100)*(SUMIFS(Desconto_Cliente_Mes!$Q$2:$Q$433,Desconto_Cliente_Mes!$A$2:$A$433,G$84,Desconto_Cliente_Mes!$B$2:$B$433,$A84,Desconto_Cliente_Mes!$C$2:$C$433,"Proteina"))*(SUMIFS(Desconto_Cliente_Mes!$T$2:$T$433,Desconto_Cliente_Mes!$A$2:$A$433,G$84,Desconto_Cliente_Mes!$B$2:$B$433,$A84,Desconto_Cliente_Mes!$C$2:$C$433,"Proteina"))</f>
        <v>25953.3642678953</v>
      </c>
      <c r="H90" s="16" t="n">
        <f aca="false">$H$86*($H$87/100)*(SUMIFS(Desconto_Cliente_Mes!$Q$2:$Q$433,Desconto_Cliente_Mes!$A$2:$A$433,H$84,Desconto_Cliente_Mes!$B$2:$B$433,$A84,Desconto_Cliente_Mes!$C$2:$C$433,"Proteina"))*(SUMIFS(Desconto_Cliente_Mes!$T$2:$T$433,Desconto_Cliente_Mes!$A$2:$A$433,H$84,Desconto_Cliente_Mes!$B$2:$B$433,$A84,Desconto_Cliente_Mes!$C$2:$C$433,"Proteina"))</f>
        <v>27319.5609689237</v>
      </c>
      <c r="I90" s="16" t="n">
        <f aca="false">$I$86*($I$87/100)*(SUMIFS(Desconto_Cliente_Mes!$Q$2:$Q$433,Desconto_Cliente_Mes!$A$2:$A$433,I$84,Desconto_Cliente_Mes!$B$2:$B$433,$A84,Desconto_Cliente_Mes!$C$2:$C$433,"Proteina"))*(SUMIFS(Desconto_Cliente_Mes!$T$2:$T$433,Desconto_Cliente_Mes!$A$2:$A$433,I$84,Desconto_Cliente_Mes!$B$2:$B$433,$A84,Desconto_Cliente_Mes!$C$2:$C$433,"Proteina"))</f>
        <v>0</v>
      </c>
      <c r="J90" s="16" t="n">
        <f aca="false">$J$86*($J$87/100)*(SUMIFS(Desconto_Cliente_Mes!$Q$2:$Q$433,Desconto_Cliente_Mes!$A$2:$A$433,J$84,Desconto_Cliente_Mes!$B$2:$B$433,$A84,Desconto_Cliente_Mes!$C$2:$C$433,"Proteina"))*(SUMIFS(Desconto_Cliente_Mes!$T$2:$T$433,Desconto_Cliente_Mes!$A$2:$A$433,J$84,Desconto_Cliente_Mes!$B$2:$B$433,$A84,Desconto_Cliente_Mes!$C$2:$C$433,"Proteina"))</f>
        <v>0</v>
      </c>
      <c r="K90" s="16" t="n">
        <f aca="false">$K$86*($K$87/100)*(SUMIFS(Desconto_Cliente_Mes!$Q$2:$Q$433,Desconto_Cliente_Mes!$A$2:$A$433,K$84,Desconto_Cliente_Mes!$B$2:$B$433,$A84,Desconto_Cliente_Mes!$C$2:$C$433,"Proteina"))*(SUMIFS(Desconto_Cliente_Mes!$T$2:$T$433,Desconto_Cliente_Mes!$A$2:$A$433,K$84,Desconto_Cliente_Mes!$B$2:$B$433,$A84,Desconto_Cliente_Mes!$C$2:$C$433,"Proteina"))</f>
        <v>0</v>
      </c>
      <c r="L90" s="16" t="n">
        <f aca="false">$L$86*($L$87/100)*(SUMIFS(Desconto_Cliente_Mes!$Q$2:$Q$433,Desconto_Cliente_Mes!$A$2:$A$433,L$84,Desconto_Cliente_Mes!$B$2:$B$433,$A84,Desconto_Cliente_Mes!$C$2:$C$433,"Proteina"))*(SUMIFS(Desconto_Cliente_Mes!$T$2:$T$433,Desconto_Cliente_Mes!$A$2:$A$433,L$84,Desconto_Cliente_Mes!$B$2:$B$433,$A84,Desconto_Cliente_Mes!$C$2:$C$433,"Proteina"))</f>
        <v>0</v>
      </c>
      <c r="M90" s="16" t="n">
        <f aca="false">$M$86*($M$87/100)*(SUMIFS(Desconto_Cliente_Mes!$Q$2:$Q$433,Desconto_Cliente_Mes!$A$2:$A$433,M$84,Desconto_Cliente_Mes!$B$2:$B$433,$A84,Desconto_Cliente_Mes!$C$2:$C$433,"Proteina"))*(SUMIFS(Desconto_Cliente_Mes!$T$2:$T$433,Desconto_Cliente_Mes!$A$2:$A$433,M$84,Desconto_Cliente_Mes!$B$2:$B$433,$A84,Desconto_Cliente_Mes!$C$2:$C$433,"Proteina"))</f>
        <v>0</v>
      </c>
      <c r="N90" s="17" t="n">
        <f aca="false">SUM(B90:M90)</f>
        <v>173430.035356851</v>
      </c>
    </row>
    <row r="91" customFormat="false" ht="15" hidden="false" customHeight="false" outlineLevel="0" collapsed="false">
      <c r="A91" s="13" t="s">
        <v>80</v>
      </c>
      <c r="B91" s="16" t="n">
        <f aca="false">$B$86*($B$88/100)*((IF(SUMIFS(Desconto_Cliente_Mes!$R$2:$R$433,Desconto_Cliente_Mes!$A$2:$A$433,B$84,Desconto_Cliente_Mes!$B$2:$B$433,$A84,Desconto_Cliente_Mes!$C$2:$C$433,"Proteina")="",SUMIFS(Desconto_Cliente_Mes!$Q$2:$Q$433,Desconto_Cliente_Mes!$A$2:$A$433,B$84,Desconto_Cliente_Mes!$B$2:$B$433,$A84,Desconto_Cliente_Mes!$C$2:$C$433,"Proteina"),SUMIFS(Desconto_Cliente_Mes!$R$2:$R$433,Desconto_Cliente_Mes!$A$2:$A$433,B$84,Desconto_Cliente_Mes!$B$2:$B$433,$A84,Desconto_Cliente_Mes!$C$2:$C$433,"Proteina")))-(SUMIFS(Desconto_Cliente_Mes!$Q$2:$Q$433,Desconto_Cliente_Mes!$A$2:$A$433,B$84,Desconto_Cliente_Mes!$B$2:$B$433,$A84,Desconto_Cliente_Mes!$C$2:$C$433,"Proteina")))*(SUMIFS(Desconto_Cliente_Mes!$T$2:$T$433,Desconto_Cliente_Mes!$A$2:$A$433,B$84,Desconto_Cliente_Mes!$B$2:$B$433,$A84,Desconto_Cliente_Mes!$C$2:$C$433,"Proteina"))</f>
        <v>45484.8142199999</v>
      </c>
      <c r="C91" s="16" t="n">
        <f aca="false">$C$86*($C$88/100)*((IF(SUMIFS(Desconto_Cliente_Mes!$R$2:$R$433,Desconto_Cliente_Mes!$A$2:$A$433,C$84,Desconto_Cliente_Mes!$B$2:$B$433,$A84,Desconto_Cliente_Mes!$C$2:$C$433,"Proteina")="",SUMIFS(Desconto_Cliente_Mes!$Q$2:$Q$433,Desconto_Cliente_Mes!$A$2:$A$433,C$84,Desconto_Cliente_Mes!$B$2:$B$433,$A84,Desconto_Cliente_Mes!$C$2:$C$433,"Proteina"),SUMIFS(Desconto_Cliente_Mes!$R$2:$R$433,Desconto_Cliente_Mes!$A$2:$A$433,C$84,Desconto_Cliente_Mes!$B$2:$B$433,$A84,Desconto_Cliente_Mes!$C$2:$C$433,"Proteina")))-(SUMIFS(Desconto_Cliente_Mes!$Q$2:$Q$433,Desconto_Cliente_Mes!$A$2:$A$433,C$84,Desconto_Cliente_Mes!$B$2:$B$433,$A84,Desconto_Cliente_Mes!$C$2:$C$433,"Proteina")))*(SUMIFS(Desconto_Cliente_Mes!$T$2:$T$433,Desconto_Cliente_Mes!$A$2:$A$433,C$84,Desconto_Cliente_Mes!$B$2:$B$433,$A84,Desconto_Cliente_Mes!$C$2:$C$433,"Proteina"))</f>
        <v>0</v>
      </c>
      <c r="D91" s="16" t="n">
        <f aca="false">$D$86*($D$88/100)*((IF(SUMIFS(Desconto_Cliente_Mes!$R$2:$R$433,Desconto_Cliente_Mes!$A$2:$A$433,D$84,Desconto_Cliente_Mes!$B$2:$B$433,$A84,Desconto_Cliente_Mes!$C$2:$C$433,"Proteina")="",SUMIFS(Desconto_Cliente_Mes!$Q$2:$Q$433,Desconto_Cliente_Mes!$A$2:$A$433,D$84,Desconto_Cliente_Mes!$B$2:$B$433,$A84,Desconto_Cliente_Mes!$C$2:$C$433,"Proteina"),SUMIFS(Desconto_Cliente_Mes!$R$2:$R$433,Desconto_Cliente_Mes!$A$2:$A$433,D$84,Desconto_Cliente_Mes!$B$2:$B$433,$A84,Desconto_Cliente_Mes!$C$2:$C$433,"Proteina")))-(SUMIFS(Desconto_Cliente_Mes!$Q$2:$Q$433,Desconto_Cliente_Mes!$A$2:$A$433,D$84,Desconto_Cliente_Mes!$B$2:$B$433,$A84,Desconto_Cliente_Mes!$C$2:$C$433,"Proteina")))*(SUMIFS(Desconto_Cliente_Mes!$T$2:$T$433,Desconto_Cliente_Mes!$A$2:$A$433,D$84,Desconto_Cliente_Mes!$B$2:$B$433,$A84,Desconto_Cliente_Mes!$C$2:$C$433,"Proteina"))</f>
        <v>0</v>
      </c>
      <c r="E91" s="16" t="n">
        <f aca="false">$E$86*($E$88/100)*((IF(SUMIFS(Desconto_Cliente_Mes!$R$2:$R$433,Desconto_Cliente_Mes!$A$2:$A$433,E$84,Desconto_Cliente_Mes!$B$2:$B$433,$A84,Desconto_Cliente_Mes!$C$2:$C$433,"Proteina")="",SUMIFS(Desconto_Cliente_Mes!$Q$2:$Q$433,Desconto_Cliente_Mes!$A$2:$A$433,E$84,Desconto_Cliente_Mes!$B$2:$B$433,$A84,Desconto_Cliente_Mes!$C$2:$C$433,"Proteina"),SUMIFS(Desconto_Cliente_Mes!$R$2:$R$433,Desconto_Cliente_Mes!$A$2:$A$433,E$84,Desconto_Cliente_Mes!$B$2:$B$433,$A84,Desconto_Cliente_Mes!$C$2:$C$433,"Proteina")))-(SUMIFS(Desconto_Cliente_Mes!$Q$2:$Q$433,Desconto_Cliente_Mes!$A$2:$A$433,E$84,Desconto_Cliente_Mes!$B$2:$B$433,$A84,Desconto_Cliente_Mes!$C$2:$C$433,"Proteina")))*(SUMIFS(Desconto_Cliente_Mes!$T$2:$T$433,Desconto_Cliente_Mes!$A$2:$A$433,E$84,Desconto_Cliente_Mes!$B$2:$B$433,$A84,Desconto_Cliente_Mes!$C$2:$C$433,"Proteina"))</f>
        <v>0</v>
      </c>
      <c r="F91" s="16" t="n">
        <f aca="false">$F$86*($F$88/100)*((IF(SUMIFS(Desconto_Cliente_Mes!$R$2:$R$433,Desconto_Cliente_Mes!$A$2:$A$433,F$84,Desconto_Cliente_Mes!$B$2:$B$433,$A84,Desconto_Cliente_Mes!$C$2:$C$433,"Proteina")="",SUMIFS(Desconto_Cliente_Mes!$Q$2:$Q$433,Desconto_Cliente_Mes!$A$2:$A$433,F$84,Desconto_Cliente_Mes!$B$2:$B$433,$A84,Desconto_Cliente_Mes!$C$2:$C$433,"Proteina"),SUMIFS(Desconto_Cliente_Mes!$R$2:$R$433,Desconto_Cliente_Mes!$A$2:$A$433,F$84,Desconto_Cliente_Mes!$B$2:$B$433,$A84,Desconto_Cliente_Mes!$C$2:$C$433,"Proteina")))-(SUMIFS(Desconto_Cliente_Mes!$Q$2:$Q$433,Desconto_Cliente_Mes!$A$2:$A$433,F$84,Desconto_Cliente_Mes!$B$2:$B$433,$A84,Desconto_Cliente_Mes!$C$2:$C$433,"Proteina")))*(SUMIFS(Desconto_Cliente_Mes!$T$2:$T$433,Desconto_Cliente_Mes!$A$2:$A$433,F$84,Desconto_Cliente_Mes!$B$2:$B$433,$A84,Desconto_Cliente_Mes!$C$2:$C$433,"Proteina"))</f>
        <v>0</v>
      </c>
      <c r="G91" s="16" t="n">
        <f aca="false">$G$86*($G$88/100)*((IF(SUMIFS(Desconto_Cliente_Mes!$R$2:$R$433,Desconto_Cliente_Mes!$A$2:$A$433,G$84,Desconto_Cliente_Mes!$B$2:$B$433,$A84,Desconto_Cliente_Mes!$C$2:$C$433,"Proteina")="",SUMIFS(Desconto_Cliente_Mes!$Q$2:$Q$433,Desconto_Cliente_Mes!$A$2:$A$433,G$84,Desconto_Cliente_Mes!$B$2:$B$433,$A84,Desconto_Cliente_Mes!$C$2:$C$433,"Proteina"),SUMIFS(Desconto_Cliente_Mes!$R$2:$R$433,Desconto_Cliente_Mes!$A$2:$A$433,G$84,Desconto_Cliente_Mes!$B$2:$B$433,$A84,Desconto_Cliente_Mes!$C$2:$C$433,"Proteina")))-(SUMIFS(Desconto_Cliente_Mes!$Q$2:$Q$433,Desconto_Cliente_Mes!$A$2:$A$433,G$84,Desconto_Cliente_Mes!$B$2:$B$433,$A84,Desconto_Cliente_Mes!$C$2:$C$433,"Proteina")))*(SUMIFS(Desconto_Cliente_Mes!$T$2:$T$433,Desconto_Cliente_Mes!$A$2:$A$433,G$84,Desconto_Cliente_Mes!$B$2:$B$433,$A84,Desconto_Cliente_Mes!$C$2:$C$433,"Proteina"))</f>
        <v>0</v>
      </c>
      <c r="H91" s="16" t="n">
        <f aca="false">$H$86*($H$88/100)*((IF(SUMIFS(Desconto_Cliente_Mes!$R$2:$R$433,Desconto_Cliente_Mes!$A$2:$A$433,H$84,Desconto_Cliente_Mes!$B$2:$B$433,$A84,Desconto_Cliente_Mes!$C$2:$C$433,"Proteina")="",SUMIFS(Desconto_Cliente_Mes!$Q$2:$Q$433,Desconto_Cliente_Mes!$A$2:$A$433,H$84,Desconto_Cliente_Mes!$B$2:$B$433,$A84,Desconto_Cliente_Mes!$C$2:$C$433,"Proteina"),SUMIFS(Desconto_Cliente_Mes!$R$2:$R$433,Desconto_Cliente_Mes!$A$2:$A$433,H$84,Desconto_Cliente_Mes!$B$2:$B$433,$A84,Desconto_Cliente_Mes!$C$2:$C$433,"Proteina")))-(SUMIFS(Desconto_Cliente_Mes!$Q$2:$Q$433,Desconto_Cliente_Mes!$A$2:$A$433,H$84,Desconto_Cliente_Mes!$B$2:$B$433,$A84,Desconto_Cliente_Mes!$C$2:$C$433,"Proteina")))*(SUMIFS(Desconto_Cliente_Mes!$T$2:$T$433,Desconto_Cliente_Mes!$A$2:$A$433,H$84,Desconto_Cliente_Mes!$B$2:$B$433,$A84,Desconto_Cliente_Mes!$C$2:$C$433,"Proteina"))</f>
        <v>0</v>
      </c>
      <c r="I91" s="16" t="n">
        <f aca="false">$I$86*($I$88/100)*((IF(SUMIFS(Desconto_Cliente_Mes!$R$2:$R$433,Desconto_Cliente_Mes!$A$2:$A$433,I$84,Desconto_Cliente_Mes!$B$2:$B$433,$A84,Desconto_Cliente_Mes!$C$2:$C$433,"Proteina")="",SUMIFS(Desconto_Cliente_Mes!$Q$2:$Q$433,Desconto_Cliente_Mes!$A$2:$A$433,I$84,Desconto_Cliente_Mes!$B$2:$B$433,$A84,Desconto_Cliente_Mes!$C$2:$C$433,"Proteina"),SUMIFS(Desconto_Cliente_Mes!$R$2:$R$433,Desconto_Cliente_Mes!$A$2:$A$433,I$84,Desconto_Cliente_Mes!$B$2:$B$433,$A84,Desconto_Cliente_Mes!$C$2:$C$433,"Proteina")))-(SUMIFS(Desconto_Cliente_Mes!$Q$2:$Q$433,Desconto_Cliente_Mes!$A$2:$A$433,I$84,Desconto_Cliente_Mes!$B$2:$B$433,$A84,Desconto_Cliente_Mes!$C$2:$C$433,"Proteina")))*(SUMIFS(Desconto_Cliente_Mes!$T$2:$T$433,Desconto_Cliente_Mes!$A$2:$A$433,I$84,Desconto_Cliente_Mes!$B$2:$B$433,$A84,Desconto_Cliente_Mes!$C$2:$C$433,"Proteina"))</f>
        <v>0</v>
      </c>
      <c r="J91" s="16" t="n">
        <f aca="false">$J$86*($J$88/100)*((IF(SUMIFS(Desconto_Cliente_Mes!$R$2:$R$433,Desconto_Cliente_Mes!$A$2:$A$433,J$84,Desconto_Cliente_Mes!$B$2:$B$433,$A84,Desconto_Cliente_Mes!$C$2:$C$433,"Proteina")="",SUMIFS(Desconto_Cliente_Mes!$Q$2:$Q$433,Desconto_Cliente_Mes!$A$2:$A$433,J$84,Desconto_Cliente_Mes!$B$2:$B$433,$A84,Desconto_Cliente_Mes!$C$2:$C$433,"Proteina"),SUMIFS(Desconto_Cliente_Mes!$R$2:$R$433,Desconto_Cliente_Mes!$A$2:$A$433,J$84,Desconto_Cliente_Mes!$B$2:$B$433,$A84,Desconto_Cliente_Mes!$C$2:$C$433,"Proteina")))-(SUMIFS(Desconto_Cliente_Mes!$Q$2:$Q$433,Desconto_Cliente_Mes!$A$2:$A$433,J$84,Desconto_Cliente_Mes!$B$2:$B$433,$A84,Desconto_Cliente_Mes!$C$2:$C$433,"Proteina")))*(SUMIFS(Desconto_Cliente_Mes!$T$2:$T$433,Desconto_Cliente_Mes!$A$2:$A$433,J$84,Desconto_Cliente_Mes!$B$2:$B$433,$A84,Desconto_Cliente_Mes!$C$2:$C$433,"Proteina"))</f>
        <v>0</v>
      </c>
      <c r="K91" s="16" t="n">
        <f aca="false">$K$86*($K$88/100)*((IF(SUMIFS(Desconto_Cliente_Mes!$R$2:$R$433,Desconto_Cliente_Mes!$A$2:$A$433,K$84,Desconto_Cliente_Mes!$B$2:$B$433,$A84,Desconto_Cliente_Mes!$C$2:$C$433,"Proteina")="",SUMIFS(Desconto_Cliente_Mes!$Q$2:$Q$433,Desconto_Cliente_Mes!$A$2:$A$433,K$84,Desconto_Cliente_Mes!$B$2:$B$433,$A84,Desconto_Cliente_Mes!$C$2:$C$433,"Proteina"),SUMIFS(Desconto_Cliente_Mes!$R$2:$R$433,Desconto_Cliente_Mes!$A$2:$A$433,K$84,Desconto_Cliente_Mes!$B$2:$B$433,$A84,Desconto_Cliente_Mes!$C$2:$C$433,"Proteina")))-(SUMIFS(Desconto_Cliente_Mes!$Q$2:$Q$433,Desconto_Cliente_Mes!$A$2:$A$433,K$84,Desconto_Cliente_Mes!$B$2:$B$433,$A84,Desconto_Cliente_Mes!$C$2:$C$433,"Proteina")))*(SUMIFS(Desconto_Cliente_Mes!$T$2:$T$433,Desconto_Cliente_Mes!$A$2:$A$433,K$84,Desconto_Cliente_Mes!$B$2:$B$433,$A84,Desconto_Cliente_Mes!$C$2:$C$433,"Proteina"))</f>
        <v>0</v>
      </c>
      <c r="L91" s="16" t="n">
        <f aca="false">$L$86*($L$88/100)*((IF(SUMIFS(Desconto_Cliente_Mes!$R$2:$R$433,Desconto_Cliente_Mes!$A$2:$A$433,L$84,Desconto_Cliente_Mes!$B$2:$B$433,$A84,Desconto_Cliente_Mes!$C$2:$C$433,"Proteina")="",SUMIFS(Desconto_Cliente_Mes!$Q$2:$Q$433,Desconto_Cliente_Mes!$A$2:$A$433,L$84,Desconto_Cliente_Mes!$B$2:$B$433,$A84,Desconto_Cliente_Mes!$C$2:$C$433,"Proteina"),SUMIFS(Desconto_Cliente_Mes!$R$2:$R$433,Desconto_Cliente_Mes!$A$2:$A$433,L$84,Desconto_Cliente_Mes!$B$2:$B$433,$A84,Desconto_Cliente_Mes!$C$2:$C$433,"Proteina")))-(SUMIFS(Desconto_Cliente_Mes!$Q$2:$Q$433,Desconto_Cliente_Mes!$A$2:$A$433,L$84,Desconto_Cliente_Mes!$B$2:$B$433,$A84,Desconto_Cliente_Mes!$C$2:$C$433,"Proteina")))*(SUMIFS(Desconto_Cliente_Mes!$T$2:$T$433,Desconto_Cliente_Mes!$A$2:$A$433,L$84,Desconto_Cliente_Mes!$B$2:$B$433,$A84,Desconto_Cliente_Mes!$C$2:$C$433,"Proteina"))</f>
        <v>0</v>
      </c>
      <c r="M91" s="16" t="n">
        <f aca="false">$M$86*($M$88/100)*((IF(SUMIFS(Desconto_Cliente_Mes!$R$2:$R$433,Desconto_Cliente_Mes!$A$2:$A$433,M$84,Desconto_Cliente_Mes!$B$2:$B$433,$A84,Desconto_Cliente_Mes!$C$2:$C$433,"Proteina")="",SUMIFS(Desconto_Cliente_Mes!$Q$2:$Q$433,Desconto_Cliente_Mes!$A$2:$A$433,M$84,Desconto_Cliente_Mes!$B$2:$B$433,$A84,Desconto_Cliente_Mes!$C$2:$C$433,"Proteina"),SUMIFS(Desconto_Cliente_Mes!$R$2:$R$433,Desconto_Cliente_Mes!$A$2:$A$433,M$84,Desconto_Cliente_Mes!$B$2:$B$433,$A84,Desconto_Cliente_Mes!$C$2:$C$433,"Proteina")))-(SUMIFS(Desconto_Cliente_Mes!$Q$2:$Q$433,Desconto_Cliente_Mes!$A$2:$A$433,M$84,Desconto_Cliente_Mes!$B$2:$B$433,$A84,Desconto_Cliente_Mes!$C$2:$C$433,"Proteina")))*(SUMIFS(Desconto_Cliente_Mes!$T$2:$T$433,Desconto_Cliente_Mes!$A$2:$A$433,M$84,Desconto_Cliente_Mes!$B$2:$B$433,$A84,Desconto_Cliente_Mes!$C$2:$C$433,"Proteina"))</f>
        <v>0</v>
      </c>
      <c r="N91" s="17" t="n">
        <f aca="false">SUM(B91:M91)</f>
        <v>45484.8142199999</v>
      </c>
    </row>
    <row r="92" customFormat="false" ht="15" hidden="false" customHeight="false" outlineLevel="0" collapsed="false">
      <c r="A92" s="13" t="s">
        <v>81</v>
      </c>
      <c r="B92" s="16" t="n">
        <f aca="false">$B$86*($B$89/100)*((IF(SUMIFS(Desconto_Cliente_Mes!$S$2:$S$433,Desconto_Cliente_Mes!$A$2:$A$433,B$84,Desconto_Cliente_Mes!$B$2:$B$433,$A84,Desconto_Cliente_Mes!$C$2:$C$433,"Proteina")="",(IF(SUMIFS(Desconto_Cliente_Mes!$R$2:$R$433,Desconto_Cliente_Mes!$A$2:$A$433,B$84,Desconto_Cliente_Mes!$B$2:$B$433,$A84,Desconto_Cliente_Mes!$C$2:$C$433,"Proteina")="",SUMIFS(Desconto_Cliente_Mes!$Q$2:$Q$433,Desconto_Cliente_Mes!$A$2:$A$433,B$84,Desconto_Cliente_Mes!$B$2:$B$433,$A84,Desconto_Cliente_Mes!$C$2:$C$433,"Proteina"),SUMIFS(Desconto_Cliente_Mes!$R$2:$R$433,Desconto_Cliente_Mes!$A$2:$A$433,B$84,Desconto_Cliente_Mes!$B$2:$B$433,$A84,Desconto_Cliente_Mes!$C$2:$C$433,"Proteina"))),SUMIFS(Desconto_Cliente_Mes!$S$2:$S$433,Desconto_Cliente_Mes!$A$2:$A$433,B$84,Desconto_Cliente_Mes!$B$2:$B$433,$A84,Desconto_Cliente_Mes!$C$2:$C$433,"Proteina")))-(IF(SUMIFS(Desconto_Cliente_Mes!$R$2:$R$433,Desconto_Cliente_Mes!$A$2:$A$433,B$84,Desconto_Cliente_Mes!$B$2:$B$433,$A84,Desconto_Cliente_Mes!$C$2:$C$433,"Proteina")="",SUMIFS(Desconto_Cliente_Mes!$Q$2:$Q$433,Desconto_Cliente_Mes!$A$2:$A$433,B$84,Desconto_Cliente_Mes!$B$2:$B$433,$A84,Desconto_Cliente_Mes!$C$2:$C$433,"Proteina"),SUMIFS(Desconto_Cliente_Mes!$R$2:$R$433,Desconto_Cliente_Mes!$A$2:$A$433,B$84,Desconto_Cliente_Mes!$B$2:$B$433,$A84,Desconto_Cliente_Mes!$C$2:$C$433,"Proteina"))))*(SUMIFS(Desconto_Cliente_Mes!$T$2:$T$433,Desconto_Cliente_Mes!$A$2:$A$433,B$84,Desconto_Cliente_Mes!$B$2:$B$433,$A84,Desconto_Cliente_Mes!$C$2:$C$433,"Proteina"))</f>
        <v>-0</v>
      </c>
      <c r="C92" s="16" t="n">
        <f aca="false">$C$86*($C$89/100)*((IF(SUMIFS(Desconto_Cliente_Mes!$S$2:$S$433,Desconto_Cliente_Mes!$A$2:$A$433,C$84,Desconto_Cliente_Mes!$B$2:$B$433,$A84,Desconto_Cliente_Mes!$C$2:$C$433,"Proteina")="",(IF(SUMIFS(Desconto_Cliente_Mes!$R$2:$R$433,Desconto_Cliente_Mes!$A$2:$A$433,C$84,Desconto_Cliente_Mes!$B$2:$B$433,$A84,Desconto_Cliente_Mes!$C$2:$C$433,"Proteina")="",SUMIFS(Desconto_Cliente_Mes!$Q$2:$Q$433,Desconto_Cliente_Mes!$A$2:$A$433,C$84,Desconto_Cliente_Mes!$B$2:$B$433,$A84,Desconto_Cliente_Mes!$C$2:$C$433,"Proteina"),SUMIFS(Desconto_Cliente_Mes!$R$2:$R$433,Desconto_Cliente_Mes!$A$2:$A$433,C$84,Desconto_Cliente_Mes!$B$2:$B$433,$A84,Desconto_Cliente_Mes!$C$2:$C$433,"Proteina"))),SUMIFS(Desconto_Cliente_Mes!$S$2:$S$433,Desconto_Cliente_Mes!$A$2:$A$433,C$84,Desconto_Cliente_Mes!$B$2:$B$433,$A84,Desconto_Cliente_Mes!$C$2:$C$433,"Proteina")))-(IF(SUMIFS(Desconto_Cliente_Mes!$R$2:$R$433,Desconto_Cliente_Mes!$A$2:$A$433,C$84,Desconto_Cliente_Mes!$B$2:$B$433,$A84,Desconto_Cliente_Mes!$C$2:$C$433,"Proteina")="",SUMIFS(Desconto_Cliente_Mes!$Q$2:$Q$433,Desconto_Cliente_Mes!$A$2:$A$433,C$84,Desconto_Cliente_Mes!$B$2:$B$433,$A84,Desconto_Cliente_Mes!$C$2:$C$433,"Proteina"),SUMIFS(Desconto_Cliente_Mes!$R$2:$R$433,Desconto_Cliente_Mes!$A$2:$A$433,C$84,Desconto_Cliente_Mes!$B$2:$B$433,$A84,Desconto_Cliente_Mes!$C$2:$C$433,"Proteina"))))*(SUMIFS(Desconto_Cliente_Mes!$T$2:$T$433,Desconto_Cliente_Mes!$A$2:$A$433,C$84,Desconto_Cliente_Mes!$B$2:$B$433,$A84,Desconto_Cliente_Mes!$C$2:$C$433,"Proteina"))</f>
        <v>-0</v>
      </c>
      <c r="D92" s="16" t="n">
        <f aca="false">$D$86*($D$89/100)*((IF(SUMIFS(Desconto_Cliente_Mes!$S$2:$S$433,Desconto_Cliente_Mes!$A$2:$A$433,D$84,Desconto_Cliente_Mes!$B$2:$B$433,$A84,Desconto_Cliente_Mes!$C$2:$C$433,"Proteina")="",(IF(SUMIFS(Desconto_Cliente_Mes!$R$2:$R$433,Desconto_Cliente_Mes!$A$2:$A$433,D$84,Desconto_Cliente_Mes!$B$2:$B$433,$A84,Desconto_Cliente_Mes!$C$2:$C$433,"Proteina")="",SUMIFS(Desconto_Cliente_Mes!$Q$2:$Q$433,Desconto_Cliente_Mes!$A$2:$A$433,D$84,Desconto_Cliente_Mes!$B$2:$B$433,$A84,Desconto_Cliente_Mes!$C$2:$C$433,"Proteina"),SUMIFS(Desconto_Cliente_Mes!$R$2:$R$433,Desconto_Cliente_Mes!$A$2:$A$433,D$84,Desconto_Cliente_Mes!$B$2:$B$433,$A84,Desconto_Cliente_Mes!$C$2:$C$433,"Proteina"))),SUMIFS(Desconto_Cliente_Mes!$S$2:$S$433,Desconto_Cliente_Mes!$A$2:$A$433,D$84,Desconto_Cliente_Mes!$B$2:$B$433,$A84,Desconto_Cliente_Mes!$C$2:$C$433,"Proteina")))-(IF(SUMIFS(Desconto_Cliente_Mes!$R$2:$R$433,Desconto_Cliente_Mes!$A$2:$A$433,D$84,Desconto_Cliente_Mes!$B$2:$B$433,$A84,Desconto_Cliente_Mes!$C$2:$C$433,"Proteina")="",SUMIFS(Desconto_Cliente_Mes!$Q$2:$Q$433,Desconto_Cliente_Mes!$A$2:$A$433,D$84,Desconto_Cliente_Mes!$B$2:$B$433,$A84,Desconto_Cliente_Mes!$C$2:$C$433,"Proteina"),SUMIFS(Desconto_Cliente_Mes!$R$2:$R$433,Desconto_Cliente_Mes!$A$2:$A$433,D$84,Desconto_Cliente_Mes!$B$2:$B$433,$A84,Desconto_Cliente_Mes!$C$2:$C$433,"Proteina"))))*(SUMIFS(Desconto_Cliente_Mes!$T$2:$T$433,Desconto_Cliente_Mes!$A$2:$A$433,D$84,Desconto_Cliente_Mes!$B$2:$B$433,$A84,Desconto_Cliente_Mes!$C$2:$C$433,"Proteina"))</f>
        <v>-0</v>
      </c>
      <c r="E92" s="16" t="n">
        <f aca="false">$E$86*($E$89/100)*((IF(SUMIFS(Desconto_Cliente_Mes!$S$2:$S$433,Desconto_Cliente_Mes!$A$2:$A$433,E$84,Desconto_Cliente_Mes!$B$2:$B$433,$A84,Desconto_Cliente_Mes!$C$2:$C$433,"Proteina")="",(IF(SUMIFS(Desconto_Cliente_Mes!$R$2:$R$433,Desconto_Cliente_Mes!$A$2:$A$433,E$84,Desconto_Cliente_Mes!$B$2:$B$433,$A84,Desconto_Cliente_Mes!$C$2:$C$433,"Proteina")="",SUMIFS(Desconto_Cliente_Mes!$Q$2:$Q$433,Desconto_Cliente_Mes!$A$2:$A$433,E$84,Desconto_Cliente_Mes!$B$2:$B$433,$A84,Desconto_Cliente_Mes!$C$2:$C$433,"Proteina"),SUMIFS(Desconto_Cliente_Mes!$R$2:$R$433,Desconto_Cliente_Mes!$A$2:$A$433,E$84,Desconto_Cliente_Mes!$B$2:$B$433,$A84,Desconto_Cliente_Mes!$C$2:$C$433,"Proteina"))),SUMIFS(Desconto_Cliente_Mes!$S$2:$S$433,Desconto_Cliente_Mes!$A$2:$A$433,E$84,Desconto_Cliente_Mes!$B$2:$B$433,$A84,Desconto_Cliente_Mes!$C$2:$C$433,"Proteina")))-(IF(SUMIFS(Desconto_Cliente_Mes!$R$2:$R$433,Desconto_Cliente_Mes!$A$2:$A$433,E$84,Desconto_Cliente_Mes!$B$2:$B$433,$A84,Desconto_Cliente_Mes!$C$2:$C$433,"Proteina")="",SUMIFS(Desconto_Cliente_Mes!$Q$2:$Q$433,Desconto_Cliente_Mes!$A$2:$A$433,E$84,Desconto_Cliente_Mes!$B$2:$B$433,$A84,Desconto_Cliente_Mes!$C$2:$C$433,"Proteina"),SUMIFS(Desconto_Cliente_Mes!$R$2:$R$433,Desconto_Cliente_Mes!$A$2:$A$433,E$84,Desconto_Cliente_Mes!$B$2:$B$433,$A84,Desconto_Cliente_Mes!$C$2:$C$433,"Proteina"))))*(SUMIFS(Desconto_Cliente_Mes!$T$2:$T$433,Desconto_Cliente_Mes!$A$2:$A$433,E$84,Desconto_Cliente_Mes!$B$2:$B$433,$A84,Desconto_Cliente_Mes!$C$2:$C$433,"Proteina"))</f>
        <v>-0</v>
      </c>
      <c r="F92" s="16" t="n">
        <f aca="false">$F$86*($F$89/100)*((IF(SUMIFS(Desconto_Cliente_Mes!$S$2:$S$433,Desconto_Cliente_Mes!$A$2:$A$433,F$84,Desconto_Cliente_Mes!$B$2:$B$433,$A84,Desconto_Cliente_Mes!$C$2:$C$433,"Proteina")="",(IF(SUMIFS(Desconto_Cliente_Mes!$R$2:$R$433,Desconto_Cliente_Mes!$A$2:$A$433,F$84,Desconto_Cliente_Mes!$B$2:$B$433,$A84,Desconto_Cliente_Mes!$C$2:$C$433,"Proteina")="",SUMIFS(Desconto_Cliente_Mes!$Q$2:$Q$433,Desconto_Cliente_Mes!$A$2:$A$433,F$84,Desconto_Cliente_Mes!$B$2:$B$433,$A84,Desconto_Cliente_Mes!$C$2:$C$433,"Proteina"),SUMIFS(Desconto_Cliente_Mes!$R$2:$R$433,Desconto_Cliente_Mes!$A$2:$A$433,F$84,Desconto_Cliente_Mes!$B$2:$B$433,$A84,Desconto_Cliente_Mes!$C$2:$C$433,"Proteina"))),SUMIFS(Desconto_Cliente_Mes!$S$2:$S$433,Desconto_Cliente_Mes!$A$2:$A$433,F$84,Desconto_Cliente_Mes!$B$2:$B$433,$A84,Desconto_Cliente_Mes!$C$2:$C$433,"Proteina")))-(IF(SUMIFS(Desconto_Cliente_Mes!$R$2:$R$433,Desconto_Cliente_Mes!$A$2:$A$433,F$84,Desconto_Cliente_Mes!$B$2:$B$433,$A84,Desconto_Cliente_Mes!$C$2:$C$433,"Proteina")="",SUMIFS(Desconto_Cliente_Mes!$Q$2:$Q$433,Desconto_Cliente_Mes!$A$2:$A$433,F$84,Desconto_Cliente_Mes!$B$2:$B$433,$A84,Desconto_Cliente_Mes!$C$2:$C$433,"Proteina"),SUMIFS(Desconto_Cliente_Mes!$R$2:$R$433,Desconto_Cliente_Mes!$A$2:$A$433,F$84,Desconto_Cliente_Mes!$B$2:$B$433,$A84,Desconto_Cliente_Mes!$C$2:$C$433,"Proteina"))))*(SUMIFS(Desconto_Cliente_Mes!$T$2:$T$433,Desconto_Cliente_Mes!$A$2:$A$433,F$84,Desconto_Cliente_Mes!$B$2:$B$433,$A84,Desconto_Cliente_Mes!$C$2:$C$433,"Proteina"))</f>
        <v>-0</v>
      </c>
      <c r="G92" s="16" t="n">
        <f aca="false">$G$86*($G$89/100)*((IF(SUMIFS(Desconto_Cliente_Mes!$S$2:$S$433,Desconto_Cliente_Mes!$A$2:$A$433,G$84,Desconto_Cliente_Mes!$B$2:$B$433,$A84,Desconto_Cliente_Mes!$C$2:$C$433,"Proteina")="",(IF(SUMIFS(Desconto_Cliente_Mes!$R$2:$R$433,Desconto_Cliente_Mes!$A$2:$A$433,G$84,Desconto_Cliente_Mes!$B$2:$B$433,$A84,Desconto_Cliente_Mes!$C$2:$C$433,"Proteina")="",SUMIFS(Desconto_Cliente_Mes!$Q$2:$Q$433,Desconto_Cliente_Mes!$A$2:$A$433,G$84,Desconto_Cliente_Mes!$B$2:$B$433,$A84,Desconto_Cliente_Mes!$C$2:$C$433,"Proteina"),SUMIFS(Desconto_Cliente_Mes!$R$2:$R$433,Desconto_Cliente_Mes!$A$2:$A$433,G$84,Desconto_Cliente_Mes!$B$2:$B$433,$A84,Desconto_Cliente_Mes!$C$2:$C$433,"Proteina"))),SUMIFS(Desconto_Cliente_Mes!$S$2:$S$433,Desconto_Cliente_Mes!$A$2:$A$433,G$84,Desconto_Cliente_Mes!$B$2:$B$433,$A84,Desconto_Cliente_Mes!$C$2:$C$433,"Proteina")))-(IF(SUMIFS(Desconto_Cliente_Mes!$R$2:$R$433,Desconto_Cliente_Mes!$A$2:$A$433,G$84,Desconto_Cliente_Mes!$B$2:$B$433,$A84,Desconto_Cliente_Mes!$C$2:$C$433,"Proteina")="",SUMIFS(Desconto_Cliente_Mes!$Q$2:$Q$433,Desconto_Cliente_Mes!$A$2:$A$433,G$84,Desconto_Cliente_Mes!$B$2:$B$433,$A84,Desconto_Cliente_Mes!$C$2:$C$433,"Proteina"),SUMIFS(Desconto_Cliente_Mes!$R$2:$R$433,Desconto_Cliente_Mes!$A$2:$A$433,G$84,Desconto_Cliente_Mes!$B$2:$B$433,$A84,Desconto_Cliente_Mes!$C$2:$C$433,"Proteina"))))*(SUMIFS(Desconto_Cliente_Mes!$T$2:$T$433,Desconto_Cliente_Mes!$A$2:$A$433,G$84,Desconto_Cliente_Mes!$B$2:$B$433,$A84,Desconto_Cliente_Mes!$C$2:$C$433,"Proteina"))</f>
        <v>-0</v>
      </c>
      <c r="H92" s="16" t="n">
        <f aca="false">$H$86*($H$89/100)*((IF(SUMIFS(Desconto_Cliente_Mes!$S$2:$S$433,Desconto_Cliente_Mes!$A$2:$A$433,H$84,Desconto_Cliente_Mes!$B$2:$B$433,$A84,Desconto_Cliente_Mes!$C$2:$C$433,"Proteina")="",(IF(SUMIFS(Desconto_Cliente_Mes!$R$2:$R$433,Desconto_Cliente_Mes!$A$2:$A$433,H$84,Desconto_Cliente_Mes!$B$2:$B$433,$A84,Desconto_Cliente_Mes!$C$2:$C$433,"Proteina")="",SUMIFS(Desconto_Cliente_Mes!$Q$2:$Q$433,Desconto_Cliente_Mes!$A$2:$A$433,H$84,Desconto_Cliente_Mes!$B$2:$B$433,$A84,Desconto_Cliente_Mes!$C$2:$C$433,"Proteina"),SUMIFS(Desconto_Cliente_Mes!$R$2:$R$433,Desconto_Cliente_Mes!$A$2:$A$433,H$84,Desconto_Cliente_Mes!$B$2:$B$433,$A84,Desconto_Cliente_Mes!$C$2:$C$433,"Proteina"))),SUMIFS(Desconto_Cliente_Mes!$S$2:$S$433,Desconto_Cliente_Mes!$A$2:$A$433,H$84,Desconto_Cliente_Mes!$B$2:$B$433,$A84,Desconto_Cliente_Mes!$C$2:$C$433,"Proteina")))-(IF(SUMIFS(Desconto_Cliente_Mes!$R$2:$R$433,Desconto_Cliente_Mes!$A$2:$A$433,H$84,Desconto_Cliente_Mes!$B$2:$B$433,$A84,Desconto_Cliente_Mes!$C$2:$C$433,"Proteina")="",SUMIFS(Desconto_Cliente_Mes!$Q$2:$Q$433,Desconto_Cliente_Mes!$A$2:$A$433,H$84,Desconto_Cliente_Mes!$B$2:$B$433,$A84,Desconto_Cliente_Mes!$C$2:$C$433,"Proteina"),SUMIFS(Desconto_Cliente_Mes!$R$2:$R$433,Desconto_Cliente_Mes!$A$2:$A$433,H$84,Desconto_Cliente_Mes!$B$2:$B$433,$A84,Desconto_Cliente_Mes!$C$2:$C$433,"Proteina"))))*(SUMIFS(Desconto_Cliente_Mes!$T$2:$T$433,Desconto_Cliente_Mes!$A$2:$A$433,H$84,Desconto_Cliente_Mes!$B$2:$B$433,$A84,Desconto_Cliente_Mes!$C$2:$C$433,"Proteina"))</f>
        <v>-0</v>
      </c>
      <c r="I92" s="16" t="n">
        <f aca="false">$I$86*($I$89/100)*((IF(SUMIFS(Desconto_Cliente_Mes!$S$2:$S$433,Desconto_Cliente_Mes!$A$2:$A$433,I$84,Desconto_Cliente_Mes!$B$2:$B$433,$A84,Desconto_Cliente_Mes!$C$2:$C$433,"Proteina")="",(IF(SUMIFS(Desconto_Cliente_Mes!$R$2:$R$433,Desconto_Cliente_Mes!$A$2:$A$433,I$84,Desconto_Cliente_Mes!$B$2:$B$433,$A84,Desconto_Cliente_Mes!$C$2:$C$433,"Proteina")="",SUMIFS(Desconto_Cliente_Mes!$Q$2:$Q$433,Desconto_Cliente_Mes!$A$2:$A$433,I$84,Desconto_Cliente_Mes!$B$2:$B$433,$A84,Desconto_Cliente_Mes!$C$2:$C$433,"Proteina"),SUMIFS(Desconto_Cliente_Mes!$R$2:$R$433,Desconto_Cliente_Mes!$A$2:$A$433,I$84,Desconto_Cliente_Mes!$B$2:$B$433,$A84,Desconto_Cliente_Mes!$C$2:$C$433,"Proteina"))),SUMIFS(Desconto_Cliente_Mes!$S$2:$S$433,Desconto_Cliente_Mes!$A$2:$A$433,I$84,Desconto_Cliente_Mes!$B$2:$B$433,$A84,Desconto_Cliente_Mes!$C$2:$C$433,"Proteina")))-(IF(SUMIFS(Desconto_Cliente_Mes!$R$2:$R$433,Desconto_Cliente_Mes!$A$2:$A$433,I$84,Desconto_Cliente_Mes!$B$2:$B$433,$A84,Desconto_Cliente_Mes!$C$2:$C$433,"Proteina")="",SUMIFS(Desconto_Cliente_Mes!$Q$2:$Q$433,Desconto_Cliente_Mes!$A$2:$A$433,I$84,Desconto_Cliente_Mes!$B$2:$B$433,$A84,Desconto_Cliente_Mes!$C$2:$C$433,"Proteina"),SUMIFS(Desconto_Cliente_Mes!$R$2:$R$433,Desconto_Cliente_Mes!$A$2:$A$433,I$84,Desconto_Cliente_Mes!$B$2:$B$433,$A84,Desconto_Cliente_Mes!$C$2:$C$433,"Proteina"))))*(SUMIFS(Desconto_Cliente_Mes!$T$2:$T$433,Desconto_Cliente_Mes!$A$2:$A$433,I$84,Desconto_Cliente_Mes!$B$2:$B$433,$A84,Desconto_Cliente_Mes!$C$2:$C$433,"Proteina"))</f>
        <v>-0</v>
      </c>
      <c r="J92" s="16" t="n">
        <f aca="false">$J$86*($J$89/100)*((IF(SUMIFS(Desconto_Cliente_Mes!$S$2:$S$433,Desconto_Cliente_Mes!$A$2:$A$433,J$84,Desconto_Cliente_Mes!$B$2:$B$433,$A84,Desconto_Cliente_Mes!$C$2:$C$433,"Proteina")="",(IF(SUMIFS(Desconto_Cliente_Mes!$R$2:$R$433,Desconto_Cliente_Mes!$A$2:$A$433,J$84,Desconto_Cliente_Mes!$B$2:$B$433,$A84,Desconto_Cliente_Mes!$C$2:$C$433,"Proteina")="",SUMIFS(Desconto_Cliente_Mes!$Q$2:$Q$433,Desconto_Cliente_Mes!$A$2:$A$433,J$84,Desconto_Cliente_Mes!$B$2:$B$433,$A84,Desconto_Cliente_Mes!$C$2:$C$433,"Proteina"),SUMIFS(Desconto_Cliente_Mes!$R$2:$R$433,Desconto_Cliente_Mes!$A$2:$A$433,J$84,Desconto_Cliente_Mes!$B$2:$B$433,$A84,Desconto_Cliente_Mes!$C$2:$C$433,"Proteina"))),SUMIFS(Desconto_Cliente_Mes!$S$2:$S$433,Desconto_Cliente_Mes!$A$2:$A$433,J$84,Desconto_Cliente_Mes!$B$2:$B$433,$A84,Desconto_Cliente_Mes!$C$2:$C$433,"Proteina")))-(IF(SUMIFS(Desconto_Cliente_Mes!$R$2:$R$433,Desconto_Cliente_Mes!$A$2:$A$433,J$84,Desconto_Cliente_Mes!$B$2:$B$433,$A84,Desconto_Cliente_Mes!$C$2:$C$433,"Proteina")="",SUMIFS(Desconto_Cliente_Mes!$Q$2:$Q$433,Desconto_Cliente_Mes!$A$2:$A$433,J$84,Desconto_Cliente_Mes!$B$2:$B$433,$A84,Desconto_Cliente_Mes!$C$2:$C$433,"Proteina"),SUMIFS(Desconto_Cliente_Mes!$R$2:$R$433,Desconto_Cliente_Mes!$A$2:$A$433,J$84,Desconto_Cliente_Mes!$B$2:$B$433,$A84,Desconto_Cliente_Mes!$C$2:$C$433,"Proteina"))))*(SUMIFS(Desconto_Cliente_Mes!$T$2:$T$433,Desconto_Cliente_Mes!$A$2:$A$433,J$84,Desconto_Cliente_Mes!$B$2:$B$433,$A84,Desconto_Cliente_Mes!$C$2:$C$433,"Proteina"))</f>
        <v>-0</v>
      </c>
      <c r="K92" s="16" t="n">
        <f aca="false">$K$86*($K$89/100)*((IF(SUMIFS(Desconto_Cliente_Mes!$S$2:$S$433,Desconto_Cliente_Mes!$A$2:$A$433,K$84,Desconto_Cliente_Mes!$B$2:$B$433,$A84,Desconto_Cliente_Mes!$C$2:$C$433,"Proteina")="",(IF(SUMIFS(Desconto_Cliente_Mes!$R$2:$R$433,Desconto_Cliente_Mes!$A$2:$A$433,K$84,Desconto_Cliente_Mes!$B$2:$B$433,$A84,Desconto_Cliente_Mes!$C$2:$C$433,"Proteina")="",SUMIFS(Desconto_Cliente_Mes!$Q$2:$Q$433,Desconto_Cliente_Mes!$A$2:$A$433,K$84,Desconto_Cliente_Mes!$B$2:$B$433,$A84,Desconto_Cliente_Mes!$C$2:$C$433,"Proteina"),SUMIFS(Desconto_Cliente_Mes!$R$2:$R$433,Desconto_Cliente_Mes!$A$2:$A$433,K$84,Desconto_Cliente_Mes!$B$2:$B$433,$A84,Desconto_Cliente_Mes!$C$2:$C$433,"Proteina"))),SUMIFS(Desconto_Cliente_Mes!$S$2:$S$433,Desconto_Cliente_Mes!$A$2:$A$433,K$84,Desconto_Cliente_Mes!$B$2:$B$433,$A84,Desconto_Cliente_Mes!$C$2:$C$433,"Proteina")))-(IF(SUMIFS(Desconto_Cliente_Mes!$R$2:$R$433,Desconto_Cliente_Mes!$A$2:$A$433,K$84,Desconto_Cliente_Mes!$B$2:$B$433,$A84,Desconto_Cliente_Mes!$C$2:$C$433,"Proteina")="",SUMIFS(Desconto_Cliente_Mes!$Q$2:$Q$433,Desconto_Cliente_Mes!$A$2:$A$433,K$84,Desconto_Cliente_Mes!$B$2:$B$433,$A84,Desconto_Cliente_Mes!$C$2:$C$433,"Proteina"),SUMIFS(Desconto_Cliente_Mes!$R$2:$R$433,Desconto_Cliente_Mes!$A$2:$A$433,K$84,Desconto_Cliente_Mes!$B$2:$B$433,$A84,Desconto_Cliente_Mes!$C$2:$C$433,"Proteina"))))*(SUMIFS(Desconto_Cliente_Mes!$T$2:$T$433,Desconto_Cliente_Mes!$A$2:$A$433,K$84,Desconto_Cliente_Mes!$B$2:$B$433,$A84,Desconto_Cliente_Mes!$C$2:$C$433,"Proteina"))</f>
        <v>-0</v>
      </c>
      <c r="L92" s="16" t="n">
        <f aca="false">$L$86*($L$89/100)*((IF(SUMIFS(Desconto_Cliente_Mes!$S$2:$S$433,Desconto_Cliente_Mes!$A$2:$A$433,L$84,Desconto_Cliente_Mes!$B$2:$B$433,$A84,Desconto_Cliente_Mes!$C$2:$C$433,"Proteina")="",(IF(SUMIFS(Desconto_Cliente_Mes!$R$2:$R$433,Desconto_Cliente_Mes!$A$2:$A$433,L$84,Desconto_Cliente_Mes!$B$2:$B$433,$A84,Desconto_Cliente_Mes!$C$2:$C$433,"Proteina")="",SUMIFS(Desconto_Cliente_Mes!$Q$2:$Q$433,Desconto_Cliente_Mes!$A$2:$A$433,L$84,Desconto_Cliente_Mes!$B$2:$B$433,$A84,Desconto_Cliente_Mes!$C$2:$C$433,"Proteina"),SUMIFS(Desconto_Cliente_Mes!$R$2:$R$433,Desconto_Cliente_Mes!$A$2:$A$433,L$84,Desconto_Cliente_Mes!$B$2:$B$433,$A84,Desconto_Cliente_Mes!$C$2:$C$433,"Proteina"))),SUMIFS(Desconto_Cliente_Mes!$S$2:$S$433,Desconto_Cliente_Mes!$A$2:$A$433,L$84,Desconto_Cliente_Mes!$B$2:$B$433,$A84,Desconto_Cliente_Mes!$C$2:$C$433,"Proteina")))-(IF(SUMIFS(Desconto_Cliente_Mes!$R$2:$R$433,Desconto_Cliente_Mes!$A$2:$A$433,L$84,Desconto_Cliente_Mes!$B$2:$B$433,$A84,Desconto_Cliente_Mes!$C$2:$C$433,"Proteina")="",SUMIFS(Desconto_Cliente_Mes!$Q$2:$Q$433,Desconto_Cliente_Mes!$A$2:$A$433,L$84,Desconto_Cliente_Mes!$B$2:$B$433,$A84,Desconto_Cliente_Mes!$C$2:$C$433,"Proteina"),SUMIFS(Desconto_Cliente_Mes!$R$2:$R$433,Desconto_Cliente_Mes!$A$2:$A$433,L$84,Desconto_Cliente_Mes!$B$2:$B$433,$A84,Desconto_Cliente_Mes!$C$2:$C$433,"Proteina"))))*(SUMIFS(Desconto_Cliente_Mes!$T$2:$T$433,Desconto_Cliente_Mes!$A$2:$A$433,L$84,Desconto_Cliente_Mes!$B$2:$B$433,$A84,Desconto_Cliente_Mes!$C$2:$C$433,"Proteina"))</f>
        <v>-0</v>
      </c>
      <c r="M92" s="16" t="n">
        <f aca="false">$M$86*($M$89/100)*((IF(SUMIFS(Desconto_Cliente_Mes!$S$2:$S$433,Desconto_Cliente_Mes!$A$2:$A$433,M$84,Desconto_Cliente_Mes!$B$2:$B$433,$A84,Desconto_Cliente_Mes!$C$2:$C$433,"Proteina")="",(IF(SUMIFS(Desconto_Cliente_Mes!$R$2:$R$433,Desconto_Cliente_Mes!$A$2:$A$433,M$84,Desconto_Cliente_Mes!$B$2:$B$433,$A84,Desconto_Cliente_Mes!$C$2:$C$433,"Proteina")="",SUMIFS(Desconto_Cliente_Mes!$Q$2:$Q$433,Desconto_Cliente_Mes!$A$2:$A$433,M$84,Desconto_Cliente_Mes!$B$2:$B$433,$A84,Desconto_Cliente_Mes!$C$2:$C$433,"Proteina"),SUMIFS(Desconto_Cliente_Mes!$R$2:$R$433,Desconto_Cliente_Mes!$A$2:$A$433,M$84,Desconto_Cliente_Mes!$B$2:$B$433,$A84,Desconto_Cliente_Mes!$C$2:$C$433,"Proteina"))),SUMIFS(Desconto_Cliente_Mes!$S$2:$S$433,Desconto_Cliente_Mes!$A$2:$A$433,M$84,Desconto_Cliente_Mes!$B$2:$B$433,$A84,Desconto_Cliente_Mes!$C$2:$C$433,"Proteina")))-(IF(SUMIFS(Desconto_Cliente_Mes!$R$2:$R$433,Desconto_Cliente_Mes!$A$2:$A$433,M$84,Desconto_Cliente_Mes!$B$2:$B$433,$A84,Desconto_Cliente_Mes!$C$2:$C$433,"Proteina")="",SUMIFS(Desconto_Cliente_Mes!$Q$2:$Q$433,Desconto_Cliente_Mes!$A$2:$A$433,M$84,Desconto_Cliente_Mes!$B$2:$B$433,$A84,Desconto_Cliente_Mes!$C$2:$C$433,"Proteina"),SUMIFS(Desconto_Cliente_Mes!$R$2:$R$433,Desconto_Cliente_Mes!$A$2:$A$433,M$84,Desconto_Cliente_Mes!$B$2:$B$433,$A84,Desconto_Cliente_Mes!$C$2:$C$433,"Proteina"))))*(SUMIFS(Desconto_Cliente_Mes!$T$2:$T$433,Desconto_Cliente_Mes!$A$2:$A$433,M$84,Desconto_Cliente_Mes!$B$2:$B$433,$A84,Desconto_Cliente_Mes!$C$2:$C$433,"Proteina"))</f>
        <v>-0</v>
      </c>
      <c r="N92" s="17" t="n">
        <f aca="false">SUM(B92:M92)</f>
        <v>0</v>
      </c>
    </row>
    <row r="93" customFormat="false" ht="15" hidden="false" customHeight="false" outlineLevel="0" collapsed="false">
      <c r="A93" s="13" t="s">
        <v>82</v>
      </c>
      <c r="B93" s="16" t="n">
        <f aca="false">SUMIFS(Acerto_Detalhado!$J$2:$J$433,Acerto_Detalhado!$A$2:$A$433,B$84,Acerto_Detalhado!$B$2:$B$433,$A84,Acerto_Detalhado!$C$2:$C$433,"Proteina")</f>
        <v>0</v>
      </c>
      <c r="C93" s="16" t="n">
        <f aca="false">SUMIFS(Acerto_Detalhado!$J$2:$J$433,Acerto_Detalhado!$A$2:$A$433,C$84,Acerto_Detalhado!$B$2:$B$433,$A84,Acerto_Detalhado!$C$2:$C$433,"Proteina")</f>
        <v>68792.6170134827</v>
      </c>
      <c r="D93" s="16" t="n">
        <f aca="false">SUMIFS(Acerto_Detalhado!$J$2:$J$433,Acerto_Detalhado!$A$2:$A$433,D$84,Acerto_Detalhado!$B$2:$B$433,$A84,Acerto_Detalhado!$C$2:$C$433,"Proteina")</f>
        <v>123465.014260919</v>
      </c>
      <c r="E93" s="16" t="n">
        <f aca="false">SUMIFS(Acerto_Detalhado!$J$2:$J$433,Acerto_Detalhado!$A$2:$A$433,E$84,Acerto_Detalhado!$B$2:$B$433,$A84,Acerto_Detalhado!$C$2:$C$433,"Proteina")</f>
        <v>0</v>
      </c>
      <c r="F93" s="16" t="n">
        <f aca="false">SUMIFS(Acerto_Detalhado!$J$2:$J$433,Acerto_Detalhado!$A$2:$A$433,F$84,Acerto_Detalhado!$B$2:$B$433,$A84,Acerto_Detalhado!$C$2:$C$433,"Proteina")</f>
        <v>0</v>
      </c>
      <c r="G93" s="16" t="n">
        <f aca="false">SUMIFS(Acerto_Detalhado!$J$2:$J$433,Acerto_Detalhado!$A$2:$A$433,G$84,Acerto_Detalhado!$B$2:$B$433,$A84,Acerto_Detalhado!$C$2:$C$433,"Proteina")</f>
        <v>0</v>
      </c>
      <c r="H93" s="16" t="n">
        <f aca="false">SUMIFS(Acerto_Detalhado!$J$2:$J$433,Acerto_Detalhado!$A$2:$A$433,H$84,Acerto_Detalhado!$B$2:$B$433,$A84,Acerto_Detalhado!$C$2:$C$433,"Proteina")</f>
        <v>0</v>
      </c>
      <c r="I93" s="16" t="n">
        <f aca="false">SUMIFS(Acerto_Detalhado!$J$2:$J$433,Acerto_Detalhado!$A$2:$A$433,I$84,Acerto_Detalhado!$B$2:$B$433,$A84,Acerto_Detalhado!$C$2:$C$433,"Proteina")</f>
        <v>18386.5757502351</v>
      </c>
      <c r="J93" s="16" t="n">
        <f aca="false">SUMIFS(Acerto_Detalhado!$J$2:$J$433,Acerto_Detalhado!$A$2:$A$433,J$84,Acerto_Detalhado!$B$2:$B$433,$A84,Acerto_Detalhado!$C$2:$C$433,"Proteina")</f>
        <v>0</v>
      </c>
      <c r="K93" s="16" t="n">
        <f aca="false">SUMIFS(Acerto_Detalhado!$J$2:$J$433,Acerto_Detalhado!$A$2:$A$433,K$84,Acerto_Detalhado!$B$2:$B$433,$A84,Acerto_Detalhado!$C$2:$C$433,"Proteina")</f>
        <v>53755.4567722143</v>
      </c>
      <c r="L93" s="16" t="n">
        <f aca="false">SUMIFS(Acerto_Detalhado!$J$2:$J$433,Acerto_Detalhado!$A$2:$A$433,L$84,Acerto_Detalhado!$B$2:$B$433,$A84,Acerto_Detalhado!$C$2:$C$433,"Proteina")</f>
        <v>0</v>
      </c>
      <c r="M93" s="16" t="n">
        <f aca="false">SUMIFS(Acerto_Detalhado!$J$2:$J$433,Acerto_Detalhado!$A$2:$A$433,M$84,Acerto_Detalhado!$B$2:$B$433,$A84,Acerto_Detalhado!$C$2:$C$433,"Proteina")</f>
        <v>0</v>
      </c>
      <c r="N93" s="17" t="n">
        <f aca="false">SUM(B93:M93)</f>
        <v>264399.663796851</v>
      </c>
    </row>
    <row r="95" customFormat="false" ht="15" hidden="false" customHeight="false" outlineLevel="0" collapsed="false">
      <c r="A95" s="5" t="s">
        <v>66</v>
      </c>
      <c r="B95" s="6" t="s">
        <v>39</v>
      </c>
      <c r="C95" s="6" t="s">
        <v>40</v>
      </c>
      <c r="D95" s="6" t="s">
        <v>41</v>
      </c>
      <c r="E95" s="6" t="s">
        <v>42</v>
      </c>
      <c r="F95" s="6" t="s">
        <v>43</v>
      </c>
      <c r="G95" s="6" t="s">
        <v>44</v>
      </c>
      <c r="H95" s="6" t="s">
        <v>45</v>
      </c>
      <c r="I95" s="6" t="s">
        <v>46</v>
      </c>
      <c r="J95" s="6" t="s">
        <v>47</v>
      </c>
      <c r="K95" s="6" t="s">
        <v>48</v>
      </c>
      <c r="L95" s="6" t="s">
        <v>49</v>
      </c>
      <c r="M95" s="6" t="s">
        <v>50</v>
      </c>
      <c r="N95" s="6" t="s">
        <v>51</v>
      </c>
    </row>
    <row r="96" customFormat="false" ht="15" hidden="false" customHeight="false" outlineLevel="0" collapsed="false">
      <c r="A96" s="13" t="s">
        <v>74</v>
      </c>
      <c r="B96" s="10" t="n">
        <f aca="false">IF((SUMIFS(Desconto_Cliente_Mes!$D$2:$D$433,Desconto_Cliente_Mes!$A$2:$A$433,B$95,Desconto_Cliente_Mes!$B$2:$B$433,$A95,Desconto_Cliente_Mes!$C$2:$C$433,"Proteina"))=0,"",IFERROR(SUMIFS(Desconto_Cliente_Mes!$E$2:$E$433,Desconto_Cliente_Mes!$A$2:$A$433,B$95,Desconto_Cliente_Mes!$B$2:$B$433,$A95,Desconto_Cliente_Mes!$C$2:$C$433,"Proteina"),""))</f>
        <v>47.12</v>
      </c>
      <c r="C96" s="10" t="n">
        <f aca="false">IF((SUMIFS(Desconto_Cliente_Mes!$D$2:$D$433,Desconto_Cliente_Mes!$A$2:$A$433,C$95,Desconto_Cliente_Mes!$B$2:$B$433,$A95,Desconto_Cliente_Mes!$C$2:$C$433,"Proteina"))=0,"",IFERROR(SUMIFS(Desconto_Cliente_Mes!$E$2:$E$433,Desconto_Cliente_Mes!$A$2:$A$433,C$95,Desconto_Cliente_Mes!$B$2:$B$433,$A95,Desconto_Cliente_Mes!$C$2:$C$433,"Proteina"),""))</f>
        <v>47.8702843703949</v>
      </c>
      <c r="D96" s="10" t="n">
        <f aca="false">IF((SUMIFS(Desconto_Cliente_Mes!$D$2:$D$433,Desconto_Cliente_Mes!$A$2:$A$433,D$95,Desconto_Cliente_Mes!$B$2:$B$433,$A95,Desconto_Cliente_Mes!$C$2:$C$433,"Proteina"))=0,"",IFERROR(SUMIFS(Desconto_Cliente_Mes!$E$2:$E$433,Desconto_Cliente_Mes!$A$2:$A$433,D$95,Desconto_Cliente_Mes!$B$2:$B$433,$A95,Desconto_Cliente_Mes!$C$2:$C$433,"Proteina"),""))</f>
        <v>47.91</v>
      </c>
      <c r="E96" s="10" t="n">
        <f aca="false">IF((SUMIFS(Desconto_Cliente_Mes!$D$2:$D$433,Desconto_Cliente_Mes!$A$2:$A$433,E$95,Desconto_Cliente_Mes!$B$2:$B$433,$A95,Desconto_Cliente_Mes!$C$2:$C$433,"Proteina"))=0,"",IFERROR(SUMIFS(Desconto_Cliente_Mes!$E$2:$E$433,Desconto_Cliente_Mes!$A$2:$A$433,E$95,Desconto_Cliente_Mes!$B$2:$B$433,$A95,Desconto_Cliente_Mes!$C$2:$C$433,"Proteina"),""))</f>
        <v>47.26</v>
      </c>
      <c r="F96" s="10" t="n">
        <f aca="false">IF((SUMIFS(Desconto_Cliente_Mes!$D$2:$D$433,Desconto_Cliente_Mes!$A$2:$A$433,F$95,Desconto_Cliente_Mes!$B$2:$B$433,$A95,Desconto_Cliente_Mes!$C$2:$C$433,"Proteina"))=0,"",IFERROR(SUMIFS(Desconto_Cliente_Mes!$E$2:$E$433,Desconto_Cliente_Mes!$A$2:$A$433,F$95,Desconto_Cliente_Mes!$B$2:$B$433,$A95,Desconto_Cliente_Mes!$C$2:$C$433,"Proteina"),""))</f>
        <v>47.51</v>
      </c>
      <c r="G96" s="10" t="n">
        <f aca="false">IF((SUMIFS(Desconto_Cliente_Mes!$D$2:$D$433,Desconto_Cliente_Mes!$A$2:$A$433,G$95,Desconto_Cliente_Mes!$B$2:$B$433,$A95,Desconto_Cliente_Mes!$C$2:$C$433,"Proteina"))=0,"",IFERROR(SUMIFS(Desconto_Cliente_Mes!$E$2:$E$433,Desconto_Cliente_Mes!$A$2:$A$433,G$95,Desconto_Cliente_Mes!$B$2:$B$433,$A95,Desconto_Cliente_Mes!$C$2:$C$433,"Proteina"),""))</f>
        <v>47.7855840742867</v>
      </c>
      <c r="H96" s="10" t="n">
        <f aca="false">IF((SUMIFS(Desconto_Cliente_Mes!$D$2:$D$433,Desconto_Cliente_Mes!$A$2:$A$433,H$95,Desconto_Cliente_Mes!$B$2:$B$433,$A95,Desconto_Cliente_Mes!$C$2:$C$433,"Proteina"))=0,"",IFERROR(SUMIFS(Desconto_Cliente_Mes!$E$2:$E$433,Desconto_Cliente_Mes!$A$2:$A$433,H$95,Desconto_Cliente_Mes!$B$2:$B$433,$A95,Desconto_Cliente_Mes!$C$2:$C$433,"Proteina"),""))</f>
        <v>47.2522293179986</v>
      </c>
      <c r="I96" s="10" t="n">
        <f aca="false">IF((SUMIFS(Desconto_Cliente_Mes!$D$2:$D$433,Desconto_Cliente_Mes!$A$2:$A$433,I$95,Desconto_Cliente_Mes!$B$2:$B$433,$A95,Desconto_Cliente_Mes!$C$2:$C$433,"Proteina"))=0,"",IFERROR(SUMIFS(Desconto_Cliente_Mes!$E$2:$E$433,Desconto_Cliente_Mes!$A$2:$A$433,I$95,Desconto_Cliente_Mes!$B$2:$B$433,$A95,Desconto_Cliente_Mes!$C$2:$C$433,"Proteina"),""))</f>
        <v>47.3</v>
      </c>
      <c r="J96" s="10" t="str">
        <f aca="false">IF((SUMIFS(Desconto_Cliente_Mes!$D$2:$D$433,Desconto_Cliente_Mes!$A$2:$A$433,J$95,Desconto_Cliente_Mes!$B$2:$B$433,$A95,Desconto_Cliente_Mes!$C$2:$C$433,"Proteina"))=0,"",IFERROR(SUMIFS(Desconto_Cliente_Mes!$E$2:$E$433,Desconto_Cliente_Mes!$A$2:$A$433,J$95,Desconto_Cliente_Mes!$B$2:$B$433,$A95,Desconto_Cliente_Mes!$C$2:$C$433,"Proteina"),""))</f>
        <v/>
      </c>
      <c r="K96" s="10" t="n">
        <f aca="false">IF((SUMIFS(Desconto_Cliente_Mes!$D$2:$D$433,Desconto_Cliente_Mes!$A$2:$A$433,K$95,Desconto_Cliente_Mes!$B$2:$B$433,$A95,Desconto_Cliente_Mes!$C$2:$C$433,"Proteina"))=0,"",IFERROR(SUMIFS(Desconto_Cliente_Mes!$E$2:$E$433,Desconto_Cliente_Mes!$A$2:$A$433,K$95,Desconto_Cliente_Mes!$B$2:$B$433,$A95,Desconto_Cliente_Mes!$C$2:$C$433,"Proteina"),""))</f>
        <v>47.87</v>
      </c>
      <c r="L96" s="10" t="str">
        <f aca="false">IF((SUMIFS(Desconto_Cliente_Mes!$D$2:$D$433,Desconto_Cliente_Mes!$A$2:$A$433,L$95,Desconto_Cliente_Mes!$B$2:$B$433,$A95,Desconto_Cliente_Mes!$C$2:$C$433,"Proteina"))=0,"",IFERROR(SUMIFS(Desconto_Cliente_Mes!$E$2:$E$433,Desconto_Cliente_Mes!$A$2:$A$433,L$95,Desconto_Cliente_Mes!$B$2:$B$433,$A95,Desconto_Cliente_Mes!$C$2:$C$433,"Proteina"),""))</f>
        <v/>
      </c>
      <c r="M96" s="10" t="str">
        <f aca="false">IF((SUMIFS(Desconto_Cliente_Mes!$D$2:$D$433,Desconto_Cliente_Mes!$A$2:$A$433,M$95,Desconto_Cliente_Mes!$B$2:$B$433,$A95,Desconto_Cliente_Mes!$C$2:$C$433,"Proteina"))=0,"",IFERROR(SUMIFS(Desconto_Cliente_Mes!$E$2:$E$433,Desconto_Cliente_Mes!$A$2:$A$433,M$95,Desconto_Cliente_Mes!$B$2:$B$433,$A95,Desconto_Cliente_Mes!$C$2:$C$433,"Proteina"),""))</f>
        <v/>
      </c>
      <c r="N96" s="11" t="n">
        <f aca="false">IFERROR(Media_Pool_Mes!C10,"")</f>
        <v>47.5387514497333</v>
      </c>
    </row>
    <row r="97" customFormat="false" ht="15" hidden="false" customHeight="false" outlineLevel="0" collapsed="false">
      <c r="A97" s="13" t="s">
        <v>75</v>
      </c>
      <c r="B97" s="8" t="n">
        <f aca="false">IFERROR(SUMIFS(Desconto_Cliente_Mes!$D$2:$D$433,Desconto_Cliente_Mes!$A$2:$A$433,B$95,Desconto_Cliente_Mes!$B$2:$B$433,$A95,Desconto_Cliente_Mes!$C$2:$C$433,"Proteina"),0)</f>
        <v>2244.02</v>
      </c>
      <c r="C97" s="8" t="n">
        <f aca="false">IFERROR(SUMIFS(Desconto_Cliente_Mes!$D$2:$D$433,Desconto_Cliente_Mes!$A$2:$A$433,C$95,Desconto_Cliente_Mes!$B$2:$B$433,$A95,Desconto_Cliente_Mes!$C$2:$C$433,"Proteina"),0)</f>
        <v>9195.05</v>
      </c>
      <c r="D97" s="8" t="n">
        <f aca="false">IFERROR(SUMIFS(Desconto_Cliente_Mes!$D$2:$D$433,Desconto_Cliente_Mes!$A$2:$A$433,D$95,Desconto_Cliente_Mes!$B$2:$B$433,$A95,Desconto_Cliente_Mes!$C$2:$C$433,"Proteina"),0)</f>
        <v>4163.45</v>
      </c>
      <c r="E97" s="8" t="n">
        <f aca="false">IFERROR(SUMIFS(Desconto_Cliente_Mes!$D$2:$D$433,Desconto_Cliente_Mes!$A$2:$A$433,E$95,Desconto_Cliente_Mes!$B$2:$B$433,$A95,Desconto_Cliente_Mes!$C$2:$C$433,"Proteina"),0)</f>
        <v>229.82</v>
      </c>
      <c r="F97" s="8" t="n">
        <f aca="false">IFERROR(SUMIFS(Desconto_Cliente_Mes!$D$2:$D$433,Desconto_Cliente_Mes!$A$2:$A$433,F$95,Desconto_Cliente_Mes!$B$2:$B$433,$A95,Desconto_Cliente_Mes!$C$2:$C$433,"Proteina"),0)</f>
        <v>16598.01</v>
      </c>
      <c r="G97" s="8" t="n">
        <f aca="false">IFERROR(SUMIFS(Desconto_Cliente_Mes!$D$2:$D$433,Desconto_Cliente_Mes!$A$2:$A$433,G$95,Desconto_Cliente_Mes!$B$2:$B$433,$A95,Desconto_Cliente_Mes!$C$2:$C$433,"Proteina"),0)</f>
        <v>5121.78</v>
      </c>
      <c r="H97" s="8" t="n">
        <f aca="false">IFERROR(SUMIFS(Desconto_Cliente_Mes!$D$2:$D$433,Desconto_Cliente_Mes!$A$2:$A$433,H$95,Desconto_Cliente_Mes!$B$2:$B$433,$A95,Desconto_Cliente_Mes!$C$2:$C$433,"Proteina"),0)</f>
        <v>19994.68</v>
      </c>
      <c r="I97" s="8" t="n">
        <f aca="false">IFERROR(SUMIFS(Desconto_Cliente_Mes!$D$2:$D$433,Desconto_Cliente_Mes!$A$2:$A$433,I$95,Desconto_Cliente_Mes!$B$2:$B$433,$A95,Desconto_Cliente_Mes!$C$2:$C$433,"Proteina"),0)</f>
        <v>3730.96</v>
      </c>
      <c r="J97" s="8" t="n">
        <f aca="false">IFERROR(SUMIFS(Desconto_Cliente_Mes!$D$2:$D$433,Desconto_Cliente_Mes!$A$2:$A$433,J$95,Desconto_Cliente_Mes!$B$2:$B$433,$A95,Desconto_Cliente_Mes!$C$2:$C$433,"Proteina"),0)</f>
        <v>0</v>
      </c>
      <c r="K97" s="8" t="n">
        <f aca="false">IFERROR(SUMIFS(Desconto_Cliente_Mes!$D$2:$D$433,Desconto_Cliente_Mes!$A$2:$A$433,K$95,Desconto_Cliente_Mes!$B$2:$B$433,$A95,Desconto_Cliente_Mes!$C$2:$C$433,"Proteina"),0)</f>
        <v>6769.23</v>
      </c>
      <c r="L97" s="8" t="n">
        <f aca="false">IFERROR(SUMIFS(Desconto_Cliente_Mes!$D$2:$D$433,Desconto_Cliente_Mes!$A$2:$A$433,L$95,Desconto_Cliente_Mes!$B$2:$B$433,$A95,Desconto_Cliente_Mes!$C$2:$C$433,"Proteina"),0)</f>
        <v>0</v>
      </c>
      <c r="M97" s="8" t="n">
        <f aca="false">IFERROR(SUMIFS(Desconto_Cliente_Mes!$D$2:$D$433,Desconto_Cliente_Mes!$A$2:$A$433,M$95,Desconto_Cliente_Mes!$B$2:$B$433,$A95,Desconto_Cliente_Mes!$C$2:$C$433,"Proteina"),0)</f>
        <v>0</v>
      </c>
      <c r="N97" s="9" t="n">
        <f aca="false">SUM(B97:M97)</f>
        <v>68047</v>
      </c>
    </row>
    <row r="98" customFormat="false" ht="15" hidden="false" customHeight="false" outlineLevel="0" collapsed="false">
      <c r="A98" s="13" t="s">
        <v>76</v>
      </c>
      <c r="B98" s="15" t="n">
        <f aca="false">MAX(0,(SUMIFS(Desconto_Cliente_Mes!$L$2:$L$433,Desconto_Cliente_Mes!$A$2:$A$433,B$95,Desconto_Cliente_Mes!$B$2:$B$433,$A95,Desconto_Cliente_Mes!$C$2:$C$433,"Proteina"))-(SUMIFS(Desconto_Cliente_Mes!$N$2:$N$433,Desconto_Cliente_Mes!$A$2:$A$433,B$95,Desconto_Cliente_Mes!$B$2:$B$433,$A95,Desconto_Cliente_Mes!$C$2:$C$433,"Proteina")))</f>
        <v>0.418751449733279</v>
      </c>
      <c r="C98" s="15" t="n">
        <f aca="false">MAX(0,(SUMIFS(Desconto_Cliente_Mes!$L$2:$L$433,Desconto_Cliente_Mes!$A$2:$A$433,C$95,Desconto_Cliente_Mes!$B$2:$B$433,$A95,Desconto_Cliente_Mes!$C$2:$C$433,"Proteina"))-(SUMIFS(Desconto_Cliente_Mes!$N$2:$N$433,Desconto_Cliente_Mes!$A$2:$A$433,C$95,Desconto_Cliente_Mes!$B$2:$B$433,$A95,Desconto_Cliente_Mes!$C$2:$C$433,"Proteina")))</f>
        <v>0</v>
      </c>
      <c r="D98" s="15" t="n">
        <f aca="false">MAX(0,(SUMIFS(Desconto_Cliente_Mes!$L$2:$L$433,Desconto_Cliente_Mes!$A$2:$A$433,D$95,Desconto_Cliente_Mes!$B$2:$B$433,$A95,Desconto_Cliente_Mes!$C$2:$C$433,"Proteina"))-(SUMIFS(Desconto_Cliente_Mes!$N$2:$N$433,Desconto_Cliente_Mes!$A$2:$A$433,D$95,Desconto_Cliente_Mes!$B$2:$B$433,$A95,Desconto_Cliente_Mes!$C$2:$C$433,"Proteina")))</f>
        <v>0</v>
      </c>
      <c r="E98" s="15" t="n">
        <f aca="false">MAX(0,(SUMIFS(Desconto_Cliente_Mes!$L$2:$L$433,Desconto_Cliente_Mes!$A$2:$A$433,E$95,Desconto_Cliente_Mes!$B$2:$B$433,$A95,Desconto_Cliente_Mes!$C$2:$C$433,"Proteina"))-(SUMIFS(Desconto_Cliente_Mes!$N$2:$N$433,Desconto_Cliente_Mes!$A$2:$A$433,E$95,Desconto_Cliente_Mes!$B$2:$B$433,$A95,Desconto_Cliente_Mes!$C$2:$C$433,"Proteina")))</f>
        <v>0.278751449733271</v>
      </c>
      <c r="F98" s="15" t="n">
        <f aca="false">MAX(0,(SUMIFS(Desconto_Cliente_Mes!$L$2:$L$433,Desconto_Cliente_Mes!$A$2:$A$433,F$95,Desconto_Cliente_Mes!$B$2:$B$433,$A95,Desconto_Cliente_Mes!$C$2:$C$433,"Proteina"))-(SUMIFS(Desconto_Cliente_Mes!$N$2:$N$433,Desconto_Cliente_Mes!$A$2:$A$433,F$95,Desconto_Cliente_Mes!$B$2:$B$433,$A95,Desconto_Cliente_Mes!$C$2:$C$433,"Proteina")))</f>
        <v>0.0287514497332779</v>
      </c>
      <c r="G98" s="15" t="n">
        <f aca="false">MAX(0,(SUMIFS(Desconto_Cliente_Mes!$L$2:$L$433,Desconto_Cliente_Mes!$A$2:$A$433,G$95,Desconto_Cliente_Mes!$B$2:$B$433,$A95,Desconto_Cliente_Mes!$C$2:$C$433,"Proteina"))-(SUMIFS(Desconto_Cliente_Mes!$N$2:$N$433,Desconto_Cliente_Mes!$A$2:$A$433,G$95,Desconto_Cliente_Mes!$B$2:$B$433,$A95,Desconto_Cliente_Mes!$C$2:$C$433,"Proteina")))</f>
        <v>0</v>
      </c>
      <c r="H98" s="15" t="n">
        <f aca="false">MAX(0,(SUMIFS(Desconto_Cliente_Mes!$L$2:$L$433,Desconto_Cliente_Mes!$A$2:$A$433,H$95,Desconto_Cliente_Mes!$B$2:$B$433,$A95,Desconto_Cliente_Mes!$C$2:$C$433,"Proteina"))-(SUMIFS(Desconto_Cliente_Mes!$N$2:$N$433,Desconto_Cliente_Mes!$A$2:$A$433,H$95,Desconto_Cliente_Mes!$B$2:$B$433,$A95,Desconto_Cliente_Mes!$C$2:$C$433,"Proteina")))</f>
        <v>0.286522131734692</v>
      </c>
      <c r="I98" s="15" t="n">
        <f aca="false">MAX(0,(SUMIFS(Desconto_Cliente_Mes!$L$2:$L$433,Desconto_Cliente_Mes!$A$2:$A$433,I$95,Desconto_Cliente_Mes!$B$2:$B$433,$A95,Desconto_Cliente_Mes!$C$2:$C$433,"Proteina"))-(SUMIFS(Desconto_Cliente_Mes!$N$2:$N$433,Desconto_Cliente_Mes!$A$2:$A$433,I$95,Desconto_Cliente_Mes!$B$2:$B$433,$A95,Desconto_Cliente_Mes!$C$2:$C$433,"Proteina")))</f>
        <v>0.238751449733279</v>
      </c>
      <c r="J98" s="15" t="n">
        <f aca="false">MAX(0,(SUMIFS(Desconto_Cliente_Mes!$L$2:$L$433,Desconto_Cliente_Mes!$A$2:$A$433,J$95,Desconto_Cliente_Mes!$B$2:$B$433,$A95,Desconto_Cliente_Mes!$C$2:$C$433,"Proteina"))-(SUMIFS(Desconto_Cliente_Mes!$N$2:$N$433,Desconto_Cliente_Mes!$A$2:$A$433,J$95,Desconto_Cliente_Mes!$B$2:$B$433,$A95,Desconto_Cliente_Mes!$C$2:$C$433,"Proteina")))</f>
        <v>0</v>
      </c>
      <c r="K98" s="15" t="n">
        <f aca="false">MAX(0,(SUMIFS(Desconto_Cliente_Mes!$L$2:$L$433,Desconto_Cliente_Mes!$A$2:$A$433,K$95,Desconto_Cliente_Mes!$B$2:$B$433,$A95,Desconto_Cliente_Mes!$C$2:$C$433,"Proteina"))-(SUMIFS(Desconto_Cliente_Mes!$N$2:$N$433,Desconto_Cliente_Mes!$A$2:$A$433,K$95,Desconto_Cliente_Mes!$B$2:$B$433,$A95,Desconto_Cliente_Mes!$C$2:$C$433,"Proteina")))</f>
        <v>0</v>
      </c>
      <c r="L98" s="15" t="n">
        <f aca="false">MAX(0,(SUMIFS(Desconto_Cliente_Mes!$L$2:$L$433,Desconto_Cliente_Mes!$A$2:$A$433,L$95,Desconto_Cliente_Mes!$B$2:$B$433,$A95,Desconto_Cliente_Mes!$C$2:$C$433,"Proteina"))-(SUMIFS(Desconto_Cliente_Mes!$N$2:$N$433,Desconto_Cliente_Mes!$A$2:$A$433,L$95,Desconto_Cliente_Mes!$B$2:$B$433,$A95,Desconto_Cliente_Mes!$C$2:$C$433,"Proteina")))</f>
        <v>0</v>
      </c>
      <c r="M98" s="15" t="n">
        <f aca="false">MAX(0,(SUMIFS(Desconto_Cliente_Mes!$L$2:$L$433,Desconto_Cliente_Mes!$A$2:$A$433,M$95,Desconto_Cliente_Mes!$B$2:$B$433,$A95,Desconto_Cliente_Mes!$C$2:$C$433,"Proteina"))-(SUMIFS(Desconto_Cliente_Mes!$N$2:$N$433,Desconto_Cliente_Mes!$A$2:$A$433,M$95,Desconto_Cliente_Mes!$B$2:$B$433,$A95,Desconto_Cliente_Mes!$C$2:$C$433,"Proteina")))</f>
        <v>0</v>
      </c>
    </row>
    <row r="99" customFormat="false" ht="15" hidden="false" customHeight="false" outlineLevel="0" collapsed="false">
      <c r="A99" s="13" t="s">
        <v>77</v>
      </c>
      <c r="B99" s="15" t="n">
        <f aca="false">MAX(0,(SUMIFS(Desconto_Cliente_Mes!$N$2:$N$433,Desconto_Cliente_Mes!$A$2:$A$433,B$95,Desconto_Cliente_Mes!$B$2:$B$433,$A95,Desconto_Cliente_Mes!$C$2:$C$433,"Proteina"))-(SUMIFS(Desconto_Cliente_Mes!$P$2:$P$433,Desconto_Cliente_Mes!$A$2:$A$433,B$95,Desconto_Cliente_Mes!$B$2:$B$433,$A95,Desconto_Cliente_Mes!$C$2:$C$433,"Proteina")))</f>
        <v>0</v>
      </c>
      <c r="C99" s="15" t="n">
        <f aca="false">MAX(0,(SUMIFS(Desconto_Cliente_Mes!$N$2:$N$433,Desconto_Cliente_Mes!$A$2:$A$433,C$95,Desconto_Cliente_Mes!$B$2:$B$433,$A95,Desconto_Cliente_Mes!$C$2:$C$433,"Proteina"))-(SUMIFS(Desconto_Cliente_Mes!$P$2:$P$433,Desconto_Cliente_Mes!$A$2:$A$433,C$95,Desconto_Cliente_Mes!$B$2:$B$433,$A95,Desconto_Cliente_Mes!$C$2:$C$433,"Proteina")))</f>
        <v>0</v>
      </c>
      <c r="D99" s="15" t="n">
        <f aca="false">MAX(0,(SUMIFS(Desconto_Cliente_Mes!$N$2:$N$433,Desconto_Cliente_Mes!$A$2:$A$433,D$95,Desconto_Cliente_Mes!$B$2:$B$433,$A95,Desconto_Cliente_Mes!$C$2:$C$433,"Proteina"))-(SUMIFS(Desconto_Cliente_Mes!$P$2:$P$433,Desconto_Cliente_Mes!$A$2:$A$433,D$95,Desconto_Cliente_Mes!$B$2:$B$433,$A95,Desconto_Cliente_Mes!$C$2:$C$433,"Proteina")))</f>
        <v>0</v>
      </c>
      <c r="E99" s="15" t="n">
        <f aca="false">MAX(0,(SUMIFS(Desconto_Cliente_Mes!$N$2:$N$433,Desconto_Cliente_Mes!$A$2:$A$433,E$95,Desconto_Cliente_Mes!$B$2:$B$433,$A95,Desconto_Cliente_Mes!$C$2:$C$433,"Proteina"))-(SUMIFS(Desconto_Cliente_Mes!$P$2:$P$433,Desconto_Cliente_Mes!$A$2:$A$433,E$95,Desconto_Cliente_Mes!$B$2:$B$433,$A95,Desconto_Cliente_Mes!$C$2:$C$433,"Proteina")))</f>
        <v>0</v>
      </c>
      <c r="F99" s="15" t="n">
        <f aca="false">MAX(0,(SUMIFS(Desconto_Cliente_Mes!$N$2:$N$433,Desconto_Cliente_Mes!$A$2:$A$433,F$95,Desconto_Cliente_Mes!$B$2:$B$433,$A95,Desconto_Cliente_Mes!$C$2:$C$433,"Proteina"))-(SUMIFS(Desconto_Cliente_Mes!$P$2:$P$433,Desconto_Cliente_Mes!$A$2:$A$433,F$95,Desconto_Cliente_Mes!$B$2:$B$433,$A95,Desconto_Cliente_Mes!$C$2:$C$433,"Proteina")))</f>
        <v>0</v>
      </c>
      <c r="G99" s="15" t="n">
        <f aca="false">MAX(0,(SUMIFS(Desconto_Cliente_Mes!$N$2:$N$433,Desconto_Cliente_Mes!$A$2:$A$433,G$95,Desconto_Cliente_Mes!$B$2:$B$433,$A95,Desconto_Cliente_Mes!$C$2:$C$433,"Proteina"))-(SUMIFS(Desconto_Cliente_Mes!$P$2:$P$433,Desconto_Cliente_Mes!$A$2:$A$433,G$95,Desconto_Cliente_Mes!$B$2:$B$433,$A95,Desconto_Cliente_Mes!$C$2:$C$433,"Proteina")))</f>
        <v>0</v>
      </c>
      <c r="H99" s="15" t="n">
        <f aca="false">MAX(0,(SUMIFS(Desconto_Cliente_Mes!$N$2:$N$433,Desconto_Cliente_Mes!$A$2:$A$433,H$95,Desconto_Cliente_Mes!$B$2:$B$433,$A95,Desconto_Cliente_Mes!$C$2:$C$433,"Proteina"))-(SUMIFS(Desconto_Cliente_Mes!$P$2:$P$433,Desconto_Cliente_Mes!$A$2:$A$433,H$95,Desconto_Cliente_Mes!$B$2:$B$433,$A95,Desconto_Cliente_Mes!$C$2:$C$433,"Proteina")))</f>
        <v>0</v>
      </c>
      <c r="I99" s="15" t="n">
        <f aca="false">MAX(0,(SUMIFS(Desconto_Cliente_Mes!$N$2:$N$433,Desconto_Cliente_Mes!$A$2:$A$433,I$95,Desconto_Cliente_Mes!$B$2:$B$433,$A95,Desconto_Cliente_Mes!$C$2:$C$433,"Proteina"))-(SUMIFS(Desconto_Cliente_Mes!$P$2:$P$433,Desconto_Cliente_Mes!$A$2:$A$433,I$95,Desconto_Cliente_Mes!$B$2:$B$433,$A95,Desconto_Cliente_Mes!$C$2:$C$433,"Proteina")))</f>
        <v>0</v>
      </c>
      <c r="J99" s="15" t="n">
        <f aca="false">MAX(0,(SUMIFS(Desconto_Cliente_Mes!$N$2:$N$433,Desconto_Cliente_Mes!$A$2:$A$433,J$95,Desconto_Cliente_Mes!$B$2:$B$433,$A95,Desconto_Cliente_Mes!$C$2:$C$433,"Proteina"))-(SUMIFS(Desconto_Cliente_Mes!$P$2:$P$433,Desconto_Cliente_Mes!$A$2:$A$433,J$95,Desconto_Cliente_Mes!$B$2:$B$433,$A95,Desconto_Cliente_Mes!$C$2:$C$433,"Proteina")))</f>
        <v>0</v>
      </c>
      <c r="K99" s="15" t="n">
        <f aca="false">MAX(0,(SUMIFS(Desconto_Cliente_Mes!$N$2:$N$433,Desconto_Cliente_Mes!$A$2:$A$433,K$95,Desconto_Cliente_Mes!$B$2:$B$433,$A95,Desconto_Cliente_Mes!$C$2:$C$433,"Proteina"))-(SUMIFS(Desconto_Cliente_Mes!$P$2:$P$433,Desconto_Cliente_Mes!$A$2:$A$433,K$95,Desconto_Cliente_Mes!$B$2:$B$433,$A95,Desconto_Cliente_Mes!$C$2:$C$433,"Proteina")))</f>
        <v>0</v>
      </c>
      <c r="L99" s="15" t="n">
        <f aca="false">MAX(0,(SUMIFS(Desconto_Cliente_Mes!$N$2:$N$433,Desconto_Cliente_Mes!$A$2:$A$433,L$95,Desconto_Cliente_Mes!$B$2:$B$433,$A95,Desconto_Cliente_Mes!$C$2:$C$433,"Proteina"))-(SUMIFS(Desconto_Cliente_Mes!$P$2:$P$433,Desconto_Cliente_Mes!$A$2:$A$433,L$95,Desconto_Cliente_Mes!$B$2:$B$433,$A95,Desconto_Cliente_Mes!$C$2:$C$433,"Proteina")))</f>
        <v>0</v>
      </c>
      <c r="M99" s="15" t="n">
        <f aca="false">MAX(0,(SUMIFS(Desconto_Cliente_Mes!$N$2:$N$433,Desconto_Cliente_Mes!$A$2:$A$433,M$95,Desconto_Cliente_Mes!$B$2:$B$433,$A95,Desconto_Cliente_Mes!$C$2:$C$433,"Proteina"))-(SUMIFS(Desconto_Cliente_Mes!$P$2:$P$433,Desconto_Cliente_Mes!$A$2:$A$433,M$95,Desconto_Cliente_Mes!$B$2:$B$433,$A95,Desconto_Cliente_Mes!$C$2:$C$433,"Proteina")))</f>
        <v>0</v>
      </c>
    </row>
    <row r="100" customFormat="false" ht="15" hidden="false" customHeight="false" outlineLevel="0" collapsed="false">
      <c r="A100" s="13" t="s">
        <v>78</v>
      </c>
      <c r="B100" s="15" t="n">
        <f aca="false">MAX(0,SUMIFS(Desconto_Cliente_Mes!$P$2:$P$433,Desconto_Cliente_Mes!$A$2:$A$433,B$95,Desconto_Cliente_Mes!$B$2:$B$433,$A95,Desconto_Cliente_Mes!$C$2:$C$433,"Proteina"))</f>
        <v>0</v>
      </c>
      <c r="C100" s="15" t="n">
        <f aca="false">MAX(0,SUMIFS(Desconto_Cliente_Mes!$P$2:$P$433,Desconto_Cliente_Mes!$A$2:$A$433,C$95,Desconto_Cliente_Mes!$B$2:$B$433,$A95,Desconto_Cliente_Mes!$C$2:$C$433,"Proteina"))</f>
        <v>0</v>
      </c>
      <c r="D100" s="15" t="n">
        <f aca="false">MAX(0,SUMIFS(Desconto_Cliente_Mes!$P$2:$P$433,Desconto_Cliente_Mes!$A$2:$A$433,D$95,Desconto_Cliente_Mes!$B$2:$B$433,$A95,Desconto_Cliente_Mes!$C$2:$C$433,"Proteina"))</f>
        <v>0</v>
      </c>
      <c r="E100" s="15" t="n">
        <f aca="false">MAX(0,SUMIFS(Desconto_Cliente_Mes!$P$2:$P$433,Desconto_Cliente_Mes!$A$2:$A$433,E$95,Desconto_Cliente_Mes!$B$2:$B$433,$A95,Desconto_Cliente_Mes!$C$2:$C$433,"Proteina"))</f>
        <v>0</v>
      </c>
      <c r="F100" s="15" t="n">
        <f aca="false">MAX(0,SUMIFS(Desconto_Cliente_Mes!$P$2:$P$433,Desconto_Cliente_Mes!$A$2:$A$433,F$95,Desconto_Cliente_Mes!$B$2:$B$433,$A95,Desconto_Cliente_Mes!$C$2:$C$433,"Proteina"))</f>
        <v>0</v>
      </c>
      <c r="G100" s="15" t="n">
        <f aca="false">MAX(0,SUMIFS(Desconto_Cliente_Mes!$P$2:$P$433,Desconto_Cliente_Mes!$A$2:$A$433,G$95,Desconto_Cliente_Mes!$B$2:$B$433,$A95,Desconto_Cliente_Mes!$C$2:$C$433,"Proteina"))</f>
        <v>0</v>
      </c>
      <c r="H100" s="15" t="n">
        <f aca="false">MAX(0,SUMIFS(Desconto_Cliente_Mes!$P$2:$P$433,Desconto_Cliente_Mes!$A$2:$A$433,H$95,Desconto_Cliente_Mes!$B$2:$B$433,$A95,Desconto_Cliente_Mes!$C$2:$C$433,"Proteina"))</f>
        <v>0</v>
      </c>
      <c r="I100" s="15" t="n">
        <f aca="false">MAX(0,SUMIFS(Desconto_Cliente_Mes!$P$2:$P$433,Desconto_Cliente_Mes!$A$2:$A$433,I$95,Desconto_Cliente_Mes!$B$2:$B$433,$A95,Desconto_Cliente_Mes!$C$2:$C$433,"Proteina"))</f>
        <v>0</v>
      </c>
      <c r="J100" s="15" t="n">
        <f aca="false">MAX(0,SUMIFS(Desconto_Cliente_Mes!$P$2:$P$433,Desconto_Cliente_Mes!$A$2:$A$433,J$95,Desconto_Cliente_Mes!$B$2:$B$433,$A95,Desconto_Cliente_Mes!$C$2:$C$433,"Proteina"))</f>
        <v>0</v>
      </c>
      <c r="K100" s="15" t="n">
        <f aca="false">MAX(0,SUMIFS(Desconto_Cliente_Mes!$P$2:$P$433,Desconto_Cliente_Mes!$A$2:$A$433,K$95,Desconto_Cliente_Mes!$B$2:$B$433,$A95,Desconto_Cliente_Mes!$C$2:$C$433,"Proteina"))</f>
        <v>0</v>
      </c>
      <c r="L100" s="15" t="n">
        <f aca="false">MAX(0,SUMIFS(Desconto_Cliente_Mes!$P$2:$P$433,Desconto_Cliente_Mes!$A$2:$A$433,L$95,Desconto_Cliente_Mes!$B$2:$B$433,$A95,Desconto_Cliente_Mes!$C$2:$C$433,"Proteina"))</f>
        <v>0</v>
      </c>
      <c r="M100" s="15" t="n">
        <f aca="false">MAX(0,SUMIFS(Desconto_Cliente_Mes!$P$2:$P$433,Desconto_Cliente_Mes!$A$2:$A$433,M$95,Desconto_Cliente_Mes!$B$2:$B$433,$A95,Desconto_Cliente_Mes!$C$2:$C$433,"Proteina"))</f>
        <v>0</v>
      </c>
    </row>
    <row r="101" customFormat="false" ht="15" hidden="false" customHeight="false" outlineLevel="0" collapsed="false">
      <c r="A101" s="13" t="s">
        <v>79</v>
      </c>
      <c r="B101" s="16" t="n">
        <f aca="false">$B$97*($B$98/100)*(SUMIFS(Desconto_Cliente_Mes!$Q$2:$Q$433,Desconto_Cliente_Mes!$A$2:$A$433,B$95,Desconto_Cliente_Mes!$B$2:$B$433,$A95,Desconto_Cliente_Mes!$C$2:$C$433,"Proteina"))*(SUMIFS(Desconto_Cliente_Mes!$T$2:$T$433,Desconto_Cliente_Mes!$A$2:$A$433,B$95,Desconto_Cliente_Mes!$B$2:$B$433,$A95,Desconto_Cliente_Mes!$C$2:$C$433,"Proteina"))</f>
        <v>3063.37840803134</v>
      </c>
      <c r="C101" s="16" t="n">
        <f aca="false">$C$97*($C$98/100)*(SUMIFS(Desconto_Cliente_Mes!$Q$2:$Q$433,Desconto_Cliente_Mes!$A$2:$A$433,C$95,Desconto_Cliente_Mes!$B$2:$B$433,$A95,Desconto_Cliente_Mes!$C$2:$C$433,"Proteina"))*(SUMIFS(Desconto_Cliente_Mes!$T$2:$T$433,Desconto_Cliente_Mes!$A$2:$A$433,C$95,Desconto_Cliente_Mes!$B$2:$B$433,$A95,Desconto_Cliente_Mes!$C$2:$C$433,"Proteina"))</f>
        <v>0</v>
      </c>
      <c r="D101" s="16" t="n">
        <f aca="false">$D$97*($D$98/100)*(SUMIFS(Desconto_Cliente_Mes!$Q$2:$Q$433,Desconto_Cliente_Mes!$A$2:$A$433,D$95,Desconto_Cliente_Mes!$B$2:$B$433,$A95,Desconto_Cliente_Mes!$C$2:$C$433,"Proteina"))*(SUMIFS(Desconto_Cliente_Mes!$T$2:$T$433,Desconto_Cliente_Mes!$A$2:$A$433,D$95,Desconto_Cliente_Mes!$B$2:$B$433,$A95,Desconto_Cliente_Mes!$C$2:$C$433,"Proteina"))</f>
        <v>0</v>
      </c>
      <c r="E101" s="16" t="n">
        <f aca="false">$E$97*($E$98/100)*(SUMIFS(Desconto_Cliente_Mes!$Q$2:$Q$433,Desconto_Cliente_Mes!$A$2:$A$433,E$95,Desconto_Cliente_Mes!$B$2:$B$433,$A95,Desconto_Cliente_Mes!$C$2:$C$433,"Proteina"))*(SUMIFS(Desconto_Cliente_Mes!$T$2:$T$433,Desconto_Cliente_Mes!$A$2:$A$433,E$95,Desconto_Cliente_Mes!$B$2:$B$433,$A95,Desconto_Cliente_Mes!$C$2:$C$433,"Proteina"))</f>
        <v>208.844265659303</v>
      </c>
      <c r="F101" s="16" t="n">
        <f aca="false">$F$97*($F$98/100)*(SUMIFS(Desconto_Cliente_Mes!$Q$2:$Q$433,Desconto_Cliente_Mes!$A$2:$A$433,F$95,Desconto_Cliente_Mes!$B$2:$B$433,$A95,Desconto_Cliente_Mes!$C$2:$C$433,"Proteina"))*(SUMIFS(Desconto_Cliente_Mes!$T$2:$T$433,Desconto_Cliente_Mes!$A$2:$A$433,F$95,Desconto_Cliente_Mes!$B$2:$B$433,$A95,Desconto_Cliente_Mes!$C$2:$C$433,"Proteina"))</f>
        <v>1555.72693161107</v>
      </c>
      <c r="G101" s="16" t="n">
        <f aca="false">$G$97*($G$98/100)*(SUMIFS(Desconto_Cliente_Mes!$Q$2:$Q$433,Desconto_Cliente_Mes!$A$2:$A$433,G$95,Desconto_Cliente_Mes!$B$2:$B$433,$A95,Desconto_Cliente_Mes!$C$2:$C$433,"Proteina"))*(SUMIFS(Desconto_Cliente_Mes!$T$2:$T$433,Desconto_Cliente_Mes!$A$2:$A$433,G$95,Desconto_Cliente_Mes!$B$2:$B$433,$A95,Desconto_Cliente_Mes!$C$2:$C$433,"Proteina"))</f>
        <v>0</v>
      </c>
      <c r="H101" s="16" t="n">
        <f aca="false">$H$97*($H$98/100)*(SUMIFS(Desconto_Cliente_Mes!$Q$2:$Q$433,Desconto_Cliente_Mes!$A$2:$A$433,H$95,Desconto_Cliente_Mes!$B$2:$B$433,$A95,Desconto_Cliente_Mes!$C$2:$C$433,"Proteina"))*(SUMIFS(Desconto_Cliente_Mes!$T$2:$T$433,Desconto_Cliente_Mes!$A$2:$A$433,H$95,Desconto_Cliente_Mes!$B$2:$B$433,$A95,Desconto_Cliente_Mes!$C$2:$C$433,"Proteina"))</f>
        <v>18676.2737784668</v>
      </c>
      <c r="I101" s="16" t="n">
        <f aca="false">$I$97*($I$98/100)*(SUMIFS(Desconto_Cliente_Mes!$Q$2:$Q$433,Desconto_Cliente_Mes!$A$2:$A$433,I$95,Desconto_Cliente_Mes!$B$2:$B$433,$A95,Desconto_Cliente_Mes!$C$2:$C$433,"Proteina"))*(SUMIFS(Desconto_Cliente_Mes!$T$2:$T$433,Desconto_Cliente_Mes!$A$2:$A$433,I$95,Desconto_Cliente_Mes!$B$2:$B$433,$A95,Desconto_Cliente_Mes!$C$2:$C$433,"Proteina"))</f>
        <v>2903.91707500381</v>
      </c>
      <c r="J101" s="16" t="n">
        <f aca="false">$J$97*($J$98/100)*(SUMIFS(Desconto_Cliente_Mes!$Q$2:$Q$433,Desconto_Cliente_Mes!$A$2:$A$433,J$95,Desconto_Cliente_Mes!$B$2:$B$433,$A95,Desconto_Cliente_Mes!$C$2:$C$433,"Proteina"))*(SUMIFS(Desconto_Cliente_Mes!$T$2:$T$433,Desconto_Cliente_Mes!$A$2:$A$433,J$95,Desconto_Cliente_Mes!$B$2:$B$433,$A95,Desconto_Cliente_Mes!$C$2:$C$433,"Proteina"))</f>
        <v>0</v>
      </c>
      <c r="K101" s="16" t="n">
        <f aca="false">$K$97*($K$98/100)*(SUMIFS(Desconto_Cliente_Mes!$Q$2:$Q$433,Desconto_Cliente_Mes!$A$2:$A$433,K$95,Desconto_Cliente_Mes!$B$2:$B$433,$A95,Desconto_Cliente_Mes!$C$2:$C$433,"Proteina"))*(SUMIFS(Desconto_Cliente_Mes!$T$2:$T$433,Desconto_Cliente_Mes!$A$2:$A$433,K$95,Desconto_Cliente_Mes!$B$2:$B$433,$A95,Desconto_Cliente_Mes!$C$2:$C$433,"Proteina"))</f>
        <v>0</v>
      </c>
      <c r="L101" s="16" t="n">
        <f aca="false">$L$97*($L$98/100)*(SUMIFS(Desconto_Cliente_Mes!$Q$2:$Q$433,Desconto_Cliente_Mes!$A$2:$A$433,L$95,Desconto_Cliente_Mes!$B$2:$B$433,$A95,Desconto_Cliente_Mes!$C$2:$C$433,"Proteina"))*(SUMIFS(Desconto_Cliente_Mes!$T$2:$T$433,Desconto_Cliente_Mes!$A$2:$A$433,L$95,Desconto_Cliente_Mes!$B$2:$B$433,$A95,Desconto_Cliente_Mes!$C$2:$C$433,"Proteina"))</f>
        <v>0</v>
      </c>
      <c r="M101" s="16" t="n">
        <f aca="false">$M$97*($M$98/100)*(SUMIFS(Desconto_Cliente_Mes!$Q$2:$Q$433,Desconto_Cliente_Mes!$A$2:$A$433,M$95,Desconto_Cliente_Mes!$B$2:$B$433,$A95,Desconto_Cliente_Mes!$C$2:$C$433,"Proteina"))*(SUMIFS(Desconto_Cliente_Mes!$T$2:$T$433,Desconto_Cliente_Mes!$A$2:$A$433,M$95,Desconto_Cliente_Mes!$B$2:$B$433,$A95,Desconto_Cliente_Mes!$C$2:$C$433,"Proteina"))</f>
        <v>0</v>
      </c>
      <c r="N101" s="17" t="n">
        <f aca="false">SUM(B101:M101)</f>
        <v>26408.1404587724</v>
      </c>
    </row>
    <row r="102" customFormat="false" ht="15" hidden="false" customHeight="false" outlineLevel="0" collapsed="false">
      <c r="A102" s="13" t="s">
        <v>80</v>
      </c>
      <c r="B102" s="16" t="n">
        <f aca="false">$B$97*($B$99/100)*((IF(SUMIFS(Desconto_Cliente_Mes!$R$2:$R$433,Desconto_Cliente_Mes!$A$2:$A$433,B$95,Desconto_Cliente_Mes!$B$2:$B$433,$A95,Desconto_Cliente_Mes!$C$2:$C$433,"Proteina")="",SUMIFS(Desconto_Cliente_Mes!$Q$2:$Q$433,Desconto_Cliente_Mes!$A$2:$A$433,B$95,Desconto_Cliente_Mes!$B$2:$B$433,$A95,Desconto_Cliente_Mes!$C$2:$C$433,"Proteina"),SUMIFS(Desconto_Cliente_Mes!$R$2:$R$433,Desconto_Cliente_Mes!$A$2:$A$433,B$95,Desconto_Cliente_Mes!$B$2:$B$433,$A95,Desconto_Cliente_Mes!$C$2:$C$433,"Proteina")))-(SUMIFS(Desconto_Cliente_Mes!$Q$2:$Q$433,Desconto_Cliente_Mes!$A$2:$A$433,B$95,Desconto_Cliente_Mes!$B$2:$B$433,$A95,Desconto_Cliente_Mes!$C$2:$C$433,"Proteina")))*(SUMIFS(Desconto_Cliente_Mes!$T$2:$T$433,Desconto_Cliente_Mes!$A$2:$A$433,B$95,Desconto_Cliente_Mes!$B$2:$B$433,$A95,Desconto_Cliente_Mes!$C$2:$C$433,"Proteina"))</f>
        <v>0</v>
      </c>
      <c r="C102" s="16" t="n">
        <f aca="false">$C$97*($C$99/100)*((IF(SUMIFS(Desconto_Cliente_Mes!$R$2:$R$433,Desconto_Cliente_Mes!$A$2:$A$433,C$95,Desconto_Cliente_Mes!$B$2:$B$433,$A95,Desconto_Cliente_Mes!$C$2:$C$433,"Proteina")="",SUMIFS(Desconto_Cliente_Mes!$Q$2:$Q$433,Desconto_Cliente_Mes!$A$2:$A$433,C$95,Desconto_Cliente_Mes!$B$2:$B$433,$A95,Desconto_Cliente_Mes!$C$2:$C$433,"Proteina"),SUMIFS(Desconto_Cliente_Mes!$R$2:$R$433,Desconto_Cliente_Mes!$A$2:$A$433,C$95,Desconto_Cliente_Mes!$B$2:$B$433,$A95,Desconto_Cliente_Mes!$C$2:$C$433,"Proteina")))-(SUMIFS(Desconto_Cliente_Mes!$Q$2:$Q$433,Desconto_Cliente_Mes!$A$2:$A$433,C$95,Desconto_Cliente_Mes!$B$2:$B$433,$A95,Desconto_Cliente_Mes!$C$2:$C$433,"Proteina")))*(SUMIFS(Desconto_Cliente_Mes!$T$2:$T$433,Desconto_Cliente_Mes!$A$2:$A$433,C$95,Desconto_Cliente_Mes!$B$2:$B$433,$A95,Desconto_Cliente_Mes!$C$2:$C$433,"Proteina"))</f>
        <v>0</v>
      </c>
      <c r="D102" s="16" t="n">
        <f aca="false">$D$97*($D$99/100)*((IF(SUMIFS(Desconto_Cliente_Mes!$R$2:$R$433,Desconto_Cliente_Mes!$A$2:$A$433,D$95,Desconto_Cliente_Mes!$B$2:$B$433,$A95,Desconto_Cliente_Mes!$C$2:$C$433,"Proteina")="",SUMIFS(Desconto_Cliente_Mes!$Q$2:$Q$433,Desconto_Cliente_Mes!$A$2:$A$433,D$95,Desconto_Cliente_Mes!$B$2:$B$433,$A95,Desconto_Cliente_Mes!$C$2:$C$433,"Proteina"),SUMIFS(Desconto_Cliente_Mes!$R$2:$R$433,Desconto_Cliente_Mes!$A$2:$A$433,D$95,Desconto_Cliente_Mes!$B$2:$B$433,$A95,Desconto_Cliente_Mes!$C$2:$C$433,"Proteina")))-(SUMIFS(Desconto_Cliente_Mes!$Q$2:$Q$433,Desconto_Cliente_Mes!$A$2:$A$433,D$95,Desconto_Cliente_Mes!$B$2:$B$433,$A95,Desconto_Cliente_Mes!$C$2:$C$433,"Proteina")))*(SUMIFS(Desconto_Cliente_Mes!$T$2:$T$433,Desconto_Cliente_Mes!$A$2:$A$433,D$95,Desconto_Cliente_Mes!$B$2:$B$433,$A95,Desconto_Cliente_Mes!$C$2:$C$433,"Proteina"))</f>
        <v>0</v>
      </c>
      <c r="E102" s="16" t="n">
        <f aca="false">$E$97*($E$99/100)*((IF(SUMIFS(Desconto_Cliente_Mes!$R$2:$R$433,Desconto_Cliente_Mes!$A$2:$A$433,E$95,Desconto_Cliente_Mes!$B$2:$B$433,$A95,Desconto_Cliente_Mes!$C$2:$C$433,"Proteina")="",SUMIFS(Desconto_Cliente_Mes!$Q$2:$Q$433,Desconto_Cliente_Mes!$A$2:$A$433,E$95,Desconto_Cliente_Mes!$B$2:$B$433,$A95,Desconto_Cliente_Mes!$C$2:$C$433,"Proteina"),SUMIFS(Desconto_Cliente_Mes!$R$2:$R$433,Desconto_Cliente_Mes!$A$2:$A$433,E$95,Desconto_Cliente_Mes!$B$2:$B$433,$A95,Desconto_Cliente_Mes!$C$2:$C$433,"Proteina")))-(SUMIFS(Desconto_Cliente_Mes!$Q$2:$Q$433,Desconto_Cliente_Mes!$A$2:$A$433,E$95,Desconto_Cliente_Mes!$B$2:$B$433,$A95,Desconto_Cliente_Mes!$C$2:$C$433,"Proteina")))*(SUMIFS(Desconto_Cliente_Mes!$T$2:$T$433,Desconto_Cliente_Mes!$A$2:$A$433,E$95,Desconto_Cliente_Mes!$B$2:$B$433,$A95,Desconto_Cliente_Mes!$C$2:$C$433,"Proteina"))</f>
        <v>0</v>
      </c>
      <c r="F102" s="16" t="n">
        <f aca="false">$F$97*($F$99/100)*((IF(SUMIFS(Desconto_Cliente_Mes!$R$2:$R$433,Desconto_Cliente_Mes!$A$2:$A$433,F$95,Desconto_Cliente_Mes!$B$2:$B$433,$A95,Desconto_Cliente_Mes!$C$2:$C$433,"Proteina")="",SUMIFS(Desconto_Cliente_Mes!$Q$2:$Q$433,Desconto_Cliente_Mes!$A$2:$A$433,F$95,Desconto_Cliente_Mes!$B$2:$B$433,$A95,Desconto_Cliente_Mes!$C$2:$C$433,"Proteina"),SUMIFS(Desconto_Cliente_Mes!$R$2:$R$433,Desconto_Cliente_Mes!$A$2:$A$433,F$95,Desconto_Cliente_Mes!$B$2:$B$433,$A95,Desconto_Cliente_Mes!$C$2:$C$433,"Proteina")))-(SUMIFS(Desconto_Cliente_Mes!$Q$2:$Q$433,Desconto_Cliente_Mes!$A$2:$A$433,F$95,Desconto_Cliente_Mes!$B$2:$B$433,$A95,Desconto_Cliente_Mes!$C$2:$C$433,"Proteina")))*(SUMIFS(Desconto_Cliente_Mes!$T$2:$T$433,Desconto_Cliente_Mes!$A$2:$A$433,F$95,Desconto_Cliente_Mes!$B$2:$B$433,$A95,Desconto_Cliente_Mes!$C$2:$C$433,"Proteina"))</f>
        <v>0</v>
      </c>
      <c r="G102" s="16" t="n">
        <f aca="false">$G$97*($G$99/100)*((IF(SUMIFS(Desconto_Cliente_Mes!$R$2:$R$433,Desconto_Cliente_Mes!$A$2:$A$433,G$95,Desconto_Cliente_Mes!$B$2:$B$433,$A95,Desconto_Cliente_Mes!$C$2:$C$433,"Proteina")="",SUMIFS(Desconto_Cliente_Mes!$Q$2:$Q$433,Desconto_Cliente_Mes!$A$2:$A$433,G$95,Desconto_Cliente_Mes!$B$2:$B$433,$A95,Desconto_Cliente_Mes!$C$2:$C$433,"Proteina"),SUMIFS(Desconto_Cliente_Mes!$R$2:$R$433,Desconto_Cliente_Mes!$A$2:$A$433,G$95,Desconto_Cliente_Mes!$B$2:$B$433,$A95,Desconto_Cliente_Mes!$C$2:$C$433,"Proteina")))-(SUMIFS(Desconto_Cliente_Mes!$Q$2:$Q$433,Desconto_Cliente_Mes!$A$2:$A$433,G$95,Desconto_Cliente_Mes!$B$2:$B$433,$A95,Desconto_Cliente_Mes!$C$2:$C$433,"Proteina")))*(SUMIFS(Desconto_Cliente_Mes!$T$2:$T$433,Desconto_Cliente_Mes!$A$2:$A$433,G$95,Desconto_Cliente_Mes!$B$2:$B$433,$A95,Desconto_Cliente_Mes!$C$2:$C$433,"Proteina"))</f>
        <v>0</v>
      </c>
      <c r="H102" s="16" t="n">
        <f aca="false">$H$97*($H$99/100)*((IF(SUMIFS(Desconto_Cliente_Mes!$R$2:$R$433,Desconto_Cliente_Mes!$A$2:$A$433,H$95,Desconto_Cliente_Mes!$B$2:$B$433,$A95,Desconto_Cliente_Mes!$C$2:$C$433,"Proteina")="",SUMIFS(Desconto_Cliente_Mes!$Q$2:$Q$433,Desconto_Cliente_Mes!$A$2:$A$433,H$95,Desconto_Cliente_Mes!$B$2:$B$433,$A95,Desconto_Cliente_Mes!$C$2:$C$433,"Proteina"),SUMIFS(Desconto_Cliente_Mes!$R$2:$R$433,Desconto_Cliente_Mes!$A$2:$A$433,H$95,Desconto_Cliente_Mes!$B$2:$B$433,$A95,Desconto_Cliente_Mes!$C$2:$C$433,"Proteina")))-(SUMIFS(Desconto_Cliente_Mes!$Q$2:$Q$433,Desconto_Cliente_Mes!$A$2:$A$433,H$95,Desconto_Cliente_Mes!$B$2:$B$433,$A95,Desconto_Cliente_Mes!$C$2:$C$433,"Proteina")))*(SUMIFS(Desconto_Cliente_Mes!$T$2:$T$433,Desconto_Cliente_Mes!$A$2:$A$433,H$95,Desconto_Cliente_Mes!$B$2:$B$433,$A95,Desconto_Cliente_Mes!$C$2:$C$433,"Proteina"))</f>
        <v>0</v>
      </c>
      <c r="I102" s="16" t="n">
        <f aca="false">$I$97*($I$99/100)*((IF(SUMIFS(Desconto_Cliente_Mes!$R$2:$R$433,Desconto_Cliente_Mes!$A$2:$A$433,I$95,Desconto_Cliente_Mes!$B$2:$B$433,$A95,Desconto_Cliente_Mes!$C$2:$C$433,"Proteina")="",SUMIFS(Desconto_Cliente_Mes!$Q$2:$Q$433,Desconto_Cliente_Mes!$A$2:$A$433,I$95,Desconto_Cliente_Mes!$B$2:$B$433,$A95,Desconto_Cliente_Mes!$C$2:$C$433,"Proteina"),SUMIFS(Desconto_Cliente_Mes!$R$2:$R$433,Desconto_Cliente_Mes!$A$2:$A$433,I$95,Desconto_Cliente_Mes!$B$2:$B$433,$A95,Desconto_Cliente_Mes!$C$2:$C$433,"Proteina")))-(SUMIFS(Desconto_Cliente_Mes!$Q$2:$Q$433,Desconto_Cliente_Mes!$A$2:$A$433,I$95,Desconto_Cliente_Mes!$B$2:$B$433,$A95,Desconto_Cliente_Mes!$C$2:$C$433,"Proteina")))*(SUMIFS(Desconto_Cliente_Mes!$T$2:$T$433,Desconto_Cliente_Mes!$A$2:$A$433,I$95,Desconto_Cliente_Mes!$B$2:$B$433,$A95,Desconto_Cliente_Mes!$C$2:$C$433,"Proteina"))</f>
        <v>0</v>
      </c>
      <c r="J102" s="16" t="n">
        <f aca="false">$J$97*($J$99/100)*((IF(SUMIFS(Desconto_Cliente_Mes!$R$2:$R$433,Desconto_Cliente_Mes!$A$2:$A$433,J$95,Desconto_Cliente_Mes!$B$2:$B$433,$A95,Desconto_Cliente_Mes!$C$2:$C$433,"Proteina")="",SUMIFS(Desconto_Cliente_Mes!$Q$2:$Q$433,Desconto_Cliente_Mes!$A$2:$A$433,J$95,Desconto_Cliente_Mes!$B$2:$B$433,$A95,Desconto_Cliente_Mes!$C$2:$C$433,"Proteina"),SUMIFS(Desconto_Cliente_Mes!$R$2:$R$433,Desconto_Cliente_Mes!$A$2:$A$433,J$95,Desconto_Cliente_Mes!$B$2:$B$433,$A95,Desconto_Cliente_Mes!$C$2:$C$433,"Proteina")))-(SUMIFS(Desconto_Cliente_Mes!$Q$2:$Q$433,Desconto_Cliente_Mes!$A$2:$A$433,J$95,Desconto_Cliente_Mes!$B$2:$B$433,$A95,Desconto_Cliente_Mes!$C$2:$C$433,"Proteina")))*(SUMIFS(Desconto_Cliente_Mes!$T$2:$T$433,Desconto_Cliente_Mes!$A$2:$A$433,J$95,Desconto_Cliente_Mes!$B$2:$B$433,$A95,Desconto_Cliente_Mes!$C$2:$C$433,"Proteina"))</f>
        <v>0</v>
      </c>
      <c r="K102" s="16" t="n">
        <f aca="false">$K$97*($K$99/100)*((IF(SUMIFS(Desconto_Cliente_Mes!$R$2:$R$433,Desconto_Cliente_Mes!$A$2:$A$433,K$95,Desconto_Cliente_Mes!$B$2:$B$433,$A95,Desconto_Cliente_Mes!$C$2:$C$433,"Proteina")="",SUMIFS(Desconto_Cliente_Mes!$Q$2:$Q$433,Desconto_Cliente_Mes!$A$2:$A$433,K$95,Desconto_Cliente_Mes!$B$2:$B$433,$A95,Desconto_Cliente_Mes!$C$2:$C$433,"Proteina"),SUMIFS(Desconto_Cliente_Mes!$R$2:$R$433,Desconto_Cliente_Mes!$A$2:$A$433,K$95,Desconto_Cliente_Mes!$B$2:$B$433,$A95,Desconto_Cliente_Mes!$C$2:$C$433,"Proteina")))-(SUMIFS(Desconto_Cliente_Mes!$Q$2:$Q$433,Desconto_Cliente_Mes!$A$2:$A$433,K$95,Desconto_Cliente_Mes!$B$2:$B$433,$A95,Desconto_Cliente_Mes!$C$2:$C$433,"Proteina")))*(SUMIFS(Desconto_Cliente_Mes!$T$2:$T$433,Desconto_Cliente_Mes!$A$2:$A$433,K$95,Desconto_Cliente_Mes!$B$2:$B$433,$A95,Desconto_Cliente_Mes!$C$2:$C$433,"Proteina"))</f>
        <v>0</v>
      </c>
      <c r="L102" s="16" t="n">
        <f aca="false">$L$97*($L$99/100)*((IF(SUMIFS(Desconto_Cliente_Mes!$R$2:$R$433,Desconto_Cliente_Mes!$A$2:$A$433,L$95,Desconto_Cliente_Mes!$B$2:$B$433,$A95,Desconto_Cliente_Mes!$C$2:$C$433,"Proteina")="",SUMIFS(Desconto_Cliente_Mes!$Q$2:$Q$433,Desconto_Cliente_Mes!$A$2:$A$433,L$95,Desconto_Cliente_Mes!$B$2:$B$433,$A95,Desconto_Cliente_Mes!$C$2:$C$433,"Proteina"),SUMIFS(Desconto_Cliente_Mes!$R$2:$R$433,Desconto_Cliente_Mes!$A$2:$A$433,L$95,Desconto_Cliente_Mes!$B$2:$B$433,$A95,Desconto_Cliente_Mes!$C$2:$C$433,"Proteina")))-(SUMIFS(Desconto_Cliente_Mes!$Q$2:$Q$433,Desconto_Cliente_Mes!$A$2:$A$433,L$95,Desconto_Cliente_Mes!$B$2:$B$433,$A95,Desconto_Cliente_Mes!$C$2:$C$433,"Proteina")))*(SUMIFS(Desconto_Cliente_Mes!$T$2:$T$433,Desconto_Cliente_Mes!$A$2:$A$433,L$95,Desconto_Cliente_Mes!$B$2:$B$433,$A95,Desconto_Cliente_Mes!$C$2:$C$433,"Proteina"))</f>
        <v>0</v>
      </c>
      <c r="M102" s="16" t="n">
        <f aca="false">$M$97*($M$99/100)*((IF(SUMIFS(Desconto_Cliente_Mes!$R$2:$R$433,Desconto_Cliente_Mes!$A$2:$A$433,M$95,Desconto_Cliente_Mes!$B$2:$B$433,$A95,Desconto_Cliente_Mes!$C$2:$C$433,"Proteina")="",SUMIFS(Desconto_Cliente_Mes!$Q$2:$Q$433,Desconto_Cliente_Mes!$A$2:$A$433,M$95,Desconto_Cliente_Mes!$B$2:$B$433,$A95,Desconto_Cliente_Mes!$C$2:$C$433,"Proteina"),SUMIFS(Desconto_Cliente_Mes!$R$2:$R$433,Desconto_Cliente_Mes!$A$2:$A$433,M$95,Desconto_Cliente_Mes!$B$2:$B$433,$A95,Desconto_Cliente_Mes!$C$2:$C$433,"Proteina")))-(SUMIFS(Desconto_Cliente_Mes!$Q$2:$Q$433,Desconto_Cliente_Mes!$A$2:$A$433,M$95,Desconto_Cliente_Mes!$B$2:$B$433,$A95,Desconto_Cliente_Mes!$C$2:$C$433,"Proteina")))*(SUMIFS(Desconto_Cliente_Mes!$T$2:$T$433,Desconto_Cliente_Mes!$A$2:$A$433,M$95,Desconto_Cliente_Mes!$B$2:$B$433,$A95,Desconto_Cliente_Mes!$C$2:$C$433,"Proteina"))</f>
        <v>0</v>
      </c>
      <c r="N102" s="17" t="n">
        <f aca="false">SUM(B102:M102)</f>
        <v>0</v>
      </c>
    </row>
    <row r="103" customFormat="false" ht="15" hidden="false" customHeight="false" outlineLevel="0" collapsed="false">
      <c r="A103" s="13" t="s">
        <v>81</v>
      </c>
      <c r="B103" s="16" t="n">
        <f aca="false">$B$97*($B$100/100)*((IF(SUMIFS(Desconto_Cliente_Mes!$S$2:$S$433,Desconto_Cliente_Mes!$A$2:$A$433,B$95,Desconto_Cliente_Mes!$B$2:$B$433,$A95,Desconto_Cliente_Mes!$C$2:$C$433,"Proteina")="",(IF(SUMIFS(Desconto_Cliente_Mes!$R$2:$R$433,Desconto_Cliente_Mes!$A$2:$A$433,B$95,Desconto_Cliente_Mes!$B$2:$B$433,$A95,Desconto_Cliente_Mes!$C$2:$C$433,"Proteina")="",SUMIFS(Desconto_Cliente_Mes!$Q$2:$Q$433,Desconto_Cliente_Mes!$A$2:$A$433,B$95,Desconto_Cliente_Mes!$B$2:$B$433,$A95,Desconto_Cliente_Mes!$C$2:$C$433,"Proteina"),SUMIFS(Desconto_Cliente_Mes!$R$2:$R$433,Desconto_Cliente_Mes!$A$2:$A$433,B$95,Desconto_Cliente_Mes!$B$2:$B$433,$A95,Desconto_Cliente_Mes!$C$2:$C$433,"Proteina"))),SUMIFS(Desconto_Cliente_Mes!$S$2:$S$433,Desconto_Cliente_Mes!$A$2:$A$433,B$95,Desconto_Cliente_Mes!$B$2:$B$433,$A95,Desconto_Cliente_Mes!$C$2:$C$433,"Proteina")))-(IF(SUMIFS(Desconto_Cliente_Mes!$R$2:$R$433,Desconto_Cliente_Mes!$A$2:$A$433,B$95,Desconto_Cliente_Mes!$B$2:$B$433,$A95,Desconto_Cliente_Mes!$C$2:$C$433,"Proteina")="",SUMIFS(Desconto_Cliente_Mes!$Q$2:$Q$433,Desconto_Cliente_Mes!$A$2:$A$433,B$95,Desconto_Cliente_Mes!$B$2:$B$433,$A95,Desconto_Cliente_Mes!$C$2:$C$433,"Proteina"),SUMIFS(Desconto_Cliente_Mes!$R$2:$R$433,Desconto_Cliente_Mes!$A$2:$A$433,B$95,Desconto_Cliente_Mes!$B$2:$B$433,$A95,Desconto_Cliente_Mes!$C$2:$C$433,"Proteina"))))*(SUMIFS(Desconto_Cliente_Mes!$T$2:$T$433,Desconto_Cliente_Mes!$A$2:$A$433,B$95,Desconto_Cliente_Mes!$B$2:$B$433,$A95,Desconto_Cliente_Mes!$C$2:$C$433,"Proteina"))</f>
        <v>-0</v>
      </c>
      <c r="C103" s="16" t="n">
        <f aca="false">$C$97*($C$100/100)*((IF(SUMIFS(Desconto_Cliente_Mes!$S$2:$S$433,Desconto_Cliente_Mes!$A$2:$A$433,C$95,Desconto_Cliente_Mes!$B$2:$B$433,$A95,Desconto_Cliente_Mes!$C$2:$C$433,"Proteina")="",(IF(SUMIFS(Desconto_Cliente_Mes!$R$2:$R$433,Desconto_Cliente_Mes!$A$2:$A$433,C$95,Desconto_Cliente_Mes!$B$2:$B$433,$A95,Desconto_Cliente_Mes!$C$2:$C$433,"Proteina")="",SUMIFS(Desconto_Cliente_Mes!$Q$2:$Q$433,Desconto_Cliente_Mes!$A$2:$A$433,C$95,Desconto_Cliente_Mes!$B$2:$B$433,$A95,Desconto_Cliente_Mes!$C$2:$C$433,"Proteina"),SUMIFS(Desconto_Cliente_Mes!$R$2:$R$433,Desconto_Cliente_Mes!$A$2:$A$433,C$95,Desconto_Cliente_Mes!$B$2:$B$433,$A95,Desconto_Cliente_Mes!$C$2:$C$433,"Proteina"))),SUMIFS(Desconto_Cliente_Mes!$S$2:$S$433,Desconto_Cliente_Mes!$A$2:$A$433,C$95,Desconto_Cliente_Mes!$B$2:$B$433,$A95,Desconto_Cliente_Mes!$C$2:$C$433,"Proteina")))-(IF(SUMIFS(Desconto_Cliente_Mes!$R$2:$R$433,Desconto_Cliente_Mes!$A$2:$A$433,C$95,Desconto_Cliente_Mes!$B$2:$B$433,$A95,Desconto_Cliente_Mes!$C$2:$C$433,"Proteina")="",SUMIFS(Desconto_Cliente_Mes!$Q$2:$Q$433,Desconto_Cliente_Mes!$A$2:$A$433,C$95,Desconto_Cliente_Mes!$B$2:$B$433,$A95,Desconto_Cliente_Mes!$C$2:$C$433,"Proteina"),SUMIFS(Desconto_Cliente_Mes!$R$2:$R$433,Desconto_Cliente_Mes!$A$2:$A$433,C$95,Desconto_Cliente_Mes!$B$2:$B$433,$A95,Desconto_Cliente_Mes!$C$2:$C$433,"Proteina"))))*(SUMIFS(Desconto_Cliente_Mes!$T$2:$T$433,Desconto_Cliente_Mes!$A$2:$A$433,C$95,Desconto_Cliente_Mes!$B$2:$B$433,$A95,Desconto_Cliente_Mes!$C$2:$C$433,"Proteina"))</f>
        <v>-0</v>
      </c>
      <c r="D103" s="16" t="n">
        <f aca="false">$D$97*($D$100/100)*((IF(SUMIFS(Desconto_Cliente_Mes!$S$2:$S$433,Desconto_Cliente_Mes!$A$2:$A$433,D$95,Desconto_Cliente_Mes!$B$2:$B$433,$A95,Desconto_Cliente_Mes!$C$2:$C$433,"Proteina")="",(IF(SUMIFS(Desconto_Cliente_Mes!$R$2:$R$433,Desconto_Cliente_Mes!$A$2:$A$433,D$95,Desconto_Cliente_Mes!$B$2:$B$433,$A95,Desconto_Cliente_Mes!$C$2:$C$433,"Proteina")="",SUMIFS(Desconto_Cliente_Mes!$Q$2:$Q$433,Desconto_Cliente_Mes!$A$2:$A$433,D$95,Desconto_Cliente_Mes!$B$2:$B$433,$A95,Desconto_Cliente_Mes!$C$2:$C$433,"Proteina"),SUMIFS(Desconto_Cliente_Mes!$R$2:$R$433,Desconto_Cliente_Mes!$A$2:$A$433,D$95,Desconto_Cliente_Mes!$B$2:$B$433,$A95,Desconto_Cliente_Mes!$C$2:$C$433,"Proteina"))),SUMIFS(Desconto_Cliente_Mes!$S$2:$S$433,Desconto_Cliente_Mes!$A$2:$A$433,D$95,Desconto_Cliente_Mes!$B$2:$B$433,$A95,Desconto_Cliente_Mes!$C$2:$C$433,"Proteina")))-(IF(SUMIFS(Desconto_Cliente_Mes!$R$2:$R$433,Desconto_Cliente_Mes!$A$2:$A$433,D$95,Desconto_Cliente_Mes!$B$2:$B$433,$A95,Desconto_Cliente_Mes!$C$2:$C$433,"Proteina")="",SUMIFS(Desconto_Cliente_Mes!$Q$2:$Q$433,Desconto_Cliente_Mes!$A$2:$A$433,D$95,Desconto_Cliente_Mes!$B$2:$B$433,$A95,Desconto_Cliente_Mes!$C$2:$C$433,"Proteina"),SUMIFS(Desconto_Cliente_Mes!$R$2:$R$433,Desconto_Cliente_Mes!$A$2:$A$433,D$95,Desconto_Cliente_Mes!$B$2:$B$433,$A95,Desconto_Cliente_Mes!$C$2:$C$433,"Proteina"))))*(SUMIFS(Desconto_Cliente_Mes!$T$2:$T$433,Desconto_Cliente_Mes!$A$2:$A$433,D$95,Desconto_Cliente_Mes!$B$2:$B$433,$A95,Desconto_Cliente_Mes!$C$2:$C$433,"Proteina"))</f>
        <v>-0</v>
      </c>
      <c r="E103" s="16" t="n">
        <f aca="false">$E$97*($E$100/100)*((IF(SUMIFS(Desconto_Cliente_Mes!$S$2:$S$433,Desconto_Cliente_Mes!$A$2:$A$433,E$95,Desconto_Cliente_Mes!$B$2:$B$433,$A95,Desconto_Cliente_Mes!$C$2:$C$433,"Proteina")="",(IF(SUMIFS(Desconto_Cliente_Mes!$R$2:$R$433,Desconto_Cliente_Mes!$A$2:$A$433,E$95,Desconto_Cliente_Mes!$B$2:$B$433,$A95,Desconto_Cliente_Mes!$C$2:$C$433,"Proteina")="",SUMIFS(Desconto_Cliente_Mes!$Q$2:$Q$433,Desconto_Cliente_Mes!$A$2:$A$433,E$95,Desconto_Cliente_Mes!$B$2:$B$433,$A95,Desconto_Cliente_Mes!$C$2:$C$433,"Proteina"),SUMIFS(Desconto_Cliente_Mes!$R$2:$R$433,Desconto_Cliente_Mes!$A$2:$A$433,E$95,Desconto_Cliente_Mes!$B$2:$B$433,$A95,Desconto_Cliente_Mes!$C$2:$C$433,"Proteina"))),SUMIFS(Desconto_Cliente_Mes!$S$2:$S$433,Desconto_Cliente_Mes!$A$2:$A$433,E$95,Desconto_Cliente_Mes!$B$2:$B$433,$A95,Desconto_Cliente_Mes!$C$2:$C$433,"Proteina")))-(IF(SUMIFS(Desconto_Cliente_Mes!$R$2:$R$433,Desconto_Cliente_Mes!$A$2:$A$433,E$95,Desconto_Cliente_Mes!$B$2:$B$433,$A95,Desconto_Cliente_Mes!$C$2:$C$433,"Proteina")="",SUMIFS(Desconto_Cliente_Mes!$Q$2:$Q$433,Desconto_Cliente_Mes!$A$2:$A$433,E$95,Desconto_Cliente_Mes!$B$2:$B$433,$A95,Desconto_Cliente_Mes!$C$2:$C$433,"Proteina"),SUMIFS(Desconto_Cliente_Mes!$R$2:$R$433,Desconto_Cliente_Mes!$A$2:$A$433,E$95,Desconto_Cliente_Mes!$B$2:$B$433,$A95,Desconto_Cliente_Mes!$C$2:$C$433,"Proteina"))))*(SUMIFS(Desconto_Cliente_Mes!$T$2:$T$433,Desconto_Cliente_Mes!$A$2:$A$433,E$95,Desconto_Cliente_Mes!$B$2:$B$433,$A95,Desconto_Cliente_Mes!$C$2:$C$433,"Proteina"))</f>
        <v>-0</v>
      </c>
      <c r="F103" s="16" t="n">
        <f aca="false">$F$97*($F$100/100)*((IF(SUMIFS(Desconto_Cliente_Mes!$S$2:$S$433,Desconto_Cliente_Mes!$A$2:$A$433,F$95,Desconto_Cliente_Mes!$B$2:$B$433,$A95,Desconto_Cliente_Mes!$C$2:$C$433,"Proteina")="",(IF(SUMIFS(Desconto_Cliente_Mes!$R$2:$R$433,Desconto_Cliente_Mes!$A$2:$A$433,F$95,Desconto_Cliente_Mes!$B$2:$B$433,$A95,Desconto_Cliente_Mes!$C$2:$C$433,"Proteina")="",SUMIFS(Desconto_Cliente_Mes!$Q$2:$Q$433,Desconto_Cliente_Mes!$A$2:$A$433,F$95,Desconto_Cliente_Mes!$B$2:$B$433,$A95,Desconto_Cliente_Mes!$C$2:$C$433,"Proteina"),SUMIFS(Desconto_Cliente_Mes!$R$2:$R$433,Desconto_Cliente_Mes!$A$2:$A$433,F$95,Desconto_Cliente_Mes!$B$2:$B$433,$A95,Desconto_Cliente_Mes!$C$2:$C$433,"Proteina"))),SUMIFS(Desconto_Cliente_Mes!$S$2:$S$433,Desconto_Cliente_Mes!$A$2:$A$433,F$95,Desconto_Cliente_Mes!$B$2:$B$433,$A95,Desconto_Cliente_Mes!$C$2:$C$433,"Proteina")))-(IF(SUMIFS(Desconto_Cliente_Mes!$R$2:$R$433,Desconto_Cliente_Mes!$A$2:$A$433,F$95,Desconto_Cliente_Mes!$B$2:$B$433,$A95,Desconto_Cliente_Mes!$C$2:$C$433,"Proteina")="",SUMIFS(Desconto_Cliente_Mes!$Q$2:$Q$433,Desconto_Cliente_Mes!$A$2:$A$433,F$95,Desconto_Cliente_Mes!$B$2:$B$433,$A95,Desconto_Cliente_Mes!$C$2:$C$433,"Proteina"),SUMIFS(Desconto_Cliente_Mes!$R$2:$R$433,Desconto_Cliente_Mes!$A$2:$A$433,F$95,Desconto_Cliente_Mes!$B$2:$B$433,$A95,Desconto_Cliente_Mes!$C$2:$C$433,"Proteina"))))*(SUMIFS(Desconto_Cliente_Mes!$T$2:$T$433,Desconto_Cliente_Mes!$A$2:$A$433,F$95,Desconto_Cliente_Mes!$B$2:$B$433,$A95,Desconto_Cliente_Mes!$C$2:$C$433,"Proteina"))</f>
        <v>-0</v>
      </c>
      <c r="G103" s="16" t="n">
        <f aca="false">$G$97*($G$100/100)*((IF(SUMIFS(Desconto_Cliente_Mes!$S$2:$S$433,Desconto_Cliente_Mes!$A$2:$A$433,G$95,Desconto_Cliente_Mes!$B$2:$B$433,$A95,Desconto_Cliente_Mes!$C$2:$C$433,"Proteina")="",(IF(SUMIFS(Desconto_Cliente_Mes!$R$2:$R$433,Desconto_Cliente_Mes!$A$2:$A$433,G$95,Desconto_Cliente_Mes!$B$2:$B$433,$A95,Desconto_Cliente_Mes!$C$2:$C$433,"Proteina")="",SUMIFS(Desconto_Cliente_Mes!$Q$2:$Q$433,Desconto_Cliente_Mes!$A$2:$A$433,G$95,Desconto_Cliente_Mes!$B$2:$B$433,$A95,Desconto_Cliente_Mes!$C$2:$C$433,"Proteina"),SUMIFS(Desconto_Cliente_Mes!$R$2:$R$433,Desconto_Cliente_Mes!$A$2:$A$433,G$95,Desconto_Cliente_Mes!$B$2:$B$433,$A95,Desconto_Cliente_Mes!$C$2:$C$433,"Proteina"))),SUMIFS(Desconto_Cliente_Mes!$S$2:$S$433,Desconto_Cliente_Mes!$A$2:$A$433,G$95,Desconto_Cliente_Mes!$B$2:$B$433,$A95,Desconto_Cliente_Mes!$C$2:$C$433,"Proteina")))-(IF(SUMIFS(Desconto_Cliente_Mes!$R$2:$R$433,Desconto_Cliente_Mes!$A$2:$A$433,G$95,Desconto_Cliente_Mes!$B$2:$B$433,$A95,Desconto_Cliente_Mes!$C$2:$C$433,"Proteina")="",SUMIFS(Desconto_Cliente_Mes!$Q$2:$Q$433,Desconto_Cliente_Mes!$A$2:$A$433,G$95,Desconto_Cliente_Mes!$B$2:$B$433,$A95,Desconto_Cliente_Mes!$C$2:$C$433,"Proteina"),SUMIFS(Desconto_Cliente_Mes!$R$2:$R$433,Desconto_Cliente_Mes!$A$2:$A$433,G$95,Desconto_Cliente_Mes!$B$2:$B$433,$A95,Desconto_Cliente_Mes!$C$2:$C$433,"Proteina"))))*(SUMIFS(Desconto_Cliente_Mes!$T$2:$T$433,Desconto_Cliente_Mes!$A$2:$A$433,G$95,Desconto_Cliente_Mes!$B$2:$B$433,$A95,Desconto_Cliente_Mes!$C$2:$C$433,"Proteina"))</f>
        <v>-0</v>
      </c>
      <c r="H103" s="16" t="n">
        <f aca="false">$H$97*($H$100/100)*((IF(SUMIFS(Desconto_Cliente_Mes!$S$2:$S$433,Desconto_Cliente_Mes!$A$2:$A$433,H$95,Desconto_Cliente_Mes!$B$2:$B$433,$A95,Desconto_Cliente_Mes!$C$2:$C$433,"Proteina")="",(IF(SUMIFS(Desconto_Cliente_Mes!$R$2:$R$433,Desconto_Cliente_Mes!$A$2:$A$433,H$95,Desconto_Cliente_Mes!$B$2:$B$433,$A95,Desconto_Cliente_Mes!$C$2:$C$433,"Proteina")="",SUMIFS(Desconto_Cliente_Mes!$Q$2:$Q$433,Desconto_Cliente_Mes!$A$2:$A$433,H$95,Desconto_Cliente_Mes!$B$2:$B$433,$A95,Desconto_Cliente_Mes!$C$2:$C$433,"Proteina"),SUMIFS(Desconto_Cliente_Mes!$R$2:$R$433,Desconto_Cliente_Mes!$A$2:$A$433,H$95,Desconto_Cliente_Mes!$B$2:$B$433,$A95,Desconto_Cliente_Mes!$C$2:$C$433,"Proteina"))),SUMIFS(Desconto_Cliente_Mes!$S$2:$S$433,Desconto_Cliente_Mes!$A$2:$A$433,H$95,Desconto_Cliente_Mes!$B$2:$B$433,$A95,Desconto_Cliente_Mes!$C$2:$C$433,"Proteina")))-(IF(SUMIFS(Desconto_Cliente_Mes!$R$2:$R$433,Desconto_Cliente_Mes!$A$2:$A$433,H$95,Desconto_Cliente_Mes!$B$2:$B$433,$A95,Desconto_Cliente_Mes!$C$2:$C$433,"Proteina")="",SUMIFS(Desconto_Cliente_Mes!$Q$2:$Q$433,Desconto_Cliente_Mes!$A$2:$A$433,H$95,Desconto_Cliente_Mes!$B$2:$B$433,$A95,Desconto_Cliente_Mes!$C$2:$C$433,"Proteina"),SUMIFS(Desconto_Cliente_Mes!$R$2:$R$433,Desconto_Cliente_Mes!$A$2:$A$433,H$95,Desconto_Cliente_Mes!$B$2:$B$433,$A95,Desconto_Cliente_Mes!$C$2:$C$433,"Proteina"))))*(SUMIFS(Desconto_Cliente_Mes!$T$2:$T$433,Desconto_Cliente_Mes!$A$2:$A$433,H$95,Desconto_Cliente_Mes!$B$2:$B$433,$A95,Desconto_Cliente_Mes!$C$2:$C$433,"Proteina"))</f>
        <v>-0</v>
      </c>
      <c r="I103" s="16" t="n">
        <f aca="false">$I$97*($I$100/100)*((IF(SUMIFS(Desconto_Cliente_Mes!$S$2:$S$433,Desconto_Cliente_Mes!$A$2:$A$433,I$95,Desconto_Cliente_Mes!$B$2:$B$433,$A95,Desconto_Cliente_Mes!$C$2:$C$433,"Proteina")="",(IF(SUMIFS(Desconto_Cliente_Mes!$R$2:$R$433,Desconto_Cliente_Mes!$A$2:$A$433,I$95,Desconto_Cliente_Mes!$B$2:$B$433,$A95,Desconto_Cliente_Mes!$C$2:$C$433,"Proteina")="",SUMIFS(Desconto_Cliente_Mes!$Q$2:$Q$433,Desconto_Cliente_Mes!$A$2:$A$433,I$95,Desconto_Cliente_Mes!$B$2:$B$433,$A95,Desconto_Cliente_Mes!$C$2:$C$433,"Proteina"),SUMIFS(Desconto_Cliente_Mes!$R$2:$R$433,Desconto_Cliente_Mes!$A$2:$A$433,I$95,Desconto_Cliente_Mes!$B$2:$B$433,$A95,Desconto_Cliente_Mes!$C$2:$C$433,"Proteina"))),SUMIFS(Desconto_Cliente_Mes!$S$2:$S$433,Desconto_Cliente_Mes!$A$2:$A$433,I$95,Desconto_Cliente_Mes!$B$2:$B$433,$A95,Desconto_Cliente_Mes!$C$2:$C$433,"Proteina")))-(IF(SUMIFS(Desconto_Cliente_Mes!$R$2:$R$433,Desconto_Cliente_Mes!$A$2:$A$433,I$95,Desconto_Cliente_Mes!$B$2:$B$433,$A95,Desconto_Cliente_Mes!$C$2:$C$433,"Proteina")="",SUMIFS(Desconto_Cliente_Mes!$Q$2:$Q$433,Desconto_Cliente_Mes!$A$2:$A$433,I$95,Desconto_Cliente_Mes!$B$2:$B$433,$A95,Desconto_Cliente_Mes!$C$2:$C$433,"Proteina"),SUMIFS(Desconto_Cliente_Mes!$R$2:$R$433,Desconto_Cliente_Mes!$A$2:$A$433,I$95,Desconto_Cliente_Mes!$B$2:$B$433,$A95,Desconto_Cliente_Mes!$C$2:$C$433,"Proteina"))))*(SUMIFS(Desconto_Cliente_Mes!$T$2:$T$433,Desconto_Cliente_Mes!$A$2:$A$433,I$95,Desconto_Cliente_Mes!$B$2:$B$433,$A95,Desconto_Cliente_Mes!$C$2:$C$433,"Proteina"))</f>
        <v>-0</v>
      </c>
      <c r="J103" s="16" t="n">
        <f aca="false">$J$97*($J$100/100)*((IF(SUMIFS(Desconto_Cliente_Mes!$S$2:$S$433,Desconto_Cliente_Mes!$A$2:$A$433,J$95,Desconto_Cliente_Mes!$B$2:$B$433,$A95,Desconto_Cliente_Mes!$C$2:$C$433,"Proteina")="",(IF(SUMIFS(Desconto_Cliente_Mes!$R$2:$R$433,Desconto_Cliente_Mes!$A$2:$A$433,J$95,Desconto_Cliente_Mes!$B$2:$B$433,$A95,Desconto_Cliente_Mes!$C$2:$C$433,"Proteina")="",SUMIFS(Desconto_Cliente_Mes!$Q$2:$Q$433,Desconto_Cliente_Mes!$A$2:$A$433,J$95,Desconto_Cliente_Mes!$B$2:$B$433,$A95,Desconto_Cliente_Mes!$C$2:$C$433,"Proteina"),SUMIFS(Desconto_Cliente_Mes!$R$2:$R$433,Desconto_Cliente_Mes!$A$2:$A$433,J$95,Desconto_Cliente_Mes!$B$2:$B$433,$A95,Desconto_Cliente_Mes!$C$2:$C$433,"Proteina"))),SUMIFS(Desconto_Cliente_Mes!$S$2:$S$433,Desconto_Cliente_Mes!$A$2:$A$433,J$95,Desconto_Cliente_Mes!$B$2:$B$433,$A95,Desconto_Cliente_Mes!$C$2:$C$433,"Proteina")))-(IF(SUMIFS(Desconto_Cliente_Mes!$R$2:$R$433,Desconto_Cliente_Mes!$A$2:$A$433,J$95,Desconto_Cliente_Mes!$B$2:$B$433,$A95,Desconto_Cliente_Mes!$C$2:$C$433,"Proteina")="",SUMIFS(Desconto_Cliente_Mes!$Q$2:$Q$433,Desconto_Cliente_Mes!$A$2:$A$433,J$95,Desconto_Cliente_Mes!$B$2:$B$433,$A95,Desconto_Cliente_Mes!$C$2:$C$433,"Proteina"),SUMIFS(Desconto_Cliente_Mes!$R$2:$R$433,Desconto_Cliente_Mes!$A$2:$A$433,J$95,Desconto_Cliente_Mes!$B$2:$B$433,$A95,Desconto_Cliente_Mes!$C$2:$C$433,"Proteina"))))*(SUMIFS(Desconto_Cliente_Mes!$T$2:$T$433,Desconto_Cliente_Mes!$A$2:$A$433,J$95,Desconto_Cliente_Mes!$B$2:$B$433,$A95,Desconto_Cliente_Mes!$C$2:$C$433,"Proteina"))</f>
        <v>-0</v>
      </c>
      <c r="K103" s="16" t="n">
        <f aca="false">$K$97*($K$100/100)*((IF(SUMIFS(Desconto_Cliente_Mes!$S$2:$S$433,Desconto_Cliente_Mes!$A$2:$A$433,K$95,Desconto_Cliente_Mes!$B$2:$B$433,$A95,Desconto_Cliente_Mes!$C$2:$C$433,"Proteina")="",(IF(SUMIFS(Desconto_Cliente_Mes!$R$2:$R$433,Desconto_Cliente_Mes!$A$2:$A$433,K$95,Desconto_Cliente_Mes!$B$2:$B$433,$A95,Desconto_Cliente_Mes!$C$2:$C$433,"Proteina")="",SUMIFS(Desconto_Cliente_Mes!$Q$2:$Q$433,Desconto_Cliente_Mes!$A$2:$A$433,K$95,Desconto_Cliente_Mes!$B$2:$B$433,$A95,Desconto_Cliente_Mes!$C$2:$C$433,"Proteina"),SUMIFS(Desconto_Cliente_Mes!$R$2:$R$433,Desconto_Cliente_Mes!$A$2:$A$433,K$95,Desconto_Cliente_Mes!$B$2:$B$433,$A95,Desconto_Cliente_Mes!$C$2:$C$433,"Proteina"))),SUMIFS(Desconto_Cliente_Mes!$S$2:$S$433,Desconto_Cliente_Mes!$A$2:$A$433,K$95,Desconto_Cliente_Mes!$B$2:$B$433,$A95,Desconto_Cliente_Mes!$C$2:$C$433,"Proteina")))-(IF(SUMIFS(Desconto_Cliente_Mes!$R$2:$R$433,Desconto_Cliente_Mes!$A$2:$A$433,K$95,Desconto_Cliente_Mes!$B$2:$B$433,$A95,Desconto_Cliente_Mes!$C$2:$C$433,"Proteina")="",SUMIFS(Desconto_Cliente_Mes!$Q$2:$Q$433,Desconto_Cliente_Mes!$A$2:$A$433,K$95,Desconto_Cliente_Mes!$B$2:$B$433,$A95,Desconto_Cliente_Mes!$C$2:$C$433,"Proteina"),SUMIFS(Desconto_Cliente_Mes!$R$2:$R$433,Desconto_Cliente_Mes!$A$2:$A$433,K$95,Desconto_Cliente_Mes!$B$2:$B$433,$A95,Desconto_Cliente_Mes!$C$2:$C$433,"Proteina"))))*(SUMIFS(Desconto_Cliente_Mes!$T$2:$T$433,Desconto_Cliente_Mes!$A$2:$A$433,K$95,Desconto_Cliente_Mes!$B$2:$B$433,$A95,Desconto_Cliente_Mes!$C$2:$C$433,"Proteina"))</f>
        <v>-0</v>
      </c>
      <c r="L103" s="16" t="n">
        <f aca="false">$L$97*($L$100/100)*((IF(SUMIFS(Desconto_Cliente_Mes!$S$2:$S$433,Desconto_Cliente_Mes!$A$2:$A$433,L$95,Desconto_Cliente_Mes!$B$2:$B$433,$A95,Desconto_Cliente_Mes!$C$2:$C$433,"Proteina")="",(IF(SUMIFS(Desconto_Cliente_Mes!$R$2:$R$433,Desconto_Cliente_Mes!$A$2:$A$433,L$95,Desconto_Cliente_Mes!$B$2:$B$433,$A95,Desconto_Cliente_Mes!$C$2:$C$433,"Proteina")="",SUMIFS(Desconto_Cliente_Mes!$Q$2:$Q$433,Desconto_Cliente_Mes!$A$2:$A$433,L$95,Desconto_Cliente_Mes!$B$2:$B$433,$A95,Desconto_Cliente_Mes!$C$2:$C$433,"Proteina"),SUMIFS(Desconto_Cliente_Mes!$R$2:$R$433,Desconto_Cliente_Mes!$A$2:$A$433,L$95,Desconto_Cliente_Mes!$B$2:$B$433,$A95,Desconto_Cliente_Mes!$C$2:$C$433,"Proteina"))),SUMIFS(Desconto_Cliente_Mes!$S$2:$S$433,Desconto_Cliente_Mes!$A$2:$A$433,L$95,Desconto_Cliente_Mes!$B$2:$B$433,$A95,Desconto_Cliente_Mes!$C$2:$C$433,"Proteina")))-(IF(SUMIFS(Desconto_Cliente_Mes!$R$2:$R$433,Desconto_Cliente_Mes!$A$2:$A$433,L$95,Desconto_Cliente_Mes!$B$2:$B$433,$A95,Desconto_Cliente_Mes!$C$2:$C$433,"Proteina")="",SUMIFS(Desconto_Cliente_Mes!$Q$2:$Q$433,Desconto_Cliente_Mes!$A$2:$A$433,L$95,Desconto_Cliente_Mes!$B$2:$B$433,$A95,Desconto_Cliente_Mes!$C$2:$C$433,"Proteina"),SUMIFS(Desconto_Cliente_Mes!$R$2:$R$433,Desconto_Cliente_Mes!$A$2:$A$433,L$95,Desconto_Cliente_Mes!$B$2:$B$433,$A95,Desconto_Cliente_Mes!$C$2:$C$433,"Proteina"))))*(SUMIFS(Desconto_Cliente_Mes!$T$2:$T$433,Desconto_Cliente_Mes!$A$2:$A$433,L$95,Desconto_Cliente_Mes!$B$2:$B$433,$A95,Desconto_Cliente_Mes!$C$2:$C$433,"Proteina"))</f>
        <v>-0</v>
      </c>
      <c r="M103" s="16" t="n">
        <f aca="false">$M$97*($M$100/100)*((IF(SUMIFS(Desconto_Cliente_Mes!$S$2:$S$433,Desconto_Cliente_Mes!$A$2:$A$433,M$95,Desconto_Cliente_Mes!$B$2:$B$433,$A95,Desconto_Cliente_Mes!$C$2:$C$433,"Proteina")="",(IF(SUMIFS(Desconto_Cliente_Mes!$R$2:$R$433,Desconto_Cliente_Mes!$A$2:$A$433,M$95,Desconto_Cliente_Mes!$B$2:$B$433,$A95,Desconto_Cliente_Mes!$C$2:$C$433,"Proteina")="",SUMIFS(Desconto_Cliente_Mes!$Q$2:$Q$433,Desconto_Cliente_Mes!$A$2:$A$433,M$95,Desconto_Cliente_Mes!$B$2:$B$433,$A95,Desconto_Cliente_Mes!$C$2:$C$433,"Proteina"),SUMIFS(Desconto_Cliente_Mes!$R$2:$R$433,Desconto_Cliente_Mes!$A$2:$A$433,M$95,Desconto_Cliente_Mes!$B$2:$B$433,$A95,Desconto_Cliente_Mes!$C$2:$C$433,"Proteina"))),SUMIFS(Desconto_Cliente_Mes!$S$2:$S$433,Desconto_Cliente_Mes!$A$2:$A$433,M$95,Desconto_Cliente_Mes!$B$2:$B$433,$A95,Desconto_Cliente_Mes!$C$2:$C$433,"Proteina")))-(IF(SUMIFS(Desconto_Cliente_Mes!$R$2:$R$433,Desconto_Cliente_Mes!$A$2:$A$433,M$95,Desconto_Cliente_Mes!$B$2:$B$433,$A95,Desconto_Cliente_Mes!$C$2:$C$433,"Proteina")="",SUMIFS(Desconto_Cliente_Mes!$Q$2:$Q$433,Desconto_Cliente_Mes!$A$2:$A$433,M$95,Desconto_Cliente_Mes!$B$2:$B$433,$A95,Desconto_Cliente_Mes!$C$2:$C$433,"Proteina"),SUMIFS(Desconto_Cliente_Mes!$R$2:$R$433,Desconto_Cliente_Mes!$A$2:$A$433,M$95,Desconto_Cliente_Mes!$B$2:$B$433,$A95,Desconto_Cliente_Mes!$C$2:$C$433,"Proteina"))))*(SUMIFS(Desconto_Cliente_Mes!$T$2:$T$433,Desconto_Cliente_Mes!$A$2:$A$433,M$95,Desconto_Cliente_Mes!$B$2:$B$433,$A95,Desconto_Cliente_Mes!$C$2:$C$433,"Proteina"))</f>
        <v>-0</v>
      </c>
      <c r="N103" s="17" t="n">
        <f aca="false">SUM(B103:M103)</f>
        <v>0</v>
      </c>
    </row>
    <row r="104" customFormat="false" ht="15" hidden="false" customHeight="false" outlineLevel="0" collapsed="false">
      <c r="A104" s="13" t="s">
        <v>82</v>
      </c>
      <c r="B104" s="16" t="n">
        <f aca="false">SUMIFS(Acerto_Detalhado!$J$2:$J$433,Acerto_Detalhado!$A$2:$A$433,B$95,Acerto_Detalhado!$B$2:$B$433,$A95,Acerto_Detalhado!$C$2:$C$433,"Proteina")</f>
        <v>0</v>
      </c>
      <c r="C104" s="16" t="n">
        <f aca="false">SUMIFS(Acerto_Detalhado!$J$2:$J$433,Acerto_Detalhado!$A$2:$A$433,C$95,Acerto_Detalhado!$B$2:$B$433,$A95,Acerto_Detalhado!$C$2:$C$433,"Proteina")</f>
        <v>9616.98551478562</v>
      </c>
      <c r="D104" s="16" t="n">
        <f aca="false">SUMIFS(Acerto_Detalhado!$J$2:$J$433,Acerto_Detalhado!$A$2:$A$433,D$95,Acerto_Detalhado!$B$2:$B$433,$A95,Acerto_Detalhado!$C$2:$C$433,"Proteina")</f>
        <v>4354.49925139441</v>
      </c>
      <c r="E104" s="16" t="n">
        <f aca="false">SUMIFS(Acerto_Detalhado!$J$2:$J$433,Acerto_Detalhado!$A$2:$A$433,E$95,Acerto_Detalhado!$B$2:$B$433,$A95,Acerto_Detalhado!$C$2:$C$433,"Proteina")</f>
        <v>0</v>
      </c>
      <c r="F104" s="16" t="n">
        <f aca="false">SUMIFS(Acerto_Detalhado!$J$2:$J$433,Acerto_Detalhado!$A$2:$A$433,F$95,Acerto_Detalhado!$B$2:$B$433,$A95,Acerto_Detalhado!$C$2:$C$433,"Proteina")</f>
        <v>0</v>
      </c>
      <c r="G104" s="16" t="n">
        <f aca="false">SUMIFS(Acerto_Detalhado!$J$2:$J$433,Acerto_Detalhado!$A$2:$A$433,G$95,Acerto_Detalhado!$B$2:$B$433,$A95,Acerto_Detalhado!$C$2:$C$433,"Proteina")</f>
        <v>5356.80437517128</v>
      </c>
      <c r="H104" s="16" t="n">
        <f aca="false">SUMIFS(Acerto_Detalhado!$J$2:$J$433,Acerto_Detalhado!$A$2:$A$433,H$95,Acerto_Detalhado!$B$2:$B$433,$A95,Acerto_Detalhado!$C$2:$C$433,"Proteina")</f>
        <v>0</v>
      </c>
      <c r="I104" s="16" t="n">
        <f aca="false">SUMIFS(Acerto_Detalhado!$J$2:$J$433,Acerto_Detalhado!$A$2:$A$433,I$95,Acerto_Detalhado!$B$2:$B$433,$A95,Acerto_Detalhado!$C$2:$C$433,"Proteina")</f>
        <v>0</v>
      </c>
      <c r="J104" s="16" t="n">
        <f aca="false">SUMIFS(Acerto_Detalhado!$J$2:$J$433,Acerto_Detalhado!$A$2:$A$433,J$95,Acerto_Detalhado!$B$2:$B$433,$A95,Acerto_Detalhado!$C$2:$C$433,"Proteina")</f>
        <v>0</v>
      </c>
      <c r="K104" s="16" t="n">
        <f aca="false">SUMIFS(Acerto_Detalhado!$J$2:$J$433,Acerto_Detalhado!$A$2:$A$433,K$95,Acerto_Detalhado!$B$2:$B$433,$A95,Acerto_Detalhado!$C$2:$C$433,"Proteina")</f>
        <v>7079.85131742103</v>
      </c>
      <c r="L104" s="16" t="n">
        <f aca="false">SUMIFS(Acerto_Detalhado!$J$2:$J$433,Acerto_Detalhado!$A$2:$A$433,L$95,Acerto_Detalhado!$B$2:$B$433,$A95,Acerto_Detalhado!$C$2:$C$433,"Proteina")</f>
        <v>0</v>
      </c>
      <c r="M104" s="16" t="n">
        <f aca="false">SUMIFS(Acerto_Detalhado!$J$2:$J$433,Acerto_Detalhado!$A$2:$A$433,M$95,Acerto_Detalhado!$B$2:$B$433,$A95,Acerto_Detalhado!$C$2:$C$433,"Proteina")</f>
        <v>0</v>
      </c>
      <c r="N104" s="17" t="n">
        <f aca="false">SUM(B104:M104)</f>
        <v>26408.1404587724</v>
      </c>
    </row>
    <row r="106" customFormat="false" ht="15" hidden="false" customHeight="false" outlineLevel="0" collapsed="false">
      <c r="A106" s="5" t="s">
        <v>67</v>
      </c>
      <c r="B106" s="6" t="s">
        <v>39</v>
      </c>
      <c r="C106" s="6" t="s">
        <v>40</v>
      </c>
      <c r="D106" s="6" t="s">
        <v>41</v>
      </c>
      <c r="E106" s="6" t="s">
        <v>42</v>
      </c>
      <c r="F106" s="6" t="s">
        <v>43</v>
      </c>
      <c r="G106" s="6" t="s">
        <v>44</v>
      </c>
      <c r="H106" s="6" t="s">
        <v>45</v>
      </c>
      <c r="I106" s="6" t="s">
        <v>46</v>
      </c>
      <c r="J106" s="6" t="s">
        <v>47</v>
      </c>
      <c r="K106" s="6" t="s">
        <v>48</v>
      </c>
      <c r="L106" s="6" t="s">
        <v>49</v>
      </c>
      <c r="M106" s="6" t="s">
        <v>50</v>
      </c>
      <c r="N106" s="6" t="s">
        <v>51</v>
      </c>
    </row>
    <row r="107" customFormat="false" ht="15" hidden="false" customHeight="false" outlineLevel="0" collapsed="false">
      <c r="A107" s="13" t="s">
        <v>74</v>
      </c>
      <c r="B107" s="10" t="str">
        <f aca="false">IF((SUMIFS(Desconto_Cliente_Mes!$D$2:$D$433,Desconto_Cliente_Mes!$A$2:$A$433,B$106,Desconto_Cliente_Mes!$B$2:$B$433,$A106,Desconto_Cliente_Mes!$C$2:$C$433,"Proteina"))=0,"",IFERROR(SUMIFS(Desconto_Cliente_Mes!$E$2:$E$433,Desconto_Cliente_Mes!$A$2:$A$433,B$106,Desconto_Cliente_Mes!$B$2:$B$433,$A106,Desconto_Cliente_Mes!$C$2:$C$433,"Proteina"),""))</f>
        <v/>
      </c>
      <c r="C107" s="10" t="str">
        <f aca="false">IF((SUMIFS(Desconto_Cliente_Mes!$D$2:$D$433,Desconto_Cliente_Mes!$A$2:$A$433,C$106,Desconto_Cliente_Mes!$B$2:$B$433,$A106,Desconto_Cliente_Mes!$C$2:$C$433,"Proteina"))=0,"",IFERROR(SUMIFS(Desconto_Cliente_Mes!$E$2:$E$433,Desconto_Cliente_Mes!$A$2:$A$433,C$106,Desconto_Cliente_Mes!$B$2:$B$433,$A106,Desconto_Cliente_Mes!$C$2:$C$433,"Proteina"),""))</f>
        <v/>
      </c>
      <c r="D107" s="10" t="str">
        <f aca="false">IF((SUMIFS(Desconto_Cliente_Mes!$D$2:$D$433,Desconto_Cliente_Mes!$A$2:$A$433,D$106,Desconto_Cliente_Mes!$B$2:$B$433,$A106,Desconto_Cliente_Mes!$C$2:$C$433,"Proteina"))=0,"",IFERROR(SUMIFS(Desconto_Cliente_Mes!$E$2:$E$433,Desconto_Cliente_Mes!$A$2:$A$433,D$106,Desconto_Cliente_Mes!$B$2:$B$433,$A106,Desconto_Cliente_Mes!$C$2:$C$433,"Proteina"),""))</f>
        <v/>
      </c>
      <c r="E107" s="10" t="str">
        <f aca="false">IF((SUMIFS(Desconto_Cliente_Mes!$D$2:$D$433,Desconto_Cliente_Mes!$A$2:$A$433,E$106,Desconto_Cliente_Mes!$B$2:$B$433,$A106,Desconto_Cliente_Mes!$C$2:$C$433,"Proteina"))=0,"",IFERROR(SUMIFS(Desconto_Cliente_Mes!$E$2:$E$433,Desconto_Cliente_Mes!$A$2:$A$433,E$106,Desconto_Cliente_Mes!$B$2:$B$433,$A106,Desconto_Cliente_Mes!$C$2:$C$433,"Proteina"),""))</f>
        <v/>
      </c>
      <c r="F107" s="10" t="str">
        <f aca="false">IF((SUMIFS(Desconto_Cliente_Mes!$D$2:$D$433,Desconto_Cliente_Mes!$A$2:$A$433,F$106,Desconto_Cliente_Mes!$B$2:$B$433,$A106,Desconto_Cliente_Mes!$C$2:$C$433,"Proteina"))=0,"",IFERROR(SUMIFS(Desconto_Cliente_Mes!$E$2:$E$433,Desconto_Cliente_Mes!$A$2:$A$433,F$106,Desconto_Cliente_Mes!$B$2:$B$433,$A106,Desconto_Cliente_Mes!$C$2:$C$433,"Proteina"),""))</f>
        <v/>
      </c>
      <c r="G107" s="10" t="str">
        <f aca="false">IF((SUMIFS(Desconto_Cliente_Mes!$D$2:$D$433,Desconto_Cliente_Mes!$A$2:$A$433,G$106,Desconto_Cliente_Mes!$B$2:$B$433,$A106,Desconto_Cliente_Mes!$C$2:$C$433,"Proteina"))=0,"",IFERROR(SUMIFS(Desconto_Cliente_Mes!$E$2:$E$433,Desconto_Cliente_Mes!$A$2:$A$433,G$106,Desconto_Cliente_Mes!$B$2:$B$433,$A106,Desconto_Cliente_Mes!$C$2:$C$433,"Proteina"),""))</f>
        <v/>
      </c>
      <c r="H107" s="10" t="str">
        <f aca="false">IF((SUMIFS(Desconto_Cliente_Mes!$D$2:$D$433,Desconto_Cliente_Mes!$A$2:$A$433,H$106,Desconto_Cliente_Mes!$B$2:$B$433,$A106,Desconto_Cliente_Mes!$C$2:$C$433,"Proteina"))=0,"",IFERROR(SUMIFS(Desconto_Cliente_Mes!$E$2:$E$433,Desconto_Cliente_Mes!$A$2:$A$433,H$106,Desconto_Cliente_Mes!$B$2:$B$433,$A106,Desconto_Cliente_Mes!$C$2:$C$433,"Proteina"),""))</f>
        <v/>
      </c>
      <c r="I107" s="10" t="str">
        <f aca="false">IF((SUMIFS(Desconto_Cliente_Mes!$D$2:$D$433,Desconto_Cliente_Mes!$A$2:$A$433,I$106,Desconto_Cliente_Mes!$B$2:$B$433,$A106,Desconto_Cliente_Mes!$C$2:$C$433,"Proteina"))=0,"",IFERROR(SUMIFS(Desconto_Cliente_Mes!$E$2:$E$433,Desconto_Cliente_Mes!$A$2:$A$433,I$106,Desconto_Cliente_Mes!$B$2:$B$433,$A106,Desconto_Cliente_Mes!$C$2:$C$433,"Proteina"),""))</f>
        <v/>
      </c>
      <c r="J107" s="10" t="str">
        <f aca="false">IF((SUMIFS(Desconto_Cliente_Mes!$D$2:$D$433,Desconto_Cliente_Mes!$A$2:$A$433,J$106,Desconto_Cliente_Mes!$B$2:$B$433,$A106,Desconto_Cliente_Mes!$C$2:$C$433,"Proteina"))=0,"",IFERROR(SUMIFS(Desconto_Cliente_Mes!$E$2:$E$433,Desconto_Cliente_Mes!$A$2:$A$433,J$106,Desconto_Cliente_Mes!$B$2:$B$433,$A106,Desconto_Cliente_Mes!$C$2:$C$433,"Proteina"),""))</f>
        <v/>
      </c>
      <c r="K107" s="10" t="str">
        <f aca="false">IF((SUMIFS(Desconto_Cliente_Mes!$D$2:$D$433,Desconto_Cliente_Mes!$A$2:$A$433,K$106,Desconto_Cliente_Mes!$B$2:$B$433,$A106,Desconto_Cliente_Mes!$C$2:$C$433,"Proteina"))=0,"",IFERROR(SUMIFS(Desconto_Cliente_Mes!$E$2:$E$433,Desconto_Cliente_Mes!$A$2:$A$433,K$106,Desconto_Cliente_Mes!$B$2:$B$433,$A106,Desconto_Cliente_Mes!$C$2:$C$433,"Proteina"),""))</f>
        <v/>
      </c>
      <c r="L107" s="10" t="str">
        <f aca="false">IF((SUMIFS(Desconto_Cliente_Mes!$D$2:$D$433,Desconto_Cliente_Mes!$A$2:$A$433,L$106,Desconto_Cliente_Mes!$B$2:$B$433,$A106,Desconto_Cliente_Mes!$C$2:$C$433,"Proteina"))=0,"",IFERROR(SUMIFS(Desconto_Cliente_Mes!$E$2:$E$433,Desconto_Cliente_Mes!$A$2:$A$433,L$106,Desconto_Cliente_Mes!$B$2:$B$433,$A106,Desconto_Cliente_Mes!$C$2:$C$433,"Proteina"),""))</f>
        <v/>
      </c>
      <c r="M107" s="10" t="str">
        <f aca="false">IF((SUMIFS(Desconto_Cliente_Mes!$D$2:$D$433,Desconto_Cliente_Mes!$A$2:$A$433,M$106,Desconto_Cliente_Mes!$B$2:$B$433,$A106,Desconto_Cliente_Mes!$C$2:$C$433,"Proteina"))=0,"",IFERROR(SUMIFS(Desconto_Cliente_Mes!$E$2:$E$433,Desconto_Cliente_Mes!$A$2:$A$433,M$106,Desconto_Cliente_Mes!$B$2:$B$433,$A106,Desconto_Cliente_Mes!$C$2:$C$433,"Proteina"),""))</f>
        <v/>
      </c>
      <c r="N107" s="11" t="str">
        <f aca="false">IFERROR(Media_Pool_Mes!C11,"")</f>
        <v/>
      </c>
    </row>
    <row r="108" customFormat="false" ht="15" hidden="false" customHeight="false" outlineLevel="0" collapsed="false">
      <c r="A108" s="13" t="s">
        <v>75</v>
      </c>
      <c r="B108" s="8" t="n">
        <f aca="false">IFERROR(SUMIFS(Desconto_Cliente_Mes!$D$2:$D$433,Desconto_Cliente_Mes!$A$2:$A$433,B$106,Desconto_Cliente_Mes!$B$2:$B$433,$A106,Desconto_Cliente_Mes!$C$2:$C$433,"Proteina"),0)</f>
        <v>0</v>
      </c>
      <c r="C108" s="8" t="n">
        <f aca="false">IFERROR(SUMIFS(Desconto_Cliente_Mes!$D$2:$D$433,Desconto_Cliente_Mes!$A$2:$A$433,C$106,Desconto_Cliente_Mes!$B$2:$B$433,$A106,Desconto_Cliente_Mes!$C$2:$C$433,"Proteina"),0)</f>
        <v>0</v>
      </c>
      <c r="D108" s="8" t="n">
        <f aca="false">IFERROR(SUMIFS(Desconto_Cliente_Mes!$D$2:$D$433,Desconto_Cliente_Mes!$A$2:$A$433,D$106,Desconto_Cliente_Mes!$B$2:$B$433,$A106,Desconto_Cliente_Mes!$C$2:$C$433,"Proteina"),0)</f>
        <v>0</v>
      </c>
      <c r="E108" s="8" t="n">
        <f aca="false">IFERROR(SUMIFS(Desconto_Cliente_Mes!$D$2:$D$433,Desconto_Cliente_Mes!$A$2:$A$433,E$106,Desconto_Cliente_Mes!$B$2:$B$433,$A106,Desconto_Cliente_Mes!$C$2:$C$433,"Proteina"),0)</f>
        <v>0</v>
      </c>
      <c r="F108" s="8" t="n">
        <f aca="false">IFERROR(SUMIFS(Desconto_Cliente_Mes!$D$2:$D$433,Desconto_Cliente_Mes!$A$2:$A$433,F$106,Desconto_Cliente_Mes!$B$2:$B$433,$A106,Desconto_Cliente_Mes!$C$2:$C$433,"Proteina"),0)</f>
        <v>0</v>
      </c>
      <c r="G108" s="8" t="n">
        <f aca="false">IFERROR(SUMIFS(Desconto_Cliente_Mes!$D$2:$D$433,Desconto_Cliente_Mes!$A$2:$A$433,G$106,Desconto_Cliente_Mes!$B$2:$B$433,$A106,Desconto_Cliente_Mes!$C$2:$C$433,"Proteina"),0)</f>
        <v>0</v>
      </c>
      <c r="H108" s="8" t="n">
        <f aca="false">IFERROR(SUMIFS(Desconto_Cliente_Mes!$D$2:$D$433,Desconto_Cliente_Mes!$A$2:$A$433,H$106,Desconto_Cliente_Mes!$B$2:$B$433,$A106,Desconto_Cliente_Mes!$C$2:$C$433,"Proteina"),0)</f>
        <v>0</v>
      </c>
      <c r="I108" s="8" t="n">
        <f aca="false">IFERROR(SUMIFS(Desconto_Cliente_Mes!$D$2:$D$433,Desconto_Cliente_Mes!$A$2:$A$433,I$106,Desconto_Cliente_Mes!$B$2:$B$433,$A106,Desconto_Cliente_Mes!$C$2:$C$433,"Proteina"),0)</f>
        <v>0</v>
      </c>
      <c r="J108" s="8" t="n">
        <f aca="false">IFERROR(SUMIFS(Desconto_Cliente_Mes!$D$2:$D$433,Desconto_Cliente_Mes!$A$2:$A$433,J$106,Desconto_Cliente_Mes!$B$2:$B$433,$A106,Desconto_Cliente_Mes!$C$2:$C$433,"Proteina"),0)</f>
        <v>0</v>
      </c>
      <c r="K108" s="8" t="n">
        <f aca="false">IFERROR(SUMIFS(Desconto_Cliente_Mes!$D$2:$D$433,Desconto_Cliente_Mes!$A$2:$A$433,K$106,Desconto_Cliente_Mes!$B$2:$B$433,$A106,Desconto_Cliente_Mes!$C$2:$C$433,"Proteina"),0)</f>
        <v>0</v>
      </c>
      <c r="L108" s="8" t="n">
        <f aca="false">IFERROR(SUMIFS(Desconto_Cliente_Mes!$D$2:$D$433,Desconto_Cliente_Mes!$A$2:$A$433,L$106,Desconto_Cliente_Mes!$B$2:$B$433,$A106,Desconto_Cliente_Mes!$C$2:$C$433,"Proteina"),0)</f>
        <v>0</v>
      </c>
      <c r="M108" s="8" t="n">
        <f aca="false">IFERROR(SUMIFS(Desconto_Cliente_Mes!$D$2:$D$433,Desconto_Cliente_Mes!$A$2:$A$433,M$106,Desconto_Cliente_Mes!$B$2:$B$433,$A106,Desconto_Cliente_Mes!$C$2:$C$433,"Proteina"),0)</f>
        <v>0</v>
      </c>
      <c r="N108" s="9" t="n">
        <f aca="false">SUM(B108:M108)</f>
        <v>0</v>
      </c>
    </row>
    <row r="109" customFormat="false" ht="15" hidden="false" customHeight="false" outlineLevel="0" collapsed="false">
      <c r="A109" s="13" t="s">
        <v>76</v>
      </c>
      <c r="B109" s="15" t="n">
        <f aca="false">MAX(0,(SUMIFS(Desconto_Cliente_Mes!$L$2:$L$433,Desconto_Cliente_Mes!$A$2:$A$433,B$106,Desconto_Cliente_Mes!$B$2:$B$433,$A106,Desconto_Cliente_Mes!$C$2:$C$433,"Proteina"))-(SUMIFS(Desconto_Cliente_Mes!$N$2:$N$433,Desconto_Cliente_Mes!$A$2:$A$433,B$106,Desconto_Cliente_Mes!$B$2:$B$433,$A106,Desconto_Cliente_Mes!$C$2:$C$433,"Proteina")))</f>
        <v>0</v>
      </c>
      <c r="C109" s="15" t="n">
        <f aca="false">MAX(0,(SUMIFS(Desconto_Cliente_Mes!$L$2:$L$433,Desconto_Cliente_Mes!$A$2:$A$433,C$106,Desconto_Cliente_Mes!$B$2:$B$433,$A106,Desconto_Cliente_Mes!$C$2:$C$433,"Proteina"))-(SUMIFS(Desconto_Cliente_Mes!$N$2:$N$433,Desconto_Cliente_Mes!$A$2:$A$433,C$106,Desconto_Cliente_Mes!$B$2:$B$433,$A106,Desconto_Cliente_Mes!$C$2:$C$433,"Proteina")))</f>
        <v>0</v>
      </c>
      <c r="D109" s="15" t="n">
        <f aca="false">MAX(0,(SUMIFS(Desconto_Cliente_Mes!$L$2:$L$433,Desconto_Cliente_Mes!$A$2:$A$433,D$106,Desconto_Cliente_Mes!$B$2:$B$433,$A106,Desconto_Cliente_Mes!$C$2:$C$433,"Proteina"))-(SUMIFS(Desconto_Cliente_Mes!$N$2:$N$433,Desconto_Cliente_Mes!$A$2:$A$433,D$106,Desconto_Cliente_Mes!$B$2:$B$433,$A106,Desconto_Cliente_Mes!$C$2:$C$433,"Proteina")))</f>
        <v>0</v>
      </c>
      <c r="E109" s="15" t="n">
        <f aca="false">MAX(0,(SUMIFS(Desconto_Cliente_Mes!$L$2:$L$433,Desconto_Cliente_Mes!$A$2:$A$433,E$106,Desconto_Cliente_Mes!$B$2:$B$433,$A106,Desconto_Cliente_Mes!$C$2:$C$433,"Proteina"))-(SUMIFS(Desconto_Cliente_Mes!$N$2:$N$433,Desconto_Cliente_Mes!$A$2:$A$433,E$106,Desconto_Cliente_Mes!$B$2:$B$433,$A106,Desconto_Cliente_Mes!$C$2:$C$433,"Proteina")))</f>
        <v>0</v>
      </c>
      <c r="F109" s="15" t="n">
        <f aca="false">MAX(0,(SUMIFS(Desconto_Cliente_Mes!$L$2:$L$433,Desconto_Cliente_Mes!$A$2:$A$433,F$106,Desconto_Cliente_Mes!$B$2:$B$433,$A106,Desconto_Cliente_Mes!$C$2:$C$433,"Proteina"))-(SUMIFS(Desconto_Cliente_Mes!$N$2:$N$433,Desconto_Cliente_Mes!$A$2:$A$433,F$106,Desconto_Cliente_Mes!$B$2:$B$433,$A106,Desconto_Cliente_Mes!$C$2:$C$433,"Proteina")))</f>
        <v>0</v>
      </c>
      <c r="G109" s="15" t="n">
        <f aca="false">MAX(0,(SUMIFS(Desconto_Cliente_Mes!$L$2:$L$433,Desconto_Cliente_Mes!$A$2:$A$433,G$106,Desconto_Cliente_Mes!$B$2:$B$433,$A106,Desconto_Cliente_Mes!$C$2:$C$433,"Proteina"))-(SUMIFS(Desconto_Cliente_Mes!$N$2:$N$433,Desconto_Cliente_Mes!$A$2:$A$433,G$106,Desconto_Cliente_Mes!$B$2:$B$433,$A106,Desconto_Cliente_Mes!$C$2:$C$433,"Proteina")))</f>
        <v>0</v>
      </c>
      <c r="H109" s="15" t="n">
        <f aca="false">MAX(0,(SUMIFS(Desconto_Cliente_Mes!$L$2:$L$433,Desconto_Cliente_Mes!$A$2:$A$433,H$106,Desconto_Cliente_Mes!$B$2:$B$433,$A106,Desconto_Cliente_Mes!$C$2:$C$433,"Proteina"))-(SUMIFS(Desconto_Cliente_Mes!$N$2:$N$433,Desconto_Cliente_Mes!$A$2:$A$433,H$106,Desconto_Cliente_Mes!$B$2:$B$433,$A106,Desconto_Cliente_Mes!$C$2:$C$433,"Proteina")))</f>
        <v>0</v>
      </c>
      <c r="I109" s="15" t="n">
        <f aca="false">MAX(0,(SUMIFS(Desconto_Cliente_Mes!$L$2:$L$433,Desconto_Cliente_Mes!$A$2:$A$433,I$106,Desconto_Cliente_Mes!$B$2:$B$433,$A106,Desconto_Cliente_Mes!$C$2:$C$433,"Proteina"))-(SUMIFS(Desconto_Cliente_Mes!$N$2:$N$433,Desconto_Cliente_Mes!$A$2:$A$433,I$106,Desconto_Cliente_Mes!$B$2:$B$433,$A106,Desconto_Cliente_Mes!$C$2:$C$433,"Proteina")))</f>
        <v>0</v>
      </c>
      <c r="J109" s="15" t="n">
        <f aca="false">MAX(0,(SUMIFS(Desconto_Cliente_Mes!$L$2:$L$433,Desconto_Cliente_Mes!$A$2:$A$433,J$106,Desconto_Cliente_Mes!$B$2:$B$433,$A106,Desconto_Cliente_Mes!$C$2:$C$433,"Proteina"))-(SUMIFS(Desconto_Cliente_Mes!$N$2:$N$433,Desconto_Cliente_Mes!$A$2:$A$433,J$106,Desconto_Cliente_Mes!$B$2:$B$433,$A106,Desconto_Cliente_Mes!$C$2:$C$433,"Proteina")))</f>
        <v>0</v>
      </c>
      <c r="K109" s="15" t="n">
        <f aca="false">MAX(0,(SUMIFS(Desconto_Cliente_Mes!$L$2:$L$433,Desconto_Cliente_Mes!$A$2:$A$433,K$106,Desconto_Cliente_Mes!$B$2:$B$433,$A106,Desconto_Cliente_Mes!$C$2:$C$433,"Proteina"))-(SUMIFS(Desconto_Cliente_Mes!$N$2:$N$433,Desconto_Cliente_Mes!$A$2:$A$433,K$106,Desconto_Cliente_Mes!$B$2:$B$433,$A106,Desconto_Cliente_Mes!$C$2:$C$433,"Proteina")))</f>
        <v>0</v>
      </c>
      <c r="L109" s="15" t="n">
        <f aca="false">MAX(0,(SUMIFS(Desconto_Cliente_Mes!$L$2:$L$433,Desconto_Cliente_Mes!$A$2:$A$433,L$106,Desconto_Cliente_Mes!$B$2:$B$433,$A106,Desconto_Cliente_Mes!$C$2:$C$433,"Proteina"))-(SUMIFS(Desconto_Cliente_Mes!$N$2:$N$433,Desconto_Cliente_Mes!$A$2:$A$433,L$106,Desconto_Cliente_Mes!$B$2:$B$433,$A106,Desconto_Cliente_Mes!$C$2:$C$433,"Proteina")))</f>
        <v>0</v>
      </c>
      <c r="M109" s="15" t="n">
        <f aca="false">MAX(0,(SUMIFS(Desconto_Cliente_Mes!$L$2:$L$433,Desconto_Cliente_Mes!$A$2:$A$433,M$106,Desconto_Cliente_Mes!$B$2:$B$433,$A106,Desconto_Cliente_Mes!$C$2:$C$433,"Proteina"))-(SUMIFS(Desconto_Cliente_Mes!$N$2:$N$433,Desconto_Cliente_Mes!$A$2:$A$433,M$106,Desconto_Cliente_Mes!$B$2:$B$433,$A106,Desconto_Cliente_Mes!$C$2:$C$433,"Proteina")))</f>
        <v>0</v>
      </c>
    </row>
    <row r="110" customFormat="false" ht="15" hidden="false" customHeight="false" outlineLevel="0" collapsed="false">
      <c r="A110" s="13" t="s">
        <v>77</v>
      </c>
      <c r="B110" s="15" t="n">
        <f aca="false">MAX(0,(SUMIFS(Desconto_Cliente_Mes!$N$2:$N$433,Desconto_Cliente_Mes!$A$2:$A$433,B$106,Desconto_Cliente_Mes!$B$2:$B$433,$A106,Desconto_Cliente_Mes!$C$2:$C$433,"Proteina"))-(SUMIFS(Desconto_Cliente_Mes!$P$2:$P$433,Desconto_Cliente_Mes!$A$2:$A$433,B$106,Desconto_Cliente_Mes!$B$2:$B$433,$A106,Desconto_Cliente_Mes!$C$2:$C$433,"Proteina")))</f>
        <v>0</v>
      </c>
      <c r="C110" s="15" t="n">
        <f aca="false">MAX(0,(SUMIFS(Desconto_Cliente_Mes!$N$2:$N$433,Desconto_Cliente_Mes!$A$2:$A$433,C$106,Desconto_Cliente_Mes!$B$2:$B$433,$A106,Desconto_Cliente_Mes!$C$2:$C$433,"Proteina"))-(SUMIFS(Desconto_Cliente_Mes!$P$2:$P$433,Desconto_Cliente_Mes!$A$2:$A$433,C$106,Desconto_Cliente_Mes!$B$2:$B$433,$A106,Desconto_Cliente_Mes!$C$2:$C$433,"Proteina")))</f>
        <v>0</v>
      </c>
      <c r="D110" s="15" t="n">
        <f aca="false">MAX(0,(SUMIFS(Desconto_Cliente_Mes!$N$2:$N$433,Desconto_Cliente_Mes!$A$2:$A$433,D$106,Desconto_Cliente_Mes!$B$2:$B$433,$A106,Desconto_Cliente_Mes!$C$2:$C$433,"Proteina"))-(SUMIFS(Desconto_Cliente_Mes!$P$2:$P$433,Desconto_Cliente_Mes!$A$2:$A$433,D$106,Desconto_Cliente_Mes!$B$2:$B$433,$A106,Desconto_Cliente_Mes!$C$2:$C$433,"Proteina")))</f>
        <v>0</v>
      </c>
      <c r="E110" s="15" t="n">
        <f aca="false">MAX(0,(SUMIFS(Desconto_Cliente_Mes!$N$2:$N$433,Desconto_Cliente_Mes!$A$2:$A$433,E$106,Desconto_Cliente_Mes!$B$2:$B$433,$A106,Desconto_Cliente_Mes!$C$2:$C$433,"Proteina"))-(SUMIFS(Desconto_Cliente_Mes!$P$2:$P$433,Desconto_Cliente_Mes!$A$2:$A$433,E$106,Desconto_Cliente_Mes!$B$2:$B$433,$A106,Desconto_Cliente_Mes!$C$2:$C$433,"Proteina")))</f>
        <v>0</v>
      </c>
      <c r="F110" s="15" t="n">
        <f aca="false">MAX(0,(SUMIFS(Desconto_Cliente_Mes!$N$2:$N$433,Desconto_Cliente_Mes!$A$2:$A$433,F$106,Desconto_Cliente_Mes!$B$2:$B$433,$A106,Desconto_Cliente_Mes!$C$2:$C$433,"Proteina"))-(SUMIFS(Desconto_Cliente_Mes!$P$2:$P$433,Desconto_Cliente_Mes!$A$2:$A$433,F$106,Desconto_Cliente_Mes!$B$2:$B$433,$A106,Desconto_Cliente_Mes!$C$2:$C$433,"Proteina")))</f>
        <v>0</v>
      </c>
      <c r="G110" s="15" t="n">
        <f aca="false">MAX(0,(SUMIFS(Desconto_Cliente_Mes!$N$2:$N$433,Desconto_Cliente_Mes!$A$2:$A$433,G$106,Desconto_Cliente_Mes!$B$2:$B$433,$A106,Desconto_Cliente_Mes!$C$2:$C$433,"Proteina"))-(SUMIFS(Desconto_Cliente_Mes!$P$2:$P$433,Desconto_Cliente_Mes!$A$2:$A$433,G$106,Desconto_Cliente_Mes!$B$2:$B$433,$A106,Desconto_Cliente_Mes!$C$2:$C$433,"Proteina")))</f>
        <v>0</v>
      </c>
      <c r="H110" s="15" t="n">
        <f aca="false">MAX(0,(SUMIFS(Desconto_Cliente_Mes!$N$2:$N$433,Desconto_Cliente_Mes!$A$2:$A$433,H$106,Desconto_Cliente_Mes!$B$2:$B$433,$A106,Desconto_Cliente_Mes!$C$2:$C$433,"Proteina"))-(SUMIFS(Desconto_Cliente_Mes!$P$2:$P$433,Desconto_Cliente_Mes!$A$2:$A$433,H$106,Desconto_Cliente_Mes!$B$2:$B$433,$A106,Desconto_Cliente_Mes!$C$2:$C$433,"Proteina")))</f>
        <v>0</v>
      </c>
      <c r="I110" s="15" t="n">
        <f aca="false">MAX(0,(SUMIFS(Desconto_Cliente_Mes!$N$2:$N$433,Desconto_Cliente_Mes!$A$2:$A$433,I$106,Desconto_Cliente_Mes!$B$2:$B$433,$A106,Desconto_Cliente_Mes!$C$2:$C$433,"Proteina"))-(SUMIFS(Desconto_Cliente_Mes!$P$2:$P$433,Desconto_Cliente_Mes!$A$2:$A$433,I$106,Desconto_Cliente_Mes!$B$2:$B$433,$A106,Desconto_Cliente_Mes!$C$2:$C$433,"Proteina")))</f>
        <v>0</v>
      </c>
      <c r="J110" s="15" t="n">
        <f aca="false">MAX(0,(SUMIFS(Desconto_Cliente_Mes!$N$2:$N$433,Desconto_Cliente_Mes!$A$2:$A$433,J$106,Desconto_Cliente_Mes!$B$2:$B$433,$A106,Desconto_Cliente_Mes!$C$2:$C$433,"Proteina"))-(SUMIFS(Desconto_Cliente_Mes!$P$2:$P$433,Desconto_Cliente_Mes!$A$2:$A$433,J$106,Desconto_Cliente_Mes!$B$2:$B$433,$A106,Desconto_Cliente_Mes!$C$2:$C$433,"Proteina")))</f>
        <v>0</v>
      </c>
      <c r="K110" s="15" t="n">
        <f aca="false">MAX(0,(SUMIFS(Desconto_Cliente_Mes!$N$2:$N$433,Desconto_Cliente_Mes!$A$2:$A$433,K$106,Desconto_Cliente_Mes!$B$2:$B$433,$A106,Desconto_Cliente_Mes!$C$2:$C$433,"Proteina"))-(SUMIFS(Desconto_Cliente_Mes!$P$2:$P$433,Desconto_Cliente_Mes!$A$2:$A$433,K$106,Desconto_Cliente_Mes!$B$2:$B$433,$A106,Desconto_Cliente_Mes!$C$2:$C$433,"Proteina")))</f>
        <v>0</v>
      </c>
      <c r="L110" s="15" t="n">
        <f aca="false">MAX(0,(SUMIFS(Desconto_Cliente_Mes!$N$2:$N$433,Desconto_Cliente_Mes!$A$2:$A$433,L$106,Desconto_Cliente_Mes!$B$2:$B$433,$A106,Desconto_Cliente_Mes!$C$2:$C$433,"Proteina"))-(SUMIFS(Desconto_Cliente_Mes!$P$2:$P$433,Desconto_Cliente_Mes!$A$2:$A$433,L$106,Desconto_Cliente_Mes!$B$2:$B$433,$A106,Desconto_Cliente_Mes!$C$2:$C$433,"Proteina")))</f>
        <v>0</v>
      </c>
      <c r="M110" s="15" t="n">
        <f aca="false">MAX(0,(SUMIFS(Desconto_Cliente_Mes!$N$2:$N$433,Desconto_Cliente_Mes!$A$2:$A$433,M$106,Desconto_Cliente_Mes!$B$2:$B$433,$A106,Desconto_Cliente_Mes!$C$2:$C$433,"Proteina"))-(SUMIFS(Desconto_Cliente_Mes!$P$2:$P$433,Desconto_Cliente_Mes!$A$2:$A$433,M$106,Desconto_Cliente_Mes!$B$2:$B$433,$A106,Desconto_Cliente_Mes!$C$2:$C$433,"Proteina")))</f>
        <v>0</v>
      </c>
    </row>
    <row r="111" customFormat="false" ht="15" hidden="false" customHeight="false" outlineLevel="0" collapsed="false">
      <c r="A111" s="13" t="s">
        <v>78</v>
      </c>
      <c r="B111" s="15" t="n">
        <f aca="false">MAX(0,SUMIFS(Desconto_Cliente_Mes!$P$2:$P$433,Desconto_Cliente_Mes!$A$2:$A$433,B$106,Desconto_Cliente_Mes!$B$2:$B$433,$A106,Desconto_Cliente_Mes!$C$2:$C$433,"Proteina"))</f>
        <v>0</v>
      </c>
      <c r="C111" s="15" t="n">
        <f aca="false">MAX(0,SUMIFS(Desconto_Cliente_Mes!$P$2:$P$433,Desconto_Cliente_Mes!$A$2:$A$433,C$106,Desconto_Cliente_Mes!$B$2:$B$433,$A106,Desconto_Cliente_Mes!$C$2:$C$433,"Proteina"))</f>
        <v>0</v>
      </c>
      <c r="D111" s="15" t="n">
        <f aca="false">MAX(0,SUMIFS(Desconto_Cliente_Mes!$P$2:$P$433,Desconto_Cliente_Mes!$A$2:$A$433,D$106,Desconto_Cliente_Mes!$B$2:$B$433,$A106,Desconto_Cliente_Mes!$C$2:$C$433,"Proteina"))</f>
        <v>0</v>
      </c>
      <c r="E111" s="15" t="n">
        <f aca="false">MAX(0,SUMIFS(Desconto_Cliente_Mes!$P$2:$P$433,Desconto_Cliente_Mes!$A$2:$A$433,E$106,Desconto_Cliente_Mes!$B$2:$B$433,$A106,Desconto_Cliente_Mes!$C$2:$C$433,"Proteina"))</f>
        <v>0</v>
      </c>
      <c r="F111" s="15" t="n">
        <f aca="false">MAX(0,SUMIFS(Desconto_Cliente_Mes!$P$2:$P$433,Desconto_Cliente_Mes!$A$2:$A$433,F$106,Desconto_Cliente_Mes!$B$2:$B$433,$A106,Desconto_Cliente_Mes!$C$2:$C$433,"Proteina"))</f>
        <v>0</v>
      </c>
      <c r="G111" s="15" t="n">
        <f aca="false">MAX(0,SUMIFS(Desconto_Cliente_Mes!$P$2:$P$433,Desconto_Cliente_Mes!$A$2:$A$433,G$106,Desconto_Cliente_Mes!$B$2:$B$433,$A106,Desconto_Cliente_Mes!$C$2:$C$433,"Proteina"))</f>
        <v>0</v>
      </c>
      <c r="H111" s="15" t="n">
        <f aca="false">MAX(0,SUMIFS(Desconto_Cliente_Mes!$P$2:$P$433,Desconto_Cliente_Mes!$A$2:$A$433,H$106,Desconto_Cliente_Mes!$B$2:$B$433,$A106,Desconto_Cliente_Mes!$C$2:$C$433,"Proteina"))</f>
        <v>0</v>
      </c>
      <c r="I111" s="15" t="n">
        <f aca="false">MAX(0,SUMIFS(Desconto_Cliente_Mes!$P$2:$P$433,Desconto_Cliente_Mes!$A$2:$A$433,I$106,Desconto_Cliente_Mes!$B$2:$B$433,$A106,Desconto_Cliente_Mes!$C$2:$C$433,"Proteina"))</f>
        <v>0</v>
      </c>
      <c r="J111" s="15" t="n">
        <f aca="false">MAX(0,SUMIFS(Desconto_Cliente_Mes!$P$2:$P$433,Desconto_Cliente_Mes!$A$2:$A$433,J$106,Desconto_Cliente_Mes!$B$2:$B$433,$A106,Desconto_Cliente_Mes!$C$2:$C$433,"Proteina"))</f>
        <v>0</v>
      </c>
      <c r="K111" s="15" t="n">
        <f aca="false">MAX(0,SUMIFS(Desconto_Cliente_Mes!$P$2:$P$433,Desconto_Cliente_Mes!$A$2:$A$433,K$106,Desconto_Cliente_Mes!$B$2:$B$433,$A106,Desconto_Cliente_Mes!$C$2:$C$433,"Proteina"))</f>
        <v>0</v>
      </c>
      <c r="L111" s="15" t="n">
        <f aca="false">MAX(0,SUMIFS(Desconto_Cliente_Mes!$P$2:$P$433,Desconto_Cliente_Mes!$A$2:$A$433,L$106,Desconto_Cliente_Mes!$B$2:$B$433,$A106,Desconto_Cliente_Mes!$C$2:$C$433,"Proteina"))</f>
        <v>0</v>
      </c>
      <c r="M111" s="15" t="n">
        <f aca="false">MAX(0,SUMIFS(Desconto_Cliente_Mes!$P$2:$P$433,Desconto_Cliente_Mes!$A$2:$A$433,M$106,Desconto_Cliente_Mes!$B$2:$B$433,$A106,Desconto_Cliente_Mes!$C$2:$C$433,"Proteina"))</f>
        <v>0</v>
      </c>
    </row>
    <row r="112" customFormat="false" ht="15" hidden="false" customHeight="false" outlineLevel="0" collapsed="false">
      <c r="A112" s="13" t="s">
        <v>79</v>
      </c>
      <c r="B112" s="16" t="n">
        <f aca="false">$B$108*($B$109/100)*(SUMIFS(Desconto_Cliente_Mes!$Q$2:$Q$433,Desconto_Cliente_Mes!$A$2:$A$433,B$106,Desconto_Cliente_Mes!$B$2:$B$433,$A106,Desconto_Cliente_Mes!$C$2:$C$433,"Proteina"))*(SUMIFS(Desconto_Cliente_Mes!$T$2:$T$433,Desconto_Cliente_Mes!$A$2:$A$433,B$106,Desconto_Cliente_Mes!$B$2:$B$433,$A106,Desconto_Cliente_Mes!$C$2:$C$433,"Proteina"))</f>
        <v>0</v>
      </c>
      <c r="C112" s="16" t="n">
        <f aca="false">$C$108*($C$109/100)*(SUMIFS(Desconto_Cliente_Mes!$Q$2:$Q$433,Desconto_Cliente_Mes!$A$2:$A$433,C$106,Desconto_Cliente_Mes!$B$2:$B$433,$A106,Desconto_Cliente_Mes!$C$2:$C$433,"Proteina"))*(SUMIFS(Desconto_Cliente_Mes!$T$2:$T$433,Desconto_Cliente_Mes!$A$2:$A$433,C$106,Desconto_Cliente_Mes!$B$2:$B$433,$A106,Desconto_Cliente_Mes!$C$2:$C$433,"Proteina"))</f>
        <v>0</v>
      </c>
      <c r="D112" s="16" t="n">
        <f aca="false">$D$108*($D$109/100)*(SUMIFS(Desconto_Cliente_Mes!$Q$2:$Q$433,Desconto_Cliente_Mes!$A$2:$A$433,D$106,Desconto_Cliente_Mes!$B$2:$B$433,$A106,Desconto_Cliente_Mes!$C$2:$C$433,"Proteina"))*(SUMIFS(Desconto_Cliente_Mes!$T$2:$T$433,Desconto_Cliente_Mes!$A$2:$A$433,D$106,Desconto_Cliente_Mes!$B$2:$B$433,$A106,Desconto_Cliente_Mes!$C$2:$C$433,"Proteina"))</f>
        <v>0</v>
      </c>
      <c r="E112" s="16" t="n">
        <f aca="false">$E$108*($E$109/100)*(SUMIFS(Desconto_Cliente_Mes!$Q$2:$Q$433,Desconto_Cliente_Mes!$A$2:$A$433,E$106,Desconto_Cliente_Mes!$B$2:$B$433,$A106,Desconto_Cliente_Mes!$C$2:$C$433,"Proteina"))*(SUMIFS(Desconto_Cliente_Mes!$T$2:$T$433,Desconto_Cliente_Mes!$A$2:$A$433,E$106,Desconto_Cliente_Mes!$B$2:$B$433,$A106,Desconto_Cliente_Mes!$C$2:$C$433,"Proteina"))</f>
        <v>0</v>
      </c>
      <c r="F112" s="16" t="n">
        <f aca="false">$F$108*($F$109/100)*(SUMIFS(Desconto_Cliente_Mes!$Q$2:$Q$433,Desconto_Cliente_Mes!$A$2:$A$433,F$106,Desconto_Cliente_Mes!$B$2:$B$433,$A106,Desconto_Cliente_Mes!$C$2:$C$433,"Proteina"))*(SUMIFS(Desconto_Cliente_Mes!$T$2:$T$433,Desconto_Cliente_Mes!$A$2:$A$433,F$106,Desconto_Cliente_Mes!$B$2:$B$433,$A106,Desconto_Cliente_Mes!$C$2:$C$433,"Proteina"))</f>
        <v>0</v>
      </c>
      <c r="G112" s="16" t="n">
        <f aca="false">$G$108*($G$109/100)*(SUMIFS(Desconto_Cliente_Mes!$Q$2:$Q$433,Desconto_Cliente_Mes!$A$2:$A$433,G$106,Desconto_Cliente_Mes!$B$2:$B$433,$A106,Desconto_Cliente_Mes!$C$2:$C$433,"Proteina"))*(SUMIFS(Desconto_Cliente_Mes!$T$2:$T$433,Desconto_Cliente_Mes!$A$2:$A$433,G$106,Desconto_Cliente_Mes!$B$2:$B$433,$A106,Desconto_Cliente_Mes!$C$2:$C$433,"Proteina"))</f>
        <v>0</v>
      </c>
      <c r="H112" s="16" t="n">
        <f aca="false">$H$108*($H$109/100)*(SUMIFS(Desconto_Cliente_Mes!$Q$2:$Q$433,Desconto_Cliente_Mes!$A$2:$A$433,H$106,Desconto_Cliente_Mes!$B$2:$B$433,$A106,Desconto_Cliente_Mes!$C$2:$C$433,"Proteina"))*(SUMIFS(Desconto_Cliente_Mes!$T$2:$T$433,Desconto_Cliente_Mes!$A$2:$A$433,H$106,Desconto_Cliente_Mes!$B$2:$B$433,$A106,Desconto_Cliente_Mes!$C$2:$C$433,"Proteina"))</f>
        <v>0</v>
      </c>
      <c r="I112" s="16" t="n">
        <f aca="false">$I$108*($I$109/100)*(SUMIFS(Desconto_Cliente_Mes!$Q$2:$Q$433,Desconto_Cliente_Mes!$A$2:$A$433,I$106,Desconto_Cliente_Mes!$B$2:$B$433,$A106,Desconto_Cliente_Mes!$C$2:$C$433,"Proteina"))*(SUMIFS(Desconto_Cliente_Mes!$T$2:$T$433,Desconto_Cliente_Mes!$A$2:$A$433,I$106,Desconto_Cliente_Mes!$B$2:$B$433,$A106,Desconto_Cliente_Mes!$C$2:$C$433,"Proteina"))</f>
        <v>0</v>
      </c>
      <c r="J112" s="16" t="n">
        <f aca="false">$J$108*($J$109/100)*(SUMIFS(Desconto_Cliente_Mes!$Q$2:$Q$433,Desconto_Cliente_Mes!$A$2:$A$433,J$106,Desconto_Cliente_Mes!$B$2:$B$433,$A106,Desconto_Cliente_Mes!$C$2:$C$433,"Proteina"))*(SUMIFS(Desconto_Cliente_Mes!$T$2:$T$433,Desconto_Cliente_Mes!$A$2:$A$433,J$106,Desconto_Cliente_Mes!$B$2:$B$433,$A106,Desconto_Cliente_Mes!$C$2:$C$433,"Proteina"))</f>
        <v>0</v>
      </c>
      <c r="K112" s="16" t="n">
        <f aca="false">$K$108*($K$109/100)*(SUMIFS(Desconto_Cliente_Mes!$Q$2:$Q$433,Desconto_Cliente_Mes!$A$2:$A$433,K$106,Desconto_Cliente_Mes!$B$2:$B$433,$A106,Desconto_Cliente_Mes!$C$2:$C$433,"Proteina"))*(SUMIFS(Desconto_Cliente_Mes!$T$2:$T$433,Desconto_Cliente_Mes!$A$2:$A$433,K$106,Desconto_Cliente_Mes!$B$2:$B$433,$A106,Desconto_Cliente_Mes!$C$2:$C$433,"Proteina"))</f>
        <v>0</v>
      </c>
      <c r="L112" s="16" t="n">
        <f aca="false">$L$108*($L$109/100)*(SUMIFS(Desconto_Cliente_Mes!$Q$2:$Q$433,Desconto_Cliente_Mes!$A$2:$A$433,L$106,Desconto_Cliente_Mes!$B$2:$B$433,$A106,Desconto_Cliente_Mes!$C$2:$C$433,"Proteina"))*(SUMIFS(Desconto_Cliente_Mes!$T$2:$T$433,Desconto_Cliente_Mes!$A$2:$A$433,L$106,Desconto_Cliente_Mes!$B$2:$B$433,$A106,Desconto_Cliente_Mes!$C$2:$C$433,"Proteina"))</f>
        <v>0</v>
      </c>
      <c r="M112" s="16" t="n">
        <f aca="false">$M$108*($M$109/100)*(SUMIFS(Desconto_Cliente_Mes!$Q$2:$Q$433,Desconto_Cliente_Mes!$A$2:$A$433,M$106,Desconto_Cliente_Mes!$B$2:$B$433,$A106,Desconto_Cliente_Mes!$C$2:$C$433,"Proteina"))*(SUMIFS(Desconto_Cliente_Mes!$T$2:$T$433,Desconto_Cliente_Mes!$A$2:$A$433,M$106,Desconto_Cliente_Mes!$B$2:$B$433,$A106,Desconto_Cliente_Mes!$C$2:$C$433,"Proteina"))</f>
        <v>0</v>
      </c>
      <c r="N112" s="17" t="n">
        <f aca="false">SUM(B112:M112)</f>
        <v>0</v>
      </c>
    </row>
    <row r="113" customFormat="false" ht="15" hidden="false" customHeight="false" outlineLevel="0" collapsed="false">
      <c r="A113" s="13" t="s">
        <v>80</v>
      </c>
      <c r="B113" s="16" t="n">
        <f aca="false">$B$108*($B$110/100)*((IF(SUMIFS(Desconto_Cliente_Mes!$R$2:$R$433,Desconto_Cliente_Mes!$A$2:$A$433,B$106,Desconto_Cliente_Mes!$B$2:$B$433,$A106,Desconto_Cliente_Mes!$C$2:$C$433,"Proteina")="",SUMIFS(Desconto_Cliente_Mes!$Q$2:$Q$433,Desconto_Cliente_Mes!$A$2:$A$433,B$106,Desconto_Cliente_Mes!$B$2:$B$433,$A106,Desconto_Cliente_Mes!$C$2:$C$433,"Proteina"),SUMIFS(Desconto_Cliente_Mes!$R$2:$R$433,Desconto_Cliente_Mes!$A$2:$A$433,B$106,Desconto_Cliente_Mes!$B$2:$B$433,$A106,Desconto_Cliente_Mes!$C$2:$C$433,"Proteina")))-(SUMIFS(Desconto_Cliente_Mes!$Q$2:$Q$433,Desconto_Cliente_Mes!$A$2:$A$433,B$106,Desconto_Cliente_Mes!$B$2:$B$433,$A106,Desconto_Cliente_Mes!$C$2:$C$433,"Proteina")))*(SUMIFS(Desconto_Cliente_Mes!$T$2:$T$433,Desconto_Cliente_Mes!$A$2:$A$433,B$106,Desconto_Cliente_Mes!$B$2:$B$433,$A106,Desconto_Cliente_Mes!$C$2:$C$433,"Proteina"))</f>
        <v>0</v>
      </c>
      <c r="C113" s="16" t="n">
        <f aca="false">$C$108*($C$110/100)*((IF(SUMIFS(Desconto_Cliente_Mes!$R$2:$R$433,Desconto_Cliente_Mes!$A$2:$A$433,C$106,Desconto_Cliente_Mes!$B$2:$B$433,$A106,Desconto_Cliente_Mes!$C$2:$C$433,"Proteina")="",SUMIFS(Desconto_Cliente_Mes!$Q$2:$Q$433,Desconto_Cliente_Mes!$A$2:$A$433,C$106,Desconto_Cliente_Mes!$B$2:$B$433,$A106,Desconto_Cliente_Mes!$C$2:$C$433,"Proteina"),SUMIFS(Desconto_Cliente_Mes!$R$2:$R$433,Desconto_Cliente_Mes!$A$2:$A$433,C$106,Desconto_Cliente_Mes!$B$2:$B$433,$A106,Desconto_Cliente_Mes!$C$2:$C$433,"Proteina")))-(SUMIFS(Desconto_Cliente_Mes!$Q$2:$Q$433,Desconto_Cliente_Mes!$A$2:$A$433,C$106,Desconto_Cliente_Mes!$B$2:$B$433,$A106,Desconto_Cliente_Mes!$C$2:$C$433,"Proteina")))*(SUMIFS(Desconto_Cliente_Mes!$T$2:$T$433,Desconto_Cliente_Mes!$A$2:$A$433,C$106,Desconto_Cliente_Mes!$B$2:$B$433,$A106,Desconto_Cliente_Mes!$C$2:$C$433,"Proteina"))</f>
        <v>0</v>
      </c>
      <c r="D113" s="16" t="n">
        <f aca="false">$D$108*($D$110/100)*((IF(SUMIFS(Desconto_Cliente_Mes!$R$2:$R$433,Desconto_Cliente_Mes!$A$2:$A$433,D$106,Desconto_Cliente_Mes!$B$2:$B$433,$A106,Desconto_Cliente_Mes!$C$2:$C$433,"Proteina")="",SUMIFS(Desconto_Cliente_Mes!$Q$2:$Q$433,Desconto_Cliente_Mes!$A$2:$A$433,D$106,Desconto_Cliente_Mes!$B$2:$B$433,$A106,Desconto_Cliente_Mes!$C$2:$C$433,"Proteina"),SUMIFS(Desconto_Cliente_Mes!$R$2:$R$433,Desconto_Cliente_Mes!$A$2:$A$433,D$106,Desconto_Cliente_Mes!$B$2:$B$433,$A106,Desconto_Cliente_Mes!$C$2:$C$433,"Proteina")))-(SUMIFS(Desconto_Cliente_Mes!$Q$2:$Q$433,Desconto_Cliente_Mes!$A$2:$A$433,D$106,Desconto_Cliente_Mes!$B$2:$B$433,$A106,Desconto_Cliente_Mes!$C$2:$C$433,"Proteina")))*(SUMIFS(Desconto_Cliente_Mes!$T$2:$T$433,Desconto_Cliente_Mes!$A$2:$A$433,D$106,Desconto_Cliente_Mes!$B$2:$B$433,$A106,Desconto_Cliente_Mes!$C$2:$C$433,"Proteina"))</f>
        <v>0</v>
      </c>
      <c r="E113" s="16" t="n">
        <f aca="false">$E$108*($E$110/100)*((IF(SUMIFS(Desconto_Cliente_Mes!$R$2:$R$433,Desconto_Cliente_Mes!$A$2:$A$433,E$106,Desconto_Cliente_Mes!$B$2:$B$433,$A106,Desconto_Cliente_Mes!$C$2:$C$433,"Proteina")="",SUMIFS(Desconto_Cliente_Mes!$Q$2:$Q$433,Desconto_Cliente_Mes!$A$2:$A$433,E$106,Desconto_Cliente_Mes!$B$2:$B$433,$A106,Desconto_Cliente_Mes!$C$2:$C$433,"Proteina"),SUMIFS(Desconto_Cliente_Mes!$R$2:$R$433,Desconto_Cliente_Mes!$A$2:$A$433,E$106,Desconto_Cliente_Mes!$B$2:$B$433,$A106,Desconto_Cliente_Mes!$C$2:$C$433,"Proteina")))-(SUMIFS(Desconto_Cliente_Mes!$Q$2:$Q$433,Desconto_Cliente_Mes!$A$2:$A$433,E$106,Desconto_Cliente_Mes!$B$2:$B$433,$A106,Desconto_Cliente_Mes!$C$2:$C$433,"Proteina")))*(SUMIFS(Desconto_Cliente_Mes!$T$2:$T$433,Desconto_Cliente_Mes!$A$2:$A$433,E$106,Desconto_Cliente_Mes!$B$2:$B$433,$A106,Desconto_Cliente_Mes!$C$2:$C$433,"Proteina"))</f>
        <v>0</v>
      </c>
      <c r="F113" s="16" t="n">
        <f aca="false">$F$108*($F$110/100)*((IF(SUMIFS(Desconto_Cliente_Mes!$R$2:$R$433,Desconto_Cliente_Mes!$A$2:$A$433,F$106,Desconto_Cliente_Mes!$B$2:$B$433,$A106,Desconto_Cliente_Mes!$C$2:$C$433,"Proteina")="",SUMIFS(Desconto_Cliente_Mes!$Q$2:$Q$433,Desconto_Cliente_Mes!$A$2:$A$433,F$106,Desconto_Cliente_Mes!$B$2:$B$433,$A106,Desconto_Cliente_Mes!$C$2:$C$433,"Proteina"),SUMIFS(Desconto_Cliente_Mes!$R$2:$R$433,Desconto_Cliente_Mes!$A$2:$A$433,F$106,Desconto_Cliente_Mes!$B$2:$B$433,$A106,Desconto_Cliente_Mes!$C$2:$C$433,"Proteina")))-(SUMIFS(Desconto_Cliente_Mes!$Q$2:$Q$433,Desconto_Cliente_Mes!$A$2:$A$433,F$106,Desconto_Cliente_Mes!$B$2:$B$433,$A106,Desconto_Cliente_Mes!$C$2:$C$433,"Proteina")))*(SUMIFS(Desconto_Cliente_Mes!$T$2:$T$433,Desconto_Cliente_Mes!$A$2:$A$433,F$106,Desconto_Cliente_Mes!$B$2:$B$433,$A106,Desconto_Cliente_Mes!$C$2:$C$433,"Proteina"))</f>
        <v>0</v>
      </c>
      <c r="G113" s="16" t="n">
        <f aca="false">$G$108*($G$110/100)*((IF(SUMIFS(Desconto_Cliente_Mes!$R$2:$R$433,Desconto_Cliente_Mes!$A$2:$A$433,G$106,Desconto_Cliente_Mes!$B$2:$B$433,$A106,Desconto_Cliente_Mes!$C$2:$C$433,"Proteina")="",SUMIFS(Desconto_Cliente_Mes!$Q$2:$Q$433,Desconto_Cliente_Mes!$A$2:$A$433,G$106,Desconto_Cliente_Mes!$B$2:$B$433,$A106,Desconto_Cliente_Mes!$C$2:$C$433,"Proteina"),SUMIFS(Desconto_Cliente_Mes!$R$2:$R$433,Desconto_Cliente_Mes!$A$2:$A$433,G$106,Desconto_Cliente_Mes!$B$2:$B$433,$A106,Desconto_Cliente_Mes!$C$2:$C$433,"Proteina")))-(SUMIFS(Desconto_Cliente_Mes!$Q$2:$Q$433,Desconto_Cliente_Mes!$A$2:$A$433,G$106,Desconto_Cliente_Mes!$B$2:$B$433,$A106,Desconto_Cliente_Mes!$C$2:$C$433,"Proteina")))*(SUMIFS(Desconto_Cliente_Mes!$T$2:$T$433,Desconto_Cliente_Mes!$A$2:$A$433,G$106,Desconto_Cliente_Mes!$B$2:$B$433,$A106,Desconto_Cliente_Mes!$C$2:$C$433,"Proteina"))</f>
        <v>0</v>
      </c>
      <c r="H113" s="16" t="n">
        <f aca="false">$H$108*($H$110/100)*((IF(SUMIFS(Desconto_Cliente_Mes!$R$2:$R$433,Desconto_Cliente_Mes!$A$2:$A$433,H$106,Desconto_Cliente_Mes!$B$2:$B$433,$A106,Desconto_Cliente_Mes!$C$2:$C$433,"Proteina")="",SUMIFS(Desconto_Cliente_Mes!$Q$2:$Q$433,Desconto_Cliente_Mes!$A$2:$A$433,H$106,Desconto_Cliente_Mes!$B$2:$B$433,$A106,Desconto_Cliente_Mes!$C$2:$C$433,"Proteina"),SUMIFS(Desconto_Cliente_Mes!$R$2:$R$433,Desconto_Cliente_Mes!$A$2:$A$433,H$106,Desconto_Cliente_Mes!$B$2:$B$433,$A106,Desconto_Cliente_Mes!$C$2:$C$433,"Proteina")))-(SUMIFS(Desconto_Cliente_Mes!$Q$2:$Q$433,Desconto_Cliente_Mes!$A$2:$A$433,H$106,Desconto_Cliente_Mes!$B$2:$B$433,$A106,Desconto_Cliente_Mes!$C$2:$C$433,"Proteina")))*(SUMIFS(Desconto_Cliente_Mes!$T$2:$T$433,Desconto_Cliente_Mes!$A$2:$A$433,H$106,Desconto_Cliente_Mes!$B$2:$B$433,$A106,Desconto_Cliente_Mes!$C$2:$C$433,"Proteina"))</f>
        <v>0</v>
      </c>
      <c r="I113" s="16" t="n">
        <f aca="false">$I$108*($I$110/100)*((IF(SUMIFS(Desconto_Cliente_Mes!$R$2:$R$433,Desconto_Cliente_Mes!$A$2:$A$433,I$106,Desconto_Cliente_Mes!$B$2:$B$433,$A106,Desconto_Cliente_Mes!$C$2:$C$433,"Proteina")="",SUMIFS(Desconto_Cliente_Mes!$Q$2:$Q$433,Desconto_Cliente_Mes!$A$2:$A$433,I$106,Desconto_Cliente_Mes!$B$2:$B$433,$A106,Desconto_Cliente_Mes!$C$2:$C$433,"Proteina"),SUMIFS(Desconto_Cliente_Mes!$R$2:$R$433,Desconto_Cliente_Mes!$A$2:$A$433,I$106,Desconto_Cliente_Mes!$B$2:$B$433,$A106,Desconto_Cliente_Mes!$C$2:$C$433,"Proteina")))-(SUMIFS(Desconto_Cliente_Mes!$Q$2:$Q$433,Desconto_Cliente_Mes!$A$2:$A$433,I$106,Desconto_Cliente_Mes!$B$2:$B$433,$A106,Desconto_Cliente_Mes!$C$2:$C$433,"Proteina")))*(SUMIFS(Desconto_Cliente_Mes!$T$2:$T$433,Desconto_Cliente_Mes!$A$2:$A$433,I$106,Desconto_Cliente_Mes!$B$2:$B$433,$A106,Desconto_Cliente_Mes!$C$2:$C$433,"Proteina"))</f>
        <v>0</v>
      </c>
      <c r="J113" s="16" t="n">
        <f aca="false">$J$108*($J$110/100)*((IF(SUMIFS(Desconto_Cliente_Mes!$R$2:$R$433,Desconto_Cliente_Mes!$A$2:$A$433,J$106,Desconto_Cliente_Mes!$B$2:$B$433,$A106,Desconto_Cliente_Mes!$C$2:$C$433,"Proteina")="",SUMIFS(Desconto_Cliente_Mes!$Q$2:$Q$433,Desconto_Cliente_Mes!$A$2:$A$433,J$106,Desconto_Cliente_Mes!$B$2:$B$433,$A106,Desconto_Cliente_Mes!$C$2:$C$433,"Proteina"),SUMIFS(Desconto_Cliente_Mes!$R$2:$R$433,Desconto_Cliente_Mes!$A$2:$A$433,J$106,Desconto_Cliente_Mes!$B$2:$B$433,$A106,Desconto_Cliente_Mes!$C$2:$C$433,"Proteina")))-(SUMIFS(Desconto_Cliente_Mes!$Q$2:$Q$433,Desconto_Cliente_Mes!$A$2:$A$433,J$106,Desconto_Cliente_Mes!$B$2:$B$433,$A106,Desconto_Cliente_Mes!$C$2:$C$433,"Proteina")))*(SUMIFS(Desconto_Cliente_Mes!$T$2:$T$433,Desconto_Cliente_Mes!$A$2:$A$433,J$106,Desconto_Cliente_Mes!$B$2:$B$433,$A106,Desconto_Cliente_Mes!$C$2:$C$433,"Proteina"))</f>
        <v>0</v>
      </c>
      <c r="K113" s="16" t="n">
        <f aca="false">$K$108*($K$110/100)*((IF(SUMIFS(Desconto_Cliente_Mes!$R$2:$R$433,Desconto_Cliente_Mes!$A$2:$A$433,K$106,Desconto_Cliente_Mes!$B$2:$B$433,$A106,Desconto_Cliente_Mes!$C$2:$C$433,"Proteina")="",SUMIFS(Desconto_Cliente_Mes!$Q$2:$Q$433,Desconto_Cliente_Mes!$A$2:$A$433,K$106,Desconto_Cliente_Mes!$B$2:$B$433,$A106,Desconto_Cliente_Mes!$C$2:$C$433,"Proteina"),SUMIFS(Desconto_Cliente_Mes!$R$2:$R$433,Desconto_Cliente_Mes!$A$2:$A$433,K$106,Desconto_Cliente_Mes!$B$2:$B$433,$A106,Desconto_Cliente_Mes!$C$2:$C$433,"Proteina")))-(SUMIFS(Desconto_Cliente_Mes!$Q$2:$Q$433,Desconto_Cliente_Mes!$A$2:$A$433,K$106,Desconto_Cliente_Mes!$B$2:$B$433,$A106,Desconto_Cliente_Mes!$C$2:$C$433,"Proteina")))*(SUMIFS(Desconto_Cliente_Mes!$T$2:$T$433,Desconto_Cliente_Mes!$A$2:$A$433,K$106,Desconto_Cliente_Mes!$B$2:$B$433,$A106,Desconto_Cliente_Mes!$C$2:$C$433,"Proteina"))</f>
        <v>0</v>
      </c>
      <c r="L113" s="16" t="n">
        <f aca="false">$L$108*($L$110/100)*((IF(SUMIFS(Desconto_Cliente_Mes!$R$2:$R$433,Desconto_Cliente_Mes!$A$2:$A$433,L$106,Desconto_Cliente_Mes!$B$2:$B$433,$A106,Desconto_Cliente_Mes!$C$2:$C$433,"Proteina")="",SUMIFS(Desconto_Cliente_Mes!$Q$2:$Q$433,Desconto_Cliente_Mes!$A$2:$A$433,L$106,Desconto_Cliente_Mes!$B$2:$B$433,$A106,Desconto_Cliente_Mes!$C$2:$C$433,"Proteina"),SUMIFS(Desconto_Cliente_Mes!$R$2:$R$433,Desconto_Cliente_Mes!$A$2:$A$433,L$106,Desconto_Cliente_Mes!$B$2:$B$433,$A106,Desconto_Cliente_Mes!$C$2:$C$433,"Proteina")))-(SUMIFS(Desconto_Cliente_Mes!$Q$2:$Q$433,Desconto_Cliente_Mes!$A$2:$A$433,L$106,Desconto_Cliente_Mes!$B$2:$B$433,$A106,Desconto_Cliente_Mes!$C$2:$C$433,"Proteina")))*(SUMIFS(Desconto_Cliente_Mes!$T$2:$T$433,Desconto_Cliente_Mes!$A$2:$A$433,L$106,Desconto_Cliente_Mes!$B$2:$B$433,$A106,Desconto_Cliente_Mes!$C$2:$C$433,"Proteina"))</f>
        <v>0</v>
      </c>
      <c r="M113" s="16" t="n">
        <f aca="false">$M$108*($M$110/100)*((IF(SUMIFS(Desconto_Cliente_Mes!$R$2:$R$433,Desconto_Cliente_Mes!$A$2:$A$433,M$106,Desconto_Cliente_Mes!$B$2:$B$433,$A106,Desconto_Cliente_Mes!$C$2:$C$433,"Proteina")="",SUMIFS(Desconto_Cliente_Mes!$Q$2:$Q$433,Desconto_Cliente_Mes!$A$2:$A$433,M$106,Desconto_Cliente_Mes!$B$2:$B$433,$A106,Desconto_Cliente_Mes!$C$2:$C$433,"Proteina"),SUMIFS(Desconto_Cliente_Mes!$R$2:$R$433,Desconto_Cliente_Mes!$A$2:$A$433,M$106,Desconto_Cliente_Mes!$B$2:$B$433,$A106,Desconto_Cliente_Mes!$C$2:$C$433,"Proteina")))-(SUMIFS(Desconto_Cliente_Mes!$Q$2:$Q$433,Desconto_Cliente_Mes!$A$2:$A$433,M$106,Desconto_Cliente_Mes!$B$2:$B$433,$A106,Desconto_Cliente_Mes!$C$2:$C$433,"Proteina")))*(SUMIFS(Desconto_Cliente_Mes!$T$2:$T$433,Desconto_Cliente_Mes!$A$2:$A$433,M$106,Desconto_Cliente_Mes!$B$2:$B$433,$A106,Desconto_Cliente_Mes!$C$2:$C$433,"Proteina"))</f>
        <v>0</v>
      </c>
      <c r="N113" s="17" t="n">
        <f aca="false">SUM(B113:M113)</f>
        <v>0</v>
      </c>
    </row>
    <row r="114" customFormat="false" ht="15" hidden="false" customHeight="false" outlineLevel="0" collapsed="false">
      <c r="A114" s="13" t="s">
        <v>81</v>
      </c>
      <c r="B114" s="16" t="n">
        <f aca="false">$B$108*($B$111/100)*((IF(SUMIFS(Desconto_Cliente_Mes!$S$2:$S$433,Desconto_Cliente_Mes!$A$2:$A$433,B$106,Desconto_Cliente_Mes!$B$2:$B$433,$A106,Desconto_Cliente_Mes!$C$2:$C$433,"Proteina")="",(IF(SUMIFS(Desconto_Cliente_Mes!$R$2:$R$433,Desconto_Cliente_Mes!$A$2:$A$433,B$106,Desconto_Cliente_Mes!$B$2:$B$433,$A106,Desconto_Cliente_Mes!$C$2:$C$433,"Proteina")="",SUMIFS(Desconto_Cliente_Mes!$Q$2:$Q$433,Desconto_Cliente_Mes!$A$2:$A$433,B$106,Desconto_Cliente_Mes!$B$2:$B$433,$A106,Desconto_Cliente_Mes!$C$2:$C$433,"Proteina"),SUMIFS(Desconto_Cliente_Mes!$R$2:$R$433,Desconto_Cliente_Mes!$A$2:$A$433,B$106,Desconto_Cliente_Mes!$B$2:$B$433,$A106,Desconto_Cliente_Mes!$C$2:$C$433,"Proteina"))),SUMIFS(Desconto_Cliente_Mes!$S$2:$S$433,Desconto_Cliente_Mes!$A$2:$A$433,B$106,Desconto_Cliente_Mes!$B$2:$B$433,$A106,Desconto_Cliente_Mes!$C$2:$C$433,"Proteina")))-(IF(SUMIFS(Desconto_Cliente_Mes!$R$2:$R$433,Desconto_Cliente_Mes!$A$2:$A$433,B$106,Desconto_Cliente_Mes!$B$2:$B$433,$A106,Desconto_Cliente_Mes!$C$2:$C$433,"Proteina")="",SUMIFS(Desconto_Cliente_Mes!$Q$2:$Q$433,Desconto_Cliente_Mes!$A$2:$A$433,B$106,Desconto_Cliente_Mes!$B$2:$B$433,$A106,Desconto_Cliente_Mes!$C$2:$C$433,"Proteina"),SUMIFS(Desconto_Cliente_Mes!$R$2:$R$433,Desconto_Cliente_Mes!$A$2:$A$433,B$106,Desconto_Cliente_Mes!$B$2:$B$433,$A106,Desconto_Cliente_Mes!$C$2:$C$433,"Proteina"))))*(SUMIFS(Desconto_Cliente_Mes!$T$2:$T$433,Desconto_Cliente_Mes!$A$2:$A$433,B$106,Desconto_Cliente_Mes!$B$2:$B$433,$A106,Desconto_Cliente_Mes!$C$2:$C$433,"Proteina"))</f>
        <v>-0</v>
      </c>
      <c r="C114" s="16" t="n">
        <f aca="false">$C$108*($C$111/100)*((IF(SUMIFS(Desconto_Cliente_Mes!$S$2:$S$433,Desconto_Cliente_Mes!$A$2:$A$433,C$106,Desconto_Cliente_Mes!$B$2:$B$433,$A106,Desconto_Cliente_Mes!$C$2:$C$433,"Proteina")="",(IF(SUMIFS(Desconto_Cliente_Mes!$R$2:$R$433,Desconto_Cliente_Mes!$A$2:$A$433,C$106,Desconto_Cliente_Mes!$B$2:$B$433,$A106,Desconto_Cliente_Mes!$C$2:$C$433,"Proteina")="",SUMIFS(Desconto_Cliente_Mes!$Q$2:$Q$433,Desconto_Cliente_Mes!$A$2:$A$433,C$106,Desconto_Cliente_Mes!$B$2:$B$433,$A106,Desconto_Cliente_Mes!$C$2:$C$433,"Proteina"),SUMIFS(Desconto_Cliente_Mes!$R$2:$R$433,Desconto_Cliente_Mes!$A$2:$A$433,C$106,Desconto_Cliente_Mes!$B$2:$B$433,$A106,Desconto_Cliente_Mes!$C$2:$C$433,"Proteina"))),SUMIFS(Desconto_Cliente_Mes!$S$2:$S$433,Desconto_Cliente_Mes!$A$2:$A$433,C$106,Desconto_Cliente_Mes!$B$2:$B$433,$A106,Desconto_Cliente_Mes!$C$2:$C$433,"Proteina")))-(IF(SUMIFS(Desconto_Cliente_Mes!$R$2:$R$433,Desconto_Cliente_Mes!$A$2:$A$433,C$106,Desconto_Cliente_Mes!$B$2:$B$433,$A106,Desconto_Cliente_Mes!$C$2:$C$433,"Proteina")="",SUMIFS(Desconto_Cliente_Mes!$Q$2:$Q$433,Desconto_Cliente_Mes!$A$2:$A$433,C$106,Desconto_Cliente_Mes!$B$2:$B$433,$A106,Desconto_Cliente_Mes!$C$2:$C$433,"Proteina"),SUMIFS(Desconto_Cliente_Mes!$R$2:$R$433,Desconto_Cliente_Mes!$A$2:$A$433,C$106,Desconto_Cliente_Mes!$B$2:$B$433,$A106,Desconto_Cliente_Mes!$C$2:$C$433,"Proteina"))))*(SUMIFS(Desconto_Cliente_Mes!$T$2:$T$433,Desconto_Cliente_Mes!$A$2:$A$433,C$106,Desconto_Cliente_Mes!$B$2:$B$433,$A106,Desconto_Cliente_Mes!$C$2:$C$433,"Proteina"))</f>
        <v>-0</v>
      </c>
      <c r="D114" s="16" t="n">
        <f aca="false">$D$108*($D$111/100)*((IF(SUMIFS(Desconto_Cliente_Mes!$S$2:$S$433,Desconto_Cliente_Mes!$A$2:$A$433,D$106,Desconto_Cliente_Mes!$B$2:$B$433,$A106,Desconto_Cliente_Mes!$C$2:$C$433,"Proteina")="",(IF(SUMIFS(Desconto_Cliente_Mes!$R$2:$R$433,Desconto_Cliente_Mes!$A$2:$A$433,D$106,Desconto_Cliente_Mes!$B$2:$B$433,$A106,Desconto_Cliente_Mes!$C$2:$C$433,"Proteina")="",SUMIFS(Desconto_Cliente_Mes!$Q$2:$Q$433,Desconto_Cliente_Mes!$A$2:$A$433,D$106,Desconto_Cliente_Mes!$B$2:$B$433,$A106,Desconto_Cliente_Mes!$C$2:$C$433,"Proteina"),SUMIFS(Desconto_Cliente_Mes!$R$2:$R$433,Desconto_Cliente_Mes!$A$2:$A$433,D$106,Desconto_Cliente_Mes!$B$2:$B$433,$A106,Desconto_Cliente_Mes!$C$2:$C$433,"Proteina"))),SUMIFS(Desconto_Cliente_Mes!$S$2:$S$433,Desconto_Cliente_Mes!$A$2:$A$433,D$106,Desconto_Cliente_Mes!$B$2:$B$433,$A106,Desconto_Cliente_Mes!$C$2:$C$433,"Proteina")))-(IF(SUMIFS(Desconto_Cliente_Mes!$R$2:$R$433,Desconto_Cliente_Mes!$A$2:$A$433,D$106,Desconto_Cliente_Mes!$B$2:$B$433,$A106,Desconto_Cliente_Mes!$C$2:$C$433,"Proteina")="",SUMIFS(Desconto_Cliente_Mes!$Q$2:$Q$433,Desconto_Cliente_Mes!$A$2:$A$433,D$106,Desconto_Cliente_Mes!$B$2:$B$433,$A106,Desconto_Cliente_Mes!$C$2:$C$433,"Proteina"),SUMIFS(Desconto_Cliente_Mes!$R$2:$R$433,Desconto_Cliente_Mes!$A$2:$A$433,D$106,Desconto_Cliente_Mes!$B$2:$B$433,$A106,Desconto_Cliente_Mes!$C$2:$C$433,"Proteina"))))*(SUMIFS(Desconto_Cliente_Mes!$T$2:$T$433,Desconto_Cliente_Mes!$A$2:$A$433,D$106,Desconto_Cliente_Mes!$B$2:$B$433,$A106,Desconto_Cliente_Mes!$C$2:$C$433,"Proteina"))</f>
        <v>-0</v>
      </c>
      <c r="E114" s="16" t="n">
        <f aca="false">$E$108*($E$111/100)*((IF(SUMIFS(Desconto_Cliente_Mes!$S$2:$S$433,Desconto_Cliente_Mes!$A$2:$A$433,E$106,Desconto_Cliente_Mes!$B$2:$B$433,$A106,Desconto_Cliente_Mes!$C$2:$C$433,"Proteina")="",(IF(SUMIFS(Desconto_Cliente_Mes!$R$2:$R$433,Desconto_Cliente_Mes!$A$2:$A$433,E$106,Desconto_Cliente_Mes!$B$2:$B$433,$A106,Desconto_Cliente_Mes!$C$2:$C$433,"Proteina")="",SUMIFS(Desconto_Cliente_Mes!$Q$2:$Q$433,Desconto_Cliente_Mes!$A$2:$A$433,E$106,Desconto_Cliente_Mes!$B$2:$B$433,$A106,Desconto_Cliente_Mes!$C$2:$C$433,"Proteina"),SUMIFS(Desconto_Cliente_Mes!$R$2:$R$433,Desconto_Cliente_Mes!$A$2:$A$433,E$106,Desconto_Cliente_Mes!$B$2:$B$433,$A106,Desconto_Cliente_Mes!$C$2:$C$433,"Proteina"))),SUMIFS(Desconto_Cliente_Mes!$S$2:$S$433,Desconto_Cliente_Mes!$A$2:$A$433,E$106,Desconto_Cliente_Mes!$B$2:$B$433,$A106,Desconto_Cliente_Mes!$C$2:$C$433,"Proteina")))-(IF(SUMIFS(Desconto_Cliente_Mes!$R$2:$R$433,Desconto_Cliente_Mes!$A$2:$A$433,E$106,Desconto_Cliente_Mes!$B$2:$B$433,$A106,Desconto_Cliente_Mes!$C$2:$C$433,"Proteina")="",SUMIFS(Desconto_Cliente_Mes!$Q$2:$Q$433,Desconto_Cliente_Mes!$A$2:$A$433,E$106,Desconto_Cliente_Mes!$B$2:$B$433,$A106,Desconto_Cliente_Mes!$C$2:$C$433,"Proteina"),SUMIFS(Desconto_Cliente_Mes!$R$2:$R$433,Desconto_Cliente_Mes!$A$2:$A$433,E$106,Desconto_Cliente_Mes!$B$2:$B$433,$A106,Desconto_Cliente_Mes!$C$2:$C$433,"Proteina"))))*(SUMIFS(Desconto_Cliente_Mes!$T$2:$T$433,Desconto_Cliente_Mes!$A$2:$A$433,E$106,Desconto_Cliente_Mes!$B$2:$B$433,$A106,Desconto_Cliente_Mes!$C$2:$C$433,"Proteina"))</f>
        <v>-0</v>
      </c>
      <c r="F114" s="16" t="n">
        <f aca="false">$F$108*($F$111/100)*((IF(SUMIFS(Desconto_Cliente_Mes!$S$2:$S$433,Desconto_Cliente_Mes!$A$2:$A$433,F$106,Desconto_Cliente_Mes!$B$2:$B$433,$A106,Desconto_Cliente_Mes!$C$2:$C$433,"Proteina")="",(IF(SUMIFS(Desconto_Cliente_Mes!$R$2:$R$433,Desconto_Cliente_Mes!$A$2:$A$433,F$106,Desconto_Cliente_Mes!$B$2:$B$433,$A106,Desconto_Cliente_Mes!$C$2:$C$433,"Proteina")="",SUMIFS(Desconto_Cliente_Mes!$Q$2:$Q$433,Desconto_Cliente_Mes!$A$2:$A$433,F$106,Desconto_Cliente_Mes!$B$2:$B$433,$A106,Desconto_Cliente_Mes!$C$2:$C$433,"Proteina"),SUMIFS(Desconto_Cliente_Mes!$R$2:$R$433,Desconto_Cliente_Mes!$A$2:$A$433,F$106,Desconto_Cliente_Mes!$B$2:$B$433,$A106,Desconto_Cliente_Mes!$C$2:$C$433,"Proteina"))),SUMIFS(Desconto_Cliente_Mes!$S$2:$S$433,Desconto_Cliente_Mes!$A$2:$A$433,F$106,Desconto_Cliente_Mes!$B$2:$B$433,$A106,Desconto_Cliente_Mes!$C$2:$C$433,"Proteina")))-(IF(SUMIFS(Desconto_Cliente_Mes!$R$2:$R$433,Desconto_Cliente_Mes!$A$2:$A$433,F$106,Desconto_Cliente_Mes!$B$2:$B$433,$A106,Desconto_Cliente_Mes!$C$2:$C$433,"Proteina")="",SUMIFS(Desconto_Cliente_Mes!$Q$2:$Q$433,Desconto_Cliente_Mes!$A$2:$A$433,F$106,Desconto_Cliente_Mes!$B$2:$B$433,$A106,Desconto_Cliente_Mes!$C$2:$C$433,"Proteina"),SUMIFS(Desconto_Cliente_Mes!$R$2:$R$433,Desconto_Cliente_Mes!$A$2:$A$433,F$106,Desconto_Cliente_Mes!$B$2:$B$433,$A106,Desconto_Cliente_Mes!$C$2:$C$433,"Proteina"))))*(SUMIFS(Desconto_Cliente_Mes!$T$2:$T$433,Desconto_Cliente_Mes!$A$2:$A$433,F$106,Desconto_Cliente_Mes!$B$2:$B$433,$A106,Desconto_Cliente_Mes!$C$2:$C$433,"Proteina"))</f>
        <v>-0</v>
      </c>
      <c r="G114" s="16" t="n">
        <f aca="false">$G$108*($G$111/100)*((IF(SUMIFS(Desconto_Cliente_Mes!$S$2:$S$433,Desconto_Cliente_Mes!$A$2:$A$433,G$106,Desconto_Cliente_Mes!$B$2:$B$433,$A106,Desconto_Cliente_Mes!$C$2:$C$433,"Proteina")="",(IF(SUMIFS(Desconto_Cliente_Mes!$R$2:$R$433,Desconto_Cliente_Mes!$A$2:$A$433,G$106,Desconto_Cliente_Mes!$B$2:$B$433,$A106,Desconto_Cliente_Mes!$C$2:$C$433,"Proteina")="",SUMIFS(Desconto_Cliente_Mes!$Q$2:$Q$433,Desconto_Cliente_Mes!$A$2:$A$433,G$106,Desconto_Cliente_Mes!$B$2:$B$433,$A106,Desconto_Cliente_Mes!$C$2:$C$433,"Proteina"),SUMIFS(Desconto_Cliente_Mes!$R$2:$R$433,Desconto_Cliente_Mes!$A$2:$A$433,G$106,Desconto_Cliente_Mes!$B$2:$B$433,$A106,Desconto_Cliente_Mes!$C$2:$C$433,"Proteina"))),SUMIFS(Desconto_Cliente_Mes!$S$2:$S$433,Desconto_Cliente_Mes!$A$2:$A$433,G$106,Desconto_Cliente_Mes!$B$2:$B$433,$A106,Desconto_Cliente_Mes!$C$2:$C$433,"Proteina")))-(IF(SUMIFS(Desconto_Cliente_Mes!$R$2:$R$433,Desconto_Cliente_Mes!$A$2:$A$433,G$106,Desconto_Cliente_Mes!$B$2:$B$433,$A106,Desconto_Cliente_Mes!$C$2:$C$433,"Proteina")="",SUMIFS(Desconto_Cliente_Mes!$Q$2:$Q$433,Desconto_Cliente_Mes!$A$2:$A$433,G$106,Desconto_Cliente_Mes!$B$2:$B$433,$A106,Desconto_Cliente_Mes!$C$2:$C$433,"Proteina"),SUMIFS(Desconto_Cliente_Mes!$R$2:$R$433,Desconto_Cliente_Mes!$A$2:$A$433,G$106,Desconto_Cliente_Mes!$B$2:$B$433,$A106,Desconto_Cliente_Mes!$C$2:$C$433,"Proteina"))))*(SUMIFS(Desconto_Cliente_Mes!$T$2:$T$433,Desconto_Cliente_Mes!$A$2:$A$433,G$106,Desconto_Cliente_Mes!$B$2:$B$433,$A106,Desconto_Cliente_Mes!$C$2:$C$433,"Proteina"))</f>
        <v>-0</v>
      </c>
      <c r="H114" s="16" t="n">
        <f aca="false">$H$108*($H$111/100)*((IF(SUMIFS(Desconto_Cliente_Mes!$S$2:$S$433,Desconto_Cliente_Mes!$A$2:$A$433,H$106,Desconto_Cliente_Mes!$B$2:$B$433,$A106,Desconto_Cliente_Mes!$C$2:$C$433,"Proteina")="",(IF(SUMIFS(Desconto_Cliente_Mes!$R$2:$R$433,Desconto_Cliente_Mes!$A$2:$A$433,H$106,Desconto_Cliente_Mes!$B$2:$B$433,$A106,Desconto_Cliente_Mes!$C$2:$C$433,"Proteina")="",SUMIFS(Desconto_Cliente_Mes!$Q$2:$Q$433,Desconto_Cliente_Mes!$A$2:$A$433,H$106,Desconto_Cliente_Mes!$B$2:$B$433,$A106,Desconto_Cliente_Mes!$C$2:$C$433,"Proteina"),SUMIFS(Desconto_Cliente_Mes!$R$2:$R$433,Desconto_Cliente_Mes!$A$2:$A$433,H$106,Desconto_Cliente_Mes!$B$2:$B$433,$A106,Desconto_Cliente_Mes!$C$2:$C$433,"Proteina"))),SUMIFS(Desconto_Cliente_Mes!$S$2:$S$433,Desconto_Cliente_Mes!$A$2:$A$433,H$106,Desconto_Cliente_Mes!$B$2:$B$433,$A106,Desconto_Cliente_Mes!$C$2:$C$433,"Proteina")))-(IF(SUMIFS(Desconto_Cliente_Mes!$R$2:$R$433,Desconto_Cliente_Mes!$A$2:$A$433,H$106,Desconto_Cliente_Mes!$B$2:$B$433,$A106,Desconto_Cliente_Mes!$C$2:$C$433,"Proteina")="",SUMIFS(Desconto_Cliente_Mes!$Q$2:$Q$433,Desconto_Cliente_Mes!$A$2:$A$433,H$106,Desconto_Cliente_Mes!$B$2:$B$433,$A106,Desconto_Cliente_Mes!$C$2:$C$433,"Proteina"),SUMIFS(Desconto_Cliente_Mes!$R$2:$R$433,Desconto_Cliente_Mes!$A$2:$A$433,H$106,Desconto_Cliente_Mes!$B$2:$B$433,$A106,Desconto_Cliente_Mes!$C$2:$C$433,"Proteina"))))*(SUMIFS(Desconto_Cliente_Mes!$T$2:$T$433,Desconto_Cliente_Mes!$A$2:$A$433,H$106,Desconto_Cliente_Mes!$B$2:$B$433,$A106,Desconto_Cliente_Mes!$C$2:$C$433,"Proteina"))</f>
        <v>-0</v>
      </c>
      <c r="I114" s="16" t="n">
        <f aca="false">$I$108*($I$111/100)*((IF(SUMIFS(Desconto_Cliente_Mes!$S$2:$S$433,Desconto_Cliente_Mes!$A$2:$A$433,I$106,Desconto_Cliente_Mes!$B$2:$B$433,$A106,Desconto_Cliente_Mes!$C$2:$C$433,"Proteina")="",(IF(SUMIFS(Desconto_Cliente_Mes!$R$2:$R$433,Desconto_Cliente_Mes!$A$2:$A$433,I$106,Desconto_Cliente_Mes!$B$2:$B$433,$A106,Desconto_Cliente_Mes!$C$2:$C$433,"Proteina")="",SUMIFS(Desconto_Cliente_Mes!$Q$2:$Q$433,Desconto_Cliente_Mes!$A$2:$A$433,I$106,Desconto_Cliente_Mes!$B$2:$B$433,$A106,Desconto_Cliente_Mes!$C$2:$C$433,"Proteina"),SUMIFS(Desconto_Cliente_Mes!$R$2:$R$433,Desconto_Cliente_Mes!$A$2:$A$433,I$106,Desconto_Cliente_Mes!$B$2:$B$433,$A106,Desconto_Cliente_Mes!$C$2:$C$433,"Proteina"))),SUMIFS(Desconto_Cliente_Mes!$S$2:$S$433,Desconto_Cliente_Mes!$A$2:$A$433,I$106,Desconto_Cliente_Mes!$B$2:$B$433,$A106,Desconto_Cliente_Mes!$C$2:$C$433,"Proteina")))-(IF(SUMIFS(Desconto_Cliente_Mes!$R$2:$R$433,Desconto_Cliente_Mes!$A$2:$A$433,I$106,Desconto_Cliente_Mes!$B$2:$B$433,$A106,Desconto_Cliente_Mes!$C$2:$C$433,"Proteina")="",SUMIFS(Desconto_Cliente_Mes!$Q$2:$Q$433,Desconto_Cliente_Mes!$A$2:$A$433,I$106,Desconto_Cliente_Mes!$B$2:$B$433,$A106,Desconto_Cliente_Mes!$C$2:$C$433,"Proteina"),SUMIFS(Desconto_Cliente_Mes!$R$2:$R$433,Desconto_Cliente_Mes!$A$2:$A$433,I$106,Desconto_Cliente_Mes!$B$2:$B$433,$A106,Desconto_Cliente_Mes!$C$2:$C$433,"Proteina"))))*(SUMIFS(Desconto_Cliente_Mes!$T$2:$T$433,Desconto_Cliente_Mes!$A$2:$A$433,I$106,Desconto_Cliente_Mes!$B$2:$B$433,$A106,Desconto_Cliente_Mes!$C$2:$C$433,"Proteina"))</f>
        <v>-0</v>
      </c>
      <c r="J114" s="16" t="n">
        <f aca="false">$J$108*($J$111/100)*((IF(SUMIFS(Desconto_Cliente_Mes!$S$2:$S$433,Desconto_Cliente_Mes!$A$2:$A$433,J$106,Desconto_Cliente_Mes!$B$2:$B$433,$A106,Desconto_Cliente_Mes!$C$2:$C$433,"Proteina")="",(IF(SUMIFS(Desconto_Cliente_Mes!$R$2:$R$433,Desconto_Cliente_Mes!$A$2:$A$433,J$106,Desconto_Cliente_Mes!$B$2:$B$433,$A106,Desconto_Cliente_Mes!$C$2:$C$433,"Proteina")="",SUMIFS(Desconto_Cliente_Mes!$Q$2:$Q$433,Desconto_Cliente_Mes!$A$2:$A$433,J$106,Desconto_Cliente_Mes!$B$2:$B$433,$A106,Desconto_Cliente_Mes!$C$2:$C$433,"Proteina"),SUMIFS(Desconto_Cliente_Mes!$R$2:$R$433,Desconto_Cliente_Mes!$A$2:$A$433,J$106,Desconto_Cliente_Mes!$B$2:$B$433,$A106,Desconto_Cliente_Mes!$C$2:$C$433,"Proteina"))),SUMIFS(Desconto_Cliente_Mes!$S$2:$S$433,Desconto_Cliente_Mes!$A$2:$A$433,J$106,Desconto_Cliente_Mes!$B$2:$B$433,$A106,Desconto_Cliente_Mes!$C$2:$C$433,"Proteina")))-(IF(SUMIFS(Desconto_Cliente_Mes!$R$2:$R$433,Desconto_Cliente_Mes!$A$2:$A$433,J$106,Desconto_Cliente_Mes!$B$2:$B$433,$A106,Desconto_Cliente_Mes!$C$2:$C$433,"Proteina")="",SUMIFS(Desconto_Cliente_Mes!$Q$2:$Q$433,Desconto_Cliente_Mes!$A$2:$A$433,J$106,Desconto_Cliente_Mes!$B$2:$B$433,$A106,Desconto_Cliente_Mes!$C$2:$C$433,"Proteina"),SUMIFS(Desconto_Cliente_Mes!$R$2:$R$433,Desconto_Cliente_Mes!$A$2:$A$433,J$106,Desconto_Cliente_Mes!$B$2:$B$433,$A106,Desconto_Cliente_Mes!$C$2:$C$433,"Proteina"))))*(SUMIFS(Desconto_Cliente_Mes!$T$2:$T$433,Desconto_Cliente_Mes!$A$2:$A$433,J$106,Desconto_Cliente_Mes!$B$2:$B$433,$A106,Desconto_Cliente_Mes!$C$2:$C$433,"Proteina"))</f>
        <v>-0</v>
      </c>
      <c r="K114" s="16" t="n">
        <f aca="false">$K$108*($K$111/100)*((IF(SUMIFS(Desconto_Cliente_Mes!$S$2:$S$433,Desconto_Cliente_Mes!$A$2:$A$433,K$106,Desconto_Cliente_Mes!$B$2:$B$433,$A106,Desconto_Cliente_Mes!$C$2:$C$433,"Proteina")="",(IF(SUMIFS(Desconto_Cliente_Mes!$R$2:$R$433,Desconto_Cliente_Mes!$A$2:$A$433,K$106,Desconto_Cliente_Mes!$B$2:$B$433,$A106,Desconto_Cliente_Mes!$C$2:$C$433,"Proteina")="",SUMIFS(Desconto_Cliente_Mes!$Q$2:$Q$433,Desconto_Cliente_Mes!$A$2:$A$433,K$106,Desconto_Cliente_Mes!$B$2:$B$433,$A106,Desconto_Cliente_Mes!$C$2:$C$433,"Proteina"),SUMIFS(Desconto_Cliente_Mes!$R$2:$R$433,Desconto_Cliente_Mes!$A$2:$A$433,K$106,Desconto_Cliente_Mes!$B$2:$B$433,$A106,Desconto_Cliente_Mes!$C$2:$C$433,"Proteina"))),SUMIFS(Desconto_Cliente_Mes!$S$2:$S$433,Desconto_Cliente_Mes!$A$2:$A$433,K$106,Desconto_Cliente_Mes!$B$2:$B$433,$A106,Desconto_Cliente_Mes!$C$2:$C$433,"Proteina")))-(IF(SUMIFS(Desconto_Cliente_Mes!$R$2:$R$433,Desconto_Cliente_Mes!$A$2:$A$433,K$106,Desconto_Cliente_Mes!$B$2:$B$433,$A106,Desconto_Cliente_Mes!$C$2:$C$433,"Proteina")="",SUMIFS(Desconto_Cliente_Mes!$Q$2:$Q$433,Desconto_Cliente_Mes!$A$2:$A$433,K$106,Desconto_Cliente_Mes!$B$2:$B$433,$A106,Desconto_Cliente_Mes!$C$2:$C$433,"Proteina"),SUMIFS(Desconto_Cliente_Mes!$R$2:$R$433,Desconto_Cliente_Mes!$A$2:$A$433,K$106,Desconto_Cliente_Mes!$B$2:$B$433,$A106,Desconto_Cliente_Mes!$C$2:$C$433,"Proteina"))))*(SUMIFS(Desconto_Cliente_Mes!$T$2:$T$433,Desconto_Cliente_Mes!$A$2:$A$433,K$106,Desconto_Cliente_Mes!$B$2:$B$433,$A106,Desconto_Cliente_Mes!$C$2:$C$433,"Proteina"))</f>
        <v>-0</v>
      </c>
      <c r="L114" s="16" t="n">
        <f aca="false">$L$108*($L$111/100)*((IF(SUMIFS(Desconto_Cliente_Mes!$S$2:$S$433,Desconto_Cliente_Mes!$A$2:$A$433,L$106,Desconto_Cliente_Mes!$B$2:$B$433,$A106,Desconto_Cliente_Mes!$C$2:$C$433,"Proteina")="",(IF(SUMIFS(Desconto_Cliente_Mes!$R$2:$R$433,Desconto_Cliente_Mes!$A$2:$A$433,L$106,Desconto_Cliente_Mes!$B$2:$B$433,$A106,Desconto_Cliente_Mes!$C$2:$C$433,"Proteina")="",SUMIFS(Desconto_Cliente_Mes!$Q$2:$Q$433,Desconto_Cliente_Mes!$A$2:$A$433,L$106,Desconto_Cliente_Mes!$B$2:$B$433,$A106,Desconto_Cliente_Mes!$C$2:$C$433,"Proteina"),SUMIFS(Desconto_Cliente_Mes!$R$2:$R$433,Desconto_Cliente_Mes!$A$2:$A$433,L$106,Desconto_Cliente_Mes!$B$2:$B$433,$A106,Desconto_Cliente_Mes!$C$2:$C$433,"Proteina"))),SUMIFS(Desconto_Cliente_Mes!$S$2:$S$433,Desconto_Cliente_Mes!$A$2:$A$433,L$106,Desconto_Cliente_Mes!$B$2:$B$433,$A106,Desconto_Cliente_Mes!$C$2:$C$433,"Proteina")))-(IF(SUMIFS(Desconto_Cliente_Mes!$R$2:$R$433,Desconto_Cliente_Mes!$A$2:$A$433,L$106,Desconto_Cliente_Mes!$B$2:$B$433,$A106,Desconto_Cliente_Mes!$C$2:$C$433,"Proteina")="",SUMIFS(Desconto_Cliente_Mes!$Q$2:$Q$433,Desconto_Cliente_Mes!$A$2:$A$433,L$106,Desconto_Cliente_Mes!$B$2:$B$433,$A106,Desconto_Cliente_Mes!$C$2:$C$433,"Proteina"),SUMIFS(Desconto_Cliente_Mes!$R$2:$R$433,Desconto_Cliente_Mes!$A$2:$A$433,L$106,Desconto_Cliente_Mes!$B$2:$B$433,$A106,Desconto_Cliente_Mes!$C$2:$C$433,"Proteina"))))*(SUMIFS(Desconto_Cliente_Mes!$T$2:$T$433,Desconto_Cliente_Mes!$A$2:$A$433,L$106,Desconto_Cliente_Mes!$B$2:$B$433,$A106,Desconto_Cliente_Mes!$C$2:$C$433,"Proteina"))</f>
        <v>-0</v>
      </c>
      <c r="M114" s="16" t="n">
        <f aca="false">$M$108*($M$111/100)*((IF(SUMIFS(Desconto_Cliente_Mes!$S$2:$S$433,Desconto_Cliente_Mes!$A$2:$A$433,M$106,Desconto_Cliente_Mes!$B$2:$B$433,$A106,Desconto_Cliente_Mes!$C$2:$C$433,"Proteina")="",(IF(SUMIFS(Desconto_Cliente_Mes!$R$2:$R$433,Desconto_Cliente_Mes!$A$2:$A$433,M$106,Desconto_Cliente_Mes!$B$2:$B$433,$A106,Desconto_Cliente_Mes!$C$2:$C$433,"Proteina")="",SUMIFS(Desconto_Cliente_Mes!$Q$2:$Q$433,Desconto_Cliente_Mes!$A$2:$A$433,M$106,Desconto_Cliente_Mes!$B$2:$B$433,$A106,Desconto_Cliente_Mes!$C$2:$C$433,"Proteina"),SUMIFS(Desconto_Cliente_Mes!$R$2:$R$433,Desconto_Cliente_Mes!$A$2:$A$433,M$106,Desconto_Cliente_Mes!$B$2:$B$433,$A106,Desconto_Cliente_Mes!$C$2:$C$433,"Proteina"))),SUMIFS(Desconto_Cliente_Mes!$S$2:$S$433,Desconto_Cliente_Mes!$A$2:$A$433,M$106,Desconto_Cliente_Mes!$B$2:$B$433,$A106,Desconto_Cliente_Mes!$C$2:$C$433,"Proteina")))-(IF(SUMIFS(Desconto_Cliente_Mes!$R$2:$R$433,Desconto_Cliente_Mes!$A$2:$A$433,M$106,Desconto_Cliente_Mes!$B$2:$B$433,$A106,Desconto_Cliente_Mes!$C$2:$C$433,"Proteina")="",SUMIFS(Desconto_Cliente_Mes!$Q$2:$Q$433,Desconto_Cliente_Mes!$A$2:$A$433,M$106,Desconto_Cliente_Mes!$B$2:$B$433,$A106,Desconto_Cliente_Mes!$C$2:$C$433,"Proteina"),SUMIFS(Desconto_Cliente_Mes!$R$2:$R$433,Desconto_Cliente_Mes!$A$2:$A$433,M$106,Desconto_Cliente_Mes!$B$2:$B$433,$A106,Desconto_Cliente_Mes!$C$2:$C$433,"Proteina"))))*(SUMIFS(Desconto_Cliente_Mes!$T$2:$T$433,Desconto_Cliente_Mes!$A$2:$A$433,M$106,Desconto_Cliente_Mes!$B$2:$B$433,$A106,Desconto_Cliente_Mes!$C$2:$C$433,"Proteina"))</f>
        <v>-0</v>
      </c>
      <c r="N114" s="17" t="n">
        <f aca="false">SUM(B114:M114)</f>
        <v>0</v>
      </c>
    </row>
    <row r="115" customFormat="false" ht="15" hidden="false" customHeight="false" outlineLevel="0" collapsed="false">
      <c r="A115" s="13" t="s">
        <v>82</v>
      </c>
      <c r="B115" s="16" t="n">
        <f aca="false">SUMIFS(Acerto_Detalhado!$J$2:$J$433,Acerto_Detalhado!$A$2:$A$433,B$106,Acerto_Detalhado!$B$2:$B$433,$A106,Acerto_Detalhado!$C$2:$C$433,"Proteina")</f>
        <v>0</v>
      </c>
      <c r="C115" s="16" t="n">
        <f aca="false">SUMIFS(Acerto_Detalhado!$J$2:$J$433,Acerto_Detalhado!$A$2:$A$433,C$106,Acerto_Detalhado!$B$2:$B$433,$A106,Acerto_Detalhado!$C$2:$C$433,"Proteina")</f>
        <v>0</v>
      </c>
      <c r="D115" s="16" t="n">
        <f aca="false">SUMIFS(Acerto_Detalhado!$J$2:$J$433,Acerto_Detalhado!$A$2:$A$433,D$106,Acerto_Detalhado!$B$2:$B$433,$A106,Acerto_Detalhado!$C$2:$C$433,"Proteina")</f>
        <v>0</v>
      </c>
      <c r="E115" s="16" t="n">
        <f aca="false">SUMIFS(Acerto_Detalhado!$J$2:$J$433,Acerto_Detalhado!$A$2:$A$433,E$106,Acerto_Detalhado!$B$2:$B$433,$A106,Acerto_Detalhado!$C$2:$C$433,"Proteina")</f>
        <v>0</v>
      </c>
      <c r="F115" s="16" t="n">
        <f aca="false">SUMIFS(Acerto_Detalhado!$J$2:$J$433,Acerto_Detalhado!$A$2:$A$433,F$106,Acerto_Detalhado!$B$2:$B$433,$A106,Acerto_Detalhado!$C$2:$C$433,"Proteina")</f>
        <v>0</v>
      </c>
      <c r="G115" s="16" t="n">
        <f aca="false">SUMIFS(Acerto_Detalhado!$J$2:$J$433,Acerto_Detalhado!$A$2:$A$433,G$106,Acerto_Detalhado!$B$2:$B$433,$A106,Acerto_Detalhado!$C$2:$C$433,"Proteina")</f>
        <v>0</v>
      </c>
      <c r="H115" s="16" t="n">
        <f aca="false">SUMIFS(Acerto_Detalhado!$J$2:$J$433,Acerto_Detalhado!$A$2:$A$433,H$106,Acerto_Detalhado!$B$2:$B$433,$A106,Acerto_Detalhado!$C$2:$C$433,"Proteina")</f>
        <v>0</v>
      </c>
      <c r="I115" s="16" t="n">
        <f aca="false">SUMIFS(Acerto_Detalhado!$J$2:$J$433,Acerto_Detalhado!$A$2:$A$433,I$106,Acerto_Detalhado!$B$2:$B$433,$A106,Acerto_Detalhado!$C$2:$C$433,"Proteina")</f>
        <v>0</v>
      </c>
      <c r="J115" s="16" t="n">
        <f aca="false">SUMIFS(Acerto_Detalhado!$J$2:$J$433,Acerto_Detalhado!$A$2:$A$433,J$106,Acerto_Detalhado!$B$2:$B$433,$A106,Acerto_Detalhado!$C$2:$C$433,"Proteina")</f>
        <v>0</v>
      </c>
      <c r="K115" s="16" t="n">
        <f aca="false">SUMIFS(Acerto_Detalhado!$J$2:$J$433,Acerto_Detalhado!$A$2:$A$433,K$106,Acerto_Detalhado!$B$2:$B$433,$A106,Acerto_Detalhado!$C$2:$C$433,"Proteina")</f>
        <v>0</v>
      </c>
      <c r="L115" s="16" t="n">
        <f aca="false">SUMIFS(Acerto_Detalhado!$J$2:$J$433,Acerto_Detalhado!$A$2:$A$433,L$106,Acerto_Detalhado!$B$2:$B$433,$A106,Acerto_Detalhado!$C$2:$C$433,"Proteina")</f>
        <v>0</v>
      </c>
      <c r="M115" s="16" t="n">
        <f aca="false">SUMIFS(Acerto_Detalhado!$J$2:$J$433,Acerto_Detalhado!$A$2:$A$433,M$106,Acerto_Detalhado!$B$2:$B$433,$A106,Acerto_Detalhado!$C$2:$C$433,"Proteina")</f>
        <v>0</v>
      </c>
      <c r="N115" s="17" t="n">
        <f aca="false">SUM(B115:M115)</f>
        <v>0</v>
      </c>
    </row>
    <row r="117" customFormat="false" ht="15" hidden="false" customHeight="false" outlineLevel="0" collapsed="false">
      <c r="A117" s="5" t="s">
        <v>68</v>
      </c>
      <c r="B117" s="6" t="s">
        <v>39</v>
      </c>
      <c r="C117" s="6" t="s">
        <v>40</v>
      </c>
      <c r="D117" s="6" t="s">
        <v>41</v>
      </c>
      <c r="E117" s="6" t="s">
        <v>42</v>
      </c>
      <c r="F117" s="6" t="s">
        <v>43</v>
      </c>
      <c r="G117" s="6" t="s">
        <v>44</v>
      </c>
      <c r="H117" s="6" t="s">
        <v>45</v>
      </c>
      <c r="I117" s="6" t="s">
        <v>46</v>
      </c>
      <c r="J117" s="6" t="s">
        <v>47</v>
      </c>
      <c r="K117" s="6" t="s">
        <v>48</v>
      </c>
      <c r="L117" s="6" t="s">
        <v>49</v>
      </c>
      <c r="M117" s="6" t="s">
        <v>50</v>
      </c>
      <c r="N117" s="6" t="s">
        <v>51</v>
      </c>
    </row>
    <row r="118" customFormat="false" ht="15" hidden="false" customHeight="false" outlineLevel="0" collapsed="false">
      <c r="A118" s="13" t="s">
        <v>74</v>
      </c>
      <c r="B118" s="10" t="str">
        <f aca="false">IF((SUMIFS(Desconto_Cliente_Mes!$D$2:$D$433,Desconto_Cliente_Mes!$A$2:$A$433,B$117,Desconto_Cliente_Mes!$B$2:$B$433,$A117,Desconto_Cliente_Mes!$C$2:$C$433,"Proteina"))=0,"",IFERROR(SUMIFS(Desconto_Cliente_Mes!$E$2:$E$433,Desconto_Cliente_Mes!$A$2:$A$433,B$117,Desconto_Cliente_Mes!$B$2:$B$433,$A117,Desconto_Cliente_Mes!$C$2:$C$433,"Proteina"),""))</f>
        <v/>
      </c>
      <c r="C118" s="10" t="str">
        <f aca="false">IF((SUMIFS(Desconto_Cliente_Mes!$D$2:$D$433,Desconto_Cliente_Mes!$A$2:$A$433,C$117,Desconto_Cliente_Mes!$B$2:$B$433,$A117,Desconto_Cliente_Mes!$C$2:$C$433,"Proteina"))=0,"",IFERROR(SUMIFS(Desconto_Cliente_Mes!$E$2:$E$433,Desconto_Cliente_Mes!$A$2:$A$433,C$117,Desconto_Cliente_Mes!$B$2:$B$433,$A117,Desconto_Cliente_Mes!$C$2:$C$433,"Proteina"),""))</f>
        <v/>
      </c>
      <c r="D118" s="10" t="str">
        <f aca="false">IF((SUMIFS(Desconto_Cliente_Mes!$D$2:$D$433,Desconto_Cliente_Mes!$A$2:$A$433,D$117,Desconto_Cliente_Mes!$B$2:$B$433,$A117,Desconto_Cliente_Mes!$C$2:$C$433,"Proteina"))=0,"",IFERROR(SUMIFS(Desconto_Cliente_Mes!$E$2:$E$433,Desconto_Cliente_Mes!$A$2:$A$433,D$117,Desconto_Cliente_Mes!$B$2:$B$433,$A117,Desconto_Cliente_Mes!$C$2:$C$433,"Proteina"),""))</f>
        <v/>
      </c>
      <c r="E118" s="10" t="str">
        <f aca="false">IF((SUMIFS(Desconto_Cliente_Mes!$D$2:$D$433,Desconto_Cliente_Mes!$A$2:$A$433,E$117,Desconto_Cliente_Mes!$B$2:$B$433,$A117,Desconto_Cliente_Mes!$C$2:$C$433,"Proteina"))=0,"",IFERROR(SUMIFS(Desconto_Cliente_Mes!$E$2:$E$433,Desconto_Cliente_Mes!$A$2:$A$433,E$117,Desconto_Cliente_Mes!$B$2:$B$433,$A117,Desconto_Cliente_Mes!$C$2:$C$433,"Proteina"),""))</f>
        <v/>
      </c>
      <c r="F118" s="10" t="str">
        <f aca="false">IF((SUMIFS(Desconto_Cliente_Mes!$D$2:$D$433,Desconto_Cliente_Mes!$A$2:$A$433,F$117,Desconto_Cliente_Mes!$B$2:$B$433,$A117,Desconto_Cliente_Mes!$C$2:$C$433,"Proteina"))=0,"",IFERROR(SUMIFS(Desconto_Cliente_Mes!$E$2:$E$433,Desconto_Cliente_Mes!$A$2:$A$433,F$117,Desconto_Cliente_Mes!$B$2:$B$433,$A117,Desconto_Cliente_Mes!$C$2:$C$433,"Proteina"),""))</f>
        <v/>
      </c>
      <c r="G118" s="10" t="str">
        <f aca="false">IF((SUMIFS(Desconto_Cliente_Mes!$D$2:$D$433,Desconto_Cliente_Mes!$A$2:$A$433,G$117,Desconto_Cliente_Mes!$B$2:$B$433,$A117,Desconto_Cliente_Mes!$C$2:$C$433,"Proteina"))=0,"",IFERROR(SUMIFS(Desconto_Cliente_Mes!$E$2:$E$433,Desconto_Cliente_Mes!$A$2:$A$433,G$117,Desconto_Cliente_Mes!$B$2:$B$433,$A117,Desconto_Cliente_Mes!$C$2:$C$433,"Proteina"),""))</f>
        <v/>
      </c>
      <c r="H118" s="10" t="str">
        <f aca="false">IF((SUMIFS(Desconto_Cliente_Mes!$D$2:$D$433,Desconto_Cliente_Mes!$A$2:$A$433,H$117,Desconto_Cliente_Mes!$B$2:$B$433,$A117,Desconto_Cliente_Mes!$C$2:$C$433,"Proteina"))=0,"",IFERROR(SUMIFS(Desconto_Cliente_Mes!$E$2:$E$433,Desconto_Cliente_Mes!$A$2:$A$433,H$117,Desconto_Cliente_Mes!$B$2:$B$433,$A117,Desconto_Cliente_Mes!$C$2:$C$433,"Proteina"),""))</f>
        <v/>
      </c>
      <c r="I118" s="10" t="str">
        <f aca="false">IF((SUMIFS(Desconto_Cliente_Mes!$D$2:$D$433,Desconto_Cliente_Mes!$A$2:$A$433,I$117,Desconto_Cliente_Mes!$B$2:$B$433,$A117,Desconto_Cliente_Mes!$C$2:$C$433,"Proteina"))=0,"",IFERROR(SUMIFS(Desconto_Cliente_Mes!$E$2:$E$433,Desconto_Cliente_Mes!$A$2:$A$433,I$117,Desconto_Cliente_Mes!$B$2:$B$433,$A117,Desconto_Cliente_Mes!$C$2:$C$433,"Proteina"),""))</f>
        <v/>
      </c>
      <c r="J118" s="10" t="str">
        <f aca="false">IF((SUMIFS(Desconto_Cliente_Mes!$D$2:$D$433,Desconto_Cliente_Mes!$A$2:$A$433,J$117,Desconto_Cliente_Mes!$B$2:$B$433,$A117,Desconto_Cliente_Mes!$C$2:$C$433,"Proteina"))=0,"",IFERROR(SUMIFS(Desconto_Cliente_Mes!$E$2:$E$433,Desconto_Cliente_Mes!$A$2:$A$433,J$117,Desconto_Cliente_Mes!$B$2:$B$433,$A117,Desconto_Cliente_Mes!$C$2:$C$433,"Proteina"),""))</f>
        <v/>
      </c>
      <c r="K118" s="10" t="str">
        <f aca="false">IF((SUMIFS(Desconto_Cliente_Mes!$D$2:$D$433,Desconto_Cliente_Mes!$A$2:$A$433,K$117,Desconto_Cliente_Mes!$B$2:$B$433,$A117,Desconto_Cliente_Mes!$C$2:$C$433,"Proteina"))=0,"",IFERROR(SUMIFS(Desconto_Cliente_Mes!$E$2:$E$433,Desconto_Cliente_Mes!$A$2:$A$433,K$117,Desconto_Cliente_Mes!$B$2:$B$433,$A117,Desconto_Cliente_Mes!$C$2:$C$433,"Proteina"),""))</f>
        <v/>
      </c>
      <c r="L118" s="10" t="str">
        <f aca="false">IF((SUMIFS(Desconto_Cliente_Mes!$D$2:$D$433,Desconto_Cliente_Mes!$A$2:$A$433,L$117,Desconto_Cliente_Mes!$B$2:$B$433,$A117,Desconto_Cliente_Mes!$C$2:$C$433,"Proteina"))=0,"",IFERROR(SUMIFS(Desconto_Cliente_Mes!$E$2:$E$433,Desconto_Cliente_Mes!$A$2:$A$433,L$117,Desconto_Cliente_Mes!$B$2:$B$433,$A117,Desconto_Cliente_Mes!$C$2:$C$433,"Proteina"),""))</f>
        <v/>
      </c>
      <c r="M118" s="10" t="str">
        <f aca="false">IF((SUMIFS(Desconto_Cliente_Mes!$D$2:$D$433,Desconto_Cliente_Mes!$A$2:$A$433,M$117,Desconto_Cliente_Mes!$B$2:$B$433,$A117,Desconto_Cliente_Mes!$C$2:$C$433,"Proteina"))=0,"",IFERROR(SUMIFS(Desconto_Cliente_Mes!$E$2:$E$433,Desconto_Cliente_Mes!$A$2:$A$433,M$117,Desconto_Cliente_Mes!$B$2:$B$433,$A117,Desconto_Cliente_Mes!$C$2:$C$433,"Proteina"),""))</f>
        <v/>
      </c>
      <c r="N118" s="11" t="str">
        <f aca="false">IFERROR(Media_Pool_Mes!C12,"")</f>
        <v/>
      </c>
    </row>
    <row r="119" customFormat="false" ht="15" hidden="false" customHeight="false" outlineLevel="0" collapsed="false">
      <c r="A119" s="13" t="s">
        <v>75</v>
      </c>
      <c r="B119" s="8" t="n">
        <f aca="false">IFERROR(SUMIFS(Desconto_Cliente_Mes!$D$2:$D$433,Desconto_Cliente_Mes!$A$2:$A$433,B$117,Desconto_Cliente_Mes!$B$2:$B$433,$A117,Desconto_Cliente_Mes!$C$2:$C$433,"Proteina"),0)</f>
        <v>0</v>
      </c>
      <c r="C119" s="8" t="n">
        <f aca="false">IFERROR(SUMIFS(Desconto_Cliente_Mes!$D$2:$D$433,Desconto_Cliente_Mes!$A$2:$A$433,C$117,Desconto_Cliente_Mes!$B$2:$B$433,$A117,Desconto_Cliente_Mes!$C$2:$C$433,"Proteina"),0)</f>
        <v>0</v>
      </c>
      <c r="D119" s="8" t="n">
        <f aca="false">IFERROR(SUMIFS(Desconto_Cliente_Mes!$D$2:$D$433,Desconto_Cliente_Mes!$A$2:$A$433,D$117,Desconto_Cliente_Mes!$B$2:$B$433,$A117,Desconto_Cliente_Mes!$C$2:$C$433,"Proteina"),0)</f>
        <v>0</v>
      </c>
      <c r="E119" s="8" t="n">
        <f aca="false">IFERROR(SUMIFS(Desconto_Cliente_Mes!$D$2:$D$433,Desconto_Cliente_Mes!$A$2:$A$433,E$117,Desconto_Cliente_Mes!$B$2:$B$433,$A117,Desconto_Cliente_Mes!$C$2:$C$433,"Proteina"),0)</f>
        <v>0</v>
      </c>
      <c r="F119" s="8" t="n">
        <f aca="false">IFERROR(SUMIFS(Desconto_Cliente_Mes!$D$2:$D$433,Desconto_Cliente_Mes!$A$2:$A$433,F$117,Desconto_Cliente_Mes!$B$2:$B$433,$A117,Desconto_Cliente_Mes!$C$2:$C$433,"Proteina"),0)</f>
        <v>0</v>
      </c>
      <c r="G119" s="8" t="n">
        <f aca="false">IFERROR(SUMIFS(Desconto_Cliente_Mes!$D$2:$D$433,Desconto_Cliente_Mes!$A$2:$A$433,G$117,Desconto_Cliente_Mes!$B$2:$B$433,$A117,Desconto_Cliente_Mes!$C$2:$C$433,"Proteina"),0)</f>
        <v>0</v>
      </c>
      <c r="H119" s="8" t="n">
        <f aca="false">IFERROR(SUMIFS(Desconto_Cliente_Mes!$D$2:$D$433,Desconto_Cliente_Mes!$A$2:$A$433,H$117,Desconto_Cliente_Mes!$B$2:$B$433,$A117,Desconto_Cliente_Mes!$C$2:$C$433,"Proteina"),0)</f>
        <v>0</v>
      </c>
      <c r="I119" s="8" t="n">
        <f aca="false">IFERROR(SUMIFS(Desconto_Cliente_Mes!$D$2:$D$433,Desconto_Cliente_Mes!$A$2:$A$433,I$117,Desconto_Cliente_Mes!$B$2:$B$433,$A117,Desconto_Cliente_Mes!$C$2:$C$433,"Proteina"),0)</f>
        <v>0</v>
      </c>
      <c r="J119" s="8" t="n">
        <f aca="false">IFERROR(SUMIFS(Desconto_Cliente_Mes!$D$2:$D$433,Desconto_Cliente_Mes!$A$2:$A$433,J$117,Desconto_Cliente_Mes!$B$2:$B$433,$A117,Desconto_Cliente_Mes!$C$2:$C$433,"Proteina"),0)</f>
        <v>0</v>
      </c>
      <c r="K119" s="8" t="n">
        <f aca="false">IFERROR(SUMIFS(Desconto_Cliente_Mes!$D$2:$D$433,Desconto_Cliente_Mes!$A$2:$A$433,K$117,Desconto_Cliente_Mes!$B$2:$B$433,$A117,Desconto_Cliente_Mes!$C$2:$C$433,"Proteina"),0)</f>
        <v>0</v>
      </c>
      <c r="L119" s="8" t="n">
        <f aca="false">IFERROR(SUMIFS(Desconto_Cliente_Mes!$D$2:$D$433,Desconto_Cliente_Mes!$A$2:$A$433,L$117,Desconto_Cliente_Mes!$B$2:$B$433,$A117,Desconto_Cliente_Mes!$C$2:$C$433,"Proteina"),0)</f>
        <v>0</v>
      </c>
      <c r="M119" s="8" t="n">
        <f aca="false">IFERROR(SUMIFS(Desconto_Cliente_Mes!$D$2:$D$433,Desconto_Cliente_Mes!$A$2:$A$433,M$117,Desconto_Cliente_Mes!$B$2:$B$433,$A117,Desconto_Cliente_Mes!$C$2:$C$433,"Proteina"),0)</f>
        <v>0</v>
      </c>
      <c r="N119" s="9" t="n">
        <f aca="false">SUM(B119:M119)</f>
        <v>0</v>
      </c>
    </row>
    <row r="120" customFormat="false" ht="15" hidden="false" customHeight="false" outlineLevel="0" collapsed="false">
      <c r="A120" s="13" t="s">
        <v>76</v>
      </c>
      <c r="B120" s="15" t="n">
        <f aca="false">MAX(0,(SUMIFS(Desconto_Cliente_Mes!$L$2:$L$433,Desconto_Cliente_Mes!$A$2:$A$433,B$117,Desconto_Cliente_Mes!$B$2:$B$433,$A117,Desconto_Cliente_Mes!$C$2:$C$433,"Proteina"))-(SUMIFS(Desconto_Cliente_Mes!$N$2:$N$433,Desconto_Cliente_Mes!$A$2:$A$433,B$117,Desconto_Cliente_Mes!$B$2:$B$433,$A117,Desconto_Cliente_Mes!$C$2:$C$433,"Proteina")))</f>
        <v>0</v>
      </c>
      <c r="C120" s="15" t="n">
        <f aca="false">MAX(0,(SUMIFS(Desconto_Cliente_Mes!$L$2:$L$433,Desconto_Cliente_Mes!$A$2:$A$433,C$117,Desconto_Cliente_Mes!$B$2:$B$433,$A117,Desconto_Cliente_Mes!$C$2:$C$433,"Proteina"))-(SUMIFS(Desconto_Cliente_Mes!$N$2:$N$433,Desconto_Cliente_Mes!$A$2:$A$433,C$117,Desconto_Cliente_Mes!$B$2:$B$433,$A117,Desconto_Cliente_Mes!$C$2:$C$433,"Proteina")))</f>
        <v>0</v>
      </c>
      <c r="D120" s="15" t="n">
        <f aca="false">MAX(0,(SUMIFS(Desconto_Cliente_Mes!$L$2:$L$433,Desconto_Cliente_Mes!$A$2:$A$433,D$117,Desconto_Cliente_Mes!$B$2:$B$433,$A117,Desconto_Cliente_Mes!$C$2:$C$433,"Proteina"))-(SUMIFS(Desconto_Cliente_Mes!$N$2:$N$433,Desconto_Cliente_Mes!$A$2:$A$433,D$117,Desconto_Cliente_Mes!$B$2:$B$433,$A117,Desconto_Cliente_Mes!$C$2:$C$433,"Proteina")))</f>
        <v>0</v>
      </c>
      <c r="E120" s="15" t="n">
        <f aca="false">MAX(0,(SUMIFS(Desconto_Cliente_Mes!$L$2:$L$433,Desconto_Cliente_Mes!$A$2:$A$433,E$117,Desconto_Cliente_Mes!$B$2:$B$433,$A117,Desconto_Cliente_Mes!$C$2:$C$433,"Proteina"))-(SUMIFS(Desconto_Cliente_Mes!$N$2:$N$433,Desconto_Cliente_Mes!$A$2:$A$433,E$117,Desconto_Cliente_Mes!$B$2:$B$433,$A117,Desconto_Cliente_Mes!$C$2:$C$433,"Proteina")))</f>
        <v>0</v>
      </c>
      <c r="F120" s="15" t="n">
        <f aca="false">MAX(0,(SUMIFS(Desconto_Cliente_Mes!$L$2:$L$433,Desconto_Cliente_Mes!$A$2:$A$433,F$117,Desconto_Cliente_Mes!$B$2:$B$433,$A117,Desconto_Cliente_Mes!$C$2:$C$433,"Proteina"))-(SUMIFS(Desconto_Cliente_Mes!$N$2:$N$433,Desconto_Cliente_Mes!$A$2:$A$433,F$117,Desconto_Cliente_Mes!$B$2:$B$433,$A117,Desconto_Cliente_Mes!$C$2:$C$433,"Proteina")))</f>
        <v>0</v>
      </c>
      <c r="G120" s="15" t="n">
        <f aca="false">MAX(0,(SUMIFS(Desconto_Cliente_Mes!$L$2:$L$433,Desconto_Cliente_Mes!$A$2:$A$433,G$117,Desconto_Cliente_Mes!$B$2:$B$433,$A117,Desconto_Cliente_Mes!$C$2:$C$433,"Proteina"))-(SUMIFS(Desconto_Cliente_Mes!$N$2:$N$433,Desconto_Cliente_Mes!$A$2:$A$433,G$117,Desconto_Cliente_Mes!$B$2:$B$433,$A117,Desconto_Cliente_Mes!$C$2:$C$433,"Proteina")))</f>
        <v>0</v>
      </c>
      <c r="H120" s="15" t="n">
        <f aca="false">MAX(0,(SUMIFS(Desconto_Cliente_Mes!$L$2:$L$433,Desconto_Cliente_Mes!$A$2:$A$433,H$117,Desconto_Cliente_Mes!$B$2:$B$433,$A117,Desconto_Cliente_Mes!$C$2:$C$433,"Proteina"))-(SUMIFS(Desconto_Cliente_Mes!$N$2:$N$433,Desconto_Cliente_Mes!$A$2:$A$433,H$117,Desconto_Cliente_Mes!$B$2:$B$433,$A117,Desconto_Cliente_Mes!$C$2:$C$433,"Proteina")))</f>
        <v>0</v>
      </c>
      <c r="I120" s="15" t="n">
        <f aca="false">MAX(0,(SUMIFS(Desconto_Cliente_Mes!$L$2:$L$433,Desconto_Cliente_Mes!$A$2:$A$433,I$117,Desconto_Cliente_Mes!$B$2:$B$433,$A117,Desconto_Cliente_Mes!$C$2:$C$433,"Proteina"))-(SUMIFS(Desconto_Cliente_Mes!$N$2:$N$433,Desconto_Cliente_Mes!$A$2:$A$433,I$117,Desconto_Cliente_Mes!$B$2:$B$433,$A117,Desconto_Cliente_Mes!$C$2:$C$433,"Proteina")))</f>
        <v>0</v>
      </c>
      <c r="J120" s="15" t="n">
        <f aca="false">MAX(0,(SUMIFS(Desconto_Cliente_Mes!$L$2:$L$433,Desconto_Cliente_Mes!$A$2:$A$433,J$117,Desconto_Cliente_Mes!$B$2:$B$433,$A117,Desconto_Cliente_Mes!$C$2:$C$433,"Proteina"))-(SUMIFS(Desconto_Cliente_Mes!$N$2:$N$433,Desconto_Cliente_Mes!$A$2:$A$433,J$117,Desconto_Cliente_Mes!$B$2:$B$433,$A117,Desconto_Cliente_Mes!$C$2:$C$433,"Proteina")))</f>
        <v>0</v>
      </c>
      <c r="K120" s="15" t="n">
        <f aca="false">MAX(0,(SUMIFS(Desconto_Cliente_Mes!$L$2:$L$433,Desconto_Cliente_Mes!$A$2:$A$433,K$117,Desconto_Cliente_Mes!$B$2:$B$433,$A117,Desconto_Cliente_Mes!$C$2:$C$433,"Proteina"))-(SUMIFS(Desconto_Cliente_Mes!$N$2:$N$433,Desconto_Cliente_Mes!$A$2:$A$433,K$117,Desconto_Cliente_Mes!$B$2:$B$433,$A117,Desconto_Cliente_Mes!$C$2:$C$433,"Proteina")))</f>
        <v>0</v>
      </c>
      <c r="L120" s="15" t="n">
        <f aca="false">MAX(0,(SUMIFS(Desconto_Cliente_Mes!$L$2:$L$433,Desconto_Cliente_Mes!$A$2:$A$433,L$117,Desconto_Cliente_Mes!$B$2:$B$433,$A117,Desconto_Cliente_Mes!$C$2:$C$433,"Proteina"))-(SUMIFS(Desconto_Cliente_Mes!$N$2:$N$433,Desconto_Cliente_Mes!$A$2:$A$433,L$117,Desconto_Cliente_Mes!$B$2:$B$433,$A117,Desconto_Cliente_Mes!$C$2:$C$433,"Proteina")))</f>
        <v>0</v>
      </c>
      <c r="M120" s="15" t="n">
        <f aca="false">MAX(0,(SUMIFS(Desconto_Cliente_Mes!$L$2:$L$433,Desconto_Cliente_Mes!$A$2:$A$433,M$117,Desconto_Cliente_Mes!$B$2:$B$433,$A117,Desconto_Cliente_Mes!$C$2:$C$433,"Proteina"))-(SUMIFS(Desconto_Cliente_Mes!$N$2:$N$433,Desconto_Cliente_Mes!$A$2:$A$433,M$117,Desconto_Cliente_Mes!$B$2:$B$433,$A117,Desconto_Cliente_Mes!$C$2:$C$433,"Proteina")))</f>
        <v>0</v>
      </c>
    </row>
    <row r="121" customFormat="false" ht="15" hidden="false" customHeight="false" outlineLevel="0" collapsed="false">
      <c r="A121" s="13" t="s">
        <v>77</v>
      </c>
      <c r="B121" s="15" t="n">
        <f aca="false">MAX(0,(SUMIFS(Desconto_Cliente_Mes!$N$2:$N$433,Desconto_Cliente_Mes!$A$2:$A$433,B$117,Desconto_Cliente_Mes!$B$2:$B$433,$A117,Desconto_Cliente_Mes!$C$2:$C$433,"Proteina"))-(SUMIFS(Desconto_Cliente_Mes!$P$2:$P$433,Desconto_Cliente_Mes!$A$2:$A$433,B$117,Desconto_Cliente_Mes!$B$2:$B$433,$A117,Desconto_Cliente_Mes!$C$2:$C$433,"Proteina")))</f>
        <v>0</v>
      </c>
      <c r="C121" s="15" t="n">
        <f aca="false">MAX(0,(SUMIFS(Desconto_Cliente_Mes!$N$2:$N$433,Desconto_Cliente_Mes!$A$2:$A$433,C$117,Desconto_Cliente_Mes!$B$2:$B$433,$A117,Desconto_Cliente_Mes!$C$2:$C$433,"Proteina"))-(SUMIFS(Desconto_Cliente_Mes!$P$2:$P$433,Desconto_Cliente_Mes!$A$2:$A$433,C$117,Desconto_Cliente_Mes!$B$2:$B$433,$A117,Desconto_Cliente_Mes!$C$2:$C$433,"Proteina")))</f>
        <v>0</v>
      </c>
      <c r="D121" s="15" t="n">
        <f aca="false">MAX(0,(SUMIFS(Desconto_Cliente_Mes!$N$2:$N$433,Desconto_Cliente_Mes!$A$2:$A$433,D$117,Desconto_Cliente_Mes!$B$2:$B$433,$A117,Desconto_Cliente_Mes!$C$2:$C$433,"Proteina"))-(SUMIFS(Desconto_Cliente_Mes!$P$2:$P$433,Desconto_Cliente_Mes!$A$2:$A$433,D$117,Desconto_Cliente_Mes!$B$2:$B$433,$A117,Desconto_Cliente_Mes!$C$2:$C$433,"Proteina")))</f>
        <v>0</v>
      </c>
      <c r="E121" s="15" t="n">
        <f aca="false">MAX(0,(SUMIFS(Desconto_Cliente_Mes!$N$2:$N$433,Desconto_Cliente_Mes!$A$2:$A$433,E$117,Desconto_Cliente_Mes!$B$2:$B$433,$A117,Desconto_Cliente_Mes!$C$2:$C$433,"Proteina"))-(SUMIFS(Desconto_Cliente_Mes!$P$2:$P$433,Desconto_Cliente_Mes!$A$2:$A$433,E$117,Desconto_Cliente_Mes!$B$2:$B$433,$A117,Desconto_Cliente_Mes!$C$2:$C$433,"Proteina")))</f>
        <v>0</v>
      </c>
      <c r="F121" s="15" t="n">
        <f aca="false">MAX(0,(SUMIFS(Desconto_Cliente_Mes!$N$2:$N$433,Desconto_Cliente_Mes!$A$2:$A$433,F$117,Desconto_Cliente_Mes!$B$2:$B$433,$A117,Desconto_Cliente_Mes!$C$2:$C$433,"Proteina"))-(SUMIFS(Desconto_Cliente_Mes!$P$2:$P$433,Desconto_Cliente_Mes!$A$2:$A$433,F$117,Desconto_Cliente_Mes!$B$2:$B$433,$A117,Desconto_Cliente_Mes!$C$2:$C$433,"Proteina")))</f>
        <v>0</v>
      </c>
      <c r="G121" s="15" t="n">
        <f aca="false">MAX(0,(SUMIFS(Desconto_Cliente_Mes!$N$2:$N$433,Desconto_Cliente_Mes!$A$2:$A$433,G$117,Desconto_Cliente_Mes!$B$2:$B$433,$A117,Desconto_Cliente_Mes!$C$2:$C$433,"Proteina"))-(SUMIFS(Desconto_Cliente_Mes!$P$2:$P$433,Desconto_Cliente_Mes!$A$2:$A$433,G$117,Desconto_Cliente_Mes!$B$2:$B$433,$A117,Desconto_Cliente_Mes!$C$2:$C$433,"Proteina")))</f>
        <v>0</v>
      </c>
      <c r="H121" s="15" t="n">
        <f aca="false">MAX(0,(SUMIFS(Desconto_Cliente_Mes!$N$2:$N$433,Desconto_Cliente_Mes!$A$2:$A$433,H$117,Desconto_Cliente_Mes!$B$2:$B$433,$A117,Desconto_Cliente_Mes!$C$2:$C$433,"Proteina"))-(SUMIFS(Desconto_Cliente_Mes!$P$2:$P$433,Desconto_Cliente_Mes!$A$2:$A$433,H$117,Desconto_Cliente_Mes!$B$2:$B$433,$A117,Desconto_Cliente_Mes!$C$2:$C$433,"Proteina")))</f>
        <v>0</v>
      </c>
      <c r="I121" s="15" t="n">
        <f aca="false">MAX(0,(SUMIFS(Desconto_Cliente_Mes!$N$2:$N$433,Desconto_Cliente_Mes!$A$2:$A$433,I$117,Desconto_Cliente_Mes!$B$2:$B$433,$A117,Desconto_Cliente_Mes!$C$2:$C$433,"Proteina"))-(SUMIFS(Desconto_Cliente_Mes!$P$2:$P$433,Desconto_Cliente_Mes!$A$2:$A$433,I$117,Desconto_Cliente_Mes!$B$2:$B$433,$A117,Desconto_Cliente_Mes!$C$2:$C$433,"Proteina")))</f>
        <v>0</v>
      </c>
      <c r="J121" s="15" t="n">
        <f aca="false">MAX(0,(SUMIFS(Desconto_Cliente_Mes!$N$2:$N$433,Desconto_Cliente_Mes!$A$2:$A$433,J$117,Desconto_Cliente_Mes!$B$2:$B$433,$A117,Desconto_Cliente_Mes!$C$2:$C$433,"Proteina"))-(SUMIFS(Desconto_Cliente_Mes!$P$2:$P$433,Desconto_Cliente_Mes!$A$2:$A$433,J$117,Desconto_Cliente_Mes!$B$2:$B$433,$A117,Desconto_Cliente_Mes!$C$2:$C$433,"Proteina")))</f>
        <v>0</v>
      </c>
      <c r="K121" s="15" t="n">
        <f aca="false">MAX(0,(SUMIFS(Desconto_Cliente_Mes!$N$2:$N$433,Desconto_Cliente_Mes!$A$2:$A$433,K$117,Desconto_Cliente_Mes!$B$2:$B$433,$A117,Desconto_Cliente_Mes!$C$2:$C$433,"Proteina"))-(SUMIFS(Desconto_Cliente_Mes!$P$2:$P$433,Desconto_Cliente_Mes!$A$2:$A$433,K$117,Desconto_Cliente_Mes!$B$2:$B$433,$A117,Desconto_Cliente_Mes!$C$2:$C$433,"Proteina")))</f>
        <v>0</v>
      </c>
      <c r="L121" s="15" t="n">
        <f aca="false">MAX(0,(SUMIFS(Desconto_Cliente_Mes!$N$2:$N$433,Desconto_Cliente_Mes!$A$2:$A$433,L$117,Desconto_Cliente_Mes!$B$2:$B$433,$A117,Desconto_Cliente_Mes!$C$2:$C$433,"Proteina"))-(SUMIFS(Desconto_Cliente_Mes!$P$2:$P$433,Desconto_Cliente_Mes!$A$2:$A$433,L$117,Desconto_Cliente_Mes!$B$2:$B$433,$A117,Desconto_Cliente_Mes!$C$2:$C$433,"Proteina")))</f>
        <v>0</v>
      </c>
      <c r="M121" s="15" t="n">
        <f aca="false">MAX(0,(SUMIFS(Desconto_Cliente_Mes!$N$2:$N$433,Desconto_Cliente_Mes!$A$2:$A$433,M$117,Desconto_Cliente_Mes!$B$2:$B$433,$A117,Desconto_Cliente_Mes!$C$2:$C$433,"Proteina"))-(SUMIFS(Desconto_Cliente_Mes!$P$2:$P$433,Desconto_Cliente_Mes!$A$2:$A$433,M$117,Desconto_Cliente_Mes!$B$2:$B$433,$A117,Desconto_Cliente_Mes!$C$2:$C$433,"Proteina")))</f>
        <v>0</v>
      </c>
    </row>
    <row r="122" customFormat="false" ht="15" hidden="false" customHeight="false" outlineLevel="0" collapsed="false">
      <c r="A122" s="13" t="s">
        <v>78</v>
      </c>
      <c r="B122" s="15" t="n">
        <f aca="false">MAX(0,SUMIFS(Desconto_Cliente_Mes!$P$2:$P$433,Desconto_Cliente_Mes!$A$2:$A$433,B$117,Desconto_Cliente_Mes!$B$2:$B$433,$A117,Desconto_Cliente_Mes!$C$2:$C$433,"Proteina"))</f>
        <v>0</v>
      </c>
      <c r="C122" s="15" t="n">
        <f aca="false">MAX(0,SUMIFS(Desconto_Cliente_Mes!$P$2:$P$433,Desconto_Cliente_Mes!$A$2:$A$433,C$117,Desconto_Cliente_Mes!$B$2:$B$433,$A117,Desconto_Cliente_Mes!$C$2:$C$433,"Proteina"))</f>
        <v>0</v>
      </c>
      <c r="D122" s="15" t="n">
        <f aca="false">MAX(0,SUMIFS(Desconto_Cliente_Mes!$P$2:$P$433,Desconto_Cliente_Mes!$A$2:$A$433,D$117,Desconto_Cliente_Mes!$B$2:$B$433,$A117,Desconto_Cliente_Mes!$C$2:$C$433,"Proteina"))</f>
        <v>0</v>
      </c>
      <c r="E122" s="15" t="n">
        <f aca="false">MAX(0,SUMIFS(Desconto_Cliente_Mes!$P$2:$P$433,Desconto_Cliente_Mes!$A$2:$A$433,E$117,Desconto_Cliente_Mes!$B$2:$B$433,$A117,Desconto_Cliente_Mes!$C$2:$C$433,"Proteina"))</f>
        <v>0</v>
      </c>
      <c r="F122" s="15" t="n">
        <f aca="false">MAX(0,SUMIFS(Desconto_Cliente_Mes!$P$2:$P$433,Desconto_Cliente_Mes!$A$2:$A$433,F$117,Desconto_Cliente_Mes!$B$2:$B$433,$A117,Desconto_Cliente_Mes!$C$2:$C$433,"Proteina"))</f>
        <v>0</v>
      </c>
      <c r="G122" s="15" t="n">
        <f aca="false">MAX(0,SUMIFS(Desconto_Cliente_Mes!$P$2:$P$433,Desconto_Cliente_Mes!$A$2:$A$433,G$117,Desconto_Cliente_Mes!$B$2:$B$433,$A117,Desconto_Cliente_Mes!$C$2:$C$433,"Proteina"))</f>
        <v>0</v>
      </c>
      <c r="H122" s="15" t="n">
        <f aca="false">MAX(0,SUMIFS(Desconto_Cliente_Mes!$P$2:$P$433,Desconto_Cliente_Mes!$A$2:$A$433,H$117,Desconto_Cliente_Mes!$B$2:$B$433,$A117,Desconto_Cliente_Mes!$C$2:$C$433,"Proteina"))</f>
        <v>0</v>
      </c>
      <c r="I122" s="15" t="n">
        <f aca="false">MAX(0,SUMIFS(Desconto_Cliente_Mes!$P$2:$P$433,Desconto_Cliente_Mes!$A$2:$A$433,I$117,Desconto_Cliente_Mes!$B$2:$B$433,$A117,Desconto_Cliente_Mes!$C$2:$C$433,"Proteina"))</f>
        <v>0</v>
      </c>
      <c r="J122" s="15" t="n">
        <f aca="false">MAX(0,SUMIFS(Desconto_Cliente_Mes!$P$2:$P$433,Desconto_Cliente_Mes!$A$2:$A$433,J$117,Desconto_Cliente_Mes!$B$2:$B$433,$A117,Desconto_Cliente_Mes!$C$2:$C$433,"Proteina"))</f>
        <v>0</v>
      </c>
      <c r="K122" s="15" t="n">
        <f aca="false">MAX(0,SUMIFS(Desconto_Cliente_Mes!$P$2:$P$433,Desconto_Cliente_Mes!$A$2:$A$433,K$117,Desconto_Cliente_Mes!$B$2:$B$433,$A117,Desconto_Cliente_Mes!$C$2:$C$433,"Proteina"))</f>
        <v>0</v>
      </c>
      <c r="L122" s="15" t="n">
        <f aca="false">MAX(0,SUMIFS(Desconto_Cliente_Mes!$P$2:$P$433,Desconto_Cliente_Mes!$A$2:$A$433,L$117,Desconto_Cliente_Mes!$B$2:$B$433,$A117,Desconto_Cliente_Mes!$C$2:$C$433,"Proteina"))</f>
        <v>0</v>
      </c>
      <c r="M122" s="15" t="n">
        <f aca="false">MAX(0,SUMIFS(Desconto_Cliente_Mes!$P$2:$P$433,Desconto_Cliente_Mes!$A$2:$A$433,M$117,Desconto_Cliente_Mes!$B$2:$B$433,$A117,Desconto_Cliente_Mes!$C$2:$C$433,"Proteina"))</f>
        <v>0</v>
      </c>
    </row>
    <row r="123" customFormat="false" ht="15" hidden="false" customHeight="false" outlineLevel="0" collapsed="false">
      <c r="A123" s="13" t="s">
        <v>79</v>
      </c>
      <c r="B123" s="16" t="n">
        <f aca="false">$B$119*($B$120/100)*(SUMIFS(Desconto_Cliente_Mes!$Q$2:$Q$433,Desconto_Cliente_Mes!$A$2:$A$433,B$117,Desconto_Cliente_Mes!$B$2:$B$433,$A117,Desconto_Cliente_Mes!$C$2:$C$433,"Proteina"))*(SUMIFS(Desconto_Cliente_Mes!$T$2:$T$433,Desconto_Cliente_Mes!$A$2:$A$433,B$117,Desconto_Cliente_Mes!$B$2:$B$433,$A117,Desconto_Cliente_Mes!$C$2:$C$433,"Proteina"))</f>
        <v>0</v>
      </c>
      <c r="C123" s="16" t="n">
        <f aca="false">$C$119*($C$120/100)*(SUMIFS(Desconto_Cliente_Mes!$Q$2:$Q$433,Desconto_Cliente_Mes!$A$2:$A$433,C$117,Desconto_Cliente_Mes!$B$2:$B$433,$A117,Desconto_Cliente_Mes!$C$2:$C$433,"Proteina"))*(SUMIFS(Desconto_Cliente_Mes!$T$2:$T$433,Desconto_Cliente_Mes!$A$2:$A$433,C$117,Desconto_Cliente_Mes!$B$2:$B$433,$A117,Desconto_Cliente_Mes!$C$2:$C$433,"Proteina"))</f>
        <v>0</v>
      </c>
      <c r="D123" s="16" t="n">
        <f aca="false">$D$119*($D$120/100)*(SUMIFS(Desconto_Cliente_Mes!$Q$2:$Q$433,Desconto_Cliente_Mes!$A$2:$A$433,D$117,Desconto_Cliente_Mes!$B$2:$B$433,$A117,Desconto_Cliente_Mes!$C$2:$C$433,"Proteina"))*(SUMIFS(Desconto_Cliente_Mes!$T$2:$T$433,Desconto_Cliente_Mes!$A$2:$A$433,D$117,Desconto_Cliente_Mes!$B$2:$B$433,$A117,Desconto_Cliente_Mes!$C$2:$C$433,"Proteina"))</f>
        <v>0</v>
      </c>
      <c r="E123" s="16" t="n">
        <f aca="false">$E$119*($E$120/100)*(SUMIFS(Desconto_Cliente_Mes!$Q$2:$Q$433,Desconto_Cliente_Mes!$A$2:$A$433,E$117,Desconto_Cliente_Mes!$B$2:$B$433,$A117,Desconto_Cliente_Mes!$C$2:$C$433,"Proteina"))*(SUMIFS(Desconto_Cliente_Mes!$T$2:$T$433,Desconto_Cliente_Mes!$A$2:$A$433,E$117,Desconto_Cliente_Mes!$B$2:$B$433,$A117,Desconto_Cliente_Mes!$C$2:$C$433,"Proteina"))</f>
        <v>0</v>
      </c>
      <c r="F123" s="16" t="n">
        <f aca="false">$F$119*($F$120/100)*(SUMIFS(Desconto_Cliente_Mes!$Q$2:$Q$433,Desconto_Cliente_Mes!$A$2:$A$433,F$117,Desconto_Cliente_Mes!$B$2:$B$433,$A117,Desconto_Cliente_Mes!$C$2:$C$433,"Proteina"))*(SUMIFS(Desconto_Cliente_Mes!$T$2:$T$433,Desconto_Cliente_Mes!$A$2:$A$433,F$117,Desconto_Cliente_Mes!$B$2:$B$433,$A117,Desconto_Cliente_Mes!$C$2:$C$433,"Proteina"))</f>
        <v>0</v>
      </c>
      <c r="G123" s="16" t="n">
        <f aca="false">$G$119*($G$120/100)*(SUMIFS(Desconto_Cliente_Mes!$Q$2:$Q$433,Desconto_Cliente_Mes!$A$2:$A$433,G$117,Desconto_Cliente_Mes!$B$2:$B$433,$A117,Desconto_Cliente_Mes!$C$2:$C$433,"Proteina"))*(SUMIFS(Desconto_Cliente_Mes!$T$2:$T$433,Desconto_Cliente_Mes!$A$2:$A$433,G$117,Desconto_Cliente_Mes!$B$2:$B$433,$A117,Desconto_Cliente_Mes!$C$2:$C$433,"Proteina"))</f>
        <v>0</v>
      </c>
      <c r="H123" s="16" t="n">
        <f aca="false">$H$119*($H$120/100)*(SUMIFS(Desconto_Cliente_Mes!$Q$2:$Q$433,Desconto_Cliente_Mes!$A$2:$A$433,H$117,Desconto_Cliente_Mes!$B$2:$B$433,$A117,Desconto_Cliente_Mes!$C$2:$C$433,"Proteina"))*(SUMIFS(Desconto_Cliente_Mes!$T$2:$T$433,Desconto_Cliente_Mes!$A$2:$A$433,H$117,Desconto_Cliente_Mes!$B$2:$B$433,$A117,Desconto_Cliente_Mes!$C$2:$C$433,"Proteina"))</f>
        <v>0</v>
      </c>
      <c r="I123" s="16" t="n">
        <f aca="false">$I$119*($I$120/100)*(SUMIFS(Desconto_Cliente_Mes!$Q$2:$Q$433,Desconto_Cliente_Mes!$A$2:$A$433,I$117,Desconto_Cliente_Mes!$B$2:$B$433,$A117,Desconto_Cliente_Mes!$C$2:$C$433,"Proteina"))*(SUMIFS(Desconto_Cliente_Mes!$T$2:$T$433,Desconto_Cliente_Mes!$A$2:$A$433,I$117,Desconto_Cliente_Mes!$B$2:$B$433,$A117,Desconto_Cliente_Mes!$C$2:$C$433,"Proteina"))</f>
        <v>0</v>
      </c>
      <c r="J123" s="16" t="n">
        <f aca="false">$J$119*($J$120/100)*(SUMIFS(Desconto_Cliente_Mes!$Q$2:$Q$433,Desconto_Cliente_Mes!$A$2:$A$433,J$117,Desconto_Cliente_Mes!$B$2:$B$433,$A117,Desconto_Cliente_Mes!$C$2:$C$433,"Proteina"))*(SUMIFS(Desconto_Cliente_Mes!$T$2:$T$433,Desconto_Cliente_Mes!$A$2:$A$433,J$117,Desconto_Cliente_Mes!$B$2:$B$433,$A117,Desconto_Cliente_Mes!$C$2:$C$433,"Proteina"))</f>
        <v>0</v>
      </c>
      <c r="K123" s="16" t="n">
        <f aca="false">$K$119*($K$120/100)*(SUMIFS(Desconto_Cliente_Mes!$Q$2:$Q$433,Desconto_Cliente_Mes!$A$2:$A$433,K$117,Desconto_Cliente_Mes!$B$2:$B$433,$A117,Desconto_Cliente_Mes!$C$2:$C$433,"Proteina"))*(SUMIFS(Desconto_Cliente_Mes!$T$2:$T$433,Desconto_Cliente_Mes!$A$2:$A$433,K$117,Desconto_Cliente_Mes!$B$2:$B$433,$A117,Desconto_Cliente_Mes!$C$2:$C$433,"Proteina"))</f>
        <v>0</v>
      </c>
      <c r="L123" s="16" t="n">
        <f aca="false">$L$119*($L$120/100)*(SUMIFS(Desconto_Cliente_Mes!$Q$2:$Q$433,Desconto_Cliente_Mes!$A$2:$A$433,L$117,Desconto_Cliente_Mes!$B$2:$B$433,$A117,Desconto_Cliente_Mes!$C$2:$C$433,"Proteina"))*(SUMIFS(Desconto_Cliente_Mes!$T$2:$T$433,Desconto_Cliente_Mes!$A$2:$A$433,L$117,Desconto_Cliente_Mes!$B$2:$B$433,$A117,Desconto_Cliente_Mes!$C$2:$C$433,"Proteina"))</f>
        <v>0</v>
      </c>
      <c r="M123" s="16" t="n">
        <f aca="false">$M$119*($M$120/100)*(SUMIFS(Desconto_Cliente_Mes!$Q$2:$Q$433,Desconto_Cliente_Mes!$A$2:$A$433,M$117,Desconto_Cliente_Mes!$B$2:$B$433,$A117,Desconto_Cliente_Mes!$C$2:$C$433,"Proteina"))*(SUMIFS(Desconto_Cliente_Mes!$T$2:$T$433,Desconto_Cliente_Mes!$A$2:$A$433,M$117,Desconto_Cliente_Mes!$B$2:$B$433,$A117,Desconto_Cliente_Mes!$C$2:$C$433,"Proteina"))</f>
        <v>0</v>
      </c>
      <c r="N123" s="17" t="n">
        <f aca="false">SUM(B123:M123)</f>
        <v>0</v>
      </c>
    </row>
    <row r="124" customFormat="false" ht="15" hidden="false" customHeight="false" outlineLevel="0" collapsed="false">
      <c r="A124" s="13" t="s">
        <v>80</v>
      </c>
      <c r="B124" s="16" t="n">
        <f aca="false">$B$119*($B$121/100)*((IF(SUMIFS(Desconto_Cliente_Mes!$R$2:$R$433,Desconto_Cliente_Mes!$A$2:$A$433,B$117,Desconto_Cliente_Mes!$B$2:$B$433,$A117,Desconto_Cliente_Mes!$C$2:$C$433,"Proteina")="",SUMIFS(Desconto_Cliente_Mes!$Q$2:$Q$433,Desconto_Cliente_Mes!$A$2:$A$433,B$117,Desconto_Cliente_Mes!$B$2:$B$433,$A117,Desconto_Cliente_Mes!$C$2:$C$433,"Proteina"),SUMIFS(Desconto_Cliente_Mes!$R$2:$R$433,Desconto_Cliente_Mes!$A$2:$A$433,B$117,Desconto_Cliente_Mes!$B$2:$B$433,$A117,Desconto_Cliente_Mes!$C$2:$C$433,"Proteina")))-(SUMIFS(Desconto_Cliente_Mes!$Q$2:$Q$433,Desconto_Cliente_Mes!$A$2:$A$433,B$117,Desconto_Cliente_Mes!$B$2:$B$433,$A117,Desconto_Cliente_Mes!$C$2:$C$433,"Proteina")))*(SUMIFS(Desconto_Cliente_Mes!$T$2:$T$433,Desconto_Cliente_Mes!$A$2:$A$433,B$117,Desconto_Cliente_Mes!$B$2:$B$433,$A117,Desconto_Cliente_Mes!$C$2:$C$433,"Proteina"))</f>
        <v>0</v>
      </c>
      <c r="C124" s="16" t="n">
        <f aca="false">$C$119*($C$121/100)*((IF(SUMIFS(Desconto_Cliente_Mes!$R$2:$R$433,Desconto_Cliente_Mes!$A$2:$A$433,C$117,Desconto_Cliente_Mes!$B$2:$B$433,$A117,Desconto_Cliente_Mes!$C$2:$C$433,"Proteina")="",SUMIFS(Desconto_Cliente_Mes!$Q$2:$Q$433,Desconto_Cliente_Mes!$A$2:$A$433,C$117,Desconto_Cliente_Mes!$B$2:$B$433,$A117,Desconto_Cliente_Mes!$C$2:$C$433,"Proteina"),SUMIFS(Desconto_Cliente_Mes!$R$2:$R$433,Desconto_Cliente_Mes!$A$2:$A$433,C$117,Desconto_Cliente_Mes!$B$2:$B$433,$A117,Desconto_Cliente_Mes!$C$2:$C$433,"Proteina")))-(SUMIFS(Desconto_Cliente_Mes!$Q$2:$Q$433,Desconto_Cliente_Mes!$A$2:$A$433,C$117,Desconto_Cliente_Mes!$B$2:$B$433,$A117,Desconto_Cliente_Mes!$C$2:$C$433,"Proteina")))*(SUMIFS(Desconto_Cliente_Mes!$T$2:$T$433,Desconto_Cliente_Mes!$A$2:$A$433,C$117,Desconto_Cliente_Mes!$B$2:$B$433,$A117,Desconto_Cliente_Mes!$C$2:$C$433,"Proteina"))</f>
        <v>0</v>
      </c>
      <c r="D124" s="16" t="n">
        <f aca="false">$D$119*($D$121/100)*((IF(SUMIFS(Desconto_Cliente_Mes!$R$2:$R$433,Desconto_Cliente_Mes!$A$2:$A$433,D$117,Desconto_Cliente_Mes!$B$2:$B$433,$A117,Desconto_Cliente_Mes!$C$2:$C$433,"Proteina")="",SUMIFS(Desconto_Cliente_Mes!$Q$2:$Q$433,Desconto_Cliente_Mes!$A$2:$A$433,D$117,Desconto_Cliente_Mes!$B$2:$B$433,$A117,Desconto_Cliente_Mes!$C$2:$C$433,"Proteina"),SUMIFS(Desconto_Cliente_Mes!$R$2:$R$433,Desconto_Cliente_Mes!$A$2:$A$433,D$117,Desconto_Cliente_Mes!$B$2:$B$433,$A117,Desconto_Cliente_Mes!$C$2:$C$433,"Proteina")))-(SUMIFS(Desconto_Cliente_Mes!$Q$2:$Q$433,Desconto_Cliente_Mes!$A$2:$A$433,D$117,Desconto_Cliente_Mes!$B$2:$B$433,$A117,Desconto_Cliente_Mes!$C$2:$C$433,"Proteina")))*(SUMIFS(Desconto_Cliente_Mes!$T$2:$T$433,Desconto_Cliente_Mes!$A$2:$A$433,D$117,Desconto_Cliente_Mes!$B$2:$B$433,$A117,Desconto_Cliente_Mes!$C$2:$C$433,"Proteina"))</f>
        <v>0</v>
      </c>
      <c r="E124" s="16" t="n">
        <f aca="false">$E$119*($E$121/100)*((IF(SUMIFS(Desconto_Cliente_Mes!$R$2:$R$433,Desconto_Cliente_Mes!$A$2:$A$433,E$117,Desconto_Cliente_Mes!$B$2:$B$433,$A117,Desconto_Cliente_Mes!$C$2:$C$433,"Proteina")="",SUMIFS(Desconto_Cliente_Mes!$Q$2:$Q$433,Desconto_Cliente_Mes!$A$2:$A$433,E$117,Desconto_Cliente_Mes!$B$2:$B$433,$A117,Desconto_Cliente_Mes!$C$2:$C$433,"Proteina"),SUMIFS(Desconto_Cliente_Mes!$R$2:$R$433,Desconto_Cliente_Mes!$A$2:$A$433,E$117,Desconto_Cliente_Mes!$B$2:$B$433,$A117,Desconto_Cliente_Mes!$C$2:$C$433,"Proteina")))-(SUMIFS(Desconto_Cliente_Mes!$Q$2:$Q$433,Desconto_Cliente_Mes!$A$2:$A$433,E$117,Desconto_Cliente_Mes!$B$2:$B$433,$A117,Desconto_Cliente_Mes!$C$2:$C$433,"Proteina")))*(SUMIFS(Desconto_Cliente_Mes!$T$2:$T$433,Desconto_Cliente_Mes!$A$2:$A$433,E$117,Desconto_Cliente_Mes!$B$2:$B$433,$A117,Desconto_Cliente_Mes!$C$2:$C$433,"Proteina"))</f>
        <v>0</v>
      </c>
      <c r="F124" s="16" t="n">
        <f aca="false">$F$119*($F$121/100)*((IF(SUMIFS(Desconto_Cliente_Mes!$R$2:$R$433,Desconto_Cliente_Mes!$A$2:$A$433,F$117,Desconto_Cliente_Mes!$B$2:$B$433,$A117,Desconto_Cliente_Mes!$C$2:$C$433,"Proteina")="",SUMIFS(Desconto_Cliente_Mes!$Q$2:$Q$433,Desconto_Cliente_Mes!$A$2:$A$433,F$117,Desconto_Cliente_Mes!$B$2:$B$433,$A117,Desconto_Cliente_Mes!$C$2:$C$433,"Proteina"),SUMIFS(Desconto_Cliente_Mes!$R$2:$R$433,Desconto_Cliente_Mes!$A$2:$A$433,F$117,Desconto_Cliente_Mes!$B$2:$B$433,$A117,Desconto_Cliente_Mes!$C$2:$C$433,"Proteina")))-(SUMIFS(Desconto_Cliente_Mes!$Q$2:$Q$433,Desconto_Cliente_Mes!$A$2:$A$433,F$117,Desconto_Cliente_Mes!$B$2:$B$433,$A117,Desconto_Cliente_Mes!$C$2:$C$433,"Proteina")))*(SUMIFS(Desconto_Cliente_Mes!$T$2:$T$433,Desconto_Cliente_Mes!$A$2:$A$433,F$117,Desconto_Cliente_Mes!$B$2:$B$433,$A117,Desconto_Cliente_Mes!$C$2:$C$433,"Proteina"))</f>
        <v>0</v>
      </c>
      <c r="G124" s="16" t="n">
        <f aca="false">$G$119*($G$121/100)*((IF(SUMIFS(Desconto_Cliente_Mes!$R$2:$R$433,Desconto_Cliente_Mes!$A$2:$A$433,G$117,Desconto_Cliente_Mes!$B$2:$B$433,$A117,Desconto_Cliente_Mes!$C$2:$C$433,"Proteina")="",SUMIFS(Desconto_Cliente_Mes!$Q$2:$Q$433,Desconto_Cliente_Mes!$A$2:$A$433,G$117,Desconto_Cliente_Mes!$B$2:$B$433,$A117,Desconto_Cliente_Mes!$C$2:$C$433,"Proteina"),SUMIFS(Desconto_Cliente_Mes!$R$2:$R$433,Desconto_Cliente_Mes!$A$2:$A$433,G$117,Desconto_Cliente_Mes!$B$2:$B$433,$A117,Desconto_Cliente_Mes!$C$2:$C$433,"Proteina")))-(SUMIFS(Desconto_Cliente_Mes!$Q$2:$Q$433,Desconto_Cliente_Mes!$A$2:$A$433,G$117,Desconto_Cliente_Mes!$B$2:$B$433,$A117,Desconto_Cliente_Mes!$C$2:$C$433,"Proteina")))*(SUMIFS(Desconto_Cliente_Mes!$T$2:$T$433,Desconto_Cliente_Mes!$A$2:$A$433,G$117,Desconto_Cliente_Mes!$B$2:$B$433,$A117,Desconto_Cliente_Mes!$C$2:$C$433,"Proteina"))</f>
        <v>0</v>
      </c>
      <c r="H124" s="16" t="n">
        <f aca="false">$H$119*($H$121/100)*((IF(SUMIFS(Desconto_Cliente_Mes!$R$2:$R$433,Desconto_Cliente_Mes!$A$2:$A$433,H$117,Desconto_Cliente_Mes!$B$2:$B$433,$A117,Desconto_Cliente_Mes!$C$2:$C$433,"Proteina")="",SUMIFS(Desconto_Cliente_Mes!$Q$2:$Q$433,Desconto_Cliente_Mes!$A$2:$A$433,H$117,Desconto_Cliente_Mes!$B$2:$B$433,$A117,Desconto_Cliente_Mes!$C$2:$C$433,"Proteina"),SUMIFS(Desconto_Cliente_Mes!$R$2:$R$433,Desconto_Cliente_Mes!$A$2:$A$433,H$117,Desconto_Cliente_Mes!$B$2:$B$433,$A117,Desconto_Cliente_Mes!$C$2:$C$433,"Proteina")))-(SUMIFS(Desconto_Cliente_Mes!$Q$2:$Q$433,Desconto_Cliente_Mes!$A$2:$A$433,H$117,Desconto_Cliente_Mes!$B$2:$B$433,$A117,Desconto_Cliente_Mes!$C$2:$C$433,"Proteina")))*(SUMIFS(Desconto_Cliente_Mes!$T$2:$T$433,Desconto_Cliente_Mes!$A$2:$A$433,H$117,Desconto_Cliente_Mes!$B$2:$B$433,$A117,Desconto_Cliente_Mes!$C$2:$C$433,"Proteina"))</f>
        <v>0</v>
      </c>
      <c r="I124" s="16" t="n">
        <f aca="false">$I$119*($I$121/100)*((IF(SUMIFS(Desconto_Cliente_Mes!$R$2:$R$433,Desconto_Cliente_Mes!$A$2:$A$433,I$117,Desconto_Cliente_Mes!$B$2:$B$433,$A117,Desconto_Cliente_Mes!$C$2:$C$433,"Proteina")="",SUMIFS(Desconto_Cliente_Mes!$Q$2:$Q$433,Desconto_Cliente_Mes!$A$2:$A$433,I$117,Desconto_Cliente_Mes!$B$2:$B$433,$A117,Desconto_Cliente_Mes!$C$2:$C$433,"Proteina"),SUMIFS(Desconto_Cliente_Mes!$R$2:$R$433,Desconto_Cliente_Mes!$A$2:$A$433,I$117,Desconto_Cliente_Mes!$B$2:$B$433,$A117,Desconto_Cliente_Mes!$C$2:$C$433,"Proteina")))-(SUMIFS(Desconto_Cliente_Mes!$Q$2:$Q$433,Desconto_Cliente_Mes!$A$2:$A$433,I$117,Desconto_Cliente_Mes!$B$2:$B$433,$A117,Desconto_Cliente_Mes!$C$2:$C$433,"Proteina")))*(SUMIFS(Desconto_Cliente_Mes!$T$2:$T$433,Desconto_Cliente_Mes!$A$2:$A$433,I$117,Desconto_Cliente_Mes!$B$2:$B$433,$A117,Desconto_Cliente_Mes!$C$2:$C$433,"Proteina"))</f>
        <v>0</v>
      </c>
      <c r="J124" s="16" t="n">
        <f aca="false">$J$119*($J$121/100)*((IF(SUMIFS(Desconto_Cliente_Mes!$R$2:$R$433,Desconto_Cliente_Mes!$A$2:$A$433,J$117,Desconto_Cliente_Mes!$B$2:$B$433,$A117,Desconto_Cliente_Mes!$C$2:$C$433,"Proteina")="",SUMIFS(Desconto_Cliente_Mes!$Q$2:$Q$433,Desconto_Cliente_Mes!$A$2:$A$433,J$117,Desconto_Cliente_Mes!$B$2:$B$433,$A117,Desconto_Cliente_Mes!$C$2:$C$433,"Proteina"),SUMIFS(Desconto_Cliente_Mes!$R$2:$R$433,Desconto_Cliente_Mes!$A$2:$A$433,J$117,Desconto_Cliente_Mes!$B$2:$B$433,$A117,Desconto_Cliente_Mes!$C$2:$C$433,"Proteina")))-(SUMIFS(Desconto_Cliente_Mes!$Q$2:$Q$433,Desconto_Cliente_Mes!$A$2:$A$433,J$117,Desconto_Cliente_Mes!$B$2:$B$433,$A117,Desconto_Cliente_Mes!$C$2:$C$433,"Proteina")))*(SUMIFS(Desconto_Cliente_Mes!$T$2:$T$433,Desconto_Cliente_Mes!$A$2:$A$433,J$117,Desconto_Cliente_Mes!$B$2:$B$433,$A117,Desconto_Cliente_Mes!$C$2:$C$433,"Proteina"))</f>
        <v>0</v>
      </c>
      <c r="K124" s="16" t="n">
        <f aca="false">$K$119*($K$121/100)*((IF(SUMIFS(Desconto_Cliente_Mes!$R$2:$R$433,Desconto_Cliente_Mes!$A$2:$A$433,K$117,Desconto_Cliente_Mes!$B$2:$B$433,$A117,Desconto_Cliente_Mes!$C$2:$C$433,"Proteina")="",SUMIFS(Desconto_Cliente_Mes!$Q$2:$Q$433,Desconto_Cliente_Mes!$A$2:$A$433,K$117,Desconto_Cliente_Mes!$B$2:$B$433,$A117,Desconto_Cliente_Mes!$C$2:$C$433,"Proteina"),SUMIFS(Desconto_Cliente_Mes!$R$2:$R$433,Desconto_Cliente_Mes!$A$2:$A$433,K$117,Desconto_Cliente_Mes!$B$2:$B$433,$A117,Desconto_Cliente_Mes!$C$2:$C$433,"Proteina")))-(SUMIFS(Desconto_Cliente_Mes!$Q$2:$Q$433,Desconto_Cliente_Mes!$A$2:$A$433,K$117,Desconto_Cliente_Mes!$B$2:$B$433,$A117,Desconto_Cliente_Mes!$C$2:$C$433,"Proteina")))*(SUMIFS(Desconto_Cliente_Mes!$T$2:$T$433,Desconto_Cliente_Mes!$A$2:$A$433,K$117,Desconto_Cliente_Mes!$B$2:$B$433,$A117,Desconto_Cliente_Mes!$C$2:$C$433,"Proteina"))</f>
        <v>0</v>
      </c>
      <c r="L124" s="16" t="n">
        <f aca="false">$L$119*($L$121/100)*((IF(SUMIFS(Desconto_Cliente_Mes!$R$2:$R$433,Desconto_Cliente_Mes!$A$2:$A$433,L$117,Desconto_Cliente_Mes!$B$2:$B$433,$A117,Desconto_Cliente_Mes!$C$2:$C$433,"Proteina")="",SUMIFS(Desconto_Cliente_Mes!$Q$2:$Q$433,Desconto_Cliente_Mes!$A$2:$A$433,L$117,Desconto_Cliente_Mes!$B$2:$B$433,$A117,Desconto_Cliente_Mes!$C$2:$C$433,"Proteina"),SUMIFS(Desconto_Cliente_Mes!$R$2:$R$433,Desconto_Cliente_Mes!$A$2:$A$433,L$117,Desconto_Cliente_Mes!$B$2:$B$433,$A117,Desconto_Cliente_Mes!$C$2:$C$433,"Proteina")))-(SUMIFS(Desconto_Cliente_Mes!$Q$2:$Q$433,Desconto_Cliente_Mes!$A$2:$A$433,L$117,Desconto_Cliente_Mes!$B$2:$B$433,$A117,Desconto_Cliente_Mes!$C$2:$C$433,"Proteina")))*(SUMIFS(Desconto_Cliente_Mes!$T$2:$T$433,Desconto_Cliente_Mes!$A$2:$A$433,L$117,Desconto_Cliente_Mes!$B$2:$B$433,$A117,Desconto_Cliente_Mes!$C$2:$C$433,"Proteina"))</f>
        <v>0</v>
      </c>
      <c r="M124" s="16" t="n">
        <f aca="false">$M$119*($M$121/100)*((IF(SUMIFS(Desconto_Cliente_Mes!$R$2:$R$433,Desconto_Cliente_Mes!$A$2:$A$433,M$117,Desconto_Cliente_Mes!$B$2:$B$433,$A117,Desconto_Cliente_Mes!$C$2:$C$433,"Proteina")="",SUMIFS(Desconto_Cliente_Mes!$Q$2:$Q$433,Desconto_Cliente_Mes!$A$2:$A$433,M$117,Desconto_Cliente_Mes!$B$2:$B$433,$A117,Desconto_Cliente_Mes!$C$2:$C$433,"Proteina"),SUMIFS(Desconto_Cliente_Mes!$R$2:$R$433,Desconto_Cliente_Mes!$A$2:$A$433,M$117,Desconto_Cliente_Mes!$B$2:$B$433,$A117,Desconto_Cliente_Mes!$C$2:$C$433,"Proteina")))-(SUMIFS(Desconto_Cliente_Mes!$Q$2:$Q$433,Desconto_Cliente_Mes!$A$2:$A$433,M$117,Desconto_Cliente_Mes!$B$2:$B$433,$A117,Desconto_Cliente_Mes!$C$2:$C$433,"Proteina")))*(SUMIFS(Desconto_Cliente_Mes!$T$2:$T$433,Desconto_Cliente_Mes!$A$2:$A$433,M$117,Desconto_Cliente_Mes!$B$2:$B$433,$A117,Desconto_Cliente_Mes!$C$2:$C$433,"Proteina"))</f>
        <v>0</v>
      </c>
      <c r="N124" s="17" t="n">
        <f aca="false">SUM(B124:M124)</f>
        <v>0</v>
      </c>
    </row>
    <row r="125" customFormat="false" ht="15" hidden="false" customHeight="false" outlineLevel="0" collapsed="false">
      <c r="A125" s="13" t="s">
        <v>81</v>
      </c>
      <c r="B125" s="16" t="n">
        <f aca="false">$B$119*($B$122/100)*((IF(SUMIFS(Desconto_Cliente_Mes!$S$2:$S$433,Desconto_Cliente_Mes!$A$2:$A$433,B$117,Desconto_Cliente_Mes!$B$2:$B$433,$A117,Desconto_Cliente_Mes!$C$2:$C$433,"Proteina")="",(IF(SUMIFS(Desconto_Cliente_Mes!$R$2:$R$433,Desconto_Cliente_Mes!$A$2:$A$433,B$117,Desconto_Cliente_Mes!$B$2:$B$433,$A117,Desconto_Cliente_Mes!$C$2:$C$433,"Proteina")="",SUMIFS(Desconto_Cliente_Mes!$Q$2:$Q$433,Desconto_Cliente_Mes!$A$2:$A$433,B$117,Desconto_Cliente_Mes!$B$2:$B$433,$A117,Desconto_Cliente_Mes!$C$2:$C$433,"Proteina"),SUMIFS(Desconto_Cliente_Mes!$R$2:$R$433,Desconto_Cliente_Mes!$A$2:$A$433,B$117,Desconto_Cliente_Mes!$B$2:$B$433,$A117,Desconto_Cliente_Mes!$C$2:$C$433,"Proteina"))),SUMIFS(Desconto_Cliente_Mes!$S$2:$S$433,Desconto_Cliente_Mes!$A$2:$A$433,B$117,Desconto_Cliente_Mes!$B$2:$B$433,$A117,Desconto_Cliente_Mes!$C$2:$C$433,"Proteina")))-(IF(SUMIFS(Desconto_Cliente_Mes!$R$2:$R$433,Desconto_Cliente_Mes!$A$2:$A$433,B$117,Desconto_Cliente_Mes!$B$2:$B$433,$A117,Desconto_Cliente_Mes!$C$2:$C$433,"Proteina")="",SUMIFS(Desconto_Cliente_Mes!$Q$2:$Q$433,Desconto_Cliente_Mes!$A$2:$A$433,B$117,Desconto_Cliente_Mes!$B$2:$B$433,$A117,Desconto_Cliente_Mes!$C$2:$C$433,"Proteina"),SUMIFS(Desconto_Cliente_Mes!$R$2:$R$433,Desconto_Cliente_Mes!$A$2:$A$433,B$117,Desconto_Cliente_Mes!$B$2:$B$433,$A117,Desconto_Cliente_Mes!$C$2:$C$433,"Proteina"))))*(SUMIFS(Desconto_Cliente_Mes!$T$2:$T$433,Desconto_Cliente_Mes!$A$2:$A$433,B$117,Desconto_Cliente_Mes!$B$2:$B$433,$A117,Desconto_Cliente_Mes!$C$2:$C$433,"Proteina"))</f>
        <v>-0</v>
      </c>
      <c r="C125" s="16" t="n">
        <f aca="false">$C$119*($C$122/100)*((IF(SUMIFS(Desconto_Cliente_Mes!$S$2:$S$433,Desconto_Cliente_Mes!$A$2:$A$433,C$117,Desconto_Cliente_Mes!$B$2:$B$433,$A117,Desconto_Cliente_Mes!$C$2:$C$433,"Proteina")="",(IF(SUMIFS(Desconto_Cliente_Mes!$R$2:$R$433,Desconto_Cliente_Mes!$A$2:$A$433,C$117,Desconto_Cliente_Mes!$B$2:$B$433,$A117,Desconto_Cliente_Mes!$C$2:$C$433,"Proteina")="",SUMIFS(Desconto_Cliente_Mes!$Q$2:$Q$433,Desconto_Cliente_Mes!$A$2:$A$433,C$117,Desconto_Cliente_Mes!$B$2:$B$433,$A117,Desconto_Cliente_Mes!$C$2:$C$433,"Proteina"),SUMIFS(Desconto_Cliente_Mes!$R$2:$R$433,Desconto_Cliente_Mes!$A$2:$A$433,C$117,Desconto_Cliente_Mes!$B$2:$B$433,$A117,Desconto_Cliente_Mes!$C$2:$C$433,"Proteina"))),SUMIFS(Desconto_Cliente_Mes!$S$2:$S$433,Desconto_Cliente_Mes!$A$2:$A$433,C$117,Desconto_Cliente_Mes!$B$2:$B$433,$A117,Desconto_Cliente_Mes!$C$2:$C$433,"Proteina")))-(IF(SUMIFS(Desconto_Cliente_Mes!$R$2:$R$433,Desconto_Cliente_Mes!$A$2:$A$433,C$117,Desconto_Cliente_Mes!$B$2:$B$433,$A117,Desconto_Cliente_Mes!$C$2:$C$433,"Proteina")="",SUMIFS(Desconto_Cliente_Mes!$Q$2:$Q$433,Desconto_Cliente_Mes!$A$2:$A$433,C$117,Desconto_Cliente_Mes!$B$2:$B$433,$A117,Desconto_Cliente_Mes!$C$2:$C$433,"Proteina"),SUMIFS(Desconto_Cliente_Mes!$R$2:$R$433,Desconto_Cliente_Mes!$A$2:$A$433,C$117,Desconto_Cliente_Mes!$B$2:$B$433,$A117,Desconto_Cliente_Mes!$C$2:$C$433,"Proteina"))))*(SUMIFS(Desconto_Cliente_Mes!$T$2:$T$433,Desconto_Cliente_Mes!$A$2:$A$433,C$117,Desconto_Cliente_Mes!$B$2:$B$433,$A117,Desconto_Cliente_Mes!$C$2:$C$433,"Proteina"))</f>
        <v>-0</v>
      </c>
      <c r="D125" s="16" t="n">
        <f aca="false">$D$119*($D$122/100)*((IF(SUMIFS(Desconto_Cliente_Mes!$S$2:$S$433,Desconto_Cliente_Mes!$A$2:$A$433,D$117,Desconto_Cliente_Mes!$B$2:$B$433,$A117,Desconto_Cliente_Mes!$C$2:$C$433,"Proteina")="",(IF(SUMIFS(Desconto_Cliente_Mes!$R$2:$R$433,Desconto_Cliente_Mes!$A$2:$A$433,D$117,Desconto_Cliente_Mes!$B$2:$B$433,$A117,Desconto_Cliente_Mes!$C$2:$C$433,"Proteina")="",SUMIFS(Desconto_Cliente_Mes!$Q$2:$Q$433,Desconto_Cliente_Mes!$A$2:$A$433,D$117,Desconto_Cliente_Mes!$B$2:$B$433,$A117,Desconto_Cliente_Mes!$C$2:$C$433,"Proteina"),SUMIFS(Desconto_Cliente_Mes!$R$2:$R$433,Desconto_Cliente_Mes!$A$2:$A$433,D$117,Desconto_Cliente_Mes!$B$2:$B$433,$A117,Desconto_Cliente_Mes!$C$2:$C$433,"Proteina"))),SUMIFS(Desconto_Cliente_Mes!$S$2:$S$433,Desconto_Cliente_Mes!$A$2:$A$433,D$117,Desconto_Cliente_Mes!$B$2:$B$433,$A117,Desconto_Cliente_Mes!$C$2:$C$433,"Proteina")))-(IF(SUMIFS(Desconto_Cliente_Mes!$R$2:$R$433,Desconto_Cliente_Mes!$A$2:$A$433,D$117,Desconto_Cliente_Mes!$B$2:$B$433,$A117,Desconto_Cliente_Mes!$C$2:$C$433,"Proteina")="",SUMIFS(Desconto_Cliente_Mes!$Q$2:$Q$433,Desconto_Cliente_Mes!$A$2:$A$433,D$117,Desconto_Cliente_Mes!$B$2:$B$433,$A117,Desconto_Cliente_Mes!$C$2:$C$433,"Proteina"),SUMIFS(Desconto_Cliente_Mes!$R$2:$R$433,Desconto_Cliente_Mes!$A$2:$A$433,D$117,Desconto_Cliente_Mes!$B$2:$B$433,$A117,Desconto_Cliente_Mes!$C$2:$C$433,"Proteina"))))*(SUMIFS(Desconto_Cliente_Mes!$T$2:$T$433,Desconto_Cliente_Mes!$A$2:$A$433,D$117,Desconto_Cliente_Mes!$B$2:$B$433,$A117,Desconto_Cliente_Mes!$C$2:$C$433,"Proteina"))</f>
        <v>-0</v>
      </c>
      <c r="E125" s="16" t="n">
        <f aca="false">$E$119*($E$122/100)*((IF(SUMIFS(Desconto_Cliente_Mes!$S$2:$S$433,Desconto_Cliente_Mes!$A$2:$A$433,E$117,Desconto_Cliente_Mes!$B$2:$B$433,$A117,Desconto_Cliente_Mes!$C$2:$C$433,"Proteina")="",(IF(SUMIFS(Desconto_Cliente_Mes!$R$2:$R$433,Desconto_Cliente_Mes!$A$2:$A$433,E$117,Desconto_Cliente_Mes!$B$2:$B$433,$A117,Desconto_Cliente_Mes!$C$2:$C$433,"Proteina")="",SUMIFS(Desconto_Cliente_Mes!$Q$2:$Q$433,Desconto_Cliente_Mes!$A$2:$A$433,E$117,Desconto_Cliente_Mes!$B$2:$B$433,$A117,Desconto_Cliente_Mes!$C$2:$C$433,"Proteina"),SUMIFS(Desconto_Cliente_Mes!$R$2:$R$433,Desconto_Cliente_Mes!$A$2:$A$433,E$117,Desconto_Cliente_Mes!$B$2:$B$433,$A117,Desconto_Cliente_Mes!$C$2:$C$433,"Proteina"))),SUMIFS(Desconto_Cliente_Mes!$S$2:$S$433,Desconto_Cliente_Mes!$A$2:$A$433,E$117,Desconto_Cliente_Mes!$B$2:$B$433,$A117,Desconto_Cliente_Mes!$C$2:$C$433,"Proteina")))-(IF(SUMIFS(Desconto_Cliente_Mes!$R$2:$R$433,Desconto_Cliente_Mes!$A$2:$A$433,E$117,Desconto_Cliente_Mes!$B$2:$B$433,$A117,Desconto_Cliente_Mes!$C$2:$C$433,"Proteina")="",SUMIFS(Desconto_Cliente_Mes!$Q$2:$Q$433,Desconto_Cliente_Mes!$A$2:$A$433,E$117,Desconto_Cliente_Mes!$B$2:$B$433,$A117,Desconto_Cliente_Mes!$C$2:$C$433,"Proteina"),SUMIFS(Desconto_Cliente_Mes!$R$2:$R$433,Desconto_Cliente_Mes!$A$2:$A$433,E$117,Desconto_Cliente_Mes!$B$2:$B$433,$A117,Desconto_Cliente_Mes!$C$2:$C$433,"Proteina"))))*(SUMIFS(Desconto_Cliente_Mes!$T$2:$T$433,Desconto_Cliente_Mes!$A$2:$A$433,E$117,Desconto_Cliente_Mes!$B$2:$B$433,$A117,Desconto_Cliente_Mes!$C$2:$C$433,"Proteina"))</f>
        <v>-0</v>
      </c>
      <c r="F125" s="16" t="n">
        <f aca="false">$F$119*($F$122/100)*((IF(SUMIFS(Desconto_Cliente_Mes!$S$2:$S$433,Desconto_Cliente_Mes!$A$2:$A$433,F$117,Desconto_Cliente_Mes!$B$2:$B$433,$A117,Desconto_Cliente_Mes!$C$2:$C$433,"Proteina")="",(IF(SUMIFS(Desconto_Cliente_Mes!$R$2:$R$433,Desconto_Cliente_Mes!$A$2:$A$433,F$117,Desconto_Cliente_Mes!$B$2:$B$433,$A117,Desconto_Cliente_Mes!$C$2:$C$433,"Proteina")="",SUMIFS(Desconto_Cliente_Mes!$Q$2:$Q$433,Desconto_Cliente_Mes!$A$2:$A$433,F$117,Desconto_Cliente_Mes!$B$2:$B$433,$A117,Desconto_Cliente_Mes!$C$2:$C$433,"Proteina"),SUMIFS(Desconto_Cliente_Mes!$R$2:$R$433,Desconto_Cliente_Mes!$A$2:$A$433,F$117,Desconto_Cliente_Mes!$B$2:$B$433,$A117,Desconto_Cliente_Mes!$C$2:$C$433,"Proteina"))),SUMIFS(Desconto_Cliente_Mes!$S$2:$S$433,Desconto_Cliente_Mes!$A$2:$A$433,F$117,Desconto_Cliente_Mes!$B$2:$B$433,$A117,Desconto_Cliente_Mes!$C$2:$C$433,"Proteina")))-(IF(SUMIFS(Desconto_Cliente_Mes!$R$2:$R$433,Desconto_Cliente_Mes!$A$2:$A$433,F$117,Desconto_Cliente_Mes!$B$2:$B$433,$A117,Desconto_Cliente_Mes!$C$2:$C$433,"Proteina")="",SUMIFS(Desconto_Cliente_Mes!$Q$2:$Q$433,Desconto_Cliente_Mes!$A$2:$A$433,F$117,Desconto_Cliente_Mes!$B$2:$B$433,$A117,Desconto_Cliente_Mes!$C$2:$C$433,"Proteina"),SUMIFS(Desconto_Cliente_Mes!$R$2:$R$433,Desconto_Cliente_Mes!$A$2:$A$433,F$117,Desconto_Cliente_Mes!$B$2:$B$433,$A117,Desconto_Cliente_Mes!$C$2:$C$433,"Proteina"))))*(SUMIFS(Desconto_Cliente_Mes!$T$2:$T$433,Desconto_Cliente_Mes!$A$2:$A$433,F$117,Desconto_Cliente_Mes!$B$2:$B$433,$A117,Desconto_Cliente_Mes!$C$2:$C$433,"Proteina"))</f>
        <v>-0</v>
      </c>
      <c r="G125" s="16" t="n">
        <f aca="false">$G$119*($G$122/100)*((IF(SUMIFS(Desconto_Cliente_Mes!$S$2:$S$433,Desconto_Cliente_Mes!$A$2:$A$433,G$117,Desconto_Cliente_Mes!$B$2:$B$433,$A117,Desconto_Cliente_Mes!$C$2:$C$433,"Proteina")="",(IF(SUMIFS(Desconto_Cliente_Mes!$R$2:$R$433,Desconto_Cliente_Mes!$A$2:$A$433,G$117,Desconto_Cliente_Mes!$B$2:$B$433,$A117,Desconto_Cliente_Mes!$C$2:$C$433,"Proteina")="",SUMIFS(Desconto_Cliente_Mes!$Q$2:$Q$433,Desconto_Cliente_Mes!$A$2:$A$433,G$117,Desconto_Cliente_Mes!$B$2:$B$433,$A117,Desconto_Cliente_Mes!$C$2:$C$433,"Proteina"),SUMIFS(Desconto_Cliente_Mes!$R$2:$R$433,Desconto_Cliente_Mes!$A$2:$A$433,G$117,Desconto_Cliente_Mes!$B$2:$B$433,$A117,Desconto_Cliente_Mes!$C$2:$C$433,"Proteina"))),SUMIFS(Desconto_Cliente_Mes!$S$2:$S$433,Desconto_Cliente_Mes!$A$2:$A$433,G$117,Desconto_Cliente_Mes!$B$2:$B$433,$A117,Desconto_Cliente_Mes!$C$2:$C$433,"Proteina")))-(IF(SUMIFS(Desconto_Cliente_Mes!$R$2:$R$433,Desconto_Cliente_Mes!$A$2:$A$433,G$117,Desconto_Cliente_Mes!$B$2:$B$433,$A117,Desconto_Cliente_Mes!$C$2:$C$433,"Proteina")="",SUMIFS(Desconto_Cliente_Mes!$Q$2:$Q$433,Desconto_Cliente_Mes!$A$2:$A$433,G$117,Desconto_Cliente_Mes!$B$2:$B$433,$A117,Desconto_Cliente_Mes!$C$2:$C$433,"Proteina"),SUMIFS(Desconto_Cliente_Mes!$R$2:$R$433,Desconto_Cliente_Mes!$A$2:$A$433,G$117,Desconto_Cliente_Mes!$B$2:$B$433,$A117,Desconto_Cliente_Mes!$C$2:$C$433,"Proteina"))))*(SUMIFS(Desconto_Cliente_Mes!$T$2:$T$433,Desconto_Cliente_Mes!$A$2:$A$433,G$117,Desconto_Cliente_Mes!$B$2:$B$433,$A117,Desconto_Cliente_Mes!$C$2:$C$433,"Proteina"))</f>
        <v>-0</v>
      </c>
      <c r="H125" s="16" t="n">
        <f aca="false">$H$119*($H$122/100)*((IF(SUMIFS(Desconto_Cliente_Mes!$S$2:$S$433,Desconto_Cliente_Mes!$A$2:$A$433,H$117,Desconto_Cliente_Mes!$B$2:$B$433,$A117,Desconto_Cliente_Mes!$C$2:$C$433,"Proteina")="",(IF(SUMIFS(Desconto_Cliente_Mes!$R$2:$R$433,Desconto_Cliente_Mes!$A$2:$A$433,H$117,Desconto_Cliente_Mes!$B$2:$B$433,$A117,Desconto_Cliente_Mes!$C$2:$C$433,"Proteina")="",SUMIFS(Desconto_Cliente_Mes!$Q$2:$Q$433,Desconto_Cliente_Mes!$A$2:$A$433,H$117,Desconto_Cliente_Mes!$B$2:$B$433,$A117,Desconto_Cliente_Mes!$C$2:$C$433,"Proteina"),SUMIFS(Desconto_Cliente_Mes!$R$2:$R$433,Desconto_Cliente_Mes!$A$2:$A$433,H$117,Desconto_Cliente_Mes!$B$2:$B$433,$A117,Desconto_Cliente_Mes!$C$2:$C$433,"Proteina"))),SUMIFS(Desconto_Cliente_Mes!$S$2:$S$433,Desconto_Cliente_Mes!$A$2:$A$433,H$117,Desconto_Cliente_Mes!$B$2:$B$433,$A117,Desconto_Cliente_Mes!$C$2:$C$433,"Proteina")))-(IF(SUMIFS(Desconto_Cliente_Mes!$R$2:$R$433,Desconto_Cliente_Mes!$A$2:$A$433,H$117,Desconto_Cliente_Mes!$B$2:$B$433,$A117,Desconto_Cliente_Mes!$C$2:$C$433,"Proteina")="",SUMIFS(Desconto_Cliente_Mes!$Q$2:$Q$433,Desconto_Cliente_Mes!$A$2:$A$433,H$117,Desconto_Cliente_Mes!$B$2:$B$433,$A117,Desconto_Cliente_Mes!$C$2:$C$433,"Proteina"),SUMIFS(Desconto_Cliente_Mes!$R$2:$R$433,Desconto_Cliente_Mes!$A$2:$A$433,H$117,Desconto_Cliente_Mes!$B$2:$B$433,$A117,Desconto_Cliente_Mes!$C$2:$C$433,"Proteina"))))*(SUMIFS(Desconto_Cliente_Mes!$T$2:$T$433,Desconto_Cliente_Mes!$A$2:$A$433,H$117,Desconto_Cliente_Mes!$B$2:$B$433,$A117,Desconto_Cliente_Mes!$C$2:$C$433,"Proteina"))</f>
        <v>-0</v>
      </c>
      <c r="I125" s="16" t="n">
        <f aca="false">$I$119*($I$122/100)*((IF(SUMIFS(Desconto_Cliente_Mes!$S$2:$S$433,Desconto_Cliente_Mes!$A$2:$A$433,I$117,Desconto_Cliente_Mes!$B$2:$B$433,$A117,Desconto_Cliente_Mes!$C$2:$C$433,"Proteina")="",(IF(SUMIFS(Desconto_Cliente_Mes!$R$2:$R$433,Desconto_Cliente_Mes!$A$2:$A$433,I$117,Desconto_Cliente_Mes!$B$2:$B$433,$A117,Desconto_Cliente_Mes!$C$2:$C$433,"Proteina")="",SUMIFS(Desconto_Cliente_Mes!$Q$2:$Q$433,Desconto_Cliente_Mes!$A$2:$A$433,I$117,Desconto_Cliente_Mes!$B$2:$B$433,$A117,Desconto_Cliente_Mes!$C$2:$C$433,"Proteina"),SUMIFS(Desconto_Cliente_Mes!$R$2:$R$433,Desconto_Cliente_Mes!$A$2:$A$433,I$117,Desconto_Cliente_Mes!$B$2:$B$433,$A117,Desconto_Cliente_Mes!$C$2:$C$433,"Proteina"))),SUMIFS(Desconto_Cliente_Mes!$S$2:$S$433,Desconto_Cliente_Mes!$A$2:$A$433,I$117,Desconto_Cliente_Mes!$B$2:$B$433,$A117,Desconto_Cliente_Mes!$C$2:$C$433,"Proteina")))-(IF(SUMIFS(Desconto_Cliente_Mes!$R$2:$R$433,Desconto_Cliente_Mes!$A$2:$A$433,I$117,Desconto_Cliente_Mes!$B$2:$B$433,$A117,Desconto_Cliente_Mes!$C$2:$C$433,"Proteina")="",SUMIFS(Desconto_Cliente_Mes!$Q$2:$Q$433,Desconto_Cliente_Mes!$A$2:$A$433,I$117,Desconto_Cliente_Mes!$B$2:$B$433,$A117,Desconto_Cliente_Mes!$C$2:$C$433,"Proteina"),SUMIFS(Desconto_Cliente_Mes!$R$2:$R$433,Desconto_Cliente_Mes!$A$2:$A$433,I$117,Desconto_Cliente_Mes!$B$2:$B$433,$A117,Desconto_Cliente_Mes!$C$2:$C$433,"Proteina"))))*(SUMIFS(Desconto_Cliente_Mes!$T$2:$T$433,Desconto_Cliente_Mes!$A$2:$A$433,I$117,Desconto_Cliente_Mes!$B$2:$B$433,$A117,Desconto_Cliente_Mes!$C$2:$C$433,"Proteina"))</f>
        <v>-0</v>
      </c>
      <c r="J125" s="16" t="n">
        <f aca="false">$J$119*($J$122/100)*((IF(SUMIFS(Desconto_Cliente_Mes!$S$2:$S$433,Desconto_Cliente_Mes!$A$2:$A$433,J$117,Desconto_Cliente_Mes!$B$2:$B$433,$A117,Desconto_Cliente_Mes!$C$2:$C$433,"Proteina")="",(IF(SUMIFS(Desconto_Cliente_Mes!$R$2:$R$433,Desconto_Cliente_Mes!$A$2:$A$433,J$117,Desconto_Cliente_Mes!$B$2:$B$433,$A117,Desconto_Cliente_Mes!$C$2:$C$433,"Proteina")="",SUMIFS(Desconto_Cliente_Mes!$Q$2:$Q$433,Desconto_Cliente_Mes!$A$2:$A$433,J$117,Desconto_Cliente_Mes!$B$2:$B$433,$A117,Desconto_Cliente_Mes!$C$2:$C$433,"Proteina"),SUMIFS(Desconto_Cliente_Mes!$R$2:$R$433,Desconto_Cliente_Mes!$A$2:$A$433,J$117,Desconto_Cliente_Mes!$B$2:$B$433,$A117,Desconto_Cliente_Mes!$C$2:$C$433,"Proteina"))),SUMIFS(Desconto_Cliente_Mes!$S$2:$S$433,Desconto_Cliente_Mes!$A$2:$A$433,J$117,Desconto_Cliente_Mes!$B$2:$B$433,$A117,Desconto_Cliente_Mes!$C$2:$C$433,"Proteina")))-(IF(SUMIFS(Desconto_Cliente_Mes!$R$2:$R$433,Desconto_Cliente_Mes!$A$2:$A$433,J$117,Desconto_Cliente_Mes!$B$2:$B$433,$A117,Desconto_Cliente_Mes!$C$2:$C$433,"Proteina")="",SUMIFS(Desconto_Cliente_Mes!$Q$2:$Q$433,Desconto_Cliente_Mes!$A$2:$A$433,J$117,Desconto_Cliente_Mes!$B$2:$B$433,$A117,Desconto_Cliente_Mes!$C$2:$C$433,"Proteina"),SUMIFS(Desconto_Cliente_Mes!$R$2:$R$433,Desconto_Cliente_Mes!$A$2:$A$433,J$117,Desconto_Cliente_Mes!$B$2:$B$433,$A117,Desconto_Cliente_Mes!$C$2:$C$433,"Proteina"))))*(SUMIFS(Desconto_Cliente_Mes!$T$2:$T$433,Desconto_Cliente_Mes!$A$2:$A$433,J$117,Desconto_Cliente_Mes!$B$2:$B$433,$A117,Desconto_Cliente_Mes!$C$2:$C$433,"Proteina"))</f>
        <v>-0</v>
      </c>
      <c r="K125" s="16" t="n">
        <f aca="false">$K$119*($K$122/100)*((IF(SUMIFS(Desconto_Cliente_Mes!$S$2:$S$433,Desconto_Cliente_Mes!$A$2:$A$433,K$117,Desconto_Cliente_Mes!$B$2:$B$433,$A117,Desconto_Cliente_Mes!$C$2:$C$433,"Proteina")="",(IF(SUMIFS(Desconto_Cliente_Mes!$R$2:$R$433,Desconto_Cliente_Mes!$A$2:$A$433,K$117,Desconto_Cliente_Mes!$B$2:$B$433,$A117,Desconto_Cliente_Mes!$C$2:$C$433,"Proteina")="",SUMIFS(Desconto_Cliente_Mes!$Q$2:$Q$433,Desconto_Cliente_Mes!$A$2:$A$433,K$117,Desconto_Cliente_Mes!$B$2:$B$433,$A117,Desconto_Cliente_Mes!$C$2:$C$433,"Proteina"),SUMIFS(Desconto_Cliente_Mes!$R$2:$R$433,Desconto_Cliente_Mes!$A$2:$A$433,K$117,Desconto_Cliente_Mes!$B$2:$B$433,$A117,Desconto_Cliente_Mes!$C$2:$C$433,"Proteina"))),SUMIFS(Desconto_Cliente_Mes!$S$2:$S$433,Desconto_Cliente_Mes!$A$2:$A$433,K$117,Desconto_Cliente_Mes!$B$2:$B$433,$A117,Desconto_Cliente_Mes!$C$2:$C$433,"Proteina")))-(IF(SUMIFS(Desconto_Cliente_Mes!$R$2:$R$433,Desconto_Cliente_Mes!$A$2:$A$433,K$117,Desconto_Cliente_Mes!$B$2:$B$433,$A117,Desconto_Cliente_Mes!$C$2:$C$433,"Proteina")="",SUMIFS(Desconto_Cliente_Mes!$Q$2:$Q$433,Desconto_Cliente_Mes!$A$2:$A$433,K$117,Desconto_Cliente_Mes!$B$2:$B$433,$A117,Desconto_Cliente_Mes!$C$2:$C$433,"Proteina"),SUMIFS(Desconto_Cliente_Mes!$R$2:$R$433,Desconto_Cliente_Mes!$A$2:$A$433,K$117,Desconto_Cliente_Mes!$B$2:$B$433,$A117,Desconto_Cliente_Mes!$C$2:$C$433,"Proteina"))))*(SUMIFS(Desconto_Cliente_Mes!$T$2:$T$433,Desconto_Cliente_Mes!$A$2:$A$433,K$117,Desconto_Cliente_Mes!$B$2:$B$433,$A117,Desconto_Cliente_Mes!$C$2:$C$433,"Proteina"))</f>
        <v>-0</v>
      </c>
      <c r="L125" s="16" t="n">
        <f aca="false">$L$119*($L$122/100)*((IF(SUMIFS(Desconto_Cliente_Mes!$S$2:$S$433,Desconto_Cliente_Mes!$A$2:$A$433,L$117,Desconto_Cliente_Mes!$B$2:$B$433,$A117,Desconto_Cliente_Mes!$C$2:$C$433,"Proteina")="",(IF(SUMIFS(Desconto_Cliente_Mes!$R$2:$R$433,Desconto_Cliente_Mes!$A$2:$A$433,L$117,Desconto_Cliente_Mes!$B$2:$B$433,$A117,Desconto_Cliente_Mes!$C$2:$C$433,"Proteina")="",SUMIFS(Desconto_Cliente_Mes!$Q$2:$Q$433,Desconto_Cliente_Mes!$A$2:$A$433,L$117,Desconto_Cliente_Mes!$B$2:$B$433,$A117,Desconto_Cliente_Mes!$C$2:$C$433,"Proteina"),SUMIFS(Desconto_Cliente_Mes!$R$2:$R$433,Desconto_Cliente_Mes!$A$2:$A$433,L$117,Desconto_Cliente_Mes!$B$2:$B$433,$A117,Desconto_Cliente_Mes!$C$2:$C$433,"Proteina"))),SUMIFS(Desconto_Cliente_Mes!$S$2:$S$433,Desconto_Cliente_Mes!$A$2:$A$433,L$117,Desconto_Cliente_Mes!$B$2:$B$433,$A117,Desconto_Cliente_Mes!$C$2:$C$433,"Proteina")))-(IF(SUMIFS(Desconto_Cliente_Mes!$R$2:$R$433,Desconto_Cliente_Mes!$A$2:$A$433,L$117,Desconto_Cliente_Mes!$B$2:$B$433,$A117,Desconto_Cliente_Mes!$C$2:$C$433,"Proteina")="",SUMIFS(Desconto_Cliente_Mes!$Q$2:$Q$433,Desconto_Cliente_Mes!$A$2:$A$433,L$117,Desconto_Cliente_Mes!$B$2:$B$433,$A117,Desconto_Cliente_Mes!$C$2:$C$433,"Proteina"),SUMIFS(Desconto_Cliente_Mes!$R$2:$R$433,Desconto_Cliente_Mes!$A$2:$A$433,L$117,Desconto_Cliente_Mes!$B$2:$B$433,$A117,Desconto_Cliente_Mes!$C$2:$C$433,"Proteina"))))*(SUMIFS(Desconto_Cliente_Mes!$T$2:$T$433,Desconto_Cliente_Mes!$A$2:$A$433,L$117,Desconto_Cliente_Mes!$B$2:$B$433,$A117,Desconto_Cliente_Mes!$C$2:$C$433,"Proteina"))</f>
        <v>-0</v>
      </c>
      <c r="M125" s="16" t="n">
        <f aca="false">$M$119*($M$122/100)*((IF(SUMIFS(Desconto_Cliente_Mes!$S$2:$S$433,Desconto_Cliente_Mes!$A$2:$A$433,M$117,Desconto_Cliente_Mes!$B$2:$B$433,$A117,Desconto_Cliente_Mes!$C$2:$C$433,"Proteina")="",(IF(SUMIFS(Desconto_Cliente_Mes!$R$2:$R$433,Desconto_Cliente_Mes!$A$2:$A$433,M$117,Desconto_Cliente_Mes!$B$2:$B$433,$A117,Desconto_Cliente_Mes!$C$2:$C$433,"Proteina")="",SUMIFS(Desconto_Cliente_Mes!$Q$2:$Q$433,Desconto_Cliente_Mes!$A$2:$A$433,M$117,Desconto_Cliente_Mes!$B$2:$B$433,$A117,Desconto_Cliente_Mes!$C$2:$C$433,"Proteina"),SUMIFS(Desconto_Cliente_Mes!$R$2:$R$433,Desconto_Cliente_Mes!$A$2:$A$433,M$117,Desconto_Cliente_Mes!$B$2:$B$433,$A117,Desconto_Cliente_Mes!$C$2:$C$433,"Proteina"))),SUMIFS(Desconto_Cliente_Mes!$S$2:$S$433,Desconto_Cliente_Mes!$A$2:$A$433,M$117,Desconto_Cliente_Mes!$B$2:$B$433,$A117,Desconto_Cliente_Mes!$C$2:$C$433,"Proteina")))-(IF(SUMIFS(Desconto_Cliente_Mes!$R$2:$R$433,Desconto_Cliente_Mes!$A$2:$A$433,M$117,Desconto_Cliente_Mes!$B$2:$B$433,$A117,Desconto_Cliente_Mes!$C$2:$C$433,"Proteina")="",SUMIFS(Desconto_Cliente_Mes!$Q$2:$Q$433,Desconto_Cliente_Mes!$A$2:$A$433,M$117,Desconto_Cliente_Mes!$B$2:$B$433,$A117,Desconto_Cliente_Mes!$C$2:$C$433,"Proteina"),SUMIFS(Desconto_Cliente_Mes!$R$2:$R$433,Desconto_Cliente_Mes!$A$2:$A$433,M$117,Desconto_Cliente_Mes!$B$2:$B$433,$A117,Desconto_Cliente_Mes!$C$2:$C$433,"Proteina"))))*(SUMIFS(Desconto_Cliente_Mes!$T$2:$T$433,Desconto_Cliente_Mes!$A$2:$A$433,M$117,Desconto_Cliente_Mes!$B$2:$B$433,$A117,Desconto_Cliente_Mes!$C$2:$C$433,"Proteina"))</f>
        <v>-0</v>
      </c>
      <c r="N125" s="17" t="n">
        <f aca="false">SUM(B125:M125)</f>
        <v>0</v>
      </c>
    </row>
    <row r="126" customFormat="false" ht="15" hidden="false" customHeight="false" outlineLevel="0" collapsed="false">
      <c r="A126" s="13" t="s">
        <v>82</v>
      </c>
      <c r="B126" s="16" t="n">
        <f aca="false">SUMIFS(Acerto_Detalhado!$J$2:$J$433,Acerto_Detalhado!$A$2:$A$433,B$117,Acerto_Detalhado!$B$2:$B$433,$A117,Acerto_Detalhado!$C$2:$C$433,"Proteina")</f>
        <v>0</v>
      </c>
      <c r="C126" s="16" t="n">
        <f aca="false">SUMIFS(Acerto_Detalhado!$J$2:$J$433,Acerto_Detalhado!$A$2:$A$433,C$117,Acerto_Detalhado!$B$2:$B$433,$A117,Acerto_Detalhado!$C$2:$C$433,"Proteina")</f>
        <v>0</v>
      </c>
      <c r="D126" s="16" t="n">
        <f aca="false">SUMIFS(Acerto_Detalhado!$J$2:$J$433,Acerto_Detalhado!$A$2:$A$433,D$117,Acerto_Detalhado!$B$2:$B$433,$A117,Acerto_Detalhado!$C$2:$C$433,"Proteina")</f>
        <v>0</v>
      </c>
      <c r="E126" s="16" t="n">
        <f aca="false">SUMIFS(Acerto_Detalhado!$J$2:$J$433,Acerto_Detalhado!$A$2:$A$433,E$117,Acerto_Detalhado!$B$2:$B$433,$A117,Acerto_Detalhado!$C$2:$C$433,"Proteina")</f>
        <v>0</v>
      </c>
      <c r="F126" s="16" t="n">
        <f aca="false">SUMIFS(Acerto_Detalhado!$J$2:$J$433,Acerto_Detalhado!$A$2:$A$433,F$117,Acerto_Detalhado!$B$2:$B$433,$A117,Acerto_Detalhado!$C$2:$C$433,"Proteina")</f>
        <v>0</v>
      </c>
      <c r="G126" s="16" t="n">
        <f aca="false">SUMIFS(Acerto_Detalhado!$J$2:$J$433,Acerto_Detalhado!$A$2:$A$433,G$117,Acerto_Detalhado!$B$2:$B$433,$A117,Acerto_Detalhado!$C$2:$C$433,"Proteina")</f>
        <v>0</v>
      </c>
      <c r="H126" s="16" t="n">
        <f aca="false">SUMIFS(Acerto_Detalhado!$J$2:$J$433,Acerto_Detalhado!$A$2:$A$433,H$117,Acerto_Detalhado!$B$2:$B$433,$A117,Acerto_Detalhado!$C$2:$C$433,"Proteina")</f>
        <v>0</v>
      </c>
      <c r="I126" s="16" t="n">
        <f aca="false">SUMIFS(Acerto_Detalhado!$J$2:$J$433,Acerto_Detalhado!$A$2:$A$433,I$117,Acerto_Detalhado!$B$2:$B$433,$A117,Acerto_Detalhado!$C$2:$C$433,"Proteina")</f>
        <v>0</v>
      </c>
      <c r="J126" s="16" t="n">
        <f aca="false">SUMIFS(Acerto_Detalhado!$J$2:$J$433,Acerto_Detalhado!$A$2:$A$433,J$117,Acerto_Detalhado!$B$2:$B$433,$A117,Acerto_Detalhado!$C$2:$C$433,"Proteina")</f>
        <v>0</v>
      </c>
      <c r="K126" s="16" t="n">
        <f aca="false">SUMIFS(Acerto_Detalhado!$J$2:$J$433,Acerto_Detalhado!$A$2:$A$433,K$117,Acerto_Detalhado!$B$2:$B$433,$A117,Acerto_Detalhado!$C$2:$C$433,"Proteina")</f>
        <v>0</v>
      </c>
      <c r="L126" s="16" t="n">
        <f aca="false">SUMIFS(Acerto_Detalhado!$J$2:$J$433,Acerto_Detalhado!$A$2:$A$433,L$117,Acerto_Detalhado!$B$2:$B$433,$A117,Acerto_Detalhado!$C$2:$C$433,"Proteina")</f>
        <v>0</v>
      </c>
      <c r="M126" s="16" t="n">
        <f aca="false">SUMIFS(Acerto_Detalhado!$J$2:$J$433,Acerto_Detalhado!$A$2:$A$433,M$117,Acerto_Detalhado!$B$2:$B$433,$A117,Acerto_Detalhado!$C$2:$C$433,"Proteina")</f>
        <v>0</v>
      </c>
      <c r="N126" s="17" t="n">
        <f aca="false">SUM(B126:M126)</f>
        <v>0</v>
      </c>
    </row>
    <row r="128" customFormat="false" ht="15" hidden="false" customHeight="false" outlineLevel="0" collapsed="false">
      <c r="A128" s="5" t="s">
        <v>69</v>
      </c>
      <c r="B128" s="6" t="s">
        <v>39</v>
      </c>
      <c r="C128" s="6" t="s">
        <v>40</v>
      </c>
      <c r="D128" s="6" t="s">
        <v>41</v>
      </c>
      <c r="E128" s="6" t="s">
        <v>42</v>
      </c>
      <c r="F128" s="6" t="s">
        <v>43</v>
      </c>
      <c r="G128" s="6" t="s">
        <v>44</v>
      </c>
      <c r="H128" s="6" t="s">
        <v>45</v>
      </c>
      <c r="I128" s="6" t="s">
        <v>46</v>
      </c>
      <c r="J128" s="6" t="s">
        <v>47</v>
      </c>
      <c r="K128" s="6" t="s">
        <v>48</v>
      </c>
      <c r="L128" s="6" t="s">
        <v>49</v>
      </c>
      <c r="M128" s="6" t="s">
        <v>50</v>
      </c>
      <c r="N128" s="6" t="s">
        <v>51</v>
      </c>
    </row>
    <row r="129" customFormat="false" ht="15" hidden="false" customHeight="false" outlineLevel="0" collapsed="false">
      <c r="A129" s="13" t="s">
        <v>74</v>
      </c>
      <c r="B129" s="10" t="str">
        <f aca="false">IF((SUMIFS(Desconto_Cliente_Mes!$D$2:$D$433,Desconto_Cliente_Mes!$A$2:$A$433,B$128,Desconto_Cliente_Mes!$B$2:$B$433,$A128,Desconto_Cliente_Mes!$C$2:$C$433,"Proteina"))=0,"",IFERROR(SUMIFS(Desconto_Cliente_Mes!$E$2:$E$433,Desconto_Cliente_Mes!$A$2:$A$433,B$128,Desconto_Cliente_Mes!$B$2:$B$433,$A128,Desconto_Cliente_Mes!$C$2:$C$433,"Proteina"),""))</f>
        <v/>
      </c>
      <c r="C129" s="10" t="str">
        <f aca="false">IF((SUMIFS(Desconto_Cliente_Mes!$D$2:$D$433,Desconto_Cliente_Mes!$A$2:$A$433,C$128,Desconto_Cliente_Mes!$B$2:$B$433,$A128,Desconto_Cliente_Mes!$C$2:$C$433,"Proteina"))=0,"",IFERROR(SUMIFS(Desconto_Cliente_Mes!$E$2:$E$433,Desconto_Cliente_Mes!$A$2:$A$433,C$128,Desconto_Cliente_Mes!$B$2:$B$433,$A128,Desconto_Cliente_Mes!$C$2:$C$433,"Proteina"),""))</f>
        <v/>
      </c>
      <c r="D129" s="10" t="str">
        <f aca="false">IF((SUMIFS(Desconto_Cliente_Mes!$D$2:$D$433,Desconto_Cliente_Mes!$A$2:$A$433,D$128,Desconto_Cliente_Mes!$B$2:$B$433,$A128,Desconto_Cliente_Mes!$C$2:$C$433,"Proteina"))=0,"",IFERROR(SUMIFS(Desconto_Cliente_Mes!$E$2:$E$433,Desconto_Cliente_Mes!$A$2:$A$433,D$128,Desconto_Cliente_Mes!$B$2:$B$433,$A128,Desconto_Cliente_Mes!$C$2:$C$433,"Proteina"),""))</f>
        <v/>
      </c>
      <c r="E129" s="10" t="str">
        <f aca="false">IF((SUMIFS(Desconto_Cliente_Mes!$D$2:$D$433,Desconto_Cliente_Mes!$A$2:$A$433,E$128,Desconto_Cliente_Mes!$B$2:$B$433,$A128,Desconto_Cliente_Mes!$C$2:$C$433,"Proteina"))=0,"",IFERROR(SUMIFS(Desconto_Cliente_Mes!$E$2:$E$433,Desconto_Cliente_Mes!$A$2:$A$433,E$128,Desconto_Cliente_Mes!$B$2:$B$433,$A128,Desconto_Cliente_Mes!$C$2:$C$433,"Proteina"),""))</f>
        <v/>
      </c>
      <c r="F129" s="10" t="str">
        <f aca="false">IF((SUMIFS(Desconto_Cliente_Mes!$D$2:$D$433,Desconto_Cliente_Mes!$A$2:$A$433,F$128,Desconto_Cliente_Mes!$B$2:$B$433,$A128,Desconto_Cliente_Mes!$C$2:$C$433,"Proteina"))=0,"",IFERROR(SUMIFS(Desconto_Cliente_Mes!$E$2:$E$433,Desconto_Cliente_Mes!$A$2:$A$433,F$128,Desconto_Cliente_Mes!$B$2:$B$433,$A128,Desconto_Cliente_Mes!$C$2:$C$433,"Proteina"),""))</f>
        <v/>
      </c>
      <c r="G129" s="10" t="str">
        <f aca="false">IF((SUMIFS(Desconto_Cliente_Mes!$D$2:$D$433,Desconto_Cliente_Mes!$A$2:$A$433,G$128,Desconto_Cliente_Mes!$B$2:$B$433,$A128,Desconto_Cliente_Mes!$C$2:$C$433,"Proteina"))=0,"",IFERROR(SUMIFS(Desconto_Cliente_Mes!$E$2:$E$433,Desconto_Cliente_Mes!$A$2:$A$433,G$128,Desconto_Cliente_Mes!$B$2:$B$433,$A128,Desconto_Cliente_Mes!$C$2:$C$433,"Proteina"),""))</f>
        <v/>
      </c>
      <c r="H129" s="10" t="str">
        <f aca="false">IF((SUMIFS(Desconto_Cliente_Mes!$D$2:$D$433,Desconto_Cliente_Mes!$A$2:$A$433,H$128,Desconto_Cliente_Mes!$B$2:$B$433,$A128,Desconto_Cliente_Mes!$C$2:$C$433,"Proteina"))=0,"",IFERROR(SUMIFS(Desconto_Cliente_Mes!$E$2:$E$433,Desconto_Cliente_Mes!$A$2:$A$433,H$128,Desconto_Cliente_Mes!$B$2:$B$433,$A128,Desconto_Cliente_Mes!$C$2:$C$433,"Proteina"),""))</f>
        <v/>
      </c>
      <c r="I129" s="10" t="str">
        <f aca="false">IF((SUMIFS(Desconto_Cliente_Mes!$D$2:$D$433,Desconto_Cliente_Mes!$A$2:$A$433,I$128,Desconto_Cliente_Mes!$B$2:$B$433,$A128,Desconto_Cliente_Mes!$C$2:$C$433,"Proteina"))=0,"",IFERROR(SUMIFS(Desconto_Cliente_Mes!$E$2:$E$433,Desconto_Cliente_Mes!$A$2:$A$433,I$128,Desconto_Cliente_Mes!$B$2:$B$433,$A128,Desconto_Cliente_Mes!$C$2:$C$433,"Proteina"),""))</f>
        <v/>
      </c>
      <c r="J129" s="10" t="str">
        <f aca="false">IF((SUMIFS(Desconto_Cliente_Mes!$D$2:$D$433,Desconto_Cliente_Mes!$A$2:$A$433,J$128,Desconto_Cliente_Mes!$B$2:$B$433,$A128,Desconto_Cliente_Mes!$C$2:$C$433,"Proteina"))=0,"",IFERROR(SUMIFS(Desconto_Cliente_Mes!$E$2:$E$433,Desconto_Cliente_Mes!$A$2:$A$433,J$128,Desconto_Cliente_Mes!$B$2:$B$433,$A128,Desconto_Cliente_Mes!$C$2:$C$433,"Proteina"),""))</f>
        <v/>
      </c>
      <c r="K129" s="10" t="str">
        <f aca="false">IF((SUMIFS(Desconto_Cliente_Mes!$D$2:$D$433,Desconto_Cliente_Mes!$A$2:$A$433,K$128,Desconto_Cliente_Mes!$B$2:$B$433,$A128,Desconto_Cliente_Mes!$C$2:$C$433,"Proteina"))=0,"",IFERROR(SUMIFS(Desconto_Cliente_Mes!$E$2:$E$433,Desconto_Cliente_Mes!$A$2:$A$433,K$128,Desconto_Cliente_Mes!$B$2:$B$433,$A128,Desconto_Cliente_Mes!$C$2:$C$433,"Proteina"),""))</f>
        <v/>
      </c>
      <c r="L129" s="10" t="str">
        <f aca="false">IF((SUMIFS(Desconto_Cliente_Mes!$D$2:$D$433,Desconto_Cliente_Mes!$A$2:$A$433,L$128,Desconto_Cliente_Mes!$B$2:$B$433,$A128,Desconto_Cliente_Mes!$C$2:$C$433,"Proteina"))=0,"",IFERROR(SUMIFS(Desconto_Cliente_Mes!$E$2:$E$433,Desconto_Cliente_Mes!$A$2:$A$433,L$128,Desconto_Cliente_Mes!$B$2:$B$433,$A128,Desconto_Cliente_Mes!$C$2:$C$433,"Proteina"),""))</f>
        <v/>
      </c>
      <c r="M129" s="10" t="str">
        <f aca="false">IF((SUMIFS(Desconto_Cliente_Mes!$D$2:$D$433,Desconto_Cliente_Mes!$A$2:$A$433,M$128,Desconto_Cliente_Mes!$B$2:$B$433,$A128,Desconto_Cliente_Mes!$C$2:$C$433,"Proteina"))=0,"",IFERROR(SUMIFS(Desconto_Cliente_Mes!$E$2:$E$433,Desconto_Cliente_Mes!$A$2:$A$433,M$128,Desconto_Cliente_Mes!$B$2:$B$433,$A128,Desconto_Cliente_Mes!$C$2:$C$433,"Proteina"),""))</f>
        <v/>
      </c>
      <c r="N129" s="11" t="str">
        <f aca="false">IFERROR(Media_Pool_Mes!C13,"")</f>
        <v/>
      </c>
    </row>
    <row r="130" customFormat="false" ht="15" hidden="false" customHeight="false" outlineLevel="0" collapsed="false">
      <c r="A130" s="13" t="s">
        <v>75</v>
      </c>
      <c r="B130" s="8" t="n">
        <f aca="false">IFERROR(SUMIFS(Desconto_Cliente_Mes!$D$2:$D$433,Desconto_Cliente_Mes!$A$2:$A$433,B$128,Desconto_Cliente_Mes!$B$2:$B$433,$A128,Desconto_Cliente_Mes!$C$2:$C$433,"Proteina"),0)</f>
        <v>0</v>
      </c>
      <c r="C130" s="8" t="n">
        <f aca="false">IFERROR(SUMIFS(Desconto_Cliente_Mes!$D$2:$D$433,Desconto_Cliente_Mes!$A$2:$A$433,C$128,Desconto_Cliente_Mes!$B$2:$B$433,$A128,Desconto_Cliente_Mes!$C$2:$C$433,"Proteina"),0)</f>
        <v>0</v>
      </c>
      <c r="D130" s="8" t="n">
        <f aca="false">IFERROR(SUMIFS(Desconto_Cliente_Mes!$D$2:$D$433,Desconto_Cliente_Mes!$A$2:$A$433,D$128,Desconto_Cliente_Mes!$B$2:$B$433,$A128,Desconto_Cliente_Mes!$C$2:$C$433,"Proteina"),0)</f>
        <v>0</v>
      </c>
      <c r="E130" s="8" t="n">
        <f aca="false">IFERROR(SUMIFS(Desconto_Cliente_Mes!$D$2:$D$433,Desconto_Cliente_Mes!$A$2:$A$433,E$128,Desconto_Cliente_Mes!$B$2:$B$433,$A128,Desconto_Cliente_Mes!$C$2:$C$433,"Proteina"),0)</f>
        <v>0</v>
      </c>
      <c r="F130" s="8" t="n">
        <f aca="false">IFERROR(SUMIFS(Desconto_Cliente_Mes!$D$2:$D$433,Desconto_Cliente_Mes!$A$2:$A$433,F$128,Desconto_Cliente_Mes!$B$2:$B$433,$A128,Desconto_Cliente_Mes!$C$2:$C$433,"Proteina"),0)</f>
        <v>0</v>
      </c>
      <c r="G130" s="8" t="n">
        <f aca="false">IFERROR(SUMIFS(Desconto_Cliente_Mes!$D$2:$D$433,Desconto_Cliente_Mes!$A$2:$A$433,G$128,Desconto_Cliente_Mes!$B$2:$B$433,$A128,Desconto_Cliente_Mes!$C$2:$C$433,"Proteina"),0)</f>
        <v>0</v>
      </c>
      <c r="H130" s="8" t="n">
        <f aca="false">IFERROR(SUMIFS(Desconto_Cliente_Mes!$D$2:$D$433,Desconto_Cliente_Mes!$A$2:$A$433,H$128,Desconto_Cliente_Mes!$B$2:$B$433,$A128,Desconto_Cliente_Mes!$C$2:$C$433,"Proteina"),0)</f>
        <v>0</v>
      </c>
      <c r="I130" s="8" t="n">
        <f aca="false">IFERROR(SUMIFS(Desconto_Cliente_Mes!$D$2:$D$433,Desconto_Cliente_Mes!$A$2:$A$433,I$128,Desconto_Cliente_Mes!$B$2:$B$433,$A128,Desconto_Cliente_Mes!$C$2:$C$433,"Proteina"),0)</f>
        <v>0</v>
      </c>
      <c r="J130" s="8" t="n">
        <f aca="false">IFERROR(SUMIFS(Desconto_Cliente_Mes!$D$2:$D$433,Desconto_Cliente_Mes!$A$2:$A$433,J$128,Desconto_Cliente_Mes!$B$2:$B$433,$A128,Desconto_Cliente_Mes!$C$2:$C$433,"Proteina"),0)</f>
        <v>0</v>
      </c>
      <c r="K130" s="8" t="n">
        <f aca="false">IFERROR(SUMIFS(Desconto_Cliente_Mes!$D$2:$D$433,Desconto_Cliente_Mes!$A$2:$A$433,K$128,Desconto_Cliente_Mes!$B$2:$B$433,$A128,Desconto_Cliente_Mes!$C$2:$C$433,"Proteina"),0)</f>
        <v>0</v>
      </c>
      <c r="L130" s="8" t="n">
        <f aca="false">IFERROR(SUMIFS(Desconto_Cliente_Mes!$D$2:$D$433,Desconto_Cliente_Mes!$A$2:$A$433,L$128,Desconto_Cliente_Mes!$B$2:$B$433,$A128,Desconto_Cliente_Mes!$C$2:$C$433,"Proteina"),0)</f>
        <v>0</v>
      </c>
      <c r="M130" s="8" t="n">
        <f aca="false">IFERROR(SUMIFS(Desconto_Cliente_Mes!$D$2:$D$433,Desconto_Cliente_Mes!$A$2:$A$433,M$128,Desconto_Cliente_Mes!$B$2:$B$433,$A128,Desconto_Cliente_Mes!$C$2:$C$433,"Proteina"),0)</f>
        <v>0</v>
      </c>
      <c r="N130" s="9" t="n">
        <f aca="false">SUM(B130:M130)</f>
        <v>0</v>
      </c>
    </row>
    <row r="131" customFormat="false" ht="15" hidden="false" customHeight="false" outlineLevel="0" collapsed="false">
      <c r="A131" s="13" t="s">
        <v>76</v>
      </c>
      <c r="B131" s="15" t="n">
        <f aca="false">MAX(0,(SUMIFS(Desconto_Cliente_Mes!$L$2:$L$433,Desconto_Cliente_Mes!$A$2:$A$433,B$128,Desconto_Cliente_Mes!$B$2:$B$433,$A128,Desconto_Cliente_Mes!$C$2:$C$433,"Proteina"))-(SUMIFS(Desconto_Cliente_Mes!$N$2:$N$433,Desconto_Cliente_Mes!$A$2:$A$433,B$128,Desconto_Cliente_Mes!$B$2:$B$433,$A128,Desconto_Cliente_Mes!$C$2:$C$433,"Proteina")))</f>
        <v>0</v>
      </c>
      <c r="C131" s="15" t="n">
        <f aca="false">MAX(0,(SUMIFS(Desconto_Cliente_Mes!$L$2:$L$433,Desconto_Cliente_Mes!$A$2:$A$433,C$128,Desconto_Cliente_Mes!$B$2:$B$433,$A128,Desconto_Cliente_Mes!$C$2:$C$433,"Proteina"))-(SUMIFS(Desconto_Cliente_Mes!$N$2:$N$433,Desconto_Cliente_Mes!$A$2:$A$433,C$128,Desconto_Cliente_Mes!$B$2:$B$433,$A128,Desconto_Cliente_Mes!$C$2:$C$433,"Proteina")))</f>
        <v>0</v>
      </c>
      <c r="D131" s="15" t="n">
        <f aca="false">MAX(0,(SUMIFS(Desconto_Cliente_Mes!$L$2:$L$433,Desconto_Cliente_Mes!$A$2:$A$433,D$128,Desconto_Cliente_Mes!$B$2:$B$433,$A128,Desconto_Cliente_Mes!$C$2:$C$433,"Proteina"))-(SUMIFS(Desconto_Cliente_Mes!$N$2:$N$433,Desconto_Cliente_Mes!$A$2:$A$433,D$128,Desconto_Cliente_Mes!$B$2:$B$433,$A128,Desconto_Cliente_Mes!$C$2:$C$433,"Proteina")))</f>
        <v>0</v>
      </c>
      <c r="E131" s="15" t="n">
        <f aca="false">MAX(0,(SUMIFS(Desconto_Cliente_Mes!$L$2:$L$433,Desconto_Cliente_Mes!$A$2:$A$433,E$128,Desconto_Cliente_Mes!$B$2:$B$433,$A128,Desconto_Cliente_Mes!$C$2:$C$433,"Proteina"))-(SUMIFS(Desconto_Cliente_Mes!$N$2:$N$433,Desconto_Cliente_Mes!$A$2:$A$433,E$128,Desconto_Cliente_Mes!$B$2:$B$433,$A128,Desconto_Cliente_Mes!$C$2:$C$433,"Proteina")))</f>
        <v>0</v>
      </c>
      <c r="F131" s="15" t="n">
        <f aca="false">MAX(0,(SUMIFS(Desconto_Cliente_Mes!$L$2:$L$433,Desconto_Cliente_Mes!$A$2:$A$433,F$128,Desconto_Cliente_Mes!$B$2:$B$433,$A128,Desconto_Cliente_Mes!$C$2:$C$433,"Proteina"))-(SUMIFS(Desconto_Cliente_Mes!$N$2:$N$433,Desconto_Cliente_Mes!$A$2:$A$433,F$128,Desconto_Cliente_Mes!$B$2:$B$433,$A128,Desconto_Cliente_Mes!$C$2:$C$433,"Proteina")))</f>
        <v>0</v>
      </c>
      <c r="G131" s="15" t="n">
        <f aca="false">MAX(0,(SUMIFS(Desconto_Cliente_Mes!$L$2:$L$433,Desconto_Cliente_Mes!$A$2:$A$433,G$128,Desconto_Cliente_Mes!$B$2:$B$433,$A128,Desconto_Cliente_Mes!$C$2:$C$433,"Proteina"))-(SUMIFS(Desconto_Cliente_Mes!$N$2:$N$433,Desconto_Cliente_Mes!$A$2:$A$433,G$128,Desconto_Cliente_Mes!$B$2:$B$433,$A128,Desconto_Cliente_Mes!$C$2:$C$433,"Proteina")))</f>
        <v>0</v>
      </c>
      <c r="H131" s="15" t="n">
        <f aca="false">MAX(0,(SUMIFS(Desconto_Cliente_Mes!$L$2:$L$433,Desconto_Cliente_Mes!$A$2:$A$433,H$128,Desconto_Cliente_Mes!$B$2:$B$433,$A128,Desconto_Cliente_Mes!$C$2:$C$433,"Proteina"))-(SUMIFS(Desconto_Cliente_Mes!$N$2:$N$433,Desconto_Cliente_Mes!$A$2:$A$433,H$128,Desconto_Cliente_Mes!$B$2:$B$433,$A128,Desconto_Cliente_Mes!$C$2:$C$433,"Proteina")))</f>
        <v>0</v>
      </c>
      <c r="I131" s="15" t="n">
        <f aca="false">MAX(0,(SUMIFS(Desconto_Cliente_Mes!$L$2:$L$433,Desconto_Cliente_Mes!$A$2:$A$433,I$128,Desconto_Cliente_Mes!$B$2:$B$433,$A128,Desconto_Cliente_Mes!$C$2:$C$433,"Proteina"))-(SUMIFS(Desconto_Cliente_Mes!$N$2:$N$433,Desconto_Cliente_Mes!$A$2:$A$433,I$128,Desconto_Cliente_Mes!$B$2:$B$433,$A128,Desconto_Cliente_Mes!$C$2:$C$433,"Proteina")))</f>
        <v>0</v>
      </c>
      <c r="J131" s="15" t="n">
        <f aca="false">MAX(0,(SUMIFS(Desconto_Cliente_Mes!$L$2:$L$433,Desconto_Cliente_Mes!$A$2:$A$433,J$128,Desconto_Cliente_Mes!$B$2:$B$433,$A128,Desconto_Cliente_Mes!$C$2:$C$433,"Proteina"))-(SUMIFS(Desconto_Cliente_Mes!$N$2:$N$433,Desconto_Cliente_Mes!$A$2:$A$433,J$128,Desconto_Cliente_Mes!$B$2:$B$433,$A128,Desconto_Cliente_Mes!$C$2:$C$433,"Proteina")))</f>
        <v>0</v>
      </c>
      <c r="K131" s="15" t="n">
        <f aca="false">MAX(0,(SUMIFS(Desconto_Cliente_Mes!$L$2:$L$433,Desconto_Cliente_Mes!$A$2:$A$433,K$128,Desconto_Cliente_Mes!$B$2:$B$433,$A128,Desconto_Cliente_Mes!$C$2:$C$433,"Proteina"))-(SUMIFS(Desconto_Cliente_Mes!$N$2:$N$433,Desconto_Cliente_Mes!$A$2:$A$433,K$128,Desconto_Cliente_Mes!$B$2:$B$433,$A128,Desconto_Cliente_Mes!$C$2:$C$433,"Proteina")))</f>
        <v>0</v>
      </c>
      <c r="L131" s="15" t="n">
        <f aca="false">MAX(0,(SUMIFS(Desconto_Cliente_Mes!$L$2:$L$433,Desconto_Cliente_Mes!$A$2:$A$433,L$128,Desconto_Cliente_Mes!$B$2:$B$433,$A128,Desconto_Cliente_Mes!$C$2:$C$433,"Proteina"))-(SUMIFS(Desconto_Cliente_Mes!$N$2:$N$433,Desconto_Cliente_Mes!$A$2:$A$433,L$128,Desconto_Cliente_Mes!$B$2:$B$433,$A128,Desconto_Cliente_Mes!$C$2:$C$433,"Proteina")))</f>
        <v>0</v>
      </c>
      <c r="M131" s="15" t="n">
        <f aca="false">MAX(0,(SUMIFS(Desconto_Cliente_Mes!$L$2:$L$433,Desconto_Cliente_Mes!$A$2:$A$433,M$128,Desconto_Cliente_Mes!$B$2:$B$433,$A128,Desconto_Cliente_Mes!$C$2:$C$433,"Proteina"))-(SUMIFS(Desconto_Cliente_Mes!$N$2:$N$433,Desconto_Cliente_Mes!$A$2:$A$433,M$128,Desconto_Cliente_Mes!$B$2:$B$433,$A128,Desconto_Cliente_Mes!$C$2:$C$433,"Proteina")))</f>
        <v>0</v>
      </c>
    </row>
    <row r="132" customFormat="false" ht="15" hidden="false" customHeight="false" outlineLevel="0" collapsed="false">
      <c r="A132" s="13" t="s">
        <v>77</v>
      </c>
      <c r="B132" s="15" t="n">
        <f aca="false">MAX(0,(SUMIFS(Desconto_Cliente_Mes!$N$2:$N$433,Desconto_Cliente_Mes!$A$2:$A$433,B$128,Desconto_Cliente_Mes!$B$2:$B$433,$A128,Desconto_Cliente_Mes!$C$2:$C$433,"Proteina"))-(SUMIFS(Desconto_Cliente_Mes!$P$2:$P$433,Desconto_Cliente_Mes!$A$2:$A$433,B$128,Desconto_Cliente_Mes!$B$2:$B$433,$A128,Desconto_Cliente_Mes!$C$2:$C$433,"Proteina")))</f>
        <v>0</v>
      </c>
      <c r="C132" s="15" t="n">
        <f aca="false">MAX(0,(SUMIFS(Desconto_Cliente_Mes!$N$2:$N$433,Desconto_Cliente_Mes!$A$2:$A$433,C$128,Desconto_Cliente_Mes!$B$2:$B$433,$A128,Desconto_Cliente_Mes!$C$2:$C$433,"Proteina"))-(SUMIFS(Desconto_Cliente_Mes!$P$2:$P$433,Desconto_Cliente_Mes!$A$2:$A$433,C$128,Desconto_Cliente_Mes!$B$2:$B$433,$A128,Desconto_Cliente_Mes!$C$2:$C$433,"Proteina")))</f>
        <v>0</v>
      </c>
      <c r="D132" s="15" t="n">
        <f aca="false">MAX(0,(SUMIFS(Desconto_Cliente_Mes!$N$2:$N$433,Desconto_Cliente_Mes!$A$2:$A$433,D$128,Desconto_Cliente_Mes!$B$2:$B$433,$A128,Desconto_Cliente_Mes!$C$2:$C$433,"Proteina"))-(SUMIFS(Desconto_Cliente_Mes!$P$2:$P$433,Desconto_Cliente_Mes!$A$2:$A$433,D$128,Desconto_Cliente_Mes!$B$2:$B$433,$A128,Desconto_Cliente_Mes!$C$2:$C$433,"Proteina")))</f>
        <v>0</v>
      </c>
      <c r="E132" s="15" t="n">
        <f aca="false">MAX(0,(SUMIFS(Desconto_Cliente_Mes!$N$2:$N$433,Desconto_Cliente_Mes!$A$2:$A$433,E$128,Desconto_Cliente_Mes!$B$2:$B$433,$A128,Desconto_Cliente_Mes!$C$2:$C$433,"Proteina"))-(SUMIFS(Desconto_Cliente_Mes!$P$2:$P$433,Desconto_Cliente_Mes!$A$2:$A$433,E$128,Desconto_Cliente_Mes!$B$2:$B$433,$A128,Desconto_Cliente_Mes!$C$2:$C$433,"Proteina")))</f>
        <v>0</v>
      </c>
      <c r="F132" s="15" t="n">
        <f aca="false">MAX(0,(SUMIFS(Desconto_Cliente_Mes!$N$2:$N$433,Desconto_Cliente_Mes!$A$2:$A$433,F$128,Desconto_Cliente_Mes!$B$2:$B$433,$A128,Desconto_Cliente_Mes!$C$2:$C$433,"Proteina"))-(SUMIFS(Desconto_Cliente_Mes!$P$2:$P$433,Desconto_Cliente_Mes!$A$2:$A$433,F$128,Desconto_Cliente_Mes!$B$2:$B$433,$A128,Desconto_Cliente_Mes!$C$2:$C$433,"Proteina")))</f>
        <v>0</v>
      </c>
      <c r="G132" s="15" t="n">
        <f aca="false">MAX(0,(SUMIFS(Desconto_Cliente_Mes!$N$2:$N$433,Desconto_Cliente_Mes!$A$2:$A$433,G$128,Desconto_Cliente_Mes!$B$2:$B$433,$A128,Desconto_Cliente_Mes!$C$2:$C$433,"Proteina"))-(SUMIFS(Desconto_Cliente_Mes!$P$2:$P$433,Desconto_Cliente_Mes!$A$2:$A$433,G$128,Desconto_Cliente_Mes!$B$2:$B$433,$A128,Desconto_Cliente_Mes!$C$2:$C$433,"Proteina")))</f>
        <v>0</v>
      </c>
      <c r="H132" s="15" t="n">
        <f aca="false">MAX(0,(SUMIFS(Desconto_Cliente_Mes!$N$2:$N$433,Desconto_Cliente_Mes!$A$2:$A$433,H$128,Desconto_Cliente_Mes!$B$2:$B$433,$A128,Desconto_Cliente_Mes!$C$2:$C$433,"Proteina"))-(SUMIFS(Desconto_Cliente_Mes!$P$2:$P$433,Desconto_Cliente_Mes!$A$2:$A$433,H$128,Desconto_Cliente_Mes!$B$2:$B$433,$A128,Desconto_Cliente_Mes!$C$2:$C$433,"Proteina")))</f>
        <v>0</v>
      </c>
      <c r="I132" s="15" t="n">
        <f aca="false">MAX(0,(SUMIFS(Desconto_Cliente_Mes!$N$2:$N$433,Desconto_Cliente_Mes!$A$2:$A$433,I$128,Desconto_Cliente_Mes!$B$2:$B$433,$A128,Desconto_Cliente_Mes!$C$2:$C$433,"Proteina"))-(SUMIFS(Desconto_Cliente_Mes!$P$2:$P$433,Desconto_Cliente_Mes!$A$2:$A$433,I$128,Desconto_Cliente_Mes!$B$2:$B$433,$A128,Desconto_Cliente_Mes!$C$2:$C$433,"Proteina")))</f>
        <v>0</v>
      </c>
      <c r="J132" s="15" t="n">
        <f aca="false">MAX(0,(SUMIFS(Desconto_Cliente_Mes!$N$2:$N$433,Desconto_Cliente_Mes!$A$2:$A$433,J$128,Desconto_Cliente_Mes!$B$2:$B$433,$A128,Desconto_Cliente_Mes!$C$2:$C$433,"Proteina"))-(SUMIFS(Desconto_Cliente_Mes!$P$2:$P$433,Desconto_Cliente_Mes!$A$2:$A$433,J$128,Desconto_Cliente_Mes!$B$2:$B$433,$A128,Desconto_Cliente_Mes!$C$2:$C$433,"Proteina")))</f>
        <v>0</v>
      </c>
      <c r="K132" s="15" t="n">
        <f aca="false">MAX(0,(SUMIFS(Desconto_Cliente_Mes!$N$2:$N$433,Desconto_Cliente_Mes!$A$2:$A$433,K$128,Desconto_Cliente_Mes!$B$2:$B$433,$A128,Desconto_Cliente_Mes!$C$2:$C$433,"Proteina"))-(SUMIFS(Desconto_Cliente_Mes!$P$2:$P$433,Desconto_Cliente_Mes!$A$2:$A$433,K$128,Desconto_Cliente_Mes!$B$2:$B$433,$A128,Desconto_Cliente_Mes!$C$2:$C$433,"Proteina")))</f>
        <v>0</v>
      </c>
      <c r="L132" s="15" t="n">
        <f aca="false">MAX(0,(SUMIFS(Desconto_Cliente_Mes!$N$2:$N$433,Desconto_Cliente_Mes!$A$2:$A$433,L$128,Desconto_Cliente_Mes!$B$2:$B$433,$A128,Desconto_Cliente_Mes!$C$2:$C$433,"Proteina"))-(SUMIFS(Desconto_Cliente_Mes!$P$2:$P$433,Desconto_Cliente_Mes!$A$2:$A$433,L$128,Desconto_Cliente_Mes!$B$2:$B$433,$A128,Desconto_Cliente_Mes!$C$2:$C$433,"Proteina")))</f>
        <v>0</v>
      </c>
      <c r="M132" s="15" t="n">
        <f aca="false">MAX(0,(SUMIFS(Desconto_Cliente_Mes!$N$2:$N$433,Desconto_Cliente_Mes!$A$2:$A$433,M$128,Desconto_Cliente_Mes!$B$2:$B$433,$A128,Desconto_Cliente_Mes!$C$2:$C$433,"Proteina"))-(SUMIFS(Desconto_Cliente_Mes!$P$2:$P$433,Desconto_Cliente_Mes!$A$2:$A$433,M$128,Desconto_Cliente_Mes!$B$2:$B$433,$A128,Desconto_Cliente_Mes!$C$2:$C$433,"Proteina")))</f>
        <v>0</v>
      </c>
    </row>
    <row r="133" customFormat="false" ht="15" hidden="false" customHeight="false" outlineLevel="0" collapsed="false">
      <c r="A133" s="13" t="s">
        <v>78</v>
      </c>
      <c r="B133" s="15" t="n">
        <f aca="false">MAX(0,SUMIFS(Desconto_Cliente_Mes!$P$2:$P$433,Desconto_Cliente_Mes!$A$2:$A$433,B$128,Desconto_Cliente_Mes!$B$2:$B$433,$A128,Desconto_Cliente_Mes!$C$2:$C$433,"Proteina"))</f>
        <v>0</v>
      </c>
      <c r="C133" s="15" t="n">
        <f aca="false">MAX(0,SUMIFS(Desconto_Cliente_Mes!$P$2:$P$433,Desconto_Cliente_Mes!$A$2:$A$433,C$128,Desconto_Cliente_Mes!$B$2:$B$433,$A128,Desconto_Cliente_Mes!$C$2:$C$433,"Proteina"))</f>
        <v>0</v>
      </c>
      <c r="D133" s="15" t="n">
        <f aca="false">MAX(0,SUMIFS(Desconto_Cliente_Mes!$P$2:$P$433,Desconto_Cliente_Mes!$A$2:$A$433,D$128,Desconto_Cliente_Mes!$B$2:$B$433,$A128,Desconto_Cliente_Mes!$C$2:$C$433,"Proteina"))</f>
        <v>0</v>
      </c>
      <c r="E133" s="15" t="n">
        <f aca="false">MAX(0,SUMIFS(Desconto_Cliente_Mes!$P$2:$P$433,Desconto_Cliente_Mes!$A$2:$A$433,E$128,Desconto_Cliente_Mes!$B$2:$B$433,$A128,Desconto_Cliente_Mes!$C$2:$C$433,"Proteina"))</f>
        <v>0</v>
      </c>
      <c r="F133" s="15" t="n">
        <f aca="false">MAX(0,SUMIFS(Desconto_Cliente_Mes!$P$2:$P$433,Desconto_Cliente_Mes!$A$2:$A$433,F$128,Desconto_Cliente_Mes!$B$2:$B$433,$A128,Desconto_Cliente_Mes!$C$2:$C$433,"Proteina"))</f>
        <v>0</v>
      </c>
      <c r="G133" s="15" t="n">
        <f aca="false">MAX(0,SUMIFS(Desconto_Cliente_Mes!$P$2:$P$433,Desconto_Cliente_Mes!$A$2:$A$433,G$128,Desconto_Cliente_Mes!$B$2:$B$433,$A128,Desconto_Cliente_Mes!$C$2:$C$433,"Proteina"))</f>
        <v>0</v>
      </c>
      <c r="H133" s="15" t="n">
        <f aca="false">MAX(0,SUMIFS(Desconto_Cliente_Mes!$P$2:$P$433,Desconto_Cliente_Mes!$A$2:$A$433,H$128,Desconto_Cliente_Mes!$B$2:$B$433,$A128,Desconto_Cliente_Mes!$C$2:$C$433,"Proteina"))</f>
        <v>0</v>
      </c>
      <c r="I133" s="15" t="n">
        <f aca="false">MAX(0,SUMIFS(Desconto_Cliente_Mes!$P$2:$P$433,Desconto_Cliente_Mes!$A$2:$A$433,I$128,Desconto_Cliente_Mes!$B$2:$B$433,$A128,Desconto_Cliente_Mes!$C$2:$C$433,"Proteina"))</f>
        <v>0</v>
      </c>
      <c r="J133" s="15" t="n">
        <f aca="false">MAX(0,SUMIFS(Desconto_Cliente_Mes!$P$2:$P$433,Desconto_Cliente_Mes!$A$2:$A$433,J$128,Desconto_Cliente_Mes!$B$2:$B$433,$A128,Desconto_Cliente_Mes!$C$2:$C$433,"Proteina"))</f>
        <v>0</v>
      </c>
      <c r="K133" s="15" t="n">
        <f aca="false">MAX(0,SUMIFS(Desconto_Cliente_Mes!$P$2:$P$433,Desconto_Cliente_Mes!$A$2:$A$433,K$128,Desconto_Cliente_Mes!$B$2:$B$433,$A128,Desconto_Cliente_Mes!$C$2:$C$433,"Proteina"))</f>
        <v>0</v>
      </c>
      <c r="L133" s="15" t="n">
        <f aca="false">MAX(0,SUMIFS(Desconto_Cliente_Mes!$P$2:$P$433,Desconto_Cliente_Mes!$A$2:$A$433,L$128,Desconto_Cliente_Mes!$B$2:$B$433,$A128,Desconto_Cliente_Mes!$C$2:$C$433,"Proteina"))</f>
        <v>0</v>
      </c>
      <c r="M133" s="15" t="n">
        <f aca="false">MAX(0,SUMIFS(Desconto_Cliente_Mes!$P$2:$P$433,Desconto_Cliente_Mes!$A$2:$A$433,M$128,Desconto_Cliente_Mes!$B$2:$B$433,$A128,Desconto_Cliente_Mes!$C$2:$C$433,"Proteina"))</f>
        <v>0</v>
      </c>
    </row>
    <row r="134" customFormat="false" ht="15" hidden="false" customHeight="false" outlineLevel="0" collapsed="false">
      <c r="A134" s="13" t="s">
        <v>79</v>
      </c>
      <c r="B134" s="16" t="n">
        <f aca="false">$B$130*($B$131/100)*(SUMIFS(Desconto_Cliente_Mes!$Q$2:$Q$433,Desconto_Cliente_Mes!$A$2:$A$433,B$128,Desconto_Cliente_Mes!$B$2:$B$433,$A128,Desconto_Cliente_Mes!$C$2:$C$433,"Proteina"))*(SUMIFS(Desconto_Cliente_Mes!$T$2:$T$433,Desconto_Cliente_Mes!$A$2:$A$433,B$128,Desconto_Cliente_Mes!$B$2:$B$433,$A128,Desconto_Cliente_Mes!$C$2:$C$433,"Proteina"))</f>
        <v>0</v>
      </c>
      <c r="C134" s="16" t="n">
        <f aca="false">$C$130*($C$131/100)*(SUMIFS(Desconto_Cliente_Mes!$Q$2:$Q$433,Desconto_Cliente_Mes!$A$2:$A$433,C$128,Desconto_Cliente_Mes!$B$2:$B$433,$A128,Desconto_Cliente_Mes!$C$2:$C$433,"Proteina"))*(SUMIFS(Desconto_Cliente_Mes!$T$2:$T$433,Desconto_Cliente_Mes!$A$2:$A$433,C$128,Desconto_Cliente_Mes!$B$2:$B$433,$A128,Desconto_Cliente_Mes!$C$2:$C$433,"Proteina"))</f>
        <v>0</v>
      </c>
      <c r="D134" s="16" t="n">
        <f aca="false">$D$130*($D$131/100)*(SUMIFS(Desconto_Cliente_Mes!$Q$2:$Q$433,Desconto_Cliente_Mes!$A$2:$A$433,D$128,Desconto_Cliente_Mes!$B$2:$B$433,$A128,Desconto_Cliente_Mes!$C$2:$C$433,"Proteina"))*(SUMIFS(Desconto_Cliente_Mes!$T$2:$T$433,Desconto_Cliente_Mes!$A$2:$A$433,D$128,Desconto_Cliente_Mes!$B$2:$B$433,$A128,Desconto_Cliente_Mes!$C$2:$C$433,"Proteina"))</f>
        <v>0</v>
      </c>
      <c r="E134" s="16" t="n">
        <f aca="false">$E$130*($E$131/100)*(SUMIFS(Desconto_Cliente_Mes!$Q$2:$Q$433,Desconto_Cliente_Mes!$A$2:$A$433,E$128,Desconto_Cliente_Mes!$B$2:$B$433,$A128,Desconto_Cliente_Mes!$C$2:$C$433,"Proteina"))*(SUMIFS(Desconto_Cliente_Mes!$T$2:$T$433,Desconto_Cliente_Mes!$A$2:$A$433,E$128,Desconto_Cliente_Mes!$B$2:$B$433,$A128,Desconto_Cliente_Mes!$C$2:$C$433,"Proteina"))</f>
        <v>0</v>
      </c>
      <c r="F134" s="16" t="n">
        <f aca="false">$F$130*($F$131/100)*(SUMIFS(Desconto_Cliente_Mes!$Q$2:$Q$433,Desconto_Cliente_Mes!$A$2:$A$433,F$128,Desconto_Cliente_Mes!$B$2:$B$433,$A128,Desconto_Cliente_Mes!$C$2:$C$433,"Proteina"))*(SUMIFS(Desconto_Cliente_Mes!$T$2:$T$433,Desconto_Cliente_Mes!$A$2:$A$433,F$128,Desconto_Cliente_Mes!$B$2:$B$433,$A128,Desconto_Cliente_Mes!$C$2:$C$433,"Proteina"))</f>
        <v>0</v>
      </c>
      <c r="G134" s="16" t="n">
        <f aca="false">$G$130*($G$131/100)*(SUMIFS(Desconto_Cliente_Mes!$Q$2:$Q$433,Desconto_Cliente_Mes!$A$2:$A$433,G$128,Desconto_Cliente_Mes!$B$2:$B$433,$A128,Desconto_Cliente_Mes!$C$2:$C$433,"Proteina"))*(SUMIFS(Desconto_Cliente_Mes!$T$2:$T$433,Desconto_Cliente_Mes!$A$2:$A$433,G$128,Desconto_Cliente_Mes!$B$2:$B$433,$A128,Desconto_Cliente_Mes!$C$2:$C$433,"Proteina"))</f>
        <v>0</v>
      </c>
      <c r="H134" s="16" t="n">
        <f aca="false">$H$130*($H$131/100)*(SUMIFS(Desconto_Cliente_Mes!$Q$2:$Q$433,Desconto_Cliente_Mes!$A$2:$A$433,H$128,Desconto_Cliente_Mes!$B$2:$B$433,$A128,Desconto_Cliente_Mes!$C$2:$C$433,"Proteina"))*(SUMIFS(Desconto_Cliente_Mes!$T$2:$T$433,Desconto_Cliente_Mes!$A$2:$A$433,H$128,Desconto_Cliente_Mes!$B$2:$B$433,$A128,Desconto_Cliente_Mes!$C$2:$C$433,"Proteina"))</f>
        <v>0</v>
      </c>
      <c r="I134" s="16" t="n">
        <f aca="false">$I$130*($I$131/100)*(SUMIFS(Desconto_Cliente_Mes!$Q$2:$Q$433,Desconto_Cliente_Mes!$A$2:$A$433,I$128,Desconto_Cliente_Mes!$B$2:$B$433,$A128,Desconto_Cliente_Mes!$C$2:$C$433,"Proteina"))*(SUMIFS(Desconto_Cliente_Mes!$T$2:$T$433,Desconto_Cliente_Mes!$A$2:$A$433,I$128,Desconto_Cliente_Mes!$B$2:$B$433,$A128,Desconto_Cliente_Mes!$C$2:$C$433,"Proteina"))</f>
        <v>0</v>
      </c>
      <c r="J134" s="16" t="n">
        <f aca="false">$J$130*($J$131/100)*(SUMIFS(Desconto_Cliente_Mes!$Q$2:$Q$433,Desconto_Cliente_Mes!$A$2:$A$433,J$128,Desconto_Cliente_Mes!$B$2:$B$433,$A128,Desconto_Cliente_Mes!$C$2:$C$433,"Proteina"))*(SUMIFS(Desconto_Cliente_Mes!$T$2:$T$433,Desconto_Cliente_Mes!$A$2:$A$433,J$128,Desconto_Cliente_Mes!$B$2:$B$433,$A128,Desconto_Cliente_Mes!$C$2:$C$433,"Proteina"))</f>
        <v>0</v>
      </c>
      <c r="K134" s="16" t="n">
        <f aca="false">$K$130*($K$131/100)*(SUMIFS(Desconto_Cliente_Mes!$Q$2:$Q$433,Desconto_Cliente_Mes!$A$2:$A$433,K$128,Desconto_Cliente_Mes!$B$2:$B$433,$A128,Desconto_Cliente_Mes!$C$2:$C$433,"Proteina"))*(SUMIFS(Desconto_Cliente_Mes!$T$2:$T$433,Desconto_Cliente_Mes!$A$2:$A$433,K$128,Desconto_Cliente_Mes!$B$2:$B$433,$A128,Desconto_Cliente_Mes!$C$2:$C$433,"Proteina"))</f>
        <v>0</v>
      </c>
      <c r="L134" s="16" t="n">
        <f aca="false">$L$130*($L$131/100)*(SUMIFS(Desconto_Cliente_Mes!$Q$2:$Q$433,Desconto_Cliente_Mes!$A$2:$A$433,L$128,Desconto_Cliente_Mes!$B$2:$B$433,$A128,Desconto_Cliente_Mes!$C$2:$C$433,"Proteina"))*(SUMIFS(Desconto_Cliente_Mes!$T$2:$T$433,Desconto_Cliente_Mes!$A$2:$A$433,L$128,Desconto_Cliente_Mes!$B$2:$B$433,$A128,Desconto_Cliente_Mes!$C$2:$C$433,"Proteina"))</f>
        <v>0</v>
      </c>
      <c r="M134" s="16" t="n">
        <f aca="false">$M$130*($M$131/100)*(SUMIFS(Desconto_Cliente_Mes!$Q$2:$Q$433,Desconto_Cliente_Mes!$A$2:$A$433,M$128,Desconto_Cliente_Mes!$B$2:$B$433,$A128,Desconto_Cliente_Mes!$C$2:$C$433,"Proteina"))*(SUMIFS(Desconto_Cliente_Mes!$T$2:$T$433,Desconto_Cliente_Mes!$A$2:$A$433,M$128,Desconto_Cliente_Mes!$B$2:$B$433,$A128,Desconto_Cliente_Mes!$C$2:$C$433,"Proteina"))</f>
        <v>0</v>
      </c>
      <c r="N134" s="17" t="n">
        <f aca="false">SUM(B134:M134)</f>
        <v>0</v>
      </c>
    </row>
    <row r="135" customFormat="false" ht="15" hidden="false" customHeight="false" outlineLevel="0" collapsed="false">
      <c r="A135" s="13" t="s">
        <v>80</v>
      </c>
      <c r="B135" s="16" t="n">
        <f aca="false">$B$130*($B$132/100)*((IF(SUMIFS(Desconto_Cliente_Mes!$R$2:$R$433,Desconto_Cliente_Mes!$A$2:$A$433,B$128,Desconto_Cliente_Mes!$B$2:$B$433,$A128,Desconto_Cliente_Mes!$C$2:$C$433,"Proteina")="",SUMIFS(Desconto_Cliente_Mes!$Q$2:$Q$433,Desconto_Cliente_Mes!$A$2:$A$433,B$128,Desconto_Cliente_Mes!$B$2:$B$433,$A128,Desconto_Cliente_Mes!$C$2:$C$433,"Proteina"),SUMIFS(Desconto_Cliente_Mes!$R$2:$R$433,Desconto_Cliente_Mes!$A$2:$A$433,B$128,Desconto_Cliente_Mes!$B$2:$B$433,$A128,Desconto_Cliente_Mes!$C$2:$C$433,"Proteina")))-(SUMIFS(Desconto_Cliente_Mes!$Q$2:$Q$433,Desconto_Cliente_Mes!$A$2:$A$433,B$128,Desconto_Cliente_Mes!$B$2:$B$433,$A128,Desconto_Cliente_Mes!$C$2:$C$433,"Proteina")))*(SUMIFS(Desconto_Cliente_Mes!$T$2:$T$433,Desconto_Cliente_Mes!$A$2:$A$433,B$128,Desconto_Cliente_Mes!$B$2:$B$433,$A128,Desconto_Cliente_Mes!$C$2:$C$433,"Proteina"))</f>
        <v>0</v>
      </c>
      <c r="C135" s="16" t="n">
        <f aca="false">$C$130*($C$132/100)*((IF(SUMIFS(Desconto_Cliente_Mes!$R$2:$R$433,Desconto_Cliente_Mes!$A$2:$A$433,C$128,Desconto_Cliente_Mes!$B$2:$B$433,$A128,Desconto_Cliente_Mes!$C$2:$C$433,"Proteina")="",SUMIFS(Desconto_Cliente_Mes!$Q$2:$Q$433,Desconto_Cliente_Mes!$A$2:$A$433,C$128,Desconto_Cliente_Mes!$B$2:$B$433,$A128,Desconto_Cliente_Mes!$C$2:$C$433,"Proteina"),SUMIFS(Desconto_Cliente_Mes!$R$2:$R$433,Desconto_Cliente_Mes!$A$2:$A$433,C$128,Desconto_Cliente_Mes!$B$2:$B$433,$A128,Desconto_Cliente_Mes!$C$2:$C$433,"Proteina")))-(SUMIFS(Desconto_Cliente_Mes!$Q$2:$Q$433,Desconto_Cliente_Mes!$A$2:$A$433,C$128,Desconto_Cliente_Mes!$B$2:$B$433,$A128,Desconto_Cliente_Mes!$C$2:$C$433,"Proteina")))*(SUMIFS(Desconto_Cliente_Mes!$T$2:$T$433,Desconto_Cliente_Mes!$A$2:$A$433,C$128,Desconto_Cliente_Mes!$B$2:$B$433,$A128,Desconto_Cliente_Mes!$C$2:$C$433,"Proteina"))</f>
        <v>0</v>
      </c>
      <c r="D135" s="16" t="n">
        <f aca="false">$D$130*($D$132/100)*((IF(SUMIFS(Desconto_Cliente_Mes!$R$2:$R$433,Desconto_Cliente_Mes!$A$2:$A$433,D$128,Desconto_Cliente_Mes!$B$2:$B$433,$A128,Desconto_Cliente_Mes!$C$2:$C$433,"Proteina")="",SUMIFS(Desconto_Cliente_Mes!$Q$2:$Q$433,Desconto_Cliente_Mes!$A$2:$A$433,D$128,Desconto_Cliente_Mes!$B$2:$B$433,$A128,Desconto_Cliente_Mes!$C$2:$C$433,"Proteina"),SUMIFS(Desconto_Cliente_Mes!$R$2:$R$433,Desconto_Cliente_Mes!$A$2:$A$433,D$128,Desconto_Cliente_Mes!$B$2:$B$433,$A128,Desconto_Cliente_Mes!$C$2:$C$433,"Proteina")))-(SUMIFS(Desconto_Cliente_Mes!$Q$2:$Q$433,Desconto_Cliente_Mes!$A$2:$A$433,D$128,Desconto_Cliente_Mes!$B$2:$B$433,$A128,Desconto_Cliente_Mes!$C$2:$C$433,"Proteina")))*(SUMIFS(Desconto_Cliente_Mes!$T$2:$T$433,Desconto_Cliente_Mes!$A$2:$A$433,D$128,Desconto_Cliente_Mes!$B$2:$B$433,$A128,Desconto_Cliente_Mes!$C$2:$C$433,"Proteina"))</f>
        <v>0</v>
      </c>
      <c r="E135" s="16" t="n">
        <f aca="false">$E$130*($E$132/100)*((IF(SUMIFS(Desconto_Cliente_Mes!$R$2:$R$433,Desconto_Cliente_Mes!$A$2:$A$433,E$128,Desconto_Cliente_Mes!$B$2:$B$433,$A128,Desconto_Cliente_Mes!$C$2:$C$433,"Proteina")="",SUMIFS(Desconto_Cliente_Mes!$Q$2:$Q$433,Desconto_Cliente_Mes!$A$2:$A$433,E$128,Desconto_Cliente_Mes!$B$2:$B$433,$A128,Desconto_Cliente_Mes!$C$2:$C$433,"Proteina"),SUMIFS(Desconto_Cliente_Mes!$R$2:$R$433,Desconto_Cliente_Mes!$A$2:$A$433,E$128,Desconto_Cliente_Mes!$B$2:$B$433,$A128,Desconto_Cliente_Mes!$C$2:$C$433,"Proteina")))-(SUMIFS(Desconto_Cliente_Mes!$Q$2:$Q$433,Desconto_Cliente_Mes!$A$2:$A$433,E$128,Desconto_Cliente_Mes!$B$2:$B$433,$A128,Desconto_Cliente_Mes!$C$2:$C$433,"Proteina")))*(SUMIFS(Desconto_Cliente_Mes!$T$2:$T$433,Desconto_Cliente_Mes!$A$2:$A$433,E$128,Desconto_Cliente_Mes!$B$2:$B$433,$A128,Desconto_Cliente_Mes!$C$2:$C$433,"Proteina"))</f>
        <v>0</v>
      </c>
      <c r="F135" s="16" t="n">
        <f aca="false">$F$130*($F$132/100)*((IF(SUMIFS(Desconto_Cliente_Mes!$R$2:$R$433,Desconto_Cliente_Mes!$A$2:$A$433,F$128,Desconto_Cliente_Mes!$B$2:$B$433,$A128,Desconto_Cliente_Mes!$C$2:$C$433,"Proteina")="",SUMIFS(Desconto_Cliente_Mes!$Q$2:$Q$433,Desconto_Cliente_Mes!$A$2:$A$433,F$128,Desconto_Cliente_Mes!$B$2:$B$433,$A128,Desconto_Cliente_Mes!$C$2:$C$433,"Proteina"),SUMIFS(Desconto_Cliente_Mes!$R$2:$R$433,Desconto_Cliente_Mes!$A$2:$A$433,F$128,Desconto_Cliente_Mes!$B$2:$B$433,$A128,Desconto_Cliente_Mes!$C$2:$C$433,"Proteina")))-(SUMIFS(Desconto_Cliente_Mes!$Q$2:$Q$433,Desconto_Cliente_Mes!$A$2:$A$433,F$128,Desconto_Cliente_Mes!$B$2:$B$433,$A128,Desconto_Cliente_Mes!$C$2:$C$433,"Proteina")))*(SUMIFS(Desconto_Cliente_Mes!$T$2:$T$433,Desconto_Cliente_Mes!$A$2:$A$433,F$128,Desconto_Cliente_Mes!$B$2:$B$433,$A128,Desconto_Cliente_Mes!$C$2:$C$433,"Proteina"))</f>
        <v>0</v>
      </c>
      <c r="G135" s="16" t="n">
        <f aca="false">$G$130*($G$132/100)*((IF(SUMIFS(Desconto_Cliente_Mes!$R$2:$R$433,Desconto_Cliente_Mes!$A$2:$A$433,G$128,Desconto_Cliente_Mes!$B$2:$B$433,$A128,Desconto_Cliente_Mes!$C$2:$C$433,"Proteina")="",SUMIFS(Desconto_Cliente_Mes!$Q$2:$Q$433,Desconto_Cliente_Mes!$A$2:$A$433,G$128,Desconto_Cliente_Mes!$B$2:$B$433,$A128,Desconto_Cliente_Mes!$C$2:$C$433,"Proteina"),SUMIFS(Desconto_Cliente_Mes!$R$2:$R$433,Desconto_Cliente_Mes!$A$2:$A$433,G$128,Desconto_Cliente_Mes!$B$2:$B$433,$A128,Desconto_Cliente_Mes!$C$2:$C$433,"Proteina")))-(SUMIFS(Desconto_Cliente_Mes!$Q$2:$Q$433,Desconto_Cliente_Mes!$A$2:$A$433,G$128,Desconto_Cliente_Mes!$B$2:$B$433,$A128,Desconto_Cliente_Mes!$C$2:$C$433,"Proteina")))*(SUMIFS(Desconto_Cliente_Mes!$T$2:$T$433,Desconto_Cliente_Mes!$A$2:$A$433,G$128,Desconto_Cliente_Mes!$B$2:$B$433,$A128,Desconto_Cliente_Mes!$C$2:$C$433,"Proteina"))</f>
        <v>0</v>
      </c>
      <c r="H135" s="16" t="n">
        <f aca="false">$H$130*($H$132/100)*((IF(SUMIFS(Desconto_Cliente_Mes!$R$2:$R$433,Desconto_Cliente_Mes!$A$2:$A$433,H$128,Desconto_Cliente_Mes!$B$2:$B$433,$A128,Desconto_Cliente_Mes!$C$2:$C$433,"Proteina")="",SUMIFS(Desconto_Cliente_Mes!$Q$2:$Q$433,Desconto_Cliente_Mes!$A$2:$A$433,H$128,Desconto_Cliente_Mes!$B$2:$B$433,$A128,Desconto_Cliente_Mes!$C$2:$C$433,"Proteina"),SUMIFS(Desconto_Cliente_Mes!$R$2:$R$433,Desconto_Cliente_Mes!$A$2:$A$433,H$128,Desconto_Cliente_Mes!$B$2:$B$433,$A128,Desconto_Cliente_Mes!$C$2:$C$433,"Proteina")))-(SUMIFS(Desconto_Cliente_Mes!$Q$2:$Q$433,Desconto_Cliente_Mes!$A$2:$A$433,H$128,Desconto_Cliente_Mes!$B$2:$B$433,$A128,Desconto_Cliente_Mes!$C$2:$C$433,"Proteina")))*(SUMIFS(Desconto_Cliente_Mes!$T$2:$T$433,Desconto_Cliente_Mes!$A$2:$A$433,H$128,Desconto_Cliente_Mes!$B$2:$B$433,$A128,Desconto_Cliente_Mes!$C$2:$C$433,"Proteina"))</f>
        <v>0</v>
      </c>
      <c r="I135" s="16" t="n">
        <f aca="false">$I$130*($I$132/100)*((IF(SUMIFS(Desconto_Cliente_Mes!$R$2:$R$433,Desconto_Cliente_Mes!$A$2:$A$433,I$128,Desconto_Cliente_Mes!$B$2:$B$433,$A128,Desconto_Cliente_Mes!$C$2:$C$433,"Proteina")="",SUMIFS(Desconto_Cliente_Mes!$Q$2:$Q$433,Desconto_Cliente_Mes!$A$2:$A$433,I$128,Desconto_Cliente_Mes!$B$2:$B$433,$A128,Desconto_Cliente_Mes!$C$2:$C$433,"Proteina"),SUMIFS(Desconto_Cliente_Mes!$R$2:$R$433,Desconto_Cliente_Mes!$A$2:$A$433,I$128,Desconto_Cliente_Mes!$B$2:$B$433,$A128,Desconto_Cliente_Mes!$C$2:$C$433,"Proteina")))-(SUMIFS(Desconto_Cliente_Mes!$Q$2:$Q$433,Desconto_Cliente_Mes!$A$2:$A$433,I$128,Desconto_Cliente_Mes!$B$2:$B$433,$A128,Desconto_Cliente_Mes!$C$2:$C$433,"Proteina")))*(SUMIFS(Desconto_Cliente_Mes!$T$2:$T$433,Desconto_Cliente_Mes!$A$2:$A$433,I$128,Desconto_Cliente_Mes!$B$2:$B$433,$A128,Desconto_Cliente_Mes!$C$2:$C$433,"Proteina"))</f>
        <v>0</v>
      </c>
      <c r="J135" s="16" t="n">
        <f aca="false">$J$130*($J$132/100)*((IF(SUMIFS(Desconto_Cliente_Mes!$R$2:$R$433,Desconto_Cliente_Mes!$A$2:$A$433,J$128,Desconto_Cliente_Mes!$B$2:$B$433,$A128,Desconto_Cliente_Mes!$C$2:$C$433,"Proteina")="",SUMIFS(Desconto_Cliente_Mes!$Q$2:$Q$433,Desconto_Cliente_Mes!$A$2:$A$433,J$128,Desconto_Cliente_Mes!$B$2:$B$433,$A128,Desconto_Cliente_Mes!$C$2:$C$433,"Proteina"),SUMIFS(Desconto_Cliente_Mes!$R$2:$R$433,Desconto_Cliente_Mes!$A$2:$A$433,J$128,Desconto_Cliente_Mes!$B$2:$B$433,$A128,Desconto_Cliente_Mes!$C$2:$C$433,"Proteina")))-(SUMIFS(Desconto_Cliente_Mes!$Q$2:$Q$433,Desconto_Cliente_Mes!$A$2:$A$433,J$128,Desconto_Cliente_Mes!$B$2:$B$433,$A128,Desconto_Cliente_Mes!$C$2:$C$433,"Proteina")))*(SUMIFS(Desconto_Cliente_Mes!$T$2:$T$433,Desconto_Cliente_Mes!$A$2:$A$433,J$128,Desconto_Cliente_Mes!$B$2:$B$433,$A128,Desconto_Cliente_Mes!$C$2:$C$433,"Proteina"))</f>
        <v>0</v>
      </c>
      <c r="K135" s="16" t="n">
        <f aca="false">$K$130*($K$132/100)*((IF(SUMIFS(Desconto_Cliente_Mes!$R$2:$R$433,Desconto_Cliente_Mes!$A$2:$A$433,K$128,Desconto_Cliente_Mes!$B$2:$B$433,$A128,Desconto_Cliente_Mes!$C$2:$C$433,"Proteina")="",SUMIFS(Desconto_Cliente_Mes!$Q$2:$Q$433,Desconto_Cliente_Mes!$A$2:$A$433,K$128,Desconto_Cliente_Mes!$B$2:$B$433,$A128,Desconto_Cliente_Mes!$C$2:$C$433,"Proteina"),SUMIFS(Desconto_Cliente_Mes!$R$2:$R$433,Desconto_Cliente_Mes!$A$2:$A$433,K$128,Desconto_Cliente_Mes!$B$2:$B$433,$A128,Desconto_Cliente_Mes!$C$2:$C$433,"Proteina")))-(SUMIFS(Desconto_Cliente_Mes!$Q$2:$Q$433,Desconto_Cliente_Mes!$A$2:$A$433,K$128,Desconto_Cliente_Mes!$B$2:$B$433,$A128,Desconto_Cliente_Mes!$C$2:$C$433,"Proteina")))*(SUMIFS(Desconto_Cliente_Mes!$T$2:$T$433,Desconto_Cliente_Mes!$A$2:$A$433,K$128,Desconto_Cliente_Mes!$B$2:$B$433,$A128,Desconto_Cliente_Mes!$C$2:$C$433,"Proteina"))</f>
        <v>0</v>
      </c>
      <c r="L135" s="16" t="n">
        <f aca="false">$L$130*($L$132/100)*((IF(SUMIFS(Desconto_Cliente_Mes!$R$2:$R$433,Desconto_Cliente_Mes!$A$2:$A$433,L$128,Desconto_Cliente_Mes!$B$2:$B$433,$A128,Desconto_Cliente_Mes!$C$2:$C$433,"Proteina")="",SUMIFS(Desconto_Cliente_Mes!$Q$2:$Q$433,Desconto_Cliente_Mes!$A$2:$A$433,L$128,Desconto_Cliente_Mes!$B$2:$B$433,$A128,Desconto_Cliente_Mes!$C$2:$C$433,"Proteina"),SUMIFS(Desconto_Cliente_Mes!$R$2:$R$433,Desconto_Cliente_Mes!$A$2:$A$433,L$128,Desconto_Cliente_Mes!$B$2:$B$433,$A128,Desconto_Cliente_Mes!$C$2:$C$433,"Proteina")))-(SUMIFS(Desconto_Cliente_Mes!$Q$2:$Q$433,Desconto_Cliente_Mes!$A$2:$A$433,L$128,Desconto_Cliente_Mes!$B$2:$B$433,$A128,Desconto_Cliente_Mes!$C$2:$C$433,"Proteina")))*(SUMIFS(Desconto_Cliente_Mes!$T$2:$T$433,Desconto_Cliente_Mes!$A$2:$A$433,L$128,Desconto_Cliente_Mes!$B$2:$B$433,$A128,Desconto_Cliente_Mes!$C$2:$C$433,"Proteina"))</f>
        <v>0</v>
      </c>
      <c r="M135" s="16" t="n">
        <f aca="false">$M$130*($M$132/100)*((IF(SUMIFS(Desconto_Cliente_Mes!$R$2:$R$433,Desconto_Cliente_Mes!$A$2:$A$433,M$128,Desconto_Cliente_Mes!$B$2:$B$433,$A128,Desconto_Cliente_Mes!$C$2:$C$433,"Proteina")="",SUMIFS(Desconto_Cliente_Mes!$Q$2:$Q$433,Desconto_Cliente_Mes!$A$2:$A$433,M$128,Desconto_Cliente_Mes!$B$2:$B$433,$A128,Desconto_Cliente_Mes!$C$2:$C$433,"Proteina"),SUMIFS(Desconto_Cliente_Mes!$R$2:$R$433,Desconto_Cliente_Mes!$A$2:$A$433,M$128,Desconto_Cliente_Mes!$B$2:$B$433,$A128,Desconto_Cliente_Mes!$C$2:$C$433,"Proteina")))-(SUMIFS(Desconto_Cliente_Mes!$Q$2:$Q$433,Desconto_Cliente_Mes!$A$2:$A$433,M$128,Desconto_Cliente_Mes!$B$2:$B$433,$A128,Desconto_Cliente_Mes!$C$2:$C$433,"Proteina")))*(SUMIFS(Desconto_Cliente_Mes!$T$2:$T$433,Desconto_Cliente_Mes!$A$2:$A$433,M$128,Desconto_Cliente_Mes!$B$2:$B$433,$A128,Desconto_Cliente_Mes!$C$2:$C$433,"Proteina"))</f>
        <v>0</v>
      </c>
      <c r="N135" s="17" t="n">
        <f aca="false">SUM(B135:M135)</f>
        <v>0</v>
      </c>
    </row>
    <row r="136" customFormat="false" ht="15" hidden="false" customHeight="false" outlineLevel="0" collapsed="false">
      <c r="A136" s="13" t="s">
        <v>81</v>
      </c>
      <c r="B136" s="16" t="n">
        <f aca="false">$B$130*($B$133/100)*((IF(SUMIFS(Desconto_Cliente_Mes!$S$2:$S$433,Desconto_Cliente_Mes!$A$2:$A$433,B$128,Desconto_Cliente_Mes!$B$2:$B$433,$A128,Desconto_Cliente_Mes!$C$2:$C$433,"Proteina")="",(IF(SUMIFS(Desconto_Cliente_Mes!$R$2:$R$433,Desconto_Cliente_Mes!$A$2:$A$433,B$128,Desconto_Cliente_Mes!$B$2:$B$433,$A128,Desconto_Cliente_Mes!$C$2:$C$433,"Proteina")="",SUMIFS(Desconto_Cliente_Mes!$Q$2:$Q$433,Desconto_Cliente_Mes!$A$2:$A$433,B$128,Desconto_Cliente_Mes!$B$2:$B$433,$A128,Desconto_Cliente_Mes!$C$2:$C$433,"Proteina"),SUMIFS(Desconto_Cliente_Mes!$R$2:$R$433,Desconto_Cliente_Mes!$A$2:$A$433,B$128,Desconto_Cliente_Mes!$B$2:$B$433,$A128,Desconto_Cliente_Mes!$C$2:$C$433,"Proteina"))),SUMIFS(Desconto_Cliente_Mes!$S$2:$S$433,Desconto_Cliente_Mes!$A$2:$A$433,B$128,Desconto_Cliente_Mes!$B$2:$B$433,$A128,Desconto_Cliente_Mes!$C$2:$C$433,"Proteina")))-(IF(SUMIFS(Desconto_Cliente_Mes!$R$2:$R$433,Desconto_Cliente_Mes!$A$2:$A$433,B$128,Desconto_Cliente_Mes!$B$2:$B$433,$A128,Desconto_Cliente_Mes!$C$2:$C$433,"Proteina")="",SUMIFS(Desconto_Cliente_Mes!$Q$2:$Q$433,Desconto_Cliente_Mes!$A$2:$A$433,B$128,Desconto_Cliente_Mes!$B$2:$B$433,$A128,Desconto_Cliente_Mes!$C$2:$C$433,"Proteina"),SUMIFS(Desconto_Cliente_Mes!$R$2:$R$433,Desconto_Cliente_Mes!$A$2:$A$433,B$128,Desconto_Cliente_Mes!$B$2:$B$433,$A128,Desconto_Cliente_Mes!$C$2:$C$433,"Proteina"))))*(SUMIFS(Desconto_Cliente_Mes!$T$2:$T$433,Desconto_Cliente_Mes!$A$2:$A$433,B$128,Desconto_Cliente_Mes!$B$2:$B$433,$A128,Desconto_Cliente_Mes!$C$2:$C$433,"Proteina"))</f>
        <v>-0</v>
      </c>
      <c r="C136" s="16" t="n">
        <f aca="false">$C$130*($C$133/100)*((IF(SUMIFS(Desconto_Cliente_Mes!$S$2:$S$433,Desconto_Cliente_Mes!$A$2:$A$433,C$128,Desconto_Cliente_Mes!$B$2:$B$433,$A128,Desconto_Cliente_Mes!$C$2:$C$433,"Proteina")="",(IF(SUMIFS(Desconto_Cliente_Mes!$R$2:$R$433,Desconto_Cliente_Mes!$A$2:$A$433,C$128,Desconto_Cliente_Mes!$B$2:$B$433,$A128,Desconto_Cliente_Mes!$C$2:$C$433,"Proteina")="",SUMIFS(Desconto_Cliente_Mes!$Q$2:$Q$433,Desconto_Cliente_Mes!$A$2:$A$433,C$128,Desconto_Cliente_Mes!$B$2:$B$433,$A128,Desconto_Cliente_Mes!$C$2:$C$433,"Proteina"),SUMIFS(Desconto_Cliente_Mes!$R$2:$R$433,Desconto_Cliente_Mes!$A$2:$A$433,C$128,Desconto_Cliente_Mes!$B$2:$B$433,$A128,Desconto_Cliente_Mes!$C$2:$C$433,"Proteina"))),SUMIFS(Desconto_Cliente_Mes!$S$2:$S$433,Desconto_Cliente_Mes!$A$2:$A$433,C$128,Desconto_Cliente_Mes!$B$2:$B$433,$A128,Desconto_Cliente_Mes!$C$2:$C$433,"Proteina")))-(IF(SUMIFS(Desconto_Cliente_Mes!$R$2:$R$433,Desconto_Cliente_Mes!$A$2:$A$433,C$128,Desconto_Cliente_Mes!$B$2:$B$433,$A128,Desconto_Cliente_Mes!$C$2:$C$433,"Proteina")="",SUMIFS(Desconto_Cliente_Mes!$Q$2:$Q$433,Desconto_Cliente_Mes!$A$2:$A$433,C$128,Desconto_Cliente_Mes!$B$2:$B$433,$A128,Desconto_Cliente_Mes!$C$2:$C$433,"Proteina"),SUMIFS(Desconto_Cliente_Mes!$R$2:$R$433,Desconto_Cliente_Mes!$A$2:$A$433,C$128,Desconto_Cliente_Mes!$B$2:$B$433,$A128,Desconto_Cliente_Mes!$C$2:$C$433,"Proteina"))))*(SUMIFS(Desconto_Cliente_Mes!$T$2:$T$433,Desconto_Cliente_Mes!$A$2:$A$433,C$128,Desconto_Cliente_Mes!$B$2:$B$433,$A128,Desconto_Cliente_Mes!$C$2:$C$433,"Proteina"))</f>
        <v>-0</v>
      </c>
      <c r="D136" s="16" t="n">
        <f aca="false">$D$130*($D$133/100)*((IF(SUMIFS(Desconto_Cliente_Mes!$S$2:$S$433,Desconto_Cliente_Mes!$A$2:$A$433,D$128,Desconto_Cliente_Mes!$B$2:$B$433,$A128,Desconto_Cliente_Mes!$C$2:$C$433,"Proteina")="",(IF(SUMIFS(Desconto_Cliente_Mes!$R$2:$R$433,Desconto_Cliente_Mes!$A$2:$A$433,D$128,Desconto_Cliente_Mes!$B$2:$B$433,$A128,Desconto_Cliente_Mes!$C$2:$C$433,"Proteina")="",SUMIFS(Desconto_Cliente_Mes!$Q$2:$Q$433,Desconto_Cliente_Mes!$A$2:$A$433,D$128,Desconto_Cliente_Mes!$B$2:$B$433,$A128,Desconto_Cliente_Mes!$C$2:$C$433,"Proteina"),SUMIFS(Desconto_Cliente_Mes!$R$2:$R$433,Desconto_Cliente_Mes!$A$2:$A$433,D$128,Desconto_Cliente_Mes!$B$2:$B$433,$A128,Desconto_Cliente_Mes!$C$2:$C$433,"Proteina"))),SUMIFS(Desconto_Cliente_Mes!$S$2:$S$433,Desconto_Cliente_Mes!$A$2:$A$433,D$128,Desconto_Cliente_Mes!$B$2:$B$433,$A128,Desconto_Cliente_Mes!$C$2:$C$433,"Proteina")))-(IF(SUMIFS(Desconto_Cliente_Mes!$R$2:$R$433,Desconto_Cliente_Mes!$A$2:$A$433,D$128,Desconto_Cliente_Mes!$B$2:$B$433,$A128,Desconto_Cliente_Mes!$C$2:$C$433,"Proteina")="",SUMIFS(Desconto_Cliente_Mes!$Q$2:$Q$433,Desconto_Cliente_Mes!$A$2:$A$433,D$128,Desconto_Cliente_Mes!$B$2:$B$433,$A128,Desconto_Cliente_Mes!$C$2:$C$433,"Proteina"),SUMIFS(Desconto_Cliente_Mes!$R$2:$R$433,Desconto_Cliente_Mes!$A$2:$A$433,D$128,Desconto_Cliente_Mes!$B$2:$B$433,$A128,Desconto_Cliente_Mes!$C$2:$C$433,"Proteina"))))*(SUMIFS(Desconto_Cliente_Mes!$T$2:$T$433,Desconto_Cliente_Mes!$A$2:$A$433,D$128,Desconto_Cliente_Mes!$B$2:$B$433,$A128,Desconto_Cliente_Mes!$C$2:$C$433,"Proteina"))</f>
        <v>-0</v>
      </c>
      <c r="E136" s="16" t="n">
        <f aca="false">$E$130*($E$133/100)*((IF(SUMIFS(Desconto_Cliente_Mes!$S$2:$S$433,Desconto_Cliente_Mes!$A$2:$A$433,E$128,Desconto_Cliente_Mes!$B$2:$B$433,$A128,Desconto_Cliente_Mes!$C$2:$C$433,"Proteina")="",(IF(SUMIFS(Desconto_Cliente_Mes!$R$2:$R$433,Desconto_Cliente_Mes!$A$2:$A$433,E$128,Desconto_Cliente_Mes!$B$2:$B$433,$A128,Desconto_Cliente_Mes!$C$2:$C$433,"Proteina")="",SUMIFS(Desconto_Cliente_Mes!$Q$2:$Q$433,Desconto_Cliente_Mes!$A$2:$A$433,E$128,Desconto_Cliente_Mes!$B$2:$B$433,$A128,Desconto_Cliente_Mes!$C$2:$C$433,"Proteina"),SUMIFS(Desconto_Cliente_Mes!$R$2:$R$433,Desconto_Cliente_Mes!$A$2:$A$433,E$128,Desconto_Cliente_Mes!$B$2:$B$433,$A128,Desconto_Cliente_Mes!$C$2:$C$433,"Proteina"))),SUMIFS(Desconto_Cliente_Mes!$S$2:$S$433,Desconto_Cliente_Mes!$A$2:$A$433,E$128,Desconto_Cliente_Mes!$B$2:$B$433,$A128,Desconto_Cliente_Mes!$C$2:$C$433,"Proteina")))-(IF(SUMIFS(Desconto_Cliente_Mes!$R$2:$R$433,Desconto_Cliente_Mes!$A$2:$A$433,E$128,Desconto_Cliente_Mes!$B$2:$B$433,$A128,Desconto_Cliente_Mes!$C$2:$C$433,"Proteina")="",SUMIFS(Desconto_Cliente_Mes!$Q$2:$Q$433,Desconto_Cliente_Mes!$A$2:$A$433,E$128,Desconto_Cliente_Mes!$B$2:$B$433,$A128,Desconto_Cliente_Mes!$C$2:$C$433,"Proteina"),SUMIFS(Desconto_Cliente_Mes!$R$2:$R$433,Desconto_Cliente_Mes!$A$2:$A$433,E$128,Desconto_Cliente_Mes!$B$2:$B$433,$A128,Desconto_Cliente_Mes!$C$2:$C$433,"Proteina"))))*(SUMIFS(Desconto_Cliente_Mes!$T$2:$T$433,Desconto_Cliente_Mes!$A$2:$A$433,E$128,Desconto_Cliente_Mes!$B$2:$B$433,$A128,Desconto_Cliente_Mes!$C$2:$C$433,"Proteina"))</f>
        <v>-0</v>
      </c>
      <c r="F136" s="16" t="n">
        <f aca="false">$F$130*($F$133/100)*((IF(SUMIFS(Desconto_Cliente_Mes!$S$2:$S$433,Desconto_Cliente_Mes!$A$2:$A$433,F$128,Desconto_Cliente_Mes!$B$2:$B$433,$A128,Desconto_Cliente_Mes!$C$2:$C$433,"Proteina")="",(IF(SUMIFS(Desconto_Cliente_Mes!$R$2:$R$433,Desconto_Cliente_Mes!$A$2:$A$433,F$128,Desconto_Cliente_Mes!$B$2:$B$433,$A128,Desconto_Cliente_Mes!$C$2:$C$433,"Proteina")="",SUMIFS(Desconto_Cliente_Mes!$Q$2:$Q$433,Desconto_Cliente_Mes!$A$2:$A$433,F$128,Desconto_Cliente_Mes!$B$2:$B$433,$A128,Desconto_Cliente_Mes!$C$2:$C$433,"Proteina"),SUMIFS(Desconto_Cliente_Mes!$R$2:$R$433,Desconto_Cliente_Mes!$A$2:$A$433,F$128,Desconto_Cliente_Mes!$B$2:$B$433,$A128,Desconto_Cliente_Mes!$C$2:$C$433,"Proteina"))),SUMIFS(Desconto_Cliente_Mes!$S$2:$S$433,Desconto_Cliente_Mes!$A$2:$A$433,F$128,Desconto_Cliente_Mes!$B$2:$B$433,$A128,Desconto_Cliente_Mes!$C$2:$C$433,"Proteina")))-(IF(SUMIFS(Desconto_Cliente_Mes!$R$2:$R$433,Desconto_Cliente_Mes!$A$2:$A$433,F$128,Desconto_Cliente_Mes!$B$2:$B$433,$A128,Desconto_Cliente_Mes!$C$2:$C$433,"Proteina")="",SUMIFS(Desconto_Cliente_Mes!$Q$2:$Q$433,Desconto_Cliente_Mes!$A$2:$A$433,F$128,Desconto_Cliente_Mes!$B$2:$B$433,$A128,Desconto_Cliente_Mes!$C$2:$C$433,"Proteina"),SUMIFS(Desconto_Cliente_Mes!$R$2:$R$433,Desconto_Cliente_Mes!$A$2:$A$433,F$128,Desconto_Cliente_Mes!$B$2:$B$433,$A128,Desconto_Cliente_Mes!$C$2:$C$433,"Proteina"))))*(SUMIFS(Desconto_Cliente_Mes!$T$2:$T$433,Desconto_Cliente_Mes!$A$2:$A$433,F$128,Desconto_Cliente_Mes!$B$2:$B$433,$A128,Desconto_Cliente_Mes!$C$2:$C$433,"Proteina"))</f>
        <v>-0</v>
      </c>
      <c r="G136" s="16" t="n">
        <f aca="false">$G$130*($G$133/100)*((IF(SUMIFS(Desconto_Cliente_Mes!$S$2:$S$433,Desconto_Cliente_Mes!$A$2:$A$433,G$128,Desconto_Cliente_Mes!$B$2:$B$433,$A128,Desconto_Cliente_Mes!$C$2:$C$433,"Proteina")="",(IF(SUMIFS(Desconto_Cliente_Mes!$R$2:$R$433,Desconto_Cliente_Mes!$A$2:$A$433,G$128,Desconto_Cliente_Mes!$B$2:$B$433,$A128,Desconto_Cliente_Mes!$C$2:$C$433,"Proteina")="",SUMIFS(Desconto_Cliente_Mes!$Q$2:$Q$433,Desconto_Cliente_Mes!$A$2:$A$433,G$128,Desconto_Cliente_Mes!$B$2:$B$433,$A128,Desconto_Cliente_Mes!$C$2:$C$433,"Proteina"),SUMIFS(Desconto_Cliente_Mes!$R$2:$R$433,Desconto_Cliente_Mes!$A$2:$A$433,G$128,Desconto_Cliente_Mes!$B$2:$B$433,$A128,Desconto_Cliente_Mes!$C$2:$C$433,"Proteina"))),SUMIFS(Desconto_Cliente_Mes!$S$2:$S$433,Desconto_Cliente_Mes!$A$2:$A$433,G$128,Desconto_Cliente_Mes!$B$2:$B$433,$A128,Desconto_Cliente_Mes!$C$2:$C$433,"Proteina")))-(IF(SUMIFS(Desconto_Cliente_Mes!$R$2:$R$433,Desconto_Cliente_Mes!$A$2:$A$433,G$128,Desconto_Cliente_Mes!$B$2:$B$433,$A128,Desconto_Cliente_Mes!$C$2:$C$433,"Proteina")="",SUMIFS(Desconto_Cliente_Mes!$Q$2:$Q$433,Desconto_Cliente_Mes!$A$2:$A$433,G$128,Desconto_Cliente_Mes!$B$2:$B$433,$A128,Desconto_Cliente_Mes!$C$2:$C$433,"Proteina"),SUMIFS(Desconto_Cliente_Mes!$R$2:$R$433,Desconto_Cliente_Mes!$A$2:$A$433,G$128,Desconto_Cliente_Mes!$B$2:$B$433,$A128,Desconto_Cliente_Mes!$C$2:$C$433,"Proteina"))))*(SUMIFS(Desconto_Cliente_Mes!$T$2:$T$433,Desconto_Cliente_Mes!$A$2:$A$433,G$128,Desconto_Cliente_Mes!$B$2:$B$433,$A128,Desconto_Cliente_Mes!$C$2:$C$433,"Proteina"))</f>
        <v>-0</v>
      </c>
      <c r="H136" s="16" t="n">
        <f aca="false">$H$130*($H$133/100)*((IF(SUMIFS(Desconto_Cliente_Mes!$S$2:$S$433,Desconto_Cliente_Mes!$A$2:$A$433,H$128,Desconto_Cliente_Mes!$B$2:$B$433,$A128,Desconto_Cliente_Mes!$C$2:$C$433,"Proteina")="",(IF(SUMIFS(Desconto_Cliente_Mes!$R$2:$R$433,Desconto_Cliente_Mes!$A$2:$A$433,H$128,Desconto_Cliente_Mes!$B$2:$B$433,$A128,Desconto_Cliente_Mes!$C$2:$C$433,"Proteina")="",SUMIFS(Desconto_Cliente_Mes!$Q$2:$Q$433,Desconto_Cliente_Mes!$A$2:$A$433,H$128,Desconto_Cliente_Mes!$B$2:$B$433,$A128,Desconto_Cliente_Mes!$C$2:$C$433,"Proteina"),SUMIFS(Desconto_Cliente_Mes!$R$2:$R$433,Desconto_Cliente_Mes!$A$2:$A$433,H$128,Desconto_Cliente_Mes!$B$2:$B$433,$A128,Desconto_Cliente_Mes!$C$2:$C$433,"Proteina"))),SUMIFS(Desconto_Cliente_Mes!$S$2:$S$433,Desconto_Cliente_Mes!$A$2:$A$433,H$128,Desconto_Cliente_Mes!$B$2:$B$433,$A128,Desconto_Cliente_Mes!$C$2:$C$433,"Proteina")))-(IF(SUMIFS(Desconto_Cliente_Mes!$R$2:$R$433,Desconto_Cliente_Mes!$A$2:$A$433,H$128,Desconto_Cliente_Mes!$B$2:$B$433,$A128,Desconto_Cliente_Mes!$C$2:$C$433,"Proteina")="",SUMIFS(Desconto_Cliente_Mes!$Q$2:$Q$433,Desconto_Cliente_Mes!$A$2:$A$433,H$128,Desconto_Cliente_Mes!$B$2:$B$433,$A128,Desconto_Cliente_Mes!$C$2:$C$433,"Proteina"),SUMIFS(Desconto_Cliente_Mes!$R$2:$R$433,Desconto_Cliente_Mes!$A$2:$A$433,H$128,Desconto_Cliente_Mes!$B$2:$B$433,$A128,Desconto_Cliente_Mes!$C$2:$C$433,"Proteina"))))*(SUMIFS(Desconto_Cliente_Mes!$T$2:$T$433,Desconto_Cliente_Mes!$A$2:$A$433,H$128,Desconto_Cliente_Mes!$B$2:$B$433,$A128,Desconto_Cliente_Mes!$C$2:$C$433,"Proteina"))</f>
        <v>-0</v>
      </c>
      <c r="I136" s="16" t="n">
        <f aca="false">$I$130*($I$133/100)*((IF(SUMIFS(Desconto_Cliente_Mes!$S$2:$S$433,Desconto_Cliente_Mes!$A$2:$A$433,I$128,Desconto_Cliente_Mes!$B$2:$B$433,$A128,Desconto_Cliente_Mes!$C$2:$C$433,"Proteina")="",(IF(SUMIFS(Desconto_Cliente_Mes!$R$2:$R$433,Desconto_Cliente_Mes!$A$2:$A$433,I$128,Desconto_Cliente_Mes!$B$2:$B$433,$A128,Desconto_Cliente_Mes!$C$2:$C$433,"Proteina")="",SUMIFS(Desconto_Cliente_Mes!$Q$2:$Q$433,Desconto_Cliente_Mes!$A$2:$A$433,I$128,Desconto_Cliente_Mes!$B$2:$B$433,$A128,Desconto_Cliente_Mes!$C$2:$C$433,"Proteina"),SUMIFS(Desconto_Cliente_Mes!$R$2:$R$433,Desconto_Cliente_Mes!$A$2:$A$433,I$128,Desconto_Cliente_Mes!$B$2:$B$433,$A128,Desconto_Cliente_Mes!$C$2:$C$433,"Proteina"))),SUMIFS(Desconto_Cliente_Mes!$S$2:$S$433,Desconto_Cliente_Mes!$A$2:$A$433,I$128,Desconto_Cliente_Mes!$B$2:$B$433,$A128,Desconto_Cliente_Mes!$C$2:$C$433,"Proteina")))-(IF(SUMIFS(Desconto_Cliente_Mes!$R$2:$R$433,Desconto_Cliente_Mes!$A$2:$A$433,I$128,Desconto_Cliente_Mes!$B$2:$B$433,$A128,Desconto_Cliente_Mes!$C$2:$C$433,"Proteina")="",SUMIFS(Desconto_Cliente_Mes!$Q$2:$Q$433,Desconto_Cliente_Mes!$A$2:$A$433,I$128,Desconto_Cliente_Mes!$B$2:$B$433,$A128,Desconto_Cliente_Mes!$C$2:$C$433,"Proteina"),SUMIFS(Desconto_Cliente_Mes!$R$2:$R$433,Desconto_Cliente_Mes!$A$2:$A$433,I$128,Desconto_Cliente_Mes!$B$2:$B$433,$A128,Desconto_Cliente_Mes!$C$2:$C$433,"Proteina"))))*(SUMIFS(Desconto_Cliente_Mes!$T$2:$T$433,Desconto_Cliente_Mes!$A$2:$A$433,I$128,Desconto_Cliente_Mes!$B$2:$B$433,$A128,Desconto_Cliente_Mes!$C$2:$C$433,"Proteina"))</f>
        <v>-0</v>
      </c>
      <c r="J136" s="16" t="n">
        <f aca="false">$J$130*($J$133/100)*((IF(SUMIFS(Desconto_Cliente_Mes!$S$2:$S$433,Desconto_Cliente_Mes!$A$2:$A$433,J$128,Desconto_Cliente_Mes!$B$2:$B$433,$A128,Desconto_Cliente_Mes!$C$2:$C$433,"Proteina")="",(IF(SUMIFS(Desconto_Cliente_Mes!$R$2:$R$433,Desconto_Cliente_Mes!$A$2:$A$433,J$128,Desconto_Cliente_Mes!$B$2:$B$433,$A128,Desconto_Cliente_Mes!$C$2:$C$433,"Proteina")="",SUMIFS(Desconto_Cliente_Mes!$Q$2:$Q$433,Desconto_Cliente_Mes!$A$2:$A$433,J$128,Desconto_Cliente_Mes!$B$2:$B$433,$A128,Desconto_Cliente_Mes!$C$2:$C$433,"Proteina"),SUMIFS(Desconto_Cliente_Mes!$R$2:$R$433,Desconto_Cliente_Mes!$A$2:$A$433,J$128,Desconto_Cliente_Mes!$B$2:$B$433,$A128,Desconto_Cliente_Mes!$C$2:$C$433,"Proteina"))),SUMIFS(Desconto_Cliente_Mes!$S$2:$S$433,Desconto_Cliente_Mes!$A$2:$A$433,J$128,Desconto_Cliente_Mes!$B$2:$B$433,$A128,Desconto_Cliente_Mes!$C$2:$C$433,"Proteina")))-(IF(SUMIFS(Desconto_Cliente_Mes!$R$2:$R$433,Desconto_Cliente_Mes!$A$2:$A$433,J$128,Desconto_Cliente_Mes!$B$2:$B$433,$A128,Desconto_Cliente_Mes!$C$2:$C$433,"Proteina")="",SUMIFS(Desconto_Cliente_Mes!$Q$2:$Q$433,Desconto_Cliente_Mes!$A$2:$A$433,J$128,Desconto_Cliente_Mes!$B$2:$B$433,$A128,Desconto_Cliente_Mes!$C$2:$C$433,"Proteina"),SUMIFS(Desconto_Cliente_Mes!$R$2:$R$433,Desconto_Cliente_Mes!$A$2:$A$433,J$128,Desconto_Cliente_Mes!$B$2:$B$433,$A128,Desconto_Cliente_Mes!$C$2:$C$433,"Proteina"))))*(SUMIFS(Desconto_Cliente_Mes!$T$2:$T$433,Desconto_Cliente_Mes!$A$2:$A$433,J$128,Desconto_Cliente_Mes!$B$2:$B$433,$A128,Desconto_Cliente_Mes!$C$2:$C$433,"Proteina"))</f>
        <v>-0</v>
      </c>
      <c r="K136" s="16" t="n">
        <f aca="false">$K$130*($K$133/100)*((IF(SUMIFS(Desconto_Cliente_Mes!$S$2:$S$433,Desconto_Cliente_Mes!$A$2:$A$433,K$128,Desconto_Cliente_Mes!$B$2:$B$433,$A128,Desconto_Cliente_Mes!$C$2:$C$433,"Proteina")="",(IF(SUMIFS(Desconto_Cliente_Mes!$R$2:$R$433,Desconto_Cliente_Mes!$A$2:$A$433,K$128,Desconto_Cliente_Mes!$B$2:$B$433,$A128,Desconto_Cliente_Mes!$C$2:$C$433,"Proteina")="",SUMIFS(Desconto_Cliente_Mes!$Q$2:$Q$433,Desconto_Cliente_Mes!$A$2:$A$433,K$128,Desconto_Cliente_Mes!$B$2:$B$433,$A128,Desconto_Cliente_Mes!$C$2:$C$433,"Proteina"),SUMIFS(Desconto_Cliente_Mes!$R$2:$R$433,Desconto_Cliente_Mes!$A$2:$A$433,K$128,Desconto_Cliente_Mes!$B$2:$B$433,$A128,Desconto_Cliente_Mes!$C$2:$C$433,"Proteina"))),SUMIFS(Desconto_Cliente_Mes!$S$2:$S$433,Desconto_Cliente_Mes!$A$2:$A$433,K$128,Desconto_Cliente_Mes!$B$2:$B$433,$A128,Desconto_Cliente_Mes!$C$2:$C$433,"Proteina")))-(IF(SUMIFS(Desconto_Cliente_Mes!$R$2:$R$433,Desconto_Cliente_Mes!$A$2:$A$433,K$128,Desconto_Cliente_Mes!$B$2:$B$433,$A128,Desconto_Cliente_Mes!$C$2:$C$433,"Proteina")="",SUMIFS(Desconto_Cliente_Mes!$Q$2:$Q$433,Desconto_Cliente_Mes!$A$2:$A$433,K$128,Desconto_Cliente_Mes!$B$2:$B$433,$A128,Desconto_Cliente_Mes!$C$2:$C$433,"Proteina"),SUMIFS(Desconto_Cliente_Mes!$R$2:$R$433,Desconto_Cliente_Mes!$A$2:$A$433,K$128,Desconto_Cliente_Mes!$B$2:$B$433,$A128,Desconto_Cliente_Mes!$C$2:$C$433,"Proteina"))))*(SUMIFS(Desconto_Cliente_Mes!$T$2:$T$433,Desconto_Cliente_Mes!$A$2:$A$433,K$128,Desconto_Cliente_Mes!$B$2:$B$433,$A128,Desconto_Cliente_Mes!$C$2:$C$433,"Proteina"))</f>
        <v>-0</v>
      </c>
      <c r="L136" s="16" t="n">
        <f aca="false">$L$130*($L$133/100)*((IF(SUMIFS(Desconto_Cliente_Mes!$S$2:$S$433,Desconto_Cliente_Mes!$A$2:$A$433,L$128,Desconto_Cliente_Mes!$B$2:$B$433,$A128,Desconto_Cliente_Mes!$C$2:$C$433,"Proteina")="",(IF(SUMIFS(Desconto_Cliente_Mes!$R$2:$R$433,Desconto_Cliente_Mes!$A$2:$A$433,L$128,Desconto_Cliente_Mes!$B$2:$B$433,$A128,Desconto_Cliente_Mes!$C$2:$C$433,"Proteina")="",SUMIFS(Desconto_Cliente_Mes!$Q$2:$Q$433,Desconto_Cliente_Mes!$A$2:$A$433,L$128,Desconto_Cliente_Mes!$B$2:$B$433,$A128,Desconto_Cliente_Mes!$C$2:$C$433,"Proteina"),SUMIFS(Desconto_Cliente_Mes!$R$2:$R$433,Desconto_Cliente_Mes!$A$2:$A$433,L$128,Desconto_Cliente_Mes!$B$2:$B$433,$A128,Desconto_Cliente_Mes!$C$2:$C$433,"Proteina"))),SUMIFS(Desconto_Cliente_Mes!$S$2:$S$433,Desconto_Cliente_Mes!$A$2:$A$433,L$128,Desconto_Cliente_Mes!$B$2:$B$433,$A128,Desconto_Cliente_Mes!$C$2:$C$433,"Proteina")))-(IF(SUMIFS(Desconto_Cliente_Mes!$R$2:$R$433,Desconto_Cliente_Mes!$A$2:$A$433,L$128,Desconto_Cliente_Mes!$B$2:$B$433,$A128,Desconto_Cliente_Mes!$C$2:$C$433,"Proteina")="",SUMIFS(Desconto_Cliente_Mes!$Q$2:$Q$433,Desconto_Cliente_Mes!$A$2:$A$433,L$128,Desconto_Cliente_Mes!$B$2:$B$433,$A128,Desconto_Cliente_Mes!$C$2:$C$433,"Proteina"),SUMIFS(Desconto_Cliente_Mes!$R$2:$R$433,Desconto_Cliente_Mes!$A$2:$A$433,L$128,Desconto_Cliente_Mes!$B$2:$B$433,$A128,Desconto_Cliente_Mes!$C$2:$C$433,"Proteina"))))*(SUMIFS(Desconto_Cliente_Mes!$T$2:$T$433,Desconto_Cliente_Mes!$A$2:$A$433,L$128,Desconto_Cliente_Mes!$B$2:$B$433,$A128,Desconto_Cliente_Mes!$C$2:$C$433,"Proteina"))</f>
        <v>-0</v>
      </c>
      <c r="M136" s="16" t="n">
        <f aca="false">$M$130*($M$133/100)*((IF(SUMIFS(Desconto_Cliente_Mes!$S$2:$S$433,Desconto_Cliente_Mes!$A$2:$A$433,M$128,Desconto_Cliente_Mes!$B$2:$B$433,$A128,Desconto_Cliente_Mes!$C$2:$C$433,"Proteina")="",(IF(SUMIFS(Desconto_Cliente_Mes!$R$2:$R$433,Desconto_Cliente_Mes!$A$2:$A$433,M$128,Desconto_Cliente_Mes!$B$2:$B$433,$A128,Desconto_Cliente_Mes!$C$2:$C$433,"Proteina")="",SUMIFS(Desconto_Cliente_Mes!$Q$2:$Q$433,Desconto_Cliente_Mes!$A$2:$A$433,M$128,Desconto_Cliente_Mes!$B$2:$B$433,$A128,Desconto_Cliente_Mes!$C$2:$C$433,"Proteina"),SUMIFS(Desconto_Cliente_Mes!$R$2:$R$433,Desconto_Cliente_Mes!$A$2:$A$433,M$128,Desconto_Cliente_Mes!$B$2:$B$433,$A128,Desconto_Cliente_Mes!$C$2:$C$433,"Proteina"))),SUMIFS(Desconto_Cliente_Mes!$S$2:$S$433,Desconto_Cliente_Mes!$A$2:$A$433,M$128,Desconto_Cliente_Mes!$B$2:$B$433,$A128,Desconto_Cliente_Mes!$C$2:$C$433,"Proteina")))-(IF(SUMIFS(Desconto_Cliente_Mes!$R$2:$R$433,Desconto_Cliente_Mes!$A$2:$A$433,M$128,Desconto_Cliente_Mes!$B$2:$B$433,$A128,Desconto_Cliente_Mes!$C$2:$C$433,"Proteina")="",SUMIFS(Desconto_Cliente_Mes!$Q$2:$Q$433,Desconto_Cliente_Mes!$A$2:$A$433,M$128,Desconto_Cliente_Mes!$B$2:$B$433,$A128,Desconto_Cliente_Mes!$C$2:$C$433,"Proteina"),SUMIFS(Desconto_Cliente_Mes!$R$2:$R$433,Desconto_Cliente_Mes!$A$2:$A$433,M$128,Desconto_Cliente_Mes!$B$2:$B$433,$A128,Desconto_Cliente_Mes!$C$2:$C$433,"Proteina"))))*(SUMIFS(Desconto_Cliente_Mes!$T$2:$T$433,Desconto_Cliente_Mes!$A$2:$A$433,M$128,Desconto_Cliente_Mes!$B$2:$B$433,$A128,Desconto_Cliente_Mes!$C$2:$C$433,"Proteina"))</f>
        <v>-0</v>
      </c>
      <c r="N136" s="17" t="n">
        <f aca="false">SUM(B136:M136)</f>
        <v>0</v>
      </c>
    </row>
    <row r="137" customFormat="false" ht="15" hidden="false" customHeight="false" outlineLevel="0" collapsed="false">
      <c r="A137" s="13" t="s">
        <v>82</v>
      </c>
      <c r="B137" s="16" t="n">
        <f aca="false">SUMIFS(Acerto_Detalhado!$J$2:$J$433,Acerto_Detalhado!$A$2:$A$433,B$128,Acerto_Detalhado!$B$2:$B$433,$A128,Acerto_Detalhado!$C$2:$C$433,"Proteina")</f>
        <v>0</v>
      </c>
      <c r="C137" s="16" t="n">
        <f aca="false">SUMIFS(Acerto_Detalhado!$J$2:$J$433,Acerto_Detalhado!$A$2:$A$433,C$128,Acerto_Detalhado!$B$2:$B$433,$A128,Acerto_Detalhado!$C$2:$C$433,"Proteina")</f>
        <v>0</v>
      </c>
      <c r="D137" s="16" t="n">
        <f aca="false">SUMIFS(Acerto_Detalhado!$J$2:$J$433,Acerto_Detalhado!$A$2:$A$433,D$128,Acerto_Detalhado!$B$2:$B$433,$A128,Acerto_Detalhado!$C$2:$C$433,"Proteina")</f>
        <v>0</v>
      </c>
      <c r="E137" s="16" t="n">
        <f aca="false">SUMIFS(Acerto_Detalhado!$J$2:$J$433,Acerto_Detalhado!$A$2:$A$433,E$128,Acerto_Detalhado!$B$2:$B$433,$A128,Acerto_Detalhado!$C$2:$C$433,"Proteina")</f>
        <v>0</v>
      </c>
      <c r="F137" s="16" t="n">
        <f aca="false">SUMIFS(Acerto_Detalhado!$J$2:$J$433,Acerto_Detalhado!$A$2:$A$433,F$128,Acerto_Detalhado!$B$2:$B$433,$A128,Acerto_Detalhado!$C$2:$C$433,"Proteina")</f>
        <v>0</v>
      </c>
      <c r="G137" s="16" t="n">
        <f aca="false">SUMIFS(Acerto_Detalhado!$J$2:$J$433,Acerto_Detalhado!$A$2:$A$433,G$128,Acerto_Detalhado!$B$2:$B$433,$A128,Acerto_Detalhado!$C$2:$C$433,"Proteina")</f>
        <v>0</v>
      </c>
      <c r="H137" s="16" t="n">
        <f aca="false">SUMIFS(Acerto_Detalhado!$J$2:$J$433,Acerto_Detalhado!$A$2:$A$433,H$128,Acerto_Detalhado!$B$2:$B$433,$A128,Acerto_Detalhado!$C$2:$C$433,"Proteina")</f>
        <v>0</v>
      </c>
      <c r="I137" s="16" t="n">
        <f aca="false">SUMIFS(Acerto_Detalhado!$J$2:$J$433,Acerto_Detalhado!$A$2:$A$433,I$128,Acerto_Detalhado!$B$2:$B$433,$A128,Acerto_Detalhado!$C$2:$C$433,"Proteina")</f>
        <v>0</v>
      </c>
      <c r="J137" s="16" t="n">
        <f aca="false">SUMIFS(Acerto_Detalhado!$J$2:$J$433,Acerto_Detalhado!$A$2:$A$433,J$128,Acerto_Detalhado!$B$2:$B$433,$A128,Acerto_Detalhado!$C$2:$C$433,"Proteina")</f>
        <v>0</v>
      </c>
      <c r="K137" s="16" t="n">
        <f aca="false">SUMIFS(Acerto_Detalhado!$J$2:$J$433,Acerto_Detalhado!$A$2:$A$433,K$128,Acerto_Detalhado!$B$2:$B$433,$A128,Acerto_Detalhado!$C$2:$C$433,"Proteina")</f>
        <v>0</v>
      </c>
      <c r="L137" s="16" t="n">
        <f aca="false">SUMIFS(Acerto_Detalhado!$J$2:$J$433,Acerto_Detalhado!$A$2:$A$433,L$128,Acerto_Detalhado!$B$2:$B$433,$A128,Acerto_Detalhado!$C$2:$C$433,"Proteina")</f>
        <v>0</v>
      </c>
      <c r="M137" s="16" t="n">
        <f aca="false">SUMIFS(Acerto_Detalhado!$J$2:$J$433,Acerto_Detalhado!$A$2:$A$433,M$128,Acerto_Detalhado!$B$2:$B$433,$A128,Acerto_Detalhado!$C$2:$C$433,"Proteina")</f>
        <v>0</v>
      </c>
      <c r="N137" s="17" t="n">
        <f aca="false">SUM(B137:M137)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95C"/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13" min="2" style="0" width="11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2" t="s">
        <v>83</v>
      </c>
    </row>
    <row r="3" customFormat="false" ht="15" hidden="false" customHeight="false" outlineLevel="0" collapsed="false">
      <c r="A3" s="13" t="s">
        <v>71</v>
      </c>
      <c r="B3" s="14" t="n">
        <f aca="false">Parametros_ANEC73!C5</f>
        <v>12.5</v>
      </c>
    </row>
    <row r="4" customFormat="false" ht="15" hidden="false" customHeight="false" outlineLevel="0" collapsed="false">
      <c r="A4" s="13" t="s">
        <v>72</v>
      </c>
      <c r="B4" s="14" t="n">
        <f aca="false">Parametros_ANEC73!G5</f>
        <v>0</v>
      </c>
    </row>
    <row r="5" customFormat="false" ht="15" hidden="false" customHeight="false" outlineLevel="0" collapsed="false">
      <c r="A5" s="13" t="s">
        <v>73</v>
      </c>
      <c r="B5" s="14" t="n">
        <f aca="false">Parametros_ANEC73!J5</f>
        <v>0</v>
      </c>
    </row>
    <row r="7" customFormat="false" ht="15" hidden="false" customHeight="false" outlineLevel="0" collapsed="false">
      <c r="A7" s="5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L7" s="6" t="s">
        <v>49</v>
      </c>
      <c r="M7" s="6" t="s">
        <v>50</v>
      </c>
      <c r="N7" s="6" t="s">
        <v>51</v>
      </c>
    </row>
    <row r="8" customFormat="false" ht="15" hidden="false" customHeight="false" outlineLevel="0" collapsed="false">
      <c r="A8" s="13" t="s">
        <v>74</v>
      </c>
      <c r="B8" s="10" t="str">
        <f aca="false">IF((SUMIFS(Desconto_Cliente_Mes!$D$2:$D$433,Desconto_Cliente_Mes!$A$2:$A$433,B$7,Desconto_Cliente_Mes!$B$2:$B$433,$A7,Desconto_Cliente_Mes!$C$2:$C$433,"Umidade"))=0,"",IFERROR(SUMIFS(Desconto_Cliente_Mes!$E$2:$E$433,Desconto_Cliente_Mes!$A$2:$A$433,B$7,Desconto_Cliente_Mes!$B$2:$B$433,$A7,Desconto_Cliente_Mes!$C$2:$C$433,"Umidade"),""))</f>
        <v/>
      </c>
      <c r="C8" s="10" t="n">
        <f aca="false">IF((SUMIFS(Desconto_Cliente_Mes!$D$2:$D$433,Desconto_Cliente_Mes!$A$2:$A$433,C$7,Desconto_Cliente_Mes!$B$2:$B$433,$A7,Desconto_Cliente_Mes!$C$2:$C$433,"Umidade"))=0,"",IFERROR(SUMIFS(Desconto_Cliente_Mes!$E$2:$E$433,Desconto_Cliente_Mes!$A$2:$A$433,C$7,Desconto_Cliente_Mes!$B$2:$B$433,$A7,Desconto_Cliente_Mes!$C$2:$C$433,"Umidade"),""))</f>
        <v>11.6180667802804</v>
      </c>
      <c r="D8" s="10" t="n">
        <f aca="false">IF((SUMIFS(Desconto_Cliente_Mes!$D$2:$D$433,Desconto_Cliente_Mes!$A$2:$A$433,D$7,Desconto_Cliente_Mes!$B$2:$B$433,$A7,Desconto_Cliente_Mes!$C$2:$C$433,"Umidade"))=0,"",IFERROR(SUMIFS(Desconto_Cliente_Mes!$E$2:$E$433,Desconto_Cliente_Mes!$A$2:$A$433,D$7,Desconto_Cliente_Mes!$B$2:$B$433,$A7,Desconto_Cliente_Mes!$C$2:$C$433,"Umidade"),""))</f>
        <v>12.4164668156559</v>
      </c>
      <c r="E8" s="10" t="n">
        <f aca="false">IF((SUMIFS(Desconto_Cliente_Mes!$D$2:$D$433,Desconto_Cliente_Mes!$A$2:$A$433,E$7,Desconto_Cliente_Mes!$B$2:$B$433,$A7,Desconto_Cliente_Mes!$C$2:$C$433,"Umidade"))=0,"",IFERROR(SUMIFS(Desconto_Cliente_Mes!$E$2:$E$433,Desconto_Cliente_Mes!$A$2:$A$433,E$7,Desconto_Cliente_Mes!$B$2:$B$433,$A7,Desconto_Cliente_Mes!$C$2:$C$433,"Umidade"),""))</f>
        <v>12.1108984280215</v>
      </c>
      <c r="F8" s="10" t="n">
        <f aca="false">IF((SUMIFS(Desconto_Cliente_Mes!$D$2:$D$433,Desconto_Cliente_Mes!$A$2:$A$433,F$7,Desconto_Cliente_Mes!$B$2:$B$433,$A7,Desconto_Cliente_Mes!$C$2:$C$433,"Umidade"))=0,"",IFERROR(SUMIFS(Desconto_Cliente_Mes!$E$2:$E$433,Desconto_Cliente_Mes!$A$2:$A$433,F$7,Desconto_Cliente_Mes!$B$2:$B$433,$A7,Desconto_Cliente_Mes!$C$2:$C$433,"Umidade"),""))</f>
        <v>12.0883999973853</v>
      </c>
      <c r="G8" s="10" t="n">
        <f aca="false">IF((SUMIFS(Desconto_Cliente_Mes!$D$2:$D$433,Desconto_Cliente_Mes!$A$2:$A$433,G$7,Desconto_Cliente_Mes!$B$2:$B$433,$A7,Desconto_Cliente_Mes!$C$2:$C$433,"Umidade"))=0,"",IFERROR(SUMIFS(Desconto_Cliente_Mes!$E$2:$E$433,Desconto_Cliente_Mes!$A$2:$A$433,G$7,Desconto_Cliente_Mes!$B$2:$B$433,$A7,Desconto_Cliente_Mes!$C$2:$C$433,"Umidade"),""))</f>
        <v>12.2074596664005</v>
      </c>
      <c r="H8" s="10" t="n">
        <f aca="false">IF((SUMIFS(Desconto_Cliente_Mes!$D$2:$D$433,Desconto_Cliente_Mes!$A$2:$A$433,H$7,Desconto_Cliente_Mes!$B$2:$B$433,$A7,Desconto_Cliente_Mes!$C$2:$C$433,"Umidade"))=0,"",IFERROR(SUMIFS(Desconto_Cliente_Mes!$E$2:$E$433,Desconto_Cliente_Mes!$A$2:$A$433,H$7,Desconto_Cliente_Mes!$B$2:$B$433,$A7,Desconto_Cliente_Mes!$C$2:$C$433,"Umidade"),""))</f>
        <v>12.1312591374571</v>
      </c>
      <c r="I8" s="10" t="str">
        <f aca="false">IF((SUMIFS(Desconto_Cliente_Mes!$D$2:$D$433,Desconto_Cliente_Mes!$A$2:$A$433,I$7,Desconto_Cliente_Mes!$B$2:$B$433,$A7,Desconto_Cliente_Mes!$C$2:$C$433,"Umidade"))=0,"",IFERROR(SUMIFS(Desconto_Cliente_Mes!$E$2:$E$433,Desconto_Cliente_Mes!$A$2:$A$433,I$7,Desconto_Cliente_Mes!$B$2:$B$433,$A7,Desconto_Cliente_Mes!$C$2:$C$433,"Umidade"),""))</f>
        <v/>
      </c>
      <c r="J8" s="10" t="str">
        <f aca="false">IF((SUMIFS(Desconto_Cliente_Mes!$D$2:$D$433,Desconto_Cliente_Mes!$A$2:$A$433,J$7,Desconto_Cliente_Mes!$B$2:$B$433,$A7,Desconto_Cliente_Mes!$C$2:$C$433,"Umidade"))=0,"",IFERROR(SUMIFS(Desconto_Cliente_Mes!$E$2:$E$433,Desconto_Cliente_Mes!$A$2:$A$433,J$7,Desconto_Cliente_Mes!$B$2:$B$433,$A7,Desconto_Cliente_Mes!$C$2:$C$433,"Umidade"),""))</f>
        <v/>
      </c>
      <c r="K8" s="10" t="str">
        <f aca="false">IF((SUMIFS(Desconto_Cliente_Mes!$D$2:$D$433,Desconto_Cliente_Mes!$A$2:$A$433,K$7,Desconto_Cliente_Mes!$B$2:$B$433,$A7,Desconto_Cliente_Mes!$C$2:$C$433,"Umidade"))=0,"",IFERROR(SUMIFS(Desconto_Cliente_Mes!$E$2:$E$433,Desconto_Cliente_Mes!$A$2:$A$433,K$7,Desconto_Cliente_Mes!$B$2:$B$433,$A7,Desconto_Cliente_Mes!$C$2:$C$433,"Umidade"),""))</f>
        <v/>
      </c>
      <c r="L8" s="10" t="str">
        <f aca="false">IF((SUMIFS(Desconto_Cliente_Mes!$D$2:$D$433,Desconto_Cliente_Mes!$A$2:$A$433,L$7,Desconto_Cliente_Mes!$B$2:$B$433,$A7,Desconto_Cliente_Mes!$C$2:$C$433,"Umidade"))=0,"",IFERROR(SUMIFS(Desconto_Cliente_Mes!$E$2:$E$433,Desconto_Cliente_Mes!$A$2:$A$433,L$7,Desconto_Cliente_Mes!$B$2:$B$433,$A7,Desconto_Cliente_Mes!$C$2:$C$433,"Umidade"),""))</f>
        <v/>
      </c>
      <c r="M8" s="10" t="str">
        <f aca="false">IF((SUMIFS(Desconto_Cliente_Mes!$D$2:$D$433,Desconto_Cliente_Mes!$A$2:$A$433,M$7,Desconto_Cliente_Mes!$B$2:$B$433,$A7,Desconto_Cliente_Mes!$C$2:$C$433,"Umidade"))=0,"",IFERROR(SUMIFS(Desconto_Cliente_Mes!$E$2:$E$433,Desconto_Cliente_Mes!$A$2:$A$433,M$7,Desconto_Cliente_Mes!$B$2:$B$433,$A7,Desconto_Cliente_Mes!$C$2:$C$433,"Umidade"),""))</f>
        <v/>
      </c>
      <c r="N8" s="11" t="n">
        <f aca="false">IFERROR(Media_Pool_Mes!D2,"")</f>
        <v>12.076727887935</v>
      </c>
    </row>
    <row r="9" customFormat="false" ht="15" hidden="false" customHeight="false" outlineLevel="0" collapsed="false">
      <c r="A9" s="13" t="s">
        <v>75</v>
      </c>
      <c r="B9" s="8" t="n">
        <f aca="false">IFERROR(SUMIFS(Desconto_Cliente_Mes!$D$2:$D$433,Desconto_Cliente_Mes!$A$2:$A$433,B$7,Desconto_Cliente_Mes!$B$2:$B$433,$A7,Desconto_Cliente_Mes!$C$2:$C$433,"Umidade"),0)</f>
        <v>0</v>
      </c>
      <c r="C9" s="8" t="n">
        <f aca="false">IFERROR(SUMIFS(Desconto_Cliente_Mes!$D$2:$D$433,Desconto_Cliente_Mes!$A$2:$A$433,C$7,Desconto_Cliente_Mes!$B$2:$B$433,$A7,Desconto_Cliente_Mes!$C$2:$C$433,"Umidade"),0)</f>
        <v>39842.6</v>
      </c>
      <c r="D9" s="8" t="n">
        <f aca="false">IFERROR(SUMIFS(Desconto_Cliente_Mes!$D$2:$D$433,Desconto_Cliente_Mes!$A$2:$A$433,D$7,Desconto_Cliente_Mes!$B$2:$B$433,$A7,Desconto_Cliente_Mes!$C$2:$C$433,"Umidade"),0)</f>
        <v>18891.74</v>
      </c>
      <c r="E9" s="8" t="n">
        <f aca="false">IFERROR(SUMIFS(Desconto_Cliente_Mes!$D$2:$D$433,Desconto_Cliente_Mes!$A$2:$A$433,E$7,Desconto_Cliente_Mes!$B$2:$B$433,$A7,Desconto_Cliente_Mes!$C$2:$C$433,"Umidade"),0)</f>
        <v>26334.33</v>
      </c>
      <c r="F9" s="8" t="n">
        <f aca="false">IFERROR(SUMIFS(Desconto_Cliente_Mes!$D$2:$D$433,Desconto_Cliente_Mes!$A$2:$A$433,F$7,Desconto_Cliente_Mes!$B$2:$B$433,$A7,Desconto_Cliente_Mes!$C$2:$C$433,"Umidade"),0)</f>
        <v>58133.28</v>
      </c>
      <c r="G9" s="8" t="n">
        <f aca="false">IFERROR(SUMIFS(Desconto_Cliente_Mes!$D$2:$D$433,Desconto_Cliente_Mes!$A$2:$A$433,G$7,Desconto_Cliente_Mes!$B$2:$B$433,$A7,Desconto_Cliente_Mes!$C$2:$C$433,"Umidade"),0)</f>
        <v>48560.63</v>
      </c>
      <c r="H9" s="8" t="n">
        <f aca="false">IFERROR(SUMIFS(Desconto_Cliente_Mes!$D$2:$D$433,Desconto_Cliente_Mes!$A$2:$A$433,H$7,Desconto_Cliente_Mes!$B$2:$B$433,$A7,Desconto_Cliente_Mes!$C$2:$C$433,"Umidade"),0)</f>
        <v>72053.69</v>
      </c>
      <c r="I9" s="8" t="n">
        <f aca="false">IFERROR(SUMIFS(Desconto_Cliente_Mes!$D$2:$D$433,Desconto_Cliente_Mes!$A$2:$A$433,I$7,Desconto_Cliente_Mes!$B$2:$B$433,$A7,Desconto_Cliente_Mes!$C$2:$C$433,"Umidade"),0)</f>
        <v>0</v>
      </c>
      <c r="J9" s="8" t="n">
        <f aca="false">IFERROR(SUMIFS(Desconto_Cliente_Mes!$D$2:$D$433,Desconto_Cliente_Mes!$A$2:$A$433,J$7,Desconto_Cliente_Mes!$B$2:$B$433,$A7,Desconto_Cliente_Mes!$C$2:$C$433,"Umidade"),0)</f>
        <v>0</v>
      </c>
      <c r="K9" s="8" t="n">
        <f aca="false">IFERROR(SUMIFS(Desconto_Cliente_Mes!$D$2:$D$433,Desconto_Cliente_Mes!$A$2:$A$433,K$7,Desconto_Cliente_Mes!$B$2:$B$433,$A7,Desconto_Cliente_Mes!$C$2:$C$433,"Umidade"),0)</f>
        <v>0</v>
      </c>
      <c r="L9" s="8" t="n">
        <f aca="false">IFERROR(SUMIFS(Desconto_Cliente_Mes!$D$2:$D$433,Desconto_Cliente_Mes!$A$2:$A$433,L$7,Desconto_Cliente_Mes!$B$2:$B$433,$A7,Desconto_Cliente_Mes!$C$2:$C$433,"Umidade"),0)</f>
        <v>0</v>
      </c>
      <c r="M9" s="8" t="n">
        <f aca="false">IFERROR(SUMIFS(Desconto_Cliente_Mes!$D$2:$D$433,Desconto_Cliente_Mes!$A$2:$A$433,M$7,Desconto_Cliente_Mes!$B$2:$B$433,$A7,Desconto_Cliente_Mes!$C$2:$C$433,"Umidade"),0)</f>
        <v>0</v>
      </c>
      <c r="N9" s="9" t="n">
        <f aca="false">SUM(B9:M9)</f>
        <v>263816.27</v>
      </c>
    </row>
    <row r="10" customFormat="false" ht="15" hidden="false" customHeight="false" outlineLevel="0" collapsed="false">
      <c r="A10" s="13" t="s">
        <v>76</v>
      </c>
      <c r="B10" s="15" t="n">
        <f aca="false">MAX(0,(SUMIFS(Desconto_Cliente_Mes!$L$2:$L$433,Desconto_Cliente_Mes!$A$2:$A$433,B$7,Desconto_Cliente_Mes!$B$2:$B$433,$A7,Desconto_Cliente_Mes!$C$2:$C$433,"Umidade"))-(SUMIFS(Desconto_Cliente_Mes!$N$2:$N$433,Desconto_Cliente_Mes!$A$2:$A$433,B$7,Desconto_Cliente_Mes!$B$2:$B$433,$A7,Desconto_Cliente_Mes!$C$2:$C$433,"Umidade")))</f>
        <v>0</v>
      </c>
      <c r="C10" s="15" t="n">
        <f aca="false">MAX(0,(SUMIFS(Desconto_Cliente_Mes!$L$2:$L$433,Desconto_Cliente_Mes!$A$2:$A$433,C$7,Desconto_Cliente_Mes!$B$2:$B$433,$A7,Desconto_Cliente_Mes!$C$2:$C$433,"Umidade"))-(SUMIFS(Desconto_Cliente_Mes!$N$2:$N$433,Desconto_Cliente_Mes!$A$2:$A$433,C$7,Desconto_Cliente_Mes!$B$2:$B$433,$A7,Desconto_Cliente_Mes!$C$2:$C$433,"Umidade")))</f>
        <v>0</v>
      </c>
      <c r="D10" s="15" t="n">
        <f aca="false">MAX(0,(SUMIFS(Desconto_Cliente_Mes!$L$2:$L$433,Desconto_Cliente_Mes!$A$2:$A$433,D$7,Desconto_Cliente_Mes!$B$2:$B$433,$A7,Desconto_Cliente_Mes!$C$2:$C$433,"Umidade"))-(SUMIFS(Desconto_Cliente_Mes!$N$2:$N$433,Desconto_Cliente_Mes!$A$2:$A$433,D$7,Desconto_Cliente_Mes!$B$2:$B$433,$A7,Desconto_Cliente_Mes!$C$2:$C$433,"Umidade")))</f>
        <v>0</v>
      </c>
      <c r="E10" s="15" t="n">
        <f aca="false">MAX(0,(SUMIFS(Desconto_Cliente_Mes!$L$2:$L$433,Desconto_Cliente_Mes!$A$2:$A$433,E$7,Desconto_Cliente_Mes!$B$2:$B$433,$A7,Desconto_Cliente_Mes!$C$2:$C$433,"Umidade"))-(SUMIFS(Desconto_Cliente_Mes!$N$2:$N$433,Desconto_Cliente_Mes!$A$2:$A$433,E$7,Desconto_Cliente_Mes!$B$2:$B$433,$A7,Desconto_Cliente_Mes!$C$2:$C$433,"Umidade")))</f>
        <v>0</v>
      </c>
      <c r="F10" s="15" t="n">
        <f aca="false">MAX(0,(SUMIFS(Desconto_Cliente_Mes!$L$2:$L$433,Desconto_Cliente_Mes!$A$2:$A$433,F$7,Desconto_Cliente_Mes!$B$2:$B$433,$A7,Desconto_Cliente_Mes!$C$2:$C$433,"Umidade"))-(SUMIFS(Desconto_Cliente_Mes!$N$2:$N$433,Desconto_Cliente_Mes!$A$2:$A$433,F$7,Desconto_Cliente_Mes!$B$2:$B$433,$A7,Desconto_Cliente_Mes!$C$2:$C$433,"Umidade")))</f>
        <v>0</v>
      </c>
      <c r="G10" s="15" t="n">
        <f aca="false">MAX(0,(SUMIFS(Desconto_Cliente_Mes!$L$2:$L$433,Desconto_Cliente_Mes!$A$2:$A$433,G$7,Desconto_Cliente_Mes!$B$2:$B$433,$A7,Desconto_Cliente_Mes!$C$2:$C$433,"Umidade"))-(SUMIFS(Desconto_Cliente_Mes!$N$2:$N$433,Desconto_Cliente_Mes!$A$2:$A$433,G$7,Desconto_Cliente_Mes!$B$2:$B$433,$A7,Desconto_Cliente_Mes!$C$2:$C$433,"Umidade")))</f>
        <v>0</v>
      </c>
      <c r="H10" s="15" t="n">
        <f aca="false">MAX(0,(SUMIFS(Desconto_Cliente_Mes!$L$2:$L$433,Desconto_Cliente_Mes!$A$2:$A$433,H$7,Desconto_Cliente_Mes!$B$2:$B$433,$A7,Desconto_Cliente_Mes!$C$2:$C$433,"Umidade"))-(SUMIFS(Desconto_Cliente_Mes!$N$2:$N$433,Desconto_Cliente_Mes!$A$2:$A$433,H$7,Desconto_Cliente_Mes!$B$2:$B$433,$A7,Desconto_Cliente_Mes!$C$2:$C$433,"Umidade")))</f>
        <v>0</v>
      </c>
      <c r="I10" s="15" t="n">
        <f aca="false">MAX(0,(SUMIFS(Desconto_Cliente_Mes!$L$2:$L$433,Desconto_Cliente_Mes!$A$2:$A$433,I$7,Desconto_Cliente_Mes!$B$2:$B$433,$A7,Desconto_Cliente_Mes!$C$2:$C$433,"Umidade"))-(SUMIFS(Desconto_Cliente_Mes!$N$2:$N$433,Desconto_Cliente_Mes!$A$2:$A$433,I$7,Desconto_Cliente_Mes!$B$2:$B$433,$A7,Desconto_Cliente_Mes!$C$2:$C$433,"Umidade")))</f>
        <v>0</v>
      </c>
      <c r="J10" s="15" t="n">
        <f aca="false">MAX(0,(SUMIFS(Desconto_Cliente_Mes!$L$2:$L$433,Desconto_Cliente_Mes!$A$2:$A$433,J$7,Desconto_Cliente_Mes!$B$2:$B$433,$A7,Desconto_Cliente_Mes!$C$2:$C$433,"Umidade"))-(SUMIFS(Desconto_Cliente_Mes!$N$2:$N$433,Desconto_Cliente_Mes!$A$2:$A$433,J$7,Desconto_Cliente_Mes!$B$2:$B$433,$A7,Desconto_Cliente_Mes!$C$2:$C$433,"Umidade")))</f>
        <v>0</v>
      </c>
      <c r="K10" s="15" t="n">
        <f aca="false">MAX(0,(SUMIFS(Desconto_Cliente_Mes!$L$2:$L$433,Desconto_Cliente_Mes!$A$2:$A$433,K$7,Desconto_Cliente_Mes!$B$2:$B$433,$A7,Desconto_Cliente_Mes!$C$2:$C$433,"Umidade"))-(SUMIFS(Desconto_Cliente_Mes!$N$2:$N$433,Desconto_Cliente_Mes!$A$2:$A$433,K$7,Desconto_Cliente_Mes!$B$2:$B$433,$A7,Desconto_Cliente_Mes!$C$2:$C$433,"Umidade")))</f>
        <v>0</v>
      </c>
      <c r="L10" s="15" t="n">
        <f aca="false">MAX(0,(SUMIFS(Desconto_Cliente_Mes!$L$2:$L$433,Desconto_Cliente_Mes!$A$2:$A$433,L$7,Desconto_Cliente_Mes!$B$2:$B$433,$A7,Desconto_Cliente_Mes!$C$2:$C$433,"Umidade"))-(SUMIFS(Desconto_Cliente_Mes!$N$2:$N$433,Desconto_Cliente_Mes!$A$2:$A$433,L$7,Desconto_Cliente_Mes!$B$2:$B$433,$A7,Desconto_Cliente_Mes!$C$2:$C$433,"Umidade")))</f>
        <v>0</v>
      </c>
      <c r="M10" s="15" t="n">
        <f aca="false">MAX(0,(SUMIFS(Desconto_Cliente_Mes!$L$2:$L$433,Desconto_Cliente_Mes!$A$2:$A$433,M$7,Desconto_Cliente_Mes!$B$2:$B$433,$A7,Desconto_Cliente_Mes!$C$2:$C$433,"Umidade"))-(SUMIFS(Desconto_Cliente_Mes!$N$2:$N$433,Desconto_Cliente_Mes!$A$2:$A$433,M$7,Desconto_Cliente_Mes!$B$2:$B$433,$A7,Desconto_Cliente_Mes!$C$2:$C$433,"Umidade")))</f>
        <v>0</v>
      </c>
    </row>
    <row r="11" customFormat="false" ht="15" hidden="false" customHeight="false" outlineLevel="0" collapsed="false">
      <c r="A11" s="13" t="s">
        <v>77</v>
      </c>
      <c r="B11" s="15" t="n">
        <f aca="false">MAX(0,(SUMIFS(Desconto_Cliente_Mes!$N$2:$N$433,Desconto_Cliente_Mes!$A$2:$A$433,B$7,Desconto_Cliente_Mes!$B$2:$B$433,$A7,Desconto_Cliente_Mes!$C$2:$C$433,"Umidade"))-(SUMIFS(Desconto_Cliente_Mes!$P$2:$P$433,Desconto_Cliente_Mes!$A$2:$A$433,B$7,Desconto_Cliente_Mes!$B$2:$B$433,$A7,Desconto_Cliente_Mes!$C$2:$C$433,"Umidade")))</f>
        <v>0</v>
      </c>
      <c r="C11" s="15" t="n">
        <f aca="false">MAX(0,(SUMIFS(Desconto_Cliente_Mes!$N$2:$N$433,Desconto_Cliente_Mes!$A$2:$A$433,C$7,Desconto_Cliente_Mes!$B$2:$B$433,$A7,Desconto_Cliente_Mes!$C$2:$C$433,"Umidade"))-(SUMIFS(Desconto_Cliente_Mes!$P$2:$P$433,Desconto_Cliente_Mes!$A$2:$A$433,C$7,Desconto_Cliente_Mes!$B$2:$B$433,$A7,Desconto_Cliente_Mes!$C$2:$C$433,"Umidade")))</f>
        <v>0</v>
      </c>
      <c r="D11" s="15" t="n">
        <f aca="false">MAX(0,(SUMIFS(Desconto_Cliente_Mes!$N$2:$N$433,Desconto_Cliente_Mes!$A$2:$A$433,D$7,Desconto_Cliente_Mes!$B$2:$B$433,$A7,Desconto_Cliente_Mes!$C$2:$C$433,"Umidade"))-(SUMIFS(Desconto_Cliente_Mes!$P$2:$P$433,Desconto_Cliente_Mes!$A$2:$A$433,D$7,Desconto_Cliente_Mes!$B$2:$B$433,$A7,Desconto_Cliente_Mes!$C$2:$C$433,"Umidade")))</f>
        <v>0</v>
      </c>
      <c r="E11" s="15" t="n">
        <f aca="false">MAX(0,(SUMIFS(Desconto_Cliente_Mes!$N$2:$N$433,Desconto_Cliente_Mes!$A$2:$A$433,E$7,Desconto_Cliente_Mes!$B$2:$B$433,$A7,Desconto_Cliente_Mes!$C$2:$C$433,"Umidade"))-(SUMIFS(Desconto_Cliente_Mes!$P$2:$P$433,Desconto_Cliente_Mes!$A$2:$A$433,E$7,Desconto_Cliente_Mes!$B$2:$B$433,$A7,Desconto_Cliente_Mes!$C$2:$C$433,"Umidade")))</f>
        <v>0</v>
      </c>
      <c r="F11" s="15" t="n">
        <f aca="false">MAX(0,(SUMIFS(Desconto_Cliente_Mes!$N$2:$N$433,Desconto_Cliente_Mes!$A$2:$A$433,F$7,Desconto_Cliente_Mes!$B$2:$B$433,$A7,Desconto_Cliente_Mes!$C$2:$C$433,"Umidade"))-(SUMIFS(Desconto_Cliente_Mes!$P$2:$P$433,Desconto_Cliente_Mes!$A$2:$A$433,F$7,Desconto_Cliente_Mes!$B$2:$B$433,$A7,Desconto_Cliente_Mes!$C$2:$C$433,"Umidade")))</f>
        <v>0</v>
      </c>
      <c r="G11" s="15" t="n">
        <f aca="false">MAX(0,(SUMIFS(Desconto_Cliente_Mes!$N$2:$N$433,Desconto_Cliente_Mes!$A$2:$A$433,G$7,Desconto_Cliente_Mes!$B$2:$B$433,$A7,Desconto_Cliente_Mes!$C$2:$C$433,"Umidade"))-(SUMIFS(Desconto_Cliente_Mes!$P$2:$P$433,Desconto_Cliente_Mes!$A$2:$A$433,G$7,Desconto_Cliente_Mes!$B$2:$B$433,$A7,Desconto_Cliente_Mes!$C$2:$C$433,"Umidade")))</f>
        <v>0</v>
      </c>
      <c r="H11" s="15" t="n">
        <f aca="false">MAX(0,(SUMIFS(Desconto_Cliente_Mes!$N$2:$N$433,Desconto_Cliente_Mes!$A$2:$A$433,H$7,Desconto_Cliente_Mes!$B$2:$B$433,$A7,Desconto_Cliente_Mes!$C$2:$C$433,"Umidade"))-(SUMIFS(Desconto_Cliente_Mes!$P$2:$P$433,Desconto_Cliente_Mes!$A$2:$A$433,H$7,Desconto_Cliente_Mes!$B$2:$B$433,$A7,Desconto_Cliente_Mes!$C$2:$C$433,"Umidade")))</f>
        <v>0</v>
      </c>
      <c r="I11" s="15" t="n">
        <f aca="false">MAX(0,(SUMIFS(Desconto_Cliente_Mes!$N$2:$N$433,Desconto_Cliente_Mes!$A$2:$A$433,I$7,Desconto_Cliente_Mes!$B$2:$B$433,$A7,Desconto_Cliente_Mes!$C$2:$C$433,"Umidade"))-(SUMIFS(Desconto_Cliente_Mes!$P$2:$P$433,Desconto_Cliente_Mes!$A$2:$A$433,I$7,Desconto_Cliente_Mes!$B$2:$B$433,$A7,Desconto_Cliente_Mes!$C$2:$C$433,"Umidade")))</f>
        <v>0</v>
      </c>
      <c r="J11" s="15" t="n">
        <f aca="false">MAX(0,(SUMIFS(Desconto_Cliente_Mes!$N$2:$N$433,Desconto_Cliente_Mes!$A$2:$A$433,J$7,Desconto_Cliente_Mes!$B$2:$B$433,$A7,Desconto_Cliente_Mes!$C$2:$C$433,"Umidade"))-(SUMIFS(Desconto_Cliente_Mes!$P$2:$P$433,Desconto_Cliente_Mes!$A$2:$A$433,J$7,Desconto_Cliente_Mes!$B$2:$B$433,$A7,Desconto_Cliente_Mes!$C$2:$C$433,"Umidade")))</f>
        <v>0</v>
      </c>
      <c r="K11" s="15" t="n">
        <f aca="false">MAX(0,(SUMIFS(Desconto_Cliente_Mes!$N$2:$N$433,Desconto_Cliente_Mes!$A$2:$A$433,K$7,Desconto_Cliente_Mes!$B$2:$B$433,$A7,Desconto_Cliente_Mes!$C$2:$C$433,"Umidade"))-(SUMIFS(Desconto_Cliente_Mes!$P$2:$P$433,Desconto_Cliente_Mes!$A$2:$A$433,K$7,Desconto_Cliente_Mes!$B$2:$B$433,$A7,Desconto_Cliente_Mes!$C$2:$C$433,"Umidade")))</f>
        <v>0</v>
      </c>
      <c r="L11" s="15" t="n">
        <f aca="false">MAX(0,(SUMIFS(Desconto_Cliente_Mes!$N$2:$N$433,Desconto_Cliente_Mes!$A$2:$A$433,L$7,Desconto_Cliente_Mes!$B$2:$B$433,$A7,Desconto_Cliente_Mes!$C$2:$C$433,"Umidade"))-(SUMIFS(Desconto_Cliente_Mes!$P$2:$P$433,Desconto_Cliente_Mes!$A$2:$A$433,L$7,Desconto_Cliente_Mes!$B$2:$B$433,$A7,Desconto_Cliente_Mes!$C$2:$C$433,"Umidade")))</f>
        <v>0</v>
      </c>
      <c r="M11" s="15" t="n">
        <f aca="false">MAX(0,(SUMIFS(Desconto_Cliente_Mes!$N$2:$N$433,Desconto_Cliente_Mes!$A$2:$A$433,M$7,Desconto_Cliente_Mes!$B$2:$B$433,$A7,Desconto_Cliente_Mes!$C$2:$C$433,"Umidade"))-(SUMIFS(Desconto_Cliente_Mes!$P$2:$P$433,Desconto_Cliente_Mes!$A$2:$A$433,M$7,Desconto_Cliente_Mes!$B$2:$B$433,$A7,Desconto_Cliente_Mes!$C$2:$C$433,"Umidade")))</f>
        <v>0</v>
      </c>
    </row>
    <row r="12" customFormat="false" ht="15" hidden="false" customHeight="false" outlineLevel="0" collapsed="false">
      <c r="A12" s="13" t="s">
        <v>78</v>
      </c>
      <c r="B12" s="15" t="n">
        <f aca="false">MAX(0,SUMIFS(Desconto_Cliente_Mes!$P$2:$P$433,Desconto_Cliente_Mes!$A$2:$A$433,B$7,Desconto_Cliente_Mes!$B$2:$B$433,$A7,Desconto_Cliente_Mes!$C$2:$C$433,"Umidade"))</f>
        <v>0</v>
      </c>
      <c r="C12" s="15" t="n">
        <f aca="false">MAX(0,SUMIFS(Desconto_Cliente_Mes!$P$2:$P$433,Desconto_Cliente_Mes!$A$2:$A$433,C$7,Desconto_Cliente_Mes!$B$2:$B$433,$A7,Desconto_Cliente_Mes!$C$2:$C$433,"Umidade"))</f>
        <v>0</v>
      </c>
      <c r="D12" s="15" t="n">
        <f aca="false">MAX(0,SUMIFS(Desconto_Cliente_Mes!$P$2:$P$433,Desconto_Cliente_Mes!$A$2:$A$433,D$7,Desconto_Cliente_Mes!$B$2:$B$433,$A7,Desconto_Cliente_Mes!$C$2:$C$433,"Umidade"))</f>
        <v>0</v>
      </c>
      <c r="E12" s="15" t="n">
        <f aca="false">MAX(0,SUMIFS(Desconto_Cliente_Mes!$P$2:$P$433,Desconto_Cliente_Mes!$A$2:$A$433,E$7,Desconto_Cliente_Mes!$B$2:$B$433,$A7,Desconto_Cliente_Mes!$C$2:$C$433,"Umidade"))</f>
        <v>0</v>
      </c>
      <c r="F12" s="15" t="n">
        <f aca="false">MAX(0,SUMIFS(Desconto_Cliente_Mes!$P$2:$P$433,Desconto_Cliente_Mes!$A$2:$A$433,F$7,Desconto_Cliente_Mes!$B$2:$B$433,$A7,Desconto_Cliente_Mes!$C$2:$C$433,"Umidade"))</f>
        <v>0</v>
      </c>
      <c r="G12" s="15" t="n">
        <f aca="false">MAX(0,SUMIFS(Desconto_Cliente_Mes!$P$2:$P$433,Desconto_Cliente_Mes!$A$2:$A$433,G$7,Desconto_Cliente_Mes!$B$2:$B$433,$A7,Desconto_Cliente_Mes!$C$2:$C$433,"Umidade"))</f>
        <v>0</v>
      </c>
      <c r="H12" s="15" t="n">
        <f aca="false">MAX(0,SUMIFS(Desconto_Cliente_Mes!$P$2:$P$433,Desconto_Cliente_Mes!$A$2:$A$433,H$7,Desconto_Cliente_Mes!$B$2:$B$433,$A7,Desconto_Cliente_Mes!$C$2:$C$433,"Umidade"))</f>
        <v>0</v>
      </c>
      <c r="I12" s="15" t="n">
        <f aca="false">MAX(0,SUMIFS(Desconto_Cliente_Mes!$P$2:$P$433,Desconto_Cliente_Mes!$A$2:$A$433,I$7,Desconto_Cliente_Mes!$B$2:$B$433,$A7,Desconto_Cliente_Mes!$C$2:$C$433,"Umidade"))</f>
        <v>0</v>
      </c>
      <c r="J12" s="15" t="n">
        <f aca="false">MAX(0,SUMIFS(Desconto_Cliente_Mes!$P$2:$P$433,Desconto_Cliente_Mes!$A$2:$A$433,J$7,Desconto_Cliente_Mes!$B$2:$B$433,$A7,Desconto_Cliente_Mes!$C$2:$C$433,"Umidade"))</f>
        <v>0</v>
      </c>
      <c r="K12" s="15" t="n">
        <f aca="false">MAX(0,SUMIFS(Desconto_Cliente_Mes!$P$2:$P$433,Desconto_Cliente_Mes!$A$2:$A$433,K$7,Desconto_Cliente_Mes!$B$2:$B$433,$A7,Desconto_Cliente_Mes!$C$2:$C$433,"Umidade"))</f>
        <v>0</v>
      </c>
      <c r="L12" s="15" t="n">
        <f aca="false">MAX(0,SUMIFS(Desconto_Cliente_Mes!$P$2:$P$433,Desconto_Cliente_Mes!$A$2:$A$433,L$7,Desconto_Cliente_Mes!$B$2:$B$433,$A7,Desconto_Cliente_Mes!$C$2:$C$433,"Umidade"))</f>
        <v>0</v>
      </c>
      <c r="M12" s="15" t="n">
        <f aca="false">MAX(0,SUMIFS(Desconto_Cliente_Mes!$P$2:$P$433,Desconto_Cliente_Mes!$A$2:$A$433,M$7,Desconto_Cliente_Mes!$B$2:$B$433,$A7,Desconto_Cliente_Mes!$C$2:$C$433,"Umidade"))</f>
        <v>0</v>
      </c>
    </row>
    <row r="13" customFormat="false" ht="15" hidden="false" customHeight="false" outlineLevel="0" collapsed="false">
      <c r="A13" s="13" t="s">
        <v>79</v>
      </c>
      <c r="B13" s="16" t="n">
        <f aca="false">$B$9*($B$10/100)*(SUMIFS(Desconto_Cliente_Mes!$Q$2:$Q$433,Desconto_Cliente_Mes!$A$2:$A$433,B$7,Desconto_Cliente_Mes!$B$2:$B$433,$A7,Desconto_Cliente_Mes!$C$2:$C$433,"Umidade"))*(SUMIFS(Desconto_Cliente_Mes!$T$2:$T$433,Desconto_Cliente_Mes!$A$2:$A$433,B$7,Desconto_Cliente_Mes!$B$2:$B$433,$A7,Desconto_Cliente_Mes!$C$2:$C$433,"Umidade"))</f>
        <v>0</v>
      </c>
      <c r="C13" s="16" t="n">
        <f aca="false">$C$9*($C$10/100)*(SUMIFS(Desconto_Cliente_Mes!$Q$2:$Q$433,Desconto_Cliente_Mes!$A$2:$A$433,C$7,Desconto_Cliente_Mes!$B$2:$B$433,$A7,Desconto_Cliente_Mes!$C$2:$C$433,"Umidade"))*(SUMIFS(Desconto_Cliente_Mes!$T$2:$T$433,Desconto_Cliente_Mes!$A$2:$A$433,C$7,Desconto_Cliente_Mes!$B$2:$B$433,$A7,Desconto_Cliente_Mes!$C$2:$C$433,"Umidade"))</f>
        <v>0</v>
      </c>
      <c r="D13" s="16" t="n">
        <f aca="false">$D$9*($D$10/100)*(SUMIFS(Desconto_Cliente_Mes!$Q$2:$Q$433,Desconto_Cliente_Mes!$A$2:$A$433,D$7,Desconto_Cliente_Mes!$B$2:$B$433,$A7,Desconto_Cliente_Mes!$C$2:$C$433,"Umidade"))*(SUMIFS(Desconto_Cliente_Mes!$T$2:$T$433,Desconto_Cliente_Mes!$A$2:$A$433,D$7,Desconto_Cliente_Mes!$B$2:$B$433,$A7,Desconto_Cliente_Mes!$C$2:$C$433,"Umidade"))</f>
        <v>0</v>
      </c>
      <c r="E13" s="16" t="n">
        <f aca="false">$E$9*($E$10/100)*(SUMIFS(Desconto_Cliente_Mes!$Q$2:$Q$433,Desconto_Cliente_Mes!$A$2:$A$433,E$7,Desconto_Cliente_Mes!$B$2:$B$433,$A7,Desconto_Cliente_Mes!$C$2:$C$433,"Umidade"))*(SUMIFS(Desconto_Cliente_Mes!$T$2:$T$433,Desconto_Cliente_Mes!$A$2:$A$433,E$7,Desconto_Cliente_Mes!$B$2:$B$433,$A7,Desconto_Cliente_Mes!$C$2:$C$433,"Umidade"))</f>
        <v>0</v>
      </c>
      <c r="F13" s="16" t="n">
        <f aca="false">$F$9*($F$10/100)*(SUMIFS(Desconto_Cliente_Mes!$Q$2:$Q$433,Desconto_Cliente_Mes!$A$2:$A$433,F$7,Desconto_Cliente_Mes!$B$2:$B$433,$A7,Desconto_Cliente_Mes!$C$2:$C$433,"Umidade"))*(SUMIFS(Desconto_Cliente_Mes!$T$2:$T$433,Desconto_Cliente_Mes!$A$2:$A$433,F$7,Desconto_Cliente_Mes!$B$2:$B$433,$A7,Desconto_Cliente_Mes!$C$2:$C$433,"Umidade"))</f>
        <v>0</v>
      </c>
      <c r="G13" s="16" t="n">
        <f aca="false">$G$9*($G$10/100)*(SUMIFS(Desconto_Cliente_Mes!$Q$2:$Q$433,Desconto_Cliente_Mes!$A$2:$A$433,G$7,Desconto_Cliente_Mes!$B$2:$B$433,$A7,Desconto_Cliente_Mes!$C$2:$C$433,"Umidade"))*(SUMIFS(Desconto_Cliente_Mes!$T$2:$T$433,Desconto_Cliente_Mes!$A$2:$A$433,G$7,Desconto_Cliente_Mes!$B$2:$B$433,$A7,Desconto_Cliente_Mes!$C$2:$C$433,"Umidade"))</f>
        <v>0</v>
      </c>
      <c r="H13" s="16" t="n">
        <f aca="false">$H$9*($H$10/100)*(SUMIFS(Desconto_Cliente_Mes!$Q$2:$Q$433,Desconto_Cliente_Mes!$A$2:$A$433,H$7,Desconto_Cliente_Mes!$B$2:$B$433,$A7,Desconto_Cliente_Mes!$C$2:$C$433,"Umidade"))*(SUMIFS(Desconto_Cliente_Mes!$T$2:$T$433,Desconto_Cliente_Mes!$A$2:$A$433,H$7,Desconto_Cliente_Mes!$B$2:$B$433,$A7,Desconto_Cliente_Mes!$C$2:$C$433,"Umidade"))</f>
        <v>0</v>
      </c>
      <c r="I13" s="16" t="n">
        <f aca="false">$I$9*($I$10/100)*(SUMIFS(Desconto_Cliente_Mes!$Q$2:$Q$433,Desconto_Cliente_Mes!$A$2:$A$433,I$7,Desconto_Cliente_Mes!$B$2:$B$433,$A7,Desconto_Cliente_Mes!$C$2:$C$433,"Umidade"))*(SUMIFS(Desconto_Cliente_Mes!$T$2:$T$433,Desconto_Cliente_Mes!$A$2:$A$433,I$7,Desconto_Cliente_Mes!$B$2:$B$433,$A7,Desconto_Cliente_Mes!$C$2:$C$433,"Umidade"))</f>
        <v>0</v>
      </c>
      <c r="J13" s="16" t="n">
        <f aca="false">$J$9*($J$10/100)*(SUMIFS(Desconto_Cliente_Mes!$Q$2:$Q$433,Desconto_Cliente_Mes!$A$2:$A$433,J$7,Desconto_Cliente_Mes!$B$2:$B$433,$A7,Desconto_Cliente_Mes!$C$2:$C$433,"Umidade"))*(SUMIFS(Desconto_Cliente_Mes!$T$2:$T$433,Desconto_Cliente_Mes!$A$2:$A$433,J$7,Desconto_Cliente_Mes!$B$2:$B$433,$A7,Desconto_Cliente_Mes!$C$2:$C$433,"Umidade"))</f>
        <v>0</v>
      </c>
      <c r="K13" s="16" t="n">
        <f aca="false">$K$9*($K$10/100)*(SUMIFS(Desconto_Cliente_Mes!$Q$2:$Q$433,Desconto_Cliente_Mes!$A$2:$A$433,K$7,Desconto_Cliente_Mes!$B$2:$B$433,$A7,Desconto_Cliente_Mes!$C$2:$C$433,"Umidade"))*(SUMIFS(Desconto_Cliente_Mes!$T$2:$T$433,Desconto_Cliente_Mes!$A$2:$A$433,K$7,Desconto_Cliente_Mes!$B$2:$B$433,$A7,Desconto_Cliente_Mes!$C$2:$C$433,"Umidade"))</f>
        <v>0</v>
      </c>
      <c r="L13" s="16" t="n">
        <f aca="false">$L$9*($L$10/100)*(SUMIFS(Desconto_Cliente_Mes!$Q$2:$Q$433,Desconto_Cliente_Mes!$A$2:$A$433,L$7,Desconto_Cliente_Mes!$B$2:$B$433,$A7,Desconto_Cliente_Mes!$C$2:$C$433,"Umidade"))*(SUMIFS(Desconto_Cliente_Mes!$T$2:$T$433,Desconto_Cliente_Mes!$A$2:$A$433,L$7,Desconto_Cliente_Mes!$B$2:$B$433,$A7,Desconto_Cliente_Mes!$C$2:$C$433,"Umidade"))</f>
        <v>0</v>
      </c>
      <c r="M13" s="16" t="n">
        <f aca="false">$M$9*($M$10/100)*(SUMIFS(Desconto_Cliente_Mes!$Q$2:$Q$433,Desconto_Cliente_Mes!$A$2:$A$433,M$7,Desconto_Cliente_Mes!$B$2:$B$433,$A7,Desconto_Cliente_Mes!$C$2:$C$433,"Umidade"))*(SUMIFS(Desconto_Cliente_Mes!$T$2:$T$433,Desconto_Cliente_Mes!$A$2:$A$433,M$7,Desconto_Cliente_Mes!$B$2:$B$433,$A7,Desconto_Cliente_Mes!$C$2:$C$433,"Umidade"))</f>
        <v>0</v>
      </c>
      <c r="N13" s="17" t="n">
        <f aca="false">SUM(B13:M13)</f>
        <v>0</v>
      </c>
    </row>
    <row r="14" customFormat="false" ht="15" hidden="false" customHeight="false" outlineLevel="0" collapsed="false">
      <c r="A14" s="13" t="s">
        <v>80</v>
      </c>
      <c r="B14" s="16" t="n">
        <f aca="false">$B$9*($B$11/100)*((IF(SUMIFS(Desconto_Cliente_Mes!$R$2:$R$433,Desconto_Cliente_Mes!$A$2:$A$433,B$7,Desconto_Cliente_Mes!$B$2:$B$433,$A7,Desconto_Cliente_Mes!$C$2:$C$433,"Umidade")="",SUMIFS(Desconto_Cliente_Mes!$Q$2:$Q$433,Desconto_Cliente_Mes!$A$2:$A$433,B$7,Desconto_Cliente_Mes!$B$2:$B$433,$A7,Desconto_Cliente_Mes!$C$2:$C$433,"Umidade"),SUMIFS(Desconto_Cliente_Mes!$R$2:$R$433,Desconto_Cliente_Mes!$A$2:$A$433,B$7,Desconto_Cliente_Mes!$B$2:$B$433,$A7,Desconto_Cliente_Mes!$C$2:$C$433,"Umidade")))-(SUMIFS(Desconto_Cliente_Mes!$Q$2:$Q$433,Desconto_Cliente_Mes!$A$2:$A$433,B$7,Desconto_Cliente_Mes!$B$2:$B$433,$A7,Desconto_Cliente_Mes!$C$2:$C$433,"Umidade")))*(SUMIFS(Desconto_Cliente_Mes!$T$2:$T$433,Desconto_Cliente_Mes!$A$2:$A$433,B$7,Desconto_Cliente_Mes!$B$2:$B$433,$A7,Desconto_Cliente_Mes!$C$2:$C$433,"Umidade"))</f>
        <v>-0</v>
      </c>
      <c r="C14" s="16" t="n">
        <f aca="false">$C$9*($C$11/100)*((IF(SUMIFS(Desconto_Cliente_Mes!$R$2:$R$433,Desconto_Cliente_Mes!$A$2:$A$433,C$7,Desconto_Cliente_Mes!$B$2:$B$433,$A7,Desconto_Cliente_Mes!$C$2:$C$433,"Umidade")="",SUMIFS(Desconto_Cliente_Mes!$Q$2:$Q$433,Desconto_Cliente_Mes!$A$2:$A$433,C$7,Desconto_Cliente_Mes!$B$2:$B$433,$A7,Desconto_Cliente_Mes!$C$2:$C$433,"Umidade"),SUMIFS(Desconto_Cliente_Mes!$R$2:$R$433,Desconto_Cliente_Mes!$A$2:$A$433,C$7,Desconto_Cliente_Mes!$B$2:$B$433,$A7,Desconto_Cliente_Mes!$C$2:$C$433,"Umidade")))-(SUMIFS(Desconto_Cliente_Mes!$Q$2:$Q$433,Desconto_Cliente_Mes!$A$2:$A$433,C$7,Desconto_Cliente_Mes!$B$2:$B$433,$A7,Desconto_Cliente_Mes!$C$2:$C$433,"Umidade")))*(SUMIFS(Desconto_Cliente_Mes!$T$2:$T$433,Desconto_Cliente_Mes!$A$2:$A$433,C$7,Desconto_Cliente_Mes!$B$2:$B$433,$A7,Desconto_Cliente_Mes!$C$2:$C$433,"Umidade"))</f>
        <v>-0</v>
      </c>
      <c r="D14" s="16" t="n">
        <f aca="false">$D$9*($D$11/100)*((IF(SUMIFS(Desconto_Cliente_Mes!$R$2:$R$433,Desconto_Cliente_Mes!$A$2:$A$433,D$7,Desconto_Cliente_Mes!$B$2:$B$433,$A7,Desconto_Cliente_Mes!$C$2:$C$433,"Umidade")="",SUMIFS(Desconto_Cliente_Mes!$Q$2:$Q$433,Desconto_Cliente_Mes!$A$2:$A$433,D$7,Desconto_Cliente_Mes!$B$2:$B$433,$A7,Desconto_Cliente_Mes!$C$2:$C$433,"Umidade"),SUMIFS(Desconto_Cliente_Mes!$R$2:$R$433,Desconto_Cliente_Mes!$A$2:$A$433,D$7,Desconto_Cliente_Mes!$B$2:$B$433,$A7,Desconto_Cliente_Mes!$C$2:$C$433,"Umidade")))-(SUMIFS(Desconto_Cliente_Mes!$Q$2:$Q$433,Desconto_Cliente_Mes!$A$2:$A$433,D$7,Desconto_Cliente_Mes!$B$2:$B$433,$A7,Desconto_Cliente_Mes!$C$2:$C$433,"Umidade")))*(SUMIFS(Desconto_Cliente_Mes!$T$2:$T$433,Desconto_Cliente_Mes!$A$2:$A$433,D$7,Desconto_Cliente_Mes!$B$2:$B$433,$A7,Desconto_Cliente_Mes!$C$2:$C$433,"Umidade"))</f>
        <v>-0</v>
      </c>
      <c r="E14" s="16" t="n">
        <f aca="false">$E$9*($E$11/100)*((IF(SUMIFS(Desconto_Cliente_Mes!$R$2:$R$433,Desconto_Cliente_Mes!$A$2:$A$433,E$7,Desconto_Cliente_Mes!$B$2:$B$433,$A7,Desconto_Cliente_Mes!$C$2:$C$433,"Umidade")="",SUMIFS(Desconto_Cliente_Mes!$Q$2:$Q$433,Desconto_Cliente_Mes!$A$2:$A$433,E$7,Desconto_Cliente_Mes!$B$2:$B$433,$A7,Desconto_Cliente_Mes!$C$2:$C$433,"Umidade"),SUMIFS(Desconto_Cliente_Mes!$R$2:$R$433,Desconto_Cliente_Mes!$A$2:$A$433,E$7,Desconto_Cliente_Mes!$B$2:$B$433,$A7,Desconto_Cliente_Mes!$C$2:$C$433,"Umidade")))-(SUMIFS(Desconto_Cliente_Mes!$Q$2:$Q$433,Desconto_Cliente_Mes!$A$2:$A$433,E$7,Desconto_Cliente_Mes!$B$2:$B$433,$A7,Desconto_Cliente_Mes!$C$2:$C$433,"Umidade")))*(SUMIFS(Desconto_Cliente_Mes!$T$2:$T$433,Desconto_Cliente_Mes!$A$2:$A$433,E$7,Desconto_Cliente_Mes!$B$2:$B$433,$A7,Desconto_Cliente_Mes!$C$2:$C$433,"Umidade"))</f>
        <v>-0</v>
      </c>
      <c r="F14" s="16" t="n">
        <f aca="false">$F$9*($F$11/100)*((IF(SUMIFS(Desconto_Cliente_Mes!$R$2:$R$433,Desconto_Cliente_Mes!$A$2:$A$433,F$7,Desconto_Cliente_Mes!$B$2:$B$433,$A7,Desconto_Cliente_Mes!$C$2:$C$433,"Umidade")="",SUMIFS(Desconto_Cliente_Mes!$Q$2:$Q$433,Desconto_Cliente_Mes!$A$2:$A$433,F$7,Desconto_Cliente_Mes!$B$2:$B$433,$A7,Desconto_Cliente_Mes!$C$2:$C$433,"Umidade"),SUMIFS(Desconto_Cliente_Mes!$R$2:$R$433,Desconto_Cliente_Mes!$A$2:$A$433,F$7,Desconto_Cliente_Mes!$B$2:$B$433,$A7,Desconto_Cliente_Mes!$C$2:$C$433,"Umidade")))-(SUMIFS(Desconto_Cliente_Mes!$Q$2:$Q$433,Desconto_Cliente_Mes!$A$2:$A$433,F$7,Desconto_Cliente_Mes!$B$2:$B$433,$A7,Desconto_Cliente_Mes!$C$2:$C$433,"Umidade")))*(SUMIFS(Desconto_Cliente_Mes!$T$2:$T$433,Desconto_Cliente_Mes!$A$2:$A$433,F$7,Desconto_Cliente_Mes!$B$2:$B$433,$A7,Desconto_Cliente_Mes!$C$2:$C$433,"Umidade"))</f>
        <v>-0</v>
      </c>
      <c r="G14" s="16" t="n">
        <f aca="false">$G$9*($G$11/100)*((IF(SUMIFS(Desconto_Cliente_Mes!$R$2:$R$433,Desconto_Cliente_Mes!$A$2:$A$433,G$7,Desconto_Cliente_Mes!$B$2:$B$433,$A7,Desconto_Cliente_Mes!$C$2:$C$433,"Umidade")="",SUMIFS(Desconto_Cliente_Mes!$Q$2:$Q$433,Desconto_Cliente_Mes!$A$2:$A$433,G$7,Desconto_Cliente_Mes!$B$2:$B$433,$A7,Desconto_Cliente_Mes!$C$2:$C$433,"Umidade"),SUMIFS(Desconto_Cliente_Mes!$R$2:$R$433,Desconto_Cliente_Mes!$A$2:$A$433,G$7,Desconto_Cliente_Mes!$B$2:$B$433,$A7,Desconto_Cliente_Mes!$C$2:$C$433,"Umidade")))-(SUMIFS(Desconto_Cliente_Mes!$Q$2:$Q$433,Desconto_Cliente_Mes!$A$2:$A$433,G$7,Desconto_Cliente_Mes!$B$2:$B$433,$A7,Desconto_Cliente_Mes!$C$2:$C$433,"Umidade")))*(SUMIFS(Desconto_Cliente_Mes!$T$2:$T$433,Desconto_Cliente_Mes!$A$2:$A$433,G$7,Desconto_Cliente_Mes!$B$2:$B$433,$A7,Desconto_Cliente_Mes!$C$2:$C$433,"Umidade"))</f>
        <v>-0</v>
      </c>
      <c r="H14" s="16" t="n">
        <f aca="false">$H$9*($H$11/100)*((IF(SUMIFS(Desconto_Cliente_Mes!$R$2:$R$433,Desconto_Cliente_Mes!$A$2:$A$433,H$7,Desconto_Cliente_Mes!$B$2:$B$433,$A7,Desconto_Cliente_Mes!$C$2:$C$433,"Umidade")="",SUMIFS(Desconto_Cliente_Mes!$Q$2:$Q$433,Desconto_Cliente_Mes!$A$2:$A$433,H$7,Desconto_Cliente_Mes!$B$2:$B$433,$A7,Desconto_Cliente_Mes!$C$2:$C$433,"Umidade"),SUMIFS(Desconto_Cliente_Mes!$R$2:$R$433,Desconto_Cliente_Mes!$A$2:$A$433,H$7,Desconto_Cliente_Mes!$B$2:$B$433,$A7,Desconto_Cliente_Mes!$C$2:$C$433,"Umidade")))-(SUMIFS(Desconto_Cliente_Mes!$Q$2:$Q$433,Desconto_Cliente_Mes!$A$2:$A$433,H$7,Desconto_Cliente_Mes!$B$2:$B$433,$A7,Desconto_Cliente_Mes!$C$2:$C$433,"Umidade")))*(SUMIFS(Desconto_Cliente_Mes!$T$2:$T$433,Desconto_Cliente_Mes!$A$2:$A$433,H$7,Desconto_Cliente_Mes!$B$2:$B$433,$A7,Desconto_Cliente_Mes!$C$2:$C$433,"Umidade"))</f>
        <v>-0</v>
      </c>
      <c r="I14" s="16" t="n">
        <f aca="false">$I$9*($I$11/100)*((IF(SUMIFS(Desconto_Cliente_Mes!$R$2:$R$433,Desconto_Cliente_Mes!$A$2:$A$433,I$7,Desconto_Cliente_Mes!$B$2:$B$433,$A7,Desconto_Cliente_Mes!$C$2:$C$433,"Umidade")="",SUMIFS(Desconto_Cliente_Mes!$Q$2:$Q$433,Desconto_Cliente_Mes!$A$2:$A$433,I$7,Desconto_Cliente_Mes!$B$2:$B$433,$A7,Desconto_Cliente_Mes!$C$2:$C$433,"Umidade"),SUMIFS(Desconto_Cliente_Mes!$R$2:$R$433,Desconto_Cliente_Mes!$A$2:$A$433,I$7,Desconto_Cliente_Mes!$B$2:$B$433,$A7,Desconto_Cliente_Mes!$C$2:$C$433,"Umidade")))-(SUMIFS(Desconto_Cliente_Mes!$Q$2:$Q$433,Desconto_Cliente_Mes!$A$2:$A$433,I$7,Desconto_Cliente_Mes!$B$2:$B$433,$A7,Desconto_Cliente_Mes!$C$2:$C$433,"Umidade")))*(SUMIFS(Desconto_Cliente_Mes!$T$2:$T$433,Desconto_Cliente_Mes!$A$2:$A$433,I$7,Desconto_Cliente_Mes!$B$2:$B$433,$A7,Desconto_Cliente_Mes!$C$2:$C$433,"Umidade"))</f>
        <v>-0</v>
      </c>
      <c r="J14" s="16" t="n">
        <f aca="false">$J$9*($J$11/100)*((IF(SUMIFS(Desconto_Cliente_Mes!$R$2:$R$433,Desconto_Cliente_Mes!$A$2:$A$433,J$7,Desconto_Cliente_Mes!$B$2:$B$433,$A7,Desconto_Cliente_Mes!$C$2:$C$433,"Umidade")="",SUMIFS(Desconto_Cliente_Mes!$Q$2:$Q$433,Desconto_Cliente_Mes!$A$2:$A$433,J$7,Desconto_Cliente_Mes!$B$2:$B$433,$A7,Desconto_Cliente_Mes!$C$2:$C$433,"Umidade"),SUMIFS(Desconto_Cliente_Mes!$R$2:$R$433,Desconto_Cliente_Mes!$A$2:$A$433,J$7,Desconto_Cliente_Mes!$B$2:$B$433,$A7,Desconto_Cliente_Mes!$C$2:$C$433,"Umidade")))-(SUMIFS(Desconto_Cliente_Mes!$Q$2:$Q$433,Desconto_Cliente_Mes!$A$2:$A$433,J$7,Desconto_Cliente_Mes!$B$2:$B$433,$A7,Desconto_Cliente_Mes!$C$2:$C$433,"Umidade")))*(SUMIFS(Desconto_Cliente_Mes!$T$2:$T$433,Desconto_Cliente_Mes!$A$2:$A$433,J$7,Desconto_Cliente_Mes!$B$2:$B$433,$A7,Desconto_Cliente_Mes!$C$2:$C$433,"Umidade"))</f>
        <v>-0</v>
      </c>
      <c r="K14" s="16" t="n">
        <f aca="false">$K$9*($K$11/100)*((IF(SUMIFS(Desconto_Cliente_Mes!$R$2:$R$433,Desconto_Cliente_Mes!$A$2:$A$433,K$7,Desconto_Cliente_Mes!$B$2:$B$433,$A7,Desconto_Cliente_Mes!$C$2:$C$433,"Umidade")="",SUMIFS(Desconto_Cliente_Mes!$Q$2:$Q$433,Desconto_Cliente_Mes!$A$2:$A$433,K$7,Desconto_Cliente_Mes!$B$2:$B$433,$A7,Desconto_Cliente_Mes!$C$2:$C$433,"Umidade"),SUMIFS(Desconto_Cliente_Mes!$R$2:$R$433,Desconto_Cliente_Mes!$A$2:$A$433,K$7,Desconto_Cliente_Mes!$B$2:$B$433,$A7,Desconto_Cliente_Mes!$C$2:$C$433,"Umidade")))-(SUMIFS(Desconto_Cliente_Mes!$Q$2:$Q$433,Desconto_Cliente_Mes!$A$2:$A$433,K$7,Desconto_Cliente_Mes!$B$2:$B$433,$A7,Desconto_Cliente_Mes!$C$2:$C$433,"Umidade")))*(SUMIFS(Desconto_Cliente_Mes!$T$2:$T$433,Desconto_Cliente_Mes!$A$2:$A$433,K$7,Desconto_Cliente_Mes!$B$2:$B$433,$A7,Desconto_Cliente_Mes!$C$2:$C$433,"Umidade"))</f>
        <v>-0</v>
      </c>
      <c r="L14" s="16" t="n">
        <f aca="false">$L$9*($L$11/100)*((IF(SUMIFS(Desconto_Cliente_Mes!$R$2:$R$433,Desconto_Cliente_Mes!$A$2:$A$433,L$7,Desconto_Cliente_Mes!$B$2:$B$433,$A7,Desconto_Cliente_Mes!$C$2:$C$433,"Umidade")="",SUMIFS(Desconto_Cliente_Mes!$Q$2:$Q$433,Desconto_Cliente_Mes!$A$2:$A$433,L$7,Desconto_Cliente_Mes!$B$2:$B$433,$A7,Desconto_Cliente_Mes!$C$2:$C$433,"Umidade"),SUMIFS(Desconto_Cliente_Mes!$R$2:$R$433,Desconto_Cliente_Mes!$A$2:$A$433,L$7,Desconto_Cliente_Mes!$B$2:$B$433,$A7,Desconto_Cliente_Mes!$C$2:$C$433,"Umidade")))-(SUMIFS(Desconto_Cliente_Mes!$Q$2:$Q$433,Desconto_Cliente_Mes!$A$2:$A$433,L$7,Desconto_Cliente_Mes!$B$2:$B$433,$A7,Desconto_Cliente_Mes!$C$2:$C$433,"Umidade")))*(SUMIFS(Desconto_Cliente_Mes!$T$2:$T$433,Desconto_Cliente_Mes!$A$2:$A$433,L$7,Desconto_Cliente_Mes!$B$2:$B$433,$A7,Desconto_Cliente_Mes!$C$2:$C$433,"Umidade"))</f>
        <v>-0</v>
      </c>
      <c r="M14" s="16" t="n">
        <f aca="false">$M$9*($M$11/100)*((IF(SUMIFS(Desconto_Cliente_Mes!$R$2:$R$433,Desconto_Cliente_Mes!$A$2:$A$433,M$7,Desconto_Cliente_Mes!$B$2:$B$433,$A7,Desconto_Cliente_Mes!$C$2:$C$433,"Umidade")="",SUMIFS(Desconto_Cliente_Mes!$Q$2:$Q$433,Desconto_Cliente_Mes!$A$2:$A$433,M$7,Desconto_Cliente_Mes!$B$2:$B$433,$A7,Desconto_Cliente_Mes!$C$2:$C$433,"Umidade"),SUMIFS(Desconto_Cliente_Mes!$R$2:$R$433,Desconto_Cliente_Mes!$A$2:$A$433,M$7,Desconto_Cliente_Mes!$B$2:$B$433,$A7,Desconto_Cliente_Mes!$C$2:$C$433,"Umidade")))-(SUMIFS(Desconto_Cliente_Mes!$Q$2:$Q$433,Desconto_Cliente_Mes!$A$2:$A$433,M$7,Desconto_Cliente_Mes!$B$2:$B$433,$A7,Desconto_Cliente_Mes!$C$2:$C$433,"Umidade")))*(SUMIFS(Desconto_Cliente_Mes!$T$2:$T$433,Desconto_Cliente_Mes!$A$2:$A$433,M$7,Desconto_Cliente_Mes!$B$2:$B$433,$A7,Desconto_Cliente_Mes!$C$2:$C$433,"Umidade"))</f>
        <v>-0</v>
      </c>
      <c r="N14" s="17" t="n">
        <f aca="false">SUM(B14:M14)</f>
        <v>0</v>
      </c>
    </row>
    <row r="15" customFormat="false" ht="15" hidden="false" customHeight="false" outlineLevel="0" collapsed="false">
      <c r="A15" s="13" t="s">
        <v>81</v>
      </c>
      <c r="B15" s="16" t="n">
        <f aca="false">$B$9*($B$12/100)*((IF(SUMIFS(Desconto_Cliente_Mes!$S$2:$S$433,Desconto_Cliente_Mes!$A$2:$A$433,B$7,Desconto_Cliente_Mes!$B$2:$B$433,$A7,Desconto_Cliente_Mes!$C$2:$C$433,"Umidade")="",(IF(SUMIFS(Desconto_Cliente_Mes!$R$2:$R$433,Desconto_Cliente_Mes!$A$2:$A$433,B$7,Desconto_Cliente_Mes!$B$2:$B$433,$A7,Desconto_Cliente_Mes!$C$2:$C$433,"Umidade")="",SUMIFS(Desconto_Cliente_Mes!$Q$2:$Q$433,Desconto_Cliente_Mes!$A$2:$A$433,B$7,Desconto_Cliente_Mes!$B$2:$B$433,$A7,Desconto_Cliente_Mes!$C$2:$C$433,"Umidade"),SUMIFS(Desconto_Cliente_Mes!$R$2:$R$433,Desconto_Cliente_Mes!$A$2:$A$433,B$7,Desconto_Cliente_Mes!$B$2:$B$433,$A7,Desconto_Cliente_Mes!$C$2:$C$433,"Umidade"))),SUMIFS(Desconto_Cliente_Mes!$S$2:$S$433,Desconto_Cliente_Mes!$A$2:$A$433,B$7,Desconto_Cliente_Mes!$B$2:$B$433,$A7,Desconto_Cliente_Mes!$C$2:$C$433,"Umidade")))-(IF(SUMIFS(Desconto_Cliente_Mes!$R$2:$R$433,Desconto_Cliente_Mes!$A$2:$A$433,B$7,Desconto_Cliente_Mes!$B$2:$B$433,$A7,Desconto_Cliente_Mes!$C$2:$C$433,"Umidade")="",SUMIFS(Desconto_Cliente_Mes!$Q$2:$Q$433,Desconto_Cliente_Mes!$A$2:$A$433,B$7,Desconto_Cliente_Mes!$B$2:$B$433,$A7,Desconto_Cliente_Mes!$C$2:$C$433,"Umidade"),SUMIFS(Desconto_Cliente_Mes!$R$2:$R$433,Desconto_Cliente_Mes!$A$2:$A$433,B$7,Desconto_Cliente_Mes!$B$2:$B$433,$A7,Desconto_Cliente_Mes!$C$2:$C$433,"Umidade"))))*(SUMIFS(Desconto_Cliente_Mes!$T$2:$T$433,Desconto_Cliente_Mes!$A$2:$A$433,B$7,Desconto_Cliente_Mes!$B$2:$B$433,$A7,Desconto_Cliente_Mes!$C$2:$C$433,"Umidade"))</f>
        <v>0</v>
      </c>
      <c r="C15" s="16" t="n">
        <f aca="false">$C$9*($C$12/100)*((IF(SUMIFS(Desconto_Cliente_Mes!$S$2:$S$433,Desconto_Cliente_Mes!$A$2:$A$433,C$7,Desconto_Cliente_Mes!$B$2:$B$433,$A7,Desconto_Cliente_Mes!$C$2:$C$433,"Umidade")="",(IF(SUMIFS(Desconto_Cliente_Mes!$R$2:$R$433,Desconto_Cliente_Mes!$A$2:$A$433,C$7,Desconto_Cliente_Mes!$B$2:$B$433,$A7,Desconto_Cliente_Mes!$C$2:$C$433,"Umidade")="",SUMIFS(Desconto_Cliente_Mes!$Q$2:$Q$433,Desconto_Cliente_Mes!$A$2:$A$433,C$7,Desconto_Cliente_Mes!$B$2:$B$433,$A7,Desconto_Cliente_Mes!$C$2:$C$433,"Umidade"),SUMIFS(Desconto_Cliente_Mes!$R$2:$R$433,Desconto_Cliente_Mes!$A$2:$A$433,C$7,Desconto_Cliente_Mes!$B$2:$B$433,$A7,Desconto_Cliente_Mes!$C$2:$C$433,"Umidade"))),SUMIFS(Desconto_Cliente_Mes!$S$2:$S$433,Desconto_Cliente_Mes!$A$2:$A$433,C$7,Desconto_Cliente_Mes!$B$2:$B$433,$A7,Desconto_Cliente_Mes!$C$2:$C$433,"Umidade")))-(IF(SUMIFS(Desconto_Cliente_Mes!$R$2:$R$433,Desconto_Cliente_Mes!$A$2:$A$433,C$7,Desconto_Cliente_Mes!$B$2:$B$433,$A7,Desconto_Cliente_Mes!$C$2:$C$433,"Umidade")="",SUMIFS(Desconto_Cliente_Mes!$Q$2:$Q$433,Desconto_Cliente_Mes!$A$2:$A$433,C$7,Desconto_Cliente_Mes!$B$2:$B$433,$A7,Desconto_Cliente_Mes!$C$2:$C$433,"Umidade"),SUMIFS(Desconto_Cliente_Mes!$R$2:$R$433,Desconto_Cliente_Mes!$A$2:$A$433,C$7,Desconto_Cliente_Mes!$B$2:$B$433,$A7,Desconto_Cliente_Mes!$C$2:$C$433,"Umidade"))))*(SUMIFS(Desconto_Cliente_Mes!$T$2:$T$433,Desconto_Cliente_Mes!$A$2:$A$433,C$7,Desconto_Cliente_Mes!$B$2:$B$433,$A7,Desconto_Cliente_Mes!$C$2:$C$433,"Umidade"))</f>
        <v>0</v>
      </c>
      <c r="D15" s="16" t="n">
        <f aca="false">$D$9*($D$12/100)*((IF(SUMIFS(Desconto_Cliente_Mes!$S$2:$S$433,Desconto_Cliente_Mes!$A$2:$A$433,D$7,Desconto_Cliente_Mes!$B$2:$B$433,$A7,Desconto_Cliente_Mes!$C$2:$C$433,"Umidade")="",(IF(SUMIFS(Desconto_Cliente_Mes!$R$2:$R$433,Desconto_Cliente_Mes!$A$2:$A$433,D$7,Desconto_Cliente_Mes!$B$2:$B$433,$A7,Desconto_Cliente_Mes!$C$2:$C$433,"Umidade")="",SUMIFS(Desconto_Cliente_Mes!$Q$2:$Q$433,Desconto_Cliente_Mes!$A$2:$A$433,D$7,Desconto_Cliente_Mes!$B$2:$B$433,$A7,Desconto_Cliente_Mes!$C$2:$C$433,"Umidade"),SUMIFS(Desconto_Cliente_Mes!$R$2:$R$433,Desconto_Cliente_Mes!$A$2:$A$433,D$7,Desconto_Cliente_Mes!$B$2:$B$433,$A7,Desconto_Cliente_Mes!$C$2:$C$433,"Umidade"))),SUMIFS(Desconto_Cliente_Mes!$S$2:$S$433,Desconto_Cliente_Mes!$A$2:$A$433,D$7,Desconto_Cliente_Mes!$B$2:$B$433,$A7,Desconto_Cliente_Mes!$C$2:$C$433,"Umidade")))-(IF(SUMIFS(Desconto_Cliente_Mes!$R$2:$R$433,Desconto_Cliente_Mes!$A$2:$A$433,D$7,Desconto_Cliente_Mes!$B$2:$B$433,$A7,Desconto_Cliente_Mes!$C$2:$C$433,"Umidade")="",SUMIFS(Desconto_Cliente_Mes!$Q$2:$Q$433,Desconto_Cliente_Mes!$A$2:$A$433,D$7,Desconto_Cliente_Mes!$B$2:$B$433,$A7,Desconto_Cliente_Mes!$C$2:$C$433,"Umidade"),SUMIFS(Desconto_Cliente_Mes!$R$2:$R$433,Desconto_Cliente_Mes!$A$2:$A$433,D$7,Desconto_Cliente_Mes!$B$2:$B$433,$A7,Desconto_Cliente_Mes!$C$2:$C$433,"Umidade"))))*(SUMIFS(Desconto_Cliente_Mes!$T$2:$T$433,Desconto_Cliente_Mes!$A$2:$A$433,D$7,Desconto_Cliente_Mes!$B$2:$B$433,$A7,Desconto_Cliente_Mes!$C$2:$C$433,"Umidade"))</f>
        <v>0</v>
      </c>
      <c r="E15" s="16" t="n">
        <f aca="false">$E$9*($E$12/100)*((IF(SUMIFS(Desconto_Cliente_Mes!$S$2:$S$433,Desconto_Cliente_Mes!$A$2:$A$433,E$7,Desconto_Cliente_Mes!$B$2:$B$433,$A7,Desconto_Cliente_Mes!$C$2:$C$433,"Umidade")="",(IF(SUMIFS(Desconto_Cliente_Mes!$R$2:$R$433,Desconto_Cliente_Mes!$A$2:$A$433,E$7,Desconto_Cliente_Mes!$B$2:$B$433,$A7,Desconto_Cliente_Mes!$C$2:$C$433,"Umidade")="",SUMIFS(Desconto_Cliente_Mes!$Q$2:$Q$433,Desconto_Cliente_Mes!$A$2:$A$433,E$7,Desconto_Cliente_Mes!$B$2:$B$433,$A7,Desconto_Cliente_Mes!$C$2:$C$433,"Umidade"),SUMIFS(Desconto_Cliente_Mes!$R$2:$R$433,Desconto_Cliente_Mes!$A$2:$A$433,E$7,Desconto_Cliente_Mes!$B$2:$B$433,$A7,Desconto_Cliente_Mes!$C$2:$C$433,"Umidade"))),SUMIFS(Desconto_Cliente_Mes!$S$2:$S$433,Desconto_Cliente_Mes!$A$2:$A$433,E$7,Desconto_Cliente_Mes!$B$2:$B$433,$A7,Desconto_Cliente_Mes!$C$2:$C$433,"Umidade")))-(IF(SUMIFS(Desconto_Cliente_Mes!$R$2:$R$433,Desconto_Cliente_Mes!$A$2:$A$433,E$7,Desconto_Cliente_Mes!$B$2:$B$433,$A7,Desconto_Cliente_Mes!$C$2:$C$433,"Umidade")="",SUMIFS(Desconto_Cliente_Mes!$Q$2:$Q$433,Desconto_Cliente_Mes!$A$2:$A$433,E$7,Desconto_Cliente_Mes!$B$2:$B$433,$A7,Desconto_Cliente_Mes!$C$2:$C$433,"Umidade"),SUMIFS(Desconto_Cliente_Mes!$R$2:$R$433,Desconto_Cliente_Mes!$A$2:$A$433,E$7,Desconto_Cliente_Mes!$B$2:$B$433,$A7,Desconto_Cliente_Mes!$C$2:$C$433,"Umidade"))))*(SUMIFS(Desconto_Cliente_Mes!$T$2:$T$433,Desconto_Cliente_Mes!$A$2:$A$433,E$7,Desconto_Cliente_Mes!$B$2:$B$433,$A7,Desconto_Cliente_Mes!$C$2:$C$433,"Umidade"))</f>
        <v>0</v>
      </c>
      <c r="F15" s="16" t="n">
        <f aca="false">$F$9*($F$12/100)*((IF(SUMIFS(Desconto_Cliente_Mes!$S$2:$S$433,Desconto_Cliente_Mes!$A$2:$A$433,F$7,Desconto_Cliente_Mes!$B$2:$B$433,$A7,Desconto_Cliente_Mes!$C$2:$C$433,"Umidade")="",(IF(SUMIFS(Desconto_Cliente_Mes!$R$2:$R$433,Desconto_Cliente_Mes!$A$2:$A$433,F$7,Desconto_Cliente_Mes!$B$2:$B$433,$A7,Desconto_Cliente_Mes!$C$2:$C$433,"Umidade")="",SUMIFS(Desconto_Cliente_Mes!$Q$2:$Q$433,Desconto_Cliente_Mes!$A$2:$A$433,F$7,Desconto_Cliente_Mes!$B$2:$B$433,$A7,Desconto_Cliente_Mes!$C$2:$C$433,"Umidade"),SUMIFS(Desconto_Cliente_Mes!$R$2:$R$433,Desconto_Cliente_Mes!$A$2:$A$433,F$7,Desconto_Cliente_Mes!$B$2:$B$433,$A7,Desconto_Cliente_Mes!$C$2:$C$433,"Umidade"))),SUMIFS(Desconto_Cliente_Mes!$S$2:$S$433,Desconto_Cliente_Mes!$A$2:$A$433,F$7,Desconto_Cliente_Mes!$B$2:$B$433,$A7,Desconto_Cliente_Mes!$C$2:$C$433,"Umidade")))-(IF(SUMIFS(Desconto_Cliente_Mes!$R$2:$R$433,Desconto_Cliente_Mes!$A$2:$A$433,F$7,Desconto_Cliente_Mes!$B$2:$B$433,$A7,Desconto_Cliente_Mes!$C$2:$C$433,"Umidade")="",SUMIFS(Desconto_Cliente_Mes!$Q$2:$Q$433,Desconto_Cliente_Mes!$A$2:$A$433,F$7,Desconto_Cliente_Mes!$B$2:$B$433,$A7,Desconto_Cliente_Mes!$C$2:$C$433,"Umidade"),SUMIFS(Desconto_Cliente_Mes!$R$2:$R$433,Desconto_Cliente_Mes!$A$2:$A$433,F$7,Desconto_Cliente_Mes!$B$2:$B$433,$A7,Desconto_Cliente_Mes!$C$2:$C$433,"Umidade"))))*(SUMIFS(Desconto_Cliente_Mes!$T$2:$T$433,Desconto_Cliente_Mes!$A$2:$A$433,F$7,Desconto_Cliente_Mes!$B$2:$B$433,$A7,Desconto_Cliente_Mes!$C$2:$C$433,"Umidade"))</f>
        <v>0</v>
      </c>
      <c r="G15" s="16" t="n">
        <f aca="false">$G$9*($G$12/100)*((IF(SUMIFS(Desconto_Cliente_Mes!$S$2:$S$433,Desconto_Cliente_Mes!$A$2:$A$433,G$7,Desconto_Cliente_Mes!$B$2:$B$433,$A7,Desconto_Cliente_Mes!$C$2:$C$433,"Umidade")="",(IF(SUMIFS(Desconto_Cliente_Mes!$R$2:$R$433,Desconto_Cliente_Mes!$A$2:$A$433,G$7,Desconto_Cliente_Mes!$B$2:$B$433,$A7,Desconto_Cliente_Mes!$C$2:$C$433,"Umidade")="",SUMIFS(Desconto_Cliente_Mes!$Q$2:$Q$433,Desconto_Cliente_Mes!$A$2:$A$433,G$7,Desconto_Cliente_Mes!$B$2:$B$433,$A7,Desconto_Cliente_Mes!$C$2:$C$433,"Umidade"),SUMIFS(Desconto_Cliente_Mes!$R$2:$R$433,Desconto_Cliente_Mes!$A$2:$A$433,G$7,Desconto_Cliente_Mes!$B$2:$B$433,$A7,Desconto_Cliente_Mes!$C$2:$C$433,"Umidade"))),SUMIFS(Desconto_Cliente_Mes!$S$2:$S$433,Desconto_Cliente_Mes!$A$2:$A$433,G$7,Desconto_Cliente_Mes!$B$2:$B$433,$A7,Desconto_Cliente_Mes!$C$2:$C$433,"Umidade")))-(IF(SUMIFS(Desconto_Cliente_Mes!$R$2:$R$433,Desconto_Cliente_Mes!$A$2:$A$433,G$7,Desconto_Cliente_Mes!$B$2:$B$433,$A7,Desconto_Cliente_Mes!$C$2:$C$433,"Umidade")="",SUMIFS(Desconto_Cliente_Mes!$Q$2:$Q$433,Desconto_Cliente_Mes!$A$2:$A$433,G$7,Desconto_Cliente_Mes!$B$2:$B$433,$A7,Desconto_Cliente_Mes!$C$2:$C$433,"Umidade"),SUMIFS(Desconto_Cliente_Mes!$R$2:$R$433,Desconto_Cliente_Mes!$A$2:$A$433,G$7,Desconto_Cliente_Mes!$B$2:$B$433,$A7,Desconto_Cliente_Mes!$C$2:$C$433,"Umidade"))))*(SUMIFS(Desconto_Cliente_Mes!$T$2:$T$433,Desconto_Cliente_Mes!$A$2:$A$433,G$7,Desconto_Cliente_Mes!$B$2:$B$433,$A7,Desconto_Cliente_Mes!$C$2:$C$433,"Umidade"))</f>
        <v>0</v>
      </c>
      <c r="H15" s="16" t="n">
        <f aca="false">$H$9*($H$12/100)*((IF(SUMIFS(Desconto_Cliente_Mes!$S$2:$S$433,Desconto_Cliente_Mes!$A$2:$A$433,H$7,Desconto_Cliente_Mes!$B$2:$B$433,$A7,Desconto_Cliente_Mes!$C$2:$C$433,"Umidade")="",(IF(SUMIFS(Desconto_Cliente_Mes!$R$2:$R$433,Desconto_Cliente_Mes!$A$2:$A$433,H$7,Desconto_Cliente_Mes!$B$2:$B$433,$A7,Desconto_Cliente_Mes!$C$2:$C$433,"Umidade")="",SUMIFS(Desconto_Cliente_Mes!$Q$2:$Q$433,Desconto_Cliente_Mes!$A$2:$A$433,H$7,Desconto_Cliente_Mes!$B$2:$B$433,$A7,Desconto_Cliente_Mes!$C$2:$C$433,"Umidade"),SUMIFS(Desconto_Cliente_Mes!$R$2:$R$433,Desconto_Cliente_Mes!$A$2:$A$433,H$7,Desconto_Cliente_Mes!$B$2:$B$433,$A7,Desconto_Cliente_Mes!$C$2:$C$433,"Umidade"))),SUMIFS(Desconto_Cliente_Mes!$S$2:$S$433,Desconto_Cliente_Mes!$A$2:$A$433,H$7,Desconto_Cliente_Mes!$B$2:$B$433,$A7,Desconto_Cliente_Mes!$C$2:$C$433,"Umidade")))-(IF(SUMIFS(Desconto_Cliente_Mes!$R$2:$R$433,Desconto_Cliente_Mes!$A$2:$A$433,H$7,Desconto_Cliente_Mes!$B$2:$B$433,$A7,Desconto_Cliente_Mes!$C$2:$C$433,"Umidade")="",SUMIFS(Desconto_Cliente_Mes!$Q$2:$Q$433,Desconto_Cliente_Mes!$A$2:$A$433,H$7,Desconto_Cliente_Mes!$B$2:$B$433,$A7,Desconto_Cliente_Mes!$C$2:$C$433,"Umidade"),SUMIFS(Desconto_Cliente_Mes!$R$2:$R$433,Desconto_Cliente_Mes!$A$2:$A$433,H$7,Desconto_Cliente_Mes!$B$2:$B$433,$A7,Desconto_Cliente_Mes!$C$2:$C$433,"Umidade"))))*(SUMIFS(Desconto_Cliente_Mes!$T$2:$T$433,Desconto_Cliente_Mes!$A$2:$A$433,H$7,Desconto_Cliente_Mes!$B$2:$B$433,$A7,Desconto_Cliente_Mes!$C$2:$C$433,"Umidade"))</f>
        <v>0</v>
      </c>
      <c r="I15" s="16" t="n">
        <f aca="false">$I$9*($I$12/100)*((IF(SUMIFS(Desconto_Cliente_Mes!$S$2:$S$433,Desconto_Cliente_Mes!$A$2:$A$433,I$7,Desconto_Cliente_Mes!$B$2:$B$433,$A7,Desconto_Cliente_Mes!$C$2:$C$433,"Umidade")="",(IF(SUMIFS(Desconto_Cliente_Mes!$R$2:$R$433,Desconto_Cliente_Mes!$A$2:$A$433,I$7,Desconto_Cliente_Mes!$B$2:$B$433,$A7,Desconto_Cliente_Mes!$C$2:$C$433,"Umidade")="",SUMIFS(Desconto_Cliente_Mes!$Q$2:$Q$433,Desconto_Cliente_Mes!$A$2:$A$433,I$7,Desconto_Cliente_Mes!$B$2:$B$433,$A7,Desconto_Cliente_Mes!$C$2:$C$433,"Umidade"),SUMIFS(Desconto_Cliente_Mes!$R$2:$R$433,Desconto_Cliente_Mes!$A$2:$A$433,I$7,Desconto_Cliente_Mes!$B$2:$B$433,$A7,Desconto_Cliente_Mes!$C$2:$C$433,"Umidade"))),SUMIFS(Desconto_Cliente_Mes!$S$2:$S$433,Desconto_Cliente_Mes!$A$2:$A$433,I$7,Desconto_Cliente_Mes!$B$2:$B$433,$A7,Desconto_Cliente_Mes!$C$2:$C$433,"Umidade")))-(IF(SUMIFS(Desconto_Cliente_Mes!$R$2:$R$433,Desconto_Cliente_Mes!$A$2:$A$433,I$7,Desconto_Cliente_Mes!$B$2:$B$433,$A7,Desconto_Cliente_Mes!$C$2:$C$433,"Umidade")="",SUMIFS(Desconto_Cliente_Mes!$Q$2:$Q$433,Desconto_Cliente_Mes!$A$2:$A$433,I$7,Desconto_Cliente_Mes!$B$2:$B$433,$A7,Desconto_Cliente_Mes!$C$2:$C$433,"Umidade"),SUMIFS(Desconto_Cliente_Mes!$R$2:$R$433,Desconto_Cliente_Mes!$A$2:$A$433,I$7,Desconto_Cliente_Mes!$B$2:$B$433,$A7,Desconto_Cliente_Mes!$C$2:$C$433,"Umidade"))))*(SUMIFS(Desconto_Cliente_Mes!$T$2:$T$433,Desconto_Cliente_Mes!$A$2:$A$433,I$7,Desconto_Cliente_Mes!$B$2:$B$433,$A7,Desconto_Cliente_Mes!$C$2:$C$433,"Umidade"))</f>
        <v>0</v>
      </c>
      <c r="J15" s="16" t="n">
        <f aca="false">$J$9*($J$12/100)*((IF(SUMIFS(Desconto_Cliente_Mes!$S$2:$S$433,Desconto_Cliente_Mes!$A$2:$A$433,J$7,Desconto_Cliente_Mes!$B$2:$B$433,$A7,Desconto_Cliente_Mes!$C$2:$C$433,"Umidade")="",(IF(SUMIFS(Desconto_Cliente_Mes!$R$2:$R$433,Desconto_Cliente_Mes!$A$2:$A$433,J$7,Desconto_Cliente_Mes!$B$2:$B$433,$A7,Desconto_Cliente_Mes!$C$2:$C$433,"Umidade")="",SUMIFS(Desconto_Cliente_Mes!$Q$2:$Q$433,Desconto_Cliente_Mes!$A$2:$A$433,J$7,Desconto_Cliente_Mes!$B$2:$B$433,$A7,Desconto_Cliente_Mes!$C$2:$C$433,"Umidade"),SUMIFS(Desconto_Cliente_Mes!$R$2:$R$433,Desconto_Cliente_Mes!$A$2:$A$433,J$7,Desconto_Cliente_Mes!$B$2:$B$433,$A7,Desconto_Cliente_Mes!$C$2:$C$433,"Umidade"))),SUMIFS(Desconto_Cliente_Mes!$S$2:$S$433,Desconto_Cliente_Mes!$A$2:$A$433,J$7,Desconto_Cliente_Mes!$B$2:$B$433,$A7,Desconto_Cliente_Mes!$C$2:$C$433,"Umidade")))-(IF(SUMIFS(Desconto_Cliente_Mes!$R$2:$R$433,Desconto_Cliente_Mes!$A$2:$A$433,J$7,Desconto_Cliente_Mes!$B$2:$B$433,$A7,Desconto_Cliente_Mes!$C$2:$C$433,"Umidade")="",SUMIFS(Desconto_Cliente_Mes!$Q$2:$Q$433,Desconto_Cliente_Mes!$A$2:$A$433,J$7,Desconto_Cliente_Mes!$B$2:$B$433,$A7,Desconto_Cliente_Mes!$C$2:$C$433,"Umidade"),SUMIFS(Desconto_Cliente_Mes!$R$2:$R$433,Desconto_Cliente_Mes!$A$2:$A$433,J$7,Desconto_Cliente_Mes!$B$2:$B$433,$A7,Desconto_Cliente_Mes!$C$2:$C$433,"Umidade"))))*(SUMIFS(Desconto_Cliente_Mes!$T$2:$T$433,Desconto_Cliente_Mes!$A$2:$A$433,J$7,Desconto_Cliente_Mes!$B$2:$B$433,$A7,Desconto_Cliente_Mes!$C$2:$C$433,"Umidade"))</f>
        <v>0</v>
      </c>
      <c r="K15" s="16" t="n">
        <f aca="false">$K$9*($K$12/100)*((IF(SUMIFS(Desconto_Cliente_Mes!$S$2:$S$433,Desconto_Cliente_Mes!$A$2:$A$433,K$7,Desconto_Cliente_Mes!$B$2:$B$433,$A7,Desconto_Cliente_Mes!$C$2:$C$433,"Umidade")="",(IF(SUMIFS(Desconto_Cliente_Mes!$R$2:$R$433,Desconto_Cliente_Mes!$A$2:$A$433,K$7,Desconto_Cliente_Mes!$B$2:$B$433,$A7,Desconto_Cliente_Mes!$C$2:$C$433,"Umidade")="",SUMIFS(Desconto_Cliente_Mes!$Q$2:$Q$433,Desconto_Cliente_Mes!$A$2:$A$433,K$7,Desconto_Cliente_Mes!$B$2:$B$433,$A7,Desconto_Cliente_Mes!$C$2:$C$433,"Umidade"),SUMIFS(Desconto_Cliente_Mes!$R$2:$R$433,Desconto_Cliente_Mes!$A$2:$A$433,K$7,Desconto_Cliente_Mes!$B$2:$B$433,$A7,Desconto_Cliente_Mes!$C$2:$C$433,"Umidade"))),SUMIFS(Desconto_Cliente_Mes!$S$2:$S$433,Desconto_Cliente_Mes!$A$2:$A$433,K$7,Desconto_Cliente_Mes!$B$2:$B$433,$A7,Desconto_Cliente_Mes!$C$2:$C$433,"Umidade")))-(IF(SUMIFS(Desconto_Cliente_Mes!$R$2:$R$433,Desconto_Cliente_Mes!$A$2:$A$433,K$7,Desconto_Cliente_Mes!$B$2:$B$433,$A7,Desconto_Cliente_Mes!$C$2:$C$433,"Umidade")="",SUMIFS(Desconto_Cliente_Mes!$Q$2:$Q$433,Desconto_Cliente_Mes!$A$2:$A$433,K$7,Desconto_Cliente_Mes!$B$2:$B$433,$A7,Desconto_Cliente_Mes!$C$2:$C$433,"Umidade"),SUMIFS(Desconto_Cliente_Mes!$R$2:$R$433,Desconto_Cliente_Mes!$A$2:$A$433,K$7,Desconto_Cliente_Mes!$B$2:$B$433,$A7,Desconto_Cliente_Mes!$C$2:$C$433,"Umidade"))))*(SUMIFS(Desconto_Cliente_Mes!$T$2:$T$433,Desconto_Cliente_Mes!$A$2:$A$433,K$7,Desconto_Cliente_Mes!$B$2:$B$433,$A7,Desconto_Cliente_Mes!$C$2:$C$433,"Umidade"))</f>
        <v>0</v>
      </c>
      <c r="L15" s="16" t="n">
        <f aca="false">$L$9*($L$12/100)*((IF(SUMIFS(Desconto_Cliente_Mes!$S$2:$S$433,Desconto_Cliente_Mes!$A$2:$A$433,L$7,Desconto_Cliente_Mes!$B$2:$B$433,$A7,Desconto_Cliente_Mes!$C$2:$C$433,"Umidade")="",(IF(SUMIFS(Desconto_Cliente_Mes!$R$2:$R$433,Desconto_Cliente_Mes!$A$2:$A$433,L$7,Desconto_Cliente_Mes!$B$2:$B$433,$A7,Desconto_Cliente_Mes!$C$2:$C$433,"Umidade")="",SUMIFS(Desconto_Cliente_Mes!$Q$2:$Q$433,Desconto_Cliente_Mes!$A$2:$A$433,L$7,Desconto_Cliente_Mes!$B$2:$B$433,$A7,Desconto_Cliente_Mes!$C$2:$C$433,"Umidade"),SUMIFS(Desconto_Cliente_Mes!$R$2:$R$433,Desconto_Cliente_Mes!$A$2:$A$433,L$7,Desconto_Cliente_Mes!$B$2:$B$433,$A7,Desconto_Cliente_Mes!$C$2:$C$433,"Umidade"))),SUMIFS(Desconto_Cliente_Mes!$S$2:$S$433,Desconto_Cliente_Mes!$A$2:$A$433,L$7,Desconto_Cliente_Mes!$B$2:$B$433,$A7,Desconto_Cliente_Mes!$C$2:$C$433,"Umidade")))-(IF(SUMIFS(Desconto_Cliente_Mes!$R$2:$R$433,Desconto_Cliente_Mes!$A$2:$A$433,L$7,Desconto_Cliente_Mes!$B$2:$B$433,$A7,Desconto_Cliente_Mes!$C$2:$C$433,"Umidade")="",SUMIFS(Desconto_Cliente_Mes!$Q$2:$Q$433,Desconto_Cliente_Mes!$A$2:$A$433,L$7,Desconto_Cliente_Mes!$B$2:$B$433,$A7,Desconto_Cliente_Mes!$C$2:$C$433,"Umidade"),SUMIFS(Desconto_Cliente_Mes!$R$2:$R$433,Desconto_Cliente_Mes!$A$2:$A$433,L$7,Desconto_Cliente_Mes!$B$2:$B$433,$A7,Desconto_Cliente_Mes!$C$2:$C$433,"Umidade"))))*(SUMIFS(Desconto_Cliente_Mes!$T$2:$T$433,Desconto_Cliente_Mes!$A$2:$A$433,L$7,Desconto_Cliente_Mes!$B$2:$B$433,$A7,Desconto_Cliente_Mes!$C$2:$C$433,"Umidade"))</f>
        <v>0</v>
      </c>
      <c r="M15" s="16" t="n">
        <f aca="false">$M$9*($M$12/100)*((IF(SUMIFS(Desconto_Cliente_Mes!$S$2:$S$433,Desconto_Cliente_Mes!$A$2:$A$433,M$7,Desconto_Cliente_Mes!$B$2:$B$433,$A7,Desconto_Cliente_Mes!$C$2:$C$433,"Umidade")="",(IF(SUMIFS(Desconto_Cliente_Mes!$R$2:$R$433,Desconto_Cliente_Mes!$A$2:$A$433,M$7,Desconto_Cliente_Mes!$B$2:$B$433,$A7,Desconto_Cliente_Mes!$C$2:$C$433,"Umidade")="",SUMIFS(Desconto_Cliente_Mes!$Q$2:$Q$433,Desconto_Cliente_Mes!$A$2:$A$433,M$7,Desconto_Cliente_Mes!$B$2:$B$433,$A7,Desconto_Cliente_Mes!$C$2:$C$433,"Umidade"),SUMIFS(Desconto_Cliente_Mes!$R$2:$R$433,Desconto_Cliente_Mes!$A$2:$A$433,M$7,Desconto_Cliente_Mes!$B$2:$B$433,$A7,Desconto_Cliente_Mes!$C$2:$C$433,"Umidade"))),SUMIFS(Desconto_Cliente_Mes!$S$2:$S$433,Desconto_Cliente_Mes!$A$2:$A$433,M$7,Desconto_Cliente_Mes!$B$2:$B$433,$A7,Desconto_Cliente_Mes!$C$2:$C$433,"Umidade")))-(IF(SUMIFS(Desconto_Cliente_Mes!$R$2:$R$433,Desconto_Cliente_Mes!$A$2:$A$433,M$7,Desconto_Cliente_Mes!$B$2:$B$433,$A7,Desconto_Cliente_Mes!$C$2:$C$433,"Umidade")="",SUMIFS(Desconto_Cliente_Mes!$Q$2:$Q$433,Desconto_Cliente_Mes!$A$2:$A$433,M$7,Desconto_Cliente_Mes!$B$2:$B$433,$A7,Desconto_Cliente_Mes!$C$2:$C$433,"Umidade"),SUMIFS(Desconto_Cliente_Mes!$R$2:$R$433,Desconto_Cliente_Mes!$A$2:$A$433,M$7,Desconto_Cliente_Mes!$B$2:$B$433,$A7,Desconto_Cliente_Mes!$C$2:$C$433,"Umidade"))))*(SUMIFS(Desconto_Cliente_Mes!$T$2:$T$433,Desconto_Cliente_Mes!$A$2:$A$433,M$7,Desconto_Cliente_Mes!$B$2:$B$433,$A7,Desconto_Cliente_Mes!$C$2:$C$433,"Umidade"))</f>
        <v>0</v>
      </c>
      <c r="N15" s="17" t="n">
        <f aca="false">SUM(B15:M15)</f>
        <v>0</v>
      </c>
    </row>
    <row r="16" customFormat="false" ht="15" hidden="false" customHeight="false" outlineLevel="0" collapsed="false">
      <c r="A16" s="13" t="s">
        <v>82</v>
      </c>
      <c r="B16" s="16" t="n">
        <f aca="false">SUMIFS(Acerto_Detalhado!$J$2:$J$433,Acerto_Detalhado!$A$2:$A$433,B$7,Acerto_Detalhado!$B$2:$B$433,$A7,Acerto_Detalhado!$C$2:$C$433,"Umidade")</f>
        <v>0</v>
      </c>
      <c r="C16" s="16" t="n">
        <f aca="false">SUMIFS(Acerto_Detalhado!$J$2:$J$433,Acerto_Detalhado!$A$2:$A$433,C$7,Acerto_Detalhado!$B$2:$B$433,$A7,Acerto_Detalhado!$C$2:$C$433,"Umidade")</f>
        <v>0</v>
      </c>
      <c r="D16" s="16" t="n">
        <f aca="false">SUMIFS(Acerto_Detalhado!$J$2:$J$433,Acerto_Detalhado!$A$2:$A$433,D$7,Acerto_Detalhado!$B$2:$B$433,$A7,Acerto_Detalhado!$C$2:$C$433,"Umidade")</f>
        <v>0</v>
      </c>
      <c r="E16" s="16" t="n">
        <f aca="false">SUMIFS(Acerto_Detalhado!$J$2:$J$433,Acerto_Detalhado!$A$2:$A$433,E$7,Acerto_Detalhado!$B$2:$B$433,$A7,Acerto_Detalhado!$C$2:$C$433,"Umidade")</f>
        <v>0</v>
      </c>
      <c r="F16" s="16" t="n">
        <f aca="false">SUMIFS(Acerto_Detalhado!$J$2:$J$433,Acerto_Detalhado!$A$2:$A$433,F$7,Acerto_Detalhado!$B$2:$B$433,$A7,Acerto_Detalhado!$C$2:$C$433,"Umidade")</f>
        <v>0</v>
      </c>
      <c r="G16" s="16" t="n">
        <f aca="false">SUMIFS(Acerto_Detalhado!$J$2:$J$433,Acerto_Detalhado!$A$2:$A$433,G$7,Acerto_Detalhado!$B$2:$B$433,$A7,Acerto_Detalhado!$C$2:$C$433,"Umidade")</f>
        <v>0</v>
      </c>
      <c r="H16" s="16" t="n">
        <f aca="false">SUMIFS(Acerto_Detalhado!$J$2:$J$433,Acerto_Detalhado!$A$2:$A$433,H$7,Acerto_Detalhado!$B$2:$B$433,$A7,Acerto_Detalhado!$C$2:$C$433,"Umidade")</f>
        <v>0</v>
      </c>
      <c r="I16" s="16" t="n">
        <f aca="false">SUMIFS(Acerto_Detalhado!$J$2:$J$433,Acerto_Detalhado!$A$2:$A$433,I$7,Acerto_Detalhado!$B$2:$B$433,$A7,Acerto_Detalhado!$C$2:$C$433,"Umidade")</f>
        <v>0</v>
      </c>
      <c r="J16" s="16" t="n">
        <f aca="false">SUMIFS(Acerto_Detalhado!$J$2:$J$433,Acerto_Detalhado!$A$2:$A$433,J$7,Acerto_Detalhado!$B$2:$B$433,$A7,Acerto_Detalhado!$C$2:$C$433,"Umidade")</f>
        <v>0</v>
      </c>
      <c r="K16" s="16" t="n">
        <f aca="false">SUMIFS(Acerto_Detalhado!$J$2:$J$433,Acerto_Detalhado!$A$2:$A$433,K$7,Acerto_Detalhado!$B$2:$B$433,$A7,Acerto_Detalhado!$C$2:$C$433,"Umidade")</f>
        <v>0</v>
      </c>
      <c r="L16" s="16" t="n">
        <f aca="false">SUMIFS(Acerto_Detalhado!$J$2:$J$433,Acerto_Detalhado!$A$2:$A$433,L$7,Acerto_Detalhado!$B$2:$B$433,$A7,Acerto_Detalhado!$C$2:$C$433,"Umidade")</f>
        <v>0</v>
      </c>
      <c r="M16" s="16" t="n">
        <f aca="false">SUMIFS(Acerto_Detalhado!$J$2:$J$433,Acerto_Detalhado!$A$2:$A$433,M$7,Acerto_Detalhado!$B$2:$B$433,$A7,Acerto_Detalhado!$C$2:$C$433,"Umidade")</f>
        <v>0</v>
      </c>
      <c r="N16" s="17" t="n">
        <f aca="false">SUM(B16:M16)</f>
        <v>0</v>
      </c>
    </row>
    <row r="18" customFormat="false" ht="15" hidden="false" customHeight="false" outlineLevel="0" collapsed="false">
      <c r="A18" s="5" t="s">
        <v>59</v>
      </c>
      <c r="B18" s="6" t="s">
        <v>39</v>
      </c>
      <c r="C18" s="6" t="s">
        <v>40</v>
      </c>
      <c r="D18" s="6" t="s">
        <v>41</v>
      </c>
      <c r="E18" s="6" t="s">
        <v>42</v>
      </c>
      <c r="F18" s="6" t="s">
        <v>43</v>
      </c>
      <c r="G18" s="6" t="s">
        <v>44</v>
      </c>
      <c r="H18" s="6" t="s">
        <v>45</v>
      </c>
      <c r="I18" s="6" t="s">
        <v>46</v>
      </c>
      <c r="J18" s="6" t="s">
        <v>47</v>
      </c>
      <c r="K18" s="6" t="s">
        <v>48</v>
      </c>
      <c r="L18" s="6" t="s">
        <v>49</v>
      </c>
      <c r="M18" s="6" t="s">
        <v>50</v>
      </c>
      <c r="N18" s="6" t="s">
        <v>51</v>
      </c>
    </row>
    <row r="19" customFormat="false" ht="15" hidden="false" customHeight="false" outlineLevel="0" collapsed="false">
      <c r="A19" s="13" t="s">
        <v>74</v>
      </c>
      <c r="B19" s="10" t="str">
        <f aca="false">IF((SUMIFS(Desconto_Cliente_Mes!$D$2:$D$433,Desconto_Cliente_Mes!$A$2:$A$433,B$18,Desconto_Cliente_Mes!$B$2:$B$433,$A18,Desconto_Cliente_Mes!$C$2:$C$433,"Umidade"))=0,"",IFERROR(SUMIFS(Desconto_Cliente_Mes!$E$2:$E$433,Desconto_Cliente_Mes!$A$2:$A$433,B$18,Desconto_Cliente_Mes!$B$2:$B$433,$A18,Desconto_Cliente_Mes!$C$2:$C$433,"Umidade"),""))</f>
        <v/>
      </c>
      <c r="C19" s="10" t="n">
        <f aca="false">IF((SUMIFS(Desconto_Cliente_Mes!$D$2:$D$433,Desconto_Cliente_Mes!$A$2:$A$433,C$18,Desconto_Cliente_Mes!$B$2:$B$433,$A18,Desconto_Cliente_Mes!$C$2:$C$433,"Umidade"))=0,"",IFERROR(SUMIFS(Desconto_Cliente_Mes!$E$2:$E$433,Desconto_Cliente_Mes!$A$2:$A$433,C$18,Desconto_Cliente_Mes!$B$2:$B$433,$A18,Desconto_Cliente_Mes!$C$2:$C$433,"Umidade"),""))</f>
        <v>11.5584933584851</v>
      </c>
      <c r="D19" s="10" t="n">
        <f aca="false">IF((SUMIFS(Desconto_Cliente_Mes!$D$2:$D$433,Desconto_Cliente_Mes!$A$2:$A$433,D$18,Desconto_Cliente_Mes!$B$2:$B$433,$A18,Desconto_Cliente_Mes!$C$2:$C$433,"Umidade"))=0,"",IFERROR(SUMIFS(Desconto_Cliente_Mes!$E$2:$E$433,Desconto_Cliente_Mes!$A$2:$A$433,D$18,Desconto_Cliente_Mes!$B$2:$B$433,$A18,Desconto_Cliente_Mes!$C$2:$C$433,"Umidade"),""))</f>
        <v>12.7192715392368</v>
      </c>
      <c r="E19" s="10" t="n">
        <f aca="false">IF((SUMIFS(Desconto_Cliente_Mes!$D$2:$D$433,Desconto_Cliente_Mes!$A$2:$A$433,E$18,Desconto_Cliente_Mes!$B$2:$B$433,$A18,Desconto_Cliente_Mes!$C$2:$C$433,"Umidade"))=0,"",IFERROR(SUMIFS(Desconto_Cliente_Mes!$E$2:$E$433,Desconto_Cliente_Mes!$A$2:$A$433,E$18,Desconto_Cliente_Mes!$B$2:$B$433,$A18,Desconto_Cliente_Mes!$C$2:$C$433,"Umidade"),""))</f>
        <v>12.3393796839469</v>
      </c>
      <c r="F19" s="10" t="n">
        <f aca="false">IF((SUMIFS(Desconto_Cliente_Mes!$D$2:$D$433,Desconto_Cliente_Mes!$A$2:$A$433,F$18,Desconto_Cliente_Mes!$B$2:$B$433,$A18,Desconto_Cliente_Mes!$C$2:$C$433,"Umidade"))=0,"",IFERROR(SUMIFS(Desconto_Cliente_Mes!$E$2:$E$433,Desconto_Cliente_Mes!$A$2:$A$433,F$18,Desconto_Cliente_Mes!$B$2:$B$433,$A18,Desconto_Cliente_Mes!$C$2:$C$433,"Umidade"),""))</f>
        <v>12.2364620658091</v>
      </c>
      <c r="G19" s="10" t="n">
        <f aca="false">IF((SUMIFS(Desconto_Cliente_Mes!$D$2:$D$433,Desconto_Cliente_Mes!$A$2:$A$433,G$18,Desconto_Cliente_Mes!$B$2:$B$433,$A18,Desconto_Cliente_Mes!$C$2:$C$433,"Umidade"))=0,"",IFERROR(SUMIFS(Desconto_Cliente_Mes!$E$2:$E$433,Desconto_Cliente_Mes!$A$2:$A$433,G$18,Desconto_Cliente_Mes!$B$2:$B$433,$A18,Desconto_Cliente_Mes!$C$2:$C$433,"Umidade"),""))</f>
        <v>12.2362354473694</v>
      </c>
      <c r="H19" s="10" t="n">
        <f aca="false">IF((SUMIFS(Desconto_Cliente_Mes!$D$2:$D$433,Desconto_Cliente_Mes!$A$2:$A$433,H$18,Desconto_Cliente_Mes!$B$2:$B$433,$A18,Desconto_Cliente_Mes!$C$2:$C$433,"Umidade"))=0,"",IFERROR(SUMIFS(Desconto_Cliente_Mes!$E$2:$E$433,Desconto_Cliente_Mes!$A$2:$A$433,H$18,Desconto_Cliente_Mes!$B$2:$B$433,$A18,Desconto_Cliente_Mes!$C$2:$C$433,"Umidade"),""))</f>
        <v>12.3572284180274</v>
      </c>
      <c r="I19" s="10" t="str">
        <f aca="false">IF((SUMIFS(Desconto_Cliente_Mes!$D$2:$D$433,Desconto_Cliente_Mes!$A$2:$A$433,I$18,Desconto_Cliente_Mes!$B$2:$B$433,$A18,Desconto_Cliente_Mes!$C$2:$C$433,"Umidade"))=0,"",IFERROR(SUMIFS(Desconto_Cliente_Mes!$E$2:$E$433,Desconto_Cliente_Mes!$A$2:$A$433,I$18,Desconto_Cliente_Mes!$B$2:$B$433,$A18,Desconto_Cliente_Mes!$C$2:$C$433,"Umidade"),""))</f>
        <v/>
      </c>
      <c r="J19" s="10" t="str">
        <f aca="false">IF((SUMIFS(Desconto_Cliente_Mes!$D$2:$D$433,Desconto_Cliente_Mes!$A$2:$A$433,J$18,Desconto_Cliente_Mes!$B$2:$B$433,$A18,Desconto_Cliente_Mes!$C$2:$C$433,"Umidade"))=0,"",IFERROR(SUMIFS(Desconto_Cliente_Mes!$E$2:$E$433,Desconto_Cliente_Mes!$A$2:$A$433,J$18,Desconto_Cliente_Mes!$B$2:$B$433,$A18,Desconto_Cliente_Mes!$C$2:$C$433,"Umidade"),""))</f>
        <v/>
      </c>
      <c r="K19" s="10" t="str">
        <f aca="false">IF((SUMIFS(Desconto_Cliente_Mes!$D$2:$D$433,Desconto_Cliente_Mes!$A$2:$A$433,K$18,Desconto_Cliente_Mes!$B$2:$B$433,$A18,Desconto_Cliente_Mes!$C$2:$C$433,"Umidade"))=0,"",IFERROR(SUMIFS(Desconto_Cliente_Mes!$E$2:$E$433,Desconto_Cliente_Mes!$A$2:$A$433,K$18,Desconto_Cliente_Mes!$B$2:$B$433,$A18,Desconto_Cliente_Mes!$C$2:$C$433,"Umidade"),""))</f>
        <v/>
      </c>
      <c r="L19" s="10" t="str">
        <f aca="false">IF((SUMIFS(Desconto_Cliente_Mes!$D$2:$D$433,Desconto_Cliente_Mes!$A$2:$A$433,L$18,Desconto_Cliente_Mes!$B$2:$B$433,$A18,Desconto_Cliente_Mes!$C$2:$C$433,"Umidade"))=0,"",IFERROR(SUMIFS(Desconto_Cliente_Mes!$E$2:$E$433,Desconto_Cliente_Mes!$A$2:$A$433,L$18,Desconto_Cliente_Mes!$B$2:$B$433,$A18,Desconto_Cliente_Mes!$C$2:$C$433,"Umidade"),""))</f>
        <v/>
      </c>
      <c r="M19" s="10" t="str">
        <f aca="false">IF((SUMIFS(Desconto_Cliente_Mes!$D$2:$D$433,Desconto_Cliente_Mes!$A$2:$A$433,M$18,Desconto_Cliente_Mes!$B$2:$B$433,$A18,Desconto_Cliente_Mes!$C$2:$C$433,"Umidade"))=0,"",IFERROR(SUMIFS(Desconto_Cliente_Mes!$E$2:$E$433,Desconto_Cliente_Mes!$A$2:$A$433,M$18,Desconto_Cliente_Mes!$B$2:$B$433,$A18,Desconto_Cliente_Mes!$C$2:$C$433,"Umidade"),""))</f>
        <v/>
      </c>
      <c r="N19" s="11" t="n">
        <f aca="false">IFERROR(Media_Pool_Mes!D3,"")</f>
        <v>12.2454829634779</v>
      </c>
    </row>
    <row r="20" customFormat="false" ht="15" hidden="false" customHeight="false" outlineLevel="0" collapsed="false">
      <c r="A20" s="13" t="s">
        <v>75</v>
      </c>
      <c r="B20" s="8" t="n">
        <f aca="false">IFERROR(SUMIFS(Desconto_Cliente_Mes!$D$2:$D$433,Desconto_Cliente_Mes!$A$2:$A$433,B$18,Desconto_Cliente_Mes!$B$2:$B$433,$A18,Desconto_Cliente_Mes!$C$2:$C$433,"Umidade"),0)</f>
        <v>0</v>
      </c>
      <c r="C20" s="8" t="n">
        <f aca="false">IFERROR(SUMIFS(Desconto_Cliente_Mes!$D$2:$D$433,Desconto_Cliente_Mes!$A$2:$A$433,C$18,Desconto_Cliente_Mes!$B$2:$B$433,$A18,Desconto_Cliente_Mes!$C$2:$C$433,"Umidade"),0)</f>
        <v>30370.33</v>
      </c>
      <c r="D20" s="8" t="n">
        <f aca="false">IFERROR(SUMIFS(Desconto_Cliente_Mes!$D$2:$D$433,Desconto_Cliente_Mes!$A$2:$A$433,D$18,Desconto_Cliente_Mes!$B$2:$B$433,$A18,Desconto_Cliente_Mes!$C$2:$C$433,"Umidade"),0)</f>
        <v>9485.48</v>
      </c>
      <c r="E20" s="8" t="n">
        <f aca="false">IFERROR(SUMIFS(Desconto_Cliente_Mes!$D$2:$D$433,Desconto_Cliente_Mes!$A$2:$A$433,E$18,Desconto_Cliente_Mes!$B$2:$B$433,$A18,Desconto_Cliente_Mes!$C$2:$C$433,"Umidade"),0)</f>
        <v>62578.1</v>
      </c>
      <c r="F20" s="8" t="n">
        <f aca="false">IFERROR(SUMIFS(Desconto_Cliente_Mes!$D$2:$D$433,Desconto_Cliente_Mes!$A$2:$A$433,F$18,Desconto_Cliente_Mes!$B$2:$B$433,$A18,Desconto_Cliente_Mes!$C$2:$C$433,"Umidade"),0)</f>
        <v>53224.28</v>
      </c>
      <c r="G20" s="8" t="n">
        <f aca="false">IFERROR(SUMIFS(Desconto_Cliente_Mes!$D$2:$D$433,Desconto_Cliente_Mes!$A$2:$A$433,G$18,Desconto_Cliente_Mes!$B$2:$B$433,$A18,Desconto_Cliente_Mes!$C$2:$C$433,"Umidade"),0)</f>
        <v>41884.18</v>
      </c>
      <c r="H20" s="8" t="n">
        <f aca="false">IFERROR(SUMIFS(Desconto_Cliente_Mes!$D$2:$D$433,Desconto_Cliente_Mes!$A$2:$A$433,H$18,Desconto_Cliente_Mes!$B$2:$B$433,$A18,Desconto_Cliente_Mes!$C$2:$C$433,"Umidade"),0)</f>
        <v>101673.63</v>
      </c>
      <c r="I20" s="8" t="n">
        <f aca="false">IFERROR(SUMIFS(Desconto_Cliente_Mes!$D$2:$D$433,Desconto_Cliente_Mes!$A$2:$A$433,I$18,Desconto_Cliente_Mes!$B$2:$B$433,$A18,Desconto_Cliente_Mes!$C$2:$C$433,"Umidade"),0)</f>
        <v>0</v>
      </c>
      <c r="J20" s="8" t="n">
        <f aca="false">IFERROR(SUMIFS(Desconto_Cliente_Mes!$D$2:$D$433,Desconto_Cliente_Mes!$A$2:$A$433,J$18,Desconto_Cliente_Mes!$B$2:$B$433,$A18,Desconto_Cliente_Mes!$C$2:$C$433,"Umidade"),0)</f>
        <v>0</v>
      </c>
      <c r="K20" s="8" t="n">
        <f aca="false">IFERROR(SUMIFS(Desconto_Cliente_Mes!$D$2:$D$433,Desconto_Cliente_Mes!$A$2:$A$433,K$18,Desconto_Cliente_Mes!$B$2:$B$433,$A18,Desconto_Cliente_Mes!$C$2:$C$433,"Umidade"),0)</f>
        <v>0</v>
      </c>
      <c r="L20" s="8" t="n">
        <f aca="false">IFERROR(SUMIFS(Desconto_Cliente_Mes!$D$2:$D$433,Desconto_Cliente_Mes!$A$2:$A$433,L$18,Desconto_Cliente_Mes!$B$2:$B$433,$A18,Desconto_Cliente_Mes!$C$2:$C$433,"Umidade"),0)</f>
        <v>0</v>
      </c>
      <c r="M20" s="8" t="n">
        <f aca="false">IFERROR(SUMIFS(Desconto_Cliente_Mes!$D$2:$D$433,Desconto_Cliente_Mes!$A$2:$A$433,M$18,Desconto_Cliente_Mes!$B$2:$B$433,$A18,Desconto_Cliente_Mes!$C$2:$C$433,"Umidade"),0)</f>
        <v>0</v>
      </c>
      <c r="N20" s="9" t="n">
        <f aca="false">SUM(B20:M20)</f>
        <v>299216</v>
      </c>
    </row>
    <row r="21" customFormat="false" ht="15" hidden="false" customHeight="false" outlineLevel="0" collapsed="false">
      <c r="A21" s="13" t="s">
        <v>76</v>
      </c>
      <c r="B21" s="15" t="n">
        <f aca="false">MAX(0,(SUMIFS(Desconto_Cliente_Mes!$L$2:$L$433,Desconto_Cliente_Mes!$A$2:$A$433,B$18,Desconto_Cliente_Mes!$B$2:$B$433,$A18,Desconto_Cliente_Mes!$C$2:$C$433,"Umidade"))-(SUMIFS(Desconto_Cliente_Mes!$N$2:$N$433,Desconto_Cliente_Mes!$A$2:$A$433,B$18,Desconto_Cliente_Mes!$B$2:$B$433,$A18,Desconto_Cliente_Mes!$C$2:$C$433,"Umidade")))</f>
        <v>0</v>
      </c>
      <c r="C21" s="15" t="n">
        <f aca="false">MAX(0,(SUMIFS(Desconto_Cliente_Mes!$L$2:$L$433,Desconto_Cliente_Mes!$A$2:$A$433,C$18,Desconto_Cliente_Mes!$B$2:$B$433,$A18,Desconto_Cliente_Mes!$C$2:$C$433,"Umidade"))-(SUMIFS(Desconto_Cliente_Mes!$N$2:$N$433,Desconto_Cliente_Mes!$A$2:$A$433,C$18,Desconto_Cliente_Mes!$B$2:$B$433,$A18,Desconto_Cliente_Mes!$C$2:$C$433,"Umidade")))</f>
        <v>0</v>
      </c>
      <c r="D21" s="15" t="n">
        <f aca="false">MAX(0,(SUMIFS(Desconto_Cliente_Mes!$L$2:$L$433,Desconto_Cliente_Mes!$A$2:$A$433,D$18,Desconto_Cliente_Mes!$B$2:$B$433,$A18,Desconto_Cliente_Mes!$C$2:$C$433,"Umidade"))-(SUMIFS(Desconto_Cliente_Mes!$N$2:$N$433,Desconto_Cliente_Mes!$A$2:$A$433,D$18,Desconto_Cliente_Mes!$B$2:$B$433,$A18,Desconto_Cliente_Mes!$C$2:$C$433,"Umidade")))</f>
        <v>0.219271539236814</v>
      </c>
      <c r="E21" s="15" t="n">
        <f aca="false">MAX(0,(SUMIFS(Desconto_Cliente_Mes!$L$2:$L$433,Desconto_Cliente_Mes!$A$2:$A$433,E$18,Desconto_Cliente_Mes!$B$2:$B$433,$A18,Desconto_Cliente_Mes!$C$2:$C$433,"Umidade"))-(SUMIFS(Desconto_Cliente_Mes!$N$2:$N$433,Desconto_Cliente_Mes!$A$2:$A$433,E$18,Desconto_Cliente_Mes!$B$2:$B$433,$A18,Desconto_Cliente_Mes!$C$2:$C$433,"Umidade")))</f>
        <v>0</v>
      </c>
      <c r="F21" s="15" t="n">
        <f aca="false">MAX(0,(SUMIFS(Desconto_Cliente_Mes!$L$2:$L$433,Desconto_Cliente_Mes!$A$2:$A$433,F$18,Desconto_Cliente_Mes!$B$2:$B$433,$A18,Desconto_Cliente_Mes!$C$2:$C$433,"Umidade"))-(SUMIFS(Desconto_Cliente_Mes!$N$2:$N$433,Desconto_Cliente_Mes!$A$2:$A$433,F$18,Desconto_Cliente_Mes!$B$2:$B$433,$A18,Desconto_Cliente_Mes!$C$2:$C$433,"Umidade")))</f>
        <v>0</v>
      </c>
      <c r="G21" s="15" t="n">
        <f aca="false">MAX(0,(SUMIFS(Desconto_Cliente_Mes!$L$2:$L$433,Desconto_Cliente_Mes!$A$2:$A$433,G$18,Desconto_Cliente_Mes!$B$2:$B$433,$A18,Desconto_Cliente_Mes!$C$2:$C$433,"Umidade"))-(SUMIFS(Desconto_Cliente_Mes!$N$2:$N$433,Desconto_Cliente_Mes!$A$2:$A$433,G$18,Desconto_Cliente_Mes!$B$2:$B$433,$A18,Desconto_Cliente_Mes!$C$2:$C$433,"Umidade")))</f>
        <v>0</v>
      </c>
      <c r="H21" s="15" t="n">
        <f aca="false">MAX(0,(SUMIFS(Desconto_Cliente_Mes!$L$2:$L$433,Desconto_Cliente_Mes!$A$2:$A$433,H$18,Desconto_Cliente_Mes!$B$2:$B$433,$A18,Desconto_Cliente_Mes!$C$2:$C$433,"Umidade"))-(SUMIFS(Desconto_Cliente_Mes!$N$2:$N$433,Desconto_Cliente_Mes!$A$2:$A$433,H$18,Desconto_Cliente_Mes!$B$2:$B$433,$A18,Desconto_Cliente_Mes!$C$2:$C$433,"Umidade")))</f>
        <v>0</v>
      </c>
      <c r="I21" s="15" t="n">
        <f aca="false">MAX(0,(SUMIFS(Desconto_Cliente_Mes!$L$2:$L$433,Desconto_Cliente_Mes!$A$2:$A$433,I$18,Desconto_Cliente_Mes!$B$2:$B$433,$A18,Desconto_Cliente_Mes!$C$2:$C$433,"Umidade"))-(SUMIFS(Desconto_Cliente_Mes!$N$2:$N$433,Desconto_Cliente_Mes!$A$2:$A$433,I$18,Desconto_Cliente_Mes!$B$2:$B$433,$A18,Desconto_Cliente_Mes!$C$2:$C$433,"Umidade")))</f>
        <v>0</v>
      </c>
      <c r="J21" s="15" t="n">
        <f aca="false">MAX(0,(SUMIFS(Desconto_Cliente_Mes!$L$2:$L$433,Desconto_Cliente_Mes!$A$2:$A$433,J$18,Desconto_Cliente_Mes!$B$2:$B$433,$A18,Desconto_Cliente_Mes!$C$2:$C$433,"Umidade"))-(SUMIFS(Desconto_Cliente_Mes!$N$2:$N$433,Desconto_Cliente_Mes!$A$2:$A$433,J$18,Desconto_Cliente_Mes!$B$2:$B$433,$A18,Desconto_Cliente_Mes!$C$2:$C$433,"Umidade")))</f>
        <v>0</v>
      </c>
      <c r="K21" s="15" t="n">
        <f aca="false">MAX(0,(SUMIFS(Desconto_Cliente_Mes!$L$2:$L$433,Desconto_Cliente_Mes!$A$2:$A$433,K$18,Desconto_Cliente_Mes!$B$2:$B$433,$A18,Desconto_Cliente_Mes!$C$2:$C$433,"Umidade"))-(SUMIFS(Desconto_Cliente_Mes!$N$2:$N$433,Desconto_Cliente_Mes!$A$2:$A$433,K$18,Desconto_Cliente_Mes!$B$2:$B$433,$A18,Desconto_Cliente_Mes!$C$2:$C$433,"Umidade")))</f>
        <v>0</v>
      </c>
      <c r="L21" s="15" t="n">
        <f aca="false">MAX(0,(SUMIFS(Desconto_Cliente_Mes!$L$2:$L$433,Desconto_Cliente_Mes!$A$2:$A$433,L$18,Desconto_Cliente_Mes!$B$2:$B$433,$A18,Desconto_Cliente_Mes!$C$2:$C$433,"Umidade"))-(SUMIFS(Desconto_Cliente_Mes!$N$2:$N$433,Desconto_Cliente_Mes!$A$2:$A$433,L$18,Desconto_Cliente_Mes!$B$2:$B$433,$A18,Desconto_Cliente_Mes!$C$2:$C$433,"Umidade")))</f>
        <v>0</v>
      </c>
      <c r="M21" s="15" t="n">
        <f aca="false">MAX(0,(SUMIFS(Desconto_Cliente_Mes!$L$2:$L$433,Desconto_Cliente_Mes!$A$2:$A$433,M$18,Desconto_Cliente_Mes!$B$2:$B$433,$A18,Desconto_Cliente_Mes!$C$2:$C$433,"Umidade"))-(SUMIFS(Desconto_Cliente_Mes!$N$2:$N$433,Desconto_Cliente_Mes!$A$2:$A$433,M$18,Desconto_Cliente_Mes!$B$2:$B$433,$A18,Desconto_Cliente_Mes!$C$2:$C$433,"Umidade")))</f>
        <v>0</v>
      </c>
    </row>
    <row r="22" customFormat="false" ht="15" hidden="false" customHeight="false" outlineLevel="0" collapsed="false">
      <c r="A22" s="13" t="s">
        <v>77</v>
      </c>
      <c r="B22" s="15" t="n">
        <f aca="false">MAX(0,(SUMIFS(Desconto_Cliente_Mes!$N$2:$N$433,Desconto_Cliente_Mes!$A$2:$A$433,B$18,Desconto_Cliente_Mes!$B$2:$B$433,$A18,Desconto_Cliente_Mes!$C$2:$C$433,"Umidade"))-(SUMIFS(Desconto_Cliente_Mes!$P$2:$P$433,Desconto_Cliente_Mes!$A$2:$A$433,B$18,Desconto_Cliente_Mes!$B$2:$B$433,$A18,Desconto_Cliente_Mes!$C$2:$C$433,"Umidade")))</f>
        <v>0</v>
      </c>
      <c r="C22" s="15" t="n">
        <f aca="false">MAX(0,(SUMIFS(Desconto_Cliente_Mes!$N$2:$N$433,Desconto_Cliente_Mes!$A$2:$A$433,C$18,Desconto_Cliente_Mes!$B$2:$B$433,$A18,Desconto_Cliente_Mes!$C$2:$C$433,"Umidade"))-(SUMIFS(Desconto_Cliente_Mes!$P$2:$P$433,Desconto_Cliente_Mes!$A$2:$A$433,C$18,Desconto_Cliente_Mes!$B$2:$B$433,$A18,Desconto_Cliente_Mes!$C$2:$C$433,"Umidade")))</f>
        <v>0</v>
      </c>
      <c r="D22" s="15" t="n">
        <f aca="false">MAX(0,(SUMIFS(Desconto_Cliente_Mes!$N$2:$N$433,Desconto_Cliente_Mes!$A$2:$A$433,D$18,Desconto_Cliente_Mes!$B$2:$B$433,$A18,Desconto_Cliente_Mes!$C$2:$C$433,"Umidade"))-(SUMIFS(Desconto_Cliente_Mes!$P$2:$P$433,Desconto_Cliente_Mes!$A$2:$A$433,D$18,Desconto_Cliente_Mes!$B$2:$B$433,$A18,Desconto_Cliente_Mes!$C$2:$C$433,"Umidade")))</f>
        <v>0</v>
      </c>
      <c r="E22" s="15" t="n">
        <f aca="false">MAX(0,(SUMIFS(Desconto_Cliente_Mes!$N$2:$N$433,Desconto_Cliente_Mes!$A$2:$A$433,E$18,Desconto_Cliente_Mes!$B$2:$B$433,$A18,Desconto_Cliente_Mes!$C$2:$C$433,"Umidade"))-(SUMIFS(Desconto_Cliente_Mes!$P$2:$P$433,Desconto_Cliente_Mes!$A$2:$A$433,E$18,Desconto_Cliente_Mes!$B$2:$B$433,$A18,Desconto_Cliente_Mes!$C$2:$C$433,"Umidade")))</f>
        <v>0</v>
      </c>
      <c r="F22" s="15" t="n">
        <f aca="false">MAX(0,(SUMIFS(Desconto_Cliente_Mes!$N$2:$N$433,Desconto_Cliente_Mes!$A$2:$A$433,F$18,Desconto_Cliente_Mes!$B$2:$B$433,$A18,Desconto_Cliente_Mes!$C$2:$C$433,"Umidade"))-(SUMIFS(Desconto_Cliente_Mes!$P$2:$P$433,Desconto_Cliente_Mes!$A$2:$A$433,F$18,Desconto_Cliente_Mes!$B$2:$B$433,$A18,Desconto_Cliente_Mes!$C$2:$C$433,"Umidade")))</f>
        <v>0</v>
      </c>
      <c r="G22" s="15" t="n">
        <f aca="false">MAX(0,(SUMIFS(Desconto_Cliente_Mes!$N$2:$N$433,Desconto_Cliente_Mes!$A$2:$A$433,G$18,Desconto_Cliente_Mes!$B$2:$B$433,$A18,Desconto_Cliente_Mes!$C$2:$C$433,"Umidade"))-(SUMIFS(Desconto_Cliente_Mes!$P$2:$P$433,Desconto_Cliente_Mes!$A$2:$A$433,G$18,Desconto_Cliente_Mes!$B$2:$B$433,$A18,Desconto_Cliente_Mes!$C$2:$C$433,"Umidade")))</f>
        <v>0</v>
      </c>
      <c r="H22" s="15" t="n">
        <f aca="false">MAX(0,(SUMIFS(Desconto_Cliente_Mes!$N$2:$N$433,Desconto_Cliente_Mes!$A$2:$A$433,H$18,Desconto_Cliente_Mes!$B$2:$B$433,$A18,Desconto_Cliente_Mes!$C$2:$C$433,"Umidade"))-(SUMIFS(Desconto_Cliente_Mes!$P$2:$P$433,Desconto_Cliente_Mes!$A$2:$A$433,H$18,Desconto_Cliente_Mes!$B$2:$B$433,$A18,Desconto_Cliente_Mes!$C$2:$C$433,"Umidade")))</f>
        <v>0</v>
      </c>
      <c r="I22" s="15" t="n">
        <f aca="false">MAX(0,(SUMIFS(Desconto_Cliente_Mes!$N$2:$N$433,Desconto_Cliente_Mes!$A$2:$A$433,I$18,Desconto_Cliente_Mes!$B$2:$B$433,$A18,Desconto_Cliente_Mes!$C$2:$C$433,"Umidade"))-(SUMIFS(Desconto_Cliente_Mes!$P$2:$P$433,Desconto_Cliente_Mes!$A$2:$A$433,I$18,Desconto_Cliente_Mes!$B$2:$B$433,$A18,Desconto_Cliente_Mes!$C$2:$C$433,"Umidade")))</f>
        <v>0</v>
      </c>
      <c r="J22" s="15" t="n">
        <f aca="false">MAX(0,(SUMIFS(Desconto_Cliente_Mes!$N$2:$N$433,Desconto_Cliente_Mes!$A$2:$A$433,J$18,Desconto_Cliente_Mes!$B$2:$B$433,$A18,Desconto_Cliente_Mes!$C$2:$C$433,"Umidade"))-(SUMIFS(Desconto_Cliente_Mes!$P$2:$P$433,Desconto_Cliente_Mes!$A$2:$A$433,J$18,Desconto_Cliente_Mes!$B$2:$B$433,$A18,Desconto_Cliente_Mes!$C$2:$C$433,"Umidade")))</f>
        <v>0</v>
      </c>
      <c r="K22" s="15" t="n">
        <f aca="false">MAX(0,(SUMIFS(Desconto_Cliente_Mes!$N$2:$N$433,Desconto_Cliente_Mes!$A$2:$A$433,K$18,Desconto_Cliente_Mes!$B$2:$B$433,$A18,Desconto_Cliente_Mes!$C$2:$C$433,"Umidade"))-(SUMIFS(Desconto_Cliente_Mes!$P$2:$P$433,Desconto_Cliente_Mes!$A$2:$A$433,K$18,Desconto_Cliente_Mes!$B$2:$B$433,$A18,Desconto_Cliente_Mes!$C$2:$C$433,"Umidade")))</f>
        <v>0</v>
      </c>
      <c r="L22" s="15" t="n">
        <f aca="false">MAX(0,(SUMIFS(Desconto_Cliente_Mes!$N$2:$N$433,Desconto_Cliente_Mes!$A$2:$A$433,L$18,Desconto_Cliente_Mes!$B$2:$B$433,$A18,Desconto_Cliente_Mes!$C$2:$C$433,"Umidade"))-(SUMIFS(Desconto_Cliente_Mes!$P$2:$P$433,Desconto_Cliente_Mes!$A$2:$A$433,L$18,Desconto_Cliente_Mes!$B$2:$B$433,$A18,Desconto_Cliente_Mes!$C$2:$C$433,"Umidade")))</f>
        <v>0</v>
      </c>
      <c r="M22" s="15" t="n">
        <f aca="false">MAX(0,(SUMIFS(Desconto_Cliente_Mes!$N$2:$N$433,Desconto_Cliente_Mes!$A$2:$A$433,M$18,Desconto_Cliente_Mes!$B$2:$B$433,$A18,Desconto_Cliente_Mes!$C$2:$C$433,"Umidade"))-(SUMIFS(Desconto_Cliente_Mes!$P$2:$P$433,Desconto_Cliente_Mes!$A$2:$A$433,M$18,Desconto_Cliente_Mes!$B$2:$B$433,$A18,Desconto_Cliente_Mes!$C$2:$C$433,"Umidade")))</f>
        <v>0</v>
      </c>
    </row>
    <row r="23" customFormat="false" ht="15" hidden="false" customHeight="false" outlineLevel="0" collapsed="false">
      <c r="A23" s="13" t="s">
        <v>78</v>
      </c>
      <c r="B23" s="15" t="n">
        <f aca="false">MAX(0,SUMIFS(Desconto_Cliente_Mes!$P$2:$P$433,Desconto_Cliente_Mes!$A$2:$A$433,B$18,Desconto_Cliente_Mes!$B$2:$B$433,$A18,Desconto_Cliente_Mes!$C$2:$C$433,"Umidade"))</f>
        <v>0</v>
      </c>
      <c r="C23" s="15" t="n">
        <f aca="false">MAX(0,SUMIFS(Desconto_Cliente_Mes!$P$2:$P$433,Desconto_Cliente_Mes!$A$2:$A$433,C$18,Desconto_Cliente_Mes!$B$2:$B$433,$A18,Desconto_Cliente_Mes!$C$2:$C$433,"Umidade"))</f>
        <v>0</v>
      </c>
      <c r="D23" s="15" t="n">
        <f aca="false">MAX(0,SUMIFS(Desconto_Cliente_Mes!$P$2:$P$433,Desconto_Cliente_Mes!$A$2:$A$433,D$18,Desconto_Cliente_Mes!$B$2:$B$433,$A18,Desconto_Cliente_Mes!$C$2:$C$433,"Umidade"))</f>
        <v>0</v>
      </c>
      <c r="E23" s="15" t="n">
        <f aca="false">MAX(0,SUMIFS(Desconto_Cliente_Mes!$P$2:$P$433,Desconto_Cliente_Mes!$A$2:$A$433,E$18,Desconto_Cliente_Mes!$B$2:$B$433,$A18,Desconto_Cliente_Mes!$C$2:$C$433,"Umidade"))</f>
        <v>0</v>
      </c>
      <c r="F23" s="15" t="n">
        <f aca="false">MAX(0,SUMIFS(Desconto_Cliente_Mes!$P$2:$P$433,Desconto_Cliente_Mes!$A$2:$A$433,F$18,Desconto_Cliente_Mes!$B$2:$B$433,$A18,Desconto_Cliente_Mes!$C$2:$C$433,"Umidade"))</f>
        <v>0</v>
      </c>
      <c r="G23" s="15" t="n">
        <f aca="false">MAX(0,SUMIFS(Desconto_Cliente_Mes!$P$2:$P$433,Desconto_Cliente_Mes!$A$2:$A$433,G$18,Desconto_Cliente_Mes!$B$2:$B$433,$A18,Desconto_Cliente_Mes!$C$2:$C$433,"Umidade"))</f>
        <v>0</v>
      </c>
      <c r="H23" s="15" t="n">
        <f aca="false">MAX(0,SUMIFS(Desconto_Cliente_Mes!$P$2:$P$433,Desconto_Cliente_Mes!$A$2:$A$433,H$18,Desconto_Cliente_Mes!$B$2:$B$433,$A18,Desconto_Cliente_Mes!$C$2:$C$433,"Umidade"))</f>
        <v>0</v>
      </c>
      <c r="I23" s="15" t="n">
        <f aca="false">MAX(0,SUMIFS(Desconto_Cliente_Mes!$P$2:$P$433,Desconto_Cliente_Mes!$A$2:$A$433,I$18,Desconto_Cliente_Mes!$B$2:$B$433,$A18,Desconto_Cliente_Mes!$C$2:$C$433,"Umidade"))</f>
        <v>0</v>
      </c>
      <c r="J23" s="15" t="n">
        <f aca="false">MAX(0,SUMIFS(Desconto_Cliente_Mes!$P$2:$P$433,Desconto_Cliente_Mes!$A$2:$A$433,J$18,Desconto_Cliente_Mes!$B$2:$B$433,$A18,Desconto_Cliente_Mes!$C$2:$C$433,"Umidade"))</f>
        <v>0</v>
      </c>
      <c r="K23" s="15" t="n">
        <f aca="false">MAX(0,SUMIFS(Desconto_Cliente_Mes!$P$2:$P$433,Desconto_Cliente_Mes!$A$2:$A$433,K$18,Desconto_Cliente_Mes!$B$2:$B$433,$A18,Desconto_Cliente_Mes!$C$2:$C$433,"Umidade"))</f>
        <v>0</v>
      </c>
      <c r="L23" s="15" t="n">
        <f aca="false">MAX(0,SUMIFS(Desconto_Cliente_Mes!$P$2:$P$433,Desconto_Cliente_Mes!$A$2:$A$433,L$18,Desconto_Cliente_Mes!$B$2:$B$433,$A18,Desconto_Cliente_Mes!$C$2:$C$433,"Umidade"))</f>
        <v>0</v>
      </c>
      <c r="M23" s="15" t="n">
        <f aca="false">MAX(0,SUMIFS(Desconto_Cliente_Mes!$P$2:$P$433,Desconto_Cliente_Mes!$A$2:$A$433,M$18,Desconto_Cliente_Mes!$B$2:$B$433,$A18,Desconto_Cliente_Mes!$C$2:$C$433,"Umidade"))</f>
        <v>0</v>
      </c>
    </row>
    <row r="24" customFormat="false" ht="15" hidden="false" customHeight="false" outlineLevel="0" collapsed="false">
      <c r="A24" s="13" t="s">
        <v>79</v>
      </c>
      <c r="B24" s="16" t="n">
        <f aca="false">$B$20*($B$21/100)*(SUMIFS(Desconto_Cliente_Mes!$Q$2:$Q$433,Desconto_Cliente_Mes!$A$2:$A$433,B$18,Desconto_Cliente_Mes!$B$2:$B$433,$A18,Desconto_Cliente_Mes!$C$2:$C$433,"Umidade"))*(SUMIFS(Desconto_Cliente_Mes!$T$2:$T$433,Desconto_Cliente_Mes!$A$2:$A$433,B$18,Desconto_Cliente_Mes!$B$2:$B$433,$A18,Desconto_Cliente_Mes!$C$2:$C$433,"Umidade"))</f>
        <v>0</v>
      </c>
      <c r="C24" s="16" t="n">
        <f aca="false">$C$20*($C$21/100)*(SUMIFS(Desconto_Cliente_Mes!$Q$2:$Q$433,Desconto_Cliente_Mes!$A$2:$A$433,C$18,Desconto_Cliente_Mes!$B$2:$B$433,$A18,Desconto_Cliente_Mes!$C$2:$C$433,"Umidade"))*(SUMIFS(Desconto_Cliente_Mes!$T$2:$T$433,Desconto_Cliente_Mes!$A$2:$A$433,C$18,Desconto_Cliente_Mes!$B$2:$B$433,$A18,Desconto_Cliente_Mes!$C$2:$C$433,"Umidade"))</f>
        <v>0</v>
      </c>
      <c r="D24" s="16" t="n">
        <f aca="false">$D$20*($D$21/100)*(SUMIFS(Desconto_Cliente_Mes!$Q$2:$Q$433,Desconto_Cliente_Mes!$A$2:$A$433,D$18,Desconto_Cliente_Mes!$B$2:$B$433,$A18,Desconto_Cliente_Mes!$C$2:$C$433,"Umidade"))*(SUMIFS(Desconto_Cliente_Mes!$T$2:$T$433,Desconto_Cliente_Mes!$A$2:$A$433,D$18,Desconto_Cliente_Mes!$B$2:$B$433,$A18,Desconto_Cliente_Mes!$C$2:$C$433,"Umidade"))</f>
        <v>8132.39257800007</v>
      </c>
      <c r="E24" s="16" t="n">
        <f aca="false">$E$20*($E$21/100)*(SUMIFS(Desconto_Cliente_Mes!$Q$2:$Q$433,Desconto_Cliente_Mes!$A$2:$A$433,E$18,Desconto_Cliente_Mes!$B$2:$B$433,$A18,Desconto_Cliente_Mes!$C$2:$C$433,"Umidade"))*(SUMIFS(Desconto_Cliente_Mes!$T$2:$T$433,Desconto_Cliente_Mes!$A$2:$A$433,E$18,Desconto_Cliente_Mes!$B$2:$B$433,$A18,Desconto_Cliente_Mes!$C$2:$C$433,"Umidade"))</f>
        <v>0</v>
      </c>
      <c r="F24" s="16" t="n">
        <f aca="false">$F$20*($F$21/100)*(SUMIFS(Desconto_Cliente_Mes!$Q$2:$Q$433,Desconto_Cliente_Mes!$A$2:$A$433,F$18,Desconto_Cliente_Mes!$B$2:$B$433,$A18,Desconto_Cliente_Mes!$C$2:$C$433,"Umidade"))*(SUMIFS(Desconto_Cliente_Mes!$T$2:$T$433,Desconto_Cliente_Mes!$A$2:$A$433,F$18,Desconto_Cliente_Mes!$B$2:$B$433,$A18,Desconto_Cliente_Mes!$C$2:$C$433,"Umidade"))</f>
        <v>0</v>
      </c>
      <c r="G24" s="16" t="n">
        <f aca="false">$G$20*($G$21/100)*(SUMIFS(Desconto_Cliente_Mes!$Q$2:$Q$433,Desconto_Cliente_Mes!$A$2:$A$433,G$18,Desconto_Cliente_Mes!$B$2:$B$433,$A18,Desconto_Cliente_Mes!$C$2:$C$433,"Umidade"))*(SUMIFS(Desconto_Cliente_Mes!$T$2:$T$433,Desconto_Cliente_Mes!$A$2:$A$433,G$18,Desconto_Cliente_Mes!$B$2:$B$433,$A18,Desconto_Cliente_Mes!$C$2:$C$433,"Umidade"))</f>
        <v>0</v>
      </c>
      <c r="H24" s="16" t="n">
        <f aca="false">$H$20*($H$21/100)*(SUMIFS(Desconto_Cliente_Mes!$Q$2:$Q$433,Desconto_Cliente_Mes!$A$2:$A$433,H$18,Desconto_Cliente_Mes!$B$2:$B$433,$A18,Desconto_Cliente_Mes!$C$2:$C$433,"Umidade"))*(SUMIFS(Desconto_Cliente_Mes!$T$2:$T$433,Desconto_Cliente_Mes!$A$2:$A$433,H$18,Desconto_Cliente_Mes!$B$2:$B$433,$A18,Desconto_Cliente_Mes!$C$2:$C$433,"Umidade"))</f>
        <v>0</v>
      </c>
      <c r="I24" s="16" t="n">
        <f aca="false">$I$20*($I$21/100)*(SUMIFS(Desconto_Cliente_Mes!$Q$2:$Q$433,Desconto_Cliente_Mes!$A$2:$A$433,I$18,Desconto_Cliente_Mes!$B$2:$B$433,$A18,Desconto_Cliente_Mes!$C$2:$C$433,"Umidade"))*(SUMIFS(Desconto_Cliente_Mes!$T$2:$T$433,Desconto_Cliente_Mes!$A$2:$A$433,I$18,Desconto_Cliente_Mes!$B$2:$B$433,$A18,Desconto_Cliente_Mes!$C$2:$C$433,"Umidade"))</f>
        <v>0</v>
      </c>
      <c r="J24" s="16" t="n">
        <f aca="false">$J$20*($J$21/100)*(SUMIFS(Desconto_Cliente_Mes!$Q$2:$Q$433,Desconto_Cliente_Mes!$A$2:$A$433,J$18,Desconto_Cliente_Mes!$B$2:$B$433,$A18,Desconto_Cliente_Mes!$C$2:$C$433,"Umidade"))*(SUMIFS(Desconto_Cliente_Mes!$T$2:$T$433,Desconto_Cliente_Mes!$A$2:$A$433,J$18,Desconto_Cliente_Mes!$B$2:$B$433,$A18,Desconto_Cliente_Mes!$C$2:$C$433,"Umidade"))</f>
        <v>0</v>
      </c>
      <c r="K24" s="16" t="n">
        <f aca="false">$K$20*($K$21/100)*(SUMIFS(Desconto_Cliente_Mes!$Q$2:$Q$433,Desconto_Cliente_Mes!$A$2:$A$433,K$18,Desconto_Cliente_Mes!$B$2:$B$433,$A18,Desconto_Cliente_Mes!$C$2:$C$433,"Umidade"))*(SUMIFS(Desconto_Cliente_Mes!$T$2:$T$433,Desconto_Cliente_Mes!$A$2:$A$433,K$18,Desconto_Cliente_Mes!$B$2:$B$433,$A18,Desconto_Cliente_Mes!$C$2:$C$433,"Umidade"))</f>
        <v>0</v>
      </c>
      <c r="L24" s="16" t="n">
        <f aca="false">$L$20*($L$21/100)*(SUMIFS(Desconto_Cliente_Mes!$Q$2:$Q$433,Desconto_Cliente_Mes!$A$2:$A$433,L$18,Desconto_Cliente_Mes!$B$2:$B$433,$A18,Desconto_Cliente_Mes!$C$2:$C$433,"Umidade"))*(SUMIFS(Desconto_Cliente_Mes!$T$2:$T$433,Desconto_Cliente_Mes!$A$2:$A$433,L$18,Desconto_Cliente_Mes!$B$2:$B$433,$A18,Desconto_Cliente_Mes!$C$2:$C$433,"Umidade"))</f>
        <v>0</v>
      </c>
      <c r="M24" s="16" t="n">
        <f aca="false">$M$20*($M$21/100)*(SUMIFS(Desconto_Cliente_Mes!$Q$2:$Q$433,Desconto_Cliente_Mes!$A$2:$A$433,M$18,Desconto_Cliente_Mes!$B$2:$B$433,$A18,Desconto_Cliente_Mes!$C$2:$C$433,"Umidade"))*(SUMIFS(Desconto_Cliente_Mes!$T$2:$T$433,Desconto_Cliente_Mes!$A$2:$A$433,M$18,Desconto_Cliente_Mes!$B$2:$B$433,$A18,Desconto_Cliente_Mes!$C$2:$C$433,"Umidade"))</f>
        <v>0</v>
      </c>
      <c r="N24" s="17" t="n">
        <f aca="false">SUM(B24:M24)</f>
        <v>8132.39257800007</v>
      </c>
    </row>
    <row r="25" customFormat="false" ht="15" hidden="false" customHeight="false" outlineLevel="0" collapsed="false">
      <c r="A25" s="13" t="s">
        <v>80</v>
      </c>
      <c r="B25" s="16" t="n">
        <f aca="false">$B$20*($B$22/100)*((IF(SUMIFS(Desconto_Cliente_Mes!$R$2:$R$433,Desconto_Cliente_Mes!$A$2:$A$433,B$18,Desconto_Cliente_Mes!$B$2:$B$433,$A18,Desconto_Cliente_Mes!$C$2:$C$433,"Umidade")="",SUMIFS(Desconto_Cliente_Mes!$Q$2:$Q$433,Desconto_Cliente_Mes!$A$2:$A$433,B$18,Desconto_Cliente_Mes!$B$2:$B$433,$A18,Desconto_Cliente_Mes!$C$2:$C$433,"Umidade"),SUMIFS(Desconto_Cliente_Mes!$R$2:$R$433,Desconto_Cliente_Mes!$A$2:$A$433,B$18,Desconto_Cliente_Mes!$B$2:$B$433,$A18,Desconto_Cliente_Mes!$C$2:$C$433,"Umidade")))-(SUMIFS(Desconto_Cliente_Mes!$Q$2:$Q$433,Desconto_Cliente_Mes!$A$2:$A$433,B$18,Desconto_Cliente_Mes!$B$2:$B$433,$A18,Desconto_Cliente_Mes!$C$2:$C$433,"Umidade")))*(SUMIFS(Desconto_Cliente_Mes!$T$2:$T$433,Desconto_Cliente_Mes!$A$2:$A$433,B$18,Desconto_Cliente_Mes!$B$2:$B$433,$A18,Desconto_Cliente_Mes!$C$2:$C$433,"Umidade"))</f>
        <v>-0</v>
      </c>
      <c r="C25" s="16" t="n">
        <f aca="false">$C$20*($C$22/100)*((IF(SUMIFS(Desconto_Cliente_Mes!$R$2:$R$433,Desconto_Cliente_Mes!$A$2:$A$433,C$18,Desconto_Cliente_Mes!$B$2:$B$433,$A18,Desconto_Cliente_Mes!$C$2:$C$433,"Umidade")="",SUMIFS(Desconto_Cliente_Mes!$Q$2:$Q$433,Desconto_Cliente_Mes!$A$2:$A$433,C$18,Desconto_Cliente_Mes!$B$2:$B$433,$A18,Desconto_Cliente_Mes!$C$2:$C$433,"Umidade"),SUMIFS(Desconto_Cliente_Mes!$R$2:$R$433,Desconto_Cliente_Mes!$A$2:$A$433,C$18,Desconto_Cliente_Mes!$B$2:$B$433,$A18,Desconto_Cliente_Mes!$C$2:$C$433,"Umidade")))-(SUMIFS(Desconto_Cliente_Mes!$Q$2:$Q$433,Desconto_Cliente_Mes!$A$2:$A$433,C$18,Desconto_Cliente_Mes!$B$2:$B$433,$A18,Desconto_Cliente_Mes!$C$2:$C$433,"Umidade")))*(SUMIFS(Desconto_Cliente_Mes!$T$2:$T$433,Desconto_Cliente_Mes!$A$2:$A$433,C$18,Desconto_Cliente_Mes!$B$2:$B$433,$A18,Desconto_Cliente_Mes!$C$2:$C$433,"Umidade"))</f>
        <v>-0</v>
      </c>
      <c r="D25" s="16" t="n">
        <f aca="false">$D$20*($D$22/100)*((IF(SUMIFS(Desconto_Cliente_Mes!$R$2:$R$433,Desconto_Cliente_Mes!$A$2:$A$433,D$18,Desconto_Cliente_Mes!$B$2:$B$433,$A18,Desconto_Cliente_Mes!$C$2:$C$433,"Umidade")="",SUMIFS(Desconto_Cliente_Mes!$Q$2:$Q$433,Desconto_Cliente_Mes!$A$2:$A$433,D$18,Desconto_Cliente_Mes!$B$2:$B$433,$A18,Desconto_Cliente_Mes!$C$2:$C$433,"Umidade"),SUMIFS(Desconto_Cliente_Mes!$R$2:$R$433,Desconto_Cliente_Mes!$A$2:$A$433,D$18,Desconto_Cliente_Mes!$B$2:$B$433,$A18,Desconto_Cliente_Mes!$C$2:$C$433,"Umidade")))-(SUMIFS(Desconto_Cliente_Mes!$Q$2:$Q$433,Desconto_Cliente_Mes!$A$2:$A$433,D$18,Desconto_Cliente_Mes!$B$2:$B$433,$A18,Desconto_Cliente_Mes!$C$2:$C$433,"Umidade")))*(SUMIFS(Desconto_Cliente_Mes!$T$2:$T$433,Desconto_Cliente_Mes!$A$2:$A$433,D$18,Desconto_Cliente_Mes!$B$2:$B$433,$A18,Desconto_Cliente_Mes!$C$2:$C$433,"Umidade"))</f>
        <v>-0</v>
      </c>
      <c r="E25" s="16" t="n">
        <f aca="false">$E$20*($E$22/100)*((IF(SUMIFS(Desconto_Cliente_Mes!$R$2:$R$433,Desconto_Cliente_Mes!$A$2:$A$433,E$18,Desconto_Cliente_Mes!$B$2:$B$433,$A18,Desconto_Cliente_Mes!$C$2:$C$433,"Umidade")="",SUMIFS(Desconto_Cliente_Mes!$Q$2:$Q$433,Desconto_Cliente_Mes!$A$2:$A$433,E$18,Desconto_Cliente_Mes!$B$2:$B$433,$A18,Desconto_Cliente_Mes!$C$2:$C$433,"Umidade"),SUMIFS(Desconto_Cliente_Mes!$R$2:$R$433,Desconto_Cliente_Mes!$A$2:$A$433,E$18,Desconto_Cliente_Mes!$B$2:$B$433,$A18,Desconto_Cliente_Mes!$C$2:$C$433,"Umidade")))-(SUMIFS(Desconto_Cliente_Mes!$Q$2:$Q$433,Desconto_Cliente_Mes!$A$2:$A$433,E$18,Desconto_Cliente_Mes!$B$2:$B$433,$A18,Desconto_Cliente_Mes!$C$2:$C$433,"Umidade")))*(SUMIFS(Desconto_Cliente_Mes!$T$2:$T$433,Desconto_Cliente_Mes!$A$2:$A$433,E$18,Desconto_Cliente_Mes!$B$2:$B$433,$A18,Desconto_Cliente_Mes!$C$2:$C$433,"Umidade"))</f>
        <v>-0</v>
      </c>
      <c r="F25" s="16" t="n">
        <f aca="false">$F$20*($F$22/100)*((IF(SUMIFS(Desconto_Cliente_Mes!$R$2:$R$433,Desconto_Cliente_Mes!$A$2:$A$433,F$18,Desconto_Cliente_Mes!$B$2:$B$433,$A18,Desconto_Cliente_Mes!$C$2:$C$433,"Umidade")="",SUMIFS(Desconto_Cliente_Mes!$Q$2:$Q$433,Desconto_Cliente_Mes!$A$2:$A$433,F$18,Desconto_Cliente_Mes!$B$2:$B$433,$A18,Desconto_Cliente_Mes!$C$2:$C$433,"Umidade"),SUMIFS(Desconto_Cliente_Mes!$R$2:$R$433,Desconto_Cliente_Mes!$A$2:$A$433,F$18,Desconto_Cliente_Mes!$B$2:$B$433,$A18,Desconto_Cliente_Mes!$C$2:$C$433,"Umidade")))-(SUMIFS(Desconto_Cliente_Mes!$Q$2:$Q$433,Desconto_Cliente_Mes!$A$2:$A$433,F$18,Desconto_Cliente_Mes!$B$2:$B$433,$A18,Desconto_Cliente_Mes!$C$2:$C$433,"Umidade")))*(SUMIFS(Desconto_Cliente_Mes!$T$2:$T$433,Desconto_Cliente_Mes!$A$2:$A$433,F$18,Desconto_Cliente_Mes!$B$2:$B$433,$A18,Desconto_Cliente_Mes!$C$2:$C$433,"Umidade"))</f>
        <v>-0</v>
      </c>
      <c r="G25" s="16" t="n">
        <f aca="false">$G$20*($G$22/100)*((IF(SUMIFS(Desconto_Cliente_Mes!$R$2:$R$433,Desconto_Cliente_Mes!$A$2:$A$433,G$18,Desconto_Cliente_Mes!$B$2:$B$433,$A18,Desconto_Cliente_Mes!$C$2:$C$433,"Umidade")="",SUMIFS(Desconto_Cliente_Mes!$Q$2:$Q$433,Desconto_Cliente_Mes!$A$2:$A$433,G$18,Desconto_Cliente_Mes!$B$2:$B$433,$A18,Desconto_Cliente_Mes!$C$2:$C$433,"Umidade"),SUMIFS(Desconto_Cliente_Mes!$R$2:$R$433,Desconto_Cliente_Mes!$A$2:$A$433,G$18,Desconto_Cliente_Mes!$B$2:$B$433,$A18,Desconto_Cliente_Mes!$C$2:$C$433,"Umidade")))-(SUMIFS(Desconto_Cliente_Mes!$Q$2:$Q$433,Desconto_Cliente_Mes!$A$2:$A$433,G$18,Desconto_Cliente_Mes!$B$2:$B$433,$A18,Desconto_Cliente_Mes!$C$2:$C$433,"Umidade")))*(SUMIFS(Desconto_Cliente_Mes!$T$2:$T$433,Desconto_Cliente_Mes!$A$2:$A$433,G$18,Desconto_Cliente_Mes!$B$2:$B$433,$A18,Desconto_Cliente_Mes!$C$2:$C$433,"Umidade"))</f>
        <v>-0</v>
      </c>
      <c r="H25" s="16" t="n">
        <f aca="false">$H$20*($H$22/100)*((IF(SUMIFS(Desconto_Cliente_Mes!$R$2:$R$433,Desconto_Cliente_Mes!$A$2:$A$433,H$18,Desconto_Cliente_Mes!$B$2:$B$433,$A18,Desconto_Cliente_Mes!$C$2:$C$433,"Umidade")="",SUMIFS(Desconto_Cliente_Mes!$Q$2:$Q$433,Desconto_Cliente_Mes!$A$2:$A$433,H$18,Desconto_Cliente_Mes!$B$2:$B$433,$A18,Desconto_Cliente_Mes!$C$2:$C$433,"Umidade"),SUMIFS(Desconto_Cliente_Mes!$R$2:$R$433,Desconto_Cliente_Mes!$A$2:$A$433,H$18,Desconto_Cliente_Mes!$B$2:$B$433,$A18,Desconto_Cliente_Mes!$C$2:$C$433,"Umidade")))-(SUMIFS(Desconto_Cliente_Mes!$Q$2:$Q$433,Desconto_Cliente_Mes!$A$2:$A$433,H$18,Desconto_Cliente_Mes!$B$2:$B$433,$A18,Desconto_Cliente_Mes!$C$2:$C$433,"Umidade")))*(SUMIFS(Desconto_Cliente_Mes!$T$2:$T$433,Desconto_Cliente_Mes!$A$2:$A$433,H$18,Desconto_Cliente_Mes!$B$2:$B$433,$A18,Desconto_Cliente_Mes!$C$2:$C$433,"Umidade"))</f>
        <v>-0</v>
      </c>
      <c r="I25" s="16" t="n">
        <f aca="false">$I$20*($I$22/100)*((IF(SUMIFS(Desconto_Cliente_Mes!$R$2:$R$433,Desconto_Cliente_Mes!$A$2:$A$433,I$18,Desconto_Cliente_Mes!$B$2:$B$433,$A18,Desconto_Cliente_Mes!$C$2:$C$433,"Umidade")="",SUMIFS(Desconto_Cliente_Mes!$Q$2:$Q$433,Desconto_Cliente_Mes!$A$2:$A$433,I$18,Desconto_Cliente_Mes!$B$2:$B$433,$A18,Desconto_Cliente_Mes!$C$2:$C$433,"Umidade"),SUMIFS(Desconto_Cliente_Mes!$R$2:$R$433,Desconto_Cliente_Mes!$A$2:$A$433,I$18,Desconto_Cliente_Mes!$B$2:$B$433,$A18,Desconto_Cliente_Mes!$C$2:$C$433,"Umidade")))-(SUMIFS(Desconto_Cliente_Mes!$Q$2:$Q$433,Desconto_Cliente_Mes!$A$2:$A$433,I$18,Desconto_Cliente_Mes!$B$2:$B$433,$A18,Desconto_Cliente_Mes!$C$2:$C$433,"Umidade")))*(SUMIFS(Desconto_Cliente_Mes!$T$2:$T$433,Desconto_Cliente_Mes!$A$2:$A$433,I$18,Desconto_Cliente_Mes!$B$2:$B$433,$A18,Desconto_Cliente_Mes!$C$2:$C$433,"Umidade"))</f>
        <v>-0</v>
      </c>
      <c r="J25" s="16" t="n">
        <f aca="false">$J$20*($J$22/100)*((IF(SUMIFS(Desconto_Cliente_Mes!$R$2:$R$433,Desconto_Cliente_Mes!$A$2:$A$433,J$18,Desconto_Cliente_Mes!$B$2:$B$433,$A18,Desconto_Cliente_Mes!$C$2:$C$433,"Umidade")="",SUMIFS(Desconto_Cliente_Mes!$Q$2:$Q$433,Desconto_Cliente_Mes!$A$2:$A$433,J$18,Desconto_Cliente_Mes!$B$2:$B$433,$A18,Desconto_Cliente_Mes!$C$2:$C$433,"Umidade"),SUMIFS(Desconto_Cliente_Mes!$R$2:$R$433,Desconto_Cliente_Mes!$A$2:$A$433,J$18,Desconto_Cliente_Mes!$B$2:$B$433,$A18,Desconto_Cliente_Mes!$C$2:$C$433,"Umidade")))-(SUMIFS(Desconto_Cliente_Mes!$Q$2:$Q$433,Desconto_Cliente_Mes!$A$2:$A$433,J$18,Desconto_Cliente_Mes!$B$2:$B$433,$A18,Desconto_Cliente_Mes!$C$2:$C$433,"Umidade")))*(SUMIFS(Desconto_Cliente_Mes!$T$2:$T$433,Desconto_Cliente_Mes!$A$2:$A$433,J$18,Desconto_Cliente_Mes!$B$2:$B$433,$A18,Desconto_Cliente_Mes!$C$2:$C$433,"Umidade"))</f>
        <v>-0</v>
      </c>
      <c r="K25" s="16" t="n">
        <f aca="false">$K$20*($K$22/100)*((IF(SUMIFS(Desconto_Cliente_Mes!$R$2:$R$433,Desconto_Cliente_Mes!$A$2:$A$433,K$18,Desconto_Cliente_Mes!$B$2:$B$433,$A18,Desconto_Cliente_Mes!$C$2:$C$433,"Umidade")="",SUMIFS(Desconto_Cliente_Mes!$Q$2:$Q$433,Desconto_Cliente_Mes!$A$2:$A$433,K$18,Desconto_Cliente_Mes!$B$2:$B$433,$A18,Desconto_Cliente_Mes!$C$2:$C$433,"Umidade"),SUMIFS(Desconto_Cliente_Mes!$R$2:$R$433,Desconto_Cliente_Mes!$A$2:$A$433,K$18,Desconto_Cliente_Mes!$B$2:$B$433,$A18,Desconto_Cliente_Mes!$C$2:$C$433,"Umidade")))-(SUMIFS(Desconto_Cliente_Mes!$Q$2:$Q$433,Desconto_Cliente_Mes!$A$2:$A$433,K$18,Desconto_Cliente_Mes!$B$2:$B$433,$A18,Desconto_Cliente_Mes!$C$2:$C$433,"Umidade")))*(SUMIFS(Desconto_Cliente_Mes!$T$2:$T$433,Desconto_Cliente_Mes!$A$2:$A$433,K$18,Desconto_Cliente_Mes!$B$2:$B$433,$A18,Desconto_Cliente_Mes!$C$2:$C$433,"Umidade"))</f>
        <v>-0</v>
      </c>
      <c r="L25" s="16" t="n">
        <f aca="false">$L$20*($L$22/100)*((IF(SUMIFS(Desconto_Cliente_Mes!$R$2:$R$433,Desconto_Cliente_Mes!$A$2:$A$433,L$18,Desconto_Cliente_Mes!$B$2:$B$433,$A18,Desconto_Cliente_Mes!$C$2:$C$433,"Umidade")="",SUMIFS(Desconto_Cliente_Mes!$Q$2:$Q$433,Desconto_Cliente_Mes!$A$2:$A$433,L$18,Desconto_Cliente_Mes!$B$2:$B$433,$A18,Desconto_Cliente_Mes!$C$2:$C$433,"Umidade"),SUMIFS(Desconto_Cliente_Mes!$R$2:$R$433,Desconto_Cliente_Mes!$A$2:$A$433,L$18,Desconto_Cliente_Mes!$B$2:$B$433,$A18,Desconto_Cliente_Mes!$C$2:$C$433,"Umidade")))-(SUMIFS(Desconto_Cliente_Mes!$Q$2:$Q$433,Desconto_Cliente_Mes!$A$2:$A$433,L$18,Desconto_Cliente_Mes!$B$2:$B$433,$A18,Desconto_Cliente_Mes!$C$2:$C$433,"Umidade")))*(SUMIFS(Desconto_Cliente_Mes!$T$2:$T$433,Desconto_Cliente_Mes!$A$2:$A$433,L$18,Desconto_Cliente_Mes!$B$2:$B$433,$A18,Desconto_Cliente_Mes!$C$2:$C$433,"Umidade"))</f>
        <v>-0</v>
      </c>
      <c r="M25" s="16" t="n">
        <f aca="false">$M$20*($M$22/100)*((IF(SUMIFS(Desconto_Cliente_Mes!$R$2:$R$433,Desconto_Cliente_Mes!$A$2:$A$433,M$18,Desconto_Cliente_Mes!$B$2:$B$433,$A18,Desconto_Cliente_Mes!$C$2:$C$433,"Umidade")="",SUMIFS(Desconto_Cliente_Mes!$Q$2:$Q$433,Desconto_Cliente_Mes!$A$2:$A$433,M$18,Desconto_Cliente_Mes!$B$2:$B$433,$A18,Desconto_Cliente_Mes!$C$2:$C$433,"Umidade"),SUMIFS(Desconto_Cliente_Mes!$R$2:$R$433,Desconto_Cliente_Mes!$A$2:$A$433,M$18,Desconto_Cliente_Mes!$B$2:$B$433,$A18,Desconto_Cliente_Mes!$C$2:$C$433,"Umidade")))-(SUMIFS(Desconto_Cliente_Mes!$Q$2:$Q$433,Desconto_Cliente_Mes!$A$2:$A$433,M$18,Desconto_Cliente_Mes!$B$2:$B$433,$A18,Desconto_Cliente_Mes!$C$2:$C$433,"Umidade")))*(SUMIFS(Desconto_Cliente_Mes!$T$2:$T$433,Desconto_Cliente_Mes!$A$2:$A$433,M$18,Desconto_Cliente_Mes!$B$2:$B$433,$A18,Desconto_Cliente_Mes!$C$2:$C$433,"Umidade"))</f>
        <v>-0</v>
      </c>
      <c r="N25" s="17" t="n">
        <f aca="false">SUM(B25:M25)</f>
        <v>0</v>
      </c>
    </row>
    <row r="26" customFormat="false" ht="15" hidden="false" customHeight="false" outlineLevel="0" collapsed="false">
      <c r="A26" s="13" t="s">
        <v>81</v>
      </c>
      <c r="B26" s="16" t="n">
        <f aca="false">$B$20*($B$23/100)*((IF(SUMIFS(Desconto_Cliente_Mes!$S$2:$S$433,Desconto_Cliente_Mes!$A$2:$A$433,B$18,Desconto_Cliente_Mes!$B$2:$B$433,$A18,Desconto_Cliente_Mes!$C$2:$C$433,"Umidade")="",(IF(SUMIFS(Desconto_Cliente_Mes!$R$2:$R$433,Desconto_Cliente_Mes!$A$2:$A$433,B$18,Desconto_Cliente_Mes!$B$2:$B$433,$A18,Desconto_Cliente_Mes!$C$2:$C$433,"Umidade")="",SUMIFS(Desconto_Cliente_Mes!$Q$2:$Q$433,Desconto_Cliente_Mes!$A$2:$A$433,B$18,Desconto_Cliente_Mes!$B$2:$B$433,$A18,Desconto_Cliente_Mes!$C$2:$C$433,"Umidade"),SUMIFS(Desconto_Cliente_Mes!$R$2:$R$433,Desconto_Cliente_Mes!$A$2:$A$433,B$18,Desconto_Cliente_Mes!$B$2:$B$433,$A18,Desconto_Cliente_Mes!$C$2:$C$433,"Umidade"))),SUMIFS(Desconto_Cliente_Mes!$S$2:$S$433,Desconto_Cliente_Mes!$A$2:$A$433,B$18,Desconto_Cliente_Mes!$B$2:$B$433,$A18,Desconto_Cliente_Mes!$C$2:$C$433,"Umidade")))-(IF(SUMIFS(Desconto_Cliente_Mes!$R$2:$R$433,Desconto_Cliente_Mes!$A$2:$A$433,B$18,Desconto_Cliente_Mes!$B$2:$B$433,$A18,Desconto_Cliente_Mes!$C$2:$C$433,"Umidade")="",SUMIFS(Desconto_Cliente_Mes!$Q$2:$Q$433,Desconto_Cliente_Mes!$A$2:$A$433,B$18,Desconto_Cliente_Mes!$B$2:$B$433,$A18,Desconto_Cliente_Mes!$C$2:$C$433,"Umidade"),SUMIFS(Desconto_Cliente_Mes!$R$2:$R$433,Desconto_Cliente_Mes!$A$2:$A$433,B$18,Desconto_Cliente_Mes!$B$2:$B$433,$A18,Desconto_Cliente_Mes!$C$2:$C$433,"Umidade"))))*(SUMIFS(Desconto_Cliente_Mes!$T$2:$T$433,Desconto_Cliente_Mes!$A$2:$A$433,B$18,Desconto_Cliente_Mes!$B$2:$B$433,$A18,Desconto_Cliente_Mes!$C$2:$C$433,"Umidade"))</f>
        <v>0</v>
      </c>
      <c r="C26" s="16" t="n">
        <f aca="false">$C$20*($C$23/100)*((IF(SUMIFS(Desconto_Cliente_Mes!$S$2:$S$433,Desconto_Cliente_Mes!$A$2:$A$433,C$18,Desconto_Cliente_Mes!$B$2:$B$433,$A18,Desconto_Cliente_Mes!$C$2:$C$433,"Umidade")="",(IF(SUMIFS(Desconto_Cliente_Mes!$R$2:$R$433,Desconto_Cliente_Mes!$A$2:$A$433,C$18,Desconto_Cliente_Mes!$B$2:$B$433,$A18,Desconto_Cliente_Mes!$C$2:$C$433,"Umidade")="",SUMIFS(Desconto_Cliente_Mes!$Q$2:$Q$433,Desconto_Cliente_Mes!$A$2:$A$433,C$18,Desconto_Cliente_Mes!$B$2:$B$433,$A18,Desconto_Cliente_Mes!$C$2:$C$433,"Umidade"),SUMIFS(Desconto_Cliente_Mes!$R$2:$R$433,Desconto_Cliente_Mes!$A$2:$A$433,C$18,Desconto_Cliente_Mes!$B$2:$B$433,$A18,Desconto_Cliente_Mes!$C$2:$C$433,"Umidade"))),SUMIFS(Desconto_Cliente_Mes!$S$2:$S$433,Desconto_Cliente_Mes!$A$2:$A$433,C$18,Desconto_Cliente_Mes!$B$2:$B$433,$A18,Desconto_Cliente_Mes!$C$2:$C$433,"Umidade")))-(IF(SUMIFS(Desconto_Cliente_Mes!$R$2:$R$433,Desconto_Cliente_Mes!$A$2:$A$433,C$18,Desconto_Cliente_Mes!$B$2:$B$433,$A18,Desconto_Cliente_Mes!$C$2:$C$433,"Umidade")="",SUMIFS(Desconto_Cliente_Mes!$Q$2:$Q$433,Desconto_Cliente_Mes!$A$2:$A$433,C$18,Desconto_Cliente_Mes!$B$2:$B$433,$A18,Desconto_Cliente_Mes!$C$2:$C$433,"Umidade"),SUMIFS(Desconto_Cliente_Mes!$R$2:$R$433,Desconto_Cliente_Mes!$A$2:$A$433,C$18,Desconto_Cliente_Mes!$B$2:$B$433,$A18,Desconto_Cliente_Mes!$C$2:$C$433,"Umidade"))))*(SUMIFS(Desconto_Cliente_Mes!$T$2:$T$433,Desconto_Cliente_Mes!$A$2:$A$433,C$18,Desconto_Cliente_Mes!$B$2:$B$433,$A18,Desconto_Cliente_Mes!$C$2:$C$433,"Umidade"))</f>
        <v>0</v>
      </c>
      <c r="D26" s="16" t="n">
        <f aca="false">$D$20*($D$23/100)*((IF(SUMIFS(Desconto_Cliente_Mes!$S$2:$S$433,Desconto_Cliente_Mes!$A$2:$A$433,D$18,Desconto_Cliente_Mes!$B$2:$B$433,$A18,Desconto_Cliente_Mes!$C$2:$C$433,"Umidade")="",(IF(SUMIFS(Desconto_Cliente_Mes!$R$2:$R$433,Desconto_Cliente_Mes!$A$2:$A$433,D$18,Desconto_Cliente_Mes!$B$2:$B$433,$A18,Desconto_Cliente_Mes!$C$2:$C$433,"Umidade")="",SUMIFS(Desconto_Cliente_Mes!$Q$2:$Q$433,Desconto_Cliente_Mes!$A$2:$A$433,D$18,Desconto_Cliente_Mes!$B$2:$B$433,$A18,Desconto_Cliente_Mes!$C$2:$C$433,"Umidade"),SUMIFS(Desconto_Cliente_Mes!$R$2:$R$433,Desconto_Cliente_Mes!$A$2:$A$433,D$18,Desconto_Cliente_Mes!$B$2:$B$433,$A18,Desconto_Cliente_Mes!$C$2:$C$433,"Umidade"))),SUMIFS(Desconto_Cliente_Mes!$S$2:$S$433,Desconto_Cliente_Mes!$A$2:$A$433,D$18,Desconto_Cliente_Mes!$B$2:$B$433,$A18,Desconto_Cliente_Mes!$C$2:$C$433,"Umidade")))-(IF(SUMIFS(Desconto_Cliente_Mes!$R$2:$R$433,Desconto_Cliente_Mes!$A$2:$A$433,D$18,Desconto_Cliente_Mes!$B$2:$B$433,$A18,Desconto_Cliente_Mes!$C$2:$C$433,"Umidade")="",SUMIFS(Desconto_Cliente_Mes!$Q$2:$Q$433,Desconto_Cliente_Mes!$A$2:$A$433,D$18,Desconto_Cliente_Mes!$B$2:$B$433,$A18,Desconto_Cliente_Mes!$C$2:$C$433,"Umidade"),SUMIFS(Desconto_Cliente_Mes!$R$2:$R$433,Desconto_Cliente_Mes!$A$2:$A$433,D$18,Desconto_Cliente_Mes!$B$2:$B$433,$A18,Desconto_Cliente_Mes!$C$2:$C$433,"Umidade"))))*(SUMIFS(Desconto_Cliente_Mes!$T$2:$T$433,Desconto_Cliente_Mes!$A$2:$A$433,D$18,Desconto_Cliente_Mes!$B$2:$B$433,$A18,Desconto_Cliente_Mes!$C$2:$C$433,"Umidade"))</f>
        <v>0</v>
      </c>
      <c r="E26" s="16" t="n">
        <f aca="false">$E$20*($E$23/100)*((IF(SUMIFS(Desconto_Cliente_Mes!$S$2:$S$433,Desconto_Cliente_Mes!$A$2:$A$433,E$18,Desconto_Cliente_Mes!$B$2:$B$433,$A18,Desconto_Cliente_Mes!$C$2:$C$433,"Umidade")="",(IF(SUMIFS(Desconto_Cliente_Mes!$R$2:$R$433,Desconto_Cliente_Mes!$A$2:$A$433,E$18,Desconto_Cliente_Mes!$B$2:$B$433,$A18,Desconto_Cliente_Mes!$C$2:$C$433,"Umidade")="",SUMIFS(Desconto_Cliente_Mes!$Q$2:$Q$433,Desconto_Cliente_Mes!$A$2:$A$433,E$18,Desconto_Cliente_Mes!$B$2:$B$433,$A18,Desconto_Cliente_Mes!$C$2:$C$433,"Umidade"),SUMIFS(Desconto_Cliente_Mes!$R$2:$R$433,Desconto_Cliente_Mes!$A$2:$A$433,E$18,Desconto_Cliente_Mes!$B$2:$B$433,$A18,Desconto_Cliente_Mes!$C$2:$C$433,"Umidade"))),SUMIFS(Desconto_Cliente_Mes!$S$2:$S$433,Desconto_Cliente_Mes!$A$2:$A$433,E$18,Desconto_Cliente_Mes!$B$2:$B$433,$A18,Desconto_Cliente_Mes!$C$2:$C$433,"Umidade")))-(IF(SUMIFS(Desconto_Cliente_Mes!$R$2:$R$433,Desconto_Cliente_Mes!$A$2:$A$433,E$18,Desconto_Cliente_Mes!$B$2:$B$433,$A18,Desconto_Cliente_Mes!$C$2:$C$433,"Umidade")="",SUMIFS(Desconto_Cliente_Mes!$Q$2:$Q$433,Desconto_Cliente_Mes!$A$2:$A$433,E$18,Desconto_Cliente_Mes!$B$2:$B$433,$A18,Desconto_Cliente_Mes!$C$2:$C$433,"Umidade"),SUMIFS(Desconto_Cliente_Mes!$R$2:$R$433,Desconto_Cliente_Mes!$A$2:$A$433,E$18,Desconto_Cliente_Mes!$B$2:$B$433,$A18,Desconto_Cliente_Mes!$C$2:$C$433,"Umidade"))))*(SUMIFS(Desconto_Cliente_Mes!$T$2:$T$433,Desconto_Cliente_Mes!$A$2:$A$433,E$18,Desconto_Cliente_Mes!$B$2:$B$433,$A18,Desconto_Cliente_Mes!$C$2:$C$433,"Umidade"))</f>
        <v>0</v>
      </c>
      <c r="F26" s="16" t="n">
        <f aca="false">$F$20*($F$23/100)*((IF(SUMIFS(Desconto_Cliente_Mes!$S$2:$S$433,Desconto_Cliente_Mes!$A$2:$A$433,F$18,Desconto_Cliente_Mes!$B$2:$B$433,$A18,Desconto_Cliente_Mes!$C$2:$C$433,"Umidade")="",(IF(SUMIFS(Desconto_Cliente_Mes!$R$2:$R$433,Desconto_Cliente_Mes!$A$2:$A$433,F$18,Desconto_Cliente_Mes!$B$2:$B$433,$A18,Desconto_Cliente_Mes!$C$2:$C$433,"Umidade")="",SUMIFS(Desconto_Cliente_Mes!$Q$2:$Q$433,Desconto_Cliente_Mes!$A$2:$A$433,F$18,Desconto_Cliente_Mes!$B$2:$B$433,$A18,Desconto_Cliente_Mes!$C$2:$C$433,"Umidade"),SUMIFS(Desconto_Cliente_Mes!$R$2:$R$433,Desconto_Cliente_Mes!$A$2:$A$433,F$18,Desconto_Cliente_Mes!$B$2:$B$433,$A18,Desconto_Cliente_Mes!$C$2:$C$433,"Umidade"))),SUMIFS(Desconto_Cliente_Mes!$S$2:$S$433,Desconto_Cliente_Mes!$A$2:$A$433,F$18,Desconto_Cliente_Mes!$B$2:$B$433,$A18,Desconto_Cliente_Mes!$C$2:$C$433,"Umidade")))-(IF(SUMIFS(Desconto_Cliente_Mes!$R$2:$R$433,Desconto_Cliente_Mes!$A$2:$A$433,F$18,Desconto_Cliente_Mes!$B$2:$B$433,$A18,Desconto_Cliente_Mes!$C$2:$C$433,"Umidade")="",SUMIFS(Desconto_Cliente_Mes!$Q$2:$Q$433,Desconto_Cliente_Mes!$A$2:$A$433,F$18,Desconto_Cliente_Mes!$B$2:$B$433,$A18,Desconto_Cliente_Mes!$C$2:$C$433,"Umidade"),SUMIFS(Desconto_Cliente_Mes!$R$2:$R$433,Desconto_Cliente_Mes!$A$2:$A$433,F$18,Desconto_Cliente_Mes!$B$2:$B$433,$A18,Desconto_Cliente_Mes!$C$2:$C$433,"Umidade"))))*(SUMIFS(Desconto_Cliente_Mes!$T$2:$T$433,Desconto_Cliente_Mes!$A$2:$A$433,F$18,Desconto_Cliente_Mes!$B$2:$B$433,$A18,Desconto_Cliente_Mes!$C$2:$C$433,"Umidade"))</f>
        <v>0</v>
      </c>
      <c r="G26" s="16" t="n">
        <f aca="false">$G$20*($G$23/100)*((IF(SUMIFS(Desconto_Cliente_Mes!$S$2:$S$433,Desconto_Cliente_Mes!$A$2:$A$433,G$18,Desconto_Cliente_Mes!$B$2:$B$433,$A18,Desconto_Cliente_Mes!$C$2:$C$433,"Umidade")="",(IF(SUMIFS(Desconto_Cliente_Mes!$R$2:$R$433,Desconto_Cliente_Mes!$A$2:$A$433,G$18,Desconto_Cliente_Mes!$B$2:$B$433,$A18,Desconto_Cliente_Mes!$C$2:$C$433,"Umidade")="",SUMIFS(Desconto_Cliente_Mes!$Q$2:$Q$433,Desconto_Cliente_Mes!$A$2:$A$433,G$18,Desconto_Cliente_Mes!$B$2:$B$433,$A18,Desconto_Cliente_Mes!$C$2:$C$433,"Umidade"),SUMIFS(Desconto_Cliente_Mes!$R$2:$R$433,Desconto_Cliente_Mes!$A$2:$A$433,G$18,Desconto_Cliente_Mes!$B$2:$B$433,$A18,Desconto_Cliente_Mes!$C$2:$C$433,"Umidade"))),SUMIFS(Desconto_Cliente_Mes!$S$2:$S$433,Desconto_Cliente_Mes!$A$2:$A$433,G$18,Desconto_Cliente_Mes!$B$2:$B$433,$A18,Desconto_Cliente_Mes!$C$2:$C$433,"Umidade")))-(IF(SUMIFS(Desconto_Cliente_Mes!$R$2:$R$433,Desconto_Cliente_Mes!$A$2:$A$433,G$18,Desconto_Cliente_Mes!$B$2:$B$433,$A18,Desconto_Cliente_Mes!$C$2:$C$433,"Umidade")="",SUMIFS(Desconto_Cliente_Mes!$Q$2:$Q$433,Desconto_Cliente_Mes!$A$2:$A$433,G$18,Desconto_Cliente_Mes!$B$2:$B$433,$A18,Desconto_Cliente_Mes!$C$2:$C$433,"Umidade"),SUMIFS(Desconto_Cliente_Mes!$R$2:$R$433,Desconto_Cliente_Mes!$A$2:$A$433,G$18,Desconto_Cliente_Mes!$B$2:$B$433,$A18,Desconto_Cliente_Mes!$C$2:$C$433,"Umidade"))))*(SUMIFS(Desconto_Cliente_Mes!$T$2:$T$433,Desconto_Cliente_Mes!$A$2:$A$433,G$18,Desconto_Cliente_Mes!$B$2:$B$433,$A18,Desconto_Cliente_Mes!$C$2:$C$433,"Umidade"))</f>
        <v>0</v>
      </c>
      <c r="H26" s="16" t="n">
        <f aca="false">$H$20*($H$23/100)*((IF(SUMIFS(Desconto_Cliente_Mes!$S$2:$S$433,Desconto_Cliente_Mes!$A$2:$A$433,H$18,Desconto_Cliente_Mes!$B$2:$B$433,$A18,Desconto_Cliente_Mes!$C$2:$C$433,"Umidade")="",(IF(SUMIFS(Desconto_Cliente_Mes!$R$2:$R$433,Desconto_Cliente_Mes!$A$2:$A$433,H$18,Desconto_Cliente_Mes!$B$2:$B$433,$A18,Desconto_Cliente_Mes!$C$2:$C$433,"Umidade")="",SUMIFS(Desconto_Cliente_Mes!$Q$2:$Q$433,Desconto_Cliente_Mes!$A$2:$A$433,H$18,Desconto_Cliente_Mes!$B$2:$B$433,$A18,Desconto_Cliente_Mes!$C$2:$C$433,"Umidade"),SUMIFS(Desconto_Cliente_Mes!$R$2:$R$433,Desconto_Cliente_Mes!$A$2:$A$433,H$18,Desconto_Cliente_Mes!$B$2:$B$433,$A18,Desconto_Cliente_Mes!$C$2:$C$433,"Umidade"))),SUMIFS(Desconto_Cliente_Mes!$S$2:$S$433,Desconto_Cliente_Mes!$A$2:$A$433,H$18,Desconto_Cliente_Mes!$B$2:$B$433,$A18,Desconto_Cliente_Mes!$C$2:$C$433,"Umidade")))-(IF(SUMIFS(Desconto_Cliente_Mes!$R$2:$R$433,Desconto_Cliente_Mes!$A$2:$A$433,H$18,Desconto_Cliente_Mes!$B$2:$B$433,$A18,Desconto_Cliente_Mes!$C$2:$C$433,"Umidade")="",SUMIFS(Desconto_Cliente_Mes!$Q$2:$Q$433,Desconto_Cliente_Mes!$A$2:$A$433,H$18,Desconto_Cliente_Mes!$B$2:$B$433,$A18,Desconto_Cliente_Mes!$C$2:$C$433,"Umidade"),SUMIFS(Desconto_Cliente_Mes!$R$2:$R$433,Desconto_Cliente_Mes!$A$2:$A$433,H$18,Desconto_Cliente_Mes!$B$2:$B$433,$A18,Desconto_Cliente_Mes!$C$2:$C$433,"Umidade"))))*(SUMIFS(Desconto_Cliente_Mes!$T$2:$T$433,Desconto_Cliente_Mes!$A$2:$A$433,H$18,Desconto_Cliente_Mes!$B$2:$B$433,$A18,Desconto_Cliente_Mes!$C$2:$C$433,"Umidade"))</f>
        <v>0</v>
      </c>
      <c r="I26" s="16" t="n">
        <f aca="false">$I$20*($I$23/100)*((IF(SUMIFS(Desconto_Cliente_Mes!$S$2:$S$433,Desconto_Cliente_Mes!$A$2:$A$433,I$18,Desconto_Cliente_Mes!$B$2:$B$433,$A18,Desconto_Cliente_Mes!$C$2:$C$433,"Umidade")="",(IF(SUMIFS(Desconto_Cliente_Mes!$R$2:$R$433,Desconto_Cliente_Mes!$A$2:$A$433,I$18,Desconto_Cliente_Mes!$B$2:$B$433,$A18,Desconto_Cliente_Mes!$C$2:$C$433,"Umidade")="",SUMIFS(Desconto_Cliente_Mes!$Q$2:$Q$433,Desconto_Cliente_Mes!$A$2:$A$433,I$18,Desconto_Cliente_Mes!$B$2:$B$433,$A18,Desconto_Cliente_Mes!$C$2:$C$433,"Umidade"),SUMIFS(Desconto_Cliente_Mes!$R$2:$R$433,Desconto_Cliente_Mes!$A$2:$A$433,I$18,Desconto_Cliente_Mes!$B$2:$B$433,$A18,Desconto_Cliente_Mes!$C$2:$C$433,"Umidade"))),SUMIFS(Desconto_Cliente_Mes!$S$2:$S$433,Desconto_Cliente_Mes!$A$2:$A$433,I$18,Desconto_Cliente_Mes!$B$2:$B$433,$A18,Desconto_Cliente_Mes!$C$2:$C$433,"Umidade")))-(IF(SUMIFS(Desconto_Cliente_Mes!$R$2:$R$433,Desconto_Cliente_Mes!$A$2:$A$433,I$18,Desconto_Cliente_Mes!$B$2:$B$433,$A18,Desconto_Cliente_Mes!$C$2:$C$433,"Umidade")="",SUMIFS(Desconto_Cliente_Mes!$Q$2:$Q$433,Desconto_Cliente_Mes!$A$2:$A$433,I$18,Desconto_Cliente_Mes!$B$2:$B$433,$A18,Desconto_Cliente_Mes!$C$2:$C$433,"Umidade"),SUMIFS(Desconto_Cliente_Mes!$R$2:$R$433,Desconto_Cliente_Mes!$A$2:$A$433,I$18,Desconto_Cliente_Mes!$B$2:$B$433,$A18,Desconto_Cliente_Mes!$C$2:$C$433,"Umidade"))))*(SUMIFS(Desconto_Cliente_Mes!$T$2:$T$433,Desconto_Cliente_Mes!$A$2:$A$433,I$18,Desconto_Cliente_Mes!$B$2:$B$433,$A18,Desconto_Cliente_Mes!$C$2:$C$433,"Umidade"))</f>
        <v>0</v>
      </c>
      <c r="J26" s="16" t="n">
        <f aca="false">$J$20*($J$23/100)*((IF(SUMIFS(Desconto_Cliente_Mes!$S$2:$S$433,Desconto_Cliente_Mes!$A$2:$A$433,J$18,Desconto_Cliente_Mes!$B$2:$B$433,$A18,Desconto_Cliente_Mes!$C$2:$C$433,"Umidade")="",(IF(SUMIFS(Desconto_Cliente_Mes!$R$2:$R$433,Desconto_Cliente_Mes!$A$2:$A$433,J$18,Desconto_Cliente_Mes!$B$2:$B$433,$A18,Desconto_Cliente_Mes!$C$2:$C$433,"Umidade")="",SUMIFS(Desconto_Cliente_Mes!$Q$2:$Q$433,Desconto_Cliente_Mes!$A$2:$A$433,J$18,Desconto_Cliente_Mes!$B$2:$B$433,$A18,Desconto_Cliente_Mes!$C$2:$C$433,"Umidade"),SUMIFS(Desconto_Cliente_Mes!$R$2:$R$433,Desconto_Cliente_Mes!$A$2:$A$433,J$18,Desconto_Cliente_Mes!$B$2:$B$433,$A18,Desconto_Cliente_Mes!$C$2:$C$433,"Umidade"))),SUMIFS(Desconto_Cliente_Mes!$S$2:$S$433,Desconto_Cliente_Mes!$A$2:$A$433,J$18,Desconto_Cliente_Mes!$B$2:$B$433,$A18,Desconto_Cliente_Mes!$C$2:$C$433,"Umidade")))-(IF(SUMIFS(Desconto_Cliente_Mes!$R$2:$R$433,Desconto_Cliente_Mes!$A$2:$A$433,J$18,Desconto_Cliente_Mes!$B$2:$B$433,$A18,Desconto_Cliente_Mes!$C$2:$C$433,"Umidade")="",SUMIFS(Desconto_Cliente_Mes!$Q$2:$Q$433,Desconto_Cliente_Mes!$A$2:$A$433,J$18,Desconto_Cliente_Mes!$B$2:$B$433,$A18,Desconto_Cliente_Mes!$C$2:$C$433,"Umidade"),SUMIFS(Desconto_Cliente_Mes!$R$2:$R$433,Desconto_Cliente_Mes!$A$2:$A$433,J$18,Desconto_Cliente_Mes!$B$2:$B$433,$A18,Desconto_Cliente_Mes!$C$2:$C$433,"Umidade"))))*(SUMIFS(Desconto_Cliente_Mes!$T$2:$T$433,Desconto_Cliente_Mes!$A$2:$A$433,J$18,Desconto_Cliente_Mes!$B$2:$B$433,$A18,Desconto_Cliente_Mes!$C$2:$C$433,"Umidade"))</f>
        <v>0</v>
      </c>
      <c r="K26" s="16" t="n">
        <f aca="false">$K$20*($K$23/100)*((IF(SUMIFS(Desconto_Cliente_Mes!$S$2:$S$433,Desconto_Cliente_Mes!$A$2:$A$433,K$18,Desconto_Cliente_Mes!$B$2:$B$433,$A18,Desconto_Cliente_Mes!$C$2:$C$433,"Umidade")="",(IF(SUMIFS(Desconto_Cliente_Mes!$R$2:$R$433,Desconto_Cliente_Mes!$A$2:$A$433,K$18,Desconto_Cliente_Mes!$B$2:$B$433,$A18,Desconto_Cliente_Mes!$C$2:$C$433,"Umidade")="",SUMIFS(Desconto_Cliente_Mes!$Q$2:$Q$433,Desconto_Cliente_Mes!$A$2:$A$433,K$18,Desconto_Cliente_Mes!$B$2:$B$433,$A18,Desconto_Cliente_Mes!$C$2:$C$433,"Umidade"),SUMIFS(Desconto_Cliente_Mes!$R$2:$R$433,Desconto_Cliente_Mes!$A$2:$A$433,K$18,Desconto_Cliente_Mes!$B$2:$B$433,$A18,Desconto_Cliente_Mes!$C$2:$C$433,"Umidade"))),SUMIFS(Desconto_Cliente_Mes!$S$2:$S$433,Desconto_Cliente_Mes!$A$2:$A$433,K$18,Desconto_Cliente_Mes!$B$2:$B$433,$A18,Desconto_Cliente_Mes!$C$2:$C$433,"Umidade")))-(IF(SUMIFS(Desconto_Cliente_Mes!$R$2:$R$433,Desconto_Cliente_Mes!$A$2:$A$433,K$18,Desconto_Cliente_Mes!$B$2:$B$433,$A18,Desconto_Cliente_Mes!$C$2:$C$433,"Umidade")="",SUMIFS(Desconto_Cliente_Mes!$Q$2:$Q$433,Desconto_Cliente_Mes!$A$2:$A$433,K$18,Desconto_Cliente_Mes!$B$2:$B$433,$A18,Desconto_Cliente_Mes!$C$2:$C$433,"Umidade"),SUMIFS(Desconto_Cliente_Mes!$R$2:$R$433,Desconto_Cliente_Mes!$A$2:$A$433,K$18,Desconto_Cliente_Mes!$B$2:$B$433,$A18,Desconto_Cliente_Mes!$C$2:$C$433,"Umidade"))))*(SUMIFS(Desconto_Cliente_Mes!$T$2:$T$433,Desconto_Cliente_Mes!$A$2:$A$433,K$18,Desconto_Cliente_Mes!$B$2:$B$433,$A18,Desconto_Cliente_Mes!$C$2:$C$433,"Umidade"))</f>
        <v>0</v>
      </c>
      <c r="L26" s="16" t="n">
        <f aca="false">$L$20*($L$23/100)*((IF(SUMIFS(Desconto_Cliente_Mes!$S$2:$S$433,Desconto_Cliente_Mes!$A$2:$A$433,L$18,Desconto_Cliente_Mes!$B$2:$B$433,$A18,Desconto_Cliente_Mes!$C$2:$C$433,"Umidade")="",(IF(SUMIFS(Desconto_Cliente_Mes!$R$2:$R$433,Desconto_Cliente_Mes!$A$2:$A$433,L$18,Desconto_Cliente_Mes!$B$2:$B$433,$A18,Desconto_Cliente_Mes!$C$2:$C$433,"Umidade")="",SUMIFS(Desconto_Cliente_Mes!$Q$2:$Q$433,Desconto_Cliente_Mes!$A$2:$A$433,L$18,Desconto_Cliente_Mes!$B$2:$B$433,$A18,Desconto_Cliente_Mes!$C$2:$C$433,"Umidade"),SUMIFS(Desconto_Cliente_Mes!$R$2:$R$433,Desconto_Cliente_Mes!$A$2:$A$433,L$18,Desconto_Cliente_Mes!$B$2:$B$433,$A18,Desconto_Cliente_Mes!$C$2:$C$433,"Umidade"))),SUMIFS(Desconto_Cliente_Mes!$S$2:$S$433,Desconto_Cliente_Mes!$A$2:$A$433,L$18,Desconto_Cliente_Mes!$B$2:$B$433,$A18,Desconto_Cliente_Mes!$C$2:$C$433,"Umidade")))-(IF(SUMIFS(Desconto_Cliente_Mes!$R$2:$R$433,Desconto_Cliente_Mes!$A$2:$A$433,L$18,Desconto_Cliente_Mes!$B$2:$B$433,$A18,Desconto_Cliente_Mes!$C$2:$C$433,"Umidade")="",SUMIFS(Desconto_Cliente_Mes!$Q$2:$Q$433,Desconto_Cliente_Mes!$A$2:$A$433,L$18,Desconto_Cliente_Mes!$B$2:$B$433,$A18,Desconto_Cliente_Mes!$C$2:$C$433,"Umidade"),SUMIFS(Desconto_Cliente_Mes!$R$2:$R$433,Desconto_Cliente_Mes!$A$2:$A$433,L$18,Desconto_Cliente_Mes!$B$2:$B$433,$A18,Desconto_Cliente_Mes!$C$2:$C$433,"Umidade"))))*(SUMIFS(Desconto_Cliente_Mes!$T$2:$T$433,Desconto_Cliente_Mes!$A$2:$A$433,L$18,Desconto_Cliente_Mes!$B$2:$B$433,$A18,Desconto_Cliente_Mes!$C$2:$C$433,"Umidade"))</f>
        <v>0</v>
      </c>
      <c r="M26" s="16" t="n">
        <f aca="false">$M$20*($M$23/100)*((IF(SUMIFS(Desconto_Cliente_Mes!$S$2:$S$433,Desconto_Cliente_Mes!$A$2:$A$433,M$18,Desconto_Cliente_Mes!$B$2:$B$433,$A18,Desconto_Cliente_Mes!$C$2:$C$433,"Umidade")="",(IF(SUMIFS(Desconto_Cliente_Mes!$R$2:$R$433,Desconto_Cliente_Mes!$A$2:$A$433,M$18,Desconto_Cliente_Mes!$B$2:$B$433,$A18,Desconto_Cliente_Mes!$C$2:$C$433,"Umidade")="",SUMIFS(Desconto_Cliente_Mes!$Q$2:$Q$433,Desconto_Cliente_Mes!$A$2:$A$433,M$18,Desconto_Cliente_Mes!$B$2:$B$433,$A18,Desconto_Cliente_Mes!$C$2:$C$433,"Umidade"),SUMIFS(Desconto_Cliente_Mes!$R$2:$R$433,Desconto_Cliente_Mes!$A$2:$A$433,M$18,Desconto_Cliente_Mes!$B$2:$B$433,$A18,Desconto_Cliente_Mes!$C$2:$C$433,"Umidade"))),SUMIFS(Desconto_Cliente_Mes!$S$2:$S$433,Desconto_Cliente_Mes!$A$2:$A$433,M$18,Desconto_Cliente_Mes!$B$2:$B$433,$A18,Desconto_Cliente_Mes!$C$2:$C$433,"Umidade")))-(IF(SUMIFS(Desconto_Cliente_Mes!$R$2:$R$433,Desconto_Cliente_Mes!$A$2:$A$433,M$18,Desconto_Cliente_Mes!$B$2:$B$433,$A18,Desconto_Cliente_Mes!$C$2:$C$433,"Umidade")="",SUMIFS(Desconto_Cliente_Mes!$Q$2:$Q$433,Desconto_Cliente_Mes!$A$2:$A$433,M$18,Desconto_Cliente_Mes!$B$2:$B$433,$A18,Desconto_Cliente_Mes!$C$2:$C$433,"Umidade"),SUMIFS(Desconto_Cliente_Mes!$R$2:$R$433,Desconto_Cliente_Mes!$A$2:$A$433,M$18,Desconto_Cliente_Mes!$B$2:$B$433,$A18,Desconto_Cliente_Mes!$C$2:$C$433,"Umidade"))))*(SUMIFS(Desconto_Cliente_Mes!$T$2:$T$433,Desconto_Cliente_Mes!$A$2:$A$433,M$18,Desconto_Cliente_Mes!$B$2:$B$433,$A18,Desconto_Cliente_Mes!$C$2:$C$433,"Umidade"))</f>
        <v>0</v>
      </c>
      <c r="N26" s="17" t="n">
        <f aca="false">SUM(B26:M26)</f>
        <v>0</v>
      </c>
    </row>
    <row r="27" customFormat="false" ht="15" hidden="false" customHeight="false" outlineLevel="0" collapsed="false">
      <c r="A27" s="13" t="s">
        <v>82</v>
      </c>
      <c r="B27" s="16" t="n">
        <f aca="false">SUMIFS(Acerto_Detalhado!$J$2:$J$433,Acerto_Detalhado!$A$2:$A$433,B$18,Acerto_Detalhado!$B$2:$B$433,$A18,Acerto_Detalhado!$C$2:$C$433,"Umidade")</f>
        <v>0</v>
      </c>
      <c r="C27" s="16" t="n">
        <f aca="false">SUMIFS(Acerto_Detalhado!$J$2:$J$433,Acerto_Detalhado!$A$2:$A$433,C$18,Acerto_Detalhado!$B$2:$B$433,$A18,Acerto_Detalhado!$C$2:$C$433,"Umidade")</f>
        <v>852.459196509269</v>
      </c>
      <c r="D27" s="16" t="n">
        <f aca="false">SUMIFS(Acerto_Detalhado!$J$2:$J$433,Acerto_Detalhado!$A$2:$A$433,D$18,Acerto_Detalhado!$B$2:$B$433,$A18,Acerto_Detalhado!$C$2:$C$433,"Umidade")</f>
        <v>0</v>
      </c>
      <c r="E27" s="16" t="n">
        <f aca="false">SUMIFS(Acerto_Detalhado!$J$2:$J$433,Acerto_Detalhado!$A$2:$A$433,E$18,Acerto_Detalhado!$B$2:$B$433,$A18,Acerto_Detalhado!$C$2:$C$433,"Umidade")</f>
        <v>1756.49315779831</v>
      </c>
      <c r="F27" s="16" t="n">
        <f aca="false">SUMIFS(Acerto_Detalhado!$J$2:$J$433,Acerto_Detalhado!$A$2:$A$433,F$18,Acerto_Detalhado!$B$2:$B$433,$A18,Acerto_Detalhado!$C$2:$C$433,"Umidade")</f>
        <v>1493.94250782209</v>
      </c>
      <c r="G27" s="16" t="n">
        <f aca="false">SUMIFS(Acerto_Detalhado!$J$2:$J$433,Acerto_Detalhado!$A$2:$A$433,G$18,Acerto_Detalhado!$B$2:$B$433,$A18,Acerto_Detalhado!$C$2:$C$433,"Umidade")</f>
        <v>1175.63933053245</v>
      </c>
      <c r="H27" s="16" t="n">
        <f aca="false">SUMIFS(Acerto_Detalhado!$J$2:$J$433,Acerto_Detalhado!$A$2:$A$433,H$18,Acerto_Detalhado!$B$2:$B$433,$A18,Acerto_Detalhado!$C$2:$C$433,"Umidade")</f>
        <v>2853.85838533795</v>
      </c>
      <c r="I27" s="16" t="n">
        <f aca="false">SUMIFS(Acerto_Detalhado!$J$2:$J$433,Acerto_Detalhado!$A$2:$A$433,I$18,Acerto_Detalhado!$B$2:$B$433,$A18,Acerto_Detalhado!$C$2:$C$433,"Umidade")</f>
        <v>0</v>
      </c>
      <c r="J27" s="16" t="n">
        <f aca="false">SUMIFS(Acerto_Detalhado!$J$2:$J$433,Acerto_Detalhado!$A$2:$A$433,J$18,Acerto_Detalhado!$B$2:$B$433,$A18,Acerto_Detalhado!$C$2:$C$433,"Umidade")</f>
        <v>0</v>
      </c>
      <c r="K27" s="16" t="n">
        <f aca="false">SUMIFS(Acerto_Detalhado!$J$2:$J$433,Acerto_Detalhado!$A$2:$A$433,K$18,Acerto_Detalhado!$B$2:$B$433,$A18,Acerto_Detalhado!$C$2:$C$433,"Umidade")</f>
        <v>0</v>
      </c>
      <c r="L27" s="16" t="n">
        <f aca="false">SUMIFS(Acerto_Detalhado!$J$2:$J$433,Acerto_Detalhado!$A$2:$A$433,L$18,Acerto_Detalhado!$B$2:$B$433,$A18,Acerto_Detalhado!$C$2:$C$433,"Umidade")</f>
        <v>0</v>
      </c>
      <c r="M27" s="16" t="n">
        <f aca="false">SUMIFS(Acerto_Detalhado!$J$2:$J$433,Acerto_Detalhado!$A$2:$A$433,M$18,Acerto_Detalhado!$B$2:$B$433,$A18,Acerto_Detalhado!$C$2:$C$433,"Umidade")</f>
        <v>0</v>
      </c>
      <c r="N27" s="17" t="n">
        <f aca="false">SUM(B27:M27)</f>
        <v>8132.39257800007</v>
      </c>
    </row>
    <row r="29" customFormat="false" ht="15" hidden="false" customHeight="false" outlineLevel="0" collapsed="false">
      <c r="A29" s="5" t="s">
        <v>60</v>
      </c>
      <c r="B29" s="6" t="s">
        <v>39</v>
      </c>
      <c r="C29" s="6" t="s">
        <v>40</v>
      </c>
      <c r="D29" s="6" t="s">
        <v>41</v>
      </c>
      <c r="E29" s="6" t="s">
        <v>42</v>
      </c>
      <c r="F29" s="6" t="s">
        <v>43</v>
      </c>
      <c r="G29" s="6" t="s">
        <v>44</v>
      </c>
      <c r="H29" s="6" t="s">
        <v>45</v>
      </c>
      <c r="I29" s="6" t="s">
        <v>46</v>
      </c>
      <c r="J29" s="6" t="s">
        <v>47</v>
      </c>
      <c r="K29" s="6" t="s">
        <v>48</v>
      </c>
      <c r="L29" s="6" t="s">
        <v>49</v>
      </c>
      <c r="M29" s="6" t="s">
        <v>50</v>
      </c>
      <c r="N29" s="6" t="s">
        <v>51</v>
      </c>
    </row>
    <row r="30" customFormat="false" ht="15" hidden="false" customHeight="false" outlineLevel="0" collapsed="false">
      <c r="A30" s="13" t="s">
        <v>74</v>
      </c>
      <c r="B30" s="10" t="str">
        <f aca="false">IF((SUMIFS(Desconto_Cliente_Mes!$D$2:$D$433,Desconto_Cliente_Mes!$A$2:$A$433,B$29,Desconto_Cliente_Mes!$B$2:$B$433,$A29,Desconto_Cliente_Mes!$C$2:$C$433,"Umidade"))=0,"",IFERROR(SUMIFS(Desconto_Cliente_Mes!$E$2:$E$433,Desconto_Cliente_Mes!$A$2:$A$433,B$29,Desconto_Cliente_Mes!$B$2:$B$433,$A29,Desconto_Cliente_Mes!$C$2:$C$433,"Umidade"),""))</f>
        <v/>
      </c>
      <c r="C30" s="10" t="n">
        <f aca="false">IF((SUMIFS(Desconto_Cliente_Mes!$D$2:$D$433,Desconto_Cliente_Mes!$A$2:$A$433,C$29,Desconto_Cliente_Mes!$B$2:$B$433,$A29,Desconto_Cliente_Mes!$C$2:$C$433,"Umidade"))=0,"",IFERROR(SUMIFS(Desconto_Cliente_Mes!$E$2:$E$433,Desconto_Cliente_Mes!$A$2:$A$433,C$29,Desconto_Cliente_Mes!$B$2:$B$433,$A29,Desconto_Cliente_Mes!$C$2:$C$433,"Umidade"),""))</f>
        <v>11.6025461677944</v>
      </c>
      <c r="D30" s="10" t="n">
        <f aca="false">IF((SUMIFS(Desconto_Cliente_Mes!$D$2:$D$433,Desconto_Cliente_Mes!$A$2:$A$433,D$29,Desconto_Cliente_Mes!$B$2:$B$433,$A29,Desconto_Cliente_Mes!$C$2:$C$433,"Umidade"))=0,"",IFERROR(SUMIFS(Desconto_Cliente_Mes!$E$2:$E$433,Desconto_Cliente_Mes!$A$2:$A$433,D$29,Desconto_Cliente_Mes!$B$2:$B$433,$A29,Desconto_Cliente_Mes!$C$2:$C$433,"Umidade"),""))</f>
        <v>12.3977709554491</v>
      </c>
      <c r="E30" s="10" t="n">
        <f aca="false">IF((SUMIFS(Desconto_Cliente_Mes!$D$2:$D$433,Desconto_Cliente_Mes!$A$2:$A$433,E$29,Desconto_Cliente_Mes!$B$2:$B$433,$A29,Desconto_Cliente_Mes!$C$2:$C$433,"Umidade"))=0,"",IFERROR(SUMIFS(Desconto_Cliente_Mes!$E$2:$E$433,Desconto_Cliente_Mes!$A$2:$A$433,E$29,Desconto_Cliente_Mes!$B$2:$B$433,$A29,Desconto_Cliente_Mes!$C$2:$C$433,"Umidade"),""))</f>
        <v>12.1412336754999</v>
      </c>
      <c r="F30" s="10" t="n">
        <f aca="false">IF((SUMIFS(Desconto_Cliente_Mes!$D$2:$D$433,Desconto_Cliente_Mes!$A$2:$A$433,F$29,Desconto_Cliente_Mes!$B$2:$B$433,$A29,Desconto_Cliente_Mes!$C$2:$C$433,"Umidade"))=0,"",IFERROR(SUMIFS(Desconto_Cliente_Mes!$E$2:$E$433,Desconto_Cliente_Mes!$A$2:$A$433,F$29,Desconto_Cliente_Mes!$B$2:$B$433,$A29,Desconto_Cliente_Mes!$C$2:$C$433,"Umidade"),""))</f>
        <v>12.365805033955</v>
      </c>
      <c r="G30" s="10" t="n">
        <f aca="false">IF((SUMIFS(Desconto_Cliente_Mes!$D$2:$D$433,Desconto_Cliente_Mes!$A$2:$A$433,G$29,Desconto_Cliente_Mes!$B$2:$B$433,$A29,Desconto_Cliente_Mes!$C$2:$C$433,"Umidade"))=0,"",IFERROR(SUMIFS(Desconto_Cliente_Mes!$E$2:$E$433,Desconto_Cliente_Mes!$A$2:$A$433,G$29,Desconto_Cliente_Mes!$B$2:$B$433,$A29,Desconto_Cliente_Mes!$C$2:$C$433,"Umidade"),""))</f>
        <v>12.3664502578334</v>
      </c>
      <c r="H30" s="10" t="n">
        <f aca="false">IF((SUMIFS(Desconto_Cliente_Mes!$D$2:$D$433,Desconto_Cliente_Mes!$A$2:$A$433,H$29,Desconto_Cliente_Mes!$B$2:$B$433,$A29,Desconto_Cliente_Mes!$C$2:$C$433,"Umidade"))=0,"",IFERROR(SUMIFS(Desconto_Cliente_Mes!$E$2:$E$433,Desconto_Cliente_Mes!$A$2:$A$433,H$29,Desconto_Cliente_Mes!$B$2:$B$433,$A29,Desconto_Cliente_Mes!$C$2:$C$433,"Umidade"),""))</f>
        <v>12.33</v>
      </c>
      <c r="I30" s="10" t="str">
        <f aca="false">IF((SUMIFS(Desconto_Cliente_Mes!$D$2:$D$433,Desconto_Cliente_Mes!$A$2:$A$433,I$29,Desconto_Cliente_Mes!$B$2:$B$433,$A29,Desconto_Cliente_Mes!$C$2:$C$433,"Umidade"))=0,"",IFERROR(SUMIFS(Desconto_Cliente_Mes!$E$2:$E$433,Desconto_Cliente_Mes!$A$2:$A$433,I$29,Desconto_Cliente_Mes!$B$2:$B$433,$A29,Desconto_Cliente_Mes!$C$2:$C$433,"Umidade"),""))</f>
        <v/>
      </c>
      <c r="J30" s="10" t="str">
        <f aca="false">IF((SUMIFS(Desconto_Cliente_Mes!$D$2:$D$433,Desconto_Cliente_Mes!$A$2:$A$433,J$29,Desconto_Cliente_Mes!$B$2:$B$433,$A29,Desconto_Cliente_Mes!$C$2:$C$433,"Umidade"))=0,"",IFERROR(SUMIFS(Desconto_Cliente_Mes!$E$2:$E$433,Desconto_Cliente_Mes!$A$2:$A$433,J$29,Desconto_Cliente_Mes!$B$2:$B$433,$A29,Desconto_Cliente_Mes!$C$2:$C$433,"Umidade"),""))</f>
        <v/>
      </c>
      <c r="K30" s="10" t="str">
        <f aca="false">IF((SUMIFS(Desconto_Cliente_Mes!$D$2:$D$433,Desconto_Cliente_Mes!$A$2:$A$433,K$29,Desconto_Cliente_Mes!$B$2:$B$433,$A29,Desconto_Cliente_Mes!$C$2:$C$433,"Umidade"))=0,"",IFERROR(SUMIFS(Desconto_Cliente_Mes!$E$2:$E$433,Desconto_Cliente_Mes!$A$2:$A$433,K$29,Desconto_Cliente_Mes!$B$2:$B$433,$A29,Desconto_Cliente_Mes!$C$2:$C$433,"Umidade"),""))</f>
        <v/>
      </c>
      <c r="L30" s="10" t="str">
        <f aca="false">IF((SUMIFS(Desconto_Cliente_Mes!$D$2:$D$433,Desconto_Cliente_Mes!$A$2:$A$433,L$29,Desconto_Cliente_Mes!$B$2:$B$433,$A29,Desconto_Cliente_Mes!$C$2:$C$433,"Umidade"))=0,"",IFERROR(SUMIFS(Desconto_Cliente_Mes!$E$2:$E$433,Desconto_Cliente_Mes!$A$2:$A$433,L$29,Desconto_Cliente_Mes!$B$2:$B$433,$A29,Desconto_Cliente_Mes!$C$2:$C$433,"Umidade"),""))</f>
        <v/>
      </c>
      <c r="M30" s="10" t="str">
        <f aca="false">IF((SUMIFS(Desconto_Cliente_Mes!$D$2:$D$433,Desconto_Cliente_Mes!$A$2:$A$433,M$29,Desconto_Cliente_Mes!$B$2:$B$433,$A29,Desconto_Cliente_Mes!$C$2:$C$433,"Umidade"))=0,"",IFERROR(SUMIFS(Desconto_Cliente_Mes!$E$2:$E$433,Desconto_Cliente_Mes!$A$2:$A$433,M$29,Desconto_Cliente_Mes!$B$2:$B$433,$A29,Desconto_Cliente_Mes!$C$2:$C$433,"Umidade"),""))</f>
        <v/>
      </c>
      <c r="N30" s="11" t="n">
        <f aca="false">IFERROR(Media_Pool_Mes!D4,"")</f>
        <v>12.1740859181947</v>
      </c>
    </row>
    <row r="31" customFormat="false" ht="15" hidden="false" customHeight="false" outlineLevel="0" collapsed="false">
      <c r="A31" s="13" t="s">
        <v>75</v>
      </c>
      <c r="B31" s="8" t="n">
        <f aca="false">IFERROR(SUMIFS(Desconto_Cliente_Mes!$D$2:$D$433,Desconto_Cliente_Mes!$A$2:$A$433,B$29,Desconto_Cliente_Mes!$B$2:$B$433,$A29,Desconto_Cliente_Mes!$C$2:$C$433,"Umidade"),0)</f>
        <v>0</v>
      </c>
      <c r="C31" s="8" t="n">
        <f aca="false">IFERROR(SUMIFS(Desconto_Cliente_Mes!$D$2:$D$433,Desconto_Cliente_Mes!$A$2:$A$433,C$29,Desconto_Cliente_Mes!$B$2:$B$433,$A29,Desconto_Cliente_Mes!$C$2:$C$433,"Umidade"),0)</f>
        <v>43330.53</v>
      </c>
      <c r="D31" s="8" t="n">
        <f aca="false">IFERROR(SUMIFS(Desconto_Cliente_Mes!$D$2:$D$433,Desconto_Cliente_Mes!$A$2:$A$433,D$29,Desconto_Cliente_Mes!$B$2:$B$433,$A29,Desconto_Cliente_Mes!$C$2:$C$433,"Umidade"),0)</f>
        <v>12278.31</v>
      </c>
      <c r="E31" s="8" t="n">
        <f aca="false">IFERROR(SUMIFS(Desconto_Cliente_Mes!$D$2:$D$433,Desconto_Cliente_Mes!$A$2:$A$433,E$29,Desconto_Cliente_Mes!$B$2:$B$433,$A29,Desconto_Cliente_Mes!$C$2:$C$433,"Umidade"),0)</f>
        <v>60137.37</v>
      </c>
      <c r="F31" s="8" t="n">
        <f aca="false">IFERROR(SUMIFS(Desconto_Cliente_Mes!$D$2:$D$433,Desconto_Cliente_Mes!$A$2:$A$433,F$29,Desconto_Cliente_Mes!$B$2:$B$433,$A29,Desconto_Cliente_Mes!$C$2:$C$433,"Umidade"),0)</f>
        <v>66365.71</v>
      </c>
      <c r="G31" s="8" t="n">
        <f aca="false">IFERROR(SUMIFS(Desconto_Cliente_Mes!$D$2:$D$433,Desconto_Cliente_Mes!$A$2:$A$433,G$29,Desconto_Cliente_Mes!$B$2:$B$433,$A29,Desconto_Cliente_Mes!$C$2:$C$433,"Umidade"),0)</f>
        <v>58475.74</v>
      </c>
      <c r="H31" s="8" t="n">
        <f aca="false">IFERROR(SUMIFS(Desconto_Cliente_Mes!$D$2:$D$433,Desconto_Cliente_Mes!$A$2:$A$433,H$29,Desconto_Cliente_Mes!$B$2:$B$433,$A29,Desconto_Cliente_Mes!$C$2:$C$433,"Umidade"),0)</f>
        <v>141.56</v>
      </c>
      <c r="I31" s="8" t="n">
        <f aca="false">IFERROR(SUMIFS(Desconto_Cliente_Mes!$D$2:$D$433,Desconto_Cliente_Mes!$A$2:$A$433,I$29,Desconto_Cliente_Mes!$B$2:$B$433,$A29,Desconto_Cliente_Mes!$C$2:$C$433,"Umidade"),0)</f>
        <v>0</v>
      </c>
      <c r="J31" s="8" t="n">
        <f aca="false">IFERROR(SUMIFS(Desconto_Cliente_Mes!$D$2:$D$433,Desconto_Cliente_Mes!$A$2:$A$433,J$29,Desconto_Cliente_Mes!$B$2:$B$433,$A29,Desconto_Cliente_Mes!$C$2:$C$433,"Umidade"),0)</f>
        <v>0</v>
      </c>
      <c r="K31" s="8" t="n">
        <f aca="false">IFERROR(SUMIFS(Desconto_Cliente_Mes!$D$2:$D$433,Desconto_Cliente_Mes!$A$2:$A$433,K$29,Desconto_Cliente_Mes!$B$2:$B$433,$A29,Desconto_Cliente_Mes!$C$2:$C$433,"Umidade"),0)</f>
        <v>0</v>
      </c>
      <c r="L31" s="8" t="n">
        <f aca="false">IFERROR(SUMIFS(Desconto_Cliente_Mes!$D$2:$D$433,Desconto_Cliente_Mes!$A$2:$A$433,L$29,Desconto_Cliente_Mes!$B$2:$B$433,$A29,Desconto_Cliente_Mes!$C$2:$C$433,"Umidade"),0)</f>
        <v>0</v>
      </c>
      <c r="M31" s="8" t="n">
        <f aca="false">IFERROR(SUMIFS(Desconto_Cliente_Mes!$D$2:$D$433,Desconto_Cliente_Mes!$A$2:$A$433,M$29,Desconto_Cliente_Mes!$B$2:$B$433,$A29,Desconto_Cliente_Mes!$C$2:$C$433,"Umidade"),0)</f>
        <v>0</v>
      </c>
      <c r="N31" s="9" t="n">
        <f aca="false">SUM(B31:M31)</f>
        <v>240729.22</v>
      </c>
    </row>
    <row r="32" customFormat="false" ht="15" hidden="false" customHeight="false" outlineLevel="0" collapsed="false">
      <c r="A32" s="13" t="s">
        <v>76</v>
      </c>
      <c r="B32" s="15" t="n">
        <f aca="false">MAX(0,(SUMIFS(Desconto_Cliente_Mes!$L$2:$L$433,Desconto_Cliente_Mes!$A$2:$A$433,B$29,Desconto_Cliente_Mes!$B$2:$B$433,$A29,Desconto_Cliente_Mes!$C$2:$C$433,"Umidade"))-(SUMIFS(Desconto_Cliente_Mes!$N$2:$N$433,Desconto_Cliente_Mes!$A$2:$A$433,B$29,Desconto_Cliente_Mes!$B$2:$B$433,$A29,Desconto_Cliente_Mes!$C$2:$C$433,"Umidade")))</f>
        <v>0</v>
      </c>
      <c r="C32" s="15" t="n">
        <f aca="false">MAX(0,(SUMIFS(Desconto_Cliente_Mes!$L$2:$L$433,Desconto_Cliente_Mes!$A$2:$A$433,C$29,Desconto_Cliente_Mes!$B$2:$B$433,$A29,Desconto_Cliente_Mes!$C$2:$C$433,"Umidade"))-(SUMIFS(Desconto_Cliente_Mes!$N$2:$N$433,Desconto_Cliente_Mes!$A$2:$A$433,C$29,Desconto_Cliente_Mes!$B$2:$B$433,$A29,Desconto_Cliente_Mes!$C$2:$C$433,"Umidade")))</f>
        <v>0</v>
      </c>
      <c r="D32" s="15" t="n">
        <f aca="false">MAX(0,(SUMIFS(Desconto_Cliente_Mes!$L$2:$L$433,Desconto_Cliente_Mes!$A$2:$A$433,D$29,Desconto_Cliente_Mes!$B$2:$B$433,$A29,Desconto_Cliente_Mes!$C$2:$C$433,"Umidade"))-(SUMIFS(Desconto_Cliente_Mes!$N$2:$N$433,Desconto_Cliente_Mes!$A$2:$A$433,D$29,Desconto_Cliente_Mes!$B$2:$B$433,$A29,Desconto_Cliente_Mes!$C$2:$C$433,"Umidade")))</f>
        <v>0</v>
      </c>
      <c r="E32" s="15" t="n">
        <f aca="false">MAX(0,(SUMIFS(Desconto_Cliente_Mes!$L$2:$L$433,Desconto_Cliente_Mes!$A$2:$A$433,E$29,Desconto_Cliente_Mes!$B$2:$B$433,$A29,Desconto_Cliente_Mes!$C$2:$C$433,"Umidade"))-(SUMIFS(Desconto_Cliente_Mes!$N$2:$N$433,Desconto_Cliente_Mes!$A$2:$A$433,E$29,Desconto_Cliente_Mes!$B$2:$B$433,$A29,Desconto_Cliente_Mes!$C$2:$C$433,"Umidade")))</f>
        <v>0</v>
      </c>
      <c r="F32" s="15" t="n">
        <f aca="false">MAX(0,(SUMIFS(Desconto_Cliente_Mes!$L$2:$L$433,Desconto_Cliente_Mes!$A$2:$A$433,F$29,Desconto_Cliente_Mes!$B$2:$B$433,$A29,Desconto_Cliente_Mes!$C$2:$C$433,"Umidade"))-(SUMIFS(Desconto_Cliente_Mes!$N$2:$N$433,Desconto_Cliente_Mes!$A$2:$A$433,F$29,Desconto_Cliente_Mes!$B$2:$B$433,$A29,Desconto_Cliente_Mes!$C$2:$C$433,"Umidade")))</f>
        <v>0</v>
      </c>
      <c r="G32" s="15" t="n">
        <f aca="false">MAX(0,(SUMIFS(Desconto_Cliente_Mes!$L$2:$L$433,Desconto_Cliente_Mes!$A$2:$A$433,G$29,Desconto_Cliente_Mes!$B$2:$B$433,$A29,Desconto_Cliente_Mes!$C$2:$C$433,"Umidade"))-(SUMIFS(Desconto_Cliente_Mes!$N$2:$N$433,Desconto_Cliente_Mes!$A$2:$A$433,G$29,Desconto_Cliente_Mes!$B$2:$B$433,$A29,Desconto_Cliente_Mes!$C$2:$C$433,"Umidade")))</f>
        <v>0</v>
      </c>
      <c r="H32" s="15" t="n">
        <f aca="false">MAX(0,(SUMIFS(Desconto_Cliente_Mes!$L$2:$L$433,Desconto_Cliente_Mes!$A$2:$A$433,H$29,Desconto_Cliente_Mes!$B$2:$B$433,$A29,Desconto_Cliente_Mes!$C$2:$C$433,"Umidade"))-(SUMIFS(Desconto_Cliente_Mes!$N$2:$N$433,Desconto_Cliente_Mes!$A$2:$A$433,H$29,Desconto_Cliente_Mes!$B$2:$B$433,$A29,Desconto_Cliente_Mes!$C$2:$C$433,"Umidade")))</f>
        <v>0</v>
      </c>
      <c r="I32" s="15" t="n">
        <f aca="false">MAX(0,(SUMIFS(Desconto_Cliente_Mes!$L$2:$L$433,Desconto_Cliente_Mes!$A$2:$A$433,I$29,Desconto_Cliente_Mes!$B$2:$B$433,$A29,Desconto_Cliente_Mes!$C$2:$C$433,"Umidade"))-(SUMIFS(Desconto_Cliente_Mes!$N$2:$N$433,Desconto_Cliente_Mes!$A$2:$A$433,I$29,Desconto_Cliente_Mes!$B$2:$B$433,$A29,Desconto_Cliente_Mes!$C$2:$C$433,"Umidade")))</f>
        <v>0</v>
      </c>
      <c r="J32" s="15" t="n">
        <f aca="false">MAX(0,(SUMIFS(Desconto_Cliente_Mes!$L$2:$L$433,Desconto_Cliente_Mes!$A$2:$A$433,J$29,Desconto_Cliente_Mes!$B$2:$B$433,$A29,Desconto_Cliente_Mes!$C$2:$C$433,"Umidade"))-(SUMIFS(Desconto_Cliente_Mes!$N$2:$N$433,Desconto_Cliente_Mes!$A$2:$A$433,J$29,Desconto_Cliente_Mes!$B$2:$B$433,$A29,Desconto_Cliente_Mes!$C$2:$C$433,"Umidade")))</f>
        <v>0</v>
      </c>
      <c r="K32" s="15" t="n">
        <f aca="false">MAX(0,(SUMIFS(Desconto_Cliente_Mes!$L$2:$L$433,Desconto_Cliente_Mes!$A$2:$A$433,K$29,Desconto_Cliente_Mes!$B$2:$B$433,$A29,Desconto_Cliente_Mes!$C$2:$C$433,"Umidade"))-(SUMIFS(Desconto_Cliente_Mes!$N$2:$N$433,Desconto_Cliente_Mes!$A$2:$A$433,K$29,Desconto_Cliente_Mes!$B$2:$B$433,$A29,Desconto_Cliente_Mes!$C$2:$C$433,"Umidade")))</f>
        <v>0</v>
      </c>
      <c r="L32" s="15" t="n">
        <f aca="false">MAX(0,(SUMIFS(Desconto_Cliente_Mes!$L$2:$L$433,Desconto_Cliente_Mes!$A$2:$A$433,L$29,Desconto_Cliente_Mes!$B$2:$B$433,$A29,Desconto_Cliente_Mes!$C$2:$C$433,"Umidade"))-(SUMIFS(Desconto_Cliente_Mes!$N$2:$N$433,Desconto_Cliente_Mes!$A$2:$A$433,L$29,Desconto_Cliente_Mes!$B$2:$B$433,$A29,Desconto_Cliente_Mes!$C$2:$C$433,"Umidade")))</f>
        <v>0</v>
      </c>
      <c r="M32" s="15" t="n">
        <f aca="false">MAX(0,(SUMIFS(Desconto_Cliente_Mes!$L$2:$L$433,Desconto_Cliente_Mes!$A$2:$A$433,M$29,Desconto_Cliente_Mes!$B$2:$B$433,$A29,Desconto_Cliente_Mes!$C$2:$C$433,"Umidade"))-(SUMIFS(Desconto_Cliente_Mes!$N$2:$N$433,Desconto_Cliente_Mes!$A$2:$A$433,M$29,Desconto_Cliente_Mes!$B$2:$B$433,$A29,Desconto_Cliente_Mes!$C$2:$C$433,"Umidade")))</f>
        <v>0</v>
      </c>
    </row>
    <row r="33" customFormat="false" ht="15" hidden="false" customHeight="false" outlineLevel="0" collapsed="false">
      <c r="A33" s="13" t="s">
        <v>77</v>
      </c>
      <c r="B33" s="15" t="n">
        <f aca="false">MAX(0,(SUMIFS(Desconto_Cliente_Mes!$N$2:$N$433,Desconto_Cliente_Mes!$A$2:$A$433,B$29,Desconto_Cliente_Mes!$B$2:$B$433,$A29,Desconto_Cliente_Mes!$C$2:$C$433,"Umidade"))-(SUMIFS(Desconto_Cliente_Mes!$P$2:$P$433,Desconto_Cliente_Mes!$A$2:$A$433,B$29,Desconto_Cliente_Mes!$B$2:$B$433,$A29,Desconto_Cliente_Mes!$C$2:$C$433,"Umidade")))</f>
        <v>0</v>
      </c>
      <c r="C33" s="15" t="n">
        <f aca="false">MAX(0,(SUMIFS(Desconto_Cliente_Mes!$N$2:$N$433,Desconto_Cliente_Mes!$A$2:$A$433,C$29,Desconto_Cliente_Mes!$B$2:$B$433,$A29,Desconto_Cliente_Mes!$C$2:$C$433,"Umidade"))-(SUMIFS(Desconto_Cliente_Mes!$P$2:$P$433,Desconto_Cliente_Mes!$A$2:$A$433,C$29,Desconto_Cliente_Mes!$B$2:$B$433,$A29,Desconto_Cliente_Mes!$C$2:$C$433,"Umidade")))</f>
        <v>0</v>
      </c>
      <c r="D33" s="15" t="n">
        <f aca="false">MAX(0,(SUMIFS(Desconto_Cliente_Mes!$N$2:$N$433,Desconto_Cliente_Mes!$A$2:$A$433,D$29,Desconto_Cliente_Mes!$B$2:$B$433,$A29,Desconto_Cliente_Mes!$C$2:$C$433,"Umidade"))-(SUMIFS(Desconto_Cliente_Mes!$P$2:$P$433,Desconto_Cliente_Mes!$A$2:$A$433,D$29,Desconto_Cliente_Mes!$B$2:$B$433,$A29,Desconto_Cliente_Mes!$C$2:$C$433,"Umidade")))</f>
        <v>0</v>
      </c>
      <c r="E33" s="15" t="n">
        <f aca="false">MAX(0,(SUMIFS(Desconto_Cliente_Mes!$N$2:$N$433,Desconto_Cliente_Mes!$A$2:$A$433,E$29,Desconto_Cliente_Mes!$B$2:$B$433,$A29,Desconto_Cliente_Mes!$C$2:$C$433,"Umidade"))-(SUMIFS(Desconto_Cliente_Mes!$P$2:$P$433,Desconto_Cliente_Mes!$A$2:$A$433,E$29,Desconto_Cliente_Mes!$B$2:$B$433,$A29,Desconto_Cliente_Mes!$C$2:$C$433,"Umidade")))</f>
        <v>0</v>
      </c>
      <c r="F33" s="15" t="n">
        <f aca="false">MAX(0,(SUMIFS(Desconto_Cliente_Mes!$N$2:$N$433,Desconto_Cliente_Mes!$A$2:$A$433,F$29,Desconto_Cliente_Mes!$B$2:$B$433,$A29,Desconto_Cliente_Mes!$C$2:$C$433,"Umidade"))-(SUMIFS(Desconto_Cliente_Mes!$P$2:$P$433,Desconto_Cliente_Mes!$A$2:$A$433,F$29,Desconto_Cliente_Mes!$B$2:$B$433,$A29,Desconto_Cliente_Mes!$C$2:$C$433,"Umidade")))</f>
        <v>0</v>
      </c>
      <c r="G33" s="15" t="n">
        <f aca="false">MAX(0,(SUMIFS(Desconto_Cliente_Mes!$N$2:$N$433,Desconto_Cliente_Mes!$A$2:$A$433,G$29,Desconto_Cliente_Mes!$B$2:$B$433,$A29,Desconto_Cliente_Mes!$C$2:$C$433,"Umidade"))-(SUMIFS(Desconto_Cliente_Mes!$P$2:$P$433,Desconto_Cliente_Mes!$A$2:$A$433,G$29,Desconto_Cliente_Mes!$B$2:$B$433,$A29,Desconto_Cliente_Mes!$C$2:$C$433,"Umidade")))</f>
        <v>0</v>
      </c>
      <c r="H33" s="15" t="n">
        <f aca="false">MAX(0,(SUMIFS(Desconto_Cliente_Mes!$N$2:$N$433,Desconto_Cliente_Mes!$A$2:$A$433,H$29,Desconto_Cliente_Mes!$B$2:$B$433,$A29,Desconto_Cliente_Mes!$C$2:$C$433,"Umidade"))-(SUMIFS(Desconto_Cliente_Mes!$P$2:$P$433,Desconto_Cliente_Mes!$A$2:$A$433,H$29,Desconto_Cliente_Mes!$B$2:$B$433,$A29,Desconto_Cliente_Mes!$C$2:$C$433,"Umidade")))</f>
        <v>0</v>
      </c>
      <c r="I33" s="15" t="n">
        <f aca="false">MAX(0,(SUMIFS(Desconto_Cliente_Mes!$N$2:$N$433,Desconto_Cliente_Mes!$A$2:$A$433,I$29,Desconto_Cliente_Mes!$B$2:$B$433,$A29,Desconto_Cliente_Mes!$C$2:$C$433,"Umidade"))-(SUMIFS(Desconto_Cliente_Mes!$P$2:$P$433,Desconto_Cliente_Mes!$A$2:$A$433,I$29,Desconto_Cliente_Mes!$B$2:$B$433,$A29,Desconto_Cliente_Mes!$C$2:$C$433,"Umidade")))</f>
        <v>0</v>
      </c>
      <c r="J33" s="15" t="n">
        <f aca="false">MAX(0,(SUMIFS(Desconto_Cliente_Mes!$N$2:$N$433,Desconto_Cliente_Mes!$A$2:$A$433,J$29,Desconto_Cliente_Mes!$B$2:$B$433,$A29,Desconto_Cliente_Mes!$C$2:$C$433,"Umidade"))-(SUMIFS(Desconto_Cliente_Mes!$P$2:$P$433,Desconto_Cliente_Mes!$A$2:$A$433,J$29,Desconto_Cliente_Mes!$B$2:$B$433,$A29,Desconto_Cliente_Mes!$C$2:$C$433,"Umidade")))</f>
        <v>0</v>
      </c>
      <c r="K33" s="15" t="n">
        <f aca="false">MAX(0,(SUMIFS(Desconto_Cliente_Mes!$N$2:$N$433,Desconto_Cliente_Mes!$A$2:$A$433,K$29,Desconto_Cliente_Mes!$B$2:$B$433,$A29,Desconto_Cliente_Mes!$C$2:$C$433,"Umidade"))-(SUMIFS(Desconto_Cliente_Mes!$P$2:$P$433,Desconto_Cliente_Mes!$A$2:$A$433,K$29,Desconto_Cliente_Mes!$B$2:$B$433,$A29,Desconto_Cliente_Mes!$C$2:$C$433,"Umidade")))</f>
        <v>0</v>
      </c>
      <c r="L33" s="15" t="n">
        <f aca="false">MAX(0,(SUMIFS(Desconto_Cliente_Mes!$N$2:$N$433,Desconto_Cliente_Mes!$A$2:$A$433,L$29,Desconto_Cliente_Mes!$B$2:$B$433,$A29,Desconto_Cliente_Mes!$C$2:$C$433,"Umidade"))-(SUMIFS(Desconto_Cliente_Mes!$P$2:$P$433,Desconto_Cliente_Mes!$A$2:$A$433,L$29,Desconto_Cliente_Mes!$B$2:$B$433,$A29,Desconto_Cliente_Mes!$C$2:$C$433,"Umidade")))</f>
        <v>0</v>
      </c>
      <c r="M33" s="15" t="n">
        <f aca="false">MAX(0,(SUMIFS(Desconto_Cliente_Mes!$N$2:$N$433,Desconto_Cliente_Mes!$A$2:$A$433,M$29,Desconto_Cliente_Mes!$B$2:$B$433,$A29,Desconto_Cliente_Mes!$C$2:$C$433,"Umidade"))-(SUMIFS(Desconto_Cliente_Mes!$P$2:$P$433,Desconto_Cliente_Mes!$A$2:$A$433,M$29,Desconto_Cliente_Mes!$B$2:$B$433,$A29,Desconto_Cliente_Mes!$C$2:$C$433,"Umidade")))</f>
        <v>0</v>
      </c>
    </row>
    <row r="34" customFormat="false" ht="15" hidden="false" customHeight="false" outlineLevel="0" collapsed="false">
      <c r="A34" s="13" t="s">
        <v>78</v>
      </c>
      <c r="B34" s="15" t="n">
        <f aca="false">MAX(0,SUMIFS(Desconto_Cliente_Mes!$P$2:$P$433,Desconto_Cliente_Mes!$A$2:$A$433,B$29,Desconto_Cliente_Mes!$B$2:$B$433,$A29,Desconto_Cliente_Mes!$C$2:$C$433,"Umidade"))</f>
        <v>0</v>
      </c>
      <c r="C34" s="15" t="n">
        <f aca="false">MAX(0,SUMIFS(Desconto_Cliente_Mes!$P$2:$P$433,Desconto_Cliente_Mes!$A$2:$A$433,C$29,Desconto_Cliente_Mes!$B$2:$B$433,$A29,Desconto_Cliente_Mes!$C$2:$C$433,"Umidade"))</f>
        <v>0</v>
      </c>
      <c r="D34" s="15" t="n">
        <f aca="false">MAX(0,SUMIFS(Desconto_Cliente_Mes!$P$2:$P$433,Desconto_Cliente_Mes!$A$2:$A$433,D$29,Desconto_Cliente_Mes!$B$2:$B$433,$A29,Desconto_Cliente_Mes!$C$2:$C$433,"Umidade"))</f>
        <v>0</v>
      </c>
      <c r="E34" s="15" t="n">
        <f aca="false">MAX(0,SUMIFS(Desconto_Cliente_Mes!$P$2:$P$433,Desconto_Cliente_Mes!$A$2:$A$433,E$29,Desconto_Cliente_Mes!$B$2:$B$433,$A29,Desconto_Cliente_Mes!$C$2:$C$433,"Umidade"))</f>
        <v>0</v>
      </c>
      <c r="F34" s="15" t="n">
        <f aca="false">MAX(0,SUMIFS(Desconto_Cliente_Mes!$P$2:$P$433,Desconto_Cliente_Mes!$A$2:$A$433,F$29,Desconto_Cliente_Mes!$B$2:$B$433,$A29,Desconto_Cliente_Mes!$C$2:$C$433,"Umidade"))</f>
        <v>0</v>
      </c>
      <c r="G34" s="15" t="n">
        <f aca="false">MAX(0,SUMIFS(Desconto_Cliente_Mes!$P$2:$P$433,Desconto_Cliente_Mes!$A$2:$A$433,G$29,Desconto_Cliente_Mes!$B$2:$B$433,$A29,Desconto_Cliente_Mes!$C$2:$C$433,"Umidade"))</f>
        <v>0</v>
      </c>
      <c r="H34" s="15" t="n">
        <f aca="false">MAX(0,SUMIFS(Desconto_Cliente_Mes!$P$2:$P$433,Desconto_Cliente_Mes!$A$2:$A$433,H$29,Desconto_Cliente_Mes!$B$2:$B$433,$A29,Desconto_Cliente_Mes!$C$2:$C$433,"Umidade"))</f>
        <v>0</v>
      </c>
      <c r="I34" s="15" t="n">
        <f aca="false">MAX(0,SUMIFS(Desconto_Cliente_Mes!$P$2:$P$433,Desconto_Cliente_Mes!$A$2:$A$433,I$29,Desconto_Cliente_Mes!$B$2:$B$433,$A29,Desconto_Cliente_Mes!$C$2:$C$433,"Umidade"))</f>
        <v>0</v>
      </c>
      <c r="J34" s="15" t="n">
        <f aca="false">MAX(0,SUMIFS(Desconto_Cliente_Mes!$P$2:$P$433,Desconto_Cliente_Mes!$A$2:$A$433,J$29,Desconto_Cliente_Mes!$B$2:$B$433,$A29,Desconto_Cliente_Mes!$C$2:$C$433,"Umidade"))</f>
        <v>0</v>
      </c>
      <c r="K34" s="15" t="n">
        <f aca="false">MAX(0,SUMIFS(Desconto_Cliente_Mes!$P$2:$P$433,Desconto_Cliente_Mes!$A$2:$A$433,K$29,Desconto_Cliente_Mes!$B$2:$B$433,$A29,Desconto_Cliente_Mes!$C$2:$C$433,"Umidade"))</f>
        <v>0</v>
      </c>
      <c r="L34" s="15" t="n">
        <f aca="false">MAX(0,SUMIFS(Desconto_Cliente_Mes!$P$2:$P$433,Desconto_Cliente_Mes!$A$2:$A$433,L$29,Desconto_Cliente_Mes!$B$2:$B$433,$A29,Desconto_Cliente_Mes!$C$2:$C$433,"Umidade"))</f>
        <v>0</v>
      </c>
      <c r="M34" s="15" t="n">
        <f aca="false">MAX(0,SUMIFS(Desconto_Cliente_Mes!$P$2:$P$433,Desconto_Cliente_Mes!$A$2:$A$433,M$29,Desconto_Cliente_Mes!$B$2:$B$433,$A29,Desconto_Cliente_Mes!$C$2:$C$433,"Umidade"))</f>
        <v>0</v>
      </c>
    </row>
    <row r="35" customFormat="false" ht="15" hidden="false" customHeight="false" outlineLevel="0" collapsed="false">
      <c r="A35" s="13" t="s">
        <v>79</v>
      </c>
      <c r="B35" s="16" t="n">
        <f aca="false">$B$31*($B$32/100)*(SUMIFS(Desconto_Cliente_Mes!$Q$2:$Q$433,Desconto_Cliente_Mes!$A$2:$A$433,B$29,Desconto_Cliente_Mes!$B$2:$B$433,$A29,Desconto_Cliente_Mes!$C$2:$C$433,"Umidade"))*(SUMIFS(Desconto_Cliente_Mes!$T$2:$T$433,Desconto_Cliente_Mes!$A$2:$A$433,B$29,Desconto_Cliente_Mes!$B$2:$B$433,$A29,Desconto_Cliente_Mes!$C$2:$C$433,"Umidade"))</f>
        <v>0</v>
      </c>
      <c r="C35" s="16" t="n">
        <f aca="false">$C$31*($C$32/100)*(SUMIFS(Desconto_Cliente_Mes!$Q$2:$Q$433,Desconto_Cliente_Mes!$A$2:$A$433,C$29,Desconto_Cliente_Mes!$B$2:$B$433,$A29,Desconto_Cliente_Mes!$C$2:$C$433,"Umidade"))*(SUMIFS(Desconto_Cliente_Mes!$T$2:$T$433,Desconto_Cliente_Mes!$A$2:$A$433,C$29,Desconto_Cliente_Mes!$B$2:$B$433,$A29,Desconto_Cliente_Mes!$C$2:$C$433,"Umidade"))</f>
        <v>0</v>
      </c>
      <c r="D35" s="16" t="n">
        <f aca="false">$D$31*($D$32/100)*(SUMIFS(Desconto_Cliente_Mes!$Q$2:$Q$433,Desconto_Cliente_Mes!$A$2:$A$433,D$29,Desconto_Cliente_Mes!$B$2:$B$433,$A29,Desconto_Cliente_Mes!$C$2:$C$433,"Umidade"))*(SUMIFS(Desconto_Cliente_Mes!$T$2:$T$433,Desconto_Cliente_Mes!$A$2:$A$433,D$29,Desconto_Cliente_Mes!$B$2:$B$433,$A29,Desconto_Cliente_Mes!$C$2:$C$433,"Umidade"))</f>
        <v>0</v>
      </c>
      <c r="E35" s="16" t="n">
        <f aca="false">$E$31*($E$32/100)*(SUMIFS(Desconto_Cliente_Mes!$Q$2:$Q$433,Desconto_Cliente_Mes!$A$2:$A$433,E$29,Desconto_Cliente_Mes!$B$2:$B$433,$A29,Desconto_Cliente_Mes!$C$2:$C$433,"Umidade"))*(SUMIFS(Desconto_Cliente_Mes!$T$2:$T$433,Desconto_Cliente_Mes!$A$2:$A$433,E$29,Desconto_Cliente_Mes!$B$2:$B$433,$A29,Desconto_Cliente_Mes!$C$2:$C$433,"Umidade"))</f>
        <v>0</v>
      </c>
      <c r="F35" s="16" t="n">
        <f aca="false">$F$31*($F$32/100)*(SUMIFS(Desconto_Cliente_Mes!$Q$2:$Q$433,Desconto_Cliente_Mes!$A$2:$A$433,F$29,Desconto_Cliente_Mes!$B$2:$B$433,$A29,Desconto_Cliente_Mes!$C$2:$C$433,"Umidade"))*(SUMIFS(Desconto_Cliente_Mes!$T$2:$T$433,Desconto_Cliente_Mes!$A$2:$A$433,F$29,Desconto_Cliente_Mes!$B$2:$B$433,$A29,Desconto_Cliente_Mes!$C$2:$C$433,"Umidade"))</f>
        <v>0</v>
      </c>
      <c r="G35" s="16" t="n">
        <f aca="false">$G$31*($G$32/100)*(SUMIFS(Desconto_Cliente_Mes!$Q$2:$Q$433,Desconto_Cliente_Mes!$A$2:$A$433,G$29,Desconto_Cliente_Mes!$B$2:$B$433,$A29,Desconto_Cliente_Mes!$C$2:$C$433,"Umidade"))*(SUMIFS(Desconto_Cliente_Mes!$T$2:$T$433,Desconto_Cliente_Mes!$A$2:$A$433,G$29,Desconto_Cliente_Mes!$B$2:$B$433,$A29,Desconto_Cliente_Mes!$C$2:$C$433,"Umidade"))</f>
        <v>0</v>
      </c>
      <c r="H35" s="16" t="n">
        <f aca="false">$H$31*($H$32/100)*(SUMIFS(Desconto_Cliente_Mes!$Q$2:$Q$433,Desconto_Cliente_Mes!$A$2:$A$433,H$29,Desconto_Cliente_Mes!$B$2:$B$433,$A29,Desconto_Cliente_Mes!$C$2:$C$433,"Umidade"))*(SUMIFS(Desconto_Cliente_Mes!$T$2:$T$433,Desconto_Cliente_Mes!$A$2:$A$433,H$29,Desconto_Cliente_Mes!$B$2:$B$433,$A29,Desconto_Cliente_Mes!$C$2:$C$433,"Umidade"))</f>
        <v>0</v>
      </c>
      <c r="I35" s="16" t="n">
        <f aca="false">$I$31*($I$32/100)*(SUMIFS(Desconto_Cliente_Mes!$Q$2:$Q$433,Desconto_Cliente_Mes!$A$2:$A$433,I$29,Desconto_Cliente_Mes!$B$2:$B$433,$A29,Desconto_Cliente_Mes!$C$2:$C$433,"Umidade"))*(SUMIFS(Desconto_Cliente_Mes!$T$2:$T$433,Desconto_Cliente_Mes!$A$2:$A$433,I$29,Desconto_Cliente_Mes!$B$2:$B$433,$A29,Desconto_Cliente_Mes!$C$2:$C$433,"Umidade"))</f>
        <v>0</v>
      </c>
      <c r="J35" s="16" t="n">
        <f aca="false">$J$31*($J$32/100)*(SUMIFS(Desconto_Cliente_Mes!$Q$2:$Q$433,Desconto_Cliente_Mes!$A$2:$A$433,J$29,Desconto_Cliente_Mes!$B$2:$B$433,$A29,Desconto_Cliente_Mes!$C$2:$C$433,"Umidade"))*(SUMIFS(Desconto_Cliente_Mes!$T$2:$T$433,Desconto_Cliente_Mes!$A$2:$A$433,J$29,Desconto_Cliente_Mes!$B$2:$B$433,$A29,Desconto_Cliente_Mes!$C$2:$C$433,"Umidade"))</f>
        <v>0</v>
      </c>
      <c r="K35" s="16" t="n">
        <f aca="false">$K$31*($K$32/100)*(SUMIFS(Desconto_Cliente_Mes!$Q$2:$Q$433,Desconto_Cliente_Mes!$A$2:$A$433,K$29,Desconto_Cliente_Mes!$B$2:$B$433,$A29,Desconto_Cliente_Mes!$C$2:$C$433,"Umidade"))*(SUMIFS(Desconto_Cliente_Mes!$T$2:$T$433,Desconto_Cliente_Mes!$A$2:$A$433,K$29,Desconto_Cliente_Mes!$B$2:$B$433,$A29,Desconto_Cliente_Mes!$C$2:$C$433,"Umidade"))</f>
        <v>0</v>
      </c>
      <c r="L35" s="16" t="n">
        <f aca="false">$L$31*($L$32/100)*(SUMIFS(Desconto_Cliente_Mes!$Q$2:$Q$433,Desconto_Cliente_Mes!$A$2:$A$433,L$29,Desconto_Cliente_Mes!$B$2:$B$433,$A29,Desconto_Cliente_Mes!$C$2:$C$433,"Umidade"))*(SUMIFS(Desconto_Cliente_Mes!$T$2:$T$433,Desconto_Cliente_Mes!$A$2:$A$433,L$29,Desconto_Cliente_Mes!$B$2:$B$433,$A29,Desconto_Cliente_Mes!$C$2:$C$433,"Umidade"))</f>
        <v>0</v>
      </c>
      <c r="M35" s="16" t="n">
        <f aca="false">$M$31*($M$32/100)*(SUMIFS(Desconto_Cliente_Mes!$Q$2:$Q$433,Desconto_Cliente_Mes!$A$2:$A$433,M$29,Desconto_Cliente_Mes!$B$2:$B$433,$A29,Desconto_Cliente_Mes!$C$2:$C$433,"Umidade"))*(SUMIFS(Desconto_Cliente_Mes!$T$2:$T$433,Desconto_Cliente_Mes!$A$2:$A$433,M$29,Desconto_Cliente_Mes!$B$2:$B$433,$A29,Desconto_Cliente_Mes!$C$2:$C$433,"Umidade"))</f>
        <v>0</v>
      </c>
      <c r="N35" s="17" t="n">
        <f aca="false">SUM(B35:M35)</f>
        <v>0</v>
      </c>
    </row>
    <row r="36" customFormat="false" ht="15" hidden="false" customHeight="false" outlineLevel="0" collapsed="false">
      <c r="A36" s="13" t="s">
        <v>80</v>
      </c>
      <c r="B36" s="16" t="n">
        <f aca="false">$B$31*($B$33/100)*((IF(SUMIFS(Desconto_Cliente_Mes!$R$2:$R$433,Desconto_Cliente_Mes!$A$2:$A$433,B$29,Desconto_Cliente_Mes!$B$2:$B$433,$A29,Desconto_Cliente_Mes!$C$2:$C$433,"Umidade")="",SUMIFS(Desconto_Cliente_Mes!$Q$2:$Q$433,Desconto_Cliente_Mes!$A$2:$A$433,B$29,Desconto_Cliente_Mes!$B$2:$B$433,$A29,Desconto_Cliente_Mes!$C$2:$C$433,"Umidade"),SUMIFS(Desconto_Cliente_Mes!$R$2:$R$433,Desconto_Cliente_Mes!$A$2:$A$433,B$29,Desconto_Cliente_Mes!$B$2:$B$433,$A29,Desconto_Cliente_Mes!$C$2:$C$433,"Umidade")))-(SUMIFS(Desconto_Cliente_Mes!$Q$2:$Q$433,Desconto_Cliente_Mes!$A$2:$A$433,B$29,Desconto_Cliente_Mes!$B$2:$B$433,$A29,Desconto_Cliente_Mes!$C$2:$C$433,"Umidade")))*(SUMIFS(Desconto_Cliente_Mes!$T$2:$T$433,Desconto_Cliente_Mes!$A$2:$A$433,B$29,Desconto_Cliente_Mes!$B$2:$B$433,$A29,Desconto_Cliente_Mes!$C$2:$C$433,"Umidade"))</f>
        <v>-0</v>
      </c>
      <c r="C36" s="16" t="n">
        <f aca="false">$C$31*($C$33/100)*((IF(SUMIFS(Desconto_Cliente_Mes!$R$2:$R$433,Desconto_Cliente_Mes!$A$2:$A$433,C$29,Desconto_Cliente_Mes!$B$2:$B$433,$A29,Desconto_Cliente_Mes!$C$2:$C$433,"Umidade")="",SUMIFS(Desconto_Cliente_Mes!$Q$2:$Q$433,Desconto_Cliente_Mes!$A$2:$A$433,C$29,Desconto_Cliente_Mes!$B$2:$B$433,$A29,Desconto_Cliente_Mes!$C$2:$C$433,"Umidade"),SUMIFS(Desconto_Cliente_Mes!$R$2:$R$433,Desconto_Cliente_Mes!$A$2:$A$433,C$29,Desconto_Cliente_Mes!$B$2:$B$433,$A29,Desconto_Cliente_Mes!$C$2:$C$433,"Umidade")))-(SUMIFS(Desconto_Cliente_Mes!$Q$2:$Q$433,Desconto_Cliente_Mes!$A$2:$A$433,C$29,Desconto_Cliente_Mes!$B$2:$B$433,$A29,Desconto_Cliente_Mes!$C$2:$C$433,"Umidade")))*(SUMIFS(Desconto_Cliente_Mes!$T$2:$T$433,Desconto_Cliente_Mes!$A$2:$A$433,C$29,Desconto_Cliente_Mes!$B$2:$B$433,$A29,Desconto_Cliente_Mes!$C$2:$C$433,"Umidade"))</f>
        <v>-0</v>
      </c>
      <c r="D36" s="16" t="n">
        <f aca="false">$D$31*($D$33/100)*((IF(SUMIFS(Desconto_Cliente_Mes!$R$2:$R$433,Desconto_Cliente_Mes!$A$2:$A$433,D$29,Desconto_Cliente_Mes!$B$2:$B$433,$A29,Desconto_Cliente_Mes!$C$2:$C$433,"Umidade")="",SUMIFS(Desconto_Cliente_Mes!$Q$2:$Q$433,Desconto_Cliente_Mes!$A$2:$A$433,D$29,Desconto_Cliente_Mes!$B$2:$B$433,$A29,Desconto_Cliente_Mes!$C$2:$C$433,"Umidade"),SUMIFS(Desconto_Cliente_Mes!$R$2:$R$433,Desconto_Cliente_Mes!$A$2:$A$433,D$29,Desconto_Cliente_Mes!$B$2:$B$433,$A29,Desconto_Cliente_Mes!$C$2:$C$433,"Umidade")))-(SUMIFS(Desconto_Cliente_Mes!$Q$2:$Q$433,Desconto_Cliente_Mes!$A$2:$A$433,D$29,Desconto_Cliente_Mes!$B$2:$B$433,$A29,Desconto_Cliente_Mes!$C$2:$C$433,"Umidade")))*(SUMIFS(Desconto_Cliente_Mes!$T$2:$T$433,Desconto_Cliente_Mes!$A$2:$A$433,D$29,Desconto_Cliente_Mes!$B$2:$B$433,$A29,Desconto_Cliente_Mes!$C$2:$C$433,"Umidade"))</f>
        <v>-0</v>
      </c>
      <c r="E36" s="16" t="n">
        <f aca="false">$E$31*($E$33/100)*((IF(SUMIFS(Desconto_Cliente_Mes!$R$2:$R$433,Desconto_Cliente_Mes!$A$2:$A$433,E$29,Desconto_Cliente_Mes!$B$2:$B$433,$A29,Desconto_Cliente_Mes!$C$2:$C$433,"Umidade")="",SUMIFS(Desconto_Cliente_Mes!$Q$2:$Q$433,Desconto_Cliente_Mes!$A$2:$A$433,E$29,Desconto_Cliente_Mes!$B$2:$B$433,$A29,Desconto_Cliente_Mes!$C$2:$C$433,"Umidade"),SUMIFS(Desconto_Cliente_Mes!$R$2:$R$433,Desconto_Cliente_Mes!$A$2:$A$433,E$29,Desconto_Cliente_Mes!$B$2:$B$433,$A29,Desconto_Cliente_Mes!$C$2:$C$433,"Umidade")))-(SUMIFS(Desconto_Cliente_Mes!$Q$2:$Q$433,Desconto_Cliente_Mes!$A$2:$A$433,E$29,Desconto_Cliente_Mes!$B$2:$B$433,$A29,Desconto_Cliente_Mes!$C$2:$C$433,"Umidade")))*(SUMIFS(Desconto_Cliente_Mes!$T$2:$T$433,Desconto_Cliente_Mes!$A$2:$A$433,E$29,Desconto_Cliente_Mes!$B$2:$B$433,$A29,Desconto_Cliente_Mes!$C$2:$C$433,"Umidade"))</f>
        <v>-0</v>
      </c>
      <c r="F36" s="16" t="n">
        <f aca="false">$F$31*($F$33/100)*((IF(SUMIFS(Desconto_Cliente_Mes!$R$2:$R$433,Desconto_Cliente_Mes!$A$2:$A$433,F$29,Desconto_Cliente_Mes!$B$2:$B$433,$A29,Desconto_Cliente_Mes!$C$2:$C$433,"Umidade")="",SUMIFS(Desconto_Cliente_Mes!$Q$2:$Q$433,Desconto_Cliente_Mes!$A$2:$A$433,F$29,Desconto_Cliente_Mes!$B$2:$B$433,$A29,Desconto_Cliente_Mes!$C$2:$C$433,"Umidade"),SUMIFS(Desconto_Cliente_Mes!$R$2:$R$433,Desconto_Cliente_Mes!$A$2:$A$433,F$29,Desconto_Cliente_Mes!$B$2:$B$433,$A29,Desconto_Cliente_Mes!$C$2:$C$433,"Umidade")))-(SUMIFS(Desconto_Cliente_Mes!$Q$2:$Q$433,Desconto_Cliente_Mes!$A$2:$A$433,F$29,Desconto_Cliente_Mes!$B$2:$B$433,$A29,Desconto_Cliente_Mes!$C$2:$C$433,"Umidade")))*(SUMIFS(Desconto_Cliente_Mes!$T$2:$T$433,Desconto_Cliente_Mes!$A$2:$A$433,F$29,Desconto_Cliente_Mes!$B$2:$B$433,$A29,Desconto_Cliente_Mes!$C$2:$C$433,"Umidade"))</f>
        <v>-0</v>
      </c>
      <c r="G36" s="16" t="n">
        <f aca="false">$G$31*($G$33/100)*((IF(SUMIFS(Desconto_Cliente_Mes!$R$2:$R$433,Desconto_Cliente_Mes!$A$2:$A$433,G$29,Desconto_Cliente_Mes!$B$2:$B$433,$A29,Desconto_Cliente_Mes!$C$2:$C$433,"Umidade")="",SUMIFS(Desconto_Cliente_Mes!$Q$2:$Q$433,Desconto_Cliente_Mes!$A$2:$A$433,G$29,Desconto_Cliente_Mes!$B$2:$B$433,$A29,Desconto_Cliente_Mes!$C$2:$C$433,"Umidade"),SUMIFS(Desconto_Cliente_Mes!$R$2:$R$433,Desconto_Cliente_Mes!$A$2:$A$433,G$29,Desconto_Cliente_Mes!$B$2:$B$433,$A29,Desconto_Cliente_Mes!$C$2:$C$433,"Umidade")))-(SUMIFS(Desconto_Cliente_Mes!$Q$2:$Q$433,Desconto_Cliente_Mes!$A$2:$A$433,G$29,Desconto_Cliente_Mes!$B$2:$B$433,$A29,Desconto_Cliente_Mes!$C$2:$C$433,"Umidade")))*(SUMIFS(Desconto_Cliente_Mes!$T$2:$T$433,Desconto_Cliente_Mes!$A$2:$A$433,G$29,Desconto_Cliente_Mes!$B$2:$B$433,$A29,Desconto_Cliente_Mes!$C$2:$C$433,"Umidade"))</f>
        <v>-0</v>
      </c>
      <c r="H36" s="16" t="n">
        <f aca="false">$H$31*($H$33/100)*((IF(SUMIFS(Desconto_Cliente_Mes!$R$2:$R$433,Desconto_Cliente_Mes!$A$2:$A$433,H$29,Desconto_Cliente_Mes!$B$2:$B$433,$A29,Desconto_Cliente_Mes!$C$2:$C$433,"Umidade")="",SUMIFS(Desconto_Cliente_Mes!$Q$2:$Q$433,Desconto_Cliente_Mes!$A$2:$A$433,H$29,Desconto_Cliente_Mes!$B$2:$B$433,$A29,Desconto_Cliente_Mes!$C$2:$C$433,"Umidade"),SUMIFS(Desconto_Cliente_Mes!$R$2:$R$433,Desconto_Cliente_Mes!$A$2:$A$433,H$29,Desconto_Cliente_Mes!$B$2:$B$433,$A29,Desconto_Cliente_Mes!$C$2:$C$433,"Umidade")))-(SUMIFS(Desconto_Cliente_Mes!$Q$2:$Q$433,Desconto_Cliente_Mes!$A$2:$A$433,H$29,Desconto_Cliente_Mes!$B$2:$B$433,$A29,Desconto_Cliente_Mes!$C$2:$C$433,"Umidade")))*(SUMIFS(Desconto_Cliente_Mes!$T$2:$T$433,Desconto_Cliente_Mes!$A$2:$A$433,H$29,Desconto_Cliente_Mes!$B$2:$B$433,$A29,Desconto_Cliente_Mes!$C$2:$C$433,"Umidade"))</f>
        <v>-0</v>
      </c>
      <c r="I36" s="16" t="n">
        <f aca="false">$I$31*($I$33/100)*((IF(SUMIFS(Desconto_Cliente_Mes!$R$2:$R$433,Desconto_Cliente_Mes!$A$2:$A$433,I$29,Desconto_Cliente_Mes!$B$2:$B$433,$A29,Desconto_Cliente_Mes!$C$2:$C$433,"Umidade")="",SUMIFS(Desconto_Cliente_Mes!$Q$2:$Q$433,Desconto_Cliente_Mes!$A$2:$A$433,I$29,Desconto_Cliente_Mes!$B$2:$B$433,$A29,Desconto_Cliente_Mes!$C$2:$C$433,"Umidade"),SUMIFS(Desconto_Cliente_Mes!$R$2:$R$433,Desconto_Cliente_Mes!$A$2:$A$433,I$29,Desconto_Cliente_Mes!$B$2:$B$433,$A29,Desconto_Cliente_Mes!$C$2:$C$433,"Umidade")))-(SUMIFS(Desconto_Cliente_Mes!$Q$2:$Q$433,Desconto_Cliente_Mes!$A$2:$A$433,I$29,Desconto_Cliente_Mes!$B$2:$B$433,$A29,Desconto_Cliente_Mes!$C$2:$C$433,"Umidade")))*(SUMIFS(Desconto_Cliente_Mes!$T$2:$T$433,Desconto_Cliente_Mes!$A$2:$A$433,I$29,Desconto_Cliente_Mes!$B$2:$B$433,$A29,Desconto_Cliente_Mes!$C$2:$C$433,"Umidade"))</f>
        <v>-0</v>
      </c>
      <c r="J36" s="16" t="n">
        <f aca="false">$J$31*($J$33/100)*((IF(SUMIFS(Desconto_Cliente_Mes!$R$2:$R$433,Desconto_Cliente_Mes!$A$2:$A$433,J$29,Desconto_Cliente_Mes!$B$2:$B$433,$A29,Desconto_Cliente_Mes!$C$2:$C$433,"Umidade")="",SUMIFS(Desconto_Cliente_Mes!$Q$2:$Q$433,Desconto_Cliente_Mes!$A$2:$A$433,J$29,Desconto_Cliente_Mes!$B$2:$B$433,$A29,Desconto_Cliente_Mes!$C$2:$C$433,"Umidade"),SUMIFS(Desconto_Cliente_Mes!$R$2:$R$433,Desconto_Cliente_Mes!$A$2:$A$433,J$29,Desconto_Cliente_Mes!$B$2:$B$433,$A29,Desconto_Cliente_Mes!$C$2:$C$433,"Umidade")))-(SUMIFS(Desconto_Cliente_Mes!$Q$2:$Q$433,Desconto_Cliente_Mes!$A$2:$A$433,J$29,Desconto_Cliente_Mes!$B$2:$B$433,$A29,Desconto_Cliente_Mes!$C$2:$C$433,"Umidade")))*(SUMIFS(Desconto_Cliente_Mes!$T$2:$T$433,Desconto_Cliente_Mes!$A$2:$A$433,J$29,Desconto_Cliente_Mes!$B$2:$B$433,$A29,Desconto_Cliente_Mes!$C$2:$C$433,"Umidade"))</f>
        <v>-0</v>
      </c>
      <c r="K36" s="16" t="n">
        <f aca="false">$K$31*($K$33/100)*((IF(SUMIFS(Desconto_Cliente_Mes!$R$2:$R$433,Desconto_Cliente_Mes!$A$2:$A$433,K$29,Desconto_Cliente_Mes!$B$2:$B$433,$A29,Desconto_Cliente_Mes!$C$2:$C$433,"Umidade")="",SUMIFS(Desconto_Cliente_Mes!$Q$2:$Q$433,Desconto_Cliente_Mes!$A$2:$A$433,K$29,Desconto_Cliente_Mes!$B$2:$B$433,$A29,Desconto_Cliente_Mes!$C$2:$C$433,"Umidade"),SUMIFS(Desconto_Cliente_Mes!$R$2:$R$433,Desconto_Cliente_Mes!$A$2:$A$433,K$29,Desconto_Cliente_Mes!$B$2:$B$433,$A29,Desconto_Cliente_Mes!$C$2:$C$433,"Umidade")))-(SUMIFS(Desconto_Cliente_Mes!$Q$2:$Q$433,Desconto_Cliente_Mes!$A$2:$A$433,K$29,Desconto_Cliente_Mes!$B$2:$B$433,$A29,Desconto_Cliente_Mes!$C$2:$C$433,"Umidade")))*(SUMIFS(Desconto_Cliente_Mes!$T$2:$T$433,Desconto_Cliente_Mes!$A$2:$A$433,K$29,Desconto_Cliente_Mes!$B$2:$B$433,$A29,Desconto_Cliente_Mes!$C$2:$C$433,"Umidade"))</f>
        <v>-0</v>
      </c>
      <c r="L36" s="16" t="n">
        <f aca="false">$L$31*($L$33/100)*((IF(SUMIFS(Desconto_Cliente_Mes!$R$2:$R$433,Desconto_Cliente_Mes!$A$2:$A$433,L$29,Desconto_Cliente_Mes!$B$2:$B$433,$A29,Desconto_Cliente_Mes!$C$2:$C$433,"Umidade")="",SUMIFS(Desconto_Cliente_Mes!$Q$2:$Q$433,Desconto_Cliente_Mes!$A$2:$A$433,L$29,Desconto_Cliente_Mes!$B$2:$B$433,$A29,Desconto_Cliente_Mes!$C$2:$C$433,"Umidade"),SUMIFS(Desconto_Cliente_Mes!$R$2:$R$433,Desconto_Cliente_Mes!$A$2:$A$433,L$29,Desconto_Cliente_Mes!$B$2:$B$433,$A29,Desconto_Cliente_Mes!$C$2:$C$433,"Umidade")))-(SUMIFS(Desconto_Cliente_Mes!$Q$2:$Q$433,Desconto_Cliente_Mes!$A$2:$A$433,L$29,Desconto_Cliente_Mes!$B$2:$B$433,$A29,Desconto_Cliente_Mes!$C$2:$C$433,"Umidade")))*(SUMIFS(Desconto_Cliente_Mes!$T$2:$T$433,Desconto_Cliente_Mes!$A$2:$A$433,L$29,Desconto_Cliente_Mes!$B$2:$B$433,$A29,Desconto_Cliente_Mes!$C$2:$C$433,"Umidade"))</f>
        <v>-0</v>
      </c>
      <c r="M36" s="16" t="n">
        <f aca="false">$M$31*($M$33/100)*((IF(SUMIFS(Desconto_Cliente_Mes!$R$2:$R$433,Desconto_Cliente_Mes!$A$2:$A$433,M$29,Desconto_Cliente_Mes!$B$2:$B$433,$A29,Desconto_Cliente_Mes!$C$2:$C$433,"Umidade")="",SUMIFS(Desconto_Cliente_Mes!$Q$2:$Q$433,Desconto_Cliente_Mes!$A$2:$A$433,M$29,Desconto_Cliente_Mes!$B$2:$B$433,$A29,Desconto_Cliente_Mes!$C$2:$C$433,"Umidade"),SUMIFS(Desconto_Cliente_Mes!$R$2:$R$433,Desconto_Cliente_Mes!$A$2:$A$433,M$29,Desconto_Cliente_Mes!$B$2:$B$433,$A29,Desconto_Cliente_Mes!$C$2:$C$433,"Umidade")))-(SUMIFS(Desconto_Cliente_Mes!$Q$2:$Q$433,Desconto_Cliente_Mes!$A$2:$A$433,M$29,Desconto_Cliente_Mes!$B$2:$B$433,$A29,Desconto_Cliente_Mes!$C$2:$C$433,"Umidade")))*(SUMIFS(Desconto_Cliente_Mes!$T$2:$T$433,Desconto_Cliente_Mes!$A$2:$A$433,M$29,Desconto_Cliente_Mes!$B$2:$B$433,$A29,Desconto_Cliente_Mes!$C$2:$C$433,"Umidade"))</f>
        <v>-0</v>
      </c>
      <c r="N36" s="17" t="n">
        <f aca="false">SUM(B36:M36)</f>
        <v>0</v>
      </c>
    </row>
    <row r="37" customFormat="false" ht="15" hidden="false" customHeight="false" outlineLevel="0" collapsed="false">
      <c r="A37" s="13" t="s">
        <v>81</v>
      </c>
      <c r="B37" s="16" t="n">
        <f aca="false">$B$31*($B$34/100)*((IF(SUMIFS(Desconto_Cliente_Mes!$S$2:$S$433,Desconto_Cliente_Mes!$A$2:$A$433,B$29,Desconto_Cliente_Mes!$B$2:$B$433,$A29,Desconto_Cliente_Mes!$C$2:$C$433,"Umidade")="",(IF(SUMIFS(Desconto_Cliente_Mes!$R$2:$R$433,Desconto_Cliente_Mes!$A$2:$A$433,B$29,Desconto_Cliente_Mes!$B$2:$B$433,$A29,Desconto_Cliente_Mes!$C$2:$C$433,"Umidade")="",SUMIFS(Desconto_Cliente_Mes!$Q$2:$Q$433,Desconto_Cliente_Mes!$A$2:$A$433,B$29,Desconto_Cliente_Mes!$B$2:$B$433,$A29,Desconto_Cliente_Mes!$C$2:$C$433,"Umidade"),SUMIFS(Desconto_Cliente_Mes!$R$2:$R$433,Desconto_Cliente_Mes!$A$2:$A$433,B$29,Desconto_Cliente_Mes!$B$2:$B$433,$A29,Desconto_Cliente_Mes!$C$2:$C$433,"Umidade"))),SUMIFS(Desconto_Cliente_Mes!$S$2:$S$433,Desconto_Cliente_Mes!$A$2:$A$433,B$29,Desconto_Cliente_Mes!$B$2:$B$433,$A29,Desconto_Cliente_Mes!$C$2:$C$433,"Umidade")))-(IF(SUMIFS(Desconto_Cliente_Mes!$R$2:$R$433,Desconto_Cliente_Mes!$A$2:$A$433,B$29,Desconto_Cliente_Mes!$B$2:$B$433,$A29,Desconto_Cliente_Mes!$C$2:$C$433,"Umidade")="",SUMIFS(Desconto_Cliente_Mes!$Q$2:$Q$433,Desconto_Cliente_Mes!$A$2:$A$433,B$29,Desconto_Cliente_Mes!$B$2:$B$433,$A29,Desconto_Cliente_Mes!$C$2:$C$433,"Umidade"),SUMIFS(Desconto_Cliente_Mes!$R$2:$R$433,Desconto_Cliente_Mes!$A$2:$A$433,B$29,Desconto_Cliente_Mes!$B$2:$B$433,$A29,Desconto_Cliente_Mes!$C$2:$C$433,"Umidade"))))*(SUMIFS(Desconto_Cliente_Mes!$T$2:$T$433,Desconto_Cliente_Mes!$A$2:$A$433,B$29,Desconto_Cliente_Mes!$B$2:$B$433,$A29,Desconto_Cliente_Mes!$C$2:$C$433,"Umidade"))</f>
        <v>0</v>
      </c>
      <c r="C37" s="16" t="n">
        <f aca="false">$C$31*($C$34/100)*((IF(SUMIFS(Desconto_Cliente_Mes!$S$2:$S$433,Desconto_Cliente_Mes!$A$2:$A$433,C$29,Desconto_Cliente_Mes!$B$2:$B$433,$A29,Desconto_Cliente_Mes!$C$2:$C$433,"Umidade")="",(IF(SUMIFS(Desconto_Cliente_Mes!$R$2:$R$433,Desconto_Cliente_Mes!$A$2:$A$433,C$29,Desconto_Cliente_Mes!$B$2:$B$433,$A29,Desconto_Cliente_Mes!$C$2:$C$433,"Umidade")="",SUMIFS(Desconto_Cliente_Mes!$Q$2:$Q$433,Desconto_Cliente_Mes!$A$2:$A$433,C$29,Desconto_Cliente_Mes!$B$2:$B$433,$A29,Desconto_Cliente_Mes!$C$2:$C$433,"Umidade"),SUMIFS(Desconto_Cliente_Mes!$R$2:$R$433,Desconto_Cliente_Mes!$A$2:$A$433,C$29,Desconto_Cliente_Mes!$B$2:$B$433,$A29,Desconto_Cliente_Mes!$C$2:$C$433,"Umidade"))),SUMIFS(Desconto_Cliente_Mes!$S$2:$S$433,Desconto_Cliente_Mes!$A$2:$A$433,C$29,Desconto_Cliente_Mes!$B$2:$B$433,$A29,Desconto_Cliente_Mes!$C$2:$C$433,"Umidade")))-(IF(SUMIFS(Desconto_Cliente_Mes!$R$2:$R$433,Desconto_Cliente_Mes!$A$2:$A$433,C$29,Desconto_Cliente_Mes!$B$2:$B$433,$A29,Desconto_Cliente_Mes!$C$2:$C$433,"Umidade")="",SUMIFS(Desconto_Cliente_Mes!$Q$2:$Q$433,Desconto_Cliente_Mes!$A$2:$A$433,C$29,Desconto_Cliente_Mes!$B$2:$B$433,$A29,Desconto_Cliente_Mes!$C$2:$C$433,"Umidade"),SUMIFS(Desconto_Cliente_Mes!$R$2:$R$433,Desconto_Cliente_Mes!$A$2:$A$433,C$29,Desconto_Cliente_Mes!$B$2:$B$433,$A29,Desconto_Cliente_Mes!$C$2:$C$433,"Umidade"))))*(SUMIFS(Desconto_Cliente_Mes!$T$2:$T$433,Desconto_Cliente_Mes!$A$2:$A$433,C$29,Desconto_Cliente_Mes!$B$2:$B$433,$A29,Desconto_Cliente_Mes!$C$2:$C$433,"Umidade"))</f>
        <v>0</v>
      </c>
      <c r="D37" s="16" t="n">
        <f aca="false">$D$31*($D$34/100)*((IF(SUMIFS(Desconto_Cliente_Mes!$S$2:$S$433,Desconto_Cliente_Mes!$A$2:$A$433,D$29,Desconto_Cliente_Mes!$B$2:$B$433,$A29,Desconto_Cliente_Mes!$C$2:$C$433,"Umidade")="",(IF(SUMIFS(Desconto_Cliente_Mes!$R$2:$R$433,Desconto_Cliente_Mes!$A$2:$A$433,D$29,Desconto_Cliente_Mes!$B$2:$B$433,$A29,Desconto_Cliente_Mes!$C$2:$C$433,"Umidade")="",SUMIFS(Desconto_Cliente_Mes!$Q$2:$Q$433,Desconto_Cliente_Mes!$A$2:$A$433,D$29,Desconto_Cliente_Mes!$B$2:$B$433,$A29,Desconto_Cliente_Mes!$C$2:$C$433,"Umidade"),SUMIFS(Desconto_Cliente_Mes!$R$2:$R$433,Desconto_Cliente_Mes!$A$2:$A$433,D$29,Desconto_Cliente_Mes!$B$2:$B$433,$A29,Desconto_Cliente_Mes!$C$2:$C$433,"Umidade"))),SUMIFS(Desconto_Cliente_Mes!$S$2:$S$433,Desconto_Cliente_Mes!$A$2:$A$433,D$29,Desconto_Cliente_Mes!$B$2:$B$433,$A29,Desconto_Cliente_Mes!$C$2:$C$433,"Umidade")))-(IF(SUMIFS(Desconto_Cliente_Mes!$R$2:$R$433,Desconto_Cliente_Mes!$A$2:$A$433,D$29,Desconto_Cliente_Mes!$B$2:$B$433,$A29,Desconto_Cliente_Mes!$C$2:$C$433,"Umidade")="",SUMIFS(Desconto_Cliente_Mes!$Q$2:$Q$433,Desconto_Cliente_Mes!$A$2:$A$433,D$29,Desconto_Cliente_Mes!$B$2:$B$433,$A29,Desconto_Cliente_Mes!$C$2:$C$433,"Umidade"),SUMIFS(Desconto_Cliente_Mes!$R$2:$R$433,Desconto_Cliente_Mes!$A$2:$A$433,D$29,Desconto_Cliente_Mes!$B$2:$B$433,$A29,Desconto_Cliente_Mes!$C$2:$C$433,"Umidade"))))*(SUMIFS(Desconto_Cliente_Mes!$T$2:$T$433,Desconto_Cliente_Mes!$A$2:$A$433,D$29,Desconto_Cliente_Mes!$B$2:$B$433,$A29,Desconto_Cliente_Mes!$C$2:$C$433,"Umidade"))</f>
        <v>0</v>
      </c>
      <c r="E37" s="16" t="n">
        <f aca="false">$E$31*($E$34/100)*((IF(SUMIFS(Desconto_Cliente_Mes!$S$2:$S$433,Desconto_Cliente_Mes!$A$2:$A$433,E$29,Desconto_Cliente_Mes!$B$2:$B$433,$A29,Desconto_Cliente_Mes!$C$2:$C$433,"Umidade")="",(IF(SUMIFS(Desconto_Cliente_Mes!$R$2:$R$433,Desconto_Cliente_Mes!$A$2:$A$433,E$29,Desconto_Cliente_Mes!$B$2:$B$433,$A29,Desconto_Cliente_Mes!$C$2:$C$433,"Umidade")="",SUMIFS(Desconto_Cliente_Mes!$Q$2:$Q$433,Desconto_Cliente_Mes!$A$2:$A$433,E$29,Desconto_Cliente_Mes!$B$2:$B$433,$A29,Desconto_Cliente_Mes!$C$2:$C$433,"Umidade"),SUMIFS(Desconto_Cliente_Mes!$R$2:$R$433,Desconto_Cliente_Mes!$A$2:$A$433,E$29,Desconto_Cliente_Mes!$B$2:$B$433,$A29,Desconto_Cliente_Mes!$C$2:$C$433,"Umidade"))),SUMIFS(Desconto_Cliente_Mes!$S$2:$S$433,Desconto_Cliente_Mes!$A$2:$A$433,E$29,Desconto_Cliente_Mes!$B$2:$B$433,$A29,Desconto_Cliente_Mes!$C$2:$C$433,"Umidade")))-(IF(SUMIFS(Desconto_Cliente_Mes!$R$2:$R$433,Desconto_Cliente_Mes!$A$2:$A$433,E$29,Desconto_Cliente_Mes!$B$2:$B$433,$A29,Desconto_Cliente_Mes!$C$2:$C$433,"Umidade")="",SUMIFS(Desconto_Cliente_Mes!$Q$2:$Q$433,Desconto_Cliente_Mes!$A$2:$A$433,E$29,Desconto_Cliente_Mes!$B$2:$B$433,$A29,Desconto_Cliente_Mes!$C$2:$C$433,"Umidade"),SUMIFS(Desconto_Cliente_Mes!$R$2:$R$433,Desconto_Cliente_Mes!$A$2:$A$433,E$29,Desconto_Cliente_Mes!$B$2:$B$433,$A29,Desconto_Cliente_Mes!$C$2:$C$433,"Umidade"))))*(SUMIFS(Desconto_Cliente_Mes!$T$2:$T$433,Desconto_Cliente_Mes!$A$2:$A$433,E$29,Desconto_Cliente_Mes!$B$2:$B$433,$A29,Desconto_Cliente_Mes!$C$2:$C$433,"Umidade"))</f>
        <v>0</v>
      </c>
      <c r="F37" s="16" t="n">
        <f aca="false">$F$31*($F$34/100)*((IF(SUMIFS(Desconto_Cliente_Mes!$S$2:$S$433,Desconto_Cliente_Mes!$A$2:$A$433,F$29,Desconto_Cliente_Mes!$B$2:$B$433,$A29,Desconto_Cliente_Mes!$C$2:$C$433,"Umidade")="",(IF(SUMIFS(Desconto_Cliente_Mes!$R$2:$R$433,Desconto_Cliente_Mes!$A$2:$A$433,F$29,Desconto_Cliente_Mes!$B$2:$B$433,$A29,Desconto_Cliente_Mes!$C$2:$C$433,"Umidade")="",SUMIFS(Desconto_Cliente_Mes!$Q$2:$Q$433,Desconto_Cliente_Mes!$A$2:$A$433,F$29,Desconto_Cliente_Mes!$B$2:$B$433,$A29,Desconto_Cliente_Mes!$C$2:$C$433,"Umidade"),SUMIFS(Desconto_Cliente_Mes!$R$2:$R$433,Desconto_Cliente_Mes!$A$2:$A$433,F$29,Desconto_Cliente_Mes!$B$2:$B$433,$A29,Desconto_Cliente_Mes!$C$2:$C$433,"Umidade"))),SUMIFS(Desconto_Cliente_Mes!$S$2:$S$433,Desconto_Cliente_Mes!$A$2:$A$433,F$29,Desconto_Cliente_Mes!$B$2:$B$433,$A29,Desconto_Cliente_Mes!$C$2:$C$433,"Umidade")))-(IF(SUMIFS(Desconto_Cliente_Mes!$R$2:$R$433,Desconto_Cliente_Mes!$A$2:$A$433,F$29,Desconto_Cliente_Mes!$B$2:$B$433,$A29,Desconto_Cliente_Mes!$C$2:$C$433,"Umidade")="",SUMIFS(Desconto_Cliente_Mes!$Q$2:$Q$433,Desconto_Cliente_Mes!$A$2:$A$433,F$29,Desconto_Cliente_Mes!$B$2:$B$433,$A29,Desconto_Cliente_Mes!$C$2:$C$433,"Umidade"),SUMIFS(Desconto_Cliente_Mes!$R$2:$R$433,Desconto_Cliente_Mes!$A$2:$A$433,F$29,Desconto_Cliente_Mes!$B$2:$B$433,$A29,Desconto_Cliente_Mes!$C$2:$C$433,"Umidade"))))*(SUMIFS(Desconto_Cliente_Mes!$T$2:$T$433,Desconto_Cliente_Mes!$A$2:$A$433,F$29,Desconto_Cliente_Mes!$B$2:$B$433,$A29,Desconto_Cliente_Mes!$C$2:$C$433,"Umidade"))</f>
        <v>0</v>
      </c>
      <c r="G37" s="16" t="n">
        <f aca="false">$G$31*($G$34/100)*((IF(SUMIFS(Desconto_Cliente_Mes!$S$2:$S$433,Desconto_Cliente_Mes!$A$2:$A$433,G$29,Desconto_Cliente_Mes!$B$2:$B$433,$A29,Desconto_Cliente_Mes!$C$2:$C$433,"Umidade")="",(IF(SUMIFS(Desconto_Cliente_Mes!$R$2:$R$433,Desconto_Cliente_Mes!$A$2:$A$433,G$29,Desconto_Cliente_Mes!$B$2:$B$433,$A29,Desconto_Cliente_Mes!$C$2:$C$433,"Umidade")="",SUMIFS(Desconto_Cliente_Mes!$Q$2:$Q$433,Desconto_Cliente_Mes!$A$2:$A$433,G$29,Desconto_Cliente_Mes!$B$2:$B$433,$A29,Desconto_Cliente_Mes!$C$2:$C$433,"Umidade"),SUMIFS(Desconto_Cliente_Mes!$R$2:$R$433,Desconto_Cliente_Mes!$A$2:$A$433,G$29,Desconto_Cliente_Mes!$B$2:$B$433,$A29,Desconto_Cliente_Mes!$C$2:$C$433,"Umidade"))),SUMIFS(Desconto_Cliente_Mes!$S$2:$S$433,Desconto_Cliente_Mes!$A$2:$A$433,G$29,Desconto_Cliente_Mes!$B$2:$B$433,$A29,Desconto_Cliente_Mes!$C$2:$C$433,"Umidade")))-(IF(SUMIFS(Desconto_Cliente_Mes!$R$2:$R$433,Desconto_Cliente_Mes!$A$2:$A$433,G$29,Desconto_Cliente_Mes!$B$2:$B$433,$A29,Desconto_Cliente_Mes!$C$2:$C$433,"Umidade")="",SUMIFS(Desconto_Cliente_Mes!$Q$2:$Q$433,Desconto_Cliente_Mes!$A$2:$A$433,G$29,Desconto_Cliente_Mes!$B$2:$B$433,$A29,Desconto_Cliente_Mes!$C$2:$C$433,"Umidade"),SUMIFS(Desconto_Cliente_Mes!$R$2:$R$433,Desconto_Cliente_Mes!$A$2:$A$433,G$29,Desconto_Cliente_Mes!$B$2:$B$433,$A29,Desconto_Cliente_Mes!$C$2:$C$433,"Umidade"))))*(SUMIFS(Desconto_Cliente_Mes!$T$2:$T$433,Desconto_Cliente_Mes!$A$2:$A$433,G$29,Desconto_Cliente_Mes!$B$2:$B$433,$A29,Desconto_Cliente_Mes!$C$2:$C$433,"Umidade"))</f>
        <v>0</v>
      </c>
      <c r="H37" s="16" t="n">
        <f aca="false">$H$31*($H$34/100)*((IF(SUMIFS(Desconto_Cliente_Mes!$S$2:$S$433,Desconto_Cliente_Mes!$A$2:$A$433,H$29,Desconto_Cliente_Mes!$B$2:$B$433,$A29,Desconto_Cliente_Mes!$C$2:$C$433,"Umidade")="",(IF(SUMIFS(Desconto_Cliente_Mes!$R$2:$R$433,Desconto_Cliente_Mes!$A$2:$A$433,H$29,Desconto_Cliente_Mes!$B$2:$B$433,$A29,Desconto_Cliente_Mes!$C$2:$C$433,"Umidade")="",SUMIFS(Desconto_Cliente_Mes!$Q$2:$Q$433,Desconto_Cliente_Mes!$A$2:$A$433,H$29,Desconto_Cliente_Mes!$B$2:$B$433,$A29,Desconto_Cliente_Mes!$C$2:$C$433,"Umidade"),SUMIFS(Desconto_Cliente_Mes!$R$2:$R$433,Desconto_Cliente_Mes!$A$2:$A$433,H$29,Desconto_Cliente_Mes!$B$2:$B$433,$A29,Desconto_Cliente_Mes!$C$2:$C$433,"Umidade"))),SUMIFS(Desconto_Cliente_Mes!$S$2:$S$433,Desconto_Cliente_Mes!$A$2:$A$433,H$29,Desconto_Cliente_Mes!$B$2:$B$433,$A29,Desconto_Cliente_Mes!$C$2:$C$433,"Umidade")))-(IF(SUMIFS(Desconto_Cliente_Mes!$R$2:$R$433,Desconto_Cliente_Mes!$A$2:$A$433,H$29,Desconto_Cliente_Mes!$B$2:$B$433,$A29,Desconto_Cliente_Mes!$C$2:$C$433,"Umidade")="",SUMIFS(Desconto_Cliente_Mes!$Q$2:$Q$433,Desconto_Cliente_Mes!$A$2:$A$433,H$29,Desconto_Cliente_Mes!$B$2:$B$433,$A29,Desconto_Cliente_Mes!$C$2:$C$433,"Umidade"),SUMIFS(Desconto_Cliente_Mes!$R$2:$R$433,Desconto_Cliente_Mes!$A$2:$A$433,H$29,Desconto_Cliente_Mes!$B$2:$B$433,$A29,Desconto_Cliente_Mes!$C$2:$C$433,"Umidade"))))*(SUMIFS(Desconto_Cliente_Mes!$T$2:$T$433,Desconto_Cliente_Mes!$A$2:$A$433,H$29,Desconto_Cliente_Mes!$B$2:$B$433,$A29,Desconto_Cliente_Mes!$C$2:$C$433,"Umidade"))</f>
        <v>0</v>
      </c>
      <c r="I37" s="16" t="n">
        <f aca="false">$I$31*($I$34/100)*((IF(SUMIFS(Desconto_Cliente_Mes!$S$2:$S$433,Desconto_Cliente_Mes!$A$2:$A$433,I$29,Desconto_Cliente_Mes!$B$2:$B$433,$A29,Desconto_Cliente_Mes!$C$2:$C$433,"Umidade")="",(IF(SUMIFS(Desconto_Cliente_Mes!$R$2:$R$433,Desconto_Cliente_Mes!$A$2:$A$433,I$29,Desconto_Cliente_Mes!$B$2:$B$433,$A29,Desconto_Cliente_Mes!$C$2:$C$433,"Umidade")="",SUMIFS(Desconto_Cliente_Mes!$Q$2:$Q$433,Desconto_Cliente_Mes!$A$2:$A$433,I$29,Desconto_Cliente_Mes!$B$2:$B$433,$A29,Desconto_Cliente_Mes!$C$2:$C$433,"Umidade"),SUMIFS(Desconto_Cliente_Mes!$R$2:$R$433,Desconto_Cliente_Mes!$A$2:$A$433,I$29,Desconto_Cliente_Mes!$B$2:$B$433,$A29,Desconto_Cliente_Mes!$C$2:$C$433,"Umidade"))),SUMIFS(Desconto_Cliente_Mes!$S$2:$S$433,Desconto_Cliente_Mes!$A$2:$A$433,I$29,Desconto_Cliente_Mes!$B$2:$B$433,$A29,Desconto_Cliente_Mes!$C$2:$C$433,"Umidade")))-(IF(SUMIFS(Desconto_Cliente_Mes!$R$2:$R$433,Desconto_Cliente_Mes!$A$2:$A$433,I$29,Desconto_Cliente_Mes!$B$2:$B$433,$A29,Desconto_Cliente_Mes!$C$2:$C$433,"Umidade")="",SUMIFS(Desconto_Cliente_Mes!$Q$2:$Q$433,Desconto_Cliente_Mes!$A$2:$A$433,I$29,Desconto_Cliente_Mes!$B$2:$B$433,$A29,Desconto_Cliente_Mes!$C$2:$C$433,"Umidade"),SUMIFS(Desconto_Cliente_Mes!$R$2:$R$433,Desconto_Cliente_Mes!$A$2:$A$433,I$29,Desconto_Cliente_Mes!$B$2:$B$433,$A29,Desconto_Cliente_Mes!$C$2:$C$433,"Umidade"))))*(SUMIFS(Desconto_Cliente_Mes!$T$2:$T$433,Desconto_Cliente_Mes!$A$2:$A$433,I$29,Desconto_Cliente_Mes!$B$2:$B$433,$A29,Desconto_Cliente_Mes!$C$2:$C$433,"Umidade"))</f>
        <v>0</v>
      </c>
      <c r="J37" s="16" t="n">
        <f aca="false">$J$31*($J$34/100)*((IF(SUMIFS(Desconto_Cliente_Mes!$S$2:$S$433,Desconto_Cliente_Mes!$A$2:$A$433,J$29,Desconto_Cliente_Mes!$B$2:$B$433,$A29,Desconto_Cliente_Mes!$C$2:$C$433,"Umidade")="",(IF(SUMIFS(Desconto_Cliente_Mes!$R$2:$R$433,Desconto_Cliente_Mes!$A$2:$A$433,J$29,Desconto_Cliente_Mes!$B$2:$B$433,$A29,Desconto_Cliente_Mes!$C$2:$C$433,"Umidade")="",SUMIFS(Desconto_Cliente_Mes!$Q$2:$Q$433,Desconto_Cliente_Mes!$A$2:$A$433,J$29,Desconto_Cliente_Mes!$B$2:$B$433,$A29,Desconto_Cliente_Mes!$C$2:$C$433,"Umidade"),SUMIFS(Desconto_Cliente_Mes!$R$2:$R$433,Desconto_Cliente_Mes!$A$2:$A$433,J$29,Desconto_Cliente_Mes!$B$2:$B$433,$A29,Desconto_Cliente_Mes!$C$2:$C$433,"Umidade"))),SUMIFS(Desconto_Cliente_Mes!$S$2:$S$433,Desconto_Cliente_Mes!$A$2:$A$433,J$29,Desconto_Cliente_Mes!$B$2:$B$433,$A29,Desconto_Cliente_Mes!$C$2:$C$433,"Umidade")))-(IF(SUMIFS(Desconto_Cliente_Mes!$R$2:$R$433,Desconto_Cliente_Mes!$A$2:$A$433,J$29,Desconto_Cliente_Mes!$B$2:$B$433,$A29,Desconto_Cliente_Mes!$C$2:$C$433,"Umidade")="",SUMIFS(Desconto_Cliente_Mes!$Q$2:$Q$433,Desconto_Cliente_Mes!$A$2:$A$433,J$29,Desconto_Cliente_Mes!$B$2:$B$433,$A29,Desconto_Cliente_Mes!$C$2:$C$433,"Umidade"),SUMIFS(Desconto_Cliente_Mes!$R$2:$R$433,Desconto_Cliente_Mes!$A$2:$A$433,J$29,Desconto_Cliente_Mes!$B$2:$B$433,$A29,Desconto_Cliente_Mes!$C$2:$C$433,"Umidade"))))*(SUMIFS(Desconto_Cliente_Mes!$T$2:$T$433,Desconto_Cliente_Mes!$A$2:$A$433,J$29,Desconto_Cliente_Mes!$B$2:$B$433,$A29,Desconto_Cliente_Mes!$C$2:$C$433,"Umidade"))</f>
        <v>0</v>
      </c>
      <c r="K37" s="16" t="n">
        <f aca="false">$K$31*($K$34/100)*((IF(SUMIFS(Desconto_Cliente_Mes!$S$2:$S$433,Desconto_Cliente_Mes!$A$2:$A$433,K$29,Desconto_Cliente_Mes!$B$2:$B$433,$A29,Desconto_Cliente_Mes!$C$2:$C$433,"Umidade")="",(IF(SUMIFS(Desconto_Cliente_Mes!$R$2:$R$433,Desconto_Cliente_Mes!$A$2:$A$433,K$29,Desconto_Cliente_Mes!$B$2:$B$433,$A29,Desconto_Cliente_Mes!$C$2:$C$433,"Umidade")="",SUMIFS(Desconto_Cliente_Mes!$Q$2:$Q$433,Desconto_Cliente_Mes!$A$2:$A$433,K$29,Desconto_Cliente_Mes!$B$2:$B$433,$A29,Desconto_Cliente_Mes!$C$2:$C$433,"Umidade"),SUMIFS(Desconto_Cliente_Mes!$R$2:$R$433,Desconto_Cliente_Mes!$A$2:$A$433,K$29,Desconto_Cliente_Mes!$B$2:$B$433,$A29,Desconto_Cliente_Mes!$C$2:$C$433,"Umidade"))),SUMIFS(Desconto_Cliente_Mes!$S$2:$S$433,Desconto_Cliente_Mes!$A$2:$A$433,K$29,Desconto_Cliente_Mes!$B$2:$B$433,$A29,Desconto_Cliente_Mes!$C$2:$C$433,"Umidade")))-(IF(SUMIFS(Desconto_Cliente_Mes!$R$2:$R$433,Desconto_Cliente_Mes!$A$2:$A$433,K$29,Desconto_Cliente_Mes!$B$2:$B$433,$A29,Desconto_Cliente_Mes!$C$2:$C$433,"Umidade")="",SUMIFS(Desconto_Cliente_Mes!$Q$2:$Q$433,Desconto_Cliente_Mes!$A$2:$A$433,K$29,Desconto_Cliente_Mes!$B$2:$B$433,$A29,Desconto_Cliente_Mes!$C$2:$C$433,"Umidade"),SUMIFS(Desconto_Cliente_Mes!$R$2:$R$433,Desconto_Cliente_Mes!$A$2:$A$433,K$29,Desconto_Cliente_Mes!$B$2:$B$433,$A29,Desconto_Cliente_Mes!$C$2:$C$433,"Umidade"))))*(SUMIFS(Desconto_Cliente_Mes!$T$2:$T$433,Desconto_Cliente_Mes!$A$2:$A$433,K$29,Desconto_Cliente_Mes!$B$2:$B$433,$A29,Desconto_Cliente_Mes!$C$2:$C$433,"Umidade"))</f>
        <v>0</v>
      </c>
      <c r="L37" s="16" t="n">
        <f aca="false">$L$31*($L$34/100)*((IF(SUMIFS(Desconto_Cliente_Mes!$S$2:$S$433,Desconto_Cliente_Mes!$A$2:$A$433,L$29,Desconto_Cliente_Mes!$B$2:$B$433,$A29,Desconto_Cliente_Mes!$C$2:$C$433,"Umidade")="",(IF(SUMIFS(Desconto_Cliente_Mes!$R$2:$R$433,Desconto_Cliente_Mes!$A$2:$A$433,L$29,Desconto_Cliente_Mes!$B$2:$B$433,$A29,Desconto_Cliente_Mes!$C$2:$C$433,"Umidade")="",SUMIFS(Desconto_Cliente_Mes!$Q$2:$Q$433,Desconto_Cliente_Mes!$A$2:$A$433,L$29,Desconto_Cliente_Mes!$B$2:$B$433,$A29,Desconto_Cliente_Mes!$C$2:$C$433,"Umidade"),SUMIFS(Desconto_Cliente_Mes!$R$2:$R$433,Desconto_Cliente_Mes!$A$2:$A$433,L$29,Desconto_Cliente_Mes!$B$2:$B$433,$A29,Desconto_Cliente_Mes!$C$2:$C$433,"Umidade"))),SUMIFS(Desconto_Cliente_Mes!$S$2:$S$433,Desconto_Cliente_Mes!$A$2:$A$433,L$29,Desconto_Cliente_Mes!$B$2:$B$433,$A29,Desconto_Cliente_Mes!$C$2:$C$433,"Umidade")))-(IF(SUMIFS(Desconto_Cliente_Mes!$R$2:$R$433,Desconto_Cliente_Mes!$A$2:$A$433,L$29,Desconto_Cliente_Mes!$B$2:$B$433,$A29,Desconto_Cliente_Mes!$C$2:$C$433,"Umidade")="",SUMIFS(Desconto_Cliente_Mes!$Q$2:$Q$433,Desconto_Cliente_Mes!$A$2:$A$433,L$29,Desconto_Cliente_Mes!$B$2:$B$433,$A29,Desconto_Cliente_Mes!$C$2:$C$433,"Umidade"),SUMIFS(Desconto_Cliente_Mes!$R$2:$R$433,Desconto_Cliente_Mes!$A$2:$A$433,L$29,Desconto_Cliente_Mes!$B$2:$B$433,$A29,Desconto_Cliente_Mes!$C$2:$C$433,"Umidade"))))*(SUMIFS(Desconto_Cliente_Mes!$T$2:$T$433,Desconto_Cliente_Mes!$A$2:$A$433,L$29,Desconto_Cliente_Mes!$B$2:$B$433,$A29,Desconto_Cliente_Mes!$C$2:$C$433,"Umidade"))</f>
        <v>0</v>
      </c>
      <c r="M37" s="16" t="n">
        <f aca="false">$M$31*($M$34/100)*((IF(SUMIFS(Desconto_Cliente_Mes!$S$2:$S$433,Desconto_Cliente_Mes!$A$2:$A$433,M$29,Desconto_Cliente_Mes!$B$2:$B$433,$A29,Desconto_Cliente_Mes!$C$2:$C$433,"Umidade")="",(IF(SUMIFS(Desconto_Cliente_Mes!$R$2:$R$433,Desconto_Cliente_Mes!$A$2:$A$433,M$29,Desconto_Cliente_Mes!$B$2:$B$433,$A29,Desconto_Cliente_Mes!$C$2:$C$433,"Umidade")="",SUMIFS(Desconto_Cliente_Mes!$Q$2:$Q$433,Desconto_Cliente_Mes!$A$2:$A$433,M$29,Desconto_Cliente_Mes!$B$2:$B$433,$A29,Desconto_Cliente_Mes!$C$2:$C$433,"Umidade"),SUMIFS(Desconto_Cliente_Mes!$R$2:$R$433,Desconto_Cliente_Mes!$A$2:$A$433,M$29,Desconto_Cliente_Mes!$B$2:$B$433,$A29,Desconto_Cliente_Mes!$C$2:$C$433,"Umidade"))),SUMIFS(Desconto_Cliente_Mes!$S$2:$S$433,Desconto_Cliente_Mes!$A$2:$A$433,M$29,Desconto_Cliente_Mes!$B$2:$B$433,$A29,Desconto_Cliente_Mes!$C$2:$C$433,"Umidade")))-(IF(SUMIFS(Desconto_Cliente_Mes!$R$2:$R$433,Desconto_Cliente_Mes!$A$2:$A$433,M$29,Desconto_Cliente_Mes!$B$2:$B$433,$A29,Desconto_Cliente_Mes!$C$2:$C$433,"Umidade")="",SUMIFS(Desconto_Cliente_Mes!$Q$2:$Q$433,Desconto_Cliente_Mes!$A$2:$A$433,M$29,Desconto_Cliente_Mes!$B$2:$B$433,$A29,Desconto_Cliente_Mes!$C$2:$C$433,"Umidade"),SUMIFS(Desconto_Cliente_Mes!$R$2:$R$433,Desconto_Cliente_Mes!$A$2:$A$433,M$29,Desconto_Cliente_Mes!$B$2:$B$433,$A29,Desconto_Cliente_Mes!$C$2:$C$433,"Umidade"))))*(SUMIFS(Desconto_Cliente_Mes!$T$2:$T$433,Desconto_Cliente_Mes!$A$2:$A$433,M$29,Desconto_Cliente_Mes!$B$2:$B$433,$A29,Desconto_Cliente_Mes!$C$2:$C$433,"Umidade"))</f>
        <v>0</v>
      </c>
      <c r="N37" s="17" t="n">
        <f aca="false">SUM(B37:M37)</f>
        <v>0</v>
      </c>
    </row>
    <row r="38" customFormat="false" ht="15" hidden="false" customHeight="false" outlineLevel="0" collapsed="false">
      <c r="A38" s="13" t="s">
        <v>82</v>
      </c>
      <c r="B38" s="16" t="n">
        <f aca="false">SUMIFS(Acerto_Detalhado!$J$2:$J$433,Acerto_Detalhado!$A$2:$A$433,B$29,Acerto_Detalhado!$B$2:$B$433,$A29,Acerto_Detalhado!$C$2:$C$433,"Umidade")</f>
        <v>0</v>
      </c>
      <c r="C38" s="16" t="n">
        <f aca="false">SUMIFS(Acerto_Detalhado!$J$2:$J$433,Acerto_Detalhado!$A$2:$A$433,C$29,Acerto_Detalhado!$B$2:$B$433,$A29,Acerto_Detalhado!$C$2:$C$433,"Umidade")</f>
        <v>0</v>
      </c>
      <c r="D38" s="16" t="n">
        <f aca="false">SUMIFS(Acerto_Detalhado!$J$2:$J$433,Acerto_Detalhado!$A$2:$A$433,D$29,Acerto_Detalhado!$B$2:$B$433,$A29,Acerto_Detalhado!$C$2:$C$433,"Umidade")</f>
        <v>0</v>
      </c>
      <c r="E38" s="16" t="n">
        <f aca="false">SUMIFS(Acerto_Detalhado!$J$2:$J$433,Acerto_Detalhado!$A$2:$A$433,E$29,Acerto_Detalhado!$B$2:$B$433,$A29,Acerto_Detalhado!$C$2:$C$433,"Umidade")</f>
        <v>0</v>
      </c>
      <c r="F38" s="16" t="n">
        <f aca="false">SUMIFS(Acerto_Detalhado!$J$2:$J$433,Acerto_Detalhado!$A$2:$A$433,F$29,Acerto_Detalhado!$B$2:$B$433,$A29,Acerto_Detalhado!$C$2:$C$433,"Umidade")</f>
        <v>0</v>
      </c>
      <c r="G38" s="16" t="n">
        <f aca="false">SUMIFS(Acerto_Detalhado!$J$2:$J$433,Acerto_Detalhado!$A$2:$A$433,G$29,Acerto_Detalhado!$B$2:$B$433,$A29,Acerto_Detalhado!$C$2:$C$433,"Umidade")</f>
        <v>0</v>
      </c>
      <c r="H38" s="16" t="n">
        <f aca="false">SUMIFS(Acerto_Detalhado!$J$2:$J$433,Acerto_Detalhado!$A$2:$A$433,H$29,Acerto_Detalhado!$B$2:$B$433,$A29,Acerto_Detalhado!$C$2:$C$433,"Umidade")</f>
        <v>0</v>
      </c>
      <c r="I38" s="16" t="n">
        <f aca="false">SUMIFS(Acerto_Detalhado!$J$2:$J$433,Acerto_Detalhado!$A$2:$A$433,I$29,Acerto_Detalhado!$B$2:$B$433,$A29,Acerto_Detalhado!$C$2:$C$433,"Umidade")</f>
        <v>0</v>
      </c>
      <c r="J38" s="16" t="n">
        <f aca="false">SUMIFS(Acerto_Detalhado!$J$2:$J$433,Acerto_Detalhado!$A$2:$A$433,J$29,Acerto_Detalhado!$B$2:$B$433,$A29,Acerto_Detalhado!$C$2:$C$433,"Umidade")</f>
        <v>0</v>
      </c>
      <c r="K38" s="16" t="n">
        <f aca="false">SUMIFS(Acerto_Detalhado!$J$2:$J$433,Acerto_Detalhado!$A$2:$A$433,K$29,Acerto_Detalhado!$B$2:$B$433,$A29,Acerto_Detalhado!$C$2:$C$433,"Umidade")</f>
        <v>0</v>
      </c>
      <c r="L38" s="16" t="n">
        <f aca="false">SUMIFS(Acerto_Detalhado!$J$2:$J$433,Acerto_Detalhado!$A$2:$A$433,L$29,Acerto_Detalhado!$B$2:$B$433,$A29,Acerto_Detalhado!$C$2:$C$433,"Umidade")</f>
        <v>0</v>
      </c>
      <c r="M38" s="16" t="n">
        <f aca="false">SUMIFS(Acerto_Detalhado!$J$2:$J$433,Acerto_Detalhado!$A$2:$A$433,M$29,Acerto_Detalhado!$B$2:$B$433,$A29,Acerto_Detalhado!$C$2:$C$433,"Umidade")</f>
        <v>0</v>
      </c>
      <c r="N38" s="17" t="n">
        <f aca="false">SUM(B38:M38)</f>
        <v>0</v>
      </c>
    </row>
    <row r="40" customFormat="false" ht="15" hidden="false" customHeight="false" outlineLevel="0" collapsed="false">
      <c r="A40" s="5" t="s">
        <v>61</v>
      </c>
      <c r="B40" s="6" t="s">
        <v>39</v>
      </c>
      <c r="C40" s="6" t="s">
        <v>40</v>
      </c>
      <c r="D40" s="6" t="s">
        <v>41</v>
      </c>
      <c r="E40" s="6" t="s">
        <v>42</v>
      </c>
      <c r="F40" s="6" t="s">
        <v>43</v>
      </c>
      <c r="G40" s="6" t="s">
        <v>44</v>
      </c>
      <c r="H40" s="6" t="s">
        <v>45</v>
      </c>
      <c r="I40" s="6" t="s">
        <v>46</v>
      </c>
      <c r="J40" s="6" t="s">
        <v>47</v>
      </c>
      <c r="K40" s="6" t="s">
        <v>48</v>
      </c>
      <c r="L40" s="6" t="s">
        <v>49</v>
      </c>
      <c r="M40" s="6" t="s">
        <v>50</v>
      </c>
      <c r="N40" s="6" t="s">
        <v>51</v>
      </c>
    </row>
    <row r="41" customFormat="false" ht="15" hidden="false" customHeight="false" outlineLevel="0" collapsed="false">
      <c r="A41" s="13" t="s">
        <v>74</v>
      </c>
      <c r="B41" s="10" t="n">
        <f aca="false">IF((SUMIFS(Desconto_Cliente_Mes!$D$2:$D$433,Desconto_Cliente_Mes!$A$2:$A$433,B$40,Desconto_Cliente_Mes!$B$2:$B$433,$A40,Desconto_Cliente_Mes!$C$2:$C$433,"Umidade"))=0,"",IFERROR(SUMIFS(Desconto_Cliente_Mes!$E$2:$E$433,Desconto_Cliente_Mes!$A$2:$A$433,B$40,Desconto_Cliente_Mes!$B$2:$B$433,$A40,Desconto_Cliente_Mes!$C$2:$C$433,"Umidade"),""))</f>
        <v>12.2752566928383</v>
      </c>
      <c r="C41" s="10" t="n">
        <f aca="false">IF((SUMIFS(Desconto_Cliente_Mes!$D$2:$D$433,Desconto_Cliente_Mes!$A$2:$A$433,C$40,Desconto_Cliente_Mes!$B$2:$B$433,$A40,Desconto_Cliente_Mes!$C$2:$C$433,"Umidade"))=0,"",IFERROR(SUMIFS(Desconto_Cliente_Mes!$E$2:$E$433,Desconto_Cliente_Mes!$A$2:$A$433,C$40,Desconto_Cliente_Mes!$B$2:$B$433,$A40,Desconto_Cliente_Mes!$C$2:$C$433,"Umidade"),""))</f>
        <v>11.6439859493413</v>
      </c>
      <c r="D41" s="10" t="n">
        <f aca="false">IF((SUMIFS(Desconto_Cliente_Mes!$D$2:$D$433,Desconto_Cliente_Mes!$A$2:$A$433,D$40,Desconto_Cliente_Mes!$B$2:$B$433,$A40,Desconto_Cliente_Mes!$C$2:$C$433,"Umidade"))=0,"",IFERROR(SUMIFS(Desconto_Cliente_Mes!$E$2:$E$433,Desconto_Cliente_Mes!$A$2:$A$433,D$40,Desconto_Cliente_Mes!$B$2:$B$433,$A40,Desconto_Cliente_Mes!$C$2:$C$433,"Umidade"),""))</f>
        <v>13.0024262764944</v>
      </c>
      <c r="E41" s="10" t="n">
        <f aca="false">IF((SUMIFS(Desconto_Cliente_Mes!$D$2:$D$433,Desconto_Cliente_Mes!$A$2:$A$433,E$40,Desconto_Cliente_Mes!$B$2:$B$433,$A40,Desconto_Cliente_Mes!$C$2:$C$433,"Umidade"))=0,"",IFERROR(SUMIFS(Desconto_Cliente_Mes!$E$2:$E$433,Desconto_Cliente_Mes!$A$2:$A$433,E$40,Desconto_Cliente_Mes!$B$2:$B$433,$A40,Desconto_Cliente_Mes!$C$2:$C$433,"Umidade"),""))</f>
        <v>12.2551331185822</v>
      </c>
      <c r="F41" s="10" t="n">
        <f aca="false">IF((SUMIFS(Desconto_Cliente_Mes!$D$2:$D$433,Desconto_Cliente_Mes!$A$2:$A$433,F$40,Desconto_Cliente_Mes!$B$2:$B$433,$A40,Desconto_Cliente_Mes!$C$2:$C$433,"Umidade"))=0,"",IFERROR(SUMIFS(Desconto_Cliente_Mes!$E$2:$E$433,Desconto_Cliente_Mes!$A$2:$A$433,F$40,Desconto_Cliente_Mes!$B$2:$B$433,$A40,Desconto_Cliente_Mes!$C$2:$C$433,"Umidade"),""))</f>
        <v>12.4482291732357</v>
      </c>
      <c r="G41" s="10" t="n">
        <f aca="false">IF((SUMIFS(Desconto_Cliente_Mes!$D$2:$D$433,Desconto_Cliente_Mes!$A$2:$A$433,G$40,Desconto_Cliente_Mes!$B$2:$B$433,$A40,Desconto_Cliente_Mes!$C$2:$C$433,"Umidade"))=0,"",IFERROR(SUMIFS(Desconto_Cliente_Mes!$E$2:$E$433,Desconto_Cliente_Mes!$A$2:$A$433,G$40,Desconto_Cliente_Mes!$B$2:$B$433,$A40,Desconto_Cliente_Mes!$C$2:$C$433,"Umidade"),""))</f>
        <v>12.4580976098063</v>
      </c>
      <c r="H41" s="10" t="n">
        <f aca="false">IF((SUMIFS(Desconto_Cliente_Mes!$D$2:$D$433,Desconto_Cliente_Mes!$A$2:$A$433,H$40,Desconto_Cliente_Mes!$B$2:$B$433,$A40,Desconto_Cliente_Mes!$C$2:$C$433,"Umidade"))=0,"",IFERROR(SUMIFS(Desconto_Cliente_Mes!$E$2:$E$433,Desconto_Cliente_Mes!$A$2:$A$433,H$40,Desconto_Cliente_Mes!$B$2:$B$433,$A40,Desconto_Cliente_Mes!$C$2:$C$433,"Umidade"),""))</f>
        <v>12.4597512083869</v>
      </c>
      <c r="I41" s="10" t="str">
        <f aca="false">IF((SUMIFS(Desconto_Cliente_Mes!$D$2:$D$433,Desconto_Cliente_Mes!$A$2:$A$433,I$40,Desconto_Cliente_Mes!$B$2:$B$433,$A40,Desconto_Cliente_Mes!$C$2:$C$433,"Umidade"))=0,"",IFERROR(SUMIFS(Desconto_Cliente_Mes!$E$2:$E$433,Desconto_Cliente_Mes!$A$2:$A$433,I$40,Desconto_Cliente_Mes!$B$2:$B$433,$A40,Desconto_Cliente_Mes!$C$2:$C$433,"Umidade"),""))</f>
        <v/>
      </c>
      <c r="J41" s="10" t="str">
        <f aca="false">IF((SUMIFS(Desconto_Cliente_Mes!$D$2:$D$433,Desconto_Cliente_Mes!$A$2:$A$433,J$40,Desconto_Cliente_Mes!$B$2:$B$433,$A40,Desconto_Cliente_Mes!$C$2:$C$433,"Umidade"))=0,"",IFERROR(SUMIFS(Desconto_Cliente_Mes!$E$2:$E$433,Desconto_Cliente_Mes!$A$2:$A$433,J$40,Desconto_Cliente_Mes!$B$2:$B$433,$A40,Desconto_Cliente_Mes!$C$2:$C$433,"Umidade"),""))</f>
        <v/>
      </c>
      <c r="K41" s="10" t="str">
        <f aca="false">IF((SUMIFS(Desconto_Cliente_Mes!$D$2:$D$433,Desconto_Cliente_Mes!$A$2:$A$433,K$40,Desconto_Cliente_Mes!$B$2:$B$433,$A40,Desconto_Cliente_Mes!$C$2:$C$433,"Umidade"))=0,"",IFERROR(SUMIFS(Desconto_Cliente_Mes!$E$2:$E$433,Desconto_Cliente_Mes!$A$2:$A$433,K$40,Desconto_Cliente_Mes!$B$2:$B$433,$A40,Desconto_Cliente_Mes!$C$2:$C$433,"Umidade"),""))</f>
        <v/>
      </c>
      <c r="L41" s="10" t="str">
        <f aca="false">IF((SUMIFS(Desconto_Cliente_Mes!$D$2:$D$433,Desconto_Cliente_Mes!$A$2:$A$433,L$40,Desconto_Cliente_Mes!$B$2:$B$433,$A40,Desconto_Cliente_Mes!$C$2:$C$433,"Umidade"))=0,"",IFERROR(SUMIFS(Desconto_Cliente_Mes!$E$2:$E$433,Desconto_Cliente_Mes!$A$2:$A$433,L$40,Desconto_Cliente_Mes!$B$2:$B$433,$A40,Desconto_Cliente_Mes!$C$2:$C$433,"Umidade"),""))</f>
        <v/>
      </c>
      <c r="M41" s="10" t="str">
        <f aca="false">IF((SUMIFS(Desconto_Cliente_Mes!$D$2:$D$433,Desconto_Cliente_Mes!$A$2:$A$433,M$40,Desconto_Cliente_Mes!$B$2:$B$433,$A40,Desconto_Cliente_Mes!$C$2:$C$433,"Umidade"))=0,"",IFERROR(SUMIFS(Desconto_Cliente_Mes!$E$2:$E$433,Desconto_Cliente_Mes!$A$2:$A$433,M$40,Desconto_Cliente_Mes!$B$2:$B$433,$A40,Desconto_Cliente_Mes!$C$2:$C$433,"Umidade"),""))</f>
        <v/>
      </c>
      <c r="N41" s="11" t="n">
        <f aca="false">IFERROR(Media_Pool_Mes!D5,"")</f>
        <v>12.3606134360148</v>
      </c>
    </row>
    <row r="42" customFormat="false" ht="15" hidden="false" customHeight="false" outlineLevel="0" collapsed="false">
      <c r="A42" s="13" t="s">
        <v>75</v>
      </c>
      <c r="B42" s="8" t="n">
        <f aca="false">IFERROR(SUMIFS(Desconto_Cliente_Mes!$D$2:$D$433,Desconto_Cliente_Mes!$A$2:$A$433,B$40,Desconto_Cliente_Mes!$B$2:$B$433,$A40,Desconto_Cliente_Mes!$C$2:$C$433,"Umidade"),0)</f>
        <v>16786.6</v>
      </c>
      <c r="C42" s="8" t="n">
        <f aca="false">IFERROR(SUMIFS(Desconto_Cliente_Mes!$D$2:$D$433,Desconto_Cliente_Mes!$A$2:$A$433,C$40,Desconto_Cliente_Mes!$B$2:$B$433,$A40,Desconto_Cliente_Mes!$C$2:$C$433,"Umidade"),0)</f>
        <v>53319.92</v>
      </c>
      <c r="D42" s="8" t="n">
        <f aca="false">IFERROR(SUMIFS(Desconto_Cliente_Mes!$D$2:$D$433,Desconto_Cliente_Mes!$A$2:$A$433,D$40,Desconto_Cliente_Mes!$B$2:$B$433,$A40,Desconto_Cliente_Mes!$C$2:$C$433,"Umidade"),0)</f>
        <v>42872.69</v>
      </c>
      <c r="E42" s="8" t="n">
        <f aca="false">IFERROR(SUMIFS(Desconto_Cliente_Mes!$D$2:$D$433,Desconto_Cliente_Mes!$A$2:$A$433,E$40,Desconto_Cliente_Mes!$B$2:$B$433,$A40,Desconto_Cliente_Mes!$C$2:$C$433,"Umidade"),0)</f>
        <v>53714.89</v>
      </c>
      <c r="F42" s="8" t="n">
        <f aca="false">IFERROR(SUMIFS(Desconto_Cliente_Mes!$D$2:$D$433,Desconto_Cliente_Mes!$A$2:$A$433,F$40,Desconto_Cliente_Mes!$B$2:$B$433,$A40,Desconto_Cliente_Mes!$C$2:$C$433,"Umidade"),0)</f>
        <v>92764.41</v>
      </c>
      <c r="G42" s="8" t="n">
        <f aca="false">IFERROR(SUMIFS(Desconto_Cliente_Mes!$D$2:$D$433,Desconto_Cliente_Mes!$A$2:$A$433,G$40,Desconto_Cliente_Mes!$B$2:$B$433,$A40,Desconto_Cliente_Mes!$C$2:$C$433,"Umidade"),0)</f>
        <v>88798.66</v>
      </c>
      <c r="H42" s="8" t="n">
        <f aca="false">IFERROR(SUMIFS(Desconto_Cliente_Mes!$D$2:$D$433,Desconto_Cliente_Mes!$A$2:$A$433,H$40,Desconto_Cliente_Mes!$B$2:$B$433,$A40,Desconto_Cliente_Mes!$C$2:$C$433,"Umidade"),0)</f>
        <v>10176.79</v>
      </c>
      <c r="I42" s="8" t="n">
        <f aca="false">IFERROR(SUMIFS(Desconto_Cliente_Mes!$D$2:$D$433,Desconto_Cliente_Mes!$A$2:$A$433,I$40,Desconto_Cliente_Mes!$B$2:$B$433,$A40,Desconto_Cliente_Mes!$C$2:$C$433,"Umidade"),0)</f>
        <v>0</v>
      </c>
      <c r="J42" s="8" t="n">
        <f aca="false">IFERROR(SUMIFS(Desconto_Cliente_Mes!$D$2:$D$433,Desconto_Cliente_Mes!$A$2:$A$433,J$40,Desconto_Cliente_Mes!$B$2:$B$433,$A40,Desconto_Cliente_Mes!$C$2:$C$433,"Umidade"),0)</f>
        <v>0</v>
      </c>
      <c r="K42" s="8" t="n">
        <f aca="false">IFERROR(SUMIFS(Desconto_Cliente_Mes!$D$2:$D$433,Desconto_Cliente_Mes!$A$2:$A$433,K$40,Desconto_Cliente_Mes!$B$2:$B$433,$A40,Desconto_Cliente_Mes!$C$2:$C$433,"Umidade"),0)</f>
        <v>0</v>
      </c>
      <c r="L42" s="8" t="n">
        <f aca="false">IFERROR(SUMIFS(Desconto_Cliente_Mes!$D$2:$D$433,Desconto_Cliente_Mes!$A$2:$A$433,L$40,Desconto_Cliente_Mes!$B$2:$B$433,$A40,Desconto_Cliente_Mes!$C$2:$C$433,"Umidade"),0)</f>
        <v>0</v>
      </c>
      <c r="M42" s="8" t="n">
        <f aca="false">IFERROR(SUMIFS(Desconto_Cliente_Mes!$D$2:$D$433,Desconto_Cliente_Mes!$A$2:$A$433,M$40,Desconto_Cliente_Mes!$B$2:$B$433,$A40,Desconto_Cliente_Mes!$C$2:$C$433,"Umidade"),0)</f>
        <v>0</v>
      </c>
      <c r="N42" s="9" t="n">
        <f aca="false">SUM(B42:M42)</f>
        <v>358433.96</v>
      </c>
    </row>
    <row r="43" customFormat="false" ht="15" hidden="false" customHeight="false" outlineLevel="0" collapsed="false">
      <c r="A43" s="13" t="s">
        <v>76</v>
      </c>
      <c r="B43" s="15" t="n">
        <f aca="false">MAX(0,(SUMIFS(Desconto_Cliente_Mes!$L$2:$L$433,Desconto_Cliente_Mes!$A$2:$A$433,B$40,Desconto_Cliente_Mes!$B$2:$B$433,$A40,Desconto_Cliente_Mes!$C$2:$C$433,"Umidade"))-(SUMIFS(Desconto_Cliente_Mes!$N$2:$N$433,Desconto_Cliente_Mes!$A$2:$A$433,B$40,Desconto_Cliente_Mes!$B$2:$B$433,$A40,Desconto_Cliente_Mes!$C$2:$C$433,"Umidade")))</f>
        <v>0</v>
      </c>
      <c r="C43" s="15" t="n">
        <f aca="false">MAX(0,(SUMIFS(Desconto_Cliente_Mes!$L$2:$L$433,Desconto_Cliente_Mes!$A$2:$A$433,C$40,Desconto_Cliente_Mes!$B$2:$B$433,$A40,Desconto_Cliente_Mes!$C$2:$C$433,"Umidade"))-(SUMIFS(Desconto_Cliente_Mes!$N$2:$N$433,Desconto_Cliente_Mes!$A$2:$A$433,C$40,Desconto_Cliente_Mes!$B$2:$B$433,$A40,Desconto_Cliente_Mes!$C$2:$C$433,"Umidade")))</f>
        <v>0</v>
      </c>
      <c r="D43" s="15" t="n">
        <f aca="false">MAX(0,(SUMIFS(Desconto_Cliente_Mes!$L$2:$L$433,Desconto_Cliente_Mes!$A$2:$A$433,D$40,Desconto_Cliente_Mes!$B$2:$B$433,$A40,Desconto_Cliente_Mes!$C$2:$C$433,"Umidade"))-(SUMIFS(Desconto_Cliente_Mes!$N$2:$N$433,Desconto_Cliente_Mes!$A$2:$A$433,D$40,Desconto_Cliente_Mes!$B$2:$B$433,$A40,Desconto_Cliente_Mes!$C$2:$C$433,"Umidade")))</f>
        <v>0.502426276494427</v>
      </c>
      <c r="E43" s="15" t="n">
        <f aca="false">MAX(0,(SUMIFS(Desconto_Cliente_Mes!$L$2:$L$433,Desconto_Cliente_Mes!$A$2:$A$433,E$40,Desconto_Cliente_Mes!$B$2:$B$433,$A40,Desconto_Cliente_Mes!$C$2:$C$433,"Umidade"))-(SUMIFS(Desconto_Cliente_Mes!$N$2:$N$433,Desconto_Cliente_Mes!$A$2:$A$433,E$40,Desconto_Cliente_Mes!$B$2:$B$433,$A40,Desconto_Cliente_Mes!$C$2:$C$433,"Umidade")))</f>
        <v>0</v>
      </c>
      <c r="F43" s="15" t="n">
        <f aca="false">MAX(0,(SUMIFS(Desconto_Cliente_Mes!$L$2:$L$433,Desconto_Cliente_Mes!$A$2:$A$433,F$40,Desconto_Cliente_Mes!$B$2:$B$433,$A40,Desconto_Cliente_Mes!$C$2:$C$433,"Umidade"))-(SUMIFS(Desconto_Cliente_Mes!$N$2:$N$433,Desconto_Cliente_Mes!$A$2:$A$433,F$40,Desconto_Cliente_Mes!$B$2:$B$433,$A40,Desconto_Cliente_Mes!$C$2:$C$433,"Umidade")))</f>
        <v>0</v>
      </c>
      <c r="G43" s="15" t="n">
        <f aca="false">MAX(0,(SUMIFS(Desconto_Cliente_Mes!$L$2:$L$433,Desconto_Cliente_Mes!$A$2:$A$433,G$40,Desconto_Cliente_Mes!$B$2:$B$433,$A40,Desconto_Cliente_Mes!$C$2:$C$433,"Umidade"))-(SUMIFS(Desconto_Cliente_Mes!$N$2:$N$433,Desconto_Cliente_Mes!$A$2:$A$433,G$40,Desconto_Cliente_Mes!$B$2:$B$433,$A40,Desconto_Cliente_Mes!$C$2:$C$433,"Umidade")))</f>
        <v>0</v>
      </c>
      <c r="H43" s="15" t="n">
        <f aca="false">MAX(0,(SUMIFS(Desconto_Cliente_Mes!$L$2:$L$433,Desconto_Cliente_Mes!$A$2:$A$433,H$40,Desconto_Cliente_Mes!$B$2:$B$433,$A40,Desconto_Cliente_Mes!$C$2:$C$433,"Umidade"))-(SUMIFS(Desconto_Cliente_Mes!$N$2:$N$433,Desconto_Cliente_Mes!$A$2:$A$433,H$40,Desconto_Cliente_Mes!$B$2:$B$433,$A40,Desconto_Cliente_Mes!$C$2:$C$433,"Umidade")))</f>
        <v>0</v>
      </c>
      <c r="I43" s="15" t="n">
        <f aca="false">MAX(0,(SUMIFS(Desconto_Cliente_Mes!$L$2:$L$433,Desconto_Cliente_Mes!$A$2:$A$433,I$40,Desconto_Cliente_Mes!$B$2:$B$433,$A40,Desconto_Cliente_Mes!$C$2:$C$433,"Umidade"))-(SUMIFS(Desconto_Cliente_Mes!$N$2:$N$433,Desconto_Cliente_Mes!$A$2:$A$433,I$40,Desconto_Cliente_Mes!$B$2:$B$433,$A40,Desconto_Cliente_Mes!$C$2:$C$433,"Umidade")))</f>
        <v>0</v>
      </c>
      <c r="J43" s="15" t="n">
        <f aca="false">MAX(0,(SUMIFS(Desconto_Cliente_Mes!$L$2:$L$433,Desconto_Cliente_Mes!$A$2:$A$433,J$40,Desconto_Cliente_Mes!$B$2:$B$433,$A40,Desconto_Cliente_Mes!$C$2:$C$433,"Umidade"))-(SUMIFS(Desconto_Cliente_Mes!$N$2:$N$433,Desconto_Cliente_Mes!$A$2:$A$433,J$40,Desconto_Cliente_Mes!$B$2:$B$433,$A40,Desconto_Cliente_Mes!$C$2:$C$433,"Umidade")))</f>
        <v>0</v>
      </c>
      <c r="K43" s="15" t="n">
        <f aca="false">MAX(0,(SUMIFS(Desconto_Cliente_Mes!$L$2:$L$433,Desconto_Cliente_Mes!$A$2:$A$433,K$40,Desconto_Cliente_Mes!$B$2:$B$433,$A40,Desconto_Cliente_Mes!$C$2:$C$433,"Umidade"))-(SUMIFS(Desconto_Cliente_Mes!$N$2:$N$433,Desconto_Cliente_Mes!$A$2:$A$433,K$40,Desconto_Cliente_Mes!$B$2:$B$433,$A40,Desconto_Cliente_Mes!$C$2:$C$433,"Umidade")))</f>
        <v>0</v>
      </c>
      <c r="L43" s="15" t="n">
        <f aca="false">MAX(0,(SUMIFS(Desconto_Cliente_Mes!$L$2:$L$433,Desconto_Cliente_Mes!$A$2:$A$433,L$40,Desconto_Cliente_Mes!$B$2:$B$433,$A40,Desconto_Cliente_Mes!$C$2:$C$433,"Umidade"))-(SUMIFS(Desconto_Cliente_Mes!$N$2:$N$433,Desconto_Cliente_Mes!$A$2:$A$433,L$40,Desconto_Cliente_Mes!$B$2:$B$433,$A40,Desconto_Cliente_Mes!$C$2:$C$433,"Umidade")))</f>
        <v>0</v>
      </c>
      <c r="M43" s="15" t="n">
        <f aca="false">MAX(0,(SUMIFS(Desconto_Cliente_Mes!$L$2:$L$433,Desconto_Cliente_Mes!$A$2:$A$433,M$40,Desconto_Cliente_Mes!$B$2:$B$433,$A40,Desconto_Cliente_Mes!$C$2:$C$433,"Umidade"))-(SUMIFS(Desconto_Cliente_Mes!$N$2:$N$433,Desconto_Cliente_Mes!$A$2:$A$433,M$40,Desconto_Cliente_Mes!$B$2:$B$433,$A40,Desconto_Cliente_Mes!$C$2:$C$433,"Umidade")))</f>
        <v>0</v>
      </c>
    </row>
    <row r="44" customFormat="false" ht="15" hidden="false" customHeight="false" outlineLevel="0" collapsed="false">
      <c r="A44" s="13" t="s">
        <v>77</v>
      </c>
      <c r="B44" s="15" t="n">
        <f aca="false">MAX(0,(SUMIFS(Desconto_Cliente_Mes!$N$2:$N$433,Desconto_Cliente_Mes!$A$2:$A$433,B$40,Desconto_Cliente_Mes!$B$2:$B$433,$A40,Desconto_Cliente_Mes!$C$2:$C$433,"Umidade"))-(SUMIFS(Desconto_Cliente_Mes!$P$2:$P$433,Desconto_Cliente_Mes!$A$2:$A$433,B$40,Desconto_Cliente_Mes!$B$2:$B$433,$A40,Desconto_Cliente_Mes!$C$2:$C$433,"Umidade")))</f>
        <v>0</v>
      </c>
      <c r="C44" s="15" t="n">
        <f aca="false">MAX(0,(SUMIFS(Desconto_Cliente_Mes!$N$2:$N$433,Desconto_Cliente_Mes!$A$2:$A$433,C$40,Desconto_Cliente_Mes!$B$2:$B$433,$A40,Desconto_Cliente_Mes!$C$2:$C$433,"Umidade"))-(SUMIFS(Desconto_Cliente_Mes!$P$2:$P$433,Desconto_Cliente_Mes!$A$2:$A$433,C$40,Desconto_Cliente_Mes!$B$2:$B$433,$A40,Desconto_Cliente_Mes!$C$2:$C$433,"Umidade")))</f>
        <v>0</v>
      </c>
      <c r="D44" s="15" t="n">
        <f aca="false">MAX(0,(SUMIFS(Desconto_Cliente_Mes!$N$2:$N$433,Desconto_Cliente_Mes!$A$2:$A$433,D$40,Desconto_Cliente_Mes!$B$2:$B$433,$A40,Desconto_Cliente_Mes!$C$2:$C$433,"Umidade"))-(SUMIFS(Desconto_Cliente_Mes!$P$2:$P$433,Desconto_Cliente_Mes!$A$2:$A$433,D$40,Desconto_Cliente_Mes!$B$2:$B$433,$A40,Desconto_Cliente_Mes!$C$2:$C$433,"Umidade")))</f>
        <v>0</v>
      </c>
      <c r="E44" s="15" t="n">
        <f aca="false">MAX(0,(SUMIFS(Desconto_Cliente_Mes!$N$2:$N$433,Desconto_Cliente_Mes!$A$2:$A$433,E$40,Desconto_Cliente_Mes!$B$2:$B$433,$A40,Desconto_Cliente_Mes!$C$2:$C$433,"Umidade"))-(SUMIFS(Desconto_Cliente_Mes!$P$2:$P$433,Desconto_Cliente_Mes!$A$2:$A$433,E$40,Desconto_Cliente_Mes!$B$2:$B$433,$A40,Desconto_Cliente_Mes!$C$2:$C$433,"Umidade")))</f>
        <v>0</v>
      </c>
      <c r="F44" s="15" t="n">
        <f aca="false">MAX(0,(SUMIFS(Desconto_Cliente_Mes!$N$2:$N$433,Desconto_Cliente_Mes!$A$2:$A$433,F$40,Desconto_Cliente_Mes!$B$2:$B$433,$A40,Desconto_Cliente_Mes!$C$2:$C$433,"Umidade"))-(SUMIFS(Desconto_Cliente_Mes!$P$2:$P$433,Desconto_Cliente_Mes!$A$2:$A$433,F$40,Desconto_Cliente_Mes!$B$2:$B$433,$A40,Desconto_Cliente_Mes!$C$2:$C$433,"Umidade")))</f>
        <v>0</v>
      </c>
      <c r="G44" s="15" t="n">
        <f aca="false">MAX(0,(SUMIFS(Desconto_Cliente_Mes!$N$2:$N$433,Desconto_Cliente_Mes!$A$2:$A$433,G$40,Desconto_Cliente_Mes!$B$2:$B$433,$A40,Desconto_Cliente_Mes!$C$2:$C$433,"Umidade"))-(SUMIFS(Desconto_Cliente_Mes!$P$2:$P$433,Desconto_Cliente_Mes!$A$2:$A$433,G$40,Desconto_Cliente_Mes!$B$2:$B$433,$A40,Desconto_Cliente_Mes!$C$2:$C$433,"Umidade")))</f>
        <v>0</v>
      </c>
      <c r="H44" s="15" t="n">
        <f aca="false">MAX(0,(SUMIFS(Desconto_Cliente_Mes!$N$2:$N$433,Desconto_Cliente_Mes!$A$2:$A$433,H$40,Desconto_Cliente_Mes!$B$2:$B$433,$A40,Desconto_Cliente_Mes!$C$2:$C$433,"Umidade"))-(SUMIFS(Desconto_Cliente_Mes!$P$2:$P$433,Desconto_Cliente_Mes!$A$2:$A$433,H$40,Desconto_Cliente_Mes!$B$2:$B$433,$A40,Desconto_Cliente_Mes!$C$2:$C$433,"Umidade")))</f>
        <v>0</v>
      </c>
      <c r="I44" s="15" t="n">
        <f aca="false">MAX(0,(SUMIFS(Desconto_Cliente_Mes!$N$2:$N$433,Desconto_Cliente_Mes!$A$2:$A$433,I$40,Desconto_Cliente_Mes!$B$2:$B$433,$A40,Desconto_Cliente_Mes!$C$2:$C$433,"Umidade"))-(SUMIFS(Desconto_Cliente_Mes!$P$2:$P$433,Desconto_Cliente_Mes!$A$2:$A$433,I$40,Desconto_Cliente_Mes!$B$2:$B$433,$A40,Desconto_Cliente_Mes!$C$2:$C$433,"Umidade")))</f>
        <v>0</v>
      </c>
      <c r="J44" s="15" t="n">
        <f aca="false">MAX(0,(SUMIFS(Desconto_Cliente_Mes!$N$2:$N$433,Desconto_Cliente_Mes!$A$2:$A$433,J$40,Desconto_Cliente_Mes!$B$2:$B$433,$A40,Desconto_Cliente_Mes!$C$2:$C$433,"Umidade"))-(SUMIFS(Desconto_Cliente_Mes!$P$2:$P$433,Desconto_Cliente_Mes!$A$2:$A$433,J$40,Desconto_Cliente_Mes!$B$2:$B$433,$A40,Desconto_Cliente_Mes!$C$2:$C$433,"Umidade")))</f>
        <v>0</v>
      </c>
      <c r="K44" s="15" t="n">
        <f aca="false">MAX(0,(SUMIFS(Desconto_Cliente_Mes!$N$2:$N$433,Desconto_Cliente_Mes!$A$2:$A$433,K$40,Desconto_Cliente_Mes!$B$2:$B$433,$A40,Desconto_Cliente_Mes!$C$2:$C$433,"Umidade"))-(SUMIFS(Desconto_Cliente_Mes!$P$2:$P$433,Desconto_Cliente_Mes!$A$2:$A$433,K$40,Desconto_Cliente_Mes!$B$2:$B$433,$A40,Desconto_Cliente_Mes!$C$2:$C$433,"Umidade")))</f>
        <v>0</v>
      </c>
      <c r="L44" s="15" t="n">
        <f aca="false">MAX(0,(SUMIFS(Desconto_Cliente_Mes!$N$2:$N$433,Desconto_Cliente_Mes!$A$2:$A$433,L$40,Desconto_Cliente_Mes!$B$2:$B$433,$A40,Desconto_Cliente_Mes!$C$2:$C$433,"Umidade"))-(SUMIFS(Desconto_Cliente_Mes!$P$2:$P$433,Desconto_Cliente_Mes!$A$2:$A$433,L$40,Desconto_Cliente_Mes!$B$2:$B$433,$A40,Desconto_Cliente_Mes!$C$2:$C$433,"Umidade")))</f>
        <v>0</v>
      </c>
      <c r="M44" s="15" t="n">
        <f aca="false">MAX(0,(SUMIFS(Desconto_Cliente_Mes!$N$2:$N$433,Desconto_Cliente_Mes!$A$2:$A$433,M$40,Desconto_Cliente_Mes!$B$2:$B$433,$A40,Desconto_Cliente_Mes!$C$2:$C$433,"Umidade"))-(SUMIFS(Desconto_Cliente_Mes!$P$2:$P$433,Desconto_Cliente_Mes!$A$2:$A$433,M$40,Desconto_Cliente_Mes!$B$2:$B$433,$A40,Desconto_Cliente_Mes!$C$2:$C$433,"Umidade")))</f>
        <v>0</v>
      </c>
    </row>
    <row r="45" customFormat="false" ht="15" hidden="false" customHeight="false" outlineLevel="0" collapsed="false">
      <c r="A45" s="13" t="s">
        <v>78</v>
      </c>
      <c r="B45" s="15" t="n">
        <f aca="false">MAX(0,SUMIFS(Desconto_Cliente_Mes!$P$2:$P$433,Desconto_Cliente_Mes!$A$2:$A$433,B$40,Desconto_Cliente_Mes!$B$2:$B$433,$A40,Desconto_Cliente_Mes!$C$2:$C$433,"Umidade"))</f>
        <v>0</v>
      </c>
      <c r="C45" s="15" t="n">
        <f aca="false">MAX(0,SUMIFS(Desconto_Cliente_Mes!$P$2:$P$433,Desconto_Cliente_Mes!$A$2:$A$433,C$40,Desconto_Cliente_Mes!$B$2:$B$433,$A40,Desconto_Cliente_Mes!$C$2:$C$433,"Umidade"))</f>
        <v>0</v>
      </c>
      <c r="D45" s="15" t="n">
        <f aca="false">MAX(0,SUMIFS(Desconto_Cliente_Mes!$P$2:$P$433,Desconto_Cliente_Mes!$A$2:$A$433,D$40,Desconto_Cliente_Mes!$B$2:$B$433,$A40,Desconto_Cliente_Mes!$C$2:$C$433,"Umidade"))</f>
        <v>0</v>
      </c>
      <c r="E45" s="15" t="n">
        <f aca="false">MAX(0,SUMIFS(Desconto_Cliente_Mes!$P$2:$P$433,Desconto_Cliente_Mes!$A$2:$A$433,E$40,Desconto_Cliente_Mes!$B$2:$B$433,$A40,Desconto_Cliente_Mes!$C$2:$C$433,"Umidade"))</f>
        <v>0</v>
      </c>
      <c r="F45" s="15" t="n">
        <f aca="false">MAX(0,SUMIFS(Desconto_Cliente_Mes!$P$2:$P$433,Desconto_Cliente_Mes!$A$2:$A$433,F$40,Desconto_Cliente_Mes!$B$2:$B$433,$A40,Desconto_Cliente_Mes!$C$2:$C$433,"Umidade"))</f>
        <v>0</v>
      </c>
      <c r="G45" s="15" t="n">
        <f aca="false">MAX(0,SUMIFS(Desconto_Cliente_Mes!$P$2:$P$433,Desconto_Cliente_Mes!$A$2:$A$433,G$40,Desconto_Cliente_Mes!$B$2:$B$433,$A40,Desconto_Cliente_Mes!$C$2:$C$433,"Umidade"))</f>
        <v>0</v>
      </c>
      <c r="H45" s="15" t="n">
        <f aca="false">MAX(0,SUMIFS(Desconto_Cliente_Mes!$P$2:$P$433,Desconto_Cliente_Mes!$A$2:$A$433,H$40,Desconto_Cliente_Mes!$B$2:$B$433,$A40,Desconto_Cliente_Mes!$C$2:$C$433,"Umidade"))</f>
        <v>0</v>
      </c>
      <c r="I45" s="15" t="n">
        <f aca="false">MAX(0,SUMIFS(Desconto_Cliente_Mes!$P$2:$P$433,Desconto_Cliente_Mes!$A$2:$A$433,I$40,Desconto_Cliente_Mes!$B$2:$B$433,$A40,Desconto_Cliente_Mes!$C$2:$C$433,"Umidade"))</f>
        <v>0</v>
      </c>
      <c r="J45" s="15" t="n">
        <f aca="false">MAX(0,SUMIFS(Desconto_Cliente_Mes!$P$2:$P$433,Desconto_Cliente_Mes!$A$2:$A$433,J$40,Desconto_Cliente_Mes!$B$2:$B$433,$A40,Desconto_Cliente_Mes!$C$2:$C$433,"Umidade"))</f>
        <v>0</v>
      </c>
      <c r="K45" s="15" t="n">
        <f aca="false">MAX(0,SUMIFS(Desconto_Cliente_Mes!$P$2:$P$433,Desconto_Cliente_Mes!$A$2:$A$433,K$40,Desconto_Cliente_Mes!$B$2:$B$433,$A40,Desconto_Cliente_Mes!$C$2:$C$433,"Umidade"))</f>
        <v>0</v>
      </c>
      <c r="L45" s="15" t="n">
        <f aca="false">MAX(0,SUMIFS(Desconto_Cliente_Mes!$P$2:$P$433,Desconto_Cliente_Mes!$A$2:$A$433,L$40,Desconto_Cliente_Mes!$B$2:$B$433,$A40,Desconto_Cliente_Mes!$C$2:$C$433,"Umidade"))</f>
        <v>0</v>
      </c>
      <c r="M45" s="15" t="n">
        <f aca="false">MAX(0,SUMIFS(Desconto_Cliente_Mes!$P$2:$P$433,Desconto_Cliente_Mes!$A$2:$A$433,M$40,Desconto_Cliente_Mes!$B$2:$B$433,$A40,Desconto_Cliente_Mes!$C$2:$C$433,"Umidade"))</f>
        <v>0</v>
      </c>
    </row>
    <row r="46" customFormat="false" ht="15" hidden="false" customHeight="false" outlineLevel="0" collapsed="false">
      <c r="A46" s="13" t="s">
        <v>79</v>
      </c>
      <c r="B46" s="16" t="n">
        <f aca="false">$B$42*($B$43/100)*(SUMIFS(Desconto_Cliente_Mes!$Q$2:$Q$433,Desconto_Cliente_Mes!$A$2:$A$433,B$40,Desconto_Cliente_Mes!$B$2:$B$433,$A40,Desconto_Cliente_Mes!$C$2:$C$433,"Umidade"))*(SUMIFS(Desconto_Cliente_Mes!$T$2:$T$433,Desconto_Cliente_Mes!$A$2:$A$433,B$40,Desconto_Cliente_Mes!$B$2:$B$433,$A40,Desconto_Cliente_Mes!$C$2:$C$433,"Umidade"))</f>
        <v>0</v>
      </c>
      <c r="C46" s="16" t="n">
        <f aca="false">$C$42*($C$43/100)*(SUMIFS(Desconto_Cliente_Mes!$Q$2:$Q$433,Desconto_Cliente_Mes!$A$2:$A$433,C$40,Desconto_Cliente_Mes!$B$2:$B$433,$A40,Desconto_Cliente_Mes!$C$2:$C$433,"Umidade"))*(SUMIFS(Desconto_Cliente_Mes!$T$2:$T$433,Desconto_Cliente_Mes!$A$2:$A$433,C$40,Desconto_Cliente_Mes!$B$2:$B$433,$A40,Desconto_Cliente_Mes!$C$2:$C$433,"Umidade"))</f>
        <v>0</v>
      </c>
      <c r="D46" s="16" t="n">
        <f aca="false">$D$42*($D$43/100)*(SUMIFS(Desconto_Cliente_Mes!$Q$2:$Q$433,Desconto_Cliente_Mes!$A$2:$A$433,D$40,Desconto_Cliente_Mes!$B$2:$B$433,$A40,Desconto_Cliente_Mes!$C$2:$C$433,"Umidade"))*(SUMIFS(Desconto_Cliente_Mes!$T$2:$T$433,Desconto_Cliente_Mes!$A$2:$A$433,D$40,Desconto_Cliente_Mes!$B$2:$B$433,$A40,Desconto_Cliente_Mes!$C$2:$C$433,"Umidade"))</f>
        <v>89392.5188999994</v>
      </c>
      <c r="E46" s="16" t="n">
        <f aca="false">$E$42*($E$43/100)*(SUMIFS(Desconto_Cliente_Mes!$Q$2:$Q$433,Desconto_Cliente_Mes!$A$2:$A$433,E$40,Desconto_Cliente_Mes!$B$2:$B$433,$A40,Desconto_Cliente_Mes!$C$2:$C$433,"Umidade"))*(SUMIFS(Desconto_Cliente_Mes!$T$2:$T$433,Desconto_Cliente_Mes!$A$2:$A$433,E$40,Desconto_Cliente_Mes!$B$2:$B$433,$A40,Desconto_Cliente_Mes!$C$2:$C$433,"Umidade"))</f>
        <v>0</v>
      </c>
      <c r="F46" s="16" t="n">
        <f aca="false">$F$42*($F$43/100)*(SUMIFS(Desconto_Cliente_Mes!$Q$2:$Q$433,Desconto_Cliente_Mes!$A$2:$A$433,F$40,Desconto_Cliente_Mes!$B$2:$B$433,$A40,Desconto_Cliente_Mes!$C$2:$C$433,"Umidade"))*(SUMIFS(Desconto_Cliente_Mes!$T$2:$T$433,Desconto_Cliente_Mes!$A$2:$A$433,F$40,Desconto_Cliente_Mes!$B$2:$B$433,$A40,Desconto_Cliente_Mes!$C$2:$C$433,"Umidade"))</f>
        <v>0</v>
      </c>
      <c r="G46" s="16" t="n">
        <f aca="false">$G$42*($G$43/100)*(SUMIFS(Desconto_Cliente_Mes!$Q$2:$Q$433,Desconto_Cliente_Mes!$A$2:$A$433,G$40,Desconto_Cliente_Mes!$B$2:$B$433,$A40,Desconto_Cliente_Mes!$C$2:$C$433,"Umidade"))*(SUMIFS(Desconto_Cliente_Mes!$T$2:$T$433,Desconto_Cliente_Mes!$A$2:$A$433,G$40,Desconto_Cliente_Mes!$B$2:$B$433,$A40,Desconto_Cliente_Mes!$C$2:$C$433,"Umidade"))</f>
        <v>0</v>
      </c>
      <c r="H46" s="16" t="n">
        <f aca="false">$H$42*($H$43/100)*(SUMIFS(Desconto_Cliente_Mes!$Q$2:$Q$433,Desconto_Cliente_Mes!$A$2:$A$433,H$40,Desconto_Cliente_Mes!$B$2:$B$433,$A40,Desconto_Cliente_Mes!$C$2:$C$433,"Umidade"))*(SUMIFS(Desconto_Cliente_Mes!$T$2:$T$433,Desconto_Cliente_Mes!$A$2:$A$433,H$40,Desconto_Cliente_Mes!$B$2:$B$433,$A40,Desconto_Cliente_Mes!$C$2:$C$433,"Umidade"))</f>
        <v>0</v>
      </c>
      <c r="I46" s="16" t="n">
        <f aca="false">$I$42*($I$43/100)*(SUMIFS(Desconto_Cliente_Mes!$Q$2:$Q$433,Desconto_Cliente_Mes!$A$2:$A$433,I$40,Desconto_Cliente_Mes!$B$2:$B$433,$A40,Desconto_Cliente_Mes!$C$2:$C$433,"Umidade"))*(SUMIFS(Desconto_Cliente_Mes!$T$2:$T$433,Desconto_Cliente_Mes!$A$2:$A$433,I$40,Desconto_Cliente_Mes!$B$2:$B$433,$A40,Desconto_Cliente_Mes!$C$2:$C$433,"Umidade"))</f>
        <v>0</v>
      </c>
      <c r="J46" s="16" t="n">
        <f aca="false">$J$42*($J$43/100)*(SUMIFS(Desconto_Cliente_Mes!$Q$2:$Q$433,Desconto_Cliente_Mes!$A$2:$A$433,J$40,Desconto_Cliente_Mes!$B$2:$B$433,$A40,Desconto_Cliente_Mes!$C$2:$C$433,"Umidade"))*(SUMIFS(Desconto_Cliente_Mes!$T$2:$T$433,Desconto_Cliente_Mes!$A$2:$A$433,J$40,Desconto_Cliente_Mes!$B$2:$B$433,$A40,Desconto_Cliente_Mes!$C$2:$C$433,"Umidade"))</f>
        <v>0</v>
      </c>
      <c r="K46" s="16" t="n">
        <f aca="false">$K$42*($K$43/100)*(SUMIFS(Desconto_Cliente_Mes!$Q$2:$Q$433,Desconto_Cliente_Mes!$A$2:$A$433,K$40,Desconto_Cliente_Mes!$B$2:$B$433,$A40,Desconto_Cliente_Mes!$C$2:$C$433,"Umidade"))*(SUMIFS(Desconto_Cliente_Mes!$T$2:$T$433,Desconto_Cliente_Mes!$A$2:$A$433,K$40,Desconto_Cliente_Mes!$B$2:$B$433,$A40,Desconto_Cliente_Mes!$C$2:$C$433,"Umidade"))</f>
        <v>0</v>
      </c>
      <c r="L46" s="16" t="n">
        <f aca="false">$L$42*($L$43/100)*(SUMIFS(Desconto_Cliente_Mes!$Q$2:$Q$433,Desconto_Cliente_Mes!$A$2:$A$433,L$40,Desconto_Cliente_Mes!$B$2:$B$433,$A40,Desconto_Cliente_Mes!$C$2:$C$433,"Umidade"))*(SUMIFS(Desconto_Cliente_Mes!$T$2:$T$433,Desconto_Cliente_Mes!$A$2:$A$433,L$40,Desconto_Cliente_Mes!$B$2:$B$433,$A40,Desconto_Cliente_Mes!$C$2:$C$433,"Umidade"))</f>
        <v>0</v>
      </c>
      <c r="M46" s="16" t="n">
        <f aca="false">$M$42*($M$43/100)*(SUMIFS(Desconto_Cliente_Mes!$Q$2:$Q$433,Desconto_Cliente_Mes!$A$2:$A$433,M$40,Desconto_Cliente_Mes!$B$2:$B$433,$A40,Desconto_Cliente_Mes!$C$2:$C$433,"Umidade"))*(SUMIFS(Desconto_Cliente_Mes!$T$2:$T$433,Desconto_Cliente_Mes!$A$2:$A$433,M$40,Desconto_Cliente_Mes!$B$2:$B$433,$A40,Desconto_Cliente_Mes!$C$2:$C$433,"Umidade"))</f>
        <v>0</v>
      </c>
      <c r="N46" s="17" t="n">
        <f aca="false">SUM(B46:M46)</f>
        <v>89392.5188999994</v>
      </c>
    </row>
    <row r="47" customFormat="false" ht="15" hidden="false" customHeight="false" outlineLevel="0" collapsed="false">
      <c r="A47" s="13" t="s">
        <v>80</v>
      </c>
      <c r="B47" s="16" t="n">
        <f aca="false">$B$42*($B$44/100)*((IF(SUMIFS(Desconto_Cliente_Mes!$R$2:$R$433,Desconto_Cliente_Mes!$A$2:$A$433,B$40,Desconto_Cliente_Mes!$B$2:$B$433,$A40,Desconto_Cliente_Mes!$C$2:$C$433,"Umidade")="",SUMIFS(Desconto_Cliente_Mes!$Q$2:$Q$433,Desconto_Cliente_Mes!$A$2:$A$433,B$40,Desconto_Cliente_Mes!$B$2:$B$433,$A40,Desconto_Cliente_Mes!$C$2:$C$433,"Umidade"),SUMIFS(Desconto_Cliente_Mes!$R$2:$R$433,Desconto_Cliente_Mes!$A$2:$A$433,B$40,Desconto_Cliente_Mes!$B$2:$B$433,$A40,Desconto_Cliente_Mes!$C$2:$C$433,"Umidade")))-(SUMIFS(Desconto_Cliente_Mes!$Q$2:$Q$433,Desconto_Cliente_Mes!$A$2:$A$433,B$40,Desconto_Cliente_Mes!$B$2:$B$433,$A40,Desconto_Cliente_Mes!$C$2:$C$433,"Umidade")))*(SUMIFS(Desconto_Cliente_Mes!$T$2:$T$433,Desconto_Cliente_Mes!$A$2:$A$433,B$40,Desconto_Cliente_Mes!$B$2:$B$433,$A40,Desconto_Cliente_Mes!$C$2:$C$433,"Umidade"))</f>
        <v>-0</v>
      </c>
      <c r="C47" s="16" t="n">
        <f aca="false">$C$42*($C$44/100)*((IF(SUMIFS(Desconto_Cliente_Mes!$R$2:$R$433,Desconto_Cliente_Mes!$A$2:$A$433,C$40,Desconto_Cliente_Mes!$B$2:$B$433,$A40,Desconto_Cliente_Mes!$C$2:$C$433,"Umidade")="",SUMIFS(Desconto_Cliente_Mes!$Q$2:$Q$433,Desconto_Cliente_Mes!$A$2:$A$433,C$40,Desconto_Cliente_Mes!$B$2:$B$433,$A40,Desconto_Cliente_Mes!$C$2:$C$433,"Umidade"),SUMIFS(Desconto_Cliente_Mes!$R$2:$R$433,Desconto_Cliente_Mes!$A$2:$A$433,C$40,Desconto_Cliente_Mes!$B$2:$B$433,$A40,Desconto_Cliente_Mes!$C$2:$C$433,"Umidade")))-(SUMIFS(Desconto_Cliente_Mes!$Q$2:$Q$433,Desconto_Cliente_Mes!$A$2:$A$433,C$40,Desconto_Cliente_Mes!$B$2:$B$433,$A40,Desconto_Cliente_Mes!$C$2:$C$433,"Umidade")))*(SUMIFS(Desconto_Cliente_Mes!$T$2:$T$433,Desconto_Cliente_Mes!$A$2:$A$433,C$40,Desconto_Cliente_Mes!$B$2:$B$433,$A40,Desconto_Cliente_Mes!$C$2:$C$433,"Umidade"))</f>
        <v>-0</v>
      </c>
      <c r="D47" s="16" t="n">
        <f aca="false">$D$42*($D$44/100)*((IF(SUMIFS(Desconto_Cliente_Mes!$R$2:$R$433,Desconto_Cliente_Mes!$A$2:$A$433,D$40,Desconto_Cliente_Mes!$B$2:$B$433,$A40,Desconto_Cliente_Mes!$C$2:$C$433,"Umidade")="",SUMIFS(Desconto_Cliente_Mes!$Q$2:$Q$433,Desconto_Cliente_Mes!$A$2:$A$433,D$40,Desconto_Cliente_Mes!$B$2:$B$433,$A40,Desconto_Cliente_Mes!$C$2:$C$433,"Umidade"),SUMIFS(Desconto_Cliente_Mes!$R$2:$R$433,Desconto_Cliente_Mes!$A$2:$A$433,D$40,Desconto_Cliente_Mes!$B$2:$B$433,$A40,Desconto_Cliente_Mes!$C$2:$C$433,"Umidade")))-(SUMIFS(Desconto_Cliente_Mes!$Q$2:$Q$433,Desconto_Cliente_Mes!$A$2:$A$433,D$40,Desconto_Cliente_Mes!$B$2:$B$433,$A40,Desconto_Cliente_Mes!$C$2:$C$433,"Umidade")))*(SUMIFS(Desconto_Cliente_Mes!$T$2:$T$433,Desconto_Cliente_Mes!$A$2:$A$433,D$40,Desconto_Cliente_Mes!$B$2:$B$433,$A40,Desconto_Cliente_Mes!$C$2:$C$433,"Umidade"))</f>
        <v>-0</v>
      </c>
      <c r="E47" s="16" t="n">
        <f aca="false">$E$42*($E$44/100)*((IF(SUMIFS(Desconto_Cliente_Mes!$R$2:$R$433,Desconto_Cliente_Mes!$A$2:$A$433,E$40,Desconto_Cliente_Mes!$B$2:$B$433,$A40,Desconto_Cliente_Mes!$C$2:$C$433,"Umidade")="",SUMIFS(Desconto_Cliente_Mes!$Q$2:$Q$433,Desconto_Cliente_Mes!$A$2:$A$433,E$40,Desconto_Cliente_Mes!$B$2:$B$433,$A40,Desconto_Cliente_Mes!$C$2:$C$433,"Umidade"),SUMIFS(Desconto_Cliente_Mes!$R$2:$R$433,Desconto_Cliente_Mes!$A$2:$A$433,E$40,Desconto_Cliente_Mes!$B$2:$B$433,$A40,Desconto_Cliente_Mes!$C$2:$C$433,"Umidade")))-(SUMIFS(Desconto_Cliente_Mes!$Q$2:$Q$433,Desconto_Cliente_Mes!$A$2:$A$433,E$40,Desconto_Cliente_Mes!$B$2:$B$433,$A40,Desconto_Cliente_Mes!$C$2:$C$433,"Umidade")))*(SUMIFS(Desconto_Cliente_Mes!$T$2:$T$433,Desconto_Cliente_Mes!$A$2:$A$433,E$40,Desconto_Cliente_Mes!$B$2:$B$433,$A40,Desconto_Cliente_Mes!$C$2:$C$433,"Umidade"))</f>
        <v>-0</v>
      </c>
      <c r="F47" s="16" t="n">
        <f aca="false">$F$42*($F$44/100)*((IF(SUMIFS(Desconto_Cliente_Mes!$R$2:$R$433,Desconto_Cliente_Mes!$A$2:$A$433,F$40,Desconto_Cliente_Mes!$B$2:$B$433,$A40,Desconto_Cliente_Mes!$C$2:$C$433,"Umidade")="",SUMIFS(Desconto_Cliente_Mes!$Q$2:$Q$433,Desconto_Cliente_Mes!$A$2:$A$433,F$40,Desconto_Cliente_Mes!$B$2:$B$433,$A40,Desconto_Cliente_Mes!$C$2:$C$433,"Umidade"),SUMIFS(Desconto_Cliente_Mes!$R$2:$R$433,Desconto_Cliente_Mes!$A$2:$A$433,F$40,Desconto_Cliente_Mes!$B$2:$B$433,$A40,Desconto_Cliente_Mes!$C$2:$C$433,"Umidade")))-(SUMIFS(Desconto_Cliente_Mes!$Q$2:$Q$433,Desconto_Cliente_Mes!$A$2:$A$433,F$40,Desconto_Cliente_Mes!$B$2:$B$433,$A40,Desconto_Cliente_Mes!$C$2:$C$433,"Umidade")))*(SUMIFS(Desconto_Cliente_Mes!$T$2:$T$433,Desconto_Cliente_Mes!$A$2:$A$433,F$40,Desconto_Cliente_Mes!$B$2:$B$433,$A40,Desconto_Cliente_Mes!$C$2:$C$433,"Umidade"))</f>
        <v>-0</v>
      </c>
      <c r="G47" s="16" t="n">
        <f aca="false">$G$42*($G$44/100)*((IF(SUMIFS(Desconto_Cliente_Mes!$R$2:$R$433,Desconto_Cliente_Mes!$A$2:$A$433,G$40,Desconto_Cliente_Mes!$B$2:$B$433,$A40,Desconto_Cliente_Mes!$C$2:$C$433,"Umidade")="",SUMIFS(Desconto_Cliente_Mes!$Q$2:$Q$433,Desconto_Cliente_Mes!$A$2:$A$433,G$40,Desconto_Cliente_Mes!$B$2:$B$433,$A40,Desconto_Cliente_Mes!$C$2:$C$433,"Umidade"),SUMIFS(Desconto_Cliente_Mes!$R$2:$R$433,Desconto_Cliente_Mes!$A$2:$A$433,G$40,Desconto_Cliente_Mes!$B$2:$B$433,$A40,Desconto_Cliente_Mes!$C$2:$C$433,"Umidade")))-(SUMIFS(Desconto_Cliente_Mes!$Q$2:$Q$433,Desconto_Cliente_Mes!$A$2:$A$433,G$40,Desconto_Cliente_Mes!$B$2:$B$433,$A40,Desconto_Cliente_Mes!$C$2:$C$433,"Umidade")))*(SUMIFS(Desconto_Cliente_Mes!$T$2:$T$433,Desconto_Cliente_Mes!$A$2:$A$433,G$40,Desconto_Cliente_Mes!$B$2:$B$433,$A40,Desconto_Cliente_Mes!$C$2:$C$433,"Umidade"))</f>
        <v>-0</v>
      </c>
      <c r="H47" s="16" t="n">
        <f aca="false">$H$42*($H$44/100)*((IF(SUMIFS(Desconto_Cliente_Mes!$R$2:$R$433,Desconto_Cliente_Mes!$A$2:$A$433,H$40,Desconto_Cliente_Mes!$B$2:$B$433,$A40,Desconto_Cliente_Mes!$C$2:$C$433,"Umidade")="",SUMIFS(Desconto_Cliente_Mes!$Q$2:$Q$433,Desconto_Cliente_Mes!$A$2:$A$433,H$40,Desconto_Cliente_Mes!$B$2:$B$433,$A40,Desconto_Cliente_Mes!$C$2:$C$433,"Umidade"),SUMIFS(Desconto_Cliente_Mes!$R$2:$R$433,Desconto_Cliente_Mes!$A$2:$A$433,H$40,Desconto_Cliente_Mes!$B$2:$B$433,$A40,Desconto_Cliente_Mes!$C$2:$C$433,"Umidade")))-(SUMIFS(Desconto_Cliente_Mes!$Q$2:$Q$433,Desconto_Cliente_Mes!$A$2:$A$433,H$40,Desconto_Cliente_Mes!$B$2:$B$433,$A40,Desconto_Cliente_Mes!$C$2:$C$433,"Umidade")))*(SUMIFS(Desconto_Cliente_Mes!$T$2:$T$433,Desconto_Cliente_Mes!$A$2:$A$433,H$40,Desconto_Cliente_Mes!$B$2:$B$433,$A40,Desconto_Cliente_Mes!$C$2:$C$433,"Umidade"))</f>
        <v>-0</v>
      </c>
      <c r="I47" s="16" t="n">
        <f aca="false">$I$42*($I$44/100)*((IF(SUMIFS(Desconto_Cliente_Mes!$R$2:$R$433,Desconto_Cliente_Mes!$A$2:$A$433,I$40,Desconto_Cliente_Mes!$B$2:$B$433,$A40,Desconto_Cliente_Mes!$C$2:$C$433,"Umidade")="",SUMIFS(Desconto_Cliente_Mes!$Q$2:$Q$433,Desconto_Cliente_Mes!$A$2:$A$433,I$40,Desconto_Cliente_Mes!$B$2:$B$433,$A40,Desconto_Cliente_Mes!$C$2:$C$433,"Umidade"),SUMIFS(Desconto_Cliente_Mes!$R$2:$R$433,Desconto_Cliente_Mes!$A$2:$A$433,I$40,Desconto_Cliente_Mes!$B$2:$B$433,$A40,Desconto_Cliente_Mes!$C$2:$C$433,"Umidade")))-(SUMIFS(Desconto_Cliente_Mes!$Q$2:$Q$433,Desconto_Cliente_Mes!$A$2:$A$433,I$40,Desconto_Cliente_Mes!$B$2:$B$433,$A40,Desconto_Cliente_Mes!$C$2:$C$433,"Umidade")))*(SUMIFS(Desconto_Cliente_Mes!$T$2:$T$433,Desconto_Cliente_Mes!$A$2:$A$433,I$40,Desconto_Cliente_Mes!$B$2:$B$433,$A40,Desconto_Cliente_Mes!$C$2:$C$433,"Umidade"))</f>
        <v>-0</v>
      </c>
      <c r="J47" s="16" t="n">
        <f aca="false">$J$42*($J$44/100)*((IF(SUMIFS(Desconto_Cliente_Mes!$R$2:$R$433,Desconto_Cliente_Mes!$A$2:$A$433,J$40,Desconto_Cliente_Mes!$B$2:$B$433,$A40,Desconto_Cliente_Mes!$C$2:$C$433,"Umidade")="",SUMIFS(Desconto_Cliente_Mes!$Q$2:$Q$433,Desconto_Cliente_Mes!$A$2:$A$433,J$40,Desconto_Cliente_Mes!$B$2:$B$433,$A40,Desconto_Cliente_Mes!$C$2:$C$433,"Umidade"),SUMIFS(Desconto_Cliente_Mes!$R$2:$R$433,Desconto_Cliente_Mes!$A$2:$A$433,J$40,Desconto_Cliente_Mes!$B$2:$B$433,$A40,Desconto_Cliente_Mes!$C$2:$C$433,"Umidade")))-(SUMIFS(Desconto_Cliente_Mes!$Q$2:$Q$433,Desconto_Cliente_Mes!$A$2:$A$433,J$40,Desconto_Cliente_Mes!$B$2:$B$433,$A40,Desconto_Cliente_Mes!$C$2:$C$433,"Umidade")))*(SUMIFS(Desconto_Cliente_Mes!$T$2:$T$433,Desconto_Cliente_Mes!$A$2:$A$433,J$40,Desconto_Cliente_Mes!$B$2:$B$433,$A40,Desconto_Cliente_Mes!$C$2:$C$433,"Umidade"))</f>
        <v>-0</v>
      </c>
      <c r="K47" s="16" t="n">
        <f aca="false">$K$42*($K$44/100)*((IF(SUMIFS(Desconto_Cliente_Mes!$R$2:$R$433,Desconto_Cliente_Mes!$A$2:$A$433,K$40,Desconto_Cliente_Mes!$B$2:$B$433,$A40,Desconto_Cliente_Mes!$C$2:$C$433,"Umidade")="",SUMIFS(Desconto_Cliente_Mes!$Q$2:$Q$433,Desconto_Cliente_Mes!$A$2:$A$433,K$40,Desconto_Cliente_Mes!$B$2:$B$433,$A40,Desconto_Cliente_Mes!$C$2:$C$433,"Umidade"),SUMIFS(Desconto_Cliente_Mes!$R$2:$R$433,Desconto_Cliente_Mes!$A$2:$A$433,K$40,Desconto_Cliente_Mes!$B$2:$B$433,$A40,Desconto_Cliente_Mes!$C$2:$C$433,"Umidade")))-(SUMIFS(Desconto_Cliente_Mes!$Q$2:$Q$433,Desconto_Cliente_Mes!$A$2:$A$433,K$40,Desconto_Cliente_Mes!$B$2:$B$433,$A40,Desconto_Cliente_Mes!$C$2:$C$433,"Umidade")))*(SUMIFS(Desconto_Cliente_Mes!$T$2:$T$433,Desconto_Cliente_Mes!$A$2:$A$433,K$40,Desconto_Cliente_Mes!$B$2:$B$433,$A40,Desconto_Cliente_Mes!$C$2:$C$433,"Umidade"))</f>
        <v>-0</v>
      </c>
      <c r="L47" s="16" t="n">
        <f aca="false">$L$42*($L$44/100)*((IF(SUMIFS(Desconto_Cliente_Mes!$R$2:$R$433,Desconto_Cliente_Mes!$A$2:$A$433,L$40,Desconto_Cliente_Mes!$B$2:$B$433,$A40,Desconto_Cliente_Mes!$C$2:$C$433,"Umidade")="",SUMIFS(Desconto_Cliente_Mes!$Q$2:$Q$433,Desconto_Cliente_Mes!$A$2:$A$433,L$40,Desconto_Cliente_Mes!$B$2:$B$433,$A40,Desconto_Cliente_Mes!$C$2:$C$433,"Umidade"),SUMIFS(Desconto_Cliente_Mes!$R$2:$R$433,Desconto_Cliente_Mes!$A$2:$A$433,L$40,Desconto_Cliente_Mes!$B$2:$B$433,$A40,Desconto_Cliente_Mes!$C$2:$C$433,"Umidade")))-(SUMIFS(Desconto_Cliente_Mes!$Q$2:$Q$433,Desconto_Cliente_Mes!$A$2:$A$433,L$40,Desconto_Cliente_Mes!$B$2:$B$433,$A40,Desconto_Cliente_Mes!$C$2:$C$433,"Umidade")))*(SUMIFS(Desconto_Cliente_Mes!$T$2:$T$433,Desconto_Cliente_Mes!$A$2:$A$433,L$40,Desconto_Cliente_Mes!$B$2:$B$433,$A40,Desconto_Cliente_Mes!$C$2:$C$433,"Umidade"))</f>
        <v>-0</v>
      </c>
      <c r="M47" s="16" t="n">
        <f aca="false">$M$42*($M$44/100)*((IF(SUMIFS(Desconto_Cliente_Mes!$R$2:$R$433,Desconto_Cliente_Mes!$A$2:$A$433,M$40,Desconto_Cliente_Mes!$B$2:$B$433,$A40,Desconto_Cliente_Mes!$C$2:$C$433,"Umidade")="",SUMIFS(Desconto_Cliente_Mes!$Q$2:$Q$433,Desconto_Cliente_Mes!$A$2:$A$433,M$40,Desconto_Cliente_Mes!$B$2:$B$433,$A40,Desconto_Cliente_Mes!$C$2:$C$433,"Umidade"),SUMIFS(Desconto_Cliente_Mes!$R$2:$R$433,Desconto_Cliente_Mes!$A$2:$A$433,M$40,Desconto_Cliente_Mes!$B$2:$B$433,$A40,Desconto_Cliente_Mes!$C$2:$C$433,"Umidade")))-(SUMIFS(Desconto_Cliente_Mes!$Q$2:$Q$433,Desconto_Cliente_Mes!$A$2:$A$433,M$40,Desconto_Cliente_Mes!$B$2:$B$433,$A40,Desconto_Cliente_Mes!$C$2:$C$433,"Umidade")))*(SUMIFS(Desconto_Cliente_Mes!$T$2:$T$433,Desconto_Cliente_Mes!$A$2:$A$433,M$40,Desconto_Cliente_Mes!$B$2:$B$433,$A40,Desconto_Cliente_Mes!$C$2:$C$433,"Umidade"))</f>
        <v>-0</v>
      </c>
      <c r="N47" s="17" t="n">
        <f aca="false">SUM(B47:M47)</f>
        <v>0</v>
      </c>
    </row>
    <row r="48" customFormat="false" ht="15" hidden="false" customHeight="false" outlineLevel="0" collapsed="false">
      <c r="A48" s="13" t="s">
        <v>81</v>
      </c>
      <c r="B48" s="16" t="n">
        <f aca="false">$B$42*($B$45/100)*((IF(SUMIFS(Desconto_Cliente_Mes!$S$2:$S$433,Desconto_Cliente_Mes!$A$2:$A$433,B$40,Desconto_Cliente_Mes!$B$2:$B$433,$A40,Desconto_Cliente_Mes!$C$2:$C$433,"Umidade")="",(IF(SUMIFS(Desconto_Cliente_Mes!$R$2:$R$433,Desconto_Cliente_Mes!$A$2:$A$433,B$40,Desconto_Cliente_Mes!$B$2:$B$433,$A40,Desconto_Cliente_Mes!$C$2:$C$433,"Umidade")="",SUMIFS(Desconto_Cliente_Mes!$Q$2:$Q$433,Desconto_Cliente_Mes!$A$2:$A$433,B$40,Desconto_Cliente_Mes!$B$2:$B$433,$A40,Desconto_Cliente_Mes!$C$2:$C$433,"Umidade"),SUMIFS(Desconto_Cliente_Mes!$R$2:$R$433,Desconto_Cliente_Mes!$A$2:$A$433,B$40,Desconto_Cliente_Mes!$B$2:$B$433,$A40,Desconto_Cliente_Mes!$C$2:$C$433,"Umidade"))),SUMIFS(Desconto_Cliente_Mes!$S$2:$S$433,Desconto_Cliente_Mes!$A$2:$A$433,B$40,Desconto_Cliente_Mes!$B$2:$B$433,$A40,Desconto_Cliente_Mes!$C$2:$C$433,"Umidade")))-(IF(SUMIFS(Desconto_Cliente_Mes!$R$2:$R$433,Desconto_Cliente_Mes!$A$2:$A$433,B$40,Desconto_Cliente_Mes!$B$2:$B$433,$A40,Desconto_Cliente_Mes!$C$2:$C$433,"Umidade")="",SUMIFS(Desconto_Cliente_Mes!$Q$2:$Q$433,Desconto_Cliente_Mes!$A$2:$A$433,B$40,Desconto_Cliente_Mes!$B$2:$B$433,$A40,Desconto_Cliente_Mes!$C$2:$C$433,"Umidade"),SUMIFS(Desconto_Cliente_Mes!$R$2:$R$433,Desconto_Cliente_Mes!$A$2:$A$433,B$40,Desconto_Cliente_Mes!$B$2:$B$433,$A40,Desconto_Cliente_Mes!$C$2:$C$433,"Umidade"))))*(SUMIFS(Desconto_Cliente_Mes!$T$2:$T$433,Desconto_Cliente_Mes!$A$2:$A$433,B$40,Desconto_Cliente_Mes!$B$2:$B$433,$A40,Desconto_Cliente_Mes!$C$2:$C$433,"Umidade"))</f>
        <v>0</v>
      </c>
      <c r="C48" s="16" t="n">
        <f aca="false">$C$42*($C$45/100)*((IF(SUMIFS(Desconto_Cliente_Mes!$S$2:$S$433,Desconto_Cliente_Mes!$A$2:$A$433,C$40,Desconto_Cliente_Mes!$B$2:$B$433,$A40,Desconto_Cliente_Mes!$C$2:$C$433,"Umidade")="",(IF(SUMIFS(Desconto_Cliente_Mes!$R$2:$R$433,Desconto_Cliente_Mes!$A$2:$A$433,C$40,Desconto_Cliente_Mes!$B$2:$B$433,$A40,Desconto_Cliente_Mes!$C$2:$C$433,"Umidade")="",SUMIFS(Desconto_Cliente_Mes!$Q$2:$Q$433,Desconto_Cliente_Mes!$A$2:$A$433,C$40,Desconto_Cliente_Mes!$B$2:$B$433,$A40,Desconto_Cliente_Mes!$C$2:$C$433,"Umidade"),SUMIFS(Desconto_Cliente_Mes!$R$2:$R$433,Desconto_Cliente_Mes!$A$2:$A$433,C$40,Desconto_Cliente_Mes!$B$2:$B$433,$A40,Desconto_Cliente_Mes!$C$2:$C$433,"Umidade"))),SUMIFS(Desconto_Cliente_Mes!$S$2:$S$433,Desconto_Cliente_Mes!$A$2:$A$433,C$40,Desconto_Cliente_Mes!$B$2:$B$433,$A40,Desconto_Cliente_Mes!$C$2:$C$433,"Umidade")))-(IF(SUMIFS(Desconto_Cliente_Mes!$R$2:$R$433,Desconto_Cliente_Mes!$A$2:$A$433,C$40,Desconto_Cliente_Mes!$B$2:$B$433,$A40,Desconto_Cliente_Mes!$C$2:$C$433,"Umidade")="",SUMIFS(Desconto_Cliente_Mes!$Q$2:$Q$433,Desconto_Cliente_Mes!$A$2:$A$433,C$40,Desconto_Cliente_Mes!$B$2:$B$433,$A40,Desconto_Cliente_Mes!$C$2:$C$433,"Umidade"),SUMIFS(Desconto_Cliente_Mes!$R$2:$R$433,Desconto_Cliente_Mes!$A$2:$A$433,C$40,Desconto_Cliente_Mes!$B$2:$B$433,$A40,Desconto_Cliente_Mes!$C$2:$C$433,"Umidade"))))*(SUMIFS(Desconto_Cliente_Mes!$T$2:$T$433,Desconto_Cliente_Mes!$A$2:$A$433,C$40,Desconto_Cliente_Mes!$B$2:$B$433,$A40,Desconto_Cliente_Mes!$C$2:$C$433,"Umidade"))</f>
        <v>0</v>
      </c>
      <c r="D48" s="16" t="n">
        <f aca="false">$D$42*($D$45/100)*((IF(SUMIFS(Desconto_Cliente_Mes!$S$2:$S$433,Desconto_Cliente_Mes!$A$2:$A$433,D$40,Desconto_Cliente_Mes!$B$2:$B$433,$A40,Desconto_Cliente_Mes!$C$2:$C$433,"Umidade")="",(IF(SUMIFS(Desconto_Cliente_Mes!$R$2:$R$433,Desconto_Cliente_Mes!$A$2:$A$433,D$40,Desconto_Cliente_Mes!$B$2:$B$433,$A40,Desconto_Cliente_Mes!$C$2:$C$433,"Umidade")="",SUMIFS(Desconto_Cliente_Mes!$Q$2:$Q$433,Desconto_Cliente_Mes!$A$2:$A$433,D$40,Desconto_Cliente_Mes!$B$2:$B$433,$A40,Desconto_Cliente_Mes!$C$2:$C$433,"Umidade"),SUMIFS(Desconto_Cliente_Mes!$R$2:$R$433,Desconto_Cliente_Mes!$A$2:$A$433,D$40,Desconto_Cliente_Mes!$B$2:$B$433,$A40,Desconto_Cliente_Mes!$C$2:$C$433,"Umidade"))),SUMIFS(Desconto_Cliente_Mes!$S$2:$S$433,Desconto_Cliente_Mes!$A$2:$A$433,D$40,Desconto_Cliente_Mes!$B$2:$B$433,$A40,Desconto_Cliente_Mes!$C$2:$C$433,"Umidade")))-(IF(SUMIFS(Desconto_Cliente_Mes!$R$2:$R$433,Desconto_Cliente_Mes!$A$2:$A$433,D$40,Desconto_Cliente_Mes!$B$2:$B$433,$A40,Desconto_Cliente_Mes!$C$2:$C$433,"Umidade")="",SUMIFS(Desconto_Cliente_Mes!$Q$2:$Q$433,Desconto_Cliente_Mes!$A$2:$A$433,D$40,Desconto_Cliente_Mes!$B$2:$B$433,$A40,Desconto_Cliente_Mes!$C$2:$C$433,"Umidade"),SUMIFS(Desconto_Cliente_Mes!$R$2:$R$433,Desconto_Cliente_Mes!$A$2:$A$433,D$40,Desconto_Cliente_Mes!$B$2:$B$433,$A40,Desconto_Cliente_Mes!$C$2:$C$433,"Umidade"))))*(SUMIFS(Desconto_Cliente_Mes!$T$2:$T$433,Desconto_Cliente_Mes!$A$2:$A$433,D$40,Desconto_Cliente_Mes!$B$2:$B$433,$A40,Desconto_Cliente_Mes!$C$2:$C$433,"Umidade"))</f>
        <v>0</v>
      </c>
      <c r="E48" s="16" t="n">
        <f aca="false">$E$42*($E$45/100)*((IF(SUMIFS(Desconto_Cliente_Mes!$S$2:$S$433,Desconto_Cliente_Mes!$A$2:$A$433,E$40,Desconto_Cliente_Mes!$B$2:$B$433,$A40,Desconto_Cliente_Mes!$C$2:$C$433,"Umidade")="",(IF(SUMIFS(Desconto_Cliente_Mes!$R$2:$R$433,Desconto_Cliente_Mes!$A$2:$A$433,E$40,Desconto_Cliente_Mes!$B$2:$B$433,$A40,Desconto_Cliente_Mes!$C$2:$C$433,"Umidade")="",SUMIFS(Desconto_Cliente_Mes!$Q$2:$Q$433,Desconto_Cliente_Mes!$A$2:$A$433,E$40,Desconto_Cliente_Mes!$B$2:$B$433,$A40,Desconto_Cliente_Mes!$C$2:$C$433,"Umidade"),SUMIFS(Desconto_Cliente_Mes!$R$2:$R$433,Desconto_Cliente_Mes!$A$2:$A$433,E$40,Desconto_Cliente_Mes!$B$2:$B$433,$A40,Desconto_Cliente_Mes!$C$2:$C$433,"Umidade"))),SUMIFS(Desconto_Cliente_Mes!$S$2:$S$433,Desconto_Cliente_Mes!$A$2:$A$433,E$40,Desconto_Cliente_Mes!$B$2:$B$433,$A40,Desconto_Cliente_Mes!$C$2:$C$433,"Umidade")))-(IF(SUMIFS(Desconto_Cliente_Mes!$R$2:$R$433,Desconto_Cliente_Mes!$A$2:$A$433,E$40,Desconto_Cliente_Mes!$B$2:$B$433,$A40,Desconto_Cliente_Mes!$C$2:$C$433,"Umidade")="",SUMIFS(Desconto_Cliente_Mes!$Q$2:$Q$433,Desconto_Cliente_Mes!$A$2:$A$433,E$40,Desconto_Cliente_Mes!$B$2:$B$433,$A40,Desconto_Cliente_Mes!$C$2:$C$433,"Umidade"),SUMIFS(Desconto_Cliente_Mes!$R$2:$R$433,Desconto_Cliente_Mes!$A$2:$A$433,E$40,Desconto_Cliente_Mes!$B$2:$B$433,$A40,Desconto_Cliente_Mes!$C$2:$C$433,"Umidade"))))*(SUMIFS(Desconto_Cliente_Mes!$T$2:$T$433,Desconto_Cliente_Mes!$A$2:$A$433,E$40,Desconto_Cliente_Mes!$B$2:$B$433,$A40,Desconto_Cliente_Mes!$C$2:$C$433,"Umidade"))</f>
        <v>0</v>
      </c>
      <c r="F48" s="16" t="n">
        <f aca="false">$F$42*($F$45/100)*((IF(SUMIFS(Desconto_Cliente_Mes!$S$2:$S$433,Desconto_Cliente_Mes!$A$2:$A$433,F$40,Desconto_Cliente_Mes!$B$2:$B$433,$A40,Desconto_Cliente_Mes!$C$2:$C$433,"Umidade")="",(IF(SUMIFS(Desconto_Cliente_Mes!$R$2:$R$433,Desconto_Cliente_Mes!$A$2:$A$433,F$40,Desconto_Cliente_Mes!$B$2:$B$433,$A40,Desconto_Cliente_Mes!$C$2:$C$433,"Umidade")="",SUMIFS(Desconto_Cliente_Mes!$Q$2:$Q$433,Desconto_Cliente_Mes!$A$2:$A$433,F$40,Desconto_Cliente_Mes!$B$2:$B$433,$A40,Desconto_Cliente_Mes!$C$2:$C$433,"Umidade"),SUMIFS(Desconto_Cliente_Mes!$R$2:$R$433,Desconto_Cliente_Mes!$A$2:$A$433,F$40,Desconto_Cliente_Mes!$B$2:$B$433,$A40,Desconto_Cliente_Mes!$C$2:$C$433,"Umidade"))),SUMIFS(Desconto_Cliente_Mes!$S$2:$S$433,Desconto_Cliente_Mes!$A$2:$A$433,F$40,Desconto_Cliente_Mes!$B$2:$B$433,$A40,Desconto_Cliente_Mes!$C$2:$C$433,"Umidade")))-(IF(SUMIFS(Desconto_Cliente_Mes!$R$2:$R$433,Desconto_Cliente_Mes!$A$2:$A$433,F$40,Desconto_Cliente_Mes!$B$2:$B$433,$A40,Desconto_Cliente_Mes!$C$2:$C$433,"Umidade")="",SUMIFS(Desconto_Cliente_Mes!$Q$2:$Q$433,Desconto_Cliente_Mes!$A$2:$A$433,F$40,Desconto_Cliente_Mes!$B$2:$B$433,$A40,Desconto_Cliente_Mes!$C$2:$C$433,"Umidade"),SUMIFS(Desconto_Cliente_Mes!$R$2:$R$433,Desconto_Cliente_Mes!$A$2:$A$433,F$40,Desconto_Cliente_Mes!$B$2:$B$433,$A40,Desconto_Cliente_Mes!$C$2:$C$433,"Umidade"))))*(SUMIFS(Desconto_Cliente_Mes!$T$2:$T$433,Desconto_Cliente_Mes!$A$2:$A$433,F$40,Desconto_Cliente_Mes!$B$2:$B$433,$A40,Desconto_Cliente_Mes!$C$2:$C$433,"Umidade"))</f>
        <v>0</v>
      </c>
      <c r="G48" s="16" t="n">
        <f aca="false">$G$42*($G$45/100)*((IF(SUMIFS(Desconto_Cliente_Mes!$S$2:$S$433,Desconto_Cliente_Mes!$A$2:$A$433,G$40,Desconto_Cliente_Mes!$B$2:$B$433,$A40,Desconto_Cliente_Mes!$C$2:$C$433,"Umidade")="",(IF(SUMIFS(Desconto_Cliente_Mes!$R$2:$R$433,Desconto_Cliente_Mes!$A$2:$A$433,G$40,Desconto_Cliente_Mes!$B$2:$B$433,$A40,Desconto_Cliente_Mes!$C$2:$C$433,"Umidade")="",SUMIFS(Desconto_Cliente_Mes!$Q$2:$Q$433,Desconto_Cliente_Mes!$A$2:$A$433,G$40,Desconto_Cliente_Mes!$B$2:$B$433,$A40,Desconto_Cliente_Mes!$C$2:$C$433,"Umidade"),SUMIFS(Desconto_Cliente_Mes!$R$2:$R$433,Desconto_Cliente_Mes!$A$2:$A$433,G$40,Desconto_Cliente_Mes!$B$2:$B$433,$A40,Desconto_Cliente_Mes!$C$2:$C$433,"Umidade"))),SUMIFS(Desconto_Cliente_Mes!$S$2:$S$433,Desconto_Cliente_Mes!$A$2:$A$433,G$40,Desconto_Cliente_Mes!$B$2:$B$433,$A40,Desconto_Cliente_Mes!$C$2:$C$433,"Umidade")))-(IF(SUMIFS(Desconto_Cliente_Mes!$R$2:$R$433,Desconto_Cliente_Mes!$A$2:$A$433,G$40,Desconto_Cliente_Mes!$B$2:$B$433,$A40,Desconto_Cliente_Mes!$C$2:$C$433,"Umidade")="",SUMIFS(Desconto_Cliente_Mes!$Q$2:$Q$433,Desconto_Cliente_Mes!$A$2:$A$433,G$40,Desconto_Cliente_Mes!$B$2:$B$433,$A40,Desconto_Cliente_Mes!$C$2:$C$433,"Umidade"),SUMIFS(Desconto_Cliente_Mes!$R$2:$R$433,Desconto_Cliente_Mes!$A$2:$A$433,G$40,Desconto_Cliente_Mes!$B$2:$B$433,$A40,Desconto_Cliente_Mes!$C$2:$C$433,"Umidade"))))*(SUMIFS(Desconto_Cliente_Mes!$T$2:$T$433,Desconto_Cliente_Mes!$A$2:$A$433,G$40,Desconto_Cliente_Mes!$B$2:$B$433,$A40,Desconto_Cliente_Mes!$C$2:$C$433,"Umidade"))</f>
        <v>0</v>
      </c>
      <c r="H48" s="16" t="n">
        <f aca="false">$H$42*($H$45/100)*((IF(SUMIFS(Desconto_Cliente_Mes!$S$2:$S$433,Desconto_Cliente_Mes!$A$2:$A$433,H$40,Desconto_Cliente_Mes!$B$2:$B$433,$A40,Desconto_Cliente_Mes!$C$2:$C$433,"Umidade")="",(IF(SUMIFS(Desconto_Cliente_Mes!$R$2:$R$433,Desconto_Cliente_Mes!$A$2:$A$433,H$40,Desconto_Cliente_Mes!$B$2:$B$433,$A40,Desconto_Cliente_Mes!$C$2:$C$433,"Umidade")="",SUMIFS(Desconto_Cliente_Mes!$Q$2:$Q$433,Desconto_Cliente_Mes!$A$2:$A$433,H$40,Desconto_Cliente_Mes!$B$2:$B$433,$A40,Desconto_Cliente_Mes!$C$2:$C$433,"Umidade"),SUMIFS(Desconto_Cliente_Mes!$R$2:$R$433,Desconto_Cliente_Mes!$A$2:$A$433,H$40,Desconto_Cliente_Mes!$B$2:$B$433,$A40,Desconto_Cliente_Mes!$C$2:$C$433,"Umidade"))),SUMIFS(Desconto_Cliente_Mes!$S$2:$S$433,Desconto_Cliente_Mes!$A$2:$A$433,H$40,Desconto_Cliente_Mes!$B$2:$B$433,$A40,Desconto_Cliente_Mes!$C$2:$C$433,"Umidade")))-(IF(SUMIFS(Desconto_Cliente_Mes!$R$2:$R$433,Desconto_Cliente_Mes!$A$2:$A$433,H$40,Desconto_Cliente_Mes!$B$2:$B$433,$A40,Desconto_Cliente_Mes!$C$2:$C$433,"Umidade")="",SUMIFS(Desconto_Cliente_Mes!$Q$2:$Q$433,Desconto_Cliente_Mes!$A$2:$A$433,H$40,Desconto_Cliente_Mes!$B$2:$B$433,$A40,Desconto_Cliente_Mes!$C$2:$C$433,"Umidade"),SUMIFS(Desconto_Cliente_Mes!$R$2:$R$433,Desconto_Cliente_Mes!$A$2:$A$433,H$40,Desconto_Cliente_Mes!$B$2:$B$433,$A40,Desconto_Cliente_Mes!$C$2:$C$433,"Umidade"))))*(SUMIFS(Desconto_Cliente_Mes!$T$2:$T$433,Desconto_Cliente_Mes!$A$2:$A$433,H$40,Desconto_Cliente_Mes!$B$2:$B$433,$A40,Desconto_Cliente_Mes!$C$2:$C$433,"Umidade"))</f>
        <v>0</v>
      </c>
      <c r="I48" s="16" t="n">
        <f aca="false">$I$42*($I$45/100)*((IF(SUMIFS(Desconto_Cliente_Mes!$S$2:$S$433,Desconto_Cliente_Mes!$A$2:$A$433,I$40,Desconto_Cliente_Mes!$B$2:$B$433,$A40,Desconto_Cliente_Mes!$C$2:$C$433,"Umidade")="",(IF(SUMIFS(Desconto_Cliente_Mes!$R$2:$R$433,Desconto_Cliente_Mes!$A$2:$A$433,I$40,Desconto_Cliente_Mes!$B$2:$B$433,$A40,Desconto_Cliente_Mes!$C$2:$C$433,"Umidade")="",SUMIFS(Desconto_Cliente_Mes!$Q$2:$Q$433,Desconto_Cliente_Mes!$A$2:$A$433,I$40,Desconto_Cliente_Mes!$B$2:$B$433,$A40,Desconto_Cliente_Mes!$C$2:$C$433,"Umidade"),SUMIFS(Desconto_Cliente_Mes!$R$2:$R$433,Desconto_Cliente_Mes!$A$2:$A$433,I$40,Desconto_Cliente_Mes!$B$2:$B$433,$A40,Desconto_Cliente_Mes!$C$2:$C$433,"Umidade"))),SUMIFS(Desconto_Cliente_Mes!$S$2:$S$433,Desconto_Cliente_Mes!$A$2:$A$433,I$40,Desconto_Cliente_Mes!$B$2:$B$433,$A40,Desconto_Cliente_Mes!$C$2:$C$433,"Umidade")))-(IF(SUMIFS(Desconto_Cliente_Mes!$R$2:$R$433,Desconto_Cliente_Mes!$A$2:$A$433,I$40,Desconto_Cliente_Mes!$B$2:$B$433,$A40,Desconto_Cliente_Mes!$C$2:$C$433,"Umidade")="",SUMIFS(Desconto_Cliente_Mes!$Q$2:$Q$433,Desconto_Cliente_Mes!$A$2:$A$433,I$40,Desconto_Cliente_Mes!$B$2:$B$433,$A40,Desconto_Cliente_Mes!$C$2:$C$433,"Umidade"),SUMIFS(Desconto_Cliente_Mes!$R$2:$R$433,Desconto_Cliente_Mes!$A$2:$A$433,I$40,Desconto_Cliente_Mes!$B$2:$B$433,$A40,Desconto_Cliente_Mes!$C$2:$C$433,"Umidade"))))*(SUMIFS(Desconto_Cliente_Mes!$T$2:$T$433,Desconto_Cliente_Mes!$A$2:$A$433,I$40,Desconto_Cliente_Mes!$B$2:$B$433,$A40,Desconto_Cliente_Mes!$C$2:$C$433,"Umidade"))</f>
        <v>0</v>
      </c>
      <c r="J48" s="16" t="n">
        <f aca="false">$J$42*($J$45/100)*((IF(SUMIFS(Desconto_Cliente_Mes!$S$2:$S$433,Desconto_Cliente_Mes!$A$2:$A$433,J$40,Desconto_Cliente_Mes!$B$2:$B$433,$A40,Desconto_Cliente_Mes!$C$2:$C$433,"Umidade")="",(IF(SUMIFS(Desconto_Cliente_Mes!$R$2:$R$433,Desconto_Cliente_Mes!$A$2:$A$433,J$40,Desconto_Cliente_Mes!$B$2:$B$433,$A40,Desconto_Cliente_Mes!$C$2:$C$433,"Umidade")="",SUMIFS(Desconto_Cliente_Mes!$Q$2:$Q$433,Desconto_Cliente_Mes!$A$2:$A$433,J$40,Desconto_Cliente_Mes!$B$2:$B$433,$A40,Desconto_Cliente_Mes!$C$2:$C$433,"Umidade"),SUMIFS(Desconto_Cliente_Mes!$R$2:$R$433,Desconto_Cliente_Mes!$A$2:$A$433,J$40,Desconto_Cliente_Mes!$B$2:$B$433,$A40,Desconto_Cliente_Mes!$C$2:$C$433,"Umidade"))),SUMIFS(Desconto_Cliente_Mes!$S$2:$S$433,Desconto_Cliente_Mes!$A$2:$A$433,J$40,Desconto_Cliente_Mes!$B$2:$B$433,$A40,Desconto_Cliente_Mes!$C$2:$C$433,"Umidade")))-(IF(SUMIFS(Desconto_Cliente_Mes!$R$2:$R$433,Desconto_Cliente_Mes!$A$2:$A$433,J$40,Desconto_Cliente_Mes!$B$2:$B$433,$A40,Desconto_Cliente_Mes!$C$2:$C$433,"Umidade")="",SUMIFS(Desconto_Cliente_Mes!$Q$2:$Q$433,Desconto_Cliente_Mes!$A$2:$A$433,J$40,Desconto_Cliente_Mes!$B$2:$B$433,$A40,Desconto_Cliente_Mes!$C$2:$C$433,"Umidade"),SUMIFS(Desconto_Cliente_Mes!$R$2:$R$433,Desconto_Cliente_Mes!$A$2:$A$433,J$40,Desconto_Cliente_Mes!$B$2:$B$433,$A40,Desconto_Cliente_Mes!$C$2:$C$433,"Umidade"))))*(SUMIFS(Desconto_Cliente_Mes!$T$2:$T$433,Desconto_Cliente_Mes!$A$2:$A$433,J$40,Desconto_Cliente_Mes!$B$2:$B$433,$A40,Desconto_Cliente_Mes!$C$2:$C$433,"Umidade"))</f>
        <v>0</v>
      </c>
      <c r="K48" s="16" t="n">
        <f aca="false">$K$42*($K$45/100)*((IF(SUMIFS(Desconto_Cliente_Mes!$S$2:$S$433,Desconto_Cliente_Mes!$A$2:$A$433,K$40,Desconto_Cliente_Mes!$B$2:$B$433,$A40,Desconto_Cliente_Mes!$C$2:$C$433,"Umidade")="",(IF(SUMIFS(Desconto_Cliente_Mes!$R$2:$R$433,Desconto_Cliente_Mes!$A$2:$A$433,K$40,Desconto_Cliente_Mes!$B$2:$B$433,$A40,Desconto_Cliente_Mes!$C$2:$C$433,"Umidade")="",SUMIFS(Desconto_Cliente_Mes!$Q$2:$Q$433,Desconto_Cliente_Mes!$A$2:$A$433,K$40,Desconto_Cliente_Mes!$B$2:$B$433,$A40,Desconto_Cliente_Mes!$C$2:$C$433,"Umidade"),SUMIFS(Desconto_Cliente_Mes!$R$2:$R$433,Desconto_Cliente_Mes!$A$2:$A$433,K$40,Desconto_Cliente_Mes!$B$2:$B$433,$A40,Desconto_Cliente_Mes!$C$2:$C$433,"Umidade"))),SUMIFS(Desconto_Cliente_Mes!$S$2:$S$433,Desconto_Cliente_Mes!$A$2:$A$433,K$40,Desconto_Cliente_Mes!$B$2:$B$433,$A40,Desconto_Cliente_Mes!$C$2:$C$433,"Umidade")))-(IF(SUMIFS(Desconto_Cliente_Mes!$R$2:$R$433,Desconto_Cliente_Mes!$A$2:$A$433,K$40,Desconto_Cliente_Mes!$B$2:$B$433,$A40,Desconto_Cliente_Mes!$C$2:$C$433,"Umidade")="",SUMIFS(Desconto_Cliente_Mes!$Q$2:$Q$433,Desconto_Cliente_Mes!$A$2:$A$433,K$40,Desconto_Cliente_Mes!$B$2:$B$433,$A40,Desconto_Cliente_Mes!$C$2:$C$433,"Umidade"),SUMIFS(Desconto_Cliente_Mes!$R$2:$R$433,Desconto_Cliente_Mes!$A$2:$A$433,K$40,Desconto_Cliente_Mes!$B$2:$B$433,$A40,Desconto_Cliente_Mes!$C$2:$C$433,"Umidade"))))*(SUMIFS(Desconto_Cliente_Mes!$T$2:$T$433,Desconto_Cliente_Mes!$A$2:$A$433,K$40,Desconto_Cliente_Mes!$B$2:$B$433,$A40,Desconto_Cliente_Mes!$C$2:$C$433,"Umidade"))</f>
        <v>0</v>
      </c>
      <c r="L48" s="16" t="n">
        <f aca="false">$L$42*($L$45/100)*((IF(SUMIFS(Desconto_Cliente_Mes!$S$2:$S$433,Desconto_Cliente_Mes!$A$2:$A$433,L$40,Desconto_Cliente_Mes!$B$2:$B$433,$A40,Desconto_Cliente_Mes!$C$2:$C$433,"Umidade")="",(IF(SUMIFS(Desconto_Cliente_Mes!$R$2:$R$433,Desconto_Cliente_Mes!$A$2:$A$433,L$40,Desconto_Cliente_Mes!$B$2:$B$433,$A40,Desconto_Cliente_Mes!$C$2:$C$433,"Umidade")="",SUMIFS(Desconto_Cliente_Mes!$Q$2:$Q$433,Desconto_Cliente_Mes!$A$2:$A$433,L$40,Desconto_Cliente_Mes!$B$2:$B$433,$A40,Desconto_Cliente_Mes!$C$2:$C$433,"Umidade"),SUMIFS(Desconto_Cliente_Mes!$R$2:$R$433,Desconto_Cliente_Mes!$A$2:$A$433,L$40,Desconto_Cliente_Mes!$B$2:$B$433,$A40,Desconto_Cliente_Mes!$C$2:$C$433,"Umidade"))),SUMIFS(Desconto_Cliente_Mes!$S$2:$S$433,Desconto_Cliente_Mes!$A$2:$A$433,L$40,Desconto_Cliente_Mes!$B$2:$B$433,$A40,Desconto_Cliente_Mes!$C$2:$C$433,"Umidade")))-(IF(SUMIFS(Desconto_Cliente_Mes!$R$2:$R$433,Desconto_Cliente_Mes!$A$2:$A$433,L$40,Desconto_Cliente_Mes!$B$2:$B$433,$A40,Desconto_Cliente_Mes!$C$2:$C$433,"Umidade")="",SUMIFS(Desconto_Cliente_Mes!$Q$2:$Q$433,Desconto_Cliente_Mes!$A$2:$A$433,L$40,Desconto_Cliente_Mes!$B$2:$B$433,$A40,Desconto_Cliente_Mes!$C$2:$C$433,"Umidade"),SUMIFS(Desconto_Cliente_Mes!$R$2:$R$433,Desconto_Cliente_Mes!$A$2:$A$433,L$40,Desconto_Cliente_Mes!$B$2:$B$433,$A40,Desconto_Cliente_Mes!$C$2:$C$433,"Umidade"))))*(SUMIFS(Desconto_Cliente_Mes!$T$2:$T$433,Desconto_Cliente_Mes!$A$2:$A$433,L$40,Desconto_Cliente_Mes!$B$2:$B$433,$A40,Desconto_Cliente_Mes!$C$2:$C$433,"Umidade"))</f>
        <v>0</v>
      </c>
      <c r="M48" s="16" t="n">
        <f aca="false">$M$42*($M$45/100)*((IF(SUMIFS(Desconto_Cliente_Mes!$S$2:$S$433,Desconto_Cliente_Mes!$A$2:$A$433,M$40,Desconto_Cliente_Mes!$B$2:$B$433,$A40,Desconto_Cliente_Mes!$C$2:$C$433,"Umidade")="",(IF(SUMIFS(Desconto_Cliente_Mes!$R$2:$R$433,Desconto_Cliente_Mes!$A$2:$A$433,M$40,Desconto_Cliente_Mes!$B$2:$B$433,$A40,Desconto_Cliente_Mes!$C$2:$C$433,"Umidade")="",SUMIFS(Desconto_Cliente_Mes!$Q$2:$Q$433,Desconto_Cliente_Mes!$A$2:$A$433,M$40,Desconto_Cliente_Mes!$B$2:$B$433,$A40,Desconto_Cliente_Mes!$C$2:$C$433,"Umidade"),SUMIFS(Desconto_Cliente_Mes!$R$2:$R$433,Desconto_Cliente_Mes!$A$2:$A$433,M$40,Desconto_Cliente_Mes!$B$2:$B$433,$A40,Desconto_Cliente_Mes!$C$2:$C$433,"Umidade"))),SUMIFS(Desconto_Cliente_Mes!$S$2:$S$433,Desconto_Cliente_Mes!$A$2:$A$433,M$40,Desconto_Cliente_Mes!$B$2:$B$433,$A40,Desconto_Cliente_Mes!$C$2:$C$433,"Umidade")))-(IF(SUMIFS(Desconto_Cliente_Mes!$R$2:$R$433,Desconto_Cliente_Mes!$A$2:$A$433,M$40,Desconto_Cliente_Mes!$B$2:$B$433,$A40,Desconto_Cliente_Mes!$C$2:$C$433,"Umidade")="",SUMIFS(Desconto_Cliente_Mes!$Q$2:$Q$433,Desconto_Cliente_Mes!$A$2:$A$433,M$40,Desconto_Cliente_Mes!$B$2:$B$433,$A40,Desconto_Cliente_Mes!$C$2:$C$433,"Umidade"),SUMIFS(Desconto_Cliente_Mes!$R$2:$R$433,Desconto_Cliente_Mes!$A$2:$A$433,M$40,Desconto_Cliente_Mes!$B$2:$B$433,$A40,Desconto_Cliente_Mes!$C$2:$C$433,"Umidade"))))*(SUMIFS(Desconto_Cliente_Mes!$T$2:$T$433,Desconto_Cliente_Mes!$A$2:$A$433,M$40,Desconto_Cliente_Mes!$B$2:$B$433,$A40,Desconto_Cliente_Mes!$C$2:$C$433,"Umidade"))</f>
        <v>0</v>
      </c>
      <c r="N48" s="17" t="n">
        <f aca="false">SUM(B48:M48)</f>
        <v>0</v>
      </c>
    </row>
    <row r="49" customFormat="false" ht="15" hidden="false" customHeight="false" outlineLevel="0" collapsed="false">
      <c r="A49" s="13" t="s">
        <v>82</v>
      </c>
      <c r="B49" s="16" t="n">
        <f aca="false">SUMIFS(Acerto_Detalhado!$J$2:$J$433,Acerto_Detalhado!$A$2:$A$433,B$40,Acerto_Detalhado!$B$2:$B$433,$A40,Acerto_Detalhado!$C$2:$C$433,"Umidade")</f>
        <v>4755.32519490345</v>
      </c>
      <c r="C49" s="16" t="n">
        <f aca="false">SUMIFS(Acerto_Detalhado!$J$2:$J$433,Acerto_Detalhado!$A$2:$A$433,C$40,Acerto_Detalhado!$B$2:$B$433,$A40,Acerto_Detalhado!$C$2:$C$433,"Umidade")</f>
        <v>15104.5214019656</v>
      </c>
      <c r="D49" s="16" t="n">
        <f aca="false">SUMIFS(Acerto_Detalhado!$J$2:$J$433,Acerto_Detalhado!$A$2:$A$433,D$40,Acerto_Detalhado!$B$2:$B$433,$A40,Acerto_Detalhado!$C$2:$C$433,"Umidade")</f>
        <v>0</v>
      </c>
      <c r="E49" s="16" t="n">
        <f aca="false">SUMIFS(Acerto_Detalhado!$J$2:$J$433,Acerto_Detalhado!$A$2:$A$433,E$40,Acerto_Detalhado!$B$2:$B$433,$A40,Acerto_Detalhado!$C$2:$C$433,"Umidade")</f>
        <v>15216.4089070132</v>
      </c>
      <c r="F49" s="16" t="n">
        <f aca="false">SUMIFS(Acerto_Detalhado!$J$2:$J$433,Acerto_Detalhado!$A$2:$A$433,F$40,Acerto_Detalhado!$B$2:$B$433,$A40,Acerto_Detalhado!$C$2:$C$433,"Umidade")</f>
        <v>26278.3968202825</v>
      </c>
      <c r="G49" s="16" t="n">
        <f aca="false">SUMIFS(Acerto_Detalhado!$J$2:$J$433,Acerto_Detalhado!$A$2:$A$433,G$40,Acerto_Detalhado!$B$2:$B$433,$A40,Acerto_Detalhado!$C$2:$C$433,"Umidade")</f>
        <v>25154.9751094126</v>
      </c>
      <c r="H49" s="16" t="n">
        <f aca="false">SUMIFS(Acerto_Detalhado!$J$2:$J$433,Acerto_Detalhado!$A$2:$A$433,H$40,Acerto_Detalhado!$B$2:$B$433,$A40,Acerto_Detalhado!$C$2:$C$433,"Umidade")</f>
        <v>2882.89146642212</v>
      </c>
      <c r="I49" s="16" t="n">
        <f aca="false">SUMIFS(Acerto_Detalhado!$J$2:$J$433,Acerto_Detalhado!$A$2:$A$433,I$40,Acerto_Detalhado!$B$2:$B$433,$A40,Acerto_Detalhado!$C$2:$C$433,"Umidade")</f>
        <v>0</v>
      </c>
      <c r="J49" s="16" t="n">
        <f aca="false">SUMIFS(Acerto_Detalhado!$J$2:$J$433,Acerto_Detalhado!$A$2:$A$433,J$40,Acerto_Detalhado!$B$2:$B$433,$A40,Acerto_Detalhado!$C$2:$C$433,"Umidade")</f>
        <v>0</v>
      </c>
      <c r="K49" s="16" t="n">
        <f aca="false">SUMIFS(Acerto_Detalhado!$J$2:$J$433,Acerto_Detalhado!$A$2:$A$433,K$40,Acerto_Detalhado!$B$2:$B$433,$A40,Acerto_Detalhado!$C$2:$C$433,"Umidade")</f>
        <v>0</v>
      </c>
      <c r="L49" s="16" t="n">
        <f aca="false">SUMIFS(Acerto_Detalhado!$J$2:$J$433,Acerto_Detalhado!$A$2:$A$433,L$40,Acerto_Detalhado!$B$2:$B$433,$A40,Acerto_Detalhado!$C$2:$C$433,"Umidade")</f>
        <v>0</v>
      </c>
      <c r="M49" s="16" t="n">
        <f aca="false">SUMIFS(Acerto_Detalhado!$J$2:$J$433,Acerto_Detalhado!$A$2:$A$433,M$40,Acerto_Detalhado!$B$2:$B$433,$A40,Acerto_Detalhado!$C$2:$C$433,"Umidade")</f>
        <v>0</v>
      </c>
      <c r="N49" s="17" t="n">
        <f aca="false">SUM(B49:M49)</f>
        <v>89392.5188999994</v>
      </c>
    </row>
    <row r="51" customFormat="false" ht="15" hidden="false" customHeight="false" outlineLevel="0" collapsed="false">
      <c r="A51" s="5" t="s">
        <v>62</v>
      </c>
      <c r="B51" s="6" t="s">
        <v>39</v>
      </c>
      <c r="C51" s="6" t="s">
        <v>40</v>
      </c>
      <c r="D51" s="6" t="s">
        <v>41</v>
      </c>
      <c r="E51" s="6" t="s">
        <v>42</v>
      </c>
      <c r="F51" s="6" t="s">
        <v>43</v>
      </c>
      <c r="G51" s="6" t="s">
        <v>44</v>
      </c>
      <c r="H51" s="6" t="s">
        <v>45</v>
      </c>
      <c r="I51" s="6" t="s">
        <v>46</v>
      </c>
      <c r="J51" s="6" t="s">
        <v>47</v>
      </c>
      <c r="K51" s="6" t="s">
        <v>48</v>
      </c>
      <c r="L51" s="6" t="s">
        <v>49</v>
      </c>
      <c r="M51" s="6" t="s">
        <v>50</v>
      </c>
      <c r="N51" s="6" t="s">
        <v>51</v>
      </c>
    </row>
    <row r="52" customFormat="false" ht="15" hidden="false" customHeight="false" outlineLevel="0" collapsed="false">
      <c r="A52" s="13" t="s">
        <v>74</v>
      </c>
      <c r="B52" s="10" t="n">
        <f aca="false">IF((SUMIFS(Desconto_Cliente_Mes!$D$2:$D$433,Desconto_Cliente_Mes!$A$2:$A$433,B$51,Desconto_Cliente_Mes!$B$2:$B$433,$A51,Desconto_Cliente_Mes!$C$2:$C$433,"Umidade"))=0,"",IFERROR(SUMIFS(Desconto_Cliente_Mes!$E$2:$E$433,Desconto_Cliente_Mes!$A$2:$A$433,B$51,Desconto_Cliente_Mes!$B$2:$B$433,$A51,Desconto_Cliente_Mes!$C$2:$C$433,"Umidade"),""))</f>
        <v>12.3889542123903</v>
      </c>
      <c r="C52" s="10" t="n">
        <f aca="false">IF((SUMIFS(Desconto_Cliente_Mes!$D$2:$D$433,Desconto_Cliente_Mes!$A$2:$A$433,C$51,Desconto_Cliente_Mes!$B$2:$B$433,$A51,Desconto_Cliente_Mes!$C$2:$C$433,"Umidade"))=0,"",IFERROR(SUMIFS(Desconto_Cliente_Mes!$E$2:$E$433,Desconto_Cliente_Mes!$A$2:$A$433,C$51,Desconto_Cliente_Mes!$B$2:$B$433,$A51,Desconto_Cliente_Mes!$C$2:$C$433,"Umidade"),""))</f>
        <v>11.6689749188074</v>
      </c>
      <c r="D52" s="10" t="n">
        <f aca="false">IF((SUMIFS(Desconto_Cliente_Mes!$D$2:$D$433,Desconto_Cliente_Mes!$A$2:$A$433,D$51,Desconto_Cliente_Mes!$B$2:$B$433,$A51,Desconto_Cliente_Mes!$C$2:$C$433,"Umidade"))=0,"",IFERROR(SUMIFS(Desconto_Cliente_Mes!$E$2:$E$433,Desconto_Cliente_Mes!$A$2:$A$433,D$51,Desconto_Cliente_Mes!$B$2:$B$433,$A51,Desconto_Cliente_Mes!$C$2:$C$433,"Umidade"),""))</f>
        <v>12.7822017318184</v>
      </c>
      <c r="E52" s="10" t="n">
        <f aca="false">IF((SUMIFS(Desconto_Cliente_Mes!$D$2:$D$433,Desconto_Cliente_Mes!$A$2:$A$433,E$51,Desconto_Cliente_Mes!$B$2:$B$433,$A51,Desconto_Cliente_Mes!$C$2:$C$433,"Umidade"))=0,"",IFERROR(SUMIFS(Desconto_Cliente_Mes!$E$2:$E$433,Desconto_Cliente_Mes!$A$2:$A$433,E$51,Desconto_Cliente_Mes!$B$2:$B$433,$A51,Desconto_Cliente_Mes!$C$2:$C$433,"Umidade"),""))</f>
        <v>12.3561943848843</v>
      </c>
      <c r="F52" s="10" t="n">
        <f aca="false">IF((SUMIFS(Desconto_Cliente_Mes!$D$2:$D$433,Desconto_Cliente_Mes!$A$2:$A$433,F$51,Desconto_Cliente_Mes!$B$2:$B$433,$A51,Desconto_Cliente_Mes!$C$2:$C$433,"Umidade"))=0,"",IFERROR(SUMIFS(Desconto_Cliente_Mes!$E$2:$E$433,Desconto_Cliente_Mes!$A$2:$A$433,F$51,Desconto_Cliente_Mes!$B$2:$B$433,$A51,Desconto_Cliente_Mes!$C$2:$C$433,"Umidade"),""))</f>
        <v>12.5075041415195</v>
      </c>
      <c r="G52" s="10" t="n">
        <f aca="false">IF((SUMIFS(Desconto_Cliente_Mes!$D$2:$D$433,Desconto_Cliente_Mes!$A$2:$A$433,G$51,Desconto_Cliente_Mes!$B$2:$B$433,$A51,Desconto_Cliente_Mes!$C$2:$C$433,"Umidade"))=0,"",IFERROR(SUMIFS(Desconto_Cliente_Mes!$E$2:$E$433,Desconto_Cliente_Mes!$A$2:$A$433,G$51,Desconto_Cliente_Mes!$B$2:$B$433,$A51,Desconto_Cliente_Mes!$C$2:$C$433,"Umidade"),""))</f>
        <v>12.3994822532607</v>
      </c>
      <c r="H52" s="10" t="str">
        <f aca="false">IF((SUMIFS(Desconto_Cliente_Mes!$D$2:$D$433,Desconto_Cliente_Mes!$A$2:$A$433,H$51,Desconto_Cliente_Mes!$B$2:$B$433,$A51,Desconto_Cliente_Mes!$C$2:$C$433,"Umidade"))=0,"",IFERROR(SUMIFS(Desconto_Cliente_Mes!$E$2:$E$433,Desconto_Cliente_Mes!$A$2:$A$433,H$51,Desconto_Cliente_Mes!$B$2:$B$433,$A51,Desconto_Cliente_Mes!$C$2:$C$433,"Umidade"),""))</f>
        <v/>
      </c>
      <c r="I52" s="10" t="str">
        <f aca="false">IF((SUMIFS(Desconto_Cliente_Mes!$D$2:$D$433,Desconto_Cliente_Mes!$A$2:$A$433,I$51,Desconto_Cliente_Mes!$B$2:$B$433,$A51,Desconto_Cliente_Mes!$C$2:$C$433,"Umidade"))=0,"",IFERROR(SUMIFS(Desconto_Cliente_Mes!$E$2:$E$433,Desconto_Cliente_Mes!$A$2:$A$433,I$51,Desconto_Cliente_Mes!$B$2:$B$433,$A51,Desconto_Cliente_Mes!$C$2:$C$433,"Umidade"),""))</f>
        <v/>
      </c>
      <c r="J52" s="10" t="str">
        <f aca="false">IF((SUMIFS(Desconto_Cliente_Mes!$D$2:$D$433,Desconto_Cliente_Mes!$A$2:$A$433,J$51,Desconto_Cliente_Mes!$B$2:$B$433,$A51,Desconto_Cliente_Mes!$C$2:$C$433,"Umidade"))=0,"",IFERROR(SUMIFS(Desconto_Cliente_Mes!$E$2:$E$433,Desconto_Cliente_Mes!$A$2:$A$433,J$51,Desconto_Cliente_Mes!$B$2:$B$433,$A51,Desconto_Cliente_Mes!$C$2:$C$433,"Umidade"),""))</f>
        <v/>
      </c>
      <c r="K52" s="10" t="str">
        <f aca="false">IF((SUMIFS(Desconto_Cliente_Mes!$D$2:$D$433,Desconto_Cliente_Mes!$A$2:$A$433,K$51,Desconto_Cliente_Mes!$B$2:$B$433,$A51,Desconto_Cliente_Mes!$C$2:$C$433,"Umidade"))=0,"",IFERROR(SUMIFS(Desconto_Cliente_Mes!$E$2:$E$433,Desconto_Cliente_Mes!$A$2:$A$433,K$51,Desconto_Cliente_Mes!$B$2:$B$433,$A51,Desconto_Cliente_Mes!$C$2:$C$433,"Umidade"),""))</f>
        <v/>
      </c>
      <c r="L52" s="10" t="str">
        <f aca="false">IF((SUMIFS(Desconto_Cliente_Mes!$D$2:$D$433,Desconto_Cliente_Mes!$A$2:$A$433,L$51,Desconto_Cliente_Mes!$B$2:$B$433,$A51,Desconto_Cliente_Mes!$C$2:$C$433,"Umidade"))=0,"",IFERROR(SUMIFS(Desconto_Cliente_Mes!$E$2:$E$433,Desconto_Cliente_Mes!$A$2:$A$433,L$51,Desconto_Cliente_Mes!$B$2:$B$433,$A51,Desconto_Cliente_Mes!$C$2:$C$433,"Umidade"),""))</f>
        <v/>
      </c>
      <c r="M52" s="10" t="str">
        <f aca="false">IF((SUMIFS(Desconto_Cliente_Mes!$D$2:$D$433,Desconto_Cliente_Mes!$A$2:$A$433,M$51,Desconto_Cliente_Mes!$B$2:$B$433,$A51,Desconto_Cliente_Mes!$C$2:$C$433,"Umidade"))=0,"",IFERROR(SUMIFS(Desconto_Cliente_Mes!$E$2:$E$433,Desconto_Cliente_Mes!$A$2:$A$433,M$51,Desconto_Cliente_Mes!$B$2:$B$433,$A51,Desconto_Cliente_Mes!$C$2:$C$433,"Umidade"),""))</f>
        <v/>
      </c>
      <c r="N52" s="11" t="n">
        <f aca="false">IFERROR(Media_Pool_Mes!D6,"")</f>
        <v>12.3121752562954</v>
      </c>
    </row>
    <row r="53" customFormat="false" ht="15" hidden="false" customHeight="false" outlineLevel="0" collapsed="false">
      <c r="A53" s="13" t="s">
        <v>75</v>
      </c>
      <c r="B53" s="8" t="n">
        <f aca="false">IFERROR(SUMIFS(Desconto_Cliente_Mes!$D$2:$D$433,Desconto_Cliente_Mes!$A$2:$A$433,B$51,Desconto_Cliente_Mes!$B$2:$B$433,$A51,Desconto_Cliente_Mes!$C$2:$C$433,"Umidade"),0)</f>
        <v>43820.37</v>
      </c>
      <c r="C53" s="8" t="n">
        <f aca="false">IFERROR(SUMIFS(Desconto_Cliente_Mes!$D$2:$D$433,Desconto_Cliente_Mes!$A$2:$A$433,C$51,Desconto_Cliente_Mes!$B$2:$B$433,$A51,Desconto_Cliente_Mes!$C$2:$C$433,"Umidade"),0)</f>
        <v>49598.12</v>
      </c>
      <c r="D53" s="8" t="n">
        <f aca="false">IFERROR(SUMIFS(Desconto_Cliente_Mes!$D$2:$D$433,Desconto_Cliente_Mes!$A$2:$A$433,D$51,Desconto_Cliente_Mes!$B$2:$B$433,$A51,Desconto_Cliente_Mes!$C$2:$C$433,"Umidade"),0)</f>
        <v>17619.63</v>
      </c>
      <c r="E53" s="8" t="n">
        <f aca="false">IFERROR(SUMIFS(Desconto_Cliente_Mes!$D$2:$D$433,Desconto_Cliente_Mes!$A$2:$A$433,E$51,Desconto_Cliente_Mes!$B$2:$B$433,$A51,Desconto_Cliente_Mes!$C$2:$C$433,"Umidade"),0)</f>
        <v>53120.9</v>
      </c>
      <c r="F53" s="8" t="n">
        <f aca="false">IFERROR(SUMIFS(Desconto_Cliente_Mes!$D$2:$D$433,Desconto_Cliente_Mes!$A$2:$A$433,F$51,Desconto_Cliente_Mes!$B$2:$B$433,$A51,Desconto_Cliente_Mes!$C$2:$C$433,"Umidade"),0)</f>
        <v>63744.72</v>
      </c>
      <c r="G53" s="8" t="n">
        <f aca="false">IFERROR(SUMIFS(Desconto_Cliente_Mes!$D$2:$D$433,Desconto_Cliente_Mes!$A$2:$A$433,G$51,Desconto_Cliente_Mes!$B$2:$B$433,$A51,Desconto_Cliente_Mes!$C$2:$C$433,"Umidade"),0)</f>
        <v>62604.74</v>
      </c>
      <c r="H53" s="8" t="n">
        <f aca="false">IFERROR(SUMIFS(Desconto_Cliente_Mes!$D$2:$D$433,Desconto_Cliente_Mes!$A$2:$A$433,H$51,Desconto_Cliente_Mes!$B$2:$B$433,$A51,Desconto_Cliente_Mes!$C$2:$C$433,"Umidade"),0)</f>
        <v>0</v>
      </c>
      <c r="I53" s="8" t="n">
        <f aca="false">IFERROR(SUMIFS(Desconto_Cliente_Mes!$D$2:$D$433,Desconto_Cliente_Mes!$A$2:$A$433,I$51,Desconto_Cliente_Mes!$B$2:$B$433,$A51,Desconto_Cliente_Mes!$C$2:$C$433,"Umidade"),0)</f>
        <v>0</v>
      </c>
      <c r="J53" s="8" t="n">
        <f aca="false">IFERROR(SUMIFS(Desconto_Cliente_Mes!$D$2:$D$433,Desconto_Cliente_Mes!$A$2:$A$433,J$51,Desconto_Cliente_Mes!$B$2:$B$433,$A51,Desconto_Cliente_Mes!$C$2:$C$433,"Umidade"),0)</f>
        <v>0</v>
      </c>
      <c r="K53" s="8" t="n">
        <f aca="false">IFERROR(SUMIFS(Desconto_Cliente_Mes!$D$2:$D$433,Desconto_Cliente_Mes!$A$2:$A$433,K$51,Desconto_Cliente_Mes!$B$2:$B$433,$A51,Desconto_Cliente_Mes!$C$2:$C$433,"Umidade"),0)</f>
        <v>0</v>
      </c>
      <c r="L53" s="8" t="n">
        <f aca="false">IFERROR(SUMIFS(Desconto_Cliente_Mes!$D$2:$D$433,Desconto_Cliente_Mes!$A$2:$A$433,L$51,Desconto_Cliente_Mes!$B$2:$B$433,$A51,Desconto_Cliente_Mes!$C$2:$C$433,"Umidade"),0)</f>
        <v>0</v>
      </c>
      <c r="M53" s="8" t="n">
        <f aca="false">IFERROR(SUMIFS(Desconto_Cliente_Mes!$D$2:$D$433,Desconto_Cliente_Mes!$A$2:$A$433,M$51,Desconto_Cliente_Mes!$B$2:$B$433,$A51,Desconto_Cliente_Mes!$C$2:$C$433,"Umidade"),0)</f>
        <v>0</v>
      </c>
      <c r="N53" s="9" t="n">
        <f aca="false">SUM(B53:M53)</f>
        <v>290508.48</v>
      </c>
    </row>
    <row r="54" customFormat="false" ht="15" hidden="false" customHeight="false" outlineLevel="0" collapsed="false">
      <c r="A54" s="13" t="s">
        <v>76</v>
      </c>
      <c r="B54" s="15" t="n">
        <f aca="false">MAX(0,(SUMIFS(Desconto_Cliente_Mes!$L$2:$L$433,Desconto_Cliente_Mes!$A$2:$A$433,B$51,Desconto_Cliente_Mes!$B$2:$B$433,$A51,Desconto_Cliente_Mes!$C$2:$C$433,"Umidade"))-(SUMIFS(Desconto_Cliente_Mes!$N$2:$N$433,Desconto_Cliente_Mes!$A$2:$A$433,B$51,Desconto_Cliente_Mes!$B$2:$B$433,$A51,Desconto_Cliente_Mes!$C$2:$C$433,"Umidade")))</f>
        <v>0</v>
      </c>
      <c r="C54" s="15" t="n">
        <f aca="false">MAX(0,(SUMIFS(Desconto_Cliente_Mes!$L$2:$L$433,Desconto_Cliente_Mes!$A$2:$A$433,C$51,Desconto_Cliente_Mes!$B$2:$B$433,$A51,Desconto_Cliente_Mes!$C$2:$C$433,"Umidade"))-(SUMIFS(Desconto_Cliente_Mes!$N$2:$N$433,Desconto_Cliente_Mes!$A$2:$A$433,C$51,Desconto_Cliente_Mes!$B$2:$B$433,$A51,Desconto_Cliente_Mes!$C$2:$C$433,"Umidade")))</f>
        <v>0</v>
      </c>
      <c r="D54" s="15" t="n">
        <f aca="false">MAX(0,(SUMIFS(Desconto_Cliente_Mes!$L$2:$L$433,Desconto_Cliente_Mes!$A$2:$A$433,D$51,Desconto_Cliente_Mes!$B$2:$B$433,$A51,Desconto_Cliente_Mes!$C$2:$C$433,"Umidade"))-(SUMIFS(Desconto_Cliente_Mes!$N$2:$N$433,Desconto_Cliente_Mes!$A$2:$A$433,D$51,Desconto_Cliente_Mes!$B$2:$B$433,$A51,Desconto_Cliente_Mes!$C$2:$C$433,"Umidade")))</f>
        <v>0.282201731818432</v>
      </c>
      <c r="E54" s="15" t="n">
        <f aca="false">MAX(0,(SUMIFS(Desconto_Cliente_Mes!$L$2:$L$433,Desconto_Cliente_Mes!$A$2:$A$433,E$51,Desconto_Cliente_Mes!$B$2:$B$433,$A51,Desconto_Cliente_Mes!$C$2:$C$433,"Umidade"))-(SUMIFS(Desconto_Cliente_Mes!$N$2:$N$433,Desconto_Cliente_Mes!$A$2:$A$433,E$51,Desconto_Cliente_Mes!$B$2:$B$433,$A51,Desconto_Cliente_Mes!$C$2:$C$433,"Umidade")))</f>
        <v>0</v>
      </c>
      <c r="F54" s="15" t="n">
        <f aca="false">MAX(0,(SUMIFS(Desconto_Cliente_Mes!$L$2:$L$433,Desconto_Cliente_Mes!$A$2:$A$433,F$51,Desconto_Cliente_Mes!$B$2:$B$433,$A51,Desconto_Cliente_Mes!$C$2:$C$433,"Umidade"))-(SUMIFS(Desconto_Cliente_Mes!$N$2:$N$433,Desconto_Cliente_Mes!$A$2:$A$433,F$51,Desconto_Cliente_Mes!$B$2:$B$433,$A51,Desconto_Cliente_Mes!$C$2:$C$433,"Umidade")))</f>
        <v>0.00750414151948498</v>
      </c>
      <c r="G54" s="15" t="n">
        <f aca="false">MAX(0,(SUMIFS(Desconto_Cliente_Mes!$L$2:$L$433,Desconto_Cliente_Mes!$A$2:$A$433,G$51,Desconto_Cliente_Mes!$B$2:$B$433,$A51,Desconto_Cliente_Mes!$C$2:$C$433,"Umidade"))-(SUMIFS(Desconto_Cliente_Mes!$N$2:$N$433,Desconto_Cliente_Mes!$A$2:$A$433,G$51,Desconto_Cliente_Mes!$B$2:$B$433,$A51,Desconto_Cliente_Mes!$C$2:$C$433,"Umidade")))</f>
        <v>0</v>
      </c>
      <c r="H54" s="15" t="n">
        <f aca="false">MAX(0,(SUMIFS(Desconto_Cliente_Mes!$L$2:$L$433,Desconto_Cliente_Mes!$A$2:$A$433,H$51,Desconto_Cliente_Mes!$B$2:$B$433,$A51,Desconto_Cliente_Mes!$C$2:$C$433,"Umidade"))-(SUMIFS(Desconto_Cliente_Mes!$N$2:$N$433,Desconto_Cliente_Mes!$A$2:$A$433,H$51,Desconto_Cliente_Mes!$B$2:$B$433,$A51,Desconto_Cliente_Mes!$C$2:$C$433,"Umidade")))</f>
        <v>0</v>
      </c>
      <c r="I54" s="15" t="n">
        <f aca="false">MAX(0,(SUMIFS(Desconto_Cliente_Mes!$L$2:$L$433,Desconto_Cliente_Mes!$A$2:$A$433,I$51,Desconto_Cliente_Mes!$B$2:$B$433,$A51,Desconto_Cliente_Mes!$C$2:$C$433,"Umidade"))-(SUMIFS(Desconto_Cliente_Mes!$N$2:$N$433,Desconto_Cliente_Mes!$A$2:$A$433,I$51,Desconto_Cliente_Mes!$B$2:$B$433,$A51,Desconto_Cliente_Mes!$C$2:$C$433,"Umidade")))</f>
        <v>0</v>
      </c>
      <c r="J54" s="15" t="n">
        <f aca="false">MAX(0,(SUMIFS(Desconto_Cliente_Mes!$L$2:$L$433,Desconto_Cliente_Mes!$A$2:$A$433,J$51,Desconto_Cliente_Mes!$B$2:$B$433,$A51,Desconto_Cliente_Mes!$C$2:$C$433,"Umidade"))-(SUMIFS(Desconto_Cliente_Mes!$N$2:$N$433,Desconto_Cliente_Mes!$A$2:$A$433,J$51,Desconto_Cliente_Mes!$B$2:$B$433,$A51,Desconto_Cliente_Mes!$C$2:$C$433,"Umidade")))</f>
        <v>0</v>
      </c>
      <c r="K54" s="15" t="n">
        <f aca="false">MAX(0,(SUMIFS(Desconto_Cliente_Mes!$L$2:$L$433,Desconto_Cliente_Mes!$A$2:$A$433,K$51,Desconto_Cliente_Mes!$B$2:$B$433,$A51,Desconto_Cliente_Mes!$C$2:$C$433,"Umidade"))-(SUMIFS(Desconto_Cliente_Mes!$N$2:$N$433,Desconto_Cliente_Mes!$A$2:$A$433,K$51,Desconto_Cliente_Mes!$B$2:$B$433,$A51,Desconto_Cliente_Mes!$C$2:$C$433,"Umidade")))</f>
        <v>0</v>
      </c>
      <c r="L54" s="15" t="n">
        <f aca="false">MAX(0,(SUMIFS(Desconto_Cliente_Mes!$L$2:$L$433,Desconto_Cliente_Mes!$A$2:$A$433,L$51,Desconto_Cliente_Mes!$B$2:$B$433,$A51,Desconto_Cliente_Mes!$C$2:$C$433,"Umidade"))-(SUMIFS(Desconto_Cliente_Mes!$N$2:$N$433,Desconto_Cliente_Mes!$A$2:$A$433,L$51,Desconto_Cliente_Mes!$B$2:$B$433,$A51,Desconto_Cliente_Mes!$C$2:$C$433,"Umidade")))</f>
        <v>0</v>
      </c>
      <c r="M54" s="15" t="n">
        <f aca="false">MAX(0,(SUMIFS(Desconto_Cliente_Mes!$L$2:$L$433,Desconto_Cliente_Mes!$A$2:$A$433,M$51,Desconto_Cliente_Mes!$B$2:$B$433,$A51,Desconto_Cliente_Mes!$C$2:$C$433,"Umidade"))-(SUMIFS(Desconto_Cliente_Mes!$N$2:$N$433,Desconto_Cliente_Mes!$A$2:$A$433,M$51,Desconto_Cliente_Mes!$B$2:$B$433,$A51,Desconto_Cliente_Mes!$C$2:$C$433,"Umidade")))</f>
        <v>0</v>
      </c>
    </row>
    <row r="55" customFormat="false" ht="15" hidden="false" customHeight="false" outlineLevel="0" collapsed="false">
      <c r="A55" s="13" t="s">
        <v>77</v>
      </c>
      <c r="B55" s="15" t="n">
        <f aca="false">MAX(0,(SUMIFS(Desconto_Cliente_Mes!$N$2:$N$433,Desconto_Cliente_Mes!$A$2:$A$433,B$51,Desconto_Cliente_Mes!$B$2:$B$433,$A51,Desconto_Cliente_Mes!$C$2:$C$433,"Umidade"))-(SUMIFS(Desconto_Cliente_Mes!$P$2:$P$433,Desconto_Cliente_Mes!$A$2:$A$433,B$51,Desconto_Cliente_Mes!$B$2:$B$433,$A51,Desconto_Cliente_Mes!$C$2:$C$433,"Umidade")))</f>
        <v>0</v>
      </c>
      <c r="C55" s="15" t="n">
        <f aca="false">MAX(0,(SUMIFS(Desconto_Cliente_Mes!$N$2:$N$433,Desconto_Cliente_Mes!$A$2:$A$433,C$51,Desconto_Cliente_Mes!$B$2:$B$433,$A51,Desconto_Cliente_Mes!$C$2:$C$433,"Umidade"))-(SUMIFS(Desconto_Cliente_Mes!$P$2:$P$433,Desconto_Cliente_Mes!$A$2:$A$433,C$51,Desconto_Cliente_Mes!$B$2:$B$433,$A51,Desconto_Cliente_Mes!$C$2:$C$433,"Umidade")))</f>
        <v>0</v>
      </c>
      <c r="D55" s="15" t="n">
        <f aca="false">MAX(0,(SUMIFS(Desconto_Cliente_Mes!$N$2:$N$433,Desconto_Cliente_Mes!$A$2:$A$433,D$51,Desconto_Cliente_Mes!$B$2:$B$433,$A51,Desconto_Cliente_Mes!$C$2:$C$433,"Umidade"))-(SUMIFS(Desconto_Cliente_Mes!$P$2:$P$433,Desconto_Cliente_Mes!$A$2:$A$433,D$51,Desconto_Cliente_Mes!$B$2:$B$433,$A51,Desconto_Cliente_Mes!$C$2:$C$433,"Umidade")))</f>
        <v>0</v>
      </c>
      <c r="E55" s="15" t="n">
        <f aca="false">MAX(0,(SUMIFS(Desconto_Cliente_Mes!$N$2:$N$433,Desconto_Cliente_Mes!$A$2:$A$433,E$51,Desconto_Cliente_Mes!$B$2:$B$433,$A51,Desconto_Cliente_Mes!$C$2:$C$433,"Umidade"))-(SUMIFS(Desconto_Cliente_Mes!$P$2:$P$433,Desconto_Cliente_Mes!$A$2:$A$433,E$51,Desconto_Cliente_Mes!$B$2:$B$433,$A51,Desconto_Cliente_Mes!$C$2:$C$433,"Umidade")))</f>
        <v>0</v>
      </c>
      <c r="F55" s="15" t="n">
        <f aca="false">MAX(0,(SUMIFS(Desconto_Cliente_Mes!$N$2:$N$433,Desconto_Cliente_Mes!$A$2:$A$433,F$51,Desconto_Cliente_Mes!$B$2:$B$433,$A51,Desconto_Cliente_Mes!$C$2:$C$433,"Umidade"))-(SUMIFS(Desconto_Cliente_Mes!$P$2:$P$433,Desconto_Cliente_Mes!$A$2:$A$433,F$51,Desconto_Cliente_Mes!$B$2:$B$433,$A51,Desconto_Cliente_Mes!$C$2:$C$433,"Umidade")))</f>
        <v>0</v>
      </c>
      <c r="G55" s="15" t="n">
        <f aca="false">MAX(0,(SUMIFS(Desconto_Cliente_Mes!$N$2:$N$433,Desconto_Cliente_Mes!$A$2:$A$433,G$51,Desconto_Cliente_Mes!$B$2:$B$433,$A51,Desconto_Cliente_Mes!$C$2:$C$433,"Umidade"))-(SUMIFS(Desconto_Cliente_Mes!$P$2:$P$433,Desconto_Cliente_Mes!$A$2:$A$433,G$51,Desconto_Cliente_Mes!$B$2:$B$433,$A51,Desconto_Cliente_Mes!$C$2:$C$433,"Umidade")))</f>
        <v>0</v>
      </c>
      <c r="H55" s="15" t="n">
        <f aca="false">MAX(0,(SUMIFS(Desconto_Cliente_Mes!$N$2:$N$433,Desconto_Cliente_Mes!$A$2:$A$433,H$51,Desconto_Cliente_Mes!$B$2:$B$433,$A51,Desconto_Cliente_Mes!$C$2:$C$433,"Umidade"))-(SUMIFS(Desconto_Cliente_Mes!$P$2:$P$433,Desconto_Cliente_Mes!$A$2:$A$433,H$51,Desconto_Cliente_Mes!$B$2:$B$433,$A51,Desconto_Cliente_Mes!$C$2:$C$433,"Umidade")))</f>
        <v>0</v>
      </c>
      <c r="I55" s="15" t="n">
        <f aca="false">MAX(0,(SUMIFS(Desconto_Cliente_Mes!$N$2:$N$433,Desconto_Cliente_Mes!$A$2:$A$433,I$51,Desconto_Cliente_Mes!$B$2:$B$433,$A51,Desconto_Cliente_Mes!$C$2:$C$433,"Umidade"))-(SUMIFS(Desconto_Cliente_Mes!$P$2:$P$433,Desconto_Cliente_Mes!$A$2:$A$433,I$51,Desconto_Cliente_Mes!$B$2:$B$433,$A51,Desconto_Cliente_Mes!$C$2:$C$433,"Umidade")))</f>
        <v>0</v>
      </c>
      <c r="J55" s="15" t="n">
        <f aca="false">MAX(0,(SUMIFS(Desconto_Cliente_Mes!$N$2:$N$433,Desconto_Cliente_Mes!$A$2:$A$433,J$51,Desconto_Cliente_Mes!$B$2:$B$433,$A51,Desconto_Cliente_Mes!$C$2:$C$433,"Umidade"))-(SUMIFS(Desconto_Cliente_Mes!$P$2:$P$433,Desconto_Cliente_Mes!$A$2:$A$433,J$51,Desconto_Cliente_Mes!$B$2:$B$433,$A51,Desconto_Cliente_Mes!$C$2:$C$433,"Umidade")))</f>
        <v>0</v>
      </c>
      <c r="K55" s="15" t="n">
        <f aca="false">MAX(0,(SUMIFS(Desconto_Cliente_Mes!$N$2:$N$433,Desconto_Cliente_Mes!$A$2:$A$433,K$51,Desconto_Cliente_Mes!$B$2:$B$433,$A51,Desconto_Cliente_Mes!$C$2:$C$433,"Umidade"))-(SUMIFS(Desconto_Cliente_Mes!$P$2:$P$433,Desconto_Cliente_Mes!$A$2:$A$433,K$51,Desconto_Cliente_Mes!$B$2:$B$433,$A51,Desconto_Cliente_Mes!$C$2:$C$433,"Umidade")))</f>
        <v>0</v>
      </c>
      <c r="L55" s="15" t="n">
        <f aca="false">MAX(0,(SUMIFS(Desconto_Cliente_Mes!$N$2:$N$433,Desconto_Cliente_Mes!$A$2:$A$433,L$51,Desconto_Cliente_Mes!$B$2:$B$433,$A51,Desconto_Cliente_Mes!$C$2:$C$433,"Umidade"))-(SUMIFS(Desconto_Cliente_Mes!$P$2:$P$433,Desconto_Cliente_Mes!$A$2:$A$433,L$51,Desconto_Cliente_Mes!$B$2:$B$433,$A51,Desconto_Cliente_Mes!$C$2:$C$433,"Umidade")))</f>
        <v>0</v>
      </c>
      <c r="M55" s="15" t="n">
        <f aca="false">MAX(0,(SUMIFS(Desconto_Cliente_Mes!$N$2:$N$433,Desconto_Cliente_Mes!$A$2:$A$433,M$51,Desconto_Cliente_Mes!$B$2:$B$433,$A51,Desconto_Cliente_Mes!$C$2:$C$433,"Umidade"))-(SUMIFS(Desconto_Cliente_Mes!$P$2:$P$433,Desconto_Cliente_Mes!$A$2:$A$433,M$51,Desconto_Cliente_Mes!$B$2:$B$433,$A51,Desconto_Cliente_Mes!$C$2:$C$433,"Umidade")))</f>
        <v>0</v>
      </c>
    </row>
    <row r="56" customFormat="false" ht="15" hidden="false" customHeight="false" outlineLevel="0" collapsed="false">
      <c r="A56" s="13" t="s">
        <v>78</v>
      </c>
      <c r="B56" s="15" t="n">
        <f aca="false">MAX(0,SUMIFS(Desconto_Cliente_Mes!$P$2:$P$433,Desconto_Cliente_Mes!$A$2:$A$433,B$51,Desconto_Cliente_Mes!$B$2:$B$433,$A51,Desconto_Cliente_Mes!$C$2:$C$433,"Umidade"))</f>
        <v>0</v>
      </c>
      <c r="C56" s="15" t="n">
        <f aca="false">MAX(0,SUMIFS(Desconto_Cliente_Mes!$P$2:$P$433,Desconto_Cliente_Mes!$A$2:$A$433,C$51,Desconto_Cliente_Mes!$B$2:$B$433,$A51,Desconto_Cliente_Mes!$C$2:$C$433,"Umidade"))</f>
        <v>0</v>
      </c>
      <c r="D56" s="15" t="n">
        <f aca="false">MAX(0,SUMIFS(Desconto_Cliente_Mes!$P$2:$P$433,Desconto_Cliente_Mes!$A$2:$A$433,D$51,Desconto_Cliente_Mes!$B$2:$B$433,$A51,Desconto_Cliente_Mes!$C$2:$C$433,"Umidade"))</f>
        <v>0</v>
      </c>
      <c r="E56" s="15" t="n">
        <f aca="false">MAX(0,SUMIFS(Desconto_Cliente_Mes!$P$2:$P$433,Desconto_Cliente_Mes!$A$2:$A$433,E$51,Desconto_Cliente_Mes!$B$2:$B$433,$A51,Desconto_Cliente_Mes!$C$2:$C$433,"Umidade"))</f>
        <v>0</v>
      </c>
      <c r="F56" s="15" t="n">
        <f aca="false">MAX(0,SUMIFS(Desconto_Cliente_Mes!$P$2:$P$433,Desconto_Cliente_Mes!$A$2:$A$433,F$51,Desconto_Cliente_Mes!$B$2:$B$433,$A51,Desconto_Cliente_Mes!$C$2:$C$433,"Umidade"))</f>
        <v>0</v>
      </c>
      <c r="G56" s="15" t="n">
        <f aca="false">MAX(0,SUMIFS(Desconto_Cliente_Mes!$P$2:$P$433,Desconto_Cliente_Mes!$A$2:$A$433,G$51,Desconto_Cliente_Mes!$B$2:$B$433,$A51,Desconto_Cliente_Mes!$C$2:$C$433,"Umidade"))</f>
        <v>0</v>
      </c>
      <c r="H56" s="15" t="n">
        <f aca="false">MAX(0,SUMIFS(Desconto_Cliente_Mes!$P$2:$P$433,Desconto_Cliente_Mes!$A$2:$A$433,H$51,Desconto_Cliente_Mes!$B$2:$B$433,$A51,Desconto_Cliente_Mes!$C$2:$C$433,"Umidade"))</f>
        <v>0</v>
      </c>
      <c r="I56" s="15" t="n">
        <f aca="false">MAX(0,SUMIFS(Desconto_Cliente_Mes!$P$2:$P$433,Desconto_Cliente_Mes!$A$2:$A$433,I$51,Desconto_Cliente_Mes!$B$2:$B$433,$A51,Desconto_Cliente_Mes!$C$2:$C$433,"Umidade"))</f>
        <v>0</v>
      </c>
      <c r="J56" s="15" t="n">
        <f aca="false">MAX(0,SUMIFS(Desconto_Cliente_Mes!$P$2:$P$433,Desconto_Cliente_Mes!$A$2:$A$433,J$51,Desconto_Cliente_Mes!$B$2:$B$433,$A51,Desconto_Cliente_Mes!$C$2:$C$433,"Umidade"))</f>
        <v>0</v>
      </c>
      <c r="K56" s="15" t="n">
        <f aca="false">MAX(0,SUMIFS(Desconto_Cliente_Mes!$P$2:$P$433,Desconto_Cliente_Mes!$A$2:$A$433,K$51,Desconto_Cliente_Mes!$B$2:$B$433,$A51,Desconto_Cliente_Mes!$C$2:$C$433,"Umidade"))</f>
        <v>0</v>
      </c>
      <c r="L56" s="15" t="n">
        <f aca="false">MAX(0,SUMIFS(Desconto_Cliente_Mes!$P$2:$P$433,Desconto_Cliente_Mes!$A$2:$A$433,L$51,Desconto_Cliente_Mes!$B$2:$B$433,$A51,Desconto_Cliente_Mes!$C$2:$C$433,"Umidade"))</f>
        <v>0</v>
      </c>
      <c r="M56" s="15" t="n">
        <f aca="false">MAX(0,SUMIFS(Desconto_Cliente_Mes!$P$2:$P$433,Desconto_Cliente_Mes!$A$2:$A$433,M$51,Desconto_Cliente_Mes!$B$2:$B$433,$A51,Desconto_Cliente_Mes!$C$2:$C$433,"Umidade"))</f>
        <v>0</v>
      </c>
    </row>
    <row r="57" customFormat="false" ht="15" hidden="false" customHeight="false" outlineLevel="0" collapsed="false">
      <c r="A57" s="13" t="s">
        <v>79</v>
      </c>
      <c r="B57" s="16" t="n">
        <f aca="false">$B$53*($B$54/100)*(SUMIFS(Desconto_Cliente_Mes!$Q$2:$Q$433,Desconto_Cliente_Mes!$A$2:$A$433,B$51,Desconto_Cliente_Mes!$B$2:$B$433,$A51,Desconto_Cliente_Mes!$C$2:$C$433,"Umidade"))*(SUMIFS(Desconto_Cliente_Mes!$T$2:$T$433,Desconto_Cliente_Mes!$A$2:$A$433,B$51,Desconto_Cliente_Mes!$B$2:$B$433,$A51,Desconto_Cliente_Mes!$C$2:$C$433,"Umidade"))</f>
        <v>0</v>
      </c>
      <c r="C57" s="16" t="n">
        <f aca="false">$C$53*($C$54/100)*(SUMIFS(Desconto_Cliente_Mes!$Q$2:$Q$433,Desconto_Cliente_Mes!$A$2:$A$433,C$51,Desconto_Cliente_Mes!$B$2:$B$433,$A51,Desconto_Cliente_Mes!$C$2:$C$433,"Umidade"))*(SUMIFS(Desconto_Cliente_Mes!$T$2:$T$433,Desconto_Cliente_Mes!$A$2:$A$433,C$51,Desconto_Cliente_Mes!$B$2:$B$433,$A51,Desconto_Cliente_Mes!$C$2:$C$433,"Umidade"))</f>
        <v>0</v>
      </c>
      <c r="D57" s="16" t="n">
        <f aca="false">$D$53*($D$54/100)*(SUMIFS(Desconto_Cliente_Mes!$Q$2:$Q$433,Desconto_Cliente_Mes!$A$2:$A$433,D$51,Desconto_Cliente_Mes!$B$2:$B$433,$A51,Desconto_Cliente_Mes!$C$2:$C$433,"Umidade"))*(SUMIFS(Desconto_Cliente_Mes!$T$2:$T$433,Desconto_Cliente_Mes!$A$2:$A$433,D$51,Desconto_Cliente_Mes!$B$2:$B$433,$A51,Desconto_Cliente_Mes!$C$2:$C$433,"Umidade"))</f>
        <v>17054.955043</v>
      </c>
      <c r="E57" s="16" t="n">
        <f aca="false">$E$53*($E$54/100)*(SUMIFS(Desconto_Cliente_Mes!$Q$2:$Q$433,Desconto_Cliente_Mes!$A$2:$A$433,E$51,Desconto_Cliente_Mes!$B$2:$B$433,$A51,Desconto_Cliente_Mes!$C$2:$C$433,"Umidade"))*(SUMIFS(Desconto_Cliente_Mes!$T$2:$T$433,Desconto_Cliente_Mes!$A$2:$A$433,E$51,Desconto_Cliente_Mes!$B$2:$B$433,$A51,Desconto_Cliente_Mes!$C$2:$C$433,"Umidade"))</f>
        <v>0</v>
      </c>
      <c r="F57" s="16" t="n">
        <f aca="false">$F$53*($F$54/100)*(SUMIFS(Desconto_Cliente_Mes!$Q$2:$Q$433,Desconto_Cliente_Mes!$A$2:$A$433,F$51,Desconto_Cliente_Mes!$B$2:$B$433,$A51,Desconto_Cliente_Mes!$C$2:$C$433,"Umidade"))*(SUMIFS(Desconto_Cliente_Mes!$T$2:$T$433,Desconto_Cliente_Mes!$A$2:$A$433,F$51,Desconto_Cliente_Mes!$B$2:$B$433,$A51,Desconto_Cliente_Mes!$C$2:$C$433,"Umidade"))</f>
        <v>1640.73844199981</v>
      </c>
      <c r="G57" s="16" t="n">
        <f aca="false">$G$53*($G$54/100)*(SUMIFS(Desconto_Cliente_Mes!$Q$2:$Q$433,Desconto_Cliente_Mes!$A$2:$A$433,G$51,Desconto_Cliente_Mes!$B$2:$B$433,$A51,Desconto_Cliente_Mes!$C$2:$C$433,"Umidade"))*(SUMIFS(Desconto_Cliente_Mes!$T$2:$T$433,Desconto_Cliente_Mes!$A$2:$A$433,G$51,Desconto_Cliente_Mes!$B$2:$B$433,$A51,Desconto_Cliente_Mes!$C$2:$C$433,"Umidade"))</f>
        <v>0</v>
      </c>
      <c r="H57" s="16" t="n">
        <f aca="false">$H$53*($H$54/100)*(SUMIFS(Desconto_Cliente_Mes!$Q$2:$Q$433,Desconto_Cliente_Mes!$A$2:$A$433,H$51,Desconto_Cliente_Mes!$B$2:$B$433,$A51,Desconto_Cliente_Mes!$C$2:$C$433,"Umidade"))*(SUMIFS(Desconto_Cliente_Mes!$T$2:$T$433,Desconto_Cliente_Mes!$A$2:$A$433,H$51,Desconto_Cliente_Mes!$B$2:$B$433,$A51,Desconto_Cliente_Mes!$C$2:$C$433,"Umidade"))</f>
        <v>0</v>
      </c>
      <c r="I57" s="16" t="n">
        <f aca="false">$I$53*($I$54/100)*(SUMIFS(Desconto_Cliente_Mes!$Q$2:$Q$433,Desconto_Cliente_Mes!$A$2:$A$433,I$51,Desconto_Cliente_Mes!$B$2:$B$433,$A51,Desconto_Cliente_Mes!$C$2:$C$433,"Umidade"))*(SUMIFS(Desconto_Cliente_Mes!$T$2:$T$433,Desconto_Cliente_Mes!$A$2:$A$433,I$51,Desconto_Cliente_Mes!$B$2:$B$433,$A51,Desconto_Cliente_Mes!$C$2:$C$433,"Umidade"))</f>
        <v>0</v>
      </c>
      <c r="J57" s="16" t="n">
        <f aca="false">$J$53*($J$54/100)*(SUMIFS(Desconto_Cliente_Mes!$Q$2:$Q$433,Desconto_Cliente_Mes!$A$2:$A$433,J$51,Desconto_Cliente_Mes!$B$2:$B$433,$A51,Desconto_Cliente_Mes!$C$2:$C$433,"Umidade"))*(SUMIFS(Desconto_Cliente_Mes!$T$2:$T$433,Desconto_Cliente_Mes!$A$2:$A$433,J$51,Desconto_Cliente_Mes!$B$2:$B$433,$A51,Desconto_Cliente_Mes!$C$2:$C$433,"Umidade"))</f>
        <v>0</v>
      </c>
      <c r="K57" s="16" t="n">
        <f aca="false">$K$53*($K$54/100)*(SUMIFS(Desconto_Cliente_Mes!$Q$2:$Q$433,Desconto_Cliente_Mes!$A$2:$A$433,K$51,Desconto_Cliente_Mes!$B$2:$B$433,$A51,Desconto_Cliente_Mes!$C$2:$C$433,"Umidade"))*(SUMIFS(Desconto_Cliente_Mes!$T$2:$T$433,Desconto_Cliente_Mes!$A$2:$A$433,K$51,Desconto_Cliente_Mes!$B$2:$B$433,$A51,Desconto_Cliente_Mes!$C$2:$C$433,"Umidade"))</f>
        <v>0</v>
      </c>
      <c r="L57" s="16" t="n">
        <f aca="false">$L$53*($L$54/100)*(SUMIFS(Desconto_Cliente_Mes!$Q$2:$Q$433,Desconto_Cliente_Mes!$A$2:$A$433,L$51,Desconto_Cliente_Mes!$B$2:$B$433,$A51,Desconto_Cliente_Mes!$C$2:$C$433,"Umidade"))*(SUMIFS(Desconto_Cliente_Mes!$T$2:$T$433,Desconto_Cliente_Mes!$A$2:$A$433,L$51,Desconto_Cliente_Mes!$B$2:$B$433,$A51,Desconto_Cliente_Mes!$C$2:$C$433,"Umidade"))</f>
        <v>0</v>
      </c>
      <c r="M57" s="16" t="n">
        <f aca="false">$M$53*($M$54/100)*(SUMIFS(Desconto_Cliente_Mes!$Q$2:$Q$433,Desconto_Cliente_Mes!$A$2:$A$433,M$51,Desconto_Cliente_Mes!$B$2:$B$433,$A51,Desconto_Cliente_Mes!$C$2:$C$433,"Umidade"))*(SUMIFS(Desconto_Cliente_Mes!$T$2:$T$433,Desconto_Cliente_Mes!$A$2:$A$433,M$51,Desconto_Cliente_Mes!$B$2:$B$433,$A51,Desconto_Cliente_Mes!$C$2:$C$433,"Umidade"))</f>
        <v>0</v>
      </c>
      <c r="N57" s="17" t="n">
        <f aca="false">SUM(B57:M57)</f>
        <v>18695.6934849998</v>
      </c>
    </row>
    <row r="58" customFormat="false" ht="15" hidden="false" customHeight="false" outlineLevel="0" collapsed="false">
      <c r="A58" s="13" t="s">
        <v>80</v>
      </c>
      <c r="B58" s="16" t="n">
        <f aca="false">$B$53*($B$55/100)*((IF(SUMIFS(Desconto_Cliente_Mes!$R$2:$R$433,Desconto_Cliente_Mes!$A$2:$A$433,B$51,Desconto_Cliente_Mes!$B$2:$B$433,$A51,Desconto_Cliente_Mes!$C$2:$C$433,"Umidade")="",SUMIFS(Desconto_Cliente_Mes!$Q$2:$Q$433,Desconto_Cliente_Mes!$A$2:$A$433,B$51,Desconto_Cliente_Mes!$B$2:$B$433,$A51,Desconto_Cliente_Mes!$C$2:$C$433,"Umidade"),SUMIFS(Desconto_Cliente_Mes!$R$2:$R$433,Desconto_Cliente_Mes!$A$2:$A$433,B$51,Desconto_Cliente_Mes!$B$2:$B$433,$A51,Desconto_Cliente_Mes!$C$2:$C$433,"Umidade")))-(SUMIFS(Desconto_Cliente_Mes!$Q$2:$Q$433,Desconto_Cliente_Mes!$A$2:$A$433,B$51,Desconto_Cliente_Mes!$B$2:$B$433,$A51,Desconto_Cliente_Mes!$C$2:$C$433,"Umidade")))*(SUMIFS(Desconto_Cliente_Mes!$T$2:$T$433,Desconto_Cliente_Mes!$A$2:$A$433,B$51,Desconto_Cliente_Mes!$B$2:$B$433,$A51,Desconto_Cliente_Mes!$C$2:$C$433,"Umidade"))</f>
        <v>-0</v>
      </c>
      <c r="C58" s="16" t="n">
        <f aca="false">$C$53*($C$55/100)*((IF(SUMIFS(Desconto_Cliente_Mes!$R$2:$R$433,Desconto_Cliente_Mes!$A$2:$A$433,C$51,Desconto_Cliente_Mes!$B$2:$B$433,$A51,Desconto_Cliente_Mes!$C$2:$C$433,"Umidade")="",SUMIFS(Desconto_Cliente_Mes!$Q$2:$Q$433,Desconto_Cliente_Mes!$A$2:$A$433,C$51,Desconto_Cliente_Mes!$B$2:$B$433,$A51,Desconto_Cliente_Mes!$C$2:$C$433,"Umidade"),SUMIFS(Desconto_Cliente_Mes!$R$2:$R$433,Desconto_Cliente_Mes!$A$2:$A$433,C$51,Desconto_Cliente_Mes!$B$2:$B$433,$A51,Desconto_Cliente_Mes!$C$2:$C$433,"Umidade")))-(SUMIFS(Desconto_Cliente_Mes!$Q$2:$Q$433,Desconto_Cliente_Mes!$A$2:$A$433,C$51,Desconto_Cliente_Mes!$B$2:$B$433,$A51,Desconto_Cliente_Mes!$C$2:$C$433,"Umidade")))*(SUMIFS(Desconto_Cliente_Mes!$T$2:$T$433,Desconto_Cliente_Mes!$A$2:$A$433,C$51,Desconto_Cliente_Mes!$B$2:$B$433,$A51,Desconto_Cliente_Mes!$C$2:$C$433,"Umidade"))</f>
        <v>-0</v>
      </c>
      <c r="D58" s="16" t="n">
        <f aca="false">$D$53*($D$55/100)*((IF(SUMIFS(Desconto_Cliente_Mes!$R$2:$R$433,Desconto_Cliente_Mes!$A$2:$A$433,D$51,Desconto_Cliente_Mes!$B$2:$B$433,$A51,Desconto_Cliente_Mes!$C$2:$C$433,"Umidade")="",SUMIFS(Desconto_Cliente_Mes!$Q$2:$Q$433,Desconto_Cliente_Mes!$A$2:$A$433,D$51,Desconto_Cliente_Mes!$B$2:$B$433,$A51,Desconto_Cliente_Mes!$C$2:$C$433,"Umidade"),SUMIFS(Desconto_Cliente_Mes!$R$2:$R$433,Desconto_Cliente_Mes!$A$2:$A$433,D$51,Desconto_Cliente_Mes!$B$2:$B$433,$A51,Desconto_Cliente_Mes!$C$2:$C$433,"Umidade")))-(SUMIFS(Desconto_Cliente_Mes!$Q$2:$Q$433,Desconto_Cliente_Mes!$A$2:$A$433,D$51,Desconto_Cliente_Mes!$B$2:$B$433,$A51,Desconto_Cliente_Mes!$C$2:$C$433,"Umidade")))*(SUMIFS(Desconto_Cliente_Mes!$T$2:$T$433,Desconto_Cliente_Mes!$A$2:$A$433,D$51,Desconto_Cliente_Mes!$B$2:$B$433,$A51,Desconto_Cliente_Mes!$C$2:$C$433,"Umidade"))</f>
        <v>-0</v>
      </c>
      <c r="E58" s="16" t="n">
        <f aca="false">$E$53*($E$55/100)*((IF(SUMIFS(Desconto_Cliente_Mes!$R$2:$R$433,Desconto_Cliente_Mes!$A$2:$A$433,E$51,Desconto_Cliente_Mes!$B$2:$B$433,$A51,Desconto_Cliente_Mes!$C$2:$C$433,"Umidade")="",SUMIFS(Desconto_Cliente_Mes!$Q$2:$Q$433,Desconto_Cliente_Mes!$A$2:$A$433,E$51,Desconto_Cliente_Mes!$B$2:$B$433,$A51,Desconto_Cliente_Mes!$C$2:$C$433,"Umidade"),SUMIFS(Desconto_Cliente_Mes!$R$2:$R$433,Desconto_Cliente_Mes!$A$2:$A$433,E$51,Desconto_Cliente_Mes!$B$2:$B$433,$A51,Desconto_Cliente_Mes!$C$2:$C$433,"Umidade")))-(SUMIFS(Desconto_Cliente_Mes!$Q$2:$Q$433,Desconto_Cliente_Mes!$A$2:$A$433,E$51,Desconto_Cliente_Mes!$B$2:$B$433,$A51,Desconto_Cliente_Mes!$C$2:$C$433,"Umidade")))*(SUMIFS(Desconto_Cliente_Mes!$T$2:$T$433,Desconto_Cliente_Mes!$A$2:$A$433,E$51,Desconto_Cliente_Mes!$B$2:$B$433,$A51,Desconto_Cliente_Mes!$C$2:$C$433,"Umidade"))</f>
        <v>-0</v>
      </c>
      <c r="F58" s="16" t="n">
        <f aca="false">$F$53*($F$55/100)*((IF(SUMIFS(Desconto_Cliente_Mes!$R$2:$R$433,Desconto_Cliente_Mes!$A$2:$A$433,F$51,Desconto_Cliente_Mes!$B$2:$B$433,$A51,Desconto_Cliente_Mes!$C$2:$C$433,"Umidade")="",SUMIFS(Desconto_Cliente_Mes!$Q$2:$Q$433,Desconto_Cliente_Mes!$A$2:$A$433,F$51,Desconto_Cliente_Mes!$B$2:$B$433,$A51,Desconto_Cliente_Mes!$C$2:$C$433,"Umidade"),SUMIFS(Desconto_Cliente_Mes!$R$2:$R$433,Desconto_Cliente_Mes!$A$2:$A$433,F$51,Desconto_Cliente_Mes!$B$2:$B$433,$A51,Desconto_Cliente_Mes!$C$2:$C$433,"Umidade")))-(SUMIFS(Desconto_Cliente_Mes!$Q$2:$Q$433,Desconto_Cliente_Mes!$A$2:$A$433,F$51,Desconto_Cliente_Mes!$B$2:$B$433,$A51,Desconto_Cliente_Mes!$C$2:$C$433,"Umidade")))*(SUMIFS(Desconto_Cliente_Mes!$T$2:$T$433,Desconto_Cliente_Mes!$A$2:$A$433,F$51,Desconto_Cliente_Mes!$B$2:$B$433,$A51,Desconto_Cliente_Mes!$C$2:$C$433,"Umidade"))</f>
        <v>-0</v>
      </c>
      <c r="G58" s="16" t="n">
        <f aca="false">$G$53*($G$55/100)*((IF(SUMIFS(Desconto_Cliente_Mes!$R$2:$R$433,Desconto_Cliente_Mes!$A$2:$A$433,G$51,Desconto_Cliente_Mes!$B$2:$B$433,$A51,Desconto_Cliente_Mes!$C$2:$C$433,"Umidade")="",SUMIFS(Desconto_Cliente_Mes!$Q$2:$Q$433,Desconto_Cliente_Mes!$A$2:$A$433,G$51,Desconto_Cliente_Mes!$B$2:$B$433,$A51,Desconto_Cliente_Mes!$C$2:$C$433,"Umidade"),SUMIFS(Desconto_Cliente_Mes!$R$2:$R$433,Desconto_Cliente_Mes!$A$2:$A$433,G$51,Desconto_Cliente_Mes!$B$2:$B$433,$A51,Desconto_Cliente_Mes!$C$2:$C$433,"Umidade")))-(SUMIFS(Desconto_Cliente_Mes!$Q$2:$Q$433,Desconto_Cliente_Mes!$A$2:$A$433,G$51,Desconto_Cliente_Mes!$B$2:$B$433,$A51,Desconto_Cliente_Mes!$C$2:$C$433,"Umidade")))*(SUMIFS(Desconto_Cliente_Mes!$T$2:$T$433,Desconto_Cliente_Mes!$A$2:$A$433,G$51,Desconto_Cliente_Mes!$B$2:$B$433,$A51,Desconto_Cliente_Mes!$C$2:$C$433,"Umidade"))</f>
        <v>-0</v>
      </c>
      <c r="H58" s="16" t="n">
        <f aca="false">$H$53*($H$55/100)*((IF(SUMIFS(Desconto_Cliente_Mes!$R$2:$R$433,Desconto_Cliente_Mes!$A$2:$A$433,H$51,Desconto_Cliente_Mes!$B$2:$B$433,$A51,Desconto_Cliente_Mes!$C$2:$C$433,"Umidade")="",SUMIFS(Desconto_Cliente_Mes!$Q$2:$Q$433,Desconto_Cliente_Mes!$A$2:$A$433,H$51,Desconto_Cliente_Mes!$B$2:$B$433,$A51,Desconto_Cliente_Mes!$C$2:$C$433,"Umidade"),SUMIFS(Desconto_Cliente_Mes!$R$2:$R$433,Desconto_Cliente_Mes!$A$2:$A$433,H$51,Desconto_Cliente_Mes!$B$2:$B$433,$A51,Desconto_Cliente_Mes!$C$2:$C$433,"Umidade")))-(SUMIFS(Desconto_Cliente_Mes!$Q$2:$Q$433,Desconto_Cliente_Mes!$A$2:$A$433,H$51,Desconto_Cliente_Mes!$B$2:$B$433,$A51,Desconto_Cliente_Mes!$C$2:$C$433,"Umidade")))*(SUMIFS(Desconto_Cliente_Mes!$T$2:$T$433,Desconto_Cliente_Mes!$A$2:$A$433,H$51,Desconto_Cliente_Mes!$B$2:$B$433,$A51,Desconto_Cliente_Mes!$C$2:$C$433,"Umidade"))</f>
        <v>-0</v>
      </c>
      <c r="I58" s="16" t="n">
        <f aca="false">$I$53*($I$55/100)*((IF(SUMIFS(Desconto_Cliente_Mes!$R$2:$R$433,Desconto_Cliente_Mes!$A$2:$A$433,I$51,Desconto_Cliente_Mes!$B$2:$B$433,$A51,Desconto_Cliente_Mes!$C$2:$C$433,"Umidade")="",SUMIFS(Desconto_Cliente_Mes!$Q$2:$Q$433,Desconto_Cliente_Mes!$A$2:$A$433,I$51,Desconto_Cliente_Mes!$B$2:$B$433,$A51,Desconto_Cliente_Mes!$C$2:$C$433,"Umidade"),SUMIFS(Desconto_Cliente_Mes!$R$2:$R$433,Desconto_Cliente_Mes!$A$2:$A$433,I$51,Desconto_Cliente_Mes!$B$2:$B$433,$A51,Desconto_Cliente_Mes!$C$2:$C$433,"Umidade")))-(SUMIFS(Desconto_Cliente_Mes!$Q$2:$Q$433,Desconto_Cliente_Mes!$A$2:$A$433,I$51,Desconto_Cliente_Mes!$B$2:$B$433,$A51,Desconto_Cliente_Mes!$C$2:$C$433,"Umidade")))*(SUMIFS(Desconto_Cliente_Mes!$T$2:$T$433,Desconto_Cliente_Mes!$A$2:$A$433,I$51,Desconto_Cliente_Mes!$B$2:$B$433,$A51,Desconto_Cliente_Mes!$C$2:$C$433,"Umidade"))</f>
        <v>-0</v>
      </c>
      <c r="J58" s="16" t="n">
        <f aca="false">$J$53*($J$55/100)*((IF(SUMIFS(Desconto_Cliente_Mes!$R$2:$R$433,Desconto_Cliente_Mes!$A$2:$A$433,J$51,Desconto_Cliente_Mes!$B$2:$B$433,$A51,Desconto_Cliente_Mes!$C$2:$C$433,"Umidade")="",SUMIFS(Desconto_Cliente_Mes!$Q$2:$Q$433,Desconto_Cliente_Mes!$A$2:$A$433,J$51,Desconto_Cliente_Mes!$B$2:$B$433,$A51,Desconto_Cliente_Mes!$C$2:$C$433,"Umidade"),SUMIFS(Desconto_Cliente_Mes!$R$2:$R$433,Desconto_Cliente_Mes!$A$2:$A$433,J$51,Desconto_Cliente_Mes!$B$2:$B$433,$A51,Desconto_Cliente_Mes!$C$2:$C$433,"Umidade")))-(SUMIFS(Desconto_Cliente_Mes!$Q$2:$Q$433,Desconto_Cliente_Mes!$A$2:$A$433,J$51,Desconto_Cliente_Mes!$B$2:$B$433,$A51,Desconto_Cliente_Mes!$C$2:$C$433,"Umidade")))*(SUMIFS(Desconto_Cliente_Mes!$T$2:$T$433,Desconto_Cliente_Mes!$A$2:$A$433,J$51,Desconto_Cliente_Mes!$B$2:$B$433,$A51,Desconto_Cliente_Mes!$C$2:$C$433,"Umidade"))</f>
        <v>-0</v>
      </c>
      <c r="K58" s="16" t="n">
        <f aca="false">$K$53*($K$55/100)*((IF(SUMIFS(Desconto_Cliente_Mes!$R$2:$R$433,Desconto_Cliente_Mes!$A$2:$A$433,K$51,Desconto_Cliente_Mes!$B$2:$B$433,$A51,Desconto_Cliente_Mes!$C$2:$C$433,"Umidade")="",SUMIFS(Desconto_Cliente_Mes!$Q$2:$Q$433,Desconto_Cliente_Mes!$A$2:$A$433,K$51,Desconto_Cliente_Mes!$B$2:$B$433,$A51,Desconto_Cliente_Mes!$C$2:$C$433,"Umidade"),SUMIFS(Desconto_Cliente_Mes!$R$2:$R$433,Desconto_Cliente_Mes!$A$2:$A$433,K$51,Desconto_Cliente_Mes!$B$2:$B$433,$A51,Desconto_Cliente_Mes!$C$2:$C$433,"Umidade")))-(SUMIFS(Desconto_Cliente_Mes!$Q$2:$Q$433,Desconto_Cliente_Mes!$A$2:$A$433,K$51,Desconto_Cliente_Mes!$B$2:$B$433,$A51,Desconto_Cliente_Mes!$C$2:$C$433,"Umidade")))*(SUMIFS(Desconto_Cliente_Mes!$T$2:$T$433,Desconto_Cliente_Mes!$A$2:$A$433,K$51,Desconto_Cliente_Mes!$B$2:$B$433,$A51,Desconto_Cliente_Mes!$C$2:$C$433,"Umidade"))</f>
        <v>-0</v>
      </c>
      <c r="L58" s="16" t="n">
        <f aca="false">$L$53*($L$55/100)*((IF(SUMIFS(Desconto_Cliente_Mes!$R$2:$R$433,Desconto_Cliente_Mes!$A$2:$A$433,L$51,Desconto_Cliente_Mes!$B$2:$B$433,$A51,Desconto_Cliente_Mes!$C$2:$C$433,"Umidade")="",SUMIFS(Desconto_Cliente_Mes!$Q$2:$Q$433,Desconto_Cliente_Mes!$A$2:$A$433,L$51,Desconto_Cliente_Mes!$B$2:$B$433,$A51,Desconto_Cliente_Mes!$C$2:$C$433,"Umidade"),SUMIFS(Desconto_Cliente_Mes!$R$2:$R$433,Desconto_Cliente_Mes!$A$2:$A$433,L$51,Desconto_Cliente_Mes!$B$2:$B$433,$A51,Desconto_Cliente_Mes!$C$2:$C$433,"Umidade")))-(SUMIFS(Desconto_Cliente_Mes!$Q$2:$Q$433,Desconto_Cliente_Mes!$A$2:$A$433,L$51,Desconto_Cliente_Mes!$B$2:$B$433,$A51,Desconto_Cliente_Mes!$C$2:$C$433,"Umidade")))*(SUMIFS(Desconto_Cliente_Mes!$T$2:$T$433,Desconto_Cliente_Mes!$A$2:$A$433,L$51,Desconto_Cliente_Mes!$B$2:$B$433,$A51,Desconto_Cliente_Mes!$C$2:$C$433,"Umidade"))</f>
        <v>-0</v>
      </c>
      <c r="M58" s="16" t="n">
        <f aca="false">$M$53*($M$55/100)*((IF(SUMIFS(Desconto_Cliente_Mes!$R$2:$R$433,Desconto_Cliente_Mes!$A$2:$A$433,M$51,Desconto_Cliente_Mes!$B$2:$B$433,$A51,Desconto_Cliente_Mes!$C$2:$C$433,"Umidade")="",SUMIFS(Desconto_Cliente_Mes!$Q$2:$Q$433,Desconto_Cliente_Mes!$A$2:$A$433,M$51,Desconto_Cliente_Mes!$B$2:$B$433,$A51,Desconto_Cliente_Mes!$C$2:$C$433,"Umidade"),SUMIFS(Desconto_Cliente_Mes!$R$2:$R$433,Desconto_Cliente_Mes!$A$2:$A$433,M$51,Desconto_Cliente_Mes!$B$2:$B$433,$A51,Desconto_Cliente_Mes!$C$2:$C$433,"Umidade")))-(SUMIFS(Desconto_Cliente_Mes!$Q$2:$Q$433,Desconto_Cliente_Mes!$A$2:$A$433,M$51,Desconto_Cliente_Mes!$B$2:$B$433,$A51,Desconto_Cliente_Mes!$C$2:$C$433,"Umidade")))*(SUMIFS(Desconto_Cliente_Mes!$T$2:$T$433,Desconto_Cliente_Mes!$A$2:$A$433,M$51,Desconto_Cliente_Mes!$B$2:$B$433,$A51,Desconto_Cliente_Mes!$C$2:$C$433,"Umidade"))</f>
        <v>-0</v>
      </c>
      <c r="N58" s="17" t="n">
        <f aca="false">SUM(B58:M58)</f>
        <v>0</v>
      </c>
    </row>
    <row r="59" customFormat="false" ht="15" hidden="false" customHeight="false" outlineLevel="0" collapsed="false">
      <c r="A59" s="13" t="s">
        <v>81</v>
      </c>
      <c r="B59" s="16" t="n">
        <f aca="false">$B$53*($B$56/100)*((IF(SUMIFS(Desconto_Cliente_Mes!$S$2:$S$433,Desconto_Cliente_Mes!$A$2:$A$433,B$51,Desconto_Cliente_Mes!$B$2:$B$433,$A51,Desconto_Cliente_Mes!$C$2:$C$433,"Umidade")="",(IF(SUMIFS(Desconto_Cliente_Mes!$R$2:$R$433,Desconto_Cliente_Mes!$A$2:$A$433,B$51,Desconto_Cliente_Mes!$B$2:$B$433,$A51,Desconto_Cliente_Mes!$C$2:$C$433,"Umidade")="",SUMIFS(Desconto_Cliente_Mes!$Q$2:$Q$433,Desconto_Cliente_Mes!$A$2:$A$433,B$51,Desconto_Cliente_Mes!$B$2:$B$433,$A51,Desconto_Cliente_Mes!$C$2:$C$433,"Umidade"),SUMIFS(Desconto_Cliente_Mes!$R$2:$R$433,Desconto_Cliente_Mes!$A$2:$A$433,B$51,Desconto_Cliente_Mes!$B$2:$B$433,$A51,Desconto_Cliente_Mes!$C$2:$C$433,"Umidade"))),SUMIFS(Desconto_Cliente_Mes!$S$2:$S$433,Desconto_Cliente_Mes!$A$2:$A$433,B$51,Desconto_Cliente_Mes!$B$2:$B$433,$A51,Desconto_Cliente_Mes!$C$2:$C$433,"Umidade")))-(IF(SUMIFS(Desconto_Cliente_Mes!$R$2:$R$433,Desconto_Cliente_Mes!$A$2:$A$433,B$51,Desconto_Cliente_Mes!$B$2:$B$433,$A51,Desconto_Cliente_Mes!$C$2:$C$433,"Umidade")="",SUMIFS(Desconto_Cliente_Mes!$Q$2:$Q$433,Desconto_Cliente_Mes!$A$2:$A$433,B$51,Desconto_Cliente_Mes!$B$2:$B$433,$A51,Desconto_Cliente_Mes!$C$2:$C$433,"Umidade"),SUMIFS(Desconto_Cliente_Mes!$R$2:$R$433,Desconto_Cliente_Mes!$A$2:$A$433,B$51,Desconto_Cliente_Mes!$B$2:$B$433,$A51,Desconto_Cliente_Mes!$C$2:$C$433,"Umidade"))))*(SUMIFS(Desconto_Cliente_Mes!$T$2:$T$433,Desconto_Cliente_Mes!$A$2:$A$433,B$51,Desconto_Cliente_Mes!$B$2:$B$433,$A51,Desconto_Cliente_Mes!$C$2:$C$433,"Umidade"))</f>
        <v>0</v>
      </c>
      <c r="C59" s="16" t="n">
        <f aca="false">$C$53*($C$56/100)*((IF(SUMIFS(Desconto_Cliente_Mes!$S$2:$S$433,Desconto_Cliente_Mes!$A$2:$A$433,C$51,Desconto_Cliente_Mes!$B$2:$B$433,$A51,Desconto_Cliente_Mes!$C$2:$C$433,"Umidade")="",(IF(SUMIFS(Desconto_Cliente_Mes!$R$2:$R$433,Desconto_Cliente_Mes!$A$2:$A$433,C$51,Desconto_Cliente_Mes!$B$2:$B$433,$A51,Desconto_Cliente_Mes!$C$2:$C$433,"Umidade")="",SUMIFS(Desconto_Cliente_Mes!$Q$2:$Q$433,Desconto_Cliente_Mes!$A$2:$A$433,C$51,Desconto_Cliente_Mes!$B$2:$B$433,$A51,Desconto_Cliente_Mes!$C$2:$C$433,"Umidade"),SUMIFS(Desconto_Cliente_Mes!$R$2:$R$433,Desconto_Cliente_Mes!$A$2:$A$433,C$51,Desconto_Cliente_Mes!$B$2:$B$433,$A51,Desconto_Cliente_Mes!$C$2:$C$433,"Umidade"))),SUMIFS(Desconto_Cliente_Mes!$S$2:$S$433,Desconto_Cliente_Mes!$A$2:$A$433,C$51,Desconto_Cliente_Mes!$B$2:$B$433,$A51,Desconto_Cliente_Mes!$C$2:$C$433,"Umidade")))-(IF(SUMIFS(Desconto_Cliente_Mes!$R$2:$R$433,Desconto_Cliente_Mes!$A$2:$A$433,C$51,Desconto_Cliente_Mes!$B$2:$B$433,$A51,Desconto_Cliente_Mes!$C$2:$C$433,"Umidade")="",SUMIFS(Desconto_Cliente_Mes!$Q$2:$Q$433,Desconto_Cliente_Mes!$A$2:$A$433,C$51,Desconto_Cliente_Mes!$B$2:$B$433,$A51,Desconto_Cliente_Mes!$C$2:$C$433,"Umidade"),SUMIFS(Desconto_Cliente_Mes!$R$2:$R$433,Desconto_Cliente_Mes!$A$2:$A$433,C$51,Desconto_Cliente_Mes!$B$2:$B$433,$A51,Desconto_Cliente_Mes!$C$2:$C$433,"Umidade"))))*(SUMIFS(Desconto_Cliente_Mes!$T$2:$T$433,Desconto_Cliente_Mes!$A$2:$A$433,C$51,Desconto_Cliente_Mes!$B$2:$B$433,$A51,Desconto_Cliente_Mes!$C$2:$C$433,"Umidade"))</f>
        <v>0</v>
      </c>
      <c r="D59" s="16" t="n">
        <f aca="false">$D$53*($D$56/100)*((IF(SUMIFS(Desconto_Cliente_Mes!$S$2:$S$433,Desconto_Cliente_Mes!$A$2:$A$433,D$51,Desconto_Cliente_Mes!$B$2:$B$433,$A51,Desconto_Cliente_Mes!$C$2:$C$433,"Umidade")="",(IF(SUMIFS(Desconto_Cliente_Mes!$R$2:$R$433,Desconto_Cliente_Mes!$A$2:$A$433,D$51,Desconto_Cliente_Mes!$B$2:$B$433,$A51,Desconto_Cliente_Mes!$C$2:$C$433,"Umidade")="",SUMIFS(Desconto_Cliente_Mes!$Q$2:$Q$433,Desconto_Cliente_Mes!$A$2:$A$433,D$51,Desconto_Cliente_Mes!$B$2:$B$433,$A51,Desconto_Cliente_Mes!$C$2:$C$433,"Umidade"),SUMIFS(Desconto_Cliente_Mes!$R$2:$R$433,Desconto_Cliente_Mes!$A$2:$A$433,D$51,Desconto_Cliente_Mes!$B$2:$B$433,$A51,Desconto_Cliente_Mes!$C$2:$C$433,"Umidade"))),SUMIFS(Desconto_Cliente_Mes!$S$2:$S$433,Desconto_Cliente_Mes!$A$2:$A$433,D$51,Desconto_Cliente_Mes!$B$2:$B$433,$A51,Desconto_Cliente_Mes!$C$2:$C$433,"Umidade")))-(IF(SUMIFS(Desconto_Cliente_Mes!$R$2:$R$433,Desconto_Cliente_Mes!$A$2:$A$433,D$51,Desconto_Cliente_Mes!$B$2:$B$433,$A51,Desconto_Cliente_Mes!$C$2:$C$433,"Umidade")="",SUMIFS(Desconto_Cliente_Mes!$Q$2:$Q$433,Desconto_Cliente_Mes!$A$2:$A$433,D$51,Desconto_Cliente_Mes!$B$2:$B$433,$A51,Desconto_Cliente_Mes!$C$2:$C$433,"Umidade"),SUMIFS(Desconto_Cliente_Mes!$R$2:$R$433,Desconto_Cliente_Mes!$A$2:$A$433,D$51,Desconto_Cliente_Mes!$B$2:$B$433,$A51,Desconto_Cliente_Mes!$C$2:$C$433,"Umidade"))))*(SUMIFS(Desconto_Cliente_Mes!$T$2:$T$433,Desconto_Cliente_Mes!$A$2:$A$433,D$51,Desconto_Cliente_Mes!$B$2:$B$433,$A51,Desconto_Cliente_Mes!$C$2:$C$433,"Umidade"))</f>
        <v>0</v>
      </c>
      <c r="E59" s="16" t="n">
        <f aca="false">$E$53*($E$56/100)*((IF(SUMIFS(Desconto_Cliente_Mes!$S$2:$S$433,Desconto_Cliente_Mes!$A$2:$A$433,E$51,Desconto_Cliente_Mes!$B$2:$B$433,$A51,Desconto_Cliente_Mes!$C$2:$C$433,"Umidade")="",(IF(SUMIFS(Desconto_Cliente_Mes!$R$2:$R$433,Desconto_Cliente_Mes!$A$2:$A$433,E$51,Desconto_Cliente_Mes!$B$2:$B$433,$A51,Desconto_Cliente_Mes!$C$2:$C$433,"Umidade")="",SUMIFS(Desconto_Cliente_Mes!$Q$2:$Q$433,Desconto_Cliente_Mes!$A$2:$A$433,E$51,Desconto_Cliente_Mes!$B$2:$B$433,$A51,Desconto_Cliente_Mes!$C$2:$C$433,"Umidade"),SUMIFS(Desconto_Cliente_Mes!$R$2:$R$433,Desconto_Cliente_Mes!$A$2:$A$433,E$51,Desconto_Cliente_Mes!$B$2:$B$433,$A51,Desconto_Cliente_Mes!$C$2:$C$433,"Umidade"))),SUMIFS(Desconto_Cliente_Mes!$S$2:$S$433,Desconto_Cliente_Mes!$A$2:$A$433,E$51,Desconto_Cliente_Mes!$B$2:$B$433,$A51,Desconto_Cliente_Mes!$C$2:$C$433,"Umidade")))-(IF(SUMIFS(Desconto_Cliente_Mes!$R$2:$R$433,Desconto_Cliente_Mes!$A$2:$A$433,E$51,Desconto_Cliente_Mes!$B$2:$B$433,$A51,Desconto_Cliente_Mes!$C$2:$C$433,"Umidade")="",SUMIFS(Desconto_Cliente_Mes!$Q$2:$Q$433,Desconto_Cliente_Mes!$A$2:$A$433,E$51,Desconto_Cliente_Mes!$B$2:$B$433,$A51,Desconto_Cliente_Mes!$C$2:$C$433,"Umidade"),SUMIFS(Desconto_Cliente_Mes!$R$2:$R$433,Desconto_Cliente_Mes!$A$2:$A$433,E$51,Desconto_Cliente_Mes!$B$2:$B$433,$A51,Desconto_Cliente_Mes!$C$2:$C$433,"Umidade"))))*(SUMIFS(Desconto_Cliente_Mes!$T$2:$T$433,Desconto_Cliente_Mes!$A$2:$A$433,E$51,Desconto_Cliente_Mes!$B$2:$B$433,$A51,Desconto_Cliente_Mes!$C$2:$C$433,"Umidade"))</f>
        <v>0</v>
      </c>
      <c r="F59" s="16" t="n">
        <f aca="false">$F$53*($F$56/100)*((IF(SUMIFS(Desconto_Cliente_Mes!$S$2:$S$433,Desconto_Cliente_Mes!$A$2:$A$433,F$51,Desconto_Cliente_Mes!$B$2:$B$433,$A51,Desconto_Cliente_Mes!$C$2:$C$433,"Umidade")="",(IF(SUMIFS(Desconto_Cliente_Mes!$R$2:$R$433,Desconto_Cliente_Mes!$A$2:$A$433,F$51,Desconto_Cliente_Mes!$B$2:$B$433,$A51,Desconto_Cliente_Mes!$C$2:$C$433,"Umidade")="",SUMIFS(Desconto_Cliente_Mes!$Q$2:$Q$433,Desconto_Cliente_Mes!$A$2:$A$433,F$51,Desconto_Cliente_Mes!$B$2:$B$433,$A51,Desconto_Cliente_Mes!$C$2:$C$433,"Umidade"),SUMIFS(Desconto_Cliente_Mes!$R$2:$R$433,Desconto_Cliente_Mes!$A$2:$A$433,F$51,Desconto_Cliente_Mes!$B$2:$B$433,$A51,Desconto_Cliente_Mes!$C$2:$C$433,"Umidade"))),SUMIFS(Desconto_Cliente_Mes!$S$2:$S$433,Desconto_Cliente_Mes!$A$2:$A$433,F$51,Desconto_Cliente_Mes!$B$2:$B$433,$A51,Desconto_Cliente_Mes!$C$2:$C$433,"Umidade")))-(IF(SUMIFS(Desconto_Cliente_Mes!$R$2:$R$433,Desconto_Cliente_Mes!$A$2:$A$433,F$51,Desconto_Cliente_Mes!$B$2:$B$433,$A51,Desconto_Cliente_Mes!$C$2:$C$433,"Umidade")="",SUMIFS(Desconto_Cliente_Mes!$Q$2:$Q$433,Desconto_Cliente_Mes!$A$2:$A$433,F$51,Desconto_Cliente_Mes!$B$2:$B$433,$A51,Desconto_Cliente_Mes!$C$2:$C$433,"Umidade"),SUMIFS(Desconto_Cliente_Mes!$R$2:$R$433,Desconto_Cliente_Mes!$A$2:$A$433,F$51,Desconto_Cliente_Mes!$B$2:$B$433,$A51,Desconto_Cliente_Mes!$C$2:$C$433,"Umidade"))))*(SUMIFS(Desconto_Cliente_Mes!$T$2:$T$433,Desconto_Cliente_Mes!$A$2:$A$433,F$51,Desconto_Cliente_Mes!$B$2:$B$433,$A51,Desconto_Cliente_Mes!$C$2:$C$433,"Umidade"))</f>
        <v>0</v>
      </c>
      <c r="G59" s="16" t="n">
        <f aca="false">$G$53*($G$56/100)*((IF(SUMIFS(Desconto_Cliente_Mes!$S$2:$S$433,Desconto_Cliente_Mes!$A$2:$A$433,G$51,Desconto_Cliente_Mes!$B$2:$B$433,$A51,Desconto_Cliente_Mes!$C$2:$C$433,"Umidade")="",(IF(SUMIFS(Desconto_Cliente_Mes!$R$2:$R$433,Desconto_Cliente_Mes!$A$2:$A$433,G$51,Desconto_Cliente_Mes!$B$2:$B$433,$A51,Desconto_Cliente_Mes!$C$2:$C$433,"Umidade")="",SUMIFS(Desconto_Cliente_Mes!$Q$2:$Q$433,Desconto_Cliente_Mes!$A$2:$A$433,G$51,Desconto_Cliente_Mes!$B$2:$B$433,$A51,Desconto_Cliente_Mes!$C$2:$C$433,"Umidade"),SUMIFS(Desconto_Cliente_Mes!$R$2:$R$433,Desconto_Cliente_Mes!$A$2:$A$433,G$51,Desconto_Cliente_Mes!$B$2:$B$433,$A51,Desconto_Cliente_Mes!$C$2:$C$433,"Umidade"))),SUMIFS(Desconto_Cliente_Mes!$S$2:$S$433,Desconto_Cliente_Mes!$A$2:$A$433,G$51,Desconto_Cliente_Mes!$B$2:$B$433,$A51,Desconto_Cliente_Mes!$C$2:$C$433,"Umidade")))-(IF(SUMIFS(Desconto_Cliente_Mes!$R$2:$R$433,Desconto_Cliente_Mes!$A$2:$A$433,G$51,Desconto_Cliente_Mes!$B$2:$B$433,$A51,Desconto_Cliente_Mes!$C$2:$C$433,"Umidade")="",SUMIFS(Desconto_Cliente_Mes!$Q$2:$Q$433,Desconto_Cliente_Mes!$A$2:$A$433,G$51,Desconto_Cliente_Mes!$B$2:$B$433,$A51,Desconto_Cliente_Mes!$C$2:$C$433,"Umidade"),SUMIFS(Desconto_Cliente_Mes!$R$2:$R$433,Desconto_Cliente_Mes!$A$2:$A$433,G$51,Desconto_Cliente_Mes!$B$2:$B$433,$A51,Desconto_Cliente_Mes!$C$2:$C$433,"Umidade"))))*(SUMIFS(Desconto_Cliente_Mes!$T$2:$T$433,Desconto_Cliente_Mes!$A$2:$A$433,G$51,Desconto_Cliente_Mes!$B$2:$B$433,$A51,Desconto_Cliente_Mes!$C$2:$C$433,"Umidade"))</f>
        <v>0</v>
      </c>
      <c r="H59" s="16" t="n">
        <f aca="false">$H$53*($H$56/100)*((IF(SUMIFS(Desconto_Cliente_Mes!$S$2:$S$433,Desconto_Cliente_Mes!$A$2:$A$433,H$51,Desconto_Cliente_Mes!$B$2:$B$433,$A51,Desconto_Cliente_Mes!$C$2:$C$433,"Umidade")="",(IF(SUMIFS(Desconto_Cliente_Mes!$R$2:$R$433,Desconto_Cliente_Mes!$A$2:$A$433,H$51,Desconto_Cliente_Mes!$B$2:$B$433,$A51,Desconto_Cliente_Mes!$C$2:$C$433,"Umidade")="",SUMIFS(Desconto_Cliente_Mes!$Q$2:$Q$433,Desconto_Cliente_Mes!$A$2:$A$433,H$51,Desconto_Cliente_Mes!$B$2:$B$433,$A51,Desconto_Cliente_Mes!$C$2:$C$433,"Umidade"),SUMIFS(Desconto_Cliente_Mes!$R$2:$R$433,Desconto_Cliente_Mes!$A$2:$A$433,H$51,Desconto_Cliente_Mes!$B$2:$B$433,$A51,Desconto_Cliente_Mes!$C$2:$C$433,"Umidade"))),SUMIFS(Desconto_Cliente_Mes!$S$2:$S$433,Desconto_Cliente_Mes!$A$2:$A$433,H$51,Desconto_Cliente_Mes!$B$2:$B$433,$A51,Desconto_Cliente_Mes!$C$2:$C$433,"Umidade")))-(IF(SUMIFS(Desconto_Cliente_Mes!$R$2:$R$433,Desconto_Cliente_Mes!$A$2:$A$433,H$51,Desconto_Cliente_Mes!$B$2:$B$433,$A51,Desconto_Cliente_Mes!$C$2:$C$433,"Umidade")="",SUMIFS(Desconto_Cliente_Mes!$Q$2:$Q$433,Desconto_Cliente_Mes!$A$2:$A$433,H$51,Desconto_Cliente_Mes!$B$2:$B$433,$A51,Desconto_Cliente_Mes!$C$2:$C$433,"Umidade"),SUMIFS(Desconto_Cliente_Mes!$R$2:$R$433,Desconto_Cliente_Mes!$A$2:$A$433,H$51,Desconto_Cliente_Mes!$B$2:$B$433,$A51,Desconto_Cliente_Mes!$C$2:$C$433,"Umidade"))))*(SUMIFS(Desconto_Cliente_Mes!$T$2:$T$433,Desconto_Cliente_Mes!$A$2:$A$433,H$51,Desconto_Cliente_Mes!$B$2:$B$433,$A51,Desconto_Cliente_Mes!$C$2:$C$433,"Umidade"))</f>
        <v>0</v>
      </c>
      <c r="I59" s="16" t="n">
        <f aca="false">$I$53*($I$56/100)*((IF(SUMIFS(Desconto_Cliente_Mes!$S$2:$S$433,Desconto_Cliente_Mes!$A$2:$A$433,I$51,Desconto_Cliente_Mes!$B$2:$B$433,$A51,Desconto_Cliente_Mes!$C$2:$C$433,"Umidade")="",(IF(SUMIFS(Desconto_Cliente_Mes!$R$2:$R$433,Desconto_Cliente_Mes!$A$2:$A$433,I$51,Desconto_Cliente_Mes!$B$2:$B$433,$A51,Desconto_Cliente_Mes!$C$2:$C$433,"Umidade")="",SUMIFS(Desconto_Cliente_Mes!$Q$2:$Q$433,Desconto_Cliente_Mes!$A$2:$A$433,I$51,Desconto_Cliente_Mes!$B$2:$B$433,$A51,Desconto_Cliente_Mes!$C$2:$C$433,"Umidade"),SUMIFS(Desconto_Cliente_Mes!$R$2:$R$433,Desconto_Cliente_Mes!$A$2:$A$433,I$51,Desconto_Cliente_Mes!$B$2:$B$433,$A51,Desconto_Cliente_Mes!$C$2:$C$433,"Umidade"))),SUMIFS(Desconto_Cliente_Mes!$S$2:$S$433,Desconto_Cliente_Mes!$A$2:$A$433,I$51,Desconto_Cliente_Mes!$B$2:$B$433,$A51,Desconto_Cliente_Mes!$C$2:$C$433,"Umidade")))-(IF(SUMIFS(Desconto_Cliente_Mes!$R$2:$R$433,Desconto_Cliente_Mes!$A$2:$A$433,I$51,Desconto_Cliente_Mes!$B$2:$B$433,$A51,Desconto_Cliente_Mes!$C$2:$C$433,"Umidade")="",SUMIFS(Desconto_Cliente_Mes!$Q$2:$Q$433,Desconto_Cliente_Mes!$A$2:$A$433,I$51,Desconto_Cliente_Mes!$B$2:$B$433,$A51,Desconto_Cliente_Mes!$C$2:$C$433,"Umidade"),SUMIFS(Desconto_Cliente_Mes!$R$2:$R$433,Desconto_Cliente_Mes!$A$2:$A$433,I$51,Desconto_Cliente_Mes!$B$2:$B$433,$A51,Desconto_Cliente_Mes!$C$2:$C$433,"Umidade"))))*(SUMIFS(Desconto_Cliente_Mes!$T$2:$T$433,Desconto_Cliente_Mes!$A$2:$A$433,I$51,Desconto_Cliente_Mes!$B$2:$B$433,$A51,Desconto_Cliente_Mes!$C$2:$C$433,"Umidade"))</f>
        <v>0</v>
      </c>
      <c r="J59" s="16" t="n">
        <f aca="false">$J$53*($J$56/100)*((IF(SUMIFS(Desconto_Cliente_Mes!$S$2:$S$433,Desconto_Cliente_Mes!$A$2:$A$433,J$51,Desconto_Cliente_Mes!$B$2:$B$433,$A51,Desconto_Cliente_Mes!$C$2:$C$433,"Umidade")="",(IF(SUMIFS(Desconto_Cliente_Mes!$R$2:$R$433,Desconto_Cliente_Mes!$A$2:$A$433,J$51,Desconto_Cliente_Mes!$B$2:$B$433,$A51,Desconto_Cliente_Mes!$C$2:$C$433,"Umidade")="",SUMIFS(Desconto_Cliente_Mes!$Q$2:$Q$433,Desconto_Cliente_Mes!$A$2:$A$433,J$51,Desconto_Cliente_Mes!$B$2:$B$433,$A51,Desconto_Cliente_Mes!$C$2:$C$433,"Umidade"),SUMIFS(Desconto_Cliente_Mes!$R$2:$R$433,Desconto_Cliente_Mes!$A$2:$A$433,J$51,Desconto_Cliente_Mes!$B$2:$B$433,$A51,Desconto_Cliente_Mes!$C$2:$C$433,"Umidade"))),SUMIFS(Desconto_Cliente_Mes!$S$2:$S$433,Desconto_Cliente_Mes!$A$2:$A$433,J$51,Desconto_Cliente_Mes!$B$2:$B$433,$A51,Desconto_Cliente_Mes!$C$2:$C$433,"Umidade")))-(IF(SUMIFS(Desconto_Cliente_Mes!$R$2:$R$433,Desconto_Cliente_Mes!$A$2:$A$433,J$51,Desconto_Cliente_Mes!$B$2:$B$433,$A51,Desconto_Cliente_Mes!$C$2:$C$433,"Umidade")="",SUMIFS(Desconto_Cliente_Mes!$Q$2:$Q$433,Desconto_Cliente_Mes!$A$2:$A$433,J$51,Desconto_Cliente_Mes!$B$2:$B$433,$A51,Desconto_Cliente_Mes!$C$2:$C$433,"Umidade"),SUMIFS(Desconto_Cliente_Mes!$R$2:$R$433,Desconto_Cliente_Mes!$A$2:$A$433,J$51,Desconto_Cliente_Mes!$B$2:$B$433,$A51,Desconto_Cliente_Mes!$C$2:$C$433,"Umidade"))))*(SUMIFS(Desconto_Cliente_Mes!$T$2:$T$433,Desconto_Cliente_Mes!$A$2:$A$433,J$51,Desconto_Cliente_Mes!$B$2:$B$433,$A51,Desconto_Cliente_Mes!$C$2:$C$433,"Umidade"))</f>
        <v>0</v>
      </c>
      <c r="K59" s="16" t="n">
        <f aca="false">$K$53*($K$56/100)*((IF(SUMIFS(Desconto_Cliente_Mes!$S$2:$S$433,Desconto_Cliente_Mes!$A$2:$A$433,K$51,Desconto_Cliente_Mes!$B$2:$B$433,$A51,Desconto_Cliente_Mes!$C$2:$C$433,"Umidade")="",(IF(SUMIFS(Desconto_Cliente_Mes!$R$2:$R$433,Desconto_Cliente_Mes!$A$2:$A$433,K$51,Desconto_Cliente_Mes!$B$2:$B$433,$A51,Desconto_Cliente_Mes!$C$2:$C$433,"Umidade")="",SUMIFS(Desconto_Cliente_Mes!$Q$2:$Q$433,Desconto_Cliente_Mes!$A$2:$A$433,K$51,Desconto_Cliente_Mes!$B$2:$B$433,$A51,Desconto_Cliente_Mes!$C$2:$C$433,"Umidade"),SUMIFS(Desconto_Cliente_Mes!$R$2:$R$433,Desconto_Cliente_Mes!$A$2:$A$433,K$51,Desconto_Cliente_Mes!$B$2:$B$433,$A51,Desconto_Cliente_Mes!$C$2:$C$433,"Umidade"))),SUMIFS(Desconto_Cliente_Mes!$S$2:$S$433,Desconto_Cliente_Mes!$A$2:$A$433,K$51,Desconto_Cliente_Mes!$B$2:$B$433,$A51,Desconto_Cliente_Mes!$C$2:$C$433,"Umidade")))-(IF(SUMIFS(Desconto_Cliente_Mes!$R$2:$R$433,Desconto_Cliente_Mes!$A$2:$A$433,K$51,Desconto_Cliente_Mes!$B$2:$B$433,$A51,Desconto_Cliente_Mes!$C$2:$C$433,"Umidade")="",SUMIFS(Desconto_Cliente_Mes!$Q$2:$Q$433,Desconto_Cliente_Mes!$A$2:$A$433,K$51,Desconto_Cliente_Mes!$B$2:$B$433,$A51,Desconto_Cliente_Mes!$C$2:$C$433,"Umidade"),SUMIFS(Desconto_Cliente_Mes!$R$2:$R$433,Desconto_Cliente_Mes!$A$2:$A$433,K$51,Desconto_Cliente_Mes!$B$2:$B$433,$A51,Desconto_Cliente_Mes!$C$2:$C$433,"Umidade"))))*(SUMIFS(Desconto_Cliente_Mes!$T$2:$T$433,Desconto_Cliente_Mes!$A$2:$A$433,K$51,Desconto_Cliente_Mes!$B$2:$B$433,$A51,Desconto_Cliente_Mes!$C$2:$C$433,"Umidade"))</f>
        <v>0</v>
      </c>
      <c r="L59" s="16" t="n">
        <f aca="false">$L$53*($L$56/100)*((IF(SUMIFS(Desconto_Cliente_Mes!$S$2:$S$433,Desconto_Cliente_Mes!$A$2:$A$433,L$51,Desconto_Cliente_Mes!$B$2:$B$433,$A51,Desconto_Cliente_Mes!$C$2:$C$433,"Umidade")="",(IF(SUMIFS(Desconto_Cliente_Mes!$R$2:$R$433,Desconto_Cliente_Mes!$A$2:$A$433,L$51,Desconto_Cliente_Mes!$B$2:$B$433,$A51,Desconto_Cliente_Mes!$C$2:$C$433,"Umidade")="",SUMIFS(Desconto_Cliente_Mes!$Q$2:$Q$433,Desconto_Cliente_Mes!$A$2:$A$433,L$51,Desconto_Cliente_Mes!$B$2:$B$433,$A51,Desconto_Cliente_Mes!$C$2:$C$433,"Umidade"),SUMIFS(Desconto_Cliente_Mes!$R$2:$R$433,Desconto_Cliente_Mes!$A$2:$A$433,L$51,Desconto_Cliente_Mes!$B$2:$B$433,$A51,Desconto_Cliente_Mes!$C$2:$C$433,"Umidade"))),SUMIFS(Desconto_Cliente_Mes!$S$2:$S$433,Desconto_Cliente_Mes!$A$2:$A$433,L$51,Desconto_Cliente_Mes!$B$2:$B$433,$A51,Desconto_Cliente_Mes!$C$2:$C$433,"Umidade")))-(IF(SUMIFS(Desconto_Cliente_Mes!$R$2:$R$433,Desconto_Cliente_Mes!$A$2:$A$433,L$51,Desconto_Cliente_Mes!$B$2:$B$433,$A51,Desconto_Cliente_Mes!$C$2:$C$433,"Umidade")="",SUMIFS(Desconto_Cliente_Mes!$Q$2:$Q$433,Desconto_Cliente_Mes!$A$2:$A$433,L$51,Desconto_Cliente_Mes!$B$2:$B$433,$A51,Desconto_Cliente_Mes!$C$2:$C$433,"Umidade"),SUMIFS(Desconto_Cliente_Mes!$R$2:$R$433,Desconto_Cliente_Mes!$A$2:$A$433,L$51,Desconto_Cliente_Mes!$B$2:$B$433,$A51,Desconto_Cliente_Mes!$C$2:$C$433,"Umidade"))))*(SUMIFS(Desconto_Cliente_Mes!$T$2:$T$433,Desconto_Cliente_Mes!$A$2:$A$433,L$51,Desconto_Cliente_Mes!$B$2:$B$433,$A51,Desconto_Cliente_Mes!$C$2:$C$433,"Umidade"))</f>
        <v>0</v>
      </c>
      <c r="M59" s="16" t="n">
        <f aca="false">$M$53*($M$56/100)*((IF(SUMIFS(Desconto_Cliente_Mes!$S$2:$S$433,Desconto_Cliente_Mes!$A$2:$A$433,M$51,Desconto_Cliente_Mes!$B$2:$B$433,$A51,Desconto_Cliente_Mes!$C$2:$C$433,"Umidade")="",(IF(SUMIFS(Desconto_Cliente_Mes!$R$2:$R$433,Desconto_Cliente_Mes!$A$2:$A$433,M$51,Desconto_Cliente_Mes!$B$2:$B$433,$A51,Desconto_Cliente_Mes!$C$2:$C$433,"Umidade")="",SUMIFS(Desconto_Cliente_Mes!$Q$2:$Q$433,Desconto_Cliente_Mes!$A$2:$A$433,M$51,Desconto_Cliente_Mes!$B$2:$B$433,$A51,Desconto_Cliente_Mes!$C$2:$C$433,"Umidade"),SUMIFS(Desconto_Cliente_Mes!$R$2:$R$433,Desconto_Cliente_Mes!$A$2:$A$433,M$51,Desconto_Cliente_Mes!$B$2:$B$433,$A51,Desconto_Cliente_Mes!$C$2:$C$433,"Umidade"))),SUMIFS(Desconto_Cliente_Mes!$S$2:$S$433,Desconto_Cliente_Mes!$A$2:$A$433,M$51,Desconto_Cliente_Mes!$B$2:$B$433,$A51,Desconto_Cliente_Mes!$C$2:$C$433,"Umidade")))-(IF(SUMIFS(Desconto_Cliente_Mes!$R$2:$R$433,Desconto_Cliente_Mes!$A$2:$A$433,M$51,Desconto_Cliente_Mes!$B$2:$B$433,$A51,Desconto_Cliente_Mes!$C$2:$C$433,"Umidade")="",SUMIFS(Desconto_Cliente_Mes!$Q$2:$Q$433,Desconto_Cliente_Mes!$A$2:$A$433,M$51,Desconto_Cliente_Mes!$B$2:$B$433,$A51,Desconto_Cliente_Mes!$C$2:$C$433,"Umidade"),SUMIFS(Desconto_Cliente_Mes!$R$2:$R$433,Desconto_Cliente_Mes!$A$2:$A$433,M$51,Desconto_Cliente_Mes!$B$2:$B$433,$A51,Desconto_Cliente_Mes!$C$2:$C$433,"Umidade"))))*(SUMIFS(Desconto_Cliente_Mes!$T$2:$T$433,Desconto_Cliente_Mes!$A$2:$A$433,M$51,Desconto_Cliente_Mes!$B$2:$B$433,$A51,Desconto_Cliente_Mes!$C$2:$C$433,"Umidade"))</f>
        <v>0</v>
      </c>
      <c r="N59" s="17" t="n">
        <f aca="false">SUM(B59:M59)</f>
        <v>0</v>
      </c>
    </row>
    <row r="60" customFormat="false" ht="15" hidden="false" customHeight="false" outlineLevel="0" collapsed="false">
      <c r="A60" s="13" t="s">
        <v>82</v>
      </c>
      <c r="B60" s="16" t="n">
        <f aca="false">SUMIFS(Acerto_Detalhado!$J$2:$J$433,Acerto_Detalhado!$A$2:$A$433,B$51,Acerto_Detalhado!$B$2:$B$433,$A51,Acerto_Detalhado!$C$2:$C$433,"Umidade")</f>
        <v>3917.16566904977</v>
      </c>
      <c r="C60" s="16" t="n">
        <f aca="false">SUMIFS(Acerto_Detalhado!$J$2:$J$433,Acerto_Detalhado!$A$2:$A$433,C$51,Acerto_Detalhado!$B$2:$B$433,$A51,Acerto_Detalhado!$C$2:$C$433,"Umidade")</f>
        <v>4433.64702108656</v>
      </c>
      <c r="D60" s="16" t="n">
        <f aca="false">SUMIFS(Acerto_Detalhado!$J$2:$J$433,Acerto_Detalhado!$A$2:$A$433,D$51,Acerto_Detalhado!$B$2:$B$433,$A51,Acerto_Detalhado!$C$2:$C$433,"Umidade")</f>
        <v>0</v>
      </c>
      <c r="E60" s="16" t="n">
        <f aca="false">SUMIFS(Acerto_Detalhado!$J$2:$J$433,Acerto_Detalhado!$A$2:$A$433,E$51,Acerto_Detalhado!$B$2:$B$433,$A51,Acerto_Detalhado!$C$2:$C$433,"Umidade")</f>
        <v>4748.55337344312</v>
      </c>
      <c r="F60" s="16" t="n">
        <f aca="false">SUMIFS(Acerto_Detalhado!$J$2:$J$433,Acerto_Detalhado!$A$2:$A$433,F$51,Acerto_Detalhado!$B$2:$B$433,$A51,Acerto_Detalhado!$C$2:$C$433,"Umidade")</f>
        <v>0</v>
      </c>
      <c r="G60" s="16" t="n">
        <f aca="false">SUMIFS(Acerto_Detalhado!$J$2:$J$433,Acerto_Detalhado!$A$2:$A$433,G$51,Acerto_Detalhado!$B$2:$B$433,$A51,Acerto_Detalhado!$C$2:$C$433,"Umidade")</f>
        <v>5596.32742142037</v>
      </c>
      <c r="H60" s="16" t="n">
        <f aca="false">SUMIFS(Acerto_Detalhado!$J$2:$J$433,Acerto_Detalhado!$A$2:$A$433,H$51,Acerto_Detalhado!$B$2:$B$433,$A51,Acerto_Detalhado!$C$2:$C$433,"Umidade")</f>
        <v>0</v>
      </c>
      <c r="I60" s="16" t="n">
        <f aca="false">SUMIFS(Acerto_Detalhado!$J$2:$J$433,Acerto_Detalhado!$A$2:$A$433,I$51,Acerto_Detalhado!$B$2:$B$433,$A51,Acerto_Detalhado!$C$2:$C$433,"Umidade")</f>
        <v>0</v>
      </c>
      <c r="J60" s="16" t="n">
        <f aca="false">SUMIFS(Acerto_Detalhado!$J$2:$J$433,Acerto_Detalhado!$A$2:$A$433,J$51,Acerto_Detalhado!$B$2:$B$433,$A51,Acerto_Detalhado!$C$2:$C$433,"Umidade")</f>
        <v>0</v>
      </c>
      <c r="K60" s="16" t="n">
        <f aca="false">SUMIFS(Acerto_Detalhado!$J$2:$J$433,Acerto_Detalhado!$A$2:$A$433,K$51,Acerto_Detalhado!$B$2:$B$433,$A51,Acerto_Detalhado!$C$2:$C$433,"Umidade")</f>
        <v>0</v>
      </c>
      <c r="L60" s="16" t="n">
        <f aca="false">SUMIFS(Acerto_Detalhado!$J$2:$J$433,Acerto_Detalhado!$A$2:$A$433,L$51,Acerto_Detalhado!$B$2:$B$433,$A51,Acerto_Detalhado!$C$2:$C$433,"Umidade")</f>
        <v>0</v>
      </c>
      <c r="M60" s="16" t="n">
        <f aca="false">SUMIFS(Acerto_Detalhado!$J$2:$J$433,Acerto_Detalhado!$A$2:$A$433,M$51,Acerto_Detalhado!$B$2:$B$433,$A51,Acerto_Detalhado!$C$2:$C$433,"Umidade")</f>
        <v>0</v>
      </c>
      <c r="N60" s="17" t="n">
        <f aca="false">SUM(B60:M60)</f>
        <v>18695.6934849998</v>
      </c>
    </row>
    <row r="62" customFormat="false" ht="15" hidden="false" customHeight="false" outlineLevel="0" collapsed="false">
      <c r="A62" s="5" t="s">
        <v>63</v>
      </c>
      <c r="B62" s="6" t="s">
        <v>39</v>
      </c>
      <c r="C62" s="6" t="s">
        <v>40</v>
      </c>
      <c r="D62" s="6" t="s">
        <v>41</v>
      </c>
      <c r="E62" s="6" t="s">
        <v>42</v>
      </c>
      <c r="F62" s="6" t="s">
        <v>43</v>
      </c>
      <c r="G62" s="6" t="s">
        <v>44</v>
      </c>
      <c r="H62" s="6" t="s">
        <v>45</v>
      </c>
      <c r="I62" s="6" t="s">
        <v>46</v>
      </c>
      <c r="J62" s="6" t="s">
        <v>47</v>
      </c>
      <c r="K62" s="6" t="s">
        <v>48</v>
      </c>
      <c r="L62" s="6" t="s">
        <v>49</v>
      </c>
      <c r="M62" s="6" t="s">
        <v>50</v>
      </c>
      <c r="N62" s="6" t="s">
        <v>51</v>
      </c>
    </row>
    <row r="63" customFormat="false" ht="15" hidden="false" customHeight="false" outlineLevel="0" collapsed="false">
      <c r="A63" s="13" t="s">
        <v>74</v>
      </c>
      <c r="B63" s="10" t="n">
        <f aca="false">IF((SUMIFS(Desconto_Cliente_Mes!$D$2:$D$433,Desconto_Cliente_Mes!$A$2:$A$433,B$62,Desconto_Cliente_Mes!$B$2:$B$433,$A62,Desconto_Cliente_Mes!$C$2:$C$433,"Umidade"))=0,"",IFERROR(SUMIFS(Desconto_Cliente_Mes!$E$2:$E$433,Desconto_Cliente_Mes!$A$2:$A$433,B$62,Desconto_Cliente_Mes!$B$2:$B$433,$A62,Desconto_Cliente_Mes!$C$2:$C$433,"Umidade"),""))</f>
        <v>12.4137175469019</v>
      </c>
      <c r="C63" s="10" t="n">
        <f aca="false">IF((SUMIFS(Desconto_Cliente_Mes!$D$2:$D$433,Desconto_Cliente_Mes!$A$2:$A$433,C$62,Desconto_Cliente_Mes!$B$2:$B$433,$A62,Desconto_Cliente_Mes!$C$2:$C$433,"Umidade"))=0,"",IFERROR(SUMIFS(Desconto_Cliente_Mes!$E$2:$E$433,Desconto_Cliente_Mes!$A$2:$A$433,C$62,Desconto_Cliente_Mes!$B$2:$B$433,$A62,Desconto_Cliente_Mes!$C$2:$C$433,"Umidade"),""))</f>
        <v>12.2785090209205</v>
      </c>
      <c r="D63" s="10" t="n">
        <f aca="false">IF((SUMIFS(Desconto_Cliente_Mes!$D$2:$D$433,Desconto_Cliente_Mes!$A$2:$A$433,D$62,Desconto_Cliente_Mes!$B$2:$B$433,$A62,Desconto_Cliente_Mes!$C$2:$C$433,"Umidade"))=0,"",IFERROR(SUMIFS(Desconto_Cliente_Mes!$E$2:$E$433,Desconto_Cliente_Mes!$A$2:$A$433,D$62,Desconto_Cliente_Mes!$B$2:$B$433,$A62,Desconto_Cliente_Mes!$C$2:$C$433,"Umidade"),""))</f>
        <v>13.5359303990588</v>
      </c>
      <c r="E63" s="10" t="n">
        <f aca="false">IF((SUMIFS(Desconto_Cliente_Mes!$D$2:$D$433,Desconto_Cliente_Mes!$A$2:$A$433,E$62,Desconto_Cliente_Mes!$B$2:$B$433,$A62,Desconto_Cliente_Mes!$C$2:$C$433,"Umidade"))=0,"",IFERROR(SUMIFS(Desconto_Cliente_Mes!$E$2:$E$433,Desconto_Cliente_Mes!$A$2:$A$433,E$62,Desconto_Cliente_Mes!$B$2:$B$433,$A62,Desconto_Cliente_Mes!$C$2:$C$433,"Umidade"),""))</f>
        <v>12.7524888247292</v>
      </c>
      <c r="F63" s="10" t="n">
        <f aca="false">IF((SUMIFS(Desconto_Cliente_Mes!$D$2:$D$433,Desconto_Cliente_Mes!$A$2:$A$433,F$62,Desconto_Cliente_Mes!$B$2:$B$433,$A62,Desconto_Cliente_Mes!$C$2:$C$433,"Umidade"))=0,"",IFERROR(SUMIFS(Desconto_Cliente_Mes!$E$2:$E$433,Desconto_Cliente_Mes!$A$2:$A$433,F$62,Desconto_Cliente_Mes!$B$2:$B$433,$A62,Desconto_Cliente_Mes!$C$2:$C$433,"Umidade"),""))</f>
        <v>12.4664559254149</v>
      </c>
      <c r="G63" s="10" t="n">
        <f aca="false">IF((SUMIFS(Desconto_Cliente_Mes!$D$2:$D$433,Desconto_Cliente_Mes!$A$2:$A$433,G$62,Desconto_Cliente_Mes!$B$2:$B$433,$A62,Desconto_Cliente_Mes!$C$2:$C$433,"Umidade"))=0,"",IFERROR(SUMIFS(Desconto_Cliente_Mes!$E$2:$E$433,Desconto_Cliente_Mes!$A$2:$A$433,G$62,Desconto_Cliente_Mes!$B$2:$B$433,$A62,Desconto_Cliente_Mes!$C$2:$C$433,"Umidade"),""))</f>
        <v>12.4986174711636</v>
      </c>
      <c r="H63" s="10" t="n">
        <f aca="false">IF((SUMIFS(Desconto_Cliente_Mes!$D$2:$D$433,Desconto_Cliente_Mes!$A$2:$A$433,H$62,Desconto_Cliente_Mes!$B$2:$B$433,$A62,Desconto_Cliente_Mes!$C$2:$C$433,"Umidade"))=0,"",IFERROR(SUMIFS(Desconto_Cliente_Mes!$E$2:$E$433,Desconto_Cliente_Mes!$A$2:$A$433,H$62,Desconto_Cliente_Mes!$B$2:$B$433,$A62,Desconto_Cliente_Mes!$C$2:$C$433,"Umidade"),""))</f>
        <v>12.6871173072356</v>
      </c>
      <c r="I63" s="10" t="str">
        <f aca="false">IF((SUMIFS(Desconto_Cliente_Mes!$D$2:$D$433,Desconto_Cliente_Mes!$A$2:$A$433,I$62,Desconto_Cliente_Mes!$B$2:$B$433,$A62,Desconto_Cliente_Mes!$C$2:$C$433,"Umidade"))=0,"",IFERROR(SUMIFS(Desconto_Cliente_Mes!$E$2:$E$433,Desconto_Cliente_Mes!$A$2:$A$433,I$62,Desconto_Cliente_Mes!$B$2:$B$433,$A62,Desconto_Cliente_Mes!$C$2:$C$433,"Umidade"),""))</f>
        <v/>
      </c>
      <c r="J63" s="10" t="str">
        <f aca="false">IF((SUMIFS(Desconto_Cliente_Mes!$D$2:$D$433,Desconto_Cliente_Mes!$A$2:$A$433,J$62,Desconto_Cliente_Mes!$B$2:$B$433,$A62,Desconto_Cliente_Mes!$C$2:$C$433,"Umidade"))=0,"",IFERROR(SUMIFS(Desconto_Cliente_Mes!$E$2:$E$433,Desconto_Cliente_Mes!$A$2:$A$433,J$62,Desconto_Cliente_Mes!$B$2:$B$433,$A62,Desconto_Cliente_Mes!$C$2:$C$433,"Umidade"),""))</f>
        <v/>
      </c>
      <c r="K63" s="10" t="str">
        <f aca="false">IF((SUMIFS(Desconto_Cliente_Mes!$D$2:$D$433,Desconto_Cliente_Mes!$A$2:$A$433,K$62,Desconto_Cliente_Mes!$B$2:$B$433,$A62,Desconto_Cliente_Mes!$C$2:$C$433,"Umidade"))=0,"",IFERROR(SUMIFS(Desconto_Cliente_Mes!$E$2:$E$433,Desconto_Cliente_Mes!$A$2:$A$433,K$62,Desconto_Cliente_Mes!$B$2:$B$433,$A62,Desconto_Cliente_Mes!$C$2:$C$433,"Umidade"),""))</f>
        <v/>
      </c>
      <c r="L63" s="10" t="str">
        <f aca="false">IF((SUMIFS(Desconto_Cliente_Mes!$D$2:$D$433,Desconto_Cliente_Mes!$A$2:$A$433,L$62,Desconto_Cliente_Mes!$B$2:$B$433,$A62,Desconto_Cliente_Mes!$C$2:$C$433,"Umidade"))=0,"",IFERROR(SUMIFS(Desconto_Cliente_Mes!$E$2:$E$433,Desconto_Cliente_Mes!$A$2:$A$433,L$62,Desconto_Cliente_Mes!$B$2:$B$433,$A62,Desconto_Cliente_Mes!$C$2:$C$433,"Umidade"),""))</f>
        <v/>
      </c>
      <c r="M63" s="10" t="str">
        <f aca="false">IF((SUMIFS(Desconto_Cliente_Mes!$D$2:$D$433,Desconto_Cliente_Mes!$A$2:$A$433,M$62,Desconto_Cliente_Mes!$B$2:$B$433,$A62,Desconto_Cliente_Mes!$C$2:$C$433,"Umidade"))=0,"",IFERROR(SUMIFS(Desconto_Cliente_Mes!$E$2:$E$433,Desconto_Cliente_Mes!$A$2:$A$433,M$62,Desconto_Cliente_Mes!$B$2:$B$433,$A62,Desconto_Cliente_Mes!$C$2:$C$433,"Umidade"),""))</f>
        <v/>
      </c>
      <c r="N63" s="11" t="n">
        <f aca="false">IFERROR(Media_Pool_Mes!D7,"")</f>
        <v>12.6225093779221</v>
      </c>
    </row>
    <row r="64" customFormat="false" ht="15" hidden="false" customHeight="false" outlineLevel="0" collapsed="false">
      <c r="A64" s="13" t="s">
        <v>75</v>
      </c>
      <c r="B64" s="8" t="n">
        <f aca="false">IFERROR(SUMIFS(Desconto_Cliente_Mes!$D$2:$D$433,Desconto_Cliente_Mes!$A$2:$A$433,B$62,Desconto_Cliente_Mes!$B$2:$B$433,$A62,Desconto_Cliente_Mes!$C$2:$C$433,"Umidade"),0)</f>
        <v>41353.91</v>
      </c>
      <c r="C64" s="8" t="n">
        <f aca="false">IFERROR(SUMIFS(Desconto_Cliente_Mes!$D$2:$D$433,Desconto_Cliente_Mes!$A$2:$A$433,C$62,Desconto_Cliente_Mes!$B$2:$B$433,$A62,Desconto_Cliente_Mes!$C$2:$C$433,"Umidade"),0)</f>
        <v>45020.35</v>
      </c>
      <c r="D64" s="8" t="n">
        <f aca="false">IFERROR(SUMIFS(Desconto_Cliente_Mes!$D$2:$D$433,Desconto_Cliente_Mes!$A$2:$A$433,D$62,Desconto_Cliente_Mes!$B$2:$B$433,$A62,Desconto_Cliente_Mes!$C$2:$C$433,"Umidade"),0)</f>
        <v>41497.14</v>
      </c>
      <c r="E64" s="8" t="n">
        <f aca="false">IFERROR(SUMIFS(Desconto_Cliente_Mes!$D$2:$D$433,Desconto_Cliente_Mes!$A$2:$A$433,E$62,Desconto_Cliente_Mes!$B$2:$B$433,$A62,Desconto_Cliente_Mes!$C$2:$C$433,"Umidade"),0)</f>
        <v>40336.83</v>
      </c>
      <c r="F64" s="8" t="n">
        <f aca="false">IFERROR(SUMIFS(Desconto_Cliente_Mes!$D$2:$D$433,Desconto_Cliente_Mes!$A$2:$A$433,F$62,Desconto_Cliente_Mes!$B$2:$B$433,$A62,Desconto_Cliente_Mes!$C$2:$C$433,"Umidade"),0)</f>
        <v>94743.83</v>
      </c>
      <c r="G64" s="8" t="n">
        <f aca="false">IFERROR(SUMIFS(Desconto_Cliente_Mes!$D$2:$D$433,Desconto_Cliente_Mes!$A$2:$A$433,G$62,Desconto_Cliente_Mes!$B$2:$B$433,$A62,Desconto_Cliente_Mes!$C$2:$C$433,"Umidade"),0)</f>
        <v>51533.03</v>
      </c>
      <c r="H64" s="8" t="n">
        <f aca="false">IFERROR(SUMIFS(Desconto_Cliente_Mes!$D$2:$D$433,Desconto_Cliente_Mes!$A$2:$A$433,H$62,Desconto_Cliente_Mes!$B$2:$B$433,$A62,Desconto_Cliente_Mes!$C$2:$C$433,"Umidade"),0)</f>
        <v>33179.88</v>
      </c>
      <c r="I64" s="8" t="n">
        <f aca="false">IFERROR(SUMIFS(Desconto_Cliente_Mes!$D$2:$D$433,Desconto_Cliente_Mes!$A$2:$A$433,I$62,Desconto_Cliente_Mes!$B$2:$B$433,$A62,Desconto_Cliente_Mes!$C$2:$C$433,"Umidade"),0)</f>
        <v>0</v>
      </c>
      <c r="J64" s="8" t="n">
        <f aca="false">IFERROR(SUMIFS(Desconto_Cliente_Mes!$D$2:$D$433,Desconto_Cliente_Mes!$A$2:$A$433,J$62,Desconto_Cliente_Mes!$B$2:$B$433,$A62,Desconto_Cliente_Mes!$C$2:$C$433,"Umidade"),0)</f>
        <v>0</v>
      </c>
      <c r="K64" s="8" t="n">
        <f aca="false">IFERROR(SUMIFS(Desconto_Cliente_Mes!$D$2:$D$433,Desconto_Cliente_Mes!$A$2:$A$433,K$62,Desconto_Cliente_Mes!$B$2:$B$433,$A62,Desconto_Cliente_Mes!$C$2:$C$433,"Umidade"),0)</f>
        <v>0</v>
      </c>
      <c r="L64" s="8" t="n">
        <f aca="false">IFERROR(SUMIFS(Desconto_Cliente_Mes!$D$2:$D$433,Desconto_Cliente_Mes!$A$2:$A$433,L$62,Desconto_Cliente_Mes!$B$2:$B$433,$A62,Desconto_Cliente_Mes!$C$2:$C$433,"Umidade"),0)</f>
        <v>0</v>
      </c>
      <c r="M64" s="8" t="n">
        <f aca="false">IFERROR(SUMIFS(Desconto_Cliente_Mes!$D$2:$D$433,Desconto_Cliente_Mes!$A$2:$A$433,M$62,Desconto_Cliente_Mes!$B$2:$B$433,$A62,Desconto_Cliente_Mes!$C$2:$C$433,"Umidade"),0)</f>
        <v>0</v>
      </c>
      <c r="N64" s="9" t="n">
        <f aca="false">SUM(B64:M64)</f>
        <v>347664.97</v>
      </c>
    </row>
    <row r="65" customFormat="false" ht="15" hidden="false" customHeight="false" outlineLevel="0" collapsed="false">
      <c r="A65" s="13" t="s">
        <v>76</v>
      </c>
      <c r="B65" s="15" t="n">
        <f aca="false">MAX(0,(SUMIFS(Desconto_Cliente_Mes!$L$2:$L$433,Desconto_Cliente_Mes!$A$2:$A$433,B$62,Desconto_Cliente_Mes!$B$2:$B$433,$A62,Desconto_Cliente_Mes!$C$2:$C$433,"Umidade"))-(SUMIFS(Desconto_Cliente_Mes!$N$2:$N$433,Desconto_Cliente_Mes!$A$2:$A$433,B$62,Desconto_Cliente_Mes!$B$2:$B$433,$A62,Desconto_Cliente_Mes!$C$2:$C$433,"Umidade")))</f>
        <v>0</v>
      </c>
      <c r="C65" s="15" t="n">
        <f aca="false">MAX(0,(SUMIFS(Desconto_Cliente_Mes!$L$2:$L$433,Desconto_Cliente_Mes!$A$2:$A$433,C$62,Desconto_Cliente_Mes!$B$2:$B$433,$A62,Desconto_Cliente_Mes!$C$2:$C$433,"Umidade"))-(SUMIFS(Desconto_Cliente_Mes!$N$2:$N$433,Desconto_Cliente_Mes!$A$2:$A$433,C$62,Desconto_Cliente_Mes!$B$2:$B$433,$A62,Desconto_Cliente_Mes!$C$2:$C$433,"Umidade")))</f>
        <v>0</v>
      </c>
      <c r="D65" s="15" t="n">
        <f aca="false">MAX(0,(SUMIFS(Desconto_Cliente_Mes!$L$2:$L$433,Desconto_Cliente_Mes!$A$2:$A$433,D$62,Desconto_Cliente_Mes!$B$2:$B$433,$A62,Desconto_Cliente_Mes!$C$2:$C$433,"Umidade"))-(SUMIFS(Desconto_Cliente_Mes!$N$2:$N$433,Desconto_Cliente_Mes!$A$2:$A$433,D$62,Desconto_Cliente_Mes!$B$2:$B$433,$A62,Desconto_Cliente_Mes!$C$2:$C$433,"Umidade")))</f>
        <v>0.913421021136744</v>
      </c>
      <c r="E65" s="15" t="n">
        <f aca="false">MAX(0,(SUMIFS(Desconto_Cliente_Mes!$L$2:$L$433,Desconto_Cliente_Mes!$A$2:$A$433,E$62,Desconto_Cliente_Mes!$B$2:$B$433,$A62,Desconto_Cliente_Mes!$C$2:$C$433,"Umidade"))-(SUMIFS(Desconto_Cliente_Mes!$N$2:$N$433,Desconto_Cliente_Mes!$A$2:$A$433,E$62,Desconto_Cliente_Mes!$B$2:$B$433,$A62,Desconto_Cliente_Mes!$C$2:$C$433,"Umidade")))</f>
        <v>0.129979446807077</v>
      </c>
      <c r="F65" s="15" t="n">
        <f aca="false">MAX(0,(SUMIFS(Desconto_Cliente_Mes!$L$2:$L$433,Desconto_Cliente_Mes!$A$2:$A$433,F$62,Desconto_Cliente_Mes!$B$2:$B$433,$A62,Desconto_Cliente_Mes!$C$2:$C$433,"Umidade"))-(SUMIFS(Desconto_Cliente_Mes!$N$2:$N$433,Desconto_Cliente_Mes!$A$2:$A$433,F$62,Desconto_Cliente_Mes!$B$2:$B$433,$A62,Desconto_Cliente_Mes!$C$2:$C$433,"Umidade")))</f>
        <v>0</v>
      </c>
      <c r="G65" s="15" t="n">
        <f aca="false">MAX(0,(SUMIFS(Desconto_Cliente_Mes!$L$2:$L$433,Desconto_Cliente_Mes!$A$2:$A$433,G$62,Desconto_Cliente_Mes!$B$2:$B$433,$A62,Desconto_Cliente_Mes!$C$2:$C$433,"Umidade"))-(SUMIFS(Desconto_Cliente_Mes!$N$2:$N$433,Desconto_Cliente_Mes!$A$2:$A$433,G$62,Desconto_Cliente_Mes!$B$2:$B$433,$A62,Desconto_Cliente_Mes!$C$2:$C$433,"Umidade")))</f>
        <v>0</v>
      </c>
      <c r="H65" s="15" t="n">
        <f aca="false">MAX(0,(SUMIFS(Desconto_Cliente_Mes!$L$2:$L$433,Desconto_Cliente_Mes!$A$2:$A$433,H$62,Desconto_Cliente_Mes!$B$2:$B$433,$A62,Desconto_Cliente_Mes!$C$2:$C$433,"Umidade"))-(SUMIFS(Desconto_Cliente_Mes!$N$2:$N$433,Desconto_Cliente_Mes!$A$2:$A$433,H$62,Desconto_Cliente_Mes!$B$2:$B$433,$A62,Desconto_Cliente_Mes!$C$2:$C$433,"Umidade")))</f>
        <v>0.0646079293135031</v>
      </c>
      <c r="I65" s="15" t="n">
        <f aca="false">MAX(0,(SUMIFS(Desconto_Cliente_Mes!$L$2:$L$433,Desconto_Cliente_Mes!$A$2:$A$433,I$62,Desconto_Cliente_Mes!$B$2:$B$433,$A62,Desconto_Cliente_Mes!$C$2:$C$433,"Umidade"))-(SUMIFS(Desconto_Cliente_Mes!$N$2:$N$433,Desconto_Cliente_Mes!$A$2:$A$433,I$62,Desconto_Cliente_Mes!$B$2:$B$433,$A62,Desconto_Cliente_Mes!$C$2:$C$433,"Umidade")))</f>
        <v>0</v>
      </c>
      <c r="J65" s="15" t="n">
        <f aca="false">MAX(0,(SUMIFS(Desconto_Cliente_Mes!$L$2:$L$433,Desconto_Cliente_Mes!$A$2:$A$433,J$62,Desconto_Cliente_Mes!$B$2:$B$433,$A62,Desconto_Cliente_Mes!$C$2:$C$433,"Umidade"))-(SUMIFS(Desconto_Cliente_Mes!$N$2:$N$433,Desconto_Cliente_Mes!$A$2:$A$433,J$62,Desconto_Cliente_Mes!$B$2:$B$433,$A62,Desconto_Cliente_Mes!$C$2:$C$433,"Umidade")))</f>
        <v>0</v>
      </c>
      <c r="K65" s="15" t="n">
        <f aca="false">MAX(0,(SUMIFS(Desconto_Cliente_Mes!$L$2:$L$433,Desconto_Cliente_Mes!$A$2:$A$433,K$62,Desconto_Cliente_Mes!$B$2:$B$433,$A62,Desconto_Cliente_Mes!$C$2:$C$433,"Umidade"))-(SUMIFS(Desconto_Cliente_Mes!$N$2:$N$433,Desconto_Cliente_Mes!$A$2:$A$433,K$62,Desconto_Cliente_Mes!$B$2:$B$433,$A62,Desconto_Cliente_Mes!$C$2:$C$433,"Umidade")))</f>
        <v>0</v>
      </c>
      <c r="L65" s="15" t="n">
        <f aca="false">MAX(0,(SUMIFS(Desconto_Cliente_Mes!$L$2:$L$433,Desconto_Cliente_Mes!$A$2:$A$433,L$62,Desconto_Cliente_Mes!$B$2:$B$433,$A62,Desconto_Cliente_Mes!$C$2:$C$433,"Umidade"))-(SUMIFS(Desconto_Cliente_Mes!$N$2:$N$433,Desconto_Cliente_Mes!$A$2:$A$433,L$62,Desconto_Cliente_Mes!$B$2:$B$433,$A62,Desconto_Cliente_Mes!$C$2:$C$433,"Umidade")))</f>
        <v>0</v>
      </c>
      <c r="M65" s="15" t="n">
        <f aca="false">MAX(0,(SUMIFS(Desconto_Cliente_Mes!$L$2:$L$433,Desconto_Cliente_Mes!$A$2:$A$433,M$62,Desconto_Cliente_Mes!$B$2:$B$433,$A62,Desconto_Cliente_Mes!$C$2:$C$433,"Umidade"))-(SUMIFS(Desconto_Cliente_Mes!$N$2:$N$433,Desconto_Cliente_Mes!$A$2:$A$433,M$62,Desconto_Cliente_Mes!$B$2:$B$433,$A62,Desconto_Cliente_Mes!$C$2:$C$433,"Umidade")))</f>
        <v>0</v>
      </c>
    </row>
    <row r="66" customFormat="false" ht="15" hidden="false" customHeight="false" outlineLevel="0" collapsed="false">
      <c r="A66" s="13" t="s">
        <v>77</v>
      </c>
      <c r="B66" s="15" t="n">
        <f aca="false">MAX(0,(SUMIFS(Desconto_Cliente_Mes!$N$2:$N$433,Desconto_Cliente_Mes!$A$2:$A$433,B$62,Desconto_Cliente_Mes!$B$2:$B$433,$A62,Desconto_Cliente_Mes!$C$2:$C$433,"Umidade"))-(SUMIFS(Desconto_Cliente_Mes!$P$2:$P$433,Desconto_Cliente_Mes!$A$2:$A$433,B$62,Desconto_Cliente_Mes!$B$2:$B$433,$A62,Desconto_Cliente_Mes!$C$2:$C$433,"Umidade")))</f>
        <v>0</v>
      </c>
      <c r="C66" s="15" t="n">
        <f aca="false">MAX(0,(SUMIFS(Desconto_Cliente_Mes!$N$2:$N$433,Desconto_Cliente_Mes!$A$2:$A$433,C$62,Desconto_Cliente_Mes!$B$2:$B$433,$A62,Desconto_Cliente_Mes!$C$2:$C$433,"Umidade"))-(SUMIFS(Desconto_Cliente_Mes!$P$2:$P$433,Desconto_Cliente_Mes!$A$2:$A$433,C$62,Desconto_Cliente_Mes!$B$2:$B$433,$A62,Desconto_Cliente_Mes!$C$2:$C$433,"Umidade")))</f>
        <v>0</v>
      </c>
      <c r="D66" s="15" t="n">
        <f aca="false">MAX(0,(SUMIFS(Desconto_Cliente_Mes!$N$2:$N$433,Desconto_Cliente_Mes!$A$2:$A$433,D$62,Desconto_Cliente_Mes!$B$2:$B$433,$A62,Desconto_Cliente_Mes!$C$2:$C$433,"Umidade"))-(SUMIFS(Desconto_Cliente_Mes!$P$2:$P$433,Desconto_Cliente_Mes!$A$2:$A$433,D$62,Desconto_Cliente_Mes!$B$2:$B$433,$A62,Desconto_Cliente_Mes!$C$2:$C$433,"Umidade")))</f>
        <v>0</v>
      </c>
      <c r="E66" s="15" t="n">
        <f aca="false">MAX(0,(SUMIFS(Desconto_Cliente_Mes!$N$2:$N$433,Desconto_Cliente_Mes!$A$2:$A$433,E$62,Desconto_Cliente_Mes!$B$2:$B$433,$A62,Desconto_Cliente_Mes!$C$2:$C$433,"Umidade"))-(SUMIFS(Desconto_Cliente_Mes!$P$2:$P$433,Desconto_Cliente_Mes!$A$2:$A$433,E$62,Desconto_Cliente_Mes!$B$2:$B$433,$A62,Desconto_Cliente_Mes!$C$2:$C$433,"Umidade")))</f>
        <v>0</v>
      </c>
      <c r="F66" s="15" t="n">
        <f aca="false">MAX(0,(SUMIFS(Desconto_Cliente_Mes!$N$2:$N$433,Desconto_Cliente_Mes!$A$2:$A$433,F$62,Desconto_Cliente_Mes!$B$2:$B$433,$A62,Desconto_Cliente_Mes!$C$2:$C$433,"Umidade"))-(SUMIFS(Desconto_Cliente_Mes!$P$2:$P$433,Desconto_Cliente_Mes!$A$2:$A$433,F$62,Desconto_Cliente_Mes!$B$2:$B$433,$A62,Desconto_Cliente_Mes!$C$2:$C$433,"Umidade")))</f>
        <v>0</v>
      </c>
      <c r="G66" s="15" t="n">
        <f aca="false">MAX(0,(SUMIFS(Desconto_Cliente_Mes!$N$2:$N$433,Desconto_Cliente_Mes!$A$2:$A$433,G$62,Desconto_Cliente_Mes!$B$2:$B$433,$A62,Desconto_Cliente_Mes!$C$2:$C$433,"Umidade"))-(SUMIFS(Desconto_Cliente_Mes!$P$2:$P$433,Desconto_Cliente_Mes!$A$2:$A$433,G$62,Desconto_Cliente_Mes!$B$2:$B$433,$A62,Desconto_Cliente_Mes!$C$2:$C$433,"Umidade")))</f>
        <v>0</v>
      </c>
      <c r="H66" s="15" t="n">
        <f aca="false">MAX(0,(SUMIFS(Desconto_Cliente_Mes!$N$2:$N$433,Desconto_Cliente_Mes!$A$2:$A$433,H$62,Desconto_Cliente_Mes!$B$2:$B$433,$A62,Desconto_Cliente_Mes!$C$2:$C$433,"Umidade"))-(SUMIFS(Desconto_Cliente_Mes!$P$2:$P$433,Desconto_Cliente_Mes!$A$2:$A$433,H$62,Desconto_Cliente_Mes!$B$2:$B$433,$A62,Desconto_Cliente_Mes!$C$2:$C$433,"Umidade")))</f>
        <v>0</v>
      </c>
      <c r="I66" s="15" t="n">
        <f aca="false">MAX(0,(SUMIFS(Desconto_Cliente_Mes!$N$2:$N$433,Desconto_Cliente_Mes!$A$2:$A$433,I$62,Desconto_Cliente_Mes!$B$2:$B$433,$A62,Desconto_Cliente_Mes!$C$2:$C$433,"Umidade"))-(SUMIFS(Desconto_Cliente_Mes!$P$2:$P$433,Desconto_Cliente_Mes!$A$2:$A$433,I$62,Desconto_Cliente_Mes!$B$2:$B$433,$A62,Desconto_Cliente_Mes!$C$2:$C$433,"Umidade")))</f>
        <v>0</v>
      </c>
      <c r="J66" s="15" t="n">
        <f aca="false">MAX(0,(SUMIFS(Desconto_Cliente_Mes!$N$2:$N$433,Desconto_Cliente_Mes!$A$2:$A$433,J$62,Desconto_Cliente_Mes!$B$2:$B$433,$A62,Desconto_Cliente_Mes!$C$2:$C$433,"Umidade"))-(SUMIFS(Desconto_Cliente_Mes!$P$2:$P$433,Desconto_Cliente_Mes!$A$2:$A$433,J$62,Desconto_Cliente_Mes!$B$2:$B$433,$A62,Desconto_Cliente_Mes!$C$2:$C$433,"Umidade")))</f>
        <v>0</v>
      </c>
      <c r="K66" s="15" t="n">
        <f aca="false">MAX(0,(SUMIFS(Desconto_Cliente_Mes!$N$2:$N$433,Desconto_Cliente_Mes!$A$2:$A$433,K$62,Desconto_Cliente_Mes!$B$2:$B$433,$A62,Desconto_Cliente_Mes!$C$2:$C$433,"Umidade"))-(SUMIFS(Desconto_Cliente_Mes!$P$2:$P$433,Desconto_Cliente_Mes!$A$2:$A$433,K$62,Desconto_Cliente_Mes!$B$2:$B$433,$A62,Desconto_Cliente_Mes!$C$2:$C$433,"Umidade")))</f>
        <v>0</v>
      </c>
      <c r="L66" s="15" t="n">
        <f aca="false">MAX(0,(SUMIFS(Desconto_Cliente_Mes!$N$2:$N$433,Desconto_Cliente_Mes!$A$2:$A$433,L$62,Desconto_Cliente_Mes!$B$2:$B$433,$A62,Desconto_Cliente_Mes!$C$2:$C$433,"Umidade"))-(SUMIFS(Desconto_Cliente_Mes!$P$2:$P$433,Desconto_Cliente_Mes!$A$2:$A$433,L$62,Desconto_Cliente_Mes!$B$2:$B$433,$A62,Desconto_Cliente_Mes!$C$2:$C$433,"Umidade")))</f>
        <v>0</v>
      </c>
      <c r="M66" s="15" t="n">
        <f aca="false">MAX(0,(SUMIFS(Desconto_Cliente_Mes!$N$2:$N$433,Desconto_Cliente_Mes!$A$2:$A$433,M$62,Desconto_Cliente_Mes!$B$2:$B$433,$A62,Desconto_Cliente_Mes!$C$2:$C$433,"Umidade"))-(SUMIFS(Desconto_Cliente_Mes!$P$2:$P$433,Desconto_Cliente_Mes!$A$2:$A$433,M$62,Desconto_Cliente_Mes!$B$2:$B$433,$A62,Desconto_Cliente_Mes!$C$2:$C$433,"Umidade")))</f>
        <v>0</v>
      </c>
    </row>
    <row r="67" customFormat="false" ht="15" hidden="false" customHeight="false" outlineLevel="0" collapsed="false">
      <c r="A67" s="13" t="s">
        <v>78</v>
      </c>
      <c r="B67" s="15" t="n">
        <f aca="false">MAX(0,SUMIFS(Desconto_Cliente_Mes!$P$2:$P$433,Desconto_Cliente_Mes!$A$2:$A$433,B$62,Desconto_Cliente_Mes!$B$2:$B$433,$A62,Desconto_Cliente_Mes!$C$2:$C$433,"Umidade"))</f>
        <v>0</v>
      </c>
      <c r="C67" s="15" t="n">
        <f aca="false">MAX(0,SUMIFS(Desconto_Cliente_Mes!$P$2:$P$433,Desconto_Cliente_Mes!$A$2:$A$433,C$62,Desconto_Cliente_Mes!$B$2:$B$433,$A62,Desconto_Cliente_Mes!$C$2:$C$433,"Umidade"))</f>
        <v>0</v>
      </c>
      <c r="D67" s="15" t="n">
        <f aca="false">MAX(0,SUMIFS(Desconto_Cliente_Mes!$P$2:$P$433,Desconto_Cliente_Mes!$A$2:$A$433,D$62,Desconto_Cliente_Mes!$B$2:$B$433,$A62,Desconto_Cliente_Mes!$C$2:$C$433,"Umidade"))</f>
        <v>0</v>
      </c>
      <c r="E67" s="15" t="n">
        <f aca="false">MAX(0,SUMIFS(Desconto_Cliente_Mes!$P$2:$P$433,Desconto_Cliente_Mes!$A$2:$A$433,E$62,Desconto_Cliente_Mes!$B$2:$B$433,$A62,Desconto_Cliente_Mes!$C$2:$C$433,"Umidade"))</f>
        <v>0</v>
      </c>
      <c r="F67" s="15" t="n">
        <f aca="false">MAX(0,SUMIFS(Desconto_Cliente_Mes!$P$2:$P$433,Desconto_Cliente_Mes!$A$2:$A$433,F$62,Desconto_Cliente_Mes!$B$2:$B$433,$A62,Desconto_Cliente_Mes!$C$2:$C$433,"Umidade"))</f>
        <v>0</v>
      </c>
      <c r="G67" s="15" t="n">
        <f aca="false">MAX(0,SUMIFS(Desconto_Cliente_Mes!$P$2:$P$433,Desconto_Cliente_Mes!$A$2:$A$433,G$62,Desconto_Cliente_Mes!$B$2:$B$433,$A62,Desconto_Cliente_Mes!$C$2:$C$433,"Umidade"))</f>
        <v>0</v>
      </c>
      <c r="H67" s="15" t="n">
        <f aca="false">MAX(0,SUMIFS(Desconto_Cliente_Mes!$P$2:$P$433,Desconto_Cliente_Mes!$A$2:$A$433,H$62,Desconto_Cliente_Mes!$B$2:$B$433,$A62,Desconto_Cliente_Mes!$C$2:$C$433,"Umidade"))</f>
        <v>0</v>
      </c>
      <c r="I67" s="15" t="n">
        <f aca="false">MAX(0,SUMIFS(Desconto_Cliente_Mes!$P$2:$P$433,Desconto_Cliente_Mes!$A$2:$A$433,I$62,Desconto_Cliente_Mes!$B$2:$B$433,$A62,Desconto_Cliente_Mes!$C$2:$C$433,"Umidade"))</f>
        <v>0</v>
      </c>
      <c r="J67" s="15" t="n">
        <f aca="false">MAX(0,SUMIFS(Desconto_Cliente_Mes!$P$2:$P$433,Desconto_Cliente_Mes!$A$2:$A$433,J$62,Desconto_Cliente_Mes!$B$2:$B$433,$A62,Desconto_Cliente_Mes!$C$2:$C$433,"Umidade"))</f>
        <v>0</v>
      </c>
      <c r="K67" s="15" t="n">
        <f aca="false">MAX(0,SUMIFS(Desconto_Cliente_Mes!$P$2:$P$433,Desconto_Cliente_Mes!$A$2:$A$433,K$62,Desconto_Cliente_Mes!$B$2:$B$433,$A62,Desconto_Cliente_Mes!$C$2:$C$433,"Umidade"))</f>
        <v>0</v>
      </c>
      <c r="L67" s="15" t="n">
        <f aca="false">MAX(0,SUMIFS(Desconto_Cliente_Mes!$P$2:$P$433,Desconto_Cliente_Mes!$A$2:$A$433,L$62,Desconto_Cliente_Mes!$B$2:$B$433,$A62,Desconto_Cliente_Mes!$C$2:$C$433,"Umidade"))</f>
        <v>0</v>
      </c>
      <c r="M67" s="15" t="n">
        <f aca="false">MAX(0,SUMIFS(Desconto_Cliente_Mes!$P$2:$P$433,Desconto_Cliente_Mes!$A$2:$A$433,M$62,Desconto_Cliente_Mes!$B$2:$B$433,$A62,Desconto_Cliente_Mes!$C$2:$C$433,"Umidade"))</f>
        <v>0</v>
      </c>
    </row>
    <row r="68" customFormat="false" ht="15" hidden="false" customHeight="false" outlineLevel="0" collapsed="false">
      <c r="A68" s="13" t="s">
        <v>79</v>
      </c>
      <c r="B68" s="16" t="n">
        <f aca="false">$B$64*($B$65/100)*(SUMIFS(Desconto_Cliente_Mes!$Q$2:$Q$433,Desconto_Cliente_Mes!$A$2:$A$433,B$62,Desconto_Cliente_Mes!$B$2:$B$433,$A62,Desconto_Cliente_Mes!$C$2:$C$433,"Umidade"))*(SUMIFS(Desconto_Cliente_Mes!$T$2:$T$433,Desconto_Cliente_Mes!$A$2:$A$433,B$62,Desconto_Cliente_Mes!$B$2:$B$433,$A62,Desconto_Cliente_Mes!$C$2:$C$433,"Umidade"))</f>
        <v>0</v>
      </c>
      <c r="C68" s="16" t="n">
        <f aca="false">$C$64*($C$65/100)*(SUMIFS(Desconto_Cliente_Mes!$Q$2:$Q$433,Desconto_Cliente_Mes!$A$2:$A$433,C$62,Desconto_Cliente_Mes!$B$2:$B$433,$A62,Desconto_Cliente_Mes!$C$2:$C$433,"Umidade"))*(SUMIFS(Desconto_Cliente_Mes!$T$2:$T$433,Desconto_Cliente_Mes!$A$2:$A$433,C$62,Desconto_Cliente_Mes!$B$2:$B$433,$A62,Desconto_Cliente_Mes!$C$2:$C$433,"Umidade"))</f>
        <v>0</v>
      </c>
      <c r="D68" s="16" t="n">
        <f aca="false">$D$64*($D$65/100)*(SUMIFS(Desconto_Cliente_Mes!$Q$2:$Q$433,Desconto_Cliente_Mes!$A$2:$A$433,D$62,Desconto_Cliente_Mes!$B$2:$B$433,$A62,Desconto_Cliente_Mes!$C$2:$C$433,"Umidade"))*(SUMIFS(Desconto_Cliente_Mes!$T$2:$T$433,Desconto_Cliente_Mes!$A$2:$A$433,D$62,Desconto_Cliente_Mes!$B$2:$B$433,$A62,Desconto_Cliente_Mes!$C$2:$C$433,"Umidade"))</f>
        <v>123568.213577357</v>
      </c>
      <c r="E68" s="16" t="n">
        <f aca="false">$E$64*($E$65/100)*(SUMIFS(Desconto_Cliente_Mes!$Q$2:$Q$433,Desconto_Cliente_Mes!$A$2:$A$433,E$62,Desconto_Cliente_Mes!$B$2:$B$433,$A62,Desconto_Cliente_Mes!$C$2:$C$433,"Umidade"))*(SUMIFS(Desconto_Cliente_Mes!$T$2:$T$433,Desconto_Cliente_Mes!$A$2:$A$433,E$62,Desconto_Cliente_Mes!$B$2:$B$433,$A62,Desconto_Cliente_Mes!$C$2:$C$433,"Umidade"))</f>
        <v>17092.0458488846</v>
      </c>
      <c r="F68" s="16" t="n">
        <f aca="false">$F$64*($F$65/100)*(SUMIFS(Desconto_Cliente_Mes!$Q$2:$Q$433,Desconto_Cliente_Mes!$A$2:$A$433,F$62,Desconto_Cliente_Mes!$B$2:$B$433,$A62,Desconto_Cliente_Mes!$C$2:$C$433,"Umidade"))*(SUMIFS(Desconto_Cliente_Mes!$T$2:$T$433,Desconto_Cliente_Mes!$A$2:$A$433,F$62,Desconto_Cliente_Mes!$B$2:$B$433,$A62,Desconto_Cliente_Mes!$C$2:$C$433,"Umidade"))</f>
        <v>0</v>
      </c>
      <c r="G68" s="16" t="n">
        <f aca="false">$G$64*($G$65/100)*(SUMIFS(Desconto_Cliente_Mes!$Q$2:$Q$433,Desconto_Cliente_Mes!$A$2:$A$433,G$62,Desconto_Cliente_Mes!$B$2:$B$433,$A62,Desconto_Cliente_Mes!$C$2:$C$433,"Umidade"))*(SUMIFS(Desconto_Cliente_Mes!$T$2:$T$433,Desconto_Cliente_Mes!$A$2:$A$433,G$62,Desconto_Cliente_Mes!$B$2:$B$433,$A62,Desconto_Cliente_Mes!$C$2:$C$433,"Umidade"))</f>
        <v>0</v>
      </c>
      <c r="H68" s="16" t="n">
        <f aca="false">$H$64*($H$65/100)*(SUMIFS(Desconto_Cliente_Mes!$Q$2:$Q$433,Desconto_Cliente_Mes!$A$2:$A$433,H$62,Desconto_Cliente_Mes!$B$2:$B$433,$A62,Desconto_Cliente_Mes!$C$2:$C$433,"Umidade"))*(SUMIFS(Desconto_Cliente_Mes!$T$2:$T$433,Desconto_Cliente_Mes!$A$2:$A$433,H$62,Desconto_Cliente_Mes!$B$2:$B$433,$A62,Desconto_Cliente_Mes!$C$2:$C$433,"Umidade"))</f>
        <v>6988.40769384588</v>
      </c>
      <c r="I68" s="16" t="n">
        <f aca="false">$I$64*($I$65/100)*(SUMIFS(Desconto_Cliente_Mes!$Q$2:$Q$433,Desconto_Cliente_Mes!$A$2:$A$433,I$62,Desconto_Cliente_Mes!$B$2:$B$433,$A62,Desconto_Cliente_Mes!$C$2:$C$433,"Umidade"))*(SUMIFS(Desconto_Cliente_Mes!$T$2:$T$433,Desconto_Cliente_Mes!$A$2:$A$433,I$62,Desconto_Cliente_Mes!$B$2:$B$433,$A62,Desconto_Cliente_Mes!$C$2:$C$433,"Umidade"))</f>
        <v>0</v>
      </c>
      <c r="J68" s="16" t="n">
        <f aca="false">$J$64*($J$65/100)*(SUMIFS(Desconto_Cliente_Mes!$Q$2:$Q$433,Desconto_Cliente_Mes!$A$2:$A$433,J$62,Desconto_Cliente_Mes!$B$2:$B$433,$A62,Desconto_Cliente_Mes!$C$2:$C$433,"Umidade"))*(SUMIFS(Desconto_Cliente_Mes!$T$2:$T$433,Desconto_Cliente_Mes!$A$2:$A$433,J$62,Desconto_Cliente_Mes!$B$2:$B$433,$A62,Desconto_Cliente_Mes!$C$2:$C$433,"Umidade"))</f>
        <v>0</v>
      </c>
      <c r="K68" s="16" t="n">
        <f aca="false">$K$64*($K$65/100)*(SUMIFS(Desconto_Cliente_Mes!$Q$2:$Q$433,Desconto_Cliente_Mes!$A$2:$A$433,K$62,Desconto_Cliente_Mes!$B$2:$B$433,$A62,Desconto_Cliente_Mes!$C$2:$C$433,"Umidade"))*(SUMIFS(Desconto_Cliente_Mes!$T$2:$T$433,Desconto_Cliente_Mes!$A$2:$A$433,K$62,Desconto_Cliente_Mes!$B$2:$B$433,$A62,Desconto_Cliente_Mes!$C$2:$C$433,"Umidade"))</f>
        <v>0</v>
      </c>
      <c r="L68" s="16" t="n">
        <f aca="false">$L$64*($L$65/100)*(SUMIFS(Desconto_Cliente_Mes!$Q$2:$Q$433,Desconto_Cliente_Mes!$A$2:$A$433,L$62,Desconto_Cliente_Mes!$B$2:$B$433,$A62,Desconto_Cliente_Mes!$C$2:$C$433,"Umidade"))*(SUMIFS(Desconto_Cliente_Mes!$T$2:$T$433,Desconto_Cliente_Mes!$A$2:$A$433,L$62,Desconto_Cliente_Mes!$B$2:$B$433,$A62,Desconto_Cliente_Mes!$C$2:$C$433,"Umidade"))</f>
        <v>0</v>
      </c>
      <c r="M68" s="16" t="n">
        <f aca="false">$M$64*($M$65/100)*(SUMIFS(Desconto_Cliente_Mes!$Q$2:$Q$433,Desconto_Cliente_Mes!$A$2:$A$433,M$62,Desconto_Cliente_Mes!$B$2:$B$433,$A62,Desconto_Cliente_Mes!$C$2:$C$433,"Umidade"))*(SUMIFS(Desconto_Cliente_Mes!$T$2:$T$433,Desconto_Cliente_Mes!$A$2:$A$433,M$62,Desconto_Cliente_Mes!$B$2:$B$433,$A62,Desconto_Cliente_Mes!$C$2:$C$433,"Umidade"))</f>
        <v>0</v>
      </c>
      <c r="N68" s="17" t="n">
        <f aca="false">SUM(B68:M68)</f>
        <v>147648.667120088</v>
      </c>
    </row>
    <row r="69" customFormat="false" ht="15" hidden="false" customHeight="false" outlineLevel="0" collapsed="false">
      <c r="A69" s="13" t="s">
        <v>80</v>
      </c>
      <c r="B69" s="16" t="n">
        <f aca="false">$B$64*($B$66/100)*((IF(SUMIFS(Desconto_Cliente_Mes!$R$2:$R$433,Desconto_Cliente_Mes!$A$2:$A$433,B$62,Desconto_Cliente_Mes!$B$2:$B$433,$A62,Desconto_Cliente_Mes!$C$2:$C$433,"Umidade")="",SUMIFS(Desconto_Cliente_Mes!$Q$2:$Q$433,Desconto_Cliente_Mes!$A$2:$A$433,B$62,Desconto_Cliente_Mes!$B$2:$B$433,$A62,Desconto_Cliente_Mes!$C$2:$C$433,"Umidade"),SUMIFS(Desconto_Cliente_Mes!$R$2:$R$433,Desconto_Cliente_Mes!$A$2:$A$433,B$62,Desconto_Cliente_Mes!$B$2:$B$433,$A62,Desconto_Cliente_Mes!$C$2:$C$433,"Umidade")))-(SUMIFS(Desconto_Cliente_Mes!$Q$2:$Q$433,Desconto_Cliente_Mes!$A$2:$A$433,B$62,Desconto_Cliente_Mes!$B$2:$B$433,$A62,Desconto_Cliente_Mes!$C$2:$C$433,"Umidade")))*(SUMIFS(Desconto_Cliente_Mes!$T$2:$T$433,Desconto_Cliente_Mes!$A$2:$A$433,B$62,Desconto_Cliente_Mes!$B$2:$B$433,$A62,Desconto_Cliente_Mes!$C$2:$C$433,"Umidade"))</f>
        <v>-0</v>
      </c>
      <c r="C69" s="16" t="n">
        <f aca="false">$C$64*($C$66/100)*((IF(SUMIFS(Desconto_Cliente_Mes!$R$2:$R$433,Desconto_Cliente_Mes!$A$2:$A$433,C$62,Desconto_Cliente_Mes!$B$2:$B$433,$A62,Desconto_Cliente_Mes!$C$2:$C$433,"Umidade")="",SUMIFS(Desconto_Cliente_Mes!$Q$2:$Q$433,Desconto_Cliente_Mes!$A$2:$A$433,C$62,Desconto_Cliente_Mes!$B$2:$B$433,$A62,Desconto_Cliente_Mes!$C$2:$C$433,"Umidade"),SUMIFS(Desconto_Cliente_Mes!$R$2:$R$433,Desconto_Cliente_Mes!$A$2:$A$433,C$62,Desconto_Cliente_Mes!$B$2:$B$433,$A62,Desconto_Cliente_Mes!$C$2:$C$433,"Umidade")))-(SUMIFS(Desconto_Cliente_Mes!$Q$2:$Q$433,Desconto_Cliente_Mes!$A$2:$A$433,C$62,Desconto_Cliente_Mes!$B$2:$B$433,$A62,Desconto_Cliente_Mes!$C$2:$C$433,"Umidade")))*(SUMIFS(Desconto_Cliente_Mes!$T$2:$T$433,Desconto_Cliente_Mes!$A$2:$A$433,C$62,Desconto_Cliente_Mes!$B$2:$B$433,$A62,Desconto_Cliente_Mes!$C$2:$C$433,"Umidade"))</f>
        <v>-0</v>
      </c>
      <c r="D69" s="16" t="n">
        <f aca="false">$D$64*($D$66/100)*((IF(SUMIFS(Desconto_Cliente_Mes!$R$2:$R$433,Desconto_Cliente_Mes!$A$2:$A$433,D$62,Desconto_Cliente_Mes!$B$2:$B$433,$A62,Desconto_Cliente_Mes!$C$2:$C$433,"Umidade")="",SUMIFS(Desconto_Cliente_Mes!$Q$2:$Q$433,Desconto_Cliente_Mes!$A$2:$A$433,D$62,Desconto_Cliente_Mes!$B$2:$B$433,$A62,Desconto_Cliente_Mes!$C$2:$C$433,"Umidade"),SUMIFS(Desconto_Cliente_Mes!$R$2:$R$433,Desconto_Cliente_Mes!$A$2:$A$433,D$62,Desconto_Cliente_Mes!$B$2:$B$433,$A62,Desconto_Cliente_Mes!$C$2:$C$433,"Umidade")))-(SUMIFS(Desconto_Cliente_Mes!$Q$2:$Q$433,Desconto_Cliente_Mes!$A$2:$A$433,D$62,Desconto_Cliente_Mes!$B$2:$B$433,$A62,Desconto_Cliente_Mes!$C$2:$C$433,"Umidade")))*(SUMIFS(Desconto_Cliente_Mes!$T$2:$T$433,Desconto_Cliente_Mes!$A$2:$A$433,D$62,Desconto_Cliente_Mes!$B$2:$B$433,$A62,Desconto_Cliente_Mes!$C$2:$C$433,"Umidade"))</f>
        <v>-0</v>
      </c>
      <c r="E69" s="16" t="n">
        <f aca="false">$E$64*($E$66/100)*((IF(SUMIFS(Desconto_Cliente_Mes!$R$2:$R$433,Desconto_Cliente_Mes!$A$2:$A$433,E$62,Desconto_Cliente_Mes!$B$2:$B$433,$A62,Desconto_Cliente_Mes!$C$2:$C$433,"Umidade")="",SUMIFS(Desconto_Cliente_Mes!$Q$2:$Q$433,Desconto_Cliente_Mes!$A$2:$A$433,E$62,Desconto_Cliente_Mes!$B$2:$B$433,$A62,Desconto_Cliente_Mes!$C$2:$C$433,"Umidade"),SUMIFS(Desconto_Cliente_Mes!$R$2:$R$433,Desconto_Cliente_Mes!$A$2:$A$433,E$62,Desconto_Cliente_Mes!$B$2:$B$433,$A62,Desconto_Cliente_Mes!$C$2:$C$433,"Umidade")))-(SUMIFS(Desconto_Cliente_Mes!$Q$2:$Q$433,Desconto_Cliente_Mes!$A$2:$A$433,E$62,Desconto_Cliente_Mes!$B$2:$B$433,$A62,Desconto_Cliente_Mes!$C$2:$C$433,"Umidade")))*(SUMIFS(Desconto_Cliente_Mes!$T$2:$T$433,Desconto_Cliente_Mes!$A$2:$A$433,E$62,Desconto_Cliente_Mes!$B$2:$B$433,$A62,Desconto_Cliente_Mes!$C$2:$C$433,"Umidade"))</f>
        <v>-0</v>
      </c>
      <c r="F69" s="16" t="n">
        <f aca="false">$F$64*($F$66/100)*((IF(SUMIFS(Desconto_Cliente_Mes!$R$2:$R$433,Desconto_Cliente_Mes!$A$2:$A$433,F$62,Desconto_Cliente_Mes!$B$2:$B$433,$A62,Desconto_Cliente_Mes!$C$2:$C$433,"Umidade")="",SUMIFS(Desconto_Cliente_Mes!$Q$2:$Q$433,Desconto_Cliente_Mes!$A$2:$A$433,F$62,Desconto_Cliente_Mes!$B$2:$B$433,$A62,Desconto_Cliente_Mes!$C$2:$C$433,"Umidade"),SUMIFS(Desconto_Cliente_Mes!$R$2:$R$433,Desconto_Cliente_Mes!$A$2:$A$433,F$62,Desconto_Cliente_Mes!$B$2:$B$433,$A62,Desconto_Cliente_Mes!$C$2:$C$433,"Umidade")))-(SUMIFS(Desconto_Cliente_Mes!$Q$2:$Q$433,Desconto_Cliente_Mes!$A$2:$A$433,F$62,Desconto_Cliente_Mes!$B$2:$B$433,$A62,Desconto_Cliente_Mes!$C$2:$C$433,"Umidade")))*(SUMIFS(Desconto_Cliente_Mes!$T$2:$T$433,Desconto_Cliente_Mes!$A$2:$A$433,F$62,Desconto_Cliente_Mes!$B$2:$B$433,$A62,Desconto_Cliente_Mes!$C$2:$C$433,"Umidade"))</f>
        <v>-0</v>
      </c>
      <c r="G69" s="16" t="n">
        <f aca="false">$G$64*($G$66/100)*((IF(SUMIFS(Desconto_Cliente_Mes!$R$2:$R$433,Desconto_Cliente_Mes!$A$2:$A$433,G$62,Desconto_Cliente_Mes!$B$2:$B$433,$A62,Desconto_Cliente_Mes!$C$2:$C$433,"Umidade")="",SUMIFS(Desconto_Cliente_Mes!$Q$2:$Q$433,Desconto_Cliente_Mes!$A$2:$A$433,G$62,Desconto_Cliente_Mes!$B$2:$B$433,$A62,Desconto_Cliente_Mes!$C$2:$C$433,"Umidade"),SUMIFS(Desconto_Cliente_Mes!$R$2:$R$433,Desconto_Cliente_Mes!$A$2:$A$433,G$62,Desconto_Cliente_Mes!$B$2:$B$433,$A62,Desconto_Cliente_Mes!$C$2:$C$433,"Umidade")))-(SUMIFS(Desconto_Cliente_Mes!$Q$2:$Q$433,Desconto_Cliente_Mes!$A$2:$A$433,G$62,Desconto_Cliente_Mes!$B$2:$B$433,$A62,Desconto_Cliente_Mes!$C$2:$C$433,"Umidade")))*(SUMIFS(Desconto_Cliente_Mes!$T$2:$T$433,Desconto_Cliente_Mes!$A$2:$A$433,G$62,Desconto_Cliente_Mes!$B$2:$B$433,$A62,Desconto_Cliente_Mes!$C$2:$C$433,"Umidade"))</f>
        <v>-0</v>
      </c>
      <c r="H69" s="16" t="n">
        <f aca="false">$H$64*($H$66/100)*((IF(SUMIFS(Desconto_Cliente_Mes!$R$2:$R$433,Desconto_Cliente_Mes!$A$2:$A$433,H$62,Desconto_Cliente_Mes!$B$2:$B$433,$A62,Desconto_Cliente_Mes!$C$2:$C$433,"Umidade")="",SUMIFS(Desconto_Cliente_Mes!$Q$2:$Q$433,Desconto_Cliente_Mes!$A$2:$A$433,H$62,Desconto_Cliente_Mes!$B$2:$B$433,$A62,Desconto_Cliente_Mes!$C$2:$C$433,"Umidade"),SUMIFS(Desconto_Cliente_Mes!$R$2:$R$433,Desconto_Cliente_Mes!$A$2:$A$433,H$62,Desconto_Cliente_Mes!$B$2:$B$433,$A62,Desconto_Cliente_Mes!$C$2:$C$433,"Umidade")))-(SUMIFS(Desconto_Cliente_Mes!$Q$2:$Q$433,Desconto_Cliente_Mes!$A$2:$A$433,H$62,Desconto_Cliente_Mes!$B$2:$B$433,$A62,Desconto_Cliente_Mes!$C$2:$C$433,"Umidade")))*(SUMIFS(Desconto_Cliente_Mes!$T$2:$T$433,Desconto_Cliente_Mes!$A$2:$A$433,H$62,Desconto_Cliente_Mes!$B$2:$B$433,$A62,Desconto_Cliente_Mes!$C$2:$C$433,"Umidade"))</f>
        <v>-0</v>
      </c>
      <c r="I69" s="16" t="n">
        <f aca="false">$I$64*($I$66/100)*((IF(SUMIFS(Desconto_Cliente_Mes!$R$2:$R$433,Desconto_Cliente_Mes!$A$2:$A$433,I$62,Desconto_Cliente_Mes!$B$2:$B$433,$A62,Desconto_Cliente_Mes!$C$2:$C$433,"Umidade")="",SUMIFS(Desconto_Cliente_Mes!$Q$2:$Q$433,Desconto_Cliente_Mes!$A$2:$A$433,I$62,Desconto_Cliente_Mes!$B$2:$B$433,$A62,Desconto_Cliente_Mes!$C$2:$C$433,"Umidade"),SUMIFS(Desconto_Cliente_Mes!$R$2:$R$433,Desconto_Cliente_Mes!$A$2:$A$433,I$62,Desconto_Cliente_Mes!$B$2:$B$433,$A62,Desconto_Cliente_Mes!$C$2:$C$433,"Umidade")))-(SUMIFS(Desconto_Cliente_Mes!$Q$2:$Q$433,Desconto_Cliente_Mes!$A$2:$A$433,I$62,Desconto_Cliente_Mes!$B$2:$B$433,$A62,Desconto_Cliente_Mes!$C$2:$C$433,"Umidade")))*(SUMIFS(Desconto_Cliente_Mes!$T$2:$T$433,Desconto_Cliente_Mes!$A$2:$A$433,I$62,Desconto_Cliente_Mes!$B$2:$B$433,$A62,Desconto_Cliente_Mes!$C$2:$C$433,"Umidade"))</f>
        <v>-0</v>
      </c>
      <c r="J69" s="16" t="n">
        <f aca="false">$J$64*($J$66/100)*((IF(SUMIFS(Desconto_Cliente_Mes!$R$2:$R$433,Desconto_Cliente_Mes!$A$2:$A$433,J$62,Desconto_Cliente_Mes!$B$2:$B$433,$A62,Desconto_Cliente_Mes!$C$2:$C$433,"Umidade")="",SUMIFS(Desconto_Cliente_Mes!$Q$2:$Q$433,Desconto_Cliente_Mes!$A$2:$A$433,J$62,Desconto_Cliente_Mes!$B$2:$B$433,$A62,Desconto_Cliente_Mes!$C$2:$C$433,"Umidade"),SUMIFS(Desconto_Cliente_Mes!$R$2:$R$433,Desconto_Cliente_Mes!$A$2:$A$433,J$62,Desconto_Cliente_Mes!$B$2:$B$433,$A62,Desconto_Cliente_Mes!$C$2:$C$433,"Umidade")))-(SUMIFS(Desconto_Cliente_Mes!$Q$2:$Q$433,Desconto_Cliente_Mes!$A$2:$A$433,J$62,Desconto_Cliente_Mes!$B$2:$B$433,$A62,Desconto_Cliente_Mes!$C$2:$C$433,"Umidade")))*(SUMIFS(Desconto_Cliente_Mes!$T$2:$T$433,Desconto_Cliente_Mes!$A$2:$A$433,J$62,Desconto_Cliente_Mes!$B$2:$B$433,$A62,Desconto_Cliente_Mes!$C$2:$C$433,"Umidade"))</f>
        <v>-0</v>
      </c>
      <c r="K69" s="16" t="n">
        <f aca="false">$K$64*($K$66/100)*((IF(SUMIFS(Desconto_Cliente_Mes!$R$2:$R$433,Desconto_Cliente_Mes!$A$2:$A$433,K$62,Desconto_Cliente_Mes!$B$2:$B$433,$A62,Desconto_Cliente_Mes!$C$2:$C$433,"Umidade")="",SUMIFS(Desconto_Cliente_Mes!$Q$2:$Q$433,Desconto_Cliente_Mes!$A$2:$A$433,K$62,Desconto_Cliente_Mes!$B$2:$B$433,$A62,Desconto_Cliente_Mes!$C$2:$C$433,"Umidade"),SUMIFS(Desconto_Cliente_Mes!$R$2:$R$433,Desconto_Cliente_Mes!$A$2:$A$433,K$62,Desconto_Cliente_Mes!$B$2:$B$433,$A62,Desconto_Cliente_Mes!$C$2:$C$433,"Umidade")))-(SUMIFS(Desconto_Cliente_Mes!$Q$2:$Q$433,Desconto_Cliente_Mes!$A$2:$A$433,K$62,Desconto_Cliente_Mes!$B$2:$B$433,$A62,Desconto_Cliente_Mes!$C$2:$C$433,"Umidade")))*(SUMIFS(Desconto_Cliente_Mes!$T$2:$T$433,Desconto_Cliente_Mes!$A$2:$A$433,K$62,Desconto_Cliente_Mes!$B$2:$B$433,$A62,Desconto_Cliente_Mes!$C$2:$C$433,"Umidade"))</f>
        <v>-0</v>
      </c>
      <c r="L69" s="16" t="n">
        <f aca="false">$L$64*($L$66/100)*((IF(SUMIFS(Desconto_Cliente_Mes!$R$2:$R$433,Desconto_Cliente_Mes!$A$2:$A$433,L$62,Desconto_Cliente_Mes!$B$2:$B$433,$A62,Desconto_Cliente_Mes!$C$2:$C$433,"Umidade")="",SUMIFS(Desconto_Cliente_Mes!$Q$2:$Q$433,Desconto_Cliente_Mes!$A$2:$A$433,L$62,Desconto_Cliente_Mes!$B$2:$B$433,$A62,Desconto_Cliente_Mes!$C$2:$C$433,"Umidade"),SUMIFS(Desconto_Cliente_Mes!$R$2:$R$433,Desconto_Cliente_Mes!$A$2:$A$433,L$62,Desconto_Cliente_Mes!$B$2:$B$433,$A62,Desconto_Cliente_Mes!$C$2:$C$433,"Umidade")))-(SUMIFS(Desconto_Cliente_Mes!$Q$2:$Q$433,Desconto_Cliente_Mes!$A$2:$A$433,L$62,Desconto_Cliente_Mes!$B$2:$B$433,$A62,Desconto_Cliente_Mes!$C$2:$C$433,"Umidade")))*(SUMIFS(Desconto_Cliente_Mes!$T$2:$T$433,Desconto_Cliente_Mes!$A$2:$A$433,L$62,Desconto_Cliente_Mes!$B$2:$B$433,$A62,Desconto_Cliente_Mes!$C$2:$C$433,"Umidade"))</f>
        <v>-0</v>
      </c>
      <c r="M69" s="16" t="n">
        <f aca="false">$M$64*($M$66/100)*((IF(SUMIFS(Desconto_Cliente_Mes!$R$2:$R$433,Desconto_Cliente_Mes!$A$2:$A$433,M$62,Desconto_Cliente_Mes!$B$2:$B$433,$A62,Desconto_Cliente_Mes!$C$2:$C$433,"Umidade")="",SUMIFS(Desconto_Cliente_Mes!$Q$2:$Q$433,Desconto_Cliente_Mes!$A$2:$A$433,M$62,Desconto_Cliente_Mes!$B$2:$B$433,$A62,Desconto_Cliente_Mes!$C$2:$C$433,"Umidade"),SUMIFS(Desconto_Cliente_Mes!$R$2:$R$433,Desconto_Cliente_Mes!$A$2:$A$433,M$62,Desconto_Cliente_Mes!$B$2:$B$433,$A62,Desconto_Cliente_Mes!$C$2:$C$433,"Umidade")))-(SUMIFS(Desconto_Cliente_Mes!$Q$2:$Q$433,Desconto_Cliente_Mes!$A$2:$A$433,M$62,Desconto_Cliente_Mes!$B$2:$B$433,$A62,Desconto_Cliente_Mes!$C$2:$C$433,"Umidade")))*(SUMIFS(Desconto_Cliente_Mes!$T$2:$T$433,Desconto_Cliente_Mes!$A$2:$A$433,M$62,Desconto_Cliente_Mes!$B$2:$B$433,$A62,Desconto_Cliente_Mes!$C$2:$C$433,"Umidade"))</f>
        <v>-0</v>
      </c>
      <c r="N69" s="17" t="n">
        <f aca="false">SUM(B69:M69)</f>
        <v>0</v>
      </c>
    </row>
    <row r="70" customFormat="false" ht="15" hidden="false" customHeight="false" outlineLevel="0" collapsed="false">
      <c r="A70" s="13" t="s">
        <v>81</v>
      </c>
      <c r="B70" s="16" t="n">
        <f aca="false">$B$64*($B$67/100)*((IF(SUMIFS(Desconto_Cliente_Mes!$S$2:$S$433,Desconto_Cliente_Mes!$A$2:$A$433,B$62,Desconto_Cliente_Mes!$B$2:$B$433,$A62,Desconto_Cliente_Mes!$C$2:$C$433,"Umidade")="",(IF(SUMIFS(Desconto_Cliente_Mes!$R$2:$R$433,Desconto_Cliente_Mes!$A$2:$A$433,B$62,Desconto_Cliente_Mes!$B$2:$B$433,$A62,Desconto_Cliente_Mes!$C$2:$C$433,"Umidade")="",SUMIFS(Desconto_Cliente_Mes!$Q$2:$Q$433,Desconto_Cliente_Mes!$A$2:$A$433,B$62,Desconto_Cliente_Mes!$B$2:$B$433,$A62,Desconto_Cliente_Mes!$C$2:$C$433,"Umidade"),SUMIFS(Desconto_Cliente_Mes!$R$2:$R$433,Desconto_Cliente_Mes!$A$2:$A$433,B$62,Desconto_Cliente_Mes!$B$2:$B$433,$A62,Desconto_Cliente_Mes!$C$2:$C$433,"Umidade"))),SUMIFS(Desconto_Cliente_Mes!$S$2:$S$433,Desconto_Cliente_Mes!$A$2:$A$433,B$62,Desconto_Cliente_Mes!$B$2:$B$433,$A62,Desconto_Cliente_Mes!$C$2:$C$433,"Umidade")))-(IF(SUMIFS(Desconto_Cliente_Mes!$R$2:$R$433,Desconto_Cliente_Mes!$A$2:$A$433,B$62,Desconto_Cliente_Mes!$B$2:$B$433,$A62,Desconto_Cliente_Mes!$C$2:$C$433,"Umidade")="",SUMIFS(Desconto_Cliente_Mes!$Q$2:$Q$433,Desconto_Cliente_Mes!$A$2:$A$433,B$62,Desconto_Cliente_Mes!$B$2:$B$433,$A62,Desconto_Cliente_Mes!$C$2:$C$433,"Umidade"),SUMIFS(Desconto_Cliente_Mes!$R$2:$R$433,Desconto_Cliente_Mes!$A$2:$A$433,B$62,Desconto_Cliente_Mes!$B$2:$B$433,$A62,Desconto_Cliente_Mes!$C$2:$C$433,"Umidade"))))*(SUMIFS(Desconto_Cliente_Mes!$T$2:$T$433,Desconto_Cliente_Mes!$A$2:$A$433,B$62,Desconto_Cliente_Mes!$B$2:$B$433,$A62,Desconto_Cliente_Mes!$C$2:$C$433,"Umidade"))</f>
        <v>0</v>
      </c>
      <c r="C70" s="16" t="n">
        <f aca="false">$C$64*($C$67/100)*((IF(SUMIFS(Desconto_Cliente_Mes!$S$2:$S$433,Desconto_Cliente_Mes!$A$2:$A$433,C$62,Desconto_Cliente_Mes!$B$2:$B$433,$A62,Desconto_Cliente_Mes!$C$2:$C$433,"Umidade")="",(IF(SUMIFS(Desconto_Cliente_Mes!$R$2:$R$433,Desconto_Cliente_Mes!$A$2:$A$433,C$62,Desconto_Cliente_Mes!$B$2:$B$433,$A62,Desconto_Cliente_Mes!$C$2:$C$433,"Umidade")="",SUMIFS(Desconto_Cliente_Mes!$Q$2:$Q$433,Desconto_Cliente_Mes!$A$2:$A$433,C$62,Desconto_Cliente_Mes!$B$2:$B$433,$A62,Desconto_Cliente_Mes!$C$2:$C$433,"Umidade"),SUMIFS(Desconto_Cliente_Mes!$R$2:$R$433,Desconto_Cliente_Mes!$A$2:$A$433,C$62,Desconto_Cliente_Mes!$B$2:$B$433,$A62,Desconto_Cliente_Mes!$C$2:$C$433,"Umidade"))),SUMIFS(Desconto_Cliente_Mes!$S$2:$S$433,Desconto_Cliente_Mes!$A$2:$A$433,C$62,Desconto_Cliente_Mes!$B$2:$B$433,$A62,Desconto_Cliente_Mes!$C$2:$C$433,"Umidade")))-(IF(SUMIFS(Desconto_Cliente_Mes!$R$2:$R$433,Desconto_Cliente_Mes!$A$2:$A$433,C$62,Desconto_Cliente_Mes!$B$2:$B$433,$A62,Desconto_Cliente_Mes!$C$2:$C$433,"Umidade")="",SUMIFS(Desconto_Cliente_Mes!$Q$2:$Q$433,Desconto_Cliente_Mes!$A$2:$A$433,C$62,Desconto_Cliente_Mes!$B$2:$B$433,$A62,Desconto_Cliente_Mes!$C$2:$C$433,"Umidade"),SUMIFS(Desconto_Cliente_Mes!$R$2:$R$433,Desconto_Cliente_Mes!$A$2:$A$433,C$62,Desconto_Cliente_Mes!$B$2:$B$433,$A62,Desconto_Cliente_Mes!$C$2:$C$433,"Umidade"))))*(SUMIFS(Desconto_Cliente_Mes!$T$2:$T$433,Desconto_Cliente_Mes!$A$2:$A$433,C$62,Desconto_Cliente_Mes!$B$2:$B$433,$A62,Desconto_Cliente_Mes!$C$2:$C$433,"Umidade"))</f>
        <v>0</v>
      </c>
      <c r="D70" s="16" t="n">
        <f aca="false">$D$64*($D$67/100)*((IF(SUMIFS(Desconto_Cliente_Mes!$S$2:$S$433,Desconto_Cliente_Mes!$A$2:$A$433,D$62,Desconto_Cliente_Mes!$B$2:$B$433,$A62,Desconto_Cliente_Mes!$C$2:$C$433,"Umidade")="",(IF(SUMIFS(Desconto_Cliente_Mes!$R$2:$R$433,Desconto_Cliente_Mes!$A$2:$A$433,D$62,Desconto_Cliente_Mes!$B$2:$B$433,$A62,Desconto_Cliente_Mes!$C$2:$C$433,"Umidade")="",SUMIFS(Desconto_Cliente_Mes!$Q$2:$Q$433,Desconto_Cliente_Mes!$A$2:$A$433,D$62,Desconto_Cliente_Mes!$B$2:$B$433,$A62,Desconto_Cliente_Mes!$C$2:$C$433,"Umidade"),SUMIFS(Desconto_Cliente_Mes!$R$2:$R$433,Desconto_Cliente_Mes!$A$2:$A$433,D$62,Desconto_Cliente_Mes!$B$2:$B$433,$A62,Desconto_Cliente_Mes!$C$2:$C$433,"Umidade"))),SUMIFS(Desconto_Cliente_Mes!$S$2:$S$433,Desconto_Cliente_Mes!$A$2:$A$433,D$62,Desconto_Cliente_Mes!$B$2:$B$433,$A62,Desconto_Cliente_Mes!$C$2:$C$433,"Umidade")))-(IF(SUMIFS(Desconto_Cliente_Mes!$R$2:$R$433,Desconto_Cliente_Mes!$A$2:$A$433,D$62,Desconto_Cliente_Mes!$B$2:$B$433,$A62,Desconto_Cliente_Mes!$C$2:$C$433,"Umidade")="",SUMIFS(Desconto_Cliente_Mes!$Q$2:$Q$433,Desconto_Cliente_Mes!$A$2:$A$433,D$62,Desconto_Cliente_Mes!$B$2:$B$433,$A62,Desconto_Cliente_Mes!$C$2:$C$433,"Umidade"),SUMIFS(Desconto_Cliente_Mes!$R$2:$R$433,Desconto_Cliente_Mes!$A$2:$A$433,D$62,Desconto_Cliente_Mes!$B$2:$B$433,$A62,Desconto_Cliente_Mes!$C$2:$C$433,"Umidade"))))*(SUMIFS(Desconto_Cliente_Mes!$T$2:$T$433,Desconto_Cliente_Mes!$A$2:$A$433,D$62,Desconto_Cliente_Mes!$B$2:$B$433,$A62,Desconto_Cliente_Mes!$C$2:$C$433,"Umidade"))</f>
        <v>0</v>
      </c>
      <c r="E70" s="16" t="n">
        <f aca="false">$E$64*($E$67/100)*((IF(SUMIFS(Desconto_Cliente_Mes!$S$2:$S$433,Desconto_Cliente_Mes!$A$2:$A$433,E$62,Desconto_Cliente_Mes!$B$2:$B$433,$A62,Desconto_Cliente_Mes!$C$2:$C$433,"Umidade")="",(IF(SUMIFS(Desconto_Cliente_Mes!$R$2:$R$433,Desconto_Cliente_Mes!$A$2:$A$433,E$62,Desconto_Cliente_Mes!$B$2:$B$433,$A62,Desconto_Cliente_Mes!$C$2:$C$433,"Umidade")="",SUMIFS(Desconto_Cliente_Mes!$Q$2:$Q$433,Desconto_Cliente_Mes!$A$2:$A$433,E$62,Desconto_Cliente_Mes!$B$2:$B$433,$A62,Desconto_Cliente_Mes!$C$2:$C$433,"Umidade"),SUMIFS(Desconto_Cliente_Mes!$R$2:$R$433,Desconto_Cliente_Mes!$A$2:$A$433,E$62,Desconto_Cliente_Mes!$B$2:$B$433,$A62,Desconto_Cliente_Mes!$C$2:$C$433,"Umidade"))),SUMIFS(Desconto_Cliente_Mes!$S$2:$S$433,Desconto_Cliente_Mes!$A$2:$A$433,E$62,Desconto_Cliente_Mes!$B$2:$B$433,$A62,Desconto_Cliente_Mes!$C$2:$C$433,"Umidade")))-(IF(SUMIFS(Desconto_Cliente_Mes!$R$2:$R$433,Desconto_Cliente_Mes!$A$2:$A$433,E$62,Desconto_Cliente_Mes!$B$2:$B$433,$A62,Desconto_Cliente_Mes!$C$2:$C$433,"Umidade")="",SUMIFS(Desconto_Cliente_Mes!$Q$2:$Q$433,Desconto_Cliente_Mes!$A$2:$A$433,E$62,Desconto_Cliente_Mes!$B$2:$B$433,$A62,Desconto_Cliente_Mes!$C$2:$C$433,"Umidade"),SUMIFS(Desconto_Cliente_Mes!$R$2:$R$433,Desconto_Cliente_Mes!$A$2:$A$433,E$62,Desconto_Cliente_Mes!$B$2:$B$433,$A62,Desconto_Cliente_Mes!$C$2:$C$433,"Umidade"))))*(SUMIFS(Desconto_Cliente_Mes!$T$2:$T$433,Desconto_Cliente_Mes!$A$2:$A$433,E$62,Desconto_Cliente_Mes!$B$2:$B$433,$A62,Desconto_Cliente_Mes!$C$2:$C$433,"Umidade"))</f>
        <v>0</v>
      </c>
      <c r="F70" s="16" t="n">
        <f aca="false">$F$64*($F$67/100)*((IF(SUMIFS(Desconto_Cliente_Mes!$S$2:$S$433,Desconto_Cliente_Mes!$A$2:$A$433,F$62,Desconto_Cliente_Mes!$B$2:$B$433,$A62,Desconto_Cliente_Mes!$C$2:$C$433,"Umidade")="",(IF(SUMIFS(Desconto_Cliente_Mes!$R$2:$R$433,Desconto_Cliente_Mes!$A$2:$A$433,F$62,Desconto_Cliente_Mes!$B$2:$B$433,$A62,Desconto_Cliente_Mes!$C$2:$C$433,"Umidade")="",SUMIFS(Desconto_Cliente_Mes!$Q$2:$Q$433,Desconto_Cliente_Mes!$A$2:$A$433,F$62,Desconto_Cliente_Mes!$B$2:$B$433,$A62,Desconto_Cliente_Mes!$C$2:$C$433,"Umidade"),SUMIFS(Desconto_Cliente_Mes!$R$2:$R$433,Desconto_Cliente_Mes!$A$2:$A$433,F$62,Desconto_Cliente_Mes!$B$2:$B$433,$A62,Desconto_Cliente_Mes!$C$2:$C$433,"Umidade"))),SUMIFS(Desconto_Cliente_Mes!$S$2:$S$433,Desconto_Cliente_Mes!$A$2:$A$433,F$62,Desconto_Cliente_Mes!$B$2:$B$433,$A62,Desconto_Cliente_Mes!$C$2:$C$433,"Umidade")))-(IF(SUMIFS(Desconto_Cliente_Mes!$R$2:$R$433,Desconto_Cliente_Mes!$A$2:$A$433,F$62,Desconto_Cliente_Mes!$B$2:$B$433,$A62,Desconto_Cliente_Mes!$C$2:$C$433,"Umidade")="",SUMIFS(Desconto_Cliente_Mes!$Q$2:$Q$433,Desconto_Cliente_Mes!$A$2:$A$433,F$62,Desconto_Cliente_Mes!$B$2:$B$433,$A62,Desconto_Cliente_Mes!$C$2:$C$433,"Umidade"),SUMIFS(Desconto_Cliente_Mes!$R$2:$R$433,Desconto_Cliente_Mes!$A$2:$A$433,F$62,Desconto_Cliente_Mes!$B$2:$B$433,$A62,Desconto_Cliente_Mes!$C$2:$C$433,"Umidade"))))*(SUMIFS(Desconto_Cliente_Mes!$T$2:$T$433,Desconto_Cliente_Mes!$A$2:$A$433,F$62,Desconto_Cliente_Mes!$B$2:$B$433,$A62,Desconto_Cliente_Mes!$C$2:$C$433,"Umidade"))</f>
        <v>0</v>
      </c>
      <c r="G70" s="16" t="n">
        <f aca="false">$G$64*($G$67/100)*((IF(SUMIFS(Desconto_Cliente_Mes!$S$2:$S$433,Desconto_Cliente_Mes!$A$2:$A$433,G$62,Desconto_Cliente_Mes!$B$2:$B$433,$A62,Desconto_Cliente_Mes!$C$2:$C$433,"Umidade")="",(IF(SUMIFS(Desconto_Cliente_Mes!$R$2:$R$433,Desconto_Cliente_Mes!$A$2:$A$433,G$62,Desconto_Cliente_Mes!$B$2:$B$433,$A62,Desconto_Cliente_Mes!$C$2:$C$433,"Umidade")="",SUMIFS(Desconto_Cliente_Mes!$Q$2:$Q$433,Desconto_Cliente_Mes!$A$2:$A$433,G$62,Desconto_Cliente_Mes!$B$2:$B$433,$A62,Desconto_Cliente_Mes!$C$2:$C$433,"Umidade"),SUMIFS(Desconto_Cliente_Mes!$R$2:$R$433,Desconto_Cliente_Mes!$A$2:$A$433,G$62,Desconto_Cliente_Mes!$B$2:$B$433,$A62,Desconto_Cliente_Mes!$C$2:$C$433,"Umidade"))),SUMIFS(Desconto_Cliente_Mes!$S$2:$S$433,Desconto_Cliente_Mes!$A$2:$A$433,G$62,Desconto_Cliente_Mes!$B$2:$B$433,$A62,Desconto_Cliente_Mes!$C$2:$C$433,"Umidade")))-(IF(SUMIFS(Desconto_Cliente_Mes!$R$2:$R$433,Desconto_Cliente_Mes!$A$2:$A$433,G$62,Desconto_Cliente_Mes!$B$2:$B$433,$A62,Desconto_Cliente_Mes!$C$2:$C$433,"Umidade")="",SUMIFS(Desconto_Cliente_Mes!$Q$2:$Q$433,Desconto_Cliente_Mes!$A$2:$A$433,G$62,Desconto_Cliente_Mes!$B$2:$B$433,$A62,Desconto_Cliente_Mes!$C$2:$C$433,"Umidade"),SUMIFS(Desconto_Cliente_Mes!$R$2:$R$433,Desconto_Cliente_Mes!$A$2:$A$433,G$62,Desconto_Cliente_Mes!$B$2:$B$433,$A62,Desconto_Cliente_Mes!$C$2:$C$433,"Umidade"))))*(SUMIFS(Desconto_Cliente_Mes!$T$2:$T$433,Desconto_Cliente_Mes!$A$2:$A$433,G$62,Desconto_Cliente_Mes!$B$2:$B$433,$A62,Desconto_Cliente_Mes!$C$2:$C$433,"Umidade"))</f>
        <v>0</v>
      </c>
      <c r="H70" s="16" t="n">
        <f aca="false">$H$64*($H$67/100)*((IF(SUMIFS(Desconto_Cliente_Mes!$S$2:$S$433,Desconto_Cliente_Mes!$A$2:$A$433,H$62,Desconto_Cliente_Mes!$B$2:$B$433,$A62,Desconto_Cliente_Mes!$C$2:$C$433,"Umidade")="",(IF(SUMIFS(Desconto_Cliente_Mes!$R$2:$R$433,Desconto_Cliente_Mes!$A$2:$A$433,H$62,Desconto_Cliente_Mes!$B$2:$B$433,$A62,Desconto_Cliente_Mes!$C$2:$C$433,"Umidade")="",SUMIFS(Desconto_Cliente_Mes!$Q$2:$Q$433,Desconto_Cliente_Mes!$A$2:$A$433,H$62,Desconto_Cliente_Mes!$B$2:$B$433,$A62,Desconto_Cliente_Mes!$C$2:$C$433,"Umidade"),SUMIFS(Desconto_Cliente_Mes!$R$2:$R$433,Desconto_Cliente_Mes!$A$2:$A$433,H$62,Desconto_Cliente_Mes!$B$2:$B$433,$A62,Desconto_Cliente_Mes!$C$2:$C$433,"Umidade"))),SUMIFS(Desconto_Cliente_Mes!$S$2:$S$433,Desconto_Cliente_Mes!$A$2:$A$433,H$62,Desconto_Cliente_Mes!$B$2:$B$433,$A62,Desconto_Cliente_Mes!$C$2:$C$433,"Umidade")))-(IF(SUMIFS(Desconto_Cliente_Mes!$R$2:$R$433,Desconto_Cliente_Mes!$A$2:$A$433,H$62,Desconto_Cliente_Mes!$B$2:$B$433,$A62,Desconto_Cliente_Mes!$C$2:$C$433,"Umidade")="",SUMIFS(Desconto_Cliente_Mes!$Q$2:$Q$433,Desconto_Cliente_Mes!$A$2:$A$433,H$62,Desconto_Cliente_Mes!$B$2:$B$433,$A62,Desconto_Cliente_Mes!$C$2:$C$433,"Umidade"),SUMIFS(Desconto_Cliente_Mes!$R$2:$R$433,Desconto_Cliente_Mes!$A$2:$A$433,H$62,Desconto_Cliente_Mes!$B$2:$B$433,$A62,Desconto_Cliente_Mes!$C$2:$C$433,"Umidade"))))*(SUMIFS(Desconto_Cliente_Mes!$T$2:$T$433,Desconto_Cliente_Mes!$A$2:$A$433,H$62,Desconto_Cliente_Mes!$B$2:$B$433,$A62,Desconto_Cliente_Mes!$C$2:$C$433,"Umidade"))</f>
        <v>0</v>
      </c>
      <c r="I70" s="16" t="n">
        <f aca="false">$I$64*($I$67/100)*((IF(SUMIFS(Desconto_Cliente_Mes!$S$2:$S$433,Desconto_Cliente_Mes!$A$2:$A$433,I$62,Desconto_Cliente_Mes!$B$2:$B$433,$A62,Desconto_Cliente_Mes!$C$2:$C$433,"Umidade")="",(IF(SUMIFS(Desconto_Cliente_Mes!$R$2:$R$433,Desconto_Cliente_Mes!$A$2:$A$433,I$62,Desconto_Cliente_Mes!$B$2:$B$433,$A62,Desconto_Cliente_Mes!$C$2:$C$433,"Umidade")="",SUMIFS(Desconto_Cliente_Mes!$Q$2:$Q$433,Desconto_Cliente_Mes!$A$2:$A$433,I$62,Desconto_Cliente_Mes!$B$2:$B$433,$A62,Desconto_Cliente_Mes!$C$2:$C$433,"Umidade"),SUMIFS(Desconto_Cliente_Mes!$R$2:$R$433,Desconto_Cliente_Mes!$A$2:$A$433,I$62,Desconto_Cliente_Mes!$B$2:$B$433,$A62,Desconto_Cliente_Mes!$C$2:$C$433,"Umidade"))),SUMIFS(Desconto_Cliente_Mes!$S$2:$S$433,Desconto_Cliente_Mes!$A$2:$A$433,I$62,Desconto_Cliente_Mes!$B$2:$B$433,$A62,Desconto_Cliente_Mes!$C$2:$C$433,"Umidade")))-(IF(SUMIFS(Desconto_Cliente_Mes!$R$2:$R$433,Desconto_Cliente_Mes!$A$2:$A$433,I$62,Desconto_Cliente_Mes!$B$2:$B$433,$A62,Desconto_Cliente_Mes!$C$2:$C$433,"Umidade")="",SUMIFS(Desconto_Cliente_Mes!$Q$2:$Q$433,Desconto_Cliente_Mes!$A$2:$A$433,I$62,Desconto_Cliente_Mes!$B$2:$B$433,$A62,Desconto_Cliente_Mes!$C$2:$C$433,"Umidade"),SUMIFS(Desconto_Cliente_Mes!$R$2:$R$433,Desconto_Cliente_Mes!$A$2:$A$433,I$62,Desconto_Cliente_Mes!$B$2:$B$433,$A62,Desconto_Cliente_Mes!$C$2:$C$433,"Umidade"))))*(SUMIFS(Desconto_Cliente_Mes!$T$2:$T$433,Desconto_Cliente_Mes!$A$2:$A$433,I$62,Desconto_Cliente_Mes!$B$2:$B$433,$A62,Desconto_Cliente_Mes!$C$2:$C$433,"Umidade"))</f>
        <v>0</v>
      </c>
      <c r="J70" s="16" t="n">
        <f aca="false">$J$64*($J$67/100)*((IF(SUMIFS(Desconto_Cliente_Mes!$S$2:$S$433,Desconto_Cliente_Mes!$A$2:$A$433,J$62,Desconto_Cliente_Mes!$B$2:$B$433,$A62,Desconto_Cliente_Mes!$C$2:$C$433,"Umidade")="",(IF(SUMIFS(Desconto_Cliente_Mes!$R$2:$R$433,Desconto_Cliente_Mes!$A$2:$A$433,J$62,Desconto_Cliente_Mes!$B$2:$B$433,$A62,Desconto_Cliente_Mes!$C$2:$C$433,"Umidade")="",SUMIFS(Desconto_Cliente_Mes!$Q$2:$Q$433,Desconto_Cliente_Mes!$A$2:$A$433,J$62,Desconto_Cliente_Mes!$B$2:$B$433,$A62,Desconto_Cliente_Mes!$C$2:$C$433,"Umidade"),SUMIFS(Desconto_Cliente_Mes!$R$2:$R$433,Desconto_Cliente_Mes!$A$2:$A$433,J$62,Desconto_Cliente_Mes!$B$2:$B$433,$A62,Desconto_Cliente_Mes!$C$2:$C$433,"Umidade"))),SUMIFS(Desconto_Cliente_Mes!$S$2:$S$433,Desconto_Cliente_Mes!$A$2:$A$433,J$62,Desconto_Cliente_Mes!$B$2:$B$433,$A62,Desconto_Cliente_Mes!$C$2:$C$433,"Umidade")))-(IF(SUMIFS(Desconto_Cliente_Mes!$R$2:$R$433,Desconto_Cliente_Mes!$A$2:$A$433,J$62,Desconto_Cliente_Mes!$B$2:$B$433,$A62,Desconto_Cliente_Mes!$C$2:$C$433,"Umidade")="",SUMIFS(Desconto_Cliente_Mes!$Q$2:$Q$433,Desconto_Cliente_Mes!$A$2:$A$433,J$62,Desconto_Cliente_Mes!$B$2:$B$433,$A62,Desconto_Cliente_Mes!$C$2:$C$433,"Umidade"),SUMIFS(Desconto_Cliente_Mes!$R$2:$R$433,Desconto_Cliente_Mes!$A$2:$A$433,J$62,Desconto_Cliente_Mes!$B$2:$B$433,$A62,Desconto_Cliente_Mes!$C$2:$C$433,"Umidade"))))*(SUMIFS(Desconto_Cliente_Mes!$T$2:$T$433,Desconto_Cliente_Mes!$A$2:$A$433,J$62,Desconto_Cliente_Mes!$B$2:$B$433,$A62,Desconto_Cliente_Mes!$C$2:$C$433,"Umidade"))</f>
        <v>0</v>
      </c>
      <c r="K70" s="16" t="n">
        <f aca="false">$K$64*($K$67/100)*((IF(SUMIFS(Desconto_Cliente_Mes!$S$2:$S$433,Desconto_Cliente_Mes!$A$2:$A$433,K$62,Desconto_Cliente_Mes!$B$2:$B$433,$A62,Desconto_Cliente_Mes!$C$2:$C$433,"Umidade")="",(IF(SUMIFS(Desconto_Cliente_Mes!$R$2:$R$433,Desconto_Cliente_Mes!$A$2:$A$433,K$62,Desconto_Cliente_Mes!$B$2:$B$433,$A62,Desconto_Cliente_Mes!$C$2:$C$433,"Umidade")="",SUMIFS(Desconto_Cliente_Mes!$Q$2:$Q$433,Desconto_Cliente_Mes!$A$2:$A$433,K$62,Desconto_Cliente_Mes!$B$2:$B$433,$A62,Desconto_Cliente_Mes!$C$2:$C$433,"Umidade"),SUMIFS(Desconto_Cliente_Mes!$R$2:$R$433,Desconto_Cliente_Mes!$A$2:$A$433,K$62,Desconto_Cliente_Mes!$B$2:$B$433,$A62,Desconto_Cliente_Mes!$C$2:$C$433,"Umidade"))),SUMIFS(Desconto_Cliente_Mes!$S$2:$S$433,Desconto_Cliente_Mes!$A$2:$A$433,K$62,Desconto_Cliente_Mes!$B$2:$B$433,$A62,Desconto_Cliente_Mes!$C$2:$C$433,"Umidade")))-(IF(SUMIFS(Desconto_Cliente_Mes!$R$2:$R$433,Desconto_Cliente_Mes!$A$2:$A$433,K$62,Desconto_Cliente_Mes!$B$2:$B$433,$A62,Desconto_Cliente_Mes!$C$2:$C$433,"Umidade")="",SUMIFS(Desconto_Cliente_Mes!$Q$2:$Q$433,Desconto_Cliente_Mes!$A$2:$A$433,K$62,Desconto_Cliente_Mes!$B$2:$B$433,$A62,Desconto_Cliente_Mes!$C$2:$C$433,"Umidade"),SUMIFS(Desconto_Cliente_Mes!$R$2:$R$433,Desconto_Cliente_Mes!$A$2:$A$433,K$62,Desconto_Cliente_Mes!$B$2:$B$433,$A62,Desconto_Cliente_Mes!$C$2:$C$433,"Umidade"))))*(SUMIFS(Desconto_Cliente_Mes!$T$2:$T$433,Desconto_Cliente_Mes!$A$2:$A$433,K$62,Desconto_Cliente_Mes!$B$2:$B$433,$A62,Desconto_Cliente_Mes!$C$2:$C$433,"Umidade"))</f>
        <v>0</v>
      </c>
      <c r="L70" s="16" t="n">
        <f aca="false">$L$64*($L$67/100)*((IF(SUMIFS(Desconto_Cliente_Mes!$S$2:$S$433,Desconto_Cliente_Mes!$A$2:$A$433,L$62,Desconto_Cliente_Mes!$B$2:$B$433,$A62,Desconto_Cliente_Mes!$C$2:$C$433,"Umidade")="",(IF(SUMIFS(Desconto_Cliente_Mes!$R$2:$R$433,Desconto_Cliente_Mes!$A$2:$A$433,L$62,Desconto_Cliente_Mes!$B$2:$B$433,$A62,Desconto_Cliente_Mes!$C$2:$C$433,"Umidade")="",SUMIFS(Desconto_Cliente_Mes!$Q$2:$Q$433,Desconto_Cliente_Mes!$A$2:$A$433,L$62,Desconto_Cliente_Mes!$B$2:$B$433,$A62,Desconto_Cliente_Mes!$C$2:$C$433,"Umidade"),SUMIFS(Desconto_Cliente_Mes!$R$2:$R$433,Desconto_Cliente_Mes!$A$2:$A$433,L$62,Desconto_Cliente_Mes!$B$2:$B$433,$A62,Desconto_Cliente_Mes!$C$2:$C$433,"Umidade"))),SUMIFS(Desconto_Cliente_Mes!$S$2:$S$433,Desconto_Cliente_Mes!$A$2:$A$433,L$62,Desconto_Cliente_Mes!$B$2:$B$433,$A62,Desconto_Cliente_Mes!$C$2:$C$433,"Umidade")))-(IF(SUMIFS(Desconto_Cliente_Mes!$R$2:$R$433,Desconto_Cliente_Mes!$A$2:$A$433,L$62,Desconto_Cliente_Mes!$B$2:$B$433,$A62,Desconto_Cliente_Mes!$C$2:$C$433,"Umidade")="",SUMIFS(Desconto_Cliente_Mes!$Q$2:$Q$433,Desconto_Cliente_Mes!$A$2:$A$433,L$62,Desconto_Cliente_Mes!$B$2:$B$433,$A62,Desconto_Cliente_Mes!$C$2:$C$433,"Umidade"),SUMIFS(Desconto_Cliente_Mes!$R$2:$R$433,Desconto_Cliente_Mes!$A$2:$A$433,L$62,Desconto_Cliente_Mes!$B$2:$B$433,$A62,Desconto_Cliente_Mes!$C$2:$C$433,"Umidade"))))*(SUMIFS(Desconto_Cliente_Mes!$T$2:$T$433,Desconto_Cliente_Mes!$A$2:$A$433,L$62,Desconto_Cliente_Mes!$B$2:$B$433,$A62,Desconto_Cliente_Mes!$C$2:$C$433,"Umidade"))</f>
        <v>0</v>
      </c>
      <c r="M70" s="16" t="n">
        <f aca="false">$M$64*($M$67/100)*((IF(SUMIFS(Desconto_Cliente_Mes!$S$2:$S$433,Desconto_Cliente_Mes!$A$2:$A$433,M$62,Desconto_Cliente_Mes!$B$2:$B$433,$A62,Desconto_Cliente_Mes!$C$2:$C$433,"Umidade")="",(IF(SUMIFS(Desconto_Cliente_Mes!$R$2:$R$433,Desconto_Cliente_Mes!$A$2:$A$433,M$62,Desconto_Cliente_Mes!$B$2:$B$433,$A62,Desconto_Cliente_Mes!$C$2:$C$433,"Umidade")="",SUMIFS(Desconto_Cliente_Mes!$Q$2:$Q$433,Desconto_Cliente_Mes!$A$2:$A$433,M$62,Desconto_Cliente_Mes!$B$2:$B$433,$A62,Desconto_Cliente_Mes!$C$2:$C$433,"Umidade"),SUMIFS(Desconto_Cliente_Mes!$R$2:$R$433,Desconto_Cliente_Mes!$A$2:$A$433,M$62,Desconto_Cliente_Mes!$B$2:$B$433,$A62,Desconto_Cliente_Mes!$C$2:$C$433,"Umidade"))),SUMIFS(Desconto_Cliente_Mes!$S$2:$S$433,Desconto_Cliente_Mes!$A$2:$A$433,M$62,Desconto_Cliente_Mes!$B$2:$B$433,$A62,Desconto_Cliente_Mes!$C$2:$C$433,"Umidade")))-(IF(SUMIFS(Desconto_Cliente_Mes!$R$2:$R$433,Desconto_Cliente_Mes!$A$2:$A$433,M$62,Desconto_Cliente_Mes!$B$2:$B$433,$A62,Desconto_Cliente_Mes!$C$2:$C$433,"Umidade")="",SUMIFS(Desconto_Cliente_Mes!$Q$2:$Q$433,Desconto_Cliente_Mes!$A$2:$A$433,M$62,Desconto_Cliente_Mes!$B$2:$B$433,$A62,Desconto_Cliente_Mes!$C$2:$C$433,"Umidade"),SUMIFS(Desconto_Cliente_Mes!$R$2:$R$433,Desconto_Cliente_Mes!$A$2:$A$433,M$62,Desconto_Cliente_Mes!$B$2:$B$433,$A62,Desconto_Cliente_Mes!$C$2:$C$433,"Umidade"))))*(SUMIFS(Desconto_Cliente_Mes!$T$2:$T$433,Desconto_Cliente_Mes!$A$2:$A$433,M$62,Desconto_Cliente_Mes!$B$2:$B$433,$A62,Desconto_Cliente_Mes!$C$2:$C$433,"Umidade"))</f>
        <v>0</v>
      </c>
      <c r="N70" s="17" t="n">
        <f aca="false">SUM(B70:M70)</f>
        <v>0</v>
      </c>
    </row>
    <row r="71" customFormat="false" ht="15" hidden="false" customHeight="false" outlineLevel="0" collapsed="false">
      <c r="A71" s="13" t="s">
        <v>82</v>
      </c>
      <c r="B71" s="16" t="n">
        <f aca="false">SUMIFS(Acerto_Detalhado!$J$2:$J$433,Acerto_Detalhado!$A$2:$A$433,B$62,Acerto_Detalhado!$B$2:$B$433,$A62,Acerto_Detalhado!$C$2:$C$433,"Umidade")</f>
        <v>26244.6606390894</v>
      </c>
      <c r="C71" s="16" t="n">
        <f aca="false">SUMIFS(Acerto_Detalhado!$J$2:$J$433,Acerto_Detalhado!$A$2:$A$433,C$62,Acerto_Detalhado!$B$2:$B$433,$A62,Acerto_Detalhado!$C$2:$C$433,"Umidade")</f>
        <v>28571.5137360175</v>
      </c>
      <c r="D71" s="16" t="n">
        <f aca="false">SUMIFS(Acerto_Detalhado!$J$2:$J$433,Acerto_Detalhado!$A$2:$A$433,D$62,Acerto_Detalhado!$B$2:$B$433,$A62,Acerto_Detalhado!$C$2:$C$433,"Umidade")</f>
        <v>0</v>
      </c>
      <c r="E71" s="16" t="n">
        <f aca="false">SUMIFS(Acerto_Detalhado!$J$2:$J$433,Acerto_Detalhado!$A$2:$A$433,E$62,Acerto_Detalhado!$B$2:$B$433,$A62,Acerto_Detalhado!$C$2:$C$433,"Umidade")</f>
        <v>0</v>
      </c>
      <c r="F71" s="16" t="n">
        <f aca="false">SUMIFS(Acerto_Detalhado!$J$2:$J$433,Acerto_Detalhado!$A$2:$A$433,F$62,Acerto_Detalhado!$B$2:$B$433,$A62,Acerto_Detalhado!$C$2:$C$433,"Umidade")</f>
        <v>60127.8008777787</v>
      </c>
      <c r="G71" s="16" t="n">
        <f aca="false">SUMIFS(Acerto_Detalhado!$J$2:$J$433,Acerto_Detalhado!$A$2:$A$433,G$62,Acerto_Detalhado!$B$2:$B$433,$A62,Acerto_Detalhado!$C$2:$C$433,"Umidade")</f>
        <v>32704.6918672023</v>
      </c>
      <c r="H71" s="16" t="n">
        <f aca="false">SUMIFS(Acerto_Detalhado!$J$2:$J$433,Acerto_Detalhado!$A$2:$A$433,H$62,Acerto_Detalhado!$B$2:$B$433,$A62,Acerto_Detalhado!$C$2:$C$433,"Umidade")</f>
        <v>0</v>
      </c>
      <c r="I71" s="16" t="n">
        <f aca="false">SUMIFS(Acerto_Detalhado!$J$2:$J$433,Acerto_Detalhado!$A$2:$A$433,I$62,Acerto_Detalhado!$B$2:$B$433,$A62,Acerto_Detalhado!$C$2:$C$433,"Umidade")</f>
        <v>0</v>
      </c>
      <c r="J71" s="16" t="n">
        <f aca="false">SUMIFS(Acerto_Detalhado!$J$2:$J$433,Acerto_Detalhado!$A$2:$A$433,J$62,Acerto_Detalhado!$B$2:$B$433,$A62,Acerto_Detalhado!$C$2:$C$433,"Umidade")</f>
        <v>0</v>
      </c>
      <c r="K71" s="16" t="n">
        <f aca="false">SUMIFS(Acerto_Detalhado!$J$2:$J$433,Acerto_Detalhado!$A$2:$A$433,K$62,Acerto_Detalhado!$B$2:$B$433,$A62,Acerto_Detalhado!$C$2:$C$433,"Umidade")</f>
        <v>0</v>
      </c>
      <c r="L71" s="16" t="n">
        <f aca="false">SUMIFS(Acerto_Detalhado!$J$2:$J$433,Acerto_Detalhado!$A$2:$A$433,L$62,Acerto_Detalhado!$B$2:$B$433,$A62,Acerto_Detalhado!$C$2:$C$433,"Umidade")</f>
        <v>0</v>
      </c>
      <c r="M71" s="16" t="n">
        <f aca="false">SUMIFS(Acerto_Detalhado!$J$2:$J$433,Acerto_Detalhado!$A$2:$A$433,M$62,Acerto_Detalhado!$B$2:$B$433,$A62,Acerto_Detalhado!$C$2:$C$433,"Umidade")</f>
        <v>0</v>
      </c>
      <c r="N71" s="17" t="n">
        <f aca="false">SUM(B71:M71)</f>
        <v>147648.667120088</v>
      </c>
    </row>
    <row r="73" customFormat="false" ht="15" hidden="false" customHeight="false" outlineLevel="0" collapsed="false">
      <c r="A73" s="5" t="s">
        <v>64</v>
      </c>
      <c r="B73" s="6" t="s">
        <v>39</v>
      </c>
      <c r="C73" s="6" t="s">
        <v>40</v>
      </c>
      <c r="D73" s="6" t="s">
        <v>41</v>
      </c>
      <c r="E73" s="6" t="s">
        <v>42</v>
      </c>
      <c r="F73" s="6" t="s">
        <v>43</v>
      </c>
      <c r="G73" s="6" t="s">
        <v>44</v>
      </c>
      <c r="H73" s="6" t="s">
        <v>45</v>
      </c>
      <c r="I73" s="6" t="s">
        <v>46</v>
      </c>
      <c r="J73" s="6" t="s">
        <v>47</v>
      </c>
      <c r="K73" s="6" t="s">
        <v>48</v>
      </c>
      <c r="L73" s="6" t="s">
        <v>49</v>
      </c>
      <c r="M73" s="6" t="s">
        <v>50</v>
      </c>
      <c r="N73" s="6" t="s">
        <v>51</v>
      </c>
    </row>
    <row r="74" customFormat="false" ht="15" hidden="false" customHeight="false" outlineLevel="0" collapsed="false">
      <c r="A74" s="13" t="s">
        <v>74</v>
      </c>
      <c r="B74" s="10" t="n">
        <f aca="false">IF((SUMIFS(Desconto_Cliente_Mes!$D$2:$D$433,Desconto_Cliente_Mes!$A$2:$A$433,B$73,Desconto_Cliente_Mes!$B$2:$B$433,$A73,Desconto_Cliente_Mes!$C$2:$C$433,"Umidade"))=0,"",IFERROR(SUMIFS(Desconto_Cliente_Mes!$E$2:$E$433,Desconto_Cliente_Mes!$A$2:$A$433,B$73,Desconto_Cliente_Mes!$B$2:$B$433,$A73,Desconto_Cliente_Mes!$C$2:$C$433,"Umidade"),""))</f>
        <v>12.3186585465174</v>
      </c>
      <c r="C74" s="10" t="n">
        <f aca="false">IF((SUMIFS(Desconto_Cliente_Mes!$D$2:$D$433,Desconto_Cliente_Mes!$A$2:$A$433,C$73,Desconto_Cliente_Mes!$B$2:$B$433,$A73,Desconto_Cliente_Mes!$C$2:$C$433,"Umidade"))=0,"",IFERROR(SUMIFS(Desconto_Cliente_Mes!$E$2:$E$433,Desconto_Cliente_Mes!$A$2:$A$433,C$73,Desconto_Cliente_Mes!$B$2:$B$433,$A73,Desconto_Cliente_Mes!$C$2:$C$433,"Umidade"),""))</f>
        <v>12.0272818844583</v>
      </c>
      <c r="D74" s="10" t="n">
        <f aca="false">IF((SUMIFS(Desconto_Cliente_Mes!$D$2:$D$433,Desconto_Cliente_Mes!$A$2:$A$433,D$73,Desconto_Cliente_Mes!$B$2:$B$433,$A73,Desconto_Cliente_Mes!$C$2:$C$433,"Umidade"))=0,"",IFERROR(SUMIFS(Desconto_Cliente_Mes!$E$2:$E$433,Desconto_Cliente_Mes!$A$2:$A$433,D$73,Desconto_Cliente_Mes!$B$2:$B$433,$A73,Desconto_Cliente_Mes!$C$2:$C$433,"Umidade"),""))</f>
        <v>12.7900274938618</v>
      </c>
      <c r="E74" s="10" t="n">
        <f aca="false">IF((SUMIFS(Desconto_Cliente_Mes!$D$2:$D$433,Desconto_Cliente_Mes!$A$2:$A$433,E$73,Desconto_Cliente_Mes!$B$2:$B$433,$A73,Desconto_Cliente_Mes!$C$2:$C$433,"Umidade"))=0,"",IFERROR(SUMIFS(Desconto_Cliente_Mes!$E$2:$E$433,Desconto_Cliente_Mes!$A$2:$A$433,E$73,Desconto_Cliente_Mes!$B$2:$B$433,$A73,Desconto_Cliente_Mes!$C$2:$C$433,"Umidade"),""))</f>
        <v>12.7232038057244</v>
      </c>
      <c r="F74" s="10" t="n">
        <f aca="false">IF((SUMIFS(Desconto_Cliente_Mes!$D$2:$D$433,Desconto_Cliente_Mes!$A$2:$A$433,F$73,Desconto_Cliente_Mes!$B$2:$B$433,$A73,Desconto_Cliente_Mes!$C$2:$C$433,"Umidade"))=0,"",IFERROR(SUMIFS(Desconto_Cliente_Mes!$E$2:$E$433,Desconto_Cliente_Mes!$A$2:$A$433,F$73,Desconto_Cliente_Mes!$B$2:$B$433,$A73,Desconto_Cliente_Mes!$C$2:$C$433,"Umidade"),""))</f>
        <v>12.3047121293669</v>
      </c>
      <c r="G74" s="10" t="n">
        <f aca="false">IF((SUMIFS(Desconto_Cliente_Mes!$D$2:$D$433,Desconto_Cliente_Mes!$A$2:$A$433,G$73,Desconto_Cliente_Mes!$B$2:$B$433,$A73,Desconto_Cliente_Mes!$C$2:$C$433,"Umidade"))=0,"",IFERROR(SUMIFS(Desconto_Cliente_Mes!$E$2:$E$433,Desconto_Cliente_Mes!$A$2:$A$433,G$73,Desconto_Cliente_Mes!$B$2:$B$433,$A73,Desconto_Cliente_Mes!$C$2:$C$433,"Umidade"),""))</f>
        <v>12.239923759045</v>
      </c>
      <c r="H74" s="10" t="n">
        <f aca="false">IF((SUMIFS(Desconto_Cliente_Mes!$D$2:$D$433,Desconto_Cliente_Mes!$A$2:$A$433,H$73,Desconto_Cliente_Mes!$B$2:$B$433,$A73,Desconto_Cliente_Mes!$C$2:$C$433,"Umidade"))=0,"",IFERROR(SUMIFS(Desconto_Cliente_Mes!$E$2:$E$433,Desconto_Cliente_Mes!$A$2:$A$433,H$73,Desconto_Cliente_Mes!$B$2:$B$433,$A73,Desconto_Cliente_Mes!$C$2:$C$433,"Umidade"),""))</f>
        <v>12.3413029354634</v>
      </c>
      <c r="I74" s="10" t="str">
        <f aca="false">IF((SUMIFS(Desconto_Cliente_Mes!$D$2:$D$433,Desconto_Cliente_Mes!$A$2:$A$433,I$73,Desconto_Cliente_Mes!$B$2:$B$433,$A73,Desconto_Cliente_Mes!$C$2:$C$433,"Umidade"))=0,"",IFERROR(SUMIFS(Desconto_Cliente_Mes!$E$2:$E$433,Desconto_Cliente_Mes!$A$2:$A$433,I$73,Desconto_Cliente_Mes!$B$2:$B$433,$A73,Desconto_Cliente_Mes!$C$2:$C$433,"Umidade"),""))</f>
        <v/>
      </c>
      <c r="J74" s="10" t="str">
        <f aca="false">IF((SUMIFS(Desconto_Cliente_Mes!$D$2:$D$433,Desconto_Cliente_Mes!$A$2:$A$433,J$73,Desconto_Cliente_Mes!$B$2:$B$433,$A73,Desconto_Cliente_Mes!$C$2:$C$433,"Umidade"))=0,"",IFERROR(SUMIFS(Desconto_Cliente_Mes!$E$2:$E$433,Desconto_Cliente_Mes!$A$2:$A$433,J$73,Desconto_Cliente_Mes!$B$2:$B$433,$A73,Desconto_Cliente_Mes!$C$2:$C$433,"Umidade"),""))</f>
        <v/>
      </c>
      <c r="K74" s="10" t="n">
        <f aca="false">IF((SUMIFS(Desconto_Cliente_Mes!$D$2:$D$433,Desconto_Cliente_Mes!$A$2:$A$433,K$73,Desconto_Cliente_Mes!$B$2:$B$433,$A73,Desconto_Cliente_Mes!$C$2:$C$433,"Umidade"))=0,"",IFERROR(SUMIFS(Desconto_Cliente_Mes!$E$2:$E$433,Desconto_Cliente_Mes!$A$2:$A$433,K$73,Desconto_Cliente_Mes!$B$2:$B$433,$A73,Desconto_Cliente_Mes!$C$2:$C$433,"Umidade"),""))</f>
        <v>11.2093864245785</v>
      </c>
      <c r="L74" s="10" t="str">
        <f aca="false">IF((SUMIFS(Desconto_Cliente_Mes!$D$2:$D$433,Desconto_Cliente_Mes!$A$2:$A$433,L$73,Desconto_Cliente_Mes!$B$2:$B$433,$A73,Desconto_Cliente_Mes!$C$2:$C$433,"Umidade"))=0,"",IFERROR(SUMIFS(Desconto_Cliente_Mes!$E$2:$E$433,Desconto_Cliente_Mes!$A$2:$A$433,L$73,Desconto_Cliente_Mes!$B$2:$B$433,$A73,Desconto_Cliente_Mes!$C$2:$C$433,"Umidade"),""))</f>
        <v/>
      </c>
      <c r="M74" s="10" t="str">
        <f aca="false">IF((SUMIFS(Desconto_Cliente_Mes!$D$2:$D$433,Desconto_Cliente_Mes!$A$2:$A$433,M$73,Desconto_Cliente_Mes!$B$2:$B$433,$A73,Desconto_Cliente_Mes!$C$2:$C$433,"Umidade"))=0,"",IFERROR(SUMIFS(Desconto_Cliente_Mes!$E$2:$E$433,Desconto_Cliente_Mes!$A$2:$A$433,M$73,Desconto_Cliente_Mes!$B$2:$B$433,$A73,Desconto_Cliente_Mes!$C$2:$C$433,"Umidade"),""))</f>
        <v/>
      </c>
      <c r="N74" s="11" t="n">
        <f aca="false">IFERROR(Media_Pool_Mes!D8,"")</f>
        <v>12.2356489048309</v>
      </c>
    </row>
    <row r="75" customFormat="false" ht="15" hidden="false" customHeight="false" outlineLevel="0" collapsed="false">
      <c r="A75" s="13" t="s">
        <v>75</v>
      </c>
      <c r="B75" s="8" t="n">
        <f aca="false">IFERROR(SUMIFS(Desconto_Cliente_Mes!$D$2:$D$433,Desconto_Cliente_Mes!$A$2:$A$433,B$73,Desconto_Cliente_Mes!$B$2:$B$433,$A73,Desconto_Cliente_Mes!$C$2:$C$433,"Umidade"),0)</f>
        <v>46167.46</v>
      </c>
      <c r="C75" s="8" t="n">
        <f aca="false">IFERROR(SUMIFS(Desconto_Cliente_Mes!$D$2:$D$433,Desconto_Cliente_Mes!$A$2:$A$433,C$73,Desconto_Cliente_Mes!$B$2:$B$433,$A73,Desconto_Cliente_Mes!$C$2:$C$433,"Umidade"),0)</f>
        <v>44244.44</v>
      </c>
      <c r="D75" s="8" t="n">
        <f aca="false">IFERROR(SUMIFS(Desconto_Cliente_Mes!$D$2:$D$433,Desconto_Cliente_Mes!$A$2:$A$433,D$73,Desconto_Cliente_Mes!$B$2:$B$433,$A73,Desconto_Cliente_Mes!$C$2:$C$433,"Umidade"),0)</f>
        <v>78263.287</v>
      </c>
      <c r="E75" s="8" t="n">
        <f aca="false">IFERROR(SUMIFS(Desconto_Cliente_Mes!$D$2:$D$433,Desconto_Cliente_Mes!$A$2:$A$433,E$73,Desconto_Cliente_Mes!$B$2:$B$433,$A73,Desconto_Cliente_Mes!$C$2:$C$433,"Umidade"),0)</f>
        <v>5705.09</v>
      </c>
      <c r="F75" s="8" t="n">
        <f aca="false">IFERROR(SUMIFS(Desconto_Cliente_Mes!$D$2:$D$433,Desconto_Cliente_Mes!$A$2:$A$433,F$73,Desconto_Cliente_Mes!$B$2:$B$433,$A73,Desconto_Cliente_Mes!$C$2:$C$433,"Umidade"),0)</f>
        <v>72870.58</v>
      </c>
      <c r="G75" s="8" t="n">
        <f aca="false">IFERROR(SUMIFS(Desconto_Cliente_Mes!$D$2:$D$433,Desconto_Cliente_Mes!$A$2:$A$433,G$73,Desconto_Cliente_Mes!$B$2:$B$433,$A73,Desconto_Cliente_Mes!$C$2:$C$433,"Umidade"),0)</f>
        <v>49521.94</v>
      </c>
      <c r="H75" s="8" t="n">
        <f aca="false">IFERROR(SUMIFS(Desconto_Cliente_Mes!$D$2:$D$433,Desconto_Cliente_Mes!$A$2:$A$433,H$73,Desconto_Cliente_Mes!$B$2:$B$433,$A73,Desconto_Cliente_Mes!$C$2:$C$433,"Umidade"),0)</f>
        <v>99472.54</v>
      </c>
      <c r="I75" s="8" t="n">
        <f aca="false">IFERROR(SUMIFS(Desconto_Cliente_Mes!$D$2:$D$433,Desconto_Cliente_Mes!$A$2:$A$433,I$73,Desconto_Cliente_Mes!$B$2:$B$433,$A73,Desconto_Cliente_Mes!$C$2:$C$433,"Umidade"),0)</f>
        <v>0</v>
      </c>
      <c r="J75" s="8" t="n">
        <f aca="false">IFERROR(SUMIFS(Desconto_Cliente_Mes!$D$2:$D$433,Desconto_Cliente_Mes!$A$2:$A$433,J$73,Desconto_Cliente_Mes!$B$2:$B$433,$A73,Desconto_Cliente_Mes!$C$2:$C$433,"Umidade"),0)</f>
        <v>0</v>
      </c>
      <c r="K75" s="8" t="n">
        <f aca="false">IFERROR(SUMIFS(Desconto_Cliente_Mes!$D$2:$D$433,Desconto_Cliente_Mes!$A$2:$A$433,K$73,Desconto_Cliente_Mes!$B$2:$B$433,$A73,Desconto_Cliente_Mes!$C$2:$C$433,"Umidade"),0)</f>
        <v>55089.56</v>
      </c>
      <c r="L75" s="8" t="n">
        <f aca="false">IFERROR(SUMIFS(Desconto_Cliente_Mes!$D$2:$D$433,Desconto_Cliente_Mes!$A$2:$A$433,L$73,Desconto_Cliente_Mes!$B$2:$B$433,$A73,Desconto_Cliente_Mes!$C$2:$C$433,"Umidade"),0)</f>
        <v>0</v>
      </c>
      <c r="M75" s="8" t="n">
        <f aca="false">IFERROR(SUMIFS(Desconto_Cliente_Mes!$D$2:$D$433,Desconto_Cliente_Mes!$A$2:$A$433,M$73,Desconto_Cliente_Mes!$B$2:$B$433,$A73,Desconto_Cliente_Mes!$C$2:$C$433,"Umidade"),0)</f>
        <v>0</v>
      </c>
      <c r="N75" s="9" t="n">
        <f aca="false">SUM(B75:M75)</f>
        <v>451334.897</v>
      </c>
    </row>
    <row r="76" customFormat="false" ht="15" hidden="false" customHeight="false" outlineLevel="0" collapsed="false">
      <c r="A76" s="13" t="s">
        <v>76</v>
      </c>
      <c r="B76" s="15" t="n">
        <f aca="false">MAX(0,(SUMIFS(Desconto_Cliente_Mes!$L$2:$L$433,Desconto_Cliente_Mes!$A$2:$A$433,B$73,Desconto_Cliente_Mes!$B$2:$B$433,$A73,Desconto_Cliente_Mes!$C$2:$C$433,"Umidade"))-(SUMIFS(Desconto_Cliente_Mes!$N$2:$N$433,Desconto_Cliente_Mes!$A$2:$A$433,B$73,Desconto_Cliente_Mes!$B$2:$B$433,$A73,Desconto_Cliente_Mes!$C$2:$C$433,"Umidade")))</f>
        <v>0</v>
      </c>
      <c r="C76" s="15" t="n">
        <f aca="false">MAX(0,(SUMIFS(Desconto_Cliente_Mes!$L$2:$L$433,Desconto_Cliente_Mes!$A$2:$A$433,C$73,Desconto_Cliente_Mes!$B$2:$B$433,$A73,Desconto_Cliente_Mes!$C$2:$C$433,"Umidade"))-(SUMIFS(Desconto_Cliente_Mes!$N$2:$N$433,Desconto_Cliente_Mes!$A$2:$A$433,C$73,Desconto_Cliente_Mes!$B$2:$B$433,$A73,Desconto_Cliente_Mes!$C$2:$C$433,"Umidade")))</f>
        <v>0</v>
      </c>
      <c r="D76" s="15" t="n">
        <f aca="false">MAX(0,(SUMIFS(Desconto_Cliente_Mes!$L$2:$L$433,Desconto_Cliente_Mes!$A$2:$A$433,D$73,Desconto_Cliente_Mes!$B$2:$B$433,$A73,Desconto_Cliente_Mes!$C$2:$C$433,"Umidade"))-(SUMIFS(Desconto_Cliente_Mes!$N$2:$N$433,Desconto_Cliente_Mes!$A$2:$A$433,D$73,Desconto_Cliente_Mes!$B$2:$B$433,$A73,Desconto_Cliente_Mes!$C$2:$C$433,"Umidade")))</f>
        <v>0.290027493861841</v>
      </c>
      <c r="E76" s="15" t="n">
        <f aca="false">MAX(0,(SUMIFS(Desconto_Cliente_Mes!$L$2:$L$433,Desconto_Cliente_Mes!$A$2:$A$433,E$73,Desconto_Cliente_Mes!$B$2:$B$433,$A73,Desconto_Cliente_Mes!$C$2:$C$433,"Umidade"))-(SUMIFS(Desconto_Cliente_Mes!$N$2:$N$433,Desconto_Cliente_Mes!$A$2:$A$433,E$73,Desconto_Cliente_Mes!$B$2:$B$433,$A73,Desconto_Cliente_Mes!$C$2:$C$433,"Umidade")))</f>
        <v>0.223203805724364</v>
      </c>
      <c r="F76" s="15" t="n">
        <f aca="false">MAX(0,(SUMIFS(Desconto_Cliente_Mes!$L$2:$L$433,Desconto_Cliente_Mes!$A$2:$A$433,F$73,Desconto_Cliente_Mes!$B$2:$B$433,$A73,Desconto_Cliente_Mes!$C$2:$C$433,"Umidade"))-(SUMIFS(Desconto_Cliente_Mes!$N$2:$N$433,Desconto_Cliente_Mes!$A$2:$A$433,F$73,Desconto_Cliente_Mes!$B$2:$B$433,$A73,Desconto_Cliente_Mes!$C$2:$C$433,"Umidade")))</f>
        <v>0</v>
      </c>
      <c r="G76" s="15" t="n">
        <f aca="false">MAX(0,(SUMIFS(Desconto_Cliente_Mes!$L$2:$L$433,Desconto_Cliente_Mes!$A$2:$A$433,G$73,Desconto_Cliente_Mes!$B$2:$B$433,$A73,Desconto_Cliente_Mes!$C$2:$C$433,"Umidade"))-(SUMIFS(Desconto_Cliente_Mes!$N$2:$N$433,Desconto_Cliente_Mes!$A$2:$A$433,G$73,Desconto_Cliente_Mes!$B$2:$B$433,$A73,Desconto_Cliente_Mes!$C$2:$C$433,"Umidade")))</f>
        <v>0</v>
      </c>
      <c r="H76" s="15" t="n">
        <f aca="false">MAX(0,(SUMIFS(Desconto_Cliente_Mes!$L$2:$L$433,Desconto_Cliente_Mes!$A$2:$A$433,H$73,Desconto_Cliente_Mes!$B$2:$B$433,$A73,Desconto_Cliente_Mes!$C$2:$C$433,"Umidade"))-(SUMIFS(Desconto_Cliente_Mes!$N$2:$N$433,Desconto_Cliente_Mes!$A$2:$A$433,H$73,Desconto_Cliente_Mes!$B$2:$B$433,$A73,Desconto_Cliente_Mes!$C$2:$C$433,"Umidade")))</f>
        <v>0</v>
      </c>
      <c r="I76" s="15" t="n">
        <f aca="false">MAX(0,(SUMIFS(Desconto_Cliente_Mes!$L$2:$L$433,Desconto_Cliente_Mes!$A$2:$A$433,I$73,Desconto_Cliente_Mes!$B$2:$B$433,$A73,Desconto_Cliente_Mes!$C$2:$C$433,"Umidade"))-(SUMIFS(Desconto_Cliente_Mes!$N$2:$N$433,Desconto_Cliente_Mes!$A$2:$A$433,I$73,Desconto_Cliente_Mes!$B$2:$B$433,$A73,Desconto_Cliente_Mes!$C$2:$C$433,"Umidade")))</f>
        <v>0</v>
      </c>
      <c r="J76" s="15" t="n">
        <f aca="false">MAX(0,(SUMIFS(Desconto_Cliente_Mes!$L$2:$L$433,Desconto_Cliente_Mes!$A$2:$A$433,J$73,Desconto_Cliente_Mes!$B$2:$B$433,$A73,Desconto_Cliente_Mes!$C$2:$C$433,"Umidade"))-(SUMIFS(Desconto_Cliente_Mes!$N$2:$N$433,Desconto_Cliente_Mes!$A$2:$A$433,J$73,Desconto_Cliente_Mes!$B$2:$B$433,$A73,Desconto_Cliente_Mes!$C$2:$C$433,"Umidade")))</f>
        <v>0</v>
      </c>
      <c r="K76" s="15" t="n">
        <f aca="false">MAX(0,(SUMIFS(Desconto_Cliente_Mes!$L$2:$L$433,Desconto_Cliente_Mes!$A$2:$A$433,K$73,Desconto_Cliente_Mes!$B$2:$B$433,$A73,Desconto_Cliente_Mes!$C$2:$C$433,"Umidade"))-(SUMIFS(Desconto_Cliente_Mes!$N$2:$N$433,Desconto_Cliente_Mes!$A$2:$A$433,K$73,Desconto_Cliente_Mes!$B$2:$B$433,$A73,Desconto_Cliente_Mes!$C$2:$C$433,"Umidade")))</f>
        <v>0</v>
      </c>
      <c r="L76" s="15" t="n">
        <f aca="false">MAX(0,(SUMIFS(Desconto_Cliente_Mes!$L$2:$L$433,Desconto_Cliente_Mes!$A$2:$A$433,L$73,Desconto_Cliente_Mes!$B$2:$B$433,$A73,Desconto_Cliente_Mes!$C$2:$C$433,"Umidade"))-(SUMIFS(Desconto_Cliente_Mes!$N$2:$N$433,Desconto_Cliente_Mes!$A$2:$A$433,L$73,Desconto_Cliente_Mes!$B$2:$B$433,$A73,Desconto_Cliente_Mes!$C$2:$C$433,"Umidade")))</f>
        <v>0</v>
      </c>
      <c r="M76" s="15" t="n">
        <f aca="false">MAX(0,(SUMIFS(Desconto_Cliente_Mes!$L$2:$L$433,Desconto_Cliente_Mes!$A$2:$A$433,M$73,Desconto_Cliente_Mes!$B$2:$B$433,$A73,Desconto_Cliente_Mes!$C$2:$C$433,"Umidade"))-(SUMIFS(Desconto_Cliente_Mes!$N$2:$N$433,Desconto_Cliente_Mes!$A$2:$A$433,M$73,Desconto_Cliente_Mes!$B$2:$B$433,$A73,Desconto_Cliente_Mes!$C$2:$C$433,"Umidade")))</f>
        <v>0</v>
      </c>
    </row>
    <row r="77" customFormat="false" ht="15" hidden="false" customHeight="false" outlineLevel="0" collapsed="false">
      <c r="A77" s="13" t="s">
        <v>77</v>
      </c>
      <c r="B77" s="15" t="n">
        <f aca="false">MAX(0,(SUMIFS(Desconto_Cliente_Mes!$N$2:$N$433,Desconto_Cliente_Mes!$A$2:$A$433,B$73,Desconto_Cliente_Mes!$B$2:$B$433,$A73,Desconto_Cliente_Mes!$C$2:$C$433,"Umidade"))-(SUMIFS(Desconto_Cliente_Mes!$P$2:$P$433,Desconto_Cliente_Mes!$A$2:$A$433,B$73,Desconto_Cliente_Mes!$B$2:$B$433,$A73,Desconto_Cliente_Mes!$C$2:$C$433,"Umidade")))</f>
        <v>0</v>
      </c>
      <c r="C77" s="15" t="n">
        <f aca="false">MAX(0,(SUMIFS(Desconto_Cliente_Mes!$N$2:$N$433,Desconto_Cliente_Mes!$A$2:$A$433,C$73,Desconto_Cliente_Mes!$B$2:$B$433,$A73,Desconto_Cliente_Mes!$C$2:$C$433,"Umidade"))-(SUMIFS(Desconto_Cliente_Mes!$P$2:$P$433,Desconto_Cliente_Mes!$A$2:$A$433,C$73,Desconto_Cliente_Mes!$B$2:$B$433,$A73,Desconto_Cliente_Mes!$C$2:$C$433,"Umidade")))</f>
        <v>0</v>
      </c>
      <c r="D77" s="15" t="n">
        <f aca="false">MAX(0,(SUMIFS(Desconto_Cliente_Mes!$N$2:$N$433,Desconto_Cliente_Mes!$A$2:$A$433,D$73,Desconto_Cliente_Mes!$B$2:$B$433,$A73,Desconto_Cliente_Mes!$C$2:$C$433,"Umidade"))-(SUMIFS(Desconto_Cliente_Mes!$P$2:$P$433,Desconto_Cliente_Mes!$A$2:$A$433,D$73,Desconto_Cliente_Mes!$B$2:$B$433,$A73,Desconto_Cliente_Mes!$C$2:$C$433,"Umidade")))</f>
        <v>0</v>
      </c>
      <c r="E77" s="15" t="n">
        <f aca="false">MAX(0,(SUMIFS(Desconto_Cliente_Mes!$N$2:$N$433,Desconto_Cliente_Mes!$A$2:$A$433,E$73,Desconto_Cliente_Mes!$B$2:$B$433,$A73,Desconto_Cliente_Mes!$C$2:$C$433,"Umidade"))-(SUMIFS(Desconto_Cliente_Mes!$P$2:$P$433,Desconto_Cliente_Mes!$A$2:$A$433,E$73,Desconto_Cliente_Mes!$B$2:$B$433,$A73,Desconto_Cliente_Mes!$C$2:$C$433,"Umidade")))</f>
        <v>0</v>
      </c>
      <c r="F77" s="15" t="n">
        <f aca="false">MAX(0,(SUMIFS(Desconto_Cliente_Mes!$N$2:$N$433,Desconto_Cliente_Mes!$A$2:$A$433,F$73,Desconto_Cliente_Mes!$B$2:$B$433,$A73,Desconto_Cliente_Mes!$C$2:$C$433,"Umidade"))-(SUMIFS(Desconto_Cliente_Mes!$P$2:$P$433,Desconto_Cliente_Mes!$A$2:$A$433,F$73,Desconto_Cliente_Mes!$B$2:$B$433,$A73,Desconto_Cliente_Mes!$C$2:$C$433,"Umidade")))</f>
        <v>0</v>
      </c>
      <c r="G77" s="15" t="n">
        <f aca="false">MAX(0,(SUMIFS(Desconto_Cliente_Mes!$N$2:$N$433,Desconto_Cliente_Mes!$A$2:$A$433,G$73,Desconto_Cliente_Mes!$B$2:$B$433,$A73,Desconto_Cliente_Mes!$C$2:$C$433,"Umidade"))-(SUMIFS(Desconto_Cliente_Mes!$P$2:$P$433,Desconto_Cliente_Mes!$A$2:$A$433,G$73,Desconto_Cliente_Mes!$B$2:$B$433,$A73,Desconto_Cliente_Mes!$C$2:$C$433,"Umidade")))</f>
        <v>0</v>
      </c>
      <c r="H77" s="15" t="n">
        <f aca="false">MAX(0,(SUMIFS(Desconto_Cliente_Mes!$N$2:$N$433,Desconto_Cliente_Mes!$A$2:$A$433,H$73,Desconto_Cliente_Mes!$B$2:$B$433,$A73,Desconto_Cliente_Mes!$C$2:$C$433,"Umidade"))-(SUMIFS(Desconto_Cliente_Mes!$P$2:$P$433,Desconto_Cliente_Mes!$A$2:$A$433,H$73,Desconto_Cliente_Mes!$B$2:$B$433,$A73,Desconto_Cliente_Mes!$C$2:$C$433,"Umidade")))</f>
        <v>0</v>
      </c>
      <c r="I77" s="15" t="n">
        <f aca="false">MAX(0,(SUMIFS(Desconto_Cliente_Mes!$N$2:$N$433,Desconto_Cliente_Mes!$A$2:$A$433,I$73,Desconto_Cliente_Mes!$B$2:$B$433,$A73,Desconto_Cliente_Mes!$C$2:$C$433,"Umidade"))-(SUMIFS(Desconto_Cliente_Mes!$P$2:$P$433,Desconto_Cliente_Mes!$A$2:$A$433,I$73,Desconto_Cliente_Mes!$B$2:$B$433,$A73,Desconto_Cliente_Mes!$C$2:$C$433,"Umidade")))</f>
        <v>0</v>
      </c>
      <c r="J77" s="15" t="n">
        <f aca="false">MAX(0,(SUMIFS(Desconto_Cliente_Mes!$N$2:$N$433,Desconto_Cliente_Mes!$A$2:$A$433,J$73,Desconto_Cliente_Mes!$B$2:$B$433,$A73,Desconto_Cliente_Mes!$C$2:$C$433,"Umidade"))-(SUMIFS(Desconto_Cliente_Mes!$P$2:$P$433,Desconto_Cliente_Mes!$A$2:$A$433,J$73,Desconto_Cliente_Mes!$B$2:$B$433,$A73,Desconto_Cliente_Mes!$C$2:$C$433,"Umidade")))</f>
        <v>0</v>
      </c>
      <c r="K77" s="15" t="n">
        <f aca="false">MAX(0,(SUMIFS(Desconto_Cliente_Mes!$N$2:$N$433,Desconto_Cliente_Mes!$A$2:$A$433,K$73,Desconto_Cliente_Mes!$B$2:$B$433,$A73,Desconto_Cliente_Mes!$C$2:$C$433,"Umidade"))-(SUMIFS(Desconto_Cliente_Mes!$P$2:$P$433,Desconto_Cliente_Mes!$A$2:$A$433,K$73,Desconto_Cliente_Mes!$B$2:$B$433,$A73,Desconto_Cliente_Mes!$C$2:$C$433,"Umidade")))</f>
        <v>0</v>
      </c>
      <c r="L77" s="15" t="n">
        <f aca="false">MAX(0,(SUMIFS(Desconto_Cliente_Mes!$N$2:$N$433,Desconto_Cliente_Mes!$A$2:$A$433,L$73,Desconto_Cliente_Mes!$B$2:$B$433,$A73,Desconto_Cliente_Mes!$C$2:$C$433,"Umidade"))-(SUMIFS(Desconto_Cliente_Mes!$P$2:$P$433,Desconto_Cliente_Mes!$A$2:$A$433,L$73,Desconto_Cliente_Mes!$B$2:$B$433,$A73,Desconto_Cliente_Mes!$C$2:$C$433,"Umidade")))</f>
        <v>0</v>
      </c>
      <c r="M77" s="15" t="n">
        <f aca="false">MAX(0,(SUMIFS(Desconto_Cliente_Mes!$N$2:$N$433,Desconto_Cliente_Mes!$A$2:$A$433,M$73,Desconto_Cliente_Mes!$B$2:$B$433,$A73,Desconto_Cliente_Mes!$C$2:$C$433,"Umidade"))-(SUMIFS(Desconto_Cliente_Mes!$P$2:$P$433,Desconto_Cliente_Mes!$A$2:$A$433,M$73,Desconto_Cliente_Mes!$B$2:$B$433,$A73,Desconto_Cliente_Mes!$C$2:$C$433,"Umidade")))</f>
        <v>0</v>
      </c>
    </row>
    <row r="78" customFormat="false" ht="15" hidden="false" customHeight="false" outlineLevel="0" collapsed="false">
      <c r="A78" s="13" t="s">
        <v>78</v>
      </c>
      <c r="B78" s="15" t="n">
        <f aca="false">MAX(0,SUMIFS(Desconto_Cliente_Mes!$P$2:$P$433,Desconto_Cliente_Mes!$A$2:$A$433,B$73,Desconto_Cliente_Mes!$B$2:$B$433,$A73,Desconto_Cliente_Mes!$C$2:$C$433,"Umidade"))</f>
        <v>0</v>
      </c>
      <c r="C78" s="15" t="n">
        <f aca="false">MAX(0,SUMIFS(Desconto_Cliente_Mes!$P$2:$P$433,Desconto_Cliente_Mes!$A$2:$A$433,C$73,Desconto_Cliente_Mes!$B$2:$B$433,$A73,Desconto_Cliente_Mes!$C$2:$C$433,"Umidade"))</f>
        <v>0</v>
      </c>
      <c r="D78" s="15" t="n">
        <f aca="false">MAX(0,SUMIFS(Desconto_Cliente_Mes!$P$2:$P$433,Desconto_Cliente_Mes!$A$2:$A$433,D$73,Desconto_Cliente_Mes!$B$2:$B$433,$A73,Desconto_Cliente_Mes!$C$2:$C$433,"Umidade"))</f>
        <v>0</v>
      </c>
      <c r="E78" s="15" t="n">
        <f aca="false">MAX(0,SUMIFS(Desconto_Cliente_Mes!$P$2:$P$433,Desconto_Cliente_Mes!$A$2:$A$433,E$73,Desconto_Cliente_Mes!$B$2:$B$433,$A73,Desconto_Cliente_Mes!$C$2:$C$433,"Umidade"))</f>
        <v>0</v>
      </c>
      <c r="F78" s="15" t="n">
        <f aca="false">MAX(0,SUMIFS(Desconto_Cliente_Mes!$P$2:$P$433,Desconto_Cliente_Mes!$A$2:$A$433,F$73,Desconto_Cliente_Mes!$B$2:$B$433,$A73,Desconto_Cliente_Mes!$C$2:$C$433,"Umidade"))</f>
        <v>0</v>
      </c>
      <c r="G78" s="15" t="n">
        <f aca="false">MAX(0,SUMIFS(Desconto_Cliente_Mes!$P$2:$P$433,Desconto_Cliente_Mes!$A$2:$A$433,G$73,Desconto_Cliente_Mes!$B$2:$B$433,$A73,Desconto_Cliente_Mes!$C$2:$C$433,"Umidade"))</f>
        <v>0</v>
      </c>
      <c r="H78" s="15" t="n">
        <f aca="false">MAX(0,SUMIFS(Desconto_Cliente_Mes!$P$2:$P$433,Desconto_Cliente_Mes!$A$2:$A$433,H$73,Desconto_Cliente_Mes!$B$2:$B$433,$A73,Desconto_Cliente_Mes!$C$2:$C$433,"Umidade"))</f>
        <v>0</v>
      </c>
      <c r="I78" s="15" t="n">
        <f aca="false">MAX(0,SUMIFS(Desconto_Cliente_Mes!$P$2:$P$433,Desconto_Cliente_Mes!$A$2:$A$433,I$73,Desconto_Cliente_Mes!$B$2:$B$433,$A73,Desconto_Cliente_Mes!$C$2:$C$433,"Umidade"))</f>
        <v>0</v>
      </c>
      <c r="J78" s="15" t="n">
        <f aca="false">MAX(0,SUMIFS(Desconto_Cliente_Mes!$P$2:$P$433,Desconto_Cliente_Mes!$A$2:$A$433,J$73,Desconto_Cliente_Mes!$B$2:$B$433,$A73,Desconto_Cliente_Mes!$C$2:$C$433,"Umidade"))</f>
        <v>0</v>
      </c>
      <c r="K78" s="15" t="n">
        <f aca="false">MAX(0,SUMIFS(Desconto_Cliente_Mes!$P$2:$P$433,Desconto_Cliente_Mes!$A$2:$A$433,K$73,Desconto_Cliente_Mes!$B$2:$B$433,$A73,Desconto_Cliente_Mes!$C$2:$C$433,"Umidade"))</f>
        <v>0</v>
      </c>
      <c r="L78" s="15" t="n">
        <f aca="false">MAX(0,SUMIFS(Desconto_Cliente_Mes!$P$2:$P$433,Desconto_Cliente_Mes!$A$2:$A$433,L$73,Desconto_Cliente_Mes!$B$2:$B$433,$A73,Desconto_Cliente_Mes!$C$2:$C$433,"Umidade"))</f>
        <v>0</v>
      </c>
      <c r="M78" s="15" t="n">
        <f aca="false">MAX(0,SUMIFS(Desconto_Cliente_Mes!$P$2:$P$433,Desconto_Cliente_Mes!$A$2:$A$433,M$73,Desconto_Cliente_Mes!$B$2:$B$433,$A73,Desconto_Cliente_Mes!$C$2:$C$433,"Umidade"))</f>
        <v>0</v>
      </c>
    </row>
    <row r="79" customFormat="false" ht="15" hidden="false" customHeight="false" outlineLevel="0" collapsed="false">
      <c r="A79" s="13" t="s">
        <v>79</v>
      </c>
      <c r="B79" s="16" t="n">
        <f aca="false">$B$75*($B$76/100)*(SUMIFS(Desconto_Cliente_Mes!$Q$2:$Q$433,Desconto_Cliente_Mes!$A$2:$A$433,B$73,Desconto_Cliente_Mes!$B$2:$B$433,$A73,Desconto_Cliente_Mes!$C$2:$C$433,"Umidade"))*(SUMIFS(Desconto_Cliente_Mes!$T$2:$T$433,Desconto_Cliente_Mes!$A$2:$A$433,B$73,Desconto_Cliente_Mes!$B$2:$B$433,$A73,Desconto_Cliente_Mes!$C$2:$C$433,"Umidade"))</f>
        <v>0</v>
      </c>
      <c r="C79" s="16" t="n">
        <f aca="false">$C$75*($C$76/100)*(SUMIFS(Desconto_Cliente_Mes!$Q$2:$Q$433,Desconto_Cliente_Mes!$A$2:$A$433,C$73,Desconto_Cliente_Mes!$B$2:$B$433,$A73,Desconto_Cliente_Mes!$C$2:$C$433,"Umidade"))*(SUMIFS(Desconto_Cliente_Mes!$T$2:$T$433,Desconto_Cliente_Mes!$A$2:$A$433,C$73,Desconto_Cliente_Mes!$B$2:$B$433,$A73,Desconto_Cliente_Mes!$C$2:$C$433,"Umidade"))</f>
        <v>0</v>
      </c>
      <c r="D79" s="16" t="n">
        <f aca="false">$D$75*($D$76/100)*(SUMIFS(Desconto_Cliente_Mes!$Q$2:$Q$433,Desconto_Cliente_Mes!$A$2:$A$433,D$73,Desconto_Cliente_Mes!$B$2:$B$433,$A73,Desconto_Cliente_Mes!$C$2:$C$433,"Umidade"))*(SUMIFS(Desconto_Cliente_Mes!$T$2:$T$433,Desconto_Cliente_Mes!$A$2:$A$433,D$73,Desconto_Cliente_Mes!$B$2:$B$433,$A73,Desconto_Cliente_Mes!$C$2:$C$433,"Umidade"))</f>
        <v>73997.1262673999</v>
      </c>
      <c r="E79" s="16" t="n">
        <f aca="false">$E$75*($E$76/100)*(SUMIFS(Desconto_Cliente_Mes!$Q$2:$Q$433,Desconto_Cliente_Mes!$A$2:$A$433,E$73,Desconto_Cliente_Mes!$B$2:$B$433,$A73,Desconto_Cliente_Mes!$C$2:$C$433,"Umidade"))*(SUMIFS(Desconto_Cliente_Mes!$T$2:$T$433,Desconto_Cliente_Mes!$A$2:$A$433,E$73,Desconto_Cliente_Mes!$B$2:$B$433,$A73,Desconto_Cliente_Mes!$C$2:$C$433,"Umidade"))</f>
        <v>4151.27682800003</v>
      </c>
      <c r="F79" s="16" t="n">
        <f aca="false">$F$75*($F$76/100)*(SUMIFS(Desconto_Cliente_Mes!$Q$2:$Q$433,Desconto_Cliente_Mes!$A$2:$A$433,F$73,Desconto_Cliente_Mes!$B$2:$B$433,$A73,Desconto_Cliente_Mes!$C$2:$C$433,"Umidade"))*(SUMIFS(Desconto_Cliente_Mes!$T$2:$T$433,Desconto_Cliente_Mes!$A$2:$A$433,F$73,Desconto_Cliente_Mes!$B$2:$B$433,$A73,Desconto_Cliente_Mes!$C$2:$C$433,"Umidade"))</f>
        <v>0</v>
      </c>
      <c r="G79" s="16" t="n">
        <f aca="false">$G$75*($G$76/100)*(SUMIFS(Desconto_Cliente_Mes!$Q$2:$Q$433,Desconto_Cliente_Mes!$A$2:$A$433,G$73,Desconto_Cliente_Mes!$B$2:$B$433,$A73,Desconto_Cliente_Mes!$C$2:$C$433,"Umidade"))*(SUMIFS(Desconto_Cliente_Mes!$T$2:$T$433,Desconto_Cliente_Mes!$A$2:$A$433,G$73,Desconto_Cliente_Mes!$B$2:$B$433,$A73,Desconto_Cliente_Mes!$C$2:$C$433,"Umidade"))</f>
        <v>0</v>
      </c>
      <c r="H79" s="16" t="n">
        <f aca="false">$H$75*($H$76/100)*(SUMIFS(Desconto_Cliente_Mes!$Q$2:$Q$433,Desconto_Cliente_Mes!$A$2:$A$433,H$73,Desconto_Cliente_Mes!$B$2:$B$433,$A73,Desconto_Cliente_Mes!$C$2:$C$433,"Umidade"))*(SUMIFS(Desconto_Cliente_Mes!$T$2:$T$433,Desconto_Cliente_Mes!$A$2:$A$433,H$73,Desconto_Cliente_Mes!$B$2:$B$433,$A73,Desconto_Cliente_Mes!$C$2:$C$433,"Umidade"))</f>
        <v>0</v>
      </c>
      <c r="I79" s="16" t="n">
        <f aca="false">$I$75*($I$76/100)*(SUMIFS(Desconto_Cliente_Mes!$Q$2:$Q$433,Desconto_Cliente_Mes!$A$2:$A$433,I$73,Desconto_Cliente_Mes!$B$2:$B$433,$A73,Desconto_Cliente_Mes!$C$2:$C$433,"Umidade"))*(SUMIFS(Desconto_Cliente_Mes!$T$2:$T$433,Desconto_Cliente_Mes!$A$2:$A$433,I$73,Desconto_Cliente_Mes!$B$2:$B$433,$A73,Desconto_Cliente_Mes!$C$2:$C$433,"Umidade"))</f>
        <v>0</v>
      </c>
      <c r="J79" s="16" t="n">
        <f aca="false">$J$75*($J$76/100)*(SUMIFS(Desconto_Cliente_Mes!$Q$2:$Q$433,Desconto_Cliente_Mes!$A$2:$A$433,J$73,Desconto_Cliente_Mes!$B$2:$B$433,$A73,Desconto_Cliente_Mes!$C$2:$C$433,"Umidade"))*(SUMIFS(Desconto_Cliente_Mes!$T$2:$T$433,Desconto_Cliente_Mes!$A$2:$A$433,J$73,Desconto_Cliente_Mes!$B$2:$B$433,$A73,Desconto_Cliente_Mes!$C$2:$C$433,"Umidade"))</f>
        <v>0</v>
      </c>
      <c r="K79" s="16" t="n">
        <f aca="false">$K$75*($K$76/100)*(SUMIFS(Desconto_Cliente_Mes!$Q$2:$Q$433,Desconto_Cliente_Mes!$A$2:$A$433,K$73,Desconto_Cliente_Mes!$B$2:$B$433,$A73,Desconto_Cliente_Mes!$C$2:$C$433,"Umidade"))*(SUMIFS(Desconto_Cliente_Mes!$T$2:$T$433,Desconto_Cliente_Mes!$A$2:$A$433,K$73,Desconto_Cliente_Mes!$B$2:$B$433,$A73,Desconto_Cliente_Mes!$C$2:$C$433,"Umidade"))</f>
        <v>0</v>
      </c>
      <c r="L79" s="16" t="n">
        <f aca="false">$L$75*($L$76/100)*(SUMIFS(Desconto_Cliente_Mes!$Q$2:$Q$433,Desconto_Cliente_Mes!$A$2:$A$433,L$73,Desconto_Cliente_Mes!$B$2:$B$433,$A73,Desconto_Cliente_Mes!$C$2:$C$433,"Umidade"))*(SUMIFS(Desconto_Cliente_Mes!$T$2:$T$433,Desconto_Cliente_Mes!$A$2:$A$433,L$73,Desconto_Cliente_Mes!$B$2:$B$433,$A73,Desconto_Cliente_Mes!$C$2:$C$433,"Umidade"))</f>
        <v>0</v>
      </c>
      <c r="M79" s="16" t="n">
        <f aca="false">$M$75*($M$76/100)*(SUMIFS(Desconto_Cliente_Mes!$Q$2:$Q$433,Desconto_Cliente_Mes!$A$2:$A$433,M$73,Desconto_Cliente_Mes!$B$2:$B$433,$A73,Desconto_Cliente_Mes!$C$2:$C$433,"Umidade"))*(SUMIFS(Desconto_Cliente_Mes!$T$2:$T$433,Desconto_Cliente_Mes!$A$2:$A$433,M$73,Desconto_Cliente_Mes!$B$2:$B$433,$A73,Desconto_Cliente_Mes!$C$2:$C$433,"Umidade"))</f>
        <v>0</v>
      </c>
      <c r="N79" s="17" t="n">
        <f aca="false">SUM(B79:M79)</f>
        <v>78148.4030953999</v>
      </c>
    </row>
    <row r="80" customFormat="false" ht="15" hidden="false" customHeight="false" outlineLevel="0" collapsed="false">
      <c r="A80" s="13" t="s">
        <v>80</v>
      </c>
      <c r="B80" s="16" t="n">
        <f aca="false">$B$75*($B$77/100)*((IF(SUMIFS(Desconto_Cliente_Mes!$R$2:$R$433,Desconto_Cliente_Mes!$A$2:$A$433,B$73,Desconto_Cliente_Mes!$B$2:$B$433,$A73,Desconto_Cliente_Mes!$C$2:$C$433,"Umidade")="",SUMIFS(Desconto_Cliente_Mes!$Q$2:$Q$433,Desconto_Cliente_Mes!$A$2:$A$433,B$73,Desconto_Cliente_Mes!$B$2:$B$433,$A73,Desconto_Cliente_Mes!$C$2:$C$433,"Umidade"),SUMIFS(Desconto_Cliente_Mes!$R$2:$R$433,Desconto_Cliente_Mes!$A$2:$A$433,B$73,Desconto_Cliente_Mes!$B$2:$B$433,$A73,Desconto_Cliente_Mes!$C$2:$C$433,"Umidade")))-(SUMIFS(Desconto_Cliente_Mes!$Q$2:$Q$433,Desconto_Cliente_Mes!$A$2:$A$433,B$73,Desconto_Cliente_Mes!$B$2:$B$433,$A73,Desconto_Cliente_Mes!$C$2:$C$433,"Umidade")))*(SUMIFS(Desconto_Cliente_Mes!$T$2:$T$433,Desconto_Cliente_Mes!$A$2:$A$433,B$73,Desconto_Cliente_Mes!$B$2:$B$433,$A73,Desconto_Cliente_Mes!$C$2:$C$433,"Umidade"))</f>
        <v>-0</v>
      </c>
      <c r="C80" s="16" t="n">
        <f aca="false">$C$75*($C$77/100)*((IF(SUMIFS(Desconto_Cliente_Mes!$R$2:$R$433,Desconto_Cliente_Mes!$A$2:$A$433,C$73,Desconto_Cliente_Mes!$B$2:$B$433,$A73,Desconto_Cliente_Mes!$C$2:$C$433,"Umidade")="",SUMIFS(Desconto_Cliente_Mes!$Q$2:$Q$433,Desconto_Cliente_Mes!$A$2:$A$433,C$73,Desconto_Cliente_Mes!$B$2:$B$433,$A73,Desconto_Cliente_Mes!$C$2:$C$433,"Umidade"),SUMIFS(Desconto_Cliente_Mes!$R$2:$R$433,Desconto_Cliente_Mes!$A$2:$A$433,C$73,Desconto_Cliente_Mes!$B$2:$B$433,$A73,Desconto_Cliente_Mes!$C$2:$C$433,"Umidade")))-(SUMIFS(Desconto_Cliente_Mes!$Q$2:$Q$433,Desconto_Cliente_Mes!$A$2:$A$433,C$73,Desconto_Cliente_Mes!$B$2:$B$433,$A73,Desconto_Cliente_Mes!$C$2:$C$433,"Umidade")))*(SUMIFS(Desconto_Cliente_Mes!$T$2:$T$433,Desconto_Cliente_Mes!$A$2:$A$433,C$73,Desconto_Cliente_Mes!$B$2:$B$433,$A73,Desconto_Cliente_Mes!$C$2:$C$433,"Umidade"))</f>
        <v>-0</v>
      </c>
      <c r="D80" s="16" t="n">
        <f aca="false">$D$75*($D$77/100)*((IF(SUMIFS(Desconto_Cliente_Mes!$R$2:$R$433,Desconto_Cliente_Mes!$A$2:$A$433,D$73,Desconto_Cliente_Mes!$B$2:$B$433,$A73,Desconto_Cliente_Mes!$C$2:$C$433,"Umidade")="",SUMIFS(Desconto_Cliente_Mes!$Q$2:$Q$433,Desconto_Cliente_Mes!$A$2:$A$433,D$73,Desconto_Cliente_Mes!$B$2:$B$433,$A73,Desconto_Cliente_Mes!$C$2:$C$433,"Umidade"),SUMIFS(Desconto_Cliente_Mes!$R$2:$R$433,Desconto_Cliente_Mes!$A$2:$A$433,D$73,Desconto_Cliente_Mes!$B$2:$B$433,$A73,Desconto_Cliente_Mes!$C$2:$C$433,"Umidade")))-(SUMIFS(Desconto_Cliente_Mes!$Q$2:$Q$433,Desconto_Cliente_Mes!$A$2:$A$433,D$73,Desconto_Cliente_Mes!$B$2:$B$433,$A73,Desconto_Cliente_Mes!$C$2:$C$433,"Umidade")))*(SUMIFS(Desconto_Cliente_Mes!$T$2:$T$433,Desconto_Cliente_Mes!$A$2:$A$433,D$73,Desconto_Cliente_Mes!$B$2:$B$433,$A73,Desconto_Cliente_Mes!$C$2:$C$433,"Umidade"))</f>
        <v>-0</v>
      </c>
      <c r="E80" s="16" t="n">
        <f aca="false">$E$75*($E$77/100)*((IF(SUMIFS(Desconto_Cliente_Mes!$R$2:$R$433,Desconto_Cliente_Mes!$A$2:$A$433,E$73,Desconto_Cliente_Mes!$B$2:$B$433,$A73,Desconto_Cliente_Mes!$C$2:$C$433,"Umidade")="",SUMIFS(Desconto_Cliente_Mes!$Q$2:$Q$433,Desconto_Cliente_Mes!$A$2:$A$433,E$73,Desconto_Cliente_Mes!$B$2:$B$433,$A73,Desconto_Cliente_Mes!$C$2:$C$433,"Umidade"),SUMIFS(Desconto_Cliente_Mes!$R$2:$R$433,Desconto_Cliente_Mes!$A$2:$A$433,E$73,Desconto_Cliente_Mes!$B$2:$B$433,$A73,Desconto_Cliente_Mes!$C$2:$C$433,"Umidade")))-(SUMIFS(Desconto_Cliente_Mes!$Q$2:$Q$433,Desconto_Cliente_Mes!$A$2:$A$433,E$73,Desconto_Cliente_Mes!$B$2:$B$433,$A73,Desconto_Cliente_Mes!$C$2:$C$433,"Umidade")))*(SUMIFS(Desconto_Cliente_Mes!$T$2:$T$433,Desconto_Cliente_Mes!$A$2:$A$433,E$73,Desconto_Cliente_Mes!$B$2:$B$433,$A73,Desconto_Cliente_Mes!$C$2:$C$433,"Umidade"))</f>
        <v>-0</v>
      </c>
      <c r="F80" s="16" t="n">
        <f aca="false">$F$75*($F$77/100)*((IF(SUMIFS(Desconto_Cliente_Mes!$R$2:$R$433,Desconto_Cliente_Mes!$A$2:$A$433,F$73,Desconto_Cliente_Mes!$B$2:$B$433,$A73,Desconto_Cliente_Mes!$C$2:$C$433,"Umidade")="",SUMIFS(Desconto_Cliente_Mes!$Q$2:$Q$433,Desconto_Cliente_Mes!$A$2:$A$433,F$73,Desconto_Cliente_Mes!$B$2:$B$433,$A73,Desconto_Cliente_Mes!$C$2:$C$433,"Umidade"),SUMIFS(Desconto_Cliente_Mes!$R$2:$R$433,Desconto_Cliente_Mes!$A$2:$A$433,F$73,Desconto_Cliente_Mes!$B$2:$B$433,$A73,Desconto_Cliente_Mes!$C$2:$C$433,"Umidade")))-(SUMIFS(Desconto_Cliente_Mes!$Q$2:$Q$433,Desconto_Cliente_Mes!$A$2:$A$433,F$73,Desconto_Cliente_Mes!$B$2:$B$433,$A73,Desconto_Cliente_Mes!$C$2:$C$433,"Umidade")))*(SUMIFS(Desconto_Cliente_Mes!$T$2:$T$433,Desconto_Cliente_Mes!$A$2:$A$433,F$73,Desconto_Cliente_Mes!$B$2:$B$433,$A73,Desconto_Cliente_Mes!$C$2:$C$433,"Umidade"))</f>
        <v>-0</v>
      </c>
      <c r="G80" s="16" t="n">
        <f aca="false">$G$75*($G$77/100)*((IF(SUMIFS(Desconto_Cliente_Mes!$R$2:$R$433,Desconto_Cliente_Mes!$A$2:$A$433,G$73,Desconto_Cliente_Mes!$B$2:$B$433,$A73,Desconto_Cliente_Mes!$C$2:$C$433,"Umidade")="",SUMIFS(Desconto_Cliente_Mes!$Q$2:$Q$433,Desconto_Cliente_Mes!$A$2:$A$433,G$73,Desconto_Cliente_Mes!$B$2:$B$433,$A73,Desconto_Cliente_Mes!$C$2:$C$433,"Umidade"),SUMIFS(Desconto_Cliente_Mes!$R$2:$R$433,Desconto_Cliente_Mes!$A$2:$A$433,G$73,Desconto_Cliente_Mes!$B$2:$B$433,$A73,Desconto_Cliente_Mes!$C$2:$C$433,"Umidade")))-(SUMIFS(Desconto_Cliente_Mes!$Q$2:$Q$433,Desconto_Cliente_Mes!$A$2:$A$433,G$73,Desconto_Cliente_Mes!$B$2:$B$433,$A73,Desconto_Cliente_Mes!$C$2:$C$433,"Umidade")))*(SUMIFS(Desconto_Cliente_Mes!$T$2:$T$433,Desconto_Cliente_Mes!$A$2:$A$433,G$73,Desconto_Cliente_Mes!$B$2:$B$433,$A73,Desconto_Cliente_Mes!$C$2:$C$433,"Umidade"))</f>
        <v>-0</v>
      </c>
      <c r="H80" s="16" t="n">
        <f aca="false">$H$75*($H$77/100)*((IF(SUMIFS(Desconto_Cliente_Mes!$R$2:$R$433,Desconto_Cliente_Mes!$A$2:$A$433,H$73,Desconto_Cliente_Mes!$B$2:$B$433,$A73,Desconto_Cliente_Mes!$C$2:$C$433,"Umidade")="",SUMIFS(Desconto_Cliente_Mes!$Q$2:$Q$433,Desconto_Cliente_Mes!$A$2:$A$433,H$73,Desconto_Cliente_Mes!$B$2:$B$433,$A73,Desconto_Cliente_Mes!$C$2:$C$433,"Umidade"),SUMIFS(Desconto_Cliente_Mes!$R$2:$R$433,Desconto_Cliente_Mes!$A$2:$A$433,H$73,Desconto_Cliente_Mes!$B$2:$B$433,$A73,Desconto_Cliente_Mes!$C$2:$C$433,"Umidade")))-(SUMIFS(Desconto_Cliente_Mes!$Q$2:$Q$433,Desconto_Cliente_Mes!$A$2:$A$433,H$73,Desconto_Cliente_Mes!$B$2:$B$433,$A73,Desconto_Cliente_Mes!$C$2:$C$433,"Umidade")))*(SUMIFS(Desconto_Cliente_Mes!$T$2:$T$433,Desconto_Cliente_Mes!$A$2:$A$433,H$73,Desconto_Cliente_Mes!$B$2:$B$433,$A73,Desconto_Cliente_Mes!$C$2:$C$433,"Umidade"))</f>
        <v>-0</v>
      </c>
      <c r="I80" s="16" t="n">
        <f aca="false">$I$75*($I$77/100)*((IF(SUMIFS(Desconto_Cliente_Mes!$R$2:$R$433,Desconto_Cliente_Mes!$A$2:$A$433,I$73,Desconto_Cliente_Mes!$B$2:$B$433,$A73,Desconto_Cliente_Mes!$C$2:$C$433,"Umidade")="",SUMIFS(Desconto_Cliente_Mes!$Q$2:$Q$433,Desconto_Cliente_Mes!$A$2:$A$433,I$73,Desconto_Cliente_Mes!$B$2:$B$433,$A73,Desconto_Cliente_Mes!$C$2:$C$433,"Umidade"),SUMIFS(Desconto_Cliente_Mes!$R$2:$R$433,Desconto_Cliente_Mes!$A$2:$A$433,I$73,Desconto_Cliente_Mes!$B$2:$B$433,$A73,Desconto_Cliente_Mes!$C$2:$C$433,"Umidade")))-(SUMIFS(Desconto_Cliente_Mes!$Q$2:$Q$433,Desconto_Cliente_Mes!$A$2:$A$433,I$73,Desconto_Cliente_Mes!$B$2:$B$433,$A73,Desconto_Cliente_Mes!$C$2:$C$433,"Umidade")))*(SUMIFS(Desconto_Cliente_Mes!$T$2:$T$433,Desconto_Cliente_Mes!$A$2:$A$433,I$73,Desconto_Cliente_Mes!$B$2:$B$433,$A73,Desconto_Cliente_Mes!$C$2:$C$433,"Umidade"))</f>
        <v>-0</v>
      </c>
      <c r="J80" s="16" t="n">
        <f aca="false">$J$75*($J$77/100)*((IF(SUMIFS(Desconto_Cliente_Mes!$R$2:$R$433,Desconto_Cliente_Mes!$A$2:$A$433,J$73,Desconto_Cliente_Mes!$B$2:$B$433,$A73,Desconto_Cliente_Mes!$C$2:$C$433,"Umidade")="",SUMIFS(Desconto_Cliente_Mes!$Q$2:$Q$433,Desconto_Cliente_Mes!$A$2:$A$433,J$73,Desconto_Cliente_Mes!$B$2:$B$433,$A73,Desconto_Cliente_Mes!$C$2:$C$433,"Umidade"),SUMIFS(Desconto_Cliente_Mes!$R$2:$R$433,Desconto_Cliente_Mes!$A$2:$A$433,J$73,Desconto_Cliente_Mes!$B$2:$B$433,$A73,Desconto_Cliente_Mes!$C$2:$C$433,"Umidade")))-(SUMIFS(Desconto_Cliente_Mes!$Q$2:$Q$433,Desconto_Cliente_Mes!$A$2:$A$433,J$73,Desconto_Cliente_Mes!$B$2:$B$433,$A73,Desconto_Cliente_Mes!$C$2:$C$433,"Umidade")))*(SUMIFS(Desconto_Cliente_Mes!$T$2:$T$433,Desconto_Cliente_Mes!$A$2:$A$433,J$73,Desconto_Cliente_Mes!$B$2:$B$433,$A73,Desconto_Cliente_Mes!$C$2:$C$433,"Umidade"))</f>
        <v>-0</v>
      </c>
      <c r="K80" s="16" t="n">
        <f aca="false">$K$75*($K$77/100)*((IF(SUMIFS(Desconto_Cliente_Mes!$R$2:$R$433,Desconto_Cliente_Mes!$A$2:$A$433,K$73,Desconto_Cliente_Mes!$B$2:$B$433,$A73,Desconto_Cliente_Mes!$C$2:$C$433,"Umidade")="",SUMIFS(Desconto_Cliente_Mes!$Q$2:$Q$433,Desconto_Cliente_Mes!$A$2:$A$433,K$73,Desconto_Cliente_Mes!$B$2:$B$433,$A73,Desconto_Cliente_Mes!$C$2:$C$433,"Umidade"),SUMIFS(Desconto_Cliente_Mes!$R$2:$R$433,Desconto_Cliente_Mes!$A$2:$A$433,K$73,Desconto_Cliente_Mes!$B$2:$B$433,$A73,Desconto_Cliente_Mes!$C$2:$C$433,"Umidade")))-(SUMIFS(Desconto_Cliente_Mes!$Q$2:$Q$433,Desconto_Cliente_Mes!$A$2:$A$433,K$73,Desconto_Cliente_Mes!$B$2:$B$433,$A73,Desconto_Cliente_Mes!$C$2:$C$433,"Umidade")))*(SUMIFS(Desconto_Cliente_Mes!$T$2:$T$433,Desconto_Cliente_Mes!$A$2:$A$433,K$73,Desconto_Cliente_Mes!$B$2:$B$433,$A73,Desconto_Cliente_Mes!$C$2:$C$433,"Umidade"))</f>
        <v>-0</v>
      </c>
      <c r="L80" s="16" t="n">
        <f aca="false">$L$75*($L$77/100)*((IF(SUMIFS(Desconto_Cliente_Mes!$R$2:$R$433,Desconto_Cliente_Mes!$A$2:$A$433,L$73,Desconto_Cliente_Mes!$B$2:$B$433,$A73,Desconto_Cliente_Mes!$C$2:$C$433,"Umidade")="",SUMIFS(Desconto_Cliente_Mes!$Q$2:$Q$433,Desconto_Cliente_Mes!$A$2:$A$433,L$73,Desconto_Cliente_Mes!$B$2:$B$433,$A73,Desconto_Cliente_Mes!$C$2:$C$433,"Umidade"),SUMIFS(Desconto_Cliente_Mes!$R$2:$R$433,Desconto_Cliente_Mes!$A$2:$A$433,L$73,Desconto_Cliente_Mes!$B$2:$B$433,$A73,Desconto_Cliente_Mes!$C$2:$C$433,"Umidade")))-(SUMIFS(Desconto_Cliente_Mes!$Q$2:$Q$433,Desconto_Cliente_Mes!$A$2:$A$433,L$73,Desconto_Cliente_Mes!$B$2:$B$433,$A73,Desconto_Cliente_Mes!$C$2:$C$433,"Umidade")))*(SUMIFS(Desconto_Cliente_Mes!$T$2:$T$433,Desconto_Cliente_Mes!$A$2:$A$433,L$73,Desconto_Cliente_Mes!$B$2:$B$433,$A73,Desconto_Cliente_Mes!$C$2:$C$433,"Umidade"))</f>
        <v>-0</v>
      </c>
      <c r="M80" s="16" t="n">
        <f aca="false">$M$75*($M$77/100)*((IF(SUMIFS(Desconto_Cliente_Mes!$R$2:$R$433,Desconto_Cliente_Mes!$A$2:$A$433,M$73,Desconto_Cliente_Mes!$B$2:$B$433,$A73,Desconto_Cliente_Mes!$C$2:$C$433,"Umidade")="",SUMIFS(Desconto_Cliente_Mes!$Q$2:$Q$433,Desconto_Cliente_Mes!$A$2:$A$433,M$73,Desconto_Cliente_Mes!$B$2:$B$433,$A73,Desconto_Cliente_Mes!$C$2:$C$433,"Umidade"),SUMIFS(Desconto_Cliente_Mes!$R$2:$R$433,Desconto_Cliente_Mes!$A$2:$A$433,M$73,Desconto_Cliente_Mes!$B$2:$B$433,$A73,Desconto_Cliente_Mes!$C$2:$C$433,"Umidade")))-(SUMIFS(Desconto_Cliente_Mes!$Q$2:$Q$433,Desconto_Cliente_Mes!$A$2:$A$433,M$73,Desconto_Cliente_Mes!$B$2:$B$433,$A73,Desconto_Cliente_Mes!$C$2:$C$433,"Umidade")))*(SUMIFS(Desconto_Cliente_Mes!$T$2:$T$433,Desconto_Cliente_Mes!$A$2:$A$433,M$73,Desconto_Cliente_Mes!$B$2:$B$433,$A73,Desconto_Cliente_Mes!$C$2:$C$433,"Umidade"))</f>
        <v>-0</v>
      </c>
      <c r="N80" s="17" t="n">
        <f aca="false">SUM(B80:M80)</f>
        <v>0</v>
      </c>
    </row>
    <row r="81" customFormat="false" ht="15" hidden="false" customHeight="false" outlineLevel="0" collapsed="false">
      <c r="A81" s="13" t="s">
        <v>81</v>
      </c>
      <c r="B81" s="16" t="n">
        <f aca="false">$B$75*($B$78/100)*((IF(SUMIFS(Desconto_Cliente_Mes!$S$2:$S$433,Desconto_Cliente_Mes!$A$2:$A$433,B$73,Desconto_Cliente_Mes!$B$2:$B$433,$A73,Desconto_Cliente_Mes!$C$2:$C$433,"Umidade")="",(IF(SUMIFS(Desconto_Cliente_Mes!$R$2:$R$433,Desconto_Cliente_Mes!$A$2:$A$433,B$73,Desconto_Cliente_Mes!$B$2:$B$433,$A73,Desconto_Cliente_Mes!$C$2:$C$433,"Umidade")="",SUMIFS(Desconto_Cliente_Mes!$Q$2:$Q$433,Desconto_Cliente_Mes!$A$2:$A$433,B$73,Desconto_Cliente_Mes!$B$2:$B$433,$A73,Desconto_Cliente_Mes!$C$2:$C$433,"Umidade"),SUMIFS(Desconto_Cliente_Mes!$R$2:$R$433,Desconto_Cliente_Mes!$A$2:$A$433,B$73,Desconto_Cliente_Mes!$B$2:$B$433,$A73,Desconto_Cliente_Mes!$C$2:$C$433,"Umidade"))),SUMIFS(Desconto_Cliente_Mes!$S$2:$S$433,Desconto_Cliente_Mes!$A$2:$A$433,B$73,Desconto_Cliente_Mes!$B$2:$B$433,$A73,Desconto_Cliente_Mes!$C$2:$C$433,"Umidade")))-(IF(SUMIFS(Desconto_Cliente_Mes!$R$2:$R$433,Desconto_Cliente_Mes!$A$2:$A$433,B$73,Desconto_Cliente_Mes!$B$2:$B$433,$A73,Desconto_Cliente_Mes!$C$2:$C$433,"Umidade")="",SUMIFS(Desconto_Cliente_Mes!$Q$2:$Q$433,Desconto_Cliente_Mes!$A$2:$A$433,B$73,Desconto_Cliente_Mes!$B$2:$B$433,$A73,Desconto_Cliente_Mes!$C$2:$C$433,"Umidade"),SUMIFS(Desconto_Cliente_Mes!$R$2:$R$433,Desconto_Cliente_Mes!$A$2:$A$433,B$73,Desconto_Cliente_Mes!$B$2:$B$433,$A73,Desconto_Cliente_Mes!$C$2:$C$433,"Umidade"))))*(SUMIFS(Desconto_Cliente_Mes!$T$2:$T$433,Desconto_Cliente_Mes!$A$2:$A$433,B$73,Desconto_Cliente_Mes!$B$2:$B$433,$A73,Desconto_Cliente_Mes!$C$2:$C$433,"Umidade"))</f>
        <v>0</v>
      </c>
      <c r="C81" s="16" t="n">
        <f aca="false">$C$75*($C$78/100)*((IF(SUMIFS(Desconto_Cliente_Mes!$S$2:$S$433,Desconto_Cliente_Mes!$A$2:$A$433,C$73,Desconto_Cliente_Mes!$B$2:$B$433,$A73,Desconto_Cliente_Mes!$C$2:$C$433,"Umidade")="",(IF(SUMIFS(Desconto_Cliente_Mes!$R$2:$R$433,Desconto_Cliente_Mes!$A$2:$A$433,C$73,Desconto_Cliente_Mes!$B$2:$B$433,$A73,Desconto_Cliente_Mes!$C$2:$C$433,"Umidade")="",SUMIFS(Desconto_Cliente_Mes!$Q$2:$Q$433,Desconto_Cliente_Mes!$A$2:$A$433,C$73,Desconto_Cliente_Mes!$B$2:$B$433,$A73,Desconto_Cliente_Mes!$C$2:$C$433,"Umidade"),SUMIFS(Desconto_Cliente_Mes!$R$2:$R$433,Desconto_Cliente_Mes!$A$2:$A$433,C$73,Desconto_Cliente_Mes!$B$2:$B$433,$A73,Desconto_Cliente_Mes!$C$2:$C$433,"Umidade"))),SUMIFS(Desconto_Cliente_Mes!$S$2:$S$433,Desconto_Cliente_Mes!$A$2:$A$433,C$73,Desconto_Cliente_Mes!$B$2:$B$433,$A73,Desconto_Cliente_Mes!$C$2:$C$433,"Umidade")))-(IF(SUMIFS(Desconto_Cliente_Mes!$R$2:$R$433,Desconto_Cliente_Mes!$A$2:$A$433,C$73,Desconto_Cliente_Mes!$B$2:$B$433,$A73,Desconto_Cliente_Mes!$C$2:$C$433,"Umidade")="",SUMIFS(Desconto_Cliente_Mes!$Q$2:$Q$433,Desconto_Cliente_Mes!$A$2:$A$433,C$73,Desconto_Cliente_Mes!$B$2:$B$433,$A73,Desconto_Cliente_Mes!$C$2:$C$433,"Umidade"),SUMIFS(Desconto_Cliente_Mes!$R$2:$R$433,Desconto_Cliente_Mes!$A$2:$A$433,C$73,Desconto_Cliente_Mes!$B$2:$B$433,$A73,Desconto_Cliente_Mes!$C$2:$C$433,"Umidade"))))*(SUMIFS(Desconto_Cliente_Mes!$T$2:$T$433,Desconto_Cliente_Mes!$A$2:$A$433,C$73,Desconto_Cliente_Mes!$B$2:$B$433,$A73,Desconto_Cliente_Mes!$C$2:$C$433,"Umidade"))</f>
        <v>0</v>
      </c>
      <c r="D81" s="16" t="n">
        <f aca="false">$D$75*($D$78/100)*((IF(SUMIFS(Desconto_Cliente_Mes!$S$2:$S$433,Desconto_Cliente_Mes!$A$2:$A$433,D$73,Desconto_Cliente_Mes!$B$2:$B$433,$A73,Desconto_Cliente_Mes!$C$2:$C$433,"Umidade")="",(IF(SUMIFS(Desconto_Cliente_Mes!$R$2:$R$433,Desconto_Cliente_Mes!$A$2:$A$433,D$73,Desconto_Cliente_Mes!$B$2:$B$433,$A73,Desconto_Cliente_Mes!$C$2:$C$433,"Umidade")="",SUMIFS(Desconto_Cliente_Mes!$Q$2:$Q$433,Desconto_Cliente_Mes!$A$2:$A$433,D$73,Desconto_Cliente_Mes!$B$2:$B$433,$A73,Desconto_Cliente_Mes!$C$2:$C$433,"Umidade"),SUMIFS(Desconto_Cliente_Mes!$R$2:$R$433,Desconto_Cliente_Mes!$A$2:$A$433,D$73,Desconto_Cliente_Mes!$B$2:$B$433,$A73,Desconto_Cliente_Mes!$C$2:$C$433,"Umidade"))),SUMIFS(Desconto_Cliente_Mes!$S$2:$S$433,Desconto_Cliente_Mes!$A$2:$A$433,D$73,Desconto_Cliente_Mes!$B$2:$B$433,$A73,Desconto_Cliente_Mes!$C$2:$C$433,"Umidade")))-(IF(SUMIFS(Desconto_Cliente_Mes!$R$2:$R$433,Desconto_Cliente_Mes!$A$2:$A$433,D$73,Desconto_Cliente_Mes!$B$2:$B$433,$A73,Desconto_Cliente_Mes!$C$2:$C$433,"Umidade")="",SUMIFS(Desconto_Cliente_Mes!$Q$2:$Q$433,Desconto_Cliente_Mes!$A$2:$A$433,D$73,Desconto_Cliente_Mes!$B$2:$B$433,$A73,Desconto_Cliente_Mes!$C$2:$C$433,"Umidade"),SUMIFS(Desconto_Cliente_Mes!$R$2:$R$433,Desconto_Cliente_Mes!$A$2:$A$433,D$73,Desconto_Cliente_Mes!$B$2:$B$433,$A73,Desconto_Cliente_Mes!$C$2:$C$433,"Umidade"))))*(SUMIFS(Desconto_Cliente_Mes!$T$2:$T$433,Desconto_Cliente_Mes!$A$2:$A$433,D$73,Desconto_Cliente_Mes!$B$2:$B$433,$A73,Desconto_Cliente_Mes!$C$2:$C$433,"Umidade"))</f>
        <v>0</v>
      </c>
      <c r="E81" s="16" t="n">
        <f aca="false">$E$75*($E$78/100)*((IF(SUMIFS(Desconto_Cliente_Mes!$S$2:$S$433,Desconto_Cliente_Mes!$A$2:$A$433,E$73,Desconto_Cliente_Mes!$B$2:$B$433,$A73,Desconto_Cliente_Mes!$C$2:$C$433,"Umidade")="",(IF(SUMIFS(Desconto_Cliente_Mes!$R$2:$R$433,Desconto_Cliente_Mes!$A$2:$A$433,E$73,Desconto_Cliente_Mes!$B$2:$B$433,$A73,Desconto_Cliente_Mes!$C$2:$C$433,"Umidade")="",SUMIFS(Desconto_Cliente_Mes!$Q$2:$Q$433,Desconto_Cliente_Mes!$A$2:$A$433,E$73,Desconto_Cliente_Mes!$B$2:$B$433,$A73,Desconto_Cliente_Mes!$C$2:$C$433,"Umidade"),SUMIFS(Desconto_Cliente_Mes!$R$2:$R$433,Desconto_Cliente_Mes!$A$2:$A$433,E$73,Desconto_Cliente_Mes!$B$2:$B$433,$A73,Desconto_Cliente_Mes!$C$2:$C$433,"Umidade"))),SUMIFS(Desconto_Cliente_Mes!$S$2:$S$433,Desconto_Cliente_Mes!$A$2:$A$433,E$73,Desconto_Cliente_Mes!$B$2:$B$433,$A73,Desconto_Cliente_Mes!$C$2:$C$433,"Umidade")))-(IF(SUMIFS(Desconto_Cliente_Mes!$R$2:$R$433,Desconto_Cliente_Mes!$A$2:$A$433,E$73,Desconto_Cliente_Mes!$B$2:$B$433,$A73,Desconto_Cliente_Mes!$C$2:$C$433,"Umidade")="",SUMIFS(Desconto_Cliente_Mes!$Q$2:$Q$433,Desconto_Cliente_Mes!$A$2:$A$433,E$73,Desconto_Cliente_Mes!$B$2:$B$433,$A73,Desconto_Cliente_Mes!$C$2:$C$433,"Umidade"),SUMIFS(Desconto_Cliente_Mes!$R$2:$R$433,Desconto_Cliente_Mes!$A$2:$A$433,E$73,Desconto_Cliente_Mes!$B$2:$B$433,$A73,Desconto_Cliente_Mes!$C$2:$C$433,"Umidade"))))*(SUMIFS(Desconto_Cliente_Mes!$T$2:$T$433,Desconto_Cliente_Mes!$A$2:$A$433,E$73,Desconto_Cliente_Mes!$B$2:$B$433,$A73,Desconto_Cliente_Mes!$C$2:$C$433,"Umidade"))</f>
        <v>0</v>
      </c>
      <c r="F81" s="16" t="n">
        <f aca="false">$F$75*($F$78/100)*((IF(SUMIFS(Desconto_Cliente_Mes!$S$2:$S$433,Desconto_Cliente_Mes!$A$2:$A$433,F$73,Desconto_Cliente_Mes!$B$2:$B$433,$A73,Desconto_Cliente_Mes!$C$2:$C$433,"Umidade")="",(IF(SUMIFS(Desconto_Cliente_Mes!$R$2:$R$433,Desconto_Cliente_Mes!$A$2:$A$433,F$73,Desconto_Cliente_Mes!$B$2:$B$433,$A73,Desconto_Cliente_Mes!$C$2:$C$433,"Umidade")="",SUMIFS(Desconto_Cliente_Mes!$Q$2:$Q$433,Desconto_Cliente_Mes!$A$2:$A$433,F$73,Desconto_Cliente_Mes!$B$2:$B$433,$A73,Desconto_Cliente_Mes!$C$2:$C$433,"Umidade"),SUMIFS(Desconto_Cliente_Mes!$R$2:$R$433,Desconto_Cliente_Mes!$A$2:$A$433,F$73,Desconto_Cliente_Mes!$B$2:$B$433,$A73,Desconto_Cliente_Mes!$C$2:$C$433,"Umidade"))),SUMIFS(Desconto_Cliente_Mes!$S$2:$S$433,Desconto_Cliente_Mes!$A$2:$A$433,F$73,Desconto_Cliente_Mes!$B$2:$B$433,$A73,Desconto_Cliente_Mes!$C$2:$C$433,"Umidade")))-(IF(SUMIFS(Desconto_Cliente_Mes!$R$2:$R$433,Desconto_Cliente_Mes!$A$2:$A$433,F$73,Desconto_Cliente_Mes!$B$2:$B$433,$A73,Desconto_Cliente_Mes!$C$2:$C$433,"Umidade")="",SUMIFS(Desconto_Cliente_Mes!$Q$2:$Q$433,Desconto_Cliente_Mes!$A$2:$A$433,F$73,Desconto_Cliente_Mes!$B$2:$B$433,$A73,Desconto_Cliente_Mes!$C$2:$C$433,"Umidade"),SUMIFS(Desconto_Cliente_Mes!$R$2:$R$433,Desconto_Cliente_Mes!$A$2:$A$433,F$73,Desconto_Cliente_Mes!$B$2:$B$433,$A73,Desconto_Cliente_Mes!$C$2:$C$433,"Umidade"))))*(SUMIFS(Desconto_Cliente_Mes!$T$2:$T$433,Desconto_Cliente_Mes!$A$2:$A$433,F$73,Desconto_Cliente_Mes!$B$2:$B$433,$A73,Desconto_Cliente_Mes!$C$2:$C$433,"Umidade"))</f>
        <v>0</v>
      </c>
      <c r="G81" s="16" t="n">
        <f aca="false">$G$75*($G$78/100)*((IF(SUMIFS(Desconto_Cliente_Mes!$S$2:$S$433,Desconto_Cliente_Mes!$A$2:$A$433,G$73,Desconto_Cliente_Mes!$B$2:$B$433,$A73,Desconto_Cliente_Mes!$C$2:$C$433,"Umidade")="",(IF(SUMIFS(Desconto_Cliente_Mes!$R$2:$R$433,Desconto_Cliente_Mes!$A$2:$A$433,G$73,Desconto_Cliente_Mes!$B$2:$B$433,$A73,Desconto_Cliente_Mes!$C$2:$C$433,"Umidade")="",SUMIFS(Desconto_Cliente_Mes!$Q$2:$Q$433,Desconto_Cliente_Mes!$A$2:$A$433,G$73,Desconto_Cliente_Mes!$B$2:$B$433,$A73,Desconto_Cliente_Mes!$C$2:$C$433,"Umidade"),SUMIFS(Desconto_Cliente_Mes!$R$2:$R$433,Desconto_Cliente_Mes!$A$2:$A$433,G$73,Desconto_Cliente_Mes!$B$2:$B$433,$A73,Desconto_Cliente_Mes!$C$2:$C$433,"Umidade"))),SUMIFS(Desconto_Cliente_Mes!$S$2:$S$433,Desconto_Cliente_Mes!$A$2:$A$433,G$73,Desconto_Cliente_Mes!$B$2:$B$433,$A73,Desconto_Cliente_Mes!$C$2:$C$433,"Umidade")))-(IF(SUMIFS(Desconto_Cliente_Mes!$R$2:$R$433,Desconto_Cliente_Mes!$A$2:$A$433,G$73,Desconto_Cliente_Mes!$B$2:$B$433,$A73,Desconto_Cliente_Mes!$C$2:$C$433,"Umidade")="",SUMIFS(Desconto_Cliente_Mes!$Q$2:$Q$433,Desconto_Cliente_Mes!$A$2:$A$433,G$73,Desconto_Cliente_Mes!$B$2:$B$433,$A73,Desconto_Cliente_Mes!$C$2:$C$433,"Umidade"),SUMIFS(Desconto_Cliente_Mes!$R$2:$R$433,Desconto_Cliente_Mes!$A$2:$A$433,G$73,Desconto_Cliente_Mes!$B$2:$B$433,$A73,Desconto_Cliente_Mes!$C$2:$C$433,"Umidade"))))*(SUMIFS(Desconto_Cliente_Mes!$T$2:$T$433,Desconto_Cliente_Mes!$A$2:$A$433,G$73,Desconto_Cliente_Mes!$B$2:$B$433,$A73,Desconto_Cliente_Mes!$C$2:$C$433,"Umidade"))</f>
        <v>0</v>
      </c>
      <c r="H81" s="16" t="n">
        <f aca="false">$H$75*($H$78/100)*((IF(SUMIFS(Desconto_Cliente_Mes!$S$2:$S$433,Desconto_Cliente_Mes!$A$2:$A$433,H$73,Desconto_Cliente_Mes!$B$2:$B$433,$A73,Desconto_Cliente_Mes!$C$2:$C$433,"Umidade")="",(IF(SUMIFS(Desconto_Cliente_Mes!$R$2:$R$433,Desconto_Cliente_Mes!$A$2:$A$433,H$73,Desconto_Cliente_Mes!$B$2:$B$433,$A73,Desconto_Cliente_Mes!$C$2:$C$433,"Umidade")="",SUMIFS(Desconto_Cliente_Mes!$Q$2:$Q$433,Desconto_Cliente_Mes!$A$2:$A$433,H$73,Desconto_Cliente_Mes!$B$2:$B$433,$A73,Desconto_Cliente_Mes!$C$2:$C$433,"Umidade"),SUMIFS(Desconto_Cliente_Mes!$R$2:$R$433,Desconto_Cliente_Mes!$A$2:$A$433,H$73,Desconto_Cliente_Mes!$B$2:$B$433,$A73,Desconto_Cliente_Mes!$C$2:$C$433,"Umidade"))),SUMIFS(Desconto_Cliente_Mes!$S$2:$S$433,Desconto_Cliente_Mes!$A$2:$A$433,H$73,Desconto_Cliente_Mes!$B$2:$B$433,$A73,Desconto_Cliente_Mes!$C$2:$C$433,"Umidade")))-(IF(SUMIFS(Desconto_Cliente_Mes!$R$2:$R$433,Desconto_Cliente_Mes!$A$2:$A$433,H$73,Desconto_Cliente_Mes!$B$2:$B$433,$A73,Desconto_Cliente_Mes!$C$2:$C$433,"Umidade")="",SUMIFS(Desconto_Cliente_Mes!$Q$2:$Q$433,Desconto_Cliente_Mes!$A$2:$A$433,H$73,Desconto_Cliente_Mes!$B$2:$B$433,$A73,Desconto_Cliente_Mes!$C$2:$C$433,"Umidade"),SUMIFS(Desconto_Cliente_Mes!$R$2:$R$433,Desconto_Cliente_Mes!$A$2:$A$433,H$73,Desconto_Cliente_Mes!$B$2:$B$433,$A73,Desconto_Cliente_Mes!$C$2:$C$433,"Umidade"))))*(SUMIFS(Desconto_Cliente_Mes!$T$2:$T$433,Desconto_Cliente_Mes!$A$2:$A$433,H$73,Desconto_Cliente_Mes!$B$2:$B$433,$A73,Desconto_Cliente_Mes!$C$2:$C$433,"Umidade"))</f>
        <v>0</v>
      </c>
      <c r="I81" s="16" t="n">
        <f aca="false">$I$75*($I$78/100)*((IF(SUMIFS(Desconto_Cliente_Mes!$S$2:$S$433,Desconto_Cliente_Mes!$A$2:$A$433,I$73,Desconto_Cliente_Mes!$B$2:$B$433,$A73,Desconto_Cliente_Mes!$C$2:$C$433,"Umidade")="",(IF(SUMIFS(Desconto_Cliente_Mes!$R$2:$R$433,Desconto_Cliente_Mes!$A$2:$A$433,I$73,Desconto_Cliente_Mes!$B$2:$B$433,$A73,Desconto_Cliente_Mes!$C$2:$C$433,"Umidade")="",SUMIFS(Desconto_Cliente_Mes!$Q$2:$Q$433,Desconto_Cliente_Mes!$A$2:$A$433,I$73,Desconto_Cliente_Mes!$B$2:$B$433,$A73,Desconto_Cliente_Mes!$C$2:$C$433,"Umidade"),SUMIFS(Desconto_Cliente_Mes!$R$2:$R$433,Desconto_Cliente_Mes!$A$2:$A$433,I$73,Desconto_Cliente_Mes!$B$2:$B$433,$A73,Desconto_Cliente_Mes!$C$2:$C$433,"Umidade"))),SUMIFS(Desconto_Cliente_Mes!$S$2:$S$433,Desconto_Cliente_Mes!$A$2:$A$433,I$73,Desconto_Cliente_Mes!$B$2:$B$433,$A73,Desconto_Cliente_Mes!$C$2:$C$433,"Umidade")))-(IF(SUMIFS(Desconto_Cliente_Mes!$R$2:$R$433,Desconto_Cliente_Mes!$A$2:$A$433,I$73,Desconto_Cliente_Mes!$B$2:$B$433,$A73,Desconto_Cliente_Mes!$C$2:$C$433,"Umidade")="",SUMIFS(Desconto_Cliente_Mes!$Q$2:$Q$433,Desconto_Cliente_Mes!$A$2:$A$433,I$73,Desconto_Cliente_Mes!$B$2:$B$433,$A73,Desconto_Cliente_Mes!$C$2:$C$433,"Umidade"),SUMIFS(Desconto_Cliente_Mes!$R$2:$R$433,Desconto_Cliente_Mes!$A$2:$A$433,I$73,Desconto_Cliente_Mes!$B$2:$B$433,$A73,Desconto_Cliente_Mes!$C$2:$C$433,"Umidade"))))*(SUMIFS(Desconto_Cliente_Mes!$T$2:$T$433,Desconto_Cliente_Mes!$A$2:$A$433,I$73,Desconto_Cliente_Mes!$B$2:$B$433,$A73,Desconto_Cliente_Mes!$C$2:$C$433,"Umidade"))</f>
        <v>0</v>
      </c>
      <c r="J81" s="16" t="n">
        <f aca="false">$J$75*($J$78/100)*((IF(SUMIFS(Desconto_Cliente_Mes!$S$2:$S$433,Desconto_Cliente_Mes!$A$2:$A$433,J$73,Desconto_Cliente_Mes!$B$2:$B$433,$A73,Desconto_Cliente_Mes!$C$2:$C$433,"Umidade")="",(IF(SUMIFS(Desconto_Cliente_Mes!$R$2:$R$433,Desconto_Cliente_Mes!$A$2:$A$433,J$73,Desconto_Cliente_Mes!$B$2:$B$433,$A73,Desconto_Cliente_Mes!$C$2:$C$433,"Umidade")="",SUMIFS(Desconto_Cliente_Mes!$Q$2:$Q$433,Desconto_Cliente_Mes!$A$2:$A$433,J$73,Desconto_Cliente_Mes!$B$2:$B$433,$A73,Desconto_Cliente_Mes!$C$2:$C$433,"Umidade"),SUMIFS(Desconto_Cliente_Mes!$R$2:$R$433,Desconto_Cliente_Mes!$A$2:$A$433,J$73,Desconto_Cliente_Mes!$B$2:$B$433,$A73,Desconto_Cliente_Mes!$C$2:$C$433,"Umidade"))),SUMIFS(Desconto_Cliente_Mes!$S$2:$S$433,Desconto_Cliente_Mes!$A$2:$A$433,J$73,Desconto_Cliente_Mes!$B$2:$B$433,$A73,Desconto_Cliente_Mes!$C$2:$C$433,"Umidade")))-(IF(SUMIFS(Desconto_Cliente_Mes!$R$2:$R$433,Desconto_Cliente_Mes!$A$2:$A$433,J$73,Desconto_Cliente_Mes!$B$2:$B$433,$A73,Desconto_Cliente_Mes!$C$2:$C$433,"Umidade")="",SUMIFS(Desconto_Cliente_Mes!$Q$2:$Q$433,Desconto_Cliente_Mes!$A$2:$A$433,J$73,Desconto_Cliente_Mes!$B$2:$B$433,$A73,Desconto_Cliente_Mes!$C$2:$C$433,"Umidade"),SUMIFS(Desconto_Cliente_Mes!$R$2:$R$433,Desconto_Cliente_Mes!$A$2:$A$433,J$73,Desconto_Cliente_Mes!$B$2:$B$433,$A73,Desconto_Cliente_Mes!$C$2:$C$433,"Umidade"))))*(SUMIFS(Desconto_Cliente_Mes!$T$2:$T$433,Desconto_Cliente_Mes!$A$2:$A$433,J$73,Desconto_Cliente_Mes!$B$2:$B$433,$A73,Desconto_Cliente_Mes!$C$2:$C$433,"Umidade"))</f>
        <v>0</v>
      </c>
      <c r="K81" s="16" t="n">
        <f aca="false">$K$75*($K$78/100)*((IF(SUMIFS(Desconto_Cliente_Mes!$S$2:$S$433,Desconto_Cliente_Mes!$A$2:$A$433,K$73,Desconto_Cliente_Mes!$B$2:$B$433,$A73,Desconto_Cliente_Mes!$C$2:$C$433,"Umidade")="",(IF(SUMIFS(Desconto_Cliente_Mes!$R$2:$R$433,Desconto_Cliente_Mes!$A$2:$A$433,K$73,Desconto_Cliente_Mes!$B$2:$B$433,$A73,Desconto_Cliente_Mes!$C$2:$C$433,"Umidade")="",SUMIFS(Desconto_Cliente_Mes!$Q$2:$Q$433,Desconto_Cliente_Mes!$A$2:$A$433,K$73,Desconto_Cliente_Mes!$B$2:$B$433,$A73,Desconto_Cliente_Mes!$C$2:$C$433,"Umidade"),SUMIFS(Desconto_Cliente_Mes!$R$2:$R$433,Desconto_Cliente_Mes!$A$2:$A$433,K$73,Desconto_Cliente_Mes!$B$2:$B$433,$A73,Desconto_Cliente_Mes!$C$2:$C$433,"Umidade"))),SUMIFS(Desconto_Cliente_Mes!$S$2:$S$433,Desconto_Cliente_Mes!$A$2:$A$433,K$73,Desconto_Cliente_Mes!$B$2:$B$433,$A73,Desconto_Cliente_Mes!$C$2:$C$433,"Umidade")))-(IF(SUMIFS(Desconto_Cliente_Mes!$R$2:$R$433,Desconto_Cliente_Mes!$A$2:$A$433,K$73,Desconto_Cliente_Mes!$B$2:$B$433,$A73,Desconto_Cliente_Mes!$C$2:$C$433,"Umidade")="",SUMIFS(Desconto_Cliente_Mes!$Q$2:$Q$433,Desconto_Cliente_Mes!$A$2:$A$433,K$73,Desconto_Cliente_Mes!$B$2:$B$433,$A73,Desconto_Cliente_Mes!$C$2:$C$433,"Umidade"),SUMIFS(Desconto_Cliente_Mes!$R$2:$R$433,Desconto_Cliente_Mes!$A$2:$A$433,K$73,Desconto_Cliente_Mes!$B$2:$B$433,$A73,Desconto_Cliente_Mes!$C$2:$C$433,"Umidade"))))*(SUMIFS(Desconto_Cliente_Mes!$T$2:$T$433,Desconto_Cliente_Mes!$A$2:$A$433,K$73,Desconto_Cliente_Mes!$B$2:$B$433,$A73,Desconto_Cliente_Mes!$C$2:$C$433,"Umidade"))</f>
        <v>0</v>
      </c>
      <c r="L81" s="16" t="n">
        <f aca="false">$L$75*($L$78/100)*((IF(SUMIFS(Desconto_Cliente_Mes!$S$2:$S$433,Desconto_Cliente_Mes!$A$2:$A$433,L$73,Desconto_Cliente_Mes!$B$2:$B$433,$A73,Desconto_Cliente_Mes!$C$2:$C$433,"Umidade")="",(IF(SUMIFS(Desconto_Cliente_Mes!$R$2:$R$433,Desconto_Cliente_Mes!$A$2:$A$433,L$73,Desconto_Cliente_Mes!$B$2:$B$433,$A73,Desconto_Cliente_Mes!$C$2:$C$433,"Umidade")="",SUMIFS(Desconto_Cliente_Mes!$Q$2:$Q$433,Desconto_Cliente_Mes!$A$2:$A$433,L$73,Desconto_Cliente_Mes!$B$2:$B$433,$A73,Desconto_Cliente_Mes!$C$2:$C$433,"Umidade"),SUMIFS(Desconto_Cliente_Mes!$R$2:$R$433,Desconto_Cliente_Mes!$A$2:$A$433,L$73,Desconto_Cliente_Mes!$B$2:$B$433,$A73,Desconto_Cliente_Mes!$C$2:$C$433,"Umidade"))),SUMIFS(Desconto_Cliente_Mes!$S$2:$S$433,Desconto_Cliente_Mes!$A$2:$A$433,L$73,Desconto_Cliente_Mes!$B$2:$B$433,$A73,Desconto_Cliente_Mes!$C$2:$C$433,"Umidade")))-(IF(SUMIFS(Desconto_Cliente_Mes!$R$2:$R$433,Desconto_Cliente_Mes!$A$2:$A$433,L$73,Desconto_Cliente_Mes!$B$2:$B$433,$A73,Desconto_Cliente_Mes!$C$2:$C$433,"Umidade")="",SUMIFS(Desconto_Cliente_Mes!$Q$2:$Q$433,Desconto_Cliente_Mes!$A$2:$A$433,L$73,Desconto_Cliente_Mes!$B$2:$B$433,$A73,Desconto_Cliente_Mes!$C$2:$C$433,"Umidade"),SUMIFS(Desconto_Cliente_Mes!$R$2:$R$433,Desconto_Cliente_Mes!$A$2:$A$433,L$73,Desconto_Cliente_Mes!$B$2:$B$433,$A73,Desconto_Cliente_Mes!$C$2:$C$433,"Umidade"))))*(SUMIFS(Desconto_Cliente_Mes!$T$2:$T$433,Desconto_Cliente_Mes!$A$2:$A$433,L$73,Desconto_Cliente_Mes!$B$2:$B$433,$A73,Desconto_Cliente_Mes!$C$2:$C$433,"Umidade"))</f>
        <v>0</v>
      </c>
      <c r="M81" s="16" t="n">
        <f aca="false">$M$75*($M$78/100)*((IF(SUMIFS(Desconto_Cliente_Mes!$S$2:$S$433,Desconto_Cliente_Mes!$A$2:$A$433,M$73,Desconto_Cliente_Mes!$B$2:$B$433,$A73,Desconto_Cliente_Mes!$C$2:$C$433,"Umidade")="",(IF(SUMIFS(Desconto_Cliente_Mes!$R$2:$R$433,Desconto_Cliente_Mes!$A$2:$A$433,M$73,Desconto_Cliente_Mes!$B$2:$B$433,$A73,Desconto_Cliente_Mes!$C$2:$C$433,"Umidade")="",SUMIFS(Desconto_Cliente_Mes!$Q$2:$Q$433,Desconto_Cliente_Mes!$A$2:$A$433,M$73,Desconto_Cliente_Mes!$B$2:$B$433,$A73,Desconto_Cliente_Mes!$C$2:$C$433,"Umidade"),SUMIFS(Desconto_Cliente_Mes!$R$2:$R$433,Desconto_Cliente_Mes!$A$2:$A$433,M$73,Desconto_Cliente_Mes!$B$2:$B$433,$A73,Desconto_Cliente_Mes!$C$2:$C$433,"Umidade"))),SUMIFS(Desconto_Cliente_Mes!$S$2:$S$433,Desconto_Cliente_Mes!$A$2:$A$433,M$73,Desconto_Cliente_Mes!$B$2:$B$433,$A73,Desconto_Cliente_Mes!$C$2:$C$433,"Umidade")))-(IF(SUMIFS(Desconto_Cliente_Mes!$R$2:$R$433,Desconto_Cliente_Mes!$A$2:$A$433,M$73,Desconto_Cliente_Mes!$B$2:$B$433,$A73,Desconto_Cliente_Mes!$C$2:$C$433,"Umidade")="",SUMIFS(Desconto_Cliente_Mes!$Q$2:$Q$433,Desconto_Cliente_Mes!$A$2:$A$433,M$73,Desconto_Cliente_Mes!$B$2:$B$433,$A73,Desconto_Cliente_Mes!$C$2:$C$433,"Umidade"),SUMIFS(Desconto_Cliente_Mes!$R$2:$R$433,Desconto_Cliente_Mes!$A$2:$A$433,M$73,Desconto_Cliente_Mes!$B$2:$B$433,$A73,Desconto_Cliente_Mes!$C$2:$C$433,"Umidade"))))*(SUMIFS(Desconto_Cliente_Mes!$T$2:$T$433,Desconto_Cliente_Mes!$A$2:$A$433,M$73,Desconto_Cliente_Mes!$B$2:$B$433,$A73,Desconto_Cliente_Mes!$C$2:$C$433,"Umidade"))</f>
        <v>0</v>
      </c>
      <c r="N81" s="17" t="n">
        <f aca="false">SUM(B81:M81)</f>
        <v>0</v>
      </c>
    </row>
    <row r="82" customFormat="false" ht="15" hidden="false" customHeight="false" outlineLevel="0" collapsed="false">
      <c r="A82" s="13" t="s">
        <v>82</v>
      </c>
      <c r="B82" s="16" t="n">
        <f aca="false">SUMIFS(Acerto_Detalhado!$J$2:$J$433,Acerto_Detalhado!$A$2:$A$433,B$73,Acerto_Detalhado!$B$2:$B$433,$A73,Acerto_Detalhado!$C$2:$C$433,"Umidade")</f>
        <v>9821.01818633541</v>
      </c>
      <c r="C82" s="16" t="n">
        <f aca="false">SUMIFS(Acerto_Detalhado!$J$2:$J$433,Acerto_Detalhado!$A$2:$A$433,C$73,Acerto_Detalhado!$B$2:$B$433,$A73,Acerto_Detalhado!$C$2:$C$433,"Umidade")</f>
        <v>9411.94187170414</v>
      </c>
      <c r="D82" s="16" t="n">
        <f aca="false">SUMIFS(Acerto_Detalhado!$J$2:$J$433,Acerto_Detalhado!$A$2:$A$433,D$73,Acerto_Detalhado!$B$2:$B$433,$A73,Acerto_Detalhado!$C$2:$C$433,"Umidade")</f>
        <v>0</v>
      </c>
      <c r="E82" s="16" t="n">
        <f aca="false">SUMIFS(Acerto_Detalhado!$J$2:$J$433,Acerto_Detalhado!$A$2:$A$433,E$73,Acerto_Detalhado!$B$2:$B$433,$A73,Acerto_Detalhado!$C$2:$C$433,"Umidade")</f>
        <v>0</v>
      </c>
      <c r="F82" s="16" t="n">
        <f aca="false">SUMIFS(Acerto_Detalhado!$J$2:$J$433,Acerto_Detalhado!$A$2:$A$433,F$73,Acerto_Detalhado!$B$2:$B$433,$A73,Acerto_Detalhado!$C$2:$C$433,"Umidade")</f>
        <v>15501.4655653313</v>
      </c>
      <c r="G82" s="16" t="n">
        <f aca="false">SUMIFS(Acerto_Detalhado!$J$2:$J$433,Acerto_Detalhado!$A$2:$A$433,G$73,Acerto_Detalhado!$B$2:$B$433,$A73,Acerto_Detalhado!$C$2:$C$433,"Umidade")</f>
        <v>10534.603232723</v>
      </c>
      <c r="H82" s="16" t="n">
        <f aca="false">SUMIFS(Acerto_Detalhado!$J$2:$J$433,Acerto_Detalhado!$A$2:$A$433,H$73,Acerto_Detalhado!$B$2:$B$433,$A73,Acerto_Detalhado!$C$2:$C$433,"Umidade")</f>
        <v>21160.3935841603</v>
      </c>
      <c r="I82" s="16" t="n">
        <f aca="false">SUMIFS(Acerto_Detalhado!$J$2:$J$433,Acerto_Detalhado!$A$2:$A$433,I$73,Acerto_Detalhado!$B$2:$B$433,$A73,Acerto_Detalhado!$C$2:$C$433,"Umidade")</f>
        <v>0</v>
      </c>
      <c r="J82" s="16" t="n">
        <f aca="false">SUMIFS(Acerto_Detalhado!$J$2:$J$433,Acerto_Detalhado!$A$2:$A$433,J$73,Acerto_Detalhado!$B$2:$B$433,$A73,Acerto_Detalhado!$C$2:$C$433,"Umidade")</f>
        <v>0</v>
      </c>
      <c r="K82" s="16" t="n">
        <f aca="false">SUMIFS(Acerto_Detalhado!$J$2:$J$433,Acerto_Detalhado!$A$2:$A$433,K$73,Acerto_Detalhado!$B$2:$B$433,$A73,Acerto_Detalhado!$C$2:$C$433,"Umidade")</f>
        <v>11718.9806551458</v>
      </c>
      <c r="L82" s="16" t="n">
        <f aca="false">SUMIFS(Acerto_Detalhado!$J$2:$J$433,Acerto_Detalhado!$A$2:$A$433,L$73,Acerto_Detalhado!$B$2:$B$433,$A73,Acerto_Detalhado!$C$2:$C$433,"Umidade")</f>
        <v>0</v>
      </c>
      <c r="M82" s="16" t="n">
        <f aca="false">SUMIFS(Acerto_Detalhado!$J$2:$J$433,Acerto_Detalhado!$A$2:$A$433,M$73,Acerto_Detalhado!$B$2:$B$433,$A73,Acerto_Detalhado!$C$2:$C$433,"Umidade")</f>
        <v>0</v>
      </c>
      <c r="N82" s="17" t="n">
        <f aca="false">SUM(B82:M82)</f>
        <v>78148.4030953999</v>
      </c>
    </row>
    <row r="84" customFormat="false" ht="15" hidden="false" customHeight="false" outlineLevel="0" collapsed="false">
      <c r="A84" s="5" t="s">
        <v>65</v>
      </c>
      <c r="B84" s="6" t="s">
        <v>39</v>
      </c>
      <c r="C84" s="6" t="s">
        <v>40</v>
      </c>
      <c r="D84" s="6" t="s">
        <v>41</v>
      </c>
      <c r="E84" s="6" t="s">
        <v>42</v>
      </c>
      <c r="F84" s="6" t="s">
        <v>43</v>
      </c>
      <c r="G84" s="6" t="s">
        <v>44</v>
      </c>
      <c r="H84" s="6" t="s">
        <v>45</v>
      </c>
      <c r="I84" s="6" t="s">
        <v>46</v>
      </c>
      <c r="J84" s="6" t="s">
        <v>47</v>
      </c>
      <c r="K84" s="6" t="s">
        <v>48</v>
      </c>
      <c r="L84" s="6" t="s">
        <v>49</v>
      </c>
      <c r="M84" s="6" t="s">
        <v>50</v>
      </c>
      <c r="N84" s="6" t="s">
        <v>51</v>
      </c>
    </row>
    <row r="85" customFormat="false" ht="15" hidden="false" customHeight="false" outlineLevel="0" collapsed="false">
      <c r="A85" s="13" t="s">
        <v>74</v>
      </c>
      <c r="B85" s="10" t="n">
        <f aca="false">IF((SUMIFS(Desconto_Cliente_Mes!$D$2:$D$433,Desconto_Cliente_Mes!$A$2:$A$433,B$84,Desconto_Cliente_Mes!$B$2:$B$433,$A84,Desconto_Cliente_Mes!$C$2:$C$433,"Umidade"))=0,"",IFERROR(SUMIFS(Desconto_Cliente_Mes!$E$2:$E$433,Desconto_Cliente_Mes!$A$2:$A$433,B$84,Desconto_Cliente_Mes!$B$2:$B$433,$A84,Desconto_Cliente_Mes!$C$2:$C$433,"Umidade"),""))</f>
        <v>12.0926542126849</v>
      </c>
      <c r="C85" s="10" t="n">
        <f aca="false">IF((SUMIFS(Desconto_Cliente_Mes!$D$2:$D$433,Desconto_Cliente_Mes!$A$2:$A$433,C$84,Desconto_Cliente_Mes!$B$2:$B$433,$A84,Desconto_Cliente_Mes!$C$2:$C$433,"Umidade"))=0,"",IFERROR(SUMIFS(Desconto_Cliente_Mes!$E$2:$E$433,Desconto_Cliente_Mes!$A$2:$A$433,C$84,Desconto_Cliente_Mes!$B$2:$B$433,$A84,Desconto_Cliente_Mes!$C$2:$C$433,"Umidade"),""))</f>
        <v>12.2156633732091</v>
      </c>
      <c r="D85" s="10" t="n">
        <f aca="false">IF((SUMIFS(Desconto_Cliente_Mes!$D$2:$D$433,Desconto_Cliente_Mes!$A$2:$A$433,D$84,Desconto_Cliente_Mes!$B$2:$B$433,$A84,Desconto_Cliente_Mes!$C$2:$C$433,"Umidade"))=0,"",IFERROR(SUMIFS(Desconto_Cliente_Mes!$E$2:$E$433,Desconto_Cliente_Mes!$A$2:$A$433,D$84,Desconto_Cliente_Mes!$B$2:$B$433,$A84,Desconto_Cliente_Mes!$C$2:$C$433,"Umidade"),""))</f>
        <v>12.3959995803327</v>
      </c>
      <c r="E85" s="10" t="n">
        <f aca="false">IF((SUMIFS(Desconto_Cliente_Mes!$D$2:$D$433,Desconto_Cliente_Mes!$A$2:$A$433,E$84,Desconto_Cliente_Mes!$B$2:$B$433,$A84,Desconto_Cliente_Mes!$C$2:$C$433,"Umidade"))=0,"",IFERROR(SUMIFS(Desconto_Cliente_Mes!$E$2:$E$433,Desconto_Cliente_Mes!$A$2:$A$433,E$84,Desconto_Cliente_Mes!$B$2:$B$433,$A84,Desconto_Cliente_Mes!$C$2:$C$433,"Umidade"),""))</f>
        <v>12.3512501198753</v>
      </c>
      <c r="F85" s="10" t="n">
        <f aca="false">IF((SUMIFS(Desconto_Cliente_Mes!$D$2:$D$433,Desconto_Cliente_Mes!$A$2:$A$433,F$84,Desconto_Cliente_Mes!$B$2:$B$433,$A84,Desconto_Cliente_Mes!$C$2:$C$433,"Umidade"))=0,"",IFERROR(SUMIFS(Desconto_Cliente_Mes!$E$2:$E$433,Desconto_Cliente_Mes!$A$2:$A$433,F$84,Desconto_Cliente_Mes!$B$2:$B$433,$A84,Desconto_Cliente_Mes!$C$2:$C$433,"Umidade"),""))</f>
        <v>11.923930461028</v>
      </c>
      <c r="G85" s="10" t="n">
        <f aca="false">IF((SUMIFS(Desconto_Cliente_Mes!$D$2:$D$433,Desconto_Cliente_Mes!$A$2:$A$433,G$84,Desconto_Cliente_Mes!$B$2:$B$433,$A84,Desconto_Cliente_Mes!$C$2:$C$433,"Umidade"))=0,"",IFERROR(SUMIFS(Desconto_Cliente_Mes!$E$2:$E$433,Desconto_Cliente_Mes!$A$2:$A$433,G$84,Desconto_Cliente_Mes!$B$2:$B$433,$A84,Desconto_Cliente_Mes!$C$2:$C$433,"Umidade"),""))</f>
        <v>11.9345679453663</v>
      </c>
      <c r="H85" s="10" t="n">
        <f aca="false">IF((SUMIFS(Desconto_Cliente_Mes!$D$2:$D$433,Desconto_Cliente_Mes!$A$2:$A$433,H$84,Desconto_Cliente_Mes!$B$2:$B$433,$A84,Desconto_Cliente_Mes!$C$2:$C$433,"Umidade"))=0,"",IFERROR(SUMIFS(Desconto_Cliente_Mes!$E$2:$E$433,Desconto_Cliente_Mes!$A$2:$A$433,H$84,Desconto_Cliente_Mes!$B$2:$B$433,$A84,Desconto_Cliente_Mes!$C$2:$C$433,"Umidade"),""))</f>
        <v>12.1241707718867</v>
      </c>
      <c r="I85" s="10" t="n">
        <f aca="false">IF((SUMIFS(Desconto_Cliente_Mes!$D$2:$D$433,Desconto_Cliente_Mes!$A$2:$A$433,I$84,Desconto_Cliente_Mes!$B$2:$B$433,$A84,Desconto_Cliente_Mes!$C$2:$C$433,"Umidade"))=0,"",IFERROR(SUMIFS(Desconto_Cliente_Mes!$E$2:$E$433,Desconto_Cliente_Mes!$A$2:$A$433,I$84,Desconto_Cliente_Mes!$B$2:$B$433,$A84,Desconto_Cliente_Mes!$C$2:$C$433,"Umidade"),""))</f>
        <v>12.3567068221082</v>
      </c>
      <c r="J85" s="10" t="str">
        <f aca="false">IF((SUMIFS(Desconto_Cliente_Mes!$D$2:$D$433,Desconto_Cliente_Mes!$A$2:$A$433,J$84,Desconto_Cliente_Mes!$B$2:$B$433,$A84,Desconto_Cliente_Mes!$C$2:$C$433,"Umidade"))=0,"",IFERROR(SUMIFS(Desconto_Cliente_Mes!$E$2:$E$433,Desconto_Cliente_Mes!$A$2:$A$433,J$84,Desconto_Cliente_Mes!$B$2:$B$433,$A84,Desconto_Cliente_Mes!$C$2:$C$433,"Umidade"),""))</f>
        <v/>
      </c>
      <c r="K85" s="10" t="n">
        <f aca="false">IF((SUMIFS(Desconto_Cliente_Mes!$D$2:$D$433,Desconto_Cliente_Mes!$A$2:$A$433,K$84,Desconto_Cliente_Mes!$B$2:$B$433,$A84,Desconto_Cliente_Mes!$C$2:$C$433,"Umidade"))=0,"",IFERROR(SUMIFS(Desconto_Cliente_Mes!$E$2:$E$433,Desconto_Cliente_Mes!$A$2:$A$433,K$84,Desconto_Cliente_Mes!$B$2:$B$433,$A84,Desconto_Cliente_Mes!$C$2:$C$433,"Umidade"),""))</f>
        <v>12.9977005368123</v>
      </c>
      <c r="L85" s="10" t="str">
        <f aca="false">IF((SUMIFS(Desconto_Cliente_Mes!$D$2:$D$433,Desconto_Cliente_Mes!$A$2:$A$433,L$84,Desconto_Cliente_Mes!$B$2:$B$433,$A84,Desconto_Cliente_Mes!$C$2:$C$433,"Umidade"))=0,"",IFERROR(SUMIFS(Desconto_Cliente_Mes!$E$2:$E$433,Desconto_Cliente_Mes!$A$2:$A$433,L$84,Desconto_Cliente_Mes!$B$2:$B$433,$A84,Desconto_Cliente_Mes!$C$2:$C$433,"Umidade"),""))</f>
        <v/>
      </c>
      <c r="M85" s="10" t="str">
        <f aca="false">IF((SUMIFS(Desconto_Cliente_Mes!$D$2:$D$433,Desconto_Cliente_Mes!$A$2:$A$433,M$84,Desconto_Cliente_Mes!$B$2:$B$433,$A84,Desconto_Cliente_Mes!$C$2:$C$433,"Umidade"))=0,"",IFERROR(SUMIFS(Desconto_Cliente_Mes!$E$2:$E$433,Desconto_Cliente_Mes!$A$2:$A$433,M$84,Desconto_Cliente_Mes!$B$2:$B$433,$A84,Desconto_Cliente_Mes!$C$2:$C$433,"Umidade"),""))</f>
        <v/>
      </c>
      <c r="N85" s="11" t="n">
        <f aca="false">IFERROR(Media_Pool_Mes!D9,"")</f>
        <v>12.2068387200965</v>
      </c>
    </row>
    <row r="86" customFormat="false" ht="15" hidden="false" customHeight="false" outlineLevel="0" collapsed="false">
      <c r="A86" s="13" t="s">
        <v>75</v>
      </c>
      <c r="B86" s="8" t="n">
        <f aca="false">IFERROR(SUMIFS(Desconto_Cliente_Mes!$D$2:$D$433,Desconto_Cliente_Mes!$A$2:$A$433,B$84,Desconto_Cliente_Mes!$B$2:$B$433,$A84,Desconto_Cliente_Mes!$C$2:$C$433,"Umidade"),0)</f>
        <v>44263.22</v>
      </c>
      <c r="C86" s="8" t="n">
        <f aca="false">IFERROR(SUMIFS(Desconto_Cliente_Mes!$D$2:$D$433,Desconto_Cliente_Mes!$A$2:$A$433,C$84,Desconto_Cliente_Mes!$B$2:$B$433,$A84,Desconto_Cliente_Mes!$C$2:$C$433,"Umidade"),0)</f>
        <v>43335.41</v>
      </c>
      <c r="D86" s="8" t="n">
        <f aca="false">IFERROR(SUMIFS(Desconto_Cliente_Mes!$D$2:$D$433,Desconto_Cliente_Mes!$A$2:$A$433,D$84,Desconto_Cliente_Mes!$B$2:$B$433,$A84,Desconto_Cliente_Mes!$C$2:$C$433,"Umidade"),0)</f>
        <v>77775.89</v>
      </c>
      <c r="E86" s="8" t="n">
        <f aca="false">IFERROR(SUMIFS(Desconto_Cliente_Mes!$D$2:$D$433,Desconto_Cliente_Mes!$A$2:$A$433,E$84,Desconto_Cliente_Mes!$B$2:$B$433,$A84,Desconto_Cliente_Mes!$C$2:$C$433,"Umidade"),0)</f>
        <v>5005.2</v>
      </c>
      <c r="F86" s="8" t="n">
        <f aca="false">IFERROR(SUMIFS(Desconto_Cliente_Mes!$D$2:$D$433,Desconto_Cliente_Mes!$A$2:$A$433,F$84,Desconto_Cliente_Mes!$B$2:$B$433,$A84,Desconto_Cliente_Mes!$C$2:$C$433,"Umidade"),0)</f>
        <v>70028.07</v>
      </c>
      <c r="G86" s="8" t="n">
        <f aca="false">IFERROR(SUMIFS(Desconto_Cliente_Mes!$D$2:$D$433,Desconto_Cliente_Mes!$A$2:$A$433,G$84,Desconto_Cliente_Mes!$B$2:$B$433,$A84,Desconto_Cliente_Mes!$C$2:$C$433,"Umidade"),0)</f>
        <v>47668.74</v>
      </c>
      <c r="H86" s="8" t="n">
        <f aca="false">IFERROR(SUMIFS(Desconto_Cliente_Mes!$D$2:$D$433,Desconto_Cliente_Mes!$A$2:$A$433,H$84,Desconto_Cliente_Mes!$B$2:$B$433,$A84,Desconto_Cliente_Mes!$C$2:$C$433,"Umidade"),0)</f>
        <v>78501.68</v>
      </c>
      <c r="I86" s="8" t="n">
        <f aca="false">IFERROR(SUMIFS(Desconto_Cliente_Mes!$D$2:$D$433,Desconto_Cliente_Mes!$A$2:$A$433,I$84,Desconto_Cliente_Mes!$B$2:$B$433,$A84,Desconto_Cliente_Mes!$C$2:$C$433,"Umidade"),0)</f>
        <v>11582.49</v>
      </c>
      <c r="J86" s="8" t="n">
        <f aca="false">IFERROR(SUMIFS(Desconto_Cliente_Mes!$D$2:$D$433,Desconto_Cliente_Mes!$A$2:$A$433,J$84,Desconto_Cliente_Mes!$B$2:$B$433,$A84,Desconto_Cliente_Mes!$C$2:$C$433,"Umidade"),0)</f>
        <v>0</v>
      </c>
      <c r="K86" s="8" t="n">
        <f aca="false">IFERROR(SUMIFS(Desconto_Cliente_Mes!$D$2:$D$433,Desconto_Cliente_Mes!$A$2:$A$433,K$84,Desconto_Cliente_Mes!$B$2:$B$433,$A84,Desconto_Cliente_Mes!$C$2:$C$433,"Umidade"),0)</f>
        <v>33862.86</v>
      </c>
      <c r="L86" s="8" t="n">
        <f aca="false">IFERROR(SUMIFS(Desconto_Cliente_Mes!$D$2:$D$433,Desconto_Cliente_Mes!$A$2:$A$433,L$84,Desconto_Cliente_Mes!$B$2:$B$433,$A84,Desconto_Cliente_Mes!$C$2:$C$433,"Umidade"),0)</f>
        <v>0</v>
      </c>
      <c r="M86" s="8" t="n">
        <f aca="false">IFERROR(SUMIFS(Desconto_Cliente_Mes!$D$2:$D$433,Desconto_Cliente_Mes!$A$2:$A$433,M$84,Desconto_Cliente_Mes!$B$2:$B$433,$A84,Desconto_Cliente_Mes!$C$2:$C$433,"Umidade"),0)</f>
        <v>0</v>
      </c>
      <c r="N86" s="9" t="n">
        <f aca="false">SUM(B86:M86)</f>
        <v>412023.56</v>
      </c>
    </row>
    <row r="87" customFormat="false" ht="15" hidden="false" customHeight="false" outlineLevel="0" collapsed="false">
      <c r="A87" s="13" t="s">
        <v>76</v>
      </c>
      <c r="B87" s="15" t="n">
        <f aca="false">MAX(0,(SUMIFS(Desconto_Cliente_Mes!$L$2:$L$433,Desconto_Cliente_Mes!$A$2:$A$433,B$84,Desconto_Cliente_Mes!$B$2:$B$433,$A84,Desconto_Cliente_Mes!$C$2:$C$433,"Umidade"))-(SUMIFS(Desconto_Cliente_Mes!$N$2:$N$433,Desconto_Cliente_Mes!$A$2:$A$433,B$84,Desconto_Cliente_Mes!$B$2:$B$433,$A84,Desconto_Cliente_Mes!$C$2:$C$433,"Umidade")))</f>
        <v>0</v>
      </c>
      <c r="C87" s="15" t="n">
        <f aca="false">MAX(0,(SUMIFS(Desconto_Cliente_Mes!$L$2:$L$433,Desconto_Cliente_Mes!$A$2:$A$433,C$84,Desconto_Cliente_Mes!$B$2:$B$433,$A84,Desconto_Cliente_Mes!$C$2:$C$433,"Umidade"))-(SUMIFS(Desconto_Cliente_Mes!$N$2:$N$433,Desconto_Cliente_Mes!$A$2:$A$433,C$84,Desconto_Cliente_Mes!$B$2:$B$433,$A84,Desconto_Cliente_Mes!$C$2:$C$433,"Umidade")))</f>
        <v>0</v>
      </c>
      <c r="D87" s="15" t="n">
        <f aca="false">MAX(0,(SUMIFS(Desconto_Cliente_Mes!$L$2:$L$433,Desconto_Cliente_Mes!$A$2:$A$433,D$84,Desconto_Cliente_Mes!$B$2:$B$433,$A84,Desconto_Cliente_Mes!$C$2:$C$433,"Umidade"))-(SUMIFS(Desconto_Cliente_Mes!$N$2:$N$433,Desconto_Cliente_Mes!$A$2:$A$433,D$84,Desconto_Cliente_Mes!$B$2:$B$433,$A84,Desconto_Cliente_Mes!$C$2:$C$433,"Umidade")))</f>
        <v>0</v>
      </c>
      <c r="E87" s="15" t="n">
        <f aca="false">MAX(0,(SUMIFS(Desconto_Cliente_Mes!$L$2:$L$433,Desconto_Cliente_Mes!$A$2:$A$433,E$84,Desconto_Cliente_Mes!$B$2:$B$433,$A84,Desconto_Cliente_Mes!$C$2:$C$433,"Umidade"))-(SUMIFS(Desconto_Cliente_Mes!$N$2:$N$433,Desconto_Cliente_Mes!$A$2:$A$433,E$84,Desconto_Cliente_Mes!$B$2:$B$433,$A84,Desconto_Cliente_Mes!$C$2:$C$433,"Umidade")))</f>
        <v>0</v>
      </c>
      <c r="F87" s="15" t="n">
        <f aca="false">MAX(0,(SUMIFS(Desconto_Cliente_Mes!$L$2:$L$433,Desconto_Cliente_Mes!$A$2:$A$433,F$84,Desconto_Cliente_Mes!$B$2:$B$433,$A84,Desconto_Cliente_Mes!$C$2:$C$433,"Umidade"))-(SUMIFS(Desconto_Cliente_Mes!$N$2:$N$433,Desconto_Cliente_Mes!$A$2:$A$433,F$84,Desconto_Cliente_Mes!$B$2:$B$433,$A84,Desconto_Cliente_Mes!$C$2:$C$433,"Umidade")))</f>
        <v>0</v>
      </c>
      <c r="G87" s="15" t="n">
        <f aca="false">MAX(0,(SUMIFS(Desconto_Cliente_Mes!$L$2:$L$433,Desconto_Cliente_Mes!$A$2:$A$433,G$84,Desconto_Cliente_Mes!$B$2:$B$433,$A84,Desconto_Cliente_Mes!$C$2:$C$433,"Umidade"))-(SUMIFS(Desconto_Cliente_Mes!$N$2:$N$433,Desconto_Cliente_Mes!$A$2:$A$433,G$84,Desconto_Cliente_Mes!$B$2:$B$433,$A84,Desconto_Cliente_Mes!$C$2:$C$433,"Umidade")))</f>
        <v>0</v>
      </c>
      <c r="H87" s="15" t="n">
        <f aca="false">MAX(0,(SUMIFS(Desconto_Cliente_Mes!$L$2:$L$433,Desconto_Cliente_Mes!$A$2:$A$433,H$84,Desconto_Cliente_Mes!$B$2:$B$433,$A84,Desconto_Cliente_Mes!$C$2:$C$433,"Umidade"))-(SUMIFS(Desconto_Cliente_Mes!$N$2:$N$433,Desconto_Cliente_Mes!$A$2:$A$433,H$84,Desconto_Cliente_Mes!$B$2:$B$433,$A84,Desconto_Cliente_Mes!$C$2:$C$433,"Umidade")))</f>
        <v>0</v>
      </c>
      <c r="I87" s="15" t="n">
        <f aca="false">MAX(0,(SUMIFS(Desconto_Cliente_Mes!$L$2:$L$433,Desconto_Cliente_Mes!$A$2:$A$433,I$84,Desconto_Cliente_Mes!$B$2:$B$433,$A84,Desconto_Cliente_Mes!$C$2:$C$433,"Umidade"))-(SUMIFS(Desconto_Cliente_Mes!$N$2:$N$433,Desconto_Cliente_Mes!$A$2:$A$433,I$84,Desconto_Cliente_Mes!$B$2:$B$433,$A84,Desconto_Cliente_Mes!$C$2:$C$433,"Umidade")))</f>
        <v>0</v>
      </c>
      <c r="J87" s="15" t="n">
        <f aca="false">MAX(0,(SUMIFS(Desconto_Cliente_Mes!$L$2:$L$433,Desconto_Cliente_Mes!$A$2:$A$433,J$84,Desconto_Cliente_Mes!$B$2:$B$433,$A84,Desconto_Cliente_Mes!$C$2:$C$433,"Umidade"))-(SUMIFS(Desconto_Cliente_Mes!$N$2:$N$433,Desconto_Cliente_Mes!$A$2:$A$433,J$84,Desconto_Cliente_Mes!$B$2:$B$433,$A84,Desconto_Cliente_Mes!$C$2:$C$433,"Umidade")))</f>
        <v>0</v>
      </c>
      <c r="K87" s="15" t="n">
        <f aca="false">MAX(0,(SUMIFS(Desconto_Cliente_Mes!$L$2:$L$433,Desconto_Cliente_Mes!$A$2:$A$433,K$84,Desconto_Cliente_Mes!$B$2:$B$433,$A84,Desconto_Cliente_Mes!$C$2:$C$433,"Umidade"))-(SUMIFS(Desconto_Cliente_Mes!$N$2:$N$433,Desconto_Cliente_Mes!$A$2:$A$433,K$84,Desconto_Cliente_Mes!$B$2:$B$433,$A84,Desconto_Cliente_Mes!$C$2:$C$433,"Umidade")))</f>
        <v>0.497700536812307</v>
      </c>
      <c r="L87" s="15" t="n">
        <f aca="false">MAX(0,(SUMIFS(Desconto_Cliente_Mes!$L$2:$L$433,Desconto_Cliente_Mes!$A$2:$A$433,L$84,Desconto_Cliente_Mes!$B$2:$B$433,$A84,Desconto_Cliente_Mes!$C$2:$C$433,"Umidade"))-(SUMIFS(Desconto_Cliente_Mes!$N$2:$N$433,Desconto_Cliente_Mes!$A$2:$A$433,L$84,Desconto_Cliente_Mes!$B$2:$B$433,$A84,Desconto_Cliente_Mes!$C$2:$C$433,"Umidade")))</f>
        <v>0</v>
      </c>
      <c r="M87" s="15" t="n">
        <f aca="false">MAX(0,(SUMIFS(Desconto_Cliente_Mes!$L$2:$L$433,Desconto_Cliente_Mes!$A$2:$A$433,M$84,Desconto_Cliente_Mes!$B$2:$B$433,$A84,Desconto_Cliente_Mes!$C$2:$C$433,"Umidade"))-(SUMIFS(Desconto_Cliente_Mes!$N$2:$N$433,Desconto_Cliente_Mes!$A$2:$A$433,M$84,Desconto_Cliente_Mes!$B$2:$B$433,$A84,Desconto_Cliente_Mes!$C$2:$C$433,"Umidade")))</f>
        <v>0</v>
      </c>
    </row>
    <row r="88" customFormat="false" ht="15" hidden="false" customHeight="false" outlineLevel="0" collapsed="false">
      <c r="A88" s="13" t="s">
        <v>77</v>
      </c>
      <c r="B88" s="15" t="n">
        <f aca="false">MAX(0,(SUMIFS(Desconto_Cliente_Mes!$N$2:$N$433,Desconto_Cliente_Mes!$A$2:$A$433,B$84,Desconto_Cliente_Mes!$B$2:$B$433,$A84,Desconto_Cliente_Mes!$C$2:$C$433,"Umidade"))-(SUMIFS(Desconto_Cliente_Mes!$P$2:$P$433,Desconto_Cliente_Mes!$A$2:$A$433,B$84,Desconto_Cliente_Mes!$B$2:$B$433,$A84,Desconto_Cliente_Mes!$C$2:$C$433,"Umidade")))</f>
        <v>0</v>
      </c>
      <c r="C88" s="15" t="n">
        <f aca="false">MAX(0,(SUMIFS(Desconto_Cliente_Mes!$N$2:$N$433,Desconto_Cliente_Mes!$A$2:$A$433,C$84,Desconto_Cliente_Mes!$B$2:$B$433,$A84,Desconto_Cliente_Mes!$C$2:$C$433,"Umidade"))-(SUMIFS(Desconto_Cliente_Mes!$P$2:$P$433,Desconto_Cliente_Mes!$A$2:$A$433,C$84,Desconto_Cliente_Mes!$B$2:$B$433,$A84,Desconto_Cliente_Mes!$C$2:$C$433,"Umidade")))</f>
        <v>0</v>
      </c>
      <c r="D88" s="15" t="n">
        <f aca="false">MAX(0,(SUMIFS(Desconto_Cliente_Mes!$N$2:$N$433,Desconto_Cliente_Mes!$A$2:$A$433,D$84,Desconto_Cliente_Mes!$B$2:$B$433,$A84,Desconto_Cliente_Mes!$C$2:$C$433,"Umidade"))-(SUMIFS(Desconto_Cliente_Mes!$P$2:$P$433,Desconto_Cliente_Mes!$A$2:$A$433,D$84,Desconto_Cliente_Mes!$B$2:$B$433,$A84,Desconto_Cliente_Mes!$C$2:$C$433,"Umidade")))</f>
        <v>0</v>
      </c>
      <c r="E88" s="15" t="n">
        <f aca="false">MAX(0,(SUMIFS(Desconto_Cliente_Mes!$N$2:$N$433,Desconto_Cliente_Mes!$A$2:$A$433,E$84,Desconto_Cliente_Mes!$B$2:$B$433,$A84,Desconto_Cliente_Mes!$C$2:$C$433,"Umidade"))-(SUMIFS(Desconto_Cliente_Mes!$P$2:$P$433,Desconto_Cliente_Mes!$A$2:$A$433,E$84,Desconto_Cliente_Mes!$B$2:$B$433,$A84,Desconto_Cliente_Mes!$C$2:$C$433,"Umidade")))</f>
        <v>0</v>
      </c>
      <c r="F88" s="15" t="n">
        <f aca="false">MAX(0,(SUMIFS(Desconto_Cliente_Mes!$N$2:$N$433,Desconto_Cliente_Mes!$A$2:$A$433,F$84,Desconto_Cliente_Mes!$B$2:$B$433,$A84,Desconto_Cliente_Mes!$C$2:$C$433,"Umidade"))-(SUMIFS(Desconto_Cliente_Mes!$P$2:$P$433,Desconto_Cliente_Mes!$A$2:$A$433,F$84,Desconto_Cliente_Mes!$B$2:$B$433,$A84,Desconto_Cliente_Mes!$C$2:$C$433,"Umidade")))</f>
        <v>0</v>
      </c>
      <c r="G88" s="15" t="n">
        <f aca="false">MAX(0,(SUMIFS(Desconto_Cliente_Mes!$N$2:$N$433,Desconto_Cliente_Mes!$A$2:$A$433,G$84,Desconto_Cliente_Mes!$B$2:$B$433,$A84,Desconto_Cliente_Mes!$C$2:$C$433,"Umidade"))-(SUMIFS(Desconto_Cliente_Mes!$P$2:$P$433,Desconto_Cliente_Mes!$A$2:$A$433,G$84,Desconto_Cliente_Mes!$B$2:$B$433,$A84,Desconto_Cliente_Mes!$C$2:$C$433,"Umidade")))</f>
        <v>0</v>
      </c>
      <c r="H88" s="15" t="n">
        <f aca="false">MAX(0,(SUMIFS(Desconto_Cliente_Mes!$N$2:$N$433,Desconto_Cliente_Mes!$A$2:$A$433,H$84,Desconto_Cliente_Mes!$B$2:$B$433,$A84,Desconto_Cliente_Mes!$C$2:$C$433,"Umidade"))-(SUMIFS(Desconto_Cliente_Mes!$P$2:$P$433,Desconto_Cliente_Mes!$A$2:$A$433,H$84,Desconto_Cliente_Mes!$B$2:$B$433,$A84,Desconto_Cliente_Mes!$C$2:$C$433,"Umidade")))</f>
        <v>0</v>
      </c>
      <c r="I88" s="15" t="n">
        <f aca="false">MAX(0,(SUMIFS(Desconto_Cliente_Mes!$N$2:$N$433,Desconto_Cliente_Mes!$A$2:$A$433,I$84,Desconto_Cliente_Mes!$B$2:$B$433,$A84,Desconto_Cliente_Mes!$C$2:$C$433,"Umidade"))-(SUMIFS(Desconto_Cliente_Mes!$P$2:$P$433,Desconto_Cliente_Mes!$A$2:$A$433,I$84,Desconto_Cliente_Mes!$B$2:$B$433,$A84,Desconto_Cliente_Mes!$C$2:$C$433,"Umidade")))</f>
        <v>0</v>
      </c>
      <c r="J88" s="15" t="n">
        <f aca="false">MAX(0,(SUMIFS(Desconto_Cliente_Mes!$N$2:$N$433,Desconto_Cliente_Mes!$A$2:$A$433,J$84,Desconto_Cliente_Mes!$B$2:$B$433,$A84,Desconto_Cliente_Mes!$C$2:$C$433,"Umidade"))-(SUMIFS(Desconto_Cliente_Mes!$P$2:$P$433,Desconto_Cliente_Mes!$A$2:$A$433,J$84,Desconto_Cliente_Mes!$B$2:$B$433,$A84,Desconto_Cliente_Mes!$C$2:$C$433,"Umidade")))</f>
        <v>0</v>
      </c>
      <c r="K88" s="15" t="n">
        <f aca="false">MAX(0,(SUMIFS(Desconto_Cliente_Mes!$N$2:$N$433,Desconto_Cliente_Mes!$A$2:$A$433,K$84,Desconto_Cliente_Mes!$B$2:$B$433,$A84,Desconto_Cliente_Mes!$C$2:$C$433,"Umidade"))-(SUMIFS(Desconto_Cliente_Mes!$P$2:$P$433,Desconto_Cliente_Mes!$A$2:$A$433,K$84,Desconto_Cliente_Mes!$B$2:$B$433,$A84,Desconto_Cliente_Mes!$C$2:$C$433,"Umidade")))</f>
        <v>0</v>
      </c>
      <c r="L88" s="15" t="n">
        <f aca="false">MAX(0,(SUMIFS(Desconto_Cliente_Mes!$N$2:$N$433,Desconto_Cliente_Mes!$A$2:$A$433,L$84,Desconto_Cliente_Mes!$B$2:$B$433,$A84,Desconto_Cliente_Mes!$C$2:$C$433,"Umidade"))-(SUMIFS(Desconto_Cliente_Mes!$P$2:$P$433,Desconto_Cliente_Mes!$A$2:$A$433,L$84,Desconto_Cliente_Mes!$B$2:$B$433,$A84,Desconto_Cliente_Mes!$C$2:$C$433,"Umidade")))</f>
        <v>0</v>
      </c>
      <c r="M88" s="15" t="n">
        <f aca="false">MAX(0,(SUMIFS(Desconto_Cliente_Mes!$N$2:$N$433,Desconto_Cliente_Mes!$A$2:$A$433,M$84,Desconto_Cliente_Mes!$B$2:$B$433,$A84,Desconto_Cliente_Mes!$C$2:$C$433,"Umidade"))-(SUMIFS(Desconto_Cliente_Mes!$P$2:$P$433,Desconto_Cliente_Mes!$A$2:$A$433,M$84,Desconto_Cliente_Mes!$B$2:$B$433,$A84,Desconto_Cliente_Mes!$C$2:$C$433,"Umidade")))</f>
        <v>0</v>
      </c>
    </row>
    <row r="89" customFormat="false" ht="15" hidden="false" customHeight="false" outlineLevel="0" collapsed="false">
      <c r="A89" s="13" t="s">
        <v>78</v>
      </c>
      <c r="B89" s="15" t="n">
        <f aca="false">MAX(0,SUMIFS(Desconto_Cliente_Mes!$P$2:$P$433,Desconto_Cliente_Mes!$A$2:$A$433,B$84,Desconto_Cliente_Mes!$B$2:$B$433,$A84,Desconto_Cliente_Mes!$C$2:$C$433,"Umidade"))</f>
        <v>0</v>
      </c>
      <c r="C89" s="15" t="n">
        <f aca="false">MAX(0,SUMIFS(Desconto_Cliente_Mes!$P$2:$P$433,Desconto_Cliente_Mes!$A$2:$A$433,C$84,Desconto_Cliente_Mes!$B$2:$B$433,$A84,Desconto_Cliente_Mes!$C$2:$C$433,"Umidade"))</f>
        <v>0</v>
      </c>
      <c r="D89" s="15" t="n">
        <f aca="false">MAX(0,SUMIFS(Desconto_Cliente_Mes!$P$2:$P$433,Desconto_Cliente_Mes!$A$2:$A$433,D$84,Desconto_Cliente_Mes!$B$2:$B$433,$A84,Desconto_Cliente_Mes!$C$2:$C$433,"Umidade"))</f>
        <v>0</v>
      </c>
      <c r="E89" s="15" t="n">
        <f aca="false">MAX(0,SUMIFS(Desconto_Cliente_Mes!$P$2:$P$433,Desconto_Cliente_Mes!$A$2:$A$433,E$84,Desconto_Cliente_Mes!$B$2:$B$433,$A84,Desconto_Cliente_Mes!$C$2:$C$433,"Umidade"))</f>
        <v>0</v>
      </c>
      <c r="F89" s="15" t="n">
        <f aca="false">MAX(0,SUMIFS(Desconto_Cliente_Mes!$P$2:$P$433,Desconto_Cliente_Mes!$A$2:$A$433,F$84,Desconto_Cliente_Mes!$B$2:$B$433,$A84,Desconto_Cliente_Mes!$C$2:$C$433,"Umidade"))</f>
        <v>0</v>
      </c>
      <c r="G89" s="15" t="n">
        <f aca="false">MAX(0,SUMIFS(Desconto_Cliente_Mes!$P$2:$P$433,Desconto_Cliente_Mes!$A$2:$A$433,G$84,Desconto_Cliente_Mes!$B$2:$B$433,$A84,Desconto_Cliente_Mes!$C$2:$C$433,"Umidade"))</f>
        <v>0</v>
      </c>
      <c r="H89" s="15" t="n">
        <f aca="false">MAX(0,SUMIFS(Desconto_Cliente_Mes!$P$2:$P$433,Desconto_Cliente_Mes!$A$2:$A$433,H$84,Desconto_Cliente_Mes!$B$2:$B$433,$A84,Desconto_Cliente_Mes!$C$2:$C$433,"Umidade"))</f>
        <v>0</v>
      </c>
      <c r="I89" s="15" t="n">
        <f aca="false">MAX(0,SUMIFS(Desconto_Cliente_Mes!$P$2:$P$433,Desconto_Cliente_Mes!$A$2:$A$433,I$84,Desconto_Cliente_Mes!$B$2:$B$433,$A84,Desconto_Cliente_Mes!$C$2:$C$433,"Umidade"))</f>
        <v>0</v>
      </c>
      <c r="J89" s="15" t="n">
        <f aca="false">MAX(0,SUMIFS(Desconto_Cliente_Mes!$P$2:$P$433,Desconto_Cliente_Mes!$A$2:$A$433,J$84,Desconto_Cliente_Mes!$B$2:$B$433,$A84,Desconto_Cliente_Mes!$C$2:$C$433,"Umidade"))</f>
        <v>0</v>
      </c>
      <c r="K89" s="15" t="n">
        <f aca="false">MAX(0,SUMIFS(Desconto_Cliente_Mes!$P$2:$P$433,Desconto_Cliente_Mes!$A$2:$A$433,K$84,Desconto_Cliente_Mes!$B$2:$B$433,$A84,Desconto_Cliente_Mes!$C$2:$C$433,"Umidade"))</f>
        <v>0</v>
      </c>
      <c r="L89" s="15" t="n">
        <f aca="false">MAX(0,SUMIFS(Desconto_Cliente_Mes!$P$2:$P$433,Desconto_Cliente_Mes!$A$2:$A$433,L$84,Desconto_Cliente_Mes!$B$2:$B$433,$A84,Desconto_Cliente_Mes!$C$2:$C$433,"Umidade"))</f>
        <v>0</v>
      </c>
      <c r="M89" s="15" t="n">
        <f aca="false">MAX(0,SUMIFS(Desconto_Cliente_Mes!$P$2:$P$433,Desconto_Cliente_Mes!$A$2:$A$433,M$84,Desconto_Cliente_Mes!$B$2:$B$433,$A84,Desconto_Cliente_Mes!$C$2:$C$433,"Umidade"))</f>
        <v>0</v>
      </c>
    </row>
    <row r="90" customFormat="false" ht="15" hidden="false" customHeight="false" outlineLevel="0" collapsed="false">
      <c r="A90" s="13" t="s">
        <v>79</v>
      </c>
      <c r="B90" s="16" t="n">
        <f aca="false">$B$86*($B$87/100)*(SUMIFS(Desconto_Cliente_Mes!$Q$2:$Q$433,Desconto_Cliente_Mes!$A$2:$A$433,B$84,Desconto_Cliente_Mes!$B$2:$B$433,$A84,Desconto_Cliente_Mes!$C$2:$C$433,"Umidade"))*(SUMIFS(Desconto_Cliente_Mes!$T$2:$T$433,Desconto_Cliente_Mes!$A$2:$A$433,B$84,Desconto_Cliente_Mes!$B$2:$B$433,$A84,Desconto_Cliente_Mes!$C$2:$C$433,"Umidade"))</f>
        <v>0</v>
      </c>
      <c r="C90" s="16" t="n">
        <f aca="false">$C$86*($C$87/100)*(SUMIFS(Desconto_Cliente_Mes!$Q$2:$Q$433,Desconto_Cliente_Mes!$A$2:$A$433,C$84,Desconto_Cliente_Mes!$B$2:$B$433,$A84,Desconto_Cliente_Mes!$C$2:$C$433,"Umidade"))*(SUMIFS(Desconto_Cliente_Mes!$T$2:$T$433,Desconto_Cliente_Mes!$A$2:$A$433,C$84,Desconto_Cliente_Mes!$B$2:$B$433,$A84,Desconto_Cliente_Mes!$C$2:$C$433,"Umidade"))</f>
        <v>0</v>
      </c>
      <c r="D90" s="16" t="n">
        <f aca="false">$D$86*($D$87/100)*(SUMIFS(Desconto_Cliente_Mes!$Q$2:$Q$433,Desconto_Cliente_Mes!$A$2:$A$433,D$84,Desconto_Cliente_Mes!$B$2:$B$433,$A84,Desconto_Cliente_Mes!$C$2:$C$433,"Umidade"))*(SUMIFS(Desconto_Cliente_Mes!$T$2:$T$433,Desconto_Cliente_Mes!$A$2:$A$433,D$84,Desconto_Cliente_Mes!$B$2:$B$433,$A84,Desconto_Cliente_Mes!$C$2:$C$433,"Umidade"))</f>
        <v>0</v>
      </c>
      <c r="E90" s="16" t="n">
        <f aca="false">$E$86*($E$87/100)*(SUMIFS(Desconto_Cliente_Mes!$Q$2:$Q$433,Desconto_Cliente_Mes!$A$2:$A$433,E$84,Desconto_Cliente_Mes!$B$2:$B$433,$A84,Desconto_Cliente_Mes!$C$2:$C$433,"Umidade"))*(SUMIFS(Desconto_Cliente_Mes!$T$2:$T$433,Desconto_Cliente_Mes!$A$2:$A$433,E$84,Desconto_Cliente_Mes!$B$2:$B$433,$A84,Desconto_Cliente_Mes!$C$2:$C$433,"Umidade"))</f>
        <v>0</v>
      </c>
      <c r="F90" s="16" t="n">
        <f aca="false">$F$86*($F$87/100)*(SUMIFS(Desconto_Cliente_Mes!$Q$2:$Q$433,Desconto_Cliente_Mes!$A$2:$A$433,F$84,Desconto_Cliente_Mes!$B$2:$B$433,$A84,Desconto_Cliente_Mes!$C$2:$C$433,"Umidade"))*(SUMIFS(Desconto_Cliente_Mes!$T$2:$T$433,Desconto_Cliente_Mes!$A$2:$A$433,F$84,Desconto_Cliente_Mes!$B$2:$B$433,$A84,Desconto_Cliente_Mes!$C$2:$C$433,"Umidade"))</f>
        <v>0</v>
      </c>
      <c r="G90" s="16" t="n">
        <f aca="false">$G$86*($G$87/100)*(SUMIFS(Desconto_Cliente_Mes!$Q$2:$Q$433,Desconto_Cliente_Mes!$A$2:$A$433,G$84,Desconto_Cliente_Mes!$B$2:$B$433,$A84,Desconto_Cliente_Mes!$C$2:$C$433,"Umidade"))*(SUMIFS(Desconto_Cliente_Mes!$T$2:$T$433,Desconto_Cliente_Mes!$A$2:$A$433,G$84,Desconto_Cliente_Mes!$B$2:$B$433,$A84,Desconto_Cliente_Mes!$C$2:$C$433,"Umidade"))</f>
        <v>0</v>
      </c>
      <c r="H90" s="16" t="n">
        <f aca="false">$H$86*($H$87/100)*(SUMIFS(Desconto_Cliente_Mes!$Q$2:$Q$433,Desconto_Cliente_Mes!$A$2:$A$433,H$84,Desconto_Cliente_Mes!$B$2:$B$433,$A84,Desconto_Cliente_Mes!$C$2:$C$433,"Umidade"))*(SUMIFS(Desconto_Cliente_Mes!$T$2:$T$433,Desconto_Cliente_Mes!$A$2:$A$433,H$84,Desconto_Cliente_Mes!$B$2:$B$433,$A84,Desconto_Cliente_Mes!$C$2:$C$433,"Umidade"))</f>
        <v>0</v>
      </c>
      <c r="I90" s="16" t="n">
        <f aca="false">$I$86*($I$87/100)*(SUMIFS(Desconto_Cliente_Mes!$Q$2:$Q$433,Desconto_Cliente_Mes!$A$2:$A$433,I$84,Desconto_Cliente_Mes!$B$2:$B$433,$A84,Desconto_Cliente_Mes!$C$2:$C$433,"Umidade"))*(SUMIFS(Desconto_Cliente_Mes!$T$2:$T$433,Desconto_Cliente_Mes!$A$2:$A$433,I$84,Desconto_Cliente_Mes!$B$2:$B$433,$A84,Desconto_Cliente_Mes!$C$2:$C$433,"Umidade"))</f>
        <v>0</v>
      </c>
      <c r="J90" s="16" t="n">
        <f aca="false">$J$86*($J$87/100)*(SUMIFS(Desconto_Cliente_Mes!$Q$2:$Q$433,Desconto_Cliente_Mes!$A$2:$A$433,J$84,Desconto_Cliente_Mes!$B$2:$B$433,$A84,Desconto_Cliente_Mes!$C$2:$C$433,"Umidade"))*(SUMIFS(Desconto_Cliente_Mes!$T$2:$T$433,Desconto_Cliente_Mes!$A$2:$A$433,J$84,Desconto_Cliente_Mes!$B$2:$B$433,$A84,Desconto_Cliente_Mes!$C$2:$C$433,"Umidade"))</f>
        <v>0</v>
      </c>
      <c r="K90" s="16" t="n">
        <f aca="false">$K$86*($K$87/100)*(SUMIFS(Desconto_Cliente_Mes!$Q$2:$Q$433,Desconto_Cliente_Mes!$A$2:$A$433,K$84,Desconto_Cliente_Mes!$B$2:$B$433,$A84,Desconto_Cliente_Mes!$C$2:$C$433,"Umidade"))*(SUMIFS(Desconto_Cliente_Mes!$T$2:$T$433,Desconto_Cliente_Mes!$A$2:$A$433,K$84,Desconto_Cliente_Mes!$B$2:$B$433,$A84,Desconto_Cliente_Mes!$C$2:$C$433,"Umidade"))</f>
        <v>54942.617336</v>
      </c>
      <c r="L90" s="16" t="n">
        <f aca="false">$L$86*($L$87/100)*(SUMIFS(Desconto_Cliente_Mes!$Q$2:$Q$433,Desconto_Cliente_Mes!$A$2:$A$433,L$84,Desconto_Cliente_Mes!$B$2:$B$433,$A84,Desconto_Cliente_Mes!$C$2:$C$433,"Umidade"))*(SUMIFS(Desconto_Cliente_Mes!$T$2:$T$433,Desconto_Cliente_Mes!$A$2:$A$433,L$84,Desconto_Cliente_Mes!$B$2:$B$433,$A84,Desconto_Cliente_Mes!$C$2:$C$433,"Umidade"))</f>
        <v>0</v>
      </c>
      <c r="M90" s="16" t="n">
        <f aca="false">$M$86*($M$87/100)*(SUMIFS(Desconto_Cliente_Mes!$Q$2:$Q$433,Desconto_Cliente_Mes!$A$2:$A$433,M$84,Desconto_Cliente_Mes!$B$2:$B$433,$A84,Desconto_Cliente_Mes!$C$2:$C$433,"Umidade"))*(SUMIFS(Desconto_Cliente_Mes!$T$2:$T$433,Desconto_Cliente_Mes!$A$2:$A$433,M$84,Desconto_Cliente_Mes!$B$2:$B$433,$A84,Desconto_Cliente_Mes!$C$2:$C$433,"Umidade"))</f>
        <v>0</v>
      </c>
      <c r="N90" s="17" t="n">
        <f aca="false">SUM(B90:M90)</f>
        <v>54942.617336</v>
      </c>
    </row>
    <row r="91" customFormat="false" ht="15" hidden="false" customHeight="false" outlineLevel="0" collapsed="false">
      <c r="A91" s="13" t="s">
        <v>80</v>
      </c>
      <c r="B91" s="16" t="n">
        <f aca="false">$B$86*($B$88/100)*((IF(SUMIFS(Desconto_Cliente_Mes!$R$2:$R$433,Desconto_Cliente_Mes!$A$2:$A$433,B$84,Desconto_Cliente_Mes!$B$2:$B$433,$A84,Desconto_Cliente_Mes!$C$2:$C$433,"Umidade")="",SUMIFS(Desconto_Cliente_Mes!$Q$2:$Q$433,Desconto_Cliente_Mes!$A$2:$A$433,B$84,Desconto_Cliente_Mes!$B$2:$B$433,$A84,Desconto_Cliente_Mes!$C$2:$C$433,"Umidade"),SUMIFS(Desconto_Cliente_Mes!$R$2:$R$433,Desconto_Cliente_Mes!$A$2:$A$433,B$84,Desconto_Cliente_Mes!$B$2:$B$433,$A84,Desconto_Cliente_Mes!$C$2:$C$433,"Umidade")))-(SUMIFS(Desconto_Cliente_Mes!$Q$2:$Q$433,Desconto_Cliente_Mes!$A$2:$A$433,B$84,Desconto_Cliente_Mes!$B$2:$B$433,$A84,Desconto_Cliente_Mes!$C$2:$C$433,"Umidade")))*(SUMIFS(Desconto_Cliente_Mes!$T$2:$T$433,Desconto_Cliente_Mes!$A$2:$A$433,B$84,Desconto_Cliente_Mes!$B$2:$B$433,$A84,Desconto_Cliente_Mes!$C$2:$C$433,"Umidade"))</f>
        <v>-0</v>
      </c>
      <c r="C91" s="16" t="n">
        <f aca="false">$C$86*($C$88/100)*((IF(SUMIFS(Desconto_Cliente_Mes!$R$2:$R$433,Desconto_Cliente_Mes!$A$2:$A$433,C$84,Desconto_Cliente_Mes!$B$2:$B$433,$A84,Desconto_Cliente_Mes!$C$2:$C$433,"Umidade")="",SUMIFS(Desconto_Cliente_Mes!$Q$2:$Q$433,Desconto_Cliente_Mes!$A$2:$A$433,C$84,Desconto_Cliente_Mes!$B$2:$B$433,$A84,Desconto_Cliente_Mes!$C$2:$C$433,"Umidade"),SUMIFS(Desconto_Cliente_Mes!$R$2:$R$433,Desconto_Cliente_Mes!$A$2:$A$433,C$84,Desconto_Cliente_Mes!$B$2:$B$433,$A84,Desconto_Cliente_Mes!$C$2:$C$433,"Umidade")))-(SUMIFS(Desconto_Cliente_Mes!$Q$2:$Q$433,Desconto_Cliente_Mes!$A$2:$A$433,C$84,Desconto_Cliente_Mes!$B$2:$B$433,$A84,Desconto_Cliente_Mes!$C$2:$C$433,"Umidade")))*(SUMIFS(Desconto_Cliente_Mes!$T$2:$T$433,Desconto_Cliente_Mes!$A$2:$A$433,C$84,Desconto_Cliente_Mes!$B$2:$B$433,$A84,Desconto_Cliente_Mes!$C$2:$C$433,"Umidade"))</f>
        <v>-0</v>
      </c>
      <c r="D91" s="16" t="n">
        <f aca="false">$D$86*($D$88/100)*((IF(SUMIFS(Desconto_Cliente_Mes!$R$2:$R$433,Desconto_Cliente_Mes!$A$2:$A$433,D$84,Desconto_Cliente_Mes!$B$2:$B$433,$A84,Desconto_Cliente_Mes!$C$2:$C$433,"Umidade")="",SUMIFS(Desconto_Cliente_Mes!$Q$2:$Q$433,Desconto_Cliente_Mes!$A$2:$A$433,D$84,Desconto_Cliente_Mes!$B$2:$B$433,$A84,Desconto_Cliente_Mes!$C$2:$C$433,"Umidade"),SUMIFS(Desconto_Cliente_Mes!$R$2:$R$433,Desconto_Cliente_Mes!$A$2:$A$433,D$84,Desconto_Cliente_Mes!$B$2:$B$433,$A84,Desconto_Cliente_Mes!$C$2:$C$433,"Umidade")))-(SUMIFS(Desconto_Cliente_Mes!$Q$2:$Q$433,Desconto_Cliente_Mes!$A$2:$A$433,D$84,Desconto_Cliente_Mes!$B$2:$B$433,$A84,Desconto_Cliente_Mes!$C$2:$C$433,"Umidade")))*(SUMIFS(Desconto_Cliente_Mes!$T$2:$T$433,Desconto_Cliente_Mes!$A$2:$A$433,D$84,Desconto_Cliente_Mes!$B$2:$B$433,$A84,Desconto_Cliente_Mes!$C$2:$C$433,"Umidade"))</f>
        <v>-0</v>
      </c>
      <c r="E91" s="16" t="n">
        <f aca="false">$E$86*($E$88/100)*((IF(SUMIFS(Desconto_Cliente_Mes!$R$2:$R$433,Desconto_Cliente_Mes!$A$2:$A$433,E$84,Desconto_Cliente_Mes!$B$2:$B$433,$A84,Desconto_Cliente_Mes!$C$2:$C$433,"Umidade")="",SUMIFS(Desconto_Cliente_Mes!$Q$2:$Q$433,Desconto_Cliente_Mes!$A$2:$A$433,E$84,Desconto_Cliente_Mes!$B$2:$B$433,$A84,Desconto_Cliente_Mes!$C$2:$C$433,"Umidade"),SUMIFS(Desconto_Cliente_Mes!$R$2:$R$433,Desconto_Cliente_Mes!$A$2:$A$433,E$84,Desconto_Cliente_Mes!$B$2:$B$433,$A84,Desconto_Cliente_Mes!$C$2:$C$433,"Umidade")))-(SUMIFS(Desconto_Cliente_Mes!$Q$2:$Q$433,Desconto_Cliente_Mes!$A$2:$A$433,E$84,Desconto_Cliente_Mes!$B$2:$B$433,$A84,Desconto_Cliente_Mes!$C$2:$C$433,"Umidade")))*(SUMIFS(Desconto_Cliente_Mes!$T$2:$T$433,Desconto_Cliente_Mes!$A$2:$A$433,E$84,Desconto_Cliente_Mes!$B$2:$B$433,$A84,Desconto_Cliente_Mes!$C$2:$C$433,"Umidade"))</f>
        <v>-0</v>
      </c>
      <c r="F91" s="16" t="n">
        <f aca="false">$F$86*($F$88/100)*((IF(SUMIFS(Desconto_Cliente_Mes!$R$2:$R$433,Desconto_Cliente_Mes!$A$2:$A$433,F$84,Desconto_Cliente_Mes!$B$2:$B$433,$A84,Desconto_Cliente_Mes!$C$2:$C$433,"Umidade")="",SUMIFS(Desconto_Cliente_Mes!$Q$2:$Q$433,Desconto_Cliente_Mes!$A$2:$A$433,F$84,Desconto_Cliente_Mes!$B$2:$B$433,$A84,Desconto_Cliente_Mes!$C$2:$C$433,"Umidade"),SUMIFS(Desconto_Cliente_Mes!$R$2:$R$433,Desconto_Cliente_Mes!$A$2:$A$433,F$84,Desconto_Cliente_Mes!$B$2:$B$433,$A84,Desconto_Cliente_Mes!$C$2:$C$433,"Umidade")))-(SUMIFS(Desconto_Cliente_Mes!$Q$2:$Q$433,Desconto_Cliente_Mes!$A$2:$A$433,F$84,Desconto_Cliente_Mes!$B$2:$B$433,$A84,Desconto_Cliente_Mes!$C$2:$C$433,"Umidade")))*(SUMIFS(Desconto_Cliente_Mes!$T$2:$T$433,Desconto_Cliente_Mes!$A$2:$A$433,F$84,Desconto_Cliente_Mes!$B$2:$B$433,$A84,Desconto_Cliente_Mes!$C$2:$C$433,"Umidade"))</f>
        <v>-0</v>
      </c>
      <c r="G91" s="16" t="n">
        <f aca="false">$G$86*($G$88/100)*((IF(SUMIFS(Desconto_Cliente_Mes!$R$2:$R$433,Desconto_Cliente_Mes!$A$2:$A$433,G$84,Desconto_Cliente_Mes!$B$2:$B$433,$A84,Desconto_Cliente_Mes!$C$2:$C$433,"Umidade")="",SUMIFS(Desconto_Cliente_Mes!$Q$2:$Q$433,Desconto_Cliente_Mes!$A$2:$A$433,G$84,Desconto_Cliente_Mes!$B$2:$B$433,$A84,Desconto_Cliente_Mes!$C$2:$C$433,"Umidade"),SUMIFS(Desconto_Cliente_Mes!$R$2:$R$433,Desconto_Cliente_Mes!$A$2:$A$433,G$84,Desconto_Cliente_Mes!$B$2:$B$433,$A84,Desconto_Cliente_Mes!$C$2:$C$433,"Umidade")))-(SUMIFS(Desconto_Cliente_Mes!$Q$2:$Q$433,Desconto_Cliente_Mes!$A$2:$A$433,G$84,Desconto_Cliente_Mes!$B$2:$B$433,$A84,Desconto_Cliente_Mes!$C$2:$C$433,"Umidade")))*(SUMIFS(Desconto_Cliente_Mes!$T$2:$T$433,Desconto_Cliente_Mes!$A$2:$A$433,G$84,Desconto_Cliente_Mes!$B$2:$B$433,$A84,Desconto_Cliente_Mes!$C$2:$C$433,"Umidade"))</f>
        <v>-0</v>
      </c>
      <c r="H91" s="16" t="n">
        <f aca="false">$H$86*($H$88/100)*((IF(SUMIFS(Desconto_Cliente_Mes!$R$2:$R$433,Desconto_Cliente_Mes!$A$2:$A$433,H$84,Desconto_Cliente_Mes!$B$2:$B$433,$A84,Desconto_Cliente_Mes!$C$2:$C$433,"Umidade")="",SUMIFS(Desconto_Cliente_Mes!$Q$2:$Q$433,Desconto_Cliente_Mes!$A$2:$A$433,H$84,Desconto_Cliente_Mes!$B$2:$B$433,$A84,Desconto_Cliente_Mes!$C$2:$C$433,"Umidade"),SUMIFS(Desconto_Cliente_Mes!$R$2:$R$433,Desconto_Cliente_Mes!$A$2:$A$433,H$84,Desconto_Cliente_Mes!$B$2:$B$433,$A84,Desconto_Cliente_Mes!$C$2:$C$433,"Umidade")))-(SUMIFS(Desconto_Cliente_Mes!$Q$2:$Q$433,Desconto_Cliente_Mes!$A$2:$A$433,H$84,Desconto_Cliente_Mes!$B$2:$B$433,$A84,Desconto_Cliente_Mes!$C$2:$C$433,"Umidade")))*(SUMIFS(Desconto_Cliente_Mes!$T$2:$T$433,Desconto_Cliente_Mes!$A$2:$A$433,H$84,Desconto_Cliente_Mes!$B$2:$B$433,$A84,Desconto_Cliente_Mes!$C$2:$C$433,"Umidade"))</f>
        <v>-0</v>
      </c>
      <c r="I91" s="16" t="n">
        <f aca="false">$I$86*($I$88/100)*((IF(SUMIFS(Desconto_Cliente_Mes!$R$2:$R$433,Desconto_Cliente_Mes!$A$2:$A$433,I$84,Desconto_Cliente_Mes!$B$2:$B$433,$A84,Desconto_Cliente_Mes!$C$2:$C$433,"Umidade")="",SUMIFS(Desconto_Cliente_Mes!$Q$2:$Q$433,Desconto_Cliente_Mes!$A$2:$A$433,I$84,Desconto_Cliente_Mes!$B$2:$B$433,$A84,Desconto_Cliente_Mes!$C$2:$C$433,"Umidade"),SUMIFS(Desconto_Cliente_Mes!$R$2:$R$433,Desconto_Cliente_Mes!$A$2:$A$433,I$84,Desconto_Cliente_Mes!$B$2:$B$433,$A84,Desconto_Cliente_Mes!$C$2:$C$433,"Umidade")))-(SUMIFS(Desconto_Cliente_Mes!$Q$2:$Q$433,Desconto_Cliente_Mes!$A$2:$A$433,I$84,Desconto_Cliente_Mes!$B$2:$B$433,$A84,Desconto_Cliente_Mes!$C$2:$C$433,"Umidade")))*(SUMIFS(Desconto_Cliente_Mes!$T$2:$T$433,Desconto_Cliente_Mes!$A$2:$A$433,I$84,Desconto_Cliente_Mes!$B$2:$B$433,$A84,Desconto_Cliente_Mes!$C$2:$C$433,"Umidade"))</f>
        <v>-0</v>
      </c>
      <c r="J91" s="16" t="n">
        <f aca="false">$J$86*($J$88/100)*((IF(SUMIFS(Desconto_Cliente_Mes!$R$2:$R$433,Desconto_Cliente_Mes!$A$2:$A$433,J$84,Desconto_Cliente_Mes!$B$2:$B$433,$A84,Desconto_Cliente_Mes!$C$2:$C$433,"Umidade")="",SUMIFS(Desconto_Cliente_Mes!$Q$2:$Q$433,Desconto_Cliente_Mes!$A$2:$A$433,J$84,Desconto_Cliente_Mes!$B$2:$B$433,$A84,Desconto_Cliente_Mes!$C$2:$C$433,"Umidade"),SUMIFS(Desconto_Cliente_Mes!$R$2:$R$433,Desconto_Cliente_Mes!$A$2:$A$433,J$84,Desconto_Cliente_Mes!$B$2:$B$433,$A84,Desconto_Cliente_Mes!$C$2:$C$433,"Umidade")))-(SUMIFS(Desconto_Cliente_Mes!$Q$2:$Q$433,Desconto_Cliente_Mes!$A$2:$A$433,J$84,Desconto_Cliente_Mes!$B$2:$B$433,$A84,Desconto_Cliente_Mes!$C$2:$C$433,"Umidade")))*(SUMIFS(Desconto_Cliente_Mes!$T$2:$T$433,Desconto_Cliente_Mes!$A$2:$A$433,J$84,Desconto_Cliente_Mes!$B$2:$B$433,$A84,Desconto_Cliente_Mes!$C$2:$C$433,"Umidade"))</f>
        <v>-0</v>
      </c>
      <c r="K91" s="16" t="n">
        <f aca="false">$K$86*($K$88/100)*((IF(SUMIFS(Desconto_Cliente_Mes!$R$2:$R$433,Desconto_Cliente_Mes!$A$2:$A$433,K$84,Desconto_Cliente_Mes!$B$2:$B$433,$A84,Desconto_Cliente_Mes!$C$2:$C$433,"Umidade")="",SUMIFS(Desconto_Cliente_Mes!$Q$2:$Q$433,Desconto_Cliente_Mes!$A$2:$A$433,K$84,Desconto_Cliente_Mes!$B$2:$B$433,$A84,Desconto_Cliente_Mes!$C$2:$C$433,"Umidade"),SUMIFS(Desconto_Cliente_Mes!$R$2:$R$433,Desconto_Cliente_Mes!$A$2:$A$433,K$84,Desconto_Cliente_Mes!$B$2:$B$433,$A84,Desconto_Cliente_Mes!$C$2:$C$433,"Umidade")))-(SUMIFS(Desconto_Cliente_Mes!$Q$2:$Q$433,Desconto_Cliente_Mes!$A$2:$A$433,K$84,Desconto_Cliente_Mes!$B$2:$B$433,$A84,Desconto_Cliente_Mes!$C$2:$C$433,"Umidade")))*(SUMIFS(Desconto_Cliente_Mes!$T$2:$T$433,Desconto_Cliente_Mes!$A$2:$A$433,K$84,Desconto_Cliente_Mes!$B$2:$B$433,$A84,Desconto_Cliente_Mes!$C$2:$C$433,"Umidade"))</f>
        <v>-0</v>
      </c>
      <c r="L91" s="16" t="n">
        <f aca="false">$L$86*($L$88/100)*((IF(SUMIFS(Desconto_Cliente_Mes!$R$2:$R$433,Desconto_Cliente_Mes!$A$2:$A$433,L$84,Desconto_Cliente_Mes!$B$2:$B$433,$A84,Desconto_Cliente_Mes!$C$2:$C$433,"Umidade")="",SUMIFS(Desconto_Cliente_Mes!$Q$2:$Q$433,Desconto_Cliente_Mes!$A$2:$A$433,L$84,Desconto_Cliente_Mes!$B$2:$B$433,$A84,Desconto_Cliente_Mes!$C$2:$C$433,"Umidade"),SUMIFS(Desconto_Cliente_Mes!$R$2:$R$433,Desconto_Cliente_Mes!$A$2:$A$433,L$84,Desconto_Cliente_Mes!$B$2:$B$433,$A84,Desconto_Cliente_Mes!$C$2:$C$433,"Umidade")))-(SUMIFS(Desconto_Cliente_Mes!$Q$2:$Q$433,Desconto_Cliente_Mes!$A$2:$A$433,L$84,Desconto_Cliente_Mes!$B$2:$B$433,$A84,Desconto_Cliente_Mes!$C$2:$C$433,"Umidade")))*(SUMIFS(Desconto_Cliente_Mes!$T$2:$T$433,Desconto_Cliente_Mes!$A$2:$A$433,L$84,Desconto_Cliente_Mes!$B$2:$B$433,$A84,Desconto_Cliente_Mes!$C$2:$C$433,"Umidade"))</f>
        <v>-0</v>
      </c>
      <c r="M91" s="16" t="n">
        <f aca="false">$M$86*($M$88/100)*((IF(SUMIFS(Desconto_Cliente_Mes!$R$2:$R$433,Desconto_Cliente_Mes!$A$2:$A$433,M$84,Desconto_Cliente_Mes!$B$2:$B$433,$A84,Desconto_Cliente_Mes!$C$2:$C$433,"Umidade")="",SUMIFS(Desconto_Cliente_Mes!$Q$2:$Q$433,Desconto_Cliente_Mes!$A$2:$A$433,M$84,Desconto_Cliente_Mes!$B$2:$B$433,$A84,Desconto_Cliente_Mes!$C$2:$C$433,"Umidade"),SUMIFS(Desconto_Cliente_Mes!$R$2:$R$433,Desconto_Cliente_Mes!$A$2:$A$433,M$84,Desconto_Cliente_Mes!$B$2:$B$433,$A84,Desconto_Cliente_Mes!$C$2:$C$433,"Umidade")))-(SUMIFS(Desconto_Cliente_Mes!$Q$2:$Q$433,Desconto_Cliente_Mes!$A$2:$A$433,M$84,Desconto_Cliente_Mes!$B$2:$B$433,$A84,Desconto_Cliente_Mes!$C$2:$C$433,"Umidade")))*(SUMIFS(Desconto_Cliente_Mes!$T$2:$T$433,Desconto_Cliente_Mes!$A$2:$A$433,M$84,Desconto_Cliente_Mes!$B$2:$B$433,$A84,Desconto_Cliente_Mes!$C$2:$C$433,"Umidade"))</f>
        <v>-0</v>
      </c>
      <c r="N91" s="17" t="n">
        <f aca="false">SUM(B91:M91)</f>
        <v>0</v>
      </c>
    </row>
    <row r="92" customFormat="false" ht="15" hidden="false" customHeight="false" outlineLevel="0" collapsed="false">
      <c r="A92" s="13" t="s">
        <v>81</v>
      </c>
      <c r="B92" s="16" t="n">
        <f aca="false">$B$86*($B$89/100)*((IF(SUMIFS(Desconto_Cliente_Mes!$S$2:$S$433,Desconto_Cliente_Mes!$A$2:$A$433,B$84,Desconto_Cliente_Mes!$B$2:$B$433,$A84,Desconto_Cliente_Mes!$C$2:$C$433,"Umidade")="",(IF(SUMIFS(Desconto_Cliente_Mes!$R$2:$R$433,Desconto_Cliente_Mes!$A$2:$A$433,B$84,Desconto_Cliente_Mes!$B$2:$B$433,$A84,Desconto_Cliente_Mes!$C$2:$C$433,"Umidade")="",SUMIFS(Desconto_Cliente_Mes!$Q$2:$Q$433,Desconto_Cliente_Mes!$A$2:$A$433,B$84,Desconto_Cliente_Mes!$B$2:$B$433,$A84,Desconto_Cliente_Mes!$C$2:$C$433,"Umidade"),SUMIFS(Desconto_Cliente_Mes!$R$2:$R$433,Desconto_Cliente_Mes!$A$2:$A$433,B$84,Desconto_Cliente_Mes!$B$2:$B$433,$A84,Desconto_Cliente_Mes!$C$2:$C$433,"Umidade"))),SUMIFS(Desconto_Cliente_Mes!$S$2:$S$433,Desconto_Cliente_Mes!$A$2:$A$433,B$84,Desconto_Cliente_Mes!$B$2:$B$433,$A84,Desconto_Cliente_Mes!$C$2:$C$433,"Umidade")))-(IF(SUMIFS(Desconto_Cliente_Mes!$R$2:$R$433,Desconto_Cliente_Mes!$A$2:$A$433,B$84,Desconto_Cliente_Mes!$B$2:$B$433,$A84,Desconto_Cliente_Mes!$C$2:$C$433,"Umidade")="",SUMIFS(Desconto_Cliente_Mes!$Q$2:$Q$433,Desconto_Cliente_Mes!$A$2:$A$433,B$84,Desconto_Cliente_Mes!$B$2:$B$433,$A84,Desconto_Cliente_Mes!$C$2:$C$433,"Umidade"),SUMIFS(Desconto_Cliente_Mes!$R$2:$R$433,Desconto_Cliente_Mes!$A$2:$A$433,B$84,Desconto_Cliente_Mes!$B$2:$B$433,$A84,Desconto_Cliente_Mes!$C$2:$C$433,"Umidade"))))*(SUMIFS(Desconto_Cliente_Mes!$T$2:$T$433,Desconto_Cliente_Mes!$A$2:$A$433,B$84,Desconto_Cliente_Mes!$B$2:$B$433,$A84,Desconto_Cliente_Mes!$C$2:$C$433,"Umidade"))</f>
        <v>0</v>
      </c>
      <c r="C92" s="16" t="n">
        <f aca="false">$C$86*($C$89/100)*((IF(SUMIFS(Desconto_Cliente_Mes!$S$2:$S$433,Desconto_Cliente_Mes!$A$2:$A$433,C$84,Desconto_Cliente_Mes!$B$2:$B$433,$A84,Desconto_Cliente_Mes!$C$2:$C$433,"Umidade")="",(IF(SUMIFS(Desconto_Cliente_Mes!$R$2:$R$433,Desconto_Cliente_Mes!$A$2:$A$433,C$84,Desconto_Cliente_Mes!$B$2:$B$433,$A84,Desconto_Cliente_Mes!$C$2:$C$433,"Umidade")="",SUMIFS(Desconto_Cliente_Mes!$Q$2:$Q$433,Desconto_Cliente_Mes!$A$2:$A$433,C$84,Desconto_Cliente_Mes!$B$2:$B$433,$A84,Desconto_Cliente_Mes!$C$2:$C$433,"Umidade"),SUMIFS(Desconto_Cliente_Mes!$R$2:$R$433,Desconto_Cliente_Mes!$A$2:$A$433,C$84,Desconto_Cliente_Mes!$B$2:$B$433,$A84,Desconto_Cliente_Mes!$C$2:$C$433,"Umidade"))),SUMIFS(Desconto_Cliente_Mes!$S$2:$S$433,Desconto_Cliente_Mes!$A$2:$A$433,C$84,Desconto_Cliente_Mes!$B$2:$B$433,$A84,Desconto_Cliente_Mes!$C$2:$C$433,"Umidade")))-(IF(SUMIFS(Desconto_Cliente_Mes!$R$2:$R$433,Desconto_Cliente_Mes!$A$2:$A$433,C$84,Desconto_Cliente_Mes!$B$2:$B$433,$A84,Desconto_Cliente_Mes!$C$2:$C$433,"Umidade")="",SUMIFS(Desconto_Cliente_Mes!$Q$2:$Q$433,Desconto_Cliente_Mes!$A$2:$A$433,C$84,Desconto_Cliente_Mes!$B$2:$B$433,$A84,Desconto_Cliente_Mes!$C$2:$C$433,"Umidade"),SUMIFS(Desconto_Cliente_Mes!$R$2:$R$433,Desconto_Cliente_Mes!$A$2:$A$433,C$84,Desconto_Cliente_Mes!$B$2:$B$433,$A84,Desconto_Cliente_Mes!$C$2:$C$433,"Umidade"))))*(SUMIFS(Desconto_Cliente_Mes!$T$2:$T$433,Desconto_Cliente_Mes!$A$2:$A$433,C$84,Desconto_Cliente_Mes!$B$2:$B$433,$A84,Desconto_Cliente_Mes!$C$2:$C$433,"Umidade"))</f>
        <v>0</v>
      </c>
      <c r="D92" s="16" t="n">
        <f aca="false">$D$86*($D$89/100)*((IF(SUMIFS(Desconto_Cliente_Mes!$S$2:$S$433,Desconto_Cliente_Mes!$A$2:$A$433,D$84,Desconto_Cliente_Mes!$B$2:$B$433,$A84,Desconto_Cliente_Mes!$C$2:$C$433,"Umidade")="",(IF(SUMIFS(Desconto_Cliente_Mes!$R$2:$R$433,Desconto_Cliente_Mes!$A$2:$A$433,D$84,Desconto_Cliente_Mes!$B$2:$B$433,$A84,Desconto_Cliente_Mes!$C$2:$C$433,"Umidade")="",SUMIFS(Desconto_Cliente_Mes!$Q$2:$Q$433,Desconto_Cliente_Mes!$A$2:$A$433,D$84,Desconto_Cliente_Mes!$B$2:$B$433,$A84,Desconto_Cliente_Mes!$C$2:$C$433,"Umidade"),SUMIFS(Desconto_Cliente_Mes!$R$2:$R$433,Desconto_Cliente_Mes!$A$2:$A$433,D$84,Desconto_Cliente_Mes!$B$2:$B$433,$A84,Desconto_Cliente_Mes!$C$2:$C$433,"Umidade"))),SUMIFS(Desconto_Cliente_Mes!$S$2:$S$433,Desconto_Cliente_Mes!$A$2:$A$433,D$84,Desconto_Cliente_Mes!$B$2:$B$433,$A84,Desconto_Cliente_Mes!$C$2:$C$433,"Umidade")))-(IF(SUMIFS(Desconto_Cliente_Mes!$R$2:$R$433,Desconto_Cliente_Mes!$A$2:$A$433,D$84,Desconto_Cliente_Mes!$B$2:$B$433,$A84,Desconto_Cliente_Mes!$C$2:$C$433,"Umidade")="",SUMIFS(Desconto_Cliente_Mes!$Q$2:$Q$433,Desconto_Cliente_Mes!$A$2:$A$433,D$84,Desconto_Cliente_Mes!$B$2:$B$433,$A84,Desconto_Cliente_Mes!$C$2:$C$433,"Umidade"),SUMIFS(Desconto_Cliente_Mes!$R$2:$R$433,Desconto_Cliente_Mes!$A$2:$A$433,D$84,Desconto_Cliente_Mes!$B$2:$B$433,$A84,Desconto_Cliente_Mes!$C$2:$C$433,"Umidade"))))*(SUMIFS(Desconto_Cliente_Mes!$T$2:$T$433,Desconto_Cliente_Mes!$A$2:$A$433,D$84,Desconto_Cliente_Mes!$B$2:$B$433,$A84,Desconto_Cliente_Mes!$C$2:$C$433,"Umidade"))</f>
        <v>0</v>
      </c>
      <c r="E92" s="16" t="n">
        <f aca="false">$E$86*($E$89/100)*((IF(SUMIFS(Desconto_Cliente_Mes!$S$2:$S$433,Desconto_Cliente_Mes!$A$2:$A$433,E$84,Desconto_Cliente_Mes!$B$2:$B$433,$A84,Desconto_Cliente_Mes!$C$2:$C$433,"Umidade")="",(IF(SUMIFS(Desconto_Cliente_Mes!$R$2:$R$433,Desconto_Cliente_Mes!$A$2:$A$433,E$84,Desconto_Cliente_Mes!$B$2:$B$433,$A84,Desconto_Cliente_Mes!$C$2:$C$433,"Umidade")="",SUMIFS(Desconto_Cliente_Mes!$Q$2:$Q$433,Desconto_Cliente_Mes!$A$2:$A$433,E$84,Desconto_Cliente_Mes!$B$2:$B$433,$A84,Desconto_Cliente_Mes!$C$2:$C$433,"Umidade"),SUMIFS(Desconto_Cliente_Mes!$R$2:$R$433,Desconto_Cliente_Mes!$A$2:$A$433,E$84,Desconto_Cliente_Mes!$B$2:$B$433,$A84,Desconto_Cliente_Mes!$C$2:$C$433,"Umidade"))),SUMIFS(Desconto_Cliente_Mes!$S$2:$S$433,Desconto_Cliente_Mes!$A$2:$A$433,E$84,Desconto_Cliente_Mes!$B$2:$B$433,$A84,Desconto_Cliente_Mes!$C$2:$C$433,"Umidade")))-(IF(SUMIFS(Desconto_Cliente_Mes!$R$2:$R$433,Desconto_Cliente_Mes!$A$2:$A$433,E$84,Desconto_Cliente_Mes!$B$2:$B$433,$A84,Desconto_Cliente_Mes!$C$2:$C$433,"Umidade")="",SUMIFS(Desconto_Cliente_Mes!$Q$2:$Q$433,Desconto_Cliente_Mes!$A$2:$A$433,E$84,Desconto_Cliente_Mes!$B$2:$B$433,$A84,Desconto_Cliente_Mes!$C$2:$C$433,"Umidade"),SUMIFS(Desconto_Cliente_Mes!$R$2:$R$433,Desconto_Cliente_Mes!$A$2:$A$433,E$84,Desconto_Cliente_Mes!$B$2:$B$433,$A84,Desconto_Cliente_Mes!$C$2:$C$433,"Umidade"))))*(SUMIFS(Desconto_Cliente_Mes!$T$2:$T$433,Desconto_Cliente_Mes!$A$2:$A$433,E$84,Desconto_Cliente_Mes!$B$2:$B$433,$A84,Desconto_Cliente_Mes!$C$2:$C$433,"Umidade"))</f>
        <v>0</v>
      </c>
      <c r="F92" s="16" t="n">
        <f aca="false">$F$86*($F$89/100)*((IF(SUMIFS(Desconto_Cliente_Mes!$S$2:$S$433,Desconto_Cliente_Mes!$A$2:$A$433,F$84,Desconto_Cliente_Mes!$B$2:$B$433,$A84,Desconto_Cliente_Mes!$C$2:$C$433,"Umidade")="",(IF(SUMIFS(Desconto_Cliente_Mes!$R$2:$R$433,Desconto_Cliente_Mes!$A$2:$A$433,F$84,Desconto_Cliente_Mes!$B$2:$B$433,$A84,Desconto_Cliente_Mes!$C$2:$C$433,"Umidade")="",SUMIFS(Desconto_Cliente_Mes!$Q$2:$Q$433,Desconto_Cliente_Mes!$A$2:$A$433,F$84,Desconto_Cliente_Mes!$B$2:$B$433,$A84,Desconto_Cliente_Mes!$C$2:$C$433,"Umidade"),SUMIFS(Desconto_Cliente_Mes!$R$2:$R$433,Desconto_Cliente_Mes!$A$2:$A$433,F$84,Desconto_Cliente_Mes!$B$2:$B$433,$A84,Desconto_Cliente_Mes!$C$2:$C$433,"Umidade"))),SUMIFS(Desconto_Cliente_Mes!$S$2:$S$433,Desconto_Cliente_Mes!$A$2:$A$433,F$84,Desconto_Cliente_Mes!$B$2:$B$433,$A84,Desconto_Cliente_Mes!$C$2:$C$433,"Umidade")))-(IF(SUMIFS(Desconto_Cliente_Mes!$R$2:$R$433,Desconto_Cliente_Mes!$A$2:$A$433,F$84,Desconto_Cliente_Mes!$B$2:$B$433,$A84,Desconto_Cliente_Mes!$C$2:$C$433,"Umidade")="",SUMIFS(Desconto_Cliente_Mes!$Q$2:$Q$433,Desconto_Cliente_Mes!$A$2:$A$433,F$84,Desconto_Cliente_Mes!$B$2:$B$433,$A84,Desconto_Cliente_Mes!$C$2:$C$433,"Umidade"),SUMIFS(Desconto_Cliente_Mes!$R$2:$R$433,Desconto_Cliente_Mes!$A$2:$A$433,F$84,Desconto_Cliente_Mes!$B$2:$B$433,$A84,Desconto_Cliente_Mes!$C$2:$C$433,"Umidade"))))*(SUMIFS(Desconto_Cliente_Mes!$T$2:$T$433,Desconto_Cliente_Mes!$A$2:$A$433,F$84,Desconto_Cliente_Mes!$B$2:$B$433,$A84,Desconto_Cliente_Mes!$C$2:$C$433,"Umidade"))</f>
        <v>0</v>
      </c>
      <c r="G92" s="16" t="n">
        <f aca="false">$G$86*($G$89/100)*((IF(SUMIFS(Desconto_Cliente_Mes!$S$2:$S$433,Desconto_Cliente_Mes!$A$2:$A$433,G$84,Desconto_Cliente_Mes!$B$2:$B$433,$A84,Desconto_Cliente_Mes!$C$2:$C$433,"Umidade")="",(IF(SUMIFS(Desconto_Cliente_Mes!$R$2:$R$433,Desconto_Cliente_Mes!$A$2:$A$433,G$84,Desconto_Cliente_Mes!$B$2:$B$433,$A84,Desconto_Cliente_Mes!$C$2:$C$433,"Umidade")="",SUMIFS(Desconto_Cliente_Mes!$Q$2:$Q$433,Desconto_Cliente_Mes!$A$2:$A$433,G$84,Desconto_Cliente_Mes!$B$2:$B$433,$A84,Desconto_Cliente_Mes!$C$2:$C$433,"Umidade"),SUMIFS(Desconto_Cliente_Mes!$R$2:$R$433,Desconto_Cliente_Mes!$A$2:$A$433,G$84,Desconto_Cliente_Mes!$B$2:$B$433,$A84,Desconto_Cliente_Mes!$C$2:$C$433,"Umidade"))),SUMIFS(Desconto_Cliente_Mes!$S$2:$S$433,Desconto_Cliente_Mes!$A$2:$A$433,G$84,Desconto_Cliente_Mes!$B$2:$B$433,$A84,Desconto_Cliente_Mes!$C$2:$C$433,"Umidade")))-(IF(SUMIFS(Desconto_Cliente_Mes!$R$2:$R$433,Desconto_Cliente_Mes!$A$2:$A$433,G$84,Desconto_Cliente_Mes!$B$2:$B$433,$A84,Desconto_Cliente_Mes!$C$2:$C$433,"Umidade")="",SUMIFS(Desconto_Cliente_Mes!$Q$2:$Q$433,Desconto_Cliente_Mes!$A$2:$A$433,G$84,Desconto_Cliente_Mes!$B$2:$B$433,$A84,Desconto_Cliente_Mes!$C$2:$C$433,"Umidade"),SUMIFS(Desconto_Cliente_Mes!$R$2:$R$433,Desconto_Cliente_Mes!$A$2:$A$433,G$84,Desconto_Cliente_Mes!$B$2:$B$433,$A84,Desconto_Cliente_Mes!$C$2:$C$433,"Umidade"))))*(SUMIFS(Desconto_Cliente_Mes!$T$2:$T$433,Desconto_Cliente_Mes!$A$2:$A$433,G$84,Desconto_Cliente_Mes!$B$2:$B$433,$A84,Desconto_Cliente_Mes!$C$2:$C$433,"Umidade"))</f>
        <v>0</v>
      </c>
      <c r="H92" s="16" t="n">
        <f aca="false">$H$86*($H$89/100)*((IF(SUMIFS(Desconto_Cliente_Mes!$S$2:$S$433,Desconto_Cliente_Mes!$A$2:$A$433,H$84,Desconto_Cliente_Mes!$B$2:$B$433,$A84,Desconto_Cliente_Mes!$C$2:$C$433,"Umidade")="",(IF(SUMIFS(Desconto_Cliente_Mes!$R$2:$R$433,Desconto_Cliente_Mes!$A$2:$A$433,H$84,Desconto_Cliente_Mes!$B$2:$B$433,$A84,Desconto_Cliente_Mes!$C$2:$C$433,"Umidade")="",SUMIFS(Desconto_Cliente_Mes!$Q$2:$Q$433,Desconto_Cliente_Mes!$A$2:$A$433,H$84,Desconto_Cliente_Mes!$B$2:$B$433,$A84,Desconto_Cliente_Mes!$C$2:$C$433,"Umidade"),SUMIFS(Desconto_Cliente_Mes!$R$2:$R$433,Desconto_Cliente_Mes!$A$2:$A$433,H$84,Desconto_Cliente_Mes!$B$2:$B$433,$A84,Desconto_Cliente_Mes!$C$2:$C$433,"Umidade"))),SUMIFS(Desconto_Cliente_Mes!$S$2:$S$433,Desconto_Cliente_Mes!$A$2:$A$433,H$84,Desconto_Cliente_Mes!$B$2:$B$433,$A84,Desconto_Cliente_Mes!$C$2:$C$433,"Umidade")))-(IF(SUMIFS(Desconto_Cliente_Mes!$R$2:$R$433,Desconto_Cliente_Mes!$A$2:$A$433,H$84,Desconto_Cliente_Mes!$B$2:$B$433,$A84,Desconto_Cliente_Mes!$C$2:$C$433,"Umidade")="",SUMIFS(Desconto_Cliente_Mes!$Q$2:$Q$433,Desconto_Cliente_Mes!$A$2:$A$433,H$84,Desconto_Cliente_Mes!$B$2:$B$433,$A84,Desconto_Cliente_Mes!$C$2:$C$433,"Umidade"),SUMIFS(Desconto_Cliente_Mes!$R$2:$R$433,Desconto_Cliente_Mes!$A$2:$A$433,H$84,Desconto_Cliente_Mes!$B$2:$B$433,$A84,Desconto_Cliente_Mes!$C$2:$C$433,"Umidade"))))*(SUMIFS(Desconto_Cliente_Mes!$T$2:$T$433,Desconto_Cliente_Mes!$A$2:$A$433,H$84,Desconto_Cliente_Mes!$B$2:$B$433,$A84,Desconto_Cliente_Mes!$C$2:$C$433,"Umidade"))</f>
        <v>0</v>
      </c>
      <c r="I92" s="16" t="n">
        <f aca="false">$I$86*($I$89/100)*((IF(SUMIFS(Desconto_Cliente_Mes!$S$2:$S$433,Desconto_Cliente_Mes!$A$2:$A$433,I$84,Desconto_Cliente_Mes!$B$2:$B$433,$A84,Desconto_Cliente_Mes!$C$2:$C$433,"Umidade")="",(IF(SUMIFS(Desconto_Cliente_Mes!$R$2:$R$433,Desconto_Cliente_Mes!$A$2:$A$433,I$84,Desconto_Cliente_Mes!$B$2:$B$433,$A84,Desconto_Cliente_Mes!$C$2:$C$433,"Umidade")="",SUMIFS(Desconto_Cliente_Mes!$Q$2:$Q$433,Desconto_Cliente_Mes!$A$2:$A$433,I$84,Desconto_Cliente_Mes!$B$2:$B$433,$A84,Desconto_Cliente_Mes!$C$2:$C$433,"Umidade"),SUMIFS(Desconto_Cliente_Mes!$R$2:$R$433,Desconto_Cliente_Mes!$A$2:$A$433,I$84,Desconto_Cliente_Mes!$B$2:$B$433,$A84,Desconto_Cliente_Mes!$C$2:$C$433,"Umidade"))),SUMIFS(Desconto_Cliente_Mes!$S$2:$S$433,Desconto_Cliente_Mes!$A$2:$A$433,I$84,Desconto_Cliente_Mes!$B$2:$B$433,$A84,Desconto_Cliente_Mes!$C$2:$C$433,"Umidade")))-(IF(SUMIFS(Desconto_Cliente_Mes!$R$2:$R$433,Desconto_Cliente_Mes!$A$2:$A$433,I$84,Desconto_Cliente_Mes!$B$2:$B$433,$A84,Desconto_Cliente_Mes!$C$2:$C$433,"Umidade")="",SUMIFS(Desconto_Cliente_Mes!$Q$2:$Q$433,Desconto_Cliente_Mes!$A$2:$A$433,I$84,Desconto_Cliente_Mes!$B$2:$B$433,$A84,Desconto_Cliente_Mes!$C$2:$C$433,"Umidade"),SUMIFS(Desconto_Cliente_Mes!$R$2:$R$433,Desconto_Cliente_Mes!$A$2:$A$433,I$84,Desconto_Cliente_Mes!$B$2:$B$433,$A84,Desconto_Cliente_Mes!$C$2:$C$433,"Umidade"))))*(SUMIFS(Desconto_Cliente_Mes!$T$2:$T$433,Desconto_Cliente_Mes!$A$2:$A$433,I$84,Desconto_Cliente_Mes!$B$2:$B$433,$A84,Desconto_Cliente_Mes!$C$2:$C$433,"Umidade"))</f>
        <v>0</v>
      </c>
      <c r="J92" s="16" t="n">
        <f aca="false">$J$86*($J$89/100)*((IF(SUMIFS(Desconto_Cliente_Mes!$S$2:$S$433,Desconto_Cliente_Mes!$A$2:$A$433,J$84,Desconto_Cliente_Mes!$B$2:$B$433,$A84,Desconto_Cliente_Mes!$C$2:$C$433,"Umidade")="",(IF(SUMIFS(Desconto_Cliente_Mes!$R$2:$R$433,Desconto_Cliente_Mes!$A$2:$A$433,J$84,Desconto_Cliente_Mes!$B$2:$B$433,$A84,Desconto_Cliente_Mes!$C$2:$C$433,"Umidade")="",SUMIFS(Desconto_Cliente_Mes!$Q$2:$Q$433,Desconto_Cliente_Mes!$A$2:$A$433,J$84,Desconto_Cliente_Mes!$B$2:$B$433,$A84,Desconto_Cliente_Mes!$C$2:$C$433,"Umidade"),SUMIFS(Desconto_Cliente_Mes!$R$2:$R$433,Desconto_Cliente_Mes!$A$2:$A$433,J$84,Desconto_Cliente_Mes!$B$2:$B$433,$A84,Desconto_Cliente_Mes!$C$2:$C$433,"Umidade"))),SUMIFS(Desconto_Cliente_Mes!$S$2:$S$433,Desconto_Cliente_Mes!$A$2:$A$433,J$84,Desconto_Cliente_Mes!$B$2:$B$433,$A84,Desconto_Cliente_Mes!$C$2:$C$433,"Umidade")))-(IF(SUMIFS(Desconto_Cliente_Mes!$R$2:$R$433,Desconto_Cliente_Mes!$A$2:$A$433,J$84,Desconto_Cliente_Mes!$B$2:$B$433,$A84,Desconto_Cliente_Mes!$C$2:$C$433,"Umidade")="",SUMIFS(Desconto_Cliente_Mes!$Q$2:$Q$433,Desconto_Cliente_Mes!$A$2:$A$433,J$84,Desconto_Cliente_Mes!$B$2:$B$433,$A84,Desconto_Cliente_Mes!$C$2:$C$433,"Umidade"),SUMIFS(Desconto_Cliente_Mes!$R$2:$R$433,Desconto_Cliente_Mes!$A$2:$A$433,J$84,Desconto_Cliente_Mes!$B$2:$B$433,$A84,Desconto_Cliente_Mes!$C$2:$C$433,"Umidade"))))*(SUMIFS(Desconto_Cliente_Mes!$T$2:$T$433,Desconto_Cliente_Mes!$A$2:$A$433,J$84,Desconto_Cliente_Mes!$B$2:$B$433,$A84,Desconto_Cliente_Mes!$C$2:$C$433,"Umidade"))</f>
        <v>0</v>
      </c>
      <c r="K92" s="16" t="n">
        <f aca="false">$K$86*($K$89/100)*((IF(SUMIFS(Desconto_Cliente_Mes!$S$2:$S$433,Desconto_Cliente_Mes!$A$2:$A$433,K$84,Desconto_Cliente_Mes!$B$2:$B$433,$A84,Desconto_Cliente_Mes!$C$2:$C$433,"Umidade")="",(IF(SUMIFS(Desconto_Cliente_Mes!$R$2:$R$433,Desconto_Cliente_Mes!$A$2:$A$433,K$84,Desconto_Cliente_Mes!$B$2:$B$433,$A84,Desconto_Cliente_Mes!$C$2:$C$433,"Umidade")="",SUMIFS(Desconto_Cliente_Mes!$Q$2:$Q$433,Desconto_Cliente_Mes!$A$2:$A$433,K$84,Desconto_Cliente_Mes!$B$2:$B$433,$A84,Desconto_Cliente_Mes!$C$2:$C$433,"Umidade"),SUMIFS(Desconto_Cliente_Mes!$R$2:$R$433,Desconto_Cliente_Mes!$A$2:$A$433,K$84,Desconto_Cliente_Mes!$B$2:$B$433,$A84,Desconto_Cliente_Mes!$C$2:$C$433,"Umidade"))),SUMIFS(Desconto_Cliente_Mes!$S$2:$S$433,Desconto_Cliente_Mes!$A$2:$A$433,K$84,Desconto_Cliente_Mes!$B$2:$B$433,$A84,Desconto_Cliente_Mes!$C$2:$C$433,"Umidade")))-(IF(SUMIFS(Desconto_Cliente_Mes!$R$2:$R$433,Desconto_Cliente_Mes!$A$2:$A$433,K$84,Desconto_Cliente_Mes!$B$2:$B$433,$A84,Desconto_Cliente_Mes!$C$2:$C$433,"Umidade")="",SUMIFS(Desconto_Cliente_Mes!$Q$2:$Q$433,Desconto_Cliente_Mes!$A$2:$A$433,K$84,Desconto_Cliente_Mes!$B$2:$B$433,$A84,Desconto_Cliente_Mes!$C$2:$C$433,"Umidade"),SUMIFS(Desconto_Cliente_Mes!$R$2:$R$433,Desconto_Cliente_Mes!$A$2:$A$433,K$84,Desconto_Cliente_Mes!$B$2:$B$433,$A84,Desconto_Cliente_Mes!$C$2:$C$433,"Umidade"))))*(SUMIFS(Desconto_Cliente_Mes!$T$2:$T$433,Desconto_Cliente_Mes!$A$2:$A$433,K$84,Desconto_Cliente_Mes!$B$2:$B$433,$A84,Desconto_Cliente_Mes!$C$2:$C$433,"Umidade"))</f>
        <v>0</v>
      </c>
      <c r="L92" s="16" t="n">
        <f aca="false">$L$86*($L$89/100)*((IF(SUMIFS(Desconto_Cliente_Mes!$S$2:$S$433,Desconto_Cliente_Mes!$A$2:$A$433,L$84,Desconto_Cliente_Mes!$B$2:$B$433,$A84,Desconto_Cliente_Mes!$C$2:$C$433,"Umidade")="",(IF(SUMIFS(Desconto_Cliente_Mes!$R$2:$R$433,Desconto_Cliente_Mes!$A$2:$A$433,L$84,Desconto_Cliente_Mes!$B$2:$B$433,$A84,Desconto_Cliente_Mes!$C$2:$C$433,"Umidade")="",SUMIFS(Desconto_Cliente_Mes!$Q$2:$Q$433,Desconto_Cliente_Mes!$A$2:$A$433,L$84,Desconto_Cliente_Mes!$B$2:$B$433,$A84,Desconto_Cliente_Mes!$C$2:$C$433,"Umidade"),SUMIFS(Desconto_Cliente_Mes!$R$2:$R$433,Desconto_Cliente_Mes!$A$2:$A$433,L$84,Desconto_Cliente_Mes!$B$2:$B$433,$A84,Desconto_Cliente_Mes!$C$2:$C$433,"Umidade"))),SUMIFS(Desconto_Cliente_Mes!$S$2:$S$433,Desconto_Cliente_Mes!$A$2:$A$433,L$84,Desconto_Cliente_Mes!$B$2:$B$433,$A84,Desconto_Cliente_Mes!$C$2:$C$433,"Umidade")))-(IF(SUMIFS(Desconto_Cliente_Mes!$R$2:$R$433,Desconto_Cliente_Mes!$A$2:$A$433,L$84,Desconto_Cliente_Mes!$B$2:$B$433,$A84,Desconto_Cliente_Mes!$C$2:$C$433,"Umidade")="",SUMIFS(Desconto_Cliente_Mes!$Q$2:$Q$433,Desconto_Cliente_Mes!$A$2:$A$433,L$84,Desconto_Cliente_Mes!$B$2:$B$433,$A84,Desconto_Cliente_Mes!$C$2:$C$433,"Umidade"),SUMIFS(Desconto_Cliente_Mes!$R$2:$R$433,Desconto_Cliente_Mes!$A$2:$A$433,L$84,Desconto_Cliente_Mes!$B$2:$B$433,$A84,Desconto_Cliente_Mes!$C$2:$C$433,"Umidade"))))*(SUMIFS(Desconto_Cliente_Mes!$T$2:$T$433,Desconto_Cliente_Mes!$A$2:$A$433,L$84,Desconto_Cliente_Mes!$B$2:$B$433,$A84,Desconto_Cliente_Mes!$C$2:$C$433,"Umidade"))</f>
        <v>0</v>
      </c>
      <c r="M92" s="16" t="n">
        <f aca="false">$M$86*($M$89/100)*((IF(SUMIFS(Desconto_Cliente_Mes!$S$2:$S$433,Desconto_Cliente_Mes!$A$2:$A$433,M$84,Desconto_Cliente_Mes!$B$2:$B$433,$A84,Desconto_Cliente_Mes!$C$2:$C$433,"Umidade")="",(IF(SUMIFS(Desconto_Cliente_Mes!$R$2:$R$433,Desconto_Cliente_Mes!$A$2:$A$433,M$84,Desconto_Cliente_Mes!$B$2:$B$433,$A84,Desconto_Cliente_Mes!$C$2:$C$433,"Umidade")="",SUMIFS(Desconto_Cliente_Mes!$Q$2:$Q$433,Desconto_Cliente_Mes!$A$2:$A$433,M$84,Desconto_Cliente_Mes!$B$2:$B$433,$A84,Desconto_Cliente_Mes!$C$2:$C$433,"Umidade"),SUMIFS(Desconto_Cliente_Mes!$R$2:$R$433,Desconto_Cliente_Mes!$A$2:$A$433,M$84,Desconto_Cliente_Mes!$B$2:$B$433,$A84,Desconto_Cliente_Mes!$C$2:$C$433,"Umidade"))),SUMIFS(Desconto_Cliente_Mes!$S$2:$S$433,Desconto_Cliente_Mes!$A$2:$A$433,M$84,Desconto_Cliente_Mes!$B$2:$B$433,$A84,Desconto_Cliente_Mes!$C$2:$C$433,"Umidade")))-(IF(SUMIFS(Desconto_Cliente_Mes!$R$2:$R$433,Desconto_Cliente_Mes!$A$2:$A$433,M$84,Desconto_Cliente_Mes!$B$2:$B$433,$A84,Desconto_Cliente_Mes!$C$2:$C$433,"Umidade")="",SUMIFS(Desconto_Cliente_Mes!$Q$2:$Q$433,Desconto_Cliente_Mes!$A$2:$A$433,M$84,Desconto_Cliente_Mes!$B$2:$B$433,$A84,Desconto_Cliente_Mes!$C$2:$C$433,"Umidade"),SUMIFS(Desconto_Cliente_Mes!$R$2:$R$433,Desconto_Cliente_Mes!$A$2:$A$433,M$84,Desconto_Cliente_Mes!$B$2:$B$433,$A84,Desconto_Cliente_Mes!$C$2:$C$433,"Umidade"))))*(SUMIFS(Desconto_Cliente_Mes!$T$2:$T$433,Desconto_Cliente_Mes!$A$2:$A$433,M$84,Desconto_Cliente_Mes!$B$2:$B$433,$A84,Desconto_Cliente_Mes!$C$2:$C$433,"Umidade"))</f>
        <v>0</v>
      </c>
      <c r="N92" s="17" t="n">
        <f aca="false">SUM(B92:M92)</f>
        <v>0</v>
      </c>
    </row>
    <row r="93" customFormat="false" ht="15" hidden="false" customHeight="false" outlineLevel="0" collapsed="false">
      <c r="A93" s="13" t="s">
        <v>82</v>
      </c>
      <c r="B93" s="16" t="n">
        <f aca="false">SUMIFS(Acerto_Detalhado!$J$2:$J$433,Acerto_Detalhado!$A$2:$A$433,B$84,Acerto_Detalhado!$B$2:$B$433,$A84,Acerto_Detalhado!$C$2:$C$433,"Umidade")</f>
        <v>6430.96217697709</v>
      </c>
      <c r="C93" s="16" t="n">
        <f aca="false">SUMIFS(Acerto_Detalhado!$J$2:$J$433,Acerto_Detalhado!$A$2:$A$433,C$84,Acerto_Detalhado!$B$2:$B$433,$A84,Acerto_Detalhado!$C$2:$C$433,"Umidade")</f>
        <v>6296.16152267717</v>
      </c>
      <c r="D93" s="16" t="n">
        <f aca="false">SUMIFS(Acerto_Detalhado!$J$2:$J$433,Acerto_Detalhado!$A$2:$A$433,D$84,Acerto_Detalhado!$B$2:$B$433,$A84,Acerto_Detalhado!$C$2:$C$433,"Umidade")</f>
        <v>11299.9869162418</v>
      </c>
      <c r="E93" s="16" t="n">
        <f aca="false">SUMIFS(Acerto_Detalhado!$J$2:$J$433,Acerto_Detalhado!$A$2:$A$433,E$84,Acerto_Detalhado!$B$2:$B$433,$A84,Acerto_Detalhado!$C$2:$C$433,"Umidade")</f>
        <v>727.200865373231</v>
      </c>
      <c r="F93" s="16" t="n">
        <f aca="false">SUMIFS(Acerto_Detalhado!$J$2:$J$433,Acerto_Detalhado!$A$2:$A$433,F$84,Acerto_Detalhado!$B$2:$B$433,$A84,Acerto_Detalhado!$C$2:$C$433,"Umidade")</f>
        <v>10174.313335015</v>
      </c>
      <c r="G93" s="16" t="n">
        <f aca="false">SUMIFS(Acerto_Detalhado!$J$2:$J$433,Acerto_Detalhado!$A$2:$A$433,G$84,Acerto_Detalhado!$B$2:$B$433,$A84,Acerto_Detalhado!$C$2:$C$433,"Umidade")</f>
        <v>6925.74701895061</v>
      </c>
      <c r="H93" s="16" t="n">
        <f aca="false">SUMIFS(Acerto_Detalhado!$J$2:$J$433,Acerto_Detalhado!$A$2:$A$433,H$84,Acerto_Detalhado!$B$2:$B$433,$A84,Acerto_Detalhado!$C$2:$C$433,"Umidade")</f>
        <v>11405.4362721275</v>
      </c>
      <c r="I93" s="16" t="n">
        <f aca="false">SUMIFS(Acerto_Detalhado!$J$2:$J$433,Acerto_Detalhado!$A$2:$A$433,I$84,Acerto_Detalhado!$B$2:$B$433,$A84,Acerto_Detalhado!$C$2:$C$433,"Umidade")</f>
        <v>1682.80922863758</v>
      </c>
      <c r="J93" s="16" t="n">
        <f aca="false">SUMIFS(Acerto_Detalhado!$J$2:$J$433,Acerto_Detalhado!$A$2:$A$433,J$84,Acerto_Detalhado!$B$2:$B$433,$A84,Acerto_Detalhado!$C$2:$C$433,"Umidade")</f>
        <v>0</v>
      </c>
      <c r="K93" s="16" t="n">
        <f aca="false">SUMIFS(Acerto_Detalhado!$J$2:$J$433,Acerto_Detalhado!$A$2:$A$433,K$84,Acerto_Detalhado!$B$2:$B$433,$A84,Acerto_Detalhado!$C$2:$C$433,"Umidade")</f>
        <v>0</v>
      </c>
      <c r="L93" s="16" t="n">
        <f aca="false">SUMIFS(Acerto_Detalhado!$J$2:$J$433,Acerto_Detalhado!$A$2:$A$433,L$84,Acerto_Detalhado!$B$2:$B$433,$A84,Acerto_Detalhado!$C$2:$C$433,"Umidade")</f>
        <v>0</v>
      </c>
      <c r="M93" s="16" t="n">
        <f aca="false">SUMIFS(Acerto_Detalhado!$J$2:$J$433,Acerto_Detalhado!$A$2:$A$433,M$84,Acerto_Detalhado!$B$2:$B$433,$A84,Acerto_Detalhado!$C$2:$C$433,"Umidade")</f>
        <v>0</v>
      </c>
      <c r="N93" s="17" t="n">
        <f aca="false">SUM(B93:M93)</f>
        <v>54942.617336</v>
      </c>
    </row>
    <row r="95" customFormat="false" ht="15" hidden="false" customHeight="false" outlineLevel="0" collapsed="false">
      <c r="A95" s="5" t="s">
        <v>66</v>
      </c>
      <c r="B95" s="6" t="s">
        <v>39</v>
      </c>
      <c r="C95" s="6" t="s">
        <v>40</v>
      </c>
      <c r="D95" s="6" t="s">
        <v>41</v>
      </c>
      <c r="E95" s="6" t="s">
        <v>42</v>
      </c>
      <c r="F95" s="6" t="s">
        <v>43</v>
      </c>
      <c r="G95" s="6" t="s">
        <v>44</v>
      </c>
      <c r="H95" s="6" t="s">
        <v>45</v>
      </c>
      <c r="I95" s="6" t="s">
        <v>46</v>
      </c>
      <c r="J95" s="6" t="s">
        <v>47</v>
      </c>
      <c r="K95" s="6" t="s">
        <v>48</v>
      </c>
      <c r="L95" s="6" t="s">
        <v>49</v>
      </c>
      <c r="M95" s="6" t="s">
        <v>50</v>
      </c>
      <c r="N95" s="6" t="s">
        <v>51</v>
      </c>
    </row>
    <row r="96" customFormat="false" ht="15" hidden="false" customHeight="false" outlineLevel="0" collapsed="false">
      <c r="A96" s="13" t="s">
        <v>74</v>
      </c>
      <c r="B96" s="10" t="n">
        <f aca="false">IF((SUMIFS(Desconto_Cliente_Mes!$D$2:$D$433,Desconto_Cliente_Mes!$A$2:$A$433,B$95,Desconto_Cliente_Mes!$B$2:$B$433,$A95,Desconto_Cliente_Mes!$C$2:$C$433,"Umidade"))=0,"",IFERROR(SUMIFS(Desconto_Cliente_Mes!$E$2:$E$433,Desconto_Cliente_Mes!$A$2:$A$433,B$95,Desconto_Cliente_Mes!$B$2:$B$433,$A95,Desconto_Cliente_Mes!$C$2:$C$433,"Umidade"),""))</f>
        <v>12.28</v>
      </c>
      <c r="C96" s="10" t="n">
        <f aca="false">IF((SUMIFS(Desconto_Cliente_Mes!$D$2:$D$433,Desconto_Cliente_Mes!$A$2:$A$433,C$95,Desconto_Cliente_Mes!$B$2:$B$433,$A95,Desconto_Cliente_Mes!$C$2:$C$433,"Umidade"))=0,"",IFERROR(SUMIFS(Desconto_Cliente_Mes!$E$2:$E$433,Desconto_Cliente_Mes!$A$2:$A$433,C$95,Desconto_Cliente_Mes!$B$2:$B$433,$A95,Desconto_Cliente_Mes!$C$2:$C$433,"Umidade"),""))</f>
        <v>12.299296860811</v>
      </c>
      <c r="D96" s="10" t="n">
        <f aca="false">IF((SUMIFS(Desconto_Cliente_Mes!$D$2:$D$433,Desconto_Cliente_Mes!$A$2:$A$433,D$95,Desconto_Cliente_Mes!$B$2:$B$433,$A95,Desconto_Cliente_Mes!$C$2:$C$433,"Umidade"))=0,"",IFERROR(SUMIFS(Desconto_Cliente_Mes!$E$2:$E$433,Desconto_Cliente_Mes!$A$2:$A$433,D$95,Desconto_Cliente_Mes!$B$2:$B$433,$A95,Desconto_Cliente_Mes!$C$2:$C$433,"Umidade"),""))</f>
        <v>12.62</v>
      </c>
      <c r="E96" s="10" t="n">
        <f aca="false">IF((SUMIFS(Desconto_Cliente_Mes!$D$2:$D$433,Desconto_Cliente_Mes!$A$2:$A$433,E$95,Desconto_Cliente_Mes!$B$2:$B$433,$A95,Desconto_Cliente_Mes!$C$2:$C$433,"Umidade"))=0,"",IFERROR(SUMIFS(Desconto_Cliente_Mes!$E$2:$E$433,Desconto_Cliente_Mes!$A$2:$A$433,E$95,Desconto_Cliente_Mes!$B$2:$B$433,$A95,Desconto_Cliente_Mes!$C$2:$C$433,"Umidade"),""))</f>
        <v>11.78</v>
      </c>
      <c r="F96" s="10" t="n">
        <f aca="false">IF((SUMIFS(Desconto_Cliente_Mes!$D$2:$D$433,Desconto_Cliente_Mes!$A$2:$A$433,F$95,Desconto_Cliente_Mes!$B$2:$B$433,$A95,Desconto_Cliente_Mes!$C$2:$C$433,"Umidade"))=0,"",IFERROR(SUMIFS(Desconto_Cliente_Mes!$E$2:$E$433,Desconto_Cliente_Mes!$A$2:$A$433,F$95,Desconto_Cliente_Mes!$B$2:$B$433,$A95,Desconto_Cliente_Mes!$C$2:$C$433,"Umidade"),""))</f>
        <v>12.76</v>
      </c>
      <c r="G96" s="10" t="n">
        <f aca="false">IF((SUMIFS(Desconto_Cliente_Mes!$D$2:$D$433,Desconto_Cliente_Mes!$A$2:$A$433,G$95,Desconto_Cliente_Mes!$B$2:$B$433,$A95,Desconto_Cliente_Mes!$C$2:$C$433,"Umidade"))=0,"",IFERROR(SUMIFS(Desconto_Cliente_Mes!$E$2:$E$433,Desconto_Cliente_Mes!$A$2:$A$433,G$95,Desconto_Cliente_Mes!$B$2:$B$433,$A95,Desconto_Cliente_Mes!$C$2:$C$433,"Umidade"),""))</f>
        <v>12.3737207962857</v>
      </c>
      <c r="H96" s="10" t="n">
        <f aca="false">IF((SUMIFS(Desconto_Cliente_Mes!$D$2:$D$433,Desconto_Cliente_Mes!$A$2:$A$433,H$95,Desconto_Cliente_Mes!$B$2:$B$433,$A95,Desconto_Cliente_Mes!$C$2:$C$433,"Umidade"))=0,"",IFERROR(SUMIFS(Desconto_Cliente_Mes!$E$2:$E$433,Desconto_Cliente_Mes!$A$2:$A$433,H$95,Desconto_Cliente_Mes!$B$2:$B$433,$A95,Desconto_Cliente_Mes!$C$2:$C$433,"Umidade"),""))</f>
        <v>12.2652482610374</v>
      </c>
      <c r="I96" s="10" t="n">
        <f aca="false">IF((SUMIFS(Desconto_Cliente_Mes!$D$2:$D$433,Desconto_Cliente_Mes!$A$2:$A$433,I$95,Desconto_Cliente_Mes!$B$2:$B$433,$A95,Desconto_Cliente_Mes!$C$2:$C$433,"Umidade"))=0,"",IFERROR(SUMIFS(Desconto_Cliente_Mes!$E$2:$E$433,Desconto_Cliente_Mes!$A$2:$A$433,I$95,Desconto_Cliente_Mes!$B$2:$B$433,$A95,Desconto_Cliente_Mes!$C$2:$C$433,"Umidade"),""))</f>
        <v>12.52</v>
      </c>
      <c r="J96" s="10" t="str">
        <f aca="false">IF((SUMIFS(Desconto_Cliente_Mes!$D$2:$D$433,Desconto_Cliente_Mes!$A$2:$A$433,J$95,Desconto_Cliente_Mes!$B$2:$B$433,$A95,Desconto_Cliente_Mes!$C$2:$C$433,"Umidade"))=0,"",IFERROR(SUMIFS(Desconto_Cliente_Mes!$E$2:$E$433,Desconto_Cliente_Mes!$A$2:$A$433,J$95,Desconto_Cliente_Mes!$B$2:$B$433,$A95,Desconto_Cliente_Mes!$C$2:$C$433,"Umidade"),""))</f>
        <v/>
      </c>
      <c r="K96" s="10" t="n">
        <f aca="false">IF((SUMIFS(Desconto_Cliente_Mes!$D$2:$D$433,Desconto_Cliente_Mes!$A$2:$A$433,K$95,Desconto_Cliente_Mes!$B$2:$B$433,$A95,Desconto_Cliente_Mes!$C$2:$C$433,"Umidade"))=0,"",IFERROR(SUMIFS(Desconto_Cliente_Mes!$E$2:$E$433,Desconto_Cliente_Mes!$A$2:$A$433,K$95,Desconto_Cliente_Mes!$B$2:$B$433,$A95,Desconto_Cliente_Mes!$C$2:$C$433,"Umidade"),""))</f>
        <v>12.71</v>
      </c>
      <c r="L96" s="10" t="str">
        <f aca="false">IF((SUMIFS(Desconto_Cliente_Mes!$D$2:$D$433,Desconto_Cliente_Mes!$A$2:$A$433,L$95,Desconto_Cliente_Mes!$B$2:$B$433,$A95,Desconto_Cliente_Mes!$C$2:$C$433,"Umidade"))=0,"",IFERROR(SUMIFS(Desconto_Cliente_Mes!$E$2:$E$433,Desconto_Cliente_Mes!$A$2:$A$433,L$95,Desconto_Cliente_Mes!$B$2:$B$433,$A95,Desconto_Cliente_Mes!$C$2:$C$433,"Umidade"),""))</f>
        <v/>
      </c>
      <c r="M96" s="10" t="str">
        <f aca="false">IF((SUMIFS(Desconto_Cliente_Mes!$D$2:$D$433,Desconto_Cliente_Mes!$A$2:$A$433,M$95,Desconto_Cliente_Mes!$B$2:$B$433,$A95,Desconto_Cliente_Mes!$C$2:$C$433,"Umidade"))=0,"",IFERROR(SUMIFS(Desconto_Cliente_Mes!$E$2:$E$433,Desconto_Cliente_Mes!$A$2:$A$433,M$95,Desconto_Cliente_Mes!$B$2:$B$433,$A95,Desconto_Cliente_Mes!$C$2:$C$433,"Umidade"),""))</f>
        <v/>
      </c>
      <c r="N96" s="11" t="n">
        <f aca="false">IFERROR(Media_Pool_Mes!D10,"")</f>
        <v>12.4774576939468</v>
      </c>
    </row>
    <row r="97" customFormat="false" ht="15" hidden="false" customHeight="false" outlineLevel="0" collapsed="false">
      <c r="A97" s="13" t="s">
        <v>75</v>
      </c>
      <c r="B97" s="8" t="n">
        <f aca="false">IFERROR(SUMIFS(Desconto_Cliente_Mes!$D$2:$D$433,Desconto_Cliente_Mes!$A$2:$A$433,B$95,Desconto_Cliente_Mes!$B$2:$B$433,$A95,Desconto_Cliente_Mes!$C$2:$C$433,"Umidade"),0)</f>
        <v>2244.02</v>
      </c>
      <c r="C97" s="8" t="n">
        <f aca="false">IFERROR(SUMIFS(Desconto_Cliente_Mes!$D$2:$D$433,Desconto_Cliente_Mes!$A$2:$A$433,C$95,Desconto_Cliente_Mes!$B$2:$B$433,$A95,Desconto_Cliente_Mes!$C$2:$C$433,"Umidade"),0)</f>
        <v>9195.05</v>
      </c>
      <c r="D97" s="8" t="n">
        <f aca="false">IFERROR(SUMIFS(Desconto_Cliente_Mes!$D$2:$D$433,Desconto_Cliente_Mes!$A$2:$A$433,D$95,Desconto_Cliente_Mes!$B$2:$B$433,$A95,Desconto_Cliente_Mes!$C$2:$C$433,"Umidade"),0)</f>
        <v>4163.45</v>
      </c>
      <c r="E97" s="8" t="n">
        <f aca="false">IFERROR(SUMIFS(Desconto_Cliente_Mes!$D$2:$D$433,Desconto_Cliente_Mes!$A$2:$A$433,E$95,Desconto_Cliente_Mes!$B$2:$B$433,$A95,Desconto_Cliente_Mes!$C$2:$C$433,"Umidade"),0)</f>
        <v>229.82</v>
      </c>
      <c r="F97" s="8" t="n">
        <f aca="false">IFERROR(SUMIFS(Desconto_Cliente_Mes!$D$2:$D$433,Desconto_Cliente_Mes!$A$2:$A$433,F$95,Desconto_Cliente_Mes!$B$2:$B$433,$A95,Desconto_Cliente_Mes!$C$2:$C$433,"Umidade"),0)</f>
        <v>16598.01</v>
      </c>
      <c r="G97" s="8" t="n">
        <f aca="false">IFERROR(SUMIFS(Desconto_Cliente_Mes!$D$2:$D$433,Desconto_Cliente_Mes!$A$2:$A$433,G$95,Desconto_Cliente_Mes!$B$2:$B$433,$A95,Desconto_Cliente_Mes!$C$2:$C$433,"Umidade"),0)</f>
        <v>5121.78</v>
      </c>
      <c r="H97" s="8" t="n">
        <f aca="false">IFERROR(SUMIFS(Desconto_Cliente_Mes!$D$2:$D$433,Desconto_Cliente_Mes!$A$2:$A$433,H$95,Desconto_Cliente_Mes!$B$2:$B$433,$A95,Desconto_Cliente_Mes!$C$2:$C$433,"Umidade"),0)</f>
        <v>19994.68</v>
      </c>
      <c r="I97" s="8" t="n">
        <f aca="false">IFERROR(SUMIFS(Desconto_Cliente_Mes!$D$2:$D$433,Desconto_Cliente_Mes!$A$2:$A$433,I$95,Desconto_Cliente_Mes!$B$2:$B$433,$A95,Desconto_Cliente_Mes!$C$2:$C$433,"Umidade"),0)</f>
        <v>3730.96</v>
      </c>
      <c r="J97" s="8" t="n">
        <f aca="false">IFERROR(SUMIFS(Desconto_Cliente_Mes!$D$2:$D$433,Desconto_Cliente_Mes!$A$2:$A$433,J$95,Desconto_Cliente_Mes!$B$2:$B$433,$A95,Desconto_Cliente_Mes!$C$2:$C$433,"Umidade"),0)</f>
        <v>0</v>
      </c>
      <c r="K97" s="8" t="n">
        <f aca="false">IFERROR(SUMIFS(Desconto_Cliente_Mes!$D$2:$D$433,Desconto_Cliente_Mes!$A$2:$A$433,K$95,Desconto_Cliente_Mes!$B$2:$B$433,$A95,Desconto_Cliente_Mes!$C$2:$C$433,"Umidade"),0)</f>
        <v>6769.23</v>
      </c>
      <c r="L97" s="8" t="n">
        <f aca="false">IFERROR(SUMIFS(Desconto_Cliente_Mes!$D$2:$D$433,Desconto_Cliente_Mes!$A$2:$A$433,L$95,Desconto_Cliente_Mes!$B$2:$B$433,$A95,Desconto_Cliente_Mes!$C$2:$C$433,"Umidade"),0)</f>
        <v>0</v>
      </c>
      <c r="M97" s="8" t="n">
        <f aca="false">IFERROR(SUMIFS(Desconto_Cliente_Mes!$D$2:$D$433,Desconto_Cliente_Mes!$A$2:$A$433,M$95,Desconto_Cliente_Mes!$B$2:$B$433,$A95,Desconto_Cliente_Mes!$C$2:$C$433,"Umidade"),0)</f>
        <v>0</v>
      </c>
      <c r="N97" s="9" t="n">
        <f aca="false">SUM(B97:M97)</f>
        <v>68047</v>
      </c>
    </row>
    <row r="98" customFormat="false" ht="15" hidden="false" customHeight="false" outlineLevel="0" collapsed="false">
      <c r="A98" s="13" t="s">
        <v>76</v>
      </c>
      <c r="B98" s="15" t="n">
        <f aca="false">MAX(0,(SUMIFS(Desconto_Cliente_Mes!$L$2:$L$433,Desconto_Cliente_Mes!$A$2:$A$433,B$95,Desconto_Cliente_Mes!$B$2:$B$433,$A95,Desconto_Cliente_Mes!$C$2:$C$433,"Umidade"))-(SUMIFS(Desconto_Cliente_Mes!$N$2:$N$433,Desconto_Cliente_Mes!$A$2:$A$433,B$95,Desconto_Cliente_Mes!$B$2:$B$433,$A95,Desconto_Cliente_Mes!$C$2:$C$433,"Umidade")))</f>
        <v>0</v>
      </c>
      <c r="C98" s="15" t="n">
        <f aca="false">MAX(0,(SUMIFS(Desconto_Cliente_Mes!$L$2:$L$433,Desconto_Cliente_Mes!$A$2:$A$433,C$95,Desconto_Cliente_Mes!$B$2:$B$433,$A95,Desconto_Cliente_Mes!$C$2:$C$433,"Umidade"))-(SUMIFS(Desconto_Cliente_Mes!$N$2:$N$433,Desconto_Cliente_Mes!$A$2:$A$433,C$95,Desconto_Cliente_Mes!$B$2:$B$433,$A95,Desconto_Cliente_Mes!$C$2:$C$433,"Umidade")))</f>
        <v>0</v>
      </c>
      <c r="D98" s="15" t="n">
        <f aca="false">MAX(0,(SUMIFS(Desconto_Cliente_Mes!$L$2:$L$433,Desconto_Cliente_Mes!$A$2:$A$433,D$95,Desconto_Cliente_Mes!$B$2:$B$433,$A95,Desconto_Cliente_Mes!$C$2:$C$433,"Umidade"))-(SUMIFS(Desconto_Cliente_Mes!$N$2:$N$433,Desconto_Cliente_Mes!$A$2:$A$433,D$95,Desconto_Cliente_Mes!$B$2:$B$433,$A95,Desconto_Cliente_Mes!$C$2:$C$433,"Umidade")))</f>
        <v>0.119999999999999</v>
      </c>
      <c r="E98" s="15" t="n">
        <f aca="false">MAX(0,(SUMIFS(Desconto_Cliente_Mes!$L$2:$L$433,Desconto_Cliente_Mes!$A$2:$A$433,E$95,Desconto_Cliente_Mes!$B$2:$B$433,$A95,Desconto_Cliente_Mes!$C$2:$C$433,"Umidade"))-(SUMIFS(Desconto_Cliente_Mes!$N$2:$N$433,Desconto_Cliente_Mes!$A$2:$A$433,E$95,Desconto_Cliente_Mes!$B$2:$B$433,$A95,Desconto_Cliente_Mes!$C$2:$C$433,"Umidade")))</f>
        <v>0</v>
      </c>
      <c r="F98" s="15" t="n">
        <f aca="false">MAX(0,(SUMIFS(Desconto_Cliente_Mes!$L$2:$L$433,Desconto_Cliente_Mes!$A$2:$A$433,F$95,Desconto_Cliente_Mes!$B$2:$B$433,$A95,Desconto_Cliente_Mes!$C$2:$C$433,"Umidade"))-(SUMIFS(Desconto_Cliente_Mes!$N$2:$N$433,Desconto_Cliente_Mes!$A$2:$A$433,F$95,Desconto_Cliente_Mes!$B$2:$B$433,$A95,Desconto_Cliente_Mes!$C$2:$C$433,"Umidade")))</f>
        <v>0.26</v>
      </c>
      <c r="G98" s="15" t="n">
        <f aca="false">MAX(0,(SUMIFS(Desconto_Cliente_Mes!$L$2:$L$433,Desconto_Cliente_Mes!$A$2:$A$433,G$95,Desconto_Cliente_Mes!$B$2:$B$433,$A95,Desconto_Cliente_Mes!$C$2:$C$433,"Umidade"))-(SUMIFS(Desconto_Cliente_Mes!$N$2:$N$433,Desconto_Cliente_Mes!$A$2:$A$433,G$95,Desconto_Cliente_Mes!$B$2:$B$433,$A95,Desconto_Cliente_Mes!$C$2:$C$433,"Umidade")))</f>
        <v>0</v>
      </c>
      <c r="H98" s="15" t="n">
        <f aca="false">MAX(0,(SUMIFS(Desconto_Cliente_Mes!$L$2:$L$433,Desconto_Cliente_Mes!$A$2:$A$433,H$95,Desconto_Cliente_Mes!$B$2:$B$433,$A95,Desconto_Cliente_Mes!$C$2:$C$433,"Umidade"))-(SUMIFS(Desconto_Cliente_Mes!$N$2:$N$433,Desconto_Cliente_Mes!$A$2:$A$433,H$95,Desconto_Cliente_Mes!$B$2:$B$433,$A95,Desconto_Cliente_Mes!$C$2:$C$433,"Umidade")))</f>
        <v>0</v>
      </c>
      <c r="I98" s="15" t="n">
        <f aca="false">MAX(0,(SUMIFS(Desconto_Cliente_Mes!$L$2:$L$433,Desconto_Cliente_Mes!$A$2:$A$433,I$95,Desconto_Cliente_Mes!$B$2:$B$433,$A95,Desconto_Cliente_Mes!$C$2:$C$433,"Umidade"))-(SUMIFS(Desconto_Cliente_Mes!$N$2:$N$433,Desconto_Cliente_Mes!$A$2:$A$433,I$95,Desconto_Cliente_Mes!$B$2:$B$433,$A95,Desconto_Cliente_Mes!$C$2:$C$433,"Umidade")))</f>
        <v>0.0199999999999996</v>
      </c>
      <c r="J98" s="15" t="n">
        <f aca="false">MAX(0,(SUMIFS(Desconto_Cliente_Mes!$L$2:$L$433,Desconto_Cliente_Mes!$A$2:$A$433,J$95,Desconto_Cliente_Mes!$B$2:$B$433,$A95,Desconto_Cliente_Mes!$C$2:$C$433,"Umidade"))-(SUMIFS(Desconto_Cliente_Mes!$N$2:$N$433,Desconto_Cliente_Mes!$A$2:$A$433,J$95,Desconto_Cliente_Mes!$B$2:$B$433,$A95,Desconto_Cliente_Mes!$C$2:$C$433,"Umidade")))</f>
        <v>0</v>
      </c>
      <c r="K98" s="15" t="n">
        <f aca="false">MAX(0,(SUMIFS(Desconto_Cliente_Mes!$L$2:$L$433,Desconto_Cliente_Mes!$A$2:$A$433,K$95,Desconto_Cliente_Mes!$B$2:$B$433,$A95,Desconto_Cliente_Mes!$C$2:$C$433,"Umidade"))-(SUMIFS(Desconto_Cliente_Mes!$N$2:$N$433,Desconto_Cliente_Mes!$A$2:$A$433,K$95,Desconto_Cliente_Mes!$B$2:$B$433,$A95,Desconto_Cliente_Mes!$C$2:$C$433,"Umidade")))</f>
        <v>0.210000000000001</v>
      </c>
      <c r="L98" s="15" t="n">
        <f aca="false">MAX(0,(SUMIFS(Desconto_Cliente_Mes!$L$2:$L$433,Desconto_Cliente_Mes!$A$2:$A$433,L$95,Desconto_Cliente_Mes!$B$2:$B$433,$A95,Desconto_Cliente_Mes!$C$2:$C$433,"Umidade"))-(SUMIFS(Desconto_Cliente_Mes!$N$2:$N$433,Desconto_Cliente_Mes!$A$2:$A$433,L$95,Desconto_Cliente_Mes!$B$2:$B$433,$A95,Desconto_Cliente_Mes!$C$2:$C$433,"Umidade")))</f>
        <v>0</v>
      </c>
      <c r="M98" s="15" t="n">
        <f aca="false">MAX(0,(SUMIFS(Desconto_Cliente_Mes!$L$2:$L$433,Desconto_Cliente_Mes!$A$2:$A$433,M$95,Desconto_Cliente_Mes!$B$2:$B$433,$A95,Desconto_Cliente_Mes!$C$2:$C$433,"Umidade"))-(SUMIFS(Desconto_Cliente_Mes!$N$2:$N$433,Desconto_Cliente_Mes!$A$2:$A$433,M$95,Desconto_Cliente_Mes!$B$2:$B$433,$A95,Desconto_Cliente_Mes!$C$2:$C$433,"Umidade")))</f>
        <v>0</v>
      </c>
    </row>
    <row r="99" customFormat="false" ht="15" hidden="false" customHeight="false" outlineLevel="0" collapsed="false">
      <c r="A99" s="13" t="s">
        <v>77</v>
      </c>
      <c r="B99" s="15" t="n">
        <f aca="false">MAX(0,(SUMIFS(Desconto_Cliente_Mes!$N$2:$N$433,Desconto_Cliente_Mes!$A$2:$A$433,B$95,Desconto_Cliente_Mes!$B$2:$B$433,$A95,Desconto_Cliente_Mes!$C$2:$C$433,"Umidade"))-(SUMIFS(Desconto_Cliente_Mes!$P$2:$P$433,Desconto_Cliente_Mes!$A$2:$A$433,B$95,Desconto_Cliente_Mes!$B$2:$B$433,$A95,Desconto_Cliente_Mes!$C$2:$C$433,"Umidade")))</f>
        <v>0</v>
      </c>
      <c r="C99" s="15" t="n">
        <f aca="false">MAX(0,(SUMIFS(Desconto_Cliente_Mes!$N$2:$N$433,Desconto_Cliente_Mes!$A$2:$A$433,C$95,Desconto_Cliente_Mes!$B$2:$B$433,$A95,Desconto_Cliente_Mes!$C$2:$C$433,"Umidade"))-(SUMIFS(Desconto_Cliente_Mes!$P$2:$P$433,Desconto_Cliente_Mes!$A$2:$A$433,C$95,Desconto_Cliente_Mes!$B$2:$B$433,$A95,Desconto_Cliente_Mes!$C$2:$C$433,"Umidade")))</f>
        <v>0</v>
      </c>
      <c r="D99" s="15" t="n">
        <f aca="false">MAX(0,(SUMIFS(Desconto_Cliente_Mes!$N$2:$N$433,Desconto_Cliente_Mes!$A$2:$A$433,D$95,Desconto_Cliente_Mes!$B$2:$B$433,$A95,Desconto_Cliente_Mes!$C$2:$C$433,"Umidade"))-(SUMIFS(Desconto_Cliente_Mes!$P$2:$P$433,Desconto_Cliente_Mes!$A$2:$A$433,D$95,Desconto_Cliente_Mes!$B$2:$B$433,$A95,Desconto_Cliente_Mes!$C$2:$C$433,"Umidade")))</f>
        <v>0</v>
      </c>
      <c r="E99" s="15" t="n">
        <f aca="false">MAX(0,(SUMIFS(Desconto_Cliente_Mes!$N$2:$N$433,Desconto_Cliente_Mes!$A$2:$A$433,E$95,Desconto_Cliente_Mes!$B$2:$B$433,$A95,Desconto_Cliente_Mes!$C$2:$C$433,"Umidade"))-(SUMIFS(Desconto_Cliente_Mes!$P$2:$P$433,Desconto_Cliente_Mes!$A$2:$A$433,E$95,Desconto_Cliente_Mes!$B$2:$B$433,$A95,Desconto_Cliente_Mes!$C$2:$C$433,"Umidade")))</f>
        <v>0</v>
      </c>
      <c r="F99" s="15" t="n">
        <f aca="false">MAX(0,(SUMIFS(Desconto_Cliente_Mes!$N$2:$N$433,Desconto_Cliente_Mes!$A$2:$A$433,F$95,Desconto_Cliente_Mes!$B$2:$B$433,$A95,Desconto_Cliente_Mes!$C$2:$C$433,"Umidade"))-(SUMIFS(Desconto_Cliente_Mes!$P$2:$P$433,Desconto_Cliente_Mes!$A$2:$A$433,F$95,Desconto_Cliente_Mes!$B$2:$B$433,$A95,Desconto_Cliente_Mes!$C$2:$C$433,"Umidade")))</f>
        <v>0</v>
      </c>
      <c r="G99" s="15" t="n">
        <f aca="false">MAX(0,(SUMIFS(Desconto_Cliente_Mes!$N$2:$N$433,Desconto_Cliente_Mes!$A$2:$A$433,G$95,Desconto_Cliente_Mes!$B$2:$B$433,$A95,Desconto_Cliente_Mes!$C$2:$C$433,"Umidade"))-(SUMIFS(Desconto_Cliente_Mes!$P$2:$P$433,Desconto_Cliente_Mes!$A$2:$A$433,G$95,Desconto_Cliente_Mes!$B$2:$B$433,$A95,Desconto_Cliente_Mes!$C$2:$C$433,"Umidade")))</f>
        <v>0</v>
      </c>
      <c r="H99" s="15" t="n">
        <f aca="false">MAX(0,(SUMIFS(Desconto_Cliente_Mes!$N$2:$N$433,Desconto_Cliente_Mes!$A$2:$A$433,H$95,Desconto_Cliente_Mes!$B$2:$B$433,$A95,Desconto_Cliente_Mes!$C$2:$C$433,"Umidade"))-(SUMIFS(Desconto_Cliente_Mes!$P$2:$P$433,Desconto_Cliente_Mes!$A$2:$A$433,H$95,Desconto_Cliente_Mes!$B$2:$B$433,$A95,Desconto_Cliente_Mes!$C$2:$C$433,"Umidade")))</f>
        <v>0</v>
      </c>
      <c r="I99" s="15" t="n">
        <f aca="false">MAX(0,(SUMIFS(Desconto_Cliente_Mes!$N$2:$N$433,Desconto_Cliente_Mes!$A$2:$A$433,I$95,Desconto_Cliente_Mes!$B$2:$B$433,$A95,Desconto_Cliente_Mes!$C$2:$C$433,"Umidade"))-(SUMIFS(Desconto_Cliente_Mes!$P$2:$P$433,Desconto_Cliente_Mes!$A$2:$A$433,I$95,Desconto_Cliente_Mes!$B$2:$B$433,$A95,Desconto_Cliente_Mes!$C$2:$C$433,"Umidade")))</f>
        <v>0</v>
      </c>
      <c r="J99" s="15" t="n">
        <f aca="false">MAX(0,(SUMIFS(Desconto_Cliente_Mes!$N$2:$N$433,Desconto_Cliente_Mes!$A$2:$A$433,J$95,Desconto_Cliente_Mes!$B$2:$B$433,$A95,Desconto_Cliente_Mes!$C$2:$C$433,"Umidade"))-(SUMIFS(Desconto_Cliente_Mes!$P$2:$P$433,Desconto_Cliente_Mes!$A$2:$A$433,J$95,Desconto_Cliente_Mes!$B$2:$B$433,$A95,Desconto_Cliente_Mes!$C$2:$C$433,"Umidade")))</f>
        <v>0</v>
      </c>
      <c r="K99" s="15" t="n">
        <f aca="false">MAX(0,(SUMIFS(Desconto_Cliente_Mes!$N$2:$N$433,Desconto_Cliente_Mes!$A$2:$A$433,K$95,Desconto_Cliente_Mes!$B$2:$B$433,$A95,Desconto_Cliente_Mes!$C$2:$C$433,"Umidade"))-(SUMIFS(Desconto_Cliente_Mes!$P$2:$P$433,Desconto_Cliente_Mes!$A$2:$A$433,K$95,Desconto_Cliente_Mes!$B$2:$B$433,$A95,Desconto_Cliente_Mes!$C$2:$C$433,"Umidade")))</f>
        <v>0</v>
      </c>
      <c r="L99" s="15" t="n">
        <f aca="false">MAX(0,(SUMIFS(Desconto_Cliente_Mes!$N$2:$N$433,Desconto_Cliente_Mes!$A$2:$A$433,L$95,Desconto_Cliente_Mes!$B$2:$B$433,$A95,Desconto_Cliente_Mes!$C$2:$C$433,"Umidade"))-(SUMIFS(Desconto_Cliente_Mes!$P$2:$P$433,Desconto_Cliente_Mes!$A$2:$A$433,L$95,Desconto_Cliente_Mes!$B$2:$B$433,$A95,Desconto_Cliente_Mes!$C$2:$C$433,"Umidade")))</f>
        <v>0</v>
      </c>
      <c r="M99" s="15" t="n">
        <f aca="false">MAX(0,(SUMIFS(Desconto_Cliente_Mes!$N$2:$N$433,Desconto_Cliente_Mes!$A$2:$A$433,M$95,Desconto_Cliente_Mes!$B$2:$B$433,$A95,Desconto_Cliente_Mes!$C$2:$C$433,"Umidade"))-(SUMIFS(Desconto_Cliente_Mes!$P$2:$P$433,Desconto_Cliente_Mes!$A$2:$A$433,M$95,Desconto_Cliente_Mes!$B$2:$B$433,$A95,Desconto_Cliente_Mes!$C$2:$C$433,"Umidade")))</f>
        <v>0</v>
      </c>
    </row>
    <row r="100" customFormat="false" ht="15" hidden="false" customHeight="false" outlineLevel="0" collapsed="false">
      <c r="A100" s="13" t="s">
        <v>78</v>
      </c>
      <c r="B100" s="15" t="n">
        <f aca="false">MAX(0,SUMIFS(Desconto_Cliente_Mes!$P$2:$P$433,Desconto_Cliente_Mes!$A$2:$A$433,B$95,Desconto_Cliente_Mes!$B$2:$B$433,$A95,Desconto_Cliente_Mes!$C$2:$C$433,"Umidade"))</f>
        <v>0</v>
      </c>
      <c r="C100" s="15" t="n">
        <f aca="false">MAX(0,SUMIFS(Desconto_Cliente_Mes!$P$2:$P$433,Desconto_Cliente_Mes!$A$2:$A$433,C$95,Desconto_Cliente_Mes!$B$2:$B$433,$A95,Desconto_Cliente_Mes!$C$2:$C$433,"Umidade"))</f>
        <v>0</v>
      </c>
      <c r="D100" s="15" t="n">
        <f aca="false">MAX(0,SUMIFS(Desconto_Cliente_Mes!$P$2:$P$433,Desconto_Cliente_Mes!$A$2:$A$433,D$95,Desconto_Cliente_Mes!$B$2:$B$433,$A95,Desconto_Cliente_Mes!$C$2:$C$433,"Umidade"))</f>
        <v>0</v>
      </c>
      <c r="E100" s="15" t="n">
        <f aca="false">MAX(0,SUMIFS(Desconto_Cliente_Mes!$P$2:$P$433,Desconto_Cliente_Mes!$A$2:$A$433,E$95,Desconto_Cliente_Mes!$B$2:$B$433,$A95,Desconto_Cliente_Mes!$C$2:$C$433,"Umidade"))</f>
        <v>0</v>
      </c>
      <c r="F100" s="15" t="n">
        <f aca="false">MAX(0,SUMIFS(Desconto_Cliente_Mes!$P$2:$P$433,Desconto_Cliente_Mes!$A$2:$A$433,F$95,Desconto_Cliente_Mes!$B$2:$B$433,$A95,Desconto_Cliente_Mes!$C$2:$C$433,"Umidade"))</f>
        <v>0</v>
      </c>
      <c r="G100" s="15" t="n">
        <f aca="false">MAX(0,SUMIFS(Desconto_Cliente_Mes!$P$2:$P$433,Desconto_Cliente_Mes!$A$2:$A$433,G$95,Desconto_Cliente_Mes!$B$2:$B$433,$A95,Desconto_Cliente_Mes!$C$2:$C$433,"Umidade"))</f>
        <v>0</v>
      </c>
      <c r="H100" s="15" t="n">
        <f aca="false">MAX(0,SUMIFS(Desconto_Cliente_Mes!$P$2:$P$433,Desconto_Cliente_Mes!$A$2:$A$433,H$95,Desconto_Cliente_Mes!$B$2:$B$433,$A95,Desconto_Cliente_Mes!$C$2:$C$433,"Umidade"))</f>
        <v>0</v>
      </c>
      <c r="I100" s="15" t="n">
        <f aca="false">MAX(0,SUMIFS(Desconto_Cliente_Mes!$P$2:$P$433,Desconto_Cliente_Mes!$A$2:$A$433,I$95,Desconto_Cliente_Mes!$B$2:$B$433,$A95,Desconto_Cliente_Mes!$C$2:$C$433,"Umidade"))</f>
        <v>0</v>
      </c>
      <c r="J100" s="15" t="n">
        <f aca="false">MAX(0,SUMIFS(Desconto_Cliente_Mes!$P$2:$P$433,Desconto_Cliente_Mes!$A$2:$A$433,J$95,Desconto_Cliente_Mes!$B$2:$B$433,$A95,Desconto_Cliente_Mes!$C$2:$C$433,"Umidade"))</f>
        <v>0</v>
      </c>
      <c r="K100" s="15" t="n">
        <f aca="false">MAX(0,SUMIFS(Desconto_Cliente_Mes!$P$2:$P$433,Desconto_Cliente_Mes!$A$2:$A$433,K$95,Desconto_Cliente_Mes!$B$2:$B$433,$A95,Desconto_Cliente_Mes!$C$2:$C$433,"Umidade"))</f>
        <v>0</v>
      </c>
      <c r="L100" s="15" t="n">
        <f aca="false">MAX(0,SUMIFS(Desconto_Cliente_Mes!$P$2:$P$433,Desconto_Cliente_Mes!$A$2:$A$433,L$95,Desconto_Cliente_Mes!$B$2:$B$433,$A95,Desconto_Cliente_Mes!$C$2:$C$433,"Umidade"))</f>
        <v>0</v>
      </c>
      <c r="M100" s="15" t="n">
        <f aca="false">MAX(0,SUMIFS(Desconto_Cliente_Mes!$P$2:$P$433,Desconto_Cliente_Mes!$A$2:$A$433,M$95,Desconto_Cliente_Mes!$B$2:$B$433,$A95,Desconto_Cliente_Mes!$C$2:$C$433,"Umidade"))</f>
        <v>0</v>
      </c>
    </row>
    <row r="101" customFormat="false" ht="15" hidden="false" customHeight="false" outlineLevel="0" collapsed="false">
      <c r="A101" s="13" t="s">
        <v>79</v>
      </c>
      <c r="B101" s="16" t="n">
        <f aca="false">$B$97*($B$98/100)*(SUMIFS(Desconto_Cliente_Mes!$Q$2:$Q$433,Desconto_Cliente_Mes!$A$2:$A$433,B$95,Desconto_Cliente_Mes!$B$2:$B$433,$A95,Desconto_Cliente_Mes!$C$2:$C$433,"Umidade"))*(SUMIFS(Desconto_Cliente_Mes!$T$2:$T$433,Desconto_Cliente_Mes!$A$2:$A$433,B$95,Desconto_Cliente_Mes!$B$2:$B$433,$A95,Desconto_Cliente_Mes!$C$2:$C$433,"Umidade"))</f>
        <v>0</v>
      </c>
      <c r="C101" s="16" t="n">
        <f aca="false">$C$97*($C$98/100)*(SUMIFS(Desconto_Cliente_Mes!$Q$2:$Q$433,Desconto_Cliente_Mes!$A$2:$A$433,C$95,Desconto_Cliente_Mes!$B$2:$B$433,$A95,Desconto_Cliente_Mes!$C$2:$C$433,"Umidade"))*(SUMIFS(Desconto_Cliente_Mes!$T$2:$T$433,Desconto_Cliente_Mes!$A$2:$A$433,C$95,Desconto_Cliente_Mes!$B$2:$B$433,$A95,Desconto_Cliente_Mes!$C$2:$C$433,"Umidade"))</f>
        <v>0</v>
      </c>
      <c r="D101" s="16" t="n">
        <f aca="false">$D$97*($D$98/100)*(SUMIFS(Desconto_Cliente_Mes!$Q$2:$Q$433,Desconto_Cliente_Mes!$A$2:$A$433,D$95,Desconto_Cliente_Mes!$B$2:$B$433,$A95,Desconto_Cliente_Mes!$C$2:$C$433,"Umidade"))*(SUMIFS(Desconto_Cliente_Mes!$T$2:$T$433,Desconto_Cliente_Mes!$A$2:$A$433,D$95,Desconto_Cliente_Mes!$B$2:$B$433,$A95,Desconto_Cliente_Mes!$C$2:$C$433,"Umidade"))</f>
        <v>1628.74163999999</v>
      </c>
      <c r="E101" s="16" t="n">
        <f aca="false">$E$97*($E$98/100)*(SUMIFS(Desconto_Cliente_Mes!$Q$2:$Q$433,Desconto_Cliente_Mes!$A$2:$A$433,E$95,Desconto_Cliente_Mes!$B$2:$B$433,$A95,Desconto_Cliente_Mes!$C$2:$C$433,"Umidade"))*(SUMIFS(Desconto_Cliente_Mes!$T$2:$T$433,Desconto_Cliente_Mes!$A$2:$A$433,E$95,Desconto_Cliente_Mes!$B$2:$B$433,$A95,Desconto_Cliente_Mes!$C$2:$C$433,"Umidade"))</f>
        <v>0</v>
      </c>
      <c r="F101" s="16" t="n">
        <f aca="false">$F$97*($F$98/100)*(SUMIFS(Desconto_Cliente_Mes!$Q$2:$Q$433,Desconto_Cliente_Mes!$A$2:$A$433,F$95,Desconto_Cliente_Mes!$B$2:$B$433,$A95,Desconto_Cliente_Mes!$C$2:$C$433,"Umidade"))*(SUMIFS(Desconto_Cliente_Mes!$T$2:$T$433,Desconto_Cliente_Mes!$A$2:$A$433,F$95,Desconto_Cliente_Mes!$B$2:$B$433,$A95,Desconto_Cliente_Mes!$C$2:$C$433,"Umidade"))</f>
        <v>14068.473276</v>
      </c>
      <c r="G101" s="16" t="n">
        <f aca="false">$G$97*($G$98/100)*(SUMIFS(Desconto_Cliente_Mes!$Q$2:$Q$433,Desconto_Cliente_Mes!$A$2:$A$433,G$95,Desconto_Cliente_Mes!$B$2:$B$433,$A95,Desconto_Cliente_Mes!$C$2:$C$433,"Umidade"))*(SUMIFS(Desconto_Cliente_Mes!$T$2:$T$433,Desconto_Cliente_Mes!$A$2:$A$433,G$95,Desconto_Cliente_Mes!$B$2:$B$433,$A95,Desconto_Cliente_Mes!$C$2:$C$433,"Umidade"))</f>
        <v>0</v>
      </c>
      <c r="H101" s="16" t="n">
        <f aca="false">$H$97*($H$98/100)*(SUMIFS(Desconto_Cliente_Mes!$Q$2:$Q$433,Desconto_Cliente_Mes!$A$2:$A$433,H$95,Desconto_Cliente_Mes!$B$2:$B$433,$A95,Desconto_Cliente_Mes!$C$2:$C$433,"Umidade"))*(SUMIFS(Desconto_Cliente_Mes!$T$2:$T$433,Desconto_Cliente_Mes!$A$2:$A$433,H$95,Desconto_Cliente_Mes!$B$2:$B$433,$A95,Desconto_Cliente_Mes!$C$2:$C$433,"Umidade"))</f>
        <v>0</v>
      </c>
      <c r="I101" s="16" t="n">
        <f aca="false">$I$97*($I$98/100)*(SUMIFS(Desconto_Cliente_Mes!$Q$2:$Q$433,Desconto_Cliente_Mes!$A$2:$A$433,I$95,Desconto_Cliente_Mes!$B$2:$B$433,$A95,Desconto_Cliente_Mes!$C$2:$C$433,"Umidade"))*(SUMIFS(Desconto_Cliente_Mes!$T$2:$T$433,Desconto_Cliente_Mes!$A$2:$A$433,I$95,Desconto_Cliente_Mes!$B$2:$B$433,$A95,Desconto_Cliente_Mes!$C$2:$C$433,"Umidade"))</f>
        <v>243.258591999995</v>
      </c>
      <c r="J101" s="16" t="n">
        <f aca="false">$J$97*($J$98/100)*(SUMIFS(Desconto_Cliente_Mes!$Q$2:$Q$433,Desconto_Cliente_Mes!$A$2:$A$433,J$95,Desconto_Cliente_Mes!$B$2:$B$433,$A95,Desconto_Cliente_Mes!$C$2:$C$433,"Umidade"))*(SUMIFS(Desconto_Cliente_Mes!$T$2:$T$433,Desconto_Cliente_Mes!$A$2:$A$433,J$95,Desconto_Cliente_Mes!$B$2:$B$433,$A95,Desconto_Cliente_Mes!$C$2:$C$433,"Umidade"))</f>
        <v>0</v>
      </c>
      <c r="K101" s="16" t="n">
        <f aca="false">$K$97*($K$98/100)*(SUMIFS(Desconto_Cliente_Mes!$Q$2:$Q$433,Desconto_Cliente_Mes!$A$2:$A$433,K$95,Desconto_Cliente_Mes!$B$2:$B$433,$A95,Desconto_Cliente_Mes!$C$2:$C$433,"Umidade"))*(SUMIFS(Desconto_Cliente_Mes!$T$2:$T$433,Desconto_Cliente_Mes!$A$2:$A$433,K$95,Desconto_Cliente_Mes!$B$2:$B$433,$A95,Desconto_Cliente_Mes!$C$2:$C$433,"Umidade"))</f>
        <v>4634.21485800002</v>
      </c>
      <c r="L101" s="16" t="n">
        <f aca="false">$L$97*($L$98/100)*(SUMIFS(Desconto_Cliente_Mes!$Q$2:$Q$433,Desconto_Cliente_Mes!$A$2:$A$433,L$95,Desconto_Cliente_Mes!$B$2:$B$433,$A95,Desconto_Cliente_Mes!$C$2:$C$433,"Umidade"))*(SUMIFS(Desconto_Cliente_Mes!$T$2:$T$433,Desconto_Cliente_Mes!$A$2:$A$433,L$95,Desconto_Cliente_Mes!$B$2:$B$433,$A95,Desconto_Cliente_Mes!$C$2:$C$433,"Umidade"))</f>
        <v>0</v>
      </c>
      <c r="M101" s="16" t="n">
        <f aca="false">$M$97*($M$98/100)*(SUMIFS(Desconto_Cliente_Mes!$Q$2:$Q$433,Desconto_Cliente_Mes!$A$2:$A$433,M$95,Desconto_Cliente_Mes!$B$2:$B$433,$A95,Desconto_Cliente_Mes!$C$2:$C$433,"Umidade"))*(SUMIFS(Desconto_Cliente_Mes!$T$2:$T$433,Desconto_Cliente_Mes!$A$2:$A$433,M$95,Desconto_Cliente_Mes!$B$2:$B$433,$A95,Desconto_Cliente_Mes!$C$2:$C$433,"Umidade"))</f>
        <v>0</v>
      </c>
      <c r="N101" s="17" t="n">
        <f aca="false">SUM(B101:M101)</f>
        <v>20574.688366</v>
      </c>
    </row>
    <row r="102" customFormat="false" ht="15" hidden="false" customHeight="false" outlineLevel="0" collapsed="false">
      <c r="A102" s="13" t="s">
        <v>80</v>
      </c>
      <c r="B102" s="16" t="n">
        <f aca="false">$B$97*($B$99/100)*((IF(SUMIFS(Desconto_Cliente_Mes!$R$2:$R$433,Desconto_Cliente_Mes!$A$2:$A$433,B$95,Desconto_Cliente_Mes!$B$2:$B$433,$A95,Desconto_Cliente_Mes!$C$2:$C$433,"Umidade")="",SUMIFS(Desconto_Cliente_Mes!$Q$2:$Q$433,Desconto_Cliente_Mes!$A$2:$A$433,B$95,Desconto_Cliente_Mes!$B$2:$B$433,$A95,Desconto_Cliente_Mes!$C$2:$C$433,"Umidade"),SUMIFS(Desconto_Cliente_Mes!$R$2:$R$433,Desconto_Cliente_Mes!$A$2:$A$433,B$95,Desconto_Cliente_Mes!$B$2:$B$433,$A95,Desconto_Cliente_Mes!$C$2:$C$433,"Umidade")))-(SUMIFS(Desconto_Cliente_Mes!$Q$2:$Q$433,Desconto_Cliente_Mes!$A$2:$A$433,B$95,Desconto_Cliente_Mes!$B$2:$B$433,$A95,Desconto_Cliente_Mes!$C$2:$C$433,"Umidade")))*(SUMIFS(Desconto_Cliente_Mes!$T$2:$T$433,Desconto_Cliente_Mes!$A$2:$A$433,B$95,Desconto_Cliente_Mes!$B$2:$B$433,$A95,Desconto_Cliente_Mes!$C$2:$C$433,"Umidade"))</f>
        <v>-0</v>
      </c>
      <c r="C102" s="16" t="n">
        <f aca="false">$C$97*($C$99/100)*((IF(SUMIFS(Desconto_Cliente_Mes!$R$2:$R$433,Desconto_Cliente_Mes!$A$2:$A$433,C$95,Desconto_Cliente_Mes!$B$2:$B$433,$A95,Desconto_Cliente_Mes!$C$2:$C$433,"Umidade")="",SUMIFS(Desconto_Cliente_Mes!$Q$2:$Q$433,Desconto_Cliente_Mes!$A$2:$A$433,C$95,Desconto_Cliente_Mes!$B$2:$B$433,$A95,Desconto_Cliente_Mes!$C$2:$C$433,"Umidade"),SUMIFS(Desconto_Cliente_Mes!$R$2:$R$433,Desconto_Cliente_Mes!$A$2:$A$433,C$95,Desconto_Cliente_Mes!$B$2:$B$433,$A95,Desconto_Cliente_Mes!$C$2:$C$433,"Umidade")))-(SUMIFS(Desconto_Cliente_Mes!$Q$2:$Q$433,Desconto_Cliente_Mes!$A$2:$A$433,C$95,Desconto_Cliente_Mes!$B$2:$B$433,$A95,Desconto_Cliente_Mes!$C$2:$C$433,"Umidade")))*(SUMIFS(Desconto_Cliente_Mes!$T$2:$T$433,Desconto_Cliente_Mes!$A$2:$A$433,C$95,Desconto_Cliente_Mes!$B$2:$B$433,$A95,Desconto_Cliente_Mes!$C$2:$C$433,"Umidade"))</f>
        <v>-0</v>
      </c>
      <c r="D102" s="16" t="n">
        <f aca="false">$D$97*($D$99/100)*((IF(SUMIFS(Desconto_Cliente_Mes!$R$2:$R$433,Desconto_Cliente_Mes!$A$2:$A$433,D$95,Desconto_Cliente_Mes!$B$2:$B$433,$A95,Desconto_Cliente_Mes!$C$2:$C$433,"Umidade")="",SUMIFS(Desconto_Cliente_Mes!$Q$2:$Q$433,Desconto_Cliente_Mes!$A$2:$A$433,D$95,Desconto_Cliente_Mes!$B$2:$B$433,$A95,Desconto_Cliente_Mes!$C$2:$C$433,"Umidade"),SUMIFS(Desconto_Cliente_Mes!$R$2:$R$433,Desconto_Cliente_Mes!$A$2:$A$433,D$95,Desconto_Cliente_Mes!$B$2:$B$433,$A95,Desconto_Cliente_Mes!$C$2:$C$433,"Umidade")))-(SUMIFS(Desconto_Cliente_Mes!$Q$2:$Q$433,Desconto_Cliente_Mes!$A$2:$A$433,D$95,Desconto_Cliente_Mes!$B$2:$B$433,$A95,Desconto_Cliente_Mes!$C$2:$C$433,"Umidade")))*(SUMIFS(Desconto_Cliente_Mes!$T$2:$T$433,Desconto_Cliente_Mes!$A$2:$A$433,D$95,Desconto_Cliente_Mes!$B$2:$B$433,$A95,Desconto_Cliente_Mes!$C$2:$C$433,"Umidade"))</f>
        <v>-0</v>
      </c>
      <c r="E102" s="16" t="n">
        <f aca="false">$E$97*($E$99/100)*((IF(SUMIFS(Desconto_Cliente_Mes!$R$2:$R$433,Desconto_Cliente_Mes!$A$2:$A$433,E$95,Desconto_Cliente_Mes!$B$2:$B$433,$A95,Desconto_Cliente_Mes!$C$2:$C$433,"Umidade")="",SUMIFS(Desconto_Cliente_Mes!$Q$2:$Q$433,Desconto_Cliente_Mes!$A$2:$A$433,E$95,Desconto_Cliente_Mes!$B$2:$B$433,$A95,Desconto_Cliente_Mes!$C$2:$C$433,"Umidade"),SUMIFS(Desconto_Cliente_Mes!$R$2:$R$433,Desconto_Cliente_Mes!$A$2:$A$433,E$95,Desconto_Cliente_Mes!$B$2:$B$433,$A95,Desconto_Cliente_Mes!$C$2:$C$433,"Umidade")))-(SUMIFS(Desconto_Cliente_Mes!$Q$2:$Q$433,Desconto_Cliente_Mes!$A$2:$A$433,E$95,Desconto_Cliente_Mes!$B$2:$B$433,$A95,Desconto_Cliente_Mes!$C$2:$C$433,"Umidade")))*(SUMIFS(Desconto_Cliente_Mes!$T$2:$T$433,Desconto_Cliente_Mes!$A$2:$A$433,E$95,Desconto_Cliente_Mes!$B$2:$B$433,$A95,Desconto_Cliente_Mes!$C$2:$C$433,"Umidade"))</f>
        <v>-0</v>
      </c>
      <c r="F102" s="16" t="n">
        <f aca="false">$F$97*($F$99/100)*((IF(SUMIFS(Desconto_Cliente_Mes!$R$2:$R$433,Desconto_Cliente_Mes!$A$2:$A$433,F$95,Desconto_Cliente_Mes!$B$2:$B$433,$A95,Desconto_Cliente_Mes!$C$2:$C$433,"Umidade")="",SUMIFS(Desconto_Cliente_Mes!$Q$2:$Q$433,Desconto_Cliente_Mes!$A$2:$A$433,F$95,Desconto_Cliente_Mes!$B$2:$B$433,$A95,Desconto_Cliente_Mes!$C$2:$C$433,"Umidade"),SUMIFS(Desconto_Cliente_Mes!$R$2:$R$433,Desconto_Cliente_Mes!$A$2:$A$433,F$95,Desconto_Cliente_Mes!$B$2:$B$433,$A95,Desconto_Cliente_Mes!$C$2:$C$433,"Umidade")))-(SUMIFS(Desconto_Cliente_Mes!$Q$2:$Q$433,Desconto_Cliente_Mes!$A$2:$A$433,F$95,Desconto_Cliente_Mes!$B$2:$B$433,$A95,Desconto_Cliente_Mes!$C$2:$C$433,"Umidade")))*(SUMIFS(Desconto_Cliente_Mes!$T$2:$T$433,Desconto_Cliente_Mes!$A$2:$A$433,F$95,Desconto_Cliente_Mes!$B$2:$B$433,$A95,Desconto_Cliente_Mes!$C$2:$C$433,"Umidade"))</f>
        <v>-0</v>
      </c>
      <c r="G102" s="16" t="n">
        <f aca="false">$G$97*($G$99/100)*((IF(SUMIFS(Desconto_Cliente_Mes!$R$2:$R$433,Desconto_Cliente_Mes!$A$2:$A$433,G$95,Desconto_Cliente_Mes!$B$2:$B$433,$A95,Desconto_Cliente_Mes!$C$2:$C$433,"Umidade")="",SUMIFS(Desconto_Cliente_Mes!$Q$2:$Q$433,Desconto_Cliente_Mes!$A$2:$A$433,G$95,Desconto_Cliente_Mes!$B$2:$B$433,$A95,Desconto_Cliente_Mes!$C$2:$C$433,"Umidade"),SUMIFS(Desconto_Cliente_Mes!$R$2:$R$433,Desconto_Cliente_Mes!$A$2:$A$433,G$95,Desconto_Cliente_Mes!$B$2:$B$433,$A95,Desconto_Cliente_Mes!$C$2:$C$433,"Umidade")))-(SUMIFS(Desconto_Cliente_Mes!$Q$2:$Q$433,Desconto_Cliente_Mes!$A$2:$A$433,G$95,Desconto_Cliente_Mes!$B$2:$B$433,$A95,Desconto_Cliente_Mes!$C$2:$C$433,"Umidade")))*(SUMIFS(Desconto_Cliente_Mes!$T$2:$T$433,Desconto_Cliente_Mes!$A$2:$A$433,G$95,Desconto_Cliente_Mes!$B$2:$B$433,$A95,Desconto_Cliente_Mes!$C$2:$C$433,"Umidade"))</f>
        <v>-0</v>
      </c>
      <c r="H102" s="16" t="n">
        <f aca="false">$H$97*($H$99/100)*((IF(SUMIFS(Desconto_Cliente_Mes!$R$2:$R$433,Desconto_Cliente_Mes!$A$2:$A$433,H$95,Desconto_Cliente_Mes!$B$2:$B$433,$A95,Desconto_Cliente_Mes!$C$2:$C$433,"Umidade")="",SUMIFS(Desconto_Cliente_Mes!$Q$2:$Q$433,Desconto_Cliente_Mes!$A$2:$A$433,H$95,Desconto_Cliente_Mes!$B$2:$B$433,$A95,Desconto_Cliente_Mes!$C$2:$C$433,"Umidade"),SUMIFS(Desconto_Cliente_Mes!$R$2:$R$433,Desconto_Cliente_Mes!$A$2:$A$433,H$95,Desconto_Cliente_Mes!$B$2:$B$433,$A95,Desconto_Cliente_Mes!$C$2:$C$433,"Umidade")))-(SUMIFS(Desconto_Cliente_Mes!$Q$2:$Q$433,Desconto_Cliente_Mes!$A$2:$A$433,H$95,Desconto_Cliente_Mes!$B$2:$B$433,$A95,Desconto_Cliente_Mes!$C$2:$C$433,"Umidade")))*(SUMIFS(Desconto_Cliente_Mes!$T$2:$T$433,Desconto_Cliente_Mes!$A$2:$A$433,H$95,Desconto_Cliente_Mes!$B$2:$B$433,$A95,Desconto_Cliente_Mes!$C$2:$C$433,"Umidade"))</f>
        <v>-0</v>
      </c>
      <c r="I102" s="16" t="n">
        <f aca="false">$I$97*($I$99/100)*((IF(SUMIFS(Desconto_Cliente_Mes!$R$2:$R$433,Desconto_Cliente_Mes!$A$2:$A$433,I$95,Desconto_Cliente_Mes!$B$2:$B$433,$A95,Desconto_Cliente_Mes!$C$2:$C$433,"Umidade")="",SUMIFS(Desconto_Cliente_Mes!$Q$2:$Q$433,Desconto_Cliente_Mes!$A$2:$A$433,I$95,Desconto_Cliente_Mes!$B$2:$B$433,$A95,Desconto_Cliente_Mes!$C$2:$C$433,"Umidade"),SUMIFS(Desconto_Cliente_Mes!$R$2:$R$433,Desconto_Cliente_Mes!$A$2:$A$433,I$95,Desconto_Cliente_Mes!$B$2:$B$433,$A95,Desconto_Cliente_Mes!$C$2:$C$433,"Umidade")))-(SUMIFS(Desconto_Cliente_Mes!$Q$2:$Q$433,Desconto_Cliente_Mes!$A$2:$A$433,I$95,Desconto_Cliente_Mes!$B$2:$B$433,$A95,Desconto_Cliente_Mes!$C$2:$C$433,"Umidade")))*(SUMIFS(Desconto_Cliente_Mes!$T$2:$T$433,Desconto_Cliente_Mes!$A$2:$A$433,I$95,Desconto_Cliente_Mes!$B$2:$B$433,$A95,Desconto_Cliente_Mes!$C$2:$C$433,"Umidade"))</f>
        <v>-0</v>
      </c>
      <c r="J102" s="16" t="n">
        <f aca="false">$J$97*($J$99/100)*((IF(SUMIFS(Desconto_Cliente_Mes!$R$2:$R$433,Desconto_Cliente_Mes!$A$2:$A$433,J$95,Desconto_Cliente_Mes!$B$2:$B$433,$A95,Desconto_Cliente_Mes!$C$2:$C$433,"Umidade")="",SUMIFS(Desconto_Cliente_Mes!$Q$2:$Q$433,Desconto_Cliente_Mes!$A$2:$A$433,J$95,Desconto_Cliente_Mes!$B$2:$B$433,$A95,Desconto_Cliente_Mes!$C$2:$C$433,"Umidade"),SUMIFS(Desconto_Cliente_Mes!$R$2:$R$433,Desconto_Cliente_Mes!$A$2:$A$433,J$95,Desconto_Cliente_Mes!$B$2:$B$433,$A95,Desconto_Cliente_Mes!$C$2:$C$433,"Umidade")))-(SUMIFS(Desconto_Cliente_Mes!$Q$2:$Q$433,Desconto_Cliente_Mes!$A$2:$A$433,J$95,Desconto_Cliente_Mes!$B$2:$B$433,$A95,Desconto_Cliente_Mes!$C$2:$C$433,"Umidade")))*(SUMIFS(Desconto_Cliente_Mes!$T$2:$T$433,Desconto_Cliente_Mes!$A$2:$A$433,J$95,Desconto_Cliente_Mes!$B$2:$B$433,$A95,Desconto_Cliente_Mes!$C$2:$C$433,"Umidade"))</f>
        <v>-0</v>
      </c>
      <c r="K102" s="16" t="n">
        <f aca="false">$K$97*($K$99/100)*((IF(SUMIFS(Desconto_Cliente_Mes!$R$2:$R$433,Desconto_Cliente_Mes!$A$2:$A$433,K$95,Desconto_Cliente_Mes!$B$2:$B$433,$A95,Desconto_Cliente_Mes!$C$2:$C$433,"Umidade")="",SUMIFS(Desconto_Cliente_Mes!$Q$2:$Q$433,Desconto_Cliente_Mes!$A$2:$A$433,K$95,Desconto_Cliente_Mes!$B$2:$B$433,$A95,Desconto_Cliente_Mes!$C$2:$C$433,"Umidade"),SUMIFS(Desconto_Cliente_Mes!$R$2:$R$433,Desconto_Cliente_Mes!$A$2:$A$433,K$95,Desconto_Cliente_Mes!$B$2:$B$433,$A95,Desconto_Cliente_Mes!$C$2:$C$433,"Umidade")))-(SUMIFS(Desconto_Cliente_Mes!$Q$2:$Q$433,Desconto_Cliente_Mes!$A$2:$A$433,K$95,Desconto_Cliente_Mes!$B$2:$B$433,$A95,Desconto_Cliente_Mes!$C$2:$C$433,"Umidade")))*(SUMIFS(Desconto_Cliente_Mes!$T$2:$T$433,Desconto_Cliente_Mes!$A$2:$A$433,K$95,Desconto_Cliente_Mes!$B$2:$B$433,$A95,Desconto_Cliente_Mes!$C$2:$C$433,"Umidade"))</f>
        <v>-0</v>
      </c>
      <c r="L102" s="16" t="n">
        <f aca="false">$L$97*($L$99/100)*((IF(SUMIFS(Desconto_Cliente_Mes!$R$2:$R$433,Desconto_Cliente_Mes!$A$2:$A$433,L$95,Desconto_Cliente_Mes!$B$2:$B$433,$A95,Desconto_Cliente_Mes!$C$2:$C$433,"Umidade")="",SUMIFS(Desconto_Cliente_Mes!$Q$2:$Q$433,Desconto_Cliente_Mes!$A$2:$A$433,L$95,Desconto_Cliente_Mes!$B$2:$B$433,$A95,Desconto_Cliente_Mes!$C$2:$C$433,"Umidade"),SUMIFS(Desconto_Cliente_Mes!$R$2:$R$433,Desconto_Cliente_Mes!$A$2:$A$433,L$95,Desconto_Cliente_Mes!$B$2:$B$433,$A95,Desconto_Cliente_Mes!$C$2:$C$433,"Umidade")))-(SUMIFS(Desconto_Cliente_Mes!$Q$2:$Q$433,Desconto_Cliente_Mes!$A$2:$A$433,L$95,Desconto_Cliente_Mes!$B$2:$B$433,$A95,Desconto_Cliente_Mes!$C$2:$C$433,"Umidade")))*(SUMIFS(Desconto_Cliente_Mes!$T$2:$T$433,Desconto_Cliente_Mes!$A$2:$A$433,L$95,Desconto_Cliente_Mes!$B$2:$B$433,$A95,Desconto_Cliente_Mes!$C$2:$C$433,"Umidade"))</f>
        <v>-0</v>
      </c>
      <c r="M102" s="16" t="n">
        <f aca="false">$M$97*($M$99/100)*((IF(SUMIFS(Desconto_Cliente_Mes!$R$2:$R$433,Desconto_Cliente_Mes!$A$2:$A$433,M$95,Desconto_Cliente_Mes!$B$2:$B$433,$A95,Desconto_Cliente_Mes!$C$2:$C$433,"Umidade")="",SUMIFS(Desconto_Cliente_Mes!$Q$2:$Q$433,Desconto_Cliente_Mes!$A$2:$A$433,M$95,Desconto_Cliente_Mes!$B$2:$B$433,$A95,Desconto_Cliente_Mes!$C$2:$C$433,"Umidade"),SUMIFS(Desconto_Cliente_Mes!$R$2:$R$433,Desconto_Cliente_Mes!$A$2:$A$433,M$95,Desconto_Cliente_Mes!$B$2:$B$433,$A95,Desconto_Cliente_Mes!$C$2:$C$433,"Umidade")))-(SUMIFS(Desconto_Cliente_Mes!$Q$2:$Q$433,Desconto_Cliente_Mes!$A$2:$A$433,M$95,Desconto_Cliente_Mes!$B$2:$B$433,$A95,Desconto_Cliente_Mes!$C$2:$C$433,"Umidade")))*(SUMIFS(Desconto_Cliente_Mes!$T$2:$T$433,Desconto_Cliente_Mes!$A$2:$A$433,M$95,Desconto_Cliente_Mes!$B$2:$B$433,$A95,Desconto_Cliente_Mes!$C$2:$C$433,"Umidade"))</f>
        <v>-0</v>
      </c>
      <c r="N102" s="17" t="n">
        <f aca="false">SUM(B102:M102)</f>
        <v>0</v>
      </c>
    </row>
    <row r="103" customFormat="false" ht="15" hidden="false" customHeight="false" outlineLevel="0" collapsed="false">
      <c r="A103" s="13" t="s">
        <v>81</v>
      </c>
      <c r="B103" s="16" t="n">
        <f aca="false">$B$97*($B$100/100)*((IF(SUMIFS(Desconto_Cliente_Mes!$S$2:$S$433,Desconto_Cliente_Mes!$A$2:$A$433,B$95,Desconto_Cliente_Mes!$B$2:$B$433,$A95,Desconto_Cliente_Mes!$C$2:$C$433,"Umidade")="",(IF(SUMIFS(Desconto_Cliente_Mes!$R$2:$R$433,Desconto_Cliente_Mes!$A$2:$A$433,B$95,Desconto_Cliente_Mes!$B$2:$B$433,$A95,Desconto_Cliente_Mes!$C$2:$C$433,"Umidade")="",SUMIFS(Desconto_Cliente_Mes!$Q$2:$Q$433,Desconto_Cliente_Mes!$A$2:$A$433,B$95,Desconto_Cliente_Mes!$B$2:$B$433,$A95,Desconto_Cliente_Mes!$C$2:$C$433,"Umidade"),SUMIFS(Desconto_Cliente_Mes!$R$2:$R$433,Desconto_Cliente_Mes!$A$2:$A$433,B$95,Desconto_Cliente_Mes!$B$2:$B$433,$A95,Desconto_Cliente_Mes!$C$2:$C$433,"Umidade"))),SUMIFS(Desconto_Cliente_Mes!$S$2:$S$433,Desconto_Cliente_Mes!$A$2:$A$433,B$95,Desconto_Cliente_Mes!$B$2:$B$433,$A95,Desconto_Cliente_Mes!$C$2:$C$433,"Umidade")))-(IF(SUMIFS(Desconto_Cliente_Mes!$R$2:$R$433,Desconto_Cliente_Mes!$A$2:$A$433,B$95,Desconto_Cliente_Mes!$B$2:$B$433,$A95,Desconto_Cliente_Mes!$C$2:$C$433,"Umidade")="",SUMIFS(Desconto_Cliente_Mes!$Q$2:$Q$433,Desconto_Cliente_Mes!$A$2:$A$433,B$95,Desconto_Cliente_Mes!$B$2:$B$433,$A95,Desconto_Cliente_Mes!$C$2:$C$433,"Umidade"),SUMIFS(Desconto_Cliente_Mes!$R$2:$R$433,Desconto_Cliente_Mes!$A$2:$A$433,B$95,Desconto_Cliente_Mes!$B$2:$B$433,$A95,Desconto_Cliente_Mes!$C$2:$C$433,"Umidade"))))*(SUMIFS(Desconto_Cliente_Mes!$T$2:$T$433,Desconto_Cliente_Mes!$A$2:$A$433,B$95,Desconto_Cliente_Mes!$B$2:$B$433,$A95,Desconto_Cliente_Mes!$C$2:$C$433,"Umidade"))</f>
        <v>0</v>
      </c>
      <c r="C103" s="16" t="n">
        <f aca="false">$C$97*($C$100/100)*((IF(SUMIFS(Desconto_Cliente_Mes!$S$2:$S$433,Desconto_Cliente_Mes!$A$2:$A$433,C$95,Desconto_Cliente_Mes!$B$2:$B$433,$A95,Desconto_Cliente_Mes!$C$2:$C$433,"Umidade")="",(IF(SUMIFS(Desconto_Cliente_Mes!$R$2:$R$433,Desconto_Cliente_Mes!$A$2:$A$433,C$95,Desconto_Cliente_Mes!$B$2:$B$433,$A95,Desconto_Cliente_Mes!$C$2:$C$433,"Umidade")="",SUMIFS(Desconto_Cliente_Mes!$Q$2:$Q$433,Desconto_Cliente_Mes!$A$2:$A$433,C$95,Desconto_Cliente_Mes!$B$2:$B$433,$A95,Desconto_Cliente_Mes!$C$2:$C$433,"Umidade"),SUMIFS(Desconto_Cliente_Mes!$R$2:$R$433,Desconto_Cliente_Mes!$A$2:$A$433,C$95,Desconto_Cliente_Mes!$B$2:$B$433,$A95,Desconto_Cliente_Mes!$C$2:$C$433,"Umidade"))),SUMIFS(Desconto_Cliente_Mes!$S$2:$S$433,Desconto_Cliente_Mes!$A$2:$A$433,C$95,Desconto_Cliente_Mes!$B$2:$B$433,$A95,Desconto_Cliente_Mes!$C$2:$C$433,"Umidade")))-(IF(SUMIFS(Desconto_Cliente_Mes!$R$2:$R$433,Desconto_Cliente_Mes!$A$2:$A$433,C$95,Desconto_Cliente_Mes!$B$2:$B$433,$A95,Desconto_Cliente_Mes!$C$2:$C$433,"Umidade")="",SUMIFS(Desconto_Cliente_Mes!$Q$2:$Q$433,Desconto_Cliente_Mes!$A$2:$A$433,C$95,Desconto_Cliente_Mes!$B$2:$B$433,$A95,Desconto_Cliente_Mes!$C$2:$C$433,"Umidade"),SUMIFS(Desconto_Cliente_Mes!$R$2:$R$433,Desconto_Cliente_Mes!$A$2:$A$433,C$95,Desconto_Cliente_Mes!$B$2:$B$433,$A95,Desconto_Cliente_Mes!$C$2:$C$433,"Umidade"))))*(SUMIFS(Desconto_Cliente_Mes!$T$2:$T$433,Desconto_Cliente_Mes!$A$2:$A$433,C$95,Desconto_Cliente_Mes!$B$2:$B$433,$A95,Desconto_Cliente_Mes!$C$2:$C$433,"Umidade"))</f>
        <v>0</v>
      </c>
      <c r="D103" s="16" t="n">
        <f aca="false">$D$97*($D$100/100)*((IF(SUMIFS(Desconto_Cliente_Mes!$S$2:$S$433,Desconto_Cliente_Mes!$A$2:$A$433,D$95,Desconto_Cliente_Mes!$B$2:$B$433,$A95,Desconto_Cliente_Mes!$C$2:$C$433,"Umidade")="",(IF(SUMIFS(Desconto_Cliente_Mes!$R$2:$R$433,Desconto_Cliente_Mes!$A$2:$A$433,D$95,Desconto_Cliente_Mes!$B$2:$B$433,$A95,Desconto_Cliente_Mes!$C$2:$C$433,"Umidade")="",SUMIFS(Desconto_Cliente_Mes!$Q$2:$Q$433,Desconto_Cliente_Mes!$A$2:$A$433,D$95,Desconto_Cliente_Mes!$B$2:$B$433,$A95,Desconto_Cliente_Mes!$C$2:$C$433,"Umidade"),SUMIFS(Desconto_Cliente_Mes!$R$2:$R$433,Desconto_Cliente_Mes!$A$2:$A$433,D$95,Desconto_Cliente_Mes!$B$2:$B$433,$A95,Desconto_Cliente_Mes!$C$2:$C$433,"Umidade"))),SUMIFS(Desconto_Cliente_Mes!$S$2:$S$433,Desconto_Cliente_Mes!$A$2:$A$433,D$95,Desconto_Cliente_Mes!$B$2:$B$433,$A95,Desconto_Cliente_Mes!$C$2:$C$433,"Umidade")))-(IF(SUMIFS(Desconto_Cliente_Mes!$R$2:$R$433,Desconto_Cliente_Mes!$A$2:$A$433,D$95,Desconto_Cliente_Mes!$B$2:$B$433,$A95,Desconto_Cliente_Mes!$C$2:$C$433,"Umidade")="",SUMIFS(Desconto_Cliente_Mes!$Q$2:$Q$433,Desconto_Cliente_Mes!$A$2:$A$433,D$95,Desconto_Cliente_Mes!$B$2:$B$433,$A95,Desconto_Cliente_Mes!$C$2:$C$433,"Umidade"),SUMIFS(Desconto_Cliente_Mes!$R$2:$R$433,Desconto_Cliente_Mes!$A$2:$A$433,D$95,Desconto_Cliente_Mes!$B$2:$B$433,$A95,Desconto_Cliente_Mes!$C$2:$C$433,"Umidade"))))*(SUMIFS(Desconto_Cliente_Mes!$T$2:$T$433,Desconto_Cliente_Mes!$A$2:$A$433,D$95,Desconto_Cliente_Mes!$B$2:$B$433,$A95,Desconto_Cliente_Mes!$C$2:$C$433,"Umidade"))</f>
        <v>0</v>
      </c>
      <c r="E103" s="16" t="n">
        <f aca="false">$E$97*($E$100/100)*((IF(SUMIFS(Desconto_Cliente_Mes!$S$2:$S$433,Desconto_Cliente_Mes!$A$2:$A$433,E$95,Desconto_Cliente_Mes!$B$2:$B$433,$A95,Desconto_Cliente_Mes!$C$2:$C$433,"Umidade")="",(IF(SUMIFS(Desconto_Cliente_Mes!$R$2:$R$433,Desconto_Cliente_Mes!$A$2:$A$433,E$95,Desconto_Cliente_Mes!$B$2:$B$433,$A95,Desconto_Cliente_Mes!$C$2:$C$433,"Umidade")="",SUMIFS(Desconto_Cliente_Mes!$Q$2:$Q$433,Desconto_Cliente_Mes!$A$2:$A$433,E$95,Desconto_Cliente_Mes!$B$2:$B$433,$A95,Desconto_Cliente_Mes!$C$2:$C$433,"Umidade"),SUMIFS(Desconto_Cliente_Mes!$R$2:$R$433,Desconto_Cliente_Mes!$A$2:$A$433,E$95,Desconto_Cliente_Mes!$B$2:$B$433,$A95,Desconto_Cliente_Mes!$C$2:$C$433,"Umidade"))),SUMIFS(Desconto_Cliente_Mes!$S$2:$S$433,Desconto_Cliente_Mes!$A$2:$A$433,E$95,Desconto_Cliente_Mes!$B$2:$B$433,$A95,Desconto_Cliente_Mes!$C$2:$C$433,"Umidade")))-(IF(SUMIFS(Desconto_Cliente_Mes!$R$2:$R$433,Desconto_Cliente_Mes!$A$2:$A$433,E$95,Desconto_Cliente_Mes!$B$2:$B$433,$A95,Desconto_Cliente_Mes!$C$2:$C$433,"Umidade")="",SUMIFS(Desconto_Cliente_Mes!$Q$2:$Q$433,Desconto_Cliente_Mes!$A$2:$A$433,E$95,Desconto_Cliente_Mes!$B$2:$B$433,$A95,Desconto_Cliente_Mes!$C$2:$C$433,"Umidade"),SUMIFS(Desconto_Cliente_Mes!$R$2:$R$433,Desconto_Cliente_Mes!$A$2:$A$433,E$95,Desconto_Cliente_Mes!$B$2:$B$433,$A95,Desconto_Cliente_Mes!$C$2:$C$433,"Umidade"))))*(SUMIFS(Desconto_Cliente_Mes!$T$2:$T$433,Desconto_Cliente_Mes!$A$2:$A$433,E$95,Desconto_Cliente_Mes!$B$2:$B$433,$A95,Desconto_Cliente_Mes!$C$2:$C$433,"Umidade"))</f>
        <v>0</v>
      </c>
      <c r="F103" s="16" t="n">
        <f aca="false">$F$97*($F$100/100)*((IF(SUMIFS(Desconto_Cliente_Mes!$S$2:$S$433,Desconto_Cliente_Mes!$A$2:$A$433,F$95,Desconto_Cliente_Mes!$B$2:$B$433,$A95,Desconto_Cliente_Mes!$C$2:$C$433,"Umidade")="",(IF(SUMIFS(Desconto_Cliente_Mes!$R$2:$R$433,Desconto_Cliente_Mes!$A$2:$A$433,F$95,Desconto_Cliente_Mes!$B$2:$B$433,$A95,Desconto_Cliente_Mes!$C$2:$C$433,"Umidade")="",SUMIFS(Desconto_Cliente_Mes!$Q$2:$Q$433,Desconto_Cliente_Mes!$A$2:$A$433,F$95,Desconto_Cliente_Mes!$B$2:$B$433,$A95,Desconto_Cliente_Mes!$C$2:$C$433,"Umidade"),SUMIFS(Desconto_Cliente_Mes!$R$2:$R$433,Desconto_Cliente_Mes!$A$2:$A$433,F$95,Desconto_Cliente_Mes!$B$2:$B$433,$A95,Desconto_Cliente_Mes!$C$2:$C$433,"Umidade"))),SUMIFS(Desconto_Cliente_Mes!$S$2:$S$433,Desconto_Cliente_Mes!$A$2:$A$433,F$95,Desconto_Cliente_Mes!$B$2:$B$433,$A95,Desconto_Cliente_Mes!$C$2:$C$433,"Umidade")))-(IF(SUMIFS(Desconto_Cliente_Mes!$R$2:$R$433,Desconto_Cliente_Mes!$A$2:$A$433,F$95,Desconto_Cliente_Mes!$B$2:$B$433,$A95,Desconto_Cliente_Mes!$C$2:$C$433,"Umidade")="",SUMIFS(Desconto_Cliente_Mes!$Q$2:$Q$433,Desconto_Cliente_Mes!$A$2:$A$433,F$95,Desconto_Cliente_Mes!$B$2:$B$433,$A95,Desconto_Cliente_Mes!$C$2:$C$433,"Umidade"),SUMIFS(Desconto_Cliente_Mes!$R$2:$R$433,Desconto_Cliente_Mes!$A$2:$A$433,F$95,Desconto_Cliente_Mes!$B$2:$B$433,$A95,Desconto_Cliente_Mes!$C$2:$C$433,"Umidade"))))*(SUMIFS(Desconto_Cliente_Mes!$T$2:$T$433,Desconto_Cliente_Mes!$A$2:$A$433,F$95,Desconto_Cliente_Mes!$B$2:$B$433,$A95,Desconto_Cliente_Mes!$C$2:$C$433,"Umidade"))</f>
        <v>0</v>
      </c>
      <c r="G103" s="16" t="n">
        <f aca="false">$G$97*($G$100/100)*((IF(SUMIFS(Desconto_Cliente_Mes!$S$2:$S$433,Desconto_Cliente_Mes!$A$2:$A$433,G$95,Desconto_Cliente_Mes!$B$2:$B$433,$A95,Desconto_Cliente_Mes!$C$2:$C$433,"Umidade")="",(IF(SUMIFS(Desconto_Cliente_Mes!$R$2:$R$433,Desconto_Cliente_Mes!$A$2:$A$433,G$95,Desconto_Cliente_Mes!$B$2:$B$433,$A95,Desconto_Cliente_Mes!$C$2:$C$433,"Umidade")="",SUMIFS(Desconto_Cliente_Mes!$Q$2:$Q$433,Desconto_Cliente_Mes!$A$2:$A$433,G$95,Desconto_Cliente_Mes!$B$2:$B$433,$A95,Desconto_Cliente_Mes!$C$2:$C$433,"Umidade"),SUMIFS(Desconto_Cliente_Mes!$R$2:$R$433,Desconto_Cliente_Mes!$A$2:$A$433,G$95,Desconto_Cliente_Mes!$B$2:$B$433,$A95,Desconto_Cliente_Mes!$C$2:$C$433,"Umidade"))),SUMIFS(Desconto_Cliente_Mes!$S$2:$S$433,Desconto_Cliente_Mes!$A$2:$A$433,G$95,Desconto_Cliente_Mes!$B$2:$B$433,$A95,Desconto_Cliente_Mes!$C$2:$C$433,"Umidade")))-(IF(SUMIFS(Desconto_Cliente_Mes!$R$2:$R$433,Desconto_Cliente_Mes!$A$2:$A$433,G$95,Desconto_Cliente_Mes!$B$2:$B$433,$A95,Desconto_Cliente_Mes!$C$2:$C$433,"Umidade")="",SUMIFS(Desconto_Cliente_Mes!$Q$2:$Q$433,Desconto_Cliente_Mes!$A$2:$A$433,G$95,Desconto_Cliente_Mes!$B$2:$B$433,$A95,Desconto_Cliente_Mes!$C$2:$C$433,"Umidade"),SUMIFS(Desconto_Cliente_Mes!$R$2:$R$433,Desconto_Cliente_Mes!$A$2:$A$433,G$95,Desconto_Cliente_Mes!$B$2:$B$433,$A95,Desconto_Cliente_Mes!$C$2:$C$433,"Umidade"))))*(SUMIFS(Desconto_Cliente_Mes!$T$2:$T$433,Desconto_Cliente_Mes!$A$2:$A$433,G$95,Desconto_Cliente_Mes!$B$2:$B$433,$A95,Desconto_Cliente_Mes!$C$2:$C$433,"Umidade"))</f>
        <v>0</v>
      </c>
      <c r="H103" s="16" t="n">
        <f aca="false">$H$97*($H$100/100)*((IF(SUMIFS(Desconto_Cliente_Mes!$S$2:$S$433,Desconto_Cliente_Mes!$A$2:$A$433,H$95,Desconto_Cliente_Mes!$B$2:$B$433,$A95,Desconto_Cliente_Mes!$C$2:$C$433,"Umidade")="",(IF(SUMIFS(Desconto_Cliente_Mes!$R$2:$R$433,Desconto_Cliente_Mes!$A$2:$A$433,H$95,Desconto_Cliente_Mes!$B$2:$B$433,$A95,Desconto_Cliente_Mes!$C$2:$C$433,"Umidade")="",SUMIFS(Desconto_Cliente_Mes!$Q$2:$Q$433,Desconto_Cliente_Mes!$A$2:$A$433,H$95,Desconto_Cliente_Mes!$B$2:$B$433,$A95,Desconto_Cliente_Mes!$C$2:$C$433,"Umidade"),SUMIFS(Desconto_Cliente_Mes!$R$2:$R$433,Desconto_Cliente_Mes!$A$2:$A$433,H$95,Desconto_Cliente_Mes!$B$2:$B$433,$A95,Desconto_Cliente_Mes!$C$2:$C$433,"Umidade"))),SUMIFS(Desconto_Cliente_Mes!$S$2:$S$433,Desconto_Cliente_Mes!$A$2:$A$433,H$95,Desconto_Cliente_Mes!$B$2:$B$433,$A95,Desconto_Cliente_Mes!$C$2:$C$433,"Umidade")))-(IF(SUMIFS(Desconto_Cliente_Mes!$R$2:$R$433,Desconto_Cliente_Mes!$A$2:$A$433,H$95,Desconto_Cliente_Mes!$B$2:$B$433,$A95,Desconto_Cliente_Mes!$C$2:$C$433,"Umidade")="",SUMIFS(Desconto_Cliente_Mes!$Q$2:$Q$433,Desconto_Cliente_Mes!$A$2:$A$433,H$95,Desconto_Cliente_Mes!$B$2:$B$433,$A95,Desconto_Cliente_Mes!$C$2:$C$433,"Umidade"),SUMIFS(Desconto_Cliente_Mes!$R$2:$R$433,Desconto_Cliente_Mes!$A$2:$A$433,H$95,Desconto_Cliente_Mes!$B$2:$B$433,$A95,Desconto_Cliente_Mes!$C$2:$C$433,"Umidade"))))*(SUMIFS(Desconto_Cliente_Mes!$T$2:$T$433,Desconto_Cliente_Mes!$A$2:$A$433,H$95,Desconto_Cliente_Mes!$B$2:$B$433,$A95,Desconto_Cliente_Mes!$C$2:$C$433,"Umidade"))</f>
        <v>0</v>
      </c>
      <c r="I103" s="16" t="n">
        <f aca="false">$I$97*($I$100/100)*((IF(SUMIFS(Desconto_Cliente_Mes!$S$2:$S$433,Desconto_Cliente_Mes!$A$2:$A$433,I$95,Desconto_Cliente_Mes!$B$2:$B$433,$A95,Desconto_Cliente_Mes!$C$2:$C$433,"Umidade")="",(IF(SUMIFS(Desconto_Cliente_Mes!$R$2:$R$433,Desconto_Cliente_Mes!$A$2:$A$433,I$95,Desconto_Cliente_Mes!$B$2:$B$433,$A95,Desconto_Cliente_Mes!$C$2:$C$433,"Umidade")="",SUMIFS(Desconto_Cliente_Mes!$Q$2:$Q$433,Desconto_Cliente_Mes!$A$2:$A$433,I$95,Desconto_Cliente_Mes!$B$2:$B$433,$A95,Desconto_Cliente_Mes!$C$2:$C$433,"Umidade"),SUMIFS(Desconto_Cliente_Mes!$R$2:$R$433,Desconto_Cliente_Mes!$A$2:$A$433,I$95,Desconto_Cliente_Mes!$B$2:$B$433,$A95,Desconto_Cliente_Mes!$C$2:$C$433,"Umidade"))),SUMIFS(Desconto_Cliente_Mes!$S$2:$S$433,Desconto_Cliente_Mes!$A$2:$A$433,I$95,Desconto_Cliente_Mes!$B$2:$B$433,$A95,Desconto_Cliente_Mes!$C$2:$C$433,"Umidade")))-(IF(SUMIFS(Desconto_Cliente_Mes!$R$2:$R$433,Desconto_Cliente_Mes!$A$2:$A$433,I$95,Desconto_Cliente_Mes!$B$2:$B$433,$A95,Desconto_Cliente_Mes!$C$2:$C$433,"Umidade")="",SUMIFS(Desconto_Cliente_Mes!$Q$2:$Q$433,Desconto_Cliente_Mes!$A$2:$A$433,I$95,Desconto_Cliente_Mes!$B$2:$B$433,$A95,Desconto_Cliente_Mes!$C$2:$C$433,"Umidade"),SUMIFS(Desconto_Cliente_Mes!$R$2:$R$433,Desconto_Cliente_Mes!$A$2:$A$433,I$95,Desconto_Cliente_Mes!$B$2:$B$433,$A95,Desconto_Cliente_Mes!$C$2:$C$433,"Umidade"))))*(SUMIFS(Desconto_Cliente_Mes!$T$2:$T$433,Desconto_Cliente_Mes!$A$2:$A$433,I$95,Desconto_Cliente_Mes!$B$2:$B$433,$A95,Desconto_Cliente_Mes!$C$2:$C$433,"Umidade"))</f>
        <v>0</v>
      </c>
      <c r="J103" s="16" t="n">
        <f aca="false">$J$97*($J$100/100)*((IF(SUMIFS(Desconto_Cliente_Mes!$S$2:$S$433,Desconto_Cliente_Mes!$A$2:$A$433,J$95,Desconto_Cliente_Mes!$B$2:$B$433,$A95,Desconto_Cliente_Mes!$C$2:$C$433,"Umidade")="",(IF(SUMIFS(Desconto_Cliente_Mes!$R$2:$R$433,Desconto_Cliente_Mes!$A$2:$A$433,J$95,Desconto_Cliente_Mes!$B$2:$B$433,$A95,Desconto_Cliente_Mes!$C$2:$C$433,"Umidade")="",SUMIFS(Desconto_Cliente_Mes!$Q$2:$Q$433,Desconto_Cliente_Mes!$A$2:$A$433,J$95,Desconto_Cliente_Mes!$B$2:$B$433,$A95,Desconto_Cliente_Mes!$C$2:$C$433,"Umidade"),SUMIFS(Desconto_Cliente_Mes!$R$2:$R$433,Desconto_Cliente_Mes!$A$2:$A$433,J$95,Desconto_Cliente_Mes!$B$2:$B$433,$A95,Desconto_Cliente_Mes!$C$2:$C$433,"Umidade"))),SUMIFS(Desconto_Cliente_Mes!$S$2:$S$433,Desconto_Cliente_Mes!$A$2:$A$433,J$95,Desconto_Cliente_Mes!$B$2:$B$433,$A95,Desconto_Cliente_Mes!$C$2:$C$433,"Umidade")))-(IF(SUMIFS(Desconto_Cliente_Mes!$R$2:$R$433,Desconto_Cliente_Mes!$A$2:$A$433,J$95,Desconto_Cliente_Mes!$B$2:$B$433,$A95,Desconto_Cliente_Mes!$C$2:$C$433,"Umidade")="",SUMIFS(Desconto_Cliente_Mes!$Q$2:$Q$433,Desconto_Cliente_Mes!$A$2:$A$433,J$95,Desconto_Cliente_Mes!$B$2:$B$433,$A95,Desconto_Cliente_Mes!$C$2:$C$433,"Umidade"),SUMIFS(Desconto_Cliente_Mes!$R$2:$R$433,Desconto_Cliente_Mes!$A$2:$A$433,J$95,Desconto_Cliente_Mes!$B$2:$B$433,$A95,Desconto_Cliente_Mes!$C$2:$C$433,"Umidade"))))*(SUMIFS(Desconto_Cliente_Mes!$T$2:$T$433,Desconto_Cliente_Mes!$A$2:$A$433,J$95,Desconto_Cliente_Mes!$B$2:$B$433,$A95,Desconto_Cliente_Mes!$C$2:$C$433,"Umidade"))</f>
        <v>0</v>
      </c>
      <c r="K103" s="16" t="n">
        <f aca="false">$K$97*($K$100/100)*((IF(SUMIFS(Desconto_Cliente_Mes!$S$2:$S$433,Desconto_Cliente_Mes!$A$2:$A$433,K$95,Desconto_Cliente_Mes!$B$2:$B$433,$A95,Desconto_Cliente_Mes!$C$2:$C$433,"Umidade")="",(IF(SUMIFS(Desconto_Cliente_Mes!$R$2:$R$433,Desconto_Cliente_Mes!$A$2:$A$433,K$95,Desconto_Cliente_Mes!$B$2:$B$433,$A95,Desconto_Cliente_Mes!$C$2:$C$433,"Umidade")="",SUMIFS(Desconto_Cliente_Mes!$Q$2:$Q$433,Desconto_Cliente_Mes!$A$2:$A$433,K$95,Desconto_Cliente_Mes!$B$2:$B$433,$A95,Desconto_Cliente_Mes!$C$2:$C$433,"Umidade"),SUMIFS(Desconto_Cliente_Mes!$R$2:$R$433,Desconto_Cliente_Mes!$A$2:$A$433,K$95,Desconto_Cliente_Mes!$B$2:$B$433,$A95,Desconto_Cliente_Mes!$C$2:$C$433,"Umidade"))),SUMIFS(Desconto_Cliente_Mes!$S$2:$S$433,Desconto_Cliente_Mes!$A$2:$A$433,K$95,Desconto_Cliente_Mes!$B$2:$B$433,$A95,Desconto_Cliente_Mes!$C$2:$C$433,"Umidade")))-(IF(SUMIFS(Desconto_Cliente_Mes!$R$2:$R$433,Desconto_Cliente_Mes!$A$2:$A$433,K$95,Desconto_Cliente_Mes!$B$2:$B$433,$A95,Desconto_Cliente_Mes!$C$2:$C$433,"Umidade")="",SUMIFS(Desconto_Cliente_Mes!$Q$2:$Q$433,Desconto_Cliente_Mes!$A$2:$A$433,K$95,Desconto_Cliente_Mes!$B$2:$B$433,$A95,Desconto_Cliente_Mes!$C$2:$C$433,"Umidade"),SUMIFS(Desconto_Cliente_Mes!$R$2:$R$433,Desconto_Cliente_Mes!$A$2:$A$433,K$95,Desconto_Cliente_Mes!$B$2:$B$433,$A95,Desconto_Cliente_Mes!$C$2:$C$433,"Umidade"))))*(SUMIFS(Desconto_Cliente_Mes!$T$2:$T$433,Desconto_Cliente_Mes!$A$2:$A$433,K$95,Desconto_Cliente_Mes!$B$2:$B$433,$A95,Desconto_Cliente_Mes!$C$2:$C$433,"Umidade"))</f>
        <v>0</v>
      </c>
      <c r="L103" s="16" t="n">
        <f aca="false">$L$97*($L$100/100)*((IF(SUMIFS(Desconto_Cliente_Mes!$S$2:$S$433,Desconto_Cliente_Mes!$A$2:$A$433,L$95,Desconto_Cliente_Mes!$B$2:$B$433,$A95,Desconto_Cliente_Mes!$C$2:$C$433,"Umidade")="",(IF(SUMIFS(Desconto_Cliente_Mes!$R$2:$R$433,Desconto_Cliente_Mes!$A$2:$A$433,L$95,Desconto_Cliente_Mes!$B$2:$B$433,$A95,Desconto_Cliente_Mes!$C$2:$C$433,"Umidade")="",SUMIFS(Desconto_Cliente_Mes!$Q$2:$Q$433,Desconto_Cliente_Mes!$A$2:$A$433,L$95,Desconto_Cliente_Mes!$B$2:$B$433,$A95,Desconto_Cliente_Mes!$C$2:$C$433,"Umidade"),SUMIFS(Desconto_Cliente_Mes!$R$2:$R$433,Desconto_Cliente_Mes!$A$2:$A$433,L$95,Desconto_Cliente_Mes!$B$2:$B$433,$A95,Desconto_Cliente_Mes!$C$2:$C$433,"Umidade"))),SUMIFS(Desconto_Cliente_Mes!$S$2:$S$433,Desconto_Cliente_Mes!$A$2:$A$433,L$95,Desconto_Cliente_Mes!$B$2:$B$433,$A95,Desconto_Cliente_Mes!$C$2:$C$433,"Umidade")))-(IF(SUMIFS(Desconto_Cliente_Mes!$R$2:$R$433,Desconto_Cliente_Mes!$A$2:$A$433,L$95,Desconto_Cliente_Mes!$B$2:$B$433,$A95,Desconto_Cliente_Mes!$C$2:$C$433,"Umidade")="",SUMIFS(Desconto_Cliente_Mes!$Q$2:$Q$433,Desconto_Cliente_Mes!$A$2:$A$433,L$95,Desconto_Cliente_Mes!$B$2:$B$433,$A95,Desconto_Cliente_Mes!$C$2:$C$433,"Umidade"),SUMIFS(Desconto_Cliente_Mes!$R$2:$R$433,Desconto_Cliente_Mes!$A$2:$A$433,L$95,Desconto_Cliente_Mes!$B$2:$B$433,$A95,Desconto_Cliente_Mes!$C$2:$C$433,"Umidade"))))*(SUMIFS(Desconto_Cliente_Mes!$T$2:$T$433,Desconto_Cliente_Mes!$A$2:$A$433,L$95,Desconto_Cliente_Mes!$B$2:$B$433,$A95,Desconto_Cliente_Mes!$C$2:$C$433,"Umidade"))</f>
        <v>0</v>
      </c>
      <c r="M103" s="16" t="n">
        <f aca="false">$M$97*($M$100/100)*((IF(SUMIFS(Desconto_Cliente_Mes!$S$2:$S$433,Desconto_Cliente_Mes!$A$2:$A$433,M$95,Desconto_Cliente_Mes!$B$2:$B$433,$A95,Desconto_Cliente_Mes!$C$2:$C$433,"Umidade")="",(IF(SUMIFS(Desconto_Cliente_Mes!$R$2:$R$433,Desconto_Cliente_Mes!$A$2:$A$433,M$95,Desconto_Cliente_Mes!$B$2:$B$433,$A95,Desconto_Cliente_Mes!$C$2:$C$433,"Umidade")="",SUMIFS(Desconto_Cliente_Mes!$Q$2:$Q$433,Desconto_Cliente_Mes!$A$2:$A$433,M$95,Desconto_Cliente_Mes!$B$2:$B$433,$A95,Desconto_Cliente_Mes!$C$2:$C$433,"Umidade"),SUMIFS(Desconto_Cliente_Mes!$R$2:$R$433,Desconto_Cliente_Mes!$A$2:$A$433,M$95,Desconto_Cliente_Mes!$B$2:$B$433,$A95,Desconto_Cliente_Mes!$C$2:$C$433,"Umidade"))),SUMIFS(Desconto_Cliente_Mes!$S$2:$S$433,Desconto_Cliente_Mes!$A$2:$A$433,M$95,Desconto_Cliente_Mes!$B$2:$B$433,$A95,Desconto_Cliente_Mes!$C$2:$C$433,"Umidade")))-(IF(SUMIFS(Desconto_Cliente_Mes!$R$2:$R$433,Desconto_Cliente_Mes!$A$2:$A$433,M$95,Desconto_Cliente_Mes!$B$2:$B$433,$A95,Desconto_Cliente_Mes!$C$2:$C$433,"Umidade")="",SUMIFS(Desconto_Cliente_Mes!$Q$2:$Q$433,Desconto_Cliente_Mes!$A$2:$A$433,M$95,Desconto_Cliente_Mes!$B$2:$B$433,$A95,Desconto_Cliente_Mes!$C$2:$C$433,"Umidade"),SUMIFS(Desconto_Cliente_Mes!$R$2:$R$433,Desconto_Cliente_Mes!$A$2:$A$433,M$95,Desconto_Cliente_Mes!$B$2:$B$433,$A95,Desconto_Cliente_Mes!$C$2:$C$433,"Umidade"))))*(SUMIFS(Desconto_Cliente_Mes!$T$2:$T$433,Desconto_Cliente_Mes!$A$2:$A$433,M$95,Desconto_Cliente_Mes!$B$2:$B$433,$A95,Desconto_Cliente_Mes!$C$2:$C$433,"Umidade"))</f>
        <v>0</v>
      </c>
      <c r="N103" s="17" t="n">
        <f aca="false">SUM(B103:M103)</f>
        <v>0</v>
      </c>
    </row>
    <row r="104" customFormat="false" ht="15" hidden="false" customHeight="false" outlineLevel="0" collapsed="false">
      <c r="A104" s="13" t="s">
        <v>82</v>
      </c>
      <c r="B104" s="16" t="n">
        <f aca="false">SUMIFS(Acerto_Detalhado!$J$2:$J$433,Acerto_Detalhado!$A$2:$A$433,B$95,Acerto_Detalhado!$B$2:$B$433,$A95,Acerto_Detalhado!$C$2:$C$433,"Umidade")</f>
        <v>1255.11955675483</v>
      </c>
      <c r="C104" s="16" t="n">
        <f aca="false">SUMIFS(Acerto_Detalhado!$J$2:$J$433,Acerto_Detalhado!$A$2:$A$433,C$95,Acerto_Detalhado!$B$2:$B$433,$A95,Acerto_Detalhado!$C$2:$C$433,"Umidade")</f>
        <v>5142.95197027589</v>
      </c>
      <c r="D104" s="16" t="n">
        <f aca="false">SUMIFS(Acerto_Detalhado!$J$2:$J$433,Acerto_Detalhado!$A$2:$A$433,D$95,Acerto_Detalhado!$B$2:$B$433,$A95,Acerto_Detalhado!$C$2:$C$433,"Umidade")</f>
        <v>0</v>
      </c>
      <c r="E104" s="16" t="n">
        <f aca="false">SUMIFS(Acerto_Detalhado!$J$2:$J$433,Acerto_Detalhado!$A$2:$A$433,E$95,Acerto_Detalhado!$B$2:$B$433,$A95,Acerto_Detalhado!$C$2:$C$433,"Umidade")</f>
        <v>128.542337650019</v>
      </c>
      <c r="F104" s="16" t="n">
        <f aca="false">SUMIFS(Acerto_Detalhado!$J$2:$J$433,Acerto_Detalhado!$A$2:$A$433,F$95,Acerto_Detalhado!$B$2:$B$433,$A95,Acerto_Detalhado!$C$2:$C$433,"Umidade")</f>
        <v>0</v>
      </c>
      <c r="G104" s="16" t="n">
        <f aca="false">SUMIFS(Acerto_Detalhado!$J$2:$J$433,Acerto_Detalhado!$A$2:$A$433,G$95,Acerto_Detalhado!$B$2:$B$433,$A95,Acerto_Detalhado!$C$2:$C$433,"Umidade")</f>
        <v>2864.70095783271</v>
      </c>
      <c r="H104" s="16" t="n">
        <f aca="false">SUMIFS(Acerto_Detalhado!$J$2:$J$433,Acerto_Detalhado!$A$2:$A$433,H$95,Acerto_Detalhado!$B$2:$B$433,$A95,Acerto_Detalhado!$C$2:$C$433,"Umidade")</f>
        <v>11183.3735434865</v>
      </c>
      <c r="I104" s="16" t="n">
        <f aca="false">SUMIFS(Acerto_Detalhado!$J$2:$J$433,Acerto_Detalhado!$A$2:$A$433,I$95,Acerto_Detalhado!$B$2:$B$433,$A95,Acerto_Detalhado!$C$2:$C$433,"Umidade")</f>
        <v>0</v>
      </c>
      <c r="J104" s="16" t="n">
        <f aca="false">SUMIFS(Acerto_Detalhado!$J$2:$J$433,Acerto_Detalhado!$A$2:$A$433,J$95,Acerto_Detalhado!$B$2:$B$433,$A95,Acerto_Detalhado!$C$2:$C$433,"Umidade")</f>
        <v>0</v>
      </c>
      <c r="K104" s="16" t="n">
        <f aca="false">SUMIFS(Acerto_Detalhado!$J$2:$J$433,Acerto_Detalhado!$A$2:$A$433,K$95,Acerto_Detalhado!$B$2:$B$433,$A95,Acerto_Detalhado!$C$2:$C$433,"Umidade")</f>
        <v>0</v>
      </c>
      <c r="L104" s="16" t="n">
        <f aca="false">SUMIFS(Acerto_Detalhado!$J$2:$J$433,Acerto_Detalhado!$A$2:$A$433,L$95,Acerto_Detalhado!$B$2:$B$433,$A95,Acerto_Detalhado!$C$2:$C$433,"Umidade")</f>
        <v>0</v>
      </c>
      <c r="M104" s="16" t="n">
        <f aca="false">SUMIFS(Acerto_Detalhado!$J$2:$J$433,Acerto_Detalhado!$A$2:$A$433,M$95,Acerto_Detalhado!$B$2:$B$433,$A95,Acerto_Detalhado!$C$2:$C$433,"Umidade")</f>
        <v>0</v>
      </c>
      <c r="N104" s="17" t="n">
        <f aca="false">SUM(B104:M104)</f>
        <v>20574.688366</v>
      </c>
    </row>
    <row r="106" customFormat="false" ht="15" hidden="false" customHeight="false" outlineLevel="0" collapsed="false">
      <c r="A106" s="5" t="s">
        <v>67</v>
      </c>
      <c r="B106" s="6" t="s">
        <v>39</v>
      </c>
      <c r="C106" s="6" t="s">
        <v>40</v>
      </c>
      <c r="D106" s="6" t="s">
        <v>41</v>
      </c>
      <c r="E106" s="6" t="s">
        <v>42</v>
      </c>
      <c r="F106" s="6" t="s">
        <v>43</v>
      </c>
      <c r="G106" s="6" t="s">
        <v>44</v>
      </c>
      <c r="H106" s="6" t="s">
        <v>45</v>
      </c>
      <c r="I106" s="6" t="s">
        <v>46</v>
      </c>
      <c r="J106" s="6" t="s">
        <v>47</v>
      </c>
      <c r="K106" s="6" t="s">
        <v>48</v>
      </c>
      <c r="L106" s="6" t="s">
        <v>49</v>
      </c>
      <c r="M106" s="6" t="s">
        <v>50</v>
      </c>
      <c r="N106" s="6" t="s">
        <v>51</v>
      </c>
    </row>
    <row r="107" customFormat="false" ht="15" hidden="false" customHeight="false" outlineLevel="0" collapsed="false">
      <c r="A107" s="13" t="s">
        <v>74</v>
      </c>
      <c r="B107" s="10" t="str">
        <f aca="false">IF((SUMIFS(Desconto_Cliente_Mes!$D$2:$D$433,Desconto_Cliente_Mes!$A$2:$A$433,B$106,Desconto_Cliente_Mes!$B$2:$B$433,$A106,Desconto_Cliente_Mes!$C$2:$C$433,"Umidade"))=0,"",IFERROR(SUMIFS(Desconto_Cliente_Mes!$E$2:$E$433,Desconto_Cliente_Mes!$A$2:$A$433,B$106,Desconto_Cliente_Mes!$B$2:$B$433,$A106,Desconto_Cliente_Mes!$C$2:$C$433,"Umidade"),""))</f>
        <v/>
      </c>
      <c r="C107" s="10" t="str">
        <f aca="false">IF((SUMIFS(Desconto_Cliente_Mes!$D$2:$D$433,Desconto_Cliente_Mes!$A$2:$A$433,C$106,Desconto_Cliente_Mes!$B$2:$B$433,$A106,Desconto_Cliente_Mes!$C$2:$C$433,"Umidade"))=0,"",IFERROR(SUMIFS(Desconto_Cliente_Mes!$E$2:$E$433,Desconto_Cliente_Mes!$A$2:$A$433,C$106,Desconto_Cliente_Mes!$B$2:$B$433,$A106,Desconto_Cliente_Mes!$C$2:$C$433,"Umidade"),""))</f>
        <v/>
      </c>
      <c r="D107" s="10" t="str">
        <f aca="false">IF((SUMIFS(Desconto_Cliente_Mes!$D$2:$D$433,Desconto_Cliente_Mes!$A$2:$A$433,D$106,Desconto_Cliente_Mes!$B$2:$B$433,$A106,Desconto_Cliente_Mes!$C$2:$C$433,"Umidade"))=0,"",IFERROR(SUMIFS(Desconto_Cliente_Mes!$E$2:$E$433,Desconto_Cliente_Mes!$A$2:$A$433,D$106,Desconto_Cliente_Mes!$B$2:$B$433,$A106,Desconto_Cliente_Mes!$C$2:$C$433,"Umidade"),""))</f>
        <v/>
      </c>
      <c r="E107" s="10" t="str">
        <f aca="false">IF((SUMIFS(Desconto_Cliente_Mes!$D$2:$D$433,Desconto_Cliente_Mes!$A$2:$A$433,E$106,Desconto_Cliente_Mes!$B$2:$B$433,$A106,Desconto_Cliente_Mes!$C$2:$C$433,"Umidade"))=0,"",IFERROR(SUMIFS(Desconto_Cliente_Mes!$E$2:$E$433,Desconto_Cliente_Mes!$A$2:$A$433,E$106,Desconto_Cliente_Mes!$B$2:$B$433,$A106,Desconto_Cliente_Mes!$C$2:$C$433,"Umidade"),""))</f>
        <v/>
      </c>
      <c r="F107" s="10" t="str">
        <f aca="false">IF((SUMIFS(Desconto_Cliente_Mes!$D$2:$D$433,Desconto_Cliente_Mes!$A$2:$A$433,F$106,Desconto_Cliente_Mes!$B$2:$B$433,$A106,Desconto_Cliente_Mes!$C$2:$C$433,"Umidade"))=0,"",IFERROR(SUMIFS(Desconto_Cliente_Mes!$E$2:$E$433,Desconto_Cliente_Mes!$A$2:$A$433,F$106,Desconto_Cliente_Mes!$B$2:$B$433,$A106,Desconto_Cliente_Mes!$C$2:$C$433,"Umidade"),""))</f>
        <v/>
      </c>
      <c r="G107" s="10" t="str">
        <f aca="false">IF((SUMIFS(Desconto_Cliente_Mes!$D$2:$D$433,Desconto_Cliente_Mes!$A$2:$A$433,G$106,Desconto_Cliente_Mes!$B$2:$B$433,$A106,Desconto_Cliente_Mes!$C$2:$C$433,"Umidade"))=0,"",IFERROR(SUMIFS(Desconto_Cliente_Mes!$E$2:$E$433,Desconto_Cliente_Mes!$A$2:$A$433,G$106,Desconto_Cliente_Mes!$B$2:$B$433,$A106,Desconto_Cliente_Mes!$C$2:$C$433,"Umidade"),""))</f>
        <v/>
      </c>
      <c r="H107" s="10" t="str">
        <f aca="false">IF((SUMIFS(Desconto_Cliente_Mes!$D$2:$D$433,Desconto_Cliente_Mes!$A$2:$A$433,H$106,Desconto_Cliente_Mes!$B$2:$B$433,$A106,Desconto_Cliente_Mes!$C$2:$C$433,"Umidade"))=0,"",IFERROR(SUMIFS(Desconto_Cliente_Mes!$E$2:$E$433,Desconto_Cliente_Mes!$A$2:$A$433,H$106,Desconto_Cliente_Mes!$B$2:$B$433,$A106,Desconto_Cliente_Mes!$C$2:$C$433,"Umidade"),""))</f>
        <v/>
      </c>
      <c r="I107" s="10" t="str">
        <f aca="false">IF((SUMIFS(Desconto_Cliente_Mes!$D$2:$D$433,Desconto_Cliente_Mes!$A$2:$A$433,I$106,Desconto_Cliente_Mes!$B$2:$B$433,$A106,Desconto_Cliente_Mes!$C$2:$C$433,"Umidade"))=0,"",IFERROR(SUMIFS(Desconto_Cliente_Mes!$E$2:$E$433,Desconto_Cliente_Mes!$A$2:$A$433,I$106,Desconto_Cliente_Mes!$B$2:$B$433,$A106,Desconto_Cliente_Mes!$C$2:$C$433,"Umidade"),""))</f>
        <v/>
      </c>
      <c r="J107" s="10" t="str">
        <f aca="false">IF((SUMIFS(Desconto_Cliente_Mes!$D$2:$D$433,Desconto_Cliente_Mes!$A$2:$A$433,J$106,Desconto_Cliente_Mes!$B$2:$B$433,$A106,Desconto_Cliente_Mes!$C$2:$C$433,"Umidade"))=0,"",IFERROR(SUMIFS(Desconto_Cliente_Mes!$E$2:$E$433,Desconto_Cliente_Mes!$A$2:$A$433,J$106,Desconto_Cliente_Mes!$B$2:$B$433,$A106,Desconto_Cliente_Mes!$C$2:$C$433,"Umidade"),""))</f>
        <v/>
      </c>
      <c r="K107" s="10" t="str">
        <f aca="false">IF((SUMIFS(Desconto_Cliente_Mes!$D$2:$D$433,Desconto_Cliente_Mes!$A$2:$A$433,K$106,Desconto_Cliente_Mes!$B$2:$B$433,$A106,Desconto_Cliente_Mes!$C$2:$C$433,"Umidade"))=0,"",IFERROR(SUMIFS(Desconto_Cliente_Mes!$E$2:$E$433,Desconto_Cliente_Mes!$A$2:$A$433,K$106,Desconto_Cliente_Mes!$B$2:$B$433,$A106,Desconto_Cliente_Mes!$C$2:$C$433,"Umidade"),""))</f>
        <v/>
      </c>
      <c r="L107" s="10" t="str">
        <f aca="false">IF((SUMIFS(Desconto_Cliente_Mes!$D$2:$D$433,Desconto_Cliente_Mes!$A$2:$A$433,L$106,Desconto_Cliente_Mes!$B$2:$B$433,$A106,Desconto_Cliente_Mes!$C$2:$C$433,"Umidade"))=0,"",IFERROR(SUMIFS(Desconto_Cliente_Mes!$E$2:$E$433,Desconto_Cliente_Mes!$A$2:$A$433,L$106,Desconto_Cliente_Mes!$B$2:$B$433,$A106,Desconto_Cliente_Mes!$C$2:$C$433,"Umidade"),""))</f>
        <v/>
      </c>
      <c r="M107" s="10" t="str">
        <f aca="false">IF((SUMIFS(Desconto_Cliente_Mes!$D$2:$D$433,Desconto_Cliente_Mes!$A$2:$A$433,M$106,Desconto_Cliente_Mes!$B$2:$B$433,$A106,Desconto_Cliente_Mes!$C$2:$C$433,"Umidade"))=0,"",IFERROR(SUMIFS(Desconto_Cliente_Mes!$E$2:$E$433,Desconto_Cliente_Mes!$A$2:$A$433,M$106,Desconto_Cliente_Mes!$B$2:$B$433,$A106,Desconto_Cliente_Mes!$C$2:$C$433,"Umidade"),""))</f>
        <v/>
      </c>
      <c r="N107" s="11" t="str">
        <f aca="false">IFERROR(Media_Pool_Mes!D11,"")</f>
        <v/>
      </c>
    </row>
    <row r="108" customFormat="false" ht="15" hidden="false" customHeight="false" outlineLevel="0" collapsed="false">
      <c r="A108" s="13" t="s">
        <v>75</v>
      </c>
      <c r="B108" s="8" t="n">
        <f aca="false">IFERROR(SUMIFS(Desconto_Cliente_Mes!$D$2:$D$433,Desconto_Cliente_Mes!$A$2:$A$433,B$106,Desconto_Cliente_Mes!$B$2:$B$433,$A106,Desconto_Cliente_Mes!$C$2:$C$433,"Umidade"),0)</f>
        <v>0</v>
      </c>
      <c r="C108" s="8" t="n">
        <f aca="false">IFERROR(SUMIFS(Desconto_Cliente_Mes!$D$2:$D$433,Desconto_Cliente_Mes!$A$2:$A$433,C$106,Desconto_Cliente_Mes!$B$2:$B$433,$A106,Desconto_Cliente_Mes!$C$2:$C$433,"Umidade"),0)</f>
        <v>0</v>
      </c>
      <c r="D108" s="8" t="n">
        <f aca="false">IFERROR(SUMIFS(Desconto_Cliente_Mes!$D$2:$D$433,Desconto_Cliente_Mes!$A$2:$A$433,D$106,Desconto_Cliente_Mes!$B$2:$B$433,$A106,Desconto_Cliente_Mes!$C$2:$C$433,"Umidade"),0)</f>
        <v>0</v>
      </c>
      <c r="E108" s="8" t="n">
        <f aca="false">IFERROR(SUMIFS(Desconto_Cliente_Mes!$D$2:$D$433,Desconto_Cliente_Mes!$A$2:$A$433,E$106,Desconto_Cliente_Mes!$B$2:$B$433,$A106,Desconto_Cliente_Mes!$C$2:$C$433,"Umidade"),0)</f>
        <v>0</v>
      </c>
      <c r="F108" s="8" t="n">
        <f aca="false">IFERROR(SUMIFS(Desconto_Cliente_Mes!$D$2:$D$433,Desconto_Cliente_Mes!$A$2:$A$433,F$106,Desconto_Cliente_Mes!$B$2:$B$433,$A106,Desconto_Cliente_Mes!$C$2:$C$433,"Umidade"),0)</f>
        <v>0</v>
      </c>
      <c r="G108" s="8" t="n">
        <f aca="false">IFERROR(SUMIFS(Desconto_Cliente_Mes!$D$2:$D$433,Desconto_Cliente_Mes!$A$2:$A$433,G$106,Desconto_Cliente_Mes!$B$2:$B$433,$A106,Desconto_Cliente_Mes!$C$2:$C$433,"Umidade"),0)</f>
        <v>0</v>
      </c>
      <c r="H108" s="8" t="n">
        <f aca="false">IFERROR(SUMIFS(Desconto_Cliente_Mes!$D$2:$D$433,Desconto_Cliente_Mes!$A$2:$A$433,H$106,Desconto_Cliente_Mes!$B$2:$B$433,$A106,Desconto_Cliente_Mes!$C$2:$C$433,"Umidade"),0)</f>
        <v>0</v>
      </c>
      <c r="I108" s="8" t="n">
        <f aca="false">IFERROR(SUMIFS(Desconto_Cliente_Mes!$D$2:$D$433,Desconto_Cliente_Mes!$A$2:$A$433,I$106,Desconto_Cliente_Mes!$B$2:$B$433,$A106,Desconto_Cliente_Mes!$C$2:$C$433,"Umidade"),0)</f>
        <v>0</v>
      </c>
      <c r="J108" s="8" t="n">
        <f aca="false">IFERROR(SUMIFS(Desconto_Cliente_Mes!$D$2:$D$433,Desconto_Cliente_Mes!$A$2:$A$433,J$106,Desconto_Cliente_Mes!$B$2:$B$433,$A106,Desconto_Cliente_Mes!$C$2:$C$433,"Umidade"),0)</f>
        <v>0</v>
      </c>
      <c r="K108" s="8" t="n">
        <f aca="false">IFERROR(SUMIFS(Desconto_Cliente_Mes!$D$2:$D$433,Desconto_Cliente_Mes!$A$2:$A$433,K$106,Desconto_Cliente_Mes!$B$2:$B$433,$A106,Desconto_Cliente_Mes!$C$2:$C$433,"Umidade"),0)</f>
        <v>0</v>
      </c>
      <c r="L108" s="8" t="n">
        <f aca="false">IFERROR(SUMIFS(Desconto_Cliente_Mes!$D$2:$D$433,Desconto_Cliente_Mes!$A$2:$A$433,L$106,Desconto_Cliente_Mes!$B$2:$B$433,$A106,Desconto_Cliente_Mes!$C$2:$C$433,"Umidade"),0)</f>
        <v>0</v>
      </c>
      <c r="M108" s="8" t="n">
        <f aca="false">IFERROR(SUMIFS(Desconto_Cliente_Mes!$D$2:$D$433,Desconto_Cliente_Mes!$A$2:$A$433,M$106,Desconto_Cliente_Mes!$B$2:$B$433,$A106,Desconto_Cliente_Mes!$C$2:$C$433,"Umidade"),0)</f>
        <v>0</v>
      </c>
      <c r="N108" s="9" t="n">
        <f aca="false">SUM(B108:M108)</f>
        <v>0</v>
      </c>
    </row>
    <row r="109" customFormat="false" ht="15" hidden="false" customHeight="false" outlineLevel="0" collapsed="false">
      <c r="A109" s="13" t="s">
        <v>76</v>
      </c>
      <c r="B109" s="15" t="n">
        <f aca="false">MAX(0,(SUMIFS(Desconto_Cliente_Mes!$L$2:$L$433,Desconto_Cliente_Mes!$A$2:$A$433,B$106,Desconto_Cliente_Mes!$B$2:$B$433,$A106,Desconto_Cliente_Mes!$C$2:$C$433,"Umidade"))-(SUMIFS(Desconto_Cliente_Mes!$N$2:$N$433,Desconto_Cliente_Mes!$A$2:$A$433,B$106,Desconto_Cliente_Mes!$B$2:$B$433,$A106,Desconto_Cliente_Mes!$C$2:$C$433,"Umidade")))</f>
        <v>0</v>
      </c>
      <c r="C109" s="15" t="n">
        <f aca="false">MAX(0,(SUMIFS(Desconto_Cliente_Mes!$L$2:$L$433,Desconto_Cliente_Mes!$A$2:$A$433,C$106,Desconto_Cliente_Mes!$B$2:$B$433,$A106,Desconto_Cliente_Mes!$C$2:$C$433,"Umidade"))-(SUMIFS(Desconto_Cliente_Mes!$N$2:$N$433,Desconto_Cliente_Mes!$A$2:$A$433,C$106,Desconto_Cliente_Mes!$B$2:$B$433,$A106,Desconto_Cliente_Mes!$C$2:$C$433,"Umidade")))</f>
        <v>0</v>
      </c>
      <c r="D109" s="15" t="n">
        <f aca="false">MAX(0,(SUMIFS(Desconto_Cliente_Mes!$L$2:$L$433,Desconto_Cliente_Mes!$A$2:$A$433,D$106,Desconto_Cliente_Mes!$B$2:$B$433,$A106,Desconto_Cliente_Mes!$C$2:$C$433,"Umidade"))-(SUMIFS(Desconto_Cliente_Mes!$N$2:$N$433,Desconto_Cliente_Mes!$A$2:$A$433,D$106,Desconto_Cliente_Mes!$B$2:$B$433,$A106,Desconto_Cliente_Mes!$C$2:$C$433,"Umidade")))</f>
        <v>0</v>
      </c>
      <c r="E109" s="15" t="n">
        <f aca="false">MAX(0,(SUMIFS(Desconto_Cliente_Mes!$L$2:$L$433,Desconto_Cliente_Mes!$A$2:$A$433,E$106,Desconto_Cliente_Mes!$B$2:$B$433,$A106,Desconto_Cliente_Mes!$C$2:$C$433,"Umidade"))-(SUMIFS(Desconto_Cliente_Mes!$N$2:$N$433,Desconto_Cliente_Mes!$A$2:$A$433,E$106,Desconto_Cliente_Mes!$B$2:$B$433,$A106,Desconto_Cliente_Mes!$C$2:$C$433,"Umidade")))</f>
        <v>0</v>
      </c>
      <c r="F109" s="15" t="n">
        <f aca="false">MAX(0,(SUMIFS(Desconto_Cliente_Mes!$L$2:$L$433,Desconto_Cliente_Mes!$A$2:$A$433,F$106,Desconto_Cliente_Mes!$B$2:$B$433,$A106,Desconto_Cliente_Mes!$C$2:$C$433,"Umidade"))-(SUMIFS(Desconto_Cliente_Mes!$N$2:$N$433,Desconto_Cliente_Mes!$A$2:$A$433,F$106,Desconto_Cliente_Mes!$B$2:$B$433,$A106,Desconto_Cliente_Mes!$C$2:$C$433,"Umidade")))</f>
        <v>0</v>
      </c>
      <c r="G109" s="15" t="n">
        <f aca="false">MAX(0,(SUMIFS(Desconto_Cliente_Mes!$L$2:$L$433,Desconto_Cliente_Mes!$A$2:$A$433,G$106,Desconto_Cliente_Mes!$B$2:$B$433,$A106,Desconto_Cliente_Mes!$C$2:$C$433,"Umidade"))-(SUMIFS(Desconto_Cliente_Mes!$N$2:$N$433,Desconto_Cliente_Mes!$A$2:$A$433,G$106,Desconto_Cliente_Mes!$B$2:$B$433,$A106,Desconto_Cliente_Mes!$C$2:$C$433,"Umidade")))</f>
        <v>0</v>
      </c>
      <c r="H109" s="15" t="n">
        <f aca="false">MAX(0,(SUMIFS(Desconto_Cliente_Mes!$L$2:$L$433,Desconto_Cliente_Mes!$A$2:$A$433,H$106,Desconto_Cliente_Mes!$B$2:$B$433,$A106,Desconto_Cliente_Mes!$C$2:$C$433,"Umidade"))-(SUMIFS(Desconto_Cliente_Mes!$N$2:$N$433,Desconto_Cliente_Mes!$A$2:$A$433,H$106,Desconto_Cliente_Mes!$B$2:$B$433,$A106,Desconto_Cliente_Mes!$C$2:$C$433,"Umidade")))</f>
        <v>0</v>
      </c>
      <c r="I109" s="15" t="n">
        <f aca="false">MAX(0,(SUMIFS(Desconto_Cliente_Mes!$L$2:$L$433,Desconto_Cliente_Mes!$A$2:$A$433,I$106,Desconto_Cliente_Mes!$B$2:$B$433,$A106,Desconto_Cliente_Mes!$C$2:$C$433,"Umidade"))-(SUMIFS(Desconto_Cliente_Mes!$N$2:$N$433,Desconto_Cliente_Mes!$A$2:$A$433,I$106,Desconto_Cliente_Mes!$B$2:$B$433,$A106,Desconto_Cliente_Mes!$C$2:$C$433,"Umidade")))</f>
        <v>0</v>
      </c>
      <c r="J109" s="15" t="n">
        <f aca="false">MAX(0,(SUMIFS(Desconto_Cliente_Mes!$L$2:$L$433,Desconto_Cliente_Mes!$A$2:$A$433,J$106,Desconto_Cliente_Mes!$B$2:$B$433,$A106,Desconto_Cliente_Mes!$C$2:$C$433,"Umidade"))-(SUMIFS(Desconto_Cliente_Mes!$N$2:$N$433,Desconto_Cliente_Mes!$A$2:$A$433,J$106,Desconto_Cliente_Mes!$B$2:$B$433,$A106,Desconto_Cliente_Mes!$C$2:$C$433,"Umidade")))</f>
        <v>0</v>
      </c>
      <c r="K109" s="15" t="n">
        <f aca="false">MAX(0,(SUMIFS(Desconto_Cliente_Mes!$L$2:$L$433,Desconto_Cliente_Mes!$A$2:$A$433,K$106,Desconto_Cliente_Mes!$B$2:$B$433,$A106,Desconto_Cliente_Mes!$C$2:$C$433,"Umidade"))-(SUMIFS(Desconto_Cliente_Mes!$N$2:$N$433,Desconto_Cliente_Mes!$A$2:$A$433,K$106,Desconto_Cliente_Mes!$B$2:$B$433,$A106,Desconto_Cliente_Mes!$C$2:$C$433,"Umidade")))</f>
        <v>0</v>
      </c>
      <c r="L109" s="15" t="n">
        <f aca="false">MAX(0,(SUMIFS(Desconto_Cliente_Mes!$L$2:$L$433,Desconto_Cliente_Mes!$A$2:$A$433,L$106,Desconto_Cliente_Mes!$B$2:$B$433,$A106,Desconto_Cliente_Mes!$C$2:$C$433,"Umidade"))-(SUMIFS(Desconto_Cliente_Mes!$N$2:$N$433,Desconto_Cliente_Mes!$A$2:$A$433,L$106,Desconto_Cliente_Mes!$B$2:$B$433,$A106,Desconto_Cliente_Mes!$C$2:$C$433,"Umidade")))</f>
        <v>0</v>
      </c>
      <c r="M109" s="15" t="n">
        <f aca="false">MAX(0,(SUMIFS(Desconto_Cliente_Mes!$L$2:$L$433,Desconto_Cliente_Mes!$A$2:$A$433,M$106,Desconto_Cliente_Mes!$B$2:$B$433,$A106,Desconto_Cliente_Mes!$C$2:$C$433,"Umidade"))-(SUMIFS(Desconto_Cliente_Mes!$N$2:$N$433,Desconto_Cliente_Mes!$A$2:$A$433,M$106,Desconto_Cliente_Mes!$B$2:$B$433,$A106,Desconto_Cliente_Mes!$C$2:$C$433,"Umidade")))</f>
        <v>0</v>
      </c>
    </row>
    <row r="110" customFormat="false" ht="15" hidden="false" customHeight="false" outlineLevel="0" collapsed="false">
      <c r="A110" s="13" t="s">
        <v>77</v>
      </c>
      <c r="B110" s="15" t="n">
        <f aca="false">MAX(0,(SUMIFS(Desconto_Cliente_Mes!$N$2:$N$433,Desconto_Cliente_Mes!$A$2:$A$433,B$106,Desconto_Cliente_Mes!$B$2:$B$433,$A106,Desconto_Cliente_Mes!$C$2:$C$433,"Umidade"))-(SUMIFS(Desconto_Cliente_Mes!$P$2:$P$433,Desconto_Cliente_Mes!$A$2:$A$433,B$106,Desconto_Cliente_Mes!$B$2:$B$433,$A106,Desconto_Cliente_Mes!$C$2:$C$433,"Umidade")))</f>
        <v>0</v>
      </c>
      <c r="C110" s="15" t="n">
        <f aca="false">MAX(0,(SUMIFS(Desconto_Cliente_Mes!$N$2:$N$433,Desconto_Cliente_Mes!$A$2:$A$433,C$106,Desconto_Cliente_Mes!$B$2:$B$433,$A106,Desconto_Cliente_Mes!$C$2:$C$433,"Umidade"))-(SUMIFS(Desconto_Cliente_Mes!$P$2:$P$433,Desconto_Cliente_Mes!$A$2:$A$433,C$106,Desconto_Cliente_Mes!$B$2:$B$433,$A106,Desconto_Cliente_Mes!$C$2:$C$433,"Umidade")))</f>
        <v>0</v>
      </c>
      <c r="D110" s="15" t="n">
        <f aca="false">MAX(0,(SUMIFS(Desconto_Cliente_Mes!$N$2:$N$433,Desconto_Cliente_Mes!$A$2:$A$433,D$106,Desconto_Cliente_Mes!$B$2:$B$433,$A106,Desconto_Cliente_Mes!$C$2:$C$433,"Umidade"))-(SUMIFS(Desconto_Cliente_Mes!$P$2:$P$433,Desconto_Cliente_Mes!$A$2:$A$433,D$106,Desconto_Cliente_Mes!$B$2:$B$433,$A106,Desconto_Cliente_Mes!$C$2:$C$433,"Umidade")))</f>
        <v>0</v>
      </c>
      <c r="E110" s="15" t="n">
        <f aca="false">MAX(0,(SUMIFS(Desconto_Cliente_Mes!$N$2:$N$433,Desconto_Cliente_Mes!$A$2:$A$433,E$106,Desconto_Cliente_Mes!$B$2:$B$433,$A106,Desconto_Cliente_Mes!$C$2:$C$433,"Umidade"))-(SUMIFS(Desconto_Cliente_Mes!$P$2:$P$433,Desconto_Cliente_Mes!$A$2:$A$433,E$106,Desconto_Cliente_Mes!$B$2:$B$433,$A106,Desconto_Cliente_Mes!$C$2:$C$433,"Umidade")))</f>
        <v>0</v>
      </c>
      <c r="F110" s="15" t="n">
        <f aca="false">MAX(0,(SUMIFS(Desconto_Cliente_Mes!$N$2:$N$433,Desconto_Cliente_Mes!$A$2:$A$433,F$106,Desconto_Cliente_Mes!$B$2:$B$433,$A106,Desconto_Cliente_Mes!$C$2:$C$433,"Umidade"))-(SUMIFS(Desconto_Cliente_Mes!$P$2:$P$433,Desconto_Cliente_Mes!$A$2:$A$433,F$106,Desconto_Cliente_Mes!$B$2:$B$433,$A106,Desconto_Cliente_Mes!$C$2:$C$433,"Umidade")))</f>
        <v>0</v>
      </c>
      <c r="G110" s="15" t="n">
        <f aca="false">MAX(0,(SUMIFS(Desconto_Cliente_Mes!$N$2:$N$433,Desconto_Cliente_Mes!$A$2:$A$433,G$106,Desconto_Cliente_Mes!$B$2:$B$433,$A106,Desconto_Cliente_Mes!$C$2:$C$433,"Umidade"))-(SUMIFS(Desconto_Cliente_Mes!$P$2:$P$433,Desconto_Cliente_Mes!$A$2:$A$433,G$106,Desconto_Cliente_Mes!$B$2:$B$433,$A106,Desconto_Cliente_Mes!$C$2:$C$433,"Umidade")))</f>
        <v>0</v>
      </c>
      <c r="H110" s="15" t="n">
        <f aca="false">MAX(0,(SUMIFS(Desconto_Cliente_Mes!$N$2:$N$433,Desconto_Cliente_Mes!$A$2:$A$433,H$106,Desconto_Cliente_Mes!$B$2:$B$433,$A106,Desconto_Cliente_Mes!$C$2:$C$433,"Umidade"))-(SUMIFS(Desconto_Cliente_Mes!$P$2:$P$433,Desconto_Cliente_Mes!$A$2:$A$433,H$106,Desconto_Cliente_Mes!$B$2:$B$433,$A106,Desconto_Cliente_Mes!$C$2:$C$433,"Umidade")))</f>
        <v>0</v>
      </c>
      <c r="I110" s="15" t="n">
        <f aca="false">MAX(0,(SUMIFS(Desconto_Cliente_Mes!$N$2:$N$433,Desconto_Cliente_Mes!$A$2:$A$433,I$106,Desconto_Cliente_Mes!$B$2:$B$433,$A106,Desconto_Cliente_Mes!$C$2:$C$433,"Umidade"))-(SUMIFS(Desconto_Cliente_Mes!$P$2:$P$433,Desconto_Cliente_Mes!$A$2:$A$433,I$106,Desconto_Cliente_Mes!$B$2:$B$433,$A106,Desconto_Cliente_Mes!$C$2:$C$433,"Umidade")))</f>
        <v>0</v>
      </c>
      <c r="J110" s="15" t="n">
        <f aca="false">MAX(0,(SUMIFS(Desconto_Cliente_Mes!$N$2:$N$433,Desconto_Cliente_Mes!$A$2:$A$433,J$106,Desconto_Cliente_Mes!$B$2:$B$433,$A106,Desconto_Cliente_Mes!$C$2:$C$433,"Umidade"))-(SUMIFS(Desconto_Cliente_Mes!$P$2:$P$433,Desconto_Cliente_Mes!$A$2:$A$433,J$106,Desconto_Cliente_Mes!$B$2:$B$433,$A106,Desconto_Cliente_Mes!$C$2:$C$433,"Umidade")))</f>
        <v>0</v>
      </c>
      <c r="K110" s="15" t="n">
        <f aca="false">MAX(0,(SUMIFS(Desconto_Cliente_Mes!$N$2:$N$433,Desconto_Cliente_Mes!$A$2:$A$433,K$106,Desconto_Cliente_Mes!$B$2:$B$433,$A106,Desconto_Cliente_Mes!$C$2:$C$433,"Umidade"))-(SUMIFS(Desconto_Cliente_Mes!$P$2:$P$433,Desconto_Cliente_Mes!$A$2:$A$433,K$106,Desconto_Cliente_Mes!$B$2:$B$433,$A106,Desconto_Cliente_Mes!$C$2:$C$433,"Umidade")))</f>
        <v>0</v>
      </c>
      <c r="L110" s="15" t="n">
        <f aca="false">MAX(0,(SUMIFS(Desconto_Cliente_Mes!$N$2:$N$433,Desconto_Cliente_Mes!$A$2:$A$433,L$106,Desconto_Cliente_Mes!$B$2:$B$433,$A106,Desconto_Cliente_Mes!$C$2:$C$433,"Umidade"))-(SUMIFS(Desconto_Cliente_Mes!$P$2:$P$433,Desconto_Cliente_Mes!$A$2:$A$433,L$106,Desconto_Cliente_Mes!$B$2:$B$433,$A106,Desconto_Cliente_Mes!$C$2:$C$433,"Umidade")))</f>
        <v>0</v>
      </c>
      <c r="M110" s="15" t="n">
        <f aca="false">MAX(0,(SUMIFS(Desconto_Cliente_Mes!$N$2:$N$433,Desconto_Cliente_Mes!$A$2:$A$433,M$106,Desconto_Cliente_Mes!$B$2:$B$433,$A106,Desconto_Cliente_Mes!$C$2:$C$433,"Umidade"))-(SUMIFS(Desconto_Cliente_Mes!$P$2:$P$433,Desconto_Cliente_Mes!$A$2:$A$433,M$106,Desconto_Cliente_Mes!$B$2:$B$433,$A106,Desconto_Cliente_Mes!$C$2:$C$433,"Umidade")))</f>
        <v>0</v>
      </c>
    </row>
    <row r="111" customFormat="false" ht="15" hidden="false" customHeight="false" outlineLevel="0" collapsed="false">
      <c r="A111" s="13" t="s">
        <v>78</v>
      </c>
      <c r="B111" s="15" t="n">
        <f aca="false">MAX(0,SUMIFS(Desconto_Cliente_Mes!$P$2:$P$433,Desconto_Cliente_Mes!$A$2:$A$433,B$106,Desconto_Cliente_Mes!$B$2:$B$433,$A106,Desconto_Cliente_Mes!$C$2:$C$433,"Umidade"))</f>
        <v>0</v>
      </c>
      <c r="C111" s="15" t="n">
        <f aca="false">MAX(0,SUMIFS(Desconto_Cliente_Mes!$P$2:$P$433,Desconto_Cliente_Mes!$A$2:$A$433,C$106,Desconto_Cliente_Mes!$B$2:$B$433,$A106,Desconto_Cliente_Mes!$C$2:$C$433,"Umidade"))</f>
        <v>0</v>
      </c>
      <c r="D111" s="15" t="n">
        <f aca="false">MAX(0,SUMIFS(Desconto_Cliente_Mes!$P$2:$P$433,Desconto_Cliente_Mes!$A$2:$A$433,D$106,Desconto_Cliente_Mes!$B$2:$B$433,$A106,Desconto_Cliente_Mes!$C$2:$C$433,"Umidade"))</f>
        <v>0</v>
      </c>
      <c r="E111" s="15" t="n">
        <f aca="false">MAX(0,SUMIFS(Desconto_Cliente_Mes!$P$2:$P$433,Desconto_Cliente_Mes!$A$2:$A$433,E$106,Desconto_Cliente_Mes!$B$2:$B$433,$A106,Desconto_Cliente_Mes!$C$2:$C$433,"Umidade"))</f>
        <v>0</v>
      </c>
      <c r="F111" s="15" t="n">
        <f aca="false">MAX(0,SUMIFS(Desconto_Cliente_Mes!$P$2:$P$433,Desconto_Cliente_Mes!$A$2:$A$433,F$106,Desconto_Cliente_Mes!$B$2:$B$433,$A106,Desconto_Cliente_Mes!$C$2:$C$433,"Umidade"))</f>
        <v>0</v>
      </c>
      <c r="G111" s="15" t="n">
        <f aca="false">MAX(0,SUMIFS(Desconto_Cliente_Mes!$P$2:$P$433,Desconto_Cliente_Mes!$A$2:$A$433,G$106,Desconto_Cliente_Mes!$B$2:$B$433,$A106,Desconto_Cliente_Mes!$C$2:$C$433,"Umidade"))</f>
        <v>0</v>
      </c>
      <c r="H111" s="15" t="n">
        <f aca="false">MAX(0,SUMIFS(Desconto_Cliente_Mes!$P$2:$P$433,Desconto_Cliente_Mes!$A$2:$A$433,H$106,Desconto_Cliente_Mes!$B$2:$B$433,$A106,Desconto_Cliente_Mes!$C$2:$C$433,"Umidade"))</f>
        <v>0</v>
      </c>
      <c r="I111" s="15" t="n">
        <f aca="false">MAX(0,SUMIFS(Desconto_Cliente_Mes!$P$2:$P$433,Desconto_Cliente_Mes!$A$2:$A$433,I$106,Desconto_Cliente_Mes!$B$2:$B$433,$A106,Desconto_Cliente_Mes!$C$2:$C$433,"Umidade"))</f>
        <v>0</v>
      </c>
      <c r="J111" s="15" t="n">
        <f aca="false">MAX(0,SUMIFS(Desconto_Cliente_Mes!$P$2:$P$433,Desconto_Cliente_Mes!$A$2:$A$433,J$106,Desconto_Cliente_Mes!$B$2:$B$433,$A106,Desconto_Cliente_Mes!$C$2:$C$433,"Umidade"))</f>
        <v>0</v>
      </c>
      <c r="K111" s="15" t="n">
        <f aca="false">MAX(0,SUMIFS(Desconto_Cliente_Mes!$P$2:$P$433,Desconto_Cliente_Mes!$A$2:$A$433,K$106,Desconto_Cliente_Mes!$B$2:$B$433,$A106,Desconto_Cliente_Mes!$C$2:$C$433,"Umidade"))</f>
        <v>0</v>
      </c>
      <c r="L111" s="15" t="n">
        <f aca="false">MAX(0,SUMIFS(Desconto_Cliente_Mes!$P$2:$P$433,Desconto_Cliente_Mes!$A$2:$A$433,L$106,Desconto_Cliente_Mes!$B$2:$B$433,$A106,Desconto_Cliente_Mes!$C$2:$C$433,"Umidade"))</f>
        <v>0</v>
      </c>
      <c r="M111" s="15" t="n">
        <f aca="false">MAX(0,SUMIFS(Desconto_Cliente_Mes!$P$2:$P$433,Desconto_Cliente_Mes!$A$2:$A$433,M$106,Desconto_Cliente_Mes!$B$2:$B$433,$A106,Desconto_Cliente_Mes!$C$2:$C$433,"Umidade"))</f>
        <v>0</v>
      </c>
    </row>
    <row r="112" customFormat="false" ht="15" hidden="false" customHeight="false" outlineLevel="0" collapsed="false">
      <c r="A112" s="13" t="s">
        <v>79</v>
      </c>
      <c r="B112" s="16" t="n">
        <f aca="false">$B$108*($B$109/100)*(SUMIFS(Desconto_Cliente_Mes!$Q$2:$Q$433,Desconto_Cliente_Mes!$A$2:$A$433,B$106,Desconto_Cliente_Mes!$B$2:$B$433,$A106,Desconto_Cliente_Mes!$C$2:$C$433,"Umidade"))*(SUMIFS(Desconto_Cliente_Mes!$T$2:$T$433,Desconto_Cliente_Mes!$A$2:$A$433,B$106,Desconto_Cliente_Mes!$B$2:$B$433,$A106,Desconto_Cliente_Mes!$C$2:$C$433,"Umidade"))</f>
        <v>0</v>
      </c>
      <c r="C112" s="16" t="n">
        <f aca="false">$C$108*($C$109/100)*(SUMIFS(Desconto_Cliente_Mes!$Q$2:$Q$433,Desconto_Cliente_Mes!$A$2:$A$433,C$106,Desconto_Cliente_Mes!$B$2:$B$433,$A106,Desconto_Cliente_Mes!$C$2:$C$433,"Umidade"))*(SUMIFS(Desconto_Cliente_Mes!$T$2:$T$433,Desconto_Cliente_Mes!$A$2:$A$433,C$106,Desconto_Cliente_Mes!$B$2:$B$433,$A106,Desconto_Cliente_Mes!$C$2:$C$433,"Umidade"))</f>
        <v>0</v>
      </c>
      <c r="D112" s="16" t="n">
        <f aca="false">$D$108*($D$109/100)*(SUMIFS(Desconto_Cliente_Mes!$Q$2:$Q$433,Desconto_Cliente_Mes!$A$2:$A$433,D$106,Desconto_Cliente_Mes!$B$2:$B$433,$A106,Desconto_Cliente_Mes!$C$2:$C$433,"Umidade"))*(SUMIFS(Desconto_Cliente_Mes!$T$2:$T$433,Desconto_Cliente_Mes!$A$2:$A$433,D$106,Desconto_Cliente_Mes!$B$2:$B$433,$A106,Desconto_Cliente_Mes!$C$2:$C$433,"Umidade"))</f>
        <v>0</v>
      </c>
      <c r="E112" s="16" t="n">
        <f aca="false">$E$108*($E$109/100)*(SUMIFS(Desconto_Cliente_Mes!$Q$2:$Q$433,Desconto_Cliente_Mes!$A$2:$A$433,E$106,Desconto_Cliente_Mes!$B$2:$B$433,$A106,Desconto_Cliente_Mes!$C$2:$C$433,"Umidade"))*(SUMIFS(Desconto_Cliente_Mes!$T$2:$T$433,Desconto_Cliente_Mes!$A$2:$A$433,E$106,Desconto_Cliente_Mes!$B$2:$B$433,$A106,Desconto_Cliente_Mes!$C$2:$C$433,"Umidade"))</f>
        <v>0</v>
      </c>
      <c r="F112" s="16" t="n">
        <f aca="false">$F$108*($F$109/100)*(SUMIFS(Desconto_Cliente_Mes!$Q$2:$Q$433,Desconto_Cliente_Mes!$A$2:$A$433,F$106,Desconto_Cliente_Mes!$B$2:$B$433,$A106,Desconto_Cliente_Mes!$C$2:$C$433,"Umidade"))*(SUMIFS(Desconto_Cliente_Mes!$T$2:$T$433,Desconto_Cliente_Mes!$A$2:$A$433,F$106,Desconto_Cliente_Mes!$B$2:$B$433,$A106,Desconto_Cliente_Mes!$C$2:$C$433,"Umidade"))</f>
        <v>0</v>
      </c>
      <c r="G112" s="16" t="n">
        <f aca="false">$G$108*($G$109/100)*(SUMIFS(Desconto_Cliente_Mes!$Q$2:$Q$433,Desconto_Cliente_Mes!$A$2:$A$433,G$106,Desconto_Cliente_Mes!$B$2:$B$433,$A106,Desconto_Cliente_Mes!$C$2:$C$433,"Umidade"))*(SUMIFS(Desconto_Cliente_Mes!$T$2:$T$433,Desconto_Cliente_Mes!$A$2:$A$433,G$106,Desconto_Cliente_Mes!$B$2:$B$433,$A106,Desconto_Cliente_Mes!$C$2:$C$433,"Umidade"))</f>
        <v>0</v>
      </c>
      <c r="H112" s="16" t="n">
        <f aca="false">$H$108*($H$109/100)*(SUMIFS(Desconto_Cliente_Mes!$Q$2:$Q$433,Desconto_Cliente_Mes!$A$2:$A$433,H$106,Desconto_Cliente_Mes!$B$2:$B$433,$A106,Desconto_Cliente_Mes!$C$2:$C$433,"Umidade"))*(SUMIFS(Desconto_Cliente_Mes!$T$2:$T$433,Desconto_Cliente_Mes!$A$2:$A$433,H$106,Desconto_Cliente_Mes!$B$2:$B$433,$A106,Desconto_Cliente_Mes!$C$2:$C$433,"Umidade"))</f>
        <v>0</v>
      </c>
      <c r="I112" s="16" t="n">
        <f aca="false">$I$108*($I$109/100)*(SUMIFS(Desconto_Cliente_Mes!$Q$2:$Q$433,Desconto_Cliente_Mes!$A$2:$A$433,I$106,Desconto_Cliente_Mes!$B$2:$B$433,$A106,Desconto_Cliente_Mes!$C$2:$C$433,"Umidade"))*(SUMIFS(Desconto_Cliente_Mes!$T$2:$T$433,Desconto_Cliente_Mes!$A$2:$A$433,I$106,Desconto_Cliente_Mes!$B$2:$B$433,$A106,Desconto_Cliente_Mes!$C$2:$C$433,"Umidade"))</f>
        <v>0</v>
      </c>
      <c r="J112" s="16" t="n">
        <f aca="false">$J$108*($J$109/100)*(SUMIFS(Desconto_Cliente_Mes!$Q$2:$Q$433,Desconto_Cliente_Mes!$A$2:$A$433,J$106,Desconto_Cliente_Mes!$B$2:$B$433,$A106,Desconto_Cliente_Mes!$C$2:$C$433,"Umidade"))*(SUMIFS(Desconto_Cliente_Mes!$T$2:$T$433,Desconto_Cliente_Mes!$A$2:$A$433,J$106,Desconto_Cliente_Mes!$B$2:$B$433,$A106,Desconto_Cliente_Mes!$C$2:$C$433,"Umidade"))</f>
        <v>0</v>
      </c>
      <c r="K112" s="16" t="n">
        <f aca="false">$K$108*($K$109/100)*(SUMIFS(Desconto_Cliente_Mes!$Q$2:$Q$433,Desconto_Cliente_Mes!$A$2:$A$433,K$106,Desconto_Cliente_Mes!$B$2:$B$433,$A106,Desconto_Cliente_Mes!$C$2:$C$433,"Umidade"))*(SUMIFS(Desconto_Cliente_Mes!$T$2:$T$433,Desconto_Cliente_Mes!$A$2:$A$433,K$106,Desconto_Cliente_Mes!$B$2:$B$433,$A106,Desconto_Cliente_Mes!$C$2:$C$433,"Umidade"))</f>
        <v>0</v>
      </c>
      <c r="L112" s="16" t="n">
        <f aca="false">$L$108*($L$109/100)*(SUMIFS(Desconto_Cliente_Mes!$Q$2:$Q$433,Desconto_Cliente_Mes!$A$2:$A$433,L$106,Desconto_Cliente_Mes!$B$2:$B$433,$A106,Desconto_Cliente_Mes!$C$2:$C$433,"Umidade"))*(SUMIFS(Desconto_Cliente_Mes!$T$2:$T$433,Desconto_Cliente_Mes!$A$2:$A$433,L$106,Desconto_Cliente_Mes!$B$2:$B$433,$A106,Desconto_Cliente_Mes!$C$2:$C$433,"Umidade"))</f>
        <v>0</v>
      </c>
      <c r="M112" s="16" t="n">
        <f aca="false">$M$108*($M$109/100)*(SUMIFS(Desconto_Cliente_Mes!$Q$2:$Q$433,Desconto_Cliente_Mes!$A$2:$A$433,M$106,Desconto_Cliente_Mes!$B$2:$B$433,$A106,Desconto_Cliente_Mes!$C$2:$C$433,"Umidade"))*(SUMIFS(Desconto_Cliente_Mes!$T$2:$T$433,Desconto_Cliente_Mes!$A$2:$A$433,M$106,Desconto_Cliente_Mes!$B$2:$B$433,$A106,Desconto_Cliente_Mes!$C$2:$C$433,"Umidade"))</f>
        <v>0</v>
      </c>
      <c r="N112" s="17" t="n">
        <f aca="false">SUM(B112:M112)</f>
        <v>0</v>
      </c>
    </row>
    <row r="113" customFormat="false" ht="15" hidden="false" customHeight="false" outlineLevel="0" collapsed="false">
      <c r="A113" s="13" t="s">
        <v>80</v>
      </c>
      <c r="B113" s="16" t="n">
        <f aca="false">$B$108*($B$110/100)*((IF(SUMIFS(Desconto_Cliente_Mes!$R$2:$R$433,Desconto_Cliente_Mes!$A$2:$A$433,B$106,Desconto_Cliente_Mes!$B$2:$B$433,$A106,Desconto_Cliente_Mes!$C$2:$C$433,"Umidade")="",SUMIFS(Desconto_Cliente_Mes!$Q$2:$Q$433,Desconto_Cliente_Mes!$A$2:$A$433,B$106,Desconto_Cliente_Mes!$B$2:$B$433,$A106,Desconto_Cliente_Mes!$C$2:$C$433,"Umidade"),SUMIFS(Desconto_Cliente_Mes!$R$2:$R$433,Desconto_Cliente_Mes!$A$2:$A$433,B$106,Desconto_Cliente_Mes!$B$2:$B$433,$A106,Desconto_Cliente_Mes!$C$2:$C$433,"Umidade")))-(SUMIFS(Desconto_Cliente_Mes!$Q$2:$Q$433,Desconto_Cliente_Mes!$A$2:$A$433,B$106,Desconto_Cliente_Mes!$B$2:$B$433,$A106,Desconto_Cliente_Mes!$C$2:$C$433,"Umidade")))*(SUMIFS(Desconto_Cliente_Mes!$T$2:$T$433,Desconto_Cliente_Mes!$A$2:$A$433,B$106,Desconto_Cliente_Mes!$B$2:$B$433,$A106,Desconto_Cliente_Mes!$C$2:$C$433,"Umidade"))</f>
        <v>-0</v>
      </c>
      <c r="C113" s="16" t="n">
        <f aca="false">$C$108*($C$110/100)*((IF(SUMIFS(Desconto_Cliente_Mes!$R$2:$R$433,Desconto_Cliente_Mes!$A$2:$A$433,C$106,Desconto_Cliente_Mes!$B$2:$B$433,$A106,Desconto_Cliente_Mes!$C$2:$C$433,"Umidade")="",SUMIFS(Desconto_Cliente_Mes!$Q$2:$Q$433,Desconto_Cliente_Mes!$A$2:$A$433,C$106,Desconto_Cliente_Mes!$B$2:$B$433,$A106,Desconto_Cliente_Mes!$C$2:$C$433,"Umidade"),SUMIFS(Desconto_Cliente_Mes!$R$2:$R$433,Desconto_Cliente_Mes!$A$2:$A$433,C$106,Desconto_Cliente_Mes!$B$2:$B$433,$A106,Desconto_Cliente_Mes!$C$2:$C$433,"Umidade")))-(SUMIFS(Desconto_Cliente_Mes!$Q$2:$Q$433,Desconto_Cliente_Mes!$A$2:$A$433,C$106,Desconto_Cliente_Mes!$B$2:$B$433,$A106,Desconto_Cliente_Mes!$C$2:$C$433,"Umidade")))*(SUMIFS(Desconto_Cliente_Mes!$T$2:$T$433,Desconto_Cliente_Mes!$A$2:$A$433,C$106,Desconto_Cliente_Mes!$B$2:$B$433,$A106,Desconto_Cliente_Mes!$C$2:$C$433,"Umidade"))</f>
        <v>-0</v>
      </c>
      <c r="D113" s="16" t="n">
        <f aca="false">$D$108*($D$110/100)*((IF(SUMIFS(Desconto_Cliente_Mes!$R$2:$R$433,Desconto_Cliente_Mes!$A$2:$A$433,D$106,Desconto_Cliente_Mes!$B$2:$B$433,$A106,Desconto_Cliente_Mes!$C$2:$C$433,"Umidade")="",SUMIFS(Desconto_Cliente_Mes!$Q$2:$Q$433,Desconto_Cliente_Mes!$A$2:$A$433,D$106,Desconto_Cliente_Mes!$B$2:$B$433,$A106,Desconto_Cliente_Mes!$C$2:$C$433,"Umidade"),SUMIFS(Desconto_Cliente_Mes!$R$2:$R$433,Desconto_Cliente_Mes!$A$2:$A$433,D$106,Desconto_Cliente_Mes!$B$2:$B$433,$A106,Desconto_Cliente_Mes!$C$2:$C$433,"Umidade")))-(SUMIFS(Desconto_Cliente_Mes!$Q$2:$Q$433,Desconto_Cliente_Mes!$A$2:$A$433,D$106,Desconto_Cliente_Mes!$B$2:$B$433,$A106,Desconto_Cliente_Mes!$C$2:$C$433,"Umidade")))*(SUMIFS(Desconto_Cliente_Mes!$T$2:$T$433,Desconto_Cliente_Mes!$A$2:$A$433,D$106,Desconto_Cliente_Mes!$B$2:$B$433,$A106,Desconto_Cliente_Mes!$C$2:$C$433,"Umidade"))</f>
        <v>-0</v>
      </c>
      <c r="E113" s="16" t="n">
        <f aca="false">$E$108*($E$110/100)*((IF(SUMIFS(Desconto_Cliente_Mes!$R$2:$R$433,Desconto_Cliente_Mes!$A$2:$A$433,E$106,Desconto_Cliente_Mes!$B$2:$B$433,$A106,Desconto_Cliente_Mes!$C$2:$C$433,"Umidade")="",SUMIFS(Desconto_Cliente_Mes!$Q$2:$Q$433,Desconto_Cliente_Mes!$A$2:$A$433,E$106,Desconto_Cliente_Mes!$B$2:$B$433,$A106,Desconto_Cliente_Mes!$C$2:$C$433,"Umidade"),SUMIFS(Desconto_Cliente_Mes!$R$2:$R$433,Desconto_Cliente_Mes!$A$2:$A$433,E$106,Desconto_Cliente_Mes!$B$2:$B$433,$A106,Desconto_Cliente_Mes!$C$2:$C$433,"Umidade")))-(SUMIFS(Desconto_Cliente_Mes!$Q$2:$Q$433,Desconto_Cliente_Mes!$A$2:$A$433,E$106,Desconto_Cliente_Mes!$B$2:$B$433,$A106,Desconto_Cliente_Mes!$C$2:$C$433,"Umidade")))*(SUMIFS(Desconto_Cliente_Mes!$T$2:$T$433,Desconto_Cliente_Mes!$A$2:$A$433,E$106,Desconto_Cliente_Mes!$B$2:$B$433,$A106,Desconto_Cliente_Mes!$C$2:$C$433,"Umidade"))</f>
        <v>-0</v>
      </c>
      <c r="F113" s="16" t="n">
        <f aca="false">$F$108*($F$110/100)*((IF(SUMIFS(Desconto_Cliente_Mes!$R$2:$R$433,Desconto_Cliente_Mes!$A$2:$A$433,F$106,Desconto_Cliente_Mes!$B$2:$B$433,$A106,Desconto_Cliente_Mes!$C$2:$C$433,"Umidade")="",SUMIFS(Desconto_Cliente_Mes!$Q$2:$Q$433,Desconto_Cliente_Mes!$A$2:$A$433,F$106,Desconto_Cliente_Mes!$B$2:$B$433,$A106,Desconto_Cliente_Mes!$C$2:$C$433,"Umidade"),SUMIFS(Desconto_Cliente_Mes!$R$2:$R$433,Desconto_Cliente_Mes!$A$2:$A$433,F$106,Desconto_Cliente_Mes!$B$2:$B$433,$A106,Desconto_Cliente_Mes!$C$2:$C$433,"Umidade")))-(SUMIFS(Desconto_Cliente_Mes!$Q$2:$Q$433,Desconto_Cliente_Mes!$A$2:$A$433,F$106,Desconto_Cliente_Mes!$B$2:$B$433,$A106,Desconto_Cliente_Mes!$C$2:$C$433,"Umidade")))*(SUMIFS(Desconto_Cliente_Mes!$T$2:$T$433,Desconto_Cliente_Mes!$A$2:$A$433,F$106,Desconto_Cliente_Mes!$B$2:$B$433,$A106,Desconto_Cliente_Mes!$C$2:$C$433,"Umidade"))</f>
        <v>-0</v>
      </c>
      <c r="G113" s="16" t="n">
        <f aca="false">$G$108*($G$110/100)*((IF(SUMIFS(Desconto_Cliente_Mes!$R$2:$R$433,Desconto_Cliente_Mes!$A$2:$A$433,G$106,Desconto_Cliente_Mes!$B$2:$B$433,$A106,Desconto_Cliente_Mes!$C$2:$C$433,"Umidade")="",SUMIFS(Desconto_Cliente_Mes!$Q$2:$Q$433,Desconto_Cliente_Mes!$A$2:$A$433,G$106,Desconto_Cliente_Mes!$B$2:$B$433,$A106,Desconto_Cliente_Mes!$C$2:$C$433,"Umidade"),SUMIFS(Desconto_Cliente_Mes!$R$2:$R$433,Desconto_Cliente_Mes!$A$2:$A$433,G$106,Desconto_Cliente_Mes!$B$2:$B$433,$A106,Desconto_Cliente_Mes!$C$2:$C$433,"Umidade")))-(SUMIFS(Desconto_Cliente_Mes!$Q$2:$Q$433,Desconto_Cliente_Mes!$A$2:$A$433,G$106,Desconto_Cliente_Mes!$B$2:$B$433,$A106,Desconto_Cliente_Mes!$C$2:$C$433,"Umidade")))*(SUMIFS(Desconto_Cliente_Mes!$T$2:$T$433,Desconto_Cliente_Mes!$A$2:$A$433,G$106,Desconto_Cliente_Mes!$B$2:$B$433,$A106,Desconto_Cliente_Mes!$C$2:$C$433,"Umidade"))</f>
        <v>-0</v>
      </c>
      <c r="H113" s="16" t="n">
        <f aca="false">$H$108*($H$110/100)*((IF(SUMIFS(Desconto_Cliente_Mes!$R$2:$R$433,Desconto_Cliente_Mes!$A$2:$A$433,H$106,Desconto_Cliente_Mes!$B$2:$B$433,$A106,Desconto_Cliente_Mes!$C$2:$C$433,"Umidade")="",SUMIFS(Desconto_Cliente_Mes!$Q$2:$Q$433,Desconto_Cliente_Mes!$A$2:$A$433,H$106,Desconto_Cliente_Mes!$B$2:$B$433,$A106,Desconto_Cliente_Mes!$C$2:$C$433,"Umidade"),SUMIFS(Desconto_Cliente_Mes!$R$2:$R$433,Desconto_Cliente_Mes!$A$2:$A$433,H$106,Desconto_Cliente_Mes!$B$2:$B$433,$A106,Desconto_Cliente_Mes!$C$2:$C$433,"Umidade")))-(SUMIFS(Desconto_Cliente_Mes!$Q$2:$Q$433,Desconto_Cliente_Mes!$A$2:$A$433,H$106,Desconto_Cliente_Mes!$B$2:$B$433,$A106,Desconto_Cliente_Mes!$C$2:$C$433,"Umidade")))*(SUMIFS(Desconto_Cliente_Mes!$T$2:$T$433,Desconto_Cliente_Mes!$A$2:$A$433,H$106,Desconto_Cliente_Mes!$B$2:$B$433,$A106,Desconto_Cliente_Mes!$C$2:$C$433,"Umidade"))</f>
        <v>-0</v>
      </c>
      <c r="I113" s="16" t="n">
        <f aca="false">$I$108*($I$110/100)*((IF(SUMIFS(Desconto_Cliente_Mes!$R$2:$R$433,Desconto_Cliente_Mes!$A$2:$A$433,I$106,Desconto_Cliente_Mes!$B$2:$B$433,$A106,Desconto_Cliente_Mes!$C$2:$C$433,"Umidade")="",SUMIFS(Desconto_Cliente_Mes!$Q$2:$Q$433,Desconto_Cliente_Mes!$A$2:$A$433,I$106,Desconto_Cliente_Mes!$B$2:$B$433,$A106,Desconto_Cliente_Mes!$C$2:$C$433,"Umidade"),SUMIFS(Desconto_Cliente_Mes!$R$2:$R$433,Desconto_Cliente_Mes!$A$2:$A$433,I$106,Desconto_Cliente_Mes!$B$2:$B$433,$A106,Desconto_Cliente_Mes!$C$2:$C$433,"Umidade")))-(SUMIFS(Desconto_Cliente_Mes!$Q$2:$Q$433,Desconto_Cliente_Mes!$A$2:$A$433,I$106,Desconto_Cliente_Mes!$B$2:$B$433,$A106,Desconto_Cliente_Mes!$C$2:$C$433,"Umidade")))*(SUMIFS(Desconto_Cliente_Mes!$T$2:$T$433,Desconto_Cliente_Mes!$A$2:$A$433,I$106,Desconto_Cliente_Mes!$B$2:$B$433,$A106,Desconto_Cliente_Mes!$C$2:$C$433,"Umidade"))</f>
        <v>-0</v>
      </c>
      <c r="J113" s="16" t="n">
        <f aca="false">$J$108*($J$110/100)*((IF(SUMIFS(Desconto_Cliente_Mes!$R$2:$R$433,Desconto_Cliente_Mes!$A$2:$A$433,J$106,Desconto_Cliente_Mes!$B$2:$B$433,$A106,Desconto_Cliente_Mes!$C$2:$C$433,"Umidade")="",SUMIFS(Desconto_Cliente_Mes!$Q$2:$Q$433,Desconto_Cliente_Mes!$A$2:$A$433,J$106,Desconto_Cliente_Mes!$B$2:$B$433,$A106,Desconto_Cliente_Mes!$C$2:$C$433,"Umidade"),SUMIFS(Desconto_Cliente_Mes!$R$2:$R$433,Desconto_Cliente_Mes!$A$2:$A$433,J$106,Desconto_Cliente_Mes!$B$2:$B$433,$A106,Desconto_Cliente_Mes!$C$2:$C$433,"Umidade")))-(SUMIFS(Desconto_Cliente_Mes!$Q$2:$Q$433,Desconto_Cliente_Mes!$A$2:$A$433,J$106,Desconto_Cliente_Mes!$B$2:$B$433,$A106,Desconto_Cliente_Mes!$C$2:$C$433,"Umidade")))*(SUMIFS(Desconto_Cliente_Mes!$T$2:$T$433,Desconto_Cliente_Mes!$A$2:$A$433,J$106,Desconto_Cliente_Mes!$B$2:$B$433,$A106,Desconto_Cliente_Mes!$C$2:$C$433,"Umidade"))</f>
        <v>-0</v>
      </c>
      <c r="K113" s="16" t="n">
        <f aca="false">$K$108*($K$110/100)*((IF(SUMIFS(Desconto_Cliente_Mes!$R$2:$R$433,Desconto_Cliente_Mes!$A$2:$A$433,K$106,Desconto_Cliente_Mes!$B$2:$B$433,$A106,Desconto_Cliente_Mes!$C$2:$C$433,"Umidade")="",SUMIFS(Desconto_Cliente_Mes!$Q$2:$Q$433,Desconto_Cliente_Mes!$A$2:$A$433,K$106,Desconto_Cliente_Mes!$B$2:$B$433,$A106,Desconto_Cliente_Mes!$C$2:$C$433,"Umidade"),SUMIFS(Desconto_Cliente_Mes!$R$2:$R$433,Desconto_Cliente_Mes!$A$2:$A$433,K$106,Desconto_Cliente_Mes!$B$2:$B$433,$A106,Desconto_Cliente_Mes!$C$2:$C$433,"Umidade")))-(SUMIFS(Desconto_Cliente_Mes!$Q$2:$Q$433,Desconto_Cliente_Mes!$A$2:$A$433,K$106,Desconto_Cliente_Mes!$B$2:$B$433,$A106,Desconto_Cliente_Mes!$C$2:$C$433,"Umidade")))*(SUMIFS(Desconto_Cliente_Mes!$T$2:$T$433,Desconto_Cliente_Mes!$A$2:$A$433,K$106,Desconto_Cliente_Mes!$B$2:$B$433,$A106,Desconto_Cliente_Mes!$C$2:$C$433,"Umidade"))</f>
        <v>-0</v>
      </c>
      <c r="L113" s="16" t="n">
        <f aca="false">$L$108*($L$110/100)*((IF(SUMIFS(Desconto_Cliente_Mes!$R$2:$R$433,Desconto_Cliente_Mes!$A$2:$A$433,L$106,Desconto_Cliente_Mes!$B$2:$B$433,$A106,Desconto_Cliente_Mes!$C$2:$C$433,"Umidade")="",SUMIFS(Desconto_Cliente_Mes!$Q$2:$Q$433,Desconto_Cliente_Mes!$A$2:$A$433,L$106,Desconto_Cliente_Mes!$B$2:$B$433,$A106,Desconto_Cliente_Mes!$C$2:$C$433,"Umidade"),SUMIFS(Desconto_Cliente_Mes!$R$2:$R$433,Desconto_Cliente_Mes!$A$2:$A$433,L$106,Desconto_Cliente_Mes!$B$2:$B$433,$A106,Desconto_Cliente_Mes!$C$2:$C$433,"Umidade")))-(SUMIFS(Desconto_Cliente_Mes!$Q$2:$Q$433,Desconto_Cliente_Mes!$A$2:$A$433,L$106,Desconto_Cliente_Mes!$B$2:$B$433,$A106,Desconto_Cliente_Mes!$C$2:$C$433,"Umidade")))*(SUMIFS(Desconto_Cliente_Mes!$T$2:$T$433,Desconto_Cliente_Mes!$A$2:$A$433,L$106,Desconto_Cliente_Mes!$B$2:$B$433,$A106,Desconto_Cliente_Mes!$C$2:$C$433,"Umidade"))</f>
        <v>-0</v>
      </c>
      <c r="M113" s="16" t="n">
        <f aca="false">$M$108*($M$110/100)*((IF(SUMIFS(Desconto_Cliente_Mes!$R$2:$R$433,Desconto_Cliente_Mes!$A$2:$A$433,M$106,Desconto_Cliente_Mes!$B$2:$B$433,$A106,Desconto_Cliente_Mes!$C$2:$C$433,"Umidade")="",SUMIFS(Desconto_Cliente_Mes!$Q$2:$Q$433,Desconto_Cliente_Mes!$A$2:$A$433,M$106,Desconto_Cliente_Mes!$B$2:$B$433,$A106,Desconto_Cliente_Mes!$C$2:$C$433,"Umidade"),SUMIFS(Desconto_Cliente_Mes!$R$2:$R$433,Desconto_Cliente_Mes!$A$2:$A$433,M$106,Desconto_Cliente_Mes!$B$2:$B$433,$A106,Desconto_Cliente_Mes!$C$2:$C$433,"Umidade")))-(SUMIFS(Desconto_Cliente_Mes!$Q$2:$Q$433,Desconto_Cliente_Mes!$A$2:$A$433,M$106,Desconto_Cliente_Mes!$B$2:$B$433,$A106,Desconto_Cliente_Mes!$C$2:$C$433,"Umidade")))*(SUMIFS(Desconto_Cliente_Mes!$T$2:$T$433,Desconto_Cliente_Mes!$A$2:$A$433,M$106,Desconto_Cliente_Mes!$B$2:$B$433,$A106,Desconto_Cliente_Mes!$C$2:$C$433,"Umidade"))</f>
        <v>-0</v>
      </c>
      <c r="N113" s="17" t="n">
        <f aca="false">SUM(B113:M113)</f>
        <v>0</v>
      </c>
    </row>
    <row r="114" customFormat="false" ht="15" hidden="false" customHeight="false" outlineLevel="0" collapsed="false">
      <c r="A114" s="13" t="s">
        <v>81</v>
      </c>
      <c r="B114" s="16" t="n">
        <f aca="false">$B$108*($B$111/100)*((IF(SUMIFS(Desconto_Cliente_Mes!$S$2:$S$433,Desconto_Cliente_Mes!$A$2:$A$433,B$106,Desconto_Cliente_Mes!$B$2:$B$433,$A106,Desconto_Cliente_Mes!$C$2:$C$433,"Umidade")="",(IF(SUMIFS(Desconto_Cliente_Mes!$R$2:$R$433,Desconto_Cliente_Mes!$A$2:$A$433,B$106,Desconto_Cliente_Mes!$B$2:$B$433,$A106,Desconto_Cliente_Mes!$C$2:$C$433,"Umidade")="",SUMIFS(Desconto_Cliente_Mes!$Q$2:$Q$433,Desconto_Cliente_Mes!$A$2:$A$433,B$106,Desconto_Cliente_Mes!$B$2:$B$433,$A106,Desconto_Cliente_Mes!$C$2:$C$433,"Umidade"),SUMIFS(Desconto_Cliente_Mes!$R$2:$R$433,Desconto_Cliente_Mes!$A$2:$A$433,B$106,Desconto_Cliente_Mes!$B$2:$B$433,$A106,Desconto_Cliente_Mes!$C$2:$C$433,"Umidade"))),SUMIFS(Desconto_Cliente_Mes!$S$2:$S$433,Desconto_Cliente_Mes!$A$2:$A$433,B$106,Desconto_Cliente_Mes!$B$2:$B$433,$A106,Desconto_Cliente_Mes!$C$2:$C$433,"Umidade")))-(IF(SUMIFS(Desconto_Cliente_Mes!$R$2:$R$433,Desconto_Cliente_Mes!$A$2:$A$433,B$106,Desconto_Cliente_Mes!$B$2:$B$433,$A106,Desconto_Cliente_Mes!$C$2:$C$433,"Umidade")="",SUMIFS(Desconto_Cliente_Mes!$Q$2:$Q$433,Desconto_Cliente_Mes!$A$2:$A$433,B$106,Desconto_Cliente_Mes!$B$2:$B$433,$A106,Desconto_Cliente_Mes!$C$2:$C$433,"Umidade"),SUMIFS(Desconto_Cliente_Mes!$R$2:$R$433,Desconto_Cliente_Mes!$A$2:$A$433,B$106,Desconto_Cliente_Mes!$B$2:$B$433,$A106,Desconto_Cliente_Mes!$C$2:$C$433,"Umidade"))))*(SUMIFS(Desconto_Cliente_Mes!$T$2:$T$433,Desconto_Cliente_Mes!$A$2:$A$433,B$106,Desconto_Cliente_Mes!$B$2:$B$433,$A106,Desconto_Cliente_Mes!$C$2:$C$433,"Umidade"))</f>
        <v>0</v>
      </c>
      <c r="C114" s="16" t="n">
        <f aca="false">$C$108*($C$111/100)*((IF(SUMIFS(Desconto_Cliente_Mes!$S$2:$S$433,Desconto_Cliente_Mes!$A$2:$A$433,C$106,Desconto_Cliente_Mes!$B$2:$B$433,$A106,Desconto_Cliente_Mes!$C$2:$C$433,"Umidade")="",(IF(SUMIFS(Desconto_Cliente_Mes!$R$2:$R$433,Desconto_Cliente_Mes!$A$2:$A$433,C$106,Desconto_Cliente_Mes!$B$2:$B$433,$A106,Desconto_Cliente_Mes!$C$2:$C$433,"Umidade")="",SUMIFS(Desconto_Cliente_Mes!$Q$2:$Q$433,Desconto_Cliente_Mes!$A$2:$A$433,C$106,Desconto_Cliente_Mes!$B$2:$B$433,$A106,Desconto_Cliente_Mes!$C$2:$C$433,"Umidade"),SUMIFS(Desconto_Cliente_Mes!$R$2:$R$433,Desconto_Cliente_Mes!$A$2:$A$433,C$106,Desconto_Cliente_Mes!$B$2:$B$433,$A106,Desconto_Cliente_Mes!$C$2:$C$433,"Umidade"))),SUMIFS(Desconto_Cliente_Mes!$S$2:$S$433,Desconto_Cliente_Mes!$A$2:$A$433,C$106,Desconto_Cliente_Mes!$B$2:$B$433,$A106,Desconto_Cliente_Mes!$C$2:$C$433,"Umidade")))-(IF(SUMIFS(Desconto_Cliente_Mes!$R$2:$R$433,Desconto_Cliente_Mes!$A$2:$A$433,C$106,Desconto_Cliente_Mes!$B$2:$B$433,$A106,Desconto_Cliente_Mes!$C$2:$C$433,"Umidade")="",SUMIFS(Desconto_Cliente_Mes!$Q$2:$Q$433,Desconto_Cliente_Mes!$A$2:$A$433,C$106,Desconto_Cliente_Mes!$B$2:$B$433,$A106,Desconto_Cliente_Mes!$C$2:$C$433,"Umidade"),SUMIFS(Desconto_Cliente_Mes!$R$2:$R$433,Desconto_Cliente_Mes!$A$2:$A$433,C$106,Desconto_Cliente_Mes!$B$2:$B$433,$A106,Desconto_Cliente_Mes!$C$2:$C$433,"Umidade"))))*(SUMIFS(Desconto_Cliente_Mes!$T$2:$T$433,Desconto_Cliente_Mes!$A$2:$A$433,C$106,Desconto_Cliente_Mes!$B$2:$B$433,$A106,Desconto_Cliente_Mes!$C$2:$C$433,"Umidade"))</f>
        <v>0</v>
      </c>
      <c r="D114" s="16" t="n">
        <f aca="false">$D$108*($D$111/100)*((IF(SUMIFS(Desconto_Cliente_Mes!$S$2:$S$433,Desconto_Cliente_Mes!$A$2:$A$433,D$106,Desconto_Cliente_Mes!$B$2:$B$433,$A106,Desconto_Cliente_Mes!$C$2:$C$433,"Umidade")="",(IF(SUMIFS(Desconto_Cliente_Mes!$R$2:$R$433,Desconto_Cliente_Mes!$A$2:$A$433,D$106,Desconto_Cliente_Mes!$B$2:$B$433,$A106,Desconto_Cliente_Mes!$C$2:$C$433,"Umidade")="",SUMIFS(Desconto_Cliente_Mes!$Q$2:$Q$433,Desconto_Cliente_Mes!$A$2:$A$433,D$106,Desconto_Cliente_Mes!$B$2:$B$433,$A106,Desconto_Cliente_Mes!$C$2:$C$433,"Umidade"),SUMIFS(Desconto_Cliente_Mes!$R$2:$R$433,Desconto_Cliente_Mes!$A$2:$A$433,D$106,Desconto_Cliente_Mes!$B$2:$B$433,$A106,Desconto_Cliente_Mes!$C$2:$C$433,"Umidade"))),SUMIFS(Desconto_Cliente_Mes!$S$2:$S$433,Desconto_Cliente_Mes!$A$2:$A$433,D$106,Desconto_Cliente_Mes!$B$2:$B$433,$A106,Desconto_Cliente_Mes!$C$2:$C$433,"Umidade")))-(IF(SUMIFS(Desconto_Cliente_Mes!$R$2:$R$433,Desconto_Cliente_Mes!$A$2:$A$433,D$106,Desconto_Cliente_Mes!$B$2:$B$433,$A106,Desconto_Cliente_Mes!$C$2:$C$433,"Umidade")="",SUMIFS(Desconto_Cliente_Mes!$Q$2:$Q$433,Desconto_Cliente_Mes!$A$2:$A$433,D$106,Desconto_Cliente_Mes!$B$2:$B$433,$A106,Desconto_Cliente_Mes!$C$2:$C$433,"Umidade"),SUMIFS(Desconto_Cliente_Mes!$R$2:$R$433,Desconto_Cliente_Mes!$A$2:$A$433,D$106,Desconto_Cliente_Mes!$B$2:$B$433,$A106,Desconto_Cliente_Mes!$C$2:$C$433,"Umidade"))))*(SUMIFS(Desconto_Cliente_Mes!$T$2:$T$433,Desconto_Cliente_Mes!$A$2:$A$433,D$106,Desconto_Cliente_Mes!$B$2:$B$433,$A106,Desconto_Cliente_Mes!$C$2:$C$433,"Umidade"))</f>
        <v>0</v>
      </c>
      <c r="E114" s="16" t="n">
        <f aca="false">$E$108*($E$111/100)*((IF(SUMIFS(Desconto_Cliente_Mes!$S$2:$S$433,Desconto_Cliente_Mes!$A$2:$A$433,E$106,Desconto_Cliente_Mes!$B$2:$B$433,$A106,Desconto_Cliente_Mes!$C$2:$C$433,"Umidade")="",(IF(SUMIFS(Desconto_Cliente_Mes!$R$2:$R$433,Desconto_Cliente_Mes!$A$2:$A$433,E$106,Desconto_Cliente_Mes!$B$2:$B$433,$A106,Desconto_Cliente_Mes!$C$2:$C$433,"Umidade")="",SUMIFS(Desconto_Cliente_Mes!$Q$2:$Q$433,Desconto_Cliente_Mes!$A$2:$A$433,E$106,Desconto_Cliente_Mes!$B$2:$B$433,$A106,Desconto_Cliente_Mes!$C$2:$C$433,"Umidade"),SUMIFS(Desconto_Cliente_Mes!$R$2:$R$433,Desconto_Cliente_Mes!$A$2:$A$433,E$106,Desconto_Cliente_Mes!$B$2:$B$433,$A106,Desconto_Cliente_Mes!$C$2:$C$433,"Umidade"))),SUMIFS(Desconto_Cliente_Mes!$S$2:$S$433,Desconto_Cliente_Mes!$A$2:$A$433,E$106,Desconto_Cliente_Mes!$B$2:$B$433,$A106,Desconto_Cliente_Mes!$C$2:$C$433,"Umidade")))-(IF(SUMIFS(Desconto_Cliente_Mes!$R$2:$R$433,Desconto_Cliente_Mes!$A$2:$A$433,E$106,Desconto_Cliente_Mes!$B$2:$B$433,$A106,Desconto_Cliente_Mes!$C$2:$C$433,"Umidade")="",SUMIFS(Desconto_Cliente_Mes!$Q$2:$Q$433,Desconto_Cliente_Mes!$A$2:$A$433,E$106,Desconto_Cliente_Mes!$B$2:$B$433,$A106,Desconto_Cliente_Mes!$C$2:$C$433,"Umidade"),SUMIFS(Desconto_Cliente_Mes!$R$2:$R$433,Desconto_Cliente_Mes!$A$2:$A$433,E$106,Desconto_Cliente_Mes!$B$2:$B$433,$A106,Desconto_Cliente_Mes!$C$2:$C$433,"Umidade"))))*(SUMIFS(Desconto_Cliente_Mes!$T$2:$T$433,Desconto_Cliente_Mes!$A$2:$A$433,E$106,Desconto_Cliente_Mes!$B$2:$B$433,$A106,Desconto_Cliente_Mes!$C$2:$C$433,"Umidade"))</f>
        <v>0</v>
      </c>
      <c r="F114" s="16" t="n">
        <f aca="false">$F$108*($F$111/100)*((IF(SUMIFS(Desconto_Cliente_Mes!$S$2:$S$433,Desconto_Cliente_Mes!$A$2:$A$433,F$106,Desconto_Cliente_Mes!$B$2:$B$433,$A106,Desconto_Cliente_Mes!$C$2:$C$433,"Umidade")="",(IF(SUMIFS(Desconto_Cliente_Mes!$R$2:$R$433,Desconto_Cliente_Mes!$A$2:$A$433,F$106,Desconto_Cliente_Mes!$B$2:$B$433,$A106,Desconto_Cliente_Mes!$C$2:$C$433,"Umidade")="",SUMIFS(Desconto_Cliente_Mes!$Q$2:$Q$433,Desconto_Cliente_Mes!$A$2:$A$433,F$106,Desconto_Cliente_Mes!$B$2:$B$433,$A106,Desconto_Cliente_Mes!$C$2:$C$433,"Umidade"),SUMIFS(Desconto_Cliente_Mes!$R$2:$R$433,Desconto_Cliente_Mes!$A$2:$A$433,F$106,Desconto_Cliente_Mes!$B$2:$B$433,$A106,Desconto_Cliente_Mes!$C$2:$C$433,"Umidade"))),SUMIFS(Desconto_Cliente_Mes!$S$2:$S$433,Desconto_Cliente_Mes!$A$2:$A$433,F$106,Desconto_Cliente_Mes!$B$2:$B$433,$A106,Desconto_Cliente_Mes!$C$2:$C$433,"Umidade")))-(IF(SUMIFS(Desconto_Cliente_Mes!$R$2:$R$433,Desconto_Cliente_Mes!$A$2:$A$433,F$106,Desconto_Cliente_Mes!$B$2:$B$433,$A106,Desconto_Cliente_Mes!$C$2:$C$433,"Umidade")="",SUMIFS(Desconto_Cliente_Mes!$Q$2:$Q$433,Desconto_Cliente_Mes!$A$2:$A$433,F$106,Desconto_Cliente_Mes!$B$2:$B$433,$A106,Desconto_Cliente_Mes!$C$2:$C$433,"Umidade"),SUMIFS(Desconto_Cliente_Mes!$R$2:$R$433,Desconto_Cliente_Mes!$A$2:$A$433,F$106,Desconto_Cliente_Mes!$B$2:$B$433,$A106,Desconto_Cliente_Mes!$C$2:$C$433,"Umidade"))))*(SUMIFS(Desconto_Cliente_Mes!$T$2:$T$433,Desconto_Cliente_Mes!$A$2:$A$433,F$106,Desconto_Cliente_Mes!$B$2:$B$433,$A106,Desconto_Cliente_Mes!$C$2:$C$433,"Umidade"))</f>
        <v>0</v>
      </c>
      <c r="G114" s="16" t="n">
        <f aca="false">$G$108*($G$111/100)*((IF(SUMIFS(Desconto_Cliente_Mes!$S$2:$S$433,Desconto_Cliente_Mes!$A$2:$A$433,G$106,Desconto_Cliente_Mes!$B$2:$B$433,$A106,Desconto_Cliente_Mes!$C$2:$C$433,"Umidade")="",(IF(SUMIFS(Desconto_Cliente_Mes!$R$2:$R$433,Desconto_Cliente_Mes!$A$2:$A$433,G$106,Desconto_Cliente_Mes!$B$2:$B$433,$A106,Desconto_Cliente_Mes!$C$2:$C$433,"Umidade")="",SUMIFS(Desconto_Cliente_Mes!$Q$2:$Q$433,Desconto_Cliente_Mes!$A$2:$A$433,G$106,Desconto_Cliente_Mes!$B$2:$B$433,$A106,Desconto_Cliente_Mes!$C$2:$C$433,"Umidade"),SUMIFS(Desconto_Cliente_Mes!$R$2:$R$433,Desconto_Cliente_Mes!$A$2:$A$433,G$106,Desconto_Cliente_Mes!$B$2:$B$433,$A106,Desconto_Cliente_Mes!$C$2:$C$433,"Umidade"))),SUMIFS(Desconto_Cliente_Mes!$S$2:$S$433,Desconto_Cliente_Mes!$A$2:$A$433,G$106,Desconto_Cliente_Mes!$B$2:$B$433,$A106,Desconto_Cliente_Mes!$C$2:$C$433,"Umidade")))-(IF(SUMIFS(Desconto_Cliente_Mes!$R$2:$R$433,Desconto_Cliente_Mes!$A$2:$A$433,G$106,Desconto_Cliente_Mes!$B$2:$B$433,$A106,Desconto_Cliente_Mes!$C$2:$C$433,"Umidade")="",SUMIFS(Desconto_Cliente_Mes!$Q$2:$Q$433,Desconto_Cliente_Mes!$A$2:$A$433,G$106,Desconto_Cliente_Mes!$B$2:$B$433,$A106,Desconto_Cliente_Mes!$C$2:$C$433,"Umidade"),SUMIFS(Desconto_Cliente_Mes!$R$2:$R$433,Desconto_Cliente_Mes!$A$2:$A$433,G$106,Desconto_Cliente_Mes!$B$2:$B$433,$A106,Desconto_Cliente_Mes!$C$2:$C$433,"Umidade"))))*(SUMIFS(Desconto_Cliente_Mes!$T$2:$T$433,Desconto_Cliente_Mes!$A$2:$A$433,G$106,Desconto_Cliente_Mes!$B$2:$B$433,$A106,Desconto_Cliente_Mes!$C$2:$C$433,"Umidade"))</f>
        <v>0</v>
      </c>
      <c r="H114" s="16" t="n">
        <f aca="false">$H$108*($H$111/100)*((IF(SUMIFS(Desconto_Cliente_Mes!$S$2:$S$433,Desconto_Cliente_Mes!$A$2:$A$433,H$106,Desconto_Cliente_Mes!$B$2:$B$433,$A106,Desconto_Cliente_Mes!$C$2:$C$433,"Umidade")="",(IF(SUMIFS(Desconto_Cliente_Mes!$R$2:$R$433,Desconto_Cliente_Mes!$A$2:$A$433,H$106,Desconto_Cliente_Mes!$B$2:$B$433,$A106,Desconto_Cliente_Mes!$C$2:$C$433,"Umidade")="",SUMIFS(Desconto_Cliente_Mes!$Q$2:$Q$433,Desconto_Cliente_Mes!$A$2:$A$433,H$106,Desconto_Cliente_Mes!$B$2:$B$433,$A106,Desconto_Cliente_Mes!$C$2:$C$433,"Umidade"),SUMIFS(Desconto_Cliente_Mes!$R$2:$R$433,Desconto_Cliente_Mes!$A$2:$A$433,H$106,Desconto_Cliente_Mes!$B$2:$B$433,$A106,Desconto_Cliente_Mes!$C$2:$C$433,"Umidade"))),SUMIFS(Desconto_Cliente_Mes!$S$2:$S$433,Desconto_Cliente_Mes!$A$2:$A$433,H$106,Desconto_Cliente_Mes!$B$2:$B$433,$A106,Desconto_Cliente_Mes!$C$2:$C$433,"Umidade")))-(IF(SUMIFS(Desconto_Cliente_Mes!$R$2:$R$433,Desconto_Cliente_Mes!$A$2:$A$433,H$106,Desconto_Cliente_Mes!$B$2:$B$433,$A106,Desconto_Cliente_Mes!$C$2:$C$433,"Umidade")="",SUMIFS(Desconto_Cliente_Mes!$Q$2:$Q$433,Desconto_Cliente_Mes!$A$2:$A$433,H$106,Desconto_Cliente_Mes!$B$2:$B$433,$A106,Desconto_Cliente_Mes!$C$2:$C$433,"Umidade"),SUMIFS(Desconto_Cliente_Mes!$R$2:$R$433,Desconto_Cliente_Mes!$A$2:$A$433,H$106,Desconto_Cliente_Mes!$B$2:$B$433,$A106,Desconto_Cliente_Mes!$C$2:$C$433,"Umidade"))))*(SUMIFS(Desconto_Cliente_Mes!$T$2:$T$433,Desconto_Cliente_Mes!$A$2:$A$433,H$106,Desconto_Cliente_Mes!$B$2:$B$433,$A106,Desconto_Cliente_Mes!$C$2:$C$433,"Umidade"))</f>
        <v>0</v>
      </c>
      <c r="I114" s="16" t="n">
        <f aca="false">$I$108*($I$111/100)*((IF(SUMIFS(Desconto_Cliente_Mes!$S$2:$S$433,Desconto_Cliente_Mes!$A$2:$A$433,I$106,Desconto_Cliente_Mes!$B$2:$B$433,$A106,Desconto_Cliente_Mes!$C$2:$C$433,"Umidade")="",(IF(SUMIFS(Desconto_Cliente_Mes!$R$2:$R$433,Desconto_Cliente_Mes!$A$2:$A$433,I$106,Desconto_Cliente_Mes!$B$2:$B$433,$A106,Desconto_Cliente_Mes!$C$2:$C$433,"Umidade")="",SUMIFS(Desconto_Cliente_Mes!$Q$2:$Q$433,Desconto_Cliente_Mes!$A$2:$A$433,I$106,Desconto_Cliente_Mes!$B$2:$B$433,$A106,Desconto_Cliente_Mes!$C$2:$C$433,"Umidade"),SUMIFS(Desconto_Cliente_Mes!$R$2:$R$433,Desconto_Cliente_Mes!$A$2:$A$433,I$106,Desconto_Cliente_Mes!$B$2:$B$433,$A106,Desconto_Cliente_Mes!$C$2:$C$433,"Umidade"))),SUMIFS(Desconto_Cliente_Mes!$S$2:$S$433,Desconto_Cliente_Mes!$A$2:$A$433,I$106,Desconto_Cliente_Mes!$B$2:$B$433,$A106,Desconto_Cliente_Mes!$C$2:$C$433,"Umidade")))-(IF(SUMIFS(Desconto_Cliente_Mes!$R$2:$R$433,Desconto_Cliente_Mes!$A$2:$A$433,I$106,Desconto_Cliente_Mes!$B$2:$B$433,$A106,Desconto_Cliente_Mes!$C$2:$C$433,"Umidade")="",SUMIFS(Desconto_Cliente_Mes!$Q$2:$Q$433,Desconto_Cliente_Mes!$A$2:$A$433,I$106,Desconto_Cliente_Mes!$B$2:$B$433,$A106,Desconto_Cliente_Mes!$C$2:$C$433,"Umidade"),SUMIFS(Desconto_Cliente_Mes!$R$2:$R$433,Desconto_Cliente_Mes!$A$2:$A$433,I$106,Desconto_Cliente_Mes!$B$2:$B$433,$A106,Desconto_Cliente_Mes!$C$2:$C$433,"Umidade"))))*(SUMIFS(Desconto_Cliente_Mes!$T$2:$T$433,Desconto_Cliente_Mes!$A$2:$A$433,I$106,Desconto_Cliente_Mes!$B$2:$B$433,$A106,Desconto_Cliente_Mes!$C$2:$C$433,"Umidade"))</f>
        <v>0</v>
      </c>
      <c r="J114" s="16" t="n">
        <f aca="false">$J$108*($J$111/100)*((IF(SUMIFS(Desconto_Cliente_Mes!$S$2:$S$433,Desconto_Cliente_Mes!$A$2:$A$433,J$106,Desconto_Cliente_Mes!$B$2:$B$433,$A106,Desconto_Cliente_Mes!$C$2:$C$433,"Umidade")="",(IF(SUMIFS(Desconto_Cliente_Mes!$R$2:$R$433,Desconto_Cliente_Mes!$A$2:$A$433,J$106,Desconto_Cliente_Mes!$B$2:$B$433,$A106,Desconto_Cliente_Mes!$C$2:$C$433,"Umidade")="",SUMIFS(Desconto_Cliente_Mes!$Q$2:$Q$433,Desconto_Cliente_Mes!$A$2:$A$433,J$106,Desconto_Cliente_Mes!$B$2:$B$433,$A106,Desconto_Cliente_Mes!$C$2:$C$433,"Umidade"),SUMIFS(Desconto_Cliente_Mes!$R$2:$R$433,Desconto_Cliente_Mes!$A$2:$A$433,J$106,Desconto_Cliente_Mes!$B$2:$B$433,$A106,Desconto_Cliente_Mes!$C$2:$C$433,"Umidade"))),SUMIFS(Desconto_Cliente_Mes!$S$2:$S$433,Desconto_Cliente_Mes!$A$2:$A$433,J$106,Desconto_Cliente_Mes!$B$2:$B$433,$A106,Desconto_Cliente_Mes!$C$2:$C$433,"Umidade")))-(IF(SUMIFS(Desconto_Cliente_Mes!$R$2:$R$433,Desconto_Cliente_Mes!$A$2:$A$433,J$106,Desconto_Cliente_Mes!$B$2:$B$433,$A106,Desconto_Cliente_Mes!$C$2:$C$433,"Umidade")="",SUMIFS(Desconto_Cliente_Mes!$Q$2:$Q$433,Desconto_Cliente_Mes!$A$2:$A$433,J$106,Desconto_Cliente_Mes!$B$2:$B$433,$A106,Desconto_Cliente_Mes!$C$2:$C$433,"Umidade"),SUMIFS(Desconto_Cliente_Mes!$R$2:$R$433,Desconto_Cliente_Mes!$A$2:$A$433,J$106,Desconto_Cliente_Mes!$B$2:$B$433,$A106,Desconto_Cliente_Mes!$C$2:$C$433,"Umidade"))))*(SUMIFS(Desconto_Cliente_Mes!$T$2:$T$433,Desconto_Cliente_Mes!$A$2:$A$433,J$106,Desconto_Cliente_Mes!$B$2:$B$433,$A106,Desconto_Cliente_Mes!$C$2:$C$433,"Umidade"))</f>
        <v>0</v>
      </c>
      <c r="K114" s="16" t="n">
        <f aca="false">$K$108*($K$111/100)*((IF(SUMIFS(Desconto_Cliente_Mes!$S$2:$S$433,Desconto_Cliente_Mes!$A$2:$A$433,K$106,Desconto_Cliente_Mes!$B$2:$B$433,$A106,Desconto_Cliente_Mes!$C$2:$C$433,"Umidade")="",(IF(SUMIFS(Desconto_Cliente_Mes!$R$2:$R$433,Desconto_Cliente_Mes!$A$2:$A$433,K$106,Desconto_Cliente_Mes!$B$2:$B$433,$A106,Desconto_Cliente_Mes!$C$2:$C$433,"Umidade")="",SUMIFS(Desconto_Cliente_Mes!$Q$2:$Q$433,Desconto_Cliente_Mes!$A$2:$A$433,K$106,Desconto_Cliente_Mes!$B$2:$B$433,$A106,Desconto_Cliente_Mes!$C$2:$C$433,"Umidade"),SUMIFS(Desconto_Cliente_Mes!$R$2:$R$433,Desconto_Cliente_Mes!$A$2:$A$433,K$106,Desconto_Cliente_Mes!$B$2:$B$433,$A106,Desconto_Cliente_Mes!$C$2:$C$433,"Umidade"))),SUMIFS(Desconto_Cliente_Mes!$S$2:$S$433,Desconto_Cliente_Mes!$A$2:$A$433,K$106,Desconto_Cliente_Mes!$B$2:$B$433,$A106,Desconto_Cliente_Mes!$C$2:$C$433,"Umidade")))-(IF(SUMIFS(Desconto_Cliente_Mes!$R$2:$R$433,Desconto_Cliente_Mes!$A$2:$A$433,K$106,Desconto_Cliente_Mes!$B$2:$B$433,$A106,Desconto_Cliente_Mes!$C$2:$C$433,"Umidade")="",SUMIFS(Desconto_Cliente_Mes!$Q$2:$Q$433,Desconto_Cliente_Mes!$A$2:$A$433,K$106,Desconto_Cliente_Mes!$B$2:$B$433,$A106,Desconto_Cliente_Mes!$C$2:$C$433,"Umidade"),SUMIFS(Desconto_Cliente_Mes!$R$2:$R$433,Desconto_Cliente_Mes!$A$2:$A$433,K$106,Desconto_Cliente_Mes!$B$2:$B$433,$A106,Desconto_Cliente_Mes!$C$2:$C$433,"Umidade"))))*(SUMIFS(Desconto_Cliente_Mes!$T$2:$T$433,Desconto_Cliente_Mes!$A$2:$A$433,K$106,Desconto_Cliente_Mes!$B$2:$B$433,$A106,Desconto_Cliente_Mes!$C$2:$C$433,"Umidade"))</f>
        <v>0</v>
      </c>
      <c r="L114" s="16" t="n">
        <f aca="false">$L$108*($L$111/100)*((IF(SUMIFS(Desconto_Cliente_Mes!$S$2:$S$433,Desconto_Cliente_Mes!$A$2:$A$433,L$106,Desconto_Cliente_Mes!$B$2:$B$433,$A106,Desconto_Cliente_Mes!$C$2:$C$433,"Umidade")="",(IF(SUMIFS(Desconto_Cliente_Mes!$R$2:$R$433,Desconto_Cliente_Mes!$A$2:$A$433,L$106,Desconto_Cliente_Mes!$B$2:$B$433,$A106,Desconto_Cliente_Mes!$C$2:$C$433,"Umidade")="",SUMIFS(Desconto_Cliente_Mes!$Q$2:$Q$433,Desconto_Cliente_Mes!$A$2:$A$433,L$106,Desconto_Cliente_Mes!$B$2:$B$433,$A106,Desconto_Cliente_Mes!$C$2:$C$433,"Umidade"),SUMIFS(Desconto_Cliente_Mes!$R$2:$R$433,Desconto_Cliente_Mes!$A$2:$A$433,L$106,Desconto_Cliente_Mes!$B$2:$B$433,$A106,Desconto_Cliente_Mes!$C$2:$C$433,"Umidade"))),SUMIFS(Desconto_Cliente_Mes!$S$2:$S$433,Desconto_Cliente_Mes!$A$2:$A$433,L$106,Desconto_Cliente_Mes!$B$2:$B$433,$A106,Desconto_Cliente_Mes!$C$2:$C$433,"Umidade")))-(IF(SUMIFS(Desconto_Cliente_Mes!$R$2:$R$433,Desconto_Cliente_Mes!$A$2:$A$433,L$106,Desconto_Cliente_Mes!$B$2:$B$433,$A106,Desconto_Cliente_Mes!$C$2:$C$433,"Umidade")="",SUMIFS(Desconto_Cliente_Mes!$Q$2:$Q$433,Desconto_Cliente_Mes!$A$2:$A$433,L$106,Desconto_Cliente_Mes!$B$2:$B$433,$A106,Desconto_Cliente_Mes!$C$2:$C$433,"Umidade"),SUMIFS(Desconto_Cliente_Mes!$R$2:$R$433,Desconto_Cliente_Mes!$A$2:$A$433,L$106,Desconto_Cliente_Mes!$B$2:$B$433,$A106,Desconto_Cliente_Mes!$C$2:$C$433,"Umidade"))))*(SUMIFS(Desconto_Cliente_Mes!$T$2:$T$433,Desconto_Cliente_Mes!$A$2:$A$433,L$106,Desconto_Cliente_Mes!$B$2:$B$433,$A106,Desconto_Cliente_Mes!$C$2:$C$433,"Umidade"))</f>
        <v>0</v>
      </c>
      <c r="M114" s="16" t="n">
        <f aca="false">$M$108*($M$111/100)*((IF(SUMIFS(Desconto_Cliente_Mes!$S$2:$S$433,Desconto_Cliente_Mes!$A$2:$A$433,M$106,Desconto_Cliente_Mes!$B$2:$B$433,$A106,Desconto_Cliente_Mes!$C$2:$C$433,"Umidade")="",(IF(SUMIFS(Desconto_Cliente_Mes!$R$2:$R$433,Desconto_Cliente_Mes!$A$2:$A$433,M$106,Desconto_Cliente_Mes!$B$2:$B$433,$A106,Desconto_Cliente_Mes!$C$2:$C$433,"Umidade")="",SUMIFS(Desconto_Cliente_Mes!$Q$2:$Q$433,Desconto_Cliente_Mes!$A$2:$A$433,M$106,Desconto_Cliente_Mes!$B$2:$B$433,$A106,Desconto_Cliente_Mes!$C$2:$C$433,"Umidade"),SUMIFS(Desconto_Cliente_Mes!$R$2:$R$433,Desconto_Cliente_Mes!$A$2:$A$433,M$106,Desconto_Cliente_Mes!$B$2:$B$433,$A106,Desconto_Cliente_Mes!$C$2:$C$433,"Umidade"))),SUMIFS(Desconto_Cliente_Mes!$S$2:$S$433,Desconto_Cliente_Mes!$A$2:$A$433,M$106,Desconto_Cliente_Mes!$B$2:$B$433,$A106,Desconto_Cliente_Mes!$C$2:$C$433,"Umidade")))-(IF(SUMIFS(Desconto_Cliente_Mes!$R$2:$R$433,Desconto_Cliente_Mes!$A$2:$A$433,M$106,Desconto_Cliente_Mes!$B$2:$B$433,$A106,Desconto_Cliente_Mes!$C$2:$C$433,"Umidade")="",SUMIFS(Desconto_Cliente_Mes!$Q$2:$Q$433,Desconto_Cliente_Mes!$A$2:$A$433,M$106,Desconto_Cliente_Mes!$B$2:$B$433,$A106,Desconto_Cliente_Mes!$C$2:$C$433,"Umidade"),SUMIFS(Desconto_Cliente_Mes!$R$2:$R$433,Desconto_Cliente_Mes!$A$2:$A$433,M$106,Desconto_Cliente_Mes!$B$2:$B$433,$A106,Desconto_Cliente_Mes!$C$2:$C$433,"Umidade"))))*(SUMIFS(Desconto_Cliente_Mes!$T$2:$T$433,Desconto_Cliente_Mes!$A$2:$A$433,M$106,Desconto_Cliente_Mes!$B$2:$B$433,$A106,Desconto_Cliente_Mes!$C$2:$C$433,"Umidade"))</f>
        <v>0</v>
      </c>
      <c r="N114" s="17" t="n">
        <f aca="false">SUM(B114:M114)</f>
        <v>0</v>
      </c>
    </row>
    <row r="115" customFormat="false" ht="15" hidden="false" customHeight="false" outlineLevel="0" collapsed="false">
      <c r="A115" s="13" t="s">
        <v>82</v>
      </c>
      <c r="B115" s="16" t="n">
        <f aca="false">SUMIFS(Acerto_Detalhado!$J$2:$J$433,Acerto_Detalhado!$A$2:$A$433,B$106,Acerto_Detalhado!$B$2:$B$433,$A106,Acerto_Detalhado!$C$2:$C$433,"Umidade")</f>
        <v>0</v>
      </c>
      <c r="C115" s="16" t="n">
        <f aca="false">SUMIFS(Acerto_Detalhado!$J$2:$J$433,Acerto_Detalhado!$A$2:$A$433,C$106,Acerto_Detalhado!$B$2:$B$433,$A106,Acerto_Detalhado!$C$2:$C$433,"Umidade")</f>
        <v>0</v>
      </c>
      <c r="D115" s="16" t="n">
        <f aca="false">SUMIFS(Acerto_Detalhado!$J$2:$J$433,Acerto_Detalhado!$A$2:$A$433,D$106,Acerto_Detalhado!$B$2:$B$433,$A106,Acerto_Detalhado!$C$2:$C$433,"Umidade")</f>
        <v>0</v>
      </c>
      <c r="E115" s="16" t="n">
        <f aca="false">SUMIFS(Acerto_Detalhado!$J$2:$J$433,Acerto_Detalhado!$A$2:$A$433,E$106,Acerto_Detalhado!$B$2:$B$433,$A106,Acerto_Detalhado!$C$2:$C$433,"Umidade")</f>
        <v>0</v>
      </c>
      <c r="F115" s="16" t="n">
        <f aca="false">SUMIFS(Acerto_Detalhado!$J$2:$J$433,Acerto_Detalhado!$A$2:$A$433,F$106,Acerto_Detalhado!$B$2:$B$433,$A106,Acerto_Detalhado!$C$2:$C$433,"Umidade")</f>
        <v>0</v>
      </c>
      <c r="G115" s="16" t="n">
        <f aca="false">SUMIFS(Acerto_Detalhado!$J$2:$J$433,Acerto_Detalhado!$A$2:$A$433,G$106,Acerto_Detalhado!$B$2:$B$433,$A106,Acerto_Detalhado!$C$2:$C$433,"Umidade")</f>
        <v>0</v>
      </c>
      <c r="H115" s="16" t="n">
        <f aca="false">SUMIFS(Acerto_Detalhado!$J$2:$J$433,Acerto_Detalhado!$A$2:$A$433,H$106,Acerto_Detalhado!$B$2:$B$433,$A106,Acerto_Detalhado!$C$2:$C$433,"Umidade")</f>
        <v>0</v>
      </c>
      <c r="I115" s="16" t="n">
        <f aca="false">SUMIFS(Acerto_Detalhado!$J$2:$J$433,Acerto_Detalhado!$A$2:$A$433,I$106,Acerto_Detalhado!$B$2:$B$433,$A106,Acerto_Detalhado!$C$2:$C$433,"Umidade")</f>
        <v>0</v>
      </c>
      <c r="J115" s="16" t="n">
        <f aca="false">SUMIFS(Acerto_Detalhado!$J$2:$J$433,Acerto_Detalhado!$A$2:$A$433,J$106,Acerto_Detalhado!$B$2:$B$433,$A106,Acerto_Detalhado!$C$2:$C$433,"Umidade")</f>
        <v>0</v>
      </c>
      <c r="K115" s="16" t="n">
        <f aca="false">SUMIFS(Acerto_Detalhado!$J$2:$J$433,Acerto_Detalhado!$A$2:$A$433,K$106,Acerto_Detalhado!$B$2:$B$433,$A106,Acerto_Detalhado!$C$2:$C$433,"Umidade")</f>
        <v>0</v>
      </c>
      <c r="L115" s="16" t="n">
        <f aca="false">SUMIFS(Acerto_Detalhado!$J$2:$J$433,Acerto_Detalhado!$A$2:$A$433,L$106,Acerto_Detalhado!$B$2:$B$433,$A106,Acerto_Detalhado!$C$2:$C$433,"Umidade")</f>
        <v>0</v>
      </c>
      <c r="M115" s="16" t="n">
        <f aca="false">SUMIFS(Acerto_Detalhado!$J$2:$J$433,Acerto_Detalhado!$A$2:$A$433,M$106,Acerto_Detalhado!$B$2:$B$433,$A106,Acerto_Detalhado!$C$2:$C$433,"Umidade")</f>
        <v>0</v>
      </c>
      <c r="N115" s="17" t="n">
        <f aca="false">SUM(B115:M115)</f>
        <v>0</v>
      </c>
    </row>
    <row r="117" customFormat="false" ht="15" hidden="false" customHeight="false" outlineLevel="0" collapsed="false">
      <c r="A117" s="5" t="s">
        <v>68</v>
      </c>
      <c r="B117" s="6" t="s">
        <v>39</v>
      </c>
      <c r="C117" s="6" t="s">
        <v>40</v>
      </c>
      <c r="D117" s="6" t="s">
        <v>41</v>
      </c>
      <c r="E117" s="6" t="s">
        <v>42</v>
      </c>
      <c r="F117" s="6" t="s">
        <v>43</v>
      </c>
      <c r="G117" s="6" t="s">
        <v>44</v>
      </c>
      <c r="H117" s="6" t="s">
        <v>45</v>
      </c>
      <c r="I117" s="6" t="s">
        <v>46</v>
      </c>
      <c r="J117" s="6" t="s">
        <v>47</v>
      </c>
      <c r="K117" s="6" t="s">
        <v>48</v>
      </c>
      <c r="L117" s="6" t="s">
        <v>49</v>
      </c>
      <c r="M117" s="6" t="s">
        <v>50</v>
      </c>
      <c r="N117" s="6" t="s">
        <v>51</v>
      </c>
    </row>
    <row r="118" customFormat="false" ht="15" hidden="false" customHeight="false" outlineLevel="0" collapsed="false">
      <c r="A118" s="13" t="s">
        <v>74</v>
      </c>
      <c r="B118" s="10" t="str">
        <f aca="false">IF((SUMIFS(Desconto_Cliente_Mes!$D$2:$D$433,Desconto_Cliente_Mes!$A$2:$A$433,B$117,Desconto_Cliente_Mes!$B$2:$B$433,$A117,Desconto_Cliente_Mes!$C$2:$C$433,"Umidade"))=0,"",IFERROR(SUMIFS(Desconto_Cliente_Mes!$E$2:$E$433,Desconto_Cliente_Mes!$A$2:$A$433,B$117,Desconto_Cliente_Mes!$B$2:$B$433,$A117,Desconto_Cliente_Mes!$C$2:$C$433,"Umidade"),""))</f>
        <v/>
      </c>
      <c r="C118" s="10" t="str">
        <f aca="false">IF((SUMIFS(Desconto_Cliente_Mes!$D$2:$D$433,Desconto_Cliente_Mes!$A$2:$A$433,C$117,Desconto_Cliente_Mes!$B$2:$B$433,$A117,Desconto_Cliente_Mes!$C$2:$C$433,"Umidade"))=0,"",IFERROR(SUMIFS(Desconto_Cliente_Mes!$E$2:$E$433,Desconto_Cliente_Mes!$A$2:$A$433,C$117,Desconto_Cliente_Mes!$B$2:$B$433,$A117,Desconto_Cliente_Mes!$C$2:$C$433,"Umidade"),""))</f>
        <v/>
      </c>
      <c r="D118" s="10" t="str">
        <f aca="false">IF((SUMIFS(Desconto_Cliente_Mes!$D$2:$D$433,Desconto_Cliente_Mes!$A$2:$A$433,D$117,Desconto_Cliente_Mes!$B$2:$B$433,$A117,Desconto_Cliente_Mes!$C$2:$C$433,"Umidade"))=0,"",IFERROR(SUMIFS(Desconto_Cliente_Mes!$E$2:$E$433,Desconto_Cliente_Mes!$A$2:$A$433,D$117,Desconto_Cliente_Mes!$B$2:$B$433,$A117,Desconto_Cliente_Mes!$C$2:$C$433,"Umidade"),""))</f>
        <v/>
      </c>
      <c r="E118" s="10" t="str">
        <f aca="false">IF((SUMIFS(Desconto_Cliente_Mes!$D$2:$D$433,Desconto_Cliente_Mes!$A$2:$A$433,E$117,Desconto_Cliente_Mes!$B$2:$B$433,$A117,Desconto_Cliente_Mes!$C$2:$C$433,"Umidade"))=0,"",IFERROR(SUMIFS(Desconto_Cliente_Mes!$E$2:$E$433,Desconto_Cliente_Mes!$A$2:$A$433,E$117,Desconto_Cliente_Mes!$B$2:$B$433,$A117,Desconto_Cliente_Mes!$C$2:$C$433,"Umidade"),""))</f>
        <v/>
      </c>
      <c r="F118" s="10" t="str">
        <f aca="false">IF((SUMIFS(Desconto_Cliente_Mes!$D$2:$D$433,Desconto_Cliente_Mes!$A$2:$A$433,F$117,Desconto_Cliente_Mes!$B$2:$B$433,$A117,Desconto_Cliente_Mes!$C$2:$C$433,"Umidade"))=0,"",IFERROR(SUMIFS(Desconto_Cliente_Mes!$E$2:$E$433,Desconto_Cliente_Mes!$A$2:$A$433,F$117,Desconto_Cliente_Mes!$B$2:$B$433,$A117,Desconto_Cliente_Mes!$C$2:$C$433,"Umidade"),""))</f>
        <v/>
      </c>
      <c r="G118" s="10" t="str">
        <f aca="false">IF((SUMIFS(Desconto_Cliente_Mes!$D$2:$D$433,Desconto_Cliente_Mes!$A$2:$A$433,G$117,Desconto_Cliente_Mes!$B$2:$B$433,$A117,Desconto_Cliente_Mes!$C$2:$C$433,"Umidade"))=0,"",IFERROR(SUMIFS(Desconto_Cliente_Mes!$E$2:$E$433,Desconto_Cliente_Mes!$A$2:$A$433,G$117,Desconto_Cliente_Mes!$B$2:$B$433,$A117,Desconto_Cliente_Mes!$C$2:$C$433,"Umidade"),""))</f>
        <v/>
      </c>
      <c r="H118" s="10" t="str">
        <f aca="false">IF((SUMIFS(Desconto_Cliente_Mes!$D$2:$D$433,Desconto_Cliente_Mes!$A$2:$A$433,H$117,Desconto_Cliente_Mes!$B$2:$B$433,$A117,Desconto_Cliente_Mes!$C$2:$C$433,"Umidade"))=0,"",IFERROR(SUMIFS(Desconto_Cliente_Mes!$E$2:$E$433,Desconto_Cliente_Mes!$A$2:$A$433,H$117,Desconto_Cliente_Mes!$B$2:$B$433,$A117,Desconto_Cliente_Mes!$C$2:$C$433,"Umidade"),""))</f>
        <v/>
      </c>
      <c r="I118" s="10" t="str">
        <f aca="false">IF((SUMIFS(Desconto_Cliente_Mes!$D$2:$D$433,Desconto_Cliente_Mes!$A$2:$A$433,I$117,Desconto_Cliente_Mes!$B$2:$B$433,$A117,Desconto_Cliente_Mes!$C$2:$C$433,"Umidade"))=0,"",IFERROR(SUMIFS(Desconto_Cliente_Mes!$E$2:$E$433,Desconto_Cliente_Mes!$A$2:$A$433,I$117,Desconto_Cliente_Mes!$B$2:$B$433,$A117,Desconto_Cliente_Mes!$C$2:$C$433,"Umidade"),""))</f>
        <v/>
      </c>
      <c r="J118" s="10" t="str">
        <f aca="false">IF((SUMIFS(Desconto_Cliente_Mes!$D$2:$D$433,Desconto_Cliente_Mes!$A$2:$A$433,J$117,Desconto_Cliente_Mes!$B$2:$B$433,$A117,Desconto_Cliente_Mes!$C$2:$C$433,"Umidade"))=0,"",IFERROR(SUMIFS(Desconto_Cliente_Mes!$E$2:$E$433,Desconto_Cliente_Mes!$A$2:$A$433,J$117,Desconto_Cliente_Mes!$B$2:$B$433,$A117,Desconto_Cliente_Mes!$C$2:$C$433,"Umidade"),""))</f>
        <v/>
      </c>
      <c r="K118" s="10" t="str">
        <f aca="false">IF((SUMIFS(Desconto_Cliente_Mes!$D$2:$D$433,Desconto_Cliente_Mes!$A$2:$A$433,K$117,Desconto_Cliente_Mes!$B$2:$B$433,$A117,Desconto_Cliente_Mes!$C$2:$C$433,"Umidade"))=0,"",IFERROR(SUMIFS(Desconto_Cliente_Mes!$E$2:$E$433,Desconto_Cliente_Mes!$A$2:$A$433,K$117,Desconto_Cliente_Mes!$B$2:$B$433,$A117,Desconto_Cliente_Mes!$C$2:$C$433,"Umidade"),""))</f>
        <v/>
      </c>
      <c r="L118" s="10" t="str">
        <f aca="false">IF((SUMIFS(Desconto_Cliente_Mes!$D$2:$D$433,Desconto_Cliente_Mes!$A$2:$A$433,L$117,Desconto_Cliente_Mes!$B$2:$B$433,$A117,Desconto_Cliente_Mes!$C$2:$C$433,"Umidade"))=0,"",IFERROR(SUMIFS(Desconto_Cliente_Mes!$E$2:$E$433,Desconto_Cliente_Mes!$A$2:$A$433,L$117,Desconto_Cliente_Mes!$B$2:$B$433,$A117,Desconto_Cliente_Mes!$C$2:$C$433,"Umidade"),""))</f>
        <v/>
      </c>
      <c r="M118" s="10" t="str">
        <f aca="false">IF((SUMIFS(Desconto_Cliente_Mes!$D$2:$D$433,Desconto_Cliente_Mes!$A$2:$A$433,M$117,Desconto_Cliente_Mes!$B$2:$B$433,$A117,Desconto_Cliente_Mes!$C$2:$C$433,"Umidade"))=0,"",IFERROR(SUMIFS(Desconto_Cliente_Mes!$E$2:$E$433,Desconto_Cliente_Mes!$A$2:$A$433,M$117,Desconto_Cliente_Mes!$B$2:$B$433,$A117,Desconto_Cliente_Mes!$C$2:$C$433,"Umidade"),""))</f>
        <v/>
      </c>
      <c r="N118" s="11" t="str">
        <f aca="false">IFERROR(Media_Pool_Mes!D12,"")</f>
        <v/>
      </c>
    </row>
    <row r="119" customFormat="false" ht="15" hidden="false" customHeight="false" outlineLevel="0" collapsed="false">
      <c r="A119" s="13" t="s">
        <v>75</v>
      </c>
      <c r="B119" s="8" t="n">
        <f aca="false">IFERROR(SUMIFS(Desconto_Cliente_Mes!$D$2:$D$433,Desconto_Cliente_Mes!$A$2:$A$433,B$117,Desconto_Cliente_Mes!$B$2:$B$433,$A117,Desconto_Cliente_Mes!$C$2:$C$433,"Umidade"),0)</f>
        <v>0</v>
      </c>
      <c r="C119" s="8" t="n">
        <f aca="false">IFERROR(SUMIFS(Desconto_Cliente_Mes!$D$2:$D$433,Desconto_Cliente_Mes!$A$2:$A$433,C$117,Desconto_Cliente_Mes!$B$2:$B$433,$A117,Desconto_Cliente_Mes!$C$2:$C$433,"Umidade"),0)</f>
        <v>0</v>
      </c>
      <c r="D119" s="8" t="n">
        <f aca="false">IFERROR(SUMIFS(Desconto_Cliente_Mes!$D$2:$D$433,Desconto_Cliente_Mes!$A$2:$A$433,D$117,Desconto_Cliente_Mes!$B$2:$B$433,$A117,Desconto_Cliente_Mes!$C$2:$C$433,"Umidade"),0)</f>
        <v>0</v>
      </c>
      <c r="E119" s="8" t="n">
        <f aca="false">IFERROR(SUMIFS(Desconto_Cliente_Mes!$D$2:$D$433,Desconto_Cliente_Mes!$A$2:$A$433,E$117,Desconto_Cliente_Mes!$B$2:$B$433,$A117,Desconto_Cliente_Mes!$C$2:$C$433,"Umidade"),0)</f>
        <v>0</v>
      </c>
      <c r="F119" s="8" t="n">
        <f aca="false">IFERROR(SUMIFS(Desconto_Cliente_Mes!$D$2:$D$433,Desconto_Cliente_Mes!$A$2:$A$433,F$117,Desconto_Cliente_Mes!$B$2:$B$433,$A117,Desconto_Cliente_Mes!$C$2:$C$433,"Umidade"),0)</f>
        <v>0</v>
      </c>
      <c r="G119" s="8" t="n">
        <f aca="false">IFERROR(SUMIFS(Desconto_Cliente_Mes!$D$2:$D$433,Desconto_Cliente_Mes!$A$2:$A$433,G$117,Desconto_Cliente_Mes!$B$2:$B$433,$A117,Desconto_Cliente_Mes!$C$2:$C$433,"Umidade"),0)</f>
        <v>0</v>
      </c>
      <c r="H119" s="8" t="n">
        <f aca="false">IFERROR(SUMIFS(Desconto_Cliente_Mes!$D$2:$D$433,Desconto_Cliente_Mes!$A$2:$A$433,H$117,Desconto_Cliente_Mes!$B$2:$B$433,$A117,Desconto_Cliente_Mes!$C$2:$C$433,"Umidade"),0)</f>
        <v>0</v>
      </c>
      <c r="I119" s="8" t="n">
        <f aca="false">IFERROR(SUMIFS(Desconto_Cliente_Mes!$D$2:$D$433,Desconto_Cliente_Mes!$A$2:$A$433,I$117,Desconto_Cliente_Mes!$B$2:$B$433,$A117,Desconto_Cliente_Mes!$C$2:$C$433,"Umidade"),0)</f>
        <v>0</v>
      </c>
      <c r="J119" s="8" t="n">
        <f aca="false">IFERROR(SUMIFS(Desconto_Cliente_Mes!$D$2:$D$433,Desconto_Cliente_Mes!$A$2:$A$433,J$117,Desconto_Cliente_Mes!$B$2:$B$433,$A117,Desconto_Cliente_Mes!$C$2:$C$433,"Umidade"),0)</f>
        <v>0</v>
      </c>
      <c r="K119" s="8" t="n">
        <f aca="false">IFERROR(SUMIFS(Desconto_Cliente_Mes!$D$2:$D$433,Desconto_Cliente_Mes!$A$2:$A$433,K$117,Desconto_Cliente_Mes!$B$2:$B$433,$A117,Desconto_Cliente_Mes!$C$2:$C$433,"Umidade"),0)</f>
        <v>0</v>
      </c>
      <c r="L119" s="8" t="n">
        <f aca="false">IFERROR(SUMIFS(Desconto_Cliente_Mes!$D$2:$D$433,Desconto_Cliente_Mes!$A$2:$A$433,L$117,Desconto_Cliente_Mes!$B$2:$B$433,$A117,Desconto_Cliente_Mes!$C$2:$C$433,"Umidade"),0)</f>
        <v>0</v>
      </c>
      <c r="M119" s="8" t="n">
        <f aca="false">IFERROR(SUMIFS(Desconto_Cliente_Mes!$D$2:$D$433,Desconto_Cliente_Mes!$A$2:$A$433,M$117,Desconto_Cliente_Mes!$B$2:$B$433,$A117,Desconto_Cliente_Mes!$C$2:$C$433,"Umidade"),0)</f>
        <v>0</v>
      </c>
      <c r="N119" s="9" t="n">
        <f aca="false">SUM(B119:M119)</f>
        <v>0</v>
      </c>
    </row>
    <row r="120" customFormat="false" ht="15" hidden="false" customHeight="false" outlineLevel="0" collapsed="false">
      <c r="A120" s="13" t="s">
        <v>76</v>
      </c>
      <c r="B120" s="15" t="n">
        <f aca="false">MAX(0,(SUMIFS(Desconto_Cliente_Mes!$L$2:$L$433,Desconto_Cliente_Mes!$A$2:$A$433,B$117,Desconto_Cliente_Mes!$B$2:$B$433,$A117,Desconto_Cliente_Mes!$C$2:$C$433,"Umidade"))-(SUMIFS(Desconto_Cliente_Mes!$N$2:$N$433,Desconto_Cliente_Mes!$A$2:$A$433,B$117,Desconto_Cliente_Mes!$B$2:$B$433,$A117,Desconto_Cliente_Mes!$C$2:$C$433,"Umidade")))</f>
        <v>0</v>
      </c>
      <c r="C120" s="15" t="n">
        <f aca="false">MAX(0,(SUMIFS(Desconto_Cliente_Mes!$L$2:$L$433,Desconto_Cliente_Mes!$A$2:$A$433,C$117,Desconto_Cliente_Mes!$B$2:$B$433,$A117,Desconto_Cliente_Mes!$C$2:$C$433,"Umidade"))-(SUMIFS(Desconto_Cliente_Mes!$N$2:$N$433,Desconto_Cliente_Mes!$A$2:$A$433,C$117,Desconto_Cliente_Mes!$B$2:$B$433,$A117,Desconto_Cliente_Mes!$C$2:$C$433,"Umidade")))</f>
        <v>0</v>
      </c>
      <c r="D120" s="15" t="n">
        <f aca="false">MAX(0,(SUMIFS(Desconto_Cliente_Mes!$L$2:$L$433,Desconto_Cliente_Mes!$A$2:$A$433,D$117,Desconto_Cliente_Mes!$B$2:$B$433,$A117,Desconto_Cliente_Mes!$C$2:$C$433,"Umidade"))-(SUMIFS(Desconto_Cliente_Mes!$N$2:$N$433,Desconto_Cliente_Mes!$A$2:$A$433,D$117,Desconto_Cliente_Mes!$B$2:$B$433,$A117,Desconto_Cliente_Mes!$C$2:$C$433,"Umidade")))</f>
        <v>0</v>
      </c>
      <c r="E120" s="15" t="n">
        <f aca="false">MAX(0,(SUMIFS(Desconto_Cliente_Mes!$L$2:$L$433,Desconto_Cliente_Mes!$A$2:$A$433,E$117,Desconto_Cliente_Mes!$B$2:$B$433,$A117,Desconto_Cliente_Mes!$C$2:$C$433,"Umidade"))-(SUMIFS(Desconto_Cliente_Mes!$N$2:$N$433,Desconto_Cliente_Mes!$A$2:$A$433,E$117,Desconto_Cliente_Mes!$B$2:$B$433,$A117,Desconto_Cliente_Mes!$C$2:$C$433,"Umidade")))</f>
        <v>0</v>
      </c>
      <c r="F120" s="15" t="n">
        <f aca="false">MAX(0,(SUMIFS(Desconto_Cliente_Mes!$L$2:$L$433,Desconto_Cliente_Mes!$A$2:$A$433,F$117,Desconto_Cliente_Mes!$B$2:$B$433,$A117,Desconto_Cliente_Mes!$C$2:$C$433,"Umidade"))-(SUMIFS(Desconto_Cliente_Mes!$N$2:$N$433,Desconto_Cliente_Mes!$A$2:$A$433,F$117,Desconto_Cliente_Mes!$B$2:$B$433,$A117,Desconto_Cliente_Mes!$C$2:$C$433,"Umidade")))</f>
        <v>0</v>
      </c>
      <c r="G120" s="15" t="n">
        <f aca="false">MAX(0,(SUMIFS(Desconto_Cliente_Mes!$L$2:$L$433,Desconto_Cliente_Mes!$A$2:$A$433,G$117,Desconto_Cliente_Mes!$B$2:$B$433,$A117,Desconto_Cliente_Mes!$C$2:$C$433,"Umidade"))-(SUMIFS(Desconto_Cliente_Mes!$N$2:$N$433,Desconto_Cliente_Mes!$A$2:$A$433,G$117,Desconto_Cliente_Mes!$B$2:$B$433,$A117,Desconto_Cliente_Mes!$C$2:$C$433,"Umidade")))</f>
        <v>0</v>
      </c>
      <c r="H120" s="15" t="n">
        <f aca="false">MAX(0,(SUMIFS(Desconto_Cliente_Mes!$L$2:$L$433,Desconto_Cliente_Mes!$A$2:$A$433,H$117,Desconto_Cliente_Mes!$B$2:$B$433,$A117,Desconto_Cliente_Mes!$C$2:$C$433,"Umidade"))-(SUMIFS(Desconto_Cliente_Mes!$N$2:$N$433,Desconto_Cliente_Mes!$A$2:$A$433,H$117,Desconto_Cliente_Mes!$B$2:$B$433,$A117,Desconto_Cliente_Mes!$C$2:$C$433,"Umidade")))</f>
        <v>0</v>
      </c>
      <c r="I120" s="15" t="n">
        <f aca="false">MAX(0,(SUMIFS(Desconto_Cliente_Mes!$L$2:$L$433,Desconto_Cliente_Mes!$A$2:$A$433,I$117,Desconto_Cliente_Mes!$B$2:$B$433,$A117,Desconto_Cliente_Mes!$C$2:$C$433,"Umidade"))-(SUMIFS(Desconto_Cliente_Mes!$N$2:$N$433,Desconto_Cliente_Mes!$A$2:$A$433,I$117,Desconto_Cliente_Mes!$B$2:$B$433,$A117,Desconto_Cliente_Mes!$C$2:$C$433,"Umidade")))</f>
        <v>0</v>
      </c>
      <c r="J120" s="15" t="n">
        <f aca="false">MAX(0,(SUMIFS(Desconto_Cliente_Mes!$L$2:$L$433,Desconto_Cliente_Mes!$A$2:$A$433,J$117,Desconto_Cliente_Mes!$B$2:$B$433,$A117,Desconto_Cliente_Mes!$C$2:$C$433,"Umidade"))-(SUMIFS(Desconto_Cliente_Mes!$N$2:$N$433,Desconto_Cliente_Mes!$A$2:$A$433,J$117,Desconto_Cliente_Mes!$B$2:$B$433,$A117,Desconto_Cliente_Mes!$C$2:$C$433,"Umidade")))</f>
        <v>0</v>
      </c>
      <c r="K120" s="15" t="n">
        <f aca="false">MAX(0,(SUMIFS(Desconto_Cliente_Mes!$L$2:$L$433,Desconto_Cliente_Mes!$A$2:$A$433,K$117,Desconto_Cliente_Mes!$B$2:$B$433,$A117,Desconto_Cliente_Mes!$C$2:$C$433,"Umidade"))-(SUMIFS(Desconto_Cliente_Mes!$N$2:$N$433,Desconto_Cliente_Mes!$A$2:$A$433,K$117,Desconto_Cliente_Mes!$B$2:$B$433,$A117,Desconto_Cliente_Mes!$C$2:$C$433,"Umidade")))</f>
        <v>0</v>
      </c>
      <c r="L120" s="15" t="n">
        <f aca="false">MAX(0,(SUMIFS(Desconto_Cliente_Mes!$L$2:$L$433,Desconto_Cliente_Mes!$A$2:$A$433,L$117,Desconto_Cliente_Mes!$B$2:$B$433,$A117,Desconto_Cliente_Mes!$C$2:$C$433,"Umidade"))-(SUMIFS(Desconto_Cliente_Mes!$N$2:$N$433,Desconto_Cliente_Mes!$A$2:$A$433,L$117,Desconto_Cliente_Mes!$B$2:$B$433,$A117,Desconto_Cliente_Mes!$C$2:$C$433,"Umidade")))</f>
        <v>0</v>
      </c>
      <c r="M120" s="15" t="n">
        <f aca="false">MAX(0,(SUMIFS(Desconto_Cliente_Mes!$L$2:$L$433,Desconto_Cliente_Mes!$A$2:$A$433,M$117,Desconto_Cliente_Mes!$B$2:$B$433,$A117,Desconto_Cliente_Mes!$C$2:$C$433,"Umidade"))-(SUMIFS(Desconto_Cliente_Mes!$N$2:$N$433,Desconto_Cliente_Mes!$A$2:$A$433,M$117,Desconto_Cliente_Mes!$B$2:$B$433,$A117,Desconto_Cliente_Mes!$C$2:$C$433,"Umidade")))</f>
        <v>0</v>
      </c>
    </row>
    <row r="121" customFormat="false" ht="15" hidden="false" customHeight="false" outlineLevel="0" collapsed="false">
      <c r="A121" s="13" t="s">
        <v>77</v>
      </c>
      <c r="B121" s="15" t="n">
        <f aca="false">MAX(0,(SUMIFS(Desconto_Cliente_Mes!$N$2:$N$433,Desconto_Cliente_Mes!$A$2:$A$433,B$117,Desconto_Cliente_Mes!$B$2:$B$433,$A117,Desconto_Cliente_Mes!$C$2:$C$433,"Umidade"))-(SUMIFS(Desconto_Cliente_Mes!$P$2:$P$433,Desconto_Cliente_Mes!$A$2:$A$433,B$117,Desconto_Cliente_Mes!$B$2:$B$433,$A117,Desconto_Cliente_Mes!$C$2:$C$433,"Umidade")))</f>
        <v>0</v>
      </c>
      <c r="C121" s="15" t="n">
        <f aca="false">MAX(0,(SUMIFS(Desconto_Cliente_Mes!$N$2:$N$433,Desconto_Cliente_Mes!$A$2:$A$433,C$117,Desconto_Cliente_Mes!$B$2:$B$433,$A117,Desconto_Cliente_Mes!$C$2:$C$433,"Umidade"))-(SUMIFS(Desconto_Cliente_Mes!$P$2:$P$433,Desconto_Cliente_Mes!$A$2:$A$433,C$117,Desconto_Cliente_Mes!$B$2:$B$433,$A117,Desconto_Cliente_Mes!$C$2:$C$433,"Umidade")))</f>
        <v>0</v>
      </c>
      <c r="D121" s="15" t="n">
        <f aca="false">MAX(0,(SUMIFS(Desconto_Cliente_Mes!$N$2:$N$433,Desconto_Cliente_Mes!$A$2:$A$433,D$117,Desconto_Cliente_Mes!$B$2:$B$433,$A117,Desconto_Cliente_Mes!$C$2:$C$433,"Umidade"))-(SUMIFS(Desconto_Cliente_Mes!$P$2:$P$433,Desconto_Cliente_Mes!$A$2:$A$433,D$117,Desconto_Cliente_Mes!$B$2:$B$433,$A117,Desconto_Cliente_Mes!$C$2:$C$433,"Umidade")))</f>
        <v>0</v>
      </c>
      <c r="E121" s="15" t="n">
        <f aca="false">MAX(0,(SUMIFS(Desconto_Cliente_Mes!$N$2:$N$433,Desconto_Cliente_Mes!$A$2:$A$433,E$117,Desconto_Cliente_Mes!$B$2:$B$433,$A117,Desconto_Cliente_Mes!$C$2:$C$433,"Umidade"))-(SUMIFS(Desconto_Cliente_Mes!$P$2:$P$433,Desconto_Cliente_Mes!$A$2:$A$433,E$117,Desconto_Cliente_Mes!$B$2:$B$433,$A117,Desconto_Cliente_Mes!$C$2:$C$433,"Umidade")))</f>
        <v>0</v>
      </c>
      <c r="F121" s="15" t="n">
        <f aca="false">MAX(0,(SUMIFS(Desconto_Cliente_Mes!$N$2:$N$433,Desconto_Cliente_Mes!$A$2:$A$433,F$117,Desconto_Cliente_Mes!$B$2:$B$433,$A117,Desconto_Cliente_Mes!$C$2:$C$433,"Umidade"))-(SUMIFS(Desconto_Cliente_Mes!$P$2:$P$433,Desconto_Cliente_Mes!$A$2:$A$433,F$117,Desconto_Cliente_Mes!$B$2:$B$433,$A117,Desconto_Cliente_Mes!$C$2:$C$433,"Umidade")))</f>
        <v>0</v>
      </c>
      <c r="G121" s="15" t="n">
        <f aca="false">MAX(0,(SUMIFS(Desconto_Cliente_Mes!$N$2:$N$433,Desconto_Cliente_Mes!$A$2:$A$433,G$117,Desconto_Cliente_Mes!$B$2:$B$433,$A117,Desconto_Cliente_Mes!$C$2:$C$433,"Umidade"))-(SUMIFS(Desconto_Cliente_Mes!$P$2:$P$433,Desconto_Cliente_Mes!$A$2:$A$433,G$117,Desconto_Cliente_Mes!$B$2:$B$433,$A117,Desconto_Cliente_Mes!$C$2:$C$433,"Umidade")))</f>
        <v>0</v>
      </c>
      <c r="H121" s="15" t="n">
        <f aca="false">MAX(0,(SUMIFS(Desconto_Cliente_Mes!$N$2:$N$433,Desconto_Cliente_Mes!$A$2:$A$433,H$117,Desconto_Cliente_Mes!$B$2:$B$433,$A117,Desconto_Cliente_Mes!$C$2:$C$433,"Umidade"))-(SUMIFS(Desconto_Cliente_Mes!$P$2:$P$433,Desconto_Cliente_Mes!$A$2:$A$433,H$117,Desconto_Cliente_Mes!$B$2:$B$433,$A117,Desconto_Cliente_Mes!$C$2:$C$433,"Umidade")))</f>
        <v>0</v>
      </c>
      <c r="I121" s="15" t="n">
        <f aca="false">MAX(0,(SUMIFS(Desconto_Cliente_Mes!$N$2:$N$433,Desconto_Cliente_Mes!$A$2:$A$433,I$117,Desconto_Cliente_Mes!$B$2:$B$433,$A117,Desconto_Cliente_Mes!$C$2:$C$433,"Umidade"))-(SUMIFS(Desconto_Cliente_Mes!$P$2:$P$433,Desconto_Cliente_Mes!$A$2:$A$433,I$117,Desconto_Cliente_Mes!$B$2:$B$433,$A117,Desconto_Cliente_Mes!$C$2:$C$433,"Umidade")))</f>
        <v>0</v>
      </c>
      <c r="J121" s="15" t="n">
        <f aca="false">MAX(0,(SUMIFS(Desconto_Cliente_Mes!$N$2:$N$433,Desconto_Cliente_Mes!$A$2:$A$433,J$117,Desconto_Cliente_Mes!$B$2:$B$433,$A117,Desconto_Cliente_Mes!$C$2:$C$433,"Umidade"))-(SUMIFS(Desconto_Cliente_Mes!$P$2:$P$433,Desconto_Cliente_Mes!$A$2:$A$433,J$117,Desconto_Cliente_Mes!$B$2:$B$433,$A117,Desconto_Cliente_Mes!$C$2:$C$433,"Umidade")))</f>
        <v>0</v>
      </c>
      <c r="K121" s="15" t="n">
        <f aca="false">MAX(0,(SUMIFS(Desconto_Cliente_Mes!$N$2:$N$433,Desconto_Cliente_Mes!$A$2:$A$433,K$117,Desconto_Cliente_Mes!$B$2:$B$433,$A117,Desconto_Cliente_Mes!$C$2:$C$433,"Umidade"))-(SUMIFS(Desconto_Cliente_Mes!$P$2:$P$433,Desconto_Cliente_Mes!$A$2:$A$433,K$117,Desconto_Cliente_Mes!$B$2:$B$433,$A117,Desconto_Cliente_Mes!$C$2:$C$433,"Umidade")))</f>
        <v>0</v>
      </c>
      <c r="L121" s="15" t="n">
        <f aca="false">MAX(0,(SUMIFS(Desconto_Cliente_Mes!$N$2:$N$433,Desconto_Cliente_Mes!$A$2:$A$433,L$117,Desconto_Cliente_Mes!$B$2:$B$433,$A117,Desconto_Cliente_Mes!$C$2:$C$433,"Umidade"))-(SUMIFS(Desconto_Cliente_Mes!$P$2:$P$433,Desconto_Cliente_Mes!$A$2:$A$433,L$117,Desconto_Cliente_Mes!$B$2:$B$433,$A117,Desconto_Cliente_Mes!$C$2:$C$433,"Umidade")))</f>
        <v>0</v>
      </c>
      <c r="M121" s="15" t="n">
        <f aca="false">MAX(0,(SUMIFS(Desconto_Cliente_Mes!$N$2:$N$433,Desconto_Cliente_Mes!$A$2:$A$433,M$117,Desconto_Cliente_Mes!$B$2:$B$433,$A117,Desconto_Cliente_Mes!$C$2:$C$433,"Umidade"))-(SUMIFS(Desconto_Cliente_Mes!$P$2:$P$433,Desconto_Cliente_Mes!$A$2:$A$433,M$117,Desconto_Cliente_Mes!$B$2:$B$433,$A117,Desconto_Cliente_Mes!$C$2:$C$433,"Umidade")))</f>
        <v>0</v>
      </c>
    </row>
    <row r="122" customFormat="false" ht="15" hidden="false" customHeight="false" outlineLevel="0" collapsed="false">
      <c r="A122" s="13" t="s">
        <v>78</v>
      </c>
      <c r="B122" s="15" t="n">
        <f aca="false">MAX(0,SUMIFS(Desconto_Cliente_Mes!$P$2:$P$433,Desconto_Cliente_Mes!$A$2:$A$433,B$117,Desconto_Cliente_Mes!$B$2:$B$433,$A117,Desconto_Cliente_Mes!$C$2:$C$433,"Umidade"))</f>
        <v>0</v>
      </c>
      <c r="C122" s="15" t="n">
        <f aca="false">MAX(0,SUMIFS(Desconto_Cliente_Mes!$P$2:$P$433,Desconto_Cliente_Mes!$A$2:$A$433,C$117,Desconto_Cliente_Mes!$B$2:$B$433,$A117,Desconto_Cliente_Mes!$C$2:$C$433,"Umidade"))</f>
        <v>0</v>
      </c>
      <c r="D122" s="15" t="n">
        <f aca="false">MAX(0,SUMIFS(Desconto_Cliente_Mes!$P$2:$P$433,Desconto_Cliente_Mes!$A$2:$A$433,D$117,Desconto_Cliente_Mes!$B$2:$B$433,$A117,Desconto_Cliente_Mes!$C$2:$C$433,"Umidade"))</f>
        <v>0</v>
      </c>
      <c r="E122" s="15" t="n">
        <f aca="false">MAX(0,SUMIFS(Desconto_Cliente_Mes!$P$2:$P$433,Desconto_Cliente_Mes!$A$2:$A$433,E$117,Desconto_Cliente_Mes!$B$2:$B$433,$A117,Desconto_Cliente_Mes!$C$2:$C$433,"Umidade"))</f>
        <v>0</v>
      </c>
      <c r="F122" s="15" t="n">
        <f aca="false">MAX(0,SUMIFS(Desconto_Cliente_Mes!$P$2:$P$433,Desconto_Cliente_Mes!$A$2:$A$433,F$117,Desconto_Cliente_Mes!$B$2:$B$433,$A117,Desconto_Cliente_Mes!$C$2:$C$433,"Umidade"))</f>
        <v>0</v>
      </c>
      <c r="G122" s="15" t="n">
        <f aca="false">MAX(0,SUMIFS(Desconto_Cliente_Mes!$P$2:$P$433,Desconto_Cliente_Mes!$A$2:$A$433,G$117,Desconto_Cliente_Mes!$B$2:$B$433,$A117,Desconto_Cliente_Mes!$C$2:$C$433,"Umidade"))</f>
        <v>0</v>
      </c>
      <c r="H122" s="15" t="n">
        <f aca="false">MAX(0,SUMIFS(Desconto_Cliente_Mes!$P$2:$P$433,Desconto_Cliente_Mes!$A$2:$A$433,H$117,Desconto_Cliente_Mes!$B$2:$B$433,$A117,Desconto_Cliente_Mes!$C$2:$C$433,"Umidade"))</f>
        <v>0</v>
      </c>
      <c r="I122" s="15" t="n">
        <f aca="false">MAX(0,SUMIFS(Desconto_Cliente_Mes!$P$2:$P$433,Desconto_Cliente_Mes!$A$2:$A$433,I$117,Desconto_Cliente_Mes!$B$2:$B$433,$A117,Desconto_Cliente_Mes!$C$2:$C$433,"Umidade"))</f>
        <v>0</v>
      </c>
      <c r="J122" s="15" t="n">
        <f aca="false">MAX(0,SUMIFS(Desconto_Cliente_Mes!$P$2:$P$433,Desconto_Cliente_Mes!$A$2:$A$433,J$117,Desconto_Cliente_Mes!$B$2:$B$433,$A117,Desconto_Cliente_Mes!$C$2:$C$433,"Umidade"))</f>
        <v>0</v>
      </c>
      <c r="K122" s="15" t="n">
        <f aca="false">MAX(0,SUMIFS(Desconto_Cliente_Mes!$P$2:$P$433,Desconto_Cliente_Mes!$A$2:$A$433,K$117,Desconto_Cliente_Mes!$B$2:$B$433,$A117,Desconto_Cliente_Mes!$C$2:$C$433,"Umidade"))</f>
        <v>0</v>
      </c>
      <c r="L122" s="15" t="n">
        <f aca="false">MAX(0,SUMIFS(Desconto_Cliente_Mes!$P$2:$P$433,Desconto_Cliente_Mes!$A$2:$A$433,L$117,Desconto_Cliente_Mes!$B$2:$B$433,$A117,Desconto_Cliente_Mes!$C$2:$C$433,"Umidade"))</f>
        <v>0</v>
      </c>
      <c r="M122" s="15" t="n">
        <f aca="false">MAX(0,SUMIFS(Desconto_Cliente_Mes!$P$2:$P$433,Desconto_Cliente_Mes!$A$2:$A$433,M$117,Desconto_Cliente_Mes!$B$2:$B$433,$A117,Desconto_Cliente_Mes!$C$2:$C$433,"Umidade"))</f>
        <v>0</v>
      </c>
    </row>
    <row r="123" customFormat="false" ht="15" hidden="false" customHeight="false" outlineLevel="0" collapsed="false">
      <c r="A123" s="13" t="s">
        <v>79</v>
      </c>
      <c r="B123" s="16" t="n">
        <f aca="false">$B$119*($B$120/100)*(SUMIFS(Desconto_Cliente_Mes!$Q$2:$Q$433,Desconto_Cliente_Mes!$A$2:$A$433,B$117,Desconto_Cliente_Mes!$B$2:$B$433,$A117,Desconto_Cliente_Mes!$C$2:$C$433,"Umidade"))*(SUMIFS(Desconto_Cliente_Mes!$T$2:$T$433,Desconto_Cliente_Mes!$A$2:$A$433,B$117,Desconto_Cliente_Mes!$B$2:$B$433,$A117,Desconto_Cliente_Mes!$C$2:$C$433,"Umidade"))</f>
        <v>0</v>
      </c>
      <c r="C123" s="16" t="n">
        <f aca="false">$C$119*($C$120/100)*(SUMIFS(Desconto_Cliente_Mes!$Q$2:$Q$433,Desconto_Cliente_Mes!$A$2:$A$433,C$117,Desconto_Cliente_Mes!$B$2:$B$433,$A117,Desconto_Cliente_Mes!$C$2:$C$433,"Umidade"))*(SUMIFS(Desconto_Cliente_Mes!$T$2:$T$433,Desconto_Cliente_Mes!$A$2:$A$433,C$117,Desconto_Cliente_Mes!$B$2:$B$433,$A117,Desconto_Cliente_Mes!$C$2:$C$433,"Umidade"))</f>
        <v>0</v>
      </c>
      <c r="D123" s="16" t="n">
        <f aca="false">$D$119*($D$120/100)*(SUMIFS(Desconto_Cliente_Mes!$Q$2:$Q$433,Desconto_Cliente_Mes!$A$2:$A$433,D$117,Desconto_Cliente_Mes!$B$2:$B$433,$A117,Desconto_Cliente_Mes!$C$2:$C$433,"Umidade"))*(SUMIFS(Desconto_Cliente_Mes!$T$2:$T$433,Desconto_Cliente_Mes!$A$2:$A$433,D$117,Desconto_Cliente_Mes!$B$2:$B$433,$A117,Desconto_Cliente_Mes!$C$2:$C$433,"Umidade"))</f>
        <v>0</v>
      </c>
      <c r="E123" s="16" t="n">
        <f aca="false">$E$119*($E$120/100)*(SUMIFS(Desconto_Cliente_Mes!$Q$2:$Q$433,Desconto_Cliente_Mes!$A$2:$A$433,E$117,Desconto_Cliente_Mes!$B$2:$B$433,$A117,Desconto_Cliente_Mes!$C$2:$C$433,"Umidade"))*(SUMIFS(Desconto_Cliente_Mes!$T$2:$T$433,Desconto_Cliente_Mes!$A$2:$A$433,E$117,Desconto_Cliente_Mes!$B$2:$B$433,$A117,Desconto_Cliente_Mes!$C$2:$C$433,"Umidade"))</f>
        <v>0</v>
      </c>
      <c r="F123" s="16" t="n">
        <f aca="false">$F$119*($F$120/100)*(SUMIFS(Desconto_Cliente_Mes!$Q$2:$Q$433,Desconto_Cliente_Mes!$A$2:$A$433,F$117,Desconto_Cliente_Mes!$B$2:$B$433,$A117,Desconto_Cliente_Mes!$C$2:$C$433,"Umidade"))*(SUMIFS(Desconto_Cliente_Mes!$T$2:$T$433,Desconto_Cliente_Mes!$A$2:$A$433,F$117,Desconto_Cliente_Mes!$B$2:$B$433,$A117,Desconto_Cliente_Mes!$C$2:$C$433,"Umidade"))</f>
        <v>0</v>
      </c>
      <c r="G123" s="16" t="n">
        <f aca="false">$G$119*($G$120/100)*(SUMIFS(Desconto_Cliente_Mes!$Q$2:$Q$433,Desconto_Cliente_Mes!$A$2:$A$433,G$117,Desconto_Cliente_Mes!$B$2:$B$433,$A117,Desconto_Cliente_Mes!$C$2:$C$433,"Umidade"))*(SUMIFS(Desconto_Cliente_Mes!$T$2:$T$433,Desconto_Cliente_Mes!$A$2:$A$433,G$117,Desconto_Cliente_Mes!$B$2:$B$433,$A117,Desconto_Cliente_Mes!$C$2:$C$433,"Umidade"))</f>
        <v>0</v>
      </c>
      <c r="H123" s="16" t="n">
        <f aca="false">$H$119*($H$120/100)*(SUMIFS(Desconto_Cliente_Mes!$Q$2:$Q$433,Desconto_Cliente_Mes!$A$2:$A$433,H$117,Desconto_Cliente_Mes!$B$2:$B$433,$A117,Desconto_Cliente_Mes!$C$2:$C$433,"Umidade"))*(SUMIFS(Desconto_Cliente_Mes!$T$2:$T$433,Desconto_Cliente_Mes!$A$2:$A$433,H$117,Desconto_Cliente_Mes!$B$2:$B$433,$A117,Desconto_Cliente_Mes!$C$2:$C$433,"Umidade"))</f>
        <v>0</v>
      </c>
      <c r="I123" s="16" t="n">
        <f aca="false">$I$119*($I$120/100)*(SUMIFS(Desconto_Cliente_Mes!$Q$2:$Q$433,Desconto_Cliente_Mes!$A$2:$A$433,I$117,Desconto_Cliente_Mes!$B$2:$B$433,$A117,Desconto_Cliente_Mes!$C$2:$C$433,"Umidade"))*(SUMIFS(Desconto_Cliente_Mes!$T$2:$T$433,Desconto_Cliente_Mes!$A$2:$A$433,I$117,Desconto_Cliente_Mes!$B$2:$B$433,$A117,Desconto_Cliente_Mes!$C$2:$C$433,"Umidade"))</f>
        <v>0</v>
      </c>
      <c r="J123" s="16" t="n">
        <f aca="false">$J$119*($J$120/100)*(SUMIFS(Desconto_Cliente_Mes!$Q$2:$Q$433,Desconto_Cliente_Mes!$A$2:$A$433,J$117,Desconto_Cliente_Mes!$B$2:$B$433,$A117,Desconto_Cliente_Mes!$C$2:$C$433,"Umidade"))*(SUMIFS(Desconto_Cliente_Mes!$T$2:$T$433,Desconto_Cliente_Mes!$A$2:$A$433,J$117,Desconto_Cliente_Mes!$B$2:$B$433,$A117,Desconto_Cliente_Mes!$C$2:$C$433,"Umidade"))</f>
        <v>0</v>
      </c>
      <c r="K123" s="16" t="n">
        <f aca="false">$K$119*($K$120/100)*(SUMIFS(Desconto_Cliente_Mes!$Q$2:$Q$433,Desconto_Cliente_Mes!$A$2:$A$433,K$117,Desconto_Cliente_Mes!$B$2:$B$433,$A117,Desconto_Cliente_Mes!$C$2:$C$433,"Umidade"))*(SUMIFS(Desconto_Cliente_Mes!$T$2:$T$433,Desconto_Cliente_Mes!$A$2:$A$433,K$117,Desconto_Cliente_Mes!$B$2:$B$433,$A117,Desconto_Cliente_Mes!$C$2:$C$433,"Umidade"))</f>
        <v>0</v>
      </c>
      <c r="L123" s="16" t="n">
        <f aca="false">$L$119*($L$120/100)*(SUMIFS(Desconto_Cliente_Mes!$Q$2:$Q$433,Desconto_Cliente_Mes!$A$2:$A$433,L$117,Desconto_Cliente_Mes!$B$2:$B$433,$A117,Desconto_Cliente_Mes!$C$2:$C$433,"Umidade"))*(SUMIFS(Desconto_Cliente_Mes!$T$2:$T$433,Desconto_Cliente_Mes!$A$2:$A$433,L$117,Desconto_Cliente_Mes!$B$2:$B$433,$A117,Desconto_Cliente_Mes!$C$2:$C$433,"Umidade"))</f>
        <v>0</v>
      </c>
      <c r="M123" s="16" t="n">
        <f aca="false">$M$119*($M$120/100)*(SUMIFS(Desconto_Cliente_Mes!$Q$2:$Q$433,Desconto_Cliente_Mes!$A$2:$A$433,M$117,Desconto_Cliente_Mes!$B$2:$B$433,$A117,Desconto_Cliente_Mes!$C$2:$C$433,"Umidade"))*(SUMIFS(Desconto_Cliente_Mes!$T$2:$T$433,Desconto_Cliente_Mes!$A$2:$A$433,M$117,Desconto_Cliente_Mes!$B$2:$B$433,$A117,Desconto_Cliente_Mes!$C$2:$C$433,"Umidade"))</f>
        <v>0</v>
      </c>
      <c r="N123" s="17" t="n">
        <f aca="false">SUM(B123:M123)</f>
        <v>0</v>
      </c>
    </row>
    <row r="124" customFormat="false" ht="15" hidden="false" customHeight="false" outlineLevel="0" collapsed="false">
      <c r="A124" s="13" t="s">
        <v>80</v>
      </c>
      <c r="B124" s="16" t="n">
        <f aca="false">$B$119*($B$121/100)*((IF(SUMIFS(Desconto_Cliente_Mes!$R$2:$R$433,Desconto_Cliente_Mes!$A$2:$A$433,B$117,Desconto_Cliente_Mes!$B$2:$B$433,$A117,Desconto_Cliente_Mes!$C$2:$C$433,"Umidade")="",SUMIFS(Desconto_Cliente_Mes!$Q$2:$Q$433,Desconto_Cliente_Mes!$A$2:$A$433,B$117,Desconto_Cliente_Mes!$B$2:$B$433,$A117,Desconto_Cliente_Mes!$C$2:$C$433,"Umidade"),SUMIFS(Desconto_Cliente_Mes!$R$2:$R$433,Desconto_Cliente_Mes!$A$2:$A$433,B$117,Desconto_Cliente_Mes!$B$2:$B$433,$A117,Desconto_Cliente_Mes!$C$2:$C$433,"Umidade")))-(SUMIFS(Desconto_Cliente_Mes!$Q$2:$Q$433,Desconto_Cliente_Mes!$A$2:$A$433,B$117,Desconto_Cliente_Mes!$B$2:$B$433,$A117,Desconto_Cliente_Mes!$C$2:$C$433,"Umidade")))*(SUMIFS(Desconto_Cliente_Mes!$T$2:$T$433,Desconto_Cliente_Mes!$A$2:$A$433,B$117,Desconto_Cliente_Mes!$B$2:$B$433,$A117,Desconto_Cliente_Mes!$C$2:$C$433,"Umidade"))</f>
        <v>-0</v>
      </c>
      <c r="C124" s="16" t="n">
        <f aca="false">$C$119*($C$121/100)*((IF(SUMIFS(Desconto_Cliente_Mes!$R$2:$R$433,Desconto_Cliente_Mes!$A$2:$A$433,C$117,Desconto_Cliente_Mes!$B$2:$B$433,$A117,Desconto_Cliente_Mes!$C$2:$C$433,"Umidade")="",SUMIFS(Desconto_Cliente_Mes!$Q$2:$Q$433,Desconto_Cliente_Mes!$A$2:$A$433,C$117,Desconto_Cliente_Mes!$B$2:$B$433,$A117,Desconto_Cliente_Mes!$C$2:$C$433,"Umidade"),SUMIFS(Desconto_Cliente_Mes!$R$2:$R$433,Desconto_Cliente_Mes!$A$2:$A$433,C$117,Desconto_Cliente_Mes!$B$2:$B$433,$A117,Desconto_Cliente_Mes!$C$2:$C$433,"Umidade")))-(SUMIFS(Desconto_Cliente_Mes!$Q$2:$Q$433,Desconto_Cliente_Mes!$A$2:$A$433,C$117,Desconto_Cliente_Mes!$B$2:$B$433,$A117,Desconto_Cliente_Mes!$C$2:$C$433,"Umidade")))*(SUMIFS(Desconto_Cliente_Mes!$T$2:$T$433,Desconto_Cliente_Mes!$A$2:$A$433,C$117,Desconto_Cliente_Mes!$B$2:$B$433,$A117,Desconto_Cliente_Mes!$C$2:$C$433,"Umidade"))</f>
        <v>-0</v>
      </c>
      <c r="D124" s="16" t="n">
        <f aca="false">$D$119*($D$121/100)*((IF(SUMIFS(Desconto_Cliente_Mes!$R$2:$R$433,Desconto_Cliente_Mes!$A$2:$A$433,D$117,Desconto_Cliente_Mes!$B$2:$B$433,$A117,Desconto_Cliente_Mes!$C$2:$C$433,"Umidade")="",SUMIFS(Desconto_Cliente_Mes!$Q$2:$Q$433,Desconto_Cliente_Mes!$A$2:$A$433,D$117,Desconto_Cliente_Mes!$B$2:$B$433,$A117,Desconto_Cliente_Mes!$C$2:$C$433,"Umidade"),SUMIFS(Desconto_Cliente_Mes!$R$2:$R$433,Desconto_Cliente_Mes!$A$2:$A$433,D$117,Desconto_Cliente_Mes!$B$2:$B$433,$A117,Desconto_Cliente_Mes!$C$2:$C$433,"Umidade")))-(SUMIFS(Desconto_Cliente_Mes!$Q$2:$Q$433,Desconto_Cliente_Mes!$A$2:$A$433,D$117,Desconto_Cliente_Mes!$B$2:$B$433,$A117,Desconto_Cliente_Mes!$C$2:$C$433,"Umidade")))*(SUMIFS(Desconto_Cliente_Mes!$T$2:$T$433,Desconto_Cliente_Mes!$A$2:$A$433,D$117,Desconto_Cliente_Mes!$B$2:$B$433,$A117,Desconto_Cliente_Mes!$C$2:$C$433,"Umidade"))</f>
        <v>-0</v>
      </c>
      <c r="E124" s="16" t="n">
        <f aca="false">$E$119*($E$121/100)*((IF(SUMIFS(Desconto_Cliente_Mes!$R$2:$R$433,Desconto_Cliente_Mes!$A$2:$A$433,E$117,Desconto_Cliente_Mes!$B$2:$B$433,$A117,Desconto_Cliente_Mes!$C$2:$C$433,"Umidade")="",SUMIFS(Desconto_Cliente_Mes!$Q$2:$Q$433,Desconto_Cliente_Mes!$A$2:$A$433,E$117,Desconto_Cliente_Mes!$B$2:$B$433,$A117,Desconto_Cliente_Mes!$C$2:$C$433,"Umidade"),SUMIFS(Desconto_Cliente_Mes!$R$2:$R$433,Desconto_Cliente_Mes!$A$2:$A$433,E$117,Desconto_Cliente_Mes!$B$2:$B$433,$A117,Desconto_Cliente_Mes!$C$2:$C$433,"Umidade")))-(SUMIFS(Desconto_Cliente_Mes!$Q$2:$Q$433,Desconto_Cliente_Mes!$A$2:$A$433,E$117,Desconto_Cliente_Mes!$B$2:$B$433,$A117,Desconto_Cliente_Mes!$C$2:$C$433,"Umidade")))*(SUMIFS(Desconto_Cliente_Mes!$T$2:$T$433,Desconto_Cliente_Mes!$A$2:$A$433,E$117,Desconto_Cliente_Mes!$B$2:$B$433,$A117,Desconto_Cliente_Mes!$C$2:$C$433,"Umidade"))</f>
        <v>-0</v>
      </c>
      <c r="F124" s="16" t="n">
        <f aca="false">$F$119*($F$121/100)*((IF(SUMIFS(Desconto_Cliente_Mes!$R$2:$R$433,Desconto_Cliente_Mes!$A$2:$A$433,F$117,Desconto_Cliente_Mes!$B$2:$B$433,$A117,Desconto_Cliente_Mes!$C$2:$C$433,"Umidade")="",SUMIFS(Desconto_Cliente_Mes!$Q$2:$Q$433,Desconto_Cliente_Mes!$A$2:$A$433,F$117,Desconto_Cliente_Mes!$B$2:$B$433,$A117,Desconto_Cliente_Mes!$C$2:$C$433,"Umidade"),SUMIFS(Desconto_Cliente_Mes!$R$2:$R$433,Desconto_Cliente_Mes!$A$2:$A$433,F$117,Desconto_Cliente_Mes!$B$2:$B$433,$A117,Desconto_Cliente_Mes!$C$2:$C$433,"Umidade")))-(SUMIFS(Desconto_Cliente_Mes!$Q$2:$Q$433,Desconto_Cliente_Mes!$A$2:$A$433,F$117,Desconto_Cliente_Mes!$B$2:$B$433,$A117,Desconto_Cliente_Mes!$C$2:$C$433,"Umidade")))*(SUMIFS(Desconto_Cliente_Mes!$T$2:$T$433,Desconto_Cliente_Mes!$A$2:$A$433,F$117,Desconto_Cliente_Mes!$B$2:$B$433,$A117,Desconto_Cliente_Mes!$C$2:$C$433,"Umidade"))</f>
        <v>-0</v>
      </c>
      <c r="G124" s="16" t="n">
        <f aca="false">$G$119*($G$121/100)*((IF(SUMIFS(Desconto_Cliente_Mes!$R$2:$R$433,Desconto_Cliente_Mes!$A$2:$A$433,G$117,Desconto_Cliente_Mes!$B$2:$B$433,$A117,Desconto_Cliente_Mes!$C$2:$C$433,"Umidade")="",SUMIFS(Desconto_Cliente_Mes!$Q$2:$Q$433,Desconto_Cliente_Mes!$A$2:$A$433,G$117,Desconto_Cliente_Mes!$B$2:$B$433,$A117,Desconto_Cliente_Mes!$C$2:$C$433,"Umidade"),SUMIFS(Desconto_Cliente_Mes!$R$2:$R$433,Desconto_Cliente_Mes!$A$2:$A$433,G$117,Desconto_Cliente_Mes!$B$2:$B$433,$A117,Desconto_Cliente_Mes!$C$2:$C$433,"Umidade")))-(SUMIFS(Desconto_Cliente_Mes!$Q$2:$Q$433,Desconto_Cliente_Mes!$A$2:$A$433,G$117,Desconto_Cliente_Mes!$B$2:$B$433,$A117,Desconto_Cliente_Mes!$C$2:$C$433,"Umidade")))*(SUMIFS(Desconto_Cliente_Mes!$T$2:$T$433,Desconto_Cliente_Mes!$A$2:$A$433,G$117,Desconto_Cliente_Mes!$B$2:$B$433,$A117,Desconto_Cliente_Mes!$C$2:$C$433,"Umidade"))</f>
        <v>-0</v>
      </c>
      <c r="H124" s="16" t="n">
        <f aca="false">$H$119*($H$121/100)*((IF(SUMIFS(Desconto_Cliente_Mes!$R$2:$R$433,Desconto_Cliente_Mes!$A$2:$A$433,H$117,Desconto_Cliente_Mes!$B$2:$B$433,$A117,Desconto_Cliente_Mes!$C$2:$C$433,"Umidade")="",SUMIFS(Desconto_Cliente_Mes!$Q$2:$Q$433,Desconto_Cliente_Mes!$A$2:$A$433,H$117,Desconto_Cliente_Mes!$B$2:$B$433,$A117,Desconto_Cliente_Mes!$C$2:$C$433,"Umidade"),SUMIFS(Desconto_Cliente_Mes!$R$2:$R$433,Desconto_Cliente_Mes!$A$2:$A$433,H$117,Desconto_Cliente_Mes!$B$2:$B$433,$A117,Desconto_Cliente_Mes!$C$2:$C$433,"Umidade")))-(SUMIFS(Desconto_Cliente_Mes!$Q$2:$Q$433,Desconto_Cliente_Mes!$A$2:$A$433,H$117,Desconto_Cliente_Mes!$B$2:$B$433,$A117,Desconto_Cliente_Mes!$C$2:$C$433,"Umidade")))*(SUMIFS(Desconto_Cliente_Mes!$T$2:$T$433,Desconto_Cliente_Mes!$A$2:$A$433,H$117,Desconto_Cliente_Mes!$B$2:$B$433,$A117,Desconto_Cliente_Mes!$C$2:$C$433,"Umidade"))</f>
        <v>-0</v>
      </c>
      <c r="I124" s="16" t="n">
        <f aca="false">$I$119*($I$121/100)*((IF(SUMIFS(Desconto_Cliente_Mes!$R$2:$R$433,Desconto_Cliente_Mes!$A$2:$A$433,I$117,Desconto_Cliente_Mes!$B$2:$B$433,$A117,Desconto_Cliente_Mes!$C$2:$C$433,"Umidade")="",SUMIFS(Desconto_Cliente_Mes!$Q$2:$Q$433,Desconto_Cliente_Mes!$A$2:$A$433,I$117,Desconto_Cliente_Mes!$B$2:$B$433,$A117,Desconto_Cliente_Mes!$C$2:$C$433,"Umidade"),SUMIFS(Desconto_Cliente_Mes!$R$2:$R$433,Desconto_Cliente_Mes!$A$2:$A$433,I$117,Desconto_Cliente_Mes!$B$2:$B$433,$A117,Desconto_Cliente_Mes!$C$2:$C$433,"Umidade")))-(SUMIFS(Desconto_Cliente_Mes!$Q$2:$Q$433,Desconto_Cliente_Mes!$A$2:$A$433,I$117,Desconto_Cliente_Mes!$B$2:$B$433,$A117,Desconto_Cliente_Mes!$C$2:$C$433,"Umidade")))*(SUMIFS(Desconto_Cliente_Mes!$T$2:$T$433,Desconto_Cliente_Mes!$A$2:$A$433,I$117,Desconto_Cliente_Mes!$B$2:$B$433,$A117,Desconto_Cliente_Mes!$C$2:$C$433,"Umidade"))</f>
        <v>-0</v>
      </c>
      <c r="J124" s="16" t="n">
        <f aca="false">$J$119*($J$121/100)*((IF(SUMIFS(Desconto_Cliente_Mes!$R$2:$R$433,Desconto_Cliente_Mes!$A$2:$A$433,J$117,Desconto_Cliente_Mes!$B$2:$B$433,$A117,Desconto_Cliente_Mes!$C$2:$C$433,"Umidade")="",SUMIFS(Desconto_Cliente_Mes!$Q$2:$Q$433,Desconto_Cliente_Mes!$A$2:$A$433,J$117,Desconto_Cliente_Mes!$B$2:$B$433,$A117,Desconto_Cliente_Mes!$C$2:$C$433,"Umidade"),SUMIFS(Desconto_Cliente_Mes!$R$2:$R$433,Desconto_Cliente_Mes!$A$2:$A$433,J$117,Desconto_Cliente_Mes!$B$2:$B$433,$A117,Desconto_Cliente_Mes!$C$2:$C$433,"Umidade")))-(SUMIFS(Desconto_Cliente_Mes!$Q$2:$Q$433,Desconto_Cliente_Mes!$A$2:$A$433,J$117,Desconto_Cliente_Mes!$B$2:$B$433,$A117,Desconto_Cliente_Mes!$C$2:$C$433,"Umidade")))*(SUMIFS(Desconto_Cliente_Mes!$T$2:$T$433,Desconto_Cliente_Mes!$A$2:$A$433,J$117,Desconto_Cliente_Mes!$B$2:$B$433,$A117,Desconto_Cliente_Mes!$C$2:$C$433,"Umidade"))</f>
        <v>-0</v>
      </c>
      <c r="K124" s="16" t="n">
        <f aca="false">$K$119*($K$121/100)*((IF(SUMIFS(Desconto_Cliente_Mes!$R$2:$R$433,Desconto_Cliente_Mes!$A$2:$A$433,K$117,Desconto_Cliente_Mes!$B$2:$B$433,$A117,Desconto_Cliente_Mes!$C$2:$C$433,"Umidade")="",SUMIFS(Desconto_Cliente_Mes!$Q$2:$Q$433,Desconto_Cliente_Mes!$A$2:$A$433,K$117,Desconto_Cliente_Mes!$B$2:$B$433,$A117,Desconto_Cliente_Mes!$C$2:$C$433,"Umidade"),SUMIFS(Desconto_Cliente_Mes!$R$2:$R$433,Desconto_Cliente_Mes!$A$2:$A$433,K$117,Desconto_Cliente_Mes!$B$2:$B$433,$A117,Desconto_Cliente_Mes!$C$2:$C$433,"Umidade")))-(SUMIFS(Desconto_Cliente_Mes!$Q$2:$Q$433,Desconto_Cliente_Mes!$A$2:$A$433,K$117,Desconto_Cliente_Mes!$B$2:$B$433,$A117,Desconto_Cliente_Mes!$C$2:$C$433,"Umidade")))*(SUMIFS(Desconto_Cliente_Mes!$T$2:$T$433,Desconto_Cliente_Mes!$A$2:$A$433,K$117,Desconto_Cliente_Mes!$B$2:$B$433,$A117,Desconto_Cliente_Mes!$C$2:$C$433,"Umidade"))</f>
        <v>-0</v>
      </c>
      <c r="L124" s="16" t="n">
        <f aca="false">$L$119*($L$121/100)*((IF(SUMIFS(Desconto_Cliente_Mes!$R$2:$R$433,Desconto_Cliente_Mes!$A$2:$A$433,L$117,Desconto_Cliente_Mes!$B$2:$B$433,$A117,Desconto_Cliente_Mes!$C$2:$C$433,"Umidade")="",SUMIFS(Desconto_Cliente_Mes!$Q$2:$Q$433,Desconto_Cliente_Mes!$A$2:$A$433,L$117,Desconto_Cliente_Mes!$B$2:$B$433,$A117,Desconto_Cliente_Mes!$C$2:$C$433,"Umidade"),SUMIFS(Desconto_Cliente_Mes!$R$2:$R$433,Desconto_Cliente_Mes!$A$2:$A$433,L$117,Desconto_Cliente_Mes!$B$2:$B$433,$A117,Desconto_Cliente_Mes!$C$2:$C$433,"Umidade")))-(SUMIFS(Desconto_Cliente_Mes!$Q$2:$Q$433,Desconto_Cliente_Mes!$A$2:$A$433,L$117,Desconto_Cliente_Mes!$B$2:$B$433,$A117,Desconto_Cliente_Mes!$C$2:$C$433,"Umidade")))*(SUMIFS(Desconto_Cliente_Mes!$T$2:$T$433,Desconto_Cliente_Mes!$A$2:$A$433,L$117,Desconto_Cliente_Mes!$B$2:$B$433,$A117,Desconto_Cliente_Mes!$C$2:$C$433,"Umidade"))</f>
        <v>-0</v>
      </c>
      <c r="M124" s="16" t="n">
        <f aca="false">$M$119*($M$121/100)*((IF(SUMIFS(Desconto_Cliente_Mes!$R$2:$R$433,Desconto_Cliente_Mes!$A$2:$A$433,M$117,Desconto_Cliente_Mes!$B$2:$B$433,$A117,Desconto_Cliente_Mes!$C$2:$C$433,"Umidade")="",SUMIFS(Desconto_Cliente_Mes!$Q$2:$Q$433,Desconto_Cliente_Mes!$A$2:$A$433,M$117,Desconto_Cliente_Mes!$B$2:$B$433,$A117,Desconto_Cliente_Mes!$C$2:$C$433,"Umidade"),SUMIFS(Desconto_Cliente_Mes!$R$2:$R$433,Desconto_Cliente_Mes!$A$2:$A$433,M$117,Desconto_Cliente_Mes!$B$2:$B$433,$A117,Desconto_Cliente_Mes!$C$2:$C$433,"Umidade")))-(SUMIFS(Desconto_Cliente_Mes!$Q$2:$Q$433,Desconto_Cliente_Mes!$A$2:$A$433,M$117,Desconto_Cliente_Mes!$B$2:$B$433,$A117,Desconto_Cliente_Mes!$C$2:$C$433,"Umidade")))*(SUMIFS(Desconto_Cliente_Mes!$T$2:$T$433,Desconto_Cliente_Mes!$A$2:$A$433,M$117,Desconto_Cliente_Mes!$B$2:$B$433,$A117,Desconto_Cliente_Mes!$C$2:$C$433,"Umidade"))</f>
        <v>-0</v>
      </c>
      <c r="N124" s="17" t="n">
        <f aca="false">SUM(B124:M124)</f>
        <v>0</v>
      </c>
    </row>
    <row r="125" customFormat="false" ht="15" hidden="false" customHeight="false" outlineLevel="0" collapsed="false">
      <c r="A125" s="13" t="s">
        <v>81</v>
      </c>
      <c r="B125" s="16" t="n">
        <f aca="false">$B$119*($B$122/100)*((IF(SUMIFS(Desconto_Cliente_Mes!$S$2:$S$433,Desconto_Cliente_Mes!$A$2:$A$433,B$117,Desconto_Cliente_Mes!$B$2:$B$433,$A117,Desconto_Cliente_Mes!$C$2:$C$433,"Umidade")="",(IF(SUMIFS(Desconto_Cliente_Mes!$R$2:$R$433,Desconto_Cliente_Mes!$A$2:$A$433,B$117,Desconto_Cliente_Mes!$B$2:$B$433,$A117,Desconto_Cliente_Mes!$C$2:$C$433,"Umidade")="",SUMIFS(Desconto_Cliente_Mes!$Q$2:$Q$433,Desconto_Cliente_Mes!$A$2:$A$433,B$117,Desconto_Cliente_Mes!$B$2:$B$433,$A117,Desconto_Cliente_Mes!$C$2:$C$433,"Umidade"),SUMIFS(Desconto_Cliente_Mes!$R$2:$R$433,Desconto_Cliente_Mes!$A$2:$A$433,B$117,Desconto_Cliente_Mes!$B$2:$B$433,$A117,Desconto_Cliente_Mes!$C$2:$C$433,"Umidade"))),SUMIFS(Desconto_Cliente_Mes!$S$2:$S$433,Desconto_Cliente_Mes!$A$2:$A$433,B$117,Desconto_Cliente_Mes!$B$2:$B$433,$A117,Desconto_Cliente_Mes!$C$2:$C$433,"Umidade")))-(IF(SUMIFS(Desconto_Cliente_Mes!$R$2:$R$433,Desconto_Cliente_Mes!$A$2:$A$433,B$117,Desconto_Cliente_Mes!$B$2:$B$433,$A117,Desconto_Cliente_Mes!$C$2:$C$433,"Umidade")="",SUMIFS(Desconto_Cliente_Mes!$Q$2:$Q$433,Desconto_Cliente_Mes!$A$2:$A$433,B$117,Desconto_Cliente_Mes!$B$2:$B$433,$A117,Desconto_Cliente_Mes!$C$2:$C$433,"Umidade"),SUMIFS(Desconto_Cliente_Mes!$R$2:$R$433,Desconto_Cliente_Mes!$A$2:$A$433,B$117,Desconto_Cliente_Mes!$B$2:$B$433,$A117,Desconto_Cliente_Mes!$C$2:$C$433,"Umidade"))))*(SUMIFS(Desconto_Cliente_Mes!$T$2:$T$433,Desconto_Cliente_Mes!$A$2:$A$433,B$117,Desconto_Cliente_Mes!$B$2:$B$433,$A117,Desconto_Cliente_Mes!$C$2:$C$433,"Umidade"))</f>
        <v>0</v>
      </c>
      <c r="C125" s="16" t="n">
        <f aca="false">$C$119*($C$122/100)*((IF(SUMIFS(Desconto_Cliente_Mes!$S$2:$S$433,Desconto_Cliente_Mes!$A$2:$A$433,C$117,Desconto_Cliente_Mes!$B$2:$B$433,$A117,Desconto_Cliente_Mes!$C$2:$C$433,"Umidade")="",(IF(SUMIFS(Desconto_Cliente_Mes!$R$2:$R$433,Desconto_Cliente_Mes!$A$2:$A$433,C$117,Desconto_Cliente_Mes!$B$2:$B$433,$A117,Desconto_Cliente_Mes!$C$2:$C$433,"Umidade")="",SUMIFS(Desconto_Cliente_Mes!$Q$2:$Q$433,Desconto_Cliente_Mes!$A$2:$A$433,C$117,Desconto_Cliente_Mes!$B$2:$B$433,$A117,Desconto_Cliente_Mes!$C$2:$C$433,"Umidade"),SUMIFS(Desconto_Cliente_Mes!$R$2:$R$433,Desconto_Cliente_Mes!$A$2:$A$433,C$117,Desconto_Cliente_Mes!$B$2:$B$433,$A117,Desconto_Cliente_Mes!$C$2:$C$433,"Umidade"))),SUMIFS(Desconto_Cliente_Mes!$S$2:$S$433,Desconto_Cliente_Mes!$A$2:$A$433,C$117,Desconto_Cliente_Mes!$B$2:$B$433,$A117,Desconto_Cliente_Mes!$C$2:$C$433,"Umidade")))-(IF(SUMIFS(Desconto_Cliente_Mes!$R$2:$R$433,Desconto_Cliente_Mes!$A$2:$A$433,C$117,Desconto_Cliente_Mes!$B$2:$B$433,$A117,Desconto_Cliente_Mes!$C$2:$C$433,"Umidade")="",SUMIFS(Desconto_Cliente_Mes!$Q$2:$Q$433,Desconto_Cliente_Mes!$A$2:$A$433,C$117,Desconto_Cliente_Mes!$B$2:$B$433,$A117,Desconto_Cliente_Mes!$C$2:$C$433,"Umidade"),SUMIFS(Desconto_Cliente_Mes!$R$2:$R$433,Desconto_Cliente_Mes!$A$2:$A$433,C$117,Desconto_Cliente_Mes!$B$2:$B$433,$A117,Desconto_Cliente_Mes!$C$2:$C$433,"Umidade"))))*(SUMIFS(Desconto_Cliente_Mes!$T$2:$T$433,Desconto_Cliente_Mes!$A$2:$A$433,C$117,Desconto_Cliente_Mes!$B$2:$B$433,$A117,Desconto_Cliente_Mes!$C$2:$C$433,"Umidade"))</f>
        <v>0</v>
      </c>
      <c r="D125" s="16" t="n">
        <f aca="false">$D$119*($D$122/100)*((IF(SUMIFS(Desconto_Cliente_Mes!$S$2:$S$433,Desconto_Cliente_Mes!$A$2:$A$433,D$117,Desconto_Cliente_Mes!$B$2:$B$433,$A117,Desconto_Cliente_Mes!$C$2:$C$433,"Umidade")="",(IF(SUMIFS(Desconto_Cliente_Mes!$R$2:$R$433,Desconto_Cliente_Mes!$A$2:$A$433,D$117,Desconto_Cliente_Mes!$B$2:$B$433,$A117,Desconto_Cliente_Mes!$C$2:$C$433,"Umidade")="",SUMIFS(Desconto_Cliente_Mes!$Q$2:$Q$433,Desconto_Cliente_Mes!$A$2:$A$433,D$117,Desconto_Cliente_Mes!$B$2:$B$433,$A117,Desconto_Cliente_Mes!$C$2:$C$433,"Umidade"),SUMIFS(Desconto_Cliente_Mes!$R$2:$R$433,Desconto_Cliente_Mes!$A$2:$A$433,D$117,Desconto_Cliente_Mes!$B$2:$B$433,$A117,Desconto_Cliente_Mes!$C$2:$C$433,"Umidade"))),SUMIFS(Desconto_Cliente_Mes!$S$2:$S$433,Desconto_Cliente_Mes!$A$2:$A$433,D$117,Desconto_Cliente_Mes!$B$2:$B$433,$A117,Desconto_Cliente_Mes!$C$2:$C$433,"Umidade")))-(IF(SUMIFS(Desconto_Cliente_Mes!$R$2:$R$433,Desconto_Cliente_Mes!$A$2:$A$433,D$117,Desconto_Cliente_Mes!$B$2:$B$433,$A117,Desconto_Cliente_Mes!$C$2:$C$433,"Umidade")="",SUMIFS(Desconto_Cliente_Mes!$Q$2:$Q$433,Desconto_Cliente_Mes!$A$2:$A$433,D$117,Desconto_Cliente_Mes!$B$2:$B$433,$A117,Desconto_Cliente_Mes!$C$2:$C$433,"Umidade"),SUMIFS(Desconto_Cliente_Mes!$R$2:$R$433,Desconto_Cliente_Mes!$A$2:$A$433,D$117,Desconto_Cliente_Mes!$B$2:$B$433,$A117,Desconto_Cliente_Mes!$C$2:$C$433,"Umidade"))))*(SUMIFS(Desconto_Cliente_Mes!$T$2:$T$433,Desconto_Cliente_Mes!$A$2:$A$433,D$117,Desconto_Cliente_Mes!$B$2:$B$433,$A117,Desconto_Cliente_Mes!$C$2:$C$433,"Umidade"))</f>
        <v>0</v>
      </c>
      <c r="E125" s="16" t="n">
        <f aca="false">$E$119*($E$122/100)*((IF(SUMIFS(Desconto_Cliente_Mes!$S$2:$S$433,Desconto_Cliente_Mes!$A$2:$A$433,E$117,Desconto_Cliente_Mes!$B$2:$B$433,$A117,Desconto_Cliente_Mes!$C$2:$C$433,"Umidade")="",(IF(SUMIFS(Desconto_Cliente_Mes!$R$2:$R$433,Desconto_Cliente_Mes!$A$2:$A$433,E$117,Desconto_Cliente_Mes!$B$2:$B$433,$A117,Desconto_Cliente_Mes!$C$2:$C$433,"Umidade")="",SUMIFS(Desconto_Cliente_Mes!$Q$2:$Q$433,Desconto_Cliente_Mes!$A$2:$A$433,E$117,Desconto_Cliente_Mes!$B$2:$B$433,$A117,Desconto_Cliente_Mes!$C$2:$C$433,"Umidade"),SUMIFS(Desconto_Cliente_Mes!$R$2:$R$433,Desconto_Cliente_Mes!$A$2:$A$433,E$117,Desconto_Cliente_Mes!$B$2:$B$433,$A117,Desconto_Cliente_Mes!$C$2:$C$433,"Umidade"))),SUMIFS(Desconto_Cliente_Mes!$S$2:$S$433,Desconto_Cliente_Mes!$A$2:$A$433,E$117,Desconto_Cliente_Mes!$B$2:$B$433,$A117,Desconto_Cliente_Mes!$C$2:$C$433,"Umidade")))-(IF(SUMIFS(Desconto_Cliente_Mes!$R$2:$R$433,Desconto_Cliente_Mes!$A$2:$A$433,E$117,Desconto_Cliente_Mes!$B$2:$B$433,$A117,Desconto_Cliente_Mes!$C$2:$C$433,"Umidade")="",SUMIFS(Desconto_Cliente_Mes!$Q$2:$Q$433,Desconto_Cliente_Mes!$A$2:$A$433,E$117,Desconto_Cliente_Mes!$B$2:$B$433,$A117,Desconto_Cliente_Mes!$C$2:$C$433,"Umidade"),SUMIFS(Desconto_Cliente_Mes!$R$2:$R$433,Desconto_Cliente_Mes!$A$2:$A$433,E$117,Desconto_Cliente_Mes!$B$2:$B$433,$A117,Desconto_Cliente_Mes!$C$2:$C$433,"Umidade"))))*(SUMIFS(Desconto_Cliente_Mes!$T$2:$T$433,Desconto_Cliente_Mes!$A$2:$A$433,E$117,Desconto_Cliente_Mes!$B$2:$B$433,$A117,Desconto_Cliente_Mes!$C$2:$C$433,"Umidade"))</f>
        <v>0</v>
      </c>
      <c r="F125" s="16" t="n">
        <f aca="false">$F$119*($F$122/100)*((IF(SUMIFS(Desconto_Cliente_Mes!$S$2:$S$433,Desconto_Cliente_Mes!$A$2:$A$433,F$117,Desconto_Cliente_Mes!$B$2:$B$433,$A117,Desconto_Cliente_Mes!$C$2:$C$433,"Umidade")="",(IF(SUMIFS(Desconto_Cliente_Mes!$R$2:$R$433,Desconto_Cliente_Mes!$A$2:$A$433,F$117,Desconto_Cliente_Mes!$B$2:$B$433,$A117,Desconto_Cliente_Mes!$C$2:$C$433,"Umidade")="",SUMIFS(Desconto_Cliente_Mes!$Q$2:$Q$433,Desconto_Cliente_Mes!$A$2:$A$433,F$117,Desconto_Cliente_Mes!$B$2:$B$433,$A117,Desconto_Cliente_Mes!$C$2:$C$433,"Umidade"),SUMIFS(Desconto_Cliente_Mes!$R$2:$R$433,Desconto_Cliente_Mes!$A$2:$A$433,F$117,Desconto_Cliente_Mes!$B$2:$B$433,$A117,Desconto_Cliente_Mes!$C$2:$C$433,"Umidade"))),SUMIFS(Desconto_Cliente_Mes!$S$2:$S$433,Desconto_Cliente_Mes!$A$2:$A$433,F$117,Desconto_Cliente_Mes!$B$2:$B$433,$A117,Desconto_Cliente_Mes!$C$2:$C$433,"Umidade")))-(IF(SUMIFS(Desconto_Cliente_Mes!$R$2:$R$433,Desconto_Cliente_Mes!$A$2:$A$433,F$117,Desconto_Cliente_Mes!$B$2:$B$433,$A117,Desconto_Cliente_Mes!$C$2:$C$433,"Umidade")="",SUMIFS(Desconto_Cliente_Mes!$Q$2:$Q$433,Desconto_Cliente_Mes!$A$2:$A$433,F$117,Desconto_Cliente_Mes!$B$2:$B$433,$A117,Desconto_Cliente_Mes!$C$2:$C$433,"Umidade"),SUMIFS(Desconto_Cliente_Mes!$R$2:$R$433,Desconto_Cliente_Mes!$A$2:$A$433,F$117,Desconto_Cliente_Mes!$B$2:$B$433,$A117,Desconto_Cliente_Mes!$C$2:$C$433,"Umidade"))))*(SUMIFS(Desconto_Cliente_Mes!$T$2:$T$433,Desconto_Cliente_Mes!$A$2:$A$433,F$117,Desconto_Cliente_Mes!$B$2:$B$433,$A117,Desconto_Cliente_Mes!$C$2:$C$433,"Umidade"))</f>
        <v>0</v>
      </c>
      <c r="G125" s="16" t="n">
        <f aca="false">$G$119*($G$122/100)*((IF(SUMIFS(Desconto_Cliente_Mes!$S$2:$S$433,Desconto_Cliente_Mes!$A$2:$A$433,G$117,Desconto_Cliente_Mes!$B$2:$B$433,$A117,Desconto_Cliente_Mes!$C$2:$C$433,"Umidade")="",(IF(SUMIFS(Desconto_Cliente_Mes!$R$2:$R$433,Desconto_Cliente_Mes!$A$2:$A$433,G$117,Desconto_Cliente_Mes!$B$2:$B$433,$A117,Desconto_Cliente_Mes!$C$2:$C$433,"Umidade")="",SUMIFS(Desconto_Cliente_Mes!$Q$2:$Q$433,Desconto_Cliente_Mes!$A$2:$A$433,G$117,Desconto_Cliente_Mes!$B$2:$B$433,$A117,Desconto_Cliente_Mes!$C$2:$C$433,"Umidade"),SUMIFS(Desconto_Cliente_Mes!$R$2:$R$433,Desconto_Cliente_Mes!$A$2:$A$433,G$117,Desconto_Cliente_Mes!$B$2:$B$433,$A117,Desconto_Cliente_Mes!$C$2:$C$433,"Umidade"))),SUMIFS(Desconto_Cliente_Mes!$S$2:$S$433,Desconto_Cliente_Mes!$A$2:$A$433,G$117,Desconto_Cliente_Mes!$B$2:$B$433,$A117,Desconto_Cliente_Mes!$C$2:$C$433,"Umidade")))-(IF(SUMIFS(Desconto_Cliente_Mes!$R$2:$R$433,Desconto_Cliente_Mes!$A$2:$A$433,G$117,Desconto_Cliente_Mes!$B$2:$B$433,$A117,Desconto_Cliente_Mes!$C$2:$C$433,"Umidade")="",SUMIFS(Desconto_Cliente_Mes!$Q$2:$Q$433,Desconto_Cliente_Mes!$A$2:$A$433,G$117,Desconto_Cliente_Mes!$B$2:$B$433,$A117,Desconto_Cliente_Mes!$C$2:$C$433,"Umidade"),SUMIFS(Desconto_Cliente_Mes!$R$2:$R$433,Desconto_Cliente_Mes!$A$2:$A$433,G$117,Desconto_Cliente_Mes!$B$2:$B$433,$A117,Desconto_Cliente_Mes!$C$2:$C$433,"Umidade"))))*(SUMIFS(Desconto_Cliente_Mes!$T$2:$T$433,Desconto_Cliente_Mes!$A$2:$A$433,G$117,Desconto_Cliente_Mes!$B$2:$B$433,$A117,Desconto_Cliente_Mes!$C$2:$C$433,"Umidade"))</f>
        <v>0</v>
      </c>
      <c r="H125" s="16" t="n">
        <f aca="false">$H$119*($H$122/100)*((IF(SUMIFS(Desconto_Cliente_Mes!$S$2:$S$433,Desconto_Cliente_Mes!$A$2:$A$433,H$117,Desconto_Cliente_Mes!$B$2:$B$433,$A117,Desconto_Cliente_Mes!$C$2:$C$433,"Umidade")="",(IF(SUMIFS(Desconto_Cliente_Mes!$R$2:$R$433,Desconto_Cliente_Mes!$A$2:$A$433,H$117,Desconto_Cliente_Mes!$B$2:$B$433,$A117,Desconto_Cliente_Mes!$C$2:$C$433,"Umidade")="",SUMIFS(Desconto_Cliente_Mes!$Q$2:$Q$433,Desconto_Cliente_Mes!$A$2:$A$433,H$117,Desconto_Cliente_Mes!$B$2:$B$433,$A117,Desconto_Cliente_Mes!$C$2:$C$433,"Umidade"),SUMIFS(Desconto_Cliente_Mes!$R$2:$R$433,Desconto_Cliente_Mes!$A$2:$A$433,H$117,Desconto_Cliente_Mes!$B$2:$B$433,$A117,Desconto_Cliente_Mes!$C$2:$C$433,"Umidade"))),SUMIFS(Desconto_Cliente_Mes!$S$2:$S$433,Desconto_Cliente_Mes!$A$2:$A$433,H$117,Desconto_Cliente_Mes!$B$2:$B$433,$A117,Desconto_Cliente_Mes!$C$2:$C$433,"Umidade")))-(IF(SUMIFS(Desconto_Cliente_Mes!$R$2:$R$433,Desconto_Cliente_Mes!$A$2:$A$433,H$117,Desconto_Cliente_Mes!$B$2:$B$433,$A117,Desconto_Cliente_Mes!$C$2:$C$433,"Umidade")="",SUMIFS(Desconto_Cliente_Mes!$Q$2:$Q$433,Desconto_Cliente_Mes!$A$2:$A$433,H$117,Desconto_Cliente_Mes!$B$2:$B$433,$A117,Desconto_Cliente_Mes!$C$2:$C$433,"Umidade"),SUMIFS(Desconto_Cliente_Mes!$R$2:$R$433,Desconto_Cliente_Mes!$A$2:$A$433,H$117,Desconto_Cliente_Mes!$B$2:$B$433,$A117,Desconto_Cliente_Mes!$C$2:$C$433,"Umidade"))))*(SUMIFS(Desconto_Cliente_Mes!$T$2:$T$433,Desconto_Cliente_Mes!$A$2:$A$433,H$117,Desconto_Cliente_Mes!$B$2:$B$433,$A117,Desconto_Cliente_Mes!$C$2:$C$433,"Umidade"))</f>
        <v>0</v>
      </c>
      <c r="I125" s="16" t="n">
        <f aca="false">$I$119*($I$122/100)*((IF(SUMIFS(Desconto_Cliente_Mes!$S$2:$S$433,Desconto_Cliente_Mes!$A$2:$A$433,I$117,Desconto_Cliente_Mes!$B$2:$B$433,$A117,Desconto_Cliente_Mes!$C$2:$C$433,"Umidade")="",(IF(SUMIFS(Desconto_Cliente_Mes!$R$2:$R$433,Desconto_Cliente_Mes!$A$2:$A$433,I$117,Desconto_Cliente_Mes!$B$2:$B$433,$A117,Desconto_Cliente_Mes!$C$2:$C$433,"Umidade")="",SUMIFS(Desconto_Cliente_Mes!$Q$2:$Q$433,Desconto_Cliente_Mes!$A$2:$A$433,I$117,Desconto_Cliente_Mes!$B$2:$B$433,$A117,Desconto_Cliente_Mes!$C$2:$C$433,"Umidade"),SUMIFS(Desconto_Cliente_Mes!$R$2:$R$433,Desconto_Cliente_Mes!$A$2:$A$433,I$117,Desconto_Cliente_Mes!$B$2:$B$433,$A117,Desconto_Cliente_Mes!$C$2:$C$433,"Umidade"))),SUMIFS(Desconto_Cliente_Mes!$S$2:$S$433,Desconto_Cliente_Mes!$A$2:$A$433,I$117,Desconto_Cliente_Mes!$B$2:$B$433,$A117,Desconto_Cliente_Mes!$C$2:$C$433,"Umidade")))-(IF(SUMIFS(Desconto_Cliente_Mes!$R$2:$R$433,Desconto_Cliente_Mes!$A$2:$A$433,I$117,Desconto_Cliente_Mes!$B$2:$B$433,$A117,Desconto_Cliente_Mes!$C$2:$C$433,"Umidade")="",SUMIFS(Desconto_Cliente_Mes!$Q$2:$Q$433,Desconto_Cliente_Mes!$A$2:$A$433,I$117,Desconto_Cliente_Mes!$B$2:$B$433,$A117,Desconto_Cliente_Mes!$C$2:$C$433,"Umidade"),SUMIFS(Desconto_Cliente_Mes!$R$2:$R$433,Desconto_Cliente_Mes!$A$2:$A$433,I$117,Desconto_Cliente_Mes!$B$2:$B$433,$A117,Desconto_Cliente_Mes!$C$2:$C$433,"Umidade"))))*(SUMIFS(Desconto_Cliente_Mes!$T$2:$T$433,Desconto_Cliente_Mes!$A$2:$A$433,I$117,Desconto_Cliente_Mes!$B$2:$B$433,$A117,Desconto_Cliente_Mes!$C$2:$C$433,"Umidade"))</f>
        <v>0</v>
      </c>
      <c r="J125" s="16" t="n">
        <f aca="false">$J$119*($J$122/100)*((IF(SUMIFS(Desconto_Cliente_Mes!$S$2:$S$433,Desconto_Cliente_Mes!$A$2:$A$433,J$117,Desconto_Cliente_Mes!$B$2:$B$433,$A117,Desconto_Cliente_Mes!$C$2:$C$433,"Umidade")="",(IF(SUMIFS(Desconto_Cliente_Mes!$R$2:$R$433,Desconto_Cliente_Mes!$A$2:$A$433,J$117,Desconto_Cliente_Mes!$B$2:$B$433,$A117,Desconto_Cliente_Mes!$C$2:$C$433,"Umidade")="",SUMIFS(Desconto_Cliente_Mes!$Q$2:$Q$433,Desconto_Cliente_Mes!$A$2:$A$433,J$117,Desconto_Cliente_Mes!$B$2:$B$433,$A117,Desconto_Cliente_Mes!$C$2:$C$433,"Umidade"),SUMIFS(Desconto_Cliente_Mes!$R$2:$R$433,Desconto_Cliente_Mes!$A$2:$A$433,J$117,Desconto_Cliente_Mes!$B$2:$B$433,$A117,Desconto_Cliente_Mes!$C$2:$C$433,"Umidade"))),SUMIFS(Desconto_Cliente_Mes!$S$2:$S$433,Desconto_Cliente_Mes!$A$2:$A$433,J$117,Desconto_Cliente_Mes!$B$2:$B$433,$A117,Desconto_Cliente_Mes!$C$2:$C$433,"Umidade")))-(IF(SUMIFS(Desconto_Cliente_Mes!$R$2:$R$433,Desconto_Cliente_Mes!$A$2:$A$433,J$117,Desconto_Cliente_Mes!$B$2:$B$433,$A117,Desconto_Cliente_Mes!$C$2:$C$433,"Umidade")="",SUMIFS(Desconto_Cliente_Mes!$Q$2:$Q$433,Desconto_Cliente_Mes!$A$2:$A$433,J$117,Desconto_Cliente_Mes!$B$2:$B$433,$A117,Desconto_Cliente_Mes!$C$2:$C$433,"Umidade"),SUMIFS(Desconto_Cliente_Mes!$R$2:$R$433,Desconto_Cliente_Mes!$A$2:$A$433,J$117,Desconto_Cliente_Mes!$B$2:$B$433,$A117,Desconto_Cliente_Mes!$C$2:$C$433,"Umidade"))))*(SUMIFS(Desconto_Cliente_Mes!$T$2:$T$433,Desconto_Cliente_Mes!$A$2:$A$433,J$117,Desconto_Cliente_Mes!$B$2:$B$433,$A117,Desconto_Cliente_Mes!$C$2:$C$433,"Umidade"))</f>
        <v>0</v>
      </c>
      <c r="K125" s="16" t="n">
        <f aca="false">$K$119*($K$122/100)*((IF(SUMIFS(Desconto_Cliente_Mes!$S$2:$S$433,Desconto_Cliente_Mes!$A$2:$A$433,K$117,Desconto_Cliente_Mes!$B$2:$B$433,$A117,Desconto_Cliente_Mes!$C$2:$C$433,"Umidade")="",(IF(SUMIFS(Desconto_Cliente_Mes!$R$2:$R$433,Desconto_Cliente_Mes!$A$2:$A$433,K$117,Desconto_Cliente_Mes!$B$2:$B$433,$A117,Desconto_Cliente_Mes!$C$2:$C$433,"Umidade")="",SUMIFS(Desconto_Cliente_Mes!$Q$2:$Q$433,Desconto_Cliente_Mes!$A$2:$A$433,K$117,Desconto_Cliente_Mes!$B$2:$B$433,$A117,Desconto_Cliente_Mes!$C$2:$C$433,"Umidade"),SUMIFS(Desconto_Cliente_Mes!$R$2:$R$433,Desconto_Cliente_Mes!$A$2:$A$433,K$117,Desconto_Cliente_Mes!$B$2:$B$433,$A117,Desconto_Cliente_Mes!$C$2:$C$433,"Umidade"))),SUMIFS(Desconto_Cliente_Mes!$S$2:$S$433,Desconto_Cliente_Mes!$A$2:$A$433,K$117,Desconto_Cliente_Mes!$B$2:$B$433,$A117,Desconto_Cliente_Mes!$C$2:$C$433,"Umidade")))-(IF(SUMIFS(Desconto_Cliente_Mes!$R$2:$R$433,Desconto_Cliente_Mes!$A$2:$A$433,K$117,Desconto_Cliente_Mes!$B$2:$B$433,$A117,Desconto_Cliente_Mes!$C$2:$C$433,"Umidade")="",SUMIFS(Desconto_Cliente_Mes!$Q$2:$Q$433,Desconto_Cliente_Mes!$A$2:$A$433,K$117,Desconto_Cliente_Mes!$B$2:$B$433,$A117,Desconto_Cliente_Mes!$C$2:$C$433,"Umidade"),SUMIFS(Desconto_Cliente_Mes!$R$2:$R$433,Desconto_Cliente_Mes!$A$2:$A$433,K$117,Desconto_Cliente_Mes!$B$2:$B$433,$A117,Desconto_Cliente_Mes!$C$2:$C$433,"Umidade"))))*(SUMIFS(Desconto_Cliente_Mes!$T$2:$T$433,Desconto_Cliente_Mes!$A$2:$A$433,K$117,Desconto_Cliente_Mes!$B$2:$B$433,$A117,Desconto_Cliente_Mes!$C$2:$C$433,"Umidade"))</f>
        <v>0</v>
      </c>
      <c r="L125" s="16" t="n">
        <f aca="false">$L$119*($L$122/100)*((IF(SUMIFS(Desconto_Cliente_Mes!$S$2:$S$433,Desconto_Cliente_Mes!$A$2:$A$433,L$117,Desconto_Cliente_Mes!$B$2:$B$433,$A117,Desconto_Cliente_Mes!$C$2:$C$433,"Umidade")="",(IF(SUMIFS(Desconto_Cliente_Mes!$R$2:$R$433,Desconto_Cliente_Mes!$A$2:$A$433,L$117,Desconto_Cliente_Mes!$B$2:$B$433,$A117,Desconto_Cliente_Mes!$C$2:$C$433,"Umidade")="",SUMIFS(Desconto_Cliente_Mes!$Q$2:$Q$433,Desconto_Cliente_Mes!$A$2:$A$433,L$117,Desconto_Cliente_Mes!$B$2:$B$433,$A117,Desconto_Cliente_Mes!$C$2:$C$433,"Umidade"),SUMIFS(Desconto_Cliente_Mes!$R$2:$R$433,Desconto_Cliente_Mes!$A$2:$A$433,L$117,Desconto_Cliente_Mes!$B$2:$B$433,$A117,Desconto_Cliente_Mes!$C$2:$C$433,"Umidade"))),SUMIFS(Desconto_Cliente_Mes!$S$2:$S$433,Desconto_Cliente_Mes!$A$2:$A$433,L$117,Desconto_Cliente_Mes!$B$2:$B$433,$A117,Desconto_Cliente_Mes!$C$2:$C$433,"Umidade")))-(IF(SUMIFS(Desconto_Cliente_Mes!$R$2:$R$433,Desconto_Cliente_Mes!$A$2:$A$433,L$117,Desconto_Cliente_Mes!$B$2:$B$433,$A117,Desconto_Cliente_Mes!$C$2:$C$433,"Umidade")="",SUMIFS(Desconto_Cliente_Mes!$Q$2:$Q$433,Desconto_Cliente_Mes!$A$2:$A$433,L$117,Desconto_Cliente_Mes!$B$2:$B$433,$A117,Desconto_Cliente_Mes!$C$2:$C$433,"Umidade"),SUMIFS(Desconto_Cliente_Mes!$R$2:$R$433,Desconto_Cliente_Mes!$A$2:$A$433,L$117,Desconto_Cliente_Mes!$B$2:$B$433,$A117,Desconto_Cliente_Mes!$C$2:$C$433,"Umidade"))))*(SUMIFS(Desconto_Cliente_Mes!$T$2:$T$433,Desconto_Cliente_Mes!$A$2:$A$433,L$117,Desconto_Cliente_Mes!$B$2:$B$433,$A117,Desconto_Cliente_Mes!$C$2:$C$433,"Umidade"))</f>
        <v>0</v>
      </c>
      <c r="M125" s="16" t="n">
        <f aca="false">$M$119*($M$122/100)*((IF(SUMIFS(Desconto_Cliente_Mes!$S$2:$S$433,Desconto_Cliente_Mes!$A$2:$A$433,M$117,Desconto_Cliente_Mes!$B$2:$B$433,$A117,Desconto_Cliente_Mes!$C$2:$C$433,"Umidade")="",(IF(SUMIFS(Desconto_Cliente_Mes!$R$2:$R$433,Desconto_Cliente_Mes!$A$2:$A$433,M$117,Desconto_Cliente_Mes!$B$2:$B$433,$A117,Desconto_Cliente_Mes!$C$2:$C$433,"Umidade")="",SUMIFS(Desconto_Cliente_Mes!$Q$2:$Q$433,Desconto_Cliente_Mes!$A$2:$A$433,M$117,Desconto_Cliente_Mes!$B$2:$B$433,$A117,Desconto_Cliente_Mes!$C$2:$C$433,"Umidade"),SUMIFS(Desconto_Cliente_Mes!$R$2:$R$433,Desconto_Cliente_Mes!$A$2:$A$433,M$117,Desconto_Cliente_Mes!$B$2:$B$433,$A117,Desconto_Cliente_Mes!$C$2:$C$433,"Umidade"))),SUMIFS(Desconto_Cliente_Mes!$S$2:$S$433,Desconto_Cliente_Mes!$A$2:$A$433,M$117,Desconto_Cliente_Mes!$B$2:$B$433,$A117,Desconto_Cliente_Mes!$C$2:$C$433,"Umidade")))-(IF(SUMIFS(Desconto_Cliente_Mes!$R$2:$R$433,Desconto_Cliente_Mes!$A$2:$A$433,M$117,Desconto_Cliente_Mes!$B$2:$B$433,$A117,Desconto_Cliente_Mes!$C$2:$C$433,"Umidade")="",SUMIFS(Desconto_Cliente_Mes!$Q$2:$Q$433,Desconto_Cliente_Mes!$A$2:$A$433,M$117,Desconto_Cliente_Mes!$B$2:$B$433,$A117,Desconto_Cliente_Mes!$C$2:$C$433,"Umidade"),SUMIFS(Desconto_Cliente_Mes!$R$2:$R$433,Desconto_Cliente_Mes!$A$2:$A$433,M$117,Desconto_Cliente_Mes!$B$2:$B$433,$A117,Desconto_Cliente_Mes!$C$2:$C$433,"Umidade"))))*(SUMIFS(Desconto_Cliente_Mes!$T$2:$T$433,Desconto_Cliente_Mes!$A$2:$A$433,M$117,Desconto_Cliente_Mes!$B$2:$B$433,$A117,Desconto_Cliente_Mes!$C$2:$C$433,"Umidade"))</f>
        <v>0</v>
      </c>
      <c r="N125" s="17" t="n">
        <f aca="false">SUM(B125:M125)</f>
        <v>0</v>
      </c>
    </row>
    <row r="126" customFormat="false" ht="15" hidden="false" customHeight="false" outlineLevel="0" collapsed="false">
      <c r="A126" s="13" t="s">
        <v>82</v>
      </c>
      <c r="B126" s="16" t="n">
        <f aca="false">SUMIFS(Acerto_Detalhado!$J$2:$J$433,Acerto_Detalhado!$A$2:$A$433,B$117,Acerto_Detalhado!$B$2:$B$433,$A117,Acerto_Detalhado!$C$2:$C$433,"Umidade")</f>
        <v>0</v>
      </c>
      <c r="C126" s="16" t="n">
        <f aca="false">SUMIFS(Acerto_Detalhado!$J$2:$J$433,Acerto_Detalhado!$A$2:$A$433,C$117,Acerto_Detalhado!$B$2:$B$433,$A117,Acerto_Detalhado!$C$2:$C$433,"Umidade")</f>
        <v>0</v>
      </c>
      <c r="D126" s="16" t="n">
        <f aca="false">SUMIFS(Acerto_Detalhado!$J$2:$J$433,Acerto_Detalhado!$A$2:$A$433,D$117,Acerto_Detalhado!$B$2:$B$433,$A117,Acerto_Detalhado!$C$2:$C$433,"Umidade")</f>
        <v>0</v>
      </c>
      <c r="E126" s="16" t="n">
        <f aca="false">SUMIFS(Acerto_Detalhado!$J$2:$J$433,Acerto_Detalhado!$A$2:$A$433,E$117,Acerto_Detalhado!$B$2:$B$433,$A117,Acerto_Detalhado!$C$2:$C$433,"Umidade")</f>
        <v>0</v>
      </c>
      <c r="F126" s="16" t="n">
        <f aca="false">SUMIFS(Acerto_Detalhado!$J$2:$J$433,Acerto_Detalhado!$A$2:$A$433,F$117,Acerto_Detalhado!$B$2:$B$433,$A117,Acerto_Detalhado!$C$2:$C$433,"Umidade")</f>
        <v>0</v>
      </c>
      <c r="G126" s="16" t="n">
        <f aca="false">SUMIFS(Acerto_Detalhado!$J$2:$J$433,Acerto_Detalhado!$A$2:$A$433,G$117,Acerto_Detalhado!$B$2:$B$433,$A117,Acerto_Detalhado!$C$2:$C$433,"Umidade")</f>
        <v>0</v>
      </c>
      <c r="H126" s="16" t="n">
        <f aca="false">SUMIFS(Acerto_Detalhado!$J$2:$J$433,Acerto_Detalhado!$A$2:$A$433,H$117,Acerto_Detalhado!$B$2:$B$433,$A117,Acerto_Detalhado!$C$2:$C$433,"Umidade")</f>
        <v>0</v>
      </c>
      <c r="I126" s="16" t="n">
        <f aca="false">SUMIFS(Acerto_Detalhado!$J$2:$J$433,Acerto_Detalhado!$A$2:$A$433,I$117,Acerto_Detalhado!$B$2:$B$433,$A117,Acerto_Detalhado!$C$2:$C$433,"Umidade")</f>
        <v>0</v>
      </c>
      <c r="J126" s="16" t="n">
        <f aca="false">SUMIFS(Acerto_Detalhado!$J$2:$J$433,Acerto_Detalhado!$A$2:$A$433,J$117,Acerto_Detalhado!$B$2:$B$433,$A117,Acerto_Detalhado!$C$2:$C$433,"Umidade")</f>
        <v>0</v>
      </c>
      <c r="K126" s="16" t="n">
        <f aca="false">SUMIFS(Acerto_Detalhado!$J$2:$J$433,Acerto_Detalhado!$A$2:$A$433,K$117,Acerto_Detalhado!$B$2:$B$433,$A117,Acerto_Detalhado!$C$2:$C$433,"Umidade")</f>
        <v>0</v>
      </c>
      <c r="L126" s="16" t="n">
        <f aca="false">SUMIFS(Acerto_Detalhado!$J$2:$J$433,Acerto_Detalhado!$A$2:$A$433,L$117,Acerto_Detalhado!$B$2:$B$433,$A117,Acerto_Detalhado!$C$2:$C$433,"Umidade")</f>
        <v>0</v>
      </c>
      <c r="M126" s="16" t="n">
        <f aca="false">SUMIFS(Acerto_Detalhado!$J$2:$J$433,Acerto_Detalhado!$A$2:$A$433,M$117,Acerto_Detalhado!$B$2:$B$433,$A117,Acerto_Detalhado!$C$2:$C$433,"Umidade")</f>
        <v>0</v>
      </c>
      <c r="N126" s="17" t="n">
        <f aca="false">SUM(B126:M126)</f>
        <v>0</v>
      </c>
    </row>
    <row r="128" customFormat="false" ht="15" hidden="false" customHeight="false" outlineLevel="0" collapsed="false">
      <c r="A128" s="5" t="s">
        <v>69</v>
      </c>
      <c r="B128" s="6" t="s">
        <v>39</v>
      </c>
      <c r="C128" s="6" t="s">
        <v>40</v>
      </c>
      <c r="D128" s="6" t="s">
        <v>41</v>
      </c>
      <c r="E128" s="6" t="s">
        <v>42</v>
      </c>
      <c r="F128" s="6" t="s">
        <v>43</v>
      </c>
      <c r="G128" s="6" t="s">
        <v>44</v>
      </c>
      <c r="H128" s="6" t="s">
        <v>45</v>
      </c>
      <c r="I128" s="6" t="s">
        <v>46</v>
      </c>
      <c r="J128" s="6" t="s">
        <v>47</v>
      </c>
      <c r="K128" s="6" t="s">
        <v>48</v>
      </c>
      <c r="L128" s="6" t="s">
        <v>49</v>
      </c>
      <c r="M128" s="6" t="s">
        <v>50</v>
      </c>
      <c r="N128" s="6" t="s">
        <v>51</v>
      </c>
    </row>
    <row r="129" customFormat="false" ht="15" hidden="false" customHeight="false" outlineLevel="0" collapsed="false">
      <c r="A129" s="13" t="s">
        <v>74</v>
      </c>
      <c r="B129" s="10" t="str">
        <f aca="false">IF((SUMIFS(Desconto_Cliente_Mes!$D$2:$D$433,Desconto_Cliente_Mes!$A$2:$A$433,B$128,Desconto_Cliente_Mes!$B$2:$B$433,$A128,Desconto_Cliente_Mes!$C$2:$C$433,"Umidade"))=0,"",IFERROR(SUMIFS(Desconto_Cliente_Mes!$E$2:$E$433,Desconto_Cliente_Mes!$A$2:$A$433,B$128,Desconto_Cliente_Mes!$B$2:$B$433,$A128,Desconto_Cliente_Mes!$C$2:$C$433,"Umidade"),""))</f>
        <v/>
      </c>
      <c r="C129" s="10" t="str">
        <f aca="false">IF((SUMIFS(Desconto_Cliente_Mes!$D$2:$D$433,Desconto_Cliente_Mes!$A$2:$A$433,C$128,Desconto_Cliente_Mes!$B$2:$B$433,$A128,Desconto_Cliente_Mes!$C$2:$C$433,"Umidade"))=0,"",IFERROR(SUMIFS(Desconto_Cliente_Mes!$E$2:$E$433,Desconto_Cliente_Mes!$A$2:$A$433,C$128,Desconto_Cliente_Mes!$B$2:$B$433,$A128,Desconto_Cliente_Mes!$C$2:$C$433,"Umidade"),""))</f>
        <v/>
      </c>
      <c r="D129" s="10" t="str">
        <f aca="false">IF((SUMIFS(Desconto_Cliente_Mes!$D$2:$D$433,Desconto_Cliente_Mes!$A$2:$A$433,D$128,Desconto_Cliente_Mes!$B$2:$B$433,$A128,Desconto_Cliente_Mes!$C$2:$C$433,"Umidade"))=0,"",IFERROR(SUMIFS(Desconto_Cliente_Mes!$E$2:$E$433,Desconto_Cliente_Mes!$A$2:$A$433,D$128,Desconto_Cliente_Mes!$B$2:$B$433,$A128,Desconto_Cliente_Mes!$C$2:$C$433,"Umidade"),""))</f>
        <v/>
      </c>
      <c r="E129" s="10" t="str">
        <f aca="false">IF((SUMIFS(Desconto_Cliente_Mes!$D$2:$D$433,Desconto_Cliente_Mes!$A$2:$A$433,E$128,Desconto_Cliente_Mes!$B$2:$B$433,$A128,Desconto_Cliente_Mes!$C$2:$C$433,"Umidade"))=0,"",IFERROR(SUMIFS(Desconto_Cliente_Mes!$E$2:$E$433,Desconto_Cliente_Mes!$A$2:$A$433,E$128,Desconto_Cliente_Mes!$B$2:$B$433,$A128,Desconto_Cliente_Mes!$C$2:$C$433,"Umidade"),""))</f>
        <v/>
      </c>
      <c r="F129" s="10" t="str">
        <f aca="false">IF((SUMIFS(Desconto_Cliente_Mes!$D$2:$D$433,Desconto_Cliente_Mes!$A$2:$A$433,F$128,Desconto_Cliente_Mes!$B$2:$B$433,$A128,Desconto_Cliente_Mes!$C$2:$C$433,"Umidade"))=0,"",IFERROR(SUMIFS(Desconto_Cliente_Mes!$E$2:$E$433,Desconto_Cliente_Mes!$A$2:$A$433,F$128,Desconto_Cliente_Mes!$B$2:$B$433,$A128,Desconto_Cliente_Mes!$C$2:$C$433,"Umidade"),""))</f>
        <v/>
      </c>
      <c r="G129" s="10" t="str">
        <f aca="false">IF((SUMIFS(Desconto_Cliente_Mes!$D$2:$D$433,Desconto_Cliente_Mes!$A$2:$A$433,G$128,Desconto_Cliente_Mes!$B$2:$B$433,$A128,Desconto_Cliente_Mes!$C$2:$C$433,"Umidade"))=0,"",IFERROR(SUMIFS(Desconto_Cliente_Mes!$E$2:$E$433,Desconto_Cliente_Mes!$A$2:$A$433,G$128,Desconto_Cliente_Mes!$B$2:$B$433,$A128,Desconto_Cliente_Mes!$C$2:$C$433,"Umidade"),""))</f>
        <v/>
      </c>
      <c r="H129" s="10" t="str">
        <f aca="false">IF((SUMIFS(Desconto_Cliente_Mes!$D$2:$D$433,Desconto_Cliente_Mes!$A$2:$A$433,H$128,Desconto_Cliente_Mes!$B$2:$B$433,$A128,Desconto_Cliente_Mes!$C$2:$C$433,"Umidade"))=0,"",IFERROR(SUMIFS(Desconto_Cliente_Mes!$E$2:$E$433,Desconto_Cliente_Mes!$A$2:$A$433,H$128,Desconto_Cliente_Mes!$B$2:$B$433,$A128,Desconto_Cliente_Mes!$C$2:$C$433,"Umidade"),""))</f>
        <v/>
      </c>
      <c r="I129" s="10" t="str">
        <f aca="false">IF((SUMIFS(Desconto_Cliente_Mes!$D$2:$D$433,Desconto_Cliente_Mes!$A$2:$A$433,I$128,Desconto_Cliente_Mes!$B$2:$B$433,$A128,Desconto_Cliente_Mes!$C$2:$C$433,"Umidade"))=0,"",IFERROR(SUMIFS(Desconto_Cliente_Mes!$E$2:$E$433,Desconto_Cliente_Mes!$A$2:$A$433,I$128,Desconto_Cliente_Mes!$B$2:$B$433,$A128,Desconto_Cliente_Mes!$C$2:$C$433,"Umidade"),""))</f>
        <v/>
      </c>
      <c r="J129" s="10" t="str">
        <f aca="false">IF((SUMIFS(Desconto_Cliente_Mes!$D$2:$D$433,Desconto_Cliente_Mes!$A$2:$A$433,J$128,Desconto_Cliente_Mes!$B$2:$B$433,$A128,Desconto_Cliente_Mes!$C$2:$C$433,"Umidade"))=0,"",IFERROR(SUMIFS(Desconto_Cliente_Mes!$E$2:$E$433,Desconto_Cliente_Mes!$A$2:$A$433,J$128,Desconto_Cliente_Mes!$B$2:$B$433,$A128,Desconto_Cliente_Mes!$C$2:$C$433,"Umidade"),""))</f>
        <v/>
      </c>
      <c r="K129" s="10" t="str">
        <f aca="false">IF((SUMIFS(Desconto_Cliente_Mes!$D$2:$D$433,Desconto_Cliente_Mes!$A$2:$A$433,K$128,Desconto_Cliente_Mes!$B$2:$B$433,$A128,Desconto_Cliente_Mes!$C$2:$C$433,"Umidade"))=0,"",IFERROR(SUMIFS(Desconto_Cliente_Mes!$E$2:$E$433,Desconto_Cliente_Mes!$A$2:$A$433,K$128,Desconto_Cliente_Mes!$B$2:$B$433,$A128,Desconto_Cliente_Mes!$C$2:$C$433,"Umidade"),""))</f>
        <v/>
      </c>
      <c r="L129" s="10" t="str">
        <f aca="false">IF((SUMIFS(Desconto_Cliente_Mes!$D$2:$D$433,Desconto_Cliente_Mes!$A$2:$A$433,L$128,Desconto_Cliente_Mes!$B$2:$B$433,$A128,Desconto_Cliente_Mes!$C$2:$C$433,"Umidade"))=0,"",IFERROR(SUMIFS(Desconto_Cliente_Mes!$E$2:$E$433,Desconto_Cliente_Mes!$A$2:$A$433,L$128,Desconto_Cliente_Mes!$B$2:$B$433,$A128,Desconto_Cliente_Mes!$C$2:$C$433,"Umidade"),""))</f>
        <v/>
      </c>
      <c r="M129" s="10" t="str">
        <f aca="false">IF((SUMIFS(Desconto_Cliente_Mes!$D$2:$D$433,Desconto_Cliente_Mes!$A$2:$A$433,M$128,Desconto_Cliente_Mes!$B$2:$B$433,$A128,Desconto_Cliente_Mes!$C$2:$C$433,"Umidade"))=0,"",IFERROR(SUMIFS(Desconto_Cliente_Mes!$E$2:$E$433,Desconto_Cliente_Mes!$A$2:$A$433,M$128,Desconto_Cliente_Mes!$B$2:$B$433,$A128,Desconto_Cliente_Mes!$C$2:$C$433,"Umidade"),""))</f>
        <v/>
      </c>
      <c r="N129" s="11" t="str">
        <f aca="false">IFERROR(Media_Pool_Mes!D13,"")</f>
        <v/>
      </c>
    </row>
    <row r="130" customFormat="false" ht="15" hidden="false" customHeight="false" outlineLevel="0" collapsed="false">
      <c r="A130" s="13" t="s">
        <v>75</v>
      </c>
      <c r="B130" s="8" t="n">
        <f aca="false">IFERROR(SUMIFS(Desconto_Cliente_Mes!$D$2:$D$433,Desconto_Cliente_Mes!$A$2:$A$433,B$128,Desconto_Cliente_Mes!$B$2:$B$433,$A128,Desconto_Cliente_Mes!$C$2:$C$433,"Umidade"),0)</f>
        <v>0</v>
      </c>
      <c r="C130" s="8" t="n">
        <f aca="false">IFERROR(SUMIFS(Desconto_Cliente_Mes!$D$2:$D$433,Desconto_Cliente_Mes!$A$2:$A$433,C$128,Desconto_Cliente_Mes!$B$2:$B$433,$A128,Desconto_Cliente_Mes!$C$2:$C$433,"Umidade"),0)</f>
        <v>0</v>
      </c>
      <c r="D130" s="8" t="n">
        <f aca="false">IFERROR(SUMIFS(Desconto_Cliente_Mes!$D$2:$D$433,Desconto_Cliente_Mes!$A$2:$A$433,D$128,Desconto_Cliente_Mes!$B$2:$B$433,$A128,Desconto_Cliente_Mes!$C$2:$C$433,"Umidade"),0)</f>
        <v>0</v>
      </c>
      <c r="E130" s="8" t="n">
        <f aca="false">IFERROR(SUMIFS(Desconto_Cliente_Mes!$D$2:$D$433,Desconto_Cliente_Mes!$A$2:$A$433,E$128,Desconto_Cliente_Mes!$B$2:$B$433,$A128,Desconto_Cliente_Mes!$C$2:$C$433,"Umidade"),0)</f>
        <v>0</v>
      </c>
      <c r="F130" s="8" t="n">
        <f aca="false">IFERROR(SUMIFS(Desconto_Cliente_Mes!$D$2:$D$433,Desconto_Cliente_Mes!$A$2:$A$433,F$128,Desconto_Cliente_Mes!$B$2:$B$433,$A128,Desconto_Cliente_Mes!$C$2:$C$433,"Umidade"),0)</f>
        <v>0</v>
      </c>
      <c r="G130" s="8" t="n">
        <f aca="false">IFERROR(SUMIFS(Desconto_Cliente_Mes!$D$2:$D$433,Desconto_Cliente_Mes!$A$2:$A$433,G$128,Desconto_Cliente_Mes!$B$2:$B$433,$A128,Desconto_Cliente_Mes!$C$2:$C$433,"Umidade"),0)</f>
        <v>0</v>
      </c>
      <c r="H130" s="8" t="n">
        <f aca="false">IFERROR(SUMIFS(Desconto_Cliente_Mes!$D$2:$D$433,Desconto_Cliente_Mes!$A$2:$A$433,H$128,Desconto_Cliente_Mes!$B$2:$B$433,$A128,Desconto_Cliente_Mes!$C$2:$C$433,"Umidade"),0)</f>
        <v>0</v>
      </c>
      <c r="I130" s="8" t="n">
        <f aca="false">IFERROR(SUMIFS(Desconto_Cliente_Mes!$D$2:$D$433,Desconto_Cliente_Mes!$A$2:$A$433,I$128,Desconto_Cliente_Mes!$B$2:$B$433,$A128,Desconto_Cliente_Mes!$C$2:$C$433,"Umidade"),0)</f>
        <v>0</v>
      </c>
      <c r="J130" s="8" t="n">
        <f aca="false">IFERROR(SUMIFS(Desconto_Cliente_Mes!$D$2:$D$433,Desconto_Cliente_Mes!$A$2:$A$433,J$128,Desconto_Cliente_Mes!$B$2:$B$433,$A128,Desconto_Cliente_Mes!$C$2:$C$433,"Umidade"),0)</f>
        <v>0</v>
      </c>
      <c r="K130" s="8" t="n">
        <f aca="false">IFERROR(SUMIFS(Desconto_Cliente_Mes!$D$2:$D$433,Desconto_Cliente_Mes!$A$2:$A$433,K$128,Desconto_Cliente_Mes!$B$2:$B$433,$A128,Desconto_Cliente_Mes!$C$2:$C$433,"Umidade"),0)</f>
        <v>0</v>
      </c>
      <c r="L130" s="8" t="n">
        <f aca="false">IFERROR(SUMIFS(Desconto_Cliente_Mes!$D$2:$D$433,Desconto_Cliente_Mes!$A$2:$A$433,L$128,Desconto_Cliente_Mes!$B$2:$B$433,$A128,Desconto_Cliente_Mes!$C$2:$C$433,"Umidade"),0)</f>
        <v>0</v>
      </c>
      <c r="M130" s="8" t="n">
        <f aca="false">IFERROR(SUMIFS(Desconto_Cliente_Mes!$D$2:$D$433,Desconto_Cliente_Mes!$A$2:$A$433,M$128,Desconto_Cliente_Mes!$B$2:$B$433,$A128,Desconto_Cliente_Mes!$C$2:$C$433,"Umidade"),0)</f>
        <v>0</v>
      </c>
      <c r="N130" s="9" t="n">
        <f aca="false">SUM(B130:M130)</f>
        <v>0</v>
      </c>
    </row>
    <row r="131" customFormat="false" ht="15" hidden="false" customHeight="false" outlineLevel="0" collapsed="false">
      <c r="A131" s="13" t="s">
        <v>76</v>
      </c>
      <c r="B131" s="15" t="n">
        <f aca="false">MAX(0,(SUMIFS(Desconto_Cliente_Mes!$L$2:$L$433,Desconto_Cliente_Mes!$A$2:$A$433,B$128,Desconto_Cliente_Mes!$B$2:$B$433,$A128,Desconto_Cliente_Mes!$C$2:$C$433,"Umidade"))-(SUMIFS(Desconto_Cliente_Mes!$N$2:$N$433,Desconto_Cliente_Mes!$A$2:$A$433,B$128,Desconto_Cliente_Mes!$B$2:$B$433,$A128,Desconto_Cliente_Mes!$C$2:$C$433,"Umidade")))</f>
        <v>0</v>
      </c>
      <c r="C131" s="15" t="n">
        <f aca="false">MAX(0,(SUMIFS(Desconto_Cliente_Mes!$L$2:$L$433,Desconto_Cliente_Mes!$A$2:$A$433,C$128,Desconto_Cliente_Mes!$B$2:$B$433,$A128,Desconto_Cliente_Mes!$C$2:$C$433,"Umidade"))-(SUMIFS(Desconto_Cliente_Mes!$N$2:$N$433,Desconto_Cliente_Mes!$A$2:$A$433,C$128,Desconto_Cliente_Mes!$B$2:$B$433,$A128,Desconto_Cliente_Mes!$C$2:$C$433,"Umidade")))</f>
        <v>0</v>
      </c>
      <c r="D131" s="15" t="n">
        <f aca="false">MAX(0,(SUMIFS(Desconto_Cliente_Mes!$L$2:$L$433,Desconto_Cliente_Mes!$A$2:$A$433,D$128,Desconto_Cliente_Mes!$B$2:$B$433,$A128,Desconto_Cliente_Mes!$C$2:$C$433,"Umidade"))-(SUMIFS(Desconto_Cliente_Mes!$N$2:$N$433,Desconto_Cliente_Mes!$A$2:$A$433,D$128,Desconto_Cliente_Mes!$B$2:$B$433,$A128,Desconto_Cliente_Mes!$C$2:$C$433,"Umidade")))</f>
        <v>0</v>
      </c>
      <c r="E131" s="15" t="n">
        <f aca="false">MAX(0,(SUMIFS(Desconto_Cliente_Mes!$L$2:$L$433,Desconto_Cliente_Mes!$A$2:$A$433,E$128,Desconto_Cliente_Mes!$B$2:$B$433,$A128,Desconto_Cliente_Mes!$C$2:$C$433,"Umidade"))-(SUMIFS(Desconto_Cliente_Mes!$N$2:$N$433,Desconto_Cliente_Mes!$A$2:$A$433,E$128,Desconto_Cliente_Mes!$B$2:$B$433,$A128,Desconto_Cliente_Mes!$C$2:$C$433,"Umidade")))</f>
        <v>0</v>
      </c>
      <c r="F131" s="15" t="n">
        <f aca="false">MAX(0,(SUMIFS(Desconto_Cliente_Mes!$L$2:$L$433,Desconto_Cliente_Mes!$A$2:$A$433,F$128,Desconto_Cliente_Mes!$B$2:$B$433,$A128,Desconto_Cliente_Mes!$C$2:$C$433,"Umidade"))-(SUMIFS(Desconto_Cliente_Mes!$N$2:$N$433,Desconto_Cliente_Mes!$A$2:$A$433,F$128,Desconto_Cliente_Mes!$B$2:$B$433,$A128,Desconto_Cliente_Mes!$C$2:$C$433,"Umidade")))</f>
        <v>0</v>
      </c>
      <c r="G131" s="15" t="n">
        <f aca="false">MAX(0,(SUMIFS(Desconto_Cliente_Mes!$L$2:$L$433,Desconto_Cliente_Mes!$A$2:$A$433,G$128,Desconto_Cliente_Mes!$B$2:$B$433,$A128,Desconto_Cliente_Mes!$C$2:$C$433,"Umidade"))-(SUMIFS(Desconto_Cliente_Mes!$N$2:$N$433,Desconto_Cliente_Mes!$A$2:$A$433,G$128,Desconto_Cliente_Mes!$B$2:$B$433,$A128,Desconto_Cliente_Mes!$C$2:$C$433,"Umidade")))</f>
        <v>0</v>
      </c>
      <c r="H131" s="15" t="n">
        <f aca="false">MAX(0,(SUMIFS(Desconto_Cliente_Mes!$L$2:$L$433,Desconto_Cliente_Mes!$A$2:$A$433,H$128,Desconto_Cliente_Mes!$B$2:$B$433,$A128,Desconto_Cliente_Mes!$C$2:$C$433,"Umidade"))-(SUMIFS(Desconto_Cliente_Mes!$N$2:$N$433,Desconto_Cliente_Mes!$A$2:$A$433,H$128,Desconto_Cliente_Mes!$B$2:$B$433,$A128,Desconto_Cliente_Mes!$C$2:$C$433,"Umidade")))</f>
        <v>0</v>
      </c>
      <c r="I131" s="15" t="n">
        <f aca="false">MAX(0,(SUMIFS(Desconto_Cliente_Mes!$L$2:$L$433,Desconto_Cliente_Mes!$A$2:$A$433,I$128,Desconto_Cliente_Mes!$B$2:$B$433,$A128,Desconto_Cliente_Mes!$C$2:$C$433,"Umidade"))-(SUMIFS(Desconto_Cliente_Mes!$N$2:$N$433,Desconto_Cliente_Mes!$A$2:$A$433,I$128,Desconto_Cliente_Mes!$B$2:$B$433,$A128,Desconto_Cliente_Mes!$C$2:$C$433,"Umidade")))</f>
        <v>0</v>
      </c>
      <c r="J131" s="15" t="n">
        <f aca="false">MAX(0,(SUMIFS(Desconto_Cliente_Mes!$L$2:$L$433,Desconto_Cliente_Mes!$A$2:$A$433,J$128,Desconto_Cliente_Mes!$B$2:$B$433,$A128,Desconto_Cliente_Mes!$C$2:$C$433,"Umidade"))-(SUMIFS(Desconto_Cliente_Mes!$N$2:$N$433,Desconto_Cliente_Mes!$A$2:$A$433,J$128,Desconto_Cliente_Mes!$B$2:$B$433,$A128,Desconto_Cliente_Mes!$C$2:$C$433,"Umidade")))</f>
        <v>0</v>
      </c>
      <c r="K131" s="15" t="n">
        <f aca="false">MAX(0,(SUMIFS(Desconto_Cliente_Mes!$L$2:$L$433,Desconto_Cliente_Mes!$A$2:$A$433,K$128,Desconto_Cliente_Mes!$B$2:$B$433,$A128,Desconto_Cliente_Mes!$C$2:$C$433,"Umidade"))-(SUMIFS(Desconto_Cliente_Mes!$N$2:$N$433,Desconto_Cliente_Mes!$A$2:$A$433,K$128,Desconto_Cliente_Mes!$B$2:$B$433,$A128,Desconto_Cliente_Mes!$C$2:$C$433,"Umidade")))</f>
        <v>0</v>
      </c>
      <c r="L131" s="15" t="n">
        <f aca="false">MAX(0,(SUMIFS(Desconto_Cliente_Mes!$L$2:$L$433,Desconto_Cliente_Mes!$A$2:$A$433,L$128,Desconto_Cliente_Mes!$B$2:$B$433,$A128,Desconto_Cliente_Mes!$C$2:$C$433,"Umidade"))-(SUMIFS(Desconto_Cliente_Mes!$N$2:$N$433,Desconto_Cliente_Mes!$A$2:$A$433,L$128,Desconto_Cliente_Mes!$B$2:$B$433,$A128,Desconto_Cliente_Mes!$C$2:$C$433,"Umidade")))</f>
        <v>0</v>
      </c>
      <c r="M131" s="15" t="n">
        <f aca="false">MAX(0,(SUMIFS(Desconto_Cliente_Mes!$L$2:$L$433,Desconto_Cliente_Mes!$A$2:$A$433,M$128,Desconto_Cliente_Mes!$B$2:$B$433,$A128,Desconto_Cliente_Mes!$C$2:$C$433,"Umidade"))-(SUMIFS(Desconto_Cliente_Mes!$N$2:$N$433,Desconto_Cliente_Mes!$A$2:$A$433,M$128,Desconto_Cliente_Mes!$B$2:$B$433,$A128,Desconto_Cliente_Mes!$C$2:$C$433,"Umidade")))</f>
        <v>0</v>
      </c>
    </row>
    <row r="132" customFormat="false" ht="15" hidden="false" customHeight="false" outlineLevel="0" collapsed="false">
      <c r="A132" s="13" t="s">
        <v>77</v>
      </c>
      <c r="B132" s="15" t="n">
        <f aca="false">MAX(0,(SUMIFS(Desconto_Cliente_Mes!$N$2:$N$433,Desconto_Cliente_Mes!$A$2:$A$433,B$128,Desconto_Cliente_Mes!$B$2:$B$433,$A128,Desconto_Cliente_Mes!$C$2:$C$433,"Umidade"))-(SUMIFS(Desconto_Cliente_Mes!$P$2:$P$433,Desconto_Cliente_Mes!$A$2:$A$433,B$128,Desconto_Cliente_Mes!$B$2:$B$433,$A128,Desconto_Cliente_Mes!$C$2:$C$433,"Umidade")))</f>
        <v>0</v>
      </c>
      <c r="C132" s="15" t="n">
        <f aca="false">MAX(0,(SUMIFS(Desconto_Cliente_Mes!$N$2:$N$433,Desconto_Cliente_Mes!$A$2:$A$433,C$128,Desconto_Cliente_Mes!$B$2:$B$433,$A128,Desconto_Cliente_Mes!$C$2:$C$433,"Umidade"))-(SUMIFS(Desconto_Cliente_Mes!$P$2:$P$433,Desconto_Cliente_Mes!$A$2:$A$433,C$128,Desconto_Cliente_Mes!$B$2:$B$433,$A128,Desconto_Cliente_Mes!$C$2:$C$433,"Umidade")))</f>
        <v>0</v>
      </c>
      <c r="D132" s="15" t="n">
        <f aca="false">MAX(0,(SUMIFS(Desconto_Cliente_Mes!$N$2:$N$433,Desconto_Cliente_Mes!$A$2:$A$433,D$128,Desconto_Cliente_Mes!$B$2:$B$433,$A128,Desconto_Cliente_Mes!$C$2:$C$433,"Umidade"))-(SUMIFS(Desconto_Cliente_Mes!$P$2:$P$433,Desconto_Cliente_Mes!$A$2:$A$433,D$128,Desconto_Cliente_Mes!$B$2:$B$433,$A128,Desconto_Cliente_Mes!$C$2:$C$433,"Umidade")))</f>
        <v>0</v>
      </c>
      <c r="E132" s="15" t="n">
        <f aca="false">MAX(0,(SUMIFS(Desconto_Cliente_Mes!$N$2:$N$433,Desconto_Cliente_Mes!$A$2:$A$433,E$128,Desconto_Cliente_Mes!$B$2:$B$433,$A128,Desconto_Cliente_Mes!$C$2:$C$433,"Umidade"))-(SUMIFS(Desconto_Cliente_Mes!$P$2:$P$433,Desconto_Cliente_Mes!$A$2:$A$433,E$128,Desconto_Cliente_Mes!$B$2:$B$433,$A128,Desconto_Cliente_Mes!$C$2:$C$433,"Umidade")))</f>
        <v>0</v>
      </c>
      <c r="F132" s="15" t="n">
        <f aca="false">MAX(0,(SUMIFS(Desconto_Cliente_Mes!$N$2:$N$433,Desconto_Cliente_Mes!$A$2:$A$433,F$128,Desconto_Cliente_Mes!$B$2:$B$433,$A128,Desconto_Cliente_Mes!$C$2:$C$433,"Umidade"))-(SUMIFS(Desconto_Cliente_Mes!$P$2:$P$433,Desconto_Cliente_Mes!$A$2:$A$433,F$128,Desconto_Cliente_Mes!$B$2:$B$433,$A128,Desconto_Cliente_Mes!$C$2:$C$433,"Umidade")))</f>
        <v>0</v>
      </c>
      <c r="G132" s="15" t="n">
        <f aca="false">MAX(0,(SUMIFS(Desconto_Cliente_Mes!$N$2:$N$433,Desconto_Cliente_Mes!$A$2:$A$433,G$128,Desconto_Cliente_Mes!$B$2:$B$433,$A128,Desconto_Cliente_Mes!$C$2:$C$433,"Umidade"))-(SUMIFS(Desconto_Cliente_Mes!$P$2:$P$433,Desconto_Cliente_Mes!$A$2:$A$433,G$128,Desconto_Cliente_Mes!$B$2:$B$433,$A128,Desconto_Cliente_Mes!$C$2:$C$433,"Umidade")))</f>
        <v>0</v>
      </c>
      <c r="H132" s="15" t="n">
        <f aca="false">MAX(0,(SUMIFS(Desconto_Cliente_Mes!$N$2:$N$433,Desconto_Cliente_Mes!$A$2:$A$433,H$128,Desconto_Cliente_Mes!$B$2:$B$433,$A128,Desconto_Cliente_Mes!$C$2:$C$433,"Umidade"))-(SUMIFS(Desconto_Cliente_Mes!$P$2:$P$433,Desconto_Cliente_Mes!$A$2:$A$433,H$128,Desconto_Cliente_Mes!$B$2:$B$433,$A128,Desconto_Cliente_Mes!$C$2:$C$433,"Umidade")))</f>
        <v>0</v>
      </c>
      <c r="I132" s="15" t="n">
        <f aca="false">MAX(0,(SUMIFS(Desconto_Cliente_Mes!$N$2:$N$433,Desconto_Cliente_Mes!$A$2:$A$433,I$128,Desconto_Cliente_Mes!$B$2:$B$433,$A128,Desconto_Cliente_Mes!$C$2:$C$433,"Umidade"))-(SUMIFS(Desconto_Cliente_Mes!$P$2:$P$433,Desconto_Cliente_Mes!$A$2:$A$433,I$128,Desconto_Cliente_Mes!$B$2:$B$433,$A128,Desconto_Cliente_Mes!$C$2:$C$433,"Umidade")))</f>
        <v>0</v>
      </c>
      <c r="J132" s="15" t="n">
        <f aca="false">MAX(0,(SUMIFS(Desconto_Cliente_Mes!$N$2:$N$433,Desconto_Cliente_Mes!$A$2:$A$433,J$128,Desconto_Cliente_Mes!$B$2:$B$433,$A128,Desconto_Cliente_Mes!$C$2:$C$433,"Umidade"))-(SUMIFS(Desconto_Cliente_Mes!$P$2:$P$433,Desconto_Cliente_Mes!$A$2:$A$433,J$128,Desconto_Cliente_Mes!$B$2:$B$433,$A128,Desconto_Cliente_Mes!$C$2:$C$433,"Umidade")))</f>
        <v>0</v>
      </c>
      <c r="K132" s="15" t="n">
        <f aca="false">MAX(0,(SUMIFS(Desconto_Cliente_Mes!$N$2:$N$433,Desconto_Cliente_Mes!$A$2:$A$433,K$128,Desconto_Cliente_Mes!$B$2:$B$433,$A128,Desconto_Cliente_Mes!$C$2:$C$433,"Umidade"))-(SUMIFS(Desconto_Cliente_Mes!$P$2:$P$433,Desconto_Cliente_Mes!$A$2:$A$433,K$128,Desconto_Cliente_Mes!$B$2:$B$433,$A128,Desconto_Cliente_Mes!$C$2:$C$433,"Umidade")))</f>
        <v>0</v>
      </c>
      <c r="L132" s="15" t="n">
        <f aca="false">MAX(0,(SUMIFS(Desconto_Cliente_Mes!$N$2:$N$433,Desconto_Cliente_Mes!$A$2:$A$433,L$128,Desconto_Cliente_Mes!$B$2:$B$433,$A128,Desconto_Cliente_Mes!$C$2:$C$433,"Umidade"))-(SUMIFS(Desconto_Cliente_Mes!$P$2:$P$433,Desconto_Cliente_Mes!$A$2:$A$433,L$128,Desconto_Cliente_Mes!$B$2:$B$433,$A128,Desconto_Cliente_Mes!$C$2:$C$433,"Umidade")))</f>
        <v>0</v>
      </c>
      <c r="M132" s="15" t="n">
        <f aca="false">MAX(0,(SUMIFS(Desconto_Cliente_Mes!$N$2:$N$433,Desconto_Cliente_Mes!$A$2:$A$433,M$128,Desconto_Cliente_Mes!$B$2:$B$433,$A128,Desconto_Cliente_Mes!$C$2:$C$433,"Umidade"))-(SUMIFS(Desconto_Cliente_Mes!$P$2:$P$433,Desconto_Cliente_Mes!$A$2:$A$433,M$128,Desconto_Cliente_Mes!$B$2:$B$433,$A128,Desconto_Cliente_Mes!$C$2:$C$433,"Umidade")))</f>
        <v>0</v>
      </c>
    </row>
    <row r="133" customFormat="false" ht="15" hidden="false" customHeight="false" outlineLevel="0" collapsed="false">
      <c r="A133" s="13" t="s">
        <v>78</v>
      </c>
      <c r="B133" s="15" t="n">
        <f aca="false">MAX(0,SUMIFS(Desconto_Cliente_Mes!$P$2:$P$433,Desconto_Cliente_Mes!$A$2:$A$433,B$128,Desconto_Cliente_Mes!$B$2:$B$433,$A128,Desconto_Cliente_Mes!$C$2:$C$433,"Umidade"))</f>
        <v>0</v>
      </c>
      <c r="C133" s="15" t="n">
        <f aca="false">MAX(0,SUMIFS(Desconto_Cliente_Mes!$P$2:$P$433,Desconto_Cliente_Mes!$A$2:$A$433,C$128,Desconto_Cliente_Mes!$B$2:$B$433,$A128,Desconto_Cliente_Mes!$C$2:$C$433,"Umidade"))</f>
        <v>0</v>
      </c>
      <c r="D133" s="15" t="n">
        <f aca="false">MAX(0,SUMIFS(Desconto_Cliente_Mes!$P$2:$P$433,Desconto_Cliente_Mes!$A$2:$A$433,D$128,Desconto_Cliente_Mes!$B$2:$B$433,$A128,Desconto_Cliente_Mes!$C$2:$C$433,"Umidade"))</f>
        <v>0</v>
      </c>
      <c r="E133" s="15" t="n">
        <f aca="false">MAX(0,SUMIFS(Desconto_Cliente_Mes!$P$2:$P$433,Desconto_Cliente_Mes!$A$2:$A$433,E$128,Desconto_Cliente_Mes!$B$2:$B$433,$A128,Desconto_Cliente_Mes!$C$2:$C$433,"Umidade"))</f>
        <v>0</v>
      </c>
      <c r="F133" s="15" t="n">
        <f aca="false">MAX(0,SUMIFS(Desconto_Cliente_Mes!$P$2:$P$433,Desconto_Cliente_Mes!$A$2:$A$433,F$128,Desconto_Cliente_Mes!$B$2:$B$433,$A128,Desconto_Cliente_Mes!$C$2:$C$433,"Umidade"))</f>
        <v>0</v>
      </c>
      <c r="G133" s="15" t="n">
        <f aca="false">MAX(0,SUMIFS(Desconto_Cliente_Mes!$P$2:$P$433,Desconto_Cliente_Mes!$A$2:$A$433,G$128,Desconto_Cliente_Mes!$B$2:$B$433,$A128,Desconto_Cliente_Mes!$C$2:$C$433,"Umidade"))</f>
        <v>0</v>
      </c>
      <c r="H133" s="15" t="n">
        <f aca="false">MAX(0,SUMIFS(Desconto_Cliente_Mes!$P$2:$P$433,Desconto_Cliente_Mes!$A$2:$A$433,H$128,Desconto_Cliente_Mes!$B$2:$B$433,$A128,Desconto_Cliente_Mes!$C$2:$C$433,"Umidade"))</f>
        <v>0</v>
      </c>
      <c r="I133" s="15" t="n">
        <f aca="false">MAX(0,SUMIFS(Desconto_Cliente_Mes!$P$2:$P$433,Desconto_Cliente_Mes!$A$2:$A$433,I$128,Desconto_Cliente_Mes!$B$2:$B$433,$A128,Desconto_Cliente_Mes!$C$2:$C$433,"Umidade"))</f>
        <v>0</v>
      </c>
      <c r="J133" s="15" t="n">
        <f aca="false">MAX(0,SUMIFS(Desconto_Cliente_Mes!$P$2:$P$433,Desconto_Cliente_Mes!$A$2:$A$433,J$128,Desconto_Cliente_Mes!$B$2:$B$433,$A128,Desconto_Cliente_Mes!$C$2:$C$433,"Umidade"))</f>
        <v>0</v>
      </c>
      <c r="K133" s="15" t="n">
        <f aca="false">MAX(0,SUMIFS(Desconto_Cliente_Mes!$P$2:$P$433,Desconto_Cliente_Mes!$A$2:$A$433,K$128,Desconto_Cliente_Mes!$B$2:$B$433,$A128,Desconto_Cliente_Mes!$C$2:$C$433,"Umidade"))</f>
        <v>0</v>
      </c>
      <c r="L133" s="15" t="n">
        <f aca="false">MAX(0,SUMIFS(Desconto_Cliente_Mes!$P$2:$P$433,Desconto_Cliente_Mes!$A$2:$A$433,L$128,Desconto_Cliente_Mes!$B$2:$B$433,$A128,Desconto_Cliente_Mes!$C$2:$C$433,"Umidade"))</f>
        <v>0</v>
      </c>
      <c r="M133" s="15" t="n">
        <f aca="false">MAX(0,SUMIFS(Desconto_Cliente_Mes!$P$2:$P$433,Desconto_Cliente_Mes!$A$2:$A$433,M$128,Desconto_Cliente_Mes!$B$2:$B$433,$A128,Desconto_Cliente_Mes!$C$2:$C$433,"Umidade"))</f>
        <v>0</v>
      </c>
    </row>
    <row r="134" customFormat="false" ht="15" hidden="false" customHeight="false" outlineLevel="0" collapsed="false">
      <c r="A134" s="13" t="s">
        <v>79</v>
      </c>
      <c r="B134" s="16" t="n">
        <f aca="false">$B$130*($B$131/100)*(SUMIFS(Desconto_Cliente_Mes!$Q$2:$Q$433,Desconto_Cliente_Mes!$A$2:$A$433,B$128,Desconto_Cliente_Mes!$B$2:$B$433,$A128,Desconto_Cliente_Mes!$C$2:$C$433,"Umidade"))*(SUMIFS(Desconto_Cliente_Mes!$T$2:$T$433,Desconto_Cliente_Mes!$A$2:$A$433,B$128,Desconto_Cliente_Mes!$B$2:$B$433,$A128,Desconto_Cliente_Mes!$C$2:$C$433,"Umidade"))</f>
        <v>0</v>
      </c>
      <c r="C134" s="16" t="n">
        <f aca="false">$C$130*($C$131/100)*(SUMIFS(Desconto_Cliente_Mes!$Q$2:$Q$433,Desconto_Cliente_Mes!$A$2:$A$433,C$128,Desconto_Cliente_Mes!$B$2:$B$433,$A128,Desconto_Cliente_Mes!$C$2:$C$433,"Umidade"))*(SUMIFS(Desconto_Cliente_Mes!$T$2:$T$433,Desconto_Cliente_Mes!$A$2:$A$433,C$128,Desconto_Cliente_Mes!$B$2:$B$433,$A128,Desconto_Cliente_Mes!$C$2:$C$433,"Umidade"))</f>
        <v>0</v>
      </c>
      <c r="D134" s="16" t="n">
        <f aca="false">$D$130*($D$131/100)*(SUMIFS(Desconto_Cliente_Mes!$Q$2:$Q$433,Desconto_Cliente_Mes!$A$2:$A$433,D$128,Desconto_Cliente_Mes!$B$2:$B$433,$A128,Desconto_Cliente_Mes!$C$2:$C$433,"Umidade"))*(SUMIFS(Desconto_Cliente_Mes!$T$2:$T$433,Desconto_Cliente_Mes!$A$2:$A$433,D$128,Desconto_Cliente_Mes!$B$2:$B$433,$A128,Desconto_Cliente_Mes!$C$2:$C$433,"Umidade"))</f>
        <v>0</v>
      </c>
      <c r="E134" s="16" t="n">
        <f aca="false">$E$130*($E$131/100)*(SUMIFS(Desconto_Cliente_Mes!$Q$2:$Q$433,Desconto_Cliente_Mes!$A$2:$A$433,E$128,Desconto_Cliente_Mes!$B$2:$B$433,$A128,Desconto_Cliente_Mes!$C$2:$C$433,"Umidade"))*(SUMIFS(Desconto_Cliente_Mes!$T$2:$T$433,Desconto_Cliente_Mes!$A$2:$A$433,E$128,Desconto_Cliente_Mes!$B$2:$B$433,$A128,Desconto_Cliente_Mes!$C$2:$C$433,"Umidade"))</f>
        <v>0</v>
      </c>
      <c r="F134" s="16" t="n">
        <f aca="false">$F$130*($F$131/100)*(SUMIFS(Desconto_Cliente_Mes!$Q$2:$Q$433,Desconto_Cliente_Mes!$A$2:$A$433,F$128,Desconto_Cliente_Mes!$B$2:$B$433,$A128,Desconto_Cliente_Mes!$C$2:$C$433,"Umidade"))*(SUMIFS(Desconto_Cliente_Mes!$T$2:$T$433,Desconto_Cliente_Mes!$A$2:$A$433,F$128,Desconto_Cliente_Mes!$B$2:$B$433,$A128,Desconto_Cliente_Mes!$C$2:$C$433,"Umidade"))</f>
        <v>0</v>
      </c>
      <c r="G134" s="16" t="n">
        <f aca="false">$G$130*($G$131/100)*(SUMIFS(Desconto_Cliente_Mes!$Q$2:$Q$433,Desconto_Cliente_Mes!$A$2:$A$433,G$128,Desconto_Cliente_Mes!$B$2:$B$433,$A128,Desconto_Cliente_Mes!$C$2:$C$433,"Umidade"))*(SUMIFS(Desconto_Cliente_Mes!$T$2:$T$433,Desconto_Cliente_Mes!$A$2:$A$433,G$128,Desconto_Cliente_Mes!$B$2:$B$433,$A128,Desconto_Cliente_Mes!$C$2:$C$433,"Umidade"))</f>
        <v>0</v>
      </c>
      <c r="H134" s="16" t="n">
        <f aca="false">$H$130*($H$131/100)*(SUMIFS(Desconto_Cliente_Mes!$Q$2:$Q$433,Desconto_Cliente_Mes!$A$2:$A$433,H$128,Desconto_Cliente_Mes!$B$2:$B$433,$A128,Desconto_Cliente_Mes!$C$2:$C$433,"Umidade"))*(SUMIFS(Desconto_Cliente_Mes!$T$2:$T$433,Desconto_Cliente_Mes!$A$2:$A$433,H$128,Desconto_Cliente_Mes!$B$2:$B$433,$A128,Desconto_Cliente_Mes!$C$2:$C$433,"Umidade"))</f>
        <v>0</v>
      </c>
      <c r="I134" s="16" t="n">
        <f aca="false">$I$130*($I$131/100)*(SUMIFS(Desconto_Cliente_Mes!$Q$2:$Q$433,Desconto_Cliente_Mes!$A$2:$A$433,I$128,Desconto_Cliente_Mes!$B$2:$B$433,$A128,Desconto_Cliente_Mes!$C$2:$C$433,"Umidade"))*(SUMIFS(Desconto_Cliente_Mes!$T$2:$T$433,Desconto_Cliente_Mes!$A$2:$A$433,I$128,Desconto_Cliente_Mes!$B$2:$B$433,$A128,Desconto_Cliente_Mes!$C$2:$C$433,"Umidade"))</f>
        <v>0</v>
      </c>
      <c r="J134" s="16" t="n">
        <f aca="false">$J$130*($J$131/100)*(SUMIFS(Desconto_Cliente_Mes!$Q$2:$Q$433,Desconto_Cliente_Mes!$A$2:$A$433,J$128,Desconto_Cliente_Mes!$B$2:$B$433,$A128,Desconto_Cliente_Mes!$C$2:$C$433,"Umidade"))*(SUMIFS(Desconto_Cliente_Mes!$T$2:$T$433,Desconto_Cliente_Mes!$A$2:$A$433,J$128,Desconto_Cliente_Mes!$B$2:$B$433,$A128,Desconto_Cliente_Mes!$C$2:$C$433,"Umidade"))</f>
        <v>0</v>
      </c>
      <c r="K134" s="16" t="n">
        <f aca="false">$K$130*($K$131/100)*(SUMIFS(Desconto_Cliente_Mes!$Q$2:$Q$433,Desconto_Cliente_Mes!$A$2:$A$433,K$128,Desconto_Cliente_Mes!$B$2:$B$433,$A128,Desconto_Cliente_Mes!$C$2:$C$433,"Umidade"))*(SUMIFS(Desconto_Cliente_Mes!$T$2:$T$433,Desconto_Cliente_Mes!$A$2:$A$433,K$128,Desconto_Cliente_Mes!$B$2:$B$433,$A128,Desconto_Cliente_Mes!$C$2:$C$433,"Umidade"))</f>
        <v>0</v>
      </c>
      <c r="L134" s="16" t="n">
        <f aca="false">$L$130*($L$131/100)*(SUMIFS(Desconto_Cliente_Mes!$Q$2:$Q$433,Desconto_Cliente_Mes!$A$2:$A$433,L$128,Desconto_Cliente_Mes!$B$2:$B$433,$A128,Desconto_Cliente_Mes!$C$2:$C$433,"Umidade"))*(SUMIFS(Desconto_Cliente_Mes!$T$2:$T$433,Desconto_Cliente_Mes!$A$2:$A$433,L$128,Desconto_Cliente_Mes!$B$2:$B$433,$A128,Desconto_Cliente_Mes!$C$2:$C$433,"Umidade"))</f>
        <v>0</v>
      </c>
      <c r="M134" s="16" t="n">
        <f aca="false">$M$130*($M$131/100)*(SUMIFS(Desconto_Cliente_Mes!$Q$2:$Q$433,Desconto_Cliente_Mes!$A$2:$A$433,M$128,Desconto_Cliente_Mes!$B$2:$B$433,$A128,Desconto_Cliente_Mes!$C$2:$C$433,"Umidade"))*(SUMIFS(Desconto_Cliente_Mes!$T$2:$T$433,Desconto_Cliente_Mes!$A$2:$A$433,M$128,Desconto_Cliente_Mes!$B$2:$B$433,$A128,Desconto_Cliente_Mes!$C$2:$C$433,"Umidade"))</f>
        <v>0</v>
      </c>
      <c r="N134" s="17" t="n">
        <f aca="false">SUM(B134:M134)</f>
        <v>0</v>
      </c>
    </row>
    <row r="135" customFormat="false" ht="15" hidden="false" customHeight="false" outlineLevel="0" collapsed="false">
      <c r="A135" s="13" t="s">
        <v>80</v>
      </c>
      <c r="B135" s="16" t="n">
        <f aca="false">$B$130*($B$132/100)*((IF(SUMIFS(Desconto_Cliente_Mes!$R$2:$R$433,Desconto_Cliente_Mes!$A$2:$A$433,B$128,Desconto_Cliente_Mes!$B$2:$B$433,$A128,Desconto_Cliente_Mes!$C$2:$C$433,"Umidade")="",SUMIFS(Desconto_Cliente_Mes!$Q$2:$Q$433,Desconto_Cliente_Mes!$A$2:$A$433,B$128,Desconto_Cliente_Mes!$B$2:$B$433,$A128,Desconto_Cliente_Mes!$C$2:$C$433,"Umidade"),SUMIFS(Desconto_Cliente_Mes!$R$2:$R$433,Desconto_Cliente_Mes!$A$2:$A$433,B$128,Desconto_Cliente_Mes!$B$2:$B$433,$A128,Desconto_Cliente_Mes!$C$2:$C$433,"Umidade")))-(SUMIFS(Desconto_Cliente_Mes!$Q$2:$Q$433,Desconto_Cliente_Mes!$A$2:$A$433,B$128,Desconto_Cliente_Mes!$B$2:$B$433,$A128,Desconto_Cliente_Mes!$C$2:$C$433,"Umidade")))*(SUMIFS(Desconto_Cliente_Mes!$T$2:$T$433,Desconto_Cliente_Mes!$A$2:$A$433,B$128,Desconto_Cliente_Mes!$B$2:$B$433,$A128,Desconto_Cliente_Mes!$C$2:$C$433,"Umidade"))</f>
        <v>-0</v>
      </c>
      <c r="C135" s="16" t="n">
        <f aca="false">$C$130*($C$132/100)*((IF(SUMIFS(Desconto_Cliente_Mes!$R$2:$R$433,Desconto_Cliente_Mes!$A$2:$A$433,C$128,Desconto_Cliente_Mes!$B$2:$B$433,$A128,Desconto_Cliente_Mes!$C$2:$C$433,"Umidade")="",SUMIFS(Desconto_Cliente_Mes!$Q$2:$Q$433,Desconto_Cliente_Mes!$A$2:$A$433,C$128,Desconto_Cliente_Mes!$B$2:$B$433,$A128,Desconto_Cliente_Mes!$C$2:$C$433,"Umidade"),SUMIFS(Desconto_Cliente_Mes!$R$2:$R$433,Desconto_Cliente_Mes!$A$2:$A$433,C$128,Desconto_Cliente_Mes!$B$2:$B$433,$A128,Desconto_Cliente_Mes!$C$2:$C$433,"Umidade")))-(SUMIFS(Desconto_Cliente_Mes!$Q$2:$Q$433,Desconto_Cliente_Mes!$A$2:$A$433,C$128,Desconto_Cliente_Mes!$B$2:$B$433,$A128,Desconto_Cliente_Mes!$C$2:$C$433,"Umidade")))*(SUMIFS(Desconto_Cliente_Mes!$T$2:$T$433,Desconto_Cliente_Mes!$A$2:$A$433,C$128,Desconto_Cliente_Mes!$B$2:$B$433,$A128,Desconto_Cliente_Mes!$C$2:$C$433,"Umidade"))</f>
        <v>-0</v>
      </c>
      <c r="D135" s="16" t="n">
        <f aca="false">$D$130*($D$132/100)*((IF(SUMIFS(Desconto_Cliente_Mes!$R$2:$R$433,Desconto_Cliente_Mes!$A$2:$A$433,D$128,Desconto_Cliente_Mes!$B$2:$B$433,$A128,Desconto_Cliente_Mes!$C$2:$C$433,"Umidade")="",SUMIFS(Desconto_Cliente_Mes!$Q$2:$Q$433,Desconto_Cliente_Mes!$A$2:$A$433,D$128,Desconto_Cliente_Mes!$B$2:$B$433,$A128,Desconto_Cliente_Mes!$C$2:$C$433,"Umidade"),SUMIFS(Desconto_Cliente_Mes!$R$2:$R$433,Desconto_Cliente_Mes!$A$2:$A$433,D$128,Desconto_Cliente_Mes!$B$2:$B$433,$A128,Desconto_Cliente_Mes!$C$2:$C$433,"Umidade")))-(SUMIFS(Desconto_Cliente_Mes!$Q$2:$Q$433,Desconto_Cliente_Mes!$A$2:$A$433,D$128,Desconto_Cliente_Mes!$B$2:$B$433,$A128,Desconto_Cliente_Mes!$C$2:$C$433,"Umidade")))*(SUMIFS(Desconto_Cliente_Mes!$T$2:$T$433,Desconto_Cliente_Mes!$A$2:$A$433,D$128,Desconto_Cliente_Mes!$B$2:$B$433,$A128,Desconto_Cliente_Mes!$C$2:$C$433,"Umidade"))</f>
        <v>-0</v>
      </c>
      <c r="E135" s="16" t="n">
        <f aca="false">$E$130*($E$132/100)*((IF(SUMIFS(Desconto_Cliente_Mes!$R$2:$R$433,Desconto_Cliente_Mes!$A$2:$A$433,E$128,Desconto_Cliente_Mes!$B$2:$B$433,$A128,Desconto_Cliente_Mes!$C$2:$C$433,"Umidade")="",SUMIFS(Desconto_Cliente_Mes!$Q$2:$Q$433,Desconto_Cliente_Mes!$A$2:$A$433,E$128,Desconto_Cliente_Mes!$B$2:$B$433,$A128,Desconto_Cliente_Mes!$C$2:$C$433,"Umidade"),SUMIFS(Desconto_Cliente_Mes!$R$2:$R$433,Desconto_Cliente_Mes!$A$2:$A$433,E$128,Desconto_Cliente_Mes!$B$2:$B$433,$A128,Desconto_Cliente_Mes!$C$2:$C$433,"Umidade")))-(SUMIFS(Desconto_Cliente_Mes!$Q$2:$Q$433,Desconto_Cliente_Mes!$A$2:$A$433,E$128,Desconto_Cliente_Mes!$B$2:$B$433,$A128,Desconto_Cliente_Mes!$C$2:$C$433,"Umidade")))*(SUMIFS(Desconto_Cliente_Mes!$T$2:$T$433,Desconto_Cliente_Mes!$A$2:$A$433,E$128,Desconto_Cliente_Mes!$B$2:$B$433,$A128,Desconto_Cliente_Mes!$C$2:$C$433,"Umidade"))</f>
        <v>-0</v>
      </c>
      <c r="F135" s="16" t="n">
        <f aca="false">$F$130*($F$132/100)*((IF(SUMIFS(Desconto_Cliente_Mes!$R$2:$R$433,Desconto_Cliente_Mes!$A$2:$A$433,F$128,Desconto_Cliente_Mes!$B$2:$B$433,$A128,Desconto_Cliente_Mes!$C$2:$C$433,"Umidade")="",SUMIFS(Desconto_Cliente_Mes!$Q$2:$Q$433,Desconto_Cliente_Mes!$A$2:$A$433,F$128,Desconto_Cliente_Mes!$B$2:$B$433,$A128,Desconto_Cliente_Mes!$C$2:$C$433,"Umidade"),SUMIFS(Desconto_Cliente_Mes!$R$2:$R$433,Desconto_Cliente_Mes!$A$2:$A$433,F$128,Desconto_Cliente_Mes!$B$2:$B$433,$A128,Desconto_Cliente_Mes!$C$2:$C$433,"Umidade")))-(SUMIFS(Desconto_Cliente_Mes!$Q$2:$Q$433,Desconto_Cliente_Mes!$A$2:$A$433,F$128,Desconto_Cliente_Mes!$B$2:$B$433,$A128,Desconto_Cliente_Mes!$C$2:$C$433,"Umidade")))*(SUMIFS(Desconto_Cliente_Mes!$T$2:$T$433,Desconto_Cliente_Mes!$A$2:$A$433,F$128,Desconto_Cliente_Mes!$B$2:$B$433,$A128,Desconto_Cliente_Mes!$C$2:$C$433,"Umidade"))</f>
        <v>-0</v>
      </c>
      <c r="G135" s="16" t="n">
        <f aca="false">$G$130*($G$132/100)*((IF(SUMIFS(Desconto_Cliente_Mes!$R$2:$R$433,Desconto_Cliente_Mes!$A$2:$A$433,G$128,Desconto_Cliente_Mes!$B$2:$B$433,$A128,Desconto_Cliente_Mes!$C$2:$C$433,"Umidade")="",SUMIFS(Desconto_Cliente_Mes!$Q$2:$Q$433,Desconto_Cliente_Mes!$A$2:$A$433,G$128,Desconto_Cliente_Mes!$B$2:$B$433,$A128,Desconto_Cliente_Mes!$C$2:$C$433,"Umidade"),SUMIFS(Desconto_Cliente_Mes!$R$2:$R$433,Desconto_Cliente_Mes!$A$2:$A$433,G$128,Desconto_Cliente_Mes!$B$2:$B$433,$A128,Desconto_Cliente_Mes!$C$2:$C$433,"Umidade")))-(SUMIFS(Desconto_Cliente_Mes!$Q$2:$Q$433,Desconto_Cliente_Mes!$A$2:$A$433,G$128,Desconto_Cliente_Mes!$B$2:$B$433,$A128,Desconto_Cliente_Mes!$C$2:$C$433,"Umidade")))*(SUMIFS(Desconto_Cliente_Mes!$T$2:$T$433,Desconto_Cliente_Mes!$A$2:$A$433,G$128,Desconto_Cliente_Mes!$B$2:$B$433,$A128,Desconto_Cliente_Mes!$C$2:$C$433,"Umidade"))</f>
        <v>-0</v>
      </c>
      <c r="H135" s="16" t="n">
        <f aca="false">$H$130*($H$132/100)*((IF(SUMIFS(Desconto_Cliente_Mes!$R$2:$R$433,Desconto_Cliente_Mes!$A$2:$A$433,H$128,Desconto_Cliente_Mes!$B$2:$B$433,$A128,Desconto_Cliente_Mes!$C$2:$C$433,"Umidade")="",SUMIFS(Desconto_Cliente_Mes!$Q$2:$Q$433,Desconto_Cliente_Mes!$A$2:$A$433,H$128,Desconto_Cliente_Mes!$B$2:$B$433,$A128,Desconto_Cliente_Mes!$C$2:$C$433,"Umidade"),SUMIFS(Desconto_Cliente_Mes!$R$2:$R$433,Desconto_Cliente_Mes!$A$2:$A$433,H$128,Desconto_Cliente_Mes!$B$2:$B$433,$A128,Desconto_Cliente_Mes!$C$2:$C$433,"Umidade")))-(SUMIFS(Desconto_Cliente_Mes!$Q$2:$Q$433,Desconto_Cliente_Mes!$A$2:$A$433,H$128,Desconto_Cliente_Mes!$B$2:$B$433,$A128,Desconto_Cliente_Mes!$C$2:$C$433,"Umidade")))*(SUMIFS(Desconto_Cliente_Mes!$T$2:$T$433,Desconto_Cliente_Mes!$A$2:$A$433,H$128,Desconto_Cliente_Mes!$B$2:$B$433,$A128,Desconto_Cliente_Mes!$C$2:$C$433,"Umidade"))</f>
        <v>-0</v>
      </c>
      <c r="I135" s="16" t="n">
        <f aca="false">$I$130*($I$132/100)*((IF(SUMIFS(Desconto_Cliente_Mes!$R$2:$R$433,Desconto_Cliente_Mes!$A$2:$A$433,I$128,Desconto_Cliente_Mes!$B$2:$B$433,$A128,Desconto_Cliente_Mes!$C$2:$C$433,"Umidade")="",SUMIFS(Desconto_Cliente_Mes!$Q$2:$Q$433,Desconto_Cliente_Mes!$A$2:$A$433,I$128,Desconto_Cliente_Mes!$B$2:$B$433,$A128,Desconto_Cliente_Mes!$C$2:$C$433,"Umidade"),SUMIFS(Desconto_Cliente_Mes!$R$2:$R$433,Desconto_Cliente_Mes!$A$2:$A$433,I$128,Desconto_Cliente_Mes!$B$2:$B$433,$A128,Desconto_Cliente_Mes!$C$2:$C$433,"Umidade")))-(SUMIFS(Desconto_Cliente_Mes!$Q$2:$Q$433,Desconto_Cliente_Mes!$A$2:$A$433,I$128,Desconto_Cliente_Mes!$B$2:$B$433,$A128,Desconto_Cliente_Mes!$C$2:$C$433,"Umidade")))*(SUMIFS(Desconto_Cliente_Mes!$T$2:$T$433,Desconto_Cliente_Mes!$A$2:$A$433,I$128,Desconto_Cliente_Mes!$B$2:$B$433,$A128,Desconto_Cliente_Mes!$C$2:$C$433,"Umidade"))</f>
        <v>-0</v>
      </c>
      <c r="J135" s="16" t="n">
        <f aca="false">$J$130*($J$132/100)*((IF(SUMIFS(Desconto_Cliente_Mes!$R$2:$R$433,Desconto_Cliente_Mes!$A$2:$A$433,J$128,Desconto_Cliente_Mes!$B$2:$B$433,$A128,Desconto_Cliente_Mes!$C$2:$C$433,"Umidade")="",SUMIFS(Desconto_Cliente_Mes!$Q$2:$Q$433,Desconto_Cliente_Mes!$A$2:$A$433,J$128,Desconto_Cliente_Mes!$B$2:$B$433,$A128,Desconto_Cliente_Mes!$C$2:$C$433,"Umidade"),SUMIFS(Desconto_Cliente_Mes!$R$2:$R$433,Desconto_Cliente_Mes!$A$2:$A$433,J$128,Desconto_Cliente_Mes!$B$2:$B$433,$A128,Desconto_Cliente_Mes!$C$2:$C$433,"Umidade")))-(SUMIFS(Desconto_Cliente_Mes!$Q$2:$Q$433,Desconto_Cliente_Mes!$A$2:$A$433,J$128,Desconto_Cliente_Mes!$B$2:$B$433,$A128,Desconto_Cliente_Mes!$C$2:$C$433,"Umidade")))*(SUMIFS(Desconto_Cliente_Mes!$T$2:$T$433,Desconto_Cliente_Mes!$A$2:$A$433,J$128,Desconto_Cliente_Mes!$B$2:$B$433,$A128,Desconto_Cliente_Mes!$C$2:$C$433,"Umidade"))</f>
        <v>-0</v>
      </c>
      <c r="K135" s="16" t="n">
        <f aca="false">$K$130*($K$132/100)*((IF(SUMIFS(Desconto_Cliente_Mes!$R$2:$R$433,Desconto_Cliente_Mes!$A$2:$A$433,K$128,Desconto_Cliente_Mes!$B$2:$B$433,$A128,Desconto_Cliente_Mes!$C$2:$C$433,"Umidade")="",SUMIFS(Desconto_Cliente_Mes!$Q$2:$Q$433,Desconto_Cliente_Mes!$A$2:$A$433,K$128,Desconto_Cliente_Mes!$B$2:$B$433,$A128,Desconto_Cliente_Mes!$C$2:$C$433,"Umidade"),SUMIFS(Desconto_Cliente_Mes!$R$2:$R$433,Desconto_Cliente_Mes!$A$2:$A$433,K$128,Desconto_Cliente_Mes!$B$2:$B$433,$A128,Desconto_Cliente_Mes!$C$2:$C$433,"Umidade")))-(SUMIFS(Desconto_Cliente_Mes!$Q$2:$Q$433,Desconto_Cliente_Mes!$A$2:$A$433,K$128,Desconto_Cliente_Mes!$B$2:$B$433,$A128,Desconto_Cliente_Mes!$C$2:$C$433,"Umidade")))*(SUMIFS(Desconto_Cliente_Mes!$T$2:$T$433,Desconto_Cliente_Mes!$A$2:$A$433,K$128,Desconto_Cliente_Mes!$B$2:$B$433,$A128,Desconto_Cliente_Mes!$C$2:$C$433,"Umidade"))</f>
        <v>-0</v>
      </c>
      <c r="L135" s="16" t="n">
        <f aca="false">$L$130*($L$132/100)*((IF(SUMIFS(Desconto_Cliente_Mes!$R$2:$R$433,Desconto_Cliente_Mes!$A$2:$A$433,L$128,Desconto_Cliente_Mes!$B$2:$B$433,$A128,Desconto_Cliente_Mes!$C$2:$C$433,"Umidade")="",SUMIFS(Desconto_Cliente_Mes!$Q$2:$Q$433,Desconto_Cliente_Mes!$A$2:$A$433,L$128,Desconto_Cliente_Mes!$B$2:$B$433,$A128,Desconto_Cliente_Mes!$C$2:$C$433,"Umidade"),SUMIFS(Desconto_Cliente_Mes!$R$2:$R$433,Desconto_Cliente_Mes!$A$2:$A$433,L$128,Desconto_Cliente_Mes!$B$2:$B$433,$A128,Desconto_Cliente_Mes!$C$2:$C$433,"Umidade")))-(SUMIFS(Desconto_Cliente_Mes!$Q$2:$Q$433,Desconto_Cliente_Mes!$A$2:$A$433,L$128,Desconto_Cliente_Mes!$B$2:$B$433,$A128,Desconto_Cliente_Mes!$C$2:$C$433,"Umidade")))*(SUMIFS(Desconto_Cliente_Mes!$T$2:$T$433,Desconto_Cliente_Mes!$A$2:$A$433,L$128,Desconto_Cliente_Mes!$B$2:$B$433,$A128,Desconto_Cliente_Mes!$C$2:$C$433,"Umidade"))</f>
        <v>-0</v>
      </c>
      <c r="M135" s="16" t="n">
        <f aca="false">$M$130*($M$132/100)*((IF(SUMIFS(Desconto_Cliente_Mes!$R$2:$R$433,Desconto_Cliente_Mes!$A$2:$A$433,M$128,Desconto_Cliente_Mes!$B$2:$B$433,$A128,Desconto_Cliente_Mes!$C$2:$C$433,"Umidade")="",SUMIFS(Desconto_Cliente_Mes!$Q$2:$Q$433,Desconto_Cliente_Mes!$A$2:$A$433,M$128,Desconto_Cliente_Mes!$B$2:$B$433,$A128,Desconto_Cliente_Mes!$C$2:$C$433,"Umidade"),SUMIFS(Desconto_Cliente_Mes!$R$2:$R$433,Desconto_Cliente_Mes!$A$2:$A$433,M$128,Desconto_Cliente_Mes!$B$2:$B$433,$A128,Desconto_Cliente_Mes!$C$2:$C$433,"Umidade")))-(SUMIFS(Desconto_Cliente_Mes!$Q$2:$Q$433,Desconto_Cliente_Mes!$A$2:$A$433,M$128,Desconto_Cliente_Mes!$B$2:$B$433,$A128,Desconto_Cliente_Mes!$C$2:$C$433,"Umidade")))*(SUMIFS(Desconto_Cliente_Mes!$T$2:$T$433,Desconto_Cliente_Mes!$A$2:$A$433,M$128,Desconto_Cliente_Mes!$B$2:$B$433,$A128,Desconto_Cliente_Mes!$C$2:$C$433,"Umidade"))</f>
        <v>-0</v>
      </c>
      <c r="N135" s="17" t="n">
        <f aca="false">SUM(B135:M135)</f>
        <v>0</v>
      </c>
    </row>
    <row r="136" customFormat="false" ht="15" hidden="false" customHeight="false" outlineLevel="0" collapsed="false">
      <c r="A136" s="13" t="s">
        <v>81</v>
      </c>
      <c r="B136" s="16" t="n">
        <f aca="false">$B$130*($B$133/100)*((IF(SUMIFS(Desconto_Cliente_Mes!$S$2:$S$433,Desconto_Cliente_Mes!$A$2:$A$433,B$128,Desconto_Cliente_Mes!$B$2:$B$433,$A128,Desconto_Cliente_Mes!$C$2:$C$433,"Umidade")="",(IF(SUMIFS(Desconto_Cliente_Mes!$R$2:$R$433,Desconto_Cliente_Mes!$A$2:$A$433,B$128,Desconto_Cliente_Mes!$B$2:$B$433,$A128,Desconto_Cliente_Mes!$C$2:$C$433,"Umidade")="",SUMIFS(Desconto_Cliente_Mes!$Q$2:$Q$433,Desconto_Cliente_Mes!$A$2:$A$433,B$128,Desconto_Cliente_Mes!$B$2:$B$433,$A128,Desconto_Cliente_Mes!$C$2:$C$433,"Umidade"),SUMIFS(Desconto_Cliente_Mes!$R$2:$R$433,Desconto_Cliente_Mes!$A$2:$A$433,B$128,Desconto_Cliente_Mes!$B$2:$B$433,$A128,Desconto_Cliente_Mes!$C$2:$C$433,"Umidade"))),SUMIFS(Desconto_Cliente_Mes!$S$2:$S$433,Desconto_Cliente_Mes!$A$2:$A$433,B$128,Desconto_Cliente_Mes!$B$2:$B$433,$A128,Desconto_Cliente_Mes!$C$2:$C$433,"Umidade")))-(IF(SUMIFS(Desconto_Cliente_Mes!$R$2:$R$433,Desconto_Cliente_Mes!$A$2:$A$433,B$128,Desconto_Cliente_Mes!$B$2:$B$433,$A128,Desconto_Cliente_Mes!$C$2:$C$433,"Umidade")="",SUMIFS(Desconto_Cliente_Mes!$Q$2:$Q$433,Desconto_Cliente_Mes!$A$2:$A$433,B$128,Desconto_Cliente_Mes!$B$2:$B$433,$A128,Desconto_Cliente_Mes!$C$2:$C$433,"Umidade"),SUMIFS(Desconto_Cliente_Mes!$R$2:$R$433,Desconto_Cliente_Mes!$A$2:$A$433,B$128,Desconto_Cliente_Mes!$B$2:$B$433,$A128,Desconto_Cliente_Mes!$C$2:$C$433,"Umidade"))))*(SUMIFS(Desconto_Cliente_Mes!$T$2:$T$433,Desconto_Cliente_Mes!$A$2:$A$433,B$128,Desconto_Cliente_Mes!$B$2:$B$433,$A128,Desconto_Cliente_Mes!$C$2:$C$433,"Umidade"))</f>
        <v>0</v>
      </c>
      <c r="C136" s="16" t="n">
        <f aca="false">$C$130*($C$133/100)*((IF(SUMIFS(Desconto_Cliente_Mes!$S$2:$S$433,Desconto_Cliente_Mes!$A$2:$A$433,C$128,Desconto_Cliente_Mes!$B$2:$B$433,$A128,Desconto_Cliente_Mes!$C$2:$C$433,"Umidade")="",(IF(SUMIFS(Desconto_Cliente_Mes!$R$2:$R$433,Desconto_Cliente_Mes!$A$2:$A$433,C$128,Desconto_Cliente_Mes!$B$2:$B$433,$A128,Desconto_Cliente_Mes!$C$2:$C$433,"Umidade")="",SUMIFS(Desconto_Cliente_Mes!$Q$2:$Q$433,Desconto_Cliente_Mes!$A$2:$A$433,C$128,Desconto_Cliente_Mes!$B$2:$B$433,$A128,Desconto_Cliente_Mes!$C$2:$C$433,"Umidade"),SUMIFS(Desconto_Cliente_Mes!$R$2:$R$433,Desconto_Cliente_Mes!$A$2:$A$433,C$128,Desconto_Cliente_Mes!$B$2:$B$433,$A128,Desconto_Cliente_Mes!$C$2:$C$433,"Umidade"))),SUMIFS(Desconto_Cliente_Mes!$S$2:$S$433,Desconto_Cliente_Mes!$A$2:$A$433,C$128,Desconto_Cliente_Mes!$B$2:$B$433,$A128,Desconto_Cliente_Mes!$C$2:$C$433,"Umidade")))-(IF(SUMIFS(Desconto_Cliente_Mes!$R$2:$R$433,Desconto_Cliente_Mes!$A$2:$A$433,C$128,Desconto_Cliente_Mes!$B$2:$B$433,$A128,Desconto_Cliente_Mes!$C$2:$C$433,"Umidade")="",SUMIFS(Desconto_Cliente_Mes!$Q$2:$Q$433,Desconto_Cliente_Mes!$A$2:$A$433,C$128,Desconto_Cliente_Mes!$B$2:$B$433,$A128,Desconto_Cliente_Mes!$C$2:$C$433,"Umidade"),SUMIFS(Desconto_Cliente_Mes!$R$2:$R$433,Desconto_Cliente_Mes!$A$2:$A$433,C$128,Desconto_Cliente_Mes!$B$2:$B$433,$A128,Desconto_Cliente_Mes!$C$2:$C$433,"Umidade"))))*(SUMIFS(Desconto_Cliente_Mes!$T$2:$T$433,Desconto_Cliente_Mes!$A$2:$A$433,C$128,Desconto_Cliente_Mes!$B$2:$B$433,$A128,Desconto_Cliente_Mes!$C$2:$C$433,"Umidade"))</f>
        <v>0</v>
      </c>
      <c r="D136" s="16" t="n">
        <f aca="false">$D$130*($D$133/100)*((IF(SUMIFS(Desconto_Cliente_Mes!$S$2:$S$433,Desconto_Cliente_Mes!$A$2:$A$433,D$128,Desconto_Cliente_Mes!$B$2:$B$433,$A128,Desconto_Cliente_Mes!$C$2:$C$433,"Umidade")="",(IF(SUMIFS(Desconto_Cliente_Mes!$R$2:$R$433,Desconto_Cliente_Mes!$A$2:$A$433,D$128,Desconto_Cliente_Mes!$B$2:$B$433,$A128,Desconto_Cliente_Mes!$C$2:$C$433,"Umidade")="",SUMIFS(Desconto_Cliente_Mes!$Q$2:$Q$433,Desconto_Cliente_Mes!$A$2:$A$433,D$128,Desconto_Cliente_Mes!$B$2:$B$433,$A128,Desconto_Cliente_Mes!$C$2:$C$433,"Umidade"),SUMIFS(Desconto_Cliente_Mes!$R$2:$R$433,Desconto_Cliente_Mes!$A$2:$A$433,D$128,Desconto_Cliente_Mes!$B$2:$B$433,$A128,Desconto_Cliente_Mes!$C$2:$C$433,"Umidade"))),SUMIFS(Desconto_Cliente_Mes!$S$2:$S$433,Desconto_Cliente_Mes!$A$2:$A$433,D$128,Desconto_Cliente_Mes!$B$2:$B$433,$A128,Desconto_Cliente_Mes!$C$2:$C$433,"Umidade")))-(IF(SUMIFS(Desconto_Cliente_Mes!$R$2:$R$433,Desconto_Cliente_Mes!$A$2:$A$433,D$128,Desconto_Cliente_Mes!$B$2:$B$433,$A128,Desconto_Cliente_Mes!$C$2:$C$433,"Umidade")="",SUMIFS(Desconto_Cliente_Mes!$Q$2:$Q$433,Desconto_Cliente_Mes!$A$2:$A$433,D$128,Desconto_Cliente_Mes!$B$2:$B$433,$A128,Desconto_Cliente_Mes!$C$2:$C$433,"Umidade"),SUMIFS(Desconto_Cliente_Mes!$R$2:$R$433,Desconto_Cliente_Mes!$A$2:$A$433,D$128,Desconto_Cliente_Mes!$B$2:$B$433,$A128,Desconto_Cliente_Mes!$C$2:$C$433,"Umidade"))))*(SUMIFS(Desconto_Cliente_Mes!$T$2:$T$433,Desconto_Cliente_Mes!$A$2:$A$433,D$128,Desconto_Cliente_Mes!$B$2:$B$433,$A128,Desconto_Cliente_Mes!$C$2:$C$433,"Umidade"))</f>
        <v>0</v>
      </c>
      <c r="E136" s="16" t="n">
        <f aca="false">$E$130*($E$133/100)*((IF(SUMIFS(Desconto_Cliente_Mes!$S$2:$S$433,Desconto_Cliente_Mes!$A$2:$A$433,E$128,Desconto_Cliente_Mes!$B$2:$B$433,$A128,Desconto_Cliente_Mes!$C$2:$C$433,"Umidade")="",(IF(SUMIFS(Desconto_Cliente_Mes!$R$2:$R$433,Desconto_Cliente_Mes!$A$2:$A$433,E$128,Desconto_Cliente_Mes!$B$2:$B$433,$A128,Desconto_Cliente_Mes!$C$2:$C$433,"Umidade")="",SUMIFS(Desconto_Cliente_Mes!$Q$2:$Q$433,Desconto_Cliente_Mes!$A$2:$A$433,E$128,Desconto_Cliente_Mes!$B$2:$B$433,$A128,Desconto_Cliente_Mes!$C$2:$C$433,"Umidade"),SUMIFS(Desconto_Cliente_Mes!$R$2:$R$433,Desconto_Cliente_Mes!$A$2:$A$433,E$128,Desconto_Cliente_Mes!$B$2:$B$433,$A128,Desconto_Cliente_Mes!$C$2:$C$433,"Umidade"))),SUMIFS(Desconto_Cliente_Mes!$S$2:$S$433,Desconto_Cliente_Mes!$A$2:$A$433,E$128,Desconto_Cliente_Mes!$B$2:$B$433,$A128,Desconto_Cliente_Mes!$C$2:$C$433,"Umidade")))-(IF(SUMIFS(Desconto_Cliente_Mes!$R$2:$R$433,Desconto_Cliente_Mes!$A$2:$A$433,E$128,Desconto_Cliente_Mes!$B$2:$B$433,$A128,Desconto_Cliente_Mes!$C$2:$C$433,"Umidade")="",SUMIFS(Desconto_Cliente_Mes!$Q$2:$Q$433,Desconto_Cliente_Mes!$A$2:$A$433,E$128,Desconto_Cliente_Mes!$B$2:$B$433,$A128,Desconto_Cliente_Mes!$C$2:$C$433,"Umidade"),SUMIFS(Desconto_Cliente_Mes!$R$2:$R$433,Desconto_Cliente_Mes!$A$2:$A$433,E$128,Desconto_Cliente_Mes!$B$2:$B$433,$A128,Desconto_Cliente_Mes!$C$2:$C$433,"Umidade"))))*(SUMIFS(Desconto_Cliente_Mes!$T$2:$T$433,Desconto_Cliente_Mes!$A$2:$A$433,E$128,Desconto_Cliente_Mes!$B$2:$B$433,$A128,Desconto_Cliente_Mes!$C$2:$C$433,"Umidade"))</f>
        <v>0</v>
      </c>
      <c r="F136" s="16" t="n">
        <f aca="false">$F$130*($F$133/100)*((IF(SUMIFS(Desconto_Cliente_Mes!$S$2:$S$433,Desconto_Cliente_Mes!$A$2:$A$433,F$128,Desconto_Cliente_Mes!$B$2:$B$433,$A128,Desconto_Cliente_Mes!$C$2:$C$433,"Umidade")="",(IF(SUMIFS(Desconto_Cliente_Mes!$R$2:$R$433,Desconto_Cliente_Mes!$A$2:$A$433,F$128,Desconto_Cliente_Mes!$B$2:$B$433,$A128,Desconto_Cliente_Mes!$C$2:$C$433,"Umidade")="",SUMIFS(Desconto_Cliente_Mes!$Q$2:$Q$433,Desconto_Cliente_Mes!$A$2:$A$433,F$128,Desconto_Cliente_Mes!$B$2:$B$433,$A128,Desconto_Cliente_Mes!$C$2:$C$433,"Umidade"),SUMIFS(Desconto_Cliente_Mes!$R$2:$R$433,Desconto_Cliente_Mes!$A$2:$A$433,F$128,Desconto_Cliente_Mes!$B$2:$B$433,$A128,Desconto_Cliente_Mes!$C$2:$C$433,"Umidade"))),SUMIFS(Desconto_Cliente_Mes!$S$2:$S$433,Desconto_Cliente_Mes!$A$2:$A$433,F$128,Desconto_Cliente_Mes!$B$2:$B$433,$A128,Desconto_Cliente_Mes!$C$2:$C$433,"Umidade")))-(IF(SUMIFS(Desconto_Cliente_Mes!$R$2:$R$433,Desconto_Cliente_Mes!$A$2:$A$433,F$128,Desconto_Cliente_Mes!$B$2:$B$433,$A128,Desconto_Cliente_Mes!$C$2:$C$433,"Umidade")="",SUMIFS(Desconto_Cliente_Mes!$Q$2:$Q$433,Desconto_Cliente_Mes!$A$2:$A$433,F$128,Desconto_Cliente_Mes!$B$2:$B$433,$A128,Desconto_Cliente_Mes!$C$2:$C$433,"Umidade"),SUMIFS(Desconto_Cliente_Mes!$R$2:$R$433,Desconto_Cliente_Mes!$A$2:$A$433,F$128,Desconto_Cliente_Mes!$B$2:$B$433,$A128,Desconto_Cliente_Mes!$C$2:$C$433,"Umidade"))))*(SUMIFS(Desconto_Cliente_Mes!$T$2:$T$433,Desconto_Cliente_Mes!$A$2:$A$433,F$128,Desconto_Cliente_Mes!$B$2:$B$433,$A128,Desconto_Cliente_Mes!$C$2:$C$433,"Umidade"))</f>
        <v>0</v>
      </c>
      <c r="G136" s="16" t="n">
        <f aca="false">$G$130*($G$133/100)*((IF(SUMIFS(Desconto_Cliente_Mes!$S$2:$S$433,Desconto_Cliente_Mes!$A$2:$A$433,G$128,Desconto_Cliente_Mes!$B$2:$B$433,$A128,Desconto_Cliente_Mes!$C$2:$C$433,"Umidade")="",(IF(SUMIFS(Desconto_Cliente_Mes!$R$2:$R$433,Desconto_Cliente_Mes!$A$2:$A$433,G$128,Desconto_Cliente_Mes!$B$2:$B$433,$A128,Desconto_Cliente_Mes!$C$2:$C$433,"Umidade")="",SUMIFS(Desconto_Cliente_Mes!$Q$2:$Q$433,Desconto_Cliente_Mes!$A$2:$A$433,G$128,Desconto_Cliente_Mes!$B$2:$B$433,$A128,Desconto_Cliente_Mes!$C$2:$C$433,"Umidade"),SUMIFS(Desconto_Cliente_Mes!$R$2:$R$433,Desconto_Cliente_Mes!$A$2:$A$433,G$128,Desconto_Cliente_Mes!$B$2:$B$433,$A128,Desconto_Cliente_Mes!$C$2:$C$433,"Umidade"))),SUMIFS(Desconto_Cliente_Mes!$S$2:$S$433,Desconto_Cliente_Mes!$A$2:$A$433,G$128,Desconto_Cliente_Mes!$B$2:$B$433,$A128,Desconto_Cliente_Mes!$C$2:$C$433,"Umidade")))-(IF(SUMIFS(Desconto_Cliente_Mes!$R$2:$R$433,Desconto_Cliente_Mes!$A$2:$A$433,G$128,Desconto_Cliente_Mes!$B$2:$B$433,$A128,Desconto_Cliente_Mes!$C$2:$C$433,"Umidade")="",SUMIFS(Desconto_Cliente_Mes!$Q$2:$Q$433,Desconto_Cliente_Mes!$A$2:$A$433,G$128,Desconto_Cliente_Mes!$B$2:$B$433,$A128,Desconto_Cliente_Mes!$C$2:$C$433,"Umidade"),SUMIFS(Desconto_Cliente_Mes!$R$2:$R$433,Desconto_Cliente_Mes!$A$2:$A$433,G$128,Desconto_Cliente_Mes!$B$2:$B$433,$A128,Desconto_Cliente_Mes!$C$2:$C$433,"Umidade"))))*(SUMIFS(Desconto_Cliente_Mes!$T$2:$T$433,Desconto_Cliente_Mes!$A$2:$A$433,G$128,Desconto_Cliente_Mes!$B$2:$B$433,$A128,Desconto_Cliente_Mes!$C$2:$C$433,"Umidade"))</f>
        <v>0</v>
      </c>
      <c r="H136" s="16" t="n">
        <f aca="false">$H$130*($H$133/100)*((IF(SUMIFS(Desconto_Cliente_Mes!$S$2:$S$433,Desconto_Cliente_Mes!$A$2:$A$433,H$128,Desconto_Cliente_Mes!$B$2:$B$433,$A128,Desconto_Cliente_Mes!$C$2:$C$433,"Umidade")="",(IF(SUMIFS(Desconto_Cliente_Mes!$R$2:$R$433,Desconto_Cliente_Mes!$A$2:$A$433,H$128,Desconto_Cliente_Mes!$B$2:$B$433,$A128,Desconto_Cliente_Mes!$C$2:$C$433,"Umidade")="",SUMIFS(Desconto_Cliente_Mes!$Q$2:$Q$433,Desconto_Cliente_Mes!$A$2:$A$433,H$128,Desconto_Cliente_Mes!$B$2:$B$433,$A128,Desconto_Cliente_Mes!$C$2:$C$433,"Umidade"),SUMIFS(Desconto_Cliente_Mes!$R$2:$R$433,Desconto_Cliente_Mes!$A$2:$A$433,H$128,Desconto_Cliente_Mes!$B$2:$B$433,$A128,Desconto_Cliente_Mes!$C$2:$C$433,"Umidade"))),SUMIFS(Desconto_Cliente_Mes!$S$2:$S$433,Desconto_Cliente_Mes!$A$2:$A$433,H$128,Desconto_Cliente_Mes!$B$2:$B$433,$A128,Desconto_Cliente_Mes!$C$2:$C$433,"Umidade")))-(IF(SUMIFS(Desconto_Cliente_Mes!$R$2:$R$433,Desconto_Cliente_Mes!$A$2:$A$433,H$128,Desconto_Cliente_Mes!$B$2:$B$433,$A128,Desconto_Cliente_Mes!$C$2:$C$433,"Umidade")="",SUMIFS(Desconto_Cliente_Mes!$Q$2:$Q$433,Desconto_Cliente_Mes!$A$2:$A$433,H$128,Desconto_Cliente_Mes!$B$2:$B$433,$A128,Desconto_Cliente_Mes!$C$2:$C$433,"Umidade"),SUMIFS(Desconto_Cliente_Mes!$R$2:$R$433,Desconto_Cliente_Mes!$A$2:$A$433,H$128,Desconto_Cliente_Mes!$B$2:$B$433,$A128,Desconto_Cliente_Mes!$C$2:$C$433,"Umidade"))))*(SUMIFS(Desconto_Cliente_Mes!$T$2:$T$433,Desconto_Cliente_Mes!$A$2:$A$433,H$128,Desconto_Cliente_Mes!$B$2:$B$433,$A128,Desconto_Cliente_Mes!$C$2:$C$433,"Umidade"))</f>
        <v>0</v>
      </c>
      <c r="I136" s="16" t="n">
        <f aca="false">$I$130*($I$133/100)*((IF(SUMIFS(Desconto_Cliente_Mes!$S$2:$S$433,Desconto_Cliente_Mes!$A$2:$A$433,I$128,Desconto_Cliente_Mes!$B$2:$B$433,$A128,Desconto_Cliente_Mes!$C$2:$C$433,"Umidade")="",(IF(SUMIFS(Desconto_Cliente_Mes!$R$2:$R$433,Desconto_Cliente_Mes!$A$2:$A$433,I$128,Desconto_Cliente_Mes!$B$2:$B$433,$A128,Desconto_Cliente_Mes!$C$2:$C$433,"Umidade")="",SUMIFS(Desconto_Cliente_Mes!$Q$2:$Q$433,Desconto_Cliente_Mes!$A$2:$A$433,I$128,Desconto_Cliente_Mes!$B$2:$B$433,$A128,Desconto_Cliente_Mes!$C$2:$C$433,"Umidade"),SUMIFS(Desconto_Cliente_Mes!$R$2:$R$433,Desconto_Cliente_Mes!$A$2:$A$433,I$128,Desconto_Cliente_Mes!$B$2:$B$433,$A128,Desconto_Cliente_Mes!$C$2:$C$433,"Umidade"))),SUMIFS(Desconto_Cliente_Mes!$S$2:$S$433,Desconto_Cliente_Mes!$A$2:$A$433,I$128,Desconto_Cliente_Mes!$B$2:$B$433,$A128,Desconto_Cliente_Mes!$C$2:$C$433,"Umidade")))-(IF(SUMIFS(Desconto_Cliente_Mes!$R$2:$R$433,Desconto_Cliente_Mes!$A$2:$A$433,I$128,Desconto_Cliente_Mes!$B$2:$B$433,$A128,Desconto_Cliente_Mes!$C$2:$C$433,"Umidade")="",SUMIFS(Desconto_Cliente_Mes!$Q$2:$Q$433,Desconto_Cliente_Mes!$A$2:$A$433,I$128,Desconto_Cliente_Mes!$B$2:$B$433,$A128,Desconto_Cliente_Mes!$C$2:$C$433,"Umidade"),SUMIFS(Desconto_Cliente_Mes!$R$2:$R$433,Desconto_Cliente_Mes!$A$2:$A$433,I$128,Desconto_Cliente_Mes!$B$2:$B$433,$A128,Desconto_Cliente_Mes!$C$2:$C$433,"Umidade"))))*(SUMIFS(Desconto_Cliente_Mes!$T$2:$T$433,Desconto_Cliente_Mes!$A$2:$A$433,I$128,Desconto_Cliente_Mes!$B$2:$B$433,$A128,Desconto_Cliente_Mes!$C$2:$C$433,"Umidade"))</f>
        <v>0</v>
      </c>
      <c r="J136" s="16" t="n">
        <f aca="false">$J$130*($J$133/100)*((IF(SUMIFS(Desconto_Cliente_Mes!$S$2:$S$433,Desconto_Cliente_Mes!$A$2:$A$433,J$128,Desconto_Cliente_Mes!$B$2:$B$433,$A128,Desconto_Cliente_Mes!$C$2:$C$433,"Umidade")="",(IF(SUMIFS(Desconto_Cliente_Mes!$R$2:$R$433,Desconto_Cliente_Mes!$A$2:$A$433,J$128,Desconto_Cliente_Mes!$B$2:$B$433,$A128,Desconto_Cliente_Mes!$C$2:$C$433,"Umidade")="",SUMIFS(Desconto_Cliente_Mes!$Q$2:$Q$433,Desconto_Cliente_Mes!$A$2:$A$433,J$128,Desconto_Cliente_Mes!$B$2:$B$433,$A128,Desconto_Cliente_Mes!$C$2:$C$433,"Umidade"),SUMIFS(Desconto_Cliente_Mes!$R$2:$R$433,Desconto_Cliente_Mes!$A$2:$A$433,J$128,Desconto_Cliente_Mes!$B$2:$B$433,$A128,Desconto_Cliente_Mes!$C$2:$C$433,"Umidade"))),SUMIFS(Desconto_Cliente_Mes!$S$2:$S$433,Desconto_Cliente_Mes!$A$2:$A$433,J$128,Desconto_Cliente_Mes!$B$2:$B$433,$A128,Desconto_Cliente_Mes!$C$2:$C$433,"Umidade")))-(IF(SUMIFS(Desconto_Cliente_Mes!$R$2:$R$433,Desconto_Cliente_Mes!$A$2:$A$433,J$128,Desconto_Cliente_Mes!$B$2:$B$433,$A128,Desconto_Cliente_Mes!$C$2:$C$433,"Umidade")="",SUMIFS(Desconto_Cliente_Mes!$Q$2:$Q$433,Desconto_Cliente_Mes!$A$2:$A$433,J$128,Desconto_Cliente_Mes!$B$2:$B$433,$A128,Desconto_Cliente_Mes!$C$2:$C$433,"Umidade"),SUMIFS(Desconto_Cliente_Mes!$R$2:$R$433,Desconto_Cliente_Mes!$A$2:$A$433,J$128,Desconto_Cliente_Mes!$B$2:$B$433,$A128,Desconto_Cliente_Mes!$C$2:$C$433,"Umidade"))))*(SUMIFS(Desconto_Cliente_Mes!$T$2:$T$433,Desconto_Cliente_Mes!$A$2:$A$433,J$128,Desconto_Cliente_Mes!$B$2:$B$433,$A128,Desconto_Cliente_Mes!$C$2:$C$433,"Umidade"))</f>
        <v>0</v>
      </c>
      <c r="K136" s="16" t="n">
        <f aca="false">$K$130*($K$133/100)*((IF(SUMIFS(Desconto_Cliente_Mes!$S$2:$S$433,Desconto_Cliente_Mes!$A$2:$A$433,K$128,Desconto_Cliente_Mes!$B$2:$B$433,$A128,Desconto_Cliente_Mes!$C$2:$C$433,"Umidade")="",(IF(SUMIFS(Desconto_Cliente_Mes!$R$2:$R$433,Desconto_Cliente_Mes!$A$2:$A$433,K$128,Desconto_Cliente_Mes!$B$2:$B$433,$A128,Desconto_Cliente_Mes!$C$2:$C$433,"Umidade")="",SUMIFS(Desconto_Cliente_Mes!$Q$2:$Q$433,Desconto_Cliente_Mes!$A$2:$A$433,K$128,Desconto_Cliente_Mes!$B$2:$B$433,$A128,Desconto_Cliente_Mes!$C$2:$C$433,"Umidade"),SUMIFS(Desconto_Cliente_Mes!$R$2:$R$433,Desconto_Cliente_Mes!$A$2:$A$433,K$128,Desconto_Cliente_Mes!$B$2:$B$433,$A128,Desconto_Cliente_Mes!$C$2:$C$433,"Umidade"))),SUMIFS(Desconto_Cliente_Mes!$S$2:$S$433,Desconto_Cliente_Mes!$A$2:$A$433,K$128,Desconto_Cliente_Mes!$B$2:$B$433,$A128,Desconto_Cliente_Mes!$C$2:$C$433,"Umidade")))-(IF(SUMIFS(Desconto_Cliente_Mes!$R$2:$R$433,Desconto_Cliente_Mes!$A$2:$A$433,K$128,Desconto_Cliente_Mes!$B$2:$B$433,$A128,Desconto_Cliente_Mes!$C$2:$C$433,"Umidade")="",SUMIFS(Desconto_Cliente_Mes!$Q$2:$Q$433,Desconto_Cliente_Mes!$A$2:$A$433,K$128,Desconto_Cliente_Mes!$B$2:$B$433,$A128,Desconto_Cliente_Mes!$C$2:$C$433,"Umidade"),SUMIFS(Desconto_Cliente_Mes!$R$2:$R$433,Desconto_Cliente_Mes!$A$2:$A$433,K$128,Desconto_Cliente_Mes!$B$2:$B$433,$A128,Desconto_Cliente_Mes!$C$2:$C$433,"Umidade"))))*(SUMIFS(Desconto_Cliente_Mes!$T$2:$T$433,Desconto_Cliente_Mes!$A$2:$A$433,K$128,Desconto_Cliente_Mes!$B$2:$B$433,$A128,Desconto_Cliente_Mes!$C$2:$C$433,"Umidade"))</f>
        <v>0</v>
      </c>
      <c r="L136" s="16" t="n">
        <f aca="false">$L$130*($L$133/100)*((IF(SUMIFS(Desconto_Cliente_Mes!$S$2:$S$433,Desconto_Cliente_Mes!$A$2:$A$433,L$128,Desconto_Cliente_Mes!$B$2:$B$433,$A128,Desconto_Cliente_Mes!$C$2:$C$433,"Umidade")="",(IF(SUMIFS(Desconto_Cliente_Mes!$R$2:$R$433,Desconto_Cliente_Mes!$A$2:$A$433,L$128,Desconto_Cliente_Mes!$B$2:$B$433,$A128,Desconto_Cliente_Mes!$C$2:$C$433,"Umidade")="",SUMIFS(Desconto_Cliente_Mes!$Q$2:$Q$433,Desconto_Cliente_Mes!$A$2:$A$433,L$128,Desconto_Cliente_Mes!$B$2:$B$433,$A128,Desconto_Cliente_Mes!$C$2:$C$433,"Umidade"),SUMIFS(Desconto_Cliente_Mes!$R$2:$R$433,Desconto_Cliente_Mes!$A$2:$A$433,L$128,Desconto_Cliente_Mes!$B$2:$B$433,$A128,Desconto_Cliente_Mes!$C$2:$C$433,"Umidade"))),SUMIFS(Desconto_Cliente_Mes!$S$2:$S$433,Desconto_Cliente_Mes!$A$2:$A$433,L$128,Desconto_Cliente_Mes!$B$2:$B$433,$A128,Desconto_Cliente_Mes!$C$2:$C$433,"Umidade")))-(IF(SUMIFS(Desconto_Cliente_Mes!$R$2:$R$433,Desconto_Cliente_Mes!$A$2:$A$433,L$128,Desconto_Cliente_Mes!$B$2:$B$433,$A128,Desconto_Cliente_Mes!$C$2:$C$433,"Umidade")="",SUMIFS(Desconto_Cliente_Mes!$Q$2:$Q$433,Desconto_Cliente_Mes!$A$2:$A$433,L$128,Desconto_Cliente_Mes!$B$2:$B$433,$A128,Desconto_Cliente_Mes!$C$2:$C$433,"Umidade"),SUMIFS(Desconto_Cliente_Mes!$R$2:$R$433,Desconto_Cliente_Mes!$A$2:$A$433,L$128,Desconto_Cliente_Mes!$B$2:$B$433,$A128,Desconto_Cliente_Mes!$C$2:$C$433,"Umidade"))))*(SUMIFS(Desconto_Cliente_Mes!$T$2:$T$433,Desconto_Cliente_Mes!$A$2:$A$433,L$128,Desconto_Cliente_Mes!$B$2:$B$433,$A128,Desconto_Cliente_Mes!$C$2:$C$433,"Umidade"))</f>
        <v>0</v>
      </c>
      <c r="M136" s="16" t="n">
        <f aca="false">$M$130*($M$133/100)*((IF(SUMIFS(Desconto_Cliente_Mes!$S$2:$S$433,Desconto_Cliente_Mes!$A$2:$A$433,M$128,Desconto_Cliente_Mes!$B$2:$B$433,$A128,Desconto_Cliente_Mes!$C$2:$C$433,"Umidade")="",(IF(SUMIFS(Desconto_Cliente_Mes!$R$2:$R$433,Desconto_Cliente_Mes!$A$2:$A$433,M$128,Desconto_Cliente_Mes!$B$2:$B$433,$A128,Desconto_Cliente_Mes!$C$2:$C$433,"Umidade")="",SUMIFS(Desconto_Cliente_Mes!$Q$2:$Q$433,Desconto_Cliente_Mes!$A$2:$A$433,M$128,Desconto_Cliente_Mes!$B$2:$B$433,$A128,Desconto_Cliente_Mes!$C$2:$C$433,"Umidade"),SUMIFS(Desconto_Cliente_Mes!$R$2:$R$433,Desconto_Cliente_Mes!$A$2:$A$433,M$128,Desconto_Cliente_Mes!$B$2:$B$433,$A128,Desconto_Cliente_Mes!$C$2:$C$433,"Umidade"))),SUMIFS(Desconto_Cliente_Mes!$S$2:$S$433,Desconto_Cliente_Mes!$A$2:$A$433,M$128,Desconto_Cliente_Mes!$B$2:$B$433,$A128,Desconto_Cliente_Mes!$C$2:$C$433,"Umidade")))-(IF(SUMIFS(Desconto_Cliente_Mes!$R$2:$R$433,Desconto_Cliente_Mes!$A$2:$A$433,M$128,Desconto_Cliente_Mes!$B$2:$B$433,$A128,Desconto_Cliente_Mes!$C$2:$C$433,"Umidade")="",SUMIFS(Desconto_Cliente_Mes!$Q$2:$Q$433,Desconto_Cliente_Mes!$A$2:$A$433,M$128,Desconto_Cliente_Mes!$B$2:$B$433,$A128,Desconto_Cliente_Mes!$C$2:$C$433,"Umidade"),SUMIFS(Desconto_Cliente_Mes!$R$2:$R$433,Desconto_Cliente_Mes!$A$2:$A$433,M$128,Desconto_Cliente_Mes!$B$2:$B$433,$A128,Desconto_Cliente_Mes!$C$2:$C$433,"Umidade"))))*(SUMIFS(Desconto_Cliente_Mes!$T$2:$T$433,Desconto_Cliente_Mes!$A$2:$A$433,M$128,Desconto_Cliente_Mes!$B$2:$B$433,$A128,Desconto_Cliente_Mes!$C$2:$C$433,"Umidade"))</f>
        <v>0</v>
      </c>
      <c r="N136" s="17" t="n">
        <f aca="false">SUM(B136:M136)</f>
        <v>0</v>
      </c>
    </row>
    <row r="137" customFormat="false" ht="15" hidden="false" customHeight="false" outlineLevel="0" collapsed="false">
      <c r="A137" s="13" t="s">
        <v>82</v>
      </c>
      <c r="B137" s="16" t="n">
        <f aca="false">SUMIFS(Acerto_Detalhado!$J$2:$J$433,Acerto_Detalhado!$A$2:$A$433,B$128,Acerto_Detalhado!$B$2:$B$433,$A128,Acerto_Detalhado!$C$2:$C$433,"Umidade")</f>
        <v>0</v>
      </c>
      <c r="C137" s="16" t="n">
        <f aca="false">SUMIFS(Acerto_Detalhado!$J$2:$J$433,Acerto_Detalhado!$A$2:$A$433,C$128,Acerto_Detalhado!$B$2:$B$433,$A128,Acerto_Detalhado!$C$2:$C$433,"Umidade")</f>
        <v>0</v>
      </c>
      <c r="D137" s="16" t="n">
        <f aca="false">SUMIFS(Acerto_Detalhado!$J$2:$J$433,Acerto_Detalhado!$A$2:$A$433,D$128,Acerto_Detalhado!$B$2:$B$433,$A128,Acerto_Detalhado!$C$2:$C$433,"Umidade")</f>
        <v>0</v>
      </c>
      <c r="E137" s="16" t="n">
        <f aca="false">SUMIFS(Acerto_Detalhado!$J$2:$J$433,Acerto_Detalhado!$A$2:$A$433,E$128,Acerto_Detalhado!$B$2:$B$433,$A128,Acerto_Detalhado!$C$2:$C$433,"Umidade")</f>
        <v>0</v>
      </c>
      <c r="F137" s="16" t="n">
        <f aca="false">SUMIFS(Acerto_Detalhado!$J$2:$J$433,Acerto_Detalhado!$A$2:$A$433,F$128,Acerto_Detalhado!$B$2:$B$433,$A128,Acerto_Detalhado!$C$2:$C$433,"Umidade")</f>
        <v>0</v>
      </c>
      <c r="G137" s="16" t="n">
        <f aca="false">SUMIFS(Acerto_Detalhado!$J$2:$J$433,Acerto_Detalhado!$A$2:$A$433,G$128,Acerto_Detalhado!$B$2:$B$433,$A128,Acerto_Detalhado!$C$2:$C$433,"Umidade")</f>
        <v>0</v>
      </c>
      <c r="H137" s="16" t="n">
        <f aca="false">SUMIFS(Acerto_Detalhado!$J$2:$J$433,Acerto_Detalhado!$A$2:$A$433,H$128,Acerto_Detalhado!$B$2:$B$433,$A128,Acerto_Detalhado!$C$2:$C$433,"Umidade")</f>
        <v>0</v>
      </c>
      <c r="I137" s="16" t="n">
        <f aca="false">SUMIFS(Acerto_Detalhado!$J$2:$J$433,Acerto_Detalhado!$A$2:$A$433,I$128,Acerto_Detalhado!$B$2:$B$433,$A128,Acerto_Detalhado!$C$2:$C$433,"Umidade")</f>
        <v>0</v>
      </c>
      <c r="J137" s="16" t="n">
        <f aca="false">SUMIFS(Acerto_Detalhado!$J$2:$J$433,Acerto_Detalhado!$A$2:$A$433,J$128,Acerto_Detalhado!$B$2:$B$433,$A128,Acerto_Detalhado!$C$2:$C$433,"Umidade")</f>
        <v>0</v>
      </c>
      <c r="K137" s="16" t="n">
        <f aca="false">SUMIFS(Acerto_Detalhado!$J$2:$J$433,Acerto_Detalhado!$A$2:$A$433,K$128,Acerto_Detalhado!$B$2:$B$433,$A128,Acerto_Detalhado!$C$2:$C$433,"Umidade")</f>
        <v>0</v>
      </c>
      <c r="L137" s="16" t="n">
        <f aca="false">SUMIFS(Acerto_Detalhado!$J$2:$J$433,Acerto_Detalhado!$A$2:$A$433,L$128,Acerto_Detalhado!$B$2:$B$433,$A128,Acerto_Detalhado!$C$2:$C$433,"Umidade")</f>
        <v>0</v>
      </c>
      <c r="M137" s="16" t="n">
        <f aca="false">SUMIFS(Acerto_Detalhado!$J$2:$J$433,Acerto_Detalhado!$A$2:$A$433,M$128,Acerto_Detalhado!$B$2:$B$433,$A128,Acerto_Detalhado!$C$2:$C$433,"Umidade")</f>
        <v>0</v>
      </c>
      <c r="N137" s="17" t="n">
        <f aca="false">SUM(B137:M137)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95C"/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13" min="2" style="0" width="11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2" t="s">
        <v>84</v>
      </c>
    </row>
    <row r="3" customFormat="false" ht="15" hidden="false" customHeight="false" outlineLevel="0" collapsed="false">
      <c r="A3" s="13" t="s">
        <v>71</v>
      </c>
      <c r="B3" s="14" t="n">
        <f aca="false">Parametros_ANEC73!C6</f>
        <v>3.5</v>
      </c>
    </row>
    <row r="4" customFormat="false" ht="15" hidden="false" customHeight="false" outlineLevel="0" collapsed="false">
      <c r="A4" s="13" t="s">
        <v>72</v>
      </c>
      <c r="B4" s="14" t="n">
        <f aca="false">Parametros_ANEC73!G6</f>
        <v>3.8</v>
      </c>
    </row>
    <row r="5" customFormat="false" ht="15" hidden="false" customHeight="false" outlineLevel="0" collapsed="false">
      <c r="A5" s="13" t="s">
        <v>73</v>
      </c>
      <c r="B5" s="14" t="n">
        <f aca="false">Parametros_ANEC73!J6</f>
        <v>4</v>
      </c>
    </row>
    <row r="7" customFormat="false" ht="15" hidden="false" customHeight="false" outlineLevel="0" collapsed="false">
      <c r="A7" s="5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L7" s="6" t="s">
        <v>49</v>
      </c>
      <c r="M7" s="6" t="s">
        <v>50</v>
      </c>
      <c r="N7" s="6" t="s">
        <v>51</v>
      </c>
    </row>
    <row r="8" customFormat="false" ht="15" hidden="false" customHeight="false" outlineLevel="0" collapsed="false">
      <c r="A8" s="13" t="s">
        <v>74</v>
      </c>
      <c r="B8" s="10" t="str">
        <f aca="false">IF((SUMIFS(Desconto_Cliente_Mes!$D$2:$D$433,Desconto_Cliente_Mes!$A$2:$A$433,B$7,Desconto_Cliente_Mes!$B$2:$B$433,$A7,Desconto_Cliente_Mes!$C$2:$C$433,"Fibra"))=0,"",IFERROR(SUMIFS(Desconto_Cliente_Mes!$E$2:$E$433,Desconto_Cliente_Mes!$A$2:$A$433,B$7,Desconto_Cliente_Mes!$B$2:$B$433,$A7,Desconto_Cliente_Mes!$C$2:$C$433,"Fibra"),""))</f>
        <v/>
      </c>
      <c r="C8" s="10" t="n">
        <f aca="false">IF((SUMIFS(Desconto_Cliente_Mes!$D$2:$D$433,Desconto_Cliente_Mes!$A$2:$A$433,C$7,Desconto_Cliente_Mes!$B$2:$B$433,$A7,Desconto_Cliente_Mes!$C$2:$C$433,"Fibra"))=0,"",IFERROR(SUMIFS(Desconto_Cliente_Mes!$E$2:$E$433,Desconto_Cliente_Mes!$A$2:$A$433,C$7,Desconto_Cliente_Mes!$B$2:$B$433,$A7,Desconto_Cliente_Mes!$C$2:$C$433,"Fibra"),""))</f>
        <v>3.12451483688314</v>
      </c>
      <c r="D8" s="10" t="n">
        <f aca="false">IF((SUMIFS(Desconto_Cliente_Mes!$D$2:$D$433,Desconto_Cliente_Mes!$A$2:$A$433,D$7,Desconto_Cliente_Mes!$B$2:$B$433,$A7,Desconto_Cliente_Mes!$C$2:$C$433,"Fibra"))=0,"",IFERROR(SUMIFS(Desconto_Cliente_Mes!$E$2:$E$433,Desconto_Cliente_Mes!$A$2:$A$433,D$7,Desconto_Cliente_Mes!$B$2:$B$433,$A7,Desconto_Cliente_Mes!$C$2:$C$433,"Fibra"),""))</f>
        <v>3.37654047747852</v>
      </c>
      <c r="E8" s="10" t="n">
        <f aca="false">IF((SUMIFS(Desconto_Cliente_Mes!$D$2:$D$433,Desconto_Cliente_Mes!$A$2:$A$433,E$7,Desconto_Cliente_Mes!$B$2:$B$433,$A7,Desconto_Cliente_Mes!$C$2:$C$433,"Fibra"))=0,"",IFERROR(SUMIFS(Desconto_Cliente_Mes!$E$2:$E$433,Desconto_Cliente_Mes!$A$2:$A$433,E$7,Desconto_Cliente_Mes!$B$2:$B$433,$A7,Desconto_Cliente_Mes!$C$2:$C$433,"Fibra"),""))</f>
        <v>3.59836961487154</v>
      </c>
      <c r="F8" s="10" t="n">
        <f aca="false">IF((SUMIFS(Desconto_Cliente_Mes!$D$2:$D$433,Desconto_Cliente_Mes!$A$2:$A$433,F$7,Desconto_Cliente_Mes!$B$2:$B$433,$A7,Desconto_Cliente_Mes!$C$2:$C$433,"Fibra"))=0,"",IFERROR(SUMIFS(Desconto_Cliente_Mes!$E$2:$E$433,Desconto_Cliente_Mes!$A$2:$A$433,F$7,Desconto_Cliente_Mes!$B$2:$B$433,$A7,Desconto_Cliente_Mes!$C$2:$C$433,"Fibra"),""))</f>
        <v>3.51532527839475</v>
      </c>
      <c r="G8" s="10" t="n">
        <f aca="false">IF((SUMIFS(Desconto_Cliente_Mes!$D$2:$D$433,Desconto_Cliente_Mes!$A$2:$A$433,G$7,Desconto_Cliente_Mes!$B$2:$B$433,$A7,Desconto_Cliente_Mes!$C$2:$C$433,"Fibra"))=0,"",IFERROR(SUMIFS(Desconto_Cliente_Mes!$E$2:$E$433,Desconto_Cliente_Mes!$A$2:$A$433,G$7,Desconto_Cliente_Mes!$B$2:$B$433,$A7,Desconto_Cliente_Mes!$C$2:$C$433,"Fibra"),""))</f>
        <v>3.62389218385346</v>
      </c>
      <c r="H8" s="10" t="n">
        <f aca="false">IF((SUMIFS(Desconto_Cliente_Mes!$D$2:$D$433,Desconto_Cliente_Mes!$A$2:$A$433,H$7,Desconto_Cliente_Mes!$B$2:$B$433,$A7,Desconto_Cliente_Mes!$C$2:$C$433,"Fibra"))=0,"",IFERROR(SUMIFS(Desconto_Cliente_Mes!$E$2:$E$433,Desconto_Cliente_Mes!$A$2:$A$433,H$7,Desconto_Cliente_Mes!$B$2:$B$433,$A7,Desconto_Cliente_Mes!$C$2:$C$433,"Fibra"),""))</f>
        <v>3.67234818369469</v>
      </c>
      <c r="I8" s="10" t="str">
        <f aca="false">IF((SUMIFS(Desconto_Cliente_Mes!$D$2:$D$433,Desconto_Cliente_Mes!$A$2:$A$433,I$7,Desconto_Cliente_Mes!$B$2:$B$433,$A7,Desconto_Cliente_Mes!$C$2:$C$433,"Fibra"))=0,"",IFERROR(SUMIFS(Desconto_Cliente_Mes!$E$2:$E$433,Desconto_Cliente_Mes!$A$2:$A$433,I$7,Desconto_Cliente_Mes!$B$2:$B$433,$A7,Desconto_Cliente_Mes!$C$2:$C$433,"Fibra"),""))</f>
        <v/>
      </c>
      <c r="J8" s="10" t="str">
        <f aca="false">IF((SUMIFS(Desconto_Cliente_Mes!$D$2:$D$433,Desconto_Cliente_Mes!$A$2:$A$433,J$7,Desconto_Cliente_Mes!$B$2:$B$433,$A7,Desconto_Cliente_Mes!$C$2:$C$433,"Fibra"))=0,"",IFERROR(SUMIFS(Desconto_Cliente_Mes!$E$2:$E$433,Desconto_Cliente_Mes!$A$2:$A$433,J$7,Desconto_Cliente_Mes!$B$2:$B$433,$A7,Desconto_Cliente_Mes!$C$2:$C$433,"Fibra"),""))</f>
        <v/>
      </c>
      <c r="K8" s="10" t="str">
        <f aca="false">IF((SUMIFS(Desconto_Cliente_Mes!$D$2:$D$433,Desconto_Cliente_Mes!$A$2:$A$433,K$7,Desconto_Cliente_Mes!$B$2:$B$433,$A7,Desconto_Cliente_Mes!$C$2:$C$433,"Fibra"))=0,"",IFERROR(SUMIFS(Desconto_Cliente_Mes!$E$2:$E$433,Desconto_Cliente_Mes!$A$2:$A$433,K$7,Desconto_Cliente_Mes!$B$2:$B$433,$A7,Desconto_Cliente_Mes!$C$2:$C$433,"Fibra"),""))</f>
        <v/>
      </c>
      <c r="L8" s="10" t="str">
        <f aca="false">IF((SUMIFS(Desconto_Cliente_Mes!$D$2:$D$433,Desconto_Cliente_Mes!$A$2:$A$433,L$7,Desconto_Cliente_Mes!$B$2:$B$433,$A7,Desconto_Cliente_Mes!$C$2:$C$433,"Fibra"))=0,"",IFERROR(SUMIFS(Desconto_Cliente_Mes!$E$2:$E$433,Desconto_Cliente_Mes!$A$2:$A$433,L$7,Desconto_Cliente_Mes!$B$2:$B$433,$A7,Desconto_Cliente_Mes!$C$2:$C$433,"Fibra"),""))</f>
        <v/>
      </c>
      <c r="M8" s="10" t="str">
        <f aca="false">IF((SUMIFS(Desconto_Cliente_Mes!$D$2:$D$433,Desconto_Cliente_Mes!$A$2:$A$433,M$7,Desconto_Cliente_Mes!$B$2:$B$433,$A7,Desconto_Cliente_Mes!$C$2:$C$433,"Fibra"))=0,"",IFERROR(SUMIFS(Desconto_Cliente_Mes!$E$2:$E$433,Desconto_Cliente_Mes!$A$2:$A$433,M$7,Desconto_Cliente_Mes!$B$2:$B$433,$A7,Desconto_Cliente_Mes!$C$2:$C$433,"Fibra"),""))</f>
        <v/>
      </c>
      <c r="N8" s="11" t="n">
        <f aca="false">IFERROR(Media_Pool_Mes!E2,"")</f>
        <v>3.51752485295922</v>
      </c>
    </row>
    <row r="9" customFormat="false" ht="15" hidden="false" customHeight="false" outlineLevel="0" collapsed="false">
      <c r="A9" s="13" t="s">
        <v>75</v>
      </c>
      <c r="B9" s="8" t="n">
        <f aca="false">IFERROR(SUMIFS(Desconto_Cliente_Mes!$D$2:$D$433,Desconto_Cliente_Mes!$A$2:$A$433,B$7,Desconto_Cliente_Mes!$B$2:$B$433,$A7,Desconto_Cliente_Mes!$C$2:$C$433,"Fibra"),0)</f>
        <v>0</v>
      </c>
      <c r="C9" s="8" t="n">
        <f aca="false">IFERROR(SUMIFS(Desconto_Cliente_Mes!$D$2:$D$433,Desconto_Cliente_Mes!$A$2:$A$433,C$7,Desconto_Cliente_Mes!$B$2:$B$433,$A7,Desconto_Cliente_Mes!$C$2:$C$433,"Fibra"),0)</f>
        <v>39842.6</v>
      </c>
      <c r="D9" s="8" t="n">
        <f aca="false">IFERROR(SUMIFS(Desconto_Cliente_Mes!$D$2:$D$433,Desconto_Cliente_Mes!$A$2:$A$433,D$7,Desconto_Cliente_Mes!$B$2:$B$433,$A7,Desconto_Cliente_Mes!$C$2:$C$433,"Fibra"),0)</f>
        <v>18891.74</v>
      </c>
      <c r="E9" s="8" t="n">
        <f aca="false">IFERROR(SUMIFS(Desconto_Cliente_Mes!$D$2:$D$433,Desconto_Cliente_Mes!$A$2:$A$433,E$7,Desconto_Cliente_Mes!$B$2:$B$433,$A7,Desconto_Cliente_Mes!$C$2:$C$433,"Fibra"),0)</f>
        <v>26334.33</v>
      </c>
      <c r="F9" s="8" t="n">
        <f aca="false">IFERROR(SUMIFS(Desconto_Cliente_Mes!$D$2:$D$433,Desconto_Cliente_Mes!$A$2:$A$433,F$7,Desconto_Cliente_Mes!$B$2:$B$433,$A7,Desconto_Cliente_Mes!$C$2:$C$433,"Fibra"),0)</f>
        <v>58133.28</v>
      </c>
      <c r="G9" s="8" t="n">
        <f aca="false">IFERROR(SUMIFS(Desconto_Cliente_Mes!$D$2:$D$433,Desconto_Cliente_Mes!$A$2:$A$433,G$7,Desconto_Cliente_Mes!$B$2:$B$433,$A7,Desconto_Cliente_Mes!$C$2:$C$433,"Fibra"),0)</f>
        <v>48560.63</v>
      </c>
      <c r="H9" s="8" t="n">
        <f aca="false">IFERROR(SUMIFS(Desconto_Cliente_Mes!$D$2:$D$433,Desconto_Cliente_Mes!$A$2:$A$433,H$7,Desconto_Cliente_Mes!$B$2:$B$433,$A7,Desconto_Cliente_Mes!$C$2:$C$433,"Fibra"),0)</f>
        <v>72053.69</v>
      </c>
      <c r="I9" s="8" t="n">
        <f aca="false">IFERROR(SUMIFS(Desconto_Cliente_Mes!$D$2:$D$433,Desconto_Cliente_Mes!$A$2:$A$433,I$7,Desconto_Cliente_Mes!$B$2:$B$433,$A7,Desconto_Cliente_Mes!$C$2:$C$433,"Fibra"),0)</f>
        <v>0</v>
      </c>
      <c r="J9" s="8" t="n">
        <f aca="false">IFERROR(SUMIFS(Desconto_Cliente_Mes!$D$2:$D$433,Desconto_Cliente_Mes!$A$2:$A$433,J$7,Desconto_Cliente_Mes!$B$2:$B$433,$A7,Desconto_Cliente_Mes!$C$2:$C$433,"Fibra"),0)</f>
        <v>0</v>
      </c>
      <c r="K9" s="8" t="n">
        <f aca="false">IFERROR(SUMIFS(Desconto_Cliente_Mes!$D$2:$D$433,Desconto_Cliente_Mes!$A$2:$A$433,K$7,Desconto_Cliente_Mes!$B$2:$B$433,$A7,Desconto_Cliente_Mes!$C$2:$C$433,"Fibra"),0)</f>
        <v>0</v>
      </c>
      <c r="L9" s="8" t="n">
        <f aca="false">IFERROR(SUMIFS(Desconto_Cliente_Mes!$D$2:$D$433,Desconto_Cliente_Mes!$A$2:$A$433,L$7,Desconto_Cliente_Mes!$B$2:$B$433,$A7,Desconto_Cliente_Mes!$C$2:$C$433,"Fibra"),0)</f>
        <v>0</v>
      </c>
      <c r="M9" s="8" t="n">
        <f aca="false">IFERROR(SUMIFS(Desconto_Cliente_Mes!$D$2:$D$433,Desconto_Cliente_Mes!$A$2:$A$433,M$7,Desconto_Cliente_Mes!$B$2:$B$433,$A7,Desconto_Cliente_Mes!$C$2:$C$433,"Fibra"),0)</f>
        <v>0</v>
      </c>
      <c r="N9" s="9" t="n">
        <f aca="false">SUM(B9:M9)</f>
        <v>263816.27</v>
      </c>
    </row>
    <row r="10" customFormat="false" ht="15" hidden="false" customHeight="false" outlineLevel="0" collapsed="false">
      <c r="A10" s="13" t="s">
        <v>76</v>
      </c>
      <c r="B10" s="15" t="n">
        <f aca="false">MAX(0,(SUMIFS(Desconto_Cliente_Mes!$L$2:$L$433,Desconto_Cliente_Mes!$A$2:$A$433,B$7,Desconto_Cliente_Mes!$B$2:$B$433,$A7,Desconto_Cliente_Mes!$C$2:$C$433,"Fibra"))-(SUMIFS(Desconto_Cliente_Mes!$N$2:$N$433,Desconto_Cliente_Mes!$A$2:$A$433,B$7,Desconto_Cliente_Mes!$B$2:$B$433,$A7,Desconto_Cliente_Mes!$C$2:$C$433,"Fibra")))</f>
        <v>0</v>
      </c>
      <c r="C10" s="15" t="n">
        <f aca="false">MAX(0,(SUMIFS(Desconto_Cliente_Mes!$L$2:$L$433,Desconto_Cliente_Mes!$A$2:$A$433,C$7,Desconto_Cliente_Mes!$B$2:$B$433,$A7,Desconto_Cliente_Mes!$C$2:$C$433,"Fibra"))-(SUMIFS(Desconto_Cliente_Mes!$N$2:$N$433,Desconto_Cliente_Mes!$A$2:$A$433,C$7,Desconto_Cliente_Mes!$B$2:$B$433,$A7,Desconto_Cliente_Mes!$C$2:$C$433,"Fibra")))</f>
        <v>0</v>
      </c>
      <c r="D10" s="15" t="n">
        <f aca="false">MAX(0,(SUMIFS(Desconto_Cliente_Mes!$L$2:$L$433,Desconto_Cliente_Mes!$A$2:$A$433,D$7,Desconto_Cliente_Mes!$B$2:$B$433,$A7,Desconto_Cliente_Mes!$C$2:$C$433,"Fibra"))-(SUMIFS(Desconto_Cliente_Mes!$N$2:$N$433,Desconto_Cliente_Mes!$A$2:$A$433,D$7,Desconto_Cliente_Mes!$B$2:$B$433,$A7,Desconto_Cliente_Mes!$C$2:$C$433,"Fibra")))</f>
        <v>0</v>
      </c>
      <c r="E10" s="15" t="n">
        <f aca="false">MAX(0,(SUMIFS(Desconto_Cliente_Mes!$L$2:$L$433,Desconto_Cliente_Mes!$A$2:$A$433,E$7,Desconto_Cliente_Mes!$B$2:$B$433,$A7,Desconto_Cliente_Mes!$C$2:$C$433,"Fibra"))-(SUMIFS(Desconto_Cliente_Mes!$N$2:$N$433,Desconto_Cliente_Mes!$A$2:$A$433,E$7,Desconto_Cliente_Mes!$B$2:$B$433,$A7,Desconto_Cliente_Mes!$C$2:$C$433,"Fibra")))</f>
        <v>0.080844761912318</v>
      </c>
      <c r="F10" s="15" t="n">
        <f aca="false">MAX(0,(SUMIFS(Desconto_Cliente_Mes!$L$2:$L$433,Desconto_Cliente_Mes!$A$2:$A$433,F$7,Desconto_Cliente_Mes!$B$2:$B$433,$A7,Desconto_Cliente_Mes!$C$2:$C$433,"Fibra"))-(SUMIFS(Desconto_Cliente_Mes!$N$2:$N$433,Desconto_Cliente_Mes!$A$2:$A$433,F$7,Desconto_Cliente_Mes!$B$2:$B$433,$A7,Desconto_Cliente_Mes!$C$2:$C$433,"Fibra")))</f>
        <v>0</v>
      </c>
      <c r="G10" s="15" t="n">
        <f aca="false">MAX(0,(SUMIFS(Desconto_Cliente_Mes!$L$2:$L$433,Desconto_Cliente_Mes!$A$2:$A$433,G$7,Desconto_Cliente_Mes!$B$2:$B$433,$A7,Desconto_Cliente_Mes!$C$2:$C$433,"Fibra"))-(SUMIFS(Desconto_Cliente_Mes!$N$2:$N$433,Desconto_Cliente_Mes!$A$2:$A$433,G$7,Desconto_Cliente_Mes!$B$2:$B$433,$A7,Desconto_Cliente_Mes!$C$2:$C$433,"Fibra")))</f>
        <v>0.106367330894243</v>
      </c>
      <c r="H10" s="15" t="n">
        <f aca="false">MAX(0,(SUMIFS(Desconto_Cliente_Mes!$L$2:$L$433,Desconto_Cliente_Mes!$A$2:$A$433,H$7,Desconto_Cliente_Mes!$B$2:$B$433,$A7,Desconto_Cliente_Mes!$C$2:$C$433,"Fibra"))-(SUMIFS(Desconto_Cliente_Mes!$N$2:$N$433,Desconto_Cliente_Mes!$A$2:$A$433,H$7,Desconto_Cliente_Mes!$B$2:$B$433,$A7,Desconto_Cliente_Mes!$C$2:$C$433,"Fibra")))</f>
        <v>0.154823330735467</v>
      </c>
      <c r="I10" s="15" t="n">
        <f aca="false">MAX(0,(SUMIFS(Desconto_Cliente_Mes!$L$2:$L$433,Desconto_Cliente_Mes!$A$2:$A$433,I$7,Desconto_Cliente_Mes!$B$2:$B$433,$A7,Desconto_Cliente_Mes!$C$2:$C$433,"Fibra"))-(SUMIFS(Desconto_Cliente_Mes!$N$2:$N$433,Desconto_Cliente_Mes!$A$2:$A$433,I$7,Desconto_Cliente_Mes!$B$2:$B$433,$A7,Desconto_Cliente_Mes!$C$2:$C$433,"Fibra")))</f>
        <v>0</v>
      </c>
      <c r="J10" s="15" t="n">
        <f aca="false">MAX(0,(SUMIFS(Desconto_Cliente_Mes!$L$2:$L$433,Desconto_Cliente_Mes!$A$2:$A$433,J$7,Desconto_Cliente_Mes!$B$2:$B$433,$A7,Desconto_Cliente_Mes!$C$2:$C$433,"Fibra"))-(SUMIFS(Desconto_Cliente_Mes!$N$2:$N$433,Desconto_Cliente_Mes!$A$2:$A$433,J$7,Desconto_Cliente_Mes!$B$2:$B$433,$A7,Desconto_Cliente_Mes!$C$2:$C$433,"Fibra")))</f>
        <v>0</v>
      </c>
      <c r="K10" s="15" t="n">
        <f aca="false">MAX(0,(SUMIFS(Desconto_Cliente_Mes!$L$2:$L$433,Desconto_Cliente_Mes!$A$2:$A$433,K$7,Desconto_Cliente_Mes!$B$2:$B$433,$A7,Desconto_Cliente_Mes!$C$2:$C$433,"Fibra"))-(SUMIFS(Desconto_Cliente_Mes!$N$2:$N$433,Desconto_Cliente_Mes!$A$2:$A$433,K$7,Desconto_Cliente_Mes!$B$2:$B$433,$A7,Desconto_Cliente_Mes!$C$2:$C$433,"Fibra")))</f>
        <v>0</v>
      </c>
      <c r="L10" s="15" t="n">
        <f aca="false">MAX(0,(SUMIFS(Desconto_Cliente_Mes!$L$2:$L$433,Desconto_Cliente_Mes!$A$2:$A$433,L$7,Desconto_Cliente_Mes!$B$2:$B$433,$A7,Desconto_Cliente_Mes!$C$2:$C$433,"Fibra"))-(SUMIFS(Desconto_Cliente_Mes!$N$2:$N$433,Desconto_Cliente_Mes!$A$2:$A$433,L$7,Desconto_Cliente_Mes!$B$2:$B$433,$A7,Desconto_Cliente_Mes!$C$2:$C$433,"Fibra")))</f>
        <v>0</v>
      </c>
      <c r="M10" s="15" t="n">
        <f aca="false">MAX(0,(SUMIFS(Desconto_Cliente_Mes!$L$2:$L$433,Desconto_Cliente_Mes!$A$2:$A$433,M$7,Desconto_Cliente_Mes!$B$2:$B$433,$A7,Desconto_Cliente_Mes!$C$2:$C$433,"Fibra"))-(SUMIFS(Desconto_Cliente_Mes!$N$2:$N$433,Desconto_Cliente_Mes!$A$2:$A$433,M$7,Desconto_Cliente_Mes!$B$2:$B$433,$A7,Desconto_Cliente_Mes!$C$2:$C$433,"Fibra")))</f>
        <v>0</v>
      </c>
    </row>
    <row r="11" customFormat="false" ht="15" hidden="false" customHeight="false" outlineLevel="0" collapsed="false">
      <c r="A11" s="13" t="s">
        <v>77</v>
      </c>
      <c r="B11" s="15" t="n">
        <f aca="false">MAX(0,(SUMIFS(Desconto_Cliente_Mes!$N$2:$N$433,Desconto_Cliente_Mes!$A$2:$A$433,B$7,Desconto_Cliente_Mes!$B$2:$B$433,$A7,Desconto_Cliente_Mes!$C$2:$C$433,"Fibra"))-(SUMIFS(Desconto_Cliente_Mes!$P$2:$P$433,Desconto_Cliente_Mes!$A$2:$A$433,B$7,Desconto_Cliente_Mes!$B$2:$B$433,$A7,Desconto_Cliente_Mes!$C$2:$C$433,"Fibra")))</f>
        <v>0</v>
      </c>
      <c r="C11" s="15" t="n">
        <f aca="false">MAX(0,(SUMIFS(Desconto_Cliente_Mes!$N$2:$N$433,Desconto_Cliente_Mes!$A$2:$A$433,C$7,Desconto_Cliente_Mes!$B$2:$B$433,$A7,Desconto_Cliente_Mes!$C$2:$C$433,"Fibra"))-(SUMIFS(Desconto_Cliente_Mes!$P$2:$P$433,Desconto_Cliente_Mes!$A$2:$A$433,C$7,Desconto_Cliente_Mes!$B$2:$B$433,$A7,Desconto_Cliente_Mes!$C$2:$C$433,"Fibra")))</f>
        <v>0</v>
      </c>
      <c r="D11" s="15" t="n">
        <f aca="false">MAX(0,(SUMIFS(Desconto_Cliente_Mes!$N$2:$N$433,Desconto_Cliente_Mes!$A$2:$A$433,D$7,Desconto_Cliente_Mes!$B$2:$B$433,$A7,Desconto_Cliente_Mes!$C$2:$C$433,"Fibra"))-(SUMIFS(Desconto_Cliente_Mes!$P$2:$P$433,Desconto_Cliente_Mes!$A$2:$A$433,D$7,Desconto_Cliente_Mes!$B$2:$B$433,$A7,Desconto_Cliente_Mes!$C$2:$C$433,"Fibra")))</f>
        <v>0</v>
      </c>
      <c r="E11" s="15" t="n">
        <f aca="false">MAX(0,(SUMIFS(Desconto_Cliente_Mes!$N$2:$N$433,Desconto_Cliente_Mes!$A$2:$A$433,E$7,Desconto_Cliente_Mes!$B$2:$B$433,$A7,Desconto_Cliente_Mes!$C$2:$C$433,"Fibra"))-(SUMIFS(Desconto_Cliente_Mes!$P$2:$P$433,Desconto_Cliente_Mes!$A$2:$A$433,E$7,Desconto_Cliente_Mes!$B$2:$B$433,$A7,Desconto_Cliente_Mes!$C$2:$C$433,"Fibra")))</f>
        <v>0</v>
      </c>
      <c r="F11" s="15" t="n">
        <f aca="false">MAX(0,(SUMIFS(Desconto_Cliente_Mes!$N$2:$N$433,Desconto_Cliente_Mes!$A$2:$A$433,F$7,Desconto_Cliente_Mes!$B$2:$B$433,$A7,Desconto_Cliente_Mes!$C$2:$C$433,"Fibra"))-(SUMIFS(Desconto_Cliente_Mes!$P$2:$P$433,Desconto_Cliente_Mes!$A$2:$A$433,F$7,Desconto_Cliente_Mes!$B$2:$B$433,$A7,Desconto_Cliente_Mes!$C$2:$C$433,"Fibra")))</f>
        <v>0</v>
      </c>
      <c r="G11" s="15" t="n">
        <f aca="false">MAX(0,(SUMIFS(Desconto_Cliente_Mes!$N$2:$N$433,Desconto_Cliente_Mes!$A$2:$A$433,G$7,Desconto_Cliente_Mes!$B$2:$B$433,$A7,Desconto_Cliente_Mes!$C$2:$C$433,"Fibra"))-(SUMIFS(Desconto_Cliente_Mes!$P$2:$P$433,Desconto_Cliente_Mes!$A$2:$A$433,G$7,Desconto_Cliente_Mes!$B$2:$B$433,$A7,Desconto_Cliente_Mes!$C$2:$C$433,"Fibra")))</f>
        <v>0</v>
      </c>
      <c r="H11" s="15" t="n">
        <f aca="false">MAX(0,(SUMIFS(Desconto_Cliente_Mes!$N$2:$N$433,Desconto_Cliente_Mes!$A$2:$A$433,H$7,Desconto_Cliente_Mes!$B$2:$B$433,$A7,Desconto_Cliente_Mes!$C$2:$C$433,"Fibra"))-(SUMIFS(Desconto_Cliente_Mes!$P$2:$P$433,Desconto_Cliente_Mes!$A$2:$A$433,H$7,Desconto_Cliente_Mes!$B$2:$B$433,$A7,Desconto_Cliente_Mes!$C$2:$C$433,"Fibra")))</f>
        <v>0</v>
      </c>
      <c r="I11" s="15" t="n">
        <f aca="false">MAX(0,(SUMIFS(Desconto_Cliente_Mes!$N$2:$N$433,Desconto_Cliente_Mes!$A$2:$A$433,I$7,Desconto_Cliente_Mes!$B$2:$B$433,$A7,Desconto_Cliente_Mes!$C$2:$C$433,"Fibra"))-(SUMIFS(Desconto_Cliente_Mes!$P$2:$P$433,Desconto_Cliente_Mes!$A$2:$A$433,I$7,Desconto_Cliente_Mes!$B$2:$B$433,$A7,Desconto_Cliente_Mes!$C$2:$C$433,"Fibra")))</f>
        <v>0</v>
      </c>
      <c r="J11" s="15" t="n">
        <f aca="false">MAX(0,(SUMIFS(Desconto_Cliente_Mes!$N$2:$N$433,Desconto_Cliente_Mes!$A$2:$A$433,J$7,Desconto_Cliente_Mes!$B$2:$B$433,$A7,Desconto_Cliente_Mes!$C$2:$C$433,"Fibra"))-(SUMIFS(Desconto_Cliente_Mes!$P$2:$P$433,Desconto_Cliente_Mes!$A$2:$A$433,J$7,Desconto_Cliente_Mes!$B$2:$B$433,$A7,Desconto_Cliente_Mes!$C$2:$C$433,"Fibra")))</f>
        <v>0</v>
      </c>
      <c r="K11" s="15" t="n">
        <f aca="false">MAX(0,(SUMIFS(Desconto_Cliente_Mes!$N$2:$N$433,Desconto_Cliente_Mes!$A$2:$A$433,K$7,Desconto_Cliente_Mes!$B$2:$B$433,$A7,Desconto_Cliente_Mes!$C$2:$C$433,"Fibra"))-(SUMIFS(Desconto_Cliente_Mes!$P$2:$P$433,Desconto_Cliente_Mes!$A$2:$A$433,K$7,Desconto_Cliente_Mes!$B$2:$B$433,$A7,Desconto_Cliente_Mes!$C$2:$C$433,"Fibra")))</f>
        <v>0</v>
      </c>
      <c r="L11" s="15" t="n">
        <f aca="false">MAX(0,(SUMIFS(Desconto_Cliente_Mes!$N$2:$N$433,Desconto_Cliente_Mes!$A$2:$A$433,L$7,Desconto_Cliente_Mes!$B$2:$B$433,$A7,Desconto_Cliente_Mes!$C$2:$C$433,"Fibra"))-(SUMIFS(Desconto_Cliente_Mes!$P$2:$P$433,Desconto_Cliente_Mes!$A$2:$A$433,L$7,Desconto_Cliente_Mes!$B$2:$B$433,$A7,Desconto_Cliente_Mes!$C$2:$C$433,"Fibra")))</f>
        <v>0</v>
      </c>
      <c r="M11" s="15" t="n">
        <f aca="false">MAX(0,(SUMIFS(Desconto_Cliente_Mes!$N$2:$N$433,Desconto_Cliente_Mes!$A$2:$A$433,M$7,Desconto_Cliente_Mes!$B$2:$B$433,$A7,Desconto_Cliente_Mes!$C$2:$C$433,"Fibra"))-(SUMIFS(Desconto_Cliente_Mes!$P$2:$P$433,Desconto_Cliente_Mes!$A$2:$A$433,M$7,Desconto_Cliente_Mes!$B$2:$B$433,$A7,Desconto_Cliente_Mes!$C$2:$C$433,"Fibra")))</f>
        <v>0</v>
      </c>
    </row>
    <row r="12" customFormat="false" ht="15" hidden="false" customHeight="false" outlineLevel="0" collapsed="false">
      <c r="A12" s="13" t="s">
        <v>78</v>
      </c>
      <c r="B12" s="15" t="n">
        <f aca="false">MAX(0,SUMIFS(Desconto_Cliente_Mes!$P$2:$P$433,Desconto_Cliente_Mes!$A$2:$A$433,B$7,Desconto_Cliente_Mes!$B$2:$B$433,$A7,Desconto_Cliente_Mes!$C$2:$C$433,"Fibra"))</f>
        <v>0</v>
      </c>
      <c r="C12" s="15" t="n">
        <f aca="false">MAX(0,SUMIFS(Desconto_Cliente_Mes!$P$2:$P$433,Desconto_Cliente_Mes!$A$2:$A$433,C$7,Desconto_Cliente_Mes!$B$2:$B$433,$A7,Desconto_Cliente_Mes!$C$2:$C$433,"Fibra"))</f>
        <v>0</v>
      </c>
      <c r="D12" s="15" t="n">
        <f aca="false">MAX(0,SUMIFS(Desconto_Cliente_Mes!$P$2:$P$433,Desconto_Cliente_Mes!$A$2:$A$433,D$7,Desconto_Cliente_Mes!$B$2:$B$433,$A7,Desconto_Cliente_Mes!$C$2:$C$433,"Fibra"))</f>
        <v>0</v>
      </c>
      <c r="E12" s="15" t="n">
        <f aca="false">MAX(0,SUMIFS(Desconto_Cliente_Mes!$P$2:$P$433,Desconto_Cliente_Mes!$A$2:$A$433,E$7,Desconto_Cliente_Mes!$B$2:$B$433,$A7,Desconto_Cliente_Mes!$C$2:$C$433,"Fibra"))</f>
        <v>0</v>
      </c>
      <c r="F12" s="15" t="n">
        <f aca="false">MAX(0,SUMIFS(Desconto_Cliente_Mes!$P$2:$P$433,Desconto_Cliente_Mes!$A$2:$A$433,F$7,Desconto_Cliente_Mes!$B$2:$B$433,$A7,Desconto_Cliente_Mes!$C$2:$C$433,"Fibra"))</f>
        <v>0</v>
      </c>
      <c r="G12" s="15" t="n">
        <f aca="false">MAX(0,SUMIFS(Desconto_Cliente_Mes!$P$2:$P$433,Desconto_Cliente_Mes!$A$2:$A$433,G$7,Desconto_Cliente_Mes!$B$2:$B$433,$A7,Desconto_Cliente_Mes!$C$2:$C$433,"Fibra"))</f>
        <v>0</v>
      </c>
      <c r="H12" s="15" t="n">
        <f aca="false">MAX(0,SUMIFS(Desconto_Cliente_Mes!$P$2:$P$433,Desconto_Cliente_Mes!$A$2:$A$433,H$7,Desconto_Cliente_Mes!$B$2:$B$433,$A7,Desconto_Cliente_Mes!$C$2:$C$433,"Fibra"))</f>
        <v>0</v>
      </c>
      <c r="I12" s="15" t="n">
        <f aca="false">MAX(0,SUMIFS(Desconto_Cliente_Mes!$P$2:$P$433,Desconto_Cliente_Mes!$A$2:$A$433,I$7,Desconto_Cliente_Mes!$B$2:$B$433,$A7,Desconto_Cliente_Mes!$C$2:$C$433,"Fibra"))</f>
        <v>0</v>
      </c>
      <c r="J12" s="15" t="n">
        <f aca="false">MAX(0,SUMIFS(Desconto_Cliente_Mes!$P$2:$P$433,Desconto_Cliente_Mes!$A$2:$A$433,J$7,Desconto_Cliente_Mes!$B$2:$B$433,$A7,Desconto_Cliente_Mes!$C$2:$C$433,"Fibra"))</f>
        <v>0</v>
      </c>
      <c r="K12" s="15" t="n">
        <f aca="false">MAX(0,SUMIFS(Desconto_Cliente_Mes!$P$2:$P$433,Desconto_Cliente_Mes!$A$2:$A$433,K$7,Desconto_Cliente_Mes!$B$2:$B$433,$A7,Desconto_Cliente_Mes!$C$2:$C$433,"Fibra"))</f>
        <v>0</v>
      </c>
      <c r="L12" s="15" t="n">
        <f aca="false">MAX(0,SUMIFS(Desconto_Cliente_Mes!$P$2:$P$433,Desconto_Cliente_Mes!$A$2:$A$433,L$7,Desconto_Cliente_Mes!$B$2:$B$433,$A7,Desconto_Cliente_Mes!$C$2:$C$433,"Fibra"))</f>
        <v>0</v>
      </c>
      <c r="M12" s="15" t="n">
        <f aca="false">MAX(0,SUMIFS(Desconto_Cliente_Mes!$P$2:$P$433,Desconto_Cliente_Mes!$A$2:$A$433,M$7,Desconto_Cliente_Mes!$B$2:$B$433,$A7,Desconto_Cliente_Mes!$C$2:$C$433,"Fibra"))</f>
        <v>0</v>
      </c>
    </row>
    <row r="13" customFormat="false" ht="15" hidden="false" customHeight="false" outlineLevel="0" collapsed="false">
      <c r="A13" s="13" t="s">
        <v>79</v>
      </c>
      <c r="B13" s="16" t="n">
        <f aca="false">$B$9*($B$10/100)*(SUMIFS(Desconto_Cliente_Mes!$Q$2:$Q$433,Desconto_Cliente_Mes!$A$2:$A$433,B$7,Desconto_Cliente_Mes!$B$2:$B$433,$A7,Desconto_Cliente_Mes!$C$2:$C$433,"Fibra"))*(SUMIFS(Desconto_Cliente_Mes!$T$2:$T$433,Desconto_Cliente_Mes!$A$2:$A$433,B$7,Desconto_Cliente_Mes!$B$2:$B$433,$A7,Desconto_Cliente_Mes!$C$2:$C$433,"Fibra"))</f>
        <v>0</v>
      </c>
      <c r="C13" s="16" t="n">
        <f aca="false">$C$9*($C$10/100)*(SUMIFS(Desconto_Cliente_Mes!$Q$2:$Q$433,Desconto_Cliente_Mes!$A$2:$A$433,C$7,Desconto_Cliente_Mes!$B$2:$B$433,$A7,Desconto_Cliente_Mes!$C$2:$C$433,"Fibra"))*(SUMIFS(Desconto_Cliente_Mes!$T$2:$T$433,Desconto_Cliente_Mes!$A$2:$A$433,C$7,Desconto_Cliente_Mes!$B$2:$B$433,$A7,Desconto_Cliente_Mes!$C$2:$C$433,"Fibra"))</f>
        <v>0</v>
      </c>
      <c r="D13" s="16" t="n">
        <f aca="false">$D$9*($D$10/100)*(SUMIFS(Desconto_Cliente_Mes!$Q$2:$Q$433,Desconto_Cliente_Mes!$A$2:$A$433,D$7,Desconto_Cliente_Mes!$B$2:$B$433,$A7,Desconto_Cliente_Mes!$C$2:$C$433,"Fibra"))*(SUMIFS(Desconto_Cliente_Mes!$T$2:$T$433,Desconto_Cliente_Mes!$A$2:$A$433,D$7,Desconto_Cliente_Mes!$B$2:$B$433,$A7,Desconto_Cliente_Mes!$C$2:$C$433,"Fibra"))</f>
        <v>0</v>
      </c>
      <c r="E13" s="16" t="n">
        <f aca="false">$E$9*($E$10/100)*(SUMIFS(Desconto_Cliente_Mes!$Q$2:$Q$433,Desconto_Cliente_Mes!$A$2:$A$433,E$7,Desconto_Cliente_Mes!$B$2:$B$433,$A7,Desconto_Cliente_Mes!$C$2:$C$433,"Fibra"))*(SUMIFS(Desconto_Cliente_Mes!$T$2:$T$433,Desconto_Cliente_Mes!$A$2:$A$433,E$7,Desconto_Cliente_Mes!$B$2:$B$433,$A7,Desconto_Cliente_Mes!$C$2:$C$433,"Fibra"))</f>
        <v>8217.9115864258</v>
      </c>
      <c r="F13" s="16" t="n">
        <f aca="false">$F$9*($F$10/100)*(SUMIFS(Desconto_Cliente_Mes!$Q$2:$Q$433,Desconto_Cliente_Mes!$A$2:$A$433,F$7,Desconto_Cliente_Mes!$B$2:$B$433,$A7,Desconto_Cliente_Mes!$C$2:$C$433,"Fibra"))*(SUMIFS(Desconto_Cliente_Mes!$T$2:$T$433,Desconto_Cliente_Mes!$A$2:$A$433,F$7,Desconto_Cliente_Mes!$B$2:$B$433,$A7,Desconto_Cliente_Mes!$C$2:$C$433,"Fibra"))</f>
        <v>0</v>
      </c>
      <c r="G13" s="16" t="n">
        <f aca="false">$G$9*($G$10/100)*(SUMIFS(Desconto_Cliente_Mes!$Q$2:$Q$433,Desconto_Cliente_Mes!$A$2:$A$433,G$7,Desconto_Cliente_Mes!$B$2:$B$433,$A7,Desconto_Cliente_Mes!$C$2:$C$433,"Fibra"))*(SUMIFS(Desconto_Cliente_Mes!$T$2:$T$433,Desconto_Cliente_Mes!$A$2:$A$433,G$7,Desconto_Cliente_Mes!$B$2:$B$433,$A7,Desconto_Cliente_Mes!$C$2:$C$433,"Fibra"))</f>
        <v>19937.9213546216</v>
      </c>
      <c r="H13" s="16" t="n">
        <f aca="false">$H$9*($H$10/100)*(SUMIFS(Desconto_Cliente_Mes!$Q$2:$Q$433,Desconto_Cliente_Mes!$A$2:$A$433,H$7,Desconto_Cliente_Mes!$B$2:$B$433,$A7,Desconto_Cliente_Mes!$C$2:$C$433,"Fibra"))*(SUMIFS(Desconto_Cliente_Mes!$T$2:$T$433,Desconto_Cliente_Mes!$A$2:$A$433,H$7,Desconto_Cliente_Mes!$B$2:$B$433,$A7,Desconto_Cliente_Mes!$C$2:$C$433,"Fibra"))</f>
        <v>43060.5861914618</v>
      </c>
      <c r="I13" s="16" t="n">
        <f aca="false">$I$9*($I$10/100)*(SUMIFS(Desconto_Cliente_Mes!$Q$2:$Q$433,Desconto_Cliente_Mes!$A$2:$A$433,I$7,Desconto_Cliente_Mes!$B$2:$B$433,$A7,Desconto_Cliente_Mes!$C$2:$C$433,"Fibra"))*(SUMIFS(Desconto_Cliente_Mes!$T$2:$T$433,Desconto_Cliente_Mes!$A$2:$A$433,I$7,Desconto_Cliente_Mes!$B$2:$B$433,$A7,Desconto_Cliente_Mes!$C$2:$C$433,"Fibra"))</f>
        <v>0</v>
      </c>
      <c r="J13" s="16" t="n">
        <f aca="false">$J$9*($J$10/100)*(SUMIFS(Desconto_Cliente_Mes!$Q$2:$Q$433,Desconto_Cliente_Mes!$A$2:$A$433,J$7,Desconto_Cliente_Mes!$B$2:$B$433,$A7,Desconto_Cliente_Mes!$C$2:$C$433,"Fibra"))*(SUMIFS(Desconto_Cliente_Mes!$T$2:$T$433,Desconto_Cliente_Mes!$A$2:$A$433,J$7,Desconto_Cliente_Mes!$B$2:$B$433,$A7,Desconto_Cliente_Mes!$C$2:$C$433,"Fibra"))</f>
        <v>0</v>
      </c>
      <c r="K13" s="16" t="n">
        <f aca="false">$K$9*($K$10/100)*(SUMIFS(Desconto_Cliente_Mes!$Q$2:$Q$433,Desconto_Cliente_Mes!$A$2:$A$433,K$7,Desconto_Cliente_Mes!$B$2:$B$433,$A7,Desconto_Cliente_Mes!$C$2:$C$433,"Fibra"))*(SUMIFS(Desconto_Cliente_Mes!$T$2:$T$433,Desconto_Cliente_Mes!$A$2:$A$433,K$7,Desconto_Cliente_Mes!$B$2:$B$433,$A7,Desconto_Cliente_Mes!$C$2:$C$433,"Fibra"))</f>
        <v>0</v>
      </c>
      <c r="L13" s="16" t="n">
        <f aca="false">$L$9*($L$10/100)*(SUMIFS(Desconto_Cliente_Mes!$Q$2:$Q$433,Desconto_Cliente_Mes!$A$2:$A$433,L$7,Desconto_Cliente_Mes!$B$2:$B$433,$A7,Desconto_Cliente_Mes!$C$2:$C$433,"Fibra"))*(SUMIFS(Desconto_Cliente_Mes!$T$2:$T$433,Desconto_Cliente_Mes!$A$2:$A$433,L$7,Desconto_Cliente_Mes!$B$2:$B$433,$A7,Desconto_Cliente_Mes!$C$2:$C$433,"Fibra"))</f>
        <v>0</v>
      </c>
      <c r="M13" s="16" t="n">
        <f aca="false">$M$9*($M$10/100)*(SUMIFS(Desconto_Cliente_Mes!$Q$2:$Q$433,Desconto_Cliente_Mes!$A$2:$A$433,M$7,Desconto_Cliente_Mes!$B$2:$B$433,$A7,Desconto_Cliente_Mes!$C$2:$C$433,"Fibra"))*(SUMIFS(Desconto_Cliente_Mes!$T$2:$T$433,Desconto_Cliente_Mes!$A$2:$A$433,M$7,Desconto_Cliente_Mes!$B$2:$B$433,$A7,Desconto_Cliente_Mes!$C$2:$C$433,"Fibra"))</f>
        <v>0</v>
      </c>
      <c r="N13" s="17" t="n">
        <f aca="false">SUM(B13:M13)</f>
        <v>71216.4191325092</v>
      </c>
    </row>
    <row r="14" customFormat="false" ht="15" hidden="false" customHeight="false" outlineLevel="0" collapsed="false">
      <c r="A14" s="13" t="s">
        <v>80</v>
      </c>
      <c r="B14" s="16" t="n">
        <f aca="false">$B$9*($B$11/100)*((IF(SUMIFS(Desconto_Cliente_Mes!$R$2:$R$433,Desconto_Cliente_Mes!$A$2:$A$433,B$7,Desconto_Cliente_Mes!$B$2:$B$433,$A7,Desconto_Cliente_Mes!$C$2:$C$433,"Fibra")="",SUMIFS(Desconto_Cliente_Mes!$Q$2:$Q$433,Desconto_Cliente_Mes!$A$2:$A$433,B$7,Desconto_Cliente_Mes!$B$2:$B$433,$A7,Desconto_Cliente_Mes!$C$2:$C$433,"Fibra"),SUMIFS(Desconto_Cliente_Mes!$R$2:$R$433,Desconto_Cliente_Mes!$A$2:$A$433,B$7,Desconto_Cliente_Mes!$B$2:$B$433,$A7,Desconto_Cliente_Mes!$C$2:$C$433,"Fibra")))-(SUMIFS(Desconto_Cliente_Mes!$Q$2:$Q$433,Desconto_Cliente_Mes!$A$2:$A$433,B$7,Desconto_Cliente_Mes!$B$2:$B$433,$A7,Desconto_Cliente_Mes!$C$2:$C$433,"Fibra")))*(SUMIFS(Desconto_Cliente_Mes!$T$2:$T$433,Desconto_Cliente_Mes!$A$2:$A$433,B$7,Desconto_Cliente_Mes!$B$2:$B$433,$A7,Desconto_Cliente_Mes!$C$2:$C$433,"Fibra"))</f>
        <v>0</v>
      </c>
      <c r="C14" s="16" t="n">
        <f aca="false">$C$9*($C$11/100)*((IF(SUMIFS(Desconto_Cliente_Mes!$R$2:$R$433,Desconto_Cliente_Mes!$A$2:$A$433,C$7,Desconto_Cliente_Mes!$B$2:$B$433,$A7,Desconto_Cliente_Mes!$C$2:$C$433,"Fibra")="",SUMIFS(Desconto_Cliente_Mes!$Q$2:$Q$433,Desconto_Cliente_Mes!$A$2:$A$433,C$7,Desconto_Cliente_Mes!$B$2:$B$433,$A7,Desconto_Cliente_Mes!$C$2:$C$433,"Fibra"),SUMIFS(Desconto_Cliente_Mes!$R$2:$R$433,Desconto_Cliente_Mes!$A$2:$A$433,C$7,Desconto_Cliente_Mes!$B$2:$B$433,$A7,Desconto_Cliente_Mes!$C$2:$C$433,"Fibra")))-(SUMIFS(Desconto_Cliente_Mes!$Q$2:$Q$433,Desconto_Cliente_Mes!$A$2:$A$433,C$7,Desconto_Cliente_Mes!$B$2:$B$433,$A7,Desconto_Cliente_Mes!$C$2:$C$433,"Fibra")))*(SUMIFS(Desconto_Cliente_Mes!$T$2:$T$433,Desconto_Cliente_Mes!$A$2:$A$433,C$7,Desconto_Cliente_Mes!$B$2:$B$433,$A7,Desconto_Cliente_Mes!$C$2:$C$433,"Fibra"))</f>
        <v>0</v>
      </c>
      <c r="D14" s="16" t="n">
        <f aca="false">$D$9*($D$11/100)*((IF(SUMIFS(Desconto_Cliente_Mes!$R$2:$R$433,Desconto_Cliente_Mes!$A$2:$A$433,D$7,Desconto_Cliente_Mes!$B$2:$B$433,$A7,Desconto_Cliente_Mes!$C$2:$C$433,"Fibra")="",SUMIFS(Desconto_Cliente_Mes!$Q$2:$Q$433,Desconto_Cliente_Mes!$A$2:$A$433,D$7,Desconto_Cliente_Mes!$B$2:$B$433,$A7,Desconto_Cliente_Mes!$C$2:$C$433,"Fibra"),SUMIFS(Desconto_Cliente_Mes!$R$2:$R$433,Desconto_Cliente_Mes!$A$2:$A$433,D$7,Desconto_Cliente_Mes!$B$2:$B$433,$A7,Desconto_Cliente_Mes!$C$2:$C$433,"Fibra")))-(SUMIFS(Desconto_Cliente_Mes!$Q$2:$Q$433,Desconto_Cliente_Mes!$A$2:$A$433,D$7,Desconto_Cliente_Mes!$B$2:$B$433,$A7,Desconto_Cliente_Mes!$C$2:$C$433,"Fibra")))*(SUMIFS(Desconto_Cliente_Mes!$T$2:$T$433,Desconto_Cliente_Mes!$A$2:$A$433,D$7,Desconto_Cliente_Mes!$B$2:$B$433,$A7,Desconto_Cliente_Mes!$C$2:$C$433,"Fibra"))</f>
        <v>0</v>
      </c>
      <c r="E14" s="16" t="n">
        <f aca="false">$E$9*($E$11/100)*((IF(SUMIFS(Desconto_Cliente_Mes!$R$2:$R$433,Desconto_Cliente_Mes!$A$2:$A$433,E$7,Desconto_Cliente_Mes!$B$2:$B$433,$A7,Desconto_Cliente_Mes!$C$2:$C$433,"Fibra")="",SUMIFS(Desconto_Cliente_Mes!$Q$2:$Q$433,Desconto_Cliente_Mes!$A$2:$A$433,E$7,Desconto_Cliente_Mes!$B$2:$B$433,$A7,Desconto_Cliente_Mes!$C$2:$C$433,"Fibra"),SUMIFS(Desconto_Cliente_Mes!$R$2:$R$433,Desconto_Cliente_Mes!$A$2:$A$433,E$7,Desconto_Cliente_Mes!$B$2:$B$433,$A7,Desconto_Cliente_Mes!$C$2:$C$433,"Fibra")))-(SUMIFS(Desconto_Cliente_Mes!$Q$2:$Q$433,Desconto_Cliente_Mes!$A$2:$A$433,E$7,Desconto_Cliente_Mes!$B$2:$B$433,$A7,Desconto_Cliente_Mes!$C$2:$C$433,"Fibra")))*(SUMIFS(Desconto_Cliente_Mes!$T$2:$T$433,Desconto_Cliente_Mes!$A$2:$A$433,E$7,Desconto_Cliente_Mes!$B$2:$B$433,$A7,Desconto_Cliente_Mes!$C$2:$C$433,"Fibra"))</f>
        <v>0</v>
      </c>
      <c r="F14" s="16" t="n">
        <f aca="false">$F$9*($F$11/100)*((IF(SUMIFS(Desconto_Cliente_Mes!$R$2:$R$433,Desconto_Cliente_Mes!$A$2:$A$433,F$7,Desconto_Cliente_Mes!$B$2:$B$433,$A7,Desconto_Cliente_Mes!$C$2:$C$433,"Fibra")="",SUMIFS(Desconto_Cliente_Mes!$Q$2:$Q$433,Desconto_Cliente_Mes!$A$2:$A$433,F$7,Desconto_Cliente_Mes!$B$2:$B$433,$A7,Desconto_Cliente_Mes!$C$2:$C$433,"Fibra"),SUMIFS(Desconto_Cliente_Mes!$R$2:$R$433,Desconto_Cliente_Mes!$A$2:$A$433,F$7,Desconto_Cliente_Mes!$B$2:$B$433,$A7,Desconto_Cliente_Mes!$C$2:$C$433,"Fibra")))-(SUMIFS(Desconto_Cliente_Mes!$Q$2:$Q$433,Desconto_Cliente_Mes!$A$2:$A$433,F$7,Desconto_Cliente_Mes!$B$2:$B$433,$A7,Desconto_Cliente_Mes!$C$2:$C$433,"Fibra")))*(SUMIFS(Desconto_Cliente_Mes!$T$2:$T$433,Desconto_Cliente_Mes!$A$2:$A$433,F$7,Desconto_Cliente_Mes!$B$2:$B$433,$A7,Desconto_Cliente_Mes!$C$2:$C$433,"Fibra"))</f>
        <v>0</v>
      </c>
      <c r="G14" s="16" t="n">
        <f aca="false">$G$9*($G$11/100)*((IF(SUMIFS(Desconto_Cliente_Mes!$R$2:$R$433,Desconto_Cliente_Mes!$A$2:$A$433,G$7,Desconto_Cliente_Mes!$B$2:$B$433,$A7,Desconto_Cliente_Mes!$C$2:$C$433,"Fibra")="",SUMIFS(Desconto_Cliente_Mes!$Q$2:$Q$433,Desconto_Cliente_Mes!$A$2:$A$433,G$7,Desconto_Cliente_Mes!$B$2:$B$433,$A7,Desconto_Cliente_Mes!$C$2:$C$433,"Fibra"),SUMIFS(Desconto_Cliente_Mes!$R$2:$R$433,Desconto_Cliente_Mes!$A$2:$A$433,G$7,Desconto_Cliente_Mes!$B$2:$B$433,$A7,Desconto_Cliente_Mes!$C$2:$C$433,"Fibra")))-(SUMIFS(Desconto_Cliente_Mes!$Q$2:$Q$433,Desconto_Cliente_Mes!$A$2:$A$433,G$7,Desconto_Cliente_Mes!$B$2:$B$433,$A7,Desconto_Cliente_Mes!$C$2:$C$433,"Fibra")))*(SUMIFS(Desconto_Cliente_Mes!$T$2:$T$433,Desconto_Cliente_Mes!$A$2:$A$433,G$7,Desconto_Cliente_Mes!$B$2:$B$433,$A7,Desconto_Cliente_Mes!$C$2:$C$433,"Fibra"))</f>
        <v>0</v>
      </c>
      <c r="H14" s="16" t="n">
        <f aca="false">$H$9*($H$11/100)*((IF(SUMIFS(Desconto_Cliente_Mes!$R$2:$R$433,Desconto_Cliente_Mes!$A$2:$A$433,H$7,Desconto_Cliente_Mes!$B$2:$B$433,$A7,Desconto_Cliente_Mes!$C$2:$C$433,"Fibra")="",SUMIFS(Desconto_Cliente_Mes!$Q$2:$Q$433,Desconto_Cliente_Mes!$A$2:$A$433,H$7,Desconto_Cliente_Mes!$B$2:$B$433,$A7,Desconto_Cliente_Mes!$C$2:$C$433,"Fibra"),SUMIFS(Desconto_Cliente_Mes!$R$2:$R$433,Desconto_Cliente_Mes!$A$2:$A$433,H$7,Desconto_Cliente_Mes!$B$2:$B$433,$A7,Desconto_Cliente_Mes!$C$2:$C$433,"Fibra")))-(SUMIFS(Desconto_Cliente_Mes!$Q$2:$Q$433,Desconto_Cliente_Mes!$A$2:$A$433,H$7,Desconto_Cliente_Mes!$B$2:$B$433,$A7,Desconto_Cliente_Mes!$C$2:$C$433,"Fibra")))*(SUMIFS(Desconto_Cliente_Mes!$T$2:$T$433,Desconto_Cliente_Mes!$A$2:$A$433,H$7,Desconto_Cliente_Mes!$B$2:$B$433,$A7,Desconto_Cliente_Mes!$C$2:$C$433,"Fibra"))</f>
        <v>0</v>
      </c>
      <c r="I14" s="16" t="n">
        <f aca="false">$I$9*($I$11/100)*((IF(SUMIFS(Desconto_Cliente_Mes!$R$2:$R$433,Desconto_Cliente_Mes!$A$2:$A$433,I$7,Desconto_Cliente_Mes!$B$2:$B$433,$A7,Desconto_Cliente_Mes!$C$2:$C$433,"Fibra")="",SUMIFS(Desconto_Cliente_Mes!$Q$2:$Q$433,Desconto_Cliente_Mes!$A$2:$A$433,I$7,Desconto_Cliente_Mes!$B$2:$B$433,$A7,Desconto_Cliente_Mes!$C$2:$C$433,"Fibra"),SUMIFS(Desconto_Cliente_Mes!$R$2:$R$433,Desconto_Cliente_Mes!$A$2:$A$433,I$7,Desconto_Cliente_Mes!$B$2:$B$433,$A7,Desconto_Cliente_Mes!$C$2:$C$433,"Fibra")))-(SUMIFS(Desconto_Cliente_Mes!$Q$2:$Q$433,Desconto_Cliente_Mes!$A$2:$A$433,I$7,Desconto_Cliente_Mes!$B$2:$B$433,$A7,Desconto_Cliente_Mes!$C$2:$C$433,"Fibra")))*(SUMIFS(Desconto_Cliente_Mes!$T$2:$T$433,Desconto_Cliente_Mes!$A$2:$A$433,I$7,Desconto_Cliente_Mes!$B$2:$B$433,$A7,Desconto_Cliente_Mes!$C$2:$C$433,"Fibra"))</f>
        <v>0</v>
      </c>
      <c r="J14" s="16" t="n">
        <f aca="false">$J$9*($J$11/100)*((IF(SUMIFS(Desconto_Cliente_Mes!$R$2:$R$433,Desconto_Cliente_Mes!$A$2:$A$433,J$7,Desconto_Cliente_Mes!$B$2:$B$433,$A7,Desconto_Cliente_Mes!$C$2:$C$433,"Fibra")="",SUMIFS(Desconto_Cliente_Mes!$Q$2:$Q$433,Desconto_Cliente_Mes!$A$2:$A$433,J$7,Desconto_Cliente_Mes!$B$2:$B$433,$A7,Desconto_Cliente_Mes!$C$2:$C$433,"Fibra"),SUMIFS(Desconto_Cliente_Mes!$R$2:$R$433,Desconto_Cliente_Mes!$A$2:$A$433,J$7,Desconto_Cliente_Mes!$B$2:$B$433,$A7,Desconto_Cliente_Mes!$C$2:$C$433,"Fibra")))-(SUMIFS(Desconto_Cliente_Mes!$Q$2:$Q$433,Desconto_Cliente_Mes!$A$2:$A$433,J$7,Desconto_Cliente_Mes!$B$2:$B$433,$A7,Desconto_Cliente_Mes!$C$2:$C$433,"Fibra")))*(SUMIFS(Desconto_Cliente_Mes!$T$2:$T$433,Desconto_Cliente_Mes!$A$2:$A$433,J$7,Desconto_Cliente_Mes!$B$2:$B$433,$A7,Desconto_Cliente_Mes!$C$2:$C$433,"Fibra"))</f>
        <v>0</v>
      </c>
      <c r="K14" s="16" t="n">
        <f aca="false">$K$9*($K$11/100)*((IF(SUMIFS(Desconto_Cliente_Mes!$R$2:$R$433,Desconto_Cliente_Mes!$A$2:$A$433,K$7,Desconto_Cliente_Mes!$B$2:$B$433,$A7,Desconto_Cliente_Mes!$C$2:$C$433,"Fibra")="",SUMIFS(Desconto_Cliente_Mes!$Q$2:$Q$433,Desconto_Cliente_Mes!$A$2:$A$433,K$7,Desconto_Cliente_Mes!$B$2:$B$433,$A7,Desconto_Cliente_Mes!$C$2:$C$433,"Fibra"),SUMIFS(Desconto_Cliente_Mes!$R$2:$R$433,Desconto_Cliente_Mes!$A$2:$A$433,K$7,Desconto_Cliente_Mes!$B$2:$B$433,$A7,Desconto_Cliente_Mes!$C$2:$C$433,"Fibra")))-(SUMIFS(Desconto_Cliente_Mes!$Q$2:$Q$433,Desconto_Cliente_Mes!$A$2:$A$433,K$7,Desconto_Cliente_Mes!$B$2:$B$433,$A7,Desconto_Cliente_Mes!$C$2:$C$433,"Fibra")))*(SUMIFS(Desconto_Cliente_Mes!$T$2:$T$433,Desconto_Cliente_Mes!$A$2:$A$433,K$7,Desconto_Cliente_Mes!$B$2:$B$433,$A7,Desconto_Cliente_Mes!$C$2:$C$433,"Fibra"))</f>
        <v>0</v>
      </c>
      <c r="L14" s="16" t="n">
        <f aca="false">$L$9*($L$11/100)*((IF(SUMIFS(Desconto_Cliente_Mes!$R$2:$R$433,Desconto_Cliente_Mes!$A$2:$A$433,L$7,Desconto_Cliente_Mes!$B$2:$B$433,$A7,Desconto_Cliente_Mes!$C$2:$C$433,"Fibra")="",SUMIFS(Desconto_Cliente_Mes!$Q$2:$Q$433,Desconto_Cliente_Mes!$A$2:$A$433,L$7,Desconto_Cliente_Mes!$B$2:$B$433,$A7,Desconto_Cliente_Mes!$C$2:$C$433,"Fibra"),SUMIFS(Desconto_Cliente_Mes!$R$2:$R$433,Desconto_Cliente_Mes!$A$2:$A$433,L$7,Desconto_Cliente_Mes!$B$2:$B$433,$A7,Desconto_Cliente_Mes!$C$2:$C$433,"Fibra")))-(SUMIFS(Desconto_Cliente_Mes!$Q$2:$Q$433,Desconto_Cliente_Mes!$A$2:$A$433,L$7,Desconto_Cliente_Mes!$B$2:$B$433,$A7,Desconto_Cliente_Mes!$C$2:$C$433,"Fibra")))*(SUMIFS(Desconto_Cliente_Mes!$T$2:$T$433,Desconto_Cliente_Mes!$A$2:$A$433,L$7,Desconto_Cliente_Mes!$B$2:$B$433,$A7,Desconto_Cliente_Mes!$C$2:$C$433,"Fibra"))</f>
        <v>0</v>
      </c>
      <c r="M14" s="16" t="n">
        <f aca="false">$M$9*($M$11/100)*((IF(SUMIFS(Desconto_Cliente_Mes!$R$2:$R$433,Desconto_Cliente_Mes!$A$2:$A$433,M$7,Desconto_Cliente_Mes!$B$2:$B$433,$A7,Desconto_Cliente_Mes!$C$2:$C$433,"Fibra")="",SUMIFS(Desconto_Cliente_Mes!$Q$2:$Q$433,Desconto_Cliente_Mes!$A$2:$A$433,M$7,Desconto_Cliente_Mes!$B$2:$B$433,$A7,Desconto_Cliente_Mes!$C$2:$C$433,"Fibra"),SUMIFS(Desconto_Cliente_Mes!$R$2:$R$433,Desconto_Cliente_Mes!$A$2:$A$433,M$7,Desconto_Cliente_Mes!$B$2:$B$433,$A7,Desconto_Cliente_Mes!$C$2:$C$433,"Fibra")))-(SUMIFS(Desconto_Cliente_Mes!$Q$2:$Q$433,Desconto_Cliente_Mes!$A$2:$A$433,M$7,Desconto_Cliente_Mes!$B$2:$B$433,$A7,Desconto_Cliente_Mes!$C$2:$C$433,"Fibra")))*(SUMIFS(Desconto_Cliente_Mes!$T$2:$T$433,Desconto_Cliente_Mes!$A$2:$A$433,M$7,Desconto_Cliente_Mes!$B$2:$B$433,$A7,Desconto_Cliente_Mes!$C$2:$C$433,"Fibra"))</f>
        <v>0</v>
      </c>
      <c r="N14" s="17" t="n">
        <f aca="false">SUM(B14:M14)</f>
        <v>0</v>
      </c>
    </row>
    <row r="15" customFormat="false" ht="15" hidden="false" customHeight="false" outlineLevel="0" collapsed="false">
      <c r="A15" s="13" t="s">
        <v>81</v>
      </c>
      <c r="B15" s="16" t="n">
        <f aca="false">$B$9*($B$12/100)*((IF(SUMIFS(Desconto_Cliente_Mes!$S$2:$S$433,Desconto_Cliente_Mes!$A$2:$A$433,B$7,Desconto_Cliente_Mes!$B$2:$B$433,$A7,Desconto_Cliente_Mes!$C$2:$C$433,"Fibra")="",(IF(SUMIFS(Desconto_Cliente_Mes!$R$2:$R$433,Desconto_Cliente_Mes!$A$2:$A$433,B$7,Desconto_Cliente_Mes!$B$2:$B$433,$A7,Desconto_Cliente_Mes!$C$2:$C$433,"Fibra")="",SUMIFS(Desconto_Cliente_Mes!$Q$2:$Q$433,Desconto_Cliente_Mes!$A$2:$A$433,B$7,Desconto_Cliente_Mes!$B$2:$B$433,$A7,Desconto_Cliente_Mes!$C$2:$C$433,"Fibra"),SUMIFS(Desconto_Cliente_Mes!$R$2:$R$433,Desconto_Cliente_Mes!$A$2:$A$433,B$7,Desconto_Cliente_Mes!$B$2:$B$433,$A7,Desconto_Cliente_Mes!$C$2:$C$433,"Fibra"))),SUMIFS(Desconto_Cliente_Mes!$S$2:$S$433,Desconto_Cliente_Mes!$A$2:$A$433,B$7,Desconto_Cliente_Mes!$B$2:$B$433,$A7,Desconto_Cliente_Mes!$C$2:$C$433,"Fibra")))-(IF(SUMIFS(Desconto_Cliente_Mes!$R$2:$R$433,Desconto_Cliente_Mes!$A$2:$A$433,B$7,Desconto_Cliente_Mes!$B$2:$B$433,$A7,Desconto_Cliente_Mes!$C$2:$C$433,"Fibra")="",SUMIFS(Desconto_Cliente_Mes!$Q$2:$Q$433,Desconto_Cliente_Mes!$A$2:$A$433,B$7,Desconto_Cliente_Mes!$B$2:$B$433,$A7,Desconto_Cliente_Mes!$C$2:$C$433,"Fibra"),SUMIFS(Desconto_Cliente_Mes!$R$2:$R$433,Desconto_Cliente_Mes!$A$2:$A$433,B$7,Desconto_Cliente_Mes!$B$2:$B$433,$A7,Desconto_Cliente_Mes!$C$2:$C$433,"Fibra"))))*(SUMIFS(Desconto_Cliente_Mes!$T$2:$T$433,Desconto_Cliente_Mes!$A$2:$A$433,B$7,Desconto_Cliente_Mes!$B$2:$B$433,$A7,Desconto_Cliente_Mes!$C$2:$C$433,"Fibra"))</f>
        <v>0</v>
      </c>
      <c r="C15" s="16" t="n">
        <f aca="false">$C$9*($C$12/100)*((IF(SUMIFS(Desconto_Cliente_Mes!$S$2:$S$433,Desconto_Cliente_Mes!$A$2:$A$433,C$7,Desconto_Cliente_Mes!$B$2:$B$433,$A7,Desconto_Cliente_Mes!$C$2:$C$433,"Fibra")="",(IF(SUMIFS(Desconto_Cliente_Mes!$R$2:$R$433,Desconto_Cliente_Mes!$A$2:$A$433,C$7,Desconto_Cliente_Mes!$B$2:$B$433,$A7,Desconto_Cliente_Mes!$C$2:$C$433,"Fibra")="",SUMIFS(Desconto_Cliente_Mes!$Q$2:$Q$433,Desconto_Cliente_Mes!$A$2:$A$433,C$7,Desconto_Cliente_Mes!$B$2:$B$433,$A7,Desconto_Cliente_Mes!$C$2:$C$433,"Fibra"),SUMIFS(Desconto_Cliente_Mes!$R$2:$R$433,Desconto_Cliente_Mes!$A$2:$A$433,C$7,Desconto_Cliente_Mes!$B$2:$B$433,$A7,Desconto_Cliente_Mes!$C$2:$C$433,"Fibra"))),SUMIFS(Desconto_Cliente_Mes!$S$2:$S$433,Desconto_Cliente_Mes!$A$2:$A$433,C$7,Desconto_Cliente_Mes!$B$2:$B$433,$A7,Desconto_Cliente_Mes!$C$2:$C$433,"Fibra")))-(IF(SUMIFS(Desconto_Cliente_Mes!$R$2:$R$433,Desconto_Cliente_Mes!$A$2:$A$433,C$7,Desconto_Cliente_Mes!$B$2:$B$433,$A7,Desconto_Cliente_Mes!$C$2:$C$433,"Fibra")="",SUMIFS(Desconto_Cliente_Mes!$Q$2:$Q$433,Desconto_Cliente_Mes!$A$2:$A$433,C$7,Desconto_Cliente_Mes!$B$2:$B$433,$A7,Desconto_Cliente_Mes!$C$2:$C$433,"Fibra"),SUMIFS(Desconto_Cliente_Mes!$R$2:$R$433,Desconto_Cliente_Mes!$A$2:$A$433,C$7,Desconto_Cliente_Mes!$B$2:$B$433,$A7,Desconto_Cliente_Mes!$C$2:$C$433,"Fibra"))))*(SUMIFS(Desconto_Cliente_Mes!$T$2:$T$433,Desconto_Cliente_Mes!$A$2:$A$433,C$7,Desconto_Cliente_Mes!$B$2:$B$433,$A7,Desconto_Cliente_Mes!$C$2:$C$433,"Fibra"))</f>
        <v>0</v>
      </c>
      <c r="D15" s="16" t="n">
        <f aca="false">$D$9*($D$12/100)*((IF(SUMIFS(Desconto_Cliente_Mes!$S$2:$S$433,Desconto_Cliente_Mes!$A$2:$A$433,D$7,Desconto_Cliente_Mes!$B$2:$B$433,$A7,Desconto_Cliente_Mes!$C$2:$C$433,"Fibra")="",(IF(SUMIFS(Desconto_Cliente_Mes!$R$2:$R$433,Desconto_Cliente_Mes!$A$2:$A$433,D$7,Desconto_Cliente_Mes!$B$2:$B$433,$A7,Desconto_Cliente_Mes!$C$2:$C$433,"Fibra")="",SUMIFS(Desconto_Cliente_Mes!$Q$2:$Q$433,Desconto_Cliente_Mes!$A$2:$A$433,D$7,Desconto_Cliente_Mes!$B$2:$B$433,$A7,Desconto_Cliente_Mes!$C$2:$C$433,"Fibra"),SUMIFS(Desconto_Cliente_Mes!$R$2:$R$433,Desconto_Cliente_Mes!$A$2:$A$433,D$7,Desconto_Cliente_Mes!$B$2:$B$433,$A7,Desconto_Cliente_Mes!$C$2:$C$433,"Fibra"))),SUMIFS(Desconto_Cliente_Mes!$S$2:$S$433,Desconto_Cliente_Mes!$A$2:$A$433,D$7,Desconto_Cliente_Mes!$B$2:$B$433,$A7,Desconto_Cliente_Mes!$C$2:$C$433,"Fibra")))-(IF(SUMIFS(Desconto_Cliente_Mes!$R$2:$R$433,Desconto_Cliente_Mes!$A$2:$A$433,D$7,Desconto_Cliente_Mes!$B$2:$B$433,$A7,Desconto_Cliente_Mes!$C$2:$C$433,"Fibra")="",SUMIFS(Desconto_Cliente_Mes!$Q$2:$Q$433,Desconto_Cliente_Mes!$A$2:$A$433,D$7,Desconto_Cliente_Mes!$B$2:$B$433,$A7,Desconto_Cliente_Mes!$C$2:$C$433,"Fibra"),SUMIFS(Desconto_Cliente_Mes!$R$2:$R$433,Desconto_Cliente_Mes!$A$2:$A$433,D$7,Desconto_Cliente_Mes!$B$2:$B$433,$A7,Desconto_Cliente_Mes!$C$2:$C$433,"Fibra"))))*(SUMIFS(Desconto_Cliente_Mes!$T$2:$T$433,Desconto_Cliente_Mes!$A$2:$A$433,D$7,Desconto_Cliente_Mes!$B$2:$B$433,$A7,Desconto_Cliente_Mes!$C$2:$C$433,"Fibra"))</f>
        <v>0</v>
      </c>
      <c r="E15" s="16" t="n">
        <f aca="false">$E$9*($E$12/100)*((IF(SUMIFS(Desconto_Cliente_Mes!$S$2:$S$433,Desconto_Cliente_Mes!$A$2:$A$433,E$7,Desconto_Cliente_Mes!$B$2:$B$433,$A7,Desconto_Cliente_Mes!$C$2:$C$433,"Fibra")="",(IF(SUMIFS(Desconto_Cliente_Mes!$R$2:$R$433,Desconto_Cliente_Mes!$A$2:$A$433,E$7,Desconto_Cliente_Mes!$B$2:$B$433,$A7,Desconto_Cliente_Mes!$C$2:$C$433,"Fibra")="",SUMIFS(Desconto_Cliente_Mes!$Q$2:$Q$433,Desconto_Cliente_Mes!$A$2:$A$433,E$7,Desconto_Cliente_Mes!$B$2:$B$433,$A7,Desconto_Cliente_Mes!$C$2:$C$433,"Fibra"),SUMIFS(Desconto_Cliente_Mes!$R$2:$R$433,Desconto_Cliente_Mes!$A$2:$A$433,E$7,Desconto_Cliente_Mes!$B$2:$B$433,$A7,Desconto_Cliente_Mes!$C$2:$C$433,"Fibra"))),SUMIFS(Desconto_Cliente_Mes!$S$2:$S$433,Desconto_Cliente_Mes!$A$2:$A$433,E$7,Desconto_Cliente_Mes!$B$2:$B$433,$A7,Desconto_Cliente_Mes!$C$2:$C$433,"Fibra")))-(IF(SUMIFS(Desconto_Cliente_Mes!$R$2:$R$433,Desconto_Cliente_Mes!$A$2:$A$433,E$7,Desconto_Cliente_Mes!$B$2:$B$433,$A7,Desconto_Cliente_Mes!$C$2:$C$433,"Fibra")="",SUMIFS(Desconto_Cliente_Mes!$Q$2:$Q$433,Desconto_Cliente_Mes!$A$2:$A$433,E$7,Desconto_Cliente_Mes!$B$2:$B$433,$A7,Desconto_Cliente_Mes!$C$2:$C$433,"Fibra"),SUMIFS(Desconto_Cliente_Mes!$R$2:$R$433,Desconto_Cliente_Mes!$A$2:$A$433,E$7,Desconto_Cliente_Mes!$B$2:$B$433,$A7,Desconto_Cliente_Mes!$C$2:$C$433,"Fibra"))))*(SUMIFS(Desconto_Cliente_Mes!$T$2:$T$433,Desconto_Cliente_Mes!$A$2:$A$433,E$7,Desconto_Cliente_Mes!$B$2:$B$433,$A7,Desconto_Cliente_Mes!$C$2:$C$433,"Fibra"))</f>
        <v>0</v>
      </c>
      <c r="F15" s="16" t="n">
        <f aca="false">$F$9*($F$12/100)*((IF(SUMIFS(Desconto_Cliente_Mes!$S$2:$S$433,Desconto_Cliente_Mes!$A$2:$A$433,F$7,Desconto_Cliente_Mes!$B$2:$B$433,$A7,Desconto_Cliente_Mes!$C$2:$C$433,"Fibra")="",(IF(SUMIFS(Desconto_Cliente_Mes!$R$2:$R$433,Desconto_Cliente_Mes!$A$2:$A$433,F$7,Desconto_Cliente_Mes!$B$2:$B$433,$A7,Desconto_Cliente_Mes!$C$2:$C$433,"Fibra")="",SUMIFS(Desconto_Cliente_Mes!$Q$2:$Q$433,Desconto_Cliente_Mes!$A$2:$A$433,F$7,Desconto_Cliente_Mes!$B$2:$B$433,$A7,Desconto_Cliente_Mes!$C$2:$C$433,"Fibra"),SUMIFS(Desconto_Cliente_Mes!$R$2:$R$433,Desconto_Cliente_Mes!$A$2:$A$433,F$7,Desconto_Cliente_Mes!$B$2:$B$433,$A7,Desconto_Cliente_Mes!$C$2:$C$433,"Fibra"))),SUMIFS(Desconto_Cliente_Mes!$S$2:$S$433,Desconto_Cliente_Mes!$A$2:$A$433,F$7,Desconto_Cliente_Mes!$B$2:$B$433,$A7,Desconto_Cliente_Mes!$C$2:$C$433,"Fibra")))-(IF(SUMIFS(Desconto_Cliente_Mes!$R$2:$R$433,Desconto_Cliente_Mes!$A$2:$A$433,F$7,Desconto_Cliente_Mes!$B$2:$B$433,$A7,Desconto_Cliente_Mes!$C$2:$C$433,"Fibra")="",SUMIFS(Desconto_Cliente_Mes!$Q$2:$Q$433,Desconto_Cliente_Mes!$A$2:$A$433,F$7,Desconto_Cliente_Mes!$B$2:$B$433,$A7,Desconto_Cliente_Mes!$C$2:$C$433,"Fibra"),SUMIFS(Desconto_Cliente_Mes!$R$2:$R$433,Desconto_Cliente_Mes!$A$2:$A$433,F$7,Desconto_Cliente_Mes!$B$2:$B$433,$A7,Desconto_Cliente_Mes!$C$2:$C$433,"Fibra"))))*(SUMIFS(Desconto_Cliente_Mes!$T$2:$T$433,Desconto_Cliente_Mes!$A$2:$A$433,F$7,Desconto_Cliente_Mes!$B$2:$B$433,$A7,Desconto_Cliente_Mes!$C$2:$C$433,"Fibra"))</f>
        <v>0</v>
      </c>
      <c r="G15" s="16" t="n">
        <f aca="false">$G$9*($G$12/100)*((IF(SUMIFS(Desconto_Cliente_Mes!$S$2:$S$433,Desconto_Cliente_Mes!$A$2:$A$433,G$7,Desconto_Cliente_Mes!$B$2:$B$433,$A7,Desconto_Cliente_Mes!$C$2:$C$433,"Fibra")="",(IF(SUMIFS(Desconto_Cliente_Mes!$R$2:$R$433,Desconto_Cliente_Mes!$A$2:$A$433,G$7,Desconto_Cliente_Mes!$B$2:$B$433,$A7,Desconto_Cliente_Mes!$C$2:$C$433,"Fibra")="",SUMIFS(Desconto_Cliente_Mes!$Q$2:$Q$433,Desconto_Cliente_Mes!$A$2:$A$433,G$7,Desconto_Cliente_Mes!$B$2:$B$433,$A7,Desconto_Cliente_Mes!$C$2:$C$433,"Fibra"),SUMIFS(Desconto_Cliente_Mes!$R$2:$R$433,Desconto_Cliente_Mes!$A$2:$A$433,G$7,Desconto_Cliente_Mes!$B$2:$B$433,$A7,Desconto_Cliente_Mes!$C$2:$C$433,"Fibra"))),SUMIFS(Desconto_Cliente_Mes!$S$2:$S$433,Desconto_Cliente_Mes!$A$2:$A$433,G$7,Desconto_Cliente_Mes!$B$2:$B$433,$A7,Desconto_Cliente_Mes!$C$2:$C$433,"Fibra")))-(IF(SUMIFS(Desconto_Cliente_Mes!$R$2:$R$433,Desconto_Cliente_Mes!$A$2:$A$433,G$7,Desconto_Cliente_Mes!$B$2:$B$433,$A7,Desconto_Cliente_Mes!$C$2:$C$433,"Fibra")="",SUMIFS(Desconto_Cliente_Mes!$Q$2:$Q$433,Desconto_Cliente_Mes!$A$2:$A$433,G$7,Desconto_Cliente_Mes!$B$2:$B$433,$A7,Desconto_Cliente_Mes!$C$2:$C$433,"Fibra"),SUMIFS(Desconto_Cliente_Mes!$R$2:$R$433,Desconto_Cliente_Mes!$A$2:$A$433,G$7,Desconto_Cliente_Mes!$B$2:$B$433,$A7,Desconto_Cliente_Mes!$C$2:$C$433,"Fibra"))))*(SUMIFS(Desconto_Cliente_Mes!$T$2:$T$433,Desconto_Cliente_Mes!$A$2:$A$433,G$7,Desconto_Cliente_Mes!$B$2:$B$433,$A7,Desconto_Cliente_Mes!$C$2:$C$433,"Fibra"))</f>
        <v>0</v>
      </c>
      <c r="H15" s="16" t="n">
        <f aca="false">$H$9*($H$12/100)*((IF(SUMIFS(Desconto_Cliente_Mes!$S$2:$S$433,Desconto_Cliente_Mes!$A$2:$A$433,H$7,Desconto_Cliente_Mes!$B$2:$B$433,$A7,Desconto_Cliente_Mes!$C$2:$C$433,"Fibra")="",(IF(SUMIFS(Desconto_Cliente_Mes!$R$2:$R$433,Desconto_Cliente_Mes!$A$2:$A$433,H$7,Desconto_Cliente_Mes!$B$2:$B$433,$A7,Desconto_Cliente_Mes!$C$2:$C$433,"Fibra")="",SUMIFS(Desconto_Cliente_Mes!$Q$2:$Q$433,Desconto_Cliente_Mes!$A$2:$A$433,H$7,Desconto_Cliente_Mes!$B$2:$B$433,$A7,Desconto_Cliente_Mes!$C$2:$C$433,"Fibra"),SUMIFS(Desconto_Cliente_Mes!$R$2:$R$433,Desconto_Cliente_Mes!$A$2:$A$433,H$7,Desconto_Cliente_Mes!$B$2:$B$433,$A7,Desconto_Cliente_Mes!$C$2:$C$433,"Fibra"))),SUMIFS(Desconto_Cliente_Mes!$S$2:$S$433,Desconto_Cliente_Mes!$A$2:$A$433,H$7,Desconto_Cliente_Mes!$B$2:$B$433,$A7,Desconto_Cliente_Mes!$C$2:$C$433,"Fibra")))-(IF(SUMIFS(Desconto_Cliente_Mes!$R$2:$R$433,Desconto_Cliente_Mes!$A$2:$A$433,H$7,Desconto_Cliente_Mes!$B$2:$B$433,$A7,Desconto_Cliente_Mes!$C$2:$C$433,"Fibra")="",SUMIFS(Desconto_Cliente_Mes!$Q$2:$Q$433,Desconto_Cliente_Mes!$A$2:$A$433,H$7,Desconto_Cliente_Mes!$B$2:$B$433,$A7,Desconto_Cliente_Mes!$C$2:$C$433,"Fibra"),SUMIFS(Desconto_Cliente_Mes!$R$2:$R$433,Desconto_Cliente_Mes!$A$2:$A$433,H$7,Desconto_Cliente_Mes!$B$2:$B$433,$A7,Desconto_Cliente_Mes!$C$2:$C$433,"Fibra"))))*(SUMIFS(Desconto_Cliente_Mes!$T$2:$T$433,Desconto_Cliente_Mes!$A$2:$A$433,H$7,Desconto_Cliente_Mes!$B$2:$B$433,$A7,Desconto_Cliente_Mes!$C$2:$C$433,"Fibra"))</f>
        <v>0</v>
      </c>
      <c r="I15" s="16" t="n">
        <f aca="false">$I$9*($I$12/100)*((IF(SUMIFS(Desconto_Cliente_Mes!$S$2:$S$433,Desconto_Cliente_Mes!$A$2:$A$433,I$7,Desconto_Cliente_Mes!$B$2:$B$433,$A7,Desconto_Cliente_Mes!$C$2:$C$433,"Fibra")="",(IF(SUMIFS(Desconto_Cliente_Mes!$R$2:$R$433,Desconto_Cliente_Mes!$A$2:$A$433,I$7,Desconto_Cliente_Mes!$B$2:$B$433,$A7,Desconto_Cliente_Mes!$C$2:$C$433,"Fibra")="",SUMIFS(Desconto_Cliente_Mes!$Q$2:$Q$433,Desconto_Cliente_Mes!$A$2:$A$433,I$7,Desconto_Cliente_Mes!$B$2:$B$433,$A7,Desconto_Cliente_Mes!$C$2:$C$433,"Fibra"),SUMIFS(Desconto_Cliente_Mes!$R$2:$R$433,Desconto_Cliente_Mes!$A$2:$A$433,I$7,Desconto_Cliente_Mes!$B$2:$B$433,$A7,Desconto_Cliente_Mes!$C$2:$C$433,"Fibra"))),SUMIFS(Desconto_Cliente_Mes!$S$2:$S$433,Desconto_Cliente_Mes!$A$2:$A$433,I$7,Desconto_Cliente_Mes!$B$2:$B$433,$A7,Desconto_Cliente_Mes!$C$2:$C$433,"Fibra")))-(IF(SUMIFS(Desconto_Cliente_Mes!$R$2:$R$433,Desconto_Cliente_Mes!$A$2:$A$433,I$7,Desconto_Cliente_Mes!$B$2:$B$433,$A7,Desconto_Cliente_Mes!$C$2:$C$433,"Fibra")="",SUMIFS(Desconto_Cliente_Mes!$Q$2:$Q$433,Desconto_Cliente_Mes!$A$2:$A$433,I$7,Desconto_Cliente_Mes!$B$2:$B$433,$A7,Desconto_Cliente_Mes!$C$2:$C$433,"Fibra"),SUMIFS(Desconto_Cliente_Mes!$R$2:$R$433,Desconto_Cliente_Mes!$A$2:$A$433,I$7,Desconto_Cliente_Mes!$B$2:$B$433,$A7,Desconto_Cliente_Mes!$C$2:$C$433,"Fibra"))))*(SUMIFS(Desconto_Cliente_Mes!$T$2:$T$433,Desconto_Cliente_Mes!$A$2:$A$433,I$7,Desconto_Cliente_Mes!$B$2:$B$433,$A7,Desconto_Cliente_Mes!$C$2:$C$433,"Fibra"))</f>
        <v>0</v>
      </c>
      <c r="J15" s="16" t="n">
        <f aca="false">$J$9*($J$12/100)*((IF(SUMIFS(Desconto_Cliente_Mes!$S$2:$S$433,Desconto_Cliente_Mes!$A$2:$A$433,J$7,Desconto_Cliente_Mes!$B$2:$B$433,$A7,Desconto_Cliente_Mes!$C$2:$C$433,"Fibra")="",(IF(SUMIFS(Desconto_Cliente_Mes!$R$2:$R$433,Desconto_Cliente_Mes!$A$2:$A$433,J$7,Desconto_Cliente_Mes!$B$2:$B$433,$A7,Desconto_Cliente_Mes!$C$2:$C$433,"Fibra")="",SUMIFS(Desconto_Cliente_Mes!$Q$2:$Q$433,Desconto_Cliente_Mes!$A$2:$A$433,J$7,Desconto_Cliente_Mes!$B$2:$B$433,$A7,Desconto_Cliente_Mes!$C$2:$C$433,"Fibra"),SUMIFS(Desconto_Cliente_Mes!$R$2:$R$433,Desconto_Cliente_Mes!$A$2:$A$433,J$7,Desconto_Cliente_Mes!$B$2:$B$433,$A7,Desconto_Cliente_Mes!$C$2:$C$433,"Fibra"))),SUMIFS(Desconto_Cliente_Mes!$S$2:$S$433,Desconto_Cliente_Mes!$A$2:$A$433,J$7,Desconto_Cliente_Mes!$B$2:$B$433,$A7,Desconto_Cliente_Mes!$C$2:$C$433,"Fibra")))-(IF(SUMIFS(Desconto_Cliente_Mes!$R$2:$R$433,Desconto_Cliente_Mes!$A$2:$A$433,J$7,Desconto_Cliente_Mes!$B$2:$B$433,$A7,Desconto_Cliente_Mes!$C$2:$C$433,"Fibra")="",SUMIFS(Desconto_Cliente_Mes!$Q$2:$Q$433,Desconto_Cliente_Mes!$A$2:$A$433,J$7,Desconto_Cliente_Mes!$B$2:$B$433,$A7,Desconto_Cliente_Mes!$C$2:$C$433,"Fibra"),SUMIFS(Desconto_Cliente_Mes!$R$2:$R$433,Desconto_Cliente_Mes!$A$2:$A$433,J$7,Desconto_Cliente_Mes!$B$2:$B$433,$A7,Desconto_Cliente_Mes!$C$2:$C$433,"Fibra"))))*(SUMIFS(Desconto_Cliente_Mes!$T$2:$T$433,Desconto_Cliente_Mes!$A$2:$A$433,J$7,Desconto_Cliente_Mes!$B$2:$B$433,$A7,Desconto_Cliente_Mes!$C$2:$C$433,"Fibra"))</f>
        <v>0</v>
      </c>
      <c r="K15" s="16" t="n">
        <f aca="false">$K$9*($K$12/100)*((IF(SUMIFS(Desconto_Cliente_Mes!$S$2:$S$433,Desconto_Cliente_Mes!$A$2:$A$433,K$7,Desconto_Cliente_Mes!$B$2:$B$433,$A7,Desconto_Cliente_Mes!$C$2:$C$433,"Fibra")="",(IF(SUMIFS(Desconto_Cliente_Mes!$R$2:$R$433,Desconto_Cliente_Mes!$A$2:$A$433,K$7,Desconto_Cliente_Mes!$B$2:$B$433,$A7,Desconto_Cliente_Mes!$C$2:$C$433,"Fibra")="",SUMIFS(Desconto_Cliente_Mes!$Q$2:$Q$433,Desconto_Cliente_Mes!$A$2:$A$433,K$7,Desconto_Cliente_Mes!$B$2:$B$433,$A7,Desconto_Cliente_Mes!$C$2:$C$433,"Fibra"),SUMIFS(Desconto_Cliente_Mes!$R$2:$R$433,Desconto_Cliente_Mes!$A$2:$A$433,K$7,Desconto_Cliente_Mes!$B$2:$B$433,$A7,Desconto_Cliente_Mes!$C$2:$C$433,"Fibra"))),SUMIFS(Desconto_Cliente_Mes!$S$2:$S$433,Desconto_Cliente_Mes!$A$2:$A$433,K$7,Desconto_Cliente_Mes!$B$2:$B$433,$A7,Desconto_Cliente_Mes!$C$2:$C$433,"Fibra")))-(IF(SUMIFS(Desconto_Cliente_Mes!$R$2:$R$433,Desconto_Cliente_Mes!$A$2:$A$433,K$7,Desconto_Cliente_Mes!$B$2:$B$433,$A7,Desconto_Cliente_Mes!$C$2:$C$433,"Fibra")="",SUMIFS(Desconto_Cliente_Mes!$Q$2:$Q$433,Desconto_Cliente_Mes!$A$2:$A$433,K$7,Desconto_Cliente_Mes!$B$2:$B$433,$A7,Desconto_Cliente_Mes!$C$2:$C$433,"Fibra"),SUMIFS(Desconto_Cliente_Mes!$R$2:$R$433,Desconto_Cliente_Mes!$A$2:$A$433,K$7,Desconto_Cliente_Mes!$B$2:$B$433,$A7,Desconto_Cliente_Mes!$C$2:$C$433,"Fibra"))))*(SUMIFS(Desconto_Cliente_Mes!$T$2:$T$433,Desconto_Cliente_Mes!$A$2:$A$433,K$7,Desconto_Cliente_Mes!$B$2:$B$433,$A7,Desconto_Cliente_Mes!$C$2:$C$433,"Fibra"))</f>
        <v>0</v>
      </c>
      <c r="L15" s="16" t="n">
        <f aca="false">$L$9*($L$12/100)*((IF(SUMIFS(Desconto_Cliente_Mes!$S$2:$S$433,Desconto_Cliente_Mes!$A$2:$A$433,L$7,Desconto_Cliente_Mes!$B$2:$B$433,$A7,Desconto_Cliente_Mes!$C$2:$C$433,"Fibra")="",(IF(SUMIFS(Desconto_Cliente_Mes!$R$2:$R$433,Desconto_Cliente_Mes!$A$2:$A$433,L$7,Desconto_Cliente_Mes!$B$2:$B$433,$A7,Desconto_Cliente_Mes!$C$2:$C$433,"Fibra")="",SUMIFS(Desconto_Cliente_Mes!$Q$2:$Q$433,Desconto_Cliente_Mes!$A$2:$A$433,L$7,Desconto_Cliente_Mes!$B$2:$B$433,$A7,Desconto_Cliente_Mes!$C$2:$C$433,"Fibra"),SUMIFS(Desconto_Cliente_Mes!$R$2:$R$433,Desconto_Cliente_Mes!$A$2:$A$433,L$7,Desconto_Cliente_Mes!$B$2:$B$433,$A7,Desconto_Cliente_Mes!$C$2:$C$433,"Fibra"))),SUMIFS(Desconto_Cliente_Mes!$S$2:$S$433,Desconto_Cliente_Mes!$A$2:$A$433,L$7,Desconto_Cliente_Mes!$B$2:$B$433,$A7,Desconto_Cliente_Mes!$C$2:$C$433,"Fibra")))-(IF(SUMIFS(Desconto_Cliente_Mes!$R$2:$R$433,Desconto_Cliente_Mes!$A$2:$A$433,L$7,Desconto_Cliente_Mes!$B$2:$B$433,$A7,Desconto_Cliente_Mes!$C$2:$C$433,"Fibra")="",SUMIFS(Desconto_Cliente_Mes!$Q$2:$Q$433,Desconto_Cliente_Mes!$A$2:$A$433,L$7,Desconto_Cliente_Mes!$B$2:$B$433,$A7,Desconto_Cliente_Mes!$C$2:$C$433,"Fibra"),SUMIFS(Desconto_Cliente_Mes!$R$2:$R$433,Desconto_Cliente_Mes!$A$2:$A$433,L$7,Desconto_Cliente_Mes!$B$2:$B$433,$A7,Desconto_Cliente_Mes!$C$2:$C$433,"Fibra"))))*(SUMIFS(Desconto_Cliente_Mes!$T$2:$T$433,Desconto_Cliente_Mes!$A$2:$A$433,L$7,Desconto_Cliente_Mes!$B$2:$B$433,$A7,Desconto_Cliente_Mes!$C$2:$C$433,"Fibra"))</f>
        <v>0</v>
      </c>
      <c r="M15" s="16" t="n">
        <f aca="false">$M$9*($M$12/100)*((IF(SUMIFS(Desconto_Cliente_Mes!$S$2:$S$433,Desconto_Cliente_Mes!$A$2:$A$433,M$7,Desconto_Cliente_Mes!$B$2:$B$433,$A7,Desconto_Cliente_Mes!$C$2:$C$433,"Fibra")="",(IF(SUMIFS(Desconto_Cliente_Mes!$R$2:$R$433,Desconto_Cliente_Mes!$A$2:$A$433,M$7,Desconto_Cliente_Mes!$B$2:$B$433,$A7,Desconto_Cliente_Mes!$C$2:$C$433,"Fibra")="",SUMIFS(Desconto_Cliente_Mes!$Q$2:$Q$433,Desconto_Cliente_Mes!$A$2:$A$433,M$7,Desconto_Cliente_Mes!$B$2:$B$433,$A7,Desconto_Cliente_Mes!$C$2:$C$433,"Fibra"),SUMIFS(Desconto_Cliente_Mes!$R$2:$R$433,Desconto_Cliente_Mes!$A$2:$A$433,M$7,Desconto_Cliente_Mes!$B$2:$B$433,$A7,Desconto_Cliente_Mes!$C$2:$C$433,"Fibra"))),SUMIFS(Desconto_Cliente_Mes!$S$2:$S$433,Desconto_Cliente_Mes!$A$2:$A$433,M$7,Desconto_Cliente_Mes!$B$2:$B$433,$A7,Desconto_Cliente_Mes!$C$2:$C$433,"Fibra")))-(IF(SUMIFS(Desconto_Cliente_Mes!$R$2:$R$433,Desconto_Cliente_Mes!$A$2:$A$433,M$7,Desconto_Cliente_Mes!$B$2:$B$433,$A7,Desconto_Cliente_Mes!$C$2:$C$433,"Fibra")="",SUMIFS(Desconto_Cliente_Mes!$Q$2:$Q$433,Desconto_Cliente_Mes!$A$2:$A$433,M$7,Desconto_Cliente_Mes!$B$2:$B$433,$A7,Desconto_Cliente_Mes!$C$2:$C$433,"Fibra"),SUMIFS(Desconto_Cliente_Mes!$R$2:$R$433,Desconto_Cliente_Mes!$A$2:$A$433,M$7,Desconto_Cliente_Mes!$B$2:$B$433,$A7,Desconto_Cliente_Mes!$C$2:$C$433,"Fibra"))))*(SUMIFS(Desconto_Cliente_Mes!$T$2:$T$433,Desconto_Cliente_Mes!$A$2:$A$433,M$7,Desconto_Cliente_Mes!$B$2:$B$433,$A7,Desconto_Cliente_Mes!$C$2:$C$433,"Fibra"))</f>
        <v>0</v>
      </c>
      <c r="N15" s="17" t="n">
        <f aca="false">SUM(B15:M15)</f>
        <v>0</v>
      </c>
    </row>
    <row r="16" customFormat="false" ht="15" hidden="false" customHeight="false" outlineLevel="0" collapsed="false">
      <c r="A16" s="13" t="s">
        <v>82</v>
      </c>
      <c r="B16" s="16" t="n">
        <f aca="false">SUMIFS(Acerto_Detalhado!$J$2:$J$433,Acerto_Detalhado!$A$2:$A$433,B$7,Acerto_Detalhado!$B$2:$B$433,$A7,Acerto_Detalhado!$C$2:$C$433,"Fibra")</f>
        <v>0</v>
      </c>
      <c r="C16" s="16" t="n">
        <f aca="false">SUMIFS(Acerto_Detalhado!$J$2:$J$433,Acerto_Detalhado!$A$2:$A$433,C$7,Acerto_Detalhado!$B$2:$B$433,$A7,Acerto_Detalhado!$C$2:$C$433,"Fibra")</f>
        <v>24279.1570576085</v>
      </c>
      <c r="D16" s="16" t="n">
        <f aca="false">SUMIFS(Acerto_Detalhado!$J$2:$J$433,Acerto_Detalhado!$A$2:$A$433,D$7,Acerto_Detalhado!$B$2:$B$433,$A7,Acerto_Detalhado!$C$2:$C$433,"Fibra")</f>
        <v>11512.188525636</v>
      </c>
      <c r="E16" s="16" t="n">
        <f aca="false">SUMIFS(Acerto_Detalhado!$J$2:$J$433,Acerto_Detalhado!$A$2:$A$433,E$7,Acerto_Detalhado!$B$2:$B$433,$A7,Acerto_Detalhado!$C$2:$C$433,"Fibra")</f>
        <v>0</v>
      </c>
      <c r="F16" s="16" t="n">
        <f aca="false">SUMIFS(Acerto_Detalhado!$J$2:$J$433,Acerto_Detalhado!$A$2:$A$433,F$7,Acerto_Detalhado!$B$2:$B$433,$A7,Acerto_Detalhado!$C$2:$C$433,"Fibra")</f>
        <v>35425.0735492647</v>
      </c>
      <c r="G16" s="16" t="n">
        <f aca="false">SUMIFS(Acerto_Detalhado!$J$2:$J$433,Acerto_Detalhado!$A$2:$A$433,G$7,Acerto_Detalhado!$B$2:$B$433,$A7,Acerto_Detalhado!$C$2:$C$433,"Fibra")</f>
        <v>0</v>
      </c>
      <c r="H16" s="16" t="n">
        <f aca="false">SUMIFS(Acerto_Detalhado!$J$2:$J$433,Acerto_Detalhado!$A$2:$A$433,H$7,Acerto_Detalhado!$B$2:$B$433,$A7,Acerto_Detalhado!$C$2:$C$433,"Fibra")</f>
        <v>0</v>
      </c>
      <c r="I16" s="16" t="n">
        <f aca="false">SUMIFS(Acerto_Detalhado!$J$2:$J$433,Acerto_Detalhado!$A$2:$A$433,I$7,Acerto_Detalhado!$B$2:$B$433,$A7,Acerto_Detalhado!$C$2:$C$433,"Fibra")</f>
        <v>0</v>
      </c>
      <c r="J16" s="16" t="n">
        <f aca="false">SUMIFS(Acerto_Detalhado!$J$2:$J$433,Acerto_Detalhado!$A$2:$A$433,J$7,Acerto_Detalhado!$B$2:$B$433,$A7,Acerto_Detalhado!$C$2:$C$433,"Fibra")</f>
        <v>0</v>
      </c>
      <c r="K16" s="16" t="n">
        <f aca="false">SUMIFS(Acerto_Detalhado!$J$2:$J$433,Acerto_Detalhado!$A$2:$A$433,K$7,Acerto_Detalhado!$B$2:$B$433,$A7,Acerto_Detalhado!$C$2:$C$433,"Fibra")</f>
        <v>0</v>
      </c>
      <c r="L16" s="16" t="n">
        <f aca="false">SUMIFS(Acerto_Detalhado!$J$2:$J$433,Acerto_Detalhado!$A$2:$A$433,L$7,Acerto_Detalhado!$B$2:$B$433,$A7,Acerto_Detalhado!$C$2:$C$433,"Fibra")</f>
        <v>0</v>
      </c>
      <c r="M16" s="16" t="n">
        <f aca="false">SUMIFS(Acerto_Detalhado!$J$2:$J$433,Acerto_Detalhado!$A$2:$A$433,M$7,Acerto_Detalhado!$B$2:$B$433,$A7,Acerto_Detalhado!$C$2:$C$433,"Fibra")</f>
        <v>0</v>
      </c>
      <c r="N16" s="17" t="n">
        <f aca="false">SUM(B16:M16)</f>
        <v>71216.4191325092</v>
      </c>
    </row>
    <row r="18" customFormat="false" ht="15" hidden="false" customHeight="false" outlineLevel="0" collapsed="false">
      <c r="A18" s="5" t="s">
        <v>59</v>
      </c>
      <c r="B18" s="6" t="s">
        <v>39</v>
      </c>
      <c r="C18" s="6" t="s">
        <v>40</v>
      </c>
      <c r="D18" s="6" t="s">
        <v>41</v>
      </c>
      <c r="E18" s="6" t="s">
        <v>42</v>
      </c>
      <c r="F18" s="6" t="s">
        <v>43</v>
      </c>
      <c r="G18" s="6" t="s">
        <v>44</v>
      </c>
      <c r="H18" s="6" t="s">
        <v>45</v>
      </c>
      <c r="I18" s="6" t="s">
        <v>46</v>
      </c>
      <c r="J18" s="6" t="s">
        <v>47</v>
      </c>
      <c r="K18" s="6" t="s">
        <v>48</v>
      </c>
      <c r="L18" s="6" t="s">
        <v>49</v>
      </c>
      <c r="M18" s="6" t="s">
        <v>50</v>
      </c>
      <c r="N18" s="6" t="s">
        <v>51</v>
      </c>
    </row>
    <row r="19" customFormat="false" ht="15" hidden="false" customHeight="false" outlineLevel="0" collapsed="false">
      <c r="A19" s="13" t="s">
        <v>74</v>
      </c>
      <c r="B19" s="10" t="str">
        <f aca="false">IF((SUMIFS(Desconto_Cliente_Mes!$D$2:$D$433,Desconto_Cliente_Mes!$A$2:$A$433,B$18,Desconto_Cliente_Mes!$B$2:$B$433,$A18,Desconto_Cliente_Mes!$C$2:$C$433,"Fibra"))=0,"",IFERROR(SUMIFS(Desconto_Cliente_Mes!$E$2:$E$433,Desconto_Cliente_Mes!$A$2:$A$433,B$18,Desconto_Cliente_Mes!$B$2:$B$433,$A18,Desconto_Cliente_Mes!$C$2:$C$433,"Fibra"),""))</f>
        <v/>
      </c>
      <c r="C19" s="10" t="n">
        <f aca="false">IF((SUMIFS(Desconto_Cliente_Mes!$D$2:$D$433,Desconto_Cliente_Mes!$A$2:$A$433,C$18,Desconto_Cliente_Mes!$B$2:$B$433,$A18,Desconto_Cliente_Mes!$C$2:$C$433,"Fibra"))=0,"",IFERROR(SUMIFS(Desconto_Cliente_Mes!$E$2:$E$433,Desconto_Cliente_Mes!$A$2:$A$433,C$18,Desconto_Cliente_Mes!$B$2:$B$433,$A18,Desconto_Cliente_Mes!$C$2:$C$433,"Fibra"),""))</f>
        <v>3.46095443809797</v>
      </c>
      <c r="D19" s="10" t="n">
        <f aca="false">IF((SUMIFS(Desconto_Cliente_Mes!$D$2:$D$433,Desconto_Cliente_Mes!$A$2:$A$433,D$18,Desconto_Cliente_Mes!$B$2:$B$433,$A18,Desconto_Cliente_Mes!$C$2:$C$433,"Fibra"))=0,"",IFERROR(SUMIFS(Desconto_Cliente_Mes!$E$2:$E$433,Desconto_Cliente_Mes!$A$2:$A$433,D$18,Desconto_Cliente_Mes!$B$2:$B$433,$A18,Desconto_Cliente_Mes!$C$2:$C$433,"Fibra"),""))</f>
        <v>3.73136726870965</v>
      </c>
      <c r="E19" s="10" t="n">
        <f aca="false">IF((SUMIFS(Desconto_Cliente_Mes!$D$2:$D$433,Desconto_Cliente_Mes!$A$2:$A$433,E$18,Desconto_Cliente_Mes!$B$2:$B$433,$A18,Desconto_Cliente_Mes!$C$2:$C$433,"Fibra"))=0,"",IFERROR(SUMIFS(Desconto_Cliente_Mes!$E$2:$E$433,Desconto_Cliente_Mes!$A$2:$A$433,E$18,Desconto_Cliente_Mes!$B$2:$B$433,$A18,Desconto_Cliente_Mes!$C$2:$C$433,"Fibra"),""))</f>
        <v>3.7083901652495</v>
      </c>
      <c r="F19" s="10" t="n">
        <f aca="false">IF((SUMIFS(Desconto_Cliente_Mes!$D$2:$D$433,Desconto_Cliente_Mes!$A$2:$A$433,F$18,Desconto_Cliente_Mes!$B$2:$B$433,$A18,Desconto_Cliente_Mes!$C$2:$C$433,"Fibra"))=0,"",IFERROR(SUMIFS(Desconto_Cliente_Mes!$E$2:$E$433,Desconto_Cliente_Mes!$A$2:$A$433,F$18,Desconto_Cliente_Mes!$B$2:$B$433,$A18,Desconto_Cliente_Mes!$C$2:$C$433,"Fibra"),""))</f>
        <v>3.49707755558178</v>
      </c>
      <c r="G19" s="10" t="n">
        <f aca="false">IF((SUMIFS(Desconto_Cliente_Mes!$D$2:$D$433,Desconto_Cliente_Mes!$A$2:$A$433,G$18,Desconto_Cliente_Mes!$B$2:$B$433,$A18,Desconto_Cliente_Mes!$C$2:$C$433,"Fibra"))=0,"",IFERROR(SUMIFS(Desconto_Cliente_Mes!$E$2:$E$433,Desconto_Cliente_Mes!$A$2:$A$433,G$18,Desconto_Cliente_Mes!$B$2:$B$433,$A18,Desconto_Cliente_Mes!$C$2:$C$433,"Fibra"),""))</f>
        <v>3.74981974817222</v>
      </c>
      <c r="H19" s="10" t="n">
        <f aca="false">IF((SUMIFS(Desconto_Cliente_Mes!$D$2:$D$433,Desconto_Cliente_Mes!$A$2:$A$433,H$18,Desconto_Cliente_Mes!$B$2:$B$433,$A18,Desconto_Cliente_Mes!$C$2:$C$433,"Fibra"))=0,"",IFERROR(SUMIFS(Desconto_Cliente_Mes!$E$2:$E$433,Desconto_Cliente_Mes!$A$2:$A$433,H$18,Desconto_Cliente_Mes!$B$2:$B$433,$A18,Desconto_Cliente_Mes!$C$2:$C$433,"Fibra"),""))</f>
        <v>3.60902725121548</v>
      </c>
      <c r="I19" s="10" t="str">
        <f aca="false">IF((SUMIFS(Desconto_Cliente_Mes!$D$2:$D$433,Desconto_Cliente_Mes!$A$2:$A$433,I$18,Desconto_Cliente_Mes!$B$2:$B$433,$A18,Desconto_Cliente_Mes!$C$2:$C$433,"Fibra"))=0,"",IFERROR(SUMIFS(Desconto_Cliente_Mes!$E$2:$E$433,Desconto_Cliente_Mes!$A$2:$A$433,I$18,Desconto_Cliente_Mes!$B$2:$B$433,$A18,Desconto_Cliente_Mes!$C$2:$C$433,"Fibra"),""))</f>
        <v/>
      </c>
      <c r="J19" s="10" t="str">
        <f aca="false">IF((SUMIFS(Desconto_Cliente_Mes!$D$2:$D$433,Desconto_Cliente_Mes!$A$2:$A$433,J$18,Desconto_Cliente_Mes!$B$2:$B$433,$A18,Desconto_Cliente_Mes!$C$2:$C$433,"Fibra"))=0,"",IFERROR(SUMIFS(Desconto_Cliente_Mes!$E$2:$E$433,Desconto_Cliente_Mes!$A$2:$A$433,J$18,Desconto_Cliente_Mes!$B$2:$B$433,$A18,Desconto_Cliente_Mes!$C$2:$C$433,"Fibra"),""))</f>
        <v/>
      </c>
      <c r="K19" s="10" t="str">
        <f aca="false">IF((SUMIFS(Desconto_Cliente_Mes!$D$2:$D$433,Desconto_Cliente_Mes!$A$2:$A$433,K$18,Desconto_Cliente_Mes!$B$2:$B$433,$A18,Desconto_Cliente_Mes!$C$2:$C$433,"Fibra"))=0,"",IFERROR(SUMIFS(Desconto_Cliente_Mes!$E$2:$E$433,Desconto_Cliente_Mes!$A$2:$A$433,K$18,Desconto_Cliente_Mes!$B$2:$B$433,$A18,Desconto_Cliente_Mes!$C$2:$C$433,"Fibra"),""))</f>
        <v/>
      </c>
      <c r="L19" s="10" t="str">
        <f aca="false">IF((SUMIFS(Desconto_Cliente_Mes!$D$2:$D$433,Desconto_Cliente_Mes!$A$2:$A$433,L$18,Desconto_Cliente_Mes!$B$2:$B$433,$A18,Desconto_Cliente_Mes!$C$2:$C$433,"Fibra"))=0,"",IFERROR(SUMIFS(Desconto_Cliente_Mes!$E$2:$E$433,Desconto_Cliente_Mes!$A$2:$A$433,L$18,Desconto_Cliente_Mes!$B$2:$B$433,$A18,Desconto_Cliente_Mes!$C$2:$C$433,"Fibra"),""))</f>
        <v/>
      </c>
      <c r="M19" s="10" t="str">
        <f aca="false">IF((SUMIFS(Desconto_Cliente_Mes!$D$2:$D$433,Desconto_Cliente_Mes!$A$2:$A$433,M$18,Desconto_Cliente_Mes!$B$2:$B$433,$A18,Desconto_Cliente_Mes!$C$2:$C$433,"Fibra"))=0,"",IFERROR(SUMIFS(Desconto_Cliente_Mes!$E$2:$E$433,Desconto_Cliente_Mes!$A$2:$A$433,M$18,Desconto_Cliente_Mes!$B$2:$B$433,$A18,Desconto_Cliente_Mes!$C$2:$C$433,"Fibra"),""))</f>
        <v/>
      </c>
      <c r="N19" s="11" t="n">
        <f aca="false">IFERROR(Media_Pool_Mes!E3,"")</f>
        <v>3.61845158781616</v>
      </c>
    </row>
    <row r="20" customFormat="false" ht="15" hidden="false" customHeight="false" outlineLevel="0" collapsed="false">
      <c r="A20" s="13" t="s">
        <v>75</v>
      </c>
      <c r="B20" s="8" t="n">
        <f aca="false">IFERROR(SUMIFS(Desconto_Cliente_Mes!$D$2:$D$433,Desconto_Cliente_Mes!$A$2:$A$433,B$18,Desconto_Cliente_Mes!$B$2:$B$433,$A18,Desconto_Cliente_Mes!$C$2:$C$433,"Fibra"),0)</f>
        <v>0</v>
      </c>
      <c r="C20" s="8" t="n">
        <f aca="false">IFERROR(SUMIFS(Desconto_Cliente_Mes!$D$2:$D$433,Desconto_Cliente_Mes!$A$2:$A$433,C$18,Desconto_Cliente_Mes!$B$2:$B$433,$A18,Desconto_Cliente_Mes!$C$2:$C$433,"Fibra"),0)</f>
        <v>30370.33</v>
      </c>
      <c r="D20" s="8" t="n">
        <f aca="false">IFERROR(SUMIFS(Desconto_Cliente_Mes!$D$2:$D$433,Desconto_Cliente_Mes!$A$2:$A$433,D$18,Desconto_Cliente_Mes!$B$2:$B$433,$A18,Desconto_Cliente_Mes!$C$2:$C$433,"Fibra"),0)</f>
        <v>9485.48</v>
      </c>
      <c r="E20" s="8" t="n">
        <f aca="false">IFERROR(SUMIFS(Desconto_Cliente_Mes!$D$2:$D$433,Desconto_Cliente_Mes!$A$2:$A$433,E$18,Desconto_Cliente_Mes!$B$2:$B$433,$A18,Desconto_Cliente_Mes!$C$2:$C$433,"Fibra"),0)</f>
        <v>62578.1</v>
      </c>
      <c r="F20" s="8" t="n">
        <f aca="false">IFERROR(SUMIFS(Desconto_Cliente_Mes!$D$2:$D$433,Desconto_Cliente_Mes!$A$2:$A$433,F$18,Desconto_Cliente_Mes!$B$2:$B$433,$A18,Desconto_Cliente_Mes!$C$2:$C$433,"Fibra"),0)</f>
        <v>53224.28</v>
      </c>
      <c r="G20" s="8" t="n">
        <f aca="false">IFERROR(SUMIFS(Desconto_Cliente_Mes!$D$2:$D$433,Desconto_Cliente_Mes!$A$2:$A$433,G$18,Desconto_Cliente_Mes!$B$2:$B$433,$A18,Desconto_Cliente_Mes!$C$2:$C$433,"Fibra"),0)</f>
        <v>41884.18</v>
      </c>
      <c r="H20" s="8" t="n">
        <f aca="false">IFERROR(SUMIFS(Desconto_Cliente_Mes!$D$2:$D$433,Desconto_Cliente_Mes!$A$2:$A$433,H$18,Desconto_Cliente_Mes!$B$2:$B$433,$A18,Desconto_Cliente_Mes!$C$2:$C$433,"Fibra"),0)</f>
        <v>101673.63</v>
      </c>
      <c r="I20" s="8" t="n">
        <f aca="false">IFERROR(SUMIFS(Desconto_Cliente_Mes!$D$2:$D$433,Desconto_Cliente_Mes!$A$2:$A$433,I$18,Desconto_Cliente_Mes!$B$2:$B$433,$A18,Desconto_Cliente_Mes!$C$2:$C$433,"Fibra"),0)</f>
        <v>0</v>
      </c>
      <c r="J20" s="8" t="n">
        <f aca="false">IFERROR(SUMIFS(Desconto_Cliente_Mes!$D$2:$D$433,Desconto_Cliente_Mes!$A$2:$A$433,J$18,Desconto_Cliente_Mes!$B$2:$B$433,$A18,Desconto_Cliente_Mes!$C$2:$C$433,"Fibra"),0)</f>
        <v>0</v>
      </c>
      <c r="K20" s="8" t="n">
        <f aca="false">IFERROR(SUMIFS(Desconto_Cliente_Mes!$D$2:$D$433,Desconto_Cliente_Mes!$A$2:$A$433,K$18,Desconto_Cliente_Mes!$B$2:$B$433,$A18,Desconto_Cliente_Mes!$C$2:$C$433,"Fibra"),0)</f>
        <v>0</v>
      </c>
      <c r="L20" s="8" t="n">
        <f aca="false">IFERROR(SUMIFS(Desconto_Cliente_Mes!$D$2:$D$433,Desconto_Cliente_Mes!$A$2:$A$433,L$18,Desconto_Cliente_Mes!$B$2:$B$433,$A18,Desconto_Cliente_Mes!$C$2:$C$433,"Fibra"),0)</f>
        <v>0</v>
      </c>
      <c r="M20" s="8" t="n">
        <f aca="false">IFERROR(SUMIFS(Desconto_Cliente_Mes!$D$2:$D$433,Desconto_Cliente_Mes!$A$2:$A$433,M$18,Desconto_Cliente_Mes!$B$2:$B$433,$A18,Desconto_Cliente_Mes!$C$2:$C$433,"Fibra"),0)</f>
        <v>0</v>
      </c>
      <c r="N20" s="9" t="n">
        <f aca="false">SUM(B20:M20)</f>
        <v>299216</v>
      </c>
    </row>
    <row r="21" customFormat="false" ht="15" hidden="false" customHeight="false" outlineLevel="0" collapsed="false">
      <c r="A21" s="13" t="s">
        <v>76</v>
      </c>
      <c r="B21" s="15" t="n">
        <f aca="false">MAX(0,(SUMIFS(Desconto_Cliente_Mes!$L$2:$L$433,Desconto_Cliente_Mes!$A$2:$A$433,B$18,Desconto_Cliente_Mes!$B$2:$B$433,$A18,Desconto_Cliente_Mes!$C$2:$C$433,"Fibra"))-(SUMIFS(Desconto_Cliente_Mes!$N$2:$N$433,Desconto_Cliente_Mes!$A$2:$A$433,B$18,Desconto_Cliente_Mes!$B$2:$B$433,$A18,Desconto_Cliente_Mes!$C$2:$C$433,"Fibra")))</f>
        <v>0</v>
      </c>
      <c r="C21" s="15" t="n">
        <f aca="false">MAX(0,(SUMIFS(Desconto_Cliente_Mes!$L$2:$L$433,Desconto_Cliente_Mes!$A$2:$A$433,C$18,Desconto_Cliente_Mes!$B$2:$B$433,$A18,Desconto_Cliente_Mes!$C$2:$C$433,"Fibra"))-(SUMIFS(Desconto_Cliente_Mes!$N$2:$N$433,Desconto_Cliente_Mes!$A$2:$A$433,C$18,Desconto_Cliente_Mes!$B$2:$B$433,$A18,Desconto_Cliente_Mes!$C$2:$C$433,"Fibra")))</f>
        <v>0</v>
      </c>
      <c r="D21" s="15" t="n">
        <f aca="false">MAX(0,(SUMIFS(Desconto_Cliente_Mes!$L$2:$L$433,Desconto_Cliente_Mes!$A$2:$A$433,D$18,Desconto_Cliente_Mes!$B$2:$B$433,$A18,Desconto_Cliente_Mes!$C$2:$C$433,"Fibra"))-(SUMIFS(Desconto_Cliente_Mes!$N$2:$N$433,Desconto_Cliente_Mes!$A$2:$A$433,D$18,Desconto_Cliente_Mes!$B$2:$B$433,$A18,Desconto_Cliente_Mes!$C$2:$C$433,"Fibra")))</f>
        <v>0.11291568089349</v>
      </c>
      <c r="E21" s="15" t="n">
        <f aca="false">MAX(0,(SUMIFS(Desconto_Cliente_Mes!$L$2:$L$433,Desconto_Cliente_Mes!$A$2:$A$433,E$18,Desconto_Cliente_Mes!$B$2:$B$433,$A18,Desconto_Cliente_Mes!$C$2:$C$433,"Fibra"))-(SUMIFS(Desconto_Cliente_Mes!$N$2:$N$433,Desconto_Cliente_Mes!$A$2:$A$433,E$18,Desconto_Cliente_Mes!$B$2:$B$433,$A18,Desconto_Cliente_Mes!$C$2:$C$433,"Fibra")))</f>
        <v>0.0899385774333448</v>
      </c>
      <c r="F21" s="15" t="n">
        <f aca="false">MAX(0,(SUMIFS(Desconto_Cliente_Mes!$L$2:$L$433,Desconto_Cliente_Mes!$A$2:$A$433,F$18,Desconto_Cliente_Mes!$B$2:$B$433,$A18,Desconto_Cliente_Mes!$C$2:$C$433,"Fibra"))-(SUMIFS(Desconto_Cliente_Mes!$N$2:$N$433,Desconto_Cliente_Mes!$A$2:$A$433,F$18,Desconto_Cliente_Mes!$B$2:$B$433,$A18,Desconto_Cliente_Mes!$C$2:$C$433,"Fibra")))</f>
        <v>0</v>
      </c>
      <c r="G21" s="15" t="n">
        <f aca="false">MAX(0,(SUMIFS(Desconto_Cliente_Mes!$L$2:$L$433,Desconto_Cliente_Mes!$A$2:$A$433,G$18,Desconto_Cliente_Mes!$B$2:$B$433,$A18,Desconto_Cliente_Mes!$C$2:$C$433,"Fibra"))-(SUMIFS(Desconto_Cliente_Mes!$N$2:$N$433,Desconto_Cliente_Mes!$A$2:$A$433,G$18,Desconto_Cliente_Mes!$B$2:$B$433,$A18,Desconto_Cliente_Mes!$C$2:$C$433,"Fibra")))</f>
        <v>0.131368160356062</v>
      </c>
      <c r="H21" s="15" t="n">
        <f aca="false">MAX(0,(SUMIFS(Desconto_Cliente_Mes!$L$2:$L$433,Desconto_Cliente_Mes!$A$2:$A$433,H$18,Desconto_Cliente_Mes!$B$2:$B$433,$A18,Desconto_Cliente_Mes!$C$2:$C$433,"Fibra"))-(SUMIFS(Desconto_Cliente_Mes!$N$2:$N$433,Desconto_Cliente_Mes!$A$2:$A$433,H$18,Desconto_Cliente_Mes!$B$2:$B$433,$A18,Desconto_Cliente_Mes!$C$2:$C$433,"Fibra")))</f>
        <v>0</v>
      </c>
      <c r="I21" s="15" t="n">
        <f aca="false">MAX(0,(SUMIFS(Desconto_Cliente_Mes!$L$2:$L$433,Desconto_Cliente_Mes!$A$2:$A$433,I$18,Desconto_Cliente_Mes!$B$2:$B$433,$A18,Desconto_Cliente_Mes!$C$2:$C$433,"Fibra"))-(SUMIFS(Desconto_Cliente_Mes!$N$2:$N$433,Desconto_Cliente_Mes!$A$2:$A$433,I$18,Desconto_Cliente_Mes!$B$2:$B$433,$A18,Desconto_Cliente_Mes!$C$2:$C$433,"Fibra")))</f>
        <v>0</v>
      </c>
      <c r="J21" s="15" t="n">
        <f aca="false">MAX(0,(SUMIFS(Desconto_Cliente_Mes!$L$2:$L$433,Desconto_Cliente_Mes!$A$2:$A$433,J$18,Desconto_Cliente_Mes!$B$2:$B$433,$A18,Desconto_Cliente_Mes!$C$2:$C$433,"Fibra"))-(SUMIFS(Desconto_Cliente_Mes!$N$2:$N$433,Desconto_Cliente_Mes!$A$2:$A$433,J$18,Desconto_Cliente_Mes!$B$2:$B$433,$A18,Desconto_Cliente_Mes!$C$2:$C$433,"Fibra")))</f>
        <v>0</v>
      </c>
      <c r="K21" s="15" t="n">
        <f aca="false">MAX(0,(SUMIFS(Desconto_Cliente_Mes!$L$2:$L$433,Desconto_Cliente_Mes!$A$2:$A$433,K$18,Desconto_Cliente_Mes!$B$2:$B$433,$A18,Desconto_Cliente_Mes!$C$2:$C$433,"Fibra"))-(SUMIFS(Desconto_Cliente_Mes!$N$2:$N$433,Desconto_Cliente_Mes!$A$2:$A$433,K$18,Desconto_Cliente_Mes!$B$2:$B$433,$A18,Desconto_Cliente_Mes!$C$2:$C$433,"Fibra")))</f>
        <v>0</v>
      </c>
      <c r="L21" s="15" t="n">
        <f aca="false">MAX(0,(SUMIFS(Desconto_Cliente_Mes!$L$2:$L$433,Desconto_Cliente_Mes!$A$2:$A$433,L$18,Desconto_Cliente_Mes!$B$2:$B$433,$A18,Desconto_Cliente_Mes!$C$2:$C$433,"Fibra"))-(SUMIFS(Desconto_Cliente_Mes!$N$2:$N$433,Desconto_Cliente_Mes!$A$2:$A$433,L$18,Desconto_Cliente_Mes!$B$2:$B$433,$A18,Desconto_Cliente_Mes!$C$2:$C$433,"Fibra")))</f>
        <v>0</v>
      </c>
      <c r="M21" s="15" t="n">
        <f aca="false">MAX(0,(SUMIFS(Desconto_Cliente_Mes!$L$2:$L$433,Desconto_Cliente_Mes!$A$2:$A$433,M$18,Desconto_Cliente_Mes!$B$2:$B$433,$A18,Desconto_Cliente_Mes!$C$2:$C$433,"Fibra"))-(SUMIFS(Desconto_Cliente_Mes!$N$2:$N$433,Desconto_Cliente_Mes!$A$2:$A$433,M$18,Desconto_Cliente_Mes!$B$2:$B$433,$A18,Desconto_Cliente_Mes!$C$2:$C$433,"Fibra")))</f>
        <v>0</v>
      </c>
    </row>
    <row r="22" customFormat="false" ht="15" hidden="false" customHeight="false" outlineLevel="0" collapsed="false">
      <c r="A22" s="13" t="s">
        <v>77</v>
      </c>
      <c r="B22" s="15" t="n">
        <f aca="false">MAX(0,(SUMIFS(Desconto_Cliente_Mes!$N$2:$N$433,Desconto_Cliente_Mes!$A$2:$A$433,B$18,Desconto_Cliente_Mes!$B$2:$B$433,$A18,Desconto_Cliente_Mes!$C$2:$C$433,"Fibra"))-(SUMIFS(Desconto_Cliente_Mes!$P$2:$P$433,Desconto_Cliente_Mes!$A$2:$A$433,B$18,Desconto_Cliente_Mes!$B$2:$B$433,$A18,Desconto_Cliente_Mes!$C$2:$C$433,"Fibra")))</f>
        <v>0</v>
      </c>
      <c r="C22" s="15" t="n">
        <f aca="false">MAX(0,(SUMIFS(Desconto_Cliente_Mes!$N$2:$N$433,Desconto_Cliente_Mes!$A$2:$A$433,C$18,Desconto_Cliente_Mes!$B$2:$B$433,$A18,Desconto_Cliente_Mes!$C$2:$C$433,"Fibra"))-(SUMIFS(Desconto_Cliente_Mes!$P$2:$P$433,Desconto_Cliente_Mes!$A$2:$A$433,C$18,Desconto_Cliente_Mes!$B$2:$B$433,$A18,Desconto_Cliente_Mes!$C$2:$C$433,"Fibra")))</f>
        <v>0</v>
      </c>
      <c r="D22" s="15" t="n">
        <f aca="false">MAX(0,(SUMIFS(Desconto_Cliente_Mes!$N$2:$N$433,Desconto_Cliente_Mes!$A$2:$A$433,D$18,Desconto_Cliente_Mes!$B$2:$B$433,$A18,Desconto_Cliente_Mes!$C$2:$C$433,"Fibra"))-(SUMIFS(Desconto_Cliente_Mes!$P$2:$P$433,Desconto_Cliente_Mes!$A$2:$A$433,D$18,Desconto_Cliente_Mes!$B$2:$B$433,$A18,Desconto_Cliente_Mes!$C$2:$C$433,"Fibra")))</f>
        <v>0</v>
      </c>
      <c r="E22" s="15" t="n">
        <f aca="false">MAX(0,(SUMIFS(Desconto_Cliente_Mes!$N$2:$N$433,Desconto_Cliente_Mes!$A$2:$A$433,E$18,Desconto_Cliente_Mes!$B$2:$B$433,$A18,Desconto_Cliente_Mes!$C$2:$C$433,"Fibra"))-(SUMIFS(Desconto_Cliente_Mes!$P$2:$P$433,Desconto_Cliente_Mes!$A$2:$A$433,E$18,Desconto_Cliente_Mes!$B$2:$B$433,$A18,Desconto_Cliente_Mes!$C$2:$C$433,"Fibra")))</f>
        <v>0</v>
      </c>
      <c r="F22" s="15" t="n">
        <f aca="false">MAX(0,(SUMIFS(Desconto_Cliente_Mes!$N$2:$N$433,Desconto_Cliente_Mes!$A$2:$A$433,F$18,Desconto_Cliente_Mes!$B$2:$B$433,$A18,Desconto_Cliente_Mes!$C$2:$C$433,"Fibra"))-(SUMIFS(Desconto_Cliente_Mes!$P$2:$P$433,Desconto_Cliente_Mes!$A$2:$A$433,F$18,Desconto_Cliente_Mes!$B$2:$B$433,$A18,Desconto_Cliente_Mes!$C$2:$C$433,"Fibra")))</f>
        <v>0</v>
      </c>
      <c r="G22" s="15" t="n">
        <f aca="false">MAX(0,(SUMIFS(Desconto_Cliente_Mes!$N$2:$N$433,Desconto_Cliente_Mes!$A$2:$A$433,G$18,Desconto_Cliente_Mes!$B$2:$B$433,$A18,Desconto_Cliente_Mes!$C$2:$C$433,"Fibra"))-(SUMIFS(Desconto_Cliente_Mes!$P$2:$P$433,Desconto_Cliente_Mes!$A$2:$A$433,G$18,Desconto_Cliente_Mes!$B$2:$B$433,$A18,Desconto_Cliente_Mes!$C$2:$C$433,"Fibra")))</f>
        <v>0</v>
      </c>
      <c r="H22" s="15" t="n">
        <f aca="false">MAX(0,(SUMIFS(Desconto_Cliente_Mes!$N$2:$N$433,Desconto_Cliente_Mes!$A$2:$A$433,H$18,Desconto_Cliente_Mes!$B$2:$B$433,$A18,Desconto_Cliente_Mes!$C$2:$C$433,"Fibra"))-(SUMIFS(Desconto_Cliente_Mes!$P$2:$P$433,Desconto_Cliente_Mes!$A$2:$A$433,H$18,Desconto_Cliente_Mes!$B$2:$B$433,$A18,Desconto_Cliente_Mes!$C$2:$C$433,"Fibra")))</f>
        <v>0</v>
      </c>
      <c r="I22" s="15" t="n">
        <f aca="false">MAX(0,(SUMIFS(Desconto_Cliente_Mes!$N$2:$N$433,Desconto_Cliente_Mes!$A$2:$A$433,I$18,Desconto_Cliente_Mes!$B$2:$B$433,$A18,Desconto_Cliente_Mes!$C$2:$C$433,"Fibra"))-(SUMIFS(Desconto_Cliente_Mes!$P$2:$P$433,Desconto_Cliente_Mes!$A$2:$A$433,I$18,Desconto_Cliente_Mes!$B$2:$B$433,$A18,Desconto_Cliente_Mes!$C$2:$C$433,"Fibra")))</f>
        <v>0</v>
      </c>
      <c r="J22" s="15" t="n">
        <f aca="false">MAX(0,(SUMIFS(Desconto_Cliente_Mes!$N$2:$N$433,Desconto_Cliente_Mes!$A$2:$A$433,J$18,Desconto_Cliente_Mes!$B$2:$B$433,$A18,Desconto_Cliente_Mes!$C$2:$C$433,"Fibra"))-(SUMIFS(Desconto_Cliente_Mes!$P$2:$P$433,Desconto_Cliente_Mes!$A$2:$A$433,J$18,Desconto_Cliente_Mes!$B$2:$B$433,$A18,Desconto_Cliente_Mes!$C$2:$C$433,"Fibra")))</f>
        <v>0</v>
      </c>
      <c r="K22" s="15" t="n">
        <f aca="false">MAX(0,(SUMIFS(Desconto_Cliente_Mes!$N$2:$N$433,Desconto_Cliente_Mes!$A$2:$A$433,K$18,Desconto_Cliente_Mes!$B$2:$B$433,$A18,Desconto_Cliente_Mes!$C$2:$C$433,"Fibra"))-(SUMIFS(Desconto_Cliente_Mes!$P$2:$P$433,Desconto_Cliente_Mes!$A$2:$A$433,K$18,Desconto_Cliente_Mes!$B$2:$B$433,$A18,Desconto_Cliente_Mes!$C$2:$C$433,"Fibra")))</f>
        <v>0</v>
      </c>
      <c r="L22" s="15" t="n">
        <f aca="false">MAX(0,(SUMIFS(Desconto_Cliente_Mes!$N$2:$N$433,Desconto_Cliente_Mes!$A$2:$A$433,L$18,Desconto_Cliente_Mes!$B$2:$B$433,$A18,Desconto_Cliente_Mes!$C$2:$C$433,"Fibra"))-(SUMIFS(Desconto_Cliente_Mes!$P$2:$P$433,Desconto_Cliente_Mes!$A$2:$A$433,L$18,Desconto_Cliente_Mes!$B$2:$B$433,$A18,Desconto_Cliente_Mes!$C$2:$C$433,"Fibra")))</f>
        <v>0</v>
      </c>
      <c r="M22" s="15" t="n">
        <f aca="false">MAX(0,(SUMIFS(Desconto_Cliente_Mes!$N$2:$N$433,Desconto_Cliente_Mes!$A$2:$A$433,M$18,Desconto_Cliente_Mes!$B$2:$B$433,$A18,Desconto_Cliente_Mes!$C$2:$C$433,"Fibra"))-(SUMIFS(Desconto_Cliente_Mes!$P$2:$P$433,Desconto_Cliente_Mes!$A$2:$A$433,M$18,Desconto_Cliente_Mes!$B$2:$B$433,$A18,Desconto_Cliente_Mes!$C$2:$C$433,"Fibra")))</f>
        <v>0</v>
      </c>
    </row>
    <row r="23" customFormat="false" ht="15" hidden="false" customHeight="false" outlineLevel="0" collapsed="false">
      <c r="A23" s="13" t="s">
        <v>78</v>
      </c>
      <c r="B23" s="15" t="n">
        <f aca="false">MAX(0,SUMIFS(Desconto_Cliente_Mes!$P$2:$P$433,Desconto_Cliente_Mes!$A$2:$A$433,B$18,Desconto_Cliente_Mes!$B$2:$B$433,$A18,Desconto_Cliente_Mes!$C$2:$C$433,"Fibra"))</f>
        <v>0</v>
      </c>
      <c r="C23" s="15" t="n">
        <f aca="false">MAX(0,SUMIFS(Desconto_Cliente_Mes!$P$2:$P$433,Desconto_Cliente_Mes!$A$2:$A$433,C$18,Desconto_Cliente_Mes!$B$2:$B$433,$A18,Desconto_Cliente_Mes!$C$2:$C$433,"Fibra"))</f>
        <v>0</v>
      </c>
      <c r="D23" s="15" t="n">
        <f aca="false">MAX(0,SUMIFS(Desconto_Cliente_Mes!$P$2:$P$433,Desconto_Cliente_Mes!$A$2:$A$433,D$18,Desconto_Cliente_Mes!$B$2:$B$433,$A18,Desconto_Cliente_Mes!$C$2:$C$433,"Fibra"))</f>
        <v>0</v>
      </c>
      <c r="E23" s="15" t="n">
        <f aca="false">MAX(0,SUMIFS(Desconto_Cliente_Mes!$P$2:$P$433,Desconto_Cliente_Mes!$A$2:$A$433,E$18,Desconto_Cliente_Mes!$B$2:$B$433,$A18,Desconto_Cliente_Mes!$C$2:$C$433,"Fibra"))</f>
        <v>0</v>
      </c>
      <c r="F23" s="15" t="n">
        <f aca="false">MAX(0,SUMIFS(Desconto_Cliente_Mes!$P$2:$P$433,Desconto_Cliente_Mes!$A$2:$A$433,F$18,Desconto_Cliente_Mes!$B$2:$B$433,$A18,Desconto_Cliente_Mes!$C$2:$C$433,"Fibra"))</f>
        <v>0</v>
      </c>
      <c r="G23" s="15" t="n">
        <f aca="false">MAX(0,SUMIFS(Desconto_Cliente_Mes!$P$2:$P$433,Desconto_Cliente_Mes!$A$2:$A$433,G$18,Desconto_Cliente_Mes!$B$2:$B$433,$A18,Desconto_Cliente_Mes!$C$2:$C$433,"Fibra"))</f>
        <v>0</v>
      </c>
      <c r="H23" s="15" t="n">
        <f aca="false">MAX(0,SUMIFS(Desconto_Cliente_Mes!$P$2:$P$433,Desconto_Cliente_Mes!$A$2:$A$433,H$18,Desconto_Cliente_Mes!$B$2:$B$433,$A18,Desconto_Cliente_Mes!$C$2:$C$433,"Fibra"))</f>
        <v>0</v>
      </c>
      <c r="I23" s="15" t="n">
        <f aca="false">MAX(0,SUMIFS(Desconto_Cliente_Mes!$P$2:$P$433,Desconto_Cliente_Mes!$A$2:$A$433,I$18,Desconto_Cliente_Mes!$B$2:$B$433,$A18,Desconto_Cliente_Mes!$C$2:$C$433,"Fibra"))</f>
        <v>0</v>
      </c>
      <c r="J23" s="15" t="n">
        <f aca="false">MAX(0,SUMIFS(Desconto_Cliente_Mes!$P$2:$P$433,Desconto_Cliente_Mes!$A$2:$A$433,J$18,Desconto_Cliente_Mes!$B$2:$B$433,$A18,Desconto_Cliente_Mes!$C$2:$C$433,"Fibra"))</f>
        <v>0</v>
      </c>
      <c r="K23" s="15" t="n">
        <f aca="false">MAX(0,SUMIFS(Desconto_Cliente_Mes!$P$2:$P$433,Desconto_Cliente_Mes!$A$2:$A$433,K$18,Desconto_Cliente_Mes!$B$2:$B$433,$A18,Desconto_Cliente_Mes!$C$2:$C$433,"Fibra"))</f>
        <v>0</v>
      </c>
      <c r="L23" s="15" t="n">
        <f aca="false">MAX(0,SUMIFS(Desconto_Cliente_Mes!$P$2:$P$433,Desconto_Cliente_Mes!$A$2:$A$433,L$18,Desconto_Cliente_Mes!$B$2:$B$433,$A18,Desconto_Cliente_Mes!$C$2:$C$433,"Fibra"))</f>
        <v>0</v>
      </c>
      <c r="M23" s="15" t="n">
        <f aca="false">MAX(0,SUMIFS(Desconto_Cliente_Mes!$P$2:$P$433,Desconto_Cliente_Mes!$A$2:$A$433,M$18,Desconto_Cliente_Mes!$B$2:$B$433,$A18,Desconto_Cliente_Mes!$C$2:$C$433,"Fibra"))</f>
        <v>0</v>
      </c>
    </row>
    <row r="24" customFormat="false" ht="15" hidden="false" customHeight="false" outlineLevel="0" collapsed="false">
      <c r="A24" s="13" t="s">
        <v>79</v>
      </c>
      <c r="B24" s="16" t="n">
        <f aca="false">$B$20*($B$21/100)*(SUMIFS(Desconto_Cliente_Mes!$Q$2:$Q$433,Desconto_Cliente_Mes!$A$2:$A$433,B$18,Desconto_Cliente_Mes!$B$2:$B$433,$A18,Desconto_Cliente_Mes!$C$2:$C$433,"Fibra"))*(SUMIFS(Desconto_Cliente_Mes!$T$2:$T$433,Desconto_Cliente_Mes!$A$2:$A$433,B$18,Desconto_Cliente_Mes!$B$2:$B$433,$A18,Desconto_Cliente_Mes!$C$2:$C$433,"Fibra"))</f>
        <v>0</v>
      </c>
      <c r="C24" s="16" t="n">
        <f aca="false">$C$20*($C$21/100)*(SUMIFS(Desconto_Cliente_Mes!$Q$2:$Q$433,Desconto_Cliente_Mes!$A$2:$A$433,C$18,Desconto_Cliente_Mes!$B$2:$B$433,$A18,Desconto_Cliente_Mes!$C$2:$C$433,"Fibra"))*(SUMIFS(Desconto_Cliente_Mes!$T$2:$T$433,Desconto_Cliente_Mes!$A$2:$A$433,C$18,Desconto_Cliente_Mes!$B$2:$B$433,$A18,Desconto_Cliente_Mes!$C$2:$C$433,"Fibra"))</f>
        <v>0</v>
      </c>
      <c r="D24" s="16" t="n">
        <f aca="false">$D$20*($D$21/100)*(SUMIFS(Desconto_Cliente_Mes!$Q$2:$Q$433,Desconto_Cliente_Mes!$A$2:$A$433,D$18,Desconto_Cliente_Mes!$B$2:$B$433,$A18,Desconto_Cliente_Mes!$C$2:$C$433,"Fibra"))*(SUMIFS(Desconto_Cliente_Mes!$T$2:$T$433,Desconto_Cliente_Mes!$A$2:$A$433,D$18,Desconto_Cliente_Mes!$B$2:$B$433,$A18,Desconto_Cliente_Mes!$C$2:$C$433,"Fibra"))</f>
        <v>4187.84238225417</v>
      </c>
      <c r="E24" s="16" t="n">
        <f aca="false">$E$20*($E$21/100)*(SUMIFS(Desconto_Cliente_Mes!$Q$2:$Q$433,Desconto_Cliente_Mes!$A$2:$A$433,E$18,Desconto_Cliente_Mes!$B$2:$B$433,$A18,Desconto_Cliente_Mes!$C$2:$C$433,"Fibra"))*(SUMIFS(Desconto_Cliente_Mes!$T$2:$T$433,Desconto_Cliente_Mes!$A$2:$A$433,E$18,Desconto_Cliente_Mes!$B$2:$B$433,$A18,Desconto_Cliente_Mes!$C$2:$C$433,"Fibra"))</f>
        <v>22006.204493603</v>
      </c>
      <c r="F24" s="16" t="n">
        <f aca="false">$F$20*($F$21/100)*(SUMIFS(Desconto_Cliente_Mes!$Q$2:$Q$433,Desconto_Cliente_Mes!$A$2:$A$433,F$18,Desconto_Cliente_Mes!$B$2:$B$433,$A18,Desconto_Cliente_Mes!$C$2:$C$433,"Fibra"))*(SUMIFS(Desconto_Cliente_Mes!$T$2:$T$433,Desconto_Cliente_Mes!$A$2:$A$433,F$18,Desconto_Cliente_Mes!$B$2:$B$433,$A18,Desconto_Cliente_Mes!$C$2:$C$433,"Fibra"))</f>
        <v>0</v>
      </c>
      <c r="G24" s="16" t="n">
        <f aca="false">$G$20*($G$21/100)*(SUMIFS(Desconto_Cliente_Mes!$Q$2:$Q$433,Desconto_Cliente_Mes!$A$2:$A$433,G$18,Desconto_Cliente_Mes!$B$2:$B$433,$A18,Desconto_Cliente_Mes!$C$2:$C$433,"Fibra"))*(SUMIFS(Desconto_Cliente_Mes!$T$2:$T$433,Desconto_Cliente_Mes!$A$2:$A$433,G$18,Desconto_Cliente_Mes!$B$2:$B$433,$A18,Desconto_Cliente_Mes!$C$2:$C$433,"Fibra"))</f>
        <v>21513.7884077727</v>
      </c>
      <c r="H24" s="16" t="n">
        <f aca="false">$H$20*($H$21/100)*(SUMIFS(Desconto_Cliente_Mes!$Q$2:$Q$433,Desconto_Cliente_Mes!$A$2:$A$433,H$18,Desconto_Cliente_Mes!$B$2:$B$433,$A18,Desconto_Cliente_Mes!$C$2:$C$433,"Fibra"))*(SUMIFS(Desconto_Cliente_Mes!$T$2:$T$433,Desconto_Cliente_Mes!$A$2:$A$433,H$18,Desconto_Cliente_Mes!$B$2:$B$433,$A18,Desconto_Cliente_Mes!$C$2:$C$433,"Fibra"))</f>
        <v>0</v>
      </c>
      <c r="I24" s="16" t="n">
        <f aca="false">$I$20*($I$21/100)*(SUMIFS(Desconto_Cliente_Mes!$Q$2:$Q$433,Desconto_Cliente_Mes!$A$2:$A$433,I$18,Desconto_Cliente_Mes!$B$2:$B$433,$A18,Desconto_Cliente_Mes!$C$2:$C$433,"Fibra"))*(SUMIFS(Desconto_Cliente_Mes!$T$2:$T$433,Desconto_Cliente_Mes!$A$2:$A$433,I$18,Desconto_Cliente_Mes!$B$2:$B$433,$A18,Desconto_Cliente_Mes!$C$2:$C$433,"Fibra"))</f>
        <v>0</v>
      </c>
      <c r="J24" s="16" t="n">
        <f aca="false">$J$20*($J$21/100)*(SUMIFS(Desconto_Cliente_Mes!$Q$2:$Q$433,Desconto_Cliente_Mes!$A$2:$A$433,J$18,Desconto_Cliente_Mes!$B$2:$B$433,$A18,Desconto_Cliente_Mes!$C$2:$C$433,"Fibra"))*(SUMIFS(Desconto_Cliente_Mes!$T$2:$T$433,Desconto_Cliente_Mes!$A$2:$A$433,J$18,Desconto_Cliente_Mes!$B$2:$B$433,$A18,Desconto_Cliente_Mes!$C$2:$C$433,"Fibra"))</f>
        <v>0</v>
      </c>
      <c r="K24" s="16" t="n">
        <f aca="false">$K$20*($K$21/100)*(SUMIFS(Desconto_Cliente_Mes!$Q$2:$Q$433,Desconto_Cliente_Mes!$A$2:$A$433,K$18,Desconto_Cliente_Mes!$B$2:$B$433,$A18,Desconto_Cliente_Mes!$C$2:$C$433,"Fibra"))*(SUMIFS(Desconto_Cliente_Mes!$T$2:$T$433,Desconto_Cliente_Mes!$A$2:$A$433,K$18,Desconto_Cliente_Mes!$B$2:$B$433,$A18,Desconto_Cliente_Mes!$C$2:$C$433,"Fibra"))</f>
        <v>0</v>
      </c>
      <c r="L24" s="16" t="n">
        <f aca="false">$L$20*($L$21/100)*(SUMIFS(Desconto_Cliente_Mes!$Q$2:$Q$433,Desconto_Cliente_Mes!$A$2:$A$433,L$18,Desconto_Cliente_Mes!$B$2:$B$433,$A18,Desconto_Cliente_Mes!$C$2:$C$433,"Fibra"))*(SUMIFS(Desconto_Cliente_Mes!$T$2:$T$433,Desconto_Cliente_Mes!$A$2:$A$433,L$18,Desconto_Cliente_Mes!$B$2:$B$433,$A18,Desconto_Cliente_Mes!$C$2:$C$433,"Fibra"))</f>
        <v>0</v>
      </c>
      <c r="M24" s="16" t="n">
        <f aca="false">$M$20*($M$21/100)*(SUMIFS(Desconto_Cliente_Mes!$Q$2:$Q$433,Desconto_Cliente_Mes!$A$2:$A$433,M$18,Desconto_Cliente_Mes!$B$2:$B$433,$A18,Desconto_Cliente_Mes!$C$2:$C$433,"Fibra"))*(SUMIFS(Desconto_Cliente_Mes!$T$2:$T$433,Desconto_Cliente_Mes!$A$2:$A$433,M$18,Desconto_Cliente_Mes!$B$2:$B$433,$A18,Desconto_Cliente_Mes!$C$2:$C$433,"Fibra"))</f>
        <v>0</v>
      </c>
      <c r="N24" s="17" t="n">
        <f aca="false">SUM(B24:M24)</f>
        <v>47707.8352836299</v>
      </c>
    </row>
    <row r="25" customFormat="false" ht="15" hidden="false" customHeight="false" outlineLevel="0" collapsed="false">
      <c r="A25" s="13" t="s">
        <v>80</v>
      </c>
      <c r="B25" s="16" t="n">
        <f aca="false">$B$20*($B$22/100)*((IF(SUMIFS(Desconto_Cliente_Mes!$R$2:$R$433,Desconto_Cliente_Mes!$A$2:$A$433,B$18,Desconto_Cliente_Mes!$B$2:$B$433,$A18,Desconto_Cliente_Mes!$C$2:$C$433,"Fibra")="",SUMIFS(Desconto_Cliente_Mes!$Q$2:$Q$433,Desconto_Cliente_Mes!$A$2:$A$433,B$18,Desconto_Cliente_Mes!$B$2:$B$433,$A18,Desconto_Cliente_Mes!$C$2:$C$433,"Fibra"),SUMIFS(Desconto_Cliente_Mes!$R$2:$R$433,Desconto_Cliente_Mes!$A$2:$A$433,B$18,Desconto_Cliente_Mes!$B$2:$B$433,$A18,Desconto_Cliente_Mes!$C$2:$C$433,"Fibra")))-(SUMIFS(Desconto_Cliente_Mes!$Q$2:$Q$433,Desconto_Cliente_Mes!$A$2:$A$433,B$18,Desconto_Cliente_Mes!$B$2:$B$433,$A18,Desconto_Cliente_Mes!$C$2:$C$433,"Fibra")))*(SUMIFS(Desconto_Cliente_Mes!$T$2:$T$433,Desconto_Cliente_Mes!$A$2:$A$433,B$18,Desconto_Cliente_Mes!$B$2:$B$433,$A18,Desconto_Cliente_Mes!$C$2:$C$433,"Fibra"))</f>
        <v>0</v>
      </c>
      <c r="C25" s="16" t="n">
        <f aca="false">$C$20*($C$22/100)*((IF(SUMIFS(Desconto_Cliente_Mes!$R$2:$R$433,Desconto_Cliente_Mes!$A$2:$A$433,C$18,Desconto_Cliente_Mes!$B$2:$B$433,$A18,Desconto_Cliente_Mes!$C$2:$C$433,"Fibra")="",SUMIFS(Desconto_Cliente_Mes!$Q$2:$Q$433,Desconto_Cliente_Mes!$A$2:$A$433,C$18,Desconto_Cliente_Mes!$B$2:$B$433,$A18,Desconto_Cliente_Mes!$C$2:$C$433,"Fibra"),SUMIFS(Desconto_Cliente_Mes!$R$2:$R$433,Desconto_Cliente_Mes!$A$2:$A$433,C$18,Desconto_Cliente_Mes!$B$2:$B$433,$A18,Desconto_Cliente_Mes!$C$2:$C$433,"Fibra")))-(SUMIFS(Desconto_Cliente_Mes!$Q$2:$Q$433,Desconto_Cliente_Mes!$A$2:$A$433,C$18,Desconto_Cliente_Mes!$B$2:$B$433,$A18,Desconto_Cliente_Mes!$C$2:$C$433,"Fibra")))*(SUMIFS(Desconto_Cliente_Mes!$T$2:$T$433,Desconto_Cliente_Mes!$A$2:$A$433,C$18,Desconto_Cliente_Mes!$B$2:$B$433,$A18,Desconto_Cliente_Mes!$C$2:$C$433,"Fibra"))</f>
        <v>0</v>
      </c>
      <c r="D25" s="16" t="n">
        <f aca="false">$D$20*($D$22/100)*((IF(SUMIFS(Desconto_Cliente_Mes!$R$2:$R$433,Desconto_Cliente_Mes!$A$2:$A$433,D$18,Desconto_Cliente_Mes!$B$2:$B$433,$A18,Desconto_Cliente_Mes!$C$2:$C$433,"Fibra")="",SUMIFS(Desconto_Cliente_Mes!$Q$2:$Q$433,Desconto_Cliente_Mes!$A$2:$A$433,D$18,Desconto_Cliente_Mes!$B$2:$B$433,$A18,Desconto_Cliente_Mes!$C$2:$C$433,"Fibra"),SUMIFS(Desconto_Cliente_Mes!$R$2:$R$433,Desconto_Cliente_Mes!$A$2:$A$433,D$18,Desconto_Cliente_Mes!$B$2:$B$433,$A18,Desconto_Cliente_Mes!$C$2:$C$433,"Fibra")))-(SUMIFS(Desconto_Cliente_Mes!$Q$2:$Q$433,Desconto_Cliente_Mes!$A$2:$A$433,D$18,Desconto_Cliente_Mes!$B$2:$B$433,$A18,Desconto_Cliente_Mes!$C$2:$C$433,"Fibra")))*(SUMIFS(Desconto_Cliente_Mes!$T$2:$T$433,Desconto_Cliente_Mes!$A$2:$A$433,D$18,Desconto_Cliente_Mes!$B$2:$B$433,$A18,Desconto_Cliente_Mes!$C$2:$C$433,"Fibra"))</f>
        <v>0</v>
      </c>
      <c r="E25" s="16" t="n">
        <f aca="false">$E$20*($E$22/100)*((IF(SUMIFS(Desconto_Cliente_Mes!$R$2:$R$433,Desconto_Cliente_Mes!$A$2:$A$433,E$18,Desconto_Cliente_Mes!$B$2:$B$433,$A18,Desconto_Cliente_Mes!$C$2:$C$433,"Fibra")="",SUMIFS(Desconto_Cliente_Mes!$Q$2:$Q$433,Desconto_Cliente_Mes!$A$2:$A$433,E$18,Desconto_Cliente_Mes!$B$2:$B$433,$A18,Desconto_Cliente_Mes!$C$2:$C$433,"Fibra"),SUMIFS(Desconto_Cliente_Mes!$R$2:$R$433,Desconto_Cliente_Mes!$A$2:$A$433,E$18,Desconto_Cliente_Mes!$B$2:$B$433,$A18,Desconto_Cliente_Mes!$C$2:$C$433,"Fibra")))-(SUMIFS(Desconto_Cliente_Mes!$Q$2:$Q$433,Desconto_Cliente_Mes!$A$2:$A$433,E$18,Desconto_Cliente_Mes!$B$2:$B$433,$A18,Desconto_Cliente_Mes!$C$2:$C$433,"Fibra")))*(SUMIFS(Desconto_Cliente_Mes!$T$2:$T$433,Desconto_Cliente_Mes!$A$2:$A$433,E$18,Desconto_Cliente_Mes!$B$2:$B$433,$A18,Desconto_Cliente_Mes!$C$2:$C$433,"Fibra"))</f>
        <v>0</v>
      </c>
      <c r="F25" s="16" t="n">
        <f aca="false">$F$20*($F$22/100)*((IF(SUMIFS(Desconto_Cliente_Mes!$R$2:$R$433,Desconto_Cliente_Mes!$A$2:$A$433,F$18,Desconto_Cliente_Mes!$B$2:$B$433,$A18,Desconto_Cliente_Mes!$C$2:$C$433,"Fibra")="",SUMIFS(Desconto_Cliente_Mes!$Q$2:$Q$433,Desconto_Cliente_Mes!$A$2:$A$433,F$18,Desconto_Cliente_Mes!$B$2:$B$433,$A18,Desconto_Cliente_Mes!$C$2:$C$433,"Fibra"),SUMIFS(Desconto_Cliente_Mes!$R$2:$R$433,Desconto_Cliente_Mes!$A$2:$A$433,F$18,Desconto_Cliente_Mes!$B$2:$B$433,$A18,Desconto_Cliente_Mes!$C$2:$C$433,"Fibra")))-(SUMIFS(Desconto_Cliente_Mes!$Q$2:$Q$433,Desconto_Cliente_Mes!$A$2:$A$433,F$18,Desconto_Cliente_Mes!$B$2:$B$433,$A18,Desconto_Cliente_Mes!$C$2:$C$433,"Fibra")))*(SUMIFS(Desconto_Cliente_Mes!$T$2:$T$433,Desconto_Cliente_Mes!$A$2:$A$433,F$18,Desconto_Cliente_Mes!$B$2:$B$433,$A18,Desconto_Cliente_Mes!$C$2:$C$433,"Fibra"))</f>
        <v>0</v>
      </c>
      <c r="G25" s="16" t="n">
        <f aca="false">$G$20*($G$22/100)*((IF(SUMIFS(Desconto_Cliente_Mes!$R$2:$R$433,Desconto_Cliente_Mes!$A$2:$A$433,G$18,Desconto_Cliente_Mes!$B$2:$B$433,$A18,Desconto_Cliente_Mes!$C$2:$C$433,"Fibra")="",SUMIFS(Desconto_Cliente_Mes!$Q$2:$Q$433,Desconto_Cliente_Mes!$A$2:$A$433,G$18,Desconto_Cliente_Mes!$B$2:$B$433,$A18,Desconto_Cliente_Mes!$C$2:$C$433,"Fibra"),SUMIFS(Desconto_Cliente_Mes!$R$2:$R$433,Desconto_Cliente_Mes!$A$2:$A$433,G$18,Desconto_Cliente_Mes!$B$2:$B$433,$A18,Desconto_Cliente_Mes!$C$2:$C$433,"Fibra")))-(SUMIFS(Desconto_Cliente_Mes!$Q$2:$Q$433,Desconto_Cliente_Mes!$A$2:$A$433,G$18,Desconto_Cliente_Mes!$B$2:$B$433,$A18,Desconto_Cliente_Mes!$C$2:$C$433,"Fibra")))*(SUMIFS(Desconto_Cliente_Mes!$T$2:$T$433,Desconto_Cliente_Mes!$A$2:$A$433,G$18,Desconto_Cliente_Mes!$B$2:$B$433,$A18,Desconto_Cliente_Mes!$C$2:$C$433,"Fibra"))</f>
        <v>0</v>
      </c>
      <c r="H25" s="16" t="n">
        <f aca="false">$H$20*($H$22/100)*((IF(SUMIFS(Desconto_Cliente_Mes!$R$2:$R$433,Desconto_Cliente_Mes!$A$2:$A$433,H$18,Desconto_Cliente_Mes!$B$2:$B$433,$A18,Desconto_Cliente_Mes!$C$2:$C$433,"Fibra")="",SUMIFS(Desconto_Cliente_Mes!$Q$2:$Q$433,Desconto_Cliente_Mes!$A$2:$A$433,H$18,Desconto_Cliente_Mes!$B$2:$B$433,$A18,Desconto_Cliente_Mes!$C$2:$C$433,"Fibra"),SUMIFS(Desconto_Cliente_Mes!$R$2:$R$433,Desconto_Cliente_Mes!$A$2:$A$433,H$18,Desconto_Cliente_Mes!$B$2:$B$433,$A18,Desconto_Cliente_Mes!$C$2:$C$433,"Fibra")))-(SUMIFS(Desconto_Cliente_Mes!$Q$2:$Q$433,Desconto_Cliente_Mes!$A$2:$A$433,H$18,Desconto_Cliente_Mes!$B$2:$B$433,$A18,Desconto_Cliente_Mes!$C$2:$C$433,"Fibra")))*(SUMIFS(Desconto_Cliente_Mes!$T$2:$T$433,Desconto_Cliente_Mes!$A$2:$A$433,H$18,Desconto_Cliente_Mes!$B$2:$B$433,$A18,Desconto_Cliente_Mes!$C$2:$C$433,"Fibra"))</f>
        <v>0</v>
      </c>
      <c r="I25" s="16" t="n">
        <f aca="false">$I$20*($I$22/100)*((IF(SUMIFS(Desconto_Cliente_Mes!$R$2:$R$433,Desconto_Cliente_Mes!$A$2:$A$433,I$18,Desconto_Cliente_Mes!$B$2:$B$433,$A18,Desconto_Cliente_Mes!$C$2:$C$433,"Fibra")="",SUMIFS(Desconto_Cliente_Mes!$Q$2:$Q$433,Desconto_Cliente_Mes!$A$2:$A$433,I$18,Desconto_Cliente_Mes!$B$2:$B$433,$A18,Desconto_Cliente_Mes!$C$2:$C$433,"Fibra"),SUMIFS(Desconto_Cliente_Mes!$R$2:$R$433,Desconto_Cliente_Mes!$A$2:$A$433,I$18,Desconto_Cliente_Mes!$B$2:$B$433,$A18,Desconto_Cliente_Mes!$C$2:$C$433,"Fibra")))-(SUMIFS(Desconto_Cliente_Mes!$Q$2:$Q$433,Desconto_Cliente_Mes!$A$2:$A$433,I$18,Desconto_Cliente_Mes!$B$2:$B$433,$A18,Desconto_Cliente_Mes!$C$2:$C$433,"Fibra")))*(SUMIFS(Desconto_Cliente_Mes!$T$2:$T$433,Desconto_Cliente_Mes!$A$2:$A$433,I$18,Desconto_Cliente_Mes!$B$2:$B$433,$A18,Desconto_Cliente_Mes!$C$2:$C$433,"Fibra"))</f>
        <v>0</v>
      </c>
      <c r="J25" s="16" t="n">
        <f aca="false">$J$20*($J$22/100)*((IF(SUMIFS(Desconto_Cliente_Mes!$R$2:$R$433,Desconto_Cliente_Mes!$A$2:$A$433,J$18,Desconto_Cliente_Mes!$B$2:$B$433,$A18,Desconto_Cliente_Mes!$C$2:$C$433,"Fibra")="",SUMIFS(Desconto_Cliente_Mes!$Q$2:$Q$433,Desconto_Cliente_Mes!$A$2:$A$433,J$18,Desconto_Cliente_Mes!$B$2:$B$433,$A18,Desconto_Cliente_Mes!$C$2:$C$433,"Fibra"),SUMIFS(Desconto_Cliente_Mes!$R$2:$R$433,Desconto_Cliente_Mes!$A$2:$A$433,J$18,Desconto_Cliente_Mes!$B$2:$B$433,$A18,Desconto_Cliente_Mes!$C$2:$C$433,"Fibra")))-(SUMIFS(Desconto_Cliente_Mes!$Q$2:$Q$433,Desconto_Cliente_Mes!$A$2:$A$433,J$18,Desconto_Cliente_Mes!$B$2:$B$433,$A18,Desconto_Cliente_Mes!$C$2:$C$433,"Fibra")))*(SUMIFS(Desconto_Cliente_Mes!$T$2:$T$433,Desconto_Cliente_Mes!$A$2:$A$433,J$18,Desconto_Cliente_Mes!$B$2:$B$433,$A18,Desconto_Cliente_Mes!$C$2:$C$433,"Fibra"))</f>
        <v>0</v>
      </c>
      <c r="K25" s="16" t="n">
        <f aca="false">$K$20*($K$22/100)*((IF(SUMIFS(Desconto_Cliente_Mes!$R$2:$R$433,Desconto_Cliente_Mes!$A$2:$A$433,K$18,Desconto_Cliente_Mes!$B$2:$B$433,$A18,Desconto_Cliente_Mes!$C$2:$C$433,"Fibra")="",SUMIFS(Desconto_Cliente_Mes!$Q$2:$Q$433,Desconto_Cliente_Mes!$A$2:$A$433,K$18,Desconto_Cliente_Mes!$B$2:$B$433,$A18,Desconto_Cliente_Mes!$C$2:$C$433,"Fibra"),SUMIFS(Desconto_Cliente_Mes!$R$2:$R$433,Desconto_Cliente_Mes!$A$2:$A$433,K$18,Desconto_Cliente_Mes!$B$2:$B$433,$A18,Desconto_Cliente_Mes!$C$2:$C$433,"Fibra")))-(SUMIFS(Desconto_Cliente_Mes!$Q$2:$Q$433,Desconto_Cliente_Mes!$A$2:$A$433,K$18,Desconto_Cliente_Mes!$B$2:$B$433,$A18,Desconto_Cliente_Mes!$C$2:$C$433,"Fibra")))*(SUMIFS(Desconto_Cliente_Mes!$T$2:$T$433,Desconto_Cliente_Mes!$A$2:$A$433,K$18,Desconto_Cliente_Mes!$B$2:$B$433,$A18,Desconto_Cliente_Mes!$C$2:$C$433,"Fibra"))</f>
        <v>0</v>
      </c>
      <c r="L25" s="16" t="n">
        <f aca="false">$L$20*($L$22/100)*((IF(SUMIFS(Desconto_Cliente_Mes!$R$2:$R$433,Desconto_Cliente_Mes!$A$2:$A$433,L$18,Desconto_Cliente_Mes!$B$2:$B$433,$A18,Desconto_Cliente_Mes!$C$2:$C$433,"Fibra")="",SUMIFS(Desconto_Cliente_Mes!$Q$2:$Q$433,Desconto_Cliente_Mes!$A$2:$A$433,L$18,Desconto_Cliente_Mes!$B$2:$B$433,$A18,Desconto_Cliente_Mes!$C$2:$C$433,"Fibra"),SUMIFS(Desconto_Cliente_Mes!$R$2:$R$433,Desconto_Cliente_Mes!$A$2:$A$433,L$18,Desconto_Cliente_Mes!$B$2:$B$433,$A18,Desconto_Cliente_Mes!$C$2:$C$433,"Fibra")))-(SUMIFS(Desconto_Cliente_Mes!$Q$2:$Q$433,Desconto_Cliente_Mes!$A$2:$A$433,L$18,Desconto_Cliente_Mes!$B$2:$B$433,$A18,Desconto_Cliente_Mes!$C$2:$C$433,"Fibra")))*(SUMIFS(Desconto_Cliente_Mes!$T$2:$T$433,Desconto_Cliente_Mes!$A$2:$A$433,L$18,Desconto_Cliente_Mes!$B$2:$B$433,$A18,Desconto_Cliente_Mes!$C$2:$C$433,"Fibra"))</f>
        <v>0</v>
      </c>
      <c r="M25" s="16" t="n">
        <f aca="false">$M$20*($M$22/100)*((IF(SUMIFS(Desconto_Cliente_Mes!$R$2:$R$433,Desconto_Cliente_Mes!$A$2:$A$433,M$18,Desconto_Cliente_Mes!$B$2:$B$433,$A18,Desconto_Cliente_Mes!$C$2:$C$433,"Fibra")="",SUMIFS(Desconto_Cliente_Mes!$Q$2:$Q$433,Desconto_Cliente_Mes!$A$2:$A$433,M$18,Desconto_Cliente_Mes!$B$2:$B$433,$A18,Desconto_Cliente_Mes!$C$2:$C$433,"Fibra"),SUMIFS(Desconto_Cliente_Mes!$R$2:$R$433,Desconto_Cliente_Mes!$A$2:$A$433,M$18,Desconto_Cliente_Mes!$B$2:$B$433,$A18,Desconto_Cliente_Mes!$C$2:$C$433,"Fibra")))-(SUMIFS(Desconto_Cliente_Mes!$Q$2:$Q$433,Desconto_Cliente_Mes!$A$2:$A$433,M$18,Desconto_Cliente_Mes!$B$2:$B$433,$A18,Desconto_Cliente_Mes!$C$2:$C$433,"Fibra")))*(SUMIFS(Desconto_Cliente_Mes!$T$2:$T$433,Desconto_Cliente_Mes!$A$2:$A$433,M$18,Desconto_Cliente_Mes!$B$2:$B$433,$A18,Desconto_Cliente_Mes!$C$2:$C$433,"Fibra"))</f>
        <v>0</v>
      </c>
      <c r="N25" s="17" t="n">
        <f aca="false">SUM(B25:M25)</f>
        <v>0</v>
      </c>
    </row>
    <row r="26" customFormat="false" ht="15" hidden="false" customHeight="false" outlineLevel="0" collapsed="false">
      <c r="A26" s="13" t="s">
        <v>81</v>
      </c>
      <c r="B26" s="16" t="n">
        <f aca="false">$B$20*($B$23/100)*((IF(SUMIFS(Desconto_Cliente_Mes!$S$2:$S$433,Desconto_Cliente_Mes!$A$2:$A$433,B$18,Desconto_Cliente_Mes!$B$2:$B$433,$A18,Desconto_Cliente_Mes!$C$2:$C$433,"Fibra")="",(IF(SUMIFS(Desconto_Cliente_Mes!$R$2:$R$433,Desconto_Cliente_Mes!$A$2:$A$433,B$18,Desconto_Cliente_Mes!$B$2:$B$433,$A18,Desconto_Cliente_Mes!$C$2:$C$433,"Fibra")="",SUMIFS(Desconto_Cliente_Mes!$Q$2:$Q$433,Desconto_Cliente_Mes!$A$2:$A$433,B$18,Desconto_Cliente_Mes!$B$2:$B$433,$A18,Desconto_Cliente_Mes!$C$2:$C$433,"Fibra"),SUMIFS(Desconto_Cliente_Mes!$R$2:$R$433,Desconto_Cliente_Mes!$A$2:$A$433,B$18,Desconto_Cliente_Mes!$B$2:$B$433,$A18,Desconto_Cliente_Mes!$C$2:$C$433,"Fibra"))),SUMIFS(Desconto_Cliente_Mes!$S$2:$S$433,Desconto_Cliente_Mes!$A$2:$A$433,B$18,Desconto_Cliente_Mes!$B$2:$B$433,$A18,Desconto_Cliente_Mes!$C$2:$C$433,"Fibra")))-(IF(SUMIFS(Desconto_Cliente_Mes!$R$2:$R$433,Desconto_Cliente_Mes!$A$2:$A$433,B$18,Desconto_Cliente_Mes!$B$2:$B$433,$A18,Desconto_Cliente_Mes!$C$2:$C$433,"Fibra")="",SUMIFS(Desconto_Cliente_Mes!$Q$2:$Q$433,Desconto_Cliente_Mes!$A$2:$A$433,B$18,Desconto_Cliente_Mes!$B$2:$B$433,$A18,Desconto_Cliente_Mes!$C$2:$C$433,"Fibra"),SUMIFS(Desconto_Cliente_Mes!$R$2:$R$433,Desconto_Cliente_Mes!$A$2:$A$433,B$18,Desconto_Cliente_Mes!$B$2:$B$433,$A18,Desconto_Cliente_Mes!$C$2:$C$433,"Fibra"))))*(SUMIFS(Desconto_Cliente_Mes!$T$2:$T$433,Desconto_Cliente_Mes!$A$2:$A$433,B$18,Desconto_Cliente_Mes!$B$2:$B$433,$A18,Desconto_Cliente_Mes!$C$2:$C$433,"Fibra"))</f>
        <v>0</v>
      </c>
      <c r="C26" s="16" t="n">
        <f aca="false">$C$20*($C$23/100)*((IF(SUMIFS(Desconto_Cliente_Mes!$S$2:$S$433,Desconto_Cliente_Mes!$A$2:$A$433,C$18,Desconto_Cliente_Mes!$B$2:$B$433,$A18,Desconto_Cliente_Mes!$C$2:$C$433,"Fibra")="",(IF(SUMIFS(Desconto_Cliente_Mes!$R$2:$R$433,Desconto_Cliente_Mes!$A$2:$A$433,C$18,Desconto_Cliente_Mes!$B$2:$B$433,$A18,Desconto_Cliente_Mes!$C$2:$C$433,"Fibra")="",SUMIFS(Desconto_Cliente_Mes!$Q$2:$Q$433,Desconto_Cliente_Mes!$A$2:$A$433,C$18,Desconto_Cliente_Mes!$B$2:$B$433,$A18,Desconto_Cliente_Mes!$C$2:$C$433,"Fibra"),SUMIFS(Desconto_Cliente_Mes!$R$2:$R$433,Desconto_Cliente_Mes!$A$2:$A$433,C$18,Desconto_Cliente_Mes!$B$2:$B$433,$A18,Desconto_Cliente_Mes!$C$2:$C$433,"Fibra"))),SUMIFS(Desconto_Cliente_Mes!$S$2:$S$433,Desconto_Cliente_Mes!$A$2:$A$433,C$18,Desconto_Cliente_Mes!$B$2:$B$433,$A18,Desconto_Cliente_Mes!$C$2:$C$433,"Fibra")))-(IF(SUMIFS(Desconto_Cliente_Mes!$R$2:$R$433,Desconto_Cliente_Mes!$A$2:$A$433,C$18,Desconto_Cliente_Mes!$B$2:$B$433,$A18,Desconto_Cliente_Mes!$C$2:$C$433,"Fibra")="",SUMIFS(Desconto_Cliente_Mes!$Q$2:$Q$433,Desconto_Cliente_Mes!$A$2:$A$433,C$18,Desconto_Cliente_Mes!$B$2:$B$433,$A18,Desconto_Cliente_Mes!$C$2:$C$433,"Fibra"),SUMIFS(Desconto_Cliente_Mes!$R$2:$R$433,Desconto_Cliente_Mes!$A$2:$A$433,C$18,Desconto_Cliente_Mes!$B$2:$B$433,$A18,Desconto_Cliente_Mes!$C$2:$C$433,"Fibra"))))*(SUMIFS(Desconto_Cliente_Mes!$T$2:$T$433,Desconto_Cliente_Mes!$A$2:$A$433,C$18,Desconto_Cliente_Mes!$B$2:$B$433,$A18,Desconto_Cliente_Mes!$C$2:$C$433,"Fibra"))</f>
        <v>0</v>
      </c>
      <c r="D26" s="16" t="n">
        <f aca="false">$D$20*($D$23/100)*((IF(SUMIFS(Desconto_Cliente_Mes!$S$2:$S$433,Desconto_Cliente_Mes!$A$2:$A$433,D$18,Desconto_Cliente_Mes!$B$2:$B$433,$A18,Desconto_Cliente_Mes!$C$2:$C$433,"Fibra")="",(IF(SUMIFS(Desconto_Cliente_Mes!$R$2:$R$433,Desconto_Cliente_Mes!$A$2:$A$433,D$18,Desconto_Cliente_Mes!$B$2:$B$433,$A18,Desconto_Cliente_Mes!$C$2:$C$433,"Fibra")="",SUMIFS(Desconto_Cliente_Mes!$Q$2:$Q$433,Desconto_Cliente_Mes!$A$2:$A$433,D$18,Desconto_Cliente_Mes!$B$2:$B$433,$A18,Desconto_Cliente_Mes!$C$2:$C$433,"Fibra"),SUMIFS(Desconto_Cliente_Mes!$R$2:$R$433,Desconto_Cliente_Mes!$A$2:$A$433,D$18,Desconto_Cliente_Mes!$B$2:$B$433,$A18,Desconto_Cliente_Mes!$C$2:$C$433,"Fibra"))),SUMIFS(Desconto_Cliente_Mes!$S$2:$S$433,Desconto_Cliente_Mes!$A$2:$A$433,D$18,Desconto_Cliente_Mes!$B$2:$B$433,$A18,Desconto_Cliente_Mes!$C$2:$C$433,"Fibra")))-(IF(SUMIFS(Desconto_Cliente_Mes!$R$2:$R$433,Desconto_Cliente_Mes!$A$2:$A$433,D$18,Desconto_Cliente_Mes!$B$2:$B$433,$A18,Desconto_Cliente_Mes!$C$2:$C$433,"Fibra")="",SUMIFS(Desconto_Cliente_Mes!$Q$2:$Q$433,Desconto_Cliente_Mes!$A$2:$A$433,D$18,Desconto_Cliente_Mes!$B$2:$B$433,$A18,Desconto_Cliente_Mes!$C$2:$C$433,"Fibra"),SUMIFS(Desconto_Cliente_Mes!$R$2:$R$433,Desconto_Cliente_Mes!$A$2:$A$433,D$18,Desconto_Cliente_Mes!$B$2:$B$433,$A18,Desconto_Cliente_Mes!$C$2:$C$433,"Fibra"))))*(SUMIFS(Desconto_Cliente_Mes!$T$2:$T$433,Desconto_Cliente_Mes!$A$2:$A$433,D$18,Desconto_Cliente_Mes!$B$2:$B$433,$A18,Desconto_Cliente_Mes!$C$2:$C$433,"Fibra"))</f>
        <v>0</v>
      </c>
      <c r="E26" s="16" t="n">
        <f aca="false">$E$20*($E$23/100)*((IF(SUMIFS(Desconto_Cliente_Mes!$S$2:$S$433,Desconto_Cliente_Mes!$A$2:$A$433,E$18,Desconto_Cliente_Mes!$B$2:$B$433,$A18,Desconto_Cliente_Mes!$C$2:$C$433,"Fibra")="",(IF(SUMIFS(Desconto_Cliente_Mes!$R$2:$R$433,Desconto_Cliente_Mes!$A$2:$A$433,E$18,Desconto_Cliente_Mes!$B$2:$B$433,$A18,Desconto_Cliente_Mes!$C$2:$C$433,"Fibra")="",SUMIFS(Desconto_Cliente_Mes!$Q$2:$Q$433,Desconto_Cliente_Mes!$A$2:$A$433,E$18,Desconto_Cliente_Mes!$B$2:$B$433,$A18,Desconto_Cliente_Mes!$C$2:$C$433,"Fibra"),SUMIFS(Desconto_Cliente_Mes!$R$2:$R$433,Desconto_Cliente_Mes!$A$2:$A$433,E$18,Desconto_Cliente_Mes!$B$2:$B$433,$A18,Desconto_Cliente_Mes!$C$2:$C$433,"Fibra"))),SUMIFS(Desconto_Cliente_Mes!$S$2:$S$433,Desconto_Cliente_Mes!$A$2:$A$433,E$18,Desconto_Cliente_Mes!$B$2:$B$433,$A18,Desconto_Cliente_Mes!$C$2:$C$433,"Fibra")))-(IF(SUMIFS(Desconto_Cliente_Mes!$R$2:$R$433,Desconto_Cliente_Mes!$A$2:$A$433,E$18,Desconto_Cliente_Mes!$B$2:$B$433,$A18,Desconto_Cliente_Mes!$C$2:$C$433,"Fibra")="",SUMIFS(Desconto_Cliente_Mes!$Q$2:$Q$433,Desconto_Cliente_Mes!$A$2:$A$433,E$18,Desconto_Cliente_Mes!$B$2:$B$433,$A18,Desconto_Cliente_Mes!$C$2:$C$433,"Fibra"),SUMIFS(Desconto_Cliente_Mes!$R$2:$R$433,Desconto_Cliente_Mes!$A$2:$A$433,E$18,Desconto_Cliente_Mes!$B$2:$B$433,$A18,Desconto_Cliente_Mes!$C$2:$C$433,"Fibra"))))*(SUMIFS(Desconto_Cliente_Mes!$T$2:$T$433,Desconto_Cliente_Mes!$A$2:$A$433,E$18,Desconto_Cliente_Mes!$B$2:$B$433,$A18,Desconto_Cliente_Mes!$C$2:$C$433,"Fibra"))</f>
        <v>0</v>
      </c>
      <c r="F26" s="16" t="n">
        <f aca="false">$F$20*($F$23/100)*((IF(SUMIFS(Desconto_Cliente_Mes!$S$2:$S$433,Desconto_Cliente_Mes!$A$2:$A$433,F$18,Desconto_Cliente_Mes!$B$2:$B$433,$A18,Desconto_Cliente_Mes!$C$2:$C$433,"Fibra")="",(IF(SUMIFS(Desconto_Cliente_Mes!$R$2:$R$433,Desconto_Cliente_Mes!$A$2:$A$433,F$18,Desconto_Cliente_Mes!$B$2:$B$433,$A18,Desconto_Cliente_Mes!$C$2:$C$433,"Fibra")="",SUMIFS(Desconto_Cliente_Mes!$Q$2:$Q$433,Desconto_Cliente_Mes!$A$2:$A$433,F$18,Desconto_Cliente_Mes!$B$2:$B$433,$A18,Desconto_Cliente_Mes!$C$2:$C$433,"Fibra"),SUMIFS(Desconto_Cliente_Mes!$R$2:$R$433,Desconto_Cliente_Mes!$A$2:$A$433,F$18,Desconto_Cliente_Mes!$B$2:$B$433,$A18,Desconto_Cliente_Mes!$C$2:$C$433,"Fibra"))),SUMIFS(Desconto_Cliente_Mes!$S$2:$S$433,Desconto_Cliente_Mes!$A$2:$A$433,F$18,Desconto_Cliente_Mes!$B$2:$B$433,$A18,Desconto_Cliente_Mes!$C$2:$C$433,"Fibra")))-(IF(SUMIFS(Desconto_Cliente_Mes!$R$2:$R$433,Desconto_Cliente_Mes!$A$2:$A$433,F$18,Desconto_Cliente_Mes!$B$2:$B$433,$A18,Desconto_Cliente_Mes!$C$2:$C$433,"Fibra")="",SUMIFS(Desconto_Cliente_Mes!$Q$2:$Q$433,Desconto_Cliente_Mes!$A$2:$A$433,F$18,Desconto_Cliente_Mes!$B$2:$B$433,$A18,Desconto_Cliente_Mes!$C$2:$C$433,"Fibra"),SUMIFS(Desconto_Cliente_Mes!$R$2:$R$433,Desconto_Cliente_Mes!$A$2:$A$433,F$18,Desconto_Cliente_Mes!$B$2:$B$433,$A18,Desconto_Cliente_Mes!$C$2:$C$433,"Fibra"))))*(SUMIFS(Desconto_Cliente_Mes!$T$2:$T$433,Desconto_Cliente_Mes!$A$2:$A$433,F$18,Desconto_Cliente_Mes!$B$2:$B$433,$A18,Desconto_Cliente_Mes!$C$2:$C$433,"Fibra"))</f>
        <v>0</v>
      </c>
      <c r="G26" s="16" t="n">
        <f aca="false">$G$20*($G$23/100)*((IF(SUMIFS(Desconto_Cliente_Mes!$S$2:$S$433,Desconto_Cliente_Mes!$A$2:$A$433,G$18,Desconto_Cliente_Mes!$B$2:$B$433,$A18,Desconto_Cliente_Mes!$C$2:$C$433,"Fibra")="",(IF(SUMIFS(Desconto_Cliente_Mes!$R$2:$R$433,Desconto_Cliente_Mes!$A$2:$A$433,G$18,Desconto_Cliente_Mes!$B$2:$B$433,$A18,Desconto_Cliente_Mes!$C$2:$C$433,"Fibra")="",SUMIFS(Desconto_Cliente_Mes!$Q$2:$Q$433,Desconto_Cliente_Mes!$A$2:$A$433,G$18,Desconto_Cliente_Mes!$B$2:$B$433,$A18,Desconto_Cliente_Mes!$C$2:$C$433,"Fibra"),SUMIFS(Desconto_Cliente_Mes!$R$2:$R$433,Desconto_Cliente_Mes!$A$2:$A$433,G$18,Desconto_Cliente_Mes!$B$2:$B$433,$A18,Desconto_Cliente_Mes!$C$2:$C$433,"Fibra"))),SUMIFS(Desconto_Cliente_Mes!$S$2:$S$433,Desconto_Cliente_Mes!$A$2:$A$433,G$18,Desconto_Cliente_Mes!$B$2:$B$433,$A18,Desconto_Cliente_Mes!$C$2:$C$433,"Fibra")))-(IF(SUMIFS(Desconto_Cliente_Mes!$R$2:$R$433,Desconto_Cliente_Mes!$A$2:$A$433,G$18,Desconto_Cliente_Mes!$B$2:$B$433,$A18,Desconto_Cliente_Mes!$C$2:$C$433,"Fibra")="",SUMIFS(Desconto_Cliente_Mes!$Q$2:$Q$433,Desconto_Cliente_Mes!$A$2:$A$433,G$18,Desconto_Cliente_Mes!$B$2:$B$433,$A18,Desconto_Cliente_Mes!$C$2:$C$433,"Fibra"),SUMIFS(Desconto_Cliente_Mes!$R$2:$R$433,Desconto_Cliente_Mes!$A$2:$A$433,G$18,Desconto_Cliente_Mes!$B$2:$B$433,$A18,Desconto_Cliente_Mes!$C$2:$C$433,"Fibra"))))*(SUMIFS(Desconto_Cliente_Mes!$T$2:$T$433,Desconto_Cliente_Mes!$A$2:$A$433,G$18,Desconto_Cliente_Mes!$B$2:$B$433,$A18,Desconto_Cliente_Mes!$C$2:$C$433,"Fibra"))</f>
        <v>0</v>
      </c>
      <c r="H26" s="16" t="n">
        <f aca="false">$H$20*($H$23/100)*((IF(SUMIFS(Desconto_Cliente_Mes!$S$2:$S$433,Desconto_Cliente_Mes!$A$2:$A$433,H$18,Desconto_Cliente_Mes!$B$2:$B$433,$A18,Desconto_Cliente_Mes!$C$2:$C$433,"Fibra")="",(IF(SUMIFS(Desconto_Cliente_Mes!$R$2:$R$433,Desconto_Cliente_Mes!$A$2:$A$433,H$18,Desconto_Cliente_Mes!$B$2:$B$433,$A18,Desconto_Cliente_Mes!$C$2:$C$433,"Fibra")="",SUMIFS(Desconto_Cliente_Mes!$Q$2:$Q$433,Desconto_Cliente_Mes!$A$2:$A$433,H$18,Desconto_Cliente_Mes!$B$2:$B$433,$A18,Desconto_Cliente_Mes!$C$2:$C$433,"Fibra"),SUMIFS(Desconto_Cliente_Mes!$R$2:$R$433,Desconto_Cliente_Mes!$A$2:$A$433,H$18,Desconto_Cliente_Mes!$B$2:$B$433,$A18,Desconto_Cliente_Mes!$C$2:$C$433,"Fibra"))),SUMIFS(Desconto_Cliente_Mes!$S$2:$S$433,Desconto_Cliente_Mes!$A$2:$A$433,H$18,Desconto_Cliente_Mes!$B$2:$B$433,$A18,Desconto_Cliente_Mes!$C$2:$C$433,"Fibra")))-(IF(SUMIFS(Desconto_Cliente_Mes!$R$2:$R$433,Desconto_Cliente_Mes!$A$2:$A$433,H$18,Desconto_Cliente_Mes!$B$2:$B$433,$A18,Desconto_Cliente_Mes!$C$2:$C$433,"Fibra")="",SUMIFS(Desconto_Cliente_Mes!$Q$2:$Q$433,Desconto_Cliente_Mes!$A$2:$A$433,H$18,Desconto_Cliente_Mes!$B$2:$B$433,$A18,Desconto_Cliente_Mes!$C$2:$C$433,"Fibra"),SUMIFS(Desconto_Cliente_Mes!$R$2:$R$433,Desconto_Cliente_Mes!$A$2:$A$433,H$18,Desconto_Cliente_Mes!$B$2:$B$433,$A18,Desconto_Cliente_Mes!$C$2:$C$433,"Fibra"))))*(SUMIFS(Desconto_Cliente_Mes!$T$2:$T$433,Desconto_Cliente_Mes!$A$2:$A$433,H$18,Desconto_Cliente_Mes!$B$2:$B$433,$A18,Desconto_Cliente_Mes!$C$2:$C$433,"Fibra"))</f>
        <v>0</v>
      </c>
      <c r="I26" s="16" t="n">
        <f aca="false">$I$20*($I$23/100)*((IF(SUMIFS(Desconto_Cliente_Mes!$S$2:$S$433,Desconto_Cliente_Mes!$A$2:$A$433,I$18,Desconto_Cliente_Mes!$B$2:$B$433,$A18,Desconto_Cliente_Mes!$C$2:$C$433,"Fibra")="",(IF(SUMIFS(Desconto_Cliente_Mes!$R$2:$R$433,Desconto_Cliente_Mes!$A$2:$A$433,I$18,Desconto_Cliente_Mes!$B$2:$B$433,$A18,Desconto_Cliente_Mes!$C$2:$C$433,"Fibra")="",SUMIFS(Desconto_Cliente_Mes!$Q$2:$Q$433,Desconto_Cliente_Mes!$A$2:$A$433,I$18,Desconto_Cliente_Mes!$B$2:$B$433,$A18,Desconto_Cliente_Mes!$C$2:$C$433,"Fibra"),SUMIFS(Desconto_Cliente_Mes!$R$2:$R$433,Desconto_Cliente_Mes!$A$2:$A$433,I$18,Desconto_Cliente_Mes!$B$2:$B$433,$A18,Desconto_Cliente_Mes!$C$2:$C$433,"Fibra"))),SUMIFS(Desconto_Cliente_Mes!$S$2:$S$433,Desconto_Cliente_Mes!$A$2:$A$433,I$18,Desconto_Cliente_Mes!$B$2:$B$433,$A18,Desconto_Cliente_Mes!$C$2:$C$433,"Fibra")))-(IF(SUMIFS(Desconto_Cliente_Mes!$R$2:$R$433,Desconto_Cliente_Mes!$A$2:$A$433,I$18,Desconto_Cliente_Mes!$B$2:$B$433,$A18,Desconto_Cliente_Mes!$C$2:$C$433,"Fibra")="",SUMIFS(Desconto_Cliente_Mes!$Q$2:$Q$433,Desconto_Cliente_Mes!$A$2:$A$433,I$18,Desconto_Cliente_Mes!$B$2:$B$433,$A18,Desconto_Cliente_Mes!$C$2:$C$433,"Fibra"),SUMIFS(Desconto_Cliente_Mes!$R$2:$R$433,Desconto_Cliente_Mes!$A$2:$A$433,I$18,Desconto_Cliente_Mes!$B$2:$B$433,$A18,Desconto_Cliente_Mes!$C$2:$C$433,"Fibra"))))*(SUMIFS(Desconto_Cliente_Mes!$T$2:$T$433,Desconto_Cliente_Mes!$A$2:$A$433,I$18,Desconto_Cliente_Mes!$B$2:$B$433,$A18,Desconto_Cliente_Mes!$C$2:$C$433,"Fibra"))</f>
        <v>0</v>
      </c>
      <c r="J26" s="16" t="n">
        <f aca="false">$J$20*($J$23/100)*((IF(SUMIFS(Desconto_Cliente_Mes!$S$2:$S$433,Desconto_Cliente_Mes!$A$2:$A$433,J$18,Desconto_Cliente_Mes!$B$2:$B$433,$A18,Desconto_Cliente_Mes!$C$2:$C$433,"Fibra")="",(IF(SUMIFS(Desconto_Cliente_Mes!$R$2:$R$433,Desconto_Cliente_Mes!$A$2:$A$433,J$18,Desconto_Cliente_Mes!$B$2:$B$433,$A18,Desconto_Cliente_Mes!$C$2:$C$433,"Fibra")="",SUMIFS(Desconto_Cliente_Mes!$Q$2:$Q$433,Desconto_Cliente_Mes!$A$2:$A$433,J$18,Desconto_Cliente_Mes!$B$2:$B$433,$A18,Desconto_Cliente_Mes!$C$2:$C$433,"Fibra"),SUMIFS(Desconto_Cliente_Mes!$R$2:$R$433,Desconto_Cliente_Mes!$A$2:$A$433,J$18,Desconto_Cliente_Mes!$B$2:$B$433,$A18,Desconto_Cliente_Mes!$C$2:$C$433,"Fibra"))),SUMIFS(Desconto_Cliente_Mes!$S$2:$S$433,Desconto_Cliente_Mes!$A$2:$A$433,J$18,Desconto_Cliente_Mes!$B$2:$B$433,$A18,Desconto_Cliente_Mes!$C$2:$C$433,"Fibra")))-(IF(SUMIFS(Desconto_Cliente_Mes!$R$2:$R$433,Desconto_Cliente_Mes!$A$2:$A$433,J$18,Desconto_Cliente_Mes!$B$2:$B$433,$A18,Desconto_Cliente_Mes!$C$2:$C$433,"Fibra")="",SUMIFS(Desconto_Cliente_Mes!$Q$2:$Q$433,Desconto_Cliente_Mes!$A$2:$A$433,J$18,Desconto_Cliente_Mes!$B$2:$B$433,$A18,Desconto_Cliente_Mes!$C$2:$C$433,"Fibra"),SUMIFS(Desconto_Cliente_Mes!$R$2:$R$433,Desconto_Cliente_Mes!$A$2:$A$433,J$18,Desconto_Cliente_Mes!$B$2:$B$433,$A18,Desconto_Cliente_Mes!$C$2:$C$433,"Fibra"))))*(SUMIFS(Desconto_Cliente_Mes!$T$2:$T$433,Desconto_Cliente_Mes!$A$2:$A$433,J$18,Desconto_Cliente_Mes!$B$2:$B$433,$A18,Desconto_Cliente_Mes!$C$2:$C$433,"Fibra"))</f>
        <v>0</v>
      </c>
      <c r="K26" s="16" t="n">
        <f aca="false">$K$20*($K$23/100)*((IF(SUMIFS(Desconto_Cliente_Mes!$S$2:$S$433,Desconto_Cliente_Mes!$A$2:$A$433,K$18,Desconto_Cliente_Mes!$B$2:$B$433,$A18,Desconto_Cliente_Mes!$C$2:$C$433,"Fibra")="",(IF(SUMIFS(Desconto_Cliente_Mes!$R$2:$R$433,Desconto_Cliente_Mes!$A$2:$A$433,K$18,Desconto_Cliente_Mes!$B$2:$B$433,$A18,Desconto_Cliente_Mes!$C$2:$C$433,"Fibra")="",SUMIFS(Desconto_Cliente_Mes!$Q$2:$Q$433,Desconto_Cliente_Mes!$A$2:$A$433,K$18,Desconto_Cliente_Mes!$B$2:$B$433,$A18,Desconto_Cliente_Mes!$C$2:$C$433,"Fibra"),SUMIFS(Desconto_Cliente_Mes!$R$2:$R$433,Desconto_Cliente_Mes!$A$2:$A$433,K$18,Desconto_Cliente_Mes!$B$2:$B$433,$A18,Desconto_Cliente_Mes!$C$2:$C$433,"Fibra"))),SUMIFS(Desconto_Cliente_Mes!$S$2:$S$433,Desconto_Cliente_Mes!$A$2:$A$433,K$18,Desconto_Cliente_Mes!$B$2:$B$433,$A18,Desconto_Cliente_Mes!$C$2:$C$433,"Fibra")))-(IF(SUMIFS(Desconto_Cliente_Mes!$R$2:$R$433,Desconto_Cliente_Mes!$A$2:$A$433,K$18,Desconto_Cliente_Mes!$B$2:$B$433,$A18,Desconto_Cliente_Mes!$C$2:$C$433,"Fibra")="",SUMIFS(Desconto_Cliente_Mes!$Q$2:$Q$433,Desconto_Cliente_Mes!$A$2:$A$433,K$18,Desconto_Cliente_Mes!$B$2:$B$433,$A18,Desconto_Cliente_Mes!$C$2:$C$433,"Fibra"),SUMIFS(Desconto_Cliente_Mes!$R$2:$R$433,Desconto_Cliente_Mes!$A$2:$A$433,K$18,Desconto_Cliente_Mes!$B$2:$B$433,$A18,Desconto_Cliente_Mes!$C$2:$C$433,"Fibra"))))*(SUMIFS(Desconto_Cliente_Mes!$T$2:$T$433,Desconto_Cliente_Mes!$A$2:$A$433,K$18,Desconto_Cliente_Mes!$B$2:$B$433,$A18,Desconto_Cliente_Mes!$C$2:$C$433,"Fibra"))</f>
        <v>0</v>
      </c>
      <c r="L26" s="16" t="n">
        <f aca="false">$L$20*($L$23/100)*((IF(SUMIFS(Desconto_Cliente_Mes!$S$2:$S$433,Desconto_Cliente_Mes!$A$2:$A$433,L$18,Desconto_Cliente_Mes!$B$2:$B$433,$A18,Desconto_Cliente_Mes!$C$2:$C$433,"Fibra")="",(IF(SUMIFS(Desconto_Cliente_Mes!$R$2:$R$433,Desconto_Cliente_Mes!$A$2:$A$433,L$18,Desconto_Cliente_Mes!$B$2:$B$433,$A18,Desconto_Cliente_Mes!$C$2:$C$433,"Fibra")="",SUMIFS(Desconto_Cliente_Mes!$Q$2:$Q$433,Desconto_Cliente_Mes!$A$2:$A$433,L$18,Desconto_Cliente_Mes!$B$2:$B$433,$A18,Desconto_Cliente_Mes!$C$2:$C$433,"Fibra"),SUMIFS(Desconto_Cliente_Mes!$R$2:$R$433,Desconto_Cliente_Mes!$A$2:$A$433,L$18,Desconto_Cliente_Mes!$B$2:$B$433,$A18,Desconto_Cliente_Mes!$C$2:$C$433,"Fibra"))),SUMIFS(Desconto_Cliente_Mes!$S$2:$S$433,Desconto_Cliente_Mes!$A$2:$A$433,L$18,Desconto_Cliente_Mes!$B$2:$B$433,$A18,Desconto_Cliente_Mes!$C$2:$C$433,"Fibra")))-(IF(SUMIFS(Desconto_Cliente_Mes!$R$2:$R$433,Desconto_Cliente_Mes!$A$2:$A$433,L$18,Desconto_Cliente_Mes!$B$2:$B$433,$A18,Desconto_Cliente_Mes!$C$2:$C$433,"Fibra")="",SUMIFS(Desconto_Cliente_Mes!$Q$2:$Q$433,Desconto_Cliente_Mes!$A$2:$A$433,L$18,Desconto_Cliente_Mes!$B$2:$B$433,$A18,Desconto_Cliente_Mes!$C$2:$C$433,"Fibra"),SUMIFS(Desconto_Cliente_Mes!$R$2:$R$433,Desconto_Cliente_Mes!$A$2:$A$433,L$18,Desconto_Cliente_Mes!$B$2:$B$433,$A18,Desconto_Cliente_Mes!$C$2:$C$433,"Fibra"))))*(SUMIFS(Desconto_Cliente_Mes!$T$2:$T$433,Desconto_Cliente_Mes!$A$2:$A$433,L$18,Desconto_Cliente_Mes!$B$2:$B$433,$A18,Desconto_Cliente_Mes!$C$2:$C$433,"Fibra"))</f>
        <v>0</v>
      </c>
      <c r="M26" s="16" t="n">
        <f aca="false">$M$20*($M$23/100)*((IF(SUMIFS(Desconto_Cliente_Mes!$S$2:$S$433,Desconto_Cliente_Mes!$A$2:$A$433,M$18,Desconto_Cliente_Mes!$B$2:$B$433,$A18,Desconto_Cliente_Mes!$C$2:$C$433,"Fibra")="",(IF(SUMIFS(Desconto_Cliente_Mes!$R$2:$R$433,Desconto_Cliente_Mes!$A$2:$A$433,M$18,Desconto_Cliente_Mes!$B$2:$B$433,$A18,Desconto_Cliente_Mes!$C$2:$C$433,"Fibra")="",SUMIFS(Desconto_Cliente_Mes!$Q$2:$Q$433,Desconto_Cliente_Mes!$A$2:$A$433,M$18,Desconto_Cliente_Mes!$B$2:$B$433,$A18,Desconto_Cliente_Mes!$C$2:$C$433,"Fibra"),SUMIFS(Desconto_Cliente_Mes!$R$2:$R$433,Desconto_Cliente_Mes!$A$2:$A$433,M$18,Desconto_Cliente_Mes!$B$2:$B$433,$A18,Desconto_Cliente_Mes!$C$2:$C$433,"Fibra"))),SUMIFS(Desconto_Cliente_Mes!$S$2:$S$433,Desconto_Cliente_Mes!$A$2:$A$433,M$18,Desconto_Cliente_Mes!$B$2:$B$433,$A18,Desconto_Cliente_Mes!$C$2:$C$433,"Fibra")))-(IF(SUMIFS(Desconto_Cliente_Mes!$R$2:$R$433,Desconto_Cliente_Mes!$A$2:$A$433,M$18,Desconto_Cliente_Mes!$B$2:$B$433,$A18,Desconto_Cliente_Mes!$C$2:$C$433,"Fibra")="",SUMIFS(Desconto_Cliente_Mes!$Q$2:$Q$433,Desconto_Cliente_Mes!$A$2:$A$433,M$18,Desconto_Cliente_Mes!$B$2:$B$433,$A18,Desconto_Cliente_Mes!$C$2:$C$433,"Fibra"),SUMIFS(Desconto_Cliente_Mes!$R$2:$R$433,Desconto_Cliente_Mes!$A$2:$A$433,M$18,Desconto_Cliente_Mes!$B$2:$B$433,$A18,Desconto_Cliente_Mes!$C$2:$C$433,"Fibra"))))*(SUMIFS(Desconto_Cliente_Mes!$T$2:$T$433,Desconto_Cliente_Mes!$A$2:$A$433,M$18,Desconto_Cliente_Mes!$B$2:$B$433,$A18,Desconto_Cliente_Mes!$C$2:$C$433,"Fibra"))</f>
        <v>0</v>
      </c>
      <c r="N26" s="17" t="n">
        <f aca="false">SUM(B26:M26)</f>
        <v>0</v>
      </c>
    </row>
    <row r="27" customFormat="false" ht="15" hidden="false" customHeight="false" outlineLevel="0" collapsed="false">
      <c r="A27" s="13" t="s">
        <v>82</v>
      </c>
      <c r="B27" s="16" t="n">
        <f aca="false">SUMIFS(Acerto_Detalhado!$J$2:$J$433,Acerto_Detalhado!$A$2:$A$433,B$18,Acerto_Detalhado!$B$2:$B$433,$A18,Acerto_Detalhado!$C$2:$C$433,"Fibra")</f>
        <v>0</v>
      </c>
      <c r="C27" s="16" t="n">
        <f aca="false">SUMIFS(Acerto_Detalhado!$J$2:$J$433,Acerto_Detalhado!$A$2:$A$433,C$18,Acerto_Detalhado!$B$2:$B$433,$A18,Acerto_Detalhado!$C$2:$C$433,"Fibra")</f>
        <v>7820.56709314821</v>
      </c>
      <c r="D27" s="16" t="n">
        <f aca="false">SUMIFS(Acerto_Detalhado!$J$2:$J$433,Acerto_Detalhado!$A$2:$A$433,D$18,Acerto_Detalhado!$B$2:$B$433,$A18,Acerto_Detalhado!$C$2:$C$433,"Fibra")</f>
        <v>0</v>
      </c>
      <c r="E27" s="16" t="n">
        <f aca="false">SUMIFS(Acerto_Detalhado!$J$2:$J$433,Acerto_Detalhado!$A$2:$A$433,E$18,Acerto_Detalhado!$B$2:$B$433,$A18,Acerto_Detalhado!$C$2:$C$433,"Fibra")</f>
        <v>0</v>
      </c>
      <c r="F27" s="16" t="n">
        <f aca="false">SUMIFS(Acerto_Detalhado!$J$2:$J$433,Acerto_Detalhado!$A$2:$A$433,F$18,Acerto_Detalhado!$B$2:$B$433,$A18,Acerto_Detalhado!$C$2:$C$433,"Fibra")</f>
        <v>13705.6150764416</v>
      </c>
      <c r="G27" s="16" t="n">
        <f aca="false">SUMIFS(Acerto_Detalhado!$J$2:$J$433,Acerto_Detalhado!$A$2:$A$433,G$18,Acerto_Detalhado!$B$2:$B$433,$A18,Acerto_Detalhado!$C$2:$C$433,"Fibra")</f>
        <v>0</v>
      </c>
      <c r="H27" s="16" t="n">
        <f aca="false">SUMIFS(Acerto_Detalhado!$J$2:$J$433,Acerto_Detalhado!$A$2:$A$433,H$18,Acerto_Detalhado!$B$2:$B$433,$A18,Acerto_Detalhado!$C$2:$C$433,"Fibra")</f>
        <v>26181.6531140401</v>
      </c>
      <c r="I27" s="16" t="n">
        <f aca="false">SUMIFS(Acerto_Detalhado!$J$2:$J$433,Acerto_Detalhado!$A$2:$A$433,I$18,Acerto_Detalhado!$B$2:$B$433,$A18,Acerto_Detalhado!$C$2:$C$433,"Fibra")</f>
        <v>0</v>
      </c>
      <c r="J27" s="16" t="n">
        <f aca="false">SUMIFS(Acerto_Detalhado!$J$2:$J$433,Acerto_Detalhado!$A$2:$A$433,J$18,Acerto_Detalhado!$B$2:$B$433,$A18,Acerto_Detalhado!$C$2:$C$433,"Fibra")</f>
        <v>0</v>
      </c>
      <c r="K27" s="16" t="n">
        <f aca="false">SUMIFS(Acerto_Detalhado!$J$2:$J$433,Acerto_Detalhado!$A$2:$A$433,K$18,Acerto_Detalhado!$B$2:$B$433,$A18,Acerto_Detalhado!$C$2:$C$433,"Fibra")</f>
        <v>0</v>
      </c>
      <c r="L27" s="16" t="n">
        <f aca="false">SUMIFS(Acerto_Detalhado!$J$2:$J$433,Acerto_Detalhado!$A$2:$A$433,L$18,Acerto_Detalhado!$B$2:$B$433,$A18,Acerto_Detalhado!$C$2:$C$433,"Fibra")</f>
        <v>0</v>
      </c>
      <c r="M27" s="16" t="n">
        <f aca="false">SUMIFS(Acerto_Detalhado!$J$2:$J$433,Acerto_Detalhado!$A$2:$A$433,M$18,Acerto_Detalhado!$B$2:$B$433,$A18,Acerto_Detalhado!$C$2:$C$433,"Fibra")</f>
        <v>0</v>
      </c>
      <c r="N27" s="17" t="n">
        <f aca="false">SUM(B27:M27)</f>
        <v>47707.8352836299</v>
      </c>
    </row>
    <row r="29" customFormat="false" ht="15" hidden="false" customHeight="false" outlineLevel="0" collapsed="false">
      <c r="A29" s="5" t="s">
        <v>60</v>
      </c>
      <c r="B29" s="6" t="s">
        <v>39</v>
      </c>
      <c r="C29" s="6" t="s">
        <v>40</v>
      </c>
      <c r="D29" s="6" t="s">
        <v>41</v>
      </c>
      <c r="E29" s="6" t="s">
        <v>42</v>
      </c>
      <c r="F29" s="6" t="s">
        <v>43</v>
      </c>
      <c r="G29" s="6" t="s">
        <v>44</v>
      </c>
      <c r="H29" s="6" t="s">
        <v>45</v>
      </c>
      <c r="I29" s="6" t="s">
        <v>46</v>
      </c>
      <c r="J29" s="6" t="s">
        <v>47</v>
      </c>
      <c r="K29" s="6" t="s">
        <v>48</v>
      </c>
      <c r="L29" s="6" t="s">
        <v>49</v>
      </c>
      <c r="M29" s="6" t="s">
        <v>50</v>
      </c>
      <c r="N29" s="6" t="s">
        <v>51</v>
      </c>
    </row>
    <row r="30" customFormat="false" ht="15" hidden="false" customHeight="false" outlineLevel="0" collapsed="false">
      <c r="A30" s="13" t="s">
        <v>74</v>
      </c>
      <c r="B30" s="10" t="str">
        <f aca="false">IF((SUMIFS(Desconto_Cliente_Mes!$D$2:$D$433,Desconto_Cliente_Mes!$A$2:$A$433,B$29,Desconto_Cliente_Mes!$B$2:$B$433,$A29,Desconto_Cliente_Mes!$C$2:$C$433,"Fibra"))=0,"",IFERROR(SUMIFS(Desconto_Cliente_Mes!$E$2:$E$433,Desconto_Cliente_Mes!$A$2:$A$433,B$29,Desconto_Cliente_Mes!$B$2:$B$433,$A29,Desconto_Cliente_Mes!$C$2:$C$433,"Fibra"),""))</f>
        <v/>
      </c>
      <c r="C30" s="10" t="n">
        <f aca="false">IF((SUMIFS(Desconto_Cliente_Mes!$D$2:$D$433,Desconto_Cliente_Mes!$A$2:$A$433,C$29,Desconto_Cliente_Mes!$B$2:$B$433,$A29,Desconto_Cliente_Mes!$C$2:$C$433,"Fibra"))=0,"",IFERROR(SUMIFS(Desconto_Cliente_Mes!$E$2:$E$433,Desconto_Cliente_Mes!$A$2:$A$433,C$29,Desconto_Cliente_Mes!$B$2:$B$433,$A29,Desconto_Cliente_Mes!$C$2:$C$433,"Fibra"),""))</f>
        <v>3.6616401161029</v>
      </c>
      <c r="D30" s="10" t="n">
        <f aca="false">IF((SUMIFS(Desconto_Cliente_Mes!$D$2:$D$433,Desconto_Cliente_Mes!$A$2:$A$433,D$29,Desconto_Cliente_Mes!$B$2:$B$433,$A29,Desconto_Cliente_Mes!$C$2:$C$433,"Fibra"))=0,"",IFERROR(SUMIFS(Desconto_Cliente_Mes!$E$2:$E$433,Desconto_Cliente_Mes!$A$2:$A$433,D$29,Desconto_Cliente_Mes!$B$2:$B$433,$A29,Desconto_Cliente_Mes!$C$2:$C$433,"Fibra"),""))</f>
        <v>3.54249561218116</v>
      </c>
      <c r="E30" s="10" t="n">
        <f aca="false">IF((SUMIFS(Desconto_Cliente_Mes!$D$2:$D$433,Desconto_Cliente_Mes!$A$2:$A$433,E$29,Desconto_Cliente_Mes!$B$2:$B$433,$A29,Desconto_Cliente_Mes!$C$2:$C$433,"Fibra"))=0,"",IFERROR(SUMIFS(Desconto_Cliente_Mes!$E$2:$E$433,Desconto_Cliente_Mes!$A$2:$A$433,E$29,Desconto_Cliente_Mes!$B$2:$B$433,$A29,Desconto_Cliente_Mes!$C$2:$C$433,"Fibra"),""))</f>
        <v>3.73296846037663</v>
      </c>
      <c r="F30" s="10" t="n">
        <f aca="false">IF((SUMIFS(Desconto_Cliente_Mes!$D$2:$D$433,Desconto_Cliente_Mes!$A$2:$A$433,F$29,Desconto_Cliente_Mes!$B$2:$B$433,$A29,Desconto_Cliente_Mes!$C$2:$C$433,"Fibra"))=0,"",IFERROR(SUMIFS(Desconto_Cliente_Mes!$E$2:$E$433,Desconto_Cliente_Mes!$A$2:$A$433,F$29,Desconto_Cliente_Mes!$B$2:$B$433,$A29,Desconto_Cliente_Mes!$C$2:$C$433,"Fibra"),""))</f>
        <v>3.72221019107608</v>
      </c>
      <c r="G30" s="10" t="n">
        <f aca="false">IF((SUMIFS(Desconto_Cliente_Mes!$D$2:$D$433,Desconto_Cliente_Mes!$A$2:$A$433,G$29,Desconto_Cliente_Mes!$B$2:$B$433,$A29,Desconto_Cliente_Mes!$C$2:$C$433,"Fibra"))=0,"",IFERROR(SUMIFS(Desconto_Cliente_Mes!$E$2:$E$433,Desconto_Cliente_Mes!$A$2:$A$433,G$29,Desconto_Cliente_Mes!$B$2:$B$433,$A29,Desconto_Cliente_Mes!$C$2:$C$433,"Fibra"),""))</f>
        <v>3.72735838999216</v>
      </c>
      <c r="H30" s="10" t="n">
        <f aca="false">IF((SUMIFS(Desconto_Cliente_Mes!$D$2:$D$433,Desconto_Cliente_Mes!$A$2:$A$433,H$29,Desconto_Cliente_Mes!$B$2:$B$433,$A29,Desconto_Cliente_Mes!$C$2:$C$433,"Fibra"))=0,"",IFERROR(SUMIFS(Desconto_Cliente_Mes!$E$2:$E$433,Desconto_Cliente_Mes!$A$2:$A$433,H$29,Desconto_Cliente_Mes!$B$2:$B$433,$A29,Desconto_Cliente_Mes!$C$2:$C$433,"Fibra"),""))</f>
        <v>3.52</v>
      </c>
      <c r="I30" s="10" t="str">
        <f aca="false">IF((SUMIFS(Desconto_Cliente_Mes!$D$2:$D$433,Desconto_Cliente_Mes!$A$2:$A$433,I$29,Desconto_Cliente_Mes!$B$2:$B$433,$A29,Desconto_Cliente_Mes!$C$2:$C$433,"Fibra"))=0,"",IFERROR(SUMIFS(Desconto_Cliente_Mes!$E$2:$E$433,Desconto_Cliente_Mes!$A$2:$A$433,I$29,Desconto_Cliente_Mes!$B$2:$B$433,$A29,Desconto_Cliente_Mes!$C$2:$C$433,"Fibra"),""))</f>
        <v/>
      </c>
      <c r="J30" s="10" t="str">
        <f aca="false">IF((SUMIFS(Desconto_Cliente_Mes!$D$2:$D$433,Desconto_Cliente_Mes!$A$2:$A$433,J$29,Desconto_Cliente_Mes!$B$2:$B$433,$A29,Desconto_Cliente_Mes!$C$2:$C$433,"Fibra"))=0,"",IFERROR(SUMIFS(Desconto_Cliente_Mes!$E$2:$E$433,Desconto_Cliente_Mes!$A$2:$A$433,J$29,Desconto_Cliente_Mes!$B$2:$B$433,$A29,Desconto_Cliente_Mes!$C$2:$C$433,"Fibra"),""))</f>
        <v/>
      </c>
      <c r="K30" s="10" t="str">
        <f aca="false">IF((SUMIFS(Desconto_Cliente_Mes!$D$2:$D$433,Desconto_Cliente_Mes!$A$2:$A$433,K$29,Desconto_Cliente_Mes!$B$2:$B$433,$A29,Desconto_Cliente_Mes!$C$2:$C$433,"Fibra"))=0,"",IFERROR(SUMIFS(Desconto_Cliente_Mes!$E$2:$E$433,Desconto_Cliente_Mes!$A$2:$A$433,K$29,Desconto_Cliente_Mes!$B$2:$B$433,$A29,Desconto_Cliente_Mes!$C$2:$C$433,"Fibra"),""))</f>
        <v/>
      </c>
      <c r="L30" s="10" t="str">
        <f aca="false">IF((SUMIFS(Desconto_Cliente_Mes!$D$2:$D$433,Desconto_Cliente_Mes!$A$2:$A$433,L$29,Desconto_Cliente_Mes!$B$2:$B$433,$A29,Desconto_Cliente_Mes!$C$2:$C$433,"Fibra"))=0,"",IFERROR(SUMIFS(Desconto_Cliente_Mes!$E$2:$E$433,Desconto_Cliente_Mes!$A$2:$A$433,L$29,Desconto_Cliente_Mes!$B$2:$B$433,$A29,Desconto_Cliente_Mes!$C$2:$C$433,"Fibra"),""))</f>
        <v/>
      </c>
      <c r="M30" s="10" t="str">
        <f aca="false">IF((SUMIFS(Desconto_Cliente_Mes!$D$2:$D$433,Desconto_Cliente_Mes!$A$2:$A$433,M$29,Desconto_Cliente_Mes!$B$2:$B$433,$A29,Desconto_Cliente_Mes!$C$2:$C$433,"Fibra"))=0,"",IFERROR(SUMIFS(Desconto_Cliente_Mes!$E$2:$E$433,Desconto_Cliente_Mes!$A$2:$A$433,M$29,Desconto_Cliente_Mes!$B$2:$B$433,$A29,Desconto_Cliente_Mes!$C$2:$C$433,"Fibra"),""))</f>
        <v/>
      </c>
      <c r="N30" s="11" t="n">
        <f aca="false">IFERROR(Media_Pool_Mes!E4,"")</f>
        <v>3.70596068520473</v>
      </c>
    </row>
    <row r="31" customFormat="false" ht="15" hidden="false" customHeight="false" outlineLevel="0" collapsed="false">
      <c r="A31" s="13" t="s">
        <v>75</v>
      </c>
      <c r="B31" s="8" t="n">
        <f aca="false">IFERROR(SUMIFS(Desconto_Cliente_Mes!$D$2:$D$433,Desconto_Cliente_Mes!$A$2:$A$433,B$29,Desconto_Cliente_Mes!$B$2:$B$433,$A29,Desconto_Cliente_Mes!$C$2:$C$433,"Fibra"),0)</f>
        <v>0</v>
      </c>
      <c r="C31" s="8" t="n">
        <f aca="false">IFERROR(SUMIFS(Desconto_Cliente_Mes!$D$2:$D$433,Desconto_Cliente_Mes!$A$2:$A$433,C$29,Desconto_Cliente_Mes!$B$2:$B$433,$A29,Desconto_Cliente_Mes!$C$2:$C$433,"Fibra"),0)</f>
        <v>43330.53</v>
      </c>
      <c r="D31" s="8" t="n">
        <f aca="false">IFERROR(SUMIFS(Desconto_Cliente_Mes!$D$2:$D$433,Desconto_Cliente_Mes!$A$2:$A$433,D$29,Desconto_Cliente_Mes!$B$2:$B$433,$A29,Desconto_Cliente_Mes!$C$2:$C$433,"Fibra"),0)</f>
        <v>12278.31</v>
      </c>
      <c r="E31" s="8" t="n">
        <f aca="false">IFERROR(SUMIFS(Desconto_Cliente_Mes!$D$2:$D$433,Desconto_Cliente_Mes!$A$2:$A$433,E$29,Desconto_Cliente_Mes!$B$2:$B$433,$A29,Desconto_Cliente_Mes!$C$2:$C$433,"Fibra"),0)</f>
        <v>60137.37</v>
      </c>
      <c r="F31" s="8" t="n">
        <f aca="false">IFERROR(SUMIFS(Desconto_Cliente_Mes!$D$2:$D$433,Desconto_Cliente_Mes!$A$2:$A$433,F$29,Desconto_Cliente_Mes!$B$2:$B$433,$A29,Desconto_Cliente_Mes!$C$2:$C$433,"Fibra"),0)</f>
        <v>66365.71</v>
      </c>
      <c r="G31" s="8" t="n">
        <f aca="false">IFERROR(SUMIFS(Desconto_Cliente_Mes!$D$2:$D$433,Desconto_Cliente_Mes!$A$2:$A$433,G$29,Desconto_Cliente_Mes!$B$2:$B$433,$A29,Desconto_Cliente_Mes!$C$2:$C$433,"Fibra"),0)</f>
        <v>58475.74</v>
      </c>
      <c r="H31" s="8" t="n">
        <f aca="false">IFERROR(SUMIFS(Desconto_Cliente_Mes!$D$2:$D$433,Desconto_Cliente_Mes!$A$2:$A$433,H$29,Desconto_Cliente_Mes!$B$2:$B$433,$A29,Desconto_Cliente_Mes!$C$2:$C$433,"Fibra"),0)</f>
        <v>141.56</v>
      </c>
      <c r="I31" s="8" t="n">
        <f aca="false">IFERROR(SUMIFS(Desconto_Cliente_Mes!$D$2:$D$433,Desconto_Cliente_Mes!$A$2:$A$433,I$29,Desconto_Cliente_Mes!$B$2:$B$433,$A29,Desconto_Cliente_Mes!$C$2:$C$433,"Fibra"),0)</f>
        <v>0</v>
      </c>
      <c r="J31" s="8" t="n">
        <f aca="false">IFERROR(SUMIFS(Desconto_Cliente_Mes!$D$2:$D$433,Desconto_Cliente_Mes!$A$2:$A$433,J$29,Desconto_Cliente_Mes!$B$2:$B$433,$A29,Desconto_Cliente_Mes!$C$2:$C$433,"Fibra"),0)</f>
        <v>0</v>
      </c>
      <c r="K31" s="8" t="n">
        <f aca="false">IFERROR(SUMIFS(Desconto_Cliente_Mes!$D$2:$D$433,Desconto_Cliente_Mes!$A$2:$A$433,K$29,Desconto_Cliente_Mes!$B$2:$B$433,$A29,Desconto_Cliente_Mes!$C$2:$C$433,"Fibra"),0)</f>
        <v>0</v>
      </c>
      <c r="L31" s="8" t="n">
        <f aca="false">IFERROR(SUMIFS(Desconto_Cliente_Mes!$D$2:$D$433,Desconto_Cliente_Mes!$A$2:$A$433,L$29,Desconto_Cliente_Mes!$B$2:$B$433,$A29,Desconto_Cliente_Mes!$C$2:$C$433,"Fibra"),0)</f>
        <v>0</v>
      </c>
      <c r="M31" s="8" t="n">
        <f aca="false">IFERROR(SUMIFS(Desconto_Cliente_Mes!$D$2:$D$433,Desconto_Cliente_Mes!$A$2:$A$433,M$29,Desconto_Cliente_Mes!$B$2:$B$433,$A29,Desconto_Cliente_Mes!$C$2:$C$433,"Fibra"),0)</f>
        <v>0</v>
      </c>
      <c r="N31" s="9" t="n">
        <f aca="false">SUM(B31:M31)</f>
        <v>240729.22</v>
      </c>
    </row>
    <row r="32" customFormat="false" ht="15" hidden="false" customHeight="false" outlineLevel="0" collapsed="false">
      <c r="A32" s="13" t="s">
        <v>76</v>
      </c>
      <c r="B32" s="15" t="n">
        <f aca="false">MAX(0,(SUMIFS(Desconto_Cliente_Mes!$L$2:$L$433,Desconto_Cliente_Mes!$A$2:$A$433,B$29,Desconto_Cliente_Mes!$B$2:$B$433,$A29,Desconto_Cliente_Mes!$C$2:$C$433,"Fibra"))-(SUMIFS(Desconto_Cliente_Mes!$N$2:$N$433,Desconto_Cliente_Mes!$A$2:$A$433,B$29,Desconto_Cliente_Mes!$B$2:$B$433,$A29,Desconto_Cliente_Mes!$C$2:$C$433,"Fibra")))</f>
        <v>0</v>
      </c>
      <c r="C32" s="15" t="n">
        <f aca="false">MAX(0,(SUMIFS(Desconto_Cliente_Mes!$L$2:$L$433,Desconto_Cliente_Mes!$A$2:$A$433,C$29,Desconto_Cliente_Mes!$B$2:$B$433,$A29,Desconto_Cliente_Mes!$C$2:$C$433,"Fibra"))-(SUMIFS(Desconto_Cliente_Mes!$N$2:$N$433,Desconto_Cliente_Mes!$A$2:$A$433,C$29,Desconto_Cliente_Mes!$B$2:$B$433,$A29,Desconto_Cliente_Mes!$C$2:$C$433,"Fibra")))</f>
        <v>0</v>
      </c>
      <c r="D32" s="15" t="n">
        <f aca="false">MAX(0,(SUMIFS(Desconto_Cliente_Mes!$L$2:$L$433,Desconto_Cliente_Mes!$A$2:$A$433,D$29,Desconto_Cliente_Mes!$B$2:$B$433,$A29,Desconto_Cliente_Mes!$C$2:$C$433,"Fibra"))-(SUMIFS(Desconto_Cliente_Mes!$N$2:$N$433,Desconto_Cliente_Mes!$A$2:$A$433,D$29,Desconto_Cliente_Mes!$B$2:$B$433,$A29,Desconto_Cliente_Mes!$C$2:$C$433,"Fibra")))</f>
        <v>0</v>
      </c>
      <c r="E32" s="15" t="n">
        <f aca="false">MAX(0,(SUMIFS(Desconto_Cliente_Mes!$L$2:$L$433,Desconto_Cliente_Mes!$A$2:$A$433,E$29,Desconto_Cliente_Mes!$B$2:$B$433,$A29,Desconto_Cliente_Mes!$C$2:$C$433,"Fibra"))-(SUMIFS(Desconto_Cliente_Mes!$N$2:$N$433,Desconto_Cliente_Mes!$A$2:$A$433,E$29,Desconto_Cliente_Mes!$B$2:$B$433,$A29,Desconto_Cliente_Mes!$C$2:$C$433,"Fibra")))</f>
        <v>0.0270077751719051</v>
      </c>
      <c r="F32" s="15" t="n">
        <f aca="false">MAX(0,(SUMIFS(Desconto_Cliente_Mes!$L$2:$L$433,Desconto_Cliente_Mes!$A$2:$A$433,F$29,Desconto_Cliente_Mes!$B$2:$B$433,$A29,Desconto_Cliente_Mes!$C$2:$C$433,"Fibra"))-(SUMIFS(Desconto_Cliente_Mes!$N$2:$N$433,Desconto_Cliente_Mes!$A$2:$A$433,F$29,Desconto_Cliente_Mes!$B$2:$B$433,$A29,Desconto_Cliente_Mes!$C$2:$C$433,"Fibra")))</f>
        <v>0.0162495058713548</v>
      </c>
      <c r="G32" s="15" t="n">
        <f aca="false">MAX(0,(SUMIFS(Desconto_Cliente_Mes!$L$2:$L$433,Desconto_Cliente_Mes!$A$2:$A$433,G$29,Desconto_Cliente_Mes!$B$2:$B$433,$A29,Desconto_Cliente_Mes!$C$2:$C$433,"Fibra"))-(SUMIFS(Desconto_Cliente_Mes!$N$2:$N$433,Desconto_Cliente_Mes!$A$2:$A$433,G$29,Desconto_Cliente_Mes!$B$2:$B$433,$A29,Desconto_Cliente_Mes!$C$2:$C$433,"Fibra")))</f>
        <v>0.0213977047874283</v>
      </c>
      <c r="H32" s="15" t="n">
        <f aca="false">MAX(0,(SUMIFS(Desconto_Cliente_Mes!$L$2:$L$433,Desconto_Cliente_Mes!$A$2:$A$433,H$29,Desconto_Cliente_Mes!$B$2:$B$433,$A29,Desconto_Cliente_Mes!$C$2:$C$433,"Fibra"))-(SUMIFS(Desconto_Cliente_Mes!$N$2:$N$433,Desconto_Cliente_Mes!$A$2:$A$433,H$29,Desconto_Cliente_Mes!$B$2:$B$433,$A29,Desconto_Cliente_Mes!$C$2:$C$433,"Fibra")))</f>
        <v>0</v>
      </c>
      <c r="I32" s="15" t="n">
        <f aca="false">MAX(0,(SUMIFS(Desconto_Cliente_Mes!$L$2:$L$433,Desconto_Cliente_Mes!$A$2:$A$433,I$29,Desconto_Cliente_Mes!$B$2:$B$433,$A29,Desconto_Cliente_Mes!$C$2:$C$433,"Fibra"))-(SUMIFS(Desconto_Cliente_Mes!$N$2:$N$433,Desconto_Cliente_Mes!$A$2:$A$433,I$29,Desconto_Cliente_Mes!$B$2:$B$433,$A29,Desconto_Cliente_Mes!$C$2:$C$433,"Fibra")))</f>
        <v>0</v>
      </c>
      <c r="J32" s="15" t="n">
        <f aca="false">MAX(0,(SUMIFS(Desconto_Cliente_Mes!$L$2:$L$433,Desconto_Cliente_Mes!$A$2:$A$433,J$29,Desconto_Cliente_Mes!$B$2:$B$433,$A29,Desconto_Cliente_Mes!$C$2:$C$433,"Fibra"))-(SUMIFS(Desconto_Cliente_Mes!$N$2:$N$433,Desconto_Cliente_Mes!$A$2:$A$433,J$29,Desconto_Cliente_Mes!$B$2:$B$433,$A29,Desconto_Cliente_Mes!$C$2:$C$433,"Fibra")))</f>
        <v>0</v>
      </c>
      <c r="K32" s="15" t="n">
        <f aca="false">MAX(0,(SUMIFS(Desconto_Cliente_Mes!$L$2:$L$433,Desconto_Cliente_Mes!$A$2:$A$433,K$29,Desconto_Cliente_Mes!$B$2:$B$433,$A29,Desconto_Cliente_Mes!$C$2:$C$433,"Fibra"))-(SUMIFS(Desconto_Cliente_Mes!$N$2:$N$433,Desconto_Cliente_Mes!$A$2:$A$433,K$29,Desconto_Cliente_Mes!$B$2:$B$433,$A29,Desconto_Cliente_Mes!$C$2:$C$433,"Fibra")))</f>
        <v>0</v>
      </c>
      <c r="L32" s="15" t="n">
        <f aca="false">MAX(0,(SUMIFS(Desconto_Cliente_Mes!$L$2:$L$433,Desconto_Cliente_Mes!$A$2:$A$433,L$29,Desconto_Cliente_Mes!$B$2:$B$433,$A29,Desconto_Cliente_Mes!$C$2:$C$433,"Fibra"))-(SUMIFS(Desconto_Cliente_Mes!$N$2:$N$433,Desconto_Cliente_Mes!$A$2:$A$433,L$29,Desconto_Cliente_Mes!$B$2:$B$433,$A29,Desconto_Cliente_Mes!$C$2:$C$433,"Fibra")))</f>
        <v>0</v>
      </c>
      <c r="M32" s="15" t="n">
        <f aca="false">MAX(0,(SUMIFS(Desconto_Cliente_Mes!$L$2:$L$433,Desconto_Cliente_Mes!$A$2:$A$433,M$29,Desconto_Cliente_Mes!$B$2:$B$433,$A29,Desconto_Cliente_Mes!$C$2:$C$433,"Fibra"))-(SUMIFS(Desconto_Cliente_Mes!$N$2:$N$433,Desconto_Cliente_Mes!$A$2:$A$433,M$29,Desconto_Cliente_Mes!$B$2:$B$433,$A29,Desconto_Cliente_Mes!$C$2:$C$433,"Fibra")))</f>
        <v>0</v>
      </c>
    </row>
    <row r="33" customFormat="false" ht="15" hidden="false" customHeight="false" outlineLevel="0" collapsed="false">
      <c r="A33" s="13" t="s">
        <v>77</v>
      </c>
      <c r="B33" s="15" t="n">
        <f aca="false">MAX(0,(SUMIFS(Desconto_Cliente_Mes!$N$2:$N$433,Desconto_Cliente_Mes!$A$2:$A$433,B$29,Desconto_Cliente_Mes!$B$2:$B$433,$A29,Desconto_Cliente_Mes!$C$2:$C$433,"Fibra"))-(SUMIFS(Desconto_Cliente_Mes!$P$2:$P$433,Desconto_Cliente_Mes!$A$2:$A$433,B$29,Desconto_Cliente_Mes!$B$2:$B$433,$A29,Desconto_Cliente_Mes!$C$2:$C$433,"Fibra")))</f>
        <v>0</v>
      </c>
      <c r="C33" s="15" t="n">
        <f aca="false">MAX(0,(SUMIFS(Desconto_Cliente_Mes!$N$2:$N$433,Desconto_Cliente_Mes!$A$2:$A$433,C$29,Desconto_Cliente_Mes!$B$2:$B$433,$A29,Desconto_Cliente_Mes!$C$2:$C$433,"Fibra"))-(SUMIFS(Desconto_Cliente_Mes!$P$2:$P$433,Desconto_Cliente_Mes!$A$2:$A$433,C$29,Desconto_Cliente_Mes!$B$2:$B$433,$A29,Desconto_Cliente_Mes!$C$2:$C$433,"Fibra")))</f>
        <v>0</v>
      </c>
      <c r="D33" s="15" t="n">
        <f aca="false">MAX(0,(SUMIFS(Desconto_Cliente_Mes!$N$2:$N$433,Desconto_Cliente_Mes!$A$2:$A$433,D$29,Desconto_Cliente_Mes!$B$2:$B$433,$A29,Desconto_Cliente_Mes!$C$2:$C$433,"Fibra"))-(SUMIFS(Desconto_Cliente_Mes!$P$2:$P$433,Desconto_Cliente_Mes!$A$2:$A$433,D$29,Desconto_Cliente_Mes!$B$2:$B$433,$A29,Desconto_Cliente_Mes!$C$2:$C$433,"Fibra")))</f>
        <v>0</v>
      </c>
      <c r="E33" s="15" t="n">
        <f aca="false">MAX(0,(SUMIFS(Desconto_Cliente_Mes!$N$2:$N$433,Desconto_Cliente_Mes!$A$2:$A$433,E$29,Desconto_Cliente_Mes!$B$2:$B$433,$A29,Desconto_Cliente_Mes!$C$2:$C$433,"Fibra"))-(SUMIFS(Desconto_Cliente_Mes!$P$2:$P$433,Desconto_Cliente_Mes!$A$2:$A$433,E$29,Desconto_Cliente_Mes!$B$2:$B$433,$A29,Desconto_Cliente_Mes!$C$2:$C$433,"Fibra")))</f>
        <v>0</v>
      </c>
      <c r="F33" s="15" t="n">
        <f aca="false">MAX(0,(SUMIFS(Desconto_Cliente_Mes!$N$2:$N$433,Desconto_Cliente_Mes!$A$2:$A$433,F$29,Desconto_Cliente_Mes!$B$2:$B$433,$A29,Desconto_Cliente_Mes!$C$2:$C$433,"Fibra"))-(SUMIFS(Desconto_Cliente_Mes!$P$2:$P$433,Desconto_Cliente_Mes!$A$2:$A$433,F$29,Desconto_Cliente_Mes!$B$2:$B$433,$A29,Desconto_Cliente_Mes!$C$2:$C$433,"Fibra")))</f>
        <v>0</v>
      </c>
      <c r="G33" s="15" t="n">
        <f aca="false">MAX(0,(SUMIFS(Desconto_Cliente_Mes!$N$2:$N$433,Desconto_Cliente_Mes!$A$2:$A$433,G$29,Desconto_Cliente_Mes!$B$2:$B$433,$A29,Desconto_Cliente_Mes!$C$2:$C$433,"Fibra"))-(SUMIFS(Desconto_Cliente_Mes!$P$2:$P$433,Desconto_Cliente_Mes!$A$2:$A$433,G$29,Desconto_Cliente_Mes!$B$2:$B$433,$A29,Desconto_Cliente_Mes!$C$2:$C$433,"Fibra")))</f>
        <v>0</v>
      </c>
      <c r="H33" s="15" t="n">
        <f aca="false">MAX(0,(SUMIFS(Desconto_Cliente_Mes!$N$2:$N$433,Desconto_Cliente_Mes!$A$2:$A$433,H$29,Desconto_Cliente_Mes!$B$2:$B$433,$A29,Desconto_Cliente_Mes!$C$2:$C$433,"Fibra"))-(SUMIFS(Desconto_Cliente_Mes!$P$2:$P$433,Desconto_Cliente_Mes!$A$2:$A$433,H$29,Desconto_Cliente_Mes!$B$2:$B$433,$A29,Desconto_Cliente_Mes!$C$2:$C$433,"Fibra")))</f>
        <v>0</v>
      </c>
      <c r="I33" s="15" t="n">
        <f aca="false">MAX(0,(SUMIFS(Desconto_Cliente_Mes!$N$2:$N$433,Desconto_Cliente_Mes!$A$2:$A$433,I$29,Desconto_Cliente_Mes!$B$2:$B$433,$A29,Desconto_Cliente_Mes!$C$2:$C$433,"Fibra"))-(SUMIFS(Desconto_Cliente_Mes!$P$2:$P$433,Desconto_Cliente_Mes!$A$2:$A$433,I$29,Desconto_Cliente_Mes!$B$2:$B$433,$A29,Desconto_Cliente_Mes!$C$2:$C$433,"Fibra")))</f>
        <v>0</v>
      </c>
      <c r="J33" s="15" t="n">
        <f aca="false">MAX(0,(SUMIFS(Desconto_Cliente_Mes!$N$2:$N$433,Desconto_Cliente_Mes!$A$2:$A$433,J$29,Desconto_Cliente_Mes!$B$2:$B$433,$A29,Desconto_Cliente_Mes!$C$2:$C$433,"Fibra"))-(SUMIFS(Desconto_Cliente_Mes!$P$2:$P$433,Desconto_Cliente_Mes!$A$2:$A$433,J$29,Desconto_Cliente_Mes!$B$2:$B$433,$A29,Desconto_Cliente_Mes!$C$2:$C$433,"Fibra")))</f>
        <v>0</v>
      </c>
      <c r="K33" s="15" t="n">
        <f aca="false">MAX(0,(SUMIFS(Desconto_Cliente_Mes!$N$2:$N$433,Desconto_Cliente_Mes!$A$2:$A$433,K$29,Desconto_Cliente_Mes!$B$2:$B$433,$A29,Desconto_Cliente_Mes!$C$2:$C$433,"Fibra"))-(SUMIFS(Desconto_Cliente_Mes!$P$2:$P$433,Desconto_Cliente_Mes!$A$2:$A$433,K$29,Desconto_Cliente_Mes!$B$2:$B$433,$A29,Desconto_Cliente_Mes!$C$2:$C$433,"Fibra")))</f>
        <v>0</v>
      </c>
      <c r="L33" s="15" t="n">
        <f aca="false">MAX(0,(SUMIFS(Desconto_Cliente_Mes!$N$2:$N$433,Desconto_Cliente_Mes!$A$2:$A$433,L$29,Desconto_Cliente_Mes!$B$2:$B$433,$A29,Desconto_Cliente_Mes!$C$2:$C$433,"Fibra"))-(SUMIFS(Desconto_Cliente_Mes!$P$2:$P$433,Desconto_Cliente_Mes!$A$2:$A$433,L$29,Desconto_Cliente_Mes!$B$2:$B$433,$A29,Desconto_Cliente_Mes!$C$2:$C$433,"Fibra")))</f>
        <v>0</v>
      </c>
      <c r="M33" s="15" t="n">
        <f aca="false">MAX(0,(SUMIFS(Desconto_Cliente_Mes!$N$2:$N$433,Desconto_Cliente_Mes!$A$2:$A$433,M$29,Desconto_Cliente_Mes!$B$2:$B$433,$A29,Desconto_Cliente_Mes!$C$2:$C$433,"Fibra"))-(SUMIFS(Desconto_Cliente_Mes!$P$2:$P$433,Desconto_Cliente_Mes!$A$2:$A$433,M$29,Desconto_Cliente_Mes!$B$2:$B$433,$A29,Desconto_Cliente_Mes!$C$2:$C$433,"Fibra")))</f>
        <v>0</v>
      </c>
    </row>
    <row r="34" customFormat="false" ht="15" hidden="false" customHeight="false" outlineLevel="0" collapsed="false">
      <c r="A34" s="13" t="s">
        <v>78</v>
      </c>
      <c r="B34" s="15" t="n">
        <f aca="false">MAX(0,SUMIFS(Desconto_Cliente_Mes!$P$2:$P$433,Desconto_Cliente_Mes!$A$2:$A$433,B$29,Desconto_Cliente_Mes!$B$2:$B$433,$A29,Desconto_Cliente_Mes!$C$2:$C$433,"Fibra"))</f>
        <v>0</v>
      </c>
      <c r="C34" s="15" t="n">
        <f aca="false">MAX(0,SUMIFS(Desconto_Cliente_Mes!$P$2:$P$433,Desconto_Cliente_Mes!$A$2:$A$433,C$29,Desconto_Cliente_Mes!$B$2:$B$433,$A29,Desconto_Cliente_Mes!$C$2:$C$433,"Fibra"))</f>
        <v>0</v>
      </c>
      <c r="D34" s="15" t="n">
        <f aca="false">MAX(0,SUMIFS(Desconto_Cliente_Mes!$P$2:$P$433,Desconto_Cliente_Mes!$A$2:$A$433,D$29,Desconto_Cliente_Mes!$B$2:$B$433,$A29,Desconto_Cliente_Mes!$C$2:$C$433,"Fibra"))</f>
        <v>0</v>
      </c>
      <c r="E34" s="15" t="n">
        <f aca="false">MAX(0,SUMIFS(Desconto_Cliente_Mes!$P$2:$P$433,Desconto_Cliente_Mes!$A$2:$A$433,E$29,Desconto_Cliente_Mes!$B$2:$B$433,$A29,Desconto_Cliente_Mes!$C$2:$C$433,"Fibra"))</f>
        <v>0</v>
      </c>
      <c r="F34" s="15" t="n">
        <f aca="false">MAX(0,SUMIFS(Desconto_Cliente_Mes!$P$2:$P$433,Desconto_Cliente_Mes!$A$2:$A$433,F$29,Desconto_Cliente_Mes!$B$2:$B$433,$A29,Desconto_Cliente_Mes!$C$2:$C$433,"Fibra"))</f>
        <v>0</v>
      </c>
      <c r="G34" s="15" t="n">
        <f aca="false">MAX(0,SUMIFS(Desconto_Cliente_Mes!$P$2:$P$433,Desconto_Cliente_Mes!$A$2:$A$433,G$29,Desconto_Cliente_Mes!$B$2:$B$433,$A29,Desconto_Cliente_Mes!$C$2:$C$433,"Fibra"))</f>
        <v>0</v>
      </c>
      <c r="H34" s="15" t="n">
        <f aca="false">MAX(0,SUMIFS(Desconto_Cliente_Mes!$P$2:$P$433,Desconto_Cliente_Mes!$A$2:$A$433,H$29,Desconto_Cliente_Mes!$B$2:$B$433,$A29,Desconto_Cliente_Mes!$C$2:$C$433,"Fibra"))</f>
        <v>0</v>
      </c>
      <c r="I34" s="15" t="n">
        <f aca="false">MAX(0,SUMIFS(Desconto_Cliente_Mes!$P$2:$P$433,Desconto_Cliente_Mes!$A$2:$A$433,I$29,Desconto_Cliente_Mes!$B$2:$B$433,$A29,Desconto_Cliente_Mes!$C$2:$C$433,"Fibra"))</f>
        <v>0</v>
      </c>
      <c r="J34" s="15" t="n">
        <f aca="false">MAX(0,SUMIFS(Desconto_Cliente_Mes!$P$2:$P$433,Desconto_Cliente_Mes!$A$2:$A$433,J$29,Desconto_Cliente_Mes!$B$2:$B$433,$A29,Desconto_Cliente_Mes!$C$2:$C$433,"Fibra"))</f>
        <v>0</v>
      </c>
      <c r="K34" s="15" t="n">
        <f aca="false">MAX(0,SUMIFS(Desconto_Cliente_Mes!$P$2:$P$433,Desconto_Cliente_Mes!$A$2:$A$433,K$29,Desconto_Cliente_Mes!$B$2:$B$433,$A29,Desconto_Cliente_Mes!$C$2:$C$433,"Fibra"))</f>
        <v>0</v>
      </c>
      <c r="L34" s="15" t="n">
        <f aca="false">MAX(0,SUMIFS(Desconto_Cliente_Mes!$P$2:$P$433,Desconto_Cliente_Mes!$A$2:$A$433,L$29,Desconto_Cliente_Mes!$B$2:$B$433,$A29,Desconto_Cliente_Mes!$C$2:$C$433,"Fibra"))</f>
        <v>0</v>
      </c>
      <c r="M34" s="15" t="n">
        <f aca="false">MAX(0,SUMIFS(Desconto_Cliente_Mes!$P$2:$P$433,Desconto_Cliente_Mes!$A$2:$A$433,M$29,Desconto_Cliente_Mes!$B$2:$B$433,$A29,Desconto_Cliente_Mes!$C$2:$C$433,"Fibra"))</f>
        <v>0</v>
      </c>
    </row>
    <row r="35" customFormat="false" ht="15" hidden="false" customHeight="false" outlineLevel="0" collapsed="false">
      <c r="A35" s="13" t="s">
        <v>79</v>
      </c>
      <c r="B35" s="16" t="n">
        <f aca="false">$B$31*($B$32/100)*(SUMIFS(Desconto_Cliente_Mes!$Q$2:$Q$433,Desconto_Cliente_Mes!$A$2:$A$433,B$29,Desconto_Cliente_Mes!$B$2:$B$433,$A29,Desconto_Cliente_Mes!$C$2:$C$433,"Fibra"))*(SUMIFS(Desconto_Cliente_Mes!$T$2:$T$433,Desconto_Cliente_Mes!$A$2:$A$433,B$29,Desconto_Cliente_Mes!$B$2:$B$433,$A29,Desconto_Cliente_Mes!$C$2:$C$433,"Fibra"))</f>
        <v>0</v>
      </c>
      <c r="C35" s="16" t="n">
        <f aca="false">$C$31*($C$32/100)*(SUMIFS(Desconto_Cliente_Mes!$Q$2:$Q$433,Desconto_Cliente_Mes!$A$2:$A$433,C$29,Desconto_Cliente_Mes!$B$2:$B$433,$A29,Desconto_Cliente_Mes!$C$2:$C$433,"Fibra"))*(SUMIFS(Desconto_Cliente_Mes!$T$2:$T$433,Desconto_Cliente_Mes!$A$2:$A$433,C$29,Desconto_Cliente_Mes!$B$2:$B$433,$A29,Desconto_Cliente_Mes!$C$2:$C$433,"Fibra"))</f>
        <v>0</v>
      </c>
      <c r="D35" s="16" t="n">
        <f aca="false">$D$31*($D$32/100)*(SUMIFS(Desconto_Cliente_Mes!$Q$2:$Q$433,Desconto_Cliente_Mes!$A$2:$A$433,D$29,Desconto_Cliente_Mes!$B$2:$B$433,$A29,Desconto_Cliente_Mes!$C$2:$C$433,"Fibra"))*(SUMIFS(Desconto_Cliente_Mes!$T$2:$T$433,Desconto_Cliente_Mes!$A$2:$A$433,D$29,Desconto_Cliente_Mes!$B$2:$B$433,$A29,Desconto_Cliente_Mes!$C$2:$C$433,"Fibra"))</f>
        <v>0</v>
      </c>
      <c r="E35" s="16" t="n">
        <f aca="false">$E$31*($E$32/100)*(SUMIFS(Desconto_Cliente_Mes!$Q$2:$Q$433,Desconto_Cliente_Mes!$A$2:$A$433,E$29,Desconto_Cliente_Mes!$B$2:$B$433,$A29,Desconto_Cliente_Mes!$C$2:$C$433,"Fibra"))*(SUMIFS(Desconto_Cliente_Mes!$T$2:$T$433,Desconto_Cliente_Mes!$A$2:$A$433,E$29,Desconto_Cliente_Mes!$B$2:$B$433,$A29,Desconto_Cliente_Mes!$C$2:$C$433,"Fibra"))</f>
        <v>6561.67333629427</v>
      </c>
      <c r="F35" s="16" t="n">
        <f aca="false">$F$31*($F$32/100)*(SUMIFS(Desconto_Cliente_Mes!$Q$2:$Q$433,Desconto_Cliente_Mes!$A$2:$A$433,F$29,Desconto_Cliente_Mes!$B$2:$B$433,$A29,Desconto_Cliente_Mes!$C$2:$C$433,"Fibra"))*(SUMIFS(Desconto_Cliente_Mes!$T$2:$T$433,Desconto_Cliente_Mes!$A$2:$A$433,F$29,Desconto_Cliente_Mes!$B$2:$B$433,$A29,Desconto_Cliente_Mes!$C$2:$C$433,"Fibra"))</f>
        <v>4356.77637697858</v>
      </c>
      <c r="G35" s="16" t="n">
        <f aca="false">$G$31*($G$32/100)*(SUMIFS(Desconto_Cliente_Mes!$Q$2:$Q$433,Desconto_Cliente_Mes!$A$2:$A$433,G$29,Desconto_Cliente_Mes!$B$2:$B$433,$A29,Desconto_Cliente_Mes!$C$2:$C$433,"Fibra"))*(SUMIFS(Desconto_Cliente_Mes!$T$2:$T$433,Desconto_Cliente_Mes!$A$2:$A$433,G$29,Desconto_Cliente_Mes!$B$2:$B$433,$A29,Desconto_Cliente_Mes!$C$2:$C$433,"Fibra"))</f>
        <v>5055.03635185551</v>
      </c>
      <c r="H35" s="16" t="n">
        <f aca="false">$H$31*($H$32/100)*(SUMIFS(Desconto_Cliente_Mes!$Q$2:$Q$433,Desconto_Cliente_Mes!$A$2:$A$433,H$29,Desconto_Cliente_Mes!$B$2:$B$433,$A29,Desconto_Cliente_Mes!$C$2:$C$433,"Fibra"))*(SUMIFS(Desconto_Cliente_Mes!$T$2:$T$433,Desconto_Cliente_Mes!$A$2:$A$433,H$29,Desconto_Cliente_Mes!$B$2:$B$433,$A29,Desconto_Cliente_Mes!$C$2:$C$433,"Fibra"))</f>
        <v>0</v>
      </c>
      <c r="I35" s="16" t="n">
        <f aca="false">$I$31*($I$32/100)*(SUMIFS(Desconto_Cliente_Mes!$Q$2:$Q$433,Desconto_Cliente_Mes!$A$2:$A$433,I$29,Desconto_Cliente_Mes!$B$2:$B$433,$A29,Desconto_Cliente_Mes!$C$2:$C$433,"Fibra"))*(SUMIFS(Desconto_Cliente_Mes!$T$2:$T$433,Desconto_Cliente_Mes!$A$2:$A$433,I$29,Desconto_Cliente_Mes!$B$2:$B$433,$A29,Desconto_Cliente_Mes!$C$2:$C$433,"Fibra"))</f>
        <v>0</v>
      </c>
      <c r="J35" s="16" t="n">
        <f aca="false">$J$31*($J$32/100)*(SUMIFS(Desconto_Cliente_Mes!$Q$2:$Q$433,Desconto_Cliente_Mes!$A$2:$A$433,J$29,Desconto_Cliente_Mes!$B$2:$B$433,$A29,Desconto_Cliente_Mes!$C$2:$C$433,"Fibra"))*(SUMIFS(Desconto_Cliente_Mes!$T$2:$T$433,Desconto_Cliente_Mes!$A$2:$A$433,J$29,Desconto_Cliente_Mes!$B$2:$B$433,$A29,Desconto_Cliente_Mes!$C$2:$C$433,"Fibra"))</f>
        <v>0</v>
      </c>
      <c r="K35" s="16" t="n">
        <f aca="false">$K$31*($K$32/100)*(SUMIFS(Desconto_Cliente_Mes!$Q$2:$Q$433,Desconto_Cliente_Mes!$A$2:$A$433,K$29,Desconto_Cliente_Mes!$B$2:$B$433,$A29,Desconto_Cliente_Mes!$C$2:$C$433,"Fibra"))*(SUMIFS(Desconto_Cliente_Mes!$T$2:$T$433,Desconto_Cliente_Mes!$A$2:$A$433,K$29,Desconto_Cliente_Mes!$B$2:$B$433,$A29,Desconto_Cliente_Mes!$C$2:$C$433,"Fibra"))</f>
        <v>0</v>
      </c>
      <c r="L35" s="16" t="n">
        <f aca="false">$L$31*($L$32/100)*(SUMIFS(Desconto_Cliente_Mes!$Q$2:$Q$433,Desconto_Cliente_Mes!$A$2:$A$433,L$29,Desconto_Cliente_Mes!$B$2:$B$433,$A29,Desconto_Cliente_Mes!$C$2:$C$433,"Fibra"))*(SUMIFS(Desconto_Cliente_Mes!$T$2:$T$433,Desconto_Cliente_Mes!$A$2:$A$433,L$29,Desconto_Cliente_Mes!$B$2:$B$433,$A29,Desconto_Cliente_Mes!$C$2:$C$433,"Fibra"))</f>
        <v>0</v>
      </c>
      <c r="M35" s="16" t="n">
        <f aca="false">$M$31*($M$32/100)*(SUMIFS(Desconto_Cliente_Mes!$Q$2:$Q$433,Desconto_Cliente_Mes!$A$2:$A$433,M$29,Desconto_Cliente_Mes!$B$2:$B$433,$A29,Desconto_Cliente_Mes!$C$2:$C$433,"Fibra"))*(SUMIFS(Desconto_Cliente_Mes!$T$2:$T$433,Desconto_Cliente_Mes!$A$2:$A$433,M$29,Desconto_Cliente_Mes!$B$2:$B$433,$A29,Desconto_Cliente_Mes!$C$2:$C$433,"Fibra"))</f>
        <v>0</v>
      </c>
      <c r="N35" s="17" t="n">
        <f aca="false">SUM(B35:M35)</f>
        <v>15973.4860651284</v>
      </c>
    </row>
    <row r="36" customFormat="false" ht="15" hidden="false" customHeight="false" outlineLevel="0" collapsed="false">
      <c r="A36" s="13" t="s">
        <v>80</v>
      </c>
      <c r="B36" s="16" t="n">
        <f aca="false">$B$31*($B$33/100)*((IF(SUMIFS(Desconto_Cliente_Mes!$R$2:$R$433,Desconto_Cliente_Mes!$A$2:$A$433,B$29,Desconto_Cliente_Mes!$B$2:$B$433,$A29,Desconto_Cliente_Mes!$C$2:$C$433,"Fibra")="",SUMIFS(Desconto_Cliente_Mes!$Q$2:$Q$433,Desconto_Cliente_Mes!$A$2:$A$433,B$29,Desconto_Cliente_Mes!$B$2:$B$433,$A29,Desconto_Cliente_Mes!$C$2:$C$433,"Fibra"),SUMIFS(Desconto_Cliente_Mes!$R$2:$R$433,Desconto_Cliente_Mes!$A$2:$A$433,B$29,Desconto_Cliente_Mes!$B$2:$B$433,$A29,Desconto_Cliente_Mes!$C$2:$C$433,"Fibra")))-(SUMIFS(Desconto_Cliente_Mes!$Q$2:$Q$433,Desconto_Cliente_Mes!$A$2:$A$433,B$29,Desconto_Cliente_Mes!$B$2:$B$433,$A29,Desconto_Cliente_Mes!$C$2:$C$433,"Fibra")))*(SUMIFS(Desconto_Cliente_Mes!$T$2:$T$433,Desconto_Cliente_Mes!$A$2:$A$433,B$29,Desconto_Cliente_Mes!$B$2:$B$433,$A29,Desconto_Cliente_Mes!$C$2:$C$433,"Fibra"))</f>
        <v>0</v>
      </c>
      <c r="C36" s="16" t="n">
        <f aca="false">$C$31*($C$33/100)*((IF(SUMIFS(Desconto_Cliente_Mes!$R$2:$R$433,Desconto_Cliente_Mes!$A$2:$A$433,C$29,Desconto_Cliente_Mes!$B$2:$B$433,$A29,Desconto_Cliente_Mes!$C$2:$C$433,"Fibra")="",SUMIFS(Desconto_Cliente_Mes!$Q$2:$Q$433,Desconto_Cliente_Mes!$A$2:$A$433,C$29,Desconto_Cliente_Mes!$B$2:$B$433,$A29,Desconto_Cliente_Mes!$C$2:$C$433,"Fibra"),SUMIFS(Desconto_Cliente_Mes!$R$2:$R$433,Desconto_Cliente_Mes!$A$2:$A$433,C$29,Desconto_Cliente_Mes!$B$2:$B$433,$A29,Desconto_Cliente_Mes!$C$2:$C$433,"Fibra")))-(SUMIFS(Desconto_Cliente_Mes!$Q$2:$Q$433,Desconto_Cliente_Mes!$A$2:$A$433,C$29,Desconto_Cliente_Mes!$B$2:$B$433,$A29,Desconto_Cliente_Mes!$C$2:$C$433,"Fibra")))*(SUMIFS(Desconto_Cliente_Mes!$T$2:$T$433,Desconto_Cliente_Mes!$A$2:$A$433,C$29,Desconto_Cliente_Mes!$B$2:$B$433,$A29,Desconto_Cliente_Mes!$C$2:$C$433,"Fibra"))</f>
        <v>0</v>
      </c>
      <c r="D36" s="16" t="n">
        <f aca="false">$D$31*($D$33/100)*((IF(SUMIFS(Desconto_Cliente_Mes!$R$2:$R$433,Desconto_Cliente_Mes!$A$2:$A$433,D$29,Desconto_Cliente_Mes!$B$2:$B$433,$A29,Desconto_Cliente_Mes!$C$2:$C$433,"Fibra")="",SUMIFS(Desconto_Cliente_Mes!$Q$2:$Q$433,Desconto_Cliente_Mes!$A$2:$A$433,D$29,Desconto_Cliente_Mes!$B$2:$B$433,$A29,Desconto_Cliente_Mes!$C$2:$C$433,"Fibra"),SUMIFS(Desconto_Cliente_Mes!$R$2:$R$433,Desconto_Cliente_Mes!$A$2:$A$433,D$29,Desconto_Cliente_Mes!$B$2:$B$433,$A29,Desconto_Cliente_Mes!$C$2:$C$433,"Fibra")))-(SUMIFS(Desconto_Cliente_Mes!$Q$2:$Q$433,Desconto_Cliente_Mes!$A$2:$A$433,D$29,Desconto_Cliente_Mes!$B$2:$B$433,$A29,Desconto_Cliente_Mes!$C$2:$C$433,"Fibra")))*(SUMIFS(Desconto_Cliente_Mes!$T$2:$T$433,Desconto_Cliente_Mes!$A$2:$A$433,D$29,Desconto_Cliente_Mes!$B$2:$B$433,$A29,Desconto_Cliente_Mes!$C$2:$C$433,"Fibra"))</f>
        <v>0</v>
      </c>
      <c r="E36" s="16" t="n">
        <f aca="false">$E$31*($E$33/100)*((IF(SUMIFS(Desconto_Cliente_Mes!$R$2:$R$433,Desconto_Cliente_Mes!$A$2:$A$433,E$29,Desconto_Cliente_Mes!$B$2:$B$433,$A29,Desconto_Cliente_Mes!$C$2:$C$433,"Fibra")="",SUMIFS(Desconto_Cliente_Mes!$Q$2:$Q$433,Desconto_Cliente_Mes!$A$2:$A$433,E$29,Desconto_Cliente_Mes!$B$2:$B$433,$A29,Desconto_Cliente_Mes!$C$2:$C$433,"Fibra"),SUMIFS(Desconto_Cliente_Mes!$R$2:$R$433,Desconto_Cliente_Mes!$A$2:$A$433,E$29,Desconto_Cliente_Mes!$B$2:$B$433,$A29,Desconto_Cliente_Mes!$C$2:$C$433,"Fibra")))-(SUMIFS(Desconto_Cliente_Mes!$Q$2:$Q$433,Desconto_Cliente_Mes!$A$2:$A$433,E$29,Desconto_Cliente_Mes!$B$2:$B$433,$A29,Desconto_Cliente_Mes!$C$2:$C$433,"Fibra")))*(SUMIFS(Desconto_Cliente_Mes!$T$2:$T$433,Desconto_Cliente_Mes!$A$2:$A$433,E$29,Desconto_Cliente_Mes!$B$2:$B$433,$A29,Desconto_Cliente_Mes!$C$2:$C$433,"Fibra"))</f>
        <v>0</v>
      </c>
      <c r="F36" s="16" t="n">
        <f aca="false">$F$31*($F$33/100)*((IF(SUMIFS(Desconto_Cliente_Mes!$R$2:$R$433,Desconto_Cliente_Mes!$A$2:$A$433,F$29,Desconto_Cliente_Mes!$B$2:$B$433,$A29,Desconto_Cliente_Mes!$C$2:$C$433,"Fibra")="",SUMIFS(Desconto_Cliente_Mes!$Q$2:$Q$433,Desconto_Cliente_Mes!$A$2:$A$433,F$29,Desconto_Cliente_Mes!$B$2:$B$433,$A29,Desconto_Cliente_Mes!$C$2:$C$433,"Fibra"),SUMIFS(Desconto_Cliente_Mes!$R$2:$R$433,Desconto_Cliente_Mes!$A$2:$A$433,F$29,Desconto_Cliente_Mes!$B$2:$B$433,$A29,Desconto_Cliente_Mes!$C$2:$C$433,"Fibra")))-(SUMIFS(Desconto_Cliente_Mes!$Q$2:$Q$433,Desconto_Cliente_Mes!$A$2:$A$433,F$29,Desconto_Cliente_Mes!$B$2:$B$433,$A29,Desconto_Cliente_Mes!$C$2:$C$433,"Fibra")))*(SUMIFS(Desconto_Cliente_Mes!$T$2:$T$433,Desconto_Cliente_Mes!$A$2:$A$433,F$29,Desconto_Cliente_Mes!$B$2:$B$433,$A29,Desconto_Cliente_Mes!$C$2:$C$433,"Fibra"))</f>
        <v>0</v>
      </c>
      <c r="G36" s="16" t="n">
        <f aca="false">$G$31*($G$33/100)*((IF(SUMIFS(Desconto_Cliente_Mes!$R$2:$R$433,Desconto_Cliente_Mes!$A$2:$A$433,G$29,Desconto_Cliente_Mes!$B$2:$B$433,$A29,Desconto_Cliente_Mes!$C$2:$C$433,"Fibra")="",SUMIFS(Desconto_Cliente_Mes!$Q$2:$Q$433,Desconto_Cliente_Mes!$A$2:$A$433,G$29,Desconto_Cliente_Mes!$B$2:$B$433,$A29,Desconto_Cliente_Mes!$C$2:$C$433,"Fibra"),SUMIFS(Desconto_Cliente_Mes!$R$2:$R$433,Desconto_Cliente_Mes!$A$2:$A$433,G$29,Desconto_Cliente_Mes!$B$2:$B$433,$A29,Desconto_Cliente_Mes!$C$2:$C$433,"Fibra")))-(SUMIFS(Desconto_Cliente_Mes!$Q$2:$Q$433,Desconto_Cliente_Mes!$A$2:$A$433,G$29,Desconto_Cliente_Mes!$B$2:$B$433,$A29,Desconto_Cliente_Mes!$C$2:$C$433,"Fibra")))*(SUMIFS(Desconto_Cliente_Mes!$T$2:$T$433,Desconto_Cliente_Mes!$A$2:$A$433,G$29,Desconto_Cliente_Mes!$B$2:$B$433,$A29,Desconto_Cliente_Mes!$C$2:$C$433,"Fibra"))</f>
        <v>0</v>
      </c>
      <c r="H36" s="16" t="n">
        <f aca="false">$H$31*($H$33/100)*((IF(SUMIFS(Desconto_Cliente_Mes!$R$2:$R$433,Desconto_Cliente_Mes!$A$2:$A$433,H$29,Desconto_Cliente_Mes!$B$2:$B$433,$A29,Desconto_Cliente_Mes!$C$2:$C$433,"Fibra")="",SUMIFS(Desconto_Cliente_Mes!$Q$2:$Q$433,Desconto_Cliente_Mes!$A$2:$A$433,H$29,Desconto_Cliente_Mes!$B$2:$B$433,$A29,Desconto_Cliente_Mes!$C$2:$C$433,"Fibra"),SUMIFS(Desconto_Cliente_Mes!$R$2:$R$433,Desconto_Cliente_Mes!$A$2:$A$433,H$29,Desconto_Cliente_Mes!$B$2:$B$433,$A29,Desconto_Cliente_Mes!$C$2:$C$433,"Fibra")))-(SUMIFS(Desconto_Cliente_Mes!$Q$2:$Q$433,Desconto_Cliente_Mes!$A$2:$A$433,H$29,Desconto_Cliente_Mes!$B$2:$B$433,$A29,Desconto_Cliente_Mes!$C$2:$C$433,"Fibra")))*(SUMIFS(Desconto_Cliente_Mes!$T$2:$T$433,Desconto_Cliente_Mes!$A$2:$A$433,H$29,Desconto_Cliente_Mes!$B$2:$B$433,$A29,Desconto_Cliente_Mes!$C$2:$C$433,"Fibra"))</f>
        <v>0</v>
      </c>
      <c r="I36" s="16" t="n">
        <f aca="false">$I$31*($I$33/100)*((IF(SUMIFS(Desconto_Cliente_Mes!$R$2:$R$433,Desconto_Cliente_Mes!$A$2:$A$433,I$29,Desconto_Cliente_Mes!$B$2:$B$433,$A29,Desconto_Cliente_Mes!$C$2:$C$433,"Fibra")="",SUMIFS(Desconto_Cliente_Mes!$Q$2:$Q$433,Desconto_Cliente_Mes!$A$2:$A$433,I$29,Desconto_Cliente_Mes!$B$2:$B$433,$A29,Desconto_Cliente_Mes!$C$2:$C$433,"Fibra"),SUMIFS(Desconto_Cliente_Mes!$R$2:$R$433,Desconto_Cliente_Mes!$A$2:$A$433,I$29,Desconto_Cliente_Mes!$B$2:$B$433,$A29,Desconto_Cliente_Mes!$C$2:$C$433,"Fibra")))-(SUMIFS(Desconto_Cliente_Mes!$Q$2:$Q$433,Desconto_Cliente_Mes!$A$2:$A$433,I$29,Desconto_Cliente_Mes!$B$2:$B$433,$A29,Desconto_Cliente_Mes!$C$2:$C$433,"Fibra")))*(SUMIFS(Desconto_Cliente_Mes!$T$2:$T$433,Desconto_Cliente_Mes!$A$2:$A$433,I$29,Desconto_Cliente_Mes!$B$2:$B$433,$A29,Desconto_Cliente_Mes!$C$2:$C$433,"Fibra"))</f>
        <v>0</v>
      </c>
      <c r="J36" s="16" t="n">
        <f aca="false">$J$31*($J$33/100)*((IF(SUMIFS(Desconto_Cliente_Mes!$R$2:$R$433,Desconto_Cliente_Mes!$A$2:$A$433,J$29,Desconto_Cliente_Mes!$B$2:$B$433,$A29,Desconto_Cliente_Mes!$C$2:$C$433,"Fibra")="",SUMIFS(Desconto_Cliente_Mes!$Q$2:$Q$433,Desconto_Cliente_Mes!$A$2:$A$433,J$29,Desconto_Cliente_Mes!$B$2:$B$433,$A29,Desconto_Cliente_Mes!$C$2:$C$433,"Fibra"),SUMIFS(Desconto_Cliente_Mes!$R$2:$R$433,Desconto_Cliente_Mes!$A$2:$A$433,J$29,Desconto_Cliente_Mes!$B$2:$B$433,$A29,Desconto_Cliente_Mes!$C$2:$C$433,"Fibra")))-(SUMIFS(Desconto_Cliente_Mes!$Q$2:$Q$433,Desconto_Cliente_Mes!$A$2:$A$433,J$29,Desconto_Cliente_Mes!$B$2:$B$433,$A29,Desconto_Cliente_Mes!$C$2:$C$433,"Fibra")))*(SUMIFS(Desconto_Cliente_Mes!$T$2:$T$433,Desconto_Cliente_Mes!$A$2:$A$433,J$29,Desconto_Cliente_Mes!$B$2:$B$433,$A29,Desconto_Cliente_Mes!$C$2:$C$433,"Fibra"))</f>
        <v>0</v>
      </c>
      <c r="K36" s="16" t="n">
        <f aca="false">$K$31*($K$33/100)*((IF(SUMIFS(Desconto_Cliente_Mes!$R$2:$R$433,Desconto_Cliente_Mes!$A$2:$A$433,K$29,Desconto_Cliente_Mes!$B$2:$B$433,$A29,Desconto_Cliente_Mes!$C$2:$C$433,"Fibra")="",SUMIFS(Desconto_Cliente_Mes!$Q$2:$Q$433,Desconto_Cliente_Mes!$A$2:$A$433,K$29,Desconto_Cliente_Mes!$B$2:$B$433,$A29,Desconto_Cliente_Mes!$C$2:$C$433,"Fibra"),SUMIFS(Desconto_Cliente_Mes!$R$2:$R$433,Desconto_Cliente_Mes!$A$2:$A$433,K$29,Desconto_Cliente_Mes!$B$2:$B$433,$A29,Desconto_Cliente_Mes!$C$2:$C$433,"Fibra")))-(SUMIFS(Desconto_Cliente_Mes!$Q$2:$Q$433,Desconto_Cliente_Mes!$A$2:$A$433,K$29,Desconto_Cliente_Mes!$B$2:$B$433,$A29,Desconto_Cliente_Mes!$C$2:$C$433,"Fibra")))*(SUMIFS(Desconto_Cliente_Mes!$T$2:$T$433,Desconto_Cliente_Mes!$A$2:$A$433,K$29,Desconto_Cliente_Mes!$B$2:$B$433,$A29,Desconto_Cliente_Mes!$C$2:$C$433,"Fibra"))</f>
        <v>0</v>
      </c>
      <c r="L36" s="16" t="n">
        <f aca="false">$L$31*($L$33/100)*((IF(SUMIFS(Desconto_Cliente_Mes!$R$2:$R$433,Desconto_Cliente_Mes!$A$2:$A$433,L$29,Desconto_Cliente_Mes!$B$2:$B$433,$A29,Desconto_Cliente_Mes!$C$2:$C$433,"Fibra")="",SUMIFS(Desconto_Cliente_Mes!$Q$2:$Q$433,Desconto_Cliente_Mes!$A$2:$A$433,L$29,Desconto_Cliente_Mes!$B$2:$B$433,$A29,Desconto_Cliente_Mes!$C$2:$C$433,"Fibra"),SUMIFS(Desconto_Cliente_Mes!$R$2:$R$433,Desconto_Cliente_Mes!$A$2:$A$433,L$29,Desconto_Cliente_Mes!$B$2:$B$433,$A29,Desconto_Cliente_Mes!$C$2:$C$433,"Fibra")))-(SUMIFS(Desconto_Cliente_Mes!$Q$2:$Q$433,Desconto_Cliente_Mes!$A$2:$A$433,L$29,Desconto_Cliente_Mes!$B$2:$B$433,$A29,Desconto_Cliente_Mes!$C$2:$C$433,"Fibra")))*(SUMIFS(Desconto_Cliente_Mes!$T$2:$T$433,Desconto_Cliente_Mes!$A$2:$A$433,L$29,Desconto_Cliente_Mes!$B$2:$B$433,$A29,Desconto_Cliente_Mes!$C$2:$C$433,"Fibra"))</f>
        <v>0</v>
      </c>
      <c r="M36" s="16" t="n">
        <f aca="false">$M$31*($M$33/100)*((IF(SUMIFS(Desconto_Cliente_Mes!$R$2:$R$433,Desconto_Cliente_Mes!$A$2:$A$433,M$29,Desconto_Cliente_Mes!$B$2:$B$433,$A29,Desconto_Cliente_Mes!$C$2:$C$433,"Fibra")="",SUMIFS(Desconto_Cliente_Mes!$Q$2:$Q$433,Desconto_Cliente_Mes!$A$2:$A$433,M$29,Desconto_Cliente_Mes!$B$2:$B$433,$A29,Desconto_Cliente_Mes!$C$2:$C$433,"Fibra"),SUMIFS(Desconto_Cliente_Mes!$R$2:$R$433,Desconto_Cliente_Mes!$A$2:$A$433,M$29,Desconto_Cliente_Mes!$B$2:$B$433,$A29,Desconto_Cliente_Mes!$C$2:$C$433,"Fibra")))-(SUMIFS(Desconto_Cliente_Mes!$Q$2:$Q$433,Desconto_Cliente_Mes!$A$2:$A$433,M$29,Desconto_Cliente_Mes!$B$2:$B$433,$A29,Desconto_Cliente_Mes!$C$2:$C$433,"Fibra")))*(SUMIFS(Desconto_Cliente_Mes!$T$2:$T$433,Desconto_Cliente_Mes!$A$2:$A$433,M$29,Desconto_Cliente_Mes!$B$2:$B$433,$A29,Desconto_Cliente_Mes!$C$2:$C$433,"Fibra"))</f>
        <v>0</v>
      </c>
      <c r="N36" s="17" t="n">
        <f aca="false">SUM(B36:M36)</f>
        <v>0</v>
      </c>
    </row>
    <row r="37" customFormat="false" ht="15" hidden="false" customHeight="false" outlineLevel="0" collapsed="false">
      <c r="A37" s="13" t="s">
        <v>81</v>
      </c>
      <c r="B37" s="16" t="n">
        <f aca="false">$B$31*($B$34/100)*((IF(SUMIFS(Desconto_Cliente_Mes!$S$2:$S$433,Desconto_Cliente_Mes!$A$2:$A$433,B$29,Desconto_Cliente_Mes!$B$2:$B$433,$A29,Desconto_Cliente_Mes!$C$2:$C$433,"Fibra")="",(IF(SUMIFS(Desconto_Cliente_Mes!$R$2:$R$433,Desconto_Cliente_Mes!$A$2:$A$433,B$29,Desconto_Cliente_Mes!$B$2:$B$433,$A29,Desconto_Cliente_Mes!$C$2:$C$433,"Fibra")="",SUMIFS(Desconto_Cliente_Mes!$Q$2:$Q$433,Desconto_Cliente_Mes!$A$2:$A$433,B$29,Desconto_Cliente_Mes!$B$2:$B$433,$A29,Desconto_Cliente_Mes!$C$2:$C$433,"Fibra"),SUMIFS(Desconto_Cliente_Mes!$R$2:$R$433,Desconto_Cliente_Mes!$A$2:$A$433,B$29,Desconto_Cliente_Mes!$B$2:$B$433,$A29,Desconto_Cliente_Mes!$C$2:$C$433,"Fibra"))),SUMIFS(Desconto_Cliente_Mes!$S$2:$S$433,Desconto_Cliente_Mes!$A$2:$A$433,B$29,Desconto_Cliente_Mes!$B$2:$B$433,$A29,Desconto_Cliente_Mes!$C$2:$C$433,"Fibra")))-(IF(SUMIFS(Desconto_Cliente_Mes!$R$2:$R$433,Desconto_Cliente_Mes!$A$2:$A$433,B$29,Desconto_Cliente_Mes!$B$2:$B$433,$A29,Desconto_Cliente_Mes!$C$2:$C$433,"Fibra")="",SUMIFS(Desconto_Cliente_Mes!$Q$2:$Q$433,Desconto_Cliente_Mes!$A$2:$A$433,B$29,Desconto_Cliente_Mes!$B$2:$B$433,$A29,Desconto_Cliente_Mes!$C$2:$C$433,"Fibra"),SUMIFS(Desconto_Cliente_Mes!$R$2:$R$433,Desconto_Cliente_Mes!$A$2:$A$433,B$29,Desconto_Cliente_Mes!$B$2:$B$433,$A29,Desconto_Cliente_Mes!$C$2:$C$433,"Fibra"))))*(SUMIFS(Desconto_Cliente_Mes!$T$2:$T$433,Desconto_Cliente_Mes!$A$2:$A$433,B$29,Desconto_Cliente_Mes!$B$2:$B$433,$A29,Desconto_Cliente_Mes!$C$2:$C$433,"Fibra"))</f>
        <v>0</v>
      </c>
      <c r="C37" s="16" t="n">
        <f aca="false">$C$31*($C$34/100)*((IF(SUMIFS(Desconto_Cliente_Mes!$S$2:$S$433,Desconto_Cliente_Mes!$A$2:$A$433,C$29,Desconto_Cliente_Mes!$B$2:$B$433,$A29,Desconto_Cliente_Mes!$C$2:$C$433,"Fibra")="",(IF(SUMIFS(Desconto_Cliente_Mes!$R$2:$R$433,Desconto_Cliente_Mes!$A$2:$A$433,C$29,Desconto_Cliente_Mes!$B$2:$B$433,$A29,Desconto_Cliente_Mes!$C$2:$C$433,"Fibra")="",SUMIFS(Desconto_Cliente_Mes!$Q$2:$Q$433,Desconto_Cliente_Mes!$A$2:$A$433,C$29,Desconto_Cliente_Mes!$B$2:$B$433,$A29,Desconto_Cliente_Mes!$C$2:$C$433,"Fibra"),SUMIFS(Desconto_Cliente_Mes!$R$2:$R$433,Desconto_Cliente_Mes!$A$2:$A$433,C$29,Desconto_Cliente_Mes!$B$2:$B$433,$A29,Desconto_Cliente_Mes!$C$2:$C$433,"Fibra"))),SUMIFS(Desconto_Cliente_Mes!$S$2:$S$433,Desconto_Cliente_Mes!$A$2:$A$433,C$29,Desconto_Cliente_Mes!$B$2:$B$433,$A29,Desconto_Cliente_Mes!$C$2:$C$433,"Fibra")))-(IF(SUMIFS(Desconto_Cliente_Mes!$R$2:$R$433,Desconto_Cliente_Mes!$A$2:$A$433,C$29,Desconto_Cliente_Mes!$B$2:$B$433,$A29,Desconto_Cliente_Mes!$C$2:$C$433,"Fibra")="",SUMIFS(Desconto_Cliente_Mes!$Q$2:$Q$433,Desconto_Cliente_Mes!$A$2:$A$433,C$29,Desconto_Cliente_Mes!$B$2:$B$433,$A29,Desconto_Cliente_Mes!$C$2:$C$433,"Fibra"),SUMIFS(Desconto_Cliente_Mes!$R$2:$R$433,Desconto_Cliente_Mes!$A$2:$A$433,C$29,Desconto_Cliente_Mes!$B$2:$B$433,$A29,Desconto_Cliente_Mes!$C$2:$C$433,"Fibra"))))*(SUMIFS(Desconto_Cliente_Mes!$T$2:$T$433,Desconto_Cliente_Mes!$A$2:$A$433,C$29,Desconto_Cliente_Mes!$B$2:$B$433,$A29,Desconto_Cliente_Mes!$C$2:$C$433,"Fibra"))</f>
        <v>0</v>
      </c>
      <c r="D37" s="16" t="n">
        <f aca="false">$D$31*($D$34/100)*((IF(SUMIFS(Desconto_Cliente_Mes!$S$2:$S$433,Desconto_Cliente_Mes!$A$2:$A$433,D$29,Desconto_Cliente_Mes!$B$2:$B$433,$A29,Desconto_Cliente_Mes!$C$2:$C$433,"Fibra")="",(IF(SUMIFS(Desconto_Cliente_Mes!$R$2:$R$433,Desconto_Cliente_Mes!$A$2:$A$433,D$29,Desconto_Cliente_Mes!$B$2:$B$433,$A29,Desconto_Cliente_Mes!$C$2:$C$433,"Fibra")="",SUMIFS(Desconto_Cliente_Mes!$Q$2:$Q$433,Desconto_Cliente_Mes!$A$2:$A$433,D$29,Desconto_Cliente_Mes!$B$2:$B$433,$A29,Desconto_Cliente_Mes!$C$2:$C$433,"Fibra"),SUMIFS(Desconto_Cliente_Mes!$R$2:$R$433,Desconto_Cliente_Mes!$A$2:$A$433,D$29,Desconto_Cliente_Mes!$B$2:$B$433,$A29,Desconto_Cliente_Mes!$C$2:$C$433,"Fibra"))),SUMIFS(Desconto_Cliente_Mes!$S$2:$S$433,Desconto_Cliente_Mes!$A$2:$A$433,D$29,Desconto_Cliente_Mes!$B$2:$B$433,$A29,Desconto_Cliente_Mes!$C$2:$C$433,"Fibra")))-(IF(SUMIFS(Desconto_Cliente_Mes!$R$2:$R$433,Desconto_Cliente_Mes!$A$2:$A$433,D$29,Desconto_Cliente_Mes!$B$2:$B$433,$A29,Desconto_Cliente_Mes!$C$2:$C$433,"Fibra")="",SUMIFS(Desconto_Cliente_Mes!$Q$2:$Q$433,Desconto_Cliente_Mes!$A$2:$A$433,D$29,Desconto_Cliente_Mes!$B$2:$B$433,$A29,Desconto_Cliente_Mes!$C$2:$C$433,"Fibra"),SUMIFS(Desconto_Cliente_Mes!$R$2:$R$433,Desconto_Cliente_Mes!$A$2:$A$433,D$29,Desconto_Cliente_Mes!$B$2:$B$433,$A29,Desconto_Cliente_Mes!$C$2:$C$433,"Fibra"))))*(SUMIFS(Desconto_Cliente_Mes!$T$2:$T$433,Desconto_Cliente_Mes!$A$2:$A$433,D$29,Desconto_Cliente_Mes!$B$2:$B$433,$A29,Desconto_Cliente_Mes!$C$2:$C$433,"Fibra"))</f>
        <v>0</v>
      </c>
      <c r="E37" s="16" t="n">
        <f aca="false">$E$31*($E$34/100)*((IF(SUMIFS(Desconto_Cliente_Mes!$S$2:$S$433,Desconto_Cliente_Mes!$A$2:$A$433,E$29,Desconto_Cliente_Mes!$B$2:$B$433,$A29,Desconto_Cliente_Mes!$C$2:$C$433,"Fibra")="",(IF(SUMIFS(Desconto_Cliente_Mes!$R$2:$R$433,Desconto_Cliente_Mes!$A$2:$A$433,E$29,Desconto_Cliente_Mes!$B$2:$B$433,$A29,Desconto_Cliente_Mes!$C$2:$C$433,"Fibra")="",SUMIFS(Desconto_Cliente_Mes!$Q$2:$Q$433,Desconto_Cliente_Mes!$A$2:$A$433,E$29,Desconto_Cliente_Mes!$B$2:$B$433,$A29,Desconto_Cliente_Mes!$C$2:$C$433,"Fibra"),SUMIFS(Desconto_Cliente_Mes!$R$2:$R$433,Desconto_Cliente_Mes!$A$2:$A$433,E$29,Desconto_Cliente_Mes!$B$2:$B$433,$A29,Desconto_Cliente_Mes!$C$2:$C$433,"Fibra"))),SUMIFS(Desconto_Cliente_Mes!$S$2:$S$433,Desconto_Cliente_Mes!$A$2:$A$433,E$29,Desconto_Cliente_Mes!$B$2:$B$433,$A29,Desconto_Cliente_Mes!$C$2:$C$433,"Fibra")))-(IF(SUMIFS(Desconto_Cliente_Mes!$R$2:$R$433,Desconto_Cliente_Mes!$A$2:$A$433,E$29,Desconto_Cliente_Mes!$B$2:$B$433,$A29,Desconto_Cliente_Mes!$C$2:$C$433,"Fibra")="",SUMIFS(Desconto_Cliente_Mes!$Q$2:$Q$433,Desconto_Cliente_Mes!$A$2:$A$433,E$29,Desconto_Cliente_Mes!$B$2:$B$433,$A29,Desconto_Cliente_Mes!$C$2:$C$433,"Fibra"),SUMIFS(Desconto_Cliente_Mes!$R$2:$R$433,Desconto_Cliente_Mes!$A$2:$A$433,E$29,Desconto_Cliente_Mes!$B$2:$B$433,$A29,Desconto_Cliente_Mes!$C$2:$C$433,"Fibra"))))*(SUMIFS(Desconto_Cliente_Mes!$T$2:$T$433,Desconto_Cliente_Mes!$A$2:$A$433,E$29,Desconto_Cliente_Mes!$B$2:$B$433,$A29,Desconto_Cliente_Mes!$C$2:$C$433,"Fibra"))</f>
        <v>0</v>
      </c>
      <c r="F37" s="16" t="n">
        <f aca="false">$F$31*($F$34/100)*((IF(SUMIFS(Desconto_Cliente_Mes!$S$2:$S$433,Desconto_Cliente_Mes!$A$2:$A$433,F$29,Desconto_Cliente_Mes!$B$2:$B$433,$A29,Desconto_Cliente_Mes!$C$2:$C$433,"Fibra")="",(IF(SUMIFS(Desconto_Cliente_Mes!$R$2:$R$433,Desconto_Cliente_Mes!$A$2:$A$433,F$29,Desconto_Cliente_Mes!$B$2:$B$433,$A29,Desconto_Cliente_Mes!$C$2:$C$433,"Fibra")="",SUMIFS(Desconto_Cliente_Mes!$Q$2:$Q$433,Desconto_Cliente_Mes!$A$2:$A$433,F$29,Desconto_Cliente_Mes!$B$2:$B$433,$A29,Desconto_Cliente_Mes!$C$2:$C$433,"Fibra"),SUMIFS(Desconto_Cliente_Mes!$R$2:$R$433,Desconto_Cliente_Mes!$A$2:$A$433,F$29,Desconto_Cliente_Mes!$B$2:$B$433,$A29,Desconto_Cliente_Mes!$C$2:$C$433,"Fibra"))),SUMIFS(Desconto_Cliente_Mes!$S$2:$S$433,Desconto_Cliente_Mes!$A$2:$A$433,F$29,Desconto_Cliente_Mes!$B$2:$B$433,$A29,Desconto_Cliente_Mes!$C$2:$C$433,"Fibra")))-(IF(SUMIFS(Desconto_Cliente_Mes!$R$2:$R$433,Desconto_Cliente_Mes!$A$2:$A$433,F$29,Desconto_Cliente_Mes!$B$2:$B$433,$A29,Desconto_Cliente_Mes!$C$2:$C$433,"Fibra")="",SUMIFS(Desconto_Cliente_Mes!$Q$2:$Q$433,Desconto_Cliente_Mes!$A$2:$A$433,F$29,Desconto_Cliente_Mes!$B$2:$B$433,$A29,Desconto_Cliente_Mes!$C$2:$C$433,"Fibra"),SUMIFS(Desconto_Cliente_Mes!$R$2:$R$433,Desconto_Cliente_Mes!$A$2:$A$433,F$29,Desconto_Cliente_Mes!$B$2:$B$433,$A29,Desconto_Cliente_Mes!$C$2:$C$433,"Fibra"))))*(SUMIFS(Desconto_Cliente_Mes!$T$2:$T$433,Desconto_Cliente_Mes!$A$2:$A$433,F$29,Desconto_Cliente_Mes!$B$2:$B$433,$A29,Desconto_Cliente_Mes!$C$2:$C$433,"Fibra"))</f>
        <v>0</v>
      </c>
      <c r="G37" s="16" t="n">
        <f aca="false">$G$31*($G$34/100)*((IF(SUMIFS(Desconto_Cliente_Mes!$S$2:$S$433,Desconto_Cliente_Mes!$A$2:$A$433,G$29,Desconto_Cliente_Mes!$B$2:$B$433,$A29,Desconto_Cliente_Mes!$C$2:$C$433,"Fibra")="",(IF(SUMIFS(Desconto_Cliente_Mes!$R$2:$R$433,Desconto_Cliente_Mes!$A$2:$A$433,G$29,Desconto_Cliente_Mes!$B$2:$B$433,$A29,Desconto_Cliente_Mes!$C$2:$C$433,"Fibra")="",SUMIFS(Desconto_Cliente_Mes!$Q$2:$Q$433,Desconto_Cliente_Mes!$A$2:$A$433,G$29,Desconto_Cliente_Mes!$B$2:$B$433,$A29,Desconto_Cliente_Mes!$C$2:$C$433,"Fibra"),SUMIFS(Desconto_Cliente_Mes!$R$2:$R$433,Desconto_Cliente_Mes!$A$2:$A$433,G$29,Desconto_Cliente_Mes!$B$2:$B$433,$A29,Desconto_Cliente_Mes!$C$2:$C$433,"Fibra"))),SUMIFS(Desconto_Cliente_Mes!$S$2:$S$433,Desconto_Cliente_Mes!$A$2:$A$433,G$29,Desconto_Cliente_Mes!$B$2:$B$433,$A29,Desconto_Cliente_Mes!$C$2:$C$433,"Fibra")))-(IF(SUMIFS(Desconto_Cliente_Mes!$R$2:$R$433,Desconto_Cliente_Mes!$A$2:$A$433,G$29,Desconto_Cliente_Mes!$B$2:$B$433,$A29,Desconto_Cliente_Mes!$C$2:$C$433,"Fibra")="",SUMIFS(Desconto_Cliente_Mes!$Q$2:$Q$433,Desconto_Cliente_Mes!$A$2:$A$433,G$29,Desconto_Cliente_Mes!$B$2:$B$433,$A29,Desconto_Cliente_Mes!$C$2:$C$433,"Fibra"),SUMIFS(Desconto_Cliente_Mes!$R$2:$R$433,Desconto_Cliente_Mes!$A$2:$A$433,G$29,Desconto_Cliente_Mes!$B$2:$B$433,$A29,Desconto_Cliente_Mes!$C$2:$C$433,"Fibra"))))*(SUMIFS(Desconto_Cliente_Mes!$T$2:$T$433,Desconto_Cliente_Mes!$A$2:$A$433,G$29,Desconto_Cliente_Mes!$B$2:$B$433,$A29,Desconto_Cliente_Mes!$C$2:$C$433,"Fibra"))</f>
        <v>0</v>
      </c>
      <c r="H37" s="16" t="n">
        <f aca="false">$H$31*($H$34/100)*((IF(SUMIFS(Desconto_Cliente_Mes!$S$2:$S$433,Desconto_Cliente_Mes!$A$2:$A$433,H$29,Desconto_Cliente_Mes!$B$2:$B$433,$A29,Desconto_Cliente_Mes!$C$2:$C$433,"Fibra")="",(IF(SUMIFS(Desconto_Cliente_Mes!$R$2:$R$433,Desconto_Cliente_Mes!$A$2:$A$433,H$29,Desconto_Cliente_Mes!$B$2:$B$433,$A29,Desconto_Cliente_Mes!$C$2:$C$433,"Fibra")="",SUMIFS(Desconto_Cliente_Mes!$Q$2:$Q$433,Desconto_Cliente_Mes!$A$2:$A$433,H$29,Desconto_Cliente_Mes!$B$2:$B$433,$A29,Desconto_Cliente_Mes!$C$2:$C$433,"Fibra"),SUMIFS(Desconto_Cliente_Mes!$R$2:$R$433,Desconto_Cliente_Mes!$A$2:$A$433,H$29,Desconto_Cliente_Mes!$B$2:$B$433,$A29,Desconto_Cliente_Mes!$C$2:$C$433,"Fibra"))),SUMIFS(Desconto_Cliente_Mes!$S$2:$S$433,Desconto_Cliente_Mes!$A$2:$A$433,H$29,Desconto_Cliente_Mes!$B$2:$B$433,$A29,Desconto_Cliente_Mes!$C$2:$C$433,"Fibra")))-(IF(SUMIFS(Desconto_Cliente_Mes!$R$2:$R$433,Desconto_Cliente_Mes!$A$2:$A$433,H$29,Desconto_Cliente_Mes!$B$2:$B$433,$A29,Desconto_Cliente_Mes!$C$2:$C$433,"Fibra")="",SUMIFS(Desconto_Cliente_Mes!$Q$2:$Q$433,Desconto_Cliente_Mes!$A$2:$A$433,H$29,Desconto_Cliente_Mes!$B$2:$B$433,$A29,Desconto_Cliente_Mes!$C$2:$C$433,"Fibra"),SUMIFS(Desconto_Cliente_Mes!$R$2:$R$433,Desconto_Cliente_Mes!$A$2:$A$433,H$29,Desconto_Cliente_Mes!$B$2:$B$433,$A29,Desconto_Cliente_Mes!$C$2:$C$433,"Fibra"))))*(SUMIFS(Desconto_Cliente_Mes!$T$2:$T$433,Desconto_Cliente_Mes!$A$2:$A$433,H$29,Desconto_Cliente_Mes!$B$2:$B$433,$A29,Desconto_Cliente_Mes!$C$2:$C$433,"Fibra"))</f>
        <v>0</v>
      </c>
      <c r="I37" s="16" t="n">
        <f aca="false">$I$31*($I$34/100)*((IF(SUMIFS(Desconto_Cliente_Mes!$S$2:$S$433,Desconto_Cliente_Mes!$A$2:$A$433,I$29,Desconto_Cliente_Mes!$B$2:$B$433,$A29,Desconto_Cliente_Mes!$C$2:$C$433,"Fibra")="",(IF(SUMIFS(Desconto_Cliente_Mes!$R$2:$R$433,Desconto_Cliente_Mes!$A$2:$A$433,I$29,Desconto_Cliente_Mes!$B$2:$B$433,$A29,Desconto_Cliente_Mes!$C$2:$C$433,"Fibra")="",SUMIFS(Desconto_Cliente_Mes!$Q$2:$Q$433,Desconto_Cliente_Mes!$A$2:$A$433,I$29,Desconto_Cliente_Mes!$B$2:$B$433,$A29,Desconto_Cliente_Mes!$C$2:$C$433,"Fibra"),SUMIFS(Desconto_Cliente_Mes!$R$2:$R$433,Desconto_Cliente_Mes!$A$2:$A$433,I$29,Desconto_Cliente_Mes!$B$2:$B$433,$A29,Desconto_Cliente_Mes!$C$2:$C$433,"Fibra"))),SUMIFS(Desconto_Cliente_Mes!$S$2:$S$433,Desconto_Cliente_Mes!$A$2:$A$433,I$29,Desconto_Cliente_Mes!$B$2:$B$433,$A29,Desconto_Cliente_Mes!$C$2:$C$433,"Fibra")))-(IF(SUMIFS(Desconto_Cliente_Mes!$R$2:$R$433,Desconto_Cliente_Mes!$A$2:$A$433,I$29,Desconto_Cliente_Mes!$B$2:$B$433,$A29,Desconto_Cliente_Mes!$C$2:$C$433,"Fibra")="",SUMIFS(Desconto_Cliente_Mes!$Q$2:$Q$433,Desconto_Cliente_Mes!$A$2:$A$433,I$29,Desconto_Cliente_Mes!$B$2:$B$433,$A29,Desconto_Cliente_Mes!$C$2:$C$433,"Fibra"),SUMIFS(Desconto_Cliente_Mes!$R$2:$R$433,Desconto_Cliente_Mes!$A$2:$A$433,I$29,Desconto_Cliente_Mes!$B$2:$B$433,$A29,Desconto_Cliente_Mes!$C$2:$C$433,"Fibra"))))*(SUMIFS(Desconto_Cliente_Mes!$T$2:$T$433,Desconto_Cliente_Mes!$A$2:$A$433,I$29,Desconto_Cliente_Mes!$B$2:$B$433,$A29,Desconto_Cliente_Mes!$C$2:$C$433,"Fibra"))</f>
        <v>0</v>
      </c>
      <c r="J37" s="16" t="n">
        <f aca="false">$J$31*($J$34/100)*((IF(SUMIFS(Desconto_Cliente_Mes!$S$2:$S$433,Desconto_Cliente_Mes!$A$2:$A$433,J$29,Desconto_Cliente_Mes!$B$2:$B$433,$A29,Desconto_Cliente_Mes!$C$2:$C$433,"Fibra")="",(IF(SUMIFS(Desconto_Cliente_Mes!$R$2:$R$433,Desconto_Cliente_Mes!$A$2:$A$433,J$29,Desconto_Cliente_Mes!$B$2:$B$433,$A29,Desconto_Cliente_Mes!$C$2:$C$433,"Fibra")="",SUMIFS(Desconto_Cliente_Mes!$Q$2:$Q$433,Desconto_Cliente_Mes!$A$2:$A$433,J$29,Desconto_Cliente_Mes!$B$2:$B$433,$A29,Desconto_Cliente_Mes!$C$2:$C$433,"Fibra"),SUMIFS(Desconto_Cliente_Mes!$R$2:$R$433,Desconto_Cliente_Mes!$A$2:$A$433,J$29,Desconto_Cliente_Mes!$B$2:$B$433,$A29,Desconto_Cliente_Mes!$C$2:$C$433,"Fibra"))),SUMIFS(Desconto_Cliente_Mes!$S$2:$S$433,Desconto_Cliente_Mes!$A$2:$A$433,J$29,Desconto_Cliente_Mes!$B$2:$B$433,$A29,Desconto_Cliente_Mes!$C$2:$C$433,"Fibra")))-(IF(SUMIFS(Desconto_Cliente_Mes!$R$2:$R$433,Desconto_Cliente_Mes!$A$2:$A$433,J$29,Desconto_Cliente_Mes!$B$2:$B$433,$A29,Desconto_Cliente_Mes!$C$2:$C$433,"Fibra")="",SUMIFS(Desconto_Cliente_Mes!$Q$2:$Q$433,Desconto_Cliente_Mes!$A$2:$A$433,J$29,Desconto_Cliente_Mes!$B$2:$B$433,$A29,Desconto_Cliente_Mes!$C$2:$C$433,"Fibra"),SUMIFS(Desconto_Cliente_Mes!$R$2:$R$433,Desconto_Cliente_Mes!$A$2:$A$433,J$29,Desconto_Cliente_Mes!$B$2:$B$433,$A29,Desconto_Cliente_Mes!$C$2:$C$433,"Fibra"))))*(SUMIFS(Desconto_Cliente_Mes!$T$2:$T$433,Desconto_Cliente_Mes!$A$2:$A$433,J$29,Desconto_Cliente_Mes!$B$2:$B$433,$A29,Desconto_Cliente_Mes!$C$2:$C$433,"Fibra"))</f>
        <v>0</v>
      </c>
      <c r="K37" s="16" t="n">
        <f aca="false">$K$31*($K$34/100)*((IF(SUMIFS(Desconto_Cliente_Mes!$S$2:$S$433,Desconto_Cliente_Mes!$A$2:$A$433,K$29,Desconto_Cliente_Mes!$B$2:$B$433,$A29,Desconto_Cliente_Mes!$C$2:$C$433,"Fibra")="",(IF(SUMIFS(Desconto_Cliente_Mes!$R$2:$R$433,Desconto_Cliente_Mes!$A$2:$A$433,K$29,Desconto_Cliente_Mes!$B$2:$B$433,$A29,Desconto_Cliente_Mes!$C$2:$C$433,"Fibra")="",SUMIFS(Desconto_Cliente_Mes!$Q$2:$Q$433,Desconto_Cliente_Mes!$A$2:$A$433,K$29,Desconto_Cliente_Mes!$B$2:$B$433,$A29,Desconto_Cliente_Mes!$C$2:$C$433,"Fibra"),SUMIFS(Desconto_Cliente_Mes!$R$2:$R$433,Desconto_Cliente_Mes!$A$2:$A$433,K$29,Desconto_Cliente_Mes!$B$2:$B$433,$A29,Desconto_Cliente_Mes!$C$2:$C$433,"Fibra"))),SUMIFS(Desconto_Cliente_Mes!$S$2:$S$433,Desconto_Cliente_Mes!$A$2:$A$433,K$29,Desconto_Cliente_Mes!$B$2:$B$433,$A29,Desconto_Cliente_Mes!$C$2:$C$433,"Fibra")))-(IF(SUMIFS(Desconto_Cliente_Mes!$R$2:$R$433,Desconto_Cliente_Mes!$A$2:$A$433,K$29,Desconto_Cliente_Mes!$B$2:$B$433,$A29,Desconto_Cliente_Mes!$C$2:$C$433,"Fibra")="",SUMIFS(Desconto_Cliente_Mes!$Q$2:$Q$433,Desconto_Cliente_Mes!$A$2:$A$433,K$29,Desconto_Cliente_Mes!$B$2:$B$433,$A29,Desconto_Cliente_Mes!$C$2:$C$433,"Fibra"),SUMIFS(Desconto_Cliente_Mes!$R$2:$R$433,Desconto_Cliente_Mes!$A$2:$A$433,K$29,Desconto_Cliente_Mes!$B$2:$B$433,$A29,Desconto_Cliente_Mes!$C$2:$C$433,"Fibra"))))*(SUMIFS(Desconto_Cliente_Mes!$T$2:$T$433,Desconto_Cliente_Mes!$A$2:$A$433,K$29,Desconto_Cliente_Mes!$B$2:$B$433,$A29,Desconto_Cliente_Mes!$C$2:$C$433,"Fibra"))</f>
        <v>0</v>
      </c>
      <c r="L37" s="16" t="n">
        <f aca="false">$L$31*($L$34/100)*((IF(SUMIFS(Desconto_Cliente_Mes!$S$2:$S$433,Desconto_Cliente_Mes!$A$2:$A$433,L$29,Desconto_Cliente_Mes!$B$2:$B$433,$A29,Desconto_Cliente_Mes!$C$2:$C$433,"Fibra")="",(IF(SUMIFS(Desconto_Cliente_Mes!$R$2:$R$433,Desconto_Cliente_Mes!$A$2:$A$433,L$29,Desconto_Cliente_Mes!$B$2:$B$433,$A29,Desconto_Cliente_Mes!$C$2:$C$433,"Fibra")="",SUMIFS(Desconto_Cliente_Mes!$Q$2:$Q$433,Desconto_Cliente_Mes!$A$2:$A$433,L$29,Desconto_Cliente_Mes!$B$2:$B$433,$A29,Desconto_Cliente_Mes!$C$2:$C$433,"Fibra"),SUMIFS(Desconto_Cliente_Mes!$R$2:$R$433,Desconto_Cliente_Mes!$A$2:$A$433,L$29,Desconto_Cliente_Mes!$B$2:$B$433,$A29,Desconto_Cliente_Mes!$C$2:$C$433,"Fibra"))),SUMIFS(Desconto_Cliente_Mes!$S$2:$S$433,Desconto_Cliente_Mes!$A$2:$A$433,L$29,Desconto_Cliente_Mes!$B$2:$B$433,$A29,Desconto_Cliente_Mes!$C$2:$C$433,"Fibra")))-(IF(SUMIFS(Desconto_Cliente_Mes!$R$2:$R$433,Desconto_Cliente_Mes!$A$2:$A$433,L$29,Desconto_Cliente_Mes!$B$2:$B$433,$A29,Desconto_Cliente_Mes!$C$2:$C$433,"Fibra")="",SUMIFS(Desconto_Cliente_Mes!$Q$2:$Q$433,Desconto_Cliente_Mes!$A$2:$A$433,L$29,Desconto_Cliente_Mes!$B$2:$B$433,$A29,Desconto_Cliente_Mes!$C$2:$C$433,"Fibra"),SUMIFS(Desconto_Cliente_Mes!$R$2:$R$433,Desconto_Cliente_Mes!$A$2:$A$433,L$29,Desconto_Cliente_Mes!$B$2:$B$433,$A29,Desconto_Cliente_Mes!$C$2:$C$433,"Fibra"))))*(SUMIFS(Desconto_Cliente_Mes!$T$2:$T$433,Desconto_Cliente_Mes!$A$2:$A$433,L$29,Desconto_Cliente_Mes!$B$2:$B$433,$A29,Desconto_Cliente_Mes!$C$2:$C$433,"Fibra"))</f>
        <v>0</v>
      </c>
      <c r="M37" s="16" t="n">
        <f aca="false">$M$31*($M$34/100)*((IF(SUMIFS(Desconto_Cliente_Mes!$S$2:$S$433,Desconto_Cliente_Mes!$A$2:$A$433,M$29,Desconto_Cliente_Mes!$B$2:$B$433,$A29,Desconto_Cliente_Mes!$C$2:$C$433,"Fibra")="",(IF(SUMIFS(Desconto_Cliente_Mes!$R$2:$R$433,Desconto_Cliente_Mes!$A$2:$A$433,M$29,Desconto_Cliente_Mes!$B$2:$B$433,$A29,Desconto_Cliente_Mes!$C$2:$C$433,"Fibra")="",SUMIFS(Desconto_Cliente_Mes!$Q$2:$Q$433,Desconto_Cliente_Mes!$A$2:$A$433,M$29,Desconto_Cliente_Mes!$B$2:$B$433,$A29,Desconto_Cliente_Mes!$C$2:$C$433,"Fibra"),SUMIFS(Desconto_Cliente_Mes!$R$2:$R$433,Desconto_Cliente_Mes!$A$2:$A$433,M$29,Desconto_Cliente_Mes!$B$2:$B$433,$A29,Desconto_Cliente_Mes!$C$2:$C$433,"Fibra"))),SUMIFS(Desconto_Cliente_Mes!$S$2:$S$433,Desconto_Cliente_Mes!$A$2:$A$433,M$29,Desconto_Cliente_Mes!$B$2:$B$433,$A29,Desconto_Cliente_Mes!$C$2:$C$433,"Fibra")))-(IF(SUMIFS(Desconto_Cliente_Mes!$R$2:$R$433,Desconto_Cliente_Mes!$A$2:$A$433,M$29,Desconto_Cliente_Mes!$B$2:$B$433,$A29,Desconto_Cliente_Mes!$C$2:$C$433,"Fibra")="",SUMIFS(Desconto_Cliente_Mes!$Q$2:$Q$433,Desconto_Cliente_Mes!$A$2:$A$433,M$29,Desconto_Cliente_Mes!$B$2:$B$433,$A29,Desconto_Cliente_Mes!$C$2:$C$433,"Fibra"),SUMIFS(Desconto_Cliente_Mes!$R$2:$R$433,Desconto_Cliente_Mes!$A$2:$A$433,M$29,Desconto_Cliente_Mes!$B$2:$B$433,$A29,Desconto_Cliente_Mes!$C$2:$C$433,"Fibra"))))*(SUMIFS(Desconto_Cliente_Mes!$T$2:$T$433,Desconto_Cliente_Mes!$A$2:$A$433,M$29,Desconto_Cliente_Mes!$B$2:$B$433,$A29,Desconto_Cliente_Mes!$C$2:$C$433,"Fibra"))</f>
        <v>0</v>
      </c>
      <c r="N37" s="17" t="n">
        <f aca="false">SUM(B37:M37)</f>
        <v>0</v>
      </c>
    </row>
    <row r="38" customFormat="false" ht="15" hidden="false" customHeight="false" outlineLevel="0" collapsed="false">
      <c r="A38" s="13" t="s">
        <v>82</v>
      </c>
      <c r="B38" s="16" t="n">
        <f aca="false">SUMIFS(Acerto_Detalhado!$J$2:$J$433,Acerto_Detalhado!$A$2:$A$433,B$29,Acerto_Detalhado!$B$2:$B$433,$A29,Acerto_Detalhado!$C$2:$C$433,"Fibra")</f>
        <v>0</v>
      </c>
      <c r="C38" s="16" t="n">
        <f aca="false">SUMIFS(Acerto_Detalhado!$J$2:$J$433,Acerto_Detalhado!$A$2:$A$433,C$29,Acerto_Detalhado!$B$2:$B$433,$A29,Acerto_Detalhado!$C$2:$C$433,"Fibra")</f>
        <v>12414.9713212753</v>
      </c>
      <c r="D38" s="16" t="n">
        <f aca="false">SUMIFS(Acerto_Detalhado!$J$2:$J$433,Acerto_Detalhado!$A$2:$A$433,D$29,Acerto_Detalhado!$B$2:$B$433,$A29,Acerto_Detalhado!$C$2:$C$433,"Fibra")</f>
        <v>3517.95527365411</v>
      </c>
      <c r="E38" s="16" t="n">
        <f aca="false">SUMIFS(Acerto_Detalhado!$J$2:$J$433,Acerto_Detalhado!$A$2:$A$433,E$29,Acerto_Detalhado!$B$2:$B$433,$A29,Acerto_Detalhado!$C$2:$C$433,"Fibra")</f>
        <v>0</v>
      </c>
      <c r="F38" s="16" t="n">
        <f aca="false">SUMIFS(Acerto_Detalhado!$J$2:$J$433,Acerto_Detalhado!$A$2:$A$433,F$29,Acerto_Detalhado!$B$2:$B$433,$A29,Acerto_Detalhado!$C$2:$C$433,"Fibra")</f>
        <v>0</v>
      </c>
      <c r="G38" s="16" t="n">
        <f aca="false">SUMIFS(Acerto_Detalhado!$J$2:$J$433,Acerto_Detalhado!$A$2:$A$433,G$29,Acerto_Detalhado!$B$2:$B$433,$A29,Acerto_Detalhado!$C$2:$C$433,"Fibra")</f>
        <v>0</v>
      </c>
      <c r="H38" s="16" t="n">
        <f aca="false">SUMIFS(Acerto_Detalhado!$J$2:$J$433,Acerto_Detalhado!$A$2:$A$433,H$29,Acerto_Detalhado!$B$2:$B$433,$A29,Acerto_Detalhado!$C$2:$C$433,"Fibra")</f>
        <v>40.5594701989505</v>
      </c>
      <c r="I38" s="16" t="n">
        <f aca="false">SUMIFS(Acerto_Detalhado!$J$2:$J$433,Acerto_Detalhado!$A$2:$A$433,I$29,Acerto_Detalhado!$B$2:$B$433,$A29,Acerto_Detalhado!$C$2:$C$433,"Fibra")</f>
        <v>0</v>
      </c>
      <c r="J38" s="16" t="n">
        <f aca="false">SUMIFS(Acerto_Detalhado!$J$2:$J$433,Acerto_Detalhado!$A$2:$A$433,J$29,Acerto_Detalhado!$B$2:$B$433,$A29,Acerto_Detalhado!$C$2:$C$433,"Fibra")</f>
        <v>0</v>
      </c>
      <c r="K38" s="16" t="n">
        <f aca="false">SUMIFS(Acerto_Detalhado!$J$2:$J$433,Acerto_Detalhado!$A$2:$A$433,K$29,Acerto_Detalhado!$B$2:$B$433,$A29,Acerto_Detalhado!$C$2:$C$433,"Fibra")</f>
        <v>0</v>
      </c>
      <c r="L38" s="16" t="n">
        <f aca="false">SUMIFS(Acerto_Detalhado!$J$2:$J$433,Acerto_Detalhado!$A$2:$A$433,L$29,Acerto_Detalhado!$B$2:$B$433,$A29,Acerto_Detalhado!$C$2:$C$433,"Fibra")</f>
        <v>0</v>
      </c>
      <c r="M38" s="16" t="n">
        <f aca="false">SUMIFS(Acerto_Detalhado!$J$2:$J$433,Acerto_Detalhado!$A$2:$A$433,M$29,Acerto_Detalhado!$B$2:$B$433,$A29,Acerto_Detalhado!$C$2:$C$433,"Fibra")</f>
        <v>0</v>
      </c>
      <c r="N38" s="17" t="n">
        <f aca="false">SUM(B38:M38)</f>
        <v>15973.4860651284</v>
      </c>
    </row>
    <row r="40" customFormat="false" ht="15" hidden="false" customHeight="false" outlineLevel="0" collapsed="false">
      <c r="A40" s="5" t="s">
        <v>61</v>
      </c>
      <c r="B40" s="6" t="s">
        <v>39</v>
      </c>
      <c r="C40" s="6" t="s">
        <v>40</v>
      </c>
      <c r="D40" s="6" t="s">
        <v>41</v>
      </c>
      <c r="E40" s="6" t="s">
        <v>42</v>
      </c>
      <c r="F40" s="6" t="s">
        <v>43</v>
      </c>
      <c r="G40" s="6" t="s">
        <v>44</v>
      </c>
      <c r="H40" s="6" t="s">
        <v>45</v>
      </c>
      <c r="I40" s="6" t="s">
        <v>46</v>
      </c>
      <c r="J40" s="6" t="s">
        <v>47</v>
      </c>
      <c r="K40" s="6" t="s">
        <v>48</v>
      </c>
      <c r="L40" s="6" t="s">
        <v>49</v>
      </c>
      <c r="M40" s="6" t="s">
        <v>50</v>
      </c>
      <c r="N40" s="6" t="s">
        <v>51</v>
      </c>
    </row>
    <row r="41" customFormat="false" ht="15" hidden="false" customHeight="false" outlineLevel="0" collapsed="false">
      <c r="A41" s="13" t="s">
        <v>74</v>
      </c>
      <c r="B41" s="10" t="n">
        <f aca="false">IF((SUMIFS(Desconto_Cliente_Mes!$D$2:$D$433,Desconto_Cliente_Mes!$A$2:$A$433,B$40,Desconto_Cliente_Mes!$B$2:$B$433,$A40,Desconto_Cliente_Mes!$C$2:$C$433,"Fibra"))=0,"",IFERROR(SUMIFS(Desconto_Cliente_Mes!$E$2:$E$433,Desconto_Cliente_Mes!$A$2:$A$433,B$40,Desconto_Cliente_Mes!$B$2:$B$433,$A40,Desconto_Cliente_Mes!$C$2:$C$433,"Fibra"),""))</f>
        <v>3.75</v>
      </c>
      <c r="C41" s="10" t="n">
        <f aca="false">IF((SUMIFS(Desconto_Cliente_Mes!$D$2:$D$433,Desconto_Cliente_Mes!$A$2:$A$433,C$40,Desconto_Cliente_Mes!$B$2:$B$433,$A40,Desconto_Cliente_Mes!$C$2:$C$433,"Fibra"))=0,"",IFERROR(SUMIFS(Desconto_Cliente_Mes!$E$2:$E$433,Desconto_Cliente_Mes!$A$2:$A$433,C$40,Desconto_Cliente_Mes!$B$2:$B$433,$A40,Desconto_Cliente_Mes!$C$2:$C$433,"Fibra"),""))</f>
        <v>3.5823332011751</v>
      </c>
      <c r="D41" s="10" t="n">
        <f aca="false">IF((SUMIFS(Desconto_Cliente_Mes!$D$2:$D$433,Desconto_Cliente_Mes!$A$2:$A$433,D$40,Desconto_Cliente_Mes!$B$2:$B$433,$A40,Desconto_Cliente_Mes!$C$2:$C$433,"Fibra"))=0,"",IFERROR(SUMIFS(Desconto_Cliente_Mes!$E$2:$E$433,Desconto_Cliente_Mes!$A$2:$A$433,D$40,Desconto_Cliente_Mes!$B$2:$B$433,$A40,Desconto_Cliente_Mes!$C$2:$C$433,"Fibra"),""))</f>
        <v>3.60550451114684</v>
      </c>
      <c r="E41" s="10" t="n">
        <f aca="false">IF((SUMIFS(Desconto_Cliente_Mes!$D$2:$D$433,Desconto_Cliente_Mes!$A$2:$A$433,E$40,Desconto_Cliente_Mes!$B$2:$B$433,$A40,Desconto_Cliente_Mes!$C$2:$C$433,"Fibra"))=0,"",IFERROR(SUMIFS(Desconto_Cliente_Mes!$E$2:$E$433,Desconto_Cliente_Mes!$A$2:$A$433,E$40,Desconto_Cliente_Mes!$B$2:$B$433,$A40,Desconto_Cliente_Mes!$C$2:$C$433,"Fibra"),""))</f>
        <v>3.65791646785463</v>
      </c>
      <c r="F41" s="10" t="n">
        <f aca="false">IF((SUMIFS(Desconto_Cliente_Mes!$D$2:$D$433,Desconto_Cliente_Mes!$A$2:$A$433,F$40,Desconto_Cliente_Mes!$B$2:$B$433,$A40,Desconto_Cliente_Mes!$C$2:$C$433,"Fibra"))=0,"",IFERROR(SUMIFS(Desconto_Cliente_Mes!$E$2:$E$433,Desconto_Cliente_Mes!$A$2:$A$433,F$40,Desconto_Cliente_Mes!$B$2:$B$433,$A40,Desconto_Cliente_Mes!$C$2:$C$433,"Fibra"),""))</f>
        <v>3.76102840626055</v>
      </c>
      <c r="G41" s="10" t="n">
        <f aca="false">IF((SUMIFS(Desconto_Cliente_Mes!$D$2:$D$433,Desconto_Cliente_Mes!$A$2:$A$433,G$40,Desconto_Cliente_Mes!$B$2:$B$433,$A40,Desconto_Cliente_Mes!$C$2:$C$433,"Fibra"))=0,"",IFERROR(SUMIFS(Desconto_Cliente_Mes!$E$2:$E$433,Desconto_Cliente_Mes!$A$2:$A$433,G$40,Desconto_Cliente_Mes!$B$2:$B$433,$A40,Desconto_Cliente_Mes!$C$2:$C$433,"Fibra"),""))</f>
        <v>3.61371181614678</v>
      </c>
      <c r="H41" s="10" t="n">
        <f aca="false">IF((SUMIFS(Desconto_Cliente_Mes!$D$2:$D$433,Desconto_Cliente_Mes!$A$2:$A$433,H$40,Desconto_Cliente_Mes!$B$2:$B$433,$A40,Desconto_Cliente_Mes!$C$2:$C$433,"Fibra"))=0,"",IFERROR(SUMIFS(Desconto_Cliente_Mes!$E$2:$E$433,Desconto_Cliente_Mes!$A$2:$A$433,H$40,Desconto_Cliente_Mes!$B$2:$B$433,$A40,Desconto_Cliente_Mes!$C$2:$C$433,"Fibra"),""))</f>
        <v>3.69685069653594</v>
      </c>
      <c r="I41" s="10" t="str">
        <f aca="false">IF((SUMIFS(Desconto_Cliente_Mes!$D$2:$D$433,Desconto_Cliente_Mes!$A$2:$A$433,I$40,Desconto_Cliente_Mes!$B$2:$B$433,$A40,Desconto_Cliente_Mes!$C$2:$C$433,"Fibra"))=0,"",IFERROR(SUMIFS(Desconto_Cliente_Mes!$E$2:$E$433,Desconto_Cliente_Mes!$A$2:$A$433,I$40,Desconto_Cliente_Mes!$B$2:$B$433,$A40,Desconto_Cliente_Mes!$C$2:$C$433,"Fibra"),""))</f>
        <v/>
      </c>
      <c r="J41" s="10" t="str">
        <f aca="false">IF((SUMIFS(Desconto_Cliente_Mes!$D$2:$D$433,Desconto_Cliente_Mes!$A$2:$A$433,J$40,Desconto_Cliente_Mes!$B$2:$B$433,$A40,Desconto_Cliente_Mes!$C$2:$C$433,"Fibra"))=0,"",IFERROR(SUMIFS(Desconto_Cliente_Mes!$E$2:$E$433,Desconto_Cliente_Mes!$A$2:$A$433,J$40,Desconto_Cliente_Mes!$B$2:$B$433,$A40,Desconto_Cliente_Mes!$C$2:$C$433,"Fibra"),""))</f>
        <v/>
      </c>
      <c r="K41" s="10" t="str">
        <f aca="false">IF((SUMIFS(Desconto_Cliente_Mes!$D$2:$D$433,Desconto_Cliente_Mes!$A$2:$A$433,K$40,Desconto_Cliente_Mes!$B$2:$B$433,$A40,Desconto_Cliente_Mes!$C$2:$C$433,"Fibra"))=0,"",IFERROR(SUMIFS(Desconto_Cliente_Mes!$E$2:$E$433,Desconto_Cliente_Mes!$A$2:$A$433,K$40,Desconto_Cliente_Mes!$B$2:$B$433,$A40,Desconto_Cliente_Mes!$C$2:$C$433,"Fibra"),""))</f>
        <v/>
      </c>
      <c r="L41" s="10" t="str">
        <f aca="false">IF((SUMIFS(Desconto_Cliente_Mes!$D$2:$D$433,Desconto_Cliente_Mes!$A$2:$A$433,L$40,Desconto_Cliente_Mes!$B$2:$B$433,$A40,Desconto_Cliente_Mes!$C$2:$C$433,"Fibra"))=0,"",IFERROR(SUMIFS(Desconto_Cliente_Mes!$E$2:$E$433,Desconto_Cliente_Mes!$A$2:$A$433,L$40,Desconto_Cliente_Mes!$B$2:$B$433,$A40,Desconto_Cliente_Mes!$C$2:$C$433,"Fibra"),""))</f>
        <v/>
      </c>
      <c r="M41" s="10" t="str">
        <f aca="false">IF((SUMIFS(Desconto_Cliente_Mes!$D$2:$D$433,Desconto_Cliente_Mes!$A$2:$A$433,M$40,Desconto_Cliente_Mes!$B$2:$B$433,$A40,Desconto_Cliente_Mes!$C$2:$C$433,"Fibra"))=0,"",IFERROR(SUMIFS(Desconto_Cliente_Mes!$E$2:$E$433,Desconto_Cliente_Mes!$A$2:$A$433,M$40,Desconto_Cliente_Mes!$B$2:$B$433,$A40,Desconto_Cliente_Mes!$C$2:$C$433,"Fibra"),""))</f>
        <v/>
      </c>
      <c r="N41" s="11" t="n">
        <f aca="false">IFERROR(Media_Pool_Mes!E5,"")</f>
        <v>3.66155636815217</v>
      </c>
    </row>
    <row r="42" customFormat="false" ht="15" hidden="false" customHeight="false" outlineLevel="0" collapsed="false">
      <c r="A42" s="13" t="s">
        <v>75</v>
      </c>
      <c r="B42" s="8" t="n">
        <f aca="false">IFERROR(SUMIFS(Desconto_Cliente_Mes!$D$2:$D$433,Desconto_Cliente_Mes!$A$2:$A$433,B$40,Desconto_Cliente_Mes!$B$2:$B$433,$A40,Desconto_Cliente_Mes!$C$2:$C$433,"Fibra"),0)</f>
        <v>16786.6</v>
      </c>
      <c r="C42" s="8" t="n">
        <f aca="false">IFERROR(SUMIFS(Desconto_Cliente_Mes!$D$2:$D$433,Desconto_Cliente_Mes!$A$2:$A$433,C$40,Desconto_Cliente_Mes!$B$2:$B$433,$A40,Desconto_Cliente_Mes!$C$2:$C$433,"Fibra"),0)</f>
        <v>53319.92</v>
      </c>
      <c r="D42" s="8" t="n">
        <f aca="false">IFERROR(SUMIFS(Desconto_Cliente_Mes!$D$2:$D$433,Desconto_Cliente_Mes!$A$2:$A$433,D$40,Desconto_Cliente_Mes!$B$2:$B$433,$A40,Desconto_Cliente_Mes!$C$2:$C$433,"Fibra"),0)</f>
        <v>42872.69</v>
      </c>
      <c r="E42" s="8" t="n">
        <f aca="false">IFERROR(SUMIFS(Desconto_Cliente_Mes!$D$2:$D$433,Desconto_Cliente_Mes!$A$2:$A$433,E$40,Desconto_Cliente_Mes!$B$2:$B$433,$A40,Desconto_Cliente_Mes!$C$2:$C$433,"Fibra"),0)</f>
        <v>53714.89</v>
      </c>
      <c r="F42" s="8" t="n">
        <f aca="false">IFERROR(SUMIFS(Desconto_Cliente_Mes!$D$2:$D$433,Desconto_Cliente_Mes!$A$2:$A$433,F$40,Desconto_Cliente_Mes!$B$2:$B$433,$A40,Desconto_Cliente_Mes!$C$2:$C$433,"Fibra"),0)</f>
        <v>92764.41</v>
      </c>
      <c r="G42" s="8" t="n">
        <f aca="false">IFERROR(SUMIFS(Desconto_Cliente_Mes!$D$2:$D$433,Desconto_Cliente_Mes!$A$2:$A$433,G$40,Desconto_Cliente_Mes!$B$2:$B$433,$A40,Desconto_Cliente_Mes!$C$2:$C$433,"Fibra"),0)</f>
        <v>88798.66</v>
      </c>
      <c r="H42" s="8" t="n">
        <f aca="false">IFERROR(SUMIFS(Desconto_Cliente_Mes!$D$2:$D$433,Desconto_Cliente_Mes!$A$2:$A$433,H$40,Desconto_Cliente_Mes!$B$2:$B$433,$A40,Desconto_Cliente_Mes!$C$2:$C$433,"Fibra"),0)</f>
        <v>10176.79</v>
      </c>
      <c r="I42" s="8" t="n">
        <f aca="false">IFERROR(SUMIFS(Desconto_Cliente_Mes!$D$2:$D$433,Desconto_Cliente_Mes!$A$2:$A$433,I$40,Desconto_Cliente_Mes!$B$2:$B$433,$A40,Desconto_Cliente_Mes!$C$2:$C$433,"Fibra"),0)</f>
        <v>0</v>
      </c>
      <c r="J42" s="8" t="n">
        <f aca="false">IFERROR(SUMIFS(Desconto_Cliente_Mes!$D$2:$D$433,Desconto_Cliente_Mes!$A$2:$A$433,J$40,Desconto_Cliente_Mes!$B$2:$B$433,$A40,Desconto_Cliente_Mes!$C$2:$C$433,"Fibra"),0)</f>
        <v>0</v>
      </c>
      <c r="K42" s="8" t="n">
        <f aca="false">IFERROR(SUMIFS(Desconto_Cliente_Mes!$D$2:$D$433,Desconto_Cliente_Mes!$A$2:$A$433,K$40,Desconto_Cliente_Mes!$B$2:$B$433,$A40,Desconto_Cliente_Mes!$C$2:$C$433,"Fibra"),0)</f>
        <v>0</v>
      </c>
      <c r="L42" s="8" t="n">
        <f aca="false">IFERROR(SUMIFS(Desconto_Cliente_Mes!$D$2:$D$433,Desconto_Cliente_Mes!$A$2:$A$433,L$40,Desconto_Cliente_Mes!$B$2:$B$433,$A40,Desconto_Cliente_Mes!$C$2:$C$433,"Fibra"),0)</f>
        <v>0</v>
      </c>
      <c r="M42" s="8" t="n">
        <f aca="false">IFERROR(SUMIFS(Desconto_Cliente_Mes!$D$2:$D$433,Desconto_Cliente_Mes!$A$2:$A$433,M$40,Desconto_Cliente_Mes!$B$2:$B$433,$A40,Desconto_Cliente_Mes!$C$2:$C$433,"Fibra"),0)</f>
        <v>0</v>
      </c>
      <c r="N42" s="9" t="n">
        <f aca="false">SUM(B42:M42)</f>
        <v>358433.96</v>
      </c>
    </row>
    <row r="43" customFormat="false" ht="15" hidden="false" customHeight="false" outlineLevel="0" collapsed="false">
      <c r="A43" s="13" t="s">
        <v>76</v>
      </c>
      <c r="B43" s="15" t="n">
        <f aca="false">MAX(0,(SUMIFS(Desconto_Cliente_Mes!$L$2:$L$433,Desconto_Cliente_Mes!$A$2:$A$433,B$40,Desconto_Cliente_Mes!$B$2:$B$433,$A40,Desconto_Cliente_Mes!$C$2:$C$433,"Fibra"))-(SUMIFS(Desconto_Cliente_Mes!$N$2:$N$433,Desconto_Cliente_Mes!$A$2:$A$433,B$40,Desconto_Cliente_Mes!$B$2:$B$433,$A40,Desconto_Cliente_Mes!$C$2:$C$433,"Fibra")))</f>
        <v>0.0884436318478308</v>
      </c>
      <c r="C43" s="15" t="n">
        <f aca="false">MAX(0,(SUMIFS(Desconto_Cliente_Mes!$L$2:$L$433,Desconto_Cliente_Mes!$A$2:$A$433,C$40,Desconto_Cliente_Mes!$B$2:$B$433,$A40,Desconto_Cliente_Mes!$C$2:$C$433,"Fibra"))-(SUMIFS(Desconto_Cliente_Mes!$N$2:$N$433,Desconto_Cliente_Mes!$A$2:$A$433,C$40,Desconto_Cliente_Mes!$B$2:$B$433,$A40,Desconto_Cliente_Mes!$C$2:$C$433,"Fibra")))</f>
        <v>0</v>
      </c>
      <c r="D43" s="15" t="n">
        <f aca="false">MAX(0,(SUMIFS(Desconto_Cliente_Mes!$L$2:$L$433,Desconto_Cliente_Mes!$A$2:$A$433,D$40,Desconto_Cliente_Mes!$B$2:$B$433,$A40,Desconto_Cliente_Mes!$C$2:$C$433,"Fibra"))-(SUMIFS(Desconto_Cliente_Mes!$N$2:$N$433,Desconto_Cliente_Mes!$A$2:$A$433,D$40,Desconto_Cliente_Mes!$B$2:$B$433,$A40,Desconto_Cliente_Mes!$C$2:$C$433,"Fibra")))</f>
        <v>0</v>
      </c>
      <c r="E43" s="15" t="n">
        <f aca="false">MAX(0,(SUMIFS(Desconto_Cliente_Mes!$L$2:$L$433,Desconto_Cliente_Mes!$A$2:$A$433,E$40,Desconto_Cliente_Mes!$B$2:$B$433,$A40,Desconto_Cliente_Mes!$C$2:$C$433,"Fibra"))-(SUMIFS(Desconto_Cliente_Mes!$N$2:$N$433,Desconto_Cliente_Mes!$A$2:$A$433,E$40,Desconto_Cliente_Mes!$B$2:$B$433,$A40,Desconto_Cliente_Mes!$C$2:$C$433,"Fibra")))</f>
        <v>0</v>
      </c>
      <c r="F43" s="15" t="n">
        <f aca="false">MAX(0,(SUMIFS(Desconto_Cliente_Mes!$L$2:$L$433,Desconto_Cliente_Mes!$A$2:$A$433,F$40,Desconto_Cliente_Mes!$B$2:$B$433,$A40,Desconto_Cliente_Mes!$C$2:$C$433,"Fibra"))-(SUMIFS(Desconto_Cliente_Mes!$N$2:$N$433,Desconto_Cliente_Mes!$A$2:$A$433,F$40,Desconto_Cliente_Mes!$B$2:$B$433,$A40,Desconto_Cliente_Mes!$C$2:$C$433,"Fibra")))</f>
        <v>0.0994720381083778</v>
      </c>
      <c r="G43" s="15" t="n">
        <f aca="false">MAX(0,(SUMIFS(Desconto_Cliente_Mes!$L$2:$L$433,Desconto_Cliente_Mes!$A$2:$A$433,G$40,Desconto_Cliente_Mes!$B$2:$B$433,$A40,Desconto_Cliente_Mes!$C$2:$C$433,"Fibra"))-(SUMIFS(Desconto_Cliente_Mes!$N$2:$N$433,Desconto_Cliente_Mes!$A$2:$A$433,G$40,Desconto_Cliente_Mes!$B$2:$B$433,$A40,Desconto_Cliente_Mes!$C$2:$C$433,"Fibra")))</f>
        <v>0</v>
      </c>
      <c r="H43" s="15" t="n">
        <f aca="false">MAX(0,(SUMIFS(Desconto_Cliente_Mes!$L$2:$L$433,Desconto_Cliente_Mes!$A$2:$A$433,H$40,Desconto_Cliente_Mes!$B$2:$B$433,$A40,Desconto_Cliente_Mes!$C$2:$C$433,"Fibra"))-(SUMIFS(Desconto_Cliente_Mes!$N$2:$N$433,Desconto_Cliente_Mes!$A$2:$A$433,H$40,Desconto_Cliente_Mes!$B$2:$B$433,$A40,Desconto_Cliente_Mes!$C$2:$C$433,"Fibra")))</f>
        <v>0.0352943283837717</v>
      </c>
      <c r="I43" s="15" t="n">
        <f aca="false">MAX(0,(SUMIFS(Desconto_Cliente_Mes!$L$2:$L$433,Desconto_Cliente_Mes!$A$2:$A$433,I$40,Desconto_Cliente_Mes!$B$2:$B$433,$A40,Desconto_Cliente_Mes!$C$2:$C$433,"Fibra"))-(SUMIFS(Desconto_Cliente_Mes!$N$2:$N$433,Desconto_Cliente_Mes!$A$2:$A$433,I$40,Desconto_Cliente_Mes!$B$2:$B$433,$A40,Desconto_Cliente_Mes!$C$2:$C$433,"Fibra")))</f>
        <v>0</v>
      </c>
      <c r="J43" s="15" t="n">
        <f aca="false">MAX(0,(SUMIFS(Desconto_Cliente_Mes!$L$2:$L$433,Desconto_Cliente_Mes!$A$2:$A$433,J$40,Desconto_Cliente_Mes!$B$2:$B$433,$A40,Desconto_Cliente_Mes!$C$2:$C$433,"Fibra"))-(SUMIFS(Desconto_Cliente_Mes!$N$2:$N$433,Desconto_Cliente_Mes!$A$2:$A$433,J$40,Desconto_Cliente_Mes!$B$2:$B$433,$A40,Desconto_Cliente_Mes!$C$2:$C$433,"Fibra")))</f>
        <v>0</v>
      </c>
      <c r="K43" s="15" t="n">
        <f aca="false">MAX(0,(SUMIFS(Desconto_Cliente_Mes!$L$2:$L$433,Desconto_Cliente_Mes!$A$2:$A$433,K$40,Desconto_Cliente_Mes!$B$2:$B$433,$A40,Desconto_Cliente_Mes!$C$2:$C$433,"Fibra"))-(SUMIFS(Desconto_Cliente_Mes!$N$2:$N$433,Desconto_Cliente_Mes!$A$2:$A$433,K$40,Desconto_Cliente_Mes!$B$2:$B$433,$A40,Desconto_Cliente_Mes!$C$2:$C$433,"Fibra")))</f>
        <v>0</v>
      </c>
      <c r="L43" s="15" t="n">
        <f aca="false">MAX(0,(SUMIFS(Desconto_Cliente_Mes!$L$2:$L$433,Desconto_Cliente_Mes!$A$2:$A$433,L$40,Desconto_Cliente_Mes!$B$2:$B$433,$A40,Desconto_Cliente_Mes!$C$2:$C$433,"Fibra"))-(SUMIFS(Desconto_Cliente_Mes!$N$2:$N$433,Desconto_Cliente_Mes!$A$2:$A$433,L$40,Desconto_Cliente_Mes!$B$2:$B$433,$A40,Desconto_Cliente_Mes!$C$2:$C$433,"Fibra")))</f>
        <v>0</v>
      </c>
      <c r="M43" s="15" t="n">
        <f aca="false">MAX(0,(SUMIFS(Desconto_Cliente_Mes!$L$2:$L$433,Desconto_Cliente_Mes!$A$2:$A$433,M$40,Desconto_Cliente_Mes!$B$2:$B$433,$A40,Desconto_Cliente_Mes!$C$2:$C$433,"Fibra"))-(SUMIFS(Desconto_Cliente_Mes!$N$2:$N$433,Desconto_Cliente_Mes!$A$2:$A$433,M$40,Desconto_Cliente_Mes!$B$2:$B$433,$A40,Desconto_Cliente_Mes!$C$2:$C$433,"Fibra")))</f>
        <v>0</v>
      </c>
    </row>
    <row r="44" customFormat="false" ht="15" hidden="false" customHeight="false" outlineLevel="0" collapsed="false">
      <c r="A44" s="13" t="s">
        <v>77</v>
      </c>
      <c r="B44" s="15" t="n">
        <f aca="false">MAX(0,(SUMIFS(Desconto_Cliente_Mes!$N$2:$N$433,Desconto_Cliente_Mes!$A$2:$A$433,B$40,Desconto_Cliente_Mes!$B$2:$B$433,$A40,Desconto_Cliente_Mes!$C$2:$C$433,"Fibra"))-(SUMIFS(Desconto_Cliente_Mes!$P$2:$P$433,Desconto_Cliente_Mes!$A$2:$A$433,B$40,Desconto_Cliente_Mes!$B$2:$B$433,$A40,Desconto_Cliente_Mes!$C$2:$C$433,"Fibra")))</f>
        <v>0</v>
      </c>
      <c r="C44" s="15" t="n">
        <f aca="false">MAX(0,(SUMIFS(Desconto_Cliente_Mes!$N$2:$N$433,Desconto_Cliente_Mes!$A$2:$A$433,C$40,Desconto_Cliente_Mes!$B$2:$B$433,$A40,Desconto_Cliente_Mes!$C$2:$C$433,"Fibra"))-(SUMIFS(Desconto_Cliente_Mes!$P$2:$P$433,Desconto_Cliente_Mes!$A$2:$A$433,C$40,Desconto_Cliente_Mes!$B$2:$B$433,$A40,Desconto_Cliente_Mes!$C$2:$C$433,"Fibra")))</f>
        <v>0</v>
      </c>
      <c r="D44" s="15" t="n">
        <f aca="false">MAX(0,(SUMIFS(Desconto_Cliente_Mes!$N$2:$N$433,Desconto_Cliente_Mes!$A$2:$A$433,D$40,Desconto_Cliente_Mes!$B$2:$B$433,$A40,Desconto_Cliente_Mes!$C$2:$C$433,"Fibra"))-(SUMIFS(Desconto_Cliente_Mes!$P$2:$P$433,Desconto_Cliente_Mes!$A$2:$A$433,D$40,Desconto_Cliente_Mes!$B$2:$B$433,$A40,Desconto_Cliente_Mes!$C$2:$C$433,"Fibra")))</f>
        <v>0</v>
      </c>
      <c r="E44" s="15" t="n">
        <f aca="false">MAX(0,(SUMIFS(Desconto_Cliente_Mes!$N$2:$N$433,Desconto_Cliente_Mes!$A$2:$A$433,E$40,Desconto_Cliente_Mes!$B$2:$B$433,$A40,Desconto_Cliente_Mes!$C$2:$C$433,"Fibra"))-(SUMIFS(Desconto_Cliente_Mes!$P$2:$P$433,Desconto_Cliente_Mes!$A$2:$A$433,E$40,Desconto_Cliente_Mes!$B$2:$B$433,$A40,Desconto_Cliente_Mes!$C$2:$C$433,"Fibra")))</f>
        <v>0</v>
      </c>
      <c r="F44" s="15" t="n">
        <f aca="false">MAX(0,(SUMIFS(Desconto_Cliente_Mes!$N$2:$N$433,Desconto_Cliente_Mes!$A$2:$A$433,F$40,Desconto_Cliente_Mes!$B$2:$B$433,$A40,Desconto_Cliente_Mes!$C$2:$C$433,"Fibra"))-(SUMIFS(Desconto_Cliente_Mes!$P$2:$P$433,Desconto_Cliente_Mes!$A$2:$A$433,F$40,Desconto_Cliente_Mes!$B$2:$B$433,$A40,Desconto_Cliente_Mes!$C$2:$C$433,"Fibra")))</f>
        <v>0</v>
      </c>
      <c r="G44" s="15" t="n">
        <f aca="false">MAX(0,(SUMIFS(Desconto_Cliente_Mes!$N$2:$N$433,Desconto_Cliente_Mes!$A$2:$A$433,G$40,Desconto_Cliente_Mes!$B$2:$B$433,$A40,Desconto_Cliente_Mes!$C$2:$C$433,"Fibra"))-(SUMIFS(Desconto_Cliente_Mes!$P$2:$P$433,Desconto_Cliente_Mes!$A$2:$A$433,G$40,Desconto_Cliente_Mes!$B$2:$B$433,$A40,Desconto_Cliente_Mes!$C$2:$C$433,"Fibra")))</f>
        <v>0</v>
      </c>
      <c r="H44" s="15" t="n">
        <f aca="false">MAX(0,(SUMIFS(Desconto_Cliente_Mes!$N$2:$N$433,Desconto_Cliente_Mes!$A$2:$A$433,H$40,Desconto_Cliente_Mes!$B$2:$B$433,$A40,Desconto_Cliente_Mes!$C$2:$C$433,"Fibra"))-(SUMIFS(Desconto_Cliente_Mes!$P$2:$P$433,Desconto_Cliente_Mes!$A$2:$A$433,H$40,Desconto_Cliente_Mes!$B$2:$B$433,$A40,Desconto_Cliente_Mes!$C$2:$C$433,"Fibra")))</f>
        <v>0</v>
      </c>
      <c r="I44" s="15" t="n">
        <f aca="false">MAX(0,(SUMIFS(Desconto_Cliente_Mes!$N$2:$N$433,Desconto_Cliente_Mes!$A$2:$A$433,I$40,Desconto_Cliente_Mes!$B$2:$B$433,$A40,Desconto_Cliente_Mes!$C$2:$C$433,"Fibra"))-(SUMIFS(Desconto_Cliente_Mes!$P$2:$P$433,Desconto_Cliente_Mes!$A$2:$A$433,I$40,Desconto_Cliente_Mes!$B$2:$B$433,$A40,Desconto_Cliente_Mes!$C$2:$C$433,"Fibra")))</f>
        <v>0</v>
      </c>
      <c r="J44" s="15" t="n">
        <f aca="false">MAX(0,(SUMIFS(Desconto_Cliente_Mes!$N$2:$N$433,Desconto_Cliente_Mes!$A$2:$A$433,J$40,Desconto_Cliente_Mes!$B$2:$B$433,$A40,Desconto_Cliente_Mes!$C$2:$C$433,"Fibra"))-(SUMIFS(Desconto_Cliente_Mes!$P$2:$P$433,Desconto_Cliente_Mes!$A$2:$A$433,J$40,Desconto_Cliente_Mes!$B$2:$B$433,$A40,Desconto_Cliente_Mes!$C$2:$C$433,"Fibra")))</f>
        <v>0</v>
      </c>
      <c r="K44" s="15" t="n">
        <f aca="false">MAX(0,(SUMIFS(Desconto_Cliente_Mes!$N$2:$N$433,Desconto_Cliente_Mes!$A$2:$A$433,K$40,Desconto_Cliente_Mes!$B$2:$B$433,$A40,Desconto_Cliente_Mes!$C$2:$C$433,"Fibra"))-(SUMIFS(Desconto_Cliente_Mes!$P$2:$P$433,Desconto_Cliente_Mes!$A$2:$A$433,K$40,Desconto_Cliente_Mes!$B$2:$B$433,$A40,Desconto_Cliente_Mes!$C$2:$C$433,"Fibra")))</f>
        <v>0</v>
      </c>
      <c r="L44" s="15" t="n">
        <f aca="false">MAX(0,(SUMIFS(Desconto_Cliente_Mes!$N$2:$N$433,Desconto_Cliente_Mes!$A$2:$A$433,L$40,Desconto_Cliente_Mes!$B$2:$B$433,$A40,Desconto_Cliente_Mes!$C$2:$C$433,"Fibra"))-(SUMIFS(Desconto_Cliente_Mes!$P$2:$P$433,Desconto_Cliente_Mes!$A$2:$A$433,L$40,Desconto_Cliente_Mes!$B$2:$B$433,$A40,Desconto_Cliente_Mes!$C$2:$C$433,"Fibra")))</f>
        <v>0</v>
      </c>
      <c r="M44" s="15" t="n">
        <f aca="false">MAX(0,(SUMIFS(Desconto_Cliente_Mes!$N$2:$N$433,Desconto_Cliente_Mes!$A$2:$A$433,M$40,Desconto_Cliente_Mes!$B$2:$B$433,$A40,Desconto_Cliente_Mes!$C$2:$C$433,"Fibra"))-(SUMIFS(Desconto_Cliente_Mes!$P$2:$P$433,Desconto_Cliente_Mes!$A$2:$A$433,M$40,Desconto_Cliente_Mes!$B$2:$B$433,$A40,Desconto_Cliente_Mes!$C$2:$C$433,"Fibra")))</f>
        <v>0</v>
      </c>
    </row>
    <row r="45" customFormat="false" ht="15" hidden="false" customHeight="false" outlineLevel="0" collapsed="false">
      <c r="A45" s="13" t="s">
        <v>78</v>
      </c>
      <c r="B45" s="15" t="n">
        <f aca="false">MAX(0,SUMIFS(Desconto_Cliente_Mes!$P$2:$P$433,Desconto_Cliente_Mes!$A$2:$A$433,B$40,Desconto_Cliente_Mes!$B$2:$B$433,$A40,Desconto_Cliente_Mes!$C$2:$C$433,"Fibra"))</f>
        <v>0</v>
      </c>
      <c r="C45" s="15" t="n">
        <f aca="false">MAX(0,SUMIFS(Desconto_Cliente_Mes!$P$2:$P$433,Desconto_Cliente_Mes!$A$2:$A$433,C$40,Desconto_Cliente_Mes!$B$2:$B$433,$A40,Desconto_Cliente_Mes!$C$2:$C$433,"Fibra"))</f>
        <v>0</v>
      </c>
      <c r="D45" s="15" t="n">
        <f aca="false">MAX(0,SUMIFS(Desconto_Cliente_Mes!$P$2:$P$433,Desconto_Cliente_Mes!$A$2:$A$433,D$40,Desconto_Cliente_Mes!$B$2:$B$433,$A40,Desconto_Cliente_Mes!$C$2:$C$433,"Fibra"))</f>
        <v>0</v>
      </c>
      <c r="E45" s="15" t="n">
        <f aca="false">MAX(0,SUMIFS(Desconto_Cliente_Mes!$P$2:$P$433,Desconto_Cliente_Mes!$A$2:$A$433,E$40,Desconto_Cliente_Mes!$B$2:$B$433,$A40,Desconto_Cliente_Mes!$C$2:$C$433,"Fibra"))</f>
        <v>0</v>
      </c>
      <c r="F45" s="15" t="n">
        <f aca="false">MAX(0,SUMIFS(Desconto_Cliente_Mes!$P$2:$P$433,Desconto_Cliente_Mes!$A$2:$A$433,F$40,Desconto_Cliente_Mes!$B$2:$B$433,$A40,Desconto_Cliente_Mes!$C$2:$C$433,"Fibra"))</f>
        <v>0</v>
      </c>
      <c r="G45" s="15" t="n">
        <f aca="false">MAX(0,SUMIFS(Desconto_Cliente_Mes!$P$2:$P$433,Desconto_Cliente_Mes!$A$2:$A$433,G$40,Desconto_Cliente_Mes!$B$2:$B$433,$A40,Desconto_Cliente_Mes!$C$2:$C$433,"Fibra"))</f>
        <v>0</v>
      </c>
      <c r="H45" s="15" t="n">
        <f aca="false">MAX(0,SUMIFS(Desconto_Cliente_Mes!$P$2:$P$433,Desconto_Cliente_Mes!$A$2:$A$433,H$40,Desconto_Cliente_Mes!$B$2:$B$433,$A40,Desconto_Cliente_Mes!$C$2:$C$433,"Fibra"))</f>
        <v>0</v>
      </c>
      <c r="I45" s="15" t="n">
        <f aca="false">MAX(0,SUMIFS(Desconto_Cliente_Mes!$P$2:$P$433,Desconto_Cliente_Mes!$A$2:$A$433,I$40,Desconto_Cliente_Mes!$B$2:$B$433,$A40,Desconto_Cliente_Mes!$C$2:$C$433,"Fibra"))</f>
        <v>0</v>
      </c>
      <c r="J45" s="15" t="n">
        <f aca="false">MAX(0,SUMIFS(Desconto_Cliente_Mes!$P$2:$P$433,Desconto_Cliente_Mes!$A$2:$A$433,J$40,Desconto_Cliente_Mes!$B$2:$B$433,$A40,Desconto_Cliente_Mes!$C$2:$C$433,"Fibra"))</f>
        <v>0</v>
      </c>
      <c r="K45" s="15" t="n">
        <f aca="false">MAX(0,SUMIFS(Desconto_Cliente_Mes!$P$2:$P$433,Desconto_Cliente_Mes!$A$2:$A$433,K$40,Desconto_Cliente_Mes!$B$2:$B$433,$A40,Desconto_Cliente_Mes!$C$2:$C$433,"Fibra"))</f>
        <v>0</v>
      </c>
      <c r="L45" s="15" t="n">
        <f aca="false">MAX(0,SUMIFS(Desconto_Cliente_Mes!$P$2:$P$433,Desconto_Cliente_Mes!$A$2:$A$433,L$40,Desconto_Cliente_Mes!$B$2:$B$433,$A40,Desconto_Cliente_Mes!$C$2:$C$433,"Fibra"))</f>
        <v>0</v>
      </c>
      <c r="M45" s="15" t="n">
        <f aca="false">MAX(0,SUMIFS(Desconto_Cliente_Mes!$P$2:$P$433,Desconto_Cliente_Mes!$A$2:$A$433,M$40,Desconto_Cliente_Mes!$B$2:$B$433,$A40,Desconto_Cliente_Mes!$C$2:$C$433,"Fibra"))</f>
        <v>0</v>
      </c>
    </row>
    <row r="46" customFormat="false" ht="15" hidden="false" customHeight="false" outlineLevel="0" collapsed="false">
      <c r="A46" s="13" t="s">
        <v>79</v>
      </c>
      <c r="B46" s="16" t="n">
        <f aca="false">$B$42*($B$43/100)*(SUMIFS(Desconto_Cliente_Mes!$Q$2:$Q$433,Desconto_Cliente_Mes!$A$2:$A$433,B$40,Desconto_Cliente_Mes!$B$2:$B$433,$A40,Desconto_Cliente_Mes!$C$2:$C$433,"Fibra"))*(SUMIFS(Desconto_Cliente_Mes!$T$2:$T$433,Desconto_Cliente_Mes!$A$2:$A$433,B$40,Desconto_Cliente_Mes!$B$2:$B$433,$A40,Desconto_Cliente_Mes!$C$2:$C$433,"Fibra"))</f>
        <v>6161.3716620637</v>
      </c>
      <c r="C46" s="16" t="n">
        <f aca="false">$C$42*($C$43/100)*(SUMIFS(Desconto_Cliente_Mes!$Q$2:$Q$433,Desconto_Cliente_Mes!$A$2:$A$433,C$40,Desconto_Cliente_Mes!$B$2:$B$433,$A40,Desconto_Cliente_Mes!$C$2:$C$433,"Fibra"))*(SUMIFS(Desconto_Cliente_Mes!$T$2:$T$433,Desconto_Cliente_Mes!$A$2:$A$433,C$40,Desconto_Cliente_Mes!$B$2:$B$433,$A40,Desconto_Cliente_Mes!$C$2:$C$433,"Fibra"))</f>
        <v>0</v>
      </c>
      <c r="D46" s="16" t="n">
        <f aca="false">$D$42*($D$43/100)*(SUMIFS(Desconto_Cliente_Mes!$Q$2:$Q$433,Desconto_Cliente_Mes!$A$2:$A$433,D$40,Desconto_Cliente_Mes!$B$2:$B$433,$A40,Desconto_Cliente_Mes!$C$2:$C$433,"Fibra"))*(SUMIFS(Desconto_Cliente_Mes!$T$2:$T$433,Desconto_Cliente_Mes!$A$2:$A$433,D$40,Desconto_Cliente_Mes!$B$2:$B$433,$A40,Desconto_Cliente_Mes!$C$2:$C$433,"Fibra"))</f>
        <v>0</v>
      </c>
      <c r="E46" s="16" t="n">
        <f aca="false">$E$42*($E$43/100)*(SUMIFS(Desconto_Cliente_Mes!$Q$2:$Q$433,Desconto_Cliente_Mes!$A$2:$A$433,E$40,Desconto_Cliente_Mes!$B$2:$B$433,$A40,Desconto_Cliente_Mes!$C$2:$C$433,"Fibra"))*(SUMIFS(Desconto_Cliente_Mes!$T$2:$T$433,Desconto_Cliente_Mes!$A$2:$A$433,E$40,Desconto_Cliente_Mes!$B$2:$B$433,$A40,Desconto_Cliente_Mes!$C$2:$C$433,"Fibra"))</f>
        <v>0</v>
      </c>
      <c r="F46" s="16" t="n">
        <f aca="false">$F$42*($F$43/100)*(SUMIFS(Desconto_Cliente_Mes!$Q$2:$Q$433,Desconto_Cliente_Mes!$A$2:$A$433,F$40,Desconto_Cliente_Mes!$B$2:$B$433,$A40,Desconto_Cliente_Mes!$C$2:$C$433,"Fibra"))*(SUMIFS(Desconto_Cliente_Mes!$T$2:$T$433,Desconto_Cliente_Mes!$A$2:$A$433,F$40,Desconto_Cliente_Mes!$B$2:$B$433,$A40,Desconto_Cliente_Mes!$C$2:$C$433,"Fibra"))</f>
        <v>38293.9794454779</v>
      </c>
      <c r="G46" s="16" t="n">
        <f aca="false">$G$42*($G$43/100)*(SUMIFS(Desconto_Cliente_Mes!$Q$2:$Q$433,Desconto_Cliente_Mes!$A$2:$A$433,G$40,Desconto_Cliente_Mes!$B$2:$B$433,$A40,Desconto_Cliente_Mes!$C$2:$C$433,"Fibra"))*(SUMIFS(Desconto_Cliente_Mes!$T$2:$T$433,Desconto_Cliente_Mes!$A$2:$A$433,G$40,Desconto_Cliente_Mes!$B$2:$B$433,$A40,Desconto_Cliente_Mes!$C$2:$C$433,"Fibra"))</f>
        <v>0</v>
      </c>
      <c r="H46" s="16" t="n">
        <f aca="false">$H$42*($H$43/100)*(SUMIFS(Desconto_Cliente_Mes!$Q$2:$Q$433,Desconto_Cliente_Mes!$A$2:$A$433,H$40,Desconto_Cliente_Mes!$B$2:$B$433,$A40,Desconto_Cliente_Mes!$C$2:$C$433,"Fibra"))*(SUMIFS(Desconto_Cliente_Mes!$T$2:$T$433,Desconto_Cliente_Mes!$A$2:$A$433,H$40,Desconto_Cliente_Mes!$B$2:$B$433,$A40,Desconto_Cliente_Mes!$C$2:$C$433,"Fibra"))</f>
        <v>1490.60931783364</v>
      </c>
      <c r="I46" s="16" t="n">
        <f aca="false">$I$42*($I$43/100)*(SUMIFS(Desconto_Cliente_Mes!$Q$2:$Q$433,Desconto_Cliente_Mes!$A$2:$A$433,I$40,Desconto_Cliente_Mes!$B$2:$B$433,$A40,Desconto_Cliente_Mes!$C$2:$C$433,"Fibra"))*(SUMIFS(Desconto_Cliente_Mes!$T$2:$T$433,Desconto_Cliente_Mes!$A$2:$A$433,I$40,Desconto_Cliente_Mes!$B$2:$B$433,$A40,Desconto_Cliente_Mes!$C$2:$C$433,"Fibra"))</f>
        <v>0</v>
      </c>
      <c r="J46" s="16" t="n">
        <f aca="false">$J$42*($J$43/100)*(SUMIFS(Desconto_Cliente_Mes!$Q$2:$Q$433,Desconto_Cliente_Mes!$A$2:$A$433,J$40,Desconto_Cliente_Mes!$B$2:$B$433,$A40,Desconto_Cliente_Mes!$C$2:$C$433,"Fibra"))*(SUMIFS(Desconto_Cliente_Mes!$T$2:$T$433,Desconto_Cliente_Mes!$A$2:$A$433,J$40,Desconto_Cliente_Mes!$B$2:$B$433,$A40,Desconto_Cliente_Mes!$C$2:$C$433,"Fibra"))</f>
        <v>0</v>
      </c>
      <c r="K46" s="16" t="n">
        <f aca="false">$K$42*($K$43/100)*(SUMIFS(Desconto_Cliente_Mes!$Q$2:$Q$433,Desconto_Cliente_Mes!$A$2:$A$433,K$40,Desconto_Cliente_Mes!$B$2:$B$433,$A40,Desconto_Cliente_Mes!$C$2:$C$433,"Fibra"))*(SUMIFS(Desconto_Cliente_Mes!$T$2:$T$433,Desconto_Cliente_Mes!$A$2:$A$433,K$40,Desconto_Cliente_Mes!$B$2:$B$433,$A40,Desconto_Cliente_Mes!$C$2:$C$433,"Fibra"))</f>
        <v>0</v>
      </c>
      <c r="L46" s="16" t="n">
        <f aca="false">$L$42*($L$43/100)*(SUMIFS(Desconto_Cliente_Mes!$Q$2:$Q$433,Desconto_Cliente_Mes!$A$2:$A$433,L$40,Desconto_Cliente_Mes!$B$2:$B$433,$A40,Desconto_Cliente_Mes!$C$2:$C$433,"Fibra"))*(SUMIFS(Desconto_Cliente_Mes!$T$2:$T$433,Desconto_Cliente_Mes!$A$2:$A$433,L$40,Desconto_Cliente_Mes!$B$2:$B$433,$A40,Desconto_Cliente_Mes!$C$2:$C$433,"Fibra"))</f>
        <v>0</v>
      </c>
      <c r="M46" s="16" t="n">
        <f aca="false">$M$42*($M$43/100)*(SUMIFS(Desconto_Cliente_Mes!$Q$2:$Q$433,Desconto_Cliente_Mes!$A$2:$A$433,M$40,Desconto_Cliente_Mes!$B$2:$B$433,$A40,Desconto_Cliente_Mes!$C$2:$C$433,"Fibra"))*(SUMIFS(Desconto_Cliente_Mes!$T$2:$T$433,Desconto_Cliente_Mes!$A$2:$A$433,M$40,Desconto_Cliente_Mes!$B$2:$B$433,$A40,Desconto_Cliente_Mes!$C$2:$C$433,"Fibra"))</f>
        <v>0</v>
      </c>
      <c r="N46" s="17" t="n">
        <f aca="false">SUM(B46:M46)</f>
        <v>45945.9604253752</v>
      </c>
    </row>
    <row r="47" customFormat="false" ht="15" hidden="false" customHeight="false" outlineLevel="0" collapsed="false">
      <c r="A47" s="13" t="s">
        <v>80</v>
      </c>
      <c r="B47" s="16" t="n">
        <f aca="false">$B$42*($B$44/100)*((IF(SUMIFS(Desconto_Cliente_Mes!$R$2:$R$433,Desconto_Cliente_Mes!$A$2:$A$433,B$40,Desconto_Cliente_Mes!$B$2:$B$433,$A40,Desconto_Cliente_Mes!$C$2:$C$433,"Fibra")="",SUMIFS(Desconto_Cliente_Mes!$Q$2:$Q$433,Desconto_Cliente_Mes!$A$2:$A$433,B$40,Desconto_Cliente_Mes!$B$2:$B$433,$A40,Desconto_Cliente_Mes!$C$2:$C$433,"Fibra"),SUMIFS(Desconto_Cliente_Mes!$R$2:$R$433,Desconto_Cliente_Mes!$A$2:$A$433,B$40,Desconto_Cliente_Mes!$B$2:$B$433,$A40,Desconto_Cliente_Mes!$C$2:$C$433,"Fibra")))-(SUMIFS(Desconto_Cliente_Mes!$Q$2:$Q$433,Desconto_Cliente_Mes!$A$2:$A$433,B$40,Desconto_Cliente_Mes!$B$2:$B$433,$A40,Desconto_Cliente_Mes!$C$2:$C$433,"Fibra")))*(SUMIFS(Desconto_Cliente_Mes!$T$2:$T$433,Desconto_Cliente_Mes!$A$2:$A$433,B$40,Desconto_Cliente_Mes!$B$2:$B$433,$A40,Desconto_Cliente_Mes!$C$2:$C$433,"Fibra"))</f>
        <v>0</v>
      </c>
      <c r="C47" s="16" t="n">
        <f aca="false">$C$42*($C$44/100)*((IF(SUMIFS(Desconto_Cliente_Mes!$R$2:$R$433,Desconto_Cliente_Mes!$A$2:$A$433,C$40,Desconto_Cliente_Mes!$B$2:$B$433,$A40,Desconto_Cliente_Mes!$C$2:$C$433,"Fibra")="",SUMIFS(Desconto_Cliente_Mes!$Q$2:$Q$433,Desconto_Cliente_Mes!$A$2:$A$433,C$40,Desconto_Cliente_Mes!$B$2:$B$433,$A40,Desconto_Cliente_Mes!$C$2:$C$433,"Fibra"),SUMIFS(Desconto_Cliente_Mes!$R$2:$R$433,Desconto_Cliente_Mes!$A$2:$A$433,C$40,Desconto_Cliente_Mes!$B$2:$B$433,$A40,Desconto_Cliente_Mes!$C$2:$C$433,"Fibra")))-(SUMIFS(Desconto_Cliente_Mes!$Q$2:$Q$433,Desconto_Cliente_Mes!$A$2:$A$433,C$40,Desconto_Cliente_Mes!$B$2:$B$433,$A40,Desconto_Cliente_Mes!$C$2:$C$433,"Fibra")))*(SUMIFS(Desconto_Cliente_Mes!$T$2:$T$433,Desconto_Cliente_Mes!$A$2:$A$433,C$40,Desconto_Cliente_Mes!$B$2:$B$433,$A40,Desconto_Cliente_Mes!$C$2:$C$433,"Fibra"))</f>
        <v>0</v>
      </c>
      <c r="D47" s="16" t="n">
        <f aca="false">$D$42*($D$44/100)*((IF(SUMIFS(Desconto_Cliente_Mes!$R$2:$R$433,Desconto_Cliente_Mes!$A$2:$A$433,D$40,Desconto_Cliente_Mes!$B$2:$B$433,$A40,Desconto_Cliente_Mes!$C$2:$C$433,"Fibra")="",SUMIFS(Desconto_Cliente_Mes!$Q$2:$Q$433,Desconto_Cliente_Mes!$A$2:$A$433,D$40,Desconto_Cliente_Mes!$B$2:$B$433,$A40,Desconto_Cliente_Mes!$C$2:$C$433,"Fibra"),SUMIFS(Desconto_Cliente_Mes!$R$2:$R$433,Desconto_Cliente_Mes!$A$2:$A$433,D$40,Desconto_Cliente_Mes!$B$2:$B$433,$A40,Desconto_Cliente_Mes!$C$2:$C$433,"Fibra")))-(SUMIFS(Desconto_Cliente_Mes!$Q$2:$Q$433,Desconto_Cliente_Mes!$A$2:$A$433,D$40,Desconto_Cliente_Mes!$B$2:$B$433,$A40,Desconto_Cliente_Mes!$C$2:$C$433,"Fibra")))*(SUMIFS(Desconto_Cliente_Mes!$T$2:$T$433,Desconto_Cliente_Mes!$A$2:$A$433,D$40,Desconto_Cliente_Mes!$B$2:$B$433,$A40,Desconto_Cliente_Mes!$C$2:$C$433,"Fibra"))</f>
        <v>0</v>
      </c>
      <c r="E47" s="16" t="n">
        <f aca="false">$E$42*($E$44/100)*((IF(SUMIFS(Desconto_Cliente_Mes!$R$2:$R$433,Desconto_Cliente_Mes!$A$2:$A$433,E$40,Desconto_Cliente_Mes!$B$2:$B$433,$A40,Desconto_Cliente_Mes!$C$2:$C$433,"Fibra")="",SUMIFS(Desconto_Cliente_Mes!$Q$2:$Q$433,Desconto_Cliente_Mes!$A$2:$A$433,E$40,Desconto_Cliente_Mes!$B$2:$B$433,$A40,Desconto_Cliente_Mes!$C$2:$C$433,"Fibra"),SUMIFS(Desconto_Cliente_Mes!$R$2:$R$433,Desconto_Cliente_Mes!$A$2:$A$433,E$40,Desconto_Cliente_Mes!$B$2:$B$433,$A40,Desconto_Cliente_Mes!$C$2:$C$433,"Fibra")))-(SUMIFS(Desconto_Cliente_Mes!$Q$2:$Q$433,Desconto_Cliente_Mes!$A$2:$A$433,E$40,Desconto_Cliente_Mes!$B$2:$B$433,$A40,Desconto_Cliente_Mes!$C$2:$C$433,"Fibra")))*(SUMIFS(Desconto_Cliente_Mes!$T$2:$T$433,Desconto_Cliente_Mes!$A$2:$A$433,E$40,Desconto_Cliente_Mes!$B$2:$B$433,$A40,Desconto_Cliente_Mes!$C$2:$C$433,"Fibra"))</f>
        <v>0</v>
      </c>
      <c r="F47" s="16" t="n">
        <f aca="false">$F$42*($F$44/100)*((IF(SUMIFS(Desconto_Cliente_Mes!$R$2:$R$433,Desconto_Cliente_Mes!$A$2:$A$433,F$40,Desconto_Cliente_Mes!$B$2:$B$433,$A40,Desconto_Cliente_Mes!$C$2:$C$433,"Fibra")="",SUMIFS(Desconto_Cliente_Mes!$Q$2:$Q$433,Desconto_Cliente_Mes!$A$2:$A$433,F$40,Desconto_Cliente_Mes!$B$2:$B$433,$A40,Desconto_Cliente_Mes!$C$2:$C$433,"Fibra"),SUMIFS(Desconto_Cliente_Mes!$R$2:$R$433,Desconto_Cliente_Mes!$A$2:$A$433,F$40,Desconto_Cliente_Mes!$B$2:$B$433,$A40,Desconto_Cliente_Mes!$C$2:$C$433,"Fibra")))-(SUMIFS(Desconto_Cliente_Mes!$Q$2:$Q$433,Desconto_Cliente_Mes!$A$2:$A$433,F$40,Desconto_Cliente_Mes!$B$2:$B$433,$A40,Desconto_Cliente_Mes!$C$2:$C$433,"Fibra")))*(SUMIFS(Desconto_Cliente_Mes!$T$2:$T$433,Desconto_Cliente_Mes!$A$2:$A$433,F$40,Desconto_Cliente_Mes!$B$2:$B$433,$A40,Desconto_Cliente_Mes!$C$2:$C$433,"Fibra"))</f>
        <v>0</v>
      </c>
      <c r="G47" s="16" t="n">
        <f aca="false">$G$42*($G$44/100)*((IF(SUMIFS(Desconto_Cliente_Mes!$R$2:$R$433,Desconto_Cliente_Mes!$A$2:$A$433,G$40,Desconto_Cliente_Mes!$B$2:$B$433,$A40,Desconto_Cliente_Mes!$C$2:$C$433,"Fibra")="",SUMIFS(Desconto_Cliente_Mes!$Q$2:$Q$433,Desconto_Cliente_Mes!$A$2:$A$433,G$40,Desconto_Cliente_Mes!$B$2:$B$433,$A40,Desconto_Cliente_Mes!$C$2:$C$433,"Fibra"),SUMIFS(Desconto_Cliente_Mes!$R$2:$R$433,Desconto_Cliente_Mes!$A$2:$A$433,G$40,Desconto_Cliente_Mes!$B$2:$B$433,$A40,Desconto_Cliente_Mes!$C$2:$C$433,"Fibra")))-(SUMIFS(Desconto_Cliente_Mes!$Q$2:$Q$433,Desconto_Cliente_Mes!$A$2:$A$433,G$40,Desconto_Cliente_Mes!$B$2:$B$433,$A40,Desconto_Cliente_Mes!$C$2:$C$433,"Fibra")))*(SUMIFS(Desconto_Cliente_Mes!$T$2:$T$433,Desconto_Cliente_Mes!$A$2:$A$433,G$40,Desconto_Cliente_Mes!$B$2:$B$433,$A40,Desconto_Cliente_Mes!$C$2:$C$433,"Fibra"))</f>
        <v>0</v>
      </c>
      <c r="H47" s="16" t="n">
        <f aca="false">$H$42*($H$44/100)*((IF(SUMIFS(Desconto_Cliente_Mes!$R$2:$R$433,Desconto_Cliente_Mes!$A$2:$A$433,H$40,Desconto_Cliente_Mes!$B$2:$B$433,$A40,Desconto_Cliente_Mes!$C$2:$C$433,"Fibra")="",SUMIFS(Desconto_Cliente_Mes!$Q$2:$Q$433,Desconto_Cliente_Mes!$A$2:$A$433,H$40,Desconto_Cliente_Mes!$B$2:$B$433,$A40,Desconto_Cliente_Mes!$C$2:$C$433,"Fibra"),SUMIFS(Desconto_Cliente_Mes!$R$2:$R$433,Desconto_Cliente_Mes!$A$2:$A$433,H$40,Desconto_Cliente_Mes!$B$2:$B$433,$A40,Desconto_Cliente_Mes!$C$2:$C$433,"Fibra")))-(SUMIFS(Desconto_Cliente_Mes!$Q$2:$Q$433,Desconto_Cliente_Mes!$A$2:$A$433,H$40,Desconto_Cliente_Mes!$B$2:$B$433,$A40,Desconto_Cliente_Mes!$C$2:$C$433,"Fibra")))*(SUMIFS(Desconto_Cliente_Mes!$T$2:$T$433,Desconto_Cliente_Mes!$A$2:$A$433,H$40,Desconto_Cliente_Mes!$B$2:$B$433,$A40,Desconto_Cliente_Mes!$C$2:$C$433,"Fibra"))</f>
        <v>0</v>
      </c>
      <c r="I47" s="16" t="n">
        <f aca="false">$I$42*($I$44/100)*((IF(SUMIFS(Desconto_Cliente_Mes!$R$2:$R$433,Desconto_Cliente_Mes!$A$2:$A$433,I$40,Desconto_Cliente_Mes!$B$2:$B$433,$A40,Desconto_Cliente_Mes!$C$2:$C$433,"Fibra")="",SUMIFS(Desconto_Cliente_Mes!$Q$2:$Q$433,Desconto_Cliente_Mes!$A$2:$A$433,I$40,Desconto_Cliente_Mes!$B$2:$B$433,$A40,Desconto_Cliente_Mes!$C$2:$C$433,"Fibra"),SUMIFS(Desconto_Cliente_Mes!$R$2:$R$433,Desconto_Cliente_Mes!$A$2:$A$433,I$40,Desconto_Cliente_Mes!$B$2:$B$433,$A40,Desconto_Cliente_Mes!$C$2:$C$433,"Fibra")))-(SUMIFS(Desconto_Cliente_Mes!$Q$2:$Q$433,Desconto_Cliente_Mes!$A$2:$A$433,I$40,Desconto_Cliente_Mes!$B$2:$B$433,$A40,Desconto_Cliente_Mes!$C$2:$C$433,"Fibra")))*(SUMIFS(Desconto_Cliente_Mes!$T$2:$T$433,Desconto_Cliente_Mes!$A$2:$A$433,I$40,Desconto_Cliente_Mes!$B$2:$B$433,$A40,Desconto_Cliente_Mes!$C$2:$C$433,"Fibra"))</f>
        <v>0</v>
      </c>
      <c r="J47" s="16" t="n">
        <f aca="false">$J$42*($J$44/100)*((IF(SUMIFS(Desconto_Cliente_Mes!$R$2:$R$433,Desconto_Cliente_Mes!$A$2:$A$433,J$40,Desconto_Cliente_Mes!$B$2:$B$433,$A40,Desconto_Cliente_Mes!$C$2:$C$433,"Fibra")="",SUMIFS(Desconto_Cliente_Mes!$Q$2:$Q$433,Desconto_Cliente_Mes!$A$2:$A$433,J$40,Desconto_Cliente_Mes!$B$2:$B$433,$A40,Desconto_Cliente_Mes!$C$2:$C$433,"Fibra"),SUMIFS(Desconto_Cliente_Mes!$R$2:$R$433,Desconto_Cliente_Mes!$A$2:$A$433,J$40,Desconto_Cliente_Mes!$B$2:$B$433,$A40,Desconto_Cliente_Mes!$C$2:$C$433,"Fibra")))-(SUMIFS(Desconto_Cliente_Mes!$Q$2:$Q$433,Desconto_Cliente_Mes!$A$2:$A$433,J$40,Desconto_Cliente_Mes!$B$2:$B$433,$A40,Desconto_Cliente_Mes!$C$2:$C$433,"Fibra")))*(SUMIFS(Desconto_Cliente_Mes!$T$2:$T$433,Desconto_Cliente_Mes!$A$2:$A$433,J$40,Desconto_Cliente_Mes!$B$2:$B$433,$A40,Desconto_Cliente_Mes!$C$2:$C$433,"Fibra"))</f>
        <v>0</v>
      </c>
      <c r="K47" s="16" t="n">
        <f aca="false">$K$42*($K$44/100)*((IF(SUMIFS(Desconto_Cliente_Mes!$R$2:$R$433,Desconto_Cliente_Mes!$A$2:$A$433,K$40,Desconto_Cliente_Mes!$B$2:$B$433,$A40,Desconto_Cliente_Mes!$C$2:$C$433,"Fibra")="",SUMIFS(Desconto_Cliente_Mes!$Q$2:$Q$433,Desconto_Cliente_Mes!$A$2:$A$433,K$40,Desconto_Cliente_Mes!$B$2:$B$433,$A40,Desconto_Cliente_Mes!$C$2:$C$433,"Fibra"),SUMIFS(Desconto_Cliente_Mes!$R$2:$R$433,Desconto_Cliente_Mes!$A$2:$A$433,K$40,Desconto_Cliente_Mes!$B$2:$B$433,$A40,Desconto_Cliente_Mes!$C$2:$C$433,"Fibra")))-(SUMIFS(Desconto_Cliente_Mes!$Q$2:$Q$433,Desconto_Cliente_Mes!$A$2:$A$433,K$40,Desconto_Cliente_Mes!$B$2:$B$433,$A40,Desconto_Cliente_Mes!$C$2:$C$433,"Fibra")))*(SUMIFS(Desconto_Cliente_Mes!$T$2:$T$433,Desconto_Cliente_Mes!$A$2:$A$433,K$40,Desconto_Cliente_Mes!$B$2:$B$433,$A40,Desconto_Cliente_Mes!$C$2:$C$433,"Fibra"))</f>
        <v>0</v>
      </c>
      <c r="L47" s="16" t="n">
        <f aca="false">$L$42*($L$44/100)*((IF(SUMIFS(Desconto_Cliente_Mes!$R$2:$R$433,Desconto_Cliente_Mes!$A$2:$A$433,L$40,Desconto_Cliente_Mes!$B$2:$B$433,$A40,Desconto_Cliente_Mes!$C$2:$C$433,"Fibra")="",SUMIFS(Desconto_Cliente_Mes!$Q$2:$Q$433,Desconto_Cliente_Mes!$A$2:$A$433,L$40,Desconto_Cliente_Mes!$B$2:$B$433,$A40,Desconto_Cliente_Mes!$C$2:$C$433,"Fibra"),SUMIFS(Desconto_Cliente_Mes!$R$2:$R$433,Desconto_Cliente_Mes!$A$2:$A$433,L$40,Desconto_Cliente_Mes!$B$2:$B$433,$A40,Desconto_Cliente_Mes!$C$2:$C$433,"Fibra")))-(SUMIFS(Desconto_Cliente_Mes!$Q$2:$Q$433,Desconto_Cliente_Mes!$A$2:$A$433,L$40,Desconto_Cliente_Mes!$B$2:$B$433,$A40,Desconto_Cliente_Mes!$C$2:$C$433,"Fibra")))*(SUMIFS(Desconto_Cliente_Mes!$T$2:$T$433,Desconto_Cliente_Mes!$A$2:$A$433,L$40,Desconto_Cliente_Mes!$B$2:$B$433,$A40,Desconto_Cliente_Mes!$C$2:$C$433,"Fibra"))</f>
        <v>0</v>
      </c>
      <c r="M47" s="16" t="n">
        <f aca="false">$M$42*($M$44/100)*((IF(SUMIFS(Desconto_Cliente_Mes!$R$2:$R$433,Desconto_Cliente_Mes!$A$2:$A$433,M$40,Desconto_Cliente_Mes!$B$2:$B$433,$A40,Desconto_Cliente_Mes!$C$2:$C$433,"Fibra")="",SUMIFS(Desconto_Cliente_Mes!$Q$2:$Q$433,Desconto_Cliente_Mes!$A$2:$A$433,M$40,Desconto_Cliente_Mes!$B$2:$B$433,$A40,Desconto_Cliente_Mes!$C$2:$C$433,"Fibra"),SUMIFS(Desconto_Cliente_Mes!$R$2:$R$433,Desconto_Cliente_Mes!$A$2:$A$433,M$40,Desconto_Cliente_Mes!$B$2:$B$433,$A40,Desconto_Cliente_Mes!$C$2:$C$433,"Fibra")))-(SUMIFS(Desconto_Cliente_Mes!$Q$2:$Q$433,Desconto_Cliente_Mes!$A$2:$A$433,M$40,Desconto_Cliente_Mes!$B$2:$B$433,$A40,Desconto_Cliente_Mes!$C$2:$C$433,"Fibra")))*(SUMIFS(Desconto_Cliente_Mes!$T$2:$T$433,Desconto_Cliente_Mes!$A$2:$A$433,M$40,Desconto_Cliente_Mes!$B$2:$B$433,$A40,Desconto_Cliente_Mes!$C$2:$C$433,"Fibra"))</f>
        <v>0</v>
      </c>
      <c r="N47" s="17" t="n">
        <f aca="false">SUM(B47:M47)</f>
        <v>0</v>
      </c>
    </row>
    <row r="48" customFormat="false" ht="15" hidden="false" customHeight="false" outlineLevel="0" collapsed="false">
      <c r="A48" s="13" t="s">
        <v>81</v>
      </c>
      <c r="B48" s="16" t="n">
        <f aca="false">$B$42*($B$45/100)*((IF(SUMIFS(Desconto_Cliente_Mes!$S$2:$S$433,Desconto_Cliente_Mes!$A$2:$A$433,B$40,Desconto_Cliente_Mes!$B$2:$B$433,$A40,Desconto_Cliente_Mes!$C$2:$C$433,"Fibra")="",(IF(SUMIFS(Desconto_Cliente_Mes!$R$2:$R$433,Desconto_Cliente_Mes!$A$2:$A$433,B$40,Desconto_Cliente_Mes!$B$2:$B$433,$A40,Desconto_Cliente_Mes!$C$2:$C$433,"Fibra")="",SUMIFS(Desconto_Cliente_Mes!$Q$2:$Q$433,Desconto_Cliente_Mes!$A$2:$A$433,B$40,Desconto_Cliente_Mes!$B$2:$B$433,$A40,Desconto_Cliente_Mes!$C$2:$C$433,"Fibra"),SUMIFS(Desconto_Cliente_Mes!$R$2:$R$433,Desconto_Cliente_Mes!$A$2:$A$433,B$40,Desconto_Cliente_Mes!$B$2:$B$433,$A40,Desconto_Cliente_Mes!$C$2:$C$433,"Fibra"))),SUMIFS(Desconto_Cliente_Mes!$S$2:$S$433,Desconto_Cliente_Mes!$A$2:$A$433,B$40,Desconto_Cliente_Mes!$B$2:$B$433,$A40,Desconto_Cliente_Mes!$C$2:$C$433,"Fibra")))-(IF(SUMIFS(Desconto_Cliente_Mes!$R$2:$R$433,Desconto_Cliente_Mes!$A$2:$A$433,B$40,Desconto_Cliente_Mes!$B$2:$B$433,$A40,Desconto_Cliente_Mes!$C$2:$C$433,"Fibra")="",SUMIFS(Desconto_Cliente_Mes!$Q$2:$Q$433,Desconto_Cliente_Mes!$A$2:$A$433,B$40,Desconto_Cliente_Mes!$B$2:$B$433,$A40,Desconto_Cliente_Mes!$C$2:$C$433,"Fibra"),SUMIFS(Desconto_Cliente_Mes!$R$2:$R$433,Desconto_Cliente_Mes!$A$2:$A$433,B$40,Desconto_Cliente_Mes!$B$2:$B$433,$A40,Desconto_Cliente_Mes!$C$2:$C$433,"Fibra"))))*(SUMIFS(Desconto_Cliente_Mes!$T$2:$T$433,Desconto_Cliente_Mes!$A$2:$A$433,B$40,Desconto_Cliente_Mes!$B$2:$B$433,$A40,Desconto_Cliente_Mes!$C$2:$C$433,"Fibra"))</f>
        <v>0</v>
      </c>
      <c r="C48" s="16" t="n">
        <f aca="false">$C$42*($C$45/100)*((IF(SUMIFS(Desconto_Cliente_Mes!$S$2:$S$433,Desconto_Cliente_Mes!$A$2:$A$433,C$40,Desconto_Cliente_Mes!$B$2:$B$433,$A40,Desconto_Cliente_Mes!$C$2:$C$433,"Fibra")="",(IF(SUMIFS(Desconto_Cliente_Mes!$R$2:$R$433,Desconto_Cliente_Mes!$A$2:$A$433,C$40,Desconto_Cliente_Mes!$B$2:$B$433,$A40,Desconto_Cliente_Mes!$C$2:$C$433,"Fibra")="",SUMIFS(Desconto_Cliente_Mes!$Q$2:$Q$433,Desconto_Cliente_Mes!$A$2:$A$433,C$40,Desconto_Cliente_Mes!$B$2:$B$433,$A40,Desconto_Cliente_Mes!$C$2:$C$433,"Fibra"),SUMIFS(Desconto_Cliente_Mes!$R$2:$R$433,Desconto_Cliente_Mes!$A$2:$A$433,C$40,Desconto_Cliente_Mes!$B$2:$B$433,$A40,Desconto_Cliente_Mes!$C$2:$C$433,"Fibra"))),SUMIFS(Desconto_Cliente_Mes!$S$2:$S$433,Desconto_Cliente_Mes!$A$2:$A$433,C$40,Desconto_Cliente_Mes!$B$2:$B$433,$A40,Desconto_Cliente_Mes!$C$2:$C$433,"Fibra")))-(IF(SUMIFS(Desconto_Cliente_Mes!$R$2:$R$433,Desconto_Cliente_Mes!$A$2:$A$433,C$40,Desconto_Cliente_Mes!$B$2:$B$433,$A40,Desconto_Cliente_Mes!$C$2:$C$433,"Fibra")="",SUMIFS(Desconto_Cliente_Mes!$Q$2:$Q$433,Desconto_Cliente_Mes!$A$2:$A$433,C$40,Desconto_Cliente_Mes!$B$2:$B$433,$A40,Desconto_Cliente_Mes!$C$2:$C$433,"Fibra"),SUMIFS(Desconto_Cliente_Mes!$R$2:$R$433,Desconto_Cliente_Mes!$A$2:$A$433,C$40,Desconto_Cliente_Mes!$B$2:$B$433,$A40,Desconto_Cliente_Mes!$C$2:$C$433,"Fibra"))))*(SUMIFS(Desconto_Cliente_Mes!$T$2:$T$433,Desconto_Cliente_Mes!$A$2:$A$433,C$40,Desconto_Cliente_Mes!$B$2:$B$433,$A40,Desconto_Cliente_Mes!$C$2:$C$433,"Fibra"))</f>
        <v>0</v>
      </c>
      <c r="D48" s="16" t="n">
        <f aca="false">$D$42*($D$45/100)*((IF(SUMIFS(Desconto_Cliente_Mes!$S$2:$S$433,Desconto_Cliente_Mes!$A$2:$A$433,D$40,Desconto_Cliente_Mes!$B$2:$B$433,$A40,Desconto_Cliente_Mes!$C$2:$C$433,"Fibra")="",(IF(SUMIFS(Desconto_Cliente_Mes!$R$2:$R$433,Desconto_Cliente_Mes!$A$2:$A$433,D$40,Desconto_Cliente_Mes!$B$2:$B$433,$A40,Desconto_Cliente_Mes!$C$2:$C$433,"Fibra")="",SUMIFS(Desconto_Cliente_Mes!$Q$2:$Q$433,Desconto_Cliente_Mes!$A$2:$A$433,D$40,Desconto_Cliente_Mes!$B$2:$B$433,$A40,Desconto_Cliente_Mes!$C$2:$C$433,"Fibra"),SUMIFS(Desconto_Cliente_Mes!$R$2:$R$433,Desconto_Cliente_Mes!$A$2:$A$433,D$40,Desconto_Cliente_Mes!$B$2:$B$433,$A40,Desconto_Cliente_Mes!$C$2:$C$433,"Fibra"))),SUMIFS(Desconto_Cliente_Mes!$S$2:$S$433,Desconto_Cliente_Mes!$A$2:$A$433,D$40,Desconto_Cliente_Mes!$B$2:$B$433,$A40,Desconto_Cliente_Mes!$C$2:$C$433,"Fibra")))-(IF(SUMIFS(Desconto_Cliente_Mes!$R$2:$R$433,Desconto_Cliente_Mes!$A$2:$A$433,D$40,Desconto_Cliente_Mes!$B$2:$B$433,$A40,Desconto_Cliente_Mes!$C$2:$C$433,"Fibra")="",SUMIFS(Desconto_Cliente_Mes!$Q$2:$Q$433,Desconto_Cliente_Mes!$A$2:$A$433,D$40,Desconto_Cliente_Mes!$B$2:$B$433,$A40,Desconto_Cliente_Mes!$C$2:$C$433,"Fibra"),SUMIFS(Desconto_Cliente_Mes!$R$2:$R$433,Desconto_Cliente_Mes!$A$2:$A$433,D$40,Desconto_Cliente_Mes!$B$2:$B$433,$A40,Desconto_Cliente_Mes!$C$2:$C$433,"Fibra"))))*(SUMIFS(Desconto_Cliente_Mes!$T$2:$T$433,Desconto_Cliente_Mes!$A$2:$A$433,D$40,Desconto_Cliente_Mes!$B$2:$B$433,$A40,Desconto_Cliente_Mes!$C$2:$C$433,"Fibra"))</f>
        <v>0</v>
      </c>
      <c r="E48" s="16" t="n">
        <f aca="false">$E$42*($E$45/100)*((IF(SUMIFS(Desconto_Cliente_Mes!$S$2:$S$433,Desconto_Cliente_Mes!$A$2:$A$433,E$40,Desconto_Cliente_Mes!$B$2:$B$433,$A40,Desconto_Cliente_Mes!$C$2:$C$433,"Fibra")="",(IF(SUMIFS(Desconto_Cliente_Mes!$R$2:$R$433,Desconto_Cliente_Mes!$A$2:$A$433,E$40,Desconto_Cliente_Mes!$B$2:$B$433,$A40,Desconto_Cliente_Mes!$C$2:$C$433,"Fibra")="",SUMIFS(Desconto_Cliente_Mes!$Q$2:$Q$433,Desconto_Cliente_Mes!$A$2:$A$433,E$40,Desconto_Cliente_Mes!$B$2:$B$433,$A40,Desconto_Cliente_Mes!$C$2:$C$433,"Fibra"),SUMIFS(Desconto_Cliente_Mes!$R$2:$R$433,Desconto_Cliente_Mes!$A$2:$A$433,E$40,Desconto_Cliente_Mes!$B$2:$B$433,$A40,Desconto_Cliente_Mes!$C$2:$C$433,"Fibra"))),SUMIFS(Desconto_Cliente_Mes!$S$2:$S$433,Desconto_Cliente_Mes!$A$2:$A$433,E$40,Desconto_Cliente_Mes!$B$2:$B$433,$A40,Desconto_Cliente_Mes!$C$2:$C$433,"Fibra")))-(IF(SUMIFS(Desconto_Cliente_Mes!$R$2:$R$433,Desconto_Cliente_Mes!$A$2:$A$433,E$40,Desconto_Cliente_Mes!$B$2:$B$433,$A40,Desconto_Cliente_Mes!$C$2:$C$433,"Fibra")="",SUMIFS(Desconto_Cliente_Mes!$Q$2:$Q$433,Desconto_Cliente_Mes!$A$2:$A$433,E$40,Desconto_Cliente_Mes!$B$2:$B$433,$A40,Desconto_Cliente_Mes!$C$2:$C$433,"Fibra"),SUMIFS(Desconto_Cliente_Mes!$R$2:$R$433,Desconto_Cliente_Mes!$A$2:$A$433,E$40,Desconto_Cliente_Mes!$B$2:$B$433,$A40,Desconto_Cliente_Mes!$C$2:$C$433,"Fibra"))))*(SUMIFS(Desconto_Cliente_Mes!$T$2:$T$433,Desconto_Cliente_Mes!$A$2:$A$433,E$40,Desconto_Cliente_Mes!$B$2:$B$433,$A40,Desconto_Cliente_Mes!$C$2:$C$433,"Fibra"))</f>
        <v>0</v>
      </c>
      <c r="F48" s="16" t="n">
        <f aca="false">$F$42*($F$45/100)*((IF(SUMIFS(Desconto_Cliente_Mes!$S$2:$S$433,Desconto_Cliente_Mes!$A$2:$A$433,F$40,Desconto_Cliente_Mes!$B$2:$B$433,$A40,Desconto_Cliente_Mes!$C$2:$C$433,"Fibra")="",(IF(SUMIFS(Desconto_Cliente_Mes!$R$2:$R$433,Desconto_Cliente_Mes!$A$2:$A$433,F$40,Desconto_Cliente_Mes!$B$2:$B$433,$A40,Desconto_Cliente_Mes!$C$2:$C$433,"Fibra")="",SUMIFS(Desconto_Cliente_Mes!$Q$2:$Q$433,Desconto_Cliente_Mes!$A$2:$A$433,F$40,Desconto_Cliente_Mes!$B$2:$B$433,$A40,Desconto_Cliente_Mes!$C$2:$C$433,"Fibra"),SUMIFS(Desconto_Cliente_Mes!$R$2:$R$433,Desconto_Cliente_Mes!$A$2:$A$433,F$40,Desconto_Cliente_Mes!$B$2:$B$433,$A40,Desconto_Cliente_Mes!$C$2:$C$433,"Fibra"))),SUMIFS(Desconto_Cliente_Mes!$S$2:$S$433,Desconto_Cliente_Mes!$A$2:$A$433,F$40,Desconto_Cliente_Mes!$B$2:$B$433,$A40,Desconto_Cliente_Mes!$C$2:$C$433,"Fibra")))-(IF(SUMIFS(Desconto_Cliente_Mes!$R$2:$R$433,Desconto_Cliente_Mes!$A$2:$A$433,F$40,Desconto_Cliente_Mes!$B$2:$B$433,$A40,Desconto_Cliente_Mes!$C$2:$C$433,"Fibra")="",SUMIFS(Desconto_Cliente_Mes!$Q$2:$Q$433,Desconto_Cliente_Mes!$A$2:$A$433,F$40,Desconto_Cliente_Mes!$B$2:$B$433,$A40,Desconto_Cliente_Mes!$C$2:$C$433,"Fibra"),SUMIFS(Desconto_Cliente_Mes!$R$2:$R$433,Desconto_Cliente_Mes!$A$2:$A$433,F$40,Desconto_Cliente_Mes!$B$2:$B$433,$A40,Desconto_Cliente_Mes!$C$2:$C$433,"Fibra"))))*(SUMIFS(Desconto_Cliente_Mes!$T$2:$T$433,Desconto_Cliente_Mes!$A$2:$A$433,F$40,Desconto_Cliente_Mes!$B$2:$B$433,$A40,Desconto_Cliente_Mes!$C$2:$C$433,"Fibra"))</f>
        <v>0</v>
      </c>
      <c r="G48" s="16" t="n">
        <f aca="false">$G$42*($G$45/100)*((IF(SUMIFS(Desconto_Cliente_Mes!$S$2:$S$433,Desconto_Cliente_Mes!$A$2:$A$433,G$40,Desconto_Cliente_Mes!$B$2:$B$433,$A40,Desconto_Cliente_Mes!$C$2:$C$433,"Fibra")="",(IF(SUMIFS(Desconto_Cliente_Mes!$R$2:$R$433,Desconto_Cliente_Mes!$A$2:$A$433,G$40,Desconto_Cliente_Mes!$B$2:$B$433,$A40,Desconto_Cliente_Mes!$C$2:$C$433,"Fibra")="",SUMIFS(Desconto_Cliente_Mes!$Q$2:$Q$433,Desconto_Cliente_Mes!$A$2:$A$433,G$40,Desconto_Cliente_Mes!$B$2:$B$433,$A40,Desconto_Cliente_Mes!$C$2:$C$433,"Fibra"),SUMIFS(Desconto_Cliente_Mes!$R$2:$R$433,Desconto_Cliente_Mes!$A$2:$A$433,G$40,Desconto_Cliente_Mes!$B$2:$B$433,$A40,Desconto_Cliente_Mes!$C$2:$C$433,"Fibra"))),SUMIFS(Desconto_Cliente_Mes!$S$2:$S$433,Desconto_Cliente_Mes!$A$2:$A$433,G$40,Desconto_Cliente_Mes!$B$2:$B$433,$A40,Desconto_Cliente_Mes!$C$2:$C$433,"Fibra")))-(IF(SUMIFS(Desconto_Cliente_Mes!$R$2:$R$433,Desconto_Cliente_Mes!$A$2:$A$433,G$40,Desconto_Cliente_Mes!$B$2:$B$433,$A40,Desconto_Cliente_Mes!$C$2:$C$433,"Fibra")="",SUMIFS(Desconto_Cliente_Mes!$Q$2:$Q$433,Desconto_Cliente_Mes!$A$2:$A$433,G$40,Desconto_Cliente_Mes!$B$2:$B$433,$A40,Desconto_Cliente_Mes!$C$2:$C$433,"Fibra"),SUMIFS(Desconto_Cliente_Mes!$R$2:$R$433,Desconto_Cliente_Mes!$A$2:$A$433,G$40,Desconto_Cliente_Mes!$B$2:$B$433,$A40,Desconto_Cliente_Mes!$C$2:$C$433,"Fibra"))))*(SUMIFS(Desconto_Cliente_Mes!$T$2:$T$433,Desconto_Cliente_Mes!$A$2:$A$433,G$40,Desconto_Cliente_Mes!$B$2:$B$433,$A40,Desconto_Cliente_Mes!$C$2:$C$433,"Fibra"))</f>
        <v>0</v>
      </c>
      <c r="H48" s="16" t="n">
        <f aca="false">$H$42*($H$45/100)*((IF(SUMIFS(Desconto_Cliente_Mes!$S$2:$S$433,Desconto_Cliente_Mes!$A$2:$A$433,H$40,Desconto_Cliente_Mes!$B$2:$B$433,$A40,Desconto_Cliente_Mes!$C$2:$C$433,"Fibra")="",(IF(SUMIFS(Desconto_Cliente_Mes!$R$2:$R$433,Desconto_Cliente_Mes!$A$2:$A$433,H$40,Desconto_Cliente_Mes!$B$2:$B$433,$A40,Desconto_Cliente_Mes!$C$2:$C$433,"Fibra")="",SUMIFS(Desconto_Cliente_Mes!$Q$2:$Q$433,Desconto_Cliente_Mes!$A$2:$A$433,H$40,Desconto_Cliente_Mes!$B$2:$B$433,$A40,Desconto_Cliente_Mes!$C$2:$C$433,"Fibra"),SUMIFS(Desconto_Cliente_Mes!$R$2:$R$433,Desconto_Cliente_Mes!$A$2:$A$433,H$40,Desconto_Cliente_Mes!$B$2:$B$433,$A40,Desconto_Cliente_Mes!$C$2:$C$433,"Fibra"))),SUMIFS(Desconto_Cliente_Mes!$S$2:$S$433,Desconto_Cliente_Mes!$A$2:$A$433,H$40,Desconto_Cliente_Mes!$B$2:$B$433,$A40,Desconto_Cliente_Mes!$C$2:$C$433,"Fibra")))-(IF(SUMIFS(Desconto_Cliente_Mes!$R$2:$R$433,Desconto_Cliente_Mes!$A$2:$A$433,H$40,Desconto_Cliente_Mes!$B$2:$B$433,$A40,Desconto_Cliente_Mes!$C$2:$C$433,"Fibra")="",SUMIFS(Desconto_Cliente_Mes!$Q$2:$Q$433,Desconto_Cliente_Mes!$A$2:$A$433,H$40,Desconto_Cliente_Mes!$B$2:$B$433,$A40,Desconto_Cliente_Mes!$C$2:$C$433,"Fibra"),SUMIFS(Desconto_Cliente_Mes!$R$2:$R$433,Desconto_Cliente_Mes!$A$2:$A$433,H$40,Desconto_Cliente_Mes!$B$2:$B$433,$A40,Desconto_Cliente_Mes!$C$2:$C$433,"Fibra"))))*(SUMIFS(Desconto_Cliente_Mes!$T$2:$T$433,Desconto_Cliente_Mes!$A$2:$A$433,H$40,Desconto_Cliente_Mes!$B$2:$B$433,$A40,Desconto_Cliente_Mes!$C$2:$C$433,"Fibra"))</f>
        <v>0</v>
      </c>
      <c r="I48" s="16" t="n">
        <f aca="false">$I$42*($I$45/100)*((IF(SUMIFS(Desconto_Cliente_Mes!$S$2:$S$433,Desconto_Cliente_Mes!$A$2:$A$433,I$40,Desconto_Cliente_Mes!$B$2:$B$433,$A40,Desconto_Cliente_Mes!$C$2:$C$433,"Fibra")="",(IF(SUMIFS(Desconto_Cliente_Mes!$R$2:$R$433,Desconto_Cliente_Mes!$A$2:$A$433,I$40,Desconto_Cliente_Mes!$B$2:$B$433,$A40,Desconto_Cliente_Mes!$C$2:$C$433,"Fibra")="",SUMIFS(Desconto_Cliente_Mes!$Q$2:$Q$433,Desconto_Cliente_Mes!$A$2:$A$433,I$40,Desconto_Cliente_Mes!$B$2:$B$433,$A40,Desconto_Cliente_Mes!$C$2:$C$433,"Fibra"),SUMIFS(Desconto_Cliente_Mes!$R$2:$R$433,Desconto_Cliente_Mes!$A$2:$A$433,I$40,Desconto_Cliente_Mes!$B$2:$B$433,$A40,Desconto_Cliente_Mes!$C$2:$C$433,"Fibra"))),SUMIFS(Desconto_Cliente_Mes!$S$2:$S$433,Desconto_Cliente_Mes!$A$2:$A$433,I$40,Desconto_Cliente_Mes!$B$2:$B$433,$A40,Desconto_Cliente_Mes!$C$2:$C$433,"Fibra")))-(IF(SUMIFS(Desconto_Cliente_Mes!$R$2:$R$433,Desconto_Cliente_Mes!$A$2:$A$433,I$40,Desconto_Cliente_Mes!$B$2:$B$433,$A40,Desconto_Cliente_Mes!$C$2:$C$433,"Fibra")="",SUMIFS(Desconto_Cliente_Mes!$Q$2:$Q$433,Desconto_Cliente_Mes!$A$2:$A$433,I$40,Desconto_Cliente_Mes!$B$2:$B$433,$A40,Desconto_Cliente_Mes!$C$2:$C$433,"Fibra"),SUMIFS(Desconto_Cliente_Mes!$R$2:$R$433,Desconto_Cliente_Mes!$A$2:$A$433,I$40,Desconto_Cliente_Mes!$B$2:$B$433,$A40,Desconto_Cliente_Mes!$C$2:$C$433,"Fibra"))))*(SUMIFS(Desconto_Cliente_Mes!$T$2:$T$433,Desconto_Cliente_Mes!$A$2:$A$433,I$40,Desconto_Cliente_Mes!$B$2:$B$433,$A40,Desconto_Cliente_Mes!$C$2:$C$433,"Fibra"))</f>
        <v>0</v>
      </c>
      <c r="J48" s="16" t="n">
        <f aca="false">$J$42*($J$45/100)*((IF(SUMIFS(Desconto_Cliente_Mes!$S$2:$S$433,Desconto_Cliente_Mes!$A$2:$A$433,J$40,Desconto_Cliente_Mes!$B$2:$B$433,$A40,Desconto_Cliente_Mes!$C$2:$C$433,"Fibra")="",(IF(SUMIFS(Desconto_Cliente_Mes!$R$2:$R$433,Desconto_Cliente_Mes!$A$2:$A$433,J$40,Desconto_Cliente_Mes!$B$2:$B$433,$A40,Desconto_Cliente_Mes!$C$2:$C$433,"Fibra")="",SUMIFS(Desconto_Cliente_Mes!$Q$2:$Q$433,Desconto_Cliente_Mes!$A$2:$A$433,J$40,Desconto_Cliente_Mes!$B$2:$B$433,$A40,Desconto_Cliente_Mes!$C$2:$C$433,"Fibra"),SUMIFS(Desconto_Cliente_Mes!$R$2:$R$433,Desconto_Cliente_Mes!$A$2:$A$433,J$40,Desconto_Cliente_Mes!$B$2:$B$433,$A40,Desconto_Cliente_Mes!$C$2:$C$433,"Fibra"))),SUMIFS(Desconto_Cliente_Mes!$S$2:$S$433,Desconto_Cliente_Mes!$A$2:$A$433,J$40,Desconto_Cliente_Mes!$B$2:$B$433,$A40,Desconto_Cliente_Mes!$C$2:$C$433,"Fibra")))-(IF(SUMIFS(Desconto_Cliente_Mes!$R$2:$R$433,Desconto_Cliente_Mes!$A$2:$A$433,J$40,Desconto_Cliente_Mes!$B$2:$B$433,$A40,Desconto_Cliente_Mes!$C$2:$C$433,"Fibra")="",SUMIFS(Desconto_Cliente_Mes!$Q$2:$Q$433,Desconto_Cliente_Mes!$A$2:$A$433,J$40,Desconto_Cliente_Mes!$B$2:$B$433,$A40,Desconto_Cliente_Mes!$C$2:$C$433,"Fibra"),SUMIFS(Desconto_Cliente_Mes!$R$2:$R$433,Desconto_Cliente_Mes!$A$2:$A$433,J$40,Desconto_Cliente_Mes!$B$2:$B$433,$A40,Desconto_Cliente_Mes!$C$2:$C$433,"Fibra"))))*(SUMIFS(Desconto_Cliente_Mes!$T$2:$T$433,Desconto_Cliente_Mes!$A$2:$A$433,J$40,Desconto_Cliente_Mes!$B$2:$B$433,$A40,Desconto_Cliente_Mes!$C$2:$C$433,"Fibra"))</f>
        <v>0</v>
      </c>
      <c r="K48" s="16" t="n">
        <f aca="false">$K$42*($K$45/100)*((IF(SUMIFS(Desconto_Cliente_Mes!$S$2:$S$433,Desconto_Cliente_Mes!$A$2:$A$433,K$40,Desconto_Cliente_Mes!$B$2:$B$433,$A40,Desconto_Cliente_Mes!$C$2:$C$433,"Fibra")="",(IF(SUMIFS(Desconto_Cliente_Mes!$R$2:$R$433,Desconto_Cliente_Mes!$A$2:$A$433,K$40,Desconto_Cliente_Mes!$B$2:$B$433,$A40,Desconto_Cliente_Mes!$C$2:$C$433,"Fibra")="",SUMIFS(Desconto_Cliente_Mes!$Q$2:$Q$433,Desconto_Cliente_Mes!$A$2:$A$433,K$40,Desconto_Cliente_Mes!$B$2:$B$433,$A40,Desconto_Cliente_Mes!$C$2:$C$433,"Fibra"),SUMIFS(Desconto_Cliente_Mes!$R$2:$R$433,Desconto_Cliente_Mes!$A$2:$A$433,K$40,Desconto_Cliente_Mes!$B$2:$B$433,$A40,Desconto_Cliente_Mes!$C$2:$C$433,"Fibra"))),SUMIFS(Desconto_Cliente_Mes!$S$2:$S$433,Desconto_Cliente_Mes!$A$2:$A$433,K$40,Desconto_Cliente_Mes!$B$2:$B$433,$A40,Desconto_Cliente_Mes!$C$2:$C$433,"Fibra")))-(IF(SUMIFS(Desconto_Cliente_Mes!$R$2:$R$433,Desconto_Cliente_Mes!$A$2:$A$433,K$40,Desconto_Cliente_Mes!$B$2:$B$433,$A40,Desconto_Cliente_Mes!$C$2:$C$433,"Fibra")="",SUMIFS(Desconto_Cliente_Mes!$Q$2:$Q$433,Desconto_Cliente_Mes!$A$2:$A$433,K$40,Desconto_Cliente_Mes!$B$2:$B$433,$A40,Desconto_Cliente_Mes!$C$2:$C$433,"Fibra"),SUMIFS(Desconto_Cliente_Mes!$R$2:$R$433,Desconto_Cliente_Mes!$A$2:$A$433,K$40,Desconto_Cliente_Mes!$B$2:$B$433,$A40,Desconto_Cliente_Mes!$C$2:$C$433,"Fibra"))))*(SUMIFS(Desconto_Cliente_Mes!$T$2:$T$433,Desconto_Cliente_Mes!$A$2:$A$433,K$40,Desconto_Cliente_Mes!$B$2:$B$433,$A40,Desconto_Cliente_Mes!$C$2:$C$433,"Fibra"))</f>
        <v>0</v>
      </c>
      <c r="L48" s="16" t="n">
        <f aca="false">$L$42*($L$45/100)*((IF(SUMIFS(Desconto_Cliente_Mes!$S$2:$S$433,Desconto_Cliente_Mes!$A$2:$A$433,L$40,Desconto_Cliente_Mes!$B$2:$B$433,$A40,Desconto_Cliente_Mes!$C$2:$C$433,"Fibra")="",(IF(SUMIFS(Desconto_Cliente_Mes!$R$2:$R$433,Desconto_Cliente_Mes!$A$2:$A$433,L$40,Desconto_Cliente_Mes!$B$2:$B$433,$A40,Desconto_Cliente_Mes!$C$2:$C$433,"Fibra")="",SUMIFS(Desconto_Cliente_Mes!$Q$2:$Q$433,Desconto_Cliente_Mes!$A$2:$A$433,L$40,Desconto_Cliente_Mes!$B$2:$B$433,$A40,Desconto_Cliente_Mes!$C$2:$C$433,"Fibra"),SUMIFS(Desconto_Cliente_Mes!$R$2:$R$433,Desconto_Cliente_Mes!$A$2:$A$433,L$40,Desconto_Cliente_Mes!$B$2:$B$433,$A40,Desconto_Cliente_Mes!$C$2:$C$433,"Fibra"))),SUMIFS(Desconto_Cliente_Mes!$S$2:$S$433,Desconto_Cliente_Mes!$A$2:$A$433,L$40,Desconto_Cliente_Mes!$B$2:$B$433,$A40,Desconto_Cliente_Mes!$C$2:$C$433,"Fibra")))-(IF(SUMIFS(Desconto_Cliente_Mes!$R$2:$R$433,Desconto_Cliente_Mes!$A$2:$A$433,L$40,Desconto_Cliente_Mes!$B$2:$B$433,$A40,Desconto_Cliente_Mes!$C$2:$C$433,"Fibra")="",SUMIFS(Desconto_Cliente_Mes!$Q$2:$Q$433,Desconto_Cliente_Mes!$A$2:$A$433,L$40,Desconto_Cliente_Mes!$B$2:$B$433,$A40,Desconto_Cliente_Mes!$C$2:$C$433,"Fibra"),SUMIFS(Desconto_Cliente_Mes!$R$2:$R$433,Desconto_Cliente_Mes!$A$2:$A$433,L$40,Desconto_Cliente_Mes!$B$2:$B$433,$A40,Desconto_Cliente_Mes!$C$2:$C$433,"Fibra"))))*(SUMIFS(Desconto_Cliente_Mes!$T$2:$T$433,Desconto_Cliente_Mes!$A$2:$A$433,L$40,Desconto_Cliente_Mes!$B$2:$B$433,$A40,Desconto_Cliente_Mes!$C$2:$C$433,"Fibra"))</f>
        <v>0</v>
      </c>
      <c r="M48" s="16" t="n">
        <f aca="false">$M$42*($M$45/100)*((IF(SUMIFS(Desconto_Cliente_Mes!$S$2:$S$433,Desconto_Cliente_Mes!$A$2:$A$433,M$40,Desconto_Cliente_Mes!$B$2:$B$433,$A40,Desconto_Cliente_Mes!$C$2:$C$433,"Fibra")="",(IF(SUMIFS(Desconto_Cliente_Mes!$R$2:$R$433,Desconto_Cliente_Mes!$A$2:$A$433,M$40,Desconto_Cliente_Mes!$B$2:$B$433,$A40,Desconto_Cliente_Mes!$C$2:$C$433,"Fibra")="",SUMIFS(Desconto_Cliente_Mes!$Q$2:$Q$433,Desconto_Cliente_Mes!$A$2:$A$433,M$40,Desconto_Cliente_Mes!$B$2:$B$433,$A40,Desconto_Cliente_Mes!$C$2:$C$433,"Fibra"),SUMIFS(Desconto_Cliente_Mes!$R$2:$R$433,Desconto_Cliente_Mes!$A$2:$A$433,M$40,Desconto_Cliente_Mes!$B$2:$B$433,$A40,Desconto_Cliente_Mes!$C$2:$C$433,"Fibra"))),SUMIFS(Desconto_Cliente_Mes!$S$2:$S$433,Desconto_Cliente_Mes!$A$2:$A$433,M$40,Desconto_Cliente_Mes!$B$2:$B$433,$A40,Desconto_Cliente_Mes!$C$2:$C$433,"Fibra")))-(IF(SUMIFS(Desconto_Cliente_Mes!$R$2:$R$433,Desconto_Cliente_Mes!$A$2:$A$433,M$40,Desconto_Cliente_Mes!$B$2:$B$433,$A40,Desconto_Cliente_Mes!$C$2:$C$433,"Fibra")="",SUMIFS(Desconto_Cliente_Mes!$Q$2:$Q$433,Desconto_Cliente_Mes!$A$2:$A$433,M$40,Desconto_Cliente_Mes!$B$2:$B$433,$A40,Desconto_Cliente_Mes!$C$2:$C$433,"Fibra"),SUMIFS(Desconto_Cliente_Mes!$R$2:$R$433,Desconto_Cliente_Mes!$A$2:$A$433,M$40,Desconto_Cliente_Mes!$B$2:$B$433,$A40,Desconto_Cliente_Mes!$C$2:$C$433,"Fibra"))))*(SUMIFS(Desconto_Cliente_Mes!$T$2:$T$433,Desconto_Cliente_Mes!$A$2:$A$433,M$40,Desconto_Cliente_Mes!$B$2:$B$433,$A40,Desconto_Cliente_Mes!$C$2:$C$433,"Fibra"))</f>
        <v>0</v>
      </c>
      <c r="N48" s="17" t="n">
        <f aca="false">SUM(B48:M48)</f>
        <v>0</v>
      </c>
    </row>
    <row r="49" customFormat="false" ht="15" hidden="false" customHeight="false" outlineLevel="0" collapsed="false">
      <c r="A49" s="13" t="s">
        <v>82</v>
      </c>
      <c r="B49" s="16" t="n">
        <f aca="false">SUMIFS(Acerto_Detalhado!$J$2:$J$433,Acerto_Detalhado!$A$2:$A$433,B$40,Acerto_Detalhado!$B$2:$B$433,$A40,Acerto_Detalhado!$C$2:$C$433,"Fibra")</f>
        <v>0</v>
      </c>
      <c r="C49" s="16" t="n">
        <f aca="false">SUMIFS(Acerto_Detalhado!$J$2:$J$433,Acerto_Detalhado!$A$2:$A$433,C$40,Acerto_Detalhado!$B$2:$B$433,$A40,Acerto_Detalhado!$C$2:$C$433,"Fibra")</f>
        <v>10262.9732479638</v>
      </c>
      <c r="D49" s="16" t="n">
        <f aca="false">SUMIFS(Acerto_Detalhado!$J$2:$J$433,Acerto_Detalhado!$A$2:$A$433,D$40,Acerto_Detalhado!$B$2:$B$433,$A40,Acerto_Detalhado!$C$2:$C$433,"Fibra")</f>
        <v>8252.09922554735</v>
      </c>
      <c r="E49" s="16" t="n">
        <f aca="false">SUMIFS(Acerto_Detalhado!$J$2:$J$433,Acerto_Detalhado!$A$2:$A$433,E$40,Acerto_Detalhado!$B$2:$B$433,$A40,Acerto_Detalhado!$C$2:$C$433,"Fibra")</f>
        <v>10338.9967405675</v>
      </c>
      <c r="F49" s="16" t="n">
        <f aca="false">SUMIFS(Acerto_Detalhado!$J$2:$J$433,Acerto_Detalhado!$A$2:$A$433,F$40,Acerto_Detalhado!$B$2:$B$433,$A40,Acerto_Detalhado!$C$2:$C$433,"Fibra")</f>
        <v>0</v>
      </c>
      <c r="G49" s="16" t="n">
        <f aca="false">SUMIFS(Acerto_Detalhado!$J$2:$J$433,Acerto_Detalhado!$A$2:$A$433,G$40,Acerto_Detalhado!$B$2:$B$433,$A40,Acerto_Detalhado!$C$2:$C$433,"Fibra")</f>
        <v>17091.8912112966</v>
      </c>
      <c r="H49" s="16" t="n">
        <f aca="false">SUMIFS(Acerto_Detalhado!$J$2:$J$433,Acerto_Detalhado!$A$2:$A$433,H$40,Acerto_Detalhado!$B$2:$B$433,$A40,Acerto_Detalhado!$C$2:$C$433,"Fibra")</f>
        <v>0</v>
      </c>
      <c r="I49" s="16" t="n">
        <f aca="false">SUMIFS(Acerto_Detalhado!$J$2:$J$433,Acerto_Detalhado!$A$2:$A$433,I$40,Acerto_Detalhado!$B$2:$B$433,$A40,Acerto_Detalhado!$C$2:$C$433,"Fibra")</f>
        <v>0</v>
      </c>
      <c r="J49" s="16" t="n">
        <f aca="false">SUMIFS(Acerto_Detalhado!$J$2:$J$433,Acerto_Detalhado!$A$2:$A$433,J$40,Acerto_Detalhado!$B$2:$B$433,$A40,Acerto_Detalhado!$C$2:$C$433,"Fibra")</f>
        <v>0</v>
      </c>
      <c r="K49" s="16" t="n">
        <f aca="false">SUMIFS(Acerto_Detalhado!$J$2:$J$433,Acerto_Detalhado!$A$2:$A$433,K$40,Acerto_Detalhado!$B$2:$B$433,$A40,Acerto_Detalhado!$C$2:$C$433,"Fibra")</f>
        <v>0</v>
      </c>
      <c r="L49" s="16" t="n">
        <f aca="false">SUMIFS(Acerto_Detalhado!$J$2:$J$433,Acerto_Detalhado!$A$2:$A$433,L$40,Acerto_Detalhado!$B$2:$B$433,$A40,Acerto_Detalhado!$C$2:$C$433,"Fibra")</f>
        <v>0</v>
      </c>
      <c r="M49" s="16" t="n">
        <f aca="false">SUMIFS(Acerto_Detalhado!$J$2:$J$433,Acerto_Detalhado!$A$2:$A$433,M$40,Acerto_Detalhado!$B$2:$B$433,$A40,Acerto_Detalhado!$C$2:$C$433,"Fibra")</f>
        <v>0</v>
      </c>
      <c r="N49" s="17" t="n">
        <f aca="false">SUM(B49:M49)</f>
        <v>45945.9604253753</v>
      </c>
    </row>
    <row r="51" customFormat="false" ht="15" hidden="false" customHeight="false" outlineLevel="0" collapsed="false">
      <c r="A51" s="5" t="s">
        <v>62</v>
      </c>
      <c r="B51" s="6" t="s">
        <v>39</v>
      </c>
      <c r="C51" s="6" t="s">
        <v>40</v>
      </c>
      <c r="D51" s="6" t="s">
        <v>41</v>
      </c>
      <c r="E51" s="6" t="s">
        <v>42</v>
      </c>
      <c r="F51" s="6" t="s">
        <v>43</v>
      </c>
      <c r="G51" s="6" t="s">
        <v>44</v>
      </c>
      <c r="H51" s="6" t="s">
        <v>45</v>
      </c>
      <c r="I51" s="6" t="s">
        <v>46</v>
      </c>
      <c r="J51" s="6" t="s">
        <v>47</v>
      </c>
      <c r="K51" s="6" t="s">
        <v>48</v>
      </c>
      <c r="L51" s="6" t="s">
        <v>49</v>
      </c>
      <c r="M51" s="6" t="s">
        <v>50</v>
      </c>
      <c r="N51" s="6" t="s">
        <v>51</v>
      </c>
    </row>
    <row r="52" customFormat="false" ht="15" hidden="false" customHeight="false" outlineLevel="0" collapsed="false">
      <c r="A52" s="13" t="s">
        <v>74</v>
      </c>
      <c r="B52" s="10" t="n">
        <f aca="false">IF((SUMIFS(Desconto_Cliente_Mes!$D$2:$D$433,Desconto_Cliente_Mes!$A$2:$A$433,B$51,Desconto_Cliente_Mes!$B$2:$B$433,$A51,Desconto_Cliente_Mes!$C$2:$C$433,"Fibra"))=0,"",IFERROR(SUMIFS(Desconto_Cliente_Mes!$E$2:$E$433,Desconto_Cliente_Mes!$A$2:$A$433,B$51,Desconto_Cliente_Mes!$B$2:$B$433,$A51,Desconto_Cliente_Mes!$C$2:$C$433,"Fibra"),""))</f>
        <v>3.63771904253661</v>
      </c>
      <c r="C52" s="10" t="n">
        <f aca="false">IF((SUMIFS(Desconto_Cliente_Mes!$D$2:$D$433,Desconto_Cliente_Mes!$A$2:$A$433,C$51,Desconto_Cliente_Mes!$B$2:$B$433,$A51,Desconto_Cliente_Mes!$C$2:$C$433,"Fibra"))=0,"",IFERROR(SUMIFS(Desconto_Cliente_Mes!$E$2:$E$433,Desconto_Cliente_Mes!$A$2:$A$433,C$51,Desconto_Cliente_Mes!$B$2:$B$433,$A51,Desconto_Cliente_Mes!$C$2:$C$433,"Fibra"),""))</f>
        <v>3.51012144815166</v>
      </c>
      <c r="D52" s="10" t="n">
        <f aca="false">IF((SUMIFS(Desconto_Cliente_Mes!$D$2:$D$433,Desconto_Cliente_Mes!$A$2:$A$433,D$51,Desconto_Cliente_Mes!$B$2:$B$433,$A51,Desconto_Cliente_Mes!$C$2:$C$433,"Fibra"))=0,"",IFERROR(SUMIFS(Desconto_Cliente_Mes!$E$2:$E$433,Desconto_Cliente_Mes!$A$2:$A$433,D$51,Desconto_Cliente_Mes!$B$2:$B$433,$A51,Desconto_Cliente_Mes!$C$2:$C$433,"Fibra"),""))</f>
        <v>3.69716205731903</v>
      </c>
      <c r="E52" s="10" t="n">
        <f aca="false">IF((SUMIFS(Desconto_Cliente_Mes!$D$2:$D$433,Desconto_Cliente_Mes!$A$2:$A$433,E$51,Desconto_Cliente_Mes!$B$2:$B$433,$A51,Desconto_Cliente_Mes!$C$2:$C$433,"Fibra"))=0,"",IFERROR(SUMIFS(Desconto_Cliente_Mes!$E$2:$E$433,Desconto_Cliente_Mes!$A$2:$A$433,E$51,Desconto_Cliente_Mes!$B$2:$B$433,$A51,Desconto_Cliente_Mes!$C$2:$C$433,"Fibra"),""))</f>
        <v>3.69318510040304</v>
      </c>
      <c r="F52" s="10" t="n">
        <f aca="false">IF((SUMIFS(Desconto_Cliente_Mes!$D$2:$D$433,Desconto_Cliente_Mes!$A$2:$A$433,F$51,Desconto_Cliente_Mes!$B$2:$B$433,$A51,Desconto_Cliente_Mes!$C$2:$C$433,"Fibra"))=0,"",IFERROR(SUMIFS(Desconto_Cliente_Mes!$E$2:$E$433,Desconto_Cliente_Mes!$A$2:$A$433,F$51,Desconto_Cliente_Mes!$B$2:$B$433,$A51,Desconto_Cliente_Mes!$C$2:$C$433,"Fibra"),""))</f>
        <v>3.59712009088753</v>
      </c>
      <c r="G52" s="10" t="n">
        <f aca="false">IF((SUMIFS(Desconto_Cliente_Mes!$D$2:$D$433,Desconto_Cliente_Mes!$A$2:$A$433,G$51,Desconto_Cliente_Mes!$B$2:$B$433,$A51,Desconto_Cliente_Mes!$C$2:$C$433,"Fibra"))=0,"",IFERROR(SUMIFS(Desconto_Cliente_Mes!$E$2:$E$433,Desconto_Cliente_Mes!$A$2:$A$433,G$51,Desconto_Cliente_Mes!$B$2:$B$433,$A51,Desconto_Cliente_Mes!$C$2:$C$433,"Fibra"),""))</f>
        <v>3.75129450102341</v>
      </c>
      <c r="H52" s="10" t="str">
        <f aca="false">IF((SUMIFS(Desconto_Cliente_Mes!$D$2:$D$433,Desconto_Cliente_Mes!$A$2:$A$433,H$51,Desconto_Cliente_Mes!$B$2:$B$433,$A51,Desconto_Cliente_Mes!$C$2:$C$433,"Fibra"))=0,"",IFERROR(SUMIFS(Desconto_Cliente_Mes!$E$2:$E$433,Desconto_Cliente_Mes!$A$2:$A$433,H$51,Desconto_Cliente_Mes!$B$2:$B$433,$A51,Desconto_Cliente_Mes!$C$2:$C$433,"Fibra"),""))</f>
        <v/>
      </c>
      <c r="I52" s="10" t="str">
        <f aca="false">IF((SUMIFS(Desconto_Cliente_Mes!$D$2:$D$433,Desconto_Cliente_Mes!$A$2:$A$433,I$51,Desconto_Cliente_Mes!$B$2:$B$433,$A51,Desconto_Cliente_Mes!$C$2:$C$433,"Fibra"))=0,"",IFERROR(SUMIFS(Desconto_Cliente_Mes!$E$2:$E$433,Desconto_Cliente_Mes!$A$2:$A$433,I$51,Desconto_Cliente_Mes!$B$2:$B$433,$A51,Desconto_Cliente_Mes!$C$2:$C$433,"Fibra"),""))</f>
        <v/>
      </c>
      <c r="J52" s="10" t="str">
        <f aca="false">IF((SUMIFS(Desconto_Cliente_Mes!$D$2:$D$433,Desconto_Cliente_Mes!$A$2:$A$433,J$51,Desconto_Cliente_Mes!$B$2:$B$433,$A51,Desconto_Cliente_Mes!$C$2:$C$433,"Fibra"))=0,"",IFERROR(SUMIFS(Desconto_Cliente_Mes!$E$2:$E$433,Desconto_Cliente_Mes!$A$2:$A$433,J$51,Desconto_Cliente_Mes!$B$2:$B$433,$A51,Desconto_Cliente_Mes!$C$2:$C$433,"Fibra"),""))</f>
        <v/>
      </c>
      <c r="K52" s="10" t="str">
        <f aca="false">IF((SUMIFS(Desconto_Cliente_Mes!$D$2:$D$433,Desconto_Cliente_Mes!$A$2:$A$433,K$51,Desconto_Cliente_Mes!$B$2:$B$433,$A51,Desconto_Cliente_Mes!$C$2:$C$433,"Fibra"))=0,"",IFERROR(SUMIFS(Desconto_Cliente_Mes!$E$2:$E$433,Desconto_Cliente_Mes!$A$2:$A$433,K$51,Desconto_Cliente_Mes!$B$2:$B$433,$A51,Desconto_Cliente_Mes!$C$2:$C$433,"Fibra"),""))</f>
        <v/>
      </c>
      <c r="L52" s="10" t="str">
        <f aca="false">IF((SUMIFS(Desconto_Cliente_Mes!$D$2:$D$433,Desconto_Cliente_Mes!$A$2:$A$433,L$51,Desconto_Cliente_Mes!$B$2:$B$433,$A51,Desconto_Cliente_Mes!$C$2:$C$433,"Fibra"))=0,"",IFERROR(SUMIFS(Desconto_Cliente_Mes!$E$2:$E$433,Desconto_Cliente_Mes!$A$2:$A$433,L$51,Desconto_Cliente_Mes!$B$2:$B$433,$A51,Desconto_Cliente_Mes!$C$2:$C$433,"Fibra"),""))</f>
        <v/>
      </c>
      <c r="M52" s="10" t="str">
        <f aca="false">IF((SUMIFS(Desconto_Cliente_Mes!$D$2:$D$433,Desconto_Cliente_Mes!$A$2:$A$433,M$51,Desconto_Cliente_Mes!$B$2:$B$433,$A51,Desconto_Cliente_Mes!$C$2:$C$433,"Fibra"))=0,"",IFERROR(SUMIFS(Desconto_Cliente_Mes!$E$2:$E$433,Desconto_Cliente_Mes!$A$2:$A$433,M$51,Desconto_Cliente_Mes!$B$2:$B$433,$A51,Desconto_Cliente_Mes!$C$2:$C$433,"Fibra"),""))</f>
        <v/>
      </c>
      <c r="N52" s="11" t="n">
        <f aca="false">IFERROR(Media_Pool_Mes!E6,"")</f>
        <v>3.64524916105719</v>
      </c>
    </row>
    <row r="53" customFormat="false" ht="15" hidden="false" customHeight="false" outlineLevel="0" collapsed="false">
      <c r="A53" s="13" t="s">
        <v>75</v>
      </c>
      <c r="B53" s="8" t="n">
        <f aca="false">IFERROR(SUMIFS(Desconto_Cliente_Mes!$D$2:$D$433,Desconto_Cliente_Mes!$A$2:$A$433,B$51,Desconto_Cliente_Mes!$B$2:$B$433,$A51,Desconto_Cliente_Mes!$C$2:$C$433,"Fibra"),0)</f>
        <v>43820.37</v>
      </c>
      <c r="C53" s="8" t="n">
        <f aca="false">IFERROR(SUMIFS(Desconto_Cliente_Mes!$D$2:$D$433,Desconto_Cliente_Mes!$A$2:$A$433,C$51,Desconto_Cliente_Mes!$B$2:$B$433,$A51,Desconto_Cliente_Mes!$C$2:$C$433,"Fibra"),0)</f>
        <v>49598.12</v>
      </c>
      <c r="D53" s="8" t="n">
        <f aca="false">IFERROR(SUMIFS(Desconto_Cliente_Mes!$D$2:$D$433,Desconto_Cliente_Mes!$A$2:$A$433,D$51,Desconto_Cliente_Mes!$B$2:$B$433,$A51,Desconto_Cliente_Mes!$C$2:$C$433,"Fibra"),0)</f>
        <v>17619.63</v>
      </c>
      <c r="E53" s="8" t="n">
        <f aca="false">IFERROR(SUMIFS(Desconto_Cliente_Mes!$D$2:$D$433,Desconto_Cliente_Mes!$A$2:$A$433,E$51,Desconto_Cliente_Mes!$B$2:$B$433,$A51,Desconto_Cliente_Mes!$C$2:$C$433,"Fibra"),0)</f>
        <v>53120.9</v>
      </c>
      <c r="F53" s="8" t="n">
        <f aca="false">IFERROR(SUMIFS(Desconto_Cliente_Mes!$D$2:$D$433,Desconto_Cliente_Mes!$A$2:$A$433,F$51,Desconto_Cliente_Mes!$B$2:$B$433,$A51,Desconto_Cliente_Mes!$C$2:$C$433,"Fibra"),0)</f>
        <v>63744.72</v>
      </c>
      <c r="G53" s="8" t="n">
        <f aca="false">IFERROR(SUMIFS(Desconto_Cliente_Mes!$D$2:$D$433,Desconto_Cliente_Mes!$A$2:$A$433,G$51,Desconto_Cliente_Mes!$B$2:$B$433,$A51,Desconto_Cliente_Mes!$C$2:$C$433,"Fibra"),0)</f>
        <v>62604.74</v>
      </c>
      <c r="H53" s="8" t="n">
        <f aca="false">IFERROR(SUMIFS(Desconto_Cliente_Mes!$D$2:$D$433,Desconto_Cliente_Mes!$A$2:$A$433,H$51,Desconto_Cliente_Mes!$B$2:$B$433,$A51,Desconto_Cliente_Mes!$C$2:$C$433,"Fibra"),0)</f>
        <v>0</v>
      </c>
      <c r="I53" s="8" t="n">
        <f aca="false">IFERROR(SUMIFS(Desconto_Cliente_Mes!$D$2:$D$433,Desconto_Cliente_Mes!$A$2:$A$433,I$51,Desconto_Cliente_Mes!$B$2:$B$433,$A51,Desconto_Cliente_Mes!$C$2:$C$433,"Fibra"),0)</f>
        <v>0</v>
      </c>
      <c r="J53" s="8" t="n">
        <f aca="false">IFERROR(SUMIFS(Desconto_Cliente_Mes!$D$2:$D$433,Desconto_Cliente_Mes!$A$2:$A$433,J$51,Desconto_Cliente_Mes!$B$2:$B$433,$A51,Desconto_Cliente_Mes!$C$2:$C$433,"Fibra"),0)</f>
        <v>0</v>
      </c>
      <c r="K53" s="8" t="n">
        <f aca="false">IFERROR(SUMIFS(Desconto_Cliente_Mes!$D$2:$D$433,Desconto_Cliente_Mes!$A$2:$A$433,K$51,Desconto_Cliente_Mes!$B$2:$B$433,$A51,Desconto_Cliente_Mes!$C$2:$C$433,"Fibra"),0)</f>
        <v>0</v>
      </c>
      <c r="L53" s="8" t="n">
        <f aca="false">IFERROR(SUMIFS(Desconto_Cliente_Mes!$D$2:$D$433,Desconto_Cliente_Mes!$A$2:$A$433,L$51,Desconto_Cliente_Mes!$B$2:$B$433,$A51,Desconto_Cliente_Mes!$C$2:$C$433,"Fibra"),0)</f>
        <v>0</v>
      </c>
      <c r="M53" s="8" t="n">
        <f aca="false">IFERROR(SUMIFS(Desconto_Cliente_Mes!$D$2:$D$433,Desconto_Cliente_Mes!$A$2:$A$433,M$51,Desconto_Cliente_Mes!$B$2:$B$433,$A51,Desconto_Cliente_Mes!$C$2:$C$433,"Fibra"),0)</f>
        <v>0</v>
      </c>
      <c r="N53" s="9" t="n">
        <f aca="false">SUM(B53:M53)</f>
        <v>290508.48</v>
      </c>
    </row>
    <row r="54" customFormat="false" ht="15" hidden="false" customHeight="false" outlineLevel="0" collapsed="false">
      <c r="A54" s="13" t="s">
        <v>76</v>
      </c>
      <c r="B54" s="15" t="n">
        <f aca="false">MAX(0,(SUMIFS(Desconto_Cliente_Mes!$L$2:$L$433,Desconto_Cliente_Mes!$A$2:$A$433,B$51,Desconto_Cliente_Mes!$B$2:$B$433,$A51,Desconto_Cliente_Mes!$C$2:$C$433,"Fibra"))-(SUMIFS(Desconto_Cliente_Mes!$N$2:$N$433,Desconto_Cliente_Mes!$A$2:$A$433,B$51,Desconto_Cliente_Mes!$B$2:$B$433,$A51,Desconto_Cliente_Mes!$C$2:$C$433,"Fibra")))</f>
        <v>0</v>
      </c>
      <c r="C54" s="15" t="n">
        <f aca="false">MAX(0,(SUMIFS(Desconto_Cliente_Mes!$L$2:$L$433,Desconto_Cliente_Mes!$A$2:$A$433,C$51,Desconto_Cliente_Mes!$B$2:$B$433,$A51,Desconto_Cliente_Mes!$C$2:$C$433,"Fibra"))-(SUMIFS(Desconto_Cliente_Mes!$N$2:$N$433,Desconto_Cliente_Mes!$A$2:$A$433,C$51,Desconto_Cliente_Mes!$B$2:$B$433,$A51,Desconto_Cliente_Mes!$C$2:$C$433,"Fibra")))</f>
        <v>0</v>
      </c>
      <c r="D54" s="15" t="n">
        <f aca="false">MAX(0,(SUMIFS(Desconto_Cliente_Mes!$L$2:$L$433,Desconto_Cliente_Mes!$A$2:$A$433,D$51,Desconto_Cliente_Mes!$B$2:$B$433,$A51,Desconto_Cliente_Mes!$C$2:$C$433,"Fibra"))-(SUMIFS(Desconto_Cliente_Mes!$N$2:$N$433,Desconto_Cliente_Mes!$A$2:$A$433,D$51,Desconto_Cliente_Mes!$B$2:$B$433,$A51,Desconto_Cliente_Mes!$C$2:$C$433,"Fibra")))</f>
        <v>0.0519128962618329</v>
      </c>
      <c r="E54" s="15" t="n">
        <f aca="false">MAX(0,(SUMIFS(Desconto_Cliente_Mes!$L$2:$L$433,Desconto_Cliente_Mes!$A$2:$A$433,E$51,Desconto_Cliente_Mes!$B$2:$B$433,$A51,Desconto_Cliente_Mes!$C$2:$C$433,"Fibra"))-(SUMIFS(Desconto_Cliente_Mes!$N$2:$N$433,Desconto_Cliente_Mes!$A$2:$A$433,E$51,Desconto_Cliente_Mes!$B$2:$B$433,$A51,Desconto_Cliente_Mes!$C$2:$C$433,"Fibra")))</f>
        <v>0.0479359393458507</v>
      </c>
      <c r="F54" s="15" t="n">
        <f aca="false">MAX(0,(SUMIFS(Desconto_Cliente_Mes!$L$2:$L$433,Desconto_Cliente_Mes!$A$2:$A$433,F$51,Desconto_Cliente_Mes!$B$2:$B$433,$A51,Desconto_Cliente_Mes!$C$2:$C$433,"Fibra"))-(SUMIFS(Desconto_Cliente_Mes!$N$2:$N$433,Desconto_Cliente_Mes!$A$2:$A$433,F$51,Desconto_Cliente_Mes!$B$2:$B$433,$A51,Desconto_Cliente_Mes!$C$2:$C$433,"Fibra")))</f>
        <v>0</v>
      </c>
      <c r="G54" s="15" t="n">
        <f aca="false">MAX(0,(SUMIFS(Desconto_Cliente_Mes!$L$2:$L$433,Desconto_Cliente_Mes!$A$2:$A$433,G$51,Desconto_Cliente_Mes!$B$2:$B$433,$A51,Desconto_Cliente_Mes!$C$2:$C$433,"Fibra"))-(SUMIFS(Desconto_Cliente_Mes!$N$2:$N$433,Desconto_Cliente_Mes!$A$2:$A$433,G$51,Desconto_Cliente_Mes!$B$2:$B$433,$A51,Desconto_Cliente_Mes!$C$2:$C$433,"Fibra")))</f>
        <v>0.106045339966213</v>
      </c>
      <c r="H54" s="15" t="n">
        <f aca="false">MAX(0,(SUMIFS(Desconto_Cliente_Mes!$L$2:$L$433,Desconto_Cliente_Mes!$A$2:$A$433,H$51,Desconto_Cliente_Mes!$B$2:$B$433,$A51,Desconto_Cliente_Mes!$C$2:$C$433,"Fibra"))-(SUMIFS(Desconto_Cliente_Mes!$N$2:$N$433,Desconto_Cliente_Mes!$A$2:$A$433,H$51,Desconto_Cliente_Mes!$B$2:$B$433,$A51,Desconto_Cliente_Mes!$C$2:$C$433,"Fibra")))</f>
        <v>0</v>
      </c>
      <c r="I54" s="15" t="n">
        <f aca="false">MAX(0,(SUMIFS(Desconto_Cliente_Mes!$L$2:$L$433,Desconto_Cliente_Mes!$A$2:$A$433,I$51,Desconto_Cliente_Mes!$B$2:$B$433,$A51,Desconto_Cliente_Mes!$C$2:$C$433,"Fibra"))-(SUMIFS(Desconto_Cliente_Mes!$N$2:$N$433,Desconto_Cliente_Mes!$A$2:$A$433,I$51,Desconto_Cliente_Mes!$B$2:$B$433,$A51,Desconto_Cliente_Mes!$C$2:$C$433,"Fibra")))</f>
        <v>0</v>
      </c>
      <c r="J54" s="15" t="n">
        <f aca="false">MAX(0,(SUMIFS(Desconto_Cliente_Mes!$L$2:$L$433,Desconto_Cliente_Mes!$A$2:$A$433,J$51,Desconto_Cliente_Mes!$B$2:$B$433,$A51,Desconto_Cliente_Mes!$C$2:$C$433,"Fibra"))-(SUMIFS(Desconto_Cliente_Mes!$N$2:$N$433,Desconto_Cliente_Mes!$A$2:$A$433,J$51,Desconto_Cliente_Mes!$B$2:$B$433,$A51,Desconto_Cliente_Mes!$C$2:$C$433,"Fibra")))</f>
        <v>0</v>
      </c>
      <c r="K54" s="15" t="n">
        <f aca="false">MAX(0,(SUMIFS(Desconto_Cliente_Mes!$L$2:$L$433,Desconto_Cliente_Mes!$A$2:$A$433,K$51,Desconto_Cliente_Mes!$B$2:$B$433,$A51,Desconto_Cliente_Mes!$C$2:$C$433,"Fibra"))-(SUMIFS(Desconto_Cliente_Mes!$N$2:$N$433,Desconto_Cliente_Mes!$A$2:$A$433,K$51,Desconto_Cliente_Mes!$B$2:$B$433,$A51,Desconto_Cliente_Mes!$C$2:$C$433,"Fibra")))</f>
        <v>0</v>
      </c>
      <c r="L54" s="15" t="n">
        <f aca="false">MAX(0,(SUMIFS(Desconto_Cliente_Mes!$L$2:$L$433,Desconto_Cliente_Mes!$A$2:$A$433,L$51,Desconto_Cliente_Mes!$B$2:$B$433,$A51,Desconto_Cliente_Mes!$C$2:$C$433,"Fibra"))-(SUMIFS(Desconto_Cliente_Mes!$N$2:$N$433,Desconto_Cliente_Mes!$A$2:$A$433,L$51,Desconto_Cliente_Mes!$B$2:$B$433,$A51,Desconto_Cliente_Mes!$C$2:$C$433,"Fibra")))</f>
        <v>0</v>
      </c>
      <c r="M54" s="15" t="n">
        <f aca="false">MAX(0,(SUMIFS(Desconto_Cliente_Mes!$L$2:$L$433,Desconto_Cliente_Mes!$A$2:$A$433,M$51,Desconto_Cliente_Mes!$B$2:$B$433,$A51,Desconto_Cliente_Mes!$C$2:$C$433,"Fibra"))-(SUMIFS(Desconto_Cliente_Mes!$N$2:$N$433,Desconto_Cliente_Mes!$A$2:$A$433,M$51,Desconto_Cliente_Mes!$B$2:$B$433,$A51,Desconto_Cliente_Mes!$C$2:$C$433,"Fibra")))</f>
        <v>0</v>
      </c>
    </row>
    <row r="55" customFormat="false" ht="15" hidden="false" customHeight="false" outlineLevel="0" collapsed="false">
      <c r="A55" s="13" t="s">
        <v>77</v>
      </c>
      <c r="B55" s="15" t="n">
        <f aca="false">MAX(0,(SUMIFS(Desconto_Cliente_Mes!$N$2:$N$433,Desconto_Cliente_Mes!$A$2:$A$433,B$51,Desconto_Cliente_Mes!$B$2:$B$433,$A51,Desconto_Cliente_Mes!$C$2:$C$433,"Fibra"))-(SUMIFS(Desconto_Cliente_Mes!$P$2:$P$433,Desconto_Cliente_Mes!$A$2:$A$433,B$51,Desconto_Cliente_Mes!$B$2:$B$433,$A51,Desconto_Cliente_Mes!$C$2:$C$433,"Fibra")))</f>
        <v>0</v>
      </c>
      <c r="C55" s="15" t="n">
        <f aca="false">MAX(0,(SUMIFS(Desconto_Cliente_Mes!$N$2:$N$433,Desconto_Cliente_Mes!$A$2:$A$433,C$51,Desconto_Cliente_Mes!$B$2:$B$433,$A51,Desconto_Cliente_Mes!$C$2:$C$433,"Fibra"))-(SUMIFS(Desconto_Cliente_Mes!$P$2:$P$433,Desconto_Cliente_Mes!$A$2:$A$433,C$51,Desconto_Cliente_Mes!$B$2:$B$433,$A51,Desconto_Cliente_Mes!$C$2:$C$433,"Fibra")))</f>
        <v>0</v>
      </c>
      <c r="D55" s="15" t="n">
        <f aca="false">MAX(0,(SUMIFS(Desconto_Cliente_Mes!$N$2:$N$433,Desconto_Cliente_Mes!$A$2:$A$433,D$51,Desconto_Cliente_Mes!$B$2:$B$433,$A51,Desconto_Cliente_Mes!$C$2:$C$433,"Fibra"))-(SUMIFS(Desconto_Cliente_Mes!$P$2:$P$433,Desconto_Cliente_Mes!$A$2:$A$433,D$51,Desconto_Cliente_Mes!$B$2:$B$433,$A51,Desconto_Cliente_Mes!$C$2:$C$433,"Fibra")))</f>
        <v>0</v>
      </c>
      <c r="E55" s="15" t="n">
        <f aca="false">MAX(0,(SUMIFS(Desconto_Cliente_Mes!$N$2:$N$433,Desconto_Cliente_Mes!$A$2:$A$433,E$51,Desconto_Cliente_Mes!$B$2:$B$433,$A51,Desconto_Cliente_Mes!$C$2:$C$433,"Fibra"))-(SUMIFS(Desconto_Cliente_Mes!$P$2:$P$433,Desconto_Cliente_Mes!$A$2:$A$433,E$51,Desconto_Cliente_Mes!$B$2:$B$433,$A51,Desconto_Cliente_Mes!$C$2:$C$433,"Fibra")))</f>
        <v>0</v>
      </c>
      <c r="F55" s="15" t="n">
        <f aca="false">MAX(0,(SUMIFS(Desconto_Cliente_Mes!$N$2:$N$433,Desconto_Cliente_Mes!$A$2:$A$433,F$51,Desconto_Cliente_Mes!$B$2:$B$433,$A51,Desconto_Cliente_Mes!$C$2:$C$433,"Fibra"))-(SUMIFS(Desconto_Cliente_Mes!$P$2:$P$433,Desconto_Cliente_Mes!$A$2:$A$433,F$51,Desconto_Cliente_Mes!$B$2:$B$433,$A51,Desconto_Cliente_Mes!$C$2:$C$433,"Fibra")))</f>
        <v>0</v>
      </c>
      <c r="G55" s="15" t="n">
        <f aca="false">MAX(0,(SUMIFS(Desconto_Cliente_Mes!$N$2:$N$433,Desconto_Cliente_Mes!$A$2:$A$433,G$51,Desconto_Cliente_Mes!$B$2:$B$433,$A51,Desconto_Cliente_Mes!$C$2:$C$433,"Fibra"))-(SUMIFS(Desconto_Cliente_Mes!$P$2:$P$433,Desconto_Cliente_Mes!$A$2:$A$433,G$51,Desconto_Cliente_Mes!$B$2:$B$433,$A51,Desconto_Cliente_Mes!$C$2:$C$433,"Fibra")))</f>
        <v>0</v>
      </c>
      <c r="H55" s="15" t="n">
        <f aca="false">MAX(0,(SUMIFS(Desconto_Cliente_Mes!$N$2:$N$433,Desconto_Cliente_Mes!$A$2:$A$433,H$51,Desconto_Cliente_Mes!$B$2:$B$433,$A51,Desconto_Cliente_Mes!$C$2:$C$433,"Fibra"))-(SUMIFS(Desconto_Cliente_Mes!$P$2:$P$433,Desconto_Cliente_Mes!$A$2:$A$433,H$51,Desconto_Cliente_Mes!$B$2:$B$433,$A51,Desconto_Cliente_Mes!$C$2:$C$433,"Fibra")))</f>
        <v>0</v>
      </c>
      <c r="I55" s="15" t="n">
        <f aca="false">MAX(0,(SUMIFS(Desconto_Cliente_Mes!$N$2:$N$433,Desconto_Cliente_Mes!$A$2:$A$433,I$51,Desconto_Cliente_Mes!$B$2:$B$433,$A51,Desconto_Cliente_Mes!$C$2:$C$433,"Fibra"))-(SUMIFS(Desconto_Cliente_Mes!$P$2:$P$433,Desconto_Cliente_Mes!$A$2:$A$433,I$51,Desconto_Cliente_Mes!$B$2:$B$433,$A51,Desconto_Cliente_Mes!$C$2:$C$433,"Fibra")))</f>
        <v>0</v>
      </c>
      <c r="J55" s="15" t="n">
        <f aca="false">MAX(0,(SUMIFS(Desconto_Cliente_Mes!$N$2:$N$433,Desconto_Cliente_Mes!$A$2:$A$433,J$51,Desconto_Cliente_Mes!$B$2:$B$433,$A51,Desconto_Cliente_Mes!$C$2:$C$433,"Fibra"))-(SUMIFS(Desconto_Cliente_Mes!$P$2:$P$433,Desconto_Cliente_Mes!$A$2:$A$433,J$51,Desconto_Cliente_Mes!$B$2:$B$433,$A51,Desconto_Cliente_Mes!$C$2:$C$433,"Fibra")))</f>
        <v>0</v>
      </c>
      <c r="K55" s="15" t="n">
        <f aca="false">MAX(0,(SUMIFS(Desconto_Cliente_Mes!$N$2:$N$433,Desconto_Cliente_Mes!$A$2:$A$433,K$51,Desconto_Cliente_Mes!$B$2:$B$433,$A51,Desconto_Cliente_Mes!$C$2:$C$433,"Fibra"))-(SUMIFS(Desconto_Cliente_Mes!$P$2:$P$433,Desconto_Cliente_Mes!$A$2:$A$433,K$51,Desconto_Cliente_Mes!$B$2:$B$433,$A51,Desconto_Cliente_Mes!$C$2:$C$433,"Fibra")))</f>
        <v>0</v>
      </c>
      <c r="L55" s="15" t="n">
        <f aca="false">MAX(0,(SUMIFS(Desconto_Cliente_Mes!$N$2:$N$433,Desconto_Cliente_Mes!$A$2:$A$433,L$51,Desconto_Cliente_Mes!$B$2:$B$433,$A51,Desconto_Cliente_Mes!$C$2:$C$433,"Fibra"))-(SUMIFS(Desconto_Cliente_Mes!$P$2:$P$433,Desconto_Cliente_Mes!$A$2:$A$433,L$51,Desconto_Cliente_Mes!$B$2:$B$433,$A51,Desconto_Cliente_Mes!$C$2:$C$433,"Fibra")))</f>
        <v>0</v>
      </c>
      <c r="M55" s="15" t="n">
        <f aca="false">MAX(0,(SUMIFS(Desconto_Cliente_Mes!$N$2:$N$433,Desconto_Cliente_Mes!$A$2:$A$433,M$51,Desconto_Cliente_Mes!$B$2:$B$433,$A51,Desconto_Cliente_Mes!$C$2:$C$433,"Fibra"))-(SUMIFS(Desconto_Cliente_Mes!$P$2:$P$433,Desconto_Cliente_Mes!$A$2:$A$433,M$51,Desconto_Cliente_Mes!$B$2:$B$433,$A51,Desconto_Cliente_Mes!$C$2:$C$433,"Fibra")))</f>
        <v>0</v>
      </c>
    </row>
    <row r="56" customFormat="false" ht="15" hidden="false" customHeight="false" outlineLevel="0" collapsed="false">
      <c r="A56" s="13" t="s">
        <v>78</v>
      </c>
      <c r="B56" s="15" t="n">
        <f aca="false">MAX(0,SUMIFS(Desconto_Cliente_Mes!$P$2:$P$433,Desconto_Cliente_Mes!$A$2:$A$433,B$51,Desconto_Cliente_Mes!$B$2:$B$433,$A51,Desconto_Cliente_Mes!$C$2:$C$433,"Fibra"))</f>
        <v>0</v>
      </c>
      <c r="C56" s="15" t="n">
        <f aca="false">MAX(0,SUMIFS(Desconto_Cliente_Mes!$P$2:$P$433,Desconto_Cliente_Mes!$A$2:$A$433,C$51,Desconto_Cliente_Mes!$B$2:$B$433,$A51,Desconto_Cliente_Mes!$C$2:$C$433,"Fibra"))</f>
        <v>0</v>
      </c>
      <c r="D56" s="15" t="n">
        <f aca="false">MAX(0,SUMIFS(Desconto_Cliente_Mes!$P$2:$P$433,Desconto_Cliente_Mes!$A$2:$A$433,D$51,Desconto_Cliente_Mes!$B$2:$B$433,$A51,Desconto_Cliente_Mes!$C$2:$C$433,"Fibra"))</f>
        <v>0</v>
      </c>
      <c r="E56" s="15" t="n">
        <f aca="false">MAX(0,SUMIFS(Desconto_Cliente_Mes!$P$2:$P$433,Desconto_Cliente_Mes!$A$2:$A$433,E$51,Desconto_Cliente_Mes!$B$2:$B$433,$A51,Desconto_Cliente_Mes!$C$2:$C$433,"Fibra"))</f>
        <v>0</v>
      </c>
      <c r="F56" s="15" t="n">
        <f aca="false">MAX(0,SUMIFS(Desconto_Cliente_Mes!$P$2:$P$433,Desconto_Cliente_Mes!$A$2:$A$433,F$51,Desconto_Cliente_Mes!$B$2:$B$433,$A51,Desconto_Cliente_Mes!$C$2:$C$433,"Fibra"))</f>
        <v>0</v>
      </c>
      <c r="G56" s="15" t="n">
        <f aca="false">MAX(0,SUMIFS(Desconto_Cliente_Mes!$P$2:$P$433,Desconto_Cliente_Mes!$A$2:$A$433,G$51,Desconto_Cliente_Mes!$B$2:$B$433,$A51,Desconto_Cliente_Mes!$C$2:$C$433,"Fibra"))</f>
        <v>0</v>
      </c>
      <c r="H56" s="15" t="n">
        <f aca="false">MAX(0,SUMIFS(Desconto_Cliente_Mes!$P$2:$P$433,Desconto_Cliente_Mes!$A$2:$A$433,H$51,Desconto_Cliente_Mes!$B$2:$B$433,$A51,Desconto_Cliente_Mes!$C$2:$C$433,"Fibra"))</f>
        <v>0</v>
      </c>
      <c r="I56" s="15" t="n">
        <f aca="false">MAX(0,SUMIFS(Desconto_Cliente_Mes!$P$2:$P$433,Desconto_Cliente_Mes!$A$2:$A$433,I$51,Desconto_Cliente_Mes!$B$2:$B$433,$A51,Desconto_Cliente_Mes!$C$2:$C$433,"Fibra"))</f>
        <v>0</v>
      </c>
      <c r="J56" s="15" t="n">
        <f aca="false">MAX(0,SUMIFS(Desconto_Cliente_Mes!$P$2:$P$433,Desconto_Cliente_Mes!$A$2:$A$433,J$51,Desconto_Cliente_Mes!$B$2:$B$433,$A51,Desconto_Cliente_Mes!$C$2:$C$433,"Fibra"))</f>
        <v>0</v>
      </c>
      <c r="K56" s="15" t="n">
        <f aca="false">MAX(0,SUMIFS(Desconto_Cliente_Mes!$P$2:$P$433,Desconto_Cliente_Mes!$A$2:$A$433,K$51,Desconto_Cliente_Mes!$B$2:$B$433,$A51,Desconto_Cliente_Mes!$C$2:$C$433,"Fibra"))</f>
        <v>0</v>
      </c>
      <c r="L56" s="15" t="n">
        <f aca="false">MAX(0,SUMIFS(Desconto_Cliente_Mes!$P$2:$P$433,Desconto_Cliente_Mes!$A$2:$A$433,L$51,Desconto_Cliente_Mes!$B$2:$B$433,$A51,Desconto_Cliente_Mes!$C$2:$C$433,"Fibra"))</f>
        <v>0</v>
      </c>
      <c r="M56" s="15" t="n">
        <f aca="false">MAX(0,SUMIFS(Desconto_Cliente_Mes!$P$2:$P$433,Desconto_Cliente_Mes!$A$2:$A$433,M$51,Desconto_Cliente_Mes!$B$2:$B$433,$A51,Desconto_Cliente_Mes!$C$2:$C$433,"Fibra"))</f>
        <v>0</v>
      </c>
    </row>
    <row r="57" customFormat="false" ht="15" hidden="false" customHeight="false" outlineLevel="0" collapsed="false">
      <c r="A57" s="13" t="s">
        <v>79</v>
      </c>
      <c r="B57" s="16" t="n">
        <f aca="false">$B$53*($B$54/100)*(SUMIFS(Desconto_Cliente_Mes!$Q$2:$Q$433,Desconto_Cliente_Mes!$A$2:$A$433,B$51,Desconto_Cliente_Mes!$B$2:$B$433,$A51,Desconto_Cliente_Mes!$C$2:$C$433,"Fibra"))*(SUMIFS(Desconto_Cliente_Mes!$T$2:$T$433,Desconto_Cliente_Mes!$A$2:$A$433,B$51,Desconto_Cliente_Mes!$B$2:$B$433,$A51,Desconto_Cliente_Mes!$C$2:$C$433,"Fibra"))</f>
        <v>0</v>
      </c>
      <c r="C57" s="16" t="n">
        <f aca="false">$C$53*($C$54/100)*(SUMIFS(Desconto_Cliente_Mes!$Q$2:$Q$433,Desconto_Cliente_Mes!$A$2:$A$433,C$51,Desconto_Cliente_Mes!$B$2:$B$433,$A51,Desconto_Cliente_Mes!$C$2:$C$433,"Fibra"))*(SUMIFS(Desconto_Cliente_Mes!$T$2:$T$433,Desconto_Cliente_Mes!$A$2:$A$433,C$51,Desconto_Cliente_Mes!$B$2:$B$433,$A51,Desconto_Cliente_Mes!$C$2:$C$433,"Fibra"))</f>
        <v>0</v>
      </c>
      <c r="D57" s="16" t="n">
        <f aca="false">$D$53*($D$54/100)*(SUMIFS(Desconto_Cliente_Mes!$Q$2:$Q$433,Desconto_Cliente_Mes!$A$2:$A$433,D$51,Desconto_Cliente_Mes!$B$2:$B$433,$A51,Desconto_Cliente_Mes!$C$2:$C$433,"Fibra"))*(SUMIFS(Desconto_Cliente_Mes!$T$2:$T$433,Desconto_Cliente_Mes!$A$2:$A$433,D$51,Desconto_Cliente_Mes!$B$2:$B$433,$A51,Desconto_Cliente_Mes!$C$2:$C$433,"Fibra"))</f>
        <v>3137.37306356125</v>
      </c>
      <c r="E57" s="16" t="n">
        <f aca="false">$E$53*($E$54/100)*(SUMIFS(Desconto_Cliente_Mes!$Q$2:$Q$433,Desconto_Cliente_Mes!$A$2:$A$433,E$51,Desconto_Cliente_Mes!$B$2:$B$433,$A51,Desconto_Cliente_Mes!$C$2:$C$433,"Fibra"))*(SUMIFS(Desconto_Cliente_Mes!$T$2:$T$433,Desconto_Cliente_Mes!$A$2:$A$433,E$51,Desconto_Cliente_Mes!$B$2:$B$433,$A51,Desconto_Cliente_Mes!$C$2:$C$433,"Fibra"))</f>
        <v>8734.15282456172</v>
      </c>
      <c r="F57" s="16" t="n">
        <f aca="false">$F$53*($F$54/100)*(SUMIFS(Desconto_Cliente_Mes!$Q$2:$Q$433,Desconto_Cliente_Mes!$A$2:$A$433,F$51,Desconto_Cliente_Mes!$B$2:$B$433,$A51,Desconto_Cliente_Mes!$C$2:$C$433,"Fibra"))*(SUMIFS(Desconto_Cliente_Mes!$T$2:$T$433,Desconto_Cliente_Mes!$A$2:$A$433,F$51,Desconto_Cliente_Mes!$B$2:$B$433,$A51,Desconto_Cliente_Mes!$C$2:$C$433,"Fibra"))</f>
        <v>0</v>
      </c>
      <c r="G57" s="16" t="n">
        <f aca="false">$G$53*($G$54/100)*(SUMIFS(Desconto_Cliente_Mes!$Q$2:$Q$433,Desconto_Cliente_Mes!$A$2:$A$433,G$51,Desconto_Cliente_Mes!$B$2:$B$433,$A51,Desconto_Cliente_Mes!$C$2:$C$433,"Fibra"))*(SUMIFS(Desconto_Cliente_Mes!$T$2:$T$433,Desconto_Cliente_Mes!$A$2:$A$433,G$51,Desconto_Cliente_Mes!$B$2:$B$433,$A51,Desconto_Cliente_Mes!$C$2:$C$433,"Fibra"))</f>
        <v>22771.5674132115</v>
      </c>
      <c r="H57" s="16" t="n">
        <f aca="false">$H$53*($H$54/100)*(SUMIFS(Desconto_Cliente_Mes!$Q$2:$Q$433,Desconto_Cliente_Mes!$A$2:$A$433,H$51,Desconto_Cliente_Mes!$B$2:$B$433,$A51,Desconto_Cliente_Mes!$C$2:$C$433,"Fibra"))*(SUMIFS(Desconto_Cliente_Mes!$T$2:$T$433,Desconto_Cliente_Mes!$A$2:$A$433,H$51,Desconto_Cliente_Mes!$B$2:$B$433,$A51,Desconto_Cliente_Mes!$C$2:$C$433,"Fibra"))</f>
        <v>0</v>
      </c>
      <c r="I57" s="16" t="n">
        <f aca="false">$I$53*($I$54/100)*(SUMIFS(Desconto_Cliente_Mes!$Q$2:$Q$433,Desconto_Cliente_Mes!$A$2:$A$433,I$51,Desconto_Cliente_Mes!$B$2:$B$433,$A51,Desconto_Cliente_Mes!$C$2:$C$433,"Fibra"))*(SUMIFS(Desconto_Cliente_Mes!$T$2:$T$433,Desconto_Cliente_Mes!$A$2:$A$433,I$51,Desconto_Cliente_Mes!$B$2:$B$433,$A51,Desconto_Cliente_Mes!$C$2:$C$433,"Fibra"))</f>
        <v>0</v>
      </c>
      <c r="J57" s="16" t="n">
        <f aca="false">$J$53*($J$54/100)*(SUMIFS(Desconto_Cliente_Mes!$Q$2:$Q$433,Desconto_Cliente_Mes!$A$2:$A$433,J$51,Desconto_Cliente_Mes!$B$2:$B$433,$A51,Desconto_Cliente_Mes!$C$2:$C$433,"Fibra"))*(SUMIFS(Desconto_Cliente_Mes!$T$2:$T$433,Desconto_Cliente_Mes!$A$2:$A$433,J$51,Desconto_Cliente_Mes!$B$2:$B$433,$A51,Desconto_Cliente_Mes!$C$2:$C$433,"Fibra"))</f>
        <v>0</v>
      </c>
      <c r="K57" s="16" t="n">
        <f aca="false">$K$53*($K$54/100)*(SUMIFS(Desconto_Cliente_Mes!$Q$2:$Q$433,Desconto_Cliente_Mes!$A$2:$A$433,K$51,Desconto_Cliente_Mes!$B$2:$B$433,$A51,Desconto_Cliente_Mes!$C$2:$C$433,"Fibra"))*(SUMIFS(Desconto_Cliente_Mes!$T$2:$T$433,Desconto_Cliente_Mes!$A$2:$A$433,K$51,Desconto_Cliente_Mes!$B$2:$B$433,$A51,Desconto_Cliente_Mes!$C$2:$C$433,"Fibra"))</f>
        <v>0</v>
      </c>
      <c r="L57" s="16" t="n">
        <f aca="false">$L$53*($L$54/100)*(SUMIFS(Desconto_Cliente_Mes!$Q$2:$Q$433,Desconto_Cliente_Mes!$A$2:$A$433,L$51,Desconto_Cliente_Mes!$B$2:$B$433,$A51,Desconto_Cliente_Mes!$C$2:$C$433,"Fibra"))*(SUMIFS(Desconto_Cliente_Mes!$T$2:$T$433,Desconto_Cliente_Mes!$A$2:$A$433,L$51,Desconto_Cliente_Mes!$B$2:$B$433,$A51,Desconto_Cliente_Mes!$C$2:$C$433,"Fibra"))</f>
        <v>0</v>
      </c>
      <c r="M57" s="16" t="n">
        <f aca="false">$M$53*($M$54/100)*(SUMIFS(Desconto_Cliente_Mes!$Q$2:$Q$433,Desconto_Cliente_Mes!$A$2:$A$433,M$51,Desconto_Cliente_Mes!$B$2:$B$433,$A51,Desconto_Cliente_Mes!$C$2:$C$433,"Fibra"))*(SUMIFS(Desconto_Cliente_Mes!$T$2:$T$433,Desconto_Cliente_Mes!$A$2:$A$433,M$51,Desconto_Cliente_Mes!$B$2:$B$433,$A51,Desconto_Cliente_Mes!$C$2:$C$433,"Fibra"))</f>
        <v>0</v>
      </c>
      <c r="N57" s="17" t="n">
        <f aca="false">SUM(B57:M57)</f>
        <v>34643.0933013345</v>
      </c>
    </row>
    <row r="58" customFormat="false" ht="15" hidden="false" customHeight="false" outlineLevel="0" collapsed="false">
      <c r="A58" s="13" t="s">
        <v>80</v>
      </c>
      <c r="B58" s="16" t="n">
        <f aca="false">$B$53*($B$55/100)*((IF(SUMIFS(Desconto_Cliente_Mes!$R$2:$R$433,Desconto_Cliente_Mes!$A$2:$A$433,B$51,Desconto_Cliente_Mes!$B$2:$B$433,$A51,Desconto_Cliente_Mes!$C$2:$C$433,"Fibra")="",SUMIFS(Desconto_Cliente_Mes!$Q$2:$Q$433,Desconto_Cliente_Mes!$A$2:$A$433,B$51,Desconto_Cliente_Mes!$B$2:$B$433,$A51,Desconto_Cliente_Mes!$C$2:$C$433,"Fibra"),SUMIFS(Desconto_Cliente_Mes!$R$2:$R$433,Desconto_Cliente_Mes!$A$2:$A$433,B$51,Desconto_Cliente_Mes!$B$2:$B$433,$A51,Desconto_Cliente_Mes!$C$2:$C$433,"Fibra")))-(SUMIFS(Desconto_Cliente_Mes!$Q$2:$Q$433,Desconto_Cliente_Mes!$A$2:$A$433,B$51,Desconto_Cliente_Mes!$B$2:$B$433,$A51,Desconto_Cliente_Mes!$C$2:$C$433,"Fibra")))*(SUMIFS(Desconto_Cliente_Mes!$T$2:$T$433,Desconto_Cliente_Mes!$A$2:$A$433,B$51,Desconto_Cliente_Mes!$B$2:$B$433,$A51,Desconto_Cliente_Mes!$C$2:$C$433,"Fibra"))</f>
        <v>0</v>
      </c>
      <c r="C58" s="16" t="n">
        <f aca="false">$C$53*($C$55/100)*((IF(SUMIFS(Desconto_Cliente_Mes!$R$2:$R$433,Desconto_Cliente_Mes!$A$2:$A$433,C$51,Desconto_Cliente_Mes!$B$2:$B$433,$A51,Desconto_Cliente_Mes!$C$2:$C$433,"Fibra")="",SUMIFS(Desconto_Cliente_Mes!$Q$2:$Q$433,Desconto_Cliente_Mes!$A$2:$A$433,C$51,Desconto_Cliente_Mes!$B$2:$B$433,$A51,Desconto_Cliente_Mes!$C$2:$C$433,"Fibra"),SUMIFS(Desconto_Cliente_Mes!$R$2:$R$433,Desconto_Cliente_Mes!$A$2:$A$433,C$51,Desconto_Cliente_Mes!$B$2:$B$433,$A51,Desconto_Cliente_Mes!$C$2:$C$433,"Fibra")))-(SUMIFS(Desconto_Cliente_Mes!$Q$2:$Q$433,Desconto_Cliente_Mes!$A$2:$A$433,C$51,Desconto_Cliente_Mes!$B$2:$B$433,$A51,Desconto_Cliente_Mes!$C$2:$C$433,"Fibra")))*(SUMIFS(Desconto_Cliente_Mes!$T$2:$T$433,Desconto_Cliente_Mes!$A$2:$A$433,C$51,Desconto_Cliente_Mes!$B$2:$B$433,$A51,Desconto_Cliente_Mes!$C$2:$C$433,"Fibra"))</f>
        <v>0</v>
      </c>
      <c r="D58" s="16" t="n">
        <f aca="false">$D$53*($D$55/100)*((IF(SUMIFS(Desconto_Cliente_Mes!$R$2:$R$433,Desconto_Cliente_Mes!$A$2:$A$433,D$51,Desconto_Cliente_Mes!$B$2:$B$433,$A51,Desconto_Cliente_Mes!$C$2:$C$433,"Fibra")="",SUMIFS(Desconto_Cliente_Mes!$Q$2:$Q$433,Desconto_Cliente_Mes!$A$2:$A$433,D$51,Desconto_Cliente_Mes!$B$2:$B$433,$A51,Desconto_Cliente_Mes!$C$2:$C$433,"Fibra"),SUMIFS(Desconto_Cliente_Mes!$R$2:$R$433,Desconto_Cliente_Mes!$A$2:$A$433,D$51,Desconto_Cliente_Mes!$B$2:$B$433,$A51,Desconto_Cliente_Mes!$C$2:$C$433,"Fibra")))-(SUMIFS(Desconto_Cliente_Mes!$Q$2:$Q$433,Desconto_Cliente_Mes!$A$2:$A$433,D$51,Desconto_Cliente_Mes!$B$2:$B$433,$A51,Desconto_Cliente_Mes!$C$2:$C$433,"Fibra")))*(SUMIFS(Desconto_Cliente_Mes!$T$2:$T$433,Desconto_Cliente_Mes!$A$2:$A$433,D$51,Desconto_Cliente_Mes!$B$2:$B$433,$A51,Desconto_Cliente_Mes!$C$2:$C$433,"Fibra"))</f>
        <v>0</v>
      </c>
      <c r="E58" s="16" t="n">
        <f aca="false">$E$53*($E$55/100)*((IF(SUMIFS(Desconto_Cliente_Mes!$R$2:$R$433,Desconto_Cliente_Mes!$A$2:$A$433,E$51,Desconto_Cliente_Mes!$B$2:$B$433,$A51,Desconto_Cliente_Mes!$C$2:$C$433,"Fibra")="",SUMIFS(Desconto_Cliente_Mes!$Q$2:$Q$433,Desconto_Cliente_Mes!$A$2:$A$433,E$51,Desconto_Cliente_Mes!$B$2:$B$433,$A51,Desconto_Cliente_Mes!$C$2:$C$433,"Fibra"),SUMIFS(Desconto_Cliente_Mes!$R$2:$R$433,Desconto_Cliente_Mes!$A$2:$A$433,E$51,Desconto_Cliente_Mes!$B$2:$B$433,$A51,Desconto_Cliente_Mes!$C$2:$C$433,"Fibra")))-(SUMIFS(Desconto_Cliente_Mes!$Q$2:$Q$433,Desconto_Cliente_Mes!$A$2:$A$433,E$51,Desconto_Cliente_Mes!$B$2:$B$433,$A51,Desconto_Cliente_Mes!$C$2:$C$433,"Fibra")))*(SUMIFS(Desconto_Cliente_Mes!$T$2:$T$433,Desconto_Cliente_Mes!$A$2:$A$433,E$51,Desconto_Cliente_Mes!$B$2:$B$433,$A51,Desconto_Cliente_Mes!$C$2:$C$433,"Fibra"))</f>
        <v>0</v>
      </c>
      <c r="F58" s="16" t="n">
        <f aca="false">$F$53*($F$55/100)*((IF(SUMIFS(Desconto_Cliente_Mes!$R$2:$R$433,Desconto_Cliente_Mes!$A$2:$A$433,F$51,Desconto_Cliente_Mes!$B$2:$B$433,$A51,Desconto_Cliente_Mes!$C$2:$C$433,"Fibra")="",SUMIFS(Desconto_Cliente_Mes!$Q$2:$Q$433,Desconto_Cliente_Mes!$A$2:$A$433,F$51,Desconto_Cliente_Mes!$B$2:$B$433,$A51,Desconto_Cliente_Mes!$C$2:$C$433,"Fibra"),SUMIFS(Desconto_Cliente_Mes!$R$2:$R$433,Desconto_Cliente_Mes!$A$2:$A$433,F$51,Desconto_Cliente_Mes!$B$2:$B$433,$A51,Desconto_Cliente_Mes!$C$2:$C$433,"Fibra")))-(SUMIFS(Desconto_Cliente_Mes!$Q$2:$Q$433,Desconto_Cliente_Mes!$A$2:$A$433,F$51,Desconto_Cliente_Mes!$B$2:$B$433,$A51,Desconto_Cliente_Mes!$C$2:$C$433,"Fibra")))*(SUMIFS(Desconto_Cliente_Mes!$T$2:$T$433,Desconto_Cliente_Mes!$A$2:$A$433,F$51,Desconto_Cliente_Mes!$B$2:$B$433,$A51,Desconto_Cliente_Mes!$C$2:$C$433,"Fibra"))</f>
        <v>0</v>
      </c>
      <c r="G58" s="16" t="n">
        <f aca="false">$G$53*($G$55/100)*((IF(SUMIFS(Desconto_Cliente_Mes!$R$2:$R$433,Desconto_Cliente_Mes!$A$2:$A$433,G$51,Desconto_Cliente_Mes!$B$2:$B$433,$A51,Desconto_Cliente_Mes!$C$2:$C$433,"Fibra")="",SUMIFS(Desconto_Cliente_Mes!$Q$2:$Q$433,Desconto_Cliente_Mes!$A$2:$A$433,G$51,Desconto_Cliente_Mes!$B$2:$B$433,$A51,Desconto_Cliente_Mes!$C$2:$C$433,"Fibra"),SUMIFS(Desconto_Cliente_Mes!$R$2:$R$433,Desconto_Cliente_Mes!$A$2:$A$433,G$51,Desconto_Cliente_Mes!$B$2:$B$433,$A51,Desconto_Cliente_Mes!$C$2:$C$433,"Fibra")))-(SUMIFS(Desconto_Cliente_Mes!$Q$2:$Q$433,Desconto_Cliente_Mes!$A$2:$A$433,G$51,Desconto_Cliente_Mes!$B$2:$B$433,$A51,Desconto_Cliente_Mes!$C$2:$C$433,"Fibra")))*(SUMIFS(Desconto_Cliente_Mes!$T$2:$T$433,Desconto_Cliente_Mes!$A$2:$A$433,G$51,Desconto_Cliente_Mes!$B$2:$B$433,$A51,Desconto_Cliente_Mes!$C$2:$C$433,"Fibra"))</f>
        <v>0</v>
      </c>
      <c r="H58" s="16" t="n">
        <f aca="false">$H$53*($H$55/100)*((IF(SUMIFS(Desconto_Cliente_Mes!$R$2:$R$433,Desconto_Cliente_Mes!$A$2:$A$433,H$51,Desconto_Cliente_Mes!$B$2:$B$433,$A51,Desconto_Cliente_Mes!$C$2:$C$433,"Fibra")="",SUMIFS(Desconto_Cliente_Mes!$Q$2:$Q$433,Desconto_Cliente_Mes!$A$2:$A$433,H$51,Desconto_Cliente_Mes!$B$2:$B$433,$A51,Desconto_Cliente_Mes!$C$2:$C$433,"Fibra"),SUMIFS(Desconto_Cliente_Mes!$R$2:$R$433,Desconto_Cliente_Mes!$A$2:$A$433,H$51,Desconto_Cliente_Mes!$B$2:$B$433,$A51,Desconto_Cliente_Mes!$C$2:$C$433,"Fibra")))-(SUMIFS(Desconto_Cliente_Mes!$Q$2:$Q$433,Desconto_Cliente_Mes!$A$2:$A$433,H$51,Desconto_Cliente_Mes!$B$2:$B$433,$A51,Desconto_Cliente_Mes!$C$2:$C$433,"Fibra")))*(SUMIFS(Desconto_Cliente_Mes!$T$2:$T$433,Desconto_Cliente_Mes!$A$2:$A$433,H$51,Desconto_Cliente_Mes!$B$2:$B$433,$A51,Desconto_Cliente_Mes!$C$2:$C$433,"Fibra"))</f>
        <v>0</v>
      </c>
      <c r="I58" s="16" t="n">
        <f aca="false">$I$53*($I$55/100)*((IF(SUMIFS(Desconto_Cliente_Mes!$R$2:$R$433,Desconto_Cliente_Mes!$A$2:$A$433,I$51,Desconto_Cliente_Mes!$B$2:$B$433,$A51,Desconto_Cliente_Mes!$C$2:$C$433,"Fibra")="",SUMIFS(Desconto_Cliente_Mes!$Q$2:$Q$433,Desconto_Cliente_Mes!$A$2:$A$433,I$51,Desconto_Cliente_Mes!$B$2:$B$433,$A51,Desconto_Cliente_Mes!$C$2:$C$433,"Fibra"),SUMIFS(Desconto_Cliente_Mes!$R$2:$R$433,Desconto_Cliente_Mes!$A$2:$A$433,I$51,Desconto_Cliente_Mes!$B$2:$B$433,$A51,Desconto_Cliente_Mes!$C$2:$C$433,"Fibra")))-(SUMIFS(Desconto_Cliente_Mes!$Q$2:$Q$433,Desconto_Cliente_Mes!$A$2:$A$433,I$51,Desconto_Cliente_Mes!$B$2:$B$433,$A51,Desconto_Cliente_Mes!$C$2:$C$433,"Fibra")))*(SUMIFS(Desconto_Cliente_Mes!$T$2:$T$433,Desconto_Cliente_Mes!$A$2:$A$433,I$51,Desconto_Cliente_Mes!$B$2:$B$433,$A51,Desconto_Cliente_Mes!$C$2:$C$433,"Fibra"))</f>
        <v>0</v>
      </c>
      <c r="J58" s="16" t="n">
        <f aca="false">$J$53*($J$55/100)*((IF(SUMIFS(Desconto_Cliente_Mes!$R$2:$R$433,Desconto_Cliente_Mes!$A$2:$A$433,J$51,Desconto_Cliente_Mes!$B$2:$B$433,$A51,Desconto_Cliente_Mes!$C$2:$C$433,"Fibra")="",SUMIFS(Desconto_Cliente_Mes!$Q$2:$Q$433,Desconto_Cliente_Mes!$A$2:$A$433,J$51,Desconto_Cliente_Mes!$B$2:$B$433,$A51,Desconto_Cliente_Mes!$C$2:$C$433,"Fibra"),SUMIFS(Desconto_Cliente_Mes!$R$2:$R$433,Desconto_Cliente_Mes!$A$2:$A$433,J$51,Desconto_Cliente_Mes!$B$2:$B$433,$A51,Desconto_Cliente_Mes!$C$2:$C$433,"Fibra")))-(SUMIFS(Desconto_Cliente_Mes!$Q$2:$Q$433,Desconto_Cliente_Mes!$A$2:$A$433,J$51,Desconto_Cliente_Mes!$B$2:$B$433,$A51,Desconto_Cliente_Mes!$C$2:$C$433,"Fibra")))*(SUMIFS(Desconto_Cliente_Mes!$T$2:$T$433,Desconto_Cliente_Mes!$A$2:$A$433,J$51,Desconto_Cliente_Mes!$B$2:$B$433,$A51,Desconto_Cliente_Mes!$C$2:$C$433,"Fibra"))</f>
        <v>0</v>
      </c>
      <c r="K58" s="16" t="n">
        <f aca="false">$K$53*($K$55/100)*((IF(SUMIFS(Desconto_Cliente_Mes!$R$2:$R$433,Desconto_Cliente_Mes!$A$2:$A$433,K$51,Desconto_Cliente_Mes!$B$2:$B$433,$A51,Desconto_Cliente_Mes!$C$2:$C$433,"Fibra")="",SUMIFS(Desconto_Cliente_Mes!$Q$2:$Q$433,Desconto_Cliente_Mes!$A$2:$A$433,K$51,Desconto_Cliente_Mes!$B$2:$B$433,$A51,Desconto_Cliente_Mes!$C$2:$C$433,"Fibra"),SUMIFS(Desconto_Cliente_Mes!$R$2:$R$433,Desconto_Cliente_Mes!$A$2:$A$433,K$51,Desconto_Cliente_Mes!$B$2:$B$433,$A51,Desconto_Cliente_Mes!$C$2:$C$433,"Fibra")))-(SUMIFS(Desconto_Cliente_Mes!$Q$2:$Q$433,Desconto_Cliente_Mes!$A$2:$A$433,K$51,Desconto_Cliente_Mes!$B$2:$B$433,$A51,Desconto_Cliente_Mes!$C$2:$C$433,"Fibra")))*(SUMIFS(Desconto_Cliente_Mes!$T$2:$T$433,Desconto_Cliente_Mes!$A$2:$A$433,K$51,Desconto_Cliente_Mes!$B$2:$B$433,$A51,Desconto_Cliente_Mes!$C$2:$C$433,"Fibra"))</f>
        <v>0</v>
      </c>
      <c r="L58" s="16" t="n">
        <f aca="false">$L$53*($L$55/100)*((IF(SUMIFS(Desconto_Cliente_Mes!$R$2:$R$433,Desconto_Cliente_Mes!$A$2:$A$433,L$51,Desconto_Cliente_Mes!$B$2:$B$433,$A51,Desconto_Cliente_Mes!$C$2:$C$433,"Fibra")="",SUMIFS(Desconto_Cliente_Mes!$Q$2:$Q$433,Desconto_Cliente_Mes!$A$2:$A$433,L$51,Desconto_Cliente_Mes!$B$2:$B$433,$A51,Desconto_Cliente_Mes!$C$2:$C$433,"Fibra"),SUMIFS(Desconto_Cliente_Mes!$R$2:$R$433,Desconto_Cliente_Mes!$A$2:$A$433,L$51,Desconto_Cliente_Mes!$B$2:$B$433,$A51,Desconto_Cliente_Mes!$C$2:$C$433,"Fibra")))-(SUMIFS(Desconto_Cliente_Mes!$Q$2:$Q$433,Desconto_Cliente_Mes!$A$2:$A$433,L$51,Desconto_Cliente_Mes!$B$2:$B$433,$A51,Desconto_Cliente_Mes!$C$2:$C$433,"Fibra")))*(SUMIFS(Desconto_Cliente_Mes!$T$2:$T$433,Desconto_Cliente_Mes!$A$2:$A$433,L$51,Desconto_Cliente_Mes!$B$2:$B$433,$A51,Desconto_Cliente_Mes!$C$2:$C$433,"Fibra"))</f>
        <v>0</v>
      </c>
      <c r="M58" s="16" t="n">
        <f aca="false">$M$53*($M$55/100)*((IF(SUMIFS(Desconto_Cliente_Mes!$R$2:$R$433,Desconto_Cliente_Mes!$A$2:$A$433,M$51,Desconto_Cliente_Mes!$B$2:$B$433,$A51,Desconto_Cliente_Mes!$C$2:$C$433,"Fibra")="",SUMIFS(Desconto_Cliente_Mes!$Q$2:$Q$433,Desconto_Cliente_Mes!$A$2:$A$433,M$51,Desconto_Cliente_Mes!$B$2:$B$433,$A51,Desconto_Cliente_Mes!$C$2:$C$433,"Fibra"),SUMIFS(Desconto_Cliente_Mes!$R$2:$R$433,Desconto_Cliente_Mes!$A$2:$A$433,M$51,Desconto_Cliente_Mes!$B$2:$B$433,$A51,Desconto_Cliente_Mes!$C$2:$C$433,"Fibra")))-(SUMIFS(Desconto_Cliente_Mes!$Q$2:$Q$433,Desconto_Cliente_Mes!$A$2:$A$433,M$51,Desconto_Cliente_Mes!$B$2:$B$433,$A51,Desconto_Cliente_Mes!$C$2:$C$433,"Fibra")))*(SUMIFS(Desconto_Cliente_Mes!$T$2:$T$433,Desconto_Cliente_Mes!$A$2:$A$433,M$51,Desconto_Cliente_Mes!$B$2:$B$433,$A51,Desconto_Cliente_Mes!$C$2:$C$433,"Fibra"))</f>
        <v>0</v>
      </c>
      <c r="N58" s="17" t="n">
        <f aca="false">SUM(B58:M58)</f>
        <v>0</v>
      </c>
    </row>
    <row r="59" customFormat="false" ht="15" hidden="false" customHeight="false" outlineLevel="0" collapsed="false">
      <c r="A59" s="13" t="s">
        <v>81</v>
      </c>
      <c r="B59" s="16" t="n">
        <f aca="false">$B$53*($B$56/100)*((IF(SUMIFS(Desconto_Cliente_Mes!$S$2:$S$433,Desconto_Cliente_Mes!$A$2:$A$433,B$51,Desconto_Cliente_Mes!$B$2:$B$433,$A51,Desconto_Cliente_Mes!$C$2:$C$433,"Fibra")="",(IF(SUMIFS(Desconto_Cliente_Mes!$R$2:$R$433,Desconto_Cliente_Mes!$A$2:$A$433,B$51,Desconto_Cliente_Mes!$B$2:$B$433,$A51,Desconto_Cliente_Mes!$C$2:$C$433,"Fibra")="",SUMIFS(Desconto_Cliente_Mes!$Q$2:$Q$433,Desconto_Cliente_Mes!$A$2:$A$433,B$51,Desconto_Cliente_Mes!$B$2:$B$433,$A51,Desconto_Cliente_Mes!$C$2:$C$433,"Fibra"),SUMIFS(Desconto_Cliente_Mes!$R$2:$R$433,Desconto_Cliente_Mes!$A$2:$A$433,B$51,Desconto_Cliente_Mes!$B$2:$B$433,$A51,Desconto_Cliente_Mes!$C$2:$C$433,"Fibra"))),SUMIFS(Desconto_Cliente_Mes!$S$2:$S$433,Desconto_Cliente_Mes!$A$2:$A$433,B$51,Desconto_Cliente_Mes!$B$2:$B$433,$A51,Desconto_Cliente_Mes!$C$2:$C$433,"Fibra")))-(IF(SUMIFS(Desconto_Cliente_Mes!$R$2:$R$433,Desconto_Cliente_Mes!$A$2:$A$433,B$51,Desconto_Cliente_Mes!$B$2:$B$433,$A51,Desconto_Cliente_Mes!$C$2:$C$433,"Fibra")="",SUMIFS(Desconto_Cliente_Mes!$Q$2:$Q$433,Desconto_Cliente_Mes!$A$2:$A$433,B$51,Desconto_Cliente_Mes!$B$2:$B$433,$A51,Desconto_Cliente_Mes!$C$2:$C$433,"Fibra"),SUMIFS(Desconto_Cliente_Mes!$R$2:$R$433,Desconto_Cliente_Mes!$A$2:$A$433,B$51,Desconto_Cliente_Mes!$B$2:$B$433,$A51,Desconto_Cliente_Mes!$C$2:$C$433,"Fibra"))))*(SUMIFS(Desconto_Cliente_Mes!$T$2:$T$433,Desconto_Cliente_Mes!$A$2:$A$433,B$51,Desconto_Cliente_Mes!$B$2:$B$433,$A51,Desconto_Cliente_Mes!$C$2:$C$433,"Fibra"))</f>
        <v>0</v>
      </c>
      <c r="C59" s="16" t="n">
        <f aca="false">$C$53*($C$56/100)*((IF(SUMIFS(Desconto_Cliente_Mes!$S$2:$S$433,Desconto_Cliente_Mes!$A$2:$A$433,C$51,Desconto_Cliente_Mes!$B$2:$B$433,$A51,Desconto_Cliente_Mes!$C$2:$C$433,"Fibra")="",(IF(SUMIFS(Desconto_Cliente_Mes!$R$2:$R$433,Desconto_Cliente_Mes!$A$2:$A$433,C$51,Desconto_Cliente_Mes!$B$2:$B$433,$A51,Desconto_Cliente_Mes!$C$2:$C$433,"Fibra")="",SUMIFS(Desconto_Cliente_Mes!$Q$2:$Q$433,Desconto_Cliente_Mes!$A$2:$A$433,C$51,Desconto_Cliente_Mes!$B$2:$B$433,$A51,Desconto_Cliente_Mes!$C$2:$C$433,"Fibra"),SUMIFS(Desconto_Cliente_Mes!$R$2:$R$433,Desconto_Cliente_Mes!$A$2:$A$433,C$51,Desconto_Cliente_Mes!$B$2:$B$433,$A51,Desconto_Cliente_Mes!$C$2:$C$433,"Fibra"))),SUMIFS(Desconto_Cliente_Mes!$S$2:$S$433,Desconto_Cliente_Mes!$A$2:$A$433,C$51,Desconto_Cliente_Mes!$B$2:$B$433,$A51,Desconto_Cliente_Mes!$C$2:$C$433,"Fibra")))-(IF(SUMIFS(Desconto_Cliente_Mes!$R$2:$R$433,Desconto_Cliente_Mes!$A$2:$A$433,C$51,Desconto_Cliente_Mes!$B$2:$B$433,$A51,Desconto_Cliente_Mes!$C$2:$C$433,"Fibra")="",SUMIFS(Desconto_Cliente_Mes!$Q$2:$Q$433,Desconto_Cliente_Mes!$A$2:$A$433,C$51,Desconto_Cliente_Mes!$B$2:$B$433,$A51,Desconto_Cliente_Mes!$C$2:$C$433,"Fibra"),SUMIFS(Desconto_Cliente_Mes!$R$2:$R$433,Desconto_Cliente_Mes!$A$2:$A$433,C$51,Desconto_Cliente_Mes!$B$2:$B$433,$A51,Desconto_Cliente_Mes!$C$2:$C$433,"Fibra"))))*(SUMIFS(Desconto_Cliente_Mes!$T$2:$T$433,Desconto_Cliente_Mes!$A$2:$A$433,C$51,Desconto_Cliente_Mes!$B$2:$B$433,$A51,Desconto_Cliente_Mes!$C$2:$C$433,"Fibra"))</f>
        <v>0</v>
      </c>
      <c r="D59" s="16" t="n">
        <f aca="false">$D$53*($D$56/100)*((IF(SUMIFS(Desconto_Cliente_Mes!$S$2:$S$433,Desconto_Cliente_Mes!$A$2:$A$433,D$51,Desconto_Cliente_Mes!$B$2:$B$433,$A51,Desconto_Cliente_Mes!$C$2:$C$433,"Fibra")="",(IF(SUMIFS(Desconto_Cliente_Mes!$R$2:$R$433,Desconto_Cliente_Mes!$A$2:$A$433,D$51,Desconto_Cliente_Mes!$B$2:$B$433,$A51,Desconto_Cliente_Mes!$C$2:$C$433,"Fibra")="",SUMIFS(Desconto_Cliente_Mes!$Q$2:$Q$433,Desconto_Cliente_Mes!$A$2:$A$433,D$51,Desconto_Cliente_Mes!$B$2:$B$433,$A51,Desconto_Cliente_Mes!$C$2:$C$433,"Fibra"),SUMIFS(Desconto_Cliente_Mes!$R$2:$R$433,Desconto_Cliente_Mes!$A$2:$A$433,D$51,Desconto_Cliente_Mes!$B$2:$B$433,$A51,Desconto_Cliente_Mes!$C$2:$C$433,"Fibra"))),SUMIFS(Desconto_Cliente_Mes!$S$2:$S$433,Desconto_Cliente_Mes!$A$2:$A$433,D$51,Desconto_Cliente_Mes!$B$2:$B$433,$A51,Desconto_Cliente_Mes!$C$2:$C$433,"Fibra")))-(IF(SUMIFS(Desconto_Cliente_Mes!$R$2:$R$433,Desconto_Cliente_Mes!$A$2:$A$433,D$51,Desconto_Cliente_Mes!$B$2:$B$433,$A51,Desconto_Cliente_Mes!$C$2:$C$433,"Fibra")="",SUMIFS(Desconto_Cliente_Mes!$Q$2:$Q$433,Desconto_Cliente_Mes!$A$2:$A$433,D$51,Desconto_Cliente_Mes!$B$2:$B$433,$A51,Desconto_Cliente_Mes!$C$2:$C$433,"Fibra"),SUMIFS(Desconto_Cliente_Mes!$R$2:$R$433,Desconto_Cliente_Mes!$A$2:$A$433,D$51,Desconto_Cliente_Mes!$B$2:$B$433,$A51,Desconto_Cliente_Mes!$C$2:$C$433,"Fibra"))))*(SUMIFS(Desconto_Cliente_Mes!$T$2:$T$433,Desconto_Cliente_Mes!$A$2:$A$433,D$51,Desconto_Cliente_Mes!$B$2:$B$433,$A51,Desconto_Cliente_Mes!$C$2:$C$433,"Fibra"))</f>
        <v>0</v>
      </c>
      <c r="E59" s="16" t="n">
        <f aca="false">$E$53*($E$56/100)*((IF(SUMIFS(Desconto_Cliente_Mes!$S$2:$S$433,Desconto_Cliente_Mes!$A$2:$A$433,E$51,Desconto_Cliente_Mes!$B$2:$B$433,$A51,Desconto_Cliente_Mes!$C$2:$C$433,"Fibra")="",(IF(SUMIFS(Desconto_Cliente_Mes!$R$2:$R$433,Desconto_Cliente_Mes!$A$2:$A$433,E$51,Desconto_Cliente_Mes!$B$2:$B$433,$A51,Desconto_Cliente_Mes!$C$2:$C$433,"Fibra")="",SUMIFS(Desconto_Cliente_Mes!$Q$2:$Q$433,Desconto_Cliente_Mes!$A$2:$A$433,E$51,Desconto_Cliente_Mes!$B$2:$B$433,$A51,Desconto_Cliente_Mes!$C$2:$C$433,"Fibra"),SUMIFS(Desconto_Cliente_Mes!$R$2:$R$433,Desconto_Cliente_Mes!$A$2:$A$433,E$51,Desconto_Cliente_Mes!$B$2:$B$433,$A51,Desconto_Cliente_Mes!$C$2:$C$433,"Fibra"))),SUMIFS(Desconto_Cliente_Mes!$S$2:$S$433,Desconto_Cliente_Mes!$A$2:$A$433,E$51,Desconto_Cliente_Mes!$B$2:$B$433,$A51,Desconto_Cliente_Mes!$C$2:$C$433,"Fibra")))-(IF(SUMIFS(Desconto_Cliente_Mes!$R$2:$R$433,Desconto_Cliente_Mes!$A$2:$A$433,E$51,Desconto_Cliente_Mes!$B$2:$B$433,$A51,Desconto_Cliente_Mes!$C$2:$C$433,"Fibra")="",SUMIFS(Desconto_Cliente_Mes!$Q$2:$Q$433,Desconto_Cliente_Mes!$A$2:$A$433,E$51,Desconto_Cliente_Mes!$B$2:$B$433,$A51,Desconto_Cliente_Mes!$C$2:$C$433,"Fibra"),SUMIFS(Desconto_Cliente_Mes!$R$2:$R$433,Desconto_Cliente_Mes!$A$2:$A$433,E$51,Desconto_Cliente_Mes!$B$2:$B$433,$A51,Desconto_Cliente_Mes!$C$2:$C$433,"Fibra"))))*(SUMIFS(Desconto_Cliente_Mes!$T$2:$T$433,Desconto_Cliente_Mes!$A$2:$A$433,E$51,Desconto_Cliente_Mes!$B$2:$B$433,$A51,Desconto_Cliente_Mes!$C$2:$C$433,"Fibra"))</f>
        <v>0</v>
      </c>
      <c r="F59" s="16" t="n">
        <f aca="false">$F$53*($F$56/100)*((IF(SUMIFS(Desconto_Cliente_Mes!$S$2:$S$433,Desconto_Cliente_Mes!$A$2:$A$433,F$51,Desconto_Cliente_Mes!$B$2:$B$433,$A51,Desconto_Cliente_Mes!$C$2:$C$433,"Fibra")="",(IF(SUMIFS(Desconto_Cliente_Mes!$R$2:$R$433,Desconto_Cliente_Mes!$A$2:$A$433,F$51,Desconto_Cliente_Mes!$B$2:$B$433,$A51,Desconto_Cliente_Mes!$C$2:$C$433,"Fibra")="",SUMIFS(Desconto_Cliente_Mes!$Q$2:$Q$433,Desconto_Cliente_Mes!$A$2:$A$433,F$51,Desconto_Cliente_Mes!$B$2:$B$433,$A51,Desconto_Cliente_Mes!$C$2:$C$433,"Fibra"),SUMIFS(Desconto_Cliente_Mes!$R$2:$R$433,Desconto_Cliente_Mes!$A$2:$A$433,F$51,Desconto_Cliente_Mes!$B$2:$B$433,$A51,Desconto_Cliente_Mes!$C$2:$C$433,"Fibra"))),SUMIFS(Desconto_Cliente_Mes!$S$2:$S$433,Desconto_Cliente_Mes!$A$2:$A$433,F$51,Desconto_Cliente_Mes!$B$2:$B$433,$A51,Desconto_Cliente_Mes!$C$2:$C$433,"Fibra")))-(IF(SUMIFS(Desconto_Cliente_Mes!$R$2:$R$433,Desconto_Cliente_Mes!$A$2:$A$433,F$51,Desconto_Cliente_Mes!$B$2:$B$433,$A51,Desconto_Cliente_Mes!$C$2:$C$433,"Fibra")="",SUMIFS(Desconto_Cliente_Mes!$Q$2:$Q$433,Desconto_Cliente_Mes!$A$2:$A$433,F$51,Desconto_Cliente_Mes!$B$2:$B$433,$A51,Desconto_Cliente_Mes!$C$2:$C$433,"Fibra"),SUMIFS(Desconto_Cliente_Mes!$R$2:$R$433,Desconto_Cliente_Mes!$A$2:$A$433,F$51,Desconto_Cliente_Mes!$B$2:$B$433,$A51,Desconto_Cliente_Mes!$C$2:$C$433,"Fibra"))))*(SUMIFS(Desconto_Cliente_Mes!$T$2:$T$433,Desconto_Cliente_Mes!$A$2:$A$433,F$51,Desconto_Cliente_Mes!$B$2:$B$433,$A51,Desconto_Cliente_Mes!$C$2:$C$433,"Fibra"))</f>
        <v>0</v>
      </c>
      <c r="G59" s="16" t="n">
        <f aca="false">$G$53*($G$56/100)*((IF(SUMIFS(Desconto_Cliente_Mes!$S$2:$S$433,Desconto_Cliente_Mes!$A$2:$A$433,G$51,Desconto_Cliente_Mes!$B$2:$B$433,$A51,Desconto_Cliente_Mes!$C$2:$C$433,"Fibra")="",(IF(SUMIFS(Desconto_Cliente_Mes!$R$2:$R$433,Desconto_Cliente_Mes!$A$2:$A$433,G$51,Desconto_Cliente_Mes!$B$2:$B$433,$A51,Desconto_Cliente_Mes!$C$2:$C$433,"Fibra")="",SUMIFS(Desconto_Cliente_Mes!$Q$2:$Q$433,Desconto_Cliente_Mes!$A$2:$A$433,G$51,Desconto_Cliente_Mes!$B$2:$B$433,$A51,Desconto_Cliente_Mes!$C$2:$C$433,"Fibra"),SUMIFS(Desconto_Cliente_Mes!$R$2:$R$433,Desconto_Cliente_Mes!$A$2:$A$433,G$51,Desconto_Cliente_Mes!$B$2:$B$433,$A51,Desconto_Cliente_Mes!$C$2:$C$433,"Fibra"))),SUMIFS(Desconto_Cliente_Mes!$S$2:$S$433,Desconto_Cliente_Mes!$A$2:$A$433,G$51,Desconto_Cliente_Mes!$B$2:$B$433,$A51,Desconto_Cliente_Mes!$C$2:$C$433,"Fibra")))-(IF(SUMIFS(Desconto_Cliente_Mes!$R$2:$R$433,Desconto_Cliente_Mes!$A$2:$A$433,G$51,Desconto_Cliente_Mes!$B$2:$B$433,$A51,Desconto_Cliente_Mes!$C$2:$C$433,"Fibra")="",SUMIFS(Desconto_Cliente_Mes!$Q$2:$Q$433,Desconto_Cliente_Mes!$A$2:$A$433,G$51,Desconto_Cliente_Mes!$B$2:$B$433,$A51,Desconto_Cliente_Mes!$C$2:$C$433,"Fibra"),SUMIFS(Desconto_Cliente_Mes!$R$2:$R$433,Desconto_Cliente_Mes!$A$2:$A$433,G$51,Desconto_Cliente_Mes!$B$2:$B$433,$A51,Desconto_Cliente_Mes!$C$2:$C$433,"Fibra"))))*(SUMIFS(Desconto_Cliente_Mes!$T$2:$T$433,Desconto_Cliente_Mes!$A$2:$A$433,G$51,Desconto_Cliente_Mes!$B$2:$B$433,$A51,Desconto_Cliente_Mes!$C$2:$C$433,"Fibra"))</f>
        <v>0</v>
      </c>
      <c r="H59" s="16" t="n">
        <f aca="false">$H$53*($H$56/100)*((IF(SUMIFS(Desconto_Cliente_Mes!$S$2:$S$433,Desconto_Cliente_Mes!$A$2:$A$433,H$51,Desconto_Cliente_Mes!$B$2:$B$433,$A51,Desconto_Cliente_Mes!$C$2:$C$433,"Fibra")="",(IF(SUMIFS(Desconto_Cliente_Mes!$R$2:$R$433,Desconto_Cliente_Mes!$A$2:$A$433,H$51,Desconto_Cliente_Mes!$B$2:$B$433,$A51,Desconto_Cliente_Mes!$C$2:$C$433,"Fibra")="",SUMIFS(Desconto_Cliente_Mes!$Q$2:$Q$433,Desconto_Cliente_Mes!$A$2:$A$433,H$51,Desconto_Cliente_Mes!$B$2:$B$433,$A51,Desconto_Cliente_Mes!$C$2:$C$433,"Fibra"),SUMIFS(Desconto_Cliente_Mes!$R$2:$R$433,Desconto_Cliente_Mes!$A$2:$A$433,H$51,Desconto_Cliente_Mes!$B$2:$B$433,$A51,Desconto_Cliente_Mes!$C$2:$C$433,"Fibra"))),SUMIFS(Desconto_Cliente_Mes!$S$2:$S$433,Desconto_Cliente_Mes!$A$2:$A$433,H$51,Desconto_Cliente_Mes!$B$2:$B$433,$A51,Desconto_Cliente_Mes!$C$2:$C$433,"Fibra")))-(IF(SUMIFS(Desconto_Cliente_Mes!$R$2:$R$433,Desconto_Cliente_Mes!$A$2:$A$433,H$51,Desconto_Cliente_Mes!$B$2:$B$433,$A51,Desconto_Cliente_Mes!$C$2:$C$433,"Fibra")="",SUMIFS(Desconto_Cliente_Mes!$Q$2:$Q$433,Desconto_Cliente_Mes!$A$2:$A$433,H$51,Desconto_Cliente_Mes!$B$2:$B$433,$A51,Desconto_Cliente_Mes!$C$2:$C$433,"Fibra"),SUMIFS(Desconto_Cliente_Mes!$R$2:$R$433,Desconto_Cliente_Mes!$A$2:$A$433,H$51,Desconto_Cliente_Mes!$B$2:$B$433,$A51,Desconto_Cliente_Mes!$C$2:$C$433,"Fibra"))))*(SUMIFS(Desconto_Cliente_Mes!$T$2:$T$433,Desconto_Cliente_Mes!$A$2:$A$433,H$51,Desconto_Cliente_Mes!$B$2:$B$433,$A51,Desconto_Cliente_Mes!$C$2:$C$433,"Fibra"))</f>
        <v>0</v>
      </c>
      <c r="I59" s="16" t="n">
        <f aca="false">$I$53*($I$56/100)*((IF(SUMIFS(Desconto_Cliente_Mes!$S$2:$S$433,Desconto_Cliente_Mes!$A$2:$A$433,I$51,Desconto_Cliente_Mes!$B$2:$B$433,$A51,Desconto_Cliente_Mes!$C$2:$C$433,"Fibra")="",(IF(SUMIFS(Desconto_Cliente_Mes!$R$2:$R$433,Desconto_Cliente_Mes!$A$2:$A$433,I$51,Desconto_Cliente_Mes!$B$2:$B$433,$A51,Desconto_Cliente_Mes!$C$2:$C$433,"Fibra")="",SUMIFS(Desconto_Cliente_Mes!$Q$2:$Q$433,Desconto_Cliente_Mes!$A$2:$A$433,I$51,Desconto_Cliente_Mes!$B$2:$B$433,$A51,Desconto_Cliente_Mes!$C$2:$C$433,"Fibra"),SUMIFS(Desconto_Cliente_Mes!$R$2:$R$433,Desconto_Cliente_Mes!$A$2:$A$433,I$51,Desconto_Cliente_Mes!$B$2:$B$433,$A51,Desconto_Cliente_Mes!$C$2:$C$433,"Fibra"))),SUMIFS(Desconto_Cliente_Mes!$S$2:$S$433,Desconto_Cliente_Mes!$A$2:$A$433,I$51,Desconto_Cliente_Mes!$B$2:$B$433,$A51,Desconto_Cliente_Mes!$C$2:$C$433,"Fibra")))-(IF(SUMIFS(Desconto_Cliente_Mes!$R$2:$R$433,Desconto_Cliente_Mes!$A$2:$A$433,I$51,Desconto_Cliente_Mes!$B$2:$B$433,$A51,Desconto_Cliente_Mes!$C$2:$C$433,"Fibra")="",SUMIFS(Desconto_Cliente_Mes!$Q$2:$Q$433,Desconto_Cliente_Mes!$A$2:$A$433,I$51,Desconto_Cliente_Mes!$B$2:$B$433,$A51,Desconto_Cliente_Mes!$C$2:$C$433,"Fibra"),SUMIFS(Desconto_Cliente_Mes!$R$2:$R$433,Desconto_Cliente_Mes!$A$2:$A$433,I$51,Desconto_Cliente_Mes!$B$2:$B$433,$A51,Desconto_Cliente_Mes!$C$2:$C$433,"Fibra"))))*(SUMIFS(Desconto_Cliente_Mes!$T$2:$T$433,Desconto_Cliente_Mes!$A$2:$A$433,I$51,Desconto_Cliente_Mes!$B$2:$B$433,$A51,Desconto_Cliente_Mes!$C$2:$C$433,"Fibra"))</f>
        <v>0</v>
      </c>
      <c r="J59" s="16" t="n">
        <f aca="false">$J$53*($J$56/100)*((IF(SUMIFS(Desconto_Cliente_Mes!$S$2:$S$433,Desconto_Cliente_Mes!$A$2:$A$433,J$51,Desconto_Cliente_Mes!$B$2:$B$433,$A51,Desconto_Cliente_Mes!$C$2:$C$433,"Fibra")="",(IF(SUMIFS(Desconto_Cliente_Mes!$R$2:$R$433,Desconto_Cliente_Mes!$A$2:$A$433,J$51,Desconto_Cliente_Mes!$B$2:$B$433,$A51,Desconto_Cliente_Mes!$C$2:$C$433,"Fibra")="",SUMIFS(Desconto_Cliente_Mes!$Q$2:$Q$433,Desconto_Cliente_Mes!$A$2:$A$433,J$51,Desconto_Cliente_Mes!$B$2:$B$433,$A51,Desconto_Cliente_Mes!$C$2:$C$433,"Fibra"),SUMIFS(Desconto_Cliente_Mes!$R$2:$R$433,Desconto_Cliente_Mes!$A$2:$A$433,J$51,Desconto_Cliente_Mes!$B$2:$B$433,$A51,Desconto_Cliente_Mes!$C$2:$C$433,"Fibra"))),SUMIFS(Desconto_Cliente_Mes!$S$2:$S$433,Desconto_Cliente_Mes!$A$2:$A$433,J$51,Desconto_Cliente_Mes!$B$2:$B$433,$A51,Desconto_Cliente_Mes!$C$2:$C$433,"Fibra")))-(IF(SUMIFS(Desconto_Cliente_Mes!$R$2:$R$433,Desconto_Cliente_Mes!$A$2:$A$433,J$51,Desconto_Cliente_Mes!$B$2:$B$433,$A51,Desconto_Cliente_Mes!$C$2:$C$433,"Fibra")="",SUMIFS(Desconto_Cliente_Mes!$Q$2:$Q$433,Desconto_Cliente_Mes!$A$2:$A$433,J$51,Desconto_Cliente_Mes!$B$2:$B$433,$A51,Desconto_Cliente_Mes!$C$2:$C$433,"Fibra"),SUMIFS(Desconto_Cliente_Mes!$R$2:$R$433,Desconto_Cliente_Mes!$A$2:$A$433,J$51,Desconto_Cliente_Mes!$B$2:$B$433,$A51,Desconto_Cliente_Mes!$C$2:$C$433,"Fibra"))))*(SUMIFS(Desconto_Cliente_Mes!$T$2:$T$433,Desconto_Cliente_Mes!$A$2:$A$433,J$51,Desconto_Cliente_Mes!$B$2:$B$433,$A51,Desconto_Cliente_Mes!$C$2:$C$433,"Fibra"))</f>
        <v>0</v>
      </c>
      <c r="K59" s="16" t="n">
        <f aca="false">$K$53*($K$56/100)*((IF(SUMIFS(Desconto_Cliente_Mes!$S$2:$S$433,Desconto_Cliente_Mes!$A$2:$A$433,K$51,Desconto_Cliente_Mes!$B$2:$B$433,$A51,Desconto_Cliente_Mes!$C$2:$C$433,"Fibra")="",(IF(SUMIFS(Desconto_Cliente_Mes!$R$2:$R$433,Desconto_Cliente_Mes!$A$2:$A$433,K$51,Desconto_Cliente_Mes!$B$2:$B$433,$A51,Desconto_Cliente_Mes!$C$2:$C$433,"Fibra")="",SUMIFS(Desconto_Cliente_Mes!$Q$2:$Q$433,Desconto_Cliente_Mes!$A$2:$A$433,K$51,Desconto_Cliente_Mes!$B$2:$B$433,$A51,Desconto_Cliente_Mes!$C$2:$C$433,"Fibra"),SUMIFS(Desconto_Cliente_Mes!$R$2:$R$433,Desconto_Cliente_Mes!$A$2:$A$433,K$51,Desconto_Cliente_Mes!$B$2:$B$433,$A51,Desconto_Cliente_Mes!$C$2:$C$433,"Fibra"))),SUMIFS(Desconto_Cliente_Mes!$S$2:$S$433,Desconto_Cliente_Mes!$A$2:$A$433,K$51,Desconto_Cliente_Mes!$B$2:$B$433,$A51,Desconto_Cliente_Mes!$C$2:$C$433,"Fibra")))-(IF(SUMIFS(Desconto_Cliente_Mes!$R$2:$R$433,Desconto_Cliente_Mes!$A$2:$A$433,K$51,Desconto_Cliente_Mes!$B$2:$B$433,$A51,Desconto_Cliente_Mes!$C$2:$C$433,"Fibra")="",SUMIFS(Desconto_Cliente_Mes!$Q$2:$Q$433,Desconto_Cliente_Mes!$A$2:$A$433,K$51,Desconto_Cliente_Mes!$B$2:$B$433,$A51,Desconto_Cliente_Mes!$C$2:$C$433,"Fibra"),SUMIFS(Desconto_Cliente_Mes!$R$2:$R$433,Desconto_Cliente_Mes!$A$2:$A$433,K$51,Desconto_Cliente_Mes!$B$2:$B$433,$A51,Desconto_Cliente_Mes!$C$2:$C$433,"Fibra"))))*(SUMIFS(Desconto_Cliente_Mes!$T$2:$T$433,Desconto_Cliente_Mes!$A$2:$A$433,K$51,Desconto_Cliente_Mes!$B$2:$B$433,$A51,Desconto_Cliente_Mes!$C$2:$C$433,"Fibra"))</f>
        <v>0</v>
      </c>
      <c r="L59" s="16" t="n">
        <f aca="false">$L$53*($L$56/100)*((IF(SUMIFS(Desconto_Cliente_Mes!$S$2:$S$433,Desconto_Cliente_Mes!$A$2:$A$433,L$51,Desconto_Cliente_Mes!$B$2:$B$433,$A51,Desconto_Cliente_Mes!$C$2:$C$433,"Fibra")="",(IF(SUMIFS(Desconto_Cliente_Mes!$R$2:$R$433,Desconto_Cliente_Mes!$A$2:$A$433,L$51,Desconto_Cliente_Mes!$B$2:$B$433,$A51,Desconto_Cliente_Mes!$C$2:$C$433,"Fibra")="",SUMIFS(Desconto_Cliente_Mes!$Q$2:$Q$433,Desconto_Cliente_Mes!$A$2:$A$433,L$51,Desconto_Cliente_Mes!$B$2:$B$433,$A51,Desconto_Cliente_Mes!$C$2:$C$433,"Fibra"),SUMIFS(Desconto_Cliente_Mes!$R$2:$R$433,Desconto_Cliente_Mes!$A$2:$A$433,L$51,Desconto_Cliente_Mes!$B$2:$B$433,$A51,Desconto_Cliente_Mes!$C$2:$C$433,"Fibra"))),SUMIFS(Desconto_Cliente_Mes!$S$2:$S$433,Desconto_Cliente_Mes!$A$2:$A$433,L$51,Desconto_Cliente_Mes!$B$2:$B$433,$A51,Desconto_Cliente_Mes!$C$2:$C$433,"Fibra")))-(IF(SUMIFS(Desconto_Cliente_Mes!$R$2:$R$433,Desconto_Cliente_Mes!$A$2:$A$433,L$51,Desconto_Cliente_Mes!$B$2:$B$433,$A51,Desconto_Cliente_Mes!$C$2:$C$433,"Fibra")="",SUMIFS(Desconto_Cliente_Mes!$Q$2:$Q$433,Desconto_Cliente_Mes!$A$2:$A$433,L$51,Desconto_Cliente_Mes!$B$2:$B$433,$A51,Desconto_Cliente_Mes!$C$2:$C$433,"Fibra"),SUMIFS(Desconto_Cliente_Mes!$R$2:$R$433,Desconto_Cliente_Mes!$A$2:$A$433,L$51,Desconto_Cliente_Mes!$B$2:$B$433,$A51,Desconto_Cliente_Mes!$C$2:$C$433,"Fibra"))))*(SUMIFS(Desconto_Cliente_Mes!$T$2:$T$433,Desconto_Cliente_Mes!$A$2:$A$433,L$51,Desconto_Cliente_Mes!$B$2:$B$433,$A51,Desconto_Cliente_Mes!$C$2:$C$433,"Fibra"))</f>
        <v>0</v>
      </c>
      <c r="M59" s="16" t="n">
        <f aca="false">$M$53*($M$56/100)*((IF(SUMIFS(Desconto_Cliente_Mes!$S$2:$S$433,Desconto_Cliente_Mes!$A$2:$A$433,M$51,Desconto_Cliente_Mes!$B$2:$B$433,$A51,Desconto_Cliente_Mes!$C$2:$C$433,"Fibra")="",(IF(SUMIFS(Desconto_Cliente_Mes!$R$2:$R$433,Desconto_Cliente_Mes!$A$2:$A$433,M$51,Desconto_Cliente_Mes!$B$2:$B$433,$A51,Desconto_Cliente_Mes!$C$2:$C$433,"Fibra")="",SUMIFS(Desconto_Cliente_Mes!$Q$2:$Q$433,Desconto_Cliente_Mes!$A$2:$A$433,M$51,Desconto_Cliente_Mes!$B$2:$B$433,$A51,Desconto_Cliente_Mes!$C$2:$C$433,"Fibra"),SUMIFS(Desconto_Cliente_Mes!$R$2:$R$433,Desconto_Cliente_Mes!$A$2:$A$433,M$51,Desconto_Cliente_Mes!$B$2:$B$433,$A51,Desconto_Cliente_Mes!$C$2:$C$433,"Fibra"))),SUMIFS(Desconto_Cliente_Mes!$S$2:$S$433,Desconto_Cliente_Mes!$A$2:$A$433,M$51,Desconto_Cliente_Mes!$B$2:$B$433,$A51,Desconto_Cliente_Mes!$C$2:$C$433,"Fibra")))-(IF(SUMIFS(Desconto_Cliente_Mes!$R$2:$R$433,Desconto_Cliente_Mes!$A$2:$A$433,M$51,Desconto_Cliente_Mes!$B$2:$B$433,$A51,Desconto_Cliente_Mes!$C$2:$C$433,"Fibra")="",SUMIFS(Desconto_Cliente_Mes!$Q$2:$Q$433,Desconto_Cliente_Mes!$A$2:$A$433,M$51,Desconto_Cliente_Mes!$B$2:$B$433,$A51,Desconto_Cliente_Mes!$C$2:$C$433,"Fibra"),SUMIFS(Desconto_Cliente_Mes!$R$2:$R$433,Desconto_Cliente_Mes!$A$2:$A$433,M$51,Desconto_Cliente_Mes!$B$2:$B$433,$A51,Desconto_Cliente_Mes!$C$2:$C$433,"Fibra"))))*(SUMIFS(Desconto_Cliente_Mes!$T$2:$T$433,Desconto_Cliente_Mes!$A$2:$A$433,M$51,Desconto_Cliente_Mes!$B$2:$B$433,$A51,Desconto_Cliente_Mes!$C$2:$C$433,"Fibra"))</f>
        <v>0</v>
      </c>
      <c r="N59" s="17" t="n">
        <f aca="false">SUM(B59:M59)</f>
        <v>0</v>
      </c>
    </row>
    <row r="60" customFormat="false" ht="15" hidden="false" customHeight="false" outlineLevel="0" collapsed="false">
      <c r="A60" s="13" t="s">
        <v>82</v>
      </c>
      <c r="B60" s="16" t="n">
        <f aca="false">SUMIFS(Acerto_Detalhado!$J$2:$J$433,Acerto_Detalhado!$A$2:$A$433,B$51,Acerto_Detalhado!$B$2:$B$433,$A51,Acerto_Detalhado!$C$2:$C$433,"Fibra")</f>
        <v>9659.21456051324</v>
      </c>
      <c r="C60" s="16" t="n">
        <f aca="false">SUMIFS(Acerto_Detalhado!$J$2:$J$433,Acerto_Detalhado!$A$2:$A$433,C$51,Acerto_Detalhado!$B$2:$B$433,$A51,Acerto_Detalhado!$C$2:$C$433,"Fibra")</f>
        <v>10932.789542354</v>
      </c>
      <c r="D60" s="16" t="n">
        <f aca="false">SUMIFS(Acerto_Detalhado!$J$2:$J$433,Acerto_Detalhado!$A$2:$A$433,D$51,Acerto_Detalhado!$B$2:$B$433,$A51,Acerto_Detalhado!$C$2:$C$433,"Fibra")</f>
        <v>0</v>
      </c>
      <c r="E60" s="16" t="n">
        <f aca="false">SUMIFS(Acerto_Detalhado!$J$2:$J$433,Acerto_Detalhado!$A$2:$A$433,E$51,Acerto_Detalhado!$B$2:$B$433,$A51,Acerto_Detalhado!$C$2:$C$433,"Fibra")</f>
        <v>0</v>
      </c>
      <c r="F60" s="16" t="n">
        <f aca="false">SUMIFS(Acerto_Detalhado!$J$2:$J$433,Acerto_Detalhado!$A$2:$A$433,F$51,Acerto_Detalhado!$B$2:$B$433,$A51,Acerto_Detalhado!$C$2:$C$433,"Fibra")</f>
        <v>14051.0891984673</v>
      </c>
      <c r="G60" s="16" t="n">
        <f aca="false">SUMIFS(Acerto_Detalhado!$J$2:$J$433,Acerto_Detalhado!$A$2:$A$433,G$51,Acerto_Detalhado!$B$2:$B$433,$A51,Acerto_Detalhado!$C$2:$C$433,"Fibra")</f>
        <v>0</v>
      </c>
      <c r="H60" s="16" t="n">
        <f aca="false">SUMIFS(Acerto_Detalhado!$J$2:$J$433,Acerto_Detalhado!$A$2:$A$433,H$51,Acerto_Detalhado!$B$2:$B$433,$A51,Acerto_Detalhado!$C$2:$C$433,"Fibra")</f>
        <v>0</v>
      </c>
      <c r="I60" s="16" t="n">
        <f aca="false">SUMIFS(Acerto_Detalhado!$J$2:$J$433,Acerto_Detalhado!$A$2:$A$433,I$51,Acerto_Detalhado!$B$2:$B$433,$A51,Acerto_Detalhado!$C$2:$C$433,"Fibra")</f>
        <v>0</v>
      </c>
      <c r="J60" s="16" t="n">
        <f aca="false">SUMIFS(Acerto_Detalhado!$J$2:$J$433,Acerto_Detalhado!$A$2:$A$433,J$51,Acerto_Detalhado!$B$2:$B$433,$A51,Acerto_Detalhado!$C$2:$C$433,"Fibra")</f>
        <v>0</v>
      </c>
      <c r="K60" s="16" t="n">
        <f aca="false">SUMIFS(Acerto_Detalhado!$J$2:$J$433,Acerto_Detalhado!$A$2:$A$433,K$51,Acerto_Detalhado!$B$2:$B$433,$A51,Acerto_Detalhado!$C$2:$C$433,"Fibra")</f>
        <v>0</v>
      </c>
      <c r="L60" s="16" t="n">
        <f aca="false">SUMIFS(Acerto_Detalhado!$J$2:$J$433,Acerto_Detalhado!$A$2:$A$433,L$51,Acerto_Detalhado!$B$2:$B$433,$A51,Acerto_Detalhado!$C$2:$C$433,"Fibra")</f>
        <v>0</v>
      </c>
      <c r="M60" s="16" t="n">
        <f aca="false">SUMIFS(Acerto_Detalhado!$J$2:$J$433,Acerto_Detalhado!$A$2:$A$433,M$51,Acerto_Detalhado!$B$2:$B$433,$A51,Acerto_Detalhado!$C$2:$C$433,"Fibra")</f>
        <v>0</v>
      </c>
      <c r="N60" s="17" t="n">
        <f aca="false">SUM(B60:M60)</f>
        <v>34643.0933013345</v>
      </c>
    </row>
    <row r="62" customFormat="false" ht="15" hidden="false" customHeight="false" outlineLevel="0" collapsed="false">
      <c r="A62" s="5" t="s">
        <v>63</v>
      </c>
      <c r="B62" s="6" t="s">
        <v>39</v>
      </c>
      <c r="C62" s="6" t="s">
        <v>40</v>
      </c>
      <c r="D62" s="6" t="s">
        <v>41</v>
      </c>
      <c r="E62" s="6" t="s">
        <v>42</v>
      </c>
      <c r="F62" s="6" t="s">
        <v>43</v>
      </c>
      <c r="G62" s="6" t="s">
        <v>44</v>
      </c>
      <c r="H62" s="6" t="s">
        <v>45</v>
      </c>
      <c r="I62" s="6" t="s">
        <v>46</v>
      </c>
      <c r="J62" s="6" t="s">
        <v>47</v>
      </c>
      <c r="K62" s="6" t="s">
        <v>48</v>
      </c>
      <c r="L62" s="6" t="s">
        <v>49</v>
      </c>
      <c r="M62" s="6" t="s">
        <v>50</v>
      </c>
      <c r="N62" s="6" t="s">
        <v>51</v>
      </c>
    </row>
    <row r="63" customFormat="false" ht="15" hidden="false" customHeight="false" outlineLevel="0" collapsed="false">
      <c r="A63" s="13" t="s">
        <v>74</v>
      </c>
      <c r="B63" s="10" t="n">
        <f aca="false">IF((SUMIFS(Desconto_Cliente_Mes!$D$2:$D$433,Desconto_Cliente_Mes!$A$2:$A$433,B$62,Desconto_Cliente_Mes!$B$2:$B$433,$A62,Desconto_Cliente_Mes!$C$2:$C$433,"Fibra"))=0,"",IFERROR(SUMIFS(Desconto_Cliente_Mes!$E$2:$E$433,Desconto_Cliente_Mes!$A$2:$A$433,B$62,Desconto_Cliente_Mes!$B$2:$B$433,$A62,Desconto_Cliente_Mes!$C$2:$C$433,"Fibra"),""))</f>
        <v>3.6945016202821</v>
      </c>
      <c r="C63" s="10" t="n">
        <f aca="false">IF((SUMIFS(Desconto_Cliente_Mes!$D$2:$D$433,Desconto_Cliente_Mes!$A$2:$A$433,C$62,Desconto_Cliente_Mes!$B$2:$B$433,$A62,Desconto_Cliente_Mes!$C$2:$C$433,"Fibra"))=0,"",IFERROR(SUMIFS(Desconto_Cliente_Mes!$E$2:$E$433,Desconto_Cliente_Mes!$A$2:$A$433,C$62,Desconto_Cliente_Mes!$B$2:$B$433,$A62,Desconto_Cliente_Mes!$C$2:$C$433,"Fibra"),""))</f>
        <v>3.61071148491738</v>
      </c>
      <c r="D63" s="10" t="n">
        <f aca="false">IF((SUMIFS(Desconto_Cliente_Mes!$D$2:$D$433,Desconto_Cliente_Mes!$A$2:$A$433,D$62,Desconto_Cliente_Mes!$B$2:$B$433,$A62,Desconto_Cliente_Mes!$C$2:$C$433,"Fibra"))=0,"",IFERROR(SUMIFS(Desconto_Cliente_Mes!$E$2:$E$433,Desconto_Cliente_Mes!$A$2:$A$433,D$62,Desconto_Cliente_Mes!$B$2:$B$433,$A62,Desconto_Cliente_Mes!$C$2:$C$433,"Fibra"),""))</f>
        <v>3.65032825153734</v>
      </c>
      <c r="E63" s="10" t="n">
        <f aca="false">IF((SUMIFS(Desconto_Cliente_Mes!$D$2:$D$433,Desconto_Cliente_Mes!$A$2:$A$433,E$62,Desconto_Cliente_Mes!$B$2:$B$433,$A62,Desconto_Cliente_Mes!$C$2:$C$433,"Fibra"))=0,"",IFERROR(SUMIFS(Desconto_Cliente_Mes!$E$2:$E$433,Desconto_Cliente_Mes!$A$2:$A$433,E$62,Desconto_Cliente_Mes!$B$2:$B$433,$A62,Desconto_Cliente_Mes!$C$2:$C$433,"Fibra"),""))</f>
        <v>3.76910687081756</v>
      </c>
      <c r="F63" s="10" t="n">
        <f aca="false">IF((SUMIFS(Desconto_Cliente_Mes!$D$2:$D$433,Desconto_Cliente_Mes!$A$2:$A$433,F$62,Desconto_Cliente_Mes!$B$2:$B$433,$A62,Desconto_Cliente_Mes!$C$2:$C$433,"Fibra"))=0,"",IFERROR(SUMIFS(Desconto_Cliente_Mes!$E$2:$E$433,Desconto_Cliente_Mes!$A$2:$A$433,F$62,Desconto_Cliente_Mes!$B$2:$B$433,$A62,Desconto_Cliente_Mes!$C$2:$C$433,"Fibra"),""))</f>
        <v>3.77768767000447</v>
      </c>
      <c r="G63" s="10" t="n">
        <f aca="false">IF((SUMIFS(Desconto_Cliente_Mes!$D$2:$D$433,Desconto_Cliente_Mes!$A$2:$A$433,G$62,Desconto_Cliente_Mes!$B$2:$B$433,$A62,Desconto_Cliente_Mes!$C$2:$C$433,"Fibra"))=0,"",IFERROR(SUMIFS(Desconto_Cliente_Mes!$E$2:$E$433,Desconto_Cliente_Mes!$A$2:$A$433,G$62,Desconto_Cliente_Mes!$B$2:$B$433,$A62,Desconto_Cliente_Mes!$C$2:$C$433,"Fibra"),""))</f>
        <v>3.76879404335433</v>
      </c>
      <c r="H63" s="10" t="n">
        <f aca="false">IF((SUMIFS(Desconto_Cliente_Mes!$D$2:$D$433,Desconto_Cliente_Mes!$A$2:$A$433,H$62,Desconto_Cliente_Mes!$B$2:$B$433,$A62,Desconto_Cliente_Mes!$C$2:$C$433,"Fibra"))=0,"",IFERROR(SUMIFS(Desconto_Cliente_Mes!$E$2:$E$433,Desconto_Cliente_Mes!$A$2:$A$433,H$62,Desconto_Cliente_Mes!$B$2:$B$433,$A62,Desconto_Cliente_Mes!$C$2:$C$433,"Fibra"),""))</f>
        <v>3.75532690895808</v>
      </c>
      <c r="I63" s="10" t="str">
        <f aca="false">IF((SUMIFS(Desconto_Cliente_Mes!$D$2:$D$433,Desconto_Cliente_Mes!$A$2:$A$433,I$62,Desconto_Cliente_Mes!$B$2:$B$433,$A62,Desconto_Cliente_Mes!$C$2:$C$433,"Fibra"))=0,"",IFERROR(SUMIFS(Desconto_Cliente_Mes!$E$2:$E$433,Desconto_Cliente_Mes!$A$2:$A$433,I$62,Desconto_Cliente_Mes!$B$2:$B$433,$A62,Desconto_Cliente_Mes!$C$2:$C$433,"Fibra"),""))</f>
        <v/>
      </c>
      <c r="J63" s="10" t="str">
        <f aca="false">IF((SUMIFS(Desconto_Cliente_Mes!$D$2:$D$433,Desconto_Cliente_Mes!$A$2:$A$433,J$62,Desconto_Cliente_Mes!$B$2:$B$433,$A62,Desconto_Cliente_Mes!$C$2:$C$433,"Fibra"))=0,"",IFERROR(SUMIFS(Desconto_Cliente_Mes!$E$2:$E$433,Desconto_Cliente_Mes!$A$2:$A$433,J$62,Desconto_Cliente_Mes!$B$2:$B$433,$A62,Desconto_Cliente_Mes!$C$2:$C$433,"Fibra"),""))</f>
        <v/>
      </c>
      <c r="K63" s="10" t="str">
        <f aca="false">IF((SUMIFS(Desconto_Cliente_Mes!$D$2:$D$433,Desconto_Cliente_Mes!$A$2:$A$433,K$62,Desconto_Cliente_Mes!$B$2:$B$433,$A62,Desconto_Cliente_Mes!$C$2:$C$433,"Fibra"))=0,"",IFERROR(SUMIFS(Desconto_Cliente_Mes!$E$2:$E$433,Desconto_Cliente_Mes!$A$2:$A$433,K$62,Desconto_Cliente_Mes!$B$2:$B$433,$A62,Desconto_Cliente_Mes!$C$2:$C$433,"Fibra"),""))</f>
        <v/>
      </c>
      <c r="L63" s="10" t="str">
        <f aca="false">IF((SUMIFS(Desconto_Cliente_Mes!$D$2:$D$433,Desconto_Cliente_Mes!$A$2:$A$433,L$62,Desconto_Cliente_Mes!$B$2:$B$433,$A62,Desconto_Cliente_Mes!$C$2:$C$433,"Fibra"))=0,"",IFERROR(SUMIFS(Desconto_Cliente_Mes!$E$2:$E$433,Desconto_Cliente_Mes!$A$2:$A$433,L$62,Desconto_Cliente_Mes!$B$2:$B$433,$A62,Desconto_Cliente_Mes!$C$2:$C$433,"Fibra"),""))</f>
        <v/>
      </c>
      <c r="M63" s="10" t="str">
        <f aca="false">IF((SUMIFS(Desconto_Cliente_Mes!$D$2:$D$433,Desconto_Cliente_Mes!$A$2:$A$433,M$62,Desconto_Cliente_Mes!$B$2:$B$433,$A62,Desconto_Cliente_Mes!$C$2:$C$433,"Fibra"))=0,"",IFERROR(SUMIFS(Desconto_Cliente_Mes!$E$2:$E$433,Desconto_Cliente_Mes!$A$2:$A$433,M$62,Desconto_Cliente_Mes!$B$2:$B$433,$A62,Desconto_Cliente_Mes!$C$2:$C$433,"Fibra"),""))</f>
        <v/>
      </c>
      <c r="N63" s="11" t="n">
        <f aca="false">IFERROR(Media_Pool_Mes!E7,"")</f>
        <v>3.72652113613862</v>
      </c>
    </row>
    <row r="64" customFormat="false" ht="15" hidden="false" customHeight="false" outlineLevel="0" collapsed="false">
      <c r="A64" s="13" t="s">
        <v>75</v>
      </c>
      <c r="B64" s="8" t="n">
        <f aca="false">IFERROR(SUMIFS(Desconto_Cliente_Mes!$D$2:$D$433,Desconto_Cliente_Mes!$A$2:$A$433,B$62,Desconto_Cliente_Mes!$B$2:$B$433,$A62,Desconto_Cliente_Mes!$C$2:$C$433,"Fibra"),0)</f>
        <v>41353.91</v>
      </c>
      <c r="C64" s="8" t="n">
        <f aca="false">IFERROR(SUMIFS(Desconto_Cliente_Mes!$D$2:$D$433,Desconto_Cliente_Mes!$A$2:$A$433,C$62,Desconto_Cliente_Mes!$B$2:$B$433,$A62,Desconto_Cliente_Mes!$C$2:$C$433,"Fibra"),0)</f>
        <v>45020.35</v>
      </c>
      <c r="D64" s="8" t="n">
        <f aca="false">IFERROR(SUMIFS(Desconto_Cliente_Mes!$D$2:$D$433,Desconto_Cliente_Mes!$A$2:$A$433,D$62,Desconto_Cliente_Mes!$B$2:$B$433,$A62,Desconto_Cliente_Mes!$C$2:$C$433,"Fibra"),0)</f>
        <v>41497.14</v>
      </c>
      <c r="E64" s="8" t="n">
        <f aca="false">IFERROR(SUMIFS(Desconto_Cliente_Mes!$D$2:$D$433,Desconto_Cliente_Mes!$A$2:$A$433,E$62,Desconto_Cliente_Mes!$B$2:$B$433,$A62,Desconto_Cliente_Mes!$C$2:$C$433,"Fibra"),0)</f>
        <v>40336.83</v>
      </c>
      <c r="F64" s="8" t="n">
        <f aca="false">IFERROR(SUMIFS(Desconto_Cliente_Mes!$D$2:$D$433,Desconto_Cliente_Mes!$A$2:$A$433,F$62,Desconto_Cliente_Mes!$B$2:$B$433,$A62,Desconto_Cliente_Mes!$C$2:$C$433,"Fibra"),0)</f>
        <v>94743.83</v>
      </c>
      <c r="G64" s="8" t="n">
        <f aca="false">IFERROR(SUMIFS(Desconto_Cliente_Mes!$D$2:$D$433,Desconto_Cliente_Mes!$A$2:$A$433,G$62,Desconto_Cliente_Mes!$B$2:$B$433,$A62,Desconto_Cliente_Mes!$C$2:$C$433,"Fibra"),0)</f>
        <v>51533.03</v>
      </c>
      <c r="H64" s="8" t="n">
        <f aca="false">IFERROR(SUMIFS(Desconto_Cliente_Mes!$D$2:$D$433,Desconto_Cliente_Mes!$A$2:$A$433,H$62,Desconto_Cliente_Mes!$B$2:$B$433,$A62,Desconto_Cliente_Mes!$C$2:$C$433,"Fibra"),0)</f>
        <v>33179.88</v>
      </c>
      <c r="I64" s="8" t="n">
        <f aca="false">IFERROR(SUMIFS(Desconto_Cliente_Mes!$D$2:$D$433,Desconto_Cliente_Mes!$A$2:$A$433,I$62,Desconto_Cliente_Mes!$B$2:$B$433,$A62,Desconto_Cliente_Mes!$C$2:$C$433,"Fibra"),0)</f>
        <v>0</v>
      </c>
      <c r="J64" s="8" t="n">
        <f aca="false">IFERROR(SUMIFS(Desconto_Cliente_Mes!$D$2:$D$433,Desconto_Cliente_Mes!$A$2:$A$433,J$62,Desconto_Cliente_Mes!$B$2:$B$433,$A62,Desconto_Cliente_Mes!$C$2:$C$433,"Fibra"),0)</f>
        <v>0</v>
      </c>
      <c r="K64" s="8" t="n">
        <f aca="false">IFERROR(SUMIFS(Desconto_Cliente_Mes!$D$2:$D$433,Desconto_Cliente_Mes!$A$2:$A$433,K$62,Desconto_Cliente_Mes!$B$2:$B$433,$A62,Desconto_Cliente_Mes!$C$2:$C$433,"Fibra"),0)</f>
        <v>0</v>
      </c>
      <c r="L64" s="8" t="n">
        <f aca="false">IFERROR(SUMIFS(Desconto_Cliente_Mes!$D$2:$D$433,Desconto_Cliente_Mes!$A$2:$A$433,L$62,Desconto_Cliente_Mes!$B$2:$B$433,$A62,Desconto_Cliente_Mes!$C$2:$C$433,"Fibra"),0)</f>
        <v>0</v>
      </c>
      <c r="M64" s="8" t="n">
        <f aca="false">IFERROR(SUMIFS(Desconto_Cliente_Mes!$D$2:$D$433,Desconto_Cliente_Mes!$A$2:$A$433,M$62,Desconto_Cliente_Mes!$B$2:$B$433,$A62,Desconto_Cliente_Mes!$C$2:$C$433,"Fibra"),0)</f>
        <v>0</v>
      </c>
      <c r="N64" s="9" t="n">
        <f aca="false">SUM(B64:M64)</f>
        <v>347664.97</v>
      </c>
    </row>
    <row r="65" customFormat="false" ht="15" hidden="false" customHeight="false" outlineLevel="0" collapsed="false">
      <c r="A65" s="13" t="s">
        <v>76</v>
      </c>
      <c r="B65" s="15" t="n">
        <f aca="false">MAX(0,(SUMIFS(Desconto_Cliente_Mes!$L$2:$L$433,Desconto_Cliente_Mes!$A$2:$A$433,B$62,Desconto_Cliente_Mes!$B$2:$B$433,$A62,Desconto_Cliente_Mes!$C$2:$C$433,"Fibra"))-(SUMIFS(Desconto_Cliente_Mes!$N$2:$N$433,Desconto_Cliente_Mes!$A$2:$A$433,B$62,Desconto_Cliente_Mes!$B$2:$B$433,$A62,Desconto_Cliente_Mes!$C$2:$C$433,"Fibra")))</f>
        <v>0</v>
      </c>
      <c r="C65" s="15" t="n">
        <f aca="false">MAX(0,(SUMIFS(Desconto_Cliente_Mes!$L$2:$L$433,Desconto_Cliente_Mes!$A$2:$A$433,C$62,Desconto_Cliente_Mes!$B$2:$B$433,$A62,Desconto_Cliente_Mes!$C$2:$C$433,"Fibra"))-(SUMIFS(Desconto_Cliente_Mes!$N$2:$N$433,Desconto_Cliente_Mes!$A$2:$A$433,C$62,Desconto_Cliente_Mes!$B$2:$B$433,$A62,Desconto_Cliente_Mes!$C$2:$C$433,"Fibra")))</f>
        <v>0</v>
      </c>
      <c r="D65" s="15" t="n">
        <f aca="false">MAX(0,(SUMIFS(Desconto_Cliente_Mes!$L$2:$L$433,Desconto_Cliente_Mes!$A$2:$A$433,D$62,Desconto_Cliente_Mes!$B$2:$B$433,$A62,Desconto_Cliente_Mes!$C$2:$C$433,"Fibra"))-(SUMIFS(Desconto_Cliente_Mes!$N$2:$N$433,Desconto_Cliente_Mes!$A$2:$A$433,D$62,Desconto_Cliente_Mes!$B$2:$B$433,$A62,Desconto_Cliente_Mes!$C$2:$C$433,"Fibra")))</f>
        <v>0</v>
      </c>
      <c r="E65" s="15" t="n">
        <f aca="false">MAX(0,(SUMIFS(Desconto_Cliente_Mes!$L$2:$L$433,Desconto_Cliente_Mes!$A$2:$A$433,E$62,Desconto_Cliente_Mes!$B$2:$B$433,$A62,Desconto_Cliente_Mes!$C$2:$C$433,"Fibra"))-(SUMIFS(Desconto_Cliente_Mes!$N$2:$N$433,Desconto_Cliente_Mes!$A$2:$A$433,E$62,Desconto_Cliente_Mes!$B$2:$B$433,$A62,Desconto_Cliente_Mes!$C$2:$C$433,"Fibra")))</f>
        <v>0.0425857346789411</v>
      </c>
      <c r="F65" s="15" t="n">
        <f aca="false">MAX(0,(SUMIFS(Desconto_Cliente_Mes!$L$2:$L$433,Desconto_Cliente_Mes!$A$2:$A$433,F$62,Desconto_Cliente_Mes!$B$2:$B$433,$A62,Desconto_Cliente_Mes!$C$2:$C$433,"Fibra"))-(SUMIFS(Desconto_Cliente_Mes!$N$2:$N$433,Desconto_Cliente_Mes!$A$2:$A$433,F$62,Desconto_Cliente_Mes!$B$2:$B$433,$A62,Desconto_Cliente_Mes!$C$2:$C$433,"Fibra")))</f>
        <v>0.0511665338658522</v>
      </c>
      <c r="G65" s="15" t="n">
        <f aca="false">MAX(0,(SUMIFS(Desconto_Cliente_Mes!$L$2:$L$433,Desconto_Cliente_Mes!$A$2:$A$433,G$62,Desconto_Cliente_Mes!$B$2:$B$433,$A62,Desconto_Cliente_Mes!$C$2:$C$433,"Fibra"))-(SUMIFS(Desconto_Cliente_Mes!$N$2:$N$433,Desconto_Cliente_Mes!$A$2:$A$433,G$62,Desconto_Cliente_Mes!$B$2:$B$433,$A62,Desconto_Cliente_Mes!$C$2:$C$433,"Fibra")))</f>
        <v>0.0422729072157084</v>
      </c>
      <c r="H65" s="15" t="n">
        <f aca="false">MAX(0,(SUMIFS(Desconto_Cliente_Mes!$L$2:$L$433,Desconto_Cliente_Mes!$A$2:$A$433,H$62,Desconto_Cliente_Mes!$B$2:$B$433,$A62,Desconto_Cliente_Mes!$C$2:$C$433,"Fibra"))-(SUMIFS(Desconto_Cliente_Mes!$N$2:$N$433,Desconto_Cliente_Mes!$A$2:$A$433,H$62,Desconto_Cliente_Mes!$B$2:$B$433,$A62,Desconto_Cliente_Mes!$C$2:$C$433,"Fibra")))</f>
        <v>0.0288057728194575</v>
      </c>
      <c r="I65" s="15" t="n">
        <f aca="false">MAX(0,(SUMIFS(Desconto_Cliente_Mes!$L$2:$L$433,Desconto_Cliente_Mes!$A$2:$A$433,I$62,Desconto_Cliente_Mes!$B$2:$B$433,$A62,Desconto_Cliente_Mes!$C$2:$C$433,"Fibra"))-(SUMIFS(Desconto_Cliente_Mes!$N$2:$N$433,Desconto_Cliente_Mes!$A$2:$A$433,I$62,Desconto_Cliente_Mes!$B$2:$B$433,$A62,Desconto_Cliente_Mes!$C$2:$C$433,"Fibra")))</f>
        <v>0</v>
      </c>
      <c r="J65" s="15" t="n">
        <f aca="false">MAX(0,(SUMIFS(Desconto_Cliente_Mes!$L$2:$L$433,Desconto_Cliente_Mes!$A$2:$A$433,J$62,Desconto_Cliente_Mes!$B$2:$B$433,$A62,Desconto_Cliente_Mes!$C$2:$C$433,"Fibra"))-(SUMIFS(Desconto_Cliente_Mes!$N$2:$N$433,Desconto_Cliente_Mes!$A$2:$A$433,J$62,Desconto_Cliente_Mes!$B$2:$B$433,$A62,Desconto_Cliente_Mes!$C$2:$C$433,"Fibra")))</f>
        <v>0</v>
      </c>
      <c r="K65" s="15" t="n">
        <f aca="false">MAX(0,(SUMIFS(Desconto_Cliente_Mes!$L$2:$L$433,Desconto_Cliente_Mes!$A$2:$A$433,K$62,Desconto_Cliente_Mes!$B$2:$B$433,$A62,Desconto_Cliente_Mes!$C$2:$C$433,"Fibra"))-(SUMIFS(Desconto_Cliente_Mes!$N$2:$N$433,Desconto_Cliente_Mes!$A$2:$A$433,K$62,Desconto_Cliente_Mes!$B$2:$B$433,$A62,Desconto_Cliente_Mes!$C$2:$C$433,"Fibra")))</f>
        <v>0</v>
      </c>
      <c r="L65" s="15" t="n">
        <f aca="false">MAX(0,(SUMIFS(Desconto_Cliente_Mes!$L$2:$L$433,Desconto_Cliente_Mes!$A$2:$A$433,L$62,Desconto_Cliente_Mes!$B$2:$B$433,$A62,Desconto_Cliente_Mes!$C$2:$C$433,"Fibra"))-(SUMIFS(Desconto_Cliente_Mes!$N$2:$N$433,Desconto_Cliente_Mes!$A$2:$A$433,L$62,Desconto_Cliente_Mes!$B$2:$B$433,$A62,Desconto_Cliente_Mes!$C$2:$C$433,"Fibra")))</f>
        <v>0</v>
      </c>
      <c r="M65" s="15" t="n">
        <f aca="false">MAX(0,(SUMIFS(Desconto_Cliente_Mes!$L$2:$L$433,Desconto_Cliente_Mes!$A$2:$A$433,M$62,Desconto_Cliente_Mes!$B$2:$B$433,$A62,Desconto_Cliente_Mes!$C$2:$C$433,"Fibra"))-(SUMIFS(Desconto_Cliente_Mes!$N$2:$N$433,Desconto_Cliente_Mes!$A$2:$A$433,M$62,Desconto_Cliente_Mes!$B$2:$B$433,$A62,Desconto_Cliente_Mes!$C$2:$C$433,"Fibra")))</f>
        <v>0</v>
      </c>
    </row>
    <row r="66" customFormat="false" ht="15" hidden="false" customHeight="false" outlineLevel="0" collapsed="false">
      <c r="A66" s="13" t="s">
        <v>77</v>
      </c>
      <c r="B66" s="15" t="n">
        <f aca="false">MAX(0,(SUMIFS(Desconto_Cliente_Mes!$N$2:$N$433,Desconto_Cliente_Mes!$A$2:$A$433,B$62,Desconto_Cliente_Mes!$B$2:$B$433,$A62,Desconto_Cliente_Mes!$C$2:$C$433,"Fibra"))-(SUMIFS(Desconto_Cliente_Mes!$P$2:$P$433,Desconto_Cliente_Mes!$A$2:$A$433,B$62,Desconto_Cliente_Mes!$B$2:$B$433,$A62,Desconto_Cliente_Mes!$C$2:$C$433,"Fibra")))</f>
        <v>0</v>
      </c>
      <c r="C66" s="15" t="n">
        <f aca="false">MAX(0,(SUMIFS(Desconto_Cliente_Mes!$N$2:$N$433,Desconto_Cliente_Mes!$A$2:$A$433,C$62,Desconto_Cliente_Mes!$B$2:$B$433,$A62,Desconto_Cliente_Mes!$C$2:$C$433,"Fibra"))-(SUMIFS(Desconto_Cliente_Mes!$P$2:$P$433,Desconto_Cliente_Mes!$A$2:$A$433,C$62,Desconto_Cliente_Mes!$B$2:$B$433,$A62,Desconto_Cliente_Mes!$C$2:$C$433,"Fibra")))</f>
        <v>0</v>
      </c>
      <c r="D66" s="15" t="n">
        <f aca="false">MAX(0,(SUMIFS(Desconto_Cliente_Mes!$N$2:$N$433,Desconto_Cliente_Mes!$A$2:$A$433,D$62,Desconto_Cliente_Mes!$B$2:$B$433,$A62,Desconto_Cliente_Mes!$C$2:$C$433,"Fibra"))-(SUMIFS(Desconto_Cliente_Mes!$P$2:$P$433,Desconto_Cliente_Mes!$A$2:$A$433,D$62,Desconto_Cliente_Mes!$B$2:$B$433,$A62,Desconto_Cliente_Mes!$C$2:$C$433,"Fibra")))</f>
        <v>0</v>
      </c>
      <c r="E66" s="15" t="n">
        <f aca="false">MAX(0,(SUMIFS(Desconto_Cliente_Mes!$N$2:$N$433,Desconto_Cliente_Mes!$A$2:$A$433,E$62,Desconto_Cliente_Mes!$B$2:$B$433,$A62,Desconto_Cliente_Mes!$C$2:$C$433,"Fibra"))-(SUMIFS(Desconto_Cliente_Mes!$P$2:$P$433,Desconto_Cliente_Mes!$A$2:$A$433,E$62,Desconto_Cliente_Mes!$B$2:$B$433,$A62,Desconto_Cliente_Mes!$C$2:$C$433,"Fibra")))</f>
        <v>0</v>
      </c>
      <c r="F66" s="15" t="n">
        <f aca="false">MAX(0,(SUMIFS(Desconto_Cliente_Mes!$N$2:$N$433,Desconto_Cliente_Mes!$A$2:$A$433,F$62,Desconto_Cliente_Mes!$B$2:$B$433,$A62,Desconto_Cliente_Mes!$C$2:$C$433,"Fibra"))-(SUMIFS(Desconto_Cliente_Mes!$P$2:$P$433,Desconto_Cliente_Mes!$A$2:$A$433,F$62,Desconto_Cliente_Mes!$B$2:$B$433,$A62,Desconto_Cliente_Mes!$C$2:$C$433,"Fibra")))</f>
        <v>0</v>
      </c>
      <c r="G66" s="15" t="n">
        <f aca="false">MAX(0,(SUMIFS(Desconto_Cliente_Mes!$N$2:$N$433,Desconto_Cliente_Mes!$A$2:$A$433,G$62,Desconto_Cliente_Mes!$B$2:$B$433,$A62,Desconto_Cliente_Mes!$C$2:$C$433,"Fibra"))-(SUMIFS(Desconto_Cliente_Mes!$P$2:$P$433,Desconto_Cliente_Mes!$A$2:$A$433,G$62,Desconto_Cliente_Mes!$B$2:$B$433,$A62,Desconto_Cliente_Mes!$C$2:$C$433,"Fibra")))</f>
        <v>0</v>
      </c>
      <c r="H66" s="15" t="n">
        <f aca="false">MAX(0,(SUMIFS(Desconto_Cliente_Mes!$N$2:$N$433,Desconto_Cliente_Mes!$A$2:$A$433,H$62,Desconto_Cliente_Mes!$B$2:$B$433,$A62,Desconto_Cliente_Mes!$C$2:$C$433,"Fibra"))-(SUMIFS(Desconto_Cliente_Mes!$P$2:$P$433,Desconto_Cliente_Mes!$A$2:$A$433,H$62,Desconto_Cliente_Mes!$B$2:$B$433,$A62,Desconto_Cliente_Mes!$C$2:$C$433,"Fibra")))</f>
        <v>0</v>
      </c>
      <c r="I66" s="15" t="n">
        <f aca="false">MAX(0,(SUMIFS(Desconto_Cliente_Mes!$N$2:$N$433,Desconto_Cliente_Mes!$A$2:$A$433,I$62,Desconto_Cliente_Mes!$B$2:$B$433,$A62,Desconto_Cliente_Mes!$C$2:$C$433,"Fibra"))-(SUMIFS(Desconto_Cliente_Mes!$P$2:$P$433,Desconto_Cliente_Mes!$A$2:$A$433,I$62,Desconto_Cliente_Mes!$B$2:$B$433,$A62,Desconto_Cliente_Mes!$C$2:$C$433,"Fibra")))</f>
        <v>0</v>
      </c>
      <c r="J66" s="15" t="n">
        <f aca="false">MAX(0,(SUMIFS(Desconto_Cliente_Mes!$N$2:$N$433,Desconto_Cliente_Mes!$A$2:$A$433,J$62,Desconto_Cliente_Mes!$B$2:$B$433,$A62,Desconto_Cliente_Mes!$C$2:$C$433,"Fibra"))-(SUMIFS(Desconto_Cliente_Mes!$P$2:$P$433,Desconto_Cliente_Mes!$A$2:$A$433,J$62,Desconto_Cliente_Mes!$B$2:$B$433,$A62,Desconto_Cliente_Mes!$C$2:$C$433,"Fibra")))</f>
        <v>0</v>
      </c>
      <c r="K66" s="15" t="n">
        <f aca="false">MAX(0,(SUMIFS(Desconto_Cliente_Mes!$N$2:$N$433,Desconto_Cliente_Mes!$A$2:$A$433,K$62,Desconto_Cliente_Mes!$B$2:$B$433,$A62,Desconto_Cliente_Mes!$C$2:$C$433,"Fibra"))-(SUMIFS(Desconto_Cliente_Mes!$P$2:$P$433,Desconto_Cliente_Mes!$A$2:$A$433,K$62,Desconto_Cliente_Mes!$B$2:$B$433,$A62,Desconto_Cliente_Mes!$C$2:$C$433,"Fibra")))</f>
        <v>0</v>
      </c>
      <c r="L66" s="15" t="n">
        <f aca="false">MAX(0,(SUMIFS(Desconto_Cliente_Mes!$N$2:$N$433,Desconto_Cliente_Mes!$A$2:$A$433,L$62,Desconto_Cliente_Mes!$B$2:$B$433,$A62,Desconto_Cliente_Mes!$C$2:$C$433,"Fibra"))-(SUMIFS(Desconto_Cliente_Mes!$P$2:$P$433,Desconto_Cliente_Mes!$A$2:$A$433,L$62,Desconto_Cliente_Mes!$B$2:$B$433,$A62,Desconto_Cliente_Mes!$C$2:$C$433,"Fibra")))</f>
        <v>0</v>
      </c>
      <c r="M66" s="15" t="n">
        <f aca="false">MAX(0,(SUMIFS(Desconto_Cliente_Mes!$N$2:$N$433,Desconto_Cliente_Mes!$A$2:$A$433,M$62,Desconto_Cliente_Mes!$B$2:$B$433,$A62,Desconto_Cliente_Mes!$C$2:$C$433,"Fibra"))-(SUMIFS(Desconto_Cliente_Mes!$P$2:$P$433,Desconto_Cliente_Mes!$A$2:$A$433,M$62,Desconto_Cliente_Mes!$B$2:$B$433,$A62,Desconto_Cliente_Mes!$C$2:$C$433,"Fibra")))</f>
        <v>0</v>
      </c>
    </row>
    <row r="67" customFormat="false" ht="15" hidden="false" customHeight="false" outlineLevel="0" collapsed="false">
      <c r="A67" s="13" t="s">
        <v>78</v>
      </c>
      <c r="B67" s="15" t="n">
        <f aca="false">MAX(0,SUMIFS(Desconto_Cliente_Mes!$P$2:$P$433,Desconto_Cliente_Mes!$A$2:$A$433,B$62,Desconto_Cliente_Mes!$B$2:$B$433,$A62,Desconto_Cliente_Mes!$C$2:$C$433,"Fibra"))</f>
        <v>0</v>
      </c>
      <c r="C67" s="15" t="n">
        <f aca="false">MAX(0,SUMIFS(Desconto_Cliente_Mes!$P$2:$P$433,Desconto_Cliente_Mes!$A$2:$A$433,C$62,Desconto_Cliente_Mes!$B$2:$B$433,$A62,Desconto_Cliente_Mes!$C$2:$C$433,"Fibra"))</f>
        <v>0</v>
      </c>
      <c r="D67" s="15" t="n">
        <f aca="false">MAX(0,SUMIFS(Desconto_Cliente_Mes!$P$2:$P$433,Desconto_Cliente_Mes!$A$2:$A$433,D$62,Desconto_Cliente_Mes!$B$2:$B$433,$A62,Desconto_Cliente_Mes!$C$2:$C$433,"Fibra"))</f>
        <v>0</v>
      </c>
      <c r="E67" s="15" t="n">
        <f aca="false">MAX(0,SUMIFS(Desconto_Cliente_Mes!$P$2:$P$433,Desconto_Cliente_Mes!$A$2:$A$433,E$62,Desconto_Cliente_Mes!$B$2:$B$433,$A62,Desconto_Cliente_Mes!$C$2:$C$433,"Fibra"))</f>
        <v>0</v>
      </c>
      <c r="F67" s="15" t="n">
        <f aca="false">MAX(0,SUMIFS(Desconto_Cliente_Mes!$P$2:$P$433,Desconto_Cliente_Mes!$A$2:$A$433,F$62,Desconto_Cliente_Mes!$B$2:$B$433,$A62,Desconto_Cliente_Mes!$C$2:$C$433,"Fibra"))</f>
        <v>0</v>
      </c>
      <c r="G67" s="15" t="n">
        <f aca="false">MAX(0,SUMIFS(Desconto_Cliente_Mes!$P$2:$P$433,Desconto_Cliente_Mes!$A$2:$A$433,G$62,Desconto_Cliente_Mes!$B$2:$B$433,$A62,Desconto_Cliente_Mes!$C$2:$C$433,"Fibra"))</f>
        <v>0</v>
      </c>
      <c r="H67" s="15" t="n">
        <f aca="false">MAX(0,SUMIFS(Desconto_Cliente_Mes!$P$2:$P$433,Desconto_Cliente_Mes!$A$2:$A$433,H$62,Desconto_Cliente_Mes!$B$2:$B$433,$A62,Desconto_Cliente_Mes!$C$2:$C$433,"Fibra"))</f>
        <v>0</v>
      </c>
      <c r="I67" s="15" t="n">
        <f aca="false">MAX(0,SUMIFS(Desconto_Cliente_Mes!$P$2:$P$433,Desconto_Cliente_Mes!$A$2:$A$433,I$62,Desconto_Cliente_Mes!$B$2:$B$433,$A62,Desconto_Cliente_Mes!$C$2:$C$433,"Fibra"))</f>
        <v>0</v>
      </c>
      <c r="J67" s="15" t="n">
        <f aca="false">MAX(0,SUMIFS(Desconto_Cliente_Mes!$P$2:$P$433,Desconto_Cliente_Mes!$A$2:$A$433,J$62,Desconto_Cliente_Mes!$B$2:$B$433,$A62,Desconto_Cliente_Mes!$C$2:$C$433,"Fibra"))</f>
        <v>0</v>
      </c>
      <c r="K67" s="15" t="n">
        <f aca="false">MAX(0,SUMIFS(Desconto_Cliente_Mes!$P$2:$P$433,Desconto_Cliente_Mes!$A$2:$A$433,K$62,Desconto_Cliente_Mes!$B$2:$B$433,$A62,Desconto_Cliente_Mes!$C$2:$C$433,"Fibra"))</f>
        <v>0</v>
      </c>
      <c r="L67" s="15" t="n">
        <f aca="false">MAX(0,SUMIFS(Desconto_Cliente_Mes!$P$2:$P$433,Desconto_Cliente_Mes!$A$2:$A$433,L$62,Desconto_Cliente_Mes!$B$2:$B$433,$A62,Desconto_Cliente_Mes!$C$2:$C$433,"Fibra"))</f>
        <v>0</v>
      </c>
      <c r="M67" s="15" t="n">
        <f aca="false">MAX(0,SUMIFS(Desconto_Cliente_Mes!$P$2:$P$433,Desconto_Cliente_Mes!$A$2:$A$433,M$62,Desconto_Cliente_Mes!$B$2:$B$433,$A62,Desconto_Cliente_Mes!$C$2:$C$433,"Fibra"))</f>
        <v>0</v>
      </c>
    </row>
    <row r="68" customFormat="false" ht="15" hidden="false" customHeight="false" outlineLevel="0" collapsed="false">
      <c r="A68" s="13" t="s">
        <v>79</v>
      </c>
      <c r="B68" s="16" t="n">
        <f aca="false">$B$64*($B$65/100)*(SUMIFS(Desconto_Cliente_Mes!$Q$2:$Q$433,Desconto_Cliente_Mes!$A$2:$A$433,B$62,Desconto_Cliente_Mes!$B$2:$B$433,$A62,Desconto_Cliente_Mes!$C$2:$C$433,"Fibra"))*(SUMIFS(Desconto_Cliente_Mes!$T$2:$T$433,Desconto_Cliente_Mes!$A$2:$A$433,B$62,Desconto_Cliente_Mes!$B$2:$B$433,$A62,Desconto_Cliente_Mes!$C$2:$C$433,"Fibra"))</f>
        <v>0</v>
      </c>
      <c r="C68" s="16" t="n">
        <f aca="false">$C$64*($C$65/100)*(SUMIFS(Desconto_Cliente_Mes!$Q$2:$Q$433,Desconto_Cliente_Mes!$A$2:$A$433,C$62,Desconto_Cliente_Mes!$B$2:$B$433,$A62,Desconto_Cliente_Mes!$C$2:$C$433,"Fibra"))*(SUMIFS(Desconto_Cliente_Mes!$T$2:$T$433,Desconto_Cliente_Mes!$A$2:$A$433,C$62,Desconto_Cliente_Mes!$B$2:$B$433,$A62,Desconto_Cliente_Mes!$C$2:$C$433,"Fibra"))</f>
        <v>0</v>
      </c>
      <c r="D68" s="16" t="n">
        <f aca="false">$D$64*($D$65/100)*(SUMIFS(Desconto_Cliente_Mes!$Q$2:$Q$433,Desconto_Cliente_Mes!$A$2:$A$433,D$62,Desconto_Cliente_Mes!$B$2:$B$433,$A62,Desconto_Cliente_Mes!$C$2:$C$433,"Fibra"))*(SUMIFS(Desconto_Cliente_Mes!$T$2:$T$433,Desconto_Cliente_Mes!$A$2:$A$433,D$62,Desconto_Cliente_Mes!$B$2:$B$433,$A62,Desconto_Cliente_Mes!$C$2:$C$433,"Fibra"))</f>
        <v>0</v>
      </c>
      <c r="E68" s="16" t="n">
        <f aca="false">$E$64*($E$65/100)*(SUMIFS(Desconto_Cliente_Mes!$Q$2:$Q$433,Desconto_Cliente_Mes!$A$2:$A$433,E$62,Desconto_Cliente_Mes!$B$2:$B$433,$A62,Desconto_Cliente_Mes!$C$2:$C$433,"Fibra"))*(SUMIFS(Desconto_Cliente_Mes!$T$2:$T$433,Desconto_Cliente_Mes!$A$2:$A$433,E$62,Desconto_Cliente_Mes!$B$2:$B$433,$A62,Desconto_Cliente_Mes!$C$2:$C$433,"Fibra"))</f>
        <v>5599.94174095274</v>
      </c>
      <c r="F68" s="16" t="n">
        <f aca="false">$F$64*($F$65/100)*(SUMIFS(Desconto_Cliente_Mes!$Q$2:$Q$433,Desconto_Cliente_Mes!$A$2:$A$433,F$62,Desconto_Cliente_Mes!$B$2:$B$433,$A62,Desconto_Cliente_Mes!$C$2:$C$433,"Fibra"))*(SUMIFS(Desconto_Cliente_Mes!$T$2:$T$433,Desconto_Cliente_Mes!$A$2:$A$433,F$62,Desconto_Cliente_Mes!$B$2:$B$433,$A62,Desconto_Cliente_Mes!$C$2:$C$433,"Fibra"))</f>
        <v>15803.5456392583</v>
      </c>
      <c r="G68" s="16" t="n">
        <f aca="false">$G$64*($G$65/100)*(SUMIFS(Desconto_Cliente_Mes!$Q$2:$Q$433,Desconto_Cliente_Mes!$A$2:$A$433,G$62,Desconto_Cliente_Mes!$B$2:$B$433,$A62,Desconto_Cliente_Mes!$C$2:$C$433,"Fibra"))*(SUMIFS(Desconto_Cliente_Mes!$T$2:$T$433,Desconto_Cliente_Mes!$A$2:$A$433,G$62,Desconto_Cliente_Mes!$B$2:$B$433,$A62,Desconto_Cliente_Mes!$C$2:$C$433,"Fibra"))</f>
        <v>7101.75024609388</v>
      </c>
      <c r="H68" s="16" t="n">
        <f aca="false">$H$64*($H$65/100)*(SUMIFS(Desconto_Cliente_Mes!$Q$2:$Q$433,Desconto_Cliente_Mes!$A$2:$A$433,H$62,Desconto_Cliente_Mes!$B$2:$B$433,$A62,Desconto_Cliente_Mes!$C$2:$C$433,"Fibra"))*(SUMIFS(Desconto_Cliente_Mes!$T$2:$T$433,Desconto_Cliente_Mes!$A$2:$A$433,H$62,Desconto_Cliente_Mes!$B$2:$B$433,$A62,Desconto_Cliente_Mes!$C$2:$C$433,"Fibra"))</f>
        <v>3115.81699858937</v>
      </c>
      <c r="I68" s="16" t="n">
        <f aca="false">$I$64*($I$65/100)*(SUMIFS(Desconto_Cliente_Mes!$Q$2:$Q$433,Desconto_Cliente_Mes!$A$2:$A$433,I$62,Desconto_Cliente_Mes!$B$2:$B$433,$A62,Desconto_Cliente_Mes!$C$2:$C$433,"Fibra"))*(SUMIFS(Desconto_Cliente_Mes!$T$2:$T$433,Desconto_Cliente_Mes!$A$2:$A$433,I$62,Desconto_Cliente_Mes!$B$2:$B$433,$A62,Desconto_Cliente_Mes!$C$2:$C$433,"Fibra"))</f>
        <v>0</v>
      </c>
      <c r="J68" s="16" t="n">
        <f aca="false">$J$64*($J$65/100)*(SUMIFS(Desconto_Cliente_Mes!$Q$2:$Q$433,Desconto_Cliente_Mes!$A$2:$A$433,J$62,Desconto_Cliente_Mes!$B$2:$B$433,$A62,Desconto_Cliente_Mes!$C$2:$C$433,"Fibra"))*(SUMIFS(Desconto_Cliente_Mes!$T$2:$T$433,Desconto_Cliente_Mes!$A$2:$A$433,J$62,Desconto_Cliente_Mes!$B$2:$B$433,$A62,Desconto_Cliente_Mes!$C$2:$C$433,"Fibra"))</f>
        <v>0</v>
      </c>
      <c r="K68" s="16" t="n">
        <f aca="false">$K$64*($K$65/100)*(SUMIFS(Desconto_Cliente_Mes!$Q$2:$Q$433,Desconto_Cliente_Mes!$A$2:$A$433,K$62,Desconto_Cliente_Mes!$B$2:$B$433,$A62,Desconto_Cliente_Mes!$C$2:$C$433,"Fibra"))*(SUMIFS(Desconto_Cliente_Mes!$T$2:$T$433,Desconto_Cliente_Mes!$A$2:$A$433,K$62,Desconto_Cliente_Mes!$B$2:$B$433,$A62,Desconto_Cliente_Mes!$C$2:$C$433,"Fibra"))</f>
        <v>0</v>
      </c>
      <c r="L68" s="16" t="n">
        <f aca="false">$L$64*($L$65/100)*(SUMIFS(Desconto_Cliente_Mes!$Q$2:$Q$433,Desconto_Cliente_Mes!$A$2:$A$433,L$62,Desconto_Cliente_Mes!$B$2:$B$433,$A62,Desconto_Cliente_Mes!$C$2:$C$433,"Fibra"))*(SUMIFS(Desconto_Cliente_Mes!$T$2:$T$433,Desconto_Cliente_Mes!$A$2:$A$433,L$62,Desconto_Cliente_Mes!$B$2:$B$433,$A62,Desconto_Cliente_Mes!$C$2:$C$433,"Fibra"))</f>
        <v>0</v>
      </c>
      <c r="M68" s="16" t="n">
        <f aca="false">$M$64*($M$65/100)*(SUMIFS(Desconto_Cliente_Mes!$Q$2:$Q$433,Desconto_Cliente_Mes!$A$2:$A$433,M$62,Desconto_Cliente_Mes!$B$2:$B$433,$A62,Desconto_Cliente_Mes!$C$2:$C$433,"Fibra"))*(SUMIFS(Desconto_Cliente_Mes!$T$2:$T$433,Desconto_Cliente_Mes!$A$2:$A$433,M$62,Desconto_Cliente_Mes!$B$2:$B$433,$A62,Desconto_Cliente_Mes!$C$2:$C$433,"Fibra"))</f>
        <v>0</v>
      </c>
      <c r="N68" s="17" t="n">
        <f aca="false">SUM(B68:M68)</f>
        <v>31621.0546248943</v>
      </c>
    </row>
    <row r="69" customFormat="false" ht="15" hidden="false" customHeight="false" outlineLevel="0" collapsed="false">
      <c r="A69" s="13" t="s">
        <v>80</v>
      </c>
      <c r="B69" s="16" t="n">
        <f aca="false">$B$64*($B$66/100)*((IF(SUMIFS(Desconto_Cliente_Mes!$R$2:$R$433,Desconto_Cliente_Mes!$A$2:$A$433,B$62,Desconto_Cliente_Mes!$B$2:$B$433,$A62,Desconto_Cliente_Mes!$C$2:$C$433,"Fibra")="",SUMIFS(Desconto_Cliente_Mes!$Q$2:$Q$433,Desconto_Cliente_Mes!$A$2:$A$433,B$62,Desconto_Cliente_Mes!$B$2:$B$433,$A62,Desconto_Cliente_Mes!$C$2:$C$433,"Fibra"),SUMIFS(Desconto_Cliente_Mes!$R$2:$R$433,Desconto_Cliente_Mes!$A$2:$A$433,B$62,Desconto_Cliente_Mes!$B$2:$B$433,$A62,Desconto_Cliente_Mes!$C$2:$C$433,"Fibra")))-(SUMIFS(Desconto_Cliente_Mes!$Q$2:$Q$433,Desconto_Cliente_Mes!$A$2:$A$433,B$62,Desconto_Cliente_Mes!$B$2:$B$433,$A62,Desconto_Cliente_Mes!$C$2:$C$433,"Fibra")))*(SUMIFS(Desconto_Cliente_Mes!$T$2:$T$433,Desconto_Cliente_Mes!$A$2:$A$433,B$62,Desconto_Cliente_Mes!$B$2:$B$433,$A62,Desconto_Cliente_Mes!$C$2:$C$433,"Fibra"))</f>
        <v>0</v>
      </c>
      <c r="C69" s="16" t="n">
        <f aca="false">$C$64*($C$66/100)*((IF(SUMIFS(Desconto_Cliente_Mes!$R$2:$R$433,Desconto_Cliente_Mes!$A$2:$A$433,C$62,Desconto_Cliente_Mes!$B$2:$B$433,$A62,Desconto_Cliente_Mes!$C$2:$C$433,"Fibra")="",SUMIFS(Desconto_Cliente_Mes!$Q$2:$Q$433,Desconto_Cliente_Mes!$A$2:$A$433,C$62,Desconto_Cliente_Mes!$B$2:$B$433,$A62,Desconto_Cliente_Mes!$C$2:$C$433,"Fibra"),SUMIFS(Desconto_Cliente_Mes!$R$2:$R$433,Desconto_Cliente_Mes!$A$2:$A$433,C$62,Desconto_Cliente_Mes!$B$2:$B$433,$A62,Desconto_Cliente_Mes!$C$2:$C$433,"Fibra")))-(SUMIFS(Desconto_Cliente_Mes!$Q$2:$Q$433,Desconto_Cliente_Mes!$A$2:$A$433,C$62,Desconto_Cliente_Mes!$B$2:$B$433,$A62,Desconto_Cliente_Mes!$C$2:$C$433,"Fibra")))*(SUMIFS(Desconto_Cliente_Mes!$T$2:$T$433,Desconto_Cliente_Mes!$A$2:$A$433,C$62,Desconto_Cliente_Mes!$B$2:$B$433,$A62,Desconto_Cliente_Mes!$C$2:$C$433,"Fibra"))</f>
        <v>0</v>
      </c>
      <c r="D69" s="16" t="n">
        <f aca="false">$D$64*($D$66/100)*((IF(SUMIFS(Desconto_Cliente_Mes!$R$2:$R$433,Desconto_Cliente_Mes!$A$2:$A$433,D$62,Desconto_Cliente_Mes!$B$2:$B$433,$A62,Desconto_Cliente_Mes!$C$2:$C$433,"Fibra")="",SUMIFS(Desconto_Cliente_Mes!$Q$2:$Q$433,Desconto_Cliente_Mes!$A$2:$A$433,D$62,Desconto_Cliente_Mes!$B$2:$B$433,$A62,Desconto_Cliente_Mes!$C$2:$C$433,"Fibra"),SUMIFS(Desconto_Cliente_Mes!$R$2:$R$433,Desconto_Cliente_Mes!$A$2:$A$433,D$62,Desconto_Cliente_Mes!$B$2:$B$433,$A62,Desconto_Cliente_Mes!$C$2:$C$433,"Fibra")))-(SUMIFS(Desconto_Cliente_Mes!$Q$2:$Q$433,Desconto_Cliente_Mes!$A$2:$A$433,D$62,Desconto_Cliente_Mes!$B$2:$B$433,$A62,Desconto_Cliente_Mes!$C$2:$C$433,"Fibra")))*(SUMIFS(Desconto_Cliente_Mes!$T$2:$T$433,Desconto_Cliente_Mes!$A$2:$A$433,D$62,Desconto_Cliente_Mes!$B$2:$B$433,$A62,Desconto_Cliente_Mes!$C$2:$C$433,"Fibra"))</f>
        <v>0</v>
      </c>
      <c r="E69" s="16" t="n">
        <f aca="false">$E$64*($E$66/100)*((IF(SUMIFS(Desconto_Cliente_Mes!$R$2:$R$433,Desconto_Cliente_Mes!$A$2:$A$433,E$62,Desconto_Cliente_Mes!$B$2:$B$433,$A62,Desconto_Cliente_Mes!$C$2:$C$433,"Fibra")="",SUMIFS(Desconto_Cliente_Mes!$Q$2:$Q$433,Desconto_Cliente_Mes!$A$2:$A$433,E$62,Desconto_Cliente_Mes!$B$2:$B$433,$A62,Desconto_Cliente_Mes!$C$2:$C$433,"Fibra"),SUMIFS(Desconto_Cliente_Mes!$R$2:$R$433,Desconto_Cliente_Mes!$A$2:$A$433,E$62,Desconto_Cliente_Mes!$B$2:$B$433,$A62,Desconto_Cliente_Mes!$C$2:$C$433,"Fibra")))-(SUMIFS(Desconto_Cliente_Mes!$Q$2:$Q$433,Desconto_Cliente_Mes!$A$2:$A$433,E$62,Desconto_Cliente_Mes!$B$2:$B$433,$A62,Desconto_Cliente_Mes!$C$2:$C$433,"Fibra")))*(SUMIFS(Desconto_Cliente_Mes!$T$2:$T$433,Desconto_Cliente_Mes!$A$2:$A$433,E$62,Desconto_Cliente_Mes!$B$2:$B$433,$A62,Desconto_Cliente_Mes!$C$2:$C$433,"Fibra"))</f>
        <v>0</v>
      </c>
      <c r="F69" s="16" t="n">
        <f aca="false">$F$64*($F$66/100)*((IF(SUMIFS(Desconto_Cliente_Mes!$R$2:$R$433,Desconto_Cliente_Mes!$A$2:$A$433,F$62,Desconto_Cliente_Mes!$B$2:$B$433,$A62,Desconto_Cliente_Mes!$C$2:$C$433,"Fibra")="",SUMIFS(Desconto_Cliente_Mes!$Q$2:$Q$433,Desconto_Cliente_Mes!$A$2:$A$433,F$62,Desconto_Cliente_Mes!$B$2:$B$433,$A62,Desconto_Cliente_Mes!$C$2:$C$433,"Fibra"),SUMIFS(Desconto_Cliente_Mes!$R$2:$R$433,Desconto_Cliente_Mes!$A$2:$A$433,F$62,Desconto_Cliente_Mes!$B$2:$B$433,$A62,Desconto_Cliente_Mes!$C$2:$C$433,"Fibra")))-(SUMIFS(Desconto_Cliente_Mes!$Q$2:$Q$433,Desconto_Cliente_Mes!$A$2:$A$433,F$62,Desconto_Cliente_Mes!$B$2:$B$433,$A62,Desconto_Cliente_Mes!$C$2:$C$433,"Fibra")))*(SUMIFS(Desconto_Cliente_Mes!$T$2:$T$433,Desconto_Cliente_Mes!$A$2:$A$433,F$62,Desconto_Cliente_Mes!$B$2:$B$433,$A62,Desconto_Cliente_Mes!$C$2:$C$433,"Fibra"))</f>
        <v>0</v>
      </c>
      <c r="G69" s="16" t="n">
        <f aca="false">$G$64*($G$66/100)*((IF(SUMIFS(Desconto_Cliente_Mes!$R$2:$R$433,Desconto_Cliente_Mes!$A$2:$A$433,G$62,Desconto_Cliente_Mes!$B$2:$B$433,$A62,Desconto_Cliente_Mes!$C$2:$C$433,"Fibra")="",SUMIFS(Desconto_Cliente_Mes!$Q$2:$Q$433,Desconto_Cliente_Mes!$A$2:$A$433,G$62,Desconto_Cliente_Mes!$B$2:$B$433,$A62,Desconto_Cliente_Mes!$C$2:$C$433,"Fibra"),SUMIFS(Desconto_Cliente_Mes!$R$2:$R$433,Desconto_Cliente_Mes!$A$2:$A$433,G$62,Desconto_Cliente_Mes!$B$2:$B$433,$A62,Desconto_Cliente_Mes!$C$2:$C$433,"Fibra")))-(SUMIFS(Desconto_Cliente_Mes!$Q$2:$Q$433,Desconto_Cliente_Mes!$A$2:$A$433,G$62,Desconto_Cliente_Mes!$B$2:$B$433,$A62,Desconto_Cliente_Mes!$C$2:$C$433,"Fibra")))*(SUMIFS(Desconto_Cliente_Mes!$T$2:$T$433,Desconto_Cliente_Mes!$A$2:$A$433,G$62,Desconto_Cliente_Mes!$B$2:$B$433,$A62,Desconto_Cliente_Mes!$C$2:$C$433,"Fibra"))</f>
        <v>0</v>
      </c>
      <c r="H69" s="16" t="n">
        <f aca="false">$H$64*($H$66/100)*((IF(SUMIFS(Desconto_Cliente_Mes!$R$2:$R$433,Desconto_Cliente_Mes!$A$2:$A$433,H$62,Desconto_Cliente_Mes!$B$2:$B$433,$A62,Desconto_Cliente_Mes!$C$2:$C$433,"Fibra")="",SUMIFS(Desconto_Cliente_Mes!$Q$2:$Q$433,Desconto_Cliente_Mes!$A$2:$A$433,H$62,Desconto_Cliente_Mes!$B$2:$B$433,$A62,Desconto_Cliente_Mes!$C$2:$C$433,"Fibra"),SUMIFS(Desconto_Cliente_Mes!$R$2:$R$433,Desconto_Cliente_Mes!$A$2:$A$433,H$62,Desconto_Cliente_Mes!$B$2:$B$433,$A62,Desconto_Cliente_Mes!$C$2:$C$433,"Fibra")))-(SUMIFS(Desconto_Cliente_Mes!$Q$2:$Q$433,Desconto_Cliente_Mes!$A$2:$A$433,H$62,Desconto_Cliente_Mes!$B$2:$B$433,$A62,Desconto_Cliente_Mes!$C$2:$C$433,"Fibra")))*(SUMIFS(Desconto_Cliente_Mes!$T$2:$T$433,Desconto_Cliente_Mes!$A$2:$A$433,H$62,Desconto_Cliente_Mes!$B$2:$B$433,$A62,Desconto_Cliente_Mes!$C$2:$C$433,"Fibra"))</f>
        <v>0</v>
      </c>
      <c r="I69" s="16" t="n">
        <f aca="false">$I$64*($I$66/100)*((IF(SUMIFS(Desconto_Cliente_Mes!$R$2:$R$433,Desconto_Cliente_Mes!$A$2:$A$433,I$62,Desconto_Cliente_Mes!$B$2:$B$433,$A62,Desconto_Cliente_Mes!$C$2:$C$433,"Fibra")="",SUMIFS(Desconto_Cliente_Mes!$Q$2:$Q$433,Desconto_Cliente_Mes!$A$2:$A$433,I$62,Desconto_Cliente_Mes!$B$2:$B$433,$A62,Desconto_Cliente_Mes!$C$2:$C$433,"Fibra"),SUMIFS(Desconto_Cliente_Mes!$R$2:$R$433,Desconto_Cliente_Mes!$A$2:$A$433,I$62,Desconto_Cliente_Mes!$B$2:$B$433,$A62,Desconto_Cliente_Mes!$C$2:$C$433,"Fibra")))-(SUMIFS(Desconto_Cliente_Mes!$Q$2:$Q$433,Desconto_Cliente_Mes!$A$2:$A$433,I$62,Desconto_Cliente_Mes!$B$2:$B$433,$A62,Desconto_Cliente_Mes!$C$2:$C$433,"Fibra")))*(SUMIFS(Desconto_Cliente_Mes!$T$2:$T$433,Desconto_Cliente_Mes!$A$2:$A$433,I$62,Desconto_Cliente_Mes!$B$2:$B$433,$A62,Desconto_Cliente_Mes!$C$2:$C$433,"Fibra"))</f>
        <v>0</v>
      </c>
      <c r="J69" s="16" t="n">
        <f aca="false">$J$64*($J$66/100)*((IF(SUMIFS(Desconto_Cliente_Mes!$R$2:$R$433,Desconto_Cliente_Mes!$A$2:$A$433,J$62,Desconto_Cliente_Mes!$B$2:$B$433,$A62,Desconto_Cliente_Mes!$C$2:$C$433,"Fibra")="",SUMIFS(Desconto_Cliente_Mes!$Q$2:$Q$433,Desconto_Cliente_Mes!$A$2:$A$433,J$62,Desconto_Cliente_Mes!$B$2:$B$433,$A62,Desconto_Cliente_Mes!$C$2:$C$433,"Fibra"),SUMIFS(Desconto_Cliente_Mes!$R$2:$R$433,Desconto_Cliente_Mes!$A$2:$A$433,J$62,Desconto_Cliente_Mes!$B$2:$B$433,$A62,Desconto_Cliente_Mes!$C$2:$C$433,"Fibra")))-(SUMIFS(Desconto_Cliente_Mes!$Q$2:$Q$433,Desconto_Cliente_Mes!$A$2:$A$433,J$62,Desconto_Cliente_Mes!$B$2:$B$433,$A62,Desconto_Cliente_Mes!$C$2:$C$433,"Fibra")))*(SUMIFS(Desconto_Cliente_Mes!$T$2:$T$433,Desconto_Cliente_Mes!$A$2:$A$433,J$62,Desconto_Cliente_Mes!$B$2:$B$433,$A62,Desconto_Cliente_Mes!$C$2:$C$433,"Fibra"))</f>
        <v>0</v>
      </c>
      <c r="K69" s="16" t="n">
        <f aca="false">$K$64*($K$66/100)*((IF(SUMIFS(Desconto_Cliente_Mes!$R$2:$R$433,Desconto_Cliente_Mes!$A$2:$A$433,K$62,Desconto_Cliente_Mes!$B$2:$B$433,$A62,Desconto_Cliente_Mes!$C$2:$C$433,"Fibra")="",SUMIFS(Desconto_Cliente_Mes!$Q$2:$Q$433,Desconto_Cliente_Mes!$A$2:$A$433,K$62,Desconto_Cliente_Mes!$B$2:$B$433,$A62,Desconto_Cliente_Mes!$C$2:$C$433,"Fibra"),SUMIFS(Desconto_Cliente_Mes!$R$2:$R$433,Desconto_Cliente_Mes!$A$2:$A$433,K$62,Desconto_Cliente_Mes!$B$2:$B$433,$A62,Desconto_Cliente_Mes!$C$2:$C$433,"Fibra")))-(SUMIFS(Desconto_Cliente_Mes!$Q$2:$Q$433,Desconto_Cliente_Mes!$A$2:$A$433,K$62,Desconto_Cliente_Mes!$B$2:$B$433,$A62,Desconto_Cliente_Mes!$C$2:$C$433,"Fibra")))*(SUMIFS(Desconto_Cliente_Mes!$T$2:$T$433,Desconto_Cliente_Mes!$A$2:$A$433,K$62,Desconto_Cliente_Mes!$B$2:$B$433,$A62,Desconto_Cliente_Mes!$C$2:$C$433,"Fibra"))</f>
        <v>0</v>
      </c>
      <c r="L69" s="16" t="n">
        <f aca="false">$L$64*($L$66/100)*((IF(SUMIFS(Desconto_Cliente_Mes!$R$2:$R$433,Desconto_Cliente_Mes!$A$2:$A$433,L$62,Desconto_Cliente_Mes!$B$2:$B$433,$A62,Desconto_Cliente_Mes!$C$2:$C$433,"Fibra")="",SUMIFS(Desconto_Cliente_Mes!$Q$2:$Q$433,Desconto_Cliente_Mes!$A$2:$A$433,L$62,Desconto_Cliente_Mes!$B$2:$B$433,$A62,Desconto_Cliente_Mes!$C$2:$C$433,"Fibra"),SUMIFS(Desconto_Cliente_Mes!$R$2:$R$433,Desconto_Cliente_Mes!$A$2:$A$433,L$62,Desconto_Cliente_Mes!$B$2:$B$433,$A62,Desconto_Cliente_Mes!$C$2:$C$433,"Fibra")))-(SUMIFS(Desconto_Cliente_Mes!$Q$2:$Q$433,Desconto_Cliente_Mes!$A$2:$A$433,L$62,Desconto_Cliente_Mes!$B$2:$B$433,$A62,Desconto_Cliente_Mes!$C$2:$C$433,"Fibra")))*(SUMIFS(Desconto_Cliente_Mes!$T$2:$T$433,Desconto_Cliente_Mes!$A$2:$A$433,L$62,Desconto_Cliente_Mes!$B$2:$B$433,$A62,Desconto_Cliente_Mes!$C$2:$C$433,"Fibra"))</f>
        <v>0</v>
      </c>
      <c r="M69" s="16" t="n">
        <f aca="false">$M$64*($M$66/100)*((IF(SUMIFS(Desconto_Cliente_Mes!$R$2:$R$433,Desconto_Cliente_Mes!$A$2:$A$433,M$62,Desconto_Cliente_Mes!$B$2:$B$433,$A62,Desconto_Cliente_Mes!$C$2:$C$433,"Fibra")="",SUMIFS(Desconto_Cliente_Mes!$Q$2:$Q$433,Desconto_Cliente_Mes!$A$2:$A$433,M$62,Desconto_Cliente_Mes!$B$2:$B$433,$A62,Desconto_Cliente_Mes!$C$2:$C$433,"Fibra"),SUMIFS(Desconto_Cliente_Mes!$R$2:$R$433,Desconto_Cliente_Mes!$A$2:$A$433,M$62,Desconto_Cliente_Mes!$B$2:$B$433,$A62,Desconto_Cliente_Mes!$C$2:$C$433,"Fibra")))-(SUMIFS(Desconto_Cliente_Mes!$Q$2:$Q$433,Desconto_Cliente_Mes!$A$2:$A$433,M$62,Desconto_Cliente_Mes!$B$2:$B$433,$A62,Desconto_Cliente_Mes!$C$2:$C$433,"Fibra")))*(SUMIFS(Desconto_Cliente_Mes!$T$2:$T$433,Desconto_Cliente_Mes!$A$2:$A$433,M$62,Desconto_Cliente_Mes!$B$2:$B$433,$A62,Desconto_Cliente_Mes!$C$2:$C$433,"Fibra"))</f>
        <v>0</v>
      </c>
      <c r="N69" s="17" t="n">
        <f aca="false">SUM(B69:M69)</f>
        <v>0</v>
      </c>
    </row>
    <row r="70" customFormat="false" ht="15" hidden="false" customHeight="false" outlineLevel="0" collapsed="false">
      <c r="A70" s="13" t="s">
        <v>81</v>
      </c>
      <c r="B70" s="16" t="n">
        <f aca="false">$B$64*($B$67/100)*((IF(SUMIFS(Desconto_Cliente_Mes!$S$2:$S$433,Desconto_Cliente_Mes!$A$2:$A$433,B$62,Desconto_Cliente_Mes!$B$2:$B$433,$A62,Desconto_Cliente_Mes!$C$2:$C$433,"Fibra")="",(IF(SUMIFS(Desconto_Cliente_Mes!$R$2:$R$433,Desconto_Cliente_Mes!$A$2:$A$433,B$62,Desconto_Cliente_Mes!$B$2:$B$433,$A62,Desconto_Cliente_Mes!$C$2:$C$433,"Fibra")="",SUMIFS(Desconto_Cliente_Mes!$Q$2:$Q$433,Desconto_Cliente_Mes!$A$2:$A$433,B$62,Desconto_Cliente_Mes!$B$2:$B$433,$A62,Desconto_Cliente_Mes!$C$2:$C$433,"Fibra"),SUMIFS(Desconto_Cliente_Mes!$R$2:$R$433,Desconto_Cliente_Mes!$A$2:$A$433,B$62,Desconto_Cliente_Mes!$B$2:$B$433,$A62,Desconto_Cliente_Mes!$C$2:$C$433,"Fibra"))),SUMIFS(Desconto_Cliente_Mes!$S$2:$S$433,Desconto_Cliente_Mes!$A$2:$A$433,B$62,Desconto_Cliente_Mes!$B$2:$B$433,$A62,Desconto_Cliente_Mes!$C$2:$C$433,"Fibra")))-(IF(SUMIFS(Desconto_Cliente_Mes!$R$2:$R$433,Desconto_Cliente_Mes!$A$2:$A$433,B$62,Desconto_Cliente_Mes!$B$2:$B$433,$A62,Desconto_Cliente_Mes!$C$2:$C$433,"Fibra")="",SUMIFS(Desconto_Cliente_Mes!$Q$2:$Q$433,Desconto_Cliente_Mes!$A$2:$A$433,B$62,Desconto_Cliente_Mes!$B$2:$B$433,$A62,Desconto_Cliente_Mes!$C$2:$C$433,"Fibra"),SUMIFS(Desconto_Cliente_Mes!$R$2:$R$433,Desconto_Cliente_Mes!$A$2:$A$433,B$62,Desconto_Cliente_Mes!$B$2:$B$433,$A62,Desconto_Cliente_Mes!$C$2:$C$433,"Fibra"))))*(SUMIFS(Desconto_Cliente_Mes!$T$2:$T$433,Desconto_Cliente_Mes!$A$2:$A$433,B$62,Desconto_Cliente_Mes!$B$2:$B$433,$A62,Desconto_Cliente_Mes!$C$2:$C$433,"Fibra"))</f>
        <v>0</v>
      </c>
      <c r="C70" s="16" t="n">
        <f aca="false">$C$64*($C$67/100)*((IF(SUMIFS(Desconto_Cliente_Mes!$S$2:$S$433,Desconto_Cliente_Mes!$A$2:$A$433,C$62,Desconto_Cliente_Mes!$B$2:$B$433,$A62,Desconto_Cliente_Mes!$C$2:$C$433,"Fibra")="",(IF(SUMIFS(Desconto_Cliente_Mes!$R$2:$R$433,Desconto_Cliente_Mes!$A$2:$A$433,C$62,Desconto_Cliente_Mes!$B$2:$B$433,$A62,Desconto_Cliente_Mes!$C$2:$C$433,"Fibra")="",SUMIFS(Desconto_Cliente_Mes!$Q$2:$Q$433,Desconto_Cliente_Mes!$A$2:$A$433,C$62,Desconto_Cliente_Mes!$B$2:$B$433,$A62,Desconto_Cliente_Mes!$C$2:$C$433,"Fibra"),SUMIFS(Desconto_Cliente_Mes!$R$2:$R$433,Desconto_Cliente_Mes!$A$2:$A$433,C$62,Desconto_Cliente_Mes!$B$2:$B$433,$A62,Desconto_Cliente_Mes!$C$2:$C$433,"Fibra"))),SUMIFS(Desconto_Cliente_Mes!$S$2:$S$433,Desconto_Cliente_Mes!$A$2:$A$433,C$62,Desconto_Cliente_Mes!$B$2:$B$433,$A62,Desconto_Cliente_Mes!$C$2:$C$433,"Fibra")))-(IF(SUMIFS(Desconto_Cliente_Mes!$R$2:$R$433,Desconto_Cliente_Mes!$A$2:$A$433,C$62,Desconto_Cliente_Mes!$B$2:$B$433,$A62,Desconto_Cliente_Mes!$C$2:$C$433,"Fibra")="",SUMIFS(Desconto_Cliente_Mes!$Q$2:$Q$433,Desconto_Cliente_Mes!$A$2:$A$433,C$62,Desconto_Cliente_Mes!$B$2:$B$433,$A62,Desconto_Cliente_Mes!$C$2:$C$433,"Fibra"),SUMIFS(Desconto_Cliente_Mes!$R$2:$R$433,Desconto_Cliente_Mes!$A$2:$A$433,C$62,Desconto_Cliente_Mes!$B$2:$B$433,$A62,Desconto_Cliente_Mes!$C$2:$C$433,"Fibra"))))*(SUMIFS(Desconto_Cliente_Mes!$T$2:$T$433,Desconto_Cliente_Mes!$A$2:$A$433,C$62,Desconto_Cliente_Mes!$B$2:$B$433,$A62,Desconto_Cliente_Mes!$C$2:$C$433,"Fibra"))</f>
        <v>0</v>
      </c>
      <c r="D70" s="16" t="n">
        <f aca="false">$D$64*($D$67/100)*((IF(SUMIFS(Desconto_Cliente_Mes!$S$2:$S$433,Desconto_Cliente_Mes!$A$2:$A$433,D$62,Desconto_Cliente_Mes!$B$2:$B$433,$A62,Desconto_Cliente_Mes!$C$2:$C$433,"Fibra")="",(IF(SUMIFS(Desconto_Cliente_Mes!$R$2:$R$433,Desconto_Cliente_Mes!$A$2:$A$433,D$62,Desconto_Cliente_Mes!$B$2:$B$433,$A62,Desconto_Cliente_Mes!$C$2:$C$433,"Fibra")="",SUMIFS(Desconto_Cliente_Mes!$Q$2:$Q$433,Desconto_Cliente_Mes!$A$2:$A$433,D$62,Desconto_Cliente_Mes!$B$2:$B$433,$A62,Desconto_Cliente_Mes!$C$2:$C$433,"Fibra"),SUMIFS(Desconto_Cliente_Mes!$R$2:$R$433,Desconto_Cliente_Mes!$A$2:$A$433,D$62,Desconto_Cliente_Mes!$B$2:$B$433,$A62,Desconto_Cliente_Mes!$C$2:$C$433,"Fibra"))),SUMIFS(Desconto_Cliente_Mes!$S$2:$S$433,Desconto_Cliente_Mes!$A$2:$A$433,D$62,Desconto_Cliente_Mes!$B$2:$B$433,$A62,Desconto_Cliente_Mes!$C$2:$C$433,"Fibra")))-(IF(SUMIFS(Desconto_Cliente_Mes!$R$2:$R$433,Desconto_Cliente_Mes!$A$2:$A$433,D$62,Desconto_Cliente_Mes!$B$2:$B$433,$A62,Desconto_Cliente_Mes!$C$2:$C$433,"Fibra")="",SUMIFS(Desconto_Cliente_Mes!$Q$2:$Q$433,Desconto_Cliente_Mes!$A$2:$A$433,D$62,Desconto_Cliente_Mes!$B$2:$B$433,$A62,Desconto_Cliente_Mes!$C$2:$C$433,"Fibra"),SUMIFS(Desconto_Cliente_Mes!$R$2:$R$433,Desconto_Cliente_Mes!$A$2:$A$433,D$62,Desconto_Cliente_Mes!$B$2:$B$433,$A62,Desconto_Cliente_Mes!$C$2:$C$433,"Fibra"))))*(SUMIFS(Desconto_Cliente_Mes!$T$2:$T$433,Desconto_Cliente_Mes!$A$2:$A$433,D$62,Desconto_Cliente_Mes!$B$2:$B$433,$A62,Desconto_Cliente_Mes!$C$2:$C$433,"Fibra"))</f>
        <v>0</v>
      </c>
      <c r="E70" s="16" t="n">
        <f aca="false">$E$64*($E$67/100)*((IF(SUMIFS(Desconto_Cliente_Mes!$S$2:$S$433,Desconto_Cliente_Mes!$A$2:$A$433,E$62,Desconto_Cliente_Mes!$B$2:$B$433,$A62,Desconto_Cliente_Mes!$C$2:$C$433,"Fibra")="",(IF(SUMIFS(Desconto_Cliente_Mes!$R$2:$R$433,Desconto_Cliente_Mes!$A$2:$A$433,E$62,Desconto_Cliente_Mes!$B$2:$B$433,$A62,Desconto_Cliente_Mes!$C$2:$C$433,"Fibra")="",SUMIFS(Desconto_Cliente_Mes!$Q$2:$Q$433,Desconto_Cliente_Mes!$A$2:$A$433,E$62,Desconto_Cliente_Mes!$B$2:$B$433,$A62,Desconto_Cliente_Mes!$C$2:$C$433,"Fibra"),SUMIFS(Desconto_Cliente_Mes!$R$2:$R$433,Desconto_Cliente_Mes!$A$2:$A$433,E$62,Desconto_Cliente_Mes!$B$2:$B$433,$A62,Desconto_Cliente_Mes!$C$2:$C$433,"Fibra"))),SUMIFS(Desconto_Cliente_Mes!$S$2:$S$433,Desconto_Cliente_Mes!$A$2:$A$433,E$62,Desconto_Cliente_Mes!$B$2:$B$433,$A62,Desconto_Cliente_Mes!$C$2:$C$433,"Fibra")))-(IF(SUMIFS(Desconto_Cliente_Mes!$R$2:$R$433,Desconto_Cliente_Mes!$A$2:$A$433,E$62,Desconto_Cliente_Mes!$B$2:$B$433,$A62,Desconto_Cliente_Mes!$C$2:$C$433,"Fibra")="",SUMIFS(Desconto_Cliente_Mes!$Q$2:$Q$433,Desconto_Cliente_Mes!$A$2:$A$433,E$62,Desconto_Cliente_Mes!$B$2:$B$433,$A62,Desconto_Cliente_Mes!$C$2:$C$433,"Fibra"),SUMIFS(Desconto_Cliente_Mes!$R$2:$R$433,Desconto_Cliente_Mes!$A$2:$A$433,E$62,Desconto_Cliente_Mes!$B$2:$B$433,$A62,Desconto_Cliente_Mes!$C$2:$C$433,"Fibra"))))*(SUMIFS(Desconto_Cliente_Mes!$T$2:$T$433,Desconto_Cliente_Mes!$A$2:$A$433,E$62,Desconto_Cliente_Mes!$B$2:$B$433,$A62,Desconto_Cliente_Mes!$C$2:$C$433,"Fibra"))</f>
        <v>0</v>
      </c>
      <c r="F70" s="16" t="n">
        <f aca="false">$F$64*($F$67/100)*((IF(SUMIFS(Desconto_Cliente_Mes!$S$2:$S$433,Desconto_Cliente_Mes!$A$2:$A$433,F$62,Desconto_Cliente_Mes!$B$2:$B$433,$A62,Desconto_Cliente_Mes!$C$2:$C$433,"Fibra")="",(IF(SUMIFS(Desconto_Cliente_Mes!$R$2:$R$433,Desconto_Cliente_Mes!$A$2:$A$433,F$62,Desconto_Cliente_Mes!$B$2:$B$433,$A62,Desconto_Cliente_Mes!$C$2:$C$433,"Fibra")="",SUMIFS(Desconto_Cliente_Mes!$Q$2:$Q$433,Desconto_Cliente_Mes!$A$2:$A$433,F$62,Desconto_Cliente_Mes!$B$2:$B$433,$A62,Desconto_Cliente_Mes!$C$2:$C$433,"Fibra"),SUMIFS(Desconto_Cliente_Mes!$R$2:$R$433,Desconto_Cliente_Mes!$A$2:$A$433,F$62,Desconto_Cliente_Mes!$B$2:$B$433,$A62,Desconto_Cliente_Mes!$C$2:$C$433,"Fibra"))),SUMIFS(Desconto_Cliente_Mes!$S$2:$S$433,Desconto_Cliente_Mes!$A$2:$A$433,F$62,Desconto_Cliente_Mes!$B$2:$B$433,$A62,Desconto_Cliente_Mes!$C$2:$C$433,"Fibra")))-(IF(SUMIFS(Desconto_Cliente_Mes!$R$2:$R$433,Desconto_Cliente_Mes!$A$2:$A$433,F$62,Desconto_Cliente_Mes!$B$2:$B$433,$A62,Desconto_Cliente_Mes!$C$2:$C$433,"Fibra")="",SUMIFS(Desconto_Cliente_Mes!$Q$2:$Q$433,Desconto_Cliente_Mes!$A$2:$A$433,F$62,Desconto_Cliente_Mes!$B$2:$B$433,$A62,Desconto_Cliente_Mes!$C$2:$C$433,"Fibra"),SUMIFS(Desconto_Cliente_Mes!$R$2:$R$433,Desconto_Cliente_Mes!$A$2:$A$433,F$62,Desconto_Cliente_Mes!$B$2:$B$433,$A62,Desconto_Cliente_Mes!$C$2:$C$433,"Fibra"))))*(SUMIFS(Desconto_Cliente_Mes!$T$2:$T$433,Desconto_Cliente_Mes!$A$2:$A$433,F$62,Desconto_Cliente_Mes!$B$2:$B$433,$A62,Desconto_Cliente_Mes!$C$2:$C$433,"Fibra"))</f>
        <v>0</v>
      </c>
      <c r="G70" s="16" t="n">
        <f aca="false">$G$64*($G$67/100)*((IF(SUMIFS(Desconto_Cliente_Mes!$S$2:$S$433,Desconto_Cliente_Mes!$A$2:$A$433,G$62,Desconto_Cliente_Mes!$B$2:$B$433,$A62,Desconto_Cliente_Mes!$C$2:$C$433,"Fibra")="",(IF(SUMIFS(Desconto_Cliente_Mes!$R$2:$R$433,Desconto_Cliente_Mes!$A$2:$A$433,G$62,Desconto_Cliente_Mes!$B$2:$B$433,$A62,Desconto_Cliente_Mes!$C$2:$C$433,"Fibra")="",SUMIFS(Desconto_Cliente_Mes!$Q$2:$Q$433,Desconto_Cliente_Mes!$A$2:$A$433,G$62,Desconto_Cliente_Mes!$B$2:$B$433,$A62,Desconto_Cliente_Mes!$C$2:$C$433,"Fibra"),SUMIFS(Desconto_Cliente_Mes!$R$2:$R$433,Desconto_Cliente_Mes!$A$2:$A$433,G$62,Desconto_Cliente_Mes!$B$2:$B$433,$A62,Desconto_Cliente_Mes!$C$2:$C$433,"Fibra"))),SUMIFS(Desconto_Cliente_Mes!$S$2:$S$433,Desconto_Cliente_Mes!$A$2:$A$433,G$62,Desconto_Cliente_Mes!$B$2:$B$433,$A62,Desconto_Cliente_Mes!$C$2:$C$433,"Fibra")))-(IF(SUMIFS(Desconto_Cliente_Mes!$R$2:$R$433,Desconto_Cliente_Mes!$A$2:$A$433,G$62,Desconto_Cliente_Mes!$B$2:$B$433,$A62,Desconto_Cliente_Mes!$C$2:$C$433,"Fibra")="",SUMIFS(Desconto_Cliente_Mes!$Q$2:$Q$433,Desconto_Cliente_Mes!$A$2:$A$433,G$62,Desconto_Cliente_Mes!$B$2:$B$433,$A62,Desconto_Cliente_Mes!$C$2:$C$433,"Fibra"),SUMIFS(Desconto_Cliente_Mes!$R$2:$R$433,Desconto_Cliente_Mes!$A$2:$A$433,G$62,Desconto_Cliente_Mes!$B$2:$B$433,$A62,Desconto_Cliente_Mes!$C$2:$C$433,"Fibra"))))*(SUMIFS(Desconto_Cliente_Mes!$T$2:$T$433,Desconto_Cliente_Mes!$A$2:$A$433,G$62,Desconto_Cliente_Mes!$B$2:$B$433,$A62,Desconto_Cliente_Mes!$C$2:$C$433,"Fibra"))</f>
        <v>0</v>
      </c>
      <c r="H70" s="16" t="n">
        <f aca="false">$H$64*($H$67/100)*((IF(SUMIFS(Desconto_Cliente_Mes!$S$2:$S$433,Desconto_Cliente_Mes!$A$2:$A$433,H$62,Desconto_Cliente_Mes!$B$2:$B$433,$A62,Desconto_Cliente_Mes!$C$2:$C$433,"Fibra")="",(IF(SUMIFS(Desconto_Cliente_Mes!$R$2:$R$433,Desconto_Cliente_Mes!$A$2:$A$433,H$62,Desconto_Cliente_Mes!$B$2:$B$433,$A62,Desconto_Cliente_Mes!$C$2:$C$433,"Fibra")="",SUMIFS(Desconto_Cliente_Mes!$Q$2:$Q$433,Desconto_Cliente_Mes!$A$2:$A$433,H$62,Desconto_Cliente_Mes!$B$2:$B$433,$A62,Desconto_Cliente_Mes!$C$2:$C$433,"Fibra"),SUMIFS(Desconto_Cliente_Mes!$R$2:$R$433,Desconto_Cliente_Mes!$A$2:$A$433,H$62,Desconto_Cliente_Mes!$B$2:$B$433,$A62,Desconto_Cliente_Mes!$C$2:$C$433,"Fibra"))),SUMIFS(Desconto_Cliente_Mes!$S$2:$S$433,Desconto_Cliente_Mes!$A$2:$A$433,H$62,Desconto_Cliente_Mes!$B$2:$B$433,$A62,Desconto_Cliente_Mes!$C$2:$C$433,"Fibra")))-(IF(SUMIFS(Desconto_Cliente_Mes!$R$2:$R$433,Desconto_Cliente_Mes!$A$2:$A$433,H$62,Desconto_Cliente_Mes!$B$2:$B$433,$A62,Desconto_Cliente_Mes!$C$2:$C$433,"Fibra")="",SUMIFS(Desconto_Cliente_Mes!$Q$2:$Q$433,Desconto_Cliente_Mes!$A$2:$A$433,H$62,Desconto_Cliente_Mes!$B$2:$B$433,$A62,Desconto_Cliente_Mes!$C$2:$C$433,"Fibra"),SUMIFS(Desconto_Cliente_Mes!$R$2:$R$433,Desconto_Cliente_Mes!$A$2:$A$433,H$62,Desconto_Cliente_Mes!$B$2:$B$433,$A62,Desconto_Cliente_Mes!$C$2:$C$433,"Fibra"))))*(SUMIFS(Desconto_Cliente_Mes!$T$2:$T$433,Desconto_Cliente_Mes!$A$2:$A$433,H$62,Desconto_Cliente_Mes!$B$2:$B$433,$A62,Desconto_Cliente_Mes!$C$2:$C$433,"Fibra"))</f>
        <v>0</v>
      </c>
      <c r="I70" s="16" t="n">
        <f aca="false">$I$64*($I$67/100)*((IF(SUMIFS(Desconto_Cliente_Mes!$S$2:$S$433,Desconto_Cliente_Mes!$A$2:$A$433,I$62,Desconto_Cliente_Mes!$B$2:$B$433,$A62,Desconto_Cliente_Mes!$C$2:$C$433,"Fibra")="",(IF(SUMIFS(Desconto_Cliente_Mes!$R$2:$R$433,Desconto_Cliente_Mes!$A$2:$A$433,I$62,Desconto_Cliente_Mes!$B$2:$B$433,$A62,Desconto_Cliente_Mes!$C$2:$C$433,"Fibra")="",SUMIFS(Desconto_Cliente_Mes!$Q$2:$Q$433,Desconto_Cliente_Mes!$A$2:$A$433,I$62,Desconto_Cliente_Mes!$B$2:$B$433,$A62,Desconto_Cliente_Mes!$C$2:$C$433,"Fibra"),SUMIFS(Desconto_Cliente_Mes!$R$2:$R$433,Desconto_Cliente_Mes!$A$2:$A$433,I$62,Desconto_Cliente_Mes!$B$2:$B$433,$A62,Desconto_Cliente_Mes!$C$2:$C$433,"Fibra"))),SUMIFS(Desconto_Cliente_Mes!$S$2:$S$433,Desconto_Cliente_Mes!$A$2:$A$433,I$62,Desconto_Cliente_Mes!$B$2:$B$433,$A62,Desconto_Cliente_Mes!$C$2:$C$433,"Fibra")))-(IF(SUMIFS(Desconto_Cliente_Mes!$R$2:$R$433,Desconto_Cliente_Mes!$A$2:$A$433,I$62,Desconto_Cliente_Mes!$B$2:$B$433,$A62,Desconto_Cliente_Mes!$C$2:$C$433,"Fibra")="",SUMIFS(Desconto_Cliente_Mes!$Q$2:$Q$433,Desconto_Cliente_Mes!$A$2:$A$433,I$62,Desconto_Cliente_Mes!$B$2:$B$433,$A62,Desconto_Cliente_Mes!$C$2:$C$433,"Fibra"),SUMIFS(Desconto_Cliente_Mes!$R$2:$R$433,Desconto_Cliente_Mes!$A$2:$A$433,I$62,Desconto_Cliente_Mes!$B$2:$B$433,$A62,Desconto_Cliente_Mes!$C$2:$C$433,"Fibra"))))*(SUMIFS(Desconto_Cliente_Mes!$T$2:$T$433,Desconto_Cliente_Mes!$A$2:$A$433,I$62,Desconto_Cliente_Mes!$B$2:$B$433,$A62,Desconto_Cliente_Mes!$C$2:$C$433,"Fibra"))</f>
        <v>0</v>
      </c>
      <c r="J70" s="16" t="n">
        <f aca="false">$J$64*($J$67/100)*((IF(SUMIFS(Desconto_Cliente_Mes!$S$2:$S$433,Desconto_Cliente_Mes!$A$2:$A$433,J$62,Desconto_Cliente_Mes!$B$2:$B$433,$A62,Desconto_Cliente_Mes!$C$2:$C$433,"Fibra")="",(IF(SUMIFS(Desconto_Cliente_Mes!$R$2:$R$433,Desconto_Cliente_Mes!$A$2:$A$433,J$62,Desconto_Cliente_Mes!$B$2:$B$433,$A62,Desconto_Cliente_Mes!$C$2:$C$433,"Fibra")="",SUMIFS(Desconto_Cliente_Mes!$Q$2:$Q$433,Desconto_Cliente_Mes!$A$2:$A$433,J$62,Desconto_Cliente_Mes!$B$2:$B$433,$A62,Desconto_Cliente_Mes!$C$2:$C$433,"Fibra"),SUMIFS(Desconto_Cliente_Mes!$R$2:$R$433,Desconto_Cliente_Mes!$A$2:$A$433,J$62,Desconto_Cliente_Mes!$B$2:$B$433,$A62,Desconto_Cliente_Mes!$C$2:$C$433,"Fibra"))),SUMIFS(Desconto_Cliente_Mes!$S$2:$S$433,Desconto_Cliente_Mes!$A$2:$A$433,J$62,Desconto_Cliente_Mes!$B$2:$B$433,$A62,Desconto_Cliente_Mes!$C$2:$C$433,"Fibra")))-(IF(SUMIFS(Desconto_Cliente_Mes!$R$2:$R$433,Desconto_Cliente_Mes!$A$2:$A$433,J$62,Desconto_Cliente_Mes!$B$2:$B$433,$A62,Desconto_Cliente_Mes!$C$2:$C$433,"Fibra")="",SUMIFS(Desconto_Cliente_Mes!$Q$2:$Q$433,Desconto_Cliente_Mes!$A$2:$A$433,J$62,Desconto_Cliente_Mes!$B$2:$B$433,$A62,Desconto_Cliente_Mes!$C$2:$C$433,"Fibra"),SUMIFS(Desconto_Cliente_Mes!$R$2:$R$433,Desconto_Cliente_Mes!$A$2:$A$433,J$62,Desconto_Cliente_Mes!$B$2:$B$433,$A62,Desconto_Cliente_Mes!$C$2:$C$433,"Fibra"))))*(SUMIFS(Desconto_Cliente_Mes!$T$2:$T$433,Desconto_Cliente_Mes!$A$2:$A$433,J$62,Desconto_Cliente_Mes!$B$2:$B$433,$A62,Desconto_Cliente_Mes!$C$2:$C$433,"Fibra"))</f>
        <v>0</v>
      </c>
      <c r="K70" s="16" t="n">
        <f aca="false">$K$64*($K$67/100)*((IF(SUMIFS(Desconto_Cliente_Mes!$S$2:$S$433,Desconto_Cliente_Mes!$A$2:$A$433,K$62,Desconto_Cliente_Mes!$B$2:$B$433,$A62,Desconto_Cliente_Mes!$C$2:$C$433,"Fibra")="",(IF(SUMIFS(Desconto_Cliente_Mes!$R$2:$R$433,Desconto_Cliente_Mes!$A$2:$A$433,K$62,Desconto_Cliente_Mes!$B$2:$B$433,$A62,Desconto_Cliente_Mes!$C$2:$C$433,"Fibra")="",SUMIFS(Desconto_Cliente_Mes!$Q$2:$Q$433,Desconto_Cliente_Mes!$A$2:$A$433,K$62,Desconto_Cliente_Mes!$B$2:$B$433,$A62,Desconto_Cliente_Mes!$C$2:$C$433,"Fibra"),SUMIFS(Desconto_Cliente_Mes!$R$2:$R$433,Desconto_Cliente_Mes!$A$2:$A$433,K$62,Desconto_Cliente_Mes!$B$2:$B$433,$A62,Desconto_Cliente_Mes!$C$2:$C$433,"Fibra"))),SUMIFS(Desconto_Cliente_Mes!$S$2:$S$433,Desconto_Cliente_Mes!$A$2:$A$433,K$62,Desconto_Cliente_Mes!$B$2:$B$433,$A62,Desconto_Cliente_Mes!$C$2:$C$433,"Fibra")))-(IF(SUMIFS(Desconto_Cliente_Mes!$R$2:$R$433,Desconto_Cliente_Mes!$A$2:$A$433,K$62,Desconto_Cliente_Mes!$B$2:$B$433,$A62,Desconto_Cliente_Mes!$C$2:$C$433,"Fibra")="",SUMIFS(Desconto_Cliente_Mes!$Q$2:$Q$433,Desconto_Cliente_Mes!$A$2:$A$433,K$62,Desconto_Cliente_Mes!$B$2:$B$433,$A62,Desconto_Cliente_Mes!$C$2:$C$433,"Fibra"),SUMIFS(Desconto_Cliente_Mes!$R$2:$R$433,Desconto_Cliente_Mes!$A$2:$A$433,K$62,Desconto_Cliente_Mes!$B$2:$B$433,$A62,Desconto_Cliente_Mes!$C$2:$C$433,"Fibra"))))*(SUMIFS(Desconto_Cliente_Mes!$T$2:$T$433,Desconto_Cliente_Mes!$A$2:$A$433,K$62,Desconto_Cliente_Mes!$B$2:$B$433,$A62,Desconto_Cliente_Mes!$C$2:$C$433,"Fibra"))</f>
        <v>0</v>
      </c>
      <c r="L70" s="16" t="n">
        <f aca="false">$L$64*($L$67/100)*((IF(SUMIFS(Desconto_Cliente_Mes!$S$2:$S$433,Desconto_Cliente_Mes!$A$2:$A$433,L$62,Desconto_Cliente_Mes!$B$2:$B$433,$A62,Desconto_Cliente_Mes!$C$2:$C$433,"Fibra")="",(IF(SUMIFS(Desconto_Cliente_Mes!$R$2:$R$433,Desconto_Cliente_Mes!$A$2:$A$433,L$62,Desconto_Cliente_Mes!$B$2:$B$433,$A62,Desconto_Cliente_Mes!$C$2:$C$433,"Fibra")="",SUMIFS(Desconto_Cliente_Mes!$Q$2:$Q$433,Desconto_Cliente_Mes!$A$2:$A$433,L$62,Desconto_Cliente_Mes!$B$2:$B$433,$A62,Desconto_Cliente_Mes!$C$2:$C$433,"Fibra"),SUMIFS(Desconto_Cliente_Mes!$R$2:$R$433,Desconto_Cliente_Mes!$A$2:$A$433,L$62,Desconto_Cliente_Mes!$B$2:$B$433,$A62,Desconto_Cliente_Mes!$C$2:$C$433,"Fibra"))),SUMIFS(Desconto_Cliente_Mes!$S$2:$S$433,Desconto_Cliente_Mes!$A$2:$A$433,L$62,Desconto_Cliente_Mes!$B$2:$B$433,$A62,Desconto_Cliente_Mes!$C$2:$C$433,"Fibra")))-(IF(SUMIFS(Desconto_Cliente_Mes!$R$2:$R$433,Desconto_Cliente_Mes!$A$2:$A$433,L$62,Desconto_Cliente_Mes!$B$2:$B$433,$A62,Desconto_Cliente_Mes!$C$2:$C$433,"Fibra")="",SUMIFS(Desconto_Cliente_Mes!$Q$2:$Q$433,Desconto_Cliente_Mes!$A$2:$A$433,L$62,Desconto_Cliente_Mes!$B$2:$B$433,$A62,Desconto_Cliente_Mes!$C$2:$C$433,"Fibra"),SUMIFS(Desconto_Cliente_Mes!$R$2:$R$433,Desconto_Cliente_Mes!$A$2:$A$433,L$62,Desconto_Cliente_Mes!$B$2:$B$433,$A62,Desconto_Cliente_Mes!$C$2:$C$433,"Fibra"))))*(SUMIFS(Desconto_Cliente_Mes!$T$2:$T$433,Desconto_Cliente_Mes!$A$2:$A$433,L$62,Desconto_Cliente_Mes!$B$2:$B$433,$A62,Desconto_Cliente_Mes!$C$2:$C$433,"Fibra"))</f>
        <v>0</v>
      </c>
      <c r="M70" s="16" t="n">
        <f aca="false">$M$64*($M$67/100)*((IF(SUMIFS(Desconto_Cliente_Mes!$S$2:$S$433,Desconto_Cliente_Mes!$A$2:$A$433,M$62,Desconto_Cliente_Mes!$B$2:$B$433,$A62,Desconto_Cliente_Mes!$C$2:$C$433,"Fibra")="",(IF(SUMIFS(Desconto_Cliente_Mes!$R$2:$R$433,Desconto_Cliente_Mes!$A$2:$A$433,M$62,Desconto_Cliente_Mes!$B$2:$B$433,$A62,Desconto_Cliente_Mes!$C$2:$C$433,"Fibra")="",SUMIFS(Desconto_Cliente_Mes!$Q$2:$Q$433,Desconto_Cliente_Mes!$A$2:$A$433,M$62,Desconto_Cliente_Mes!$B$2:$B$433,$A62,Desconto_Cliente_Mes!$C$2:$C$433,"Fibra"),SUMIFS(Desconto_Cliente_Mes!$R$2:$R$433,Desconto_Cliente_Mes!$A$2:$A$433,M$62,Desconto_Cliente_Mes!$B$2:$B$433,$A62,Desconto_Cliente_Mes!$C$2:$C$433,"Fibra"))),SUMIFS(Desconto_Cliente_Mes!$S$2:$S$433,Desconto_Cliente_Mes!$A$2:$A$433,M$62,Desconto_Cliente_Mes!$B$2:$B$433,$A62,Desconto_Cliente_Mes!$C$2:$C$433,"Fibra")))-(IF(SUMIFS(Desconto_Cliente_Mes!$R$2:$R$433,Desconto_Cliente_Mes!$A$2:$A$433,M$62,Desconto_Cliente_Mes!$B$2:$B$433,$A62,Desconto_Cliente_Mes!$C$2:$C$433,"Fibra")="",SUMIFS(Desconto_Cliente_Mes!$Q$2:$Q$433,Desconto_Cliente_Mes!$A$2:$A$433,M$62,Desconto_Cliente_Mes!$B$2:$B$433,$A62,Desconto_Cliente_Mes!$C$2:$C$433,"Fibra"),SUMIFS(Desconto_Cliente_Mes!$R$2:$R$433,Desconto_Cliente_Mes!$A$2:$A$433,M$62,Desconto_Cliente_Mes!$B$2:$B$433,$A62,Desconto_Cliente_Mes!$C$2:$C$433,"Fibra"))))*(SUMIFS(Desconto_Cliente_Mes!$T$2:$T$433,Desconto_Cliente_Mes!$A$2:$A$433,M$62,Desconto_Cliente_Mes!$B$2:$B$433,$A62,Desconto_Cliente_Mes!$C$2:$C$433,"Fibra"))</f>
        <v>0</v>
      </c>
      <c r="N70" s="17" t="n">
        <f aca="false">SUM(B70:M70)</f>
        <v>0</v>
      </c>
    </row>
    <row r="71" customFormat="false" ht="15" hidden="false" customHeight="false" outlineLevel="0" collapsed="false">
      <c r="A71" s="13" t="s">
        <v>82</v>
      </c>
      <c r="B71" s="16" t="n">
        <f aca="false">SUMIFS(Acerto_Detalhado!$J$2:$J$433,Acerto_Detalhado!$A$2:$A$433,B$62,Acerto_Detalhado!$B$2:$B$433,$A62,Acerto_Detalhado!$C$2:$C$433,"Fibra")</f>
        <v>10226.3230641329</v>
      </c>
      <c r="C71" s="16" t="n">
        <f aca="false">SUMIFS(Acerto_Detalhado!$J$2:$J$433,Acerto_Detalhado!$A$2:$A$433,C$62,Acerto_Detalhado!$B$2:$B$433,$A62,Acerto_Detalhado!$C$2:$C$433,"Fibra")</f>
        <v>11132.9894455043</v>
      </c>
      <c r="D71" s="16" t="n">
        <f aca="false">SUMIFS(Acerto_Detalhado!$J$2:$J$433,Acerto_Detalhado!$A$2:$A$433,D$62,Acerto_Detalhado!$B$2:$B$433,$A62,Acerto_Detalhado!$C$2:$C$433,"Fibra")</f>
        <v>10261.7421152571</v>
      </c>
      <c r="E71" s="16" t="n">
        <f aca="false">SUMIFS(Acerto_Detalhado!$J$2:$J$433,Acerto_Detalhado!$A$2:$A$433,E$62,Acerto_Detalhado!$B$2:$B$433,$A62,Acerto_Detalhado!$C$2:$C$433,"Fibra")</f>
        <v>0</v>
      </c>
      <c r="F71" s="16" t="n">
        <f aca="false">SUMIFS(Acerto_Detalhado!$J$2:$J$433,Acerto_Detalhado!$A$2:$A$433,F$62,Acerto_Detalhado!$B$2:$B$433,$A62,Acerto_Detalhado!$C$2:$C$433,"Fibra")</f>
        <v>0</v>
      </c>
      <c r="G71" s="16" t="n">
        <f aca="false">SUMIFS(Acerto_Detalhado!$J$2:$J$433,Acerto_Detalhado!$A$2:$A$433,G$62,Acerto_Detalhado!$B$2:$B$433,$A62,Acerto_Detalhado!$C$2:$C$433,"Fibra")</f>
        <v>0</v>
      </c>
      <c r="H71" s="16" t="n">
        <f aca="false">SUMIFS(Acerto_Detalhado!$J$2:$J$433,Acerto_Detalhado!$A$2:$A$433,H$62,Acerto_Detalhado!$B$2:$B$433,$A62,Acerto_Detalhado!$C$2:$C$433,"Fibra")</f>
        <v>0</v>
      </c>
      <c r="I71" s="16" t="n">
        <f aca="false">SUMIFS(Acerto_Detalhado!$J$2:$J$433,Acerto_Detalhado!$A$2:$A$433,I$62,Acerto_Detalhado!$B$2:$B$433,$A62,Acerto_Detalhado!$C$2:$C$433,"Fibra")</f>
        <v>0</v>
      </c>
      <c r="J71" s="16" t="n">
        <f aca="false">SUMIFS(Acerto_Detalhado!$J$2:$J$433,Acerto_Detalhado!$A$2:$A$433,J$62,Acerto_Detalhado!$B$2:$B$433,$A62,Acerto_Detalhado!$C$2:$C$433,"Fibra")</f>
        <v>0</v>
      </c>
      <c r="K71" s="16" t="n">
        <f aca="false">SUMIFS(Acerto_Detalhado!$J$2:$J$433,Acerto_Detalhado!$A$2:$A$433,K$62,Acerto_Detalhado!$B$2:$B$433,$A62,Acerto_Detalhado!$C$2:$C$433,"Fibra")</f>
        <v>0</v>
      </c>
      <c r="L71" s="16" t="n">
        <f aca="false">SUMIFS(Acerto_Detalhado!$J$2:$J$433,Acerto_Detalhado!$A$2:$A$433,L$62,Acerto_Detalhado!$B$2:$B$433,$A62,Acerto_Detalhado!$C$2:$C$433,"Fibra")</f>
        <v>0</v>
      </c>
      <c r="M71" s="16" t="n">
        <f aca="false">SUMIFS(Acerto_Detalhado!$J$2:$J$433,Acerto_Detalhado!$A$2:$A$433,M$62,Acerto_Detalhado!$B$2:$B$433,$A62,Acerto_Detalhado!$C$2:$C$433,"Fibra")</f>
        <v>0</v>
      </c>
      <c r="N71" s="17" t="n">
        <f aca="false">SUM(B71:M71)</f>
        <v>31621.0546248943</v>
      </c>
    </row>
    <row r="73" customFormat="false" ht="15" hidden="false" customHeight="false" outlineLevel="0" collapsed="false">
      <c r="A73" s="5" t="s">
        <v>64</v>
      </c>
      <c r="B73" s="6" t="s">
        <v>39</v>
      </c>
      <c r="C73" s="6" t="s">
        <v>40</v>
      </c>
      <c r="D73" s="6" t="s">
        <v>41</v>
      </c>
      <c r="E73" s="6" t="s">
        <v>42</v>
      </c>
      <c r="F73" s="6" t="s">
        <v>43</v>
      </c>
      <c r="G73" s="6" t="s">
        <v>44</v>
      </c>
      <c r="H73" s="6" t="s">
        <v>45</v>
      </c>
      <c r="I73" s="6" t="s">
        <v>46</v>
      </c>
      <c r="J73" s="6" t="s">
        <v>47</v>
      </c>
      <c r="K73" s="6" t="s">
        <v>48</v>
      </c>
      <c r="L73" s="6" t="s">
        <v>49</v>
      </c>
      <c r="M73" s="6" t="s">
        <v>50</v>
      </c>
      <c r="N73" s="6" t="s">
        <v>51</v>
      </c>
    </row>
    <row r="74" customFormat="false" ht="15" hidden="false" customHeight="false" outlineLevel="0" collapsed="false">
      <c r="A74" s="13" t="s">
        <v>74</v>
      </c>
      <c r="B74" s="10" t="n">
        <f aca="false">IF((SUMIFS(Desconto_Cliente_Mes!$D$2:$D$433,Desconto_Cliente_Mes!$A$2:$A$433,B$73,Desconto_Cliente_Mes!$B$2:$B$433,$A73,Desconto_Cliente_Mes!$C$2:$C$433,"Fibra"))=0,"",IFERROR(SUMIFS(Desconto_Cliente_Mes!$E$2:$E$433,Desconto_Cliente_Mes!$A$2:$A$433,B$73,Desconto_Cliente_Mes!$B$2:$B$433,$A73,Desconto_Cliente_Mes!$C$2:$C$433,"Fibra"),""))</f>
        <v>3.63484523515047</v>
      </c>
      <c r="C74" s="10" t="n">
        <f aca="false">IF((SUMIFS(Desconto_Cliente_Mes!$D$2:$D$433,Desconto_Cliente_Mes!$A$2:$A$433,C$73,Desconto_Cliente_Mes!$B$2:$B$433,$A73,Desconto_Cliente_Mes!$C$2:$C$433,"Fibra"))=0,"",IFERROR(SUMIFS(Desconto_Cliente_Mes!$E$2:$E$433,Desconto_Cliente_Mes!$A$2:$A$433,C$73,Desconto_Cliente_Mes!$B$2:$B$433,$A73,Desconto_Cliente_Mes!$C$2:$C$433,"Fibra"),""))</f>
        <v>3.43935206774004</v>
      </c>
      <c r="D74" s="10" t="n">
        <f aca="false">IF((SUMIFS(Desconto_Cliente_Mes!$D$2:$D$433,Desconto_Cliente_Mes!$A$2:$A$433,D$73,Desconto_Cliente_Mes!$B$2:$B$433,$A73,Desconto_Cliente_Mes!$C$2:$C$433,"Fibra"))=0,"",IFERROR(SUMIFS(Desconto_Cliente_Mes!$E$2:$E$433,Desconto_Cliente_Mes!$A$2:$A$433,D$73,Desconto_Cliente_Mes!$B$2:$B$433,$A73,Desconto_Cliente_Mes!$C$2:$C$433,"Fibra"),""))</f>
        <v>3.406907422378</v>
      </c>
      <c r="E74" s="10" t="n">
        <f aca="false">IF((SUMIFS(Desconto_Cliente_Mes!$D$2:$D$433,Desconto_Cliente_Mes!$A$2:$A$433,E$73,Desconto_Cliente_Mes!$B$2:$B$433,$A73,Desconto_Cliente_Mes!$C$2:$C$433,"Fibra"))=0,"",IFERROR(SUMIFS(Desconto_Cliente_Mes!$E$2:$E$433,Desconto_Cliente_Mes!$A$2:$A$433,E$73,Desconto_Cliente_Mes!$B$2:$B$433,$A73,Desconto_Cliente_Mes!$C$2:$C$433,"Fibra"),""))</f>
        <v>3.89869810993341</v>
      </c>
      <c r="F74" s="10" t="n">
        <f aca="false">IF((SUMIFS(Desconto_Cliente_Mes!$D$2:$D$433,Desconto_Cliente_Mes!$A$2:$A$433,F$73,Desconto_Cliente_Mes!$B$2:$B$433,$A73,Desconto_Cliente_Mes!$C$2:$C$433,"Fibra"))=0,"",IFERROR(SUMIFS(Desconto_Cliente_Mes!$E$2:$E$433,Desconto_Cliente_Mes!$A$2:$A$433,F$73,Desconto_Cliente_Mes!$B$2:$B$433,$A73,Desconto_Cliente_Mes!$C$2:$C$433,"Fibra"),""))</f>
        <v>3.49811115542102</v>
      </c>
      <c r="G74" s="10" t="n">
        <f aca="false">IF((SUMIFS(Desconto_Cliente_Mes!$D$2:$D$433,Desconto_Cliente_Mes!$A$2:$A$433,G$73,Desconto_Cliente_Mes!$B$2:$B$433,$A73,Desconto_Cliente_Mes!$C$2:$C$433,"Fibra"))=0,"",IFERROR(SUMIFS(Desconto_Cliente_Mes!$E$2:$E$433,Desconto_Cliente_Mes!$A$2:$A$433,G$73,Desconto_Cliente_Mes!$B$2:$B$433,$A73,Desconto_Cliente_Mes!$C$2:$C$433,"Fibra"),""))</f>
        <v>3.5944892344686</v>
      </c>
      <c r="H74" s="10" t="n">
        <f aca="false">IF((SUMIFS(Desconto_Cliente_Mes!$D$2:$D$433,Desconto_Cliente_Mes!$A$2:$A$433,H$73,Desconto_Cliente_Mes!$B$2:$B$433,$A73,Desconto_Cliente_Mes!$C$2:$C$433,"Fibra"))=0,"",IFERROR(SUMIFS(Desconto_Cliente_Mes!$E$2:$E$433,Desconto_Cliente_Mes!$A$2:$A$433,H$73,Desconto_Cliente_Mes!$B$2:$B$433,$A73,Desconto_Cliente_Mes!$C$2:$C$433,"Fibra"),""))</f>
        <v>3.52883952395304</v>
      </c>
      <c r="I74" s="10" t="str">
        <f aca="false">IF((SUMIFS(Desconto_Cliente_Mes!$D$2:$D$433,Desconto_Cliente_Mes!$A$2:$A$433,I$73,Desconto_Cliente_Mes!$B$2:$B$433,$A73,Desconto_Cliente_Mes!$C$2:$C$433,"Fibra"))=0,"",IFERROR(SUMIFS(Desconto_Cliente_Mes!$E$2:$E$433,Desconto_Cliente_Mes!$A$2:$A$433,I$73,Desconto_Cliente_Mes!$B$2:$B$433,$A73,Desconto_Cliente_Mes!$C$2:$C$433,"Fibra"),""))</f>
        <v/>
      </c>
      <c r="J74" s="10" t="str">
        <f aca="false">IF((SUMIFS(Desconto_Cliente_Mes!$D$2:$D$433,Desconto_Cliente_Mes!$A$2:$A$433,J$73,Desconto_Cliente_Mes!$B$2:$B$433,$A73,Desconto_Cliente_Mes!$C$2:$C$433,"Fibra"))=0,"",IFERROR(SUMIFS(Desconto_Cliente_Mes!$E$2:$E$433,Desconto_Cliente_Mes!$A$2:$A$433,J$73,Desconto_Cliente_Mes!$B$2:$B$433,$A73,Desconto_Cliente_Mes!$C$2:$C$433,"Fibra"),""))</f>
        <v/>
      </c>
      <c r="K74" s="10" t="n">
        <f aca="false">IF((SUMIFS(Desconto_Cliente_Mes!$D$2:$D$433,Desconto_Cliente_Mes!$A$2:$A$433,K$73,Desconto_Cliente_Mes!$B$2:$B$433,$A73,Desconto_Cliente_Mes!$C$2:$C$433,"Fibra"))=0,"",IFERROR(SUMIFS(Desconto_Cliente_Mes!$E$2:$E$433,Desconto_Cliente_Mes!$A$2:$A$433,K$73,Desconto_Cliente_Mes!$B$2:$B$433,$A73,Desconto_Cliente_Mes!$C$2:$C$433,"Fibra"),""))</f>
        <v>3.26234643914382</v>
      </c>
      <c r="L74" s="10" t="str">
        <f aca="false">IF((SUMIFS(Desconto_Cliente_Mes!$D$2:$D$433,Desconto_Cliente_Mes!$A$2:$A$433,L$73,Desconto_Cliente_Mes!$B$2:$B$433,$A73,Desconto_Cliente_Mes!$C$2:$C$433,"Fibra"))=0,"",IFERROR(SUMIFS(Desconto_Cliente_Mes!$E$2:$E$433,Desconto_Cliente_Mes!$A$2:$A$433,L$73,Desconto_Cliente_Mes!$B$2:$B$433,$A73,Desconto_Cliente_Mes!$C$2:$C$433,"Fibra"),""))</f>
        <v/>
      </c>
      <c r="M74" s="10" t="str">
        <f aca="false">IF((SUMIFS(Desconto_Cliente_Mes!$D$2:$D$433,Desconto_Cliente_Mes!$A$2:$A$433,M$73,Desconto_Cliente_Mes!$B$2:$B$433,$A73,Desconto_Cliente_Mes!$C$2:$C$433,"Fibra"))=0,"",IFERROR(SUMIFS(Desconto_Cliente_Mes!$E$2:$E$433,Desconto_Cliente_Mes!$A$2:$A$433,M$73,Desconto_Cliente_Mes!$B$2:$B$433,$A73,Desconto_Cliente_Mes!$C$2:$C$433,"Fibra"),""))</f>
        <v/>
      </c>
      <c r="N74" s="11" t="n">
        <f aca="false">IFERROR(Media_Pool_Mes!E8,"")</f>
        <v>3.48415625565953</v>
      </c>
    </row>
    <row r="75" customFormat="false" ht="15" hidden="false" customHeight="false" outlineLevel="0" collapsed="false">
      <c r="A75" s="13" t="s">
        <v>75</v>
      </c>
      <c r="B75" s="8" t="n">
        <f aca="false">IFERROR(SUMIFS(Desconto_Cliente_Mes!$D$2:$D$433,Desconto_Cliente_Mes!$A$2:$A$433,B$73,Desconto_Cliente_Mes!$B$2:$B$433,$A73,Desconto_Cliente_Mes!$C$2:$C$433,"Fibra"),0)</f>
        <v>46167.46</v>
      </c>
      <c r="C75" s="8" t="n">
        <f aca="false">IFERROR(SUMIFS(Desconto_Cliente_Mes!$D$2:$D$433,Desconto_Cliente_Mes!$A$2:$A$433,C$73,Desconto_Cliente_Mes!$B$2:$B$433,$A73,Desconto_Cliente_Mes!$C$2:$C$433,"Fibra"),0)</f>
        <v>44244.44</v>
      </c>
      <c r="D75" s="8" t="n">
        <f aca="false">IFERROR(SUMIFS(Desconto_Cliente_Mes!$D$2:$D$433,Desconto_Cliente_Mes!$A$2:$A$433,D$73,Desconto_Cliente_Mes!$B$2:$B$433,$A73,Desconto_Cliente_Mes!$C$2:$C$433,"Fibra"),0)</f>
        <v>78263.287</v>
      </c>
      <c r="E75" s="8" t="n">
        <f aca="false">IFERROR(SUMIFS(Desconto_Cliente_Mes!$D$2:$D$433,Desconto_Cliente_Mes!$A$2:$A$433,E$73,Desconto_Cliente_Mes!$B$2:$B$433,$A73,Desconto_Cliente_Mes!$C$2:$C$433,"Fibra"),0)</f>
        <v>5705.09</v>
      </c>
      <c r="F75" s="8" t="n">
        <f aca="false">IFERROR(SUMIFS(Desconto_Cliente_Mes!$D$2:$D$433,Desconto_Cliente_Mes!$A$2:$A$433,F$73,Desconto_Cliente_Mes!$B$2:$B$433,$A73,Desconto_Cliente_Mes!$C$2:$C$433,"Fibra"),0)</f>
        <v>72870.58</v>
      </c>
      <c r="G75" s="8" t="n">
        <f aca="false">IFERROR(SUMIFS(Desconto_Cliente_Mes!$D$2:$D$433,Desconto_Cliente_Mes!$A$2:$A$433,G$73,Desconto_Cliente_Mes!$B$2:$B$433,$A73,Desconto_Cliente_Mes!$C$2:$C$433,"Fibra"),0)</f>
        <v>49521.94</v>
      </c>
      <c r="H75" s="8" t="n">
        <f aca="false">IFERROR(SUMIFS(Desconto_Cliente_Mes!$D$2:$D$433,Desconto_Cliente_Mes!$A$2:$A$433,H$73,Desconto_Cliente_Mes!$B$2:$B$433,$A73,Desconto_Cliente_Mes!$C$2:$C$433,"Fibra"),0)</f>
        <v>99472.54</v>
      </c>
      <c r="I75" s="8" t="n">
        <f aca="false">IFERROR(SUMIFS(Desconto_Cliente_Mes!$D$2:$D$433,Desconto_Cliente_Mes!$A$2:$A$433,I$73,Desconto_Cliente_Mes!$B$2:$B$433,$A73,Desconto_Cliente_Mes!$C$2:$C$433,"Fibra"),0)</f>
        <v>0</v>
      </c>
      <c r="J75" s="8" t="n">
        <f aca="false">IFERROR(SUMIFS(Desconto_Cliente_Mes!$D$2:$D$433,Desconto_Cliente_Mes!$A$2:$A$433,J$73,Desconto_Cliente_Mes!$B$2:$B$433,$A73,Desconto_Cliente_Mes!$C$2:$C$433,"Fibra"),0)</f>
        <v>0</v>
      </c>
      <c r="K75" s="8" t="n">
        <f aca="false">IFERROR(SUMIFS(Desconto_Cliente_Mes!$D$2:$D$433,Desconto_Cliente_Mes!$A$2:$A$433,K$73,Desconto_Cliente_Mes!$B$2:$B$433,$A73,Desconto_Cliente_Mes!$C$2:$C$433,"Fibra"),0)</f>
        <v>55089.56</v>
      </c>
      <c r="L75" s="8" t="n">
        <f aca="false">IFERROR(SUMIFS(Desconto_Cliente_Mes!$D$2:$D$433,Desconto_Cliente_Mes!$A$2:$A$433,L$73,Desconto_Cliente_Mes!$B$2:$B$433,$A73,Desconto_Cliente_Mes!$C$2:$C$433,"Fibra"),0)</f>
        <v>0</v>
      </c>
      <c r="M75" s="8" t="n">
        <f aca="false">IFERROR(SUMIFS(Desconto_Cliente_Mes!$D$2:$D$433,Desconto_Cliente_Mes!$A$2:$A$433,M$73,Desconto_Cliente_Mes!$B$2:$B$433,$A73,Desconto_Cliente_Mes!$C$2:$C$433,"Fibra"),0)</f>
        <v>0</v>
      </c>
      <c r="N75" s="9" t="n">
        <f aca="false">SUM(B75:M75)</f>
        <v>451334.897</v>
      </c>
    </row>
    <row r="76" customFormat="false" ht="15" hidden="false" customHeight="false" outlineLevel="0" collapsed="false">
      <c r="A76" s="13" t="s">
        <v>76</v>
      </c>
      <c r="B76" s="15" t="n">
        <f aca="false">MAX(0,(SUMIFS(Desconto_Cliente_Mes!$L$2:$L$433,Desconto_Cliente_Mes!$A$2:$A$433,B$73,Desconto_Cliente_Mes!$B$2:$B$433,$A73,Desconto_Cliente_Mes!$C$2:$C$433,"Fibra"))-(SUMIFS(Desconto_Cliente_Mes!$N$2:$N$433,Desconto_Cliente_Mes!$A$2:$A$433,B$73,Desconto_Cliente_Mes!$B$2:$B$433,$A73,Desconto_Cliente_Mes!$C$2:$C$433,"Fibra")))</f>
        <v>0.134845235150471</v>
      </c>
      <c r="C76" s="15" t="n">
        <f aca="false">MAX(0,(SUMIFS(Desconto_Cliente_Mes!$L$2:$L$433,Desconto_Cliente_Mes!$A$2:$A$433,C$73,Desconto_Cliente_Mes!$B$2:$B$433,$A73,Desconto_Cliente_Mes!$C$2:$C$433,"Fibra"))-(SUMIFS(Desconto_Cliente_Mes!$N$2:$N$433,Desconto_Cliente_Mes!$A$2:$A$433,C$73,Desconto_Cliente_Mes!$B$2:$B$433,$A73,Desconto_Cliente_Mes!$C$2:$C$433,"Fibra")))</f>
        <v>0</v>
      </c>
      <c r="D76" s="15" t="n">
        <f aca="false">MAX(0,(SUMIFS(Desconto_Cliente_Mes!$L$2:$L$433,Desconto_Cliente_Mes!$A$2:$A$433,D$73,Desconto_Cliente_Mes!$B$2:$B$433,$A73,Desconto_Cliente_Mes!$C$2:$C$433,"Fibra"))-(SUMIFS(Desconto_Cliente_Mes!$N$2:$N$433,Desconto_Cliente_Mes!$A$2:$A$433,D$73,Desconto_Cliente_Mes!$B$2:$B$433,$A73,Desconto_Cliente_Mes!$C$2:$C$433,"Fibra")))</f>
        <v>0</v>
      </c>
      <c r="E76" s="15" t="n">
        <f aca="false">MAX(0,(SUMIFS(Desconto_Cliente_Mes!$L$2:$L$433,Desconto_Cliente_Mes!$A$2:$A$433,E$73,Desconto_Cliente_Mes!$B$2:$B$433,$A73,Desconto_Cliente_Mes!$C$2:$C$433,"Fibra"))-(SUMIFS(Desconto_Cliente_Mes!$N$2:$N$433,Desconto_Cliente_Mes!$A$2:$A$433,E$73,Desconto_Cliente_Mes!$B$2:$B$433,$A73,Desconto_Cliente_Mes!$C$2:$C$433,"Fibra")))</f>
        <v>0.3</v>
      </c>
      <c r="F76" s="15" t="n">
        <f aca="false">MAX(0,(SUMIFS(Desconto_Cliente_Mes!$L$2:$L$433,Desconto_Cliente_Mes!$A$2:$A$433,F$73,Desconto_Cliente_Mes!$B$2:$B$433,$A73,Desconto_Cliente_Mes!$C$2:$C$433,"Fibra"))-(SUMIFS(Desconto_Cliente_Mes!$N$2:$N$433,Desconto_Cliente_Mes!$A$2:$A$433,F$73,Desconto_Cliente_Mes!$B$2:$B$433,$A73,Desconto_Cliente_Mes!$C$2:$C$433,"Fibra")))</f>
        <v>0</v>
      </c>
      <c r="G76" s="15" t="n">
        <f aca="false">MAX(0,(SUMIFS(Desconto_Cliente_Mes!$L$2:$L$433,Desconto_Cliente_Mes!$A$2:$A$433,G$73,Desconto_Cliente_Mes!$B$2:$B$433,$A73,Desconto_Cliente_Mes!$C$2:$C$433,"Fibra"))-(SUMIFS(Desconto_Cliente_Mes!$N$2:$N$433,Desconto_Cliente_Mes!$A$2:$A$433,G$73,Desconto_Cliente_Mes!$B$2:$B$433,$A73,Desconto_Cliente_Mes!$C$2:$C$433,"Fibra")))</f>
        <v>0.0944892344686008</v>
      </c>
      <c r="H76" s="15" t="n">
        <f aca="false">MAX(0,(SUMIFS(Desconto_Cliente_Mes!$L$2:$L$433,Desconto_Cliente_Mes!$A$2:$A$433,H$73,Desconto_Cliente_Mes!$B$2:$B$433,$A73,Desconto_Cliente_Mes!$C$2:$C$433,"Fibra"))-(SUMIFS(Desconto_Cliente_Mes!$N$2:$N$433,Desconto_Cliente_Mes!$A$2:$A$433,H$73,Desconto_Cliente_Mes!$B$2:$B$433,$A73,Desconto_Cliente_Mes!$C$2:$C$433,"Fibra")))</f>
        <v>0.0288395239530428</v>
      </c>
      <c r="I76" s="15" t="n">
        <f aca="false">MAX(0,(SUMIFS(Desconto_Cliente_Mes!$L$2:$L$433,Desconto_Cliente_Mes!$A$2:$A$433,I$73,Desconto_Cliente_Mes!$B$2:$B$433,$A73,Desconto_Cliente_Mes!$C$2:$C$433,"Fibra"))-(SUMIFS(Desconto_Cliente_Mes!$N$2:$N$433,Desconto_Cliente_Mes!$A$2:$A$433,I$73,Desconto_Cliente_Mes!$B$2:$B$433,$A73,Desconto_Cliente_Mes!$C$2:$C$433,"Fibra")))</f>
        <v>0</v>
      </c>
      <c r="J76" s="15" t="n">
        <f aca="false">MAX(0,(SUMIFS(Desconto_Cliente_Mes!$L$2:$L$433,Desconto_Cliente_Mes!$A$2:$A$433,J$73,Desconto_Cliente_Mes!$B$2:$B$433,$A73,Desconto_Cliente_Mes!$C$2:$C$433,"Fibra"))-(SUMIFS(Desconto_Cliente_Mes!$N$2:$N$433,Desconto_Cliente_Mes!$A$2:$A$433,J$73,Desconto_Cliente_Mes!$B$2:$B$433,$A73,Desconto_Cliente_Mes!$C$2:$C$433,"Fibra")))</f>
        <v>0</v>
      </c>
      <c r="K76" s="15" t="n">
        <f aca="false">MAX(0,(SUMIFS(Desconto_Cliente_Mes!$L$2:$L$433,Desconto_Cliente_Mes!$A$2:$A$433,K$73,Desconto_Cliente_Mes!$B$2:$B$433,$A73,Desconto_Cliente_Mes!$C$2:$C$433,"Fibra"))-(SUMIFS(Desconto_Cliente_Mes!$N$2:$N$433,Desconto_Cliente_Mes!$A$2:$A$433,K$73,Desconto_Cliente_Mes!$B$2:$B$433,$A73,Desconto_Cliente_Mes!$C$2:$C$433,"Fibra")))</f>
        <v>0</v>
      </c>
      <c r="L76" s="15" t="n">
        <f aca="false">MAX(0,(SUMIFS(Desconto_Cliente_Mes!$L$2:$L$433,Desconto_Cliente_Mes!$A$2:$A$433,L$73,Desconto_Cliente_Mes!$B$2:$B$433,$A73,Desconto_Cliente_Mes!$C$2:$C$433,"Fibra"))-(SUMIFS(Desconto_Cliente_Mes!$N$2:$N$433,Desconto_Cliente_Mes!$A$2:$A$433,L$73,Desconto_Cliente_Mes!$B$2:$B$433,$A73,Desconto_Cliente_Mes!$C$2:$C$433,"Fibra")))</f>
        <v>0</v>
      </c>
      <c r="M76" s="15" t="n">
        <f aca="false">MAX(0,(SUMIFS(Desconto_Cliente_Mes!$L$2:$L$433,Desconto_Cliente_Mes!$A$2:$A$433,M$73,Desconto_Cliente_Mes!$B$2:$B$433,$A73,Desconto_Cliente_Mes!$C$2:$C$433,"Fibra"))-(SUMIFS(Desconto_Cliente_Mes!$N$2:$N$433,Desconto_Cliente_Mes!$A$2:$A$433,M$73,Desconto_Cliente_Mes!$B$2:$B$433,$A73,Desconto_Cliente_Mes!$C$2:$C$433,"Fibra")))</f>
        <v>0</v>
      </c>
    </row>
    <row r="77" customFormat="false" ht="15" hidden="false" customHeight="false" outlineLevel="0" collapsed="false">
      <c r="A77" s="13" t="s">
        <v>77</v>
      </c>
      <c r="B77" s="15" t="n">
        <f aca="false">MAX(0,(SUMIFS(Desconto_Cliente_Mes!$N$2:$N$433,Desconto_Cliente_Mes!$A$2:$A$433,B$73,Desconto_Cliente_Mes!$B$2:$B$433,$A73,Desconto_Cliente_Mes!$C$2:$C$433,"Fibra"))-(SUMIFS(Desconto_Cliente_Mes!$P$2:$P$433,Desconto_Cliente_Mes!$A$2:$A$433,B$73,Desconto_Cliente_Mes!$B$2:$B$433,$A73,Desconto_Cliente_Mes!$C$2:$C$433,"Fibra")))</f>
        <v>0</v>
      </c>
      <c r="C77" s="15" t="n">
        <f aca="false">MAX(0,(SUMIFS(Desconto_Cliente_Mes!$N$2:$N$433,Desconto_Cliente_Mes!$A$2:$A$433,C$73,Desconto_Cliente_Mes!$B$2:$B$433,$A73,Desconto_Cliente_Mes!$C$2:$C$433,"Fibra"))-(SUMIFS(Desconto_Cliente_Mes!$P$2:$P$433,Desconto_Cliente_Mes!$A$2:$A$433,C$73,Desconto_Cliente_Mes!$B$2:$B$433,$A73,Desconto_Cliente_Mes!$C$2:$C$433,"Fibra")))</f>
        <v>0</v>
      </c>
      <c r="D77" s="15" t="n">
        <f aca="false">MAX(0,(SUMIFS(Desconto_Cliente_Mes!$N$2:$N$433,Desconto_Cliente_Mes!$A$2:$A$433,D$73,Desconto_Cliente_Mes!$B$2:$B$433,$A73,Desconto_Cliente_Mes!$C$2:$C$433,"Fibra"))-(SUMIFS(Desconto_Cliente_Mes!$P$2:$P$433,Desconto_Cliente_Mes!$A$2:$A$433,D$73,Desconto_Cliente_Mes!$B$2:$B$433,$A73,Desconto_Cliente_Mes!$C$2:$C$433,"Fibra")))</f>
        <v>0</v>
      </c>
      <c r="E77" s="15" t="n">
        <f aca="false">MAX(0,(SUMIFS(Desconto_Cliente_Mes!$N$2:$N$433,Desconto_Cliente_Mes!$A$2:$A$433,E$73,Desconto_Cliente_Mes!$B$2:$B$433,$A73,Desconto_Cliente_Mes!$C$2:$C$433,"Fibra"))-(SUMIFS(Desconto_Cliente_Mes!$P$2:$P$433,Desconto_Cliente_Mes!$A$2:$A$433,E$73,Desconto_Cliente_Mes!$B$2:$B$433,$A73,Desconto_Cliente_Mes!$C$2:$C$433,"Fibra")))</f>
        <v>0.0986981099334106</v>
      </c>
      <c r="F77" s="15" t="n">
        <f aca="false">MAX(0,(SUMIFS(Desconto_Cliente_Mes!$N$2:$N$433,Desconto_Cliente_Mes!$A$2:$A$433,F$73,Desconto_Cliente_Mes!$B$2:$B$433,$A73,Desconto_Cliente_Mes!$C$2:$C$433,"Fibra"))-(SUMIFS(Desconto_Cliente_Mes!$P$2:$P$433,Desconto_Cliente_Mes!$A$2:$A$433,F$73,Desconto_Cliente_Mes!$B$2:$B$433,$A73,Desconto_Cliente_Mes!$C$2:$C$433,"Fibra")))</f>
        <v>0</v>
      </c>
      <c r="G77" s="15" t="n">
        <f aca="false">MAX(0,(SUMIFS(Desconto_Cliente_Mes!$N$2:$N$433,Desconto_Cliente_Mes!$A$2:$A$433,G$73,Desconto_Cliente_Mes!$B$2:$B$433,$A73,Desconto_Cliente_Mes!$C$2:$C$433,"Fibra"))-(SUMIFS(Desconto_Cliente_Mes!$P$2:$P$433,Desconto_Cliente_Mes!$A$2:$A$433,G$73,Desconto_Cliente_Mes!$B$2:$B$433,$A73,Desconto_Cliente_Mes!$C$2:$C$433,"Fibra")))</f>
        <v>0</v>
      </c>
      <c r="H77" s="15" t="n">
        <f aca="false">MAX(0,(SUMIFS(Desconto_Cliente_Mes!$N$2:$N$433,Desconto_Cliente_Mes!$A$2:$A$433,H$73,Desconto_Cliente_Mes!$B$2:$B$433,$A73,Desconto_Cliente_Mes!$C$2:$C$433,"Fibra"))-(SUMIFS(Desconto_Cliente_Mes!$P$2:$P$433,Desconto_Cliente_Mes!$A$2:$A$433,H$73,Desconto_Cliente_Mes!$B$2:$B$433,$A73,Desconto_Cliente_Mes!$C$2:$C$433,"Fibra")))</f>
        <v>0</v>
      </c>
      <c r="I77" s="15" t="n">
        <f aca="false">MAX(0,(SUMIFS(Desconto_Cliente_Mes!$N$2:$N$433,Desconto_Cliente_Mes!$A$2:$A$433,I$73,Desconto_Cliente_Mes!$B$2:$B$433,$A73,Desconto_Cliente_Mes!$C$2:$C$433,"Fibra"))-(SUMIFS(Desconto_Cliente_Mes!$P$2:$P$433,Desconto_Cliente_Mes!$A$2:$A$433,I$73,Desconto_Cliente_Mes!$B$2:$B$433,$A73,Desconto_Cliente_Mes!$C$2:$C$433,"Fibra")))</f>
        <v>0</v>
      </c>
      <c r="J77" s="15" t="n">
        <f aca="false">MAX(0,(SUMIFS(Desconto_Cliente_Mes!$N$2:$N$433,Desconto_Cliente_Mes!$A$2:$A$433,J$73,Desconto_Cliente_Mes!$B$2:$B$433,$A73,Desconto_Cliente_Mes!$C$2:$C$433,"Fibra"))-(SUMIFS(Desconto_Cliente_Mes!$P$2:$P$433,Desconto_Cliente_Mes!$A$2:$A$433,J$73,Desconto_Cliente_Mes!$B$2:$B$433,$A73,Desconto_Cliente_Mes!$C$2:$C$433,"Fibra")))</f>
        <v>0</v>
      </c>
      <c r="K77" s="15" t="n">
        <f aca="false">MAX(0,(SUMIFS(Desconto_Cliente_Mes!$N$2:$N$433,Desconto_Cliente_Mes!$A$2:$A$433,K$73,Desconto_Cliente_Mes!$B$2:$B$433,$A73,Desconto_Cliente_Mes!$C$2:$C$433,"Fibra"))-(SUMIFS(Desconto_Cliente_Mes!$P$2:$P$433,Desconto_Cliente_Mes!$A$2:$A$433,K$73,Desconto_Cliente_Mes!$B$2:$B$433,$A73,Desconto_Cliente_Mes!$C$2:$C$433,"Fibra")))</f>
        <v>0</v>
      </c>
      <c r="L77" s="15" t="n">
        <f aca="false">MAX(0,(SUMIFS(Desconto_Cliente_Mes!$N$2:$N$433,Desconto_Cliente_Mes!$A$2:$A$433,L$73,Desconto_Cliente_Mes!$B$2:$B$433,$A73,Desconto_Cliente_Mes!$C$2:$C$433,"Fibra"))-(SUMIFS(Desconto_Cliente_Mes!$P$2:$P$433,Desconto_Cliente_Mes!$A$2:$A$433,L$73,Desconto_Cliente_Mes!$B$2:$B$433,$A73,Desconto_Cliente_Mes!$C$2:$C$433,"Fibra")))</f>
        <v>0</v>
      </c>
      <c r="M77" s="15" t="n">
        <f aca="false">MAX(0,(SUMIFS(Desconto_Cliente_Mes!$N$2:$N$433,Desconto_Cliente_Mes!$A$2:$A$433,M$73,Desconto_Cliente_Mes!$B$2:$B$433,$A73,Desconto_Cliente_Mes!$C$2:$C$433,"Fibra"))-(SUMIFS(Desconto_Cliente_Mes!$P$2:$P$433,Desconto_Cliente_Mes!$A$2:$A$433,M$73,Desconto_Cliente_Mes!$B$2:$B$433,$A73,Desconto_Cliente_Mes!$C$2:$C$433,"Fibra")))</f>
        <v>0</v>
      </c>
    </row>
    <row r="78" customFormat="false" ht="15" hidden="false" customHeight="false" outlineLevel="0" collapsed="false">
      <c r="A78" s="13" t="s">
        <v>78</v>
      </c>
      <c r="B78" s="15" t="n">
        <f aca="false">MAX(0,SUMIFS(Desconto_Cliente_Mes!$P$2:$P$433,Desconto_Cliente_Mes!$A$2:$A$433,B$73,Desconto_Cliente_Mes!$B$2:$B$433,$A73,Desconto_Cliente_Mes!$C$2:$C$433,"Fibra"))</f>
        <v>0</v>
      </c>
      <c r="C78" s="15" t="n">
        <f aca="false">MAX(0,SUMIFS(Desconto_Cliente_Mes!$P$2:$P$433,Desconto_Cliente_Mes!$A$2:$A$433,C$73,Desconto_Cliente_Mes!$B$2:$B$433,$A73,Desconto_Cliente_Mes!$C$2:$C$433,"Fibra"))</f>
        <v>0</v>
      </c>
      <c r="D78" s="15" t="n">
        <f aca="false">MAX(0,SUMIFS(Desconto_Cliente_Mes!$P$2:$P$433,Desconto_Cliente_Mes!$A$2:$A$433,D$73,Desconto_Cliente_Mes!$B$2:$B$433,$A73,Desconto_Cliente_Mes!$C$2:$C$433,"Fibra"))</f>
        <v>0</v>
      </c>
      <c r="E78" s="15" t="n">
        <f aca="false">MAX(0,SUMIFS(Desconto_Cliente_Mes!$P$2:$P$433,Desconto_Cliente_Mes!$A$2:$A$433,E$73,Desconto_Cliente_Mes!$B$2:$B$433,$A73,Desconto_Cliente_Mes!$C$2:$C$433,"Fibra"))</f>
        <v>0</v>
      </c>
      <c r="F78" s="15" t="n">
        <f aca="false">MAX(0,SUMIFS(Desconto_Cliente_Mes!$P$2:$P$433,Desconto_Cliente_Mes!$A$2:$A$433,F$73,Desconto_Cliente_Mes!$B$2:$B$433,$A73,Desconto_Cliente_Mes!$C$2:$C$433,"Fibra"))</f>
        <v>0</v>
      </c>
      <c r="G78" s="15" t="n">
        <f aca="false">MAX(0,SUMIFS(Desconto_Cliente_Mes!$P$2:$P$433,Desconto_Cliente_Mes!$A$2:$A$433,G$73,Desconto_Cliente_Mes!$B$2:$B$433,$A73,Desconto_Cliente_Mes!$C$2:$C$433,"Fibra"))</f>
        <v>0</v>
      </c>
      <c r="H78" s="15" t="n">
        <f aca="false">MAX(0,SUMIFS(Desconto_Cliente_Mes!$P$2:$P$433,Desconto_Cliente_Mes!$A$2:$A$433,H$73,Desconto_Cliente_Mes!$B$2:$B$433,$A73,Desconto_Cliente_Mes!$C$2:$C$433,"Fibra"))</f>
        <v>0</v>
      </c>
      <c r="I78" s="15" t="n">
        <f aca="false">MAX(0,SUMIFS(Desconto_Cliente_Mes!$P$2:$P$433,Desconto_Cliente_Mes!$A$2:$A$433,I$73,Desconto_Cliente_Mes!$B$2:$B$433,$A73,Desconto_Cliente_Mes!$C$2:$C$433,"Fibra"))</f>
        <v>0</v>
      </c>
      <c r="J78" s="15" t="n">
        <f aca="false">MAX(0,SUMIFS(Desconto_Cliente_Mes!$P$2:$P$433,Desconto_Cliente_Mes!$A$2:$A$433,J$73,Desconto_Cliente_Mes!$B$2:$B$433,$A73,Desconto_Cliente_Mes!$C$2:$C$433,"Fibra"))</f>
        <v>0</v>
      </c>
      <c r="K78" s="15" t="n">
        <f aca="false">MAX(0,SUMIFS(Desconto_Cliente_Mes!$P$2:$P$433,Desconto_Cliente_Mes!$A$2:$A$433,K$73,Desconto_Cliente_Mes!$B$2:$B$433,$A73,Desconto_Cliente_Mes!$C$2:$C$433,"Fibra"))</f>
        <v>0</v>
      </c>
      <c r="L78" s="15" t="n">
        <f aca="false">MAX(0,SUMIFS(Desconto_Cliente_Mes!$P$2:$P$433,Desconto_Cliente_Mes!$A$2:$A$433,L$73,Desconto_Cliente_Mes!$B$2:$B$433,$A73,Desconto_Cliente_Mes!$C$2:$C$433,"Fibra"))</f>
        <v>0</v>
      </c>
      <c r="M78" s="15" t="n">
        <f aca="false">MAX(0,SUMIFS(Desconto_Cliente_Mes!$P$2:$P$433,Desconto_Cliente_Mes!$A$2:$A$433,M$73,Desconto_Cliente_Mes!$B$2:$B$433,$A73,Desconto_Cliente_Mes!$C$2:$C$433,"Fibra"))</f>
        <v>0</v>
      </c>
    </row>
    <row r="79" customFormat="false" ht="15" hidden="false" customHeight="false" outlineLevel="0" collapsed="false">
      <c r="A79" s="13" t="s">
        <v>79</v>
      </c>
      <c r="B79" s="16" t="n">
        <f aca="false">$B$75*($B$76/100)*(SUMIFS(Desconto_Cliente_Mes!$Q$2:$Q$433,Desconto_Cliente_Mes!$A$2:$A$433,B$73,Desconto_Cliente_Mes!$B$2:$B$433,$A73,Desconto_Cliente_Mes!$C$2:$C$433,"Fibra"))*(SUMIFS(Desconto_Cliente_Mes!$T$2:$T$433,Desconto_Cliente_Mes!$A$2:$A$433,B$73,Desconto_Cliente_Mes!$B$2:$B$433,$A73,Desconto_Cliente_Mes!$C$2:$C$433,"Fibra"))</f>
        <v>20295.0061199999</v>
      </c>
      <c r="C79" s="16" t="n">
        <f aca="false">$C$75*($C$76/100)*(SUMIFS(Desconto_Cliente_Mes!$Q$2:$Q$433,Desconto_Cliente_Mes!$A$2:$A$433,C$73,Desconto_Cliente_Mes!$B$2:$B$433,$A73,Desconto_Cliente_Mes!$C$2:$C$433,"Fibra"))*(SUMIFS(Desconto_Cliente_Mes!$T$2:$T$433,Desconto_Cliente_Mes!$A$2:$A$433,C$73,Desconto_Cliente_Mes!$B$2:$B$433,$A73,Desconto_Cliente_Mes!$C$2:$C$433,"Fibra"))</f>
        <v>0</v>
      </c>
      <c r="D79" s="16" t="n">
        <f aca="false">$D$75*($D$76/100)*(SUMIFS(Desconto_Cliente_Mes!$Q$2:$Q$433,Desconto_Cliente_Mes!$A$2:$A$433,D$73,Desconto_Cliente_Mes!$B$2:$B$433,$A73,Desconto_Cliente_Mes!$C$2:$C$433,"Fibra"))*(SUMIFS(Desconto_Cliente_Mes!$T$2:$T$433,Desconto_Cliente_Mes!$A$2:$A$433,D$73,Desconto_Cliente_Mes!$B$2:$B$433,$A73,Desconto_Cliente_Mes!$C$2:$C$433,"Fibra"))</f>
        <v>0</v>
      </c>
      <c r="E79" s="16" t="n">
        <f aca="false">$E$75*($E$76/100)*(SUMIFS(Desconto_Cliente_Mes!$Q$2:$Q$433,Desconto_Cliente_Mes!$A$2:$A$433,E$73,Desconto_Cliente_Mes!$B$2:$B$433,$A73,Desconto_Cliente_Mes!$C$2:$C$433,"Fibra"))*(SUMIFS(Desconto_Cliente_Mes!$T$2:$T$433,Desconto_Cliente_Mes!$A$2:$A$433,E$73,Desconto_Cliente_Mes!$B$2:$B$433,$A73,Desconto_Cliente_Mes!$C$2:$C$433,"Fibra"))</f>
        <v>5579.57802</v>
      </c>
      <c r="F79" s="16" t="n">
        <f aca="false">$F$75*($F$76/100)*(SUMIFS(Desconto_Cliente_Mes!$Q$2:$Q$433,Desconto_Cliente_Mes!$A$2:$A$433,F$73,Desconto_Cliente_Mes!$B$2:$B$433,$A73,Desconto_Cliente_Mes!$C$2:$C$433,"Fibra"))*(SUMIFS(Desconto_Cliente_Mes!$T$2:$T$433,Desconto_Cliente_Mes!$A$2:$A$433,F$73,Desconto_Cliente_Mes!$B$2:$B$433,$A73,Desconto_Cliente_Mes!$C$2:$C$433,"Fibra"))</f>
        <v>0</v>
      </c>
      <c r="G79" s="16" t="n">
        <f aca="false">$G$75*($G$76/100)*(SUMIFS(Desconto_Cliente_Mes!$Q$2:$Q$433,Desconto_Cliente_Mes!$A$2:$A$433,G$73,Desconto_Cliente_Mes!$B$2:$B$433,$A73,Desconto_Cliente_Mes!$C$2:$C$433,"Fibra"))*(SUMIFS(Desconto_Cliente_Mes!$T$2:$T$433,Desconto_Cliente_Mes!$A$2:$A$433,G$73,Desconto_Cliente_Mes!$B$2:$B$433,$A73,Desconto_Cliente_Mes!$C$2:$C$433,"Fibra"))</f>
        <v>15254.4860519999</v>
      </c>
      <c r="H79" s="16" t="n">
        <f aca="false">$H$75*($H$76/100)*(SUMIFS(Desconto_Cliente_Mes!$Q$2:$Q$433,Desconto_Cliente_Mes!$A$2:$A$433,H$73,Desconto_Cliente_Mes!$B$2:$B$433,$A73,Desconto_Cliente_Mes!$C$2:$C$433,"Fibra"))*(SUMIFS(Desconto_Cliente_Mes!$T$2:$T$433,Desconto_Cliente_Mes!$A$2:$A$433,H$73,Desconto_Cliente_Mes!$B$2:$B$433,$A73,Desconto_Cliente_Mes!$C$2:$C$433,"Fibra"))</f>
        <v>9352.09468200002</v>
      </c>
      <c r="I79" s="16" t="n">
        <f aca="false">$I$75*($I$76/100)*(SUMIFS(Desconto_Cliente_Mes!$Q$2:$Q$433,Desconto_Cliente_Mes!$A$2:$A$433,I$73,Desconto_Cliente_Mes!$B$2:$B$433,$A73,Desconto_Cliente_Mes!$C$2:$C$433,"Fibra"))*(SUMIFS(Desconto_Cliente_Mes!$T$2:$T$433,Desconto_Cliente_Mes!$A$2:$A$433,I$73,Desconto_Cliente_Mes!$B$2:$B$433,$A73,Desconto_Cliente_Mes!$C$2:$C$433,"Fibra"))</f>
        <v>0</v>
      </c>
      <c r="J79" s="16" t="n">
        <f aca="false">$J$75*($J$76/100)*(SUMIFS(Desconto_Cliente_Mes!$Q$2:$Q$433,Desconto_Cliente_Mes!$A$2:$A$433,J$73,Desconto_Cliente_Mes!$B$2:$B$433,$A73,Desconto_Cliente_Mes!$C$2:$C$433,"Fibra"))*(SUMIFS(Desconto_Cliente_Mes!$T$2:$T$433,Desconto_Cliente_Mes!$A$2:$A$433,J$73,Desconto_Cliente_Mes!$B$2:$B$433,$A73,Desconto_Cliente_Mes!$C$2:$C$433,"Fibra"))</f>
        <v>0</v>
      </c>
      <c r="K79" s="16" t="n">
        <f aca="false">$K$75*($K$76/100)*(SUMIFS(Desconto_Cliente_Mes!$Q$2:$Q$433,Desconto_Cliente_Mes!$A$2:$A$433,K$73,Desconto_Cliente_Mes!$B$2:$B$433,$A73,Desconto_Cliente_Mes!$C$2:$C$433,"Fibra"))*(SUMIFS(Desconto_Cliente_Mes!$T$2:$T$433,Desconto_Cliente_Mes!$A$2:$A$433,K$73,Desconto_Cliente_Mes!$B$2:$B$433,$A73,Desconto_Cliente_Mes!$C$2:$C$433,"Fibra"))</f>
        <v>0</v>
      </c>
      <c r="L79" s="16" t="n">
        <f aca="false">$L$75*($L$76/100)*(SUMIFS(Desconto_Cliente_Mes!$Q$2:$Q$433,Desconto_Cliente_Mes!$A$2:$A$433,L$73,Desconto_Cliente_Mes!$B$2:$B$433,$A73,Desconto_Cliente_Mes!$C$2:$C$433,"Fibra"))*(SUMIFS(Desconto_Cliente_Mes!$T$2:$T$433,Desconto_Cliente_Mes!$A$2:$A$433,L$73,Desconto_Cliente_Mes!$B$2:$B$433,$A73,Desconto_Cliente_Mes!$C$2:$C$433,"Fibra"))</f>
        <v>0</v>
      </c>
      <c r="M79" s="16" t="n">
        <f aca="false">$M$75*($M$76/100)*(SUMIFS(Desconto_Cliente_Mes!$Q$2:$Q$433,Desconto_Cliente_Mes!$A$2:$A$433,M$73,Desconto_Cliente_Mes!$B$2:$B$433,$A73,Desconto_Cliente_Mes!$C$2:$C$433,"Fibra"))*(SUMIFS(Desconto_Cliente_Mes!$T$2:$T$433,Desconto_Cliente_Mes!$A$2:$A$433,M$73,Desconto_Cliente_Mes!$B$2:$B$433,$A73,Desconto_Cliente_Mes!$C$2:$C$433,"Fibra"))</f>
        <v>0</v>
      </c>
      <c r="N79" s="17" t="n">
        <f aca="false">SUM(B79:M79)</f>
        <v>50481.1648739999</v>
      </c>
    </row>
    <row r="80" customFormat="false" ht="15" hidden="false" customHeight="false" outlineLevel="0" collapsed="false">
      <c r="A80" s="13" t="s">
        <v>80</v>
      </c>
      <c r="B80" s="16" t="n">
        <f aca="false">$B$75*($B$77/100)*((IF(SUMIFS(Desconto_Cliente_Mes!$R$2:$R$433,Desconto_Cliente_Mes!$A$2:$A$433,B$73,Desconto_Cliente_Mes!$B$2:$B$433,$A73,Desconto_Cliente_Mes!$C$2:$C$433,"Fibra")="",SUMIFS(Desconto_Cliente_Mes!$Q$2:$Q$433,Desconto_Cliente_Mes!$A$2:$A$433,B$73,Desconto_Cliente_Mes!$B$2:$B$433,$A73,Desconto_Cliente_Mes!$C$2:$C$433,"Fibra"),SUMIFS(Desconto_Cliente_Mes!$R$2:$R$433,Desconto_Cliente_Mes!$A$2:$A$433,B$73,Desconto_Cliente_Mes!$B$2:$B$433,$A73,Desconto_Cliente_Mes!$C$2:$C$433,"Fibra")))-(SUMIFS(Desconto_Cliente_Mes!$Q$2:$Q$433,Desconto_Cliente_Mes!$A$2:$A$433,B$73,Desconto_Cliente_Mes!$B$2:$B$433,$A73,Desconto_Cliente_Mes!$C$2:$C$433,"Fibra")))*(SUMIFS(Desconto_Cliente_Mes!$T$2:$T$433,Desconto_Cliente_Mes!$A$2:$A$433,B$73,Desconto_Cliente_Mes!$B$2:$B$433,$A73,Desconto_Cliente_Mes!$C$2:$C$433,"Fibra"))</f>
        <v>0</v>
      </c>
      <c r="C80" s="16" t="n">
        <f aca="false">$C$75*($C$77/100)*((IF(SUMIFS(Desconto_Cliente_Mes!$R$2:$R$433,Desconto_Cliente_Mes!$A$2:$A$433,C$73,Desconto_Cliente_Mes!$B$2:$B$433,$A73,Desconto_Cliente_Mes!$C$2:$C$433,"Fibra")="",SUMIFS(Desconto_Cliente_Mes!$Q$2:$Q$433,Desconto_Cliente_Mes!$A$2:$A$433,C$73,Desconto_Cliente_Mes!$B$2:$B$433,$A73,Desconto_Cliente_Mes!$C$2:$C$433,"Fibra"),SUMIFS(Desconto_Cliente_Mes!$R$2:$R$433,Desconto_Cliente_Mes!$A$2:$A$433,C$73,Desconto_Cliente_Mes!$B$2:$B$433,$A73,Desconto_Cliente_Mes!$C$2:$C$433,"Fibra")))-(SUMIFS(Desconto_Cliente_Mes!$Q$2:$Q$433,Desconto_Cliente_Mes!$A$2:$A$433,C$73,Desconto_Cliente_Mes!$B$2:$B$433,$A73,Desconto_Cliente_Mes!$C$2:$C$433,"Fibra")))*(SUMIFS(Desconto_Cliente_Mes!$T$2:$T$433,Desconto_Cliente_Mes!$A$2:$A$433,C$73,Desconto_Cliente_Mes!$B$2:$B$433,$A73,Desconto_Cliente_Mes!$C$2:$C$433,"Fibra"))</f>
        <v>0</v>
      </c>
      <c r="D80" s="16" t="n">
        <f aca="false">$D$75*($D$77/100)*((IF(SUMIFS(Desconto_Cliente_Mes!$R$2:$R$433,Desconto_Cliente_Mes!$A$2:$A$433,D$73,Desconto_Cliente_Mes!$B$2:$B$433,$A73,Desconto_Cliente_Mes!$C$2:$C$433,"Fibra")="",SUMIFS(Desconto_Cliente_Mes!$Q$2:$Q$433,Desconto_Cliente_Mes!$A$2:$A$433,D$73,Desconto_Cliente_Mes!$B$2:$B$433,$A73,Desconto_Cliente_Mes!$C$2:$C$433,"Fibra"),SUMIFS(Desconto_Cliente_Mes!$R$2:$R$433,Desconto_Cliente_Mes!$A$2:$A$433,D$73,Desconto_Cliente_Mes!$B$2:$B$433,$A73,Desconto_Cliente_Mes!$C$2:$C$433,"Fibra")))-(SUMIFS(Desconto_Cliente_Mes!$Q$2:$Q$433,Desconto_Cliente_Mes!$A$2:$A$433,D$73,Desconto_Cliente_Mes!$B$2:$B$433,$A73,Desconto_Cliente_Mes!$C$2:$C$433,"Fibra")))*(SUMIFS(Desconto_Cliente_Mes!$T$2:$T$433,Desconto_Cliente_Mes!$A$2:$A$433,D$73,Desconto_Cliente_Mes!$B$2:$B$433,$A73,Desconto_Cliente_Mes!$C$2:$C$433,"Fibra"))</f>
        <v>0</v>
      </c>
      <c r="E80" s="16" t="n">
        <f aca="false">$E$75*($E$77/100)*((IF(SUMIFS(Desconto_Cliente_Mes!$R$2:$R$433,Desconto_Cliente_Mes!$A$2:$A$433,E$73,Desconto_Cliente_Mes!$B$2:$B$433,$A73,Desconto_Cliente_Mes!$C$2:$C$433,"Fibra")="",SUMIFS(Desconto_Cliente_Mes!$Q$2:$Q$433,Desconto_Cliente_Mes!$A$2:$A$433,E$73,Desconto_Cliente_Mes!$B$2:$B$433,$A73,Desconto_Cliente_Mes!$C$2:$C$433,"Fibra"),SUMIFS(Desconto_Cliente_Mes!$R$2:$R$433,Desconto_Cliente_Mes!$A$2:$A$433,E$73,Desconto_Cliente_Mes!$B$2:$B$433,$A73,Desconto_Cliente_Mes!$C$2:$C$433,"Fibra")))-(SUMIFS(Desconto_Cliente_Mes!$Q$2:$Q$433,Desconto_Cliente_Mes!$A$2:$A$433,E$73,Desconto_Cliente_Mes!$B$2:$B$433,$A73,Desconto_Cliente_Mes!$C$2:$C$433,"Fibra")))*(SUMIFS(Desconto_Cliente_Mes!$T$2:$T$433,Desconto_Cliente_Mes!$A$2:$A$433,E$73,Desconto_Cliente_Mes!$B$2:$B$433,$A73,Desconto_Cliente_Mes!$C$2:$C$433,"Fibra"))</f>
        <v>917.823008000002</v>
      </c>
      <c r="F80" s="16" t="n">
        <f aca="false">$F$75*($F$77/100)*((IF(SUMIFS(Desconto_Cliente_Mes!$R$2:$R$433,Desconto_Cliente_Mes!$A$2:$A$433,F$73,Desconto_Cliente_Mes!$B$2:$B$433,$A73,Desconto_Cliente_Mes!$C$2:$C$433,"Fibra")="",SUMIFS(Desconto_Cliente_Mes!$Q$2:$Q$433,Desconto_Cliente_Mes!$A$2:$A$433,F$73,Desconto_Cliente_Mes!$B$2:$B$433,$A73,Desconto_Cliente_Mes!$C$2:$C$433,"Fibra"),SUMIFS(Desconto_Cliente_Mes!$R$2:$R$433,Desconto_Cliente_Mes!$A$2:$A$433,F$73,Desconto_Cliente_Mes!$B$2:$B$433,$A73,Desconto_Cliente_Mes!$C$2:$C$433,"Fibra")))-(SUMIFS(Desconto_Cliente_Mes!$Q$2:$Q$433,Desconto_Cliente_Mes!$A$2:$A$433,F$73,Desconto_Cliente_Mes!$B$2:$B$433,$A73,Desconto_Cliente_Mes!$C$2:$C$433,"Fibra")))*(SUMIFS(Desconto_Cliente_Mes!$T$2:$T$433,Desconto_Cliente_Mes!$A$2:$A$433,F$73,Desconto_Cliente_Mes!$B$2:$B$433,$A73,Desconto_Cliente_Mes!$C$2:$C$433,"Fibra"))</f>
        <v>0</v>
      </c>
      <c r="G80" s="16" t="n">
        <f aca="false">$G$75*($G$77/100)*((IF(SUMIFS(Desconto_Cliente_Mes!$R$2:$R$433,Desconto_Cliente_Mes!$A$2:$A$433,G$73,Desconto_Cliente_Mes!$B$2:$B$433,$A73,Desconto_Cliente_Mes!$C$2:$C$433,"Fibra")="",SUMIFS(Desconto_Cliente_Mes!$Q$2:$Q$433,Desconto_Cliente_Mes!$A$2:$A$433,G$73,Desconto_Cliente_Mes!$B$2:$B$433,$A73,Desconto_Cliente_Mes!$C$2:$C$433,"Fibra"),SUMIFS(Desconto_Cliente_Mes!$R$2:$R$433,Desconto_Cliente_Mes!$A$2:$A$433,G$73,Desconto_Cliente_Mes!$B$2:$B$433,$A73,Desconto_Cliente_Mes!$C$2:$C$433,"Fibra")))-(SUMIFS(Desconto_Cliente_Mes!$Q$2:$Q$433,Desconto_Cliente_Mes!$A$2:$A$433,G$73,Desconto_Cliente_Mes!$B$2:$B$433,$A73,Desconto_Cliente_Mes!$C$2:$C$433,"Fibra")))*(SUMIFS(Desconto_Cliente_Mes!$T$2:$T$433,Desconto_Cliente_Mes!$A$2:$A$433,G$73,Desconto_Cliente_Mes!$B$2:$B$433,$A73,Desconto_Cliente_Mes!$C$2:$C$433,"Fibra"))</f>
        <v>0</v>
      </c>
      <c r="H80" s="16" t="n">
        <f aca="false">$H$75*($H$77/100)*((IF(SUMIFS(Desconto_Cliente_Mes!$R$2:$R$433,Desconto_Cliente_Mes!$A$2:$A$433,H$73,Desconto_Cliente_Mes!$B$2:$B$433,$A73,Desconto_Cliente_Mes!$C$2:$C$433,"Fibra")="",SUMIFS(Desconto_Cliente_Mes!$Q$2:$Q$433,Desconto_Cliente_Mes!$A$2:$A$433,H$73,Desconto_Cliente_Mes!$B$2:$B$433,$A73,Desconto_Cliente_Mes!$C$2:$C$433,"Fibra"),SUMIFS(Desconto_Cliente_Mes!$R$2:$R$433,Desconto_Cliente_Mes!$A$2:$A$433,H$73,Desconto_Cliente_Mes!$B$2:$B$433,$A73,Desconto_Cliente_Mes!$C$2:$C$433,"Fibra")))-(SUMIFS(Desconto_Cliente_Mes!$Q$2:$Q$433,Desconto_Cliente_Mes!$A$2:$A$433,H$73,Desconto_Cliente_Mes!$B$2:$B$433,$A73,Desconto_Cliente_Mes!$C$2:$C$433,"Fibra")))*(SUMIFS(Desconto_Cliente_Mes!$T$2:$T$433,Desconto_Cliente_Mes!$A$2:$A$433,H$73,Desconto_Cliente_Mes!$B$2:$B$433,$A73,Desconto_Cliente_Mes!$C$2:$C$433,"Fibra"))</f>
        <v>0</v>
      </c>
      <c r="I80" s="16" t="n">
        <f aca="false">$I$75*($I$77/100)*((IF(SUMIFS(Desconto_Cliente_Mes!$R$2:$R$433,Desconto_Cliente_Mes!$A$2:$A$433,I$73,Desconto_Cliente_Mes!$B$2:$B$433,$A73,Desconto_Cliente_Mes!$C$2:$C$433,"Fibra")="",SUMIFS(Desconto_Cliente_Mes!$Q$2:$Q$433,Desconto_Cliente_Mes!$A$2:$A$433,I$73,Desconto_Cliente_Mes!$B$2:$B$433,$A73,Desconto_Cliente_Mes!$C$2:$C$433,"Fibra"),SUMIFS(Desconto_Cliente_Mes!$R$2:$R$433,Desconto_Cliente_Mes!$A$2:$A$433,I$73,Desconto_Cliente_Mes!$B$2:$B$433,$A73,Desconto_Cliente_Mes!$C$2:$C$433,"Fibra")))-(SUMIFS(Desconto_Cliente_Mes!$Q$2:$Q$433,Desconto_Cliente_Mes!$A$2:$A$433,I$73,Desconto_Cliente_Mes!$B$2:$B$433,$A73,Desconto_Cliente_Mes!$C$2:$C$433,"Fibra")))*(SUMIFS(Desconto_Cliente_Mes!$T$2:$T$433,Desconto_Cliente_Mes!$A$2:$A$433,I$73,Desconto_Cliente_Mes!$B$2:$B$433,$A73,Desconto_Cliente_Mes!$C$2:$C$433,"Fibra"))</f>
        <v>0</v>
      </c>
      <c r="J80" s="16" t="n">
        <f aca="false">$J$75*($J$77/100)*((IF(SUMIFS(Desconto_Cliente_Mes!$R$2:$R$433,Desconto_Cliente_Mes!$A$2:$A$433,J$73,Desconto_Cliente_Mes!$B$2:$B$433,$A73,Desconto_Cliente_Mes!$C$2:$C$433,"Fibra")="",SUMIFS(Desconto_Cliente_Mes!$Q$2:$Q$433,Desconto_Cliente_Mes!$A$2:$A$433,J$73,Desconto_Cliente_Mes!$B$2:$B$433,$A73,Desconto_Cliente_Mes!$C$2:$C$433,"Fibra"),SUMIFS(Desconto_Cliente_Mes!$R$2:$R$433,Desconto_Cliente_Mes!$A$2:$A$433,J$73,Desconto_Cliente_Mes!$B$2:$B$433,$A73,Desconto_Cliente_Mes!$C$2:$C$433,"Fibra")))-(SUMIFS(Desconto_Cliente_Mes!$Q$2:$Q$433,Desconto_Cliente_Mes!$A$2:$A$433,J$73,Desconto_Cliente_Mes!$B$2:$B$433,$A73,Desconto_Cliente_Mes!$C$2:$C$433,"Fibra")))*(SUMIFS(Desconto_Cliente_Mes!$T$2:$T$433,Desconto_Cliente_Mes!$A$2:$A$433,J$73,Desconto_Cliente_Mes!$B$2:$B$433,$A73,Desconto_Cliente_Mes!$C$2:$C$433,"Fibra"))</f>
        <v>0</v>
      </c>
      <c r="K80" s="16" t="n">
        <f aca="false">$K$75*($K$77/100)*((IF(SUMIFS(Desconto_Cliente_Mes!$R$2:$R$433,Desconto_Cliente_Mes!$A$2:$A$433,K$73,Desconto_Cliente_Mes!$B$2:$B$433,$A73,Desconto_Cliente_Mes!$C$2:$C$433,"Fibra")="",SUMIFS(Desconto_Cliente_Mes!$Q$2:$Q$433,Desconto_Cliente_Mes!$A$2:$A$433,K$73,Desconto_Cliente_Mes!$B$2:$B$433,$A73,Desconto_Cliente_Mes!$C$2:$C$433,"Fibra"),SUMIFS(Desconto_Cliente_Mes!$R$2:$R$433,Desconto_Cliente_Mes!$A$2:$A$433,K$73,Desconto_Cliente_Mes!$B$2:$B$433,$A73,Desconto_Cliente_Mes!$C$2:$C$433,"Fibra")))-(SUMIFS(Desconto_Cliente_Mes!$Q$2:$Q$433,Desconto_Cliente_Mes!$A$2:$A$433,K$73,Desconto_Cliente_Mes!$B$2:$B$433,$A73,Desconto_Cliente_Mes!$C$2:$C$433,"Fibra")))*(SUMIFS(Desconto_Cliente_Mes!$T$2:$T$433,Desconto_Cliente_Mes!$A$2:$A$433,K$73,Desconto_Cliente_Mes!$B$2:$B$433,$A73,Desconto_Cliente_Mes!$C$2:$C$433,"Fibra"))</f>
        <v>0</v>
      </c>
      <c r="L80" s="16" t="n">
        <f aca="false">$L$75*($L$77/100)*((IF(SUMIFS(Desconto_Cliente_Mes!$R$2:$R$433,Desconto_Cliente_Mes!$A$2:$A$433,L$73,Desconto_Cliente_Mes!$B$2:$B$433,$A73,Desconto_Cliente_Mes!$C$2:$C$433,"Fibra")="",SUMIFS(Desconto_Cliente_Mes!$Q$2:$Q$433,Desconto_Cliente_Mes!$A$2:$A$433,L$73,Desconto_Cliente_Mes!$B$2:$B$433,$A73,Desconto_Cliente_Mes!$C$2:$C$433,"Fibra"),SUMIFS(Desconto_Cliente_Mes!$R$2:$R$433,Desconto_Cliente_Mes!$A$2:$A$433,L$73,Desconto_Cliente_Mes!$B$2:$B$433,$A73,Desconto_Cliente_Mes!$C$2:$C$433,"Fibra")))-(SUMIFS(Desconto_Cliente_Mes!$Q$2:$Q$433,Desconto_Cliente_Mes!$A$2:$A$433,L$73,Desconto_Cliente_Mes!$B$2:$B$433,$A73,Desconto_Cliente_Mes!$C$2:$C$433,"Fibra")))*(SUMIFS(Desconto_Cliente_Mes!$T$2:$T$433,Desconto_Cliente_Mes!$A$2:$A$433,L$73,Desconto_Cliente_Mes!$B$2:$B$433,$A73,Desconto_Cliente_Mes!$C$2:$C$433,"Fibra"))</f>
        <v>0</v>
      </c>
      <c r="M80" s="16" t="n">
        <f aca="false">$M$75*($M$77/100)*((IF(SUMIFS(Desconto_Cliente_Mes!$R$2:$R$433,Desconto_Cliente_Mes!$A$2:$A$433,M$73,Desconto_Cliente_Mes!$B$2:$B$433,$A73,Desconto_Cliente_Mes!$C$2:$C$433,"Fibra")="",SUMIFS(Desconto_Cliente_Mes!$Q$2:$Q$433,Desconto_Cliente_Mes!$A$2:$A$433,M$73,Desconto_Cliente_Mes!$B$2:$B$433,$A73,Desconto_Cliente_Mes!$C$2:$C$433,"Fibra"),SUMIFS(Desconto_Cliente_Mes!$R$2:$R$433,Desconto_Cliente_Mes!$A$2:$A$433,M$73,Desconto_Cliente_Mes!$B$2:$B$433,$A73,Desconto_Cliente_Mes!$C$2:$C$433,"Fibra")))-(SUMIFS(Desconto_Cliente_Mes!$Q$2:$Q$433,Desconto_Cliente_Mes!$A$2:$A$433,M$73,Desconto_Cliente_Mes!$B$2:$B$433,$A73,Desconto_Cliente_Mes!$C$2:$C$433,"Fibra")))*(SUMIFS(Desconto_Cliente_Mes!$T$2:$T$433,Desconto_Cliente_Mes!$A$2:$A$433,M$73,Desconto_Cliente_Mes!$B$2:$B$433,$A73,Desconto_Cliente_Mes!$C$2:$C$433,"Fibra"))</f>
        <v>0</v>
      </c>
      <c r="N80" s="17" t="n">
        <f aca="false">SUM(B80:M80)</f>
        <v>917.823008000002</v>
      </c>
    </row>
    <row r="81" customFormat="false" ht="15" hidden="false" customHeight="false" outlineLevel="0" collapsed="false">
      <c r="A81" s="13" t="s">
        <v>81</v>
      </c>
      <c r="B81" s="16" t="n">
        <f aca="false">$B$75*($B$78/100)*((IF(SUMIFS(Desconto_Cliente_Mes!$S$2:$S$433,Desconto_Cliente_Mes!$A$2:$A$433,B$73,Desconto_Cliente_Mes!$B$2:$B$433,$A73,Desconto_Cliente_Mes!$C$2:$C$433,"Fibra")="",(IF(SUMIFS(Desconto_Cliente_Mes!$R$2:$R$433,Desconto_Cliente_Mes!$A$2:$A$433,B$73,Desconto_Cliente_Mes!$B$2:$B$433,$A73,Desconto_Cliente_Mes!$C$2:$C$433,"Fibra")="",SUMIFS(Desconto_Cliente_Mes!$Q$2:$Q$433,Desconto_Cliente_Mes!$A$2:$A$433,B$73,Desconto_Cliente_Mes!$B$2:$B$433,$A73,Desconto_Cliente_Mes!$C$2:$C$433,"Fibra"),SUMIFS(Desconto_Cliente_Mes!$R$2:$R$433,Desconto_Cliente_Mes!$A$2:$A$433,B$73,Desconto_Cliente_Mes!$B$2:$B$433,$A73,Desconto_Cliente_Mes!$C$2:$C$433,"Fibra"))),SUMIFS(Desconto_Cliente_Mes!$S$2:$S$433,Desconto_Cliente_Mes!$A$2:$A$433,B$73,Desconto_Cliente_Mes!$B$2:$B$433,$A73,Desconto_Cliente_Mes!$C$2:$C$433,"Fibra")))-(IF(SUMIFS(Desconto_Cliente_Mes!$R$2:$R$433,Desconto_Cliente_Mes!$A$2:$A$433,B$73,Desconto_Cliente_Mes!$B$2:$B$433,$A73,Desconto_Cliente_Mes!$C$2:$C$433,"Fibra")="",SUMIFS(Desconto_Cliente_Mes!$Q$2:$Q$433,Desconto_Cliente_Mes!$A$2:$A$433,B$73,Desconto_Cliente_Mes!$B$2:$B$433,$A73,Desconto_Cliente_Mes!$C$2:$C$433,"Fibra"),SUMIFS(Desconto_Cliente_Mes!$R$2:$R$433,Desconto_Cliente_Mes!$A$2:$A$433,B$73,Desconto_Cliente_Mes!$B$2:$B$433,$A73,Desconto_Cliente_Mes!$C$2:$C$433,"Fibra"))))*(SUMIFS(Desconto_Cliente_Mes!$T$2:$T$433,Desconto_Cliente_Mes!$A$2:$A$433,B$73,Desconto_Cliente_Mes!$B$2:$B$433,$A73,Desconto_Cliente_Mes!$C$2:$C$433,"Fibra"))</f>
        <v>0</v>
      </c>
      <c r="C81" s="16" t="n">
        <f aca="false">$C$75*($C$78/100)*((IF(SUMIFS(Desconto_Cliente_Mes!$S$2:$S$433,Desconto_Cliente_Mes!$A$2:$A$433,C$73,Desconto_Cliente_Mes!$B$2:$B$433,$A73,Desconto_Cliente_Mes!$C$2:$C$433,"Fibra")="",(IF(SUMIFS(Desconto_Cliente_Mes!$R$2:$R$433,Desconto_Cliente_Mes!$A$2:$A$433,C$73,Desconto_Cliente_Mes!$B$2:$B$433,$A73,Desconto_Cliente_Mes!$C$2:$C$433,"Fibra")="",SUMIFS(Desconto_Cliente_Mes!$Q$2:$Q$433,Desconto_Cliente_Mes!$A$2:$A$433,C$73,Desconto_Cliente_Mes!$B$2:$B$433,$A73,Desconto_Cliente_Mes!$C$2:$C$433,"Fibra"),SUMIFS(Desconto_Cliente_Mes!$R$2:$R$433,Desconto_Cliente_Mes!$A$2:$A$433,C$73,Desconto_Cliente_Mes!$B$2:$B$433,$A73,Desconto_Cliente_Mes!$C$2:$C$433,"Fibra"))),SUMIFS(Desconto_Cliente_Mes!$S$2:$S$433,Desconto_Cliente_Mes!$A$2:$A$433,C$73,Desconto_Cliente_Mes!$B$2:$B$433,$A73,Desconto_Cliente_Mes!$C$2:$C$433,"Fibra")))-(IF(SUMIFS(Desconto_Cliente_Mes!$R$2:$R$433,Desconto_Cliente_Mes!$A$2:$A$433,C$73,Desconto_Cliente_Mes!$B$2:$B$433,$A73,Desconto_Cliente_Mes!$C$2:$C$433,"Fibra")="",SUMIFS(Desconto_Cliente_Mes!$Q$2:$Q$433,Desconto_Cliente_Mes!$A$2:$A$433,C$73,Desconto_Cliente_Mes!$B$2:$B$433,$A73,Desconto_Cliente_Mes!$C$2:$C$433,"Fibra"),SUMIFS(Desconto_Cliente_Mes!$R$2:$R$433,Desconto_Cliente_Mes!$A$2:$A$433,C$73,Desconto_Cliente_Mes!$B$2:$B$433,$A73,Desconto_Cliente_Mes!$C$2:$C$433,"Fibra"))))*(SUMIFS(Desconto_Cliente_Mes!$T$2:$T$433,Desconto_Cliente_Mes!$A$2:$A$433,C$73,Desconto_Cliente_Mes!$B$2:$B$433,$A73,Desconto_Cliente_Mes!$C$2:$C$433,"Fibra"))</f>
        <v>0</v>
      </c>
      <c r="D81" s="16" t="n">
        <f aca="false">$D$75*($D$78/100)*((IF(SUMIFS(Desconto_Cliente_Mes!$S$2:$S$433,Desconto_Cliente_Mes!$A$2:$A$433,D$73,Desconto_Cliente_Mes!$B$2:$B$433,$A73,Desconto_Cliente_Mes!$C$2:$C$433,"Fibra")="",(IF(SUMIFS(Desconto_Cliente_Mes!$R$2:$R$433,Desconto_Cliente_Mes!$A$2:$A$433,D$73,Desconto_Cliente_Mes!$B$2:$B$433,$A73,Desconto_Cliente_Mes!$C$2:$C$433,"Fibra")="",SUMIFS(Desconto_Cliente_Mes!$Q$2:$Q$433,Desconto_Cliente_Mes!$A$2:$A$433,D$73,Desconto_Cliente_Mes!$B$2:$B$433,$A73,Desconto_Cliente_Mes!$C$2:$C$433,"Fibra"),SUMIFS(Desconto_Cliente_Mes!$R$2:$R$433,Desconto_Cliente_Mes!$A$2:$A$433,D$73,Desconto_Cliente_Mes!$B$2:$B$433,$A73,Desconto_Cliente_Mes!$C$2:$C$433,"Fibra"))),SUMIFS(Desconto_Cliente_Mes!$S$2:$S$433,Desconto_Cliente_Mes!$A$2:$A$433,D$73,Desconto_Cliente_Mes!$B$2:$B$433,$A73,Desconto_Cliente_Mes!$C$2:$C$433,"Fibra")))-(IF(SUMIFS(Desconto_Cliente_Mes!$R$2:$R$433,Desconto_Cliente_Mes!$A$2:$A$433,D$73,Desconto_Cliente_Mes!$B$2:$B$433,$A73,Desconto_Cliente_Mes!$C$2:$C$433,"Fibra")="",SUMIFS(Desconto_Cliente_Mes!$Q$2:$Q$433,Desconto_Cliente_Mes!$A$2:$A$433,D$73,Desconto_Cliente_Mes!$B$2:$B$433,$A73,Desconto_Cliente_Mes!$C$2:$C$433,"Fibra"),SUMIFS(Desconto_Cliente_Mes!$R$2:$R$433,Desconto_Cliente_Mes!$A$2:$A$433,D$73,Desconto_Cliente_Mes!$B$2:$B$433,$A73,Desconto_Cliente_Mes!$C$2:$C$433,"Fibra"))))*(SUMIFS(Desconto_Cliente_Mes!$T$2:$T$433,Desconto_Cliente_Mes!$A$2:$A$433,D$73,Desconto_Cliente_Mes!$B$2:$B$433,$A73,Desconto_Cliente_Mes!$C$2:$C$433,"Fibra"))</f>
        <v>0</v>
      </c>
      <c r="E81" s="16" t="n">
        <f aca="false">$E$75*($E$78/100)*((IF(SUMIFS(Desconto_Cliente_Mes!$S$2:$S$433,Desconto_Cliente_Mes!$A$2:$A$433,E$73,Desconto_Cliente_Mes!$B$2:$B$433,$A73,Desconto_Cliente_Mes!$C$2:$C$433,"Fibra")="",(IF(SUMIFS(Desconto_Cliente_Mes!$R$2:$R$433,Desconto_Cliente_Mes!$A$2:$A$433,E$73,Desconto_Cliente_Mes!$B$2:$B$433,$A73,Desconto_Cliente_Mes!$C$2:$C$433,"Fibra")="",SUMIFS(Desconto_Cliente_Mes!$Q$2:$Q$433,Desconto_Cliente_Mes!$A$2:$A$433,E$73,Desconto_Cliente_Mes!$B$2:$B$433,$A73,Desconto_Cliente_Mes!$C$2:$C$433,"Fibra"),SUMIFS(Desconto_Cliente_Mes!$R$2:$R$433,Desconto_Cliente_Mes!$A$2:$A$433,E$73,Desconto_Cliente_Mes!$B$2:$B$433,$A73,Desconto_Cliente_Mes!$C$2:$C$433,"Fibra"))),SUMIFS(Desconto_Cliente_Mes!$S$2:$S$433,Desconto_Cliente_Mes!$A$2:$A$433,E$73,Desconto_Cliente_Mes!$B$2:$B$433,$A73,Desconto_Cliente_Mes!$C$2:$C$433,"Fibra")))-(IF(SUMIFS(Desconto_Cliente_Mes!$R$2:$R$433,Desconto_Cliente_Mes!$A$2:$A$433,E$73,Desconto_Cliente_Mes!$B$2:$B$433,$A73,Desconto_Cliente_Mes!$C$2:$C$433,"Fibra")="",SUMIFS(Desconto_Cliente_Mes!$Q$2:$Q$433,Desconto_Cliente_Mes!$A$2:$A$433,E$73,Desconto_Cliente_Mes!$B$2:$B$433,$A73,Desconto_Cliente_Mes!$C$2:$C$433,"Fibra"),SUMIFS(Desconto_Cliente_Mes!$R$2:$R$433,Desconto_Cliente_Mes!$A$2:$A$433,E$73,Desconto_Cliente_Mes!$B$2:$B$433,$A73,Desconto_Cliente_Mes!$C$2:$C$433,"Fibra"))))*(SUMIFS(Desconto_Cliente_Mes!$T$2:$T$433,Desconto_Cliente_Mes!$A$2:$A$433,E$73,Desconto_Cliente_Mes!$B$2:$B$433,$A73,Desconto_Cliente_Mes!$C$2:$C$433,"Fibra"))</f>
        <v>0</v>
      </c>
      <c r="F81" s="16" t="n">
        <f aca="false">$F$75*($F$78/100)*((IF(SUMIFS(Desconto_Cliente_Mes!$S$2:$S$433,Desconto_Cliente_Mes!$A$2:$A$433,F$73,Desconto_Cliente_Mes!$B$2:$B$433,$A73,Desconto_Cliente_Mes!$C$2:$C$433,"Fibra")="",(IF(SUMIFS(Desconto_Cliente_Mes!$R$2:$R$433,Desconto_Cliente_Mes!$A$2:$A$433,F$73,Desconto_Cliente_Mes!$B$2:$B$433,$A73,Desconto_Cliente_Mes!$C$2:$C$433,"Fibra")="",SUMIFS(Desconto_Cliente_Mes!$Q$2:$Q$433,Desconto_Cliente_Mes!$A$2:$A$433,F$73,Desconto_Cliente_Mes!$B$2:$B$433,$A73,Desconto_Cliente_Mes!$C$2:$C$433,"Fibra"),SUMIFS(Desconto_Cliente_Mes!$R$2:$R$433,Desconto_Cliente_Mes!$A$2:$A$433,F$73,Desconto_Cliente_Mes!$B$2:$B$433,$A73,Desconto_Cliente_Mes!$C$2:$C$433,"Fibra"))),SUMIFS(Desconto_Cliente_Mes!$S$2:$S$433,Desconto_Cliente_Mes!$A$2:$A$433,F$73,Desconto_Cliente_Mes!$B$2:$B$433,$A73,Desconto_Cliente_Mes!$C$2:$C$433,"Fibra")))-(IF(SUMIFS(Desconto_Cliente_Mes!$R$2:$R$433,Desconto_Cliente_Mes!$A$2:$A$433,F$73,Desconto_Cliente_Mes!$B$2:$B$433,$A73,Desconto_Cliente_Mes!$C$2:$C$433,"Fibra")="",SUMIFS(Desconto_Cliente_Mes!$Q$2:$Q$433,Desconto_Cliente_Mes!$A$2:$A$433,F$73,Desconto_Cliente_Mes!$B$2:$B$433,$A73,Desconto_Cliente_Mes!$C$2:$C$433,"Fibra"),SUMIFS(Desconto_Cliente_Mes!$R$2:$R$433,Desconto_Cliente_Mes!$A$2:$A$433,F$73,Desconto_Cliente_Mes!$B$2:$B$433,$A73,Desconto_Cliente_Mes!$C$2:$C$433,"Fibra"))))*(SUMIFS(Desconto_Cliente_Mes!$T$2:$T$433,Desconto_Cliente_Mes!$A$2:$A$433,F$73,Desconto_Cliente_Mes!$B$2:$B$433,$A73,Desconto_Cliente_Mes!$C$2:$C$433,"Fibra"))</f>
        <v>0</v>
      </c>
      <c r="G81" s="16" t="n">
        <f aca="false">$G$75*($G$78/100)*((IF(SUMIFS(Desconto_Cliente_Mes!$S$2:$S$433,Desconto_Cliente_Mes!$A$2:$A$433,G$73,Desconto_Cliente_Mes!$B$2:$B$433,$A73,Desconto_Cliente_Mes!$C$2:$C$433,"Fibra")="",(IF(SUMIFS(Desconto_Cliente_Mes!$R$2:$R$433,Desconto_Cliente_Mes!$A$2:$A$433,G$73,Desconto_Cliente_Mes!$B$2:$B$433,$A73,Desconto_Cliente_Mes!$C$2:$C$433,"Fibra")="",SUMIFS(Desconto_Cliente_Mes!$Q$2:$Q$433,Desconto_Cliente_Mes!$A$2:$A$433,G$73,Desconto_Cliente_Mes!$B$2:$B$433,$A73,Desconto_Cliente_Mes!$C$2:$C$433,"Fibra"),SUMIFS(Desconto_Cliente_Mes!$R$2:$R$433,Desconto_Cliente_Mes!$A$2:$A$433,G$73,Desconto_Cliente_Mes!$B$2:$B$433,$A73,Desconto_Cliente_Mes!$C$2:$C$433,"Fibra"))),SUMIFS(Desconto_Cliente_Mes!$S$2:$S$433,Desconto_Cliente_Mes!$A$2:$A$433,G$73,Desconto_Cliente_Mes!$B$2:$B$433,$A73,Desconto_Cliente_Mes!$C$2:$C$433,"Fibra")))-(IF(SUMIFS(Desconto_Cliente_Mes!$R$2:$R$433,Desconto_Cliente_Mes!$A$2:$A$433,G$73,Desconto_Cliente_Mes!$B$2:$B$433,$A73,Desconto_Cliente_Mes!$C$2:$C$433,"Fibra")="",SUMIFS(Desconto_Cliente_Mes!$Q$2:$Q$433,Desconto_Cliente_Mes!$A$2:$A$433,G$73,Desconto_Cliente_Mes!$B$2:$B$433,$A73,Desconto_Cliente_Mes!$C$2:$C$433,"Fibra"),SUMIFS(Desconto_Cliente_Mes!$R$2:$R$433,Desconto_Cliente_Mes!$A$2:$A$433,G$73,Desconto_Cliente_Mes!$B$2:$B$433,$A73,Desconto_Cliente_Mes!$C$2:$C$433,"Fibra"))))*(SUMIFS(Desconto_Cliente_Mes!$T$2:$T$433,Desconto_Cliente_Mes!$A$2:$A$433,G$73,Desconto_Cliente_Mes!$B$2:$B$433,$A73,Desconto_Cliente_Mes!$C$2:$C$433,"Fibra"))</f>
        <v>0</v>
      </c>
      <c r="H81" s="16" t="n">
        <f aca="false">$H$75*($H$78/100)*((IF(SUMIFS(Desconto_Cliente_Mes!$S$2:$S$433,Desconto_Cliente_Mes!$A$2:$A$433,H$73,Desconto_Cliente_Mes!$B$2:$B$433,$A73,Desconto_Cliente_Mes!$C$2:$C$433,"Fibra")="",(IF(SUMIFS(Desconto_Cliente_Mes!$R$2:$R$433,Desconto_Cliente_Mes!$A$2:$A$433,H$73,Desconto_Cliente_Mes!$B$2:$B$433,$A73,Desconto_Cliente_Mes!$C$2:$C$433,"Fibra")="",SUMIFS(Desconto_Cliente_Mes!$Q$2:$Q$433,Desconto_Cliente_Mes!$A$2:$A$433,H$73,Desconto_Cliente_Mes!$B$2:$B$433,$A73,Desconto_Cliente_Mes!$C$2:$C$433,"Fibra"),SUMIFS(Desconto_Cliente_Mes!$R$2:$R$433,Desconto_Cliente_Mes!$A$2:$A$433,H$73,Desconto_Cliente_Mes!$B$2:$B$433,$A73,Desconto_Cliente_Mes!$C$2:$C$433,"Fibra"))),SUMIFS(Desconto_Cliente_Mes!$S$2:$S$433,Desconto_Cliente_Mes!$A$2:$A$433,H$73,Desconto_Cliente_Mes!$B$2:$B$433,$A73,Desconto_Cliente_Mes!$C$2:$C$433,"Fibra")))-(IF(SUMIFS(Desconto_Cliente_Mes!$R$2:$R$433,Desconto_Cliente_Mes!$A$2:$A$433,H$73,Desconto_Cliente_Mes!$B$2:$B$433,$A73,Desconto_Cliente_Mes!$C$2:$C$433,"Fibra")="",SUMIFS(Desconto_Cliente_Mes!$Q$2:$Q$433,Desconto_Cliente_Mes!$A$2:$A$433,H$73,Desconto_Cliente_Mes!$B$2:$B$433,$A73,Desconto_Cliente_Mes!$C$2:$C$433,"Fibra"),SUMIFS(Desconto_Cliente_Mes!$R$2:$R$433,Desconto_Cliente_Mes!$A$2:$A$433,H$73,Desconto_Cliente_Mes!$B$2:$B$433,$A73,Desconto_Cliente_Mes!$C$2:$C$433,"Fibra"))))*(SUMIFS(Desconto_Cliente_Mes!$T$2:$T$433,Desconto_Cliente_Mes!$A$2:$A$433,H$73,Desconto_Cliente_Mes!$B$2:$B$433,$A73,Desconto_Cliente_Mes!$C$2:$C$433,"Fibra"))</f>
        <v>0</v>
      </c>
      <c r="I81" s="16" t="n">
        <f aca="false">$I$75*($I$78/100)*((IF(SUMIFS(Desconto_Cliente_Mes!$S$2:$S$433,Desconto_Cliente_Mes!$A$2:$A$433,I$73,Desconto_Cliente_Mes!$B$2:$B$433,$A73,Desconto_Cliente_Mes!$C$2:$C$433,"Fibra")="",(IF(SUMIFS(Desconto_Cliente_Mes!$R$2:$R$433,Desconto_Cliente_Mes!$A$2:$A$433,I$73,Desconto_Cliente_Mes!$B$2:$B$433,$A73,Desconto_Cliente_Mes!$C$2:$C$433,"Fibra")="",SUMIFS(Desconto_Cliente_Mes!$Q$2:$Q$433,Desconto_Cliente_Mes!$A$2:$A$433,I$73,Desconto_Cliente_Mes!$B$2:$B$433,$A73,Desconto_Cliente_Mes!$C$2:$C$433,"Fibra"),SUMIFS(Desconto_Cliente_Mes!$R$2:$R$433,Desconto_Cliente_Mes!$A$2:$A$433,I$73,Desconto_Cliente_Mes!$B$2:$B$433,$A73,Desconto_Cliente_Mes!$C$2:$C$433,"Fibra"))),SUMIFS(Desconto_Cliente_Mes!$S$2:$S$433,Desconto_Cliente_Mes!$A$2:$A$433,I$73,Desconto_Cliente_Mes!$B$2:$B$433,$A73,Desconto_Cliente_Mes!$C$2:$C$433,"Fibra")))-(IF(SUMIFS(Desconto_Cliente_Mes!$R$2:$R$433,Desconto_Cliente_Mes!$A$2:$A$433,I$73,Desconto_Cliente_Mes!$B$2:$B$433,$A73,Desconto_Cliente_Mes!$C$2:$C$433,"Fibra")="",SUMIFS(Desconto_Cliente_Mes!$Q$2:$Q$433,Desconto_Cliente_Mes!$A$2:$A$433,I$73,Desconto_Cliente_Mes!$B$2:$B$433,$A73,Desconto_Cliente_Mes!$C$2:$C$433,"Fibra"),SUMIFS(Desconto_Cliente_Mes!$R$2:$R$433,Desconto_Cliente_Mes!$A$2:$A$433,I$73,Desconto_Cliente_Mes!$B$2:$B$433,$A73,Desconto_Cliente_Mes!$C$2:$C$433,"Fibra"))))*(SUMIFS(Desconto_Cliente_Mes!$T$2:$T$433,Desconto_Cliente_Mes!$A$2:$A$433,I$73,Desconto_Cliente_Mes!$B$2:$B$433,$A73,Desconto_Cliente_Mes!$C$2:$C$433,"Fibra"))</f>
        <v>0</v>
      </c>
      <c r="J81" s="16" t="n">
        <f aca="false">$J$75*($J$78/100)*((IF(SUMIFS(Desconto_Cliente_Mes!$S$2:$S$433,Desconto_Cliente_Mes!$A$2:$A$433,J$73,Desconto_Cliente_Mes!$B$2:$B$433,$A73,Desconto_Cliente_Mes!$C$2:$C$433,"Fibra")="",(IF(SUMIFS(Desconto_Cliente_Mes!$R$2:$R$433,Desconto_Cliente_Mes!$A$2:$A$433,J$73,Desconto_Cliente_Mes!$B$2:$B$433,$A73,Desconto_Cliente_Mes!$C$2:$C$433,"Fibra")="",SUMIFS(Desconto_Cliente_Mes!$Q$2:$Q$433,Desconto_Cliente_Mes!$A$2:$A$433,J$73,Desconto_Cliente_Mes!$B$2:$B$433,$A73,Desconto_Cliente_Mes!$C$2:$C$433,"Fibra"),SUMIFS(Desconto_Cliente_Mes!$R$2:$R$433,Desconto_Cliente_Mes!$A$2:$A$433,J$73,Desconto_Cliente_Mes!$B$2:$B$433,$A73,Desconto_Cliente_Mes!$C$2:$C$433,"Fibra"))),SUMIFS(Desconto_Cliente_Mes!$S$2:$S$433,Desconto_Cliente_Mes!$A$2:$A$433,J$73,Desconto_Cliente_Mes!$B$2:$B$433,$A73,Desconto_Cliente_Mes!$C$2:$C$433,"Fibra")))-(IF(SUMIFS(Desconto_Cliente_Mes!$R$2:$R$433,Desconto_Cliente_Mes!$A$2:$A$433,J$73,Desconto_Cliente_Mes!$B$2:$B$433,$A73,Desconto_Cliente_Mes!$C$2:$C$433,"Fibra")="",SUMIFS(Desconto_Cliente_Mes!$Q$2:$Q$433,Desconto_Cliente_Mes!$A$2:$A$433,J$73,Desconto_Cliente_Mes!$B$2:$B$433,$A73,Desconto_Cliente_Mes!$C$2:$C$433,"Fibra"),SUMIFS(Desconto_Cliente_Mes!$R$2:$R$433,Desconto_Cliente_Mes!$A$2:$A$433,J$73,Desconto_Cliente_Mes!$B$2:$B$433,$A73,Desconto_Cliente_Mes!$C$2:$C$433,"Fibra"))))*(SUMIFS(Desconto_Cliente_Mes!$T$2:$T$433,Desconto_Cliente_Mes!$A$2:$A$433,J$73,Desconto_Cliente_Mes!$B$2:$B$433,$A73,Desconto_Cliente_Mes!$C$2:$C$433,"Fibra"))</f>
        <v>0</v>
      </c>
      <c r="K81" s="16" t="n">
        <f aca="false">$K$75*($K$78/100)*((IF(SUMIFS(Desconto_Cliente_Mes!$S$2:$S$433,Desconto_Cliente_Mes!$A$2:$A$433,K$73,Desconto_Cliente_Mes!$B$2:$B$433,$A73,Desconto_Cliente_Mes!$C$2:$C$433,"Fibra")="",(IF(SUMIFS(Desconto_Cliente_Mes!$R$2:$R$433,Desconto_Cliente_Mes!$A$2:$A$433,K$73,Desconto_Cliente_Mes!$B$2:$B$433,$A73,Desconto_Cliente_Mes!$C$2:$C$433,"Fibra")="",SUMIFS(Desconto_Cliente_Mes!$Q$2:$Q$433,Desconto_Cliente_Mes!$A$2:$A$433,K$73,Desconto_Cliente_Mes!$B$2:$B$433,$A73,Desconto_Cliente_Mes!$C$2:$C$433,"Fibra"),SUMIFS(Desconto_Cliente_Mes!$R$2:$R$433,Desconto_Cliente_Mes!$A$2:$A$433,K$73,Desconto_Cliente_Mes!$B$2:$B$433,$A73,Desconto_Cliente_Mes!$C$2:$C$433,"Fibra"))),SUMIFS(Desconto_Cliente_Mes!$S$2:$S$433,Desconto_Cliente_Mes!$A$2:$A$433,K$73,Desconto_Cliente_Mes!$B$2:$B$433,$A73,Desconto_Cliente_Mes!$C$2:$C$433,"Fibra")))-(IF(SUMIFS(Desconto_Cliente_Mes!$R$2:$R$433,Desconto_Cliente_Mes!$A$2:$A$433,K$73,Desconto_Cliente_Mes!$B$2:$B$433,$A73,Desconto_Cliente_Mes!$C$2:$C$433,"Fibra")="",SUMIFS(Desconto_Cliente_Mes!$Q$2:$Q$433,Desconto_Cliente_Mes!$A$2:$A$433,K$73,Desconto_Cliente_Mes!$B$2:$B$433,$A73,Desconto_Cliente_Mes!$C$2:$C$433,"Fibra"),SUMIFS(Desconto_Cliente_Mes!$R$2:$R$433,Desconto_Cliente_Mes!$A$2:$A$433,K$73,Desconto_Cliente_Mes!$B$2:$B$433,$A73,Desconto_Cliente_Mes!$C$2:$C$433,"Fibra"))))*(SUMIFS(Desconto_Cliente_Mes!$T$2:$T$433,Desconto_Cliente_Mes!$A$2:$A$433,K$73,Desconto_Cliente_Mes!$B$2:$B$433,$A73,Desconto_Cliente_Mes!$C$2:$C$433,"Fibra"))</f>
        <v>0</v>
      </c>
      <c r="L81" s="16" t="n">
        <f aca="false">$L$75*($L$78/100)*((IF(SUMIFS(Desconto_Cliente_Mes!$S$2:$S$433,Desconto_Cliente_Mes!$A$2:$A$433,L$73,Desconto_Cliente_Mes!$B$2:$B$433,$A73,Desconto_Cliente_Mes!$C$2:$C$433,"Fibra")="",(IF(SUMIFS(Desconto_Cliente_Mes!$R$2:$R$433,Desconto_Cliente_Mes!$A$2:$A$433,L$73,Desconto_Cliente_Mes!$B$2:$B$433,$A73,Desconto_Cliente_Mes!$C$2:$C$433,"Fibra")="",SUMIFS(Desconto_Cliente_Mes!$Q$2:$Q$433,Desconto_Cliente_Mes!$A$2:$A$433,L$73,Desconto_Cliente_Mes!$B$2:$B$433,$A73,Desconto_Cliente_Mes!$C$2:$C$433,"Fibra"),SUMIFS(Desconto_Cliente_Mes!$R$2:$R$433,Desconto_Cliente_Mes!$A$2:$A$433,L$73,Desconto_Cliente_Mes!$B$2:$B$433,$A73,Desconto_Cliente_Mes!$C$2:$C$433,"Fibra"))),SUMIFS(Desconto_Cliente_Mes!$S$2:$S$433,Desconto_Cliente_Mes!$A$2:$A$433,L$73,Desconto_Cliente_Mes!$B$2:$B$433,$A73,Desconto_Cliente_Mes!$C$2:$C$433,"Fibra")))-(IF(SUMIFS(Desconto_Cliente_Mes!$R$2:$R$433,Desconto_Cliente_Mes!$A$2:$A$433,L$73,Desconto_Cliente_Mes!$B$2:$B$433,$A73,Desconto_Cliente_Mes!$C$2:$C$433,"Fibra")="",SUMIFS(Desconto_Cliente_Mes!$Q$2:$Q$433,Desconto_Cliente_Mes!$A$2:$A$433,L$73,Desconto_Cliente_Mes!$B$2:$B$433,$A73,Desconto_Cliente_Mes!$C$2:$C$433,"Fibra"),SUMIFS(Desconto_Cliente_Mes!$R$2:$R$433,Desconto_Cliente_Mes!$A$2:$A$433,L$73,Desconto_Cliente_Mes!$B$2:$B$433,$A73,Desconto_Cliente_Mes!$C$2:$C$433,"Fibra"))))*(SUMIFS(Desconto_Cliente_Mes!$T$2:$T$433,Desconto_Cliente_Mes!$A$2:$A$433,L$73,Desconto_Cliente_Mes!$B$2:$B$433,$A73,Desconto_Cliente_Mes!$C$2:$C$433,"Fibra"))</f>
        <v>0</v>
      </c>
      <c r="M81" s="16" t="n">
        <f aca="false">$M$75*($M$78/100)*((IF(SUMIFS(Desconto_Cliente_Mes!$S$2:$S$433,Desconto_Cliente_Mes!$A$2:$A$433,M$73,Desconto_Cliente_Mes!$B$2:$B$433,$A73,Desconto_Cliente_Mes!$C$2:$C$433,"Fibra")="",(IF(SUMIFS(Desconto_Cliente_Mes!$R$2:$R$433,Desconto_Cliente_Mes!$A$2:$A$433,M$73,Desconto_Cliente_Mes!$B$2:$B$433,$A73,Desconto_Cliente_Mes!$C$2:$C$433,"Fibra")="",SUMIFS(Desconto_Cliente_Mes!$Q$2:$Q$433,Desconto_Cliente_Mes!$A$2:$A$433,M$73,Desconto_Cliente_Mes!$B$2:$B$433,$A73,Desconto_Cliente_Mes!$C$2:$C$433,"Fibra"),SUMIFS(Desconto_Cliente_Mes!$R$2:$R$433,Desconto_Cliente_Mes!$A$2:$A$433,M$73,Desconto_Cliente_Mes!$B$2:$B$433,$A73,Desconto_Cliente_Mes!$C$2:$C$433,"Fibra"))),SUMIFS(Desconto_Cliente_Mes!$S$2:$S$433,Desconto_Cliente_Mes!$A$2:$A$433,M$73,Desconto_Cliente_Mes!$B$2:$B$433,$A73,Desconto_Cliente_Mes!$C$2:$C$433,"Fibra")))-(IF(SUMIFS(Desconto_Cliente_Mes!$R$2:$R$433,Desconto_Cliente_Mes!$A$2:$A$433,M$73,Desconto_Cliente_Mes!$B$2:$B$433,$A73,Desconto_Cliente_Mes!$C$2:$C$433,"Fibra")="",SUMIFS(Desconto_Cliente_Mes!$Q$2:$Q$433,Desconto_Cliente_Mes!$A$2:$A$433,M$73,Desconto_Cliente_Mes!$B$2:$B$433,$A73,Desconto_Cliente_Mes!$C$2:$C$433,"Fibra"),SUMIFS(Desconto_Cliente_Mes!$R$2:$R$433,Desconto_Cliente_Mes!$A$2:$A$433,M$73,Desconto_Cliente_Mes!$B$2:$B$433,$A73,Desconto_Cliente_Mes!$C$2:$C$433,"Fibra"))))*(SUMIFS(Desconto_Cliente_Mes!$T$2:$T$433,Desconto_Cliente_Mes!$A$2:$A$433,M$73,Desconto_Cliente_Mes!$B$2:$B$433,$A73,Desconto_Cliente_Mes!$C$2:$C$433,"Fibra"))</f>
        <v>0</v>
      </c>
      <c r="N81" s="17" t="n">
        <f aca="false">SUM(B81:M81)</f>
        <v>0</v>
      </c>
    </row>
    <row r="82" customFormat="false" ht="15" hidden="false" customHeight="false" outlineLevel="0" collapsed="false">
      <c r="A82" s="13" t="s">
        <v>82</v>
      </c>
      <c r="B82" s="16" t="n">
        <f aca="false">SUMIFS(Acerto_Detalhado!$J$2:$J$433,Acerto_Detalhado!$A$2:$A$433,B$73,Acerto_Detalhado!$B$2:$B$433,$A73,Acerto_Detalhado!$C$2:$C$433,"Fibra")</f>
        <v>0</v>
      </c>
      <c r="C82" s="16" t="n">
        <f aca="false">SUMIFS(Acerto_Detalhado!$J$2:$J$433,Acerto_Detalhado!$A$2:$A$433,C$73,Acerto_Detalhado!$B$2:$B$433,$A73,Acerto_Detalhado!$C$2:$C$433,"Fibra")</f>
        <v>9403.74744925673</v>
      </c>
      <c r="D82" s="16" t="n">
        <f aca="false">SUMIFS(Acerto_Detalhado!$J$2:$J$433,Acerto_Detalhado!$A$2:$A$433,D$73,Acerto_Detalhado!$B$2:$B$433,$A73,Acerto_Detalhado!$C$2:$C$433,"Fibra")</f>
        <v>16634.1394646807</v>
      </c>
      <c r="E82" s="16" t="n">
        <f aca="false">SUMIFS(Acerto_Detalhado!$J$2:$J$433,Acerto_Detalhado!$A$2:$A$433,E$73,Acerto_Detalhado!$B$2:$B$433,$A73,Acerto_Detalhado!$C$2:$C$433,"Fibra")</f>
        <v>0</v>
      </c>
      <c r="F82" s="16" t="n">
        <f aca="false">SUMIFS(Acerto_Detalhado!$J$2:$J$433,Acerto_Detalhado!$A$2:$A$433,F$73,Acerto_Detalhado!$B$2:$B$433,$A73,Acerto_Detalhado!$C$2:$C$433,"Fibra")</f>
        <v>15487.9693539088</v>
      </c>
      <c r="G82" s="16" t="n">
        <f aca="false">SUMIFS(Acerto_Detalhado!$J$2:$J$433,Acerto_Detalhado!$A$2:$A$433,G$73,Acerto_Detalhado!$B$2:$B$433,$A73,Acerto_Detalhado!$C$2:$C$433,"Fibra")</f>
        <v>0</v>
      </c>
      <c r="H82" s="16" t="n">
        <f aca="false">SUMIFS(Acerto_Detalhado!$J$2:$J$433,Acerto_Detalhado!$A$2:$A$433,H$73,Acerto_Detalhado!$B$2:$B$433,$A73,Acerto_Detalhado!$C$2:$C$433,"Fibra")</f>
        <v>0</v>
      </c>
      <c r="I82" s="16" t="n">
        <f aca="false">SUMIFS(Acerto_Detalhado!$J$2:$J$433,Acerto_Detalhado!$A$2:$A$433,I$73,Acerto_Detalhado!$B$2:$B$433,$A73,Acerto_Detalhado!$C$2:$C$433,"Fibra")</f>
        <v>0</v>
      </c>
      <c r="J82" s="16" t="n">
        <f aca="false">SUMIFS(Acerto_Detalhado!$J$2:$J$433,Acerto_Detalhado!$A$2:$A$433,J$73,Acerto_Detalhado!$B$2:$B$433,$A73,Acerto_Detalhado!$C$2:$C$433,"Fibra")</f>
        <v>0</v>
      </c>
      <c r="K82" s="16" t="n">
        <f aca="false">SUMIFS(Acerto_Detalhado!$J$2:$J$433,Acerto_Detalhado!$A$2:$A$433,K$73,Acerto_Detalhado!$B$2:$B$433,$A73,Acerto_Detalhado!$C$2:$C$433,"Fibra")</f>
        <v>11708.7776301536</v>
      </c>
      <c r="L82" s="16" t="n">
        <f aca="false">SUMIFS(Acerto_Detalhado!$J$2:$J$433,Acerto_Detalhado!$A$2:$A$433,L$73,Acerto_Detalhado!$B$2:$B$433,$A73,Acerto_Detalhado!$C$2:$C$433,"Fibra")</f>
        <v>0</v>
      </c>
      <c r="M82" s="16" t="n">
        <f aca="false">SUMIFS(Acerto_Detalhado!$J$2:$J$433,Acerto_Detalhado!$A$2:$A$433,M$73,Acerto_Detalhado!$B$2:$B$433,$A73,Acerto_Detalhado!$C$2:$C$433,"Fibra")</f>
        <v>0</v>
      </c>
      <c r="N82" s="17" t="n">
        <f aca="false">SUM(B82:M82)</f>
        <v>53234.6338979999</v>
      </c>
    </row>
    <row r="84" customFormat="false" ht="15" hidden="false" customHeight="false" outlineLevel="0" collapsed="false">
      <c r="A84" s="5" t="s">
        <v>65</v>
      </c>
      <c r="B84" s="6" t="s">
        <v>39</v>
      </c>
      <c r="C84" s="6" t="s">
        <v>40</v>
      </c>
      <c r="D84" s="6" t="s">
        <v>41</v>
      </c>
      <c r="E84" s="6" t="s">
        <v>42</v>
      </c>
      <c r="F84" s="6" t="s">
        <v>43</v>
      </c>
      <c r="G84" s="6" t="s">
        <v>44</v>
      </c>
      <c r="H84" s="6" t="s">
        <v>45</v>
      </c>
      <c r="I84" s="6" t="s">
        <v>46</v>
      </c>
      <c r="J84" s="6" t="s">
        <v>47</v>
      </c>
      <c r="K84" s="6" t="s">
        <v>48</v>
      </c>
      <c r="L84" s="6" t="s">
        <v>49</v>
      </c>
      <c r="M84" s="6" t="s">
        <v>50</v>
      </c>
      <c r="N84" s="6" t="s">
        <v>51</v>
      </c>
    </row>
    <row r="85" customFormat="false" ht="15" hidden="false" customHeight="false" outlineLevel="0" collapsed="false">
      <c r="A85" s="13" t="s">
        <v>74</v>
      </c>
      <c r="B85" s="10" t="n">
        <f aca="false">IF((SUMIFS(Desconto_Cliente_Mes!$D$2:$D$433,Desconto_Cliente_Mes!$A$2:$A$433,B$84,Desconto_Cliente_Mes!$B$2:$B$433,$A84,Desconto_Cliente_Mes!$C$2:$C$433,"Fibra"))=0,"",IFERROR(SUMIFS(Desconto_Cliente_Mes!$E$2:$E$433,Desconto_Cliente_Mes!$A$2:$A$433,B$84,Desconto_Cliente_Mes!$B$2:$B$433,$A84,Desconto_Cliente_Mes!$C$2:$C$433,"Fibra"),""))</f>
        <v>3.98946561050009</v>
      </c>
      <c r="C85" s="10" t="n">
        <f aca="false">IF((SUMIFS(Desconto_Cliente_Mes!$D$2:$D$433,Desconto_Cliente_Mes!$A$2:$A$433,C$84,Desconto_Cliente_Mes!$B$2:$B$433,$A84,Desconto_Cliente_Mes!$C$2:$C$433,"Fibra"))=0,"",IFERROR(SUMIFS(Desconto_Cliente_Mes!$E$2:$E$433,Desconto_Cliente_Mes!$A$2:$A$433,C$84,Desconto_Cliente_Mes!$B$2:$B$433,$A84,Desconto_Cliente_Mes!$C$2:$C$433,"Fibra"),""))</f>
        <v>3.72450805011421</v>
      </c>
      <c r="D85" s="10" t="n">
        <f aca="false">IF((SUMIFS(Desconto_Cliente_Mes!$D$2:$D$433,Desconto_Cliente_Mes!$A$2:$A$433,D$84,Desconto_Cliente_Mes!$B$2:$B$433,$A84,Desconto_Cliente_Mes!$C$2:$C$433,"Fibra"))=0,"",IFERROR(SUMIFS(Desconto_Cliente_Mes!$E$2:$E$433,Desconto_Cliente_Mes!$A$2:$A$433,D$84,Desconto_Cliente_Mes!$B$2:$B$433,$A84,Desconto_Cliente_Mes!$C$2:$C$433,"Fibra"),""))</f>
        <v>3.41285904667886</v>
      </c>
      <c r="E85" s="10" t="n">
        <f aca="false">IF((SUMIFS(Desconto_Cliente_Mes!$D$2:$D$433,Desconto_Cliente_Mes!$A$2:$A$433,E$84,Desconto_Cliente_Mes!$B$2:$B$433,$A84,Desconto_Cliente_Mes!$C$2:$C$433,"Fibra"))=0,"",IFERROR(SUMIFS(Desconto_Cliente_Mes!$E$2:$E$433,Desconto_Cliente_Mes!$A$2:$A$433,E$84,Desconto_Cliente_Mes!$B$2:$B$433,$A84,Desconto_Cliente_Mes!$C$2:$C$433,"Fibra"),""))</f>
        <v>3.92197017102214</v>
      </c>
      <c r="F85" s="10" t="n">
        <f aca="false">IF((SUMIFS(Desconto_Cliente_Mes!$D$2:$D$433,Desconto_Cliente_Mes!$A$2:$A$433,F$84,Desconto_Cliente_Mes!$B$2:$B$433,$A84,Desconto_Cliente_Mes!$C$2:$C$433,"Fibra"))=0,"",IFERROR(SUMIFS(Desconto_Cliente_Mes!$E$2:$E$433,Desconto_Cliente_Mes!$A$2:$A$433,F$84,Desconto_Cliente_Mes!$B$2:$B$433,$A84,Desconto_Cliente_Mes!$C$2:$C$433,"Fibra"),""))</f>
        <v>3.90033135712579</v>
      </c>
      <c r="G85" s="10" t="n">
        <f aca="false">IF((SUMIFS(Desconto_Cliente_Mes!$D$2:$D$433,Desconto_Cliente_Mes!$A$2:$A$433,G$84,Desconto_Cliente_Mes!$B$2:$B$433,$A84,Desconto_Cliente_Mes!$C$2:$C$433,"Fibra"))=0,"",IFERROR(SUMIFS(Desconto_Cliente_Mes!$E$2:$E$433,Desconto_Cliente_Mes!$A$2:$A$433,G$84,Desconto_Cliente_Mes!$B$2:$B$433,$A84,Desconto_Cliente_Mes!$C$2:$C$433,"Fibra"),""))</f>
        <v>3.85339618374641</v>
      </c>
      <c r="H85" s="10" t="n">
        <f aca="false">IF((SUMIFS(Desconto_Cliente_Mes!$D$2:$D$433,Desconto_Cliente_Mes!$A$2:$A$433,H$84,Desconto_Cliente_Mes!$B$2:$B$433,$A84,Desconto_Cliente_Mes!$C$2:$C$433,"Fibra"))=0,"",IFERROR(SUMIFS(Desconto_Cliente_Mes!$E$2:$E$433,Desconto_Cliente_Mes!$A$2:$A$433,H$84,Desconto_Cliente_Mes!$B$2:$B$433,$A84,Desconto_Cliente_Mes!$C$2:$C$433,"Fibra"),""))</f>
        <v>3.80781625947368</v>
      </c>
      <c r="I85" s="10" t="n">
        <f aca="false">IF((SUMIFS(Desconto_Cliente_Mes!$D$2:$D$433,Desconto_Cliente_Mes!$A$2:$A$433,I$84,Desconto_Cliente_Mes!$B$2:$B$433,$A84,Desconto_Cliente_Mes!$C$2:$C$433,"Fibra"))=0,"",IFERROR(SUMIFS(Desconto_Cliente_Mes!$E$2:$E$433,Desconto_Cliente_Mes!$A$2:$A$433,I$84,Desconto_Cliente_Mes!$B$2:$B$433,$A84,Desconto_Cliente_Mes!$C$2:$C$433,"Fibra"),""))</f>
        <v>3.75247210228543</v>
      </c>
      <c r="J85" s="10" t="str">
        <f aca="false">IF((SUMIFS(Desconto_Cliente_Mes!$D$2:$D$433,Desconto_Cliente_Mes!$A$2:$A$433,J$84,Desconto_Cliente_Mes!$B$2:$B$433,$A84,Desconto_Cliente_Mes!$C$2:$C$433,"Fibra"))=0,"",IFERROR(SUMIFS(Desconto_Cliente_Mes!$E$2:$E$433,Desconto_Cliente_Mes!$A$2:$A$433,J$84,Desconto_Cliente_Mes!$B$2:$B$433,$A84,Desconto_Cliente_Mes!$C$2:$C$433,"Fibra"),""))</f>
        <v/>
      </c>
      <c r="K85" s="10" t="n">
        <f aca="false">IF((SUMIFS(Desconto_Cliente_Mes!$D$2:$D$433,Desconto_Cliente_Mes!$A$2:$A$433,K$84,Desconto_Cliente_Mes!$B$2:$B$433,$A84,Desconto_Cliente_Mes!$C$2:$C$433,"Fibra"))=0,"",IFERROR(SUMIFS(Desconto_Cliente_Mes!$E$2:$E$433,Desconto_Cliente_Mes!$A$2:$A$433,K$84,Desconto_Cliente_Mes!$B$2:$B$433,$A84,Desconto_Cliente_Mes!$C$2:$C$433,"Fibra"),""))</f>
        <v>3.86167457798898</v>
      </c>
      <c r="L85" s="10" t="str">
        <f aca="false">IF((SUMIFS(Desconto_Cliente_Mes!$D$2:$D$433,Desconto_Cliente_Mes!$A$2:$A$433,L$84,Desconto_Cliente_Mes!$B$2:$B$433,$A84,Desconto_Cliente_Mes!$C$2:$C$433,"Fibra"))=0,"",IFERROR(SUMIFS(Desconto_Cliente_Mes!$E$2:$E$433,Desconto_Cliente_Mes!$A$2:$A$433,L$84,Desconto_Cliente_Mes!$B$2:$B$433,$A84,Desconto_Cliente_Mes!$C$2:$C$433,"Fibra"),""))</f>
        <v/>
      </c>
      <c r="M85" s="10" t="str">
        <f aca="false">IF((SUMIFS(Desconto_Cliente_Mes!$D$2:$D$433,Desconto_Cliente_Mes!$A$2:$A$433,M$84,Desconto_Cliente_Mes!$B$2:$B$433,$A84,Desconto_Cliente_Mes!$C$2:$C$433,"Fibra"))=0,"",IFERROR(SUMIFS(Desconto_Cliente_Mes!$E$2:$E$433,Desconto_Cliente_Mes!$A$2:$A$433,M$84,Desconto_Cliente_Mes!$B$2:$B$433,$A84,Desconto_Cliente_Mes!$C$2:$C$433,"Fibra"),""))</f>
        <v/>
      </c>
      <c r="N85" s="11" t="n">
        <f aca="false">IFERROR(Media_Pool_Mes!E9,"")</f>
        <v>3.7692688740906</v>
      </c>
    </row>
    <row r="86" customFormat="false" ht="15" hidden="false" customHeight="false" outlineLevel="0" collapsed="false">
      <c r="A86" s="13" t="s">
        <v>75</v>
      </c>
      <c r="B86" s="8" t="n">
        <f aca="false">IFERROR(SUMIFS(Desconto_Cliente_Mes!$D$2:$D$433,Desconto_Cliente_Mes!$A$2:$A$433,B$84,Desconto_Cliente_Mes!$B$2:$B$433,$A84,Desconto_Cliente_Mes!$C$2:$C$433,"Fibra"),0)</f>
        <v>44263.22</v>
      </c>
      <c r="C86" s="8" t="n">
        <f aca="false">IFERROR(SUMIFS(Desconto_Cliente_Mes!$D$2:$D$433,Desconto_Cliente_Mes!$A$2:$A$433,C$84,Desconto_Cliente_Mes!$B$2:$B$433,$A84,Desconto_Cliente_Mes!$C$2:$C$433,"Fibra"),0)</f>
        <v>43335.41</v>
      </c>
      <c r="D86" s="8" t="n">
        <f aca="false">IFERROR(SUMIFS(Desconto_Cliente_Mes!$D$2:$D$433,Desconto_Cliente_Mes!$A$2:$A$433,D$84,Desconto_Cliente_Mes!$B$2:$B$433,$A84,Desconto_Cliente_Mes!$C$2:$C$433,"Fibra"),0)</f>
        <v>77775.89</v>
      </c>
      <c r="E86" s="8" t="n">
        <f aca="false">IFERROR(SUMIFS(Desconto_Cliente_Mes!$D$2:$D$433,Desconto_Cliente_Mes!$A$2:$A$433,E$84,Desconto_Cliente_Mes!$B$2:$B$433,$A84,Desconto_Cliente_Mes!$C$2:$C$433,"Fibra"),0)</f>
        <v>5005.2</v>
      </c>
      <c r="F86" s="8" t="n">
        <f aca="false">IFERROR(SUMIFS(Desconto_Cliente_Mes!$D$2:$D$433,Desconto_Cliente_Mes!$A$2:$A$433,F$84,Desconto_Cliente_Mes!$B$2:$B$433,$A84,Desconto_Cliente_Mes!$C$2:$C$433,"Fibra"),0)</f>
        <v>70028.07</v>
      </c>
      <c r="G86" s="8" t="n">
        <f aca="false">IFERROR(SUMIFS(Desconto_Cliente_Mes!$D$2:$D$433,Desconto_Cliente_Mes!$A$2:$A$433,G$84,Desconto_Cliente_Mes!$B$2:$B$433,$A84,Desconto_Cliente_Mes!$C$2:$C$433,"Fibra"),0)</f>
        <v>47668.74</v>
      </c>
      <c r="H86" s="8" t="n">
        <f aca="false">IFERROR(SUMIFS(Desconto_Cliente_Mes!$D$2:$D$433,Desconto_Cliente_Mes!$A$2:$A$433,H$84,Desconto_Cliente_Mes!$B$2:$B$433,$A84,Desconto_Cliente_Mes!$C$2:$C$433,"Fibra"),0)</f>
        <v>78501.68</v>
      </c>
      <c r="I86" s="8" t="n">
        <f aca="false">IFERROR(SUMIFS(Desconto_Cliente_Mes!$D$2:$D$433,Desconto_Cliente_Mes!$A$2:$A$433,I$84,Desconto_Cliente_Mes!$B$2:$B$433,$A84,Desconto_Cliente_Mes!$C$2:$C$433,"Fibra"),0)</f>
        <v>11582.49</v>
      </c>
      <c r="J86" s="8" t="n">
        <f aca="false">IFERROR(SUMIFS(Desconto_Cliente_Mes!$D$2:$D$433,Desconto_Cliente_Mes!$A$2:$A$433,J$84,Desconto_Cliente_Mes!$B$2:$B$433,$A84,Desconto_Cliente_Mes!$C$2:$C$433,"Fibra"),0)</f>
        <v>0</v>
      </c>
      <c r="K86" s="8" t="n">
        <f aca="false">IFERROR(SUMIFS(Desconto_Cliente_Mes!$D$2:$D$433,Desconto_Cliente_Mes!$A$2:$A$433,K$84,Desconto_Cliente_Mes!$B$2:$B$433,$A84,Desconto_Cliente_Mes!$C$2:$C$433,"Fibra"),0)</f>
        <v>33862.86</v>
      </c>
      <c r="L86" s="8" t="n">
        <f aca="false">IFERROR(SUMIFS(Desconto_Cliente_Mes!$D$2:$D$433,Desconto_Cliente_Mes!$A$2:$A$433,L$84,Desconto_Cliente_Mes!$B$2:$B$433,$A84,Desconto_Cliente_Mes!$C$2:$C$433,"Fibra"),0)</f>
        <v>0</v>
      </c>
      <c r="M86" s="8" t="n">
        <f aca="false">IFERROR(SUMIFS(Desconto_Cliente_Mes!$D$2:$D$433,Desconto_Cliente_Mes!$A$2:$A$433,M$84,Desconto_Cliente_Mes!$B$2:$B$433,$A84,Desconto_Cliente_Mes!$C$2:$C$433,"Fibra"),0)</f>
        <v>0</v>
      </c>
      <c r="N86" s="9" t="n">
        <f aca="false">SUM(B86:M86)</f>
        <v>412023.56</v>
      </c>
    </row>
    <row r="87" customFormat="false" ht="15" hidden="false" customHeight="false" outlineLevel="0" collapsed="false">
      <c r="A87" s="13" t="s">
        <v>76</v>
      </c>
      <c r="B87" s="15" t="n">
        <f aca="false">MAX(0,(SUMIFS(Desconto_Cliente_Mes!$L$2:$L$433,Desconto_Cliente_Mes!$A$2:$A$433,B$84,Desconto_Cliente_Mes!$B$2:$B$433,$A84,Desconto_Cliente_Mes!$C$2:$C$433,"Fibra"))-(SUMIFS(Desconto_Cliente_Mes!$N$2:$N$433,Desconto_Cliente_Mes!$A$2:$A$433,B$84,Desconto_Cliente_Mes!$B$2:$B$433,$A84,Desconto_Cliente_Mes!$C$2:$C$433,"Fibra")))</f>
        <v>0.0307311259094019</v>
      </c>
      <c r="C87" s="15" t="n">
        <f aca="false">MAX(0,(SUMIFS(Desconto_Cliente_Mes!$L$2:$L$433,Desconto_Cliente_Mes!$A$2:$A$433,C$84,Desconto_Cliente_Mes!$B$2:$B$433,$A84,Desconto_Cliente_Mes!$C$2:$C$433,"Fibra"))-(SUMIFS(Desconto_Cliente_Mes!$N$2:$N$433,Desconto_Cliente_Mes!$A$2:$A$433,C$84,Desconto_Cliente_Mes!$B$2:$B$433,$A84,Desconto_Cliente_Mes!$C$2:$C$433,"Fibra")))</f>
        <v>0</v>
      </c>
      <c r="D87" s="15" t="n">
        <f aca="false">MAX(0,(SUMIFS(Desconto_Cliente_Mes!$L$2:$L$433,Desconto_Cliente_Mes!$A$2:$A$433,D$84,Desconto_Cliente_Mes!$B$2:$B$433,$A84,Desconto_Cliente_Mes!$C$2:$C$433,"Fibra"))-(SUMIFS(Desconto_Cliente_Mes!$N$2:$N$433,Desconto_Cliente_Mes!$A$2:$A$433,D$84,Desconto_Cliente_Mes!$B$2:$B$433,$A84,Desconto_Cliente_Mes!$C$2:$C$433,"Fibra")))</f>
        <v>0</v>
      </c>
      <c r="E87" s="15" t="n">
        <f aca="false">MAX(0,(SUMIFS(Desconto_Cliente_Mes!$L$2:$L$433,Desconto_Cliente_Mes!$A$2:$A$433,E$84,Desconto_Cliente_Mes!$B$2:$B$433,$A84,Desconto_Cliente_Mes!$C$2:$C$433,"Fibra"))-(SUMIFS(Desconto_Cliente_Mes!$N$2:$N$433,Desconto_Cliente_Mes!$A$2:$A$433,E$84,Desconto_Cliente_Mes!$B$2:$B$433,$A84,Desconto_Cliente_Mes!$C$2:$C$433,"Fibra")))</f>
        <v>0.0307311259094019</v>
      </c>
      <c r="F87" s="15" t="n">
        <f aca="false">MAX(0,(SUMIFS(Desconto_Cliente_Mes!$L$2:$L$433,Desconto_Cliente_Mes!$A$2:$A$433,F$84,Desconto_Cliente_Mes!$B$2:$B$433,$A84,Desconto_Cliente_Mes!$C$2:$C$433,"Fibra"))-(SUMIFS(Desconto_Cliente_Mes!$N$2:$N$433,Desconto_Cliente_Mes!$A$2:$A$433,F$84,Desconto_Cliente_Mes!$B$2:$B$433,$A84,Desconto_Cliente_Mes!$C$2:$C$433,"Fibra")))</f>
        <v>0.0307311259094019</v>
      </c>
      <c r="G87" s="15" t="n">
        <f aca="false">MAX(0,(SUMIFS(Desconto_Cliente_Mes!$L$2:$L$433,Desconto_Cliente_Mes!$A$2:$A$433,G$84,Desconto_Cliente_Mes!$B$2:$B$433,$A84,Desconto_Cliente_Mes!$C$2:$C$433,"Fibra"))-(SUMIFS(Desconto_Cliente_Mes!$N$2:$N$433,Desconto_Cliente_Mes!$A$2:$A$433,G$84,Desconto_Cliente_Mes!$B$2:$B$433,$A84,Desconto_Cliente_Mes!$C$2:$C$433,"Fibra")))</f>
        <v>0.0307311259094019</v>
      </c>
      <c r="H87" s="15" t="n">
        <f aca="false">MAX(0,(SUMIFS(Desconto_Cliente_Mes!$L$2:$L$433,Desconto_Cliente_Mes!$A$2:$A$433,H$84,Desconto_Cliente_Mes!$B$2:$B$433,$A84,Desconto_Cliente_Mes!$C$2:$C$433,"Fibra"))-(SUMIFS(Desconto_Cliente_Mes!$N$2:$N$433,Desconto_Cliente_Mes!$A$2:$A$433,H$84,Desconto_Cliente_Mes!$B$2:$B$433,$A84,Desconto_Cliente_Mes!$C$2:$C$433,"Fibra")))</f>
        <v>0.0307311259094019</v>
      </c>
      <c r="I87" s="15" t="n">
        <f aca="false">MAX(0,(SUMIFS(Desconto_Cliente_Mes!$L$2:$L$433,Desconto_Cliente_Mes!$A$2:$A$433,I$84,Desconto_Cliente_Mes!$B$2:$B$433,$A84,Desconto_Cliente_Mes!$C$2:$C$433,"Fibra"))-(SUMIFS(Desconto_Cliente_Mes!$N$2:$N$433,Desconto_Cliente_Mes!$A$2:$A$433,I$84,Desconto_Cliente_Mes!$B$2:$B$433,$A84,Desconto_Cliente_Mes!$C$2:$C$433,"Fibra")))</f>
        <v>0</v>
      </c>
      <c r="J87" s="15" t="n">
        <f aca="false">MAX(0,(SUMIFS(Desconto_Cliente_Mes!$L$2:$L$433,Desconto_Cliente_Mes!$A$2:$A$433,J$84,Desconto_Cliente_Mes!$B$2:$B$433,$A84,Desconto_Cliente_Mes!$C$2:$C$433,"Fibra"))-(SUMIFS(Desconto_Cliente_Mes!$N$2:$N$433,Desconto_Cliente_Mes!$A$2:$A$433,J$84,Desconto_Cliente_Mes!$B$2:$B$433,$A84,Desconto_Cliente_Mes!$C$2:$C$433,"Fibra")))</f>
        <v>0</v>
      </c>
      <c r="K87" s="15" t="n">
        <f aca="false">MAX(0,(SUMIFS(Desconto_Cliente_Mes!$L$2:$L$433,Desconto_Cliente_Mes!$A$2:$A$433,K$84,Desconto_Cliente_Mes!$B$2:$B$433,$A84,Desconto_Cliente_Mes!$C$2:$C$433,"Fibra"))-(SUMIFS(Desconto_Cliente_Mes!$N$2:$N$433,Desconto_Cliente_Mes!$A$2:$A$433,K$84,Desconto_Cliente_Mes!$B$2:$B$433,$A84,Desconto_Cliente_Mes!$C$2:$C$433,"Fibra")))</f>
        <v>0.0307311259094019</v>
      </c>
      <c r="L87" s="15" t="n">
        <f aca="false">MAX(0,(SUMIFS(Desconto_Cliente_Mes!$L$2:$L$433,Desconto_Cliente_Mes!$A$2:$A$433,L$84,Desconto_Cliente_Mes!$B$2:$B$433,$A84,Desconto_Cliente_Mes!$C$2:$C$433,"Fibra"))-(SUMIFS(Desconto_Cliente_Mes!$N$2:$N$433,Desconto_Cliente_Mes!$A$2:$A$433,L$84,Desconto_Cliente_Mes!$B$2:$B$433,$A84,Desconto_Cliente_Mes!$C$2:$C$433,"Fibra")))</f>
        <v>0</v>
      </c>
      <c r="M87" s="15" t="n">
        <f aca="false">MAX(0,(SUMIFS(Desconto_Cliente_Mes!$L$2:$L$433,Desconto_Cliente_Mes!$A$2:$A$433,M$84,Desconto_Cliente_Mes!$B$2:$B$433,$A84,Desconto_Cliente_Mes!$C$2:$C$433,"Fibra"))-(SUMIFS(Desconto_Cliente_Mes!$N$2:$N$433,Desconto_Cliente_Mes!$A$2:$A$433,M$84,Desconto_Cliente_Mes!$B$2:$B$433,$A84,Desconto_Cliente_Mes!$C$2:$C$433,"Fibra")))</f>
        <v>0</v>
      </c>
    </row>
    <row r="88" customFormat="false" ht="15" hidden="false" customHeight="false" outlineLevel="0" collapsed="false">
      <c r="A88" s="13" t="s">
        <v>77</v>
      </c>
      <c r="B88" s="15" t="n">
        <f aca="false">MAX(0,(SUMIFS(Desconto_Cliente_Mes!$N$2:$N$433,Desconto_Cliente_Mes!$A$2:$A$433,B$84,Desconto_Cliente_Mes!$B$2:$B$433,$A84,Desconto_Cliente_Mes!$C$2:$C$433,"Fibra"))-(SUMIFS(Desconto_Cliente_Mes!$P$2:$P$433,Desconto_Cliente_Mes!$A$2:$A$433,B$84,Desconto_Cliente_Mes!$B$2:$B$433,$A84,Desconto_Cliente_Mes!$C$2:$C$433,"Fibra")))</f>
        <v>0.189465610500094</v>
      </c>
      <c r="C88" s="15" t="n">
        <f aca="false">MAX(0,(SUMIFS(Desconto_Cliente_Mes!$N$2:$N$433,Desconto_Cliente_Mes!$A$2:$A$433,C$84,Desconto_Cliente_Mes!$B$2:$B$433,$A84,Desconto_Cliente_Mes!$C$2:$C$433,"Fibra"))-(SUMIFS(Desconto_Cliente_Mes!$P$2:$P$433,Desconto_Cliente_Mes!$A$2:$A$433,C$84,Desconto_Cliente_Mes!$B$2:$B$433,$A84,Desconto_Cliente_Mes!$C$2:$C$433,"Fibra")))</f>
        <v>0</v>
      </c>
      <c r="D88" s="15" t="n">
        <f aca="false">MAX(0,(SUMIFS(Desconto_Cliente_Mes!$N$2:$N$433,Desconto_Cliente_Mes!$A$2:$A$433,D$84,Desconto_Cliente_Mes!$B$2:$B$433,$A84,Desconto_Cliente_Mes!$C$2:$C$433,"Fibra"))-(SUMIFS(Desconto_Cliente_Mes!$P$2:$P$433,Desconto_Cliente_Mes!$A$2:$A$433,D$84,Desconto_Cliente_Mes!$B$2:$B$433,$A84,Desconto_Cliente_Mes!$C$2:$C$433,"Fibra")))</f>
        <v>0</v>
      </c>
      <c r="E88" s="15" t="n">
        <f aca="false">MAX(0,(SUMIFS(Desconto_Cliente_Mes!$N$2:$N$433,Desconto_Cliente_Mes!$A$2:$A$433,E$84,Desconto_Cliente_Mes!$B$2:$B$433,$A84,Desconto_Cliente_Mes!$C$2:$C$433,"Fibra"))-(SUMIFS(Desconto_Cliente_Mes!$P$2:$P$433,Desconto_Cliente_Mes!$A$2:$A$433,E$84,Desconto_Cliente_Mes!$B$2:$B$433,$A84,Desconto_Cliente_Mes!$C$2:$C$433,"Fibra")))</f>
        <v>0.121970171022137</v>
      </c>
      <c r="F88" s="15" t="n">
        <f aca="false">MAX(0,(SUMIFS(Desconto_Cliente_Mes!$N$2:$N$433,Desconto_Cliente_Mes!$A$2:$A$433,F$84,Desconto_Cliente_Mes!$B$2:$B$433,$A84,Desconto_Cliente_Mes!$C$2:$C$433,"Fibra"))-(SUMIFS(Desconto_Cliente_Mes!$P$2:$P$433,Desconto_Cliente_Mes!$A$2:$A$433,F$84,Desconto_Cliente_Mes!$B$2:$B$433,$A84,Desconto_Cliente_Mes!$C$2:$C$433,"Fibra")))</f>
        <v>0.100331357125793</v>
      </c>
      <c r="G88" s="15" t="n">
        <f aca="false">MAX(0,(SUMIFS(Desconto_Cliente_Mes!$N$2:$N$433,Desconto_Cliente_Mes!$A$2:$A$433,G$84,Desconto_Cliente_Mes!$B$2:$B$433,$A84,Desconto_Cliente_Mes!$C$2:$C$433,"Fibra"))-(SUMIFS(Desconto_Cliente_Mes!$P$2:$P$433,Desconto_Cliente_Mes!$A$2:$A$433,G$84,Desconto_Cliente_Mes!$B$2:$B$433,$A84,Desconto_Cliente_Mes!$C$2:$C$433,"Fibra")))</f>
        <v>0.0533961837464139</v>
      </c>
      <c r="H88" s="15" t="n">
        <f aca="false">MAX(0,(SUMIFS(Desconto_Cliente_Mes!$N$2:$N$433,Desconto_Cliente_Mes!$A$2:$A$433,H$84,Desconto_Cliente_Mes!$B$2:$B$433,$A84,Desconto_Cliente_Mes!$C$2:$C$433,"Fibra"))-(SUMIFS(Desconto_Cliente_Mes!$P$2:$P$433,Desconto_Cliente_Mes!$A$2:$A$433,H$84,Desconto_Cliente_Mes!$B$2:$B$433,$A84,Desconto_Cliente_Mes!$C$2:$C$433,"Fibra")))</f>
        <v>0.00781625947368259</v>
      </c>
      <c r="I88" s="15" t="n">
        <f aca="false">MAX(0,(SUMIFS(Desconto_Cliente_Mes!$N$2:$N$433,Desconto_Cliente_Mes!$A$2:$A$433,I$84,Desconto_Cliente_Mes!$B$2:$B$433,$A84,Desconto_Cliente_Mes!$C$2:$C$433,"Fibra"))-(SUMIFS(Desconto_Cliente_Mes!$P$2:$P$433,Desconto_Cliente_Mes!$A$2:$A$433,I$84,Desconto_Cliente_Mes!$B$2:$B$433,$A84,Desconto_Cliente_Mes!$C$2:$C$433,"Fibra")))</f>
        <v>0</v>
      </c>
      <c r="J88" s="15" t="n">
        <f aca="false">MAX(0,(SUMIFS(Desconto_Cliente_Mes!$N$2:$N$433,Desconto_Cliente_Mes!$A$2:$A$433,J$84,Desconto_Cliente_Mes!$B$2:$B$433,$A84,Desconto_Cliente_Mes!$C$2:$C$433,"Fibra"))-(SUMIFS(Desconto_Cliente_Mes!$P$2:$P$433,Desconto_Cliente_Mes!$A$2:$A$433,J$84,Desconto_Cliente_Mes!$B$2:$B$433,$A84,Desconto_Cliente_Mes!$C$2:$C$433,"Fibra")))</f>
        <v>0</v>
      </c>
      <c r="K88" s="15" t="n">
        <f aca="false">MAX(0,(SUMIFS(Desconto_Cliente_Mes!$N$2:$N$433,Desconto_Cliente_Mes!$A$2:$A$433,K$84,Desconto_Cliente_Mes!$B$2:$B$433,$A84,Desconto_Cliente_Mes!$C$2:$C$433,"Fibra"))-(SUMIFS(Desconto_Cliente_Mes!$P$2:$P$433,Desconto_Cliente_Mes!$A$2:$A$433,K$84,Desconto_Cliente_Mes!$B$2:$B$433,$A84,Desconto_Cliente_Mes!$C$2:$C$433,"Fibra")))</f>
        <v>0.0616745779889829</v>
      </c>
      <c r="L88" s="15" t="n">
        <f aca="false">MAX(0,(SUMIFS(Desconto_Cliente_Mes!$N$2:$N$433,Desconto_Cliente_Mes!$A$2:$A$433,L$84,Desconto_Cliente_Mes!$B$2:$B$433,$A84,Desconto_Cliente_Mes!$C$2:$C$433,"Fibra"))-(SUMIFS(Desconto_Cliente_Mes!$P$2:$P$433,Desconto_Cliente_Mes!$A$2:$A$433,L$84,Desconto_Cliente_Mes!$B$2:$B$433,$A84,Desconto_Cliente_Mes!$C$2:$C$433,"Fibra")))</f>
        <v>0</v>
      </c>
      <c r="M88" s="15" t="n">
        <f aca="false">MAX(0,(SUMIFS(Desconto_Cliente_Mes!$N$2:$N$433,Desconto_Cliente_Mes!$A$2:$A$433,M$84,Desconto_Cliente_Mes!$B$2:$B$433,$A84,Desconto_Cliente_Mes!$C$2:$C$433,"Fibra"))-(SUMIFS(Desconto_Cliente_Mes!$P$2:$P$433,Desconto_Cliente_Mes!$A$2:$A$433,M$84,Desconto_Cliente_Mes!$B$2:$B$433,$A84,Desconto_Cliente_Mes!$C$2:$C$433,"Fibra")))</f>
        <v>0</v>
      </c>
    </row>
    <row r="89" customFormat="false" ht="15" hidden="false" customHeight="false" outlineLevel="0" collapsed="false">
      <c r="A89" s="13" t="s">
        <v>78</v>
      </c>
      <c r="B89" s="15" t="n">
        <f aca="false">MAX(0,SUMIFS(Desconto_Cliente_Mes!$P$2:$P$433,Desconto_Cliente_Mes!$A$2:$A$433,B$84,Desconto_Cliente_Mes!$B$2:$B$433,$A84,Desconto_Cliente_Mes!$C$2:$C$433,"Fibra"))</f>
        <v>0</v>
      </c>
      <c r="C89" s="15" t="n">
        <f aca="false">MAX(0,SUMIFS(Desconto_Cliente_Mes!$P$2:$P$433,Desconto_Cliente_Mes!$A$2:$A$433,C$84,Desconto_Cliente_Mes!$B$2:$B$433,$A84,Desconto_Cliente_Mes!$C$2:$C$433,"Fibra"))</f>
        <v>0</v>
      </c>
      <c r="D89" s="15" t="n">
        <f aca="false">MAX(0,SUMIFS(Desconto_Cliente_Mes!$P$2:$P$433,Desconto_Cliente_Mes!$A$2:$A$433,D$84,Desconto_Cliente_Mes!$B$2:$B$433,$A84,Desconto_Cliente_Mes!$C$2:$C$433,"Fibra"))</f>
        <v>0</v>
      </c>
      <c r="E89" s="15" t="n">
        <f aca="false">MAX(0,SUMIFS(Desconto_Cliente_Mes!$P$2:$P$433,Desconto_Cliente_Mes!$A$2:$A$433,E$84,Desconto_Cliente_Mes!$B$2:$B$433,$A84,Desconto_Cliente_Mes!$C$2:$C$433,"Fibra"))</f>
        <v>0</v>
      </c>
      <c r="F89" s="15" t="n">
        <f aca="false">MAX(0,SUMIFS(Desconto_Cliente_Mes!$P$2:$P$433,Desconto_Cliente_Mes!$A$2:$A$433,F$84,Desconto_Cliente_Mes!$B$2:$B$433,$A84,Desconto_Cliente_Mes!$C$2:$C$433,"Fibra"))</f>
        <v>0</v>
      </c>
      <c r="G89" s="15" t="n">
        <f aca="false">MAX(0,SUMIFS(Desconto_Cliente_Mes!$P$2:$P$433,Desconto_Cliente_Mes!$A$2:$A$433,G$84,Desconto_Cliente_Mes!$B$2:$B$433,$A84,Desconto_Cliente_Mes!$C$2:$C$433,"Fibra"))</f>
        <v>0</v>
      </c>
      <c r="H89" s="15" t="n">
        <f aca="false">MAX(0,SUMIFS(Desconto_Cliente_Mes!$P$2:$P$433,Desconto_Cliente_Mes!$A$2:$A$433,H$84,Desconto_Cliente_Mes!$B$2:$B$433,$A84,Desconto_Cliente_Mes!$C$2:$C$433,"Fibra"))</f>
        <v>0</v>
      </c>
      <c r="I89" s="15" t="n">
        <f aca="false">MAX(0,SUMIFS(Desconto_Cliente_Mes!$P$2:$P$433,Desconto_Cliente_Mes!$A$2:$A$433,I$84,Desconto_Cliente_Mes!$B$2:$B$433,$A84,Desconto_Cliente_Mes!$C$2:$C$433,"Fibra"))</f>
        <v>0</v>
      </c>
      <c r="J89" s="15" t="n">
        <f aca="false">MAX(0,SUMIFS(Desconto_Cliente_Mes!$P$2:$P$433,Desconto_Cliente_Mes!$A$2:$A$433,J$84,Desconto_Cliente_Mes!$B$2:$B$433,$A84,Desconto_Cliente_Mes!$C$2:$C$433,"Fibra"))</f>
        <v>0</v>
      </c>
      <c r="K89" s="15" t="n">
        <f aca="false">MAX(0,SUMIFS(Desconto_Cliente_Mes!$P$2:$P$433,Desconto_Cliente_Mes!$A$2:$A$433,K$84,Desconto_Cliente_Mes!$B$2:$B$433,$A84,Desconto_Cliente_Mes!$C$2:$C$433,"Fibra"))</f>
        <v>0</v>
      </c>
      <c r="L89" s="15" t="n">
        <f aca="false">MAX(0,SUMIFS(Desconto_Cliente_Mes!$P$2:$P$433,Desconto_Cliente_Mes!$A$2:$A$433,L$84,Desconto_Cliente_Mes!$B$2:$B$433,$A84,Desconto_Cliente_Mes!$C$2:$C$433,"Fibra"))</f>
        <v>0</v>
      </c>
      <c r="M89" s="15" t="n">
        <f aca="false">MAX(0,SUMIFS(Desconto_Cliente_Mes!$P$2:$P$433,Desconto_Cliente_Mes!$A$2:$A$433,M$84,Desconto_Cliente_Mes!$B$2:$B$433,$A84,Desconto_Cliente_Mes!$C$2:$C$433,"Fibra"))</f>
        <v>0</v>
      </c>
    </row>
    <row r="90" customFormat="false" ht="15" hidden="false" customHeight="false" outlineLevel="0" collapsed="false">
      <c r="A90" s="13" t="s">
        <v>79</v>
      </c>
      <c r="B90" s="16" t="n">
        <f aca="false">$B$86*($B$87/100)*(SUMIFS(Desconto_Cliente_Mes!$Q$2:$Q$433,Desconto_Cliente_Mes!$A$2:$A$433,B$84,Desconto_Cliente_Mes!$B$2:$B$433,$A84,Desconto_Cliente_Mes!$C$2:$C$433,"Fibra"))*(SUMIFS(Desconto_Cliente_Mes!$T$2:$T$433,Desconto_Cliente_Mes!$A$2:$A$433,B$84,Desconto_Cliente_Mes!$B$2:$B$433,$A84,Desconto_Cliente_Mes!$C$2:$C$433,"Fibra"))</f>
        <v>4434.44299354031</v>
      </c>
      <c r="C90" s="16" t="n">
        <f aca="false">$C$86*($C$87/100)*(SUMIFS(Desconto_Cliente_Mes!$Q$2:$Q$433,Desconto_Cliente_Mes!$A$2:$A$433,C$84,Desconto_Cliente_Mes!$B$2:$B$433,$A84,Desconto_Cliente_Mes!$C$2:$C$433,"Fibra"))*(SUMIFS(Desconto_Cliente_Mes!$T$2:$T$433,Desconto_Cliente_Mes!$A$2:$A$433,C$84,Desconto_Cliente_Mes!$B$2:$B$433,$A84,Desconto_Cliente_Mes!$C$2:$C$433,"Fibra"))</f>
        <v>0</v>
      </c>
      <c r="D90" s="16" t="n">
        <f aca="false">$D$86*($D$87/100)*(SUMIFS(Desconto_Cliente_Mes!$Q$2:$Q$433,Desconto_Cliente_Mes!$A$2:$A$433,D$84,Desconto_Cliente_Mes!$B$2:$B$433,$A84,Desconto_Cliente_Mes!$C$2:$C$433,"Fibra"))*(SUMIFS(Desconto_Cliente_Mes!$T$2:$T$433,Desconto_Cliente_Mes!$A$2:$A$433,D$84,Desconto_Cliente_Mes!$B$2:$B$433,$A84,Desconto_Cliente_Mes!$C$2:$C$433,"Fibra"))</f>
        <v>0</v>
      </c>
      <c r="E90" s="16" t="n">
        <f aca="false">$E$86*($E$87/100)*(SUMIFS(Desconto_Cliente_Mes!$Q$2:$Q$433,Desconto_Cliente_Mes!$A$2:$A$433,E$84,Desconto_Cliente_Mes!$B$2:$B$433,$A84,Desconto_Cliente_Mes!$C$2:$C$433,"Fibra"))*(SUMIFS(Desconto_Cliente_Mes!$T$2:$T$433,Desconto_Cliente_Mes!$A$2:$A$433,E$84,Desconto_Cliente_Mes!$B$2:$B$433,$A84,Desconto_Cliente_Mes!$C$2:$C$433,"Fibra"))</f>
        <v>501.438306369667</v>
      </c>
      <c r="F90" s="16" t="n">
        <f aca="false">$F$86*($F$87/100)*(SUMIFS(Desconto_Cliente_Mes!$Q$2:$Q$433,Desconto_Cliente_Mes!$A$2:$A$433,F$84,Desconto_Cliente_Mes!$B$2:$B$433,$A84,Desconto_Cliente_Mes!$C$2:$C$433,"Fibra"))*(SUMIFS(Desconto_Cliente_Mes!$T$2:$T$433,Desconto_Cliente_Mes!$A$2:$A$433,F$84,Desconto_Cliente_Mes!$B$2:$B$433,$A84,Desconto_Cliente_Mes!$C$2:$C$433,"Fibra"))</f>
        <v>7015.65508254145</v>
      </c>
      <c r="G90" s="16" t="n">
        <f aca="false">$G$86*($G$87/100)*(SUMIFS(Desconto_Cliente_Mes!$Q$2:$Q$433,Desconto_Cliente_Mes!$A$2:$A$433,G$84,Desconto_Cliente_Mes!$B$2:$B$433,$A84,Desconto_Cliente_Mes!$C$2:$C$433,"Fibra"))*(SUMIFS(Desconto_Cliente_Mes!$T$2:$T$433,Desconto_Cliente_Mes!$A$2:$A$433,G$84,Desconto_Cliente_Mes!$B$2:$B$433,$A84,Desconto_Cliente_Mes!$C$2:$C$433,"Fibra"))</f>
        <v>4775.61980587708</v>
      </c>
      <c r="H90" s="16" t="n">
        <f aca="false">$H$86*($H$87/100)*(SUMIFS(Desconto_Cliente_Mes!$Q$2:$Q$433,Desconto_Cliente_Mes!$A$2:$A$433,H$84,Desconto_Cliente_Mes!$B$2:$B$433,$A84,Desconto_Cliente_Mes!$C$2:$C$433,"Fibra"))*(SUMIFS(Desconto_Cliente_Mes!$T$2:$T$433,Desconto_Cliente_Mes!$A$2:$A$433,H$84,Desconto_Cliente_Mes!$B$2:$B$433,$A84,Desconto_Cliente_Mes!$C$2:$C$433,"Fibra"))</f>
        <v>7864.57073970541</v>
      </c>
      <c r="I90" s="16" t="n">
        <f aca="false">$I$86*($I$87/100)*(SUMIFS(Desconto_Cliente_Mes!$Q$2:$Q$433,Desconto_Cliente_Mes!$A$2:$A$433,I$84,Desconto_Cliente_Mes!$B$2:$B$433,$A84,Desconto_Cliente_Mes!$C$2:$C$433,"Fibra"))*(SUMIFS(Desconto_Cliente_Mes!$T$2:$T$433,Desconto_Cliente_Mes!$A$2:$A$433,I$84,Desconto_Cliente_Mes!$B$2:$B$433,$A84,Desconto_Cliente_Mes!$C$2:$C$433,"Fibra"))</f>
        <v>0</v>
      </c>
      <c r="J90" s="16" t="n">
        <f aca="false">$J$86*($J$87/100)*(SUMIFS(Desconto_Cliente_Mes!$Q$2:$Q$433,Desconto_Cliente_Mes!$A$2:$A$433,J$84,Desconto_Cliente_Mes!$B$2:$B$433,$A84,Desconto_Cliente_Mes!$C$2:$C$433,"Fibra"))*(SUMIFS(Desconto_Cliente_Mes!$T$2:$T$433,Desconto_Cliente_Mes!$A$2:$A$433,J$84,Desconto_Cliente_Mes!$B$2:$B$433,$A84,Desconto_Cliente_Mes!$C$2:$C$433,"Fibra"))</f>
        <v>0</v>
      </c>
      <c r="K90" s="16" t="n">
        <f aca="false">$K$86*($K$87/100)*(SUMIFS(Desconto_Cliente_Mes!$Q$2:$Q$433,Desconto_Cliente_Mes!$A$2:$A$433,K$84,Desconto_Cliente_Mes!$B$2:$B$433,$A84,Desconto_Cliente_Mes!$C$2:$C$433,"Fibra"))*(SUMIFS(Desconto_Cliente_Mes!$T$2:$T$433,Desconto_Cliente_Mes!$A$2:$A$433,K$84,Desconto_Cliente_Mes!$B$2:$B$433,$A84,Desconto_Cliente_Mes!$C$2:$C$433,"Fibra"))</f>
        <v>3392.49883465858</v>
      </c>
      <c r="L90" s="16" t="n">
        <f aca="false">$L$86*($L$87/100)*(SUMIFS(Desconto_Cliente_Mes!$Q$2:$Q$433,Desconto_Cliente_Mes!$A$2:$A$433,L$84,Desconto_Cliente_Mes!$B$2:$B$433,$A84,Desconto_Cliente_Mes!$C$2:$C$433,"Fibra"))*(SUMIFS(Desconto_Cliente_Mes!$T$2:$T$433,Desconto_Cliente_Mes!$A$2:$A$433,L$84,Desconto_Cliente_Mes!$B$2:$B$433,$A84,Desconto_Cliente_Mes!$C$2:$C$433,"Fibra"))</f>
        <v>0</v>
      </c>
      <c r="M90" s="16" t="n">
        <f aca="false">$M$86*($M$87/100)*(SUMIFS(Desconto_Cliente_Mes!$Q$2:$Q$433,Desconto_Cliente_Mes!$A$2:$A$433,M$84,Desconto_Cliente_Mes!$B$2:$B$433,$A84,Desconto_Cliente_Mes!$C$2:$C$433,"Fibra"))*(SUMIFS(Desconto_Cliente_Mes!$T$2:$T$433,Desconto_Cliente_Mes!$A$2:$A$433,M$84,Desconto_Cliente_Mes!$B$2:$B$433,$A84,Desconto_Cliente_Mes!$C$2:$C$433,"Fibra"))</f>
        <v>0</v>
      </c>
      <c r="N90" s="17" t="n">
        <f aca="false">SUM(B90:M90)</f>
        <v>27984.2257626925</v>
      </c>
    </row>
    <row r="91" customFormat="false" ht="15" hidden="false" customHeight="false" outlineLevel="0" collapsed="false">
      <c r="A91" s="13" t="s">
        <v>80</v>
      </c>
      <c r="B91" s="16" t="n">
        <f aca="false">$B$86*($B$88/100)*((IF(SUMIFS(Desconto_Cliente_Mes!$R$2:$R$433,Desconto_Cliente_Mes!$A$2:$A$433,B$84,Desconto_Cliente_Mes!$B$2:$B$433,$A84,Desconto_Cliente_Mes!$C$2:$C$433,"Fibra")="",SUMIFS(Desconto_Cliente_Mes!$Q$2:$Q$433,Desconto_Cliente_Mes!$A$2:$A$433,B$84,Desconto_Cliente_Mes!$B$2:$B$433,$A84,Desconto_Cliente_Mes!$C$2:$C$433,"Fibra"),SUMIFS(Desconto_Cliente_Mes!$R$2:$R$433,Desconto_Cliente_Mes!$A$2:$A$433,B$84,Desconto_Cliente_Mes!$B$2:$B$433,$A84,Desconto_Cliente_Mes!$C$2:$C$433,"Fibra")))-(SUMIFS(Desconto_Cliente_Mes!$Q$2:$Q$433,Desconto_Cliente_Mes!$A$2:$A$433,B$84,Desconto_Cliente_Mes!$B$2:$B$433,$A84,Desconto_Cliente_Mes!$C$2:$C$433,"Fibra")))*(SUMIFS(Desconto_Cliente_Mes!$T$2:$T$433,Desconto_Cliente_Mes!$A$2:$A$433,B$84,Desconto_Cliente_Mes!$B$2:$B$433,$A84,Desconto_Cliente_Mes!$C$2:$C$433,"Fibra"))</f>
        <v>13669.76354</v>
      </c>
      <c r="C91" s="16" t="n">
        <f aca="false">$C$86*($C$88/100)*((IF(SUMIFS(Desconto_Cliente_Mes!$R$2:$R$433,Desconto_Cliente_Mes!$A$2:$A$433,C$84,Desconto_Cliente_Mes!$B$2:$B$433,$A84,Desconto_Cliente_Mes!$C$2:$C$433,"Fibra")="",SUMIFS(Desconto_Cliente_Mes!$Q$2:$Q$433,Desconto_Cliente_Mes!$A$2:$A$433,C$84,Desconto_Cliente_Mes!$B$2:$B$433,$A84,Desconto_Cliente_Mes!$C$2:$C$433,"Fibra"),SUMIFS(Desconto_Cliente_Mes!$R$2:$R$433,Desconto_Cliente_Mes!$A$2:$A$433,C$84,Desconto_Cliente_Mes!$B$2:$B$433,$A84,Desconto_Cliente_Mes!$C$2:$C$433,"Fibra")))-(SUMIFS(Desconto_Cliente_Mes!$Q$2:$Q$433,Desconto_Cliente_Mes!$A$2:$A$433,C$84,Desconto_Cliente_Mes!$B$2:$B$433,$A84,Desconto_Cliente_Mes!$C$2:$C$433,"Fibra")))*(SUMIFS(Desconto_Cliente_Mes!$T$2:$T$433,Desconto_Cliente_Mes!$A$2:$A$433,C$84,Desconto_Cliente_Mes!$B$2:$B$433,$A84,Desconto_Cliente_Mes!$C$2:$C$433,"Fibra"))</f>
        <v>0</v>
      </c>
      <c r="D91" s="16" t="n">
        <f aca="false">$D$86*($D$88/100)*((IF(SUMIFS(Desconto_Cliente_Mes!$R$2:$R$433,Desconto_Cliente_Mes!$A$2:$A$433,D$84,Desconto_Cliente_Mes!$B$2:$B$433,$A84,Desconto_Cliente_Mes!$C$2:$C$433,"Fibra")="",SUMIFS(Desconto_Cliente_Mes!$Q$2:$Q$433,Desconto_Cliente_Mes!$A$2:$A$433,D$84,Desconto_Cliente_Mes!$B$2:$B$433,$A84,Desconto_Cliente_Mes!$C$2:$C$433,"Fibra"),SUMIFS(Desconto_Cliente_Mes!$R$2:$R$433,Desconto_Cliente_Mes!$A$2:$A$433,D$84,Desconto_Cliente_Mes!$B$2:$B$433,$A84,Desconto_Cliente_Mes!$C$2:$C$433,"Fibra")))-(SUMIFS(Desconto_Cliente_Mes!$Q$2:$Q$433,Desconto_Cliente_Mes!$A$2:$A$433,D$84,Desconto_Cliente_Mes!$B$2:$B$433,$A84,Desconto_Cliente_Mes!$C$2:$C$433,"Fibra")))*(SUMIFS(Desconto_Cliente_Mes!$T$2:$T$433,Desconto_Cliente_Mes!$A$2:$A$433,D$84,Desconto_Cliente_Mes!$B$2:$B$433,$A84,Desconto_Cliente_Mes!$C$2:$C$433,"Fibra"))</f>
        <v>0</v>
      </c>
      <c r="E91" s="16" t="n">
        <f aca="false">$E$86*($E$88/100)*((IF(SUMIFS(Desconto_Cliente_Mes!$R$2:$R$433,Desconto_Cliente_Mes!$A$2:$A$433,E$84,Desconto_Cliente_Mes!$B$2:$B$433,$A84,Desconto_Cliente_Mes!$C$2:$C$433,"Fibra")="",SUMIFS(Desconto_Cliente_Mes!$Q$2:$Q$433,Desconto_Cliente_Mes!$A$2:$A$433,E$84,Desconto_Cliente_Mes!$B$2:$B$433,$A84,Desconto_Cliente_Mes!$C$2:$C$433,"Fibra"),SUMIFS(Desconto_Cliente_Mes!$R$2:$R$433,Desconto_Cliente_Mes!$A$2:$A$433,E$84,Desconto_Cliente_Mes!$B$2:$B$433,$A84,Desconto_Cliente_Mes!$C$2:$C$433,"Fibra")))-(SUMIFS(Desconto_Cliente_Mes!$Q$2:$Q$433,Desconto_Cliente_Mes!$A$2:$A$433,E$84,Desconto_Cliente_Mes!$B$2:$B$433,$A84,Desconto_Cliente_Mes!$C$2:$C$433,"Fibra")))*(SUMIFS(Desconto_Cliente_Mes!$T$2:$T$433,Desconto_Cliente_Mes!$A$2:$A$433,E$84,Desconto_Cliente_Mes!$B$2:$B$433,$A84,Desconto_Cliente_Mes!$C$2:$C$433,"Fibra"))</f>
        <v>995.090713000004</v>
      </c>
      <c r="F91" s="16" t="n">
        <f aca="false">$F$86*($F$88/100)*((IF(SUMIFS(Desconto_Cliente_Mes!$R$2:$R$433,Desconto_Cliente_Mes!$A$2:$A$433,F$84,Desconto_Cliente_Mes!$B$2:$B$433,$A84,Desconto_Cliente_Mes!$C$2:$C$433,"Fibra")="",SUMIFS(Desconto_Cliente_Mes!$Q$2:$Q$433,Desconto_Cliente_Mes!$A$2:$A$433,F$84,Desconto_Cliente_Mes!$B$2:$B$433,$A84,Desconto_Cliente_Mes!$C$2:$C$433,"Fibra"),SUMIFS(Desconto_Cliente_Mes!$R$2:$R$433,Desconto_Cliente_Mes!$A$2:$A$433,F$84,Desconto_Cliente_Mes!$B$2:$B$433,$A84,Desconto_Cliente_Mes!$C$2:$C$433,"Fibra")))-(SUMIFS(Desconto_Cliente_Mes!$Q$2:$Q$433,Desconto_Cliente_Mes!$A$2:$A$433,F$84,Desconto_Cliente_Mes!$B$2:$B$433,$A84,Desconto_Cliente_Mes!$C$2:$C$433,"Fibra")))*(SUMIFS(Desconto_Cliente_Mes!$T$2:$T$433,Desconto_Cliente_Mes!$A$2:$A$433,F$84,Desconto_Cliente_Mes!$B$2:$B$433,$A84,Desconto_Cliente_Mes!$C$2:$C$433,"Fibra"))</f>
        <v>11452.3984190001</v>
      </c>
      <c r="G91" s="16" t="n">
        <f aca="false">$G$86*($G$88/100)*((IF(SUMIFS(Desconto_Cliente_Mes!$R$2:$R$433,Desconto_Cliente_Mes!$A$2:$A$433,G$84,Desconto_Cliente_Mes!$B$2:$B$433,$A84,Desconto_Cliente_Mes!$C$2:$C$433,"Fibra")="",SUMIFS(Desconto_Cliente_Mes!$Q$2:$Q$433,Desconto_Cliente_Mes!$A$2:$A$433,G$84,Desconto_Cliente_Mes!$B$2:$B$433,$A84,Desconto_Cliente_Mes!$C$2:$C$433,"Fibra"),SUMIFS(Desconto_Cliente_Mes!$R$2:$R$433,Desconto_Cliente_Mes!$A$2:$A$433,G$84,Desconto_Cliente_Mes!$B$2:$B$433,$A84,Desconto_Cliente_Mes!$C$2:$C$433,"Fibra")))-(SUMIFS(Desconto_Cliente_Mes!$Q$2:$Q$433,Desconto_Cliente_Mes!$A$2:$A$433,G$84,Desconto_Cliente_Mes!$B$2:$B$433,$A84,Desconto_Cliente_Mes!$C$2:$C$433,"Fibra")))*(SUMIFS(Desconto_Cliente_Mes!$T$2:$T$433,Desconto_Cliente_Mes!$A$2:$A$433,G$84,Desconto_Cliente_Mes!$B$2:$B$433,$A84,Desconto_Cliente_Mes!$C$2:$C$433,"Fibra"))</f>
        <v>4148.88594400005</v>
      </c>
      <c r="H91" s="16" t="n">
        <f aca="false">$H$86*($H$88/100)*((IF(SUMIFS(Desconto_Cliente_Mes!$R$2:$R$433,Desconto_Cliente_Mes!$A$2:$A$433,H$84,Desconto_Cliente_Mes!$B$2:$B$433,$A84,Desconto_Cliente_Mes!$C$2:$C$433,"Fibra")="",SUMIFS(Desconto_Cliente_Mes!$Q$2:$Q$433,Desconto_Cliente_Mes!$A$2:$A$433,H$84,Desconto_Cliente_Mes!$B$2:$B$433,$A84,Desconto_Cliente_Mes!$C$2:$C$433,"Fibra"),SUMIFS(Desconto_Cliente_Mes!$R$2:$R$433,Desconto_Cliente_Mes!$A$2:$A$433,H$84,Desconto_Cliente_Mes!$B$2:$B$433,$A84,Desconto_Cliente_Mes!$C$2:$C$433,"Fibra")))-(SUMIFS(Desconto_Cliente_Mes!$Q$2:$Q$433,Desconto_Cliente_Mes!$A$2:$A$433,H$84,Desconto_Cliente_Mes!$B$2:$B$433,$A84,Desconto_Cliente_Mes!$C$2:$C$433,"Fibra")))*(SUMIFS(Desconto_Cliente_Mes!$T$2:$T$433,Desconto_Cliente_Mes!$A$2:$A$433,H$84,Desconto_Cliente_Mes!$B$2:$B$433,$A84,Desconto_Cliente_Mes!$C$2:$C$433,"Fibra"))</f>
        <v>1000.150885</v>
      </c>
      <c r="I91" s="16" t="n">
        <f aca="false">$I$86*($I$88/100)*((IF(SUMIFS(Desconto_Cliente_Mes!$R$2:$R$433,Desconto_Cliente_Mes!$A$2:$A$433,I$84,Desconto_Cliente_Mes!$B$2:$B$433,$A84,Desconto_Cliente_Mes!$C$2:$C$433,"Fibra")="",SUMIFS(Desconto_Cliente_Mes!$Q$2:$Q$433,Desconto_Cliente_Mes!$A$2:$A$433,I$84,Desconto_Cliente_Mes!$B$2:$B$433,$A84,Desconto_Cliente_Mes!$C$2:$C$433,"Fibra"),SUMIFS(Desconto_Cliente_Mes!$R$2:$R$433,Desconto_Cliente_Mes!$A$2:$A$433,I$84,Desconto_Cliente_Mes!$B$2:$B$433,$A84,Desconto_Cliente_Mes!$C$2:$C$433,"Fibra")))-(SUMIFS(Desconto_Cliente_Mes!$Q$2:$Q$433,Desconto_Cliente_Mes!$A$2:$A$433,I$84,Desconto_Cliente_Mes!$B$2:$B$433,$A84,Desconto_Cliente_Mes!$C$2:$C$433,"Fibra")))*(SUMIFS(Desconto_Cliente_Mes!$T$2:$T$433,Desconto_Cliente_Mes!$A$2:$A$433,I$84,Desconto_Cliente_Mes!$B$2:$B$433,$A84,Desconto_Cliente_Mes!$C$2:$C$433,"Fibra"))</f>
        <v>0</v>
      </c>
      <c r="J91" s="16" t="n">
        <f aca="false">$J$86*($J$88/100)*((IF(SUMIFS(Desconto_Cliente_Mes!$R$2:$R$433,Desconto_Cliente_Mes!$A$2:$A$433,J$84,Desconto_Cliente_Mes!$B$2:$B$433,$A84,Desconto_Cliente_Mes!$C$2:$C$433,"Fibra")="",SUMIFS(Desconto_Cliente_Mes!$Q$2:$Q$433,Desconto_Cliente_Mes!$A$2:$A$433,J$84,Desconto_Cliente_Mes!$B$2:$B$433,$A84,Desconto_Cliente_Mes!$C$2:$C$433,"Fibra"),SUMIFS(Desconto_Cliente_Mes!$R$2:$R$433,Desconto_Cliente_Mes!$A$2:$A$433,J$84,Desconto_Cliente_Mes!$B$2:$B$433,$A84,Desconto_Cliente_Mes!$C$2:$C$433,"Fibra")))-(SUMIFS(Desconto_Cliente_Mes!$Q$2:$Q$433,Desconto_Cliente_Mes!$A$2:$A$433,J$84,Desconto_Cliente_Mes!$B$2:$B$433,$A84,Desconto_Cliente_Mes!$C$2:$C$433,"Fibra")))*(SUMIFS(Desconto_Cliente_Mes!$T$2:$T$433,Desconto_Cliente_Mes!$A$2:$A$433,J$84,Desconto_Cliente_Mes!$B$2:$B$433,$A84,Desconto_Cliente_Mes!$C$2:$C$433,"Fibra"))</f>
        <v>0</v>
      </c>
      <c r="K91" s="16" t="n">
        <f aca="false">$K$86*($K$88/100)*((IF(SUMIFS(Desconto_Cliente_Mes!$R$2:$R$433,Desconto_Cliente_Mes!$A$2:$A$433,K$84,Desconto_Cliente_Mes!$B$2:$B$433,$A84,Desconto_Cliente_Mes!$C$2:$C$433,"Fibra")="",SUMIFS(Desconto_Cliente_Mes!$Q$2:$Q$433,Desconto_Cliente_Mes!$A$2:$A$433,K$84,Desconto_Cliente_Mes!$B$2:$B$433,$A84,Desconto_Cliente_Mes!$C$2:$C$433,"Fibra"),SUMIFS(Desconto_Cliente_Mes!$R$2:$R$433,Desconto_Cliente_Mes!$A$2:$A$433,K$84,Desconto_Cliente_Mes!$B$2:$B$433,$A84,Desconto_Cliente_Mes!$C$2:$C$433,"Fibra")))-(SUMIFS(Desconto_Cliente_Mes!$Q$2:$Q$433,Desconto_Cliente_Mes!$A$2:$A$433,K$84,Desconto_Cliente_Mes!$B$2:$B$433,$A84,Desconto_Cliente_Mes!$C$2:$C$433,"Fibra")))*(SUMIFS(Desconto_Cliente_Mes!$T$2:$T$433,Desconto_Cliente_Mes!$A$2:$A$433,K$84,Desconto_Cliente_Mes!$B$2:$B$433,$A84,Desconto_Cliente_Mes!$C$2:$C$433,"Fibra"))</f>
        <v>3404.21848800002</v>
      </c>
      <c r="L91" s="16" t="n">
        <f aca="false">$L$86*($L$88/100)*((IF(SUMIFS(Desconto_Cliente_Mes!$R$2:$R$433,Desconto_Cliente_Mes!$A$2:$A$433,L$84,Desconto_Cliente_Mes!$B$2:$B$433,$A84,Desconto_Cliente_Mes!$C$2:$C$433,"Fibra")="",SUMIFS(Desconto_Cliente_Mes!$Q$2:$Q$433,Desconto_Cliente_Mes!$A$2:$A$433,L$84,Desconto_Cliente_Mes!$B$2:$B$433,$A84,Desconto_Cliente_Mes!$C$2:$C$433,"Fibra"),SUMIFS(Desconto_Cliente_Mes!$R$2:$R$433,Desconto_Cliente_Mes!$A$2:$A$433,L$84,Desconto_Cliente_Mes!$B$2:$B$433,$A84,Desconto_Cliente_Mes!$C$2:$C$433,"Fibra")))-(SUMIFS(Desconto_Cliente_Mes!$Q$2:$Q$433,Desconto_Cliente_Mes!$A$2:$A$433,L$84,Desconto_Cliente_Mes!$B$2:$B$433,$A84,Desconto_Cliente_Mes!$C$2:$C$433,"Fibra")))*(SUMIFS(Desconto_Cliente_Mes!$T$2:$T$433,Desconto_Cliente_Mes!$A$2:$A$433,L$84,Desconto_Cliente_Mes!$B$2:$B$433,$A84,Desconto_Cliente_Mes!$C$2:$C$433,"Fibra"))</f>
        <v>0</v>
      </c>
      <c r="M91" s="16" t="n">
        <f aca="false">$M$86*($M$88/100)*((IF(SUMIFS(Desconto_Cliente_Mes!$R$2:$R$433,Desconto_Cliente_Mes!$A$2:$A$433,M$84,Desconto_Cliente_Mes!$B$2:$B$433,$A84,Desconto_Cliente_Mes!$C$2:$C$433,"Fibra")="",SUMIFS(Desconto_Cliente_Mes!$Q$2:$Q$433,Desconto_Cliente_Mes!$A$2:$A$433,M$84,Desconto_Cliente_Mes!$B$2:$B$433,$A84,Desconto_Cliente_Mes!$C$2:$C$433,"Fibra"),SUMIFS(Desconto_Cliente_Mes!$R$2:$R$433,Desconto_Cliente_Mes!$A$2:$A$433,M$84,Desconto_Cliente_Mes!$B$2:$B$433,$A84,Desconto_Cliente_Mes!$C$2:$C$433,"Fibra")))-(SUMIFS(Desconto_Cliente_Mes!$Q$2:$Q$433,Desconto_Cliente_Mes!$A$2:$A$433,M$84,Desconto_Cliente_Mes!$B$2:$B$433,$A84,Desconto_Cliente_Mes!$C$2:$C$433,"Fibra")))*(SUMIFS(Desconto_Cliente_Mes!$T$2:$T$433,Desconto_Cliente_Mes!$A$2:$A$433,M$84,Desconto_Cliente_Mes!$B$2:$B$433,$A84,Desconto_Cliente_Mes!$C$2:$C$433,"Fibra"))</f>
        <v>0</v>
      </c>
      <c r="N91" s="17" t="n">
        <f aca="false">SUM(B91:M91)</f>
        <v>34670.5079890001</v>
      </c>
    </row>
    <row r="92" customFormat="false" ht="15" hidden="false" customHeight="false" outlineLevel="0" collapsed="false">
      <c r="A92" s="13" t="s">
        <v>81</v>
      </c>
      <c r="B92" s="16" t="n">
        <f aca="false">$B$86*($B$89/100)*((IF(SUMIFS(Desconto_Cliente_Mes!$S$2:$S$433,Desconto_Cliente_Mes!$A$2:$A$433,B$84,Desconto_Cliente_Mes!$B$2:$B$433,$A84,Desconto_Cliente_Mes!$C$2:$C$433,"Fibra")="",(IF(SUMIFS(Desconto_Cliente_Mes!$R$2:$R$433,Desconto_Cliente_Mes!$A$2:$A$433,B$84,Desconto_Cliente_Mes!$B$2:$B$433,$A84,Desconto_Cliente_Mes!$C$2:$C$433,"Fibra")="",SUMIFS(Desconto_Cliente_Mes!$Q$2:$Q$433,Desconto_Cliente_Mes!$A$2:$A$433,B$84,Desconto_Cliente_Mes!$B$2:$B$433,$A84,Desconto_Cliente_Mes!$C$2:$C$433,"Fibra"),SUMIFS(Desconto_Cliente_Mes!$R$2:$R$433,Desconto_Cliente_Mes!$A$2:$A$433,B$84,Desconto_Cliente_Mes!$B$2:$B$433,$A84,Desconto_Cliente_Mes!$C$2:$C$433,"Fibra"))),SUMIFS(Desconto_Cliente_Mes!$S$2:$S$433,Desconto_Cliente_Mes!$A$2:$A$433,B$84,Desconto_Cliente_Mes!$B$2:$B$433,$A84,Desconto_Cliente_Mes!$C$2:$C$433,"Fibra")))-(IF(SUMIFS(Desconto_Cliente_Mes!$R$2:$R$433,Desconto_Cliente_Mes!$A$2:$A$433,B$84,Desconto_Cliente_Mes!$B$2:$B$433,$A84,Desconto_Cliente_Mes!$C$2:$C$433,"Fibra")="",SUMIFS(Desconto_Cliente_Mes!$Q$2:$Q$433,Desconto_Cliente_Mes!$A$2:$A$433,B$84,Desconto_Cliente_Mes!$B$2:$B$433,$A84,Desconto_Cliente_Mes!$C$2:$C$433,"Fibra"),SUMIFS(Desconto_Cliente_Mes!$R$2:$R$433,Desconto_Cliente_Mes!$A$2:$A$433,B$84,Desconto_Cliente_Mes!$B$2:$B$433,$A84,Desconto_Cliente_Mes!$C$2:$C$433,"Fibra"))))*(SUMIFS(Desconto_Cliente_Mes!$T$2:$T$433,Desconto_Cliente_Mes!$A$2:$A$433,B$84,Desconto_Cliente_Mes!$B$2:$B$433,$A84,Desconto_Cliente_Mes!$C$2:$C$433,"Fibra"))</f>
        <v>0</v>
      </c>
      <c r="C92" s="16" t="n">
        <f aca="false">$C$86*($C$89/100)*((IF(SUMIFS(Desconto_Cliente_Mes!$S$2:$S$433,Desconto_Cliente_Mes!$A$2:$A$433,C$84,Desconto_Cliente_Mes!$B$2:$B$433,$A84,Desconto_Cliente_Mes!$C$2:$C$433,"Fibra")="",(IF(SUMIFS(Desconto_Cliente_Mes!$R$2:$R$433,Desconto_Cliente_Mes!$A$2:$A$433,C$84,Desconto_Cliente_Mes!$B$2:$B$433,$A84,Desconto_Cliente_Mes!$C$2:$C$433,"Fibra")="",SUMIFS(Desconto_Cliente_Mes!$Q$2:$Q$433,Desconto_Cliente_Mes!$A$2:$A$433,C$84,Desconto_Cliente_Mes!$B$2:$B$433,$A84,Desconto_Cliente_Mes!$C$2:$C$433,"Fibra"),SUMIFS(Desconto_Cliente_Mes!$R$2:$R$433,Desconto_Cliente_Mes!$A$2:$A$433,C$84,Desconto_Cliente_Mes!$B$2:$B$433,$A84,Desconto_Cliente_Mes!$C$2:$C$433,"Fibra"))),SUMIFS(Desconto_Cliente_Mes!$S$2:$S$433,Desconto_Cliente_Mes!$A$2:$A$433,C$84,Desconto_Cliente_Mes!$B$2:$B$433,$A84,Desconto_Cliente_Mes!$C$2:$C$433,"Fibra")))-(IF(SUMIFS(Desconto_Cliente_Mes!$R$2:$R$433,Desconto_Cliente_Mes!$A$2:$A$433,C$84,Desconto_Cliente_Mes!$B$2:$B$433,$A84,Desconto_Cliente_Mes!$C$2:$C$433,"Fibra")="",SUMIFS(Desconto_Cliente_Mes!$Q$2:$Q$433,Desconto_Cliente_Mes!$A$2:$A$433,C$84,Desconto_Cliente_Mes!$B$2:$B$433,$A84,Desconto_Cliente_Mes!$C$2:$C$433,"Fibra"),SUMIFS(Desconto_Cliente_Mes!$R$2:$R$433,Desconto_Cliente_Mes!$A$2:$A$433,C$84,Desconto_Cliente_Mes!$B$2:$B$433,$A84,Desconto_Cliente_Mes!$C$2:$C$433,"Fibra"))))*(SUMIFS(Desconto_Cliente_Mes!$T$2:$T$433,Desconto_Cliente_Mes!$A$2:$A$433,C$84,Desconto_Cliente_Mes!$B$2:$B$433,$A84,Desconto_Cliente_Mes!$C$2:$C$433,"Fibra"))</f>
        <v>0</v>
      </c>
      <c r="D92" s="16" t="n">
        <f aca="false">$D$86*($D$89/100)*((IF(SUMIFS(Desconto_Cliente_Mes!$S$2:$S$433,Desconto_Cliente_Mes!$A$2:$A$433,D$84,Desconto_Cliente_Mes!$B$2:$B$433,$A84,Desconto_Cliente_Mes!$C$2:$C$433,"Fibra")="",(IF(SUMIFS(Desconto_Cliente_Mes!$R$2:$R$433,Desconto_Cliente_Mes!$A$2:$A$433,D$84,Desconto_Cliente_Mes!$B$2:$B$433,$A84,Desconto_Cliente_Mes!$C$2:$C$433,"Fibra")="",SUMIFS(Desconto_Cliente_Mes!$Q$2:$Q$433,Desconto_Cliente_Mes!$A$2:$A$433,D$84,Desconto_Cliente_Mes!$B$2:$B$433,$A84,Desconto_Cliente_Mes!$C$2:$C$433,"Fibra"),SUMIFS(Desconto_Cliente_Mes!$R$2:$R$433,Desconto_Cliente_Mes!$A$2:$A$433,D$84,Desconto_Cliente_Mes!$B$2:$B$433,$A84,Desconto_Cliente_Mes!$C$2:$C$433,"Fibra"))),SUMIFS(Desconto_Cliente_Mes!$S$2:$S$433,Desconto_Cliente_Mes!$A$2:$A$433,D$84,Desconto_Cliente_Mes!$B$2:$B$433,$A84,Desconto_Cliente_Mes!$C$2:$C$433,"Fibra")))-(IF(SUMIFS(Desconto_Cliente_Mes!$R$2:$R$433,Desconto_Cliente_Mes!$A$2:$A$433,D$84,Desconto_Cliente_Mes!$B$2:$B$433,$A84,Desconto_Cliente_Mes!$C$2:$C$433,"Fibra")="",SUMIFS(Desconto_Cliente_Mes!$Q$2:$Q$433,Desconto_Cliente_Mes!$A$2:$A$433,D$84,Desconto_Cliente_Mes!$B$2:$B$433,$A84,Desconto_Cliente_Mes!$C$2:$C$433,"Fibra"),SUMIFS(Desconto_Cliente_Mes!$R$2:$R$433,Desconto_Cliente_Mes!$A$2:$A$433,D$84,Desconto_Cliente_Mes!$B$2:$B$433,$A84,Desconto_Cliente_Mes!$C$2:$C$433,"Fibra"))))*(SUMIFS(Desconto_Cliente_Mes!$T$2:$T$433,Desconto_Cliente_Mes!$A$2:$A$433,D$84,Desconto_Cliente_Mes!$B$2:$B$433,$A84,Desconto_Cliente_Mes!$C$2:$C$433,"Fibra"))</f>
        <v>0</v>
      </c>
      <c r="E92" s="16" t="n">
        <f aca="false">$E$86*($E$89/100)*((IF(SUMIFS(Desconto_Cliente_Mes!$S$2:$S$433,Desconto_Cliente_Mes!$A$2:$A$433,E$84,Desconto_Cliente_Mes!$B$2:$B$433,$A84,Desconto_Cliente_Mes!$C$2:$C$433,"Fibra")="",(IF(SUMIFS(Desconto_Cliente_Mes!$R$2:$R$433,Desconto_Cliente_Mes!$A$2:$A$433,E$84,Desconto_Cliente_Mes!$B$2:$B$433,$A84,Desconto_Cliente_Mes!$C$2:$C$433,"Fibra")="",SUMIFS(Desconto_Cliente_Mes!$Q$2:$Q$433,Desconto_Cliente_Mes!$A$2:$A$433,E$84,Desconto_Cliente_Mes!$B$2:$B$433,$A84,Desconto_Cliente_Mes!$C$2:$C$433,"Fibra"),SUMIFS(Desconto_Cliente_Mes!$R$2:$R$433,Desconto_Cliente_Mes!$A$2:$A$433,E$84,Desconto_Cliente_Mes!$B$2:$B$433,$A84,Desconto_Cliente_Mes!$C$2:$C$433,"Fibra"))),SUMIFS(Desconto_Cliente_Mes!$S$2:$S$433,Desconto_Cliente_Mes!$A$2:$A$433,E$84,Desconto_Cliente_Mes!$B$2:$B$433,$A84,Desconto_Cliente_Mes!$C$2:$C$433,"Fibra")))-(IF(SUMIFS(Desconto_Cliente_Mes!$R$2:$R$433,Desconto_Cliente_Mes!$A$2:$A$433,E$84,Desconto_Cliente_Mes!$B$2:$B$433,$A84,Desconto_Cliente_Mes!$C$2:$C$433,"Fibra")="",SUMIFS(Desconto_Cliente_Mes!$Q$2:$Q$433,Desconto_Cliente_Mes!$A$2:$A$433,E$84,Desconto_Cliente_Mes!$B$2:$B$433,$A84,Desconto_Cliente_Mes!$C$2:$C$433,"Fibra"),SUMIFS(Desconto_Cliente_Mes!$R$2:$R$433,Desconto_Cliente_Mes!$A$2:$A$433,E$84,Desconto_Cliente_Mes!$B$2:$B$433,$A84,Desconto_Cliente_Mes!$C$2:$C$433,"Fibra"))))*(SUMIFS(Desconto_Cliente_Mes!$T$2:$T$433,Desconto_Cliente_Mes!$A$2:$A$433,E$84,Desconto_Cliente_Mes!$B$2:$B$433,$A84,Desconto_Cliente_Mes!$C$2:$C$433,"Fibra"))</f>
        <v>0</v>
      </c>
      <c r="F92" s="16" t="n">
        <f aca="false">$F$86*($F$89/100)*((IF(SUMIFS(Desconto_Cliente_Mes!$S$2:$S$433,Desconto_Cliente_Mes!$A$2:$A$433,F$84,Desconto_Cliente_Mes!$B$2:$B$433,$A84,Desconto_Cliente_Mes!$C$2:$C$433,"Fibra")="",(IF(SUMIFS(Desconto_Cliente_Mes!$R$2:$R$433,Desconto_Cliente_Mes!$A$2:$A$433,F$84,Desconto_Cliente_Mes!$B$2:$B$433,$A84,Desconto_Cliente_Mes!$C$2:$C$433,"Fibra")="",SUMIFS(Desconto_Cliente_Mes!$Q$2:$Q$433,Desconto_Cliente_Mes!$A$2:$A$433,F$84,Desconto_Cliente_Mes!$B$2:$B$433,$A84,Desconto_Cliente_Mes!$C$2:$C$433,"Fibra"),SUMIFS(Desconto_Cliente_Mes!$R$2:$R$433,Desconto_Cliente_Mes!$A$2:$A$433,F$84,Desconto_Cliente_Mes!$B$2:$B$433,$A84,Desconto_Cliente_Mes!$C$2:$C$433,"Fibra"))),SUMIFS(Desconto_Cliente_Mes!$S$2:$S$433,Desconto_Cliente_Mes!$A$2:$A$433,F$84,Desconto_Cliente_Mes!$B$2:$B$433,$A84,Desconto_Cliente_Mes!$C$2:$C$433,"Fibra")))-(IF(SUMIFS(Desconto_Cliente_Mes!$R$2:$R$433,Desconto_Cliente_Mes!$A$2:$A$433,F$84,Desconto_Cliente_Mes!$B$2:$B$433,$A84,Desconto_Cliente_Mes!$C$2:$C$433,"Fibra")="",SUMIFS(Desconto_Cliente_Mes!$Q$2:$Q$433,Desconto_Cliente_Mes!$A$2:$A$433,F$84,Desconto_Cliente_Mes!$B$2:$B$433,$A84,Desconto_Cliente_Mes!$C$2:$C$433,"Fibra"),SUMIFS(Desconto_Cliente_Mes!$R$2:$R$433,Desconto_Cliente_Mes!$A$2:$A$433,F$84,Desconto_Cliente_Mes!$B$2:$B$433,$A84,Desconto_Cliente_Mes!$C$2:$C$433,"Fibra"))))*(SUMIFS(Desconto_Cliente_Mes!$T$2:$T$433,Desconto_Cliente_Mes!$A$2:$A$433,F$84,Desconto_Cliente_Mes!$B$2:$B$433,$A84,Desconto_Cliente_Mes!$C$2:$C$433,"Fibra"))</f>
        <v>0</v>
      </c>
      <c r="G92" s="16" t="n">
        <f aca="false">$G$86*($G$89/100)*((IF(SUMIFS(Desconto_Cliente_Mes!$S$2:$S$433,Desconto_Cliente_Mes!$A$2:$A$433,G$84,Desconto_Cliente_Mes!$B$2:$B$433,$A84,Desconto_Cliente_Mes!$C$2:$C$433,"Fibra")="",(IF(SUMIFS(Desconto_Cliente_Mes!$R$2:$R$433,Desconto_Cliente_Mes!$A$2:$A$433,G$84,Desconto_Cliente_Mes!$B$2:$B$433,$A84,Desconto_Cliente_Mes!$C$2:$C$433,"Fibra")="",SUMIFS(Desconto_Cliente_Mes!$Q$2:$Q$433,Desconto_Cliente_Mes!$A$2:$A$433,G$84,Desconto_Cliente_Mes!$B$2:$B$433,$A84,Desconto_Cliente_Mes!$C$2:$C$433,"Fibra"),SUMIFS(Desconto_Cliente_Mes!$R$2:$R$433,Desconto_Cliente_Mes!$A$2:$A$433,G$84,Desconto_Cliente_Mes!$B$2:$B$433,$A84,Desconto_Cliente_Mes!$C$2:$C$433,"Fibra"))),SUMIFS(Desconto_Cliente_Mes!$S$2:$S$433,Desconto_Cliente_Mes!$A$2:$A$433,G$84,Desconto_Cliente_Mes!$B$2:$B$433,$A84,Desconto_Cliente_Mes!$C$2:$C$433,"Fibra")))-(IF(SUMIFS(Desconto_Cliente_Mes!$R$2:$R$433,Desconto_Cliente_Mes!$A$2:$A$433,G$84,Desconto_Cliente_Mes!$B$2:$B$433,$A84,Desconto_Cliente_Mes!$C$2:$C$433,"Fibra")="",SUMIFS(Desconto_Cliente_Mes!$Q$2:$Q$433,Desconto_Cliente_Mes!$A$2:$A$433,G$84,Desconto_Cliente_Mes!$B$2:$B$433,$A84,Desconto_Cliente_Mes!$C$2:$C$433,"Fibra"),SUMIFS(Desconto_Cliente_Mes!$R$2:$R$433,Desconto_Cliente_Mes!$A$2:$A$433,G$84,Desconto_Cliente_Mes!$B$2:$B$433,$A84,Desconto_Cliente_Mes!$C$2:$C$433,"Fibra"))))*(SUMIFS(Desconto_Cliente_Mes!$T$2:$T$433,Desconto_Cliente_Mes!$A$2:$A$433,G$84,Desconto_Cliente_Mes!$B$2:$B$433,$A84,Desconto_Cliente_Mes!$C$2:$C$433,"Fibra"))</f>
        <v>0</v>
      </c>
      <c r="H92" s="16" t="n">
        <f aca="false">$H$86*($H$89/100)*((IF(SUMIFS(Desconto_Cliente_Mes!$S$2:$S$433,Desconto_Cliente_Mes!$A$2:$A$433,H$84,Desconto_Cliente_Mes!$B$2:$B$433,$A84,Desconto_Cliente_Mes!$C$2:$C$433,"Fibra")="",(IF(SUMIFS(Desconto_Cliente_Mes!$R$2:$R$433,Desconto_Cliente_Mes!$A$2:$A$433,H$84,Desconto_Cliente_Mes!$B$2:$B$433,$A84,Desconto_Cliente_Mes!$C$2:$C$433,"Fibra")="",SUMIFS(Desconto_Cliente_Mes!$Q$2:$Q$433,Desconto_Cliente_Mes!$A$2:$A$433,H$84,Desconto_Cliente_Mes!$B$2:$B$433,$A84,Desconto_Cliente_Mes!$C$2:$C$433,"Fibra"),SUMIFS(Desconto_Cliente_Mes!$R$2:$R$433,Desconto_Cliente_Mes!$A$2:$A$433,H$84,Desconto_Cliente_Mes!$B$2:$B$433,$A84,Desconto_Cliente_Mes!$C$2:$C$433,"Fibra"))),SUMIFS(Desconto_Cliente_Mes!$S$2:$S$433,Desconto_Cliente_Mes!$A$2:$A$433,H$84,Desconto_Cliente_Mes!$B$2:$B$433,$A84,Desconto_Cliente_Mes!$C$2:$C$433,"Fibra")))-(IF(SUMIFS(Desconto_Cliente_Mes!$R$2:$R$433,Desconto_Cliente_Mes!$A$2:$A$433,H$84,Desconto_Cliente_Mes!$B$2:$B$433,$A84,Desconto_Cliente_Mes!$C$2:$C$433,"Fibra")="",SUMIFS(Desconto_Cliente_Mes!$Q$2:$Q$433,Desconto_Cliente_Mes!$A$2:$A$433,H$84,Desconto_Cliente_Mes!$B$2:$B$433,$A84,Desconto_Cliente_Mes!$C$2:$C$433,"Fibra"),SUMIFS(Desconto_Cliente_Mes!$R$2:$R$433,Desconto_Cliente_Mes!$A$2:$A$433,H$84,Desconto_Cliente_Mes!$B$2:$B$433,$A84,Desconto_Cliente_Mes!$C$2:$C$433,"Fibra"))))*(SUMIFS(Desconto_Cliente_Mes!$T$2:$T$433,Desconto_Cliente_Mes!$A$2:$A$433,H$84,Desconto_Cliente_Mes!$B$2:$B$433,$A84,Desconto_Cliente_Mes!$C$2:$C$433,"Fibra"))</f>
        <v>0</v>
      </c>
      <c r="I92" s="16" t="n">
        <f aca="false">$I$86*($I$89/100)*((IF(SUMIFS(Desconto_Cliente_Mes!$S$2:$S$433,Desconto_Cliente_Mes!$A$2:$A$433,I$84,Desconto_Cliente_Mes!$B$2:$B$433,$A84,Desconto_Cliente_Mes!$C$2:$C$433,"Fibra")="",(IF(SUMIFS(Desconto_Cliente_Mes!$R$2:$R$433,Desconto_Cliente_Mes!$A$2:$A$433,I$84,Desconto_Cliente_Mes!$B$2:$B$433,$A84,Desconto_Cliente_Mes!$C$2:$C$433,"Fibra")="",SUMIFS(Desconto_Cliente_Mes!$Q$2:$Q$433,Desconto_Cliente_Mes!$A$2:$A$433,I$84,Desconto_Cliente_Mes!$B$2:$B$433,$A84,Desconto_Cliente_Mes!$C$2:$C$433,"Fibra"),SUMIFS(Desconto_Cliente_Mes!$R$2:$R$433,Desconto_Cliente_Mes!$A$2:$A$433,I$84,Desconto_Cliente_Mes!$B$2:$B$433,$A84,Desconto_Cliente_Mes!$C$2:$C$433,"Fibra"))),SUMIFS(Desconto_Cliente_Mes!$S$2:$S$433,Desconto_Cliente_Mes!$A$2:$A$433,I$84,Desconto_Cliente_Mes!$B$2:$B$433,$A84,Desconto_Cliente_Mes!$C$2:$C$433,"Fibra")))-(IF(SUMIFS(Desconto_Cliente_Mes!$R$2:$R$433,Desconto_Cliente_Mes!$A$2:$A$433,I$84,Desconto_Cliente_Mes!$B$2:$B$433,$A84,Desconto_Cliente_Mes!$C$2:$C$433,"Fibra")="",SUMIFS(Desconto_Cliente_Mes!$Q$2:$Q$433,Desconto_Cliente_Mes!$A$2:$A$433,I$84,Desconto_Cliente_Mes!$B$2:$B$433,$A84,Desconto_Cliente_Mes!$C$2:$C$433,"Fibra"),SUMIFS(Desconto_Cliente_Mes!$R$2:$R$433,Desconto_Cliente_Mes!$A$2:$A$433,I$84,Desconto_Cliente_Mes!$B$2:$B$433,$A84,Desconto_Cliente_Mes!$C$2:$C$433,"Fibra"))))*(SUMIFS(Desconto_Cliente_Mes!$T$2:$T$433,Desconto_Cliente_Mes!$A$2:$A$433,I$84,Desconto_Cliente_Mes!$B$2:$B$433,$A84,Desconto_Cliente_Mes!$C$2:$C$433,"Fibra"))</f>
        <v>0</v>
      </c>
      <c r="J92" s="16" t="n">
        <f aca="false">$J$86*($J$89/100)*((IF(SUMIFS(Desconto_Cliente_Mes!$S$2:$S$433,Desconto_Cliente_Mes!$A$2:$A$433,J$84,Desconto_Cliente_Mes!$B$2:$B$433,$A84,Desconto_Cliente_Mes!$C$2:$C$433,"Fibra")="",(IF(SUMIFS(Desconto_Cliente_Mes!$R$2:$R$433,Desconto_Cliente_Mes!$A$2:$A$433,J$84,Desconto_Cliente_Mes!$B$2:$B$433,$A84,Desconto_Cliente_Mes!$C$2:$C$433,"Fibra")="",SUMIFS(Desconto_Cliente_Mes!$Q$2:$Q$433,Desconto_Cliente_Mes!$A$2:$A$433,J$84,Desconto_Cliente_Mes!$B$2:$B$433,$A84,Desconto_Cliente_Mes!$C$2:$C$433,"Fibra"),SUMIFS(Desconto_Cliente_Mes!$R$2:$R$433,Desconto_Cliente_Mes!$A$2:$A$433,J$84,Desconto_Cliente_Mes!$B$2:$B$433,$A84,Desconto_Cliente_Mes!$C$2:$C$433,"Fibra"))),SUMIFS(Desconto_Cliente_Mes!$S$2:$S$433,Desconto_Cliente_Mes!$A$2:$A$433,J$84,Desconto_Cliente_Mes!$B$2:$B$433,$A84,Desconto_Cliente_Mes!$C$2:$C$433,"Fibra")))-(IF(SUMIFS(Desconto_Cliente_Mes!$R$2:$R$433,Desconto_Cliente_Mes!$A$2:$A$433,J$84,Desconto_Cliente_Mes!$B$2:$B$433,$A84,Desconto_Cliente_Mes!$C$2:$C$433,"Fibra")="",SUMIFS(Desconto_Cliente_Mes!$Q$2:$Q$433,Desconto_Cliente_Mes!$A$2:$A$433,J$84,Desconto_Cliente_Mes!$B$2:$B$433,$A84,Desconto_Cliente_Mes!$C$2:$C$433,"Fibra"),SUMIFS(Desconto_Cliente_Mes!$R$2:$R$433,Desconto_Cliente_Mes!$A$2:$A$433,J$84,Desconto_Cliente_Mes!$B$2:$B$433,$A84,Desconto_Cliente_Mes!$C$2:$C$433,"Fibra"))))*(SUMIFS(Desconto_Cliente_Mes!$T$2:$T$433,Desconto_Cliente_Mes!$A$2:$A$433,J$84,Desconto_Cliente_Mes!$B$2:$B$433,$A84,Desconto_Cliente_Mes!$C$2:$C$433,"Fibra"))</f>
        <v>0</v>
      </c>
      <c r="K92" s="16" t="n">
        <f aca="false">$K$86*($K$89/100)*((IF(SUMIFS(Desconto_Cliente_Mes!$S$2:$S$433,Desconto_Cliente_Mes!$A$2:$A$433,K$84,Desconto_Cliente_Mes!$B$2:$B$433,$A84,Desconto_Cliente_Mes!$C$2:$C$433,"Fibra")="",(IF(SUMIFS(Desconto_Cliente_Mes!$R$2:$R$433,Desconto_Cliente_Mes!$A$2:$A$433,K$84,Desconto_Cliente_Mes!$B$2:$B$433,$A84,Desconto_Cliente_Mes!$C$2:$C$433,"Fibra")="",SUMIFS(Desconto_Cliente_Mes!$Q$2:$Q$433,Desconto_Cliente_Mes!$A$2:$A$433,K$84,Desconto_Cliente_Mes!$B$2:$B$433,$A84,Desconto_Cliente_Mes!$C$2:$C$433,"Fibra"),SUMIFS(Desconto_Cliente_Mes!$R$2:$R$433,Desconto_Cliente_Mes!$A$2:$A$433,K$84,Desconto_Cliente_Mes!$B$2:$B$433,$A84,Desconto_Cliente_Mes!$C$2:$C$433,"Fibra"))),SUMIFS(Desconto_Cliente_Mes!$S$2:$S$433,Desconto_Cliente_Mes!$A$2:$A$433,K$84,Desconto_Cliente_Mes!$B$2:$B$433,$A84,Desconto_Cliente_Mes!$C$2:$C$433,"Fibra")))-(IF(SUMIFS(Desconto_Cliente_Mes!$R$2:$R$433,Desconto_Cliente_Mes!$A$2:$A$433,K$84,Desconto_Cliente_Mes!$B$2:$B$433,$A84,Desconto_Cliente_Mes!$C$2:$C$433,"Fibra")="",SUMIFS(Desconto_Cliente_Mes!$Q$2:$Q$433,Desconto_Cliente_Mes!$A$2:$A$433,K$84,Desconto_Cliente_Mes!$B$2:$B$433,$A84,Desconto_Cliente_Mes!$C$2:$C$433,"Fibra"),SUMIFS(Desconto_Cliente_Mes!$R$2:$R$433,Desconto_Cliente_Mes!$A$2:$A$433,K$84,Desconto_Cliente_Mes!$B$2:$B$433,$A84,Desconto_Cliente_Mes!$C$2:$C$433,"Fibra"))))*(SUMIFS(Desconto_Cliente_Mes!$T$2:$T$433,Desconto_Cliente_Mes!$A$2:$A$433,K$84,Desconto_Cliente_Mes!$B$2:$B$433,$A84,Desconto_Cliente_Mes!$C$2:$C$433,"Fibra"))</f>
        <v>0</v>
      </c>
      <c r="L92" s="16" t="n">
        <f aca="false">$L$86*($L$89/100)*((IF(SUMIFS(Desconto_Cliente_Mes!$S$2:$S$433,Desconto_Cliente_Mes!$A$2:$A$433,L$84,Desconto_Cliente_Mes!$B$2:$B$433,$A84,Desconto_Cliente_Mes!$C$2:$C$433,"Fibra")="",(IF(SUMIFS(Desconto_Cliente_Mes!$R$2:$R$433,Desconto_Cliente_Mes!$A$2:$A$433,L$84,Desconto_Cliente_Mes!$B$2:$B$433,$A84,Desconto_Cliente_Mes!$C$2:$C$433,"Fibra")="",SUMIFS(Desconto_Cliente_Mes!$Q$2:$Q$433,Desconto_Cliente_Mes!$A$2:$A$433,L$84,Desconto_Cliente_Mes!$B$2:$B$433,$A84,Desconto_Cliente_Mes!$C$2:$C$433,"Fibra"),SUMIFS(Desconto_Cliente_Mes!$R$2:$R$433,Desconto_Cliente_Mes!$A$2:$A$433,L$84,Desconto_Cliente_Mes!$B$2:$B$433,$A84,Desconto_Cliente_Mes!$C$2:$C$433,"Fibra"))),SUMIFS(Desconto_Cliente_Mes!$S$2:$S$433,Desconto_Cliente_Mes!$A$2:$A$433,L$84,Desconto_Cliente_Mes!$B$2:$B$433,$A84,Desconto_Cliente_Mes!$C$2:$C$433,"Fibra")))-(IF(SUMIFS(Desconto_Cliente_Mes!$R$2:$R$433,Desconto_Cliente_Mes!$A$2:$A$433,L$84,Desconto_Cliente_Mes!$B$2:$B$433,$A84,Desconto_Cliente_Mes!$C$2:$C$433,"Fibra")="",SUMIFS(Desconto_Cliente_Mes!$Q$2:$Q$433,Desconto_Cliente_Mes!$A$2:$A$433,L$84,Desconto_Cliente_Mes!$B$2:$B$433,$A84,Desconto_Cliente_Mes!$C$2:$C$433,"Fibra"),SUMIFS(Desconto_Cliente_Mes!$R$2:$R$433,Desconto_Cliente_Mes!$A$2:$A$433,L$84,Desconto_Cliente_Mes!$B$2:$B$433,$A84,Desconto_Cliente_Mes!$C$2:$C$433,"Fibra"))))*(SUMIFS(Desconto_Cliente_Mes!$T$2:$T$433,Desconto_Cliente_Mes!$A$2:$A$433,L$84,Desconto_Cliente_Mes!$B$2:$B$433,$A84,Desconto_Cliente_Mes!$C$2:$C$433,"Fibra"))</f>
        <v>0</v>
      </c>
      <c r="M92" s="16" t="n">
        <f aca="false">$M$86*($M$89/100)*((IF(SUMIFS(Desconto_Cliente_Mes!$S$2:$S$433,Desconto_Cliente_Mes!$A$2:$A$433,M$84,Desconto_Cliente_Mes!$B$2:$B$433,$A84,Desconto_Cliente_Mes!$C$2:$C$433,"Fibra")="",(IF(SUMIFS(Desconto_Cliente_Mes!$R$2:$R$433,Desconto_Cliente_Mes!$A$2:$A$433,M$84,Desconto_Cliente_Mes!$B$2:$B$433,$A84,Desconto_Cliente_Mes!$C$2:$C$433,"Fibra")="",SUMIFS(Desconto_Cliente_Mes!$Q$2:$Q$433,Desconto_Cliente_Mes!$A$2:$A$433,M$84,Desconto_Cliente_Mes!$B$2:$B$433,$A84,Desconto_Cliente_Mes!$C$2:$C$433,"Fibra"),SUMIFS(Desconto_Cliente_Mes!$R$2:$R$433,Desconto_Cliente_Mes!$A$2:$A$433,M$84,Desconto_Cliente_Mes!$B$2:$B$433,$A84,Desconto_Cliente_Mes!$C$2:$C$433,"Fibra"))),SUMIFS(Desconto_Cliente_Mes!$S$2:$S$433,Desconto_Cliente_Mes!$A$2:$A$433,M$84,Desconto_Cliente_Mes!$B$2:$B$433,$A84,Desconto_Cliente_Mes!$C$2:$C$433,"Fibra")))-(IF(SUMIFS(Desconto_Cliente_Mes!$R$2:$R$433,Desconto_Cliente_Mes!$A$2:$A$433,M$84,Desconto_Cliente_Mes!$B$2:$B$433,$A84,Desconto_Cliente_Mes!$C$2:$C$433,"Fibra")="",SUMIFS(Desconto_Cliente_Mes!$Q$2:$Q$433,Desconto_Cliente_Mes!$A$2:$A$433,M$84,Desconto_Cliente_Mes!$B$2:$B$433,$A84,Desconto_Cliente_Mes!$C$2:$C$433,"Fibra"),SUMIFS(Desconto_Cliente_Mes!$R$2:$R$433,Desconto_Cliente_Mes!$A$2:$A$433,M$84,Desconto_Cliente_Mes!$B$2:$B$433,$A84,Desconto_Cliente_Mes!$C$2:$C$433,"Fibra"))))*(SUMIFS(Desconto_Cliente_Mes!$T$2:$T$433,Desconto_Cliente_Mes!$A$2:$A$433,M$84,Desconto_Cliente_Mes!$B$2:$B$433,$A84,Desconto_Cliente_Mes!$C$2:$C$433,"Fibra"))</f>
        <v>0</v>
      </c>
      <c r="N92" s="17" t="n">
        <f aca="false">SUM(B92:M92)</f>
        <v>0</v>
      </c>
    </row>
    <row r="93" customFormat="false" ht="15" hidden="false" customHeight="false" outlineLevel="0" collapsed="false">
      <c r="A93" s="13" t="s">
        <v>82</v>
      </c>
      <c r="B93" s="16" t="n">
        <f aca="false">SUMIFS(Acerto_Detalhado!$J$2:$J$433,Acerto_Detalhado!$A$2:$A$433,B$84,Acerto_Detalhado!$B$2:$B$433,$A84,Acerto_Detalhado!$C$2:$C$433,"Fibra")</f>
        <v>0</v>
      </c>
      <c r="C93" s="16" t="n">
        <f aca="false">SUMIFS(Acerto_Detalhado!$J$2:$J$433,Acerto_Detalhado!$A$2:$A$433,C$84,Acerto_Detalhado!$B$2:$B$433,$A84,Acerto_Detalhado!$C$2:$C$433,"Fibra")</f>
        <v>43107.4425773326</v>
      </c>
      <c r="D93" s="16" t="n">
        <f aca="false">SUMIFS(Acerto_Detalhado!$J$2:$J$433,Acerto_Detalhado!$A$2:$A$433,D$84,Acerto_Detalhado!$B$2:$B$433,$A84,Acerto_Detalhado!$C$2:$C$433,"Fibra")</f>
        <v>77366.7472414807</v>
      </c>
      <c r="E93" s="16" t="n">
        <f aca="false">SUMIFS(Acerto_Detalhado!$J$2:$J$433,Acerto_Detalhado!$A$2:$A$433,E$84,Acerto_Detalhado!$B$2:$B$433,$A84,Acerto_Detalhado!$C$2:$C$433,"Fibra")</f>
        <v>0</v>
      </c>
      <c r="F93" s="16" t="n">
        <f aca="false">SUMIFS(Acerto_Detalhado!$J$2:$J$433,Acerto_Detalhado!$A$2:$A$433,F$84,Acerto_Detalhado!$B$2:$B$433,$A84,Acerto_Detalhado!$C$2:$C$433,"Fibra")</f>
        <v>0</v>
      </c>
      <c r="G93" s="16" t="n">
        <f aca="false">SUMIFS(Acerto_Detalhado!$J$2:$J$433,Acerto_Detalhado!$A$2:$A$433,G$84,Acerto_Detalhado!$B$2:$B$433,$A84,Acerto_Detalhado!$C$2:$C$433,"Fibra")</f>
        <v>0</v>
      </c>
      <c r="H93" s="16" t="n">
        <f aca="false">SUMIFS(Acerto_Detalhado!$J$2:$J$433,Acerto_Detalhado!$A$2:$A$433,H$84,Acerto_Detalhado!$B$2:$B$433,$A84,Acerto_Detalhado!$C$2:$C$433,"Fibra")</f>
        <v>0</v>
      </c>
      <c r="I93" s="16" t="n">
        <f aca="false">SUMIFS(Acerto_Detalhado!$J$2:$J$433,Acerto_Detalhado!$A$2:$A$433,I$84,Acerto_Detalhado!$B$2:$B$433,$A84,Acerto_Detalhado!$C$2:$C$433,"Fibra")</f>
        <v>11521.5599108795</v>
      </c>
      <c r="J93" s="16" t="n">
        <f aca="false">SUMIFS(Acerto_Detalhado!$J$2:$J$433,Acerto_Detalhado!$A$2:$A$433,J$84,Acerto_Detalhado!$B$2:$B$433,$A84,Acerto_Detalhado!$C$2:$C$433,"Fibra")</f>
        <v>0</v>
      </c>
      <c r="K93" s="16" t="n">
        <f aca="false">SUMIFS(Acerto_Detalhado!$J$2:$J$433,Acerto_Detalhado!$A$2:$A$433,K$84,Acerto_Detalhado!$B$2:$B$433,$A84,Acerto_Detalhado!$C$2:$C$433,"Fibra")</f>
        <v>0</v>
      </c>
      <c r="L93" s="16" t="n">
        <f aca="false">SUMIFS(Acerto_Detalhado!$J$2:$J$433,Acerto_Detalhado!$A$2:$A$433,L$84,Acerto_Detalhado!$B$2:$B$433,$A84,Acerto_Detalhado!$C$2:$C$433,"Fibra")</f>
        <v>0</v>
      </c>
      <c r="M93" s="16" t="n">
        <f aca="false">SUMIFS(Acerto_Detalhado!$J$2:$J$433,Acerto_Detalhado!$A$2:$A$433,M$84,Acerto_Detalhado!$B$2:$B$433,$A84,Acerto_Detalhado!$C$2:$C$433,"Fibra")</f>
        <v>0</v>
      </c>
      <c r="N93" s="17" t="n">
        <f aca="false">SUM(B93:M93)</f>
        <v>131995.749729693</v>
      </c>
    </row>
    <row r="95" customFormat="false" ht="15" hidden="false" customHeight="false" outlineLevel="0" collapsed="false">
      <c r="A95" s="5" t="s">
        <v>66</v>
      </c>
      <c r="B95" s="6" t="s">
        <v>39</v>
      </c>
      <c r="C95" s="6" t="s">
        <v>40</v>
      </c>
      <c r="D95" s="6" t="s">
        <v>41</v>
      </c>
      <c r="E95" s="6" t="s">
        <v>42</v>
      </c>
      <c r="F95" s="6" t="s">
        <v>43</v>
      </c>
      <c r="G95" s="6" t="s">
        <v>44</v>
      </c>
      <c r="H95" s="6" t="s">
        <v>45</v>
      </c>
      <c r="I95" s="6" t="s">
        <v>46</v>
      </c>
      <c r="J95" s="6" t="s">
        <v>47</v>
      </c>
      <c r="K95" s="6" t="s">
        <v>48</v>
      </c>
      <c r="L95" s="6" t="s">
        <v>49</v>
      </c>
      <c r="M95" s="6" t="s">
        <v>50</v>
      </c>
      <c r="N95" s="6" t="s">
        <v>51</v>
      </c>
    </row>
    <row r="96" customFormat="false" ht="15" hidden="false" customHeight="false" outlineLevel="0" collapsed="false">
      <c r="A96" s="13" t="s">
        <v>74</v>
      </c>
      <c r="B96" s="10" t="n">
        <f aca="false">IF((SUMIFS(Desconto_Cliente_Mes!$D$2:$D$433,Desconto_Cliente_Mes!$A$2:$A$433,B$95,Desconto_Cliente_Mes!$B$2:$B$433,$A95,Desconto_Cliente_Mes!$C$2:$C$433,"Fibra"))=0,"",IFERROR(SUMIFS(Desconto_Cliente_Mes!$E$2:$E$433,Desconto_Cliente_Mes!$A$2:$A$433,B$95,Desconto_Cliente_Mes!$B$2:$B$433,$A95,Desconto_Cliente_Mes!$C$2:$C$433,"Fibra"),""))</f>
        <v>3.91</v>
      </c>
      <c r="C96" s="10" t="n">
        <f aca="false">IF((SUMIFS(Desconto_Cliente_Mes!$D$2:$D$433,Desconto_Cliente_Mes!$A$2:$A$433,C$95,Desconto_Cliente_Mes!$B$2:$B$433,$A95,Desconto_Cliente_Mes!$C$2:$C$433,"Fibra"))=0,"",IFERROR(SUMIFS(Desconto_Cliente_Mes!$E$2:$E$433,Desconto_Cliente_Mes!$A$2:$A$433,C$95,Desconto_Cliente_Mes!$B$2:$B$433,$A95,Desconto_Cliente_Mes!$C$2:$C$433,"Fibra"),""))</f>
        <v>3.61068685869027</v>
      </c>
      <c r="D96" s="10" t="n">
        <f aca="false">IF((SUMIFS(Desconto_Cliente_Mes!$D$2:$D$433,Desconto_Cliente_Mes!$A$2:$A$433,D$95,Desconto_Cliente_Mes!$B$2:$B$433,$A95,Desconto_Cliente_Mes!$C$2:$C$433,"Fibra"))=0,"",IFERROR(SUMIFS(Desconto_Cliente_Mes!$E$2:$E$433,Desconto_Cliente_Mes!$A$2:$A$433,D$95,Desconto_Cliente_Mes!$B$2:$B$433,$A95,Desconto_Cliente_Mes!$C$2:$C$433,"Fibra"),""))</f>
        <v>3.56</v>
      </c>
      <c r="E96" s="10" t="n">
        <f aca="false">IF((SUMIFS(Desconto_Cliente_Mes!$D$2:$D$433,Desconto_Cliente_Mes!$A$2:$A$433,E$95,Desconto_Cliente_Mes!$B$2:$B$433,$A95,Desconto_Cliente_Mes!$C$2:$C$433,"Fibra"))=0,"",IFERROR(SUMIFS(Desconto_Cliente_Mes!$E$2:$E$433,Desconto_Cliente_Mes!$A$2:$A$433,E$95,Desconto_Cliente_Mes!$B$2:$B$433,$A95,Desconto_Cliente_Mes!$C$2:$C$433,"Fibra"),""))</f>
        <v>3.87</v>
      </c>
      <c r="F96" s="10" t="n">
        <f aca="false">IF((SUMIFS(Desconto_Cliente_Mes!$D$2:$D$433,Desconto_Cliente_Mes!$A$2:$A$433,F$95,Desconto_Cliente_Mes!$B$2:$B$433,$A95,Desconto_Cliente_Mes!$C$2:$C$433,"Fibra"))=0,"",IFERROR(SUMIFS(Desconto_Cliente_Mes!$E$2:$E$433,Desconto_Cliente_Mes!$A$2:$A$433,F$95,Desconto_Cliente_Mes!$B$2:$B$433,$A95,Desconto_Cliente_Mes!$C$2:$C$433,"Fibra"),""))</f>
        <v>3.64</v>
      </c>
      <c r="G96" s="10" t="n">
        <f aca="false">IF((SUMIFS(Desconto_Cliente_Mes!$D$2:$D$433,Desconto_Cliente_Mes!$A$2:$A$433,G$95,Desconto_Cliente_Mes!$B$2:$B$433,$A95,Desconto_Cliente_Mes!$C$2:$C$433,"Fibra"))=0,"",IFERROR(SUMIFS(Desconto_Cliente_Mes!$E$2:$E$433,Desconto_Cliente_Mes!$A$2:$A$433,G$95,Desconto_Cliente_Mes!$B$2:$B$433,$A95,Desconto_Cliente_Mes!$C$2:$C$433,"Fibra"),""))</f>
        <v>3.68953274057066</v>
      </c>
      <c r="H96" s="10" t="n">
        <f aca="false">IF((SUMIFS(Desconto_Cliente_Mes!$D$2:$D$433,Desconto_Cliente_Mes!$A$2:$A$433,H$95,Desconto_Cliente_Mes!$B$2:$B$433,$A95,Desconto_Cliente_Mes!$C$2:$C$433,"Fibra"))=0,"",IFERROR(SUMIFS(Desconto_Cliente_Mes!$E$2:$E$433,Desconto_Cliente_Mes!$A$2:$A$433,H$95,Desconto_Cliente_Mes!$B$2:$B$433,$A95,Desconto_Cliente_Mes!$C$2:$C$433,"Fibra"),""))</f>
        <v>3.82615528230509</v>
      </c>
      <c r="I96" s="10" t="n">
        <f aca="false">IF((SUMIFS(Desconto_Cliente_Mes!$D$2:$D$433,Desconto_Cliente_Mes!$A$2:$A$433,I$95,Desconto_Cliente_Mes!$B$2:$B$433,$A95,Desconto_Cliente_Mes!$C$2:$C$433,"Fibra"))=0,"",IFERROR(SUMIFS(Desconto_Cliente_Mes!$E$2:$E$433,Desconto_Cliente_Mes!$A$2:$A$433,I$95,Desconto_Cliente_Mes!$B$2:$B$433,$A95,Desconto_Cliente_Mes!$C$2:$C$433,"Fibra"),""))</f>
        <v>3.82</v>
      </c>
      <c r="J96" s="10" t="str">
        <f aca="false">IF((SUMIFS(Desconto_Cliente_Mes!$D$2:$D$433,Desconto_Cliente_Mes!$A$2:$A$433,J$95,Desconto_Cliente_Mes!$B$2:$B$433,$A95,Desconto_Cliente_Mes!$C$2:$C$433,"Fibra"))=0,"",IFERROR(SUMIFS(Desconto_Cliente_Mes!$E$2:$E$433,Desconto_Cliente_Mes!$A$2:$A$433,J$95,Desconto_Cliente_Mes!$B$2:$B$433,$A95,Desconto_Cliente_Mes!$C$2:$C$433,"Fibra"),""))</f>
        <v/>
      </c>
      <c r="K96" s="10" t="n">
        <f aca="false">IF((SUMIFS(Desconto_Cliente_Mes!$D$2:$D$433,Desconto_Cliente_Mes!$A$2:$A$433,K$95,Desconto_Cliente_Mes!$B$2:$B$433,$A95,Desconto_Cliente_Mes!$C$2:$C$433,"Fibra"))=0,"",IFERROR(SUMIFS(Desconto_Cliente_Mes!$E$2:$E$433,Desconto_Cliente_Mes!$A$2:$A$433,K$95,Desconto_Cliente_Mes!$B$2:$B$433,$A95,Desconto_Cliente_Mes!$C$2:$C$433,"Fibra"),""))</f>
        <v>3.61</v>
      </c>
      <c r="L96" s="10" t="str">
        <f aca="false">IF((SUMIFS(Desconto_Cliente_Mes!$D$2:$D$433,Desconto_Cliente_Mes!$A$2:$A$433,L$95,Desconto_Cliente_Mes!$B$2:$B$433,$A95,Desconto_Cliente_Mes!$C$2:$C$433,"Fibra"))=0,"",IFERROR(SUMIFS(Desconto_Cliente_Mes!$E$2:$E$433,Desconto_Cliente_Mes!$A$2:$A$433,L$95,Desconto_Cliente_Mes!$B$2:$B$433,$A95,Desconto_Cliente_Mes!$C$2:$C$433,"Fibra"),""))</f>
        <v/>
      </c>
      <c r="M96" s="10" t="str">
        <f aca="false">IF((SUMIFS(Desconto_Cliente_Mes!$D$2:$D$433,Desconto_Cliente_Mes!$A$2:$A$433,M$95,Desconto_Cliente_Mes!$B$2:$B$433,$A95,Desconto_Cliente_Mes!$C$2:$C$433,"Fibra"))=0,"",IFERROR(SUMIFS(Desconto_Cliente_Mes!$E$2:$E$433,Desconto_Cliente_Mes!$A$2:$A$433,M$95,Desconto_Cliente_Mes!$B$2:$B$433,$A95,Desconto_Cliente_Mes!$C$2:$C$433,"Fibra"),""))</f>
        <v/>
      </c>
      <c r="N96" s="11" t="n">
        <f aca="false">IFERROR(Media_Pool_Mes!E10,"")</f>
        <v>3.7061372169236</v>
      </c>
    </row>
    <row r="97" customFormat="false" ht="15" hidden="false" customHeight="false" outlineLevel="0" collapsed="false">
      <c r="A97" s="13" t="s">
        <v>75</v>
      </c>
      <c r="B97" s="8" t="n">
        <f aca="false">IFERROR(SUMIFS(Desconto_Cliente_Mes!$D$2:$D$433,Desconto_Cliente_Mes!$A$2:$A$433,B$95,Desconto_Cliente_Mes!$B$2:$B$433,$A95,Desconto_Cliente_Mes!$C$2:$C$433,"Fibra"),0)</f>
        <v>2244.02</v>
      </c>
      <c r="C97" s="8" t="n">
        <f aca="false">IFERROR(SUMIFS(Desconto_Cliente_Mes!$D$2:$D$433,Desconto_Cliente_Mes!$A$2:$A$433,C$95,Desconto_Cliente_Mes!$B$2:$B$433,$A95,Desconto_Cliente_Mes!$C$2:$C$433,"Fibra"),0)</f>
        <v>9195.05</v>
      </c>
      <c r="D97" s="8" t="n">
        <f aca="false">IFERROR(SUMIFS(Desconto_Cliente_Mes!$D$2:$D$433,Desconto_Cliente_Mes!$A$2:$A$433,D$95,Desconto_Cliente_Mes!$B$2:$B$433,$A95,Desconto_Cliente_Mes!$C$2:$C$433,"Fibra"),0)</f>
        <v>4163.45</v>
      </c>
      <c r="E97" s="8" t="n">
        <f aca="false">IFERROR(SUMIFS(Desconto_Cliente_Mes!$D$2:$D$433,Desconto_Cliente_Mes!$A$2:$A$433,E$95,Desconto_Cliente_Mes!$B$2:$B$433,$A95,Desconto_Cliente_Mes!$C$2:$C$433,"Fibra"),0)</f>
        <v>229.82</v>
      </c>
      <c r="F97" s="8" t="n">
        <f aca="false">IFERROR(SUMIFS(Desconto_Cliente_Mes!$D$2:$D$433,Desconto_Cliente_Mes!$A$2:$A$433,F$95,Desconto_Cliente_Mes!$B$2:$B$433,$A95,Desconto_Cliente_Mes!$C$2:$C$433,"Fibra"),0)</f>
        <v>16598.01</v>
      </c>
      <c r="G97" s="8" t="n">
        <f aca="false">IFERROR(SUMIFS(Desconto_Cliente_Mes!$D$2:$D$433,Desconto_Cliente_Mes!$A$2:$A$433,G$95,Desconto_Cliente_Mes!$B$2:$B$433,$A95,Desconto_Cliente_Mes!$C$2:$C$433,"Fibra"),0)</f>
        <v>5121.78</v>
      </c>
      <c r="H97" s="8" t="n">
        <f aca="false">IFERROR(SUMIFS(Desconto_Cliente_Mes!$D$2:$D$433,Desconto_Cliente_Mes!$A$2:$A$433,H$95,Desconto_Cliente_Mes!$B$2:$B$433,$A95,Desconto_Cliente_Mes!$C$2:$C$433,"Fibra"),0)</f>
        <v>19994.68</v>
      </c>
      <c r="I97" s="8" t="n">
        <f aca="false">IFERROR(SUMIFS(Desconto_Cliente_Mes!$D$2:$D$433,Desconto_Cliente_Mes!$A$2:$A$433,I$95,Desconto_Cliente_Mes!$B$2:$B$433,$A95,Desconto_Cliente_Mes!$C$2:$C$433,"Fibra"),0)</f>
        <v>3730.96</v>
      </c>
      <c r="J97" s="8" t="n">
        <f aca="false">IFERROR(SUMIFS(Desconto_Cliente_Mes!$D$2:$D$433,Desconto_Cliente_Mes!$A$2:$A$433,J$95,Desconto_Cliente_Mes!$B$2:$B$433,$A95,Desconto_Cliente_Mes!$C$2:$C$433,"Fibra"),0)</f>
        <v>0</v>
      </c>
      <c r="K97" s="8" t="n">
        <f aca="false">IFERROR(SUMIFS(Desconto_Cliente_Mes!$D$2:$D$433,Desconto_Cliente_Mes!$A$2:$A$433,K$95,Desconto_Cliente_Mes!$B$2:$B$433,$A95,Desconto_Cliente_Mes!$C$2:$C$433,"Fibra"),0)</f>
        <v>6769.23</v>
      </c>
      <c r="L97" s="8" t="n">
        <f aca="false">IFERROR(SUMIFS(Desconto_Cliente_Mes!$D$2:$D$433,Desconto_Cliente_Mes!$A$2:$A$433,L$95,Desconto_Cliente_Mes!$B$2:$B$433,$A95,Desconto_Cliente_Mes!$C$2:$C$433,"Fibra"),0)</f>
        <v>0</v>
      </c>
      <c r="M97" s="8" t="n">
        <f aca="false">IFERROR(SUMIFS(Desconto_Cliente_Mes!$D$2:$D$433,Desconto_Cliente_Mes!$A$2:$A$433,M$95,Desconto_Cliente_Mes!$B$2:$B$433,$A95,Desconto_Cliente_Mes!$C$2:$C$433,"Fibra"),0)</f>
        <v>0</v>
      </c>
      <c r="N97" s="9" t="n">
        <f aca="false">SUM(B97:M97)</f>
        <v>68047</v>
      </c>
    </row>
    <row r="98" customFormat="false" ht="15" hidden="false" customHeight="false" outlineLevel="0" collapsed="false">
      <c r="A98" s="13" t="s">
        <v>76</v>
      </c>
      <c r="B98" s="15" t="n">
        <f aca="false">MAX(0,(SUMIFS(Desconto_Cliente_Mes!$L$2:$L$433,Desconto_Cliente_Mes!$A$2:$A$433,B$95,Desconto_Cliente_Mes!$B$2:$B$433,$A95,Desconto_Cliente_Mes!$C$2:$C$433,"Fibra"))-(SUMIFS(Desconto_Cliente_Mes!$N$2:$N$433,Desconto_Cliente_Mes!$A$2:$A$433,B$95,Desconto_Cliente_Mes!$B$2:$B$433,$A95,Desconto_Cliente_Mes!$C$2:$C$433,"Fibra")))</f>
        <v>0.0938627830764034</v>
      </c>
      <c r="C98" s="15" t="n">
        <f aca="false">MAX(0,(SUMIFS(Desconto_Cliente_Mes!$L$2:$L$433,Desconto_Cliente_Mes!$A$2:$A$433,C$95,Desconto_Cliente_Mes!$B$2:$B$433,$A95,Desconto_Cliente_Mes!$C$2:$C$433,"Fibra"))-(SUMIFS(Desconto_Cliente_Mes!$N$2:$N$433,Desconto_Cliente_Mes!$A$2:$A$433,C$95,Desconto_Cliente_Mes!$B$2:$B$433,$A95,Desconto_Cliente_Mes!$C$2:$C$433,"Fibra")))</f>
        <v>0</v>
      </c>
      <c r="D98" s="15" t="n">
        <f aca="false">MAX(0,(SUMIFS(Desconto_Cliente_Mes!$L$2:$L$433,Desconto_Cliente_Mes!$A$2:$A$433,D$95,Desconto_Cliente_Mes!$B$2:$B$433,$A95,Desconto_Cliente_Mes!$C$2:$C$433,"Fibra"))-(SUMIFS(Desconto_Cliente_Mes!$N$2:$N$433,Desconto_Cliente_Mes!$A$2:$A$433,D$95,Desconto_Cliente_Mes!$B$2:$B$433,$A95,Desconto_Cliente_Mes!$C$2:$C$433,"Fibra")))</f>
        <v>0</v>
      </c>
      <c r="E98" s="15" t="n">
        <f aca="false">MAX(0,(SUMIFS(Desconto_Cliente_Mes!$L$2:$L$433,Desconto_Cliente_Mes!$A$2:$A$433,E$95,Desconto_Cliente_Mes!$B$2:$B$433,$A95,Desconto_Cliente_Mes!$C$2:$C$433,"Fibra"))-(SUMIFS(Desconto_Cliente_Mes!$N$2:$N$433,Desconto_Cliente_Mes!$A$2:$A$433,E$95,Desconto_Cliente_Mes!$B$2:$B$433,$A95,Desconto_Cliente_Mes!$C$2:$C$433,"Fibra")))</f>
        <v>0.0938627830764034</v>
      </c>
      <c r="F98" s="15" t="n">
        <f aca="false">MAX(0,(SUMIFS(Desconto_Cliente_Mes!$L$2:$L$433,Desconto_Cliente_Mes!$A$2:$A$433,F$95,Desconto_Cliente_Mes!$B$2:$B$433,$A95,Desconto_Cliente_Mes!$C$2:$C$433,"Fibra"))-(SUMIFS(Desconto_Cliente_Mes!$N$2:$N$433,Desconto_Cliente_Mes!$A$2:$A$433,F$95,Desconto_Cliente_Mes!$B$2:$B$433,$A95,Desconto_Cliente_Mes!$C$2:$C$433,"Fibra")))</f>
        <v>0</v>
      </c>
      <c r="G98" s="15" t="n">
        <f aca="false">MAX(0,(SUMIFS(Desconto_Cliente_Mes!$L$2:$L$433,Desconto_Cliente_Mes!$A$2:$A$433,G$95,Desconto_Cliente_Mes!$B$2:$B$433,$A95,Desconto_Cliente_Mes!$C$2:$C$433,"Fibra"))-(SUMIFS(Desconto_Cliente_Mes!$N$2:$N$433,Desconto_Cliente_Mes!$A$2:$A$433,G$95,Desconto_Cliente_Mes!$B$2:$B$433,$A95,Desconto_Cliente_Mes!$C$2:$C$433,"Fibra")))</f>
        <v>0</v>
      </c>
      <c r="H98" s="15" t="n">
        <f aca="false">MAX(0,(SUMIFS(Desconto_Cliente_Mes!$L$2:$L$433,Desconto_Cliente_Mes!$A$2:$A$433,H$95,Desconto_Cliente_Mes!$B$2:$B$433,$A95,Desconto_Cliente_Mes!$C$2:$C$433,"Fibra"))-(SUMIFS(Desconto_Cliente_Mes!$N$2:$N$433,Desconto_Cliente_Mes!$A$2:$A$433,H$95,Desconto_Cliente_Mes!$B$2:$B$433,$A95,Desconto_Cliente_Mes!$C$2:$C$433,"Fibra")))</f>
        <v>0.0938627830764034</v>
      </c>
      <c r="I98" s="15" t="n">
        <f aca="false">MAX(0,(SUMIFS(Desconto_Cliente_Mes!$L$2:$L$433,Desconto_Cliente_Mes!$A$2:$A$433,I$95,Desconto_Cliente_Mes!$B$2:$B$433,$A95,Desconto_Cliente_Mes!$C$2:$C$433,"Fibra"))-(SUMIFS(Desconto_Cliente_Mes!$N$2:$N$433,Desconto_Cliente_Mes!$A$2:$A$433,I$95,Desconto_Cliente_Mes!$B$2:$B$433,$A95,Desconto_Cliente_Mes!$C$2:$C$433,"Fibra")))</f>
        <v>0.0938627830764034</v>
      </c>
      <c r="J98" s="15" t="n">
        <f aca="false">MAX(0,(SUMIFS(Desconto_Cliente_Mes!$L$2:$L$433,Desconto_Cliente_Mes!$A$2:$A$433,J$95,Desconto_Cliente_Mes!$B$2:$B$433,$A95,Desconto_Cliente_Mes!$C$2:$C$433,"Fibra"))-(SUMIFS(Desconto_Cliente_Mes!$N$2:$N$433,Desconto_Cliente_Mes!$A$2:$A$433,J$95,Desconto_Cliente_Mes!$B$2:$B$433,$A95,Desconto_Cliente_Mes!$C$2:$C$433,"Fibra")))</f>
        <v>0</v>
      </c>
      <c r="K98" s="15" t="n">
        <f aca="false">MAX(0,(SUMIFS(Desconto_Cliente_Mes!$L$2:$L$433,Desconto_Cliente_Mes!$A$2:$A$433,K$95,Desconto_Cliente_Mes!$B$2:$B$433,$A95,Desconto_Cliente_Mes!$C$2:$C$433,"Fibra"))-(SUMIFS(Desconto_Cliente_Mes!$N$2:$N$433,Desconto_Cliente_Mes!$A$2:$A$433,K$95,Desconto_Cliente_Mes!$B$2:$B$433,$A95,Desconto_Cliente_Mes!$C$2:$C$433,"Fibra")))</f>
        <v>0</v>
      </c>
      <c r="L98" s="15" t="n">
        <f aca="false">MAX(0,(SUMIFS(Desconto_Cliente_Mes!$L$2:$L$433,Desconto_Cliente_Mes!$A$2:$A$433,L$95,Desconto_Cliente_Mes!$B$2:$B$433,$A95,Desconto_Cliente_Mes!$C$2:$C$433,"Fibra"))-(SUMIFS(Desconto_Cliente_Mes!$N$2:$N$433,Desconto_Cliente_Mes!$A$2:$A$433,L$95,Desconto_Cliente_Mes!$B$2:$B$433,$A95,Desconto_Cliente_Mes!$C$2:$C$433,"Fibra")))</f>
        <v>0</v>
      </c>
      <c r="M98" s="15" t="n">
        <f aca="false">MAX(0,(SUMIFS(Desconto_Cliente_Mes!$L$2:$L$433,Desconto_Cliente_Mes!$A$2:$A$433,M$95,Desconto_Cliente_Mes!$B$2:$B$433,$A95,Desconto_Cliente_Mes!$C$2:$C$433,"Fibra"))-(SUMIFS(Desconto_Cliente_Mes!$N$2:$N$433,Desconto_Cliente_Mes!$A$2:$A$433,M$95,Desconto_Cliente_Mes!$B$2:$B$433,$A95,Desconto_Cliente_Mes!$C$2:$C$433,"Fibra")))</f>
        <v>0</v>
      </c>
    </row>
    <row r="99" customFormat="false" ht="15" hidden="false" customHeight="false" outlineLevel="0" collapsed="false">
      <c r="A99" s="13" t="s">
        <v>77</v>
      </c>
      <c r="B99" s="15" t="n">
        <f aca="false">MAX(0,(SUMIFS(Desconto_Cliente_Mes!$N$2:$N$433,Desconto_Cliente_Mes!$A$2:$A$433,B$95,Desconto_Cliente_Mes!$B$2:$B$433,$A95,Desconto_Cliente_Mes!$C$2:$C$433,"Fibra"))-(SUMIFS(Desconto_Cliente_Mes!$P$2:$P$433,Desconto_Cliente_Mes!$A$2:$A$433,B$95,Desconto_Cliente_Mes!$B$2:$B$433,$A95,Desconto_Cliente_Mes!$C$2:$C$433,"Fibra")))</f>
        <v>0.110000000000001</v>
      </c>
      <c r="C99" s="15" t="n">
        <f aca="false">MAX(0,(SUMIFS(Desconto_Cliente_Mes!$N$2:$N$433,Desconto_Cliente_Mes!$A$2:$A$433,C$95,Desconto_Cliente_Mes!$B$2:$B$433,$A95,Desconto_Cliente_Mes!$C$2:$C$433,"Fibra"))-(SUMIFS(Desconto_Cliente_Mes!$P$2:$P$433,Desconto_Cliente_Mes!$A$2:$A$433,C$95,Desconto_Cliente_Mes!$B$2:$B$433,$A95,Desconto_Cliente_Mes!$C$2:$C$433,"Fibra")))</f>
        <v>0</v>
      </c>
      <c r="D99" s="15" t="n">
        <f aca="false">MAX(0,(SUMIFS(Desconto_Cliente_Mes!$N$2:$N$433,Desconto_Cliente_Mes!$A$2:$A$433,D$95,Desconto_Cliente_Mes!$B$2:$B$433,$A95,Desconto_Cliente_Mes!$C$2:$C$433,"Fibra"))-(SUMIFS(Desconto_Cliente_Mes!$P$2:$P$433,Desconto_Cliente_Mes!$A$2:$A$433,D$95,Desconto_Cliente_Mes!$B$2:$B$433,$A95,Desconto_Cliente_Mes!$C$2:$C$433,"Fibra")))</f>
        <v>0</v>
      </c>
      <c r="E99" s="15" t="n">
        <f aca="false">MAX(0,(SUMIFS(Desconto_Cliente_Mes!$N$2:$N$433,Desconto_Cliente_Mes!$A$2:$A$433,E$95,Desconto_Cliente_Mes!$B$2:$B$433,$A95,Desconto_Cliente_Mes!$C$2:$C$433,"Fibra"))-(SUMIFS(Desconto_Cliente_Mes!$P$2:$P$433,Desconto_Cliente_Mes!$A$2:$A$433,E$95,Desconto_Cliente_Mes!$B$2:$B$433,$A95,Desconto_Cliente_Mes!$C$2:$C$433,"Fibra")))</f>
        <v>0.0700000000000003</v>
      </c>
      <c r="F99" s="15" t="n">
        <f aca="false">MAX(0,(SUMIFS(Desconto_Cliente_Mes!$N$2:$N$433,Desconto_Cliente_Mes!$A$2:$A$433,F$95,Desconto_Cliente_Mes!$B$2:$B$433,$A95,Desconto_Cliente_Mes!$C$2:$C$433,"Fibra"))-(SUMIFS(Desconto_Cliente_Mes!$P$2:$P$433,Desconto_Cliente_Mes!$A$2:$A$433,F$95,Desconto_Cliente_Mes!$B$2:$B$433,$A95,Desconto_Cliente_Mes!$C$2:$C$433,"Fibra")))</f>
        <v>0</v>
      </c>
      <c r="G99" s="15" t="n">
        <f aca="false">MAX(0,(SUMIFS(Desconto_Cliente_Mes!$N$2:$N$433,Desconto_Cliente_Mes!$A$2:$A$433,G$95,Desconto_Cliente_Mes!$B$2:$B$433,$A95,Desconto_Cliente_Mes!$C$2:$C$433,"Fibra"))-(SUMIFS(Desconto_Cliente_Mes!$P$2:$P$433,Desconto_Cliente_Mes!$A$2:$A$433,G$95,Desconto_Cliente_Mes!$B$2:$B$433,$A95,Desconto_Cliente_Mes!$C$2:$C$433,"Fibra")))</f>
        <v>0</v>
      </c>
      <c r="H99" s="15" t="n">
        <f aca="false">MAX(0,(SUMIFS(Desconto_Cliente_Mes!$N$2:$N$433,Desconto_Cliente_Mes!$A$2:$A$433,H$95,Desconto_Cliente_Mes!$B$2:$B$433,$A95,Desconto_Cliente_Mes!$C$2:$C$433,"Fibra"))-(SUMIFS(Desconto_Cliente_Mes!$P$2:$P$433,Desconto_Cliente_Mes!$A$2:$A$433,H$95,Desconto_Cliente_Mes!$B$2:$B$433,$A95,Desconto_Cliente_Mes!$C$2:$C$433,"Fibra")))</f>
        <v>0.0261552823050932</v>
      </c>
      <c r="I99" s="15" t="n">
        <f aca="false">MAX(0,(SUMIFS(Desconto_Cliente_Mes!$N$2:$N$433,Desconto_Cliente_Mes!$A$2:$A$433,I$95,Desconto_Cliente_Mes!$B$2:$B$433,$A95,Desconto_Cliente_Mes!$C$2:$C$433,"Fibra"))-(SUMIFS(Desconto_Cliente_Mes!$P$2:$P$433,Desconto_Cliente_Mes!$A$2:$A$433,I$95,Desconto_Cliente_Mes!$B$2:$B$433,$A95,Desconto_Cliente_Mes!$C$2:$C$433,"Fibra")))</f>
        <v>0.02</v>
      </c>
      <c r="J99" s="15" t="n">
        <f aca="false">MAX(0,(SUMIFS(Desconto_Cliente_Mes!$N$2:$N$433,Desconto_Cliente_Mes!$A$2:$A$433,J$95,Desconto_Cliente_Mes!$B$2:$B$433,$A95,Desconto_Cliente_Mes!$C$2:$C$433,"Fibra"))-(SUMIFS(Desconto_Cliente_Mes!$P$2:$P$433,Desconto_Cliente_Mes!$A$2:$A$433,J$95,Desconto_Cliente_Mes!$B$2:$B$433,$A95,Desconto_Cliente_Mes!$C$2:$C$433,"Fibra")))</f>
        <v>0</v>
      </c>
      <c r="K99" s="15" t="n">
        <f aca="false">MAX(0,(SUMIFS(Desconto_Cliente_Mes!$N$2:$N$433,Desconto_Cliente_Mes!$A$2:$A$433,K$95,Desconto_Cliente_Mes!$B$2:$B$433,$A95,Desconto_Cliente_Mes!$C$2:$C$433,"Fibra"))-(SUMIFS(Desconto_Cliente_Mes!$P$2:$P$433,Desconto_Cliente_Mes!$A$2:$A$433,K$95,Desconto_Cliente_Mes!$B$2:$B$433,$A95,Desconto_Cliente_Mes!$C$2:$C$433,"Fibra")))</f>
        <v>0</v>
      </c>
      <c r="L99" s="15" t="n">
        <f aca="false">MAX(0,(SUMIFS(Desconto_Cliente_Mes!$N$2:$N$433,Desconto_Cliente_Mes!$A$2:$A$433,L$95,Desconto_Cliente_Mes!$B$2:$B$433,$A95,Desconto_Cliente_Mes!$C$2:$C$433,"Fibra"))-(SUMIFS(Desconto_Cliente_Mes!$P$2:$P$433,Desconto_Cliente_Mes!$A$2:$A$433,L$95,Desconto_Cliente_Mes!$B$2:$B$433,$A95,Desconto_Cliente_Mes!$C$2:$C$433,"Fibra")))</f>
        <v>0</v>
      </c>
      <c r="M99" s="15" t="n">
        <f aca="false">MAX(0,(SUMIFS(Desconto_Cliente_Mes!$N$2:$N$433,Desconto_Cliente_Mes!$A$2:$A$433,M$95,Desconto_Cliente_Mes!$B$2:$B$433,$A95,Desconto_Cliente_Mes!$C$2:$C$433,"Fibra"))-(SUMIFS(Desconto_Cliente_Mes!$P$2:$P$433,Desconto_Cliente_Mes!$A$2:$A$433,M$95,Desconto_Cliente_Mes!$B$2:$B$433,$A95,Desconto_Cliente_Mes!$C$2:$C$433,"Fibra")))</f>
        <v>0</v>
      </c>
    </row>
    <row r="100" customFormat="false" ht="15" hidden="false" customHeight="false" outlineLevel="0" collapsed="false">
      <c r="A100" s="13" t="s">
        <v>78</v>
      </c>
      <c r="B100" s="15" t="n">
        <f aca="false">MAX(0,SUMIFS(Desconto_Cliente_Mes!$P$2:$P$433,Desconto_Cliente_Mes!$A$2:$A$433,B$95,Desconto_Cliente_Mes!$B$2:$B$433,$A95,Desconto_Cliente_Mes!$C$2:$C$433,"Fibra"))</f>
        <v>0</v>
      </c>
      <c r="C100" s="15" t="n">
        <f aca="false">MAX(0,SUMIFS(Desconto_Cliente_Mes!$P$2:$P$433,Desconto_Cliente_Mes!$A$2:$A$433,C$95,Desconto_Cliente_Mes!$B$2:$B$433,$A95,Desconto_Cliente_Mes!$C$2:$C$433,"Fibra"))</f>
        <v>0</v>
      </c>
      <c r="D100" s="15" t="n">
        <f aca="false">MAX(0,SUMIFS(Desconto_Cliente_Mes!$P$2:$P$433,Desconto_Cliente_Mes!$A$2:$A$433,D$95,Desconto_Cliente_Mes!$B$2:$B$433,$A95,Desconto_Cliente_Mes!$C$2:$C$433,"Fibra"))</f>
        <v>0</v>
      </c>
      <c r="E100" s="15" t="n">
        <f aca="false">MAX(0,SUMIFS(Desconto_Cliente_Mes!$P$2:$P$433,Desconto_Cliente_Mes!$A$2:$A$433,E$95,Desconto_Cliente_Mes!$B$2:$B$433,$A95,Desconto_Cliente_Mes!$C$2:$C$433,"Fibra"))</f>
        <v>0</v>
      </c>
      <c r="F100" s="15" t="n">
        <f aca="false">MAX(0,SUMIFS(Desconto_Cliente_Mes!$P$2:$P$433,Desconto_Cliente_Mes!$A$2:$A$433,F$95,Desconto_Cliente_Mes!$B$2:$B$433,$A95,Desconto_Cliente_Mes!$C$2:$C$433,"Fibra"))</f>
        <v>0</v>
      </c>
      <c r="G100" s="15" t="n">
        <f aca="false">MAX(0,SUMIFS(Desconto_Cliente_Mes!$P$2:$P$433,Desconto_Cliente_Mes!$A$2:$A$433,G$95,Desconto_Cliente_Mes!$B$2:$B$433,$A95,Desconto_Cliente_Mes!$C$2:$C$433,"Fibra"))</f>
        <v>0</v>
      </c>
      <c r="H100" s="15" t="n">
        <f aca="false">MAX(0,SUMIFS(Desconto_Cliente_Mes!$P$2:$P$433,Desconto_Cliente_Mes!$A$2:$A$433,H$95,Desconto_Cliente_Mes!$B$2:$B$433,$A95,Desconto_Cliente_Mes!$C$2:$C$433,"Fibra"))</f>
        <v>0</v>
      </c>
      <c r="I100" s="15" t="n">
        <f aca="false">MAX(0,SUMIFS(Desconto_Cliente_Mes!$P$2:$P$433,Desconto_Cliente_Mes!$A$2:$A$433,I$95,Desconto_Cliente_Mes!$B$2:$B$433,$A95,Desconto_Cliente_Mes!$C$2:$C$433,"Fibra"))</f>
        <v>0</v>
      </c>
      <c r="J100" s="15" t="n">
        <f aca="false">MAX(0,SUMIFS(Desconto_Cliente_Mes!$P$2:$P$433,Desconto_Cliente_Mes!$A$2:$A$433,J$95,Desconto_Cliente_Mes!$B$2:$B$433,$A95,Desconto_Cliente_Mes!$C$2:$C$433,"Fibra"))</f>
        <v>0</v>
      </c>
      <c r="K100" s="15" t="n">
        <f aca="false">MAX(0,SUMIFS(Desconto_Cliente_Mes!$P$2:$P$433,Desconto_Cliente_Mes!$A$2:$A$433,K$95,Desconto_Cliente_Mes!$B$2:$B$433,$A95,Desconto_Cliente_Mes!$C$2:$C$433,"Fibra"))</f>
        <v>0</v>
      </c>
      <c r="L100" s="15" t="n">
        <f aca="false">MAX(0,SUMIFS(Desconto_Cliente_Mes!$P$2:$P$433,Desconto_Cliente_Mes!$A$2:$A$433,L$95,Desconto_Cliente_Mes!$B$2:$B$433,$A95,Desconto_Cliente_Mes!$C$2:$C$433,"Fibra"))</f>
        <v>0</v>
      </c>
      <c r="M100" s="15" t="n">
        <f aca="false">MAX(0,SUMIFS(Desconto_Cliente_Mes!$P$2:$P$433,Desconto_Cliente_Mes!$A$2:$A$433,M$95,Desconto_Cliente_Mes!$B$2:$B$433,$A95,Desconto_Cliente_Mes!$C$2:$C$433,"Fibra"))</f>
        <v>0</v>
      </c>
    </row>
    <row r="101" customFormat="false" ht="15" hidden="false" customHeight="false" outlineLevel="0" collapsed="false">
      <c r="A101" s="13" t="s">
        <v>79</v>
      </c>
      <c r="B101" s="16" t="n">
        <f aca="false">$B$97*($B$98/100)*(SUMIFS(Desconto_Cliente_Mes!$Q$2:$Q$433,Desconto_Cliente_Mes!$A$2:$A$433,B$95,Desconto_Cliente_Mes!$B$2:$B$433,$A95,Desconto_Cliente_Mes!$C$2:$C$433,"Fibra"))*(SUMIFS(Desconto_Cliente_Mes!$T$2:$T$433,Desconto_Cliente_Mes!$A$2:$A$433,B$95,Desconto_Cliente_Mes!$B$2:$B$433,$A95,Desconto_Cliente_Mes!$C$2:$C$433,"Fibra"))</f>
        <v>686.653677681901</v>
      </c>
      <c r="C101" s="16" t="n">
        <f aca="false">$C$97*($C$98/100)*(SUMIFS(Desconto_Cliente_Mes!$Q$2:$Q$433,Desconto_Cliente_Mes!$A$2:$A$433,C$95,Desconto_Cliente_Mes!$B$2:$B$433,$A95,Desconto_Cliente_Mes!$C$2:$C$433,"Fibra"))*(SUMIFS(Desconto_Cliente_Mes!$T$2:$T$433,Desconto_Cliente_Mes!$A$2:$A$433,C$95,Desconto_Cliente_Mes!$B$2:$B$433,$A95,Desconto_Cliente_Mes!$C$2:$C$433,"Fibra"))</f>
        <v>0</v>
      </c>
      <c r="D101" s="16" t="n">
        <f aca="false">$D$97*($D$98/100)*(SUMIFS(Desconto_Cliente_Mes!$Q$2:$Q$433,Desconto_Cliente_Mes!$A$2:$A$433,D$95,Desconto_Cliente_Mes!$B$2:$B$433,$A95,Desconto_Cliente_Mes!$C$2:$C$433,"Fibra"))*(SUMIFS(Desconto_Cliente_Mes!$T$2:$T$433,Desconto_Cliente_Mes!$A$2:$A$433,D$95,Desconto_Cliente_Mes!$B$2:$B$433,$A95,Desconto_Cliente_Mes!$C$2:$C$433,"Fibra"))</f>
        <v>0</v>
      </c>
      <c r="E101" s="16" t="n">
        <f aca="false">$E$97*($E$98/100)*(SUMIFS(Desconto_Cliente_Mes!$Q$2:$Q$433,Desconto_Cliente_Mes!$A$2:$A$433,E$95,Desconto_Cliente_Mes!$B$2:$B$433,$A95,Desconto_Cliente_Mes!$C$2:$C$433,"Fibra"))*(SUMIFS(Desconto_Cliente_Mes!$T$2:$T$433,Desconto_Cliente_Mes!$A$2:$A$433,E$95,Desconto_Cliente_Mes!$B$2:$B$433,$A95,Desconto_Cliente_Mes!$C$2:$C$433,"Fibra"))</f>
        <v>70.323236069578</v>
      </c>
      <c r="F101" s="16" t="n">
        <f aca="false">$F$97*($F$98/100)*(SUMIFS(Desconto_Cliente_Mes!$Q$2:$Q$433,Desconto_Cliente_Mes!$A$2:$A$433,F$95,Desconto_Cliente_Mes!$B$2:$B$433,$A95,Desconto_Cliente_Mes!$C$2:$C$433,"Fibra"))*(SUMIFS(Desconto_Cliente_Mes!$T$2:$T$433,Desconto_Cliente_Mes!$A$2:$A$433,F$95,Desconto_Cliente_Mes!$B$2:$B$433,$A95,Desconto_Cliente_Mes!$C$2:$C$433,"Fibra"))</f>
        <v>0</v>
      </c>
      <c r="G101" s="16" t="n">
        <f aca="false">$G$97*($G$98/100)*(SUMIFS(Desconto_Cliente_Mes!$Q$2:$Q$433,Desconto_Cliente_Mes!$A$2:$A$433,G$95,Desconto_Cliente_Mes!$B$2:$B$433,$A95,Desconto_Cliente_Mes!$C$2:$C$433,"Fibra"))*(SUMIFS(Desconto_Cliente_Mes!$T$2:$T$433,Desconto_Cliente_Mes!$A$2:$A$433,G$95,Desconto_Cliente_Mes!$B$2:$B$433,$A95,Desconto_Cliente_Mes!$C$2:$C$433,"Fibra"))</f>
        <v>0</v>
      </c>
      <c r="H101" s="16" t="n">
        <f aca="false">$H$97*($H$98/100)*(SUMIFS(Desconto_Cliente_Mes!$Q$2:$Q$433,Desconto_Cliente_Mes!$A$2:$A$433,H$95,Desconto_Cliente_Mes!$B$2:$B$433,$A95,Desconto_Cliente_Mes!$C$2:$C$433,"Fibra"))*(SUMIFS(Desconto_Cliente_Mes!$T$2:$T$433,Desconto_Cliente_Mes!$A$2:$A$433,H$95,Desconto_Cliente_Mes!$B$2:$B$433,$A95,Desconto_Cliente_Mes!$C$2:$C$433,"Fibra"))</f>
        <v>6118.22557556205</v>
      </c>
      <c r="I101" s="16" t="n">
        <f aca="false">$I$97*($I$98/100)*(SUMIFS(Desconto_Cliente_Mes!$Q$2:$Q$433,Desconto_Cliente_Mes!$A$2:$A$433,I$95,Desconto_Cliente_Mes!$B$2:$B$433,$A95,Desconto_Cliente_Mes!$C$2:$C$433,"Fibra"))*(SUMIFS(Desconto_Cliente_Mes!$T$2:$T$433,Desconto_Cliente_Mes!$A$2:$A$433,I$95,Desconto_Cliente_Mes!$B$2:$B$433,$A95,Desconto_Cliente_Mes!$C$2:$C$433,"Fibra"))</f>
        <v>1141.64642261837</v>
      </c>
      <c r="J101" s="16" t="n">
        <f aca="false">$J$97*($J$98/100)*(SUMIFS(Desconto_Cliente_Mes!$Q$2:$Q$433,Desconto_Cliente_Mes!$A$2:$A$433,J$95,Desconto_Cliente_Mes!$B$2:$B$433,$A95,Desconto_Cliente_Mes!$C$2:$C$433,"Fibra"))*(SUMIFS(Desconto_Cliente_Mes!$T$2:$T$433,Desconto_Cliente_Mes!$A$2:$A$433,J$95,Desconto_Cliente_Mes!$B$2:$B$433,$A95,Desconto_Cliente_Mes!$C$2:$C$433,"Fibra"))</f>
        <v>0</v>
      </c>
      <c r="K101" s="16" t="n">
        <f aca="false">$K$97*($K$98/100)*(SUMIFS(Desconto_Cliente_Mes!$Q$2:$Q$433,Desconto_Cliente_Mes!$A$2:$A$433,K$95,Desconto_Cliente_Mes!$B$2:$B$433,$A95,Desconto_Cliente_Mes!$C$2:$C$433,"Fibra"))*(SUMIFS(Desconto_Cliente_Mes!$T$2:$T$433,Desconto_Cliente_Mes!$A$2:$A$433,K$95,Desconto_Cliente_Mes!$B$2:$B$433,$A95,Desconto_Cliente_Mes!$C$2:$C$433,"Fibra"))</f>
        <v>0</v>
      </c>
      <c r="L101" s="16" t="n">
        <f aca="false">$L$97*($L$98/100)*(SUMIFS(Desconto_Cliente_Mes!$Q$2:$Q$433,Desconto_Cliente_Mes!$A$2:$A$433,L$95,Desconto_Cliente_Mes!$B$2:$B$433,$A95,Desconto_Cliente_Mes!$C$2:$C$433,"Fibra"))*(SUMIFS(Desconto_Cliente_Mes!$T$2:$T$433,Desconto_Cliente_Mes!$A$2:$A$433,L$95,Desconto_Cliente_Mes!$B$2:$B$433,$A95,Desconto_Cliente_Mes!$C$2:$C$433,"Fibra"))</f>
        <v>0</v>
      </c>
      <c r="M101" s="16" t="n">
        <f aca="false">$M$97*($M$98/100)*(SUMIFS(Desconto_Cliente_Mes!$Q$2:$Q$433,Desconto_Cliente_Mes!$A$2:$A$433,M$95,Desconto_Cliente_Mes!$B$2:$B$433,$A95,Desconto_Cliente_Mes!$C$2:$C$433,"Fibra"))*(SUMIFS(Desconto_Cliente_Mes!$T$2:$T$433,Desconto_Cliente_Mes!$A$2:$A$433,M$95,Desconto_Cliente_Mes!$B$2:$B$433,$A95,Desconto_Cliente_Mes!$C$2:$C$433,"Fibra"))</f>
        <v>0</v>
      </c>
      <c r="N101" s="17" t="n">
        <f aca="false">SUM(B101:M101)</f>
        <v>8016.8489119319</v>
      </c>
    </row>
    <row r="102" customFormat="false" ht="15" hidden="false" customHeight="false" outlineLevel="0" collapsed="false">
      <c r="A102" s="13" t="s">
        <v>80</v>
      </c>
      <c r="B102" s="16" t="n">
        <f aca="false">$B$97*($B$99/100)*((IF(SUMIFS(Desconto_Cliente_Mes!$R$2:$R$433,Desconto_Cliente_Mes!$A$2:$A$433,B$95,Desconto_Cliente_Mes!$B$2:$B$433,$A95,Desconto_Cliente_Mes!$C$2:$C$433,"Fibra")="",SUMIFS(Desconto_Cliente_Mes!$Q$2:$Q$433,Desconto_Cliente_Mes!$A$2:$A$433,B$95,Desconto_Cliente_Mes!$B$2:$B$433,$A95,Desconto_Cliente_Mes!$C$2:$C$433,"Fibra"),SUMIFS(Desconto_Cliente_Mes!$R$2:$R$433,Desconto_Cliente_Mes!$A$2:$A$433,B$95,Desconto_Cliente_Mes!$B$2:$B$433,$A95,Desconto_Cliente_Mes!$C$2:$C$433,"Fibra")))-(SUMIFS(Desconto_Cliente_Mes!$Q$2:$Q$433,Desconto_Cliente_Mes!$A$2:$A$433,B$95,Desconto_Cliente_Mes!$B$2:$B$433,$A95,Desconto_Cliente_Mes!$C$2:$C$433,"Fibra")))*(SUMIFS(Desconto_Cliente_Mes!$T$2:$T$433,Desconto_Cliente_Mes!$A$2:$A$433,B$95,Desconto_Cliente_Mes!$B$2:$B$433,$A95,Desconto_Cliente_Mes!$C$2:$C$433,"Fibra"))</f>
        <v>402.352786000003</v>
      </c>
      <c r="C102" s="16" t="n">
        <f aca="false">$C$97*($C$99/100)*((IF(SUMIFS(Desconto_Cliente_Mes!$R$2:$R$433,Desconto_Cliente_Mes!$A$2:$A$433,C$95,Desconto_Cliente_Mes!$B$2:$B$433,$A95,Desconto_Cliente_Mes!$C$2:$C$433,"Fibra")="",SUMIFS(Desconto_Cliente_Mes!$Q$2:$Q$433,Desconto_Cliente_Mes!$A$2:$A$433,C$95,Desconto_Cliente_Mes!$B$2:$B$433,$A95,Desconto_Cliente_Mes!$C$2:$C$433,"Fibra"),SUMIFS(Desconto_Cliente_Mes!$R$2:$R$433,Desconto_Cliente_Mes!$A$2:$A$433,C$95,Desconto_Cliente_Mes!$B$2:$B$433,$A95,Desconto_Cliente_Mes!$C$2:$C$433,"Fibra")))-(SUMIFS(Desconto_Cliente_Mes!$Q$2:$Q$433,Desconto_Cliente_Mes!$A$2:$A$433,C$95,Desconto_Cliente_Mes!$B$2:$B$433,$A95,Desconto_Cliente_Mes!$C$2:$C$433,"Fibra")))*(SUMIFS(Desconto_Cliente_Mes!$T$2:$T$433,Desconto_Cliente_Mes!$A$2:$A$433,C$95,Desconto_Cliente_Mes!$B$2:$B$433,$A95,Desconto_Cliente_Mes!$C$2:$C$433,"Fibra"))</f>
        <v>0</v>
      </c>
      <c r="D102" s="16" t="n">
        <f aca="false">$D$97*($D$99/100)*((IF(SUMIFS(Desconto_Cliente_Mes!$R$2:$R$433,Desconto_Cliente_Mes!$A$2:$A$433,D$95,Desconto_Cliente_Mes!$B$2:$B$433,$A95,Desconto_Cliente_Mes!$C$2:$C$433,"Fibra")="",SUMIFS(Desconto_Cliente_Mes!$Q$2:$Q$433,Desconto_Cliente_Mes!$A$2:$A$433,D$95,Desconto_Cliente_Mes!$B$2:$B$433,$A95,Desconto_Cliente_Mes!$C$2:$C$433,"Fibra"),SUMIFS(Desconto_Cliente_Mes!$R$2:$R$433,Desconto_Cliente_Mes!$A$2:$A$433,D$95,Desconto_Cliente_Mes!$B$2:$B$433,$A95,Desconto_Cliente_Mes!$C$2:$C$433,"Fibra")))-(SUMIFS(Desconto_Cliente_Mes!$Q$2:$Q$433,Desconto_Cliente_Mes!$A$2:$A$433,D$95,Desconto_Cliente_Mes!$B$2:$B$433,$A95,Desconto_Cliente_Mes!$C$2:$C$433,"Fibra")))*(SUMIFS(Desconto_Cliente_Mes!$T$2:$T$433,Desconto_Cliente_Mes!$A$2:$A$433,D$95,Desconto_Cliente_Mes!$B$2:$B$433,$A95,Desconto_Cliente_Mes!$C$2:$C$433,"Fibra"))</f>
        <v>0</v>
      </c>
      <c r="E102" s="16" t="n">
        <f aca="false">$E$97*($E$99/100)*((IF(SUMIFS(Desconto_Cliente_Mes!$R$2:$R$433,Desconto_Cliente_Mes!$A$2:$A$433,E$95,Desconto_Cliente_Mes!$B$2:$B$433,$A95,Desconto_Cliente_Mes!$C$2:$C$433,"Fibra")="",SUMIFS(Desconto_Cliente_Mes!$Q$2:$Q$433,Desconto_Cliente_Mes!$A$2:$A$433,E$95,Desconto_Cliente_Mes!$B$2:$B$433,$A95,Desconto_Cliente_Mes!$C$2:$C$433,"Fibra"),SUMIFS(Desconto_Cliente_Mes!$R$2:$R$433,Desconto_Cliente_Mes!$A$2:$A$433,E$95,Desconto_Cliente_Mes!$B$2:$B$433,$A95,Desconto_Cliente_Mes!$C$2:$C$433,"Fibra")))-(SUMIFS(Desconto_Cliente_Mes!$Q$2:$Q$433,Desconto_Cliente_Mes!$A$2:$A$433,E$95,Desconto_Cliente_Mes!$B$2:$B$433,$A95,Desconto_Cliente_Mes!$C$2:$C$433,"Fibra")))*(SUMIFS(Desconto_Cliente_Mes!$T$2:$T$433,Desconto_Cliente_Mes!$A$2:$A$433,E$95,Desconto_Cliente_Mes!$B$2:$B$433,$A95,Desconto_Cliente_Mes!$C$2:$C$433,"Fibra"))</f>
        <v>26.2224620000001</v>
      </c>
      <c r="F102" s="16" t="n">
        <f aca="false">$F$97*($F$99/100)*((IF(SUMIFS(Desconto_Cliente_Mes!$R$2:$R$433,Desconto_Cliente_Mes!$A$2:$A$433,F$95,Desconto_Cliente_Mes!$B$2:$B$433,$A95,Desconto_Cliente_Mes!$C$2:$C$433,"Fibra")="",SUMIFS(Desconto_Cliente_Mes!$Q$2:$Q$433,Desconto_Cliente_Mes!$A$2:$A$433,F$95,Desconto_Cliente_Mes!$B$2:$B$433,$A95,Desconto_Cliente_Mes!$C$2:$C$433,"Fibra"),SUMIFS(Desconto_Cliente_Mes!$R$2:$R$433,Desconto_Cliente_Mes!$A$2:$A$433,F$95,Desconto_Cliente_Mes!$B$2:$B$433,$A95,Desconto_Cliente_Mes!$C$2:$C$433,"Fibra")))-(SUMIFS(Desconto_Cliente_Mes!$Q$2:$Q$433,Desconto_Cliente_Mes!$A$2:$A$433,F$95,Desconto_Cliente_Mes!$B$2:$B$433,$A95,Desconto_Cliente_Mes!$C$2:$C$433,"Fibra")))*(SUMIFS(Desconto_Cliente_Mes!$T$2:$T$433,Desconto_Cliente_Mes!$A$2:$A$433,F$95,Desconto_Cliente_Mes!$B$2:$B$433,$A95,Desconto_Cliente_Mes!$C$2:$C$433,"Fibra"))</f>
        <v>0</v>
      </c>
      <c r="G102" s="16" t="n">
        <f aca="false">$G$97*($G$99/100)*((IF(SUMIFS(Desconto_Cliente_Mes!$R$2:$R$433,Desconto_Cliente_Mes!$A$2:$A$433,G$95,Desconto_Cliente_Mes!$B$2:$B$433,$A95,Desconto_Cliente_Mes!$C$2:$C$433,"Fibra")="",SUMIFS(Desconto_Cliente_Mes!$Q$2:$Q$433,Desconto_Cliente_Mes!$A$2:$A$433,G$95,Desconto_Cliente_Mes!$B$2:$B$433,$A95,Desconto_Cliente_Mes!$C$2:$C$433,"Fibra"),SUMIFS(Desconto_Cliente_Mes!$R$2:$R$433,Desconto_Cliente_Mes!$A$2:$A$433,G$95,Desconto_Cliente_Mes!$B$2:$B$433,$A95,Desconto_Cliente_Mes!$C$2:$C$433,"Fibra")))-(SUMIFS(Desconto_Cliente_Mes!$Q$2:$Q$433,Desconto_Cliente_Mes!$A$2:$A$433,G$95,Desconto_Cliente_Mes!$B$2:$B$433,$A95,Desconto_Cliente_Mes!$C$2:$C$433,"Fibra")))*(SUMIFS(Desconto_Cliente_Mes!$T$2:$T$433,Desconto_Cliente_Mes!$A$2:$A$433,G$95,Desconto_Cliente_Mes!$B$2:$B$433,$A95,Desconto_Cliente_Mes!$C$2:$C$433,"Fibra"))</f>
        <v>0</v>
      </c>
      <c r="H102" s="16" t="n">
        <f aca="false">$H$97*($H$99/100)*((IF(SUMIFS(Desconto_Cliente_Mes!$R$2:$R$433,Desconto_Cliente_Mes!$A$2:$A$433,H$95,Desconto_Cliente_Mes!$B$2:$B$433,$A95,Desconto_Cliente_Mes!$C$2:$C$433,"Fibra")="",SUMIFS(Desconto_Cliente_Mes!$Q$2:$Q$433,Desconto_Cliente_Mes!$A$2:$A$433,H$95,Desconto_Cliente_Mes!$B$2:$B$433,$A95,Desconto_Cliente_Mes!$C$2:$C$433,"Fibra"),SUMIFS(Desconto_Cliente_Mes!$R$2:$R$433,Desconto_Cliente_Mes!$A$2:$A$433,H$95,Desconto_Cliente_Mes!$B$2:$B$433,$A95,Desconto_Cliente_Mes!$C$2:$C$433,"Fibra")))-(SUMIFS(Desconto_Cliente_Mes!$Q$2:$Q$433,Desconto_Cliente_Mes!$A$2:$A$433,H$95,Desconto_Cliente_Mes!$B$2:$B$433,$A95,Desconto_Cliente_Mes!$C$2:$C$433,"Fibra")))*(SUMIFS(Desconto_Cliente_Mes!$T$2:$T$433,Desconto_Cliente_Mes!$A$2:$A$433,H$95,Desconto_Cliente_Mes!$B$2:$B$433,$A95,Desconto_Cliente_Mes!$C$2:$C$433,"Fibra"))</f>
        <v>852.435395000003</v>
      </c>
      <c r="I102" s="16" t="n">
        <f aca="false">$I$97*($I$99/100)*((IF(SUMIFS(Desconto_Cliente_Mes!$R$2:$R$433,Desconto_Cliente_Mes!$A$2:$A$433,I$95,Desconto_Cliente_Mes!$B$2:$B$433,$A95,Desconto_Cliente_Mes!$C$2:$C$433,"Fibra")="",SUMIFS(Desconto_Cliente_Mes!$Q$2:$Q$433,Desconto_Cliente_Mes!$A$2:$A$433,I$95,Desconto_Cliente_Mes!$B$2:$B$433,$A95,Desconto_Cliente_Mes!$C$2:$C$433,"Fibra"),SUMIFS(Desconto_Cliente_Mes!$R$2:$R$433,Desconto_Cliente_Mes!$A$2:$A$433,I$95,Desconto_Cliente_Mes!$B$2:$B$433,$A95,Desconto_Cliente_Mes!$C$2:$C$433,"Fibra")))-(SUMIFS(Desconto_Cliente_Mes!$Q$2:$Q$433,Desconto_Cliente_Mes!$A$2:$A$433,I$95,Desconto_Cliente_Mes!$B$2:$B$433,$A95,Desconto_Cliente_Mes!$C$2:$C$433,"Fibra")))*(SUMIFS(Desconto_Cliente_Mes!$T$2:$T$433,Desconto_Cliente_Mes!$A$2:$A$433,I$95,Desconto_Cliente_Mes!$B$2:$B$433,$A95,Desconto_Cliente_Mes!$C$2:$C$433,"Fibra"))</f>
        <v>121.629296</v>
      </c>
      <c r="J102" s="16" t="n">
        <f aca="false">$J$97*($J$99/100)*((IF(SUMIFS(Desconto_Cliente_Mes!$R$2:$R$433,Desconto_Cliente_Mes!$A$2:$A$433,J$95,Desconto_Cliente_Mes!$B$2:$B$433,$A95,Desconto_Cliente_Mes!$C$2:$C$433,"Fibra")="",SUMIFS(Desconto_Cliente_Mes!$Q$2:$Q$433,Desconto_Cliente_Mes!$A$2:$A$433,J$95,Desconto_Cliente_Mes!$B$2:$B$433,$A95,Desconto_Cliente_Mes!$C$2:$C$433,"Fibra"),SUMIFS(Desconto_Cliente_Mes!$R$2:$R$433,Desconto_Cliente_Mes!$A$2:$A$433,J$95,Desconto_Cliente_Mes!$B$2:$B$433,$A95,Desconto_Cliente_Mes!$C$2:$C$433,"Fibra")))-(SUMIFS(Desconto_Cliente_Mes!$Q$2:$Q$433,Desconto_Cliente_Mes!$A$2:$A$433,J$95,Desconto_Cliente_Mes!$B$2:$B$433,$A95,Desconto_Cliente_Mes!$C$2:$C$433,"Fibra")))*(SUMIFS(Desconto_Cliente_Mes!$T$2:$T$433,Desconto_Cliente_Mes!$A$2:$A$433,J$95,Desconto_Cliente_Mes!$B$2:$B$433,$A95,Desconto_Cliente_Mes!$C$2:$C$433,"Fibra"))</f>
        <v>0</v>
      </c>
      <c r="K102" s="16" t="n">
        <f aca="false">$K$97*($K$99/100)*((IF(SUMIFS(Desconto_Cliente_Mes!$R$2:$R$433,Desconto_Cliente_Mes!$A$2:$A$433,K$95,Desconto_Cliente_Mes!$B$2:$B$433,$A95,Desconto_Cliente_Mes!$C$2:$C$433,"Fibra")="",SUMIFS(Desconto_Cliente_Mes!$Q$2:$Q$433,Desconto_Cliente_Mes!$A$2:$A$433,K$95,Desconto_Cliente_Mes!$B$2:$B$433,$A95,Desconto_Cliente_Mes!$C$2:$C$433,"Fibra"),SUMIFS(Desconto_Cliente_Mes!$R$2:$R$433,Desconto_Cliente_Mes!$A$2:$A$433,K$95,Desconto_Cliente_Mes!$B$2:$B$433,$A95,Desconto_Cliente_Mes!$C$2:$C$433,"Fibra")))-(SUMIFS(Desconto_Cliente_Mes!$Q$2:$Q$433,Desconto_Cliente_Mes!$A$2:$A$433,K$95,Desconto_Cliente_Mes!$B$2:$B$433,$A95,Desconto_Cliente_Mes!$C$2:$C$433,"Fibra")))*(SUMIFS(Desconto_Cliente_Mes!$T$2:$T$433,Desconto_Cliente_Mes!$A$2:$A$433,K$95,Desconto_Cliente_Mes!$B$2:$B$433,$A95,Desconto_Cliente_Mes!$C$2:$C$433,"Fibra"))</f>
        <v>0</v>
      </c>
      <c r="L102" s="16" t="n">
        <f aca="false">$L$97*($L$99/100)*((IF(SUMIFS(Desconto_Cliente_Mes!$R$2:$R$433,Desconto_Cliente_Mes!$A$2:$A$433,L$95,Desconto_Cliente_Mes!$B$2:$B$433,$A95,Desconto_Cliente_Mes!$C$2:$C$433,"Fibra")="",SUMIFS(Desconto_Cliente_Mes!$Q$2:$Q$433,Desconto_Cliente_Mes!$A$2:$A$433,L$95,Desconto_Cliente_Mes!$B$2:$B$433,$A95,Desconto_Cliente_Mes!$C$2:$C$433,"Fibra"),SUMIFS(Desconto_Cliente_Mes!$R$2:$R$433,Desconto_Cliente_Mes!$A$2:$A$433,L$95,Desconto_Cliente_Mes!$B$2:$B$433,$A95,Desconto_Cliente_Mes!$C$2:$C$433,"Fibra")))-(SUMIFS(Desconto_Cliente_Mes!$Q$2:$Q$433,Desconto_Cliente_Mes!$A$2:$A$433,L$95,Desconto_Cliente_Mes!$B$2:$B$433,$A95,Desconto_Cliente_Mes!$C$2:$C$433,"Fibra")))*(SUMIFS(Desconto_Cliente_Mes!$T$2:$T$433,Desconto_Cliente_Mes!$A$2:$A$433,L$95,Desconto_Cliente_Mes!$B$2:$B$433,$A95,Desconto_Cliente_Mes!$C$2:$C$433,"Fibra"))</f>
        <v>0</v>
      </c>
      <c r="M102" s="16" t="n">
        <f aca="false">$M$97*($M$99/100)*((IF(SUMIFS(Desconto_Cliente_Mes!$R$2:$R$433,Desconto_Cliente_Mes!$A$2:$A$433,M$95,Desconto_Cliente_Mes!$B$2:$B$433,$A95,Desconto_Cliente_Mes!$C$2:$C$433,"Fibra")="",SUMIFS(Desconto_Cliente_Mes!$Q$2:$Q$433,Desconto_Cliente_Mes!$A$2:$A$433,M$95,Desconto_Cliente_Mes!$B$2:$B$433,$A95,Desconto_Cliente_Mes!$C$2:$C$433,"Fibra"),SUMIFS(Desconto_Cliente_Mes!$R$2:$R$433,Desconto_Cliente_Mes!$A$2:$A$433,M$95,Desconto_Cliente_Mes!$B$2:$B$433,$A95,Desconto_Cliente_Mes!$C$2:$C$433,"Fibra")))-(SUMIFS(Desconto_Cliente_Mes!$Q$2:$Q$433,Desconto_Cliente_Mes!$A$2:$A$433,M$95,Desconto_Cliente_Mes!$B$2:$B$433,$A95,Desconto_Cliente_Mes!$C$2:$C$433,"Fibra")))*(SUMIFS(Desconto_Cliente_Mes!$T$2:$T$433,Desconto_Cliente_Mes!$A$2:$A$433,M$95,Desconto_Cliente_Mes!$B$2:$B$433,$A95,Desconto_Cliente_Mes!$C$2:$C$433,"Fibra"))</f>
        <v>0</v>
      </c>
      <c r="N102" s="17" t="n">
        <f aca="false">SUM(B102:M102)</f>
        <v>1402.63993900001</v>
      </c>
    </row>
    <row r="103" customFormat="false" ht="15" hidden="false" customHeight="false" outlineLevel="0" collapsed="false">
      <c r="A103" s="13" t="s">
        <v>81</v>
      </c>
      <c r="B103" s="16" t="n">
        <f aca="false">$B$97*($B$100/100)*((IF(SUMIFS(Desconto_Cliente_Mes!$S$2:$S$433,Desconto_Cliente_Mes!$A$2:$A$433,B$95,Desconto_Cliente_Mes!$B$2:$B$433,$A95,Desconto_Cliente_Mes!$C$2:$C$433,"Fibra")="",(IF(SUMIFS(Desconto_Cliente_Mes!$R$2:$R$433,Desconto_Cliente_Mes!$A$2:$A$433,B$95,Desconto_Cliente_Mes!$B$2:$B$433,$A95,Desconto_Cliente_Mes!$C$2:$C$433,"Fibra")="",SUMIFS(Desconto_Cliente_Mes!$Q$2:$Q$433,Desconto_Cliente_Mes!$A$2:$A$433,B$95,Desconto_Cliente_Mes!$B$2:$B$433,$A95,Desconto_Cliente_Mes!$C$2:$C$433,"Fibra"),SUMIFS(Desconto_Cliente_Mes!$R$2:$R$433,Desconto_Cliente_Mes!$A$2:$A$433,B$95,Desconto_Cliente_Mes!$B$2:$B$433,$A95,Desconto_Cliente_Mes!$C$2:$C$433,"Fibra"))),SUMIFS(Desconto_Cliente_Mes!$S$2:$S$433,Desconto_Cliente_Mes!$A$2:$A$433,B$95,Desconto_Cliente_Mes!$B$2:$B$433,$A95,Desconto_Cliente_Mes!$C$2:$C$433,"Fibra")))-(IF(SUMIFS(Desconto_Cliente_Mes!$R$2:$R$433,Desconto_Cliente_Mes!$A$2:$A$433,B$95,Desconto_Cliente_Mes!$B$2:$B$433,$A95,Desconto_Cliente_Mes!$C$2:$C$433,"Fibra")="",SUMIFS(Desconto_Cliente_Mes!$Q$2:$Q$433,Desconto_Cliente_Mes!$A$2:$A$433,B$95,Desconto_Cliente_Mes!$B$2:$B$433,$A95,Desconto_Cliente_Mes!$C$2:$C$433,"Fibra"),SUMIFS(Desconto_Cliente_Mes!$R$2:$R$433,Desconto_Cliente_Mes!$A$2:$A$433,B$95,Desconto_Cliente_Mes!$B$2:$B$433,$A95,Desconto_Cliente_Mes!$C$2:$C$433,"Fibra"))))*(SUMIFS(Desconto_Cliente_Mes!$T$2:$T$433,Desconto_Cliente_Mes!$A$2:$A$433,B$95,Desconto_Cliente_Mes!$B$2:$B$433,$A95,Desconto_Cliente_Mes!$C$2:$C$433,"Fibra"))</f>
        <v>0</v>
      </c>
      <c r="C103" s="16" t="n">
        <f aca="false">$C$97*($C$100/100)*((IF(SUMIFS(Desconto_Cliente_Mes!$S$2:$S$433,Desconto_Cliente_Mes!$A$2:$A$433,C$95,Desconto_Cliente_Mes!$B$2:$B$433,$A95,Desconto_Cliente_Mes!$C$2:$C$433,"Fibra")="",(IF(SUMIFS(Desconto_Cliente_Mes!$R$2:$R$433,Desconto_Cliente_Mes!$A$2:$A$433,C$95,Desconto_Cliente_Mes!$B$2:$B$433,$A95,Desconto_Cliente_Mes!$C$2:$C$433,"Fibra")="",SUMIFS(Desconto_Cliente_Mes!$Q$2:$Q$433,Desconto_Cliente_Mes!$A$2:$A$433,C$95,Desconto_Cliente_Mes!$B$2:$B$433,$A95,Desconto_Cliente_Mes!$C$2:$C$433,"Fibra"),SUMIFS(Desconto_Cliente_Mes!$R$2:$R$433,Desconto_Cliente_Mes!$A$2:$A$433,C$95,Desconto_Cliente_Mes!$B$2:$B$433,$A95,Desconto_Cliente_Mes!$C$2:$C$433,"Fibra"))),SUMIFS(Desconto_Cliente_Mes!$S$2:$S$433,Desconto_Cliente_Mes!$A$2:$A$433,C$95,Desconto_Cliente_Mes!$B$2:$B$433,$A95,Desconto_Cliente_Mes!$C$2:$C$433,"Fibra")))-(IF(SUMIFS(Desconto_Cliente_Mes!$R$2:$R$433,Desconto_Cliente_Mes!$A$2:$A$433,C$95,Desconto_Cliente_Mes!$B$2:$B$433,$A95,Desconto_Cliente_Mes!$C$2:$C$433,"Fibra")="",SUMIFS(Desconto_Cliente_Mes!$Q$2:$Q$433,Desconto_Cliente_Mes!$A$2:$A$433,C$95,Desconto_Cliente_Mes!$B$2:$B$433,$A95,Desconto_Cliente_Mes!$C$2:$C$433,"Fibra"),SUMIFS(Desconto_Cliente_Mes!$R$2:$R$433,Desconto_Cliente_Mes!$A$2:$A$433,C$95,Desconto_Cliente_Mes!$B$2:$B$433,$A95,Desconto_Cliente_Mes!$C$2:$C$433,"Fibra"))))*(SUMIFS(Desconto_Cliente_Mes!$T$2:$T$433,Desconto_Cliente_Mes!$A$2:$A$433,C$95,Desconto_Cliente_Mes!$B$2:$B$433,$A95,Desconto_Cliente_Mes!$C$2:$C$433,"Fibra"))</f>
        <v>0</v>
      </c>
      <c r="D103" s="16" t="n">
        <f aca="false">$D$97*($D$100/100)*((IF(SUMIFS(Desconto_Cliente_Mes!$S$2:$S$433,Desconto_Cliente_Mes!$A$2:$A$433,D$95,Desconto_Cliente_Mes!$B$2:$B$433,$A95,Desconto_Cliente_Mes!$C$2:$C$433,"Fibra")="",(IF(SUMIFS(Desconto_Cliente_Mes!$R$2:$R$433,Desconto_Cliente_Mes!$A$2:$A$433,D$95,Desconto_Cliente_Mes!$B$2:$B$433,$A95,Desconto_Cliente_Mes!$C$2:$C$433,"Fibra")="",SUMIFS(Desconto_Cliente_Mes!$Q$2:$Q$433,Desconto_Cliente_Mes!$A$2:$A$433,D$95,Desconto_Cliente_Mes!$B$2:$B$433,$A95,Desconto_Cliente_Mes!$C$2:$C$433,"Fibra"),SUMIFS(Desconto_Cliente_Mes!$R$2:$R$433,Desconto_Cliente_Mes!$A$2:$A$433,D$95,Desconto_Cliente_Mes!$B$2:$B$433,$A95,Desconto_Cliente_Mes!$C$2:$C$433,"Fibra"))),SUMIFS(Desconto_Cliente_Mes!$S$2:$S$433,Desconto_Cliente_Mes!$A$2:$A$433,D$95,Desconto_Cliente_Mes!$B$2:$B$433,$A95,Desconto_Cliente_Mes!$C$2:$C$433,"Fibra")))-(IF(SUMIFS(Desconto_Cliente_Mes!$R$2:$R$433,Desconto_Cliente_Mes!$A$2:$A$433,D$95,Desconto_Cliente_Mes!$B$2:$B$433,$A95,Desconto_Cliente_Mes!$C$2:$C$433,"Fibra")="",SUMIFS(Desconto_Cliente_Mes!$Q$2:$Q$433,Desconto_Cliente_Mes!$A$2:$A$433,D$95,Desconto_Cliente_Mes!$B$2:$B$433,$A95,Desconto_Cliente_Mes!$C$2:$C$433,"Fibra"),SUMIFS(Desconto_Cliente_Mes!$R$2:$R$433,Desconto_Cliente_Mes!$A$2:$A$433,D$95,Desconto_Cliente_Mes!$B$2:$B$433,$A95,Desconto_Cliente_Mes!$C$2:$C$433,"Fibra"))))*(SUMIFS(Desconto_Cliente_Mes!$T$2:$T$433,Desconto_Cliente_Mes!$A$2:$A$433,D$95,Desconto_Cliente_Mes!$B$2:$B$433,$A95,Desconto_Cliente_Mes!$C$2:$C$433,"Fibra"))</f>
        <v>0</v>
      </c>
      <c r="E103" s="16" t="n">
        <f aca="false">$E$97*($E$100/100)*((IF(SUMIFS(Desconto_Cliente_Mes!$S$2:$S$433,Desconto_Cliente_Mes!$A$2:$A$433,E$95,Desconto_Cliente_Mes!$B$2:$B$433,$A95,Desconto_Cliente_Mes!$C$2:$C$433,"Fibra")="",(IF(SUMIFS(Desconto_Cliente_Mes!$R$2:$R$433,Desconto_Cliente_Mes!$A$2:$A$433,E$95,Desconto_Cliente_Mes!$B$2:$B$433,$A95,Desconto_Cliente_Mes!$C$2:$C$433,"Fibra")="",SUMIFS(Desconto_Cliente_Mes!$Q$2:$Q$433,Desconto_Cliente_Mes!$A$2:$A$433,E$95,Desconto_Cliente_Mes!$B$2:$B$433,$A95,Desconto_Cliente_Mes!$C$2:$C$433,"Fibra"),SUMIFS(Desconto_Cliente_Mes!$R$2:$R$433,Desconto_Cliente_Mes!$A$2:$A$433,E$95,Desconto_Cliente_Mes!$B$2:$B$433,$A95,Desconto_Cliente_Mes!$C$2:$C$433,"Fibra"))),SUMIFS(Desconto_Cliente_Mes!$S$2:$S$433,Desconto_Cliente_Mes!$A$2:$A$433,E$95,Desconto_Cliente_Mes!$B$2:$B$433,$A95,Desconto_Cliente_Mes!$C$2:$C$433,"Fibra")))-(IF(SUMIFS(Desconto_Cliente_Mes!$R$2:$R$433,Desconto_Cliente_Mes!$A$2:$A$433,E$95,Desconto_Cliente_Mes!$B$2:$B$433,$A95,Desconto_Cliente_Mes!$C$2:$C$433,"Fibra")="",SUMIFS(Desconto_Cliente_Mes!$Q$2:$Q$433,Desconto_Cliente_Mes!$A$2:$A$433,E$95,Desconto_Cliente_Mes!$B$2:$B$433,$A95,Desconto_Cliente_Mes!$C$2:$C$433,"Fibra"),SUMIFS(Desconto_Cliente_Mes!$R$2:$R$433,Desconto_Cliente_Mes!$A$2:$A$433,E$95,Desconto_Cliente_Mes!$B$2:$B$433,$A95,Desconto_Cliente_Mes!$C$2:$C$433,"Fibra"))))*(SUMIFS(Desconto_Cliente_Mes!$T$2:$T$433,Desconto_Cliente_Mes!$A$2:$A$433,E$95,Desconto_Cliente_Mes!$B$2:$B$433,$A95,Desconto_Cliente_Mes!$C$2:$C$433,"Fibra"))</f>
        <v>0</v>
      </c>
      <c r="F103" s="16" t="n">
        <f aca="false">$F$97*($F$100/100)*((IF(SUMIFS(Desconto_Cliente_Mes!$S$2:$S$433,Desconto_Cliente_Mes!$A$2:$A$433,F$95,Desconto_Cliente_Mes!$B$2:$B$433,$A95,Desconto_Cliente_Mes!$C$2:$C$433,"Fibra")="",(IF(SUMIFS(Desconto_Cliente_Mes!$R$2:$R$433,Desconto_Cliente_Mes!$A$2:$A$433,F$95,Desconto_Cliente_Mes!$B$2:$B$433,$A95,Desconto_Cliente_Mes!$C$2:$C$433,"Fibra")="",SUMIFS(Desconto_Cliente_Mes!$Q$2:$Q$433,Desconto_Cliente_Mes!$A$2:$A$433,F$95,Desconto_Cliente_Mes!$B$2:$B$433,$A95,Desconto_Cliente_Mes!$C$2:$C$433,"Fibra"),SUMIFS(Desconto_Cliente_Mes!$R$2:$R$433,Desconto_Cliente_Mes!$A$2:$A$433,F$95,Desconto_Cliente_Mes!$B$2:$B$433,$A95,Desconto_Cliente_Mes!$C$2:$C$433,"Fibra"))),SUMIFS(Desconto_Cliente_Mes!$S$2:$S$433,Desconto_Cliente_Mes!$A$2:$A$433,F$95,Desconto_Cliente_Mes!$B$2:$B$433,$A95,Desconto_Cliente_Mes!$C$2:$C$433,"Fibra")))-(IF(SUMIFS(Desconto_Cliente_Mes!$R$2:$R$433,Desconto_Cliente_Mes!$A$2:$A$433,F$95,Desconto_Cliente_Mes!$B$2:$B$433,$A95,Desconto_Cliente_Mes!$C$2:$C$433,"Fibra")="",SUMIFS(Desconto_Cliente_Mes!$Q$2:$Q$433,Desconto_Cliente_Mes!$A$2:$A$433,F$95,Desconto_Cliente_Mes!$B$2:$B$433,$A95,Desconto_Cliente_Mes!$C$2:$C$433,"Fibra"),SUMIFS(Desconto_Cliente_Mes!$R$2:$R$433,Desconto_Cliente_Mes!$A$2:$A$433,F$95,Desconto_Cliente_Mes!$B$2:$B$433,$A95,Desconto_Cliente_Mes!$C$2:$C$433,"Fibra"))))*(SUMIFS(Desconto_Cliente_Mes!$T$2:$T$433,Desconto_Cliente_Mes!$A$2:$A$433,F$95,Desconto_Cliente_Mes!$B$2:$B$433,$A95,Desconto_Cliente_Mes!$C$2:$C$433,"Fibra"))</f>
        <v>0</v>
      </c>
      <c r="G103" s="16" t="n">
        <f aca="false">$G$97*($G$100/100)*((IF(SUMIFS(Desconto_Cliente_Mes!$S$2:$S$433,Desconto_Cliente_Mes!$A$2:$A$433,G$95,Desconto_Cliente_Mes!$B$2:$B$433,$A95,Desconto_Cliente_Mes!$C$2:$C$433,"Fibra")="",(IF(SUMIFS(Desconto_Cliente_Mes!$R$2:$R$433,Desconto_Cliente_Mes!$A$2:$A$433,G$95,Desconto_Cliente_Mes!$B$2:$B$433,$A95,Desconto_Cliente_Mes!$C$2:$C$433,"Fibra")="",SUMIFS(Desconto_Cliente_Mes!$Q$2:$Q$433,Desconto_Cliente_Mes!$A$2:$A$433,G$95,Desconto_Cliente_Mes!$B$2:$B$433,$A95,Desconto_Cliente_Mes!$C$2:$C$433,"Fibra"),SUMIFS(Desconto_Cliente_Mes!$R$2:$R$433,Desconto_Cliente_Mes!$A$2:$A$433,G$95,Desconto_Cliente_Mes!$B$2:$B$433,$A95,Desconto_Cliente_Mes!$C$2:$C$433,"Fibra"))),SUMIFS(Desconto_Cliente_Mes!$S$2:$S$433,Desconto_Cliente_Mes!$A$2:$A$433,G$95,Desconto_Cliente_Mes!$B$2:$B$433,$A95,Desconto_Cliente_Mes!$C$2:$C$433,"Fibra")))-(IF(SUMIFS(Desconto_Cliente_Mes!$R$2:$R$433,Desconto_Cliente_Mes!$A$2:$A$433,G$95,Desconto_Cliente_Mes!$B$2:$B$433,$A95,Desconto_Cliente_Mes!$C$2:$C$433,"Fibra")="",SUMIFS(Desconto_Cliente_Mes!$Q$2:$Q$433,Desconto_Cliente_Mes!$A$2:$A$433,G$95,Desconto_Cliente_Mes!$B$2:$B$433,$A95,Desconto_Cliente_Mes!$C$2:$C$433,"Fibra"),SUMIFS(Desconto_Cliente_Mes!$R$2:$R$433,Desconto_Cliente_Mes!$A$2:$A$433,G$95,Desconto_Cliente_Mes!$B$2:$B$433,$A95,Desconto_Cliente_Mes!$C$2:$C$433,"Fibra"))))*(SUMIFS(Desconto_Cliente_Mes!$T$2:$T$433,Desconto_Cliente_Mes!$A$2:$A$433,G$95,Desconto_Cliente_Mes!$B$2:$B$433,$A95,Desconto_Cliente_Mes!$C$2:$C$433,"Fibra"))</f>
        <v>0</v>
      </c>
      <c r="H103" s="16" t="n">
        <f aca="false">$H$97*($H$100/100)*((IF(SUMIFS(Desconto_Cliente_Mes!$S$2:$S$433,Desconto_Cliente_Mes!$A$2:$A$433,H$95,Desconto_Cliente_Mes!$B$2:$B$433,$A95,Desconto_Cliente_Mes!$C$2:$C$433,"Fibra")="",(IF(SUMIFS(Desconto_Cliente_Mes!$R$2:$R$433,Desconto_Cliente_Mes!$A$2:$A$433,H$95,Desconto_Cliente_Mes!$B$2:$B$433,$A95,Desconto_Cliente_Mes!$C$2:$C$433,"Fibra")="",SUMIFS(Desconto_Cliente_Mes!$Q$2:$Q$433,Desconto_Cliente_Mes!$A$2:$A$433,H$95,Desconto_Cliente_Mes!$B$2:$B$433,$A95,Desconto_Cliente_Mes!$C$2:$C$433,"Fibra"),SUMIFS(Desconto_Cliente_Mes!$R$2:$R$433,Desconto_Cliente_Mes!$A$2:$A$433,H$95,Desconto_Cliente_Mes!$B$2:$B$433,$A95,Desconto_Cliente_Mes!$C$2:$C$433,"Fibra"))),SUMIFS(Desconto_Cliente_Mes!$S$2:$S$433,Desconto_Cliente_Mes!$A$2:$A$433,H$95,Desconto_Cliente_Mes!$B$2:$B$433,$A95,Desconto_Cliente_Mes!$C$2:$C$433,"Fibra")))-(IF(SUMIFS(Desconto_Cliente_Mes!$R$2:$R$433,Desconto_Cliente_Mes!$A$2:$A$433,H$95,Desconto_Cliente_Mes!$B$2:$B$433,$A95,Desconto_Cliente_Mes!$C$2:$C$433,"Fibra")="",SUMIFS(Desconto_Cliente_Mes!$Q$2:$Q$433,Desconto_Cliente_Mes!$A$2:$A$433,H$95,Desconto_Cliente_Mes!$B$2:$B$433,$A95,Desconto_Cliente_Mes!$C$2:$C$433,"Fibra"),SUMIFS(Desconto_Cliente_Mes!$R$2:$R$433,Desconto_Cliente_Mes!$A$2:$A$433,H$95,Desconto_Cliente_Mes!$B$2:$B$433,$A95,Desconto_Cliente_Mes!$C$2:$C$433,"Fibra"))))*(SUMIFS(Desconto_Cliente_Mes!$T$2:$T$433,Desconto_Cliente_Mes!$A$2:$A$433,H$95,Desconto_Cliente_Mes!$B$2:$B$433,$A95,Desconto_Cliente_Mes!$C$2:$C$433,"Fibra"))</f>
        <v>0</v>
      </c>
      <c r="I103" s="16" t="n">
        <f aca="false">$I$97*($I$100/100)*((IF(SUMIFS(Desconto_Cliente_Mes!$S$2:$S$433,Desconto_Cliente_Mes!$A$2:$A$433,I$95,Desconto_Cliente_Mes!$B$2:$B$433,$A95,Desconto_Cliente_Mes!$C$2:$C$433,"Fibra")="",(IF(SUMIFS(Desconto_Cliente_Mes!$R$2:$R$433,Desconto_Cliente_Mes!$A$2:$A$433,I$95,Desconto_Cliente_Mes!$B$2:$B$433,$A95,Desconto_Cliente_Mes!$C$2:$C$433,"Fibra")="",SUMIFS(Desconto_Cliente_Mes!$Q$2:$Q$433,Desconto_Cliente_Mes!$A$2:$A$433,I$95,Desconto_Cliente_Mes!$B$2:$B$433,$A95,Desconto_Cliente_Mes!$C$2:$C$433,"Fibra"),SUMIFS(Desconto_Cliente_Mes!$R$2:$R$433,Desconto_Cliente_Mes!$A$2:$A$433,I$95,Desconto_Cliente_Mes!$B$2:$B$433,$A95,Desconto_Cliente_Mes!$C$2:$C$433,"Fibra"))),SUMIFS(Desconto_Cliente_Mes!$S$2:$S$433,Desconto_Cliente_Mes!$A$2:$A$433,I$95,Desconto_Cliente_Mes!$B$2:$B$433,$A95,Desconto_Cliente_Mes!$C$2:$C$433,"Fibra")))-(IF(SUMIFS(Desconto_Cliente_Mes!$R$2:$R$433,Desconto_Cliente_Mes!$A$2:$A$433,I$95,Desconto_Cliente_Mes!$B$2:$B$433,$A95,Desconto_Cliente_Mes!$C$2:$C$433,"Fibra")="",SUMIFS(Desconto_Cliente_Mes!$Q$2:$Q$433,Desconto_Cliente_Mes!$A$2:$A$433,I$95,Desconto_Cliente_Mes!$B$2:$B$433,$A95,Desconto_Cliente_Mes!$C$2:$C$433,"Fibra"),SUMIFS(Desconto_Cliente_Mes!$R$2:$R$433,Desconto_Cliente_Mes!$A$2:$A$433,I$95,Desconto_Cliente_Mes!$B$2:$B$433,$A95,Desconto_Cliente_Mes!$C$2:$C$433,"Fibra"))))*(SUMIFS(Desconto_Cliente_Mes!$T$2:$T$433,Desconto_Cliente_Mes!$A$2:$A$433,I$95,Desconto_Cliente_Mes!$B$2:$B$433,$A95,Desconto_Cliente_Mes!$C$2:$C$433,"Fibra"))</f>
        <v>0</v>
      </c>
      <c r="J103" s="16" t="n">
        <f aca="false">$J$97*($J$100/100)*((IF(SUMIFS(Desconto_Cliente_Mes!$S$2:$S$433,Desconto_Cliente_Mes!$A$2:$A$433,J$95,Desconto_Cliente_Mes!$B$2:$B$433,$A95,Desconto_Cliente_Mes!$C$2:$C$433,"Fibra")="",(IF(SUMIFS(Desconto_Cliente_Mes!$R$2:$R$433,Desconto_Cliente_Mes!$A$2:$A$433,J$95,Desconto_Cliente_Mes!$B$2:$B$433,$A95,Desconto_Cliente_Mes!$C$2:$C$433,"Fibra")="",SUMIFS(Desconto_Cliente_Mes!$Q$2:$Q$433,Desconto_Cliente_Mes!$A$2:$A$433,J$95,Desconto_Cliente_Mes!$B$2:$B$433,$A95,Desconto_Cliente_Mes!$C$2:$C$433,"Fibra"),SUMIFS(Desconto_Cliente_Mes!$R$2:$R$433,Desconto_Cliente_Mes!$A$2:$A$433,J$95,Desconto_Cliente_Mes!$B$2:$B$433,$A95,Desconto_Cliente_Mes!$C$2:$C$433,"Fibra"))),SUMIFS(Desconto_Cliente_Mes!$S$2:$S$433,Desconto_Cliente_Mes!$A$2:$A$433,J$95,Desconto_Cliente_Mes!$B$2:$B$433,$A95,Desconto_Cliente_Mes!$C$2:$C$433,"Fibra")))-(IF(SUMIFS(Desconto_Cliente_Mes!$R$2:$R$433,Desconto_Cliente_Mes!$A$2:$A$433,J$95,Desconto_Cliente_Mes!$B$2:$B$433,$A95,Desconto_Cliente_Mes!$C$2:$C$433,"Fibra")="",SUMIFS(Desconto_Cliente_Mes!$Q$2:$Q$433,Desconto_Cliente_Mes!$A$2:$A$433,J$95,Desconto_Cliente_Mes!$B$2:$B$433,$A95,Desconto_Cliente_Mes!$C$2:$C$433,"Fibra"),SUMIFS(Desconto_Cliente_Mes!$R$2:$R$433,Desconto_Cliente_Mes!$A$2:$A$433,J$95,Desconto_Cliente_Mes!$B$2:$B$433,$A95,Desconto_Cliente_Mes!$C$2:$C$433,"Fibra"))))*(SUMIFS(Desconto_Cliente_Mes!$T$2:$T$433,Desconto_Cliente_Mes!$A$2:$A$433,J$95,Desconto_Cliente_Mes!$B$2:$B$433,$A95,Desconto_Cliente_Mes!$C$2:$C$433,"Fibra"))</f>
        <v>0</v>
      </c>
      <c r="K103" s="16" t="n">
        <f aca="false">$K$97*($K$100/100)*((IF(SUMIFS(Desconto_Cliente_Mes!$S$2:$S$433,Desconto_Cliente_Mes!$A$2:$A$433,K$95,Desconto_Cliente_Mes!$B$2:$B$433,$A95,Desconto_Cliente_Mes!$C$2:$C$433,"Fibra")="",(IF(SUMIFS(Desconto_Cliente_Mes!$R$2:$R$433,Desconto_Cliente_Mes!$A$2:$A$433,K$95,Desconto_Cliente_Mes!$B$2:$B$433,$A95,Desconto_Cliente_Mes!$C$2:$C$433,"Fibra")="",SUMIFS(Desconto_Cliente_Mes!$Q$2:$Q$433,Desconto_Cliente_Mes!$A$2:$A$433,K$95,Desconto_Cliente_Mes!$B$2:$B$433,$A95,Desconto_Cliente_Mes!$C$2:$C$433,"Fibra"),SUMIFS(Desconto_Cliente_Mes!$R$2:$R$433,Desconto_Cliente_Mes!$A$2:$A$433,K$95,Desconto_Cliente_Mes!$B$2:$B$433,$A95,Desconto_Cliente_Mes!$C$2:$C$433,"Fibra"))),SUMIFS(Desconto_Cliente_Mes!$S$2:$S$433,Desconto_Cliente_Mes!$A$2:$A$433,K$95,Desconto_Cliente_Mes!$B$2:$B$433,$A95,Desconto_Cliente_Mes!$C$2:$C$433,"Fibra")))-(IF(SUMIFS(Desconto_Cliente_Mes!$R$2:$R$433,Desconto_Cliente_Mes!$A$2:$A$433,K$95,Desconto_Cliente_Mes!$B$2:$B$433,$A95,Desconto_Cliente_Mes!$C$2:$C$433,"Fibra")="",SUMIFS(Desconto_Cliente_Mes!$Q$2:$Q$433,Desconto_Cliente_Mes!$A$2:$A$433,K$95,Desconto_Cliente_Mes!$B$2:$B$433,$A95,Desconto_Cliente_Mes!$C$2:$C$433,"Fibra"),SUMIFS(Desconto_Cliente_Mes!$R$2:$R$433,Desconto_Cliente_Mes!$A$2:$A$433,K$95,Desconto_Cliente_Mes!$B$2:$B$433,$A95,Desconto_Cliente_Mes!$C$2:$C$433,"Fibra"))))*(SUMIFS(Desconto_Cliente_Mes!$T$2:$T$433,Desconto_Cliente_Mes!$A$2:$A$433,K$95,Desconto_Cliente_Mes!$B$2:$B$433,$A95,Desconto_Cliente_Mes!$C$2:$C$433,"Fibra"))</f>
        <v>0</v>
      </c>
      <c r="L103" s="16" t="n">
        <f aca="false">$L$97*($L$100/100)*((IF(SUMIFS(Desconto_Cliente_Mes!$S$2:$S$433,Desconto_Cliente_Mes!$A$2:$A$433,L$95,Desconto_Cliente_Mes!$B$2:$B$433,$A95,Desconto_Cliente_Mes!$C$2:$C$433,"Fibra")="",(IF(SUMIFS(Desconto_Cliente_Mes!$R$2:$R$433,Desconto_Cliente_Mes!$A$2:$A$433,L$95,Desconto_Cliente_Mes!$B$2:$B$433,$A95,Desconto_Cliente_Mes!$C$2:$C$433,"Fibra")="",SUMIFS(Desconto_Cliente_Mes!$Q$2:$Q$433,Desconto_Cliente_Mes!$A$2:$A$433,L$95,Desconto_Cliente_Mes!$B$2:$B$433,$A95,Desconto_Cliente_Mes!$C$2:$C$433,"Fibra"),SUMIFS(Desconto_Cliente_Mes!$R$2:$R$433,Desconto_Cliente_Mes!$A$2:$A$433,L$95,Desconto_Cliente_Mes!$B$2:$B$433,$A95,Desconto_Cliente_Mes!$C$2:$C$433,"Fibra"))),SUMIFS(Desconto_Cliente_Mes!$S$2:$S$433,Desconto_Cliente_Mes!$A$2:$A$433,L$95,Desconto_Cliente_Mes!$B$2:$B$433,$A95,Desconto_Cliente_Mes!$C$2:$C$433,"Fibra")))-(IF(SUMIFS(Desconto_Cliente_Mes!$R$2:$R$433,Desconto_Cliente_Mes!$A$2:$A$433,L$95,Desconto_Cliente_Mes!$B$2:$B$433,$A95,Desconto_Cliente_Mes!$C$2:$C$433,"Fibra")="",SUMIFS(Desconto_Cliente_Mes!$Q$2:$Q$433,Desconto_Cliente_Mes!$A$2:$A$433,L$95,Desconto_Cliente_Mes!$B$2:$B$433,$A95,Desconto_Cliente_Mes!$C$2:$C$433,"Fibra"),SUMIFS(Desconto_Cliente_Mes!$R$2:$R$433,Desconto_Cliente_Mes!$A$2:$A$433,L$95,Desconto_Cliente_Mes!$B$2:$B$433,$A95,Desconto_Cliente_Mes!$C$2:$C$433,"Fibra"))))*(SUMIFS(Desconto_Cliente_Mes!$T$2:$T$433,Desconto_Cliente_Mes!$A$2:$A$433,L$95,Desconto_Cliente_Mes!$B$2:$B$433,$A95,Desconto_Cliente_Mes!$C$2:$C$433,"Fibra"))</f>
        <v>0</v>
      </c>
      <c r="M103" s="16" t="n">
        <f aca="false">$M$97*($M$100/100)*((IF(SUMIFS(Desconto_Cliente_Mes!$S$2:$S$433,Desconto_Cliente_Mes!$A$2:$A$433,M$95,Desconto_Cliente_Mes!$B$2:$B$433,$A95,Desconto_Cliente_Mes!$C$2:$C$433,"Fibra")="",(IF(SUMIFS(Desconto_Cliente_Mes!$R$2:$R$433,Desconto_Cliente_Mes!$A$2:$A$433,M$95,Desconto_Cliente_Mes!$B$2:$B$433,$A95,Desconto_Cliente_Mes!$C$2:$C$433,"Fibra")="",SUMIFS(Desconto_Cliente_Mes!$Q$2:$Q$433,Desconto_Cliente_Mes!$A$2:$A$433,M$95,Desconto_Cliente_Mes!$B$2:$B$433,$A95,Desconto_Cliente_Mes!$C$2:$C$433,"Fibra"),SUMIFS(Desconto_Cliente_Mes!$R$2:$R$433,Desconto_Cliente_Mes!$A$2:$A$433,M$95,Desconto_Cliente_Mes!$B$2:$B$433,$A95,Desconto_Cliente_Mes!$C$2:$C$433,"Fibra"))),SUMIFS(Desconto_Cliente_Mes!$S$2:$S$433,Desconto_Cliente_Mes!$A$2:$A$433,M$95,Desconto_Cliente_Mes!$B$2:$B$433,$A95,Desconto_Cliente_Mes!$C$2:$C$433,"Fibra")))-(IF(SUMIFS(Desconto_Cliente_Mes!$R$2:$R$433,Desconto_Cliente_Mes!$A$2:$A$433,M$95,Desconto_Cliente_Mes!$B$2:$B$433,$A95,Desconto_Cliente_Mes!$C$2:$C$433,"Fibra")="",SUMIFS(Desconto_Cliente_Mes!$Q$2:$Q$433,Desconto_Cliente_Mes!$A$2:$A$433,M$95,Desconto_Cliente_Mes!$B$2:$B$433,$A95,Desconto_Cliente_Mes!$C$2:$C$433,"Fibra"),SUMIFS(Desconto_Cliente_Mes!$R$2:$R$433,Desconto_Cliente_Mes!$A$2:$A$433,M$95,Desconto_Cliente_Mes!$B$2:$B$433,$A95,Desconto_Cliente_Mes!$C$2:$C$433,"Fibra"))))*(SUMIFS(Desconto_Cliente_Mes!$T$2:$T$433,Desconto_Cliente_Mes!$A$2:$A$433,M$95,Desconto_Cliente_Mes!$B$2:$B$433,$A95,Desconto_Cliente_Mes!$C$2:$C$433,"Fibra"))</f>
        <v>0</v>
      </c>
      <c r="N103" s="17" t="n">
        <f aca="false">SUM(B103:M103)</f>
        <v>0</v>
      </c>
    </row>
    <row r="104" customFormat="false" ht="15" hidden="false" customHeight="false" outlineLevel="0" collapsed="false">
      <c r="A104" s="13" t="s">
        <v>82</v>
      </c>
      <c r="B104" s="16" t="n">
        <f aca="false">SUMIFS(Acerto_Detalhado!$J$2:$J$433,Acerto_Detalhado!$A$2:$A$433,B$95,Acerto_Detalhado!$B$2:$B$433,$A95,Acerto_Detalhado!$C$2:$C$433,"Fibra")</f>
        <v>0</v>
      </c>
      <c r="C104" s="16" t="n">
        <f aca="false">SUMIFS(Acerto_Detalhado!$J$2:$J$433,Acerto_Detalhado!$A$2:$A$433,C$95,Acerto_Detalhado!$B$2:$B$433,$A95,Acerto_Detalhado!$C$2:$C$433,"Fibra")</f>
        <v>2686.11759313253</v>
      </c>
      <c r="D104" s="16" t="n">
        <f aca="false">SUMIFS(Acerto_Detalhado!$J$2:$J$433,Acerto_Detalhado!$A$2:$A$433,D$95,Acerto_Detalhado!$B$2:$B$433,$A95,Acerto_Detalhado!$C$2:$C$433,"Fibra")</f>
        <v>1216.2539946088</v>
      </c>
      <c r="E104" s="16" t="n">
        <f aca="false">SUMIFS(Acerto_Detalhado!$J$2:$J$433,Acerto_Detalhado!$A$2:$A$433,E$95,Acerto_Detalhado!$B$2:$B$433,$A95,Acerto_Detalhado!$C$2:$C$433,"Fibra")</f>
        <v>0</v>
      </c>
      <c r="F104" s="16" t="n">
        <f aca="false">SUMIFS(Acerto_Detalhado!$J$2:$J$433,Acerto_Detalhado!$A$2:$A$433,F$95,Acerto_Detalhado!$B$2:$B$433,$A95,Acerto_Detalhado!$C$2:$C$433,"Fibra")</f>
        <v>4848.71824209653</v>
      </c>
      <c r="G104" s="16" t="n">
        <f aca="false">SUMIFS(Acerto_Detalhado!$J$2:$J$433,Acerto_Detalhado!$A$2:$A$433,G$95,Acerto_Detalhado!$B$2:$B$433,$A95,Acerto_Detalhado!$C$2:$C$433,"Fibra")</f>
        <v>1496.2075645216</v>
      </c>
      <c r="H104" s="16" t="n">
        <f aca="false">SUMIFS(Acerto_Detalhado!$J$2:$J$433,Acerto_Detalhado!$A$2:$A$433,H$95,Acerto_Detalhado!$B$2:$B$433,$A95,Acerto_Detalhado!$C$2:$C$433,"Fibra")</f>
        <v>0</v>
      </c>
      <c r="I104" s="16" t="n">
        <f aca="false">SUMIFS(Acerto_Detalhado!$J$2:$J$433,Acerto_Detalhado!$A$2:$A$433,I$95,Acerto_Detalhado!$B$2:$B$433,$A95,Acerto_Detalhado!$C$2:$C$433,"Fibra")</f>
        <v>0</v>
      </c>
      <c r="J104" s="16" t="n">
        <f aca="false">SUMIFS(Acerto_Detalhado!$J$2:$J$433,Acerto_Detalhado!$A$2:$A$433,J$95,Acerto_Detalhado!$B$2:$B$433,$A95,Acerto_Detalhado!$C$2:$C$433,"Fibra")</f>
        <v>0</v>
      </c>
      <c r="K104" s="16" t="n">
        <f aca="false">SUMIFS(Acerto_Detalhado!$J$2:$J$433,Acerto_Detalhado!$A$2:$A$433,K$95,Acerto_Detalhado!$B$2:$B$433,$A95,Acerto_Detalhado!$C$2:$C$433,"Fibra")</f>
        <v>1977.47133457246</v>
      </c>
      <c r="L104" s="16" t="n">
        <f aca="false">SUMIFS(Acerto_Detalhado!$J$2:$J$433,Acerto_Detalhado!$A$2:$A$433,L$95,Acerto_Detalhado!$B$2:$B$433,$A95,Acerto_Detalhado!$C$2:$C$433,"Fibra")</f>
        <v>0</v>
      </c>
      <c r="M104" s="16" t="n">
        <f aca="false">SUMIFS(Acerto_Detalhado!$J$2:$J$433,Acerto_Detalhado!$A$2:$A$433,M$95,Acerto_Detalhado!$B$2:$B$433,$A95,Acerto_Detalhado!$C$2:$C$433,"Fibra")</f>
        <v>0</v>
      </c>
      <c r="N104" s="17" t="n">
        <f aca="false">SUM(B104:M104)</f>
        <v>12224.7687289319</v>
      </c>
    </row>
    <row r="106" customFormat="false" ht="15" hidden="false" customHeight="false" outlineLevel="0" collapsed="false">
      <c r="A106" s="5" t="s">
        <v>67</v>
      </c>
      <c r="B106" s="6" t="s">
        <v>39</v>
      </c>
      <c r="C106" s="6" t="s">
        <v>40</v>
      </c>
      <c r="D106" s="6" t="s">
        <v>41</v>
      </c>
      <c r="E106" s="6" t="s">
        <v>42</v>
      </c>
      <c r="F106" s="6" t="s">
        <v>43</v>
      </c>
      <c r="G106" s="6" t="s">
        <v>44</v>
      </c>
      <c r="H106" s="6" t="s">
        <v>45</v>
      </c>
      <c r="I106" s="6" t="s">
        <v>46</v>
      </c>
      <c r="J106" s="6" t="s">
        <v>47</v>
      </c>
      <c r="K106" s="6" t="s">
        <v>48</v>
      </c>
      <c r="L106" s="6" t="s">
        <v>49</v>
      </c>
      <c r="M106" s="6" t="s">
        <v>50</v>
      </c>
      <c r="N106" s="6" t="s">
        <v>51</v>
      </c>
    </row>
    <row r="107" customFormat="false" ht="15" hidden="false" customHeight="false" outlineLevel="0" collapsed="false">
      <c r="A107" s="13" t="s">
        <v>74</v>
      </c>
      <c r="B107" s="10" t="str">
        <f aca="false">IF((SUMIFS(Desconto_Cliente_Mes!$D$2:$D$433,Desconto_Cliente_Mes!$A$2:$A$433,B$106,Desconto_Cliente_Mes!$B$2:$B$433,$A106,Desconto_Cliente_Mes!$C$2:$C$433,"Fibra"))=0,"",IFERROR(SUMIFS(Desconto_Cliente_Mes!$E$2:$E$433,Desconto_Cliente_Mes!$A$2:$A$433,B$106,Desconto_Cliente_Mes!$B$2:$B$433,$A106,Desconto_Cliente_Mes!$C$2:$C$433,"Fibra"),""))</f>
        <v/>
      </c>
      <c r="C107" s="10" t="str">
        <f aca="false">IF((SUMIFS(Desconto_Cliente_Mes!$D$2:$D$433,Desconto_Cliente_Mes!$A$2:$A$433,C$106,Desconto_Cliente_Mes!$B$2:$B$433,$A106,Desconto_Cliente_Mes!$C$2:$C$433,"Fibra"))=0,"",IFERROR(SUMIFS(Desconto_Cliente_Mes!$E$2:$E$433,Desconto_Cliente_Mes!$A$2:$A$433,C$106,Desconto_Cliente_Mes!$B$2:$B$433,$A106,Desconto_Cliente_Mes!$C$2:$C$433,"Fibra"),""))</f>
        <v/>
      </c>
      <c r="D107" s="10" t="str">
        <f aca="false">IF((SUMIFS(Desconto_Cliente_Mes!$D$2:$D$433,Desconto_Cliente_Mes!$A$2:$A$433,D$106,Desconto_Cliente_Mes!$B$2:$B$433,$A106,Desconto_Cliente_Mes!$C$2:$C$433,"Fibra"))=0,"",IFERROR(SUMIFS(Desconto_Cliente_Mes!$E$2:$E$433,Desconto_Cliente_Mes!$A$2:$A$433,D$106,Desconto_Cliente_Mes!$B$2:$B$433,$A106,Desconto_Cliente_Mes!$C$2:$C$433,"Fibra"),""))</f>
        <v/>
      </c>
      <c r="E107" s="10" t="str">
        <f aca="false">IF((SUMIFS(Desconto_Cliente_Mes!$D$2:$D$433,Desconto_Cliente_Mes!$A$2:$A$433,E$106,Desconto_Cliente_Mes!$B$2:$B$433,$A106,Desconto_Cliente_Mes!$C$2:$C$433,"Fibra"))=0,"",IFERROR(SUMIFS(Desconto_Cliente_Mes!$E$2:$E$433,Desconto_Cliente_Mes!$A$2:$A$433,E$106,Desconto_Cliente_Mes!$B$2:$B$433,$A106,Desconto_Cliente_Mes!$C$2:$C$433,"Fibra"),""))</f>
        <v/>
      </c>
      <c r="F107" s="10" t="str">
        <f aca="false">IF((SUMIFS(Desconto_Cliente_Mes!$D$2:$D$433,Desconto_Cliente_Mes!$A$2:$A$433,F$106,Desconto_Cliente_Mes!$B$2:$B$433,$A106,Desconto_Cliente_Mes!$C$2:$C$433,"Fibra"))=0,"",IFERROR(SUMIFS(Desconto_Cliente_Mes!$E$2:$E$433,Desconto_Cliente_Mes!$A$2:$A$433,F$106,Desconto_Cliente_Mes!$B$2:$B$433,$A106,Desconto_Cliente_Mes!$C$2:$C$433,"Fibra"),""))</f>
        <v/>
      </c>
      <c r="G107" s="10" t="str">
        <f aca="false">IF((SUMIFS(Desconto_Cliente_Mes!$D$2:$D$433,Desconto_Cliente_Mes!$A$2:$A$433,G$106,Desconto_Cliente_Mes!$B$2:$B$433,$A106,Desconto_Cliente_Mes!$C$2:$C$433,"Fibra"))=0,"",IFERROR(SUMIFS(Desconto_Cliente_Mes!$E$2:$E$433,Desconto_Cliente_Mes!$A$2:$A$433,G$106,Desconto_Cliente_Mes!$B$2:$B$433,$A106,Desconto_Cliente_Mes!$C$2:$C$433,"Fibra"),""))</f>
        <v/>
      </c>
      <c r="H107" s="10" t="str">
        <f aca="false">IF((SUMIFS(Desconto_Cliente_Mes!$D$2:$D$433,Desconto_Cliente_Mes!$A$2:$A$433,H$106,Desconto_Cliente_Mes!$B$2:$B$433,$A106,Desconto_Cliente_Mes!$C$2:$C$433,"Fibra"))=0,"",IFERROR(SUMIFS(Desconto_Cliente_Mes!$E$2:$E$433,Desconto_Cliente_Mes!$A$2:$A$433,H$106,Desconto_Cliente_Mes!$B$2:$B$433,$A106,Desconto_Cliente_Mes!$C$2:$C$433,"Fibra"),""))</f>
        <v/>
      </c>
      <c r="I107" s="10" t="str">
        <f aca="false">IF((SUMIFS(Desconto_Cliente_Mes!$D$2:$D$433,Desconto_Cliente_Mes!$A$2:$A$433,I$106,Desconto_Cliente_Mes!$B$2:$B$433,$A106,Desconto_Cliente_Mes!$C$2:$C$433,"Fibra"))=0,"",IFERROR(SUMIFS(Desconto_Cliente_Mes!$E$2:$E$433,Desconto_Cliente_Mes!$A$2:$A$433,I$106,Desconto_Cliente_Mes!$B$2:$B$433,$A106,Desconto_Cliente_Mes!$C$2:$C$433,"Fibra"),""))</f>
        <v/>
      </c>
      <c r="J107" s="10" t="str">
        <f aca="false">IF((SUMIFS(Desconto_Cliente_Mes!$D$2:$D$433,Desconto_Cliente_Mes!$A$2:$A$433,J$106,Desconto_Cliente_Mes!$B$2:$B$433,$A106,Desconto_Cliente_Mes!$C$2:$C$433,"Fibra"))=0,"",IFERROR(SUMIFS(Desconto_Cliente_Mes!$E$2:$E$433,Desconto_Cliente_Mes!$A$2:$A$433,J$106,Desconto_Cliente_Mes!$B$2:$B$433,$A106,Desconto_Cliente_Mes!$C$2:$C$433,"Fibra"),""))</f>
        <v/>
      </c>
      <c r="K107" s="10" t="str">
        <f aca="false">IF((SUMIFS(Desconto_Cliente_Mes!$D$2:$D$433,Desconto_Cliente_Mes!$A$2:$A$433,K$106,Desconto_Cliente_Mes!$B$2:$B$433,$A106,Desconto_Cliente_Mes!$C$2:$C$433,"Fibra"))=0,"",IFERROR(SUMIFS(Desconto_Cliente_Mes!$E$2:$E$433,Desconto_Cliente_Mes!$A$2:$A$433,K$106,Desconto_Cliente_Mes!$B$2:$B$433,$A106,Desconto_Cliente_Mes!$C$2:$C$433,"Fibra"),""))</f>
        <v/>
      </c>
      <c r="L107" s="10" t="str">
        <f aca="false">IF((SUMIFS(Desconto_Cliente_Mes!$D$2:$D$433,Desconto_Cliente_Mes!$A$2:$A$433,L$106,Desconto_Cliente_Mes!$B$2:$B$433,$A106,Desconto_Cliente_Mes!$C$2:$C$433,"Fibra"))=0,"",IFERROR(SUMIFS(Desconto_Cliente_Mes!$E$2:$E$433,Desconto_Cliente_Mes!$A$2:$A$433,L$106,Desconto_Cliente_Mes!$B$2:$B$433,$A106,Desconto_Cliente_Mes!$C$2:$C$433,"Fibra"),""))</f>
        <v/>
      </c>
      <c r="M107" s="10" t="str">
        <f aca="false">IF((SUMIFS(Desconto_Cliente_Mes!$D$2:$D$433,Desconto_Cliente_Mes!$A$2:$A$433,M$106,Desconto_Cliente_Mes!$B$2:$B$433,$A106,Desconto_Cliente_Mes!$C$2:$C$433,"Fibra"))=0,"",IFERROR(SUMIFS(Desconto_Cliente_Mes!$E$2:$E$433,Desconto_Cliente_Mes!$A$2:$A$433,M$106,Desconto_Cliente_Mes!$B$2:$B$433,$A106,Desconto_Cliente_Mes!$C$2:$C$433,"Fibra"),""))</f>
        <v/>
      </c>
      <c r="N107" s="11" t="str">
        <f aca="false">IFERROR(Media_Pool_Mes!E11,"")</f>
        <v/>
      </c>
    </row>
    <row r="108" customFormat="false" ht="15" hidden="false" customHeight="false" outlineLevel="0" collapsed="false">
      <c r="A108" s="13" t="s">
        <v>75</v>
      </c>
      <c r="B108" s="8" t="n">
        <f aca="false">IFERROR(SUMIFS(Desconto_Cliente_Mes!$D$2:$D$433,Desconto_Cliente_Mes!$A$2:$A$433,B$106,Desconto_Cliente_Mes!$B$2:$B$433,$A106,Desconto_Cliente_Mes!$C$2:$C$433,"Fibra"),0)</f>
        <v>0</v>
      </c>
      <c r="C108" s="8" t="n">
        <f aca="false">IFERROR(SUMIFS(Desconto_Cliente_Mes!$D$2:$D$433,Desconto_Cliente_Mes!$A$2:$A$433,C$106,Desconto_Cliente_Mes!$B$2:$B$433,$A106,Desconto_Cliente_Mes!$C$2:$C$433,"Fibra"),0)</f>
        <v>0</v>
      </c>
      <c r="D108" s="8" t="n">
        <f aca="false">IFERROR(SUMIFS(Desconto_Cliente_Mes!$D$2:$D$433,Desconto_Cliente_Mes!$A$2:$A$433,D$106,Desconto_Cliente_Mes!$B$2:$B$433,$A106,Desconto_Cliente_Mes!$C$2:$C$433,"Fibra"),0)</f>
        <v>0</v>
      </c>
      <c r="E108" s="8" t="n">
        <f aca="false">IFERROR(SUMIFS(Desconto_Cliente_Mes!$D$2:$D$433,Desconto_Cliente_Mes!$A$2:$A$433,E$106,Desconto_Cliente_Mes!$B$2:$B$433,$A106,Desconto_Cliente_Mes!$C$2:$C$433,"Fibra"),0)</f>
        <v>0</v>
      </c>
      <c r="F108" s="8" t="n">
        <f aca="false">IFERROR(SUMIFS(Desconto_Cliente_Mes!$D$2:$D$433,Desconto_Cliente_Mes!$A$2:$A$433,F$106,Desconto_Cliente_Mes!$B$2:$B$433,$A106,Desconto_Cliente_Mes!$C$2:$C$433,"Fibra"),0)</f>
        <v>0</v>
      </c>
      <c r="G108" s="8" t="n">
        <f aca="false">IFERROR(SUMIFS(Desconto_Cliente_Mes!$D$2:$D$433,Desconto_Cliente_Mes!$A$2:$A$433,G$106,Desconto_Cliente_Mes!$B$2:$B$433,$A106,Desconto_Cliente_Mes!$C$2:$C$433,"Fibra"),0)</f>
        <v>0</v>
      </c>
      <c r="H108" s="8" t="n">
        <f aca="false">IFERROR(SUMIFS(Desconto_Cliente_Mes!$D$2:$D$433,Desconto_Cliente_Mes!$A$2:$A$433,H$106,Desconto_Cliente_Mes!$B$2:$B$433,$A106,Desconto_Cliente_Mes!$C$2:$C$433,"Fibra"),0)</f>
        <v>0</v>
      </c>
      <c r="I108" s="8" t="n">
        <f aca="false">IFERROR(SUMIFS(Desconto_Cliente_Mes!$D$2:$D$433,Desconto_Cliente_Mes!$A$2:$A$433,I$106,Desconto_Cliente_Mes!$B$2:$B$433,$A106,Desconto_Cliente_Mes!$C$2:$C$433,"Fibra"),0)</f>
        <v>0</v>
      </c>
      <c r="J108" s="8" t="n">
        <f aca="false">IFERROR(SUMIFS(Desconto_Cliente_Mes!$D$2:$D$433,Desconto_Cliente_Mes!$A$2:$A$433,J$106,Desconto_Cliente_Mes!$B$2:$B$433,$A106,Desconto_Cliente_Mes!$C$2:$C$433,"Fibra"),0)</f>
        <v>0</v>
      </c>
      <c r="K108" s="8" t="n">
        <f aca="false">IFERROR(SUMIFS(Desconto_Cliente_Mes!$D$2:$D$433,Desconto_Cliente_Mes!$A$2:$A$433,K$106,Desconto_Cliente_Mes!$B$2:$B$433,$A106,Desconto_Cliente_Mes!$C$2:$C$433,"Fibra"),0)</f>
        <v>0</v>
      </c>
      <c r="L108" s="8" t="n">
        <f aca="false">IFERROR(SUMIFS(Desconto_Cliente_Mes!$D$2:$D$433,Desconto_Cliente_Mes!$A$2:$A$433,L$106,Desconto_Cliente_Mes!$B$2:$B$433,$A106,Desconto_Cliente_Mes!$C$2:$C$433,"Fibra"),0)</f>
        <v>0</v>
      </c>
      <c r="M108" s="8" t="n">
        <f aca="false">IFERROR(SUMIFS(Desconto_Cliente_Mes!$D$2:$D$433,Desconto_Cliente_Mes!$A$2:$A$433,M$106,Desconto_Cliente_Mes!$B$2:$B$433,$A106,Desconto_Cliente_Mes!$C$2:$C$433,"Fibra"),0)</f>
        <v>0</v>
      </c>
      <c r="N108" s="9" t="n">
        <f aca="false">SUM(B108:M108)</f>
        <v>0</v>
      </c>
    </row>
    <row r="109" customFormat="false" ht="15" hidden="false" customHeight="false" outlineLevel="0" collapsed="false">
      <c r="A109" s="13" t="s">
        <v>76</v>
      </c>
      <c r="B109" s="15" t="n">
        <f aca="false">MAX(0,(SUMIFS(Desconto_Cliente_Mes!$L$2:$L$433,Desconto_Cliente_Mes!$A$2:$A$433,B$106,Desconto_Cliente_Mes!$B$2:$B$433,$A106,Desconto_Cliente_Mes!$C$2:$C$433,"Fibra"))-(SUMIFS(Desconto_Cliente_Mes!$N$2:$N$433,Desconto_Cliente_Mes!$A$2:$A$433,B$106,Desconto_Cliente_Mes!$B$2:$B$433,$A106,Desconto_Cliente_Mes!$C$2:$C$433,"Fibra")))</f>
        <v>0</v>
      </c>
      <c r="C109" s="15" t="n">
        <f aca="false">MAX(0,(SUMIFS(Desconto_Cliente_Mes!$L$2:$L$433,Desconto_Cliente_Mes!$A$2:$A$433,C$106,Desconto_Cliente_Mes!$B$2:$B$433,$A106,Desconto_Cliente_Mes!$C$2:$C$433,"Fibra"))-(SUMIFS(Desconto_Cliente_Mes!$N$2:$N$433,Desconto_Cliente_Mes!$A$2:$A$433,C$106,Desconto_Cliente_Mes!$B$2:$B$433,$A106,Desconto_Cliente_Mes!$C$2:$C$433,"Fibra")))</f>
        <v>0</v>
      </c>
      <c r="D109" s="15" t="n">
        <f aca="false">MAX(0,(SUMIFS(Desconto_Cliente_Mes!$L$2:$L$433,Desconto_Cliente_Mes!$A$2:$A$433,D$106,Desconto_Cliente_Mes!$B$2:$B$433,$A106,Desconto_Cliente_Mes!$C$2:$C$433,"Fibra"))-(SUMIFS(Desconto_Cliente_Mes!$N$2:$N$433,Desconto_Cliente_Mes!$A$2:$A$433,D$106,Desconto_Cliente_Mes!$B$2:$B$433,$A106,Desconto_Cliente_Mes!$C$2:$C$433,"Fibra")))</f>
        <v>0</v>
      </c>
      <c r="E109" s="15" t="n">
        <f aca="false">MAX(0,(SUMIFS(Desconto_Cliente_Mes!$L$2:$L$433,Desconto_Cliente_Mes!$A$2:$A$433,E$106,Desconto_Cliente_Mes!$B$2:$B$433,$A106,Desconto_Cliente_Mes!$C$2:$C$433,"Fibra"))-(SUMIFS(Desconto_Cliente_Mes!$N$2:$N$433,Desconto_Cliente_Mes!$A$2:$A$433,E$106,Desconto_Cliente_Mes!$B$2:$B$433,$A106,Desconto_Cliente_Mes!$C$2:$C$433,"Fibra")))</f>
        <v>0</v>
      </c>
      <c r="F109" s="15" t="n">
        <f aca="false">MAX(0,(SUMIFS(Desconto_Cliente_Mes!$L$2:$L$433,Desconto_Cliente_Mes!$A$2:$A$433,F$106,Desconto_Cliente_Mes!$B$2:$B$433,$A106,Desconto_Cliente_Mes!$C$2:$C$433,"Fibra"))-(SUMIFS(Desconto_Cliente_Mes!$N$2:$N$433,Desconto_Cliente_Mes!$A$2:$A$433,F$106,Desconto_Cliente_Mes!$B$2:$B$433,$A106,Desconto_Cliente_Mes!$C$2:$C$433,"Fibra")))</f>
        <v>0</v>
      </c>
      <c r="G109" s="15" t="n">
        <f aca="false">MAX(0,(SUMIFS(Desconto_Cliente_Mes!$L$2:$L$433,Desconto_Cliente_Mes!$A$2:$A$433,G$106,Desconto_Cliente_Mes!$B$2:$B$433,$A106,Desconto_Cliente_Mes!$C$2:$C$433,"Fibra"))-(SUMIFS(Desconto_Cliente_Mes!$N$2:$N$433,Desconto_Cliente_Mes!$A$2:$A$433,G$106,Desconto_Cliente_Mes!$B$2:$B$433,$A106,Desconto_Cliente_Mes!$C$2:$C$433,"Fibra")))</f>
        <v>0</v>
      </c>
      <c r="H109" s="15" t="n">
        <f aca="false">MAX(0,(SUMIFS(Desconto_Cliente_Mes!$L$2:$L$433,Desconto_Cliente_Mes!$A$2:$A$433,H$106,Desconto_Cliente_Mes!$B$2:$B$433,$A106,Desconto_Cliente_Mes!$C$2:$C$433,"Fibra"))-(SUMIFS(Desconto_Cliente_Mes!$N$2:$N$433,Desconto_Cliente_Mes!$A$2:$A$433,H$106,Desconto_Cliente_Mes!$B$2:$B$433,$A106,Desconto_Cliente_Mes!$C$2:$C$433,"Fibra")))</f>
        <v>0</v>
      </c>
      <c r="I109" s="15" t="n">
        <f aca="false">MAX(0,(SUMIFS(Desconto_Cliente_Mes!$L$2:$L$433,Desconto_Cliente_Mes!$A$2:$A$433,I$106,Desconto_Cliente_Mes!$B$2:$B$433,$A106,Desconto_Cliente_Mes!$C$2:$C$433,"Fibra"))-(SUMIFS(Desconto_Cliente_Mes!$N$2:$N$433,Desconto_Cliente_Mes!$A$2:$A$433,I$106,Desconto_Cliente_Mes!$B$2:$B$433,$A106,Desconto_Cliente_Mes!$C$2:$C$433,"Fibra")))</f>
        <v>0</v>
      </c>
      <c r="J109" s="15" t="n">
        <f aca="false">MAX(0,(SUMIFS(Desconto_Cliente_Mes!$L$2:$L$433,Desconto_Cliente_Mes!$A$2:$A$433,J$106,Desconto_Cliente_Mes!$B$2:$B$433,$A106,Desconto_Cliente_Mes!$C$2:$C$433,"Fibra"))-(SUMIFS(Desconto_Cliente_Mes!$N$2:$N$433,Desconto_Cliente_Mes!$A$2:$A$433,J$106,Desconto_Cliente_Mes!$B$2:$B$433,$A106,Desconto_Cliente_Mes!$C$2:$C$433,"Fibra")))</f>
        <v>0</v>
      </c>
      <c r="K109" s="15" t="n">
        <f aca="false">MAX(0,(SUMIFS(Desconto_Cliente_Mes!$L$2:$L$433,Desconto_Cliente_Mes!$A$2:$A$433,K$106,Desconto_Cliente_Mes!$B$2:$B$433,$A106,Desconto_Cliente_Mes!$C$2:$C$433,"Fibra"))-(SUMIFS(Desconto_Cliente_Mes!$N$2:$N$433,Desconto_Cliente_Mes!$A$2:$A$433,K$106,Desconto_Cliente_Mes!$B$2:$B$433,$A106,Desconto_Cliente_Mes!$C$2:$C$433,"Fibra")))</f>
        <v>0</v>
      </c>
      <c r="L109" s="15" t="n">
        <f aca="false">MAX(0,(SUMIFS(Desconto_Cliente_Mes!$L$2:$L$433,Desconto_Cliente_Mes!$A$2:$A$433,L$106,Desconto_Cliente_Mes!$B$2:$B$433,$A106,Desconto_Cliente_Mes!$C$2:$C$433,"Fibra"))-(SUMIFS(Desconto_Cliente_Mes!$N$2:$N$433,Desconto_Cliente_Mes!$A$2:$A$433,L$106,Desconto_Cliente_Mes!$B$2:$B$433,$A106,Desconto_Cliente_Mes!$C$2:$C$433,"Fibra")))</f>
        <v>0</v>
      </c>
      <c r="M109" s="15" t="n">
        <f aca="false">MAX(0,(SUMIFS(Desconto_Cliente_Mes!$L$2:$L$433,Desconto_Cliente_Mes!$A$2:$A$433,M$106,Desconto_Cliente_Mes!$B$2:$B$433,$A106,Desconto_Cliente_Mes!$C$2:$C$433,"Fibra"))-(SUMIFS(Desconto_Cliente_Mes!$N$2:$N$433,Desconto_Cliente_Mes!$A$2:$A$433,M$106,Desconto_Cliente_Mes!$B$2:$B$433,$A106,Desconto_Cliente_Mes!$C$2:$C$433,"Fibra")))</f>
        <v>0</v>
      </c>
    </row>
    <row r="110" customFormat="false" ht="15" hidden="false" customHeight="false" outlineLevel="0" collapsed="false">
      <c r="A110" s="13" t="s">
        <v>77</v>
      </c>
      <c r="B110" s="15" t="n">
        <f aca="false">MAX(0,(SUMIFS(Desconto_Cliente_Mes!$N$2:$N$433,Desconto_Cliente_Mes!$A$2:$A$433,B$106,Desconto_Cliente_Mes!$B$2:$B$433,$A106,Desconto_Cliente_Mes!$C$2:$C$433,"Fibra"))-(SUMIFS(Desconto_Cliente_Mes!$P$2:$P$433,Desconto_Cliente_Mes!$A$2:$A$433,B$106,Desconto_Cliente_Mes!$B$2:$B$433,$A106,Desconto_Cliente_Mes!$C$2:$C$433,"Fibra")))</f>
        <v>0</v>
      </c>
      <c r="C110" s="15" t="n">
        <f aca="false">MAX(0,(SUMIFS(Desconto_Cliente_Mes!$N$2:$N$433,Desconto_Cliente_Mes!$A$2:$A$433,C$106,Desconto_Cliente_Mes!$B$2:$B$433,$A106,Desconto_Cliente_Mes!$C$2:$C$433,"Fibra"))-(SUMIFS(Desconto_Cliente_Mes!$P$2:$P$433,Desconto_Cliente_Mes!$A$2:$A$433,C$106,Desconto_Cliente_Mes!$B$2:$B$433,$A106,Desconto_Cliente_Mes!$C$2:$C$433,"Fibra")))</f>
        <v>0</v>
      </c>
      <c r="D110" s="15" t="n">
        <f aca="false">MAX(0,(SUMIFS(Desconto_Cliente_Mes!$N$2:$N$433,Desconto_Cliente_Mes!$A$2:$A$433,D$106,Desconto_Cliente_Mes!$B$2:$B$433,$A106,Desconto_Cliente_Mes!$C$2:$C$433,"Fibra"))-(SUMIFS(Desconto_Cliente_Mes!$P$2:$P$433,Desconto_Cliente_Mes!$A$2:$A$433,D$106,Desconto_Cliente_Mes!$B$2:$B$433,$A106,Desconto_Cliente_Mes!$C$2:$C$433,"Fibra")))</f>
        <v>0</v>
      </c>
      <c r="E110" s="15" t="n">
        <f aca="false">MAX(0,(SUMIFS(Desconto_Cliente_Mes!$N$2:$N$433,Desconto_Cliente_Mes!$A$2:$A$433,E$106,Desconto_Cliente_Mes!$B$2:$B$433,$A106,Desconto_Cliente_Mes!$C$2:$C$433,"Fibra"))-(SUMIFS(Desconto_Cliente_Mes!$P$2:$P$433,Desconto_Cliente_Mes!$A$2:$A$433,E$106,Desconto_Cliente_Mes!$B$2:$B$433,$A106,Desconto_Cliente_Mes!$C$2:$C$433,"Fibra")))</f>
        <v>0</v>
      </c>
      <c r="F110" s="15" t="n">
        <f aca="false">MAX(0,(SUMIFS(Desconto_Cliente_Mes!$N$2:$N$433,Desconto_Cliente_Mes!$A$2:$A$433,F$106,Desconto_Cliente_Mes!$B$2:$B$433,$A106,Desconto_Cliente_Mes!$C$2:$C$433,"Fibra"))-(SUMIFS(Desconto_Cliente_Mes!$P$2:$P$433,Desconto_Cliente_Mes!$A$2:$A$433,F$106,Desconto_Cliente_Mes!$B$2:$B$433,$A106,Desconto_Cliente_Mes!$C$2:$C$433,"Fibra")))</f>
        <v>0</v>
      </c>
      <c r="G110" s="15" t="n">
        <f aca="false">MAX(0,(SUMIFS(Desconto_Cliente_Mes!$N$2:$N$433,Desconto_Cliente_Mes!$A$2:$A$433,G$106,Desconto_Cliente_Mes!$B$2:$B$433,$A106,Desconto_Cliente_Mes!$C$2:$C$433,"Fibra"))-(SUMIFS(Desconto_Cliente_Mes!$P$2:$P$433,Desconto_Cliente_Mes!$A$2:$A$433,G$106,Desconto_Cliente_Mes!$B$2:$B$433,$A106,Desconto_Cliente_Mes!$C$2:$C$433,"Fibra")))</f>
        <v>0</v>
      </c>
      <c r="H110" s="15" t="n">
        <f aca="false">MAX(0,(SUMIFS(Desconto_Cliente_Mes!$N$2:$N$433,Desconto_Cliente_Mes!$A$2:$A$433,H$106,Desconto_Cliente_Mes!$B$2:$B$433,$A106,Desconto_Cliente_Mes!$C$2:$C$433,"Fibra"))-(SUMIFS(Desconto_Cliente_Mes!$P$2:$P$433,Desconto_Cliente_Mes!$A$2:$A$433,H$106,Desconto_Cliente_Mes!$B$2:$B$433,$A106,Desconto_Cliente_Mes!$C$2:$C$433,"Fibra")))</f>
        <v>0</v>
      </c>
      <c r="I110" s="15" t="n">
        <f aca="false">MAX(0,(SUMIFS(Desconto_Cliente_Mes!$N$2:$N$433,Desconto_Cliente_Mes!$A$2:$A$433,I$106,Desconto_Cliente_Mes!$B$2:$B$433,$A106,Desconto_Cliente_Mes!$C$2:$C$433,"Fibra"))-(SUMIFS(Desconto_Cliente_Mes!$P$2:$P$433,Desconto_Cliente_Mes!$A$2:$A$433,I$106,Desconto_Cliente_Mes!$B$2:$B$433,$A106,Desconto_Cliente_Mes!$C$2:$C$433,"Fibra")))</f>
        <v>0</v>
      </c>
      <c r="J110" s="15" t="n">
        <f aca="false">MAX(0,(SUMIFS(Desconto_Cliente_Mes!$N$2:$N$433,Desconto_Cliente_Mes!$A$2:$A$433,J$106,Desconto_Cliente_Mes!$B$2:$B$433,$A106,Desconto_Cliente_Mes!$C$2:$C$433,"Fibra"))-(SUMIFS(Desconto_Cliente_Mes!$P$2:$P$433,Desconto_Cliente_Mes!$A$2:$A$433,J$106,Desconto_Cliente_Mes!$B$2:$B$433,$A106,Desconto_Cliente_Mes!$C$2:$C$433,"Fibra")))</f>
        <v>0</v>
      </c>
      <c r="K110" s="15" t="n">
        <f aca="false">MAX(0,(SUMIFS(Desconto_Cliente_Mes!$N$2:$N$433,Desconto_Cliente_Mes!$A$2:$A$433,K$106,Desconto_Cliente_Mes!$B$2:$B$433,$A106,Desconto_Cliente_Mes!$C$2:$C$433,"Fibra"))-(SUMIFS(Desconto_Cliente_Mes!$P$2:$P$433,Desconto_Cliente_Mes!$A$2:$A$433,K$106,Desconto_Cliente_Mes!$B$2:$B$433,$A106,Desconto_Cliente_Mes!$C$2:$C$433,"Fibra")))</f>
        <v>0</v>
      </c>
      <c r="L110" s="15" t="n">
        <f aca="false">MAX(0,(SUMIFS(Desconto_Cliente_Mes!$N$2:$N$433,Desconto_Cliente_Mes!$A$2:$A$433,L$106,Desconto_Cliente_Mes!$B$2:$B$433,$A106,Desconto_Cliente_Mes!$C$2:$C$433,"Fibra"))-(SUMIFS(Desconto_Cliente_Mes!$P$2:$P$433,Desconto_Cliente_Mes!$A$2:$A$433,L$106,Desconto_Cliente_Mes!$B$2:$B$433,$A106,Desconto_Cliente_Mes!$C$2:$C$433,"Fibra")))</f>
        <v>0</v>
      </c>
      <c r="M110" s="15" t="n">
        <f aca="false">MAX(0,(SUMIFS(Desconto_Cliente_Mes!$N$2:$N$433,Desconto_Cliente_Mes!$A$2:$A$433,M$106,Desconto_Cliente_Mes!$B$2:$B$433,$A106,Desconto_Cliente_Mes!$C$2:$C$433,"Fibra"))-(SUMIFS(Desconto_Cliente_Mes!$P$2:$P$433,Desconto_Cliente_Mes!$A$2:$A$433,M$106,Desconto_Cliente_Mes!$B$2:$B$433,$A106,Desconto_Cliente_Mes!$C$2:$C$433,"Fibra")))</f>
        <v>0</v>
      </c>
    </row>
    <row r="111" customFormat="false" ht="15" hidden="false" customHeight="false" outlineLevel="0" collapsed="false">
      <c r="A111" s="13" t="s">
        <v>78</v>
      </c>
      <c r="B111" s="15" t="n">
        <f aca="false">MAX(0,SUMIFS(Desconto_Cliente_Mes!$P$2:$P$433,Desconto_Cliente_Mes!$A$2:$A$433,B$106,Desconto_Cliente_Mes!$B$2:$B$433,$A106,Desconto_Cliente_Mes!$C$2:$C$433,"Fibra"))</f>
        <v>0</v>
      </c>
      <c r="C111" s="15" t="n">
        <f aca="false">MAX(0,SUMIFS(Desconto_Cliente_Mes!$P$2:$P$433,Desconto_Cliente_Mes!$A$2:$A$433,C$106,Desconto_Cliente_Mes!$B$2:$B$433,$A106,Desconto_Cliente_Mes!$C$2:$C$433,"Fibra"))</f>
        <v>0</v>
      </c>
      <c r="D111" s="15" t="n">
        <f aca="false">MAX(0,SUMIFS(Desconto_Cliente_Mes!$P$2:$P$433,Desconto_Cliente_Mes!$A$2:$A$433,D$106,Desconto_Cliente_Mes!$B$2:$B$433,$A106,Desconto_Cliente_Mes!$C$2:$C$433,"Fibra"))</f>
        <v>0</v>
      </c>
      <c r="E111" s="15" t="n">
        <f aca="false">MAX(0,SUMIFS(Desconto_Cliente_Mes!$P$2:$P$433,Desconto_Cliente_Mes!$A$2:$A$433,E$106,Desconto_Cliente_Mes!$B$2:$B$433,$A106,Desconto_Cliente_Mes!$C$2:$C$433,"Fibra"))</f>
        <v>0</v>
      </c>
      <c r="F111" s="15" t="n">
        <f aca="false">MAX(0,SUMIFS(Desconto_Cliente_Mes!$P$2:$P$433,Desconto_Cliente_Mes!$A$2:$A$433,F$106,Desconto_Cliente_Mes!$B$2:$B$433,$A106,Desconto_Cliente_Mes!$C$2:$C$433,"Fibra"))</f>
        <v>0</v>
      </c>
      <c r="G111" s="15" t="n">
        <f aca="false">MAX(0,SUMIFS(Desconto_Cliente_Mes!$P$2:$P$433,Desconto_Cliente_Mes!$A$2:$A$433,G$106,Desconto_Cliente_Mes!$B$2:$B$433,$A106,Desconto_Cliente_Mes!$C$2:$C$433,"Fibra"))</f>
        <v>0</v>
      </c>
      <c r="H111" s="15" t="n">
        <f aca="false">MAX(0,SUMIFS(Desconto_Cliente_Mes!$P$2:$P$433,Desconto_Cliente_Mes!$A$2:$A$433,H$106,Desconto_Cliente_Mes!$B$2:$B$433,$A106,Desconto_Cliente_Mes!$C$2:$C$433,"Fibra"))</f>
        <v>0</v>
      </c>
      <c r="I111" s="15" t="n">
        <f aca="false">MAX(0,SUMIFS(Desconto_Cliente_Mes!$P$2:$P$433,Desconto_Cliente_Mes!$A$2:$A$433,I$106,Desconto_Cliente_Mes!$B$2:$B$433,$A106,Desconto_Cliente_Mes!$C$2:$C$433,"Fibra"))</f>
        <v>0</v>
      </c>
      <c r="J111" s="15" t="n">
        <f aca="false">MAX(0,SUMIFS(Desconto_Cliente_Mes!$P$2:$P$433,Desconto_Cliente_Mes!$A$2:$A$433,J$106,Desconto_Cliente_Mes!$B$2:$B$433,$A106,Desconto_Cliente_Mes!$C$2:$C$433,"Fibra"))</f>
        <v>0</v>
      </c>
      <c r="K111" s="15" t="n">
        <f aca="false">MAX(0,SUMIFS(Desconto_Cliente_Mes!$P$2:$P$433,Desconto_Cliente_Mes!$A$2:$A$433,K$106,Desconto_Cliente_Mes!$B$2:$B$433,$A106,Desconto_Cliente_Mes!$C$2:$C$433,"Fibra"))</f>
        <v>0</v>
      </c>
      <c r="L111" s="15" t="n">
        <f aca="false">MAX(0,SUMIFS(Desconto_Cliente_Mes!$P$2:$P$433,Desconto_Cliente_Mes!$A$2:$A$433,L$106,Desconto_Cliente_Mes!$B$2:$B$433,$A106,Desconto_Cliente_Mes!$C$2:$C$433,"Fibra"))</f>
        <v>0</v>
      </c>
      <c r="M111" s="15" t="n">
        <f aca="false">MAX(0,SUMIFS(Desconto_Cliente_Mes!$P$2:$P$433,Desconto_Cliente_Mes!$A$2:$A$433,M$106,Desconto_Cliente_Mes!$B$2:$B$433,$A106,Desconto_Cliente_Mes!$C$2:$C$433,"Fibra"))</f>
        <v>0</v>
      </c>
    </row>
    <row r="112" customFormat="false" ht="15" hidden="false" customHeight="false" outlineLevel="0" collapsed="false">
      <c r="A112" s="13" t="s">
        <v>79</v>
      </c>
      <c r="B112" s="16" t="n">
        <f aca="false">$B$108*($B$109/100)*(SUMIFS(Desconto_Cliente_Mes!$Q$2:$Q$433,Desconto_Cliente_Mes!$A$2:$A$433,B$106,Desconto_Cliente_Mes!$B$2:$B$433,$A106,Desconto_Cliente_Mes!$C$2:$C$433,"Fibra"))*(SUMIFS(Desconto_Cliente_Mes!$T$2:$T$433,Desconto_Cliente_Mes!$A$2:$A$433,B$106,Desconto_Cliente_Mes!$B$2:$B$433,$A106,Desconto_Cliente_Mes!$C$2:$C$433,"Fibra"))</f>
        <v>0</v>
      </c>
      <c r="C112" s="16" t="n">
        <f aca="false">$C$108*($C$109/100)*(SUMIFS(Desconto_Cliente_Mes!$Q$2:$Q$433,Desconto_Cliente_Mes!$A$2:$A$433,C$106,Desconto_Cliente_Mes!$B$2:$B$433,$A106,Desconto_Cliente_Mes!$C$2:$C$433,"Fibra"))*(SUMIFS(Desconto_Cliente_Mes!$T$2:$T$433,Desconto_Cliente_Mes!$A$2:$A$433,C$106,Desconto_Cliente_Mes!$B$2:$B$433,$A106,Desconto_Cliente_Mes!$C$2:$C$433,"Fibra"))</f>
        <v>0</v>
      </c>
      <c r="D112" s="16" t="n">
        <f aca="false">$D$108*($D$109/100)*(SUMIFS(Desconto_Cliente_Mes!$Q$2:$Q$433,Desconto_Cliente_Mes!$A$2:$A$433,D$106,Desconto_Cliente_Mes!$B$2:$B$433,$A106,Desconto_Cliente_Mes!$C$2:$C$433,"Fibra"))*(SUMIFS(Desconto_Cliente_Mes!$T$2:$T$433,Desconto_Cliente_Mes!$A$2:$A$433,D$106,Desconto_Cliente_Mes!$B$2:$B$433,$A106,Desconto_Cliente_Mes!$C$2:$C$433,"Fibra"))</f>
        <v>0</v>
      </c>
      <c r="E112" s="16" t="n">
        <f aca="false">$E$108*($E$109/100)*(SUMIFS(Desconto_Cliente_Mes!$Q$2:$Q$433,Desconto_Cliente_Mes!$A$2:$A$433,E$106,Desconto_Cliente_Mes!$B$2:$B$433,$A106,Desconto_Cliente_Mes!$C$2:$C$433,"Fibra"))*(SUMIFS(Desconto_Cliente_Mes!$T$2:$T$433,Desconto_Cliente_Mes!$A$2:$A$433,E$106,Desconto_Cliente_Mes!$B$2:$B$433,$A106,Desconto_Cliente_Mes!$C$2:$C$433,"Fibra"))</f>
        <v>0</v>
      </c>
      <c r="F112" s="16" t="n">
        <f aca="false">$F$108*($F$109/100)*(SUMIFS(Desconto_Cliente_Mes!$Q$2:$Q$433,Desconto_Cliente_Mes!$A$2:$A$433,F$106,Desconto_Cliente_Mes!$B$2:$B$433,$A106,Desconto_Cliente_Mes!$C$2:$C$433,"Fibra"))*(SUMIFS(Desconto_Cliente_Mes!$T$2:$T$433,Desconto_Cliente_Mes!$A$2:$A$433,F$106,Desconto_Cliente_Mes!$B$2:$B$433,$A106,Desconto_Cliente_Mes!$C$2:$C$433,"Fibra"))</f>
        <v>0</v>
      </c>
      <c r="G112" s="16" t="n">
        <f aca="false">$G$108*($G$109/100)*(SUMIFS(Desconto_Cliente_Mes!$Q$2:$Q$433,Desconto_Cliente_Mes!$A$2:$A$433,G$106,Desconto_Cliente_Mes!$B$2:$B$433,$A106,Desconto_Cliente_Mes!$C$2:$C$433,"Fibra"))*(SUMIFS(Desconto_Cliente_Mes!$T$2:$T$433,Desconto_Cliente_Mes!$A$2:$A$433,G$106,Desconto_Cliente_Mes!$B$2:$B$433,$A106,Desconto_Cliente_Mes!$C$2:$C$433,"Fibra"))</f>
        <v>0</v>
      </c>
      <c r="H112" s="16" t="n">
        <f aca="false">$H$108*($H$109/100)*(SUMIFS(Desconto_Cliente_Mes!$Q$2:$Q$433,Desconto_Cliente_Mes!$A$2:$A$433,H$106,Desconto_Cliente_Mes!$B$2:$B$433,$A106,Desconto_Cliente_Mes!$C$2:$C$433,"Fibra"))*(SUMIFS(Desconto_Cliente_Mes!$T$2:$T$433,Desconto_Cliente_Mes!$A$2:$A$433,H$106,Desconto_Cliente_Mes!$B$2:$B$433,$A106,Desconto_Cliente_Mes!$C$2:$C$433,"Fibra"))</f>
        <v>0</v>
      </c>
      <c r="I112" s="16" t="n">
        <f aca="false">$I$108*($I$109/100)*(SUMIFS(Desconto_Cliente_Mes!$Q$2:$Q$433,Desconto_Cliente_Mes!$A$2:$A$433,I$106,Desconto_Cliente_Mes!$B$2:$B$433,$A106,Desconto_Cliente_Mes!$C$2:$C$433,"Fibra"))*(SUMIFS(Desconto_Cliente_Mes!$T$2:$T$433,Desconto_Cliente_Mes!$A$2:$A$433,I$106,Desconto_Cliente_Mes!$B$2:$B$433,$A106,Desconto_Cliente_Mes!$C$2:$C$433,"Fibra"))</f>
        <v>0</v>
      </c>
      <c r="J112" s="16" t="n">
        <f aca="false">$J$108*($J$109/100)*(SUMIFS(Desconto_Cliente_Mes!$Q$2:$Q$433,Desconto_Cliente_Mes!$A$2:$A$433,J$106,Desconto_Cliente_Mes!$B$2:$B$433,$A106,Desconto_Cliente_Mes!$C$2:$C$433,"Fibra"))*(SUMIFS(Desconto_Cliente_Mes!$T$2:$T$433,Desconto_Cliente_Mes!$A$2:$A$433,J$106,Desconto_Cliente_Mes!$B$2:$B$433,$A106,Desconto_Cliente_Mes!$C$2:$C$433,"Fibra"))</f>
        <v>0</v>
      </c>
      <c r="K112" s="16" t="n">
        <f aca="false">$K$108*($K$109/100)*(SUMIFS(Desconto_Cliente_Mes!$Q$2:$Q$433,Desconto_Cliente_Mes!$A$2:$A$433,K$106,Desconto_Cliente_Mes!$B$2:$B$433,$A106,Desconto_Cliente_Mes!$C$2:$C$433,"Fibra"))*(SUMIFS(Desconto_Cliente_Mes!$T$2:$T$433,Desconto_Cliente_Mes!$A$2:$A$433,K$106,Desconto_Cliente_Mes!$B$2:$B$433,$A106,Desconto_Cliente_Mes!$C$2:$C$433,"Fibra"))</f>
        <v>0</v>
      </c>
      <c r="L112" s="16" t="n">
        <f aca="false">$L$108*($L$109/100)*(SUMIFS(Desconto_Cliente_Mes!$Q$2:$Q$433,Desconto_Cliente_Mes!$A$2:$A$433,L$106,Desconto_Cliente_Mes!$B$2:$B$433,$A106,Desconto_Cliente_Mes!$C$2:$C$433,"Fibra"))*(SUMIFS(Desconto_Cliente_Mes!$T$2:$T$433,Desconto_Cliente_Mes!$A$2:$A$433,L$106,Desconto_Cliente_Mes!$B$2:$B$433,$A106,Desconto_Cliente_Mes!$C$2:$C$433,"Fibra"))</f>
        <v>0</v>
      </c>
      <c r="M112" s="16" t="n">
        <f aca="false">$M$108*($M$109/100)*(SUMIFS(Desconto_Cliente_Mes!$Q$2:$Q$433,Desconto_Cliente_Mes!$A$2:$A$433,M$106,Desconto_Cliente_Mes!$B$2:$B$433,$A106,Desconto_Cliente_Mes!$C$2:$C$433,"Fibra"))*(SUMIFS(Desconto_Cliente_Mes!$T$2:$T$433,Desconto_Cliente_Mes!$A$2:$A$433,M$106,Desconto_Cliente_Mes!$B$2:$B$433,$A106,Desconto_Cliente_Mes!$C$2:$C$433,"Fibra"))</f>
        <v>0</v>
      </c>
      <c r="N112" s="17" t="n">
        <f aca="false">SUM(B112:M112)</f>
        <v>0</v>
      </c>
    </row>
    <row r="113" customFormat="false" ht="15" hidden="false" customHeight="false" outlineLevel="0" collapsed="false">
      <c r="A113" s="13" t="s">
        <v>80</v>
      </c>
      <c r="B113" s="16" t="n">
        <f aca="false">$B$108*($B$110/100)*((IF(SUMIFS(Desconto_Cliente_Mes!$R$2:$R$433,Desconto_Cliente_Mes!$A$2:$A$433,B$106,Desconto_Cliente_Mes!$B$2:$B$433,$A106,Desconto_Cliente_Mes!$C$2:$C$433,"Fibra")="",SUMIFS(Desconto_Cliente_Mes!$Q$2:$Q$433,Desconto_Cliente_Mes!$A$2:$A$433,B$106,Desconto_Cliente_Mes!$B$2:$B$433,$A106,Desconto_Cliente_Mes!$C$2:$C$433,"Fibra"),SUMIFS(Desconto_Cliente_Mes!$R$2:$R$433,Desconto_Cliente_Mes!$A$2:$A$433,B$106,Desconto_Cliente_Mes!$B$2:$B$433,$A106,Desconto_Cliente_Mes!$C$2:$C$433,"Fibra")))-(SUMIFS(Desconto_Cliente_Mes!$Q$2:$Q$433,Desconto_Cliente_Mes!$A$2:$A$433,B$106,Desconto_Cliente_Mes!$B$2:$B$433,$A106,Desconto_Cliente_Mes!$C$2:$C$433,"Fibra")))*(SUMIFS(Desconto_Cliente_Mes!$T$2:$T$433,Desconto_Cliente_Mes!$A$2:$A$433,B$106,Desconto_Cliente_Mes!$B$2:$B$433,$A106,Desconto_Cliente_Mes!$C$2:$C$433,"Fibra"))</f>
        <v>0</v>
      </c>
      <c r="C113" s="16" t="n">
        <f aca="false">$C$108*($C$110/100)*((IF(SUMIFS(Desconto_Cliente_Mes!$R$2:$R$433,Desconto_Cliente_Mes!$A$2:$A$433,C$106,Desconto_Cliente_Mes!$B$2:$B$433,$A106,Desconto_Cliente_Mes!$C$2:$C$433,"Fibra")="",SUMIFS(Desconto_Cliente_Mes!$Q$2:$Q$433,Desconto_Cliente_Mes!$A$2:$A$433,C$106,Desconto_Cliente_Mes!$B$2:$B$433,$A106,Desconto_Cliente_Mes!$C$2:$C$433,"Fibra"),SUMIFS(Desconto_Cliente_Mes!$R$2:$R$433,Desconto_Cliente_Mes!$A$2:$A$433,C$106,Desconto_Cliente_Mes!$B$2:$B$433,$A106,Desconto_Cliente_Mes!$C$2:$C$433,"Fibra")))-(SUMIFS(Desconto_Cliente_Mes!$Q$2:$Q$433,Desconto_Cliente_Mes!$A$2:$A$433,C$106,Desconto_Cliente_Mes!$B$2:$B$433,$A106,Desconto_Cliente_Mes!$C$2:$C$433,"Fibra")))*(SUMIFS(Desconto_Cliente_Mes!$T$2:$T$433,Desconto_Cliente_Mes!$A$2:$A$433,C$106,Desconto_Cliente_Mes!$B$2:$B$433,$A106,Desconto_Cliente_Mes!$C$2:$C$433,"Fibra"))</f>
        <v>0</v>
      </c>
      <c r="D113" s="16" t="n">
        <f aca="false">$D$108*($D$110/100)*((IF(SUMIFS(Desconto_Cliente_Mes!$R$2:$R$433,Desconto_Cliente_Mes!$A$2:$A$433,D$106,Desconto_Cliente_Mes!$B$2:$B$433,$A106,Desconto_Cliente_Mes!$C$2:$C$433,"Fibra")="",SUMIFS(Desconto_Cliente_Mes!$Q$2:$Q$433,Desconto_Cliente_Mes!$A$2:$A$433,D$106,Desconto_Cliente_Mes!$B$2:$B$433,$A106,Desconto_Cliente_Mes!$C$2:$C$433,"Fibra"),SUMIFS(Desconto_Cliente_Mes!$R$2:$R$433,Desconto_Cliente_Mes!$A$2:$A$433,D$106,Desconto_Cliente_Mes!$B$2:$B$433,$A106,Desconto_Cliente_Mes!$C$2:$C$433,"Fibra")))-(SUMIFS(Desconto_Cliente_Mes!$Q$2:$Q$433,Desconto_Cliente_Mes!$A$2:$A$433,D$106,Desconto_Cliente_Mes!$B$2:$B$433,$A106,Desconto_Cliente_Mes!$C$2:$C$433,"Fibra")))*(SUMIFS(Desconto_Cliente_Mes!$T$2:$T$433,Desconto_Cliente_Mes!$A$2:$A$433,D$106,Desconto_Cliente_Mes!$B$2:$B$433,$A106,Desconto_Cliente_Mes!$C$2:$C$433,"Fibra"))</f>
        <v>0</v>
      </c>
      <c r="E113" s="16" t="n">
        <f aca="false">$E$108*($E$110/100)*((IF(SUMIFS(Desconto_Cliente_Mes!$R$2:$R$433,Desconto_Cliente_Mes!$A$2:$A$433,E$106,Desconto_Cliente_Mes!$B$2:$B$433,$A106,Desconto_Cliente_Mes!$C$2:$C$433,"Fibra")="",SUMIFS(Desconto_Cliente_Mes!$Q$2:$Q$433,Desconto_Cliente_Mes!$A$2:$A$433,E$106,Desconto_Cliente_Mes!$B$2:$B$433,$A106,Desconto_Cliente_Mes!$C$2:$C$433,"Fibra"),SUMIFS(Desconto_Cliente_Mes!$R$2:$R$433,Desconto_Cliente_Mes!$A$2:$A$433,E$106,Desconto_Cliente_Mes!$B$2:$B$433,$A106,Desconto_Cliente_Mes!$C$2:$C$433,"Fibra")))-(SUMIFS(Desconto_Cliente_Mes!$Q$2:$Q$433,Desconto_Cliente_Mes!$A$2:$A$433,E$106,Desconto_Cliente_Mes!$B$2:$B$433,$A106,Desconto_Cliente_Mes!$C$2:$C$433,"Fibra")))*(SUMIFS(Desconto_Cliente_Mes!$T$2:$T$433,Desconto_Cliente_Mes!$A$2:$A$433,E$106,Desconto_Cliente_Mes!$B$2:$B$433,$A106,Desconto_Cliente_Mes!$C$2:$C$433,"Fibra"))</f>
        <v>0</v>
      </c>
      <c r="F113" s="16" t="n">
        <f aca="false">$F$108*($F$110/100)*((IF(SUMIFS(Desconto_Cliente_Mes!$R$2:$R$433,Desconto_Cliente_Mes!$A$2:$A$433,F$106,Desconto_Cliente_Mes!$B$2:$B$433,$A106,Desconto_Cliente_Mes!$C$2:$C$433,"Fibra")="",SUMIFS(Desconto_Cliente_Mes!$Q$2:$Q$433,Desconto_Cliente_Mes!$A$2:$A$433,F$106,Desconto_Cliente_Mes!$B$2:$B$433,$A106,Desconto_Cliente_Mes!$C$2:$C$433,"Fibra"),SUMIFS(Desconto_Cliente_Mes!$R$2:$R$433,Desconto_Cliente_Mes!$A$2:$A$433,F$106,Desconto_Cliente_Mes!$B$2:$B$433,$A106,Desconto_Cliente_Mes!$C$2:$C$433,"Fibra")))-(SUMIFS(Desconto_Cliente_Mes!$Q$2:$Q$433,Desconto_Cliente_Mes!$A$2:$A$433,F$106,Desconto_Cliente_Mes!$B$2:$B$433,$A106,Desconto_Cliente_Mes!$C$2:$C$433,"Fibra")))*(SUMIFS(Desconto_Cliente_Mes!$T$2:$T$433,Desconto_Cliente_Mes!$A$2:$A$433,F$106,Desconto_Cliente_Mes!$B$2:$B$433,$A106,Desconto_Cliente_Mes!$C$2:$C$433,"Fibra"))</f>
        <v>0</v>
      </c>
      <c r="G113" s="16" t="n">
        <f aca="false">$G$108*($G$110/100)*((IF(SUMIFS(Desconto_Cliente_Mes!$R$2:$R$433,Desconto_Cliente_Mes!$A$2:$A$433,G$106,Desconto_Cliente_Mes!$B$2:$B$433,$A106,Desconto_Cliente_Mes!$C$2:$C$433,"Fibra")="",SUMIFS(Desconto_Cliente_Mes!$Q$2:$Q$433,Desconto_Cliente_Mes!$A$2:$A$433,G$106,Desconto_Cliente_Mes!$B$2:$B$433,$A106,Desconto_Cliente_Mes!$C$2:$C$433,"Fibra"),SUMIFS(Desconto_Cliente_Mes!$R$2:$R$433,Desconto_Cliente_Mes!$A$2:$A$433,G$106,Desconto_Cliente_Mes!$B$2:$B$433,$A106,Desconto_Cliente_Mes!$C$2:$C$433,"Fibra")))-(SUMIFS(Desconto_Cliente_Mes!$Q$2:$Q$433,Desconto_Cliente_Mes!$A$2:$A$433,G$106,Desconto_Cliente_Mes!$B$2:$B$433,$A106,Desconto_Cliente_Mes!$C$2:$C$433,"Fibra")))*(SUMIFS(Desconto_Cliente_Mes!$T$2:$T$433,Desconto_Cliente_Mes!$A$2:$A$433,G$106,Desconto_Cliente_Mes!$B$2:$B$433,$A106,Desconto_Cliente_Mes!$C$2:$C$433,"Fibra"))</f>
        <v>0</v>
      </c>
      <c r="H113" s="16" t="n">
        <f aca="false">$H$108*($H$110/100)*((IF(SUMIFS(Desconto_Cliente_Mes!$R$2:$R$433,Desconto_Cliente_Mes!$A$2:$A$433,H$106,Desconto_Cliente_Mes!$B$2:$B$433,$A106,Desconto_Cliente_Mes!$C$2:$C$433,"Fibra")="",SUMIFS(Desconto_Cliente_Mes!$Q$2:$Q$433,Desconto_Cliente_Mes!$A$2:$A$433,H$106,Desconto_Cliente_Mes!$B$2:$B$433,$A106,Desconto_Cliente_Mes!$C$2:$C$433,"Fibra"),SUMIFS(Desconto_Cliente_Mes!$R$2:$R$433,Desconto_Cliente_Mes!$A$2:$A$433,H$106,Desconto_Cliente_Mes!$B$2:$B$433,$A106,Desconto_Cliente_Mes!$C$2:$C$433,"Fibra")))-(SUMIFS(Desconto_Cliente_Mes!$Q$2:$Q$433,Desconto_Cliente_Mes!$A$2:$A$433,H$106,Desconto_Cliente_Mes!$B$2:$B$433,$A106,Desconto_Cliente_Mes!$C$2:$C$433,"Fibra")))*(SUMIFS(Desconto_Cliente_Mes!$T$2:$T$433,Desconto_Cliente_Mes!$A$2:$A$433,H$106,Desconto_Cliente_Mes!$B$2:$B$433,$A106,Desconto_Cliente_Mes!$C$2:$C$433,"Fibra"))</f>
        <v>0</v>
      </c>
      <c r="I113" s="16" t="n">
        <f aca="false">$I$108*($I$110/100)*((IF(SUMIFS(Desconto_Cliente_Mes!$R$2:$R$433,Desconto_Cliente_Mes!$A$2:$A$433,I$106,Desconto_Cliente_Mes!$B$2:$B$433,$A106,Desconto_Cliente_Mes!$C$2:$C$433,"Fibra")="",SUMIFS(Desconto_Cliente_Mes!$Q$2:$Q$433,Desconto_Cliente_Mes!$A$2:$A$433,I$106,Desconto_Cliente_Mes!$B$2:$B$433,$A106,Desconto_Cliente_Mes!$C$2:$C$433,"Fibra"),SUMIFS(Desconto_Cliente_Mes!$R$2:$R$433,Desconto_Cliente_Mes!$A$2:$A$433,I$106,Desconto_Cliente_Mes!$B$2:$B$433,$A106,Desconto_Cliente_Mes!$C$2:$C$433,"Fibra")))-(SUMIFS(Desconto_Cliente_Mes!$Q$2:$Q$433,Desconto_Cliente_Mes!$A$2:$A$433,I$106,Desconto_Cliente_Mes!$B$2:$B$433,$A106,Desconto_Cliente_Mes!$C$2:$C$433,"Fibra")))*(SUMIFS(Desconto_Cliente_Mes!$T$2:$T$433,Desconto_Cliente_Mes!$A$2:$A$433,I$106,Desconto_Cliente_Mes!$B$2:$B$433,$A106,Desconto_Cliente_Mes!$C$2:$C$433,"Fibra"))</f>
        <v>0</v>
      </c>
      <c r="J113" s="16" t="n">
        <f aca="false">$J$108*($J$110/100)*((IF(SUMIFS(Desconto_Cliente_Mes!$R$2:$R$433,Desconto_Cliente_Mes!$A$2:$A$433,J$106,Desconto_Cliente_Mes!$B$2:$B$433,$A106,Desconto_Cliente_Mes!$C$2:$C$433,"Fibra")="",SUMIFS(Desconto_Cliente_Mes!$Q$2:$Q$433,Desconto_Cliente_Mes!$A$2:$A$433,J$106,Desconto_Cliente_Mes!$B$2:$B$433,$A106,Desconto_Cliente_Mes!$C$2:$C$433,"Fibra"),SUMIFS(Desconto_Cliente_Mes!$R$2:$R$433,Desconto_Cliente_Mes!$A$2:$A$433,J$106,Desconto_Cliente_Mes!$B$2:$B$433,$A106,Desconto_Cliente_Mes!$C$2:$C$433,"Fibra")))-(SUMIFS(Desconto_Cliente_Mes!$Q$2:$Q$433,Desconto_Cliente_Mes!$A$2:$A$433,J$106,Desconto_Cliente_Mes!$B$2:$B$433,$A106,Desconto_Cliente_Mes!$C$2:$C$433,"Fibra")))*(SUMIFS(Desconto_Cliente_Mes!$T$2:$T$433,Desconto_Cliente_Mes!$A$2:$A$433,J$106,Desconto_Cliente_Mes!$B$2:$B$433,$A106,Desconto_Cliente_Mes!$C$2:$C$433,"Fibra"))</f>
        <v>0</v>
      </c>
      <c r="K113" s="16" t="n">
        <f aca="false">$K$108*($K$110/100)*((IF(SUMIFS(Desconto_Cliente_Mes!$R$2:$R$433,Desconto_Cliente_Mes!$A$2:$A$433,K$106,Desconto_Cliente_Mes!$B$2:$B$433,$A106,Desconto_Cliente_Mes!$C$2:$C$433,"Fibra")="",SUMIFS(Desconto_Cliente_Mes!$Q$2:$Q$433,Desconto_Cliente_Mes!$A$2:$A$433,K$106,Desconto_Cliente_Mes!$B$2:$B$433,$A106,Desconto_Cliente_Mes!$C$2:$C$433,"Fibra"),SUMIFS(Desconto_Cliente_Mes!$R$2:$R$433,Desconto_Cliente_Mes!$A$2:$A$433,K$106,Desconto_Cliente_Mes!$B$2:$B$433,$A106,Desconto_Cliente_Mes!$C$2:$C$433,"Fibra")))-(SUMIFS(Desconto_Cliente_Mes!$Q$2:$Q$433,Desconto_Cliente_Mes!$A$2:$A$433,K$106,Desconto_Cliente_Mes!$B$2:$B$433,$A106,Desconto_Cliente_Mes!$C$2:$C$433,"Fibra")))*(SUMIFS(Desconto_Cliente_Mes!$T$2:$T$433,Desconto_Cliente_Mes!$A$2:$A$433,K$106,Desconto_Cliente_Mes!$B$2:$B$433,$A106,Desconto_Cliente_Mes!$C$2:$C$433,"Fibra"))</f>
        <v>0</v>
      </c>
      <c r="L113" s="16" t="n">
        <f aca="false">$L$108*($L$110/100)*((IF(SUMIFS(Desconto_Cliente_Mes!$R$2:$R$433,Desconto_Cliente_Mes!$A$2:$A$433,L$106,Desconto_Cliente_Mes!$B$2:$B$433,$A106,Desconto_Cliente_Mes!$C$2:$C$433,"Fibra")="",SUMIFS(Desconto_Cliente_Mes!$Q$2:$Q$433,Desconto_Cliente_Mes!$A$2:$A$433,L$106,Desconto_Cliente_Mes!$B$2:$B$433,$A106,Desconto_Cliente_Mes!$C$2:$C$433,"Fibra"),SUMIFS(Desconto_Cliente_Mes!$R$2:$R$433,Desconto_Cliente_Mes!$A$2:$A$433,L$106,Desconto_Cliente_Mes!$B$2:$B$433,$A106,Desconto_Cliente_Mes!$C$2:$C$433,"Fibra")))-(SUMIFS(Desconto_Cliente_Mes!$Q$2:$Q$433,Desconto_Cliente_Mes!$A$2:$A$433,L$106,Desconto_Cliente_Mes!$B$2:$B$433,$A106,Desconto_Cliente_Mes!$C$2:$C$433,"Fibra")))*(SUMIFS(Desconto_Cliente_Mes!$T$2:$T$433,Desconto_Cliente_Mes!$A$2:$A$433,L$106,Desconto_Cliente_Mes!$B$2:$B$433,$A106,Desconto_Cliente_Mes!$C$2:$C$433,"Fibra"))</f>
        <v>0</v>
      </c>
      <c r="M113" s="16" t="n">
        <f aca="false">$M$108*($M$110/100)*((IF(SUMIFS(Desconto_Cliente_Mes!$R$2:$R$433,Desconto_Cliente_Mes!$A$2:$A$433,M$106,Desconto_Cliente_Mes!$B$2:$B$433,$A106,Desconto_Cliente_Mes!$C$2:$C$433,"Fibra")="",SUMIFS(Desconto_Cliente_Mes!$Q$2:$Q$433,Desconto_Cliente_Mes!$A$2:$A$433,M$106,Desconto_Cliente_Mes!$B$2:$B$433,$A106,Desconto_Cliente_Mes!$C$2:$C$433,"Fibra"),SUMIFS(Desconto_Cliente_Mes!$R$2:$R$433,Desconto_Cliente_Mes!$A$2:$A$433,M$106,Desconto_Cliente_Mes!$B$2:$B$433,$A106,Desconto_Cliente_Mes!$C$2:$C$433,"Fibra")))-(SUMIFS(Desconto_Cliente_Mes!$Q$2:$Q$433,Desconto_Cliente_Mes!$A$2:$A$433,M$106,Desconto_Cliente_Mes!$B$2:$B$433,$A106,Desconto_Cliente_Mes!$C$2:$C$433,"Fibra")))*(SUMIFS(Desconto_Cliente_Mes!$T$2:$T$433,Desconto_Cliente_Mes!$A$2:$A$433,M$106,Desconto_Cliente_Mes!$B$2:$B$433,$A106,Desconto_Cliente_Mes!$C$2:$C$433,"Fibra"))</f>
        <v>0</v>
      </c>
      <c r="N113" s="17" t="n">
        <f aca="false">SUM(B113:M113)</f>
        <v>0</v>
      </c>
    </row>
    <row r="114" customFormat="false" ht="15" hidden="false" customHeight="false" outlineLevel="0" collapsed="false">
      <c r="A114" s="13" t="s">
        <v>81</v>
      </c>
      <c r="B114" s="16" t="n">
        <f aca="false">$B$108*($B$111/100)*((IF(SUMIFS(Desconto_Cliente_Mes!$S$2:$S$433,Desconto_Cliente_Mes!$A$2:$A$433,B$106,Desconto_Cliente_Mes!$B$2:$B$433,$A106,Desconto_Cliente_Mes!$C$2:$C$433,"Fibra")="",(IF(SUMIFS(Desconto_Cliente_Mes!$R$2:$R$433,Desconto_Cliente_Mes!$A$2:$A$433,B$106,Desconto_Cliente_Mes!$B$2:$B$433,$A106,Desconto_Cliente_Mes!$C$2:$C$433,"Fibra")="",SUMIFS(Desconto_Cliente_Mes!$Q$2:$Q$433,Desconto_Cliente_Mes!$A$2:$A$433,B$106,Desconto_Cliente_Mes!$B$2:$B$433,$A106,Desconto_Cliente_Mes!$C$2:$C$433,"Fibra"),SUMIFS(Desconto_Cliente_Mes!$R$2:$R$433,Desconto_Cliente_Mes!$A$2:$A$433,B$106,Desconto_Cliente_Mes!$B$2:$B$433,$A106,Desconto_Cliente_Mes!$C$2:$C$433,"Fibra"))),SUMIFS(Desconto_Cliente_Mes!$S$2:$S$433,Desconto_Cliente_Mes!$A$2:$A$433,B$106,Desconto_Cliente_Mes!$B$2:$B$433,$A106,Desconto_Cliente_Mes!$C$2:$C$433,"Fibra")))-(IF(SUMIFS(Desconto_Cliente_Mes!$R$2:$R$433,Desconto_Cliente_Mes!$A$2:$A$433,B$106,Desconto_Cliente_Mes!$B$2:$B$433,$A106,Desconto_Cliente_Mes!$C$2:$C$433,"Fibra")="",SUMIFS(Desconto_Cliente_Mes!$Q$2:$Q$433,Desconto_Cliente_Mes!$A$2:$A$433,B$106,Desconto_Cliente_Mes!$B$2:$B$433,$A106,Desconto_Cliente_Mes!$C$2:$C$433,"Fibra"),SUMIFS(Desconto_Cliente_Mes!$R$2:$R$433,Desconto_Cliente_Mes!$A$2:$A$433,B$106,Desconto_Cliente_Mes!$B$2:$B$433,$A106,Desconto_Cliente_Mes!$C$2:$C$433,"Fibra"))))*(SUMIFS(Desconto_Cliente_Mes!$T$2:$T$433,Desconto_Cliente_Mes!$A$2:$A$433,B$106,Desconto_Cliente_Mes!$B$2:$B$433,$A106,Desconto_Cliente_Mes!$C$2:$C$433,"Fibra"))</f>
        <v>0</v>
      </c>
      <c r="C114" s="16" t="n">
        <f aca="false">$C$108*($C$111/100)*((IF(SUMIFS(Desconto_Cliente_Mes!$S$2:$S$433,Desconto_Cliente_Mes!$A$2:$A$433,C$106,Desconto_Cliente_Mes!$B$2:$B$433,$A106,Desconto_Cliente_Mes!$C$2:$C$433,"Fibra")="",(IF(SUMIFS(Desconto_Cliente_Mes!$R$2:$R$433,Desconto_Cliente_Mes!$A$2:$A$433,C$106,Desconto_Cliente_Mes!$B$2:$B$433,$A106,Desconto_Cliente_Mes!$C$2:$C$433,"Fibra")="",SUMIFS(Desconto_Cliente_Mes!$Q$2:$Q$433,Desconto_Cliente_Mes!$A$2:$A$433,C$106,Desconto_Cliente_Mes!$B$2:$B$433,$A106,Desconto_Cliente_Mes!$C$2:$C$433,"Fibra"),SUMIFS(Desconto_Cliente_Mes!$R$2:$R$433,Desconto_Cliente_Mes!$A$2:$A$433,C$106,Desconto_Cliente_Mes!$B$2:$B$433,$A106,Desconto_Cliente_Mes!$C$2:$C$433,"Fibra"))),SUMIFS(Desconto_Cliente_Mes!$S$2:$S$433,Desconto_Cliente_Mes!$A$2:$A$433,C$106,Desconto_Cliente_Mes!$B$2:$B$433,$A106,Desconto_Cliente_Mes!$C$2:$C$433,"Fibra")))-(IF(SUMIFS(Desconto_Cliente_Mes!$R$2:$R$433,Desconto_Cliente_Mes!$A$2:$A$433,C$106,Desconto_Cliente_Mes!$B$2:$B$433,$A106,Desconto_Cliente_Mes!$C$2:$C$433,"Fibra")="",SUMIFS(Desconto_Cliente_Mes!$Q$2:$Q$433,Desconto_Cliente_Mes!$A$2:$A$433,C$106,Desconto_Cliente_Mes!$B$2:$B$433,$A106,Desconto_Cliente_Mes!$C$2:$C$433,"Fibra"),SUMIFS(Desconto_Cliente_Mes!$R$2:$R$433,Desconto_Cliente_Mes!$A$2:$A$433,C$106,Desconto_Cliente_Mes!$B$2:$B$433,$A106,Desconto_Cliente_Mes!$C$2:$C$433,"Fibra"))))*(SUMIFS(Desconto_Cliente_Mes!$T$2:$T$433,Desconto_Cliente_Mes!$A$2:$A$433,C$106,Desconto_Cliente_Mes!$B$2:$B$433,$A106,Desconto_Cliente_Mes!$C$2:$C$433,"Fibra"))</f>
        <v>0</v>
      </c>
      <c r="D114" s="16" t="n">
        <f aca="false">$D$108*($D$111/100)*((IF(SUMIFS(Desconto_Cliente_Mes!$S$2:$S$433,Desconto_Cliente_Mes!$A$2:$A$433,D$106,Desconto_Cliente_Mes!$B$2:$B$433,$A106,Desconto_Cliente_Mes!$C$2:$C$433,"Fibra")="",(IF(SUMIFS(Desconto_Cliente_Mes!$R$2:$R$433,Desconto_Cliente_Mes!$A$2:$A$433,D$106,Desconto_Cliente_Mes!$B$2:$B$433,$A106,Desconto_Cliente_Mes!$C$2:$C$433,"Fibra")="",SUMIFS(Desconto_Cliente_Mes!$Q$2:$Q$433,Desconto_Cliente_Mes!$A$2:$A$433,D$106,Desconto_Cliente_Mes!$B$2:$B$433,$A106,Desconto_Cliente_Mes!$C$2:$C$433,"Fibra"),SUMIFS(Desconto_Cliente_Mes!$R$2:$R$433,Desconto_Cliente_Mes!$A$2:$A$433,D$106,Desconto_Cliente_Mes!$B$2:$B$433,$A106,Desconto_Cliente_Mes!$C$2:$C$433,"Fibra"))),SUMIFS(Desconto_Cliente_Mes!$S$2:$S$433,Desconto_Cliente_Mes!$A$2:$A$433,D$106,Desconto_Cliente_Mes!$B$2:$B$433,$A106,Desconto_Cliente_Mes!$C$2:$C$433,"Fibra")))-(IF(SUMIFS(Desconto_Cliente_Mes!$R$2:$R$433,Desconto_Cliente_Mes!$A$2:$A$433,D$106,Desconto_Cliente_Mes!$B$2:$B$433,$A106,Desconto_Cliente_Mes!$C$2:$C$433,"Fibra")="",SUMIFS(Desconto_Cliente_Mes!$Q$2:$Q$433,Desconto_Cliente_Mes!$A$2:$A$433,D$106,Desconto_Cliente_Mes!$B$2:$B$433,$A106,Desconto_Cliente_Mes!$C$2:$C$433,"Fibra"),SUMIFS(Desconto_Cliente_Mes!$R$2:$R$433,Desconto_Cliente_Mes!$A$2:$A$433,D$106,Desconto_Cliente_Mes!$B$2:$B$433,$A106,Desconto_Cliente_Mes!$C$2:$C$433,"Fibra"))))*(SUMIFS(Desconto_Cliente_Mes!$T$2:$T$433,Desconto_Cliente_Mes!$A$2:$A$433,D$106,Desconto_Cliente_Mes!$B$2:$B$433,$A106,Desconto_Cliente_Mes!$C$2:$C$433,"Fibra"))</f>
        <v>0</v>
      </c>
      <c r="E114" s="16" t="n">
        <f aca="false">$E$108*($E$111/100)*((IF(SUMIFS(Desconto_Cliente_Mes!$S$2:$S$433,Desconto_Cliente_Mes!$A$2:$A$433,E$106,Desconto_Cliente_Mes!$B$2:$B$433,$A106,Desconto_Cliente_Mes!$C$2:$C$433,"Fibra")="",(IF(SUMIFS(Desconto_Cliente_Mes!$R$2:$R$433,Desconto_Cliente_Mes!$A$2:$A$433,E$106,Desconto_Cliente_Mes!$B$2:$B$433,$A106,Desconto_Cliente_Mes!$C$2:$C$433,"Fibra")="",SUMIFS(Desconto_Cliente_Mes!$Q$2:$Q$433,Desconto_Cliente_Mes!$A$2:$A$433,E$106,Desconto_Cliente_Mes!$B$2:$B$433,$A106,Desconto_Cliente_Mes!$C$2:$C$433,"Fibra"),SUMIFS(Desconto_Cliente_Mes!$R$2:$R$433,Desconto_Cliente_Mes!$A$2:$A$433,E$106,Desconto_Cliente_Mes!$B$2:$B$433,$A106,Desconto_Cliente_Mes!$C$2:$C$433,"Fibra"))),SUMIFS(Desconto_Cliente_Mes!$S$2:$S$433,Desconto_Cliente_Mes!$A$2:$A$433,E$106,Desconto_Cliente_Mes!$B$2:$B$433,$A106,Desconto_Cliente_Mes!$C$2:$C$433,"Fibra")))-(IF(SUMIFS(Desconto_Cliente_Mes!$R$2:$R$433,Desconto_Cliente_Mes!$A$2:$A$433,E$106,Desconto_Cliente_Mes!$B$2:$B$433,$A106,Desconto_Cliente_Mes!$C$2:$C$433,"Fibra")="",SUMIFS(Desconto_Cliente_Mes!$Q$2:$Q$433,Desconto_Cliente_Mes!$A$2:$A$433,E$106,Desconto_Cliente_Mes!$B$2:$B$433,$A106,Desconto_Cliente_Mes!$C$2:$C$433,"Fibra"),SUMIFS(Desconto_Cliente_Mes!$R$2:$R$433,Desconto_Cliente_Mes!$A$2:$A$433,E$106,Desconto_Cliente_Mes!$B$2:$B$433,$A106,Desconto_Cliente_Mes!$C$2:$C$433,"Fibra"))))*(SUMIFS(Desconto_Cliente_Mes!$T$2:$T$433,Desconto_Cliente_Mes!$A$2:$A$433,E$106,Desconto_Cliente_Mes!$B$2:$B$433,$A106,Desconto_Cliente_Mes!$C$2:$C$433,"Fibra"))</f>
        <v>0</v>
      </c>
      <c r="F114" s="16" t="n">
        <f aca="false">$F$108*($F$111/100)*((IF(SUMIFS(Desconto_Cliente_Mes!$S$2:$S$433,Desconto_Cliente_Mes!$A$2:$A$433,F$106,Desconto_Cliente_Mes!$B$2:$B$433,$A106,Desconto_Cliente_Mes!$C$2:$C$433,"Fibra")="",(IF(SUMIFS(Desconto_Cliente_Mes!$R$2:$R$433,Desconto_Cliente_Mes!$A$2:$A$433,F$106,Desconto_Cliente_Mes!$B$2:$B$433,$A106,Desconto_Cliente_Mes!$C$2:$C$433,"Fibra")="",SUMIFS(Desconto_Cliente_Mes!$Q$2:$Q$433,Desconto_Cliente_Mes!$A$2:$A$433,F$106,Desconto_Cliente_Mes!$B$2:$B$433,$A106,Desconto_Cliente_Mes!$C$2:$C$433,"Fibra"),SUMIFS(Desconto_Cliente_Mes!$R$2:$R$433,Desconto_Cliente_Mes!$A$2:$A$433,F$106,Desconto_Cliente_Mes!$B$2:$B$433,$A106,Desconto_Cliente_Mes!$C$2:$C$433,"Fibra"))),SUMIFS(Desconto_Cliente_Mes!$S$2:$S$433,Desconto_Cliente_Mes!$A$2:$A$433,F$106,Desconto_Cliente_Mes!$B$2:$B$433,$A106,Desconto_Cliente_Mes!$C$2:$C$433,"Fibra")))-(IF(SUMIFS(Desconto_Cliente_Mes!$R$2:$R$433,Desconto_Cliente_Mes!$A$2:$A$433,F$106,Desconto_Cliente_Mes!$B$2:$B$433,$A106,Desconto_Cliente_Mes!$C$2:$C$433,"Fibra")="",SUMIFS(Desconto_Cliente_Mes!$Q$2:$Q$433,Desconto_Cliente_Mes!$A$2:$A$433,F$106,Desconto_Cliente_Mes!$B$2:$B$433,$A106,Desconto_Cliente_Mes!$C$2:$C$433,"Fibra"),SUMIFS(Desconto_Cliente_Mes!$R$2:$R$433,Desconto_Cliente_Mes!$A$2:$A$433,F$106,Desconto_Cliente_Mes!$B$2:$B$433,$A106,Desconto_Cliente_Mes!$C$2:$C$433,"Fibra"))))*(SUMIFS(Desconto_Cliente_Mes!$T$2:$T$433,Desconto_Cliente_Mes!$A$2:$A$433,F$106,Desconto_Cliente_Mes!$B$2:$B$433,$A106,Desconto_Cliente_Mes!$C$2:$C$433,"Fibra"))</f>
        <v>0</v>
      </c>
      <c r="G114" s="16" t="n">
        <f aca="false">$G$108*($G$111/100)*((IF(SUMIFS(Desconto_Cliente_Mes!$S$2:$S$433,Desconto_Cliente_Mes!$A$2:$A$433,G$106,Desconto_Cliente_Mes!$B$2:$B$433,$A106,Desconto_Cliente_Mes!$C$2:$C$433,"Fibra")="",(IF(SUMIFS(Desconto_Cliente_Mes!$R$2:$R$433,Desconto_Cliente_Mes!$A$2:$A$433,G$106,Desconto_Cliente_Mes!$B$2:$B$433,$A106,Desconto_Cliente_Mes!$C$2:$C$433,"Fibra")="",SUMIFS(Desconto_Cliente_Mes!$Q$2:$Q$433,Desconto_Cliente_Mes!$A$2:$A$433,G$106,Desconto_Cliente_Mes!$B$2:$B$433,$A106,Desconto_Cliente_Mes!$C$2:$C$433,"Fibra"),SUMIFS(Desconto_Cliente_Mes!$R$2:$R$433,Desconto_Cliente_Mes!$A$2:$A$433,G$106,Desconto_Cliente_Mes!$B$2:$B$433,$A106,Desconto_Cliente_Mes!$C$2:$C$433,"Fibra"))),SUMIFS(Desconto_Cliente_Mes!$S$2:$S$433,Desconto_Cliente_Mes!$A$2:$A$433,G$106,Desconto_Cliente_Mes!$B$2:$B$433,$A106,Desconto_Cliente_Mes!$C$2:$C$433,"Fibra")))-(IF(SUMIFS(Desconto_Cliente_Mes!$R$2:$R$433,Desconto_Cliente_Mes!$A$2:$A$433,G$106,Desconto_Cliente_Mes!$B$2:$B$433,$A106,Desconto_Cliente_Mes!$C$2:$C$433,"Fibra")="",SUMIFS(Desconto_Cliente_Mes!$Q$2:$Q$433,Desconto_Cliente_Mes!$A$2:$A$433,G$106,Desconto_Cliente_Mes!$B$2:$B$433,$A106,Desconto_Cliente_Mes!$C$2:$C$433,"Fibra"),SUMIFS(Desconto_Cliente_Mes!$R$2:$R$433,Desconto_Cliente_Mes!$A$2:$A$433,G$106,Desconto_Cliente_Mes!$B$2:$B$433,$A106,Desconto_Cliente_Mes!$C$2:$C$433,"Fibra"))))*(SUMIFS(Desconto_Cliente_Mes!$T$2:$T$433,Desconto_Cliente_Mes!$A$2:$A$433,G$106,Desconto_Cliente_Mes!$B$2:$B$433,$A106,Desconto_Cliente_Mes!$C$2:$C$433,"Fibra"))</f>
        <v>0</v>
      </c>
      <c r="H114" s="16" t="n">
        <f aca="false">$H$108*($H$111/100)*((IF(SUMIFS(Desconto_Cliente_Mes!$S$2:$S$433,Desconto_Cliente_Mes!$A$2:$A$433,H$106,Desconto_Cliente_Mes!$B$2:$B$433,$A106,Desconto_Cliente_Mes!$C$2:$C$433,"Fibra")="",(IF(SUMIFS(Desconto_Cliente_Mes!$R$2:$R$433,Desconto_Cliente_Mes!$A$2:$A$433,H$106,Desconto_Cliente_Mes!$B$2:$B$433,$A106,Desconto_Cliente_Mes!$C$2:$C$433,"Fibra")="",SUMIFS(Desconto_Cliente_Mes!$Q$2:$Q$433,Desconto_Cliente_Mes!$A$2:$A$433,H$106,Desconto_Cliente_Mes!$B$2:$B$433,$A106,Desconto_Cliente_Mes!$C$2:$C$433,"Fibra"),SUMIFS(Desconto_Cliente_Mes!$R$2:$R$433,Desconto_Cliente_Mes!$A$2:$A$433,H$106,Desconto_Cliente_Mes!$B$2:$B$433,$A106,Desconto_Cliente_Mes!$C$2:$C$433,"Fibra"))),SUMIFS(Desconto_Cliente_Mes!$S$2:$S$433,Desconto_Cliente_Mes!$A$2:$A$433,H$106,Desconto_Cliente_Mes!$B$2:$B$433,$A106,Desconto_Cliente_Mes!$C$2:$C$433,"Fibra")))-(IF(SUMIFS(Desconto_Cliente_Mes!$R$2:$R$433,Desconto_Cliente_Mes!$A$2:$A$433,H$106,Desconto_Cliente_Mes!$B$2:$B$433,$A106,Desconto_Cliente_Mes!$C$2:$C$433,"Fibra")="",SUMIFS(Desconto_Cliente_Mes!$Q$2:$Q$433,Desconto_Cliente_Mes!$A$2:$A$433,H$106,Desconto_Cliente_Mes!$B$2:$B$433,$A106,Desconto_Cliente_Mes!$C$2:$C$433,"Fibra"),SUMIFS(Desconto_Cliente_Mes!$R$2:$R$433,Desconto_Cliente_Mes!$A$2:$A$433,H$106,Desconto_Cliente_Mes!$B$2:$B$433,$A106,Desconto_Cliente_Mes!$C$2:$C$433,"Fibra"))))*(SUMIFS(Desconto_Cliente_Mes!$T$2:$T$433,Desconto_Cliente_Mes!$A$2:$A$433,H$106,Desconto_Cliente_Mes!$B$2:$B$433,$A106,Desconto_Cliente_Mes!$C$2:$C$433,"Fibra"))</f>
        <v>0</v>
      </c>
      <c r="I114" s="16" t="n">
        <f aca="false">$I$108*($I$111/100)*((IF(SUMIFS(Desconto_Cliente_Mes!$S$2:$S$433,Desconto_Cliente_Mes!$A$2:$A$433,I$106,Desconto_Cliente_Mes!$B$2:$B$433,$A106,Desconto_Cliente_Mes!$C$2:$C$433,"Fibra")="",(IF(SUMIFS(Desconto_Cliente_Mes!$R$2:$R$433,Desconto_Cliente_Mes!$A$2:$A$433,I$106,Desconto_Cliente_Mes!$B$2:$B$433,$A106,Desconto_Cliente_Mes!$C$2:$C$433,"Fibra")="",SUMIFS(Desconto_Cliente_Mes!$Q$2:$Q$433,Desconto_Cliente_Mes!$A$2:$A$433,I$106,Desconto_Cliente_Mes!$B$2:$B$433,$A106,Desconto_Cliente_Mes!$C$2:$C$433,"Fibra"),SUMIFS(Desconto_Cliente_Mes!$R$2:$R$433,Desconto_Cliente_Mes!$A$2:$A$433,I$106,Desconto_Cliente_Mes!$B$2:$B$433,$A106,Desconto_Cliente_Mes!$C$2:$C$433,"Fibra"))),SUMIFS(Desconto_Cliente_Mes!$S$2:$S$433,Desconto_Cliente_Mes!$A$2:$A$433,I$106,Desconto_Cliente_Mes!$B$2:$B$433,$A106,Desconto_Cliente_Mes!$C$2:$C$433,"Fibra")))-(IF(SUMIFS(Desconto_Cliente_Mes!$R$2:$R$433,Desconto_Cliente_Mes!$A$2:$A$433,I$106,Desconto_Cliente_Mes!$B$2:$B$433,$A106,Desconto_Cliente_Mes!$C$2:$C$433,"Fibra")="",SUMIFS(Desconto_Cliente_Mes!$Q$2:$Q$433,Desconto_Cliente_Mes!$A$2:$A$433,I$106,Desconto_Cliente_Mes!$B$2:$B$433,$A106,Desconto_Cliente_Mes!$C$2:$C$433,"Fibra"),SUMIFS(Desconto_Cliente_Mes!$R$2:$R$433,Desconto_Cliente_Mes!$A$2:$A$433,I$106,Desconto_Cliente_Mes!$B$2:$B$433,$A106,Desconto_Cliente_Mes!$C$2:$C$433,"Fibra"))))*(SUMIFS(Desconto_Cliente_Mes!$T$2:$T$433,Desconto_Cliente_Mes!$A$2:$A$433,I$106,Desconto_Cliente_Mes!$B$2:$B$433,$A106,Desconto_Cliente_Mes!$C$2:$C$433,"Fibra"))</f>
        <v>0</v>
      </c>
      <c r="J114" s="16" t="n">
        <f aca="false">$J$108*($J$111/100)*((IF(SUMIFS(Desconto_Cliente_Mes!$S$2:$S$433,Desconto_Cliente_Mes!$A$2:$A$433,J$106,Desconto_Cliente_Mes!$B$2:$B$433,$A106,Desconto_Cliente_Mes!$C$2:$C$433,"Fibra")="",(IF(SUMIFS(Desconto_Cliente_Mes!$R$2:$R$433,Desconto_Cliente_Mes!$A$2:$A$433,J$106,Desconto_Cliente_Mes!$B$2:$B$433,$A106,Desconto_Cliente_Mes!$C$2:$C$433,"Fibra")="",SUMIFS(Desconto_Cliente_Mes!$Q$2:$Q$433,Desconto_Cliente_Mes!$A$2:$A$433,J$106,Desconto_Cliente_Mes!$B$2:$B$433,$A106,Desconto_Cliente_Mes!$C$2:$C$433,"Fibra"),SUMIFS(Desconto_Cliente_Mes!$R$2:$R$433,Desconto_Cliente_Mes!$A$2:$A$433,J$106,Desconto_Cliente_Mes!$B$2:$B$433,$A106,Desconto_Cliente_Mes!$C$2:$C$433,"Fibra"))),SUMIFS(Desconto_Cliente_Mes!$S$2:$S$433,Desconto_Cliente_Mes!$A$2:$A$433,J$106,Desconto_Cliente_Mes!$B$2:$B$433,$A106,Desconto_Cliente_Mes!$C$2:$C$433,"Fibra")))-(IF(SUMIFS(Desconto_Cliente_Mes!$R$2:$R$433,Desconto_Cliente_Mes!$A$2:$A$433,J$106,Desconto_Cliente_Mes!$B$2:$B$433,$A106,Desconto_Cliente_Mes!$C$2:$C$433,"Fibra")="",SUMIFS(Desconto_Cliente_Mes!$Q$2:$Q$433,Desconto_Cliente_Mes!$A$2:$A$433,J$106,Desconto_Cliente_Mes!$B$2:$B$433,$A106,Desconto_Cliente_Mes!$C$2:$C$433,"Fibra"),SUMIFS(Desconto_Cliente_Mes!$R$2:$R$433,Desconto_Cliente_Mes!$A$2:$A$433,J$106,Desconto_Cliente_Mes!$B$2:$B$433,$A106,Desconto_Cliente_Mes!$C$2:$C$433,"Fibra"))))*(SUMIFS(Desconto_Cliente_Mes!$T$2:$T$433,Desconto_Cliente_Mes!$A$2:$A$433,J$106,Desconto_Cliente_Mes!$B$2:$B$433,$A106,Desconto_Cliente_Mes!$C$2:$C$433,"Fibra"))</f>
        <v>0</v>
      </c>
      <c r="K114" s="16" t="n">
        <f aca="false">$K$108*($K$111/100)*((IF(SUMIFS(Desconto_Cliente_Mes!$S$2:$S$433,Desconto_Cliente_Mes!$A$2:$A$433,K$106,Desconto_Cliente_Mes!$B$2:$B$433,$A106,Desconto_Cliente_Mes!$C$2:$C$433,"Fibra")="",(IF(SUMIFS(Desconto_Cliente_Mes!$R$2:$R$433,Desconto_Cliente_Mes!$A$2:$A$433,K$106,Desconto_Cliente_Mes!$B$2:$B$433,$A106,Desconto_Cliente_Mes!$C$2:$C$433,"Fibra")="",SUMIFS(Desconto_Cliente_Mes!$Q$2:$Q$433,Desconto_Cliente_Mes!$A$2:$A$433,K$106,Desconto_Cliente_Mes!$B$2:$B$433,$A106,Desconto_Cliente_Mes!$C$2:$C$433,"Fibra"),SUMIFS(Desconto_Cliente_Mes!$R$2:$R$433,Desconto_Cliente_Mes!$A$2:$A$433,K$106,Desconto_Cliente_Mes!$B$2:$B$433,$A106,Desconto_Cliente_Mes!$C$2:$C$433,"Fibra"))),SUMIFS(Desconto_Cliente_Mes!$S$2:$S$433,Desconto_Cliente_Mes!$A$2:$A$433,K$106,Desconto_Cliente_Mes!$B$2:$B$433,$A106,Desconto_Cliente_Mes!$C$2:$C$433,"Fibra")))-(IF(SUMIFS(Desconto_Cliente_Mes!$R$2:$R$433,Desconto_Cliente_Mes!$A$2:$A$433,K$106,Desconto_Cliente_Mes!$B$2:$B$433,$A106,Desconto_Cliente_Mes!$C$2:$C$433,"Fibra")="",SUMIFS(Desconto_Cliente_Mes!$Q$2:$Q$433,Desconto_Cliente_Mes!$A$2:$A$433,K$106,Desconto_Cliente_Mes!$B$2:$B$433,$A106,Desconto_Cliente_Mes!$C$2:$C$433,"Fibra"),SUMIFS(Desconto_Cliente_Mes!$R$2:$R$433,Desconto_Cliente_Mes!$A$2:$A$433,K$106,Desconto_Cliente_Mes!$B$2:$B$433,$A106,Desconto_Cliente_Mes!$C$2:$C$433,"Fibra"))))*(SUMIFS(Desconto_Cliente_Mes!$T$2:$T$433,Desconto_Cliente_Mes!$A$2:$A$433,K$106,Desconto_Cliente_Mes!$B$2:$B$433,$A106,Desconto_Cliente_Mes!$C$2:$C$433,"Fibra"))</f>
        <v>0</v>
      </c>
      <c r="L114" s="16" t="n">
        <f aca="false">$L$108*($L$111/100)*((IF(SUMIFS(Desconto_Cliente_Mes!$S$2:$S$433,Desconto_Cliente_Mes!$A$2:$A$433,L$106,Desconto_Cliente_Mes!$B$2:$B$433,$A106,Desconto_Cliente_Mes!$C$2:$C$433,"Fibra")="",(IF(SUMIFS(Desconto_Cliente_Mes!$R$2:$R$433,Desconto_Cliente_Mes!$A$2:$A$433,L$106,Desconto_Cliente_Mes!$B$2:$B$433,$A106,Desconto_Cliente_Mes!$C$2:$C$433,"Fibra")="",SUMIFS(Desconto_Cliente_Mes!$Q$2:$Q$433,Desconto_Cliente_Mes!$A$2:$A$433,L$106,Desconto_Cliente_Mes!$B$2:$B$433,$A106,Desconto_Cliente_Mes!$C$2:$C$433,"Fibra"),SUMIFS(Desconto_Cliente_Mes!$R$2:$R$433,Desconto_Cliente_Mes!$A$2:$A$433,L$106,Desconto_Cliente_Mes!$B$2:$B$433,$A106,Desconto_Cliente_Mes!$C$2:$C$433,"Fibra"))),SUMIFS(Desconto_Cliente_Mes!$S$2:$S$433,Desconto_Cliente_Mes!$A$2:$A$433,L$106,Desconto_Cliente_Mes!$B$2:$B$433,$A106,Desconto_Cliente_Mes!$C$2:$C$433,"Fibra")))-(IF(SUMIFS(Desconto_Cliente_Mes!$R$2:$R$433,Desconto_Cliente_Mes!$A$2:$A$433,L$106,Desconto_Cliente_Mes!$B$2:$B$433,$A106,Desconto_Cliente_Mes!$C$2:$C$433,"Fibra")="",SUMIFS(Desconto_Cliente_Mes!$Q$2:$Q$433,Desconto_Cliente_Mes!$A$2:$A$433,L$106,Desconto_Cliente_Mes!$B$2:$B$433,$A106,Desconto_Cliente_Mes!$C$2:$C$433,"Fibra"),SUMIFS(Desconto_Cliente_Mes!$R$2:$R$433,Desconto_Cliente_Mes!$A$2:$A$433,L$106,Desconto_Cliente_Mes!$B$2:$B$433,$A106,Desconto_Cliente_Mes!$C$2:$C$433,"Fibra"))))*(SUMIFS(Desconto_Cliente_Mes!$T$2:$T$433,Desconto_Cliente_Mes!$A$2:$A$433,L$106,Desconto_Cliente_Mes!$B$2:$B$433,$A106,Desconto_Cliente_Mes!$C$2:$C$433,"Fibra"))</f>
        <v>0</v>
      </c>
      <c r="M114" s="16" t="n">
        <f aca="false">$M$108*($M$111/100)*((IF(SUMIFS(Desconto_Cliente_Mes!$S$2:$S$433,Desconto_Cliente_Mes!$A$2:$A$433,M$106,Desconto_Cliente_Mes!$B$2:$B$433,$A106,Desconto_Cliente_Mes!$C$2:$C$433,"Fibra")="",(IF(SUMIFS(Desconto_Cliente_Mes!$R$2:$R$433,Desconto_Cliente_Mes!$A$2:$A$433,M$106,Desconto_Cliente_Mes!$B$2:$B$433,$A106,Desconto_Cliente_Mes!$C$2:$C$433,"Fibra")="",SUMIFS(Desconto_Cliente_Mes!$Q$2:$Q$433,Desconto_Cliente_Mes!$A$2:$A$433,M$106,Desconto_Cliente_Mes!$B$2:$B$433,$A106,Desconto_Cliente_Mes!$C$2:$C$433,"Fibra"),SUMIFS(Desconto_Cliente_Mes!$R$2:$R$433,Desconto_Cliente_Mes!$A$2:$A$433,M$106,Desconto_Cliente_Mes!$B$2:$B$433,$A106,Desconto_Cliente_Mes!$C$2:$C$433,"Fibra"))),SUMIFS(Desconto_Cliente_Mes!$S$2:$S$433,Desconto_Cliente_Mes!$A$2:$A$433,M$106,Desconto_Cliente_Mes!$B$2:$B$433,$A106,Desconto_Cliente_Mes!$C$2:$C$433,"Fibra")))-(IF(SUMIFS(Desconto_Cliente_Mes!$R$2:$R$433,Desconto_Cliente_Mes!$A$2:$A$433,M$106,Desconto_Cliente_Mes!$B$2:$B$433,$A106,Desconto_Cliente_Mes!$C$2:$C$433,"Fibra")="",SUMIFS(Desconto_Cliente_Mes!$Q$2:$Q$433,Desconto_Cliente_Mes!$A$2:$A$433,M$106,Desconto_Cliente_Mes!$B$2:$B$433,$A106,Desconto_Cliente_Mes!$C$2:$C$433,"Fibra"),SUMIFS(Desconto_Cliente_Mes!$R$2:$R$433,Desconto_Cliente_Mes!$A$2:$A$433,M$106,Desconto_Cliente_Mes!$B$2:$B$433,$A106,Desconto_Cliente_Mes!$C$2:$C$433,"Fibra"))))*(SUMIFS(Desconto_Cliente_Mes!$T$2:$T$433,Desconto_Cliente_Mes!$A$2:$A$433,M$106,Desconto_Cliente_Mes!$B$2:$B$433,$A106,Desconto_Cliente_Mes!$C$2:$C$433,"Fibra"))</f>
        <v>0</v>
      </c>
      <c r="N114" s="17" t="n">
        <f aca="false">SUM(B114:M114)</f>
        <v>0</v>
      </c>
    </row>
    <row r="115" customFormat="false" ht="15" hidden="false" customHeight="false" outlineLevel="0" collapsed="false">
      <c r="A115" s="13" t="s">
        <v>82</v>
      </c>
      <c r="B115" s="16" t="n">
        <f aca="false">SUMIFS(Acerto_Detalhado!$J$2:$J$433,Acerto_Detalhado!$A$2:$A$433,B$106,Acerto_Detalhado!$B$2:$B$433,$A106,Acerto_Detalhado!$C$2:$C$433,"Fibra")</f>
        <v>0</v>
      </c>
      <c r="C115" s="16" t="n">
        <f aca="false">SUMIFS(Acerto_Detalhado!$J$2:$J$433,Acerto_Detalhado!$A$2:$A$433,C$106,Acerto_Detalhado!$B$2:$B$433,$A106,Acerto_Detalhado!$C$2:$C$433,"Fibra")</f>
        <v>0</v>
      </c>
      <c r="D115" s="16" t="n">
        <f aca="false">SUMIFS(Acerto_Detalhado!$J$2:$J$433,Acerto_Detalhado!$A$2:$A$433,D$106,Acerto_Detalhado!$B$2:$B$433,$A106,Acerto_Detalhado!$C$2:$C$433,"Fibra")</f>
        <v>0</v>
      </c>
      <c r="E115" s="16" t="n">
        <f aca="false">SUMIFS(Acerto_Detalhado!$J$2:$J$433,Acerto_Detalhado!$A$2:$A$433,E$106,Acerto_Detalhado!$B$2:$B$433,$A106,Acerto_Detalhado!$C$2:$C$433,"Fibra")</f>
        <v>0</v>
      </c>
      <c r="F115" s="16" t="n">
        <f aca="false">SUMIFS(Acerto_Detalhado!$J$2:$J$433,Acerto_Detalhado!$A$2:$A$433,F$106,Acerto_Detalhado!$B$2:$B$433,$A106,Acerto_Detalhado!$C$2:$C$433,"Fibra")</f>
        <v>0</v>
      </c>
      <c r="G115" s="16" t="n">
        <f aca="false">SUMIFS(Acerto_Detalhado!$J$2:$J$433,Acerto_Detalhado!$A$2:$A$433,G$106,Acerto_Detalhado!$B$2:$B$433,$A106,Acerto_Detalhado!$C$2:$C$433,"Fibra")</f>
        <v>0</v>
      </c>
      <c r="H115" s="16" t="n">
        <f aca="false">SUMIFS(Acerto_Detalhado!$J$2:$J$433,Acerto_Detalhado!$A$2:$A$433,H$106,Acerto_Detalhado!$B$2:$B$433,$A106,Acerto_Detalhado!$C$2:$C$433,"Fibra")</f>
        <v>0</v>
      </c>
      <c r="I115" s="16" t="n">
        <f aca="false">SUMIFS(Acerto_Detalhado!$J$2:$J$433,Acerto_Detalhado!$A$2:$A$433,I$106,Acerto_Detalhado!$B$2:$B$433,$A106,Acerto_Detalhado!$C$2:$C$433,"Fibra")</f>
        <v>0</v>
      </c>
      <c r="J115" s="16" t="n">
        <f aca="false">SUMIFS(Acerto_Detalhado!$J$2:$J$433,Acerto_Detalhado!$A$2:$A$433,J$106,Acerto_Detalhado!$B$2:$B$433,$A106,Acerto_Detalhado!$C$2:$C$433,"Fibra")</f>
        <v>0</v>
      </c>
      <c r="K115" s="16" t="n">
        <f aca="false">SUMIFS(Acerto_Detalhado!$J$2:$J$433,Acerto_Detalhado!$A$2:$A$433,K$106,Acerto_Detalhado!$B$2:$B$433,$A106,Acerto_Detalhado!$C$2:$C$433,"Fibra")</f>
        <v>0</v>
      </c>
      <c r="L115" s="16" t="n">
        <f aca="false">SUMIFS(Acerto_Detalhado!$J$2:$J$433,Acerto_Detalhado!$A$2:$A$433,L$106,Acerto_Detalhado!$B$2:$B$433,$A106,Acerto_Detalhado!$C$2:$C$433,"Fibra")</f>
        <v>0</v>
      </c>
      <c r="M115" s="16" t="n">
        <f aca="false">SUMIFS(Acerto_Detalhado!$J$2:$J$433,Acerto_Detalhado!$A$2:$A$433,M$106,Acerto_Detalhado!$B$2:$B$433,$A106,Acerto_Detalhado!$C$2:$C$433,"Fibra")</f>
        <v>0</v>
      </c>
      <c r="N115" s="17" t="n">
        <f aca="false">SUM(B115:M115)</f>
        <v>0</v>
      </c>
    </row>
    <row r="117" customFormat="false" ht="15" hidden="false" customHeight="false" outlineLevel="0" collapsed="false">
      <c r="A117" s="5" t="s">
        <v>68</v>
      </c>
      <c r="B117" s="6" t="s">
        <v>39</v>
      </c>
      <c r="C117" s="6" t="s">
        <v>40</v>
      </c>
      <c r="D117" s="6" t="s">
        <v>41</v>
      </c>
      <c r="E117" s="6" t="s">
        <v>42</v>
      </c>
      <c r="F117" s="6" t="s">
        <v>43</v>
      </c>
      <c r="G117" s="6" t="s">
        <v>44</v>
      </c>
      <c r="H117" s="6" t="s">
        <v>45</v>
      </c>
      <c r="I117" s="6" t="s">
        <v>46</v>
      </c>
      <c r="J117" s="6" t="s">
        <v>47</v>
      </c>
      <c r="K117" s="6" t="s">
        <v>48</v>
      </c>
      <c r="L117" s="6" t="s">
        <v>49</v>
      </c>
      <c r="M117" s="6" t="s">
        <v>50</v>
      </c>
      <c r="N117" s="6" t="s">
        <v>51</v>
      </c>
    </row>
    <row r="118" customFormat="false" ht="15" hidden="false" customHeight="false" outlineLevel="0" collapsed="false">
      <c r="A118" s="13" t="s">
        <v>74</v>
      </c>
      <c r="B118" s="10" t="str">
        <f aca="false">IF((SUMIFS(Desconto_Cliente_Mes!$D$2:$D$433,Desconto_Cliente_Mes!$A$2:$A$433,B$117,Desconto_Cliente_Mes!$B$2:$B$433,$A117,Desconto_Cliente_Mes!$C$2:$C$433,"Fibra"))=0,"",IFERROR(SUMIFS(Desconto_Cliente_Mes!$E$2:$E$433,Desconto_Cliente_Mes!$A$2:$A$433,B$117,Desconto_Cliente_Mes!$B$2:$B$433,$A117,Desconto_Cliente_Mes!$C$2:$C$433,"Fibra"),""))</f>
        <v/>
      </c>
      <c r="C118" s="10" t="str">
        <f aca="false">IF((SUMIFS(Desconto_Cliente_Mes!$D$2:$D$433,Desconto_Cliente_Mes!$A$2:$A$433,C$117,Desconto_Cliente_Mes!$B$2:$B$433,$A117,Desconto_Cliente_Mes!$C$2:$C$433,"Fibra"))=0,"",IFERROR(SUMIFS(Desconto_Cliente_Mes!$E$2:$E$433,Desconto_Cliente_Mes!$A$2:$A$433,C$117,Desconto_Cliente_Mes!$B$2:$B$433,$A117,Desconto_Cliente_Mes!$C$2:$C$433,"Fibra"),""))</f>
        <v/>
      </c>
      <c r="D118" s="10" t="str">
        <f aca="false">IF((SUMIFS(Desconto_Cliente_Mes!$D$2:$D$433,Desconto_Cliente_Mes!$A$2:$A$433,D$117,Desconto_Cliente_Mes!$B$2:$B$433,$A117,Desconto_Cliente_Mes!$C$2:$C$433,"Fibra"))=0,"",IFERROR(SUMIFS(Desconto_Cliente_Mes!$E$2:$E$433,Desconto_Cliente_Mes!$A$2:$A$433,D$117,Desconto_Cliente_Mes!$B$2:$B$433,$A117,Desconto_Cliente_Mes!$C$2:$C$433,"Fibra"),""))</f>
        <v/>
      </c>
      <c r="E118" s="10" t="str">
        <f aca="false">IF((SUMIFS(Desconto_Cliente_Mes!$D$2:$D$433,Desconto_Cliente_Mes!$A$2:$A$433,E$117,Desconto_Cliente_Mes!$B$2:$B$433,$A117,Desconto_Cliente_Mes!$C$2:$C$433,"Fibra"))=0,"",IFERROR(SUMIFS(Desconto_Cliente_Mes!$E$2:$E$433,Desconto_Cliente_Mes!$A$2:$A$433,E$117,Desconto_Cliente_Mes!$B$2:$B$433,$A117,Desconto_Cliente_Mes!$C$2:$C$433,"Fibra"),""))</f>
        <v/>
      </c>
      <c r="F118" s="10" t="str">
        <f aca="false">IF((SUMIFS(Desconto_Cliente_Mes!$D$2:$D$433,Desconto_Cliente_Mes!$A$2:$A$433,F$117,Desconto_Cliente_Mes!$B$2:$B$433,$A117,Desconto_Cliente_Mes!$C$2:$C$433,"Fibra"))=0,"",IFERROR(SUMIFS(Desconto_Cliente_Mes!$E$2:$E$433,Desconto_Cliente_Mes!$A$2:$A$433,F$117,Desconto_Cliente_Mes!$B$2:$B$433,$A117,Desconto_Cliente_Mes!$C$2:$C$433,"Fibra"),""))</f>
        <v/>
      </c>
      <c r="G118" s="10" t="str">
        <f aca="false">IF((SUMIFS(Desconto_Cliente_Mes!$D$2:$D$433,Desconto_Cliente_Mes!$A$2:$A$433,G$117,Desconto_Cliente_Mes!$B$2:$B$433,$A117,Desconto_Cliente_Mes!$C$2:$C$433,"Fibra"))=0,"",IFERROR(SUMIFS(Desconto_Cliente_Mes!$E$2:$E$433,Desconto_Cliente_Mes!$A$2:$A$433,G$117,Desconto_Cliente_Mes!$B$2:$B$433,$A117,Desconto_Cliente_Mes!$C$2:$C$433,"Fibra"),""))</f>
        <v/>
      </c>
      <c r="H118" s="10" t="str">
        <f aca="false">IF((SUMIFS(Desconto_Cliente_Mes!$D$2:$D$433,Desconto_Cliente_Mes!$A$2:$A$433,H$117,Desconto_Cliente_Mes!$B$2:$B$433,$A117,Desconto_Cliente_Mes!$C$2:$C$433,"Fibra"))=0,"",IFERROR(SUMIFS(Desconto_Cliente_Mes!$E$2:$E$433,Desconto_Cliente_Mes!$A$2:$A$433,H$117,Desconto_Cliente_Mes!$B$2:$B$433,$A117,Desconto_Cliente_Mes!$C$2:$C$433,"Fibra"),""))</f>
        <v/>
      </c>
      <c r="I118" s="10" t="str">
        <f aca="false">IF((SUMIFS(Desconto_Cliente_Mes!$D$2:$D$433,Desconto_Cliente_Mes!$A$2:$A$433,I$117,Desconto_Cliente_Mes!$B$2:$B$433,$A117,Desconto_Cliente_Mes!$C$2:$C$433,"Fibra"))=0,"",IFERROR(SUMIFS(Desconto_Cliente_Mes!$E$2:$E$433,Desconto_Cliente_Mes!$A$2:$A$433,I$117,Desconto_Cliente_Mes!$B$2:$B$433,$A117,Desconto_Cliente_Mes!$C$2:$C$433,"Fibra"),""))</f>
        <v/>
      </c>
      <c r="J118" s="10" t="str">
        <f aca="false">IF((SUMIFS(Desconto_Cliente_Mes!$D$2:$D$433,Desconto_Cliente_Mes!$A$2:$A$433,J$117,Desconto_Cliente_Mes!$B$2:$B$433,$A117,Desconto_Cliente_Mes!$C$2:$C$433,"Fibra"))=0,"",IFERROR(SUMIFS(Desconto_Cliente_Mes!$E$2:$E$433,Desconto_Cliente_Mes!$A$2:$A$433,J$117,Desconto_Cliente_Mes!$B$2:$B$433,$A117,Desconto_Cliente_Mes!$C$2:$C$433,"Fibra"),""))</f>
        <v/>
      </c>
      <c r="K118" s="10" t="str">
        <f aca="false">IF((SUMIFS(Desconto_Cliente_Mes!$D$2:$D$433,Desconto_Cliente_Mes!$A$2:$A$433,K$117,Desconto_Cliente_Mes!$B$2:$B$433,$A117,Desconto_Cliente_Mes!$C$2:$C$433,"Fibra"))=0,"",IFERROR(SUMIFS(Desconto_Cliente_Mes!$E$2:$E$433,Desconto_Cliente_Mes!$A$2:$A$433,K$117,Desconto_Cliente_Mes!$B$2:$B$433,$A117,Desconto_Cliente_Mes!$C$2:$C$433,"Fibra"),""))</f>
        <v/>
      </c>
      <c r="L118" s="10" t="str">
        <f aca="false">IF((SUMIFS(Desconto_Cliente_Mes!$D$2:$D$433,Desconto_Cliente_Mes!$A$2:$A$433,L$117,Desconto_Cliente_Mes!$B$2:$B$433,$A117,Desconto_Cliente_Mes!$C$2:$C$433,"Fibra"))=0,"",IFERROR(SUMIFS(Desconto_Cliente_Mes!$E$2:$E$433,Desconto_Cliente_Mes!$A$2:$A$433,L$117,Desconto_Cliente_Mes!$B$2:$B$433,$A117,Desconto_Cliente_Mes!$C$2:$C$433,"Fibra"),""))</f>
        <v/>
      </c>
      <c r="M118" s="10" t="str">
        <f aca="false">IF((SUMIFS(Desconto_Cliente_Mes!$D$2:$D$433,Desconto_Cliente_Mes!$A$2:$A$433,M$117,Desconto_Cliente_Mes!$B$2:$B$433,$A117,Desconto_Cliente_Mes!$C$2:$C$433,"Fibra"))=0,"",IFERROR(SUMIFS(Desconto_Cliente_Mes!$E$2:$E$433,Desconto_Cliente_Mes!$A$2:$A$433,M$117,Desconto_Cliente_Mes!$B$2:$B$433,$A117,Desconto_Cliente_Mes!$C$2:$C$433,"Fibra"),""))</f>
        <v/>
      </c>
      <c r="N118" s="11" t="str">
        <f aca="false">IFERROR(Media_Pool_Mes!E12,"")</f>
        <v/>
      </c>
    </row>
    <row r="119" customFormat="false" ht="15" hidden="false" customHeight="false" outlineLevel="0" collapsed="false">
      <c r="A119" s="13" t="s">
        <v>75</v>
      </c>
      <c r="B119" s="8" t="n">
        <f aca="false">IFERROR(SUMIFS(Desconto_Cliente_Mes!$D$2:$D$433,Desconto_Cliente_Mes!$A$2:$A$433,B$117,Desconto_Cliente_Mes!$B$2:$B$433,$A117,Desconto_Cliente_Mes!$C$2:$C$433,"Fibra"),0)</f>
        <v>0</v>
      </c>
      <c r="C119" s="8" t="n">
        <f aca="false">IFERROR(SUMIFS(Desconto_Cliente_Mes!$D$2:$D$433,Desconto_Cliente_Mes!$A$2:$A$433,C$117,Desconto_Cliente_Mes!$B$2:$B$433,$A117,Desconto_Cliente_Mes!$C$2:$C$433,"Fibra"),0)</f>
        <v>0</v>
      </c>
      <c r="D119" s="8" t="n">
        <f aca="false">IFERROR(SUMIFS(Desconto_Cliente_Mes!$D$2:$D$433,Desconto_Cliente_Mes!$A$2:$A$433,D$117,Desconto_Cliente_Mes!$B$2:$B$433,$A117,Desconto_Cliente_Mes!$C$2:$C$433,"Fibra"),0)</f>
        <v>0</v>
      </c>
      <c r="E119" s="8" t="n">
        <f aca="false">IFERROR(SUMIFS(Desconto_Cliente_Mes!$D$2:$D$433,Desconto_Cliente_Mes!$A$2:$A$433,E$117,Desconto_Cliente_Mes!$B$2:$B$433,$A117,Desconto_Cliente_Mes!$C$2:$C$433,"Fibra"),0)</f>
        <v>0</v>
      </c>
      <c r="F119" s="8" t="n">
        <f aca="false">IFERROR(SUMIFS(Desconto_Cliente_Mes!$D$2:$D$433,Desconto_Cliente_Mes!$A$2:$A$433,F$117,Desconto_Cliente_Mes!$B$2:$B$433,$A117,Desconto_Cliente_Mes!$C$2:$C$433,"Fibra"),0)</f>
        <v>0</v>
      </c>
      <c r="G119" s="8" t="n">
        <f aca="false">IFERROR(SUMIFS(Desconto_Cliente_Mes!$D$2:$D$433,Desconto_Cliente_Mes!$A$2:$A$433,G$117,Desconto_Cliente_Mes!$B$2:$B$433,$A117,Desconto_Cliente_Mes!$C$2:$C$433,"Fibra"),0)</f>
        <v>0</v>
      </c>
      <c r="H119" s="8" t="n">
        <f aca="false">IFERROR(SUMIFS(Desconto_Cliente_Mes!$D$2:$D$433,Desconto_Cliente_Mes!$A$2:$A$433,H$117,Desconto_Cliente_Mes!$B$2:$B$433,$A117,Desconto_Cliente_Mes!$C$2:$C$433,"Fibra"),0)</f>
        <v>0</v>
      </c>
      <c r="I119" s="8" t="n">
        <f aca="false">IFERROR(SUMIFS(Desconto_Cliente_Mes!$D$2:$D$433,Desconto_Cliente_Mes!$A$2:$A$433,I$117,Desconto_Cliente_Mes!$B$2:$B$433,$A117,Desconto_Cliente_Mes!$C$2:$C$433,"Fibra"),0)</f>
        <v>0</v>
      </c>
      <c r="J119" s="8" t="n">
        <f aca="false">IFERROR(SUMIFS(Desconto_Cliente_Mes!$D$2:$D$433,Desconto_Cliente_Mes!$A$2:$A$433,J$117,Desconto_Cliente_Mes!$B$2:$B$433,$A117,Desconto_Cliente_Mes!$C$2:$C$433,"Fibra"),0)</f>
        <v>0</v>
      </c>
      <c r="K119" s="8" t="n">
        <f aca="false">IFERROR(SUMIFS(Desconto_Cliente_Mes!$D$2:$D$433,Desconto_Cliente_Mes!$A$2:$A$433,K$117,Desconto_Cliente_Mes!$B$2:$B$433,$A117,Desconto_Cliente_Mes!$C$2:$C$433,"Fibra"),0)</f>
        <v>0</v>
      </c>
      <c r="L119" s="8" t="n">
        <f aca="false">IFERROR(SUMIFS(Desconto_Cliente_Mes!$D$2:$D$433,Desconto_Cliente_Mes!$A$2:$A$433,L$117,Desconto_Cliente_Mes!$B$2:$B$433,$A117,Desconto_Cliente_Mes!$C$2:$C$433,"Fibra"),0)</f>
        <v>0</v>
      </c>
      <c r="M119" s="8" t="n">
        <f aca="false">IFERROR(SUMIFS(Desconto_Cliente_Mes!$D$2:$D$433,Desconto_Cliente_Mes!$A$2:$A$433,M$117,Desconto_Cliente_Mes!$B$2:$B$433,$A117,Desconto_Cliente_Mes!$C$2:$C$433,"Fibra"),0)</f>
        <v>0</v>
      </c>
      <c r="N119" s="9" t="n">
        <f aca="false">SUM(B119:M119)</f>
        <v>0</v>
      </c>
    </row>
    <row r="120" customFormat="false" ht="15" hidden="false" customHeight="false" outlineLevel="0" collapsed="false">
      <c r="A120" s="13" t="s">
        <v>76</v>
      </c>
      <c r="B120" s="15" t="n">
        <f aca="false">MAX(0,(SUMIFS(Desconto_Cliente_Mes!$L$2:$L$433,Desconto_Cliente_Mes!$A$2:$A$433,B$117,Desconto_Cliente_Mes!$B$2:$B$433,$A117,Desconto_Cliente_Mes!$C$2:$C$433,"Fibra"))-(SUMIFS(Desconto_Cliente_Mes!$N$2:$N$433,Desconto_Cliente_Mes!$A$2:$A$433,B$117,Desconto_Cliente_Mes!$B$2:$B$433,$A117,Desconto_Cliente_Mes!$C$2:$C$433,"Fibra")))</f>
        <v>0</v>
      </c>
      <c r="C120" s="15" t="n">
        <f aca="false">MAX(0,(SUMIFS(Desconto_Cliente_Mes!$L$2:$L$433,Desconto_Cliente_Mes!$A$2:$A$433,C$117,Desconto_Cliente_Mes!$B$2:$B$433,$A117,Desconto_Cliente_Mes!$C$2:$C$433,"Fibra"))-(SUMIFS(Desconto_Cliente_Mes!$N$2:$N$433,Desconto_Cliente_Mes!$A$2:$A$433,C$117,Desconto_Cliente_Mes!$B$2:$B$433,$A117,Desconto_Cliente_Mes!$C$2:$C$433,"Fibra")))</f>
        <v>0</v>
      </c>
      <c r="D120" s="15" t="n">
        <f aca="false">MAX(0,(SUMIFS(Desconto_Cliente_Mes!$L$2:$L$433,Desconto_Cliente_Mes!$A$2:$A$433,D$117,Desconto_Cliente_Mes!$B$2:$B$433,$A117,Desconto_Cliente_Mes!$C$2:$C$433,"Fibra"))-(SUMIFS(Desconto_Cliente_Mes!$N$2:$N$433,Desconto_Cliente_Mes!$A$2:$A$433,D$117,Desconto_Cliente_Mes!$B$2:$B$433,$A117,Desconto_Cliente_Mes!$C$2:$C$433,"Fibra")))</f>
        <v>0</v>
      </c>
      <c r="E120" s="15" t="n">
        <f aca="false">MAX(0,(SUMIFS(Desconto_Cliente_Mes!$L$2:$L$433,Desconto_Cliente_Mes!$A$2:$A$433,E$117,Desconto_Cliente_Mes!$B$2:$B$433,$A117,Desconto_Cliente_Mes!$C$2:$C$433,"Fibra"))-(SUMIFS(Desconto_Cliente_Mes!$N$2:$N$433,Desconto_Cliente_Mes!$A$2:$A$433,E$117,Desconto_Cliente_Mes!$B$2:$B$433,$A117,Desconto_Cliente_Mes!$C$2:$C$433,"Fibra")))</f>
        <v>0</v>
      </c>
      <c r="F120" s="15" t="n">
        <f aca="false">MAX(0,(SUMIFS(Desconto_Cliente_Mes!$L$2:$L$433,Desconto_Cliente_Mes!$A$2:$A$433,F$117,Desconto_Cliente_Mes!$B$2:$B$433,$A117,Desconto_Cliente_Mes!$C$2:$C$433,"Fibra"))-(SUMIFS(Desconto_Cliente_Mes!$N$2:$N$433,Desconto_Cliente_Mes!$A$2:$A$433,F$117,Desconto_Cliente_Mes!$B$2:$B$433,$A117,Desconto_Cliente_Mes!$C$2:$C$433,"Fibra")))</f>
        <v>0</v>
      </c>
      <c r="G120" s="15" t="n">
        <f aca="false">MAX(0,(SUMIFS(Desconto_Cliente_Mes!$L$2:$L$433,Desconto_Cliente_Mes!$A$2:$A$433,G$117,Desconto_Cliente_Mes!$B$2:$B$433,$A117,Desconto_Cliente_Mes!$C$2:$C$433,"Fibra"))-(SUMIFS(Desconto_Cliente_Mes!$N$2:$N$433,Desconto_Cliente_Mes!$A$2:$A$433,G$117,Desconto_Cliente_Mes!$B$2:$B$433,$A117,Desconto_Cliente_Mes!$C$2:$C$433,"Fibra")))</f>
        <v>0</v>
      </c>
      <c r="H120" s="15" t="n">
        <f aca="false">MAX(0,(SUMIFS(Desconto_Cliente_Mes!$L$2:$L$433,Desconto_Cliente_Mes!$A$2:$A$433,H$117,Desconto_Cliente_Mes!$B$2:$B$433,$A117,Desconto_Cliente_Mes!$C$2:$C$433,"Fibra"))-(SUMIFS(Desconto_Cliente_Mes!$N$2:$N$433,Desconto_Cliente_Mes!$A$2:$A$433,H$117,Desconto_Cliente_Mes!$B$2:$B$433,$A117,Desconto_Cliente_Mes!$C$2:$C$433,"Fibra")))</f>
        <v>0</v>
      </c>
      <c r="I120" s="15" t="n">
        <f aca="false">MAX(0,(SUMIFS(Desconto_Cliente_Mes!$L$2:$L$433,Desconto_Cliente_Mes!$A$2:$A$433,I$117,Desconto_Cliente_Mes!$B$2:$B$433,$A117,Desconto_Cliente_Mes!$C$2:$C$433,"Fibra"))-(SUMIFS(Desconto_Cliente_Mes!$N$2:$N$433,Desconto_Cliente_Mes!$A$2:$A$433,I$117,Desconto_Cliente_Mes!$B$2:$B$433,$A117,Desconto_Cliente_Mes!$C$2:$C$433,"Fibra")))</f>
        <v>0</v>
      </c>
      <c r="J120" s="15" t="n">
        <f aca="false">MAX(0,(SUMIFS(Desconto_Cliente_Mes!$L$2:$L$433,Desconto_Cliente_Mes!$A$2:$A$433,J$117,Desconto_Cliente_Mes!$B$2:$B$433,$A117,Desconto_Cliente_Mes!$C$2:$C$433,"Fibra"))-(SUMIFS(Desconto_Cliente_Mes!$N$2:$N$433,Desconto_Cliente_Mes!$A$2:$A$433,J$117,Desconto_Cliente_Mes!$B$2:$B$433,$A117,Desconto_Cliente_Mes!$C$2:$C$433,"Fibra")))</f>
        <v>0</v>
      </c>
      <c r="K120" s="15" t="n">
        <f aca="false">MAX(0,(SUMIFS(Desconto_Cliente_Mes!$L$2:$L$433,Desconto_Cliente_Mes!$A$2:$A$433,K$117,Desconto_Cliente_Mes!$B$2:$B$433,$A117,Desconto_Cliente_Mes!$C$2:$C$433,"Fibra"))-(SUMIFS(Desconto_Cliente_Mes!$N$2:$N$433,Desconto_Cliente_Mes!$A$2:$A$433,K$117,Desconto_Cliente_Mes!$B$2:$B$433,$A117,Desconto_Cliente_Mes!$C$2:$C$433,"Fibra")))</f>
        <v>0</v>
      </c>
      <c r="L120" s="15" t="n">
        <f aca="false">MAX(0,(SUMIFS(Desconto_Cliente_Mes!$L$2:$L$433,Desconto_Cliente_Mes!$A$2:$A$433,L$117,Desconto_Cliente_Mes!$B$2:$B$433,$A117,Desconto_Cliente_Mes!$C$2:$C$433,"Fibra"))-(SUMIFS(Desconto_Cliente_Mes!$N$2:$N$433,Desconto_Cliente_Mes!$A$2:$A$433,L$117,Desconto_Cliente_Mes!$B$2:$B$433,$A117,Desconto_Cliente_Mes!$C$2:$C$433,"Fibra")))</f>
        <v>0</v>
      </c>
      <c r="M120" s="15" t="n">
        <f aca="false">MAX(0,(SUMIFS(Desconto_Cliente_Mes!$L$2:$L$433,Desconto_Cliente_Mes!$A$2:$A$433,M$117,Desconto_Cliente_Mes!$B$2:$B$433,$A117,Desconto_Cliente_Mes!$C$2:$C$433,"Fibra"))-(SUMIFS(Desconto_Cliente_Mes!$N$2:$N$433,Desconto_Cliente_Mes!$A$2:$A$433,M$117,Desconto_Cliente_Mes!$B$2:$B$433,$A117,Desconto_Cliente_Mes!$C$2:$C$433,"Fibra")))</f>
        <v>0</v>
      </c>
    </row>
    <row r="121" customFormat="false" ht="15" hidden="false" customHeight="false" outlineLevel="0" collapsed="false">
      <c r="A121" s="13" t="s">
        <v>77</v>
      </c>
      <c r="B121" s="15" t="n">
        <f aca="false">MAX(0,(SUMIFS(Desconto_Cliente_Mes!$N$2:$N$433,Desconto_Cliente_Mes!$A$2:$A$433,B$117,Desconto_Cliente_Mes!$B$2:$B$433,$A117,Desconto_Cliente_Mes!$C$2:$C$433,"Fibra"))-(SUMIFS(Desconto_Cliente_Mes!$P$2:$P$433,Desconto_Cliente_Mes!$A$2:$A$433,B$117,Desconto_Cliente_Mes!$B$2:$B$433,$A117,Desconto_Cliente_Mes!$C$2:$C$433,"Fibra")))</f>
        <v>0</v>
      </c>
      <c r="C121" s="15" t="n">
        <f aca="false">MAX(0,(SUMIFS(Desconto_Cliente_Mes!$N$2:$N$433,Desconto_Cliente_Mes!$A$2:$A$433,C$117,Desconto_Cliente_Mes!$B$2:$B$433,$A117,Desconto_Cliente_Mes!$C$2:$C$433,"Fibra"))-(SUMIFS(Desconto_Cliente_Mes!$P$2:$P$433,Desconto_Cliente_Mes!$A$2:$A$433,C$117,Desconto_Cliente_Mes!$B$2:$B$433,$A117,Desconto_Cliente_Mes!$C$2:$C$433,"Fibra")))</f>
        <v>0</v>
      </c>
      <c r="D121" s="15" t="n">
        <f aca="false">MAX(0,(SUMIFS(Desconto_Cliente_Mes!$N$2:$N$433,Desconto_Cliente_Mes!$A$2:$A$433,D$117,Desconto_Cliente_Mes!$B$2:$B$433,$A117,Desconto_Cliente_Mes!$C$2:$C$433,"Fibra"))-(SUMIFS(Desconto_Cliente_Mes!$P$2:$P$433,Desconto_Cliente_Mes!$A$2:$A$433,D$117,Desconto_Cliente_Mes!$B$2:$B$433,$A117,Desconto_Cliente_Mes!$C$2:$C$433,"Fibra")))</f>
        <v>0</v>
      </c>
      <c r="E121" s="15" t="n">
        <f aca="false">MAX(0,(SUMIFS(Desconto_Cliente_Mes!$N$2:$N$433,Desconto_Cliente_Mes!$A$2:$A$433,E$117,Desconto_Cliente_Mes!$B$2:$B$433,$A117,Desconto_Cliente_Mes!$C$2:$C$433,"Fibra"))-(SUMIFS(Desconto_Cliente_Mes!$P$2:$P$433,Desconto_Cliente_Mes!$A$2:$A$433,E$117,Desconto_Cliente_Mes!$B$2:$B$433,$A117,Desconto_Cliente_Mes!$C$2:$C$433,"Fibra")))</f>
        <v>0</v>
      </c>
      <c r="F121" s="15" t="n">
        <f aca="false">MAX(0,(SUMIFS(Desconto_Cliente_Mes!$N$2:$N$433,Desconto_Cliente_Mes!$A$2:$A$433,F$117,Desconto_Cliente_Mes!$B$2:$B$433,$A117,Desconto_Cliente_Mes!$C$2:$C$433,"Fibra"))-(SUMIFS(Desconto_Cliente_Mes!$P$2:$P$433,Desconto_Cliente_Mes!$A$2:$A$433,F$117,Desconto_Cliente_Mes!$B$2:$B$433,$A117,Desconto_Cliente_Mes!$C$2:$C$433,"Fibra")))</f>
        <v>0</v>
      </c>
      <c r="G121" s="15" t="n">
        <f aca="false">MAX(0,(SUMIFS(Desconto_Cliente_Mes!$N$2:$N$433,Desconto_Cliente_Mes!$A$2:$A$433,G$117,Desconto_Cliente_Mes!$B$2:$B$433,$A117,Desconto_Cliente_Mes!$C$2:$C$433,"Fibra"))-(SUMIFS(Desconto_Cliente_Mes!$P$2:$P$433,Desconto_Cliente_Mes!$A$2:$A$433,G$117,Desconto_Cliente_Mes!$B$2:$B$433,$A117,Desconto_Cliente_Mes!$C$2:$C$433,"Fibra")))</f>
        <v>0</v>
      </c>
      <c r="H121" s="15" t="n">
        <f aca="false">MAX(0,(SUMIFS(Desconto_Cliente_Mes!$N$2:$N$433,Desconto_Cliente_Mes!$A$2:$A$433,H$117,Desconto_Cliente_Mes!$B$2:$B$433,$A117,Desconto_Cliente_Mes!$C$2:$C$433,"Fibra"))-(SUMIFS(Desconto_Cliente_Mes!$P$2:$P$433,Desconto_Cliente_Mes!$A$2:$A$433,H$117,Desconto_Cliente_Mes!$B$2:$B$433,$A117,Desconto_Cliente_Mes!$C$2:$C$433,"Fibra")))</f>
        <v>0</v>
      </c>
      <c r="I121" s="15" t="n">
        <f aca="false">MAX(0,(SUMIFS(Desconto_Cliente_Mes!$N$2:$N$433,Desconto_Cliente_Mes!$A$2:$A$433,I$117,Desconto_Cliente_Mes!$B$2:$B$433,$A117,Desconto_Cliente_Mes!$C$2:$C$433,"Fibra"))-(SUMIFS(Desconto_Cliente_Mes!$P$2:$P$433,Desconto_Cliente_Mes!$A$2:$A$433,I$117,Desconto_Cliente_Mes!$B$2:$B$433,$A117,Desconto_Cliente_Mes!$C$2:$C$433,"Fibra")))</f>
        <v>0</v>
      </c>
      <c r="J121" s="15" t="n">
        <f aca="false">MAX(0,(SUMIFS(Desconto_Cliente_Mes!$N$2:$N$433,Desconto_Cliente_Mes!$A$2:$A$433,J$117,Desconto_Cliente_Mes!$B$2:$B$433,$A117,Desconto_Cliente_Mes!$C$2:$C$433,"Fibra"))-(SUMIFS(Desconto_Cliente_Mes!$P$2:$P$433,Desconto_Cliente_Mes!$A$2:$A$433,J$117,Desconto_Cliente_Mes!$B$2:$B$433,$A117,Desconto_Cliente_Mes!$C$2:$C$433,"Fibra")))</f>
        <v>0</v>
      </c>
      <c r="K121" s="15" t="n">
        <f aca="false">MAX(0,(SUMIFS(Desconto_Cliente_Mes!$N$2:$N$433,Desconto_Cliente_Mes!$A$2:$A$433,K$117,Desconto_Cliente_Mes!$B$2:$B$433,$A117,Desconto_Cliente_Mes!$C$2:$C$433,"Fibra"))-(SUMIFS(Desconto_Cliente_Mes!$P$2:$P$433,Desconto_Cliente_Mes!$A$2:$A$433,K$117,Desconto_Cliente_Mes!$B$2:$B$433,$A117,Desconto_Cliente_Mes!$C$2:$C$433,"Fibra")))</f>
        <v>0</v>
      </c>
      <c r="L121" s="15" t="n">
        <f aca="false">MAX(0,(SUMIFS(Desconto_Cliente_Mes!$N$2:$N$433,Desconto_Cliente_Mes!$A$2:$A$433,L$117,Desconto_Cliente_Mes!$B$2:$B$433,$A117,Desconto_Cliente_Mes!$C$2:$C$433,"Fibra"))-(SUMIFS(Desconto_Cliente_Mes!$P$2:$P$433,Desconto_Cliente_Mes!$A$2:$A$433,L$117,Desconto_Cliente_Mes!$B$2:$B$433,$A117,Desconto_Cliente_Mes!$C$2:$C$433,"Fibra")))</f>
        <v>0</v>
      </c>
      <c r="M121" s="15" t="n">
        <f aca="false">MAX(0,(SUMIFS(Desconto_Cliente_Mes!$N$2:$N$433,Desconto_Cliente_Mes!$A$2:$A$433,M$117,Desconto_Cliente_Mes!$B$2:$B$433,$A117,Desconto_Cliente_Mes!$C$2:$C$433,"Fibra"))-(SUMIFS(Desconto_Cliente_Mes!$P$2:$P$433,Desconto_Cliente_Mes!$A$2:$A$433,M$117,Desconto_Cliente_Mes!$B$2:$B$433,$A117,Desconto_Cliente_Mes!$C$2:$C$433,"Fibra")))</f>
        <v>0</v>
      </c>
    </row>
    <row r="122" customFormat="false" ht="15" hidden="false" customHeight="false" outlineLevel="0" collapsed="false">
      <c r="A122" s="13" t="s">
        <v>78</v>
      </c>
      <c r="B122" s="15" t="n">
        <f aca="false">MAX(0,SUMIFS(Desconto_Cliente_Mes!$P$2:$P$433,Desconto_Cliente_Mes!$A$2:$A$433,B$117,Desconto_Cliente_Mes!$B$2:$B$433,$A117,Desconto_Cliente_Mes!$C$2:$C$433,"Fibra"))</f>
        <v>0</v>
      </c>
      <c r="C122" s="15" t="n">
        <f aca="false">MAX(0,SUMIFS(Desconto_Cliente_Mes!$P$2:$P$433,Desconto_Cliente_Mes!$A$2:$A$433,C$117,Desconto_Cliente_Mes!$B$2:$B$433,$A117,Desconto_Cliente_Mes!$C$2:$C$433,"Fibra"))</f>
        <v>0</v>
      </c>
      <c r="D122" s="15" t="n">
        <f aca="false">MAX(0,SUMIFS(Desconto_Cliente_Mes!$P$2:$P$433,Desconto_Cliente_Mes!$A$2:$A$433,D$117,Desconto_Cliente_Mes!$B$2:$B$433,$A117,Desconto_Cliente_Mes!$C$2:$C$433,"Fibra"))</f>
        <v>0</v>
      </c>
      <c r="E122" s="15" t="n">
        <f aca="false">MAX(0,SUMIFS(Desconto_Cliente_Mes!$P$2:$P$433,Desconto_Cliente_Mes!$A$2:$A$433,E$117,Desconto_Cliente_Mes!$B$2:$B$433,$A117,Desconto_Cliente_Mes!$C$2:$C$433,"Fibra"))</f>
        <v>0</v>
      </c>
      <c r="F122" s="15" t="n">
        <f aca="false">MAX(0,SUMIFS(Desconto_Cliente_Mes!$P$2:$P$433,Desconto_Cliente_Mes!$A$2:$A$433,F$117,Desconto_Cliente_Mes!$B$2:$B$433,$A117,Desconto_Cliente_Mes!$C$2:$C$433,"Fibra"))</f>
        <v>0</v>
      </c>
      <c r="G122" s="15" t="n">
        <f aca="false">MAX(0,SUMIFS(Desconto_Cliente_Mes!$P$2:$P$433,Desconto_Cliente_Mes!$A$2:$A$433,G$117,Desconto_Cliente_Mes!$B$2:$B$433,$A117,Desconto_Cliente_Mes!$C$2:$C$433,"Fibra"))</f>
        <v>0</v>
      </c>
      <c r="H122" s="15" t="n">
        <f aca="false">MAX(0,SUMIFS(Desconto_Cliente_Mes!$P$2:$P$433,Desconto_Cliente_Mes!$A$2:$A$433,H$117,Desconto_Cliente_Mes!$B$2:$B$433,$A117,Desconto_Cliente_Mes!$C$2:$C$433,"Fibra"))</f>
        <v>0</v>
      </c>
      <c r="I122" s="15" t="n">
        <f aca="false">MAX(0,SUMIFS(Desconto_Cliente_Mes!$P$2:$P$433,Desconto_Cliente_Mes!$A$2:$A$433,I$117,Desconto_Cliente_Mes!$B$2:$B$433,$A117,Desconto_Cliente_Mes!$C$2:$C$433,"Fibra"))</f>
        <v>0</v>
      </c>
      <c r="J122" s="15" t="n">
        <f aca="false">MAX(0,SUMIFS(Desconto_Cliente_Mes!$P$2:$P$433,Desconto_Cliente_Mes!$A$2:$A$433,J$117,Desconto_Cliente_Mes!$B$2:$B$433,$A117,Desconto_Cliente_Mes!$C$2:$C$433,"Fibra"))</f>
        <v>0</v>
      </c>
      <c r="K122" s="15" t="n">
        <f aca="false">MAX(0,SUMIFS(Desconto_Cliente_Mes!$P$2:$P$433,Desconto_Cliente_Mes!$A$2:$A$433,K$117,Desconto_Cliente_Mes!$B$2:$B$433,$A117,Desconto_Cliente_Mes!$C$2:$C$433,"Fibra"))</f>
        <v>0</v>
      </c>
      <c r="L122" s="15" t="n">
        <f aca="false">MAX(0,SUMIFS(Desconto_Cliente_Mes!$P$2:$P$433,Desconto_Cliente_Mes!$A$2:$A$433,L$117,Desconto_Cliente_Mes!$B$2:$B$433,$A117,Desconto_Cliente_Mes!$C$2:$C$433,"Fibra"))</f>
        <v>0</v>
      </c>
      <c r="M122" s="15" t="n">
        <f aca="false">MAX(0,SUMIFS(Desconto_Cliente_Mes!$P$2:$P$433,Desconto_Cliente_Mes!$A$2:$A$433,M$117,Desconto_Cliente_Mes!$B$2:$B$433,$A117,Desconto_Cliente_Mes!$C$2:$C$433,"Fibra"))</f>
        <v>0</v>
      </c>
    </row>
    <row r="123" customFormat="false" ht="15" hidden="false" customHeight="false" outlineLevel="0" collapsed="false">
      <c r="A123" s="13" t="s">
        <v>79</v>
      </c>
      <c r="B123" s="16" t="n">
        <f aca="false">$B$119*($B$120/100)*(SUMIFS(Desconto_Cliente_Mes!$Q$2:$Q$433,Desconto_Cliente_Mes!$A$2:$A$433,B$117,Desconto_Cliente_Mes!$B$2:$B$433,$A117,Desconto_Cliente_Mes!$C$2:$C$433,"Fibra"))*(SUMIFS(Desconto_Cliente_Mes!$T$2:$T$433,Desconto_Cliente_Mes!$A$2:$A$433,B$117,Desconto_Cliente_Mes!$B$2:$B$433,$A117,Desconto_Cliente_Mes!$C$2:$C$433,"Fibra"))</f>
        <v>0</v>
      </c>
      <c r="C123" s="16" t="n">
        <f aca="false">$C$119*($C$120/100)*(SUMIFS(Desconto_Cliente_Mes!$Q$2:$Q$433,Desconto_Cliente_Mes!$A$2:$A$433,C$117,Desconto_Cliente_Mes!$B$2:$B$433,$A117,Desconto_Cliente_Mes!$C$2:$C$433,"Fibra"))*(SUMIFS(Desconto_Cliente_Mes!$T$2:$T$433,Desconto_Cliente_Mes!$A$2:$A$433,C$117,Desconto_Cliente_Mes!$B$2:$B$433,$A117,Desconto_Cliente_Mes!$C$2:$C$433,"Fibra"))</f>
        <v>0</v>
      </c>
      <c r="D123" s="16" t="n">
        <f aca="false">$D$119*($D$120/100)*(SUMIFS(Desconto_Cliente_Mes!$Q$2:$Q$433,Desconto_Cliente_Mes!$A$2:$A$433,D$117,Desconto_Cliente_Mes!$B$2:$B$433,$A117,Desconto_Cliente_Mes!$C$2:$C$433,"Fibra"))*(SUMIFS(Desconto_Cliente_Mes!$T$2:$T$433,Desconto_Cliente_Mes!$A$2:$A$433,D$117,Desconto_Cliente_Mes!$B$2:$B$433,$A117,Desconto_Cliente_Mes!$C$2:$C$433,"Fibra"))</f>
        <v>0</v>
      </c>
      <c r="E123" s="16" t="n">
        <f aca="false">$E$119*($E$120/100)*(SUMIFS(Desconto_Cliente_Mes!$Q$2:$Q$433,Desconto_Cliente_Mes!$A$2:$A$433,E$117,Desconto_Cliente_Mes!$B$2:$B$433,$A117,Desconto_Cliente_Mes!$C$2:$C$433,"Fibra"))*(SUMIFS(Desconto_Cliente_Mes!$T$2:$T$433,Desconto_Cliente_Mes!$A$2:$A$433,E$117,Desconto_Cliente_Mes!$B$2:$B$433,$A117,Desconto_Cliente_Mes!$C$2:$C$433,"Fibra"))</f>
        <v>0</v>
      </c>
      <c r="F123" s="16" t="n">
        <f aca="false">$F$119*($F$120/100)*(SUMIFS(Desconto_Cliente_Mes!$Q$2:$Q$433,Desconto_Cliente_Mes!$A$2:$A$433,F$117,Desconto_Cliente_Mes!$B$2:$B$433,$A117,Desconto_Cliente_Mes!$C$2:$C$433,"Fibra"))*(SUMIFS(Desconto_Cliente_Mes!$T$2:$T$433,Desconto_Cliente_Mes!$A$2:$A$433,F$117,Desconto_Cliente_Mes!$B$2:$B$433,$A117,Desconto_Cliente_Mes!$C$2:$C$433,"Fibra"))</f>
        <v>0</v>
      </c>
      <c r="G123" s="16" t="n">
        <f aca="false">$G$119*($G$120/100)*(SUMIFS(Desconto_Cliente_Mes!$Q$2:$Q$433,Desconto_Cliente_Mes!$A$2:$A$433,G$117,Desconto_Cliente_Mes!$B$2:$B$433,$A117,Desconto_Cliente_Mes!$C$2:$C$433,"Fibra"))*(SUMIFS(Desconto_Cliente_Mes!$T$2:$T$433,Desconto_Cliente_Mes!$A$2:$A$433,G$117,Desconto_Cliente_Mes!$B$2:$B$433,$A117,Desconto_Cliente_Mes!$C$2:$C$433,"Fibra"))</f>
        <v>0</v>
      </c>
      <c r="H123" s="16" t="n">
        <f aca="false">$H$119*($H$120/100)*(SUMIFS(Desconto_Cliente_Mes!$Q$2:$Q$433,Desconto_Cliente_Mes!$A$2:$A$433,H$117,Desconto_Cliente_Mes!$B$2:$B$433,$A117,Desconto_Cliente_Mes!$C$2:$C$433,"Fibra"))*(SUMIFS(Desconto_Cliente_Mes!$T$2:$T$433,Desconto_Cliente_Mes!$A$2:$A$433,H$117,Desconto_Cliente_Mes!$B$2:$B$433,$A117,Desconto_Cliente_Mes!$C$2:$C$433,"Fibra"))</f>
        <v>0</v>
      </c>
      <c r="I123" s="16" t="n">
        <f aca="false">$I$119*($I$120/100)*(SUMIFS(Desconto_Cliente_Mes!$Q$2:$Q$433,Desconto_Cliente_Mes!$A$2:$A$433,I$117,Desconto_Cliente_Mes!$B$2:$B$433,$A117,Desconto_Cliente_Mes!$C$2:$C$433,"Fibra"))*(SUMIFS(Desconto_Cliente_Mes!$T$2:$T$433,Desconto_Cliente_Mes!$A$2:$A$433,I$117,Desconto_Cliente_Mes!$B$2:$B$433,$A117,Desconto_Cliente_Mes!$C$2:$C$433,"Fibra"))</f>
        <v>0</v>
      </c>
      <c r="J123" s="16" t="n">
        <f aca="false">$J$119*($J$120/100)*(SUMIFS(Desconto_Cliente_Mes!$Q$2:$Q$433,Desconto_Cliente_Mes!$A$2:$A$433,J$117,Desconto_Cliente_Mes!$B$2:$B$433,$A117,Desconto_Cliente_Mes!$C$2:$C$433,"Fibra"))*(SUMIFS(Desconto_Cliente_Mes!$T$2:$T$433,Desconto_Cliente_Mes!$A$2:$A$433,J$117,Desconto_Cliente_Mes!$B$2:$B$433,$A117,Desconto_Cliente_Mes!$C$2:$C$433,"Fibra"))</f>
        <v>0</v>
      </c>
      <c r="K123" s="16" t="n">
        <f aca="false">$K$119*($K$120/100)*(SUMIFS(Desconto_Cliente_Mes!$Q$2:$Q$433,Desconto_Cliente_Mes!$A$2:$A$433,K$117,Desconto_Cliente_Mes!$B$2:$B$433,$A117,Desconto_Cliente_Mes!$C$2:$C$433,"Fibra"))*(SUMIFS(Desconto_Cliente_Mes!$T$2:$T$433,Desconto_Cliente_Mes!$A$2:$A$433,K$117,Desconto_Cliente_Mes!$B$2:$B$433,$A117,Desconto_Cliente_Mes!$C$2:$C$433,"Fibra"))</f>
        <v>0</v>
      </c>
      <c r="L123" s="16" t="n">
        <f aca="false">$L$119*($L$120/100)*(SUMIFS(Desconto_Cliente_Mes!$Q$2:$Q$433,Desconto_Cliente_Mes!$A$2:$A$433,L$117,Desconto_Cliente_Mes!$B$2:$B$433,$A117,Desconto_Cliente_Mes!$C$2:$C$433,"Fibra"))*(SUMIFS(Desconto_Cliente_Mes!$T$2:$T$433,Desconto_Cliente_Mes!$A$2:$A$433,L$117,Desconto_Cliente_Mes!$B$2:$B$433,$A117,Desconto_Cliente_Mes!$C$2:$C$433,"Fibra"))</f>
        <v>0</v>
      </c>
      <c r="M123" s="16" t="n">
        <f aca="false">$M$119*($M$120/100)*(SUMIFS(Desconto_Cliente_Mes!$Q$2:$Q$433,Desconto_Cliente_Mes!$A$2:$A$433,M$117,Desconto_Cliente_Mes!$B$2:$B$433,$A117,Desconto_Cliente_Mes!$C$2:$C$433,"Fibra"))*(SUMIFS(Desconto_Cliente_Mes!$T$2:$T$433,Desconto_Cliente_Mes!$A$2:$A$433,M$117,Desconto_Cliente_Mes!$B$2:$B$433,$A117,Desconto_Cliente_Mes!$C$2:$C$433,"Fibra"))</f>
        <v>0</v>
      </c>
      <c r="N123" s="17" t="n">
        <f aca="false">SUM(B123:M123)</f>
        <v>0</v>
      </c>
    </row>
    <row r="124" customFormat="false" ht="15" hidden="false" customHeight="false" outlineLevel="0" collapsed="false">
      <c r="A124" s="13" t="s">
        <v>80</v>
      </c>
      <c r="B124" s="16" t="n">
        <f aca="false">$B$119*($B$121/100)*((IF(SUMIFS(Desconto_Cliente_Mes!$R$2:$R$433,Desconto_Cliente_Mes!$A$2:$A$433,B$117,Desconto_Cliente_Mes!$B$2:$B$433,$A117,Desconto_Cliente_Mes!$C$2:$C$433,"Fibra")="",SUMIFS(Desconto_Cliente_Mes!$Q$2:$Q$433,Desconto_Cliente_Mes!$A$2:$A$433,B$117,Desconto_Cliente_Mes!$B$2:$B$433,$A117,Desconto_Cliente_Mes!$C$2:$C$433,"Fibra"),SUMIFS(Desconto_Cliente_Mes!$R$2:$R$433,Desconto_Cliente_Mes!$A$2:$A$433,B$117,Desconto_Cliente_Mes!$B$2:$B$433,$A117,Desconto_Cliente_Mes!$C$2:$C$433,"Fibra")))-(SUMIFS(Desconto_Cliente_Mes!$Q$2:$Q$433,Desconto_Cliente_Mes!$A$2:$A$433,B$117,Desconto_Cliente_Mes!$B$2:$B$433,$A117,Desconto_Cliente_Mes!$C$2:$C$433,"Fibra")))*(SUMIFS(Desconto_Cliente_Mes!$T$2:$T$433,Desconto_Cliente_Mes!$A$2:$A$433,B$117,Desconto_Cliente_Mes!$B$2:$B$433,$A117,Desconto_Cliente_Mes!$C$2:$C$433,"Fibra"))</f>
        <v>0</v>
      </c>
      <c r="C124" s="16" t="n">
        <f aca="false">$C$119*($C$121/100)*((IF(SUMIFS(Desconto_Cliente_Mes!$R$2:$R$433,Desconto_Cliente_Mes!$A$2:$A$433,C$117,Desconto_Cliente_Mes!$B$2:$B$433,$A117,Desconto_Cliente_Mes!$C$2:$C$433,"Fibra")="",SUMIFS(Desconto_Cliente_Mes!$Q$2:$Q$433,Desconto_Cliente_Mes!$A$2:$A$433,C$117,Desconto_Cliente_Mes!$B$2:$B$433,$A117,Desconto_Cliente_Mes!$C$2:$C$433,"Fibra"),SUMIFS(Desconto_Cliente_Mes!$R$2:$R$433,Desconto_Cliente_Mes!$A$2:$A$433,C$117,Desconto_Cliente_Mes!$B$2:$B$433,$A117,Desconto_Cliente_Mes!$C$2:$C$433,"Fibra")))-(SUMIFS(Desconto_Cliente_Mes!$Q$2:$Q$433,Desconto_Cliente_Mes!$A$2:$A$433,C$117,Desconto_Cliente_Mes!$B$2:$B$433,$A117,Desconto_Cliente_Mes!$C$2:$C$433,"Fibra")))*(SUMIFS(Desconto_Cliente_Mes!$T$2:$T$433,Desconto_Cliente_Mes!$A$2:$A$433,C$117,Desconto_Cliente_Mes!$B$2:$B$433,$A117,Desconto_Cliente_Mes!$C$2:$C$433,"Fibra"))</f>
        <v>0</v>
      </c>
      <c r="D124" s="16" t="n">
        <f aca="false">$D$119*($D$121/100)*((IF(SUMIFS(Desconto_Cliente_Mes!$R$2:$R$433,Desconto_Cliente_Mes!$A$2:$A$433,D$117,Desconto_Cliente_Mes!$B$2:$B$433,$A117,Desconto_Cliente_Mes!$C$2:$C$433,"Fibra")="",SUMIFS(Desconto_Cliente_Mes!$Q$2:$Q$433,Desconto_Cliente_Mes!$A$2:$A$433,D$117,Desconto_Cliente_Mes!$B$2:$B$433,$A117,Desconto_Cliente_Mes!$C$2:$C$433,"Fibra"),SUMIFS(Desconto_Cliente_Mes!$R$2:$R$433,Desconto_Cliente_Mes!$A$2:$A$433,D$117,Desconto_Cliente_Mes!$B$2:$B$433,$A117,Desconto_Cliente_Mes!$C$2:$C$433,"Fibra")))-(SUMIFS(Desconto_Cliente_Mes!$Q$2:$Q$433,Desconto_Cliente_Mes!$A$2:$A$433,D$117,Desconto_Cliente_Mes!$B$2:$B$433,$A117,Desconto_Cliente_Mes!$C$2:$C$433,"Fibra")))*(SUMIFS(Desconto_Cliente_Mes!$T$2:$T$433,Desconto_Cliente_Mes!$A$2:$A$433,D$117,Desconto_Cliente_Mes!$B$2:$B$433,$A117,Desconto_Cliente_Mes!$C$2:$C$433,"Fibra"))</f>
        <v>0</v>
      </c>
      <c r="E124" s="16" t="n">
        <f aca="false">$E$119*($E$121/100)*((IF(SUMIFS(Desconto_Cliente_Mes!$R$2:$R$433,Desconto_Cliente_Mes!$A$2:$A$433,E$117,Desconto_Cliente_Mes!$B$2:$B$433,$A117,Desconto_Cliente_Mes!$C$2:$C$433,"Fibra")="",SUMIFS(Desconto_Cliente_Mes!$Q$2:$Q$433,Desconto_Cliente_Mes!$A$2:$A$433,E$117,Desconto_Cliente_Mes!$B$2:$B$433,$A117,Desconto_Cliente_Mes!$C$2:$C$433,"Fibra"),SUMIFS(Desconto_Cliente_Mes!$R$2:$R$433,Desconto_Cliente_Mes!$A$2:$A$433,E$117,Desconto_Cliente_Mes!$B$2:$B$433,$A117,Desconto_Cliente_Mes!$C$2:$C$433,"Fibra")))-(SUMIFS(Desconto_Cliente_Mes!$Q$2:$Q$433,Desconto_Cliente_Mes!$A$2:$A$433,E$117,Desconto_Cliente_Mes!$B$2:$B$433,$A117,Desconto_Cliente_Mes!$C$2:$C$433,"Fibra")))*(SUMIFS(Desconto_Cliente_Mes!$T$2:$T$433,Desconto_Cliente_Mes!$A$2:$A$433,E$117,Desconto_Cliente_Mes!$B$2:$B$433,$A117,Desconto_Cliente_Mes!$C$2:$C$433,"Fibra"))</f>
        <v>0</v>
      </c>
      <c r="F124" s="16" t="n">
        <f aca="false">$F$119*($F$121/100)*((IF(SUMIFS(Desconto_Cliente_Mes!$R$2:$R$433,Desconto_Cliente_Mes!$A$2:$A$433,F$117,Desconto_Cliente_Mes!$B$2:$B$433,$A117,Desconto_Cliente_Mes!$C$2:$C$433,"Fibra")="",SUMIFS(Desconto_Cliente_Mes!$Q$2:$Q$433,Desconto_Cliente_Mes!$A$2:$A$433,F$117,Desconto_Cliente_Mes!$B$2:$B$433,$A117,Desconto_Cliente_Mes!$C$2:$C$433,"Fibra"),SUMIFS(Desconto_Cliente_Mes!$R$2:$R$433,Desconto_Cliente_Mes!$A$2:$A$433,F$117,Desconto_Cliente_Mes!$B$2:$B$433,$A117,Desconto_Cliente_Mes!$C$2:$C$433,"Fibra")))-(SUMIFS(Desconto_Cliente_Mes!$Q$2:$Q$433,Desconto_Cliente_Mes!$A$2:$A$433,F$117,Desconto_Cliente_Mes!$B$2:$B$433,$A117,Desconto_Cliente_Mes!$C$2:$C$433,"Fibra")))*(SUMIFS(Desconto_Cliente_Mes!$T$2:$T$433,Desconto_Cliente_Mes!$A$2:$A$433,F$117,Desconto_Cliente_Mes!$B$2:$B$433,$A117,Desconto_Cliente_Mes!$C$2:$C$433,"Fibra"))</f>
        <v>0</v>
      </c>
      <c r="G124" s="16" t="n">
        <f aca="false">$G$119*($G$121/100)*((IF(SUMIFS(Desconto_Cliente_Mes!$R$2:$R$433,Desconto_Cliente_Mes!$A$2:$A$433,G$117,Desconto_Cliente_Mes!$B$2:$B$433,$A117,Desconto_Cliente_Mes!$C$2:$C$433,"Fibra")="",SUMIFS(Desconto_Cliente_Mes!$Q$2:$Q$433,Desconto_Cliente_Mes!$A$2:$A$433,G$117,Desconto_Cliente_Mes!$B$2:$B$433,$A117,Desconto_Cliente_Mes!$C$2:$C$433,"Fibra"),SUMIFS(Desconto_Cliente_Mes!$R$2:$R$433,Desconto_Cliente_Mes!$A$2:$A$433,G$117,Desconto_Cliente_Mes!$B$2:$B$433,$A117,Desconto_Cliente_Mes!$C$2:$C$433,"Fibra")))-(SUMIFS(Desconto_Cliente_Mes!$Q$2:$Q$433,Desconto_Cliente_Mes!$A$2:$A$433,G$117,Desconto_Cliente_Mes!$B$2:$B$433,$A117,Desconto_Cliente_Mes!$C$2:$C$433,"Fibra")))*(SUMIFS(Desconto_Cliente_Mes!$T$2:$T$433,Desconto_Cliente_Mes!$A$2:$A$433,G$117,Desconto_Cliente_Mes!$B$2:$B$433,$A117,Desconto_Cliente_Mes!$C$2:$C$433,"Fibra"))</f>
        <v>0</v>
      </c>
      <c r="H124" s="16" t="n">
        <f aca="false">$H$119*($H$121/100)*((IF(SUMIFS(Desconto_Cliente_Mes!$R$2:$R$433,Desconto_Cliente_Mes!$A$2:$A$433,H$117,Desconto_Cliente_Mes!$B$2:$B$433,$A117,Desconto_Cliente_Mes!$C$2:$C$433,"Fibra")="",SUMIFS(Desconto_Cliente_Mes!$Q$2:$Q$433,Desconto_Cliente_Mes!$A$2:$A$433,H$117,Desconto_Cliente_Mes!$B$2:$B$433,$A117,Desconto_Cliente_Mes!$C$2:$C$433,"Fibra"),SUMIFS(Desconto_Cliente_Mes!$R$2:$R$433,Desconto_Cliente_Mes!$A$2:$A$433,H$117,Desconto_Cliente_Mes!$B$2:$B$433,$A117,Desconto_Cliente_Mes!$C$2:$C$433,"Fibra")))-(SUMIFS(Desconto_Cliente_Mes!$Q$2:$Q$433,Desconto_Cliente_Mes!$A$2:$A$433,H$117,Desconto_Cliente_Mes!$B$2:$B$433,$A117,Desconto_Cliente_Mes!$C$2:$C$433,"Fibra")))*(SUMIFS(Desconto_Cliente_Mes!$T$2:$T$433,Desconto_Cliente_Mes!$A$2:$A$433,H$117,Desconto_Cliente_Mes!$B$2:$B$433,$A117,Desconto_Cliente_Mes!$C$2:$C$433,"Fibra"))</f>
        <v>0</v>
      </c>
      <c r="I124" s="16" t="n">
        <f aca="false">$I$119*($I$121/100)*((IF(SUMIFS(Desconto_Cliente_Mes!$R$2:$R$433,Desconto_Cliente_Mes!$A$2:$A$433,I$117,Desconto_Cliente_Mes!$B$2:$B$433,$A117,Desconto_Cliente_Mes!$C$2:$C$433,"Fibra")="",SUMIFS(Desconto_Cliente_Mes!$Q$2:$Q$433,Desconto_Cliente_Mes!$A$2:$A$433,I$117,Desconto_Cliente_Mes!$B$2:$B$433,$A117,Desconto_Cliente_Mes!$C$2:$C$433,"Fibra"),SUMIFS(Desconto_Cliente_Mes!$R$2:$R$433,Desconto_Cliente_Mes!$A$2:$A$433,I$117,Desconto_Cliente_Mes!$B$2:$B$433,$A117,Desconto_Cliente_Mes!$C$2:$C$433,"Fibra")))-(SUMIFS(Desconto_Cliente_Mes!$Q$2:$Q$433,Desconto_Cliente_Mes!$A$2:$A$433,I$117,Desconto_Cliente_Mes!$B$2:$B$433,$A117,Desconto_Cliente_Mes!$C$2:$C$433,"Fibra")))*(SUMIFS(Desconto_Cliente_Mes!$T$2:$T$433,Desconto_Cliente_Mes!$A$2:$A$433,I$117,Desconto_Cliente_Mes!$B$2:$B$433,$A117,Desconto_Cliente_Mes!$C$2:$C$433,"Fibra"))</f>
        <v>0</v>
      </c>
      <c r="J124" s="16" t="n">
        <f aca="false">$J$119*($J$121/100)*((IF(SUMIFS(Desconto_Cliente_Mes!$R$2:$R$433,Desconto_Cliente_Mes!$A$2:$A$433,J$117,Desconto_Cliente_Mes!$B$2:$B$433,$A117,Desconto_Cliente_Mes!$C$2:$C$433,"Fibra")="",SUMIFS(Desconto_Cliente_Mes!$Q$2:$Q$433,Desconto_Cliente_Mes!$A$2:$A$433,J$117,Desconto_Cliente_Mes!$B$2:$B$433,$A117,Desconto_Cliente_Mes!$C$2:$C$433,"Fibra"),SUMIFS(Desconto_Cliente_Mes!$R$2:$R$433,Desconto_Cliente_Mes!$A$2:$A$433,J$117,Desconto_Cliente_Mes!$B$2:$B$433,$A117,Desconto_Cliente_Mes!$C$2:$C$433,"Fibra")))-(SUMIFS(Desconto_Cliente_Mes!$Q$2:$Q$433,Desconto_Cliente_Mes!$A$2:$A$433,J$117,Desconto_Cliente_Mes!$B$2:$B$433,$A117,Desconto_Cliente_Mes!$C$2:$C$433,"Fibra")))*(SUMIFS(Desconto_Cliente_Mes!$T$2:$T$433,Desconto_Cliente_Mes!$A$2:$A$433,J$117,Desconto_Cliente_Mes!$B$2:$B$433,$A117,Desconto_Cliente_Mes!$C$2:$C$433,"Fibra"))</f>
        <v>0</v>
      </c>
      <c r="K124" s="16" t="n">
        <f aca="false">$K$119*($K$121/100)*((IF(SUMIFS(Desconto_Cliente_Mes!$R$2:$R$433,Desconto_Cliente_Mes!$A$2:$A$433,K$117,Desconto_Cliente_Mes!$B$2:$B$433,$A117,Desconto_Cliente_Mes!$C$2:$C$433,"Fibra")="",SUMIFS(Desconto_Cliente_Mes!$Q$2:$Q$433,Desconto_Cliente_Mes!$A$2:$A$433,K$117,Desconto_Cliente_Mes!$B$2:$B$433,$A117,Desconto_Cliente_Mes!$C$2:$C$433,"Fibra"),SUMIFS(Desconto_Cliente_Mes!$R$2:$R$433,Desconto_Cliente_Mes!$A$2:$A$433,K$117,Desconto_Cliente_Mes!$B$2:$B$433,$A117,Desconto_Cliente_Mes!$C$2:$C$433,"Fibra")))-(SUMIFS(Desconto_Cliente_Mes!$Q$2:$Q$433,Desconto_Cliente_Mes!$A$2:$A$433,K$117,Desconto_Cliente_Mes!$B$2:$B$433,$A117,Desconto_Cliente_Mes!$C$2:$C$433,"Fibra")))*(SUMIFS(Desconto_Cliente_Mes!$T$2:$T$433,Desconto_Cliente_Mes!$A$2:$A$433,K$117,Desconto_Cliente_Mes!$B$2:$B$433,$A117,Desconto_Cliente_Mes!$C$2:$C$433,"Fibra"))</f>
        <v>0</v>
      </c>
      <c r="L124" s="16" t="n">
        <f aca="false">$L$119*($L$121/100)*((IF(SUMIFS(Desconto_Cliente_Mes!$R$2:$R$433,Desconto_Cliente_Mes!$A$2:$A$433,L$117,Desconto_Cliente_Mes!$B$2:$B$433,$A117,Desconto_Cliente_Mes!$C$2:$C$433,"Fibra")="",SUMIFS(Desconto_Cliente_Mes!$Q$2:$Q$433,Desconto_Cliente_Mes!$A$2:$A$433,L$117,Desconto_Cliente_Mes!$B$2:$B$433,$A117,Desconto_Cliente_Mes!$C$2:$C$433,"Fibra"),SUMIFS(Desconto_Cliente_Mes!$R$2:$R$433,Desconto_Cliente_Mes!$A$2:$A$433,L$117,Desconto_Cliente_Mes!$B$2:$B$433,$A117,Desconto_Cliente_Mes!$C$2:$C$433,"Fibra")))-(SUMIFS(Desconto_Cliente_Mes!$Q$2:$Q$433,Desconto_Cliente_Mes!$A$2:$A$433,L$117,Desconto_Cliente_Mes!$B$2:$B$433,$A117,Desconto_Cliente_Mes!$C$2:$C$433,"Fibra")))*(SUMIFS(Desconto_Cliente_Mes!$T$2:$T$433,Desconto_Cliente_Mes!$A$2:$A$433,L$117,Desconto_Cliente_Mes!$B$2:$B$433,$A117,Desconto_Cliente_Mes!$C$2:$C$433,"Fibra"))</f>
        <v>0</v>
      </c>
      <c r="M124" s="16" t="n">
        <f aca="false">$M$119*($M$121/100)*((IF(SUMIFS(Desconto_Cliente_Mes!$R$2:$R$433,Desconto_Cliente_Mes!$A$2:$A$433,M$117,Desconto_Cliente_Mes!$B$2:$B$433,$A117,Desconto_Cliente_Mes!$C$2:$C$433,"Fibra")="",SUMIFS(Desconto_Cliente_Mes!$Q$2:$Q$433,Desconto_Cliente_Mes!$A$2:$A$433,M$117,Desconto_Cliente_Mes!$B$2:$B$433,$A117,Desconto_Cliente_Mes!$C$2:$C$433,"Fibra"),SUMIFS(Desconto_Cliente_Mes!$R$2:$R$433,Desconto_Cliente_Mes!$A$2:$A$433,M$117,Desconto_Cliente_Mes!$B$2:$B$433,$A117,Desconto_Cliente_Mes!$C$2:$C$433,"Fibra")))-(SUMIFS(Desconto_Cliente_Mes!$Q$2:$Q$433,Desconto_Cliente_Mes!$A$2:$A$433,M$117,Desconto_Cliente_Mes!$B$2:$B$433,$A117,Desconto_Cliente_Mes!$C$2:$C$433,"Fibra")))*(SUMIFS(Desconto_Cliente_Mes!$T$2:$T$433,Desconto_Cliente_Mes!$A$2:$A$433,M$117,Desconto_Cliente_Mes!$B$2:$B$433,$A117,Desconto_Cliente_Mes!$C$2:$C$433,"Fibra"))</f>
        <v>0</v>
      </c>
      <c r="N124" s="17" t="n">
        <f aca="false">SUM(B124:M124)</f>
        <v>0</v>
      </c>
    </row>
    <row r="125" customFormat="false" ht="15" hidden="false" customHeight="false" outlineLevel="0" collapsed="false">
      <c r="A125" s="13" t="s">
        <v>81</v>
      </c>
      <c r="B125" s="16" t="n">
        <f aca="false">$B$119*($B$122/100)*((IF(SUMIFS(Desconto_Cliente_Mes!$S$2:$S$433,Desconto_Cliente_Mes!$A$2:$A$433,B$117,Desconto_Cliente_Mes!$B$2:$B$433,$A117,Desconto_Cliente_Mes!$C$2:$C$433,"Fibra")="",(IF(SUMIFS(Desconto_Cliente_Mes!$R$2:$R$433,Desconto_Cliente_Mes!$A$2:$A$433,B$117,Desconto_Cliente_Mes!$B$2:$B$433,$A117,Desconto_Cliente_Mes!$C$2:$C$433,"Fibra")="",SUMIFS(Desconto_Cliente_Mes!$Q$2:$Q$433,Desconto_Cliente_Mes!$A$2:$A$433,B$117,Desconto_Cliente_Mes!$B$2:$B$433,$A117,Desconto_Cliente_Mes!$C$2:$C$433,"Fibra"),SUMIFS(Desconto_Cliente_Mes!$R$2:$R$433,Desconto_Cliente_Mes!$A$2:$A$433,B$117,Desconto_Cliente_Mes!$B$2:$B$433,$A117,Desconto_Cliente_Mes!$C$2:$C$433,"Fibra"))),SUMIFS(Desconto_Cliente_Mes!$S$2:$S$433,Desconto_Cliente_Mes!$A$2:$A$433,B$117,Desconto_Cliente_Mes!$B$2:$B$433,$A117,Desconto_Cliente_Mes!$C$2:$C$433,"Fibra")))-(IF(SUMIFS(Desconto_Cliente_Mes!$R$2:$R$433,Desconto_Cliente_Mes!$A$2:$A$433,B$117,Desconto_Cliente_Mes!$B$2:$B$433,$A117,Desconto_Cliente_Mes!$C$2:$C$433,"Fibra")="",SUMIFS(Desconto_Cliente_Mes!$Q$2:$Q$433,Desconto_Cliente_Mes!$A$2:$A$433,B$117,Desconto_Cliente_Mes!$B$2:$B$433,$A117,Desconto_Cliente_Mes!$C$2:$C$433,"Fibra"),SUMIFS(Desconto_Cliente_Mes!$R$2:$R$433,Desconto_Cliente_Mes!$A$2:$A$433,B$117,Desconto_Cliente_Mes!$B$2:$B$433,$A117,Desconto_Cliente_Mes!$C$2:$C$433,"Fibra"))))*(SUMIFS(Desconto_Cliente_Mes!$T$2:$T$433,Desconto_Cliente_Mes!$A$2:$A$433,B$117,Desconto_Cliente_Mes!$B$2:$B$433,$A117,Desconto_Cliente_Mes!$C$2:$C$433,"Fibra"))</f>
        <v>0</v>
      </c>
      <c r="C125" s="16" t="n">
        <f aca="false">$C$119*($C$122/100)*((IF(SUMIFS(Desconto_Cliente_Mes!$S$2:$S$433,Desconto_Cliente_Mes!$A$2:$A$433,C$117,Desconto_Cliente_Mes!$B$2:$B$433,$A117,Desconto_Cliente_Mes!$C$2:$C$433,"Fibra")="",(IF(SUMIFS(Desconto_Cliente_Mes!$R$2:$R$433,Desconto_Cliente_Mes!$A$2:$A$433,C$117,Desconto_Cliente_Mes!$B$2:$B$433,$A117,Desconto_Cliente_Mes!$C$2:$C$433,"Fibra")="",SUMIFS(Desconto_Cliente_Mes!$Q$2:$Q$433,Desconto_Cliente_Mes!$A$2:$A$433,C$117,Desconto_Cliente_Mes!$B$2:$B$433,$A117,Desconto_Cliente_Mes!$C$2:$C$433,"Fibra"),SUMIFS(Desconto_Cliente_Mes!$R$2:$R$433,Desconto_Cliente_Mes!$A$2:$A$433,C$117,Desconto_Cliente_Mes!$B$2:$B$433,$A117,Desconto_Cliente_Mes!$C$2:$C$433,"Fibra"))),SUMIFS(Desconto_Cliente_Mes!$S$2:$S$433,Desconto_Cliente_Mes!$A$2:$A$433,C$117,Desconto_Cliente_Mes!$B$2:$B$433,$A117,Desconto_Cliente_Mes!$C$2:$C$433,"Fibra")))-(IF(SUMIFS(Desconto_Cliente_Mes!$R$2:$R$433,Desconto_Cliente_Mes!$A$2:$A$433,C$117,Desconto_Cliente_Mes!$B$2:$B$433,$A117,Desconto_Cliente_Mes!$C$2:$C$433,"Fibra")="",SUMIFS(Desconto_Cliente_Mes!$Q$2:$Q$433,Desconto_Cliente_Mes!$A$2:$A$433,C$117,Desconto_Cliente_Mes!$B$2:$B$433,$A117,Desconto_Cliente_Mes!$C$2:$C$433,"Fibra"),SUMIFS(Desconto_Cliente_Mes!$R$2:$R$433,Desconto_Cliente_Mes!$A$2:$A$433,C$117,Desconto_Cliente_Mes!$B$2:$B$433,$A117,Desconto_Cliente_Mes!$C$2:$C$433,"Fibra"))))*(SUMIFS(Desconto_Cliente_Mes!$T$2:$T$433,Desconto_Cliente_Mes!$A$2:$A$433,C$117,Desconto_Cliente_Mes!$B$2:$B$433,$A117,Desconto_Cliente_Mes!$C$2:$C$433,"Fibra"))</f>
        <v>0</v>
      </c>
      <c r="D125" s="16" t="n">
        <f aca="false">$D$119*($D$122/100)*((IF(SUMIFS(Desconto_Cliente_Mes!$S$2:$S$433,Desconto_Cliente_Mes!$A$2:$A$433,D$117,Desconto_Cliente_Mes!$B$2:$B$433,$A117,Desconto_Cliente_Mes!$C$2:$C$433,"Fibra")="",(IF(SUMIFS(Desconto_Cliente_Mes!$R$2:$R$433,Desconto_Cliente_Mes!$A$2:$A$433,D$117,Desconto_Cliente_Mes!$B$2:$B$433,$A117,Desconto_Cliente_Mes!$C$2:$C$433,"Fibra")="",SUMIFS(Desconto_Cliente_Mes!$Q$2:$Q$433,Desconto_Cliente_Mes!$A$2:$A$433,D$117,Desconto_Cliente_Mes!$B$2:$B$433,$A117,Desconto_Cliente_Mes!$C$2:$C$433,"Fibra"),SUMIFS(Desconto_Cliente_Mes!$R$2:$R$433,Desconto_Cliente_Mes!$A$2:$A$433,D$117,Desconto_Cliente_Mes!$B$2:$B$433,$A117,Desconto_Cliente_Mes!$C$2:$C$433,"Fibra"))),SUMIFS(Desconto_Cliente_Mes!$S$2:$S$433,Desconto_Cliente_Mes!$A$2:$A$433,D$117,Desconto_Cliente_Mes!$B$2:$B$433,$A117,Desconto_Cliente_Mes!$C$2:$C$433,"Fibra")))-(IF(SUMIFS(Desconto_Cliente_Mes!$R$2:$R$433,Desconto_Cliente_Mes!$A$2:$A$433,D$117,Desconto_Cliente_Mes!$B$2:$B$433,$A117,Desconto_Cliente_Mes!$C$2:$C$433,"Fibra")="",SUMIFS(Desconto_Cliente_Mes!$Q$2:$Q$433,Desconto_Cliente_Mes!$A$2:$A$433,D$117,Desconto_Cliente_Mes!$B$2:$B$433,$A117,Desconto_Cliente_Mes!$C$2:$C$433,"Fibra"),SUMIFS(Desconto_Cliente_Mes!$R$2:$R$433,Desconto_Cliente_Mes!$A$2:$A$433,D$117,Desconto_Cliente_Mes!$B$2:$B$433,$A117,Desconto_Cliente_Mes!$C$2:$C$433,"Fibra"))))*(SUMIFS(Desconto_Cliente_Mes!$T$2:$T$433,Desconto_Cliente_Mes!$A$2:$A$433,D$117,Desconto_Cliente_Mes!$B$2:$B$433,$A117,Desconto_Cliente_Mes!$C$2:$C$433,"Fibra"))</f>
        <v>0</v>
      </c>
      <c r="E125" s="16" t="n">
        <f aca="false">$E$119*($E$122/100)*((IF(SUMIFS(Desconto_Cliente_Mes!$S$2:$S$433,Desconto_Cliente_Mes!$A$2:$A$433,E$117,Desconto_Cliente_Mes!$B$2:$B$433,$A117,Desconto_Cliente_Mes!$C$2:$C$433,"Fibra")="",(IF(SUMIFS(Desconto_Cliente_Mes!$R$2:$R$433,Desconto_Cliente_Mes!$A$2:$A$433,E$117,Desconto_Cliente_Mes!$B$2:$B$433,$A117,Desconto_Cliente_Mes!$C$2:$C$433,"Fibra")="",SUMIFS(Desconto_Cliente_Mes!$Q$2:$Q$433,Desconto_Cliente_Mes!$A$2:$A$433,E$117,Desconto_Cliente_Mes!$B$2:$B$433,$A117,Desconto_Cliente_Mes!$C$2:$C$433,"Fibra"),SUMIFS(Desconto_Cliente_Mes!$R$2:$R$433,Desconto_Cliente_Mes!$A$2:$A$433,E$117,Desconto_Cliente_Mes!$B$2:$B$433,$A117,Desconto_Cliente_Mes!$C$2:$C$433,"Fibra"))),SUMIFS(Desconto_Cliente_Mes!$S$2:$S$433,Desconto_Cliente_Mes!$A$2:$A$433,E$117,Desconto_Cliente_Mes!$B$2:$B$433,$A117,Desconto_Cliente_Mes!$C$2:$C$433,"Fibra")))-(IF(SUMIFS(Desconto_Cliente_Mes!$R$2:$R$433,Desconto_Cliente_Mes!$A$2:$A$433,E$117,Desconto_Cliente_Mes!$B$2:$B$433,$A117,Desconto_Cliente_Mes!$C$2:$C$433,"Fibra")="",SUMIFS(Desconto_Cliente_Mes!$Q$2:$Q$433,Desconto_Cliente_Mes!$A$2:$A$433,E$117,Desconto_Cliente_Mes!$B$2:$B$433,$A117,Desconto_Cliente_Mes!$C$2:$C$433,"Fibra"),SUMIFS(Desconto_Cliente_Mes!$R$2:$R$433,Desconto_Cliente_Mes!$A$2:$A$433,E$117,Desconto_Cliente_Mes!$B$2:$B$433,$A117,Desconto_Cliente_Mes!$C$2:$C$433,"Fibra"))))*(SUMIFS(Desconto_Cliente_Mes!$T$2:$T$433,Desconto_Cliente_Mes!$A$2:$A$433,E$117,Desconto_Cliente_Mes!$B$2:$B$433,$A117,Desconto_Cliente_Mes!$C$2:$C$433,"Fibra"))</f>
        <v>0</v>
      </c>
      <c r="F125" s="16" t="n">
        <f aca="false">$F$119*($F$122/100)*((IF(SUMIFS(Desconto_Cliente_Mes!$S$2:$S$433,Desconto_Cliente_Mes!$A$2:$A$433,F$117,Desconto_Cliente_Mes!$B$2:$B$433,$A117,Desconto_Cliente_Mes!$C$2:$C$433,"Fibra")="",(IF(SUMIFS(Desconto_Cliente_Mes!$R$2:$R$433,Desconto_Cliente_Mes!$A$2:$A$433,F$117,Desconto_Cliente_Mes!$B$2:$B$433,$A117,Desconto_Cliente_Mes!$C$2:$C$433,"Fibra")="",SUMIFS(Desconto_Cliente_Mes!$Q$2:$Q$433,Desconto_Cliente_Mes!$A$2:$A$433,F$117,Desconto_Cliente_Mes!$B$2:$B$433,$A117,Desconto_Cliente_Mes!$C$2:$C$433,"Fibra"),SUMIFS(Desconto_Cliente_Mes!$R$2:$R$433,Desconto_Cliente_Mes!$A$2:$A$433,F$117,Desconto_Cliente_Mes!$B$2:$B$433,$A117,Desconto_Cliente_Mes!$C$2:$C$433,"Fibra"))),SUMIFS(Desconto_Cliente_Mes!$S$2:$S$433,Desconto_Cliente_Mes!$A$2:$A$433,F$117,Desconto_Cliente_Mes!$B$2:$B$433,$A117,Desconto_Cliente_Mes!$C$2:$C$433,"Fibra")))-(IF(SUMIFS(Desconto_Cliente_Mes!$R$2:$R$433,Desconto_Cliente_Mes!$A$2:$A$433,F$117,Desconto_Cliente_Mes!$B$2:$B$433,$A117,Desconto_Cliente_Mes!$C$2:$C$433,"Fibra")="",SUMIFS(Desconto_Cliente_Mes!$Q$2:$Q$433,Desconto_Cliente_Mes!$A$2:$A$433,F$117,Desconto_Cliente_Mes!$B$2:$B$433,$A117,Desconto_Cliente_Mes!$C$2:$C$433,"Fibra"),SUMIFS(Desconto_Cliente_Mes!$R$2:$R$433,Desconto_Cliente_Mes!$A$2:$A$433,F$117,Desconto_Cliente_Mes!$B$2:$B$433,$A117,Desconto_Cliente_Mes!$C$2:$C$433,"Fibra"))))*(SUMIFS(Desconto_Cliente_Mes!$T$2:$T$433,Desconto_Cliente_Mes!$A$2:$A$433,F$117,Desconto_Cliente_Mes!$B$2:$B$433,$A117,Desconto_Cliente_Mes!$C$2:$C$433,"Fibra"))</f>
        <v>0</v>
      </c>
      <c r="G125" s="16" t="n">
        <f aca="false">$G$119*($G$122/100)*((IF(SUMIFS(Desconto_Cliente_Mes!$S$2:$S$433,Desconto_Cliente_Mes!$A$2:$A$433,G$117,Desconto_Cliente_Mes!$B$2:$B$433,$A117,Desconto_Cliente_Mes!$C$2:$C$433,"Fibra")="",(IF(SUMIFS(Desconto_Cliente_Mes!$R$2:$R$433,Desconto_Cliente_Mes!$A$2:$A$433,G$117,Desconto_Cliente_Mes!$B$2:$B$433,$A117,Desconto_Cliente_Mes!$C$2:$C$433,"Fibra")="",SUMIFS(Desconto_Cliente_Mes!$Q$2:$Q$433,Desconto_Cliente_Mes!$A$2:$A$433,G$117,Desconto_Cliente_Mes!$B$2:$B$433,$A117,Desconto_Cliente_Mes!$C$2:$C$433,"Fibra"),SUMIFS(Desconto_Cliente_Mes!$R$2:$R$433,Desconto_Cliente_Mes!$A$2:$A$433,G$117,Desconto_Cliente_Mes!$B$2:$B$433,$A117,Desconto_Cliente_Mes!$C$2:$C$433,"Fibra"))),SUMIFS(Desconto_Cliente_Mes!$S$2:$S$433,Desconto_Cliente_Mes!$A$2:$A$433,G$117,Desconto_Cliente_Mes!$B$2:$B$433,$A117,Desconto_Cliente_Mes!$C$2:$C$433,"Fibra")))-(IF(SUMIFS(Desconto_Cliente_Mes!$R$2:$R$433,Desconto_Cliente_Mes!$A$2:$A$433,G$117,Desconto_Cliente_Mes!$B$2:$B$433,$A117,Desconto_Cliente_Mes!$C$2:$C$433,"Fibra")="",SUMIFS(Desconto_Cliente_Mes!$Q$2:$Q$433,Desconto_Cliente_Mes!$A$2:$A$433,G$117,Desconto_Cliente_Mes!$B$2:$B$433,$A117,Desconto_Cliente_Mes!$C$2:$C$433,"Fibra"),SUMIFS(Desconto_Cliente_Mes!$R$2:$R$433,Desconto_Cliente_Mes!$A$2:$A$433,G$117,Desconto_Cliente_Mes!$B$2:$B$433,$A117,Desconto_Cliente_Mes!$C$2:$C$433,"Fibra"))))*(SUMIFS(Desconto_Cliente_Mes!$T$2:$T$433,Desconto_Cliente_Mes!$A$2:$A$433,G$117,Desconto_Cliente_Mes!$B$2:$B$433,$A117,Desconto_Cliente_Mes!$C$2:$C$433,"Fibra"))</f>
        <v>0</v>
      </c>
      <c r="H125" s="16" t="n">
        <f aca="false">$H$119*($H$122/100)*((IF(SUMIFS(Desconto_Cliente_Mes!$S$2:$S$433,Desconto_Cliente_Mes!$A$2:$A$433,H$117,Desconto_Cliente_Mes!$B$2:$B$433,$A117,Desconto_Cliente_Mes!$C$2:$C$433,"Fibra")="",(IF(SUMIFS(Desconto_Cliente_Mes!$R$2:$R$433,Desconto_Cliente_Mes!$A$2:$A$433,H$117,Desconto_Cliente_Mes!$B$2:$B$433,$A117,Desconto_Cliente_Mes!$C$2:$C$433,"Fibra")="",SUMIFS(Desconto_Cliente_Mes!$Q$2:$Q$433,Desconto_Cliente_Mes!$A$2:$A$433,H$117,Desconto_Cliente_Mes!$B$2:$B$433,$A117,Desconto_Cliente_Mes!$C$2:$C$433,"Fibra"),SUMIFS(Desconto_Cliente_Mes!$R$2:$R$433,Desconto_Cliente_Mes!$A$2:$A$433,H$117,Desconto_Cliente_Mes!$B$2:$B$433,$A117,Desconto_Cliente_Mes!$C$2:$C$433,"Fibra"))),SUMIFS(Desconto_Cliente_Mes!$S$2:$S$433,Desconto_Cliente_Mes!$A$2:$A$433,H$117,Desconto_Cliente_Mes!$B$2:$B$433,$A117,Desconto_Cliente_Mes!$C$2:$C$433,"Fibra")))-(IF(SUMIFS(Desconto_Cliente_Mes!$R$2:$R$433,Desconto_Cliente_Mes!$A$2:$A$433,H$117,Desconto_Cliente_Mes!$B$2:$B$433,$A117,Desconto_Cliente_Mes!$C$2:$C$433,"Fibra")="",SUMIFS(Desconto_Cliente_Mes!$Q$2:$Q$433,Desconto_Cliente_Mes!$A$2:$A$433,H$117,Desconto_Cliente_Mes!$B$2:$B$433,$A117,Desconto_Cliente_Mes!$C$2:$C$433,"Fibra"),SUMIFS(Desconto_Cliente_Mes!$R$2:$R$433,Desconto_Cliente_Mes!$A$2:$A$433,H$117,Desconto_Cliente_Mes!$B$2:$B$433,$A117,Desconto_Cliente_Mes!$C$2:$C$433,"Fibra"))))*(SUMIFS(Desconto_Cliente_Mes!$T$2:$T$433,Desconto_Cliente_Mes!$A$2:$A$433,H$117,Desconto_Cliente_Mes!$B$2:$B$433,$A117,Desconto_Cliente_Mes!$C$2:$C$433,"Fibra"))</f>
        <v>0</v>
      </c>
      <c r="I125" s="16" t="n">
        <f aca="false">$I$119*($I$122/100)*((IF(SUMIFS(Desconto_Cliente_Mes!$S$2:$S$433,Desconto_Cliente_Mes!$A$2:$A$433,I$117,Desconto_Cliente_Mes!$B$2:$B$433,$A117,Desconto_Cliente_Mes!$C$2:$C$433,"Fibra")="",(IF(SUMIFS(Desconto_Cliente_Mes!$R$2:$R$433,Desconto_Cliente_Mes!$A$2:$A$433,I$117,Desconto_Cliente_Mes!$B$2:$B$433,$A117,Desconto_Cliente_Mes!$C$2:$C$433,"Fibra")="",SUMIFS(Desconto_Cliente_Mes!$Q$2:$Q$433,Desconto_Cliente_Mes!$A$2:$A$433,I$117,Desconto_Cliente_Mes!$B$2:$B$433,$A117,Desconto_Cliente_Mes!$C$2:$C$433,"Fibra"),SUMIFS(Desconto_Cliente_Mes!$R$2:$R$433,Desconto_Cliente_Mes!$A$2:$A$433,I$117,Desconto_Cliente_Mes!$B$2:$B$433,$A117,Desconto_Cliente_Mes!$C$2:$C$433,"Fibra"))),SUMIFS(Desconto_Cliente_Mes!$S$2:$S$433,Desconto_Cliente_Mes!$A$2:$A$433,I$117,Desconto_Cliente_Mes!$B$2:$B$433,$A117,Desconto_Cliente_Mes!$C$2:$C$433,"Fibra")))-(IF(SUMIFS(Desconto_Cliente_Mes!$R$2:$R$433,Desconto_Cliente_Mes!$A$2:$A$433,I$117,Desconto_Cliente_Mes!$B$2:$B$433,$A117,Desconto_Cliente_Mes!$C$2:$C$433,"Fibra")="",SUMIFS(Desconto_Cliente_Mes!$Q$2:$Q$433,Desconto_Cliente_Mes!$A$2:$A$433,I$117,Desconto_Cliente_Mes!$B$2:$B$433,$A117,Desconto_Cliente_Mes!$C$2:$C$433,"Fibra"),SUMIFS(Desconto_Cliente_Mes!$R$2:$R$433,Desconto_Cliente_Mes!$A$2:$A$433,I$117,Desconto_Cliente_Mes!$B$2:$B$433,$A117,Desconto_Cliente_Mes!$C$2:$C$433,"Fibra"))))*(SUMIFS(Desconto_Cliente_Mes!$T$2:$T$433,Desconto_Cliente_Mes!$A$2:$A$433,I$117,Desconto_Cliente_Mes!$B$2:$B$433,$A117,Desconto_Cliente_Mes!$C$2:$C$433,"Fibra"))</f>
        <v>0</v>
      </c>
      <c r="J125" s="16" t="n">
        <f aca="false">$J$119*($J$122/100)*((IF(SUMIFS(Desconto_Cliente_Mes!$S$2:$S$433,Desconto_Cliente_Mes!$A$2:$A$433,J$117,Desconto_Cliente_Mes!$B$2:$B$433,$A117,Desconto_Cliente_Mes!$C$2:$C$433,"Fibra")="",(IF(SUMIFS(Desconto_Cliente_Mes!$R$2:$R$433,Desconto_Cliente_Mes!$A$2:$A$433,J$117,Desconto_Cliente_Mes!$B$2:$B$433,$A117,Desconto_Cliente_Mes!$C$2:$C$433,"Fibra")="",SUMIFS(Desconto_Cliente_Mes!$Q$2:$Q$433,Desconto_Cliente_Mes!$A$2:$A$433,J$117,Desconto_Cliente_Mes!$B$2:$B$433,$A117,Desconto_Cliente_Mes!$C$2:$C$433,"Fibra"),SUMIFS(Desconto_Cliente_Mes!$R$2:$R$433,Desconto_Cliente_Mes!$A$2:$A$433,J$117,Desconto_Cliente_Mes!$B$2:$B$433,$A117,Desconto_Cliente_Mes!$C$2:$C$433,"Fibra"))),SUMIFS(Desconto_Cliente_Mes!$S$2:$S$433,Desconto_Cliente_Mes!$A$2:$A$433,J$117,Desconto_Cliente_Mes!$B$2:$B$433,$A117,Desconto_Cliente_Mes!$C$2:$C$433,"Fibra")))-(IF(SUMIFS(Desconto_Cliente_Mes!$R$2:$R$433,Desconto_Cliente_Mes!$A$2:$A$433,J$117,Desconto_Cliente_Mes!$B$2:$B$433,$A117,Desconto_Cliente_Mes!$C$2:$C$433,"Fibra")="",SUMIFS(Desconto_Cliente_Mes!$Q$2:$Q$433,Desconto_Cliente_Mes!$A$2:$A$433,J$117,Desconto_Cliente_Mes!$B$2:$B$433,$A117,Desconto_Cliente_Mes!$C$2:$C$433,"Fibra"),SUMIFS(Desconto_Cliente_Mes!$R$2:$R$433,Desconto_Cliente_Mes!$A$2:$A$433,J$117,Desconto_Cliente_Mes!$B$2:$B$433,$A117,Desconto_Cliente_Mes!$C$2:$C$433,"Fibra"))))*(SUMIFS(Desconto_Cliente_Mes!$T$2:$T$433,Desconto_Cliente_Mes!$A$2:$A$433,J$117,Desconto_Cliente_Mes!$B$2:$B$433,$A117,Desconto_Cliente_Mes!$C$2:$C$433,"Fibra"))</f>
        <v>0</v>
      </c>
      <c r="K125" s="16" t="n">
        <f aca="false">$K$119*($K$122/100)*((IF(SUMIFS(Desconto_Cliente_Mes!$S$2:$S$433,Desconto_Cliente_Mes!$A$2:$A$433,K$117,Desconto_Cliente_Mes!$B$2:$B$433,$A117,Desconto_Cliente_Mes!$C$2:$C$433,"Fibra")="",(IF(SUMIFS(Desconto_Cliente_Mes!$R$2:$R$433,Desconto_Cliente_Mes!$A$2:$A$433,K$117,Desconto_Cliente_Mes!$B$2:$B$433,$A117,Desconto_Cliente_Mes!$C$2:$C$433,"Fibra")="",SUMIFS(Desconto_Cliente_Mes!$Q$2:$Q$433,Desconto_Cliente_Mes!$A$2:$A$433,K$117,Desconto_Cliente_Mes!$B$2:$B$433,$A117,Desconto_Cliente_Mes!$C$2:$C$433,"Fibra"),SUMIFS(Desconto_Cliente_Mes!$R$2:$R$433,Desconto_Cliente_Mes!$A$2:$A$433,K$117,Desconto_Cliente_Mes!$B$2:$B$433,$A117,Desconto_Cliente_Mes!$C$2:$C$433,"Fibra"))),SUMIFS(Desconto_Cliente_Mes!$S$2:$S$433,Desconto_Cliente_Mes!$A$2:$A$433,K$117,Desconto_Cliente_Mes!$B$2:$B$433,$A117,Desconto_Cliente_Mes!$C$2:$C$433,"Fibra")))-(IF(SUMIFS(Desconto_Cliente_Mes!$R$2:$R$433,Desconto_Cliente_Mes!$A$2:$A$433,K$117,Desconto_Cliente_Mes!$B$2:$B$433,$A117,Desconto_Cliente_Mes!$C$2:$C$433,"Fibra")="",SUMIFS(Desconto_Cliente_Mes!$Q$2:$Q$433,Desconto_Cliente_Mes!$A$2:$A$433,K$117,Desconto_Cliente_Mes!$B$2:$B$433,$A117,Desconto_Cliente_Mes!$C$2:$C$433,"Fibra"),SUMIFS(Desconto_Cliente_Mes!$R$2:$R$433,Desconto_Cliente_Mes!$A$2:$A$433,K$117,Desconto_Cliente_Mes!$B$2:$B$433,$A117,Desconto_Cliente_Mes!$C$2:$C$433,"Fibra"))))*(SUMIFS(Desconto_Cliente_Mes!$T$2:$T$433,Desconto_Cliente_Mes!$A$2:$A$433,K$117,Desconto_Cliente_Mes!$B$2:$B$433,$A117,Desconto_Cliente_Mes!$C$2:$C$433,"Fibra"))</f>
        <v>0</v>
      </c>
      <c r="L125" s="16" t="n">
        <f aca="false">$L$119*($L$122/100)*((IF(SUMIFS(Desconto_Cliente_Mes!$S$2:$S$433,Desconto_Cliente_Mes!$A$2:$A$433,L$117,Desconto_Cliente_Mes!$B$2:$B$433,$A117,Desconto_Cliente_Mes!$C$2:$C$433,"Fibra")="",(IF(SUMIFS(Desconto_Cliente_Mes!$R$2:$R$433,Desconto_Cliente_Mes!$A$2:$A$433,L$117,Desconto_Cliente_Mes!$B$2:$B$433,$A117,Desconto_Cliente_Mes!$C$2:$C$433,"Fibra")="",SUMIFS(Desconto_Cliente_Mes!$Q$2:$Q$433,Desconto_Cliente_Mes!$A$2:$A$433,L$117,Desconto_Cliente_Mes!$B$2:$B$433,$A117,Desconto_Cliente_Mes!$C$2:$C$433,"Fibra"),SUMIFS(Desconto_Cliente_Mes!$R$2:$R$433,Desconto_Cliente_Mes!$A$2:$A$433,L$117,Desconto_Cliente_Mes!$B$2:$B$433,$A117,Desconto_Cliente_Mes!$C$2:$C$433,"Fibra"))),SUMIFS(Desconto_Cliente_Mes!$S$2:$S$433,Desconto_Cliente_Mes!$A$2:$A$433,L$117,Desconto_Cliente_Mes!$B$2:$B$433,$A117,Desconto_Cliente_Mes!$C$2:$C$433,"Fibra")))-(IF(SUMIFS(Desconto_Cliente_Mes!$R$2:$R$433,Desconto_Cliente_Mes!$A$2:$A$433,L$117,Desconto_Cliente_Mes!$B$2:$B$433,$A117,Desconto_Cliente_Mes!$C$2:$C$433,"Fibra")="",SUMIFS(Desconto_Cliente_Mes!$Q$2:$Q$433,Desconto_Cliente_Mes!$A$2:$A$433,L$117,Desconto_Cliente_Mes!$B$2:$B$433,$A117,Desconto_Cliente_Mes!$C$2:$C$433,"Fibra"),SUMIFS(Desconto_Cliente_Mes!$R$2:$R$433,Desconto_Cliente_Mes!$A$2:$A$433,L$117,Desconto_Cliente_Mes!$B$2:$B$433,$A117,Desconto_Cliente_Mes!$C$2:$C$433,"Fibra"))))*(SUMIFS(Desconto_Cliente_Mes!$T$2:$T$433,Desconto_Cliente_Mes!$A$2:$A$433,L$117,Desconto_Cliente_Mes!$B$2:$B$433,$A117,Desconto_Cliente_Mes!$C$2:$C$433,"Fibra"))</f>
        <v>0</v>
      </c>
      <c r="M125" s="16" t="n">
        <f aca="false">$M$119*($M$122/100)*((IF(SUMIFS(Desconto_Cliente_Mes!$S$2:$S$433,Desconto_Cliente_Mes!$A$2:$A$433,M$117,Desconto_Cliente_Mes!$B$2:$B$433,$A117,Desconto_Cliente_Mes!$C$2:$C$433,"Fibra")="",(IF(SUMIFS(Desconto_Cliente_Mes!$R$2:$R$433,Desconto_Cliente_Mes!$A$2:$A$433,M$117,Desconto_Cliente_Mes!$B$2:$B$433,$A117,Desconto_Cliente_Mes!$C$2:$C$433,"Fibra")="",SUMIFS(Desconto_Cliente_Mes!$Q$2:$Q$433,Desconto_Cliente_Mes!$A$2:$A$433,M$117,Desconto_Cliente_Mes!$B$2:$B$433,$A117,Desconto_Cliente_Mes!$C$2:$C$433,"Fibra"),SUMIFS(Desconto_Cliente_Mes!$R$2:$R$433,Desconto_Cliente_Mes!$A$2:$A$433,M$117,Desconto_Cliente_Mes!$B$2:$B$433,$A117,Desconto_Cliente_Mes!$C$2:$C$433,"Fibra"))),SUMIFS(Desconto_Cliente_Mes!$S$2:$S$433,Desconto_Cliente_Mes!$A$2:$A$433,M$117,Desconto_Cliente_Mes!$B$2:$B$433,$A117,Desconto_Cliente_Mes!$C$2:$C$433,"Fibra")))-(IF(SUMIFS(Desconto_Cliente_Mes!$R$2:$R$433,Desconto_Cliente_Mes!$A$2:$A$433,M$117,Desconto_Cliente_Mes!$B$2:$B$433,$A117,Desconto_Cliente_Mes!$C$2:$C$433,"Fibra")="",SUMIFS(Desconto_Cliente_Mes!$Q$2:$Q$433,Desconto_Cliente_Mes!$A$2:$A$433,M$117,Desconto_Cliente_Mes!$B$2:$B$433,$A117,Desconto_Cliente_Mes!$C$2:$C$433,"Fibra"),SUMIFS(Desconto_Cliente_Mes!$R$2:$R$433,Desconto_Cliente_Mes!$A$2:$A$433,M$117,Desconto_Cliente_Mes!$B$2:$B$433,$A117,Desconto_Cliente_Mes!$C$2:$C$433,"Fibra"))))*(SUMIFS(Desconto_Cliente_Mes!$T$2:$T$433,Desconto_Cliente_Mes!$A$2:$A$433,M$117,Desconto_Cliente_Mes!$B$2:$B$433,$A117,Desconto_Cliente_Mes!$C$2:$C$433,"Fibra"))</f>
        <v>0</v>
      </c>
      <c r="N125" s="17" t="n">
        <f aca="false">SUM(B125:M125)</f>
        <v>0</v>
      </c>
    </row>
    <row r="126" customFormat="false" ht="15" hidden="false" customHeight="false" outlineLevel="0" collapsed="false">
      <c r="A126" s="13" t="s">
        <v>82</v>
      </c>
      <c r="B126" s="16" t="n">
        <f aca="false">SUMIFS(Acerto_Detalhado!$J$2:$J$433,Acerto_Detalhado!$A$2:$A$433,B$117,Acerto_Detalhado!$B$2:$B$433,$A117,Acerto_Detalhado!$C$2:$C$433,"Fibra")</f>
        <v>0</v>
      </c>
      <c r="C126" s="16" t="n">
        <f aca="false">SUMIFS(Acerto_Detalhado!$J$2:$J$433,Acerto_Detalhado!$A$2:$A$433,C$117,Acerto_Detalhado!$B$2:$B$433,$A117,Acerto_Detalhado!$C$2:$C$433,"Fibra")</f>
        <v>0</v>
      </c>
      <c r="D126" s="16" t="n">
        <f aca="false">SUMIFS(Acerto_Detalhado!$J$2:$J$433,Acerto_Detalhado!$A$2:$A$433,D$117,Acerto_Detalhado!$B$2:$B$433,$A117,Acerto_Detalhado!$C$2:$C$433,"Fibra")</f>
        <v>0</v>
      </c>
      <c r="E126" s="16" t="n">
        <f aca="false">SUMIFS(Acerto_Detalhado!$J$2:$J$433,Acerto_Detalhado!$A$2:$A$433,E$117,Acerto_Detalhado!$B$2:$B$433,$A117,Acerto_Detalhado!$C$2:$C$433,"Fibra")</f>
        <v>0</v>
      </c>
      <c r="F126" s="16" t="n">
        <f aca="false">SUMIFS(Acerto_Detalhado!$J$2:$J$433,Acerto_Detalhado!$A$2:$A$433,F$117,Acerto_Detalhado!$B$2:$B$433,$A117,Acerto_Detalhado!$C$2:$C$433,"Fibra")</f>
        <v>0</v>
      </c>
      <c r="G126" s="16" t="n">
        <f aca="false">SUMIFS(Acerto_Detalhado!$J$2:$J$433,Acerto_Detalhado!$A$2:$A$433,G$117,Acerto_Detalhado!$B$2:$B$433,$A117,Acerto_Detalhado!$C$2:$C$433,"Fibra")</f>
        <v>0</v>
      </c>
      <c r="H126" s="16" t="n">
        <f aca="false">SUMIFS(Acerto_Detalhado!$J$2:$J$433,Acerto_Detalhado!$A$2:$A$433,H$117,Acerto_Detalhado!$B$2:$B$433,$A117,Acerto_Detalhado!$C$2:$C$433,"Fibra")</f>
        <v>0</v>
      </c>
      <c r="I126" s="16" t="n">
        <f aca="false">SUMIFS(Acerto_Detalhado!$J$2:$J$433,Acerto_Detalhado!$A$2:$A$433,I$117,Acerto_Detalhado!$B$2:$B$433,$A117,Acerto_Detalhado!$C$2:$C$433,"Fibra")</f>
        <v>0</v>
      </c>
      <c r="J126" s="16" t="n">
        <f aca="false">SUMIFS(Acerto_Detalhado!$J$2:$J$433,Acerto_Detalhado!$A$2:$A$433,J$117,Acerto_Detalhado!$B$2:$B$433,$A117,Acerto_Detalhado!$C$2:$C$433,"Fibra")</f>
        <v>0</v>
      </c>
      <c r="K126" s="16" t="n">
        <f aca="false">SUMIFS(Acerto_Detalhado!$J$2:$J$433,Acerto_Detalhado!$A$2:$A$433,K$117,Acerto_Detalhado!$B$2:$B$433,$A117,Acerto_Detalhado!$C$2:$C$433,"Fibra")</f>
        <v>0</v>
      </c>
      <c r="L126" s="16" t="n">
        <f aca="false">SUMIFS(Acerto_Detalhado!$J$2:$J$433,Acerto_Detalhado!$A$2:$A$433,L$117,Acerto_Detalhado!$B$2:$B$433,$A117,Acerto_Detalhado!$C$2:$C$433,"Fibra")</f>
        <v>0</v>
      </c>
      <c r="M126" s="16" t="n">
        <f aca="false">SUMIFS(Acerto_Detalhado!$J$2:$J$433,Acerto_Detalhado!$A$2:$A$433,M$117,Acerto_Detalhado!$B$2:$B$433,$A117,Acerto_Detalhado!$C$2:$C$433,"Fibra")</f>
        <v>0</v>
      </c>
      <c r="N126" s="17" t="n">
        <f aca="false">SUM(B126:M126)</f>
        <v>0</v>
      </c>
    </row>
    <row r="128" customFormat="false" ht="15" hidden="false" customHeight="false" outlineLevel="0" collapsed="false">
      <c r="A128" s="5" t="s">
        <v>69</v>
      </c>
      <c r="B128" s="6" t="s">
        <v>39</v>
      </c>
      <c r="C128" s="6" t="s">
        <v>40</v>
      </c>
      <c r="D128" s="6" t="s">
        <v>41</v>
      </c>
      <c r="E128" s="6" t="s">
        <v>42</v>
      </c>
      <c r="F128" s="6" t="s">
        <v>43</v>
      </c>
      <c r="G128" s="6" t="s">
        <v>44</v>
      </c>
      <c r="H128" s="6" t="s">
        <v>45</v>
      </c>
      <c r="I128" s="6" t="s">
        <v>46</v>
      </c>
      <c r="J128" s="6" t="s">
        <v>47</v>
      </c>
      <c r="K128" s="6" t="s">
        <v>48</v>
      </c>
      <c r="L128" s="6" t="s">
        <v>49</v>
      </c>
      <c r="M128" s="6" t="s">
        <v>50</v>
      </c>
      <c r="N128" s="6" t="s">
        <v>51</v>
      </c>
    </row>
    <row r="129" customFormat="false" ht="15" hidden="false" customHeight="false" outlineLevel="0" collapsed="false">
      <c r="A129" s="13" t="s">
        <v>74</v>
      </c>
      <c r="B129" s="10" t="str">
        <f aca="false">IF((SUMIFS(Desconto_Cliente_Mes!$D$2:$D$433,Desconto_Cliente_Mes!$A$2:$A$433,B$128,Desconto_Cliente_Mes!$B$2:$B$433,$A128,Desconto_Cliente_Mes!$C$2:$C$433,"Fibra"))=0,"",IFERROR(SUMIFS(Desconto_Cliente_Mes!$E$2:$E$433,Desconto_Cliente_Mes!$A$2:$A$433,B$128,Desconto_Cliente_Mes!$B$2:$B$433,$A128,Desconto_Cliente_Mes!$C$2:$C$433,"Fibra"),""))</f>
        <v/>
      </c>
      <c r="C129" s="10" t="str">
        <f aca="false">IF((SUMIFS(Desconto_Cliente_Mes!$D$2:$D$433,Desconto_Cliente_Mes!$A$2:$A$433,C$128,Desconto_Cliente_Mes!$B$2:$B$433,$A128,Desconto_Cliente_Mes!$C$2:$C$433,"Fibra"))=0,"",IFERROR(SUMIFS(Desconto_Cliente_Mes!$E$2:$E$433,Desconto_Cliente_Mes!$A$2:$A$433,C$128,Desconto_Cliente_Mes!$B$2:$B$433,$A128,Desconto_Cliente_Mes!$C$2:$C$433,"Fibra"),""))</f>
        <v/>
      </c>
      <c r="D129" s="10" t="str">
        <f aca="false">IF((SUMIFS(Desconto_Cliente_Mes!$D$2:$D$433,Desconto_Cliente_Mes!$A$2:$A$433,D$128,Desconto_Cliente_Mes!$B$2:$B$433,$A128,Desconto_Cliente_Mes!$C$2:$C$433,"Fibra"))=0,"",IFERROR(SUMIFS(Desconto_Cliente_Mes!$E$2:$E$433,Desconto_Cliente_Mes!$A$2:$A$433,D$128,Desconto_Cliente_Mes!$B$2:$B$433,$A128,Desconto_Cliente_Mes!$C$2:$C$433,"Fibra"),""))</f>
        <v/>
      </c>
      <c r="E129" s="10" t="str">
        <f aca="false">IF((SUMIFS(Desconto_Cliente_Mes!$D$2:$D$433,Desconto_Cliente_Mes!$A$2:$A$433,E$128,Desconto_Cliente_Mes!$B$2:$B$433,$A128,Desconto_Cliente_Mes!$C$2:$C$433,"Fibra"))=0,"",IFERROR(SUMIFS(Desconto_Cliente_Mes!$E$2:$E$433,Desconto_Cliente_Mes!$A$2:$A$433,E$128,Desconto_Cliente_Mes!$B$2:$B$433,$A128,Desconto_Cliente_Mes!$C$2:$C$433,"Fibra"),""))</f>
        <v/>
      </c>
      <c r="F129" s="10" t="str">
        <f aca="false">IF((SUMIFS(Desconto_Cliente_Mes!$D$2:$D$433,Desconto_Cliente_Mes!$A$2:$A$433,F$128,Desconto_Cliente_Mes!$B$2:$B$433,$A128,Desconto_Cliente_Mes!$C$2:$C$433,"Fibra"))=0,"",IFERROR(SUMIFS(Desconto_Cliente_Mes!$E$2:$E$433,Desconto_Cliente_Mes!$A$2:$A$433,F$128,Desconto_Cliente_Mes!$B$2:$B$433,$A128,Desconto_Cliente_Mes!$C$2:$C$433,"Fibra"),""))</f>
        <v/>
      </c>
      <c r="G129" s="10" t="str">
        <f aca="false">IF((SUMIFS(Desconto_Cliente_Mes!$D$2:$D$433,Desconto_Cliente_Mes!$A$2:$A$433,G$128,Desconto_Cliente_Mes!$B$2:$B$433,$A128,Desconto_Cliente_Mes!$C$2:$C$433,"Fibra"))=0,"",IFERROR(SUMIFS(Desconto_Cliente_Mes!$E$2:$E$433,Desconto_Cliente_Mes!$A$2:$A$433,G$128,Desconto_Cliente_Mes!$B$2:$B$433,$A128,Desconto_Cliente_Mes!$C$2:$C$433,"Fibra"),""))</f>
        <v/>
      </c>
      <c r="H129" s="10" t="str">
        <f aca="false">IF((SUMIFS(Desconto_Cliente_Mes!$D$2:$D$433,Desconto_Cliente_Mes!$A$2:$A$433,H$128,Desconto_Cliente_Mes!$B$2:$B$433,$A128,Desconto_Cliente_Mes!$C$2:$C$433,"Fibra"))=0,"",IFERROR(SUMIFS(Desconto_Cliente_Mes!$E$2:$E$433,Desconto_Cliente_Mes!$A$2:$A$433,H$128,Desconto_Cliente_Mes!$B$2:$B$433,$A128,Desconto_Cliente_Mes!$C$2:$C$433,"Fibra"),""))</f>
        <v/>
      </c>
      <c r="I129" s="10" t="str">
        <f aca="false">IF((SUMIFS(Desconto_Cliente_Mes!$D$2:$D$433,Desconto_Cliente_Mes!$A$2:$A$433,I$128,Desconto_Cliente_Mes!$B$2:$B$433,$A128,Desconto_Cliente_Mes!$C$2:$C$433,"Fibra"))=0,"",IFERROR(SUMIFS(Desconto_Cliente_Mes!$E$2:$E$433,Desconto_Cliente_Mes!$A$2:$A$433,I$128,Desconto_Cliente_Mes!$B$2:$B$433,$A128,Desconto_Cliente_Mes!$C$2:$C$433,"Fibra"),""))</f>
        <v/>
      </c>
      <c r="J129" s="10" t="str">
        <f aca="false">IF((SUMIFS(Desconto_Cliente_Mes!$D$2:$D$433,Desconto_Cliente_Mes!$A$2:$A$433,J$128,Desconto_Cliente_Mes!$B$2:$B$433,$A128,Desconto_Cliente_Mes!$C$2:$C$433,"Fibra"))=0,"",IFERROR(SUMIFS(Desconto_Cliente_Mes!$E$2:$E$433,Desconto_Cliente_Mes!$A$2:$A$433,J$128,Desconto_Cliente_Mes!$B$2:$B$433,$A128,Desconto_Cliente_Mes!$C$2:$C$433,"Fibra"),""))</f>
        <v/>
      </c>
      <c r="K129" s="10" t="str">
        <f aca="false">IF((SUMIFS(Desconto_Cliente_Mes!$D$2:$D$433,Desconto_Cliente_Mes!$A$2:$A$433,K$128,Desconto_Cliente_Mes!$B$2:$B$433,$A128,Desconto_Cliente_Mes!$C$2:$C$433,"Fibra"))=0,"",IFERROR(SUMIFS(Desconto_Cliente_Mes!$E$2:$E$433,Desconto_Cliente_Mes!$A$2:$A$433,K$128,Desconto_Cliente_Mes!$B$2:$B$433,$A128,Desconto_Cliente_Mes!$C$2:$C$433,"Fibra"),""))</f>
        <v/>
      </c>
      <c r="L129" s="10" t="str">
        <f aca="false">IF((SUMIFS(Desconto_Cliente_Mes!$D$2:$D$433,Desconto_Cliente_Mes!$A$2:$A$433,L$128,Desconto_Cliente_Mes!$B$2:$B$433,$A128,Desconto_Cliente_Mes!$C$2:$C$433,"Fibra"))=0,"",IFERROR(SUMIFS(Desconto_Cliente_Mes!$E$2:$E$433,Desconto_Cliente_Mes!$A$2:$A$433,L$128,Desconto_Cliente_Mes!$B$2:$B$433,$A128,Desconto_Cliente_Mes!$C$2:$C$433,"Fibra"),""))</f>
        <v/>
      </c>
      <c r="M129" s="10" t="str">
        <f aca="false">IF((SUMIFS(Desconto_Cliente_Mes!$D$2:$D$433,Desconto_Cliente_Mes!$A$2:$A$433,M$128,Desconto_Cliente_Mes!$B$2:$B$433,$A128,Desconto_Cliente_Mes!$C$2:$C$433,"Fibra"))=0,"",IFERROR(SUMIFS(Desconto_Cliente_Mes!$E$2:$E$433,Desconto_Cliente_Mes!$A$2:$A$433,M$128,Desconto_Cliente_Mes!$B$2:$B$433,$A128,Desconto_Cliente_Mes!$C$2:$C$433,"Fibra"),""))</f>
        <v/>
      </c>
      <c r="N129" s="11" t="str">
        <f aca="false">IFERROR(Media_Pool_Mes!E13,"")</f>
        <v/>
      </c>
    </row>
    <row r="130" customFormat="false" ht="15" hidden="false" customHeight="false" outlineLevel="0" collapsed="false">
      <c r="A130" s="13" t="s">
        <v>75</v>
      </c>
      <c r="B130" s="8" t="n">
        <f aca="false">IFERROR(SUMIFS(Desconto_Cliente_Mes!$D$2:$D$433,Desconto_Cliente_Mes!$A$2:$A$433,B$128,Desconto_Cliente_Mes!$B$2:$B$433,$A128,Desconto_Cliente_Mes!$C$2:$C$433,"Fibra"),0)</f>
        <v>0</v>
      </c>
      <c r="C130" s="8" t="n">
        <f aca="false">IFERROR(SUMIFS(Desconto_Cliente_Mes!$D$2:$D$433,Desconto_Cliente_Mes!$A$2:$A$433,C$128,Desconto_Cliente_Mes!$B$2:$B$433,$A128,Desconto_Cliente_Mes!$C$2:$C$433,"Fibra"),0)</f>
        <v>0</v>
      </c>
      <c r="D130" s="8" t="n">
        <f aca="false">IFERROR(SUMIFS(Desconto_Cliente_Mes!$D$2:$D$433,Desconto_Cliente_Mes!$A$2:$A$433,D$128,Desconto_Cliente_Mes!$B$2:$B$433,$A128,Desconto_Cliente_Mes!$C$2:$C$433,"Fibra"),0)</f>
        <v>0</v>
      </c>
      <c r="E130" s="8" t="n">
        <f aca="false">IFERROR(SUMIFS(Desconto_Cliente_Mes!$D$2:$D$433,Desconto_Cliente_Mes!$A$2:$A$433,E$128,Desconto_Cliente_Mes!$B$2:$B$433,$A128,Desconto_Cliente_Mes!$C$2:$C$433,"Fibra"),0)</f>
        <v>0</v>
      </c>
      <c r="F130" s="8" t="n">
        <f aca="false">IFERROR(SUMIFS(Desconto_Cliente_Mes!$D$2:$D$433,Desconto_Cliente_Mes!$A$2:$A$433,F$128,Desconto_Cliente_Mes!$B$2:$B$433,$A128,Desconto_Cliente_Mes!$C$2:$C$433,"Fibra"),0)</f>
        <v>0</v>
      </c>
      <c r="G130" s="8" t="n">
        <f aca="false">IFERROR(SUMIFS(Desconto_Cliente_Mes!$D$2:$D$433,Desconto_Cliente_Mes!$A$2:$A$433,G$128,Desconto_Cliente_Mes!$B$2:$B$433,$A128,Desconto_Cliente_Mes!$C$2:$C$433,"Fibra"),0)</f>
        <v>0</v>
      </c>
      <c r="H130" s="8" t="n">
        <f aca="false">IFERROR(SUMIFS(Desconto_Cliente_Mes!$D$2:$D$433,Desconto_Cliente_Mes!$A$2:$A$433,H$128,Desconto_Cliente_Mes!$B$2:$B$433,$A128,Desconto_Cliente_Mes!$C$2:$C$433,"Fibra"),0)</f>
        <v>0</v>
      </c>
      <c r="I130" s="8" t="n">
        <f aca="false">IFERROR(SUMIFS(Desconto_Cliente_Mes!$D$2:$D$433,Desconto_Cliente_Mes!$A$2:$A$433,I$128,Desconto_Cliente_Mes!$B$2:$B$433,$A128,Desconto_Cliente_Mes!$C$2:$C$433,"Fibra"),0)</f>
        <v>0</v>
      </c>
      <c r="J130" s="8" t="n">
        <f aca="false">IFERROR(SUMIFS(Desconto_Cliente_Mes!$D$2:$D$433,Desconto_Cliente_Mes!$A$2:$A$433,J$128,Desconto_Cliente_Mes!$B$2:$B$433,$A128,Desconto_Cliente_Mes!$C$2:$C$433,"Fibra"),0)</f>
        <v>0</v>
      </c>
      <c r="K130" s="8" t="n">
        <f aca="false">IFERROR(SUMIFS(Desconto_Cliente_Mes!$D$2:$D$433,Desconto_Cliente_Mes!$A$2:$A$433,K$128,Desconto_Cliente_Mes!$B$2:$B$433,$A128,Desconto_Cliente_Mes!$C$2:$C$433,"Fibra"),0)</f>
        <v>0</v>
      </c>
      <c r="L130" s="8" t="n">
        <f aca="false">IFERROR(SUMIFS(Desconto_Cliente_Mes!$D$2:$D$433,Desconto_Cliente_Mes!$A$2:$A$433,L$128,Desconto_Cliente_Mes!$B$2:$B$433,$A128,Desconto_Cliente_Mes!$C$2:$C$433,"Fibra"),0)</f>
        <v>0</v>
      </c>
      <c r="M130" s="8" t="n">
        <f aca="false">IFERROR(SUMIFS(Desconto_Cliente_Mes!$D$2:$D$433,Desconto_Cliente_Mes!$A$2:$A$433,M$128,Desconto_Cliente_Mes!$B$2:$B$433,$A128,Desconto_Cliente_Mes!$C$2:$C$433,"Fibra"),0)</f>
        <v>0</v>
      </c>
      <c r="N130" s="9" t="n">
        <f aca="false">SUM(B130:M130)</f>
        <v>0</v>
      </c>
    </row>
    <row r="131" customFormat="false" ht="15" hidden="false" customHeight="false" outlineLevel="0" collapsed="false">
      <c r="A131" s="13" t="s">
        <v>76</v>
      </c>
      <c r="B131" s="15" t="n">
        <f aca="false">MAX(0,(SUMIFS(Desconto_Cliente_Mes!$L$2:$L$433,Desconto_Cliente_Mes!$A$2:$A$433,B$128,Desconto_Cliente_Mes!$B$2:$B$433,$A128,Desconto_Cliente_Mes!$C$2:$C$433,"Fibra"))-(SUMIFS(Desconto_Cliente_Mes!$N$2:$N$433,Desconto_Cliente_Mes!$A$2:$A$433,B$128,Desconto_Cliente_Mes!$B$2:$B$433,$A128,Desconto_Cliente_Mes!$C$2:$C$433,"Fibra")))</f>
        <v>0</v>
      </c>
      <c r="C131" s="15" t="n">
        <f aca="false">MAX(0,(SUMIFS(Desconto_Cliente_Mes!$L$2:$L$433,Desconto_Cliente_Mes!$A$2:$A$433,C$128,Desconto_Cliente_Mes!$B$2:$B$433,$A128,Desconto_Cliente_Mes!$C$2:$C$433,"Fibra"))-(SUMIFS(Desconto_Cliente_Mes!$N$2:$N$433,Desconto_Cliente_Mes!$A$2:$A$433,C$128,Desconto_Cliente_Mes!$B$2:$B$433,$A128,Desconto_Cliente_Mes!$C$2:$C$433,"Fibra")))</f>
        <v>0</v>
      </c>
      <c r="D131" s="15" t="n">
        <f aca="false">MAX(0,(SUMIFS(Desconto_Cliente_Mes!$L$2:$L$433,Desconto_Cliente_Mes!$A$2:$A$433,D$128,Desconto_Cliente_Mes!$B$2:$B$433,$A128,Desconto_Cliente_Mes!$C$2:$C$433,"Fibra"))-(SUMIFS(Desconto_Cliente_Mes!$N$2:$N$433,Desconto_Cliente_Mes!$A$2:$A$433,D$128,Desconto_Cliente_Mes!$B$2:$B$433,$A128,Desconto_Cliente_Mes!$C$2:$C$433,"Fibra")))</f>
        <v>0</v>
      </c>
      <c r="E131" s="15" t="n">
        <f aca="false">MAX(0,(SUMIFS(Desconto_Cliente_Mes!$L$2:$L$433,Desconto_Cliente_Mes!$A$2:$A$433,E$128,Desconto_Cliente_Mes!$B$2:$B$433,$A128,Desconto_Cliente_Mes!$C$2:$C$433,"Fibra"))-(SUMIFS(Desconto_Cliente_Mes!$N$2:$N$433,Desconto_Cliente_Mes!$A$2:$A$433,E$128,Desconto_Cliente_Mes!$B$2:$B$433,$A128,Desconto_Cliente_Mes!$C$2:$C$433,"Fibra")))</f>
        <v>0</v>
      </c>
      <c r="F131" s="15" t="n">
        <f aca="false">MAX(0,(SUMIFS(Desconto_Cliente_Mes!$L$2:$L$433,Desconto_Cliente_Mes!$A$2:$A$433,F$128,Desconto_Cliente_Mes!$B$2:$B$433,$A128,Desconto_Cliente_Mes!$C$2:$C$433,"Fibra"))-(SUMIFS(Desconto_Cliente_Mes!$N$2:$N$433,Desconto_Cliente_Mes!$A$2:$A$433,F$128,Desconto_Cliente_Mes!$B$2:$B$433,$A128,Desconto_Cliente_Mes!$C$2:$C$433,"Fibra")))</f>
        <v>0</v>
      </c>
      <c r="G131" s="15" t="n">
        <f aca="false">MAX(0,(SUMIFS(Desconto_Cliente_Mes!$L$2:$L$433,Desconto_Cliente_Mes!$A$2:$A$433,G$128,Desconto_Cliente_Mes!$B$2:$B$433,$A128,Desconto_Cliente_Mes!$C$2:$C$433,"Fibra"))-(SUMIFS(Desconto_Cliente_Mes!$N$2:$N$433,Desconto_Cliente_Mes!$A$2:$A$433,G$128,Desconto_Cliente_Mes!$B$2:$B$433,$A128,Desconto_Cliente_Mes!$C$2:$C$433,"Fibra")))</f>
        <v>0</v>
      </c>
      <c r="H131" s="15" t="n">
        <f aca="false">MAX(0,(SUMIFS(Desconto_Cliente_Mes!$L$2:$L$433,Desconto_Cliente_Mes!$A$2:$A$433,H$128,Desconto_Cliente_Mes!$B$2:$B$433,$A128,Desconto_Cliente_Mes!$C$2:$C$433,"Fibra"))-(SUMIFS(Desconto_Cliente_Mes!$N$2:$N$433,Desconto_Cliente_Mes!$A$2:$A$433,H$128,Desconto_Cliente_Mes!$B$2:$B$433,$A128,Desconto_Cliente_Mes!$C$2:$C$433,"Fibra")))</f>
        <v>0</v>
      </c>
      <c r="I131" s="15" t="n">
        <f aca="false">MAX(0,(SUMIFS(Desconto_Cliente_Mes!$L$2:$L$433,Desconto_Cliente_Mes!$A$2:$A$433,I$128,Desconto_Cliente_Mes!$B$2:$B$433,$A128,Desconto_Cliente_Mes!$C$2:$C$433,"Fibra"))-(SUMIFS(Desconto_Cliente_Mes!$N$2:$N$433,Desconto_Cliente_Mes!$A$2:$A$433,I$128,Desconto_Cliente_Mes!$B$2:$B$433,$A128,Desconto_Cliente_Mes!$C$2:$C$433,"Fibra")))</f>
        <v>0</v>
      </c>
      <c r="J131" s="15" t="n">
        <f aca="false">MAX(0,(SUMIFS(Desconto_Cliente_Mes!$L$2:$L$433,Desconto_Cliente_Mes!$A$2:$A$433,J$128,Desconto_Cliente_Mes!$B$2:$B$433,$A128,Desconto_Cliente_Mes!$C$2:$C$433,"Fibra"))-(SUMIFS(Desconto_Cliente_Mes!$N$2:$N$433,Desconto_Cliente_Mes!$A$2:$A$433,J$128,Desconto_Cliente_Mes!$B$2:$B$433,$A128,Desconto_Cliente_Mes!$C$2:$C$433,"Fibra")))</f>
        <v>0</v>
      </c>
      <c r="K131" s="15" t="n">
        <f aca="false">MAX(0,(SUMIFS(Desconto_Cliente_Mes!$L$2:$L$433,Desconto_Cliente_Mes!$A$2:$A$433,K$128,Desconto_Cliente_Mes!$B$2:$B$433,$A128,Desconto_Cliente_Mes!$C$2:$C$433,"Fibra"))-(SUMIFS(Desconto_Cliente_Mes!$N$2:$N$433,Desconto_Cliente_Mes!$A$2:$A$433,K$128,Desconto_Cliente_Mes!$B$2:$B$433,$A128,Desconto_Cliente_Mes!$C$2:$C$433,"Fibra")))</f>
        <v>0</v>
      </c>
      <c r="L131" s="15" t="n">
        <f aca="false">MAX(0,(SUMIFS(Desconto_Cliente_Mes!$L$2:$L$433,Desconto_Cliente_Mes!$A$2:$A$433,L$128,Desconto_Cliente_Mes!$B$2:$B$433,$A128,Desconto_Cliente_Mes!$C$2:$C$433,"Fibra"))-(SUMIFS(Desconto_Cliente_Mes!$N$2:$N$433,Desconto_Cliente_Mes!$A$2:$A$433,L$128,Desconto_Cliente_Mes!$B$2:$B$433,$A128,Desconto_Cliente_Mes!$C$2:$C$433,"Fibra")))</f>
        <v>0</v>
      </c>
      <c r="M131" s="15" t="n">
        <f aca="false">MAX(0,(SUMIFS(Desconto_Cliente_Mes!$L$2:$L$433,Desconto_Cliente_Mes!$A$2:$A$433,M$128,Desconto_Cliente_Mes!$B$2:$B$433,$A128,Desconto_Cliente_Mes!$C$2:$C$433,"Fibra"))-(SUMIFS(Desconto_Cliente_Mes!$N$2:$N$433,Desconto_Cliente_Mes!$A$2:$A$433,M$128,Desconto_Cliente_Mes!$B$2:$B$433,$A128,Desconto_Cliente_Mes!$C$2:$C$433,"Fibra")))</f>
        <v>0</v>
      </c>
    </row>
    <row r="132" customFormat="false" ht="15" hidden="false" customHeight="false" outlineLevel="0" collapsed="false">
      <c r="A132" s="13" t="s">
        <v>77</v>
      </c>
      <c r="B132" s="15" t="n">
        <f aca="false">MAX(0,(SUMIFS(Desconto_Cliente_Mes!$N$2:$N$433,Desconto_Cliente_Mes!$A$2:$A$433,B$128,Desconto_Cliente_Mes!$B$2:$B$433,$A128,Desconto_Cliente_Mes!$C$2:$C$433,"Fibra"))-(SUMIFS(Desconto_Cliente_Mes!$P$2:$P$433,Desconto_Cliente_Mes!$A$2:$A$433,B$128,Desconto_Cliente_Mes!$B$2:$B$433,$A128,Desconto_Cliente_Mes!$C$2:$C$433,"Fibra")))</f>
        <v>0</v>
      </c>
      <c r="C132" s="15" t="n">
        <f aca="false">MAX(0,(SUMIFS(Desconto_Cliente_Mes!$N$2:$N$433,Desconto_Cliente_Mes!$A$2:$A$433,C$128,Desconto_Cliente_Mes!$B$2:$B$433,$A128,Desconto_Cliente_Mes!$C$2:$C$433,"Fibra"))-(SUMIFS(Desconto_Cliente_Mes!$P$2:$P$433,Desconto_Cliente_Mes!$A$2:$A$433,C$128,Desconto_Cliente_Mes!$B$2:$B$433,$A128,Desconto_Cliente_Mes!$C$2:$C$433,"Fibra")))</f>
        <v>0</v>
      </c>
      <c r="D132" s="15" t="n">
        <f aca="false">MAX(0,(SUMIFS(Desconto_Cliente_Mes!$N$2:$N$433,Desconto_Cliente_Mes!$A$2:$A$433,D$128,Desconto_Cliente_Mes!$B$2:$B$433,$A128,Desconto_Cliente_Mes!$C$2:$C$433,"Fibra"))-(SUMIFS(Desconto_Cliente_Mes!$P$2:$P$433,Desconto_Cliente_Mes!$A$2:$A$433,D$128,Desconto_Cliente_Mes!$B$2:$B$433,$A128,Desconto_Cliente_Mes!$C$2:$C$433,"Fibra")))</f>
        <v>0</v>
      </c>
      <c r="E132" s="15" t="n">
        <f aca="false">MAX(0,(SUMIFS(Desconto_Cliente_Mes!$N$2:$N$433,Desconto_Cliente_Mes!$A$2:$A$433,E$128,Desconto_Cliente_Mes!$B$2:$B$433,$A128,Desconto_Cliente_Mes!$C$2:$C$433,"Fibra"))-(SUMIFS(Desconto_Cliente_Mes!$P$2:$P$433,Desconto_Cliente_Mes!$A$2:$A$433,E$128,Desconto_Cliente_Mes!$B$2:$B$433,$A128,Desconto_Cliente_Mes!$C$2:$C$433,"Fibra")))</f>
        <v>0</v>
      </c>
      <c r="F132" s="15" t="n">
        <f aca="false">MAX(0,(SUMIFS(Desconto_Cliente_Mes!$N$2:$N$433,Desconto_Cliente_Mes!$A$2:$A$433,F$128,Desconto_Cliente_Mes!$B$2:$B$433,$A128,Desconto_Cliente_Mes!$C$2:$C$433,"Fibra"))-(SUMIFS(Desconto_Cliente_Mes!$P$2:$P$433,Desconto_Cliente_Mes!$A$2:$A$433,F$128,Desconto_Cliente_Mes!$B$2:$B$433,$A128,Desconto_Cliente_Mes!$C$2:$C$433,"Fibra")))</f>
        <v>0</v>
      </c>
      <c r="G132" s="15" t="n">
        <f aca="false">MAX(0,(SUMIFS(Desconto_Cliente_Mes!$N$2:$N$433,Desconto_Cliente_Mes!$A$2:$A$433,G$128,Desconto_Cliente_Mes!$B$2:$B$433,$A128,Desconto_Cliente_Mes!$C$2:$C$433,"Fibra"))-(SUMIFS(Desconto_Cliente_Mes!$P$2:$P$433,Desconto_Cliente_Mes!$A$2:$A$433,G$128,Desconto_Cliente_Mes!$B$2:$B$433,$A128,Desconto_Cliente_Mes!$C$2:$C$433,"Fibra")))</f>
        <v>0</v>
      </c>
      <c r="H132" s="15" t="n">
        <f aca="false">MAX(0,(SUMIFS(Desconto_Cliente_Mes!$N$2:$N$433,Desconto_Cliente_Mes!$A$2:$A$433,H$128,Desconto_Cliente_Mes!$B$2:$B$433,$A128,Desconto_Cliente_Mes!$C$2:$C$433,"Fibra"))-(SUMIFS(Desconto_Cliente_Mes!$P$2:$P$433,Desconto_Cliente_Mes!$A$2:$A$433,H$128,Desconto_Cliente_Mes!$B$2:$B$433,$A128,Desconto_Cliente_Mes!$C$2:$C$433,"Fibra")))</f>
        <v>0</v>
      </c>
      <c r="I132" s="15" t="n">
        <f aca="false">MAX(0,(SUMIFS(Desconto_Cliente_Mes!$N$2:$N$433,Desconto_Cliente_Mes!$A$2:$A$433,I$128,Desconto_Cliente_Mes!$B$2:$B$433,$A128,Desconto_Cliente_Mes!$C$2:$C$433,"Fibra"))-(SUMIFS(Desconto_Cliente_Mes!$P$2:$P$433,Desconto_Cliente_Mes!$A$2:$A$433,I$128,Desconto_Cliente_Mes!$B$2:$B$433,$A128,Desconto_Cliente_Mes!$C$2:$C$433,"Fibra")))</f>
        <v>0</v>
      </c>
      <c r="J132" s="15" t="n">
        <f aca="false">MAX(0,(SUMIFS(Desconto_Cliente_Mes!$N$2:$N$433,Desconto_Cliente_Mes!$A$2:$A$433,J$128,Desconto_Cliente_Mes!$B$2:$B$433,$A128,Desconto_Cliente_Mes!$C$2:$C$433,"Fibra"))-(SUMIFS(Desconto_Cliente_Mes!$P$2:$P$433,Desconto_Cliente_Mes!$A$2:$A$433,J$128,Desconto_Cliente_Mes!$B$2:$B$433,$A128,Desconto_Cliente_Mes!$C$2:$C$433,"Fibra")))</f>
        <v>0</v>
      </c>
      <c r="K132" s="15" t="n">
        <f aca="false">MAX(0,(SUMIFS(Desconto_Cliente_Mes!$N$2:$N$433,Desconto_Cliente_Mes!$A$2:$A$433,K$128,Desconto_Cliente_Mes!$B$2:$B$433,$A128,Desconto_Cliente_Mes!$C$2:$C$433,"Fibra"))-(SUMIFS(Desconto_Cliente_Mes!$P$2:$P$433,Desconto_Cliente_Mes!$A$2:$A$433,K$128,Desconto_Cliente_Mes!$B$2:$B$433,$A128,Desconto_Cliente_Mes!$C$2:$C$433,"Fibra")))</f>
        <v>0</v>
      </c>
      <c r="L132" s="15" t="n">
        <f aca="false">MAX(0,(SUMIFS(Desconto_Cliente_Mes!$N$2:$N$433,Desconto_Cliente_Mes!$A$2:$A$433,L$128,Desconto_Cliente_Mes!$B$2:$B$433,$A128,Desconto_Cliente_Mes!$C$2:$C$433,"Fibra"))-(SUMIFS(Desconto_Cliente_Mes!$P$2:$P$433,Desconto_Cliente_Mes!$A$2:$A$433,L$128,Desconto_Cliente_Mes!$B$2:$B$433,$A128,Desconto_Cliente_Mes!$C$2:$C$433,"Fibra")))</f>
        <v>0</v>
      </c>
      <c r="M132" s="15" t="n">
        <f aca="false">MAX(0,(SUMIFS(Desconto_Cliente_Mes!$N$2:$N$433,Desconto_Cliente_Mes!$A$2:$A$433,M$128,Desconto_Cliente_Mes!$B$2:$B$433,$A128,Desconto_Cliente_Mes!$C$2:$C$433,"Fibra"))-(SUMIFS(Desconto_Cliente_Mes!$P$2:$P$433,Desconto_Cliente_Mes!$A$2:$A$433,M$128,Desconto_Cliente_Mes!$B$2:$B$433,$A128,Desconto_Cliente_Mes!$C$2:$C$433,"Fibra")))</f>
        <v>0</v>
      </c>
    </row>
    <row r="133" customFormat="false" ht="15" hidden="false" customHeight="false" outlineLevel="0" collapsed="false">
      <c r="A133" s="13" t="s">
        <v>78</v>
      </c>
      <c r="B133" s="15" t="n">
        <f aca="false">MAX(0,SUMIFS(Desconto_Cliente_Mes!$P$2:$P$433,Desconto_Cliente_Mes!$A$2:$A$433,B$128,Desconto_Cliente_Mes!$B$2:$B$433,$A128,Desconto_Cliente_Mes!$C$2:$C$433,"Fibra"))</f>
        <v>0</v>
      </c>
      <c r="C133" s="15" t="n">
        <f aca="false">MAX(0,SUMIFS(Desconto_Cliente_Mes!$P$2:$P$433,Desconto_Cliente_Mes!$A$2:$A$433,C$128,Desconto_Cliente_Mes!$B$2:$B$433,$A128,Desconto_Cliente_Mes!$C$2:$C$433,"Fibra"))</f>
        <v>0</v>
      </c>
      <c r="D133" s="15" t="n">
        <f aca="false">MAX(0,SUMIFS(Desconto_Cliente_Mes!$P$2:$P$433,Desconto_Cliente_Mes!$A$2:$A$433,D$128,Desconto_Cliente_Mes!$B$2:$B$433,$A128,Desconto_Cliente_Mes!$C$2:$C$433,"Fibra"))</f>
        <v>0</v>
      </c>
      <c r="E133" s="15" t="n">
        <f aca="false">MAX(0,SUMIFS(Desconto_Cliente_Mes!$P$2:$P$433,Desconto_Cliente_Mes!$A$2:$A$433,E$128,Desconto_Cliente_Mes!$B$2:$B$433,$A128,Desconto_Cliente_Mes!$C$2:$C$433,"Fibra"))</f>
        <v>0</v>
      </c>
      <c r="F133" s="15" t="n">
        <f aca="false">MAX(0,SUMIFS(Desconto_Cliente_Mes!$P$2:$P$433,Desconto_Cliente_Mes!$A$2:$A$433,F$128,Desconto_Cliente_Mes!$B$2:$B$433,$A128,Desconto_Cliente_Mes!$C$2:$C$433,"Fibra"))</f>
        <v>0</v>
      </c>
      <c r="G133" s="15" t="n">
        <f aca="false">MAX(0,SUMIFS(Desconto_Cliente_Mes!$P$2:$P$433,Desconto_Cliente_Mes!$A$2:$A$433,G$128,Desconto_Cliente_Mes!$B$2:$B$433,$A128,Desconto_Cliente_Mes!$C$2:$C$433,"Fibra"))</f>
        <v>0</v>
      </c>
      <c r="H133" s="15" t="n">
        <f aca="false">MAX(0,SUMIFS(Desconto_Cliente_Mes!$P$2:$P$433,Desconto_Cliente_Mes!$A$2:$A$433,H$128,Desconto_Cliente_Mes!$B$2:$B$433,$A128,Desconto_Cliente_Mes!$C$2:$C$433,"Fibra"))</f>
        <v>0</v>
      </c>
      <c r="I133" s="15" t="n">
        <f aca="false">MAX(0,SUMIFS(Desconto_Cliente_Mes!$P$2:$P$433,Desconto_Cliente_Mes!$A$2:$A$433,I$128,Desconto_Cliente_Mes!$B$2:$B$433,$A128,Desconto_Cliente_Mes!$C$2:$C$433,"Fibra"))</f>
        <v>0</v>
      </c>
      <c r="J133" s="15" t="n">
        <f aca="false">MAX(0,SUMIFS(Desconto_Cliente_Mes!$P$2:$P$433,Desconto_Cliente_Mes!$A$2:$A$433,J$128,Desconto_Cliente_Mes!$B$2:$B$433,$A128,Desconto_Cliente_Mes!$C$2:$C$433,"Fibra"))</f>
        <v>0</v>
      </c>
      <c r="K133" s="15" t="n">
        <f aca="false">MAX(0,SUMIFS(Desconto_Cliente_Mes!$P$2:$P$433,Desconto_Cliente_Mes!$A$2:$A$433,K$128,Desconto_Cliente_Mes!$B$2:$B$433,$A128,Desconto_Cliente_Mes!$C$2:$C$433,"Fibra"))</f>
        <v>0</v>
      </c>
      <c r="L133" s="15" t="n">
        <f aca="false">MAX(0,SUMIFS(Desconto_Cliente_Mes!$P$2:$P$433,Desconto_Cliente_Mes!$A$2:$A$433,L$128,Desconto_Cliente_Mes!$B$2:$B$433,$A128,Desconto_Cliente_Mes!$C$2:$C$433,"Fibra"))</f>
        <v>0</v>
      </c>
      <c r="M133" s="15" t="n">
        <f aca="false">MAX(0,SUMIFS(Desconto_Cliente_Mes!$P$2:$P$433,Desconto_Cliente_Mes!$A$2:$A$433,M$128,Desconto_Cliente_Mes!$B$2:$B$433,$A128,Desconto_Cliente_Mes!$C$2:$C$433,"Fibra"))</f>
        <v>0</v>
      </c>
    </row>
    <row r="134" customFormat="false" ht="15" hidden="false" customHeight="false" outlineLevel="0" collapsed="false">
      <c r="A134" s="13" t="s">
        <v>79</v>
      </c>
      <c r="B134" s="16" t="n">
        <f aca="false">$B$130*($B$131/100)*(SUMIFS(Desconto_Cliente_Mes!$Q$2:$Q$433,Desconto_Cliente_Mes!$A$2:$A$433,B$128,Desconto_Cliente_Mes!$B$2:$B$433,$A128,Desconto_Cliente_Mes!$C$2:$C$433,"Fibra"))*(SUMIFS(Desconto_Cliente_Mes!$T$2:$T$433,Desconto_Cliente_Mes!$A$2:$A$433,B$128,Desconto_Cliente_Mes!$B$2:$B$433,$A128,Desconto_Cliente_Mes!$C$2:$C$433,"Fibra"))</f>
        <v>0</v>
      </c>
      <c r="C134" s="16" t="n">
        <f aca="false">$C$130*($C$131/100)*(SUMIFS(Desconto_Cliente_Mes!$Q$2:$Q$433,Desconto_Cliente_Mes!$A$2:$A$433,C$128,Desconto_Cliente_Mes!$B$2:$B$433,$A128,Desconto_Cliente_Mes!$C$2:$C$433,"Fibra"))*(SUMIFS(Desconto_Cliente_Mes!$T$2:$T$433,Desconto_Cliente_Mes!$A$2:$A$433,C$128,Desconto_Cliente_Mes!$B$2:$B$433,$A128,Desconto_Cliente_Mes!$C$2:$C$433,"Fibra"))</f>
        <v>0</v>
      </c>
      <c r="D134" s="16" t="n">
        <f aca="false">$D$130*($D$131/100)*(SUMIFS(Desconto_Cliente_Mes!$Q$2:$Q$433,Desconto_Cliente_Mes!$A$2:$A$433,D$128,Desconto_Cliente_Mes!$B$2:$B$433,$A128,Desconto_Cliente_Mes!$C$2:$C$433,"Fibra"))*(SUMIFS(Desconto_Cliente_Mes!$T$2:$T$433,Desconto_Cliente_Mes!$A$2:$A$433,D$128,Desconto_Cliente_Mes!$B$2:$B$433,$A128,Desconto_Cliente_Mes!$C$2:$C$433,"Fibra"))</f>
        <v>0</v>
      </c>
      <c r="E134" s="16" t="n">
        <f aca="false">$E$130*($E$131/100)*(SUMIFS(Desconto_Cliente_Mes!$Q$2:$Q$433,Desconto_Cliente_Mes!$A$2:$A$433,E$128,Desconto_Cliente_Mes!$B$2:$B$433,$A128,Desconto_Cliente_Mes!$C$2:$C$433,"Fibra"))*(SUMIFS(Desconto_Cliente_Mes!$T$2:$T$433,Desconto_Cliente_Mes!$A$2:$A$433,E$128,Desconto_Cliente_Mes!$B$2:$B$433,$A128,Desconto_Cliente_Mes!$C$2:$C$433,"Fibra"))</f>
        <v>0</v>
      </c>
      <c r="F134" s="16" t="n">
        <f aca="false">$F$130*($F$131/100)*(SUMIFS(Desconto_Cliente_Mes!$Q$2:$Q$433,Desconto_Cliente_Mes!$A$2:$A$433,F$128,Desconto_Cliente_Mes!$B$2:$B$433,$A128,Desconto_Cliente_Mes!$C$2:$C$433,"Fibra"))*(SUMIFS(Desconto_Cliente_Mes!$T$2:$T$433,Desconto_Cliente_Mes!$A$2:$A$433,F$128,Desconto_Cliente_Mes!$B$2:$B$433,$A128,Desconto_Cliente_Mes!$C$2:$C$433,"Fibra"))</f>
        <v>0</v>
      </c>
      <c r="G134" s="16" t="n">
        <f aca="false">$G$130*($G$131/100)*(SUMIFS(Desconto_Cliente_Mes!$Q$2:$Q$433,Desconto_Cliente_Mes!$A$2:$A$433,G$128,Desconto_Cliente_Mes!$B$2:$B$433,$A128,Desconto_Cliente_Mes!$C$2:$C$433,"Fibra"))*(SUMIFS(Desconto_Cliente_Mes!$T$2:$T$433,Desconto_Cliente_Mes!$A$2:$A$433,G$128,Desconto_Cliente_Mes!$B$2:$B$433,$A128,Desconto_Cliente_Mes!$C$2:$C$433,"Fibra"))</f>
        <v>0</v>
      </c>
      <c r="H134" s="16" t="n">
        <f aca="false">$H$130*($H$131/100)*(SUMIFS(Desconto_Cliente_Mes!$Q$2:$Q$433,Desconto_Cliente_Mes!$A$2:$A$433,H$128,Desconto_Cliente_Mes!$B$2:$B$433,$A128,Desconto_Cliente_Mes!$C$2:$C$433,"Fibra"))*(SUMIFS(Desconto_Cliente_Mes!$T$2:$T$433,Desconto_Cliente_Mes!$A$2:$A$433,H$128,Desconto_Cliente_Mes!$B$2:$B$433,$A128,Desconto_Cliente_Mes!$C$2:$C$433,"Fibra"))</f>
        <v>0</v>
      </c>
      <c r="I134" s="16" t="n">
        <f aca="false">$I$130*($I$131/100)*(SUMIFS(Desconto_Cliente_Mes!$Q$2:$Q$433,Desconto_Cliente_Mes!$A$2:$A$433,I$128,Desconto_Cliente_Mes!$B$2:$B$433,$A128,Desconto_Cliente_Mes!$C$2:$C$433,"Fibra"))*(SUMIFS(Desconto_Cliente_Mes!$T$2:$T$433,Desconto_Cliente_Mes!$A$2:$A$433,I$128,Desconto_Cliente_Mes!$B$2:$B$433,$A128,Desconto_Cliente_Mes!$C$2:$C$433,"Fibra"))</f>
        <v>0</v>
      </c>
      <c r="J134" s="16" t="n">
        <f aca="false">$J$130*($J$131/100)*(SUMIFS(Desconto_Cliente_Mes!$Q$2:$Q$433,Desconto_Cliente_Mes!$A$2:$A$433,J$128,Desconto_Cliente_Mes!$B$2:$B$433,$A128,Desconto_Cliente_Mes!$C$2:$C$433,"Fibra"))*(SUMIFS(Desconto_Cliente_Mes!$T$2:$T$433,Desconto_Cliente_Mes!$A$2:$A$433,J$128,Desconto_Cliente_Mes!$B$2:$B$433,$A128,Desconto_Cliente_Mes!$C$2:$C$433,"Fibra"))</f>
        <v>0</v>
      </c>
      <c r="K134" s="16" t="n">
        <f aca="false">$K$130*($K$131/100)*(SUMIFS(Desconto_Cliente_Mes!$Q$2:$Q$433,Desconto_Cliente_Mes!$A$2:$A$433,K$128,Desconto_Cliente_Mes!$B$2:$B$433,$A128,Desconto_Cliente_Mes!$C$2:$C$433,"Fibra"))*(SUMIFS(Desconto_Cliente_Mes!$T$2:$T$433,Desconto_Cliente_Mes!$A$2:$A$433,K$128,Desconto_Cliente_Mes!$B$2:$B$433,$A128,Desconto_Cliente_Mes!$C$2:$C$433,"Fibra"))</f>
        <v>0</v>
      </c>
      <c r="L134" s="16" t="n">
        <f aca="false">$L$130*($L$131/100)*(SUMIFS(Desconto_Cliente_Mes!$Q$2:$Q$433,Desconto_Cliente_Mes!$A$2:$A$433,L$128,Desconto_Cliente_Mes!$B$2:$B$433,$A128,Desconto_Cliente_Mes!$C$2:$C$433,"Fibra"))*(SUMIFS(Desconto_Cliente_Mes!$T$2:$T$433,Desconto_Cliente_Mes!$A$2:$A$433,L$128,Desconto_Cliente_Mes!$B$2:$B$433,$A128,Desconto_Cliente_Mes!$C$2:$C$433,"Fibra"))</f>
        <v>0</v>
      </c>
      <c r="M134" s="16" t="n">
        <f aca="false">$M$130*($M$131/100)*(SUMIFS(Desconto_Cliente_Mes!$Q$2:$Q$433,Desconto_Cliente_Mes!$A$2:$A$433,M$128,Desconto_Cliente_Mes!$B$2:$B$433,$A128,Desconto_Cliente_Mes!$C$2:$C$433,"Fibra"))*(SUMIFS(Desconto_Cliente_Mes!$T$2:$T$433,Desconto_Cliente_Mes!$A$2:$A$433,M$128,Desconto_Cliente_Mes!$B$2:$B$433,$A128,Desconto_Cliente_Mes!$C$2:$C$433,"Fibra"))</f>
        <v>0</v>
      </c>
      <c r="N134" s="17" t="n">
        <f aca="false">SUM(B134:M134)</f>
        <v>0</v>
      </c>
    </row>
    <row r="135" customFormat="false" ht="15" hidden="false" customHeight="false" outlineLevel="0" collapsed="false">
      <c r="A135" s="13" t="s">
        <v>80</v>
      </c>
      <c r="B135" s="16" t="n">
        <f aca="false">$B$130*($B$132/100)*((IF(SUMIFS(Desconto_Cliente_Mes!$R$2:$R$433,Desconto_Cliente_Mes!$A$2:$A$433,B$128,Desconto_Cliente_Mes!$B$2:$B$433,$A128,Desconto_Cliente_Mes!$C$2:$C$433,"Fibra")="",SUMIFS(Desconto_Cliente_Mes!$Q$2:$Q$433,Desconto_Cliente_Mes!$A$2:$A$433,B$128,Desconto_Cliente_Mes!$B$2:$B$433,$A128,Desconto_Cliente_Mes!$C$2:$C$433,"Fibra"),SUMIFS(Desconto_Cliente_Mes!$R$2:$R$433,Desconto_Cliente_Mes!$A$2:$A$433,B$128,Desconto_Cliente_Mes!$B$2:$B$433,$A128,Desconto_Cliente_Mes!$C$2:$C$433,"Fibra")))-(SUMIFS(Desconto_Cliente_Mes!$Q$2:$Q$433,Desconto_Cliente_Mes!$A$2:$A$433,B$128,Desconto_Cliente_Mes!$B$2:$B$433,$A128,Desconto_Cliente_Mes!$C$2:$C$433,"Fibra")))*(SUMIFS(Desconto_Cliente_Mes!$T$2:$T$433,Desconto_Cliente_Mes!$A$2:$A$433,B$128,Desconto_Cliente_Mes!$B$2:$B$433,$A128,Desconto_Cliente_Mes!$C$2:$C$433,"Fibra"))</f>
        <v>0</v>
      </c>
      <c r="C135" s="16" t="n">
        <f aca="false">$C$130*($C$132/100)*((IF(SUMIFS(Desconto_Cliente_Mes!$R$2:$R$433,Desconto_Cliente_Mes!$A$2:$A$433,C$128,Desconto_Cliente_Mes!$B$2:$B$433,$A128,Desconto_Cliente_Mes!$C$2:$C$433,"Fibra")="",SUMIFS(Desconto_Cliente_Mes!$Q$2:$Q$433,Desconto_Cliente_Mes!$A$2:$A$433,C$128,Desconto_Cliente_Mes!$B$2:$B$433,$A128,Desconto_Cliente_Mes!$C$2:$C$433,"Fibra"),SUMIFS(Desconto_Cliente_Mes!$R$2:$R$433,Desconto_Cliente_Mes!$A$2:$A$433,C$128,Desconto_Cliente_Mes!$B$2:$B$433,$A128,Desconto_Cliente_Mes!$C$2:$C$433,"Fibra")))-(SUMIFS(Desconto_Cliente_Mes!$Q$2:$Q$433,Desconto_Cliente_Mes!$A$2:$A$433,C$128,Desconto_Cliente_Mes!$B$2:$B$433,$A128,Desconto_Cliente_Mes!$C$2:$C$433,"Fibra")))*(SUMIFS(Desconto_Cliente_Mes!$T$2:$T$433,Desconto_Cliente_Mes!$A$2:$A$433,C$128,Desconto_Cliente_Mes!$B$2:$B$433,$A128,Desconto_Cliente_Mes!$C$2:$C$433,"Fibra"))</f>
        <v>0</v>
      </c>
      <c r="D135" s="16" t="n">
        <f aca="false">$D$130*($D$132/100)*((IF(SUMIFS(Desconto_Cliente_Mes!$R$2:$R$433,Desconto_Cliente_Mes!$A$2:$A$433,D$128,Desconto_Cliente_Mes!$B$2:$B$433,$A128,Desconto_Cliente_Mes!$C$2:$C$433,"Fibra")="",SUMIFS(Desconto_Cliente_Mes!$Q$2:$Q$433,Desconto_Cliente_Mes!$A$2:$A$433,D$128,Desconto_Cliente_Mes!$B$2:$B$433,$A128,Desconto_Cliente_Mes!$C$2:$C$433,"Fibra"),SUMIFS(Desconto_Cliente_Mes!$R$2:$R$433,Desconto_Cliente_Mes!$A$2:$A$433,D$128,Desconto_Cliente_Mes!$B$2:$B$433,$A128,Desconto_Cliente_Mes!$C$2:$C$433,"Fibra")))-(SUMIFS(Desconto_Cliente_Mes!$Q$2:$Q$433,Desconto_Cliente_Mes!$A$2:$A$433,D$128,Desconto_Cliente_Mes!$B$2:$B$433,$A128,Desconto_Cliente_Mes!$C$2:$C$433,"Fibra")))*(SUMIFS(Desconto_Cliente_Mes!$T$2:$T$433,Desconto_Cliente_Mes!$A$2:$A$433,D$128,Desconto_Cliente_Mes!$B$2:$B$433,$A128,Desconto_Cliente_Mes!$C$2:$C$433,"Fibra"))</f>
        <v>0</v>
      </c>
      <c r="E135" s="16" t="n">
        <f aca="false">$E$130*($E$132/100)*((IF(SUMIFS(Desconto_Cliente_Mes!$R$2:$R$433,Desconto_Cliente_Mes!$A$2:$A$433,E$128,Desconto_Cliente_Mes!$B$2:$B$433,$A128,Desconto_Cliente_Mes!$C$2:$C$433,"Fibra")="",SUMIFS(Desconto_Cliente_Mes!$Q$2:$Q$433,Desconto_Cliente_Mes!$A$2:$A$433,E$128,Desconto_Cliente_Mes!$B$2:$B$433,$A128,Desconto_Cliente_Mes!$C$2:$C$433,"Fibra"),SUMIFS(Desconto_Cliente_Mes!$R$2:$R$433,Desconto_Cliente_Mes!$A$2:$A$433,E$128,Desconto_Cliente_Mes!$B$2:$B$433,$A128,Desconto_Cliente_Mes!$C$2:$C$433,"Fibra")))-(SUMIFS(Desconto_Cliente_Mes!$Q$2:$Q$433,Desconto_Cliente_Mes!$A$2:$A$433,E$128,Desconto_Cliente_Mes!$B$2:$B$433,$A128,Desconto_Cliente_Mes!$C$2:$C$433,"Fibra")))*(SUMIFS(Desconto_Cliente_Mes!$T$2:$T$433,Desconto_Cliente_Mes!$A$2:$A$433,E$128,Desconto_Cliente_Mes!$B$2:$B$433,$A128,Desconto_Cliente_Mes!$C$2:$C$433,"Fibra"))</f>
        <v>0</v>
      </c>
      <c r="F135" s="16" t="n">
        <f aca="false">$F$130*($F$132/100)*((IF(SUMIFS(Desconto_Cliente_Mes!$R$2:$R$433,Desconto_Cliente_Mes!$A$2:$A$433,F$128,Desconto_Cliente_Mes!$B$2:$B$433,$A128,Desconto_Cliente_Mes!$C$2:$C$433,"Fibra")="",SUMIFS(Desconto_Cliente_Mes!$Q$2:$Q$433,Desconto_Cliente_Mes!$A$2:$A$433,F$128,Desconto_Cliente_Mes!$B$2:$B$433,$A128,Desconto_Cliente_Mes!$C$2:$C$433,"Fibra"),SUMIFS(Desconto_Cliente_Mes!$R$2:$R$433,Desconto_Cliente_Mes!$A$2:$A$433,F$128,Desconto_Cliente_Mes!$B$2:$B$433,$A128,Desconto_Cliente_Mes!$C$2:$C$433,"Fibra")))-(SUMIFS(Desconto_Cliente_Mes!$Q$2:$Q$433,Desconto_Cliente_Mes!$A$2:$A$433,F$128,Desconto_Cliente_Mes!$B$2:$B$433,$A128,Desconto_Cliente_Mes!$C$2:$C$433,"Fibra")))*(SUMIFS(Desconto_Cliente_Mes!$T$2:$T$433,Desconto_Cliente_Mes!$A$2:$A$433,F$128,Desconto_Cliente_Mes!$B$2:$B$433,$A128,Desconto_Cliente_Mes!$C$2:$C$433,"Fibra"))</f>
        <v>0</v>
      </c>
      <c r="G135" s="16" t="n">
        <f aca="false">$G$130*($G$132/100)*((IF(SUMIFS(Desconto_Cliente_Mes!$R$2:$R$433,Desconto_Cliente_Mes!$A$2:$A$433,G$128,Desconto_Cliente_Mes!$B$2:$B$433,$A128,Desconto_Cliente_Mes!$C$2:$C$433,"Fibra")="",SUMIFS(Desconto_Cliente_Mes!$Q$2:$Q$433,Desconto_Cliente_Mes!$A$2:$A$433,G$128,Desconto_Cliente_Mes!$B$2:$B$433,$A128,Desconto_Cliente_Mes!$C$2:$C$433,"Fibra"),SUMIFS(Desconto_Cliente_Mes!$R$2:$R$433,Desconto_Cliente_Mes!$A$2:$A$433,G$128,Desconto_Cliente_Mes!$B$2:$B$433,$A128,Desconto_Cliente_Mes!$C$2:$C$433,"Fibra")))-(SUMIFS(Desconto_Cliente_Mes!$Q$2:$Q$433,Desconto_Cliente_Mes!$A$2:$A$433,G$128,Desconto_Cliente_Mes!$B$2:$B$433,$A128,Desconto_Cliente_Mes!$C$2:$C$433,"Fibra")))*(SUMIFS(Desconto_Cliente_Mes!$T$2:$T$433,Desconto_Cliente_Mes!$A$2:$A$433,G$128,Desconto_Cliente_Mes!$B$2:$B$433,$A128,Desconto_Cliente_Mes!$C$2:$C$433,"Fibra"))</f>
        <v>0</v>
      </c>
      <c r="H135" s="16" t="n">
        <f aca="false">$H$130*($H$132/100)*((IF(SUMIFS(Desconto_Cliente_Mes!$R$2:$R$433,Desconto_Cliente_Mes!$A$2:$A$433,H$128,Desconto_Cliente_Mes!$B$2:$B$433,$A128,Desconto_Cliente_Mes!$C$2:$C$433,"Fibra")="",SUMIFS(Desconto_Cliente_Mes!$Q$2:$Q$433,Desconto_Cliente_Mes!$A$2:$A$433,H$128,Desconto_Cliente_Mes!$B$2:$B$433,$A128,Desconto_Cliente_Mes!$C$2:$C$433,"Fibra"),SUMIFS(Desconto_Cliente_Mes!$R$2:$R$433,Desconto_Cliente_Mes!$A$2:$A$433,H$128,Desconto_Cliente_Mes!$B$2:$B$433,$A128,Desconto_Cliente_Mes!$C$2:$C$433,"Fibra")))-(SUMIFS(Desconto_Cliente_Mes!$Q$2:$Q$433,Desconto_Cliente_Mes!$A$2:$A$433,H$128,Desconto_Cliente_Mes!$B$2:$B$433,$A128,Desconto_Cliente_Mes!$C$2:$C$433,"Fibra")))*(SUMIFS(Desconto_Cliente_Mes!$T$2:$T$433,Desconto_Cliente_Mes!$A$2:$A$433,H$128,Desconto_Cliente_Mes!$B$2:$B$433,$A128,Desconto_Cliente_Mes!$C$2:$C$433,"Fibra"))</f>
        <v>0</v>
      </c>
      <c r="I135" s="16" t="n">
        <f aca="false">$I$130*($I$132/100)*((IF(SUMIFS(Desconto_Cliente_Mes!$R$2:$R$433,Desconto_Cliente_Mes!$A$2:$A$433,I$128,Desconto_Cliente_Mes!$B$2:$B$433,$A128,Desconto_Cliente_Mes!$C$2:$C$433,"Fibra")="",SUMIFS(Desconto_Cliente_Mes!$Q$2:$Q$433,Desconto_Cliente_Mes!$A$2:$A$433,I$128,Desconto_Cliente_Mes!$B$2:$B$433,$A128,Desconto_Cliente_Mes!$C$2:$C$433,"Fibra"),SUMIFS(Desconto_Cliente_Mes!$R$2:$R$433,Desconto_Cliente_Mes!$A$2:$A$433,I$128,Desconto_Cliente_Mes!$B$2:$B$433,$A128,Desconto_Cliente_Mes!$C$2:$C$433,"Fibra")))-(SUMIFS(Desconto_Cliente_Mes!$Q$2:$Q$433,Desconto_Cliente_Mes!$A$2:$A$433,I$128,Desconto_Cliente_Mes!$B$2:$B$433,$A128,Desconto_Cliente_Mes!$C$2:$C$433,"Fibra")))*(SUMIFS(Desconto_Cliente_Mes!$T$2:$T$433,Desconto_Cliente_Mes!$A$2:$A$433,I$128,Desconto_Cliente_Mes!$B$2:$B$433,$A128,Desconto_Cliente_Mes!$C$2:$C$433,"Fibra"))</f>
        <v>0</v>
      </c>
      <c r="J135" s="16" t="n">
        <f aca="false">$J$130*($J$132/100)*((IF(SUMIFS(Desconto_Cliente_Mes!$R$2:$R$433,Desconto_Cliente_Mes!$A$2:$A$433,J$128,Desconto_Cliente_Mes!$B$2:$B$433,$A128,Desconto_Cliente_Mes!$C$2:$C$433,"Fibra")="",SUMIFS(Desconto_Cliente_Mes!$Q$2:$Q$433,Desconto_Cliente_Mes!$A$2:$A$433,J$128,Desconto_Cliente_Mes!$B$2:$B$433,$A128,Desconto_Cliente_Mes!$C$2:$C$433,"Fibra"),SUMIFS(Desconto_Cliente_Mes!$R$2:$R$433,Desconto_Cliente_Mes!$A$2:$A$433,J$128,Desconto_Cliente_Mes!$B$2:$B$433,$A128,Desconto_Cliente_Mes!$C$2:$C$433,"Fibra")))-(SUMIFS(Desconto_Cliente_Mes!$Q$2:$Q$433,Desconto_Cliente_Mes!$A$2:$A$433,J$128,Desconto_Cliente_Mes!$B$2:$B$433,$A128,Desconto_Cliente_Mes!$C$2:$C$433,"Fibra")))*(SUMIFS(Desconto_Cliente_Mes!$T$2:$T$433,Desconto_Cliente_Mes!$A$2:$A$433,J$128,Desconto_Cliente_Mes!$B$2:$B$433,$A128,Desconto_Cliente_Mes!$C$2:$C$433,"Fibra"))</f>
        <v>0</v>
      </c>
      <c r="K135" s="16" t="n">
        <f aca="false">$K$130*($K$132/100)*((IF(SUMIFS(Desconto_Cliente_Mes!$R$2:$R$433,Desconto_Cliente_Mes!$A$2:$A$433,K$128,Desconto_Cliente_Mes!$B$2:$B$433,$A128,Desconto_Cliente_Mes!$C$2:$C$433,"Fibra")="",SUMIFS(Desconto_Cliente_Mes!$Q$2:$Q$433,Desconto_Cliente_Mes!$A$2:$A$433,K$128,Desconto_Cliente_Mes!$B$2:$B$433,$A128,Desconto_Cliente_Mes!$C$2:$C$433,"Fibra"),SUMIFS(Desconto_Cliente_Mes!$R$2:$R$433,Desconto_Cliente_Mes!$A$2:$A$433,K$128,Desconto_Cliente_Mes!$B$2:$B$433,$A128,Desconto_Cliente_Mes!$C$2:$C$433,"Fibra")))-(SUMIFS(Desconto_Cliente_Mes!$Q$2:$Q$433,Desconto_Cliente_Mes!$A$2:$A$433,K$128,Desconto_Cliente_Mes!$B$2:$B$433,$A128,Desconto_Cliente_Mes!$C$2:$C$433,"Fibra")))*(SUMIFS(Desconto_Cliente_Mes!$T$2:$T$433,Desconto_Cliente_Mes!$A$2:$A$433,K$128,Desconto_Cliente_Mes!$B$2:$B$433,$A128,Desconto_Cliente_Mes!$C$2:$C$433,"Fibra"))</f>
        <v>0</v>
      </c>
      <c r="L135" s="16" t="n">
        <f aca="false">$L$130*($L$132/100)*((IF(SUMIFS(Desconto_Cliente_Mes!$R$2:$R$433,Desconto_Cliente_Mes!$A$2:$A$433,L$128,Desconto_Cliente_Mes!$B$2:$B$433,$A128,Desconto_Cliente_Mes!$C$2:$C$433,"Fibra")="",SUMIFS(Desconto_Cliente_Mes!$Q$2:$Q$433,Desconto_Cliente_Mes!$A$2:$A$433,L$128,Desconto_Cliente_Mes!$B$2:$B$433,$A128,Desconto_Cliente_Mes!$C$2:$C$433,"Fibra"),SUMIFS(Desconto_Cliente_Mes!$R$2:$R$433,Desconto_Cliente_Mes!$A$2:$A$433,L$128,Desconto_Cliente_Mes!$B$2:$B$433,$A128,Desconto_Cliente_Mes!$C$2:$C$433,"Fibra")))-(SUMIFS(Desconto_Cliente_Mes!$Q$2:$Q$433,Desconto_Cliente_Mes!$A$2:$A$433,L$128,Desconto_Cliente_Mes!$B$2:$B$433,$A128,Desconto_Cliente_Mes!$C$2:$C$433,"Fibra")))*(SUMIFS(Desconto_Cliente_Mes!$T$2:$T$433,Desconto_Cliente_Mes!$A$2:$A$433,L$128,Desconto_Cliente_Mes!$B$2:$B$433,$A128,Desconto_Cliente_Mes!$C$2:$C$433,"Fibra"))</f>
        <v>0</v>
      </c>
      <c r="M135" s="16" t="n">
        <f aca="false">$M$130*($M$132/100)*((IF(SUMIFS(Desconto_Cliente_Mes!$R$2:$R$433,Desconto_Cliente_Mes!$A$2:$A$433,M$128,Desconto_Cliente_Mes!$B$2:$B$433,$A128,Desconto_Cliente_Mes!$C$2:$C$433,"Fibra")="",SUMIFS(Desconto_Cliente_Mes!$Q$2:$Q$433,Desconto_Cliente_Mes!$A$2:$A$433,M$128,Desconto_Cliente_Mes!$B$2:$B$433,$A128,Desconto_Cliente_Mes!$C$2:$C$433,"Fibra"),SUMIFS(Desconto_Cliente_Mes!$R$2:$R$433,Desconto_Cliente_Mes!$A$2:$A$433,M$128,Desconto_Cliente_Mes!$B$2:$B$433,$A128,Desconto_Cliente_Mes!$C$2:$C$433,"Fibra")))-(SUMIFS(Desconto_Cliente_Mes!$Q$2:$Q$433,Desconto_Cliente_Mes!$A$2:$A$433,M$128,Desconto_Cliente_Mes!$B$2:$B$433,$A128,Desconto_Cliente_Mes!$C$2:$C$433,"Fibra")))*(SUMIFS(Desconto_Cliente_Mes!$T$2:$T$433,Desconto_Cliente_Mes!$A$2:$A$433,M$128,Desconto_Cliente_Mes!$B$2:$B$433,$A128,Desconto_Cliente_Mes!$C$2:$C$433,"Fibra"))</f>
        <v>0</v>
      </c>
      <c r="N135" s="17" t="n">
        <f aca="false">SUM(B135:M135)</f>
        <v>0</v>
      </c>
    </row>
    <row r="136" customFormat="false" ht="15" hidden="false" customHeight="false" outlineLevel="0" collapsed="false">
      <c r="A136" s="13" t="s">
        <v>81</v>
      </c>
      <c r="B136" s="16" t="n">
        <f aca="false">$B$130*($B$133/100)*((IF(SUMIFS(Desconto_Cliente_Mes!$S$2:$S$433,Desconto_Cliente_Mes!$A$2:$A$433,B$128,Desconto_Cliente_Mes!$B$2:$B$433,$A128,Desconto_Cliente_Mes!$C$2:$C$433,"Fibra")="",(IF(SUMIFS(Desconto_Cliente_Mes!$R$2:$R$433,Desconto_Cliente_Mes!$A$2:$A$433,B$128,Desconto_Cliente_Mes!$B$2:$B$433,$A128,Desconto_Cliente_Mes!$C$2:$C$433,"Fibra")="",SUMIFS(Desconto_Cliente_Mes!$Q$2:$Q$433,Desconto_Cliente_Mes!$A$2:$A$433,B$128,Desconto_Cliente_Mes!$B$2:$B$433,$A128,Desconto_Cliente_Mes!$C$2:$C$433,"Fibra"),SUMIFS(Desconto_Cliente_Mes!$R$2:$R$433,Desconto_Cliente_Mes!$A$2:$A$433,B$128,Desconto_Cliente_Mes!$B$2:$B$433,$A128,Desconto_Cliente_Mes!$C$2:$C$433,"Fibra"))),SUMIFS(Desconto_Cliente_Mes!$S$2:$S$433,Desconto_Cliente_Mes!$A$2:$A$433,B$128,Desconto_Cliente_Mes!$B$2:$B$433,$A128,Desconto_Cliente_Mes!$C$2:$C$433,"Fibra")))-(IF(SUMIFS(Desconto_Cliente_Mes!$R$2:$R$433,Desconto_Cliente_Mes!$A$2:$A$433,B$128,Desconto_Cliente_Mes!$B$2:$B$433,$A128,Desconto_Cliente_Mes!$C$2:$C$433,"Fibra")="",SUMIFS(Desconto_Cliente_Mes!$Q$2:$Q$433,Desconto_Cliente_Mes!$A$2:$A$433,B$128,Desconto_Cliente_Mes!$B$2:$B$433,$A128,Desconto_Cliente_Mes!$C$2:$C$433,"Fibra"),SUMIFS(Desconto_Cliente_Mes!$R$2:$R$433,Desconto_Cliente_Mes!$A$2:$A$433,B$128,Desconto_Cliente_Mes!$B$2:$B$433,$A128,Desconto_Cliente_Mes!$C$2:$C$433,"Fibra"))))*(SUMIFS(Desconto_Cliente_Mes!$T$2:$T$433,Desconto_Cliente_Mes!$A$2:$A$433,B$128,Desconto_Cliente_Mes!$B$2:$B$433,$A128,Desconto_Cliente_Mes!$C$2:$C$433,"Fibra"))</f>
        <v>0</v>
      </c>
      <c r="C136" s="16" t="n">
        <f aca="false">$C$130*($C$133/100)*((IF(SUMIFS(Desconto_Cliente_Mes!$S$2:$S$433,Desconto_Cliente_Mes!$A$2:$A$433,C$128,Desconto_Cliente_Mes!$B$2:$B$433,$A128,Desconto_Cliente_Mes!$C$2:$C$433,"Fibra")="",(IF(SUMIFS(Desconto_Cliente_Mes!$R$2:$R$433,Desconto_Cliente_Mes!$A$2:$A$433,C$128,Desconto_Cliente_Mes!$B$2:$B$433,$A128,Desconto_Cliente_Mes!$C$2:$C$433,"Fibra")="",SUMIFS(Desconto_Cliente_Mes!$Q$2:$Q$433,Desconto_Cliente_Mes!$A$2:$A$433,C$128,Desconto_Cliente_Mes!$B$2:$B$433,$A128,Desconto_Cliente_Mes!$C$2:$C$433,"Fibra"),SUMIFS(Desconto_Cliente_Mes!$R$2:$R$433,Desconto_Cliente_Mes!$A$2:$A$433,C$128,Desconto_Cliente_Mes!$B$2:$B$433,$A128,Desconto_Cliente_Mes!$C$2:$C$433,"Fibra"))),SUMIFS(Desconto_Cliente_Mes!$S$2:$S$433,Desconto_Cliente_Mes!$A$2:$A$433,C$128,Desconto_Cliente_Mes!$B$2:$B$433,$A128,Desconto_Cliente_Mes!$C$2:$C$433,"Fibra")))-(IF(SUMIFS(Desconto_Cliente_Mes!$R$2:$R$433,Desconto_Cliente_Mes!$A$2:$A$433,C$128,Desconto_Cliente_Mes!$B$2:$B$433,$A128,Desconto_Cliente_Mes!$C$2:$C$433,"Fibra")="",SUMIFS(Desconto_Cliente_Mes!$Q$2:$Q$433,Desconto_Cliente_Mes!$A$2:$A$433,C$128,Desconto_Cliente_Mes!$B$2:$B$433,$A128,Desconto_Cliente_Mes!$C$2:$C$433,"Fibra"),SUMIFS(Desconto_Cliente_Mes!$R$2:$R$433,Desconto_Cliente_Mes!$A$2:$A$433,C$128,Desconto_Cliente_Mes!$B$2:$B$433,$A128,Desconto_Cliente_Mes!$C$2:$C$433,"Fibra"))))*(SUMIFS(Desconto_Cliente_Mes!$T$2:$T$433,Desconto_Cliente_Mes!$A$2:$A$433,C$128,Desconto_Cliente_Mes!$B$2:$B$433,$A128,Desconto_Cliente_Mes!$C$2:$C$433,"Fibra"))</f>
        <v>0</v>
      </c>
      <c r="D136" s="16" t="n">
        <f aca="false">$D$130*($D$133/100)*((IF(SUMIFS(Desconto_Cliente_Mes!$S$2:$S$433,Desconto_Cliente_Mes!$A$2:$A$433,D$128,Desconto_Cliente_Mes!$B$2:$B$433,$A128,Desconto_Cliente_Mes!$C$2:$C$433,"Fibra")="",(IF(SUMIFS(Desconto_Cliente_Mes!$R$2:$R$433,Desconto_Cliente_Mes!$A$2:$A$433,D$128,Desconto_Cliente_Mes!$B$2:$B$433,$A128,Desconto_Cliente_Mes!$C$2:$C$433,"Fibra")="",SUMIFS(Desconto_Cliente_Mes!$Q$2:$Q$433,Desconto_Cliente_Mes!$A$2:$A$433,D$128,Desconto_Cliente_Mes!$B$2:$B$433,$A128,Desconto_Cliente_Mes!$C$2:$C$433,"Fibra"),SUMIFS(Desconto_Cliente_Mes!$R$2:$R$433,Desconto_Cliente_Mes!$A$2:$A$433,D$128,Desconto_Cliente_Mes!$B$2:$B$433,$A128,Desconto_Cliente_Mes!$C$2:$C$433,"Fibra"))),SUMIFS(Desconto_Cliente_Mes!$S$2:$S$433,Desconto_Cliente_Mes!$A$2:$A$433,D$128,Desconto_Cliente_Mes!$B$2:$B$433,$A128,Desconto_Cliente_Mes!$C$2:$C$433,"Fibra")))-(IF(SUMIFS(Desconto_Cliente_Mes!$R$2:$R$433,Desconto_Cliente_Mes!$A$2:$A$433,D$128,Desconto_Cliente_Mes!$B$2:$B$433,$A128,Desconto_Cliente_Mes!$C$2:$C$433,"Fibra")="",SUMIFS(Desconto_Cliente_Mes!$Q$2:$Q$433,Desconto_Cliente_Mes!$A$2:$A$433,D$128,Desconto_Cliente_Mes!$B$2:$B$433,$A128,Desconto_Cliente_Mes!$C$2:$C$433,"Fibra"),SUMIFS(Desconto_Cliente_Mes!$R$2:$R$433,Desconto_Cliente_Mes!$A$2:$A$433,D$128,Desconto_Cliente_Mes!$B$2:$B$433,$A128,Desconto_Cliente_Mes!$C$2:$C$433,"Fibra"))))*(SUMIFS(Desconto_Cliente_Mes!$T$2:$T$433,Desconto_Cliente_Mes!$A$2:$A$433,D$128,Desconto_Cliente_Mes!$B$2:$B$433,$A128,Desconto_Cliente_Mes!$C$2:$C$433,"Fibra"))</f>
        <v>0</v>
      </c>
      <c r="E136" s="16" t="n">
        <f aca="false">$E$130*($E$133/100)*((IF(SUMIFS(Desconto_Cliente_Mes!$S$2:$S$433,Desconto_Cliente_Mes!$A$2:$A$433,E$128,Desconto_Cliente_Mes!$B$2:$B$433,$A128,Desconto_Cliente_Mes!$C$2:$C$433,"Fibra")="",(IF(SUMIFS(Desconto_Cliente_Mes!$R$2:$R$433,Desconto_Cliente_Mes!$A$2:$A$433,E$128,Desconto_Cliente_Mes!$B$2:$B$433,$A128,Desconto_Cliente_Mes!$C$2:$C$433,"Fibra")="",SUMIFS(Desconto_Cliente_Mes!$Q$2:$Q$433,Desconto_Cliente_Mes!$A$2:$A$433,E$128,Desconto_Cliente_Mes!$B$2:$B$433,$A128,Desconto_Cliente_Mes!$C$2:$C$433,"Fibra"),SUMIFS(Desconto_Cliente_Mes!$R$2:$R$433,Desconto_Cliente_Mes!$A$2:$A$433,E$128,Desconto_Cliente_Mes!$B$2:$B$433,$A128,Desconto_Cliente_Mes!$C$2:$C$433,"Fibra"))),SUMIFS(Desconto_Cliente_Mes!$S$2:$S$433,Desconto_Cliente_Mes!$A$2:$A$433,E$128,Desconto_Cliente_Mes!$B$2:$B$433,$A128,Desconto_Cliente_Mes!$C$2:$C$433,"Fibra")))-(IF(SUMIFS(Desconto_Cliente_Mes!$R$2:$R$433,Desconto_Cliente_Mes!$A$2:$A$433,E$128,Desconto_Cliente_Mes!$B$2:$B$433,$A128,Desconto_Cliente_Mes!$C$2:$C$433,"Fibra")="",SUMIFS(Desconto_Cliente_Mes!$Q$2:$Q$433,Desconto_Cliente_Mes!$A$2:$A$433,E$128,Desconto_Cliente_Mes!$B$2:$B$433,$A128,Desconto_Cliente_Mes!$C$2:$C$433,"Fibra"),SUMIFS(Desconto_Cliente_Mes!$R$2:$R$433,Desconto_Cliente_Mes!$A$2:$A$433,E$128,Desconto_Cliente_Mes!$B$2:$B$433,$A128,Desconto_Cliente_Mes!$C$2:$C$433,"Fibra"))))*(SUMIFS(Desconto_Cliente_Mes!$T$2:$T$433,Desconto_Cliente_Mes!$A$2:$A$433,E$128,Desconto_Cliente_Mes!$B$2:$B$433,$A128,Desconto_Cliente_Mes!$C$2:$C$433,"Fibra"))</f>
        <v>0</v>
      </c>
      <c r="F136" s="16" t="n">
        <f aca="false">$F$130*($F$133/100)*((IF(SUMIFS(Desconto_Cliente_Mes!$S$2:$S$433,Desconto_Cliente_Mes!$A$2:$A$433,F$128,Desconto_Cliente_Mes!$B$2:$B$433,$A128,Desconto_Cliente_Mes!$C$2:$C$433,"Fibra")="",(IF(SUMIFS(Desconto_Cliente_Mes!$R$2:$R$433,Desconto_Cliente_Mes!$A$2:$A$433,F$128,Desconto_Cliente_Mes!$B$2:$B$433,$A128,Desconto_Cliente_Mes!$C$2:$C$433,"Fibra")="",SUMIFS(Desconto_Cliente_Mes!$Q$2:$Q$433,Desconto_Cliente_Mes!$A$2:$A$433,F$128,Desconto_Cliente_Mes!$B$2:$B$433,$A128,Desconto_Cliente_Mes!$C$2:$C$433,"Fibra"),SUMIFS(Desconto_Cliente_Mes!$R$2:$R$433,Desconto_Cliente_Mes!$A$2:$A$433,F$128,Desconto_Cliente_Mes!$B$2:$B$433,$A128,Desconto_Cliente_Mes!$C$2:$C$433,"Fibra"))),SUMIFS(Desconto_Cliente_Mes!$S$2:$S$433,Desconto_Cliente_Mes!$A$2:$A$433,F$128,Desconto_Cliente_Mes!$B$2:$B$433,$A128,Desconto_Cliente_Mes!$C$2:$C$433,"Fibra")))-(IF(SUMIFS(Desconto_Cliente_Mes!$R$2:$R$433,Desconto_Cliente_Mes!$A$2:$A$433,F$128,Desconto_Cliente_Mes!$B$2:$B$433,$A128,Desconto_Cliente_Mes!$C$2:$C$433,"Fibra")="",SUMIFS(Desconto_Cliente_Mes!$Q$2:$Q$433,Desconto_Cliente_Mes!$A$2:$A$433,F$128,Desconto_Cliente_Mes!$B$2:$B$433,$A128,Desconto_Cliente_Mes!$C$2:$C$433,"Fibra"),SUMIFS(Desconto_Cliente_Mes!$R$2:$R$433,Desconto_Cliente_Mes!$A$2:$A$433,F$128,Desconto_Cliente_Mes!$B$2:$B$433,$A128,Desconto_Cliente_Mes!$C$2:$C$433,"Fibra"))))*(SUMIFS(Desconto_Cliente_Mes!$T$2:$T$433,Desconto_Cliente_Mes!$A$2:$A$433,F$128,Desconto_Cliente_Mes!$B$2:$B$433,$A128,Desconto_Cliente_Mes!$C$2:$C$433,"Fibra"))</f>
        <v>0</v>
      </c>
      <c r="G136" s="16" t="n">
        <f aca="false">$G$130*($G$133/100)*((IF(SUMIFS(Desconto_Cliente_Mes!$S$2:$S$433,Desconto_Cliente_Mes!$A$2:$A$433,G$128,Desconto_Cliente_Mes!$B$2:$B$433,$A128,Desconto_Cliente_Mes!$C$2:$C$433,"Fibra")="",(IF(SUMIFS(Desconto_Cliente_Mes!$R$2:$R$433,Desconto_Cliente_Mes!$A$2:$A$433,G$128,Desconto_Cliente_Mes!$B$2:$B$433,$A128,Desconto_Cliente_Mes!$C$2:$C$433,"Fibra")="",SUMIFS(Desconto_Cliente_Mes!$Q$2:$Q$433,Desconto_Cliente_Mes!$A$2:$A$433,G$128,Desconto_Cliente_Mes!$B$2:$B$433,$A128,Desconto_Cliente_Mes!$C$2:$C$433,"Fibra"),SUMIFS(Desconto_Cliente_Mes!$R$2:$R$433,Desconto_Cliente_Mes!$A$2:$A$433,G$128,Desconto_Cliente_Mes!$B$2:$B$433,$A128,Desconto_Cliente_Mes!$C$2:$C$433,"Fibra"))),SUMIFS(Desconto_Cliente_Mes!$S$2:$S$433,Desconto_Cliente_Mes!$A$2:$A$433,G$128,Desconto_Cliente_Mes!$B$2:$B$433,$A128,Desconto_Cliente_Mes!$C$2:$C$433,"Fibra")))-(IF(SUMIFS(Desconto_Cliente_Mes!$R$2:$R$433,Desconto_Cliente_Mes!$A$2:$A$433,G$128,Desconto_Cliente_Mes!$B$2:$B$433,$A128,Desconto_Cliente_Mes!$C$2:$C$433,"Fibra")="",SUMIFS(Desconto_Cliente_Mes!$Q$2:$Q$433,Desconto_Cliente_Mes!$A$2:$A$433,G$128,Desconto_Cliente_Mes!$B$2:$B$433,$A128,Desconto_Cliente_Mes!$C$2:$C$433,"Fibra"),SUMIFS(Desconto_Cliente_Mes!$R$2:$R$433,Desconto_Cliente_Mes!$A$2:$A$433,G$128,Desconto_Cliente_Mes!$B$2:$B$433,$A128,Desconto_Cliente_Mes!$C$2:$C$433,"Fibra"))))*(SUMIFS(Desconto_Cliente_Mes!$T$2:$T$433,Desconto_Cliente_Mes!$A$2:$A$433,G$128,Desconto_Cliente_Mes!$B$2:$B$433,$A128,Desconto_Cliente_Mes!$C$2:$C$433,"Fibra"))</f>
        <v>0</v>
      </c>
      <c r="H136" s="16" t="n">
        <f aca="false">$H$130*($H$133/100)*((IF(SUMIFS(Desconto_Cliente_Mes!$S$2:$S$433,Desconto_Cliente_Mes!$A$2:$A$433,H$128,Desconto_Cliente_Mes!$B$2:$B$433,$A128,Desconto_Cliente_Mes!$C$2:$C$433,"Fibra")="",(IF(SUMIFS(Desconto_Cliente_Mes!$R$2:$R$433,Desconto_Cliente_Mes!$A$2:$A$433,H$128,Desconto_Cliente_Mes!$B$2:$B$433,$A128,Desconto_Cliente_Mes!$C$2:$C$433,"Fibra")="",SUMIFS(Desconto_Cliente_Mes!$Q$2:$Q$433,Desconto_Cliente_Mes!$A$2:$A$433,H$128,Desconto_Cliente_Mes!$B$2:$B$433,$A128,Desconto_Cliente_Mes!$C$2:$C$433,"Fibra"),SUMIFS(Desconto_Cliente_Mes!$R$2:$R$433,Desconto_Cliente_Mes!$A$2:$A$433,H$128,Desconto_Cliente_Mes!$B$2:$B$433,$A128,Desconto_Cliente_Mes!$C$2:$C$433,"Fibra"))),SUMIFS(Desconto_Cliente_Mes!$S$2:$S$433,Desconto_Cliente_Mes!$A$2:$A$433,H$128,Desconto_Cliente_Mes!$B$2:$B$433,$A128,Desconto_Cliente_Mes!$C$2:$C$433,"Fibra")))-(IF(SUMIFS(Desconto_Cliente_Mes!$R$2:$R$433,Desconto_Cliente_Mes!$A$2:$A$433,H$128,Desconto_Cliente_Mes!$B$2:$B$433,$A128,Desconto_Cliente_Mes!$C$2:$C$433,"Fibra")="",SUMIFS(Desconto_Cliente_Mes!$Q$2:$Q$433,Desconto_Cliente_Mes!$A$2:$A$433,H$128,Desconto_Cliente_Mes!$B$2:$B$433,$A128,Desconto_Cliente_Mes!$C$2:$C$433,"Fibra"),SUMIFS(Desconto_Cliente_Mes!$R$2:$R$433,Desconto_Cliente_Mes!$A$2:$A$433,H$128,Desconto_Cliente_Mes!$B$2:$B$433,$A128,Desconto_Cliente_Mes!$C$2:$C$433,"Fibra"))))*(SUMIFS(Desconto_Cliente_Mes!$T$2:$T$433,Desconto_Cliente_Mes!$A$2:$A$433,H$128,Desconto_Cliente_Mes!$B$2:$B$433,$A128,Desconto_Cliente_Mes!$C$2:$C$433,"Fibra"))</f>
        <v>0</v>
      </c>
      <c r="I136" s="16" t="n">
        <f aca="false">$I$130*($I$133/100)*((IF(SUMIFS(Desconto_Cliente_Mes!$S$2:$S$433,Desconto_Cliente_Mes!$A$2:$A$433,I$128,Desconto_Cliente_Mes!$B$2:$B$433,$A128,Desconto_Cliente_Mes!$C$2:$C$433,"Fibra")="",(IF(SUMIFS(Desconto_Cliente_Mes!$R$2:$R$433,Desconto_Cliente_Mes!$A$2:$A$433,I$128,Desconto_Cliente_Mes!$B$2:$B$433,$A128,Desconto_Cliente_Mes!$C$2:$C$433,"Fibra")="",SUMIFS(Desconto_Cliente_Mes!$Q$2:$Q$433,Desconto_Cliente_Mes!$A$2:$A$433,I$128,Desconto_Cliente_Mes!$B$2:$B$433,$A128,Desconto_Cliente_Mes!$C$2:$C$433,"Fibra"),SUMIFS(Desconto_Cliente_Mes!$R$2:$R$433,Desconto_Cliente_Mes!$A$2:$A$433,I$128,Desconto_Cliente_Mes!$B$2:$B$433,$A128,Desconto_Cliente_Mes!$C$2:$C$433,"Fibra"))),SUMIFS(Desconto_Cliente_Mes!$S$2:$S$433,Desconto_Cliente_Mes!$A$2:$A$433,I$128,Desconto_Cliente_Mes!$B$2:$B$433,$A128,Desconto_Cliente_Mes!$C$2:$C$433,"Fibra")))-(IF(SUMIFS(Desconto_Cliente_Mes!$R$2:$R$433,Desconto_Cliente_Mes!$A$2:$A$433,I$128,Desconto_Cliente_Mes!$B$2:$B$433,$A128,Desconto_Cliente_Mes!$C$2:$C$433,"Fibra")="",SUMIFS(Desconto_Cliente_Mes!$Q$2:$Q$433,Desconto_Cliente_Mes!$A$2:$A$433,I$128,Desconto_Cliente_Mes!$B$2:$B$433,$A128,Desconto_Cliente_Mes!$C$2:$C$433,"Fibra"),SUMIFS(Desconto_Cliente_Mes!$R$2:$R$433,Desconto_Cliente_Mes!$A$2:$A$433,I$128,Desconto_Cliente_Mes!$B$2:$B$433,$A128,Desconto_Cliente_Mes!$C$2:$C$433,"Fibra"))))*(SUMIFS(Desconto_Cliente_Mes!$T$2:$T$433,Desconto_Cliente_Mes!$A$2:$A$433,I$128,Desconto_Cliente_Mes!$B$2:$B$433,$A128,Desconto_Cliente_Mes!$C$2:$C$433,"Fibra"))</f>
        <v>0</v>
      </c>
      <c r="J136" s="16" t="n">
        <f aca="false">$J$130*($J$133/100)*((IF(SUMIFS(Desconto_Cliente_Mes!$S$2:$S$433,Desconto_Cliente_Mes!$A$2:$A$433,J$128,Desconto_Cliente_Mes!$B$2:$B$433,$A128,Desconto_Cliente_Mes!$C$2:$C$433,"Fibra")="",(IF(SUMIFS(Desconto_Cliente_Mes!$R$2:$R$433,Desconto_Cliente_Mes!$A$2:$A$433,J$128,Desconto_Cliente_Mes!$B$2:$B$433,$A128,Desconto_Cliente_Mes!$C$2:$C$433,"Fibra")="",SUMIFS(Desconto_Cliente_Mes!$Q$2:$Q$433,Desconto_Cliente_Mes!$A$2:$A$433,J$128,Desconto_Cliente_Mes!$B$2:$B$433,$A128,Desconto_Cliente_Mes!$C$2:$C$433,"Fibra"),SUMIFS(Desconto_Cliente_Mes!$R$2:$R$433,Desconto_Cliente_Mes!$A$2:$A$433,J$128,Desconto_Cliente_Mes!$B$2:$B$433,$A128,Desconto_Cliente_Mes!$C$2:$C$433,"Fibra"))),SUMIFS(Desconto_Cliente_Mes!$S$2:$S$433,Desconto_Cliente_Mes!$A$2:$A$433,J$128,Desconto_Cliente_Mes!$B$2:$B$433,$A128,Desconto_Cliente_Mes!$C$2:$C$433,"Fibra")))-(IF(SUMIFS(Desconto_Cliente_Mes!$R$2:$R$433,Desconto_Cliente_Mes!$A$2:$A$433,J$128,Desconto_Cliente_Mes!$B$2:$B$433,$A128,Desconto_Cliente_Mes!$C$2:$C$433,"Fibra")="",SUMIFS(Desconto_Cliente_Mes!$Q$2:$Q$433,Desconto_Cliente_Mes!$A$2:$A$433,J$128,Desconto_Cliente_Mes!$B$2:$B$433,$A128,Desconto_Cliente_Mes!$C$2:$C$433,"Fibra"),SUMIFS(Desconto_Cliente_Mes!$R$2:$R$433,Desconto_Cliente_Mes!$A$2:$A$433,J$128,Desconto_Cliente_Mes!$B$2:$B$433,$A128,Desconto_Cliente_Mes!$C$2:$C$433,"Fibra"))))*(SUMIFS(Desconto_Cliente_Mes!$T$2:$T$433,Desconto_Cliente_Mes!$A$2:$A$433,J$128,Desconto_Cliente_Mes!$B$2:$B$433,$A128,Desconto_Cliente_Mes!$C$2:$C$433,"Fibra"))</f>
        <v>0</v>
      </c>
      <c r="K136" s="16" t="n">
        <f aca="false">$K$130*($K$133/100)*((IF(SUMIFS(Desconto_Cliente_Mes!$S$2:$S$433,Desconto_Cliente_Mes!$A$2:$A$433,K$128,Desconto_Cliente_Mes!$B$2:$B$433,$A128,Desconto_Cliente_Mes!$C$2:$C$433,"Fibra")="",(IF(SUMIFS(Desconto_Cliente_Mes!$R$2:$R$433,Desconto_Cliente_Mes!$A$2:$A$433,K$128,Desconto_Cliente_Mes!$B$2:$B$433,$A128,Desconto_Cliente_Mes!$C$2:$C$433,"Fibra")="",SUMIFS(Desconto_Cliente_Mes!$Q$2:$Q$433,Desconto_Cliente_Mes!$A$2:$A$433,K$128,Desconto_Cliente_Mes!$B$2:$B$433,$A128,Desconto_Cliente_Mes!$C$2:$C$433,"Fibra"),SUMIFS(Desconto_Cliente_Mes!$R$2:$R$433,Desconto_Cliente_Mes!$A$2:$A$433,K$128,Desconto_Cliente_Mes!$B$2:$B$433,$A128,Desconto_Cliente_Mes!$C$2:$C$433,"Fibra"))),SUMIFS(Desconto_Cliente_Mes!$S$2:$S$433,Desconto_Cliente_Mes!$A$2:$A$433,K$128,Desconto_Cliente_Mes!$B$2:$B$433,$A128,Desconto_Cliente_Mes!$C$2:$C$433,"Fibra")))-(IF(SUMIFS(Desconto_Cliente_Mes!$R$2:$R$433,Desconto_Cliente_Mes!$A$2:$A$433,K$128,Desconto_Cliente_Mes!$B$2:$B$433,$A128,Desconto_Cliente_Mes!$C$2:$C$433,"Fibra")="",SUMIFS(Desconto_Cliente_Mes!$Q$2:$Q$433,Desconto_Cliente_Mes!$A$2:$A$433,K$128,Desconto_Cliente_Mes!$B$2:$B$433,$A128,Desconto_Cliente_Mes!$C$2:$C$433,"Fibra"),SUMIFS(Desconto_Cliente_Mes!$R$2:$R$433,Desconto_Cliente_Mes!$A$2:$A$433,K$128,Desconto_Cliente_Mes!$B$2:$B$433,$A128,Desconto_Cliente_Mes!$C$2:$C$433,"Fibra"))))*(SUMIFS(Desconto_Cliente_Mes!$T$2:$T$433,Desconto_Cliente_Mes!$A$2:$A$433,K$128,Desconto_Cliente_Mes!$B$2:$B$433,$A128,Desconto_Cliente_Mes!$C$2:$C$433,"Fibra"))</f>
        <v>0</v>
      </c>
      <c r="L136" s="16" t="n">
        <f aca="false">$L$130*($L$133/100)*((IF(SUMIFS(Desconto_Cliente_Mes!$S$2:$S$433,Desconto_Cliente_Mes!$A$2:$A$433,L$128,Desconto_Cliente_Mes!$B$2:$B$433,$A128,Desconto_Cliente_Mes!$C$2:$C$433,"Fibra")="",(IF(SUMIFS(Desconto_Cliente_Mes!$R$2:$R$433,Desconto_Cliente_Mes!$A$2:$A$433,L$128,Desconto_Cliente_Mes!$B$2:$B$433,$A128,Desconto_Cliente_Mes!$C$2:$C$433,"Fibra")="",SUMIFS(Desconto_Cliente_Mes!$Q$2:$Q$433,Desconto_Cliente_Mes!$A$2:$A$433,L$128,Desconto_Cliente_Mes!$B$2:$B$433,$A128,Desconto_Cliente_Mes!$C$2:$C$433,"Fibra"),SUMIFS(Desconto_Cliente_Mes!$R$2:$R$433,Desconto_Cliente_Mes!$A$2:$A$433,L$128,Desconto_Cliente_Mes!$B$2:$B$433,$A128,Desconto_Cliente_Mes!$C$2:$C$433,"Fibra"))),SUMIFS(Desconto_Cliente_Mes!$S$2:$S$433,Desconto_Cliente_Mes!$A$2:$A$433,L$128,Desconto_Cliente_Mes!$B$2:$B$433,$A128,Desconto_Cliente_Mes!$C$2:$C$433,"Fibra")))-(IF(SUMIFS(Desconto_Cliente_Mes!$R$2:$R$433,Desconto_Cliente_Mes!$A$2:$A$433,L$128,Desconto_Cliente_Mes!$B$2:$B$433,$A128,Desconto_Cliente_Mes!$C$2:$C$433,"Fibra")="",SUMIFS(Desconto_Cliente_Mes!$Q$2:$Q$433,Desconto_Cliente_Mes!$A$2:$A$433,L$128,Desconto_Cliente_Mes!$B$2:$B$433,$A128,Desconto_Cliente_Mes!$C$2:$C$433,"Fibra"),SUMIFS(Desconto_Cliente_Mes!$R$2:$R$433,Desconto_Cliente_Mes!$A$2:$A$433,L$128,Desconto_Cliente_Mes!$B$2:$B$433,$A128,Desconto_Cliente_Mes!$C$2:$C$433,"Fibra"))))*(SUMIFS(Desconto_Cliente_Mes!$T$2:$T$433,Desconto_Cliente_Mes!$A$2:$A$433,L$128,Desconto_Cliente_Mes!$B$2:$B$433,$A128,Desconto_Cliente_Mes!$C$2:$C$433,"Fibra"))</f>
        <v>0</v>
      </c>
      <c r="M136" s="16" t="n">
        <f aca="false">$M$130*($M$133/100)*((IF(SUMIFS(Desconto_Cliente_Mes!$S$2:$S$433,Desconto_Cliente_Mes!$A$2:$A$433,M$128,Desconto_Cliente_Mes!$B$2:$B$433,$A128,Desconto_Cliente_Mes!$C$2:$C$433,"Fibra")="",(IF(SUMIFS(Desconto_Cliente_Mes!$R$2:$R$433,Desconto_Cliente_Mes!$A$2:$A$433,M$128,Desconto_Cliente_Mes!$B$2:$B$433,$A128,Desconto_Cliente_Mes!$C$2:$C$433,"Fibra")="",SUMIFS(Desconto_Cliente_Mes!$Q$2:$Q$433,Desconto_Cliente_Mes!$A$2:$A$433,M$128,Desconto_Cliente_Mes!$B$2:$B$433,$A128,Desconto_Cliente_Mes!$C$2:$C$433,"Fibra"),SUMIFS(Desconto_Cliente_Mes!$R$2:$R$433,Desconto_Cliente_Mes!$A$2:$A$433,M$128,Desconto_Cliente_Mes!$B$2:$B$433,$A128,Desconto_Cliente_Mes!$C$2:$C$433,"Fibra"))),SUMIFS(Desconto_Cliente_Mes!$S$2:$S$433,Desconto_Cliente_Mes!$A$2:$A$433,M$128,Desconto_Cliente_Mes!$B$2:$B$433,$A128,Desconto_Cliente_Mes!$C$2:$C$433,"Fibra")))-(IF(SUMIFS(Desconto_Cliente_Mes!$R$2:$R$433,Desconto_Cliente_Mes!$A$2:$A$433,M$128,Desconto_Cliente_Mes!$B$2:$B$433,$A128,Desconto_Cliente_Mes!$C$2:$C$433,"Fibra")="",SUMIFS(Desconto_Cliente_Mes!$Q$2:$Q$433,Desconto_Cliente_Mes!$A$2:$A$433,M$128,Desconto_Cliente_Mes!$B$2:$B$433,$A128,Desconto_Cliente_Mes!$C$2:$C$433,"Fibra"),SUMIFS(Desconto_Cliente_Mes!$R$2:$R$433,Desconto_Cliente_Mes!$A$2:$A$433,M$128,Desconto_Cliente_Mes!$B$2:$B$433,$A128,Desconto_Cliente_Mes!$C$2:$C$433,"Fibra"))))*(SUMIFS(Desconto_Cliente_Mes!$T$2:$T$433,Desconto_Cliente_Mes!$A$2:$A$433,M$128,Desconto_Cliente_Mes!$B$2:$B$433,$A128,Desconto_Cliente_Mes!$C$2:$C$433,"Fibra"))</f>
        <v>0</v>
      </c>
      <c r="N136" s="17" t="n">
        <f aca="false">SUM(B136:M136)</f>
        <v>0</v>
      </c>
    </row>
    <row r="137" customFormat="false" ht="15" hidden="false" customHeight="false" outlineLevel="0" collapsed="false">
      <c r="A137" s="13" t="s">
        <v>82</v>
      </c>
      <c r="B137" s="16" t="n">
        <f aca="false">SUMIFS(Acerto_Detalhado!$J$2:$J$433,Acerto_Detalhado!$A$2:$A$433,B$128,Acerto_Detalhado!$B$2:$B$433,$A128,Acerto_Detalhado!$C$2:$C$433,"Fibra")</f>
        <v>0</v>
      </c>
      <c r="C137" s="16" t="n">
        <f aca="false">SUMIFS(Acerto_Detalhado!$J$2:$J$433,Acerto_Detalhado!$A$2:$A$433,C$128,Acerto_Detalhado!$B$2:$B$433,$A128,Acerto_Detalhado!$C$2:$C$433,"Fibra")</f>
        <v>0</v>
      </c>
      <c r="D137" s="16" t="n">
        <f aca="false">SUMIFS(Acerto_Detalhado!$J$2:$J$433,Acerto_Detalhado!$A$2:$A$433,D$128,Acerto_Detalhado!$B$2:$B$433,$A128,Acerto_Detalhado!$C$2:$C$433,"Fibra")</f>
        <v>0</v>
      </c>
      <c r="E137" s="16" t="n">
        <f aca="false">SUMIFS(Acerto_Detalhado!$J$2:$J$433,Acerto_Detalhado!$A$2:$A$433,E$128,Acerto_Detalhado!$B$2:$B$433,$A128,Acerto_Detalhado!$C$2:$C$433,"Fibra")</f>
        <v>0</v>
      </c>
      <c r="F137" s="16" t="n">
        <f aca="false">SUMIFS(Acerto_Detalhado!$J$2:$J$433,Acerto_Detalhado!$A$2:$A$433,F$128,Acerto_Detalhado!$B$2:$B$433,$A128,Acerto_Detalhado!$C$2:$C$433,"Fibra")</f>
        <v>0</v>
      </c>
      <c r="G137" s="16" t="n">
        <f aca="false">SUMIFS(Acerto_Detalhado!$J$2:$J$433,Acerto_Detalhado!$A$2:$A$433,G$128,Acerto_Detalhado!$B$2:$B$433,$A128,Acerto_Detalhado!$C$2:$C$433,"Fibra")</f>
        <v>0</v>
      </c>
      <c r="H137" s="16" t="n">
        <f aca="false">SUMIFS(Acerto_Detalhado!$J$2:$J$433,Acerto_Detalhado!$A$2:$A$433,H$128,Acerto_Detalhado!$B$2:$B$433,$A128,Acerto_Detalhado!$C$2:$C$433,"Fibra")</f>
        <v>0</v>
      </c>
      <c r="I137" s="16" t="n">
        <f aca="false">SUMIFS(Acerto_Detalhado!$J$2:$J$433,Acerto_Detalhado!$A$2:$A$433,I$128,Acerto_Detalhado!$B$2:$B$433,$A128,Acerto_Detalhado!$C$2:$C$433,"Fibra")</f>
        <v>0</v>
      </c>
      <c r="J137" s="16" t="n">
        <f aca="false">SUMIFS(Acerto_Detalhado!$J$2:$J$433,Acerto_Detalhado!$A$2:$A$433,J$128,Acerto_Detalhado!$B$2:$B$433,$A128,Acerto_Detalhado!$C$2:$C$433,"Fibra")</f>
        <v>0</v>
      </c>
      <c r="K137" s="16" t="n">
        <f aca="false">SUMIFS(Acerto_Detalhado!$J$2:$J$433,Acerto_Detalhado!$A$2:$A$433,K$128,Acerto_Detalhado!$B$2:$B$433,$A128,Acerto_Detalhado!$C$2:$C$433,"Fibra")</f>
        <v>0</v>
      </c>
      <c r="L137" s="16" t="n">
        <f aca="false">SUMIFS(Acerto_Detalhado!$J$2:$J$433,Acerto_Detalhado!$A$2:$A$433,L$128,Acerto_Detalhado!$B$2:$B$433,$A128,Acerto_Detalhado!$C$2:$C$433,"Fibra")</f>
        <v>0</v>
      </c>
      <c r="M137" s="16" t="n">
        <f aca="false">SUMIFS(Acerto_Detalhado!$J$2:$J$433,Acerto_Detalhado!$A$2:$A$433,M$128,Acerto_Detalhado!$B$2:$B$433,$A128,Acerto_Detalhado!$C$2:$C$433,"Fibra")</f>
        <v>0</v>
      </c>
      <c r="N137" s="17" t="n">
        <f aca="false">SUM(B137:M137)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39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SUMIFS(Media_Cliente_Mes!$C$2:$C$145,Media_Cliente_Mes!$A$2:$A$145,"Amaggi",Media_Cliente_Mes!$B$2:$B$145,"Jan")</f>
        <v>0</v>
      </c>
      <c r="C5" s="10" t="str">
        <f aca="false">IF((SUMIFS(Media_Cliente_Mes!$C$2:$C$145,Media_Cliente_Mes!$A$2:$A$145,"Amaggi",Media_Cliente_Mes!$B$2:$B$145,"Jan"))=0,"-",IFERROR(SUMIFS(Media_Cliente_Mes!$D$2:$D$145,Media_Cliente_Mes!$A$2:$A$145,"Amaggi",Media_Cliente_Mes!$B$2:$B$145,"Jan"),"-"))</f>
        <v>-</v>
      </c>
      <c r="D5" s="10" t="str">
        <f aca="false">IF((SUMIFS(Media_Cliente_Mes!$C$2:$C$145,Media_Cliente_Mes!$A$2:$A$145,"Amaggi",Media_Cliente_Mes!$B$2:$B$145,"Jan"))=0,"-",IFERROR(SUMIFS(Media_Cliente_Mes!$E$2:$E$145,Media_Cliente_Mes!$A$2:$A$145,"Amaggi",Media_Cliente_Mes!$B$2:$B$145,"Jan"),"-"))</f>
        <v>-</v>
      </c>
      <c r="E5" s="10" t="str">
        <f aca="false">IF((SUMIFS(Media_Cliente_Mes!$C$2:$C$145,Media_Cliente_Mes!$A$2:$A$145,"Amaggi",Media_Cliente_Mes!$B$2:$B$145,"Jan"))=0,"-",IFERROR(SUMIFS(Media_Cliente_Mes!$F$2:$F$145,Media_Cliente_Mes!$A$2:$A$145,"Amaggi",Media_Cliente_Mes!$B$2:$B$145,"Jan"),"-"))</f>
        <v>-</v>
      </c>
      <c r="F5" s="10" t="str">
        <f aca="false">IF((SUMIFS(Media_Cliente_Mes!$C$2:$C$145,Media_Cliente_Mes!$A$2:$A$145,"Amaggi",Media_Cliente_Mes!$B$2:$B$145,"Jan"))=0,"-",IFERROR(SUMIFS(Media_Cliente_Mes!$G$2:$G$145,Media_Cliente_Mes!$A$2:$A$145,"Amaggi",Media_Cliente_Mes!$B$2:$B$145,"Jan"),"-"))</f>
        <v>-</v>
      </c>
      <c r="G5" s="8" t="n">
        <f aca="false">SUMIFS(Media_Cliente_Mes!$H$2:$H$145,Media_Cliente_Mes!$A$2:$A$145,"Amaggi",Media_Cliente_Mes!$B$2:$B$145,"Jan")</f>
        <v>0</v>
      </c>
      <c r="H5" s="8" t="n">
        <f aca="false">SUMIFS(Media_Cliente_Mes!$I$2:$I$145,Media_Cliente_Mes!$A$2:$A$145,"Amaggi",Media_Cliente_Mes!$B$2:$B$145,"Jan")</f>
        <v>0</v>
      </c>
      <c r="I5" s="16" t="n">
        <f aca="false">SUMIFS(Resumo_Cliente_Mes!$G$2:$G$145,Resumo_Cliente_Mes!$A$2:$A$145,"Amaggi",Resumo_Cliente_Mes!$B$2:$B$145,"Jan")</f>
        <v>0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SUMIFS(Media_Cliente_Mes!$C$2:$C$145,Media_Cliente_Mes!$A$2:$A$145,"Amaggi",Media_Cliente_Mes!$B$2:$B$145,"Fev")</f>
        <v>0</v>
      </c>
      <c r="C6" s="10" t="str">
        <f aca="false">IF((SUMIFS(Media_Cliente_Mes!$C$2:$C$145,Media_Cliente_Mes!$A$2:$A$145,"Amaggi",Media_Cliente_Mes!$B$2:$B$145,"Fev"))=0,"-",IFERROR(SUMIFS(Media_Cliente_Mes!$D$2:$D$145,Media_Cliente_Mes!$A$2:$A$145,"Amaggi",Media_Cliente_Mes!$B$2:$B$145,"Fev"),"-"))</f>
        <v>-</v>
      </c>
      <c r="D6" s="10" t="str">
        <f aca="false">IF((SUMIFS(Media_Cliente_Mes!$C$2:$C$145,Media_Cliente_Mes!$A$2:$A$145,"Amaggi",Media_Cliente_Mes!$B$2:$B$145,"Fev"))=0,"-",IFERROR(SUMIFS(Media_Cliente_Mes!$E$2:$E$145,Media_Cliente_Mes!$A$2:$A$145,"Amaggi",Media_Cliente_Mes!$B$2:$B$145,"Fev"),"-"))</f>
        <v>-</v>
      </c>
      <c r="E6" s="10" t="str">
        <f aca="false">IF((SUMIFS(Media_Cliente_Mes!$C$2:$C$145,Media_Cliente_Mes!$A$2:$A$145,"Amaggi",Media_Cliente_Mes!$B$2:$B$145,"Fev"))=0,"-",IFERROR(SUMIFS(Media_Cliente_Mes!$F$2:$F$145,Media_Cliente_Mes!$A$2:$A$145,"Amaggi",Media_Cliente_Mes!$B$2:$B$145,"Fev"),"-"))</f>
        <v>-</v>
      </c>
      <c r="F6" s="10" t="str">
        <f aca="false">IF((SUMIFS(Media_Cliente_Mes!$C$2:$C$145,Media_Cliente_Mes!$A$2:$A$145,"Amaggi",Media_Cliente_Mes!$B$2:$B$145,"Fev"))=0,"-",IFERROR(SUMIFS(Media_Cliente_Mes!$G$2:$G$145,Media_Cliente_Mes!$A$2:$A$145,"Amaggi",Media_Cliente_Mes!$B$2:$B$145,"Fev"),"-"))</f>
        <v>-</v>
      </c>
      <c r="G6" s="8" t="n">
        <f aca="false">SUMIFS(Media_Cliente_Mes!$H$2:$H$145,Media_Cliente_Mes!$A$2:$A$145,"Amaggi",Media_Cliente_Mes!$B$2:$B$145,"Fev")</f>
        <v>0</v>
      </c>
      <c r="H6" s="8" t="n">
        <f aca="false">SUMIFS(Media_Cliente_Mes!$I$2:$I$145,Media_Cliente_Mes!$A$2:$A$145,"Amaggi",Media_Cliente_Mes!$B$2:$B$145,"Fev")</f>
        <v>0</v>
      </c>
      <c r="I6" s="16" t="n">
        <f aca="false">SUMIFS(Resumo_Cliente_Mes!$G$2:$G$145,Resumo_Cliente_Mes!$A$2:$A$145,"Amaggi",Resumo_Cliente_Mes!$B$2:$B$145,"Fev")</f>
        <v>0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SUMIFS(Media_Cliente_Mes!$C$2:$C$145,Media_Cliente_Mes!$A$2:$A$145,"Amaggi",Media_Cliente_Mes!$B$2:$B$145,"Mar")</f>
        <v>0</v>
      </c>
      <c r="C7" s="10" t="str">
        <f aca="false">IF((SUMIFS(Media_Cliente_Mes!$C$2:$C$145,Media_Cliente_Mes!$A$2:$A$145,"Amaggi",Media_Cliente_Mes!$B$2:$B$145,"Mar"))=0,"-",IFERROR(SUMIFS(Media_Cliente_Mes!$D$2:$D$145,Media_Cliente_Mes!$A$2:$A$145,"Amaggi",Media_Cliente_Mes!$B$2:$B$145,"Mar"),"-"))</f>
        <v>-</v>
      </c>
      <c r="D7" s="10" t="str">
        <f aca="false">IF((SUMIFS(Media_Cliente_Mes!$C$2:$C$145,Media_Cliente_Mes!$A$2:$A$145,"Amaggi",Media_Cliente_Mes!$B$2:$B$145,"Mar"))=0,"-",IFERROR(SUMIFS(Media_Cliente_Mes!$E$2:$E$145,Media_Cliente_Mes!$A$2:$A$145,"Amaggi",Media_Cliente_Mes!$B$2:$B$145,"Mar"),"-"))</f>
        <v>-</v>
      </c>
      <c r="E7" s="10" t="str">
        <f aca="false">IF((SUMIFS(Media_Cliente_Mes!$C$2:$C$145,Media_Cliente_Mes!$A$2:$A$145,"Amaggi",Media_Cliente_Mes!$B$2:$B$145,"Mar"))=0,"-",IFERROR(SUMIFS(Media_Cliente_Mes!$F$2:$F$145,Media_Cliente_Mes!$A$2:$A$145,"Amaggi",Media_Cliente_Mes!$B$2:$B$145,"Mar"),"-"))</f>
        <v>-</v>
      </c>
      <c r="F7" s="10" t="str">
        <f aca="false">IF((SUMIFS(Media_Cliente_Mes!$C$2:$C$145,Media_Cliente_Mes!$A$2:$A$145,"Amaggi",Media_Cliente_Mes!$B$2:$B$145,"Mar"))=0,"-",IFERROR(SUMIFS(Media_Cliente_Mes!$G$2:$G$145,Media_Cliente_Mes!$A$2:$A$145,"Amaggi",Media_Cliente_Mes!$B$2:$B$145,"Mar"),"-"))</f>
        <v>-</v>
      </c>
      <c r="G7" s="8" t="n">
        <f aca="false">SUMIFS(Media_Cliente_Mes!$H$2:$H$145,Media_Cliente_Mes!$A$2:$A$145,"Amaggi",Media_Cliente_Mes!$B$2:$B$145,"Mar")</f>
        <v>0</v>
      </c>
      <c r="H7" s="8" t="n">
        <f aca="false">SUMIFS(Media_Cliente_Mes!$I$2:$I$145,Media_Cliente_Mes!$A$2:$A$145,"Amaggi",Media_Cliente_Mes!$B$2:$B$145,"Mar")</f>
        <v>0</v>
      </c>
      <c r="I7" s="16" t="n">
        <f aca="false">SUMIFS(Resumo_Cliente_Mes!$G$2:$G$145,Resumo_Cliente_Mes!$A$2:$A$145,"Amaggi",Resumo_Cliente_Mes!$B$2:$B$145,"Mar")</f>
        <v>0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SUMIFS(Media_Cliente_Mes!$C$2:$C$145,Media_Cliente_Mes!$A$2:$A$145,"Amaggi",Media_Cliente_Mes!$B$2:$B$145,"Abr")</f>
        <v>16786.6</v>
      </c>
      <c r="C8" s="10" t="n">
        <f aca="false">IF((SUMIFS(Media_Cliente_Mes!$C$2:$C$145,Media_Cliente_Mes!$A$2:$A$145,"Amaggi",Media_Cliente_Mes!$B$2:$B$145,"Abr"))=0,"-",IFERROR(SUMIFS(Media_Cliente_Mes!$D$2:$D$145,Media_Cliente_Mes!$A$2:$A$145,"Amaggi",Media_Cliente_Mes!$B$2:$B$145,"Abr"),"-"))</f>
        <v>47.3792490438802</v>
      </c>
      <c r="D8" s="10" t="n">
        <f aca="false">IF((SUMIFS(Media_Cliente_Mes!$C$2:$C$145,Media_Cliente_Mes!$A$2:$A$145,"Amaggi",Media_Cliente_Mes!$B$2:$B$145,"Abr"))=0,"-",IFERROR(SUMIFS(Media_Cliente_Mes!$E$2:$E$145,Media_Cliente_Mes!$A$2:$A$145,"Amaggi",Media_Cliente_Mes!$B$2:$B$145,"Abr"),"-"))</f>
        <v>12.2752566928383</v>
      </c>
      <c r="E8" s="10" t="n">
        <f aca="false">IF((SUMIFS(Media_Cliente_Mes!$C$2:$C$145,Media_Cliente_Mes!$A$2:$A$145,"Amaggi",Media_Cliente_Mes!$B$2:$B$145,"Abr"))=0,"-",IFERROR(SUMIFS(Media_Cliente_Mes!$F$2:$F$145,Media_Cliente_Mes!$A$2:$A$145,"Amaggi",Media_Cliente_Mes!$B$2:$B$145,"Abr"),"-"))</f>
        <v>3.75</v>
      </c>
      <c r="F8" s="10" t="n">
        <f aca="false">IF((SUMIFS(Media_Cliente_Mes!$C$2:$C$145,Media_Cliente_Mes!$A$2:$A$145,"Amaggi",Media_Cliente_Mes!$B$2:$B$145,"Abr"))=0,"-",IFERROR(SUMIFS(Media_Cliente_Mes!$G$2:$G$145,Media_Cliente_Mes!$A$2:$A$145,"Amaggi",Media_Cliente_Mes!$B$2:$B$145,"Abr"),"-"))</f>
        <v>1.63824776905389</v>
      </c>
      <c r="G8" s="8" t="n">
        <f aca="false">SUMIFS(Media_Cliente_Mes!$H$2:$H$145,Media_Cliente_Mes!$A$2:$A$145,"Amaggi",Media_Cliente_Mes!$B$2:$B$145,"Abr")</f>
        <v>0</v>
      </c>
      <c r="H8" s="8" t="n">
        <f aca="false">SUMIFS(Media_Cliente_Mes!$I$2:$I$145,Media_Cliente_Mes!$A$2:$A$145,"Amaggi",Media_Cliente_Mes!$B$2:$B$145,"Abr")</f>
        <v>16786.6</v>
      </c>
      <c r="I8" s="16" t="n">
        <f aca="false">SUMIFS(Resumo_Cliente_Mes!$G$2:$G$145,Resumo_Cliente_Mes!$A$2:$A$145,"Amaggi",Resumo_Cliente_Mes!$B$2:$B$145,"Abr")</f>
        <v>-12570.2321199982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SUMIFS(Media_Cliente_Mes!$C$2:$C$145,Media_Cliente_Mes!$A$2:$A$145,"Amaggi",Media_Cliente_Mes!$B$2:$B$145,"Mai")</f>
        <v>43820.37</v>
      </c>
      <c r="C9" s="10" t="n">
        <f aca="false">IF((SUMIFS(Media_Cliente_Mes!$C$2:$C$145,Media_Cliente_Mes!$A$2:$A$145,"Amaggi",Media_Cliente_Mes!$B$2:$B$145,"Mai"))=0,"-",IFERROR(SUMIFS(Media_Cliente_Mes!$D$2:$D$145,Media_Cliente_Mes!$A$2:$A$145,"Amaggi",Media_Cliente_Mes!$B$2:$B$145,"Mai"),"-"))</f>
        <v>47.5830749238311</v>
      </c>
      <c r="D9" s="10" t="n">
        <f aca="false">IF((SUMIFS(Media_Cliente_Mes!$C$2:$C$145,Media_Cliente_Mes!$A$2:$A$145,"Amaggi",Media_Cliente_Mes!$B$2:$B$145,"Mai"))=0,"-",IFERROR(SUMIFS(Media_Cliente_Mes!$E$2:$E$145,Media_Cliente_Mes!$A$2:$A$145,"Amaggi",Media_Cliente_Mes!$B$2:$B$145,"Mai"),"-"))</f>
        <v>12.3889542123903</v>
      </c>
      <c r="E9" s="10" t="n">
        <f aca="false">IF((SUMIFS(Media_Cliente_Mes!$C$2:$C$145,Media_Cliente_Mes!$A$2:$A$145,"Amaggi",Media_Cliente_Mes!$B$2:$B$145,"Mai"))=0,"-",IFERROR(SUMIFS(Media_Cliente_Mes!$F$2:$F$145,Media_Cliente_Mes!$A$2:$A$145,"Amaggi",Media_Cliente_Mes!$B$2:$B$145,"Mai"),"-"))</f>
        <v>3.63771904253661</v>
      </c>
      <c r="F9" s="10" t="n">
        <f aca="false">IF((SUMIFS(Media_Cliente_Mes!$C$2:$C$145,Media_Cliente_Mes!$A$2:$A$145,"Amaggi",Media_Cliente_Mes!$B$2:$B$145,"Mai"))=0,"-",IFERROR(SUMIFS(Media_Cliente_Mes!$G$2:$G$145,Media_Cliente_Mes!$A$2:$A$145,"Amaggi",Media_Cliente_Mes!$B$2:$B$145,"Mai"),"-"))</f>
        <v>1.74079959160546</v>
      </c>
      <c r="G9" s="8" t="n">
        <f aca="false">SUMIFS(Media_Cliente_Mes!$H$2:$H$145,Media_Cliente_Mes!$A$2:$A$145,"Amaggi",Media_Cliente_Mes!$B$2:$B$145,"Mai")</f>
        <v>0</v>
      </c>
      <c r="H9" s="8" t="n">
        <f aca="false">SUMIFS(Media_Cliente_Mes!$I$2:$I$145,Media_Cliente_Mes!$A$2:$A$145,"Amaggi",Media_Cliente_Mes!$B$2:$B$145,"Mai")</f>
        <v>43820.37</v>
      </c>
      <c r="I9" s="16" t="n">
        <f aca="false">SUMIFS(Resumo_Cliente_Mes!$G$2:$G$145,Resumo_Cliente_Mes!$A$2:$A$145,"Amaggi",Resumo_Cliente_Mes!$B$2:$B$145,"Mai")</f>
        <v>6003.08350335236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SUMIFS(Media_Cliente_Mes!$C$2:$C$145,Media_Cliente_Mes!$A$2:$A$145,"Amaggi",Media_Cliente_Mes!$B$2:$B$145,"Jun")</f>
        <v>41353.91</v>
      </c>
      <c r="C10" s="10" t="n">
        <f aca="false">IF((SUMIFS(Media_Cliente_Mes!$C$2:$C$145,Media_Cliente_Mes!$A$2:$A$145,"Amaggi",Media_Cliente_Mes!$B$2:$B$145,"Jun"))=0,"-",IFERROR(SUMIFS(Media_Cliente_Mes!$D$2:$D$145,Media_Cliente_Mes!$A$2:$A$145,"Amaggi",Media_Cliente_Mes!$B$2:$B$145,"Jun"),"-"))</f>
        <v>47.4970982405291</v>
      </c>
      <c r="D10" s="10" t="n">
        <f aca="false">IF((SUMIFS(Media_Cliente_Mes!$C$2:$C$145,Media_Cliente_Mes!$A$2:$A$145,"Amaggi",Media_Cliente_Mes!$B$2:$B$145,"Jun"))=0,"-",IFERROR(SUMIFS(Media_Cliente_Mes!$E$2:$E$145,Media_Cliente_Mes!$A$2:$A$145,"Amaggi",Media_Cliente_Mes!$B$2:$B$145,"Jun"),"-"))</f>
        <v>12.4137175469019</v>
      </c>
      <c r="E10" s="10" t="n">
        <f aca="false">IF((SUMIFS(Media_Cliente_Mes!$C$2:$C$145,Media_Cliente_Mes!$A$2:$A$145,"Amaggi",Media_Cliente_Mes!$B$2:$B$145,"Jun"))=0,"-",IFERROR(SUMIFS(Media_Cliente_Mes!$F$2:$F$145,Media_Cliente_Mes!$A$2:$A$145,"Amaggi",Media_Cliente_Mes!$B$2:$B$145,"Jun"),"-"))</f>
        <v>3.6945016202821</v>
      </c>
      <c r="F10" s="10" t="n">
        <f aca="false">IF((SUMIFS(Media_Cliente_Mes!$C$2:$C$145,Media_Cliente_Mes!$A$2:$A$145,"Amaggi",Media_Cliente_Mes!$B$2:$B$145,"Jun"))=0,"-",IFERROR(SUMIFS(Media_Cliente_Mes!$G$2:$G$145,Media_Cliente_Mes!$A$2:$A$145,"Amaggi",Media_Cliente_Mes!$B$2:$B$145,"Jun"),"-"))</f>
        <v>1.44193663428682</v>
      </c>
      <c r="G10" s="8" t="n">
        <f aca="false">SUMIFS(Media_Cliente_Mes!$H$2:$H$145,Media_Cliente_Mes!$A$2:$A$145,"Amaggi",Media_Cliente_Mes!$B$2:$B$145,"Jun")</f>
        <v>0</v>
      </c>
      <c r="H10" s="8" t="n">
        <f aca="false">SUMIFS(Media_Cliente_Mes!$I$2:$I$145,Media_Cliente_Mes!$A$2:$A$145,"Amaggi",Media_Cliente_Mes!$B$2:$B$145,"Jun")</f>
        <v>41353.91</v>
      </c>
      <c r="I10" s="16" t="n">
        <f aca="false">SUMIFS(Resumo_Cliente_Mes!$G$2:$G$145,Resumo_Cliente_Mes!$A$2:$A$145,"Amaggi",Resumo_Cliente_Mes!$B$2:$B$145,"Jun")</f>
        <v>51932.8994295731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SUMIFS(Media_Cliente_Mes!$C$2:$C$145,Media_Cliente_Mes!$A$2:$A$145,"Amaggi",Media_Cliente_Mes!$B$2:$B$145,"Jul")</f>
        <v>46167.46</v>
      </c>
      <c r="C11" s="10" t="n">
        <f aca="false">IF((SUMIFS(Media_Cliente_Mes!$C$2:$C$145,Media_Cliente_Mes!$A$2:$A$145,"Amaggi",Media_Cliente_Mes!$B$2:$B$145,"Jul"))=0,"-",IFERROR(SUMIFS(Media_Cliente_Mes!$D$2:$D$145,Media_Cliente_Mes!$A$2:$A$145,"Amaggi",Media_Cliente_Mes!$B$2:$B$145,"Jul"),"-"))</f>
        <v>47.3126271122561</v>
      </c>
      <c r="D11" s="10" t="n">
        <f aca="false">IF((SUMIFS(Media_Cliente_Mes!$C$2:$C$145,Media_Cliente_Mes!$A$2:$A$145,"Amaggi",Media_Cliente_Mes!$B$2:$B$145,"Jul"))=0,"-",IFERROR(SUMIFS(Media_Cliente_Mes!$E$2:$E$145,Media_Cliente_Mes!$A$2:$A$145,"Amaggi",Media_Cliente_Mes!$B$2:$B$145,"Jul"),"-"))</f>
        <v>12.3186585465174</v>
      </c>
      <c r="E11" s="10" t="n">
        <f aca="false">IF((SUMIFS(Media_Cliente_Mes!$C$2:$C$145,Media_Cliente_Mes!$A$2:$A$145,"Amaggi",Media_Cliente_Mes!$B$2:$B$145,"Jul"))=0,"-",IFERROR(SUMIFS(Media_Cliente_Mes!$F$2:$F$145,Media_Cliente_Mes!$A$2:$A$145,"Amaggi",Media_Cliente_Mes!$B$2:$B$145,"Jul"),"-"))</f>
        <v>3.63484523515047</v>
      </c>
      <c r="F11" s="10" t="n">
        <f aca="false">IF((SUMIFS(Media_Cliente_Mes!$C$2:$C$145,Media_Cliente_Mes!$A$2:$A$145,"Amaggi",Media_Cliente_Mes!$B$2:$B$145,"Jul"))=0,"-",IFERROR(SUMIFS(Media_Cliente_Mes!$G$2:$G$145,Media_Cliente_Mes!$A$2:$A$145,"Amaggi",Media_Cliente_Mes!$B$2:$B$145,"Jul"),"-"))</f>
        <v>1.66602401345017</v>
      </c>
      <c r="G11" s="8" t="n">
        <f aca="false">SUMIFS(Media_Cliente_Mes!$H$2:$H$145,Media_Cliente_Mes!$A$2:$A$145,"Amaggi",Media_Cliente_Mes!$B$2:$B$145,"Jul")</f>
        <v>0</v>
      </c>
      <c r="H11" s="8" t="n">
        <f aca="false">SUMIFS(Media_Cliente_Mes!$I$2:$I$145,Media_Cliente_Mes!$A$2:$A$145,"Amaggi",Media_Cliente_Mes!$B$2:$B$145,"Jul")</f>
        <v>46167.46</v>
      </c>
      <c r="I11" s="16" t="n">
        <f aca="false">SUMIFS(Resumo_Cliente_Mes!$G$2:$G$145,Resumo_Cliente_Mes!$A$2:$A$145,"Amaggi",Resumo_Cliente_Mes!$B$2:$B$145,"Jul")</f>
        <v>-66016.8295922353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SUMIFS(Media_Cliente_Mes!$C$2:$C$145,Media_Cliente_Mes!$A$2:$A$145,"Amaggi",Media_Cliente_Mes!$B$2:$B$145,"Ago")</f>
        <v>44263.22</v>
      </c>
      <c r="C12" s="10" t="n">
        <f aca="false">IF((SUMIFS(Media_Cliente_Mes!$C$2:$C$145,Media_Cliente_Mes!$A$2:$A$145,"Amaggi",Media_Cliente_Mes!$B$2:$B$145,"Ago"))=0,"-",IFERROR(SUMIFS(Media_Cliente_Mes!$D$2:$D$145,Media_Cliente_Mes!$A$2:$A$145,"Amaggi",Media_Cliente_Mes!$B$2:$B$145,"Ago"),"-"))</f>
        <v>46.6847857656989</v>
      </c>
      <c r="D12" s="10" t="n">
        <f aca="false">IF((SUMIFS(Media_Cliente_Mes!$C$2:$C$145,Media_Cliente_Mes!$A$2:$A$145,"Amaggi",Media_Cliente_Mes!$B$2:$B$145,"Ago"))=0,"-",IFERROR(SUMIFS(Media_Cliente_Mes!$E$2:$E$145,Media_Cliente_Mes!$A$2:$A$145,"Amaggi",Media_Cliente_Mes!$B$2:$B$145,"Ago"),"-"))</f>
        <v>12.0926542126849</v>
      </c>
      <c r="E12" s="10" t="n">
        <f aca="false">IF((SUMIFS(Media_Cliente_Mes!$C$2:$C$145,Media_Cliente_Mes!$A$2:$A$145,"Amaggi",Media_Cliente_Mes!$B$2:$B$145,"Ago"))=0,"-",IFERROR(SUMIFS(Media_Cliente_Mes!$F$2:$F$145,Media_Cliente_Mes!$A$2:$A$145,"Amaggi",Media_Cliente_Mes!$B$2:$B$145,"Ago"),"-"))</f>
        <v>3.98946561050009</v>
      </c>
      <c r="F12" s="10" t="n">
        <f aca="false">IF((SUMIFS(Media_Cliente_Mes!$C$2:$C$145,Media_Cliente_Mes!$A$2:$A$145,"Amaggi",Media_Cliente_Mes!$B$2:$B$145,"Ago"))=0,"-",IFERROR(SUMIFS(Media_Cliente_Mes!$G$2:$G$145,Media_Cliente_Mes!$A$2:$A$145,"Amaggi",Media_Cliente_Mes!$B$2:$B$145,"Ago"),"-"))</f>
        <v>1.56388846089372</v>
      </c>
      <c r="G12" s="8" t="n">
        <f aca="false">SUMIFS(Media_Cliente_Mes!$H$2:$H$145,Media_Cliente_Mes!$A$2:$A$145,"Amaggi",Media_Cliente_Mes!$B$2:$B$145,"Ago")</f>
        <v>0</v>
      </c>
      <c r="H12" s="8" t="n">
        <f aca="false">SUMIFS(Media_Cliente_Mes!$I$2:$I$145,Media_Cliente_Mes!$A$2:$A$145,"Amaggi",Media_Cliente_Mes!$B$2:$B$145,"Ago")</f>
        <v>44263.22</v>
      </c>
      <c r="I12" s="16" t="n">
        <f aca="false">SUMIFS(Resumo_Cliente_Mes!$G$2:$G$145,Resumo_Cliente_Mes!$A$2:$A$145,"Amaggi",Resumo_Cliente_Mes!$B$2:$B$145,"Ago")</f>
        <v>-176151.459142869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SUMIFS(Media_Cliente_Mes!$C$2:$C$145,Media_Cliente_Mes!$A$2:$A$145,"Amaggi",Media_Cliente_Mes!$B$2:$B$145,"Set")</f>
        <v>2244.02</v>
      </c>
      <c r="C13" s="10" t="n">
        <f aca="false">IF((SUMIFS(Media_Cliente_Mes!$C$2:$C$145,Media_Cliente_Mes!$A$2:$A$145,"Amaggi",Media_Cliente_Mes!$B$2:$B$145,"Set"))=0,"-",IFERROR(SUMIFS(Media_Cliente_Mes!$D$2:$D$145,Media_Cliente_Mes!$A$2:$A$145,"Amaggi",Media_Cliente_Mes!$B$2:$B$145,"Set"),"-"))</f>
        <v>47.12</v>
      </c>
      <c r="D13" s="10" t="n">
        <f aca="false">IF((SUMIFS(Media_Cliente_Mes!$C$2:$C$145,Media_Cliente_Mes!$A$2:$A$145,"Amaggi",Media_Cliente_Mes!$B$2:$B$145,"Set"))=0,"-",IFERROR(SUMIFS(Media_Cliente_Mes!$E$2:$E$145,Media_Cliente_Mes!$A$2:$A$145,"Amaggi",Media_Cliente_Mes!$B$2:$B$145,"Set"),"-"))</f>
        <v>12.28</v>
      </c>
      <c r="E13" s="10" t="n">
        <f aca="false">IF((SUMIFS(Media_Cliente_Mes!$C$2:$C$145,Media_Cliente_Mes!$A$2:$A$145,"Amaggi",Media_Cliente_Mes!$B$2:$B$145,"Set"))=0,"-",IFERROR(SUMIFS(Media_Cliente_Mes!$F$2:$F$145,Media_Cliente_Mes!$A$2:$A$145,"Amaggi",Media_Cliente_Mes!$B$2:$B$145,"Set"),"-"))</f>
        <v>3.91</v>
      </c>
      <c r="F13" s="10" t="n">
        <f aca="false">IF((SUMIFS(Media_Cliente_Mes!$C$2:$C$145,Media_Cliente_Mes!$A$2:$A$145,"Amaggi",Media_Cliente_Mes!$B$2:$B$145,"Set"))=0,"-",IFERROR(SUMIFS(Media_Cliente_Mes!$G$2:$G$145,Media_Cliente_Mes!$A$2:$A$145,"Amaggi",Media_Cliente_Mes!$B$2:$B$145,"Set"),"-"))</f>
        <v>1.65</v>
      </c>
      <c r="G13" s="8" t="n">
        <f aca="false">SUMIFS(Media_Cliente_Mes!$H$2:$H$145,Media_Cliente_Mes!$A$2:$A$145,"Amaggi",Media_Cliente_Mes!$B$2:$B$145,"Set")</f>
        <v>0</v>
      </c>
      <c r="H13" s="8" t="n">
        <f aca="false">SUMIFS(Media_Cliente_Mes!$I$2:$I$145,Media_Cliente_Mes!$A$2:$A$145,"Amaggi",Media_Cliente_Mes!$B$2:$B$145,"Set")</f>
        <v>2244.02</v>
      </c>
      <c r="I13" s="16" t="n">
        <f aca="false">SUMIFS(Resumo_Cliente_Mes!$G$2:$G$145,Resumo_Cliente_Mes!$A$2:$A$145,"Amaggi",Resumo_Cliente_Mes!$B$2:$B$145,"Set")</f>
        <v>-3701.97088695842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SUMIFS(Media_Cliente_Mes!$C$2:$C$145,Media_Cliente_Mes!$A$2:$A$145,"Amaggi",Media_Cliente_Mes!$B$2:$B$145,"Out")</f>
        <v>0</v>
      </c>
      <c r="C14" s="10" t="str">
        <f aca="false">IF((SUMIFS(Media_Cliente_Mes!$C$2:$C$145,Media_Cliente_Mes!$A$2:$A$145,"Amaggi",Media_Cliente_Mes!$B$2:$B$145,"Out"))=0,"-",IFERROR(SUMIFS(Media_Cliente_Mes!$D$2:$D$145,Media_Cliente_Mes!$A$2:$A$145,"Amaggi",Media_Cliente_Mes!$B$2:$B$145,"Out"),"-"))</f>
        <v>-</v>
      </c>
      <c r="D14" s="10" t="str">
        <f aca="false">IF((SUMIFS(Media_Cliente_Mes!$C$2:$C$145,Media_Cliente_Mes!$A$2:$A$145,"Amaggi",Media_Cliente_Mes!$B$2:$B$145,"Out"))=0,"-",IFERROR(SUMIFS(Media_Cliente_Mes!$E$2:$E$145,Media_Cliente_Mes!$A$2:$A$145,"Amaggi",Media_Cliente_Mes!$B$2:$B$145,"Out"),"-"))</f>
        <v>-</v>
      </c>
      <c r="E14" s="10" t="str">
        <f aca="false">IF((SUMIFS(Media_Cliente_Mes!$C$2:$C$145,Media_Cliente_Mes!$A$2:$A$145,"Amaggi",Media_Cliente_Mes!$B$2:$B$145,"Out"))=0,"-",IFERROR(SUMIFS(Media_Cliente_Mes!$F$2:$F$145,Media_Cliente_Mes!$A$2:$A$145,"Amaggi",Media_Cliente_Mes!$B$2:$B$145,"Out"),"-"))</f>
        <v>-</v>
      </c>
      <c r="F14" s="10" t="str">
        <f aca="false">IF((SUMIFS(Media_Cliente_Mes!$C$2:$C$145,Media_Cliente_Mes!$A$2:$A$145,"Amaggi",Media_Cliente_Mes!$B$2:$B$145,"Out"))=0,"-",IFERROR(SUMIFS(Media_Cliente_Mes!$G$2:$G$145,Media_Cliente_Mes!$A$2:$A$145,"Amaggi",Media_Cliente_Mes!$B$2:$B$145,"Out"),"-"))</f>
        <v>-</v>
      </c>
      <c r="G14" s="8" t="n">
        <f aca="false">SUMIFS(Media_Cliente_Mes!$H$2:$H$145,Media_Cliente_Mes!$A$2:$A$145,"Amaggi",Media_Cliente_Mes!$B$2:$B$145,"Out")</f>
        <v>0</v>
      </c>
      <c r="H14" s="8" t="n">
        <f aca="false">SUMIFS(Media_Cliente_Mes!$I$2:$I$145,Media_Cliente_Mes!$A$2:$A$145,"Amaggi",Media_Cliente_Mes!$B$2:$B$145,"Out")</f>
        <v>0</v>
      </c>
      <c r="I14" s="16" t="n">
        <f aca="false">SUMIFS(Resumo_Cliente_Mes!$G$2:$G$145,Resumo_Cliente_Mes!$A$2:$A$145,"Amaggi",Resumo_Cliente_Mes!$B$2:$B$145,"Out")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SUMIFS(Media_Cliente_Mes!$C$2:$C$145,Media_Cliente_Mes!$A$2:$A$145,"Amaggi",Media_Cliente_Mes!$B$2:$B$145,"Nov")</f>
        <v>0</v>
      </c>
      <c r="C15" s="10" t="str">
        <f aca="false">IF((SUMIFS(Media_Cliente_Mes!$C$2:$C$145,Media_Cliente_Mes!$A$2:$A$145,"Amaggi",Media_Cliente_Mes!$B$2:$B$145,"Nov"))=0,"-",IFERROR(SUMIFS(Media_Cliente_Mes!$D$2:$D$145,Media_Cliente_Mes!$A$2:$A$145,"Amaggi",Media_Cliente_Mes!$B$2:$B$145,"Nov"),"-"))</f>
        <v>-</v>
      </c>
      <c r="D15" s="10" t="str">
        <f aca="false">IF((SUMIFS(Media_Cliente_Mes!$C$2:$C$145,Media_Cliente_Mes!$A$2:$A$145,"Amaggi",Media_Cliente_Mes!$B$2:$B$145,"Nov"))=0,"-",IFERROR(SUMIFS(Media_Cliente_Mes!$E$2:$E$145,Media_Cliente_Mes!$A$2:$A$145,"Amaggi",Media_Cliente_Mes!$B$2:$B$145,"Nov"),"-"))</f>
        <v>-</v>
      </c>
      <c r="E15" s="10" t="str">
        <f aca="false">IF((SUMIFS(Media_Cliente_Mes!$C$2:$C$145,Media_Cliente_Mes!$A$2:$A$145,"Amaggi",Media_Cliente_Mes!$B$2:$B$145,"Nov"))=0,"-",IFERROR(SUMIFS(Media_Cliente_Mes!$F$2:$F$145,Media_Cliente_Mes!$A$2:$A$145,"Amaggi",Media_Cliente_Mes!$B$2:$B$145,"Nov"),"-"))</f>
        <v>-</v>
      </c>
      <c r="F15" s="10" t="str">
        <f aca="false">IF((SUMIFS(Media_Cliente_Mes!$C$2:$C$145,Media_Cliente_Mes!$A$2:$A$145,"Amaggi",Media_Cliente_Mes!$B$2:$B$145,"Nov"))=0,"-",IFERROR(SUMIFS(Media_Cliente_Mes!$G$2:$G$145,Media_Cliente_Mes!$A$2:$A$145,"Amaggi",Media_Cliente_Mes!$B$2:$B$145,"Nov"),"-"))</f>
        <v>-</v>
      </c>
      <c r="G15" s="8" t="n">
        <f aca="false">SUMIFS(Media_Cliente_Mes!$H$2:$H$145,Media_Cliente_Mes!$A$2:$A$145,"Amaggi",Media_Cliente_Mes!$B$2:$B$145,"Nov")</f>
        <v>0</v>
      </c>
      <c r="H15" s="8" t="n">
        <f aca="false">SUMIFS(Media_Cliente_Mes!$I$2:$I$145,Media_Cliente_Mes!$A$2:$A$145,"Amaggi",Media_Cliente_Mes!$B$2:$B$145,"Nov")</f>
        <v>0</v>
      </c>
      <c r="I15" s="16" t="n">
        <f aca="false">SUMIFS(Resumo_Cliente_Mes!$G$2:$G$145,Resumo_Cliente_Mes!$A$2:$A$145,"Amaggi",Resumo_Cliente_Mes!$B$2:$B$145,"Nov")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SUMIFS(Media_Cliente_Mes!$C$2:$C$145,Media_Cliente_Mes!$A$2:$A$145,"Amaggi",Media_Cliente_Mes!$B$2:$B$145,"Dez")</f>
        <v>0</v>
      </c>
      <c r="C16" s="10" t="str">
        <f aca="false">IF((SUMIFS(Media_Cliente_Mes!$C$2:$C$145,Media_Cliente_Mes!$A$2:$A$145,"Amaggi",Media_Cliente_Mes!$B$2:$B$145,"Dez"))=0,"-",IFERROR(SUMIFS(Media_Cliente_Mes!$D$2:$D$145,Media_Cliente_Mes!$A$2:$A$145,"Amaggi",Media_Cliente_Mes!$B$2:$B$145,"Dez"),"-"))</f>
        <v>-</v>
      </c>
      <c r="D16" s="10" t="str">
        <f aca="false">IF((SUMIFS(Media_Cliente_Mes!$C$2:$C$145,Media_Cliente_Mes!$A$2:$A$145,"Amaggi",Media_Cliente_Mes!$B$2:$B$145,"Dez"))=0,"-",IFERROR(SUMIFS(Media_Cliente_Mes!$E$2:$E$145,Media_Cliente_Mes!$A$2:$A$145,"Amaggi",Media_Cliente_Mes!$B$2:$B$145,"Dez"),"-"))</f>
        <v>-</v>
      </c>
      <c r="E16" s="10" t="str">
        <f aca="false">IF((SUMIFS(Media_Cliente_Mes!$C$2:$C$145,Media_Cliente_Mes!$A$2:$A$145,"Amaggi",Media_Cliente_Mes!$B$2:$B$145,"Dez"))=0,"-",IFERROR(SUMIFS(Media_Cliente_Mes!$F$2:$F$145,Media_Cliente_Mes!$A$2:$A$145,"Amaggi",Media_Cliente_Mes!$B$2:$B$145,"Dez"),"-"))</f>
        <v>-</v>
      </c>
      <c r="F16" s="10" t="str">
        <f aca="false">IF((SUMIFS(Media_Cliente_Mes!$C$2:$C$145,Media_Cliente_Mes!$A$2:$A$145,"Amaggi",Media_Cliente_Mes!$B$2:$B$145,"Dez"))=0,"-",IFERROR(SUMIFS(Media_Cliente_Mes!$G$2:$G$145,Media_Cliente_Mes!$A$2:$A$145,"Amaggi",Media_Cliente_Mes!$B$2:$B$145,"Dez"),"-"))</f>
        <v>-</v>
      </c>
      <c r="G16" s="8" t="n">
        <f aca="false">SUMIFS(Media_Cliente_Mes!$H$2:$H$145,Media_Cliente_Mes!$A$2:$A$145,"Amaggi",Media_Cliente_Mes!$B$2:$B$145,"Dez")</f>
        <v>0</v>
      </c>
      <c r="H16" s="8" t="n">
        <f aca="false">SUMIFS(Media_Cliente_Mes!$I$2:$I$145,Media_Cliente_Mes!$A$2:$A$145,"Amaggi",Media_Cliente_Mes!$B$2:$B$145,"Dez")</f>
        <v>0</v>
      </c>
      <c r="I16" s="16" t="n">
        <f aca="false">SUMIFS(Resumo_Cliente_Mes!$G$2:$G$145,Resumo_Cliente_Mes!$A$2:$A$145,"Amaggi",Resumo_Cliente_Mes!$B$2:$B$145,"Dez")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194635.58</v>
      </c>
      <c r="C17" s="23" t="n">
        <f aca="false">IFERROR(SUMPRODUCT((B5:B16)*IF(ISNUMBER(C5:C16),C5:C16,0))/B17,"-")</f>
        <v>47.2734541233417</v>
      </c>
      <c r="D17" s="23" t="n">
        <f aca="false">IFERROR(SUMPRODUCT((B5:B16)*IF(ISNUMBER(D5:D16),D5:D16,0))/B17,"-")</f>
        <v>12.2990960583877</v>
      </c>
      <c r="E17" s="23" t="n">
        <f aca="false">IFERROR(SUMPRODUCT((B5:B16)*IF(ISNUMBER(E5:E16),E5:E16,0))/B17,"-")</f>
        <v>3.74191767044854</v>
      </c>
      <c r="F17" s="23" t="n">
        <f aca="false">IFERROR(SUMPRODUCT((B5:B16)*IF(ISNUMBER(F5:F16),F5:F16,0))/B17,"-")</f>
        <v>1.60943995440094</v>
      </c>
      <c r="G17" s="22" t="n">
        <f aca="false">SUM(G5:G16)</f>
        <v>0</v>
      </c>
      <c r="H17" s="22" t="n">
        <f aca="false">SUM(H5:H16)</f>
        <v>194635.58</v>
      </c>
      <c r="I17" s="24" t="n">
        <f aca="false">SUM(I5:I16)</f>
        <v>-200504.508809136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40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SUMIFS(Media_Cliente_Mes!$C$2:$C$145,Media_Cliente_Mes!$A$2:$A$145,"Brejeiro",Media_Cliente_Mes!$B$2:$B$145,"Jan")</f>
        <v>39842.6</v>
      </c>
      <c r="C5" s="10" t="n">
        <f aca="false">IF((SUMIFS(Media_Cliente_Mes!$C$2:$C$145,Media_Cliente_Mes!$A$2:$A$145,"Brejeiro",Media_Cliente_Mes!$B$2:$B$145,"Jan"))=0,"-",IFERROR(SUMIFS(Media_Cliente_Mes!$D$2:$D$145,Media_Cliente_Mes!$A$2:$A$145,"Brejeiro",Media_Cliente_Mes!$B$2:$B$145,"Jan"),"-"))</f>
        <v>48.328750568487</v>
      </c>
      <c r="D5" s="10" t="n">
        <f aca="false">IF((SUMIFS(Media_Cliente_Mes!$C$2:$C$145,Media_Cliente_Mes!$A$2:$A$145,"Brejeiro",Media_Cliente_Mes!$B$2:$B$145,"Jan"))=0,"-",IFERROR(SUMIFS(Media_Cliente_Mes!$E$2:$E$145,Media_Cliente_Mes!$A$2:$A$145,"Brejeiro",Media_Cliente_Mes!$B$2:$B$145,"Jan"),"-"))</f>
        <v>11.6180667802804</v>
      </c>
      <c r="E5" s="10" t="n">
        <f aca="false">IF((SUMIFS(Media_Cliente_Mes!$C$2:$C$145,Media_Cliente_Mes!$A$2:$A$145,"Brejeiro",Media_Cliente_Mes!$B$2:$B$145,"Jan"))=0,"-",IFERROR(SUMIFS(Media_Cliente_Mes!$F$2:$F$145,Media_Cliente_Mes!$A$2:$A$145,"Brejeiro",Media_Cliente_Mes!$B$2:$B$145,"Jan"),"-"))</f>
        <v>3.12451483688314</v>
      </c>
      <c r="F5" s="10" t="n">
        <f aca="false">IF((SUMIFS(Media_Cliente_Mes!$C$2:$C$145,Media_Cliente_Mes!$A$2:$A$145,"Brejeiro",Media_Cliente_Mes!$B$2:$B$145,"Jan"))=0,"-",IFERROR(SUMIFS(Media_Cliente_Mes!$G$2:$G$145,Media_Cliente_Mes!$A$2:$A$145,"Brejeiro",Media_Cliente_Mes!$B$2:$B$145,"Jan"),"-"))</f>
        <v>1.40354292490952</v>
      </c>
      <c r="G5" s="8" t="n">
        <f aca="false">SUMIFS(Media_Cliente_Mes!$H$2:$H$145,Media_Cliente_Mes!$A$2:$A$145,"Brejeiro",Media_Cliente_Mes!$B$2:$B$145,"Jan")</f>
        <v>39842.6</v>
      </c>
      <c r="H5" s="8" t="n">
        <f aca="false">SUMIFS(Media_Cliente_Mes!$I$2:$I$145,Media_Cliente_Mes!$A$2:$A$145,"Brejeiro",Media_Cliente_Mes!$B$2:$B$145,"Jan")</f>
        <v>0</v>
      </c>
      <c r="I5" s="16" t="n">
        <f aca="false">SUMIFS(Resumo_Cliente_Mes!$G$2:$G$145,Resumo_Cliente_Mes!$A$2:$A$145,"Brejeiro",Resumo_Cliente_Mes!$B$2:$B$145,"Jan")</f>
        <v>86265.0400750519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SUMIFS(Media_Cliente_Mes!$C$2:$C$145,Media_Cliente_Mes!$A$2:$A$145,"Brejeiro",Media_Cliente_Mes!$B$2:$B$145,"Fev")</f>
        <v>30370.33</v>
      </c>
      <c r="C6" s="10" t="n">
        <f aca="false">IF((SUMIFS(Media_Cliente_Mes!$C$2:$C$145,Media_Cliente_Mes!$A$2:$A$145,"Brejeiro",Media_Cliente_Mes!$B$2:$B$145,"Fev"))=0,"-",IFERROR(SUMIFS(Media_Cliente_Mes!$D$2:$D$145,Media_Cliente_Mes!$A$2:$A$145,"Brejeiro",Media_Cliente_Mes!$B$2:$B$145,"Fev"),"-"))</f>
        <v>47.9807398503737</v>
      </c>
      <c r="D6" s="10" t="n">
        <f aca="false">IF((SUMIFS(Media_Cliente_Mes!$C$2:$C$145,Media_Cliente_Mes!$A$2:$A$145,"Brejeiro",Media_Cliente_Mes!$B$2:$B$145,"Fev"))=0,"-",IFERROR(SUMIFS(Media_Cliente_Mes!$E$2:$E$145,Media_Cliente_Mes!$A$2:$A$145,"Brejeiro",Media_Cliente_Mes!$B$2:$B$145,"Fev"),"-"))</f>
        <v>11.5584933584851</v>
      </c>
      <c r="E6" s="10" t="n">
        <f aca="false">IF((SUMIFS(Media_Cliente_Mes!$C$2:$C$145,Media_Cliente_Mes!$A$2:$A$145,"Brejeiro",Media_Cliente_Mes!$B$2:$B$145,"Fev"))=0,"-",IFERROR(SUMIFS(Media_Cliente_Mes!$F$2:$F$145,Media_Cliente_Mes!$A$2:$A$145,"Brejeiro",Media_Cliente_Mes!$B$2:$B$145,"Fev"),"-"))</f>
        <v>3.46095443809797</v>
      </c>
      <c r="F6" s="10" t="n">
        <f aca="false">IF((SUMIFS(Media_Cliente_Mes!$C$2:$C$145,Media_Cliente_Mes!$A$2:$A$145,"Brejeiro",Media_Cliente_Mes!$B$2:$B$145,"Fev"))=0,"-",IFERROR(SUMIFS(Media_Cliente_Mes!$G$2:$G$145,Media_Cliente_Mes!$A$2:$A$145,"Brejeiro",Media_Cliente_Mes!$B$2:$B$145,"Fev"),"-"))</f>
        <v>1.31159919236966</v>
      </c>
      <c r="G6" s="8" t="n">
        <f aca="false">SUMIFS(Media_Cliente_Mes!$H$2:$H$145,Media_Cliente_Mes!$A$2:$A$145,"Brejeiro",Media_Cliente_Mes!$B$2:$B$145,"Fev")</f>
        <v>30370.33</v>
      </c>
      <c r="H6" s="8" t="n">
        <f aca="false">SUMIFS(Media_Cliente_Mes!$I$2:$I$145,Media_Cliente_Mes!$A$2:$A$145,"Brejeiro",Media_Cliente_Mes!$B$2:$B$145,"Fev")</f>
        <v>0</v>
      </c>
      <c r="I6" s="16" t="n">
        <f aca="false">SUMIFS(Resumo_Cliente_Mes!$G$2:$G$145,Resumo_Cliente_Mes!$A$2:$A$145,"Brejeiro",Resumo_Cliente_Mes!$B$2:$B$145,"Fev")</f>
        <v>69293.6524881212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SUMIFS(Media_Cliente_Mes!$C$2:$C$145,Media_Cliente_Mes!$A$2:$A$145,"Brejeiro",Media_Cliente_Mes!$B$2:$B$145,"Mar")</f>
        <v>43330.53</v>
      </c>
      <c r="C7" s="10" t="n">
        <f aca="false">IF((SUMIFS(Media_Cliente_Mes!$C$2:$C$145,Media_Cliente_Mes!$A$2:$A$145,"Brejeiro",Media_Cliente_Mes!$B$2:$B$145,"Mar"))=0,"-",IFERROR(SUMIFS(Media_Cliente_Mes!$D$2:$D$145,Media_Cliente_Mes!$A$2:$A$145,"Brejeiro",Media_Cliente_Mes!$B$2:$B$145,"Mar"),"-"))</f>
        <v>47.5729858462382</v>
      </c>
      <c r="D7" s="10" t="n">
        <f aca="false">IF((SUMIFS(Media_Cliente_Mes!$C$2:$C$145,Media_Cliente_Mes!$A$2:$A$145,"Brejeiro",Media_Cliente_Mes!$B$2:$B$145,"Mar"))=0,"-",IFERROR(SUMIFS(Media_Cliente_Mes!$E$2:$E$145,Media_Cliente_Mes!$A$2:$A$145,"Brejeiro",Media_Cliente_Mes!$B$2:$B$145,"Mar"),"-"))</f>
        <v>11.6025461677944</v>
      </c>
      <c r="E7" s="10" t="n">
        <f aca="false">IF((SUMIFS(Media_Cliente_Mes!$C$2:$C$145,Media_Cliente_Mes!$A$2:$A$145,"Brejeiro",Media_Cliente_Mes!$B$2:$B$145,"Mar"))=0,"-",IFERROR(SUMIFS(Media_Cliente_Mes!$F$2:$F$145,Media_Cliente_Mes!$A$2:$A$145,"Brejeiro",Media_Cliente_Mes!$B$2:$B$145,"Mar"),"-"))</f>
        <v>3.6616401161029</v>
      </c>
      <c r="F7" s="10" t="n">
        <f aca="false">IF((SUMIFS(Media_Cliente_Mes!$C$2:$C$145,Media_Cliente_Mes!$A$2:$A$145,"Brejeiro",Media_Cliente_Mes!$B$2:$B$145,"Mar"))=0,"-",IFERROR(SUMIFS(Media_Cliente_Mes!$G$2:$G$145,Media_Cliente_Mes!$A$2:$A$145,"Brejeiro",Media_Cliente_Mes!$B$2:$B$145,"Mar"),"-"))</f>
        <v>1.25338768992671</v>
      </c>
      <c r="G7" s="8" t="n">
        <f aca="false">SUMIFS(Media_Cliente_Mes!$H$2:$H$145,Media_Cliente_Mes!$A$2:$A$145,"Brejeiro",Media_Cliente_Mes!$B$2:$B$145,"Mar")</f>
        <v>43330.53</v>
      </c>
      <c r="H7" s="8" t="n">
        <f aca="false">SUMIFS(Media_Cliente_Mes!$I$2:$I$145,Media_Cliente_Mes!$A$2:$A$145,"Brejeiro",Media_Cliente_Mes!$B$2:$B$145,"Mar")</f>
        <v>0</v>
      </c>
      <c r="I7" s="16" t="n">
        <f aca="false">SUMIFS(Resumo_Cliente_Mes!$G$2:$G$145,Resumo_Cliente_Mes!$A$2:$A$145,"Brejeiro",Resumo_Cliente_Mes!$B$2:$B$145,"Mar")</f>
        <v>71198.7876763128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SUMIFS(Media_Cliente_Mes!$C$2:$C$145,Media_Cliente_Mes!$A$2:$A$145,"Brejeiro",Media_Cliente_Mes!$B$2:$B$145,"Abr")</f>
        <v>53319.92</v>
      </c>
      <c r="C8" s="10" t="n">
        <f aca="false">IF((SUMIFS(Media_Cliente_Mes!$C$2:$C$145,Media_Cliente_Mes!$A$2:$A$145,"Brejeiro",Media_Cliente_Mes!$B$2:$B$145,"Abr"))=0,"-",IFERROR(SUMIFS(Media_Cliente_Mes!$D$2:$D$145,Media_Cliente_Mes!$A$2:$A$145,"Brejeiro",Media_Cliente_Mes!$B$2:$B$145,"Abr"),"-"))</f>
        <v>47.8448746115898</v>
      </c>
      <c r="D8" s="10" t="n">
        <f aca="false">IF((SUMIFS(Media_Cliente_Mes!$C$2:$C$145,Media_Cliente_Mes!$A$2:$A$145,"Brejeiro",Media_Cliente_Mes!$B$2:$B$145,"Abr"))=0,"-",IFERROR(SUMIFS(Media_Cliente_Mes!$E$2:$E$145,Media_Cliente_Mes!$A$2:$A$145,"Brejeiro",Media_Cliente_Mes!$B$2:$B$145,"Abr"),"-"))</f>
        <v>11.6439859493413</v>
      </c>
      <c r="E8" s="10" t="n">
        <f aca="false">IF((SUMIFS(Media_Cliente_Mes!$C$2:$C$145,Media_Cliente_Mes!$A$2:$A$145,"Brejeiro",Media_Cliente_Mes!$B$2:$B$145,"Abr"))=0,"-",IFERROR(SUMIFS(Media_Cliente_Mes!$F$2:$F$145,Media_Cliente_Mes!$A$2:$A$145,"Brejeiro",Media_Cliente_Mes!$B$2:$B$145,"Abr"),"-"))</f>
        <v>3.5823332011751</v>
      </c>
      <c r="F8" s="10" t="n">
        <f aca="false">IF((SUMIFS(Media_Cliente_Mes!$C$2:$C$145,Media_Cliente_Mes!$A$2:$A$145,"Brejeiro",Media_Cliente_Mes!$B$2:$B$145,"Abr"))=0,"-",IFERROR(SUMIFS(Media_Cliente_Mes!$G$2:$G$145,Media_Cliente_Mes!$A$2:$A$145,"Brejeiro",Media_Cliente_Mes!$B$2:$B$145,"Abr"),"-"))</f>
        <v>1.36257957438796</v>
      </c>
      <c r="G8" s="8" t="n">
        <f aca="false">SUMIFS(Media_Cliente_Mes!$H$2:$H$145,Media_Cliente_Mes!$A$2:$A$145,"Brejeiro",Media_Cliente_Mes!$B$2:$B$145,"Abr")</f>
        <v>53319.92</v>
      </c>
      <c r="H8" s="8" t="n">
        <f aca="false">SUMIFS(Media_Cliente_Mes!$I$2:$I$145,Media_Cliente_Mes!$A$2:$A$145,"Brejeiro",Media_Cliente_Mes!$B$2:$B$145,"Abr")</f>
        <v>0</v>
      </c>
      <c r="I8" s="16" t="n">
        <f aca="false">SUMIFS(Resumo_Cliente_Mes!$G$2:$G$145,Resumo_Cliente_Mes!$A$2:$A$145,"Brejeiro",Resumo_Cliente_Mes!$B$2:$B$145,"Abr")</f>
        <v>52883.8514850628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SUMIFS(Media_Cliente_Mes!$C$2:$C$145,Media_Cliente_Mes!$A$2:$A$145,"Brejeiro",Media_Cliente_Mes!$B$2:$B$145,"Mai")</f>
        <v>49598.12</v>
      </c>
      <c r="C9" s="10" t="n">
        <f aca="false">IF((SUMIFS(Media_Cliente_Mes!$C$2:$C$145,Media_Cliente_Mes!$A$2:$A$145,"Brejeiro",Media_Cliente_Mes!$B$2:$B$145,"Mai"))=0,"-",IFERROR(SUMIFS(Media_Cliente_Mes!$D$2:$D$145,Media_Cliente_Mes!$A$2:$A$145,"Brejeiro",Media_Cliente_Mes!$B$2:$B$145,"Mai"),"-"))</f>
        <v>48.0503403374967</v>
      </c>
      <c r="D9" s="10" t="n">
        <f aca="false">IF((SUMIFS(Media_Cliente_Mes!$C$2:$C$145,Media_Cliente_Mes!$A$2:$A$145,"Brejeiro",Media_Cliente_Mes!$B$2:$B$145,"Mai"))=0,"-",IFERROR(SUMIFS(Media_Cliente_Mes!$E$2:$E$145,Media_Cliente_Mes!$A$2:$A$145,"Brejeiro",Media_Cliente_Mes!$B$2:$B$145,"Mai"),"-"))</f>
        <v>11.6689749188074</v>
      </c>
      <c r="E9" s="10" t="n">
        <f aca="false">IF((SUMIFS(Media_Cliente_Mes!$C$2:$C$145,Media_Cliente_Mes!$A$2:$A$145,"Brejeiro",Media_Cliente_Mes!$B$2:$B$145,"Mai"))=0,"-",IFERROR(SUMIFS(Media_Cliente_Mes!$F$2:$F$145,Media_Cliente_Mes!$A$2:$A$145,"Brejeiro",Media_Cliente_Mes!$B$2:$B$145,"Mai"),"-"))</f>
        <v>3.51012144815166</v>
      </c>
      <c r="F9" s="10" t="n">
        <f aca="false">IF((SUMIFS(Media_Cliente_Mes!$C$2:$C$145,Media_Cliente_Mes!$A$2:$A$145,"Brejeiro",Media_Cliente_Mes!$B$2:$B$145,"Mai"))=0,"-",IFERROR(SUMIFS(Media_Cliente_Mes!$G$2:$G$145,Media_Cliente_Mes!$A$2:$A$145,"Brejeiro",Media_Cliente_Mes!$B$2:$B$145,"Mai"),"-"))</f>
        <v>1.0572906513392</v>
      </c>
      <c r="G9" s="8" t="n">
        <f aca="false">SUMIFS(Media_Cliente_Mes!$H$2:$H$145,Media_Cliente_Mes!$A$2:$A$145,"Brejeiro",Media_Cliente_Mes!$B$2:$B$145,"Mai")</f>
        <v>49598.12</v>
      </c>
      <c r="H9" s="8" t="n">
        <f aca="false">SUMIFS(Media_Cliente_Mes!$I$2:$I$145,Media_Cliente_Mes!$A$2:$A$145,"Brejeiro",Media_Cliente_Mes!$B$2:$B$145,"Mai")</f>
        <v>0</v>
      </c>
      <c r="I9" s="16" t="n">
        <f aca="false">SUMIFS(Resumo_Cliente_Mes!$G$2:$G$145,Resumo_Cliente_Mes!$A$2:$A$145,"Brejeiro",Resumo_Cliente_Mes!$B$2:$B$145,"Mai")</f>
        <v>51411.4669967069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SUMIFS(Media_Cliente_Mes!$C$2:$C$145,Media_Cliente_Mes!$A$2:$A$145,"Brejeiro",Media_Cliente_Mes!$B$2:$B$145,"Jun")</f>
        <v>45020.35</v>
      </c>
      <c r="C10" s="10" t="n">
        <f aca="false">IF((SUMIFS(Media_Cliente_Mes!$C$2:$C$145,Media_Cliente_Mes!$A$2:$A$145,"Brejeiro",Media_Cliente_Mes!$B$2:$B$145,"Jun"))=0,"-",IFERROR(SUMIFS(Media_Cliente_Mes!$D$2:$D$145,Media_Cliente_Mes!$A$2:$A$145,"Brejeiro",Media_Cliente_Mes!$B$2:$B$145,"Jun"),"-"))</f>
        <v>47.7612164498943</v>
      </c>
      <c r="D10" s="10" t="n">
        <f aca="false">IF((SUMIFS(Media_Cliente_Mes!$C$2:$C$145,Media_Cliente_Mes!$A$2:$A$145,"Brejeiro",Media_Cliente_Mes!$B$2:$B$145,"Jun"))=0,"-",IFERROR(SUMIFS(Media_Cliente_Mes!$E$2:$E$145,Media_Cliente_Mes!$A$2:$A$145,"Brejeiro",Media_Cliente_Mes!$B$2:$B$145,"Jun"),"-"))</f>
        <v>12.2785090209205</v>
      </c>
      <c r="E10" s="10" t="n">
        <f aca="false">IF((SUMIFS(Media_Cliente_Mes!$C$2:$C$145,Media_Cliente_Mes!$A$2:$A$145,"Brejeiro",Media_Cliente_Mes!$B$2:$B$145,"Jun"))=0,"-",IFERROR(SUMIFS(Media_Cliente_Mes!$F$2:$F$145,Media_Cliente_Mes!$A$2:$A$145,"Brejeiro",Media_Cliente_Mes!$B$2:$B$145,"Jun"),"-"))</f>
        <v>3.61071148491738</v>
      </c>
      <c r="F10" s="10" t="n">
        <f aca="false">IF((SUMIFS(Media_Cliente_Mes!$C$2:$C$145,Media_Cliente_Mes!$A$2:$A$145,"Brejeiro",Media_Cliente_Mes!$B$2:$B$145,"Jun"))=0,"-",IFERROR(SUMIFS(Media_Cliente_Mes!$G$2:$G$145,Media_Cliente_Mes!$A$2:$A$145,"Brejeiro",Media_Cliente_Mes!$B$2:$B$145,"Jun"),"-"))</f>
        <v>1.17034676984963</v>
      </c>
      <c r="G10" s="8" t="n">
        <f aca="false">SUMIFS(Media_Cliente_Mes!$H$2:$H$145,Media_Cliente_Mes!$A$2:$A$145,"Brejeiro",Media_Cliente_Mes!$B$2:$B$145,"Jun")</f>
        <v>45020.35</v>
      </c>
      <c r="H10" s="8" t="n">
        <f aca="false">SUMIFS(Media_Cliente_Mes!$I$2:$I$145,Media_Cliente_Mes!$A$2:$A$145,"Brejeiro",Media_Cliente_Mes!$B$2:$B$145,"Jun")</f>
        <v>0</v>
      </c>
      <c r="I10" s="16" t="n">
        <f aca="false">SUMIFS(Resumo_Cliente_Mes!$G$2:$G$145,Resumo_Cliente_Mes!$A$2:$A$145,"Brejeiro",Resumo_Cliente_Mes!$B$2:$B$145,"Jun")</f>
        <v>56537.2732308548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SUMIFS(Media_Cliente_Mes!$C$2:$C$145,Media_Cliente_Mes!$A$2:$A$145,"Brejeiro",Media_Cliente_Mes!$B$2:$B$145,"Jul")</f>
        <v>44244.44</v>
      </c>
      <c r="C11" s="10" t="n">
        <f aca="false">IF((SUMIFS(Media_Cliente_Mes!$C$2:$C$145,Media_Cliente_Mes!$A$2:$A$145,"Brejeiro",Media_Cliente_Mes!$B$2:$B$145,"Jul"))=0,"-",IFERROR(SUMIFS(Media_Cliente_Mes!$D$2:$D$145,Media_Cliente_Mes!$A$2:$A$145,"Brejeiro",Media_Cliente_Mes!$B$2:$B$145,"Jul"),"-"))</f>
        <v>47.9669295011983</v>
      </c>
      <c r="D11" s="10" t="n">
        <f aca="false">IF((SUMIFS(Media_Cliente_Mes!$C$2:$C$145,Media_Cliente_Mes!$A$2:$A$145,"Brejeiro",Media_Cliente_Mes!$B$2:$B$145,"Jul"))=0,"-",IFERROR(SUMIFS(Media_Cliente_Mes!$E$2:$E$145,Media_Cliente_Mes!$A$2:$A$145,"Brejeiro",Media_Cliente_Mes!$B$2:$B$145,"Jul"),"-"))</f>
        <v>12.0272818844583</v>
      </c>
      <c r="E11" s="10" t="n">
        <f aca="false">IF((SUMIFS(Media_Cliente_Mes!$C$2:$C$145,Media_Cliente_Mes!$A$2:$A$145,"Brejeiro",Media_Cliente_Mes!$B$2:$B$145,"Jul"))=0,"-",IFERROR(SUMIFS(Media_Cliente_Mes!$F$2:$F$145,Media_Cliente_Mes!$A$2:$A$145,"Brejeiro",Media_Cliente_Mes!$B$2:$B$145,"Jul"),"-"))</f>
        <v>3.43935206774004</v>
      </c>
      <c r="F11" s="10" t="n">
        <f aca="false">IF((SUMIFS(Media_Cliente_Mes!$C$2:$C$145,Media_Cliente_Mes!$A$2:$A$145,"Brejeiro",Media_Cliente_Mes!$B$2:$B$145,"Jul"))=0,"-",IFERROR(SUMIFS(Media_Cliente_Mes!$G$2:$G$145,Media_Cliente_Mes!$A$2:$A$145,"Brejeiro",Media_Cliente_Mes!$B$2:$B$145,"Jul"),"-"))</f>
        <v>1.51032560701412</v>
      </c>
      <c r="G11" s="8" t="n">
        <f aca="false">SUMIFS(Media_Cliente_Mes!$H$2:$H$145,Media_Cliente_Mes!$A$2:$A$145,"Brejeiro",Media_Cliente_Mes!$B$2:$B$145,"Jul")</f>
        <v>43458.2</v>
      </c>
      <c r="H11" s="8" t="n">
        <f aca="false">SUMIFS(Media_Cliente_Mes!$I$2:$I$145,Media_Cliente_Mes!$A$2:$A$145,"Brejeiro",Media_Cliente_Mes!$B$2:$B$145,"Jul")</f>
        <v>786.24</v>
      </c>
      <c r="I11" s="16" t="n">
        <f aca="false">SUMIFS(Resumo_Cliente_Mes!$G$2:$G$145,Resumo_Cliente_Mes!$A$2:$A$145,"Brejeiro",Resumo_Cliente_Mes!$B$2:$B$145,"Jul")</f>
        <v>53279.6038386723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SUMIFS(Media_Cliente_Mes!$C$2:$C$145,Media_Cliente_Mes!$A$2:$A$145,"Brejeiro",Media_Cliente_Mes!$B$2:$B$145,"Ago")</f>
        <v>43335.41</v>
      </c>
      <c r="C12" s="10" t="n">
        <f aca="false">IF((SUMIFS(Media_Cliente_Mes!$C$2:$C$145,Media_Cliente_Mes!$A$2:$A$145,"Brejeiro",Media_Cliente_Mes!$B$2:$B$145,"Ago"))=0,"-",IFERROR(SUMIFS(Media_Cliente_Mes!$D$2:$D$145,Media_Cliente_Mes!$A$2:$A$145,"Brejeiro",Media_Cliente_Mes!$B$2:$B$145,"Ago"),"-"))</f>
        <v>47.4500461400965</v>
      </c>
      <c r="D12" s="10" t="n">
        <f aca="false">IF((SUMIFS(Media_Cliente_Mes!$C$2:$C$145,Media_Cliente_Mes!$A$2:$A$145,"Brejeiro",Media_Cliente_Mes!$B$2:$B$145,"Ago"))=0,"-",IFERROR(SUMIFS(Media_Cliente_Mes!$E$2:$E$145,Media_Cliente_Mes!$A$2:$A$145,"Brejeiro",Media_Cliente_Mes!$B$2:$B$145,"Ago"),"-"))</f>
        <v>12.2156633732091</v>
      </c>
      <c r="E12" s="10" t="n">
        <f aca="false">IF((SUMIFS(Media_Cliente_Mes!$C$2:$C$145,Media_Cliente_Mes!$A$2:$A$145,"Brejeiro",Media_Cliente_Mes!$B$2:$B$145,"Ago"))=0,"-",IFERROR(SUMIFS(Media_Cliente_Mes!$F$2:$F$145,Media_Cliente_Mes!$A$2:$A$145,"Brejeiro",Media_Cliente_Mes!$B$2:$B$145,"Ago"),"-"))</f>
        <v>3.72450805011421</v>
      </c>
      <c r="F12" s="10" t="n">
        <f aca="false">IF((SUMIFS(Media_Cliente_Mes!$C$2:$C$145,Media_Cliente_Mes!$A$2:$A$145,"Brejeiro",Media_Cliente_Mes!$B$2:$B$145,"Ago"))=0,"-",IFERROR(SUMIFS(Media_Cliente_Mes!$G$2:$G$145,Media_Cliente_Mes!$A$2:$A$145,"Brejeiro",Media_Cliente_Mes!$B$2:$B$145,"Ago"),"-"))</f>
        <v>1.5082864636564</v>
      </c>
      <c r="G12" s="8" t="n">
        <f aca="false">SUMIFS(Media_Cliente_Mes!$H$2:$H$145,Media_Cliente_Mes!$A$2:$A$145,"Brejeiro",Media_Cliente_Mes!$B$2:$B$145,"Ago")</f>
        <v>41538.79</v>
      </c>
      <c r="H12" s="8" t="n">
        <f aca="false">SUMIFS(Media_Cliente_Mes!$I$2:$I$145,Media_Cliente_Mes!$A$2:$A$145,"Brejeiro",Media_Cliente_Mes!$B$2:$B$145,"Ago")</f>
        <v>1796.62</v>
      </c>
      <c r="I12" s="16" t="n">
        <f aca="false">SUMIFS(Resumo_Cliente_Mes!$G$2:$G$145,Resumo_Cliente_Mes!$A$2:$A$145,"Brejeiro",Resumo_Cliente_Mes!$B$2:$B$145,"Ago")</f>
        <v>118196.221113492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SUMIFS(Media_Cliente_Mes!$C$2:$C$145,Media_Cliente_Mes!$A$2:$A$145,"Brejeiro",Media_Cliente_Mes!$B$2:$B$145,"Set")</f>
        <v>9195.05</v>
      </c>
      <c r="C13" s="10" t="n">
        <f aca="false">IF((SUMIFS(Media_Cliente_Mes!$C$2:$C$145,Media_Cliente_Mes!$A$2:$A$145,"Brejeiro",Media_Cliente_Mes!$B$2:$B$145,"Set"))=0,"-",IFERROR(SUMIFS(Media_Cliente_Mes!$D$2:$D$145,Media_Cliente_Mes!$A$2:$A$145,"Brejeiro",Media_Cliente_Mes!$B$2:$B$145,"Set"),"-"))</f>
        <v>47.8702843703949</v>
      </c>
      <c r="D13" s="10" t="n">
        <f aca="false">IF((SUMIFS(Media_Cliente_Mes!$C$2:$C$145,Media_Cliente_Mes!$A$2:$A$145,"Brejeiro",Media_Cliente_Mes!$B$2:$B$145,"Set"))=0,"-",IFERROR(SUMIFS(Media_Cliente_Mes!$E$2:$E$145,Media_Cliente_Mes!$A$2:$A$145,"Brejeiro",Media_Cliente_Mes!$B$2:$B$145,"Set"),"-"))</f>
        <v>12.299296860811</v>
      </c>
      <c r="E13" s="10" t="n">
        <f aca="false">IF((SUMIFS(Media_Cliente_Mes!$C$2:$C$145,Media_Cliente_Mes!$A$2:$A$145,"Brejeiro",Media_Cliente_Mes!$B$2:$B$145,"Set"))=0,"-",IFERROR(SUMIFS(Media_Cliente_Mes!$F$2:$F$145,Media_Cliente_Mes!$A$2:$A$145,"Brejeiro",Media_Cliente_Mes!$B$2:$B$145,"Set"),"-"))</f>
        <v>3.61068685869027</v>
      </c>
      <c r="F13" s="10" t="n">
        <f aca="false">IF((SUMIFS(Media_Cliente_Mes!$C$2:$C$145,Media_Cliente_Mes!$A$2:$A$145,"Brejeiro",Media_Cliente_Mes!$B$2:$B$145,"Set"))=0,"-",IFERROR(SUMIFS(Media_Cliente_Mes!$G$2:$G$145,Media_Cliente_Mes!$A$2:$A$145,"Brejeiro",Media_Cliente_Mes!$B$2:$B$145,"Set"),"-"))</f>
        <v>1.19386390503586</v>
      </c>
      <c r="G13" s="8" t="n">
        <f aca="false">SUMIFS(Media_Cliente_Mes!$H$2:$H$145,Media_Cliente_Mes!$A$2:$A$145,"Brejeiro",Media_Cliente_Mes!$B$2:$B$145,"Set")</f>
        <v>9016.69</v>
      </c>
      <c r="H13" s="8" t="n">
        <f aca="false">SUMIFS(Media_Cliente_Mes!$I$2:$I$145,Media_Cliente_Mes!$A$2:$A$145,"Brejeiro",Media_Cliente_Mes!$B$2:$B$145,"Set")</f>
        <v>178.36</v>
      </c>
      <c r="I13" s="16" t="n">
        <f aca="false">SUMIFS(Resumo_Cliente_Mes!$G$2:$G$145,Resumo_Cliente_Mes!$A$2:$A$145,"Brejeiro",Resumo_Cliente_Mes!$B$2:$B$145,"Set")</f>
        <v>17446.055078194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SUMIFS(Media_Cliente_Mes!$C$2:$C$145,Media_Cliente_Mes!$A$2:$A$145,"Brejeiro",Media_Cliente_Mes!$B$2:$B$145,"Out")</f>
        <v>0</v>
      </c>
      <c r="C14" s="10" t="str">
        <f aca="false">IF((SUMIFS(Media_Cliente_Mes!$C$2:$C$145,Media_Cliente_Mes!$A$2:$A$145,"Brejeiro",Media_Cliente_Mes!$B$2:$B$145,"Out"))=0,"-",IFERROR(SUMIFS(Media_Cliente_Mes!$D$2:$D$145,Media_Cliente_Mes!$A$2:$A$145,"Brejeiro",Media_Cliente_Mes!$B$2:$B$145,"Out"),"-"))</f>
        <v>-</v>
      </c>
      <c r="D14" s="10" t="str">
        <f aca="false">IF((SUMIFS(Media_Cliente_Mes!$C$2:$C$145,Media_Cliente_Mes!$A$2:$A$145,"Brejeiro",Media_Cliente_Mes!$B$2:$B$145,"Out"))=0,"-",IFERROR(SUMIFS(Media_Cliente_Mes!$E$2:$E$145,Media_Cliente_Mes!$A$2:$A$145,"Brejeiro",Media_Cliente_Mes!$B$2:$B$145,"Out"),"-"))</f>
        <v>-</v>
      </c>
      <c r="E14" s="10" t="str">
        <f aca="false">IF((SUMIFS(Media_Cliente_Mes!$C$2:$C$145,Media_Cliente_Mes!$A$2:$A$145,"Brejeiro",Media_Cliente_Mes!$B$2:$B$145,"Out"))=0,"-",IFERROR(SUMIFS(Media_Cliente_Mes!$F$2:$F$145,Media_Cliente_Mes!$A$2:$A$145,"Brejeiro",Media_Cliente_Mes!$B$2:$B$145,"Out"),"-"))</f>
        <v>-</v>
      </c>
      <c r="F14" s="10" t="str">
        <f aca="false">IF((SUMIFS(Media_Cliente_Mes!$C$2:$C$145,Media_Cliente_Mes!$A$2:$A$145,"Brejeiro",Media_Cliente_Mes!$B$2:$B$145,"Out"))=0,"-",IFERROR(SUMIFS(Media_Cliente_Mes!$G$2:$G$145,Media_Cliente_Mes!$A$2:$A$145,"Brejeiro",Media_Cliente_Mes!$B$2:$B$145,"Out"),"-"))</f>
        <v>-</v>
      </c>
      <c r="G14" s="8" t="n">
        <f aca="false">SUMIFS(Media_Cliente_Mes!$H$2:$H$145,Media_Cliente_Mes!$A$2:$A$145,"Brejeiro",Media_Cliente_Mes!$B$2:$B$145,"Out")</f>
        <v>0</v>
      </c>
      <c r="H14" s="8" t="n">
        <f aca="false">SUMIFS(Media_Cliente_Mes!$I$2:$I$145,Media_Cliente_Mes!$A$2:$A$145,"Brejeiro",Media_Cliente_Mes!$B$2:$B$145,"Out")</f>
        <v>0</v>
      </c>
      <c r="I14" s="16" t="n">
        <f aca="false">SUMIFS(Resumo_Cliente_Mes!$G$2:$G$145,Resumo_Cliente_Mes!$A$2:$A$145,"Brejeiro",Resumo_Cliente_Mes!$B$2:$B$145,"Out")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SUMIFS(Media_Cliente_Mes!$C$2:$C$145,Media_Cliente_Mes!$A$2:$A$145,"Brejeiro",Media_Cliente_Mes!$B$2:$B$145,"Nov")</f>
        <v>0</v>
      </c>
      <c r="C15" s="10" t="str">
        <f aca="false">IF((SUMIFS(Media_Cliente_Mes!$C$2:$C$145,Media_Cliente_Mes!$A$2:$A$145,"Brejeiro",Media_Cliente_Mes!$B$2:$B$145,"Nov"))=0,"-",IFERROR(SUMIFS(Media_Cliente_Mes!$D$2:$D$145,Media_Cliente_Mes!$A$2:$A$145,"Brejeiro",Media_Cliente_Mes!$B$2:$B$145,"Nov"),"-"))</f>
        <v>-</v>
      </c>
      <c r="D15" s="10" t="str">
        <f aca="false">IF((SUMIFS(Media_Cliente_Mes!$C$2:$C$145,Media_Cliente_Mes!$A$2:$A$145,"Brejeiro",Media_Cliente_Mes!$B$2:$B$145,"Nov"))=0,"-",IFERROR(SUMIFS(Media_Cliente_Mes!$E$2:$E$145,Media_Cliente_Mes!$A$2:$A$145,"Brejeiro",Media_Cliente_Mes!$B$2:$B$145,"Nov"),"-"))</f>
        <v>-</v>
      </c>
      <c r="E15" s="10" t="str">
        <f aca="false">IF((SUMIFS(Media_Cliente_Mes!$C$2:$C$145,Media_Cliente_Mes!$A$2:$A$145,"Brejeiro",Media_Cliente_Mes!$B$2:$B$145,"Nov"))=0,"-",IFERROR(SUMIFS(Media_Cliente_Mes!$F$2:$F$145,Media_Cliente_Mes!$A$2:$A$145,"Brejeiro",Media_Cliente_Mes!$B$2:$B$145,"Nov"),"-"))</f>
        <v>-</v>
      </c>
      <c r="F15" s="10" t="str">
        <f aca="false">IF((SUMIFS(Media_Cliente_Mes!$C$2:$C$145,Media_Cliente_Mes!$A$2:$A$145,"Brejeiro",Media_Cliente_Mes!$B$2:$B$145,"Nov"))=0,"-",IFERROR(SUMIFS(Media_Cliente_Mes!$G$2:$G$145,Media_Cliente_Mes!$A$2:$A$145,"Brejeiro",Media_Cliente_Mes!$B$2:$B$145,"Nov"),"-"))</f>
        <v>-</v>
      </c>
      <c r="G15" s="8" t="n">
        <f aca="false">SUMIFS(Media_Cliente_Mes!$H$2:$H$145,Media_Cliente_Mes!$A$2:$A$145,"Brejeiro",Media_Cliente_Mes!$B$2:$B$145,"Nov")</f>
        <v>0</v>
      </c>
      <c r="H15" s="8" t="n">
        <f aca="false">SUMIFS(Media_Cliente_Mes!$I$2:$I$145,Media_Cliente_Mes!$A$2:$A$145,"Brejeiro",Media_Cliente_Mes!$B$2:$B$145,"Nov")</f>
        <v>0</v>
      </c>
      <c r="I15" s="16" t="n">
        <f aca="false">SUMIFS(Resumo_Cliente_Mes!$G$2:$G$145,Resumo_Cliente_Mes!$A$2:$A$145,"Brejeiro",Resumo_Cliente_Mes!$B$2:$B$145,"Nov")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SUMIFS(Media_Cliente_Mes!$C$2:$C$145,Media_Cliente_Mes!$A$2:$A$145,"Brejeiro",Media_Cliente_Mes!$B$2:$B$145,"Dez")</f>
        <v>0</v>
      </c>
      <c r="C16" s="10" t="str">
        <f aca="false">IF((SUMIFS(Media_Cliente_Mes!$C$2:$C$145,Media_Cliente_Mes!$A$2:$A$145,"Brejeiro",Media_Cliente_Mes!$B$2:$B$145,"Dez"))=0,"-",IFERROR(SUMIFS(Media_Cliente_Mes!$D$2:$D$145,Media_Cliente_Mes!$A$2:$A$145,"Brejeiro",Media_Cliente_Mes!$B$2:$B$145,"Dez"),"-"))</f>
        <v>-</v>
      </c>
      <c r="D16" s="10" t="str">
        <f aca="false">IF((SUMIFS(Media_Cliente_Mes!$C$2:$C$145,Media_Cliente_Mes!$A$2:$A$145,"Brejeiro",Media_Cliente_Mes!$B$2:$B$145,"Dez"))=0,"-",IFERROR(SUMIFS(Media_Cliente_Mes!$E$2:$E$145,Media_Cliente_Mes!$A$2:$A$145,"Brejeiro",Media_Cliente_Mes!$B$2:$B$145,"Dez"),"-"))</f>
        <v>-</v>
      </c>
      <c r="E16" s="10" t="str">
        <f aca="false">IF((SUMIFS(Media_Cliente_Mes!$C$2:$C$145,Media_Cliente_Mes!$A$2:$A$145,"Brejeiro",Media_Cliente_Mes!$B$2:$B$145,"Dez"))=0,"-",IFERROR(SUMIFS(Media_Cliente_Mes!$F$2:$F$145,Media_Cliente_Mes!$A$2:$A$145,"Brejeiro",Media_Cliente_Mes!$B$2:$B$145,"Dez"),"-"))</f>
        <v>-</v>
      </c>
      <c r="F16" s="10" t="str">
        <f aca="false">IF((SUMIFS(Media_Cliente_Mes!$C$2:$C$145,Media_Cliente_Mes!$A$2:$A$145,"Brejeiro",Media_Cliente_Mes!$B$2:$B$145,"Dez"))=0,"-",IFERROR(SUMIFS(Media_Cliente_Mes!$G$2:$G$145,Media_Cliente_Mes!$A$2:$A$145,"Brejeiro",Media_Cliente_Mes!$B$2:$B$145,"Dez"),"-"))</f>
        <v>-</v>
      </c>
      <c r="G16" s="8" t="n">
        <f aca="false">SUMIFS(Media_Cliente_Mes!$H$2:$H$145,Media_Cliente_Mes!$A$2:$A$145,"Brejeiro",Media_Cliente_Mes!$B$2:$B$145,"Dez")</f>
        <v>0</v>
      </c>
      <c r="H16" s="8" t="n">
        <f aca="false">SUMIFS(Media_Cliente_Mes!$I$2:$I$145,Media_Cliente_Mes!$A$2:$A$145,"Brejeiro",Media_Cliente_Mes!$B$2:$B$145,"Dez")</f>
        <v>0</v>
      </c>
      <c r="I16" s="16" t="n">
        <f aca="false">SUMIFS(Resumo_Cliente_Mes!$G$2:$G$145,Resumo_Cliente_Mes!$A$2:$A$145,"Brejeiro",Resumo_Cliente_Mes!$B$2:$B$145,"Dez")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358256.75</v>
      </c>
      <c r="C17" s="23" t="n">
        <f aca="false">IFERROR(SUMPRODUCT((B5:B16)*IF(ISNUMBER(C5:C16),C5:C16,0))/B17,"-")</f>
        <v>47.8632198307499</v>
      </c>
      <c r="D17" s="23" t="n">
        <f aca="false">IFERROR(SUMPRODUCT((B5:B16)*IF(ISNUMBER(D5:D16),D5:D16,0))/B17,"-")</f>
        <v>11.8453480446635</v>
      </c>
      <c r="E17" s="23" t="n">
        <f aca="false">IFERROR(SUMPRODUCT((B5:B16)*IF(ISNUMBER(E5:E16),E5:E16,0))/B17,"-")</f>
        <v>3.52455691411257</v>
      </c>
      <c r="F17" s="23" t="n">
        <f aca="false">IFERROR(SUMPRODUCT((B5:B16)*IF(ISNUMBER(F5:F16),F5:F16,0))/B17,"-")</f>
        <v>1.31472609389774</v>
      </c>
      <c r="G17" s="22" t="n">
        <f aca="false">SUM(G5:G16)</f>
        <v>355495.53</v>
      </c>
      <c r="H17" s="22" t="n">
        <f aca="false">SUM(H5:H16)</f>
        <v>2761.22</v>
      </c>
      <c r="I17" s="24" t="n">
        <f aca="false">SUM(I5:I16)</f>
        <v>576511.951982469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41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SUMIFS(Media_Cliente_Mes!$C$2:$C$145,Media_Cliente_Mes!$A$2:$A$145,"Caramuru",Media_Cliente_Mes!$B$2:$B$145,"Jan")</f>
        <v>18891.74</v>
      </c>
      <c r="C5" s="10" t="n">
        <f aca="false">IF((SUMIFS(Media_Cliente_Mes!$C$2:$C$145,Media_Cliente_Mes!$A$2:$A$145,"Caramuru",Media_Cliente_Mes!$B$2:$B$145,"Jan"))=0,"-",IFERROR(SUMIFS(Media_Cliente_Mes!$D$2:$D$145,Media_Cliente_Mes!$A$2:$A$145,"Caramuru",Media_Cliente_Mes!$B$2:$B$145,"Jan"),"-"))</f>
        <v>47.9859376743487</v>
      </c>
      <c r="D5" s="10" t="n">
        <f aca="false">IF((SUMIFS(Media_Cliente_Mes!$C$2:$C$145,Media_Cliente_Mes!$A$2:$A$145,"Caramuru",Media_Cliente_Mes!$B$2:$B$145,"Jan"))=0,"-",IFERROR(SUMIFS(Media_Cliente_Mes!$E$2:$E$145,Media_Cliente_Mes!$A$2:$A$145,"Caramuru",Media_Cliente_Mes!$B$2:$B$145,"Jan"),"-"))</f>
        <v>12.4164668156559</v>
      </c>
      <c r="E5" s="10" t="n">
        <f aca="false">IF((SUMIFS(Media_Cliente_Mes!$C$2:$C$145,Media_Cliente_Mes!$A$2:$A$145,"Caramuru",Media_Cliente_Mes!$B$2:$B$145,"Jan"))=0,"-",IFERROR(SUMIFS(Media_Cliente_Mes!$F$2:$F$145,Media_Cliente_Mes!$A$2:$A$145,"Caramuru",Media_Cliente_Mes!$B$2:$B$145,"Jan"),"-"))</f>
        <v>3.37654047747852</v>
      </c>
      <c r="F5" s="10" t="n">
        <f aca="false">IF((SUMIFS(Media_Cliente_Mes!$C$2:$C$145,Media_Cliente_Mes!$A$2:$A$145,"Caramuru",Media_Cliente_Mes!$B$2:$B$145,"Jan"))=0,"-",IFERROR(SUMIFS(Media_Cliente_Mes!$G$2:$G$145,Media_Cliente_Mes!$A$2:$A$145,"Caramuru",Media_Cliente_Mes!$B$2:$B$145,"Jan"),"-"))</f>
        <v>1.2043201632036</v>
      </c>
      <c r="G5" s="8" t="n">
        <f aca="false">SUMIFS(Media_Cliente_Mes!$H$2:$H$145,Media_Cliente_Mes!$A$2:$A$145,"Caramuru",Media_Cliente_Mes!$B$2:$B$145,"Jan")</f>
        <v>664.72</v>
      </c>
      <c r="H5" s="8" t="n">
        <f aca="false">SUMIFS(Media_Cliente_Mes!$I$2:$I$145,Media_Cliente_Mes!$A$2:$A$145,"Caramuru",Media_Cliente_Mes!$B$2:$B$145,"Jan")</f>
        <v>18227.02</v>
      </c>
      <c r="I5" s="16" t="n">
        <f aca="false">SUMIFS(Resumo_Cliente_Mes!$G$2:$G$145,Resumo_Cliente_Mes!$A$2:$A$145,"Caramuru",Resumo_Cliente_Mes!$B$2:$B$145,"Jan")</f>
        <v>40903.3724753771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SUMIFS(Media_Cliente_Mes!$C$2:$C$145,Media_Cliente_Mes!$A$2:$A$145,"Caramuru",Media_Cliente_Mes!$B$2:$B$145,"Fev")</f>
        <v>9485.48</v>
      </c>
      <c r="C6" s="10" t="n">
        <f aca="false">IF((SUMIFS(Media_Cliente_Mes!$C$2:$C$145,Media_Cliente_Mes!$A$2:$A$145,"Caramuru",Media_Cliente_Mes!$B$2:$B$145,"Fev"))=0,"-",IFERROR(SUMIFS(Media_Cliente_Mes!$D$2:$D$145,Media_Cliente_Mes!$A$2:$A$145,"Caramuru",Media_Cliente_Mes!$B$2:$B$145,"Fev"),"-"))</f>
        <v>47.2086670258121</v>
      </c>
      <c r="D6" s="10" t="n">
        <f aca="false">IF((SUMIFS(Media_Cliente_Mes!$C$2:$C$145,Media_Cliente_Mes!$A$2:$A$145,"Caramuru",Media_Cliente_Mes!$B$2:$B$145,"Fev"))=0,"-",IFERROR(SUMIFS(Media_Cliente_Mes!$E$2:$E$145,Media_Cliente_Mes!$A$2:$A$145,"Caramuru",Media_Cliente_Mes!$B$2:$B$145,"Fev"),"-"))</f>
        <v>12.7192715392368</v>
      </c>
      <c r="E6" s="10" t="n">
        <f aca="false">IF((SUMIFS(Media_Cliente_Mes!$C$2:$C$145,Media_Cliente_Mes!$A$2:$A$145,"Caramuru",Media_Cliente_Mes!$B$2:$B$145,"Fev"))=0,"-",IFERROR(SUMIFS(Media_Cliente_Mes!$F$2:$F$145,Media_Cliente_Mes!$A$2:$A$145,"Caramuru",Media_Cliente_Mes!$B$2:$B$145,"Fev"),"-"))</f>
        <v>3.73136726870965</v>
      </c>
      <c r="F6" s="10" t="n">
        <f aca="false">IF((SUMIFS(Media_Cliente_Mes!$C$2:$C$145,Media_Cliente_Mes!$A$2:$A$145,"Caramuru",Media_Cliente_Mes!$B$2:$B$145,"Fev"))=0,"-",IFERROR(SUMIFS(Media_Cliente_Mes!$G$2:$G$145,Media_Cliente_Mes!$A$2:$A$145,"Caramuru",Media_Cliente_Mes!$B$2:$B$145,"Fev"),"-"))</f>
        <v>1.16851368618141</v>
      </c>
      <c r="G6" s="8" t="n">
        <f aca="false">SUMIFS(Media_Cliente_Mes!$H$2:$H$145,Media_Cliente_Mes!$A$2:$A$145,"Caramuru",Media_Cliente_Mes!$B$2:$B$145,"Fev")</f>
        <v>0</v>
      </c>
      <c r="H6" s="8" t="n">
        <f aca="false">SUMIFS(Media_Cliente_Mes!$I$2:$I$145,Media_Cliente_Mes!$A$2:$A$145,"Caramuru",Media_Cliente_Mes!$B$2:$B$145,"Fev")</f>
        <v>9485.48</v>
      </c>
      <c r="I6" s="16" t="n">
        <f aca="false">SUMIFS(Resumo_Cliente_Mes!$G$2:$G$145,Resumo_Cliente_Mes!$A$2:$A$145,"Caramuru",Resumo_Cliente_Mes!$B$2:$B$145,"Fev")</f>
        <v>-17212.3814295738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SUMIFS(Media_Cliente_Mes!$C$2:$C$145,Media_Cliente_Mes!$A$2:$A$145,"Caramuru",Media_Cliente_Mes!$B$2:$B$145,"Mar")</f>
        <v>12278.31</v>
      </c>
      <c r="C7" s="10" t="n">
        <f aca="false">IF((SUMIFS(Media_Cliente_Mes!$C$2:$C$145,Media_Cliente_Mes!$A$2:$A$145,"Caramuru",Media_Cliente_Mes!$B$2:$B$145,"Mar"))=0,"-",IFERROR(SUMIFS(Media_Cliente_Mes!$D$2:$D$145,Media_Cliente_Mes!$A$2:$A$145,"Caramuru",Media_Cliente_Mes!$B$2:$B$145,"Mar"),"-"))</f>
        <v>48.0034353180527</v>
      </c>
      <c r="D7" s="10" t="n">
        <f aca="false">IF((SUMIFS(Media_Cliente_Mes!$C$2:$C$145,Media_Cliente_Mes!$A$2:$A$145,"Caramuru",Media_Cliente_Mes!$B$2:$B$145,"Mar"))=0,"-",IFERROR(SUMIFS(Media_Cliente_Mes!$E$2:$E$145,Media_Cliente_Mes!$A$2:$A$145,"Caramuru",Media_Cliente_Mes!$B$2:$B$145,"Mar"),"-"))</f>
        <v>12.3977709554491</v>
      </c>
      <c r="E7" s="10" t="n">
        <f aca="false">IF((SUMIFS(Media_Cliente_Mes!$C$2:$C$145,Media_Cliente_Mes!$A$2:$A$145,"Caramuru",Media_Cliente_Mes!$B$2:$B$145,"Mar"))=0,"-",IFERROR(SUMIFS(Media_Cliente_Mes!$F$2:$F$145,Media_Cliente_Mes!$A$2:$A$145,"Caramuru",Media_Cliente_Mes!$B$2:$B$145,"Mar"),"-"))</f>
        <v>3.54249561218116</v>
      </c>
      <c r="F7" s="10" t="n">
        <f aca="false">IF((SUMIFS(Media_Cliente_Mes!$C$2:$C$145,Media_Cliente_Mes!$A$2:$A$145,"Caramuru",Media_Cliente_Mes!$B$2:$B$145,"Mar"))=0,"-",IFERROR(SUMIFS(Media_Cliente_Mes!$G$2:$G$145,Media_Cliente_Mes!$A$2:$A$145,"Caramuru",Media_Cliente_Mes!$B$2:$B$145,"Mar"),"-"))</f>
        <v>1.38639728105904</v>
      </c>
      <c r="G7" s="8" t="n">
        <f aca="false">SUMIFS(Media_Cliente_Mes!$H$2:$H$145,Media_Cliente_Mes!$A$2:$A$145,"Caramuru",Media_Cliente_Mes!$B$2:$B$145,"Mar")</f>
        <v>7362.99</v>
      </c>
      <c r="H7" s="8" t="n">
        <f aca="false">SUMIFS(Media_Cliente_Mes!$I$2:$I$145,Media_Cliente_Mes!$A$2:$A$145,"Caramuru",Media_Cliente_Mes!$B$2:$B$145,"Mar")</f>
        <v>4915.32</v>
      </c>
      <c r="I7" s="16" t="n">
        <f aca="false">SUMIFS(Resumo_Cliente_Mes!$G$2:$G$145,Resumo_Cliente_Mes!$A$2:$A$145,"Caramuru",Resumo_Cliente_Mes!$B$2:$B$145,"Mar")</f>
        <v>20175.1694870556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SUMIFS(Media_Cliente_Mes!$C$2:$C$145,Media_Cliente_Mes!$A$2:$A$145,"Caramuru",Media_Cliente_Mes!$B$2:$B$145,"Abr")</f>
        <v>42872.69</v>
      </c>
      <c r="C8" s="10" t="n">
        <f aca="false">IF((SUMIFS(Media_Cliente_Mes!$C$2:$C$145,Media_Cliente_Mes!$A$2:$A$145,"Caramuru",Media_Cliente_Mes!$B$2:$B$145,"Abr"))=0,"-",IFERROR(SUMIFS(Media_Cliente_Mes!$D$2:$D$145,Media_Cliente_Mes!$A$2:$A$145,"Caramuru",Media_Cliente_Mes!$B$2:$B$145,"Abr"),"-"))</f>
        <v>47.5376382051138</v>
      </c>
      <c r="D8" s="10" t="n">
        <f aca="false">IF((SUMIFS(Media_Cliente_Mes!$C$2:$C$145,Media_Cliente_Mes!$A$2:$A$145,"Caramuru",Media_Cliente_Mes!$B$2:$B$145,"Abr"))=0,"-",IFERROR(SUMIFS(Media_Cliente_Mes!$E$2:$E$145,Media_Cliente_Mes!$A$2:$A$145,"Caramuru",Media_Cliente_Mes!$B$2:$B$145,"Abr"),"-"))</f>
        <v>13.0024262764944</v>
      </c>
      <c r="E8" s="10" t="n">
        <f aca="false">IF((SUMIFS(Media_Cliente_Mes!$C$2:$C$145,Media_Cliente_Mes!$A$2:$A$145,"Caramuru",Media_Cliente_Mes!$B$2:$B$145,"Abr"))=0,"-",IFERROR(SUMIFS(Media_Cliente_Mes!$F$2:$F$145,Media_Cliente_Mes!$A$2:$A$145,"Caramuru",Media_Cliente_Mes!$B$2:$B$145,"Abr"),"-"))</f>
        <v>3.60550451114684</v>
      </c>
      <c r="F8" s="10" t="n">
        <f aca="false">IF((SUMIFS(Media_Cliente_Mes!$C$2:$C$145,Media_Cliente_Mes!$A$2:$A$145,"Caramuru",Media_Cliente_Mes!$B$2:$B$145,"Abr"))=0,"-",IFERROR(SUMIFS(Media_Cliente_Mes!$G$2:$G$145,Media_Cliente_Mes!$A$2:$A$145,"Caramuru",Media_Cliente_Mes!$B$2:$B$145,"Abr"),"-"))</f>
        <v>1.29211321472947</v>
      </c>
      <c r="G8" s="8" t="n">
        <f aca="false">SUMIFS(Media_Cliente_Mes!$H$2:$H$145,Media_Cliente_Mes!$A$2:$A$145,"Caramuru",Media_Cliente_Mes!$B$2:$B$145,"Abr")</f>
        <v>9022.05</v>
      </c>
      <c r="H8" s="8" t="n">
        <f aca="false">SUMIFS(Media_Cliente_Mes!$I$2:$I$145,Media_Cliente_Mes!$A$2:$A$145,"Caramuru",Media_Cliente_Mes!$B$2:$B$145,"Abr")</f>
        <v>33850.64</v>
      </c>
      <c r="I8" s="16" t="n">
        <f aca="false">SUMIFS(Resumo_Cliente_Mes!$G$2:$G$145,Resumo_Cliente_Mes!$A$2:$A$145,"Caramuru",Resumo_Cliente_Mes!$B$2:$B$145,"Abr")</f>
        <v>-81472.6963100481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SUMIFS(Media_Cliente_Mes!$C$2:$C$145,Media_Cliente_Mes!$A$2:$A$145,"Caramuru",Media_Cliente_Mes!$B$2:$B$145,"Mai")</f>
        <v>17619.63</v>
      </c>
      <c r="C9" s="10" t="n">
        <f aca="false">IF((SUMIFS(Media_Cliente_Mes!$C$2:$C$145,Media_Cliente_Mes!$A$2:$A$145,"Caramuru",Media_Cliente_Mes!$B$2:$B$145,"Mai"))=0,"-",IFERROR(SUMIFS(Media_Cliente_Mes!$D$2:$D$145,Media_Cliente_Mes!$A$2:$A$145,"Caramuru",Media_Cliente_Mes!$B$2:$B$145,"Mai"),"-"))</f>
        <v>47.4505838261076</v>
      </c>
      <c r="D9" s="10" t="n">
        <f aca="false">IF((SUMIFS(Media_Cliente_Mes!$C$2:$C$145,Media_Cliente_Mes!$A$2:$A$145,"Caramuru",Media_Cliente_Mes!$B$2:$B$145,"Mai"))=0,"-",IFERROR(SUMIFS(Media_Cliente_Mes!$E$2:$E$145,Media_Cliente_Mes!$A$2:$A$145,"Caramuru",Media_Cliente_Mes!$B$2:$B$145,"Mai"),"-"))</f>
        <v>12.7822017318184</v>
      </c>
      <c r="E9" s="10" t="n">
        <f aca="false">IF((SUMIFS(Media_Cliente_Mes!$C$2:$C$145,Media_Cliente_Mes!$A$2:$A$145,"Caramuru",Media_Cliente_Mes!$B$2:$B$145,"Mai"))=0,"-",IFERROR(SUMIFS(Media_Cliente_Mes!$F$2:$F$145,Media_Cliente_Mes!$A$2:$A$145,"Caramuru",Media_Cliente_Mes!$B$2:$B$145,"Mai"),"-"))</f>
        <v>3.69716205731903</v>
      </c>
      <c r="F9" s="10" t="n">
        <f aca="false">IF((SUMIFS(Media_Cliente_Mes!$C$2:$C$145,Media_Cliente_Mes!$A$2:$A$145,"Caramuru",Media_Cliente_Mes!$B$2:$B$145,"Mai"))=0,"-",IFERROR(SUMIFS(Media_Cliente_Mes!$G$2:$G$145,Media_Cliente_Mes!$A$2:$A$145,"Caramuru",Media_Cliente_Mes!$B$2:$B$145,"Mai"),"-"))</f>
        <v>1.37270627703306</v>
      </c>
      <c r="G9" s="8" t="n">
        <f aca="false">SUMIFS(Media_Cliente_Mes!$H$2:$H$145,Media_Cliente_Mes!$A$2:$A$145,"Caramuru",Media_Cliente_Mes!$B$2:$B$145,"Mai")</f>
        <v>2946.95</v>
      </c>
      <c r="H9" s="8" t="n">
        <f aca="false">SUMIFS(Media_Cliente_Mes!$I$2:$I$145,Media_Cliente_Mes!$A$2:$A$145,"Caramuru",Media_Cliente_Mes!$B$2:$B$145,"Mai")</f>
        <v>14672.68</v>
      </c>
      <c r="I9" s="16" t="n">
        <f aca="false">SUMIFS(Resumo_Cliente_Mes!$G$2:$G$145,Resumo_Cliente_Mes!$A$2:$A$145,"Caramuru",Resumo_Cliente_Mes!$B$2:$B$145,"Mai")</f>
        <v>-31244.6005920997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SUMIFS(Media_Cliente_Mes!$C$2:$C$145,Media_Cliente_Mes!$A$2:$A$145,"Caramuru",Media_Cliente_Mes!$B$2:$B$145,"Jun")</f>
        <v>41497.14</v>
      </c>
      <c r="C10" s="10" t="n">
        <f aca="false">IF((SUMIFS(Media_Cliente_Mes!$C$2:$C$145,Media_Cliente_Mes!$A$2:$A$145,"Caramuru",Media_Cliente_Mes!$B$2:$B$145,"Jun"))=0,"-",IFERROR(SUMIFS(Media_Cliente_Mes!$D$2:$D$145,Media_Cliente_Mes!$A$2:$A$145,"Caramuru",Media_Cliente_Mes!$B$2:$B$145,"Jun"),"-"))</f>
        <v>47.521829550181</v>
      </c>
      <c r="D10" s="10" t="n">
        <f aca="false">IF((SUMIFS(Media_Cliente_Mes!$C$2:$C$145,Media_Cliente_Mes!$A$2:$A$145,"Caramuru",Media_Cliente_Mes!$B$2:$B$145,"Jun"))=0,"-",IFERROR(SUMIFS(Media_Cliente_Mes!$E$2:$E$145,Media_Cliente_Mes!$A$2:$A$145,"Caramuru",Media_Cliente_Mes!$B$2:$B$145,"Jun"),"-"))</f>
        <v>13.5359303990588</v>
      </c>
      <c r="E10" s="10" t="n">
        <f aca="false">IF((SUMIFS(Media_Cliente_Mes!$C$2:$C$145,Media_Cliente_Mes!$A$2:$A$145,"Caramuru",Media_Cliente_Mes!$B$2:$B$145,"Jun"))=0,"-",IFERROR(SUMIFS(Media_Cliente_Mes!$F$2:$F$145,Media_Cliente_Mes!$A$2:$A$145,"Caramuru",Media_Cliente_Mes!$B$2:$B$145,"Jun"),"-"))</f>
        <v>3.65032825153734</v>
      </c>
      <c r="F10" s="10" t="n">
        <f aca="false">IF((SUMIFS(Media_Cliente_Mes!$C$2:$C$145,Media_Cliente_Mes!$A$2:$A$145,"Caramuru",Media_Cliente_Mes!$B$2:$B$145,"Jun"))=0,"-",IFERROR(SUMIFS(Media_Cliente_Mes!$G$2:$G$145,Media_Cliente_Mes!$A$2:$A$145,"Caramuru",Media_Cliente_Mes!$B$2:$B$145,"Jun"),"-"))</f>
        <v>1.30169416012766</v>
      </c>
      <c r="G10" s="8" t="n">
        <f aca="false">SUMIFS(Media_Cliente_Mes!$H$2:$H$145,Media_Cliente_Mes!$A$2:$A$145,"Caramuru",Media_Cliente_Mes!$B$2:$B$145,"Jun")</f>
        <v>1999.6</v>
      </c>
      <c r="H10" s="8" t="n">
        <f aca="false">SUMIFS(Media_Cliente_Mes!$I$2:$I$145,Media_Cliente_Mes!$A$2:$A$145,"Caramuru",Media_Cliente_Mes!$B$2:$B$145,"Jun")</f>
        <v>39497.54</v>
      </c>
      <c r="I10" s="16" t="n">
        <f aca="false">SUMIFS(Resumo_Cliente_Mes!$G$2:$G$145,Resumo_Cliente_Mes!$A$2:$A$145,"Caramuru",Resumo_Cliente_Mes!$B$2:$B$145,"Jun")</f>
        <v>-97791.0031166747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SUMIFS(Media_Cliente_Mes!$C$2:$C$145,Media_Cliente_Mes!$A$2:$A$145,"Caramuru",Media_Cliente_Mes!$B$2:$B$145,"Jul")</f>
        <v>78263.287</v>
      </c>
      <c r="C11" s="10" t="n">
        <f aca="false">IF((SUMIFS(Media_Cliente_Mes!$C$2:$C$145,Media_Cliente_Mes!$A$2:$A$145,"Caramuru",Media_Cliente_Mes!$B$2:$B$145,"Jul"))=0,"-",IFERROR(SUMIFS(Media_Cliente_Mes!$D$2:$D$145,Media_Cliente_Mes!$A$2:$A$145,"Caramuru",Media_Cliente_Mes!$B$2:$B$145,"Jul"),"-"))</f>
        <v>47.8575363503452</v>
      </c>
      <c r="D11" s="10" t="n">
        <f aca="false">IF((SUMIFS(Media_Cliente_Mes!$C$2:$C$145,Media_Cliente_Mes!$A$2:$A$145,"Caramuru",Media_Cliente_Mes!$B$2:$B$145,"Jul"))=0,"-",IFERROR(SUMIFS(Media_Cliente_Mes!$E$2:$E$145,Media_Cliente_Mes!$A$2:$A$145,"Caramuru",Media_Cliente_Mes!$B$2:$B$145,"Jul"),"-"))</f>
        <v>12.7900274938618</v>
      </c>
      <c r="E11" s="10" t="n">
        <f aca="false">IF((SUMIFS(Media_Cliente_Mes!$C$2:$C$145,Media_Cliente_Mes!$A$2:$A$145,"Caramuru",Media_Cliente_Mes!$B$2:$B$145,"Jul"))=0,"-",IFERROR(SUMIFS(Media_Cliente_Mes!$F$2:$F$145,Media_Cliente_Mes!$A$2:$A$145,"Caramuru",Media_Cliente_Mes!$B$2:$B$145,"Jul"),"-"))</f>
        <v>3.406907422378</v>
      </c>
      <c r="F11" s="10" t="n">
        <f aca="false">IF((SUMIFS(Media_Cliente_Mes!$C$2:$C$145,Media_Cliente_Mes!$A$2:$A$145,"Caramuru",Media_Cliente_Mes!$B$2:$B$145,"Jul"))=0,"-",IFERROR(SUMIFS(Media_Cliente_Mes!$G$2:$G$145,Media_Cliente_Mes!$A$2:$A$145,"Caramuru",Media_Cliente_Mes!$B$2:$B$145,"Jul"),"-"))</f>
        <v>1.08824316246774</v>
      </c>
      <c r="G11" s="8" t="n">
        <f aca="false">SUMIFS(Media_Cliente_Mes!$H$2:$H$145,Media_Cliente_Mes!$A$2:$A$145,"Caramuru",Media_Cliente_Mes!$B$2:$B$145,"Jul")</f>
        <v>0</v>
      </c>
      <c r="H11" s="8" t="n">
        <f aca="false">SUMIFS(Media_Cliente_Mes!$I$2:$I$145,Media_Cliente_Mes!$A$2:$A$145,"Caramuru",Media_Cliente_Mes!$B$2:$B$145,"Jul")</f>
        <v>78263.287</v>
      </c>
      <c r="I11" s="16" t="n">
        <f aca="false">SUMIFS(Resumo_Cliente_Mes!$G$2:$G$145,Resumo_Cliente_Mes!$A$2:$A$145,"Caramuru",Resumo_Cliente_Mes!$B$2:$B$145,"Jul")</f>
        <v>3599.68405588167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SUMIFS(Media_Cliente_Mes!$C$2:$C$145,Media_Cliente_Mes!$A$2:$A$145,"Caramuru",Media_Cliente_Mes!$B$2:$B$145,"Ago")</f>
        <v>77775.89</v>
      </c>
      <c r="C12" s="10" t="n">
        <f aca="false">IF((SUMIFS(Media_Cliente_Mes!$C$2:$C$145,Media_Cliente_Mes!$A$2:$A$145,"Caramuru",Media_Cliente_Mes!$B$2:$B$145,"Ago"))=0,"-",IFERROR(SUMIFS(Media_Cliente_Mes!$D$2:$D$145,Media_Cliente_Mes!$A$2:$A$145,"Caramuru",Media_Cliente_Mes!$B$2:$B$145,"Ago"),"-"))</f>
        <v>48.0554540770925</v>
      </c>
      <c r="D12" s="10" t="n">
        <f aca="false">IF((SUMIFS(Media_Cliente_Mes!$C$2:$C$145,Media_Cliente_Mes!$A$2:$A$145,"Caramuru",Media_Cliente_Mes!$B$2:$B$145,"Ago"))=0,"-",IFERROR(SUMIFS(Media_Cliente_Mes!$E$2:$E$145,Media_Cliente_Mes!$A$2:$A$145,"Caramuru",Media_Cliente_Mes!$B$2:$B$145,"Ago"),"-"))</f>
        <v>12.3959995803327</v>
      </c>
      <c r="E12" s="10" t="n">
        <f aca="false">IF((SUMIFS(Media_Cliente_Mes!$C$2:$C$145,Media_Cliente_Mes!$A$2:$A$145,"Caramuru",Media_Cliente_Mes!$B$2:$B$145,"Ago"))=0,"-",IFERROR(SUMIFS(Media_Cliente_Mes!$F$2:$F$145,Media_Cliente_Mes!$A$2:$A$145,"Caramuru",Media_Cliente_Mes!$B$2:$B$145,"Ago"),"-"))</f>
        <v>3.41285904667886</v>
      </c>
      <c r="F12" s="10" t="n">
        <f aca="false">IF((SUMIFS(Media_Cliente_Mes!$C$2:$C$145,Media_Cliente_Mes!$A$2:$A$145,"Caramuru",Media_Cliente_Mes!$B$2:$B$145,"Ago"))=0,"-",IFERROR(SUMIFS(Media_Cliente_Mes!$G$2:$G$145,Media_Cliente_Mes!$A$2:$A$145,"Caramuru",Media_Cliente_Mes!$B$2:$B$145,"Ago"),"-"))</f>
        <v>1.05339736774468</v>
      </c>
      <c r="G12" s="8" t="n">
        <f aca="false">SUMIFS(Media_Cliente_Mes!$H$2:$H$145,Media_Cliente_Mes!$A$2:$A$145,"Caramuru",Media_Cliente_Mes!$B$2:$B$145,"Ago")</f>
        <v>1976.25</v>
      </c>
      <c r="H12" s="8" t="n">
        <f aca="false">SUMIFS(Media_Cliente_Mes!$I$2:$I$145,Media_Cliente_Mes!$A$2:$A$145,"Caramuru",Media_Cliente_Mes!$B$2:$B$145,"Ago")</f>
        <v>75799.64</v>
      </c>
      <c r="I12" s="16" t="n">
        <f aca="false">SUMIFS(Resumo_Cliente_Mes!$G$2:$G$145,Resumo_Cliente_Mes!$A$2:$A$145,"Caramuru",Resumo_Cliente_Mes!$B$2:$B$145,"Ago")</f>
        <v>212131.748418641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SUMIFS(Media_Cliente_Mes!$C$2:$C$145,Media_Cliente_Mes!$A$2:$A$145,"Caramuru",Media_Cliente_Mes!$B$2:$B$145,"Set")</f>
        <v>4163.45</v>
      </c>
      <c r="C13" s="10" t="n">
        <f aca="false">IF((SUMIFS(Media_Cliente_Mes!$C$2:$C$145,Media_Cliente_Mes!$A$2:$A$145,"Caramuru",Media_Cliente_Mes!$B$2:$B$145,"Set"))=0,"-",IFERROR(SUMIFS(Media_Cliente_Mes!$D$2:$D$145,Media_Cliente_Mes!$A$2:$A$145,"Caramuru",Media_Cliente_Mes!$B$2:$B$145,"Set"),"-"))</f>
        <v>47.91</v>
      </c>
      <c r="D13" s="10" t="n">
        <f aca="false">IF((SUMIFS(Media_Cliente_Mes!$C$2:$C$145,Media_Cliente_Mes!$A$2:$A$145,"Caramuru",Media_Cliente_Mes!$B$2:$B$145,"Set"))=0,"-",IFERROR(SUMIFS(Media_Cliente_Mes!$E$2:$E$145,Media_Cliente_Mes!$A$2:$A$145,"Caramuru",Media_Cliente_Mes!$B$2:$B$145,"Set"),"-"))</f>
        <v>12.62</v>
      </c>
      <c r="E13" s="10" t="n">
        <f aca="false">IF((SUMIFS(Media_Cliente_Mes!$C$2:$C$145,Media_Cliente_Mes!$A$2:$A$145,"Caramuru",Media_Cliente_Mes!$B$2:$B$145,"Set"))=0,"-",IFERROR(SUMIFS(Media_Cliente_Mes!$F$2:$F$145,Media_Cliente_Mes!$A$2:$A$145,"Caramuru",Media_Cliente_Mes!$B$2:$B$145,"Set"),"-"))</f>
        <v>3.56</v>
      </c>
      <c r="F13" s="10" t="n">
        <f aca="false">IF((SUMIFS(Media_Cliente_Mes!$C$2:$C$145,Media_Cliente_Mes!$A$2:$A$145,"Caramuru",Media_Cliente_Mes!$B$2:$B$145,"Set"))=0,"-",IFERROR(SUMIFS(Media_Cliente_Mes!$G$2:$G$145,Media_Cliente_Mes!$A$2:$A$145,"Caramuru",Media_Cliente_Mes!$B$2:$B$145,"Set"),"-"))</f>
        <v>1.42</v>
      </c>
      <c r="G13" s="8" t="n">
        <f aca="false">SUMIFS(Media_Cliente_Mes!$H$2:$H$145,Media_Cliente_Mes!$A$2:$A$145,"Caramuru",Media_Cliente_Mes!$B$2:$B$145,"Set")</f>
        <v>0</v>
      </c>
      <c r="H13" s="8" t="n">
        <f aca="false">SUMIFS(Media_Cliente_Mes!$I$2:$I$145,Media_Cliente_Mes!$A$2:$A$145,"Caramuru",Media_Cliente_Mes!$B$2:$B$145,"Set")</f>
        <v>4163.45</v>
      </c>
      <c r="I13" s="16" t="n">
        <f aca="false">SUMIFS(Resumo_Cliente_Mes!$G$2:$G$145,Resumo_Cliente_Mes!$A$2:$A$145,"Caramuru",Resumo_Cliente_Mes!$B$2:$B$145,"Set")</f>
        <v>3942.01160600322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SUMIFS(Media_Cliente_Mes!$C$2:$C$145,Media_Cliente_Mes!$A$2:$A$145,"Caramuru",Media_Cliente_Mes!$B$2:$B$145,"Out")</f>
        <v>0</v>
      </c>
      <c r="C14" s="10" t="str">
        <f aca="false">IF((SUMIFS(Media_Cliente_Mes!$C$2:$C$145,Media_Cliente_Mes!$A$2:$A$145,"Caramuru",Media_Cliente_Mes!$B$2:$B$145,"Out"))=0,"-",IFERROR(SUMIFS(Media_Cliente_Mes!$D$2:$D$145,Media_Cliente_Mes!$A$2:$A$145,"Caramuru",Media_Cliente_Mes!$B$2:$B$145,"Out"),"-"))</f>
        <v>-</v>
      </c>
      <c r="D14" s="10" t="str">
        <f aca="false">IF((SUMIFS(Media_Cliente_Mes!$C$2:$C$145,Media_Cliente_Mes!$A$2:$A$145,"Caramuru",Media_Cliente_Mes!$B$2:$B$145,"Out"))=0,"-",IFERROR(SUMIFS(Media_Cliente_Mes!$E$2:$E$145,Media_Cliente_Mes!$A$2:$A$145,"Caramuru",Media_Cliente_Mes!$B$2:$B$145,"Out"),"-"))</f>
        <v>-</v>
      </c>
      <c r="E14" s="10" t="str">
        <f aca="false">IF((SUMIFS(Media_Cliente_Mes!$C$2:$C$145,Media_Cliente_Mes!$A$2:$A$145,"Caramuru",Media_Cliente_Mes!$B$2:$B$145,"Out"))=0,"-",IFERROR(SUMIFS(Media_Cliente_Mes!$F$2:$F$145,Media_Cliente_Mes!$A$2:$A$145,"Caramuru",Media_Cliente_Mes!$B$2:$B$145,"Out"),"-"))</f>
        <v>-</v>
      </c>
      <c r="F14" s="10" t="str">
        <f aca="false">IF((SUMIFS(Media_Cliente_Mes!$C$2:$C$145,Media_Cliente_Mes!$A$2:$A$145,"Caramuru",Media_Cliente_Mes!$B$2:$B$145,"Out"))=0,"-",IFERROR(SUMIFS(Media_Cliente_Mes!$G$2:$G$145,Media_Cliente_Mes!$A$2:$A$145,"Caramuru",Media_Cliente_Mes!$B$2:$B$145,"Out"),"-"))</f>
        <v>-</v>
      </c>
      <c r="G14" s="8" t="n">
        <f aca="false">SUMIFS(Media_Cliente_Mes!$H$2:$H$145,Media_Cliente_Mes!$A$2:$A$145,"Caramuru",Media_Cliente_Mes!$B$2:$B$145,"Out")</f>
        <v>0</v>
      </c>
      <c r="H14" s="8" t="n">
        <f aca="false">SUMIFS(Media_Cliente_Mes!$I$2:$I$145,Media_Cliente_Mes!$A$2:$A$145,"Caramuru",Media_Cliente_Mes!$B$2:$B$145,"Out")</f>
        <v>0</v>
      </c>
      <c r="I14" s="16" t="n">
        <f aca="false">SUMIFS(Resumo_Cliente_Mes!$G$2:$G$145,Resumo_Cliente_Mes!$A$2:$A$145,"Caramuru",Resumo_Cliente_Mes!$B$2:$B$145,"Out")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SUMIFS(Media_Cliente_Mes!$C$2:$C$145,Media_Cliente_Mes!$A$2:$A$145,"Caramuru",Media_Cliente_Mes!$B$2:$B$145,"Nov")</f>
        <v>0</v>
      </c>
      <c r="C15" s="10" t="str">
        <f aca="false">IF((SUMIFS(Media_Cliente_Mes!$C$2:$C$145,Media_Cliente_Mes!$A$2:$A$145,"Caramuru",Media_Cliente_Mes!$B$2:$B$145,"Nov"))=0,"-",IFERROR(SUMIFS(Media_Cliente_Mes!$D$2:$D$145,Media_Cliente_Mes!$A$2:$A$145,"Caramuru",Media_Cliente_Mes!$B$2:$B$145,"Nov"),"-"))</f>
        <v>-</v>
      </c>
      <c r="D15" s="10" t="str">
        <f aca="false">IF((SUMIFS(Media_Cliente_Mes!$C$2:$C$145,Media_Cliente_Mes!$A$2:$A$145,"Caramuru",Media_Cliente_Mes!$B$2:$B$145,"Nov"))=0,"-",IFERROR(SUMIFS(Media_Cliente_Mes!$E$2:$E$145,Media_Cliente_Mes!$A$2:$A$145,"Caramuru",Media_Cliente_Mes!$B$2:$B$145,"Nov"),"-"))</f>
        <v>-</v>
      </c>
      <c r="E15" s="10" t="str">
        <f aca="false">IF((SUMIFS(Media_Cliente_Mes!$C$2:$C$145,Media_Cliente_Mes!$A$2:$A$145,"Caramuru",Media_Cliente_Mes!$B$2:$B$145,"Nov"))=0,"-",IFERROR(SUMIFS(Media_Cliente_Mes!$F$2:$F$145,Media_Cliente_Mes!$A$2:$A$145,"Caramuru",Media_Cliente_Mes!$B$2:$B$145,"Nov"),"-"))</f>
        <v>-</v>
      </c>
      <c r="F15" s="10" t="str">
        <f aca="false">IF((SUMIFS(Media_Cliente_Mes!$C$2:$C$145,Media_Cliente_Mes!$A$2:$A$145,"Caramuru",Media_Cliente_Mes!$B$2:$B$145,"Nov"))=0,"-",IFERROR(SUMIFS(Media_Cliente_Mes!$G$2:$G$145,Media_Cliente_Mes!$A$2:$A$145,"Caramuru",Media_Cliente_Mes!$B$2:$B$145,"Nov"),"-"))</f>
        <v>-</v>
      </c>
      <c r="G15" s="8" t="n">
        <f aca="false">SUMIFS(Media_Cliente_Mes!$H$2:$H$145,Media_Cliente_Mes!$A$2:$A$145,"Caramuru",Media_Cliente_Mes!$B$2:$B$145,"Nov")</f>
        <v>0</v>
      </c>
      <c r="H15" s="8" t="n">
        <f aca="false">SUMIFS(Media_Cliente_Mes!$I$2:$I$145,Media_Cliente_Mes!$A$2:$A$145,"Caramuru",Media_Cliente_Mes!$B$2:$B$145,"Nov")</f>
        <v>0</v>
      </c>
      <c r="I15" s="16" t="n">
        <f aca="false">SUMIFS(Resumo_Cliente_Mes!$G$2:$G$145,Resumo_Cliente_Mes!$A$2:$A$145,"Caramuru",Resumo_Cliente_Mes!$B$2:$B$145,"Nov")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SUMIFS(Media_Cliente_Mes!$C$2:$C$145,Media_Cliente_Mes!$A$2:$A$145,"Caramuru",Media_Cliente_Mes!$B$2:$B$145,"Dez")</f>
        <v>0</v>
      </c>
      <c r="C16" s="10" t="str">
        <f aca="false">IF((SUMIFS(Media_Cliente_Mes!$C$2:$C$145,Media_Cliente_Mes!$A$2:$A$145,"Caramuru",Media_Cliente_Mes!$B$2:$B$145,"Dez"))=0,"-",IFERROR(SUMIFS(Media_Cliente_Mes!$D$2:$D$145,Media_Cliente_Mes!$A$2:$A$145,"Caramuru",Media_Cliente_Mes!$B$2:$B$145,"Dez"),"-"))</f>
        <v>-</v>
      </c>
      <c r="D16" s="10" t="str">
        <f aca="false">IF((SUMIFS(Media_Cliente_Mes!$C$2:$C$145,Media_Cliente_Mes!$A$2:$A$145,"Caramuru",Media_Cliente_Mes!$B$2:$B$145,"Dez"))=0,"-",IFERROR(SUMIFS(Media_Cliente_Mes!$E$2:$E$145,Media_Cliente_Mes!$A$2:$A$145,"Caramuru",Media_Cliente_Mes!$B$2:$B$145,"Dez"),"-"))</f>
        <v>-</v>
      </c>
      <c r="E16" s="10" t="str">
        <f aca="false">IF((SUMIFS(Media_Cliente_Mes!$C$2:$C$145,Media_Cliente_Mes!$A$2:$A$145,"Caramuru",Media_Cliente_Mes!$B$2:$B$145,"Dez"))=0,"-",IFERROR(SUMIFS(Media_Cliente_Mes!$F$2:$F$145,Media_Cliente_Mes!$A$2:$A$145,"Caramuru",Media_Cliente_Mes!$B$2:$B$145,"Dez"),"-"))</f>
        <v>-</v>
      </c>
      <c r="F16" s="10" t="str">
        <f aca="false">IF((SUMIFS(Media_Cliente_Mes!$C$2:$C$145,Media_Cliente_Mes!$A$2:$A$145,"Caramuru",Media_Cliente_Mes!$B$2:$B$145,"Dez"))=0,"-",IFERROR(SUMIFS(Media_Cliente_Mes!$G$2:$G$145,Media_Cliente_Mes!$A$2:$A$145,"Caramuru",Media_Cliente_Mes!$B$2:$B$145,"Dez"),"-"))</f>
        <v>-</v>
      </c>
      <c r="G16" s="8" t="n">
        <f aca="false">SUMIFS(Media_Cliente_Mes!$H$2:$H$145,Media_Cliente_Mes!$A$2:$A$145,"Caramuru",Media_Cliente_Mes!$B$2:$B$145,"Dez")</f>
        <v>0</v>
      </c>
      <c r="H16" s="8" t="n">
        <f aca="false">SUMIFS(Media_Cliente_Mes!$I$2:$I$145,Media_Cliente_Mes!$A$2:$A$145,"Caramuru",Media_Cliente_Mes!$B$2:$B$145,"Dez")</f>
        <v>0</v>
      </c>
      <c r="I16" s="16" t="n">
        <f aca="false">SUMIFS(Resumo_Cliente_Mes!$G$2:$G$145,Resumo_Cliente_Mes!$A$2:$A$145,"Caramuru",Resumo_Cliente_Mes!$B$2:$B$145,"Dez")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302847.617</v>
      </c>
      <c r="C17" s="23" t="n">
        <f aca="false">IFERROR(SUMPRODUCT((B5:B16)*IF(ISNUMBER(C5:C16),C5:C16,0))/B17,"-")</f>
        <v>47.7877250640542</v>
      </c>
      <c r="D17" s="23" t="n">
        <f aca="false">IFERROR(SUMPRODUCT((B5:B16)*IF(ISNUMBER(D5:D16),D5:D16,0))/B17,"-")</f>
        <v>12.7768943940213</v>
      </c>
      <c r="E17" s="23" t="n">
        <f aca="false">IFERROR(SUMPRODUCT((B5:B16)*IF(ISNUMBER(E5:E16),E5:E16,0))/B17,"-")</f>
        <v>3.50266149223159</v>
      </c>
      <c r="F17" s="23" t="n">
        <f aca="false">IFERROR(SUMPRODUCT((B5:B16)*IF(ISNUMBER(F5:F16),F5:F16,0))/B17,"-")</f>
        <v>1.18035687482395</v>
      </c>
      <c r="G17" s="22" t="n">
        <f aca="false">SUM(G5:G16)</f>
        <v>23972.56</v>
      </c>
      <c r="H17" s="22" t="n">
        <f aca="false">SUM(H5:H16)</f>
        <v>278875.057</v>
      </c>
      <c r="I17" s="24" t="n">
        <f aca="false">SUM(I5:I16)</f>
        <v>53031.3045945625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42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SUMIFS(Media_Cliente_Mes!$C$2:$C$145,Media_Cliente_Mes!$A$2:$A$145,"Cargill",Media_Cliente_Mes!$B$2:$B$145,"Jan")</f>
        <v>26334.33</v>
      </c>
      <c r="C5" s="10" t="n">
        <f aca="false">IF((SUMIFS(Media_Cliente_Mes!$C$2:$C$145,Media_Cliente_Mes!$A$2:$A$145,"Cargill",Media_Cliente_Mes!$B$2:$B$145,"Jan"))=0,"-",IFERROR(SUMIFS(Media_Cliente_Mes!$D$2:$D$145,Media_Cliente_Mes!$A$2:$A$145,"Cargill",Media_Cliente_Mes!$B$2:$B$145,"Jan"),"-"))</f>
        <v>47.805871594227</v>
      </c>
      <c r="D5" s="10" t="n">
        <f aca="false">IF((SUMIFS(Media_Cliente_Mes!$C$2:$C$145,Media_Cliente_Mes!$A$2:$A$145,"Cargill",Media_Cliente_Mes!$B$2:$B$145,"Jan"))=0,"-",IFERROR(SUMIFS(Media_Cliente_Mes!$E$2:$E$145,Media_Cliente_Mes!$A$2:$A$145,"Cargill",Media_Cliente_Mes!$B$2:$B$145,"Jan"),"-"))</f>
        <v>12.1108984280215</v>
      </c>
      <c r="E5" s="10" t="n">
        <f aca="false">IF((SUMIFS(Media_Cliente_Mes!$C$2:$C$145,Media_Cliente_Mes!$A$2:$A$145,"Cargill",Media_Cliente_Mes!$B$2:$B$145,"Jan"))=0,"-",IFERROR(SUMIFS(Media_Cliente_Mes!$F$2:$F$145,Media_Cliente_Mes!$A$2:$A$145,"Cargill",Media_Cliente_Mes!$B$2:$B$145,"Jan"),"-"))</f>
        <v>3.59836961487154</v>
      </c>
      <c r="F5" s="10" t="n">
        <f aca="false">IF((SUMIFS(Media_Cliente_Mes!$C$2:$C$145,Media_Cliente_Mes!$A$2:$A$145,"Cargill",Media_Cliente_Mes!$B$2:$B$145,"Jan"))=0,"-",IFERROR(SUMIFS(Media_Cliente_Mes!$G$2:$G$145,Media_Cliente_Mes!$A$2:$A$145,"Cargill",Media_Cliente_Mes!$B$2:$B$145,"Jan"),"-"))</f>
        <v>1.74676691603698</v>
      </c>
      <c r="G5" s="8" t="n">
        <f aca="false">SUMIFS(Media_Cliente_Mes!$H$2:$H$145,Media_Cliente_Mes!$A$2:$A$145,"Cargill",Media_Cliente_Mes!$B$2:$B$145,"Jan")</f>
        <v>25284.64</v>
      </c>
      <c r="H5" s="8" t="n">
        <f aca="false">SUMIFS(Media_Cliente_Mes!$I$2:$I$145,Media_Cliente_Mes!$A$2:$A$145,"Cargill",Media_Cliente_Mes!$B$2:$B$145,"Jan")</f>
        <v>1049.69</v>
      </c>
      <c r="I5" s="16" t="n">
        <f aca="false">SUMIFS(Resumo_Cliente_Mes!$G$2:$G$145,Resumo_Cliente_Mes!$A$2:$A$145,"Cargill",Resumo_Cliente_Mes!$B$2:$B$145,"Jan")</f>
        <v>-9190.21631693208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SUMIFS(Media_Cliente_Mes!$C$2:$C$145,Media_Cliente_Mes!$A$2:$A$145,"Cargill",Media_Cliente_Mes!$B$2:$B$145,"Fev")</f>
        <v>62578.1</v>
      </c>
      <c r="C6" s="10" t="n">
        <f aca="false">IF((SUMIFS(Media_Cliente_Mes!$C$2:$C$145,Media_Cliente_Mes!$A$2:$A$145,"Cargill",Media_Cliente_Mes!$B$2:$B$145,"Fev"))=0,"-",IFERROR(SUMIFS(Media_Cliente_Mes!$D$2:$D$145,Media_Cliente_Mes!$A$2:$A$145,"Cargill",Media_Cliente_Mes!$B$2:$B$145,"Fev"),"-"))</f>
        <v>46.9693151837464</v>
      </c>
      <c r="D6" s="10" t="n">
        <f aca="false">IF((SUMIFS(Media_Cliente_Mes!$C$2:$C$145,Media_Cliente_Mes!$A$2:$A$145,"Cargill",Media_Cliente_Mes!$B$2:$B$145,"Fev"))=0,"-",IFERROR(SUMIFS(Media_Cliente_Mes!$E$2:$E$145,Media_Cliente_Mes!$A$2:$A$145,"Cargill",Media_Cliente_Mes!$B$2:$B$145,"Fev"),"-"))</f>
        <v>12.3393796839469</v>
      </c>
      <c r="E6" s="10" t="n">
        <f aca="false">IF((SUMIFS(Media_Cliente_Mes!$C$2:$C$145,Media_Cliente_Mes!$A$2:$A$145,"Cargill",Media_Cliente_Mes!$B$2:$B$145,"Fev"))=0,"-",IFERROR(SUMIFS(Media_Cliente_Mes!$F$2:$F$145,Media_Cliente_Mes!$A$2:$A$145,"Cargill",Media_Cliente_Mes!$B$2:$B$145,"Fev"),"-"))</f>
        <v>3.7083901652495</v>
      </c>
      <c r="F6" s="10" t="n">
        <f aca="false">IF((SUMIFS(Media_Cliente_Mes!$C$2:$C$145,Media_Cliente_Mes!$A$2:$A$145,"Cargill",Media_Cliente_Mes!$B$2:$B$145,"Fev"))=0,"-",IFERROR(SUMIFS(Media_Cliente_Mes!$G$2:$G$145,Media_Cliente_Mes!$A$2:$A$145,"Cargill",Media_Cliente_Mes!$B$2:$B$145,"Fev"),"-"))</f>
        <v>1.73184073981153</v>
      </c>
      <c r="G6" s="8" t="n">
        <f aca="false">SUMIFS(Media_Cliente_Mes!$H$2:$H$145,Media_Cliente_Mes!$A$2:$A$145,"Cargill",Media_Cliente_Mes!$B$2:$B$145,"Fev")</f>
        <v>11853.83</v>
      </c>
      <c r="H6" s="8" t="n">
        <f aca="false">SUMIFS(Media_Cliente_Mes!$I$2:$I$145,Media_Cliente_Mes!$A$2:$A$145,"Cargill",Media_Cliente_Mes!$B$2:$B$145,"Fev")</f>
        <v>50724.27</v>
      </c>
      <c r="I6" s="16" t="n">
        <f aca="false">SUMIFS(Resumo_Cliente_Mes!$G$2:$G$145,Resumo_Cliente_Mes!$A$2:$A$145,"Cargill",Resumo_Cliente_Mes!$B$2:$B$145,"Fev")</f>
        <v>-118597.103175564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SUMIFS(Media_Cliente_Mes!$C$2:$C$145,Media_Cliente_Mes!$A$2:$A$145,"Cargill",Media_Cliente_Mes!$B$2:$B$145,"Mar")</f>
        <v>60137.37</v>
      </c>
      <c r="C7" s="10" t="n">
        <f aca="false">IF((SUMIFS(Media_Cliente_Mes!$C$2:$C$145,Media_Cliente_Mes!$A$2:$A$145,"Cargill",Media_Cliente_Mes!$B$2:$B$145,"Mar"))=0,"-",IFERROR(SUMIFS(Media_Cliente_Mes!$D$2:$D$145,Media_Cliente_Mes!$A$2:$A$145,"Cargill",Media_Cliente_Mes!$B$2:$B$145,"Mar"),"-"))</f>
        <v>47.2270532748605</v>
      </c>
      <c r="D7" s="10" t="n">
        <f aca="false">IF((SUMIFS(Media_Cliente_Mes!$C$2:$C$145,Media_Cliente_Mes!$A$2:$A$145,"Cargill",Media_Cliente_Mes!$B$2:$B$145,"Mar"))=0,"-",IFERROR(SUMIFS(Media_Cliente_Mes!$E$2:$E$145,Media_Cliente_Mes!$A$2:$A$145,"Cargill",Media_Cliente_Mes!$B$2:$B$145,"Mar"),"-"))</f>
        <v>12.1412336754999</v>
      </c>
      <c r="E7" s="10" t="n">
        <f aca="false">IF((SUMIFS(Media_Cliente_Mes!$C$2:$C$145,Media_Cliente_Mes!$A$2:$A$145,"Cargill",Media_Cliente_Mes!$B$2:$B$145,"Mar"))=0,"-",IFERROR(SUMIFS(Media_Cliente_Mes!$F$2:$F$145,Media_Cliente_Mes!$A$2:$A$145,"Cargill",Media_Cliente_Mes!$B$2:$B$145,"Mar"),"-"))</f>
        <v>3.73296846037663</v>
      </c>
      <c r="F7" s="10" t="n">
        <f aca="false">IF((SUMIFS(Media_Cliente_Mes!$C$2:$C$145,Media_Cliente_Mes!$A$2:$A$145,"Cargill",Media_Cliente_Mes!$B$2:$B$145,"Mar"))=0,"-",IFERROR(SUMIFS(Media_Cliente_Mes!$G$2:$G$145,Media_Cliente_Mes!$A$2:$A$145,"Cargill",Media_Cliente_Mes!$B$2:$B$145,"Mar"),"-"))</f>
        <v>1.52968446741186</v>
      </c>
      <c r="G7" s="8" t="n">
        <f aca="false">SUMIFS(Media_Cliente_Mes!$H$2:$H$145,Media_Cliente_Mes!$A$2:$A$145,"Cargill",Media_Cliente_Mes!$B$2:$B$145,"Mar")</f>
        <v>22201.52</v>
      </c>
      <c r="H7" s="8" t="n">
        <f aca="false">SUMIFS(Media_Cliente_Mes!$I$2:$I$145,Media_Cliente_Mes!$A$2:$A$145,"Cargill",Media_Cliente_Mes!$B$2:$B$145,"Mar")</f>
        <v>37935.85</v>
      </c>
      <c r="I7" s="16" t="n">
        <f aca="false">SUMIFS(Resumo_Cliente_Mes!$G$2:$G$145,Resumo_Cliente_Mes!$A$2:$A$145,"Cargill",Resumo_Cliente_Mes!$B$2:$B$145,"Mar")</f>
        <v>-32115.3249398819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SUMIFS(Media_Cliente_Mes!$C$2:$C$145,Media_Cliente_Mes!$A$2:$A$145,"Cargill",Media_Cliente_Mes!$B$2:$B$145,"Abr")</f>
        <v>53714.89</v>
      </c>
      <c r="C8" s="10" t="n">
        <f aca="false">IF((SUMIFS(Media_Cliente_Mes!$C$2:$C$145,Media_Cliente_Mes!$A$2:$A$145,"Cargill",Media_Cliente_Mes!$B$2:$B$145,"Abr"))=0,"-",IFERROR(SUMIFS(Media_Cliente_Mes!$D$2:$D$145,Media_Cliente_Mes!$A$2:$A$145,"Cargill",Media_Cliente_Mes!$B$2:$B$145,"Abr"),"-"))</f>
        <v>47.5865365357725</v>
      </c>
      <c r="D8" s="10" t="n">
        <f aca="false">IF((SUMIFS(Media_Cliente_Mes!$C$2:$C$145,Media_Cliente_Mes!$A$2:$A$145,"Cargill",Media_Cliente_Mes!$B$2:$B$145,"Abr"))=0,"-",IFERROR(SUMIFS(Media_Cliente_Mes!$E$2:$E$145,Media_Cliente_Mes!$A$2:$A$145,"Cargill",Media_Cliente_Mes!$B$2:$B$145,"Abr"),"-"))</f>
        <v>12.2551331185822</v>
      </c>
      <c r="E8" s="10" t="n">
        <f aca="false">IF((SUMIFS(Media_Cliente_Mes!$C$2:$C$145,Media_Cliente_Mes!$A$2:$A$145,"Cargill",Media_Cliente_Mes!$B$2:$B$145,"Abr"))=0,"-",IFERROR(SUMIFS(Media_Cliente_Mes!$F$2:$F$145,Media_Cliente_Mes!$A$2:$A$145,"Cargill",Media_Cliente_Mes!$B$2:$B$145,"Abr"),"-"))</f>
        <v>3.65791646785463</v>
      </c>
      <c r="F8" s="10" t="n">
        <f aca="false">IF((SUMIFS(Media_Cliente_Mes!$C$2:$C$145,Media_Cliente_Mes!$A$2:$A$145,"Cargill",Media_Cliente_Mes!$B$2:$B$145,"Abr"))=0,"-",IFERROR(SUMIFS(Media_Cliente_Mes!$G$2:$G$145,Media_Cliente_Mes!$A$2:$A$145,"Cargill",Media_Cliente_Mes!$B$2:$B$145,"Abr"),"-"))</f>
        <v>1.70305808314976</v>
      </c>
      <c r="G8" s="8" t="n">
        <f aca="false">SUMIFS(Media_Cliente_Mes!$H$2:$H$145,Media_Cliente_Mes!$A$2:$A$145,"Cargill",Media_Cliente_Mes!$B$2:$B$145,"Abr")</f>
        <v>31236.13</v>
      </c>
      <c r="H8" s="8" t="n">
        <f aca="false">SUMIFS(Media_Cliente_Mes!$I$2:$I$145,Media_Cliente_Mes!$A$2:$A$145,"Cargill",Media_Cliente_Mes!$B$2:$B$145,"Abr")</f>
        <v>22478.76</v>
      </c>
      <c r="I8" s="16" t="n">
        <f aca="false">SUMIFS(Resumo_Cliente_Mes!$G$2:$G$145,Resumo_Cliente_Mes!$A$2:$A$145,"Cargill",Resumo_Cliente_Mes!$B$2:$B$145,"Abr")</f>
        <v>53275.5912855174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SUMIFS(Media_Cliente_Mes!$C$2:$C$145,Media_Cliente_Mes!$A$2:$A$145,"Cargill",Media_Cliente_Mes!$B$2:$B$145,"Mai")</f>
        <v>53120.9</v>
      </c>
      <c r="C9" s="10" t="n">
        <f aca="false">IF((SUMIFS(Media_Cliente_Mes!$C$2:$C$145,Media_Cliente_Mes!$A$2:$A$145,"Cargill",Media_Cliente_Mes!$B$2:$B$145,"Mai"))=0,"-",IFERROR(SUMIFS(Media_Cliente_Mes!$D$2:$D$145,Media_Cliente_Mes!$A$2:$A$145,"Cargill",Media_Cliente_Mes!$B$2:$B$145,"Mai"),"-"))</f>
        <v>47.4496849168595</v>
      </c>
      <c r="D9" s="10" t="n">
        <f aca="false">IF((SUMIFS(Media_Cliente_Mes!$C$2:$C$145,Media_Cliente_Mes!$A$2:$A$145,"Cargill",Media_Cliente_Mes!$B$2:$B$145,"Mai"))=0,"-",IFERROR(SUMIFS(Media_Cliente_Mes!$E$2:$E$145,Media_Cliente_Mes!$A$2:$A$145,"Cargill",Media_Cliente_Mes!$B$2:$B$145,"Mai"),"-"))</f>
        <v>12.3561943848843</v>
      </c>
      <c r="E9" s="10" t="n">
        <f aca="false">IF((SUMIFS(Media_Cliente_Mes!$C$2:$C$145,Media_Cliente_Mes!$A$2:$A$145,"Cargill",Media_Cliente_Mes!$B$2:$B$145,"Mai"))=0,"-",IFERROR(SUMIFS(Media_Cliente_Mes!$F$2:$F$145,Media_Cliente_Mes!$A$2:$A$145,"Cargill",Media_Cliente_Mes!$B$2:$B$145,"Mai"),"-"))</f>
        <v>3.69318510040304</v>
      </c>
      <c r="F9" s="10" t="n">
        <f aca="false">IF((SUMIFS(Media_Cliente_Mes!$C$2:$C$145,Media_Cliente_Mes!$A$2:$A$145,"Cargill",Media_Cliente_Mes!$B$2:$B$145,"Mai"))=0,"-",IFERROR(SUMIFS(Media_Cliente_Mes!$G$2:$G$145,Media_Cliente_Mes!$A$2:$A$145,"Cargill",Media_Cliente_Mes!$B$2:$B$145,"Mai"),"-"))</f>
        <v>1.56632251900853</v>
      </c>
      <c r="G9" s="8" t="n">
        <f aca="false">SUMIFS(Media_Cliente_Mes!$H$2:$H$145,Media_Cliente_Mes!$A$2:$A$145,"Cargill",Media_Cliente_Mes!$B$2:$B$145,"Mai")</f>
        <v>28076.92</v>
      </c>
      <c r="H9" s="8" t="n">
        <f aca="false">SUMIFS(Media_Cliente_Mes!$I$2:$I$145,Media_Cliente_Mes!$A$2:$A$145,"Cargill",Media_Cliente_Mes!$B$2:$B$145,"Mai")</f>
        <v>25043.98</v>
      </c>
      <c r="I9" s="16" t="n">
        <f aca="false">SUMIFS(Resumo_Cliente_Mes!$G$2:$G$145,Resumo_Cliente_Mes!$A$2:$A$145,"Cargill",Resumo_Cliente_Mes!$B$2:$B$145,"Mai")</f>
        <v>-37470.553505332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SUMIFS(Media_Cliente_Mes!$C$2:$C$145,Media_Cliente_Mes!$A$2:$A$145,"Cargill",Media_Cliente_Mes!$B$2:$B$145,"Jun")</f>
        <v>40336.83</v>
      </c>
      <c r="C10" s="10" t="n">
        <f aca="false">IF((SUMIFS(Media_Cliente_Mes!$C$2:$C$145,Media_Cliente_Mes!$A$2:$A$145,"Cargill",Media_Cliente_Mes!$B$2:$B$145,"Jun"))=0,"-",IFERROR(SUMIFS(Media_Cliente_Mes!$D$2:$D$145,Media_Cliente_Mes!$A$2:$A$145,"Cargill",Media_Cliente_Mes!$B$2:$B$145,"Jun"),"-"))</f>
        <v>47.4440278425449</v>
      </c>
      <c r="D10" s="10" t="n">
        <f aca="false">IF((SUMIFS(Media_Cliente_Mes!$C$2:$C$145,Media_Cliente_Mes!$A$2:$A$145,"Cargill",Media_Cliente_Mes!$B$2:$B$145,"Jun"))=0,"-",IFERROR(SUMIFS(Media_Cliente_Mes!$E$2:$E$145,Media_Cliente_Mes!$A$2:$A$145,"Cargill",Media_Cliente_Mes!$B$2:$B$145,"Jun"),"-"))</f>
        <v>12.7524888247292</v>
      </c>
      <c r="E10" s="10" t="n">
        <f aca="false">IF((SUMIFS(Media_Cliente_Mes!$C$2:$C$145,Media_Cliente_Mes!$A$2:$A$145,"Cargill",Media_Cliente_Mes!$B$2:$B$145,"Jun"))=0,"-",IFERROR(SUMIFS(Media_Cliente_Mes!$F$2:$F$145,Media_Cliente_Mes!$A$2:$A$145,"Cargill",Media_Cliente_Mes!$B$2:$B$145,"Jun"),"-"))</f>
        <v>3.76910687081756</v>
      </c>
      <c r="F10" s="10" t="n">
        <f aca="false">IF((SUMIFS(Media_Cliente_Mes!$C$2:$C$145,Media_Cliente_Mes!$A$2:$A$145,"Cargill",Media_Cliente_Mes!$B$2:$B$145,"Jun"))=0,"-",IFERROR(SUMIFS(Media_Cliente_Mes!$G$2:$G$145,Media_Cliente_Mes!$A$2:$A$145,"Cargill",Media_Cliente_Mes!$B$2:$B$145,"Jun"),"-"))</f>
        <v>1.66082917274362</v>
      </c>
      <c r="G10" s="8" t="n">
        <f aca="false">SUMIFS(Media_Cliente_Mes!$H$2:$H$145,Media_Cliente_Mes!$A$2:$A$145,"Cargill",Media_Cliente_Mes!$B$2:$B$145,"Jun")</f>
        <v>28267.56</v>
      </c>
      <c r="H10" s="8" t="n">
        <f aca="false">SUMIFS(Media_Cliente_Mes!$I$2:$I$145,Media_Cliente_Mes!$A$2:$A$145,"Cargill",Media_Cliente_Mes!$B$2:$B$145,"Jun")</f>
        <v>12069.27</v>
      </c>
      <c r="I10" s="16" t="n">
        <f aca="false">SUMIFS(Resumo_Cliente_Mes!$G$2:$G$145,Resumo_Cliente_Mes!$A$2:$A$145,"Cargill",Resumo_Cliente_Mes!$B$2:$B$145,"Jun")</f>
        <v>-27872.3268292611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SUMIFS(Media_Cliente_Mes!$C$2:$C$145,Media_Cliente_Mes!$A$2:$A$145,"Cargill",Media_Cliente_Mes!$B$2:$B$145,"Jul")</f>
        <v>5705.09</v>
      </c>
      <c r="C11" s="10" t="n">
        <f aca="false">IF((SUMIFS(Media_Cliente_Mes!$C$2:$C$145,Media_Cliente_Mes!$A$2:$A$145,"Cargill",Media_Cliente_Mes!$B$2:$B$145,"Jul"))=0,"-",IFERROR(SUMIFS(Media_Cliente_Mes!$D$2:$D$145,Media_Cliente_Mes!$A$2:$A$145,"Cargill",Media_Cliente_Mes!$B$2:$B$145,"Jul"),"-"))</f>
        <v>47.0914792755241</v>
      </c>
      <c r="D11" s="10" t="n">
        <f aca="false">IF((SUMIFS(Media_Cliente_Mes!$C$2:$C$145,Media_Cliente_Mes!$A$2:$A$145,"Cargill",Media_Cliente_Mes!$B$2:$B$145,"Jul"))=0,"-",IFERROR(SUMIFS(Media_Cliente_Mes!$E$2:$E$145,Media_Cliente_Mes!$A$2:$A$145,"Cargill",Media_Cliente_Mes!$B$2:$B$145,"Jul"),"-"))</f>
        <v>12.7232038057244</v>
      </c>
      <c r="E11" s="10" t="n">
        <f aca="false">IF((SUMIFS(Media_Cliente_Mes!$C$2:$C$145,Media_Cliente_Mes!$A$2:$A$145,"Cargill",Media_Cliente_Mes!$B$2:$B$145,"Jul"))=0,"-",IFERROR(SUMIFS(Media_Cliente_Mes!$F$2:$F$145,Media_Cliente_Mes!$A$2:$A$145,"Cargill",Media_Cliente_Mes!$B$2:$B$145,"Jul"),"-"))</f>
        <v>3.89869810993341</v>
      </c>
      <c r="F11" s="10" t="n">
        <f aca="false">IF((SUMIFS(Media_Cliente_Mes!$C$2:$C$145,Media_Cliente_Mes!$A$2:$A$145,"Cargill",Media_Cliente_Mes!$B$2:$B$145,"Jul"))=0,"-",IFERROR(SUMIFS(Media_Cliente_Mes!$G$2:$G$145,Media_Cliente_Mes!$A$2:$A$145,"Cargill",Media_Cliente_Mes!$B$2:$B$145,"Jul"),"-"))</f>
        <v>1.82679156682892</v>
      </c>
      <c r="G11" s="8" t="n">
        <f aca="false">SUMIFS(Media_Cliente_Mes!$H$2:$H$145,Media_Cliente_Mes!$A$2:$A$145,"Cargill",Media_Cliente_Mes!$B$2:$B$145,"Jul")</f>
        <v>5705.09</v>
      </c>
      <c r="H11" s="8" t="n">
        <f aca="false">SUMIFS(Media_Cliente_Mes!$I$2:$I$145,Media_Cliente_Mes!$A$2:$A$145,"Cargill",Media_Cliente_Mes!$B$2:$B$145,"Jul")</f>
        <v>0</v>
      </c>
      <c r="I11" s="16" t="n">
        <f aca="false">SUMIFS(Resumo_Cliente_Mes!$G$2:$G$145,Resumo_Cliente_Mes!$A$2:$A$145,"Cargill",Resumo_Cliente_Mes!$B$2:$B$145,"Jul")</f>
        <v>-23461.0044176647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SUMIFS(Media_Cliente_Mes!$C$2:$C$145,Media_Cliente_Mes!$A$2:$A$145,"Cargill",Media_Cliente_Mes!$B$2:$B$145,"Ago")</f>
        <v>5005.2</v>
      </c>
      <c r="C12" s="10" t="n">
        <f aca="false">IF((SUMIFS(Media_Cliente_Mes!$C$2:$C$145,Media_Cliente_Mes!$A$2:$A$145,"Cargill",Media_Cliente_Mes!$B$2:$B$145,"Ago"))=0,"-",IFERROR(SUMIFS(Media_Cliente_Mes!$D$2:$D$145,Media_Cliente_Mes!$A$2:$A$145,"Cargill",Media_Cliente_Mes!$B$2:$B$145,"Ago"),"-"))</f>
        <v>47.1574070566611</v>
      </c>
      <c r="D12" s="10" t="n">
        <f aca="false">IF((SUMIFS(Media_Cliente_Mes!$C$2:$C$145,Media_Cliente_Mes!$A$2:$A$145,"Cargill",Media_Cliente_Mes!$B$2:$B$145,"Ago"))=0,"-",IFERROR(SUMIFS(Media_Cliente_Mes!$E$2:$E$145,Media_Cliente_Mes!$A$2:$A$145,"Cargill",Media_Cliente_Mes!$B$2:$B$145,"Ago"),"-"))</f>
        <v>12.3512501198753</v>
      </c>
      <c r="E12" s="10" t="n">
        <f aca="false">IF((SUMIFS(Media_Cliente_Mes!$C$2:$C$145,Media_Cliente_Mes!$A$2:$A$145,"Cargill",Media_Cliente_Mes!$B$2:$B$145,"Ago"))=0,"-",IFERROR(SUMIFS(Media_Cliente_Mes!$F$2:$F$145,Media_Cliente_Mes!$A$2:$A$145,"Cargill",Media_Cliente_Mes!$B$2:$B$145,"Ago"),"-"))</f>
        <v>3.92197017102214</v>
      </c>
      <c r="F12" s="10" t="n">
        <f aca="false">IF((SUMIFS(Media_Cliente_Mes!$C$2:$C$145,Media_Cliente_Mes!$A$2:$A$145,"Cargill",Media_Cliente_Mes!$B$2:$B$145,"Ago"))=0,"-",IFERROR(SUMIFS(Media_Cliente_Mes!$G$2:$G$145,Media_Cliente_Mes!$A$2:$A$145,"Cargill",Media_Cliente_Mes!$B$2:$B$145,"Ago"),"-"))</f>
        <v>1.34203666187165</v>
      </c>
      <c r="G12" s="8" t="n">
        <f aca="false">SUMIFS(Media_Cliente_Mes!$H$2:$H$145,Media_Cliente_Mes!$A$2:$A$145,"Cargill",Media_Cliente_Mes!$B$2:$B$145,"Ago")</f>
        <v>5005.2</v>
      </c>
      <c r="H12" s="8" t="n">
        <f aca="false">SUMIFS(Media_Cliente_Mes!$I$2:$I$145,Media_Cliente_Mes!$A$2:$A$145,"Cargill",Media_Cliente_Mes!$B$2:$B$145,"Ago")</f>
        <v>0</v>
      </c>
      <c r="I12" s="16" t="n">
        <f aca="false">SUMIFS(Resumo_Cliente_Mes!$G$2:$G$145,Resumo_Cliente_Mes!$A$2:$A$145,"Cargill",Resumo_Cliente_Mes!$B$2:$B$145,"Ago")</f>
        <v>-5411.81483993738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SUMIFS(Media_Cliente_Mes!$C$2:$C$145,Media_Cliente_Mes!$A$2:$A$145,"Cargill",Media_Cliente_Mes!$B$2:$B$145,"Set")</f>
        <v>229.82</v>
      </c>
      <c r="C13" s="10" t="n">
        <f aca="false">IF((SUMIFS(Media_Cliente_Mes!$C$2:$C$145,Media_Cliente_Mes!$A$2:$A$145,"Cargill",Media_Cliente_Mes!$B$2:$B$145,"Set"))=0,"-",IFERROR(SUMIFS(Media_Cliente_Mes!$D$2:$D$145,Media_Cliente_Mes!$A$2:$A$145,"Cargill",Media_Cliente_Mes!$B$2:$B$145,"Set"),"-"))</f>
        <v>47.26</v>
      </c>
      <c r="D13" s="10" t="n">
        <f aca="false">IF((SUMIFS(Media_Cliente_Mes!$C$2:$C$145,Media_Cliente_Mes!$A$2:$A$145,"Cargill",Media_Cliente_Mes!$B$2:$B$145,"Set"))=0,"-",IFERROR(SUMIFS(Media_Cliente_Mes!$E$2:$E$145,Media_Cliente_Mes!$A$2:$A$145,"Cargill",Media_Cliente_Mes!$B$2:$B$145,"Set"),"-"))</f>
        <v>11.78</v>
      </c>
      <c r="E13" s="10" t="n">
        <f aca="false">IF((SUMIFS(Media_Cliente_Mes!$C$2:$C$145,Media_Cliente_Mes!$A$2:$A$145,"Cargill",Media_Cliente_Mes!$B$2:$B$145,"Set"))=0,"-",IFERROR(SUMIFS(Media_Cliente_Mes!$F$2:$F$145,Media_Cliente_Mes!$A$2:$A$145,"Cargill",Media_Cliente_Mes!$B$2:$B$145,"Set"),"-"))</f>
        <v>3.87</v>
      </c>
      <c r="F13" s="10" t="n">
        <f aca="false">IF((SUMIFS(Media_Cliente_Mes!$C$2:$C$145,Media_Cliente_Mes!$A$2:$A$145,"Cargill",Media_Cliente_Mes!$B$2:$B$145,"Set"))=0,"-",IFERROR(SUMIFS(Media_Cliente_Mes!$G$2:$G$145,Media_Cliente_Mes!$A$2:$A$145,"Cargill",Media_Cliente_Mes!$B$2:$B$145,"Set"),"-"))</f>
        <v>1.65</v>
      </c>
      <c r="G13" s="8" t="n">
        <f aca="false">SUMIFS(Media_Cliente_Mes!$H$2:$H$145,Media_Cliente_Mes!$A$2:$A$145,"Cargill",Media_Cliente_Mes!$B$2:$B$145,"Set")</f>
        <v>229.82</v>
      </c>
      <c r="H13" s="8" t="n">
        <f aca="false">SUMIFS(Media_Cliente_Mes!$I$2:$I$145,Media_Cliente_Mes!$A$2:$A$145,"Cargill",Media_Cliente_Mes!$B$2:$B$145,"Set")</f>
        <v>0</v>
      </c>
      <c r="I13" s="16" t="n">
        <f aca="false">SUMIFS(Resumo_Cliente_Mes!$G$2:$G$145,Resumo_Cliente_Mes!$A$2:$A$145,"Cargill",Resumo_Cliente_Mes!$B$2:$B$145,"Set")</f>
        <v>-229.292550078863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SUMIFS(Media_Cliente_Mes!$C$2:$C$145,Media_Cliente_Mes!$A$2:$A$145,"Cargill",Media_Cliente_Mes!$B$2:$B$145,"Out")</f>
        <v>0</v>
      </c>
      <c r="C14" s="10" t="str">
        <f aca="false">IF((SUMIFS(Media_Cliente_Mes!$C$2:$C$145,Media_Cliente_Mes!$A$2:$A$145,"Cargill",Media_Cliente_Mes!$B$2:$B$145,"Out"))=0,"-",IFERROR(SUMIFS(Media_Cliente_Mes!$D$2:$D$145,Media_Cliente_Mes!$A$2:$A$145,"Cargill",Media_Cliente_Mes!$B$2:$B$145,"Out"),"-"))</f>
        <v>-</v>
      </c>
      <c r="D14" s="10" t="str">
        <f aca="false">IF((SUMIFS(Media_Cliente_Mes!$C$2:$C$145,Media_Cliente_Mes!$A$2:$A$145,"Cargill",Media_Cliente_Mes!$B$2:$B$145,"Out"))=0,"-",IFERROR(SUMIFS(Media_Cliente_Mes!$E$2:$E$145,Media_Cliente_Mes!$A$2:$A$145,"Cargill",Media_Cliente_Mes!$B$2:$B$145,"Out"),"-"))</f>
        <v>-</v>
      </c>
      <c r="E14" s="10" t="str">
        <f aca="false">IF((SUMIFS(Media_Cliente_Mes!$C$2:$C$145,Media_Cliente_Mes!$A$2:$A$145,"Cargill",Media_Cliente_Mes!$B$2:$B$145,"Out"))=0,"-",IFERROR(SUMIFS(Media_Cliente_Mes!$F$2:$F$145,Media_Cliente_Mes!$A$2:$A$145,"Cargill",Media_Cliente_Mes!$B$2:$B$145,"Out"),"-"))</f>
        <v>-</v>
      </c>
      <c r="F14" s="10" t="str">
        <f aca="false">IF((SUMIFS(Media_Cliente_Mes!$C$2:$C$145,Media_Cliente_Mes!$A$2:$A$145,"Cargill",Media_Cliente_Mes!$B$2:$B$145,"Out"))=0,"-",IFERROR(SUMIFS(Media_Cliente_Mes!$G$2:$G$145,Media_Cliente_Mes!$A$2:$A$145,"Cargill",Media_Cliente_Mes!$B$2:$B$145,"Out"),"-"))</f>
        <v>-</v>
      </c>
      <c r="G14" s="8" t="n">
        <f aca="false">SUMIFS(Media_Cliente_Mes!$H$2:$H$145,Media_Cliente_Mes!$A$2:$A$145,"Cargill",Media_Cliente_Mes!$B$2:$B$145,"Out")</f>
        <v>0</v>
      </c>
      <c r="H14" s="8" t="n">
        <f aca="false">SUMIFS(Media_Cliente_Mes!$I$2:$I$145,Media_Cliente_Mes!$A$2:$A$145,"Cargill",Media_Cliente_Mes!$B$2:$B$145,"Out")</f>
        <v>0</v>
      </c>
      <c r="I14" s="16" t="n">
        <f aca="false">SUMIFS(Resumo_Cliente_Mes!$G$2:$G$145,Resumo_Cliente_Mes!$A$2:$A$145,"Cargill",Resumo_Cliente_Mes!$B$2:$B$145,"Out")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SUMIFS(Media_Cliente_Mes!$C$2:$C$145,Media_Cliente_Mes!$A$2:$A$145,"Cargill",Media_Cliente_Mes!$B$2:$B$145,"Nov")</f>
        <v>0</v>
      </c>
      <c r="C15" s="10" t="str">
        <f aca="false">IF((SUMIFS(Media_Cliente_Mes!$C$2:$C$145,Media_Cliente_Mes!$A$2:$A$145,"Cargill",Media_Cliente_Mes!$B$2:$B$145,"Nov"))=0,"-",IFERROR(SUMIFS(Media_Cliente_Mes!$D$2:$D$145,Media_Cliente_Mes!$A$2:$A$145,"Cargill",Media_Cliente_Mes!$B$2:$B$145,"Nov"),"-"))</f>
        <v>-</v>
      </c>
      <c r="D15" s="10" t="str">
        <f aca="false">IF((SUMIFS(Media_Cliente_Mes!$C$2:$C$145,Media_Cliente_Mes!$A$2:$A$145,"Cargill",Media_Cliente_Mes!$B$2:$B$145,"Nov"))=0,"-",IFERROR(SUMIFS(Media_Cliente_Mes!$E$2:$E$145,Media_Cliente_Mes!$A$2:$A$145,"Cargill",Media_Cliente_Mes!$B$2:$B$145,"Nov"),"-"))</f>
        <v>-</v>
      </c>
      <c r="E15" s="10" t="str">
        <f aca="false">IF((SUMIFS(Media_Cliente_Mes!$C$2:$C$145,Media_Cliente_Mes!$A$2:$A$145,"Cargill",Media_Cliente_Mes!$B$2:$B$145,"Nov"))=0,"-",IFERROR(SUMIFS(Media_Cliente_Mes!$F$2:$F$145,Media_Cliente_Mes!$A$2:$A$145,"Cargill",Media_Cliente_Mes!$B$2:$B$145,"Nov"),"-"))</f>
        <v>-</v>
      </c>
      <c r="F15" s="10" t="str">
        <f aca="false">IF((SUMIFS(Media_Cliente_Mes!$C$2:$C$145,Media_Cliente_Mes!$A$2:$A$145,"Cargill",Media_Cliente_Mes!$B$2:$B$145,"Nov"))=0,"-",IFERROR(SUMIFS(Media_Cliente_Mes!$G$2:$G$145,Media_Cliente_Mes!$A$2:$A$145,"Cargill",Media_Cliente_Mes!$B$2:$B$145,"Nov"),"-"))</f>
        <v>-</v>
      </c>
      <c r="G15" s="8" t="n">
        <f aca="false">SUMIFS(Media_Cliente_Mes!$H$2:$H$145,Media_Cliente_Mes!$A$2:$A$145,"Cargill",Media_Cliente_Mes!$B$2:$B$145,"Nov")</f>
        <v>0</v>
      </c>
      <c r="H15" s="8" t="n">
        <f aca="false">SUMIFS(Media_Cliente_Mes!$I$2:$I$145,Media_Cliente_Mes!$A$2:$A$145,"Cargill",Media_Cliente_Mes!$B$2:$B$145,"Nov")</f>
        <v>0</v>
      </c>
      <c r="I15" s="16" t="n">
        <f aca="false">SUMIFS(Resumo_Cliente_Mes!$G$2:$G$145,Resumo_Cliente_Mes!$A$2:$A$145,"Cargill",Resumo_Cliente_Mes!$B$2:$B$145,"Nov")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SUMIFS(Media_Cliente_Mes!$C$2:$C$145,Media_Cliente_Mes!$A$2:$A$145,"Cargill",Media_Cliente_Mes!$B$2:$B$145,"Dez")</f>
        <v>0</v>
      </c>
      <c r="C16" s="10" t="str">
        <f aca="false">IF((SUMIFS(Media_Cliente_Mes!$C$2:$C$145,Media_Cliente_Mes!$A$2:$A$145,"Cargill",Media_Cliente_Mes!$B$2:$B$145,"Dez"))=0,"-",IFERROR(SUMIFS(Media_Cliente_Mes!$D$2:$D$145,Media_Cliente_Mes!$A$2:$A$145,"Cargill",Media_Cliente_Mes!$B$2:$B$145,"Dez"),"-"))</f>
        <v>-</v>
      </c>
      <c r="D16" s="10" t="str">
        <f aca="false">IF((SUMIFS(Media_Cliente_Mes!$C$2:$C$145,Media_Cliente_Mes!$A$2:$A$145,"Cargill",Media_Cliente_Mes!$B$2:$B$145,"Dez"))=0,"-",IFERROR(SUMIFS(Media_Cliente_Mes!$E$2:$E$145,Media_Cliente_Mes!$A$2:$A$145,"Cargill",Media_Cliente_Mes!$B$2:$B$145,"Dez"),"-"))</f>
        <v>-</v>
      </c>
      <c r="E16" s="10" t="str">
        <f aca="false">IF((SUMIFS(Media_Cliente_Mes!$C$2:$C$145,Media_Cliente_Mes!$A$2:$A$145,"Cargill",Media_Cliente_Mes!$B$2:$B$145,"Dez"))=0,"-",IFERROR(SUMIFS(Media_Cliente_Mes!$F$2:$F$145,Media_Cliente_Mes!$A$2:$A$145,"Cargill",Media_Cliente_Mes!$B$2:$B$145,"Dez"),"-"))</f>
        <v>-</v>
      </c>
      <c r="F16" s="10" t="str">
        <f aca="false">IF((SUMIFS(Media_Cliente_Mes!$C$2:$C$145,Media_Cliente_Mes!$A$2:$A$145,"Cargill",Media_Cliente_Mes!$B$2:$B$145,"Dez"))=0,"-",IFERROR(SUMIFS(Media_Cliente_Mes!$G$2:$G$145,Media_Cliente_Mes!$A$2:$A$145,"Cargill",Media_Cliente_Mes!$B$2:$B$145,"Dez"),"-"))</f>
        <v>-</v>
      </c>
      <c r="G16" s="8" t="n">
        <f aca="false">SUMIFS(Media_Cliente_Mes!$H$2:$H$145,Media_Cliente_Mes!$A$2:$A$145,"Cargill",Media_Cliente_Mes!$B$2:$B$145,"Dez")</f>
        <v>0</v>
      </c>
      <c r="H16" s="8" t="n">
        <f aca="false">SUMIFS(Media_Cliente_Mes!$I$2:$I$145,Media_Cliente_Mes!$A$2:$A$145,"Cargill",Media_Cliente_Mes!$B$2:$B$145,"Dez")</f>
        <v>0</v>
      </c>
      <c r="I16" s="16" t="n">
        <f aca="false">SUMIFS(Resumo_Cliente_Mes!$G$2:$G$145,Resumo_Cliente_Mes!$A$2:$A$145,"Cargill",Resumo_Cliente_Mes!$B$2:$B$145,"Dez")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307162.53</v>
      </c>
      <c r="C17" s="23" t="n">
        <f aca="false">IFERROR(SUMPRODUCT((B5:B16)*IF(ISNUMBER(C5:C16),C5:C16,0))/B17,"-")</f>
        <v>47.3504003919358</v>
      </c>
      <c r="D17" s="23" t="n">
        <f aca="false">IFERROR(SUMPRODUCT((B5:B16)*IF(ISNUMBER(D5:D16),D5:D16,0))/B17,"-")</f>
        <v>12.3303263597939</v>
      </c>
      <c r="E17" s="23" t="n">
        <f aca="false">IFERROR(SUMPRODUCT((B5:B16)*IF(ISNUMBER(E5:E16),E5:E16,0))/B17,"-")</f>
        <v>3.70742278135292</v>
      </c>
      <c r="F17" s="23" t="n">
        <f aca="false">IFERROR(SUMPRODUCT((B5:B16)*IF(ISNUMBER(F5:F16),F5:F16,0))/B17,"-")</f>
        <v>1.64590856475886</v>
      </c>
      <c r="G17" s="22" t="n">
        <f aca="false">SUM(G5:G16)</f>
        <v>157860.71</v>
      </c>
      <c r="H17" s="22" t="n">
        <f aca="false">SUM(H5:H16)</f>
        <v>149301.82</v>
      </c>
      <c r="I17" s="24" t="n">
        <f aca="false">SUM(I5:I16)</f>
        <v>-201072.045289135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43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SUMIFS(Media_Cliente_Mes!$C$2:$C$145,Media_Cliente_Mes!$A$2:$A$145,"Cofco",Media_Cliente_Mes!$B$2:$B$145,"Jan")</f>
        <v>58133.28</v>
      </c>
      <c r="C5" s="10" t="n">
        <f aca="false">IF((SUMIFS(Media_Cliente_Mes!$C$2:$C$145,Media_Cliente_Mes!$A$2:$A$145,"Cofco",Media_Cliente_Mes!$B$2:$B$145,"Jan"))=0,"-",IFERROR(SUMIFS(Media_Cliente_Mes!$D$2:$D$145,Media_Cliente_Mes!$A$2:$A$145,"Cofco",Media_Cliente_Mes!$B$2:$B$145,"Jan"),"-"))</f>
        <v>47.7608013396113</v>
      </c>
      <c r="D5" s="10" t="n">
        <f aca="false">IF((SUMIFS(Media_Cliente_Mes!$C$2:$C$145,Media_Cliente_Mes!$A$2:$A$145,"Cofco",Media_Cliente_Mes!$B$2:$B$145,"Jan"))=0,"-",IFERROR(SUMIFS(Media_Cliente_Mes!$E$2:$E$145,Media_Cliente_Mes!$A$2:$A$145,"Cofco",Media_Cliente_Mes!$B$2:$B$145,"Jan"),"-"))</f>
        <v>12.0883999973853</v>
      </c>
      <c r="E5" s="10" t="n">
        <f aca="false">IF((SUMIFS(Media_Cliente_Mes!$C$2:$C$145,Media_Cliente_Mes!$A$2:$A$145,"Cofco",Media_Cliente_Mes!$B$2:$B$145,"Jan"))=0,"-",IFERROR(SUMIFS(Media_Cliente_Mes!$F$2:$F$145,Media_Cliente_Mes!$A$2:$A$145,"Cofco",Media_Cliente_Mes!$B$2:$B$145,"Jan"),"-"))</f>
        <v>3.51532527839475</v>
      </c>
      <c r="F5" s="10" t="n">
        <f aca="false">IF((SUMIFS(Media_Cliente_Mes!$C$2:$C$145,Media_Cliente_Mes!$A$2:$A$145,"Cofco",Media_Cliente_Mes!$B$2:$B$145,"Jan"))=0,"-",IFERROR(SUMIFS(Media_Cliente_Mes!$G$2:$G$145,Media_Cliente_Mes!$A$2:$A$145,"Cofco",Media_Cliente_Mes!$B$2:$B$145,"Jan"),"-"))</f>
        <v>1.59289670219881</v>
      </c>
      <c r="G5" s="8" t="n">
        <f aca="false">SUMIFS(Media_Cliente_Mes!$H$2:$H$145,Media_Cliente_Mes!$A$2:$A$145,"Cofco",Media_Cliente_Mes!$B$2:$B$145,"Jan")</f>
        <v>10502.32</v>
      </c>
      <c r="H5" s="8" t="n">
        <f aca="false">SUMIFS(Media_Cliente_Mes!$I$2:$I$145,Media_Cliente_Mes!$A$2:$A$145,"Cofco",Media_Cliente_Mes!$B$2:$B$145,"Jan")</f>
        <v>47630.96</v>
      </c>
      <c r="I5" s="16" t="n">
        <f aca="false">SUMIFS(Resumo_Cliente_Mes!$G$2:$G$145,Resumo_Cliente_Mes!$A$2:$A$145,"Cofco",Resumo_Cliente_Mes!$B$2:$B$145,"Jan")</f>
        <v>23165.1862719784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SUMIFS(Media_Cliente_Mes!$C$2:$C$145,Media_Cliente_Mes!$A$2:$A$145,"Cofco",Media_Cliente_Mes!$B$2:$B$145,"Fev")</f>
        <v>53224.28</v>
      </c>
      <c r="C6" s="10" t="n">
        <f aca="false">IF((SUMIFS(Media_Cliente_Mes!$C$2:$C$145,Media_Cliente_Mes!$A$2:$A$145,"Cofco",Media_Cliente_Mes!$B$2:$B$145,"Fev"))=0,"-",IFERROR(SUMIFS(Media_Cliente_Mes!$D$2:$D$145,Media_Cliente_Mes!$A$2:$A$145,"Cofco",Media_Cliente_Mes!$B$2:$B$145,"Fev"),"-"))</f>
        <v>47.7410028036077</v>
      </c>
      <c r="D6" s="10" t="n">
        <f aca="false">IF((SUMIFS(Media_Cliente_Mes!$C$2:$C$145,Media_Cliente_Mes!$A$2:$A$145,"Cofco",Media_Cliente_Mes!$B$2:$B$145,"Fev"))=0,"-",IFERROR(SUMIFS(Media_Cliente_Mes!$E$2:$E$145,Media_Cliente_Mes!$A$2:$A$145,"Cofco",Media_Cliente_Mes!$B$2:$B$145,"Fev"),"-"))</f>
        <v>12.2364620658091</v>
      </c>
      <c r="E6" s="10" t="n">
        <f aca="false">IF((SUMIFS(Media_Cliente_Mes!$C$2:$C$145,Media_Cliente_Mes!$A$2:$A$145,"Cofco",Media_Cliente_Mes!$B$2:$B$145,"Fev"))=0,"-",IFERROR(SUMIFS(Media_Cliente_Mes!$F$2:$F$145,Media_Cliente_Mes!$A$2:$A$145,"Cofco",Media_Cliente_Mes!$B$2:$B$145,"Fev"),"-"))</f>
        <v>3.49707755558178</v>
      </c>
      <c r="F6" s="10" t="n">
        <f aca="false">IF((SUMIFS(Media_Cliente_Mes!$C$2:$C$145,Media_Cliente_Mes!$A$2:$A$145,"Cofco",Media_Cliente_Mes!$B$2:$B$145,"Fev"))=0,"-",IFERROR(SUMIFS(Media_Cliente_Mes!$G$2:$G$145,Media_Cliente_Mes!$A$2:$A$145,"Cofco",Media_Cliente_Mes!$B$2:$B$145,"Fev"),"-"))</f>
        <v>1.77413490234156</v>
      </c>
      <c r="G6" s="8" t="n">
        <f aca="false">SUMIFS(Media_Cliente_Mes!$H$2:$H$145,Media_Cliente_Mes!$A$2:$A$145,"Cofco",Media_Cliente_Mes!$B$2:$B$145,"Fev")</f>
        <v>0</v>
      </c>
      <c r="H6" s="8" t="n">
        <f aca="false">SUMIFS(Media_Cliente_Mes!$I$2:$I$145,Media_Cliente_Mes!$A$2:$A$145,"Cofco",Media_Cliente_Mes!$B$2:$B$145,"Fev")</f>
        <v>53224.28</v>
      </c>
      <c r="I6" s="16" t="n">
        <f aca="false">SUMIFS(Resumo_Cliente_Mes!$G$2:$G$145,Resumo_Cliente_Mes!$A$2:$A$145,"Cofco",Resumo_Cliente_Mes!$B$2:$B$145,"Fev")</f>
        <v>121437.757253558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SUMIFS(Media_Cliente_Mes!$C$2:$C$145,Media_Cliente_Mes!$A$2:$A$145,"Cofco",Media_Cliente_Mes!$B$2:$B$145,"Mar")</f>
        <v>66365.71</v>
      </c>
      <c r="C7" s="10" t="n">
        <f aca="false">IF((SUMIFS(Media_Cliente_Mes!$C$2:$C$145,Media_Cliente_Mes!$A$2:$A$145,"Cofco",Media_Cliente_Mes!$B$2:$B$145,"Mar"))=0,"-",IFERROR(SUMIFS(Media_Cliente_Mes!$D$2:$D$145,Media_Cliente_Mes!$A$2:$A$145,"Cofco",Media_Cliente_Mes!$B$2:$B$145,"Mar"),"-"))</f>
        <v>47.3106617528841</v>
      </c>
      <c r="D7" s="10" t="n">
        <f aca="false">IF((SUMIFS(Media_Cliente_Mes!$C$2:$C$145,Media_Cliente_Mes!$A$2:$A$145,"Cofco",Media_Cliente_Mes!$B$2:$B$145,"Mar"))=0,"-",IFERROR(SUMIFS(Media_Cliente_Mes!$E$2:$E$145,Media_Cliente_Mes!$A$2:$A$145,"Cofco",Media_Cliente_Mes!$B$2:$B$145,"Mar"),"-"))</f>
        <v>12.365805033955</v>
      </c>
      <c r="E7" s="10" t="n">
        <f aca="false">IF((SUMIFS(Media_Cliente_Mes!$C$2:$C$145,Media_Cliente_Mes!$A$2:$A$145,"Cofco",Media_Cliente_Mes!$B$2:$B$145,"Mar"))=0,"-",IFERROR(SUMIFS(Media_Cliente_Mes!$F$2:$F$145,Media_Cliente_Mes!$A$2:$A$145,"Cofco",Media_Cliente_Mes!$B$2:$B$145,"Mar"),"-"))</f>
        <v>3.72221019107608</v>
      </c>
      <c r="F7" s="10" t="n">
        <f aca="false">IF((SUMIFS(Media_Cliente_Mes!$C$2:$C$145,Media_Cliente_Mes!$A$2:$A$145,"Cofco",Media_Cliente_Mes!$B$2:$B$145,"Mar"))=0,"-",IFERROR(SUMIFS(Media_Cliente_Mes!$G$2:$G$145,Media_Cliente_Mes!$A$2:$A$145,"Cofco",Media_Cliente_Mes!$B$2:$B$145,"Mar"),"-"))</f>
        <v>1.54120652367013</v>
      </c>
      <c r="G7" s="8" t="n">
        <f aca="false">SUMIFS(Media_Cliente_Mes!$H$2:$H$145,Media_Cliente_Mes!$A$2:$A$145,"Cofco",Media_Cliente_Mes!$B$2:$B$145,"Mar")</f>
        <v>0</v>
      </c>
      <c r="H7" s="8" t="n">
        <f aca="false">SUMIFS(Media_Cliente_Mes!$I$2:$I$145,Media_Cliente_Mes!$A$2:$A$145,"Cofco",Media_Cliente_Mes!$B$2:$B$145,"Mar")</f>
        <v>66365.71</v>
      </c>
      <c r="I7" s="16" t="n">
        <f aca="false">SUMIFS(Resumo_Cliente_Mes!$G$2:$G$145,Resumo_Cliente_Mes!$A$2:$A$145,"Cofco",Resumo_Cliente_Mes!$B$2:$B$145,"Mar")</f>
        <v>-10140.0890699308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SUMIFS(Media_Cliente_Mes!$C$2:$C$145,Media_Cliente_Mes!$A$2:$A$145,"Cofco",Media_Cliente_Mes!$B$2:$B$145,"Abr")</f>
        <v>92764.41</v>
      </c>
      <c r="C8" s="10" t="n">
        <f aca="false">IF((SUMIFS(Media_Cliente_Mes!$C$2:$C$145,Media_Cliente_Mes!$A$2:$A$145,"Cofco",Media_Cliente_Mes!$B$2:$B$145,"Abr"))=0,"-",IFERROR(SUMIFS(Media_Cliente_Mes!$D$2:$D$145,Media_Cliente_Mes!$A$2:$A$145,"Cofco",Media_Cliente_Mes!$B$2:$B$145,"Abr"),"-"))</f>
        <v>47.3172978624022</v>
      </c>
      <c r="D8" s="10" t="n">
        <f aca="false">IF((SUMIFS(Media_Cliente_Mes!$C$2:$C$145,Media_Cliente_Mes!$A$2:$A$145,"Cofco",Media_Cliente_Mes!$B$2:$B$145,"Abr"))=0,"-",IFERROR(SUMIFS(Media_Cliente_Mes!$E$2:$E$145,Media_Cliente_Mes!$A$2:$A$145,"Cofco",Media_Cliente_Mes!$B$2:$B$145,"Abr"),"-"))</f>
        <v>12.4482291732357</v>
      </c>
      <c r="E8" s="10" t="n">
        <f aca="false">IF((SUMIFS(Media_Cliente_Mes!$C$2:$C$145,Media_Cliente_Mes!$A$2:$A$145,"Cofco",Media_Cliente_Mes!$B$2:$B$145,"Abr"))=0,"-",IFERROR(SUMIFS(Media_Cliente_Mes!$F$2:$F$145,Media_Cliente_Mes!$A$2:$A$145,"Cofco",Media_Cliente_Mes!$B$2:$B$145,"Abr"),"-"))</f>
        <v>3.76102840626055</v>
      </c>
      <c r="F8" s="10" t="n">
        <f aca="false">IF((SUMIFS(Media_Cliente_Mes!$C$2:$C$145,Media_Cliente_Mes!$A$2:$A$145,"Cofco",Media_Cliente_Mes!$B$2:$B$145,"Abr"))=0,"-",IFERROR(SUMIFS(Media_Cliente_Mes!$G$2:$G$145,Media_Cliente_Mes!$A$2:$A$145,"Cofco",Media_Cliente_Mes!$B$2:$B$145,"Abr"),"-"))</f>
        <v>1.51240147810998</v>
      </c>
      <c r="G8" s="8" t="n">
        <f aca="false">SUMIFS(Media_Cliente_Mes!$H$2:$H$145,Media_Cliente_Mes!$A$2:$A$145,"Cofco",Media_Cliente_Mes!$B$2:$B$145,"Abr")</f>
        <v>0</v>
      </c>
      <c r="H8" s="8" t="n">
        <f aca="false">SUMIFS(Media_Cliente_Mes!$I$2:$I$145,Media_Cliente_Mes!$A$2:$A$145,"Cofco",Media_Cliente_Mes!$B$2:$B$145,"Abr")</f>
        <v>92764.41</v>
      </c>
      <c r="I8" s="16" t="n">
        <f aca="false">SUMIFS(Resumo_Cliente_Mes!$G$2:$G$145,Resumo_Cliente_Mes!$A$2:$A$145,"Cofco",Resumo_Cliente_Mes!$B$2:$B$145,"Abr")</f>
        <v>-97559.4644013743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SUMIFS(Media_Cliente_Mes!$C$2:$C$145,Media_Cliente_Mes!$A$2:$A$145,"Cofco",Media_Cliente_Mes!$B$2:$B$145,"Mai")</f>
        <v>63744.72</v>
      </c>
      <c r="C9" s="10" t="n">
        <f aca="false">IF((SUMIFS(Media_Cliente_Mes!$C$2:$C$145,Media_Cliente_Mes!$A$2:$A$145,"Cofco",Media_Cliente_Mes!$B$2:$B$145,"Mai"))=0,"-",IFERROR(SUMIFS(Media_Cliente_Mes!$D$2:$D$145,Media_Cliente_Mes!$A$2:$A$145,"Cofco",Media_Cliente_Mes!$B$2:$B$145,"Mai"),"-"))</f>
        <v>47.6858338070981</v>
      </c>
      <c r="D9" s="10" t="n">
        <f aca="false">IF((SUMIFS(Media_Cliente_Mes!$C$2:$C$145,Media_Cliente_Mes!$A$2:$A$145,"Cofco",Media_Cliente_Mes!$B$2:$B$145,"Mai"))=0,"-",IFERROR(SUMIFS(Media_Cliente_Mes!$E$2:$E$145,Media_Cliente_Mes!$A$2:$A$145,"Cofco",Media_Cliente_Mes!$B$2:$B$145,"Mai"),"-"))</f>
        <v>12.5075041415195</v>
      </c>
      <c r="E9" s="10" t="n">
        <f aca="false">IF((SUMIFS(Media_Cliente_Mes!$C$2:$C$145,Media_Cliente_Mes!$A$2:$A$145,"Cofco",Media_Cliente_Mes!$B$2:$B$145,"Mai"))=0,"-",IFERROR(SUMIFS(Media_Cliente_Mes!$F$2:$F$145,Media_Cliente_Mes!$A$2:$A$145,"Cofco",Media_Cliente_Mes!$B$2:$B$145,"Mai"),"-"))</f>
        <v>3.59712009088753</v>
      </c>
      <c r="F9" s="10" t="n">
        <f aca="false">IF((SUMIFS(Media_Cliente_Mes!$C$2:$C$145,Media_Cliente_Mes!$A$2:$A$145,"Cofco",Media_Cliente_Mes!$B$2:$B$145,"Mai"))=0,"-",IFERROR(SUMIFS(Media_Cliente_Mes!$G$2:$G$145,Media_Cliente_Mes!$A$2:$A$145,"Cofco",Media_Cliente_Mes!$B$2:$B$145,"Mai"),"-"))</f>
        <v>1.51299671251203</v>
      </c>
      <c r="G9" s="8" t="n">
        <f aca="false">SUMIFS(Media_Cliente_Mes!$H$2:$H$145,Media_Cliente_Mes!$A$2:$A$145,"Cofco",Media_Cliente_Mes!$B$2:$B$145,"Mai")</f>
        <v>4750.58</v>
      </c>
      <c r="H9" s="8" t="n">
        <f aca="false">SUMIFS(Media_Cliente_Mes!$I$2:$I$145,Media_Cliente_Mes!$A$2:$A$145,"Cofco",Media_Cliente_Mes!$B$2:$B$145,"Mai")</f>
        <v>58994.14</v>
      </c>
      <c r="I9" s="16" t="n">
        <f aca="false">SUMIFS(Resumo_Cliente_Mes!$G$2:$G$145,Resumo_Cliente_Mes!$A$2:$A$145,"Cofco",Resumo_Cliente_Mes!$B$2:$B$145,"Mai")</f>
        <v>58736.3077153208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SUMIFS(Media_Cliente_Mes!$C$2:$C$145,Media_Cliente_Mes!$A$2:$A$145,"Cofco",Media_Cliente_Mes!$B$2:$B$145,"Jun")</f>
        <v>94743.83</v>
      </c>
      <c r="C10" s="10" t="n">
        <f aca="false">IF((SUMIFS(Media_Cliente_Mes!$C$2:$C$145,Media_Cliente_Mes!$A$2:$A$145,"Cofco",Media_Cliente_Mes!$B$2:$B$145,"Jun"))=0,"-",IFERROR(SUMIFS(Media_Cliente_Mes!$D$2:$D$145,Media_Cliente_Mes!$A$2:$A$145,"Cofco",Media_Cliente_Mes!$B$2:$B$145,"Jun"),"-"))</f>
        <v>47.4441337055933</v>
      </c>
      <c r="D10" s="10" t="n">
        <f aca="false">IF((SUMIFS(Media_Cliente_Mes!$C$2:$C$145,Media_Cliente_Mes!$A$2:$A$145,"Cofco",Media_Cliente_Mes!$B$2:$B$145,"Jun"))=0,"-",IFERROR(SUMIFS(Media_Cliente_Mes!$E$2:$E$145,Media_Cliente_Mes!$A$2:$A$145,"Cofco",Media_Cliente_Mes!$B$2:$B$145,"Jun"),"-"))</f>
        <v>12.4664559254149</v>
      </c>
      <c r="E10" s="10" t="n">
        <f aca="false">IF((SUMIFS(Media_Cliente_Mes!$C$2:$C$145,Media_Cliente_Mes!$A$2:$A$145,"Cofco",Media_Cliente_Mes!$B$2:$B$145,"Jun"))=0,"-",IFERROR(SUMIFS(Media_Cliente_Mes!$F$2:$F$145,Media_Cliente_Mes!$A$2:$A$145,"Cofco",Media_Cliente_Mes!$B$2:$B$145,"Jun"),"-"))</f>
        <v>3.77768767000447</v>
      </c>
      <c r="F10" s="10" t="n">
        <f aca="false">IF((SUMIFS(Media_Cliente_Mes!$C$2:$C$145,Media_Cliente_Mes!$A$2:$A$145,"Cofco",Media_Cliente_Mes!$B$2:$B$145,"Jun"))=0,"-",IFERROR(SUMIFS(Media_Cliente_Mes!$G$2:$G$145,Media_Cliente_Mes!$A$2:$A$145,"Cofco",Media_Cliente_Mes!$B$2:$B$145,"Jun"),"-"))</f>
        <v>1.59874791318865</v>
      </c>
      <c r="G10" s="8" t="n">
        <f aca="false">SUMIFS(Media_Cliente_Mes!$H$2:$H$145,Media_Cliente_Mes!$A$2:$A$145,"Cofco",Media_Cliente_Mes!$B$2:$B$145,"Jun")</f>
        <v>13224.4</v>
      </c>
      <c r="H10" s="8" t="n">
        <f aca="false">SUMIFS(Media_Cliente_Mes!$I$2:$I$145,Media_Cliente_Mes!$A$2:$A$145,"Cofco",Media_Cliente_Mes!$B$2:$B$145,"Jun")</f>
        <v>81519.43</v>
      </c>
      <c r="I10" s="16" t="n">
        <f aca="false">SUMIFS(Resumo_Cliente_Mes!$G$2:$G$145,Resumo_Cliente_Mes!$A$2:$A$145,"Cofco",Resumo_Cliente_Mes!$B$2:$B$145,"Jun")</f>
        <v>32189.2840062716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SUMIFS(Media_Cliente_Mes!$C$2:$C$145,Media_Cliente_Mes!$A$2:$A$145,"Cofco",Media_Cliente_Mes!$B$2:$B$145,"Jul")</f>
        <v>72870.58</v>
      </c>
      <c r="C11" s="10" t="n">
        <f aca="false">IF((SUMIFS(Media_Cliente_Mes!$C$2:$C$145,Media_Cliente_Mes!$A$2:$A$145,"Cofco",Media_Cliente_Mes!$B$2:$B$145,"Jul"))=0,"-",IFERROR(SUMIFS(Media_Cliente_Mes!$D$2:$D$145,Media_Cliente_Mes!$A$2:$A$145,"Cofco",Media_Cliente_Mes!$B$2:$B$145,"Jul"),"-"))</f>
        <v>47.3975879593658</v>
      </c>
      <c r="D11" s="10" t="n">
        <f aca="false">IF((SUMIFS(Media_Cliente_Mes!$C$2:$C$145,Media_Cliente_Mes!$A$2:$A$145,"Cofco",Media_Cliente_Mes!$B$2:$B$145,"Jul"))=0,"-",IFERROR(SUMIFS(Media_Cliente_Mes!$E$2:$E$145,Media_Cliente_Mes!$A$2:$A$145,"Cofco",Media_Cliente_Mes!$B$2:$B$145,"Jul"),"-"))</f>
        <v>12.3047121293669</v>
      </c>
      <c r="E11" s="10" t="n">
        <f aca="false">IF((SUMIFS(Media_Cliente_Mes!$C$2:$C$145,Media_Cliente_Mes!$A$2:$A$145,"Cofco",Media_Cliente_Mes!$B$2:$B$145,"Jul"))=0,"-",IFERROR(SUMIFS(Media_Cliente_Mes!$F$2:$F$145,Media_Cliente_Mes!$A$2:$A$145,"Cofco",Media_Cliente_Mes!$B$2:$B$145,"Jul"),"-"))</f>
        <v>3.49811115542102</v>
      </c>
      <c r="F11" s="10" t="n">
        <f aca="false">IF((SUMIFS(Media_Cliente_Mes!$C$2:$C$145,Media_Cliente_Mes!$A$2:$A$145,"Cofco",Media_Cliente_Mes!$B$2:$B$145,"Jul"))=0,"-",IFERROR(SUMIFS(Media_Cliente_Mes!$G$2:$G$145,Media_Cliente_Mes!$A$2:$A$145,"Cofco",Media_Cliente_Mes!$B$2:$B$145,"Jul"),"-"))</f>
        <v>1.65992517282009</v>
      </c>
      <c r="G11" s="8" t="n">
        <f aca="false">SUMIFS(Media_Cliente_Mes!$H$2:$H$145,Media_Cliente_Mes!$A$2:$A$145,"Cofco",Media_Cliente_Mes!$B$2:$B$145,"Jul")</f>
        <v>0</v>
      </c>
      <c r="H11" s="8" t="n">
        <f aca="false">SUMIFS(Media_Cliente_Mes!$I$2:$I$145,Media_Cliente_Mes!$A$2:$A$145,"Cofco",Media_Cliente_Mes!$B$2:$B$145,"Jul")</f>
        <v>72870.58</v>
      </c>
      <c r="I11" s="16" t="n">
        <f aca="false">SUMIFS(Resumo_Cliente_Mes!$G$2:$G$145,Resumo_Cliente_Mes!$A$2:$A$145,"Cofco",Resumo_Cliente_Mes!$B$2:$B$145,"Jul")</f>
        <v>-36496.0826589471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SUMIFS(Media_Cliente_Mes!$C$2:$C$145,Media_Cliente_Mes!$A$2:$A$145,"Cofco",Media_Cliente_Mes!$B$2:$B$145,"Ago")</f>
        <v>70028.07</v>
      </c>
      <c r="C12" s="10" t="n">
        <f aca="false">IF((SUMIFS(Media_Cliente_Mes!$C$2:$C$145,Media_Cliente_Mes!$A$2:$A$145,"Cofco",Media_Cliente_Mes!$B$2:$B$145,"Ago"))=0,"-",IFERROR(SUMIFS(Media_Cliente_Mes!$D$2:$D$145,Media_Cliente_Mes!$A$2:$A$145,"Cofco",Media_Cliente_Mes!$B$2:$B$145,"Ago"),"-"))</f>
        <v>47.0074795578402</v>
      </c>
      <c r="D12" s="10" t="n">
        <f aca="false">IF((SUMIFS(Media_Cliente_Mes!$C$2:$C$145,Media_Cliente_Mes!$A$2:$A$145,"Cofco",Media_Cliente_Mes!$B$2:$B$145,"Ago"))=0,"-",IFERROR(SUMIFS(Media_Cliente_Mes!$E$2:$E$145,Media_Cliente_Mes!$A$2:$A$145,"Cofco",Media_Cliente_Mes!$B$2:$B$145,"Ago"),"-"))</f>
        <v>11.923930461028</v>
      </c>
      <c r="E12" s="10" t="n">
        <f aca="false">IF((SUMIFS(Media_Cliente_Mes!$C$2:$C$145,Media_Cliente_Mes!$A$2:$A$145,"Cofco",Media_Cliente_Mes!$B$2:$B$145,"Ago"))=0,"-",IFERROR(SUMIFS(Media_Cliente_Mes!$F$2:$F$145,Media_Cliente_Mes!$A$2:$A$145,"Cofco",Media_Cliente_Mes!$B$2:$B$145,"Ago"),"-"))</f>
        <v>3.90033135712579</v>
      </c>
      <c r="F12" s="10" t="n">
        <f aca="false">IF((SUMIFS(Media_Cliente_Mes!$C$2:$C$145,Media_Cliente_Mes!$A$2:$A$145,"Cofco",Media_Cliente_Mes!$B$2:$B$145,"Ago"))=0,"-",IFERROR(SUMIFS(Media_Cliente_Mes!$G$2:$G$145,Media_Cliente_Mes!$A$2:$A$145,"Cofco",Media_Cliente_Mes!$B$2:$B$145,"Ago"),"-"))</f>
        <v>1.65335985269907</v>
      </c>
      <c r="G12" s="8" t="n">
        <f aca="false">SUMIFS(Media_Cliente_Mes!$H$2:$H$145,Media_Cliente_Mes!$A$2:$A$145,"Cofco",Media_Cliente_Mes!$B$2:$B$145,"Ago")</f>
        <v>4866.18</v>
      </c>
      <c r="H12" s="8" t="n">
        <f aca="false">SUMIFS(Media_Cliente_Mes!$I$2:$I$145,Media_Cliente_Mes!$A$2:$A$145,"Cofco",Media_Cliente_Mes!$B$2:$B$145,"Ago")</f>
        <v>65161.89</v>
      </c>
      <c r="I12" s="16" t="n">
        <f aca="false">SUMIFS(Resumo_Cliente_Mes!$G$2:$G$145,Resumo_Cliente_Mes!$A$2:$A$145,"Cofco",Resumo_Cliente_Mes!$B$2:$B$145,"Ago")</f>
        <v>-102534.282598311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SUMIFS(Media_Cliente_Mes!$C$2:$C$145,Media_Cliente_Mes!$A$2:$A$145,"Cofco",Media_Cliente_Mes!$B$2:$B$145,"Set")</f>
        <v>16598.01</v>
      </c>
      <c r="C13" s="10" t="n">
        <f aca="false">IF((SUMIFS(Media_Cliente_Mes!$C$2:$C$145,Media_Cliente_Mes!$A$2:$A$145,"Cofco",Media_Cliente_Mes!$B$2:$B$145,"Set"))=0,"-",IFERROR(SUMIFS(Media_Cliente_Mes!$D$2:$D$145,Media_Cliente_Mes!$A$2:$A$145,"Cofco",Media_Cliente_Mes!$B$2:$B$145,"Set"),"-"))</f>
        <v>47.51</v>
      </c>
      <c r="D13" s="10" t="n">
        <f aca="false">IF((SUMIFS(Media_Cliente_Mes!$C$2:$C$145,Media_Cliente_Mes!$A$2:$A$145,"Cofco",Media_Cliente_Mes!$B$2:$B$145,"Set"))=0,"-",IFERROR(SUMIFS(Media_Cliente_Mes!$E$2:$E$145,Media_Cliente_Mes!$A$2:$A$145,"Cofco",Media_Cliente_Mes!$B$2:$B$145,"Set"),"-"))</f>
        <v>12.76</v>
      </c>
      <c r="E13" s="10" t="n">
        <f aca="false">IF((SUMIFS(Media_Cliente_Mes!$C$2:$C$145,Media_Cliente_Mes!$A$2:$A$145,"Cofco",Media_Cliente_Mes!$B$2:$B$145,"Set"))=0,"-",IFERROR(SUMIFS(Media_Cliente_Mes!$F$2:$F$145,Media_Cliente_Mes!$A$2:$A$145,"Cofco",Media_Cliente_Mes!$B$2:$B$145,"Set"),"-"))</f>
        <v>3.64</v>
      </c>
      <c r="F13" s="10" t="n">
        <f aca="false">IF((SUMIFS(Media_Cliente_Mes!$C$2:$C$145,Media_Cliente_Mes!$A$2:$A$145,"Cofco",Media_Cliente_Mes!$B$2:$B$145,"Set"))=0,"-",IFERROR(SUMIFS(Media_Cliente_Mes!$G$2:$G$145,Media_Cliente_Mes!$A$2:$A$145,"Cofco",Media_Cliente_Mes!$B$2:$B$145,"Set"),"-"))</f>
        <v>1.57</v>
      </c>
      <c r="G13" s="8" t="n">
        <f aca="false">SUMIFS(Media_Cliente_Mes!$H$2:$H$145,Media_Cliente_Mes!$A$2:$A$145,"Cofco",Media_Cliente_Mes!$B$2:$B$145,"Set")</f>
        <v>0</v>
      </c>
      <c r="H13" s="8" t="n">
        <f aca="false">SUMIFS(Media_Cliente_Mes!$I$2:$I$145,Media_Cliente_Mes!$A$2:$A$145,"Cofco",Media_Cliente_Mes!$B$2:$B$145,"Set")</f>
        <v>16598.01</v>
      </c>
      <c r="I13" s="16" t="n">
        <f aca="false">SUMIFS(Resumo_Cliente_Mes!$G$2:$G$145,Resumo_Cliente_Mes!$A$2:$A$145,"Cofco",Resumo_Cliente_Mes!$B$2:$B$145,"Set")</f>
        <v>-10775.4819655145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SUMIFS(Media_Cliente_Mes!$C$2:$C$145,Media_Cliente_Mes!$A$2:$A$145,"Cofco",Media_Cliente_Mes!$B$2:$B$145,"Out")</f>
        <v>0</v>
      </c>
      <c r="C14" s="10" t="str">
        <f aca="false">IF((SUMIFS(Media_Cliente_Mes!$C$2:$C$145,Media_Cliente_Mes!$A$2:$A$145,"Cofco",Media_Cliente_Mes!$B$2:$B$145,"Out"))=0,"-",IFERROR(SUMIFS(Media_Cliente_Mes!$D$2:$D$145,Media_Cliente_Mes!$A$2:$A$145,"Cofco",Media_Cliente_Mes!$B$2:$B$145,"Out"),"-"))</f>
        <v>-</v>
      </c>
      <c r="D14" s="10" t="str">
        <f aca="false">IF((SUMIFS(Media_Cliente_Mes!$C$2:$C$145,Media_Cliente_Mes!$A$2:$A$145,"Cofco",Media_Cliente_Mes!$B$2:$B$145,"Out"))=0,"-",IFERROR(SUMIFS(Media_Cliente_Mes!$E$2:$E$145,Media_Cliente_Mes!$A$2:$A$145,"Cofco",Media_Cliente_Mes!$B$2:$B$145,"Out"),"-"))</f>
        <v>-</v>
      </c>
      <c r="E14" s="10" t="str">
        <f aca="false">IF((SUMIFS(Media_Cliente_Mes!$C$2:$C$145,Media_Cliente_Mes!$A$2:$A$145,"Cofco",Media_Cliente_Mes!$B$2:$B$145,"Out"))=0,"-",IFERROR(SUMIFS(Media_Cliente_Mes!$F$2:$F$145,Media_Cliente_Mes!$A$2:$A$145,"Cofco",Media_Cliente_Mes!$B$2:$B$145,"Out"),"-"))</f>
        <v>-</v>
      </c>
      <c r="F14" s="10" t="str">
        <f aca="false">IF((SUMIFS(Media_Cliente_Mes!$C$2:$C$145,Media_Cliente_Mes!$A$2:$A$145,"Cofco",Media_Cliente_Mes!$B$2:$B$145,"Out"))=0,"-",IFERROR(SUMIFS(Media_Cliente_Mes!$G$2:$G$145,Media_Cliente_Mes!$A$2:$A$145,"Cofco",Media_Cliente_Mes!$B$2:$B$145,"Out"),"-"))</f>
        <v>-</v>
      </c>
      <c r="G14" s="8" t="n">
        <f aca="false">SUMIFS(Media_Cliente_Mes!$H$2:$H$145,Media_Cliente_Mes!$A$2:$A$145,"Cofco",Media_Cliente_Mes!$B$2:$B$145,"Out")</f>
        <v>0</v>
      </c>
      <c r="H14" s="8" t="n">
        <f aca="false">SUMIFS(Media_Cliente_Mes!$I$2:$I$145,Media_Cliente_Mes!$A$2:$A$145,"Cofco",Media_Cliente_Mes!$B$2:$B$145,"Out")</f>
        <v>0</v>
      </c>
      <c r="I14" s="16" t="n">
        <f aca="false">SUMIFS(Resumo_Cliente_Mes!$G$2:$G$145,Resumo_Cliente_Mes!$A$2:$A$145,"Cofco",Resumo_Cliente_Mes!$B$2:$B$145,"Out")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SUMIFS(Media_Cliente_Mes!$C$2:$C$145,Media_Cliente_Mes!$A$2:$A$145,"Cofco",Media_Cliente_Mes!$B$2:$B$145,"Nov")</f>
        <v>0</v>
      </c>
      <c r="C15" s="10" t="str">
        <f aca="false">IF((SUMIFS(Media_Cliente_Mes!$C$2:$C$145,Media_Cliente_Mes!$A$2:$A$145,"Cofco",Media_Cliente_Mes!$B$2:$B$145,"Nov"))=0,"-",IFERROR(SUMIFS(Media_Cliente_Mes!$D$2:$D$145,Media_Cliente_Mes!$A$2:$A$145,"Cofco",Media_Cliente_Mes!$B$2:$B$145,"Nov"),"-"))</f>
        <v>-</v>
      </c>
      <c r="D15" s="10" t="str">
        <f aca="false">IF((SUMIFS(Media_Cliente_Mes!$C$2:$C$145,Media_Cliente_Mes!$A$2:$A$145,"Cofco",Media_Cliente_Mes!$B$2:$B$145,"Nov"))=0,"-",IFERROR(SUMIFS(Media_Cliente_Mes!$E$2:$E$145,Media_Cliente_Mes!$A$2:$A$145,"Cofco",Media_Cliente_Mes!$B$2:$B$145,"Nov"),"-"))</f>
        <v>-</v>
      </c>
      <c r="E15" s="10" t="str">
        <f aca="false">IF((SUMIFS(Media_Cliente_Mes!$C$2:$C$145,Media_Cliente_Mes!$A$2:$A$145,"Cofco",Media_Cliente_Mes!$B$2:$B$145,"Nov"))=0,"-",IFERROR(SUMIFS(Media_Cliente_Mes!$F$2:$F$145,Media_Cliente_Mes!$A$2:$A$145,"Cofco",Media_Cliente_Mes!$B$2:$B$145,"Nov"),"-"))</f>
        <v>-</v>
      </c>
      <c r="F15" s="10" t="str">
        <f aca="false">IF((SUMIFS(Media_Cliente_Mes!$C$2:$C$145,Media_Cliente_Mes!$A$2:$A$145,"Cofco",Media_Cliente_Mes!$B$2:$B$145,"Nov"))=0,"-",IFERROR(SUMIFS(Media_Cliente_Mes!$G$2:$G$145,Media_Cliente_Mes!$A$2:$A$145,"Cofco",Media_Cliente_Mes!$B$2:$B$145,"Nov"),"-"))</f>
        <v>-</v>
      </c>
      <c r="G15" s="8" t="n">
        <f aca="false">SUMIFS(Media_Cliente_Mes!$H$2:$H$145,Media_Cliente_Mes!$A$2:$A$145,"Cofco",Media_Cliente_Mes!$B$2:$B$145,"Nov")</f>
        <v>0</v>
      </c>
      <c r="H15" s="8" t="n">
        <f aca="false">SUMIFS(Media_Cliente_Mes!$I$2:$I$145,Media_Cliente_Mes!$A$2:$A$145,"Cofco",Media_Cliente_Mes!$B$2:$B$145,"Nov")</f>
        <v>0</v>
      </c>
      <c r="I15" s="16" t="n">
        <f aca="false">SUMIFS(Resumo_Cliente_Mes!$G$2:$G$145,Resumo_Cliente_Mes!$A$2:$A$145,"Cofco",Resumo_Cliente_Mes!$B$2:$B$145,"Nov")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SUMIFS(Media_Cliente_Mes!$C$2:$C$145,Media_Cliente_Mes!$A$2:$A$145,"Cofco",Media_Cliente_Mes!$B$2:$B$145,"Dez")</f>
        <v>0</v>
      </c>
      <c r="C16" s="10" t="str">
        <f aca="false">IF((SUMIFS(Media_Cliente_Mes!$C$2:$C$145,Media_Cliente_Mes!$A$2:$A$145,"Cofco",Media_Cliente_Mes!$B$2:$B$145,"Dez"))=0,"-",IFERROR(SUMIFS(Media_Cliente_Mes!$D$2:$D$145,Media_Cliente_Mes!$A$2:$A$145,"Cofco",Media_Cliente_Mes!$B$2:$B$145,"Dez"),"-"))</f>
        <v>-</v>
      </c>
      <c r="D16" s="10" t="str">
        <f aca="false">IF((SUMIFS(Media_Cliente_Mes!$C$2:$C$145,Media_Cliente_Mes!$A$2:$A$145,"Cofco",Media_Cliente_Mes!$B$2:$B$145,"Dez"))=0,"-",IFERROR(SUMIFS(Media_Cliente_Mes!$E$2:$E$145,Media_Cliente_Mes!$A$2:$A$145,"Cofco",Media_Cliente_Mes!$B$2:$B$145,"Dez"),"-"))</f>
        <v>-</v>
      </c>
      <c r="E16" s="10" t="str">
        <f aca="false">IF((SUMIFS(Media_Cliente_Mes!$C$2:$C$145,Media_Cliente_Mes!$A$2:$A$145,"Cofco",Media_Cliente_Mes!$B$2:$B$145,"Dez"))=0,"-",IFERROR(SUMIFS(Media_Cliente_Mes!$F$2:$F$145,Media_Cliente_Mes!$A$2:$A$145,"Cofco",Media_Cliente_Mes!$B$2:$B$145,"Dez"),"-"))</f>
        <v>-</v>
      </c>
      <c r="F16" s="10" t="str">
        <f aca="false">IF((SUMIFS(Media_Cliente_Mes!$C$2:$C$145,Media_Cliente_Mes!$A$2:$A$145,"Cofco",Media_Cliente_Mes!$B$2:$B$145,"Dez"))=0,"-",IFERROR(SUMIFS(Media_Cliente_Mes!$G$2:$G$145,Media_Cliente_Mes!$A$2:$A$145,"Cofco",Media_Cliente_Mes!$B$2:$B$145,"Dez"),"-"))</f>
        <v>-</v>
      </c>
      <c r="G16" s="8" t="n">
        <f aca="false">SUMIFS(Media_Cliente_Mes!$H$2:$H$145,Media_Cliente_Mes!$A$2:$A$145,"Cofco",Media_Cliente_Mes!$B$2:$B$145,"Dez")</f>
        <v>0</v>
      </c>
      <c r="H16" s="8" t="n">
        <f aca="false">SUMIFS(Media_Cliente_Mes!$I$2:$I$145,Media_Cliente_Mes!$A$2:$A$145,"Cofco",Media_Cliente_Mes!$B$2:$B$145,"Dez")</f>
        <v>0</v>
      </c>
      <c r="I16" s="16" t="n">
        <f aca="false">SUMIFS(Resumo_Cliente_Mes!$G$2:$G$145,Resumo_Cliente_Mes!$A$2:$A$145,"Cofco",Resumo_Cliente_Mes!$B$2:$B$145,"Dez")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588472.89</v>
      </c>
      <c r="C17" s="23" t="n">
        <f aca="false">IFERROR(SUMPRODUCT((B5:B16)*IF(ISNUMBER(C5:C16),C5:C16,0))/B17,"-")</f>
        <v>47.4375339982102</v>
      </c>
      <c r="D17" s="23" t="n">
        <f aca="false">IFERROR(SUMPRODUCT((B5:B16)*IF(ISNUMBER(D5:D16),D5:D16,0))/B17,"-")</f>
        <v>12.3222199328503</v>
      </c>
      <c r="E17" s="23" t="n">
        <f aca="false">IFERROR(SUMPRODUCT((B5:B16)*IF(ISNUMBER(E5:E16),E5:E16,0))/B17,"-")</f>
        <v>3.67403902123682</v>
      </c>
      <c r="F17" s="23" t="n">
        <f aca="false">IFERROR(SUMPRODUCT((B5:B16)*IF(ISNUMBER(F5:F16),F5:F16,0))/B17,"-")</f>
        <v>1.59790690850686</v>
      </c>
      <c r="G17" s="22" t="n">
        <f aca="false">SUM(G5:G16)</f>
        <v>33343.48</v>
      </c>
      <c r="H17" s="22" t="n">
        <f aca="false">SUM(H5:H16)</f>
        <v>555129.41</v>
      </c>
      <c r="I17" s="24" t="n">
        <f aca="false">SUM(I5:I16)</f>
        <v>-21976.8654469488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44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SUMIFS(Media_Cliente_Mes!$C$2:$C$145,Media_Cliente_Mes!$A$2:$A$145,"3Tentos",Media_Cliente_Mes!$B$2:$B$145,"Jan")</f>
        <v>48560.63</v>
      </c>
      <c r="C5" s="10" t="n">
        <f aca="false">IF((SUMIFS(Media_Cliente_Mes!$C$2:$C$145,Media_Cliente_Mes!$A$2:$A$145,"3Tentos",Media_Cliente_Mes!$B$2:$B$145,"Jan"))=0,"-",IFERROR(SUMIFS(Media_Cliente_Mes!$D$2:$D$145,Media_Cliente_Mes!$A$2:$A$145,"3Tentos",Media_Cliente_Mes!$B$2:$B$145,"Jan"),"-"))</f>
        <v>47.5683354869984</v>
      </c>
      <c r="D5" s="10" t="n">
        <f aca="false">IF((SUMIFS(Media_Cliente_Mes!$C$2:$C$145,Media_Cliente_Mes!$A$2:$A$145,"3Tentos",Media_Cliente_Mes!$B$2:$B$145,"Jan"))=0,"-",IFERROR(SUMIFS(Media_Cliente_Mes!$E$2:$E$145,Media_Cliente_Mes!$A$2:$A$145,"3Tentos",Media_Cliente_Mes!$B$2:$B$145,"Jan"),"-"))</f>
        <v>12.2074596664005</v>
      </c>
      <c r="E5" s="10" t="n">
        <f aca="false">IF((SUMIFS(Media_Cliente_Mes!$C$2:$C$145,Media_Cliente_Mes!$A$2:$A$145,"3Tentos",Media_Cliente_Mes!$B$2:$B$145,"Jan"))=0,"-",IFERROR(SUMIFS(Media_Cliente_Mes!$F$2:$F$145,Media_Cliente_Mes!$A$2:$A$145,"3Tentos",Media_Cliente_Mes!$B$2:$B$145,"Jan"),"-"))</f>
        <v>3.62389218385346</v>
      </c>
      <c r="F5" s="10" t="n">
        <f aca="false">IF((SUMIFS(Media_Cliente_Mes!$C$2:$C$145,Media_Cliente_Mes!$A$2:$A$145,"3Tentos",Media_Cliente_Mes!$B$2:$B$145,"Jan"))=0,"-",IFERROR(SUMIFS(Media_Cliente_Mes!$G$2:$G$145,Media_Cliente_Mes!$A$2:$A$145,"3Tentos",Media_Cliente_Mes!$B$2:$B$145,"Jan"),"-"))</f>
        <v>1.6171416865885</v>
      </c>
      <c r="G5" s="8" t="n">
        <f aca="false">SUMIFS(Media_Cliente_Mes!$H$2:$H$145,Media_Cliente_Mes!$A$2:$A$145,"3Tentos",Media_Cliente_Mes!$B$2:$B$145,"Jan")</f>
        <v>47.73</v>
      </c>
      <c r="H5" s="8" t="n">
        <f aca="false">SUMIFS(Media_Cliente_Mes!$I$2:$I$145,Media_Cliente_Mes!$A$2:$A$145,"3Tentos",Media_Cliente_Mes!$B$2:$B$145,"Jan")</f>
        <v>48512.9</v>
      </c>
      <c r="I5" s="16" t="n">
        <f aca="false">SUMIFS(Resumo_Cliente_Mes!$G$2:$G$145,Resumo_Cliente_Mes!$A$2:$A$145,"3Tentos",Resumo_Cliente_Mes!$B$2:$B$145,"Jan")</f>
        <v>-66255.5815475953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SUMIFS(Media_Cliente_Mes!$C$2:$C$145,Media_Cliente_Mes!$A$2:$A$145,"3Tentos",Media_Cliente_Mes!$B$2:$B$145,"Fev")</f>
        <v>41884.18</v>
      </c>
      <c r="C6" s="10" t="n">
        <f aca="false">IF((SUMIFS(Media_Cliente_Mes!$C$2:$C$145,Media_Cliente_Mes!$A$2:$A$145,"3Tentos",Media_Cliente_Mes!$B$2:$B$145,"Fev"))=0,"-",IFERROR(SUMIFS(Media_Cliente_Mes!$D$2:$D$145,Media_Cliente_Mes!$A$2:$A$145,"3Tentos",Media_Cliente_Mes!$B$2:$B$145,"Fev"),"-"))</f>
        <v>47.1484876652712</v>
      </c>
      <c r="D6" s="10" t="n">
        <f aca="false">IF((SUMIFS(Media_Cliente_Mes!$C$2:$C$145,Media_Cliente_Mes!$A$2:$A$145,"3Tentos",Media_Cliente_Mes!$B$2:$B$145,"Fev"))=0,"-",IFERROR(SUMIFS(Media_Cliente_Mes!$E$2:$E$145,Media_Cliente_Mes!$A$2:$A$145,"3Tentos",Media_Cliente_Mes!$B$2:$B$145,"Fev"),"-"))</f>
        <v>12.2362354473694</v>
      </c>
      <c r="E6" s="10" t="n">
        <f aca="false">IF((SUMIFS(Media_Cliente_Mes!$C$2:$C$145,Media_Cliente_Mes!$A$2:$A$145,"3Tentos",Media_Cliente_Mes!$B$2:$B$145,"Fev"))=0,"-",IFERROR(SUMIFS(Media_Cliente_Mes!$F$2:$F$145,Media_Cliente_Mes!$A$2:$A$145,"3Tentos",Media_Cliente_Mes!$B$2:$B$145,"Fev"),"-"))</f>
        <v>3.74981974817222</v>
      </c>
      <c r="F6" s="10" t="n">
        <f aca="false">IF((SUMIFS(Media_Cliente_Mes!$C$2:$C$145,Media_Cliente_Mes!$A$2:$A$145,"3Tentos",Media_Cliente_Mes!$B$2:$B$145,"Fev"))=0,"-",IFERROR(SUMIFS(Media_Cliente_Mes!$G$2:$G$145,Media_Cliente_Mes!$A$2:$A$145,"3Tentos",Media_Cliente_Mes!$B$2:$B$145,"Fev"),"-"))</f>
        <v>1.58629456515563</v>
      </c>
      <c r="G6" s="8" t="n">
        <f aca="false">SUMIFS(Media_Cliente_Mes!$H$2:$H$145,Media_Cliente_Mes!$A$2:$A$145,"3Tentos",Media_Cliente_Mes!$B$2:$B$145,"Fev")</f>
        <v>39.21</v>
      </c>
      <c r="H6" s="8" t="n">
        <f aca="false">SUMIFS(Media_Cliente_Mes!$I$2:$I$145,Media_Cliente_Mes!$A$2:$A$145,"3Tentos",Media_Cliente_Mes!$B$2:$B$145,"Fev")</f>
        <v>41844.97</v>
      </c>
      <c r="I6" s="16" t="n">
        <f aca="false">SUMIFS(Resumo_Cliente_Mes!$G$2:$G$145,Resumo_Cliente_Mes!$A$2:$A$145,"3Tentos",Resumo_Cliente_Mes!$B$2:$B$145,"Fev")</f>
        <v>-51795.3617633198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SUMIFS(Media_Cliente_Mes!$C$2:$C$145,Media_Cliente_Mes!$A$2:$A$145,"3Tentos",Media_Cliente_Mes!$B$2:$B$145,"Mar")</f>
        <v>58475.74</v>
      </c>
      <c r="C7" s="10" t="n">
        <f aca="false">IF((SUMIFS(Media_Cliente_Mes!$C$2:$C$145,Media_Cliente_Mes!$A$2:$A$145,"3Tentos",Media_Cliente_Mes!$B$2:$B$145,"Mar"))=0,"-",IFERROR(SUMIFS(Media_Cliente_Mes!$D$2:$D$145,Media_Cliente_Mes!$A$2:$A$145,"3Tentos",Media_Cliente_Mes!$B$2:$B$145,"Mar"),"-"))</f>
        <v>47.144728696037</v>
      </c>
      <c r="D7" s="10" t="n">
        <f aca="false">IF((SUMIFS(Media_Cliente_Mes!$C$2:$C$145,Media_Cliente_Mes!$A$2:$A$145,"3Tentos",Media_Cliente_Mes!$B$2:$B$145,"Mar"))=0,"-",IFERROR(SUMIFS(Media_Cliente_Mes!$E$2:$E$145,Media_Cliente_Mes!$A$2:$A$145,"3Tentos",Media_Cliente_Mes!$B$2:$B$145,"Mar"),"-"))</f>
        <v>12.3664502578334</v>
      </c>
      <c r="E7" s="10" t="n">
        <f aca="false">IF((SUMIFS(Media_Cliente_Mes!$C$2:$C$145,Media_Cliente_Mes!$A$2:$A$145,"3Tentos",Media_Cliente_Mes!$B$2:$B$145,"Mar"))=0,"-",IFERROR(SUMIFS(Media_Cliente_Mes!$F$2:$F$145,Media_Cliente_Mes!$A$2:$A$145,"3Tentos",Media_Cliente_Mes!$B$2:$B$145,"Mar"),"-"))</f>
        <v>3.72735838999216</v>
      </c>
      <c r="F7" s="10" t="n">
        <f aca="false">IF((SUMIFS(Media_Cliente_Mes!$C$2:$C$145,Media_Cliente_Mes!$A$2:$A$145,"3Tentos",Media_Cliente_Mes!$B$2:$B$145,"Mar"))=0,"-",IFERROR(SUMIFS(Media_Cliente_Mes!$G$2:$G$145,Media_Cliente_Mes!$A$2:$A$145,"3Tentos",Media_Cliente_Mes!$B$2:$B$145,"Mar"),"-"))</f>
        <v>1.60726033565373</v>
      </c>
      <c r="G7" s="8" t="n">
        <f aca="false">SUMIFS(Media_Cliente_Mes!$H$2:$H$145,Media_Cliente_Mes!$A$2:$A$145,"3Tentos",Media_Cliente_Mes!$B$2:$B$145,"Mar")</f>
        <v>1340.51</v>
      </c>
      <c r="H7" s="8" t="n">
        <f aca="false">SUMIFS(Media_Cliente_Mes!$I$2:$I$145,Media_Cliente_Mes!$A$2:$A$145,"3Tentos",Media_Cliente_Mes!$B$2:$B$145,"Mar")</f>
        <v>57135.23</v>
      </c>
      <c r="I7" s="16" t="n">
        <f aca="false">SUMIFS(Resumo_Cliente_Mes!$G$2:$G$145,Resumo_Cliente_Mes!$A$2:$A$145,"3Tentos",Resumo_Cliente_Mes!$B$2:$B$145,"Mar")</f>
        <v>-49351.1482101628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SUMIFS(Media_Cliente_Mes!$C$2:$C$145,Media_Cliente_Mes!$A$2:$A$145,"3Tentos",Media_Cliente_Mes!$B$2:$B$145,"Abr")</f>
        <v>88798.66</v>
      </c>
      <c r="C8" s="10" t="n">
        <f aca="false">IF((SUMIFS(Media_Cliente_Mes!$C$2:$C$145,Media_Cliente_Mes!$A$2:$A$145,"3Tentos",Media_Cliente_Mes!$B$2:$B$145,"Abr"))=0,"-",IFERROR(SUMIFS(Media_Cliente_Mes!$D$2:$D$145,Media_Cliente_Mes!$A$2:$A$145,"3Tentos",Media_Cliente_Mes!$B$2:$B$145,"Abr"),"-"))</f>
        <v>47.6019370855371</v>
      </c>
      <c r="D8" s="10" t="n">
        <f aca="false">IF((SUMIFS(Media_Cliente_Mes!$C$2:$C$145,Media_Cliente_Mes!$A$2:$A$145,"3Tentos",Media_Cliente_Mes!$B$2:$B$145,"Abr"))=0,"-",IFERROR(SUMIFS(Media_Cliente_Mes!$E$2:$E$145,Media_Cliente_Mes!$A$2:$A$145,"3Tentos",Media_Cliente_Mes!$B$2:$B$145,"Abr"),"-"))</f>
        <v>12.4580976098063</v>
      </c>
      <c r="E8" s="10" t="n">
        <f aca="false">IF((SUMIFS(Media_Cliente_Mes!$C$2:$C$145,Media_Cliente_Mes!$A$2:$A$145,"3Tentos",Media_Cliente_Mes!$B$2:$B$145,"Abr"))=0,"-",IFERROR(SUMIFS(Media_Cliente_Mes!$F$2:$F$145,Media_Cliente_Mes!$A$2:$A$145,"3Tentos",Media_Cliente_Mes!$B$2:$B$145,"Abr"),"-"))</f>
        <v>3.61371181614678</v>
      </c>
      <c r="F8" s="10" t="n">
        <f aca="false">IF((SUMIFS(Media_Cliente_Mes!$C$2:$C$145,Media_Cliente_Mes!$A$2:$A$145,"3Tentos",Media_Cliente_Mes!$B$2:$B$145,"Abr"))=0,"-",IFERROR(SUMIFS(Media_Cliente_Mes!$G$2:$G$145,Media_Cliente_Mes!$A$2:$A$145,"3Tentos",Media_Cliente_Mes!$B$2:$B$145,"Abr"),"-"))</f>
        <v>1.63347967863479</v>
      </c>
      <c r="G8" s="8" t="n">
        <f aca="false">SUMIFS(Media_Cliente_Mes!$H$2:$H$145,Media_Cliente_Mes!$A$2:$A$145,"3Tentos",Media_Cliente_Mes!$B$2:$B$145,"Abr")</f>
        <v>28630.42</v>
      </c>
      <c r="H8" s="8" t="n">
        <f aca="false">SUMIFS(Media_Cliente_Mes!$I$2:$I$145,Media_Cliente_Mes!$A$2:$A$145,"3Tentos",Media_Cliente_Mes!$B$2:$B$145,"Abr")</f>
        <v>60168.24</v>
      </c>
      <c r="I8" s="16" t="n">
        <f aca="false">SUMIFS(Resumo_Cliente_Mes!$G$2:$G$145,Resumo_Cliente_Mes!$A$2:$A$145,"3Tentos",Resumo_Cliente_Mes!$B$2:$B$145,"Abr")</f>
        <v>88072.4342330706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SUMIFS(Media_Cliente_Mes!$C$2:$C$145,Media_Cliente_Mes!$A$2:$A$145,"3Tentos",Media_Cliente_Mes!$B$2:$B$145,"Mai")</f>
        <v>62604.74</v>
      </c>
      <c r="C9" s="10" t="n">
        <f aca="false">IF((SUMIFS(Media_Cliente_Mes!$C$2:$C$145,Media_Cliente_Mes!$A$2:$A$145,"3Tentos",Media_Cliente_Mes!$B$2:$B$145,"Mai"))=0,"-",IFERROR(SUMIFS(Media_Cliente_Mes!$D$2:$D$145,Media_Cliente_Mes!$A$2:$A$145,"3Tentos",Media_Cliente_Mes!$B$2:$B$145,"Mai"),"-"))</f>
        <v>47.4925409721373</v>
      </c>
      <c r="D9" s="10" t="n">
        <f aca="false">IF((SUMIFS(Media_Cliente_Mes!$C$2:$C$145,Media_Cliente_Mes!$A$2:$A$145,"3Tentos",Media_Cliente_Mes!$B$2:$B$145,"Mai"))=0,"-",IFERROR(SUMIFS(Media_Cliente_Mes!$E$2:$E$145,Media_Cliente_Mes!$A$2:$A$145,"3Tentos",Media_Cliente_Mes!$B$2:$B$145,"Mai"),"-"))</f>
        <v>12.3994822532607</v>
      </c>
      <c r="E9" s="10" t="n">
        <f aca="false">IF((SUMIFS(Media_Cliente_Mes!$C$2:$C$145,Media_Cliente_Mes!$A$2:$A$145,"3Tentos",Media_Cliente_Mes!$B$2:$B$145,"Mai"))=0,"-",IFERROR(SUMIFS(Media_Cliente_Mes!$F$2:$F$145,Media_Cliente_Mes!$A$2:$A$145,"3Tentos",Media_Cliente_Mes!$B$2:$B$145,"Mai"),"-"))</f>
        <v>3.75129450102341</v>
      </c>
      <c r="F9" s="10" t="n">
        <f aca="false">IF((SUMIFS(Media_Cliente_Mes!$C$2:$C$145,Media_Cliente_Mes!$A$2:$A$145,"3Tentos",Media_Cliente_Mes!$B$2:$B$145,"Mai"))=0,"-",IFERROR(SUMIFS(Media_Cliente_Mes!$G$2:$G$145,Media_Cliente_Mes!$A$2:$A$145,"3Tentos",Media_Cliente_Mes!$B$2:$B$145,"Mai"),"-"))</f>
        <v>1.68461407075567</v>
      </c>
      <c r="G9" s="8" t="n">
        <f aca="false">SUMIFS(Media_Cliente_Mes!$H$2:$H$145,Media_Cliente_Mes!$A$2:$A$145,"3Tentos",Media_Cliente_Mes!$B$2:$B$145,"Mai")</f>
        <v>17880.02</v>
      </c>
      <c r="H9" s="8" t="n">
        <f aca="false">SUMIFS(Media_Cliente_Mes!$I$2:$I$145,Media_Cliente_Mes!$A$2:$A$145,"3Tentos",Media_Cliente_Mes!$B$2:$B$145,"Mai")</f>
        <v>44724.72</v>
      </c>
      <c r="I9" s="16" t="n">
        <f aca="false">SUMIFS(Resumo_Cliente_Mes!$G$2:$G$145,Resumo_Cliente_Mes!$A$2:$A$145,"3Tentos",Resumo_Cliente_Mes!$B$2:$B$145,"Mai")</f>
        <v>-47435.7041179483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SUMIFS(Media_Cliente_Mes!$C$2:$C$145,Media_Cliente_Mes!$A$2:$A$145,"3Tentos",Media_Cliente_Mes!$B$2:$B$145,"Jun")</f>
        <v>51533.03</v>
      </c>
      <c r="C10" s="10" t="n">
        <f aca="false">IF((SUMIFS(Media_Cliente_Mes!$C$2:$C$145,Media_Cliente_Mes!$A$2:$A$145,"3Tentos",Media_Cliente_Mes!$B$2:$B$145,"Jun"))=0,"-",IFERROR(SUMIFS(Media_Cliente_Mes!$D$2:$D$145,Media_Cliente_Mes!$A$2:$A$145,"3Tentos",Media_Cliente_Mes!$B$2:$B$145,"Jun"),"-"))</f>
        <v>47.4120016288582</v>
      </c>
      <c r="D10" s="10" t="n">
        <f aca="false">IF((SUMIFS(Media_Cliente_Mes!$C$2:$C$145,Media_Cliente_Mes!$A$2:$A$145,"3Tentos",Media_Cliente_Mes!$B$2:$B$145,"Jun"))=0,"-",IFERROR(SUMIFS(Media_Cliente_Mes!$E$2:$E$145,Media_Cliente_Mes!$A$2:$A$145,"3Tentos",Media_Cliente_Mes!$B$2:$B$145,"Jun"),"-"))</f>
        <v>12.4986174711636</v>
      </c>
      <c r="E10" s="10" t="n">
        <f aca="false">IF((SUMIFS(Media_Cliente_Mes!$C$2:$C$145,Media_Cliente_Mes!$A$2:$A$145,"3Tentos",Media_Cliente_Mes!$B$2:$B$145,"Jun"))=0,"-",IFERROR(SUMIFS(Media_Cliente_Mes!$F$2:$F$145,Media_Cliente_Mes!$A$2:$A$145,"3Tentos",Media_Cliente_Mes!$B$2:$B$145,"Jun"),"-"))</f>
        <v>3.76879404335433</v>
      </c>
      <c r="F10" s="10" t="n">
        <f aca="false">IF((SUMIFS(Media_Cliente_Mes!$C$2:$C$145,Media_Cliente_Mes!$A$2:$A$145,"3Tentos",Media_Cliente_Mes!$B$2:$B$145,"Jun"))=0,"-",IFERROR(SUMIFS(Media_Cliente_Mes!$G$2:$G$145,Media_Cliente_Mes!$A$2:$A$145,"3Tentos",Media_Cliente_Mes!$B$2:$B$145,"Jun"),"-"))</f>
        <v>1.60154147931919</v>
      </c>
      <c r="G10" s="8" t="n">
        <f aca="false">SUMIFS(Media_Cliente_Mes!$H$2:$H$145,Media_Cliente_Mes!$A$2:$A$145,"3Tentos",Media_Cliente_Mes!$B$2:$B$145,"Jun")</f>
        <v>4122.77</v>
      </c>
      <c r="H10" s="8" t="n">
        <f aca="false">SUMIFS(Media_Cliente_Mes!$I$2:$I$145,Media_Cliente_Mes!$A$2:$A$145,"3Tentos",Media_Cliente_Mes!$B$2:$B$145,"Jun")</f>
        <v>47410.26</v>
      </c>
      <c r="I10" s="16" t="n">
        <f aca="false">SUMIFS(Resumo_Cliente_Mes!$G$2:$G$145,Resumo_Cliente_Mes!$A$2:$A$145,"3Tentos",Resumo_Cliente_Mes!$B$2:$B$145,"Jun")</f>
        <v>13604.3781506092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SUMIFS(Media_Cliente_Mes!$C$2:$C$145,Media_Cliente_Mes!$A$2:$A$145,"3Tentos",Media_Cliente_Mes!$B$2:$B$145,"Jul")</f>
        <v>49521.94</v>
      </c>
      <c r="C11" s="10" t="n">
        <f aca="false">IF((SUMIFS(Media_Cliente_Mes!$C$2:$C$145,Media_Cliente_Mes!$A$2:$A$145,"3Tentos",Media_Cliente_Mes!$B$2:$B$145,"Jul"))=0,"-",IFERROR(SUMIFS(Media_Cliente_Mes!$D$2:$D$145,Media_Cliente_Mes!$A$2:$A$145,"3Tentos",Media_Cliente_Mes!$B$2:$B$145,"Jul"),"-"))</f>
        <v>47.709732193448</v>
      </c>
      <c r="D11" s="10" t="n">
        <f aca="false">IF((SUMIFS(Media_Cliente_Mes!$C$2:$C$145,Media_Cliente_Mes!$A$2:$A$145,"3Tentos",Media_Cliente_Mes!$B$2:$B$145,"Jul"))=0,"-",IFERROR(SUMIFS(Media_Cliente_Mes!$E$2:$E$145,Media_Cliente_Mes!$A$2:$A$145,"3Tentos",Media_Cliente_Mes!$B$2:$B$145,"Jul"),"-"))</f>
        <v>12.239923759045</v>
      </c>
      <c r="E11" s="10" t="n">
        <f aca="false">IF((SUMIFS(Media_Cliente_Mes!$C$2:$C$145,Media_Cliente_Mes!$A$2:$A$145,"3Tentos",Media_Cliente_Mes!$B$2:$B$145,"Jul"))=0,"-",IFERROR(SUMIFS(Media_Cliente_Mes!$F$2:$F$145,Media_Cliente_Mes!$A$2:$A$145,"3Tentos",Media_Cliente_Mes!$B$2:$B$145,"Jul"),"-"))</f>
        <v>3.5944892344686</v>
      </c>
      <c r="F11" s="10" t="n">
        <f aca="false">IF((SUMIFS(Media_Cliente_Mes!$C$2:$C$145,Media_Cliente_Mes!$A$2:$A$145,"3Tentos",Media_Cliente_Mes!$B$2:$B$145,"Jul"))=0,"-",IFERROR(SUMIFS(Media_Cliente_Mes!$G$2:$G$145,Media_Cliente_Mes!$A$2:$A$145,"3Tentos",Media_Cliente_Mes!$B$2:$B$145,"Jul"),"-"))</f>
        <v>1.67647246048923</v>
      </c>
      <c r="G11" s="8" t="n">
        <f aca="false">SUMIFS(Media_Cliente_Mes!$H$2:$H$145,Media_Cliente_Mes!$A$2:$A$145,"3Tentos",Media_Cliente_Mes!$B$2:$B$145,"Jul")</f>
        <v>11591.03</v>
      </c>
      <c r="H11" s="8" t="n">
        <f aca="false">SUMIFS(Media_Cliente_Mes!$I$2:$I$145,Media_Cliente_Mes!$A$2:$A$145,"3Tentos",Media_Cliente_Mes!$B$2:$B$145,"Jul")</f>
        <v>37930.91</v>
      </c>
      <c r="I11" s="16" t="n">
        <f aca="false">SUMIFS(Resumo_Cliente_Mes!$G$2:$G$145,Resumo_Cliente_Mes!$A$2:$A$145,"3Tentos",Resumo_Cliente_Mes!$B$2:$B$145,"Jul")</f>
        <v>33854.9054911014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SUMIFS(Media_Cliente_Mes!$C$2:$C$145,Media_Cliente_Mes!$A$2:$A$145,"3Tentos",Media_Cliente_Mes!$B$2:$B$145,"Ago")</f>
        <v>47668.74</v>
      </c>
      <c r="C12" s="10" t="n">
        <f aca="false">IF((SUMIFS(Media_Cliente_Mes!$C$2:$C$145,Media_Cliente_Mes!$A$2:$A$145,"3Tentos",Media_Cliente_Mes!$B$2:$B$145,"Ago"))=0,"-",IFERROR(SUMIFS(Media_Cliente_Mes!$D$2:$D$145,Media_Cliente_Mes!$A$2:$A$145,"3Tentos",Media_Cliente_Mes!$B$2:$B$145,"Ago"),"-"))</f>
        <v>47.1529461529715</v>
      </c>
      <c r="D12" s="10" t="n">
        <f aca="false">IF((SUMIFS(Media_Cliente_Mes!$C$2:$C$145,Media_Cliente_Mes!$A$2:$A$145,"3Tentos",Media_Cliente_Mes!$B$2:$B$145,"Ago"))=0,"-",IFERROR(SUMIFS(Media_Cliente_Mes!$E$2:$E$145,Media_Cliente_Mes!$A$2:$A$145,"3Tentos",Media_Cliente_Mes!$B$2:$B$145,"Ago"),"-"))</f>
        <v>11.9345679453663</v>
      </c>
      <c r="E12" s="10" t="n">
        <f aca="false">IF((SUMIFS(Media_Cliente_Mes!$C$2:$C$145,Media_Cliente_Mes!$A$2:$A$145,"3Tentos",Media_Cliente_Mes!$B$2:$B$145,"Ago"))=0,"-",IFERROR(SUMIFS(Media_Cliente_Mes!$F$2:$F$145,Media_Cliente_Mes!$A$2:$A$145,"3Tentos",Media_Cliente_Mes!$B$2:$B$145,"Ago"),"-"))</f>
        <v>3.85339618374641</v>
      </c>
      <c r="F12" s="10" t="n">
        <f aca="false">IF((SUMIFS(Media_Cliente_Mes!$C$2:$C$145,Media_Cliente_Mes!$A$2:$A$145,"3Tentos",Media_Cliente_Mes!$B$2:$B$145,"Ago"))=0,"-",IFERROR(SUMIFS(Media_Cliente_Mes!$G$2:$G$145,Media_Cliente_Mes!$A$2:$A$145,"3Tentos",Media_Cliente_Mes!$B$2:$B$145,"Ago"),"-"))</f>
        <v>1.58431325644437</v>
      </c>
      <c r="G12" s="8" t="n">
        <f aca="false">SUMIFS(Media_Cliente_Mes!$H$2:$H$145,Media_Cliente_Mes!$A$2:$A$145,"3Tentos",Media_Cliente_Mes!$B$2:$B$145,"Ago")</f>
        <v>16733.4</v>
      </c>
      <c r="H12" s="8" t="n">
        <f aca="false">SUMIFS(Media_Cliente_Mes!$I$2:$I$145,Media_Cliente_Mes!$A$2:$A$145,"3Tentos",Media_Cliente_Mes!$B$2:$B$145,"Ago")</f>
        <v>30935.34</v>
      </c>
      <c r="I12" s="16" t="n">
        <f aca="false">SUMIFS(Resumo_Cliente_Mes!$G$2:$G$145,Resumo_Cliente_Mes!$A$2:$A$145,"3Tentos",Resumo_Cliente_Mes!$B$2:$B$145,"Ago")</f>
        <v>-36249.8948868219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SUMIFS(Media_Cliente_Mes!$C$2:$C$145,Media_Cliente_Mes!$A$2:$A$145,"3Tentos",Media_Cliente_Mes!$B$2:$B$145,"Set")</f>
        <v>5121.78</v>
      </c>
      <c r="C13" s="10" t="n">
        <f aca="false">IF((SUMIFS(Media_Cliente_Mes!$C$2:$C$145,Media_Cliente_Mes!$A$2:$A$145,"3Tentos",Media_Cliente_Mes!$B$2:$B$145,"Set"))=0,"-",IFERROR(SUMIFS(Media_Cliente_Mes!$D$2:$D$145,Media_Cliente_Mes!$A$2:$A$145,"3Tentos",Media_Cliente_Mes!$B$2:$B$145,"Set"),"-"))</f>
        <v>47.7855840742867</v>
      </c>
      <c r="D13" s="10" t="n">
        <f aca="false">IF((SUMIFS(Media_Cliente_Mes!$C$2:$C$145,Media_Cliente_Mes!$A$2:$A$145,"3Tentos",Media_Cliente_Mes!$B$2:$B$145,"Set"))=0,"-",IFERROR(SUMIFS(Media_Cliente_Mes!$E$2:$E$145,Media_Cliente_Mes!$A$2:$A$145,"3Tentos",Media_Cliente_Mes!$B$2:$B$145,"Set"),"-"))</f>
        <v>12.3737207962857</v>
      </c>
      <c r="E13" s="10" t="n">
        <f aca="false">IF((SUMIFS(Media_Cliente_Mes!$C$2:$C$145,Media_Cliente_Mes!$A$2:$A$145,"3Tentos",Media_Cliente_Mes!$B$2:$B$145,"Set"))=0,"-",IFERROR(SUMIFS(Media_Cliente_Mes!$F$2:$F$145,Media_Cliente_Mes!$A$2:$A$145,"3Tentos",Media_Cliente_Mes!$B$2:$B$145,"Set"),"-"))</f>
        <v>3.68953274057066</v>
      </c>
      <c r="F13" s="10" t="n">
        <f aca="false">IF((SUMIFS(Media_Cliente_Mes!$C$2:$C$145,Media_Cliente_Mes!$A$2:$A$145,"3Tentos",Media_Cliente_Mes!$B$2:$B$145,"Set"))=0,"-",IFERROR(SUMIFS(Media_Cliente_Mes!$G$2:$G$145,Media_Cliente_Mes!$A$2:$A$145,"3Tentos",Media_Cliente_Mes!$B$2:$B$145,"Set"),"-"))</f>
        <v>1.67837035171366</v>
      </c>
      <c r="G13" s="8" t="n">
        <f aca="false">SUMIFS(Media_Cliente_Mes!$H$2:$H$145,Media_Cliente_Mes!$A$2:$A$145,"3Tentos",Media_Cliente_Mes!$B$2:$B$145,"Set")</f>
        <v>1905.71</v>
      </c>
      <c r="H13" s="8" t="n">
        <f aca="false">SUMIFS(Media_Cliente_Mes!$I$2:$I$145,Media_Cliente_Mes!$A$2:$A$145,"3Tentos",Media_Cliente_Mes!$B$2:$B$145,"Set")</f>
        <v>3216.07</v>
      </c>
      <c r="I13" s="16" t="n">
        <f aca="false">SUMIFS(Resumo_Cliente_Mes!$G$2:$G$145,Resumo_Cliente_Mes!$A$2:$A$145,"3Tentos",Resumo_Cliente_Mes!$B$2:$B$145,"Set")</f>
        <v>9717.71289752559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SUMIFS(Media_Cliente_Mes!$C$2:$C$145,Media_Cliente_Mes!$A$2:$A$145,"3Tentos",Media_Cliente_Mes!$B$2:$B$145,"Out")</f>
        <v>0</v>
      </c>
      <c r="C14" s="10" t="str">
        <f aca="false">IF((SUMIFS(Media_Cliente_Mes!$C$2:$C$145,Media_Cliente_Mes!$A$2:$A$145,"3Tentos",Media_Cliente_Mes!$B$2:$B$145,"Out"))=0,"-",IFERROR(SUMIFS(Media_Cliente_Mes!$D$2:$D$145,Media_Cliente_Mes!$A$2:$A$145,"3Tentos",Media_Cliente_Mes!$B$2:$B$145,"Out"),"-"))</f>
        <v>-</v>
      </c>
      <c r="D14" s="10" t="str">
        <f aca="false">IF((SUMIFS(Media_Cliente_Mes!$C$2:$C$145,Media_Cliente_Mes!$A$2:$A$145,"3Tentos",Media_Cliente_Mes!$B$2:$B$145,"Out"))=0,"-",IFERROR(SUMIFS(Media_Cliente_Mes!$E$2:$E$145,Media_Cliente_Mes!$A$2:$A$145,"3Tentos",Media_Cliente_Mes!$B$2:$B$145,"Out"),"-"))</f>
        <v>-</v>
      </c>
      <c r="E14" s="10" t="str">
        <f aca="false">IF((SUMIFS(Media_Cliente_Mes!$C$2:$C$145,Media_Cliente_Mes!$A$2:$A$145,"3Tentos",Media_Cliente_Mes!$B$2:$B$145,"Out"))=0,"-",IFERROR(SUMIFS(Media_Cliente_Mes!$F$2:$F$145,Media_Cliente_Mes!$A$2:$A$145,"3Tentos",Media_Cliente_Mes!$B$2:$B$145,"Out"),"-"))</f>
        <v>-</v>
      </c>
      <c r="F14" s="10" t="str">
        <f aca="false">IF((SUMIFS(Media_Cliente_Mes!$C$2:$C$145,Media_Cliente_Mes!$A$2:$A$145,"3Tentos",Media_Cliente_Mes!$B$2:$B$145,"Out"))=0,"-",IFERROR(SUMIFS(Media_Cliente_Mes!$G$2:$G$145,Media_Cliente_Mes!$A$2:$A$145,"3Tentos",Media_Cliente_Mes!$B$2:$B$145,"Out"),"-"))</f>
        <v>-</v>
      </c>
      <c r="G14" s="8" t="n">
        <f aca="false">SUMIFS(Media_Cliente_Mes!$H$2:$H$145,Media_Cliente_Mes!$A$2:$A$145,"3Tentos",Media_Cliente_Mes!$B$2:$B$145,"Out")</f>
        <v>0</v>
      </c>
      <c r="H14" s="8" t="n">
        <f aca="false">SUMIFS(Media_Cliente_Mes!$I$2:$I$145,Media_Cliente_Mes!$A$2:$A$145,"3Tentos",Media_Cliente_Mes!$B$2:$B$145,"Out")</f>
        <v>0</v>
      </c>
      <c r="I14" s="16" t="n">
        <f aca="false">SUMIFS(Resumo_Cliente_Mes!$G$2:$G$145,Resumo_Cliente_Mes!$A$2:$A$145,"3Tentos",Resumo_Cliente_Mes!$B$2:$B$145,"Out")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SUMIFS(Media_Cliente_Mes!$C$2:$C$145,Media_Cliente_Mes!$A$2:$A$145,"3Tentos",Media_Cliente_Mes!$B$2:$B$145,"Nov")</f>
        <v>0</v>
      </c>
      <c r="C15" s="10" t="str">
        <f aca="false">IF((SUMIFS(Media_Cliente_Mes!$C$2:$C$145,Media_Cliente_Mes!$A$2:$A$145,"3Tentos",Media_Cliente_Mes!$B$2:$B$145,"Nov"))=0,"-",IFERROR(SUMIFS(Media_Cliente_Mes!$D$2:$D$145,Media_Cliente_Mes!$A$2:$A$145,"3Tentos",Media_Cliente_Mes!$B$2:$B$145,"Nov"),"-"))</f>
        <v>-</v>
      </c>
      <c r="D15" s="10" t="str">
        <f aca="false">IF((SUMIFS(Media_Cliente_Mes!$C$2:$C$145,Media_Cliente_Mes!$A$2:$A$145,"3Tentos",Media_Cliente_Mes!$B$2:$B$145,"Nov"))=0,"-",IFERROR(SUMIFS(Media_Cliente_Mes!$E$2:$E$145,Media_Cliente_Mes!$A$2:$A$145,"3Tentos",Media_Cliente_Mes!$B$2:$B$145,"Nov"),"-"))</f>
        <v>-</v>
      </c>
      <c r="E15" s="10" t="str">
        <f aca="false">IF((SUMIFS(Media_Cliente_Mes!$C$2:$C$145,Media_Cliente_Mes!$A$2:$A$145,"3Tentos",Media_Cliente_Mes!$B$2:$B$145,"Nov"))=0,"-",IFERROR(SUMIFS(Media_Cliente_Mes!$F$2:$F$145,Media_Cliente_Mes!$A$2:$A$145,"3Tentos",Media_Cliente_Mes!$B$2:$B$145,"Nov"),"-"))</f>
        <v>-</v>
      </c>
      <c r="F15" s="10" t="str">
        <f aca="false">IF((SUMIFS(Media_Cliente_Mes!$C$2:$C$145,Media_Cliente_Mes!$A$2:$A$145,"3Tentos",Media_Cliente_Mes!$B$2:$B$145,"Nov"))=0,"-",IFERROR(SUMIFS(Media_Cliente_Mes!$G$2:$G$145,Media_Cliente_Mes!$A$2:$A$145,"3Tentos",Media_Cliente_Mes!$B$2:$B$145,"Nov"),"-"))</f>
        <v>-</v>
      </c>
      <c r="G15" s="8" t="n">
        <f aca="false">SUMIFS(Media_Cliente_Mes!$H$2:$H$145,Media_Cliente_Mes!$A$2:$A$145,"3Tentos",Media_Cliente_Mes!$B$2:$B$145,"Nov")</f>
        <v>0</v>
      </c>
      <c r="H15" s="8" t="n">
        <f aca="false">SUMIFS(Media_Cliente_Mes!$I$2:$I$145,Media_Cliente_Mes!$A$2:$A$145,"3Tentos",Media_Cliente_Mes!$B$2:$B$145,"Nov")</f>
        <v>0</v>
      </c>
      <c r="I15" s="16" t="n">
        <f aca="false">SUMIFS(Resumo_Cliente_Mes!$G$2:$G$145,Resumo_Cliente_Mes!$A$2:$A$145,"3Tentos",Resumo_Cliente_Mes!$B$2:$B$145,"Nov")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SUMIFS(Media_Cliente_Mes!$C$2:$C$145,Media_Cliente_Mes!$A$2:$A$145,"3Tentos",Media_Cliente_Mes!$B$2:$B$145,"Dez")</f>
        <v>0</v>
      </c>
      <c r="C16" s="10" t="str">
        <f aca="false">IF((SUMIFS(Media_Cliente_Mes!$C$2:$C$145,Media_Cliente_Mes!$A$2:$A$145,"3Tentos",Media_Cliente_Mes!$B$2:$B$145,"Dez"))=0,"-",IFERROR(SUMIFS(Media_Cliente_Mes!$D$2:$D$145,Media_Cliente_Mes!$A$2:$A$145,"3Tentos",Media_Cliente_Mes!$B$2:$B$145,"Dez"),"-"))</f>
        <v>-</v>
      </c>
      <c r="D16" s="10" t="str">
        <f aca="false">IF((SUMIFS(Media_Cliente_Mes!$C$2:$C$145,Media_Cliente_Mes!$A$2:$A$145,"3Tentos",Media_Cliente_Mes!$B$2:$B$145,"Dez"))=0,"-",IFERROR(SUMIFS(Media_Cliente_Mes!$E$2:$E$145,Media_Cliente_Mes!$A$2:$A$145,"3Tentos",Media_Cliente_Mes!$B$2:$B$145,"Dez"),"-"))</f>
        <v>-</v>
      </c>
      <c r="E16" s="10" t="str">
        <f aca="false">IF((SUMIFS(Media_Cliente_Mes!$C$2:$C$145,Media_Cliente_Mes!$A$2:$A$145,"3Tentos",Media_Cliente_Mes!$B$2:$B$145,"Dez"))=0,"-",IFERROR(SUMIFS(Media_Cliente_Mes!$F$2:$F$145,Media_Cliente_Mes!$A$2:$A$145,"3Tentos",Media_Cliente_Mes!$B$2:$B$145,"Dez"),"-"))</f>
        <v>-</v>
      </c>
      <c r="F16" s="10" t="str">
        <f aca="false">IF((SUMIFS(Media_Cliente_Mes!$C$2:$C$145,Media_Cliente_Mes!$A$2:$A$145,"3Tentos",Media_Cliente_Mes!$B$2:$B$145,"Dez"))=0,"-",IFERROR(SUMIFS(Media_Cliente_Mes!$G$2:$G$145,Media_Cliente_Mes!$A$2:$A$145,"3Tentos",Media_Cliente_Mes!$B$2:$B$145,"Dez"),"-"))</f>
        <v>-</v>
      </c>
      <c r="G16" s="8" t="n">
        <f aca="false">SUMIFS(Media_Cliente_Mes!$H$2:$H$145,Media_Cliente_Mes!$A$2:$A$145,"3Tentos",Media_Cliente_Mes!$B$2:$B$145,"Dez")</f>
        <v>0</v>
      </c>
      <c r="H16" s="8" t="n">
        <f aca="false">SUMIFS(Media_Cliente_Mes!$I$2:$I$145,Media_Cliente_Mes!$A$2:$A$145,"3Tentos",Media_Cliente_Mes!$B$2:$B$145,"Dez")</f>
        <v>0</v>
      </c>
      <c r="I16" s="16" t="n">
        <f aca="false">SUMIFS(Resumo_Cliente_Mes!$G$2:$G$145,Resumo_Cliente_Mes!$A$2:$A$145,"3Tentos",Resumo_Cliente_Mes!$B$2:$B$145,"Dez")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454169.44</v>
      </c>
      <c r="C17" s="23" t="n">
        <f aca="false">IFERROR(SUMPRODUCT((B5:B16)*IF(ISNUMBER(C5:C16),C5:C16,0))/B17,"-")</f>
        <v>47.4277282146064</v>
      </c>
      <c r="D17" s="23" t="n">
        <f aca="false">IFERROR(SUMPRODUCT((B5:B16)*IF(ISNUMBER(D5:D16),D5:D16,0))/B17,"-")</f>
        <v>12.315866910376</v>
      </c>
      <c r="E17" s="23" t="n">
        <f aca="false">IFERROR(SUMPRODUCT((B5:B16)*IF(ISNUMBER(E5:E16),E5:E16,0))/B17,"-")</f>
        <v>3.70246225549654</v>
      </c>
      <c r="F17" s="23" t="n">
        <f aca="false">IFERROR(SUMPRODUCT((B5:B16)*IF(ISNUMBER(F5:F16),F5:F16,0))/B17,"-")</f>
        <v>1.62746386084453</v>
      </c>
      <c r="G17" s="22" t="n">
        <f aca="false">SUM(G5:G16)</f>
        <v>82290.8</v>
      </c>
      <c r="H17" s="22" t="n">
        <f aca="false">SUM(H5:H16)</f>
        <v>371878.64</v>
      </c>
      <c r="I17" s="24" t="n">
        <f aca="false">SUM(I5:I16)</f>
        <v>-105838.259753541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45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SUMIFS(Media_Cliente_Mes!$C$2:$C$145,Media_Cliente_Mes!$A$2:$A$145,"Bunge",Media_Cliente_Mes!$B$2:$B$145,"Jan")</f>
        <v>72053.69</v>
      </c>
      <c r="C5" s="10" t="n">
        <f aca="false">IF((SUMIFS(Media_Cliente_Mes!$C$2:$C$145,Media_Cliente_Mes!$A$2:$A$145,"Bunge",Media_Cliente_Mes!$B$2:$B$145,"Jan"))=0,"-",IFERROR(SUMIFS(Media_Cliente_Mes!$D$2:$D$145,Media_Cliente_Mes!$A$2:$A$145,"Bunge",Media_Cliente_Mes!$B$2:$B$145,"Jan"),"-"))</f>
        <v>47.7010027605803</v>
      </c>
      <c r="D5" s="10" t="n">
        <f aca="false">IF((SUMIFS(Media_Cliente_Mes!$C$2:$C$145,Media_Cliente_Mes!$A$2:$A$145,"Bunge",Media_Cliente_Mes!$B$2:$B$145,"Jan"))=0,"-",IFERROR(SUMIFS(Media_Cliente_Mes!$E$2:$E$145,Media_Cliente_Mes!$A$2:$A$145,"Bunge",Media_Cliente_Mes!$B$2:$B$145,"Jan"),"-"))</f>
        <v>12.1312591374571</v>
      </c>
      <c r="E5" s="10" t="n">
        <f aca="false">IF((SUMIFS(Media_Cliente_Mes!$C$2:$C$145,Media_Cliente_Mes!$A$2:$A$145,"Bunge",Media_Cliente_Mes!$B$2:$B$145,"Jan"))=0,"-",IFERROR(SUMIFS(Media_Cliente_Mes!$F$2:$F$145,Media_Cliente_Mes!$A$2:$A$145,"Bunge",Media_Cliente_Mes!$B$2:$B$145,"Jan"),"-"))</f>
        <v>3.67234818369469</v>
      </c>
      <c r="F5" s="10" t="n">
        <f aca="false">IF((SUMIFS(Media_Cliente_Mes!$C$2:$C$145,Media_Cliente_Mes!$A$2:$A$145,"Bunge",Media_Cliente_Mes!$B$2:$B$145,"Jan"))=0,"-",IFERROR(SUMIFS(Media_Cliente_Mes!$G$2:$G$145,Media_Cliente_Mes!$A$2:$A$145,"Bunge",Media_Cliente_Mes!$B$2:$B$145,"Jan"),"-"))</f>
        <v>1.64048116480919</v>
      </c>
      <c r="G5" s="8" t="n">
        <f aca="false">SUMIFS(Media_Cliente_Mes!$H$2:$H$145,Media_Cliente_Mes!$A$2:$A$145,"Bunge",Media_Cliente_Mes!$B$2:$B$145,"Jan")</f>
        <v>33837.06</v>
      </c>
      <c r="H5" s="8" t="n">
        <f aca="false">SUMIFS(Media_Cliente_Mes!$I$2:$I$145,Media_Cliente_Mes!$A$2:$A$145,"Bunge",Media_Cliente_Mes!$B$2:$B$145,"Jan")</f>
        <v>38216.63</v>
      </c>
      <c r="I5" s="16" t="n">
        <f aca="false">SUMIFS(Resumo_Cliente_Mes!$G$2:$G$145,Resumo_Cliente_Mes!$A$2:$A$145,"Bunge",Resumo_Cliente_Mes!$B$2:$B$145,"Jan")</f>
        <v>-74887.8009578801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SUMIFS(Media_Cliente_Mes!$C$2:$C$145,Media_Cliente_Mes!$A$2:$A$145,"Bunge",Media_Cliente_Mes!$B$2:$B$145,"Fev")</f>
        <v>101673.63</v>
      </c>
      <c r="C6" s="10" t="n">
        <f aca="false">IF((SUMIFS(Media_Cliente_Mes!$C$2:$C$145,Media_Cliente_Mes!$A$2:$A$145,"Bunge",Media_Cliente_Mes!$B$2:$B$145,"Fev"))=0,"-",IFERROR(SUMIFS(Media_Cliente_Mes!$D$2:$D$145,Media_Cliente_Mes!$A$2:$A$145,"Bunge",Media_Cliente_Mes!$B$2:$B$145,"Fev"),"-"))</f>
        <v>47.2596707238642</v>
      </c>
      <c r="D6" s="10" t="n">
        <f aca="false">IF((SUMIFS(Media_Cliente_Mes!$C$2:$C$145,Media_Cliente_Mes!$A$2:$A$145,"Bunge",Media_Cliente_Mes!$B$2:$B$145,"Fev"))=0,"-",IFERROR(SUMIFS(Media_Cliente_Mes!$E$2:$E$145,Media_Cliente_Mes!$A$2:$A$145,"Bunge",Media_Cliente_Mes!$B$2:$B$145,"Fev"),"-"))</f>
        <v>12.3572284180274</v>
      </c>
      <c r="E6" s="10" t="n">
        <f aca="false">IF((SUMIFS(Media_Cliente_Mes!$C$2:$C$145,Media_Cliente_Mes!$A$2:$A$145,"Bunge",Media_Cliente_Mes!$B$2:$B$145,"Fev"))=0,"-",IFERROR(SUMIFS(Media_Cliente_Mes!$F$2:$F$145,Media_Cliente_Mes!$A$2:$A$145,"Bunge",Media_Cliente_Mes!$B$2:$B$145,"Fev"),"-"))</f>
        <v>3.60902725121548</v>
      </c>
      <c r="F6" s="10" t="n">
        <f aca="false">IF((SUMIFS(Media_Cliente_Mes!$C$2:$C$145,Media_Cliente_Mes!$A$2:$A$145,"Bunge",Media_Cliente_Mes!$B$2:$B$145,"Fev"))=0,"-",IFERROR(SUMIFS(Media_Cliente_Mes!$G$2:$G$145,Media_Cliente_Mes!$A$2:$A$145,"Bunge",Media_Cliente_Mes!$B$2:$B$145,"Fev"),"-"))</f>
        <v>1.69166907486238</v>
      </c>
      <c r="G6" s="8" t="n">
        <f aca="false">SUMIFS(Media_Cliente_Mes!$H$2:$H$145,Media_Cliente_Mes!$A$2:$A$145,"Bunge",Media_Cliente_Mes!$B$2:$B$145,"Fev")</f>
        <v>0</v>
      </c>
      <c r="H6" s="8" t="n">
        <f aca="false">SUMIFS(Media_Cliente_Mes!$I$2:$I$145,Media_Cliente_Mes!$A$2:$A$145,"Bunge",Media_Cliente_Mes!$B$2:$B$145,"Fev")</f>
        <v>101673.63</v>
      </c>
      <c r="I6" s="16" t="n">
        <f aca="false">SUMIFS(Resumo_Cliente_Mes!$G$2:$G$145,Resumo_Cliente_Mes!$A$2:$A$145,"Bunge",Resumo_Cliente_Mes!$B$2:$B$145,"Fev")</f>
        <v>-3126.56337322201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SUMIFS(Media_Cliente_Mes!$C$2:$C$145,Media_Cliente_Mes!$A$2:$A$145,"Bunge",Media_Cliente_Mes!$B$2:$B$145,"Mar")</f>
        <v>141.56</v>
      </c>
      <c r="C7" s="10" t="n">
        <f aca="false">IF((SUMIFS(Media_Cliente_Mes!$C$2:$C$145,Media_Cliente_Mes!$A$2:$A$145,"Bunge",Media_Cliente_Mes!$B$2:$B$145,"Mar"))=0,"-",IFERROR(SUMIFS(Media_Cliente_Mes!$D$2:$D$145,Media_Cliente_Mes!$A$2:$A$145,"Bunge",Media_Cliente_Mes!$B$2:$B$145,"Mar"),"-"))</f>
        <v>47.67</v>
      </c>
      <c r="D7" s="10" t="n">
        <f aca="false">IF((SUMIFS(Media_Cliente_Mes!$C$2:$C$145,Media_Cliente_Mes!$A$2:$A$145,"Bunge",Media_Cliente_Mes!$B$2:$B$145,"Mar"))=0,"-",IFERROR(SUMIFS(Media_Cliente_Mes!$E$2:$E$145,Media_Cliente_Mes!$A$2:$A$145,"Bunge",Media_Cliente_Mes!$B$2:$B$145,"Mar"),"-"))</f>
        <v>12.33</v>
      </c>
      <c r="E7" s="10" t="n">
        <f aca="false">IF((SUMIFS(Media_Cliente_Mes!$C$2:$C$145,Media_Cliente_Mes!$A$2:$A$145,"Bunge",Media_Cliente_Mes!$B$2:$B$145,"Mar"))=0,"-",IFERROR(SUMIFS(Media_Cliente_Mes!$F$2:$F$145,Media_Cliente_Mes!$A$2:$A$145,"Bunge",Media_Cliente_Mes!$B$2:$B$145,"Mar"),"-"))</f>
        <v>3.52</v>
      </c>
      <c r="F7" s="10" t="n">
        <f aca="false">IF((SUMIFS(Media_Cliente_Mes!$C$2:$C$145,Media_Cliente_Mes!$A$2:$A$145,"Bunge",Media_Cliente_Mes!$B$2:$B$145,"Mar"))=0,"-",IFERROR(SUMIFS(Media_Cliente_Mes!$G$2:$G$145,Media_Cliente_Mes!$A$2:$A$145,"Bunge",Media_Cliente_Mes!$B$2:$B$145,"Mar"),"-"))</f>
        <v>1.23</v>
      </c>
      <c r="G7" s="8" t="n">
        <f aca="false">SUMIFS(Media_Cliente_Mes!$H$2:$H$145,Media_Cliente_Mes!$A$2:$A$145,"Bunge",Media_Cliente_Mes!$B$2:$B$145,"Mar")</f>
        <v>0</v>
      </c>
      <c r="H7" s="8" t="n">
        <f aca="false">SUMIFS(Media_Cliente_Mes!$I$2:$I$145,Media_Cliente_Mes!$A$2:$A$145,"Bunge",Media_Cliente_Mes!$B$2:$B$145,"Mar")</f>
        <v>141.56</v>
      </c>
      <c r="I7" s="16" t="n">
        <f aca="false">SUMIFS(Resumo_Cliente_Mes!$G$2:$G$145,Resumo_Cliente_Mes!$A$2:$A$145,"Bunge",Resumo_Cliente_Mes!$B$2:$B$145,"Mar")</f>
        <v>232.605056606943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SUMIFS(Media_Cliente_Mes!$C$2:$C$145,Media_Cliente_Mes!$A$2:$A$145,"Bunge",Media_Cliente_Mes!$B$2:$B$145,"Abr")</f>
        <v>10176.79</v>
      </c>
      <c r="C8" s="10" t="n">
        <f aca="false">IF((SUMIFS(Media_Cliente_Mes!$C$2:$C$145,Media_Cliente_Mes!$A$2:$A$145,"Bunge",Media_Cliente_Mes!$B$2:$B$145,"Abr"))=0,"-",IFERROR(SUMIFS(Media_Cliente_Mes!$D$2:$D$145,Media_Cliente_Mes!$A$2:$A$145,"Bunge",Media_Cliente_Mes!$B$2:$B$145,"Abr"),"-"))</f>
        <v>47.4442792275364</v>
      </c>
      <c r="D8" s="10" t="n">
        <f aca="false">IF((SUMIFS(Media_Cliente_Mes!$C$2:$C$145,Media_Cliente_Mes!$A$2:$A$145,"Bunge",Media_Cliente_Mes!$B$2:$B$145,"Abr"))=0,"-",IFERROR(SUMIFS(Media_Cliente_Mes!$E$2:$E$145,Media_Cliente_Mes!$A$2:$A$145,"Bunge",Media_Cliente_Mes!$B$2:$B$145,"Abr"),"-"))</f>
        <v>12.4597512083869</v>
      </c>
      <c r="E8" s="10" t="n">
        <f aca="false">IF((SUMIFS(Media_Cliente_Mes!$C$2:$C$145,Media_Cliente_Mes!$A$2:$A$145,"Bunge",Media_Cliente_Mes!$B$2:$B$145,"Abr"))=0,"-",IFERROR(SUMIFS(Media_Cliente_Mes!$F$2:$F$145,Media_Cliente_Mes!$A$2:$A$145,"Bunge",Media_Cliente_Mes!$B$2:$B$145,"Abr"),"-"))</f>
        <v>3.69685069653594</v>
      </c>
      <c r="F8" s="10" t="n">
        <f aca="false">IF((SUMIFS(Media_Cliente_Mes!$C$2:$C$145,Media_Cliente_Mes!$A$2:$A$145,"Bunge",Media_Cliente_Mes!$B$2:$B$145,"Abr"))=0,"-",IFERROR(SUMIFS(Media_Cliente_Mes!$G$2:$G$145,Media_Cliente_Mes!$A$2:$A$145,"Bunge",Media_Cliente_Mes!$B$2:$B$145,"Abr"),"-"))</f>
        <v>1.84278681195151</v>
      </c>
      <c r="G8" s="8" t="n">
        <f aca="false">SUMIFS(Media_Cliente_Mes!$H$2:$H$145,Media_Cliente_Mes!$A$2:$A$145,"Bunge",Media_Cliente_Mes!$B$2:$B$145,"Abr")</f>
        <v>0</v>
      </c>
      <c r="H8" s="8" t="n">
        <f aca="false">SUMIFS(Media_Cliente_Mes!$I$2:$I$145,Media_Cliente_Mes!$A$2:$A$145,"Bunge",Media_Cliente_Mes!$B$2:$B$145,"Abr")</f>
        <v>10176.79</v>
      </c>
      <c r="I8" s="16" t="n">
        <f aca="false">SUMIFS(Resumo_Cliente_Mes!$G$2:$G$145,Resumo_Cliente_Mes!$A$2:$A$145,"Bunge",Resumo_Cliente_Mes!$B$2:$B$145,"Abr")</f>
        <v>-2629.48417223015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SUMIFS(Media_Cliente_Mes!$C$2:$C$145,Media_Cliente_Mes!$A$2:$A$145,"Bunge",Media_Cliente_Mes!$B$2:$B$145,"Mai")</f>
        <v>0</v>
      </c>
      <c r="C9" s="10" t="str">
        <f aca="false">IF((SUMIFS(Media_Cliente_Mes!$C$2:$C$145,Media_Cliente_Mes!$A$2:$A$145,"Bunge",Media_Cliente_Mes!$B$2:$B$145,"Mai"))=0,"-",IFERROR(SUMIFS(Media_Cliente_Mes!$D$2:$D$145,Media_Cliente_Mes!$A$2:$A$145,"Bunge",Media_Cliente_Mes!$B$2:$B$145,"Mai"),"-"))</f>
        <v>-</v>
      </c>
      <c r="D9" s="10" t="str">
        <f aca="false">IF((SUMIFS(Media_Cliente_Mes!$C$2:$C$145,Media_Cliente_Mes!$A$2:$A$145,"Bunge",Media_Cliente_Mes!$B$2:$B$145,"Mai"))=0,"-",IFERROR(SUMIFS(Media_Cliente_Mes!$E$2:$E$145,Media_Cliente_Mes!$A$2:$A$145,"Bunge",Media_Cliente_Mes!$B$2:$B$145,"Mai"),"-"))</f>
        <v>-</v>
      </c>
      <c r="E9" s="10" t="str">
        <f aca="false">IF((SUMIFS(Media_Cliente_Mes!$C$2:$C$145,Media_Cliente_Mes!$A$2:$A$145,"Bunge",Media_Cliente_Mes!$B$2:$B$145,"Mai"))=0,"-",IFERROR(SUMIFS(Media_Cliente_Mes!$F$2:$F$145,Media_Cliente_Mes!$A$2:$A$145,"Bunge",Media_Cliente_Mes!$B$2:$B$145,"Mai"),"-"))</f>
        <v>-</v>
      </c>
      <c r="F9" s="10" t="str">
        <f aca="false">IF((SUMIFS(Media_Cliente_Mes!$C$2:$C$145,Media_Cliente_Mes!$A$2:$A$145,"Bunge",Media_Cliente_Mes!$B$2:$B$145,"Mai"))=0,"-",IFERROR(SUMIFS(Media_Cliente_Mes!$G$2:$G$145,Media_Cliente_Mes!$A$2:$A$145,"Bunge",Media_Cliente_Mes!$B$2:$B$145,"Mai"),"-"))</f>
        <v>-</v>
      </c>
      <c r="G9" s="8" t="n">
        <f aca="false">SUMIFS(Media_Cliente_Mes!$H$2:$H$145,Media_Cliente_Mes!$A$2:$A$145,"Bunge",Media_Cliente_Mes!$B$2:$B$145,"Mai")</f>
        <v>0</v>
      </c>
      <c r="H9" s="8" t="n">
        <f aca="false">SUMIFS(Media_Cliente_Mes!$I$2:$I$145,Media_Cliente_Mes!$A$2:$A$145,"Bunge",Media_Cliente_Mes!$B$2:$B$145,"Mai")</f>
        <v>0</v>
      </c>
      <c r="I9" s="16" t="n">
        <f aca="false">SUMIFS(Resumo_Cliente_Mes!$G$2:$G$145,Resumo_Cliente_Mes!$A$2:$A$145,"Bunge",Resumo_Cliente_Mes!$B$2:$B$145,"Mai")</f>
        <v>0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SUMIFS(Media_Cliente_Mes!$C$2:$C$145,Media_Cliente_Mes!$A$2:$A$145,"Bunge",Media_Cliente_Mes!$B$2:$B$145,"Jun")</f>
        <v>33179.88</v>
      </c>
      <c r="C10" s="10" t="n">
        <f aca="false">IF((SUMIFS(Media_Cliente_Mes!$C$2:$C$145,Media_Cliente_Mes!$A$2:$A$145,"Bunge",Media_Cliente_Mes!$B$2:$B$145,"Jun"))=0,"-",IFERROR(SUMIFS(Media_Cliente_Mes!$D$2:$D$145,Media_Cliente_Mes!$A$2:$A$145,"Bunge",Media_Cliente_Mes!$B$2:$B$145,"Jun"),"-"))</f>
        <v>47.3124242613295</v>
      </c>
      <c r="D10" s="10" t="n">
        <f aca="false">IF((SUMIFS(Media_Cliente_Mes!$C$2:$C$145,Media_Cliente_Mes!$A$2:$A$145,"Bunge",Media_Cliente_Mes!$B$2:$B$145,"Jun"))=0,"-",IFERROR(SUMIFS(Media_Cliente_Mes!$E$2:$E$145,Media_Cliente_Mes!$A$2:$A$145,"Bunge",Media_Cliente_Mes!$B$2:$B$145,"Jun"),"-"))</f>
        <v>12.6871173072356</v>
      </c>
      <c r="E10" s="10" t="n">
        <f aca="false">IF((SUMIFS(Media_Cliente_Mes!$C$2:$C$145,Media_Cliente_Mes!$A$2:$A$145,"Bunge",Media_Cliente_Mes!$B$2:$B$145,"Jun"))=0,"-",IFERROR(SUMIFS(Media_Cliente_Mes!$F$2:$F$145,Media_Cliente_Mes!$A$2:$A$145,"Bunge",Media_Cliente_Mes!$B$2:$B$145,"Jun"),"-"))</f>
        <v>3.75532690895808</v>
      </c>
      <c r="F10" s="10" t="n">
        <f aca="false">IF((SUMIFS(Media_Cliente_Mes!$C$2:$C$145,Media_Cliente_Mes!$A$2:$A$145,"Bunge",Media_Cliente_Mes!$B$2:$B$145,"Jun"))=0,"-",IFERROR(SUMIFS(Media_Cliente_Mes!$G$2:$G$145,Media_Cliente_Mes!$A$2:$A$145,"Bunge",Media_Cliente_Mes!$B$2:$B$145,"Jun"),"-"))</f>
        <v>1.46703077889372</v>
      </c>
      <c r="G10" s="8" t="n">
        <f aca="false">SUMIFS(Media_Cliente_Mes!$H$2:$H$145,Media_Cliente_Mes!$A$2:$A$145,"Bunge",Media_Cliente_Mes!$B$2:$B$145,"Jun")</f>
        <v>634.24</v>
      </c>
      <c r="H10" s="8" t="n">
        <f aca="false">SUMIFS(Media_Cliente_Mes!$I$2:$I$145,Media_Cliente_Mes!$A$2:$A$145,"Bunge",Media_Cliente_Mes!$B$2:$B$145,"Jun")</f>
        <v>32545.64</v>
      </c>
      <c r="I10" s="16" t="n">
        <f aca="false">SUMIFS(Resumo_Cliente_Mes!$G$2:$G$145,Resumo_Cliente_Mes!$A$2:$A$145,"Bunge",Resumo_Cliente_Mes!$B$2:$B$145,"Jun")</f>
        <v>-28600.5048713729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SUMIFS(Media_Cliente_Mes!$C$2:$C$145,Media_Cliente_Mes!$A$2:$A$145,"Bunge",Media_Cliente_Mes!$B$2:$B$145,"Jul")</f>
        <v>99472.54</v>
      </c>
      <c r="C11" s="10" t="n">
        <f aca="false">IF((SUMIFS(Media_Cliente_Mes!$C$2:$C$145,Media_Cliente_Mes!$A$2:$A$145,"Bunge",Media_Cliente_Mes!$B$2:$B$145,"Jul"))=0,"-",IFERROR(SUMIFS(Media_Cliente_Mes!$D$2:$D$145,Media_Cliente_Mes!$A$2:$A$145,"Bunge",Media_Cliente_Mes!$B$2:$B$145,"Jul"),"-"))</f>
        <v>47.5493505212594</v>
      </c>
      <c r="D11" s="10" t="n">
        <f aca="false">IF((SUMIFS(Media_Cliente_Mes!$C$2:$C$145,Media_Cliente_Mes!$A$2:$A$145,"Bunge",Media_Cliente_Mes!$B$2:$B$145,"Jul"))=0,"-",IFERROR(SUMIFS(Media_Cliente_Mes!$E$2:$E$145,Media_Cliente_Mes!$A$2:$A$145,"Bunge",Media_Cliente_Mes!$B$2:$B$145,"Jul"),"-"))</f>
        <v>12.3413029354634</v>
      </c>
      <c r="E11" s="10" t="n">
        <f aca="false">IF((SUMIFS(Media_Cliente_Mes!$C$2:$C$145,Media_Cliente_Mes!$A$2:$A$145,"Bunge",Media_Cliente_Mes!$B$2:$B$145,"Jul"))=0,"-",IFERROR(SUMIFS(Media_Cliente_Mes!$F$2:$F$145,Media_Cliente_Mes!$A$2:$A$145,"Bunge",Media_Cliente_Mes!$B$2:$B$145,"Jul"),"-"))</f>
        <v>3.52883952395304</v>
      </c>
      <c r="F11" s="10" t="n">
        <f aca="false">IF((SUMIFS(Media_Cliente_Mes!$C$2:$C$145,Media_Cliente_Mes!$A$2:$A$145,"Bunge",Media_Cliente_Mes!$B$2:$B$145,"Jul"))=0,"-",IFERROR(SUMIFS(Media_Cliente_Mes!$G$2:$G$145,Media_Cliente_Mes!$A$2:$A$145,"Bunge",Media_Cliente_Mes!$B$2:$B$145,"Jul"),"-"))</f>
        <v>1.58405541871154</v>
      </c>
      <c r="G11" s="8" t="n">
        <f aca="false">SUMIFS(Media_Cliente_Mes!$H$2:$H$145,Media_Cliente_Mes!$A$2:$A$145,"Bunge",Media_Cliente_Mes!$B$2:$B$145,"Jul")</f>
        <v>3066.23</v>
      </c>
      <c r="H11" s="8" t="n">
        <f aca="false">SUMIFS(Media_Cliente_Mes!$I$2:$I$145,Media_Cliente_Mes!$A$2:$A$145,"Bunge",Media_Cliente_Mes!$B$2:$B$145,"Jul")</f>
        <v>96406.31</v>
      </c>
      <c r="I11" s="16" t="n">
        <f aca="false">SUMIFS(Resumo_Cliente_Mes!$G$2:$G$145,Resumo_Cliente_Mes!$A$2:$A$145,"Bunge",Resumo_Cliente_Mes!$B$2:$B$145,"Jul")</f>
        <v>-31099.684164315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SUMIFS(Media_Cliente_Mes!$C$2:$C$145,Media_Cliente_Mes!$A$2:$A$145,"Bunge",Media_Cliente_Mes!$B$2:$B$145,"Ago")</f>
        <v>78501.68</v>
      </c>
      <c r="C12" s="10" t="n">
        <f aca="false">IF((SUMIFS(Media_Cliente_Mes!$C$2:$C$145,Media_Cliente_Mes!$A$2:$A$145,"Bunge",Media_Cliente_Mes!$B$2:$B$145,"Ago"))=0,"-",IFERROR(SUMIFS(Media_Cliente_Mes!$D$2:$D$145,Media_Cliente_Mes!$A$2:$A$145,"Bunge",Media_Cliente_Mes!$B$2:$B$145,"Ago"),"-"))</f>
        <v>47.2132038384401</v>
      </c>
      <c r="D12" s="10" t="n">
        <f aca="false">IF((SUMIFS(Media_Cliente_Mes!$C$2:$C$145,Media_Cliente_Mes!$A$2:$A$145,"Bunge",Media_Cliente_Mes!$B$2:$B$145,"Ago"))=0,"-",IFERROR(SUMIFS(Media_Cliente_Mes!$E$2:$E$145,Media_Cliente_Mes!$A$2:$A$145,"Bunge",Media_Cliente_Mes!$B$2:$B$145,"Ago"),"-"))</f>
        <v>12.1241707718867</v>
      </c>
      <c r="E12" s="10" t="n">
        <f aca="false">IF((SUMIFS(Media_Cliente_Mes!$C$2:$C$145,Media_Cliente_Mes!$A$2:$A$145,"Bunge",Media_Cliente_Mes!$B$2:$B$145,"Ago"))=0,"-",IFERROR(SUMIFS(Media_Cliente_Mes!$F$2:$F$145,Media_Cliente_Mes!$A$2:$A$145,"Bunge",Media_Cliente_Mes!$B$2:$B$145,"Ago"),"-"))</f>
        <v>3.80781625947368</v>
      </c>
      <c r="F12" s="10" t="n">
        <f aca="false">IF((SUMIFS(Media_Cliente_Mes!$C$2:$C$145,Media_Cliente_Mes!$A$2:$A$145,"Bunge",Media_Cliente_Mes!$B$2:$B$145,"Ago"))=0,"-",IFERROR(SUMIFS(Media_Cliente_Mes!$G$2:$G$145,Media_Cliente_Mes!$A$2:$A$145,"Bunge",Media_Cliente_Mes!$B$2:$B$145,"Ago"),"-"))</f>
        <v>1.61950174059969</v>
      </c>
      <c r="G12" s="8" t="n">
        <f aca="false">SUMIFS(Media_Cliente_Mes!$H$2:$H$145,Media_Cliente_Mes!$A$2:$A$145,"Bunge",Media_Cliente_Mes!$B$2:$B$145,"Ago")</f>
        <v>37.21</v>
      </c>
      <c r="H12" s="8" t="n">
        <f aca="false">SUMIFS(Media_Cliente_Mes!$I$2:$I$145,Media_Cliente_Mes!$A$2:$A$145,"Bunge",Media_Cliente_Mes!$B$2:$B$145,"Ago")</f>
        <v>78464.47</v>
      </c>
      <c r="I12" s="16" t="n">
        <f aca="false">SUMIFS(Resumo_Cliente_Mes!$G$2:$G$145,Resumo_Cliente_Mes!$A$2:$A$145,"Bunge",Resumo_Cliente_Mes!$B$2:$B$145,"Ago")</f>
        <v>-26779.1480915017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SUMIFS(Media_Cliente_Mes!$C$2:$C$145,Media_Cliente_Mes!$A$2:$A$145,"Bunge",Media_Cliente_Mes!$B$2:$B$145,"Set")</f>
        <v>19994.68</v>
      </c>
      <c r="C13" s="10" t="n">
        <f aca="false">IF((SUMIFS(Media_Cliente_Mes!$C$2:$C$145,Media_Cliente_Mes!$A$2:$A$145,"Bunge",Media_Cliente_Mes!$B$2:$B$145,"Set"))=0,"-",IFERROR(SUMIFS(Media_Cliente_Mes!$D$2:$D$145,Media_Cliente_Mes!$A$2:$A$145,"Bunge",Media_Cliente_Mes!$B$2:$B$145,"Set"),"-"))</f>
        <v>47.2522293179986</v>
      </c>
      <c r="D13" s="10" t="n">
        <f aca="false">IF((SUMIFS(Media_Cliente_Mes!$C$2:$C$145,Media_Cliente_Mes!$A$2:$A$145,"Bunge",Media_Cliente_Mes!$B$2:$B$145,"Set"))=0,"-",IFERROR(SUMIFS(Media_Cliente_Mes!$E$2:$E$145,Media_Cliente_Mes!$A$2:$A$145,"Bunge",Media_Cliente_Mes!$B$2:$B$145,"Set"),"-"))</f>
        <v>12.2652482610374</v>
      </c>
      <c r="E13" s="10" t="n">
        <f aca="false">IF((SUMIFS(Media_Cliente_Mes!$C$2:$C$145,Media_Cliente_Mes!$A$2:$A$145,"Bunge",Media_Cliente_Mes!$B$2:$B$145,"Set"))=0,"-",IFERROR(SUMIFS(Media_Cliente_Mes!$F$2:$F$145,Media_Cliente_Mes!$A$2:$A$145,"Bunge",Media_Cliente_Mes!$B$2:$B$145,"Set"),"-"))</f>
        <v>3.82615528230509</v>
      </c>
      <c r="F13" s="10" t="n">
        <f aca="false">IF((SUMIFS(Media_Cliente_Mes!$C$2:$C$145,Media_Cliente_Mes!$A$2:$A$145,"Bunge",Media_Cliente_Mes!$B$2:$B$145,"Set"))=0,"-",IFERROR(SUMIFS(Media_Cliente_Mes!$G$2:$G$145,Media_Cliente_Mes!$A$2:$A$145,"Bunge",Media_Cliente_Mes!$B$2:$B$145,"Set"),"-"))</f>
        <v>1.74531173292096</v>
      </c>
      <c r="G13" s="8" t="n">
        <f aca="false">SUMIFS(Media_Cliente_Mes!$H$2:$H$145,Media_Cliente_Mes!$A$2:$A$145,"Bunge",Media_Cliente_Mes!$B$2:$B$145,"Set")</f>
        <v>0</v>
      </c>
      <c r="H13" s="8" t="n">
        <f aca="false">SUMIFS(Media_Cliente_Mes!$I$2:$I$145,Media_Cliente_Mes!$A$2:$A$145,"Bunge",Media_Cliente_Mes!$B$2:$B$145,"Set")</f>
        <v>19994.68</v>
      </c>
      <c r="I13" s="16" t="n">
        <f aca="false">SUMIFS(Resumo_Cliente_Mes!$G$2:$G$145,Resumo_Cliente_Mes!$A$2:$A$145,"Bunge",Resumo_Cliente_Mes!$B$2:$B$145,"Set")</f>
        <v>-16168.4319955423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SUMIFS(Media_Cliente_Mes!$C$2:$C$145,Media_Cliente_Mes!$A$2:$A$145,"Bunge",Media_Cliente_Mes!$B$2:$B$145,"Out")</f>
        <v>0</v>
      </c>
      <c r="C14" s="10" t="str">
        <f aca="false">IF((SUMIFS(Media_Cliente_Mes!$C$2:$C$145,Media_Cliente_Mes!$A$2:$A$145,"Bunge",Media_Cliente_Mes!$B$2:$B$145,"Out"))=0,"-",IFERROR(SUMIFS(Media_Cliente_Mes!$D$2:$D$145,Media_Cliente_Mes!$A$2:$A$145,"Bunge",Media_Cliente_Mes!$B$2:$B$145,"Out"),"-"))</f>
        <v>-</v>
      </c>
      <c r="D14" s="10" t="str">
        <f aca="false">IF((SUMIFS(Media_Cliente_Mes!$C$2:$C$145,Media_Cliente_Mes!$A$2:$A$145,"Bunge",Media_Cliente_Mes!$B$2:$B$145,"Out"))=0,"-",IFERROR(SUMIFS(Media_Cliente_Mes!$E$2:$E$145,Media_Cliente_Mes!$A$2:$A$145,"Bunge",Media_Cliente_Mes!$B$2:$B$145,"Out"),"-"))</f>
        <v>-</v>
      </c>
      <c r="E14" s="10" t="str">
        <f aca="false">IF((SUMIFS(Media_Cliente_Mes!$C$2:$C$145,Media_Cliente_Mes!$A$2:$A$145,"Bunge",Media_Cliente_Mes!$B$2:$B$145,"Out"))=0,"-",IFERROR(SUMIFS(Media_Cliente_Mes!$F$2:$F$145,Media_Cliente_Mes!$A$2:$A$145,"Bunge",Media_Cliente_Mes!$B$2:$B$145,"Out"),"-"))</f>
        <v>-</v>
      </c>
      <c r="F14" s="10" t="str">
        <f aca="false">IF((SUMIFS(Media_Cliente_Mes!$C$2:$C$145,Media_Cliente_Mes!$A$2:$A$145,"Bunge",Media_Cliente_Mes!$B$2:$B$145,"Out"))=0,"-",IFERROR(SUMIFS(Media_Cliente_Mes!$G$2:$G$145,Media_Cliente_Mes!$A$2:$A$145,"Bunge",Media_Cliente_Mes!$B$2:$B$145,"Out"),"-"))</f>
        <v>-</v>
      </c>
      <c r="G14" s="8" t="n">
        <f aca="false">SUMIFS(Media_Cliente_Mes!$H$2:$H$145,Media_Cliente_Mes!$A$2:$A$145,"Bunge",Media_Cliente_Mes!$B$2:$B$145,"Out")</f>
        <v>0</v>
      </c>
      <c r="H14" s="8" t="n">
        <f aca="false">SUMIFS(Media_Cliente_Mes!$I$2:$I$145,Media_Cliente_Mes!$A$2:$A$145,"Bunge",Media_Cliente_Mes!$B$2:$B$145,"Out")</f>
        <v>0</v>
      </c>
      <c r="I14" s="16" t="n">
        <f aca="false">SUMIFS(Resumo_Cliente_Mes!$G$2:$G$145,Resumo_Cliente_Mes!$A$2:$A$145,"Bunge",Resumo_Cliente_Mes!$B$2:$B$145,"Out")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SUMIFS(Media_Cliente_Mes!$C$2:$C$145,Media_Cliente_Mes!$A$2:$A$145,"Bunge",Media_Cliente_Mes!$B$2:$B$145,"Nov")</f>
        <v>0</v>
      </c>
      <c r="C15" s="10" t="str">
        <f aca="false">IF((SUMIFS(Media_Cliente_Mes!$C$2:$C$145,Media_Cliente_Mes!$A$2:$A$145,"Bunge",Media_Cliente_Mes!$B$2:$B$145,"Nov"))=0,"-",IFERROR(SUMIFS(Media_Cliente_Mes!$D$2:$D$145,Media_Cliente_Mes!$A$2:$A$145,"Bunge",Media_Cliente_Mes!$B$2:$B$145,"Nov"),"-"))</f>
        <v>-</v>
      </c>
      <c r="D15" s="10" t="str">
        <f aca="false">IF((SUMIFS(Media_Cliente_Mes!$C$2:$C$145,Media_Cliente_Mes!$A$2:$A$145,"Bunge",Media_Cliente_Mes!$B$2:$B$145,"Nov"))=0,"-",IFERROR(SUMIFS(Media_Cliente_Mes!$E$2:$E$145,Media_Cliente_Mes!$A$2:$A$145,"Bunge",Media_Cliente_Mes!$B$2:$B$145,"Nov"),"-"))</f>
        <v>-</v>
      </c>
      <c r="E15" s="10" t="str">
        <f aca="false">IF((SUMIFS(Media_Cliente_Mes!$C$2:$C$145,Media_Cliente_Mes!$A$2:$A$145,"Bunge",Media_Cliente_Mes!$B$2:$B$145,"Nov"))=0,"-",IFERROR(SUMIFS(Media_Cliente_Mes!$F$2:$F$145,Media_Cliente_Mes!$A$2:$A$145,"Bunge",Media_Cliente_Mes!$B$2:$B$145,"Nov"),"-"))</f>
        <v>-</v>
      </c>
      <c r="F15" s="10" t="str">
        <f aca="false">IF((SUMIFS(Media_Cliente_Mes!$C$2:$C$145,Media_Cliente_Mes!$A$2:$A$145,"Bunge",Media_Cliente_Mes!$B$2:$B$145,"Nov"))=0,"-",IFERROR(SUMIFS(Media_Cliente_Mes!$G$2:$G$145,Media_Cliente_Mes!$A$2:$A$145,"Bunge",Media_Cliente_Mes!$B$2:$B$145,"Nov"),"-"))</f>
        <v>-</v>
      </c>
      <c r="G15" s="8" t="n">
        <f aca="false">SUMIFS(Media_Cliente_Mes!$H$2:$H$145,Media_Cliente_Mes!$A$2:$A$145,"Bunge",Media_Cliente_Mes!$B$2:$B$145,"Nov")</f>
        <v>0</v>
      </c>
      <c r="H15" s="8" t="n">
        <f aca="false">SUMIFS(Media_Cliente_Mes!$I$2:$I$145,Media_Cliente_Mes!$A$2:$A$145,"Bunge",Media_Cliente_Mes!$B$2:$B$145,"Nov")</f>
        <v>0</v>
      </c>
      <c r="I15" s="16" t="n">
        <f aca="false">SUMIFS(Resumo_Cliente_Mes!$G$2:$G$145,Resumo_Cliente_Mes!$A$2:$A$145,"Bunge",Resumo_Cliente_Mes!$B$2:$B$145,"Nov")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SUMIFS(Media_Cliente_Mes!$C$2:$C$145,Media_Cliente_Mes!$A$2:$A$145,"Bunge",Media_Cliente_Mes!$B$2:$B$145,"Dez")</f>
        <v>0</v>
      </c>
      <c r="C16" s="10" t="str">
        <f aca="false">IF((SUMIFS(Media_Cliente_Mes!$C$2:$C$145,Media_Cliente_Mes!$A$2:$A$145,"Bunge",Media_Cliente_Mes!$B$2:$B$145,"Dez"))=0,"-",IFERROR(SUMIFS(Media_Cliente_Mes!$D$2:$D$145,Media_Cliente_Mes!$A$2:$A$145,"Bunge",Media_Cliente_Mes!$B$2:$B$145,"Dez"),"-"))</f>
        <v>-</v>
      </c>
      <c r="D16" s="10" t="str">
        <f aca="false">IF((SUMIFS(Media_Cliente_Mes!$C$2:$C$145,Media_Cliente_Mes!$A$2:$A$145,"Bunge",Media_Cliente_Mes!$B$2:$B$145,"Dez"))=0,"-",IFERROR(SUMIFS(Media_Cliente_Mes!$E$2:$E$145,Media_Cliente_Mes!$A$2:$A$145,"Bunge",Media_Cliente_Mes!$B$2:$B$145,"Dez"),"-"))</f>
        <v>-</v>
      </c>
      <c r="E16" s="10" t="str">
        <f aca="false">IF((SUMIFS(Media_Cliente_Mes!$C$2:$C$145,Media_Cliente_Mes!$A$2:$A$145,"Bunge",Media_Cliente_Mes!$B$2:$B$145,"Dez"))=0,"-",IFERROR(SUMIFS(Media_Cliente_Mes!$F$2:$F$145,Media_Cliente_Mes!$A$2:$A$145,"Bunge",Media_Cliente_Mes!$B$2:$B$145,"Dez"),"-"))</f>
        <v>-</v>
      </c>
      <c r="F16" s="10" t="str">
        <f aca="false">IF((SUMIFS(Media_Cliente_Mes!$C$2:$C$145,Media_Cliente_Mes!$A$2:$A$145,"Bunge",Media_Cliente_Mes!$B$2:$B$145,"Dez"))=0,"-",IFERROR(SUMIFS(Media_Cliente_Mes!$G$2:$G$145,Media_Cliente_Mes!$A$2:$A$145,"Bunge",Media_Cliente_Mes!$B$2:$B$145,"Dez"),"-"))</f>
        <v>-</v>
      </c>
      <c r="G16" s="8" t="n">
        <f aca="false">SUMIFS(Media_Cliente_Mes!$H$2:$H$145,Media_Cliente_Mes!$A$2:$A$145,"Bunge",Media_Cliente_Mes!$B$2:$B$145,"Dez")</f>
        <v>0</v>
      </c>
      <c r="H16" s="8" t="n">
        <f aca="false">SUMIFS(Media_Cliente_Mes!$I$2:$I$145,Media_Cliente_Mes!$A$2:$A$145,"Bunge",Media_Cliente_Mes!$B$2:$B$145,"Dez")</f>
        <v>0</v>
      </c>
      <c r="I16" s="16" t="n">
        <f aca="false">SUMIFS(Resumo_Cliente_Mes!$G$2:$G$145,Resumo_Cliente_Mes!$A$2:$A$145,"Bunge",Resumo_Cliente_Mes!$B$2:$B$145,"Dez")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415194.45</v>
      </c>
      <c r="C17" s="23" t="n">
        <f aca="false">IFERROR(SUMPRODUCT((B5:B16)*IF(ISNUMBER(C5:C16),C5:C16,0))/B17,"-")</f>
        <v>47.405398669226</v>
      </c>
      <c r="D17" s="23" t="n">
        <f aca="false">IFERROR(SUMPRODUCT((B5:B16)*IF(ISNUMBER(D5:D16),D5:D16,0))/B17,"-")</f>
        <v>12.2945700008755</v>
      </c>
      <c r="E17" s="23" t="n">
        <f aca="false">IFERROR(SUMPRODUCT((B5:B16)*IF(ISNUMBER(E5:E16),E5:E16,0))/B17,"-")</f>
        <v>3.66266012057724</v>
      </c>
      <c r="F17" s="23" t="n">
        <f aca="false">IFERROR(SUMPRODUCT((B5:B16)*IF(ISNUMBER(F5:F16),F5:F16,0))/B17,"-")</f>
        <v>1.63153700224076</v>
      </c>
      <c r="G17" s="22" t="n">
        <f aca="false">SUM(G5:G16)</f>
        <v>37574.74</v>
      </c>
      <c r="H17" s="22" t="n">
        <f aca="false">SUM(H5:H16)</f>
        <v>377619.71</v>
      </c>
      <c r="I17" s="24" t="n">
        <f aca="false">SUM(I5:I16)</f>
        <v>-183059.012569457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46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SUMIFS(Media_Cliente_Mes!$C$2:$C$145,Media_Cliente_Mes!$A$2:$A$145,"ADM",Media_Cliente_Mes!$B$2:$B$145,"Jan")</f>
        <v>0</v>
      </c>
      <c r="C5" s="10" t="str">
        <f aca="false">IF((SUMIFS(Media_Cliente_Mes!$C$2:$C$145,Media_Cliente_Mes!$A$2:$A$145,"ADM",Media_Cliente_Mes!$B$2:$B$145,"Jan"))=0,"-",IFERROR(SUMIFS(Media_Cliente_Mes!$D$2:$D$145,Media_Cliente_Mes!$A$2:$A$145,"ADM",Media_Cliente_Mes!$B$2:$B$145,"Jan"),"-"))</f>
        <v>-</v>
      </c>
      <c r="D5" s="10" t="str">
        <f aca="false">IF((SUMIFS(Media_Cliente_Mes!$C$2:$C$145,Media_Cliente_Mes!$A$2:$A$145,"ADM",Media_Cliente_Mes!$B$2:$B$145,"Jan"))=0,"-",IFERROR(SUMIFS(Media_Cliente_Mes!$E$2:$E$145,Media_Cliente_Mes!$A$2:$A$145,"ADM",Media_Cliente_Mes!$B$2:$B$145,"Jan"),"-"))</f>
        <v>-</v>
      </c>
      <c r="E5" s="10" t="str">
        <f aca="false">IF((SUMIFS(Media_Cliente_Mes!$C$2:$C$145,Media_Cliente_Mes!$A$2:$A$145,"ADM",Media_Cliente_Mes!$B$2:$B$145,"Jan"))=0,"-",IFERROR(SUMIFS(Media_Cliente_Mes!$F$2:$F$145,Media_Cliente_Mes!$A$2:$A$145,"ADM",Media_Cliente_Mes!$B$2:$B$145,"Jan"),"-"))</f>
        <v>-</v>
      </c>
      <c r="F5" s="10" t="str">
        <f aca="false">IF((SUMIFS(Media_Cliente_Mes!$C$2:$C$145,Media_Cliente_Mes!$A$2:$A$145,"ADM",Media_Cliente_Mes!$B$2:$B$145,"Jan"))=0,"-",IFERROR(SUMIFS(Media_Cliente_Mes!$G$2:$G$145,Media_Cliente_Mes!$A$2:$A$145,"ADM",Media_Cliente_Mes!$B$2:$B$145,"Jan"),"-"))</f>
        <v>-</v>
      </c>
      <c r="G5" s="8" t="n">
        <f aca="false">SUMIFS(Media_Cliente_Mes!$H$2:$H$145,Media_Cliente_Mes!$A$2:$A$145,"ADM",Media_Cliente_Mes!$B$2:$B$145,"Jan")</f>
        <v>0</v>
      </c>
      <c r="H5" s="8" t="n">
        <f aca="false">SUMIFS(Media_Cliente_Mes!$I$2:$I$145,Media_Cliente_Mes!$A$2:$A$145,"ADM",Media_Cliente_Mes!$B$2:$B$145,"Jan")</f>
        <v>0</v>
      </c>
      <c r="I5" s="16" t="n">
        <f aca="false">SUMIFS(Resumo_Cliente_Mes!$G$2:$G$145,Resumo_Cliente_Mes!$A$2:$A$145,"ADM",Resumo_Cliente_Mes!$B$2:$B$145,"Jan")</f>
        <v>0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SUMIFS(Media_Cliente_Mes!$C$2:$C$145,Media_Cliente_Mes!$A$2:$A$145,"ADM",Media_Cliente_Mes!$B$2:$B$145,"Fev")</f>
        <v>0</v>
      </c>
      <c r="C6" s="10" t="str">
        <f aca="false">IF((SUMIFS(Media_Cliente_Mes!$C$2:$C$145,Media_Cliente_Mes!$A$2:$A$145,"ADM",Media_Cliente_Mes!$B$2:$B$145,"Fev"))=0,"-",IFERROR(SUMIFS(Media_Cliente_Mes!$D$2:$D$145,Media_Cliente_Mes!$A$2:$A$145,"ADM",Media_Cliente_Mes!$B$2:$B$145,"Fev"),"-"))</f>
        <v>-</v>
      </c>
      <c r="D6" s="10" t="str">
        <f aca="false">IF((SUMIFS(Media_Cliente_Mes!$C$2:$C$145,Media_Cliente_Mes!$A$2:$A$145,"ADM",Media_Cliente_Mes!$B$2:$B$145,"Fev"))=0,"-",IFERROR(SUMIFS(Media_Cliente_Mes!$E$2:$E$145,Media_Cliente_Mes!$A$2:$A$145,"ADM",Media_Cliente_Mes!$B$2:$B$145,"Fev"),"-"))</f>
        <v>-</v>
      </c>
      <c r="E6" s="10" t="str">
        <f aca="false">IF((SUMIFS(Media_Cliente_Mes!$C$2:$C$145,Media_Cliente_Mes!$A$2:$A$145,"ADM",Media_Cliente_Mes!$B$2:$B$145,"Fev"))=0,"-",IFERROR(SUMIFS(Media_Cliente_Mes!$F$2:$F$145,Media_Cliente_Mes!$A$2:$A$145,"ADM",Media_Cliente_Mes!$B$2:$B$145,"Fev"),"-"))</f>
        <v>-</v>
      </c>
      <c r="F6" s="10" t="str">
        <f aca="false">IF((SUMIFS(Media_Cliente_Mes!$C$2:$C$145,Media_Cliente_Mes!$A$2:$A$145,"ADM",Media_Cliente_Mes!$B$2:$B$145,"Fev"))=0,"-",IFERROR(SUMIFS(Media_Cliente_Mes!$G$2:$G$145,Media_Cliente_Mes!$A$2:$A$145,"ADM",Media_Cliente_Mes!$B$2:$B$145,"Fev"),"-"))</f>
        <v>-</v>
      </c>
      <c r="G6" s="8" t="n">
        <f aca="false">SUMIFS(Media_Cliente_Mes!$H$2:$H$145,Media_Cliente_Mes!$A$2:$A$145,"ADM",Media_Cliente_Mes!$B$2:$B$145,"Fev")</f>
        <v>0</v>
      </c>
      <c r="H6" s="8" t="n">
        <f aca="false">SUMIFS(Media_Cliente_Mes!$I$2:$I$145,Media_Cliente_Mes!$A$2:$A$145,"ADM",Media_Cliente_Mes!$B$2:$B$145,"Fev")</f>
        <v>0</v>
      </c>
      <c r="I6" s="16" t="n">
        <f aca="false">SUMIFS(Resumo_Cliente_Mes!$G$2:$G$145,Resumo_Cliente_Mes!$A$2:$A$145,"ADM",Resumo_Cliente_Mes!$B$2:$B$145,"Fev")</f>
        <v>0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SUMIFS(Media_Cliente_Mes!$C$2:$C$145,Media_Cliente_Mes!$A$2:$A$145,"ADM",Media_Cliente_Mes!$B$2:$B$145,"Mar")</f>
        <v>0</v>
      </c>
      <c r="C7" s="10" t="str">
        <f aca="false">IF((SUMIFS(Media_Cliente_Mes!$C$2:$C$145,Media_Cliente_Mes!$A$2:$A$145,"ADM",Media_Cliente_Mes!$B$2:$B$145,"Mar"))=0,"-",IFERROR(SUMIFS(Media_Cliente_Mes!$D$2:$D$145,Media_Cliente_Mes!$A$2:$A$145,"ADM",Media_Cliente_Mes!$B$2:$B$145,"Mar"),"-"))</f>
        <v>-</v>
      </c>
      <c r="D7" s="10" t="str">
        <f aca="false">IF((SUMIFS(Media_Cliente_Mes!$C$2:$C$145,Media_Cliente_Mes!$A$2:$A$145,"ADM",Media_Cliente_Mes!$B$2:$B$145,"Mar"))=0,"-",IFERROR(SUMIFS(Media_Cliente_Mes!$E$2:$E$145,Media_Cliente_Mes!$A$2:$A$145,"ADM",Media_Cliente_Mes!$B$2:$B$145,"Mar"),"-"))</f>
        <v>-</v>
      </c>
      <c r="E7" s="10" t="str">
        <f aca="false">IF((SUMIFS(Media_Cliente_Mes!$C$2:$C$145,Media_Cliente_Mes!$A$2:$A$145,"ADM",Media_Cliente_Mes!$B$2:$B$145,"Mar"))=0,"-",IFERROR(SUMIFS(Media_Cliente_Mes!$F$2:$F$145,Media_Cliente_Mes!$A$2:$A$145,"ADM",Media_Cliente_Mes!$B$2:$B$145,"Mar"),"-"))</f>
        <v>-</v>
      </c>
      <c r="F7" s="10" t="str">
        <f aca="false">IF((SUMIFS(Media_Cliente_Mes!$C$2:$C$145,Media_Cliente_Mes!$A$2:$A$145,"ADM",Media_Cliente_Mes!$B$2:$B$145,"Mar"))=0,"-",IFERROR(SUMIFS(Media_Cliente_Mes!$G$2:$G$145,Media_Cliente_Mes!$A$2:$A$145,"ADM",Media_Cliente_Mes!$B$2:$B$145,"Mar"),"-"))</f>
        <v>-</v>
      </c>
      <c r="G7" s="8" t="n">
        <f aca="false">SUMIFS(Media_Cliente_Mes!$H$2:$H$145,Media_Cliente_Mes!$A$2:$A$145,"ADM",Media_Cliente_Mes!$B$2:$B$145,"Mar")</f>
        <v>0</v>
      </c>
      <c r="H7" s="8" t="n">
        <f aca="false">SUMIFS(Media_Cliente_Mes!$I$2:$I$145,Media_Cliente_Mes!$A$2:$A$145,"ADM",Media_Cliente_Mes!$B$2:$B$145,"Mar")</f>
        <v>0</v>
      </c>
      <c r="I7" s="16" t="n">
        <f aca="false">SUMIFS(Resumo_Cliente_Mes!$G$2:$G$145,Resumo_Cliente_Mes!$A$2:$A$145,"ADM",Resumo_Cliente_Mes!$B$2:$B$145,"Mar")</f>
        <v>0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SUMIFS(Media_Cliente_Mes!$C$2:$C$145,Media_Cliente_Mes!$A$2:$A$145,"ADM",Media_Cliente_Mes!$B$2:$B$145,"Abr")</f>
        <v>0</v>
      </c>
      <c r="C8" s="10" t="str">
        <f aca="false">IF((SUMIFS(Media_Cliente_Mes!$C$2:$C$145,Media_Cliente_Mes!$A$2:$A$145,"ADM",Media_Cliente_Mes!$B$2:$B$145,"Abr"))=0,"-",IFERROR(SUMIFS(Media_Cliente_Mes!$D$2:$D$145,Media_Cliente_Mes!$A$2:$A$145,"ADM",Media_Cliente_Mes!$B$2:$B$145,"Abr"),"-"))</f>
        <v>-</v>
      </c>
      <c r="D8" s="10" t="str">
        <f aca="false">IF((SUMIFS(Media_Cliente_Mes!$C$2:$C$145,Media_Cliente_Mes!$A$2:$A$145,"ADM",Media_Cliente_Mes!$B$2:$B$145,"Abr"))=0,"-",IFERROR(SUMIFS(Media_Cliente_Mes!$E$2:$E$145,Media_Cliente_Mes!$A$2:$A$145,"ADM",Media_Cliente_Mes!$B$2:$B$145,"Abr"),"-"))</f>
        <v>-</v>
      </c>
      <c r="E8" s="10" t="str">
        <f aca="false">IF((SUMIFS(Media_Cliente_Mes!$C$2:$C$145,Media_Cliente_Mes!$A$2:$A$145,"ADM",Media_Cliente_Mes!$B$2:$B$145,"Abr"))=0,"-",IFERROR(SUMIFS(Media_Cliente_Mes!$F$2:$F$145,Media_Cliente_Mes!$A$2:$A$145,"ADM",Media_Cliente_Mes!$B$2:$B$145,"Abr"),"-"))</f>
        <v>-</v>
      </c>
      <c r="F8" s="10" t="str">
        <f aca="false">IF((SUMIFS(Media_Cliente_Mes!$C$2:$C$145,Media_Cliente_Mes!$A$2:$A$145,"ADM",Media_Cliente_Mes!$B$2:$B$145,"Abr"))=0,"-",IFERROR(SUMIFS(Media_Cliente_Mes!$G$2:$G$145,Media_Cliente_Mes!$A$2:$A$145,"ADM",Media_Cliente_Mes!$B$2:$B$145,"Abr"),"-"))</f>
        <v>-</v>
      </c>
      <c r="G8" s="8" t="n">
        <f aca="false">SUMIFS(Media_Cliente_Mes!$H$2:$H$145,Media_Cliente_Mes!$A$2:$A$145,"ADM",Media_Cliente_Mes!$B$2:$B$145,"Abr")</f>
        <v>0</v>
      </c>
      <c r="H8" s="8" t="n">
        <f aca="false">SUMIFS(Media_Cliente_Mes!$I$2:$I$145,Media_Cliente_Mes!$A$2:$A$145,"ADM",Media_Cliente_Mes!$B$2:$B$145,"Abr")</f>
        <v>0</v>
      </c>
      <c r="I8" s="16" t="n">
        <f aca="false">SUMIFS(Resumo_Cliente_Mes!$G$2:$G$145,Resumo_Cliente_Mes!$A$2:$A$145,"ADM",Resumo_Cliente_Mes!$B$2:$B$145,"Abr")</f>
        <v>0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SUMIFS(Media_Cliente_Mes!$C$2:$C$145,Media_Cliente_Mes!$A$2:$A$145,"ADM",Media_Cliente_Mes!$B$2:$B$145,"Mai")</f>
        <v>0</v>
      </c>
      <c r="C9" s="10" t="str">
        <f aca="false">IF((SUMIFS(Media_Cliente_Mes!$C$2:$C$145,Media_Cliente_Mes!$A$2:$A$145,"ADM",Media_Cliente_Mes!$B$2:$B$145,"Mai"))=0,"-",IFERROR(SUMIFS(Media_Cliente_Mes!$D$2:$D$145,Media_Cliente_Mes!$A$2:$A$145,"ADM",Media_Cliente_Mes!$B$2:$B$145,"Mai"),"-"))</f>
        <v>-</v>
      </c>
      <c r="D9" s="10" t="str">
        <f aca="false">IF((SUMIFS(Media_Cliente_Mes!$C$2:$C$145,Media_Cliente_Mes!$A$2:$A$145,"ADM",Media_Cliente_Mes!$B$2:$B$145,"Mai"))=0,"-",IFERROR(SUMIFS(Media_Cliente_Mes!$E$2:$E$145,Media_Cliente_Mes!$A$2:$A$145,"ADM",Media_Cliente_Mes!$B$2:$B$145,"Mai"),"-"))</f>
        <v>-</v>
      </c>
      <c r="E9" s="10" t="str">
        <f aca="false">IF((SUMIFS(Media_Cliente_Mes!$C$2:$C$145,Media_Cliente_Mes!$A$2:$A$145,"ADM",Media_Cliente_Mes!$B$2:$B$145,"Mai"))=0,"-",IFERROR(SUMIFS(Media_Cliente_Mes!$F$2:$F$145,Media_Cliente_Mes!$A$2:$A$145,"ADM",Media_Cliente_Mes!$B$2:$B$145,"Mai"),"-"))</f>
        <v>-</v>
      </c>
      <c r="F9" s="10" t="str">
        <f aca="false">IF((SUMIFS(Media_Cliente_Mes!$C$2:$C$145,Media_Cliente_Mes!$A$2:$A$145,"ADM",Media_Cliente_Mes!$B$2:$B$145,"Mai"))=0,"-",IFERROR(SUMIFS(Media_Cliente_Mes!$G$2:$G$145,Media_Cliente_Mes!$A$2:$A$145,"ADM",Media_Cliente_Mes!$B$2:$B$145,"Mai"),"-"))</f>
        <v>-</v>
      </c>
      <c r="G9" s="8" t="n">
        <f aca="false">SUMIFS(Media_Cliente_Mes!$H$2:$H$145,Media_Cliente_Mes!$A$2:$A$145,"ADM",Media_Cliente_Mes!$B$2:$B$145,"Mai")</f>
        <v>0</v>
      </c>
      <c r="H9" s="8" t="n">
        <f aca="false">SUMIFS(Media_Cliente_Mes!$I$2:$I$145,Media_Cliente_Mes!$A$2:$A$145,"ADM",Media_Cliente_Mes!$B$2:$B$145,"Mai")</f>
        <v>0</v>
      </c>
      <c r="I9" s="16" t="n">
        <f aca="false">SUMIFS(Resumo_Cliente_Mes!$G$2:$G$145,Resumo_Cliente_Mes!$A$2:$A$145,"ADM",Resumo_Cliente_Mes!$B$2:$B$145,"Mai")</f>
        <v>0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SUMIFS(Media_Cliente_Mes!$C$2:$C$145,Media_Cliente_Mes!$A$2:$A$145,"ADM",Media_Cliente_Mes!$B$2:$B$145,"Jun")</f>
        <v>0</v>
      </c>
      <c r="C10" s="10" t="str">
        <f aca="false">IF((SUMIFS(Media_Cliente_Mes!$C$2:$C$145,Media_Cliente_Mes!$A$2:$A$145,"ADM",Media_Cliente_Mes!$B$2:$B$145,"Jun"))=0,"-",IFERROR(SUMIFS(Media_Cliente_Mes!$D$2:$D$145,Media_Cliente_Mes!$A$2:$A$145,"ADM",Media_Cliente_Mes!$B$2:$B$145,"Jun"),"-"))</f>
        <v>-</v>
      </c>
      <c r="D10" s="10" t="str">
        <f aca="false">IF((SUMIFS(Media_Cliente_Mes!$C$2:$C$145,Media_Cliente_Mes!$A$2:$A$145,"ADM",Media_Cliente_Mes!$B$2:$B$145,"Jun"))=0,"-",IFERROR(SUMIFS(Media_Cliente_Mes!$E$2:$E$145,Media_Cliente_Mes!$A$2:$A$145,"ADM",Media_Cliente_Mes!$B$2:$B$145,"Jun"),"-"))</f>
        <v>-</v>
      </c>
      <c r="E10" s="10" t="str">
        <f aca="false">IF((SUMIFS(Media_Cliente_Mes!$C$2:$C$145,Media_Cliente_Mes!$A$2:$A$145,"ADM",Media_Cliente_Mes!$B$2:$B$145,"Jun"))=0,"-",IFERROR(SUMIFS(Media_Cliente_Mes!$F$2:$F$145,Media_Cliente_Mes!$A$2:$A$145,"ADM",Media_Cliente_Mes!$B$2:$B$145,"Jun"),"-"))</f>
        <v>-</v>
      </c>
      <c r="F10" s="10" t="str">
        <f aca="false">IF((SUMIFS(Media_Cliente_Mes!$C$2:$C$145,Media_Cliente_Mes!$A$2:$A$145,"ADM",Media_Cliente_Mes!$B$2:$B$145,"Jun"))=0,"-",IFERROR(SUMIFS(Media_Cliente_Mes!$G$2:$G$145,Media_Cliente_Mes!$A$2:$A$145,"ADM",Media_Cliente_Mes!$B$2:$B$145,"Jun"),"-"))</f>
        <v>-</v>
      </c>
      <c r="G10" s="8" t="n">
        <f aca="false">SUMIFS(Media_Cliente_Mes!$H$2:$H$145,Media_Cliente_Mes!$A$2:$A$145,"ADM",Media_Cliente_Mes!$B$2:$B$145,"Jun")</f>
        <v>0</v>
      </c>
      <c r="H10" s="8" t="n">
        <f aca="false">SUMIFS(Media_Cliente_Mes!$I$2:$I$145,Media_Cliente_Mes!$A$2:$A$145,"ADM",Media_Cliente_Mes!$B$2:$B$145,"Jun")</f>
        <v>0</v>
      </c>
      <c r="I10" s="16" t="n">
        <f aca="false">SUMIFS(Resumo_Cliente_Mes!$G$2:$G$145,Resumo_Cliente_Mes!$A$2:$A$145,"ADM",Resumo_Cliente_Mes!$B$2:$B$145,"Jun")</f>
        <v>0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SUMIFS(Media_Cliente_Mes!$C$2:$C$145,Media_Cliente_Mes!$A$2:$A$145,"ADM",Media_Cliente_Mes!$B$2:$B$145,"Jul")</f>
        <v>0</v>
      </c>
      <c r="C11" s="10" t="str">
        <f aca="false">IF((SUMIFS(Media_Cliente_Mes!$C$2:$C$145,Media_Cliente_Mes!$A$2:$A$145,"ADM",Media_Cliente_Mes!$B$2:$B$145,"Jul"))=0,"-",IFERROR(SUMIFS(Media_Cliente_Mes!$D$2:$D$145,Media_Cliente_Mes!$A$2:$A$145,"ADM",Media_Cliente_Mes!$B$2:$B$145,"Jul"),"-"))</f>
        <v>-</v>
      </c>
      <c r="D11" s="10" t="str">
        <f aca="false">IF((SUMIFS(Media_Cliente_Mes!$C$2:$C$145,Media_Cliente_Mes!$A$2:$A$145,"ADM",Media_Cliente_Mes!$B$2:$B$145,"Jul"))=0,"-",IFERROR(SUMIFS(Media_Cliente_Mes!$E$2:$E$145,Media_Cliente_Mes!$A$2:$A$145,"ADM",Media_Cliente_Mes!$B$2:$B$145,"Jul"),"-"))</f>
        <v>-</v>
      </c>
      <c r="E11" s="10" t="str">
        <f aca="false">IF((SUMIFS(Media_Cliente_Mes!$C$2:$C$145,Media_Cliente_Mes!$A$2:$A$145,"ADM",Media_Cliente_Mes!$B$2:$B$145,"Jul"))=0,"-",IFERROR(SUMIFS(Media_Cliente_Mes!$F$2:$F$145,Media_Cliente_Mes!$A$2:$A$145,"ADM",Media_Cliente_Mes!$B$2:$B$145,"Jul"),"-"))</f>
        <v>-</v>
      </c>
      <c r="F11" s="10" t="str">
        <f aca="false">IF((SUMIFS(Media_Cliente_Mes!$C$2:$C$145,Media_Cliente_Mes!$A$2:$A$145,"ADM",Media_Cliente_Mes!$B$2:$B$145,"Jul"))=0,"-",IFERROR(SUMIFS(Media_Cliente_Mes!$G$2:$G$145,Media_Cliente_Mes!$A$2:$A$145,"ADM",Media_Cliente_Mes!$B$2:$B$145,"Jul"),"-"))</f>
        <v>-</v>
      </c>
      <c r="G11" s="8" t="n">
        <f aca="false">SUMIFS(Media_Cliente_Mes!$H$2:$H$145,Media_Cliente_Mes!$A$2:$A$145,"ADM",Media_Cliente_Mes!$B$2:$B$145,"Jul")</f>
        <v>0</v>
      </c>
      <c r="H11" s="8" t="n">
        <f aca="false">SUMIFS(Media_Cliente_Mes!$I$2:$I$145,Media_Cliente_Mes!$A$2:$A$145,"ADM",Media_Cliente_Mes!$B$2:$B$145,"Jul")</f>
        <v>0</v>
      </c>
      <c r="I11" s="16" t="n">
        <f aca="false">SUMIFS(Resumo_Cliente_Mes!$G$2:$G$145,Resumo_Cliente_Mes!$A$2:$A$145,"ADM",Resumo_Cliente_Mes!$B$2:$B$145,"Jul")</f>
        <v>0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SUMIFS(Media_Cliente_Mes!$C$2:$C$145,Media_Cliente_Mes!$A$2:$A$145,"ADM",Media_Cliente_Mes!$B$2:$B$145,"Ago")</f>
        <v>11582.49</v>
      </c>
      <c r="C12" s="10" t="n">
        <f aca="false">IF((SUMIFS(Media_Cliente_Mes!$C$2:$C$145,Media_Cliente_Mes!$A$2:$A$145,"ADM",Media_Cliente_Mes!$B$2:$B$145,"Ago"))=0,"-",IFERROR(SUMIFS(Media_Cliente_Mes!$D$2:$D$145,Media_Cliente_Mes!$A$2:$A$145,"ADM",Media_Cliente_Mes!$B$2:$B$145,"Ago"),"-"))</f>
        <v>47.4047032719217</v>
      </c>
      <c r="D12" s="10" t="n">
        <f aca="false">IF((SUMIFS(Media_Cliente_Mes!$C$2:$C$145,Media_Cliente_Mes!$A$2:$A$145,"ADM",Media_Cliente_Mes!$B$2:$B$145,"Ago"))=0,"-",IFERROR(SUMIFS(Media_Cliente_Mes!$E$2:$E$145,Media_Cliente_Mes!$A$2:$A$145,"ADM",Media_Cliente_Mes!$B$2:$B$145,"Ago"),"-"))</f>
        <v>12.3567068221082</v>
      </c>
      <c r="E12" s="10" t="n">
        <f aca="false">IF((SUMIFS(Media_Cliente_Mes!$C$2:$C$145,Media_Cliente_Mes!$A$2:$A$145,"ADM",Media_Cliente_Mes!$B$2:$B$145,"Ago"))=0,"-",IFERROR(SUMIFS(Media_Cliente_Mes!$F$2:$F$145,Media_Cliente_Mes!$A$2:$A$145,"ADM",Media_Cliente_Mes!$B$2:$B$145,"Ago"),"-"))</f>
        <v>3.75247210228543</v>
      </c>
      <c r="F12" s="10" t="n">
        <f aca="false">IF((SUMIFS(Media_Cliente_Mes!$C$2:$C$145,Media_Cliente_Mes!$A$2:$A$145,"ADM",Media_Cliente_Mes!$B$2:$B$145,"Ago"))=0,"-",IFERROR(SUMIFS(Media_Cliente_Mes!$G$2:$G$145,Media_Cliente_Mes!$A$2:$A$145,"ADM",Media_Cliente_Mes!$B$2:$B$145,"Ago"),"-"))</f>
        <v>1.55082551333953</v>
      </c>
      <c r="G12" s="8" t="n">
        <f aca="false">SUMIFS(Media_Cliente_Mes!$H$2:$H$145,Media_Cliente_Mes!$A$2:$A$145,"ADM",Media_Cliente_Mes!$B$2:$B$145,"Ago")</f>
        <v>0</v>
      </c>
      <c r="H12" s="8" t="n">
        <f aca="false">SUMIFS(Media_Cliente_Mes!$I$2:$I$145,Media_Cliente_Mes!$A$2:$A$145,"ADM",Media_Cliente_Mes!$B$2:$B$145,"Ago")</f>
        <v>11582.49</v>
      </c>
      <c r="I12" s="16" t="n">
        <f aca="false">SUMIFS(Resumo_Cliente_Mes!$G$2:$G$145,Resumo_Cliente_Mes!$A$2:$A$145,"ADM",Resumo_Cliente_Mes!$B$2:$B$145,"Ago")</f>
        <v>31590.9448897522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SUMIFS(Media_Cliente_Mes!$C$2:$C$145,Media_Cliente_Mes!$A$2:$A$145,"ADM",Media_Cliente_Mes!$B$2:$B$145,"Set")</f>
        <v>3730.96</v>
      </c>
      <c r="C13" s="10" t="n">
        <f aca="false">IF((SUMIFS(Media_Cliente_Mes!$C$2:$C$145,Media_Cliente_Mes!$A$2:$A$145,"ADM",Media_Cliente_Mes!$B$2:$B$145,"Set"))=0,"-",IFERROR(SUMIFS(Media_Cliente_Mes!$D$2:$D$145,Media_Cliente_Mes!$A$2:$A$145,"ADM",Media_Cliente_Mes!$B$2:$B$145,"Set"),"-"))</f>
        <v>47.3</v>
      </c>
      <c r="D13" s="10" t="n">
        <f aca="false">IF((SUMIFS(Media_Cliente_Mes!$C$2:$C$145,Media_Cliente_Mes!$A$2:$A$145,"ADM",Media_Cliente_Mes!$B$2:$B$145,"Set"))=0,"-",IFERROR(SUMIFS(Media_Cliente_Mes!$E$2:$E$145,Media_Cliente_Mes!$A$2:$A$145,"ADM",Media_Cliente_Mes!$B$2:$B$145,"Set"),"-"))</f>
        <v>12.52</v>
      </c>
      <c r="E13" s="10" t="n">
        <f aca="false">IF((SUMIFS(Media_Cliente_Mes!$C$2:$C$145,Media_Cliente_Mes!$A$2:$A$145,"ADM",Media_Cliente_Mes!$B$2:$B$145,"Set"))=0,"-",IFERROR(SUMIFS(Media_Cliente_Mes!$F$2:$F$145,Media_Cliente_Mes!$A$2:$A$145,"ADM",Media_Cliente_Mes!$B$2:$B$145,"Set"),"-"))</f>
        <v>3.82</v>
      </c>
      <c r="F13" s="10" t="n">
        <f aca="false">IF((SUMIFS(Media_Cliente_Mes!$C$2:$C$145,Media_Cliente_Mes!$A$2:$A$145,"ADM",Media_Cliente_Mes!$B$2:$B$145,"Set"))=0,"-",IFERROR(SUMIFS(Media_Cliente_Mes!$G$2:$G$145,Media_Cliente_Mes!$A$2:$A$145,"ADM",Media_Cliente_Mes!$B$2:$B$145,"Set"),"-"))</f>
        <v>1.65</v>
      </c>
      <c r="G13" s="8" t="n">
        <f aca="false">SUMIFS(Media_Cliente_Mes!$H$2:$H$145,Media_Cliente_Mes!$A$2:$A$145,"ADM",Media_Cliente_Mes!$B$2:$B$145,"Set")</f>
        <v>0</v>
      </c>
      <c r="H13" s="8" t="n">
        <f aca="false">SUMIFS(Media_Cliente_Mes!$I$2:$I$145,Media_Cliente_Mes!$A$2:$A$145,"ADM",Media_Cliente_Mes!$B$2:$B$145,"Set")</f>
        <v>3730.96</v>
      </c>
      <c r="I13" s="16" t="n">
        <f aca="false">SUMIFS(Resumo_Cliente_Mes!$G$2:$G$145,Resumo_Cliente_Mes!$A$2:$A$145,"ADM",Resumo_Cliente_Mes!$B$2:$B$145,"Set")</f>
        <v>-4653.70997762217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SUMIFS(Media_Cliente_Mes!$C$2:$C$145,Media_Cliente_Mes!$A$2:$A$145,"ADM",Media_Cliente_Mes!$B$2:$B$145,"Out")</f>
        <v>0</v>
      </c>
      <c r="C14" s="10" t="str">
        <f aca="false">IF((SUMIFS(Media_Cliente_Mes!$C$2:$C$145,Media_Cliente_Mes!$A$2:$A$145,"ADM",Media_Cliente_Mes!$B$2:$B$145,"Out"))=0,"-",IFERROR(SUMIFS(Media_Cliente_Mes!$D$2:$D$145,Media_Cliente_Mes!$A$2:$A$145,"ADM",Media_Cliente_Mes!$B$2:$B$145,"Out"),"-"))</f>
        <v>-</v>
      </c>
      <c r="D14" s="10" t="str">
        <f aca="false">IF((SUMIFS(Media_Cliente_Mes!$C$2:$C$145,Media_Cliente_Mes!$A$2:$A$145,"ADM",Media_Cliente_Mes!$B$2:$B$145,"Out"))=0,"-",IFERROR(SUMIFS(Media_Cliente_Mes!$E$2:$E$145,Media_Cliente_Mes!$A$2:$A$145,"ADM",Media_Cliente_Mes!$B$2:$B$145,"Out"),"-"))</f>
        <v>-</v>
      </c>
      <c r="E14" s="10" t="str">
        <f aca="false">IF((SUMIFS(Media_Cliente_Mes!$C$2:$C$145,Media_Cliente_Mes!$A$2:$A$145,"ADM",Media_Cliente_Mes!$B$2:$B$145,"Out"))=0,"-",IFERROR(SUMIFS(Media_Cliente_Mes!$F$2:$F$145,Media_Cliente_Mes!$A$2:$A$145,"ADM",Media_Cliente_Mes!$B$2:$B$145,"Out"),"-"))</f>
        <v>-</v>
      </c>
      <c r="F14" s="10" t="str">
        <f aca="false">IF((SUMIFS(Media_Cliente_Mes!$C$2:$C$145,Media_Cliente_Mes!$A$2:$A$145,"ADM",Media_Cliente_Mes!$B$2:$B$145,"Out"))=0,"-",IFERROR(SUMIFS(Media_Cliente_Mes!$G$2:$G$145,Media_Cliente_Mes!$A$2:$A$145,"ADM",Media_Cliente_Mes!$B$2:$B$145,"Out"),"-"))</f>
        <v>-</v>
      </c>
      <c r="G14" s="8" t="n">
        <f aca="false">SUMIFS(Media_Cliente_Mes!$H$2:$H$145,Media_Cliente_Mes!$A$2:$A$145,"ADM",Media_Cliente_Mes!$B$2:$B$145,"Out")</f>
        <v>0</v>
      </c>
      <c r="H14" s="8" t="n">
        <f aca="false">SUMIFS(Media_Cliente_Mes!$I$2:$I$145,Media_Cliente_Mes!$A$2:$A$145,"ADM",Media_Cliente_Mes!$B$2:$B$145,"Out")</f>
        <v>0</v>
      </c>
      <c r="I14" s="16" t="n">
        <f aca="false">SUMIFS(Resumo_Cliente_Mes!$G$2:$G$145,Resumo_Cliente_Mes!$A$2:$A$145,"ADM",Resumo_Cliente_Mes!$B$2:$B$145,"Out")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SUMIFS(Media_Cliente_Mes!$C$2:$C$145,Media_Cliente_Mes!$A$2:$A$145,"ADM",Media_Cliente_Mes!$B$2:$B$145,"Nov")</f>
        <v>0</v>
      </c>
      <c r="C15" s="10" t="str">
        <f aca="false">IF((SUMIFS(Media_Cliente_Mes!$C$2:$C$145,Media_Cliente_Mes!$A$2:$A$145,"ADM",Media_Cliente_Mes!$B$2:$B$145,"Nov"))=0,"-",IFERROR(SUMIFS(Media_Cliente_Mes!$D$2:$D$145,Media_Cliente_Mes!$A$2:$A$145,"ADM",Media_Cliente_Mes!$B$2:$B$145,"Nov"),"-"))</f>
        <v>-</v>
      </c>
      <c r="D15" s="10" t="str">
        <f aca="false">IF((SUMIFS(Media_Cliente_Mes!$C$2:$C$145,Media_Cliente_Mes!$A$2:$A$145,"ADM",Media_Cliente_Mes!$B$2:$B$145,"Nov"))=0,"-",IFERROR(SUMIFS(Media_Cliente_Mes!$E$2:$E$145,Media_Cliente_Mes!$A$2:$A$145,"ADM",Media_Cliente_Mes!$B$2:$B$145,"Nov"),"-"))</f>
        <v>-</v>
      </c>
      <c r="E15" s="10" t="str">
        <f aca="false">IF((SUMIFS(Media_Cliente_Mes!$C$2:$C$145,Media_Cliente_Mes!$A$2:$A$145,"ADM",Media_Cliente_Mes!$B$2:$B$145,"Nov"))=0,"-",IFERROR(SUMIFS(Media_Cliente_Mes!$F$2:$F$145,Media_Cliente_Mes!$A$2:$A$145,"ADM",Media_Cliente_Mes!$B$2:$B$145,"Nov"),"-"))</f>
        <v>-</v>
      </c>
      <c r="F15" s="10" t="str">
        <f aca="false">IF((SUMIFS(Media_Cliente_Mes!$C$2:$C$145,Media_Cliente_Mes!$A$2:$A$145,"ADM",Media_Cliente_Mes!$B$2:$B$145,"Nov"))=0,"-",IFERROR(SUMIFS(Media_Cliente_Mes!$G$2:$G$145,Media_Cliente_Mes!$A$2:$A$145,"ADM",Media_Cliente_Mes!$B$2:$B$145,"Nov"),"-"))</f>
        <v>-</v>
      </c>
      <c r="G15" s="8" t="n">
        <f aca="false">SUMIFS(Media_Cliente_Mes!$H$2:$H$145,Media_Cliente_Mes!$A$2:$A$145,"ADM",Media_Cliente_Mes!$B$2:$B$145,"Nov")</f>
        <v>0</v>
      </c>
      <c r="H15" s="8" t="n">
        <f aca="false">SUMIFS(Media_Cliente_Mes!$I$2:$I$145,Media_Cliente_Mes!$A$2:$A$145,"ADM",Media_Cliente_Mes!$B$2:$B$145,"Nov")</f>
        <v>0</v>
      </c>
      <c r="I15" s="16" t="n">
        <f aca="false">SUMIFS(Resumo_Cliente_Mes!$G$2:$G$145,Resumo_Cliente_Mes!$A$2:$A$145,"ADM",Resumo_Cliente_Mes!$B$2:$B$145,"Nov")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SUMIFS(Media_Cliente_Mes!$C$2:$C$145,Media_Cliente_Mes!$A$2:$A$145,"ADM",Media_Cliente_Mes!$B$2:$B$145,"Dez")</f>
        <v>0</v>
      </c>
      <c r="C16" s="10" t="str">
        <f aca="false">IF((SUMIFS(Media_Cliente_Mes!$C$2:$C$145,Media_Cliente_Mes!$A$2:$A$145,"ADM",Media_Cliente_Mes!$B$2:$B$145,"Dez"))=0,"-",IFERROR(SUMIFS(Media_Cliente_Mes!$D$2:$D$145,Media_Cliente_Mes!$A$2:$A$145,"ADM",Media_Cliente_Mes!$B$2:$B$145,"Dez"),"-"))</f>
        <v>-</v>
      </c>
      <c r="D16" s="10" t="str">
        <f aca="false">IF((SUMIFS(Media_Cliente_Mes!$C$2:$C$145,Media_Cliente_Mes!$A$2:$A$145,"ADM",Media_Cliente_Mes!$B$2:$B$145,"Dez"))=0,"-",IFERROR(SUMIFS(Media_Cliente_Mes!$E$2:$E$145,Media_Cliente_Mes!$A$2:$A$145,"ADM",Media_Cliente_Mes!$B$2:$B$145,"Dez"),"-"))</f>
        <v>-</v>
      </c>
      <c r="E16" s="10" t="str">
        <f aca="false">IF((SUMIFS(Media_Cliente_Mes!$C$2:$C$145,Media_Cliente_Mes!$A$2:$A$145,"ADM",Media_Cliente_Mes!$B$2:$B$145,"Dez"))=0,"-",IFERROR(SUMIFS(Media_Cliente_Mes!$F$2:$F$145,Media_Cliente_Mes!$A$2:$A$145,"ADM",Media_Cliente_Mes!$B$2:$B$145,"Dez"),"-"))</f>
        <v>-</v>
      </c>
      <c r="F16" s="10" t="str">
        <f aca="false">IF((SUMIFS(Media_Cliente_Mes!$C$2:$C$145,Media_Cliente_Mes!$A$2:$A$145,"ADM",Media_Cliente_Mes!$B$2:$B$145,"Dez"))=0,"-",IFERROR(SUMIFS(Media_Cliente_Mes!$G$2:$G$145,Media_Cliente_Mes!$A$2:$A$145,"ADM",Media_Cliente_Mes!$B$2:$B$145,"Dez"),"-"))</f>
        <v>-</v>
      </c>
      <c r="G16" s="8" t="n">
        <f aca="false">SUMIFS(Media_Cliente_Mes!$H$2:$H$145,Media_Cliente_Mes!$A$2:$A$145,"ADM",Media_Cliente_Mes!$B$2:$B$145,"Dez")</f>
        <v>0</v>
      </c>
      <c r="H16" s="8" t="n">
        <f aca="false">SUMIFS(Media_Cliente_Mes!$I$2:$I$145,Media_Cliente_Mes!$A$2:$A$145,"ADM",Media_Cliente_Mes!$B$2:$B$145,"Dez")</f>
        <v>0</v>
      </c>
      <c r="I16" s="16" t="n">
        <f aca="false">SUMIFS(Resumo_Cliente_Mes!$G$2:$G$145,Resumo_Cliente_Mes!$A$2:$A$145,"ADM",Resumo_Cliente_Mes!$B$2:$B$145,"Dez")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15313.45</v>
      </c>
      <c r="C17" s="23" t="n">
        <f aca="false">IFERROR(SUMPRODUCT((B5:B16)*IF(ISNUMBER(C5:C16),C5:C16,0))/B17,"-")</f>
        <v>47.3791934279996</v>
      </c>
      <c r="D17" s="23" t="n">
        <f aca="false">IFERROR(SUMPRODUCT((B5:B16)*IF(ISNUMBER(D5:D16),D5:D16,0))/B17,"-")</f>
        <v>12.3964914764472</v>
      </c>
      <c r="E17" s="23" t="n">
        <f aca="false">IFERROR(SUMPRODUCT((B5:B16)*IF(ISNUMBER(E5:E16),E5:E16,0))/B17,"-")</f>
        <v>3.76892455978241</v>
      </c>
      <c r="F17" s="23" t="n">
        <f aca="false">IFERROR(SUMPRODUCT((B5:B16)*IF(ISNUMBER(F5:F16),F5:F16,0))/B17,"-")</f>
        <v>1.5749883272548</v>
      </c>
      <c r="G17" s="22" t="n">
        <f aca="false">SUM(G5:G16)</f>
        <v>0</v>
      </c>
      <c r="H17" s="22" t="n">
        <f aca="false">SUM(H5:H16)</f>
        <v>15313.45</v>
      </c>
      <c r="I17" s="24" t="n">
        <f aca="false">SUM(I5:I16)</f>
        <v>26937.23491213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47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SUMIFS(Media_Cliente_Mes!$C$2:$C$145,Media_Cliente_Mes!$A$2:$A$145,"Aliança",Media_Cliente_Mes!$B$2:$B$145,"Jan")</f>
        <v>0</v>
      </c>
      <c r="C5" s="10" t="str">
        <f aca="false">IF((SUMIFS(Media_Cliente_Mes!$C$2:$C$145,Media_Cliente_Mes!$A$2:$A$145,"Aliança",Media_Cliente_Mes!$B$2:$B$145,"Jan"))=0,"-",IFERROR(SUMIFS(Media_Cliente_Mes!$D$2:$D$145,Media_Cliente_Mes!$A$2:$A$145,"Aliança",Media_Cliente_Mes!$B$2:$B$145,"Jan"),"-"))</f>
        <v>-</v>
      </c>
      <c r="D5" s="10" t="str">
        <f aca="false">IF((SUMIFS(Media_Cliente_Mes!$C$2:$C$145,Media_Cliente_Mes!$A$2:$A$145,"Aliança",Media_Cliente_Mes!$B$2:$B$145,"Jan"))=0,"-",IFERROR(SUMIFS(Media_Cliente_Mes!$E$2:$E$145,Media_Cliente_Mes!$A$2:$A$145,"Aliança",Media_Cliente_Mes!$B$2:$B$145,"Jan"),"-"))</f>
        <v>-</v>
      </c>
      <c r="E5" s="10" t="str">
        <f aca="false">IF((SUMIFS(Media_Cliente_Mes!$C$2:$C$145,Media_Cliente_Mes!$A$2:$A$145,"Aliança",Media_Cliente_Mes!$B$2:$B$145,"Jan"))=0,"-",IFERROR(SUMIFS(Media_Cliente_Mes!$F$2:$F$145,Media_Cliente_Mes!$A$2:$A$145,"Aliança",Media_Cliente_Mes!$B$2:$B$145,"Jan"),"-"))</f>
        <v>-</v>
      </c>
      <c r="F5" s="10" t="str">
        <f aca="false">IF((SUMIFS(Media_Cliente_Mes!$C$2:$C$145,Media_Cliente_Mes!$A$2:$A$145,"Aliança",Media_Cliente_Mes!$B$2:$B$145,"Jan"))=0,"-",IFERROR(SUMIFS(Media_Cliente_Mes!$G$2:$G$145,Media_Cliente_Mes!$A$2:$A$145,"Aliança",Media_Cliente_Mes!$B$2:$B$145,"Jan"),"-"))</f>
        <v>-</v>
      </c>
      <c r="G5" s="8" t="n">
        <f aca="false">SUMIFS(Media_Cliente_Mes!$H$2:$H$145,Media_Cliente_Mes!$A$2:$A$145,"Aliança",Media_Cliente_Mes!$B$2:$B$145,"Jan")</f>
        <v>0</v>
      </c>
      <c r="H5" s="8" t="n">
        <f aca="false">SUMIFS(Media_Cliente_Mes!$I$2:$I$145,Media_Cliente_Mes!$A$2:$A$145,"Aliança",Media_Cliente_Mes!$B$2:$B$145,"Jan")</f>
        <v>0</v>
      </c>
      <c r="I5" s="16" t="n">
        <f aca="false">SUMIFS(Resumo_Cliente_Mes!$G$2:$G$145,Resumo_Cliente_Mes!$A$2:$A$145,"Aliança",Resumo_Cliente_Mes!$B$2:$B$145,"Jan")</f>
        <v>0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SUMIFS(Media_Cliente_Mes!$C$2:$C$145,Media_Cliente_Mes!$A$2:$A$145,"Aliança",Media_Cliente_Mes!$B$2:$B$145,"Fev")</f>
        <v>0</v>
      </c>
      <c r="C6" s="10" t="str">
        <f aca="false">IF((SUMIFS(Media_Cliente_Mes!$C$2:$C$145,Media_Cliente_Mes!$A$2:$A$145,"Aliança",Media_Cliente_Mes!$B$2:$B$145,"Fev"))=0,"-",IFERROR(SUMIFS(Media_Cliente_Mes!$D$2:$D$145,Media_Cliente_Mes!$A$2:$A$145,"Aliança",Media_Cliente_Mes!$B$2:$B$145,"Fev"),"-"))</f>
        <v>-</v>
      </c>
      <c r="D6" s="10" t="str">
        <f aca="false">IF((SUMIFS(Media_Cliente_Mes!$C$2:$C$145,Media_Cliente_Mes!$A$2:$A$145,"Aliança",Media_Cliente_Mes!$B$2:$B$145,"Fev"))=0,"-",IFERROR(SUMIFS(Media_Cliente_Mes!$E$2:$E$145,Media_Cliente_Mes!$A$2:$A$145,"Aliança",Media_Cliente_Mes!$B$2:$B$145,"Fev"),"-"))</f>
        <v>-</v>
      </c>
      <c r="E6" s="10" t="str">
        <f aca="false">IF((SUMIFS(Media_Cliente_Mes!$C$2:$C$145,Media_Cliente_Mes!$A$2:$A$145,"Aliança",Media_Cliente_Mes!$B$2:$B$145,"Fev"))=0,"-",IFERROR(SUMIFS(Media_Cliente_Mes!$F$2:$F$145,Media_Cliente_Mes!$A$2:$A$145,"Aliança",Media_Cliente_Mes!$B$2:$B$145,"Fev"),"-"))</f>
        <v>-</v>
      </c>
      <c r="F6" s="10" t="str">
        <f aca="false">IF((SUMIFS(Media_Cliente_Mes!$C$2:$C$145,Media_Cliente_Mes!$A$2:$A$145,"Aliança",Media_Cliente_Mes!$B$2:$B$145,"Fev"))=0,"-",IFERROR(SUMIFS(Media_Cliente_Mes!$G$2:$G$145,Media_Cliente_Mes!$A$2:$A$145,"Aliança",Media_Cliente_Mes!$B$2:$B$145,"Fev"),"-"))</f>
        <v>-</v>
      </c>
      <c r="G6" s="8" t="n">
        <f aca="false">SUMIFS(Media_Cliente_Mes!$H$2:$H$145,Media_Cliente_Mes!$A$2:$A$145,"Aliança",Media_Cliente_Mes!$B$2:$B$145,"Fev")</f>
        <v>0</v>
      </c>
      <c r="H6" s="8" t="n">
        <f aca="false">SUMIFS(Media_Cliente_Mes!$I$2:$I$145,Media_Cliente_Mes!$A$2:$A$145,"Aliança",Media_Cliente_Mes!$B$2:$B$145,"Fev")</f>
        <v>0</v>
      </c>
      <c r="I6" s="16" t="n">
        <f aca="false">SUMIFS(Resumo_Cliente_Mes!$G$2:$G$145,Resumo_Cliente_Mes!$A$2:$A$145,"Aliança",Resumo_Cliente_Mes!$B$2:$B$145,"Fev")</f>
        <v>0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SUMIFS(Media_Cliente_Mes!$C$2:$C$145,Media_Cliente_Mes!$A$2:$A$145,"Aliança",Media_Cliente_Mes!$B$2:$B$145,"Mar")</f>
        <v>0</v>
      </c>
      <c r="C7" s="10" t="str">
        <f aca="false">IF((SUMIFS(Media_Cliente_Mes!$C$2:$C$145,Media_Cliente_Mes!$A$2:$A$145,"Aliança",Media_Cliente_Mes!$B$2:$B$145,"Mar"))=0,"-",IFERROR(SUMIFS(Media_Cliente_Mes!$D$2:$D$145,Media_Cliente_Mes!$A$2:$A$145,"Aliança",Media_Cliente_Mes!$B$2:$B$145,"Mar"),"-"))</f>
        <v>-</v>
      </c>
      <c r="D7" s="10" t="str">
        <f aca="false">IF((SUMIFS(Media_Cliente_Mes!$C$2:$C$145,Media_Cliente_Mes!$A$2:$A$145,"Aliança",Media_Cliente_Mes!$B$2:$B$145,"Mar"))=0,"-",IFERROR(SUMIFS(Media_Cliente_Mes!$E$2:$E$145,Media_Cliente_Mes!$A$2:$A$145,"Aliança",Media_Cliente_Mes!$B$2:$B$145,"Mar"),"-"))</f>
        <v>-</v>
      </c>
      <c r="E7" s="10" t="str">
        <f aca="false">IF((SUMIFS(Media_Cliente_Mes!$C$2:$C$145,Media_Cliente_Mes!$A$2:$A$145,"Aliança",Media_Cliente_Mes!$B$2:$B$145,"Mar"))=0,"-",IFERROR(SUMIFS(Media_Cliente_Mes!$F$2:$F$145,Media_Cliente_Mes!$A$2:$A$145,"Aliança",Media_Cliente_Mes!$B$2:$B$145,"Mar"),"-"))</f>
        <v>-</v>
      </c>
      <c r="F7" s="10" t="str">
        <f aca="false">IF((SUMIFS(Media_Cliente_Mes!$C$2:$C$145,Media_Cliente_Mes!$A$2:$A$145,"Aliança",Media_Cliente_Mes!$B$2:$B$145,"Mar"))=0,"-",IFERROR(SUMIFS(Media_Cliente_Mes!$G$2:$G$145,Media_Cliente_Mes!$A$2:$A$145,"Aliança",Media_Cliente_Mes!$B$2:$B$145,"Mar"),"-"))</f>
        <v>-</v>
      </c>
      <c r="G7" s="8" t="n">
        <f aca="false">SUMIFS(Media_Cliente_Mes!$H$2:$H$145,Media_Cliente_Mes!$A$2:$A$145,"Aliança",Media_Cliente_Mes!$B$2:$B$145,"Mar")</f>
        <v>0</v>
      </c>
      <c r="H7" s="8" t="n">
        <f aca="false">SUMIFS(Media_Cliente_Mes!$I$2:$I$145,Media_Cliente_Mes!$A$2:$A$145,"Aliança",Media_Cliente_Mes!$B$2:$B$145,"Mar")</f>
        <v>0</v>
      </c>
      <c r="I7" s="16" t="n">
        <f aca="false">SUMIFS(Resumo_Cliente_Mes!$G$2:$G$145,Resumo_Cliente_Mes!$A$2:$A$145,"Aliança",Resumo_Cliente_Mes!$B$2:$B$145,"Mar")</f>
        <v>0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SUMIFS(Media_Cliente_Mes!$C$2:$C$145,Media_Cliente_Mes!$A$2:$A$145,"Aliança",Media_Cliente_Mes!$B$2:$B$145,"Abr")</f>
        <v>0</v>
      </c>
      <c r="C8" s="10" t="str">
        <f aca="false">IF((SUMIFS(Media_Cliente_Mes!$C$2:$C$145,Media_Cliente_Mes!$A$2:$A$145,"Aliança",Media_Cliente_Mes!$B$2:$B$145,"Abr"))=0,"-",IFERROR(SUMIFS(Media_Cliente_Mes!$D$2:$D$145,Media_Cliente_Mes!$A$2:$A$145,"Aliança",Media_Cliente_Mes!$B$2:$B$145,"Abr"),"-"))</f>
        <v>-</v>
      </c>
      <c r="D8" s="10" t="str">
        <f aca="false">IF((SUMIFS(Media_Cliente_Mes!$C$2:$C$145,Media_Cliente_Mes!$A$2:$A$145,"Aliança",Media_Cliente_Mes!$B$2:$B$145,"Abr"))=0,"-",IFERROR(SUMIFS(Media_Cliente_Mes!$E$2:$E$145,Media_Cliente_Mes!$A$2:$A$145,"Aliança",Media_Cliente_Mes!$B$2:$B$145,"Abr"),"-"))</f>
        <v>-</v>
      </c>
      <c r="E8" s="10" t="str">
        <f aca="false">IF((SUMIFS(Media_Cliente_Mes!$C$2:$C$145,Media_Cliente_Mes!$A$2:$A$145,"Aliança",Media_Cliente_Mes!$B$2:$B$145,"Abr"))=0,"-",IFERROR(SUMIFS(Media_Cliente_Mes!$F$2:$F$145,Media_Cliente_Mes!$A$2:$A$145,"Aliança",Media_Cliente_Mes!$B$2:$B$145,"Abr"),"-"))</f>
        <v>-</v>
      </c>
      <c r="F8" s="10" t="str">
        <f aca="false">IF((SUMIFS(Media_Cliente_Mes!$C$2:$C$145,Media_Cliente_Mes!$A$2:$A$145,"Aliança",Media_Cliente_Mes!$B$2:$B$145,"Abr"))=0,"-",IFERROR(SUMIFS(Media_Cliente_Mes!$G$2:$G$145,Media_Cliente_Mes!$A$2:$A$145,"Aliança",Media_Cliente_Mes!$B$2:$B$145,"Abr"),"-"))</f>
        <v>-</v>
      </c>
      <c r="G8" s="8" t="n">
        <f aca="false">SUMIFS(Media_Cliente_Mes!$H$2:$H$145,Media_Cliente_Mes!$A$2:$A$145,"Aliança",Media_Cliente_Mes!$B$2:$B$145,"Abr")</f>
        <v>0</v>
      </c>
      <c r="H8" s="8" t="n">
        <f aca="false">SUMIFS(Media_Cliente_Mes!$I$2:$I$145,Media_Cliente_Mes!$A$2:$A$145,"Aliança",Media_Cliente_Mes!$B$2:$B$145,"Abr")</f>
        <v>0</v>
      </c>
      <c r="I8" s="16" t="n">
        <f aca="false">SUMIFS(Resumo_Cliente_Mes!$G$2:$G$145,Resumo_Cliente_Mes!$A$2:$A$145,"Aliança",Resumo_Cliente_Mes!$B$2:$B$145,"Abr")</f>
        <v>0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SUMIFS(Media_Cliente_Mes!$C$2:$C$145,Media_Cliente_Mes!$A$2:$A$145,"Aliança",Media_Cliente_Mes!$B$2:$B$145,"Mai")</f>
        <v>0</v>
      </c>
      <c r="C9" s="10" t="str">
        <f aca="false">IF((SUMIFS(Media_Cliente_Mes!$C$2:$C$145,Media_Cliente_Mes!$A$2:$A$145,"Aliança",Media_Cliente_Mes!$B$2:$B$145,"Mai"))=0,"-",IFERROR(SUMIFS(Media_Cliente_Mes!$D$2:$D$145,Media_Cliente_Mes!$A$2:$A$145,"Aliança",Media_Cliente_Mes!$B$2:$B$145,"Mai"),"-"))</f>
        <v>-</v>
      </c>
      <c r="D9" s="10" t="str">
        <f aca="false">IF((SUMIFS(Media_Cliente_Mes!$C$2:$C$145,Media_Cliente_Mes!$A$2:$A$145,"Aliança",Media_Cliente_Mes!$B$2:$B$145,"Mai"))=0,"-",IFERROR(SUMIFS(Media_Cliente_Mes!$E$2:$E$145,Media_Cliente_Mes!$A$2:$A$145,"Aliança",Media_Cliente_Mes!$B$2:$B$145,"Mai"),"-"))</f>
        <v>-</v>
      </c>
      <c r="E9" s="10" t="str">
        <f aca="false">IF((SUMIFS(Media_Cliente_Mes!$C$2:$C$145,Media_Cliente_Mes!$A$2:$A$145,"Aliança",Media_Cliente_Mes!$B$2:$B$145,"Mai"))=0,"-",IFERROR(SUMIFS(Media_Cliente_Mes!$F$2:$F$145,Media_Cliente_Mes!$A$2:$A$145,"Aliança",Media_Cliente_Mes!$B$2:$B$145,"Mai"),"-"))</f>
        <v>-</v>
      </c>
      <c r="F9" s="10" t="str">
        <f aca="false">IF((SUMIFS(Media_Cliente_Mes!$C$2:$C$145,Media_Cliente_Mes!$A$2:$A$145,"Aliança",Media_Cliente_Mes!$B$2:$B$145,"Mai"))=0,"-",IFERROR(SUMIFS(Media_Cliente_Mes!$G$2:$G$145,Media_Cliente_Mes!$A$2:$A$145,"Aliança",Media_Cliente_Mes!$B$2:$B$145,"Mai"),"-"))</f>
        <v>-</v>
      </c>
      <c r="G9" s="8" t="n">
        <f aca="false">SUMIFS(Media_Cliente_Mes!$H$2:$H$145,Media_Cliente_Mes!$A$2:$A$145,"Aliança",Media_Cliente_Mes!$B$2:$B$145,"Mai")</f>
        <v>0</v>
      </c>
      <c r="H9" s="8" t="n">
        <f aca="false">SUMIFS(Media_Cliente_Mes!$I$2:$I$145,Media_Cliente_Mes!$A$2:$A$145,"Aliança",Media_Cliente_Mes!$B$2:$B$145,"Mai")</f>
        <v>0</v>
      </c>
      <c r="I9" s="16" t="n">
        <f aca="false">SUMIFS(Resumo_Cliente_Mes!$G$2:$G$145,Resumo_Cliente_Mes!$A$2:$A$145,"Aliança",Resumo_Cliente_Mes!$B$2:$B$145,"Mai")</f>
        <v>0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SUMIFS(Media_Cliente_Mes!$C$2:$C$145,Media_Cliente_Mes!$A$2:$A$145,"Aliança",Media_Cliente_Mes!$B$2:$B$145,"Jun")</f>
        <v>0</v>
      </c>
      <c r="C10" s="10" t="str">
        <f aca="false">IF((SUMIFS(Media_Cliente_Mes!$C$2:$C$145,Media_Cliente_Mes!$A$2:$A$145,"Aliança",Media_Cliente_Mes!$B$2:$B$145,"Jun"))=0,"-",IFERROR(SUMIFS(Media_Cliente_Mes!$D$2:$D$145,Media_Cliente_Mes!$A$2:$A$145,"Aliança",Media_Cliente_Mes!$B$2:$B$145,"Jun"),"-"))</f>
        <v>-</v>
      </c>
      <c r="D10" s="10" t="str">
        <f aca="false">IF((SUMIFS(Media_Cliente_Mes!$C$2:$C$145,Media_Cliente_Mes!$A$2:$A$145,"Aliança",Media_Cliente_Mes!$B$2:$B$145,"Jun"))=0,"-",IFERROR(SUMIFS(Media_Cliente_Mes!$E$2:$E$145,Media_Cliente_Mes!$A$2:$A$145,"Aliança",Media_Cliente_Mes!$B$2:$B$145,"Jun"),"-"))</f>
        <v>-</v>
      </c>
      <c r="E10" s="10" t="str">
        <f aca="false">IF((SUMIFS(Media_Cliente_Mes!$C$2:$C$145,Media_Cliente_Mes!$A$2:$A$145,"Aliança",Media_Cliente_Mes!$B$2:$B$145,"Jun"))=0,"-",IFERROR(SUMIFS(Media_Cliente_Mes!$F$2:$F$145,Media_Cliente_Mes!$A$2:$A$145,"Aliança",Media_Cliente_Mes!$B$2:$B$145,"Jun"),"-"))</f>
        <v>-</v>
      </c>
      <c r="F10" s="10" t="str">
        <f aca="false">IF((SUMIFS(Media_Cliente_Mes!$C$2:$C$145,Media_Cliente_Mes!$A$2:$A$145,"Aliança",Media_Cliente_Mes!$B$2:$B$145,"Jun"))=0,"-",IFERROR(SUMIFS(Media_Cliente_Mes!$G$2:$G$145,Media_Cliente_Mes!$A$2:$A$145,"Aliança",Media_Cliente_Mes!$B$2:$B$145,"Jun"),"-"))</f>
        <v>-</v>
      </c>
      <c r="G10" s="8" t="n">
        <f aca="false">SUMIFS(Media_Cliente_Mes!$H$2:$H$145,Media_Cliente_Mes!$A$2:$A$145,"Aliança",Media_Cliente_Mes!$B$2:$B$145,"Jun")</f>
        <v>0</v>
      </c>
      <c r="H10" s="8" t="n">
        <f aca="false">SUMIFS(Media_Cliente_Mes!$I$2:$I$145,Media_Cliente_Mes!$A$2:$A$145,"Aliança",Media_Cliente_Mes!$B$2:$B$145,"Jun")</f>
        <v>0</v>
      </c>
      <c r="I10" s="16" t="n">
        <f aca="false">SUMIFS(Resumo_Cliente_Mes!$G$2:$G$145,Resumo_Cliente_Mes!$A$2:$A$145,"Aliança",Resumo_Cliente_Mes!$B$2:$B$145,"Jun")</f>
        <v>0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SUMIFS(Media_Cliente_Mes!$C$2:$C$145,Media_Cliente_Mes!$A$2:$A$145,"Aliança",Media_Cliente_Mes!$B$2:$B$145,"Jul")</f>
        <v>0</v>
      </c>
      <c r="C11" s="10" t="str">
        <f aca="false">IF((SUMIFS(Media_Cliente_Mes!$C$2:$C$145,Media_Cliente_Mes!$A$2:$A$145,"Aliança",Media_Cliente_Mes!$B$2:$B$145,"Jul"))=0,"-",IFERROR(SUMIFS(Media_Cliente_Mes!$D$2:$D$145,Media_Cliente_Mes!$A$2:$A$145,"Aliança",Media_Cliente_Mes!$B$2:$B$145,"Jul"),"-"))</f>
        <v>-</v>
      </c>
      <c r="D11" s="10" t="str">
        <f aca="false">IF((SUMIFS(Media_Cliente_Mes!$C$2:$C$145,Media_Cliente_Mes!$A$2:$A$145,"Aliança",Media_Cliente_Mes!$B$2:$B$145,"Jul"))=0,"-",IFERROR(SUMIFS(Media_Cliente_Mes!$E$2:$E$145,Media_Cliente_Mes!$A$2:$A$145,"Aliança",Media_Cliente_Mes!$B$2:$B$145,"Jul"),"-"))</f>
        <v>-</v>
      </c>
      <c r="E11" s="10" t="str">
        <f aca="false">IF((SUMIFS(Media_Cliente_Mes!$C$2:$C$145,Media_Cliente_Mes!$A$2:$A$145,"Aliança",Media_Cliente_Mes!$B$2:$B$145,"Jul"))=0,"-",IFERROR(SUMIFS(Media_Cliente_Mes!$F$2:$F$145,Media_Cliente_Mes!$A$2:$A$145,"Aliança",Media_Cliente_Mes!$B$2:$B$145,"Jul"),"-"))</f>
        <v>-</v>
      </c>
      <c r="F11" s="10" t="str">
        <f aca="false">IF((SUMIFS(Media_Cliente_Mes!$C$2:$C$145,Media_Cliente_Mes!$A$2:$A$145,"Aliança",Media_Cliente_Mes!$B$2:$B$145,"Jul"))=0,"-",IFERROR(SUMIFS(Media_Cliente_Mes!$G$2:$G$145,Media_Cliente_Mes!$A$2:$A$145,"Aliança",Media_Cliente_Mes!$B$2:$B$145,"Jul"),"-"))</f>
        <v>-</v>
      </c>
      <c r="G11" s="8" t="n">
        <f aca="false">SUMIFS(Media_Cliente_Mes!$H$2:$H$145,Media_Cliente_Mes!$A$2:$A$145,"Aliança",Media_Cliente_Mes!$B$2:$B$145,"Jul")</f>
        <v>0</v>
      </c>
      <c r="H11" s="8" t="n">
        <f aca="false">SUMIFS(Media_Cliente_Mes!$I$2:$I$145,Media_Cliente_Mes!$A$2:$A$145,"Aliança",Media_Cliente_Mes!$B$2:$B$145,"Jul")</f>
        <v>0</v>
      </c>
      <c r="I11" s="16" t="n">
        <f aca="false">SUMIFS(Resumo_Cliente_Mes!$G$2:$G$145,Resumo_Cliente_Mes!$A$2:$A$145,"Aliança",Resumo_Cliente_Mes!$B$2:$B$145,"Jul")</f>
        <v>0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SUMIFS(Media_Cliente_Mes!$C$2:$C$145,Media_Cliente_Mes!$A$2:$A$145,"Aliança",Media_Cliente_Mes!$B$2:$B$145,"Ago")</f>
        <v>0</v>
      </c>
      <c r="C12" s="10" t="str">
        <f aca="false">IF((SUMIFS(Media_Cliente_Mes!$C$2:$C$145,Media_Cliente_Mes!$A$2:$A$145,"Aliança",Media_Cliente_Mes!$B$2:$B$145,"Ago"))=0,"-",IFERROR(SUMIFS(Media_Cliente_Mes!$D$2:$D$145,Media_Cliente_Mes!$A$2:$A$145,"Aliança",Media_Cliente_Mes!$B$2:$B$145,"Ago"),"-"))</f>
        <v>-</v>
      </c>
      <c r="D12" s="10" t="str">
        <f aca="false">IF((SUMIFS(Media_Cliente_Mes!$C$2:$C$145,Media_Cliente_Mes!$A$2:$A$145,"Aliança",Media_Cliente_Mes!$B$2:$B$145,"Ago"))=0,"-",IFERROR(SUMIFS(Media_Cliente_Mes!$E$2:$E$145,Media_Cliente_Mes!$A$2:$A$145,"Aliança",Media_Cliente_Mes!$B$2:$B$145,"Ago"),"-"))</f>
        <v>-</v>
      </c>
      <c r="E12" s="10" t="str">
        <f aca="false">IF((SUMIFS(Media_Cliente_Mes!$C$2:$C$145,Media_Cliente_Mes!$A$2:$A$145,"Aliança",Media_Cliente_Mes!$B$2:$B$145,"Ago"))=0,"-",IFERROR(SUMIFS(Media_Cliente_Mes!$F$2:$F$145,Media_Cliente_Mes!$A$2:$A$145,"Aliança",Media_Cliente_Mes!$B$2:$B$145,"Ago"),"-"))</f>
        <v>-</v>
      </c>
      <c r="F12" s="10" t="str">
        <f aca="false">IF((SUMIFS(Media_Cliente_Mes!$C$2:$C$145,Media_Cliente_Mes!$A$2:$A$145,"Aliança",Media_Cliente_Mes!$B$2:$B$145,"Ago"))=0,"-",IFERROR(SUMIFS(Media_Cliente_Mes!$G$2:$G$145,Media_Cliente_Mes!$A$2:$A$145,"Aliança",Media_Cliente_Mes!$B$2:$B$145,"Ago"),"-"))</f>
        <v>-</v>
      </c>
      <c r="G12" s="8" t="n">
        <f aca="false">SUMIFS(Media_Cliente_Mes!$H$2:$H$145,Media_Cliente_Mes!$A$2:$A$145,"Aliança",Media_Cliente_Mes!$B$2:$B$145,"Ago")</f>
        <v>0</v>
      </c>
      <c r="H12" s="8" t="n">
        <f aca="false">SUMIFS(Media_Cliente_Mes!$I$2:$I$145,Media_Cliente_Mes!$A$2:$A$145,"Aliança",Media_Cliente_Mes!$B$2:$B$145,"Ago")</f>
        <v>0</v>
      </c>
      <c r="I12" s="16" t="n">
        <f aca="false">SUMIFS(Resumo_Cliente_Mes!$G$2:$G$145,Resumo_Cliente_Mes!$A$2:$A$145,"Aliança",Resumo_Cliente_Mes!$B$2:$B$145,"Ago")</f>
        <v>0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SUMIFS(Media_Cliente_Mes!$C$2:$C$145,Media_Cliente_Mes!$A$2:$A$145,"Aliança",Media_Cliente_Mes!$B$2:$B$145,"Set")</f>
        <v>0</v>
      </c>
      <c r="C13" s="10" t="str">
        <f aca="false">IF((SUMIFS(Media_Cliente_Mes!$C$2:$C$145,Media_Cliente_Mes!$A$2:$A$145,"Aliança",Media_Cliente_Mes!$B$2:$B$145,"Set"))=0,"-",IFERROR(SUMIFS(Media_Cliente_Mes!$D$2:$D$145,Media_Cliente_Mes!$A$2:$A$145,"Aliança",Media_Cliente_Mes!$B$2:$B$145,"Set"),"-"))</f>
        <v>-</v>
      </c>
      <c r="D13" s="10" t="str">
        <f aca="false">IF((SUMIFS(Media_Cliente_Mes!$C$2:$C$145,Media_Cliente_Mes!$A$2:$A$145,"Aliança",Media_Cliente_Mes!$B$2:$B$145,"Set"))=0,"-",IFERROR(SUMIFS(Media_Cliente_Mes!$E$2:$E$145,Media_Cliente_Mes!$A$2:$A$145,"Aliança",Media_Cliente_Mes!$B$2:$B$145,"Set"),"-"))</f>
        <v>-</v>
      </c>
      <c r="E13" s="10" t="str">
        <f aca="false">IF((SUMIFS(Media_Cliente_Mes!$C$2:$C$145,Media_Cliente_Mes!$A$2:$A$145,"Aliança",Media_Cliente_Mes!$B$2:$B$145,"Set"))=0,"-",IFERROR(SUMIFS(Media_Cliente_Mes!$F$2:$F$145,Media_Cliente_Mes!$A$2:$A$145,"Aliança",Media_Cliente_Mes!$B$2:$B$145,"Set"),"-"))</f>
        <v>-</v>
      </c>
      <c r="F13" s="10" t="str">
        <f aca="false">IF((SUMIFS(Media_Cliente_Mes!$C$2:$C$145,Media_Cliente_Mes!$A$2:$A$145,"Aliança",Media_Cliente_Mes!$B$2:$B$145,"Set"))=0,"-",IFERROR(SUMIFS(Media_Cliente_Mes!$G$2:$G$145,Media_Cliente_Mes!$A$2:$A$145,"Aliança",Media_Cliente_Mes!$B$2:$B$145,"Set"),"-"))</f>
        <v>-</v>
      </c>
      <c r="G13" s="8" t="n">
        <f aca="false">SUMIFS(Media_Cliente_Mes!$H$2:$H$145,Media_Cliente_Mes!$A$2:$A$145,"Aliança",Media_Cliente_Mes!$B$2:$B$145,"Set")</f>
        <v>0</v>
      </c>
      <c r="H13" s="8" t="n">
        <f aca="false">SUMIFS(Media_Cliente_Mes!$I$2:$I$145,Media_Cliente_Mes!$A$2:$A$145,"Aliança",Media_Cliente_Mes!$B$2:$B$145,"Set")</f>
        <v>0</v>
      </c>
      <c r="I13" s="16" t="n">
        <f aca="false">SUMIFS(Resumo_Cliente_Mes!$G$2:$G$145,Resumo_Cliente_Mes!$A$2:$A$145,"Aliança",Resumo_Cliente_Mes!$B$2:$B$145,"Set")</f>
        <v>0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SUMIFS(Media_Cliente_Mes!$C$2:$C$145,Media_Cliente_Mes!$A$2:$A$145,"Aliança",Media_Cliente_Mes!$B$2:$B$145,"Out")</f>
        <v>0</v>
      </c>
      <c r="C14" s="10" t="str">
        <f aca="false">IF((SUMIFS(Media_Cliente_Mes!$C$2:$C$145,Media_Cliente_Mes!$A$2:$A$145,"Aliança",Media_Cliente_Mes!$B$2:$B$145,"Out"))=0,"-",IFERROR(SUMIFS(Media_Cliente_Mes!$D$2:$D$145,Media_Cliente_Mes!$A$2:$A$145,"Aliança",Media_Cliente_Mes!$B$2:$B$145,"Out"),"-"))</f>
        <v>-</v>
      </c>
      <c r="D14" s="10" t="str">
        <f aca="false">IF((SUMIFS(Media_Cliente_Mes!$C$2:$C$145,Media_Cliente_Mes!$A$2:$A$145,"Aliança",Media_Cliente_Mes!$B$2:$B$145,"Out"))=0,"-",IFERROR(SUMIFS(Media_Cliente_Mes!$E$2:$E$145,Media_Cliente_Mes!$A$2:$A$145,"Aliança",Media_Cliente_Mes!$B$2:$B$145,"Out"),"-"))</f>
        <v>-</v>
      </c>
      <c r="E14" s="10" t="str">
        <f aca="false">IF((SUMIFS(Media_Cliente_Mes!$C$2:$C$145,Media_Cliente_Mes!$A$2:$A$145,"Aliança",Media_Cliente_Mes!$B$2:$B$145,"Out"))=0,"-",IFERROR(SUMIFS(Media_Cliente_Mes!$F$2:$F$145,Media_Cliente_Mes!$A$2:$A$145,"Aliança",Media_Cliente_Mes!$B$2:$B$145,"Out"),"-"))</f>
        <v>-</v>
      </c>
      <c r="F14" s="10" t="str">
        <f aca="false">IF((SUMIFS(Media_Cliente_Mes!$C$2:$C$145,Media_Cliente_Mes!$A$2:$A$145,"Aliança",Media_Cliente_Mes!$B$2:$B$145,"Out"))=0,"-",IFERROR(SUMIFS(Media_Cliente_Mes!$G$2:$G$145,Media_Cliente_Mes!$A$2:$A$145,"Aliança",Media_Cliente_Mes!$B$2:$B$145,"Out"),"-"))</f>
        <v>-</v>
      </c>
      <c r="G14" s="8" t="n">
        <f aca="false">SUMIFS(Media_Cliente_Mes!$H$2:$H$145,Media_Cliente_Mes!$A$2:$A$145,"Aliança",Media_Cliente_Mes!$B$2:$B$145,"Out")</f>
        <v>0</v>
      </c>
      <c r="H14" s="8" t="n">
        <f aca="false">SUMIFS(Media_Cliente_Mes!$I$2:$I$145,Media_Cliente_Mes!$A$2:$A$145,"Aliança",Media_Cliente_Mes!$B$2:$B$145,"Out")</f>
        <v>0</v>
      </c>
      <c r="I14" s="16" t="n">
        <f aca="false">SUMIFS(Resumo_Cliente_Mes!$G$2:$G$145,Resumo_Cliente_Mes!$A$2:$A$145,"Aliança",Resumo_Cliente_Mes!$B$2:$B$145,"Out")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SUMIFS(Media_Cliente_Mes!$C$2:$C$145,Media_Cliente_Mes!$A$2:$A$145,"Aliança",Media_Cliente_Mes!$B$2:$B$145,"Nov")</f>
        <v>0</v>
      </c>
      <c r="C15" s="10" t="str">
        <f aca="false">IF((SUMIFS(Media_Cliente_Mes!$C$2:$C$145,Media_Cliente_Mes!$A$2:$A$145,"Aliança",Media_Cliente_Mes!$B$2:$B$145,"Nov"))=0,"-",IFERROR(SUMIFS(Media_Cliente_Mes!$D$2:$D$145,Media_Cliente_Mes!$A$2:$A$145,"Aliança",Media_Cliente_Mes!$B$2:$B$145,"Nov"),"-"))</f>
        <v>-</v>
      </c>
      <c r="D15" s="10" t="str">
        <f aca="false">IF((SUMIFS(Media_Cliente_Mes!$C$2:$C$145,Media_Cliente_Mes!$A$2:$A$145,"Aliança",Media_Cliente_Mes!$B$2:$B$145,"Nov"))=0,"-",IFERROR(SUMIFS(Media_Cliente_Mes!$E$2:$E$145,Media_Cliente_Mes!$A$2:$A$145,"Aliança",Media_Cliente_Mes!$B$2:$B$145,"Nov"),"-"))</f>
        <v>-</v>
      </c>
      <c r="E15" s="10" t="str">
        <f aca="false">IF((SUMIFS(Media_Cliente_Mes!$C$2:$C$145,Media_Cliente_Mes!$A$2:$A$145,"Aliança",Media_Cliente_Mes!$B$2:$B$145,"Nov"))=0,"-",IFERROR(SUMIFS(Media_Cliente_Mes!$F$2:$F$145,Media_Cliente_Mes!$A$2:$A$145,"Aliança",Media_Cliente_Mes!$B$2:$B$145,"Nov"),"-"))</f>
        <v>-</v>
      </c>
      <c r="F15" s="10" t="str">
        <f aca="false">IF((SUMIFS(Media_Cliente_Mes!$C$2:$C$145,Media_Cliente_Mes!$A$2:$A$145,"Aliança",Media_Cliente_Mes!$B$2:$B$145,"Nov"))=0,"-",IFERROR(SUMIFS(Media_Cliente_Mes!$G$2:$G$145,Media_Cliente_Mes!$A$2:$A$145,"Aliança",Media_Cliente_Mes!$B$2:$B$145,"Nov"),"-"))</f>
        <v>-</v>
      </c>
      <c r="G15" s="8" t="n">
        <f aca="false">SUMIFS(Media_Cliente_Mes!$H$2:$H$145,Media_Cliente_Mes!$A$2:$A$145,"Aliança",Media_Cliente_Mes!$B$2:$B$145,"Nov")</f>
        <v>0</v>
      </c>
      <c r="H15" s="8" t="n">
        <f aca="false">SUMIFS(Media_Cliente_Mes!$I$2:$I$145,Media_Cliente_Mes!$A$2:$A$145,"Aliança",Media_Cliente_Mes!$B$2:$B$145,"Nov")</f>
        <v>0</v>
      </c>
      <c r="I15" s="16" t="n">
        <f aca="false">SUMIFS(Resumo_Cliente_Mes!$G$2:$G$145,Resumo_Cliente_Mes!$A$2:$A$145,"Aliança",Resumo_Cliente_Mes!$B$2:$B$145,"Nov")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SUMIFS(Media_Cliente_Mes!$C$2:$C$145,Media_Cliente_Mes!$A$2:$A$145,"Aliança",Media_Cliente_Mes!$B$2:$B$145,"Dez")</f>
        <v>0</v>
      </c>
      <c r="C16" s="10" t="str">
        <f aca="false">IF((SUMIFS(Media_Cliente_Mes!$C$2:$C$145,Media_Cliente_Mes!$A$2:$A$145,"Aliança",Media_Cliente_Mes!$B$2:$B$145,"Dez"))=0,"-",IFERROR(SUMIFS(Media_Cliente_Mes!$D$2:$D$145,Media_Cliente_Mes!$A$2:$A$145,"Aliança",Media_Cliente_Mes!$B$2:$B$145,"Dez"),"-"))</f>
        <v>-</v>
      </c>
      <c r="D16" s="10" t="str">
        <f aca="false">IF((SUMIFS(Media_Cliente_Mes!$C$2:$C$145,Media_Cliente_Mes!$A$2:$A$145,"Aliança",Media_Cliente_Mes!$B$2:$B$145,"Dez"))=0,"-",IFERROR(SUMIFS(Media_Cliente_Mes!$E$2:$E$145,Media_Cliente_Mes!$A$2:$A$145,"Aliança",Media_Cliente_Mes!$B$2:$B$145,"Dez"),"-"))</f>
        <v>-</v>
      </c>
      <c r="E16" s="10" t="str">
        <f aca="false">IF((SUMIFS(Media_Cliente_Mes!$C$2:$C$145,Media_Cliente_Mes!$A$2:$A$145,"Aliança",Media_Cliente_Mes!$B$2:$B$145,"Dez"))=0,"-",IFERROR(SUMIFS(Media_Cliente_Mes!$F$2:$F$145,Media_Cliente_Mes!$A$2:$A$145,"Aliança",Media_Cliente_Mes!$B$2:$B$145,"Dez"),"-"))</f>
        <v>-</v>
      </c>
      <c r="F16" s="10" t="str">
        <f aca="false">IF((SUMIFS(Media_Cliente_Mes!$C$2:$C$145,Media_Cliente_Mes!$A$2:$A$145,"Aliança",Media_Cliente_Mes!$B$2:$B$145,"Dez"))=0,"-",IFERROR(SUMIFS(Media_Cliente_Mes!$G$2:$G$145,Media_Cliente_Mes!$A$2:$A$145,"Aliança",Media_Cliente_Mes!$B$2:$B$145,"Dez"),"-"))</f>
        <v>-</v>
      </c>
      <c r="G16" s="8" t="n">
        <f aca="false">SUMIFS(Media_Cliente_Mes!$H$2:$H$145,Media_Cliente_Mes!$A$2:$A$145,"Aliança",Media_Cliente_Mes!$B$2:$B$145,"Dez")</f>
        <v>0</v>
      </c>
      <c r="H16" s="8" t="n">
        <f aca="false">SUMIFS(Media_Cliente_Mes!$I$2:$I$145,Media_Cliente_Mes!$A$2:$A$145,"Aliança",Media_Cliente_Mes!$B$2:$B$145,"Dez")</f>
        <v>0</v>
      </c>
      <c r="I16" s="16" t="n">
        <f aca="false">SUMIFS(Resumo_Cliente_Mes!$G$2:$G$145,Resumo_Cliente_Mes!$A$2:$A$145,"Aliança",Resumo_Cliente_Mes!$B$2:$B$145,"Dez")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0</v>
      </c>
      <c r="C17" s="23" t="str">
        <f aca="false">IFERROR(SUMPRODUCT((B5:B16)*IF(ISNUMBER(C5:C16),C5:C16,0))/B17,"-")</f>
        <v>-</v>
      </c>
      <c r="D17" s="23" t="str">
        <f aca="false">IFERROR(SUMPRODUCT((B5:B16)*IF(ISNUMBER(D5:D16),D5:D16,0))/B17,"-")</f>
        <v>-</v>
      </c>
      <c r="E17" s="23" t="str">
        <f aca="false">IFERROR(SUMPRODUCT((B5:B16)*IF(ISNUMBER(E5:E16),E5:E16,0))/B17,"-")</f>
        <v>-</v>
      </c>
      <c r="F17" s="23" t="str">
        <f aca="false">IFERROR(SUMPRODUCT((B5:B16)*IF(ISNUMBER(F5:F16),F5:F16,0))/B17,"-")</f>
        <v>-</v>
      </c>
      <c r="G17" s="22" t="n">
        <f aca="false">SUM(G5:G16)</f>
        <v>0</v>
      </c>
      <c r="H17" s="22" t="n">
        <f aca="false">SUM(H5:H16)</f>
        <v>0</v>
      </c>
      <c r="I17" s="24" t="n">
        <f aca="false">SUM(I5:I16)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48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SUMIFS(Media_Cliente_Mes!$C$2:$C$145,Media_Cliente_Mes!$A$2:$A$145,"Olfar",Media_Cliente_Mes!$B$2:$B$145,"Jan")</f>
        <v>0</v>
      </c>
      <c r="C5" s="10" t="str">
        <f aca="false">IF((SUMIFS(Media_Cliente_Mes!$C$2:$C$145,Media_Cliente_Mes!$A$2:$A$145,"Olfar",Media_Cliente_Mes!$B$2:$B$145,"Jan"))=0,"-",IFERROR(SUMIFS(Media_Cliente_Mes!$D$2:$D$145,Media_Cliente_Mes!$A$2:$A$145,"Olfar",Media_Cliente_Mes!$B$2:$B$145,"Jan"),"-"))</f>
        <v>-</v>
      </c>
      <c r="D5" s="10" t="str">
        <f aca="false">IF((SUMIFS(Media_Cliente_Mes!$C$2:$C$145,Media_Cliente_Mes!$A$2:$A$145,"Olfar",Media_Cliente_Mes!$B$2:$B$145,"Jan"))=0,"-",IFERROR(SUMIFS(Media_Cliente_Mes!$E$2:$E$145,Media_Cliente_Mes!$A$2:$A$145,"Olfar",Media_Cliente_Mes!$B$2:$B$145,"Jan"),"-"))</f>
        <v>-</v>
      </c>
      <c r="E5" s="10" t="str">
        <f aca="false">IF((SUMIFS(Media_Cliente_Mes!$C$2:$C$145,Media_Cliente_Mes!$A$2:$A$145,"Olfar",Media_Cliente_Mes!$B$2:$B$145,"Jan"))=0,"-",IFERROR(SUMIFS(Media_Cliente_Mes!$F$2:$F$145,Media_Cliente_Mes!$A$2:$A$145,"Olfar",Media_Cliente_Mes!$B$2:$B$145,"Jan"),"-"))</f>
        <v>-</v>
      </c>
      <c r="F5" s="10" t="str">
        <f aca="false">IF((SUMIFS(Media_Cliente_Mes!$C$2:$C$145,Media_Cliente_Mes!$A$2:$A$145,"Olfar",Media_Cliente_Mes!$B$2:$B$145,"Jan"))=0,"-",IFERROR(SUMIFS(Media_Cliente_Mes!$G$2:$G$145,Media_Cliente_Mes!$A$2:$A$145,"Olfar",Media_Cliente_Mes!$B$2:$B$145,"Jan"),"-"))</f>
        <v>-</v>
      </c>
      <c r="G5" s="8" t="n">
        <f aca="false">SUMIFS(Media_Cliente_Mes!$H$2:$H$145,Media_Cliente_Mes!$A$2:$A$145,"Olfar",Media_Cliente_Mes!$B$2:$B$145,"Jan")</f>
        <v>0</v>
      </c>
      <c r="H5" s="8" t="n">
        <f aca="false">SUMIFS(Media_Cliente_Mes!$I$2:$I$145,Media_Cliente_Mes!$A$2:$A$145,"Olfar",Media_Cliente_Mes!$B$2:$B$145,"Jan")</f>
        <v>0</v>
      </c>
      <c r="I5" s="16" t="n">
        <f aca="false">SUMIFS(Resumo_Cliente_Mes!$G$2:$G$145,Resumo_Cliente_Mes!$A$2:$A$145,"Olfar",Resumo_Cliente_Mes!$B$2:$B$145,"Jan")</f>
        <v>0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SUMIFS(Media_Cliente_Mes!$C$2:$C$145,Media_Cliente_Mes!$A$2:$A$145,"Olfar",Media_Cliente_Mes!$B$2:$B$145,"Fev")</f>
        <v>0</v>
      </c>
      <c r="C6" s="10" t="str">
        <f aca="false">IF((SUMIFS(Media_Cliente_Mes!$C$2:$C$145,Media_Cliente_Mes!$A$2:$A$145,"Olfar",Media_Cliente_Mes!$B$2:$B$145,"Fev"))=0,"-",IFERROR(SUMIFS(Media_Cliente_Mes!$D$2:$D$145,Media_Cliente_Mes!$A$2:$A$145,"Olfar",Media_Cliente_Mes!$B$2:$B$145,"Fev"),"-"))</f>
        <v>-</v>
      </c>
      <c r="D6" s="10" t="str">
        <f aca="false">IF((SUMIFS(Media_Cliente_Mes!$C$2:$C$145,Media_Cliente_Mes!$A$2:$A$145,"Olfar",Media_Cliente_Mes!$B$2:$B$145,"Fev"))=0,"-",IFERROR(SUMIFS(Media_Cliente_Mes!$E$2:$E$145,Media_Cliente_Mes!$A$2:$A$145,"Olfar",Media_Cliente_Mes!$B$2:$B$145,"Fev"),"-"))</f>
        <v>-</v>
      </c>
      <c r="E6" s="10" t="str">
        <f aca="false">IF((SUMIFS(Media_Cliente_Mes!$C$2:$C$145,Media_Cliente_Mes!$A$2:$A$145,"Olfar",Media_Cliente_Mes!$B$2:$B$145,"Fev"))=0,"-",IFERROR(SUMIFS(Media_Cliente_Mes!$F$2:$F$145,Media_Cliente_Mes!$A$2:$A$145,"Olfar",Media_Cliente_Mes!$B$2:$B$145,"Fev"),"-"))</f>
        <v>-</v>
      </c>
      <c r="F6" s="10" t="str">
        <f aca="false">IF((SUMIFS(Media_Cliente_Mes!$C$2:$C$145,Media_Cliente_Mes!$A$2:$A$145,"Olfar",Media_Cliente_Mes!$B$2:$B$145,"Fev"))=0,"-",IFERROR(SUMIFS(Media_Cliente_Mes!$G$2:$G$145,Media_Cliente_Mes!$A$2:$A$145,"Olfar",Media_Cliente_Mes!$B$2:$B$145,"Fev"),"-"))</f>
        <v>-</v>
      </c>
      <c r="G6" s="8" t="n">
        <f aca="false">SUMIFS(Media_Cliente_Mes!$H$2:$H$145,Media_Cliente_Mes!$A$2:$A$145,"Olfar",Media_Cliente_Mes!$B$2:$B$145,"Fev")</f>
        <v>0</v>
      </c>
      <c r="H6" s="8" t="n">
        <f aca="false">SUMIFS(Media_Cliente_Mes!$I$2:$I$145,Media_Cliente_Mes!$A$2:$A$145,"Olfar",Media_Cliente_Mes!$B$2:$B$145,"Fev")</f>
        <v>0</v>
      </c>
      <c r="I6" s="16" t="n">
        <f aca="false">SUMIFS(Resumo_Cliente_Mes!$G$2:$G$145,Resumo_Cliente_Mes!$A$2:$A$145,"Olfar",Resumo_Cliente_Mes!$B$2:$B$145,"Fev")</f>
        <v>0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SUMIFS(Media_Cliente_Mes!$C$2:$C$145,Media_Cliente_Mes!$A$2:$A$145,"Olfar",Media_Cliente_Mes!$B$2:$B$145,"Mar")</f>
        <v>0</v>
      </c>
      <c r="C7" s="10" t="str">
        <f aca="false">IF((SUMIFS(Media_Cliente_Mes!$C$2:$C$145,Media_Cliente_Mes!$A$2:$A$145,"Olfar",Media_Cliente_Mes!$B$2:$B$145,"Mar"))=0,"-",IFERROR(SUMIFS(Media_Cliente_Mes!$D$2:$D$145,Media_Cliente_Mes!$A$2:$A$145,"Olfar",Media_Cliente_Mes!$B$2:$B$145,"Mar"),"-"))</f>
        <v>-</v>
      </c>
      <c r="D7" s="10" t="str">
        <f aca="false">IF((SUMIFS(Media_Cliente_Mes!$C$2:$C$145,Media_Cliente_Mes!$A$2:$A$145,"Olfar",Media_Cliente_Mes!$B$2:$B$145,"Mar"))=0,"-",IFERROR(SUMIFS(Media_Cliente_Mes!$E$2:$E$145,Media_Cliente_Mes!$A$2:$A$145,"Olfar",Media_Cliente_Mes!$B$2:$B$145,"Mar"),"-"))</f>
        <v>-</v>
      </c>
      <c r="E7" s="10" t="str">
        <f aca="false">IF((SUMIFS(Media_Cliente_Mes!$C$2:$C$145,Media_Cliente_Mes!$A$2:$A$145,"Olfar",Media_Cliente_Mes!$B$2:$B$145,"Mar"))=0,"-",IFERROR(SUMIFS(Media_Cliente_Mes!$F$2:$F$145,Media_Cliente_Mes!$A$2:$A$145,"Olfar",Media_Cliente_Mes!$B$2:$B$145,"Mar"),"-"))</f>
        <v>-</v>
      </c>
      <c r="F7" s="10" t="str">
        <f aca="false">IF((SUMIFS(Media_Cliente_Mes!$C$2:$C$145,Media_Cliente_Mes!$A$2:$A$145,"Olfar",Media_Cliente_Mes!$B$2:$B$145,"Mar"))=0,"-",IFERROR(SUMIFS(Media_Cliente_Mes!$G$2:$G$145,Media_Cliente_Mes!$A$2:$A$145,"Olfar",Media_Cliente_Mes!$B$2:$B$145,"Mar"),"-"))</f>
        <v>-</v>
      </c>
      <c r="G7" s="8" t="n">
        <f aca="false">SUMIFS(Media_Cliente_Mes!$H$2:$H$145,Media_Cliente_Mes!$A$2:$A$145,"Olfar",Media_Cliente_Mes!$B$2:$B$145,"Mar")</f>
        <v>0</v>
      </c>
      <c r="H7" s="8" t="n">
        <f aca="false">SUMIFS(Media_Cliente_Mes!$I$2:$I$145,Media_Cliente_Mes!$A$2:$A$145,"Olfar",Media_Cliente_Mes!$B$2:$B$145,"Mar")</f>
        <v>0</v>
      </c>
      <c r="I7" s="16" t="n">
        <f aca="false">SUMIFS(Resumo_Cliente_Mes!$G$2:$G$145,Resumo_Cliente_Mes!$A$2:$A$145,"Olfar",Resumo_Cliente_Mes!$B$2:$B$145,"Mar")</f>
        <v>0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SUMIFS(Media_Cliente_Mes!$C$2:$C$145,Media_Cliente_Mes!$A$2:$A$145,"Olfar",Media_Cliente_Mes!$B$2:$B$145,"Abr")</f>
        <v>0</v>
      </c>
      <c r="C8" s="10" t="str">
        <f aca="false">IF((SUMIFS(Media_Cliente_Mes!$C$2:$C$145,Media_Cliente_Mes!$A$2:$A$145,"Olfar",Media_Cliente_Mes!$B$2:$B$145,"Abr"))=0,"-",IFERROR(SUMIFS(Media_Cliente_Mes!$D$2:$D$145,Media_Cliente_Mes!$A$2:$A$145,"Olfar",Media_Cliente_Mes!$B$2:$B$145,"Abr"),"-"))</f>
        <v>-</v>
      </c>
      <c r="D8" s="10" t="str">
        <f aca="false">IF((SUMIFS(Media_Cliente_Mes!$C$2:$C$145,Media_Cliente_Mes!$A$2:$A$145,"Olfar",Media_Cliente_Mes!$B$2:$B$145,"Abr"))=0,"-",IFERROR(SUMIFS(Media_Cliente_Mes!$E$2:$E$145,Media_Cliente_Mes!$A$2:$A$145,"Olfar",Media_Cliente_Mes!$B$2:$B$145,"Abr"),"-"))</f>
        <v>-</v>
      </c>
      <c r="E8" s="10" t="str">
        <f aca="false">IF((SUMIFS(Media_Cliente_Mes!$C$2:$C$145,Media_Cliente_Mes!$A$2:$A$145,"Olfar",Media_Cliente_Mes!$B$2:$B$145,"Abr"))=0,"-",IFERROR(SUMIFS(Media_Cliente_Mes!$F$2:$F$145,Media_Cliente_Mes!$A$2:$A$145,"Olfar",Media_Cliente_Mes!$B$2:$B$145,"Abr"),"-"))</f>
        <v>-</v>
      </c>
      <c r="F8" s="10" t="str">
        <f aca="false">IF((SUMIFS(Media_Cliente_Mes!$C$2:$C$145,Media_Cliente_Mes!$A$2:$A$145,"Olfar",Media_Cliente_Mes!$B$2:$B$145,"Abr"))=0,"-",IFERROR(SUMIFS(Media_Cliente_Mes!$G$2:$G$145,Media_Cliente_Mes!$A$2:$A$145,"Olfar",Media_Cliente_Mes!$B$2:$B$145,"Abr"),"-"))</f>
        <v>-</v>
      </c>
      <c r="G8" s="8" t="n">
        <f aca="false">SUMIFS(Media_Cliente_Mes!$H$2:$H$145,Media_Cliente_Mes!$A$2:$A$145,"Olfar",Media_Cliente_Mes!$B$2:$B$145,"Abr")</f>
        <v>0</v>
      </c>
      <c r="H8" s="8" t="n">
        <f aca="false">SUMIFS(Media_Cliente_Mes!$I$2:$I$145,Media_Cliente_Mes!$A$2:$A$145,"Olfar",Media_Cliente_Mes!$B$2:$B$145,"Abr")</f>
        <v>0</v>
      </c>
      <c r="I8" s="16" t="n">
        <f aca="false">SUMIFS(Resumo_Cliente_Mes!$G$2:$G$145,Resumo_Cliente_Mes!$A$2:$A$145,"Olfar",Resumo_Cliente_Mes!$B$2:$B$145,"Abr")</f>
        <v>0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SUMIFS(Media_Cliente_Mes!$C$2:$C$145,Media_Cliente_Mes!$A$2:$A$145,"Olfar",Media_Cliente_Mes!$B$2:$B$145,"Mai")</f>
        <v>0</v>
      </c>
      <c r="C9" s="10" t="str">
        <f aca="false">IF((SUMIFS(Media_Cliente_Mes!$C$2:$C$145,Media_Cliente_Mes!$A$2:$A$145,"Olfar",Media_Cliente_Mes!$B$2:$B$145,"Mai"))=0,"-",IFERROR(SUMIFS(Media_Cliente_Mes!$D$2:$D$145,Media_Cliente_Mes!$A$2:$A$145,"Olfar",Media_Cliente_Mes!$B$2:$B$145,"Mai"),"-"))</f>
        <v>-</v>
      </c>
      <c r="D9" s="10" t="str">
        <f aca="false">IF((SUMIFS(Media_Cliente_Mes!$C$2:$C$145,Media_Cliente_Mes!$A$2:$A$145,"Olfar",Media_Cliente_Mes!$B$2:$B$145,"Mai"))=0,"-",IFERROR(SUMIFS(Media_Cliente_Mes!$E$2:$E$145,Media_Cliente_Mes!$A$2:$A$145,"Olfar",Media_Cliente_Mes!$B$2:$B$145,"Mai"),"-"))</f>
        <v>-</v>
      </c>
      <c r="E9" s="10" t="str">
        <f aca="false">IF((SUMIFS(Media_Cliente_Mes!$C$2:$C$145,Media_Cliente_Mes!$A$2:$A$145,"Olfar",Media_Cliente_Mes!$B$2:$B$145,"Mai"))=0,"-",IFERROR(SUMIFS(Media_Cliente_Mes!$F$2:$F$145,Media_Cliente_Mes!$A$2:$A$145,"Olfar",Media_Cliente_Mes!$B$2:$B$145,"Mai"),"-"))</f>
        <v>-</v>
      </c>
      <c r="F9" s="10" t="str">
        <f aca="false">IF((SUMIFS(Media_Cliente_Mes!$C$2:$C$145,Media_Cliente_Mes!$A$2:$A$145,"Olfar",Media_Cliente_Mes!$B$2:$B$145,"Mai"))=0,"-",IFERROR(SUMIFS(Media_Cliente_Mes!$G$2:$G$145,Media_Cliente_Mes!$A$2:$A$145,"Olfar",Media_Cliente_Mes!$B$2:$B$145,"Mai"),"-"))</f>
        <v>-</v>
      </c>
      <c r="G9" s="8" t="n">
        <f aca="false">SUMIFS(Media_Cliente_Mes!$H$2:$H$145,Media_Cliente_Mes!$A$2:$A$145,"Olfar",Media_Cliente_Mes!$B$2:$B$145,"Mai")</f>
        <v>0</v>
      </c>
      <c r="H9" s="8" t="n">
        <f aca="false">SUMIFS(Media_Cliente_Mes!$I$2:$I$145,Media_Cliente_Mes!$A$2:$A$145,"Olfar",Media_Cliente_Mes!$B$2:$B$145,"Mai")</f>
        <v>0</v>
      </c>
      <c r="I9" s="16" t="n">
        <f aca="false">SUMIFS(Resumo_Cliente_Mes!$G$2:$G$145,Resumo_Cliente_Mes!$A$2:$A$145,"Olfar",Resumo_Cliente_Mes!$B$2:$B$145,"Mai")</f>
        <v>0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SUMIFS(Media_Cliente_Mes!$C$2:$C$145,Media_Cliente_Mes!$A$2:$A$145,"Olfar",Media_Cliente_Mes!$B$2:$B$145,"Jun")</f>
        <v>0</v>
      </c>
      <c r="C10" s="10" t="str">
        <f aca="false">IF((SUMIFS(Media_Cliente_Mes!$C$2:$C$145,Media_Cliente_Mes!$A$2:$A$145,"Olfar",Media_Cliente_Mes!$B$2:$B$145,"Jun"))=0,"-",IFERROR(SUMIFS(Media_Cliente_Mes!$D$2:$D$145,Media_Cliente_Mes!$A$2:$A$145,"Olfar",Media_Cliente_Mes!$B$2:$B$145,"Jun"),"-"))</f>
        <v>-</v>
      </c>
      <c r="D10" s="10" t="str">
        <f aca="false">IF((SUMIFS(Media_Cliente_Mes!$C$2:$C$145,Media_Cliente_Mes!$A$2:$A$145,"Olfar",Media_Cliente_Mes!$B$2:$B$145,"Jun"))=0,"-",IFERROR(SUMIFS(Media_Cliente_Mes!$E$2:$E$145,Media_Cliente_Mes!$A$2:$A$145,"Olfar",Media_Cliente_Mes!$B$2:$B$145,"Jun"),"-"))</f>
        <v>-</v>
      </c>
      <c r="E10" s="10" t="str">
        <f aca="false">IF((SUMIFS(Media_Cliente_Mes!$C$2:$C$145,Media_Cliente_Mes!$A$2:$A$145,"Olfar",Media_Cliente_Mes!$B$2:$B$145,"Jun"))=0,"-",IFERROR(SUMIFS(Media_Cliente_Mes!$F$2:$F$145,Media_Cliente_Mes!$A$2:$A$145,"Olfar",Media_Cliente_Mes!$B$2:$B$145,"Jun"),"-"))</f>
        <v>-</v>
      </c>
      <c r="F10" s="10" t="str">
        <f aca="false">IF((SUMIFS(Media_Cliente_Mes!$C$2:$C$145,Media_Cliente_Mes!$A$2:$A$145,"Olfar",Media_Cliente_Mes!$B$2:$B$145,"Jun"))=0,"-",IFERROR(SUMIFS(Media_Cliente_Mes!$G$2:$G$145,Media_Cliente_Mes!$A$2:$A$145,"Olfar",Media_Cliente_Mes!$B$2:$B$145,"Jun"),"-"))</f>
        <v>-</v>
      </c>
      <c r="G10" s="8" t="n">
        <f aca="false">SUMIFS(Media_Cliente_Mes!$H$2:$H$145,Media_Cliente_Mes!$A$2:$A$145,"Olfar",Media_Cliente_Mes!$B$2:$B$145,"Jun")</f>
        <v>0</v>
      </c>
      <c r="H10" s="8" t="n">
        <f aca="false">SUMIFS(Media_Cliente_Mes!$I$2:$I$145,Media_Cliente_Mes!$A$2:$A$145,"Olfar",Media_Cliente_Mes!$B$2:$B$145,"Jun")</f>
        <v>0</v>
      </c>
      <c r="I10" s="16" t="n">
        <f aca="false">SUMIFS(Resumo_Cliente_Mes!$G$2:$G$145,Resumo_Cliente_Mes!$A$2:$A$145,"Olfar",Resumo_Cliente_Mes!$B$2:$B$145,"Jun")</f>
        <v>0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SUMIFS(Media_Cliente_Mes!$C$2:$C$145,Media_Cliente_Mes!$A$2:$A$145,"Olfar",Media_Cliente_Mes!$B$2:$B$145,"Jul")</f>
        <v>55089.56</v>
      </c>
      <c r="C11" s="10" t="n">
        <f aca="false">IF((SUMIFS(Media_Cliente_Mes!$C$2:$C$145,Media_Cliente_Mes!$A$2:$A$145,"Olfar",Media_Cliente_Mes!$B$2:$B$145,"Jul"))=0,"-",IFERROR(SUMIFS(Media_Cliente_Mes!$D$2:$D$145,Media_Cliente_Mes!$A$2:$A$145,"Olfar",Media_Cliente_Mes!$B$2:$B$145,"Jul"),"-"))</f>
        <v>48.1625710933251</v>
      </c>
      <c r="D11" s="10" t="n">
        <f aca="false">IF((SUMIFS(Media_Cliente_Mes!$C$2:$C$145,Media_Cliente_Mes!$A$2:$A$145,"Olfar",Media_Cliente_Mes!$B$2:$B$145,"Jul"))=0,"-",IFERROR(SUMIFS(Media_Cliente_Mes!$E$2:$E$145,Media_Cliente_Mes!$A$2:$A$145,"Olfar",Media_Cliente_Mes!$B$2:$B$145,"Jul"),"-"))</f>
        <v>11.2093864245785</v>
      </c>
      <c r="E11" s="10" t="n">
        <f aca="false">IF((SUMIFS(Media_Cliente_Mes!$C$2:$C$145,Media_Cliente_Mes!$A$2:$A$145,"Olfar",Media_Cliente_Mes!$B$2:$B$145,"Jul"))=0,"-",IFERROR(SUMIFS(Media_Cliente_Mes!$F$2:$F$145,Media_Cliente_Mes!$A$2:$A$145,"Olfar",Media_Cliente_Mes!$B$2:$B$145,"Jul"),"-"))</f>
        <v>3.26234643914382</v>
      </c>
      <c r="F11" s="10" t="n">
        <f aca="false">IF((SUMIFS(Media_Cliente_Mes!$C$2:$C$145,Media_Cliente_Mes!$A$2:$A$145,"Olfar",Media_Cliente_Mes!$B$2:$B$145,"Jul"))=0,"-",IFERROR(SUMIFS(Media_Cliente_Mes!$G$2:$G$145,Media_Cliente_Mes!$A$2:$A$145,"Olfar",Media_Cliente_Mes!$B$2:$B$145,"Jul"),"-"))</f>
        <v>1.38641517739477</v>
      </c>
      <c r="G11" s="8" t="n">
        <f aca="false">SUMIFS(Media_Cliente_Mes!$H$2:$H$145,Media_Cliente_Mes!$A$2:$A$145,"Olfar",Media_Cliente_Mes!$B$2:$B$145,"Jul")</f>
        <v>0</v>
      </c>
      <c r="H11" s="8" t="n">
        <f aca="false">SUMIFS(Media_Cliente_Mes!$I$2:$I$145,Media_Cliente_Mes!$A$2:$A$145,"Olfar",Media_Cliente_Mes!$B$2:$B$145,"Jul")</f>
        <v>55089.56</v>
      </c>
      <c r="I11" s="16" t="n">
        <f aca="false">SUMIFS(Resumo_Cliente_Mes!$G$2:$G$145,Resumo_Cliente_Mes!$A$2:$A$145,"Olfar",Resumo_Cliente_Mes!$B$2:$B$145,"Jul")</f>
        <v>66339.4074475068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SUMIFS(Media_Cliente_Mes!$C$2:$C$145,Media_Cliente_Mes!$A$2:$A$145,"Olfar",Media_Cliente_Mes!$B$2:$B$145,"Ago")</f>
        <v>33862.86</v>
      </c>
      <c r="C12" s="10" t="n">
        <f aca="false">IF((SUMIFS(Media_Cliente_Mes!$C$2:$C$145,Media_Cliente_Mes!$A$2:$A$145,"Olfar",Media_Cliente_Mes!$B$2:$B$145,"Ago"))=0,"-",IFERROR(SUMIFS(Media_Cliente_Mes!$D$2:$D$145,Media_Cliente_Mes!$A$2:$A$145,"Olfar",Media_Cliente_Mes!$B$2:$B$145,"Ago"),"-"))</f>
        <v>47.4182555165157</v>
      </c>
      <c r="D12" s="10" t="n">
        <f aca="false">IF((SUMIFS(Media_Cliente_Mes!$C$2:$C$145,Media_Cliente_Mes!$A$2:$A$145,"Olfar",Media_Cliente_Mes!$B$2:$B$145,"Ago"))=0,"-",IFERROR(SUMIFS(Media_Cliente_Mes!$E$2:$E$145,Media_Cliente_Mes!$A$2:$A$145,"Olfar",Media_Cliente_Mes!$B$2:$B$145,"Ago"),"-"))</f>
        <v>12.9977005368123</v>
      </c>
      <c r="E12" s="10" t="n">
        <f aca="false">IF((SUMIFS(Media_Cliente_Mes!$C$2:$C$145,Media_Cliente_Mes!$A$2:$A$145,"Olfar",Media_Cliente_Mes!$B$2:$B$145,"Ago"))=0,"-",IFERROR(SUMIFS(Media_Cliente_Mes!$F$2:$F$145,Media_Cliente_Mes!$A$2:$A$145,"Olfar",Media_Cliente_Mes!$B$2:$B$145,"Ago"),"-"))</f>
        <v>3.86167457798898</v>
      </c>
      <c r="F12" s="10" t="n">
        <f aca="false">IF((SUMIFS(Media_Cliente_Mes!$C$2:$C$145,Media_Cliente_Mes!$A$2:$A$145,"Olfar",Media_Cliente_Mes!$B$2:$B$145,"Ago"))=0,"-",IFERROR(SUMIFS(Media_Cliente_Mes!$G$2:$G$145,Media_Cliente_Mes!$A$2:$A$145,"Olfar",Media_Cliente_Mes!$B$2:$B$145,"Ago"),"-"))</f>
        <v>1.08642470246164</v>
      </c>
      <c r="G12" s="8" t="n">
        <f aca="false">SUMIFS(Media_Cliente_Mes!$H$2:$H$145,Media_Cliente_Mes!$A$2:$A$145,"Olfar",Media_Cliente_Mes!$B$2:$B$145,"Ago")</f>
        <v>0</v>
      </c>
      <c r="H12" s="8" t="n">
        <f aca="false">SUMIFS(Media_Cliente_Mes!$I$2:$I$145,Media_Cliente_Mes!$A$2:$A$145,"Olfar",Media_Cliente_Mes!$B$2:$B$145,"Ago")</f>
        <v>33862.86</v>
      </c>
      <c r="I12" s="16" t="n">
        <f aca="false">SUMIFS(Resumo_Cliente_Mes!$G$2:$G$145,Resumo_Cliente_Mes!$A$2:$A$145,"Olfar",Resumo_Cliente_Mes!$B$2:$B$145,"Ago")</f>
        <v>-14792.3148624443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SUMIFS(Media_Cliente_Mes!$C$2:$C$145,Media_Cliente_Mes!$A$2:$A$145,"Olfar",Media_Cliente_Mes!$B$2:$B$145,"Set")</f>
        <v>6769.23</v>
      </c>
      <c r="C13" s="10" t="n">
        <f aca="false">IF((SUMIFS(Media_Cliente_Mes!$C$2:$C$145,Media_Cliente_Mes!$A$2:$A$145,"Olfar",Media_Cliente_Mes!$B$2:$B$145,"Set"))=0,"-",IFERROR(SUMIFS(Media_Cliente_Mes!$D$2:$D$145,Media_Cliente_Mes!$A$2:$A$145,"Olfar",Media_Cliente_Mes!$B$2:$B$145,"Set"),"-"))</f>
        <v>47.87</v>
      </c>
      <c r="D13" s="10" t="n">
        <f aca="false">IF((SUMIFS(Media_Cliente_Mes!$C$2:$C$145,Media_Cliente_Mes!$A$2:$A$145,"Olfar",Media_Cliente_Mes!$B$2:$B$145,"Set"))=0,"-",IFERROR(SUMIFS(Media_Cliente_Mes!$E$2:$E$145,Media_Cliente_Mes!$A$2:$A$145,"Olfar",Media_Cliente_Mes!$B$2:$B$145,"Set"),"-"))</f>
        <v>12.71</v>
      </c>
      <c r="E13" s="10" t="n">
        <f aca="false">IF((SUMIFS(Media_Cliente_Mes!$C$2:$C$145,Media_Cliente_Mes!$A$2:$A$145,"Olfar",Media_Cliente_Mes!$B$2:$B$145,"Set"))=0,"-",IFERROR(SUMIFS(Media_Cliente_Mes!$F$2:$F$145,Media_Cliente_Mes!$A$2:$A$145,"Olfar",Media_Cliente_Mes!$B$2:$B$145,"Set"),"-"))</f>
        <v>3.61</v>
      </c>
      <c r="F13" s="10" t="n">
        <f aca="false">IF((SUMIFS(Media_Cliente_Mes!$C$2:$C$145,Media_Cliente_Mes!$A$2:$A$145,"Olfar",Media_Cliente_Mes!$B$2:$B$145,"Set"))=0,"-",IFERROR(SUMIFS(Media_Cliente_Mes!$G$2:$G$145,Media_Cliente_Mes!$A$2:$A$145,"Olfar",Media_Cliente_Mes!$B$2:$B$145,"Set"),"-"))</f>
        <v>1.08</v>
      </c>
      <c r="G13" s="8" t="n">
        <f aca="false">SUMIFS(Media_Cliente_Mes!$H$2:$H$145,Media_Cliente_Mes!$A$2:$A$145,"Olfar",Media_Cliente_Mes!$B$2:$B$145,"Set")</f>
        <v>0</v>
      </c>
      <c r="H13" s="8" t="n">
        <f aca="false">SUMIFS(Media_Cliente_Mes!$I$2:$I$145,Media_Cliente_Mes!$A$2:$A$145,"Olfar",Media_Cliente_Mes!$B$2:$B$145,"Set")</f>
        <v>6769.23</v>
      </c>
      <c r="I13" s="16" t="n">
        <f aca="false">SUMIFS(Resumo_Cliente_Mes!$G$2:$G$145,Resumo_Cliente_Mes!$A$2:$A$145,"Olfar",Resumo_Cliente_Mes!$B$2:$B$145,"Set")</f>
        <v>4423.10779399347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SUMIFS(Media_Cliente_Mes!$C$2:$C$145,Media_Cliente_Mes!$A$2:$A$145,"Olfar",Media_Cliente_Mes!$B$2:$B$145,"Out")</f>
        <v>0</v>
      </c>
      <c r="C14" s="10" t="str">
        <f aca="false">IF((SUMIFS(Media_Cliente_Mes!$C$2:$C$145,Media_Cliente_Mes!$A$2:$A$145,"Olfar",Media_Cliente_Mes!$B$2:$B$145,"Out"))=0,"-",IFERROR(SUMIFS(Media_Cliente_Mes!$D$2:$D$145,Media_Cliente_Mes!$A$2:$A$145,"Olfar",Media_Cliente_Mes!$B$2:$B$145,"Out"),"-"))</f>
        <v>-</v>
      </c>
      <c r="D14" s="10" t="str">
        <f aca="false">IF((SUMIFS(Media_Cliente_Mes!$C$2:$C$145,Media_Cliente_Mes!$A$2:$A$145,"Olfar",Media_Cliente_Mes!$B$2:$B$145,"Out"))=0,"-",IFERROR(SUMIFS(Media_Cliente_Mes!$E$2:$E$145,Media_Cliente_Mes!$A$2:$A$145,"Olfar",Media_Cliente_Mes!$B$2:$B$145,"Out"),"-"))</f>
        <v>-</v>
      </c>
      <c r="E14" s="10" t="str">
        <f aca="false">IF((SUMIFS(Media_Cliente_Mes!$C$2:$C$145,Media_Cliente_Mes!$A$2:$A$145,"Olfar",Media_Cliente_Mes!$B$2:$B$145,"Out"))=0,"-",IFERROR(SUMIFS(Media_Cliente_Mes!$F$2:$F$145,Media_Cliente_Mes!$A$2:$A$145,"Olfar",Media_Cliente_Mes!$B$2:$B$145,"Out"),"-"))</f>
        <v>-</v>
      </c>
      <c r="F14" s="10" t="str">
        <f aca="false">IF((SUMIFS(Media_Cliente_Mes!$C$2:$C$145,Media_Cliente_Mes!$A$2:$A$145,"Olfar",Media_Cliente_Mes!$B$2:$B$145,"Out"))=0,"-",IFERROR(SUMIFS(Media_Cliente_Mes!$G$2:$G$145,Media_Cliente_Mes!$A$2:$A$145,"Olfar",Media_Cliente_Mes!$B$2:$B$145,"Out"),"-"))</f>
        <v>-</v>
      </c>
      <c r="G14" s="8" t="n">
        <f aca="false">SUMIFS(Media_Cliente_Mes!$H$2:$H$145,Media_Cliente_Mes!$A$2:$A$145,"Olfar",Media_Cliente_Mes!$B$2:$B$145,"Out")</f>
        <v>0</v>
      </c>
      <c r="H14" s="8" t="n">
        <f aca="false">SUMIFS(Media_Cliente_Mes!$I$2:$I$145,Media_Cliente_Mes!$A$2:$A$145,"Olfar",Media_Cliente_Mes!$B$2:$B$145,"Out")</f>
        <v>0</v>
      </c>
      <c r="I14" s="16" t="n">
        <f aca="false">SUMIFS(Resumo_Cliente_Mes!$G$2:$G$145,Resumo_Cliente_Mes!$A$2:$A$145,"Olfar",Resumo_Cliente_Mes!$B$2:$B$145,"Out")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SUMIFS(Media_Cliente_Mes!$C$2:$C$145,Media_Cliente_Mes!$A$2:$A$145,"Olfar",Media_Cliente_Mes!$B$2:$B$145,"Nov")</f>
        <v>0</v>
      </c>
      <c r="C15" s="10" t="str">
        <f aca="false">IF((SUMIFS(Media_Cliente_Mes!$C$2:$C$145,Media_Cliente_Mes!$A$2:$A$145,"Olfar",Media_Cliente_Mes!$B$2:$B$145,"Nov"))=0,"-",IFERROR(SUMIFS(Media_Cliente_Mes!$D$2:$D$145,Media_Cliente_Mes!$A$2:$A$145,"Olfar",Media_Cliente_Mes!$B$2:$B$145,"Nov"),"-"))</f>
        <v>-</v>
      </c>
      <c r="D15" s="10" t="str">
        <f aca="false">IF((SUMIFS(Media_Cliente_Mes!$C$2:$C$145,Media_Cliente_Mes!$A$2:$A$145,"Olfar",Media_Cliente_Mes!$B$2:$B$145,"Nov"))=0,"-",IFERROR(SUMIFS(Media_Cliente_Mes!$E$2:$E$145,Media_Cliente_Mes!$A$2:$A$145,"Olfar",Media_Cliente_Mes!$B$2:$B$145,"Nov"),"-"))</f>
        <v>-</v>
      </c>
      <c r="E15" s="10" t="str">
        <f aca="false">IF((SUMIFS(Media_Cliente_Mes!$C$2:$C$145,Media_Cliente_Mes!$A$2:$A$145,"Olfar",Media_Cliente_Mes!$B$2:$B$145,"Nov"))=0,"-",IFERROR(SUMIFS(Media_Cliente_Mes!$F$2:$F$145,Media_Cliente_Mes!$A$2:$A$145,"Olfar",Media_Cliente_Mes!$B$2:$B$145,"Nov"),"-"))</f>
        <v>-</v>
      </c>
      <c r="F15" s="10" t="str">
        <f aca="false">IF((SUMIFS(Media_Cliente_Mes!$C$2:$C$145,Media_Cliente_Mes!$A$2:$A$145,"Olfar",Media_Cliente_Mes!$B$2:$B$145,"Nov"))=0,"-",IFERROR(SUMIFS(Media_Cliente_Mes!$G$2:$G$145,Media_Cliente_Mes!$A$2:$A$145,"Olfar",Media_Cliente_Mes!$B$2:$B$145,"Nov"),"-"))</f>
        <v>-</v>
      </c>
      <c r="G15" s="8" t="n">
        <f aca="false">SUMIFS(Media_Cliente_Mes!$H$2:$H$145,Media_Cliente_Mes!$A$2:$A$145,"Olfar",Media_Cliente_Mes!$B$2:$B$145,"Nov")</f>
        <v>0</v>
      </c>
      <c r="H15" s="8" t="n">
        <f aca="false">SUMIFS(Media_Cliente_Mes!$I$2:$I$145,Media_Cliente_Mes!$A$2:$A$145,"Olfar",Media_Cliente_Mes!$B$2:$B$145,"Nov")</f>
        <v>0</v>
      </c>
      <c r="I15" s="16" t="n">
        <f aca="false">SUMIFS(Resumo_Cliente_Mes!$G$2:$G$145,Resumo_Cliente_Mes!$A$2:$A$145,"Olfar",Resumo_Cliente_Mes!$B$2:$B$145,"Nov")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SUMIFS(Media_Cliente_Mes!$C$2:$C$145,Media_Cliente_Mes!$A$2:$A$145,"Olfar",Media_Cliente_Mes!$B$2:$B$145,"Dez")</f>
        <v>0</v>
      </c>
      <c r="C16" s="10" t="str">
        <f aca="false">IF((SUMIFS(Media_Cliente_Mes!$C$2:$C$145,Media_Cliente_Mes!$A$2:$A$145,"Olfar",Media_Cliente_Mes!$B$2:$B$145,"Dez"))=0,"-",IFERROR(SUMIFS(Media_Cliente_Mes!$D$2:$D$145,Media_Cliente_Mes!$A$2:$A$145,"Olfar",Media_Cliente_Mes!$B$2:$B$145,"Dez"),"-"))</f>
        <v>-</v>
      </c>
      <c r="D16" s="10" t="str">
        <f aca="false">IF((SUMIFS(Media_Cliente_Mes!$C$2:$C$145,Media_Cliente_Mes!$A$2:$A$145,"Olfar",Media_Cliente_Mes!$B$2:$B$145,"Dez"))=0,"-",IFERROR(SUMIFS(Media_Cliente_Mes!$E$2:$E$145,Media_Cliente_Mes!$A$2:$A$145,"Olfar",Media_Cliente_Mes!$B$2:$B$145,"Dez"),"-"))</f>
        <v>-</v>
      </c>
      <c r="E16" s="10" t="str">
        <f aca="false">IF((SUMIFS(Media_Cliente_Mes!$C$2:$C$145,Media_Cliente_Mes!$A$2:$A$145,"Olfar",Media_Cliente_Mes!$B$2:$B$145,"Dez"))=0,"-",IFERROR(SUMIFS(Media_Cliente_Mes!$F$2:$F$145,Media_Cliente_Mes!$A$2:$A$145,"Olfar",Media_Cliente_Mes!$B$2:$B$145,"Dez"),"-"))</f>
        <v>-</v>
      </c>
      <c r="F16" s="10" t="str">
        <f aca="false">IF((SUMIFS(Media_Cliente_Mes!$C$2:$C$145,Media_Cliente_Mes!$A$2:$A$145,"Olfar",Media_Cliente_Mes!$B$2:$B$145,"Dez"))=0,"-",IFERROR(SUMIFS(Media_Cliente_Mes!$G$2:$G$145,Media_Cliente_Mes!$A$2:$A$145,"Olfar",Media_Cliente_Mes!$B$2:$B$145,"Dez"),"-"))</f>
        <v>-</v>
      </c>
      <c r="G16" s="8" t="n">
        <f aca="false">SUMIFS(Media_Cliente_Mes!$H$2:$H$145,Media_Cliente_Mes!$A$2:$A$145,"Olfar",Media_Cliente_Mes!$B$2:$B$145,"Dez")</f>
        <v>0</v>
      </c>
      <c r="H16" s="8" t="n">
        <f aca="false">SUMIFS(Media_Cliente_Mes!$I$2:$I$145,Media_Cliente_Mes!$A$2:$A$145,"Olfar",Media_Cliente_Mes!$B$2:$B$145,"Dez")</f>
        <v>0</v>
      </c>
      <c r="I16" s="16" t="n">
        <f aca="false">SUMIFS(Resumo_Cliente_Mes!$G$2:$G$145,Resumo_Cliente_Mes!$A$2:$A$145,"Olfar",Resumo_Cliente_Mes!$B$2:$B$145,"Dez")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95721.65</v>
      </c>
      <c r="C17" s="23" t="n">
        <f aca="false">IFERROR(SUMPRODUCT((B5:B16)*IF(ISNUMBER(C5:C16),C5:C16,0))/B17,"-")</f>
        <v>47.8785691439711</v>
      </c>
      <c r="D17" s="23" t="n">
        <f aca="false">IFERROR(SUMPRODUCT((B5:B16)*IF(ISNUMBER(D5:D16),D5:D16,0))/B17,"-")</f>
        <v>11.9481474974575</v>
      </c>
      <c r="E17" s="23" t="n">
        <f aca="false">IFERROR(SUMPRODUCT((B5:B16)*IF(ISNUMBER(E5:E16),E5:E16,0))/B17,"-")</f>
        <v>3.49895238746929</v>
      </c>
      <c r="F17" s="23" t="n">
        <f aca="false">IFERROR(SUMPRODUCT((B5:B16)*IF(ISNUMBER(F5:F16),F5:F16,0))/B17,"-")</f>
        <v>1.25862036540323</v>
      </c>
      <c r="G17" s="22" t="n">
        <f aca="false">SUM(G5:G16)</f>
        <v>0</v>
      </c>
      <c r="H17" s="22" t="n">
        <f aca="false">SUM(H5:H16)</f>
        <v>95721.65</v>
      </c>
      <c r="I17" s="24" t="n">
        <f aca="false">SUM(I5:I16)</f>
        <v>55970.200379056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49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SUMIFS(Media_Cliente_Mes!$C$2:$C$145,Media_Cliente_Mes!$A$2:$A$145,"Novo06",Media_Cliente_Mes!$B$2:$B$145,"Jan")</f>
        <v>0</v>
      </c>
      <c r="C5" s="10" t="str">
        <f aca="false">IF((SUMIFS(Media_Cliente_Mes!$C$2:$C$145,Media_Cliente_Mes!$A$2:$A$145,"Novo06",Media_Cliente_Mes!$B$2:$B$145,"Jan"))=0,"-",IFERROR(SUMIFS(Media_Cliente_Mes!$D$2:$D$145,Media_Cliente_Mes!$A$2:$A$145,"Novo06",Media_Cliente_Mes!$B$2:$B$145,"Jan"),"-"))</f>
        <v>-</v>
      </c>
      <c r="D5" s="10" t="str">
        <f aca="false">IF((SUMIFS(Media_Cliente_Mes!$C$2:$C$145,Media_Cliente_Mes!$A$2:$A$145,"Novo06",Media_Cliente_Mes!$B$2:$B$145,"Jan"))=0,"-",IFERROR(SUMIFS(Media_Cliente_Mes!$E$2:$E$145,Media_Cliente_Mes!$A$2:$A$145,"Novo06",Media_Cliente_Mes!$B$2:$B$145,"Jan"),"-"))</f>
        <v>-</v>
      </c>
      <c r="E5" s="10" t="str">
        <f aca="false">IF((SUMIFS(Media_Cliente_Mes!$C$2:$C$145,Media_Cliente_Mes!$A$2:$A$145,"Novo06",Media_Cliente_Mes!$B$2:$B$145,"Jan"))=0,"-",IFERROR(SUMIFS(Media_Cliente_Mes!$F$2:$F$145,Media_Cliente_Mes!$A$2:$A$145,"Novo06",Media_Cliente_Mes!$B$2:$B$145,"Jan"),"-"))</f>
        <v>-</v>
      </c>
      <c r="F5" s="10" t="str">
        <f aca="false">IF((SUMIFS(Media_Cliente_Mes!$C$2:$C$145,Media_Cliente_Mes!$A$2:$A$145,"Novo06",Media_Cliente_Mes!$B$2:$B$145,"Jan"))=0,"-",IFERROR(SUMIFS(Media_Cliente_Mes!$G$2:$G$145,Media_Cliente_Mes!$A$2:$A$145,"Novo06",Media_Cliente_Mes!$B$2:$B$145,"Jan"),"-"))</f>
        <v>-</v>
      </c>
      <c r="G5" s="8" t="n">
        <f aca="false">SUMIFS(Media_Cliente_Mes!$H$2:$H$145,Media_Cliente_Mes!$A$2:$A$145,"Novo06",Media_Cliente_Mes!$B$2:$B$145,"Jan")</f>
        <v>0</v>
      </c>
      <c r="H5" s="8" t="n">
        <f aca="false">SUMIFS(Media_Cliente_Mes!$I$2:$I$145,Media_Cliente_Mes!$A$2:$A$145,"Novo06",Media_Cliente_Mes!$B$2:$B$145,"Jan")</f>
        <v>0</v>
      </c>
      <c r="I5" s="16" t="n">
        <f aca="false">SUMIFS(Resumo_Cliente_Mes!$G$2:$G$145,Resumo_Cliente_Mes!$A$2:$A$145,"Novo06",Resumo_Cliente_Mes!$B$2:$B$145,"Jan")</f>
        <v>0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SUMIFS(Media_Cliente_Mes!$C$2:$C$145,Media_Cliente_Mes!$A$2:$A$145,"Novo06",Media_Cliente_Mes!$B$2:$B$145,"Fev")</f>
        <v>0</v>
      </c>
      <c r="C6" s="10" t="str">
        <f aca="false">IF((SUMIFS(Media_Cliente_Mes!$C$2:$C$145,Media_Cliente_Mes!$A$2:$A$145,"Novo06",Media_Cliente_Mes!$B$2:$B$145,"Fev"))=0,"-",IFERROR(SUMIFS(Media_Cliente_Mes!$D$2:$D$145,Media_Cliente_Mes!$A$2:$A$145,"Novo06",Media_Cliente_Mes!$B$2:$B$145,"Fev"),"-"))</f>
        <v>-</v>
      </c>
      <c r="D6" s="10" t="str">
        <f aca="false">IF((SUMIFS(Media_Cliente_Mes!$C$2:$C$145,Media_Cliente_Mes!$A$2:$A$145,"Novo06",Media_Cliente_Mes!$B$2:$B$145,"Fev"))=0,"-",IFERROR(SUMIFS(Media_Cliente_Mes!$E$2:$E$145,Media_Cliente_Mes!$A$2:$A$145,"Novo06",Media_Cliente_Mes!$B$2:$B$145,"Fev"),"-"))</f>
        <v>-</v>
      </c>
      <c r="E6" s="10" t="str">
        <f aca="false">IF((SUMIFS(Media_Cliente_Mes!$C$2:$C$145,Media_Cliente_Mes!$A$2:$A$145,"Novo06",Media_Cliente_Mes!$B$2:$B$145,"Fev"))=0,"-",IFERROR(SUMIFS(Media_Cliente_Mes!$F$2:$F$145,Media_Cliente_Mes!$A$2:$A$145,"Novo06",Media_Cliente_Mes!$B$2:$B$145,"Fev"),"-"))</f>
        <v>-</v>
      </c>
      <c r="F6" s="10" t="str">
        <f aca="false">IF((SUMIFS(Media_Cliente_Mes!$C$2:$C$145,Media_Cliente_Mes!$A$2:$A$145,"Novo06",Media_Cliente_Mes!$B$2:$B$145,"Fev"))=0,"-",IFERROR(SUMIFS(Media_Cliente_Mes!$G$2:$G$145,Media_Cliente_Mes!$A$2:$A$145,"Novo06",Media_Cliente_Mes!$B$2:$B$145,"Fev"),"-"))</f>
        <v>-</v>
      </c>
      <c r="G6" s="8" t="n">
        <f aca="false">SUMIFS(Media_Cliente_Mes!$H$2:$H$145,Media_Cliente_Mes!$A$2:$A$145,"Novo06",Media_Cliente_Mes!$B$2:$B$145,"Fev")</f>
        <v>0</v>
      </c>
      <c r="H6" s="8" t="n">
        <f aca="false">SUMIFS(Media_Cliente_Mes!$I$2:$I$145,Media_Cliente_Mes!$A$2:$A$145,"Novo06",Media_Cliente_Mes!$B$2:$B$145,"Fev")</f>
        <v>0</v>
      </c>
      <c r="I6" s="16" t="n">
        <f aca="false">SUMIFS(Resumo_Cliente_Mes!$G$2:$G$145,Resumo_Cliente_Mes!$A$2:$A$145,"Novo06",Resumo_Cliente_Mes!$B$2:$B$145,"Fev")</f>
        <v>0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SUMIFS(Media_Cliente_Mes!$C$2:$C$145,Media_Cliente_Mes!$A$2:$A$145,"Novo06",Media_Cliente_Mes!$B$2:$B$145,"Mar")</f>
        <v>0</v>
      </c>
      <c r="C7" s="10" t="str">
        <f aca="false">IF((SUMIFS(Media_Cliente_Mes!$C$2:$C$145,Media_Cliente_Mes!$A$2:$A$145,"Novo06",Media_Cliente_Mes!$B$2:$B$145,"Mar"))=0,"-",IFERROR(SUMIFS(Media_Cliente_Mes!$D$2:$D$145,Media_Cliente_Mes!$A$2:$A$145,"Novo06",Media_Cliente_Mes!$B$2:$B$145,"Mar"),"-"))</f>
        <v>-</v>
      </c>
      <c r="D7" s="10" t="str">
        <f aca="false">IF((SUMIFS(Media_Cliente_Mes!$C$2:$C$145,Media_Cliente_Mes!$A$2:$A$145,"Novo06",Media_Cliente_Mes!$B$2:$B$145,"Mar"))=0,"-",IFERROR(SUMIFS(Media_Cliente_Mes!$E$2:$E$145,Media_Cliente_Mes!$A$2:$A$145,"Novo06",Media_Cliente_Mes!$B$2:$B$145,"Mar"),"-"))</f>
        <v>-</v>
      </c>
      <c r="E7" s="10" t="str">
        <f aca="false">IF((SUMIFS(Media_Cliente_Mes!$C$2:$C$145,Media_Cliente_Mes!$A$2:$A$145,"Novo06",Media_Cliente_Mes!$B$2:$B$145,"Mar"))=0,"-",IFERROR(SUMIFS(Media_Cliente_Mes!$F$2:$F$145,Media_Cliente_Mes!$A$2:$A$145,"Novo06",Media_Cliente_Mes!$B$2:$B$145,"Mar"),"-"))</f>
        <v>-</v>
      </c>
      <c r="F7" s="10" t="str">
        <f aca="false">IF((SUMIFS(Media_Cliente_Mes!$C$2:$C$145,Media_Cliente_Mes!$A$2:$A$145,"Novo06",Media_Cliente_Mes!$B$2:$B$145,"Mar"))=0,"-",IFERROR(SUMIFS(Media_Cliente_Mes!$G$2:$G$145,Media_Cliente_Mes!$A$2:$A$145,"Novo06",Media_Cliente_Mes!$B$2:$B$145,"Mar"),"-"))</f>
        <v>-</v>
      </c>
      <c r="G7" s="8" t="n">
        <f aca="false">SUMIFS(Media_Cliente_Mes!$H$2:$H$145,Media_Cliente_Mes!$A$2:$A$145,"Novo06",Media_Cliente_Mes!$B$2:$B$145,"Mar")</f>
        <v>0</v>
      </c>
      <c r="H7" s="8" t="n">
        <f aca="false">SUMIFS(Media_Cliente_Mes!$I$2:$I$145,Media_Cliente_Mes!$A$2:$A$145,"Novo06",Media_Cliente_Mes!$B$2:$B$145,"Mar")</f>
        <v>0</v>
      </c>
      <c r="I7" s="16" t="n">
        <f aca="false">SUMIFS(Resumo_Cliente_Mes!$G$2:$G$145,Resumo_Cliente_Mes!$A$2:$A$145,"Novo06",Resumo_Cliente_Mes!$B$2:$B$145,"Mar")</f>
        <v>0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SUMIFS(Media_Cliente_Mes!$C$2:$C$145,Media_Cliente_Mes!$A$2:$A$145,"Novo06",Media_Cliente_Mes!$B$2:$B$145,"Abr")</f>
        <v>0</v>
      </c>
      <c r="C8" s="10" t="str">
        <f aca="false">IF((SUMIFS(Media_Cliente_Mes!$C$2:$C$145,Media_Cliente_Mes!$A$2:$A$145,"Novo06",Media_Cliente_Mes!$B$2:$B$145,"Abr"))=0,"-",IFERROR(SUMIFS(Media_Cliente_Mes!$D$2:$D$145,Media_Cliente_Mes!$A$2:$A$145,"Novo06",Media_Cliente_Mes!$B$2:$B$145,"Abr"),"-"))</f>
        <v>-</v>
      </c>
      <c r="D8" s="10" t="str">
        <f aca="false">IF((SUMIFS(Media_Cliente_Mes!$C$2:$C$145,Media_Cliente_Mes!$A$2:$A$145,"Novo06",Media_Cliente_Mes!$B$2:$B$145,"Abr"))=0,"-",IFERROR(SUMIFS(Media_Cliente_Mes!$E$2:$E$145,Media_Cliente_Mes!$A$2:$A$145,"Novo06",Media_Cliente_Mes!$B$2:$B$145,"Abr"),"-"))</f>
        <v>-</v>
      </c>
      <c r="E8" s="10" t="str">
        <f aca="false">IF((SUMIFS(Media_Cliente_Mes!$C$2:$C$145,Media_Cliente_Mes!$A$2:$A$145,"Novo06",Media_Cliente_Mes!$B$2:$B$145,"Abr"))=0,"-",IFERROR(SUMIFS(Media_Cliente_Mes!$F$2:$F$145,Media_Cliente_Mes!$A$2:$A$145,"Novo06",Media_Cliente_Mes!$B$2:$B$145,"Abr"),"-"))</f>
        <v>-</v>
      </c>
      <c r="F8" s="10" t="str">
        <f aca="false">IF((SUMIFS(Media_Cliente_Mes!$C$2:$C$145,Media_Cliente_Mes!$A$2:$A$145,"Novo06",Media_Cliente_Mes!$B$2:$B$145,"Abr"))=0,"-",IFERROR(SUMIFS(Media_Cliente_Mes!$G$2:$G$145,Media_Cliente_Mes!$A$2:$A$145,"Novo06",Media_Cliente_Mes!$B$2:$B$145,"Abr"),"-"))</f>
        <v>-</v>
      </c>
      <c r="G8" s="8" t="n">
        <f aca="false">SUMIFS(Media_Cliente_Mes!$H$2:$H$145,Media_Cliente_Mes!$A$2:$A$145,"Novo06",Media_Cliente_Mes!$B$2:$B$145,"Abr")</f>
        <v>0</v>
      </c>
      <c r="H8" s="8" t="n">
        <f aca="false">SUMIFS(Media_Cliente_Mes!$I$2:$I$145,Media_Cliente_Mes!$A$2:$A$145,"Novo06",Media_Cliente_Mes!$B$2:$B$145,"Abr")</f>
        <v>0</v>
      </c>
      <c r="I8" s="16" t="n">
        <f aca="false">SUMIFS(Resumo_Cliente_Mes!$G$2:$G$145,Resumo_Cliente_Mes!$A$2:$A$145,"Novo06",Resumo_Cliente_Mes!$B$2:$B$145,"Abr")</f>
        <v>0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SUMIFS(Media_Cliente_Mes!$C$2:$C$145,Media_Cliente_Mes!$A$2:$A$145,"Novo06",Media_Cliente_Mes!$B$2:$B$145,"Mai")</f>
        <v>0</v>
      </c>
      <c r="C9" s="10" t="str">
        <f aca="false">IF((SUMIFS(Media_Cliente_Mes!$C$2:$C$145,Media_Cliente_Mes!$A$2:$A$145,"Novo06",Media_Cliente_Mes!$B$2:$B$145,"Mai"))=0,"-",IFERROR(SUMIFS(Media_Cliente_Mes!$D$2:$D$145,Media_Cliente_Mes!$A$2:$A$145,"Novo06",Media_Cliente_Mes!$B$2:$B$145,"Mai"),"-"))</f>
        <v>-</v>
      </c>
      <c r="D9" s="10" t="str">
        <f aca="false">IF((SUMIFS(Media_Cliente_Mes!$C$2:$C$145,Media_Cliente_Mes!$A$2:$A$145,"Novo06",Media_Cliente_Mes!$B$2:$B$145,"Mai"))=0,"-",IFERROR(SUMIFS(Media_Cliente_Mes!$E$2:$E$145,Media_Cliente_Mes!$A$2:$A$145,"Novo06",Media_Cliente_Mes!$B$2:$B$145,"Mai"),"-"))</f>
        <v>-</v>
      </c>
      <c r="E9" s="10" t="str">
        <f aca="false">IF((SUMIFS(Media_Cliente_Mes!$C$2:$C$145,Media_Cliente_Mes!$A$2:$A$145,"Novo06",Media_Cliente_Mes!$B$2:$B$145,"Mai"))=0,"-",IFERROR(SUMIFS(Media_Cliente_Mes!$F$2:$F$145,Media_Cliente_Mes!$A$2:$A$145,"Novo06",Media_Cliente_Mes!$B$2:$B$145,"Mai"),"-"))</f>
        <v>-</v>
      </c>
      <c r="F9" s="10" t="str">
        <f aca="false">IF((SUMIFS(Media_Cliente_Mes!$C$2:$C$145,Media_Cliente_Mes!$A$2:$A$145,"Novo06",Media_Cliente_Mes!$B$2:$B$145,"Mai"))=0,"-",IFERROR(SUMIFS(Media_Cliente_Mes!$G$2:$G$145,Media_Cliente_Mes!$A$2:$A$145,"Novo06",Media_Cliente_Mes!$B$2:$B$145,"Mai"),"-"))</f>
        <v>-</v>
      </c>
      <c r="G9" s="8" t="n">
        <f aca="false">SUMIFS(Media_Cliente_Mes!$H$2:$H$145,Media_Cliente_Mes!$A$2:$A$145,"Novo06",Media_Cliente_Mes!$B$2:$B$145,"Mai")</f>
        <v>0</v>
      </c>
      <c r="H9" s="8" t="n">
        <f aca="false">SUMIFS(Media_Cliente_Mes!$I$2:$I$145,Media_Cliente_Mes!$A$2:$A$145,"Novo06",Media_Cliente_Mes!$B$2:$B$145,"Mai")</f>
        <v>0</v>
      </c>
      <c r="I9" s="16" t="n">
        <f aca="false">SUMIFS(Resumo_Cliente_Mes!$G$2:$G$145,Resumo_Cliente_Mes!$A$2:$A$145,"Novo06",Resumo_Cliente_Mes!$B$2:$B$145,"Mai")</f>
        <v>0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SUMIFS(Media_Cliente_Mes!$C$2:$C$145,Media_Cliente_Mes!$A$2:$A$145,"Novo06",Media_Cliente_Mes!$B$2:$B$145,"Jun")</f>
        <v>0</v>
      </c>
      <c r="C10" s="10" t="str">
        <f aca="false">IF((SUMIFS(Media_Cliente_Mes!$C$2:$C$145,Media_Cliente_Mes!$A$2:$A$145,"Novo06",Media_Cliente_Mes!$B$2:$B$145,"Jun"))=0,"-",IFERROR(SUMIFS(Media_Cliente_Mes!$D$2:$D$145,Media_Cliente_Mes!$A$2:$A$145,"Novo06",Media_Cliente_Mes!$B$2:$B$145,"Jun"),"-"))</f>
        <v>-</v>
      </c>
      <c r="D10" s="10" t="str">
        <f aca="false">IF((SUMIFS(Media_Cliente_Mes!$C$2:$C$145,Media_Cliente_Mes!$A$2:$A$145,"Novo06",Media_Cliente_Mes!$B$2:$B$145,"Jun"))=0,"-",IFERROR(SUMIFS(Media_Cliente_Mes!$E$2:$E$145,Media_Cliente_Mes!$A$2:$A$145,"Novo06",Media_Cliente_Mes!$B$2:$B$145,"Jun"),"-"))</f>
        <v>-</v>
      </c>
      <c r="E10" s="10" t="str">
        <f aca="false">IF((SUMIFS(Media_Cliente_Mes!$C$2:$C$145,Media_Cliente_Mes!$A$2:$A$145,"Novo06",Media_Cliente_Mes!$B$2:$B$145,"Jun"))=0,"-",IFERROR(SUMIFS(Media_Cliente_Mes!$F$2:$F$145,Media_Cliente_Mes!$A$2:$A$145,"Novo06",Media_Cliente_Mes!$B$2:$B$145,"Jun"),"-"))</f>
        <v>-</v>
      </c>
      <c r="F10" s="10" t="str">
        <f aca="false">IF((SUMIFS(Media_Cliente_Mes!$C$2:$C$145,Media_Cliente_Mes!$A$2:$A$145,"Novo06",Media_Cliente_Mes!$B$2:$B$145,"Jun"))=0,"-",IFERROR(SUMIFS(Media_Cliente_Mes!$G$2:$G$145,Media_Cliente_Mes!$A$2:$A$145,"Novo06",Media_Cliente_Mes!$B$2:$B$145,"Jun"),"-"))</f>
        <v>-</v>
      </c>
      <c r="G10" s="8" t="n">
        <f aca="false">SUMIFS(Media_Cliente_Mes!$H$2:$H$145,Media_Cliente_Mes!$A$2:$A$145,"Novo06",Media_Cliente_Mes!$B$2:$B$145,"Jun")</f>
        <v>0</v>
      </c>
      <c r="H10" s="8" t="n">
        <f aca="false">SUMIFS(Media_Cliente_Mes!$I$2:$I$145,Media_Cliente_Mes!$A$2:$A$145,"Novo06",Media_Cliente_Mes!$B$2:$B$145,"Jun")</f>
        <v>0</v>
      </c>
      <c r="I10" s="16" t="n">
        <f aca="false">SUMIFS(Resumo_Cliente_Mes!$G$2:$G$145,Resumo_Cliente_Mes!$A$2:$A$145,"Novo06",Resumo_Cliente_Mes!$B$2:$B$145,"Jun")</f>
        <v>0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SUMIFS(Media_Cliente_Mes!$C$2:$C$145,Media_Cliente_Mes!$A$2:$A$145,"Novo06",Media_Cliente_Mes!$B$2:$B$145,"Jul")</f>
        <v>0</v>
      </c>
      <c r="C11" s="10" t="str">
        <f aca="false">IF((SUMIFS(Media_Cliente_Mes!$C$2:$C$145,Media_Cliente_Mes!$A$2:$A$145,"Novo06",Media_Cliente_Mes!$B$2:$B$145,"Jul"))=0,"-",IFERROR(SUMIFS(Media_Cliente_Mes!$D$2:$D$145,Media_Cliente_Mes!$A$2:$A$145,"Novo06",Media_Cliente_Mes!$B$2:$B$145,"Jul"),"-"))</f>
        <v>-</v>
      </c>
      <c r="D11" s="10" t="str">
        <f aca="false">IF((SUMIFS(Media_Cliente_Mes!$C$2:$C$145,Media_Cliente_Mes!$A$2:$A$145,"Novo06",Media_Cliente_Mes!$B$2:$B$145,"Jul"))=0,"-",IFERROR(SUMIFS(Media_Cliente_Mes!$E$2:$E$145,Media_Cliente_Mes!$A$2:$A$145,"Novo06",Media_Cliente_Mes!$B$2:$B$145,"Jul"),"-"))</f>
        <v>-</v>
      </c>
      <c r="E11" s="10" t="str">
        <f aca="false">IF((SUMIFS(Media_Cliente_Mes!$C$2:$C$145,Media_Cliente_Mes!$A$2:$A$145,"Novo06",Media_Cliente_Mes!$B$2:$B$145,"Jul"))=0,"-",IFERROR(SUMIFS(Media_Cliente_Mes!$F$2:$F$145,Media_Cliente_Mes!$A$2:$A$145,"Novo06",Media_Cliente_Mes!$B$2:$B$145,"Jul"),"-"))</f>
        <v>-</v>
      </c>
      <c r="F11" s="10" t="str">
        <f aca="false">IF((SUMIFS(Media_Cliente_Mes!$C$2:$C$145,Media_Cliente_Mes!$A$2:$A$145,"Novo06",Media_Cliente_Mes!$B$2:$B$145,"Jul"))=0,"-",IFERROR(SUMIFS(Media_Cliente_Mes!$G$2:$G$145,Media_Cliente_Mes!$A$2:$A$145,"Novo06",Media_Cliente_Mes!$B$2:$B$145,"Jul"),"-"))</f>
        <v>-</v>
      </c>
      <c r="G11" s="8" t="n">
        <f aca="false">SUMIFS(Media_Cliente_Mes!$H$2:$H$145,Media_Cliente_Mes!$A$2:$A$145,"Novo06",Media_Cliente_Mes!$B$2:$B$145,"Jul")</f>
        <v>0</v>
      </c>
      <c r="H11" s="8" t="n">
        <f aca="false">SUMIFS(Media_Cliente_Mes!$I$2:$I$145,Media_Cliente_Mes!$A$2:$A$145,"Novo06",Media_Cliente_Mes!$B$2:$B$145,"Jul")</f>
        <v>0</v>
      </c>
      <c r="I11" s="16" t="n">
        <f aca="false">SUMIFS(Resumo_Cliente_Mes!$G$2:$G$145,Resumo_Cliente_Mes!$A$2:$A$145,"Novo06",Resumo_Cliente_Mes!$B$2:$B$145,"Jul")</f>
        <v>0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SUMIFS(Media_Cliente_Mes!$C$2:$C$145,Media_Cliente_Mes!$A$2:$A$145,"Novo06",Media_Cliente_Mes!$B$2:$B$145,"Ago")</f>
        <v>0</v>
      </c>
      <c r="C12" s="10" t="str">
        <f aca="false">IF((SUMIFS(Media_Cliente_Mes!$C$2:$C$145,Media_Cliente_Mes!$A$2:$A$145,"Novo06",Media_Cliente_Mes!$B$2:$B$145,"Ago"))=0,"-",IFERROR(SUMIFS(Media_Cliente_Mes!$D$2:$D$145,Media_Cliente_Mes!$A$2:$A$145,"Novo06",Media_Cliente_Mes!$B$2:$B$145,"Ago"),"-"))</f>
        <v>-</v>
      </c>
      <c r="D12" s="10" t="str">
        <f aca="false">IF((SUMIFS(Media_Cliente_Mes!$C$2:$C$145,Media_Cliente_Mes!$A$2:$A$145,"Novo06",Media_Cliente_Mes!$B$2:$B$145,"Ago"))=0,"-",IFERROR(SUMIFS(Media_Cliente_Mes!$E$2:$E$145,Media_Cliente_Mes!$A$2:$A$145,"Novo06",Media_Cliente_Mes!$B$2:$B$145,"Ago"),"-"))</f>
        <v>-</v>
      </c>
      <c r="E12" s="10" t="str">
        <f aca="false">IF((SUMIFS(Media_Cliente_Mes!$C$2:$C$145,Media_Cliente_Mes!$A$2:$A$145,"Novo06",Media_Cliente_Mes!$B$2:$B$145,"Ago"))=0,"-",IFERROR(SUMIFS(Media_Cliente_Mes!$F$2:$F$145,Media_Cliente_Mes!$A$2:$A$145,"Novo06",Media_Cliente_Mes!$B$2:$B$145,"Ago"),"-"))</f>
        <v>-</v>
      </c>
      <c r="F12" s="10" t="str">
        <f aca="false">IF((SUMIFS(Media_Cliente_Mes!$C$2:$C$145,Media_Cliente_Mes!$A$2:$A$145,"Novo06",Media_Cliente_Mes!$B$2:$B$145,"Ago"))=0,"-",IFERROR(SUMIFS(Media_Cliente_Mes!$G$2:$G$145,Media_Cliente_Mes!$A$2:$A$145,"Novo06",Media_Cliente_Mes!$B$2:$B$145,"Ago"),"-"))</f>
        <v>-</v>
      </c>
      <c r="G12" s="8" t="n">
        <f aca="false">SUMIFS(Media_Cliente_Mes!$H$2:$H$145,Media_Cliente_Mes!$A$2:$A$145,"Novo06",Media_Cliente_Mes!$B$2:$B$145,"Ago")</f>
        <v>0</v>
      </c>
      <c r="H12" s="8" t="n">
        <f aca="false">SUMIFS(Media_Cliente_Mes!$I$2:$I$145,Media_Cliente_Mes!$A$2:$A$145,"Novo06",Media_Cliente_Mes!$B$2:$B$145,"Ago")</f>
        <v>0</v>
      </c>
      <c r="I12" s="16" t="n">
        <f aca="false">SUMIFS(Resumo_Cliente_Mes!$G$2:$G$145,Resumo_Cliente_Mes!$A$2:$A$145,"Novo06",Resumo_Cliente_Mes!$B$2:$B$145,"Ago")</f>
        <v>0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SUMIFS(Media_Cliente_Mes!$C$2:$C$145,Media_Cliente_Mes!$A$2:$A$145,"Novo06",Media_Cliente_Mes!$B$2:$B$145,"Set")</f>
        <v>0</v>
      </c>
      <c r="C13" s="10" t="str">
        <f aca="false">IF((SUMIFS(Media_Cliente_Mes!$C$2:$C$145,Media_Cliente_Mes!$A$2:$A$145,"Novo06",Media_Cliente_Mes!$B$2:$B$145,"Set"))=0,"-",IFERROR(SUMIFS(Media_Cliente_Mes!$D$2:$D$145,Media_Cliente_Mes!$A$2:$A$145,"Novo06",Media_Cliente_Mes!$B$2:$B$145,"Set"),"-"))</f>
        <v>-</v>
      </c>
      <c r="D13" s="10" t="str">
        <f aca="false">IF((SUMIFS(Media_Cliente_Mes!$C$2:$C$145,Media_Cliente_Mes!$A$2:$A$145,"Novo06",Media_Cliente_Mes!$B$2:$B$145,"Set"))=0,"-",IFERROR(SUMIFS(Media_Cliente_Mes!$E$2:$E$145,Media_Cliente_Mes!$A$2:$A$145,"Novo06",Media_Cliente_Mes!$B$2:$B$145,"Set"),"-"))</f>
        <v>-</v>
      </c>
      <c r="E13" s="10" t="str">
        <f aca="false">IF((SUMIFS(Media_Cliente_Mes!$C$2:$C$145,Media_Cliente_Mes!$A$2:$A$145,"Novo06",Media_Cliente_Mes!$B$2:$B$145,"Set"))=0,"-",IFERROR(SUMIFS(Media_Cliente_Mes!$F$2:$F$145,Media_Cliente_Mes!$A$2:$A$145,"Novo06",Media_Cliente_Mes!$B$2:$B$145,"Set"),"-"))</f>
        <v>-</v>
      </c>
      <c r="F13" s="10" t="str">
        <f aca="false">IF((SUMIFS(Media_Cliente_Mes!$C$2:$C$145,Media_Cliente_Mes!$A$2:$A$145,"Novo06",Media_Cliente_Mes!$B$2:$B$145,"Set"))=0,"-",IFERROR(SUMIFS(Media_Cliente_Mes!$G$2:$G$145,Media_Cliente_Mes!$A$2:$A$145,"Novo06",Media_Cliente_Mes!$B$2:$B$145,"Set"),"-"))</f>
        <v>-</v>
      </c>
      <c r="G13" s="8" t="n">
        <f aca="false">SUMIFS(Media_Cliente_Mes!$H$2:$H$145,Media_Cliente_Mes!$A$2:$A$145,"Novo06",Media_Cliente_Mes!$B$2:$B$145,"Set")</f>
        <v>0</v>
      </c>
      <c r="H13" s="8" t="n">
        <f aca="false">SUMIFS(Media_Cliente_Mes!$I$2:$I$145,Media_Cliente_Mes!$A$2:$A$145,"Novo06",Media_Cliente_Mes!$B$2:$B$145,"Set")</f>
        <v>0</v>
      </c>
      <c r="I13" s="16" t="n">
        <f aca="false">SUMIFS(Resumo_Cliente_Mes!$G$2:$G$145,Resumo_Cliente_Mes!$A$2:$A$145,"Novo06",Resumo_Cliente_Mes!$B$2:$B$145,"Set")</f>
        <v>0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SUMIFS(Media_Cliente_Mes!$C$2:$C$145,Media_Cliente_Mes!$A$2:$A$145,"Novo06",Media_Cliente_Mes!$B$2:$B$145,"Out")</f>
        <v>0</v>
      </c>
      <c r="C14" s="10" t="str">
        <f aca="false">IF((SUMIFS(Media_Cliente_Mes!$C$2:$C$145,Media_Cliente_Mes!$A$2:$A$145,"Novo06",Media_Cliente_Mes!$B$2:$B$145,"Out"))=0,"-",IFERROR(SUMIFS(Media_Cliente_Mes!$D$2:$D$145,Media_Cliente_Mes!$A$2:$A$145,"Novo06",Media_Cliente_Mes!$B$2:$B$145,"Out"),"-"))</f>
        <v>-</v>
      </c>
      <c r="D14" s="10" t="str">
        <f aca="false">IF((SUMIFS(Media_Cliente_Mes!$C$2:$C$145,Media_Cliente_Mes!$A$2:$A$145,"Novo06",Media_Cliente_Mes!$B$2:$B$145,"Out"))=0,"-",IFERROR(SUMIFS(Media_Cliente_Mes!$E$2:$E$145,Media_Cliente_Mes!$A$2:$A$145,"Novo06",Media_Cliente_Mes!$B$2:$B$145,"Out"),"-"))</f>
        <v>-</v>
      </c>
      <c r="E14" s="10" t="str">
        <f aca="false">IF((SUMIFS(Media_Cliente_Mes!$C$2:$C$145,Media_Cliente_Mes!$A$2:$A$145,"Novo06",Media_Cliente_Mes!$B$2:$B$145,"Out"))=0,"-",IFERROR(SUMIFS(Media_Cliente_Mes!$F$2:$F$145,Media_Cliente_Mes!$A$2:$A$145,"Novo06",Media_Cliente_Mes!$B$2:$B$145,"Out"),"-"))</f>
        <v>-</v>
      </c>
      <c r="F14" s="10" t="str">
        <f aca="false">IF((SUMIFS(Media_Cliente_Mes!$C$2:$C$145,Media_Cliente_Mes!$A$2:$A$145,"Novo06",Media_Cliente_Mes!$B$2:$B$145,"Out"))=0,"-",IFERROR(SUMIFS(Media_Cliente_Mes!$G$2:$G$145,Media_Cliente_Mes!$A$2:$A$145,"Novo06",Media_Cliente_Mes!$B$2:$B$145,"Out"),"-"))</f>
        <v>-</v>
      </c>
      <c r="G14" s="8" t="n">
        <f aca="false">SUMIFS(Media_Cliente_Mes!$H$2:$H$145,Media_Cliente_Mes!$A$2:$A$145,"Novo06",Media_Cliente_Mes!$B$2:$B$145,"Out")</f>
        <v>0</v>
      </c>
      <c r="H14" s="8" t="n">
        <f aca="false">SUMIFS(Media_Cliente_Mes!$I$2:$I$145,Media_Cliente_Mes!$A$2:$A$145,"Novo06",Media_Cliente_Mes!$B$2:$B$145,"Out")</f>
        <v>0</v>
      </c>
      <c r="I14" s="16" t="n">
        <f aca="false">SUMIFS(Resumo_Cliente_Mes!$G$2:$G$145,Resumo_Cliente_Mes!$A$2:$A$145,"Novo06",Resumo_Cliente_Mes!$B$2:$B$145,"Out")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SUMIFS(Media_Cliente_Mes!$C$2:$C$145,Media_Cliente_Mes!$A$2:$A$145,"Novo06",Media_Cliente_Mes!$B$2:$B$145,"Nov")</f>
        <v>0</v>
      </c>
      <c r="C15" s="10" t="str">
        <f aca="false">IF((SUMIFS(Media_Cliente_Mes!$C$2:$C$145,Media_Cliente_Mes!$A$2:$A$145,"Novo06",Media_Cliente_Mes!$B$2:$B$145,"Nov"))=0,"-",IFERROR(SUMIFS(Media_Cliente_Mes!$D$2:$D$145,Media_Cliente_Mes!$A$2:$A$145,"Novo06",Media_Cliente_Mes!$B$2:$B$145,"Nov"),"-"))</f>
        <v>-</v>
      </c>
      <c r="D15" s="10" t="str">
        <f aca="false">IF((SUMIFS(Media_Cliente_Mes!$C$2:$C$145,Media_Cliente_Mes!$A$2:$A$145,"Novo06",Media_Cliente_Mes!$B$2:$B$145,"Nov"))=0,"-",IFERROR(SUMIFS(Media_Cliente_Mes!$E$2:$E$145,Media_Cliente_Mes!$A$2:$A$145,"Novo06",Media_Cliente_Mes!$B$2:$B$145,"Nov"),"-"))</f>
        <v>-</v>
      </c>
      <c r="E15" s="10" t="str">
        <f aca="false">IF((SUMIFS(Media_Cliente_Mes!$C$2:$C$145,Media_Cliente_Mes!$A$2:$A$145,"Novo06",Media_Cliente_Mes!$B$2:$B$145,"Nov"))=0,"-",IFERROR(SUMIFS(Media_Cliente_Mes!$F$2:$F$145,Media_Cliente_Mes!$A$2:$A$145,"Novo06",Media_Cliente_Mes!$B$2:$B$145,"Nov"),"-"))</f>
        <v>-</v>
      </c>
      <c r="F15" s="10" t="str">
        <f aca="false">IF((SUMIFS(Media_Cliente_Mes!$C$2:$C$145,Media_Cliente_Mes!$A$2:$A$145,"Novo06",Media_Cliente_Mes!$B$2:$B$145,"Nov"))=0,"-",IFERROR(SUMIFS(Media_Cliente_Mes!$G$2:$G$145,Media_Cliente_Mes!$A$2:$A$145,"Novo06",Media_Cliente_Mes!$B$2:$B$145,"Nov"),"-"))</f>
        <v>-</v>
      </c>
      <c r="G15" s="8" t="n">
        <f aca="false">SUMIFS(Media_Cliente_Mes!$H$2:$H$145,Media_Cliente_Mes!$A$2:$A$145,"Novo06",Media_Cliente_Mes!$B$2:$B$145,"Nov")</f>
        <v>0</v>
      </c>
      <c r="H15" s="8" t="n">
        <f aca="false">SUMIFS(Media_Cliente_Mes!$I$2:$I$145,Media_Cliente_Mes!$A$2:$A$145,"Novo06",Media_Cliente_Mes!$B$2:$B$145,"Nov")</f>
        <v>0</v>
      </c>
      <c r="I15" s="16" t="n">
        <f aca="false">SUMIFS(Resumo_Cliente_Mes!$G$2:$G$145,Resumo_Cliente_Mes!$A$2:$A$145,"Novo06",Resumo_Cliente_Mes!$B$2:$B$145,"Nov")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SUMIFS(Media_Cliente_Mes!$C$2:$C$145,Media_Cliente_Mes!$A$2:$A$145,"Novo06",Media_Cliente_Mes!$B$2:$B$145,"Dez")</f>
        <v>0</v>
      </c>
      <c r="C16" s="10" t="str">
        <f aca="false">IF((SUMIFS(Media_Cliente_Mes!$C$2:$C$145,Media_Cliente_Mes!$A$2:$A$145,"Novo06",Media_Cliente_Mes!$B$2:$B$145,"Dez"))=0,"-",IFERROR(SUMIFS(Media_Cliente_Mes!$D$2:$D$145,Media_Cliente_Mes!$A$2:$A$145,"Novo06",Media_Cliente_Mes!$B$2:$B$145,"Dez"),"-"))</f>
        <v>-</v>
      </c>
      <c r="D16" s="10" t="str">
        <f aca="false">IF((SUMIFS(Media_Cliente_Mes!$C$2:$C$145,Media_Cliente_Mes!$A$2:$A$145,"Novo06",Media_Cliente_Mes!$B$2:$B$145,"Dez"))=0,"-",IFERROR(SUMIFS(Media_Cliente_Mes!$E$2:$E$145,Media_Cliente_Mes!$A$2:$A$145,"Novo06",Media_Cliente_Mes!$B$2:$B$145,"Dez"),"-"))</f>
        <v>-</v>
      </c>
      <c r="E16" s="10" t="str">
        <f aca="false">IF((SUMIFS(Media_Cliente_Mes!$C$2:$C$145,Media_Cliente_Mes!$A$2:$A$145,"Novo06",Media_Cliente_Mes!$B$2:$B$145,"Dez"))=0,"-",IFERROR(SUMIFS(Media_Cliente_Mes!$F$2:$F$145,Media_Cliente_Mes!$A$2:$A$145,"Novo06",Media_Cliente_Mes!$B$2:$B$145,"Dez"),"-"))</f>
        <v>-</v>
      </c>
      <c r="F16" s="10" t="str">
        <f aca="false">IF((SUMIFS(Media_Cliente_Mes!$C$2:$C$145,Media_Cliente_Mes!$A$2:$A$145,"Novo06",Media_Cliente_Mes!$B$2:$B$145,"Dez"))=0,"-",IFERROR(SUMIFS(Media_Cliente_Mes!$G$2:$G$145,Media_Cliente_Mes!$A$2:$A$145,"Novo06",Media_Cliente_Mes!$B$2:$B$145,"Dez"),"-"))</f>
        <v>-</v>
      </c>
      <c r="G16" s="8" t="n">
        <f aca="false">SUMIFS(Media_Cliente_Mes!$H$2:$H$145,Media_Cliente_Mes!$A$2:$A$145,"Novo06",Media_Cliente_Mes!$B$2:$B$145,"Dez")</f>
        <v>0</v>
      </c>
      <c r="H16" s="8" t="n">
        <f aca="false">SUMIFS(Media_Cliente_Mes!$I$2:$I$145,Media_Cliente_Mes!$A$2:$A$145,"Novo06",Media_Cliente_Mes!$B$2:$B$145,"Dez")</f>
        <v>0</v>
      </c>
      <c r="I16" s="16" t="n">
        <f aca="false">SUMIFS(Resumo_Cliente_Mes!$G$2:$G$145,Resumo_Cliente_Mes!$A$2:$A$145,"Novo06",Resumo_Cliente_Mes!$B$2:$B$145,"Dez")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0</v>
      </c>
      <c r="C17" s="23" t="str">
        <f aca="false">IFERROR(SUMPRODUCT((B5:B16)*IF(ISNUMBER(C5:C16),C5:C16,0))/B17,"-")</f>
        <v>-</v>
      </c>
      <c r="D17" s="23" t="str">
        <f aca="false">IFERROR(SUMPRODUCT((B5:B16)*IF(ISNUMBER(D5:D16),D5:D16,0))/B17,"-")</f>
        <v>-</v>
      </c>
      <c r="E17" s="23" t="str">
        <f aca="false">IFERROR(SUMPRODUCT((B5:B16)*IF(ISNUMBER(E5:E16),E5:E16,0))/B17,"-")</f>
        <v>-</v>
      </c>
      <c r="F17" s="23" t="str">
        <f aca="false">IFERROR(SUMPRODUCT((B5:B16)*IF(ISNUMBER(F5:F16),F5:F16,0))/B17,"-")</f>
        <v>-</v>
      </c>
      <c r="G17" s="22" t="n">
        <f aca="false">SUM(G5:G16)</f>
        <v>0</v>
      </c>
      <c r="H17" s="22" t="n">
        <f aca="false">SUM(H5:H16)</f>
        <v>0</v>
      </c>
      <c r="I17" s="24" t="n">
        <f aca="false">SUM(I5:I16)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2" t="s">
        <v>50</v>
      </c>
    </row>
    <row r="2" customFormat="false" ht="15" hidden="false" customHeight="false" outlineLevel="0" collapsed="false">
      <c r="A2" s="18" t="s">
        <v>85</v>
      </c>
    </row>
    <row r="4" customFormat="false" ht="23.85" hidden="false" customHeight="false" outlineLevel="0" collapsed="false">
      <c r="A4" s="19" t="s">
        <v>86</v>
      </c>
      <c r="B4" s="19" t="s">
        <v>75</v>
      </c>
      <c r="C4" s="19" t="s">
        <v>53</v>
      </c>
      <c r="D4" s="19" t="s">
        <v>54</v>
      </c>
      <c r="E4" s="19" t="s">
        <v>87</v>
      </c>
      <c r="F4" s="19" t="s">
        <v>56</v>
      </c>
      <c r="G4" s="19" t="s">
        <v>57</v>
      </c>
      <c r="H4" s="19" t="s">
        <v>58</v>
      </c>
      <c r="I4" s="19" t="s">
        <v>88</v>
      </c>
    </row>
    <row r="5" customFormat="false" ht="15" hidden="false" customHeight="false" outlineLevel="0" collapsed="false">
      <c r="A5" s="20" t="s">
        <v>89</v>
      </c>
      <c r="B5" s="8" t="n">
        <f aca="false">SUMIFS(Media_Cliente_Mes!$C$2:$C$145,Media_Cliente_Mes!$A$2:$A$145,"Novo07",Media_Cliente_Mes!$B$2:$B$145,"Jan")</f>
        <v>0</v>
      </c>
      <c r="C5" s="10" t="str">
        <f aca="false">IF((SUMIFS(Media_Cliente_Mes!$C$2:$C$145,Media_Cliente_Mes!$A$2:$A$145,"Novo07",Media_Cliente_Mes!$B$2:$B$145,"Jan"))=0,"-",IFERROR(SUMIFS(Media_Cliente_Mes!$D$2:$D$145,Media_Cliente_Mes!$A$2:$A$145,"Novo07",Media_Cliente_Mes!$B$2:$B$145,"Jan"),"-"))</f>
        <v>-</v>
      </c>
      <c r="D5" s="10" t="str">
        <f aca="false">IF((SUMIFS(Media_Cliente_Mes!$C$2:$C$145,Media_Cliente_Mes!$A$2:$A$145,"Novo07",Media_Cliente_Mes!$B$2:$B$145,"Jan"))=0,"-",IFERROR(SUMIFS(Media_Cliente_Mes!$E$2:$E$145,Media_Cliente_Mes!$A$2:$A$145,"Novo07",Media_Cliente_Mes!$B$2:$B$145,"Jan"),"-"))</f>
        <v>-</v>
      </c>
      <c r="E5" s="10" t="str">
        <f aca="false">IF((SUMIFS(Media_Cliente_Mes!$C$2:$C$145,Media_Cliente_Mes!$A$2:$A$145,"Novo07",Media_Cliente_Mes!$B$2:$B$145,"Jan"))=0,"-",IFERROR(SUMIFS(Media_Cliente_Mes!$F$2:$F$145,Media_Cliente_Mes!$A$2:$A$145,"Novo07",Media_Cliente_Mes!$B$2:$B$145,"Jan"),"-"))</f>
        <v>-</v>
      </c>
      <c r="F5" s="10" t="str">
        <f aca="false">IF((SUMIFS(Media_Cliente_Mes!$C$2:$C$145,Media_Cliente_Mes!$A$2:$A$145,"Novo07",Media_Cliente_Mes!$B$2:$B$145,"Jan"))=0,"-",IFERROR(SUMIFS(Media_Cliente_Mes!$G$2:$G$145,Media_Cliente_Mes!$A$2:$A$145,"Novo07",Media_Cliente_Mes!$B$2:$B$145,"Jan"),"-"))</f>
        <v>-</v>
      </c>
      <c r="G5" s="8" t="n">
        <f aca="false">SUMIFS(Media_Cliente_Mes!$H$2:$H$145,Media_Cliente_Mes!$A$2:$A$145,"Novo07",Media_Cliente_Mes!$B$2:$B$145,"Jan")</f>
        <v>0</v>
      </c>
      <c r="H5" s="8" t="n">
        <f aca="false">SUMIFS(Media_Cliente_Mes!$I$2:$I$145,Media_Cliente_Mes!$A$2:$A$145,"Novo07",Media_Cliente_Mes!$B$2:$B$145,"Jan")</f>
        <v>0</v>
      </c>
      <c r="I5" s="16" t="n">
        <f aca="false">SUMIFS(Resumo_Cliente_Mes!$G$2:$G$145,Resumo_Cliente_Mes!$A$2:$A$145,"Novo07",Resumo_Cliente_Mes!$B$2:$B$145,"Jan")</f>
        <v>0</v>
      </c>
    </row>
    <row r="6" customFormat="false" ht="15" hidden="false" customHeight="false" outlineLevel="0" collapsed="false">
      <c r="A6" s="20" t="s">
        <v>90</v>
      </c>
      <c r="B6" s="8" t="n">
        <f aca="false">SUMIFS(Media_Cliente_Mes!$C$2:$C$145,Media_Cliente_Mes!$A$2:$A$145,"Novo07",Media_Cliente_Mes!$B$2:$B$145,"Fev")</f>
        <v>0</v>
      </c>
      <c r="C6" s="10" t="str">
        <f aca="false">IF((SUMIFS(Media_Cliente_Mes!$C$2:$C$145,Media_Cliente_Mes!$A$2:$A$145,"Novo07",Media_Cliente_Mes!$B$2:$B$145,"Fev"))=0,"-",IFERROR(SUMIFS(Media_Cliente_Mes!$D$2:$D$145,Media_Cliente_Mes!$A$2:$A$145,"Novo07",Media_Cliente_Mes!$B$2:$B$145,"Fev"),"-"))</f>
        <v>-</v>
      </c>
      <c r="D6" s="10" t="str">
        <f aca="false">IF((SUMIFS(Media_Cliente_Mes!$C$2:$C$145,Media_Cliente_Mes!$A$2:$A$145,"Novo07",Media_Cliente_Mes!$B$2:$B$145,"Fev"))=0,"-",IFERROR(SUMIFS(Media_Cliente_Mes!$E$2:$E$145,Media_Cliente_Mes!$A$2:$A$145,"Novo07",Media_Cliente_Mes!$B$2:$B$145,"Fev"),"-"))</f>
        <v>-</v>
      </c>
      <c r="E6" s="10" t="str">
        <f aca="false">IF((SUMIFS(Media_Cliente_Mes!$C$2:$C$145,Media_Cliente_Mes!$A$2:$A$145,"Novo07",Media_Cliente_Mes!$B$2:$B$145,"Fev"))=0,"-",IFERROR(SUMIFS(Media_Cliente_Mes!$F$2:$F$145,Media_Cliente_Mes!$A$2:$A$145,"Novo07",Media_Cliente_Mes!$B$2:$B$145,"Fev"),"-"))</f>
        <v>-</v>
      </c>
      <c r="F6" s="10" t="str">
        <f aca="false">IF((SUMIFS(Media_Cliente_Mes!$C$2:$C$145,Media_Cliente_Mes!$A$2:$A$145,"Novo07",Media_Cliente_Mes!$B$2:$B$145,"Fev"))=0,"-",IFERROR(SUMIFS(Media_Cliente_Mes!$G$2:$G$145,Media_Cliente_Mes!$A$2:$A$145,"Novo07",Media_Cliente_Mes!$B$2:$B$145,"Fev"),"-"))</f>
        <v>-</v>
      </c>
      <c r="G6" s="8" t="n">
        <f aca="false">SUMIFS(Media_Cliente_Mes!$H$2:$H$145,Media_Cliente_Mes!$A$2:$A$145,"Novo07",Media_Cliente_Mes!$B$2:$B$145,"Fev")</f>
        <v>0</v>
      </c>
      <c r="H6" s="8" t="n">
        <f aca="false">SUMIFS(Media_Cliente_Mes!$I$2:$I$145,Media_Cliente_Mes!$A$2:$A$145,"Novo07",Media_Cliente_Mes!$B$2:$B$145,"Fev")</f>
        <v>0</v>
      </c>
      <c r="I6" s="16" t="n">
        <f aca="false">SUMIFS(Resumo_Cliente_Mes!$G$2:$G$145,Resumo_Cliente_Mes!$A$2:$A$145,"Novo07",Resumo_Cliente_Mes!$B$2:$B$145,"Fev")</f>
        <v>0</v>
      </c>
    </row>
    <row r="7" customFormat="false" ht="15" hidden="false" customHeight="false" outlineLevel="0" collapsed="false">
      <c r="A7" s="20" t="s">
        <v>91</v>
      </c>
      <c r="B7" s="8" t="n">
        <f aca="false">SUMIFS(Media_Cliente_Mes!$C$2:$C$145,Media_Cliente_Mes!$A$2:$A$145,"Novo07",Media_Cliente_Mes!$B$2:$B$145,"Mar")</f>
        <v>0</v>
      </c>
      <c r="C7" s="10" t="str">
        <f aca="false">IF((SUMIFS(Media_Cliente_Mes!$C$2:$C$145,Media_Cliente_Mes!$A$2:$A$145,"Novo07",Media_Cliente_Mes!$B$2:$B$145,"Mar"))=0,"-",IFERROR(SUMIFS(Media_Cliente_Mes!$D$2:$D$145,Media_Cliente_Mes!$A$2:$A$145,"Novo07",Media_Cliente_Mes!$B$2:$B$145,"Mar"),"-"))</f>
        <v>-</v>
      </c>
      <c r="D7" s="10" t="str">
        <f aca="false">IF((SUMIFS(Media_Cliente_Mes!$C$2:$C$145,Media_Cliente_Mes!$A$2:$A$145,"Novo07",Media_Cliente_Mes!$B$2:$B$145,"Mar"))=0,"-",IFERROR(SUMIFS(Media_Cliente_Mes!$E$2:$E$145,Media_Cliente_Mes!$A$2:$A$145,"Novo07",Media_Cliente_Mes!$B$2:$B$145,"Mar"),"-"))</f>
        <v>-</v>
      </c>
      <c r="E7" s="10" t="str">
        <f aca="false">IF((SUMIFS(Media_Cliente_Mes!$C$2:$C$145,Media_Cliente_Mes!$A$2:$A$145,"Novo07",Media_Cliente_Mes!$B$2:$B$145,"Mar"))=0,"-",IFERROR(SUMIFS(Media_Cliente_Mes!$F$2:$F$145,Media_Cliente_Mes!$A$2:$A$145,"Novo07",Media_Cliente_Mes!$B$2:$B$145,"Mar"),"-"))</f>
        <v>-</v>
      </c>
      <c r="F7" s="10" t="str">
        <f aca="false">IF((SUMIFS(Media_Cliente_Mes!$C$2:$C$145,Media_Cliente_Mes!$A$2:$A$145,"Novo07",Media_Cliente_Mes!$B$2:$B$145,"Mar"))=0,"-",IFERROR(SUMIFS(Media_Cliente_Mes!$G$2:$G$145,Media_Cliente_Mes!$A$2:$A$145,"Novo07",Media_Cliente_Mes!$B$2:$B$145,"Mar"),"-"))</f>
        <v>-</v>
      </c>
      <c r="G7" s="8" t="n">
        <f aca="false">SUMIFS(Media_Cliente_Mes!$H$2:$H$145,Media_Cliente_Mes!$A$2:$A$145,"Novo07",Media_Cliente_Mes!$B$2:$B$145,"Mar")</f>
        <v>0</v>
      </c>
      <c r="H7" s="8" t="n">
        <f aca="false">SUMIFS(Media_Cliente_Mes!$I$2:$I$145,Media_Cliente_Mes!$A$2:$A$145,"Novo07",Media_Cliente_Mes!$B$2:$B$145,"Mar")</f>
        <v>0</v>
      </c>
      <c r="I7" s="16" t="n">
        <f aca="false">SUMIFS(Resumo_Cliente_Mes!$G$2:$G$145,Resumo_Cliente_Mes!$A$2:$A$145,"Novo07",Resumo_Cliente_Mes!$B$2:$B$145,"Mar")</f>
        <v>0</v>
      </c>
    </row>
    <row r="8" customFormat="false" ht="15" hidden="false" customHeight="false" outlineLevel="0" collapsed="false">
      <c r="A8" s="20" t="s">
        <v>92</v>
      </c>
      <c r="B8" s="8" t="n">
        <f aca="false">SUMIFS(Media_Cliente_Mes!$C$2:$C$145,Media_Cliente_Mes!$A$2:$A$145,"Novo07",Media_Cliente_Mes!$B$2:$B$145,"Abr")</f>
        <v>0</v>
      </c>
      <c r="C8" s="10" t="str">
        <f aca="false">IF((SUMIFS(Media_Cliente_Mes!$C$2:$C$145,Media_Cliente_Mes!$A$2:$A$145,"Novo07",Media_Cliente_Mes!$B$2:$B$145,"Abr"))=0,"-",IFERROR(SUMIFS(Media_Cliente_Mes!$D$2:$D$145,Media_Cliente_Mes!$A$2:$A$145,"Novo07",Media_Cliente_Mes!$B$2:$B$145,"Abr"),"-"))</f>
        <v>-</v>
      </c>
      <c r="D8" s="10" t="str">
        <f aca="false">IF((SUMIFS(Media_Cliente_Mes!$C$2:$C$145,Media_Cliente_Mes!$A$2:$A$145,"Novo07",Media_Cliente_Mes!$B$2:$B$145,"Abr"))=0,"-",IFERROR(SUMIFS(Media_Cliente_Mes!$E$2:$E$145,Media_Cliente_Mes!$A$2:$A$145,"Novo07",Media_Cliente_Mes!$B$2:$B$145,"Abr"),"-"))</f>
        <v>-</v>
      </c>
      <c r="E8" s="10" t="str">
        <f aca="false">IF((SUMIFS(Media_Cliente_Mes!$C$2:$C$145,Media_Cliente_Mes!$A$2:$A$145,"Novo07",Media_Cliente_Mes!$B$2:$B$145,"Abr"))=0,"-",IFERROR(SUMIFS(Media_Cliente_Mes!$F$2:$F$145,Media_Cliente_Mes!$A$2:$A$145,"Novo07",Media_Cliente_Mes!$B$2:$B$145,"Abr"),"-"))</f>
        <v>-</v>
      </c>
      <c r="F8" s="10" t="str">
        <f aca="false">IF((SUMIFS(Media_Cliente_Mes!$C$2:$C$145,Media_Cliente_Mes!$A$2:$A$145,"Novo07",Media_Cliente_Mes!$B$2:$B$145,"Abr"))=0,"-",IFERROR(SUMIFS(Media_Cliente_Mes!$G$2:$G$145,Media_Cliente_Mes!$A$2:$A$145,"Novo07",Media_Cliente_Mes!$B$2:$B$145,"Abr"),"-"))</f>
        <v>-</v>
      </c>
      <c r="G8" s="8" t="n">
        <f aca="false">SUMIFS(Media_Cliente_Mes!$H$2:$H$145,Media_Cliente_Mes!$A$2:$A$145,"Novo07",Media_Cliente_Mes!$B$2:$B$145,"Abr")</f>
        <v>0</v>
      </c>
      <c r="H8" s="8" t="n">
        <f aca="false">SUMIFS(Media_Cliente_Mes!$I$2:$I$145,Media_Cliente_Mes!$A$2:$A$145,"Novo07",Media_Cliente_Mes!$B$2:$B$145,"Abr")</f>
        <v>0</v>
      </c>
      <c r="I8" s="16" t="n">
        <f aca="false">SUMIFS(Resumo_Cliente_Mes!$G$2:$G$145,Resumo_Cliente_Mes!$A$2:$A$145,"Novo07",Resumo_Cliente_Mes!$B$2:$B$145,"Abr")</f>
        <v>0</v>
      </c>
    </row>
    <row r="9" customFormat="false" ht="15" hidden="false" customHeight="false" outlineLevel="0" collapsed="false">
      <c r="A9" s="20" t="s">
        <v>93</v>
      </c>
      <c r="B9" s="8" t="n">
        <f aca="false">SUMIFS(Media_Cliente_Mes!$C$2:$C$145,Media_Cliente_Mes!$A$2:$A$145,"Novo07",Media_Cliente_Mes!$B$2:$B$145,"Mai")</f>
        <v>0</v>
      </c>
      <c r="C9" s="10" t="str">
        <f aca="false">IF((SUMIFS(Media_Cliente_Mes!$C$2:$C$145,Media_Cliente_Mes!$A$2:$A$145,"Novo07",Media_Cliente_Mes!$B$2:$B$145,"Mai"))=0,"-",IFERROR(SUMIFS(Media_Cliente_Mes!$D$2:$D$145,Media_Cliente_Mes!$A$2:$A$145,"Novo07",Media_Cliente_Mes!$B$2:$B$145,"Mai"),"-"))</f>
        <v>-</v>
      </c>
      <c r="D9" s="10" t="str">
        <f aca="false">IF((SUMIFS(Media_Cliente_Mes!$C$2:$C$145,Media_Cliente_Mes!$A$2:$A$145,"Novo07",Media_Cliente_Mes!$B$2:$B$145,"Mai"))=0,"-",IFERROR(SUMIFS(Media_Cliente_Mes!$E$2:$E$145,Media_Cliente_Mes!$A$2:$A$145,"Novo07",Media_Cliente_Mes!$B$2:$B$145,"Mai"),"-"))</f>
        <v>-</v>
      </c>
      <c r="E9" s="10" t="str">
        <f aca="false">IF((SUMIFS(Media_Cliente_Mes!$C$2:$C$145,Media_Cliente_Mes!$A$2:$A$145,"Novo07",Media_Cliente_Mes!$B$2:$B$145,"Mai"))=0,"-",IFERROR(SUMIFS(Media_Cliente_Mes!$F$2:$F$145,Media_Cliente_Mes!$A$2:$A$145,"Novo07",Media_Cliente_Mes!$B$2:$B$145,"Mai"),"-"))</f>
        <v>-</v>
      </c>
      <c r="F9" s="10" t="str">
        <f aca="false">IF((SUMIFS(Media_Cliente_Mes!$C$2:$C$145,Media_Cliente_Mes!$A$2:$A$145,"Novo07",Media_Cliente_Mes!$B$2:$B$145,"Mai"))=0,"-",IFERROR(SUMIFS(Media_Cliente_Mes!$G$2:$G$145,Media_Cliente_Mes!$A$2:$A$145,"Novo07",Media_Cliente_Mes!$B$2:$B$145,"Mai"),"-"))</f>
        <v>-</v>
      </c>
      <c r="G9" s="8" t="n">
        <f aca="false">SUMIFS(Media_Cliente_Mes!$H$2:$H$145,Media_Cliente_Mes!$A$2:$A$145,"Novo07",Media_Cliente_Mes!$B$2:$B$145,"Mai")</f>
        <v>0</v>
      </c>
      <c r="H9" s="8" t="n">
        <f aca="false">SUMIFS(Media_Cliente_Mes!$I$2:$I$145,Media_Cliente_Mes!$A$2:$A$145,"Novo07",Media_Cliente_Mes!$B$2:$B$145,"Mai")</f>
        <v>0</v>
      </c>
      <c r="I9" s="16" t="n">
        <f aca="false">SUMIFS(Resumo_Cliente_Mes!$G$2:$G$145,Resumo_Cliente_Mes!$A$2:$A$145,"Novo07",Resumo_Cliente_Mes!$B$2:$B$145,"Mai")</f>
        <v>0</v>
      </c>
    </row>
    <row r="10" customFormat="false" ht="15" hidden="false" customHeight="false" outlineLevel="0" collapsed="false">
      <c r="A10" s="20" t="s">
        <v>94</v>
      </c>
      <c r="B10" s="8" t="n">
        <f aca="false">SUMIFS(Media_Cliente_Mes!$C$2:$C$145,Media_Cliente_Mes!$A$2:$A$145,"Novo07",Media_Cliente_Mes!$B$2:$B$145,"Jun")</f>
        <v>0</v>
      </c>
      <c r="C10" s="10" t="str">
        <f aca="false">IF((SUMIFS(Media_Cliente_Mes!$C$2:$C$145,Media_Cliente_Mes!$A$2:$A$145,"Novo07",Media_Cliente_Mes!$B$2:$B$145,"Jun"))=0,"-",IFERROR(SUMIFS(Media_Cliente_Mes!$D$2:$D$145,Media_Cliente_Mes!$A$2:$A$145,"Novo07",Media_Cliente_Mes!$B$2:$B$145,"Jun"),"-"))</f>
        <v>-</v>
      </c>
      <c r="D10" s="10" t="str">
        <f aca="false">IF((SUMIFS(Media_Cliente_Mes!$C$2:$C$145,Media_Cliente_Mes!$A$2:$A$145,"Novo07",Media_Cliente_Mes!$B$2:$B$145,"Jun"))=0,"-",IFERROR(SUMIFS(Media_Cliente_Mes!$E$2:$E$145,Media_Cliente_Mes!$A$2:$A$145,"Novo07",Media_Cliente_Mes!$B$2:$B$145,"Jun"),"-"))</f>
        <v>-</v>
      </c>
      <c r="E10" s="10" t="str">
        <f aca="false">IF((SUMIFS(Media_Cliente_Mes!$C$2:$C$145,Media_Cliente_Mes!$A$2:$A$145,"Novo07",Media_Cliente_Mes!$B$2:$B$145,"Jun"))=0,"-",IFERROR(SUMIFS(Media_Cliente_Mes!$F$2:$F$145,Media_Cliente_Mes!$A$2:$A$145,"Novo07",Media_Cliente_Mes!$B$2:$B$145,"Jun"),"-"))</f>
        <v>-</v>
      </c>
      <c r="F10" s="10" t="str">
        <f aca="false">IF((SUMIFS(Media_Cliente_Mes!$C$2:$C$145,Media_Cliente_Mes!$A$2:$A$145,"Novo07",Media_Cliente_Mes!$B$2:$B$145,"Jun"))=0,"-",IFERROR(SUMIFS(Media_Cliente_Mes!$G$2:$G$145,Media_Cliente_Mes!$A$2:$A$145,"Novo07",Media_Cliente_Mes!$B$2:$B$145,"Jun"),"-"))</f>
        <v>-</v>
      </c>
      <c r="G10" s="8" t="n">
        <f aca="false">SUMIFS(Media_Cliente_Mes!$H$2:$H$145,Media_Cliente_Mes!$A$2:$A$145,"Novo07",Media_Cliente_Mes!$B$2:$B$145,"Jun")</f>
        <v>0</v>
      </c>
      <c r="H10" s="8" t="n">
        <f aca="false">SUMIFS(Media_Cliente_Mes!$I$2:$I$145,Media_Cliente_Mes!$A$2:$A$145,"Novo07",Media_Cliente_Mes!$B$2:$B$145,"Jun")</f>
        <v>0</v>
      </c>
      <c r="I10" s="16" t="n">
        <f aca="false">SUMIFS(Resumo_Cliente_Mes!$G$2:$G$145,Resumo_Cliente_Mes!$A$2:$A$145,"Novo07",Resumo_Cliente_Mes!$B$2:$B$145,"Jun")</f>
        <v>0</v>
      </c>
    </row>
    <row r="11" customFormat="false" ht="15" hidden="false" customHeight="false" outlineLevel="0" collapsed="false">
      <c r="A11" s="20" t="s">
        <v>95</v>
      </c>
      <c r="B11" s="8" t="n">
        <f aca="false">SUMIFS(Media_Cliente_Mes!$C$2:$C$145,Media_Cliente_Mes!$A$2:$A$145,"Novo07",Media_Cliente_Mes!$B$2:$B$145,"Jul")</f>
        <v>0</v>
      </c>
      <c r="C11" s="10" t="str">
        <f aca="false">IF((SUMIFS(Media_Cliente_Mes!$C$2:$C$145,Media_Cliente_Mes!$A$2:$A$145,"Novo07",Media_Cliente_Mes!$B$2:$B$145,"Jul"))=0,"-",IFERROR(SUMIFS(Media_Cliente_Mes!$D$2:$D$145,Media_Cliente_Mes!$A$2:$A$145,"Novo07",Media_Cliente_Mes!$B$2:$B$145,"Jul"),"-"))</f>
        <v>-</v>
      </c>
      <c r="D11" s="10" t="str">
        <f aca="false">IF((SUMIFS(Media_Cliente_Mes!$C$2:$C$145,Media_Cliente_Mes!$A$2:$A$145,"Novo07",Media_Cliente_Mes!$B$2:$B$145,"Jul"))=0,"-",IFERROR(SUMIFS(Media_Cliente_Mes!$E$2:$E$145,Media_Cliente_Mes!$A$2:$A$145,"Novo07",Media_Cliente_Mes!$B$2:$B$145,"Jul"),"-"))</f>
        <v>-</v>
      </c>
      <c r="E11" s="10" t="str">
        <f aca="false">IF((SUMIFS(Media_Cliente_Mes!$C$2:$C$145,Media_Cliente_Mes!$A$2:$A$145,"Novo07",Media_Cliente_Mes!$B$2:$B$145,"Jul"))=0,"-",IFERROR(SUMIFS(Media_Cliente_Mes!$F$2:$F$145,Media_Cliente_Mes!$A$2:$A$145,"Novo07",Media_Cliente_Mes!$B$2:$B$145,"Jul"),"-"))</f>
        <v>-</v>
      </c>
      <c r="F11" s="10" t="str">
        <f aca="false">IF((SUMIFS(Media_Cliente_Mes!$C$2:$C$145,Media_Cliente_Mes!$A$2:$A$145,"Novo07",Media_Cliente_Mes!$B$2:$B$145,"Jul"))=0,"-",IFERROR(SUMIFS(Media_Cliente_Mes!$G$2:$G$145,Media_Cliente_Mes!$A$2:$A$145,"Novo07",Media_Cliente_Mes!$B$2:$B$145,"Jul"),"-"))</f>
        <v>-</v>
      </c>
      <c r="G11" s="8" t="n">
        <f aca="false">SUMIFS(Media_Cliente_Mes!$H$2:$H$145,Media_Cliente_Mes!$A$2:$A$145,"Novo07",Media_Cliente_Mes!$B$2:$B$145,"Jul")</f>
        <v>0</v>
      </c>
      <c r="H11" s="8" t="n">
        <f aca="false">SUMIFS(Media_Cliente_Mes!$I$2:$I$145,Media_Cliente_Mes!$A$2:$A$145,"Novo07",Media_Cliente_Mes!$B$2:$B$145,"Jul")</f>
        <v>0</v>
      </c>
      <c r="I11" s="16" t="n">
        <f aca="false">SUMIFS(Resumo_Cliente_Mes!$G$2:$G$145,Resumo_Cliente_Mes!$A$2:$A$145,"Novo07",Resumo_Cliente_Mes!$B$2:$B$145,"Jul")</f>
        <v>0</v>
      </c>
    </row>
    <row r="12" customFormat="false" ht="15" hidden="false" customHeight="false" outlineLevel="0" collapsed="false">
      <c r="A12" s="20" t="s">
        <v>96</v>
      </c>
      <c r="B12" s="8" t="n">
        <f aca="false">SUMIFS(Media_Cliente_Mes!$C$2:$C$145,Media_Cliente_Mes!$A$2:$A$145,"Novo07",Media_Cliente_Mes!$B$2:$B$145,"Ago")</f>
        <v>0</v>
      </c>
      <c r="C12" s="10" t="str">
        <f aca="false">IF((SUMIFS(Media_Cliente_Mes!$C$2:$C$145,Media_Cliente_Mes!$A$2:$A$145,"Novo07",Media_Cliente_Mes!$B$2:$B$145,"Ago"))=0,"-",IFERROR(SUMIFS(Media_Cliente_Mes!$D$2:$D$145,Media_Cliente_Mes!$A$2:$A$145,"Novo07",Media_Cliente_Mes!$B$2:$B$145,"Ago"),"-"))</f>
        <v>-</v>
      </c>
      <c r="D12" s="10" t="str">
        <f aca="false">IF((SUMIFS(Media_Cliente_Mes!$C$2:$C$145,Media_Cliente_Mes!$A$2:$A$145,"Novo07",Media_Cliente_Mes!$B$2:$B$145,"Ago"))=0,"-",IFERROR(SUMIFS(Media_Cliente_Mes!$E$2:$E$145,Media_Cliente_Mes!$A$2:$A$145,"Novo07",Media_Cliente_Mes!$B$2:$B$145,"Ago"),"-"))</f>
        <v>-</v>
      </c>
      <c r="E12" s="10" t="str">
        <f aca="false">IF((SUMIFS(Media_Cliente_Mes!$C$2:$C$145,Media_Cliente_Mes!$A$2:$A$145,"Novo07",Media_Cliente_Mes!$B$2:$B$145,"Ago"))=0,"-",IFERROR(SUMIFS(Media_Cliente_Mes!$F$2:$F$145,Media_Cliente_Mes!$A$2:$A$145,"Novo07",Media_Cliente_Mes!$B$2:$B$145,"Ago"),"-"))</f>
        <v>-</v>
      </c>
      <c r="F12" s="10" t="str">
        <f aca="false">IF((SUMIFS(Media_Cliente_Mes!$C$2:$C$145,Media_Cliente_Mes!$A$2:$A$145,"Novo07",Media_Cliente_Mes!$B$2:$B$145,"Ago"))=0,"-",IFERROR(SUMIFS(Media_Cliente_Mes!$G$2:$G$145,Media_Cliente_Mes!$A$2:$A$145,"Novo07",Media_Cliente_Mes!$B$2:$B$145,"Ago"),"-"))</f>
        <v>-</v>
      </c>
      <c r="G12" s="8" t="n">
        <f aca="false">SUMIFS(Media_Cliente_Mes!$H$2:$H$145,Media_Cliente_Mes!$A$2:$A$145,"Novo07",Media_Cliente_Mes!$B$2:$B$145,"Ago")</f>
        <v>0</v>
      </c>
      <c r="H12" s="8" t="n">
        <f aca="false">SUMIFS(Media_Cliente_Mes!$I$2:$I$145,Media_Cliente_Mes!$A$2:$A$145,"Novo07",Media_Cliente_Mes!$B$2:$B$145,"Ago")</f>
        <v>0</v>
      </c>
      <c r="I12" s="16" t="n">
        <f aca="false">SUMIFS(Resumo_Cliente_Mes!$G$2:$G$145,Resumo_Cliente_Mes!$A$2:$A$145,"Novo07",Resumo_Cliente_Mes!$B$2:$B$145,"Ago")</f>
        <v>0</v>
      </c>
    </row>
    <row r="13" customFormat="false" ht="15" hidden="false" customHeight="false" outlineLevel="0" collapsed="false">
      <c r="A13" s="20" t="s">
        <v>97</v>
      </c>
      <c r="B13" s="8" t="n">
        <f aca="false">SUMIFS(Media_Cliente_Mes!$C$2:$C$145,Media_Cliente_Mes!$A$2:$A$145,"Novo07",Media_Cliente_Mes!$B$2:$B$145,"Set")</f>
        <v>0</v>
      </c>
      <c r="C13" s="10" t="str">
        <f aca="false">IF((SUMIFS(Media_Cliente_Mes!$C$2:$C$145,Media_Cliente_Mes!$A$2:$A$145,"Novo07",Media_Cliente_Mes!$B$2:$B$145,"Set"))=0,"-",IFERROR(SUMIFS(Media_Cliente_Mes!$D$2:$D$145,Media_Cliente_Mes!$A$2:$A$145,"Novo07",Media_Cliente_Mes!$B$2:$B$145,"Set"),"-"))</f>
        <v>-</v>
      </c>
      <c r="D13" s="10" t="str">
        <f aca="false">IF((SUMIFS(Media_Cliente_Mes!$C$2:$C$145,Media_Cliente_Mes!$A$2:$A$145,"Novo07",Media_Cliente_Mes!$B$2:$B$145,"Set"))=0,"-",IFERROR(SUMIFS(Media_Cliente_Mes!$E$2:$E$145,Media_Cliente_Mes!$A$2:$A$145,"Novo07",Media_Cliente_Mes!$B$2:$B$145,"Set"),"-"))</f>
        <v>-</v>
      </c>
      <c r="E13" s="10" t="str">
        <f aca="false">IF((SUMIFS(Media_Cliente_Mes!$C$2:$C$145,Media_Cliente_Mes!$A$2:$A$145,"Novo07",Media_Cliente_Mes!$B$2:$B$145,"Set"))=0,"-",IFERROR(SUMIFS(Media_Cliente_Mes!$F$2:$F$145,Media_Cliente_Mes!$A$2:$A$145,"Novo07",Media_Cliente_Mes!$B$2:$B$145,"Set"),"-"))</f>
        <v>-</v>
      </c>
      <c r="F13" s="10" t="str">
        <f aca="false">IF((SUMIFS(Media_Cliente_Mes!$C$2:$C$145,Media_Cliente_Mes!$A$2:$A$145,"Novo07",Media_Cliente_Mes!$B$2:$B$145,"Set"))=0,"-",IFERROR(SUMIFS(Media_Cliente_Mes!$G$2:$G$145,Media_Cliente_Mes!$A$2:$A$145,"Novo07",Media_Cliente_Mes!$B$2:$B$145,"Set"),"-"))</f>
        <v>-</v>
      </c>
      <c r="G13" s="8" t="n">
        <f aca="false">SUMIFS(Media_Cliente_Mes!$H$2:$H$145,Media_Cliente_Mes!$A$2:$A$145,"Novo07",Media_Cliente_Mes!$B$2:$B$145,"Set")</f>
        <v>0</v>
      </c>
      <c r="H13" s="8" t="n">
        <f aca="false">SUMIFS(Media_Cliente_Mes!$I$2:$I$145,Media_Cliente_Mes!$A$2:$A$145,"Novo07",Media_Cliente_Mes!$B$2:$B$145,"Set")</f>
        <v>0</v>
      </c>
      <c r="I13" s="16" t="n">
        <f aca="false">SUMIFS(Resumo_Cliente_Mes!$G$2:$G$145,Resumo_Cliente_Mes!$A$2:$A$145,"Novo07",Resumo_Cliente_Mes!$B$2:$B$145,"Set")</f>
        <v>0</v>
      </c>
    </row>
    <row r="14" customFormat="false" ht="15" hidden="false" customHeight="false" outlineLevel="0" collapsed="false">
      <c r="A14" s="20" t="s">
        <v>98</v>
      </c>
      <c r="B14" s="8" t="n">
        <f aca="false">SUMIFS(Media_Cliente_Mes!$C$2:$C$145,Media_Cliente_Mes!$A$2:$A$145,"Novo07",Media_Cliente_Mes!$B$2:$B$145,"Out")</f>
        <v>0</v>
      </c>
      <c r="C14" s="10" t="str">
        <f aca="false">IF((SUMIFS(Media_Cliente_Mes!$C$2:$C$145,Media_Cliente_Mes!$A$2:$A$145,"Novo07",Media_Cliente_Mes!$B$2:$B$145,"Out"))=0,"-",IFERROR(SUMIFS(Media_Cliente_Mes!$D$2:$D$145,Media_Cliente_Mes!$A$2:$A$145,"Novo07",Media_Cliente_Mes!$B$2:$B$145,"Out"),"-"))</f>
        <v>-</v>
      </c>
      <c r="D14" s="10" t="str">
        <f aca="false">IF((SUMIFS(Media_Cliente_Mes!$C$2:$C$145,Media_Cliente_Mes!$A$2:$A$145,"Novo07",Media_Cliente_Mes!$B$2:$B$145,"Out"))=0,"-",IFERROR(SUMIFS(Media_Cliente_Mes!$E$2:$E$145,Media_Cliente_Mes!$A$2:$A$145,"Novo07",Media_Cliente_Mes!$B$2:$B$145,"Out"),"-"))</f>
        <v>-</v>
      </c>
      <c r="E14" s="10" t="str">
        <f aca="false">IF((SUMIFS(Media_Cliente_Mes!$C$2:$C$145,Media_Cliente_Mes!$A$2:$A$145,"Novo07",Media_Cliente_Mes!$B$2:$B$145,"Out"))=0,"-",IFERROR(SUMIFS(Media_Cliente_Mes!$F$2:$F$145,Media_Cliente_Mes!$A$2:$A$145,"Novo07",Media_Cliente_Mes!$B$2:$B$145,"Out"),"-"))</f>
        <v>-</v>
      </c>
      <c r="F14" s="10" t="str">
        <f aca="false">IF((SUMIFS(Media_Cliente_Mes!$C$2:$C$145,Media_Cliente_Mes!$A$2:$A$145,"Novo07",Media_Cliente_Mes!$B$2:$B$145,"Out"))=0,"-",IFERROR(SUMIFS(Media_Cliente_Mes!$G$2:$G$145,Media_Cliente_Mes!$A$2:$A$145,"Novo07",Media_Cliente_Mes!$B$2:$B$145,"Out"),"-"))</f>
        <v>-</v>
      </c>
      <c r="G14" s="8" t="n">
        <f aca="false">SUMIFS(Media_Cliente_Mes!$H$2:$H$145,Media_Cliente_Mes!$A$2:$A$145,"Novo07",Media_Cliente_Mes!$B$2:$B$145,"Out")</f>
        <v>0</v>
      </c>
      <c r="H14" s="8" t="n">
        <f aca="false">SUMIFS(Media_Cliente_Mes!$I$2:$I$145,Media_Cliente_Mes!$A$2:$A$145,"Novo07",Media_Cliente_Mes!$B$2:$B$145,"Out")</f>
        <v>0</v>
      </c>
      <c r="I14" s="16" t="n">
        <f aca="false">SUMIFS(Resumo_Cliente_Mes!$G$2:$G$145,Resumo_Cliente_Mes!$A$2:$A$145,"Novo07",Resumo_Cliente_Mes!$B$2:$B$145,"Out")</f>
        <v>0</v>
      </c>
    </row>
    <row r="15" customFormat="false" ht="15" hidden="false" customHeight="false" outlineLevel="0" collapsed="false">
      <c r="A15" s="20" t="s">
        <v>99</v>
      </c>
      <c r="B15" s="8" t="n">
        <f aca="false">SUMIFS(Media_Cliente_Mes!$C$2:$C$145,Media_Cliente_Mes!$A$2:$A$145,"Novo07",Media_Cliente_Mes!$B$2:$B$145,"Nov")</f>
        <v>0</v>
      </c>
      <c r="C15" s="10" t="str">
        <f aca="false">IF((SUMIFS(Media_Cliente_Mes!$C$2:$C$145,Media_Cliente_Mes!$A$2:$A$145,"Novo07",Media_Cliente_Mes!$B$2:$B$145,"Nov"))=0,"-",IFERROR(SUMIFS(Media_Cliente_Mes!$D$2:$D$145,Media_Cliente_Mes!$A$2:$A$145,"Novo07",Media_Cliente_Mes!$B$2:$B$145,"Nov"),"-"))</f>
        <v>-</v>
      </c>
      <c r="D15" s="10" t="str">
        <f aca="false">IF((SUMIFS(Media_Cliente_Mes!$C$2:$C$145,Media_Cliente_Mes!$A$2:$A$145,"Novo07",Media_Cliente_Mes!$B$2:$B$145,"Nov"))=0,"-",IFERROR(SUMIFS(Media_Cliente_Mes!$E$2:$E$145,Media_Cliente_Mes!$A$2:$A$145,"Novo07",Media_Cliente_Mes!$B$2:$B$145,"Nov"),"-"))</f>
        <v>-</v>
      </c>
      <c r="E15" s="10" t="str">
        <f aca="false">IF((SUMIFS(Media_Cliente_Mes!$C$2:$C$145,Media_Cliente_Mes!$A$2:$A$145,"Novo07",Media_Cliente_Mes!$B$2:$B$145,"Nov"))=0,"-",IFERROR(SUMIFS(Media_Cliente_Mes!$F$2:$F$145,Media_Cliente_Mes!$A$2:$A$145,"Novo07",Media_Cliente_Mes!$B$2:$B$145,"Nov"),"-"))</f>
        <v>-</v>
      </c>
      <c r="F15" s="10" t="str">
        <f aca="false">IF((SUMIFS(Media_Cliente_Mes!$C$2:$C$145,Media_Cliente_Mes!$A$2:$A$145,"Novo07",Media_Cliente_Mes!$B$2:$B$145,"Nov"))=0,"-",IFERROR(SUMIFS(Media_Cliente_Mes!$G$2:$G$145,Media_Cliente_Mes!$A$2:$A$145,"Novo07",Media_Cliente_Mes!$B$2:$B$145,"Nov"),"-"))</f>
        <v>-</v>
      </c>
      <c r="G15" s="8" t="n">
        <f aca="false">SUMIFS(Media_Cliente_Mes!$H$2:$H$145,Media_Cliente_Mes!$A$2:$A$145,"Novo07",Media_Cliente_Mes!$B$2:$B$145,"Nov")</f>
        <v>0</v>
      </c>
      <c r="H15" s="8" t="n">
        <f aca="false">SUMIFS(Media_Cliente_Mes!$I$2:$I$145,Media_Cliente_Mes!$A$2:$A$145,"Novo07",Media_Cliente_Mes!$B$2:$B$145,"Nov")</f>
        <v>0</v>
      </c>
      <c r="I15" s="16" t="n">
        <f aca="false">SUMIFS(Resumo_Cliente_Mes!$G$2:$G$145,Resumo_Cliente_Mes!$A$2:$A$145,"Novo07",Resumo_Cliente_Mes!$B$2:$B$145,"Nov")</f>
        <v>0</v>
      </c>
    </row>
    <row r="16" customFormat="false" ht="15" hidden="false" customHeight="false" outlineLevel="0" collapsed="false">
      <c r="A16" s="20" t="s">
        <v>100</v>
      </c>
      <c r="B16" s="8" t="n">
        <f aca="false">SUMIFS(Media_Cliente_Mes!$C$2:$C$145,Media_Cliente_Mes!$A$2:$A$145,"Novo07",Media_Cliente_Mes!$B$2:$B$145,"Dez")</f>
        <v>0</v>
      </c>
      <c r="C16" s="10" t="str">
        <f aca="false">IF((SUMIFS(Media_Cliente_Mes!$C$2:$C$145,Media_Cliente_Mes!$A$2:$A$145,"Novo07",Media_Cliente_Mes!$B$2:$B$145,"Dez"))=0,"-",IFERROR(SUMIFS(Media_Cliente_Mes!$D$2:$D$145,Media_Cliente_Mes!$A$2:$A$145,"Novo07",Media_Cliente_Mes!$B$2:$B$145,"Dez"),"-"))</f>
        <v>-</v>
      </c>
      <c r="D16" s="10" t="str">
        <f aca="false">IF((SUMIFS(Media_Cliente_Mes!$C$2:$C$145,Media_Cliente_Mes!$A$2:$A$145,"Novo07",Media_Cliente_Mes!$B$2:$B$145,"Dez"))=0,"-",IFERROR(SUMIFS(Media_Cliente_Mes!$E$2:$E$145,Media_Cliente_Mes!$A$2:$A$145,"Novo07",Media_Cliente_Mes!$B$2:$B$145,"Dez"),"-"))</f>
        <v>-</v>
      </c>
      <c r="E16" s="10" t="str">
        <f aca="false">IF((SUMIFS(Media_Cliente_Mes!$C$2:$C$145,Media_Cliente_Mes!$A$2:$A$145,"Novo07",Media_Cliente_Mes!$B$2:$B$145,"Dez"))=0,"-",IFERROR(SUMIFS(Media_Cliente_Mes!$F$2:$F$145,Media_Cliente_Mes!$A$2:$A$145,"Novo07",Media_Cliente_Mes!$B$2:$B$145,"Dez"),"-"))</f>
        <v>-</v>
      </c>
      <c r="F16" s="10" t="str">
        <f aca="false">IF((SUMIFS(Media_Cliente_Mes!$C$2:$C$145,Media_Cliente_Mes!$A$2:$A$145,"Novo07",Media_Cliente_Mes!$B$2:$B$145,"Dez"))=0,"-",IFERROR(SUMIFS(Media_Cliente_Mes!$G$2:$G$145,Media_Cliente_Mes!$A$2:$A$145,"Novo07",Media_Cliente_Mes!$B$2:$B$145,"Dez"),"-"))</f>
        <v>-</v>
      </c>
      <c r="G16" s="8" t="n">
        <f aca="false">SUMIFS(Media_Cliente_Mes!$H$2:$H$145,Media_Cliente_Mes!$A$2:$A$145,"Novo07",Media_Cliente_Mes!$B$2:$B$145,"Dez")</f>
        <v>0</v>
      </c>
      <c r="H16" s="8" t="n">
        <f aca="false">SUMIFS(Media_Cliente_Mes!$I$2:$I$145,Media_Cliente_Mes!$A$2:$A$145,"Novo07",Media_Cliente_Mes!$B$2:$B$145,"Dez")</f>
        <v>0</v>
      </c>
      <c r="I16" s="16" t="n">
        <f aca="false">SUMIFS(Resumo_Cliente_Mes!$G$2:$G$145,Resumo_Cliente_Mes!$A$2:$A$145,"Novo07",Resumo_Cliente_Mes!$B$2:$B$145,"Dez")</f>
        <v>0</v>
      </c>
    </row>
    <row r="17" customFormat="false" ht="15" hidden="false" customHeight="false" outlineLevel="0" collapsed="false">
      <c r="A17" s="21" t="s">
        <v>101</v>
      </c>
      <c r="B17" s="22" t="n">
        <f aca="false">SUM(B5:B16)</f>
        <v>0</v>
      </c>
      <c r="C17" s="23" t="str">
        <f aca="false">IFERROR(SUMPRODUCT((B5:B16)*IF(ISNUMBER(C5:C16),C5:C16,0))/B17,"-")</f>
        <v>-</v>
      </c>
      <c r="D17" s="23" t="str">
        <f aca="false">IFERROR(SUMPRODUCT((B5:B16)*IF(ISNUMBER(D5:D16),D5:D16,0))/B17,"-")</f>
        <v>-</v>
      </c>
      <c r="E17" s="23" t="str">
        <f aca="false">IFERROR(SUMPRODUCT((B5:B16)*IF(ISNUMBER(E5:E16),E5:E16,0))/B17,"-")</f>
        <v>-</v>
      </c>
      <c r="F17" s="23" t="str">
        <f aca="false">IFERROR(SUMPRODUCT((B5:B16)*IF(ISNUMBER(F5:F16),F5:F16,0))/B17,"-")</f>
        <v>-</v>
      </c>
      <c r="G17" s="22" t="n">
        <f aca="false">SUM(G5:G16)</f>
        <v>0</v>
      </c>
      <c r="H17" s="22" t="n">
        <f aca="false">SUM(H5:H16)</f>
        <v>0</v>
      </c>
      <c r="I17" s="24" t="n">
        <f aca="false">SUM(I5:I16)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95C"/>
    <pageSetUpPr fitToPage="false"/>
  </sheetPr>
  <dimension ref="A1:E47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6"/>
    <col collapsed="false" customWidth="true" hidden="false" outlineLevel="0" max="5" min="5" style="0" width="13"/>
  </cols>
  <sheetData>
    <row r="1" customFormat="false" ht="16.15" hidden="false" customHeight="false" outlineLevel="0" collapsed="false">
      <c r="A1" s="12" t="s">
        <v>102</v>
      </c>
    </row>
    <row r="2" customFormat="false" ht="15" hidden="false" customHeight="false" outlineLevel="0" collapsed="false">
      <c r="A2" s="25" t="s">
        <v>103</v>
      </c>
    </row>
    <row r="4" customFormat="false" ht="15" hidden="false" customHeight="false" outlineLevel="0" collapsed="false">
      <c r="A4" s="26" t="s">
        <v>86</v>
      </c>
      <c r="B4" s="26" t="s">
        <v>104</v>
      </c>
      <c r="C4" s="26" t="s">
        <v>105</v>
      </c>
      <c r="D4" s="26" t="s">
        <v>106</v>
      </c>
      <c r="E4" s="26" t="s">
        <v>107</v>
      </c>
    </row>
    <row r="5" customFormat="false" ht="15" hidden="false" customHeight="false" outlineLevel="0" collapsed="false">
      <c r="A5" s="27" t="s">
        <v>108</v>
      </c>
      <c r="B5" s="27" t="s">
        <v>109</v>
      </c>
      <c r="C5" s="27" t="s">
        <v>39</v>
      </c>
      <c r="D5" s="27" t="s">
        <v>40</v>
      </c>
      <c r="E5" s="28" t="n">
        <f aca="false">ROUND((SUMIFS(Acerto_Detalhado!$F$2:$F$433,Acerto_Detalhado!$A$2:$A$433,$C5,Acerto_Detalhado!$B$2:$B$433,"Jan",Acerto_Detalhado!$C$2:$C$433,"Proteina"))*(SUMIFS(Acerto_Detalhado!$I$2:$I$433,Acerto_Detalhado!$A$2:$A$433,$D5,Acerto_Detalhado!$B$2:$B$433,"Jan",Acerto_Detalhado!$C$2:$C$433,"Proteina")),2)</f>
        <v>0</v>
      </c>
    </row>
    <row r="6" customFormat="false" ht="15" hidden="false" customHeight="false" outlineLevel="0" collapsed="false">
      <c r="A6" s="27" t="s">
        <v>108</v>
      </c>
      <c r="B6" s="27" t="s">
        <v>109</v>
      </c>
      <c r="C6" s="27" t="s">
        <v>39</v>
      </c>
      <c r="D6" s="27" t="s">
        <v>41</v>
      </c>
      <c r="E6" s="28" t="n">
        <f aca="false">ROUND((SUMIFS(Acerto_Detalhado!$F$2:$F$433,Acerto_Detalhado!$A$2:$A$433,$C6,Acerto_Detalhado!$B$2:$B$433,"Jan",Acerto_Detalhado!$C$2:$C$433,"Proteina"))*(SUMIFS(Acerto_Detalhado!$I$2:$I$433,Acerto_Detalhado!$A$2:$A$433,$D6,Acerto_Detalhado!$B$2:$B$433,"Jan",Acerto_Detalhado!$C$2:$C$433,"Proteina")),2)</f>
        <v>0</v>
      </c>
    </row>
    <row r="7" customFormat="false" ht="15" hidden="false" customHeight="false" outlineLevel="0" collapsed="false">
      <c r="A7" s="27" t="s">
        <v>108</v>
      </c>
      <c r="B7" s="27" t="s">
        <v>109</v>
      </c>
      <c r="C7" s="27" t="s">
        <v>39</v>
      </c>
      <c r="D7" s="27" t="s">
        <v>42</v>
      </c>
      <c r="E7" s="28" t="n">
        <f aca="false">ROUND((SUMIFS(Acerto_Detalhado!$F$2:$F$433,Acerto_Detalhado!$A$2:$A$433,$C7,Acerto_Detalhado!$B$2:$B$433,"Jan",Acerto_Detalhado!$C$2:$C$433,"Proteina"))*(SUMIFS(Acerto_Detalhado!$I$2:$I$433,Acerto_Detalhado!$A$2:$A$433,$D7,Acerto_Detalhado!$B$2:$B$433,"Jan",Acerto_Detalhado!$C$2:$C$433,"Proteina")),2)</f>
        <v>0</v>
      </c>
    </row>
    <row r="8" customFormat="false" ht="15" hidden="false" customHeight="false" outlineLevel="0" collapsed="false">
      <c r="A8" s="27" t="s">
        <v>108</v>
      </c>
      <c r="B8" s="27" t="s">
        <v>109</v>
      </c>
      <c r="C8" s="27" t="s">
        <v>39</v>
      </c>
      <c r="D8" s="27" t="s">
        <v>43</v>
      </c>
      <c r="E8" s="28" t="n">
        <f aca="false">ROUND((SUMIFS(Acerto_Detalhado!$F$2:$F$433,Acerto_Detalhado!$A$2:$A$433,$C8,Acerto_Detalhado!$B$2:$B$433,"Jan",Acerto_Detalhado!$C$2:$C$433,"Proteina"))*(SUMIFS(Acerto_Detalhado!$I$2:$I$433,Acerto_Detalhado!$A$2:$A$433,$D8,Acerto_Detalhado!$B$2:$B$433,"Jan",Acerto_Detalhado!$C$2:$C$433,"Proteina")),2)</f>
        <v>0</v>
      </c>
    </row>
    <row r="9" customFormat="false" ht="15" hidden="false" customHeight="false" outlineLevel="0" collapsed="false">
      <c r="A9" s="27" t="s">
        <v>108</v>
      </c>
      <c r="B9" s="27" t="s">
        <v>109</v>
      </c>
      <c r="C9" s="27" t="s">
        <v>39</v>
      </c>
      <c r="D9" s="27" t="s">
        <v>44</v>
      </c>
      <c r="E9" s="28" t="n">
        <f aca="false">ROUND((SUMIFS(Acerto_Detalhado!$F$2:$F$433,Acerto_Detalhado!$A$2:$A$433,$C9,Acerto_Detalhado!$B$2:$B$433,"Jan",Acerto_Detalhado!$C$2:$C$433,"Proteina"))*(SUMIFS(Acerto_Detalhado!$I$2:$I$433,Acerto_Detalhado!$A$2:$A$433,$D9,Acerto_Detalhado!$B$2:$B$433,"Jan",Acerto_Detalhado!$C$2:$C$433,"Proteina")),2)</f>
        <v>0</v>
      </c>
    </row>
    <row r="10" customFormat="false" ht="15" hidden="false" customHeight="false" outlineLevel="0" collapsed="false">
      <c r="A10" s="27" t="s">
        <v>108</v>
      </c>
      <c r="B10" s="27" t="s">
        <v>109</v>
      </c>
      <c r="C10" s="27" t="s">
        <v>39</v>
      </c>
      <c r="D10" s="27" t="s">
        <v>45</v>
      </c>
      <c r="E10" s="28" t="n">
        <f aca="false">ROUND((SUMIFS(Acerto_Detalhado!$F$2:$F$433,Acerto_Detalhado!$A$2:$A$433,$C10,Acerto_Detalhado!$B$2:$B$433,"Jan",Acerto_Detalhado!$C$2:$C$433,"Proteina"))*(SUMIFS(Acerto_Detalhado!$I$2:$I$433,Acerto_Detalhado!$A$2:$A$433,$D10,Acerto_Detalhado!$B$2:$B$433,"Jan",Acerto_Detalhado!$C$2:$C$433,"Proteina")),2)</f>
        <v>0</v>
      </c>
    </row>
    <row r="11" customFormat="false" ht="15" hidden="false" customHeight="false" outlineLevel="0" collapsed="false">
      <c r="A11" s="27" t="s">
        <v>108</v>
      </c>
      <c r="B11" s="27" t="s">
        <v>109</v>
      </c>
      <c r="C11" s="27" t="s">
        <v>39</v>
      </c>
      <c r="D11" s="27" t="s">
        <v>46</v>
      </c>
      <c r="E11" s="28" t="n">
        <f aca="false">ROUND((SUMIFS(Acerto_Detalhado!$F$2:$F$433,Acerto_Detalhado!$A$2:$A$433,$C11,Acerto_Detalhado!$B$2:$B$433,"Jan",Acerto_Detalhado!$C$2:$C$433,"Proteina"))*(SUMIFS(Acerto_Detalhado!$I$2:$I$433,Acerto_Detalhado!$A$2:$A$433,$D11,Acerto_Detalhado!$B$2:$B$433,"Jan",Acerto_Detalhado!$C$2:$C$433,"Proteina")),2)</f>
        <v>0</v>
      </c>
    </row>
    <row r="12" customFormat="false" ht="15" hidden="false" customHeight="false" outlineLevel="0" collapsed="false">
      <c r="A12" s="27" t="s">
        <v>108</v>
      </c>
      <c r="B12" s="27" t="s">
        <v>109</v>
      </c>
      <c r="C12" s="27" t="s">
        <v>39</v>
      </c>
      <c r="D12" s="27" t="s">
        <v>47</v>
      </c>
      <c r="E12" s="28" t="n">
        <f aca="false">ROUND((SUMIFS(Acerto_Detalhado!$F$2:$F$433,Acerto_Detalhado!$A$2:$A$433,$C12,Acerto_Detalhado!$B$2:$B$433,"Jan",Acerto_Detalhado!$C$2:$C$433,"Proteina"))*(SUMIFS(Acerto_Detalhado!$I$2:$I$433,Acerto_Detalhado!$A$2:$A$433,$D12,Acerto_Detalhado!$B$2:$B$433,"Jan",Acerto_Detalhado!$C$2:$C$433,"Proteina")),2)</f>
        <v>0</v>
      </c>
    </row>
    <row r="13" customFormat="false" ht="15" hidden="false" customHeight="false" outlineLevel="0" collapsed="false">
      <c r="A13" s="27" t="s">
        <v>108</v>
      </c>
      <c r="B13" s="27" t="s">
        <v>109</v>
      </c>
      <c r="C13" s="27" t="s">
        <v>39</v>
      </c>
      <c r="D13" s="27" t="s">
        <v>48</v>
      </c>
      <c r="E13" s="28" t="n">
        <f aca="false">ROUND((SUMIFS(Acerto_Detalhado!$F$2:$F$433,Acerto_Detalhado!$A$2:$A$433,$C13,Acerto_Detalhado!$B$2:$B$433,"Jan",Acerto_Detalhado!$C$2:$C$433,"Proteina"))*(SUMIFS(Acerto_Detalhado!$I$2:$I$433,Acerto_Detalhado!$A$2:$A$433,$D13,Acerto_Detalhado!$B$2:$B$433,"Jan",Acerto_Detalhado!$C$2:$C$433,"Proteina")),2)</f>
        <v>0</v>
      </c>
    </row>
    <row r="14" customFormat="false" ht="15" hidden="false" customHeight="false" outlineLevel="0" collapsed="false">
      <c r="A14" s="27" t="s">
        <v>108</v>
      </c>
      <c r="B14" s="27" t="s">
        <v>109</v>
      </c>
      <c r="C14" s="27" t="s">
        <v>39</v>
      </c>
      <c r="D14" s="27" t="s">
        <v>49</v>
      </c>
      <c r="E14" s="28" t="n">
        <f aca="false">ROUND((SUMIFS(Acerto_Detalhado!$F$2:$F$433,Acerto_Detalhado!$A$2:$A$433,$C14,Acerto_Detalhado!$B$2:$B$433,"Jan",Acerto_Detalhado!$C$2:$C$433,"Proteina"))*(SUMIFS(Acerto_Detalhado!$I$2:$I$433,Acerto_Detalhado!$A$2:$A$433,$D14,Acerto_Detalhado!$B$2:$B$433,"Jan",Acerto_Detalhado!$C$2:$C$433,"Proteina")),2)</f>
        <v>0</v>
      </c>
    </row>
    <row r="15" customFormat="false" ht="15" hidden="false" customHeight="false" outlineLevel="0" collapsed="false">
      <c r="A15" s="27" t="s">
        <v>108</v>
      </c>
      <c r="B15" s="27" t="s">
        <v>109</v>
      </c>
      <c r="C15" s="27" t="s">
        <v>39</v>
      </c>
      <c r="D15" s="27" t="s">
        <v>50</v>
      </c>
      <c r="E15" s="28" t="n">
        <f aca="false">ROUND((SUMIFS(Acerto_Detalhado!$F$2:$F$433,Acerto_Detalhado!$A$2:$A$433,$C15,Acerto_Detalhado!$B$2:$B$433,"Jan",Acerto_Detalhado!$C$2:$C$433,"Proteina"))*(SUMIFS(Acerto_Detalhado!$I$2:$I$433,Acerto_Detalhado!$A$2:$A$433,$D15,Acerto_Detalhado!$B$2:$B$433,"Jan",Acerto_Detalhado!$C$2:$C$433,"Proteina")),2)</f>
        <v>0</v>
      </c>
    </row>
    <row r="16" customFormat="false" ht="15" hidden="false" customHeight="false" outlineLevel="0" collapsed="false">
      <c r="A16" s="27" t="s">
        <v>108</v>
      </c>
      <c r="B16" s="27" t="s">
        <v>109</v>
      </c>
      <c r="C16" s="27" t="s">
        <v>40</v>
      </c>
      <c r="D16" s="27" t="s">
        <v>39</v>
      </c>
      <c r="E16" s="28" t="n">
        <f aca="false">ROUND((SUMIFS(Acerto_Detalhado!$F$2:$F$433,Acerto_Detalhado!$A$2:$A$433,$C16,Acerto_Detalhado!$B$2:$B$433,"Jan",Acerto_Detalhado!$C$2:$C$433,"Proteina"))*(SUMIFS(Acerto_Detalhado!$I$2:$I$433,Acerto_Detalhado!$A$2:$A$433,$D16,Acerto_Detalhado!$B$2:$B$433,"Jan",Acerto_Detalhado!$C$2:$C$433,"Proteina")),2)</f>
        <v>0</v>
      </c>
    </row>
    <row r="17" customFormat="false" ht="15" hidden="false" customHeight="false" outlineLevel="0" collapsed="false">
      <c r="A17" s="27" t="s">
        <v>108</v>
      </c>
      <c r="B17" s="27" t="s">
        <v>109</v>
      </c>
      <c r="C17" s="27" t="s">
        <v>40</v>
      </c>
      <c r="D17" s="27" t="s">
        <v>41</v>
      </c>
      <c r="E17" s="28" t="n">
        <f aca="false">ROUND((SUMIFS(Acerto_Detalhado!$F$2:$F$433,Acerto_Detalhado!$A$2:$A$433,$C17,Acerto_Detalhado!$B$2:$B$433,"Jan",Acerto_Detalhado!$C$2:$C$433,"Proteina"))*(SUMIFS(Acerto_Detalhado!$I$2:$I$433,Acerto_Detalhado!$A$2:$A$433,$D17,Acerto_Detalhado!$B$2:$B$433,"Jan",Acerto_Detalhado!$C$2:$C$433,"Proteina")),2)</f>
        <v>0</v>
      </c>
    </row>
    <row r="18" customFormat="false" ht="15" hidden="false" customHeight="false" outlineLevel="0" collapsed="false">
      <c r="A18" s="27" t="s">
        <v>108</v>
      </c>
      <c r="B18" s="27" t="s">
        <v>109</v>
      </c>
      <c r="C18" s="27" t="s">
        <v>40</v>
      </c>
      <c r="D18" s="27" t="s">
        <v>42</v>
      </c>
      <c r="E18" s="28" t="n">
        <f aca="false">ROUND((SUMIFS(Acerto_Detalhado!$F$2:$F$433,Acerto_Detalhado!$A$2:$A$433,$C18,Acerto_Detalhado!$B$2:$B$433,"Jan",Acerto_Detalhado!$C$2:$C$433,"Proteina"))*(SUMIFS(Acerto_Detalhado!$I$2:$I$433,Acerto_Detalhado!$A$2:$A$433,$D18,Acerto_Detalhado!$B$2:$B$433,"Jan",Acerto_Detalhado!$C$2:$C$433,"Proteina")),2)</f>
        <v>0</v>
      </c>
    </row>
    <row r="19" customFormat="false" ht="15" hidden="false" customHeight="false" outlineLevel="0" collapsed="false">
      <c r="A19" s="27" t="s">
        <v>108</v>
      </c>
      <c r="B19" s="27" t="s">
        <v>109</v>
      </c>
      <c r="C19" s="27" t="s">
        <v>40</v>
      </c>
      <c r="D19" s="27" t="s">
        <v>43</v>
      </c>
      <c r="E19" s="28" t="n">
        <f aca="false">ROUND((SUMIFS(Acerto_Detalhado!$F$2:$F$433,Acerto_Detalhado!$A$2:$A$433,$C19,Acerto_Detalhado!$B$2:$B$433,"Jan",Acerto_Detalhado!$C$2:$C$433,"Proteina"))*(SUMIFS(Acerto_Detalhado!$I$2:$I$433,Acerto_Detalhado!$A$2:$A$433,$D19,Acerto_Detalhado!$B$2:$B$433,"Jan",Acerto_Detalhado!$C$2:$C$433,"Proteina")),2)</f>
        <v>0</v>
      </c>
    </row>
    <row r="20" customFormat="false" ht="15" hidden="false" customHeight="false" outlineLevel="0" collapsed="false">
      <c r="A20" s="27" t="s">
        <v>108</v>
      </c>
      <c r="B20" s="27" t="s">
        <v>109</v>
      </c>
      <c r="C20" s="27" t="s">
        <v>40</v>
      </c>
      <c r="D20" s="27" t="s">
        <v>44</v>
      </c>
      <c r="E20" s="28" t="n">
        <f aca="false">ROUND((SUMIFS(Acerto_Detalhado!$F$2:$F$433,Acerto_Detalhado!$A$2:$A$433,$C20,Acerto_Detalhado!$B$2:$B$433,"Jan",Acerto_Detalhado!$C$2:$C$433,"Proteina"))*(SUMIFS(Acerto_Detalhado!$I$2:$I$433,Acerto_Detalhado!$A$2:$A$433,$D20,Acerto_Detalhado!$B$2:$B$433,"Jan",Acerto_Detalhado!$C$2:$C$433,"Proteina")),2)</f>
        <v>0</v>
      </c>
    </row>
    <row r="21" customFormat="false" ht="15" hidden="false" customHeight="false" outlineLevel="0" collapsed="false">
      <c r="A21" s="27" t="s">
        <v>108</v>
      </c>
      <c r="B21" s="27" t="s">
        <v>109</v>
      </c>
      <c r="C21" s="27" t="s">
        <v>40</v>
      </c>
      <c r="D21" s="27" t="s">
        <v>45</v>
      </c>
      <c r="E21" s="28" t="n">
        <f aca="false">ROUND((SUMIFS(Acerto_Detalhado!$F$2:$F$433,Acerto_Detalhado!$A$2:$A$433,$C21,Acerto_Detalhado!$B$2:$B$433,"Jan",Acerto_Detalhado!$C$2:$C$433,"Proteina"))*(SUMIFS(Acerto_Detalhado!$I$2:$I$433,Acerto_Detalhado!$A$2:$A$433,$D21,Acerto_Detalhado!$B$2:$B$433,"Jan",Acerto_Detalhado!$C$2:$C$433,"Proteina")),2)</f>
        <v>0</v>
      </c>
    </row>
    <row r="22" customFormat="false" ht="15" hidden="false" customHeight="false" outlineLevel="0" collapsed="false">
      <c r="A22" s="27" t="s">
        <v>108</v>
      </c>
      <c r="B22" s="27" t="s">
        <v>109</v>
      </c>
      <c r="C22" s="27" t="s">
        <v>40</v>
      </c>
      <c r="D22" s="27" t="s">
        <v>46</v>
      </c>
      <c r="E22" s="28" t="n">
        <f aca="false">ROUND((SUMIFS(Acerto_Detalhado!$F$2:$F$433,Acerto_Detalhado!$A$2:$A$433,$C22,Acerto_Detalhado!$B$2:$B$433,"Jan",Acerto_Detalhado!$C$2:$C$433,"Proteina"))*(SUMIFS(Acerto_Detalhado!$I$2:$I$433,Acerto_Detalhado!$A$2:$A$433,$D22,Acerto_Detalhado!$B$2:$B$433,"Jan",Acerto_Detalhado!$C$2:$C$433,"Proteina")),2)</f>
        <v>0</v>
      </c>
    </row>
    <row r="23" customFormat="false" ht="15" hidden="false" customHeight="false" outlineLevel="0" collapsed="false">
      <c r="A23" s="27" t="s">
        <v>108</v>
      </c>
      <c r="B23" s="27" t="s">
        <v>109</v>
      </c>
      <c r="C23" s="27" t="s">
        <v>40</v>
      </c>
      <c r="D23" s="27" t="s">
        <v>47</v>
      </c>
      <c r="E23" s="28" t="n">
        <f aca="false">ROUND((SUMIFS(Acerto_Detalhado!$F$2:$F$433,Acerto_Detalhado!$A$2:$A$433,$C23,Acerto_Detalhado!$B$2:$B$433,"Jan",Acerto_Detalhado!$C$2:$C$433,"Proteina"))*(SUMIFS(Acerto_Detalhado!$I$2:$I$433,Acerto_Detalhado!$A$2:$A$433,$D23,Acerto_Detalhado!$B$2:$B$433,"Jan",Acerto_Detalhado!$C$2:$C$433,"Proteina")),2)</f>
        <v>0</v>
      </c>
    </row>
    <row r="24" customFormat="false" ht="15" hidden="false" customHeight="false" outlineLevel="0" collapsed="false">
      <c r="A24" s="27" t="s">
        <v>108</v>
      </c>
      <c r="B24" s="27" t="s">
        <v>109</v>
      </c>
      <c r="C24" s="27" t="s">
        <v>40</v>
      </c>
      <c r="D24" s="27" t="s">
        <v>48</v>
      </c>
      <c r="E24" s="28" t="n">
        <f aca="false">ROUND((SUMIFS(Acerto_Detalhado!$F$2:$F$433,Acerto_Detalhado!$A$2:$A$433,$C24,Acerto_Detalhado!$B$2:$B$433,"Jan",Acerto_Detalhado!$C$2:$C$433,"Proteina"))*(SUMIFS(Acerto_Detalhado!$I$2:$I$433,Acerto_Detalhado!$A$2:$A$433,$D24,Acerto_Detalhado!$B$2:$B$433,"Jan",Acerto_Detalhado!$C$2:$C$433,"Proteina")),2)</f>
        <v>0</v>
      </c>
    </row>
    <row r="25" customFormat="false" ht="15" hidden="false" customHeight="false" outlineLevel="0" collapsed="false">
      <c r="A25" s="27" t="s">
        <v>108</v>
      </c>
      <c r="B25" s="27" t="s">
        <v>109</v>
      </c>
      <c r="C25" s="27" t="s">
        <v>40</v>
      </c>
      <c r="D25" s="27" t="s">
        <v>49</v>
      </c>
      <c r="E25" s="28" t="n">
        <f aca="false">ROUND((SUMIFS(Acerto_Detalhado!$F$2:$F$433,Acerto_Detalhado!$A$2:$A$433,$C25,Acerto_Detalhado!$B$2:$B$433,"Jan",Acerto_Detalhado!$C$2:$C$433,"Proteina"))*(SUMIFS(Acerto_Detalhado!$I$2:$I$433,Acerto_Detalhado!$A$2:$A$433,$D25,Acerto_Detalhado!$B$2:$B$433,"Jan",Acerto_Detalhado!$C$2:$C$433,"Proteina")),2)</f>
        <v>0</v>
      </c>
    </row>
    <row r="26" customFormat="false" ht="15" hidden="false" customHeight="false" outlineLevel="0" collapsed="false">
      <c r="A26" s="27" t="s">
        <v>108</v>
      </c>
      <c r="B26" s="27" t="s">
        <v>109</v>
      </c>
      <c r="C26" s="27" t="s">
        <v>40</v>
      </c>
      <c r="D26" s="27" t="s">
        <v>50</v>
      </c>
      <c r="E26" s="28" t="n">
        <f aca="false">ROUND((SUMIFS(Acerto_Detalhado!$F$2:$F$433,Acerto_Detalhado!$A$2:$A$433,$C26,Acerto_Detalhado!$B$2:$B$433,"Jan",Acerto_Detalhado!$C$2:$C$433,"Proteina"))*(SUMIFS(Acerto_Detalhado!$I$2:$I$433,Acerto_Detalhado!$A$2:$A$433,$D26,Acerto_Detalhado!$B$2:$B$433,"Jan",Acerto_Detalhado!$C$2:$C$433,"Proteina")),2)</f>
        <v>0</v>
      </c>
    </row>
    <row r="27" customFormat="false" ht="15" hidden="false" customHeight="false" outlineLevel="0" collapsed="false">
      <c r="A27" s="27" t="s">
        <v>108</v>
      </c>
      <c r="B27" s="27" t="s">
        <v>109</v>
      </c>
      <c r="C27" s="27" t="s">
        <v>41</v>
      </c>
      <c r="D27" s="27" t="s">
        <v>39</v>
      </c>
      <c r="E27" s="28" t="n">
        <f aca="false">ROUND((SUMIFS(Acerto_Detalhado!$F$2:$F$433,Acerto_Detalhado!$A$2:$A$433,$C27,Acerto_Detalhado!$B$2:$B$433,"Jan",Acerto_Detalhado!$C$2:$C$433,"Proteina"))*(SUMIFS(Acerto_Detalhado!$I$2:$I$433,Acerto_Detalhado!$A$2:$A$433,$D27,Acerto_Detalhado!$B$2:$B$433,"Jan",Acerto_Detalhado!$C$2:$C$433,"Proteina")),2)</f>
        <v>0</v>
      </c>
    </row>
    <row r="28" customFormat="false" ht="15" hidden="false" customHeight="false" outlineLevel="0" collapsed="false">
      <c r="A28" s="27" t="s">
        <v>108</v>
      </c>
      <c r="B28" s="27" t="s">
        <v>109</v>
      </c>
      <c r="C28" s="27" t="s">
        <v>41</v>
      </c>
      <c r="D28" s="27" t="s">
        <v>40</v>
      </c>
      <c r="E28" s="28" t="n">
        <f aca="false">ROUND((SUMIFS(Acerto_Detalhado!$F$2:$F$433,Acerto_Detalhado!$A$2:$A$433,$C28,Acerto_Detalhado!$B$2:$B$433,"Jan",Acerto_Detalhado!$C$2:$C$433,"Proteina"))*(SUMIFS(Acerto_Detalhado!$I$2:$I$433,Acerto_Detalhado!$A$2:$A$433,$D28,Acerto_Detalhado!$B$2:$B$433,"Jan",Acerto_Detalhado!$C$2:$C$433,"Proteina")),2)</f>
        <v>0</v>
      </c>
    </row>
    <row r="29" customFormat="false" ht="15" hidden="false" customHeight="false" outlineLevel="0" collapsed="false">
      <c r="A29" s="27" t="s">
        <v>108</v>
      </c>
      <c r="B29" s="27" t="s">
        <v>109</v>
      </c>
      <c r="C29" s="27" t="s">
        <v>41</v>
      </c>
      <c r="D29" s="27" t="s">
        <v>42</v>
      </c>
      <c r="E29" s="28" t="n">
        <f aca="false">ROUND((SUMIFS(Acerto_Detalhado!$F$2:$F$433,Acerto_Detalhado!$A$2:$A$433,$C29,Acerto_Detalhado!$B$2:$B$433,"Jan",Acerto_Detalhado!$C$2:$C$433,"Proteina"))*(SUMIFS(Acerto_Detalhado!$I$2:$I$433,Acerto_Detalhado!$A$2:$A$433,$D29,Acerto_Detalhado!$B$2:$B$433,"Jan",Acerto_Detalhado!$C$2:$C$433,"Proteina")),2)</f>
        <v>0</v>
      </c>
    </row>
    <row r="30" customFormat="false" ht="15" hidden="false" customHeight="false" outlineLevel="0" collapsed="false">
      <c r="A30" s="27" t="s">
        <v>108</v>
      </c>
      <c r="B30" s="27" t="s">
        <v>109</v>
      </c>
      <c r="C30" s="27" t="s">
        <v>41</v>
      </c>
      <c r="D30" s="27" t="s">
        <v>43</v>
      </c>
      <c r="E30" s="28" t="n">
        <f aca="false">ROUND((SUMIFS(Acerto_Detalhado!$F$2:$F$433,Acerto_Detalhado!$A$2:$A$433,$C30,Acerto_Detalhado!$B$2:$B$433,"Jan",Acerto_Detalhado!$C$2:$C$433,"Proteina"))*(SUMIFS(Acerto_Detalhado!$I$2:$I$433,Acerto_Detalhado!$A$2:$A$433,$D30,Acerto_Detalhado!$B$2:$B$433,"Jan",Acerto_Detalhado!$C$2:$C$433,"Proteina")),2)</f>
        <v>0</v>
      </c>
    </row>
    <row r="31" customFormat="false" ht="15" hidden="false" customHeight="false" outlineLevel="0" collapsed="false">
      <c r="A31" s="27" t="s">
        <v>108</v>
      </c>
      <c r="B31" s="27" t="s">
        <v>109</v>
      </c>
      <c r="C31" s="27" t="s">
        <v>41</v>
      </c>
      <c r="D31" s="27" t="s">
        <v>44</v>
      </c>
      <c r="E31" s="28" t="n">
        <f aca="false">ROUND((SUMIFS(Acerto_Detalhado!$F$2:$F$433,Acerto_Detalhado!$A$2:$A$433,$C31,Acerto_Detalhado!$B$2:$B$433,"Jan",Acerto_Detalhado!$C$2:$C$433,"Proteina"))*(SUMIFS(Acerto_Detalhado!$I$2:$I$433,Acerto_Detalhado!$A$2:$A$433,$D31,Acerto_Detalhado!$B$2:$B$433,"Jan",Acerto_Detalhado!$C$2:$C$433,"Proteina")),2)</f>
        <v>0</v>
      </c>
    </row>
    <row r="32" customFormat="false" ht="15" hidden="false" customHeight="false" outlineLevel="0" collapsed="false">
      <c r="A32" s="27" t="s">
        <v>108</v>
      </c>
      <c r="B32" s="27" t="s">
        <v>109</v>
      </c>
      <c r="C32" s="27" t="s">
        <v>41</v>
      </c>
      <c r="D32" s="27" t="s">
        <v>45</v>
      </c>
      <c r="E32" s="28" t="n">
        <f aca="false">ROUND((SUMIFS(Acerto_Detalhado!$F$2:$F$433,Acerto_Detalhado!$A$2:$A$433,$C32,Acerto_Detalhado!$B$2:$B$433,"Jan",Acerto_Detalhado!$C$2:$C$433,"Proteina"))*(SUMIFS(Acerto_Detalhado!$I$2:$I$433,Acerto_Detalhado!$A$2:$A$433,$D32,Acerto_Detalhado!$B$2:$B$433,"Jan",Acerto_Detalhado!$C$2:$C$433,"Proteina")),2)</f>
        <v>0</v>
      </c>
    </row>
    <row r="33" customFormat="false" ht="15" hidden="false" customHeight="false" outlineLevel="0" collapsed="false">
      <c r="A33" s="27" t="s">
        <v>108</v>
      </c>
      <c r="B33" s="27" t="s">
        <v>109</v>
      </c>
      <c r="C33" s="27" t="s">
        <v>41</v>
      </c>
      <c r="D33" s="27" t="s">
        <v>46</v>
      </c>
      <c r="E33" s="28" t="n">
        <f aca="false">ROUND((SUMIFS(Acerto_Detalhado!$F$2:$F$433,Acerto_Detalhado!$A$2:$A$433,$C33,Acerto_Detalhado!$B$2:$B$433,"Jan",Acerto_Detalhado!$C$2:$C$433,"Proteina"))*(SUMIFS(Acerto_Detalhado!$I$2:$I$433,Acerto_Detalhado!$A$2:$A$433,$D33,Acerto_Detalhado!$B$2:$B$433,"Jan",Acerto_Detalhado!$C$2:$C$433,"Proteina")),2)</f>
        <v>0</v>
      </c>
    </row>
    <row r="34" customFormat="false" ht="15" hidden="false" customHeight="false" outlineLevel="0" collapsed="false">
      <c r="A34" s="27" t="s">
        <v>108</v>
      </c>
      <c r="B34" s="27" t="s">
        <v>109</v>
      </c>
      <c r="C34" s="27" t="s">
        <v>41</v>
      </c>
      <c r="D34" s="27" t="s">
        <v>47</v>
      </c>
      <c r="E34" s="28" t="n">
        <f aca="false">ROUND((SUMIFS(Acerto_Detalhado!$F$2:$F$433,Acerto_Detalhado!$A$2:$A$433,$C34,Acerto_Detalhado!$B$2:$B$433,"Jan",Acerto_Detalhado!$C$2:$C$433,"Proteina"))*(SUMIFS(Acerto_Detalhado!$I$2:$I$433,Acerto_Detalhado!$A$2:$A$433,$D34,Acerto_Detalhado!$B$2:$B$433,"Jan",Acerto_Detalhado!$C$2:$C$433,"Proteina")),2)</f>
        <v>0</v>
      </c>
    </row>
    <row r="35" customFormat="false" ht="15" hidden="false" customHeight="false" outlineLevel="0" collapsed="false">
      <c r="A35" s="27" t="s">
        <v>108</v>
      </c>
      <c r="B35" s="27" t="s">
        <v>109</v>
      </c>
      <c r="C35" s="27" t="s">
        <v>41</v>
      </c>
      <c r="D35" s="27" t="s">
        <v>48</v>
      </c>
      <c r="E35" s="28" t="n">
        <f aca="false">ROUND((SUMIFS(Acerto_Detalhado!$F$2:$F$433,Acerto_Detalhado!$A$2:$A$433,$C35,Acerto_Detalhado!$B$2:$B$433,"Jan",Acerto_Detalhado!$C$2:$C$433,"Proteina"))*(SUMIFS(Acerto_Detalhado!$I$2:$I$433,Acerto_Detalhado!$A$2:$A$433,$D35,Acerto_Detalhado!$B$2:$B$433,"Jan",Acerto_Detalhado!$C$2:$C$433,"Proteina")),2)</f>
        <v>0</v>
      </c>
    </row>
    <row r="36" customFormat="false" ht="15" hidden="false" customHeight="false" outlineLevel="0" collapsed="false">
      <c r="A36" s="27" t="s">
        <v>108</v>
      </c>
      <c r="B36" s="27" t="s">
        <v>109</v>
      </c>
      <c r="C36" s="27" t="s">
        <v>41</v>
      </c>
      <c r="D36" s="27" t="s">
        <v>49</v>
      </c>
      <c r="E36" s="28" t="n">
        <f aca="false">ROUND((SUMIFS(Acerto_Detalhado!$F$2:$F$433,Acerto_Detalhado!$A$2:$A$433,$C36,Acerto_Detalhado!$B$2:$B$433,"Jan",Acerto_Detalhado!$C$2:$C$433,"Proteina"))*(SUMIFS(Acerto_Detalhado!$I$2:$I$433,Acerto_Detalhado!$A$2:$A$433,$D36,Acerto_Detalhado!$B$2:$B$433,"Jan",Acerto_Detalhado!$C$2:$C$433,"Proteina")),2)</f>
        <v>0</v>
      </c>
    </row>
    <row r="37" customFormat="false" ht="15" hidden="false" customHeight="false" outlineLevel="0" collapsed="false">
      <c r="A37" s="27" t="s">
        <v>108</v>
      </c>
      <c r="B37" s="27" t="s">
        <v>109</v>
      </c>
      <c r="C37" s="27" t="s">
        <v>41</v>
      </c>
      <c r="D37" s="27" t="s">
        <v>50</v>
      </c>
      <c r="E37" s="28" t="n">
        <f aca="false">ROUND((SUMIFS(Acerto_Detalhado!$F$2:$F$433,Acerto_Detalhado!$A$2:$A$433,$C37,Acerto_Detalhado!$B$2:$B$433,"Jan",Acerto_Detalhado!$C$2:$C$433,"Proteina"))*(SUMIFS(Acerto_Detalhado!$I$2:$I$433,Acerto_Detalhado!$A$2:$A$433,$D37,Acerto_Detalhado!$B$2:$B$433,"Jan",Acerto_Detalhado!$C$2:$C$433,"Proteina")),2)</f>
        <v>0</v>
      </c>
    </row>
    <row r="38" customFormat="false" ht="15" hidden="false" customHeight="false" outlineLevel="0" collapsed="false">
      <c r="A38" s="27" t="s">
        <v>108</v>
      </c>
      <c r="B38" s="27" t="s">
        <v>109</v>
      </c>
      <c r="C38" s="27" t="s">
        <v>42</v>
      </c>
      <c r="D38" s="27" t="s">
        <v>39</v>
      </c>
      <c r="E38" s="28" t="n">
        <f aca="false">ROUND((SUMIFS(Acerto_Detalhado!$F$2:$F$433,Acerto_Detalhado!$A$2:$A$433,$C38,Acerto_Detalhado!$B$2:$B$433,"Jan",Acerto_Detalhado!$C$2:$C$433,"Proteina"))*(SUMIFS(Acerto_Detalhado!$I$2:$I$433,Acerto_Detalhado!$A$2:$A$433,$D38,Acerto_Detalhado!$B$2:$B$433,"Jan",Acerto_Detalhado!$C$2:$C$433,"Proteina")),2)</f>
        <v>0</v>
      </c>
    </row>
    <row r="39" customFormat="false" ht="15" hidden="false" customHeight="false" outlineLevel="0" collapsed="false">
      <c r="A39" s="27" t="s">
        <v>108</v>
      </c>
      <c r="B39" s="27" t="s">
        <v>109</v>
      </c>
      <c r="C39" s="27" t="s">
        <v>42</v>
      </c>
      <c r="D39" s="27" t="s">
        <v>40</v>
      </c>
      <c r="E39" s="28" t="n">
        <f aca="false">ROUND((SUMIFS(Acerto_Detalhado!$F$2:$F$433,Acerto_Detalhado!$A$2:$A$433,$C39,Acerto_Detalhado!$B$2:$B$433,"Jan",Acerto_Detalhado!$C$2:$C$433,"Proteina"))*(SUMIFS(Acerto_Detalhado!$I$2:$I$433,Acerto_Detalhado!$A$2:$A$433,$D39,Acerto_Detalhado!$B$2:$B$433,"Jan",Acerto_Detalhado!$C$2:$C$433,"Proteina")),2)</f>
        <v>659.57</v>
      </c>
    </row>
    <row r="40" customFormat="false" ht="15" hidden="false" customHeight="false" outlineLevel="0" collapsed="false">
      <c r="A40" s="27" t="s">
        <v>108</v>
      </c>
      <c r="B40" s="27" t="s">
        <v>109</v>
      </c>
      <c r="C40" s="27" t="s">
        <v>42</v>
      </c>
      <c r="D40" s="27" t="s">
        <v>41</v>
      </c>
      <c r="E40" s="28" t="n">
        <f aca="false">ROUND((SUMIFS(Acerto_Detalhado!$F$2:$F$433,Acerto_Detalhado!$A$2:$A$433,$C40,Acerto_Detalhado!$B$2:$B$433,"Jan",Acerto_Detalhado!$C$2:$C$433,"Proteina"))*(SUMIFS(Acerto_Detalhado!$I$2:$I$433,Acerto_Detalhado!$A$2:$A$433,$D40,Acerto_Detalhado!$B$2:$B$433,"Jan",Acerto_Detalhado!$C$2:$C$433,"Proteina")),2)</f>
        <v>312.74</v>
      </c>
    </row>
    <row r="41" customFormat="false" ht="15" hidden="false" customHeight="false" outlineLevel="0" collapsed="false">
      <c r="A41" s="27" t="s">
        <v>108</v>
      </c>
      <c r="B41" s="27" t="s">
        <v>109</v>
      </c>
      <c r="C41" s="27" t="s">
        <v>42</v>
      </c>
      <c r="D41" s="27" t="s">
        <v>43</v>
      </c>
      <c r="E41" s="28" t="n">
        <f aca="false">ROUND((SUMIFS(Acerto_Detalhado!$F$2:$F$433,Acerto_Detalhado!$A$2:$A$433,$C41,Acerto_Detalhado!$B$2:$B$433,"Jan",Acerto_Detalhado!$C$2:$C$433,"Proteina"))*(SUMIFS(Acerto_Detalhado!$I$2:$I$433,Acerto_Detalhado!$A$2:$A$433,$D41,Acerto_Detalhado!$B$2:$B$433,"Jan",Acerto_Detalhado!$C$2:$C$433,"Proteina")),2)</f>
        <v>0</v>
      </c>
    </row>
    <row r="42" customFormat="false" ht="15" hidden="false" customHeight="false" outlineLevel="0" collapsed="false">
      <c r="A42" s="27" t="s">
        <v>108</v>
      </c>
      <c r="B42" s="27" t="s">
        <v>109</v>
      </c>
      <c r="C42" s="27" t="s">
        <v>42</v>
      </c>
      <c r="D42" s="27" t="s">
        <v>44</v>
      </c>
      <c r="E42" s="28" t="n">
        <f aca="false">ROUND((SUMIFS(Acerto_Detalhado!$F$2:$F$433,Acerto_Detalhado!$A$2:$A$433,$C42,Acerto_Detalhado!$B$2:$B$433,"Jan",Acerto_Detalhado!$C$2:$C$433,"Proteina"))*(SUMIFS(Acerto_Detalhado!$I$2:$I$433,Acerto_Detalhado!$A$2:$A$433,$D42,Acerto_Detalhado!$B$2:$B$433,"Jan",Acerto_Detalhado!$C$2:$C$433,"Proteina")),2)</f>
        <v>0</v>
      </c>
    </row>
    <row r="43" customFormat="false" ht="15" hidden="false" customHeight="false" outlineLevel="0" collapsed="false">
      <c r="A43" s="27" t="s">
        <v>108</v>
      </c>
      <c r="B43" s="27" t="s">
        <v>109</v>
      </c>
      <c r="C43" s="27" t="s">
        <v>42</v>
      </c>
      <c r="D43" s="27" t="s">
        <v>45</v>
      </c>
      <c r="E43" s="28" t="n">
        <f aca="false">ROUND((SUMIFS(Acerto_Detalhado!$F$2:$F$433,Acerto_Detalhado!$A$2:$A$433,$C43,Acerto_Detalhado!$B$2:$B$433,"Jan",Acerto_Detalhado!$C$2:$C$433,"Proteina"))*(SUMIFS(Acerto_Detalhado!$I$2:$I$433,Acerto_Detalhado!$A$2:$A$433,$D43,Acerto_Detalhado!$B$2:$B$433,"Jan",Acerto_Detalhado!$C$2:$C$433,"Proteina")),2)</f>
        <v>0</v>
      </c>
    </row>
    <row r="44" customFormat="false" ht="15" hidden="false" customHeight="false" outlineLevel="0" collapsed="false">
      <c r="A44" s="27" t="s">
        <v>108</v>
      </c>
      <c r="B44" s="27" t="s">
        <v>109</v>
      </c>
      <c r="C44" s="27" t="s">
        <v>42</v>
      </c>
      <c r="D44" s="27" t="s">
        <v>46</v>
      </c>
      <c r="E44" s="28" t="n">
        <f aca="false">ROUND((SUMIFS(Acerto_Detalhado!$F$2:$F$433,Acerto_Detalhado!$A$2:$A$433,$C44,Acerto_Detalhado!$B$2:$B$433,"Jan",Acerto_Detalhado!$C$2:$C$433,"Proteina"))*(SUMIFS(Acerto_Detalhado!$I$2:$I$433,Acerto_Detalhado!$A$2:$A$433,$D44,Acerto_Detalhado!$B$2:$B$433,"Jan",Acerto_Detalhado!$C$2:$C$433,"Proteina")),2)</f>
        <v>0</v>
      </c>
    </row>
    <row r="45" customFormat="false" ht="15" hidden="false" customHeight="false" outlineLevel="0" collapsed="false">
      <c r="A45" s="27" t="s">
        <v>108</v>
      </c>
      <c r="B45" s="27" t="s">
        <v>109</v>
      </c>
      <c r="C45" s="27" t="s">
        <v>42</v>
      </c>
      <c r="D45" s="27" t="s">
        <v>47</v>
      </c>
      <c r="E45" s="28" t="n">
        <f aca="false">ROUND((SUMIFS(Acerto_Detalhado!$F$2:$F$433,Acerto_Detalhado!$A$2:$A$433,$C45,Acerto_Detalhado!$B$2:$B$433,"Jan",Acerto_Detalhado!$C$2:$C$433,"Proteina"))*(SUMIFS(Acerto_Detalhado!$I$2:$I$433,Acerto_Detalhado!$A$2:$A$433,$D45,Acerto_Detalhado!$B$2:$B$433,"Jan",Acerto_Detalhado!$C$2:$C$433,"Proteina")),2)</f>
        <v>0</v>
      </c>
    </row>
    <row r="46" customFormat="false" ht="15" hidden="false" customHeight="false" outlineLevel="0" collapsed="false">
      <c r="A46" s="27" t="s">
        <v>108</v>
      </c>
      <c r="B46" s="27" t="s">
        <v>109</v>
      </c>
      <c r="C46" s="27" t="s">
        <v>42</v>
      </c>
      <c r="D46" s="27" t="s">
        <v>48</v>
      </c>
      <c r="E46" s="28" t="n">
        <f aca="false">ROUND((SUMIFS(Acerto_Detalhado!$F$2:$F$433,Acerto_Detalhado!$A$2:$A$433,$C46,Acerto_Detalhado!$B$2:$B$433,"Jan",Acerto_Detalhado!$C$2:$C$433,"Proteina"))*(SUMIFS(Acerto_Detalhado!$I$2:$I$433,Acerto_Detalhado!$A$2:$A$433,$D46,Acerto_Detalhado!$B$2:$B$433,"Jan",Acerto_Detalhado!$C$2:$C$433,"Proteina")),2)</f>
        <v>0</v>
      </c>
    </row>
    <row r="47" customFormat="false" ht="15" hidden="false" customHeight="false" outlineLevel="0" collapsed="false">
      <c r="A47" s="27" t="s">
        <v>108</v>
      </c>
      <c r="B47" s="27" t="s">
        <v>109</v>
      </c>
      <c r="C47" s="27" t="s">
        <v>42</v>
      </c>
      <c r="D47" s="27" t="s">
        <v>49</v>
      </c>
      <c r="E47" s="28" t="n">
        <f aca="false">ROUND((SUMIFS(Acerto_Detalhado!$F$2:$F$433,Acerto_Detalhado!$A$2:$A$433,$C47,Acerto_Detalhado!$B$2:$B$433,"Jan",Acerto_Detalhado!$C$2:$C$433,"Proteina"))*(SUMIFS(Acerto_Detalhado!$I$2:$I$433,Acerto_Detalhado!$A$2:$A$433,$D47,Acerto_Detalhado!$B$2:$B$433,"Jan",Acerto_Detalhado!$C$2:$C$433,"Proteina")),2)</f>
        <v>0</v>
      </c>
    </row>
    <row r="48" customFormat="false" ht="15" hidden="false" customHeight="false" outlineLevel="0" collapsed="false">
      <c r="A48" s="27" t="s">
        <v>108</v>
      </c>
      <c r="B48" s="27" t="s">
        <v>109</v>
      </c>
      <c r="C48" s="27" t="s">
        <v>42</v>
      </c>
      <c r="D48" s="27" t="s">
        <v>50</v>
      </c>
      <c r="E48" s="28" t="n">
        <f aca="false">ROUND((SUMIFS(Acerto_Detalhado!$F$2:$F$433,Acerto_Detalhado!$A$2:$A$433,$C48,Acerto_Detalhado!$B$2:$B$433,"Jan",Acerto_Detalhado!$C$2:$C$433,"Proteina"))*(SUMIFS(Acerto_Detalhado!$I$2:$I$433,Acerto_Detalhado!$A$2:$A$433,$D48,Acerto_Detalhado!$B$2:$B$433,"Jan",Acerto_Detalhado!$C$2:$C$433,"Proteina")),2)</f>
        <v>0</v>
      </c>
    </row>
    <row r="49" customFormat="false" ht="15" hidden="false" customHeight="false" outlineLevel="0" collapsed="false">
      <c r="A49" s="27" t="s">
        <v>108</v>
      </c>
      <c r="B49" s="27" t="s">
        <v>109</v>
      </c>
      <c r="C49" s="27" t="s">
        <v>43</v>
      </c>
      <c r="D49" s="27" t="s">
        <v>39</v>
      </c>
      <c r="E49" s="28" t="n">
        <f aca="false">ROUND((SUMIFS(Acerto_Detalhado!$F$2:$F$433,Acerto_Detalhado!$A$2:$A$433,$C49,Acerto_Detalhado!$B$2:$B$433,"Jan",Acerto_Detalhado!$C$2:$C$433,"Proteina"))*(SUMIFS(Acerto_Detalhado!$I$2:$I$433,Acerto_Detalhado!$A$2:$A$433,$D49,Acerto_Detalhado!$B$2:$B$433,"Jan",Acerto_Detalhado!$C$2:$C$433,"Proteina")),2)</f>
        <v>0</v>
      </c>
    </row>
    <row r="50" customFormat="false" ht="15" hidden="false" customHeight="false" outlineLevel="0" collapsed="false">
      <c r="A50" s="27" t="s">
        <v>108</v>
      </c>
      <c r="B50" s="27" t="s">
        <v>109</v>
      </c>
      <c r="C50" s="27" t="s">
        <v>43</v>
      </c>
      <c r="D50" s="27" t="s">
        <v>40</v>
      </c>
      <c r="E50" s="28" t="n">
        <f aca="false">ROUND((SUMIFS(Acerto_Detalhado!$F$2:$F$433,Acerto_Detalhado!$A$2:$A$433,$C50,Acerto_Detalhado!$B$2:$B$433,"Jan",Acerto_Detalhado!$C$2:$C$433,"Proteina"))*(SUMIFS(Acerto_Detalhado!$I$2:$I$433,Acerto_Detalhado!$A$2:$A$433,$D50,Acerto_Detalhado!$B$2:$B$433,"Jan",Acerto_Detalhado!$C$2:$C$433,"Proteina")),2)</f>
        <v>8316.53</v>
      </c>
    </row>
    <row r="51" customFormat="false" ht="15" hidden="false" customHeight="false" outlineLevel="0" collapsed="false">
      <c r="A51" s="27" t="s">
        <v>108</v>
      </c>
      <c r="B51" s="27" t="s">
        <v>109</v>
      </c>
      <c r="C51" s="27" t="s">
        <v>43</v>
      </c>
      <c r="D51" s="27" t="s">
        <v>41</v>
      </c>
      <c r="E51" s="28" t="n">
        <f aca="false">ROUND((SUMIFS(Acerto_Detalhado!$F$2:$F$433,Acerto_Detalhado!$A$2:$A$433,$C51,Acerto_Detalhado!$B$2:$B$433,"Jan",Acerto_Detalhado!$C$2:$C$433,"Proteina"))*(SUMIFS(Acerto_Detalhado!$I$2:$I$433,Acerto_Detalhado!$A$2:$A$433,$D51,Acerto_Detalhado!$B$2:$B$433,"Jan",Acerto_Detalhado!$C$2:$C$433,"Proteina")),2)</f>
        <v>3943.36</v>
      </c>
    </row>
    <row r="52" customFormat="false" ht="15" hidden="false" customHeight="false" outlineLevel="0" collapsed="false">
      <c r="A52" s="27" t="s">
        <v>108</v>
      </c>
      <c r="B52" s="27" t="s">
        <v>109</v>
      </c>
      <c r="C52" s="27" t="s">
        <v>43</v>
      </c>
      <c r="D52" s="27" t="s">
        <v>42</v>
      </c>
      <c r="E52" s="28" t="n">
        <f aca="false">ROUND((SUMIFS(Acerto_Detalhado!$F$2:$F$433,Acerto_Detalhado!$A$2:$A$433,$C52,Acerto_Detalhado!$B$2:$B$433,"Jan",Acerto_Detalhado!$C$2:$C$433,"Proteina"))*(SUMIFS(Acerto_Detalhado!$I$2:$I$433,Acerto_Detalhado!$A$2:$A$433,$D52,Acerto_Detalhado!$B$2:$B$433,"Jan",Acerto_Detalhado!$C$2:$C$433,"Proteina")),2)</f>
        <v>0</v>
      </c>
    </row>
    <row r="53" customFormat="false" ht="15" hidden="false" customHeight="false" outlineLevel="0" collapsed="false">
      <c r="A53" s="27" t="s">
        <v>108</v>
      </c>
      <c r="B53" s="27" t="s">
        <v>109</v>
      </c>
      <c r="C53" s="27" t="s">
        <v>43</v>
      </c>
      <c r="D53" s="27" t="s">
        <v>44</v>
      </c>
      <c r="E53" s="28" t="n">
        <f aca="false">ROUND((SUMIFS(Acerto_Detalhado!$F$2:$F$433,Acerto_Detalhado!$A$2:$A$433,$C53,Acerto_Detalhado!$B$2:$B$433,"Jan",Acerto_Detalhado!$C$2:$C$433,"Proteina"))*(SUMIFS(Acerto_Detalhado!$I$2:$I$433,Acerto_Detalhado!$A$2:$A$433,$D53,Acerto_Detalhado!$B$2:$B$433,"Jan",Acerto_Detalhado!$C$2:$C$433,"Proteina")),2)</f>
        <v>0</v>
      </c>
    </row>
    <row r="54" customFormat="false" ht="15" hidden="false" customHeight="false" outlineLevel="0" collapsed="false">
      <c r="A54" s="27" t="s">
        <v>108</v>
      </c>
      <c r="B54" s="27" t="s">
        <v>109</v>
      </c>
      <c r="C54" s="27" t="s">
        <v>43</v>
      </c>
      <c r="D54" s="27" t="s">
        <v>45</v>
      </c>
      <c r="E54" s="28" t="n">
        <f aca="false">ROUND((SUMIFS(Acerto_Detalhado!$F$2:$F$433,Acerto_Detalhado!$A$2:$A$433,$C54,Acerto_Detalhado!$B$2:$B$433,"Jan",Acerto_Detalhado!$C$2:$C$433,"Proteina"))*(SUMIFS(Acerto_Detalhado!$I$2:$I$433,Acerto_Detalhado!$A$2:$A$433,$D54,Acerto_Detalhado!$B$2:$B$433,"Jan",Acerto_Detalhado!$C$2:$C$433,"Proteina")),2)</f>
        <v>0</v>
      </c>
    </row>
    <row r="55" customFormat="false" ht="15" hidden="false" customHeight="false" outlineLevel="0" collapsed="false">
      <c r="A55" s="27" t="s">
        <v>108</v>
      </c>
      <c r="B55" s="27" t="s">
        <v>109</v>
      </c>
      <c r="C55" s="27" t="s">
        <v>43</v>
      </c>
      <c r="D55" s="27" t="s">
        <v>46</v>
      </c>
      <c r="E55" s="28" t="n">
        <f aca="false">ROUND((SUMIFS(Acerto_Detalhado!$F$2:$F$433,Acerto_Detalhado!$A$2:$A$433,$C55,Acerto_Detalhado!$B$2:$B$433,"Jan",Acerto_Detalhado!$C$2:$C$433,"Proteina"))*(SUMIFS(Acerto_Detalhado!$I$2:$I$433,Acerto_Detalhado!$A$2:$A$433,$D55,Acerto_Detalhado!$B$2:$B$433,"Jan",Acerto_Detalhado!$C$2:$C$433,"Proteina")),2)</f>
        <v>0</v>
      </c>
    </row>
    <row r="56" customFormat="false" ht="15" hidden="false" customHeight="false" outlineLevel="0" collapsed="false">
      <c r="A56" s="27" t="s">
        <v>108</v>
      </c>
      <c r="B56" s="27" t="s">
        <v>109</v>
      </c>
      <c r="C56" s="27" t="s">
        <v>43</v>
      </c>
      <c r="D56" s="27" t="s">
        <v>47</v>
      </c>
      <c r="E56" s="28" t="n">
        <f aca="false">ROUND((SUMIFS(Acerto_Detalhado!$F$2:$F$433,Acerto_Detalhado!$A$2:$A$433,$C56,Acerto_Detalhado!$B$2:$B$433,"Jan",Acerto_Detalhado!$C$2:$C$433,"Proteina"))*(SUMIFS(Acerto_Detalhado!$I$2:$I$433,Acerto_Detalhado!$A$2:$A$433,$D56,Acerto_Detalhado!$B$2:$B$433,"Jan",Acerto_Detalhado!$C$2:$C$433,"Proteina")),2)</f>
        <v>0</v>
      </c>
    </row>
    <row r="57" customFormat="false" ht="15" hidden="false" customHeight="false" outlineLevel="0" collapsed="false">
      <c r="A57" s="27" t="s">
        <v>108</v>
      </c>
      <c r="B57" s="27" t="s">
        <v>109</v>
      </c>
      <c r="C57" s="27" t="s">
        <v>43</v>
      </c>
      <c r="D57" s="27" t="s">
        <v>48</v>
      </c>
      <c r="E57" s="28" t="n">
        <f aca="false">ROUND((SUMIFS(Acerto_Detalhado!$F$2:$F$433,Acerto_Detalhado!$A$2:$A$433,$C57,Acerto_Detalhado!$B$2:$B$433,"Jan",Acerto_Detalhado!$C$2:$C$433,"Proteina"))*(SUMIFS(Acerto_Detalhado!$I$2:$I$433,Acerto_Detalhado!$A$2:$A$433,$D57,Acerto_Detalhado!$B$2:$B$433,"Jan",Acerto_Detalhado!$C$2:$C$433,"Proteina")),2)</f>
        <v>0</v>
      </c>
    </row>
    <row r="58" customFormat="false" ht="15" hidden="false" customHeight="false" outlineLevel="0" collapsed="false">
      <c r="A58" s="27" t="s">
        <v>108</v>
      </c>
      <c r="B58" s="27" t="s">
        <v>109</v>
      </c>
      <c r="C58" s="27" t="s">
        <v>43</v>
      </c>
      <c r="D58" s="27" t="s">
        <v>49</v>
      </c>
      <c r="E58" s="28" t="n">
        <f aca="false">ROUND((SUMIFS(Acerto_Detalhado!$F$2:$F$433,Acerto_Detalhado!$A$2:$A$433,$C58,Acerto_Detalhado!$B$2:$B$433,"Jan",Acerto_Detalhado!$C$2:$C$433,"Proteina"))*(SUMIFS(Acerto_Detalhado!$I$2:$I$433,Acerto_Detalhado!$A$2:$A$433,$D58,Acerto_Detalhado!$B$2:$B$433,"Jan",Acerto_Detalhado!$C$2:$C$433,"Proteina")),2)</f>
        <v>0</v>
      </c>
    </row>
    <row r="59" customFormat="false" ht="15" hidden="false" customHeight="false" outlineLevel="0" collapsed="false">
      <c r="A59" s="27" t="s">
        <v>108</v>
      </c>
      <c r="B59" s="27" t="s">
        <v>109</v>
      </c>
      <c r="C59" s="27" t="s">
        <v>43</v>
      </c>
      <c r="D59" s="27" t="s">
        <v>50</v>
      </c>
      <c r="E59" s="28" t="n">
        <f aca="false">ROUND((SUMIFS(Acerto_Detalhado!$F$2:$F$433,Acerto_Detalhado!$A$2:$A$433,$C59,Acerto_Detalhado!$B$2:$B$433,"Jan",Acerto_Detalhado!$C$2:$C$433,"Proteina"))*(SUMIFS(Acerto_Detalhado!$I$2:$I$433,Acerto_Detalhado!$A$2:$A$433,$D59,Acerto_Detalhado!$B$2:$B$433,"Jan",Acerto_Detalhado!$C$2:$C$433,"Proteina")),2)</f>
        <v>0</v>
      </c>
    </row>
    <row r="60" customFormat="false" ht="15" hidden="false" customHeight="false" outlineLevel="0" collapsed="false">
      <c r="A60" s="27" t="s">
        <v>108</v>
      </c>
      <c r="B60" s="27" t="s">
        <v>109</v>
      </c>
      <c r="C60" s="27" t="s">
        <v>44</v>
      </c>
      <c r="D60" s="27" t="s">
        <v>39</v>
      </c>
      <c r="E60" s="28" t="n">
        <f aca="false">ROUND((SUMIFS(Acerto_Detalhado!$F$2:$F$433,Acerto_Detalhado!$A$2:$A$433,$C60,Acerto_Detalhado!$B$2:$B$433,"Jan",Acerto_Detalhado!$C$2:$C$433,"Proteina"))*(SUMIFS(Acerto_Detalhado!$I$2:$I$433,Acerto_Detalhado!$A$2:$A$433,$D60,Acerto_Detalhado!$B$2:$B$433,"Jan",Acerto_Detalhado!$C$2:$C$433,"Proteina")),2)</f>
        <v>0</v>
      </c>
    </row>
    <row r="61" customFormat="false" ht="15" hidden="false" customHeight="false" outlineLevel="0" collapsed="false">
      <c r="A61" s="27" t="s">
        <v>108</v>
      </c>
      <c r="B61" s="27" t="s">
        <v>109</v>
      </c>
      <c r="C61" s="27" t="s">
        <v>44</v>
      </c>
      <c r="D61" s="27" t="s">
        <v>40</v>
      </c>
      <c r="E61" s="28" t="n">
        <f aca="false">ROUND((SUMIFS(Acerto_Detalhado!$F$2:$F$433,Acerto_Detalhado!$A$2:$A$433,$C61,Acerto_Detalhado!$B$2:$B$433,"Jan",Acerto_Detalhado!$C$2:$C$433,"Proteina"))*(SUMIFS(Acerto_Detalhado!$I$2:$I$433,Acerto_Detalhado!$A$2:$A$433,$D61,Acerto_Detalhado!$B$2:$B$433,"Jan",Acerto_Detalhado!$C$2:$C$433,"Proteina")),2)</f>
        <v>31419.71</v>
      </c>
    </row>
    <row r="62" customFormat="false" ht="15" hidden="false" customHeight="false" outlineLevel="0" collapsed="false">
      <c r="A62" s="27" t="s">
        <v>108</v>
      </c>
      <c r="B62" s="27" t="s">
        <v>109</v>
      </c>
      <c r="C62" s="27" t="s">
        <v>44</v>
      </c>
      <c r="D62" s="27" t="s">
        <v>41</v>
      </c>
      <c r="E62" s="28" t="n">
        <f aca="false">ROUND((SUMIFS(Acerto_Detalhado!$F$2:$F$433,Acerto_Detalhado!$A$2:$A$433,$C62,Acerto_Detalhado!$B$2:$B$433,"Jan",Acerto_Detalhado!$C$2:$C$433,"Proteina"))*(SUMIFS(Acerto_Detalhado!$I$2:$I$433,Acerto_Detalhado!$A$2:$A$433,$D62,Acerto_Detalhado!$B$2:$B$433,"Jan",Acerto_Detalhado!$C$2:$C$433,"Proteina")),2)</f>
        <v>14897.95</v>
      </c>
    </row>
    <row r="63" customFormat="false" ht="15" hidden="false" customHeight="false" outlineLevel="0" collapsed="false">
      <c r="A63" s="27" t="s">
        <v>108</v>
      </c>
      <c r="B63" s="27" t="s">
        <v>109</v>
      </c>
      <c r="C63" s="27" t="s">
        <v>44</v>
      </c>
      <c r="D63" s="27" t="s">
        <v>42</v>
      </c>
      <c r="E63" s="28" t="n">
        <f aca="false">ROUND((SUMIFS(Acerto_Detalhado!$F$2:$F$433,Acerto_Detalhado!$A$2:$A$433,$C63,Acerto_Detalhado!$B$2:$B$433,"Jan",Acerto_Detalhado!$C$2:$C$433,"Proteina"))*(SUMIFS(Acerto_Detalhado!$I$2:$I$433,Acerto_Detalhado!$A$2:$A$433,$D63,Acerto_Detalhado!$B$2:$B$433,"Jan",Acerto_Detalhado!$C$2:$C$433,"Proteina")),2)</f>
        <v>0</v>
      </c>
    </row>
    <row r="64" customFormat="false" ht="15" hidden="false" customHeight="false" outlineLevel="0" collapsed="false">
      <c r="A64" s="27" t="s">
        <v>108</v>
      </c>
      <c r="B64" s="27" t="s">
        <v>109</v>
      </c>
      <c r="C64" s="27" t="s">
        <v>44</v>
      </c>
      <c r="D64" s="27" t="s">
        <v>43</v>
      </c>
      <c r="E64" s="28" t="n">
        <f aca="false">ROUND((SUMIFS(Acerto_Detalhado!$F$2:$F$433,Acerto_Detalhado!$A$2:$A$433,$C64,Acerto_Detalhado!$B$2:$B$433,"Jan",Acerto_Detalhado!$C$2:$C$433,"Proteina"))*(SUMIFS(Acerto_Detalhado!$I$2:$I$433,Acerto_Detalhado!$A$2:$A$433,$D64,Acerto_Detalhado!$B$2:$B$433,"Jan",Acerto_Detalhado!$C$2:$C$433,"Proteina")),2)</f>
        <v>0</v>
      </c>
    </row>
    <row r="65" customFormat="false" ht="15" hidden="false" customHeight="false" outlineLevel="0" collapsed="false">
      <c r="A65" s="27" t="s">
        <v>108</v>
      </c>
      <c r="B65" s="27" t="s">
        <v>109</v>
      </c>
      <c r="C65" s="27" t="s">
        <v>44</v>
      </c>
      <c r="D65" s="27" t="s">
        <v>45</v>
      </c>
      <c r="E65" s="28" t="n">
        <f aca="false">ROUND((SUMIFS(Acerto_Detalhado!$F$2:$F$433,Acerto_Detalhado!$A$2:$A$433,$C65,Acerto_Detalhado!$B$2:$B$433,"Jan",Acerto_Detalhado!$C$2:$C$433,"Proteina"))*(SUMIFS(Acerto_Detalhado!$I$2:$I$433,Acerto_Detalhado!$A$2:$A$433,$D65,Acerto_Detalhado!$B$2:$B$433,"Jan",Acerto_Detalhado!$C$2:$C$433,"Proteina")),2)</f>
        <v>0</v>
      </c>
    </row>
    <row r="66" customFormat="false" ht="15" hidden="false" customHeight="false" outlineLevel="0" collapsed="false">
      <c r="A66" s="27" t="s">
        <v>108</v>
      </c>
      <c r="B66" s="27" t="s">
        <v>109</v>
      </c>
      <c r="C66" s="27" t="s">
        <v>44</v>
      </c>
      <c r="D66" s="27" t="s">
        <v>46</v>
      </c>
      <c r="E66" s="28" t="n">
        <f aca="false">ROUND((SUMIFS(Acerto_Detalhado!$F$2:$F$433,Acerto_Detalhado!$A$2:$A$433,$C66,Acerto_Detalhado!$B$2:$B$433,"Jan",Acerto_Detalhado!$C$2:$C$433,"Proteina"))*(SUMIFS(Acerto_Detalhado!$I$2:$I$433,Acerto_Detalhado!$A$2:$A$433,$D66,Acerto_Detalhado!$B$2:$B$433,"Jan",Acerto_Detalhado!$C$2:$C$433,"Proteina")),2)</f>
        <v>0</v>
      </c>
    </row>
    <row r="67" customFormat="false" ht="15" hidden="false" customHeight="false" outlineLevel="0" collapsed="false">
      <c r="A67" s="27" t="s">
        <v>108</v>
      </c>
      <c r="B67" s="27" t="s">
        <v>109</v>
      </c>
      <c r="C67" s="27" t="s">
        <v>44</v>
      </c>
      <c r="D67" s="27" t="s">
        <v>47</v>
      </c>
      <c r="E67" s="28" t="n">
        <f aca="false">ROUND((SUMIFS(Acerto_Detalhado!$F$2:$F$433,Acerto_Detalhado!$A$2:$A$433,$C67,Acerto_Detalhado!$B$2:$B$433,"Jan",Acerto_Detalhado!$C$2:$C$433,"Proteina"))*(SUMIFS(Acerto_Detalhado!$I$2:$I$433,Acerto_Detalhado!$A$2:$A$433,$D67,Acerto_Detalhado!$B$2:$B$433,"Jan",Acerto_Detalhado!$C$2:$C$433,"Proteina")),2)</f>
        <v>0</v>
      </c>
    </row>
    <row r="68" customFormat="false" ht="15" hidden="false" customHeight="false" outlineLevel="0" collapsed="false">
      <c r="A68" s="27" t="s">
        <v>108</v>
      </c>
      <c r="B68" s="27" t="s">
        <v>109</v>
      </c>
      <c r="C68" s="27" t="s">
        <v>44</v>
      </c>
      <c r="D68" s="27" t="s">
        <v>48</v>
      </c>
      <c r="E68" s="28" t="n">
        <f aca="false">ROUND((SUMIFS(Acerto_Detalhado!$F$2:$F$433,Acerto_Detalhado!$A$2:$A$433,$C68,Acerto_Detalhado!$B$2:$B$433,"Jan",Acerto_Detalhado!$C$2:$C$433,"Proteina"))*(SUMIFS(Acerto_Detalhado!$I$2:$I$433,Acerto_Detalhado!$A$2:$A$433,$D68,Acerto_Detalhado!$B$2:$B$433,"Jan",Acerto_Detalhado!$C$2:$C$433,"Proteina")),2)</f>
        <v>0</v>
      </c>
    </row>
    <row r="69" customFormat="false" ht="15" hidden="false" customHeight="false" outlineLevel="0" collapsed="false">
      <c r="A69" s="27" t="s">
        <v>108</v>
      </c>
      <c r="B69" s="27" t="s">
        <v>109</v>
      </c>
      <c r="C69" s="27" t="s">
        <v>44</v>
      </c>
      <c r="D69" s="27" t="s">
        <v>49</v>
      </c>
      <c r="E69" s="28" t="n">
        <f aca="false">ROUND((SUMIFS(Acerto_Detalhado!$F$2:$F$433,Acerto_Detalhado!$A$2:$A$433,$C69,Acerto_Detalhado!$B$2:$B$433,"Jan",Acerto_Detalhado!$C$2:$C$433,"Proteina"))*(SUMIFS(Acerto_Detalhado!$I$2:$I$433,Acerto_Detalhado!$A$2:$A$433,$D69,Acerto_Detalhado!$B$2:$B$433,"Jan",Acerto_Detalhado!$C$2:$C$433,"Proteina")),2)</f>
        <v>0</v>
      </c>
    </row>
    <row r="70" customFormat="false" ht="15" hidden="false" customHeight="false" outlineLevel="0" collapsed="false">
      <c r="A70" s="27" t="s">
        <v>108</v>
      </c>
      <c r="B70" s="27" t="s">
        <v>109</v>
      </c>
      <c r="C70" s="27" t="s">
        <v>44</v>
      </c>
      <c r="D70" s="27" t="s">
        <v>50</v>
      </c>
      <c r="E70" s="28" t="n">
        <f aca="false">ROUND((SUMIFS(Acerto_Detalhado!$F$2:$F$433,Acerto_Detalhado!$A$2:$A$433,$C70,Acerto_Detalhado!$B$2:$B$433,"Jan",Acerto_Detalhado!$C$2:$C$433,"Proteina"))*(SUMIFS(Acerto_Detalhado!$I$2:$I$433,Acerto_Detalhado!$A$2:$A$433,$D70,Acerto_Detalhado!$B$2:$B$433,"Jan",Acerto_Detalhado!$C$2:$C$433,"Proteina")),2)</f>
        <v>0</v>
      </c>
    </row>
    <row r="71" customFormat="false" ht="15" hidden="false" customHeight="false" outlineLevel="0" collapsed="false">
      <c r="A71" s="27" t="s">
        <v>108</v>
      </c>
      <c r="B71" s="27" t="s">
        <v>109</v>
      </c>
      <c r="C71" s="27" t="s">
        <v>45</v>
      </c>
      <c r="D71" s="27" t="s">
        <v>39</v>
      </c>
      <c r="E71" s="28" t="n">
        <f aca="false">ROUND((SUMIFS(Acerto_Detalhado!$F$2:$F$433,Acerto_Detalhado!$A$2:$A$433,$C71,Acerto_Detalhado!$B$2:$B$433,"Jan",Acerto_Detalhado!$C$2:$C$433,"Proteina"))*(SUMIFS(Acerto_Detalhado!$I$2:$I$433,Acerto_Detalhado!$A$2:$A$433,$D71,Acerto_Detalhado!$B$2:$B$433,"Jan",Acerto_Detalhado!$C$2:$C$433,"Proteina")),2)</f>
        <v>0</v>
      </c>
    </row>
    <row r="72" customFormat="false" ht="15" hidden="false" customHeight="false" outlineLevel="0" collapsed="false">
      <c r="A72" s="27" t="s">
        <v>108</v>
      </c>
      <c r="B72" s="27" t="s">
        <v>109</v>
      </c>
      <c r="C72" s="27" t="s">
        <v>45</v>
      </c>
      <c r="D72" s="27" t="s">
        <v>40</v>
      </c>
      <c r="E72" s="28" t="n">
        <f aca="false">ROUND((SUMIFS(Acerto_Detalhado!$F$2:$F$433,Acerto_Detalhado!$A$2:$A$433,$C72,Acerto_Detalhado!$B$2:$B$433,"Jan",Acerto_Detalhado!$C$2:$C$433,"Proteina"))*(SUMIFS(Acerto_Detalhado!$I$2:$I$433,Acerto_Detalhado!$A$2:$A$433,$D72,Acerto_Detalhado!$B$2:$B$433,"Jan",Acerto_Detalhado!$C$2:$C$433,"Proteina")),2)</f>
        <v>21590.08</v>
      </c>
    </row>
    <row r="73" customFormat="false" ht="15" hidden="false" customHeight="false" outlineLevel="0" collapsed="false">
      <c r="A73" s="27" t="s">
        <v>108</v>
      </c>
      <c r="B73" s="27" t="s">
        <v>109</v>
      </c>
      <c r="C73" s="27" t="s">
        <v>45</v>
      </c>
      <c r="D73" s="27" t="s">
        <v>41</v>
      </c>
      <c r="E73" s="28" t="n">
        <f aca="false">ROUND((SUMIFS(Acerto_Detalhado!$F$2:$F$433,Acerto_Detalhado!$A$2:$A$433,$C73,Acerto_Detalhado!$B$2:$B$433,"Jan",Acerto_Detalhado!$C$2:$C$433,"Proteina"))*(SUMIFS(Acerto_Detalhado!$I$2:$I$433,Acerto_Detalhado!$A$2:$A$433,$D73,Acerto_Detalhado!$B$2:$B$433,"Jan",Acerto_Detalhado!$C$2:$C$433,"Proteina")),2)</f>
        <v>10237.14</v>
      </c>
    </row>
    <row r="74" customFormat="false" ht="15" hidden="false" customHeight="false" outlineLevel="0" collapsed="false">
      <c r="A74" s="27" t="s">
        <v>108</v>
      </c>
      <c r="B74" s="27" t="s">
        <v>109</v>
      </c>
      <c r="C74" s="27" t="s">
        <v>45</v>
      </c>
      <c r="D74" s="27" t="s">
        <v>42</v>
      </c>
      <c r="E74" s="28" t="n">
        <f aca="false">ROUND((SUMIFS(Acerto_Detalhado!$F$2:$F$433,Acerto_Detalhado!$A$2:$A$433,$C74,Acerto_Detalhado!$B$2:$B$433,"Jan",Acerto_Detalhado!$C$2:$C$433,"Proteina"))*(SUMIFS(Acerto_Detalhado!$I$2:$I$433,Acerto_Detalhado!$A$2:$A$433,$D74,Acerto_Detalhado!$B$2:$B$433,"Jan",Acerto_Detalhado!$C$2:$C$433,"Proteina")),2)</f>
        <v>0</v>
      </c>
    </row>
    <row r="75" customFormat="false" ht="15" hidden="false" customHeight="false" outlineLevel="0" collapsed="false">
      <c r="A75" s="27" t="s">
        <v>108</v>
      </c>
      <c r="B75" s="27" t="s">
        <v>109</v>
      </c>
      <c r="C75" s="27" t="s">
        <v>45</v>
      </c>
      <c r="D75" s="27" t="s">
        <v>43</v>
      </c>
      <c r="E75" s="28" t="n">
        <f aca="false">ROUND((SUMIFS(Acerto_Detalhado!$F$2:$F$433,Acerto_Detalhado!$A$2:$A$433,$C75,Acerto_Detalhado!$B$2:$B$433,"Jan",Acerto_Detalhado!$C$2:$C$433,"Proteina"))*(SUMIFS(Acerto_Detalhado!$I$2:$I$433,Acerto_Detalhado!$A$2:$A$433,$D75,Acerto_Detalhado!$B$2:$B$433,"Jan",Acerto_Detalhado!$C$2:$C$433,"Proteina")),2)</f>
        <v>0</v>
      </c>
    </row>
    <row r="76" customFormat="false" ht="15" hidden="false" customHeight="false" outlineLevel="0" collapsed="false">
      <c r="A76" s="27" t="s">
        <v>108</v>
      </c>
      <c r="B76" s="27" t="s">
        <v>109</v>
      </c>
      <c r="C76" s="27" t="s">
        <v>45</v>
      </c>
      <c r="D76" s="27" t="s">
        <v>44</v>
      </c>
      <c r="E76" s="28" t="n">
        <f aca="false">ROUND((SUMIFS(Acerto_Detalhado!$F$2:$F$433,Acerto_Detalhado!$A$2:$A$433,$C76,Acerto_Detalhado!$B$2:$B$433,"Jan",Acerto_Detalhado!$C$2:$C$433,"Proteina"))*(SUMIFS(Acerto_Detalhado!$I$2:$I$433,Acerto_Detalhado!$A$2:$A$433,$D76,Acerto_Detalhado!$B$2:$B$433,"Jan",Acerto_Detalhado!$C$2:$C$433,"Proteina")),2)</f>
        <v>0</v>
      </c>
    </row>
    <row r="77" customFormat="false" ht="15" hidden="false" customHeight="false" outlineLevel="0" collapsed="false">
      <c r="A77" s="27" t="s">
        <v>108</v>
      </c>
      <c r="B77" s="27" t="s">
        <v>109</v>
      </c>
      <c r="C77" s="27" t="s">
        <v>45</v>
      </c>
      <c r="D77" s="27" t="s">
        <v>46</v>
      </c>
      <c r="E77" s="28" t="n">
        <f aca="false">ROUND((SUMIFS(Acerto_Detalhado!$F$2:$F$433,Acerto_Detalhado!$A$2:$A$433,$C77,Acerto_Detalhado!$B$2:$B$433,"Jan",Acerto_Detalhado!$C$2:$C$433,"Proteina"))*(SUMIFS(Acerto_Detalhado!$I$2:$I$433,Acerto_Detalhado!$A$2:$A$433,$D77,Acerto_Detalhado!$B$2:$B$433,"Jan",Acerto_Detalhado!$C$2:$C$433,"Proteina")),2)</f>
        <v>0</v>
      </c>
    </row>
    <row r="78" customFormat="false" ht="15" hidden="false" customHeight="false" outlineLevel="0" collapsed="false">
      <c r="A78" s="27" t="s">
        <v>108</v>
      </c>
      <c r="B78" s="27" t="s">
        <v>109</v>
      </c>
      <c r="C78" s="27" t="s">
        <v>45</v>
      </c>
      <c r="D78" s="27" t="s">
        <v>47</v>
      </c>
      <c r="E78" s="28" t="n">
        <f aca="false">ROUND((SUMIFS(Acerto_Detalhado!$F$2:$F$433,Acerto_Detalhado!$A$2:$A$433,$C78,Acerto_Detalhado!$B$2:$B$433,"Jan",Acerto_Detalhado!$C$2:$C$433,"Proteina"))*(SUMIFS(Acerto_Detalhado!$I$2:$I$433,Acerto_Detalhado!$A$2:$A$433,$D78,Acerto_Detalhado!$B$2:$B$433,"Jan",Acerto_Detalhado!$C$2:$C$433,"Proteina")),2)</f>
        <v>0</v>
      </c>
    </row>
    <row r="79" customFormat="false" ht="15" hidden="false" customHeight="false" outlineLevel="0" collapsed="false">
      <c r="A79" s="27" t="s">
        <v>108</v>
      </c>
      <c r="B79" s="27" t="s">
        <v>109</v>
      </c>
      <c r="C79" s="27" t="s">
        <v>45</v>
      </c>
      <c r="D79" s="27" t="s">
        <v>48</v>
      </c>
      <c r="E79" s="28" t="n">
        <f aca="false">ROUND((SUMIFS(Acerto_Detalhado!$F$2:$F$433,Acerto_Detalhado!$A$2:$A$433,$C79,Acerto_Detalhado!$B$2:$B$433,"Jan",Acerto_Detalhado!$C$2:$C$433,"Proteina"))*(SUMIFS(Acerto_Detalhado!$I$2:$I$433,Acerto_Detalhado!$A$2:$A$433,$D79,Acerto_Detalhado!$B$2:$B$433,"Jan",Acerto_Detalhado!$C$2:$C$433,"Proteina")),2)</f>
        <v>0</v>
      </c>
    </row>
    <row r="80" customFormat="false" ht="15" hidden="false" customHeight="false" outlineLevel="0" collapsed="false">
      <c r="A80" s="27" t="s">
        <v>108</v>
      </c>
      <c r="B80" s="27" t="s">
        <v>109</v>
      </c>
      <c r="C80" s="27" t="s">
        <v>45</v>
      </c>
      <c r="D80" s="27" t="s">
        <v>49</v>
      </c>
      <c r="E80" s="28" t="n">
        <f aca="false">ROUND((SUMIFS(Acerto_Detalhado!$F$2:$F$433,Acerto_Detalhado!$A$2:$A$433,$C80,Acerto_Detalhado!$B$2:$B$433,"Jan",Acerto_Detalhado!$C$2:$C$433,"Proteina"))*(SUMIFS(Acerto_Detalhado!$I$2:$I$433,Acerto_Detalhado!$A$2:$A$433,$D80,Acerto_Detalhado!$B$2:$B$433,"Jan",Acerto_Detalhado!$C$2:$C$433,"Proteina")),2)</f>
        <v>0</v>
      </c>
    </row>
    <row r="81" customFormat="false" ht="15" hidden="false" customHeight="false" outlineLevel="0" collapsed="false">
      <c r="A81" s="27" t="s">
        <v>108</v>
      </c>
      <c r="B81" s="27" t="s">
        <v>109</v>
      </c>
      <c r="C81" s="27" t="s">
        <v>45</v>
      </c>
      <c r="D81" s="27" t="s">
        <v>50</v>
      </c>
      <c r="E81" s="28" t="n">
        <f aca="false">ROUND((SUMIFS(Acerto_Detalhado!$F$2:$F$433,Acerto_Detalhado!$A$2:$A$433,$C81,Acerto_Detalhado!$B$2:$B$433,"Jan",Acerto_Detalhado!$C$2:$C$433,"Proteina"))*(SUMIFS(Acerto_Detalhado!$I$2:$I$433,Acerto_Detalhado!$A$2:$A$433,$D81,Acerto_Detalhado!$B$2:$B$433,"Jan",Acerto_Detalhado!$C$2:$C$433,"Proteina")),2)</f>
        <v>0</v>
      </c>
    </row>
    <row r="82" customFormat="false" ht="15" hidden="false" customHeight="false" outlineLevel="0" collapsed="false">
      <c r="A82" s="27" t="s">
        <v>108</v>
      </c>
      <c r="B82" s="27" t="s">
        <v>109</v>
      </c>
      <c r="C82" s="27" t="s">
        <v>46</v>
      </c>
      <c r="D82" s="27" t="s">
        <v>39</v>
      </c>
      <c r="E82" s="28" t="n">
        <f aca="false">ROUND((SUMIFS(Acerto_Detalhado!$F$2:$F$433,Acerto_Detalhado!$A$2:$A$433,$C82,Acerto_Detalhado!$B$2:$B$433,"Jan",Acerto_Detalhado!$C$2:$C$433,"Proteina"))*(SUMIFS(Acerto_Detalhado!$I$2:$I$433,Acerto_Detalhado!$A$2:$A$433,$D82,Acerto_Detalhado!$B$2:$B$433,"Jan",Acerto_Detalhado!$C$2:$C$433,"Proteina")),2)</f>
        <v>0</v>
      </c>
    </row>
    <row r="83" customFormat="false" ht="15" hidden="false" customHeight="false" outlineLevel="0" collapsed="false">
      <c r="A83" s="27" t="s">
        <v>108</v>
      </c>
      <c r="B83" s="27" t="s">
        <v>109</v>
      </c>
      <c r="C83" s="27" t="s">
        <v>46</v>
      </c>
      <c r="D83" s="27" t="s">
        <v>40</v>
      </c>
      <c r="E83" s="28" t="n">
        <f aca="false">ROUND((SUMIFS(Acerto_Detalhado!$F$2:$F$433,Acerto_Detalhado!$A$2:$A$433,$C83,Acerto_Detalhado!$B$2:$B$433,"Jan",Acerto_Detalhado!$C$2:$C$433,"Proteina"))*(SUMIFS(Acerto_Detalhado!$I$2:$I$433,Acerto_Detalhado!$A$2:$A$433,$D83,Acerto_Detalhado!$B$2:$B$433,"Jan",Acerto_Detalhado!$C$2:$C$433,"Proteina")),2)</f>
        <v>0</v>
      </c>
    </row>
    <row r="84" customFormat="false" ht="15" hidden="false" customHeight="false" outlineLevel="0" collapsed="false">
      <c r="A84" s="27" t="s">
        <v>108</v>
      </c>
      <c r="B84" s="27" t="s">
        <v>109</v>
      </c>
      <c r="C84" s="27" t="s">
        <v>46</v>
      </c>
      <c r="D84" s="27" t="s">
        <v>41</v>
      </c>
      <c r="E84" s="28" t="n">
        <f aca="false">ROUND((SUMIFS(Acerto_Detalhado!$F$2:$F$433,Acerto_Detalhado!$A$2:$A$433,$C84,Acerto_Detalhado!$B$2:$B$433,"Jan",Acerto_Detalhado!$C$2:$C$433,"Proteina"))*(SUMIFS(Acerto_Detalhado!$I$2:$I$433,Acerto_Detalhado!$A$2:$A$433,$D84,Acerto_Detalhado!$B$2:$B$433,"Jan",Acerto_Detalhado!$C$2:$C$433,"Proteina")),2)</f>
        <v>0</v>
      </c>
    </row>
    <row r="85" customFormat="false" ht="15" hidden="false" customHeight="false" outlineLevel="0" collapsed="false">
      <c r="A85" s="27" t="s">
        <v>108</v>
      </c>
      <c r="B85" s="27" t="s">
        <v>109</v>
      </c>
      <c r="C85" s="27" t="s">
        <v>46</v>
      </c>
      <c r="D85" s="27" t="s">
        <v>42</v>
      </c>
      <c r="E85" s="28" t="n">
        <f aca="false">ROUND((SUMIFS(Acerto_Detalhado!$F$2:$F$433,Acerto_Detalhado!$A$2:$A$433,$C85,Acerto_Detalhado!$B$2:$B$433,"Jan",Acerto_Detalhado!$C$2:$C$433,"Proteina"))*(SUMIFS(Acerto_Detalhado!$I$2:$I$433,Acerto_Detalhado!$A$2:$A$433,$D85,Acerto_Detalhado!$B$2:$B$433,"Jan",Acerto_Detalhado!$C$2:$C$433,"Proteina")),2)</f>
        <v>0</v>
      </c>
    </row>
    <row r="86" customFormat="false" ht="15" hidden="false" customHeight="false" outlineLevel="0" collapsed="false">
      <c r="A86" s="27" t="s">
        <v>108</v>
      </c>
      <c r="B86" s="27" t="s">
        <v>109</v>
      </c>
      <c r="C86" s="27" t="s">
        <v>46</v>
      </c>
      <c r="D86" s="27" t="s">
        <v>43</v>
      </c>
      <c r="E86" s="28" t="n">
        <f aca="false">ROUND((SUMIFS(Acerto_Detalhado!$F$2:$F$433,Acerto_Detalhado!$A$2:$A$433,$C86,Acerto_Detalhado!$B$2:$B$433,"Jan",Acerto_Detalhado!$C$2:$C$433,"Proteina"))*(SUMIFS(Acerto_Detalhado!$I$2:$I$433,Acerto_Detalhado!$A$2:$A$433,$D86,Acerto_Detalhado!$B$2:$B$433,"Jan",Acerto_Detalhado!$C$2:$C$433,"Proteina")),2)</f>
        <v>0</v>
      </c>
    </row>
    <row r="87" customFormat="false" ht="15" hidden="false" customHeight="false" outlineLevel="0" collapsed="false">
      <c r="A87" s="27" t="s">
        <v>108</v>
      </c>
      <c r="B87" s="27" t="s">
        <v>109</v>
      </c>
      <c r="C87" s="27" t="s">
        <v>46</v>
      </c>
      <c r="D87" s="27" t="s">
        <v>44</v>
      </c>
      <c r="E87" s="28" t="n">
        <f aca="false">ROUND((SUMIFS(Acerto_Detalhado!$F$2:$F$433,Acerto_Detalhado!$A$2:$A$433,$C87,Acerto_Detalhado!$B$2:$B$433,"Jan",Acerto_Detalhado!$C$2:$C$433,"Proteina"))*(SUMIFS(Acerto_Detalhado!$I$2:$I$433,Acerto_Detalhado!$A$2:$A$433,$D87,Acerto_Detalhado!$B$2:$B$433,"Jan",Acerto_Detalhado!$C$2:$C$433,"Proteina")),2)</f>
        <v>0</v>
      </c>
    </row>
    <row r="88" customFormat="false" ht="15" hidden="false" customHeight="false" outlineLevel="0" collapsed="false">
      <c r="A88" s="27" t="s">
        <v>108</v>
      </c>
      <c r="B88" s="27" t="s">
        <v>109</v>
      </c>
      <c r="C88" s="27" t="s">
        <v>46</v>
      </c>
      <c r="D88" s="27" t="s">
        <v>45</v>
      </c>
      <c r="E88" s="28" t="n">
        <f aca="false">ROUND((SUMIFS(Acerto_Detalhado!$F$2:$F$433,Acerto_Detalhado!$A$2:$A$433,$C88,Acerto_Detalhado!$B$2:$B$433,"Jan",Acerto_Detalhado!$C$2:$C$433,"Proteina"))*(SUMIFS(Acerto_Detalhado!$I$2:$I$433,Acerto_Detalhado!$A$2:$A$433,$D88,Acerto_Detalhado!$B$2:$B$433,"Jan",Acerto_Detalhado!$C$2:$C$433,"Proteina")),2)</f>
        <v>0</v>
      </c>
    </row>
    <row r="89" customFormat="false" ht="15" hidden="false" customHeight="false" outlineLevel="0" collapsed="false">
      <c r="A89" s="27" t="s">
        <v>108</v>
      </c>
      <c r="B89" s="27" t="s">
        <v>109</v>
      </c>
      <c r="C89" s="27" t="s">
        <v>46</v>
      </c>
      <c r="D89" s="27" t="s">
        <v>47</v>
      </c>
      <c r="E89" s="28" t="n">
        <f aca="false">ROUND((SUMIFS(Acerto_Detalhado!$F$2:$F$433,Acerto_Detalhado!$A$2:$A$433,$C89,Acerto_Detalhado!$B$2:$B$433,"Jan",Acerto_Detalhado!$C$2:$C$433,"Proteina"))*(SUMIFS(Acerto_Detalhado!$I$2:$I$433,Acerto_Detalhado!$A$2:$A$433,$D89,Acerto_Detalhado!$B$2:$B$433,"Jan",Acerto_Detalhado!$C$2:$C$433,"Proteina")),2)</f>
        <v>0</v>
      </c>
    </row>
    <row r="90" customFormat="false" ht="15" hidden="false" customHeight="false" outlineLevel="0" collapsed="false">
      <c r="A90" s="27" t="s">
        <v>108</v>
      </c>
      <c r="B90" s="27" t="s">
        <v>109</v>
      </c>
      <c r="C90" s="27" t="s">
        <v>46</v>
      </c>
      <c r="D90" s="27" t="s">
        <v>48</v>
      </c>
      <c r="E90" s="28" t="n">
        <f aca="false">ROUND((SUMIFS(Acerto_Detalhado!$F$2:$F$433,Acerto_Detalhado!$A$2:$A$433,$C90,Acerto_Detalhado!$B$2:$B$433,"Jan",Acerto_Detalhado!$C$2:$C$433,"Proteina"))*(SUMIFS(Acerto_Detalhado!$I$2:$I$433,Acerto_Detalhado!$A$2:$A$433,$D90,Acerto_Detalhado!$B$2:$B$433,"Jan",Acerto_Detalhado!$C$2:$C$433,"Proteina")),2)</f>
        <v>0</v>
      </c>
    </row>
    <row r="91" customFormat="false" ht="15" hidden="false" customHeight="false" outlineLevel="0" collapsed="false">
      <c r="A91" s="27" t="s">
        <v>108</v>
      </c>
      <c r="B91" s="27" t="s">
        <v>109</v>
      </c>
      <c r="C91" s="27" t="s">
        <v>46</v>
      </c>
      <c r="D91" s="27" t="s">
        <v>49</v>
      </c>
      <c r="E91" s="28" t="n">
        <f aca="false">ROUND((SUMIFS(Acerto_Detalhado!$F$2:$F$433,Acerto_Detalhado!$A$2:$A$433,$C91,Acerto_Detalhado!$B$2:$B$433,"Jan",Acerto_Detalhado!$C$2:$C$433,"Proteina"))*(SUMIFS(Acerto_Detalhado!$I$2:$I$433,Acerto_Detalhado!$A$2:$A$433,$D91,Acerto_Detalhado!$B$2:$B$433,"Jan",Acerto_Detalhado!$C$2:$C$433,"Proteina")),2)</f>
        <v>0</v>
      </c>
    </row>
    <row r="92" customFormat="false" ht="15" hidden="false" customHeight="false" outlineLevel="0" collapsed="false">
      <c r="A92" s="27" t="s">
        <v>108</v>
      </c>
      <c r="B92" s="27" t="s">
        <v>109</v>
      </c>
      <c r="C92" s="27" t="s">
        <v>46</v>
      </c>
      <c r="D92" s="27" t="s">
        <v>50</v>
      </c>
      <c r="E92" s="28" t="n">
        <f aca="false">ROUND((SUMIFS(Acerto_Detalhado!$F$2:$F$433,Acerto_Detalhado!$A$2:$A$433,$C92,Acerto_Detalhado!$B$2:$B$433,"Jan",Acerto_Detalhado!$C$2:$C$433,"Proteina"))*(SUMIFS(Acerto_Detalhado!$I$2:$I$433,Acerto_Detalhado!$A$2:$A$433,$D92,Acerto_Detalhado!$B$2:$B$433,"Jan",Acerto_Detalhado!$C$2:$C$433,"Proteina")),2)</f>
        <v>0</v>
      </c>
    </row>
    <row r="93" customFormat="false" ht="15" hidden="false" customHeight="false" outlineLevel="0" collapsed="false">
      <c r="A93" s="27" t="s">
        <v>108</v>
      </c>
      <c r="B93" s="27" t="s">
        <v>109</v>
      </c>
      <c r="C93" s="27" t="s">
        <v>47</v>
      </c>
      <c r="D93" s="27" t="s">
        <v>39</v>
      </c>
      <c r="E93" s="28" t="n">
        <f aca="false">ROUND((SUMIFS(Acerto_Detalhado!$F$2:$F$433,Acerto_Detalhado!$A$2:$A$433,$C93,Acerto_Detalhado!$B$2:$B$433,"Jan",Acerto_Detalhado!$C$2:$C$433,"Proteina"))*(SUMIFS(Acerto_Detalhado!$I$2:$I$433,Acerto_Detalhado!$A$2:$A$433,$D93,Acerto_Detalhado!$B$2:$B$433,"Jan",Acerto_Detalhado!$C$2:$C$433,"Proteina")),2)</f>
        <v>0</v>
      </c>
    </row>
    <row r="94" customFormat="false" ht="15" hidden="false" customHeight="false" outlineLevel="0" collapsed="false">
      <c r="A94" s="27" t="s">
        <v>108</v>
      </c>
      <c r="B94" s="27" t="s">
        <v>109</v>
      </c>
      <c r="C94" s="27" t="s">
        <v>47</v>
      </c>
      <c r="D94" s="27" t="s">
        <v>40</v>
      </c>
      <c r="E94" s="28" t="n">
        <f aca="false">ROUND((SUMIFS(Acerto_Detalhado!$F$2:$F$433,Acerto_Detalhado!$A$2:$A$433,$C94,Acerto_Detalhado!$B$2:$B$433,"Jan",Acerto_Detalhado!$C$2:$C$433,"Proteina"))*(SUMIFS(Acerto_Detalhado!$I$2:$I$433,Acerto_Detalhado!$A$2:$A$433,$D94,Acerto_Detalhado!$B$2:$B$433,"Jan",Acerto_Detalhado!$C$2:$C$433,"Proteina")),2)</f>
        <v>0</v>
      </c>
    </row>
    <row r="95" customFormat="false" ht="15" hidden="false" customHeight="false" outlineLevel="0" collapsed="false">
      <c r="A95" s="27" t="s">
        <v>108</v>
      </c>
      <c r="B95" s="27" t="s">
        <v>109</v>
      </c>
      <c r="C95" s="27" t="s">
        <v>47</v>
      </c>
      <c r="D95" s="27" t="s">
        <v>41</v>
      </c>
      <c r="E95" s="28" t="n">
        <f aca="false">ROUND((SUMIFS(Acerto_Detalhado!$F$2:$F$433,Acerto_Detalhado!$A$2:$A$433,$C95,Acerto_Detalhado!$B$2:$B$433,"Jan",Acerto_Detalhado!$C$2:$C$433,"Proteina"))*(SUMIFS(Acerto_Detalhado!$I$2:$I$433,Acerto_Detalhado!$A$2:$A$433,$D95,Acerto_Detalhado!$B$2:$B$433,"Jan",Acerto_Detalhado!$C$2:$C$433,"Proteina")),2)</f>
        <v>0</v>
      </c>
    </row>
    <row r="96" customFormat="false" ht="15" hidden="false" customHeight="false" outlineLevel="0" collapsed="false">
      <c r="A96" s="27" t="s">
        <v>108</v>
      </c>
      <c r="B96" s="27" t="s">
        <v>109</v>
      </c>
      <c r="C96" s="27" t="s">
        <v>47</v>
      </c>
      <c r="D96" s="27" t="s">
        <v>42</v>
      </c>
      <c r="E96" s="28" t="n">
        <f aca="false">ROUND((SUMIFS(Acerto_Detalhado!$F$2:$F$433,Acerto_Detalhado!$A$2:$A$433,$C96,Acerto_Detalhado!$B$2:$B$433,"Jan",Acerto_Detalhado!$C$2:$C$433,"Proteina"))*(SUMIFS(Acerto_Detalhado!$I$2:$I$433,Acerto_Detalhado!$A$2:$A$433,$D96,Acerto_Detalhado!$B$2:$B$433,"Jan",Acerto_Detalhado!$C$2:$C$433,"Proteina")),2)</f>
        <v>0</v>
      </c>
    </row>
    <row r="97" customFormat="false" ht="15" hidden="false" customHeight="false" outlineLevel="0" collapsed="false">
      <c r="A97" s="27" t="s">
        <v>108</v>
      </c>
      <c r="B97" s="27" t="s">
        <v>109</v>
      </c>
      <c r="C97" s="27" t="s">
        <v>47</v>
      </c>
      <c r="D97" s="27" t="s">
        <v>43</v>
      </c>
      <c r="E97" s="28" t="n">
        <f aca="false">ROUND((SUMIFS(Acerto_Detalhado!$F$2:$F$433,Acerto_Detalhado!$A$2:$A$433,$C97,Acerto_Detalhado!$B$2:$B$433,"Jan",Acerto_Detalhado!$C$2:$C$433,"Proteina"))*(SUMIFS(Acerto_Detalhado!$I$2:$I$433,Acerto_Detalhado!$A$2:$A$433,$D97,Acerto_Detalhado!$B$2:$B$433,"Jan",Acerto_Detalhado!$C$2:$C$433,"Proteina")),2)</f>
        <v>0</v>
      </c>
    </row>
    <row r="98" customFormat="false" ht="15" hidden="false" customHeight="false" outlineLevel="0" collapsed="false">
      <c r="A98" s="27" t="s">
        <v>108</v>
      </c>
      <c r="B98" s="27" t="s">
        <v>109</v>
      </c>
      <c r="C98" s="27" t="s">
        <v>47</v>
      </c>
      <c r="D98" s="27" t="s">
        <v>44</v>
      </c>
      <c r="E98" s="28" t="n">
        <f aca="false">ROUND((SUMIFS(Acerto_Detalhado!$F$2:$F$433,Acerto_Detalhado!$A$2:$A$433,$C98,Acerto_Detalhado!$B$2:$B$433,"Jan",Acerto_Detalhado!$C$2:$C$433,"Proteina"))*(SUMIFS(Acerto_Detalhado!$I$2:$I$433,Acerto_Detalhado!$A$2:$A$433,$D98,Acerto_Detalhado!$B$2:$B$433,"Jan",Acerto_Detalhado!$C$2:$C$433,"Proteina")),2)</f>
        <v>0</v>
      </c>
    </row>
    <row r="99" customFormat="false" ht="15" hidden="false" customHeight="false" outlineLevel="0" collapsed="false">
      <c r="A99" s="27" t="s">
        <v>108</v>
      </c>
      <c r="B99" s="27" t="s">
        <v>109</v>
      </c>
      <c r="C99" s="27" t="s">
        <v>47</v>
      </c>
      <c r="D99" s="27" t="s">
        <v>45</v>
      </c>
      <c r="E99" s="28" t="n">
        <f aca="false">ROUND((SUMIFS(Acerto_Detalhado!$F$2:$F$433,Acerto_Detalhado!$A$2:$A$433,$C99,Acerto_Detalhado!$B$2:$B$433,"Jan",Acerto_Detalhado!$C$2:$C$433,"Proteina"))*(SUMIFS(Acerto_Detalhado!$I$2:$I$433,Acerto_Detalhado!$A$2:$A$433,$D99,Acerto_Detalhado!$B$2:$B$433,"Jan",Acerto_Detalhado!$C$2:$C$433,"Proteina")),2)</f>
        <v>0</v>
      </c>
    </row>
    <row r="100" customFormat="false" ht="15" hidden="false" customHeight="false" outlineLevel="0" collapsed="false">
      <c r="A100" s="27" t="s">
        <v>108</v>
      </c>
      <c r="B100" s="27" t="s">
        <v>109</v>
      </c>
      <c r="C100" s="27" t="s">
        <v>47</v>
      </c>
      <c r="D100" s="27" t="s">
        <v>46</v>
      </c>
      <c r="E100" s="28" t="n">
        <f aca="false">ROUND((SUMIFS(Acerto_Detalhado!$F$2:$F$433,Acerto_Detalhado!$A$2:$A$433,$C100,Acerto_Detalhado!$B$2:$B$433,"Jan",Acerto_Detalhado!$C$2:$C$433,"Proteina"))*(SUMIFS(Acerto_Detalhado!$I$2:$I$433,Acerto_Detalhado!$A$2:$A$433,$D100,Acerto_Detalhado!$B$2:$B$433,"Jan",Acerto_Detalhado!$C$2:$C$433,"Proteina")),2)</f>
        <v>0</v>
      </c>
    </row>
    <row r="101" customFormat="false" ht="15" hidden="false" customHeight="false" outlineLevel="0" collapsed="false">
      <c r="A101" s="27" t="s">
        <v>108</v>
      </c>
      <c r="B101" s="27" t="s">
        <v>109</v>
      </c>
      <c r="C101" s="27" t="s">
        <v>47</v>
      </c>
      <c r="D101" s="27" t="s">
        <v>48</v>
      </c>
      <c r="E101" s="28" t="n">
        <f aca="false">ROUND((SUMIFS(Acerto_Detalhado!$F$2:$F$433,Acerto_Detalhado!$A$2:$A$433,$C101,Acerto_Detalhado!$B$2:$B$433,"Jan",Acerto_Detalhado!$C$2:$C$433,"Proteina"))*(SUMIFS(Acerto_Detalhado!$I$2:$I$433,Acerto_Detalhado!$A$2:$A$433,$D101,Acerto_Detalhado!$B$2:$B$433,"Jan",Acerto_Detalhado!$C$2:$C$433,"Proteina")),2)</f>
        <v>0</v>
      </c>
    </row>
    <row r="102" customFormat="false" ht="15" hidden="false" customHeight="false" outlineLevel="0" collapsed="false">
      <c r="A102" s="27" t="s">
        <v>108</v>
      </c>
      <c r="B102" s="27" t="s">
        <v>109</v>
      </c>
      <c r="C102" s="27" t="s">
        <v>47</v>
      </c>
      <c r="D102" s="27" t="s">
        <v>49</v>
      </c>
      <c r="E102" s="28" t="n">
        <f aca="false">ROUND((SUMIFS(Acerto_Detalhado!$F$2:$F$433,Acerto_Detalhado!$A$2:$A$433,$C102,Acerto_Detalhado!$B$2:$B$433,"Jan",Acerto_Detalhado!$C$2:$C$433,"Proteina"))*(SUMIFS(Acerto_Detalhado!$I$2:$I$433,Acerto_Detalhado!$A$2:$A$433,$D102,Acerto_Detalhado!$B$2:$B$433,"Jan",Acerto_Detalhado!$C$2:$C$433,"Proteina")),2)</f>
        <v>0</v>
      </c>
    </row>
    <row r="103" customFormat="false" ht="15" hidden="false" customHeight="false" outlineLevel="0" collapsed="false">
      <c r="A103" s="27" t="s">
        <v>108</v>
      </c>
      <c r="B103" s="27" t="s">
        <v>109</v>
      </c>
      <c r="C103" s="27" t="s">
        <v>47</v>
      </c>
      <c r="D103" s="27" t="s">
        <v>50</v>
      </c>
      <c r="E103" s="28" t="n">
        <f aca="false">ROUND((SUMIFS(Acerto_Detalhado!$F$2:$F$433,Acerto_Detalhado!$A$2:$A$433,$C103,Acerto_Detalhado!$B$2:$B$433,"Jan",Acerto_Detalhado!$C$2:$C$433,"Proteina"))*(SUMIFS(Acerto_Detalhado!$I$2:$I$433,Acerto_Detalhado!$A$2:$A$433,$D103,Acerto_Detalhado!$B$2:$B$433,"Jan",Acerto_Detalhado!$C$2:$C$433,"Proteina")),2)</f>
        <v>0</v>
      </c>
    </row>
    <row r="104" customFormat="false" ht="15" hidden="false" customHeight="false" outlineLevel="0" collapsed="false">
      <c r="A104" s="27" t="s">
        <v>108</v>
      </c>
      <c r="B104" s="27" t="s">
        <v>109</v>
      </c>
      <c r="C104" s="27" t="s">
        <v>48</v>
      </c>
      <c r="D104" s="27" t="s">
        <v>39</v>
      </c>
      <c r="E104" s="28" t="n">
        <f aca="false">ROUND((SUMIFS(Acerto_Detalhado!$F$2:$F$433,Acerto_Detalhado!$A$2:$A$433,$C104,Acerto_Detalhado!$B$2:$B$433,"Jan",Acerto_Detalhado!$C$2:$C$433,"Proteina"))*(SUMIFS(Acerto_Detalhado!$I$2:$I$433,Acerto_Detalhado!$A$2:$A$433,$D104,Acerto_Detalhado!$B$2:$B$433,"Jan",Acerto_Detalhado!$C$2:$C$433,"Proteina")),2)</f>
        <v>0</v>
      </c>
    </row>
    <row r="105" customFormat="false" ht="15" hidden="false" customHeight="false" outlineLevel="0" collapsed="false">
      <c r="A105" s="27" t="s">
        <v>108</v>
      </c>
      <c r="B105" s="27" t="s">
        <v>109</v>
      </c>
      <c r="C105" s="27" t="s">
        <v>48</v>
      </c>
      <c r="D105" s="27" t="s">
        <v>40</v>
      </c>
      <c r="E105" s="28" t="n">
        <f aca="false">ROUND((SUMIFS(Acerto_Detalhado!$F$2:$F$433,Acerto_Detalhado!$A$2:$A$433,$C105,Acerto_Detalhado!$B$2:$B$433,"Jan",Acerto_Detalhado!$C$2:$C$433,"Proteina"))*(SUMIFS(Acerto_Detalhado!$I$2:$I$433,Acerto_Detalhado!$A$2:$A$433,$D105,Acerto_Detalhado!$B$2:$B$433,"Jan",Acerto_Detalhado!$C$2:$C$433,"Proteina")),2)</f>
        <v>0</v>
      </c>
    </row>
    <row r="106" customFormat="false" ht="15" hidden="false" customHeight="false" outlineLevel="0" collapsed="false">
      <c r="A106" s="27" t="s">
        <v>108</v>
      </c>
      <c r="B106" s="27" t="s">
        <v>109</v>
      </c>
      <c r="C106" s="27" t="s">
        <v>48</v>
      </c>
      <c r="D106" s="27" t="s">
        <v>41</v>
      </c>
      <c r="E106" s="28" t="n">
        <f aca="false">ROUND((SUMIFS(Acerto_Detalhado!$F$2:$F$433,Acerto_Detalhado!$A$2:$A$433,$C106,Acerto_Detalhado!$B$2:$B$433,"Jan",Acerto_Detalhado!$C$2:$C$433,"Proteina"))*(SUMIFS(Acerto_Detalhado!$I$2:$I$433,Acerto_Detalhado!$A$2:$A$433,$D106,Acerto_Detalhado!$B$2:$B$433,"Jan",Acerto_Detalhado!$C$2:$C$433,"Proteina")),2)</f>
        <v>0</v>
      </c>
    </row>
    <row r="107" customFormat="false" ht="15" hidden="false" customHeight="false" outlineLevel="0" collapsed="false">
      <c r="A107" s="27" t="s">
        <v>108</v>
      </c>
      <c r="B107" s="27" t="s">
        <v>109</v>
      </c>
      <c r="C107" s="27" t="s">
        <v>48</v>
      </c>
      <c r="D107" s="27" t="s">
        <v>42</v>
      </c>
      <c r="E107" s="28" t="n">
        <f aca="false">ROUND((SUMIFS(Acerto_Detalhado!$F$2:$F$433,Acerto_Detalhado!$A$2:$A$433,$C107,Acerto_Detalhado!$B$2:$B$433,"Jan",Acerto_Detalhado!$C$2:$C$433,"Proteina"))*(SUMIFS(Acerto_Detalhado!$I$2:$I$433,Acerto_Detalhado!$A$2:$A$433,$D107,Acerto_Detalhado!$B$2:$B$433,"Jan",Acerto_Detalhado!$C$2:$C$433,"Proteina")),2)</f>
        <v>0</v>
      </c>
    </row>
    <row r="108" customFormat="false" ht="15" hidden="false" customHeight="false" outlineLevel="0" collapsed="false">
      <c r="A108" s="27" t="s">
        <v>108</v>
      </c>
      <c r="B108" s="27" t="s">
        <v>109</v>
      </c>
      <c r="C108" s="27" t="s">
        <v>48</v>
      </c>
      <c r="D108" s="27" t="s">
        <v>43</v>
      </c>
      <c r="E108" s="28" t="n">
        <f aca="false">ROUND((SUMIFS(Acerto_Detalhado!$F$2:$F$433,Acerto_Detalhado!$A$2:$A$433,$C108,Acerto_Detalhado!$B$2:$B$433,"Jan",Acerto_Detalhado!$C$2:$C$433,"Proteina"))*(SUMIFS(Acerto_Detalhado!$I$2:$I$433,Acerto_Detalhado!$A$2:$A$433,$D108,Acerto_Detalhado!$B$2:$B$433,"Jan",Acerto_Detalhado!$C$2:$C$433,"Proteina")),2)</f>
        <v>0</v>
      </c>
    </row>
    <row r="109" customFormat="false" ht="15" hidden="false" customHeight="false" outlineLevel="0" collapsed="false">
      <c r="A109" s="27" t="s">
        <v>108</v>
      </c>
      <c r="B109" s="27" t="s">
        <v>109</v>
      </c>
      <c r="C109" s="27" t="s">
        <v>48</v>
      </c>
      <c r="D109" s="27" t="s">
        <v>44</v>
      </c>
      <c r="E109" s="28" t="n">
        <f aca="false">ROUND((SUMIFS(Acerto_Detalhado!$F$2:$F$433,Acerto_Detalhado!$A$2:$A$433,$C109,Acerto_Detalhado!$B$2:$B$433,"Jan",Acerto_Detalhado!$C$2:$C$433,"Proteina"))*(SUMIFS(Acerto_Detalhado!$I$2:$I$433,Acerto_Detalhado!$A$2:$A$433,$D109,Acerto_Detalhado!$B$2:$B$433,"Jan",Acerto_Detalhado!$C$2:$C$433,"Proteina")),2)</f>
        <v>0</v>
      </c>
    </row>
    <row r="110" customFormat="false" ht="15" hidden="false" customHeight="false" outlineLevel="0" collapsed="false">
      <c r="A110" s="27" t="s">
        <v>108</v>
      </c>
      <c r="B110" s="27" t="s">
        <v>109</v>
      </c>
      <c r="C110" s="27" t="s">
        <v>48</v>
      </c>
      <c r="D110" s="27" t="s">
        <v>45</v>
      </c>
      <c r="E110" s="28" t="n">
        <f aca="false">ROUND((SUMIFS(Acerto_Detalhado!$F$2:$F$433,Acerto_Detalhado!$A$2:$A$433,$C110,Acerto_Detalhado!$B$2:$B$433,"Jan",Acerto_Detalhado!$C$2:$C$433,"Proteina"))*(SUMIFS(Acerto_Detalhado!$I$2:$I$433,Acerto_Detalhado!$A$2:$A$433,$D110,Acerto_Detalhado!$B$2:$B$433,"Jan",Acerto_Detalhado!$C$2:$C$433,"Proteina")),2)</f>
        <v>0</v>
      </c>
    </row>
    <row r="111" customFormat="false" ht="15" hidden="false" customHeight="false" outlineLevel="0" collapsed="false">
      <c r="A111" s="27" t="s">
        <v>108</v>
      </c>
      <c r="B111" s="27" t="s">
        <v>109</v>
      </c>
      <c r="C111" s="27" t="s">
        <v>48</v>
      </c>
      <c r="D111" s="27" t="s">
        <v>46</v>
      </c>
      <c r="E111" s="28" t="n">
        <f aca="false">ROUND((SUMIFS(Acerto_Detalhado!$F$2:$F$433,Acerto_Detalhado!$A$2:$A$433,$C111,Acerto_Detalhado!$B$2:$B$433,"Jan",Acerto_Detalhado!$C$2:$C$433,"Proteina"))*(SUMIFS(Acerto_Detalhado!$I$2:$I$433,Acerto_Detalhado!$A$2:$A$433,$D111,Acerto_Detalhado!$B$2:$B$433,"Jan",Acerto_Detalhado!$C$2:$C$433,"Proteina")),2)</f>
        <v>0</v>
      </c>
    </row>
    <row r="112" customFormat="false" ht="15" hidden="false" customHeight="false" outlineLevel="0" collapsed="false">
      <c r="A112" s="27" t="s">
        <v>108</v>
      </c>
      <c r="B112" s="27" t="s">
        <v>109</v>
      </c>
      <c r="C112" s="27" t="s">
        <v>48</v>
      </c>
      <c r="D112" s="27" t="s">
        <v>47</v>
      </c>
      <c r="E112" s="28" t="n">
        <f aca="false">ROUND((SUMIFS(Acerto_Detalhado!$F$2:$F$433,Acerto_Detalhado!$A$2:$A$433,$C112,Acerto_Detalhado!$B$2:$B$433,"Jan",Acerto_Detalhado!$C$2:$C$433,"Proteina"))*(SUMIFS(Acerto_Detalhado!$I$2:$I$433,Acerto_Detalhado!$A$2:$A$433,$D112,Acerto_Detalhado!$B$2:$B$433,"Jan",Acerto_Detalhado!$C$2:$C$433,"Proteina")),2)</f>
        <v>0</v>
      </c>
    </row>
    <row r="113" customFormat="false" ht="15" hidden="false" customHeight="false" outlineLevel="0" collapsed="false">
      <c r="A113" s="27" t="s">
        <v>108</v>
      </c>
      <c r="B113" s="27" t="s">
        <v>109</v>
      </c>
      <c r="C113" s="27" t="s">
        <v>48</v>
      </c>
      <c r="D113" s="27" t="s">
        <v>49</v>
      </c>
      <c r="E113" s="28" t="n">
        <f aca="false">ROUND((SUMIFS(Acerto_Detalhado!$F$2:$F$433,Acerto_Detalhado!$A$2:$A$433,$C113,Acerto_Detalhado!$B$2:$B$433,"Jan",Acerto_Detalhado!$C$2:$C$433,"Proteina"))*(SUMIFS(Acerto_Detalhado!$I$2:$I$433,Acerto_Detalhado!$A$2:$A$433,$D113,Acerto_Detalhado!$B$2:$B$433,"Jan",Acerto_Detalhado!$C$2:$C$433,"Proteina")),2)</f>
        <v>0</v>
      </c>
    </row>
    <row r="114" customFormat="false" ht="15" hidden="false" customHeight="false" outlineLevel="0" collapsed="false">
      <c r="A114" s="27" t="s">
        <v>108</v>
      </c>
      <c r="B114" s="27" t="s">
        <v>109</v>
      </c>
      <c r="C114" s="27" t="s">
        <v>48</v>
      </c>
      <c r="D114" s="27" t="s">
        <v>50</v>
      </c>
      <c r="E114" s="28" t="n">
        <f aca="false">ROUND((SUMIFS(Acerto_Detalhado!$F$2:$F$433,Acerto_Detalhado!$A$2:$A$433,$C114,Acerto_Detalhado!$B$2:$B$433,"Jan",Acerto_Detalhado!$C$2:$C$433,"Proteina"))*(SUMIFS(Acerto_Detalhado!$I$2:$I$433,Acerto_Detalhado!$A$2:$A$433,$D114,Acerto_Detalhado!$B$2:$B$433,"Jan",Acerto_Detalhado!$C$2:$C$433,"Proteina")),2)</f>
        <v>0</v>
      </c>
    </row>
    <row r="115" customFormat="false" ht="15" hidden="false" customHeight="false" outlineLevel="0" collapsed="false">
      <c r="A115" s="27" t="s">
        <v>108</v>
      </c>
      <c r="B115" s="27" t="s">
        <v>109</v>
      </c>
      <c r="C115" s="27" t="s">
        <v>49</v>
      </c>
      <c r="D115" s="27" t="s">
        <v>39</v>
      </c>
      <c r="E115" s="28" t="n">
        <f aca="false">ROUND((SUMIFS(Acerto_Detalhado!$F$2:$F$433,Acerto_Detalhado!$A$2:$A$433,$C115,Acerto_Detalhado!$B$2:$B$433,"Jan",Acerto_Detalhado!$C$2:$C$433,"Proteina"))*(SUMIFS(Acerto_Detalhado!$I$2:$I$433,Acerto_Detalhado!$A$2:$A$433,$D115,Acerto_Detalhado!$B$2:$B$433,"Jan",Acerto_Detalhado!$C$2:$C$433,"Proteina")),2)</f>
        <v>0</v>
      </c>
    </row>
    <row r="116" customFormat="false" ht="15" hidden="false" customHeight="false" outlineLevel="0" collapsed="false">
      <c r="A116" s="27" t="s">
        <v>108</v>
      </c>
      <c r="B116" s="27" t="s">
        <v>109</v>
      </c>
      <c r="C116" s="27" t="s">
        <v>49</v>
      </c>
      <c r="D116" s="27" t="s">
        <v>40</v>
      </c>
      <c r="E116" s="28" t="n">
        <f aca="false">ROUND((SUMIFS(Acerto_Detalhado!$F$2:$F$433,Acerto_Detalhado!$A$2:$A$433,$C116,Acerto_Detalhado!$B$2:$B$433,"Jan",Acerto_Detalhado!$C$2:$C$433,"Proteina"))*(SUMIFS(Acerto_Detalhado!$I$2:$I$433,Acerto_Detalhado!$A$2:$A$433,$D116,Acerto_Detalhado!$B$2:$B$433,"Jan",Acerto_Detalhado!$C$2:$C$433,"Proteina")),2)</f>
        <v>0</v>
      </c>
    </row>
    <row r="117" customFormat="false" ht="15" hidden="false" customHeight="false" outlineLevel="0" collapsed="false">
      <c r="A117" s="27" t="s">
        <v>108</v>
      </c>
      <c r="B117" s="27" t="s">
        <v>109</v>
      </c>
      <c r="C117" s="27" t="s">
        <v>49</v>
      </c>
      <c r="D117" s="27" t="s">
        <v>41</v>
      </c>
      <c r="E117" s="28" t="n">
        <f aca="false">ROUND((SUMIFS(Acerto_Detalhado!$F$2:$F$433,Acerto_Detalhado!$A$2:$A$433,$C117,Acerto_Detalhado!$B$2:$B$433,"Jan",Acerto_Detalhado!$C$2:$C$433,"Proteina"))*(SUMIFS(Acerto_Detalhado!$I$2:$I$433,Acerto_Detalhado!$A$2:$A$433,$D117,Acerto_Detalhado!$B$2:$B$433,"Jan",Acerto_Detalhado!$C$2:$C$433,"Proteina")),2)</f>
        <v>0</v>
      </c>
    </row>
    <row r="118" customFormat="false" ht="15" hidden="false" customHeight="false" outlineLevel="0" collapsed="false">
      <c r="A118" s="27" t="s">
        <v>108</v>
      </c>
      <c r="B118" s="27" t="s">
        <v>109</v>
      </c>
      <c r="C118" s="27" t="s">
        <v>49</v>
      </c>
      <c r="D118" s="27" t="s">
        <v>42</v>
      </c>
      <c r="E118" s="28" t="n">
        <f aca="false">ROUND((SUMIFS(Acerto_Detalhado!$F$2:$F$433,Acerto_Detalhado!$A$2:$A$433,$C118,Acerto_Detalhado!$B$2:$B$433,"Jan",Acerto_Detalhado!$C$2:$C$433,"Proteina"))*(SUMIFS(Acerto_Detalhado!$I$2:$I$433,Acerto_Detalhado!$A$2:$A$433,$D118,Acerto_Detalhado!$B$2:$B$433,"Jan",Acerto_Detalhado!$C$2:$C$433,"Proteina")),2)</f>
        <v>0</v>
      </c>
    </row>
    <row r="119" customFormat="false" ht="15" hidden="false" customHeight="false" outlineLevel="0" collapsed="false">
      <c r="A119" s="27" t="s">
        <v>108</v>
      </c>
      <c r="B119" s="27" t="s">
        <v>109</v>
      </c>
      <c r="C119" s="27" t="s">
        <v>49</v>
      </c>
      <c r="D119" s="27" t="s">
        <v>43</v>
      </c>
      <c r="E119" s="28" t="n">
        <f aca="false">ROUND((SUMIFS(Acerto_Detalhado!$F$2:$F$433,Acerto_Detalhado!$A$2:$A$433,$C119,Acerto_Detalhado!$B$2:$B$433,"Jan",Acerto_Detalhado!$C$2:$C$433,"Proteina"))*(SUMIFS(Acerto_Detalhado!$I$2:$I$433,Acerto_Detalhado!$A$2:$A$433,$D119,Acerto_Detalhado!$B$2:$B$433,"Jan",Acerto_Detalhado!$C$2:$C$433,"Proteina")),2)</f>
        <v>0</v>
      </c>
    </row>
    <row r="120" customFormat="false" ht="15" hidden="false" customHeight="false" outlineLevel="0" collapsed="false">
      <c r="A120" s="27" t="s">
        <v>108</v>
      </c>
      <c r="B120" s="27" t="s">
        <v>109</v>
      </c>
      <c r="C120" s="27" t="s">
        <v>49</v>
      </c>
      <c r="D120" s="27" t="s">
        <v>44</v>
      </c>
      <c r="E120" s="28" t="n">
        <f aca="false">ROUND((SUMIFS(Acerto_Detalhado!$F$2:$F$433,Acerto_Detalhado!$A$2:$A$433,$C120,Acerto_Detalhado!$B$2:$B$433,"Jan",Acerto_Detalhado!$C$2:$C$433,"Proteina"))*(SUMIFS(Acerto_Detalhado!$I$2:$I$433,Acerto_Detalhado!$A$2:$A$433,$D120,Acerto_Detalhado!$B$2:$B$433,"Jan",Acerto_Detalhado!$C$2:$C$433,"Proteina")),2)</f>
        <v>0</v>
      </c>
    </row>
    <row r="121" customFormat="false" ht="15" hidden="false" customHeight="false" outlineLevel="0" collapsed="false">
      <c r="A121" s="27" t="s">
        <v>108</v>
      </c>
      <c r="B121" s="27" t="s">
        <v>109</v>
      </c>
      <c r="C121" s="27" t="s">
        <v>49</v>
      </c>
      <c r="D121" s="27" t="s">
        <v>45</v>
      </c>
      <c r="E121" s="28" t="n">
        <f aca="false">ROUND((SUMIFS(Acerto_Detalhado!$F$2:$F$433,Acerto_Detalhado!$A$2:$A$433,$C121,Acerto_Detalhado!$B$2:$B$433,"Jan",Acerto_Detalhado!$C$2:$C$433,"Proteina"))*(SUMIFS(Acerto_Detalhado!$I$2:$I$433,Acerto_Detalhado!$A$2:$A$433,$D121,Acerto_Detalhado!$B$2:$B$433,"Jan",Acerto_Detalhado!$C$2:$C$433,"Proteina")),2)</f>
        <v>0</v>
      </c>
    </row>
    <row r="122" customFormat="false" ht="15" hidden="false" customHeight="false" outlineLevel="0" collapsed="false">
      <c r="A122" s="27" t="s">
        <v>108</v>
      </c>
      <c r="B122" s="27" t="s">
        <v>109</v>
      </c>
      <c r="C122" s="27" t="s">
        <v>49</v>
      </c>
      <c r="D122" s="27" t="s">
        <v>46</v>
      </c>
      <c r="E122" s="28" t="n">
        <f aca="false">ROUND((SUMIFS(Acerto_Detalhado!$F$2:$F$433,Acerto_Detalhado!$A$2:$A$433,$C122,Acerto_Detalhado!$B$2:$B$433,"Jan",Acerto_Detalhado!$C$2:$C$433,"Proteina"))*(SUMIFS(Acerto_Detalhado!$I$2:$I$433,Acerto_Detalhado!$A$2:$A$433,$D122,Acerto_Detalhado!$B$2:$B$433,"Jan",Acerto_Detalhado!$C$2:$C$433,"Proteina")),2)</f>
        <v>0</v>
      </c>
    </row>
    <row r="123" customFormat="false" ht="15" hidden="false" customHeight="false" outlineLevel="0" collapsed="false">
      <c r="A123" s="27" t="s">
        <v>108</v>
      </c>
      <c r="B123" s="27" t="s">
        <v>109</v>
      </c>
      <c r="C123" s="27" t="s">
        <v>49</v>
      </c>
      <c r="D123" s="27" t="s">
        <v>47</v>
      </c>
      <c r="E123" s="28" t="n">
        <f aca="false">ROUND((SUMIFS(Acerto_Detalhado!$F$2:$F$433,Acerto_Detalhado!$A$2:$A$433,$C123,Acerto_Detalhado!$B$2:$B$433,"Jan",Acerto_Detalhado!$C$2:$C$433,"Proteina"))*(SUMIFS(Acerto_Detalhado!$I$2:$I$433,Acerto_Detalhado!$A$2:$A$433,$D123,Acerto_Detalhado!$B$2:$B$433,"Jan",Acerto_Detalhado!$C$2:$C$433,"Proteina")),2)</f>
        <v>0</v>
      </c>
    </row>
    <row r="124" customFormat="false" ht="15" hidden="false" customHeight="false" outlineLevel="0" collapsed="false">
      <c r="A124" s="27" t="s">
        <v>108</v>
      </c>
      <c r="B124" s="27" t="s">
        <v>109</v>
      </c>
      <c r="C124" s="27" t="s">
        <v>49</v>
      </c>
      <c r="D124" s="27" t="s">
        <v>48</v>
      </c>
      <c r="E124" s="28" t="n">
        <f aca="false">ROUND((SUMIFS(Acerto_Detalhado!$F$2:$F$433,Acerto_Detalhado!$A$2:$A$433,$C124,Acerto_Detalhado!$B$2:$B$433,"Jan",Acerto_Detalhado!$C$2:$C$433,"Proteina"))*(SUMIFS(Acerto_Detalhado!$I$2:$I$433,Acerto_Detalhado!$A$2:$A$433,$D124,Acerto_Detalhado!$B$2:$B$433,"Jan",Acerto_Detalhado!$C$2:$C$433,"Proteina")),2)</f>
        <v>0</v>
      </c>
    </row>
    <row r="125" customFormat="false" ht="15" hidden="false" customHeight="false" outlineLevel="0" collapsed="false">
      <c r="A125" s="27" t="s">
        <v>108</v>
      </c>
      <c r="B125" s="27" t="s">
        <v>109</v>
      </c>
      <c r="C125" s="27" t="s">
        <v>49</v>
      </c>
      <c r="D125" s="27" t="s">
        <v>50</v>
      </c>
      <c r="E125" s="28" t="n">
        <f aca="false">ROUND((SUMIFS(Acerto_Detalhado!$F$2:$F$433,Acerto_Detalhado!$A$2:$A$433,$C125,Acerto_Detalhado!$B$2:$B$433,"Jan",Acerto_Detalhado!$C$2:$C$433,"Proteina"))*(SUMIFS(Acerto_Detalhado!$I$2:$I$433,Acerto_Detalhado!$A$2:$A$433,$D125,Acerto_Detalhado!$B$2:$B$433,"Jan",Acerto_Detalhado!$C$2:$C$433,"Proteina")),2)</f>
        <v>0</v>
      </c>
    </row>
    <row r="126" customFormat="false" ht="15" hidden="false" customHeight="false" outlineLevel="0" collapsed="false">
      <c r="A126" s="27" t="s">
        <v>108</v>
      </c>
      <c r="B126" s="27" t="s">
        <v>109</v>
      </c>
      <c r="C126" s="27" t="s">
        <v>50</v>
      </c>
      <c r="D126" s="27" t="s">
        <v>39</v>
      </c>
      <c r="E126" s="28" t="n">
        <f aca="false">ROUND((SUMIFS(Acerto_Detalhado!$F$2:$F$433,Acerto_Detalhado!$A$2:$A$433,$C126,Acerto_Detalhado!$B$2:$B$433,"Jan",Acerto_Detalhado!$C$2:$C$433,"Proteina"))*(SUMIFS(Acerto_Detalhado!$I$2:$I$433,Acerto_Detalhado!$A$2:$A$433,$D126,Acerto_Detalhado!$B$2:$B$433,"Jan",Acerto_Detalhado!$C$2:$C$433,"Proteina")),2)</f>
        <v>0</v>
      </c>
    </row>
    <row r="127" customFormat="false" ht="15" hidden="false" customHeight="false" outlineLevel="0" collapsed="false">
      <c r="A127" s="27" t="s">
        <v>108</v>
      </c>
      <c r="B127" s="27" t="s">
        <v>109</v>
      </c>
      <c r="C127" s="27" t="s">
        <v>50</v>
      </c>
      <c r="D127" s="27" t="s">
        <v>40</v>
      </c>
      <c r="E127" s="28" t="n">
        <f aca="false">ROUND((SUMIFS(Acerto_Detalhado!$F$2:$F$433,Acerto_Detalhado!$A$2:$A$433,$C127,Acerto_Detalhado!$B$2:$B$433,"Jan",Acerto_Detalhado!$C$2:$C$433,"Proteina"))*(SUMIFS(Acerto_Detalhado!$I$2:$I$433,Acerto_Detalhado!$A$2:$A$433,$D127,Acerto_Detalhado!$B$2:$B$433,"Jan",Acerto_Detalhado!$C$2:$C$433,"Proteina")),2)</f>
        <v>0</v>
      </c>
    </row>
    <row r="128" customFormat="false" ht="15" hidden="false" customHeight="false" outlineLevel="0" collapsed="false">
      <c r="A128" s="27" t="s">
        <v>108</v>
      </c>
      <c r="B128" s="27" t="s">
        <v>109</v>
      </c>
      <c r="C128" s="27" t="s">
        <v>50</v>
      </c>
      <c r="D128" s="27" t="s">
        <v>41</v>
      </c>
      <c r="E128" s="28" t="n">
        <f aca="false">ROUND((SUMIFS(Acerto_Detalhado!$F$2:$F$433,Acerto_Detalhado!$A$2:$A$433,$C128,Acerto_Detalhado!$B$2:$B$433,"Jan",Acerto_Detalhado!$C$2:$C$433,"Proteina"))*(SUMIFS(Acerto_Detalhado!$I$2:$I$433,Acerto_Detalhado!$A$2:$A$433,$D128,Acerto_Detalhado!$B$2:$B$433,"Jan",Acerto_Detalhado!$C$2:$C$433,"Proteina")),2)</f>
        <v>0</v>
      </c>
    </row>
    <row r="129" customFormat="false" ht="15" hidden="false" customHeight="false" outlineLevel="0" collapsed="false">
      <c r="A129" s="27" t="s">
        <v>108</v>
      </c>
      <c r="B129" s="27" t="s">
        <v>109</v>
      </c>
      <c r="C129" s="27" t="s">
        <v>50</v>
      </c>
      <c r="D129" s="27" t="s">
        <v>42</v>
      </c>
      <c r="E129" s="28" t="n">
        <f aca="false">ROUND((SUMIFS(Acerto_Detalhado!$F$2:$F$433,Acerto_Detalhado!$A$2:$A$433,$C129,Acerto_Detalhado!$B$2:$B$433,"Jan",Acerto_Detalhado!$C$2:$C$433,"Proteina"))*(SUMIFS(Acerto_Detalhado!$I$2:$I$433,Acerto_Detalhado!$A$2:$A$433,$D129,Acerto_Detalhado!$B$2:$B$433,"Jan",Acerto_Detalhado!$C$2:$C$433,"Proteina")),2)</f>
        <v>0</v>
      </c>
    </row>
    <row r="130" customFormat="false" ht="15" hidden="false" customHeight="false" outlineLevel="0" collapsed="false">
      <c r="A130" s="27" t="s">
        <v>108</v>
      </c>
      <c r="B130" s="27" t="s">
        <v>109</v>
      </c>
      <c r="C130" s="27" t="s">
        <v>50</v>
      </c>
      <c r="D130" s="27" t="s">
        <v>43</v>
      </c>
      <c r="E130" s="28" t="n">
        <f aca="false">ROUND((SUMIFS(Acerto_Detalhado!$F$2:$F$433,Acerto_Detalhado!$A$2:$A$433,$C130,Acerto_Detalhado!$B$2:$B$433,"Jan",Acerto_Detalhado!$C$2:$C$433,"Proteina"))*(SUMIFS(Acerto_Detalhado!$I$2:$I$433,Acerto_Detalhado!$A$2:$A$433,$D130,Acerto_Detalhado!$B$2:$B$433,"Jan",Acerto_Detalhado!$C$2:$C$433,"Proteina")),2)</f>
        <v>0</v>
      </c>
    </row>
    <row r="131" customFormat="false" ht="15" hidden="false" customHeight="false" outlineLevel="0" collapsed="false">
      <c r="A131" s="27" t="s">
        <v>108</v>
      </c>
      <c r="B131" s="27" t="s">
        <v>109</v>
      </c>
      <c r="C131" s="27" t="s">
        <v>50</v>
      </c>
      <c r="D131" s="27" t="s">
        <v>44</v>
      </c>
      <c r="E131" s="28" t="n">
        <f aca="false">ROUND((SUMIFS(Acerto_Detalhado!$F$2:$F$433,Acerto_Detalhado!$A$2:$A$433,$C131,Acerto_Detalhado!$B$2:$B$433,"Jan",Acerto_Detalhado!$C$2:$C$433,"Proteina"))*(SUMIFS(Acerto_Detalhado!$I$2:$I$433,Acerto_Detalhado!$A$2:$A$433,$D131,Acerto_Detalhado!$B$2:$B$433,"Jan",Acerto_Detalhado!$C$2:$C$433,"Proteina")),2)</f>
        <v>0</v>
      </c>
    </row>
    <row r="132" customFormat="false" ht="15" hidden="false" customHeight="false" outlineLevel="0" collapsed="false">
      <c r="A132" s="27" t="s">
        <v>108</v>
      </c>
      <c r="B132" s="27" t="s">
        <v>109</v>
      </c>
      <c r="C132" s="27" t="s">
        <v>50</v>
      </c>
      <c r="D132" s="27" t="s">
        <v>45</v>
      </c>
      <c r="E132" s="28" t="n">
        <f aca="false">ROUND((SUMIFS(Acerto_Detalhado!$F$2:$F$433,Acerto_Detalhado!$A$2:$A$433,$C132,Acerto_Detalhado!$B$2:$B$433,"Jan",Acerto_Detalhado!$C$2:$C$433,"Proteina"))*(SUMIFS(Acerto_Detalhado!$I$2:$I$433,Acerto_Detalhado!$A$2:$A$433,$D132,Acerto_Detalhado!$B$2:$B$433,"Jan",Acerto_Detalhado!$C$2:$C$433,"Proteina")),2)</f>
        <v>0</v>
      </c>
    </row>
    <row r="133" customFormat="false" ht="15" hidden="false" customHeight="false" outlineLevel="0" collapsed="false">
      <c r="A133" s="27" t="s">
        <v>108</v>
      </c>
      <c r="B133" s="27" t="s">
        <v>109</v>
      </c>
      <c r="C133" s="27" t="s">
        <v>50</v>
      </c>
      <c r="D133" s="27" t="s">
        <v>46</v>
      </c>
      <c r="E133" s="28" t="n">
        <f aca="false">ROUND((SUMIFS(Acerto_Detalhado!$F$2:$F$433,Acerto_Detalhado!$A$2:$A$433,$C133,Acerto_Detalhado!$B$2:$B$433,"Jan",Acerto_Detalhado!$C$2:$C$433,"Proteina"))*(SUMIFS(Acerto_Detalhado!$I$2:$I$433,Acerto_Detalhado!$A$2:$A$433,$D133,Acerto_Detalhado!$B$2:$B$433,"Jan",Acerto_Detalhado!$C$2:$C$433,"Proteina")),2)</f>
        <v>0</v>
      </c>
    </row>
    <row r="134" customFormat="false" ht="15" hidden="false" customHeight="false" outlineLevel="0" collapsed="false">
      <c r="A134" s="27" t="s">
        <v>108</v>
      </c>
      <c r="B134" s="27" t="s">
        <v>109</v>
      </c>
      <c r="C134" s="27" t="s">
        <v>50</v>
      </c>
      <c r="D134" s="27" t="s">
        <v>47</v>
      </c>
      <c r="E134" s="28" t="n">
        <f aca="false">ROUND((SUMIFS(Acerto_Detalhado!$F$2:$F$433,Acerto_Detalhado!$A$2:$A$433,$C134,Acerto_Detalhado!$B$2:$B$433,"Jan",Acerto_Detalhado!$C$2:$C$433,"Proteina"))*(SUMIFS(Acerto_Detalhado!$I$2:$I$433,Acerto_Detalhado!$A$2:$A$433,$D134,Acerto_Detalhado!$B$2:$B$433,"Jan",Acerto_Detalhado!$C$2:$C$433,"Proteina")),2)</f>
        <v>0</v>
      </c>
    </row>
    <row r="135" customFormat="false" ht="15" hidden="false" customHeight="false" outlineLevel="0" collapsed="false">
      <c r="A135" s="27" t="s">
        <v>108</v>
      </c>
      <c r="B135" s="27" t="s">
        <v>109</v>
      </c>
      <c r="C135" s="27" t="s">
        <v>50</v>
      </c>
      <c r="D135" s="27" t="s">
        <v>48</v>
      </c>
      <c r="E135" s="28" t="n">
        <f aca="false">ROUND((SUMIFS(Acerto_Detalhado!$F$2:$F$433,Acerto_Detalhado!$A$2:$A$433,$C135,Acerto_Detalhado!$B$2:$B$433,"Jan",Acerto_Detalhado!$C$2:$C$433,"Proteina"))*(SUMIFS(Acerto_Detalhado!$I$2:$I$433,Acerto_Detalhado!$A$2:$A$433,$D135,Acerto_Detalhado!$B$2:$B$433,"Jan",Acerto_Detalhado!$C$2:$C$433,"Proteina")),2)</f>
        <v>0</v>
      </c>
    </row>
    <row r="136" customFormat="false" ht="15" hidden="false" customHeight="false" outlineLevel="0" collapsed="false">
      <c r="A136" s="27" t="s">
        <v>108</v>
      </c>
      <c r="B136" s="27" t="s">
        <v>109</v>
      </c>
      <c r="C136" s="27" t="s">
        <v>50</v>
      </c>
      <c r="D136" s="27" t="s">
        <v>49</v>
      </c>
      <c r="E136" s="28" t="n">
        <f aca="false">ROUND((SUMIFS(Acerto_Detalhado!$F$2:$F$433,Acerto_Detalhado!$A$2:$A$433,$C136,Acerto_Detalhado!$B$2:$B$433,"Jan",Acerto_Detalhado!$C$2:$C$433,"Proteina"))*(SUMIFS(Acerto_Detalhado!$I$2:$I$433,Acerto_Detalhado!$A$2:$A$433,$D136,Acerto_Detalhado!$B$2:$B$433,"Jan",Acerto_Detalhado!$C$2:$C$433,"Proteina")),2)</f>
        <v>0</v>
      </c>
    </row>
    <row r="137" customFormat="false" ht="15" hidden="false" customHeight="false" outlineLevel="0" collapsed="false">
      <c r="A137" s="27" t="s">
        <v>108</v>
      </c>
      <c r="B137" s="27" t="s">
        <v>110</v>
      </c>
      <c r="C137" s="27" t="s">
        <v>39</v>
      </c>
      <c r="D137" s="27" t="s">
        <v>40</v>
      </c>
      <c r="E137" s="28" t="n">
        <f aca="false">ROUND((SUMIFS(Acerto_Detalhado!$F$2:$F$433,Acerto_Detalhado!$A$2:$A$433,$C137,Acerto_Detalhado!$B$2:$B$433,"Jan",Acerto_Detalhado!$C$2:$C$433,"Umidade"))*(SUMIFS(Acerto_Detalhado!$I$2:$I$433,Acerto_Detalhado!$A$2:$A$433,$D137,Acerto_Detalhado!$B$2:$B$433,"Jan",Acerto_Detalhado!$C$2:$C$433,"Umidade")),2)</f>
        <v>0</v>
      </c>
    </row>
    <row r="138" customFormat="false" ht="15" hidden="false" customHeight="false" outlineLevel="0" collapsed="false">
      <c r="A138" s="27" t="s">
        <v>108</v>
      </c>
      <c r="B138" s="27" t="s">
        <v>110</v>
      </c>
      <c r="C138" s="27" t="s">
        <v>39</v>
      </c>
      <c r="D138" s="27" t="s">
        <v>41</v>
      </c>
      <c r="E138" s="28" t="n">
        <f aca="false">ROUND((SUMIFS(Acerto_Detalhado!$F$2:$F$433,Acerto_Detalhado!$A$2:$A$433,$C138,Acerto_Detalhado!$B$2:$B$433,"Jan",Acerto_Detalhado!$C$2:$C$433,"Umidade"))*(SUMIFS(Acerto_Detalhado!$I$2:$I$433,Acerto_Detalhado!$A$2:$A$433,$D138,Acerto_Detalhado!$B$2:$B$433,"Jan",Acerto_Detalhado!$C$2:$C$433,"Umidade")),2)</f>
        <v>0</v>
      </c>
    </row>
    <row r="139" customFormat="false" ht="15" hidden="false" customHeight="false" outlineLevel="0" collapsed="false">
      <c r="A139" s="27" t="s">
        <v>108</v>
      </c>
      <c r="B139" s="27" t="s">
        <v>110</v>
      </c>
      <c r="C139" s="27" t="s">
        <v>39</v>
      </c>
      <c r="D139" s="27" t="s">
        <v>42</v>
      </c>
      <c r="E139" s="28" t="n">
        <f aca="false">ROUND((SUMIFS(Acerto_Detalhado!$F$2:$F$433,Acerto_Detalhado!$A$2:$A$433,$C139,Acerto_Detalhado!$B$2:$B$433,"Jan",Acerto_Detalhado!$C$2:$C$433,"Umidade"))*(SUMIFS(Acerto_Detalhado!$I$2:$I$433,Acerto_Detalhado!$A$2:$A$433,$D139,Acerto_Detalhado!$B$2:$B$433,"Jan",Acerto_Detalhado!$C$2:$C$433,"Umidade")),2)</f>
        <v>0</v>
      </c>
    </row>
    <row r="140" customFormat="false" ht="15" hidden="false" customHeight="false" outlineLevel="0" collapsed="false">
      <c r="A140" s="27" t="s">
        <v>108</v>
      </c>
      <c r="B140" s="27" t="s">
        <v>110</v>
      </c>
      <c r="C140" s="27" t="s">
        <v>39</v>
      </c>
      <c r="D140" s="27" t="s">
        <v>43</v>
      </c>
      <c r="E140" s="28" t="n">
        <f aca="false">ROUND((SUMIFS(Acerto_Detalhado!$F$2:$F$433,Acerto_Detalhado!$A$2:$A$433,$C140,Acerto_Detalhado!$B$2:$B$433,"Jan",Acerto_Detalhado!$C$2:$C$433,"Umidade"))*(SUMIFS(Acerto_Detalhado!$I$2:$I$433,Acerto_Detalhado!$A$2:$A$433,$D140,Acerto_Detalhado!$B$2:$B$433,"Jan",Acerto_Detalhado!$C$2:$C$433,"Umidade")),2)</f>
        <v>0</v>
      </c>
    </row>
    <row r="141" customFormat="false" ht="15" hidden="false" customHeight="false" outlineLevel="0" collapsed="false">
      <c r="A141" s="27" t="s">
        <v>108</v>
      </c>
      <c r="B141" s="27" t="s">
        <v>110</v>
      </c>
      <c r="C141" s="27" t="s">
        <v>39</v>
      </c>
      <c r="D141" s="27" t="s">
        <v>44</v>
      </c>
      <c r="E141" s="28" t="n">
        <f aca="false">ROUND((SUMIFS(Acerto_Detalhado!$F$2:$F$433,Acerto_Detalhado!$A$2:$A$433,$C141,Acerto_Detalhado!$B$2:$B$433,"Jan",Acerto_Detalhado!$C$2:$C$433,"Umidade"))*(SUMIFS(Acerto_Detalhado!$I$2:$I$433,Acerto_Detalhado!$A$2:$A$433,$D141,Acerto_Detalhado!$B$2:$B$433,"Jan",Acerto_Detalhado!$C$2:$C$433,"Umidade")),2)</f>
        <v>0</v>
      </c>
    </row>
    <row r="142" customFormat="false" ht="15" hidden="false" customHeight="false" outlineLevel="0" collapsed="false">
      <c r="A142" s="27" t="s">
        <v>108</v>
      </c>
      <c r="B142" s="27" t="s">
        <v>110</v>
      </c>
      <c r="C142" s="27" t="s">
        <v>39</v>
      </c>
      <c r="D142" s="27" t="s">
        <v>45</v>
      </c>
      <c r="E142" s="28" t="n">
        <f aca="false">ROUND((SUMIFS(Acerto_Detalhado!$F$2:$F$433,Acerto_Detalhado!$A$2:$A$433,$C142,Acerto_Detalhado!$B$2:$B$433,"Jan",Acerto_Detalhado!$C$2:$C$433,"Umidade"))*(SUMIFS(Acerto_Detalhado!$I$2:$I$433,Acerto_Detalhado!$A$2:$A$433,$D142,Acerto_Detalhado!$B$2:$B$433,"Jan",Acerto_Detalhado!$C$2:$C$433,"Umidade")),2)</f>
        <v>0</v>
      </c>
    </row>
    <row r="143" customFormat="false" ht="15" hidden="false" customHeight="false" outlineLevel="0" collapsed="false">
      <c r="A143" s="27" t="s">
        <v>108</v>
      </c>
      <c r="B143" s="27" t="s">
        <v>110</v>
      </c>
      <c r="C143" s="27" t="s">
        <v>39</v>
      </c>
      <c r="D143" s="27" t="s">
        <v>46</v>
      </c>
      <c r="E143" s="28" t="n">
        <f aca="false">ROUND((SUMIFS(Acerto_Detalhado!$F$2:$F$433,Acerto_Detalhado!$A$2:$A$433,$C143,Acerto_Detalhado!$B$2:$B$433,"Jan",Acerto_Detalhado!$C$2:$C$433,"Umidade"))*(SUMIFS(Acerto_Detalhado!$I$2:$I$433,Acerto_Detalhado!$A$2:$A$433,$D143,Acerto_Detalhado!$B$2:$B$433,"Jan",Acerto_Detalhado!$C$2:$C$433,"Umidade")),2)</f>
        <v>0</v>
      </c>
    </row>
    <row r="144" customFormat="false" ht="15" hidden="false" customHeight="false" outlineLevel="0" collapsed="false">
      <c r="A144" s="27" t="s">
        <v>108</v>
      </c>
      <c r="B144" s="27" t="s">
        <v>110</v>
      </c>
      <c r="C144" s="27" t="s">
        <v>39</v>
      </c>
      <c r="D144" s="27" t="s">
        <v>47</v>
      </c>
      <c r="E144" s="28" t="n">
        <f aca="false">ROUND((SUMIFS(Acerto_Detalhado!$F$2:$F$433,Acerto_Detalhado!$A$2:$A$433,$C144,Acerto_Detalhado!$B$2:$B$433,"Jan",Acerto_Detalhado!$C$2:$C$433,"Umidade"))*(SUMIFS(Acerto_Detalhado!$I$2:$I$433,Acerto_Detalhado!$A$2:$A$433,$D144,Acerto_Detalhado!$B$2:$B$433,"Jan",Acerto_Detalhado!$C$2:$C$433,"Umidade")),2)</f>
        <v>0</v>
      </c>
    </row>
    <row r="145" customFormat="false" ht="15" hidden="false" customHeight="false" outlineLevel="0" collapsed="false">
      <c r="A145" s="27" t="s">
        <v>108</v>
      </c>
      <c r="B145" s="27" t="s">
        <v>110</v>
      </c>
      <c r="C145" s="27" t="s">
        <v>39</v>
      </c>
      <c r="D145" s="27" t="s">
        <v>48</v>
      </c>
      <c r="E145" s="28" t="n">
        <f aca="false">ROUND((SUMIFS(Acerto_Detalhado!$F$2:$F$433,Acerto_Detalhado!$A$2:$A$433,$C145,Acerto_Detalhado!$B$2:$B$433,"Jan",Acerto_Detalhado!$C$2:$C$433,"Umidade"))*(SUMIFS(Acerto_Detalhado!$I$2:$I$433,Acerto_Detalhado!$A$2:$A$433,$D145,Acerto_Detalhado!$B$2:$B$433,"Jan",Acerto_Detalhado!$C$2:$C$433,"Umidade")),2)</f>
        <v>0</v>
      </c>
    </row>
    <row r="146" customFormat="false" ht="15" hidden="false" customHeight="false" outlineLevel="0" collapsed="false">
      <c r="A146" s="27" t="s">
        <v>108</v>
      </c>
      <c r="B146" s="27" t="s">
        <v>110</v>
      </c>
      <c r="C146" s="27" t="s">
        <v>39</v>
      </c>
      <c r="D146" s="27" t="s">
        <v>49</v>
      </c>
      <c r="E146" s="28" t="n">
        <f aca="false">ROUND((SUMIFS(Acerto_Detalhado!$F$2:$F$433,Acerto_Detalhado!$A$2:$A$433,$C146,Acerto_Detalhado!$B$2:$B$433,"Jan",Acerto_Detalhado!$C$2:$C$433,"Umidade"))*(SUMIFS(Acerto_Detalhado!$I$2:$I$433,Acerto_Detalhado!$A$2:$A$433,$D146,Acerto_Detalhado!$B$2:$B$433,"Jan",Acerto_Detalhado!$C$2:$C$433,"Umidade")),2)</f>
        <v>0</v>
      </c>
    </row>
    <row r="147" customFormat="false" ht="15" hidden="false" customHeight="false" outlineLevel="0" collapsed="false">
      <c r="A147" s="27" t="s">
        <v>108</v>
      </c>
      <c r="B147" s="27" t="s">
        <v>110</v>
      </c>
      <c r="C147" s="27" t="s">
        <v>39</v>
      </c>
      <c r="D147" s="27" t="s">
        <v>50</v>
      </c>
      <c r="E147" s="28" t="n">
        <f aca="false">ROUND((SUMIFS(Acerto_Detalhado!$F$2:$F$433,Acerto_Detalhado!$A$2:$A$433,$C147,Acerto_Detalhado!$B$2:$B$433,"Jan",Acerto_Detalhado!$C$2:$C$433,"Umidade"))*(SUMIFS(Acerto_Detalhado!$I$2:$I$433,Acerto_Detalhado!$A$2:$A$433,$D147,Acerto_Detalhado!$B$2:$B$433,"Jan",Acerto_Detalhado!$C$2:$C$433,"Umidade")),2)</f>
        <v>0</v>
      </c>
    </row>
    <row r="148" customFormat="false" ht="15" hidden="false" customHeight="false" outlineLevel="0" collapsed="false">
      <c r="A148" s="27" t="s">
        <v>108</v>
      </c>
      <c r="B148" s="27" t="s">
        <v>110</v>
      </c>
      <c r="C148" s="27" t="s">
        <v>40</v>
      </c>
      <c r="D148" s="27" t="s">
        <v>39</v>
      </c>
      <c r="E148" s="28" t="n">
        <f aca="false">ROUND((SUMIFS(Acerto_Detalhado!$F$2:$F$433,Acerto_Detalhado!$A$2:$A$433,$C148,Acerto_Detalhado!$B$2:$B$433,"Jan",Acerto_Detalhado!$C$2:$C$433,"Umidade"))*(SUMIFS(Acerto_Detalhado!$I$2:$I$433,Acerto_Detalhado!$A$2:$A$433,$D148,Acerto_Detalhado!$B$2:$B$433,"Jan",Acerto_Detalhado!$C$2:$C$433,"Umidade")),2)</f>
        <v>0</v>
      </c>
    </row>
    <row r="149" customFormat="false" ht="15" hidden="false" customHeight="false" outlineLevel="0" collapsed="false">
      <c r="A149" s="27" t="s">
        <v>108</v>
      </c>
      <c r="B149" s="27" t="s">
        <v>110</v>
      </c>
      <c r="C149" s="27" t="s">
        <v>40</v>
      </c>
      <c r="D149" s="27" t="s">
        <v>41</v>
      </c>
      <c r="E149" s="28" t="n">
        <f aca="false">ROUND((SUMIFS(Acerto_Detalhado!$F$2:$F$433,Acerto_Detalhado!$A$2:$A$433,$C149,Acerto_Detalhado!$B$2:$B$433,"Jan",Acerto_Detalhado!$C$2:$C$433,"Umidade"))*(SUMIFS(Acerto_Detalhado!$I$2:$I$433,Acerto_Detalhado!$A$2:$A$433,$D149,Acerto_Detalhado!$B$2:$B$433,"Jan",Acerto_Detalhado!$C$2:$C$433,"Umidade")),2)</f>
        <v>0</v>
      </c>
    </row>
    <row r="150" customFormat="false" ht="15" hidden="false" customHeight="false" outlineLevel="0" collapsed="false">
      <c r="A150" s="27" t="s">
        <v>108</v>
      </c>
      <c r="B150" s="27" t="s">
        <v>110</v>
      </c>
      <c r="C150" s="27" t="s">
        <v>40</v>
      </c>
      <c r="D150" s="27" t="s">
        <v>42</v>
      </c>
      <c r="E150" s="28" t="n">
        <f aca="false">ROUND((SUMIFS(Acerto_Detalhado!$F$2:$F$433,Acerto_Detalhado!$A$2:$A$433,$C150,Acerto_Detalhado!$B$2:$B$433,"Jan",Acerto_Detalhado!$C$2:$C$433,"Umidade"))*(SUMIFS(Acerto_Detalhado!$I$2:$I$433,Acerto_Detalhado!$A$2:$A$433,$D150,Acerto_Detalhado!$B$2:$B$433,"Jan",Acerto_Detalhado!$C$2:$C$433,"Umidade")),2)</f>
        <v>0</v>
      </c>
    </row>
    <row r="151" customFormat="false" ht="15" hidden="false" customHeight="false" outlineLevel="0" collapsed="false">
      <c r="A151" s="27" t="s">
        <v>108</v>
      </c>
      <c r="B151" s="27" t="s">
        <v>110</v>
      </c>
      <c r="C151" s="27" t="s">
        <v>40</v>
      </c>
      <c r="D151" s="27" t="s">
        <v>43</v>
      </c>
      <c r="E151" s="28" t="n">
        <f aca="false">ROUND((SUMIFS(Acerto_Detalhado!$F$2:$F$433,Acerto_Detalhado!$A$2:$A$433,$C151,Acerto_Detalhado!$B$2:$B$433,"Jan",Acerto_Detalhado!$C$2:$C$433,"Umidade"))*(SUMIFS(Acerto_Detalhado!$I$2:$I$433,Acerto_Detalhado!$A$2:$A$433,$D151,Acerto_Detalhado!$B$2:$B$433,"Jan",Acerto_Detalhado!$C$2:$C$433,"Umidade")),2)</f>
        <v>0</v>
      </c>
    </row>
    <row r="152" customFormat="false" ht="15" hidden="false" customHeight="false" outlineLevel="0" collapsed="false">
      <c r="A152" s="27" t="s">
        <v>108</v>
      </c>
      <c r="B152" s="27" t="s">
        <v>110</v>
      </c>
      <c r="C152" s="27" t="s">
        <v>40</v>
      </c>
      <c r="D152" s="27" t="s">
        <v>44</v>
      </c>
      <c r="E152" s="28" t="n">
        <f aca="false">ROUND((SUMIFS(Acerto_Detalhado!$F$2:$F$433,Acerto_Detalhado!$A$2:$A$433,$C152,Acerto_Detalhado!$B$2:$B$433,"Jan",Acerto_Detalhado!$C$2:$C$433,"Umidade"))*(SUMIFS(Acerto_Detalhado!$I$2:$I$433,Acerto_Detalhado!$A$2:$A$433,$D152,Acerto_Detalhado!$B$2:$B$433,"Jan",Acerto_Detalhado!$C$2:$C$433,"Umidade")),2)</f>
        <v>0</v>
      </c>
    </row>
    <row r="153" customFormat="false" ht="15" hidden="false" customHeight="false" outlineLevel="0" collapsed="false">
      <c r="A153" s="27" t="s">
        <v>108</v>
      </c>
      <c r="B153" s="27" t="s">
        <v>110</v>
      </c>
      <c r="C153" s="27" t="s">
        <v>40</v>
      </c>
      <c r="D153" s="27" t="s">
        <v>45</v>
      </c>
      <c r="E153" s="28" t="n">
        <f aca="false">ROUND((SUMIFS(Acerto_Detalhado!$F$2:$F$433,Acerto_Detalhado!$A$2:$A$433,$C153,Acerto_Detalhado!$B$2:$B$433,"Jan",Acerto_Detalhado!$C$2:$C$433,"Umidade"))*(SUMIFS(Acerto_Detalhado!$I$2:$I$433,Acerto_Detalhado!$A$2:$A$433,$D153,Acerto_Detalhado!$B$2:$B$433,"Jan",Acerto_Detalhado!$C$2:$C$433,"Umidade")),2)</f>
        <v>0</v>
      </c>
    </row>
    <row r="154" customFormat="false" ht="15" hidden="false" customHeight="false" outlineLevel="0" collapsed="false">
      <c r="A154" s="27" t="s">
        <v>108</v>
      </c>
      <c r="B154" s="27" t="s">
        <v>110</v>
      </c>
      <c r="C154" s="27" t="s">
        <v>40</v>
      </c>
      <c r="D154" s="27" t="s">
        <v>46</v>
      </c>
      <c r="E154" s="28" t="n">
        <f aca="false">ROUND((SUMIFS(Acerto_Detalhado!$F$2:$F$433,Acerto_Detalhado!$A$2:$A$433,$C154,Acerto_Detalhado!$B$2:$B$433,"Jan",Acerto_Detalhado!$C$2:$C$433,"Umidade"))*(SUMIFS(Acerto_Detalhado!$I$2:$I$433,Acerto_Detalhado!$A$2:$A$433,$D154,Acerto_Detalhado!$B$2:$B$433,"Jan",Acerto_Detalhado!$C$2:$C$433,"Umidade")),2)</f>
        <v>0</v>
      </c>
    </row>
    <row r="155" customFormat="false" ht="15" hidden="false" customHeight="false" outlineLevel="0" collapsed="false">
      <c r="A155" s="27" t="s">
        <v>108</v>
      </c>
      <c r="B155" s="27" t="s">
        <v>110</v>
      </c>
      <c r="C155" s="27" t="s">
        <v>40</v>
      </c>
      <c r="D155" s="27" t="s">
        <v>47</v>
      </c>
      <c r="E155" s="28" t="n">
        <f aca="false">ROUND((SUMIFS(Acerto_Detalhado!$F$2:$F$433,Acerto_Detalhado!$A$2:$A$433,$C155,Acerto_Detalhado!$B$2:$B$433,"Jan",Acerto_Detalhado!$C$2:$C$433,"Umidade"))*(SUMIFS(Acerto_Detalhado!$I$2:$I$433,Acerto_Detalhado!$A$2:$A$433,$D155,Acerto_Detalhado!$B$2:$B$433,"Jan",Acerto_Detalhado!$C$2:$C$433,"Umidade")),2)</f>
        <v>0</v>
      </c>
    </row>
    <row r="156" customFormat="false" ht="15" hidden="false" customHeight="false" outlineLevel="0" collapsed="false">
      <c r="A156" s="27" t="s">
        <v>108</v>
      </c>
      <c r="B156" s="27" t="s">
        <v>110</v>
      </c>
      <c r="C156" s="27" t="s">
        <v>40</v>
      </c>
      <c r="D156" s="27" t="s">
        <v>48</v>
      </c>
      <c r="E156" s="28" t="n">
        <f aca="false">ROUND((SUMIFS(Acerto_Detalhado!$F$2:$F$433,Acerto_Detalhado!$A$2:$A$433,$C156,Acerto_Detalhado!$B$2:$B$433,"Jan",Acerto_Detalhado!$C$2:$C$433,"Umidade"))*(SUMIFS(Acerto_Detalhado!$I$2:$I$433,Acerto_Detalhado!$A$2:$A$433,$D156,Acerto_Detalhado!$B$2:$B$433,"Jan",Acerto_Detalhado!$C$2:$C$433,"Umidade")),2)</f>
        <v>0</v>
      </c>
    </row>
    <row r="157" customFormat="false" ht="15" hidden="false" customHeight="false" outlineLevel="0" collapsed="false">
      <c r="A157" s="27" t="s">
        <v>108</v>
      </c>
      <c r="B157" s="27" t="s">
        <v>110</v>
      </c>
      <c r="C157" s="27" t="s">
        <v>40</v>
      </c>
      <c r="D157" s="27" t="s">
        <v>49</v>
      </c>
      <c r="E157" s="28" t="n">
        <f aca="false">ROUND((SUMIFS(Acerto_Detalhado!$F$2:$F$433,Acerto_Detalhado!$A$2:$A$433,$C157,Acerto_Detalhado!$B$2:$B$433,"Jan",Acerto_Detalhado!$C$2:$C$433,"Umidade"))*(SUMIFS(Acerto_Detalhado!$I$2:$I$433,Acerto_Detalhado!$A$2:$A$433,$D157,Acerto_Detalhado!$B$2:$B$433,"Jan",Acerto_Detalhado!$C$2:$C$433,"Umidade")),2)</f>
        <v>0</v>
      </c>
    </row>
    <row r="158" customFormat="false" ht="15" hidden="false" customHeight="false" outlineLevel="0" collapsed="false">
      <c r="A158" s="27" t="s">
        <v>108</v>
      </c>
      <c r="B158" s="27" t="s">
        <v>110</v>
      </c>
      <c r="C158" s="27" t="s">
        <v>40</v>
      </c>
      <c r="D158" s="27" t="s">
        <v>50</v>
      </c>
      <c r="E158" s="28" t="n">
        <f aca="false">ROUND((SUMIFS(Acerto_Detalhado!$F$2:$F$433,Acerto_Detalhado!$A$2:$A$433,$C158,Acerto_Detalhado!$B$2:$B$433,"Jan",Acerto_Detalhado!$C$2:$C$433,"Umidade"))*(SUMIFS(Acerto_Detalhado!$I$2:$I$433,Acerto_Detalhado!$A$2:$A$433,$D158,Acerto_Detalhado!$B$2:$B$433,"Jan",Acerto_Detalhado!$C$2:$C$433,"Umidade")),2)</f>
        <v>0</v>
      </c>
    </row>
    <row r="159" customFormat="false" ht="15" hidden="false" customHeight="false" outlineLevel="0" collapsed="false">
      <c r="A159" s="27" t="s">
        <v>108</v>
      </c>
      <c r="B159" s="27" t="s">
        <v>110</v>
      </c>
      <c r="C159" s="27" t="s">
        <v>41</v>
      </c>
      <c r="D159" s="27" t="s">
        <v>39</v>
      </c>
      <c r="E159" s="28" t="n">
        <f aca="false">ROUND((SUMIFS(Acerto_Detalhado!$F$2:$F$433,Acerto_Detalhado!$A$2:$A$433,$C159,Acerto_Detalhado!$B$2:$B$433,"Jan",Acerto_Detalhado!$C$2:$C$433,"Umidade"))*(SUMIFS(Acerto_Detalhado!$I$2:$I$433,Acerto_Detalhado!$A$2:$A$433,$D159,Acerto_Detalhado!$B$2:$B$433,"Jan",Acerto_Detalhado!$C$2:$C$433,"Umidade")),2)</f>
        <v>0</v>
      </c>
    </row>
    <row r="160" customFormat="false" ht="15" hidden="false" customHeight="false" outlineLevel="0" collapsed="false">
      <c r="A160" s="27" t="s">
        <v>108</v>
      </c>
      <c r="B160" s="27" t="s">
        <v>110</v>
      </c>
      <c r="C160" s="27" t="s">
        <v>41</v>
      </c>
      <c r="D160" s="27" t="s">
        <v>40</v>
      </c>
      <c r="E160" s="28" t="n">
        <f aca="false">ROUND((SUMIFS(Acerto_Detalhado!$F$2:$F$433,Acerto_Detalhado!$A$2:$A$433,$C160,Acerto_Detalhado!$B$2:$B$433,"Jan",Acerto_Detalhado!$C$2:$C$433,"Umidade"))*(SUMIFS(Acerto_Detalhado!$I$2:$I$433,Acerto_Detalhado!$A$2:$A$433,$D160,Acerto_Detalhado!$B$2:$B$433,"Jan",Acerto_Detalhado!$C$2:$C$433,"Umidade")),2)</f>
        <v>0</v>
      </c>
    </row>
    <row r="161" customFormat="false" ht="15" hidden="false" customHeight="false" outlineLevel="0" collapsed="false">
      <c r="A161" s="27" t="s">
        <v>108</v>
      </c>
      <c r="B161" s="27" t="s">
        <v>110</v>
      </c>
      <c r="C161" s="27" t="s">
        <v>41</v>
      </c>
      <c r="D161" s="27" t="s">
        <v>42</v>
      </c>
      <c r="E161" s="28" t="n">
        <f aca="false">ROUND((SUMIFS(Acerto_Detalhado!$F$2:$F$433,Acerto_Detalhado!$A$2:$A$433,$C161,Acerto_Detalhado!$B$2:$B$433,"Jan",Acerto_Detalhado!$C$2:$C$433,"Umidade"))*(SUMIFS(Acerto_Detalhado!$I$2:$I$433,Acerto_Detalhado!$A$2:$A$433,$D161,Acerto_Detalhado!$B$2:$B$433,"Jan",Acerto_Detalhado!$C$2:$C$433,"Umidade")),2)</f>
        <v>0</v>
      </c>
    </row>
    <row r="162" customFormat="false" ht="15" hidden="false" customHeight="false" outlineLevel="0" collapsed="false">
      <c r="A162" s="27" t="s">
        <v>108</v>
      </c>
      <c r="B162" s="27" t="s">
        <v>110</v>
      </c>
      <c r="C162" s="27" t="s">
        <v>41</v>
      </c>
      <c r="D162" s="27" t="s">
        <v>43</v>
      </c>
      <c r="E162" s="28" t="n">
        <f aca="false">ROUND((SUMIFS(Acerto_Detalhado!$F$2:$F$433,Acerto_Detalhado!$A$2:$A$433,$C162,Acerto_Detalhado!$B$2:$B$433,"Jan",Acerto_Detalhado!$C$2:$C$433,"Umidade"))*(SUMIFS(Acerto_Detalhado!$I$2:$I$433,Acerto_Detalhado!$A$2:$A$433,$D162,Acerto_Detalhado!$B$2:$B$433,"Jan",Acerto_Detalhado!$C$2:$C$433,"Umidade")),2)</f>
        <v>0</v>
      </c>
    </row>
    <row r="163" customFormat="false" ht="15" hidden="false" customHeight="false" outlineLevel="0" collapsed="false">
      <c r="A163" s="27" t="s">
        <v>108</v>
      </c>
      <c r="B163" s="27" t="s">
        <v>110</v>
      </c>
      <c r="C163" s="27" t="s">
        <v>41</v>
      </c>
      <c r="D163" s="27" t="s">
        <v>44</v>
      </c>
      <c r="E163" s="28" t="n">
        <f aca="false">ROUND((SUMIFS(Acerto_Detalhado!$F$2:$F$433,Acerto_Detalhado!$A$2:$A$433,$C163,Acerto_Detalhado!$B$2:$B$433,"Jan",Acerto_Detalhado!$C$2:$C$433,"Umidade"))*(SUMIFS(Acerto_Detalhado!$I$2:$I$433,Acerto_Detalhado!$A$2:$A$433,$D163,Acerto_Detalhado!$B$2:$B$433,"Jan",Acerto_Detalhado!$C$2:$C$433,"Umidade")),2)</f>
        <v>0</v>
      </c>
    </row>
    <row r="164" customFormat="false" ht="15" hidden="false" customHeight="false" outlineLevel="0" collapsed="false">
      <c r="A164" s="27" t="s">
        <v>108</v>
      </c>
      <c r="B164" s="27" t="s">
        <v>110</v>
      </c>
      <c r="C164" s="27" t="s">
        <v>41</v>
      </c>
      <c r="D164" s="27" t="s">
        <v>45</v>
      </c>
      <c r="E164" s="28" t="n">
        <f aca="false">ROUND((SUMIFS(Acerto_Detalhado!$F$2:$F$433,Acerto_Detalhado!$A$2:$A$433,$C164,Acerto_Detalhado!$B$2:$B$433,"Jan",Acerto_Detalhado!$C$2:$C$433,"Umidade"))*(SUMIFS(Acerto_Detalhado!$I$2:$I$433,Acerto_Detalhado!$A$2:$A$433,$D164,Acerto_Detalhado!$B$2:$B$433,"Jan",Acerto_Detalhado!$C$2:$C$433,"Umidade")),2)</f>
        <v>0</v>
      </c>
    </row>
    <row r="165" customFormat="false" ht="15" hidden="false" customHeight="false" outlineLevel="0" collapsed="false">
      <c r="A165" s="27" t="s">
        <v>108</v>
      </c>
      <c r="B165" s="27" t="s">
        <v>110</v>
      </c>
      <c r="C165" s="27" t="s">
        <v>41</v>
      </c>
      <c r="D165" s="27" t="s">
        <v>46</v>
      </c>
      <c r="E165" s="28" t="n">
        <f aca="false">ROUND((SUMIFS(Acerto_Detalhado!$F$2:$F$433,Acerto_Detalhado!$A$2:$A$433,$C165,Acerto_Detalhado!$B$2:$B$433,"Jan",Acerto_Detalhado!$C$2:$C$433,"Umidade"))*(SUMIFS(Acerto_Detalhado!$I$2:$I$433,Acerto_Detalhado!$A$2:$A$433,$D165,Acerto_Detalhado!$B$2:$B$433,"Jan",Acerto_Detalhado!$C$2:$C$433,"Umidade")),2)</f>
        <v>0</v>
      </c>
    </row>
    <row r="166" customFormat="false" ht="15" hidden="false" customHeight="false" outlineLevel="0" collapsed="false">
      <c r="A166" s="27" t="s">
        <v>108</v>
      </c>
      <c r="B166" s="27" t="s">
        <v>110</v>
      </c>
      <c r="C166" s="27" t="s">
        <v>41</v>
      </c>
      <c r="D166" s="27" t="s">
        <v>47</v>
      </c>
      <c r="E166" s="28" t="n">
        <f aca="false">ROUND((SUMIFS(Acerto_Detalhado!$F$2:$F$433,Acerto_Detalhado!$A$2:$A$433,$C166,Acerto_Detalhado!$B$2:$B$433,"Jan",Acerto_Detalhado!$C$2:$C$433,"Umidade"))*(SUMIFS(Acerto_Detalhado!$I$2:$I$433,Acerto_Detalhado!$A$2:$A$433,$D166,Acerto_Detalhado!$B$2:$B$433,"Jan",Acerto_Detalhado!$C$2:$C$433,"Umidade")),2)</f>
        <v>0</v>
      </c>
    </row>
    <row r="167" customFormat="false" ht="15" hidden="false" customHeight="false" outlineLevel="0" collapsed="false">
      <c r="A167" s="27" t="s">
        <v>108</v>
      </c>
      <c r="B167" s="27" t="s">
        <v>110</v>
      </c>
      <c r="C167" s="27" t="s">
        <v>41</v>
      </c>
      <c r="D167" s="27" t="s">
        <v>48</v>
      </c>
      <c r="E167" s="28" t="n">
        <f aca="false">ROUND((SUMIFS(Acerto_Detalhado!$F$2:$F$433,Acerto_Detalhado!$A$2:$A$433,$C167,Acerto_Detalhado!$B$2:$B$433,"Jan",Acerto_Detalhado!$C$2:$C$433,"Umidade"))*(SUMIFS(Acerto_Detalhado!$I$2:$I$433,Acerto_Detalhado!$A$2:$A$433,$D167,Acerto_Detalhado!$B$2:$B$433,"Jan",Acerto_Detalhado!$C$2:$C$433,"Umidade")),2)</f>
        <v>0</v>
      </c>
    </row>
    <row r="168" customFormat="false" ht="15" hidden="false" customHeight="false" outlineLevel="0" collapsed="false">
      <c r="A168" s="27" t="s">
        <v>108</v>
      </c>
      <c r="B168" s="27" t="s">
        <v>110</v>
      </c>
      <c r="C168" s="27" t="s">
        <v>41</v>
      </c>
      <c r="D168" s="27" t="s">
        <v>49</v>
      </c>
      <c r="E168" s="28" t="n">
        <f aca="false">ROUND((SUMIFS(Acerto_Detalhado!$F$2:$F$433,Acerto_Detalhado!$A$2:$A$433,$C168,Acerto_Detalhado!$B$2:$B$433,"Jan",Acerto_Detalhado!$C$2:$C$433,"Umidade"))*(SUMIFS(Acerto_Detalhado!$I$2:$I$433,Acerto_Detalhado!$A$2:$A$433,$D168,Acerto_Detalhado!$B$2:$B$433,"Jan",Acerto_Detalhado!$C$2:$C$433,"Umidade")),2)</f>
        <v>0</v>
      </c>
    </row>
    <row r="169" customFormat="false" ht="15" hidden="false" customHeight="false" outlineLevel="0" collapsed="false">
      <c r="A169" s="27" t="s">
        <v>108</v>
      </c>
      <c r="B169" s="27" t="s">
        <v>110</v>
      </c>
      <c r="C169" s="27" t="s">
        <v>41</v>
      </c>
      <c r="D169" s="27" t="s">
        <v>50</v>
      </c>
      <c r="E169" s="28" t="n">
        <f aca="false">ROUND((SUMIFS(Acerto_Detalhado!$F$2:$F$433,Acerto_Detalhado!$A$2:$A$433,$C169,Acerto_Detalhado!$B$2:$B$433,"Jan",Acerto_Detalhado!$C$2:$C$433,"Umidade"))*(SUMIFS(Acerto_Detalhado!$I$2:$I$433,Acerto_Detalhado!$A$2:$A$433,$D169,Acerto_Detalhado!$B$2:$B$433,"Jan",Acerto_Detalhado!$C$2:$C$433,"Umidade")),2)</f>
        <v>0</v>
      </c>
    </row>
    <row r="170" customFormat="false" ht="15" hidden="false" customHeight="false" outlineLevel="0" collapsed="false">
      <c r="A170" s="27" t="s">
        <v>108</v>
      </c>
      <c r="B170" s="27" t="s">
        <v>110</v>
      </c>
      <c r="C170" s="27" t="s">
        <v>42</v>
      </c>
      <c r="D170" s="27" t="s">
        <v>39</v>
      </c>
      <c r="E170" s="28" t="n">
        <f aca="false">ROUND((SUMIFS(Acerto_Detalhado!$F$2:$F$433,Acerto_Detalhado!$A$2:$A$433,$C170,Acerto_Detalhado!$B$2:$B$433,"Jan",Acerto_Detalhado!$C$2:$C$433,"Umidade"))*(SUMIFS(Acerto_Detalhado!$I$2:$I$433,Acerto_Detalhado!$A$2:$A$433,$D170,Acerto_Detalhado!$B$2:$B$433,"Jan",Acerto_Detalhado!$C$2:$C$433,"Umidade")),2)</f>
        <v>0</v>
      </c>
    </row>
    <row r="171" customFormat="false" ht="15" hidden="false" customHeight="false" outlineLevel="0" collapsed="false">
      <c r="A171" s="27" t="s">
        <v>108</v>
      </c>
      <c r="B171" s="27" t="s">
        <v>110</v>
      </c>
      <c r="C171" s="27" t="s">
        <v>42</v>
      </c>
      <c r="D171" s="27" t="s">
        <v>40</v>
      </c>
      <c r="E171" s="28" t="n">
        <f aca="false">ROUND((SUMIFS(Acerto_Detalhado!$F$2:$F$433,Acerto_Detalhado!$A$2:$A$433,$C171,Acerto_Detalhado!$B$2:$B$433,"Jan",Acerto_Detalhado!$C$2:$C$433,"Umidade"))*(SUMIFS(Acerto_Detalhado!$I$2:$I$433,Acerto_Detalhado!$A$2:$A$433,$D171,Acerto_Detalhado!$B$2:$B$433,"Jan",Acerto_Detalhado!$C$2:$C$433,"Umidade")),2)</f>
        <v>0</v>
      </c>
    </row>
    <row r="172" customFormat="false" ht="15" hidden="false" customHeight="false" outlineLevel="0" collapsed="false">
      <c r="A172" s="27" t="s">
        <v>108</v>
      </c>
      <c r="B172" s="27" t="s">
        <v>110</v>
      </c>
      <c r="C172" s="27" t="s">
        <v>42</v>
      </c>
      <c r="D172" s="27" t="s">
        <v>41</v>
      </c>
      <c r="E172" s="28" t="n">
        <f aca="false">ROUND((SUMIFS(Acerto_Detalhado!$F$2:$F$433,Acerto_Detalhado!$A$2:$A$433,$C172,Acerto_Detalhado!$B$2:$B$433,"Jan",Acerto_Detalhado!$C$2:$C$433,"Umidade"))*(SUMIFS(Acerto_Detalhado!$I$2:$I$433,Acerto_Detalhado!$A$2:$A$433,$D172,Acerto_Detalhado!$B$2:$B$433,"Jan",Acerto_Detalhado!$C$2:$C$433,"Umidade")),2)</f>
        <v>0</v>
      </c>
    </row>
    <row r="173" customFormat="false" ht="15" hidden="false" customHeight="false" outlineLevel="0" collapsed="false">
      <c r="A173" s="27" t="s">
        <v>108</v>
      </c>
      <c r="B173" s="27" t="s">
        <v>110</v>
      </c>
      <c r="C173" s="27" t="s">
        <v>42</v>
      </c>
      <c r="D173" s="27" t="s">
        <v>43</v>
      </c>
      <c r="E173" s="28" t="n">
        <f aca="false">ROUND((SUMIFS(Acerto_Detalhado!$F$2:$F$433,Acerto_Detalhado!$A$2:$A$433,$C173,Acerto_Detalhado!$B$2:$B$433,"Jan",Acerto_Detalhado!$C$2:$C$433,"Umidade"))*(SUMIFS(Acerto_Detalhado!$I$2:$I$433,Acerto_Detalhado!$A$2:$A$433,$D173,Acerto_Detalhado!$B$2:$B$433,"Jan",Acerto_Detalhado!$C$2:$C$433,"Umidade")),2)</f>
        <v>0</v>
      </c>
    </row>
    <row r="174" customFormat="false" ht="15" hidden="false" customHeight="false" outlineLevel="0" collapsed="false">
      <c r="A174" s="27" t="s">
        <v>108</v>
      </c>
      <c r="B174" s="27" t="s">
        <v>110</v>
      </c>
      <c r="C174" s="27" t="s">
        <v>42</v>
      </c>
      <c r="D174" s="27" t="s">
        <v>44</v>
      </c>
      <c r="E174" s="28" t="n">
        <f aca="false">ROUND((SUMIFS(Acerto_Detalhado!$F$2:$F$433,Acerto_Detalhado!$A$2:$A$433,$C174,Acerto_Detalhado!$B$2:$B$433,"Jan",Acerto_Detalhado!$C$2:$C$433,"Umidade"))*(SUMIFS(Acerto_Detalhado!$I$2:$I$433,Acerto_Detalhado!$A$2:$A$433,$D174,Acerto_Detalhado!$B$2:$B$433,"Jan",Acerto_Detalhado!$C$2:$C$433,"Umidade")),2)</f>
        <v>0</v>
      </c>
    </row>
    <row r="175" customFormat="false" ht="15" hidden="false" customHeight="false" outlineLevel="0" collapsed="false">
      <c r="A175" s="27" t="s">
        <v>108</v>
      </c>
      <c r="B175" s="27" t="s">
        <v>110</v>
      </c>
      <c r="C175" s="27" t="s">
        <v>42</v>
      </c>
      <c r="D175" s="27" t="s">
        <v>45</v>
      </c>
      <c r="E175" s="28" t="n">
        <f aca="false">ROUND((SUMIFS(Acerto_Detalhado!$F$2:$F$433,Acerto_Detalhado!$A$2:$A$433,$C175,Acerto_Detalhado!$B$2:$B$433,"Jan",Acerto_Detalhado!$C$2:$C$433,"Umidade"))*(SUMIFS(Acerto_Detalhado!$I$2:$I$433,Acerto_Detalhado!$A$2:$A$433,$D175,Acerto_Detalhado!$B$2:$B$433,"Jan",Acerto_Detalhado!$C$2:$C$433,"Umidade")),2)</f>
        <v>0</v>
      </c>
    </row>
    <row r="176" customFormat="false" ht="15" hidden="false" customHeight="false" outlineLevel="0" collapsed="false">
      <c r="A176" s="27" t="s">
        <v>108</v>
      </c>
      <c r="B176" s="27" t="s">
        <v>110</v>
      </c>
      <c r="C176" s="27" t="s">
        <v>42</v>
      </c>
      <c r="D176" s="27" t="s">
        <v>46</v>
      </c>
      <c r="E176" s="28" t="n">
        <f aca="false">ROUND((SUMIFS(Acerto_Detalhado!$F$2:$F$433,Acerto_Detalhado!$A$2:$A$433,$C176,Acerto_Detalhado!$B$2:$B$433,"Jan",Acerto_Detalhado!$C$2:$C$433,"Umidade"))*(SUMIFS(Acerto_Detalhado!$I$2:$I$433,Acerto_Detalhado!$A$2:$A$433,$D176,Acerto_Detalhado!$B$2:$B$433,"Jan",Acerto_Detalhado!$C$2:$C$433,"Umidade")),2)</f>
        <v>0</v>
      </c>
    </row>
    <row r="177" customFormat="false" ht="15" hidden="false" customHeight="false" outlineLevel="0" collapsed="false">
      <c r="A177" s="27" t="s">
        <v>108</v>
      </c>
      <c r="B177" s="27" t="s">
        <v>110</v>
      </c>
      <c r="C177" s="27" t="s">
        <v>42</v>
      </c>
      <c r="D177" s="27" t="s">
        <v>47</v>
      </c>
      <c r="E177" s="28" t="n">
        <f aca="false">ROUND((SUMIFS(Acerto_Detalhado!$F$2:$F$433,Acerto_Detalhado!$A$2:$A$433,$C177,Acerto_Detalhado!$B$2:$B$433,"Jan",Acerto_Detalhado!$C$2:$C$433,"Umidade"))*(SUMIFS(Acerto_Detalhado!$I$2:$I$433,Acerto_Detalhado!$A$2:$A$433,$D177,Acerto_Detalhado!$B$2:$B$433,"Jan",Acerto_Detalhado!$C$2:$C$433,"Umidade")),2)</f>
        <v>0</v>
      </c>
    </row>
    <row r="178" customFormat="false" ht="15" hidden="false" customHeight="false" outlineLevel="0" collapsed="false">
      <c r="A178" s="27" t="s">
        <v>108</v>
      </c>
      <c r="B178" s="27" t="s">
        <v>110</v>
      </c>
      <c r="C178" s="27" t="s">
        <v>42</v>
      </c>
      <c r="D178" s="27" t="s">
        <v>48</v>
      </c>
      <c r="E178" s="28" t="n">
        <f aca="false">ROUND((SUMIFS(Acerto_Detalhado!$F$2:$F$433,Acerto_Detalhado!$A$2:$A$433,$C178,Acerto_Detalhado!$B$2:$B$433,"Jan",Acerto_Detalhado!$C$2:$C$433,"Umidade"))*(SUMIFS(Acerto_Detalhado!$I$2:$I$433,Acerto_Detalhado!$A$2:$A$433,$D178,Acerto_Detalhado!$B$2:$B$433,"Jan",Acerto_Detalhado!$C$2:$C$433,"Umidade")),2)</f>
        <v>0</v>
      </c>
    </row>
    <row r="179" customFormat="false" ht="15" hidden="false" customHeight="false" outlineLevel="0" collapsed="false">
      <c r="A179" s="27" t="s">
        <v>108</v>
      </c>
      <c r="B179" s="27" t="s">
        <v>110</v>
      </c>
      <c r="C179" s="27" t="s">
        <v>42</v>
      </c>
      <c r="D179" s="27" t="s">
        <v>49</v>
      </c>
      <c r="E179" s="28" t="n">
        <f aca="false">ROUND((SUMIFS(Acerto_Detalhado!$F$2:$F$433,Acerto_Detalhado!$A$2:$A$433,$C179,Acerto_Detalhado!$B$2:$B$433,"Jan",Acerto_Detalhado!$C$2:$C$433,"Umidade"))*(SUMIFS(Acerto_Detalhado!$I$2:$I$433,Acerto_Detalhado!$A$2:$A$433,$D179,Acerto_Detalhado!$B$2:$B$433,"Jan",Acerto_Detalhado!$C$2:$C$433,"Umidade")),2)</f>
        <v>0</v>
      </c>
    </row>
    <row r="180" customFormat="false" ht="15" hidden="false" customHeight="false" outlineLevel="0" collapsed="false">
      <c r="A180" s="27" t="s">
        <v>108</v>
      </c>
      <c r="B180" s="27" t="s">
        <v>110</v>
      </c>
      <c r="C180" s="27" t="s">
        <v>42</v>
      </c>
      <c r="D180" s="27" t="s">
        <v>50</v>
      </c>
      <c r="E180" s="28" t="n">
        <f aca="false">ROUND((SUMIFS(Acerto_Detalhado!$F$2:$F$433,Acerto_Detalhado!$A$2:$A$433,$C180,Acerto_Detalhado!$B$2:$B$433,"Jan",Acerto_Detalhado!$C$2:$C$433,"Umidade"))*(SUMIFS(Acerto_Detalhado!$I$2:$I$433,Acerto_Detalhado!$A$2:$A$433,$D180,Acerto_Detalhado!$B$2:$B$433,"Jan",Acerto_Detalhado!$C$2:$C$433,"Umidade")),2)</f>
        <v>0</v>
      </c>
    </row>
    <row r="181" customFormat="false" ht="15" hidden="false" customHeight="false" outlineLevel="0" collapsed="false">
      <c r="A181" s="27" t="s">
        <v>108</v>
      </c>
      <c r="B181" s="27" t="s">
        <v>110</v>
      </c>
      <c r="C181" s="27" t="s">
        <v>43</v>
      </c>
      <c r="D181" s="27" t="s">
        <v>39</v>
      </c>
      <c r="E181" s="28" t="n">
        <f aca="false">ROUND((SUMIFS(Acerto_Detalhado!$F$2:$F$433,Acerto_Detalhado!$A$2:$A$433,$C181,Acerto_Detalhado!$B$2:$B$433,"Jan",Acerto_Detalhado!$C$2:$C$433,"Umidade"))*(SUMIFS(Acerto_Detalhado!$I$2:$I$433,Acerto_Detalhado!$A$2:$A$433,$D181,Acerto_Detalhado!$B$2:$B$433,"Jan",Acerto_Detalhado!$C$2:$C$433,"Umidade")),2)</f>
        <v>0</v>
      </c>
    </row>
    <row r="182" customFormat="false" ht="15" hidden="false" customHeight="false" outlineLevel="0" collapsed="false">
      <c r="A182" s="27" t="s">
        <v>108</v>
      </c>
      <c r="B182" s="27" t="s">
        <v>110</v>
      </c>
      <c r="C182" s="27" t="s">
        <v>43</v>
      </c>
      <c r="D182" s="27" t="s">
        <v>40</v>
      </c>
      <c r="E182" s="28" t="n">
        <f aca="false">ROUND((SUMIFS(Acerto_Detalhado!$F$2:$F$433,Acerto_Detalhado!$A$2:$A$433,$C182,Acerto_Detalhado!$B$2:$B$433,"Jan",Acerto_Detalhado!$C$2:$C$433,"Umidade"))*(SUMIFS(Acerto_Detalhado!$I$2:$I$433,Acerto_Detalhado!$A$2:$A$433,$D182,Acerto_Detalhado!$B$2:$B$433,"Jan",Acerto_Detalhado!$C$2:$C$433,"Umidade")),2)</f>
        <v>0</v>
      </c>
    </row>
    <row r="183" customFormat="false" ht="15" hidden="false" customHeight="false" outlineLevel="0" collapsed="false">
      <c r="A183" s="27" t="s">
        <v>108</v>
      </c>
      <c r="B183" s="27" t="s">
        <v>110</v>
      </c>
      <c r="C183" s="27" t="s">
        <v>43</v>
      </c>
      <c r="D183" s="27" t="s">
        <v>41</v>
      </c>
      <c r="E183" s="28" t="n">
        <f aca="false">ROUND((SUMIFS(Acerto_Detalhado!$F$2:$F$433,Acerto_Detalhado!$A$2:$A$433,$C183,Acerto_Detalhado!$B$2:$B$433,"Jan",Acerto_Detalhado!$C$2:$C$433,"Umidade"))*(SUMIFS(Acerto_Detalhado!$I$2:$I$433,Acerto_Detalhado!$A$2:$A$433,$D183,Acerto_Detalhado!$B$2:$B$433,"Jan",Acerto_Detalhado!$C$2:$C$433,"Umidade")),2)</f>
        <v>0</v>
      </c>
    </row>
    <row r="184" customFormat="false" ht="15" hidden="false" customHeight="false" outlineLevel="0" collapsed="false">
      <c r="A184" s="27" t="s">
        <v>108</v>
      </c>
      <c r="B184" s="27" t="s">
        <v>110</v>
      </c>
      <c r="C184" s="27" t="s">
        <v>43</v>
      </c>
      <c r="D184" s="27" t="s">
        <v>42</v>
      </c>
      <c r="E184" s="28" t="n">
        <f aca="false">ROUND((SUMIFS(Acerto_Detalhado!$F$2:$F$433,Acerto_Detalhado!$A$2:$A$433,$C184,Acerto_Detalhado!$B$2:$B$433,"Jan",Acerto_Detalhado!$C$2:$C$433,"Umidade"))*(SUMIFS(Acerto_Detalhado!$I$2:$I$433,Acerto_Detalhado!$A$2:$A$433,$D184,Acerto_Detalhado!$B$2:$B$433,"Jan",Acerto_Detalhado!$C$2:$C$433,"Umidade")),2)</f>
        <v>0</v>
      </c>
    </row>
    <row r="185" customFormat="false" ht="15" hidden="false" customHeight="false" outlineLevel="0" collapsed="false">
      <c r="A185" s="27" t="s">
        <v>108</v>
      </c>
      <c r="B185" s="27" t="s">
        <v>110</v>
      </c>
      <c r="C185" s="27" t="s">
        <v>43</v>
      </c>
      <c r="D185" s="27" t="s">
        <v>44</v>
      </c>
      <c r="E185" s="28" t="n">
        <f aca="false">ROUND((SUMIFS(Acerto_Detalhado!$F$2:$F$433,Acerto_Detalhado!$A$2:$A$433,$C185,Acerto_Detalhado!$B$2:$B$433,"Jan",Acerto_Detalhado!$C$2:$C$433,"Umidade"))*(SUMIFS(Acerto_Detalhado!$I$2:$I$433,Acerto_Detalhado!$A$2:$A$433,$D185,Acerto_Detalhado!$B$2:$B$433,"Jan",Acerto_Detalhado!$C$2:$C$433,"Umidade")),2)</f>
        <v>0</v>
      </c>
    </row>
    <row r="186" customFormat="false" ht="15" hidden="false" customHeight="false" outlineLevel="0" collapsed="false">
      <c r="A186" s="27" t="s">
        <v>108</v>
      </c>
      <c r="B186" s="27" t="s">
        <v>110</v>
      </c>
      <c r="C186" s="27" t="s">
        <v>43</v>
      </c>
      <c r="D186" s="27" t="s">
        <v>45</v>
      </c>
      <c r="E186" s="28" t="n">
        <f aca="false">ROUND((SUMIFS(Acerto_Detalhado!$F$2:$F$433,Acerto_Detalhado!$A$2:$A$433,$C186,Acerto_Detalhado!$B$2:$B$433,"Jan",Acerto_Detalhado!$C$2:$C$433,"Umidade"))*(SUMIFS(Acerto_Detalhado!$I$2:$I$433,Acerto_Detalhado!$A$2:$A$433,$D186,Acerto_Detalhado!$B$2:$B$433,"Jan",Acerto_Detalhado!$C$2:$C$433,"Umidade")),2)</f>
        <v>0</v>
      </c>
    </row>
    <row r="187" customFormat="false" ht="15" hidden="false" customHeight="false" outlineLevel="0" collapsed="false">
      <c r="A187" s="27" t="s">
        <v>108</v>
      </c>
      <c r="B187" s="27" t="s">
        <v>110</v>
      </c>
      <c r="C187" s="27" t="s">
        <v>43</v>
      </c>
      <c r="D187" s="27" t="s">
        <v>46</v>
      </c>
      <c r="E187" s="28" t="n">
        <f aca="false">ROUND((SUMIFS(Acerto_Detalhado!$F$2:$F$433,Acerto_Detalhado!$A$2:$A$433,$C187,Acerto_Detalhado!$B$2:$B$433,"Jan",Acerto_Detalhado!$C$2:$C$433,"Umidade"))*(SUMIFS(Acerto_Detalhado!$I$2:$I$433,Acerto_Detalhado!$A$2:$A$433,$D187,Acerto_Detalhado!$B$2:$B$433,"Jan",Acerto_Detalhado!$C$2:$C$433,"Umidade")),2)</f>
        <v>0</v>
      </c>
    </row>
    <row r="188" customFormat="false" ht="15" hidden="false" customHeight="false" outlineLevel="0" collapsed="false">
      <c r="A188" s="27" t="s">
        <v>108</v>
      </c>
      <c r="B188" s="27" t="s">
        <v>110</v>
      </c>
      <c r="C188" s="27" t="s">
        <v>43</v>
      </c>
      <c r="D188" s="27" t="s">
        <v>47</v>
      </c>
      <c r="E188" s="28" t="n">
        <f aca="false">ROUND((SUMIFS(Acerto_Detalhado!$F$2:$F$433,Acerto_Detalhado!$A$2:$A$433,$C188,Acerto_Detalhado!$B$2:$B$433,"Jan",Acerto_Detalhado!$C$2:$C$433,"Umidade"))*(SUMIFS(Acerto_Detalhado!$I$2:$I$433,Acerto_Detalhado!$A$2:$A$433,$D188,Acerto_Detalhado!$B$2:$B$433,"Jan",Acerto_Detalhado!$C$2:$C$433,"Umidade")),2)</f>
        <v>0</v>
      </c>
    </row>
    <row r="189" customFormat="false" ht="15" hidden="false" customHeight="false" outlineLevel="0" collapsed="false">
      <c r="A189" s="27" t="s">
        <v>108</v>
      </c>
      <c r="B189" s="27" t="s">
        <v>110</v>
      </c>
      <c r="C189" s="27" t="s">
        <v>43</v>
      </c>
      <c r="D189" s="27" t="s">
        <v>48</v>
      </c>
      <c r="E189" s="28" t="n">
        <f aca="false">ROUND((SUMIFS(Acerto_Detalhado!$F$2:$F$433,Acerto_Detalhado!$A$2:$A$433,$C189,Acerto_Detalhado!$B$2:$B$433,"Jan",Acerto_Detalhado!$C$2:$C$433,"Umidade"))*(SUMIFS(Acerto_Detalhado!$I$2:$I$433,Acerto_Detalhado!$A$2:$A$433,$D189,Acerto_Detalhado!$B$2:$B$433,"Jan",Acerto_Detalhado!$C$2:$C$433,"Umidade")),2)</f>
        <v>0</v>
      </c>
    </row>
    <row r="190" customFormat="false" ht="15" hidden="false" customHeight="false" outlineLevel="0" collapsed="false">
      <c r="A190" s="27" t="s">
        <v>108</v>
      </c>
      <c r="B190" s="27" t="s">
        <v>110</v>
      </c>
      <c r="C190" s="27" t="s">
        <v>43</v>
      </c>
      <c r="D190" s="27" t="s">
        <v>49</v>
      </c>
      <c r="E190" s="28" t="n">
        <f aca="false">ROUND((SUMIFS(Acerto_Detalhado!$F$2:$F$433,Acerto_Detalhado!$A$2:$A$433,$C190,Acerto_Detalhado!$B$2:$B$433,"Jan",Acerto_Detalhado!$C$2:$C$433,"Umidade"))*(SUMIFS(Acerto_Detalhado!$I$2:$I$433,Acerto_Detalhado!$A$2:$A$433,$D190,Acerto_Detalhado!$B$2:$B$433,"Jan",Acerto_Detalhado!$C$2:$C$433,"Umidade")),2)</f>
        <v>0</v>
      </c>
    </row>
    <row r="191" customFormat="false" ht="15" hidden="false" customHeight="false" outlineLevel="0" collapsed="false">
      <c r="A191" s="27" t="s">
        <v>108</v>
      </c>
      <c r="B191" s="27" t="s">
        <v>110</v>
      </c>
      <c r="C191" s="27" t="s">
        <v>43</v>
      </c>
      <c r="D191" s="27" t="s">
        <v>50</v>
      </c>
      <c r="E191" s="28" t="n">
        <f aca="false">ROUND((SUMIFS(Acerto_Detalhado!$F$2:$F$433,Acerto_Detalhado!$A$2:$A$433,$C191,Acerto_Detalhado!$B$2:$B$433,"Jan",Acerto_Detalhado!$C$2:$C$433,"Umidade"))*(SUMIFS(Acerto_Detalhado!$I$2:$I$433,Acerto_Detalhado!$A$2:$A$433,$D191,Acerto_Detalhado!$B$2:$B$433,"Jan",Acerto_Detalhado!$C$2:$C$433,"Umidade")),2)</f>
        <v>0</v>
      </c>
    </row>
    <row r="192" customFormat="false" ht="15" hidden="false" customHeight="false" outlineLevel="0" collapsed="false">
      <c r="A192" s="27" t="s">
        <v>108</v>
      </c>
      <c r="B192" s="27" t="s">
        <v>110</v>
      </c>
      <c r="C192" s="27" t="s">
        <v>44</v>
      </c>
      <c r="D192" s="27" t="s">
        <v>39</v>
      </c>
      <c r="E192" s="28" t="n">
        <f aca="false">ROUND((SUMIFS(Acerto_Detalhado!$F$2:$F$433,Acerto_Detalhado!$A$2:$A$433,$C192,Acerto_Detalhado!$B$2:$B$433,"Jan",Acerto_Detalhado!$C$2:$C$433,"Umidade"))*(SUMIFS(Acerto_Detalhado!$I$2:$I$433,Acerto_Detalhado!$A$2:$A$433,$D192,Acerto_Detalhado!$B$2:$B$433,"Jan",Acerto_Detalhado!$C$2:$C$433,"Umidade")),2)</f>
        <v>0</v>
      </c>
    </row>
    <row r="193" customFormat="false" ht="15" hidden="false" customHeight="false" outlineLevel="0" collapsed="false">
      <c r="A193" s="27" t="s">
        <v>108</v>
      </c>
      <c r="B193" s="27" t="s">
        <v>110</v>
      </c>
      <c r="C193" s="27" t="s">
        <v>44</v>
      </c>
      <c r="D193" s="27" t="s">
        <v>40</v>
      </c>
      <c r="E193" s="28" t="n">
        <f aca="false">ROUND((SUMIFS(Acerto_Detalhado!$F$2:$F$433,Acerto_Detalhado!$A$2:$A$433,$C193,Acerto_Detalhado!$B$2:$B$433,"Jan",Acerto_Detalhado!$C$2:$C$433,"Umidade"))*(SUMIFS(Acerto_Detalhado!$I$2:$I$433,Acerto_Detalhado!$A$2:$A$433,$D193,Acerto_Detalhado!$B$2:$B$433,"Jan",Acerto_Detalhado!$C$2:$C$433,"Umidade")),2)</f>
        <v>0</v>
      </c>
    </row>
    <row r="194" customFormat="false" ht="15" hidden="false" customHeight="false" outlineLevel="0" collapsed="false">
      <c r="A194" s="27" t="s">
        <v>108</v>
      </c>
      <c r="B194" s="27" t="s">
        <v>110</v>
      </c>
      <c r="C194" s="27" t="s">
        <v>44</v>
      </c>
      <c r="D194" s="27" t="s">
        <v>41</v>
      </c>
      <c r="E194" s="28" t="n">
        <f aca="false">ROUND((SUMIFS(Acerto_Detalhado!$F$2:$F$433,Acerto_Detalhado!$A$2:$A$433,$C194,Acerto_Detalhado!$B$2:$B$433,"Jan",Acerto_Detalhado!$C$2:$C$433,"Umidade"))*(SUMIFS(Acerto_Detalhado!$I$2:$I$433,Acerto_Detalhado!$A$2:$A$433,$D194,Acerto_Detalhado!$B$2:$B$433,"Jan",Acerto_Detalhado!$C$2:$C$433,"Umidade")),2)</f>
        <v>0</v>
      </c>
    </row>
    <row r="195" customFormat="false" ht="15" hidden="false" customHeight="false" outlineLevel="0" collapsed="false">
      <c r="A195" s="27" t="s">
        <v>108</v>
      </c>
      <c r="B195" s="27" t="s">
        <v>110</v>
      </c>
      <c r="C195" s="27" t="s">
        <v>44</v>
      </c>
      <c r="D195" s="27" t="s">
        <v>42</v>
      </c>
      <c r="E195" s="28" t="n">
        <f aca="false">ROUND((SUMIFS(Acerto_Detalhado!$F$2:$F$433,Acerto_Detalhado!$A$2:$A$433,$C195,Acerto_Detalhado!$B$2:$B$433,"Jan",Acerto_Detalhado!$C$2:$C$433,"Umidade"))*(SUMIFS(Acerto_Detalhado!$I$2:$I$433,Acerto_Detalhado!$A$2:$A$433,$D195,Acerto_Detalhado!$B$2:$B$433,"Jan",Acerto_Detalhado!$C$2:$C$433,"Umidade")),2)</f>
        <v>0</v>
      </c>
    </row>
    <row r="196" customFormat="false" ht="15" hidden="false" customHeight="false" outlineLevel="0" collapsed="false">
      <c r="A196" s="27" t="s">
        <v>108</v>
      </c>
      <c r="B196" s="27" t="s">
        <v>110</v>
      </c>
      <c r="C196" s="27" t="s">
        <v>44</v>
      </c>
      <c r="D196" s="27" t="s">
        <v>43</v>
      </c>
      <c r="E196" s="28" t="n">
        <f aca="false">ROUND((SUMIFS(Acerto_Detalhado!$F$2:$F$433,Acerto_Detalhado!$A$2:$A$433,$C196,Acerto_Detalhado!$B$2:$B$433,"Jan",Acerto_Detalhado!$C$2:$C$433,"Umidade"))*(SUMIFS(Acerto_Detalhado!$I$2:$I$433,Acerto_Detalhado!$A$2:$A$433,$D196,Acerto_Detalhado!$B$2:$B$433,"Jan",Acerto_Detalhado!$C$2:$C$433,"Umidade")),2)</f>
        <v>0</v>
      </c>
    </row>
    <row r="197" customFormat="false" ht="15" hidden="false" customHeight="false" outlineLevel="0" collapsed="false">
      <c r="A197" s="27" t="s">
        <v>108</v>
      </c>
      <c r="B197" s="27" t="s">
        <v>110</v>
      </c>
      <c r="C197" s="27" t="s">
        <v>44</v>
      </c>
      <c r="D197" s="27" t="s">
        <v>45</v>
      </c>
      <c r="E197" s="28" t="n">
        <f aca="false">ROUND((SUMIFS(Acerto_Detalhado!$F$2:$F$433,Acerto_Detalhado!$A$2:$A$433,$C197,Acerto_Detalhado!$B$2:$B$433,"Jan",Acerto_Detalhado!$C$2:$C$433,"Umidade"))*(SUMIFS(Acerto_Detalhado!$I$2:$I$433,Acerto_Detalhado!$A$2:$A$433,$D197,Acerto_Detalhado!$B$2:$B$433,"Jan",Acerto_Detalhado!$C$2:$C$433,"Umidade")),2)</f>
        <v>0</v>
      </c>
    </row>
    <row r="198" customFormat="false" ht="15" hidden="false" customHeight="false" outlineLevel="0" collapsed="false">
      <c r="A198" s="27" t="s">
        <v>108</v>
      </c>
      <c r="B198" s="27" t="s">
        <v>110</v>
      </c>
      <c r="C198" s="27" t="s">
        <v>44</v>
      </c>
      <c r="D198" s="27" t="s">
        <v>46</v>
      </c>
      <c r="E198" s="28" t="n">
        <f aca="false">ROUND((SUMIFS(Acerto_Detalhado!$F$2:$F$433,Acerto_Detalhado!$A$2:$A$433,$C198,Acerto_Detalhado!$B$2:$B$433,"Jan",Acerto_Detalhado!$C$2:$C$433,"Umidade"))*(SUMIFS(Acerto_Detalhado!$I$2:$I$433,Acerto_Detalhado!$A$2:$A$433,$D198,Acerto_Detalhado!$B$2:$B$433,"Jan",Acerto_Detalhado!$C$2:$C$433,"Umidade")),2)</f>
        <v>0</v>
      </c>
    </row>
    <row r="199" customFormat="false" ht="15" hidden="false" customHeight="false" outlineLevel="0" collapsed="false">
      <c r="A199" s="27" t="s">
        <v>108</v>
      </c>
      <c r="B199" s="27" t="s">
        <v>110</v>
      </c>
      <c r="C199" s="27" t="s">
        <v>44</v>
      </c>
      <c r="D199" s="27" t="s">
        <v>47</v>
      </c>
      <c r="E199" s="28" t="n">
        <f aca="false">ROUND((SUMIFS(Acerto_Detalhado!$F$2:$F$433,Acerto_Detalhado!$A$2:$A$433,$C199,Acerto_Detalhado!$B$2:$B$433,"Jan",Acerto_Detalhado!$C$2:$C$433,"Umidade"))*(SUMIFS(Acerto_Detalhado!$I$2:$I$433,Acerto_Detalhado!$A$2:$A$433,$D199,Acerto_Detalhado!$B$2:$B$433,"Jan",Acerto_Detalhado!$C$2:$C$433,"Umidade")),2)</f>
        <v>0</v>
      </c>
    </row>
    <row r="200" customFormat="false" ht="15" hidden="false" customHeight="false" outlineLevel="0" collapsed="false">
      <c r="A200" s="27" t="s">
        <v>108</v>
      </c>
      <c r="B200" s="27" t="s">
        <v>110</v>
      </c>
      <c r="C200" s="27" t="s">
        <v>44</v>
      </c>
      <c r="D200" s="27" t="s">
        <v>48</v>
      </c>
      <c r="E200" s="28" t="n">
        <f aca="false">ROUND((SUMIFS(Acerto_Detalhado!$F$2:$F$433,Acerto_Detalhado!$A$2:$A$433,$C200,Acerto_Detalhado!$B$2:$B$433,"Jan",Acerto_Detalhado!$C$2:$C$433,"Umidade"))*(SUMIFS(Acerto_Detalhado!$I$2:$I$433,Acerto_Detalhado!$A$2:$A$433,$D200,Acerto_Detalhado!$B$2:$B$433,"Jan",Acerto_Detalhado!$C$2:$C$433,"Umidade")),2)</f>
        <v>0</v>
      </c>
    </row>
    <row r="201" customFormat="false" ht="15" hidden="false" customHeight="false" outlineLevel="0" collapsed="false">
      <c r="A201" s="27" t="s">
        <v>108</v>
      </c>
      <c r="B201" s="27" t="s">
        <v>110</v>
      </c>
      <c r="C201" s="27" t="s">
        <v>44</v>
      </c>
      <c r="D201" s="27" t="s">
        <v>49</v>
      </c>
      <c r="E201" s="28" t="n">
        <f aca="false">ROUND((SUMIFS(Acerto_Detalhado!$F$2:$F$433,Acerto_Detalhado!$A$2:$A$433,$C201,Acerto_Detalhado!$B$2:$B$433,"Jan",Acerto_Detalhado!$C$2:$C$433,"Umidade"))*(SUMIFS(Acerto_Detalhado!$I$2:$I$433,Acerto_Detalhado!$A$2:$A$433,$D201,Acerto_Detalhado!$B$2:$B$433,"Jan",Acerto_Detalhado!$C$2:$C$433,"Umidade")),2)</f>
        <v>0</v>
      </c>
    </row>
    <row r="202" customFormat="false" ht="15" hidden="false" customHeight="false" outlineLevel="0" collapsed="false">
      <c r="A202" s="27" t="s">
        <v>108</v>
      </c>
      <c r="B202" s="27" t="s">
        <v>110</v>
      </c>
      <c r="C202" s="27" t="s">
        <v>44</v>
      </c>
      <c r="D202" s="27" t="s">
        <v>50</v>
      </c>
      <c r="E202" s="28" t="n">
        <f aca="false">ROUND((SUMIFS(Acerto_Detalhado!$F$2:$F$433,Acerto_Detalhado!$A$2:$A$433,$C202,Acerto_Detalhado!$B$2:$B$433,"Jan",Acerto_Detalhado!$C$2:$C$433,"Umidade"))*(SUMIFS(Acerto_Detalhado!$I$2:$I$433,Acerto_Detalhado!$A$2:$A$433,$D202,Acerto_Detalhado!$B$2:$B$433,"Jan",Acerto_Detalhado!$C$2:$C$433,"Umidade")),2)</f>
        <v>0</v>
      </c>
    </row>
    <row r="203" customFormat="false" ht="15" hidden="false" customHeight="false" outlineLevel="0" collapsed="false">
      <c r="A203" s="27" t="s">
        <v>108</v>
      </c>
      <c r="B203" s="27" t="s">
        <v>110</v>
      </c>
      <c r="C203" s="27" t="s">
        <v>45</v>
      </c>
      <c r="D203" s="27" t="s">
        <v>39</v>
      </c>
      <c r="E203" s="28" t="n">
        <f aca="false">ROUND((SUMIFS(Acerto_Detalhado!$F$2:$F$433,Acerto_Detalhado!$A$2:$A$433,$C203,Acerto_Detalhado!$B$2:$B$433,"Jan",Acerto_Detalhado!$C$2:$C$433,"Umidade"))*(SUMIFS(Acerto_Detalhado!$I$2:$I$433,Acerto_Detalhado!$A$2:$A$433,$D203,Acerto_Detalhado!$B$2:$B$433,"Jan",Acerto_Detalhado!$C$2:$C$433,"Umidade")),2)</f>
        <v>0</v>
      </c>
    </row>
    <row r="204" customFormat="false" ht="15" hidden="false" customHeight="false" outlineLevel="0" collapsed="false">
      <c r="A204" s="27" t="s">
        <v>108</v>
      </c>
      <c r="B204" s="27" t="s">
        <v>110</v>
      </c>
      <c r="C204" s="27" t="s">
        <v>45</v>
      </c>
      <c r="D204" s="27" t="s">
        <v>40</v>
      </c>
      <c r="E204" s="28" t="n">
        <f aca="false">ROUND((SUMIFS(Acerto_Detalhado!$F$2:$F$433,Acerto_Detalhado!$A$2:$A$433,$C204,Acerto_Detalhado!$B$2:$B$433,"Jan",Acerto_Detalhado!$C$2:$C$433,"Umidade"))*(SUMIFS(Acerto_Detalhado!$I$2:$I$433,Acerto_Detalhado!$A$2:$A$433,$D204,Acerto_Detalhado!$B$2:$B$433,"Jan",Acerto_Detalhado!$C$2:$C$433,"Umidade")),2)</f>
        <v>0</v>
      </c>
    </row>
    <row r="205" customFormat="false" ht="15" hidden="false" customHeight="false" outlineLevel="0" collapsed="false">
      <c r="A205" s="27" t="s">
        <v>108</v>
      </c>
      <c r="B205" s="27" t="s">
        <v>110</v>
      </c>
      <c r="C205" s="27" t="s">
        <v>45</v>
      </c>
      <c r="D205" s="27" t="s">
        <v>41</v>
      </c>
      <c r="E205" s="28" t="n">
        <f aca="false">ROUND((SUMIFS(Acerto_Detalhado!$F$2:$F$433,Acerto_Detalhado!$A$2:$A$433,$C205,Acerto_Detalhado!$B$2:$B$433,"Jan",Acerto_Detalhado!$C$2:$C$433,"Umidade"))*(SUMIFS(Acerto_Detalhado!$I$2:$I$433,Acerto_Detalhado!$A$2:$A$433,$D205,Acerto_Detalhado!$B$2:$B$433,"Jan",Acerto_Detalhado!$C$2:$C$433,"Umidade")),2)</f>
        <v>0</v>
      </c>
    </row>
    <row r="206" customFormat="false" ht="15" hidden="false" customHeight="false" outlineLevel="0" collapsed="false">
      <c r="A206" s="27" t="s">
        <v>108</v>
      </c>
      <c r="B206" s="27" t="s">
        <v>110</v>
      </c>
      <c r="C206" s="27" t="s">
        <v>45</v>
      </c>
      <c r="D206" s="27" t="s">
        <v>42</v>
      </c>
      <c r="E206" s="28" t="n">
        <f aca="false">ROUND((SUMIFS(Acerto_Detalhado!$F$2:$F$433,Acerto_Detalhado!$A$2:$A$433,$C206,Acerto_Detalhado!$B$2:$B$433,"Jan",Acerto_Detalhado!$C$2:$C$433,"Umidade"))*(SUMIFS(Acerto_Detalhado!$I$2:$I$433,Acerto_Detalhado!$A$2:$A$433,$D206,Acerto_Detalhado!$B$2:$B$433,"Jan",Acerto_Detalhado!$C$2:$C$433,"Umidade")),2)</f>
        <v>0</v>
      </c>
    </row>
    <row r="207" customFormat="false" ht="15" hidden="false" customHeight="false" outlineLevel="0" collapsed="false">
      <c r="A207" s="27" t="s">
        <v>108</v>
      </c>
      <c r="B207" s="27" t="s">
        <v>110</v>
      </c>
      <c r="C207" s="27" t="s">
        <v>45</v>
      </c>
      <c r="D207" s="27" t="s">
        <v>43</v>
      </c>
      <c r="E207" s="28" t="n">
        <f aca="false">ROUND((SUMIFS(Acerto_Detalhado!$F$2:$F$433,Acerto_Detalhado!$A$2:$A$433,$C207,Acerto_Detalhado!$B$2:$B$433,"Jan",Acerto_Detalhado!$C$2:$C$433,"Umidade"))*(SUMIFS(Acerto_Detalhado!$I$2:$I$433,Acerto_Detalhado!$A$2:$A$433,$D207,Acerto_Detalhado!$B$2:$B$433,"Jan",Acerto_Detalhado!$C$2:$C$433,"Umidade")),2)</f>
        <v>0</v>
      </c>
    </row>
    <row r="208" customFormat="false" ht="15" hidden="false" customHeight="false" outlineLevel="0" collapsed="false">
      <c r="A208" s="27" t="s">
        <v>108</v>
      </c>
      <c r="B208" s="27" t="s">
        <v>110</v>
      </c>
      <c r="C208" s="27" t="s">
        <v>45</v>
      </c>
      <c r="D208" s="27" t="s">
        <v>44</v>
      </c>
      <c r="E208" s="28" t="n">
        <f aca="false">ROUND((SUMIFS(Acerto_Detalhado!$F$2:$F$433,Acerto_Detalhado!$A$2:$A$433,$C208,Acerto_Detalhado!$B$2:$B$433,"Jan",Acerto_Detalhado!$C$2:$C$433,"Umidade"))*(SUMIFS(Acerto_Detalhado!$I$2:$I$433,Acerto_Detalhado!$A$2:$A$433,$D208,Acerto_Detalhado!$B$2:$B$433,"Jan",Acerto_Detalhado!$C$2:$C$433,"Umidade")),2)</f>
        <v>0</v>
      </c>
    </row>
    <row r="209" customFormat="false" ht="15" hidden="false" customHeight="false" outlineLevel="0" collapsed="false">
      <c r="A209" s="27" t="s">
        <v>108</v>
      </c>
      <c r="B209" s="27" t="s">
        <v>110</v>
      </c>
      <c r="C209" s="27" t="s">
        <v>45</v>
      </c>
      <c r="D209" s="27" t="s">
        <v>46</v>
      </c>
      <c r="E209" s="28" t="n">
        <f aca="false">ROUND((SUMIFS(Acerto_Detalhado!$F$2:$F$433,Acerto_Detalhado!$A$2:$A$433,$C209,Acerto_Detalhado!$B$2:$B$433,"Jan",Acerto_Detalhado!$C$2:$C$433,"Umidade"))*(SUMIFS(Acerto_Detalhado!$I$2:$I$433,Acerto_Detalhado!$A$2:$A$433,$D209,Acerto_Detalhado!$B$2:$B$433,"Jan",Acerto_Detalhado!$C$2:$C$433,"Umidade")),2)</f>
        <v>0</v>
      </c>
    </row>
    <row r="210" customFormat="false" ht="15" hidden="false" customHeight="false" outlineLevel="0" collapsed="false">
      <c r="A210" s="27" t="s">
        <v>108</v>
      </c>
      <c r="B210" s="27" t="s">
        <v>110</v>
      </c>
      <c r="C210" s="27" t="s">
        <v>45</v>
      </c>
      <c r="D210" s="27" t="s">
        <v>47</v>
      </c>
      <c r="E210" s="28" t="n">
        <f aca="false">ROUND((SUMIFS(Acerto_Detalhado!$F$2:$F$433,Acerto_Detalhado!$A$2:$A$433,$C210,Acerto_Detalhado!$B$2:$B$433,"Jan",Acerto_Detalhado!$C$2:$C$433,"Umidade"))*(SUMIFS(Acerto_Detalhado!$I$2:$I$433,Acerto_Detalhado!$A$2:$A$433,$D210,Acerto_Detalhado!$B$2:$B$433,"Jan",Acerto_Detalhado!$C$2:$C$433,"Umidade")),2)</f>
        <v>0</v>
      </c>
    </row>
    <row r="211" customFormat="false" ht="15" hidden="false" customHeight="false" outlineLevel="0" collapsed="false">
      <c r="A211" s="27" t="s">
        <v>108</v>
      </c>
      <c r="B211" s="27" t="s">
        <v>110</v>
      </c>
      <c r="C211" s="27" t="s">
        <v>45</v>
      </c>
      <c r="D211" s="27" t="s">
        <v>48</v>
      </c>
      <c r="E211" s="28" t="n">
        <f aca="false">ROUND((SUMIFS(Acerto_Detalhado!$F$2:$F$433,Acerto_Detalhado!$A$2:$A$433,$C211,Acerto_Detalhado!$B$2:$B$433,"Jan",Acerto_Detalhado!$C$2:$C$433,"Umidade"))*(SUMIFS(Acerto_Detalhado!$I$2:$I$433,Acerto_Detalhado!$A$2:$A$433,$D211,Acerto_Detalhado!$B$2:$B$433,"Jan",Acerto_Detalhado!$C$2:$C$433,"Umidade")),2)</f>
        <v>0</v>
      </c>
    </row>
    <row r="212" customFormat="false" ht="15" hidden="false" customHeight="false" outlineLevel="0" collapsed="false">
      <c r="A212" s="27" t="s">
        <v>108</v>
      </c>
      <c r="B212" s="27" t="s">
        <v>110</v>
      </c>
      <c r="C212" s="27" t="s">
        <v>45</v>
      </c>
      <c r="D212" s="27" t="s">
        <v>49</v>
      </c>
      <c r="E212" s="28" t="n">
        <f aca="false">ROUND((SUMIFS(Acerto_Detalhado!$F$2:$F$433,Acerto_Detalhado!$A$2:$A$433,$C212,Acerto_Detalhado!$B$2:$B$433,"Jan",Acerto_Detalhado!$C$2:$C$433,"Umidade"))*(SUMIFS(Acerto_Detalhado!$I$2:$I$433,Acerto_Detalhado!$A$2:$A$433,$D212,Acerto_Detalhado!$B$2:$B$433,"Jan",Acerto_Detalhado!$C$2:$C$433,"Umidade")),2)</f>
        <v>0</v>
      </c>
    </row>
    <row r="213" customFormat="false" ht="15" hidden="false" customHeight="false" outlineLevel="0" collapsed="false">
      <c r="A213" s="27" t="s">
        <v>108</v>
      </c>
      <c r="B213" s="27" t="s">
        <v>110</v>
      </c>
      <c r="C213" s="27" t="s">
        <v>45</v>
      </c>
      <c r="D213" s="27" t="s">
        <v>50</v>
      </c>
      <c r="E213" s="28" t="n">
        <f aca="false">ROUND((SUMIFS(Acerto_Detalhado!$F$2:$F$433,Acerto_Detalhado!$A$2:$A$433,$C213,Acerto_Detalhado!$B$2:$B$433,"Jan",Acerto_Detalhado!$C$2:$C$433,"Umidade"))*(SUMIFS(Acerto_Detalhado!$I$2:$I$433,Acerto_Detalhado!$A$2:$A$433,$D213,Acerto_Detalhado!$B$2:$B$433,"Jan",Acerto_Detalhado!$C$2:$C$433,"Umidade")),2)</f>
        <v>0</v>
      </c>
    </row>
    <row r="214" customFormat="false" ht="15" hidden="false" customHeight="false" outlineLevel="0" collapsed="false">
      <c r="A214" s="27" t="s">
        <v>108</v>
      </c>
      <c r="B214" s="27" t="s">
        <v>110</v>
      </c>
      <c r="C214" s="27" t="s">
        <v>46</v>
      </c>
      <c r="D214" s="27" t="s">
        <v>39</v>
      </c>
      <c r="E214" s="28" t="n">
        <f aca="false">ROUND((SUMIFS(Acerto_Detalhado!$F$2:$F$433,Acerto_Detalhado!$A$2:$A$433,$C214,Acerto_Detalhado!$B$2:$B$433,"Jan",Acerto_Detalhado!$C$2:$C$433,"Umidade"))*(SUMIFS(Acerto_Detalhado!$I$2:$I$433,Acerto_Detalhado!$A$2:$A$433,$D214,Acerto_Detalhado!$B$2:$B$433,"Jan",Acerto_Detalhado!$C$2:$C$433,"Umidade")),2)</f>
        <v>0</v>
      </c>
    </row>
    <row r="215" customFormat="false" ht="15" hidden="false" customHeight="false" outlineLevel="0" collapsed="false">
      <c r="A215" s="27" t="s">
        <v>108</v>
      </c>
      <c r="B215" s="27" t="s">
        <v>110</v>
      </c>
      <c r="C215" s="27" t="s">
        <v>46</v>
      </c>
      <c r="D215" s="27" t="s">
        <v>40</v>
      </c>
      <c r="E215" s="28" t="n">
        <f aca="false">ROUND((SUMIFS(Acerto_Detalhado!$F$2:$F$433,Acerto_Detalhado!$A$2:$A$433,$C215,Acerto_Detalhado!$B$2:$B$433,"Jan",Acerto_Detalhado!$C$2:$C$433,"Umidade"))*(SUMIFS(Acerto_Detalhado!$I$2:$I$433,Acerto_Detalhado!$A$2:$A$433,$D215,Acerto_Detalhado!$B$2:$B$433,"Jan",Acerto_Detalhado!$C$2:$C$433,"Umidade")),2)</f>
        <v>0</v>
      </c>
    </row>
    <row r="216" customFormat="false" ht="15" hidden="false" customHeight="false" outlineLevel="0" collapsed="false">
      <c r="A216" s="27" t="s">
        <v>108</v>
      </c>
      <c r="B216" s="27" t="s">
        <v>110</v>
      </c>
      <c r="C216" s="27" t="s">
        <v>46</v>
      </c>
      <c r="D216" s="27" t="s">
        <v>41</v>
      </c>
      <c r="E216" s="28" t="n">
        <f aca="false">ROUND((SUMIFS(Acerto_Detalhado!$F$2:$F$433,Acerto_Detalhado!$A$2:$A$433,$C216,Acerto_Detalhado!$B$2:$B$433,"Jan",Acerto_Detalhado!$C$2:$C$433,"Umidade"))*(SUMIFS(Acerto_Detalhado!$I$2:$I$433,Acerto_Detalhado!$A$2:$A$433,$D216,Acerto_Detalhado!$B$2:$B$433,"Jan",Acerto_Detalhado!$C$2:$C$433,"Umidade")),2)</f>
        <v>0</v>
      </c>
    </row>
    <row r="217" customFormat="false" ht="15" hidden="false" customHeight="false" outlineLevel="0" collapsed="false">
      <c r="A217" s="27" t="s">
        <v>108</v>
      </c>
      <c r="B217" s="27" t="s">
        <v>110</v>
      </c>
      <c r="C217" s="27" t="s">
        <v>46</v>
      </c>
      <c r="D217" s="27" t="s">
        <v>42</v>
      </c>
      <c r="E217" s="28" t="n">
        <f aca="false">ROUND((SUMIFS(Acerto_Detalhado!$F$2:$F$433,Acerto_Detalhado!$A$2:$A$433,$C217,Acerto_Detalhado!$B$2:$B$433,"Jan",Acerto_Detalhado!$C$2:$C$433,"Umidade"))*(SUMIFS(Acerto_Detalhado!$I$2:$I$433,Acerto_Detalhado!$A$2:$A$433,$D217,Acerto_Detalhado!$B$2:$B$433,"Jan",Acerto_Detalhado!$C$2:$C$433,"Umidade")),2)</f>
        <v>0</v>
      </c>
    </row>
    <row r="218" customFormat="false" ht="15" hidden="false" customHeight="false" outlineLevel="0" collapsed="false">
      <c r="A218" s="27" t="s">
        <v>108</v>
      </c>
      <c r="B218" s="27" t="s">
        <v>110</v>
      </c>
      <c r="C218" s="27" t="s">
        <v>46</v>
      </c>
      <c r="D218" s="27" t="s">
        <v>43</v>
      </c>
      <c r="E218" s="28" t="n">
        <f aca="false">ROUND((SUMIFS(Acerto_Detalhado!$F$2:$F$433,Acerto_Detalhado!$A$2:$A$433,$C218,Acerto_Detalhado!$B$2:$B$433,"Jan",Acerto_Detalhado!$C$2:$C$433,"Umidade"))*(SUMIFS(Acerto_Detalhado!$I$2:$I$433,Acerto_Detalhado!$A$2:$A$433,$D218,Acerto_Detalhado!$B$2:$B$433,"Jan",Acerto_Detalhado!$C$2:$C$433,"Umidade")),2)</f>
        <v>0</v>
      </c>
    </row>
    <row r="219" customFormat="false" ht="15" hidden="false" customHeight="false" outlineLevel="0" collapsed="false">
      <c r="A219" s="27" t="s">
        <v>108</v>
      </c>
      <c r="B219" s="27" t="s">
        <v>110</v>
      </c>
      <c r="C219" s="27" t="s">
        <v>46</v>
      </c>
      <c r="D219" s="27" t="s">
        <v>44</v>
      </c>
      <c r="E219" s="28" t="n">
        <f aca="false">ROUND((SUMIFS(Acerto_Detalhado!$F$2:$F$433,Acerto_Detalhado!$A$2:$A$433,$C219,Acerto_Detalhado!$B$2:$B$433,"Jan",Acerto_Detalhado!$C$2:$C$433,"Umidade"))*(SUMIFS(Acerto_Detalhado!$I$2:$I$433,Acerto_Detalhado!$A$2:$A$433,$D219,Acerto_Detalhado!$B$2:$B$433,"Jan",Acerto_Detalhado!$C$2:$C$433,"Umidade")),2)</f>
        <v>0</v>
      </c>
    </row>
    <row r="220" customFormat="false" ht="15" hidden="false" customHeight="false" outlineLevel="0" collapsed="false">
      <c r="A220" s="27" t="s">
        <v>108</v>
      </c>
      <c r="B220" s="27" t="s">
        <v>110</v>
      </c>
      <c r="C220" s="27" t="s">
        <v>46</v>
      </c>
      <c r="D220" s="27" t="s">
        <v>45</v>
      </c>
      <c r="E220" s="28" t="n">
        <f aca="false">ROUND((SUMIFS(Acerto_Detalhado!$F$2:$F$433,Acerto_Detalhado!$A$2:$A$433,$C220,Acerto_Detalhado!$B$2:$B$433,"Jan",Acerto_Detalhado!$C$2:$C$433,"Umidade"))*(SUMIFS(Acerto_Detalhado!$I$2:$I$433,Acerto_Detalhado!$A$2:$A$433,$D220,Acerto_Detalhado!$B$2:$B$433,"Jan",Acerto_Detalhado!$C$2:$C$433,"Umidade")),2)</f>
        <v>0</v>
      </c>
    </row>
    <row r="221" customFormat="false" ht="15" hidden="false" customHeight="false" outlineLevel="0" collapsed="false">
      <c r="A221" s="27" t="s">
        <v>108</v>
      </c>
      <c r="B221" s="27" t="s">
        <v>110</v>
      </c>
      <c r="C221" s="27" t="s">
        <v>46</v>
      </c>
      <c r="D221" s="27" t="s">
        <v>47</v>
      </c>
      <c r="E221" s="28" t="n">
        <f aca="false">ROUND((SUMIFS(Acerto_Detalhado!$F$2:$F$433,Acerto_Detalhado!$A$2:$A$433,$C221,Acerto_Detalhado!$B$2:$B$433,"Jan",Acerto_Detalhado!$C$2:$C$433,"Umidade"))*(SUMIFS(Acerto_Detalhado!$I$2:$I$433,Acerto_Detalhado!$A$2:$A$433,$D221,Acerto_Detalhado!$B$2:$B$433,"Jan",Acerto_Detalhado!$C$2:$C$433,"Umidade")),2)</f>
        <v>0</v>
      </c>
    </row>
    <row r="222" customFormat="false" ht="15" hidden="false" customHeight="false" outlineLevel="0" collapsed="false">
      <c r="A222" s="27" t="s">
        <v>108</v>
      </c>
      <c r="B222" s="27" t="s">
        <v>110</v>
      </c>
      <c r="C222" s="27" t="s">
        <v>46</v>
      </c>
      <c r="D222" s="27" t="s">
        <v>48</v>
      </c>
      <c r="E222" s="28" t="n">
        <f aca="false">ROUND((SUMIFS(Acerto_Detalhado!$F$2:$F$433,Acerto_Detalhado!$A$2:$A$433,$C222,Acerto_Detalhado!$B$2:$B$433,"Jan",Acerto_Detalhado!$C$2:$C$433,"Umidade"))*(SUMIFS(Acerto_Detalhado!$I$2:$I$433,Acerto_Detalhado!$A$2:$A$433,$D222,Acerto_Detalhado!$B$2:$B$433,"Jan",Acerto_Detalhado!$C$2:$C$433,"Umidade")),2)</f>
        <v>0</v>
      </c>
    </row>
    <row r="223" customFormat="false" ht="15" hidden="false" customHeight="false" outlineLevel="0" collapsed="false">
      <c r="A223" s="27" t="s">
        <v>108</v>
      </c>
      <c r="B223" s="27" t="s">
        <v>110</v>
      </c>
      <c r="C223" s="27" t="s">
        <v>46</v>
      </c>
      <c r="D223" s="27" t="s">
        <v>49</v>
      </c>
      <c r="E223" s="28" t="n">
        <f aca="false">ROUND((SUMIFS(Acerto_Detalhado!$F$2:$F$433,Acerto_Detalhado!$A$2:$A$433,$C223,Acerto_Detalhado!$B$2:$B$433,"Jan",Acerto_Detalhado!$C$2:$C$433,"Umidade"))*(SUMIFS(Acerto_Detalhado!$I$2:$I$433,Acerto_Detalhado!$A$2:$A$433,$D223,Acerto_Detalhado!$B$2:$B$433,"Jan",Acerto_Detalhado!$C$2:$C$433,"Umidade")),2)</f>
        <v>0</v>
      </c>
    </row>
    <row r="224" customFormat="false" ht="15" hidden="false" customHeight="false" outlineLevel="0" collapsed="false">
      <c r="A224" s="27" t="s">
        <v>108</v>
      </c>
      <c r="B224" s="27" t="s">
        <v>110</v>
      </c>
      <c r="C224" s="27" t="s">
        <v>46</v>
      </c>
      <c r="D224" s="27" t="s">
        <v>50</v>
      </c>
      <c r="E224" s="28" t="n">
        <f aca="false">ROUND((SUMIFS(Acerto_Detalhado!$F$2:$F$433,Acerto_Detalhado!$A$2:$A$433,$C224,Acerto_Detalhado!$B$2:$B$433,"Jan",Acerto_Detalhado!$C$2:$C$433,"Umidade"))*(SUMIFS(Acerto_Detalhado!$I$2:$I$433,Acerto_Detalhado!$A$2:$A$433,$D224,Acerto_Detalhado!$B$2:$B$433,"Jan",Acerto_Detalhado!$C$2:$C$433,"Umidade")),2)</f>
        <v>0</v>
      </c>
    </row>
    <row r="225" customFormat="false" ht="15" hidden="false" customHeight="false" outlineLevel="0" collapsed="false">
      <c r="A225" s="27" t="s">
        <v>108</v>
      </c>
      <c r="B225" s="27" t="s">
        <v>110</v>
      </c>
      <c r="C225" s="27" t="s">
        <v>47</v>
      </c>
      <c r="D225" s="27" t="s">
        <v>39</v>
      </c>
      <c r="E225" s="28" t="n">
        <f aca="false">ROUND((SUMIFS(Acerto_Detalhado!$F$2:$F$433,Acerto_Detalhado!$A$2:$A$433,$C225,Acerto_Detalhado!$B$2:$B$433,"Jan",Acerto_Detalhado!$C$2:$C$433,"Umidade"))*(SUMIFS(Acerto_Detalhado!$I$2:$I$433,Acerto_Detalhado!$A$2:$A$433,$D225,Acerto_Detalhado!$B$2:$B$433,"Jan",Acerto_Detalhado!$C$2:$C$433,"Umidade")),2)</f>
        <v>0</v>
      </c>
    </row>
    <row r="226" customFormat="false" ht="15" hidden="false" customHeight="false" outlineLevel="0" collapsed="false">
      <c r="A226" s="27" t="s">
        <v>108</v>
      </c>
      <c r="B226" s="27" t="s">
        <v>110</v>
      </c>
      <c r="C226" s="27" t="s">
        <v>47</v>
      </c>
      <c r="D226" s="27" t="s">
        <v>40</v>
      </c>
      <c r="E226" s="28" t="n">
        <f aca="false">ROUND((SUMIFS(Acerto_Detalhado!$F$2:$F$433,Acerto_Detalhado!$A$2:$A$433,$C226,Acerto_Detalhado!$B$2:$B$433,"Jan",Acerto_Detalhado!$C$2:$C$433,"Umidade"))*(SUMIFS(Acerto_Detalhado!$I$2:$I$433,Acerto_Detalhado!$A$2:$A$433,$D226,Acerto_Detalhado!$B$2:$B$433,"Jan",Acerto_Detalhado!$C$2:$C$433,"Umidade")),2)</f>
        <v>0</v>
      </c>
    </row>
    <row r="227" customFormat="false" ht="15" hidden="false" customHeight="false" outlineLevel="0" collapsed="false">
      <c r="A227" s="27" t="s">
        <v>108</v>
      </c>
      <c r="B227" s="27" t="s">
        <v>110</v>
      </c>
      <c r="C227" s="27" t="s">
        <v>47</v>
      </c>
      <c r="D227" s="27" t="s">
        <v>41</v>
      </c>
      <c r="E227" s="28" t="n">
        <f aca="false">ROUND((SUMIFS(Acerto_Detalhado!$F$2:$F$433,Acerto_Detalhado!$A$2:$A$433,$C227,Acerto_Detalhado!$B$2:$B$433,"Jan",Acerto_Detalhado!$C$2:$C$433,"Umidade"))*(SUMIFS(Acerto_Detalhado!$I$2:$I$433,Acerto_Detalhado!$A$2:$A$433,$D227,Acerto_Detalhado!$B$2:$B$433,"Jan",Acerto_Detalhado!$C$2:$C$433,"Umidade")),2)</f>
        <v>0</v>
      </c>
    </row>
    <row r="228" customFormat="false" ht="15" hidden="false" customHeight="false" outlineLevel="0" collapsed="false">
      <c r="A228" s="27" t="s">
        <v>108</v>
      </c>
      <c r="B228" s="27" t="s">
        <v>110</v>
      </c>
      <c r="C228" s="27" t="s">
        <v>47</v>
      </c>
      <c r="D228" s="27" t="s">
        <v>42</v>
      </c>
      <c r="E228" s="28" t="n">
        <f aca="false">ROUND((SUMIFS(Acerto_Detalhado!$F$2:$F$433,Acerto_Detalhado!$A$2:$A$433,$C228,Acerto_Detalhado!$B$2:$B$433,"Jan",Acerto_Detalhado!$C$2:$C$433,"Umidade"))*(SUMIFS(Acerto_Detalhado!$I$2:$I$433,Acerto_Detalhado!$A$2:$A$433,$D228,Acerto_Detalhado!$B$2:$B$433,"Jan",Acerto_Detalhado!$C$2:$C$433,"Umidade")),2)</f>
        <v>0</v>
      </c>
    </row>
    <row r="229" customFormat="false" ht="15" hidden="false" customHeight="false" outlineLevel="0" collapsed="false">
      <c r="A229" s="27" t="s">
        <v>108</v>
      </c>
      <c r="B229" s="27" t="s">
        <v>110</v>
      </c>
      <c r="C229" s="27" t="s">
        <v>47</v>
      </c>
      <c r="D229" s="27" t="s">
        <v>43</v>
      </c>
      <c r="E229" s="28" t="n">
        <f aca="false">ROUND((SUMIFS(Acerto_Detalhado!$F$2:$F$433,Acerto_Detalhado!$A$2:$A$433,$C229,Acerto_Detalhado!$B$2:$B$433,"Jan",Acerto_Detalhado!$C$2:$C$433,"Umidade"))*(SUMIFS(Acerto_Detalhado!$I$2:$I$433,Acerto_Detalhado!$A$2:$A$433,$D229,Acerto_Detalhado!$B$2:$B$433,"Jan",Acerto_Detalhado!$C$2:$C$433,"Umidade")),2)</f>
        <v>0</v>
      </c>
    </row>
    <row r="230" customFormat="false" ht="15" hidden="false" customHeight="false" outlineLevel="0" collapsed="false">
      <c r="A230" s="27" t="s">
        <v>108</v>
      </c>
      <c r="B230" s="27" t="s">
        <v>110</v>
      </c>
      <c r="C230" s="27" t="s">
        <v>47</v>
      </c>
      <c r="D230" s="27" t="s">
        <v>44</v>
      </c>
      <c r="E230" s="28" t="n">
        <f aca="false">ROUND((SUMIFS(Acerto_Detalhado!$F$2:$F$433,Acerto_Detalhado!$A$2:$A$433,$C230,Acerto_Detalhado!$B$2:$B$433,"Jan",Acerto_Detalhado!$C$2:$C$433,"Umidade"))*(SUMIFS(Acerto_Detalhado!$I$2:$I$433,Acerto_Detalhado!$A$2:$A$433,$D230,Acerto_Detalhado!$B$2:$B$433,"Jan",Acerto_Detalhado!$C$2:$C$433,"Umidade")),2)</f>
        <v>0</v>
      </c>
    </row>
    <row r="231" customFormat="false" ht="15" hidden="false" customHeight="false" outlineLevel="0" collapsed="false">
      <c r="A231" s="27" t="s">
        <v>108</v>
      </c>
      <c r="B231" s="27" t="s">
        <v>110</v>
      </c>
      <c r="C231" s="27" t="s">
        <v>47</v>
      </c>
      <c r="D231" s="27" t="s">
        <v>45</v>
      </c>
      <c r="E231" s="28" t="n">
        <f aca="false">ROUND((SUMIFS(Acerto_Detalhado!$F$2:$F$433,Acerto_Detalhado!$A$2:$A$433,$C231,Acerto_Detalhado!$B$2:$B$433,"Jan",Acerto_Detalhado!$C$2:$C$433,"Umidade"))*(SUMIFS(Acerto_Detalhado!$I$2:$I$433,Acerto_Detalhado!$A$2:$A$433,$D231,Acerto_Detalhado!$B$2:$B$433,"Jan",Acerto_Detalhado!$C$2:$C$433,"Umidade")),2)</f>
        <v>0</v>
      </c>
    </row>
    <row r="232" customFormat="false" ht="15" hidden="false" customHeight="false" outlineLevel="0" collapsed="false">
      <c r="A232" s="27" t="s">
        <v>108</v>
      </c>
      <c r="B232" s="27" t="s">
        <v>110</v>
      </c>
      <c r="C232" s="27" t="s">
        <v>47</v>
      </c>
      <c r="D232" s="27" t="s">
        <v>46</v>
      </c>
      <c r="E232" s="28" t="n">
        <f aca="false">ROUND((SUMIFS(Acerto_Detalhado!$F$2:$F$433,Acerto_Detalhado!$A$2:$A$433,$C232,Acerto_Detalhado!$B$2:$B$433,"Jan",Acerto_Detalhado!$C$2:$C$433,"Umidade"))*(SUMIFS(Acerto_Detalhado!$I$2:$I$433,Acerto_Detalhado!$A$2:$A$433,$D232,Acerto_Detalhado!$B$2:$B$433,"Jan",Acerto_Detalhado!$C$2:$C$433,"Umidade")),2)</f>
        <v>0</v>
      </c>
    </row>
    <row r="233" customFormat="false" ht="15" hidden="false" customHeight="false" outlineLevel="0" collapsed="false">
      <c r="A233" s="27" t="s">
        <v>108</v>
      </c>
      <c r="B233" s="27" t="s">
        <v>110</v>
      </c>
      <c r="C233" s="27" t="s">
        <v>47</v>
      </c>
      <c r="D233" s="27" t="s">
        <v>48</v>
      </c>
      <c r="E233" s="28" t="n">
        <f aca="false">ROUND((SUMIFS(Acerto_Detalhado!$F$2:$F$433,Acerto_Detalhado!$A$2:$A$433,$C233,Acerto_Detalhado!$B$2:$B$433,"Jan",Acerto_Detalhado!$C$2:$C$433,"Umidade"))*(SUMIFS(Acerto_Detalhado!$I$2:$I$433,Acerto_Detalhado!$A$2:$A$433,$D233,Acerto_Detalhado!$B$2:$B$433,"Jan",Acerto_Detalhado!$C$2:$C$433,"Umidade")),2)</f>
        <v>0</v>
      </c>
    </row>
    <row r="234" customFormat="false" ht="15" hidden="false" customHeight="false" outlineLevel="0" collapsed="false">
      <c r="A234" s="27" t="s">
        <v>108</v>
      </c>
      <c r="B234" s="27" t="s">
        <v>110</v>
      </c>
      <c r="C234" s="27" t="s">
        <v>47</v>
      </c>
      <c r="D234" s="27" t="s">
        <v>49</v>
      </c>
      <c r="E234" s="28" t="n">
        <f aca="false">ROUND((SUMIFS(Acerto_Detalhado!$F$2:$F$433,Acerto_Detalhado!$A$2:$A$433,$C234,Acerto_Detalhado!$B$2:$B$433,"Jan",Acerto_Detalhado!$C$2:$C$433,"Umidade"))*(SUMIFS(Acerto_Detalhado!$I$2:$I$433,Acerto_Detalhado!$A$2:$A$433,$D234,Acerto_Detalhado!$B$2:$B$433,"Jan",Acerto_Detalhado!$C$2:$C$433,"Umidade")),2)</f>
        <v>0</v>
      </c>
    </row>
    <row r="235" customFormat="false" ht="15" hidden="false" customHeight="false" outlineLevel="0" collapsed="false">
      <c r="A235" s="27" t="s">
        <v>108</v>
      </c>
      <c r="B235" s="27" t="s">
        <v>110</v>
      </c>
      <c r="C235" s="27" t="s">
        <v>47</v>
      </c>
      <c r="D235" s="27" t="s">
        <v>50</v>
      </c>
      <c r="E235" s="28" t="n">
        <f aca="false">ROUND((SUMIFS(Acerto_Detalhado!$F$2:$F$433,Acerto_Detalhado!$A$2:$A$433,$C235,Acerto_Detalhado!$B$2:$B$433,"Jan",Acerto_Detalhado!$C$2:$C$433,"Umidade"))*(SUMIFS(Acerto_Detalhado!$I$2:$I$433,Acerto_Detalhado!$A$2:$A$433,$D235,Acerto_Detalhado!$B$2:$B$433,"Jan",Acerto_Detalhado!$C$2:$C$433,"Umidade")),2)</f>
        <v>0</v>
      </c>
    </row>
    <row r="236" customFormat="false" ht="15" hidden="false" customHeight="false" outlineLevel="0" collapsed="false">
      <c r="A236" s="27" t="s">
        <v>108</v>
      </c>
      <c r="B236" s="27" t="s">
        <v>110</v>
      </c>
      <c r="C236" s="27" t="s">
        <v>48</v>
      </c>
      <c r="D236" s="27" t="s">
        <v>39</v>
      </c>
      <c r="E236" s="28" t="n">
        <f aca="false">ROUND((SUMIFS(Acerto_Detalhado!$F$2:$F$433,Acerto_Detalhado!$A$2:$A$433,$C236,Acerto_Detalhado!$B$2:$B$433,"Jan",Acerto_Detalhado!$C$2:$C$433,"Umidade"))*(SUMIFS(Acerto_Detalhado!$I$2:$I$433,Acerto_Detalhado!$A$2:$A$433,$D236,Acerto_Detalhado!$B$2:$B$433,"Jan",Acerto_Detalhado!$C$2:$C$433,"Umidade")),2)</f>
        <v>0</v>
      </c>
    </row>
    <row r="237" customFormat="false" ht="15" hidden="false" customHeight="false" outlineLevel="0" collapsed="false">
      <c r="A237" s="27" t="s">
        <v>108</v>
      </c>
      <c r="B237" s="27" t="s">
        <v>110</v>
      </c>
      <c r="C237" s="27" t="s">
        <v>48</v>
      </c>
      <c r="D237" s="27" t="s">
        <v>40</v>
      </c>
      <c r="E237" s="28" t="n">
        <f aca="false">ROUND((SUMIFS(Acerto_Detalhado!$F$2:$F$433,Acerto_Detalhado!$A$2:$A$433,$C237,Acerto_Detalhado!$B$2:$B$433,"Jan",Acerto_Detalhado!$C$2:$C$433,"Umidade"))*(SUMIFS(Acerto_Detalhado!$I$2:$I$433,Acerto_Detalhado!$A$2:$A$433,$D237,Acerto_Detalhado!$B$2:$B$433,"Jan",Acerto_Detalhado!$C$2:$C$433,"Umidade")),2)</f>
        <v>0</v>
      </c>
    </row>
    <row r="238" customFormat="false" ht="15" hidden="false" customHeight="false" outlineLevel="0" collapsed="false">
      <c r="A238" s="27" t="s">
        <v>108</v>
      </c>
      <c r="B238" s="27" t="s">
        <v>110</v>
      </c>
      <c r="C238" s="27" t="s">
        <v>48</v>
      </c>
      <c r="D238" s="27" t="s">
        <v>41</v>
      </c>
      <c r="E238" s="28" t="n">
        <f aca="false">ROUND((SUMIFS(Acerto_Detalhado!$F$2:$F$433,Acerto_Detalhado!$A$2:$A$433,$C238,Acerto_Detalhado!$B$2:$B$433,"Jan",Acerto_Detalhado!$C$2:$C$433,"Umidade"))*(SUMIFS(Acerto_Detalhado!$I$2:$I$433,Acerto_Detalhado!$A$2:$A$433,$D238,Acerto_Detalhado!$B$2:$B$433,"Jan",Acerto_Detalhado!$C$2:$C$433,"Umidade")),2)</f>
        <v>0</v>
      </c>
    </row>
    <row r="239" customFormat="false" ht="15" hidden="false" customHeight="false" outlineLevel="0" collapsed="false">
      <c r="A239" s="27" t="s">
        <v>108</v>
      </c>
      <c r="B239" s="27" t="s">
        <v>110</v>
      </c>
      <c r="C239" s="27" t="s">
        <v>48</v>
      </c>
      <c r="D239" s="27" t="s">
        <v>42</v>
      </c>
      <c r="E239" s="28" t="n">
        <f aca="false">ROUND((SUMIFS(Acerto_Detalhado!$F$2:$F$433,Acerto_Detalhado!$A$2:$A$433,$C239,Acerto_Detalhado!$B$2:$B$433,"Jan",Acerto_Detalhado!$C$2:$C$433,"Umidade"))*(SUMIFS(Acerto_Detalhado!$I$2:$I$433,Acerto_Detalhado!$A$2:$A$433,$D239,Acerto_Detalhado!$B$2:$B$433,"Jan",Acerto_Detalhado!$C$2:$C$433,"Umidade")),2)</f>
        <v>0</v>
      </c>
    </row>
    <row r="240" customFormat="false" ht="15" hidden="false" customHeight="false" outlineLevel="0" collapsed="false">
      <c r="A240" s="27" t="s">
        <v>108</v>
      </c>
      <c r="B240" s="27" t="s">
        <v>110</v>
      </c>
      <c r="C240" s="27" t="s">
        <v>48</v>
      </c>
      <c r="D240" s="27" t="s">
        <v>43</v>
      </c>
      <c r="E240" s="28" t="n">
        <f aca="false">ROUND((SUMIFS(Acerto_Detalhado!$F$2:$F$433,Acerto_Detalhado!$A$2:$A$433,$C240,Acerto_Detalhado!$B$2:$B$433,"Jan",Acerto_Detalhado!$C$2:$C$433,"Umidade"))*(SUMIFS(Acerto_Detalhado!$I$2:$I$433,Acerto_Detalhado!$A$2:$A$433,$D240,Acerto_Detalhado!$B$2:$B$433,"Jan",Acerto_Detalhado!$C$2:$C$433,"Umidade")),2)</f>
        <v>0</v>
      </c>
    </row>
    <row r="241" customFormat="false" ht="15" hidden="false" customHeight="false" outlineLevel="0" collapsed="false">
      <c r="A241" s="27" t="s">
        <v>108</v>
      </c>
      <c r="B241" s="27" t="s">
        <v>110</v>
      </c>
      <c r="C241" s="27" t="s">
        <v>48</v>
      </c>
      <c r="D241" s="27" t="s">
        <v>44</v>
      </c>
      <c r="E241" s="28" t="n">
        <f aca="false">ROUND((SUMIFS(Acerto_Detalhado!$F$2:$F$433,Acerto_Detalhado!$A$2:$A$433,$C241,Acerto_Detalhado!$B$2:$B$433,"Jan",Acerto_Detalhado!$C$2:$C$433,"Umidade"))*(SUMIFS(Acerto_Detalhado!$I$2:$I$433,Acerto_Detalhado!$A$2:$A$433,$D241,Acerto_Detalhado!$B$2:$B$433,"Jan",Acerto_Detalhado!$C$2:$C$433,"Umidade")),2)</f>
        <v>0</v>
      </c>
    </row>
    <row r="242" customFormat="false" ht="15" hidden="false" customHeight="false" outlineLevel="0" collapsed="false">
      <c r="A242" s="27" t="s">
        <v>108</v>
      </c>
      <c r="B242" s="27" t="s">
        <v>110</v>
      </c>
      <c r="C242" s="27" t="s">
        <v>48</v>
      </c>
      <c r="D242" s="27" t="s">
        <v>45</v>
      </c>
      <c r="E242" s="28" t="n">
        <f aca="false">ROUND((SUMIFS(Acerto_Detalhado!$F$2:$F$433,Acerto_Detalhado!$A$2:$A$433,$C242,Acerto_Detalhado!$B$2:$B$433,"Jan",Acerto_Detalhado!$C$2:$C$433,"Umidade"))*(SUMIFS(Acerto_Detalhado!$I$2:$I$433,Acerto_Detalhado!$A$2:$A$433,$D242,Acerto_Detalhado!$B$2:$B$433,"Jan",Acerto_Detalhado!$C$2:$C$433,"Umidade")),2)</f>
        <v>0</v>
      </c>
    </row>
    <row r="243" customFormat="false" ht="15" hidden="false" customHeight="false" outlineLevel="0" collapsed="false">
      <c r="A243" s="27" t="s">
        <v>108</v>
      </c>
      <c r="B243" s="27" t="s">
        <v>110</v>
      </c>
      <c r="C243" s="27" t="s">
        <v>48</v>
      </c>
      <c r="D243" s="27" t="s">
        <v>46</v>
      </c>
      <c r="E243" s="28" t="n">
        <f aca="false">ROUND((SUMIFS(Acerto_Detalhado!$F$2:$F$433,Acerto_Detalhado!$A$2:$A$433,$C243,Acerto_Detalhado!$B$2:$B$433,"Jan",Acerto_Detalhado!$C$2:$C$433,"Umidade"))*(SUMIFS(Acerto_Detalhado!$I$2:$I$433,Acerto_Detalhado!$A$2:$A$433,$D243,Acerto_Detalhado!$B$2:$B$433,"Jan",Acerto_Detalhado!$C$2:$C$433,"Umidade")),2)</f>
        <v>0</v>
      </c>
    </row>
    <row r="244" customFormat="false" ht="15" hidden="false" customHeight="false" outlineLevel="0" collapsed="false">
      <c r="A244" s="27" t="s">
        <v>108</v>
      </c>
      <c r="B244" s="27" t="s">
        <v>110</v>
      </c>
      <c r="C244" s="27" t="s">
        <v>48</v>
      </c>
      <c r="D244" s="27" t="s">
        <v>47</v>
      </c>
      <c r="E244" s="28" t="n">
        <f aca="false">ROUND((SUMIFS(Acerto_Detalhado!$F$2:$F$433,Acerto_Detalhado!$A$2:$A$433,$C244,Acerto_Detalhado!$B$2:$B$433,"Jan",Acerto_Detalhado!$C$2:$C$433,"Umidade"))*(SUMIFS(Acerto_Detalhado!$I$2:$I$433,Acerto_Detalhado!$A$2:$A$433,$D244,Acerto_Detalhado!$B$2:$B$433,"Jan",Acerto_Detalhado!$C$2:$C$433,"Umidade")),2)</f>
        <v>0</v>
      </c>
    </row>
    <row r="245" customFormat="false" ht="15" hidden="false" customHeight="false" outlineLevel="0" collapsed="false">
      <c r="A245" s="27" t="s">
        <v>108</v>
      </c>
      <c r="B245" s="27" t="s">
        <v>110</v>
      </c>
      <c r="C245" s="27" t="s">
        <v>48</v>
      </c>
      <c r="D245" s="27" t="s">
        <v>49</v>
      </c>
      <c r="E245" s="28" t="n">
        <f aca="false">ROUND((SUMIFS(Acerto_Detalhado!$F$2:$F$433,Acerto_Detalhado!$A$2:$A$433,$C245,Acerto_Detalhado!$B$2:$B$433,"Jan",Acerto_Detalhado!$C$2:$C$433,"Umidade"))*(SUMIFS(Acerto_Detalhado!$I$2:$I$433,Acerto_Detalhado!$A$2:$A$433,$D245,Acerto_Detalhado!$B$2:$B$433,"Jan",Acerto_Detalhado!$C$2:$C$433,"Umidade")),2)</f>
        <v>0</v>
      </c>
    </row>
    <row r="246" customFormat="false" ht="15" hidden="false" customHeight="false" outlineLevel="0" collapsed="false">
      <c r="A246" s="27" t="s">
        <v>108</v>
      </c>
      <c r="B246" s="27" t="s">
        <v>110</v>
      </c>
      <c r="C246" s="27" t="s">
        <v>48</v>
      </c>
      <c r="D246" s="27" t="s">
        <v>50</v>
      </c>
      <c r="E246" s="28" t="n">
        <f aca="false">ROUND((SUMIFS(Acerto_Detalhado!$F$2:$F$433,Acerto_Detalhado!$A$2:$A$433,$C246,Acerto_Detalhado!$B$2:$B$433,"Jan",Acerto_Detalhado!$C$2:$C$433,"Umidade"))*(SUMIFS(Acerto_Detalhado!$I$2:$I$433,Acerto_Detalhado!$A$2:$A$433,$D246,Acerto_Detalhado!$B$2:$B$433,"Jan",Acerto_Detalhado!$C$2:$C$433,"Umidade")),2)</f>
        <v>0</v>
      </c>
    </row>
    <row r="247" customFormat="false" ht="15" hidden="false" customHeight="false" outlineLevel="0" collapsed="false">
      <c r="A247" s="27" t="s">
        <v>108</v>
      </c>
      <c r="B247" s="27" t="s">
        <v>110</v>
      </c>
      <c r="C247" s="27" t="s">
        <v>49</v>
      </c>
      <c r="D247" s="27" t="s">
        <v>39</v>
      </c>
      <c r="E247" s="28" t="n">
        <f aca="false">ROUND((SUMIFS(Acerto_Detalhado!$F$2:$F$433,Acerto_Detalhado!$A$2:$A$433,$C247,Acerto_Detalhado!$B$2:$B$433,"Jan",Acerto_Detalhado!$C$2:$C$433,"Umidade"))*(SUMIFS(Acerto_Detalhado!$I$2:$I$433,Acerto_Detalhado!$A$2:$A$433,$D247,Acerto_Detalhado!$B$2:$B$433,"Jan",Acerto_Detalhado!$C$2:$C$433,"Umidade")),2)</f>
        <v>0</v>
      </c>
    </row>
    <row r="248" customFormat="false" ht="15" hidden="false" customHeight="false" outlineLevel="0" collapsed="false">
      <c r="A248" s="27" t="s">
        <v>108</v>
      </c>
      <c r="B248" s="27" t="s">
        <v>110</v>
      </c>
      <c r="C248" s="27" t="s">
        <v>49</v>
      </c>
      <c r="D248" s="27" t="s">
        <v>40</v>
      </c>
      <c r="E248" s="28" t="n">
        <f aca="false">ROUND((SUMIFS(Acerto_Detalhado!$F$2:$F$433,Acerto_Detalhado!$A$2:$A$433,$C248,Acerto_Detalhado!$B$2:$B$433,"Jan",Acerto_Detalhado!$C$2:$C$433,"Umidade"))*(SUMIFS(Acerto_Detalhado!$I$2:$I$433,Acerto_Detalhado!$A$2:$A$433,$D248,Acerto_Detalhado!$B$2:$B$433,"Jan",Acerto_Detalhado!$C$2:$C$433,"Umidade")),2)</f>
        <v>0</v>
      </c>
    </row>
    <row r="249" customFormat="false" ht="15" hidden="false" customHeight="false" outlineLevel="0" collapsed="false">
      <c r="A249" s="27" t="s">
        <v>108</v>
      </c>
      <c r="B249" s="27" t="s">
        <v>110</v>
      </c>
      <c r="C249" s="27" t="s">
        <v>49</v>
      </c>
      <c r="D249" s="27" t="s">
        <v>41</v>
      </c>
      <c r="E249" s="28" t="n">
        <f aca="false">ROUND((SUMIFS(Acerto_Detalhado!$F$2:$F$433,Acerto_Detalhado!$A$2:$A$433,$C249,Acerto_Detalhado!$B$2:$B$433,"Jan",Acerto_Detalhado!$C$2:$C$433,"Umidade"))*(SUMIFS(Acerto_Detalhado!$I$2:$I$433,Acerto_Detalhado!$A$2:$A$433,$D249,Acerto_Detalhado!$B$2:$B$433,"Jan",Acerto_Detalhado!$C$2:$C$433,"Umidade")),2)</f>
        <v>0</v>
      </c>
    </row>
    <row r="250" customFormat="false" ht="15" hidden="false" customHeight="false" outlineLevel="0" collapsed="false">
      <c r="A250" s="27" t="s">
        <v>108</v>
      </c>
      <c r="B250" s="27" t="s">
        <v>110</v>
      </c>
      <c r="C250" s="27" t="s">
        <v>49</v>
      </c>
      <c r="D250" s="27" t="s">
        <v>42</v>
      </c>
      <c r="E250" s="28" t="n">
        <f aca="false">ROUND((SUMIFS(Acerto_Detalhado!$F$2:$F$433,Acerto_Detalhado!$A$2:$A$433,$C250,Acerto_Detalhado!$B$2:$B$433,"Jan",Acerto_Detalhado!$C$2:$C$433,"Umidade"))*(SUMIFS(Acerto_Detalhado!$I$2:$I$433,Acerto_Detalhado!$A$2:$A$433,$D250,Acerto_Detalhado!$B$2:$B$433,"Jan",Acerto_Detalhado!$C$2:$C$433,"Umidade")),2)</f>
        <v>0</v>
      </c>
    </row>
    <row r="251" customFormat="false" ht="15" hidden="false" customHeight="false" outlineLevel="0" collapsed="false">
      <c r="A251" s="27" t="s">
        <v>108</v>
      </c>
      <c r="B251" s="27" t="s">
        <v>110</v>
      </c>
      <c r="C251" s="27" t="s">
        <v>49</v>
      </c>
      <c r="D251" s="27" t="s">
        <v>43</v>
      </c>
      <c r="E251" s="28" t="n">
        <f aca="false">ROUND((SUMIFS(Acerto_Detalhado!$F$2:$F$433,Acerto_Detalhado!$A$2:$A$433,$C251,Acerto_Detalhado!$B$2:$B$433,"Jan",Acerto_Detalhado!$C$2:$C$433,"Umidade"))*(SUMIFS(Acerto_Detalhado!$I$2:$I$433,Acerto_Detalhado!$A$2:$A$433,$D251,Acerto_Detalhado!$B$2:$B$433,"Jan",Acerto_Detalhado!$C$2:$C$433,"Umidade")),2)</f>
        <v>0</v>
      </c>
    </row>
    <row r="252" customFormat="false" ht="15" hidden="false" customHeight="false" outlineLevel="0" collapsed="false">
      <c r="A252" s="27" t="s">
        <v>108</v>
      </c>
      <c r="B252" s="27" t="s">
        <v>110</v>
      </c>
      <c r="C252" s="27" t="s">
        <v>49</v>
      </c>
      <c r="D252" s="27" t="s">
        <v>44</v>
      </c>
      <c r="E252" s="28" t="n">
        <f aca="false">ROUND((SUMIFS(Acerto_Detalhado!$F$2:$F$433,Acerto_Detalhado!$A$2:$A$433,$C252,Acerto_Detalhado!$B$2:$B$433,"Jan",Acerto_Detalhado!$C$2:$C$433,"Umidade"))*(SUMIFS(Acerto_Detalhado!$I$2:$I$433,Acerto_Detalhado!$A$2:$A$433,$D252,Acerto_Detalhado!$B$2:$B$433,"Jan",Acerto_Detalhado!$C$2:$C$433,"Umidade")),2)</f>
        <v>0</v>
      </c>
    </row>
    <row r="253" customFormat="false" ht="15" hidden="false" customHeight="false" outlineLevel="0" collapsed="false">
      <c r="A253" s="27" t="s">
        <v>108</v>
      </c>
      <c r="B253" s="27" t="s">
        <v>110</v>
      </c>
      <c r="C253" s="27" t="s">
        <v>49</v>
      </c>
      <c r="D253" s="27" t="s">
        <v>45</v>
      </c>
      <c r="E253" s="28" t="n">
        <f aca="false">ROUND((SUMIFS(Acerto_Detalhado!$F$2:$F$433,Acerto_Detalhado!$A$2:$A$433,$C253,Acerto_Detalhado!$B$2:$B$433,"Jan",Acerto_Detalhado!$C$2:$C$433,"Umidade"))*(SUMIFS(Acerto_Detalhado!$I$2:$I$433,Acerto_Detalhado!$A$2:$A$433,$D253,Acerto_Detalhado!$B$2:$B$433,"Jan",Acerto_Detalhado!$C$2:$C$433,"Umidade")),2)</f>
        <v>0</v>
      </c>
    </row>
    <row r="254" customFormat="false" ht="15" hidden="false" customHeight="false" outlineLevel="0" collapsed="false">
      <c r="A254" s="27" t="s">
        <v>108</v>
      </c>
      <c r="B254" s="27" t="s">
        <v>110</v>
      </c>
      <c r="C254" s="27" t="s">
        <v>49</v>
      </c>
      <c r="D254" s="27" t="s">
        <v>46</v>
      </c>
      <c r="E254" s="28" t="n">
        <f aca="false">ROUND((SUMIFS(Acerto_Detalhado!$F$2:$F$433,Acerto_Detalhado!$A$2:$A$433,$C254,Acerto_Detalhado!$B$2:$B$433,"Jan",Acerto_Detalhado!$C$2:$C$433,"Umidade"))*(SUMIFS(Acerto_Detalhado!$I$2:$I$433,Acerto_Detalhado!$A$2:$A$433,$D254,Acerto_Detalhado!$B$2:$B$433,"Jan",Acerto_Detalhado!$C$2:$C$433,"Umidade")),2)</f>
        <v>0</v>
      </c>
    </row>
    <row r="255" customFormat="false" ht="15" hidden="false" customHeight="false" outlineLevel="0" collapsed="false">
      <c r="A255" s="27" t="s">
        <v>108</v>
      </c>
      <c r="B255" s="27" t="s">
        <v>110</v>
      </c>
      <c r="C255" s="27" t="s">
        <v>49</v>
      </c>
      <c r="D255" s="27" t="s">
        <v>47</v>
      </c>
      <c r="E255" s="28" t="n">
        <f aca="false">ROUND((SUMIFS(Acerto_Detalhado!$F$2:$F$433,Acerto_Detalhado!$A$2:$A$433,$C255,Acerto_Detalhado!$B$2:$B$433,"Jan",Acerto_Detalhado!$C$2:$C$433,"Umidade"))*(SUMIFS(Acerto_Detalhado!$I$2:$I$433,Acerto_Detalhado!$A$2:$A$433,$D255,Acerto_Detalhado!$B$2:$B$433,"Jan",Acerto_Detalhado!$C$2:$C$433,"Umidade")),2)</f>
        <v>0</v>
      </c>
    </row>
    <row r="256" customFormat="false" ht="15" hidden="false" customHeight="false" outlineLevel="0" collapsed="false">
      <c r="A256" s="27" t="s">
        <v>108</v>
      </c>
      <c r="B256" s="27" t="s">
        <v>110</v>
      </c>
      <c r="C256" s="27" t="s">
        <v>49</v>
      </c>
      <c r="D256" s="27" t="s">
        <v>48</v>
      </c>
      <c r="E256" s="28" t="n">
        <f aca="false">ROUND((SUMIFS(Acerto_Detalhado!$F$2:$F$433,Acerto_Detalhado!$A$2:$A$433,$C256,Acerto_Detalhado!$B$2:$B$433,"Jan",Acerto_Detalhado!$C$2:$C$433,"Umidade"))*(SUMIFS(Acerto_Detalhado!$I$2:$I$433,Acerto_Detalhado!$A$2:$A$433,$D256,Acerto_Detalhado!$B$2:$B$433,"Jan",Acerto_Detalhado!$C$2:$C$433,"Umidade")),2)</f>
        <v>0</v>
      </c>
    </row>
    <row r="257" customFormat="false" ht="15" hidden="false" customHeight="false" outlineLevel="0" collapsed="false">
      <c r="A257" s="27" t="s">
        <v>108</v>
      </c>
      <c r="B257" s="27" t="s">
        <v>110</v>
      </c>
      <c r="C257" s="27" t="s">
        <v>49</v>
      </c>
      <c r="D257" s="27" t="s">
        <v>50</v>
      </c>
      <c r="E257" s="28" t="n">
        <f aca="false">ROUND((SUMIFS(Acerto_Detalhado!$F$2:$F$433,Acerto_Detalhado!$A$2:$A$433,$C257,Acerto_Detalhado!$B$2:$B$433,"Jan",Acerto_Detalhado!$C$2:$C$433,"Umidade"))*(SUMIFS(Acerto_Detalhado!$I$2:$I$433,Acerto_Detalhado!$A$2:$A$433,$D257,Acerto_Detalhado!$B$2:$B$433,"Jan",Acerto_Detalhado!$C$2:$C$433,"Umidade")),2)</f>
        <v>0</v>
      </c>
    </row>
    <row r="258" customFormat="false" ht="15" hidden="false" customHeight="false" outlineLevel="0" collapsed="false">
      <c r="A258" s="27" t="s">
        <v>108</v>
      </c>
      <c r="B258" s="27" t="s">
        <v>110</v>
      </c>
      <c r="C258" s="27" t="s">
        <v>50</v>
      </c>
      <c r="D258" s="27" t="s">
        <v>39</v>
      </c>
      <c r="E258" s="28" t="n">
        <f aca="false">ROUND((SUMIFS(Acerto_Detalhado!$F$2:$F$433,Acerto_Detalhado!$A$2:$A$433,$C258,Acerto_Detalhado!$B$2:$B$433,"Jan",Acerto_Detalhado!$C$2:$C$433,"Umidade"))*(SUMIFS(Acerto_Detalhado!$I$2:$I$433,Acerto_Detalhado!$A$2:$A$433,$D258,Acerto_Detalhado!$B$2:$B$433,"Jan",Acerto_Detalhado!$C$2:$C$433,"Umidade")),2)</f>
        <v>0</v>
      </c>
    </row>
    <row r="259" customFormat="false" ht="15" hidden="false" customHeight="false" outlineLevel="0" collapsed="false">
      <c r="A259" s="27" t="s">
        <v>108</v>
      </c>
      <c r="B259" s="27" t="s">
        <v>110</v>
      </c>
      <c r="C259" s="27" t="s">
        <v>50</v>
      </c>
      <c r="D259" s="27" t="s">
        <v>40</v>
      </c>
      <c r="E259" s="28" t="n">
        <f aca="false">ROUND((SUMIFS(Acerto_Detalhado!$F$2:$F$433,Acerto_Detalhado!$A$2:$A$433,$C259,Acerto_Detalhado!$B$2:$B$433,"Jan",Acerto_Detalhado!$C$2:$C$433,"Umidade"))*(SUMIFS(Acerto_Detalhado!$I$2:$I$433,Acerto_Detalhado!$A$2:$A$433,$D259,Acerto_Detalhado!$B$2:$B$433,"Jan",Acerto_Detalhado!$C$2:$C$433,"Umidade")),2)</f>
        <v>0</v>
      </c>
    </row>
    <row r="260" customFormat="false" ht="15" hidden="false" customHeight="false" outlineLevel="0" collapsed="false">
      <c r="A260" s="27" t="s">
        <v>108</v>
      </c>
      <c r="B260" s="27" t="s">
        <v>110</v>
      </c>
      <c r="C260" s="27" t="s">
        <v>50</v>
      </c>
      <c r="D260" s="27" t="s">
        <v>41</v>
      </c>
      <c r="E260" s="28" t="n">
        <f aca="false">ROUND((SUMIFS(Acerto_Detalhado!$F$2:$F$433,Acerto_Detalhado!$A$2:$A$433,$C260,Acerto_Detalhado!$B$2:$B$433,"Jan",Acerto_Detalhado!$C$2:$C$433,"Umidade"))*(SUMIFS(Acerto_Detalhado!$I$2:$I$433,Acerto_Detalhado!$A$2:$A$433,$D260,Acerto_Detalhado!$B$2:$B$433,"Jan",Acerto_Detalhado!$C$2:$C$433,"Umidade")),2)</f>
        <v>0</v>
      </c>
    </row>
    <row r="261" customFormat="false" ht="15" hidden="false" customHeight="false" outlineLevel="0" collapsed="false">
      <c r="A261" s="27" t="s">
        <v>108</v>
      </c>
      <c r="B261" s="27" t="s">
        <v>110</v>
      </c>
      <c r="C261" s="27" t="s">
        <v>50</v>
      </c>
      <c r="D261" s="27" t="s">
        <v>42</v>
      </c>
      <c r="E261" s="28" t="n">
        <f aca="false">ROUND((SUMIFS(Acerto_Detalhado!$F$2:$F$433,Acerto_Detalhado!$A$2:$A$433,$C261,Acerto_Detalhado!$B$2:$B$433,"Jan",Acerto_Detalhado!$C$2:$C$433,"Umidade"))*(SUMIFS(Acerto_Detalhado!$I$2:$I$433,Acerto_Detalhado!$A$2:$A$433,$D261,Acerto_Detalhado!$B$2:$B$433,"Jan",Acerto_Detalhado!$C$2:$C$433,"Umidade")),2)</f>
        <v>0</v>
      </c>
    </row>
    <row r="262" customFormat="false" ht="15" hidden="false" customHeight="false" outlineLevel="0" collapsed="false">
      <c r="A262" s="27" t="s">
        <v>108</v>
      </c>
      <c r="B262" s="27" t="s">
        <v>110</v>
      </c>
      <c r="C262" s="27" t="s">
        <v>50</v>
      </c>
      <c r="D262" s="27" t="s">
        <v>43</v>
      </c>
      <c r="E262" s="28" t="n">
        <f aca="false">ROUND((SUMIFS(Acerto_Detalhado!$F$2:$F$433,Acerto_Detalhado!$A$2:$A$433,$C262,Acerto_Detalhado!$B$2:$B$433,"Jan",Acerto_Detalhado!$C$2:$C$433,"Umidade"))*(SUMIFS(Acerto_Detalhado!$I$2:$I$433,Acerto_Detalhado!$A$2:$A$433,$D262,Acerto_Detalhado!$B$2:$B$433,"Jan",Acerto_Detalhado!$C$2:$C$433,"Umidade")),2)</f>
        <v>0</v>
      </c>
    </row>
    <row r="263" customFormat="false" ht="15" hidden="false" customHeight="false" outlineLevel="0" collapsed="false">
      <c r="A263" s="27" t="s">
        <v>108</v>
      </c>
      <c r="B263" s="27" t="s">
        <v>110</v>
      </c>
      <c r="C263" s="27" t="s">
        <v>50</v>
      </c>
      <c r="D263" s="27" t="s">
        <v>44</v>
      </c>
      <c r="E263" s="28" t="n">
        <f aca="false">ROUND((SUMIFS(Acerto_Detalhado!$F$2:$F$433,Acerto_Detalhado!$A$2:$A$433,$C263,Acerto_Detalhado!$B$2:$B$433,"Jan",Acerto_Detalhado!$C$2:$C$433,"Umidade"))*(SUMIFS(Acerto_Detalhado!$I$2:$I$433,Acerto_Detalhado!$A$2:$A$433,$D263,Acerto_Detalhado!$B$2:$B$433,"Jan",Acerto_Detalhado!$C$2:$C$433,"Umidade")),2)</f>
        <v>0</v>
      </c>
    </row>
    <row r="264" customFormat="false" ht="15" hidden="false" customHeight="false" outlineLevel="0" collapsed="false">
      <c r="A264" s="27" t="s">
        <v>108</v>
      </c>
      <c r="B264" s="27" t="s">
        <v>110</v>
      </c>
      <c r="C264" s="27" t="s">
        <v>50</v>
      </c>
      <c r="D264" s="27" t="s">
        <v>45</v>
      </c>
      <c r="E264" s="28" t="n">
        <f aca="false">ROUND((SUMIFS(Acerto_Detalhado!$F$2:$F$433,Acerto_Detalhado!$A$2:$A$433,$C264,Acerto_Detalhado!$B$2:$B$433,"Jan",Acerto_Detalhado!$C$2:$C$433,"Umidade"))*(SUMIFS(Acerto_Detalhado!$I$2:$I$433,Acerto_Detalhado!$A$2:$A$433,$D264,Acerto_Detalhado!$B$2:$B$433,"Jan",Acerto_Detalhado!$C$2:$C$433,"Umidade")),2)</f>
        <v>0</v>
      </c>
    </row>
    <row r="265" customFormat="false" ht="15" hidden="false" customHeight="false" outlineLevel="0" collapsed="false">
      <c r="A265" s="27" t="s">
        <v>108</v>
      </c>
      <c r="B265" s="27" t="s">
        <v>110</v>
      </c>
      <c r="C265" s="27" t="s">
        <v>50</v>
      </c>
      <c r="D265" s="27" t="s">
        <v>46</v>
      </c>
      <c r="E265" s="28" t="n">
        <f aca="false">ROUND((SUMIFS(Acerto_Detalhado!$F$2:$F$433,Acerto_Detalhado!$A$2:$A$433,$C265,Acerto_Detalhado!$B$2:$B$433,"Jan",Acerto_Detalhado!$C$2:$C$433,"Umidade"))*(SUMIFS(Acerto_Detalhado!$I$2:$I$433,Acerto_Detalhado!$A$2:$A$433,$D265,Acerto_Detalhado!$B$2:$B$433,"Jan",Acerto_Detalhado!$C$2:$C$433,"Umidade")),2)</f>
        <v>0</v>
      </c>
    </row>
    <row r="266" customFormat="false" ht="15" hidden="false" customHeight="false" outlineLevel="0" collapsed="false">
      <c r="A266" s="27" t="s">
        <v>108</v>
      </c>
      <c r="B266" s="27" t="s">
        <v>110</v>
      </c>
      <c r="C266" s="27" t="s">
        <v>50</v>
      </c>
      <c r="D266" s="27" t="s">
        <v>47</v>
      </c>
      <c r="E266" s="28" t="n">
        <f aca="false">ROUND((SUMIFS(Acerto_Detalhado!$F$2:$F$433,Acerto_Detalhado!$A$2:$A$433,$C266,Acerto_Detalhado!$B$2:$B$433,"Jan",Acerto_Detalhado!$C$2:$C$433,"Umidade"))*(SUMIFS(Acerto_Detalhado!$I$2:$I$433,Acerto_Detalhado!$A$2:$A$433,$D266,Acerto_Detalhado!$B$2:$B$433,"Jan",Acerto_Detalhado!$C$2:$C$433,"Umidade")),2)</f>
        <v>0</v>
      </c>
    </row>
    <row r="267" customFormat="false" ht="15" hidden="false" customHeight="false" outlineLevel="0" collapsed="false">
      <c r="A267" s="27" t="s">
        <v>108</v>
      </c>
      <c r="B267" s="27" t="s">
        <v>110</v>
      </c>
      <c r="C267" s="27" t="s">
        <v>50</v>
      </c>
      <c r="D267" s="27" t="s">
        <v>48</v>
      </c>
      <c r="E267" s="28" t="n">
        <f aca="false">ROUND((SUMIFS(Acerto_Detalhado!$F$2:$F$433,Acerto_Detalhado!$A$2:$A$433,$C267,Acerto_Detalhado!$B$2:$B$433,"Jan",Acerto_Detalhado!$C$2:$C$433,"Umidade"))*(SUMIFS(Acerto_Detalhado!$I$2:$I$433,Acerto_Detalhado!$A$2:$A$433,$D267,Acerto_Detalhado!$B$2:$B$433,"Jan",Acerto_Detalhado!$C$2:$C$433,"Umidade")),2)</f>
        <v>0</v>
      </c>
    </row>
    <row r="268" customFormat="false" ht="15" hidden="false" customHeight="false" outlineLevel="0" collapsed="false">
      <c r="A268" s="27" t="s">
        <v>108</v>
      </c>
      <c r="B268" s="27" t="s">
        <v>110</v>
      </c>
      <c r="C268" s="27" t="s">
        <v>50</v>
      </c>
      <c r="D268" s="27" t="s">
        <v>49</v>
      </c>
      <c r="E268" s="28" t="n">
        <f aca="false">ROUND((SUMIFS(Acerto_Detalhado!$F$2:$F$433,Acerto_Detalhado!$A$2:$A$433,$C268,Acerto_Detalhado!$B$2:$B$433,"Jan",Acerto_Detalhado!$C$2:$C$433,"Umidade"))*(SUMIFS(Acerto_Detalhado!$I$2:$I$433,Acerto_Detalhado!$A$2:$A$433,$D268,Acerto_Detalhado!$B$2:$B$433,"Jan",Acerto_Detalhado!$C$2:$C$433,"Umidade")),2)</f>
        <v>0</v>
      </c>
    </row>
    <row r="269" customFormat="false" ht="15" hidden="false" customHeight="false" outlineLevel="0" collapsed="false">
      <c r="A269" s="27" t="s">
        <v>108</v>
      </c>
      <c r="B269" s="27" t="s">
        <v>111</v>
      </c>
      <c r="C269" s="27" t="s">
        <v>39</v>
      </c>
      <c r="D269" s="27" t="s">
        <v>40</v>
      </c>
      <c r="E269" s="28" t="n">
        <f aca="false">ROUND((SUMIFS(Acerto_Detalhado!$F$2:$F$433,Acerto_Detalhado!$A$2:$A$433,$C269,Acerto_Detalhado!$B$2:$B$433,"Jan",Acerto_Detalhado!$C$2:$C$433,"Fibra"))*(SUMIFS(Acerto_Detalhado!$I$2:$I$433,Acerto_Detalhado!$A$2:$A$433,$D269,Acerto_Detalhado!$B$2:$B$433,"Jan",Acerto_Detalhado!$C$2:$C$433,"Fibra")),2)</f>
        <v>0</v>
      </c>
    </row>
    <row r="270" customFormat="false" ht="15" hidden="false" customHeight="false" outlineLevel="0" collapsed="false">
      <c r="A270" s="27" t="s">
        <v>108</v>
      </c>
      <c r="B270" s="27" t="s">
        <v>111</v>
      </c>
      <c r="C270" s="27" t="s">
        <v>39</v>
      </c>
      <c r="D270" s="27" t="s">
        <v>41</v>
      </c>
      <c r="E270" s="28" t="n">
        <f aca="false">ROUND((SUMIFS(Acerto_Detalhado!$F$2:$F$433,Acerto_Detalhado!$A$2:$A$433,$C270,Acerto_Detalhado!$B$2:$B$433,"Jan",Acerto_Detalhado!$C$2:$C$433,"Fibra"))*(SUMIFS(Acerto_Detalhado!$I$2:$I$433,Acerto_Detalhado!$A$2:$A$433,$D270,Acerto_Detalhado!$B$2:$B$433,"Jan",Acerto_Detalhado!$C$2:$C$433,"Fibra")),2)</f>
        <v>0</v>
      </c>
    </row>
    <row r="271" customFormat="false" ht="15" hidden="false" customHeight="false" outlineLevel="0" collapsed="false">
      <c r="A271" s="27" t="s">
        <v>108</v>
      </c>
      <c r="B271" s="27" t="s">
        <v>111</v>
      </c>
      <c r="C271" s="27" t="s">
        <v>39</v>
      </c>
      <c r="D271" s="27" t="s">
        <v>42</v>
      </c>
      <c r="E271" s="28" t="n">
        <f aca="false">ROUND((SUMIFS(Acerto_Detalhado!$F$2:$F$433,Acerto_Detalhado!$A$2:$A$433,$C271,Acerto_Detalhado!$B$2:$B$433,"Jan",Acerto_Detalhado!$C$2:$C$433,"Fibra"))*(SUMIFS(Acerto_Detalhado!$I$2:$I$433,Acerto_Detalhado!$A$2:$A$433,$D271,Acerto_Detalhado!$B$2:$B$433,"Jan",Acerto_Detalhado!$C$2:$C$433,"Fibra")),2)</f>
        <v>0</v>
      </c>
    </row>
    <row r="272" customFormat="false" ht="15" hidden="false" customHeight="false" outlineLevel="0" collapsed="false">
      <c r="A272" s="27" t="s">
        <v>108</v>
      </c>
      <c r="B272" s="27" t="s">
        <v>111</v>
      </c>
      <c r="C272" s="27" t="s">
        <v>39</v>
      </c>
      <c r="D272" s="27" t="s">
        <v>43</v>
      </c>
      <c r="E272" s="28" t="n">
        <f aca="false">ROUND((SUMIFS(Acerto_Detalhado!$F$2:$F$433,Acerto_Detalhado!$A$2:$A$433,$C272,Acerto_Detalhado!$B$2:$B$433,"Jan",Acerto_Detalhado!$C$2:$C$433,"Fibra"))*(SUMIFS(Acerto_Detalhado!$I$2:$I$433,Acerto_Detalhado!$A$2:$A$433,$D272,Acerto_Detalhado!$B$2:$B$433,"Jan",Acerto_Detalhado!$C$2:$C$433,"Fibra")),2)</f>
        <v>0</v>
      </c>
    </row>
    <row r="273" customFormat="false" ht="15" hidden="false" customHeight="false" outlineLevel="0" collapsed="false">
      <c r="A273" s="27" t="s">
        <v>108</v>
      </c>
      <c r="B273" s="27" t="s">
        <v>111</v>
      </c>
      <c r="C273" s="27" t="s">
        <v>39</v>
      </c>
      <c r="D273" s="27" t="s">
        <v>44</v>
      </c>
      <c r="E273" s="28" t="n">
        <f aca="false">ROUND((SUMIFS(Acerto_Detalhado!$F$2:$F$433,Acerto_Detalhado!$A$2:$A$433,$C273,Acerto_Detalhado!$B$2:$B$433,"Jan",Acerto_Detalhado!$C$2:$C$433,"Fibra"))*(SUMIFS(Acerto_Detalhado!$I$2:$I$433,Acerto_Detalhado!$A$2:$A$433,$D273,Acerto_Detalhado!$B$2:$B$433,"Jan",Acerto_Detalhado!$C$2:$C$433,"Fibra")),2)</f>
        <v>0</v>
      </c>
    </row>
    <row r="274" customFormat="false" ht="15" hidden="false" customHeight="false" outlineLevel="0" collapsed="false">
      <c r="A274" s="27" t="s">
        <v>108</v>
      </c>
      <c r="B274" s="27" t="s">
        <v>111</v>
      </c>
      <c r="C274" s="27" t="s">
        <v>39</v>
      </c>
      <c r="D274" s="27" t="s">
        <v>45</v>
      </c>
      <c r="E274" s="28" t="n">
        <f aca="false">ROUND((SUMIFS(Acerto_Detalhado!$F$2:$F$433,Acerto_Detalhado!$A$2:$A$433,$C274,Acerto_Detalhado!$B$2:$B$433,"Jan",Acerto_Detalhado!$C$2:$C$433,"Fibra"))*(SUMIFS(Acerto_Detalhado!$I$2:$I$433,Acerto_Detalhado!$A$2:$A$433,$D274,Acerto_Detalhado!$B$2:$B$433,"Jan",Acerto_Detalhado!$C$2:$C$433,"Fibra")),2)</f>
        <v>0</v>
      </c>
    </row>
    <row r="275" customFormat="false" ht="15" hidden="false" customHeight="false" outlineLevel="0" collapsed="false">
      <c r="A275" s="27" t="s">
        <v>108</v>
      </c>
      <c r="B275" s="27" t="s">
        <v>111</v>
      </c>
      <c r="C275" s="27" t="s">
        <v>39</v>
      </c>
      <c r="D275" s="27" t="s">
        <v>46</v>
      </c>
      <c r="E275" s="28" t="n">
        <f aca="false">ROUND((SUMIFS(Acerto_Detalhado!$F$2:$F$433,Acerto_Detalhado!$A$2:$A$433,$C275,Acerto_Detalhado!$B$2:$B$433,"Jan",Acerto_Detalhado!$C$2:$C$433,"Fibra"))*(SUMIFS(Acerto_Detalhado!$I$2:$I$433,Acerto_Detalhado!$A$2:$A$433,$D275,Acerto_Detalhado!$B$2:$B$433,"Jan",Acerto_Detalhado!$C$2:$C$433,"Fibra")),2)</f>
        <v>0</v>
      </c>
    </row>
    <row r="276" customFormat="false" ht="15" hidden="false" customHeight="false" outlineLevel="0" collapsed="false">
      <c r="A276" s="27" t="s">
        <v>108</v>
      </c>
      <c r="B276" s="27" t="s">
        <v>111</v>
      </c>
      <c r="C276" s="27" t="s">
        <v>39</v>
      </c>
      <c r="D276" s="27" t="s">
        <v>47</v>
      </c>
      <c r="E276" s="28" t="n">
        <f aca="false">ROUND((SUMIFS(Acerto_Detalhado!$F$2:$F$433,Acerto_Detalhado!$A$2:$A$433,$C276,Acerto_Detalhado!$B$2:$B$433,"Jan",Acerto_Detalhado!$C$2:$C$433,"Fibra"))*(SUMIFS(Acerto_Detalhado!$I$2:$I$433,Acerto_Detalhado!$A$2:$A$433,$D276,Acerto_Detalhado!$B$2:$B$433,"Jan",Acerto_Detalhado!$C$2:$C$433,"Fibra")),2)</f>
        <v>0</v>
      </c>
    </row>
    <row r="277" customFormat="false" ht="15" hidden="false" customHeight="false" outlineLevel="0" collapsed="false">
      <c r="A277" s="27" t="s">
        <v>108</v>
      </c>
      <c r="B277" s="27" t="s">
        <v>111</v>
      </c>
      <c r="C277" s="27" t="s">
        <v>39</v>
      </c>
      <c r="D277" s="27" t="s">
        <v>48</v>
      </c>
      <c r="E277" s="28" t="n">
        <f aca="false">ROUND((SUMIFS(Acerto_Detalhado!$F$2:$F$433,Acerto_Detalhado!$A$2:$A$433,$C277,Acerto_Detalhado!$B$2:$B$433,"Jan",Acerto_Detalhado!$C$2:$C$433,"Fibra"))*(SUMIFS(Acerto_Detalhado!$I$2:$I$433,Acerto_Detalhado!$A$2:$A$433,$D277,Acerto_Detalhado!$B$2:$B$433,"Jan",Acerto_Detalhado!$C$2:$C$433,"Fibra")),2)</f>
        <v>0</v>
      </c>
    </row>
    <row r="278" customFormat="false" ht="15" hidden="false" customHeight="false" outlineLevel="0" collapsed="false">
      <c r="A278" s="27" t="s">
        <v>108</v>
      </c>
      <c r="B278" s="27" t="s">
        <v>111</v>
      </c>
      <c r="C278" s="27" t="s">
        <v>39</v>
      </c>
      <c r="D278" s="27" t="s">
        <v>49</v>
      </c>
      <c r="E278" s="28" t="n">
        <f aca="false">ROUND((SUMIFS(Acerto_Detalhado!$F$2:$F$433,Acerto_Detalhado!$A$2:$A$433,$C278,Acerto_Detalhado!$B$2:$B$433,"Jan",Acerto_Detalhado!$C$2:$C$433,"Fibra"))*(SUMIFS(Acerto_Detalhado!$I$2:$I$433,Acerto_Detalhado!$A$2:$A$433,$D278,Acerto_Detalhado!$B$2:$B$433,"Jan",Acerto_Detalhado!$C$2:$C$433,"Fibra")),2)</f>
        <v>0</v>
      </c>
    </row>
    <row r="279" customFormat="false" ht="15" hidden="false" customHeight="false" outlineLevel="0" collapsed="false">
      <c r="A279" s="27" t="s">
        <v>108</v>
      </c>
      <c r="B279" s="27" t="s">
        <v>111</v>
      </c>
      <c r="C279" s="27" t="s">
        <v>39</v>
      </c>
      <c r="D279" s="27" t="s">
        <v>50</v>
      </c>
      <c r="E279" s="28" t="n">
        <f aca="false">ROUND((SUMIFS(Acerto_Detalhado!$F$2:$F$433,Acerto_Detalhado!$A$2:$A$433,$C279,Acerto_Detalhado!$B$2:$B$433,"Jan",Acerto_Detalhado!$C$2:$C$433,"Fibra"))*(SUMIFS(Acerto_Detalhado!$I$2:$I$433,Acerto_Detalhado!$A$2:$A$433,$D279,Acerto_Detalhado!$B$2:$B$433,"Jan",Acerto_Detalhado!$C$2:$C$433,"Fibra")),2)</f>
        <v>0</v>
      </c>
    </row>
    <row r="280" customFormat="false" ht="15" hidden="false" customHeight="false" outlineLevel="0" collapsed="false">
      <c r="A280" s="27" t="s">
        <v>108</v>
      </c>
      <c r="B280" s="27" t="s">
        <v>111</v>
      </c>
      <c r="C280" s="27" t="s">
        <v>40</v>
      </c>
      <c r="D280" s="27" t="s">
        <v>39</v>
      </c>
      <c r="E280" s="28" t="n">
        <f aca="false">ROUND((SUMIFS(Acerto_Detalhado!$F$2:$F$433,Acerto_Detalhado!$A$2:$A$433,$C280,Acerto_Detalhado!$B$2:$B$433,"Jan",Acerto_Detalhado!$C$2:$C$433,"Fibra"))*(SUMIFS(Acerto_Detalhado!$I$2:$I$433,Acerto_Detalhado!$A$2:$A$433,$D280,Acerto_Detalhado!$B$2:$B$433,"Jan",Acerto_Detalhado!$C$2:$C$433,"Fibra")),2)</f>
        <v>0</v>
      </c>
    </row>
    <row r="281" customFormat="false" ht="15" hidden="false" customHeight="false" outlineLevel="0" collapsed="false">
      <c r="A281" s="27" t="s">
        <v>108</v>
      </c>
      <c r="B281" s="27" t="s">
        <v>111</v>
      </c>
      <c r="C281" s="27" t="s">
        <v>40</v>
      </c>
      <c r="D281" s="27" t="s">
        <v>41</v>
      </c>
      <c r="E281" s="28" t="n">
        <f aca="false">ROUND((SUMIFS(Acerto_Detalhado!$F$2:$F$433,Acerto_Detalhado!$A$2:$A$433,$C281,Acerto_Detalhado!$B$2:$B$433,"Jan",Acerto_Detalhado!$C$2:$C$433,"Fibra"))*(SUMIFS(Acerto_Detalhado!$I$2:$I$433,Acerto_Detalhado!$A$2:$A$433,$D281,Acerto_Detalhado!$B$2:$B$433,"Jan",Acerto_Detalhado!$C$2:$C$433,"Fibra")),2)</f>
        <v>0</v>
      </c>
    </row>
    <row r="282" customFormat="false" ht="15" hidden="false" customHeight="false" outlineLevel="0" collapsed="false">
      <c r="A282" s="27" t="s">
        <v>108</v>
      </c>
      <c r="B282" s="27" t="s">
        <v>111</v>
      </c>
      <c r="C282" s="27" t="s">
        <v>40</v>
      </c>
      <c r="D282" s="27" t="s">
        <v>42</v>
      </c>
      <c r="E282" s="28" t="n">
        <f aca="false">ROUND((SUMIFS(Acerto_Detalhado!$F$2:$F$433,Acerto_Detalhado!$A$2:$A$433,$C282,Acerto_Detalhado!$B$2:$B$433,"Jan",Acerto_Detalhado!$C$2:$C$433,"Fibra"))*(SUMIFS(Acerto_Detalhado!$I$2:$I$433,Acerto_Detalhado!$A$2:$A$433,$D282,Acerto_Detalhado!$B$2:$B$433,"Jan",Acerto_Detalhado!$C$2:$C$433,"Fibra")),2)</f>
        <v>0</v>
      </c>
    </row>
    <row r="283" customFormat="false" ht="15" hidden="false" customHeight="false" outlineLevel="0" collapsed="false">
      <c r="A283" s="27" t="s">
        <v>108</v>
      </c>
      <c r="B283" s="27" t="s">
        <v>111</v>
      </c>
      <c r="C283" s="27" t="s">
        <v>40</v>
      </c>
      <c r="D283" s="27" t="s">
        <v>43</v>
      </c>
      <c r="E283" s="28" t="n">
        <f aca="false">ROUND((SUMIFS(Acerto_Detalhado!$F$2:$F$433,Acerto_Detalhado!$A$2:$A$433,$C283,Acerto_Detalhado!$B$2:$B$433,"Jan",Acerto_Detalhado!$C$2:$C$433,"Fibra"))*(SUMIFS(Acerto_Detalhado!$I$2:$I$433,Acerto_Detalhado!$A$2:$A$433,$D283,Acerto_Detalhado!$B$2:$B$433,"Jan",Acerto_Detalhado!$C$2:$C$433,"Fibra")),2)</f>
        <v>0</v>
      </c>
    </row>
    <row r="284" customFormat="false" ht="15" hidden="false" customHeight="false" outlineLevel="0" collapsed="false">
      <c r="A284" s="27" t="s">
        <v>108</v>
      </c>
      <c r="B284" s="27" t="s">
        <v>111</v>
      </c>
      <c r="C284" s="27" t="s">
        <v>40</v>
      </c>
      <c r="D284" s="27" t="s">
        <v>44</v>
      </c>
      <c r="E284" s="28" t="n">
        <f aca="false">ROUND((SUMIFS(Acerto_Detalhado!$F$2:$F$433,Acerto_Detalhado!$A$2:$A$433,$C284,Acerto_Detalhado!$B$2:$B$433,"Jan",Acerto_Detalhado!$C$2:$C$433,"Fibra"))*(SUMIFS(Acerto_Detalhado!$I$2:$I$433,Acerto_Detalhado!$A$2:$A$433,$D284,Acerto_Detalhado!$B$2:$B$433,"Jan",Acerto_Detalhado!$C$2:$C$433,"Fibra")),2)</f>
        <v>0</v>
      </c>
    </row>
    <row r="285" customFormat="false" ht="15" hidden="false" customHeight="false" outlineLevel="0" collapsed="false">
      <c r="A285" s="27" t="s">
        <v>108</v>
      </c>
      <c r="B285" s="27" t="s">
        <v>111</v>
      </c>
      <c r="C285" s="27" t="s">
        <v>40</v>
      </c>
      <c r="D285" s="27" t="s">
        <v>45</v>
      </c>
      <c r="E285" s="28" t="n">
        <f aca="false">ROUND((SUMIFS(Acerto_Detalhado!$F$2:$F$433,Acerto_Detalhado!$A$2:$A$433,$C285,Acerto_Detalhado!$B$2:$B$433,"Jan",Acerto_Detalhado!$C$2:$C$433,"Fibra"))*(SUMIFS(Acerto_Detalhado!$I$2:$I$433,Acerto_Detalhado!$A$2:$A$433,$D285,Acerto_Detalhado!$B$2:$B$433,"Jan",Acerto_Detalhado!$C$2:$C$433,"Fibra")),2)</f>
        <v>0</v>
      </c>
    </row>
    <row r="286" customFormat="false" ht="15" hidden="false" customHeight="false" outlineLevel="0" collapsed="false">
      <c r="A286" s="27" t="s">
        <v>108</v>
      </c>
      <c r="B286" s="27" t="s">
        <v>111</v>
      </c>
      <c r="C286" s="27" t="s">
        <v>40</v>
      </c>
      <c r="D286" s="27" t="s">
        <v>46</v>
      </c>
      <c r="E286" s="28" t="n">
        <f aca="false">ROUND((SUMIFS(Acerto_Detalhado!$F$2:$F$433,Acerto_Detalhado!$A$2:$A$433,$C286,Acerto_Detalhado!$B$2:$B$433,"Jan",Acerto_Detalhado!$C$2:$C$433,"Fibra"))*(SUMIFS(Acerto_Detalhado!$I$2:$I$433,Acerto_Detalhado!$A$2:$A$433,$D286,Acerto_Detalhado!$B$2:$B$433,"Jan",Acerto_Detalhado!$C$2:$C$433,"Fibra")),2)</f>
        <v>0</v>
      </c>
    </row>
    <row r="287" customFormat="false" ht="15" hidden="false" customHeight="false" outlineLevel="0" collapsed="false">
      <c r="A287" s="27" t="s">
        <v>108</v>
      </c>
      <c r="B287" s="27" t="s">
        <v>111</v>
      </c>
      <c r="C287" s="27" t="s">
        <v>40</v>
      </c>
      <c r="D287" s="27" t="s">
        <v>47</v>
      </c>
      <c r="E287" s="28" t="n">
        <f aca="false">ROUND((SUMIFS(Acerto_Detalhado!$F$2:$F$433,Acerto_Detalhado!$A$2:$A$433,$C287,Acerto_Detalhado!$B$2:$B$433,"Jan",Acerto_Detalhado!$C$2:$C$433,"Fibra"))*(SUMIFS(Acerto_Detalhado!$I$2:$I$433,Acerto_Detalhado!$A$2:$A$433,$D287,Acerto_Detalhado!$B$2:$B$433,"Jan",Acerto_Detalhado!$C$2:$C$433,"Fibra")),2)</f>
        <v>0</v>
      </c>
    </row>
    <row r="288" customFormat="false" ht="15" hidden="false" customHeight="false" outlineLevel="0" collapsed="false">
      <c r="A288" s="27" t="s">
        <v>108</v>
      </c>
      <c r="B288" s="27" t="s">
        <v>111</v>
      </c>
      <c r="C288" s="27" t="s">
        <v>40</v>
      </c>
      <c r="D288" s="27" t="s">
        <v>48</v>
      </c>
      <c r="E288" s="28" t="n">
        <f aca="false">ROUND((SUMIFS(Acerto_Detalhado!$F$2:$F$433,Acerto_Detalhado!$A$2:$A$433,$C288,Acerto_Detalhado!$B$2:$B$433,"Jan",Acerto_Detalhado!$C$2:$C$433,"Fibra"))*(SUMIFS(Acerto_Detalhado!$I$2:$I$433,Acerto_Detalhado!$A$2:$A$433,$D288,Acerto_Detalhado!$B$2:$B$433,"Jan",Acerto_Detalhado!$C$2:$C$433,"Fibra")),2)</f>
        <v>0</v>
      </c>
    </row>
    <row r="289" customFormat="false" ht="15" hidden="false" customHeight="false" outlineLevel="0" collapsed="false">
      <c r="A289" s="27" t="s">
        <v>108</v>
      </c>
      <c r="B289" s="27" t="s">
        <v>111</v>
      </c>
      <c r="C289" s="27" t="s">
        <v>40</v>
      </c>
      <c r="D289" s="27" t="s">
        <v>49</v>
      </c>
      <c r="E289" s="28" t="n">
        <f aca="false">ROUND((SUMIFS(Acerto_Detalhado!$F$2:$F$433,Acerto_Detalhado!$A$2:$A$433,$C289,Acerto_Detalhado!$B$2:$B$433,"Jan",Acerto_Detalhado!$C$2:$C$433,"Fibra"))*(SUMIFS(Acerto_Detalhado!$I$2:$I$433,Acerto_Detalhado!$A$2:$A$433,$D289,Acerto_Detalhado!$B$2:$B$433,"Jan",Acerto_Detalhado!$C$2:$C$433,"Fibra")),2)</f>
        <v>0</v>
      </c>
    </row>
    <row r="290" customFormat="false" ht="15" hidden="false" customHeight="false" outlineLevel="0" collapsed="false">
      <c r="A290" s="27" t="s">
        <v>108</v>
      </c>
      <c r="B290" s="27" t="s">
        <v>111</v>
      </c>
      <c r="C290" s="27" t="s">
        <v>40</v>
      </c>
      <c r="D290" s="27" t="s">
        <v>50</v>
      </c>
      <c r="E290" s="28" t="n">
        <f aca="false">ROUND((SUMIFS(Acerto_Detalhado!$F$2:$F$433,Acerto_Detalhado!$A$2:$A$433,$C290,Acerto_Detalhado!$B$2:$B$433,"Jan",Acerto_Detalhado!$C$2:$C$433,"Fibra"))*(SUMIFS(Acerto_Detalhado!$I$2:$I$433,Acerto_Detalhado!$A$2:$A$433,$D290,Acerto_Detalhado!$B$2:$B$433,"Jan",Acerto_Detalhado!$C$2:$C$433,"Fibra")),2)</f>
        <v>0</v>
      </c>
    </row>
    <row r="291" customFormat="false" ht="15" hidden="false" customHeight="false" outlineLevel="0" collapsed="false">
      <c r="A291" s="27" t="s">
        <v>108</v>
      </c>
      <c r="B291" s="27" t="s">
        <v>111</v>
      </c>
      <c r="C291" s="27" t="s">
        <v>41</v>
      </c>
      <c r="D291" s="27" t="s">
        <v>39</v>
      </c>
      <c r="E291" s="28" t="n">
        <f aca="false">ROUND((SUMIFS(Acerto_Detalhado!$F$2:$F$433,Acerto_Detalhado!$A$2:$A$433,$C291,Acerto_Detalhado!$B$2:$B$433,"Jan",Acerto_Detalhado!$C$2:$C$433,"Fibra"))*(SUMIFS(Acerto_Detalhado!$I$2:$I$433,Acerto_Detalhado!$A$2:$A$433,$D291,Acerto_Detalhado!$B$2:$B$433,"Jan",Acerto_Detalhado!$C$2:$C$433,"Fibra")),2)</f>
        <v>0</v>
      </c>
    </row>
    <row r="292" customFormat="false" ht="15" hidden="false" customHeight="false" outlineLevel="0" collapsed="false">
      <c r="A292" s="27" t="s">
        <v>108</v>
      </c>
      <c r="B292" s="27" t="s">
        <v>111</v>
      </c>
      <c r="C292" s="27" t="s">
        <v>41</v>
      </c>
      <c r="D292" s="27" t="s">
        <v>40</v>
      </c>
      <c r="E292" s="28" t="n">
        <f aca="false">ROUND((SUMIFS(Acerto_Detalhado!$F$2:$F$433,Acerto_Detalhado!$A$2:$A$433,$C292,Acerto_Detalhado!$B$2:$B$433,"Jan",Acerto_Detalhado!$C$2:$C$433,"Fibra"))*(SUMIFS(Acerto_Detalhado!$I$2:$I$433,Acerto_Detalhado!$A$2:$A$433,$D292,Acerto_Detalhado!$B$2:$B$433,"Jan",Acerto_Detalhado!$C$2:$C$433,"Fibra")),2)</f>
        <v>0</v>
      </c>
    </row>
    <row r="293" customFormat="false" ht="15" hidden="false" customHeight="false" outlineLevel="0" collapsed="false">
      <c r="A293" s="27" t="s">
        <v>108</v>
      </c>
      <c r="B293" s="27" t="s">
        <v>111</v>
      </c>
      <c r="C293" s="27" t="s">
        <v>41</v>
      </c>
      <c r="D293" s="27" t="s">
        <v>42</v>
      </c>
      <c r="E293" s="28" t="n">
        <f aca="false">ROUND((SUMIFS(Acerto_Detalhado!$F$2:$F$433,Acerto_Detalhado!$A$2:$A$433,$C293,Acerto_Detalhado!$B$2:$B$433,"Jan",Acerto_Detalhado!$C$2:$C$433,"Fibra"))*(SUMIFS(Acerto_Detalhado!$I$2:$I$433,Acerto_Detalhado!$A$2:$A$433,$D293,Acerto_Detalhado!$B$2:$B$433,"Jan",Acerto_Detalhado!$C$2:$C$433,"Fibra")),2)</f>
        <v>0</v>
      </c>
    </row>
    <row r="294" customFormat="false" ht="15" hidden="false" customHeight="false" outlineLevel="0" collapsed="false">
      <c r="A294" s="27" t="s">
        <v>108</v>
      </c>
      <c r="B294" s="27" t="s">
        <v>111</v>
      </c>
      <c r="C294" s="27" t="s">
        <v>41</v>
      </c>
      <c r="D294" s="27" t="s">
        <v>43</v>
      </c>
      <c r="E294" s="28" t="n">
        <f aca="false">ROUND((SUMIFS(Acerto_Detalhado!$F$2:$F$433,Acerto_Detalhado!$A$2:$A$433,$C294,Acerto_Detalhado!$B$2:$B$433,"Jan",Acerto_Detalhado!$C$2:$C$433,"Fibra"))*(SUMIFS(Acerto_Detalhado!$I$2:$I$433,Acerto_Detalhado!$A$2:$A$433,$D294,Acerto_Detalhado!$B$2:$B$433,"Jan",Acerto_Detalhado!$C$2:$C$433,"Fibra")),2)</f>
        <v>0</v>
      </c>
    </row>
    <row r="295" customFormat="false" ht="15" hidden="false" customHeight="false" outlineLevel="0" collapsed="false">
      <c r="A295" s="27" t="s">
        <v>108</v>
      </c>
      <c r="B295" s="27" t="s">
        <v>111</v>
      </c>
      <c r="C295" s="27" t="s">
        <v>41</v>
      </c>
      <c r="D295" s="27" t="s">
        <v>44</v>
      </c>
      <c r="E295" s="28" t="n">
        <f aca="false">ROUND((SUMIFS(Acerto_Detalhado!$F$2:$F$433,Acerto_Detalhado!$A$2:$A$433,$C295,Acerto_Detalhado!$B$2:$B$433,"Jan",Acerto_Detalhado!$C$2:$C$433,"Fibra"))*(SUMIFS(Acerto_Detalhado!$I$2:$I$433,Acerto_Detalhado!$A$2:$A$433,$D295,Acerto_Detalhado!$B$2:$B$433,"Jan",Acerto_Detalhado!$C$2:$C$433,"Fibra")),2)</f>
        <v>0</v>
      </c>
    </row>
    <row r="296" customFormat="false" ht="15" hidden="false" customHeight="false" outlineLevel="0" collapsed="false">
      <c r="A296" s="27" t="s">
        <v>108</v>
      </c>
      <c r="B296" s="27" t="s">
        <v>111</v>
      </c>
      <c r="C296" s="27" t="s">
        <v>41</v>
      </c>
      <c r="D296" s="27" t="s">
        <v>45</v>
      </c>
      <c r="E296" s="28" t="n">
        <f aca="false">ROUND((SUMIFS(Acerto_Detalhado!$F$2:$F$433,Acerto_Detalhado!$A$2:$A$433,$C296,Acerto_Detalhado!$B$2:$B$433,"Jan",Acerto_Detalhado!$C$2:$C$433,"Fibra"))*(SUMIFS(Acerto_Detalhado!$I$2:$I$433,Acerto_Detalhado!$A$2:$A$433,$D296,Acerto_Detalhado!$B$2:$B$433,"Jan",Acerto_Detalhado!$C$2:$C$433,"Fibra")),2)</f>
        <v>0</v>
      </c>
    </row>
    <row r="297" customFormat="false" ht="15" hidden="false" customHeight="false" outlineLevel="0" collapsed="false">
      <c r="A297" s="27" t="s">
        <v>108</v>
      </c>
      <c r="B297" s="27" t="s">
        <v>111</v>
      </c>
      <c r="C297" s="27" t="s">
        <v>41</v>
      </c>
      <c r="D297" s="27" t="s">
        <v>46</v>
      </c>
      <c r="E297" s="28" t="n">
        <f aca="false">ROUND((SUMIFS(Acerto_Detalhado!$F$2:$F$433,Acerto_Detalhado!$A$2:$A$433,$C297,Acerto_Detalhado!$B$2:$B$433,"Jan",Acerto_Detalhado!$C$2:$C$433,"Fibra"))*(SUMIFS(Acerto_Detalhado!$I$2:$I$433,Acerto_Detalhado!$A$2:$A$433,$D297,Acerto_Detalhado!$B$2:$B$433,"Jan",Acerto_Detalhado!$C$2:$C$433,"Fibra")),2)</f>
        <v>0</v>
      </c>
    </row>
    <row r="298" customFormat="false" ht="15" hidden="false" customHeight="false" outlineLevel="0" collapsed="false">
      <c r="A298" s="27" t="s">
        <v>108</v>
      </c>
      <c r="B298" s="27" t="s">
        <v>111</v>
      </c>
      <c r="C298" s="27" t="s">
        <v>41</v>
      </c>
      <c r="D298" s="27" t="s">
        <v>47</v>
      </c>
      <c r="E298" s="28" t="n">
        <f aca="false">ROUND((SUMIFS(Acerto_Detalhado!$F$2:$F$433,Acerto_Detalhado!$A$2:$A$433,$C298,Acerto_Detalhado!$B$2:$B$433,"Jan",Acerto_Detalhado!$C$2:$C$433,"Fibra"))*(SUMIFS(Acerto_Detalhado!$I$2:$I$433,Acerto_Detalhado!$A$2:$A$433,$D298,Acerto_Detalhado!$B$2:$B$433,"Jan",Acerto_Detalhado!$C$2:$C$433,"Fibra")),2)</f>
        <v>0</v>
      </c>
    </row>
    <row r="299" customFormat="false" ht="15" hidden="false" customHeight="false" outlineLevel="0" collapsed="false">
      <c r="A299" s="27" t="s">
        <v>108</v>
      </c>
      <c r="B299" s="27" t="s">
        <v>111</v>
      </c>
      <c r="C299" s="27" t="s">
        <v>41</v>
      </c>
      <c r="D299" s="27" t="s">
        <v>48</v>
      </c>
      <c r="E299" s="28" t="n">
        <f aca="false">ROUND((SUMIFS(Acerto_Detalhado!$F$2:$F$433,Acerto_Detalhado!$A$2:$A$433,$C299,Acerto_Detalhado!$B$2:$B$433,"Jan",Acerto_Detalhado!$C$2:$C$433,"Fibra"))*(SUMIFS(Acerto_Detalhado!$I$2:$I$433,Acerto_Detalhado!$A$2:$A$433,$D299,Acerto_Detalhado!$B$2:$B$433,"Jan",Acerto_Detalhado!$C$2:$C$433,"Fibra")),2)</f>
        <v>0</v>
      </c>
    </row>
    <row r="300" customFormat="false" ht="15" hidden="false" customHeight="false" outlineLevel="0" collapsed="false">
      <c r="A300" s="27" t="s">
        <v>108</v>
      </c>
      <c r="B300" s="27" t="s">
        <v>111</v>
      </c>
      <c r="C300" s="27" t="s">
        <v>41</v>
      </c>
      <c r="D300" s="27" t="s">
        <v>49</v>
      </c>
      <c r="E300" s="28" t="n">
        <f aca="false">ROUND((SUMIFS(Acerto_Detalhado!$F$2:$F$433,Acerto_Detalhado!$A$2:$A$433,$C300,Acerto_Detalhado!$B$2:$B$433,"Jan",Acerto_Detalhado!$C$2:$C$433,"Fibra"))*(SUMIFS(Acerto_Detalhado!$I$2:$I$433,Acerto_Detalhado!$A$2:$A$433,$D300,Acerto_Detalhado!$B$2:$B$433,"Jan",Acerto_Detalhado!$C$2:$C$433,"Fibra")),2)</f>
        <v>0</v>
      </c>
    </row>
    <row r="301" customFormat="false" ht="15" hidden="false" customHeight="false" outlineLevel="0" collapsed="false">
      <c r="A301" s="27" t="s">
        <v>108</v>
      </c>
      <c r="B301" s="27" t="s">
        <v>111</v>
      </c>
      <c r="C301" s="27" t="s">
        <v>41</v>
      </c>
      <c r="D301" s="27" t="s">
        <v>50</v>
      </c>
      <c r="E301" s="28" t="n">
        <f aca="false">ROUND((SUMIFS(Acerto_Detalhado!$F$2:$F$433,Acerto_Detalhado!$A$2:$A$433,$C301,Acerto_Detalhado!$B$2:$B$433,"Jan",Acerto_Detalhado!$C$2:$C$433,"Fibra"))*(SUMIFS(Acerto_Detalhado!$I$2:$I$433,Acerto_Detalhado!$A$2:$A$433,$D301,Acerto_Detalhado!$B$2:$B$433,"Jan",Acerto_Detalhado!$C$2:$C$433,"Fibra")),2)</f>
        <v>0</v>
      </c>
    </row>
    <row r="302" customFormat="false" ht="15" hidden="false" customHeight="false" outlineLevel="0" collapsed="false">
      <c r="A302" s="27" t="s">
        <v>108</v>
      </c>
      <c r="B302" s="27" t="s">
        <v>111</v>
      </c>
      <c r="C302" s="27" t="s">
        <v>42</v>
      </c>
      <c r="D302" s="27" t="s">
        <v>39</v>
      </c>
      <c r="E302" s="28" t="n">
        <f aca="false">ROUND((SUMIFS(Acerto_Detalhado!$F$2:$F$433,Acerto_Detalhado!$A$2:$A$433,$C302,Acerto_Detalhado!$B$2:$B$433,"Jan",Acerto_Detalhado!$C$2:$C$433,"Fibra"))*(SUMIFS(Acerto_Detalhado!$I$2:$I$433,Acerto_Detalhado!$A$2:$A$433,$D302,Acerto_Detalhado!$B$2:$B$433,"Jan",Acerto_Detalhado!$C$2:$C$433,"Fibra")),2)</f>
        <v>0</v>
      </c>
    </row>
    <row r="303" customFormat="false" ht="15" hidden="false" customHeight="false" outlineLevel="0" collapsed="false">
      <c r="A303" s="27" t="s">
        <v>108</v>
      </c>
      <c r="B303" s="27" t="s">
        <v>111</v>
      </c>
      <c r="C303" s="27" t="s">
        <v>42</v>
      </c>
      <c r="D303" s="27" t="s">
        <v>40</v>
      </c>
      <c r="E303" s="28" t="n">
        <f aca="false">ROUND((SUMIFS(Acerto_Detalhado!$F$2:$F$433,Acerto_Detalhado!$A$2:$A$433,$C303,Acerto_Detalhado!$B$2:$B$433,"Jan",Acerto_Detalhado!$C$2:$C$433,"Fibra"))*(SUMIFS(Acerto_Detalhado!$I$2:$I$433,Acerto_Detalhado!$A$2:$A$433,$D303,Acerto_Detalhado!$B$2:$B$433,"Jan",Acerto_Detalhado!$C$2:$C$433,"Fibra")),2)</f>
        <v>2801.66</v>
      </c>
    </row>
    <row r="304" customFormat="false" ht="15" hidden="false" customHeight="false" outlineLevel="0" collapsed="false">
      <c r="A304" s="27" t="s">
        <v>108</v>
      </c>
      <c r="B304" s="27" t="s">
        <v>111</v>
      </c>
      <c r="C304" s="27" t="s">
        <v>42</v>
      </c>
      <c r="D304" s="27" t="s">
        <v>41</v>
      </c>
      <c r="E304" s="28" t="n">
        <f aca="false">ROUND((SUMIFS(Acerto_Detalhado!$F$2:$F$433,Acerto_Detalhado!$A$2:$A$433,$C304,Acerto_Detalhado!$B$2:$B$433,"Jan",Acerto_Detalhado!$C$2:$C$433,"Fibra"))*(SUMIFS(Acerto_Detalhado!$I$2:$I$433,Acerto_Detalhado!$A$2:$A$433,$D304,Acerto_Detalhado!$B$2:$B$433,"Jan",Acerto_Detalhado!$C$2:$C$433,"Fibra")),2)</f>
        <v>1328.43</v>
      </c>
    </row>
    <row r="305" customFormat="false" ht="15" hidden="false" customHeight="false" outlineLevel="0" collapsed="false">
      <c r="A305" s="27" t="s">
        <v>108</v>
      </c>
      <c r="B305" s="27" t="s">
        <v>111</v>
      </c>
      <c r="C305" s="27" t="s">
        <v>42</v>
      </c>
      <c r="D305" s="27" t="s">
        <v>43</v>
      </c>
      <c r="E305" s="28" t="n">
        <f aca="false">ROUND((SUMIFS(Acerto_Detalhado!$F$2:$F$433,Acerto_Detalhado!$A$2:$A$433,$C305,Acerto_Detalhado!$B$2:$B$433,"Jan",Acerto_Detalhado!$C$2:$C$433,"Fibra"))*(SUMIFS(Acerto_Detalhado!$I$2:$I$433,Acerto_Detalhado!$A$2:$A$433,$D305,Acerto_Detalhado!$B$2:$B$433,"Jan",Acerto_Detalhado!$C$2:$C$433,"Fibra")),2)</f>
        <v>4087.82</v>
      </c>
    </row>
    <row r="306" customFormat="false" ht="15" hidden="false" customHeight="false" outlineLevel="0" collapsed="false">
      <c r="A306" s="27" t="s">
        <v>108</v>
      </c>
      <c r="B306" s="27" t="s">
        <v>111</v>
      </c>
      <c r="C306" s="27" t="s">
        <v>42</v>
      </c>
      <c r="D306" s="27" t="s">
        <v>44</v>
      </c>
      <c r="E306" s="28" t="n">
        <f aca="false">ROUND((SUMIFS(Acerto_Detalhado!$F$2:$F$433,Acerto_Detalhado!$A$2:$A$433,$C306,Acerto_Detalhado!$B$2:$B$433,"Jan",Acerto_Detalhado!$C$2:$C$433,"Fibra"))*(SUMIFS(Acerto_Detalhado!$I$2:$I$433,Acerto_Detalhado!$A$2:$A$433,$D306,Acerto_Detalhado!$B$2:$B$433,"Jan",Acerto_Detalhado!$C$2:$C$433,"Fibra")),2)</f>
        <v>0</v>
      </c>
    </row>
    <row r="307" customFormat="false" ht="15" hidden="false" customHeight="false" outlineLevel="0" collapsed="false">
      <c r="A307" s="27" t="s">
        <v>108</v>
      </c>
      <c r="B307" s="27" t="s">
        <v>111</v>
      </c>
      <c r="C307" s="27" t="s">
        <v>42</v>
      </c>
      <c r="D307" s="27" t="s">
        <v>45</v>
      </c>
      <c r="E307" s="28" t="n">
        <f aca="false">ROUND((SUMIFS(Acerto_Detalhado!$F$2:$F$433,Acerto_Detalhado!$A$2:$A$433,$C307,Acerto_Detalhado!$B$2:$B$433,"Jan",Acerto_Detalhado!$C$2:$C$433,"Fibra"))*(SUMIFS(Acerto_Detalhado!$I$2:$I$433,Acerto_Detalhado!$A$2:$A$433,$D307,Acerto_Detalhado!$B$2:$B$433,"Jan",Acerto_Detalhado!$C$2:$C$433,"Fibra")),2)</f>
        <v>0</v>
      </c>
    </row>
    <row r="308" customFormat="false" ht="15" hidden="false" customHeight="false" outlineLevel="0" collapsed="false">
      <c r="A308" s="27" t="s">
        <v>108</v>
      </c>
      <c r="B308" s="27" t="s">
        <v>111</v>
      </c>
      <c r="C308" s="27" t="s">
        <v>42</v>
      </c>
      <c r="D308" s="27" t="s">
        <v>46</v>
      </c>
      <c r="E308" s="28" t="n">
        <f aca="false">ROUND((SUMIFS(Acerto_Detalhado!$F$2:$F$433,Acerto_Detalhado!$A$2:$A$433,$C308,Acerto_Detalhado!$B$2:$B$433,"Jan",Acerto_Detalhado!$C$2:$C$433,"Fibra"))*(SUMIFS(Acerto_Detalhado!$I$2:$I$433,Acerto_Detalhado!$A$2:$A$433,$D308,Acerto_Detalhado!$B$2:$B$433,"Jan",Acerto_Detalhado!$C$2:$C$433,"Fibra")),2)</f>
        <v>0</v>
      </c>
    </row>
    <row r="309" customFormat="false" ht="15" hidden="false" customHeight="false" outlineLevel="0" collapsed="false">
      <c r="A309" s="27" t="s">
        <v>108</v>
      </c>
      <c r="B309" s="27" t="s">
        <v>111</v>
      </c>
      <c r="C309" s="27" t="s">
        <v>42</v>
      </c>
      <c r="D309" s="27" t="s">
        <v>47</v>
      </c>
      <c r="E309" s="28" t="n">
        <f aca="false">ROUND((SUMIFS(Acerto_Detalhado!$F$2:$F$433,Acerto_Detalhado!$A$2:$A$433,$C309,Acerto_Detalhado!$B$2:$B$433,"Jan",Acerto_Detalhado!$C$2:$C$433,"Fibra"))*(SUMIFS(Acerto_Detalhado!$I$2:$I$433,Acerto_Detalhado!$A$2:$A$433,$D309,Acerto_Detalhado!$B$2:$B$433,"Jan",Acerto_Detalhado!$C$2:$C$433,"Fibra")),2)</f>
        <v>0</v>
      </c>
    </row>
    <row r="310" customFormat="false" ht="15" hidden="false" customHeight="false" outlineLevel="0" collapsed="false">
      <c r="A310" s="27" t="s">
        <v>108</v>
      </c>
      <c r="B310" s="27" t="s">
        <v>111</v>
      </c>
      <c r="C310" s="27" t="s">
        <v>42</v>
      </c>
      <c r="D310" s="27" t="s">
        <v>48</v>
      </c>
      <c r="E310" s="28" t="n">
        <f aca="false">ROUND((SUMIFS(Acerto_Detalhado!$F$2:$F$433,Acerto_Detalhado!$A$2:$A$433,$C310,Acerto_Detalhado!$B$2:$B$433,"Jan",Acerto_Detalhado!$C$2:$C$433,"Fibra"))*(SUMIFS(Acerto_Detalhado!$I$2:$I$433,Acerto_Detalhado!$A$2:$A$433,$D310,Acerto_Detalhado!$B$2:$B$433,"Jan",Acerto_Detalhado!$C$2:$C$433,"Fibra")),2)</f>
        <v>0</v>
      </c>
    </row>
    <row r="311" customFormat="false" ht="15" hidden="false" customHeight="false" outlineLevel="0" collapsed="false">
      <c r="A311" s="27" t="s">
        <v>108</v>
      </c>
      <c r="B311" s="27" t="s">
        <v>111</v>
      </c>
      <c r="C311" s="27" t="s">
        <v>42</v>
      </c>
      <c r="D311" s="27" t="s">
        <v>49</v>
      </c>
      <c r="E311" s="28" t="n">
        <f aca="false">ROUND((SUMIFS(Acerto_Detalhado!$F$2:$F$433,Acerto_Detalhado!$A$2:$A$433,$C311,Acerto_Detalhado!$B$2:$B$433,"Jan",Acerto_Detalhado!$C$2:$C$433,"Fibra"))*(SUMIFS(Acerto_Detalhado!$I$2:$I$433,Acerto_Detalhado!$A$2:$A$433,$D311,Acerto_Detalhado!$B$2:$B$433,"Jan",Acerto_Detalhado!$C$2:$C$433,"Fibra")),2)</f>
        <v>0</v>
      </c>
    </row>
    <row r="312" customFormat="false" ht="15" hidden="false" customHeight="false" outlineLevel="0" collapsed="false">
      <c r="A312" s="27" t="s">
        <v>108</v>
      </c>
      <c r="B312" s="27" t="s">
        <v>111</v>
      </c>
      <c r="C312" s="27" t="s">
        <v>42</v>
      </c>
      <c r="D312" s="27" t="s">
        <v>50</v>
      </c>
      <c r="E312" s="28" t="n">
        <f aca="false">ROUND((SUMIFS(Acerto_Detalhado!$F$2:$F$433,Acerto_Detalhado!$A$2:$A$433,$C312,Acerto_Detalhado!$B$2:$B$433,"Jan",Acerto_Detalhado!$C$2:$C$433,"Fibra"))*(SUMIFS(Acerto_Detalhado!$I$2:$I$433,Acerto_Detalhado!$A$2:$A$433,$D312,Acerto_Detalhado!$B$2:$B$433,"Jan",Acerto_Detalhado!$C$2:$C$433,"Fibra")),2)</f>
        <v>0</v>
      </c>
    </row>
    <row r="313" customFormat="false" ht="15" hidden="false" customHeight="false" outlineLevel="0" collapsed="false">
      <c r="A313" s="27" t="s">
        <v>108</v>
      </c>
      <c r="B313" s="27" t="s">
        <v>111</v>
      </c>
      <c r="C313" s="27" t="s">
        <v>43</v>
      </c>
      <c r="D313" s="27" t="s">
        <v>39</v>
      </c>
      <c r="E313" s="28" t="n">
        <f aca="false">ROUND((SUMIFS(Acerto_Detalhado!$F$2:$F$433,Acerto_Detalhado!$A$2:$A$433,$C313,Acerto_Detalhado!$B$2:$B$433,"Jan",Acerto_Detalhado!$C$2:$C$433,"Fibra"))*(SUMIFS(Acerto_Detalhado!$I$2:$I$433,Acerto_Detalhado!$A$2:$A$433,$D313,Acerto_Detalhado!$B$2:$B$433,"Jan",Acerto_Detalhado!$C$2:$C$433,"Fibra")),2)</f>
        <v>0</v>
      </c>
    </row>
    <row r="314" customFormat="false" ht="15" hidden="false" customHeight="false" outlineLevel="0" collapsed="false">
      <c r="A314" s="27" t="s">
        <v>108</v>
      </c>
      <c r="B314" s="27" t="s">
        <v>111</v>
      </c>
      <c r="C314" s="27" t="s">
        <v>43</v>
      </c>
      <c r="D314" s="27" t="s">
        <v>40</v>
      </c>
      <c r="E314" s="28" t="n">
        <f aca="false">ROUND((SUMIFS(Acerto_Detalhado!$F$2:$F$433,Acerto_Detalhado!$A$2:$A$433,$C314,Acerto_Detalhado!$B$2:$B$433,"Jan",Acerto_Detalhado!$C$2:$C$433,"Fibra"))*(SUMIFS(Acerto_Detalhado!$I$2:$I$433,Acerto_Detalhado!$A$2:$A$433,$D314,Acerto_Detalhado!$B$2:$B$433,"Jan",Acerto_Detalhado!$C$2:$C$433,"Fibra")),2)</f>
        <v>0</v>
      </c>
    </row>
    <row r="315" customFormat="false" ht="15" hidden="false" customHeight="false" outlineLevel="0" collapsed="false">
      <c r="A315" s="27" t="s">
        <v>108</v>
      </c>
      <c r="B315" s="27" t="s">
        <v>111</v>
      </c>
      <c r="C315" s="27" t="s">
        <v>43</v>
      </c>
      <c r="D315" s="27" t="s">
        <v>41</v>
      </c>
      <c r="E315" s="28" t="n">
        <f aca="false">ROUND((SUMIFS(Acerto_Detalhado!$F$2:$F$433,Acerto_Detalhado!$A$2:$A$433,$C315,Acerto_Detalhado!$B$2:$B$433,"Jan",Acerto_Detalhado!$C$2:$C$433,"Fibra"))*(SUMIFS(Acerto_Detalhado!$I$2:$I$433,Acerto_Detalhado!$A$2:$A$433,$D315,Acerto_Detalhado!$B$2:$B$433,"Jan",Acerto_Detalhado!$C$2:$C$433,"Fibra")),2)</f>
        <v>0</v>
      </c>
    </row>
    <row r="316" customFormat="false" ht="15" hidden="false" customHeight="false" outlineLevel="0" collapsed="false">
      <c r="A316" s="27" t="s">
        <v>108</v>
      </c>
      <c r="B316" s="27" t="s">
        <v>111</v>
      </c>
      <c r="C316" s="27" t="s">
        <v>43</v>
      </c>
      <c r="D316" s="27" t="s">
        <v>42</v>
      </c>
      <c r="E316" s="28" t="n">
        <f aca="false">ROUND((SUMIFS(Acerto_Detalhado!$F$2:$F$433,Acerto_Detalhado!$A$2:$A$433,$C316,Acerto_Detalhado!$B$2:$B$433,"Jan",Acerto_Detalhado!$C$2:$C$433,"Fibra"))*(SUMIFS(Acerto_Detalhado!$I$2:$I$433,Acerto_Detalhado!$A$2:$A$433,$D316,Acerto_Detalhado!$B$2:$B$433,"Jan",Acerto_Detalhado!$C$2:$C$433,"Fibra")),2)</f>
        <v>0</v>
      </c>
    </row>
    <row r="317" customFormat="false" ht="15" hidden="false" customHeight="false" outlineLevel="0" collapsed="false">
      <c r="A317" s="27" t="s">
        <v>108</v>
      </c>
      <c r="B317" s="27" t="s">
        <v>111</v>
      </c>
      <c r="C317" s="27" t="s">
        <v>43</v>
      </c>
      <c r="D317" s="27" t="s">
        <v>44</v>
      </c>
      <c r="E317" s="28" t="n">
        <f aca="false">ROUND((SUMIFS(Acerto_Detalhado!$F$2:$F$433,Acerto_Detalhado!$A$2:$A$433,$C317,Acerto_Detalhado!$B$2:$B$433,"Jan",Acerto_Detalhado!$C$2:$C$433,"Fibra"))*(SUMIFS(Acerto_Detalhado!$I$2:$I$433,Acerto_Detalhado!$A$2:$A$433,$D317,Acerto_Detalhado!$B$2:$B$433,"Jan",Acerto_Detalhado!$C$2:$C$433,"Fibra")),2)</f>
        <v>0</v>
      </c>
    </row>
    <row r="318" customFormat="false" ht="15" hidden="false" customHeight="false" outlineLevel="0" collapsed="false">
      <c r="A318" s="27" t="s">
        <v>108</v>
      </c>
      <c r="B318" s="27" t="s">
        <v>111</v>
      </c>
      <c r="C318" s="27" t="s">
        <v>43</v>
      </c>
      <c r="D318" s="27" t="s">
        <v>45</v>
      </c>
      <c r="E318" s="28" t="n">
        <f aca="false">ROUND((SUMIFS(Acerto_Detalhado!$F$2:$F$433,Acerto_Detalhado!$A$2:$A$433,$C318,Acerto_Detalhado!$B$2:$B$433,"Jan",Acerto_Detalhado!$C$2:$C$433,"Fibra"))*(SUMIFS(Acerto_Detalhado!$I$2:$I$433,Acerto_Detalhado!$A$2:$A$433,$D318,Acerto_Detalhado!$B$2:$B$433,"Jan",Acerto_Detalhado!$C$2:$C$433,"Fibra")),2)</f>
        <v>0</v>
      </c>
    </row>
    <row r="319" customFormat="false" ht="15" hidden="false" customHeight="false" outlineLevel="0" collapsed="false">
      <c r="A319" s="27" t="s">
        <v>108</v>
      </c>
      <c r="B319" s="27" t="s">
        <v>111</v>
      </c>
      <c r="C319" s="27" t="s">
        <v>43</v>
      </c>
      <c r="D319" s="27" t="s">
        <v>46</v>
      </c>
      <c r="E319" s="28" t="n">
        <f aca="false">ROUND((SUMIFS(Acerto_Detalhado!$F$2:$F$433,Acerto_Detalhado!$A$2:$A$433,$C319,Acerto_Detalhado!$B$2:$B$433,"Jan",Acerto_Detalhado!$C$2:$C$433,"Fibra"))*(SUMIFS(Acerto_Detalhado!$I$2:$I$433,Acerto_Detalhado!$A$2:$A$433,$D319,Acerto_Detalhado!$B$2:$B$433,"Jan",Acerto_Detalhado!$C$2:$C$433,"Fibra")),2)</f>
        <v>0</v>
      </c>
    </row>
    <row r="320" customFormat="false" ht="15" hidden="false" customHeight="false" outlineLevel="0" collapsed="false">
      <c r="A320" s="27" t="s">
        <v>108</v>
      </c>
      <c r="B320" s="27" t="s">
        <v>111</v>
      </c>
      <c r="C320" s="27" t="s">
        <v>43</v>
      </c>
      <c r="D320" s="27" t="s">
        <v>47</v>
      </c>
      <c r="E320" s="28" t="n">
        <f aca="false">ROUND((SUMIFS(Acerto_Detalhado!$F$2:$F$433,Acerto_Detalhado!$A$2:$A$433,$C320,Acerto_Detalhado!$B$2:$B$433,"Jan",Acerto_Detalhado!$C$2:$C$433,"Fibra"))*(SUMIFS(Acerto_Detalhado!$I$2:$I$433,Acerto_Detalhado!$A$2:$A$433,$D320,Acerto_Detalhado!$B$2:$B$433,"Jan",Acerto_Detalhado!$C$2:$C$433,"Fibra")),2)</f>
        <v>0</v>
      </c>
    </row>
    <row r="321" customFormat="false" ht="15" hidden="false" customHeight="false" outlineLevel="0" collapsed="false">
      <c r="A321" s="27" t="s">
        <v>108</v>
      </c>
      <c r="B321" s="27" t="s">
        <v>111</v>
      </c>
      <c r="C321" s="27" t="s">
        <v>43</v>
      </c>
      <c r="D321" s="27" t="s">
        <v>48</v>
      </c>
      <c r="E321" s="28" t="n">
        <f aca="false">ROUND((SUMIFS(Acerto_Detalhado!$F$2:$F$433,Acerto_Detalhado!$A$2:$A$433,$C321,Acerto_Detalhado!$B$2:$B$433,"Jan",Acerto_Detalhado!$C$2:$C$433,"Fibra"))*(SUMIFS(Acerto_Detalhado!$I$2:$I$433,Acerto_Detalhado!$A$2:$A$433,$D321,Acerto_Detalhado!$B$2:$B$433,"Jan",Acerto_Detalhado!$C$2:$C$433,"Fibra")),2)</f>
        <v>0</v>
      </c>
    </row>
    <row r="322" customFormat="false" ht="15" hidden="false" customHeight="false" outlineLevel="0" collapsed="false">
      <c r="A322" s="27" t="s">
        <v>108</v>
      </c>
      <c r="B322" s="27" t="s">
        <v>111</v>
      </c>
      <c r="C322" s="27" t="s">
        <v>43</v>
      </c>
      <c r="D322" s="27" t="s">
        <v>49</v>
      </c>
      <c r="E322" s="28" t="n">
        <f aca="false">ROUND((SUMIFS(Acerto_Detalhado!$F$2:$F$433,Acerto_Detalhado!$A$2:$A$433,$C322,Acerto_Detalhado!$B$2:$B$433,"Jan",Acerto_Detalhado!$C$2:$C$433,"Fibra"))*(SUMIFS(Acerto_Detalhado!$I$2:$I$433,Acerto_Detalhado!$A$2:$A$433,$D322,Acerto_Detalhado!$B$2:$B$433,"Jan",Acerto_Detalhado!$C$2:$C$433,"Fibra")),2)</f>
        <v>0</v>
      </c>
    </row>
    <row r="323" customFormat="false" ht="15" hidden="false" customHeight="false" outlineLevel="0" collapsed="false">
      <c r="A323" s="27" t="s">
        <v>108</v>
      </c>
      <c r="B323" s="27" t="s">
        <v>111</v>
      </c>
      <c r="C323" s="27" t="s">
        <v>43</v>
      </c>
      <c r="D323" s="27" t="s">
        <v>50</v>
      </c>
      <c r="E323" s="28" t="n">
        <f aca="false">ROUND((SUMIFS(Acerto_Detalhado!$F$2:$F$433,Acerto_Detalhado!$A$2:$A$433,$C323,Acerto_Detalhado!$B$2:$B$433,"Jan",Acerto_Detalhado!$C$2:$C$433,"Fibra"))*(SUMIFS(Acerto_Detalhado!$I$2:$I$433,Acerto_Detalhado!$A$2:$A$433,$D323,Acerto_Detalhado!$B$2:$B$433,"Jan",Acerto_Detalhado!$C$2:$C$433,"Fibra")),2)</f>
        <v>0</v>
      </c>
    </row>
    <row r="324" customFormat="false" ht="15" hidden="false" customHeight="false" outlineLevel="0" collapsed="false">
      <c r="A324" s="27" t="s">
        <v>108</v>
      </c>
      <c r="B324" s="27" t="s">
        <v>111</v>
      </c>
      <c r="C324" s="27" t="s">
        <v>44</v>
      </c>
      <c r="D324" s="27" t="s">
        <v>39</v>
      </c>
      <c r="E324" s="28" t="n">
        <f aca="false">ROUND((SUMIFS(Acerto_Detalhado!$F$2:$F$433,Acerto_Detalhado!$A$2:$A$433,$C324,Acerto_Detalhado!$B$2:$B$433,"Jan",Acerto_Detalhado!$C$2:$C$433,"Fibra"))*(SUMIFS(Acerto_Detalhado!$I$2:$I$433,Acerto_Detalhado!$A$2:$A$433,$D324,Acerto_Detalhado!$B$2:$B$433,"Jan",Acerto_Detalhado!$C$2:$C$433,"Fibra")),2)</f>
        <v>0</v>
      </c>
    </row>
    <row r="325" customFormat="false" ht="15" hidden="false" customHeight="false" outlineLevel="0" collapsed="false">
      <c r="A325" s="27" t="s">
        <v>108</v>
      </c>
      <c r="B325" s="27" t="s">
        <v>111</v>
      </c>
      <c r="C325" s="27" t="s">
        <v>44</v>
      </c>
      <c r="D325" s="27" t="s">
        <v>40</v>
      </c>
      <c r="E325" s="28" t="n">
        <f aca="false">ROUND((SUMIFS(Acerto_Detalhado!$F$2:$F$433,Acerto_Detalhado!$A$2:$A$433,$C325,Acerto_Detalhado!$B$2:$B$433,"Jan",Acerto_Detalhado!$C$2:$C$433,"Fibra"))*(SUMIFS(Acerto_Detalhado!$I$2:$I$433,Acerto_Detalhado!$A$2:$A$433,$D325,Acerto_Detalhado!$B$2:$B$433,"Jan",Acerto_Detalhado!$C$2:$C$433,"Fibra")),2)</f>
        <v>6797.25</v>
      </c>
    </row>
    <row r="326" customFormat="false" ht="15" hidden="false" customHeight="false" outlineLevel="0" collapsed="false">
      <c r="A326" s="27" t="s">
        <v>108</v>
      </c>
      <c r="B326" s="27" t="s">
        <v>111</v>
      </c>
      <c r="C326" s="27" t="s">
        <v>44</v>
      </c>
      <c r="D326" s="27" t="s">
        <v>41</v>
      </c>
      <c r="E326" s="28" t="n">
        <f aca="false">ROUND((SUMIFS(Acerto_Detalhado!$F$2:$F$433,Acerto_Detalhado!$A$2:$A$433,$C326,Acerto_Detalhado!$B$2:$B$433,"Jan",Acerto_Detalhado!$C$2:$C$433,"Fibra"))*(SUMIFS(Acerto_Detalhado!$I$2:$I$433,Acerto_Detalhado!$A$2:$A$433,$D326,Acerto_Detalhado!$B$2:$B$433,"Jan",Acerto_Detalhado!$C$2:$C$433,"Fibra")),2)</f>
        <v>3222.98</v>
      </c>
    </row>
    <row r="327" customFormat="false" ht="15" hidden="false" customHeight="false" outlineLevel="0" collapsed="false">
      <c r="A327" s="27" t="s">
        <v>108</v>
      </c>
      <c r="B327" s="27" t="s">
        <v>111</v>
      </c>
      <c r="C327" s="27" t="s">
        <v>44</v>
      </c>
      <c r="D327" s="27" t="s">
        <v>42</v>
      </c>
      <c r="E327" s="28" t="n">
        <f aca="false">ROUND((SUMIFS(Acerto_Detalhado!$F$2:$F$433,Acerto_Detalhado!$A$2:$A$433,$C327,Acerto_Detalhado!$B$2:$B$433,"Jan",Acerto_Detalhado!$C$2:$C$433,"Fibra"))*(SUMIFS(Acerto_Detalhado!$I$2:$I$433,Acerto_Detalhado!$A$2:$A$433,$D327,Acerto_Detalhado!$B$2:$B$433,"Jan",Acerto_Detalhado!$C$2:$C$433,"Fibra")),2)</f>
        <v>0</v>
      </c>
    </row>
    <row r="328" customFormat="false" ht="15" hidden="false" customHeight="false" outlineLevel="0" collapsed="false">
      <c r="A328" s="27" t="s">
        <v>108</v>
      </c>
      <c r="B328" s="27" t="s">
        <v>111</v>
      </c>
      <c r="C328" s="27" t="s">
        <v>44</v>
      </c>
      <c r="D328" s="27" t="s">
        <v>43</v>
      </c>
      <c r="E328" s="28" t="n">
        <f aca="false">ROUND((SUMIFS(Acerto_Detalhado!$F$2:$F$433,Acerto_Detalhado!$A$2:$A$433,$C328,Acerto_Detalhado!$B$2:$B$433,"Jan",Acerto_Detalhado!$C$2:$C$433,"Fibra"))*(SUMIFS(Acerto_Detalhado!$I$2:$I$433,Acerto_Detalhado!$A$2:$A$433,$D328,Acerto_Detalhado!$B$2:$B$433,"Jan",Acerto_Detalhado!$C$2:$C$433,"Fibra")),2)</f>
        <v>9917.69</v>
      </c>
    </row>
    <row r="329" customFormat="false" ht="15" hidden="false" customHeight="false" outlineLevel="0" collapsed="false">
      <c r="A329" s="27" t="s">
        <v>108</v>
      </c>
      <c r="B329" s="27" t="s">
        <v>111</v>
      </c>
      <c r="C329" s="27" t="s">
        <v>44</v>
      </c>
      <c r="D329" s="27" t="s">
        <v>45</v>
      </c>
      <c r="E329" s="28" t="n">
        <f aca="false">ROUND((SUMIFS(Acerto_Detalhado!$F$2:$F$433,Acerto_Detalhado!$A$2:$A$433,$C329,Acerto_Detalhado!$B$2:$B$433,"Jan",Acerto_Detalhado!$C$2:$C$433,"Fibra"))*(SUMIFS(Acerto_Detalhado!$I$2:$I$433,Acerto_Detalhado!$A$2:$A$433,$D329,Acerto_Detalhado!$B$2:$B$433,"Jan",Acerto_Detalhado!$C$2:$C$433,"Fibra")),2)</f>
        <v>0</v>
      </c>
    </row>
    <row r="330" customFormat="false" ht="15" hidden="false" customHeight="false" outlineLevel="0" collapsed="false">
      <c r="A330" s="27" t="s">
        <v>108</v>
      </c>
      <c r="B330" s="27" t="s">
        <v>111</v>
      </c>
      <c r="C330" s="27" t="s">
        <v>44</v>
      </c>
      <c r="D330" s="27" t="s">
        <v>46</v>
      </c>
      <c r="E330" s="28" t="n">
        <f aca="false">ROUND((SUMIFS(Acerto_Detalhado!$F$2:$F$433,Acerto_Detalhado!$A$2:$A$433,$C330,Acerto_Detalhado!$B$2:$B$433,"Jan",Acerto_Detalhado!$C$2:$C$433,"Fibra"))*(SUMIFS(Acerto_Detalhado!$I$2:$I$433,Acerto_Detalhado!$A$2:$A$433,$D330,Acerto_Detalhado!$B$2:$B$433,"Jan",Acerto_Detalhado!$C$2:$C$433,"Fibra")),2)</f>
        <v>0</v>
      </c>
    </row>
    <row r="331" customFormat="false" ht="15" hidden="false" customHeight="false" outlineLevel="0" collapsed="false">
      <c r="A331" s="27" t="s">
        <v>108</v>
      </c>
      <c r="B331" s="27" t="s">
        <v>111</v>
      </c>
      <c r="C331" s="27" t="s">
        <v>44</v>
      </c>
      <c r="D331" s="27" t="s">
        <v>47</v>
      </c>
      <c r="E331" s="28" t="n">
        <f aca="false">ROUND((SUMIFS(Acerto_Detalhado!$F$2:$F$433,Acerto_Detalhado!$A$2:$A$433,$C331,Acerto_Detalhado!$B$2:$B$433,"Jan",Acerto_Detalhado!$C$2:$C$433,"Fibra"))*(SUMIFS(Acerto_Detalhado!$I$2:$I$433,Acerto_Detalhado!$A$2:$A$433,$D331,Acerto_Detalhado!$B$2:$B$433,"Jan",Acerto_Detalhado!$C$2:$C$433,"Fibra")),2)</f>
        <v>0</v>
      </c>
    </row>
    <row r="332" customFormat="false" ht="15" hidden="false" customHeight="false" outlineLevel="0" collapsed="false">
      <c r="A332" s="27" t="s">
        <v>108</v>
      </c>
      <c r="B332" s="27" t="s">
        <v>111</v>
      </c>
      <c r="C332" s="27" t="s">
        <v>44</v>
      </c>
      <c r="D332" s="27" t="s">
        <v>48</v>
      </c>
      <c r="E332" s="28" t="n">
        <f aca="false">ROUND((SUMIFS(Acerto_Detalhado!$F$2:$F$433,Acerto_Detalhado!$A$2:$A$433,$C332,Acerto_Detalhado!$B$2:$B$433,"Jan",Acerto_Detalhado!$C$2:$C$433,"Fibra"))*(SUMIFS(Acerto_Detalhado!$I$2:$I$433,Acerto_Detalhado!$A$2:$A$433,$D332,Acerto_Detalhado!$B$2:$B$433,"Jan",Acerto_Detalhado!$C$2:$C$433,"Fibra")),2)</f>
        <v>0</v>
      </c>
    </row>
    <row r="333" customFormat="false" ht="15" hidden="false" customHeight="false" outlineLevel="0" collapsed="false">
      <c r="A333" s="27" t="s">
        <v>108</v>
      </c>
      <c r="B333" s="27" t="s">
        <v>111</v>
      </c>
      <c r="C333" s="27" t="s">
        <v>44</v>
      </c>
      <c r="D333" s="27" t="s">
        <v>49</v>
      </c>
      <c r="E333" s="28" t="n">
        <f aca="false">ROUND((SUMIFS(Acerto_Detalhado!$F$2:$F$433,Acerto_Detalhado!$A$2:$A$433,$C333,Acerto_Detalhado!$B$2:$B$433,"Jan",Acerto_Detalhado!$C$2:$C$433,"Fibra"))*(SUMIFS(Acerto_Detalhado!$I$2:$I$433,Acerto_Detalhado!$A$2:$A$433,$D333,Acerto_Detalhado!$B$2:$B$433,"Jan",Acerto_Detalhado!$C$2:$C$433,"Fibra")),2)</f>
        <v>0</v>
      </c>
    </row>
    <row r="334" customFormat="false" ht="15" hidden="false" customHeight="false" outlineLevel="0" collapsed="false">
      <c r="A334" s="27" t="s">
        <v>108</v>
      </c>
      <c r="B334" s="27" t="s">
        <v>111</v>
      </c>
      <c r="C334" s="27" t="s">
        <v>44</v>
      </c>
      <c r="D334" s="27" t="s">
        <v>50</v>
      </c>
      <c r="E334" s="28" t="n">
        <f aca="false">ROUND((SUMIFS(Acerto_Detalhado!$F$2:$F$433,Acerto_Detalhado!$A$2:$A$433,$C334,Acerto_Detalhado!$B$2:$B$433,"Jan",Acerto_Detalhado!$C$2:$C$433,"Fibra"))*(SUMIFS(Acerto_Detalhado!$I$2:$I$433,Acerto_Detalhado!$A$2:$A$433,$D334,Acerto_Detalhado!$B$2:$B$433,"Jan",Acerto_Detalhado!$C$2:$C$433,"Fibra")),2)</f>
        <v>0</v>
      </c>
    </row>
    <row r="335" customFormat="false" ht="15" hidden="false" customHeight="false" outlineLevel="0" collapsed="false">
      <c r="A335" s="27" t="s">
        <v>108</v>
      </c>
      <c r="B335" s="27" t="s">
        <v>111</v>
      </c>
      <c r="C335" s="27" t="s">
        <v>45</v>
      </c>
      <c r="D335" s="27" t="s">
        <v>39</v>
      </c>
      <c r="E335" s="28" t="n">
        <f aca="false">ROUND((SUMIFS(Acerto_Detalhado!$F$2:$F$433,Acerto_Detalhado!$A$2:$A$433,$C335,Acerto_Detalhado!$B$2:$B$433,"Jan",Acerto_Detalhado!$C$2:$C$433,"Fibra"))*(SUMIFS(Acerto_Detalhado!$I$2:$I$433,Acerto_Detalhado!$A$2:$A$433,$D335,Acerto_Detalhado!$B$2:$B$433,"Jan",Acerto_Detalhado!$C$2:$C$433,"Fibra")),2)</f>
        <v>0</v>
      </c>
    </row>
    <row r="336" customFormat="false" ht="15" hidden="false" customHeight="false" outlineLevel="0" collapsed="false">
      <c r="A336" s="27" t="s">
        <v>108</v>
      </c>
      <c r="B336" s="27" t="s">
        <v>111</v>
      </c>
      <c r="C336" s="27" t="s">
        <v>45</v>
      </c>
      <c r="D336" s="27" t="s">
        <v>40</v>
      </c>
      <c r="E336" s="28" t="n">
        <f aca="false">ROUND((SUMIFS(Acerto_Detalhado!$F$2:$F$433,Acerto_Detalhado!$A$2:$A$433,$C336,Acerto_Detalhado!$B$2:$B$433,"Jan",Acerto_Detalhado!$C$2:$C$433,"Fibra"))*(SUMIFS(Acerto_Detalhado!$I$2:$I$433,Acerto_Detalhado!$A$2:$A$433,$D336,Acerto_Detalhado!$B$2:$B$433,"Jan",Acerto_Detalhado!$C$2:$C$433,"Fibra")),2)</f>
        <v>14680.25</v>
      </c>
    </row>
    <row r="337" customFormat="false" ht="15" hidden="false" customHeight="false" outlineLevel="0" collapsed="false">
      <c r="A337" s="27" t="s">
        <v>108</v>
      </c>
      <c r="B337" s="27" t="s">
        <v>111</v>
      </c>
      <c r="C337" s="27" t="s">
        <v>45</v>
      </c>
      <c r="D337" s="27" t="s">
        <v>41</v>
      </c>
      <c r="E337" s="28" t="n">
        <f aca="false">ROUND((SUMIFS(Acerto_Detalhado!$F$2:$F$433,Acerto_Detalhado!$A$2:$A$433,$C337,Acerto_Detalhado!$B$2:$B$433,"Jan",Acerto_Detalhado!$C$2:$C$433,"Fibra"))*(SUMIFS(Acerto_Detalhado!$I$2:$I$433,Acerto_Detalhado!$A$2:$A$433,$D337,Acerto_Detalhado!$B$2:$B$433,"Jan",Acerto_Detalhado!$C$2:$C$433,"Fibra")),2)</f>
        <v>6960.78</v>
      </c>
    </row>
    <row r="338" customFormat="false" ht="15" hidden="false" customHeight="false" outlineLevel="0" collapsed="false">
      <c r="A338" s="27" t="s">
        <v>108</v>
      </c>
      <c r="B338" s="27" t="s">
        <v>111</v>
      </c>
      <c r="C338" s="27" t="s">
        <v>45</v>
      </c>
      <c r="D338" s="27" t="s">
        <v>42</v>
      </c>
      <c r="E338" s="28" t="n">
        <f aca="false">ROUND((SUMIFS(Acerto_Detalhado!$F$2:$F$433,Acerto_Detalhado!$A$2:$A$433,$C338,Acerto_Detalhado!$B$2:$B$433,"Jan",Acerto_Detalhado!$C$2:$C$433,"Fibra"))*(SUMIFS(Acerto_Detalhado!$I$2:$I$433,Acerto_Detalhado!$A$2:$A$433,$D338,Acerto_Detalhado!$B$2:$B$433,"Jan",Acerto_Detalhado!$C$2:$C$433,"Fibra")),2)</f>
        <v>0</v>
      </c>
    </row>
    <row r="339" customFormat="false" ht="15" hidden="false" customHeight="false" outlineLevel="0" collapsed="false">
      <c r="A339" s="27" t="s">
        <v>108</v>
      </c>
      <c r="B339" s="27" t="s">
        <v>111</v>
      </c>
      <c r="C339" s="27" t="s">
        <v>45</v>
      </c>
      <c r="D339" s="27" t="s">
        <v>43</v>
      </c>
      <c r="E339" s="28" t="n">
        <f aca="false">ROUND((SUMIFS(Acerto_Detalhado!$F$2:$F$433,Acerto_Detalhado!$A$2:$A$433,$C339,Acerto_Detalhado!$B$2:$B$433,"Jan",Acerto_Detalhado!$C$2:$C$433,"Fibra"))*(SUMIFS(Acerto_Detalhado!$I$2:$I$433,Acerto_Detalhado!$A$2:$A$433,$D339,Acerto_Detalhado!$B$2:$B$433,"Jan",Acerto_Detalhado!$C$2:$C$433,"Fibra")),2)</f>
        <v>21419.56</v>
      </c>
    </row>
    <row r="340" customFormat="false" ht="15" hidden="false" customHeight="false" outlineLevel="0" collapsed="false">
      <c r="A340" s="27" t="s">
        <v>108</v>
      </c>
      <c r="B340" s="27" t="s">
        <v>111</v>
      </c>
      <c r="C340" s="27" t="s">
        <v>45</v>
      </c>
      <c r="D340" s="27" t="s">
        <v>44</v>
      </c>
      <c r="E340" s="28" t="n">
        <f aca="false">ROUND((SUMIFS(Acerto_Detalhado!$F$2:$F$433,Acerto_Detalhado!$A$2:$A$433,$C340,Acerto_Detalhado!$B$2:$B$433,"Jan",Acerto_Detalhado!$C$2:$C$433,"Fibra"))*(SUMIFS(Acerto_Detalhado!$I$2:$I$433,Acerto_Detalhado!$A$2:$A$433,$D340,Acerto_Detalhado!$B$2:$B$433,"Jan",Acerto_Detalhado!$C$2:$C$433,"Fibra")),2)</f>
        <v>0</v>
      </c>
    </row>
    <row r="341" customFormat="false" ht="15" hidden="false" customHeight="false" outlineLevel="0" collapsed="false">
      <c r="A341" s="27" t="s">
        <v>108</v>
      </c>
      <c r="B341" s="27" t="s">
        <v>111</v>
      </c>
      <c r="C341" s="27" t="s">
        <v>45</v>
      </c>
      <c r="D341" s="27" t="s">
        <v>46</v>
      </c>
      <c r="E341" s="28" t="n">
        <f aca="false">ROUND((SUMIFS(Acerto_Detalhado!$F$2:$F$433,Acerto_Detalhado!$A$2:$A$433,$C341,Acerto_Detalhado!$B$2:$B$433,"Jan",Acerto_Detalhado!$C$2:$C$433,"Fibra"))*(SUMIFS(Acerto_Detalhado!$I$2:$I$433,Acerto_Detalhado!$A$2:$A$433,$D341,Acerto_Detalhado!$B$2:$B$433,"Jan",Acerto_Detalhado!$C$2:$C$433,"Fibra")),2)</f>
        <v>0</v>
      </c>
    </row>
    <row r="342" customFormat="false" ht="15" hidden="false" customHeight="false" outlineLevel="0" collapsed="false">
      <c r="A342" s="27" t="s">
        <v>108</v>
      </c>
      <c r="B342" s="27" t="s">
        <v>111</v>
      </c>
      <c r="C342" s="27" t="s">
        <v>45</v>
      </c>
      <c r="D342" s="27" t="s">
        <v>47</v>
      </c>
      <c r="E342" s="28" t="n">
        <f aca="false">ROUND((SUMIFS(Acerto_Detalhado!$F$2:$F$433,Acerto_Detalhado!$A$2:$A$433,$C342,Acerto_Detalhado!$B$2:$B$433,"Jan",Acerto_Detalhado!$C$2:$C$433,"Fibra"))*(SUMIFS(Acerto_Detalhado!$I$2:$I$433,Acerto_Detalhado!$A$2:$A$433,$D342,Acerto_Detalhado!$B$2:$B$433,"Jan",Acerto_Detalhado!$C$2:$C$433,"Fibra")),2)</f>
        <v>0</v>
      </c>
    </row>
    <row r="343" customFormat="false" ht="15" hidden="false" customHeight="false" outlineLevel="0" collapsed="false">
      <c r="A343" s="27" t="s">
        <v>108</v>
      </c>
      <c r="B343" s="27" t="s">
        <v>111</v>
      </c>
      <c r="C343" s="27" t="s">
        <v>45</v>
      </c>
      <c r="D343" s="27" t="s">
        <v>48</v>
      </c>
      <c r="E343" s="28" t="n">
        <f aca="false">ROUND((SUMIFS(Acerto_Detalhado!$F$2:$F$433,Acerto_Detalhado!$A$2:$A$433,$C343,Acerto_Detalhado!$B$2:$B$433,"Jan",Acerto_Detalhado!$C$2:$C$433,"Fibra"))*(SUMIFS(Acerto_Detalhado!$I$2:$I$433,Acerto_Detalhado!$A$2:$A$433,$D343,Acerto_Detalhado!$B$2:$B$433,"Jan",Acerto_Detalhado!$C$2:$C$433,"Fibra")),2)</f>
        <v>0</v>
      </c>
    </row>
    <row r="344" customFormat="false" ht="15" hidden="false" customHeight="false" outlineLevel="0" collapsed="false">
      <c r="A344" s="27" t="s">
        <v>108</v>
      </c>
      <c r="B344" s="27" t="s">
        <v>111</v>
      </c>
      <c r="C344" s="27" t="s">
        <v>45</v>
      </c>
      <c r="D344" s="27" t="s">
        <v>49</v>
      </c>
      <c r="E344" s="28" t="n">
        <f aca="false">ROUND((SUMIFS(Acerto_Detalhado!$F$2:$F$433,Acerto_Detalhado!$A$2:$A$433,$C344,Acerto_Detalhado!$B$2:$B$433,"Jan",Acerto_Detalhado!$C$2:$C$433,"Fibra"))*(SUMIFS(Acerto_Detalhado!$I$2:$I$433,Acerto_Detalhado!$A$2:$A$433,$D344,Acerto_Detalhado!$B$2:$B$433,"Jan",Acerto_Detalhado!$C$2:$C$433,"Fibra")),2)</f>
        <v>0</v>
      </c>
    </row>
    <row r="345" customFormat="false" ht="15" hidden="false" customHeight="false" outlineLevel="0" collapsed="false">
      <c r="A345" s="27" t="s">
        <v>108</v>
      </c>
      <c r="B345" s="27" t="s">
        <v>111</v>
      </c>
      <c r="C345" s="27" t="s">
        <v>45</v>
      </c>
      <c r="D345" s="27" t="s">
        <v>50</v>
      </c>
      <c r="E345" s="28" t="n">
        <f aca="false">ROUND((SUMIFS(Acerto_Detalhado!$F$2:$F$433,Acerto_Detalhado!$A$2:$A$433,$C345,Acerto_Detalhado!$B$2:$B$433,"Jan",Acerto_Detalhado!$C$2:$C$433,"Fibra"))*(SUMIFS(Acerto_Detalhado!$I$2:$I$433,Acerto_Detalhado!$A$2:$A$433,$D345,Acerto_Detalhado!$B$2:$B$433,"Jan",Acerto_Detalhado!$C$2:$C$433,"Fibra")),2)</f>
        <v>0</v>
      </c>
    </row>
    <row r="346" customFormat="false" ht="15" hidden="false" customHeight="false" outlineLevel="0" collapsed="false">
      <c r="A346" s="27" t="s">
        <v>108</v>
      </c>
      <c r="B346" s="27" t="s">
        <v>111</v>
      </c>
      <c r="C346" s="27" t="s">
        <v>46</v>
      </c>
      <c r="D346" s="27" t="s">
        <v>39</v>
      </c>
      <c r="E346" s="28" t="n">
        <f aca="false">ROUND((SUMIFS(Acerto_Detalhado!$F$2:$F$433,Acerto_Detalhado!$A$2:$A$433,$C346,Acerto_Detalhado!$B$2:$B$433,"Jan",Acerto_Detalhado!$C$2:$C$433,"Fibra"))*(SUMIFS(Acerto_Detalhado!$I$2:$I$433,Acerto_Detalhado!$A$2:$A$433,$D346,Acerto_Detalhado!$B$2:$B$433,"Jan",Acerto_Detalhado!$C$2:$C$433,"Fibra")),2)</f>
        <v>0</v>
      </c>
    </row>
    <row r="347" customFormat="false" ht="15" hidden="false" customHeight="false" outlineLevel="0" collapsed="false">
      <c r="A347" s="27" t="s">
        <v>108</v>
      </c>
      <c r="B347" s="27" t="s">
        <v>111</v>
      </c>
      <c r="C347" s="27" t="s">
        <v>46</v>
      </c>
      <c r="D347" s="27" t="s">
        <v>40</v>
      </c>
      <c r="E347" s="28" t="n">
        <f aca="false">ROUND((SUMIFS(Acerto_Detalhado!$F$2:$F$433,Acerto_Detalhado!$A$2:$A$433,$C347,Acerto_Detalhado!$B$2:$B$433,"Jan",Acerto_Detalhado!$C$2:$C$433,"Fibra"))*(SUMIFS(Acerto_Detalhado!$I$2:$I$433,Acerto_Detalhado!$A$2:$A$433,$D347,Acerto_Detalhado!$B$2:$B$433,"Jan",Acerto_Detalhado!$C$2:$C$433,"Fibra")),2)</f>
        <v>0</v>
      </c>
    </row>
    <row r="348" customFormat="false" ht="15" hidden="false" customHeight="false" outlineLevel="0" collapsed="false">
      <c r="A348" s="27" t="s">
        <v>108</v>
      </c>
      <c r="B348" s="27" t="s">
        <v>111</v>
      </c>
      <c r="C348" s="27" t="s">
        <v>46</v>
      </c>
      <c r="D348" s="27" t="s">
        <v>41</v>
      </c>
      <c r="E348" s="28" t="n">
        <f aca="false">ROUND((SUMIFS(Acerto_Detalhado!$F$2:$F$433,Acerto_Detalhado!$A$2:$A$433,$C348,Acerto_Detalhado!$B$2:$B$433,"Jan",Acerto_Detalhado!$C$2:$C$433,"Fibra"))*(SUMIFS(Acerto_Detalhado!$I$2:$I$433,Acerto_Detalhado!$A$2:$A$433,$D348,Acerto_Detalhado!$B$2:$B$433,"Jan",Acerto_Detalhado!$C$2:$C$433,"Fibra")),2)</f>
        <v>0</v>
      </c>
    </row>
    <row r="349" customFormat="false" ht="15" hidden="false" customHeight="false" outlineLevel="0" collapsed="false">
      <c r="A349" s="27" t="s">
        <v>108</v>
      </c>
      <c r="B349" s="27" t="s">
        <v>111</v>
      </c>
      <c r="C349" s="27" t="s">
        <v>46</v>
      </c>
      <c r="D349" s="27" t="s">
        <v>42</v>
      </c>
      <c r="E349" s="28" t="n">
        <f aca="false">ROUND((SUMIFS(Acerto_Detalhado!$F$2:$F$433,Acerto_Detalhado!$A$2:$A$433,$C349,Acerto_Detalhado!$B$2:$B$433,"Jan",Acerto_Detalhado!$C$2:$C$433,"Fibra"))*(SUMIFS(Acerto_Detalhado!$I$2:$I$433,Acerto_Detalhado!$A$2:$A$433,$D349,Acerto_Detalhado!$B$2:$B$433,"Jan",Acerto_Detalhado!$C$2:$C$433,"Fibra")),2)</f>
        <v>0</v>
      </c>
    </row>
    <row r="350" customFormat="false" ht="15" hidden="false" customHeight="false" outlineLevel="0" collapsed="false">
      <c r="A350" s="27" t="s">
        <v>108</v>
      </c>
      <c r="B350" s="27" t="s">
        <v>111</v>
      </c>
      <c r="C350" s="27" t="s">
        <v>46</v>
      </c>
      <c r="D350" s="27" t="s">
        <v>43</v>
      </c>
      <c r="E350" s="28" t="n">
        <f aca="false">ROUND((SUMIFS(Acerto_Detalhado!$F$2:$F$433,Acerto_Detalhado!$A$2:$A$433,$C350,Acerto_Detalhado!$B$2:$B$433,"Jan",Acerto_Detalhado!$C$2:$C$433,"Fibra"))*(SUMIFS(Acerto_Detalhado!$I$2:$I$433,Acerto_Detalhado!$A$2:$A$433,$D350,Acerto_Detalhado!$B$2:$B$433,"Jan",Acerto_Detalhado!$C$2:$C$433,"Fibra")),2)</f>
        <v>0</v>
      </c>
    </row>
    <row r="351" customFormat="false" ht="15" hidden="false" customHeight="false" outlineLevel="0" collapsed="false">
      <c r="A351" s="27" t="s">
        <v>108</v>
      </c>
      <c r="B351" s="27" t="s">
        <v>111</v>
      </c>
      <c r="C351" s="27" t="s">
        <v>46</v>
      </c>
      <c r="D351" s="27" t="s">
        <v>44</v>
      </c>
      <c r="E351" s="28" t="n">
        <f aca="false">ROUND((SUMIFS(Acerto_Detalhado!$F$2:$F$433,Acerto_Detalhado!$A$2:$A$433,$C351,Acerto_Detalhado!$B$2:$B$433,"Jan",Acerto_Detalhado!$C$2:$C$433,"Fibra"))*(SUMIFS(Acerto_Detalhado!$I$2:$I$433,Acerto_Detalhado!$A$2:$A$433,$D351,Acerto_Detalhado!$B$2:$B$433,"Jan",Acerto_Detalhado!$C$2:$C$433,"Fibra")),2)</f>
        <v>0</v>
      </c>
    </row>
    <row r="352" customFormat="false" ht="15" hidden="false" customHeight="false" outlineLevel="0" collapsed="false">
      <c r="A352" s="27" t="s">
        <v>108</v>
      </c>
      <c r="B352" s="27" t="s">
        <v>111</v>
      </c>
      <c r="C352" s="27" t="s">
        <v>46</v>
      </c>
      <c r="D352" s="27" t="s">
        <v>45</v>
      </c>
      <c r="E352" s="28" t="n">
        <f aca="false">ROUND((SUMIFS(Acerto_Detalhado!$F$2:$F$433,Acerto_Detalhado!$A$2:$A$433,$C352,Acerto_Detalhado!$B$2:$B$433,"Jan",Acerto_Detalhado!$C$2:$C$433,"Fibra"))*(SUMIFS(Acerto_Detalhado!$I$2:$I$433,Acerto_Detalhado!$A$2:$A$433,$D352,Acerto_Detalhado!$B$2:$B$433,"Jan",Acerto_Detalhado!$C$2:$C$433,"Fibra")),2)</f>
        <v>0</v>
      </c>
    </row>
    <row r="353" customFormat="false" ht="15" hidden="false" customHeight="false" outlineLevel="0" collapsed="false">
      <c r="A353" s="27" t="s">
        <v>108</v>
      </c>
      <c r="B353" s="27" t="s">
        <v>111</v>
      </c>
      <c r="C353" s="27" t="s">
        <v>46</v>
      </c>
      <c r="D353" s="27" t="s">
        <v>47</v>
      </c>
      <c r="E353" s="28" t="n">
        <f aca="false">ROUND((SUMIFS(Acerto_Detalhado!$F$2:$F$433,Acerto_Detalhado!$A$2:$A$433,$C353,Acerto_Detalhado!$B$2:$B$433,"Jan",Acerto_Detalhado!$C$2:$C$433,"Fibra"))*(SUMIFS(Acerto_Detalhado!$I$2:$I$433,Acerto_Detalhado!$A$2:$A$433,$D353,Acerto_Detalhado!$B$2:$B$433,"Jan",Acerto_Detalhado!$C$2:$C$433,"Fibra")),2)</f>
        <v>0</v>
      </c>
    </row>
    <row r="354" customFormat="false" ht="15" hidden="false" customHeight="false" outlineLevel="0" collapsed="false">
      <c r="A354" s="27" t="s">
        <v>108</v>
      </c>
      <c r="B354" s="27" t="s">
        <v>111</v>
      </c>
      <c r="C354" s="27" t="s">
        <v>46</v>
      </c>
      <c r="D354" s="27" t="s">
        <v>48</v>
      </c>
      <c r="E354" s="28" t="n">
        <f aca="false">ROUND((SUMIFS(Acerto_Detalhado!$F$2:$F$433,Acerto_Detalhado!$A$2:$A$433,$C354,Acerto_Detalhado!$B$2:$B$433,"Jan",Acerto_Detalhado!$C$2:$C$433,"Fibra"))*(SUMIFS(Acerto_Detalhado!$I$2:$I$433,Acerto_Detalhado!$A$2:$A$433,$D354,Acerto_Detalhado!$B$2:$B$433,"Jan",Acerto_Detalhado!$C$2:$C$433,"Fibra")),2)</f>
        <v>0</v>
      </c>
    </row>
    <row r="355" customFormat="false" ht="15" hidden="false" customHeight="false" outlineLevel="0" collapsed="false">
      <c r="A355" s="27" t="s">
        <v>108</v>
      </c>
      <c r="B355" s="27" t="s">
        <v>111</v>
      </c>
      <c r="C355" s="27" t="s">
        <v>46</v>
      </c>
      <c r="D355" s="27" t="s">
        <v>49</v>
      </c>
      <c r="E355" s="28" t="n">
        <f aca="false">ROUND((SUMIFS(Acerto_Detalhado!$F$2:$F$433,Acerto_Detalhado!$A$2:$A$433,$C355,Acerto_Detalhado!$B$2:$B$433,"Jan",Acerto_Detalhado!$C$2:$C$433,"Fibra"))*(SUMIFS(Acerto_Detalhado!$I$2:$I$433,Acerto_Detalhado!$A$2:$A$433,$D355,Acerto_Detalhado!$B$2:$B$433,"Jan",Acerto_Detalhado!$C$2:$C$433,"Fibra")),2)</f>
        <v>0</v>
      </c>
    </row>
    <row r="356" customFormat="false" ht="15" hidden="false" customHeight="false" outlineLevel="0" collapsed="false">
      <c r="A356" s="27" t="s">
        <v>108</v>
      </c>
      <c r="B356" s="27" t="s">
        <v>111</v>
      </c>
      <c r="C356" s="27" t="s">
        <v>46</v>
      </c>
      <c r="D356" s="27" t="s">
        <v>50</v>
      </c>
      <c r="E356" s="28" t="n">
        <f aca="false">ROUND((SUMIFS(Acerto_Detalhado!$F$2:$F$433,Acerto_Detalhado!$A$2:$A$433,$C356,Acerto_Detalhado!$B$2:$B$433,"Jan",Acerto_Detalhado!$C$2:$C$433,"Fibra"))*(SUMIFS(Acerto_Detalhado!$I$2:$I$433,Acerto_Detalhado!$A$2:$A$433,$D356,Acerto_Detalhado!$B$2:$B$433,"Jan",Acerto_Detalhado!$C$2:$C$433,"Fibra")),2)</f>
        <v>0</v>
      </c>
    </row>
    <row r="357" customFormat="false" ht="15" hidden="false" customHeight="false" outlineLevel="0" collapsed="false">
      <c r="A357" s="27" t="s">
        <v>108</v>
      </c>
      <c r="B357" s="27" t="s">
        <v>111</v>
      </c>
      <c r="C357" s="27" t="s">
        <v>47</v>
      </c>
      <c r="D357" s="27" t="s">
        <v>39</v>
      </c>
      <c r="E357" s="28" t="n">
        <f aca="false">ROUND((SUMIFS(Acerto_Detalhado!$F$2:$F$433,Acerto_Detalhado!$A$2:$A$433,$C357,Acerto_Detalhado!$B$2:$B$433,"Jan",Acerto_Detalhado!$C$2:$C$433,"Fibra"))*(SUMIFS(Acerto_Detalhado!$I$2:$I$433,Acerto_Detalhado!$A$2:$A$433,$D357,Acerto_Detalhado!$B$2:$B$433,"Jan",Acerto_Detalhado!$C$2:$C$433,"Fibra")),2)</f>
        <v>0</v>
      </c>
    </row>
    <row r="358" customFormat="false" ht="15" hidden="false" customHeight="false" outlineLevel="0" collapsed="false">
      <c r="A358" s="27" t="s">
        <v>108</v>
      </c>
      <c r="B358" s="27" t="s">
        <v>111</v>
      </c>
      <c r="C358" s="27" t="s">
        <v>47</v>
      </c>
      <c r="D358" s="27" t="s">
        <v>40</v>
      </c>
      <c r="E358" s="28" t="n">
        <f aca="false">ROUND((SUMIFS(Acerto_Detalhado!$F$2:$F$433,Acerto_Detalhado!$A$2:$A$433,$C358,Acerto_Detalhado!$B$2:$B$433,"Jan",Acerto_Detalhado!$C$2:$C$433,"Fibra"))*(SUMIFS(Acerto_Detalhado!$I$2:$I$433,Acerto_Detalhado!$A$2:$A$433,$D358,Acerto_Detalhado!$B$2:$B$433,"Jan",Acerto_Detalhado!$C$2:$C$433,"Fibra")),2)</f>
        <v>0</v>
      </c>
    </row>
    <row r="359" customFormat="false" ht="15" hidden="false" customHeight="false" outlineLevel="0" collapsed="false">
      <c r="A359" s="27" t="s">
        <v>108</v>
      </c>
      <c r="B359" s="27" t="s">
        <v>111</v>
      </c>
      <c r="C359" s="27" t="s">
        <v>47</v>
      </c>
      <c r="D359" s="27" t="s">
        <v>41</v>
      </c>
      <c r="E359" s="28" t="n">
        <f aca="false">ROUND((SUMIFS(Acerto_Detalhado!$F$2:$F$433,Acerto_Detalhado!$A$2:$A$433,$C359,Acerto_Detalhado!$B$2:$B$433,"Jan",Acerto_Detalhado!$C$2:$C$433,"Fibra"))*(SUMIFS(Acerto_Detalhado!$I$2:$I$433,Acerto_Detalhado!$A$2:$A$433,$D359,Acerto_Detalhado!$B$2:$B$433,"Jan",Acerto_Detalhado!$C$2:$C$433,"Fibra")),2)</f>
        <v>0</v>
      </c>
    </row>
    <row r="360" customFormat="false" ht="15" hidden="false" customHeight="false" outlineLevel="0" collapsed="false">
      <c r="A360" s="27" t="s">
        <v>108</v>
      </c>
      <c r="B360" s="27" t="s">
        <v>111</v>
      </c>
      <c r="C360" s="27" t="s">
        <v>47</v>
      </c>
      <c r="D360" s="27" t="s">
        <v>42</v>
      </c>
      <c r="E360" s="28" t="n">
        <f aca="false">ROUND((SUMIFS(Acerto_Detalhado!$F$2:$F$433,Acerto_Detalhado!$A$2:$A$433,$C360,Acerto_Detalhado!$B$2:$B$433,"Jan",Acerto_Detalhado!$C$2:$C$433,"Fibra"))*(SUMIFS(Acerto_Detalhado!$I$2:$I$433,Acerto_Detalhado!$A$2:$A$433,$D360,Acerto_Detalhado!$B$2:$B$433,"Jan",Acerto_Detalhado!$C$2:$C$433,"Fibra")),2)</f>
        <v>0</v>
      </c>
    </row>
    <row r="361" customFormat="false" ht="15" hidden="false" customHeight="false" outlineLevel="0" collapsed="false">
      <c r="A361" s="27" t="s">
        <v>108</v>
      </c>
      <c r="B361" s="27" t="s">
        <v>111</v>
      </c>
      <c r="C361" s="27" t="s">
        <v>47</v>
      </c>
      <c r="D361" s="27" t="s">
        <v>43</v>
      </c>
      <c r="E361" s="28" t="n">
        <f aca="false">ROUND((SUMIFS(Acerto_Detalhado!$F$2:$F$433,Acerto_Detalhado!$A$2:$A$433,$C361,Acerto_Detalhado!$B$2:$B$433,"Jan",Acerto_Detalhado!$C$2:$C$433,"Fibra"))*(SUMIFS(Acerto_Detalhado!$I$2:$I$433,Acerto_Detalhado!$A$2:$A$433,$D361,Acerto_Detalhado!$B$2:$B$433,"Jan",Acerto_Detalhado!$C$2:$C$433,"Fibra")),2)</f>
        <v>0</v>
      </c>
    </row>
    <row r="362" customFormat="false" ht="15" hidden="false" customHeight="false" outlineLevel="0" collapsed="false">
      <c r="A362" s="27" t="s">
        <v>108</v>
      </c>
      <c r="B362" s="27" t="s">
        <v>111</v>
      </c>
      <c r="C362" s="27" t="s">
        <v>47</v>
      </c>
      <c r="D362" s="27" t="s">
        <v>44</v>
      </c>
      <c r="E362" s="28" t="n">
        <f aca="false">ROUND((SUMIFS(Acerto_Detalhado!$F$2:$F$433,Acerto_Detalhado!$A$2:$A$433,$C362,Acerto_Detalhado!$B$2:$B$433,"Jan",Acerto_Detalhado!$C$2:$C$433,"Fibra"))*(SUMIFS(Acerto_Detalhado!$I$2:$I$433,Acerto_Detalhado!$A$2:$A$433,$D362,Acerto_Detalhado!$B$2:$B$433,"Jan",Acerto_Detalhado!$C$2:$C$433,"Fibra")),2)</f>
        <v>0</v>
      </c>
    </row>
    <row r="363" customFormat="false" ht="15" hidden="false" customHeight="false" outlineLevel="0" collapsed="false">
      <c r="A363" s="27" t="s">
        <v>108</v>
      </c>
      <c r="B363" s="27" t="s">
        <v>111</v>
      </c>
      <c r="C363" s="27" t="s">
        <v>47</v>
      </c>
      <c r="D363" s="27" t="s">
        <v>45</v>
      </c>
      <c r="E363" s="28" t="n">
        <f aca="false">ROUND((SUMIFS(Acerto_Detalhado!$F$2:$F$433,Acerto_Detalhado!$A$2:$A$433,$C363,Acerto_Detalhado!$B$2:$B$433,"Jan",Acerto_Detalhado!$C$2:$C$433,"Fibra"))*(SUMIFS(Acerto_Detalhado!$I$2:$I$433,Acerto_Detalhado!$A$2:$A$433,$D363,Acerto_Detalhado!$B$2:$B$433,"Jan",Acerto_Detalhado!$C$2:$C$433,"Fibra")),2)</f>
        <v>0</v>
      </c>
    </row>
    <row r="364" customFormat="false" ht="15" hidden="false" customHeight="false" outlineLevel="0" collapsed="false">
      <c r="A364" s="27" t="s">
        <v>108</v>
      </c>
      <c r="B364" s="27" t="s">
        <v>111</v>
      </c>
      <c r="C364" s="27" t="s">
        <v>47</v>
      </c>
      <c r="D364" s="27" t="s">
        <v>46</v>
      </c>
      <c r="E364" s="28" t="n">
        <f aca="false">ROUND((SUMIFS(Acerto_Detalhado!$F$2:$F$433,Acerto_Detalhado!$A$2:$A$433,$C364,Acerto_Detalhado!$B$2:$B$433,"Jan",Acerto_Detalhado!$C$2:$C$433,"Fibra"))*(SUMIFS(Acerto_Detalhado!$I$2:$I$433,Acerto_Detalhado!$A$2:$A$433,$D364,Acerto_Detalhado!$B$2:$B$433,"Jan",Acerto_Detalhado!$C$2:$C$433,"Fibra")),2)</f>
        <v>0</v>
      </c>
    </row>
    <row r="365" customFormat="false" ht="15" hidden="false" customHeight="false" outlineLevel="0" collapsed="false">
      <c r="A365" s="27" t="s">
        <v>108</v>
      </c>
      <c r="B365" s="27" t="s">
        <v>111</v>
      </c>
      <c r="C365" s="27" t="s">
        <v>47</v>
      </c>
      <c r="D365" s="27" t="s">
        <v>48</v>
      </c>
      <c r="E365" s="28" t="n">
        <f aca="false">ROUND((SUMIFS(Acerto_Detalhado!$F$2:$F$433,Acerto_Detalhado!$A$2:$A$433,$C365,Acerto_Detalhado!$B$2:$B$433,"Jan",Acerto_Detalhado!$C$2:$C$433,"Fibra"))*(SUMIFS(Acerto_Detalhado!$I$2:$I$433,Acerto_Detalhado!$A$2:$A$433,$D365,Acerto_Detalhado!$B$2:$B$433,"Jan",Acerto_Detalhado!$C$2:$C$433,"Fibra")),2)</f>
        <v>0</v>
      </c>
    </row>
    <row r="366" customFormat="false" ht="15" hidden="false" customHeight="false" outlineLevel="0" collapsed="false">
      <c r="A366" s="27" t="s">
        <v>108</v>
      </c>
      <c r="B366" s="27" t="s">
        <v>111</v>
      </c>
      <c r="C366" s="27" t="s">
        <v>47</v>
      </c>
      <c r="D366" s="27" t="s">
        <v>49</v>
      </c>
      <c r="E366" s="28" t="n">
        <f aca="false">ROUND((SUMIFS(Acerto_Detalhado!$F$2:$F$433,Acerto_Detalhado!$A$2:$A$433,$C366,Acerto_Detalhado!$B$2:$B$433,"Jan",Acerto_Detalhado!$C$2:$C$433,"Fibra"))*(SUMIFS(Acerto_Detalhado!$I$2:$I$433,Acerto_Detalhado!$A$2:$A$433,$D366,Acerto_Detalhado!$B$2:$B$433,"Jan",Acerto_Detalhado!$C$2:$C$433,"Fibra")),2)</f>
        <v>0</v>
      </c>
    </row>
    <row r="367" customFormat="false" ht="15" hidden="false" customHeight="false" outlineLevel="0" collapsed="false">
      <c r="A367" s="27" t="s">
        <v>108</v>
      </c>
      <c r="B367" s="27" t="s">
        <v>111</v>
      </c>
      <c r="C367" s="27" t="s">
        <v>47</v>
      </c>
      <c r="D367" s="27" t="s">
        <v>50</v>
      </c>
      <c r="E367" s="28" t="n">
        <f aca="false">ROUND((SUMIFS(Acerto_Detalhado!$F$2:$F$433,Acerto_Detalhado!$A$2:$A$433,$C367,Acerto_Detalhado!$B$2:$B$433,"Jan",Acerto_Detalhado!$C$2:$C$433,"Fibra"))*(SUMIFS(Acerto_Detalhado!$I$2:$I$433,Acerto_Detalhado!$A$2:$A$433,$D367,Acerto_Detalhado!$B$2:$B$433,"Jan",Acerto_Detalhado!$C$2:$C$433,"Fibra")),2)</f>
        <v>0</v>
      </c>
    </row>
    <row r="368" customFormat="false" ht="15" hidden="false" customHeight="false" outlineLevel="0" collapsed="false">
      <c r="A368" s="27" t="s">
        <v>108</v>
      </c>
      <c r="B368" s="27" t="s">
        <v>111</v>
      </c>
      <c r="C368" s="27" t="s">
        <v>48</v>
      </c>
      <c r="D368" s="27" t="s">
        <v>39</v>
      </c>
      <c r="E368" s="28" t="n">
        <f aca="false">ROUND((SUMIFS(Acerto_Detalhado!$F$2:$F$433,Acerto_Detalhado!$A$2:$A$433,$C368,Acerto_Detalhado!$B$2:$B$433,"Jan",Acerto_Detalhado!$C$2:$C$433,"Fibra"))*(SUMIFS(Acerto_Detalhado!$I$2:$I$433,Acerto_Detalhado!$A$2:$A$433,$D368,Acerto_Detalhado!$B$2:$B$433,"Jan",Acerto_Detalhado!$C$2:$C$433,"Fibra")),2)</f>
        <v>0</v>
      </c>
    </row>
    <row r="369" customFormat="false" ht="15" hidden="false" customHeight="false" outlineLevel="0" collapsed="false">
      <c r="A369" s="27" t="s">
        <v>108</v>
      </c>
      <c r="B369" s="27" t="s">
        <v>111</v>
      </c>
      <c r="C369" s="27" t="s">
        <v>48</v>
      </c>
      <c r="D369" s="27" t="s">
        <v>40</v>
      </c>
      <c r="E369" s="28" t="n">
        <f aca="false">ROUND((SUMIFS(Acerto_Detalhado!$F$2:$F$433,Acerto_Detalhado!$A$2:$A$433,$C369,Acerto_Detalhado!$B$2:$B$433,"Jan",Acerto_Detalhado!$C$2:$C$433,"Fibra"))*(SUMIFS(Acerto_Detalhado!$I$2:$I$433,Acerto_Detalhado!$A$2:$A$433,$D369,Acerto_Detalhado!$B$2:$B$433,"Jan",Acerto_Detalhado!$C$2:$C$433,"Fibra")),2)</f>
        <v>0</v>
      </c>
    </row>
    <row r="370" customFormat="false" ht="15" hidden="false" customHeight="false" outlineLevel="0" collapsed="false">
      <c r="A370" s="27" t="s">
        <v>108</v>
      </c>
      <c r="B370" s="27" t="s">
        <v>111</v>
      </c>
      <c r="C370" s="27" t="s">
        <v>48</v>
      </c>
      <c r="D370" s="27" t="s">
        <v>41</v>
      </c>
      <c r="E370" s="28" t="n">
        <f aca="false">ROUND((SUMIFS(Acerto_Detalhado!$F$2:$F$433,Acerto_Detalhado!$A$2:$A$433,$C370,Acerto_Detalhado!$B$2:$B$433,"Jan",Acerto_Detalhado!$C$2:$C$433,"Fibra"))*(SUMIFS(Acerto_Detalhado!$I$2:$I$433,Acerto_Detalhado!$A$2:$A$433,$D370,Acerto_Detalhado!$B$2:$B$433,"Jan",Acerto_Detalhado!$C$2:$C$433,"Fibra")),2)</f>
        <v>0</v>
      </c>
    </row>
    <row r="371" customFormat="false" ht="15" hidden="false" customHeight="false" outlineLevel="0" collapsed="false">
      <c r="A371" s="27" t="s">
        <v>108</v>
      </c>
      <c r="B371" s="27" t="s">
        <v>111</v>
      </c>
      <c r="C371" s="27" t="s">
        <v>48</v>
      </c>
      <c r="D371" s="27" t="s">
        <v>42</v>
      </c>
      <c r="E371" s="28" t="n">
        <f aca="false">ROUND((SUMIFS(Acerto_Detalhado!$F$2:$F$433,Acerto_Detalhado!$A$2:$A$433,$C371,Acerto_Detalhado!$B$2:$B$433,"Jan",Acerto_Detalhado!$C$2:$C$433,"Fibra"))*(SUMIFS(Acerto_Detalhado!$I$2:$I$433,Acerto_Detalhado!$A$2:$A$433,$D371,Acerto_Detalhado!$B$2:$B$433,"Jan",Acerto_Detalhado!$C$2:$C$433,"Fibra")),2)</f>
        <v>0</v>
      </c>
    </row>
    <row r="372" customFormat="false" ht="15" hidden="false" customHeight="false" outlineLevel="0" collapsed="false">
      <c r="A372" s="27" t="s">
        <v>108</v>
      </c>
      <c r="B372" s="27" t="s">
        <v>111</v>
      </c>
      <c r="C372" s="27" t="s">
        <v>48</v>
      </c>
      <c r="D372" s="27" t="s">
        <v>43</v>
      </c>
      <c r="E372" s="28" t="n">
        <f aca="false">ROUND((SUMIFS(Acerto_Detalhado!$F$2:$F$433,Acerto_Detalhado!$A$2:$A$433,$C372,Acerto_Detalhado!$B$2:$B$433,"Jan",Acerto_Detalhado!$C$2:$C$433,"Fibra"))*(SUMIFS(Acerto_Detalhado!$I$2:$I$433,Acerto_Detalhado!$A$2:$A$433,$D372,Acerto_Detalhado!$B$2:$B$433,"Jan",Acerto_Detalhado!$C$2:$C$433,"Fibra")),2)</f>
        <v>0</v>
      </c>
    </row>
    <row r="373" customFormat="false" ht="15" hidden="false" customHeight="false" outlineLevel="0" collapsed="false">
      <c r="A373" s="27" t="s">
        <v>108</v>
      </c>
      <c r="B373" s="27" t="s">
        <v>111</v>
      </c>
      <c r="C373" s="27" t="s">
        <v>48</v>
      </c>
      <c r="D373" s="27" t="s">
        <v>44</v>
      </c>
      <c r="E373" s="28" t="n">
        <f aca="false">ROUND((SUMIFS(Acerto_Detalhado!$F$2:$F$433,Acerto_Detalhado!$A$2:$A$433,$C373,Acerto_Detalhado!$B$2:$B$433,"Jan",Acerto_Detalhado!$C$2:$C$433,"Fibra"))*(SUMIFS(Acerto_Detalhado!$I$2:$I$433,Acerto_Detalhado!$A$2:$A$433,$D373,Acerto_Detalhado!$B$2:$B$433,"Jan",Acerto_Detalhado!$C$2:$C$433,"Fibra")),2)</f>
        <v>0</v>
      </c>
    </row>
    <row r="374" customFormat="false" ht="15" hidden="false" customHeight="false" outlineLevel="0" collapsed="false">
      <c r="A374" s="27" t="s">
        <v>108</v>
      </c>
      <c r="B374" s="27" t="s">
        <v>111</v>
      </c>
      <c r="C374" s="27" t="s">
        <v>48</v>
      </c>
      <c r="D374" s="27" t="s">
        <v>45</v>
      </c>
      <c r="E374" s="28" t="n">
        <f aca="false">ROUND((SUMIFS(Acerto_Detalhado!$F$2:$F$433,Acerto_Detalhado!$A$2:$A$433,$C374,Acerto_Detalhado!$B$2:$B$433,"Jan",Acerto_Detalhado!$C$2:$C$433,"Fibra"))*(SUMIFS(Acerto_Detalhado!$I$2:$I$433,Acerto_Detalhado!$A$2:$A$433,$D374,Acerto_Detalhado!$B$2:$B$433,"Jan",Acerto_Detalhado!$C$2:$C$433,"Fibra")),2)</f>
        <v>0</v>
      </c>
    </row>
    <row r="375" customFormat="false" ht="15" hidden="false" customHeight="false" outlineLevel="0" collapsed="false">
      <c r="A375" s="27" t="s">
        <v>108</v>
      </c>
      <c r="B375" s="27" t="s">
        <v>111</v>
      </c>
      <c r="C375" s="27" t="s">
        <v>48</v>
      </c>
      <c r="D375" s="27" t="s">
        <v>46</v>
      </c>
      <c r="E375" s="28" t="n">
        <f aca="false">ROUND((SUMIFS(Acerto_Detalhado!$F$2:$F$433,Acerto_Detalhado!$A$2:$A$433,$C375,Acerto_Detalhado!$B$2:$B$433,"Jan",Acerto_Detalhado!$C$2:$C$433,"Fibra"))*(SUMIFS(Acerto_Detalhado!$I$2:$I$433,Acerto_Detalhado!$A$2:$A$433,$D375,Acerto_Detalhado!$B$2:$B$433,"Jan",Acerto_Detalhado!$C$2:$C$433,"Fibra")),2)</f>
        <v>0</v>
      </c>
    </row>
    <row r="376" customFormat="false" ht="15" hidden="false" customHeight="false" outlineLevel="0" collapsed="false">
      <c r="A376" s="27" t="s">
        <v>108</v>
      </c>
      <c r="B376" s="27" t="s">
        <v>111</v>
      </c>
      <c r="C376" s="27" t="s">
        <v>48</v>
      </c>
      <c r="D376" s="27" t="s">
        <v>47</v>
      </c>
      <c r="E376" s="28" t="n">
        <f aca="false">ROUND((SUMIFS(Acerto_Detalhado!$F$2:$F$433,Acerto_Detalhado!$A$2:$A$433,$C376,Acerto_Detalhado!$B$2:$B$433,"Jan",Acerto_Detalhado!$C$2:$C$433,"Fibra"))*(SUMIFS(Acerto_Detalhado!$I$2:$I$433,Acerto_Detalhado!$A$2:$A$433,$D376,Acerto_Detalhado!$B$2:$B$433,"Jan",Acerto_Detalhado!$C$2:$C$433,"Fibra")),2)</f>
        <v>0</v>
      </c>
    </row>
    <row r="377" customFormat="false" ht="15" hidden="false" customHeight="false" outlineLevel="0" collapsed="false">
      <c r="A377" s="27" t="s">
        <v>108</v>
      </c>
      <c r="B377" s="27" t="s">
        <v>111</v>
      </c>
      <c r="C377" s="27" t="s">
        <v>48</v>
      </c>
      <c r="D377" s="27" t="s">
        <v>49</v>
      </c>
      <c r="E377" s="28" t="n">
        <f aca="false">ROUND((SUMIFS(Acerto_Detalhado!$F$2:$F$433,Acerto_Detalhado!$A$2:$A$433,$C377,Acerto_Detalhado!$B$2:$B$433,"Jan",Acerto_Detalhado!$C$2:$C$433,"Fibra"))*(SUMIFS(Acerto_Detalhado!$I$2:$I$433,Acerto_Detalhado!$A$2:$A$433,$D377,Acerto_Detalhado!$B$2:$B$433,"Jan",Acerto_Detalhado!$C$2:$C$433,"Fibra")),2)</f>
        <v>0</v>
      </c>
    </row>
    <row r="378" customFormat="false" ht="15" hidden="false" customHeight="false" outlineLevel="0" collapsed="false">
      <c r="A378" s="27" t="s">
        <v>108</v>
      </c>
      <c r="B378" s="27" t="s">
        <v>111</v>
      </c>
      <c r="C378" s="27" t="s">
        <v>48</v>
      </c>
      <c r="D378" s="27" t="s">
        <v>50</v>
      </c>
      <c r="E378" s="28" t="n">
        <f aca="false">ROUND((SUMIFS(Acerto_Detalhado!$F$2:$F$433,Acerto_Detalhado!$A$2:$A$433,$C378,Acerto_Detalhado!$B$2:$B$433,"Jan",Acerto_Detalhado!$C$2:$C$433,"Fibra"))*(SUMIFS(Acerto_Detalhado!$I$2:$I$433,Acerto_Detalhado!$A$2:$A$433,$D378,Acerto_Detalhado!$B$2:$B$433,"Jan",Acerto_Detalhado!$C$2:$C$433,"Fibra")),2)</f>
        <v>0</v>
      </c>
    </row>
    <row r="379" customFormat="false" ht="15" hidden="false" customHeight="false" outlineLevel="0" collapsed="false">
      <c r="A379" s="27" t="s">
        <v>108</v>
      </c>
      <c r="B379" s="27" t="s">
        <v>111</v>
      </c>
      <c r="C379" s="27" t="s">
        <v>49</v>
      </c>
      <c r="D379" s="27" t="s">
        <v>39</v>
      </c>
      <c r="E379" s="28" t="n">
        <f aca="false">ROUND((SUMIFS(Acerto_Detalhado!$F$2:$F$433,Acerto_Detalhado!$A$2:$A$433,$C379,Acerto_Detalhado!$B$2:$B$433,"Jan",Acerto_Detalhado!$C$2:$C$433,"Fibra"))*(SUMIFS(Acerto_Detalhado!$I$2:$I$433,Acerto_Detalhado!$A$2:$A$433,$D379,Acerto_Detalhado!$B$2:$B$433,"Jan",Acerto_Detalhado!$C$2:$C$433,"Fibra")),2)</f>
        <v>0</v>
      </c>
    </row>
    <row r="380" customFormat="false" ht="15" hidden="false" customHeight="false" outlineLevel="0" collapsed="false">
      <c r="A380" s="27" t="s">
        <v>108</v>
      </c>
      <c r="B380" s="27" t="s">
        <v>111</v>
      </c>
      <c r="C380" s="27" t="s">
        <v>49</v>
      </c>
      <c r="D380" s="27" t="s">
        <v>40</v>
      </c>
      <c r="E380" s="28" t="n">
        <f aca="false">ROUND((SUMIFS(Acerto_Detalhado!$F$2:$F$433,Acerto_Detalhado!$A$2:$A$433,$C380,Acerto_Detalhado!$B$2:$B$433,"Jan",Acerto_Detalhado!$C$2:$C$433,"Fibra"))*(SUMIFS(Acerto_Detalhado!$I$2:$I$433,Acerto_Detalhado!$A$2:$A$433,$D380,Acerto_Detalhado!$B$2:$B$433,"Jan",Acerto_Detalhado!$C$2:$C$433,"Fibra")),2)</f>
        <v>0</v>
      </c>
    </row>
    <row r="381" customFormat="false" ht="15" hidden="false" customHeight="false" outlineLevel="0" collapsed="false">
      <c r="A381" s="27" t="s">
        <v>108</v>
      </c>
      <c r="B381" s="27" t="s">
        <v>111</v>
      </c>
      <c r="C381" s="27" t="s">
        <v>49</v>
      </c>
      <c r="D381" s="27" t="s">
        <v>41</v>
      </c>
      <c r="E381" s="28" t="n">
        <f aca="false">ROUND((SUMIFS(Acerto_Detalhado!$F$2:$F$433,Acerto_Detalhado!$A$2:$A$433,$C381,Acerto_Detalhado!$B$2:$B$433,"Jan",Acerto_Detalhado!$C$2:$C$433,"Fibra"))*(SUMIFS(Acerto_Detalhado!$I$2:$I$433,Acerto_Detalhado!$A$2:$A$433,$D381,Acerto_Detalhado!$B$2:$B$433,"Jan",Acerto_Detalhado!$C$2:$C$433,"Fibra")),2)</f>
        <v>0</v>
      </c>
    </row>
    <row r="382" customFormat="false" ht="15" hidden="false" customHeight="false" outlineLevel="0" collapsed="false">
      <c r="A382" s="27" t="s">
        <v>108</v>
      </c>
      <c r="B382" s="27" t="s">
        <v>111</v>
      </c>
      <c r="C382" s="27" t="s">
        <v>49</v>
      </c>
      <c r="D382" s="27" t="s">
        <v>42</v>
      </c>
      <c r="E382" s="28" t="n">
        <f aca="false">ROUND((SUMIFS(Acerto_Detalhado!$F$2:$F$433,Acerto_Detalhado!$A$2:$A$433,$C382,Acerto_Detalhado!$B$2:$B$433,"Jan",Acerto_Detalhado!$C$2:$C$433,"Fibra"))*(SUMIFS(Acerto_Detalhado!$I$2:$I$433,Acerto_Detalhado!$A$2:$A$433,$D382,Acerto_Detalhado!$B$2:$B$433,"Jan",Acerto_Detalhado!$C$2:$C$433,"Fibra")),2)</f>
        <v>0</v>
      </c>
    </row>
    <row r="383" customFormat="false" ht="15" hidden="false" customHeight="false" outlineLevel="0" collapsed="false">
      <c r="A383" s="27" t="s">
        <v>108</v>
      </c>
      <c r="B383" s="27" t="s">
        <v>111</v>
      </c>
      <c r="C383" s="27" t="s">
        <v>49</v>
      </c>
      <c r="D383" s="27" t="s">
        <v>43</v>
      </c>
      <c r="E383" s="28" t="n">
        <f aca="false">ROUND((SUMIFS(Acerto_Detalhado!$F$2:$F$433,Acerto_Detalhado!$A$2:$A$433,$C383,Acerto_Detalhado!$B$2:$B$433,"Jan",Acerto_Detalhado!$C$2:$C$433,"Fibra"))*(SUMIFS(Acerto_Detalhado!$I$2:$I$433,Acerto_Detalhado!$A$2:$A$433,$D383,Acerto_Detalhado!$B$2:$B$433,"Jan",Acerto_Detalhado!$C$2:$C$433,"Fibra")),2)</f>
        <v>0</v>
      </c>
    </row>
    <row r="384" customFormat="false" ht="15" hidden="false" customHeight="false" outlineLevel="0" collapsed="false">
      <c r="A384" s="27" t="s">
        <v>108</v>
      </c>
      <c r="B384" s="27" t="s">
        <v>111</v>
      </c>
      <c r="C384" s="27" t="s">
        <v>49</v>
      </c>
      <c r="D384" s="27" t="s">
        <v>44</v>
      </c>
      <c r="E384" s="28" t="n">
        <f aca="false">ROUND((SUMIFS(Acerto_Detalhado!$F$2:$F$433,Acerto_Detalhado!$A$2:$A$433,$C384,Acerto_Detalhado!$B$2:$B$433,"Jan",Acerto_Detalhado!$C$2:$C$433,"Fibra"))*(SUMIFS(Acerto_Detalhado!$I$2:$I$433,Acerto_Detalhado!$A$2:$A$433,$D384,Acerto_Detalhado!$B$2:$B$433,"Jan",Acerto_Detalhado!$C$2:$C$433,"Fibra")),2)</f>
        <v>0</v>
      </c>
    </row>
    <row r="385" customFormat="false" ht="15" hidden="false" customHeight="false" outlineLevel="0" collapsed="false">
      <c r="A385" s="27" t="s">
        <v>108</v>
      </c>
      <c r="B385" s="27" t="s">
        <v>111</v>
      </c>
      <c r="C385" s="27" t="s">
        <v>49</v>
      </c>
      <c r="D385" s="27" t="s">
        <v>45</v>
      </c>
      <c r="E385" s="28" t="n">
        <f aca="false">ROUND((SUMIFS(Acerto_Detalhado!$F$2:$F$433,Acerto_Detalhado!$A$2:$A$433,$C385,Acerto_Detalhado!$B$2:$B$433,"Jan",Acerto_Detalhado!$C$2:$C$433,"Fibra"))*(SUMIFS(Acerto_Detalhado!$I$2:$I$433,Acerto_Detalhado!$A$2:$A$433,$D385,Acerto_Detalhado!$B$2:$B$433,"Jan",Acerto_Detalhado!$C$2:$C$433,"Fibra")),2)</f>
        <v>0</v>
      </c>
    </row>
    <row r="386" customFormat="false" ht="15" hidden="false" customHeight="false" outlineLevel="0" collapsed="false">
      <c r="A386" s="27" t="s">
        <v>108</v>
      </c>
      <c r="B386" s="27" t="s">
        <v>111</v>
      </c>
      <c r="C386" s="27" t="s">
        <v>49</v>
      </c>
      <c r="D386" s="27" t="s">
        <v>46</v>
      </c>
      <c r="E386" s="28" t="n">
        <f aca="false">ROUND((SUMIFS(Acerto_Detalhado!$F$2:$F$433,Acerto_Detalhado!$A$2:$A$433,$C386,Acerto_Detalhado!$B$2:$B$433,"Jan",Acerto_Detalhado!$C$2:$C$433,"Fibra"))*(SUMIFS(Acerto_Detalhado!$I$2:$I$433,Acerto_Detalhado!$A$2:$A$433,$D386,Acerto_Detalhado!$B$2:$B$433,"Jan",Acerto_Detalhado!$C$2:$C$433,"Fibra")),2)</f>
        <v>0</v>
      </c>
    </row>
    <row r="387" customFormat="false" ht="15" hidden="false" customHeight="false" outlineLevel="0" collapsed="false">
      <c r="A387" s="27" t="s">
        <v>108</v>
      </c>
      <c r="B387" s="27" t="s">
        <v>111</v>
      </c>
      <c r="C387" s="27" t="s">
        <v>49</v>
      </c>
      <c r="D387" s="27" t="s">
        <v>47</v>
      </c>
      <c r="E387" s="28" t="n">
        <f aca="false">ROUND((SUMIFS(Acerto_Detalhado!$F$2:$F$433,Acerto_Detalhado!$A$2:$A$433,$C387,Acerto_Detalhado!$B$2:$B$433,"Jan",Acerto_Detalhado!$C$2:$C$433,"Fibra"))*(SUMIFS(Acerto_Detalhado!$I$2:$I$433,Acerto_Detalhado!$A$2:$A$433,$D387,Acerto_Detalhado!$B$2:$B$433,"Jan",Acerto_Detalhado!$C$2:$C$433,"Fibra")),2)</f>
        <v>0</v>
      </c>
    </row>
    <row r="388" customFormat="false" ht="15" hidden="false" customHeight="false" outlineLevel="0" collapsed="false">
      <c r="A388" s="27" t="s">
        <v>108</v>
      </c>
      <c r="B388" s="27" t="s">
        <v>111</v>
      </c>
      <c r="C388" s="27" t="s">
        <v>49</v>
      </c>
      <c r="D388" s="27" t="s">
        <v>48</v>
      </c>
      <c r="E388" s="28" t="n">
        <f aca="false">ROUND((SUMIFS(Acerto_Detalhado!$F$2:$F$433,Acerto_Detalhado!$A$2:$A$433,$C388,Acerto_Detalhado!$B$2:$B$433,"Jan",Acerto_Detalhado!$C$2:$C$433,"Fibra"))*(SUMIFS(Acerto_Detalhado!$I$2:$I$433,Acerto_Detalhado!$A$2:$A$433,$D388,Acerto_Detalhado!$B$2:$B$433,"Jan",Acerto_Detalhado!$C$2:$C$433,"Fibra")),2)</f>
        <v>0</v>
      </c>
    </row>
    <row r="389" customFormat="false" ht="15" hidden="false" customHeight="false" outlineLevel="0" collapsed="false">
      <c r="A389" s="27" t="s">
        <v>108</v>
      </c>
      <c r="B389" s="27" t="s">
        <v>111</v>
      </c>
      <c r="C389" s="27" t="s">
        <v>49</v>
      </c>
      <c r="D389" s="27" t="s">
        <v>50</v>
      </c>
      <c r="E389" s="28" t="n">
        <f aca="false">ROUND((SUMIFS(Acerto_Detalhado!$F$2:$F$433,Acerto_Detalhado!$A$2:$A$433,$C389,Acerto_Detalhado!$B$2:$B$433,"Jan",Acerto_Detalhado!$C$2:$C$433,"Fibra"))*(SUMIFS(Acerto_Detalhado!$I$2:$I$433,Acerto_Detalhado!$A$2:$A$433,$D389,Acerto_Detalhado!$B$2:$B$433,"Jan",Acerto_Detalhado!$C$2:$C$433,"Fibra")),2)</f>
        <v>0</v>
      </c>
    </row>
    <row r="390" customFormat="false" ht="15" hidden="false" customHeight="false" outlineLevel="0" collapsed="false">
      <c r="A390" s="27" t="s">
        <v>108</v>
      </c>
      <c r="B390" s="27" t="s">
        <v>111</v>
      </c>
      <c r="C390" s="27" t="s">
        <v>50</v>
      </c>
      <c r="D390" s="27" t="s">
        <v>39</v>
      </c>
      <c r="E390" s="28" t="n">
        <f aca="false">ROUND((SUMIFS(Acerto_Detalhado!$F$2:$F$433,Acerto_Detalhado!$A$2:$A$433,$C390,Acerto_Detalhado!$B$2:$B$433,"Jan",Acerto_Detalhado!$C$2:$C$433,"Fibra"))*(SUMIFS(Acerto_Detalhado!$I$2:$I$433,Acerto_Detalhado!$A$2:$A$433,$D390,Acerto_Detalhado!$B$2:$B$433,"Jan",Acerto_Detalhado!$C$2:$C$433,"Fibra")),2)</f>
        <v>0</v>
      </c>
    </row>
    <row r="391" customFormat="false" ht="15" hidden="false" customHeight="false" outlineLevel="0" collapsed="false">
      <c r="A391" s="27" t="s">
        <v>108</v>
      </c>
      <c r="B391" s="27" t="s">
        <v>111</v>
      </c>
      <c r="C391" s="27" t="s">
        <v>50</v>
      </c>
      <c r="D391" s="27" t="s">
        <v>40</v>
      </c>
      <c r="E391" s="28" t="n">
        <f aca="false">ROUND((SUMIFS(Acerto_Detalhado!$F$2:$F$433,Acerto_Detalhado!$A$2:$A$433,$C391,Acerto_Detalhado!$B$2:$B$433,"Jan",Acerto_Detalhado!$C$2:$C$433,"Fibra"))*(SUMIFS(Acerto_Detalhado!$I$2:$I$433,Acerto_Detalhado!$A$2:$A$433,$D391,Acerto_Detalhado!$B$2:$B$433,"Jan",Acerto_Detalhado!$C$2:$C$433,"Fibra")),2)</f>
        <v>0</v>
      </c>
    </row>
    <row r="392" customFormat="false" ht="15" hidden="false" customHeight="false" outlineLevel="0" collapsed="false">
      <c r="A392" s="27" t="s">
        <v>108</v>
      </c>
      <c r="B392" s="27" t="s">
        <v>111</v>
      </c>
      <c r="C392" s="27" t="s">
        <v>50</v>
      </c>
      <c r="D392" s="27" t="s">
        <v>41</v>
      </c>
      <c r="E392" s="28" t="n">
        <f aca="false">ROUND((SUMIFS(Acerto_Detalhado!$F$2:$F$433,Acerto_Detalhado!$A$2:$A$433,$C392,Acerto_Detalhado!$B$2:$B$433,"Jan",Acerto_Detalhado!$C$2:$C$433,"Fibra"))*(SUMIFS(Acerto_Detalhado!$I$2:$I$433,Acerto_Detalhado!$A$2:$A$433,$D392,Acerto_Detalhado!$B$2:$B$433,"Jan",Acerto_Detalhado!$C$2:$C$433,"Fibra")),2)</f>
        <v>0</v>
      </c>
    </row>
    <row r="393" customFormat="false" ht="15" hidden="false" customHeight="false" outlineLevel="0" collapsed="false">
      <c r="A393" s="27" t="s">
        <v>108</v>
      </c>
      <c r="B393" s="27" t="s">
        <v>111</v>
      </c>
      <c r="C393" s="27" t="s">
        <v>50</v>
      </c>
      <c r="D393" s="27" t="s">
        <v>42</v>
      </c>
      <c r="E393" s="28" t="n">
        <f aca="false">ROUND((SUMIFS(Acerto_Detalhado!$F$2:$F$433,Acerto_Detalhado!$A$2:$A$433,$C393,Acerto_Detalhado!$B$2:$B$433,"Jan",Acerto_Detalhado!$C$2:$C$433,"Fibra"))*(SUMIFS(Acerto_Detalhado!$I$2:$I$433,Acerto_Detalhado!$A$2:$A$433,$D393,Acerto_Detalhado!$B$2:$B$433,"Jan",Acerto_Detalhado!$C$2:$C$433,"Fibra")),2)</f>
        <v>0</v>
      </c>
    </row>
    <row r="394" customFormat="false" ht="15" hidden="false" customHeight="false" outlineLevel="0" collapsed="false">
      <c r="A394" s="27" t="s">
        <v>108</v>
      </c>
      <c r="B394" s="27" t="s">
        <v>111</v>
      </c>
      <c r="C394" s="27" t="s">
        <v>50</v>
      </c>
      <c r="D394" s="27" t="s">
        <v>43</v>
      </c>
      <c r="E394" s="28" t="n">
        <f aca="false">ROUND((SUMIFS(Acerto_Detalhado!$F$2:$F$433,Acerto_Detalhado!$A$2:$A$433,$C394,Acerto_Detalhado!$B$2:$B$433,"Jan",Acerto_Detalhado!$C$2:$C$433,"Fibra"))*(SUMIFS(Acerto_Detalhado!$I$2:$I$433,Acerto_Detalhado!$A$2:$A$433,$D394,Acerto_Detalhado!$B$2:$B$433,"Jan",Acerto_Detalhado!$C$2:$C$433,"Fibra")),2)</f>
        <v>0</v>
      </c>
    </row>
    <row r="395" customFormat="false" ht="15" hidden="false" customHeight="false" outlineLevel="0" collapsed="false">
      <c r="A395" s="27" t="s">
        <v>108</v>
      </c>
      <c r="B395" s="27" t="s">
        <v>111</v>
      </c>
      <c r="C395" s="27" t="s">
        <v>50</v>
      </c>
      <c r="D395" s="27" t="s">
        <v>44</v>
      </c>
      <c r="E395" s="28" t="n">
        <f aca="false">ROUND((SUMIFS(Acerto_Detalhado!$F$2:$F$433,Acerto_Detalhado!$A$2:$A$433,$C395,Acerto_Detalhado!$B$2:$B$433,"Jan",Acerto_Detalhado!$C$2:$C$433,"Fibra"))*(SUMIFS(Acerto_Detalhado!$I$2:$I$433,Acerto_Detalhado!$A$2:$A$433,$D395,Acerto_Detalhado!$B$2:$B$433,"Jan",Acerto_Detalhado!$C$2:$C$433,"Fibra")),2)</f>
        <v>0</v>
      </c>
    </row>
    <row r="396" customFormat="false" ht="15" hidden="false" customHeight="false" outlineLevel="0" collapsed="false">
      <c r="A396" s="27" t="s">
        <v>108</v>
      </c>
      <c r="B396" s="27" t="s">
        <v>111</v>
      </c>
      <c r="C396" s="27" t="s">
        <v>50</v>
      </c>
      <c r="D396" s="27" t="s">
        <v>45</v>
      </c>
      <c r="E396" s="28" t="n">
        <f aca="false">ROUND((SUMIFS(Acerto_Detalhado!$F$2:$F$433,Acerto_Detalhado!$A$2:$A$433,$C396,Acerto_Detalhado!$B$2:$B$433,"Jan",Acerto_Detalhado!$C$2:$C$433,"Fibra"))*(SUMIFS(Acerto_Detalhado!$I$2:$I$433,Acerto_Detalhado!$A$2:$A$433,$D396,Acerto_Detalhado!$B$2:$B$433,"Jan",Acerto_Detalhado!$C$2:$C$433,"Fibra")),2)</f>
        <v>0</v>
      </c>
    </row>
    <row r="397" customFormat="false" ht="15" hidden="false" customHeight="false" outlineLevel="0" collapsed="false">
      <c r="A397" s="27" t="s">
        <v>108</v>
      </c>
      <c r="B397" s="27" t="s">
        <v>111</v>
      </c>
      <c r="C397" s="27" t="s">
        <v>50</v>
      </c>
      <c r="D397" s="27" t="s">
        <v>46</v>
      </c>
      <c r="E397" s="28" t="n">
        <f aca="false">ROUND((SUMIFS(Acerto_Detalhado!$F$2:$F$433,Acerto_Detalhado!$A$2:$A$433,$C397,Acerto_Detalhado!$B$2:$B$433,"Jan",Acerto_Detalhado!$C$2:$C$433,"Fibra"))*(SUMIFS(Acerto_Detalhado!$I$2:$I$433,Acerto_Detalhado!$A$2:$A$433,$D397,Acerto_Detalhado!$B$2:$B$433,"Jan",Acerto_Detalhado!$C$2:$C$433,"Fibra")),2)</f>
        <v>0</v>
      </c>
    </row>
    <row r="398" customFormat="false" ht="15" hidden="false" customHeight="false" outlineLevel="0" collapsed="false">
      <c r="A398" s="27" t="s">
        <v>108</v>
      </c>
      <c r="B398" s="27" t="s">
        <v>111</v>
      </c>
      <c r="C398" s="27" t="s">
        <v>50</v>
      </c>
      <c r="D398" s="27" t="s">
        <v>47</v>
      </c>
      <c r="E398" s="28" t="n">
        <f aca="false">ROUND((SUMIFS(Acerto_Detalhado!$F$2:$F$433,Acerto_Detalhado!$A$2:$A$433,$C398,Acerto_Detalhado!$B$2:$B$433,"Jan",Acerto_Detalhado!$C$2:$C$433,"Fibra"))*(SUMIFS(Acerto_Detalhado!$I$2:$I$433,Acerto_Detalhado!$A$2:$A$433,$D398,Acerto_Detalhado!$B$2:$B$433,"Jan",Acerto_Detalhado!$C$2:$C$433,"Fibra")),2)</f>
        <v>0</v>
      </c>
    </row>
    <row r="399" customFormat="false" ht="15" hidden="false" customHeight="false" outlineLevel="0" collapsed="false">
      <c r="A399" s="27" t="s">
        <v>108</v>
      </c>
      <c r="B399" s="27" t="s">
        <v>111</v>
      </c>
      <c r="C399" s="27" t="s">
        <v>50</v>
      </c>
      <c r="D399" s="27" t="s">
        <v>48</v>
      </c>
      <c r="E399" s="28" t="n">
        <f aca="false">ROUND((SUMIFS(Acerto_Detalhado!$F$2:$F$433,Acerto_Detalhado!$A$2:$A$433,$C399,Acerto_Detalhado!$B$2:$B$433,"Jan",Acerto_Detalhado!$C$2:$C$433,"Fibra"))*(SUMIFS(Acerto_Detalhado!$I$2:$I$433,Acerto_Detalhado!$A$2:$A$433,$D399,Acerto_Detalhado!$B$2:$B$433,"Jan",Acerto_Detalhado!$C$2:$C$433,"Fibra")),2)</f>
        <v>0</v>
      </c>
    </row>
    <row r="400" customFormat="false" ht="15" hidden="false" customHeight="false" outlineLevel="0" collapsed="false">
      <c r="A400" s="27" t="s">
        <v>108</v>
      </c>
      <c r="B400" s="27" t="s">
        <v>111</v>
      </c>
      <c r="C400" s="27" t="s">
        <v>50</v>
      </c>
      <c r="D400" s="27" t="s">
        <v>49</v>
      </c>
      <c r="E400" s="28" t="n">
        <f aca="false">ROUND((SUMIFS(Acerto_Detalhado!$F$2:$F$433,Acerto_Detalhado!$A$2:$A$433,$C400,Acerto_Detalhado!$B$2:$B$433,"Jan",Acerto_Detalhado!$C$2:$C$433,"Fibra"))*(SUMIFS(Acerto_Detalhado!$I$2:$I$433,Acerto_Detalhado!$A$2:$A$433,$D400,Acerto_Detalhado!$B$2:$B$433,"Jan",Acerto_Detalhado!$C$2:$C$433,"Fibra")),2)</f>
        <v>0</v>
      </c>
    </row>
    <row r="401" customFormat="false" ht="15" hidden="false" customHeight="false" outlineLevel="0" collapsed="false">
      <c r="A401" s="27" t="s">
        <v>112</v>
      </c>
      <c r="B401" s="27" t="s">
        <v>109</v>
      </c>
      <c r="C401" s="27" t="s">
        <v>39</v>
      </c>
      <c r="D401" s="27" t="s">
        <v>40</v>
      </c>
      <c r="E401" s="28" t="n">
        <f aca="false">ROUND((SUMIFS(Acerto_Detalhado!$F$2:$F$433,Acerto_Detalhado!$A$2:$A$433,$C401,Acerto_Detalhado!$B$2:$B$433,"Fev",Acerto_Detalhado!$C$2:$C$433,"Proteina"))*(SUMIFS(Acerto_Detalhado!$I$2:$I$433,Acerto_Detalhado!$A$2:$A$433,$D401,Acerto_Detalhado!$B$2:$B$433,"Fev",Acerto_Detalhado!$C$2:$C$433,"Proteina")),2)</f>
        <v>0</v>
      </c>
    </row>
    <row r="402" customFormat="false" ht="15" hidden="false" customHeight="false" outlineLevel="0" collapsed="false">
      <c r="A402" s="27" t="s">
        <v>112</v>
      </c>
      <c r="B402" s="27" t="s">
        <v>109</v>
      </c>
      <c r="C402" s="27" t="s">
        <v>39</v>
      </c>
      <c r="D402" s="27" t="s">
        <v>41</v>
      </c>
      <c r="E402" s="28" t="n">
        <f aca="false">ROUND((SUMIFS(Acerto_Detalhado!$F$2:$F$433,Acerto_Detalhado!$A$2:$A$433,$C402,Acerto_Detalhado!$B$2:$B$433,"Fev",Acerto_Detalhado!$C$2:$C$433,"Proteina"))*(SUMIFS(Acerto_Detalhado!$I$2:$I$433,Acerto_Detalhado!$A$2:$A$433,$D402,Acerto_Detalhado!$B$2:$B$433,"Fev",Acerto_Detalhado!$C$2:$C$433,"Proteina")),2)</f>
        <v>0</v>
      </c>
    </row>
    <row r="403" customFormat="false" ht="15" hidden="false" customHeight="false" outlineLevel="0" collapsed="false">
      <c r="A403" s="27" t="s">
        <v>112</v>
      </c>
      <c r="B403" s="27" t="s">
        <v>109</v>
      </c>
      <c r="C403" s="27" t="s">
        <v>39</v>
      </c>
      <c r="D403" s="27" t="s">
        <v>42</v>
      </c>
      <c r="E403" s="28" t="n">
        <f aca="false">ROUND((SUMIFS(Acerto_Detalhado!$F$2:$F$433,Acerto_Detalhado!$A$2:$A$433,$C403,Acerto_Detalhado!$B$2:$B$433,"Fev",Acerto_Detalhado!$C$2:$C$433,"Proteina"))*(SUMIFS(Acerto_Detalhado!$I$2:$I$433,Acerto_Detalhado!$A$2:$A$433,$D403,Acerto_Detalhado!$B$2:$B$433,"Fev",Acerto_Detalhado!$C$2:$C$433,"Proteina")),2)</f>
        <v>0</v>
      </c>
    </row>
    <row r="404" customFormat="false" ht="15" hidden="false" customHeight="false" outlineLevel="0" collapsed="false">
      <c r="A404" s="27" t="s">
        <v>112</v>
      </c>
      <c r="B404" s="27" t="s">
        <v>109</v>
      </c>
      <c r="C404" s="27" t="s">
        <v>39</v>
      </c>
      <c r="D404" s="27" t="s">
        <v>43</v>
      </c>
      <c r="E404" s="28" t="n">
        <f aca="false">ROUND((SUMIFS(Acerto_Detalhado!$F$2:$F$433,Acerto_Detalhado!$A$2:$A$433,$C404,Acerto_Detalhado!$B$2:$B$433,"Fev",Acerto_Detalhado!$C$2:$C$433,"Proteina"))*(SUMIFS(Acerto_Detalhado!$I$2:$I$433,Acerto_Detalhado!$A$2:$A$433,$D404,Acerto_Detalhado!$B$2:$B$433,"Fev",Acerto_Detalhado!$C$2:$C$433,"Proteina")),2)</f>
        <v>0</v>
      </c>
    </row>
    <row r="405" customFormat="false" ht="15" hidden="false" customHeight="false" outlineLevel="0" collapsed="false">
      <c r="A405" s="27" t="s">
        <v>112</v>
      </c>
      <c r="B405" s="27" t="s">
        <v>109</v>
      </c>
      <c r="C405" s="27" t="s">
        <v>39</v>
      </c>
      <c r="D405" s="27" t="s">
        <v>44</v>
      </c>
      <c r="E405" s="28" t="n">
        <f aca="false">ROUND((SUMIFS(Acerto_Detalhado!$F$2:$F$433,Acerto_Detalhado!$A$2:$A$433,$C405,Acerto_Detalhado!$B$2:$B$433,"Fev",Acerto_Detalhado!$C$2:$C$433,"Proteina"))*(SUMIFS(Acerto_Detalhado!$I$2:$I$433,Acerto_Detalhado!$A$2:$A$433,$D405,Acerto_Detalhado!$B$2:$B$433,"Fev",Acerto_Detalhado!$C$2:$C$433,"Proteina")),2)</f>
        <v>0</v>
      </c>
    </row>
    <row r="406" customFormat="false" ht="15" hidden="false" customHeight="false" outlineLevel="0" collapsed="false">
      <c r="A406" s="27" t="s">
        <v>112</v>
      </c>
      <c r="B406" s="27" t="s">
        <v>109</v>
      </c>
      <c r="C406" s="27" t="s">
        <v>39</v>
      </c>
      <c r="D406" s="27" t="s">
        <v>45</v>
      </c>
      <c r="E406" s="28" t="n">
        <f aca="false">ROUND((SUMIFS(Acerto_Detalhado!$F$2:$F$433,Acerto_Detalhado!$A$2:$A$433,$C406,Acerto_Detalhado!$B$2:$B$433,"Fev",Acerto_Detalhado!$C$2:$C$433,"Proteina"))*(SUMIFS(Acerto_Detalhado!$I$2:$I$433,Acerto_Detalhado!$A$2:$A$433,$D406,Acerto_Detalhado!$B$2:$B$433,"Fev",Acerto_Detalhado!$C$2:$C$433,"Proteina")),2)</f>
        <v>0</v>
      </c>
    </row>
    <row r="407" customFormat="false" ht="15" hidden="false" customHeight="false" outlineLevel="0" collapsed="false">
      <c r="A407" s="27" t="s">
        <v>112</v>
      </c>
      <c r="B407" s="27" t="s">
        <v>109</v>
      </c>
      <c r="C407" s="27" t="s">
        <v>39</v>
      </c>
      <c r="D407" s="27" t="s">
        <v>46</v>
      </c>
      <c r="E407" s="28" t="n">
        <f aca="false">ROUND((SUMIFS(Acerto_Detalhado!$F$2:$F$433,Acerto_Detalhado!$A$2:$A$433,$C407,Acerto_Detalhado!$B$2:$B$433,"Fev",Acerto_Detalhado!$C$2:$C$433,"Proteina"))*(SUMIFS(Acerto_Detalhado!$I$2:$I$433,Acerto_Detalhado!$A$2:$A$433,$D407,Acerto_Detalhado!$B$2:$B$433,"Fev",Acerto_Detalhado!$C$2:$C$433,"Proteina")),2)</f>
        <v>0</v>
      </c>
    </row>
    <row r="408" customFormat="false" ht="15" hidden="false" customHeight="false" outlineLevel="0" collapsed="false">
      <c r="A408" s="27" t="s">
        <v>112</v>
      </c>
      <c r="B408" s="27" t="s">
        <v>109</v>
      </c>
      <c r="C408" s="27" t="s">
        <v>39</v>
      </c>
      <c r="D408" s="27" t="s">
        <v>47</v>
      </c>
      <c r="E408" s="28" t="n">
        <f aca="false">ROUND((SUMIFS(Acerto_Detalhado!$F$2:$F$433,Acerto_Detalhado!$A$2:$A$433,$C408,Acerto_Detalhado!$B$2:$B$433,"Fev",Acerto_Detalhado!$C$2:$C$433,"Proteina"))*(SUMIFS(Acerto_Detalhado!$I$2:$I$433,Acerto_Detalhado!$A$2:$A$433,$D408,Acerto_Detalhado!$B$2:$B$433,"Fev",Acerto_Detalhado!$C$2:$C$433,"Proteina")),2)</f>
        <v>0</v>
      </c>
    </row>
    <row r="409" customFormat="false" ht="15" hidden="false" customHeight="false" outlineLevel="0" collapsed="false">
      <c r="A409" s="27" t="s">
        <v>112</v>
      </c>
      <c r="B409" s="27" t="s">
        <v>109</v>
      </c>
      <c r="C409" s="27" t="s">
        <v>39</v>
      </c>
      <c r="D409" s="27" t="s">
        <v>48</v>
      </c>
      <c r="E409" s="28" t="n">
        <f aca="false">ROUND((SUMIFS(Acerto_Detalhado!$F$2:$F$433,Acerto_Detalhado!$A$2:$A$433,$C409,Acerto_Detalhado!$B$2:$B$433,"Fev",Acerto_Detalhado!$C$2:$C$433,"Proteina"))*(SUMIFS(Acerto_Detalhado!$I$2:$I$433,Acerto_Detalhado!$A$2:$A$433,$D409,Acerto_Detalhado!$B$2:$B$433,"Fev",Acerto_Detalhado!$C$2:$C$433,"Proteina")),2)</f>
        <v>0</v>
      </c>
    </row>
    <row r="410" customFormat="false" ht="15" hidden="false" customHeight="false" outlineLevel="0" collapsed="false">
      <c r="A410" s="27" t="s">
        <v>112</v>
      </c>
      <c r="B410" s="27" t="s">
        <v>109</v>
      </c>
      <c r="C410" s="27" t="s">
        <v>39</v>
      </c>
      <c r="D410" s="27" t="s">
        <v>49</v>
      </c>
      <c r="E410" s="28" t="n">
        <f aca="false">ROUND((SUMIFS(Acerto_Detalhado!$F$2:$F$433,Acerto_Detalhado!$A$2:$A$433,$C410,Acerto_Detalhado!$B$2:$B$433,"Fev",Acerto_Detalhado!$C$2:$C$433,"Proteina"))*(SUMIFS(Acerto_Detalhado!$I$2:$I$433,Acerto_Detalhado!$A$2:$A$433,$D410,Acerto_Detalhado!$B$2:$B$433,"Fev",Acerto_Detalhado!$C$2:$C$433,"Proteina")),2)</f>
        <v>0</v>
      </c>
    </row>
    <row r="411" customFormat="false" ht="15" hidden="false" customHeight="false" outlineLevel="0" collapsed="false">
      <c r="A411" s="27" t="s">
        <v>112</v>
      </c>
      <c r="B411" s="27" t="s">
        <v>109</v>
      </c>
      <c r="C411" s="27" t="s">
        <v>39</v>
      </c>
      <c r="D411" s="27" t="s">
        <v>50</v>
      </c>
      <c r="E411" s="28" t="n">
        <f aca="false">ROUND((SUMIFS(Acerto_Detalhado!$F$2:$F$433,Acerto_Detalhado!$A$2:$A$433,$C411,Acerto_Detalhado!$B$2:$B$433,"Fev",Acerto_Detalhado!$C$2:$C$433,"Proteina"))*(SUMIFS(Acerto_Detalhado!$I$2:$I$433,Acerto_Detalhado!$A$2:$A$433,$D411,Acerto_Detalhado!$B$2:$B$433,"Fev",Acerto_Detalhado!$C$2:$C$433,"Proteina")),2)</f>
        <v>0</v>
      </c>
    </row>
    <row r="412" customFormat="false" ht="15" hidden="false" customHeight="false" outlineLevel="0" collapsed="false">
      <c r="A412" s="27" t="s">
        <v>112</v>
      </c>
      <c r="B412" s="27" t="s">
        <v>109</v>
      </c>
      <c r="C412" s="27" t="s">
        <v>40</v>
      </c>
      <c r="D412" s="27" t="s">
        <v>39</v>
      </c>
      <c r="E412" s="28" t="n">
        <f aca="false">ROUND((SUMIFS(Acerto_Detalhado!$F$2:$F$433,Acerto_Detalhado!$A$2:$A$433,$C412,Acerto_Detalhado!$B$2:$B$433,"Fev",Acerto_Detalhado!$C$2:$C$433,"Proteina"))*(SUMIFS(Acerto_Detalhado!$I$2:$I$433,Acerto_Detalhado!$A$2:$A$433,$D412,Acerto_Detalhado!$B$2:$B$433,"Fev",Acerto_Detalhado!$C$2:$C$433,"Proteina")),2)</f>
        <v>0</v>
      </c>
    </row>
    <row r="413" customFormat="false" ht="15" hidden="false" customHeight="false" outlineLevel="0" collapsed="false">
      <c r="A413" s="27" t="s">
        <v>112</v>
      </c>
      <c r="B413" s="27" t="s">
        <v>109</v>
      </c>
      <c r="C413" s="27" t="s">
        <v>40</v>
      </c>
      <c r="D413" s="27" t="s">
        <v>41</v>
      </c>
      <c r="E413" s="28" t="n">
        <f aca="false">ROUND((SUMIFS(Acerto_Detalhado!$F$2:$F$433,Acerto_Detalhado!$A$2:$A$433,$C413,Acerto_Detalhado!$B$2:$B$433,"Fev",Acerto_Detalhado!$C$2:$C$433,"Proteina"))*(SUMIFS(Acerto_Detalhado!$I$2:$I$433,Acerto_Detalhado!$A$2:$A$433,$D413,Acerto_Detalhado!$B$2:$B$433,"Fev",Acerto_Detalhado!$C$2:$C$433,"Proteina")),2)</f>
        <v>0</v>
      </c>
    </row>
    <row r="414" customFormat="false" ht="15" hidden="false" customHeight="false" outlineLevel="0" collapsed="false">
      <c r="A414" s="27" t="s">
        <v>112</v>
      </c>
      <c r="B414" s="27" t="s">
        <v>109</v>
      </c>
      <c r="C414" s="27" t="s">
        <v>40</v>
      </c>
      <c r="D414" s="27" t="s">
        <v>42</v>
      </c>
      <c r="E414" s="28" t="n">
        <f aca="false">ROUND((SUMIFS(Acerto_Detalhado!$F$2:$F$433,Acerto_Detalhado!$A$2:$A$433,$C414,Acerto_Detalhado!$B$2:$B$433,"Fev",Acerto_Detalhado!$C$2:$C$433,"Proteina"))*(SUMIFS(Acerto_Detalhado!$I$2:$I$433,Acerto_Detalhado!$A$2:$A$433,$D414,Acerto_Detalhado!$B$2:$B$433,"Fev",Acerto_Detalhado!$C$2:$C$433,"Proteina")),2)</f>
        <v>0</v>
      </c>
    </row>
    <row r="415" customFormat="false" ht="15" hidden="false" customHeight="false" outlineLevel="0" collapsed="false">
      <c r="A415" s="27" t="s">
        <v>112</v>
      </c>
      <c r="B415" s="27" t="s">
        <v>109</v>
      </c>
      <c r="C415" s="27" t="s">
        <v>40</v>
      </c>
      <c r="D415" s="27" t="s">
        <v>43</v>
      </c>
      <c r="E415" s="28" t="n">
        <f aca="false">ROUND((SUMIFS(Acerto_Detalhado!$F$2:$F$433,Acerto_Detalhado!$A$2:$A$433,$C415,Acerto_Detalhado!$B$2:$B$433,"Fev",Acerto_Detalhado!$C$2:$C$433,"Proteina"))*(SUMIFS(Acerto_Detalhado!$I$2:$I$433,Acerto_Detalhado!$A$2:$A$433,$D415,Acerto_Detalhado!$B$2:$B$433,"Fev",Acerto_Detalhado!$C$2:$C$433,"Proteina")),2)</f>
        <v>0</v>
      </c>
    </row>
    <row r="416" customFormat="false" ht="15" hidden="false" customHeight="false" outlineLevel="0" collapsed="false">
      <c r="A416" s="27" t="s">
        <v>112</v>
      </c>
      <c r="B416" s="27" t="s">
        <v>109</v>
      </c>
      <c r="C416" s="27" t="s">
        <v>40</v>
      </c>
      <c r="D416" s="27" t="s">
        <v>44</v>
      </c>
      <c r="E416" s="28" t="n">
        <f aca="false">ROUND((SUMIFS(Acerto_Detalhado!$F$2:$F$433,Acerto_Detalhado!$A$2:$A$433,$C416,Acerto_Detalhado!$B$2:$B$433,"Fev",Acerto_Detalhado!$C$2:$C$433,"Proteina"))*(SUMIFS(Acerto_Detalhado!$I$2:$I$433,Acerto_Detalhado!$A$2:$A$433,$D416,Acerto_Detalhado!$B$2:$B$433,"Fev",Acerto_Detalhado!$C$2:$C$433,"Proteina")),2)</f>
        <v>0</v>
      </c>
    </row>
    <row r="417" customFormat="false" ht="15" hidden="false" customHeight="false" outlineLevel="0" collapsed="false">
      <c r="A417" s="27" t="s">
        <v>112</v>
      </c>
      <c r="B417" s="27" t="s">
        <v>109</v>
      </c>
      <c r="C417" s="27" t="s">
        <v>40</v>
      </c>
      <c r="D417" s="27" t="s">
        <v>45</v>
      </c>
      <c r="E417" s="28" t="n">
        <f aca="false">ROUND((SUMIFS(Acerto_Detalhado!$F$2:$F$433,Acerto_Detalhado!$A$2:$A$433,$C417,Acerto_Detalhado!$B$2:$B$433,"Fev",Acerto_Detalhado!$C$2:$C$433,"Proteina"))*(SUMIFS(Acerto_Detalhado!$I$2:$I$433,Acerto_Detalhado!$A$2:$A$433,$D417,Acerto_Detalhado!$B$2:$B$433,"Fev",Acerto_Detalhado!$C$2:$C$433,"Proteina")),2)</f>
        <v>0</v>
      </c>
    </row>
    <row r="418" customFormat="false" ht="15" hidden="false" customHeight="false" outlineLevel="0" collapsed="false">
      <c r="A418" s="27" t="s">
        <v>112</v>
      </c>
      <c r="B418" s="27" t="s">
        <v>109</v>
      </c>
      <c r="C418" s="27" t="s">
        <v>40</v>
      </c>
      <c r="D418" s="27" t="s">
        <v>46</v>
      </c>
      <c r="E418" s="28" t="n">
        <f aca="false">ROUND((SUMIFS(Acerto_Detalhado!$F$2:$F$433,Acerto_Detalhado!$A$2:$A$433,$C418,Acerto_Detalhado!$B$2:$B$433,"Fev",Acerto_Detalhado!$C$2:$C$433,"Proteina"))*(SUMIFS(Acerto_Detalhado!$I$2:$I$433,Acerto_Detalhado!$A$2:$A$433,$D418,Acerto_Detalhado!$B$2:$B$433,"Fev",Acerto_Detalhado!$C$2:$C$433,"Proteina")),2)</f>
        <v>0</v>
      </c>
    </row>
    <row r="419" customFormat="false" ht="15" hidden="false" customHeight="false" outlineLevel="0" collapsed="false">
      <c r="A419" s="27" t="s">
        <v>112</v>
      </c>
      <c r="B419" s="27" t="s">
        <v>109</v>
      </c>
      <c r="C419" s="27" t="s">
        <v>40</v>
      </c>
      <c r="D419" s="27" t="s">
        <v>47</v>
      </c>
      <c r="E419" s="28" t="n">
        <f aca="false">ROUND((SUMIFS(Acerto_Detalhado!$F$2:$F$433,Acerto_Detalhado!$A$2:$A$433,$C419,Acerto_Detalhado!$B$2:$B$433,"Fev",Acerto_Detalhado!$C$2:$C$433,"Proteina"))*(SUMIFS(Acerto_Detalhado!$I$2:$I$433,Acerto_Detalhado!$A$2:$A$433,$D419,Acerto_Detalhado!$B$2:$B$433,"Fev",Acerto_Detalhado!$C$2:$C$433,"Proteina")),2)</f>
        <v>0</v>
      </c>
    </row>
    <row r="420" customFormat="false" ht="15" hidden="false" customHeight="false" outlineLevel="0" collapsed="false">
      <c r="A420" s="27" t="s">
        <v>112</v>
      </c>
      <c r="B420" s="27" t="s">
        <v>109</v>
      </c>
      <c r="C420" s="27" t="s">
        <v>40</v>
      </c>
      <c r="D420" s="27" t="s">
        <v>48</v>
      </c>
      <c r="E420" s="28" t="n">
        <f aca="false">ROUND((SUMIFS(Acerto_Detalhado!$F$2:$F$433,Acerto_Detalhado!$A$2:$A$433,$C420,Acerto_Detalhado!$B$2:$B$433,"Fev",Acerto_Detalhado!$C$2:$C$433,"Proteina"))*(SUMIFS(Acerto_Detalhado!$I$2:$I$433,Acerto_Detalhado!$A$2:$A$433,$D420,Acerto_Detalhado!$B$2:$B$433,"Fev",Acerto_Detalhado!$C$2:$C$433,"Proteina")),2)</f>
        <v>0</v>
      </c>
    </row>
    <row r="421" customFormat="false" ht="15" hidden="false" customHeight="false" outlineLevel="0" collapsed="false">
      <c r="A421" s="27" t="s">
        <v>112</v>
      </c>
      <c r="B421" s="27" t="s">
        <v>109</v>
      </c>
      <c r="C421" s="27" t="s">
        <v>40</v>
      </c>
      <c r="D421" s="27" t="s">
        <v>49</v>
      </c>
      <c r="E421" s="28" t="n">
        <f aca="false">ROUND((SUMIFS(Acerto_Detalhado!$F$2:$F$433,Acerto_Detalhado!$A$2:$A$433,$C421,Acerto_Detalhado!$B$2:$B$433,"Fev",Acerto_Detalhado!$C$2:$C$433,"Proteina"))*(SUMIFS(Acerto_Detalhado!$I$2:$I$433,Acerto_Detalhado!$A$2:$A$433,$D421,Acerto_Detalhado!$B$2:$B$433,"Fev",Acerto_Detalhado!$C$2:$C$433,"Proteina")),2)</f>
        <v>0</v>
      </c>
    </row>
    <row r="422" customFormat="false" ht="15" hidden="false" customHeight="false" outlineLevel="0" collapsed="false">
      <c r="A422" s="27" t="s">
        <v>112</v>
      </c>
      <c r="B422" s="27" t="s">
        <v>109</v>
      </c>
      <c r="C422" s="27" t="s">
        <v>40</v>
      </c>
      <c r="D422" s="27" t="s">
        <v>50</v>
      </c>
      <c r="E422" s="28" t="n">
        <f aca="false">ROUND((SUMIFS(Acerto_Detalhado!$F$2:$F$433,Acerto_Detalhado!$A$2:$A$433,$C422,Acerto_Detalhado!$B$2:$B$433,"Fev",Acerto_Detalhado!$C$2:$C$433,"Proteina"))*(SUMIFS(Acerto_Detalhado!$I$2:$I$433,Acerto_Detalhado!$A$2:$A$433,$D422,Acerto_Detalhado!$B$2:$B$433,"Fev",Acerto_Detalhado!$C$2:$C$433,"Proteina")),2)</f>
        <v>0</v>
      </c>
    </row>
    <row r="423" customFormat="false" ht="15" hidden="false" customHeight="false" outlineLevel="0" collapsed="false">
      <c r="A423" s="27" t="s">
        <v>112</v>
      </c>
      <c r="B423" s="27" t="s">
        <v>109</v>
      </c>
      <c r="C423" s="27" t="s">
        <v>41</v>
      </c>
      <c r="D423" s="27" t="s">
        <v>39</v>
      </c>
      <c r="E423" s="28" t="n">
        <f aca="false">ROUND((SUMIFS(Acerto_Detalhado!$F$2:$F$433,Acerto_Detalhado!$A$2:$A$433,$C423,Acerto_Detalhado!$B$2:$B$433,"Fev",Acerto_Detalhado!$C$2:$C$433,"Proteina"))*(SUMIFS(Acerto_Detalhado!$I$2:$I$433,Acerto_Detalhado!$A$2:$A$433,$D423,Acerto_Detalhado!$B$2:$B$433,"Fev",Acerto_Detalhado!$C$2:$C$433,"Proteina")),2)</f>
        <v>0</v>
      </c>
    </row>
    <row r="424" customFormat="false" ht="15" hidden="false" customHeight="false" outlineLevel="0" collapsed="false">
      <c r="A424" s="27" t="s">
        <v>112</v>
      </c>
      <c r="B424" s="27" t="s">
        <v>109</v>
      </c>
      <c r="C424" s="27" t="s">
        <v>41</v>
      </c>
      <c r="D424" s="27" t="s">
        <v>40</v>
      </c>
      <c r="E424" s="28" t="n">
        <f aca="false">ROUND((SUMIFS(Acerto_Detalhado!$F$2:$F$433,Acerto_Detalhado!$A$2:$A$433,$C424,Acerto_Detalhado!$B$2:$B$433,"Fev",Acerto_Detalhado!$C$2:$C$433,"Proteina"))*(SUMIFS(Acerto_Detalhado!$I$2:$I$433,Acerto_Detalhado!$A$2:$A$433,$D424,Acerto_Detalhado!$B$2:$B$433,"Fev",Acerto_Detalhado!$C$2:$C$433,"Proteina")),2)</f>
        <v>1777.34</v>
      </c>
    </row>
    <row r="425" customFormat="false" ht="15" hidden="false" customHeight="false" outlineLevel="0" collapsed="false">
      <c r="A425" s="27" t="s">
        <v>112</v>
      </c>
      <c r="B425" s="27" t="s">
        <v>109</v>
      </c>
      <c r="C425" s="27" t="s">
        <v>41</v>
      </c>
      <c r="D425" s="27" t="s">
        <v>42</v>
      </c>
      <c r="E425" s="28" t="n">
        <f aca="false">ROUND((SUMIFS(Acerto_Detalhado!$F$2:$F$433,Acerto_Detalhado!$A$2:$A$433,$C425,Acerto_Detalhado!$B$2:$B$433,"Fev",Acerto_Detalhado!$C$2:$C$433,"Proteina"))*(SUMIFS(Acerto_Detalhado!$I$2:$I$433,Acerto_Detalhado!$A$2:$A$433,$D425,Acerto_Detalhado!$B$2:$B$433,"Fev",Acerto_Detalhado!$C$2:$C$433,"Proteina")),2)</f>
        <v>0</v>
      </c>
    </row>
    <row r="426" customFormat="false" ht="15" hidden="false" customHeight="false" outlineLevel="0" collapsed="false">
      <c r="A426" s="27" t="s">
        <v>112</v>
      </c>
      <c r="B426" s="27" t="s">
        <v>109</v>
      </c>
      <c r="C426" s="27" t="s">
        <v>41</v>
      </c>
      <c r="D426" s="27" t="s">
        <v>43</v>
      </c>
      <c r="E426" s="28" t="n">
        <f aca="false">ROUND((SUMIFS(Acerto_Detalhado!$F$2:$F$433,Acerto_Detalhado!$A$2:$A$433,$C426,Acerto_Detalhado!$B$2:$B$433,"Fev",Acerto_Detalhado!$C$2:$C$433,"Proteina"))*(SUMIFS(Acerto_Detalhado!$I$2:$I$433,Acerto_Detalhado!$A$2:$A$433,$D426,Acerto_Detalhado!$B$2:$B$433,"Fev",Acerto_Detalhado!$C$2:$C$433,"Proteina")),2)</f>
        <v>3114.81</v>
      </c>
    </row>
    <row r="427" customFormat="false" ht="15" hidden="false" customHeight="false" outlineLevel="0" collapsed="false">
      <c r="A427" s="27" t="s">
        <v>112</v>
      </c>
      <c r="B427" s="27" t="s">
        <v>109</v>
      </c>
      <c r="C427" s="27" t="s">
        <v>41</v>
      </c>
      <c r="D427" s="27" t="s">
        <v>44</v>
      </c>
      <c r="E427" s="28" t="n">
        <f aca="false">ROUND((SUMIFS(Acerto_Detalhado!$F$2:$F$433,Acerto_Detalhado!$A$2:$A$433,$C427,Acerto_Detalhado!$B$2:$B$433,"Fev",Acerto_Detalhado!$C$2:$C$433,"Proteina"))*(SUMIFS(Acerto_Detalhado!$I$2:$I$433,Acerto_Detalhado!$A$2:$A$433,$D427,Acerto_Detalhado!$B$2:$B$433,"Fev",Acerto_Detalhado!$C$2:$C$433,"Proteina")),2)</f>
        <v>0</v>
      </c>
    </row>
    <row r="428" customFormat="false" ht="15" hidden="false" customHeight="false" outlineLevel="0" collapsed="false">
      <c r="A428" s="27" t="s">
        <v>112</v>
      </c>
      <c r="B428" s="27" t="s">
        <v>109</v>
      </c>
      <c r="C428" s="27" t="s">
        <v>41</v>
      </c>
      <c r="D428" s="27" t="s">
        <v>45</v>
      </c>
      <c r="E428" s="28" t="n">
        <f aca="false">ROUND((SUMIFS(Acerto_Detalhado!$F$2:$F$433,Acerto_Detalhado!$A$2:$A$433,$C428,Acerto_Detalhado!$B$2:$B$433,"Fev",Acerto_Detalhado!$C$2:$C$433,"Proteina"))*(SUMIFS(Acerto_Detalhado!$I$2:$I$433,Acerto_Detalhado!$A$2:$A$433,$D428,Acerto_Detalhado!$B$2:$B$433,"Fev",Acerto_Detalhado!$C$2:$C$433,"Proteina")),2)</f>
        <v>0</v>
      </c>
    </row>
    <row r="429" customFormat="false" ht="15" hidden="false" customHeight="false" outlineLevel="0" collapsed="false">
      <c r="A429" s="27" t="s">
        <v>112</v>
      </c>
      <c r="B429" s="27" t="s">
        <v>109</v>
      </c>
      <c r="C429" s="27" t="s">
        <v>41</v>
      </c>
      <c r="D429" s="27" t="s">
        <v>46</v>
      </c>
      <c r="E429" s="28" t="n">
        <f aca="false">ROUND((SUMIFS(Acerto_Detalhado!$F$2:$F$433,Acerto_Detalhado!$A$2:$A$433,$C429,Acerto_Detalhado!$B$2:$B$433,"Fev",Acerto_Detalhado!$C$2:$C$433,"Proteina"))*(SUMIFS(Acerto_Detalhado!$I$2:$I$433,Acerto_Detalhado!$A$2:$A$433,$D429,Acerto_Detalhado!$B$2:$B$433,"Fev",Acerto_Detalhado!$C$2:$C$433,"Proteina")),2)</f>
        <v>0</v>
      </c>
    </row>
    <row r="430" customFormat="false" ht="15" hidden="false" customHeight="false" outlineLevel="0" collapsed="false">
      <c r="A430" s="27" t="s">
        <v>112</v>
      </c>
      <c r="B430" s="27" t="s">
        <v>109</v>
      </c>
      <c r="C430" s="27" t="s">
        <v>41</v>
      </c>
      <c r="D430" s="27" t="s">
        <v>47</v>
      </c>
      <c r="E430" s="28" t="n">
        <f aca="false">ROUND((SUMIFS(Acerto_Detalhado!$F$2:$F$433,Acerto_Detalhado!$A$2:$A$433,$C430,Acerto_Detalhado!$B$2:$B$433,"Fev",Acerto_Detalhado!$C$2:$C$433,"Proteina"))*(SUMIFS(Acerto_Detalhado!$I$2:$I$433,Acerto_Detalhado!$A$2:$A$433,$D430,Acerto_Detalhado!$B$2:$B$433,"Fev",Acerto_Detalhado!$C$2:$C$433,"Proteina")),2)</f>
        <v>0</v>
      </c>
    </row>
    <row r="431" customFormat="false" ht="15" hidden="false" customHeight="false" outlineLevel="0" collapsed="false">
      <c r="A431" s="27" t="s">
        <v>112</v>
      </c>
      <c r="B431" s="27" t="s">
        <v>109</v>
      </c>
      <c r="C431" s="27" t="s">
        <v>41</v>
      </c>
      <c r="D431" s="27" t="s">
        <v>48</v>
      </c>
      <c r="E431" s="28" t="n">
        <f aca="false">ROUND((SUMIFS(Acerto_Detalhado!$F$2:$F$433,Acerto_Detalhado!$A$2:$A$433,$C431,Acerto_Detalhado!$B$2:$B$433,"Fev",Acerto_Detalhado!$C$2:$C$433,"Proteina"))*(SUMIFS(Acerto_Detalhado!$I$2:$I$433,Acerto_Detalhado!$A$2:$A$433,$D431,Acerto_Detalhado!$B$2:$B$433,"Fev",Acerto_Detalhado!$C$2:$C$433,"Proteina")),2)</f>
        <v>0</v>
      </c>
    </row>
    <row r="432" customFormat="false" ht="15" hidden="false" customHeight="false" outlineLevel="0" collapsed="false">
      <c r="A432" s="27" t="s">
        <v>112</v>
      </c>
      <c r="B432" s="27" t="s">
        <v>109</v>
      </c>
      <c r="C432" s="27" t="s">
        <v>41</v>
      </c>
      <c r="D432" s="27" t="s">
        <v>49</v>
      </c>
      <c r="E432" s="28" t="n">
        <f aca="false">ROUND((SUMIFS(Acerto_Detalhado!$F$2:$F$433,Acerto_Detalhado!$A$2:$A$433,$C432,Acerto_Detalhado!$B$2:$B$433,"Fev",Acerto_Detalhado!$C$2:$C$433,"Proteina"))*(SUMIFS(Acerto_Detalhado!$I$2:$I$433,Acerto_Detalhado!$A$2:$A$433,$D432,Acerto_Detalhado!$B$2:$B$433,"Fev",Acerto_Detalhado!$C$2:$C$433,"Proteina")),2)</f>
        <v>0</v>
      </c>
    </row>
    <row r="433" customFormat="false" ht="15" hidden="false" customHeight="false" outlineLevel="0" collapsed="false">
      <c r="A433" s="27" t="s">
        <v>112</v>
      </c>
      <c r="B433" s="27" t="s">
        <v>109</v>
      </c>
      <c r="C433" s="27" t="s">
        <v>41</v>
      </c>
      <c r="D433" s="27" t="s">
        <v>50</v>
      </c>
      <c r="E433" s="28" t="n">
        <f aca="false">ROUND((SUMIFS(Acerto_Detalhado!$F$2:$F$433,Acerto_Detalhado!$A$2:$A$433,$C433,Acerto_Detalhado!$B$2:$B$433,"Fev",Acerto_Detalhado!$C$2:$C$433,"Proteina"))*(SUMIFS(Acerto_Detalhado!$I$2:$I$433,Acerto_Detalhado!$A$2:$A$433,$D433,Acerto_Detalhado!$B$2:$B$433,"Fev",Acerto_Detalhado!$C$2:$C$433,"Proteina")),2)</f>
        <v>0</v>
      </c>
    </row>
    <row r="434" customFormat="false" ht="15" hidden="false" customHeight="false" outlineLevel="0" collapsed="false">
      <c r="A434" s="27" t="s">
        <v>112</v>
      </c>
      <c r="B434" s="27" t="s">
        <v>109</v>
      </c>
      <c r="C434" s="27" t="s">
        <v>42</v>
      </c>
      <c r="D434" s="27" t="s">
        <v>39</v>
      </c>
      <c r="E434" s="28" t="n">
        <f aca="false">ROUND((SUMIFS(Acerto_Detalhado!$F$2:$F$433,Acerto_Detalhado!$A$2:$A$433,$C434,Acerto_Detalhado!$B$2:$B$433,"Fev",Acerto_Detalhado!$C$2:$C$433,"Proteina"))*(SUMIFS(Acerto_Detalhado!$I$2:$I$433,Acerto_Detalhado!$A$2:$A$433,$D434,Acerto_Detalhado!$B$2:$B$433,"Fev",Acerto_Detalhado!$C$2:$C$433,"Proteina")),2)</f>
        <v>0</v>
      </c>
    </row>
    <row r="435" customFormat="false" ht="15" hidden="false" customHeight="false" outlineLevel="0" collapsed="false">
      <c r="A435" s="27" t="s">
        <v>112</v>
      </c>
      <c r="B435" s="27" t="s">
        <v>109</v>
      </c>
      <c r="C435" s="27" t="s">
        <v>42</v>
      </c>
      <c r="D435" s="27" t="s">
        <v>40</v>
      </c>
      <c r="E435" s="28" t="n">
        <f aca="false">ROUND((SUMIFS(Acerto_Detalhado!$F$2:$F$433,Acerto_Detalhado!$A$2:$A$433,$C435,Acerto_Detalhado!$B$2:$B$433,"Fev",Acerto_Detalhado!$C$2:$C$433,"Proteina"))*(SUMIFS(Acerto_Detalhado!$I$2:$I$433,Acerto_Detalhado!$A$2:$A$433,$D435,Acerto_Detalhado!$B$2:$B$433,"Fev",Acerto_Detalhado!$C$2:$C$433,"Proteina")),2)</f>
        <v>35730.09</v>
      </c>
    </row>
    <row r="436" customFormat="false" ht="15" hidden="false" customHeight="false" outlineLevel="0" collapsed="false">
      <c r="A436" s="27" t="s">
        <v>112</v>
      </c>
      <c r="B436" s="27" t="s">
        <v>109</v>
      </c>
      <c r="C436" s="27" t="s">
        <v>42</v>
      </c>
      <c r="D436" s="27" t="s">
        <v>41</v>
      </c>
      <c r="E436" s="28" t="n">
        <f aca="false">ROUND((SUMIFS(Acerto_Detalhado!$F$2:$F$433,Acerto_Detalhado!$A$2:$A$433,$C436,Acerto_Detalhado!$B$2:$B$433,"Fev",Acerto_Detalhado!$C$2:$C$433,"Proteina"))*(SUMIFS(Acerto_Detalhado!$I$2:$I$433,Acerto_Detalhado!$A$2:$A$433,$D436,Acerto_Detalhado!$B$2:$B$433,"Fev",Acerto_Detalhado!$C$2:$C$433,"Proteina")),2)</f>
        <v>0</v>
      </c>
    </row>
    <row r="437" customFormat="false" ht="15" hidden="false" customHeight="false" outlineLevel="0" collapsed="false">
      <c r="A437" s="27" t="s">
        <v>112</v>
      </c>
      <c r="B437" s="27" t="s">
        <v>109</v>
      </c>
      <c r="C437" s="27" t="s">
        <v>42</v>
      </c>
      <c r="D437" s="27" t="s">
        <v>43</v>
      </c>
      <c r="E437" s="28" t="n">
        <f aca="false">ROUND((SUMIFS(Acerto_Detalhado!$F$2:$F$433,Acerto_Detalhado!$A$2:$A$433,$C437,Acerto_Detalhado!$B$2:$B$433,"Fev",Acerto_Detalhado!$C$2:$C$433,"Proteina"))*(SUMIFS(Acerto_Detalhado!$I$2:$I$433,Acerto_Detalhado!$A$2:$A$433,$D437,Acerto_Detalhado!$B$2:$B$433,"Fev",Acerto_Detalhado!$C$2:$C$433,"Proteina")),2)</f>
        <v>62617.3</v>
      </c>
    </row>
    <row r="438" customFormat="false" ht="15" hidden="false" customHeight="false" outlineLevel="0" collapsed="false">
      <c r="A438" s="27" t="s">
        <v>112</v>
      </c>
      <c r="B438" s="27" t="s">
        <v>109</v>
      </c>
      <c r="C438" s="27" t="s">
        <v>42</v>
      </c>
      <c r="D438" s="27" t="s">
        <v>44</v>
      </c>
      <c r="E438" s="28" t="n">
        <f aca="false">ROUND((SUMIFS(Acerto_Detalhado!$F$2:$F$433,Acerto_Detalhado!$A$2:$A$433,$C438,Acerto_Detalhado!$B$2:$B$433,"Fev",Acerto_Detalhado!$C$2:$C$433,"Proteina"))*(SUMIFS(Acerto_Detalhado!$I$2:$I$433,Acerto_Detalhado!$A$2:$A$433,$D438,Acerto_Detalhado!$B$2:$B$433,"Fev",Acerto_Detalhado!$C$2:$C$433,"Proteina")),2)</f>
        <v>0</v>
      </c>
    </row>
    <row r="439" customFormat="false" ht="15" hidden="false" customHeight="false" outlineLevel="0" collapsed="false">
      <c r="A439" s="27" t="s">
        <v>112</v>
      </c>
      <c r="B439" s="27" t="s">
        <v>109</v>
      </c>
      <c r="C439" s="27" t="s">
        <v>42</v>
      </c>
      <c r="D439" s="27" t="s">
        <v>45</v>
      </c>
      <c r="E439" s="28" t="n">
        <f aca="false">ROUND((SUMIFS(Acerto_Detalhado!$F$2:$F$433,Acerto_Detalhado!$A$2:$A$433,$C439,Acerto_Detalhado!$B$2:$B$433,"Fev",Acerto_Detalhado!$C$2:$C$433,"Proteina"))*(SUMIFS(Acerto_Detalhado!$I$2:$I$433,Acerto_Detalhado!$A$2:$A$433,$D439,Acerto_Detalhado!$B$2:$B$433,"Fev",Acerto_Detalhado!$C$2:$C$433,"Proteina")),2)</f>
        <v>0</v>
      </c>
    </row>
    <row r="440" customFormat="false" ht="15" hidden="false" customHeight="false" outlineLevel="0" collapsed="false">
      <c r="A440" s="27" t="s">
        <v>112</v>
      </c>
      <c r="B440" s="27" t="s">
        <v>109</v>
      </c>
      <c r="C440" s="27" t="s">
        <v>42</v>
      </c>
      <c r="D440" s="27" t="s">
        <v>46</v>
      </c>
      <c r="E440" s="28" t="n">
        <f aca="false">ROUND((SUMIFS(Acerto_Detalhado!$F$2:$F$433,Acerto_Detalhado!$A$2:$A$433,$C440,Acerto_Detalhado!$B$2:$B$433,"Fev",Acerto_Detalhado!$C$2:$C$433,"Proteina"))*(SUMIFS(Acerto_Detalhado!$I$2:$I$433,Acerto_Detalhado!$A$2:$A$433,$D440,Acerto_Detalhado!$B$2:$B$433,"Fev",Acerto_Detalhado!$C$2:$C$433,"Proteina")),2)</f>
        <v>0</v>
      </c>
    </row>
    <row r="441" customFormat="false" ht="15" hidden="false" customHeight="false" outlineLevel="0" collapsed="false">
      <c r="A441" s="27" t="s">
        <v>112</v>
      </c>
      <c r="B441" s="27" t="s">
        <v>109</v>
      </c>
      <c r="C441" s="27" t="s">
        <v>42</v>
      </c>
      <c r="D441" s="27" t="s">
        <v>47</v>
      </c>
      <c r="E441" s="28" t="n">
        <f aca="false">ROUND((SUMIFS(Acerto_Detalhado!$F$2:$F$433,Acerto_Detalhado!$A$2:$A$433,$C441,Acerto_Detalhado!$B$2:$B$433,"Fev",Acerto_Detalhado!$C$2:$C$433,"Proteina"))*(SUMIFS(Acerto_Detalhado!$I$2:$I$433,Acerto_Detalhado!$A$2:$A$433,$D441,Acerto_Detalhado!$B$2:$B$433,"Fev",Acerto_Detalhado!$C$2:$C$433,"Proteina")),2)</f>
        <v>0</v>
      </c>
    </row>
    <row r="442" customFormat="false" ht="15" hidden="false" customHeight="false" outlineLevel="0" collapsed="false">
      <c r="A442" s="27" t="s">
        <v>112</v>
      </c>
      <c r="B442" s="27" t="s">
        <v>109</v>
      </c>
      <c r="C442" s="27" t="s">
        <v>42</v>
      </c>
      <c r="D442" s="27" t="s">
        <v>48</v>
      </c>
      <c r="E442" s="28" t="n">
        <f aca="false">ROUND((SUMIFS(Acerto_Detalhado!$F$2:$F$433,Acerto_Detalhado!$A$2:$A$433,$C442,Acerto_Detalhado!$B$2:$B$433,"Fev",Acerto_Detalhado!$C$2:$C$433,"Proteina"))*(SUMIFS(Acerto_Detalhado!$I$2:$I$433,Acerto_Detalhado!$A$2:$A$433,$D442,Acerto_Detalhado!$B$2:$B$433,"Fev",Acerto_Detalhado!$C$2:$C$433,"Proteina")),2)</f>
        <v>0</v>
      </c>
    </row>
    <row r="443" customFormat="false" ht="15" hidden="false" customHeight="false" outlineLevel="0" collapsed="false">
      <c r="A443" s="27" t="s">
        <v>112</v>
      </c>
      <c r="B443" s="27" t="s">
        <v>109</v>
      </c>
      <c r="C443" s="27" t="s">
        <v>42</v>
      </c>
      <c r="D443" s="27" t="s">
        <v>49</v>
      </c>
      <c r="E443" s="28" t="n">
        <f aca="false">ROUND((SUMIFS(Acerto_Detalhado!$F$2:$F$433,Acerto_Detalhado!$A$2:$A$433,$C443,Acerto_Detalhado!$B$2:$B$433,"Fev",Acerto_Detalhado!$C$2:$C$433,"Proteina"))*(SUMIFS(Acerto_Detalhado!$I$2:$I$433,Acerto_Detalhado!$A$2:$A$433,$D443,Acerto_Detalhado!$B$2:$B$433,"Fev",Acerto_Detalhado!$C$2:$C$433,"Proteina")),2)</f>
        <v>0</v>
      </c>
    </row>
    <row r="444" customFormat="false" ht="15" hidden="false" customHeight="false" outlineLevel="0" collapsed="false">
      <c r="A444" s="27" t="s">
        <v>112</v>
      </c>
      <c r="B444" s="27" t="s">
        <v>109</v>
      </c>
      <c r="C444" s="27" t="s">
        <v>42</v>
      </c>
      <c r="D444" s="27" t="s">
        <v>50</v>
      </c>
      <c r="E444" s="28" t="n">
        <f aca="false">ROUND((SUMIFS(Acerto_Detalhado!$F$2:$F$433,Acerto_Detalhado!$A$2:$A$433,$C444,Acerto_Detalhado!$B$2:$B$433,"Fev",Acerto_Detalhado!$C$2:$C$433,"Proteina"))*(SUMIFS(Acerto_Detalhado!$I$2:$I$433,Acerto_Detalhado!$A$2:$A$433,$D444,Acerto_Detalhado!$B$2:$B$433,"Fev",Acerto_Detalhado!$C$2:$C$433,"Proteina")),2)</f>
        <v>0</v>
      </c>
    </row>
    <row r="445" customFormat="false" ht="15" hidden="false" customHeight="false" outlineLevel="0" collapsed="false">
      <c r="A445" s="27" t="s">
        <v>112</v>
      </c>
      <c r="B445" s="27" t="s">
        <v>109</v>
      </c>
      <c r="C445" s="27" t="s">
        <v>43</v>
      </c>
      <c r="D445" s="27" t="s">
        <v>39</v>
      </c>
      <c r="E445" s="28" t="n">
        <f aca="false">ROUND((SUMIFS(Acerto_Detalhado!$F$2:$F$433,Acerto_Detalhado!$A$2:$A$433,$C445,Acerto_Detalhado!$B$2:$B$433,"Fev",Acerto_Detalhado!$C$2:$C$433,"Proteina"))*(SUMIFS(Acerto_Detalhado!$I$2:$I$433,Acerto_Detalhado!$A$2:$A$433,$D445,Acerto_Detalhado!$B$2:$B$433,"Fev",Acerto_Detalhado!$C$2:$C$433,"Proteina")),2)</f>
        <v>0</v>
      </c>
    </row>
    <row r="446" customFormat="false" ht="15" hidden="false" customHeight="false" outlineLevel="0" collapsed="false">
      <c r="A446" s="27" t="s">
        <v>112</v>
      </c>
      <c r="B446" s="27" t="s">
        <v>109</v>
      </c>
      <c r="C446" s="27" t="s">
        <v>43</v>
      </c>
      <c r="D446" s="27" t="s">
        <v>40</v>
      </c>
      <c r="E446" s="28" t="n">
        <f aca="false">ROUND((SUMIFS(Acerto_Detalhado!$F$2:$F$433,Acerto_Detalhado!$A$2:$A$433,$C446,Acerto_Detalhado!$B$2:$B$433,"Fev",Acerto_Detalhado!$C$2:$C$433,"Proteina"))*(SUMIFS(Acerto_Detalhado!$I$2:$I$433,Acerto_Detalhado!$A$2:$A$433,$D446,Acerto_Detalhado!$B$2:$B$433,"Fev",Acerto_Detalhado!$C$2:$C$433,"Proteina")),2)</f>
        <v>0</v>
      </c>
    </row>
    <row r="447" customFormat="false" ht="15" hidden="false" customHeight="false" outlineLevel="0" collapsed="false">
      <c r="A447" s="27" t="s">
        <v>112</v>
      </c>
      <c r="B447" s="27" t="s">
        <v>109</v>
      </c>
      <c r="C447" s="27" t="s">
        <v>43</v>
      </c>
      <c r="D447" s="27" t="s">
        <v>41</v>
      </c>
      <c r="E447" s="28" t="n">
        <f aca="false">ROUND((SUMIFS(Acerto_Detalhado!$F$2:$F$433,Acerto_Detalhado!$A$2:$A$433,$C447,Acerto_Detalhado!$B$2:$B$433,"Fev",Acerto_Detalhado!$C$2:$C$433,"Proteina"))*(SUMIFS(Acerto_Detalhado!$I$2:$I$433,Acerto_Detalhado!$A$2:$A$433,$D447,Acerto_Detalhado!$B$2:$B$433,"Fev",Acerto_Detalhado!$C$2:$C$433,"Proteina")),2)</f>
        <v>0</v>
      </c>
    </row>
    <row r="448" customFormat="false" ht="15" hidden="false" customHeight="false" outlineLevel="0" collapsed="false">
      <c r="A448" s="27" t="s">
        <v>112</v>
      </c>
      <c r="B448" s="27" t="s">
        <v>109</v>
      </c>
      <c r="C448" s="27" t="s">
        <v>43</v>
      </c>
      <c r="D448" s="27" t="s">
        <v>42</v>
      </c>
      <c r="E448" s="28" t="n">
        <f aca="false">ROUND((SUMIFS(Acerto_Detalhado!$F$2:$F$433,Acerto_Detalhado!$A$2:$A$433,$C448,Acerto_Detalhado!$B$2:$B$433,"Fev",Acerto_Detalhado!$C$2:$C$433,"Proteina"))*(SUMIFS(Acerto_Detalhado!$I$2:$I$433,Acerto_Detalhado!$A$2:$A$433,$D448,Acerto_Detalhado!$B$2:$B$433,"Fev",Acerto_Detalhado!$C$2:$C$433,"Proteina")),2)</f>
        <v>0</v>
      </c>
    </row>
    <row r="449" customFormat="false" ht="15" hidden="false" customHeight="false" outlineLevel="0" collapsed="false">
      <c r="A449" s="27" t="s">
        <v>112</v>
      </c>
      <c r="B449" s="27" t="s">
        <v>109</v>
      </c>
      <c r="C449" s="27" t="s">
        <v>43</v>
      </c>
      <c r="D449" s="27" t="s">
        <v>44</v>
      </c>
      <c r="E449" s="28" t="n">
        <f aca="false">ROUND((SUMIFS(Acerto_Detalhado!$F$2:$F$433,Acerto_Detalhado!$A$2:$A$433,$C449,Acerto_Detalhado!$B$2:$B$433,"Fev",Acerto_Detalhado!$C$2:$C$433,"Proteina"))*(SUMIFS(Acerto_Detalhado!$I$2:$I$433,Acerto_Detalhado!$A$2:$A$433,$D449,Acerto_Detalhado!$B$2:$B$433,"Fev",Acerto_Detalhado!$C$2:$C$433,"Proteina")),2)</f>
        <v>0</v>
      </c>
    </row>
    <row r="450" customFormat="false" ht="15" hidden="false" customHeight="false" outlineLevel="0" collapsed="false">
      <c r="A450" s="27" t="s">
        <v>112</v>
      </c>
      <c r="B450" s="27" t="s">
        <v>109</v>
      </c>
      <c r="C450" s="27" t="s">
        <v>43</v>
      </c>
      <c r="D450" s="27" t="s">
        <v>45</v>
      </c>
      <c r="E450" s="28" t="n">
        <f aca="false">ROUND((SUMIFS(Acerto_Detalhado!$F$2:$F$433,Acerto_Detalhado!$A$2:$A$433,$C450,Acerto_Detalhado!$B$2:$B$433,"Fev",Acerto_Detalhado!$C$2:$C$433,"Proteina"))*(SUMIFS(Acerto_Detalhado!$I$2:$I$433,Acerto_Detalhado!$A$2:$A$433,$D450,Acerto_Detalhado!$B$2:$B$433,"Fev",Acerto_Detalhado!$C$2:$C$433,"Proteina")),2)</f>
        <v>0</v>
      </c>
    </row>
    <row r="451" customFormat="false" ht="15" hidden="false" customHeight="false" outlineLevel="0" collapsed="false">
      <c r="A451" s="27" t="s">
        <v>112</v>
      </c>
      <c r="B451" s="27" t="s">
        <v>109</v>
      </c>
      <c r="C451" s="27" t="s">
        <v>43</v>
      </c>
      <c r="D451" s="27" t="s">
        <v>46</v>
      </c>
      <c r="E451" s="28" t="n">
        <f aca="false">ROUND((SUMIFS(Acerto_Detalhado!$F$2:$F$433,Acerto_Detalhado!$A$2:$A$433,$C451,Acerto_Detalhado!$B$2:$B$433,"Fev",Acerto_Detalhado!$C$2:$C$433,"Proteina"))*(SUMIFS(Acerto_Detalhado!$I$2:$I$433,Acerto_Detalhado!$A$2:$A$433,$D451,Acerto_Detalhado!$B$2:$B$433,"Fev",Acerto_Detalhado!$C$2:$C$433,"Proteina")),2)</f>
        <v>0</v>
      </c>
    </row>
    <row r="452" customFormat="false" ht="15" hidden="false" customHeight="false" outlineLevel="0" collapsed="false">
      <c r="A452" s="27" t="s">
        <v>112</v>
      </c>
      <c r="B452" s="27" t="s">
        <v>109</v>
      </c>
      <c r="C452" s="27" t="s">
        <v>43</v>
      </c>
      <c r="D452" s="27" t="s">
        <v>47</v>
      </c>
      <c r="E452" s="28" t="n">
        <f aca="false">ROUND((SUMIFS(Acerto_Detalhado!$F$2:$F$433,Acerto_Detalhado!$A$2:$A$433,$C452,Acerto_Detalhado!$B$2:$B$433,"Fev",Acerto_Detalhado!$C$2:$C$433,"Proteina"))*(SUMIFS(Acerto_Detalhado!$I$2:$I$433,Acerto_Detalhado!$A$2:$A$433,$D452,Acerto_Detalhado!$B$2:$B$433,"Fev",Acerto_Detalhado!$C$2:$C$433,"Proteina")),2)</f>
        <v>0</v>
      </c>
    </row>
    <row r="453" customFormat="false" ht="15" hidden="false" customHeight="false" outlineLevel="0" collapsed="false">
      <c r="A453" s="27" t="s">
        <v>112</v>
      </c>
      <c r="B453" s="27" t="s">
        <v>109</v>
      </c>
      <c r="C453" s="27" t="s">
        <v>43</v>
      </c>
      <c r="D453" s="27" t="s">
        <v>48</v>
      </c>
      <c r="E453" s="28" t="n">
        <f aca="false">ROUND((SUMIFS(Acerto_Detalhado!$F$2:$F$433,Acerto_Detalhado!$A$2:$A$433,$C453,Acerto_Detalhado!$B$2:$B$433,"Fev",Acerto_Detalhado!$C$2:$C$433,"Proteina"))*(SUMIFS(Acerto_Detalhado!$I$2:$I$433,Acerto_Detalhado!$A$2:$A$433,$D453,Acerto_Detalhado!$B$2:$B$433,"Fev",Acerto_Detalhado!$C$2:$C$433,"Proteina")),2)</f>
        <v>0</v>
      </c>
    </row>
    <row r="454" customFormat="false" ht="15" hidden="false" customHeight="false" outlineLevel="0" collapsed="false">
      <c r="A454" s="27" t="s">
        <v>112</v>
      </c>
      <c r="B454" s="27" t="s">
        <v>109</v>
      </c>
      <c r="C454" s="27" t="s">
        <v>43</v>
      </c>
      <c r="D454" s="27" t="s">
        <v>49</v>
      </c>
      <c r="E454" s="28" t="n">
        <f aca="false">ROUND((SUMIFS(Acerto_Detalhado!$F$2:$F$433,Acerto_Detalhado!$A$2:$A$433,$C454,Acerto_Detalhado!$B$2:$B$433,"Fev",Acerto_Detalhado!$C$2:$C$433,"Proteina"))*(SUMIFS(Acerto_Detalhado!$I$2:$I$433,Acerto_Detalhado!$A$2:$A$433,$D454,Acerto_Detalhado!$B$2:$B$433,"Fev",Acerto_Detalhado!$C$2:$C$433,"Proteina")),2)</f>
        <v>0</v>
      </c>
    </row>
    <row r="455" customFormat="false" ht="15" hidden="false" customHeight="false" outlineLevel="0" collapsed="false">
      <c r="A455" s="27" t="s">
        <v>112</v>
      </c>
      <c r="B455" s="27" t="s">
        <v>109</v>
      </c>
      <c r="C455" s="27" t="s">
        <v>43</v>
      </c>
      <c r="D455" s="27" t="s">
        <v>50</v>
      </c>
      <c r="E455" s="28" t="n">
        <f aca="false">ROUND((SUMIFS(Acerto_Detalhado!$F$2:$F$433,Acerto_Detalhado!$A$2:$A$433,$C455,Acerto_Detalhado!$B$2:$B$433,"Fev",Acerto_Detalhado!$C$2:$C$433,"Proteina"))*(SUMIFS(Acerto_Detalhado!$I$2:$I$433,Acerto_Detalhado!$A$2:$A$433,$D455,Acerto_Detalhado!$B$2:$B$433,"Fev",Acerto_Detalhado!$C$2:$C$433,"Proteina")),2)</f>
        <v>0</v>
      </c>
    </row>
    <row r="456" customFormat="false" ht="15" hidden="false" customHeight="false" outlineLevel="0" collapsed="false">
      <c r="A456" s="27" t="s">
        <v>112</v>
      </c>
      <c r="B456" s="27" t="s">
        <v>109</v>
      </c>
      <c r="C456" s="27" t="s">
        <v>44</v>
      </c>
      <c r="D456" s="27" t="s">
        <v>39</v>
      </c>
      <c r="E456" s="28" t="n">
        <f aca="false">ROUND((SUMIFS(Acerto_Detalhado!$F$2:$F$433,Acerto_Detalhado!$A$2:$A$433,$C456,Acerto_Detalhado!$B$2:$B$433,"Fev",Acerto_Detalhado!$C$2:$C$433,"Proteina"))*(SUMIFS(Acerto_Detalhado!$I$2:$I$433,Acerto_Detalhado!$A$2:$A$433,$D456,Acerto_Detalhado!$B$2:$B$433,"Fev",Acerto_Detalhado!$C$2:$C$433,"Proteina")),2)</f>
        <v>0</v>
      </c>
    </row>
    <row r="457" customFormat="false" ht="15" hidden="false" customHeight="false" outlineLevel="0" collapsed="false">
      <c r="A457" s="27" t="s">
        <v>112</v>
      </c>
      <c r="B457" s="27" t="s">
        <v>109</v>
      </c>
      <c r="C457" s="27" t="s">
        <v>44</v>
      </c>
      <c r="D457" s="27" t="s">
        <v>40</v>
      </c>
      <c r="E457" s="28" t="n">
        <f aca="false">ROUND((SUMIFS(Acerto_Detalhado!$F$2:$F$433,Acerto_Detalhado!$A$2:$A$433,$C457,Acerto_Detalhado!$B$2:$B$433,"Fev",Acerto_Detalhado!$C$2:$C$433,"Proteina"))*(SUMIFS(Acerto_Detalhado!$I$2:$I$433,Acerto_Detalhado!$A$2:$A$433,$D457,Acerto_Detalhado!$B$2:$B$433,"Fev",Acerto_Detalhado!$C$2:$C$433,"Proteina")),2)</f>
        <v>11428.56</v>
      </c>
    </row>
    <row r="458" customFormat="false" ht="15" hidden="false" customHeight="false" outlineLevel="0" collapsed="false">
      <c r="A458" s="27" t="s">
        <v>112</v>
      </c>
      <c r="B458" s="27" t="s">
        <v>109</v>
      </c>
      <c r="C458" s="27" t="s">
        <v>44</v>
      </c>
      <c r="D458" s="27" t="s">
        <v>41</v>
      </c>
      <c r="E458" s="28" t="n">
        <f aca="false">ROUND((SUMIFS(Acerto_Detalhado!$F$2:$F$433,Acerto_Detalhado!$A$2:$A$433,$C458,Acerto_Detalhado!$B$2:$B$433,"Fev",Acerto_Detalhado!$C$2:$C$433,"Proteina"))*(SUMIFS(Acerto_Detalhado!$I$2:$I$433,Acerto_Detalhado!$A$2:$A$433,$D458,Acerto_Detalhado!$B$2:$B$433,"Fev",Acerto_Detalhado!$C$2:$C$433,"Proteina")),2)</f>
        <v>0</v>
      </c>
    </row>
    <row r="459" customFormat="false" ht="15" hidden="false" customHeight="false" outlineLevel="0" collapsed="false">
      <c r="A459" s="27" t="s">
        <v>112</v>
      </c>
      <c r="B459" s="27" t="s">
        <v>109</v>
      </c>
      <c r="C459" s="27" t="s">
        <v>44</v>
      </c>
      <c r="D459" s="27" t="s">
        <v>42</v>
      </c>
      <c r="E459" s="28" t="n">
        <f aca="false">ROUND((SUMIFS(Acerto_Detalhado!$F$2:$F$433,Acerto_Detalhado!$A$2:$A$433,$C459,Acerto_Detalhado!$B$2:$B$433,"Fev",Acerto_Detalhado!$C$2:$C$433,"Proteina"))*(SUMIFS(Acerto_Detalhado!$I$2:$I$433,Acerto_Detalhado!$A$2:$A$433,$D459,Acerto_Detalhado!$B$2:$B$433,"Fev",Acerto_Detalhado!$C$2:$C$433,"Proteina")),2)</f>
        <v>0</v>
      </c>
    </row>
    <row r="460" customFormat="false" ht="15" hidden="false" customHeight="false" outlineLevel="0" collapsed="false">
      <c r="A460" s="27" t="s">
        <v>112</v>
      </c>
      <c r="B460" s="27" t="s">
        <v>109</v>
      </c>
      <c r="C460" s="27" t="s">
        <v>44</v>
      </c>
      <c r="D460" s="27" t="s">
        <v>43</v>
      </c>
      <c r="E460" s="28" t="n">
        <f aca="false">ROUND((SUMIFS(Acerto_Detalhado!$F$2:$F$433,Acerto_Detalhado!$A$2:$A$433,$C460,Acerto_Detalhado!$B$2:$B$433,"Fev",Acerto_Detalhado!$C$2:$C$433,"Proteina"))*(SUMIFS(Acerto_Detalhado!$I$2:$I$433,Acerto_Detalhado!$A$2:$A$433,$D460,Acerto_Detalhado!$B$2:$B$433,"Fev",Acerto_Detalhado!$C$2:$C$433,"Proteina")),2)</f>
        <v>20028.65</v>
      </c>
    </row>
    <row r="461" customFormat="false" ht="15" hidden="false" customHeight="false" outlineLevel="0" collapsed="false">
      <c r="A461" s="27" t="s">
        <v>112</v>
      </c>
      <c r="B461" s="27" t="s">
        <v>109</v>
      </c>
      <c r="C461" s="27" t="s">
        <v>44</v>
      </c>
      <c r="D461" s="27" t="s">
        <v>45</v>
      </c>
      <c r="E461" s="28" t="n">
        <f aca="false">ROUND((SUMIFS(Acerto_Detalhado!$F$2:$F$433,Acerto_Detalhado!$A$2:$A$433,$C461,Acerto_Detalhado!$B$2:$B$433,"Fev",Acerto_Detalhado!$C$2:$C$433,"Proteina"))*(SUMIFS(Acerto_Detalhado!$I$2:$I$433,Acerto_Detalhado!$A$2:$A$433,$D461,Acerto_Detalhado!$B$2:$B$433,"Fev",Acerto_Detalhado!$C$2:$C$433,"Proteina")),2)</f>
        <v>0</v>
      </c>
    </row>
    <row r="462" customFormat="false" ht="15" hidden="false" customHeight="false" outlineLevel="0" collapsed="false">
      <c r="A462" s="27" t="s">
        <v>112</v>
      </c>
      <c r="B462" s="27" t="s">
        <v>109</v>
      </c>
      <c r="C462" s="27" t="s">
        <v>44</v>
      </c>
      <c r="D462" s="27" t="s">
        <v>46</v>
      </c>
      <c r="E462" s="28" t="n">
        <f aca="false">ROUND((SUMIFS(Acerto_Detalhado!$F$2:$F$433,Acerto_Detalhado!$A$2:$A$433,$C462,Acerto_Detalhado!$B$2:$B$433,"Fev",Acerto_Detalhado!$C$2:$C$433,"Proteina"))*(SUMIFS(Acerto_Detalhado!$I$2:$I$433,Acerto_Detalhado!$A$2:$A$433,$D462,Acerto_Detalhado!$B$2:$B$433,"Fev",Acerto_Detalhado!$C$2:$C$433,"Proteina")),2)</f>
        <v>0</v>
      </c>
    </row>
    <row r="463" customFormat="false" ht="15" hidden="false" customHeight="false" outlineLevel="0" collapsed="false">
      <c r="A463" s="27" t="s">
        <v>112</v>
      </c>
      <c r="B463" s="27" t="s">
        <v>109</v>
      </c>
      <c r="C463" s="27" t="s">
        <v>44</v>
      </c>
      <c r="D463" s="27" t="s">
        <v>47</v>
      </c>
      <c r="E463" s="28" t="n">
        <f aca="false">ROUND((SUMIFS(Acerto_Detalhado!$F$2:$F$433,Acerto_Detalhado!$A$2:$A$433,$C463,Acerto_Detalhado!$B$2:$B$433,"Fev",Acerto_Detalhado!$C$2:$C$433,"Proteina"))*(SUMIFS(Acerto_Detalhado!$I$2:$I$433,Acerto_Detalhado!$A$2:$A$433,$D463,Acerto_Detalhado!$B$2:$B$433,"Fev",Acerto_Detalhado!$C$2:$C$433,"Proteina")),2)</f>
        <v>0</v>
      </c>
    </row>
    <row r="464" customFormat="false" ht="15" hidden="false" customHeight="false" outlineLevel="0" collapsed="false">
      <c r="A464" s="27" t="s">
        <v>112</v>
      </c>
      <c r="B464" s="27" t="s">
        <v>109</v>
      </c>
      <c r="C464" s="27" t="s">
        <v>44</v>
      </c>
      <c r="D464" s="27" t="s">
        <v>48</v>
      </c>
      <c r="E464" s="28" t="n">
        <f aca="false">ROUND((SUMIFS(Acerto_Detalhado!$F$2:$F$433,Acerto_Detalhado!$A$2:$A$433,$C464,Acerto_Detalhado!$B$2:$B$433,"Fev",Acerto_Detalhado!$C$2:$C$433,"Proteina"))*(SUMIFS(Acerto_Detalhado!$I$2:$I$433,Acerto_Detalhado!$A$2:$A$433,$D464,Acerto_Detalhado!$B$2:$B$433,"Fev",Acerto_Detalhado!$C$2:$C$433,"Proteina")),2)</f>
        <v>0</v>
      </c>
    </row>
    <row r="465" customFormat="false" ht="15" hidden="false" customHeight="false" outlineLevel="0" collapsed="false">
      <c r="A465" s="27" t="s">
        <v>112</v>
      </c>
      <c r="B465" s="27" t="s">
        <v>109</v>
      </c>
      <c r="C465" s="27" t="s">
        <v>44</v>
      </c>
      <c r="D465" s="27" t="s">
        <v>49</v>
      </c>
      <c r="E465" s="28" t="n">
        <f aca="false">ROUND((SUMIFS(Acerto_Detalhado!$F$2:$F$433,Acerto_Detalhado!$A$2:$A$433,$C465,Acerto_Detalhado!$B$2:$B$433,"Fev",Acerto_Detalhado!$C$2:$C$433,"Proteina"))*(SUMIFS(Acerto_Detalhado!$I$2:$I$433,Acerto_Detalhado!$A$2:$A$433,$D465,Acerto_Detalhado!$B$2:$B$433,"Fev",Acerto_Detalhado!$C$2:$C$433,"Proteina")),2)</f>
        <v>0</v>
      </c>
    </row>
    <row r="466" customFormat="false" ht="15" hidden="false" customHeight="false" outlineLevel="0" collapsed="false">
      <c r="A466" s="27" t="s">
        <v>112</v>
      </c>
      <c r="B466" s="27" t="s">
        <v>109</v>
      </c>
      <c r="C466" s="27" t="s">
        <v>44</v>
      </c>
      <c r="D466" s="27" t="s">
        <v>50</v>
      </c>
      <c r="E466" s="28" t="n">
        <f aca="false">ROUND((SUMIFS(Acerto_Detalhado!$F$2:$F$433,Acerto_Detalhado!$A$2:$A$433,$C466,Acerto_Detalhado!$B$2:$B$433,"Fev",Acerto_Detalhado!$C$2:$C$433,"Proteina"))*(SUMIFS(Acerto_Detalhado!$I$2:$I$433,Acerto_Detalhado!$A$2:$A$433,$D466,Acerto_Detalhado!$B$2:$B$433,"Fev",Acerto_Detalhado!$C$2:$C$433,"Proteina")),2)</f>
        <v>0</v>
      </c>
    </row>
    <row r="467" customFormat="false" ht="15" hidden="false" customHeight="false" outlineLevel="0" collapsed="false">
      <c r="A467" s="27" t="s">
        <v>112</v>
      </c>
      <c r="B467" s="27" t="s">
        <v>109</v>
      </c>
      <c r="C467" s="27" t="s">
        <v>45</v>
      </c>
      <c r="D467" s="27" t="s">
        <v>39</v>
      </c>
      <c r="E467" s="28" t="n">
        <f aca="false">ROUND((SUMIFS(Acerto_Detalhado!$F$2:$F$433,Acerto_Detalhado!$A$2:$A$433,$C467,Acerto_Detalhado!$B$2:$B$433,"Fev",Acerto_Detalhado!$C$2:$C$433,"Proteina"))*(SUMIFS(Acerto_Detalhado!$I$2:$I$433,Acerto_Detalhado!$A$2:$A$433,$D467,Acerto_Detalhado!$B$2:$B$433,"Fev",Acerto_Detalhado!$C$2:$C$433,"Proteina")),2)</f>
        <v>0</v>
      </c>
    </row>
    <row r="468" customFormat="false" ht="15" hidden="false" customHeight="false" outlineLevel="0" collapsed="false">
      <c r="A468" s="27" t="s">
        <v>112</v>
      </c>
      <c r="B468" s="27" t="s">
        <v>109</v>
      </c>
      <c r="C468" s="27" t="s">
        <v>45</v>
      </c>
      <c r="D468" s="27" t="s">
        <v>40</v>
      </c>
      <c r="E468" s="28" t="n">
        <f aca="false">ROUND((SUMIFS(Acerto_Detalhado!$F$2:$F$433,Acerto_Detalhado!$A$2:$A$433,$C468,Acerto_Detalhado!$B$2:$B$433,"Fev",Acerto_Detalhado!$C$2:$C$433,"Proteina"))*(SUMIFS(Acerto_Detalhado!$I$2:$I$433,Acerto_Detalhado!$A$2:$A$433,$D468,Acerto_Detalhado!$B$2:$B$433,"Fev",Acerto_Detalhado!$C$2:$C$433,"Proteina")),2)</f>
        <v>11684.64</v>
      </c>
    </row>
    <row r="469" customFormat="false" ht="15" hidden="false" customHeight="false" outlineLevel="0" collapsed="false">
      <c r="A469" s="27" t="s">
        <v>112</v>
      </c>
      <c r="B469" s="27" t="s">
        <v>109</v>
      </c>
      <c r="C469" s="27" t="s">
        <v>45</v>
      </c>
      <c r="D469" s="27" t="s">
        <v>41</v>
      </c>
      <c r="E469" s="28" t="n">
        <f aca="false">ROUND((SUMIFS(Acerto_Detalhado!$F$2:$F$433,Acerto_Detalhado!$A$2:$A$433,$C469,Acerto_Detalhado!$B$2:$B$433,"Fev",Acerto_Detalhado!$C$2:$C$433,"Proteina"))*(SUMIFS(Acerto_Detalhado!$I$2:$I$433,Acerto_Detalhado!$A$2:$A$433,$D469,Acerto_Detalhado!$B$2:$B$433,"Fev",Acerto_Detalhado!$C$2:$C$433,"Proteina")),2)</f>
        <v>0</v>
      </c>
    </row>
    <row r="470" customFormat="false" ht="15" hidden="false" customHeight="false" outlineLevel="0" collapsed="false">
      <c r="A470" s="27" t="s">
        <v>112</v>
      </c>
      <c r="B470" s="27" t="s">
        <v>109</v>
      </c>
      <c r="C470" s="27" t="s">
        <v>45</v>
      </c>
      <c r="D470" s="27" t="s">
        <v>42</v>
      </c>
      <c r="E470" s="28" t="n">
        <f aca="false">ROUND((SUMIFS(Acerto_Detalhado!$F$2:$F$433,Acerto_Detalhado!$A$2:$A$433,$C470,Acerto_Detalhado!$B$2:$B$433,"Fev",Acerto_Detalhado!$C$2:$C$433,"Proteina"))*(SUMIFS(Acerto_Detalhado!$I$2:$I$433,Acerto_Detalhado!$A$2:$A$433,$D470,Acerto_Detalhado!$B$2:$B$433,"Fev",Acerto_Detalhado!$C$2:$C$433,"Proteina")),2)</f>
        <v>0</v>
      </c>
    </row>
    <row r="471" customFormat="false" ht="15" hidden="false" customHeight="false" outlineLevel="0" collapsed="false">
      <c r="A471" s="27" t="s">
        <v>112</v>
      </c>
      <c r="B471" s="27" t="s">
        <v>109</v>
      </c>
      <c r="C471" s="27" t="s">
        <v>45</v>
      </c>
      <c r="D471" s="27" t="s">
        <v>43</v>
      </c>
      <c r="E471" s="28" t="n">
        <f aca="false">ROUND((SUMIFS(Acerto_Detalhado!$F$2:$F$433,Acerto_Detalhado!$A$2:$A$433,$C471,Acerto_Detalhado!$B$2:$B$433,"Fev",Acerto_Detalhado!$C$2:$C$433,"Proteina"))*(SUMIFS(Acerto_Detalhado!$I$2:$I$433,Acerto_Detalhado!$A$2:$A$433,$D471,Acerto_Detalhado!$B$2:$B$433,"Fev",Acerto_Detalhado!$C$2:$C$433,"Proteina")),2)</f>
        <v>20477.44</v>
      </c>
    </row>
    <row r="472" customFormat="false" ht="15" hidden="false" customHeight="false" outlineLevel="0" collapsed="false">
      <c r="A472" s="27" t="s">
        <v>112</v>
      </c>
      <c r="B472" s="27" t="s">
        <v>109</v>
      </c>
      <c r="C472" s="27" t="s">
        <v>45</v>
      </c>
      <c r="D472" s="27" t="s">
        <v>44</v>
      </c>
      <c r="E472" s="28" t="n">
        <f aca="false">ROUND((SUMIFS(Acerto_Detalhado!$F$2:$F$433,Acerto_Detalhado!$A$2:$A$433,$C472,Acerto_Detalhado!$B$2:$B$433,"Fev",Acerto_Detalhado!$C$2:$C$433,"Proteina"))*(SUMIFS(Acerto_Detalhado!$I$2:$I$433,Acerto_Detalhado!$A$2:$A$433,$D472,Acerto_Detalhado!$B$2:$B$433,"Fev",Acerto_Detalhado!$C$2:$C$433,"Proteina")),2)</f>
        <v>0</v>
      </c>
    </row>
    <row r="473" customFormat="false" ht="15" hidden="false" customHeight="false" outlineLevel="0" collapsed="false">
      <c r="A473" s="27" t="s">
        <v>112</v>
      </c>
      <c r="B473" s="27" t="s">
        <v>109</v>
      </c>
      <c r="C473" s="27" t="s">
        <v>45</v>
      </c>
      <c r="D473" s="27" t="s">
        <v>46</v>
      </c>
      <c r="E473" s="28" t="n">
        <f aca="false">ROUND((SUMIFS(Acerto_Detalhado!$F$2:$F$433,Acerto_Detalhado!$A$2:$A$433,$C473,Acerto_Detalhado!$B$2:$B$433,"Fev",Acerto_Detalhado!$C$2:$C$433,"Proteina"))*(SUMIFS(Acerto_Detalhado!$I$2:$I$433,Acerto_Detalhado!$A$2:$A$433,$D473,Acerto_Detalhado!$B$2:$B$433,"Fev",Acerto_Detalhado!$C$2:$C$433,"Proteina")),2)</f>
        <v>0</v>
      </c>
    </row>
    <row r="474" customFormat="false" ht="15" hidden="false" customHeight="false" outlineLevel="0" collapsed="false">
      <c r="A474" s="27" t="s">
        <v>112</v>
      </c>
      <c r="B474" s="27" t="s">
        <v>109</v>
      </c>
      <c r="C474" s="27" t="s">
        <v>45</v>
      </c>
      <c r="D474" s="27" t="s">
        <v>47</v>
      </c>
      <c r="E474" s="28" t="n">
        <f aca="false">ROUND((SUMIFS(Acerto_Detalhado!$F$2:$F$433,Acerto_Detalhado!$A$2:$A$433,$C474,Acerto_Detalhado!$B$2:$B$433,"Fev",Acerto_Detalhado!$C$2:$C$433,"Proteina"))*(SUMIFS(Acerto_Detalhado!$I$2:$I$433,Acerto_Detalhado!$A$2:$A$433,$D474,Acerto_Detalhado!$B$2:$B$433,"Fev",Acerto_Detalhado!$C$2:$C$433,"Proteina")),2)</f>
        <v>0</v>
      </c>
    </row>
    <row r="475" customFormat="false" ht="15" hidden="false" customHeight="false" outlineLevel="0" collapsed="false">
      <c r="A475" s="27" t="s">
        <v>112</v>
      </c>
      <c r="B475" s="27" t="s">
        <v>109</v>
      </c>
      <c r="C475" s="27" t="s">
        <v>45</v>
      </c>
      <c r="D475" s="27" t="s">
        <v>48</v>
      </c>
      <c r="E475" s="28" t="n">
        <f aca="false">ROUND((SUMIFS(Acerto_Detalhado!$F$2:$F$433,Acerto_Detalhado!$A$2:$A$433,$C475,Acerto_Detalhado!$B$2:$B$433,"Fev",Acerto_Detalhado!$C$2:$C$433,"Proteina"))*(SUMIFS(Acerto_Detalhado!$I$2:$I$433,Acerto_Detalhado!$A$2:$A$433,$D475,Acerto_Detalhado!$B$2:$B$433,"Fev",Acerto_Detalhado!$C$2:$C$433,"Proteina")),2)</f>
        <v>0</v>
      </c>
    </row>
    <row r="476" customFormat="false" ht="15" hidden="false" customHeight="false" outlineLevel="0" collapsed="false">
      <c r="A476" s="27" t="s">
        <v>112</v>
      </c>
      <c r="B476" s="27" t="s">
        <v>109</v>
      </c>
      <c r="C476" s="27" t="s">
        <v>45</v>
      </c>
      <c r="D476" s="27" t="s">
        <v>49</v>
      </c>
      <c r="E476" s="28" t="n">
        <f aca="false">ROUND((SUMIFS(Acerto_Detalhado!$F$2:$F$433,Acerto_Detalhado!$A$2:$A$433,$C476,Acerto_Detalhado!$B$2:$B$433,"Fev",Acerto_Detalhado!$C$2:$C$433,"Proteina"))*(SUMIFS(Acerto_Detalhado!$I$2:$I$433,Acerto_Detalhado!$A$2:$A$433,$D476,Acerto_Detalhado!$B$2:$B$433,"Fev",Acerto_Detalhado!$C$2:$C$433,"Proteina")),2)</f>
        <v>0</v>
      </c>
    </row>
    <row r="477" customFormat="false" ht="15" hidden="false" customHeight="false" outlineLevel="0" collapsed="false">
      <c r="A477" s="27" t="s">
        <v>112</v>
      </c>
      <c r="B477" s="27" t="s">
        <v>109</v>
      </c>
      <c r="C477" s="27" t="s">
        <v>45</v>
      </c>
      <c r="D477" s="27" t="s">
        <v>50</v>
      </c>
      <c r="E477" s="28" t="n">
        <f aca="false">ROUND((SUMIFS(Acerto_Detalhado!$F$2:$F$433,Acerto_Detalhado!$A$2:$A$433,$C477,Acerto_Detalhado!$B$2:$B$433,"Fev",Acerto_Detalhado!$C$2:$C$433,"Proteina"))*(SUMIFS(Acerto_Detalhado!$I$2:$I$433,Acerto_Detalhado!$A$2:$A$433,$D477,Acerto_Detalhado!$B$2:$B$433,"Fev",Acerto_Detalhado!$C$2:$C$433,"Proteina")),2)</f>
        <v>0</v>
      </c>
    </row>
    <row r="478" customFormat="false" ht="15" hidden="false" customHeight="false" outlineLevel="0" collapsed="false">
      <c r="A478" s="27" t="s">
        <v>112</v>
      </c>
      <c r="B478" s="27" t="s">
        <v>109</v>
      </c>
      <c r="C478" s="27" t="s">
        <v>46</v>
      </c>
      <c r="D478" s="27" t="s">
        <v>39</v>
      </c>
      <c r="E478" s="28" t="n">
        <f aca="false">ROUND((SUMIFS(Acerto_Detalhado!$F$2:$F$433,Acerto_Detalhado!$A$2:$A$433,$C478,Acerto_Detalhado!$B$2:$B$433,"Fev",Acerto_Detalhado!$C$2:$C$433,"Proteina"))*(SUMIFS(Acerto_Detalhado!$I$2:$I$433,Acerto_Detalhado!$A$2:$A$433,$D478,Acerto_Detalhado!$B$2:$B$433,"Fev",Acerto_Detalhado!$C$2:$C$433,"Proteina")),2)</f>
        <v>0</v>
      </c>
    </row>
    <row r="479" customFormat="false" ht="15" hidden="false" customHeight="false" outlineLevel="0" collapsed="false">
      <c r="A479" s="27" t="s">
        <v>112</v>
      </c>
      <c r="B479" s="27" t="s">
        <v>109</v>
      </c>
      <c r="C479" s="27" t="s">
        <v>46</v>
      </c>
      <c r="D479" s="27" t="s">
        <v>40</v>
      </c>
      <c r="E479" s="28" t="n">
        <f aca="false">ROUND((SUMIFS(Acerto_Detalhado!$F$2:$F$433,Acerto_Detalhado!$A$2:$A$433,$C479,Acerto_Detalhado!$B$2:$B$433,"Fev",Acerto_Detalhado!$C$2:$C$433,"Proteina"))*(SUMIFS(Acerto_Detalhado!$I$2:$I$433,Acerto_Detalhado!$A$2:$A$433,$D479,Acerto_Detalhado!$B$2:$B$433,"Fev",Acerto_Detalhado!$C$2:$C$433,"Proteina")),2)</f>
        <v>0</v>
      </c>
    </row>
    <row r="480" customFormat="false" ht="15" hidden="false" customHeight="false" outlineLevel="0" collapsed="false">
      <c r="A480" s="27" t="s">
        <v>112</v>
      </c>
      <c r="B480" s="27" t="s">
        <v>109</v>
      </c>
      <c r="C480" s="27" t="s">
        <v>46</v>
      </c>
      <c r="D480" s="27" t="s">
        <v>41</v>
      </c>
      <c r="E480" s="28" t="n">
        <f aca="false">ROUND((SUMIFS(Acerto_Detalhado!$F$2:$F$433,Acerto_Detalhado!$A$2:$A$433,$C480,Acerto_Detalhado!$B$2:$B$433,"Fev",Acerto_Detalhado!$C$2:$C$433,"Proteina"))*(SUMIFS(Acerto_Detalhado!$I$2:$I$433,Acerto_Detalhado!$A$2:$A$433,$D480,Acerto_Detalhado!$B$2:$B$433,"Fev",Acerto_Detalhado!$C$2:$C$433,"Proteina")),2)</f>
        <v>0</v>
      </c>
    </row>
    <row r="481" customFormat="false" ht="15" hidden="false" customHeight="false" outlineLevel="0" collapsed="false">
      <c r="A481" s="27" t="s">
        <v>112</v>
      </c>
      <c r="B481" s="27" t="s">
        <v>109</v>
      </c>
      <c r="C481" s="27" t="s">
        <v>46</v>
      </c>
      <c r="D481" s="27" t="s">
        <v>42</v>
      </c>
      <c r="E481" s="28" t="n">
        <f aca="false">ROUND((SUMIFS(Acerto_Detalhado!$F$2:$F$433,Acerto_Detalhado!$A$2:$A$433,$C481,Acerto_Detalhado!$B$2:$B$433,"Fev",Acerto_Detalhado!$C$2:$C$433,"Proteina"))*(SUMIFS(Acerto_Detalhado!$I$2:$I$433,Acerto_Detalhado!$A$2:$A$433,$D481,Acerto_Detalhado!$B$2:$B$433,"Fev",Acerto_Detalhado!$C$2:$C$433,"Proteina")),2)</f>
        <v>0</v>
      </c>
    </row>
    <row r="482" customFormat="false" ht="15" hidden="false" customHeight="false" outlineLevel="0" collapsed="false">
      <c r="A482" s="27" t="s">
        <v>112</v>
      </c>
      <c r="B482" s="27" t="s">
        <v>109</v>
      </c>
      <c r="C482" s="27" t="s">
        <v>46</v>
      </c>
      <c r="D482" s="27" t="s">
        <v>43</v>
      </c>
      <c r="E482" s="28" t="n">
        <f aca="false">ROUND((SUMIFS(Acerto_Detalhado!$F$2:$F$433,Acerto_Detalhado!$A$2:$A$433,$C482,Acerto_Detalhado!$B$2:$B$433,"Fev",Acerto_Detalhado!$C$2:$C$433,"Proteina"))*(SUMIFS(Acerto_Detalhado!$I$2:$I$433,Acerto_Detalhado!$A$2:$A$433,$D482,Acerto_Detalhado!$B$2:$B$433,"Fev",Acerto_Detalhado!$C$2:$C$433,"Proteina")),2)</f>
        <v>0</v>
      </c>
    </row>
    <row r="483" customFormat="false" ht="15" hidden="false" customHeight="false" outlineLevel="0" collapsed="false">
      <c r="A483" s="27" t="s">
        <v>112</v>
      </c>
      <c r="B483" s="27" t="s">
        <v>109</v>
      </c>
      <c r="C483" s="27" t="s">
        <v>46</v>
      </c>
      <c r="D483" s="27" t="s">
        <v>44</v>
      </c>
      <c r="E483" s="28" t="n">
        <f aca="false">ROUND((SUMIFS(Acerto_Detalhado!$F$2:$F$433,Acerto_Detalhado!$A$2:$A$433,$C483,Acerto_Detalhado!$B$2:$B$433,"Fev",Acerto_Detalhado!$C$2:$C$433,"Proteina"))*(SUMIFS(Acerto_Detalhado!$I$2:$I$433,Acerto_Detalhado!$A$2:$A$433,$D483,Acerto_Detalhado!$B$2:$B$433,"Fev",Acerto_Detalhado!$C$2:$C$433,"Proteina")),2)</f>
        <v>0</v>
      </c>
    </row>
    <row r="484" customFormat="false" ht="15" hidden="false" customHeight="false" outlineLevel="0" collapsed="false">
      <c r="A484" s="27" t="s">
        <v>112</v>
      </c>
      <c r="B484" s="27" t="s">
        <v>109</v>
      </c>
      <c r="C484" s="27" t="s">
        <v>46</v>
      </c>
      <c r="D484" s="27" t="s">
        <v>45</v>
      </c>
      <c r="E484" s="28" t="n">
        <f aca="false">ROUND((SUMIFS(Acerto_Detalhado!$F$2:$F$433,Acerto_Detalhado!$A$2:$A$433,$C484,Acerto_Detalhado!$B$2:$B$433,"Fev",Acerto_Detalhado!$C$2:$C$433,"Proteina"))*(SUMIFS(Acerto_Detalhado!$I$2:$I$433,Acerto_Detalhado!$A$2:$A$433,$D484,Acerto_Detalhado!$B$2:$B$433,"Fev",Acerto_Detalhado!$C$2:$C$433,"Proteina")),2)</f>
        <v>0</v>
      </c>
    </row>
    <row r="485" customFormat="false" ht="15" hidden="false" customHeight="false" outlineLevel="0" collapsed="false">
      <c r="A485" s="27" t="s">
        <v>112</v>
      </c>
      <c r="B485" s="27" t="s">
        <v>109</v>
      </c>
      <c r="C485" s="27" t="s">
        <v>46</v>
      </c>
      <c r="D485" s="27" t="s">
        <v>47</v>
      </c>
      <c r="E485" s="28" t="n">
        <f aca="false">ROUND((SUMIFS(Acerto_Detalhado!$F$2:$F$433,Acerto_Detalhado!$A$2:$A$433,$C485,Acerto_Detalhado!$B$2:$B$433,"Fev",Acerto_Detalhado!$C$2:$C$433,"Proteina"))*(SUMIFS(Acerto_Detalhado!$I$2:$I$433,Acerto_Detalhado!$A$2:$A$433,$D485,Acerto_Detalhado!$B$2:$B$433,"Fev",Acerto_Detalhado!$C$2:$C$433,"Proteina")),2)</f>
        <v>0</v>
      </c>
    </row>
    <row r="486" customFormat="false" ht="15" hidden="false" customHeight="false" outlineLevel="0" collapsed="false">
      <c r="A486" s="27" t="s">
        <v>112</v>
      </c>
      <c r="B486" s="27" t="s">
        <v>109</v>
      </c>
      <c r="C486" s="27" t="s">
        <v>46</v>
      </c>
      <c r="D486" s="27" t="s">
        <v>48</v>
      </c>
      <c r="E486" s="28" t="n">
        <f aca="false">ROUND((SUMIFS(Acerto_Detalhado!$F$2:$F$433,Acerto_Detalhado!$A$2:$A$433,$C486,Acerto_Detalhado!$B$2:$B$433,"Fev",Acerto_Detalhado!$C$2:$C$433,"Proteina"))*(SUMIFS(Acerto_Detalhado!$I$2:$I$433,Acerto_Detalhado!$A$2:$A$433,$D486,Acerto_Detalhado!$B$2:$B$433,"Fev",Acerto_Detalhado!$C$2:$C$433,"Proteina")),2)</f>
        <v>0</v>
      </c>
    </row>
    <row r="487" customFormat="false" ht="15" hidden="false" customHeight="false" outlineLevel="0" collapsed="false">
      <c r="A487" s="27" t="s">
        <v>112</v>
      </c>
      <c r="B487" s="27" t="s">
        <v>109</v>
      </c>
      <c r="C487" s="27" t="s">
        <v>46</v>
      </c>
      <c r="D487" s="27" t="s">
        <v>49</v>
      </c>
      <c r="E487" s="28" t="n">
        <f aca="false">ROUND((SUMIFS(Acerto_Detalhado!$F$2:$F$433,Acerto_Detalhado!$A$2:$A$433,$C487,Acerto_Detalhado!$B$2:$B$433,"Fev",Acerto_Detalhado!$C$2:$C$433,"Proteina"))*(SUMIFS(Acerto_Detalhado!$I$2:$I$433,Acerto_Detalhado!$A$2:$A$433,$D487,Acerto_Detalhado!$B$2:$B$433,"Fev",Acerto_Detalhado!$C$2:$C$433,"Proteina")),2)</f>
        <v>0</v>
      </c>
    </row>
    <row r="488" customFormat="false" ht="15" hidden="false" customHeight="false" outlineLevel="0" collapsed="false">
      <c r="A488" s="27" t="s">
        <v>112</v>
      </c>
      <c r="B488" s="27" t="s">
        <v>109</v>
      </c>
      <c r="C488" s="27" t="s">
        <v>46</v>
      </c>
      <c r="D488" s="27" t="s">
        <v>50</v>
      </c>
      <c r="E488" s="28" t="n">
        <f aca="false">ROUND((SUMIFS(Acerto_Detalhado!$F$2:$F$433,Acerto_Detalhado!$A$2:$A$433,$C488,Acerto_Detalhado!$B$2:$B$433,"Fev",Acerto_Detalhado!$C$2:$C$433,"Proteina"))*(SUMIFS(Acerto_Detalhado!$I$2:$I$433,Acerto_Detalhado!$A$2:$A$433,$D488,Acerto_Detalhado!$B$2:$B$433,"Fev",Acerto_Detalhado!$C$2:$C$433,"Proteina")),2)</f>
        <v>0</v>
      </c>
    </row>
    <row r="489" customFormat="false" ht="15" hidden="false" customHeight="false" outlineLevel="0" collapsed="false">
      <c r="A489" s="27" t="s">
        <v>112</v>
      </c>
      <c r="B489" s="27" t="s">
        <v>109</v>
      </c>
      <c r="C489" s="27" t="s">
        <v>47</v>
      </c>
      <c r="D489" s="27" t="s">
        <v>39</v>
      </c>
      <c r="E489" s="28" t="n">
        <f aca="false">ROUND((SUMIFS(Acerto_Detalhado!$F$2:$F$433,Acerto_Detalhado!$A$2:$A$433,$C489,Acerto_Detalhado!$B$2:$B$433,"Fev",Acerto_Detalhado!$C$2:$C$433,"Proteina"))*(SUMIFS(Acerto_Detalhado!$I$2:$I$433,Acerto_Detalhado!$A$2:$A$433,$D489,Acerto_Detalhado!$B$2:$B$433,"Fev",Acerto_Detalhado!$C$2:$C$433,"Proteina")),2)</f>
        <v>0</v>
      </c>
    </row>
    <row r="490" customFormat="false" ht="15" hidden="false" customHeight="false" outlineLevel="0" collapsed="false">
      <c r="A490" s="27" t="s">
        <v>112</v>
      </c>
      <c r="B490" s="27" t="s">
        <v>109</v>
      </c>
      <c r="C490" s="27" t="s">
        <v>47</v>
      </c>
      <c r="D490" s="27" t="s">
        <v>40</v>
      </c>
      <c r="E490" s="28" t="n">
        <f aca="false">ROUND((SUMIFS(Acerto_Detalhado!$F$2:$F$433,Acerto_Detalhado!$A$2:$A$433,$C490,Acerto_Detalhado!$B$2:$B$433,"Fev",Acerto_Detalhado!$C$2:$C$433,"Proteina"))*(SUMIFS(Acerto_Detalhado!$I$2:$I$433,Acerto_Detalhado!$A$2:$A$433,$D490,Acerto_Detalhado!$B$2:$B$433,"Fev",Acerto_Detalhado!$C$2:$C$433,"Proteina")),2)</f>
        <v>0</v>
      </c>
    </row>
    <row r="491" customFormat="false" ht="15" hidden="false" customHeight="false" outlineLevel="0" collapsed="false">
      <c r="A491" s="27" t="s">
        <v>112</v>
      </c>
      <c r="B491" s="27" t="s">
        <v>109</v>
      </c>
      <c r="C491" s="27" t="s">
        <v>47</v>
      </c>
      <c r="D491" s="27" t="s">
        <v>41</v>
      </c>
      <c r="E491" s="28" t="n">
        <f aca="false">ROUND((SUMIFS(Acerto_Detalhado!$F$2:$F$433,Acerto_Detalhado!$A$2:$A$433,$C491,Acerto_Detalhado!$B$2:$B$433,"Fev",Acerto_Detalhado!$C$2:$C$433,"Proteina"))*(SUMIFS(Acerto_Detalhado!$I$2:$I$433,Acerto_Detalhado!$A$2:$A$433,$D491,Acerto_Detalhado!$B$2:$B$433,"Fev",Acerto_Detalhado!$C$2:$C$433,"Proteina")),2)</f>
        <v>0</v>
      </c>
    </row>
    <row r="492" customFormat="false" ht="15" hidden="false" customHeight="false" outlineLevel="0" collapsed="false">
      <c r="A492" s="27" t="s">
        <v>112</v>
      </c>
      <c r="B492" s="27" t="s">
        <v>109</v>
      </c>
      <c r="C492" s="27" t="s">
        <v>47</v>
      </c>
      <c r="D492" s="27" t="s">
        <v>42</v>
      </c>
      <c r="E492" s="28" t="n">
        <f aca="false">ROUND((SUMIFS(Acerto_Detalhado!$F$2:$F$433,Acerto_Detalhado!$A$2:$A$433,$C492,Acerto_Detalhado!$B$2:$B$433,"Fev",Acerto_Detalhado!$C$2:$C$433,"Proteina"))*(SUMIFS(Acerto_Detalhado!$I$2:$I$433,Acerto_Detalhado!$A$2:$A$433,$D492,Acerto_Detalhado!$B$2:$B$433,"Fev",Acerto_Detalhado!$C$2:$C$433,"Proteina")),2)</f>
        <v>0</v>
      </c>
    </row>
    <row r="493" customFormat="false" ht="15" hidden="false" customHeight="false" outlineLevel="0" collapsed="false">
      <c r="A493" s="27" t="s">
        <v>112</v>
      </c>
      <c r="B493" s="27" t="s">
        <v>109</v>
      </c>
      <c r="C493" s="27" t="s">
        <v>47</v>
      </c>
      <c r="D493" s="27" t="s">
        <v>43</v>
      </c>
      <c r="E493" s="28" t="n">
        <f aca="false">ROUND((SUMIFS(Acerto_Detalhado!$F$2:$F$433,Acerto_Detalhado!$A$2:$A$433,$C493,Acerto_Detalhado!$B$2:$B$433,"Fev",Acerto_Detalhado!$C$2:$C$433,"Proteina"))*(SUMIFS(Acerto_Detalhado!$I$2:$I$433,Acerto_Detalhado!$A$2:$A$433,$D493,Acerto_Detalhado!$B$2:$B$433,"Fev",Acerto_Detalhado!$C$2:$C$433,"Proteina")),2)</f>
        <v>0</v>
      </c>
    </row>
    <row r="494" customFormat="false" ht="15" hidden="false" customHeight="false" outlineLevel="0" collapsed="false">
      <c r="A494" s="27" t="s">
        <v>112</v>
      </c>
      <c r="B494" s="27" t="s">
        <v>109</v>
      </c>
      <c r="C494" s="27" t="s">
        <v>47</v>
      </c>
      <c r="D494" s="27" t="s">
        <v>44</v>
      </c>
      <c r="E494" s="28" t="n">
        <f aca="false">ROUND((SUMIFS(Acerto_Detalhado!$F$2:$F$433,Acerto_Detalhado!$A$2:$A$433,$C494,Acerto_Detalhado!$B$2:$B$433,"Fev",Acerto_Detalhado!$C$2:$C$433,"Proteina"))*(SUMIFS(Acerto_Detalhado!$I$2:$I$433,Acerto_Detalhado!$A$2:$A$433,$D494,Acerto_Detalhado!$B$2:$B$433,"Fev",Acerto_Detalhado!$C$2:$C$433,"Proteina")),2)</f>
        <v>0</v>
      </c>
    </row>
    <row r="495" customFormat="false" ht="15" hidden="false" customHeight="false" outlineLevel="0" collapsed="false">
      <c r="A495" s="27" t="s">
        <v>112</v>
      </c>
      <c r="B495" s="27" t="s">
        <v>109</v>
      </c>
      <c r="C495" s="27" t="s">
        <v>47</v>
      </c>
      <c r="D495" s="27" t="s">
        <v>45</v>
      </c>
      <c r="E495" s="28" t="n">
        <f aca="false">ROUND((SUMIFS(Acerto_Detalhado!$F$2:$F$433,Acerto_Detalhado!$A$2:$A$433,$C495,Acerto_Detalhado!$B$2:$B$433,"Fev",Acerto_Detalhado!$C$2:$C$433,"Proteina"))*(SUMIFS(Acerto_Detalhado!$I$2:$I$433,Acerto_Detalhado!$A$2:$A$433,$D495,Acerto_Detalhado!$B$2:$B$433,"Fev",Acerto_Detalhado!$C$2:$C$433,"Proteina")),2)</f>
        <v>0</v>
      </c>
    </row>
    <row r="496" customFormat="false" ht="15" hidden="false" customHeight="false" outlineLevel="0" collapsed="false">
      <c r="A496" s="27" t="s">
        <v>112</v>
      </c>
      <c r="B496" s="27" t="s">
        <v>109</v>
      </c>
      <c r="C496" s="27" t="s">
        <v>47</v>
      </c>
      <c r="D496" s="27" t="s">
        <v>46</v>
      </c>
      <c r="E496" s="28" t="n">
        <f aca="false">ROUND((SUMIFS(Acerto_Detalhado!$F$2:$F$433,Acerto_Detalhado!$A$2:$A$433,$C496,Acerto_Detalhado!$B$2:$B$433,"Fev",Acerto_Detalhado!$C$2:$C$433,"Proteina"))*(SUMIFS(Acerto_Detalhado!$I$2:$I$433,Acerto_Detalhado!$A$2:$A$433,$D496,Acerto_Detalhado!$B$2:$B$433,"Fev",Acerto_Detalhado!$C$2:$C$433,"Proteina")),2)</f>
        <v>0</v>
      </c>
    </row>
    <row r="497" customFormat="false" ht="15" hidden="false" customHeight="false" outlineLevel="0" collapsed="false">
      <c r="A497" s="27" t="s">
        <v>112</v>
      </c>
      <c r="B497" s="27" t="s">
        <v>109</v>
      </c>
      <c r="C497" s="27" t="s">
        <v>47</v>
      </c>
      <c r="D497" s="27" t="s">
        <v>48</v>
      </c>
      <c r="E497" s="28" t="n">
        <f aca="false">ROUND((SUMIFS(Acerto_Detalhado!$F$2:$F$433,Acerto_Detalhado!$A$2:$A$433,$C497,Acerto_Detalhado!$B$2:$B$433,"Fev",Acerto_Detalhado!$C$2:$C$433,"Proteina"))*(SUMIFS(Acerto_Detalhado!$I$2:$I$433,Acerto_Detalhado!$A$2:$A$433,$D497,Acerto_Detalhado!$B$2:$B$433,"Fev",Acerto_Detalhado!$C$2:$C$433,"Proteina")),2)</f>
        <v>0</v>
      </c>
    </row>
    <row r="498" customFormat="false" ht="15" hidden="false" customHeight="false" outlineLevel="0" collapsed="false">
      <c r="A498" s="27" t="s">
        <v>112</v>
      </c>
      <c r="B498" s="27" t="s">
        <v>109</v>
      </c>
      <c r="C498" s="27" t="s">
        <v>47</v>
      </c>
      <c r="D498" s="27" t="s">
        <v>49</v>
      </c>
      <c r="E498" s="28" t="n">
        <f aca="false">ROUND((SUMIFS(Acerto_Detalhado!$F$2:$F$433,Acerto_Detalhado!$A$2:$A$433,$C498,Acerto_Detalhado!$B$2:$B$433,"Fev",Acerto_Detalhado!$C$2:$C$433,"Proteina"))*(SUMIFS(Acerto_Detalhado!$I$2:$I$433,Acerto_Detalhado!$A$2:$A$433,$D498,Acerto_Detalhado!$B$2:$B$433,"Fev",Acerto_Detalhado!$C$2:$C$433,"Proteina")),2)</f>
        <v>0</v>
      </c>
    </row>
    <row r="499" customFormat="false" ht="15" hidden="false" customHeight="false" outlineLevel="0" collapsed="false">
      <c r="A499" s="27" t="s">
        <v>112</v>
      </c>
      <c r="B499" s="27" t="s">
        <v>109</v>
      </c>
      <c r="C499" s="27" t="s">
        <v>47</v>
      </c>
      <c r="D499" s="27" t="s">
        <v>50</v>
      </c>
      <c r="E499" s="28" t="n">
        <f aca="false">ROUND((SUMIFS(Acerto_Detalhado!$F$2:$F$433,Acerto_Detalhado!$A$2:$A$433,$C499,Acerto_Detalhado!$B$2:$B$433,"Fev",Acerto_Detalhado!$C$2:$C$433,"Proteina"))*(SUMIFS(Acerto_Detalhado!$I$2:$I$433,Acerto_Detalhado!$A$2:$A$433,$D499,Acerto_Detalhado!$B$2:$B$433,"Fev",Acerto_Detalhado!$C$2:$C$433,"Proteina")),2)</f>
        <v>0</v>
      </c>
    </row>
    <row r="500" customFormat="false" ht="15" hidden="false" customHeight="false" outlineLevel="0" collapsed="false">
      <c r="A500" s="27" t="s">
        <v>112</v>
      </c>
      <c r="B500" s="27" t="s">
        <v>109</v>
      </c>
      <c r="C500" s="27" t="s">
        <v>48</v>
      </c>
      <c r="D500" s="27" t="s">
        <v>39</v>
      </c>
      <c r="E500" s="28" t="n">
        <f aca="false">ROUND((SUMIFS(Acerto_Detalhado!$F$2:$F$433,Acerto_Detalhado!$A$2:$A$433,$C500,Acerto_Detalhado!$B$2:$B$433,"Fev",Acerto_Detalhado!$C$2:$C$433,"Proteina"))*(SUMIFS(Acerto_Detalhado!$I$2:$I$433,Acerto_Detalhado!$A$2:$A$433,$D500,Acerto_Detalhado!$B$2:$B$433,"Fev",Acerto_Detalhado!$C$2:$C$433,"Proteina")),2)</f>
        <v>0</v>
      </c>
    </row>
    <row r="501" customFormat="false" ht="15" hidden="false" customHeight="false" outlineLevel="0" collapsed="false">
      <c r="A501" s="27" t="s">
        <v>112</v>
      </c>
      <c r="B501" s="27" t="s">
        <v>109</v>
      </c>
      <c r="C501" s="27" t="s">
        <v>48</v>
      </c>
      <c r="D501" s="27" t="s">
        <v>40</v>
      </c>
      <c r="E501" s="28" t="n">
        <f aca="false">ROUND((SUMIFS(Acerto_Detalhado!$F$2:$F$433,Acerto_Detalhado!$A$2:$A$433,$C501,Acerto_Detalhado!$B$2:$B$433,"Fev",Acerto_Detalhado!$C$2:$C$433,"Proteina"))*(SUMIFS(Acerto_Detalhado!$I$2:$I$433,Acerto_Detalhado!$A$2:$A$433,$D501,Acerto_Detalhado!$B$2:$B$433,"Fev",Acerto_Detalhado!$C$2:$C$433,"Proteina")),2)</f>
        <v>0</v>
      </c>
    </row>
    <row r="502" customFormat="false" ht="15" hidden="false" customHeight="false" outlineLevel="0" collapsed="false">
      <c r="A502" s="27" t="s">
        <v>112</v>
      </c>
      <c r="B502" s="27" t="s">
        <v>109</v>
      </c>
      <c r="C502" s="27" t="s">
        <v>48</v>
      </c>
      <c r="D502" s="27" t="s">
        <v>41</v>
      </c>
      <c r="E502" s="28" t="n">
        <f aca="false">ROUND((SUMIFS(Acerto_Detalhado!$F$2:$F$433,Acerto_Detalhado!$A$2:$A$433,$C502,Acerto_Detalhado!$B$2:$B$433,"Fev",Acerto_Detalhado!$C$2:$C$433,"Proteina"))*(SUMIFS(Acerto_Detalhado!$I$2:$I$433,Acerto_Detalhado!$A$2:$A$433,$D502,Acerto_Detalhado!$B$2:$B$433,"Fev",Acerto_Detalhado!$C$2:$C$433,"Proteina")),2)</f>
        <v>0</v>
      </c>
    </row>
    <row r="503" customFormat="false" ht="15" hidden="false" customHeight="false" outlineLevel="0" collapsed="false">
      <c r="A503" s="27" t="s">
        <v>112</v>
      </c>
      <c r="B503" s="27" t="s">
        <v>109</v>
      </c>
      <c r="C503" s="27" t="s">
        <v>48</v>
      </c>
      <c r="D503" s="27" t="s">
        <v>42</v>
      </c>
      <c r="E503" s="28" t="n">
        <f aca="false">ROUND((SUMIFS(Acerto_Detalhado!$F$2:$F$433,Acerto_Detalhado!$A$2:$A$433,$C503,Acerto_Detalhado!$B$2:$B$433,"Fev",Acerto_Detalhado!$C$2:$C$433,"Proteina"))*(SUMIFS(Acerto_Detalhado!$I$2:$I$433,Acerto_Detalhado!$A$2:$A$433,$D503,Acerto_Detalhado!$B$2:$B$433,"Fev",Acerto_Detalhado!$C$2:$C$433,"Proteina")),2)</f>
        <v>0</v>
      </c>
    </row>
    <row r="504" customFormat="false" ht="15" hidden="false" customHeight="false" outlineLevel="0" collapsed="false">
      <c r="A504" s="27" t="s">
        <v>112</v>
      </c>
      <c r="B504" s="27" t="s">
        <v>109</v>
      </c>
      <c r="C504" s="27" t="s">
        <v>48</v>
      </c>
      <c r="D504" s="27" t="s">
        <v>43</v>
      </c>
      <c r="E504" s="28" t="n">
        <f aca="false">ROUND((SUMIFS(Acerto_Detalhado!$F$2:$F$433,Acerto_Detalhado!$A$2:$A$433,$C504,Acerto_Detalhado!$B$2:$B$433,"Fev",Acerto_Detalhado!$C$2:$C$433,"Proteina"))*(SUMIFS(Acerto_Detalhado!$I$2:$I$433,Acerto_Detalhado!$A$2:$A$433,$D504,Acerto_Detalhado!$B$2:$B$433,"Fev",Acerto_Detalhado!$C$2:$C$433,"Proteina")),2)</f>
        <v>0</v>
      </c>
    </row>
    <row r="505" customFormat="false" ht="15" hidden="false" customHeight="false" outlineLevel="0" collapsed="false">
      <c r="A505" s="27" t="s">
        <v>112</v>
      </c>
      <c r="B505" s="27" t="s">
        <v>109</v>
      </c>
      <c r="C505" s="27" t="s">
        <v>48</v>
      </c>
      <c r="D505" s="27" t="s">
        <v>44</v>
      </c>
      <c r="E505" s="28" t="n">
        <f aca="false">ROUND((SUMIFS(Acerto_Detalhado!$F$2:$F$433,Acerto_Detalhado!$A$2:$A$433,$C505,Acerto_Detalhado!$B$2:$B$433,"Fev",Acerto_Detalhado!$C$2:$C$433,"Proteina"))*(SUMIFS(Acerto_Detalhado!$I$2:$I$433,Acerto_Detalhado!$A$2:$A$433,$D505,Acerto_Detalhado!$B$2:$B$433,"Fev",Acerto_Detalhado!$C$2:$C$433,"Proteina")),2)</f>
        <v>0</v>
      </c>
    </row>
    <row r="506" customFormat="false" ht="15" hidden="false" customHeight="false" outlineLevel="0" collapsed="false">
      <c r="A506" s="27" t="s">
        <v>112</v>
      </c>
      <c r="B506" s="27" t="s">
        <v>109</v>
      </c>
      <c r="C506" s="27" t="s">
        <v>48</v>
      </c>
      <c r="D506" s="27" t="s">
        <v>45</v>
      </c>
      <c r="E506" s="28" t="n">
        <f aca="false">ROUND((SUMIFS(Acerto_Detalhado!$F$2:$F$433,Acerto_Detalhado!$A$2:$A$433,$C506,Acerto_Detalhado!$B$2:$B$433,"Fev",Acerto_Detalhado!$C$2:$C$433,"Proteina"))*(SUMIFS(Acerto_Detalhado!$I$2:$I$433,Acerto_Detalhado!$A$2:$A$433,$D506,Acerto_Detalhado!$B$2:$B$433,"Fev",Acerto_Detalhado!$C$2:$C$433,"Proteina")),2)</f>
        <v>0</v>
      </c>
    </row>
    <row r="507" customFormat="false" ht="15" hidden="false" customHeight="false" outlineLevel="0" collapsed="false">
      <c r="A507" s="27" t="s">
        <v>112</v>
      </c>
      <c r="B507" s="27" t="s">
        <v>109</v>
      </c>
      <c r="C507" s="27" t="s">
        <v>48</v>
      </c>
      <c r="D507" s="27" t="s">
        <v>46</v>
      </c>
      <c r="E507" s="28" t="n">
        <f aca="false">ROUND((SUMIFS(Acerto_Detalhado!$F$2:$F$433,Acerto_Detalhado!$A$2:$A$433,$C507,Acerto_Detalhado!$B$2:$B$433,"Fev",Acerto_Detalhado!$C$2:$C$433,"Proteina"))*(SUMIFS(Acerto_Detalhado!$I$2:$I$433,Acerto_Detalhado!$A$2:$A$433,$D507,Acerto_Detalhado!$B$2:$B$433,"Fev",Acerto_Detalhado!$C$2:$C$433,"Proteina")),2)</f>
        <v>0</v>
      </c>
    </row>
    <row r="508" customFormat="false" ht="15" hidden="false" customHeight="false" outlineLevel="0" collapsed="false">
      <c r="A508" s="27" t="s">
        <v>112</v>
      </c>
      <c r="B508" s="27" t="s">
        <v>109</v>
      </c>
      <c r="C508" s="27" t="s">
        <v>48</v>
      </c>
      <c r="D508" s="27" t="s">
        <v>47</v>
      </c>
      <c r="E508" s="28" t="n">
        <f aca="false">ROUND((SUMIFS(Acerto_Detalhado!$F$2:$F$433,Acerto_Detalhado!$A$2:$A$433,$C508,Acerto_Detalhado!$B$2:$B$433,"Fev",Acerto_Detalhado!$C$2:$C$433,"Proteina"))*(SUMIFS(Acerto_Detalhado!$I$2:$I$433,Acerto_Detalhado!$A$2:$A$433,$D508,Acerto_Detalhado!$B$2:$B$433,"Fev",Acerto_Detalhado!$C$2:$C$433,"Proteina")),2)</f>
        <v>0</v>
      </c>
    </row>
    <row r="509" customFormat="false" ht="15" hidden="false" customHeight="false" outlineLevel="0" collapsed="false">
      <c r="A509" s="27" t="s">
        <v>112</v>
      </c>
      <c r="B509" s="27" t="s">
        <v>109</v>
      </c>
      <c r="C509" s="27" t="s">
        <v>48</v>
      </c>
      <c r="D509" s="27" t="s">
        <v>49</v>
      </c>
      <c r="E509" s="28" t="n">
        <f aca="false">ROUND((SUMIFS(Acerto_Detalhado!$F$2:$F$433,Acerto_Detalhado!$A$2:$A$433,$C509,Acerto_Detalhado!$B$2:$B$433,"Fev",Acerto_Detalhado!$C$2:$C$433,"Proteina"))*(SUMIFS(Acerto_Detalhado!$I$2:$I$433,Acerto_Detalhado!$A$2:$A$433,$D509,Acerto_Detalhado!$B$2:$B$433,"Fev",Acerto_Detalhado!$C$2:$C$433,"Proteina")),2)</f>
        <v>0</v>
      </c>
    </row>
    <row r="510" customFormat="false" ht="15" hidden="false" customHeight="false" outlineLevel="0" collapsed="false">
      <c r="A510" s="27" t="s">
        <v>112</v>
      </c>
      <c r="B510" s="27" t="s">
        <v>109</v>
      </c>
      <c r="C510" s="27" t="s">
        <v>48</v>
      </c>
      <c r="D510" s="27" t="s">
        <v>50</v>
      </c>
      <c r="E510" s="28" t="n">
        <f aca="false">ROUND((SUMIFS(Acerto_Detalhado!$F$2:$F$433,Acerto_Detalhado!$A$2:$A$433,$C510,Acerto_Detalhado!$B$2:$B$433,"Fev",Acerto_Detalhado!$C$2:$C$433,"Proteina"))*(SUMIFS(Acerto_Detalhado!$I$2:$I$433,Acerto_Detalhado!$A$2:$A$433,$D510,Acerto_Detalhado!$B$2:$B$433,"Fev",Acerto_Detalhado!$C$2:$C$433,"Proteina")),2)</f>
        <v>0</v>
      </c>
    </row>
    <row r="511" customFormat="false" ht="15" hidden="false" customHeight="false" outlineLevel="0" collapsed="false">
      <c r="A511" s="27" t="s">
        <v>112</v>
      </c>
      <c r="B511" s="27" t="s">
        <v>109</v>
      </c>
      <c r="C511" s="27" t="s">
        <v>49</v>
      </c>
      <c r="D511" s="27" t="s">
        <v>39</v>
      </c>
      <c r="E511" s="28" t="n">
        <f aca="false">ROUND((SUMIFS(Acerto_Detalhado!$F$2:$F$433,Acerto_Detalhado!$A$2:$A$433,$C511,Acerto_Detalhado!$B$2:$B$433,"Fev",Acerto_Detalhado!$C$2:$C$433,"Proteina"))*(SUMIFS(Acerto_Detalhado!$I$2:$I$433,Acerto_Detalhado!$A$2:$A$433,$D511,Acerto_Detalhado!$B$2:$B$433,"Fev",Acerto_Detalhado!$C$2:$C$433,"Proteina")),2)</f>
        <v>0</v>
      </c>
    </row>
    <row r="512" customFormat="false" ht="15" hidden="false" customHeight="false" outlineLevel="0" collapsed="false">
      <c r="A512" s="27" t="s">
        <v>112</v>
      </c>
      <c r="B512" s="27" t="s">
        <v>109</v>
      </c>
      <c r="C512" s="27" t="s">
        <v>49</v>
      </c>
      <c r="D512" s="27" t="s">
        <v>40</v>
      </c>
      <c r="E512" s="28" t="n">
        <f aca="false">ROUND((SUMIFS(Acerto_Detalhado!$F$2:$F$433,Acerto_Detalhado!$A$2:$A$433,$C512,Acerto_Detalhado!$B$2:$B$433,"Fev",Acerto_Detalhado!$C$2:$C$433,"Proteina"))*(SUMIFS(Acerto_Detalhado!$I$2:$I$433,Acerto_Detalhado!$A$2:$A$433,$D512,Acerto_Detalhado!$B$2:$B$433,"Fev",Acerto_Detalhado!$C$2:$C$433,"Proteina")),2)</f>
        <v>0</v>
      </c>
    </row>
    <row r="513" customFormat="false" ht="15" hidden="false" customHeight="false" outlineLevel="0" collapsed="false">
      <c r="A513" s="27" t="s">
        <v>112</v>
      </c>
      <c r="B513" s="27" t="s">
        <v>109</v>
      </c>
      <c r="C513" s="27" t="s">
        <v>49</v>
      </c>
      <c r="D513" s="27" t="s">
        <v>41</v>
      </c>
      <c r="E513" s="28" t="n">
        <f aca="false">ROUND((SUMIFS(Acerto_Detalhado!$F$2:$F$433,Acerto_Detalhado!$A$2:$A$433,$C513,Acerto_Detalhado!$B$2:$B$433,"Fev",Acerto_Detalhado!$C$2:$C$433,"Proteina"))*(SUMIFS(Acerto_Detalhado!$I$2:$I$433,Acerto_Detalhado!$A$2:$A$433,$D513,Acerto_Detalhado!$B$2:$B$433,"Fev",Acerto_Detalhado!$C$2:$C$433,"Proteina")),2)</f>
        <v>0</v>
      </c>
    </row>
    <row r="514" customFormat="false" ht="15" hidden="false" customHeight="false" outlineLevel="0" collapsed="false">
      <c r="A514" s="27" t="s">
        <v>112</v>
      </c>
      <c r="B514" s="27" t="s">
        <v>109</v>
      </c>
      <c r="C514" s="27" t="s">
        <v>49</v>
      </c>
      <c r="D514" s="27" t="s">
        <v>42</v>
      </c>
      <c r="E514" s="28" t="n">
        <f aca="false">ROUND((SUMIFS(Acerto_Detalhado!$F$2:$F$433,Acerto_Detalhado!$A$2:$A$433,$C514,Acerto_Detalhado!$B$2:$B$433,"Fev",Acerto_Detalhado!$C$2:$C$433,"Proteina"))*(SUMIFS(Acerto_Detalhado!$I$2:$I$433,Acerto_Detalhado!$A$2:$A$433,$D514,Acerto_Detalhado!$B$2:$B$433,"Fev",Acerto_Detalhado!$C$2:$C$433,"Proteina")),2)</f>
        <v>0</v>
      </c>
    </row>
    <row r="515" customFormat="false" ht="15" hidden="false" customHeight="false" outlineLevel="0" collapsed="false">
      <c r="A515" s="27" t="s">
        <v>112</v>
      </c>
      <c r="B515" s="27" t="s">
        <v>109</v>
      </c>
      <c r="C515" s="27" t="s">
        <v>49</v>
      </c>
      <c r="D515" s="27" t="s">
        <v>43</v>
      </c>
      <c r="E515" s="28" t="n">
        <f aca="false">ROUND((SUMIFS(Acerto_Detalhado!$F$2:$F$433,Acerto_Detalhado!$A$2:$A$433,$C515,Acerto_Detalhado!$B$2:$B$433,"Fev",Acerto_Detalhado!$C$2:$C$433,"Proteina"))*(SUMIFS(Acerto_Detalhado!$I$2:$I$433,Acerto_Detalhado!$A$2:$A$433,$D515,Acerto_Detalhado!$B$2:$B$433,"Fev",Acerto_Detalhado!$C$2:$C$433,"Proteina")),2)</f>
        <v>0</v>
      </c>
    </row>
    <row r="516" customFormat="false" ht="15" hidden="false" customHeight="false" outlineLevel="0" collapsed="false">
      <c r="A516" s="27" t="s">
        <v>112</v>
      </c>
      <c r="B516" s="27" t="s">
        <v>109</v>
      </c>
      <c r="C516" s="27" t="s">
        <v>49</v>
      </c>
      <c r="D516" s="27" t="s">
        <v>44</v>
      </c>
      <c r="E516" s="28" t="n">
        <f aca="false">ROUND((SUMIFS(Acerto_Detalhado!$F$2:$F$433,Acerto_Detalhado!$A$2:$A$433,$C516,Acerto_Detalhado!$B$2:$B$433,"Fev",Acerto_Detalhado!$C$2:$C$433,"Proteina"))*(SUMIFS(Acerto_Detalhado!$I$2:$I$433,Acerto_Detalhado!$A$2:$A$433,$D516,Acerto_Detalhado!$B$2:$B$433,"Fev",Acerto_Detalhado!$C$2:$C$433,"Proteina")),2)</f>
        <v>0</v>
      </c>
    </row>
    <row r="517" customFormat="false" ht="15" hidden="false" customHeight="false" outlineLevel="0" collapsed="false">
      <c r="A517" s="27" t="s">
        <v>112</v>
      </c>
      <c r="B517" s="27" t="s">
        <v>109</v>
      </c>
      <c r="C517" s="27" t="s">
        <v>49</v>
      </c>
      <c r="D517" s="27" t="s">
        <v>45</v>
      </c>
      <c r="E517" s="28" t="n">
        <f aca="false">ROUND((SUMIFS(Acerto_Detalhado!$F$2:$F$433,Acerto_Detalhado!$A$2:$A$433,$C517,Acerto_Detalhado!$B$2:$B$433,"Fev",Acerto_Detalhado!$C$2:$C$433,"Proteina"))*(SUMIFS(Acerto_Detalhado!$I$2:$I$433,Acerto_Detalhado!$A$2:$A$433,$D517,Acerto_Detalhado!$B$2:$B$433,"Fev",Acerto_Detalhado!$C$2:$C$433,"Proteina")),2)</f>
        <v>0</v>
      </c>
    </row>
    <row r="518" customFormat="false" ht="15" hidden="false" customHeight="false" outlineLevel="0" collapsed="false">
      <c r="A518" s="27" t="s">
        <v>112</v>
      </c>
      <c r="B518" s="27" t="s">
        <v>109</v>
      </c>
      <c r="C518" s="27" t="s">
        <v>49</v>
      </c>
      <c r="D518" s="27" t="s">
        <v>46</v>
      </c>
      <c r="E518" s="28" t="n">
        <f aca="false">ROUND((SUMIFS(Acerto_Detalhado!$F$2:$F$433,Acerto_Detalhado!$A$2:$A$433,$C518,Acerto_Detalhado!$B$2:$B$433,"Fev",Acerto_Detalhado!$C$2:$C$433,"Proteina"))*(SUMIFS(Acerto_Detalhado!$I$2:$I$433,Acerto_Detalhado!$A$2:$A$433,$D518,Acerto_Detalhado!$B$2:$B$433,"Fev",Acerto_Detalhado!$C$2:$C$433,"Proteina")),2)</f>
        <v>0</v>
      </c>
    </row>
    <row r="519" customFormat="false" ht="15" hidden="false" customHeight="false" outlineLevel="0" collapsed="false">
      <c r="A519" s="27" t="s">
        <v>112</v>
      </c>
      <c r="B519" s="27" t="s">
        <v>109</v>
      </c>
      <c r="C519" s="27" t="s">
        <v>49</v>
      </c>
      <c r="D519" s="27" t="s">
        <v>47</v>
      </c>
      <c r="E519" s="28" t="n">
        <f aca="false">ROUND((SUMIFS(Acerto_Detalhado!$F$2:$F$433,Acerto_Detalhado!$A$2:$A$433,$C519,Acerto_Detalhado!$B$2:$B$433,"Fev",Acerto_Detalhado!$C$2:$C$433,"Proteina"))*(SUMIFS(Acerto_Detalhado!$I$2:$I$433,Acerto_Detalhado!$A$2:$A$433,$D519,Acerto_Detalhado!$B$2:$B$433,"Fev",Acerto_Detalhado!$C$2:$C$433,"Proteina")),2)</f>
        <v>0</v>
      </c>
    </row>
    <row r="520" customFormat="false" ht="15" hidden="false" customHeight="false" outlineLevel="0" collapsed="false">
      <c r="A520" s="27" t="s">
        <v>112</v>
      </c>
      <c r="B520" s="27" t="s">
        <v>109</v>
      </c>
      <c r="C520" s="27" t="s">
        <v>49</v>
      </c>
      <c r="D520" s="27" t="s">
        <v>48</v>
      </c>
      <c r="E520" s="28" t="n">
        <f aca="false">ROUND((SUMIFS(Acerto_Detalhado!$F$2:$F$433,Acerto_Detalhado!$A$2:$A$433,$C520,Acerto_Detalhado!$B$2:$B$433,"Fev",Acerto_Detalhado!$C$2:$C$433,"Proteina"))*(SUMIFS(Acerto_Detalhado!$I$2:$I$433,Acerto_Detalhado!$A$2:$A$433,$D520,Acerto_Detalhado!$B$2:$B$433,"Fev",Acerto_Detalhado!$C$2:$C$433,"Proteina")),2)</f>
        <v>0</v>
      </c>
    </row>
    <row r="521" customFormat="false" ht="15" hidden="false" customHeight="false" outlineLevel="0" collapsed="false">
      <c r="A521" s="27" t="s">
        <v>112</v>
      </c>
      <c r="B521" s="27" t="s">
        <v>109</v>
      </c>
      <c r="C521" s="27" t="s">
        <v>49</v>
      </c>
      <c r="D521" s="27" t="s">
        <v>50</v>
      </c>
      <c r="E521" s="28" t="n">
        <f aca="false">ROUND((SUMIFS(Acerto_Detalhado!$F$2:$F$433,Acerto_Detalhado!$A$2:$A$433,$C521,Acerto_Detalhado!$B$2:$B$433,"Fev",Acerto_Detalhado!$C$2:$C$433,"Proteina"))*(SUMIFS(Acerto_Detalhado!$I$2:$I$433,Acerto_Detalhado!$A$2:$A$433,$D521,Acerto_Detalhado!$B$2:$B$433,"Fev",Acerto_Detalhado!$C$2:$C$433,"Proteina")),2)</f>
        <v>0</v>
      </c>
    </row>
    <row r="522" customFormat="false" ht="15" hidden="false" customHeight="false" outlineLevel="0" collapsed="false">
      <c r="A522" s="27" t="s">
        <v>112</v>
      </c>
      <c r="B522" s="27" t="s">
        <v>109</v>
      </c>
      <c r="C522" s="27" t="s">
        <v>50</v>
      </c>
      <c r="D522" s="27" t="s">
        <v>39</v>
      </c>
      <c r="E522" s="28" t="n">
        <f aca="false">ROUND((SUMIFS(Acerto_Detalhado!$F$2:$F$433,Acerto_Detalhado!$A$2:$A$433,$C522,Acerto_Detalhado!$B$2:$B$433,"Fev",Acerto_Detalhado!$C$2:$C$433,"Proteina"))*(SUMIFS(Acerto_Detalhado!$I$2:$I$433,Acerto_Detalhado!$A$2:$A$433,$D522,Acerto_Detalhado!$B$2:$B$433,"Fev",Acerto_Detalhado!$C$2:$C$433,"Proteina")),2)</f>
        <v>0</v>
      </c>
    </row>
    <row r="523" customFormat="false" ht="15" hidden="false" customHeight="false" outlineLevel="0" collapsed="false">
      <c r="A523" s="27" t="s">
        <v>112</v>
      </c>
      <c r="B523" s="27" t="s">
        <v>109</v>
      </c>
      <c r="C523" s="27" t="s">
        <v>50</v>
      </c>
      <c r="D523" s="27" t="s">
        <v>40</v>
      </c>
      <c r="E523" s="28" t="n">
        <f aca="false">ROUND((SUMIFS(Acerto_Detalhado!$F$2:$F$433,Acerto_Detalhado!$A$2:$A$433,$C523,Acerto_Detalhado!$B$2:$B$433,"Fev",Acerto_Detalhado!$C$2:$C$433,"Proteina"))*(SUMIFS(Acerto_Detalhado!$I$2:$I$433,Acerto_Detalhado!$A$2:$A$433,$D523,Acerto_Detalhado!$B$2:$B$433,"Fev",Acerto_Detalhado!$C$2:$C$433,"Proteina")),2)</f>
        <v>0</v>
      </c>
    </row>
    <row r="524" customFormat="false" ht="15" hidden="false" customHeight="false" outlineLevel="0" collapsed="false">
      <c r="A524" s="27" t="s">
        <v>112</v>
      </c>
      <c r="B524" s="27" t="s">
        <v>109</v>
      </c>
      <c r="C524" s="27" t="s">
        <v>50</v>
      </c>
      <c r="D524" s="27" t="s">
        <v>41</v>
      </c>
      <c r="E524" s="28" t="n">
        <f aca="false">ROUND((SUMIFS(Acerto_Detalhado!$F$2:$F$433,Acerto_Detalhado!$A$2:$A$433,$C524,Acerto_Detalhado!$B$2:$B$433,"Fev",Acerto_Detalhado!$C$2:$C$433,"Proteina"))*(SUMIFS(Acerto_Detalhado!$I$2:$I$433,Acerto_Detalhado!$A$2:$A$433,$D524,Acerto_Detalhado!$B$2:$B$433,"Fev",Acerto_Detalhado!$C$2:$C$433,"Proteina")),2)</f>
        <v>0</v>
      </c>
    </row>
    <row r="525" customFormat="false" ht="15" hidden="false" customHeight="false" outlineLevel="0" collapsed="false">
      <c r="A525" s="27" t="s">
        <v>112</v>
      </c>
      <c r="B525" s="27" t="s">
        <v>109</v>
      </c>
      <c r="C525" s="27" t="s">
        <v>50</v>
      </c>
      <c r="D525" s="27" t="s">
        <v>42</v>
      </c>
      <c r="E525" s="28" t="n">
        <f aca="false">ROUND((SUMIFS(Acerto_Detalhado!$F$2:$F$433,Acerto_Detalhado!$A$2:$A$433,$C525,Acerto_Detalhado!$B$2:$B$433,"Fev",Acerto_Detalhado!$C$2:$C$433,"Proteina"))*(SUMIFS(Acerto_Detalhado!$I$2:$I$433,Acerto_Detalhado!$A$2:$A$433,$D525,Acerto_Detalhado!$B$2:$B$433,"Fev",Acerto_Detalhado!$C$2:$C$433,"Proteina")),2)</f>
        <v>0</v>
      </c>
    </row>
    <row r="526" customFormat="false" ht="15" hidden="false" customHeight="false" outlineLevel="0" collapsed="false">
      <c r="A526" s="27" t="s">
        <v>112</v>
      </c>
      <c r="B526" s="27" t="s">
        <v>109</v>
      </c>
      <c r="C526" s="27" t="s">
        <v>50</v>
      </c>
      <c r="D526" s="27" t="s">
        <v>43</v>
      </c>
      <c r="E526" s="28" t="n">
        <f aca="false">ROUND((SUMIFS(Acerto_Detalhado!$F$2:$F$433,Acerto_Detalhado!$A$2:$A$433,$C526,Acerto_Detalhado!$B$2:$B$433,"Fev",Acerto_Detalhado!$C$2:$C$433,"Proteina"))*(SUMIFS(Acerto_Detalhado!$I$2:$I$433,Acerto_Detalhado!$A$2:$A$433,$D526,Acerto_Detalhado!$B$2:$B$433,"Fev",Acerto_Detalhado!$C$2:$C$433,"Proteina")),2)</f>
        <v>0</v>
      </c>
    </row>
    <row r="527" customFormat="false" ht="15" hidden="false" customHeight="false" outlineLevel="0" collapsed="false">
      <c r="A527" s="27" t="s">
        <v>112</v>
      </c>
      <c r="B527" s="27" t="s">
        <v>109</v>
      </c>
      <c r="C527" s="27" t="s">
        <v>50</v>
      </c>
      <c r="D527" s="27" t="s">
        <v>44</v>
      </c>
      <c r="E527" s="28" t="n">
        <f aca="false">ROUND((SUMIFS(Acerto_Detalhado!$F$2:$F$433,Acerto_Detalhado!$A$2:$A$433,$C527,Acerto_Detalhado!$B$2:$B$433,"Fev",Acerto_Detalhado!$C$2:$C$433,"Proteina"))*(SUMIFS(Acerto_Detalhado!$I$2:$I$433,Acerto_Detalhado!$A$2:$A$433,$D527,Acerto_Detalhado!$B$2:$B$433,"Fev",Acerto_Detalhado!$C$2:$C$433,"Proteina")),2)</f>
        <v>0</v>
      </c>
    </row>
    <row r="528" customFormat="false" ht="15" hidden="false" customHeight="false" outlineLevel="0" collapsed="false">
      <c r="A528" s="27" t="s">
        <v>112</v>
      </c>
      <c r="B528" s="27" t="s">
        <v>109</v>
      </c>
      <c r="C528" s="27" t="s">
        <v>50</v>
      </c>
      <c r="D528" s="27" t="s">
        <v>45</v>
      </c>
      <c r="E528" s="28" t="n">
        <f aca="false">ROUND((SUMIFS(Acerto_Detalhado!$F$2:$F$433,Acerto_Detalhado!$A$2:$A$433,$C528,Acerto_Detalhado!$B$2:$B$433,"Fev",Acerto_Detalhado!$C$2:$C$433,"Proteina"))*(SUMIFS(Acerto_Detalhado!$I$2:$I$433,Acerto_Detalhado!$A$2:$A$433,$D528,Acerto_Detalhado!$B$2:$B$433,"Fev",Acerto_Detalhado!$C$2:$C$433,"Proteina")),2)</f>
        <v>0</v>
      </c>
    </row>
    <row r="529" customFormat="false" ht="15" hidden="false" customHeight="false" outlineLevel="0" collapsed="false">
      <c r="A529" s="27" t="s">
        <v>112</v>
      </c>
      <c r="B529" s="27" t="s">
        <v>109</v>
      </c>
      <c r="C529" s="27" t="s">
        <v>50</v>
      </c>
      <c r="D529" s="27" t="s">
        <v>46</v>
      </c>
      <c r="E529" s="28" t="n">
        <f aca="false">ROUND((SUMIFS(Acerto_Detalhado!$F$2:$F$433,Acerto_Detalhado!$A$2:$A$433,$C529,Acerto_Detalhado!$B$2:$B$433,"Fev",Acerto_Detalhado!$C$2:$C$433,"Proteina"))*(SUMIFS(Acerto_Detalhado!$I$2:$I$433,Acerto_Detalhado!$A$2:$A$433,$D529,Acerto_Detalhado!$B$2:$B$433,"Fev",Acerto_Detalhado!$C$2:$C$433,"Proteina")),2)</f>
        <v>0</v>
      </c>
    </row>
    <row r="530" customFormat="false" ht="15" hidden="false" customHeight="false" outlineLevel="0" collapsed="false">
      <c r="A530" s="27" t="s">
        <v>112</v>
      </c>
      <c r="B530" s="27" t="s">
        <v>109</v>
      </c>
      <c r="C530" s="27" t="s">
        <v>50</v>
      </c>
      <c r="D530" s="27" t="s">
        <v>47</v>
      </c>
      <c r="E530" s="28" t="n">
        <f aca="false">ROUND((SUMIFS(Acerto_Detalhado!$F$2:$F$433,Acerto_Detalhado!$A$2:$A$433,$C530,Acerto_Detalhado!$B$2:$B$433,"Fev",Acerto_Detalhado!$C$2:$C$433,"Proteina"))*(SUMIFS(Acerto_Detalhado!$I$2:$I$433,Acerto_Detalhado!$A$2:$A$433,$D530,Acerto_Detalhado!$B$2:$B$433,"Fev",Acerto_Detalhado!$C$2:$C$433,"Proteina")),2)</f>
        <v>0</v>
      </c>
    </row>
    <row r="531" customFormat="false" ht="15" hidden="false" customHeight="false" outlineLevel="0" collapsed="false">
      <c r="A531" s="27" t="s">
        <v>112</v>
      </c>
      <c r="B531" s="27" t="s">
        <v>109</v>
      </c>
      <c r="C531" s="27" t="s">
        <v>50</v>
      </c>
      <c r="D531" s="27" t="s">
        <v>48</v>
      </c>
      <c r="E531" s="28" t="n">
        <f aca="false">ROUND((SUMIFS(Acerto_Detalhado!$F$2:$F$433,Acerto_Detalhado!$A$2:$A$433,$C531,Acerto_Detalhado!$B$2:$B$433,"Fev",Acerto_Detalhado!$C$2:$C$433,"Proteina"))*(SUMIFS(Acerto_Detalhado!$I$2:$I$433,Acerto_Detalhado!$A$2:$A$433,$D531,Acerto_Detalhado!$B$2:$B$433,"Fev",Acerto_Detalhado!$C$2:$C$433,"Proteina")),2)</f>
        <v>0</v>
      </c>
    </row>
    <row r="532" customFormat="false" ht="15" hidden="false" customHeight="false" outlineLevel="0" collapsed="false">
      <c r="A532" s="27" t="s">
        <v>112</v>
      </c>
      <c r="B532" s="27" t="s">
        <v>109</v>
      </c>
      <c r="C532" s="27" t="s">
        <v>50</v>
      </c>
      <c r="D532" s="27" t="s">
        <v>49</v>
      </c>
      <c r="E532" s="28" t="n">
        <f aca="false">ROUND((SUMIFS(Acerto_Detalhado!$F$2:$F$433,Acerto_Detalhado!$A$2:$A$433,$C532,Acerto_Detalhado!$B$2:$B$433,"Fev",Acerto_Detalhado!$C$2:$C$433,"Proteina"))*(SUMIFS(Acerto_Detalhado!$I$2:$I$433,Acerto_Detalhado!$A$2:$A$433,$D532,Acerto_Detalhado!$B$2:$B$433,"Fev",Acerto_Detalhado!$C$2:$C$433,"Proteina")),2)</f>
        <v>0</v>
      </c>
    </row>
    <row r="533" customFormat="false" ht="15" hidden="false" customHeight="false" outlineLevel="0" collapsed="false">
      <c r="A533" s="27" t="s">
        <v>112</v>
      </c>
      <c r="B533" s="27" t="s">
        <v>110</v>
      </c>
      <c r="C533" s="27" t="s">
        <v>39</v>
      </c>
      <c r="D533" s="27" t="s">
        <v>40</v>
      </c>
      <c r="E533" s="28" t="n">
        <f aca="false">ROUND((SUMIFS(Acerto_Detalhado!$F$2:$F$433,Acerto_Detalhado!$A$2:$A$433,$C533,Acerto_Detalhado!$B$2:$B$433,"Fev",Acerto_Detalhado!$C$2:$C$433,"Umidade"))*(SUMIFS(Acerto_Detalhado!$I$2:$I$433,Acerto_Detalhado!$A$2:$A$433,$D533,Acerto_Detalhado!$B$2:$B$433,"Fev",Acerto_Detalhado!$C$2:$C$433,"Umidade")),2)</f>
        <v>0</v>
      </c>
    </row>
    <row r="534" customFormat="false" ht="15" hidden="false" customHeight="false" outlineLevel="0" collapsed="false">
      <c r="A534" s="27" t="s">
        <v>112</v>
      </c>
      <c r="B534" s="27" t="s">
        <v>110</v>
      </c>
      <c r="C534" s="27" t="s">
        <v>39</v>
      </c>
      <c r="D534" s="27" t="s">
        <v>41</v>
      </c>
      <c r="E534" s="28" t="n">
        <f aca="false">ROUND((SUMIFS(Acerto_Detalhado!$F$2:$F$433,Acerto_Detalhado!$A$2:$A$433,$C534,Acerto_Detalhado!$B$2:$B$433,"Fev",Acerto_Detalhado!$C$2:$C$433,"Umidade"))*(SUMIFS(Acerto_Detalhado!$I$2:$I$433,Acerto_Detalhado!$A$2:$A$433,$D534,Acerto_Detalhado!$B$2:$B$433,"Fev",Acerto_Detalhado!$C$2:$C$433,"Umidade")),2)</f>
        <v>0</v>
      </c>
    </row>
    <row r="535" customFormat="false" ht="15" hidden="false" customHeight="false" outlineLevel="0" collapsed="false">
      <c r="A535" s="27" t="s">
        <v>112</v>
      </c>
      <c r="B535" s="27" t="s">
        <v>110</v>
      </c>
      <c r="C535" s="27" t="s">
        <v>39</v>
      </c>
      <c r="D535" s="27" t="s">
        <v>42</v>
      </c>
      <c r="E535" s="28" t="n">
        <f aca="false">ROUND((SUMIFS(Acerto_Detalhado!$F$2:$F$433,Acerto_Detalhado!$A$2:$A$433,$C535,Acerto_Detalhado!$B$2:$B$433,"Fev",Acerto_Detalhado!$C$2:$C$433,"Umidade"))*(SUMIFS(Acerto_Detalhado!$I$2:$I$433,Acerto_Detalhado!$A$2:$A$433,$D535,Acerto_Detalhado!$B$2:$B$433,"Fev",Acerto_Detalhado!$C$2:$C$433,"Umidade")),2)</f>
        <v>0</v>
      </c>
    </row>
    <row r="536" customFormat="false" ht="15" hidden="false" customHeight="false" outlineLevel="0" collapsed="false">
      <c r="A536" s="27" t="s">
        <v>112</v>
      </c>
      <c r="B536" s="27" t="s">
        <v>110</v>
      </c>
      <c r="C536" s="27" t="s">
        <v>39</v>
      </c>
      <c r="D536" s="27" t="s">
        <v>43</v>
      </c>
      <c r="E536" s="28" t="n">
        <f aca="false">ROUND((SUMIFS(Acerto_Detalhado!$F$2:$F$433,Acerto_Detalhado!$A$2:$A$433,$C536,Acerto_Detalhado!$B$2:$B$433,"Fev",Acerto_Detalhado!$C$2:$C$433,"Umidade"))*(SUMIFS(Acerto_Detalhado!$I$2:$I$433,Acerto_Detalhado!$A$2:$A$433,$D536,Acerto_Detalhado!$B$2:$B$433,"Fev",Acerto_Detalhado!$C$2:$C$433,"Umidade")),2)</f>
        <v>0</v>
      </c>
    </row>
    <row r="537" customFormat="false" ht="15" hidden="false" customHeight="false" outlineLevel="0" collapsed="false">
      <c r="A537" s="27" t="s">
        <v>112</v>
      </c>
      <c r="B537" s="27" t="s">
        <v>110</v>
      </c>
      <c r="C537" s="27" t="s">
        <v>39</v>
      </c>
      <c r="D537" s="27" t="s">
        <v>44</v>
      </c>
      <c r="E537" s="28" t="n">
        <f aca="false">ROUND((SUMIFS(Acerto_Detalhado!$F$2:$F$433,Acerto_Detalhado!$A$2:$A$433,$C537,Acerto_Detalhado!$B$2:$B$433,"Fev",Acerto_Detalhado!$C$2:$C$433,"Umidade"))*(SUMIFS(Acerto_Detalhado!$I$2:$I$433,Acerto_Detalhado!$A$2:$A$433,$D537,Acerto_Detalhado!$B$2:$B$433,"Fev",Acerto_Detalhado!$C$2:$C$433,"Umidade")),2)</f>
        <v>0</v>
      </c>
    </row>
    <row r="538" customFormat="false" ht="15" hidden="false" customHeight="false" outlineLevel="0" collapsed="false">
      <c r="A538" s="27" t="s">
        <v>112</v>
      </c>
      <c r="B538" s="27" t="s">
        <v>110</v>
      </c>
      <c r="C538" s="27" t="s">
        <v>39</v>
      </c>
      <c r="D538" s="27" t="s">
        <v>45</v>
      </c>
      <c r="E538" s="28" t="n">
        <f aca="false">ROUND((SUMIFS(Acerto_Detalhado!$F$2:$F$433,Acerto_Detalhado!$A$2:$A$433,$C538,Acerto_Detalhado!$B$2:$B$433,"Fev",Acerto_Detalhado!$C$2:$C$433,"Umidade"))*(SUMIFS(Acerto_Detalhado!$I$2:$I$433,Acerto_Detalhado!$A$2:$A$433,$D538,Acerto_Detalhado!$B$2:$B$433,"Fev",Acerto_Detalhado!$C$2:$C$433,"Umidade")),2)</f>
        <v>0</v>
      </c>
    </row>
    <row r="539" customFormat="false" ht="15" hidden="false" customHeight="false" outlineLevel="0" collapsed="false">
      <c r="A539" s="27" t="s">
        <v>112</v>
      </c>
      <c r="B539" s="27" t="s">
        <v>110</v>
      </c>
      <c r="C539" s="27" t="s">
        <v>39</v>
      </c>
      <c r="D539" s="27" t="s">
        <v>46</v>
      </c>
      <c r="E539" s="28" t="n">
        <f aca="false">ROUND((SUMIFS(Acerto_Detalhado!$F$2:$F$433,Acerto_Detalhado!$A$2:$A$433,$C539,Acerto_Detalhado!$B$2:$B$433,"Fev",Acerto_Detalhado!$C$2:$C$433,"Umidade"))*(SUMIFS(Acerto_Detalhado!$I$2:$I$433,Acerto_Detalhado!$A$2:$A$433,$D539,Acerto_Detalhado!$B$2:$B$433,"Fev",Acerto_Detalhado!$C$2:$C$433,"Umidade")),2)</f>
        <v>0</v>
      </c>
    </row>
    <row r="540" customFormat="false" ht="15" hidden="false" customHeight="false" outlineLevel="0" collapsed="false">
      <c r="A540" s="27" t="s">
        <v>112</v>
      </c>
      <c r="B540" s="27" t="s">
        <v>110</v>
      </c>
      <c r="C540" s="27" t="s">
        <v>39</v>
      </c>
      <c r="D540" s="27" t="s">
        <v>47</v>
      </c>
      <c r="E540" s="28" t="n">
        <f aca="false">ROUND((SUMIFS(Acerto_Detalhado!$F$2:$F$433,Acerto_Detalhado!$A$2:$A$433,$C540,Acerto_Detalhado!$B$2:$B$433,"Fev",Acerto_Detalhado!$C$2:$C$433,"Umidade"))*(SUMIFS(Acerto_Detalhado!$I$2:$I$433,Acerto_Detalhado!$A$2:$A$433,$D540,Acerto_Detalhado!$B$2:$B$433,"Fev",Acerto_Detalhado!$C$2:$C$433,"Umidade")),2)</f>
        <v>0</v>
      </c>
    </row>
    <row r="541" customFormat="false" ht="15" hidden="false" customHeight="false" outlineLevel="0" collapsed="false">
      <c r="A541" s="27" t="s">
        <v>112</v>
      </c>
      <c r="B541" s="27" t="s">
        <v>110</v>
      </c>
      <c r="C541" s="27" t="s">
        <v>39</v>
      </c>
      <c r="D541" s="27" t="s">
        <v>48</v>
      </c>
      <c r="E541" s="28" t="n">
        <f aca="false">ROUND((SUMIFS(Acerto_Detalhado!$F$2:$F$433,Acerto_Detalhado!$A$2:$A$433,$C541,Acerto_Detalhado!$B$2:$B$433,"Fev",Acerto_Detalhado!$C$2:$C$433,"Umidade"))*(SUMIFS(Acerto_Detalhado!$I$2:$I$433,Acerto_Detalhado!$A$2:$A$433,$D541,Acerto_Detalhado!$B$2:$B$433,"Fev",Acerto_Detalhado!$C$2:$C$433,"Umidade")),2)</f>
        <v>0</v>
      </c>
    </row>
    <row r="542" customFormat="false" ht="15" hidden="false" customHeight="false" outlineLevel="0" collapsed="false">
      <c r="A542" s="27" t="s">
        <v>112</v>
      </c>
      <c r="B542" s="27" t="s">
        <v>110</v>
      </c>
      <c r="C542" s="27" t="s">
        <v>39</v>
      </c>
      <c r="D542" s="27" t="s">
        <v>49</v>
      </c>
      <c r="E542" s="28" t="n">
        <f aca="false">ROUND((SUMIFS(Acerto_Detalhado!$F$2:$F$433,Acerto_Detalhado!$A$2:$A$433,$C542,Acerto_Detalhado!$B$2:$B$433,"Fev",Acerto_Detalhado!$C$2:$C$433,"Umidade"))*(SUMIFS(Acerto_Detalhado!$I$2:$I$433,Acerto_Detalhado!$A$2:$A$433,$D542,Acerto_Detalhado!$B$2:$B$433,"Fev",Acerto_Detalhado!$C$2:$C$433,"Umidade")),2)</f>
        <v>0</v>
      </c>
    </row>
    <row r="543" customFormat="false" ht="15" hidden="false" customHeight="false" outlineLevel="0" collapsed="false">
      <c r="A543" s="27" t="s">
        <v>112</v>
      </c>
      <c r="B543" s="27" t="s">
        <v>110</v>
      </c>
      <c r="C543" s="27" t="s">
        <v>39</v>
      </c>
      <c r="D543" s="27" t="s">
        <v>50</v>
      </c>
      <c r="E543" s="28" t="n">
        <f aca="false">ROUND((SUMIFS(Acerto_Detalhado!$F$2:$F$433,Acerto_Detalhado!$A$2:$A$433,$C543,Acerto_Detalhado!$B$2:$B$433,"Fev",Acerto_Detalhado!$C$2:$C$433,"Umidade"))*(SUMIFS(Acerto_Detalhado!$I$2:$I$433,Acerto_Detalhado!$A$2:$A$433,$D543,Acerto_Detalhado!$B$2:$B$433,"Fev",Acerto_Detalhado!$C$2:$C$433,"Umidade")),2)</f>
        <v>0</v>
      </c>
    </row>
    <row r="544" customFormat="false" ht="15" hidden="false" customHeight="false" outlineLevel="0" collapsed="false">
      <c r="A544" s="27" t="s">
        <v>112</v>
      </c>
      <c r="B544" s="27" t="s">
        <v>110</v>
      </c>
      <c r="C544" s="27" t="s">
        <v>40</v>
      </c>
      <c r="D544" s="27" t="s">
        <v>39</v>
      </c>
      <c r="E544" s="28" t="n">
        <f aca="false">ROUND((SUMIFS(Acerto_Detalhado!$F$2:$F$433,Acerto_Detalhado!$A$2:$A$433,$C544,Acerto_Detalhado!$B$2:$B$433,"Fev",Acerto_Detalhado!$C$2:$C$433,"Umidade"))*(SUMIFS(Acerto_Detalhado!$I$2:$I$433,Acerto_Detalhado!$A$2:$A$433,$D544,Acerto_Detalhado!$B$2:$B$433,"Fev",Acerto_Detalhado!$C$2:$C$433,"Umidade")),2)</f>
        <v>0</v>
      </c>
    </row>
    <row r="545" customFormat="false" ht="15" hidden="false" customHeight="false" outlineLevel="0" collapsed="false">
      <c r="A545" s="27" t="s">
        <v>112</v>
      </c>
      <c r="B545" s="27" t="s">
        <v>110</v>
      </c>
      <c r="C545" s="27" t="s">
        <v>40</v>
      </c>
      <c r="D545" s="27" t="s">
        <v>41</v>
      </c>
      <c r="E545" s="28" t="n">
        <f aca="false">ROUND((SUMIFS(Acerto_Detalhado!$F$2:$F$433,Acerto_Detalhado!$A$2:$A$433,$C545,Acerto_Detalhado!$B$2:$B$433,"Fev",Acerto_Detalhado!$C$2:$C$433,"Umidade"))*(SUMIFS(Acerto_Detalhado!$I$2:$I$433,Acerto_Detalhado!$A$2:$A$433,$D545,Acerto_Detalhado!$B$2:$B$433,"Fev",Acerto_Detalhado!$C$2:$C$433,"Umidade")),2)</f>
        <v>0</v>
      </c>
    </row>
    <row r="546" customFormat="false" ht="15" hidden="false" customHeight="false" outlineLevel="0" collapsed="false">
      <c r="A546" s="27" t="s">
        <v>112</v>
      </c>
      <c r="B546" s="27" t="s">
        <v>110</v>
      </c>
      <c r="C546" s="27" t="s">
        <v>40</v>
      </c>
      <c r="D546" s="27" t="s">
        <v>42</v>
      </c>
      <c r="E546" s="28" t="n">
        <f aca="false">ROUND((SUMIFS(Acerto_Detalhado!$F$2:$F$433,Acerto_Detalhado!$A$2:$A$433,$C546,Acerto_Detalhado!$B$2:$B$433,"Fev",Acerto_Detalhado!$C$2:$C$433,"Umidade"))*(SUMIFS(Acerto_Detalhado!$I$2:$I$433,Acerto_Detalhado!$A$2:$A$433,$D546,Acerto_Detalhado!$B$2:$B$433,"Fev",Acerto_Detalhado!$C$2:$C$433,"Umidade")),2)</f>
        <v>0</v>
      </c>
    </row>
    <row r="547" customFormat="false" ht="15" hidden="false" customHeight="false" outlineLevel="0" collapsed="false">
      <c r="A547" s="27" t="s">
        <v>112</v>
      </c>
      <c r="B547" s="27" t="s">
        <v>110</v>
      </c>
      <c r="C547" s="27" t="s">
        <v>40</v>
      </c>
      <c r="D547" s="27" t="s">
        <v>43</v>
      </c>
      <c r="E547" s="28" t="n">
        <f aca="false">ROUND((SUMIFS(Acerto_Detalhado!$F$2:$F$433,Acerto_Detalhado!$A$2:$A$433,$C547,Acerto_Detalhado!$B$2:$B$433,"Fev",Acerto_Detalhado!$C$2:$C$433,"Umidade"))*(SUMIFS(Acerto_Detalhado!$I$2:$I$433,Acerto_Detalhado!$A$2:$A$433,$D547,Acerto_Detalhado!$B$2:$B$433,"Fev",Acerto_Detalhado!$C$2:$C$433,"Umidade")),2)</f>
        <v>0</v>
      </c>
    </row>
    <row r="548" customFormat="false" ht="15" hidden="false" customHeight="false" outlineLevel="0" collapsed="false">
      <c r="A548" s="27" t="s">
        <v>112</v>
      </c>
      <c r="B548" s="27" t="s">
        <v>110</v>
      </c>
      <c r="C548" s="27" t="s">
        <v>40</v>
      </c>
      <c r="D548" s="27" t="s">
        <v>44</v>
      </c>
      <c r="E548" s="28" t="n">
        <f aca="false">ROUND((SUMIFS(Acerto_Detalhado!$F$2:$F$433,Acerto_Detalhado!$A$2:$A$433,$C548,Acerto_Detalhado!$B$2:$B$433,"Fev",Acerto_Detalhado!$C$2:$C$433,"Umidade"))*(SUMIFS(Acerto_Detalhado!$I$2:$I$433,Acerto_Detalhado!$A$2:$A$433,$D548,Acerto_Detalhado!$B$2:$B$433,"Fev",Acerto_Detalhado!$C$2:$C$433,"Umidade")),2)</f>
        <v>0</v>
      </c>
    </row>
    <row r="549" customFormat="false" ht="15" hidden="false" customHeight="false" outlineLevel="0" collapsed="false">
      <c r="A549" s="27" t="s">
        <v>112</v>
      </c>
      <c r="B549" s="27" t="s">
        <v>110</v>
      </c>
      <c r="C549" s="27" t="s">
        <v>40</v>
      </c>
      <c r="D549" s="27" t="s">
        <v>45</v>
      </c>
      <c r="E549" s="28" t="n">
        <f aca="false">ROUND((SUMIFS(Acerto_Detalhado!$F$2:$F$433,Acerto_Detalhado!$A$2:$A$433,$C549,Acerto_Detalhado!$B$2:$B$433,"Fev",Acerto_Detalhado!$C$2:$C$433,"Umidade"))*(SUMIFS(Acerto_Detalhado!$I$2:$I$433,Acerto_Detalhado!$A$2:$A$433,$D549,Acerto_Detalhado!$B$2:$B$433,"Fev",Acerto_Detalhado!$C$2:$C$433,"Umidade")),2)</f>
        <v>0</v>
      </c>
    </row>
    <row r="550" customFormat="false" ht="15" hidden="false" customHeight="false" outlineLevel="0" collapsed="false">
      <c r="A550" s="27" t="s">
        <v>112</v>
      </c>
      <c r="B550" s="27" t="s">
        <v>110</v>
      </c>
      <c r="C550" s="27" t="s">
        <v>40</v>
      </c>
      <c r="D550" s="27" t="s">
        <v>46</v>
      </c>
      <c r="E550" s="28" t="n">
        <f aca="false">ROUND((SUMIFS(Acerto_Detalhado!$F$2:$F$433,Acerto_Detalhado!$A$2:$A$433,$C550,Acerto_Detalhado!$B$2:$B$433,"Fev",Acerto_Detalhado!$C$2:$C$433,"Umidade"))*(SUMIFS(Acerto_Detalhado!$I$2:$I$433,Acerto_Detalhado!$A$2:$A$433,$D550,Acerto_Detalhado!$B$2:$B$433,"Fev",Acerto_Detalhado!$C$2:$C$433,"Umidade")),2)</f>
        <v>0</v>
      </c>
    </row>
    <row r="551" customFormat="false" ht="15" hidden="false" customHeight="false" outlineLevel="0" collapsed="false">
      <c r="A551" s="27" t="s">
        <v>112</v>
      </c>
      <c r="B551" s="27" t="s">
        <v>110</v>
      </c>
      <c r="C551" s="27" t="s">
        <v>40</v>
      </c>
      <c r="D551" s="27" t="s">
        <v>47</v>
      </c>
      <c r="E551" s="28" t="n">
        <f aca="false">ROUND((SUMIFS(Acerto_Detalhado!$F$2:$F$433,Acerto_Detalhado!$A$2:$A$433,$C551,Acerto_Detalhado!$B$2:$B$433,"Fev",Acerto_Detalhado!$C$2:$C$433,"Umidade"))*(SUMIFS(Acerto_Detalhado!$I$2:$I$433,Acerto_Detalhado!$A$2:$A$433,$D551,Acerto_Detalhado!$B$2:$B$433,"Fev",Acerto_Detalhado!$C$2:$C$433,"Umidade")),2)</f>
        <v>0</v>
      </c>
    </row>
    <row r="552" customFormat="false" ht="15" hidden="false" customHeight="false" outlineLevel="0" collapsed="false">
      <c r="A552" s="27" t="s">
        <v>112</v>
      </c>
      <c r="B552" s="27" t="s">
        <v>110</v>
      </c>
      <c r="C552" s="27" t="s">
        <v>40</v>
      </c>
      <c r="D552" s="27" t="s">
        <v>48</v>
      </c>
      <c r="E552" s="28" t="n">
        <f aca="false">ROUND((SUMIFS(Acerto_Detalhado!$F$2:$F$433,Acerto_Detalhado!$A$2:$A$433,$C552,Acerto_Detalhado!$B$2:$B$433,"Fev",Acerto_Detalhado!$C$2:$C$433,"Umidade"))*(SUMIFS(Acerto_Detalhado!$I$2:$I$433,Acerto_Detalhado!$A$2:$A$433,$D552,Acerto_Detalhado!$B$2:$B$433,"Fev",Acerto_Detalhado!$C$2:$C$433,"Umidade")),2)</f>
        <v>0</v>
      </c>
    </row>
    <row r="553" customFormat="false" ht="15" hidden="false" customHeight="false" outlineLevel="0" collapsed="false">
      <c r="A553" s="27" t="s">
        <v>112</v>
      </c>
      <c r="B553" s="27" t="s">
        <v>110</v>
      </c>
      <c r="C553" s="27" t="s">
        <v>40</v>
      </c>
      <c r="D553" s="27" t="s">
        <v>49</v>
      </c>
      <c r="E553" s="28" t="n">
        <f aca="false">ROUND((SUMIFS(Acerto_Detalhado!$F$2:$F$433,Acerto_Detalhado!$A$2:$A$433,$C553,Acerto_Detalhado!$B$2:$B$433,"Fev",Acerto_Detalhado!$C$2:$C$433,"Umidade"))*(SUMIFS(Acerto_Detalhado!$I$2:$I$433,Acerto_Detalhado!$A$2:$A$433,$D553,Acerto_Detalhado!$B$2:$B$433,"Fev",Acerto_Detalhado!$C$2:$C$433,"Umidade")),2)</f>
        <v>0</v>
      </c>
    </row>
    <row r="554" customFormat="false" ht="15" hidden="false" customHeight="false" outlineLevel="0" collapsed="false">
      <c r="A554" s="27" t="s">
        <v>112</v>
      </c>
      <c r="B554" s="27" t="s">
        <v>110</v>
      </c>
      <c r="C554" s="27" t="s">
        <v>40</v>
      </c>
      <c r="D554" s="27" t="s">
        <v>50</v>
      </c>
      <c r="E554" s="28" t="n">
        <f aca="false">ROUND((SUMIFS(Acerto_Detalhado!$F$2:$F$433,Acerto_Detalhado!$A$2:$A$433,$C554,Acerto_Detalhado!$B$2:$B$433,"Fev",Acerto_Detalhado!$C$2:$C$433,"Umidade"))*(SUMIFS(Acerto_Detalhado!$I$2:$I$433,Acerto_Detalhado!$A$2:$A$433,$D554,Acerto_Detalhado!$B$2:$B$433,"Fev",Acerto_Detalhado!$C$2:$C$433,"Umidade")),2)</f>
        <v>0</v>
      </c>
    </row>
    <row r="555" customFormat="false" ht="15" hidden="false" customHeight="false" outlineLevel="0" collapsed="false">
      <c r="A555" s="27" t="s">
        <v>112</v>
      </c>
      <c r="B555" s="27" t="s">
        <v>110</v>
      </c>
      <c r="C555" s="27" t="s">
        <v>41</v>
      </c>
      <c r="D555" s="27" t="s">
        <v>39</v>
      </c>
      <c r="E555" s="28" t="n">
        <f aca="false">ROUND((SUMIFS(Acerto_Detalhado!$F$2:$F$433,Acerto_Detalhado!$A$2:$A$433,$C555,Acerto_Detalhado!$B$2:$B$433,"Fev",Acerto_Detalhado!$C$2:$C$433,"Umidade"))*(SUMIFS(Acerto_Detalhado!$I$2:$I$433,Acerto_Detalhado!$A$2:$A$433,$D555,Acerto_Detalhado!$B$2:$B$433,"Fev",Acerto_Detalhado!$C$2:$C$433,"Umidade")),2)</f>
        <v>0</v>
      </c>
    </row>
    <row r="556" customFormat="false" ht="15" hidden="false" customHeight="false" outlineLevel="0" collapsed="false">
      <c r="A556" s="27" t="s">
        <v>112</v>
      </c>
      <c r="B556" s="27" t="s">
        <v>110</v>
      </c>
      <c r="C556" s="27" t="s">
        <v>41</v>
      </c>
      <c r="D556" s="27" t="s">
        <v>40</v>
      </c>
      <c r="E556" s="28" t="n">
        <f aca="false">ROUND((SUMIFS(Acerto_Detalhado!$F$2:$F$433,Acerto_Detalhado!$A$2:$A$433,$C556,Acerto_Detalhado!$B$2:$B$433,"Fev",Acerto_Detalhado!$C$2:$C$433,"Umidade"))*(SUMIFS(Acerto_Detalhado!$I$2:$I$433,Acerto_Detalhado!$A$2:$A$433,$D556,Acerto_Detalhado!$B$2:$B$433,"Fev",Acerto_Detalhado!$C$2:$C$433,"Umidade")),2)</f>
        <v>852.46</v>
      </c>
    </row>
    <row r="557" customFormat="false" ht="15" hidden="false" customHeight="false" outlineLevel="0" collapsed="false">
      <c r="A557" s="27" t="s">
        <v>112</v>
      </c>
      <c r="B557" s="27" t="s">
        <v>110</v>
      </c>
      <c r="C557" s="27" t="s">
        <v>41</v>
      </c>
      <c r="D557" s="27" t="s">
        <v>42</v>
      </c>
      <c r="E557" s="28" t="n">
        <f aca="false">ROUND((SUMIFS(Acerto_Detalhado!$F$2:$F$433,Acerto_Detalhado!$A$2:$A$433,$C557,Acerto_Detalhado!$B$2:$B$433,"Fev",Acerto_Detalhado!$C$2:$C$433,"Umidade"))*(SUMIFS(Acerto_Detalhado!$I$2:$I$433,Acerto_Detalhado!$A$2:$A$433,$D557,Acerto_Detalhado!$B$2:$B$433,"Fev",Acerto_Detalhado!$C$2:$C$433,"Umidade")),2)</f>
        <v>1756.49</v>
      </c>
    </row>
    <row r="558" customFormat="false" ht="15" hidden="false" customHeight="false" outlineLevel="0" collapsed="false">
      <c r="A558" s="27" t="s">
        <v>112</v>
      </c>
      <c r="B558" s="27" t="s">
        <v>110</v>
      </c>
      <c r="C558" s="27" t="s">
        <v>41</v>
      </c>
      <c r="D558" s="27" t="s">
        <v>43</v>
      </c>
      <c r="E558" s="28" t="n">
        <f aca="false">ROUND((SUMIFS(Acerto_Detalhado!$F$2:$F$433,Acerto_Detalhado!$A$2:$A$433,$C558,Acerto_Detalhado!$B$2:$B$433,"Fev",Acerto_Detalhado!$C$2:$C$433,"Umidade"))*(SUMIFS(Acerto_Detalhado!$I$2:$I$433,Acerto_Detalhado!$A$2:$A$433,$D558,Acerto_Detalhado!$B$2:$B$433,"Fev",Acerto_Detalhado!$C$2:$C$433,"Umidade")),2)</f>
        <v>1493.94</v>
      </c>
    </row>
    <row r="559" customFormat="false" ht="15" hidden="false" customHeight="false" outlineLevel="0" collapsed="false">
      <c r="A559" s="27" t="s">
        <v>112</v>
      </c>
      <c r="B559" s="27" t="s">
        <v>110</v>
      </c>
      <c r="C559" s="27" t="s">
        <v>41</v>
      </c>
      <c r="D559" s="27" t="s">
        <v>44</v>
      </c>
      <c r="E559" s="28" t="n">
        <f aca="false">ROUND((SUMIFS(Acerto_Detalhado!$F$2:$F$433,Acerto_Detalhado!$A$2:$A$433,$C559,Acerto_Detalhado!$B$2:$B$433,"Fev",Acerto_Detalhado!$C$2:$C$433,"Umidade"))*(SUMIFS(Acerto_Detalhado!$I$2:$I$433,Acerto_Detalhado!$A$2:$A$433,$D559,Acerto_Detalhado!$B$2:$B$433,"Fev",Acerto_Detalhado!$C$2:$C$433,"Umidade")),2)</f>
        <v>1175.64</v>
      </c>
    </row>
    <row r="560" customFormat="false" ht="15" hidden="false" customHeight="false" outlineLevel="0" collapsed="false">
      <c r="A560" s="27" t="s">
        <v>112</v>
      </c>
      <c r="B560" s="27" t="s">
        <v>110</v>
      </c>
      <c r="C560" s="27" t="s">
        <v>41</v>
      </c>
      <c r="D560" s="27" t="s">
        <v>45</v>
      </c>
      <c r="E560" s="28" t="n">
        <f aca="false">ROUND((SUMIFS(Acerto_Detalhado!$F$2:$F$433,Acerto_Detalhado!$A$2:$A$433,$C560,Acerto_Detalhado!$B$2:$B$433,"Fev",Acerto_Detalhado!$C$2:$C$433,"Umidade"))*(SUMIFS(Acerto_Detalhado!$I$2:$I$433,Acerto_Detalhado!$A$2:$A$433,$D560,Acerto_Detalhado!$B$2:$B$433,"Fev",Acerto_Detalhado!$C$2:$C$433,"Umidade")),2)</f>
        <v>2853.86</v>
      </c>
    </row>
    <row r="561" customFormat="false" ht="15" hidden="false" customHeight="false" outlineLevel="0" collapsed="false">
      <c r="A561" s="27" t="s">
        <v>112</v>
      </c>
      <c r="B561" s="27" t="s">
        <v>110</v>
      </c>
      <c r="C561" s="27" t="s">
        <v>41</v>
      </c>
      <c r="D561" s="27" t="s">
        <v>46</v>
      </c>
      <c r="E561" s="28" t="n">
        <f aca="false">ROUND((SUMIFS(Acerto_Detalhado!$F$2:$F$433,Acerto_Detalhado!$A$2:$A$433,$C561,Acerto_Detalhado!$B$2:$B$433,"Fev",Acerto_Detalhado!$C$2:$C$433,"Umidade"))*(SUMIFS(Acerto_Detalhado!$I$2:$I$433,Acerto_Detalhado!$A$2:$A$433,$D561,Acerto_Detalhado!$B$2:$B$433,"Fev",Acerto_Detalhado!$C$2:$C$433,"Umidade")),2)</f>
        <v>0</v>
      </c>
    </row>
    <row r="562" customFormat="false" ht="15" hidden="false" customHeight="false" outlineLevel="0" collapsed="false">
      <c r="A562" s="27" t="s">
        <v>112</v>
      </c>
      <c r="B562" s="27" t="s">
        <v>110</v>
      </c>
      <c r="C562" s="27" t="s">
        <v>41</v>
      </c>
      <c r="D562" s="27" t="s">
        <v>47</v>
      </c>
      <c r="E562" s="28" t="n">
        <f aca="false">ROUND((SUMIFS(Acerto_Detalhado!$F$2:$F$433,Acerto_Detalhado!$A$2:$A$433,$C562,Acerto_Detalhado!$B$2:$B$433,"Fev",Acerto_Detalhado!$C$2:$C$433,"Umidade"))*(SUMIFS(Acerto_Detalhado!$I$2:$I$433,Acerto_Detalhado!$A$2:$A$433,$D562,Acerto_Detalhado!$B$2:$B$433,"Fev",Acerto_Detalhado!$C$2:$C$433,"Umidade")),2)</f>
        <v>0</v>
      </c>
    </row>
    <row r="563" customFormat="false" ht="15" hidden="false" customHeight="false" outlineLevel="0" collapsed="false">
      <c r="A563" s="27" t="s">
        <v>112</v>
      </c>
      <c r="B563" s="27" t="s">
        <v>110</v>
      </c>
      <c r="C563" s="27" t="s">
        <v>41</v>
      </c>
      <c r="D563" s="27" t="s">
        <v>48</v>
      </c>
      <c r="E563" s="28" t="n">
        <f aca="false">ROUND((SUMIFS(Acerto_Detalhado!$F$2:$F$433,Acerto_Detalhado!$A$2:$A$433,$C563,Acerto_Detalhado!$B$2:$B$433,"Fev",Acerto_Detalhado!$C$2:$C$433,"Umidade"))*(SUMIFS(Acerto_Detalhado!$I$2:$I$433,Acerto_Detalhado!$A$2:$A$433,$D563,Acerto_Detalhado!$B$2:$B$433,"Fev",Acerto_Detalhado!$C$2:$C$433,"Umidade")),2)</f>
        <v>0</v>
      </c>
    </row>
    <row r="564" customFormat="false" ht="15" hidden="false" customHeight="false" outlineLevel="0" collapsed="false">
      <c r="A564" s="27" t="s">
        <v>112</v>
      </c>
      <c r="B564" s="27" t="s">
        <v>110</v>
      </c>
      <c r="C564" s="27" t="s">
        <v>41</v>
      </c>
      <c r="D564" s="27" t="s">
        <v>49</v>
      </c>
      <c r="E564" s="28" t="n">
        <f aca="false">ROUND((SUMIFS(Acerto_Detalhado!$F$2:$F$433,Acerto_Detalhado!$A$2:$A$433,$C564,Acerto_Detalhado!$B$2:$B$433,"Fev",Acerto_Detalhado!$C$2:$C$433,"Umidade"))*(SUMIFS(Acerto_Detalhado!$I$2:$I$433,Acerto_Detalhado!$A$2:$A$433,$D564,Acerto_Detalhado!$B$2:$B$433,"Fev",Acerto_Detalhado!$C$2:$C$433,"Umidade")),2)</f>
        <v>0</v>
      </c>
    </row>
    <row r="565" customFormat="false" ht="15" hidden="false" customHeight="false" outlineLevel="0" collapsed="false">
      <c r="A565" s="27" t="s">
        <v>112</v>
      </c>
      <c r="B565" s="27" t="s">
        <v>110</v>
      </c>
      <c r="C565" s="27" t="s">
        <v>41</v>
      </c>
      <c r="D565" s="27" t="s">
        <v>50</v>
      </c>
      <c r="E565" s="28" t="n">
        <f aca="false">ROUND((SUMIFS(Acerto_Detalhado!$F$2:$F$433,Acerto_Detalhado!$A$2:$A$433,$C565,Acerto_Detalhado!$B$2:$B$433,"Fev",Acerto_Detalhado!$C$2:$C$433,"Umidade"))*(SUMIFS(Acerto_Detalhado!$I$2:$I$433,Acerto_Detalhado!$A$2:$A$433,$D565,Acerto_Detalhado!$B$2:$B$433,"Fev",Acerto_Detalhado!$C$2:$C$433,"Umidade")),2)</f>
        <v>0</v>
      </c>
    </row>
    <row r="566" customFormat="false" ht="15" hidden="false" customHeight="false" outlineLevel="0" collapsed="false">
      <c r="A566" s="27" t="s">
        <v>112</v>
      </c>
      <c r="B566" s="27" t="s">
        <v>110</v>
      </c>
      <c r="C566" s="27" t="s">
        <v>42</v>
      </c>
      <c r="D566" s="27" t="s">
        <v>39</v>
      </c>
      <c r="E566" s="28" t="n">
        <f aca="false">ROUND((SUMIFS(Acerto_Detalhado!$F$2:$F$433,Acerto_Detalhado!$A$2:$A$433,$C566,Acerto_Detalhado!$B$2:$B$433,"Fev",Acerto_Detalhado!$C$2:$C$433,"Umidade"))*(SUMIFS(Acerto_Detalhado!$I$2:$I$433,Acerto_Detalhado!$A$2:$A$433,$D566,Acerto_Detalhado!$B$2:$B$433,"Fev",Acerto_Detalhado!$C$2:$C$433,"Umidade")),2)</f>
        <v>0</v>
      </c>
    </row>
    <row r="567" customFormat="false" ht="15" hidden="false" customHeight="false" outlineLevel="0" collapsed="false">
      <c r="A567" s="27" t="s">
        <v>112</v>
      </c>
      <c r="B567" s="27" t="s">
        <v>110</v>
      </c>
      <c r="C567" s="27" t="s">
        <v>42</v>
      </c>
      <c r="D567" s="27" t="s">
        <v>40</v>
      </c>
      <c r="E567" s="28" t="n">
        <f aca="false">ROUND((SUMIFS(Acerto_Detalhado!$F$2:$F$433,Acerto_Detalhado!$A$2:$A$433,$C567,Acerto_Detalhado!$B$2:$B$433,"Fev",Acerto_Detalhado!$C$2:$C$433,"Umidade"))*(SUMIFS(Acerto_Detalhado!$I$2:$I$433,Acerto_Detalhado!$A$2:$A$433,$D567,Acerto_Detalhado!$B$2:$B$433,"Fev",Acerto_Detalhado!$C$2:$C$433,"Umidade")),2)</f>
        <v>0</v>
      </c>
    </row>
    <row r="568" customFormat="false" ht="15" hidden="false" customHeight="false" outlineLevel="0" collapsed="false">
      <c r="A568" s="27" t="s">
        <v>112</v>
      </c>
      <c r="B568" s="27" t="s">
        <v>110</v>
      </c>
      <c r="C568" s="27" t="s">
        <v>42</v>
      </c>
      <c r="D568" s="27" t="s">
        <v>41</v>
      </c>
      <c r="E568" s="28" t="n">
        <f aca="false">ROUND((SUMIFS(Acerto_Detalhado!$F$2:$F$433,Acerto_Detalhado!$A$2:$A$433,$C568,Acerto_Detalhado!$B$2:$B$433,"Fev",Acerto_Detalhado!$C$2:$C$433,"Umidade"))*(SUMIFS(Acerto_Detalhado!$I$2:$I$433,Acerto_Detalhado!$A$2:$A$433,$D568,Acerto_Detalhado!$B$2:$B$433,"Fev",Acerto_Detalhado!$C$2:$C$433,"Umidade")),2)</f>
        <v>0</v>
      </c>
    </row>
    <row r="569" customFormat="false" ht="15" hidden="false" customHeight="false" outlineLevel="0" collapsed="false">
      <c r="A569" s="27" t="s">
        <v>112</v>
      </c>
      <c r="B569" s="27" t="s">
        <v>110</v>
      </c>
      <c r="C569" s="27" t="s">
        <v>42</v>
      </c>
      <c r="D569" s="27" t="s">
        <v>43</v>
      </c>
      <c r="E569" s="28" t="n">
        <f aca="false">ROUND((SUMIFS(Acerto_Detalhado!$F$2:$F$433,Acerto_Detalhado!$A$2:$A$433,$C569,Acerto_Detalhado!$B$2:$B$433,"Fev",Acerto_Detalhado!$C$2:$C$433,"Umidade"))*(SUMIFS(Acerto_Detalhado!$I$2:$I$433,Acerto_Detalhado!$A$2:$A$433,$D569,Acerto_Detalhado!$B$2:$B$433,"Fev",Acerto_Detalhado!$C$2:$C$433,"Umidade")),2)</f>
        <v>0</v>
      </c>
    </row>
    <row r="570" customFormat="false" ht="15" hidden="false" customHeight="false" outlineLevel="0" collapsed="false">
      <c r="A570" s="27" t="s">
        <v>112</v>
      </c>
      <c r="B570" s="27" t="s">
        <v>110</v>
      </c>
      <c r="C570" s="27" t="s">
        <v>42</v>
      </c>
      <c r="D570" s="27" t="s">
        <v>44</v>
      </c>
      <c r="E570" s="28" t="n">
        <f aca="false">ROUND((SUMIFS(Acerto_Detalhado!$F$2:$F$433,Acerto_Detalhado!$A$2:$A$433,$C570,Acerto_Detalhado!$B$2:$B$433,"Fev",Acerto_Detalhado!$C$2:$C$433,"Umidade"))*(SUMIFS(Acerto_Detalhado!$I$2:$I$433,Acerto_Detalhado!$A$2:$A$433,$D570,Acerto_Detalhado!$B$2:$B$433,"Fev",Acerto_Detalhado!$C$2:$C$433,"Umidade")),2)</f>
        <v>0</v>
      </c>
    </row>
    <row r="571" customFormat="false" ht="15" hidden="false" customHeight="false" outlineLevel="0" collapsed="false">
      <c r="A571" s="27" t="s">
        <v>112</v>
      </c>
      <c r="B571" s="27" t="s">
        <v>110</v>
      </c>
      <c r="C571" s="27" t="s">
        <v>42</v>
      </c>
      <c r="D571" s="27" t="s">
        <v>45</v>
      </c>
      <c r="E571" s="28" t="n">
        <f aca="false">ROUND((SUMIFS(Acerto_Detalhado!$F$2:$F$433,Acerto_Detalhado!$A$2:$A$433,$C571,Acerto_Detalhado!$B$2:$B$433,"Fev",Acerto_Detalhado!$C$2:$C$433,"Umidade"))*(SUMIFS(Acerto_Detalhado!$I$2:$I$433,Acerto_Detalhado!$A$2:$A$433,$D571,Acerto_Detalhado!$B$2:$B$433,"Fev",Acerto_Detalhado!$C$2:$C$433,"Umidade")),2)</f>
        <v>0</v>
      </c>
    </row>
    <row r="572" customFormat="false" ht="15" hidden="false" customHeight="false" outlineLevel="0" collapsed="false">
      <c r="A572" s="27" t="s">
        <v>112</v>
      </c>
      <c r="B572" s="27" t="s">
        <v>110</v>
      </c>
      <c r="C572" s="27" t="s">
        <v>42</v>
      </c>
      <c r="D572" s="27" t="s">
        <v>46</v>
      </c>
      <c r="E572" s="28" t="n">
        <f aca="false">ROUND((SUMIFS(Acerto_Detalhado!$F$2:$F$433,Acerto_Detalhado!$A$2:$A$433,$C572,Acerto_Detalhado!$B$2:$B$433,"Fev",Acerto_Detalhado!$C$2:$C$433,"Umidade"))*(SUMIFS(Acerto_Detalhado!$I$2:$I$433,Acerto_Detalhado!$A$2:$A$433,$D572,Acerto_Detalhado!$B$2:$B$433,"Fev",Acerto_Detalhado!$C$2:$C$433,"Umidade")),2)</f>
        <v>0</v>
      </c>
    </row>
    <row r="573" customFormat="false" ht="15" hidden="false" customHeight="false" outlineLevel="0" collapsed="false">
      <c r="A573" s="27" t="s">
        <v>112</v>
      </c>
      <c r="B573" s="27" t="s">
        <v>110</v>
      </c>
      <c r="C573" s="27" t="s">
        <v>42</v>
      </c>
      <c r="D573" s="27" t="s">
        <v>47</v>
      </c>
      <c r="E573" s="28" t="n">
        <f aca="false">ROUND((SUMIFS(Acerto_Detalhado!$F$2:$F$433,Acerto_Detalhado!$A$2:$A$433,$C573,Acerto_Detalhado!$B$2:$B$433,"Fev",Acerto_Detalhado!$C$2:$C$433,"Umidade"))*(SUMIFS(Acerto_Detalhado!$I$2:$I$433,Acerto_Detalhado!$A$2:$A$433,$D573,Acerto_Detalhado!$B$2:$B$433,"Fev",Acerto_Detalhado!$C$2:$C$433,"Umidade")),2)</f>
        <v>0</v>
      </c>
    </row>
    <row r="574" customFormat="false" ht="15" hidden="false" customHeight="false" outlineLevel="0" collapsed="false">
      <c r="A574" s="27" t="s">
        <v>112</v>
      </c>
      <c r="B574" s="27" t="s">
        <v>110</v>
      </c>
      <c r="C574" s="27" t="s">
        <v>42</v>
      </c>
      <c r="D574" s="27" t="s">
        <v>48</v>
      </c>
      <c r="E574" s="28" t="n">
        <f aca="false">ROUND((SUMIFS(Acerto_Detalhado!$F$2:$F$433,Acerto_Detalhado!$A$2:$A$433,$C574,Acerto_Detalhado!$B$2:$B$433,"Fev",Acerto_Detalhado!$C$2:$C$433,"Umidade"))*(SUMIFS(Acerto_Detalhado!$I$2:$I$433,Acerto_Detalhado!$A$2:$A$433,$D574,Acerto_Detalhado!$B$2:$B$433,"Fev",Acerto_Detalhado!$C$2:$C$433,"Umidade")),2)</f>
        <v>0</v>
      </c>
    </row>
    <row r="575" customFormat="false" ht="15" hidden="false" customHeight="false" outlineLevel="0" collapsed="false">
      <c r="A575" s="27" t="s">
        <v>112</v>
      </c>
      <c r="B575" s="27" t="s">
        <v>110</v>
      </c>
      <c r="C575" s="27" t="s">
        <v>42</v>
      </c>
      <c r="D575" s="27" t="s">
        <v>49</v>
      </c>
      <c r="E575" s="28" t="n">
        <f aca="false">ROUND((SUMIFS(Acerto_Detalhado!$F$2:$F$433,Acerto_Detalhado!$A$2:$A$433,$C575,Acerto_Detalhado!$B$2:$B$433,"Fev",Acerto_Detalhado!$C$2:$C$433,"Umidade"))*(SUMIFS(Acerto_Detalhado!$I$2:$I$433,Acerto_Detalhado!$A$2:$A$433,$D575,Acerto_Detalhado!$B$2:$B$433,"Fev",Acerto_Detalhado!$C$2:$C$433,"Umidade")),2)</f>
        <v>0</v>
      </c>
    </row>
    <row r="576" customFormat="false" ht="15" hidden="false" customHeight="false" outlineLevel="0" collapsed="false">
      <c r="A576" s="27" t="s">
        <v>112</v>
      </c>
      <c r="B576" s="27" t="s">
        <v>110</v>
      </c>
      <c r="C576" s="27" t="s">
        <v>42</v>
      </c>
      <c r="D576" s="27" t="s">
        <v>50</v>
      </c>
      <c r="E576" s="28" t="n">
        <f aca="false">ROUND((SUMIFS(Acerto_Detalhado!$F$2:$F$433,Acerto_Detalhado!$A$2:$A$433,$C576,Acerto_Detalhado!$B$2:$B$433,"Fev",Acerto_Detalhado!$C$2:$C$433,"Umidade"))*(SUMIFS(Acerto_Detalhado!$I$2:$I$433,Acerto_Detalhado!$A$2:$A$433,$D576,Acerto_Detalhado!$B$2:$B$433,"Fev",Acerto_Detalhado!$C$2:$C$433,"Umidade")),2)</f>
        <v>0</v>
      </c>
    </row>
    <row r="577" customFormat="false" ht="15" hidden="false" customHeight="false" outlineLevel="0" collapsed="false">
      <c r="A577" s="27" t="s">
        <v>112</v>
      </c>
      <c r="B577" s="27" t="s">
        <v>110</v>
      </c>
      <c r="C577" s="27" t="s">
        <v>43</v>
      </c>
      <c r="D577" s="27" t="s">
        <v>39</v>
      </c>
      <c r="E577" s="28" t="n">
        <f aca="false">ROUND((SUMIFS(Acerto_Detalhado!$F$2:$F$433,Acerto_Detalhado!$A$2:$A$433,$C577,Acerto_Detalhado!$B$2:$B$433,"Fev",Acerto_Detalhado!$C$2:$C$433,"Umidade"))*(SUMIFS(Acerto_Detalhado!$I$2:$I$433,Acerto_Detalhado!$A$2:$A$433,$D577,Acerto_Detalhado!$B$2:$B$433,"Fev",Acerto_Detalhado!$C$2:$C$433,"Umidade")),2)</f>
        <v>0</v>
      </c>
    </row>
    <row r="578" customFormat="false" ht="15" hidden="false" customHeight="false" outlineLevel="0" collapsed="false">
      <c r="A578" s="27" t="s">
        <v>112</v>
      </c>
      <c r="B578" s="27" t="s">
        <v>110</v>
      </c>
      <c r="C578" s="27" t="s">
        <v>43</v>
      </c>
      <c r="D578" s="27" t="s">
        <v>40</v>
      </c>
      <c r="E578" s="28" t="n">
        <f aca="false">ROUND((SUMIFS(Acerto_Detalhado!$F$2:$F$433,Acerto_Detalhado!$A$2:$A$433,$C578,Acerto_Detalhado!$B$2:$B$433,"Fev",Acerto_Detalhado!$C$2:$C$433,"Umidade"))*(SUMIFS(Acerto_Detalhado!$I$2:$I$433,Acerto_Detalhado!$A$2:$A$433,$D578,Acerto_Detalhado!$B$2:$B$433,"Fev",Acerto_Detalhado!$C$2:$C$433,"Umidade")),2)</f>
        <v>0</v>
      </c>
    </row>
    <row r="579" customFormat="false" ht="15" hidden="false" customHeight="false" outlineLevel="0" collapsed="false">
      <c r="A579" s="27" t="s">
        <v>112</v>
      </c>
      <c r="B579" s="27" t="s">
        <v>110</v>
      </c>
      <c r="C579" s="27" t="s">
        <v>43</v>
      </c>
      <c r="D579" s="27" t="s">
        <v>41</v>
      </c>
      <c r="E579" s="28" t="n">
        <f aca="false">ROUND((SUMIFS(Acerto_Detalhado!$F$2:$F$433,Acerto_Detalhado!$A$2:$A$433,$C579,Acerto_Detalhado!$B$2:$B$433,"Fev",Acerto_Detalhado!$C$2:$C$433,"Umidade"))*(SUMIFS(Acerto_Detalhado!$I$2:$I$433,Acerto_Detalhado!$A$2:$A$433,$D579,Acerto_Detalhado!$B$2:$B$433,"Fev",Acerto_Detalhado!$C$2:$C$433,"Umidade")),2)</f>
        <v>0</v>
      </c>
    </row>
    <row r="580" customFormat="false" ht="15" hidden="false" customHeight="false" outlineLevel="0" collapsed="false">
      <c r="A580" s="27" t="s">
        <v>112</v>
      </c>
      <c r="B580" s="27" t="s">
        <v>110</v>
      </c>
      <c r="C580" s="27" t="s">
        <v>43</v>
      </c>
      <c r="D580" s="27" t="s">
        <v>42</v>
      </c>
      <c r="E580" s="28" t="n">
        <f aca="false">ROUND((SUMIFS(Acerto_Detalhado!$F$2:$F$433,Acerto_Detalhado!$A$2:$A$433,$C580,Acerto_Detalhado!$B$2:$B$433,"Fev",Acerto_Detalhado!$C$2:$C$433,"Umidade"))*(SUMIFS(Acerto_Detalhado!$I$2:$I$433,Acerto_Detalhado!$A$2:$A$433,$D580,Acerto_Detalhado!$B$2:$B$433,"Fev",Acerto_Detalhado!$C$2:$C$433,"Umidade")),2)</f>
        <v>0</v>
      </c>
    </row>
    <row r="581" customFormat="false" ht="15" hidden="false" customHeight="false" outlineLevel="0" collapsed="false">
      <c r="A581" s="27" t="s">
        <v>112</v>
      </c>
      <c r="B581" s="27" t="s">
        <v>110</v>
      </c>
      <c r="C581" s="27" t="s">
        <v>43</v>
      </c>
      <c r="D581" s="27" t="s">
        <v>44</v>
      </c>
      <c r="E581" s="28" t="n">
        <f aca="false">ROUND((SUMIFS(Acerto_Detalhado!$F$2:$F$433,Acerto_Detalhado!$A$2:$A$433,$C581,Acerto_Detalhado!$B$2:$B$433,"Fev",Acerto_Detalhado!$C$2:$C$433,"Umidade"))*(SUMIFS(Acerto_Detalhado!$I$2:$I$433,Acerto_Detalhado!$A$2:$A$433,$D581,Acerto_Detalhado!$B$2:$B$433,"Fev",Acerto_Detalhado!$C$2:$C$433,"Umidade")),2)</f>
        <v>0</v>
      </c>
    </row>
    <row r="582" customFormat="false" ht="15" hidden="false" customHeight="false" outlineLevel="0" collapsed="false">
      <c r="A582" s="27" t="s">
        <v>112</v>
      </c>
      <c r="B582" s="27" t="s">
        <v>110</v>
      </c>
      <c r="C582" s="27" t="s">
        <v>43</v>
      </c>
      <c r="D582" s="27" t="s">
        <v>45</v>
      </c>
      <c r="E582" s="28" t="n">
        <f aca="false">ROUND((SUMIFS(Acerto_Detalhado!$F$2:$F$433,Acerto_Detalhado!$A$2:$A$433,$C582,Acerto_Detalhado!$B$2:$B$433,"Fev",Acerto_Detalhado!$C$2:$C$433,"Umidade"))*(SUMIFS(Acerto_Detalhado!$I$2:$I$433,Acerto_Detalhado!$A$2:$A$433,$D582,Acerto_Detalhado!$B$2:$B$433,"Fev",Acerto_Detalhado!$C$2:$C$433,"Umidade")),2)</f>
        <v>0</v>
      </c>
    </row>
    <row r="583" customFormat="false" ht="15" hidden="false" customHeight="false" outlineLevel="0" collapsed="false">
      <c r="A583" s="27" t="s">
        <v>112</v>
      </c>
      <c r="B583" s="27" t="s">
        <v>110</v>
      </c>
      <c r="C583" s="27" t="s">
        <v>43</v>
      </c>
      <c r="D583" s="27" t="s">
        <v>46</v>
      </c>
      <c r="E583" s="28" t="n">
        <f aca="false">ROUND((SUMIFS(Acerto_Detalhado!$F$2:$F$433,Acerto_Detalhado!$A$2:$A$433,$C583,Acerto_Detalhado!$B$2:$B$433,"Fev",Acerto_Detalhado!$C$2:$C$433,"Umidade"))*(SUMIFS(Acerto_Detalhado!$I$2:$I$433,Acerto_Detalhado!$A$2:$A$433,$D583,Acerto_Detalhado!$B$2:$B$433,"Fev",Acerto_Detalhado!$C$2:$C$433,"Umidade")),2)</f>
        <v>0</v>
      </c>
    </row>
    <row r="584" customFormat="false" ht="15" hidden="false" customHeight="false" outlineLevel="0" collapsed="false">
      <c r="A584" s="27" t="s">
        <v>112</v>
      </c>
      <c r="B584" s="27" t="s">
        <v>110</v>
      </c>
      <c r="C584" s="27" t="s">
        <v>43</v>
      </c>
      <c r="D584" s="27" t="s">
        <v>47</v>
      </c>
      <c r="E584" s="28" t="n">
        <f aca="false">ROUND((SUMIFS(Acerto_Detalhado!$F$2:$F$433,Acerto_Detalhado!$A$2:$A$433,$C584,Acerto_Detalhado!$B$2:$B$433,"Fev",Acerto_Detalhado!$C$2:$C$433,"Umidade"))*(SUMIFS(Acerto_Detalhado!$I$2:$I$433,Acerto_Detalhado!$A$2:$A$433,$D584,Acerto_Detalhado!$B$2:$B$433,"Fev",Acerto_Detalhado!$C$2:$C$433,"Umidade")),2)</f>
        <v>0</v>
      </c>
    </row>
    <row r="585" customFormat="false" ht="15" hidden="false" customHeight="false" outlineLevel="0" collapsed="false">
      <c r="A585" s="27" t="s">
        <v>112</v>
      </c>
      <c r="B585" s="27" t="s">
        <v>110</v>
      </c>
      <c r="C585" s="27" t="s">
        <v>43</v>
      </c>
      <c r="D585" s="27" t="s">
        <v>48</v>
      </c>
      <c r="E585" s="28" t="n">
        <f aca="false">ROUND((SUMIFS(Acerto_Detalhado!$F$2:$F$433,Acerto_Detalhado!$A$2:$A$433,$C585,Acerto_Detalhado!$B$2:$B$433,"Fev",Acerto_Detalhado!$C$2:$C$433,"Umidade"))*(SUMIFS(Acerto_Detalhado!$I$2:$I$433,Acerto_Detalhado!$A$2:$A$433,$D585,Acerto_Detalhado!$B$2:$B$433,"Fev",Acerto_Detalhado!$C$2:$C$433,"Umidade")),2)</f>
        <v>0</v>
      </c>
    </row>
    <row r="586" customFormat="false" ht="15" hidden="false" customHeight="false" outlineLevel="0" collapsed="false">
      <c r="A586" s="27" t="s">
        <v>112</v>
      </c>
      <c r="B586" s="27" t="s">
        <v>110</v>
      </c>
      <c r="C586" s="27" t="s">
        <v>43</v>
      </c>
      <c r="D586" s="27" t="s">
        <v>49</v>
      </c>
      <c r="E586" s="28" t="n">
        <f aca="false">ROUND((SUMIFS(Acerto_Detalhado!$F$2:$F$433,Acerto_Detalhado!$A$2:$A$433,$C586,Acerto_Detalhado!$B$2:$B$433,"Fev",Acerto_Detalhado!$C$2:$C$433,"Umidade"))*(SUMIFS(Acerto_Detalhado!$I$2:$I$433,Acerto_Detalhado!$A$2:$A$433,$D586,Acerto_Detalhado!$B$2:$B$433,"Fev",Acerto_Detalhado!$C$2:$C$433,"Umidade")),2)</f>
        <v>0</v>
      </c>
    </row>
    <row r="587" customFormat="false" ht="15" hidden="false" customHeight="false" outlineLevel="0" collapsed="false">
      <c r="A587" s="27" t="s">
        <v>112</v>
      </c>
      <c r="B587" s="27" t="s">
        <v>110</v>
      </c>
      <c r="C587" s="27" t="s">
        <v>43</v>
      </c>
      <c r="D587" s="27" t="s">
        <v>50</v>
      </c>
      <c r="E587" s="28" t="n">
        <f aca="false">ROUND((SUMIFS(Acerto_Detalhado!$F$2:$F$433,Acerto_Detalhado!$A$2:$A$433,$C587,Acerto_Detalhado!$B$2:$B$433,"Fev",Acerto_Detalhado!$C$2:$C$433,"Umidade"))*(SUMIFS(Acerto_Detalhado!$I$2:$I$433,Acerto_Detalhado!$A$2:$A$433,$D587,Acerto_Detalhado!$B$2:$B$433,"Fev",Acerto_Detalhado!$C$2:$C$433,"Umidade")),2)</f>
        <v>0</v>
      </c>
    </row>
    <row r="588" customFormat="false" ht="15" hidden="false" customHeight="false" outlineLevel="0" collapsed="false">
      <c r="A588" s="27" t="s">
        <v>112</v>
      </c>
      <c r="B588" s="27" t="s">
        <v>110</v>
      </c>
      <c r="C588" s="27" t="s">
        <v>44</v>
      </c>
      <c r="D588" s="27" t="s">
        <v>39</v>
      </c>
      <c r="E588" s="28" t="n">
        <f aca="false">ROUND((SUMIFS(Acerto_Detalhado!$F$2:$F$433,Acerto_Detalhado!$A$2:$A$433,$C588,Acerto_Detalhado!$B$2:$B$433,"Fev",Acerto_Detalhado!$C$2:$C$433,"Umidade"))*(SUMIFS(Acerto_Detalhado!$I$2:$I$433,Acerto_Detalhado!$A$2:$A$433,$D588,Acerto_Detalhado!$B$2:$B$433,"Fev",Acerto_Detalhado!$C$2:$C$433,"Umidade")),2)</f>
        <v>0</v>
      </c>
    </row>
    <row r="589" customFormat="false" ht="15" hidden="false" customHeight="false" outlineLevel="0" collapsed="false">
      <c r="A589" s="27" t="s">
        <v>112</v>
      </c>
      <c r="B589" s="27" t="s">
        <v>110</v>
      </c>
      <c r="C589" s="27" t="s">
        <v>44</v>
      </c>
      <c r="D589" s="27" t="s">
        <v>40</v>
      </c>
      <c r="E589" s="28" t="n">
        <f aca="false">ROUND((SUMIFS(Acerto_Detalhado!$F$2:$F$433,Acerto_Detalhado!$A$2:$A$433,$C589,Acerto_Detalhado!$B$2:$B$433,"Fev",Acerto_Detalhado!$C$2:$C$433,"Umidade"))*(SUMIFS(Acerto_Detalhado!$I$2:$I$433,Acerto_Detalhado!$A$2:$A$433,$D589,Acerto_Detalhado!$B$2:$B$433,"Fev",Acerto_Detalhado!$C$2:$C$433,"Umidade")),2)</f>
        <v>0</v>
      </c>
    </row>
    <row r="590" customFormat="false" ht="15" hidden="false" customHeight="false" outlineLevel="0" collapsed="false">
      <c r="A590" s="27" t="s">
        <v>112</v>
      </c>
      <c r="B590" s="27" t="s">
        <v>110</v>
      </c>
      <c r="C590" s="27" t="s">
        <v>44</v>
      </c>
      <c r="D590" s="27" t="s">
        <v>41</v>
      </c>
      <c r="E590" s="28" t="n">
        <f aca="false">ROUND((SUMIFS(Acerto_Detalhado!$F$2:$F$433,Acerto_Detalhado!$A$2:$A$433,$C590,Acerto_Detalhado!$B$2:$B$433,"Fev",Acerto_Detalhado!$C$2:$C$433,"Umidade"))*(SUMIFS(Acerto_Detalhado!$I$2:$I$433,Acerto_Detalhado!$A$2:$A$433,$D590,Acerto_Detalhado!$B$2:$B$433,"Fev",Acerto_Detalhado!$C$2:$C$433,"Umidade")),2)</f>
        <v>0</v>
      </c>
    </row>
    <row r="591" customFormat="false" ht="15" hidden="false" customHeight="false" outlineLevel="0" collapsed="false">
      <c r="A591" s="27" t="s">
        <v>112</v>
      </c>
      <c r="B591" s="27" t="s">
        <v>110</v>
      </c>
      <c r="C591" s="27" t="s">
        <v>44</v>
      </c>
      <c r="D591" s="27" t="s">
        <v>42</v>
      </c>
      <c r="E591" s="28" t="n">
        <f aca="false">ROUND((SUMIFS(Acerto_Detalhado!$F$2:$F$433,Acerto_Detalhado!$A$2:$A$433,$C591,Acerto_Detalhado!$B$2:$B$433,"Fev",Acerto_Detalhado!$C$2:$C$433,"Umidade"))*(SUMIFS(Acerto_Detalhado!$I$2:$I$433,Acerto_Detalhado!$A$2:$A$433,$D591,Acerto_Detalhado!$B$2:$B$433,"Fev",Acerto_Detalhado!$C$2:$C$433,"Umidade")),2)</f>
        <v>0</v>
      </c>
    </row>
    <row r="592" customFormat="false" ht="15" hidden="false" customHeight="false" outlineLevel="0" collapsed="false">
      <c r="A592" s="27" t="s">
        <v>112</v>
      </c>
      <c r="B592" s="27" t="s">
        <v>110</v>
      </c>
      <c r="C592" s="27" t="s">
        <v>44</v>
      </c>
      <c r="D592" s="27" t="s">
        <v>43</v>
      </c>
      <c r="E592" s="28" t="n">
        <f aca="false">ROUND((SUMIFS(Acerto_Detalhado!$F$2:$F$433,Acerto_Detalhado!$A$2:$A$433,$C592,Acerto_Detalhado!$B$2:$B$433,"Fev",Acerto_Detalhado!$C$2:$C$433,"Umidade"))*(SUMIFS(Acerto_Detalhado!$I$2:$I$433,Acerto_Detalhado!$A$2:$A$433,$D592,Acerto_Detalhado!$B$2:$B$433,"Fev",Acerto_Detalhado!$C$2:$C$433,"Umidade")),2)</f>
        <v>0</v>
      </c>
    </row>
    <row r="593" customFormat="false" ht="15" hidden="false" customHeight="false" outlineLevel="0" collapsed="false">
      <c r="A593" s="27" t="s">
        <v>112</v>
      </c>
      <c r="B593" s="27" t="s">
        <v>110</v>
      </c>
      <c r="C593" s="27" t="s">
        <v>44</v>
      </c>
      <c r="D593" s="27" t="s">
        <v>45</v>
      </c>
      <c r="E593" s="28" t="n">
        <f aca="false">ROUND((SUMIFS(Acerto_Detalhado!$F$2:$F$433,Acerto_Detalhado!$A$2:$A$433,$C593,Acerto_Detalhado!$B$2:$B$433,"Fev",Acerto_Detalhado!$C$2:$C$433,"Umidade"))*(SUMIFS(Acerto_Detalhado!$I$2:$I$433,Acerto_Detalhado!$A$2:$A$433,$D593,Acerto_Detalhado!$B$2:$B$433,"Fev",Acerto_Detalhado!$C$2:$C$433,"Umidade")),2)</f>
        <v>0</v>
      </c>
    </row>
    <row r="594" customFormat="false" ht="15" hidden="false" customHeight="false" outlineLevel="0" collapsed="false">
      <c r="A594" s="27" t="s">
        <v>112</v>
      </c>
      <c r="B594" s="27" t="s">
        <v>110</v>
      </c>
      <c r="C594" s="27" t="s">
        <v>44</v>
      </c>
      <c r="D594" s="27" t="s">
        <v>46</v>
      </c>
      <c r="E594" s="28" t="n">
        <f aca="false">ROUND((SUMIFS(Acerto_Detalhado!$F$2:$F$433,Acerto_Detalhado!$A$2:$A$433,$C594,Acerto_Detalhado!$B$2:$B$433,"Fev",Acerto_Detalhado!$C$2:$C$433,"Umidade"))*(SUMIFS(Acerto_Detalhado!$I$2:$I$433,Acerto_Detalhado!$A$2:$A$433,$D594,Acerto_Detalhado!$B$2:$B$433,"Fev",Acerto_Detalhado!$C$2:$C$433,"Umidade")),2)</f>
        <v>0</v>
      </c>
    </row>
    <row r="595" customFormat="false" ht="15" hidden="false" customHeight="false" outlineLevel="0" collapsed="false">
      <c r="A595" s="27" t="s">
        <v>112</v>
      </c>
      <c r="B595" s="27" t="s">
        <v>110</v>
      </c>
      <c r="C595" s="27" t="s">
        <v>44</v>
      </c>
      <c r="D595" s="27" t="s">
        <v>47</v>
      </c>
      <c r="E595" s="28" t="n">
        <f aca="false">ROUND((SUMIFS(Acerto_Detalhado!$F$2:$F$433,Acerto_Detalhado!$A$2:$A$433,$C595,Acerto_Detalhado!$B$2:$B$433,"Fev",Acerto_Detalhado!$C$2:$C$433,"Umidade"))*(SUMIFS(Acerto_Detalhado!$I$2:$I$433,Acerto_Detalhado!$A$2:$A$433,$D595,Acerto_Detalhado!$B$2:$B$433,"Fev",Acerto_Detalhado!$C$2:$C$433,"Umidade")),2)</f>
        <v>0</v>
      </c>
    </row>
    <row r="596" customFormat="false" ht="15" hidden="false" customHeight="false" outlineLevel="0" collapsed="false">
      <c r="A596" s="27" t="s">
        <v>112</v>
      </c>
      <c r="B596" s="27" t="s">
        <v>110</v>
      </c>
      <c r="C596" s="27" t="s">
        <v>44</v>
      </c>
      <c r="D596" s="27" t="s">
        <v>48</v>
      </c>
      <c r="E596" s="28" t="n">
        <f aca="false">ROUND((SUMIFS(Acerto_Detalhado!$F$2:$F$433,Acerto_Detalhado!$A$2:$A$433,$C596,Acerto_Detalhado!$B$2:$B$433,"Fev",Acerto_Detalhado!$C$2:$C$433,"Umidade"))*(SUMIFS(Acerto_Detalhado!$I$2:$I$433,Acerto_Detalhado!$A$2:$A$433,$D596,Acerto_Detalhado!$B$2:$B$433,"Fev",Acerto_Detalhado!$C$2:$C$433,"Umidade")),2)</f>
        <v>0</v>
      </c>
    </row>
    <row r="597" customFormat="false" ht="15" hidden="false" customHeight="false" outlineLevel="0" collapsed="false">
      <c r="A597" s="27" t="s">
        <v>112</v>
      </c>
      <c r="B597" s="27" t="s">
        <v>110</v>
      </c>
      <c r="C597" s="27" t="s">
        <v>44</v>
      </c>
      <c r="D597" s="27" t="s">
        <v>49</v>
      </c>
      <c r="E597" s="28" t="n">
        <f aca="false">ROUND((SUMIFS(Acerto_Detalhado!$F$2:$F$433,Acerto_Detalhado!$A$2:$A$433,$C597,Acerto_Detalhado!$B$2:$B$433,"Fev",Acerto_Detalhado!$C$2:$C$433,"Umidade"))*(SUMIFS(Acerto_Detalhado!$I$2:$I$433,Acerto_Detalhado!$A$2:$A$433,$D597,Acerto_Detalhado!$B$2:$B$433,"Fev",Acerto_Detalhado!$C$2:$C$433,"Umidade")),2)</f>
        <v>0</v>
      </c>
    </row>
    <row r="598" customFormat="false" ht="15" hidden="false" customHeight="false" outlineLevel="0" collapsed="false">
      <c r="A598" s="27" t="s">
        <v>112</v>
      </c>
      <c r="B598" s="27" t="s">
        <v>110</v>
      </c>
      <c r="C598" s="27" t="s">
        <v>44</v>
      </c>
      <c r="D598" s="27" t="s">
        <v>50</v>
      </c>
      <c r="E598" s="28" t="n">
        <f aca="false">ROUND((SUMIFS(Acerto_Detalhado!$F$2:$F$433,Acerto_Detalhado!$A$2:$A$433,$C598,Acerto_Detalhado!$B$2:$B$433,"Fev",Acerto_Detalhado!$C$2:$C$433,"Umidade"))*(SUMIFS(Acerto_Detalhado!$I$2:$I$433,Acerto_Detalhado!$A$2:$A$433,$D598,Acerto_Detalhado!$B$2:$B$433,"Fev",Acerto_Detalhado!$C$2:$C$433,"Umidade")),2)</f>
        <v>0</v>
      </c>
    </row>
    <row r="599" customFormat="false" ht="15" hidden="false" customHeight="false" outlineLevel="0" collapsed="false">
      <c r="A599" s="27" t="s">
        <v>112</v>
      </c>
      <c r="B599" s="27" t="s">
        <v>110</v>
      </c>
      <c r="C599" s="27" t="s">
        <v>45</v>
      </c>
      <c r="D599" s="27" t="s">
        <v>39</v>
      </c>
      <c r="E599" s="28" t="n">
        <f aca="false">ROUND((SUMIFS(Acerto_Detalhado!$F$2:$F$433,Acerto_Detalhado!$A$2:$A$433,$C599,Acerto_Detalhado!$B$2:$B$433,"Fev",Acerto_Detalhado!$C$2:$C$433,"Umidade"))*(SUMIFS(Acerto_Detalhado!$I$2:$I$433,Acerto_Detalhado!$A$2:$A$433,$D599,Acerto_Detalhado!$B$2:$B$433,"Fev",Acerto_Detalhado!$C$2:$C$433,"Umidade")),2)</f>
        <v>0</v>
      </c>
    </row>
    <row r="600" customFormat="false" ht="15" hidden="false" customHeight="false" outlineLevel="0" collapsed="false">
      <c r="A600" s="27" t="s">
        <v>112</v>
      </c>
      <c r="B600" s="27" t="s">
        <v>110</v>
      </c>
      <c r="C600" s="27" t="s">
        <v>45</v>
      </c>
      <c r="D600" s="27" t="s">
        <v>40</v>
      </c>
      <c r="E600" s="28" t="n">
        <f aca="false">ROUND((SUMIFS(Acerto_Detalhado!$F$2:$F$433,Acerto_Detalhado!$A$2:$A$433,$C600,Acerto_Detalhado!$B$2:$B$433,"Fev",Acerto_Detalhado!$C$2:$C$433,"Umidade"))*(SUMIFS(Acerto_Detalhado!$I$2:$I$433,Acerto_Detalhado!$A$2:$A$433,$D600,Acerto_Detalhado!$B$2:$B$433,"Fev",Acerto_Detalhado!$C$2:$C$433,"Umidade")),2)</f>
        <v>0</v>
      </c>
    </row>
    <row r="601" customFormat="false" ht="15" hidden="false" customHeight="false" outlineLevel="0" collapsed="false">
      <c r="A601" s="27" t="s">
        <v>112</v>
      </c>
      <c r="B601" s="27" t="s">
        <v>110</v>
      </c>
      <c r="C601" s="27" t="s">
        <v>45</v>
      </c>
      <c r="D601" s="27" t="s">
        <v>41</v>
      </c>
      <c r="E601" s="28" t="n">
        <f aca="false">ROUND((SUMIFS(Acerto_Detalhado!$F$2:$F$433,Acerto_Detalhado!$A$2:$A$433,$C601,Acerto_Detalhado!$B$2:$B$433,"Fev",Acerto_Detalhado!$C$2:$C$433,"Umidade"))*(SUMIFS(Acerto_Detalhado!$I$2:$I$433,Acerto_Detalhado!$A$2:$A$433,$D601,Acerto_Detalhado!$B$2:$B$433,"Fev",Acerto_Detalhado!$C$2:$C$433,"Umidade")),2)</f>
        <v>0</v>
      </c>
    </row>
    <row r="602" customFormat="false" ht="15" hidden="false" customHeight="false" outlineLevel="0" collapsed="false">
      <c r="A602" s="27" t="s">
        <v>112</v>
      </c>
      <c r="B602" s="27" t="s">
        <v>110</v>
      </c>
      <c r="C602" s="27" t="s">
        <v>45</v>
      </c>
      <c r="D602" s="27" t="s">
        <v>42</v>
      </c>
      <c r="E602" s="28" t="n">
        <f aca="false">ROUND((SUMIFS(Acerto_Detalhado!$F$2:$F$433,Acerto_Detalhado!$A$2:$A$433,$C602,Acerto_Detalhado!$B$2:$B$433,"Fev",Acerto_Detalhado!$C$2:$C$433,"Umidade"))*(SUMIFS(Acerto_Detalhado!$I$2:$I$433,Acerto_Detalhado!$A$2:$A$433,$D602,Acerto_Detalhado!$B$2:$B$433,"Fev",Acerto_Detalhado!$C$2:$C$433,"Umidade")),2)</f>
        <v>0</v>
      </c>
    </row>
    <row r="603" customFormat="false" ht="15" hidden="false" customHeight="false" outlineLevel="0" collapsed="false">
      <c r="A603" s="27" t="s">
        <v>112</v>
      </c>
      <c r="B603" s="27" t="s">
        <v>110</v>
      </c>
      <c r="C603" s="27" t="s">
        <v>45</v>
      </c>
      <c r="D603" s="27" t="s">
        <v>43</v>
      </c>
      <c r="E603" s="28" t="n">
        <f aca="false">ROUND((SUMIFS(Acerto_Detalhado!$F$2:$F$433,Acerto_Detalhado!$A$2:$A$433,$C603,Acerto_Detalhado!$B$2:$B$433,"Fev",Acerto_Detalhado!$C$2:$C$433,"Umidade"))*(SUMIFS(Acerto_Detalhado!$I$2:$I$433,Acerto_Detalhado!$A$2:$A$433,$D603,Acerto_Detalhado!$B$2:$B$433,"Fev",Acerto_Detalhado!$C$2:$C$433,"Umidade")),2)</f>
        <v>0</v>
      </c>
    </row>
    <row r="604" customFormat="false" ht="15" hidden="false" customHeight="false" outlineLevel="0" collapsed="false">
      <c r="A604" s="27" t="s">
        <v>112</v>
      </c>
      <c r="B604" s="27" t="s">
        <v>110</v>
      </c>
      <c r="C604" s="27" t="s">
        <v>45</v>
      </c>
      <c r="D604" s="27" t="s">
        <v>44</v>
      </c>
      <c r="E604" s="28" t="n">
        <f aca="false">ROUND((SUMIFS(Acerto_Detalhado!$F$2:$F$433,Acerto_Detalhado!$A$2:$A$433,$C604,Acerto_Detalhado!$B$2:$B$433,"Fev",Acerto_Detalhado!$C$2:$C$433,"Umidade"))*(SUMIFS(Acerto_Detalhado!$I$2:$I$433,Acerto_Detalhado!$A$2:$A$433,$D604,Acerto_Detalhado!$B$2:$B$433,"Fev",Acerto_Detalhado!$C$2:$C$433,"Umidade")),2)</f>
        <v>0</v>
      </c>
    </row>
    <row r="605" customFormat="false" ht="15" hidden="false" customHeight="false" outlineLevel="0" collapsed="false">
      <c r="A605" s="27" t="s">
        <v>112</v>
      </c>
      <c r="B605" s="27" t="s">
        <v>110</v>
      </c>
      <c r="C605" s="27" t="s">
        <v>45</v>
      </c>
      <c r="D605" s="27" t="s">
        <v>46</v>
      </c>
      <c r="E605" s="28" t="n">
        <f aca="false">ROUND((SUMIFS(Acerto_Detalhado!$F$2:$F$433,Acerto_Detalhado!$A$2:$A$433,$C605,Acerto_Detalhado!$B$2:$B$433,"Fev",Acerto_Detalhado!$C$2:$C$433,"Umidade"))*(SUMIFS(Acerto_Detalhado!$I$2:$I$433,Acerto_Detalhado!$A$2:$A$433,$D605,Acerto_Detalhado!$B$2:$B$433,"Fev",Acerto_Detalhado!$C$2:$C$433,"Umidade")),2)</f>
        <v>0</v>
      </c>
    </row>
    <row r="606" customFormat="false" ht="15" hidden="false" customHeight="false" outlineLevel="0" collapsed="false">
      <c r="A606" s="27" t="s">
        <v>112</v>
      </c>
      <c r="B606" s="27" t="s">
        <v>110</v>
      </c>
      <c r="C606" s="27" t="s">
        <v>45</v>
      </c>
      <c r="D606" s="27" t="s">
        <v>47</v>
      </c>
      <c r="E606" s="28" t="n">
        <f aca="false">ROUND((SUMIFS(Acerto_Detalhado!$F$2:$F$433,Acerto_Detalhado!$A$2:$A$433,$C606,Acerto_Detalhado!$B$2:$B$433,"Fev",Acerto_Detalhado!$C$2:$C$433,"Umidade"))*(SUMIFS(Acerto_Detalhado!$I$2:$I$433,Acerto_Detalhado!$A$2:$A$433,$D606,Acerto_Detalhado!$B$2:$B$433,"Fev",Acerto_Detalhado!$C$2:$C$433,"Umidade")),2)</f>
        <v>0</v>
      </c>
    </row>
    <row r="607" customFormat="false" ht="15" hidden="false" customHeight="false" outlineLevel="0" collapsed="false">
      <c r="A607" s="27" t="s">
        <v>112</v>
      </c>
      <c r="B607" s="27" t="s">
        <v>110</v>
      </c>
      <c r="C607" s="27" t="s">
        <v>45</v>
      </c>
      <c r="D607" s="27" t="s">
        <v>48</v>
      </c>
      <c r="E607" s="28" t="n">
        <f aca="false">ROUND((SUMIFS(Acerto_Detalhado!$F$2:$F$433,Acerto_Detalhado!$A$2:$A$433,$C607,Acerto_Detalhado!$B$2:$B$433,"Fev",Acerto_Detalhado!$C$2:$C$433,"Umidade"))*(SUMIFS(Acerto_Detalhado!$I$2:$I$433,Acerto_Detalhado!$A$2:$A$433,$D607,Acerto_Detalhado!$B$2:$B$433,"Fev",Acerto_Detalhado!$C$2:$C$433,"Umidade")),2)</f>
        <v>0</v>
      </c>
    </row>
    <row r="608" customFormat="false" ht="15" hidden="false" customHeight="false" outlineLevel="0" collapsed="false">
      <c r="A608" s="27" t="s">
        <v>112</v>
      </c>
      <c r="B608" s="27" t="s">
        <v>110</v>
      </c>
      <c r="C608" s="27" t="s">
        <v>45</v>
      </c>
      <c r="D608" s="27" t="s">
        <v>49</v>
      </c>
      <c r="E608" s="28" t="n">
        <f aca="false">ROUND((SUMIFS(Acerto_Detalhado!$F$2:$F$433,Acerto_Detalhado!$A$2:$A$433,$C608,Acerto_Detalhado!$B$2:$B$433,"Fev",Acerto_Detalhado!$C$2:$C$433,"Umidade"))*(SUMIFS(Acerto_Detalhado!$I$2:$I$433,Acerto_Detalhado!$A$2:$A$433,$D608,Acerto_Detalhado!$B$2:$B$433,"Fev",Acerto_Detalhado!$C$2:$C$433,"Umidade")),2)</f>
        <v>0</v>
      </c>
    </row>
    <row r="609" customFormat="false" ht="15" hidden="false" customHeight="false" outlineLevel="0" collapsed="false">
      <c r="A609" s="27" t="s">
        <v>112</v>
      </c>
      <c r="B609" s="27" t="s">
        <v>110</v>
      </c>
      <c r="C609" s="27" t="s">
        <v>45</v>
      </c>
      <c r="D609" s="27" t="s">
        <v>50</v>
      </c>
      <c r="E609" s="28" t="n">
        <f aca="false">ROUND((SUMIFS(Acerto_Detalhado!$F$2:$F$433,Acerto_Detalhado!$A$2:$A$433,$C609,Acerto_Detalhado!$B$2:$B$433,"Fev",Acerto_Detalhado!$C$2:$C$433,"Umidade"))*(SUMIFS(Acerto_Detalhado!$I$2:$I$433,Acerto_Detalhado!$A$2:$A$433,$D609,Acerto_Detalhado!$B$2:$B$433,"Fev",Acerto_Detalhado!$C$2:$C$433,"Umidade")),2)</f>
        <v>0</v>
      </c>
    </row>
    <row r="610" customFormat="false" ht="15" hidden="false" customHeight="false" outlineLevel="0" collapsed="false">
      <c r="A610" s="27" t="s">
        <v>112</v>
      </c>
      <c r="B610" s="27" t="s">
        <v>110</v>
      </c>
      <c r="C610" s="27" t="s">
        <v>46</v>
      </c>
      <c r="D610" s="27" t="s">
        <v>39</v>
      </c>
      <c r="E610" s="28" t="n">
        <f aca="false">ROUND((SUMIFS(Acerto_Detalhado!$F$2:$F$433,Acerto_Detalhado!$A$2:$A$433,$C610,Acerto_Detalhado!$B$2:$B$433,"Fev",Acerto_Detalhado!$C$2:$C$433,"Umidade"))*(SUMIFS(Acerto_Detalhado!$I$2:$I$433,Acerto_Detalhado!$A$2:$A$433,$D610,Acerto_Detalhado!$B$2:$B$433,"Fev",Acerto_Detalhado!$C$2:$C$433,"Umidade")),2)</f>
        <v>0</v>
      </c>
    </row>
    <row r="611" customFormat="false" ht="15" hidden="false" customHeight="false" outlineLevel="0" collapsed="false">
      <c r="A611" s="27" t="s">
        <v>112</v>
      </c>
      <c r="B611" s="27" t="s">
        <v>110</v>
      </c>
      <c r="C611" s="27" t="s">
        <v>46</v>
      </c>
      <c r="D611" s="27" t="s">
        <v>40</v>
      </c>
      <c r="E611" s="28" t="n">
        <f aca="false">ROUND((SUMIFS(Acerto_Detalhado!$F$2:$F$433,Acerto_Detalhado!$A$2:$A$433,$C611,Acerto_Detalhado!$B$2:$B$433,"Fev",Acerto_Detalhado!$C$2:$C$433,"Umidade"))*(SUMIFS(Acerto_Detalhado!$I$2:$I$433,Acerto_Detalhado!$A$2:$A$433,$D611,Acerto_Detalhado!$B$2:$B$433,"Fev",Acerto_Detalhado!$C$2:$C$433,"Umidade")),2)</f>
        <v>0</v>
      </c>
    </row>
    <row r="612" customFormat="false" ht="15" hidden="false" customHeight="false" outlineLevel="0" collapsed="false">
      <c r="A612" s="27" t="s">
        <v>112</v>
      </c>
      <c r="B612" s="27" t="s">
        <v>110</v>
      </c>
      <c r="C612" s="27" t="s">
        <v>46</v>
      </c>
      <c r="D612" s="27" t="s">
        <v>41</v>
      </c>
      <c r="E612" s="28" t="n">
        <f aca="false">ROUND((SUMIFS(Acerto_Detalhado!$F$2:$F$433,Acerto_Detalhado!$A$2:$A$433,$C612,Acerto_Detalhado!$B$2:$B$433,"Fev",Acerto_Detalhado!$C$2:$C$433,"Umidade"))*(SUMIFS(Acerto_Detalhado!$I$2:$I$433,Acerto_Detalhado!$A$2:$A$433,$D612,Acerto_Detalhado!$B$2:$B$433,"Fev",Acerto_Detalhado!$C$2:$C$433,"Umidade")),2)</f>
        <v>0</v>
      </c>
    </row>
    <row r="613" customFormat="false" ht="15" hidden="false" customHeight="false" outlineLevel="0" collapsed="false">
      <c r="A613" s="27" t="s">
        <v>112</v>
      </c>
      <c r="B613" s="27" t="s">
        <v>110</v>
      </c>
      <c r="C613" s="27" t="s">
        <v>46</v>
      </c>
      <c r="D613" s="27" t="s">
        <v>42</v>
      </c>
      <c r="E613" s="28" t="n">
        <f aca="false">ROUND((SUMIFS(Acerto_Detalhado!$F$2:$F$433,Acerto_Detalhado!$A$2:$A$433,$C613,Acerto_Detalhado!$B$2:$B$433,"Fev",Acerto_Detalhado!$C$2:$C$433,"Umidade"))*(SUMIFS(Acerto_Detalhado!$I$2:$I$433,Acerto_Detalhado!$A$2:$A$433,$D613,Acerto_Detalhado!$B$2:$B$433,"Fev",Acerto_Detalhado!$C$2:$C$433,"Umidade")),2)</f>
        <v>0</v>
      </c>
    </row>
    <row r="614" customFormat="false" ht="15" hidden="false" customHeight="false" outlineLevel="0" collapsed="false">
      <c r="A614" s="27" t="s">
        <v>112</v>
      </c>
      <c r="B614" s="27" t="s">
        <v>110</v>
      </c>
      <c r="C614" s="27" t="s">
        <v>46</v>
      </c>
      <c r="D614" s="27" t="s">
        <v>43</v>
      </c>
      <c r="E614" s="28" t="n">
        <f aca="false">ROUND((SUMIFS(Acerto_Detalhado!$F$2:$F$433,Acerto_Detalhado!$A$2:$A$433,$C614,Acerto_Detalhado!$B$2:$B$433,"Fev",Acerto_Detalhado!$C$2:$C$433,"Umidade"))*(SUMIFS(Acerto_Detalhado!$I$2:$I$433,Acerto_Detalhado!$A$2:$A$433,$D614,Acerto_Detalhado!$B$2:$B$433,"Fev",Acerto_Detalhado!$C$2:$C$433,"Umidade")),2)</f>
        <v>0</v>
      </c>
    </row>
    <row r="615" customFormat="false" ht="15" hidden="false" customHeight="false" outlineLevel="0" collapsed="false">
      <c r="A615" s="27" t="s">
        <v>112</v>
      </c>
      <c r="B615" s="27" t="s">
        <v>110</v>
      </c>
      <c r="C615" s="27" t="s">
        <v>46</v>
      </c>
      <c r="D615" s="27" t="s">
        <v>44</v>
      </c>
      <c r="E615" s="28" t="n">
        <f aca="false">ROUND((SUMIFS(Acerto_Detalhado!$F$2:$F$433,Acerto_Detalhado!$A$2:$A$433,$C615,Acerto_Detalhado!$B$2:$B$433,"Fev",Acerto_Detalhado!$C$2:$C$433,"Umidade"))*(SUMIFS(Acerto_Detalhado!$I$2:$I$433,Acerto_Detalhado!$A$2:$A$433,$D615,Acerto_Detalhado!$B$2:$B$433,"Fev",Acerto_Detalhado!$C$2:$C$433,"Umidade")),2)</f>
        <v>0</v>
      </c>
    </row>
    <row r="616" customFormat="false" ht="15" hidden="false" customHeight="false" outlineLevel="0" collapsed="false">
      <c r="A616" s="27" t="s">
        <v>112</v>
      </c>
      <c r="B616" s="27" t="s">
        <v>110</v>
      </c>
      <c r="C616" s="27" t="s">
        <v>46</v>
      </c>
      <c r="D616" s="27" t="s">
        <v>45</v>
      </c>
      <c r="E616" s="28" t="n">
        <f aca="false">ROUND((SUMIFS(Acerto_Detalhado!$F$2:$F$433,Acerto_Detalhado!$A$2:$A$433,$C616,Acerto_Detalhado!$B$2:$B$433,"Fev",Acerto_Detalhado!$C$2:$C$433,"Umidade"))*(SUMIFS(Acerto_Detalhado!$I$2:$I$433,Acerto_Detalhado!$A$2:$A$433,$D616,Acerto_Detalhado!$B$2:$B$433,"Fev",Acerto_Detalhado!$C$2:$C$433,"Umidade")),2)</f>
        <v>0</v>
      </c>
    </row>
    <row r="617" customFormat="false" ht="15" hidden="false" customHeight="false" outlineLevel="0" collapsed="false">
      <c r="A617" s="27" t="s">
        <v>112</v>
      </c>
      <c r="B617" s="27" t="s">
        <v>110</v>
      </c>
      <c r="C617" s="27" t="s">
        <v>46</v>
      </c>
      <c r="D617" s="27" t="s">
        <v>47</v>
      </c>
      <c r="E617" s="28" t="n">
        <f aca="false">ROUND((SUMIFS(Acerto_Detalhado!$F$2:$F$433,Acerto_Detalhado!$A$2:$A$433,$C617,Acerto_Detalhado!$B$2:$B$433,"Fev",Acerto_Detalhado!$C$2:$C$433,"Umidade"))*(SUMIFS(Acerto_Detalhado!$I$2:$I$433,Acerto_Detalhado!$A$2:$A$433,$D617,Acerto_Detalhado!$B$2:$B$433,"Fev",Acerto_Detalhado!$C$2:$C$433,"Umidade")),2)</f>
        <v>0</v>
      </c>
    </row>
    <row r="618" customFormat="false" ht="15" hidden="false" customHeight="false" outlineLevel="0" collapsed="false">
      <c r="A618" s="27" t="s">
        <v>112</v>
      </c>
      <c r="B618" s="27" t="s">
        <v>110</v>
      </c>
      <c r="C618" s="27" t="s">
        <v>46</v>
      </c>
      <c r="D618" s="27" t="s">
        <v>48</v>
      </c>
      <c r="E618" s="28" t="n">
        <f aca="false">ROUND((SUMIFS(Acerto_Detalhado!$F$2:$F$433,Acerto_Detalhado!$A$2:$A$433,$C618,Acerto_Detalhado!$B$2:$B$433,"Fev",Acerto_Detalhado!$C$2:$C$433,"Umidade"))*(SUMIFS(Acerto_Detalhado!$I$2:$I$433,Acerto_Detalhado!$A$2:$A$433,$D618,Acerto_Detalhado!$B$2:$B$433,"Fev",Acerto_Detalhado!$C$2:$C$433,"Umidade")),2)</f>
        <v>0</v>
      </c>
    </row>
    <row r="619" customFormat="false" ht="15" hidden="false" customHeight="false" outlineLevel="0" collapsed="false">
      <c r="A619" s="27" t="s">
        <v>112</v>
      </c>
      <c r="B619" s="27" t="s">
        <v>110</v>
      </c>
      <c r="C619" s="27" t="s">
        <v>46</v>
      </c>
      <c r="D619" s="27" t="s">
        <v>49</v>
      </c>
      <c r="E619" s="28" t="n">
        <f aca="false">ROUND((SUMIFS(Acerto_Detalhado!$F$2:$F$433,Acerto_Detalhado!$A$2:$A$433,$C619,Acerto_Detalhado!$B$2:$B$433,"Fev",Acerto_Detalhado!$C$2:$C$433,"Umidade"))*(SUMIFS(Acerto_Detalhado!$I$2:$I$433,Acerto_Detalhado!$A$2:$A$433,$D619,Acerto_Detalhado!$B$2:$B$433,"Fev",Acerto_Detalhado!$C$2:$C$433,"Umidade")),2)</f>
        <v>0</v>
      </c>
    </row>
    <row r="620" customFormat="false" ht="15" hidden="false" customHeight="false" outlineLevel="0" collapsed="false">
      <c r="A620" s="27" t="s">
        <v>112</v>
      </c>
      <c r="B620" s="27" t="s">
        <v>110</v>
      </c>
      <c r="C620" s="27" t="s">
        <v>46</v>
      </c>
      <c r="D620" s="27" t="s">
        <v>50</v>
      </c>
      <c r="E620" s="28" t="n">
        <f aca="false">ROUND((SUMIFS(Acerto_Detalhado!$F$2:$F$433,Acerto_Detalhado!$A$2:$A$433,$C620,Acerto_Detalhado!$B$2:$B$433,"Fev",Acerto_Detalhado!$C$2:$C$433,"Umidade"))*(SUMIFS(Acerto_Detalhado!$I$2:$I$433,Acerto_Detalhado!$A$2:$A$433,$D620,Acerto_Detalhado!$B$2:$B$433,"Fev",Acerto_Detalhado!$C$2:$C$433,"Umidade")),2)</f>
        <v>0</v>
      </c>
    </row>
    <row r="621" customFormat="false" ht="15" hidden="false" customHeight="false" outlineLevel="0" collapsed="false">
      <c r="A621" s="27" t="s">
        <v>112</v>
      </c>
      <c r="B621" s="27" t="s">
        <v>110</v>
      </c>
      <c r="C621" s="27" t="s">
        <v>47</v>
      </c>
      <c r="D621" s="27" t="s">
        <v>39</v>
      </c>
      <c r="E621" s="28" t="n">
        <f aca="false">ROUND((SUMIFS(Acerto_Detalhado!$F$2:$F$433,Acerto_Detalhado!$A$2:$A$433,$C621,Acerto_Detalhado!$B$2:$B$433,"Fev",Acerto_Detalhado!$C$2:$C$433,"Umidade"))*(SUMIFS(Acerto_Detalhado!$I$2:$I$433,Acerto_Detalhado!$A$2:$A$433,$D621,Acerto_Detalhado!$B$2:$B$433,"Fev",Acerto_Detalhado!$C$2:$C$433,"Umidade")),2)</f>
        <v>0</v>
      </c>
    </row>
    <row r="622" customFormat="false" ht="15" hidden="false" customHeight="false" outlineLevel="0" collapsed="false">
      <c r="A622" s="27" t="s">
        <v>112</v>
      </c>
      <c r="B622" s="27" t="s">
        <v>110</v>
      </c>
      <c r="C622" s="27" t="s">
        <v>47</v>
      </c>
      <c r="D622" s="27" t="s">
        <v>40</v>
      </c>
      <c r="E622" s="28" t="n">
        <f aca="false">ROUND((SUMIFS(Acerto_Detalhado!$F$2:$F$433,Acerto_Detalhado!$A$2:$A$433,$C622,Acerto_Detalhado!$B$2:$B$433,"Fev",Acerto_Detalhado!$C$2:$C$433,"Umidade"))*(SUMIFS(Acerto_Detalhado!$I$2:$I$433,Acerto_Detalhado!$A$2:$A$433,$D622,Acerto_Detalhado!$B$2:$B$433,"Fev",Acerto_Detalhado!$C$2:$C$433,"Umidade")),2)</f>
        <v>0</v>
      </c>
    </row>
    <row r="623" customFormat="false" ht="15" hidden="false" customHeight="false" outlineLevel="0" collapsed="false">
      <c r="A623" s="27" t="s">
        <v>112</v>
      </c>
      <c r="B623" s="27" t="s">
        <v>110</v>
      </c>
      <c r="C623" s="27" t="s">
        <v>47</v>
      </c>
      <c r="D623" s="27" t="s">
        <v>41</v>
      </c>
      <c r="E623" s="28" t="n">
        <f aca="false">ROUND((SUMIFS(Acerto_Detalhado!$F$2:$F$433,Acerto_Detalhado!$A$2:$A$433,$C623,Acerto_Detalhado!$B$2:$B$433,"Fev",Acerto_Detalhado!$C$2:$C$433,"Umidade"))*(SUMIFS(Acerto_Detalhado!$I$2:$I$433,Acerto_Detalhado!$A$2:$A$433,$D623,Acerto_Detalhado!$B$2:$B$433,"Fev",Acerto_Detalhado!$C$2:$C$433,"Umidade")),2)</f>
        <v>0</v>
      </c>
    </row>
    <row r="624" customFormat="false" ht="15" hidden="false" customHeight="false" outlineLevel="0" collapsed="false">
      <c r="A624" s="27" t="s">
        <v>112</v>
      </c>
      <c r="B624" s="27" t="s">
        <v>110</v>
      </c>
      <c r="C624" s="27" t="s">
        <v>47</v>
      </c>
      <c r="D624" s="27" t="s">
        <v>42</v>
      </c>
      <c r="E624" s="28" t="n">
        <f aca="false">ROUND((SUMIFS(Acerto_Detalhado!$F$2:$F$433,Acerto_Detalhado!$A$2:$A$433,$C624,Acerto_Detalhado!$B$2:$B$433,"Fev",Acerto_Detalhado!$C$2:$C$433,"Umidade"))*(SUMIFS(Acerto_Detalhado!$I$2:$I$433,Acerto_Detalhado!$A$2:$A$433,$D624,Acerto_Detalhado!$B$2:$B$433,"Fev",Acerto_Detalhado!$C$2:$C$433,"Umidade")),2)</f>
        <v>0</v>
      </c>
    </row>
    <row r="625" customFormat="false" ht="15" hidden="false" customHeight="false" outlineLevel="0" collapsed="false">
      <c r="A625" s="27" t="s">
        <v>112</v>
      </c>
      <c r="B625" s="27" t="s">
        <v>110</v>
      </c>
      <c r="C625" s="27" t="s">
        <v>47</v>
      </c>
      <c r="D625" s="27" t="s">
        <v>43</v>
      </c>
      <c r="E625" s="28" t="n">
        <f aca="false">ROUND((SUMIFS(Acerto_Detalhado!$F$2:$F$433,Acerto_Detalhado!$A$2:$A$433,$C625,Acerto_Detalhado!$B$2:$B$433,"Fev",Acerto_Detalhado!$C$2:$C$433,"Umidade"))*(SUMIFS(Acerto_Detalhado!$I$2:$I$433,Acerto_Detalhado!$A$2:$A$433,$D625,Acerto_Detalhado!$B$2:$B$433,"Fev",Acerto_Detalhado!$C$2:$C$433,"Umidade")),2)</f>
        <v>0</v>
      </c>
    </row>
    <row r="626" customFormat="false" ht="15" hidden="false" customHeight="false" outlineLevel="0" collapsed="false">
      <c r="A626" s="27" t="s">
        <v>112</v>
      </c>
      <c r="B626" s="27" t="s">
        <v>110</v>
      </c>
      <c r="C626" s="27" t="s">
        <v>47</v>
      </c>
      <c r="D626" s="27" t="s">
        <v>44</v>
      </c>
      <c r="E626" s="28" t="n">
        <f aca="false">ROUND((SUMIFS(Acerto_Detalhado!$F$2:$F$433,Acerto_Detalhado!$A$2:$A$433,$C626,Acerto_Detalhado!$B$2:$B$433,"Fev",Acerto_Detalhado!$C$2:$C$433,"Umidade"))*(SUMIFS(Acerto_Detalhado!$I$2:$I$433,Acerto_Detalhado!$A$2:$A$433,$D626,Acerto_Detalhado!$B$2:$B$433,"Fev",Acerto_Detalhado!$C$2:$C$433,"Umidade")),2)</f>
        <v>0</v>
      </c>
    </row>
    <row r="627" customFormat="false" ht="15" hidden="false" customHeight="false" outlineLevel="0" collapsed="false">
      <c r="A627" s="27" t="s">
        <v>112</v>
      </c>
      <c r="B627" s="27" t="s">
        <v>110</v>
      </c>
      <c r="C627" s="27" t="s">
        <v>47</v>
      </c>
      <c r="D627" s="27" t="s">
        <v>45</v>
      </c>
      <c r="E627" s="28" t="n">
        <f aca="false">ROUND((SUMIFS(Acerto_Detalhado!$F$2:$F$433,Acerto_Detalhado!$A$2:$A$433,$C627,Acerto_Detalhado!$B$2:$B$433,"Fev",Acerto_Detalhado!$C$2:$C$433,"Umidade"))*(SUMIFS(Acerto_Detalhado!$I$2:$I$433,Acerto_Detalhado!$A$2:$A$433,$D627,Acerto_Detalhado!$B$2:$B$433,"Fev",Acerto_Detalhado!$C$2:$C$433,"Umidade")),2)</f>
        <v>0</v>
      </c>
    </row>
    <row r="628" customFormat="false" ht="15" hidden="false" customHeight="false" outlineLevel="0" collapsed="false">
      <c r="A628" s="27" t="s">
        <v>112</v>
      </c>
      <c r="B628" s="27" t="s">
        <v>110</v>
      </c>
      <c r="C628" s="27" t="s">
        <v>47</v>
      </c>
      <c r="D628" s="27" t="s">
        <v>46</v>
      </c>
      <c r="E628" s="28" t="n">
        <f aca="false">ROUND((SUMIFS(Acerto_Detalhado!$F$2:$F$433,Acerto_Detalhado!$A$2:$A$433,$C628,Acerto_Detalhado!$B$2:$B$433,"Fev",Acerto_Detalhado!$C$2:$C$433,"Umidade"))*(SUMIFS(Acerto_Detalhado!$I$2:$I$433,Acerto_Detalhado!$A$2:$A$433,$D628,Acerto_Detalhado!$B$2:$B$433,"Fev",Acerto_Detalhado!$C$2:$C$433,"Umidade")),2)</f>
        <v>0</v>
      </c>
    </row>
    <row r="629" customFormat="false" ht="15" hidden="false" customHeight="false" outlineLevel="0" collapsed="false">
      <c r="A629" s="27" t="s">
        <v>112</v>
      </c>
      <c r="B629" s="27" t="s">
        <v>110</v>
      </c>
      <c r="C629" s="27" t="s">
        <v>47</v>
      </c>
      <c r="D629" s="27" t="s">
        <v>48</v>
      </c>
      <c r="E629" s="28" t="n">
        <f aca="false">ROUND((SUMIFS(Acerto_Detalhado!$F$2:$F$433,Acerto_Detalhado!$A$2:$A$433,$C629,Acerto_Detalhado!$B$2:$B$433,"Fev",Acerto_Detalhado!$C$2:$C$433,"Umidade"))*(SUMIFS(Acerto_Detalhado!$I$2:$I$433,Acerto_Detalhado!$A$2:$A$433,$D629,Acerto_Detalhado!$B$2:$B$433,"Fev",Acerto_Detalhado!$C$2:$C$433,"Umidade")),2)</f>
        <v>0</v>
      </c>
    </row>
    <row r="630" customFormat="false" ht="15" hidden="false" customHeight="false" outlineLevel="0" collapsed="false">
      <c r="A630" s="27" t="s">
        <v>112</v>
      </c>
      <c r="B630" s="27" t="s">
        <v>110</v>
      </c>
      <c r="C630" s="27" t="s">
        <v>47</v>
      </c>
      <c r="D630" s="27" t="s">
        <v>49</v>
      </c>
      <c r="E630" s="28" t="n">
        <f aca="false">ROUND((SUMIFS(Acerto_Detalhado!$F$2:$F$433,Acerto_Detalhado!$A$2:$A$433,$C630,Acerto_Detalhado!$B$2:$B$433,"Fev",Acerto_Detalhado!$C$2:$C$433,"Umidade"))*(SUMIFS(Acerto_Detalhado!$I$2:$I$433,Acerto_Detalhado!$A$2:$A$433,$D630,Acerto_Detalhado!$B$2:$B$433,"Fev",Acerto_Detalhado!$C$2:$C$433,"Umidade")),2)</f>
        <v>0</v>
      </c>
    </row>
    <row r="631" customFormat="false" ht="15" hidden="false" customHeight="false" outlineLevel="0" collapsed="false">
      <c r="A631" s="27" t="s">
        <v>112</v>
      </c>
      <c r="B631" s="27" t="s">
        <v>110</v>
      </c>
      <c r="C631" s="27" t="s">
        <v>47</v>
      </c>
      <c r="D631" s="27" t="s">
        <v>50</v>
      </c>
      <c r="E631" s="28" t="n">
        <f aca="false">ROUND((SUMIFS(Acerto_Detalhado!$F$2:$F$433,Acerto_Detalhado!$A$2:$A$433,$C631,Acerto_Detalhado!$B$2:$B$433,"Fev",Acerto_Detalhado!$C$2:$C$433,"Umidade"))*(SUMIFS(Acerto_Detalhado!$I$2:$I$433,Acerto_Detalhado!$A$2:$A$433,$D631,Acerto_Detalhado!$B$2:$B$433,"Fev",Acerto_Detalhado!$C$2:$C$433,"Umidade")),2)</f>
        <v>0</v>
      </c>
    </row>
    <row r="632" customFormat="false" ht="15" hidden="false" customHeight="false" outlineLevel="0" collapsed="false">
      <c r="A632" s="27" t="s">
        <v>112</v>
      </c>
      <c r="B632" s="27" t="s">
        <v>110</v>
      </c>
      <c r="C632" s="27" t="s">
        <v>48</v>
      </c>
      <c r="D632" s="27" t="s">
        <v>39</v>
      </c>
      <c r="E632" s="28" t="n">
        <f aca="false">ROUND((SUMIFS(Acerto_Detalhado!$F$2:$F$433,Acerto_Detalhado!$A$2:$A$433,$C632,Acerto_Detalhado!$B$2:$B$433,"Fev",Acerto_Detalhado!$C$2:$C$433,"Umidade"))*(SUMIFS(Acerto_Detalhado!$I$2:$I$433,Acerto_Detalhado!$A$2:$A$433,$D632,Acerto_Detalhado!$B$2:$B$433,"Fev",Acerto_Detalhado!$C$2:$C$433,"Umidade")),2)</f>
        <v>0</v>
      </c>
    </row>
    <row r="633" customFormat="false" ht="15" hidden="false" customHeight="false" outlineLevel="0" collapsed="false">
      <c r="A633" s="27" t="s">
        <v>112</v>
      </c>
      <c r="B633" s="27" t="s">
        <v>110</v>
      </c>
      <c r="C633" s="27" t="s">
        <v>48</v>
      </c>
      <c r="D633" s="27" t="s">
        <v>40</v>
      </c>
      <c r="E633" s="28" t="n">
        <f aca="false">ROUND((SUMIFS(Acerto_Detalhado!$F$2:$F$433,Acerto_Detalhado!$A$2:$A$433,$C633,Acerto_Detalhado!$B$2:$B$433,"Fev",Acerto_Detalhado!$C$2:$C$433,"Umidade"))*(SUMIFS(Acerto_Detalhado!$I$2:$I$433,Acerto_Detalhado!$A$2:$A$433,$D633,Acerto_Detalhado!$B$2:$B$433,"Fev",Acerto_Detalhado!$C$2:$C$433,"Umidade")),2)</f>
        <v>0</v>
      </c>
    </row>
    <row r="634" customFormat="false" ht="15" hidden="false" customHeight="false" outlineLevel="0" collapsed="false">
      <c r="A634" s="27" t="s">
        <v>112</v>
      </c>
      <c r="B634" s="27" t="s">
        <v>110</v>
      </c>
      <c r="C634" s="27" t="s">
        <v>48</v>
      </c>
      <c r="D634" s="27" t="s">
        <v>41</v>
      </c>
      <c r="E634" s="28" t="n">
        <f aca="false">ROUND((SUMIFS(Acerto_Detalhado!$F$2:$F$433,Acerto_Detalhado!$A$2:$A$433,$C634,Acerto_Detalhado!$B$2:$B$433,"Fev",Acerto_Detalhado!$C$2:$C$433,"Umidade"))*(SUMIFS(Acerto_Detalhado!$I$2:$I$433,Acerto_Detalhado!$A$2:$A$433,$D634,Acerto_Detalhado!$B$2:$B$433,"Fev",Acerto_Detalhado!$C$2:$C$433,"Umidade")),2)</f>
        <v>0</v>
      </c>
    </row>
    <row r="635" customFormat="false" ht="15" hidden="false" customHeight="false" outlineLevel="0" collapsed="false">
      <c r="A635" s="27" t="s">
        <v>112</v>
      </c>
      <c r="B635" s="27" t="s">
        <v>110</v>
      </c>
      <c r="C635" s="27" t="s">
        <v>48</v>
      </c>
      <c r="D635" s="27" t="s">
        <v>42</v>
      </c>
      <c r="E635" s="28" t="n">
        <f aca="false">ROUND((SUMIFS(Acerto_Detalhado!$F$2:$F$433,Acerto_Detalhado!$A$2:$A$433,$C635,Acerto_Detalhado!$B$2:$B$433,"Fev",Acerto_Detalhado!$C$2:$C$433,"Umidade"))*(SUMIFS(Acerto_Detalhado!$I$2:$I$433,Acerto_Detalhado!$A$2:$A$433,$D635,Acerto_Detalhado!$B$2:$B$433,"Fev",Acerto_Detalhado!$C$2:$C$433,"Umidade")),2)</f>
        <v>0</v>
      </c>
    </row>
    <row r="636" customFormat="false" ht="15" hidden="false" customHeight="false" outlineLevel="0" collapsed="false">
      <c r="A636" s="27" t="s">
        <v>112</v>
      </c>
      <c r="B636" s="27" t="s">
        <v>110</v>
      </c>
      <c r="C636" s="27" t="s">
        <v>48</v>
      </c>
      <c r="D636" s="27" t="s">
        <v>43</v>
      </c>
      <c r="E636" s="28" t="n">
        <f aca="false">ROUND((SUMIFS(Acerto_Detalhado!$F$2:$F$433,Acerto_Detalhado!$A$2:$A$433,$C636,Acerto_Detalhado!$B$2:$B$433,"Fev",Acerto_Detalhado!$C$2:$C$433,"Umidade"))*(SUMIFS(Acerto_Detalhado!$I$2:$I$433,Acerto_Detalhado!$A$2:$A$433,$D636,Acerto_Detalhado!$B$2:$B$433,"Fev",Acerto_Detalhado!$C$2:$C$433,"Umidade")),2)</f>
        <v>0</v>
      </c>
    </row>
    <row r="637" customFormat="false" ht="15" hidden="false" customHeight="false" outlineLevel="0" collapsed="false">
      <c r="A637" s="27" t="s">
        <v>112</v>
      </c>
      <c r="B637" s="27" t="s">
        <v>110</v>
      </c>
      <c r="C637" s="27" t="s">
        <v>48</v>
      </c>
      <c r="D637" s="27" t="s">
        <v>44</v>
      </c>
      <c r="E637" s="28" t="n">
        <f aca="false">ROUND((SUMIFS(Acerto_Detalhado!$F$2:$F$433,Acerto_Detalhado!$A$2:$A$433,$C637,Acerto_Detalhado!$B$2:$B$433,"Fev",Acerto_Detalhado!$C$2:$C$433,"Umidade"))*(SUMIFS(Acerto_Detalhado!$I$2:$I$433,Acerto_Detalhado!$A$2:$A$433,$D637,Acerto_Detalhado!$B$2:$B$433,"Fev",Acerto_Detalhado!$C$2:$C$433,"Umidade")),2)</f>
        <v>0</v>
      </c>
    </row>
    <row r="638" customFormat="false" ht="15" hidden="false" customHeight="false" outlineLevel="0" collapsed="false">
      <c r="A638" s="27" t="s">
        <v>112</v>
      </c>
      <c r="B638" s="27" t="s">
        <v>110</v>
      </c>
      <c r="C638" s="27" t="s">
        <v>48</v>
      </c>
      <c r="D638" s="27" t="s">
        <v>45</v>
      </c>
      <c r="E638" s="28" t="n">
        <f aca="false">ROUND((SUMIFS(Acerto_Detalhado!$F$2:$F$433,Acerto_Detalhado!$A$2:$A$433,$C638,Acerto_Detalhado!$B$2:$B$433,"Fev",Acerto_Detalhado!$C$2:$C$433,"Umidade"))*(SUMIFS(Acerto_Detalhado!$I$2:$I$433,Acerto_Detalhado!$A$2:$A$433,$D638,Acerto_Detalhado!$B$2:$B$433,"Fev",Acerto_Detalhado!$C$2:$C$433,"Umidade")),2)</f>
        <v>0</v>
      </c>
    </row>
    <row r="639" customFormat="false" ht="15" hidden="false" customHeight="false" outlineLevel="0" collapsed="false">
      <c r="A639" s="27" t="s">
        <v>112</v>
      </c>
      <c r="B639" s="27" t="s">
        <v>110</v>
      </c>
      <c r="C639" s="27" t="s">
        <v>48</v>
      </c>
      <c r="D639" s="27" t="s">
        <v>46</v>
      </c>
      <c r="E639" s="28" t="n">
        <f aca="false">ROUND((SUMIFS(Acerto_Detalhado!$F$2:$F$433,Acerto_Detalhado!$A$2:$A$433,$C639,Acerto_Detalhado!$B$2:$B$433,"Fev",Acerto_Detalhado!$C$2:$C$433,"Umidade"))*(SUMIFS(Acerto_Detalhado!$I$2:$I$433,Acerto_Detalhado!$A$2:$A$433,$D639,Acerto_Detalhado!$B$2:$B$433,"Fev",Acerto_Detalhado!$C$2:$C$433,"Umidade")),2)</f>
        <v>0</v>
      </c>
    </row>
    <row r="640" customFormat="false" ht="15" hidden="false" customHeight="false" outlineLevel="0" collapsed="false">
      <c r="A640" s="27" t="s">
        <v>112</v>
      </c>
      <c r="B640" s="27" t="s">
        <v>110</v>
      </c>
      <c r="C640" s="27" t="s">
        <v>48</v>
      </c>
      <c r="D640" s="27" t="s">
        <v>47</v>
      </c>
      <c r="E640" s="28" t="n">
        <f aca="false">ROUND((SUMIFS(Acerto_Detalhado!$F$2:$F$433,Acerto_Detalhado!$A$2:$A$433,$C640,Acerto_Detalhado!$B$2:$B$433,"Fev",Acerto_Detalhado!$C$2:$C$433,"Umidade"))*(SUMIFS(Acerto_Detalhado!$I$2:$I$433,Acerto_Detalhado!$A$2:$A$433,$D640,Acerto_Detalhado!$B$2:$B$433,"Fev",Acerto_Detalhado!$C$2:$C$433,"Umidade")),2)</f>
        <v>0</v>
      </c>
    </row>
    <row r="641" customFormat="false" ht="15" hidden="false" customHeight="false" outlineLevel="0" collapsed="false">
      <c r="A641" s="27" t="s">
        <v>112</v>
      </c>
      <c r="B641" s="27" t="s">
        <v>110</v>
      </c>
      <c r="C641" s="27" t="s">
        <v>48</v>
      </c>
      <c r="D641" s="27" t="s">
        <v>49</v>
      </c>
      <c r="E641" s="28" t="n">
        <f aca="false">ROUND((SUMIFS(Acerto_Detalhado!$F$2:$F$433,Acerto_Detalhado!$A$2:$A$433,$C641,Acerto_Detalhado!$B$2:$B$433,"Fev",Acerto_Detalhado!$C$2:$C$433,"Umidade"))*(SUMIFS(Acerto_Detalhado!$I$2:$I$433,Acerto_Detalhado!$A$2:$A$433,$D641,Acerto_Detalhado!$B$2:$B$433,"Fev",Acerto_Detalhado!$C$2:$C$433,"Umidade")),2)</f>
        <v>0</v>
      </c>
    </row>
    <row r="642" customFormat="false" ht="15" hidden="false" customHeight="false" outlineLevel="0" collapsed="false">
      <c r="A642" s="27" t="s">
        <v>112</v>
      </c>
      <c r="B642" s="27" t="s">
        <v>110</v>
      </c>
      <c r="C642" s="27" t="s">
        <v>48</v>
      </c>
      <c r="D642" s="27" t="s">
        <v>50</v>
      </c>
      <c r="E642" s="28" t="n">
        <f aca="false">ROUND((SUMIFS(Acerto_Detalhado!$F$2:$F$433,Acerto_Detalhado!$A$2:$A$433,$C642,Acerto_Detalhado!$B$2:$B$433,"Fev",Acerto_Detalhado!$C$2:$C$433,"Umidade"))*(SUMIFS(Acerto_Detalhado!$I$2:$I$433,Acerto_Detalhado!$A$2:$A$433,$D642,Acerto_Detalhado!$B$2:$B$433,"Fev",Acerto_Detalhado!$C$2:$C$433,"Umidade")),2)</f>
        <v>0</v>
      </c>
    </row>
    <row r="643" customFormat="false" ht="15" hidden="false" customHeight="false" outlineLevel="0" collapsed="false">
      <c r="A643" s="27" t="s">
        <v>112</v>
      </c>
      <c r="B643" s="27" t="s">
        <v>110</v>
      </c>
      <c r="C643" s="27" t="s">
        <v>49</v>
      </c>
      <c r="D643" s="27" t="s">
        <v>39</v>
      </c>
      <c r="E643" s="28" t="n">
        <f aca="false">ROUND((SUMIFS(Acerto_Detalhado!$F$2:$F$433,Acerto_Detalhado!$A$2:$A$433,$C643,Acerto_Detalhado!$B$2:$B$433,"Fev",Acerto_Detalhado!$C$2:$C$433,"Umidade"))*(SUMIFS(Acerto_Detalhado!$I$2:$I$433,Acerto_Detalhado!$A$2:$A$433,$D643,Acerto_Detalhado!$B$2:$B$433,"Fev",Acerto_Detalhado!$C$2:$C$433,"Umidade")),2)</f>
        <v>0</v>
      </c>
    </row>
    <row r="644" customFormat="false" ht="15" hidden="false" customHeight="false" outlineLevel="0" collapsed="false">
      <c r="A644" s="27" t="s">
        <v>112</v>
      </c>
      <c r="B644" s="27" t="s">
        <v>110</v>
      </c>
      <c r="C644" s="27" t="s">
        <v>49</v>
      </c>
      <c r="D644" s="27" t="s">
        <v>40</v>
      </c>
      <c r="E644" s="28" t="n">
        <f aca="false">ROUND((SUMIFS(Acerto_Detalhado!$F$2:$F$433,Acerto_Detalhado!$A$2:$A$433,$C644,Acerto_Detalhado!$B$2:$B$433,"Fev",Acerto_Detalhado!$C$2:$C$433,"Umidade"))*(SUMIFS(Acerto_Detalhado!$I$2:$I$433,Acerto_Detalhado!$A$2:$A$433,$D644,Acerto_Detalhado!$B$2:$B$433,"Fev",Acerto_Detalhado!$C$2:$C$433,"Umidade")),2)</f>
        <v>0</v>
      </c>
    </row>
    <row r="645" customFormat="false" ht="15" hidden="false" customHeight="false" outlineLevel="0" collapsed="false">
      <c r="A645" s="27" t="s">
        <v>112</v>
      </c>
      <c r="B645" s="27" t="s">
        <v>110</v>
      </c>
      <c r="C645" s="27" t="s">
        <v>49</v>
      </c>
      <c r="D645" s="27" t="s">
        <v>41</v>
      </c>
      <c r="E645" s="28" t="n">
        <f aca="false">ROUND((SUMIFS(Acerto_Detalhado!$F$2:$F$433,Acerto_Detalhado!$A$2:$A$433,$C645,Acerto_Detalhado!$B$2:$B$433,"Fev",Acerto_Detalhado!$C$2:$C$433,"Umidade"))*(SUMIFS(Acerto_Detalhado!$I$2:$I$433,Acerto_Detalhado!$A$2:$A$433,$D645,Acerto_Detalhado!$B$2:$B$433,"Fev",Acerto_Detalhado!$C$2:$C$433,"Umidade")),2)</f>
        <v>0</v>
      </c>
    </row>
    <row r="646" customFormat="false" ht="15" hidden="false" customHeight="false" outlineLevel="0" collapsed="false">
      <c r="A646" s="27" t="s">
        <v>112</v>
      </c>
      <c r="B646" s="27" t="s">
        <v>110</v>
      </c>
      <c r="C646" s="27" t="s">
        <v>49</v>
      </c>
      <c r="D646" s="27" t="s">
        <v>42</v>
      </c>
      <c r="E646" s="28" t="n">
        <f aca="false">ROUND((SUMIFS(Acerto_Detalhado!$F$2:$F$433,Acerto_Detalhado!$A$2:$A$433,$C646,Acerto_Detalhado!$B$2:$B$433,"Fev",Acerto_Detalhado!$C$2:$C$433,"Umidade"))*(SUMIFS(Acerto_Detalhado!$I$2:$I$433,Acerto_Detalhado!$A$2:$A$433,$D646,Acerto_Detalhado!$B$2:$B$433,"Fev",Acerto_Detalhado!$C$2:$C$433,"Umidade")),2)</f>
        <v>0</v>
      </c>
    </row>
    <row r="647" customFormat="false" ht="15" hidden="false" customHeight="false" outlineLevel="0" collapsed="false">
      <c r="A647" s="27" t="s">
        <v>112</v>
      </c>
      <c r="B647" s="27" t="s">
        <v>110</v>
      </c>
      <c r="C647" s="27" t="s">
        <v>49</v>
      </c>
      <c r="D647" s="27" t="s">
        <v>43</v>
      </c>
      <c r="E647" s="28" t="n">
        <f aca="false">ROUND((SUMIFS(Acerto_Detalhado!$F$2:$F$433,Acerto_Detalhado!$A$2:$A$433,$C647,Acerto_Detalhado!$B$2:$B$433,"Fev",Acerto_Detalhado!$C$2:$C$433,"Umidade"))*(SUMIFS(Acerto_Detalhado!$I$2:$I$433,Acerto_Detalhado!$A$2:$A$433,$D647,Acerto_Detalhado!$B$2:$B$433,"Fev",Acerto_Detalhado!$C$2:$C$433,"Umidade")),2)</f>
        <v>0</v>
      </c>
    </row>
    <row r="648" customFormat="false" ht="15" hidden="false" customHeight="false" outlineLevel="0" collapsed="false">
      <c r="A648" s="27" t="s">
        <v>112</v>
      </c>
      <c r="B648" s="27" t="s">
        <v>110</v>
      </c>
      <c r="C648" s="27" t="s">
        <v>49</v>
      </c>
      <c r="D648" s="27" t="s">
        <v>44</v>
      </c>
      <c r="E648" s="28" t="n">
        <f aca="false">ROUND((SUMIFS(Acerto_Detalhado!$F$2:$F$433,Acerto_Detalhado!$A$2:$A$433,$C648,Acerto_Detalhado!$B$2:$B$433,"Fev",Acerto_Detalhado!$C$2:$C$433,"Umidade"))*(SUMIFS(Acerto_Detalhado!$I$2:$I$433,Acerto_Detalhado!$A$2:$A$433,$D648,Acerto_Detalhado!$B$2:$B$433,"Fev",Acerto_Detalhado!$C$2:$C$433,"Umidade")),2)</f>
        <v>0</v>
      </c>
    </row>
    <row r="649" customFormat="false" ht="15" hidden="false" customHeight="false" outlineLevel="0" collapsed="false">
      <c r="A649" s="27" t="s">
        <v>112</v>
      </c>
      <c r="B649" s="27" t="s">
        <v>110</v>
      </c>
      <c r="C649" s="27" t="s">
        <v>49</v>
      </c>
      <c r="D649" s="27" t="s">
        <v>45</v>
      </c>
      <c r="E649" s="28" t="n">
        <f aca="false">ROUND((SUMIFS(Acerto_Detalhado!$F$2:$F$433,Acerto_Detalhado!$A$2:$A$433,$C649,Acerto_Detalhado!$B$2:$B$433,"Fev",Acerto_Detalhado!$C$2:$C$433,"Umidade"))*(SUMIFS(Acerto_Detalhado!$I$2:$I$433,Acerto_Detalhado!$A$2:$A$433,$D649,Acerto_Detalhado!$B$2:$B$433,"Fev",Acerto_Detalhado!$C$2:$C$433,"Umidade")),2)</f>
        <v>0</v>
      </c>
    </row>
    <row r="650" customFormat="false" ht="15" hidden="false" customHeight="false" outlineLevel="0" collapsed="false">
      <c r="A650" s="27" t="s">
        <v>112</v>
      </c>
      <c r="B650" s="27" t="s">
        <v>110</v>
      </c>
      <c r="C650" s="27" t="s">
        <v>49</v>
      </c>
      <c r="D650" s="27" t="s">
        <v>46</v>
      </c>
      <c r="E650" s="28" t="n">
        <f aca="false">ROUND((SUMIFS(Acerto_Detalhado!$F$2:$F$433,Acerto_Detalhado!$A$2:$A$433,$C650,Acerto_Detalhado!$B$2:$B$433,"Fev",Acerto_Detalhado!$C$2:$C$433,"Umidade"))*(SUMIFS(Acerto_Detalhado!$I$2:$I$433,Acerto_Detalhado!$A$2:$A$433,$D650,Acerto_Detalhado!$B$2:$B$433,"Fev",Acerto_Detalhado!$C$2:$C$433,"Umidade")),2)</f>
        <v>0</v>
      </c>
    </row>
    <row r="651" customFormat="false" ht="15" hidden="false" customHeight="false" outlineLevel="0" collapsed="false">
      <c r="A651" s="27" t="s">
        <v>112</v>
      </c>
      <c r="B651" s="27" t="s">
        <v>110</v>
      </c>
      <c r="C651" s="27" t="s">
        <v>49</v>
      </c>
      <c r="D651" s="27" t="s">
        <v>47</v>
      </c>
      <c r="E651" s="28" t="n">
        <f aca="false">ROUND((SUMIFS(Acerto_Detalhado!$F$2:$F$433,Acerto_Detalhado!$A$2:$A$433,$C651,Acerto_Detalhado!$B$2:$B$433,"Fev",Acerto_Detalhado!$C$2:$C$433,"Umidade"))*(SUMIFS(Acerto_Detalhado!$I$2:$I$433,Acerto_Detalhado!$A$2:$A$433,$D651,Acerto_Detalhado!$B$2:$B$433,"Fev",Acerto_Detalhado!$C$2:$C$433,"Umidade")),2)</f>
        <v>0</v>
      </c>
    </row>
    <row r="652" customFormat="false" ht="15" hidden="false" customHeight="false" outlineLevel="0" collapsed="false">
      <c r="A652" s="27" t="s">
        <v>112</v>
      </c>
      <c r="B652" s="27" t="s">
        <v>110</v>
      </c>
      <c r="C652" s="27" t="s">
        <v>49</v>
      </c>
      <c r="D652" s="27" t="s">
        <v>48</v>
      </c>
      <c r="E652" s="28" t="n">
        <f aca="false">ROUND((SUMIFS(Acerto_Detalhado!$F$2:$F$433,Acerto_Detalhado!$A$2:$A$433,$C652,Acerto_Detalhado!$B$2:$B$433,"Fev",Acerto_Detalhado!$C$2:$C$433,"Umidade"))*(SUMIFS(Acerto_Detalhado!$I$2:$I$433,Acerto_Detalhado!$A$2:$A$433,$D652,Acerto_Detalhado!$B$2:$B$433,"Fev",Acerto_Detalhado!$C$2:$C$433,"Umidade")),2)</f>
        <v>0</v>
      </c>
    </row>
    <row r="653" customFormat="false" ht="15" hidden="false" customHeight="false" outlineLevel="0" collapsed="false">
      <c r="A653" s="27" t="s">
        <v>112</v>
      </c>
      <c r="B653" s="27" t="s">
        <v>110</v>
      </c>
      <c r="C653" s="27" t="s">
        <v>49</v>
      </c>
      <c r="D653" s="27" t="s">
        <v>50</v>
      </c>
      <c r="E653" s="28" t="n">
        <f aca="false">ROUND((SUMIFS(Acerto_Detalhado!$F$2:$F$433,Acerto_Detalhado!$A$2:$A$433,$C653,Acerto_Detalhado!$B$2:$B$433,"Fev",Acerto_Detalhado!$C$2:$C$433,"Umidade"))*(SUMIFS(Acerto_Detalhado!$I$2:$I$433,Acerto_Detalhado!$A$2:$A$433,$D653,Acerto_Detalhado!$B$2:$B$433,"Fev",Acerto_Detalhado!$C$2:$C$433,"Umidade")),2)</f>
        <v>0</v>
      </c>
    </row>
    <row r="654" customFormat="false" ht="15" hidden="false" customHeight="false" outlineLevel="0" collapsed="false">
      <c r="A654" s="27" t="s">
        <v>112</v>
      </c>
      <c r="B654" s="27" t="s">
        <v>110</v>
      </c>
      <c r="C654" s="27" t="s">
        <v>50</v>
      </c>
      <c r="D654" s="27" t="s">
        <v>39</v>
      </c>
      <c r="E654" s="28" t="n">
        <f aca="false">ROUND((SUMIFS(Acerto_Detalhado!$F$2:$F$433,Acerto_Detalhado!$A$2:$A$433,$C654,Acerto_Detalhado!$B$2:$B$433,"Fev",Acerto_Detalhado!$C$2:$C$433,"Umidade"))*(SUMIFS(Acerto_Detalhado!$I$2:$I$433,Acerto_Detalhado!$A$2:$A$433,$D654,Acerto_Detalhado!$B$2:$B$433,"Fev",Acerto_Detalhado!$C$2:$C$433,"Umidade")),2)</f>
        <v>0</v>
      </c>
    </row>
    <row r="655" customFormat="false" ht="15" hidden="false" customHeight="false" outlineLevel="0" collapsed="false">
      <c r="A655" s="27" t="s">
        <v>112</v>
      </c>
      <c r="B655" s="27" t="s">
        <v>110</v>
      </c>
      <c r="C655" s="27" t="s">
        <v>50</v>
      </c>
      <c r="D655" s="27" t="s">
        <v>40</v>
      </c>
      <c r="E655" s="28" t="n">
        <f aca="false">ROUND((SUMIFS(Acerto_Detalhado!$F$2:$F$433,Acerto_Detalhado!$A$2:$A$433,$C655,Acerto_Detalhado!$B$2:$B$433,"Fev",Acerto_Detalhado!$C$2:$C$433,"Umidade"))*(SUMIFS(Acerto_Detalhado!$I$2:$I$433,Acerto_Detalhado!$A$2:$A$433,$D655,Acerto_Detalhado!$B$2:$B$433,"Fev",Acerto_Detalhado!$C$2:$C$433,"Umidade")),2)</f>
        <v>0</v>
      </c>
    </row>
    <row r="656" customFormat="false" ht="15" hidden="false" customHeight="false" outlineLevel="0" collapsed="false">
      <c r="A656" s="27" t="s">
        <v>112</v>
      </c>
      <c r="B656" s="27" t="s">
        <v>110</v>
      </c>
      <c r="C656" s="27" t="s">
        <v>50</v>
      </c>
      <c r="D656" s="27" t="s">
        <v>41</v>
      </c>
      <c r="E656" s="28" t="n">
        <f aca="false">ROUND((SUMIFS(Acerto_Detalhado!$F$2:$F$433,Acerto_Detalhado!$A$2:$A$433,$C656,Acerto_Detalhado!$B$2:$B$433,"Fev",Acerto_Detalhado!$C$2:$C$433,"Umidade"))*(SUMIFS(Acerto_Detalhado!$I$2:$I$433,Acerto_Detalhado!$A$2:$A$433,$D656,Acerto_Detalhado!$B$2:$B$433,"Fev",Acerto_Detalhado!$C$2:$C$433,"Umidade")),2)</f>
        <v>0</v>
      </c>
    </row>
    <row r="657" customFormat="false" ht="15" hidden="false" customHeight="false" outlineLevel="0" collapsed="false">
      <c r="A657" s="27" t="s">
        <v>112</v>
      </c>
      <c r="B657" s="27" t="s">
        <v>110</v>
      </c>
      <c r="C657" s="27" t="s">
        <v>50</v>
      </c>
      <c r="D657" s="27" t="s">
        <v>42</v>
      </c>
      <c r="E657" s="28" t="n">
        <f aca="false">ROUND((SUMIFS(Acerto_Detalhado!$F$2:$F$433,Acerto_Detalhado!$A$2:$A$433,$C657,Acerto_Detalhado!$B$2:$B$433,"Fev",Acerto_Detalhado!$C$2:$C$433,"Umidade"))*(SUMIFS(Acerto_Detalhado!$I$2:$I$433,Acerto_Detalhado!$A$2:$A$433,$D657,Acerto_Detalhado!$B$2:$B$433,"Fev",Acerto_Detalhado!$C$2:$C$433,"Umidade")),2)</f>
        <v>0</v>
      </c>
    </row>
    <row r="658" customFormat="false" ht="15" hidden="false" customHeight="false" outlineLevel="0" collapsed="false">
      <c r="A658" s="27" t="s">
        <v>112</v>
      </c>
      <c r="B658" s="27" t="s">
        <v>110</v>
      </c>
      <c r="C658" s="27" t="s">
        <v>50</v>
      </c>
      <c r="D658" s="27" t="s">
        <v>43</v>
      </c>
      <c r="E658" s="28" t="n">
        <f aca="false">ROUND((SUMIFS(Acerto_Detalhado!$F$2:$F$433,Acerto_Detalhado!$A$2:$A$433,$C658,Acerto_Detalhado!$B$2:$B$433,"Fev",Acerto_Detalhado!$C$2:$C$433,"Umidade"))*(SUMIFS(Acerto_Detalhado!$I$2:$I$433,Acerto_Detalhado!$A$2:$A$433,$D658,Acerto_Detalhado!$B$2:$B$433,"Fev",Acerto_Detalhado!$C$2:$C$433,"Umidade")),2)</f>
        <v>0</v>
      </c>
    </row>
    <row r="659" customFormat="false" ht="15" hidden="false" customHeight="false" outlineLevel="0" collapsed="false">
      <c r="A659" s="27" t="s">
        <v>112</v>
      </c>
      <c r="B659" s="27" t="s">
        <v>110</v>
      </c>
      <c r="C659" s="27" t="s">
        <v>50</v>
      </c>
      <c r="D659" s="27" t="s">
        <v>44</v>
      </c>
      <c r="E659" s="28" t="n">
        <f aca="false">ROUND((SUMIFS(Acerto_Detalhado!$F$2:$F$433,Acerto_Detalhado!$A$2:$A$433,$C659,Acerto_Detalhado!$B$2:$B$433,"Fev",Acerto_Detalhado!$C$2:$C$433,"Umidade"))*(SUMIFS(Acerto_Detalhado!$I$2:$I$433,Acerto_Detalhado!$A$2:$A$433,$D659,Acerto_Detalhado!$B$2:$B$433,"Fev",Acerto_Detalhado!$C$2:$C$433,"Umidade")),2)</f>
        <v>0</v>
      </c>
    </row>
    <row r="660" customFormat="false" ht="15" hidden="false" customHeight="false" outlineLevel="0" collapsed="false">
      <c r="A660" s="27" t="s">
        <v>112</v>
      </c>
      <c r="B660" s="27" t="s">
        <v>110</v>
      </c>
      <c r="C660" s="27" t="s">
        <v>50</v>
      </c>
      <c r="D660" s="27" t="s">
        <v>45</v>
      </c>
      <c r="E660" s="28" t="n">
        <f aca="false">ROUND((SUMIFS(Acerto_Detalhado!$F$2:$F$433,Acerto_Detalhado!$A$2:$A$433,$C660,Acerto_Detalhado!$B$2:$B$433,"Fev",Acerto_Detalhado!$C$2:$C$433,"Umidade"))*(SUMIFS(Acerto_Detalhado!$I$2:$I$433,Acerto_Detalhado!$A$2:$A$433,$D660,Acerto_Detalhado!$B$2:$B$433,"Fev",Acerto_Detalhado!$C$2:$C$433,"Umidade")),2)</f>
        <v>0</v>
      </c>
    </row>
    <row r="661" customFormat="false" ht="15" hidden="false" customHeight="false" outlineLevel="0" collapsed="false">
      <c r="A661" s="27" t="s">
        <v>112</v>
      </c>
      <c r="B661" s="27" t="s">
        <v>110</v>
      </c>
      <c r="C661" s="27" t="s">
        <v>50</v>
      </c>
      <c r="D661" s="27" t="s">
        <v>46</v>
      </c>
      <c r="E661" s="28" t="n">
        <f aca="false">ROUND((SUMIFS(Acerto_Detalhado!$F$2:$F$433,Acerto_Detalhado!$A$2:$A$433,$C661,Acerto_Detalhado!$B$2:$B$433,"Fev",Acerto_Detalhado!$C$2:$C$433,"Umidade"))*(SUMIFS(Acerto_Detalhado!$I$2:$I$433,Acerto_Detalhado!$A$2:$A$433,$D661,Acerto_Detalhado!$B$2:$B$433,"Fev",Acerto_Detalhado!$C$2:$C$433,"Umidade")),2)</f>
        <v>0</v>
      </c>
    </row>
    <row r="662" customFormat="false" ht="15" hidden="false" customHeight="false" outlineLevel="0" collapsed="false">
      <c r="A662" s="27" t="s">
        <v>112</v>
      </c>
      <c r="B662" s="27" t="s">
        <v>110</v>
      </c>
      <c r="C662" s="27" t="s">
        <v>50</v>
      </c>
      <c r="D662" s="27" t="s">
        <v>47</v>
      </c>
      <c r="E662" s="28" t="n">
        <f aca="false">ROUND((SUMIFS(Acerto_Detalhado!$F$2:$F$433,Acerto_Detalhado!$A$2:$A$433,$C662,Acerto_Detalhado!$B$2:$B$433,"Fev",Acerto_Detalhado!$C$2:$C$433,"Umidade"))*(SUMIFS(Acerto_Detalhado!$I$2:$I$433,Acerto_Detalhado!$A$2:$A$433,$D662,Acerto_Detalhado!$B$2:$B$433,"Fev",Acerto_Detalhado!$C$2:$C$433,"Umidade")),2)</f>
        <v>0</v>
      </c>
    </row>
    <row r="663" customFormat="false" ht="15" hidden="false" customHeight="false" outlineLevel="0" collapsed="false">
      <c r="A663" s="27" t="s">
        <v>112</v>
      </c>
      <c r="B663" s="27" t="s">
        <v>110</v>
      </c>
      <c r="C663" s="27" t="s">
        <v>50</v>
      </c>
      <c r="D663" s="27" t="s">
        <v>48</v>
      </c>
      <c r="E663" s="28" t="n">
        <f aca="false">ROUND((SUMIFS(Acerto_Detalhado!$F$2:$F$433,Acerto_Detalhado!$A$2:$A$433,$C663,Acerto_Detalhado!$B$2:$B$433,"Fev",Acerto_Detalhado!$C$2:$C$433,"Umidade"))*(SUMIFS(Acerto_Detalhado!$I$2:$I$433,Acerto_Detalhado!$A$2:$A$433,$D663,Acerto_Detalhado!$B$2:$B$433,"Fev",Acerto_Detalhado!$C$2:$C$433,"Umidade")),2)</f>
        <v>0</v>
      </c>
    </row>
    <row r="664" customFormat="false" ht="15" hidden="false" customHeight="false" outlineLevel="0" collapsed="false">
      <c r="A664" s="27" t="s">
        <v>112</v>
      </c>
      <c r="B664" s="27" t="s">
        <v>110</v>
      </c>
      <c r="C664" s="27" t="s">
        <v>50</v>
      </c>
      <c r="D664" s="27" t="s">
        <v>49</v>
      </c>
      <c r="E664" s="28" t="n">
        <f aca="false">ROUND((SUMIFS(Acerto_Detalhado!$F$2:$F$433,Acerto_Detalhado!$A$2:$A$433,$C664,Acerto_Detalhado!$B$2:$B$433,"Fev",Acerto_Detalhado!$C$2:$C$433,"Umidade"))*(SUMIFS(Acerto_Detalhado!$I$2:$I$433,Acerto_Detalhado!$A$2:$A$433,$D664,Acerto_Detalhado!$B$2:$B$433,"Fev",Acerto_Detalhado!$C$2:$C$433,"Umidade")),2)</f>
        <v>0</v>
      </c>
    </row>
    <row r="665" customFormat="false" ht="15" hidden="false" customHeight="false" outlineLevel="0" collapsed="false">
      <c r="A665" s="27" t="s">
        <v>112</v>
      </c>
      <c r="B665" s="27" t="s">
        <v>111</v>
      </c>
      <c r="C665" s="27" t="s">
        <v>39</v>
      </c>
      <c r="D665" s="27" t="s">
        <v>40</v>
      </c>
      <c r="E665" s="28" t="n">
        <f aca="false">ROUND((SUMIFS(Acerto_Detalhado!$F$2:$F$433,Acerto_Detalhado!$A$2:$A$433,$C665,Acerto_Detalhado!$B$2:$B$433,"Fev",Acerto_Detalhado!$C$2:$C$433,"Fibra"))*(SUMIFS(Acerto_Detalhado!$I$2:$I$433,Acerto_Detalhado!$A$2:$A$433,$D665,Acerto_Detalhado!$B$2:$B$433,"Fev",Acerto_Detalhado!$C$2:$C$433,"Fibra")),2)</f>
        <v>0</v>
      </c>
    </row>
    <row r="666" customFormat="false" ht="15" hidden="false" customHeight="false" outlineLevel="0" collapsed="false">
      <c r="A666" s="27" t="s">
        <v>112</v>
      </c>
      <c r="B666" s="27" t="s">
        <v>111</v>
      </c>
      <c r="C666" s="27" t="s">
        <v>39</v>
      </c>
      <c r="D666" s="27" t="s">
        <v>41</v>
      </c>
      <c r="E666" s="28" t="n">
        <f aca="false">ROUND((SUMIFS(Acerto_Detalhado!$F$2:$F$433,Acerto_Detalhado!$A$2:$A$433,$C666,Acerto_Detalhado!$B$2:$B$433,"Fev",Acerto_Detalhado!$C$2:$C$433,"Fibra"))*(SUMIFS(Acerto_Detalhado!$I$2:$I$433,Acerto_Detalhado!$A$2:$A$433,$D666,Acerto_Detalhado!$B$2:$B$433,"Fev",Acerto_Detalhado!$C$2:$C$433,"Fibra")),2)</f>
        <v>0</v>
      </c>
    </row>
    <row r="667" customFormat="false" ht="15" hidden="false" customHeight="false" outlineLevel="0" collapsed="false">
      <c r="A667" s="27" t="s">
        <v>112</v>
      </c>
      <c r="B667" s="27" t="s">
        <v>111</v>
      </c>
      <c r="C667" s="27" t="s">
        <v>39</v>
      </c>
      <c r="D667" s="27" t="s">
        <v>42</v>
      </c>
      <c r="E667" s="28" t="n">
        <f aca="false">ROUND((SUMIFS(Acerto_Detalhado!$F$2:$F$433,Acerto_Detalhado!$A$2:$A$433,$C667,Acerto_Detalhado!$B$2:$B$433,"Fev",Acerto_Detalhado!$C$2:$C$433,"Fibra"))*(SUMIFS(Acerto_Detalhado!$I$2:$I$433,Acerto_Detalhado!$A$2:$A$433,$D667,Acerto_Detalhado!$B$2:$B$433,"Fev",Acerto_Detalhado!$C$2:$C$433,"Fibra")),2)</f>
        <v>0</v>
      </c>
    </row>
    <row r="668" customFormat="false" ht="15" hidden="false" customHeight="false" outlineLevel="0" collapsed="false">
      <c r="A668" s="27" t="s">
        <v>112</v>
      </c>
      <c r="B668" s="27" t="s">
        <v>111</v>
      </c>
      <c r="C668" s="27" t="s">
        <v>39</v>
      </c>
      <c r="D668" s="27" t="s">
        <v>43</v>
      </c>
      <c r="E668" s="28" t="n">
        <f aca="false">ROUND((SUMIFS(Acerto_Detalhado!$F$2:$F$433,Acerto_Detalhado!$A$2:$A$433,$C668,Acerto_Detalhado!$B$2:$B$433,"Fev",Acerto_Detalhado!$C$2:$C$433,"Fibra"))*(SUMIFS(Acerto_Detalhado!$I$2:$I$433,Acerto_Detalhado!$A$2:$A$433,$D668,Acerto_Detalhado!$B$2:$B$433,"Fev",Acerto_Detalhado!$C$2:$C$433,"Fibra")),2)</f>
        <v>0</v>
      </c>
    </row>
    <row r="669" customFormat="false" ht="15" hidden="false" customHeight="false" outlineLevel="0" collapsed="false">
      <c r="A669" s="27" t="s">
        <v>112</v>
      </c>
      <c r="B669" s="27" t="s">
        <v>111</v>
      </c>
      <c r="C669" s="27" t="s">
        <v>39</v>
      </c>
      <c r="D669" s="27" t="s">
        <v>44</v>
      </c>
      <c r="E669" s="28" t="n">
        <f aca="false">ROUND((SUMIFS(Acerto_Detalhado!$F$2:$F$433,Acerto_Detalhado!$A$2:$A$433,$C669,Acerto_Detalhado!$B$2:$B$433,"Fev",Acerto_Detalhado!$C$2:$C$433,"Fibra"))*(SUMIFS(Acerto_Detalhado!$I$2:$I$433,Acerto_Detalhado!$A$2:$A$433,$D669,Acerto_Detalhado!$B$2:$B$433,"Fev",Acerto_Detalhado!$C$2:$C$433,"Fibra")),2)</f>
        <v>0</v>
      </c>
    </row>
    <row r="670" customFormat="false" ht="15" hidden="false" customHeight="false" outlineLevel="0" collapsed="false">
      <c r="A670" s="27" t="s">
        <v>112</v>
      </c>
      <c r="B670" s="27" t="s">
        <v>111</v>
      </c>
      <c r="C670" s="27" t="s">
        <v>39</v>
      </c>
      <c r="D670" s="27" t="s">
        <v>45</v>
      </c>
      <c r="E670" s="28" t="n">
        <f aca="false">ROUND((SUMIFS(Acerto_Detalhado!$F$2:$F$433,Acerto_Detalhado!$A$2:$A$433,$C670,Acerto_Detalhado!$B$2:$B$433,"Fev",Acerto_Detalhado!$C$2:$C$433,"Fibra"))*(SUMIFS(Acerto_Detalhado!$I$2:$I$433,Acerto_Detalhado!$A$2:$A$433,$D670,Acerto_Detalhado!$B$2:$B$433,"Fev",Acerto_Detalhado!$C$2:$C$433,"Fibra")),2)</f>
        <v>0</v>
      </c>
    </row>
    <row r="671" customFormat="false" ht="15" hidden="false" customHeight="false" outlineLevel="0" collapsed="false">
      <c r="A671" s="27" t="s">
        <v>112</v>
      </c>
      <c r="B671" s="27" t="s">
        <v>111</v>
      </c>
      <c r="C671" s="27" t="s">
        <v>39</v>
      </c>
      <c r="D671" s="27" t="s">
        <v>46</v>
      </c>
      <c r="E671" s="28" t="n">
        <f aca="false">ROUND((SUMIFS(Acerto_Detalhado!$F$2:$F$433,Acerto_Detalhado!$A$2:$A$433,$C671,Acerto_Detalhado!$B$2:$B$433,"Fev",Acerto_Detalhado!$C$2:$C$433,"Fibra"))*(SUMIFS(Acerto_Detalhado!$I$2:$I$433,Acerto_Detalhado!$A$2:$A$433,$D671,Acerto_Detalhado!$B$2:$B$433,"Fev",Acerto_Detalhado!$C$2:$C$433,"Fibra")),2)</f>
        <v>0</v>
      </c>
    </row>
    <row r="672" customFormat="false" ht="15" hidden="false" customHeight="false" outlineLevel="0" collapsed="false">
      <c r="A672" s="27" t="s">
        <v>112</v>
      </c>
      <c r="B672" s="27" t="s">
        <v>111</v>
      </c>
      <c r="C672" s="27" t="s">
        <v>39</v>
      </c>
      <c r="D672" s="27" t="s">
        <v>47</v>
      </c>
      <c r="E672" s="28" t="n">
        <f aca="false">ROUND((SUMIFS(Acerto_Detalhado!$F$2:$F$433,Acerto_Detalhado!$A$2:$A$433,$C672,Acerto_Detalhado!$B$2:$B$433,"Fev",Acerto_Detalhado!$C$2:$C$433,"Fibra"))*(SUMIFS(Acerto_Detalhado!$I$2:$I$433,Acerto_Detalhado!$A$2:$A$433,$D672,Acerto_Detalhado!$B$2:$B$433,"Fev",Acerto_Detalhado!$C$2:$C$433,"Fibra")),2)</f>
        <v>0</v>
      </c>
    </row>
    <row r="673" customFormat="false" ht="15" hidden="false" customHeight="false" outlineLevel="0" collapsed="false">
      <c r="A673" s="27" t="s">
        <v>112</v>
      </c>
      <c r="B673" s="27" t="s">
        <v>111</v>
      </c>
      <c r="C673" s="27" t="s">
        <v>39</v>
      </c>
      <c r="D673" s="27" t="s">
        <v>48</v>
      </c>
      <c r="E673" s="28" t="n">
        <f aca="false">ROUND((SUMIFS(Acerto_Detalhado!$F$2:$F$433,Acerto_Detalhado!$A$2:$A$433,$C673,Acerto_Detalhado!$B$2:$B$433,"Fev",Acerto_Detalhado!$C$2:$C$433,"Fibra"))*(SUMIFS(Acerto_Detalhado!$I$2:$I$433,Acerto_Detalhado!$A$2:$A$433,$D673,Acerto_Detalhado!$B$2:$B$433,"Fev",Acerto_Detalhado!$C$2:$C$433,"Fibra")),2)</f>
        <v>0</v>
      </c>
    </row>
    <row r="674" customFormat="false" ht="15" hidden="false" customHeight="false" outlineLevel="0" collapsed="false">
      <c r="A674" s="27" t="s">
        <v>112</v>
      </c>
      <c r="B674" s="27" t="s">
        <v>111</v>
      </c>
      <c r="C674" s="27" t="s">
        <v>39</v>
      </c>
      <c r="D674" s="27" t="s">
        <v>49</v>
      </c>
      <c r="E674" s="28" t="n">
        <f aca="false">ROUND((SUMIFS(Acerto_Detalhado!$F$2:$F$433,Acerto_Detalhado!$A$2:$A$433,$C674,Acerto_Detalhado!$B$2:$B$433,"Fev",Acerto_Detalhado!$C$2:$C$433,"Fibra"))*(SUMIFS(Acerto_Detalhado!$I$2:$I$433,Acerto_Detalhado!$A$2:$A$433,$D674,Acerto_Detalhado!$B$2:$B$433,"Fev",Acerto_Detalhado!$C$2:$C$433,"Fibra")),2)</f>
        <v>0</v>
      </c>
    </row>
    <row r="675" customFormat="false" ht="15" hidden="false" customHeight="false" outlineLevel="0" collapsed="false">
      <c r="A675" s="27" t="s">
        <v>112</v>
      </c>
      <c r="B675" s="27" t="s">
        <v>111</v>
      </c>
      <c r="C675" s="27" t="s">
        <v>39</v>
      </c>
      <c r="D675" s="27" t="s">
        <v>50</v>
      </c>
      <c r="E675" s="28" t="n">
        <f aca="false">ROUND((SUMIFS(Acerto_Detalhado!$F$2:$F$433,Acerto_Detalhado!$A$2:$A$433,$C675,Acerto_Detalhado!$B$2:$B$433,"Fev",Acerto_Detalhado!$C$2:$C$433,"Fibra"))*(SUMIFS(Acerto_Detalhado!$I$2:$I$433,Acerto_Detalhado!$A$2:$A$433,$D675,Acerto_Detalhado!$B$2:$B$433,"Fev",Acerto_Detalhado!$C$2:$C$433,"Fibra")),2)</f>
        <v>0</v>
      </c>
    </row>
    <row r="676" customFormat="false" ht="15" hidden="false" customHeight="false" outlineLevel="0" collapsed="false">
      <c r="A676" s="27" t="s">
        <v>112</v>
      </c>
      <c r="B676" s="27" t="s">
        <v>111</v>
      </c>
      <c r="C676" s="27" t="s">
        <v>40</v>
      </c>
      <c r="D676" s="27" t="s">
        <v>39</v>
      </c>
      <c r="E676" s="28" t="n">
        <f aca="false">ROUND((SUMIFS(Acerto_Detalhado!$F$2:$F$433,Acerto_Detalhado!$A$2:$A$433,$C676,Acerto_Detalhado!$B$2:$B$433,"Fev",Acerto_Detalhado!$C$2:$C$433,"Fibra"))*(SUMIFS(Acerto_Detalhado!$I$2:$I$433,Acerto_Detalhado!$A$2:$A$433,$D676,Acerto_Detalhado!$B$2:$B$433,"Fev",Acerto_Detalhado!$C$2:$C$433,"Fibra")),2)</f>
        <v>0</v>
      </c>
    </row>
    <row r="677" customFormat="false" ht="15" hidden="false" customHeight="false" outlineLevel="0" collapsed="false">
      <c r="A677" s="27" t="s">
        <v>112</v>
      </c>
      <c r="B677" s="27" t="s">
        <v>111</v>
      </c>
      <c r="C677" s="27" t="s">
        <v>40</v>
      </c>
      <c r="D677" s="27" t="s">
        <v>41</v>
      </c>
      <c r="E677" s="28" t="n">
        <f aca="false">ROUND((SUMIFS(Acerto_Detalhado!$F$2:$F$433,Acerto_Detalhado!$A$2:$A$433,$C677,Acerto_Detalhado!$B$2:$B$433,"Fev",Acerto_Detalhado!$C$2:$C$433,"Fibra"))*(SUMIFS(Acerto_Detalhado!$I$2:$I$433,Acerto_Detalhado!$A$2:$A$433,$D677,Acerto_Detalhado!$B$2:$B$433,"Fev",Acerto_Detalhado!$C$2:$C$433,"Fibra")),2)</f>
        <v>0</v>
      </c>
    </row>
    <row r="678" customFormat="false" ht="15" hidden="false" customHeight="false" outlineLevel="0" collapsed="false">
      <c r="A678" s="27" t="s">
        <v>112</v>
      </c>
      <c r="B678" s="27" t="s">
        <v>111</v>
      </c>
      <c r="C678" s="27" t="s">
        <v>40</v>
      </c>
      <c r="D678" s="27" t="s">
        <v>42</v>
      </c>
      <c r="E678" s="28" t="n">
        <f aca="false">ROUND((SUMIFS(Acerto_Detalhado!$F$2:$F$433,Acerto_Detalhado!$A$2:$A$433,$C678,Acerto_Detalhado!$B$2:$B$433,"Fev",Acerto_Detalhado!$C$2:$C$433,"Fibra"))*(SUMIFS(Acerto_Detalhado!$I$2:$I$433,Acerto_Detalhado!$A$2:$A$433,$D678,Acerto_Detalhado!$B$2:$B$433,"Fev",Acerto_Detalhado!$C$2:$C$433,"Fibra")),2)</f>
        <v>0</v>
      </c>
    </row>
    <row r="679" customFormat="false" ht="15" hidden="false" customHeight="false" outlineLevel="0" collapsed="false">
      <c r="A679" s="27" t="s">
        <v>112</v>
      </c>
      <c r="B679" s="27" t="s">
        <v>111</v>
      </c>
      <c r="C679" s="27" t="s">
        <v>40</v>
      </c>
      <c r="D679" s="27" t="s">
        <v>43</v>
      </c>
      <c r="E679" s="28" t="n">
        <f aca="false">ROUND((SUMIFS(Acerto_Detalhado!$F$2:$F$433,Acerto_Detalhado!$A$2:$A$433,$C679,Acerto_Detalhado!$B$2:$B$433,"Fev",Acerto_Detalhado!$C$2:$C$433,"Fibra"))*(SUMIFS(Acerto_Detalhado!$I$2:$I$433,Acerto_Detalhado!$A$2:$A$433,$D679,Acerto_Detalhado!$B$2:$B$433,"Fev",Acerto_Detalhado!$C$2:$C$433,"Fibra")),2)</f>
        <v>0</v>
      </c>
    </row>
    <row r="680" customFormat="false" ht="15" hidden="false" customHeight="false" outlineLevel="0" collapsed="false">
      <c r="A680" s="27" t="s">
        <v>112</v>
      </c>
      <c r="B680" s="27" t="s">
        <v>111</v>
      </c>
      <c r="C680" s="27" t="s">
        <v>40</v>
      </c>
      <c r="D680" s="27" t="s">
        <v>44</v>
      </c>
      <c r="E680" s="28" t="n">
        <f aca="false">ROUND((SUMIFS(Acerto_Detalhado!$F$2:$F$433,Acerto_Detalhado!$A$2:$A$433,$C680,Acerto_Detalhado!$B$2:$B$433,"Fev",Acerto_Detalhado!$C$2:$C$433,"Fibra"))*(SUMIFS(Acerto_Detalhado!$I$2:$I$433,Acerto_Detalhado!$A$2:$A$433,$D680,Acerto_Detalhado!$B$2:$B$433,"Fev",Acerto_Detalhado!$C$2:$C$433,"Fibra")),2)</f>
        <v>0</v>
      </c>
    </row>
    <row r="681" customFormat="false" ht="15" hidden="false" customHeight="false" outlineLevel="0" collapsed="false">
      <c r="A681" s="27" t="s">
        <v>112</v>
      </c>
      <c r="B681" s="27" t="s">
        <v>111</v>
      </c>
      <c r="C681" s="27" t="s">
        <v>40</v>
      </c>
      <c r="D681" s="27" t="s">
        <v>45</v>
      </c>
      <c r="E681" s="28" t="n">
        <f aca="false">ROUND((SUMIFS(Acerto_Detalhado!$F$2:$F$433,Acerto_Detalhado!$A$2:$A$433,$C681,Acerto_Detalhado!$B$2:$B$433,"Fev",Acerto_Detalhado!$C$2:$C$433,"Fibra"))*(SUMIFS(Acerto_Detalhado!$I$2:$I$433,Acerto_Detalhado!$A$2:$A$433,$D681,Acerto_Detalhado!$B$2:$B$433,"Fev",Acerto_Detalhado!$C$2:$C$433,"Fibra")),2)</f>
        <v>0</v>
      </c>
    </row>
    <row r="682" customFormat="false" ht="15" hidden="false" customHeight="false" outlineLevel="0" collapsed="false">
      <c r="A682" s="27" t="s">
        <v>112</v>
      </c>
      <c r="B682" s="27" t="s">
        <v>111</v>
      </c>
      <c r="C682" s="27" t="s">
        <v>40</v>
      </c>
      <c r="D682" s="27" t="s">
        <v>46</v>
      </c>
      <c r="E682" s="28" t="n">
        <f aca="false">ROUND((SUMIFS(Acerto_Detalhado!$F$2:$F$433,Acerto_Detalhado!$A$2:$A$433,$C682,Acerto_Detalhado!$B$2:$B$433,"Fev",Acerto_Detalhado!$C$2:$C$433,"Fibra"))*(SUMIFS(Acerto_Detalhado!$I$2:$I$433,Acerto_Detalhado!$A$2:$A$433,$D682,Acerto_Detalhado!$B$2:$B$433,"Fev",Acerto_Detalhado!$C$2:$C$433,"Fibra")),2)</f>
        <v>0</v>
      </c>
    </row>
    <row r="683" customFormat="false" ht="15" hidden="false" customHeight="false" outlineLevel="0" collapsed="false">
      <c r="A683" s="27" t="s">
        <v>112</v>
      </c>
      <c r="B683" s="27" t="s">
        <v>111</v>
      </c>
      <c r="C683" s="27" t="s">
        <v>40</v>
      </c>
      <c r="D683" s="27" t="s">
        <v>47</v>
      </c>
      <c r="E683" s="28" t="n">
        <f aca="false">ROUND((SUMIFS(Acerto_Detalhado!$F$2:$F$433,Acerto_Detalhado!$A$2:$A$433,$C683,Acerto_Detalhado!$B$2:$B$433,"Fev",Acerto_Detalhado!$C$2:$C$433,"Fibra"))*(SUMIFS(Acerto_Detalhado!$I$2:$I$433,Acerto_Detalhado!$A$2:$A$433,$D683,Acerto_Detalhado!$B$2:$B$433,"Fev",Acerto_Detalhado!$C$2:$C$433,"Fibra")),2)</f>
        <v>0</v>
      </c>
    </row>
    <row r="684" customFormat="false" ht="15" hidden="false" customHeight="false" outlineLevel="0" collapsed="false">
      <c r="A684" s="27" t="s">
        <v>112</v>
      </c>
      <c r="B684" s="27" t="s">
        <v>111</v>
      </c>
      <c r="C684" s="27" t="s">
        <v>40</v>
      </c>
      <c r="D684" s="27" t="s">
        <v>48</v>
      </c>
      <c r="E684" s="28" t="n">
        <f aca="false">ROUND((SUMIFS(Acerto_Detalhado!$F$2:$F$433,Acerto_Detalhado!$A$2:$A$433,$C684,Acerto_Detalhado!$B$2:$B$433,"Fev",Acerto_Detalhado!$C$2:$C$433,"Fibra"))*(SUMIFS(Acerto_Detalhado!$I$2:$I$433,Acerto_Detalhado!$A$2:$A$433,$D684,Acerto_Detalhado!$B$2:$B$433,"Fev",Acerto_Detalhado!$C$2:$C$433,"Fibra")),2)</f>
        <v>0</v>
      </c>
    </row>
    <row r="685" customFormat="false" ht="15" hidden="false" customHeight="false" outlineLevel="0" collapsed="false">
      <c r="A685" s="27" t="s">
        <v>112</v>
      </c>
      <c r="B685" s="27" t="s">
        <v>111</v>
      </c>
      <c r="C685" s="27" t="s">
        <v>40</v>
      </c>
      <c r="D685" s="27" t="s">
        <v>49</v>
      </c>
      <c r="E685" s="28" t="n">
        <f aca="false">ROUND((SUMIFS(Acerto_Detalhado!$F$2:$F$433,Acerto_Detalhado!$A$2:$A$433,$C685,Acerto_Detalhado!$B$2:$B$433,"Fev",Acerto_Detalhado!$C$2:$C$433,"Fibra"))*(SUMIFS(Acerto_Detalhado!$I$2:$I$433,Acerto_Detalhado!$A$2:$A$433,$D685,Acerto_Detalhado!$B$2:$B$433,"Fev",Acerto_Detalhado!$C$2:$C$433,"Fibra")),2)</f>
        <v>0</v>
      </c>
    </row>
    <row r="686" customFormat="false" ht="15" hidden="false" customHeight="false" outlineLevel="0" collapsed="false">
      <c r="A686" s="27" t="s">
        <v>112</v>
      </c>
      <c r="B686" s="27" t="s">
        <v>111</v>
      </c>
      <c r="C686" s="27" t="s">
        <v>40</v>
      </c>
      <c r="D686" s="27" t="s">
        <v>50</v>
      </c>
      <c r="E686" s="28" t="n">
        <f aca="false">ROUND((SUMIFS(Acerto_Detalhado!$F$2:$F$433,Acerto_Detalhado!$A$2:$A$433,$C686,Acerto_Detalhado!$B$2:$B$433,"Fev",Acerto_Detalhado!$C$2:$C$433,"Fibra"))*(SUMIFS(Acerto_Detalhado!$I$2:$I$433,Acerto_Detalhado!$A$2:$A$433,$D686,Acerto_Detalhado!$B$2:$B$433,"Fev",Acerto_Detalhado!$C$2:$C$433,"Fibra")),2)</f>
        <v>0</v>
      </c>
    </row>
    <row r="687" customFormat="false" ht="15" hidden="false" customHeight="false" outlineLevel="0" collapsed="false">
      <c r="A687" s="27" t="s">
        <v>112</v>
      </c>
      <c r="B687" s="27" t="s">
        <v>111</v>
      </c>
      <c r="C687" s="27" t="s">
        <v>41</v>
      </c>
      <c r="D687" s="27" t="s">
        <v>39</v>
      </c>
      <c r="E687" s="28" t="n">
        <f aca="false">ROUND((SUMIFS(Acerto_Detalhado!$F$2:$F$433,Acerto_Detalhado!$A$2:$A$433,$C687,Acerto_Detalhado!$B$2:$B$433,"Fev",Acerto_Detalhado!$C$2:$C$433,"Fibra"))*(SUMIFS(Acerto_Detalhado!$I$2:$I$433,Acerto_Detalhado!$A$2:$A$433,$D687,Acerto_Detalhado!$B$2:$B$433,"Fev",Acerto_Detalhado!$C$2:$C$433,"Fibra")),2)</f>
        <v>0</v>
      </c>
    </row>
    <row r="688" customFormat="false" ht="15" hidden="false" customHeight="false" outlineLevel="0" collapsed="false">
      <c r="A688" s="27" t="s">
        <v>112</v>
      </c>
      <c r="B688" s="27" t="s">
        <v>111</v>
      </c>
      <c r="C688" s="27" t="s">
        <v>41</v>
      </c>
      <c r="D688" s="27" t="s">
        <v>40</v>
      </c>
      <c r="E688" s="28" t="n">
        <f aca="false">ROUND((SUMIFS(Acerto_Detalhado!$F$2:$F$433,Acerto_Detalhado!$A$2:$A$433,$C688,Acerto_Detalhado!$B$2:$B$433,"Fev",Acerto_Detalhado!$C$2:$C$433,"Fibra"))*(SUMIFS(Acerto_Detalhado!$I$2:$I$433,Acerto_Detalhado!$A$2:$A$433,$D688,Acerto_Detalhado!$B$2:$B$433,"Fev",Acerto_Detalhado!$C$2:$C$433,"Fibra")),2)</f>
        <v>686.5</v>
      </c>
    </row>
    <row r="689" customFormat="false" ht="15" hidden="false" customHeight="false" outlineLevel="0" collapsed="false">
      <c r="A689" s="27" t="s">
        <v>112</v>
      </c>
      <c r="B689" s="27" t="s">
        <v>111</v>
      </c>
      <c r="C689" s="27" t="s">
        <v>41</v>
      </c>
      <c r="D689" s="27" t="s">
        <v>42</v>
      </c>
      <c r="E689" s="28" t="n">
        <f aca="false">ROUND((SUMIFS(Acerto_Detalhado!$F$2:$F$433,Acerto_Detalhado!$A$2:$A$433,$C689,Acerto_Detalhado!$B$2:$B$433,"Fev",Acerto_Detalhado!$C$2:$C$433,"Fibra"))*(SUMIFS(Acerto_Detalhado!$I$2:$I$433,Acerto_Detalhado!$A$2:$A$433,$D689,Acerto_Detalhado!$B$2:$B$433,"Fev",Acerto_Detalhado!$C$2:$C$433,"Fibra")),2)</f>
        <v>0</v>
      </c>
    </row>
    <row r="690" customFormat="false" ht="15" hidden="false" customHeight="false" outlineLevel="0" collapsed="false">
      <c r="A690" s="27" t="s">
        <v>112</v>
      </c>
      <c r="B690" s="27" t="s">
        <v>111</v>
      </c>
      <c r="C690" s="27" t="s">
        <v>41</v>
      </c>
      <c r="D690" s="27" t="s">
        <v>43</v>
      </c>
      <c r="E690" s="28" t="n">
        <f aca="false">ROUND((SUMIFS(Acerto_Detalhado!$F$2:$F$433,Acerto_Detalhado!$A$2:$A$433,$C690,Acerto_Detalhado!$B$2:$B$433,"Fev",Acerto_Detalhado!$C$2:$C$433,"Fibra"))*(SUMIFS(Acerto_Detalhado!$I$2:$I$433,Acerto_Detalhado!$A$2:$A$433,$D690,Acerto_Detalhado!$B$2:$B$433,"Fev",Acerto_Detalhado!$C$2:$C$433,"Fibra")),2)</f>
        <v>1203.09</v>
      </c>
    </row>
    <row r="691" customFormat="false" ht="15" hidden="false" customHeight="false" outlineLevel="0" collapsed="false">
      <c r="A691" s="27" t="s">
        <v>112</v>
      </c>
      <c r="B691" s="27" t="s">
        <v>111</v>
      </c>
      <c r="C691" s="27" t="s">
        <v>41</v>
      </c>
      <c r="D691" s="27" t="s">
        <v>44</v>
      </c>
      <c r="E691" s="28" t="n">
        <f aca="false">ROUND((SUMIFS(Acerto_Detalhado!$F$2:$F$433,Acerto_Detalhado!$A$2:$A$433,$C691,Acerto_Detalhado!$B$2:$B$433,"Fev",Acerto_Detalhado!$C$2:$C$433,"Fibra"))*(SUMIFS(Acerto_Detalhado!$I$2:$I$433,Acerto_Detalhado!$A$2:$A$433,$D691,Acerto_Detalhado!$B$2:$B$433,"Fev",Acerto_Detalhado!$C$2:$C$433,"Fibra")),2)</f>
        <v>0</v>
      </c>
    </row>
    <row r="692" customFormat="false" ht="15" hidden="false" customHeight="false" outlineLevel="0" collapsed="false">
      <c r="A692" s="27" t="s">
        <v>112</v>
      </c>
      <c r="B692" s="27" t="s">
        <v>111</v>
      </c>
      <c r="C692" s="27" t="s">
        <v>41</v>
      </c>
      <c r="D692" s="27" t="s">
        <v>45</v>
      </c>
      <c r="E692" s="28" t="n">
        <f aca="false">ROUND((SUMIFS(Acerto_Detalhado!$F$2:$F$433,Acerto_Detalhado!$A$2:$A$433,$C692,Acerto_Detalhado!$B$2:$B$433,"Fev",Acerto_Detalhado!$C$2:$C$433,"Fibra"))*(SUMIFS(Acerto_Detalhado!$I$2:$I$433,Acerto_Detalhado!$A$2:$A$433,$D692,Acerto_Detalhado!$B$2:$B$433,"Fev",Acerto_Detalhado!$C$2:$C$433,"Fibra")),2)</f>
        <v>2298.25</v>
      </c>
    </row>
    <row r="693" customFormat="false" ht="15" hidden="false" customHeight="false" outlineLevel="0" collapsed="false">
      <c r="A693" s="27" t="s">
        <v>112</v>
      </c>
      <c r="B693" s="27" t="s">
        <v>111</v>
      </c>
      <c r="C693" s="27" t="s">
        <v>41</v>
      </c>
      <c r="D693" s="27" t="s">
        <v>46</v>
      </c>
      <c r="E693" s="28" t="n">
        <f aca="false">ROUND((SUMIFS(Acerto_Detalhado!$F$2:$F$433,Acerto_Detalhado!$A$2:$A$433,$C693,Acerto_Detalhado!$B$2:$B$433,"Fev",Acerto_Detalhado!$C$2:$C$433,"Fibra"))*(SUMIFS(Acerto_Detalhado!$I$2:$I$433,Acerto_Detalhado!$A$2:$A$433,$D693,Acerto_Detalhado!$B$2:$B$433,"Fev",Acerto_Detalhado!$C$2:$C$433,"Fibra")),2)</f>
        <v>0</v>
      </c>
    </row>
    <row r="694" customFormat="false" ht="15" hidden="false" customHeight="false" outlineLevel="0" collapsed="false">
      <c r="A694" s="27" t="s">
        <v>112</v>
      </c>
      <c r="B694" s="27" t="s">
        <v>111</v>
      </c>
      <c r="C694" s="27" t="s">
        <v>41</v>
      </c>
      <c r="D694" s="27" t="s">
        <v>47</v>
      </c>
      <c r="E694" s="28" t="n">
        <f aca="false">ROUND((SUMIFS(Acerto_Detalhado!$F$2:$F$433,Acerto_Detalhado!$A$2:$A$433,$C694,Acerto_Detalhado!$B$2:$B$433,"Fev",Acerto_Detalhado!$C$2:$C$433,"Fibra"))*(SUMIFS(Acerto_Detalhado!$I$2:$I$433,Acerto_Detalhado!$A$2:$A$433,$D694,Acerto_Detalhado!$B$2:$B$433,"Fev",Acerto_Detalhado!$C$2:$C$433,"Fibra")),2)</f>
        <v>0</v>
      </c>
    </row>
    <row r="695" customFormat="false" ht="15" hidden="false" customHeight="false" outlineLevel="0" collapsed="false">
      <c r="A695" s="27" t="s">
        <v>112</v>
      </c>
      <c r="B695" s="27" t="s">
        <v>111</v>
      </c>
      <c r="C695" s="27" t="s">
        <v>41</v>
      </c>
      <c r="D695" s="27" t="s">
        <v>48</v>
      </c>
      <c r="E695" s="28" t="n">
        <f aca="false">ROUND((SUMIFS(Acerto_Detalhado!$F$2:$F$433,Acerto_Detalhado!$A$2:$A$433,$C695,Acerto_Detalhado!$B$2:$B$433,"Fev",Acerto_Detalhado!$C$2:$C$433,"Fibra"))*(SUMIFS(Acerto_Detalhado!$I$2:$I$433,Acerto_Detalhado!$A$2:$A$433,$D695,Acerto_Detalhado!$B$2:$B$433,"Fev",Acerto_Detalhado!$C$2:$C$433,"Fibra")),2)</f>
        <v>0</v>
      </c>
    </row>
    <row r="696" customFormat="false" ht="15" hidden="false" customHeight="false" outlineLevel="0" collapsed="false">
      <c r="A696" s="27" t="s">
        <v>112</v>
      </c>
      <c r="B696" s="27" t="s">
        <v>111</v>
      </c>
      <c r="C696" s="27" t="s">
        <v>41</v>
      </c>
      <c r="D696" s="27" t="s">
        <v>49</v>
      </c>
      <c r="E696" s="28" t="n">
        <f aca="false">ROUND((SUMIFS(Acerto_Detalhado!$F$2:$F$433,Acerto_Detalhado!$A$2:$A$433,$C696,Acerto_Detalhado!$B$2:$B$433,"Fev",Acerto_Detalhado!$C$2:$C$433,"Fibra"))*(SUMIFS(Acerto_Detalhado!$I$2:$I$433,Acerto_Detalhado!$A$2:$A$433,$D696,Acerto_Detalhado!$B$2:$B$433,"Fev",Acerto_Detalhado!$C$2:$C$433,"Fibra")),2)</f>
        <v>0</v>
      </c>
    </row>
    <row r="697" customFormat="false" ht="15" hidden="false" customHeight="false" outlineLevel="0" collapsed="false">
      <c r="A697" s="27" t="s">
        <v>112</v>
      </c>
      <c r="B697" s="27" t="s">
        <v>111</v>
      </c>
      <c r="C697" s="27" t="s">
        <v>41</v>
      </c>
      <c r="D697" s="27" t="s">
        <v>50</v>
      </c>
      <c r="E697" s="28" t="n">
        <f aca="false">ROUND((SUMIFS(Acerto_Detalhado!$F$2:$F$433,Acerto_Detalhado!$A$2:$A$433,$C697,Acerto_Detalhado!$B$2:$B$433,"Fev",Acerto_Detalhado!$C$2:$C$433,"Fibra"))*(SUMIFS(Acerto_Detalhado!$I$2:$I$433,Acerto_Detalhado!$A$2:$A$433,$D697,Acerto_Detalhado!$B$2:$B$433,"Fev",Acerto_Detalhado!$C$2:$C$433,"Fibra")),2)</f>
        <v>0</v>
      </c>
    </row>
    <row r="698" customFormat="false" ht="15" hidden="false" customHeight="false" outlineLevel="0" collapsed="false">
      <c r="A698" s="27" t="s">
        <v>112</v>
      </c>
      <c r="B698" s="27" t="s">
        <v>111</v>
      </c>
      <c r="C698" s="27" t="s">
        <v>42</v>
      </c>
      <c r="D698" s="27" t="s">
        <v>39</v>
      </c>
      <c r="E698" s="28" t="n">
        <f aca="false">ROUND((SUMIFS(Acerto_Detalhado!$F$2:$F$433,Acerto_Detalhado!$A$2:$A$433,$C698,Acerto_Detalhado!$B$2:$B$433,"Fev",Acerto_Detalhado!$C$2:$C$433,"Fibra"))*(SUMIFS(Acerto_Detalhado!$I$2:$I$433,Acerto_Detalhado!$A$2:$A$433,$D698,Acerto_Detalhado!$B$2:$B$433,"Fev",Acerto_Detalhado!$C$2:$C$433,"Fibra")),2)</f>
        <v>0</v>
      </c>
    </row>
    <row r="699" customFormat="false" ht="15" hidden="false" customHeight="false" outlineLevel="0" collapsed="false">
      <c r="A699" s="27" t="s">
        <v>112</v>
      </c>
      <c r="B699" s="27" t="s">
        <v>111</v>
      </c>
      <c r="C699" s="27" t="s">
        <v>42</v>
      </c>
      <c r="D699" s="27" t="s">
        <v>40</v>
      </c>
      <c r="E699" s="28" t="n">
        <f aca="false">ROUND((SUMIFS(Acerto_Detalhado!$F$2:$F$433,Acerto_Detalhado!$A$2:$A$433,$C699,Acerto_Detalhado!$B$2:$B$433,"Fev",Acerto_Detalhado!$C$2:$C$433,"Fibra"))*(SUMIFS(Acerto_Detalhado!$I$2:$I$433,Acerto_Detalhado!$A$2:$A$433,$D699,Acerto_Detalhado!$B$2:$B$433,"Fev",Acerto_Detalhado!$C$2:$C$433,"Fibra")),2)</f>
        <v>3607.39</v>
      </c>
    </row>
    <row r="700" customFormat="false" ht="15" hidden="false" customHeight="false" outlineLevel="0" collapsed="false">
      <c r="A700" s="27" t="s">
        <v>112</v>
      </c>
      <c r="B700" s="27" t="s">
        <v>111</v>
      </c>
      <c r="C700" s="27" t="s">
        <v>42</v>
      </c>
      <c r="D700" s="27" t="s">
        <v>41</v>
      </c>
      <c r="E700" s="28" t="n">
        <f aca="false">ROUND((SUMIFS(Acerto_Detalhado!$F$2:$F$433,Acerto_Detalhado!$A$2:$A$433,$C700,Acerto_Detalhado!$B$2:$B$433,"Fev",Acerto_Detalhado!$C$2:$C$433,"Fibra"))*(SUMIFS(Acerto_Detalhado!$I$2:$I$433,Acerto_Detalhado!$A$2:$A$433,$D700,Acerto_Detalhado!$B$2:$B$433,"Fev",Acerto_Detalhado!$C$2:$C$433,"Fibra")),2)</f>
        <v>0</v>
      </c>
    </row>
    <row r="701" customFormat="false" ht="15" hidden="false" customHeight="false" outlineLevel="0" collapsed="false">
      <c r="A701" s="27" t="s">
        <v>112</v>
      </c>
      <c r="B701" s="27" t="s">
        <v>111</v>
      </c>
      <c r="C701" s="27" t="s">
        <v>42</v>
      </c>
      <c r="D701" s="27" t="s">
        <v>43</v>
      </c>
      <c r="E701" s="28" t="n">
        <f aca="false">ROUND((SUMIFS(Acerto_Detalhado!$F$2:$F$433,Acerto_Detalhado!$A$2:$A$433,$C701,Acerto_Detalhado!$B$2:$B$433,"Fev",Acerto_Detalhado!$C$2:$C$433,"Fibra"))*(SUMIFS(Acerto_Detalhado!$I$2:$I$433,Acerto_Detalhado!$A$2:$A$433,$D701,Acerto_Detalhado!$B$2:$B$433,"Fev",Acerto_Detalhado!$C$2:$C$433,"Fibra")),2)</f>
        <v>6321.99</v>
      </c>
    </row>
    <row r="702" customFormat="false" ht="15" hidden="false" customHeight="false" outlineLevel="0" collapsed="false">
      <c r="A702" s="27" t="s">
        <v>112</v>
      </c>
      <c r="B702" s="27" t="s">
        <v>111</v>
      </c>
      <c r="C702" s="27" t="s">
        <v>42</v>
      </c>
      <c r="D702" s="27" t="s">
        <v>44</v>
      </c>
      <c r="E702" s="28" t="n">
        <f aca="false">ROUND((SUMIFS(Acerto_Detalhado!$F$2:$F$433,Acerto_Detalhado!$A$2:$A$433,$C702,Acerto_Detalhado!$B$2:$B$433,"Fev",Acerto_Detalhado!$C$2:$C$433,"Fibra"))*(SUMIFS(Acerto_Detalhado!$I$2:$I$433,Acerto_Detalhado!$A$2:$A$433,$D702,Acerto_Detalhado!$B$2:$B$433,"Fev",Acerto_Detalhado!$C$2:$C$433,"Fibra")),2)</f>
        <v>0</v>
      </c>
    </row>
    <row r="703" customFormat="false" ht="15" hidden="false" customHeight="false" outlineLevel="0" collapsed="false">
      <c r="A703" s="27" t="s">
        <v>112</v>
      </c>
      <c r="B703" s="27" t="s">
        <v>111</v>
      </c>
      <c r="C703" s="27" t="s">
        <v>42</v>
      </c>
      <c r="D703" s="27" t="s">
        <v>45</v>
      </c>
      <c r="E703" s="28" t="n">
        <f aca="false">ROUND((SUMIFS(Acerto_Detalhado!$F$2:$F$433,Acerto_Detalhado!$A$2:$A$433,$C703,Acerto_Detalhado!$B$2:$B$433,"Fev",Acerto_Detalhado!$C$2:$C$433,"Fibra"))*(SUMIFS(Acerto_Detalhado!$I$2:$I$433,Acerto_Detalhado!$A$2:$A$433,$D703,Acerto_Detalhado!$B$2:$B$433,"Fev",Acerto_Detalhado!$C$2:$C$433,"Fibra")),2)</f>
        <v>12076.82</v>
      </c>
    </row>
    <row r="704" customFormat="false" ht="15" hidden="false" customHeight="false" outlineLevel="0" collapsed="false">
      <c r="A704" s="27" t="s">
        <v>112</v>
      </c>
      <c r="B704" s="27" t="s">
        <v>111</v>
      </c>
      <c r="C704" s="27" t="s">
        <v>42</v>
      </c>
      <c r="D704" s="27" t="s">
        <v>46</v>
      </c>
      <c r="E704" s="28" t="n">
        <f aca="false">ROUND((SUMIFS(Acerto_Detalhado!$F$2:$F$433,Acerto_Detalhado!$A$2:$A$433,$C704,Acerto_Detalhado!$B$2:$B$433,"Fev",Acerto_Detalhado!$C$2:$C$433,"Fibra"))*(SUMIFS(Acerto_Detalhado!$I$2:$I$433,Acerto_Detalhado!$A$2:$A$433,$D704,Acerto_Detalhado!$B$2:$B$433,"Fev",Acerto_Detalhado!$C$2:$C$433,"Fibra")),2)</f>
        <v>0</v>
      </c>
    </row>
    <row r="705" customFormat="false" ht="15" hidden="false" customHeight="false" outlineLevel="0" collapsed="false">
      <c r="A705" s="27" t="s">
        <v>112</v>
      </c>
      <c r="B705" s="27" t="s">
        <v>111</v>
      </c>
      <c r="C705" s="27" t="s">
        <v>42</v>
      </c>
      <c r="D705" s="27" t="s">
        <v>47</v>
      </c>
      <c r="E705" s="28" t="n">
        <f aca="false">ROUND((SUMIFS(Acerto_Detalhado!$F$2:$F$433,Acerto_Detalhado!$A$2:$A$433,$C705,Acerto_Detalhado!$B$2:$B$433,"Fev",Acerto_Detalhado!$C$2:$C$433,"Fibra"))*(SUMIFS(Acerto_Detalhado!$I$2:$I$433,Acerto_Detalhado!$A$2:$A$433,$D705,Acerto_Detalhado!$B$2:$B$433,"Fev",Acerto_Detalhado!$C$2:$C$433,"Fibra")),2)</f>
        <v>0</v>
      </c>
    </row>
    <row r="706" customFormat="false" ht="15" hidden="false" customHeight="false" outlineLevel="0" collapsed="false">
      <c r="A706" s="27" t="s">
        <v>112</v>
      </c>
      <c r="B706" s="27" t="s">
        <v>111</v>
      </c>
      <c r="C706" s="27" t="s">
        <v>42</v>
      </c>
      <c r="D706" s="27" t="s">
        <v>48</v>
      </c>
      <c r="E706" s="28" t="n">
        <f aca="false">ROUND((SUMIFS(Acerto_Detalhado!$F$2:$F$433,Acerto_Detalhado!$A$2:$A$433,$C706,Acerto_Detalhado!$B$2:$B$433,"Fev",Acerto_Detalhado!$C$2:$C$433,"Fibra"))*(SUMIFS(Acerto_Detalhado!$I$2:$I$433,Acerto_Detalhado!$A$2:$A$433,$D706,Acerto_Detalhado!$B$2:$B$433,"Fev",Acerto_Detalhado!$C$2:$C$433,"Fibra")),2)</f>
        <v>0</v>
      </c>
    </row>
    <row r="707" customFormat="false" ht="15" hidden="false" customHeight="false" outlineLevel="0" collapsed="false">
      <c r="A707" s="27" t="s">
        <v>112</v>
      </c>
      <c r="B707" s="27" t="s">
        <v>111</v>
      </c>
      <c r="C707" s="27" t="s">
        <v>42</v>
      </c>
      <c r="D707" s="27" t="s">
        <v>49</v>
      </c>
      <c r="E707" s="28" t="n">
        <f aca="false">ROUND((SUMIFS(Acerto_Detalhado!$F$2:$F$433,Acerto_Detalhado!$A$2:$A$433,$C707,Acerto_Detalhado!$B$2:$B$433,"Fev",Acerto_Detalhado!$C$2:$C$433,"Fibra"))*(SUMIFS(Acerto_Detalhado!$I$2:$I$433,Acerto_Detalhado!$A$2:$A$433,$D707,Acerto_Detalhado!$B$2:$B$433,"Fev",Acerto_Detalhado!$C$2:$C$433,"Fibra")),2)</f>
        <v>0</v>
      </c>
    </row>
    <row r="708" customFormat="false" ht="15" hidden="false" customHeight="false" outlineLevel="0" collapsed="false">
      <c r="A708" s="27" t="s">
        <v>112</v>
      </c>
      <c r="B708" s="27" t="s">
        <v>111</v>
      </c>
      <c r="C708" s="27" t="s">
        <v>42</v>
      </c>
      <c r="D708" s="27" t="s">
        <v>50</v>
      </c>
      <c r="E708" s="28" t="n">
        <f aca="false">ROUND((SUMIFS(Acerto_Detalhado!$F$2:$F$433,Acerto_Detalhado!$A$2:$A$433,$C708,Acerto_Detalhado!$B$2:$B$433,"Fev",Acerto_Detalhado!$C$2:$C$433,"Fibra"))*(SUMIFS(Acerto_Detalhado!$I$2:$I$433,Acerto_Detalhado!$A$2:$A$433,$D708,Acerto_Detalhado!$B$2:$B$433,"Fev",Acerto_Detalhado!$C$2:$C$433,"Fibra")),2)</f>
        <v>0</v>
      </c>
    </row>
    <row r="709" customFormat="false" ht="15" hidden="false" customHeight="false" outlineLevel="0" collapsed="false">
      <c r="A709" s="27" t="s">
        <v>112</v>
      </c>
      <c r="B709" s="27" t="s">
        <v>111</v>
      </c>
      <c r="C709" s="27" t="s">
        <v>43</v>
      </c>
      <c r="D709" s="27" t="s">
        <v>39</v>
      </c>
      <c r="E709" s="28" t="n">
        <f aca="false">ROUND((SUMIFS(Acerto_Detalhado!$F$2:$F$433,Acerto_Detalhado!$A$2:$A$433,$C709,Acerto_Detalhado!$B$2:$B$433,"Fev",Acerto_Detalhado!$C$2:$C$433,"Fibra"))*(SUMIFS(Acerto_Detalhado!$I$2:$I$433,Acerto_Detalhado!$A$2:$A$433,$D709,Acerto_Detalhado!$B$2:$B$433,"Fev",Acerto_Detalhado!$C$2:$C$433,"Fibra")),2)</f>
        <v>0</v>
      </c>
    </row>
    <row r="710" customFormat="false" ht="15" hidden="false" customHeight="false" outlineLevel="0" collapsed="false">
      <c r="A710" s="27" t="s">
        <v>112</v>
      </c>
      <c r="B710" s="27" t="s">
        <v>111</v>
      </c>
      <c r="C710" s="27" t="s">
        <v>43</v>
      </c>
      <c r="D710" s="27" t="s">
        <v>40</v>
      </c>
      <c r="E710" s="28" t="n">
        <f aca="false">ROUND((SUMIFS(Acerto_Detalhado!$F$2:$F$433,Acerto_Detalhado!$A$2:$A$433,$C710,Acerto_Detalhado!$B$2:$B$433,"Fev",Acerto_Detalhado!$C$2:$C$433,"Fibra"))*(SUMIFS(Acerto_Detalhado!$I$2:$I$433,Acerto_Detalhado!$A$2:$A$433,$D710,Acerto_Detalhado!$B$2:$B$433,"Fev",Acerto_Detalhado!$C$2:$C$433,"Fibra")),2)</f>
        <v>0</v>
      </c>
    </row>
    <row r="711" customFormat="false" ht="15" hidden="false" customHeight="false" outlineLevel="0" collapsed="false">
      <c r="A711" s="27" t="s">
        <v>112</v>
      </c>
      <c r="B711" s="27" t="s">
        <v>111</v>
      </c>
      <c r="C711" s="27" t="s">
        <v>43</v>
      </c>
      <c r="D711" s="27" t="s">
        <v>41</v>
      </c>
      <c r="E711" s="28" t="n">
        <f aca="false">ROUND((SUMIFS(Acerto_Detalhado!$F$2:$F$433,Acerto_Detalhado!$A$2:$A$433,$C711,Acerto_Detalhado!$B$2:$B$433,"Fev",Acerto_Detalhado!$C$2:$C$433,"Fibra"))*(SUMIFS(Acerto_Detalhado!$I$2:$I$433,Acerto_Detalhado!$A$2:$A$433,$D711,Acerto_Detalhado!$B$2:$B$433,"Fev",Acerto_Detalhado!$C$2:$C$433,"Fibra")),2)</f>
        <v>0</v>
      </c>
    </row>
    <row r="712" customFormat="false" ht="15" hidden="false" customHeight="false" outlineLevel="0" collapsed="false">
      <c r="A712" s="27" t="s">
        <v>112</v>
      </c>
      <c r="B712" s="27" t="s">
        <v>111</v>
      </c>
      <c r="C712" s="27" t="s">
        <v>43</v>
      </c>
      <c r="D712" s="27" t="s">
        <v>42</v>
      </c>
      <c r="E712" s="28" t="n">
        <f aca="false">ROUND((SUMIFS(Acerto_Detalhado!$F$2:$F$433,Acerto_Detalhado!$A$2:$A$433,$C712,Acerto_Detalhado!$B$2:$B$433,"Fev",Acerto_Detalhado!$C$2:$C$433,"Fibra"))*(SUMIFS(Acerto_Detalhado!$I$2:$I$433,Acerto_Detalhado!$A$2:$A$433,$D712,Acerto_Detalhado!$B$2:$B$433,"Fev",Acerto_Detalhado!$C$2:$C$433,"Fibra")),2)</f>
        <v>0</v>
      </c>
    </row>
    <row r="713" customFormat="false" ht="15" hidden="false" customHeight="false" outlineLevel="0" collapsed="false">
      <c r="A713" s="27" t="s">
        <v>112</v>
      </c>
      <c r="B713" s="27" t="s">
        <v>111</v>
      </c>
      <c r="C713" s="27" t="s">
        <v>43</v>
      </c>
      <c r="D713" s="27" t="s">
        <v>44</v>
      </c>
      <c r="E713" s="28" t="n">
        <f aca="false">ROUND((SUMIFS(Acerto_Detalhado!$F$2:$F$433,Acerto_Detalhado!$A$2:$A$433,$C713,Acerto_Detalhado!$B$2:$B$433,"Fev",Acerto_Detalhado!$C$2:$C$433,"Fibra"))*(SUMIFS(Acerto_Detalhado!$I$2:$I$433,Acerto_Detalhado!$A$2:$A$433,$D713,Acerto_Detalhado!$B$2:$B$433,"Fev",Acerto_Detalhado!$C$2:$C$433,"Fibra")),2)</f>
        <v>0</v>
      </c>
    </row>
    <row r="714" customFormat="false" ht="15" hidden="false" customHeight="false" outlineLevel="0" collapsed="false">
      <c r="A714" s="27" t="s">
        <v>112</v>
      </c>
      <c r="B714" s="27" t="s">
        <v>111</v>
      </c>
      <c r="C714" s="27" t="s">
        <v>43</v>
      </c>
      <c r="D714" s="27" t="s">
        <v>45</v>
      </c>
      <c r="E714" s="28" t="n">
        <f aca="false">ROUND((SUMIFS(Acerto_Detalhado!$F$2:$F$433,Acerto_Detalhado!$A$2:$A$433,$C714,Acerto_Detalhado!$B$2:$B$433,"Fev",Acerto_Detalhado!$C$2:$C$433,"Fibra"))*(SUMIFS(Acerto_Detalhado!$I$2:$I$433,Acerto_Detalhado!$A$2:$A$433,$D714,Acerto_Detalhado!$B$2:$B$433,"Fev",Acerto_Detalhado!$C$2:$C$433,"Fibra")),2)</f>
        <v>0</v>
      </c>
    </row>
    <row r="715" customFormat="false" ht="15" hidden="false" customHeight="false" outlineLevel="0" collapsed="false">
      <c r="A715" s="27" t="s">
        <v>112</v>
      </c>
      <c r="B715" s="27" t="s">
        <v>111</v>
      </c>
      <c r="C715" s="27" t="s">
        <v>43</v>
      </c>
      <c r="D715" s="27" t="s">
        <v>46</v>
      </c>
      <c r="E715" s="28" t="n">
        <f aca="false">ROUND((SUMIFS(Acerto_Detalhado!$F$2:$F$433,Acerto_Detalhado!$A$2:$A$433,$C715,Acerto_Detalhado!$B$2:$B$433,"Fev",Acerto_Detalhado!$C$2:$C$433,"Fibra"))*(SUMIFS(Acerto_Detalhado!$I$2:$I$433,Acerto_Detalhado!$A$2:$A$433,$D715,Acerto_Detalhado!$B$2:$B$433,"Fev",Acerto_Detalhado!$C$2:$C$433,"Fibra")),2)</f>
        <v>0</v>
      </c>
    </row>
    <row r="716" customFormat="false" ht="15" hidden="false" customHeight="false" outlineLevel="0" collapsed="false">
      <c r="A716" s="27" t="s">
        <v>112</v>
      </c>
      <c r="B716" s="27" t="s">
        <v>111</v>
      </c>
      <c r="C716" s="27" t="s">
        <v>43</v>
      </c>
      <c r="D716" s="27" t="s">
        <v>47</v>
      </c>
      <c r="E716" s="28" t="n">
        <f aca="false">ROUND((SUMIFS(Acerto_Detalhado!$F$2:$F$433,Acerto_Detalhado!$A$2:$A$433,$C716,Acerto_Detalhado!$B$2:$B$433,"Fev",Acerto_Detalhado!$C$2:$C$433,"Fibra"))*(SUMIFS(Acerto_Detalhado!$I$2:$I$433,Acerto_Detalhado!$A$2:$A$433,$D716,Acerto_Detalhado!$B$2:$B$433,"Fev",Acerto_Detalhado!$C$2:$C$433,"Fibra")),2)</f>
        <v>0</v>
      </c>
    </row>
    <row r="717" customFormat="false" ht="15" hidden="false" customHeight="false" outlineLevel="0" collapsed="false">
      <c r="A717" s="27" t="s">
        <v>112</v>
      </c>
      <c r="B717" s="27" t="s">
        <v>111</v>
      </c>
      <c r="C717" s="27" t="s">
        <v>43</v>
      </c>
      <c r="D717" s="27" t="s">
        <v>48</v>
      </c>
      <c r="E717" s="28" t="n">
        <f aca="false">ROUND((SUMIFS(Acerto_Detalhado!$F$2:$F$433,Acerto_Detalhado!$A$2:$A$433,$C717,Acerto_Detalhado!$B$2:$B$433,"Fev",Acerto_Detalhado!$C$2:$C$433,"Fibra"))*(SUMIFS(Acerto_Detalhado!$I$2:$I$433,Acerto_Detalhado!$A$2:$A$433,$D717,Acerto_Detalhado!$B$2:$B$433,"Fev",Acerto_Detalhado!$C$2:$C$433,"Fibra")),2)</f>
        <v>0</v>
      </c>
    </row>
    <row r="718" customFormat="false" ht="15" hidden="false" customHeight="false" outlineLevel="0" collapsed="false">
      <c r="A718" s="27" t="s">
        <v>112</v>
      </c>
      <c r="B718" s="27" t="s">
        <v>111</v>
      </c>
      <c r="C718" s="27" t="s">
        <v>43</v>
      </c>
      <c r="D718" s="27" t="s">
        <v>49</v>
      </c>
      <c r="E718" s="28" t="n">
        <f aca="false">ROUND((SUMIFS(Acerto_Detalhado!$F$2:$F$433,Acerto_Detalhado!$A$2:$A$433,$C718,Acerto_Detalhado!$B$2:$B$433,"Fev",Acerto_Detalhado!$C$2:$C$433,"Fibra"))*(SUMIFS(Acerto_Detalhado!$I$2:$I$433,Acerto_Detalhado!$A$2:$A$433,$D718,Acerto_Detalhado!$B$2:$B$433,"Fev",Acerto_Detalhado!$C$2:$C$433,"Fibra")),2)</f>
        <v>0</v>
      </c>
    </row>
    <row r="719" customFormat="false" ht="15" hidden="false" customHeight="false" outlineLevel="0" collapsed="false">
      <c r="A719" s="27" t="s">
        <v>112</v>
      </c>
      <c r="B719" s="27" t="s">
        <v>111</v>
      </c>
      <c r="C719" s="27" t="s">
        <v>43</v>
      </c>
      <c r="D719" s="27" t="s">
        <v>50</v>
      </c>
      <c r="E719" s="28" t="n">
        <f aca="false">ROUND((SUMIFS(Acerto_Detalhado!$F$2:$F$433,Acerto_Detalhado!$A$2:$A$433,$C719,Acerto_Detalhado!$B$2:$B$433,"Fev",Acerto_Detalhado!$C$2:$C$433,"Fibra"))*(SUMIFS(Acerto_Detalhado!$I$2:$I$433,Acerto_Detalhado!$A$2:$A$433,$D719,Acerto_Detalhado!$B$2:$B$433,"Fev",Acerto_Detalhado!$C$2:$C$433,"Fibra")),2)</f>
        <v>0</v>
      </c>
    </row>
    <row r="720" customFormat="false" ht="15" hidden="false" customHeight="false" outlineLevel="0" collapsed="false">
      <c r="A720" s="27" t="s">
        <v>112</v>
      </c>
      <c r="B720" s="27" t="s">
        <v>111</v>
      </c>
      <c r="C720" s="27" t="s">
        <v>44</v>
      </c>
      <c r="D720" s="27" t="s">
        <v>39</v>
      </c>
      <c r="E720" s="28" t="n">
        <f aca="false">ROUND((SUMIFS(Acerto_Detalhado!$F$2:$F$433,Acerto_Detalhado!$A$2:$A$433,$C720,Acerto_Detalhado!$B$2:$B$433,"Fev",Acerto_Detalhado!$C$2:$C$433,"Fibra"))*(SUMIFS(Acerto_Detalhado!$I$2:$I$433,Acerto_Detalhado!$A$2:$A$433,$D720,Acerto_Detalhado!$B$2:$B$433,"Fev",Acerto_Detalhado!$C$2:$C$433,"Fibra")),2)</f>
        <v>0</v>
      </c>
    </row>
    <row r="721" customFormat="false" ht="15" hidden="false" customHeight="false" outlineLevel="0" collapsed="false">
      <c r="A721" s="27" t="s">
        <v>112</v>
      </c>
      <c r="B721" s="27" t="s">
        <v>111</v>
      </c>
      <c r="C721" s="27" t="s">
        <v>44</v>
      </c>
      <c r="D721" s="27" t="s">
        <v>40</v>
      </c>
      <c r="E721" s="28" t="n">
        <f aca="false">ROUND((SUMIFS(Acerto_Detalhado!$F$2:$F$433,Acerto_Detalhado!$A$2:$A$433,$C721,Acerto_Detalhado!$B$2:$B$433,"Fev",Acerto_Detalhado!$C$2:$C$433,"Fibra"))*(SUMIFS(Acerto_Detalhado!$I$2:$I$433,Acerto_Detalhado!$A$2:$A$433,$D721,Acerto_Detalhado!$B$2:$B$433,"Fev",Acerto_Detalhado!$C$2:$C$433,"Fibra")),2)</f>
        <v>3526.67</v>
      </c>
    </row>
    <row r="722" customFormat="false" ht="15" hidden="false" customHeight="false" outlineLevel="0" collapsed="false">
      <c r="A722" s="27" t="s">
        <v>112</v>
      </c>
      <c r="B722" s="27" t="s">
        <v>111</v>
      </c>
      <c r="C722" s="27" t="s">
        <v>44</v>
      </c>
      <c r="D722" s="27" t="s">
        <v>41</v>
      </c>
      <c r="E722" s="28" t="n">
        <f aca="false">ROUND((SUMIFS(Acerto_Detalhado!$F$2:$F$433,Acerto_Detalhado!$A$2:$A$433,$C722,Acerto_Detalhado!$B$2:$B$433,"Fev",Acerto_Detalhado!$C$2:$C$433,"Fibra"))*(SUMIFS(Acerto_Detalhado!$I$2:$I$433,Acerto_Detalhado!$A$2:$A$433,$D722,Acerto_Detalhado!$B$2:$B$433,"Fev",Acerto_Detalhado!$C$2:$C$433,"Fibra")),2)</f>
        <v>0</v>
      </c>
    </row>
    <row r="723" customFormat="false" ht="15" hidden="false" customHeight="false" outlineLevel="0" collapsed="false">
      <c r="A723" s="27" t="s">
        <v>112</v>
      </c>
      <c r="B723" s="27" t="s">
        <v>111</v>
      </c>
      <c r="C723" s="27" t="s">
        <v>44</v>
      </c>
      <c r="D723" s="27" t="s">
        <v>42</v>
      </c>
      <c r="E723" s="28" t="n">
        <f aca="false">ROUND((SUMIFS(Acerto_Detalhado!$F$2:$F$433,Acerto_Detalhado!$A$2:$A$433,$C723,Acerto_Detalhado!$B$2:$B$433,"Fev",Acerto_Detalhado!$C$2:$C$433,"Fibra"))*(SUMIFS(Acerto_Detalhado!$I$2:$I$433,Acerto_Detalhado!$A$2:$A$433,$D723,Acerto_Detalhado!$B$2:$B$433,"Fev",Acerto_Detalhado!$C$2:$C$433,"Fibra")),2)</f>
        <v>0</v>
      </c>
    </row>
    <row r="724" customFormat="false" ht="15" hidden="false" customHeight="false" outlineLevel="0" collapsed="false">
      <c r="A724" s="27" t="s">
        <v>112</v>
      </c>
      <c r="B724" s="27" t="s">
        <v>111</v>
      </c>
      <c r="C724" s="27" t="s">
        <v>44</v>
      </c>
      <c r="D724" s="27" t="s">
        <v>43</v>
      </c>
      <c r="E724" s="28" t="n">
        <f aca="false">ROUND((SUMIFS(Acerto_Detalhado!$F$2:$F$433,Acerto_Detalhado!$A$2:$A$433,$C724,Acerto_Detalhado!$B$2:$B$433,"Fev",Acerto_Detalhado!$C$2:$C$433,"Fibra"))*(SUMIFS(Acerto_Detalhado!$I$2:$I$433,Acerto_Detalhado!$A$2:$A$433,$D724,Acerto_Detalhado!$B$2:$B$433,"Fev",Acerto_Detalhado!$C$2:$C$433,"Fibra")),2)</f>
        <v>6180.53</v>
      </c>
    </row>
    <row r="725" customFormat="false" ht="15" hidden="false" customHeight="false" outlineLevel="0" collapsed="false">
      <c r="A725" s="27" t="s">
        <v>112</v>
      </c>
      <c r="B725" s="27" t="s">
        <v>111</v>
      </c>
      <c r="C725" s="27" t="s">
        <v>44</v>
      </c>
      <c r="D725" s="27" t="s">
        <v>45</v>
      </c>
      <c r="E725" s="28" t="n">
        <f aca="false">ROUND((SUMIFS(Acerto_Detalhado!$F$2:$F$433,Acerto_Detalhado!$A$2:$A$433,$C725,Acerto_Detalhado!$B$2:$B$433,"Fev",Acerto_Detalhado!$C$2:$C$433,"Fibra"))*(SUMIFS(Acerto_Detalhado!$I$2:$I$433,Acerto_Detalhado!$A$2:$A$433,$D725,Acerto_Detalhado!$B$2:$B$433,"Fev",Acerto_Detalhado!$C$2:$C$433,"Fibra")),2)</f>
        <v>11806.58</v>
      </c>
    </row>
    <row r="726" customFormat="false" ht="15" hidden="false" customHeight="false" outlineLevel="0" collapsed="false">
      <c r="A726" s="27" t="s">
        <v>112</v>
      </c>
      <c r="B726" s="27" t="s">
        <v>111</v>
      </c>
      <c r="C726" s="27" t="s">
        <v>44</v>
      </c>
      <c r="D726" s="27" t="s">
        <v>46</v>
      </c>
      <c r="E726" s="28" t="n">
        <f aca="false">ROUND((SUMIFS(Acerto_Detalhado!$F$2:$F$433,Acerto_Detalhado!$A$2:$A$433,$C726,Acerto_Detalhado!$B$2:$B$433,"Fev",Acerto_Detalhado!$C$2:$C$433,"Fibra"))*(SUMIFS(Acerto_Detalhado!$I$2:$I$433,Acerto_Detalhado!$A$2:$A$433,$D726,Acerto_Detalhado!$B$2:$B$433,"Fev",Acerto_Detalhado!$C$2:$C$433,"Fibra")),2)</f>
        <v>0</v>
      </c>
    </row>
    <row r="727" customFormat="false" ht="15" hidden="false" customHeight="false" outlineLevel="0" collapsed="false">
      <c r="A727" s="27" t="s">
        <v>112</v>
      </c>
      <c r="B727" s="27" t="s">
        <v>111</v>
      </c>
      <c r="C727" s="27" t="s">
        <v>44</v>
      </c>
      <c r="D727" s="27" t="s">
        <v>47</v>
      </c>
      <c r="E727" s="28" t="n">
        <f aca="false">ROUND((SUMIFS(Acerto_Detalhado!$F$2:$F$433,Acerto_Detalhado!$A$2:$A$433,$C727,Acerto_Detalhado!$B$2:$B$433,"Fev",Acerto_Detalhado!$C$2:$C$433,"Fibra"))*(SUMIFS(Acerto_Detalhado!$I$2:$I$433,Acerto_Detalhado!$A$2:$A$433,$D727,Acerto_Detalhado!$B$2:$B$433,"Fev",Acerto_Detalhado!$C$2:$C$433,"Fibra")),2)</f>
        <v>0</v>
      </c>
    </row>
    <row r="728" customFormat="false" ht="15" hidden="false" customHeight="false" outlineLevel="0" collapsed="false">
      <c r="A728" s="27" t="s">
        <v>112</v>
      </c>
      <c r="B728" s="27" t="s">
        <v>111</v>
      </c>
      <c r="C728" s="27" t="s">
        <v>44</v>
      </c>
      <c r="D728" s="27" t="s">
        <v>48</v>
      </c>
      <c r="E728" s="28" t="n">
        <f aca="false">ROUND((SUMIFS(Acerto_Detalhado!$F$2:$F$433,Acerto_Detalhado!$A$2:$A$433,$C728,Acerto_Detalhado!$B$2:$B$433,"Fev",Acerto_Detalhado!$C$2:$C$433,"Fibra"))*(SUMIFS(Acerto_Detalhado!$I$2:$I$433,Acerto_Detalhado!$A$2:$A$433,$D728,Acerto_Detalhado!$B$2:$B$433,"Fev",Acerto_Detalhado!$C$2:$C$433,"Fibra")),2)</f>
        <v>0</v>
      </c>
    </row>
    <row r="729" customFormat="false" ht="15" hidden="false" customHeight="false" outlineLevel="0" collapsed="false">
      <c r="A729" s="27" t="s">
        <v>112</v>
      </c>
      <c r="B729" s="27" t="s">
        <v>111</v>
      </c>
      <c r="C729" s="27" t="s">
        <v>44</v>
      </c>
      <c r="D729" s="27" t="s">
        <v>49</v>
      </c>
      <c r="E729" s="28" t="n">
        <f aca="false">ROUND((SUMIFS(Acerto_Detalhado!$F$2:$F$433,Acerto_Detalhado!$A$2:$A$433,$C729,Acerto_Detalhado!$B$2:$B$433,"Fev",Acerto_Detalhado!$C$2:$C$433,"Fibra"))*(SUMIFS(Acerto_Detalhado!$I$2:$I$433,Acerto_Detalhado!$A$2:$A$433,$D729,Acerto_Detalhado!$B$2:$B$433,"Fev",Acerto_Detalhado!$C$2:$C$433,"Fibra")),2)</f>
        <v>0</v>
      </c>
    </row>
    <row r="730" customFormat="false" ht="15" hidden="false" customHeight="false" outlineLevel="0" collapsed="false">
      <c r="A730" s="27" t="s">
        <v>112</v>
      </c>
      <c r="B730" s="27" t="s">
        <v>111</v>
      </c>
      <c r="C730" s="27" t="s">
        <v>44</v>
      </c>
      <c r="D730" s="27" t="s">
        <v>50</v>
      </c>
      <c r="E730" s="28" t="n">
        <f aca="false">ROUND((SUMIFS(Acerto_Detalhado!$F$2:$F$433,Acerto_Detalhado!$A$2:$A$433,$C730,Acerto_Detalhado!$B$2:$B$433,"Fev",Acerto_Detalhado!$C$2:$C$433,"Fibra"))*(SUMIFS(Acerto_Detalhado!$I$2:$I$433,Acerto_Detalhado!$A$2:$A$433,$D730,Acerto_Detalhado!$B$2:$B$433,"Fev",Acerto_Detalhado!$C$2:$C$433,"Fibra")),2)</f>
        <v>0</v>
      </c>
    </row>
    <row r="731" customFormat="false" ht="15" hidden="false" customHeight="false" outlineLevel="0" collapsed="false">
      <c r="A731" s="27" t="s">
        <v>112</v>
      </c>
      <c r="B731" s="27" t="s">
        <v>111</v>
      </c>
      <c r="C731" s="27" t="s">
        <v>45</v>
      </c>
      <c r="D731" s="27" t="s">
        <v>39</v>
      </c>
      <c r="E731" s="28" t="n">
        <f aca="false">ROUND((SUMIFS(Acerto_Detalhado!$F$2:$F$433,Acerto_Detalhado!$A$2:$A$433,$C731,Acerto_Detalhado!$B$2:$B$433,"Fev",Acerto_Detalhado!$C$2:$C$433,"Fibra"))*(SUMIFS(Acerto_Detalhado!$I$2:$I$433,Acerto_Detalhado!$A$2:$A$433,$D731,Acerto_Detalhado!$B$2:$B$433,"Fev",Acerto_Detalhado!$C$2:$C$433,"Fibra")),2)</f>
        <v>0</v>
      </c>
    </row>
    <row r="732" customFormat="false" ht="15" hidden="false" customHeight="false" outlineLevel="0" collapsed="false">
      <c r="A732" s="27" t="s">
        <v>112</v>
      </c>
      <c r="B732" s="27" t="s">
        <v>111</v>
      </c>
      <c r="C732" s="27" t="s">
        <v>45</v>
      </c>
      <c r="D732" s="27" t="s">
        <v>40</v>
      </c>
      <c r="E732" s="28" t="n">
        <f aca="false">ROUND((SUMIFS(Acerto_Detalhado!$F$2:$F$433,Acerto_Detalhado!$A$2:$A$433,$C732,Acerto_Detalhado!$B$2:$B$433,"Fev",Acerto_Detalhado!$C$2:$C$433,"Fibra"))*(SUMIFS(Acerto_Detalhado!$I$2:$I$433,Acerto_Detalhado!$A$2:$A$433,$D732,Acerto_Detalhado!$B$2:$B$433,"Fev",Acerto_Detalhado!$C$2:$C$433,"Fibra")),2)</f>
        <v>0</v>
      </c>
    </row>
    <row r="733" customFormat="false" ht="15" hidden="false" customHeight="false" outlineLevel="0" collapsed="false">
      <c r="A733" s="27" t="s">
        <v>112</v>
      </c>
      <c r="B733" s="27" t="s">
        <v>111</v>
      </c>
      <c r="C733" s="27" t="s">
        <v>45</v>
      </c>
      <c r="D733" s="27" t="s">
        <v>41</v>
      </c>
      <c r="E733" s="28" t="n">
        <f aca="false">ROUND((SUMIFS(Acerto_Detalhado!$F$2:$F$433,Acerto_Detalhado!$A$2:$A$433,$C733,Acerto_Detalhado!$B$2:$B$433,"Fev",Acerto_Detalhado!$C$2:$C$433,"Fibra"))*(SUMIFS(Acerto_Detalhado!$I$2:$I$433,Acerto_Detalhado!$A$2:$A$433,$D733,Acerto_Detalhado!$B$2:$B$433,"Fev",Acerto_Detalhado!$C$2:$C$433,"Fibra")),2)</f>
        <v>0</v>
      </c>
    </row>
    <row r="734" customFormat="false" ht="15" hidden="false" customHeight="false" outlineLevel="0" collapsed="false">
      <c r="A734" s="27" t="s">
        <v>112</v>
      </c>
      <c r="B734" s="27" t="s">
        <v>111</v>
      </c>
      <c r="C734" s="27" t="s">
        <v>45</v>
      </c>
      <c r="D734" s="27" t="s">
        <v>42</v>
      </c>
      <c r="E734" s="28" t="n">
        <f aca="false">ROUND((SUMIFS(Acerto_Detalhado!$F$2:$F$433,Acerto_Detalhado!$A$2:$A$433,$C734,Acerto_Detalhado!$B$2:$B$433,"Fev",Acerto_Detalhado!$C$2:$C$433,"Fibra"))*(SUMIFS(Acerto_Detalhado!$I$2:$I$433,Acerto_Detalhado!$A$2:$A$433,$D734,Acerto_Detalhado!$B$2:$B$433,"Fev",Acerto_Detalhado!$C$2:$C$433,"Fibra")),2)</f>
        <v>0</v>
      </c>
    </row>
    <row r="735" customFormat="false" ht="15" hidden="false" customHeight="false" outlineLevel="0" collapsed="false">
      <c r="A735" s="27" t="s">
        <v>112</v>
      </c>
      <c r="B735" s="27" t="s">
        <v>111</v>
      </c>
      <c r="C735" s="27" t="s">
        <v>45</v>
      </c>
      <c r="D735" s="27" t="s">
        <v>43</v>
      </c>
      <c r="E735" s="28" t="n">
        <f aca="false">ROUND((SUMIFS(Acerto_Detalhado!$F$2:$F$433,Acerto_Detalhado!$A$2:$A$433,$C735,Acerto_Detalhado!$B$2:$B$433,"Fev",Acerto_Detalhado!$C$2:$C$433,"Fibra"))*(SUMIFS(Acerto_Detalhado!$I$2:$I$433,Acerto_Detalhado!$A$2:$A$433,$D735,Acerto_Detalhado!$B$2:$B$433,"Fev",Acerto_Detalhado!$C$2:$C$433,"Fibra")),2)</f>
        <v>0</v>
      </c>
    </row>
    <row r="736" customFormat="false" ht="15" hidden="false" customHeight="false" outlineLevel="0" collapsed="false">
      <c r="A736" s="27" t="s">
        <v>112</v>
      </c>
      <c r="B736" s="27" t="s">
        <v>111</v>
      </c>
      <c r="C736" s="27" t="s">
        <v>45</v>
      </c>
      <c r="D736" s="27" t="s">
        <v>44</v>
      </c>
      <c r="E736" s="28" t="n">
        <f aca="false">ROUND((SUMIFS(Acerto_Detalhado!$F$2:$F$433,Acerto_Detalhado!$A$2:$A$433,$C736,Acerto_Detalhado!$B$2:$B$433,"Fev",Acerto_Detalhado!$C$2:$C$433,"Fibra"))*(SUMIFS(Acerto_Detalhado!$I$2:$I$433,Acerto_Detalhado!$A$2:$A$433,$D736,Acerto_Detalhado!$B$2:$B$433,"Fev",Acerto_Detalhado!$C$2:$C$433,"Fibra")),2)</f>
        <v>0</v>
      </c>
    </row>
    <row r="737" customFormat="false" ht="15" hidden="false" customHeight="false" outlineLevel="0" collapsed="false">
      <c r="A737" s="27" t="s">
        <v>112</v>
      </c>
      <c r="B737" s="27" t="s">
        <v>111</v>
      </c>
      <c r="C737" s="27" t="s">
        <v>45</v>
      </c>
      <c r="D737" s="27" t="s">
        <v>46</v>
      </c>
      <c r="E737" s="28" t="n">
        <f aca="false">ROUND((SUMIFS(Acerto_Detalhado!$F$2:$F$433,Acerto_Detalhado!$A$2:$A$433,$C737,Acerto_Detalhado!$B$2:$B$433,"Fev",Acerto_Detalhado!$C$2:$C$433,"Fibra"))*(SUMIFS(Acerto_Detalhado!$I$2:$I$433,Acerto_Detalhado!$A$2:$A$433,$D737,Acerto_Detalhado!$B$2:$B$433,"Fev",Acerto_Detalhado!$C$2:$C$433,"Fibra")),2)</f>
        <v>0</v>
      </c>
    </row>
    <row r="738" customFormat="false" ht="15" hidden="false" customHeight="false" outlineLevel="0" collapsed="false">
      <c r="A738" s="27" t="s">
        <v>112</v>
      </c>
      <c r="B738" s="27" t="s">
        <v>111</v>
      </c>
      <c r="C738" s="27" t="s">
        <v>45</v>
      </c>
      <c r="D738" s="27" t="s">
        <v>47</v>
      </c>
      <c r="E738" s="28" t="n">
        <f aca="false">ROUND((SUMIFS(Acerto_Detalhado!$F$2:$F$433,Acerto_Detalhado!$A$2:$A$433,$C738,Acerto_Detalhado!$B$2:$B$433,"Fev",Acerto_Detalhado!$C$2:$C$433,"Fibra"))*(SUMIFS(Acerto_Detalhado!$I$2:$I$433,Acerto_Detalhado!$A$2:$A$433,$D738,Acerto_Detalhado!$B$2:$B$433,"Fev",Acerto_Detalhado!$C$2:$C$433,"Fibra")),2)</f>
        <v>0</v>
      </c>
    </row>
    <row r="739" customFormat="false" ht="15" hidden="false" customHeight="false" outlineLevel="0" collapsed="false">
      <c r="A739" s="27" t="s">
        <v>112</v>
      </c>
      <c r="B739" s="27" t="s">
        <v>111</v>
      </c>
      <c r="C739" s="27" t="s">
        <v>45</v>
      </c>
      <c r="D739" s="27" t="s">
        <v>48</v>
      </c>
      <c r="E739" s="28" t="n">
        <f aca="false">ROUND((SUMIFS(Acerto_Detalhado!$F$2:$F$433,Acerto_Detalhado!$A$2:$A$433,$C739,Acerto_Detalhado!$B$2:$B$433,"Fev",Acerto_Detalhado!$C$2:$C$433,"Fibra"))*(SUMIFS(Acerto_Detalhado!$I$2:$I$433,Acerto_Detalhado!$A$2:$A$433,$D739,Acerto_Detalhado!$B$2:$B$433,"Fev",Acerto_Detalhado!$C$2:$C$433,"Fibra")),2)</f>
        <v>0</v>
      </c>
    </row>
    <row r="740" customFormat="false" ht="15" hidden="false" customHeight="false" outlineLevel="0" collapsed="false">
      <c r="A740" s="27" t="s">
        <v>112</v>
      </c>
      <c r="B740" s="27" t="s">
        <v>111</v>
      </c>
      <c r="C740" s="27" t="s">
        <v>45</v>
      </c>
      <c r="D740" s="27" t="s">
        <v>49</v>
      </c>
      <c r="E740" s="28" t="n">
        <f aca="false">ROUND((SUMIFS(Acerto_Detalhado!$F$2:$F$433,Acerto_Detalhado!$A$2:$A$433,$C740,Acerto_Detalhado!$B$2:$B$433,"Fev",Acerto_Detalhado!$C$2:$C$433,"Fibra"))*(SUMIFS(Acerto_Detalhado!$I$2:$I$433,Acerto_Detalhado!$A$2:$A$433,$D740,Acerto_Detalhado!$B$2:$B$433,"Fev",Acerto_Detalhado!$C$2:$C$433,"Fibra")),2)</f>
        <v>0</v>
      </c>
    </row>
    <row r="741" customFormat="false" ht="15" hidden="false" customHeight="false" outlineLevel="0" collapsed="false">
      <c r="A741" s="27" t="s">
        <v>112</v>
      </c>
      <c r="B741" s="27" t="s">
        <v>111</v>
      </c>
      <c r="C741" s="27" t="s">
        <v>45</v>
      </c>
      <c r="D741" s="27" t="s">
        <v>50</v>
      </c>
      <c r="E741" s="28" t="n">
        <f aca="false">ROUND((SUMIFS(Acerto_Detalhado!$F$2:$F$433,Acerto_Detalhado!$A$2:$A$433,$C741,Acerto_Detalhado!$B$2:$B$433,"Fev",Acerto_Detalhado!$C$2:$C$433,"Fibra"))*(SUMIFS(Acerto_Detalhado!$I$2:$I$433,Acerto_Detalhado!$A$2:$A$433,$D741,Acerto_Detalhado!$B$2:$B$433,"Fev",Acerto_Detalhado!$C$2:$C$433,"Fibra")),2)</f>
        <v>0</v>
      </c>
    </row>
    <row r="742" customFormat="false" ht="15" hidden="false" customHeight="false" outlineLevel="0" collapsed="false">
      <c r="A742" s="27" t="s">
        <v>112</v>
      </c>
      <c r="B742" s="27" t="s">
        <v>111</v>
      </c>
      <c r="C742" s="27" t="s">
        <v>46</v>
      </c>
      <c r="D742" s="27" t="s">
        <v>39</v>
      </c>
      <c r="E742" s="28" t="n">
        <f aca="false">ROUND((SUMIFS(Acerto_Detalhado!$F$2:$F$433,Acerto_Detalhado!$A$2:$A$433,$C742,Acerto_Detalhado!$B$2:$B$433,"Fev",Acerto_Detalhado!$C$2:$C$433,"Fibra"))*(SUMIFS(Acerto_Detalhado!$I$2:$I$433,Acerto_Detalhado!$A$2:$A$433,$D742,Acerto_Detalhado!$B$2:$B$433,"Fev",Acerto_Detalhado!$C$2:$C$433,"Fibra")),2)</f>
        <v>0</v>
      </c>
    </row>
    <row r="743" customFormat="false" ht="15" hidden="false" customHeight="false" outlineLevel="0" collapsed="false">
      <c r="A743" s="27" t="s">
        <v>112</v>
      </c>
      <c r="B743" s="27" t="s">
        <v>111</v>
      </c>
      <c r="C743" s="27" t="s">
        <v>46</v>
      </c>
      <c r="D743" s="27" t="s">
        <v>40</v>
      </c>
      <c r="E743" s="28" t="n">
        <f aca="false">ROUND((SUMIFS(Acerto_Detalhado!$F$2:$F$433,Acerto_Detalhado!$A$2:$A$433,$C743,Acerto_Detalhado!$B$2:$B$433,"Fev",Acerto_Detalhado!$C$2:$C$433,"Fibra"))*(SUMIFS(Acerto_Detalhado!$I$2:$I$433,Acerto_Detalhado!$A$2:$A$433,$D743,Acerto_Detalhado!$B$2:$B$433,"Fev",Acerto_Detalhado!$C$2:$C$433,"Fibra")),2)</f>
        <v>0</v>
      </c>
    </row>
    <row r="744" customFormat="false" ht="15" hidden="false" customHeight="false" outlineLevel="0" collapsed="false">
      <c r="A744" s="27" t="s">
        <v>112</v>
      </c>
      <c r="B744" s="27" t="s">
        <v>111</v>
      </c>
      <c r="C744" s="27" t="s">
        <v>46</v>
      </c>
      <c r="D744" s="27" t="s">
        <v>41</v>
      </c>
      <c r="E744" s="28" t="n">
        <f aca="false">ROUND((SUMIFS(Acerto_Detalhado!$F$2:$F$433,Acerto_Detalhado!$A$2:$A$433,$C744,Acerto_Detalhado!$B$2:$B$433,"Fev",Acerto_Detalhado!$C$2:$C$433,"Fibra"))*(SUMIFS(Acerto_Detalhado!$I$2:$I$433,Acerto_Detalhado!$A$2:$A$433,$D744,Acerto_Detalhado!$B$2:$B$433,"Fev",Acerto_Detalhado!$C$2:$C$433,"Fibra")),2)</f>
        <v>0</v>
      </c>
    </row>
    <row r="745" customFormat="false" ht="15" hidden="false" customHeight="false" outlineLevel="0" collapsed="false">
      <c r="A745" s="27" t="s">
        <v>112</v>
      </c>
      <c r="B745" s="27" t="s">
        <v>111</v>
      </c>
      <c r="C745" s="27" t="s">
        <v>46</v>
      </c>
      <c r="D745" s="27" t="s">
        <v>42</v>
      </c>
      <c r="E745" s="28" t="n">
        <f aca="false">ROUND((SUMIFS(Acerto_Detalhado!$F$2:$F$433,Acerto_Detalhado!$A$2:$A$433,$C745,Acerto_Detalhado!$B$2:$B$433,"Fev",Acerto_Detalhado!$C$2:$C$433,"Fibra"))*(SUMIFS(Acerto_Detalhado!$I$2:$I$433,Acerto_Detalhado!$A$2:$A$433,$D745,Acerto_Detalhado!$B$2:$B$433,"Fev",Acerto_Detalhado!$C$2:$C$433,"Fibra")),2)</f>
        <v>0</v>
      </c>
    </row>
    <row r="746" customFormat="false" ht="15" hidden="false" customHeight="false" outlineLevel="0" collapsed="false">
      <c r="A746" s="27" t="s">
        <v>112</v>
      </c>
      <c r="B746" s="27" t="s">
        <v>111</v>
      </c>
      <c r="C746" s="27" t="s">
        <v>46</v>
      </c>
      <c r="D746" s="27" t="s">
        <v>43</v>
      </c>
      <c r="E746" s="28" t="n">
        <f aca="false">ROUND((SUMIFS(Acerto_Detalhado!$F$2:$F$433,Acerto_Detalhado!$A$2:$A$433,$C746,Acerto_Detalhado!$B$2:$B$433,"Fev",Acerto_Detalhado!$C$2:$C$433,"Fibra"))*(SUMIFS(Acerto_Detalhado!$I$2:$I$433,Acerto_Detalhado!$A$2:$A$433,$D746,Acerto_Detalhado!$B$2:$B$433,"Fev",Acerto_Detalhado!$C$2:$C$433,"Fibra")),2)</f>
        <v>0</v>
      </c>
    </row>
    <row r="747" customFormat="false" ht="15" hidden="false" customHeight="false" outlineLevel="0" collapsed="false">
      <c r="A747" s="27" t="s">
        <v>112</v>
      </c>
      <c r="B747" s="27" t="s">
        <v>111</v>
      </c>
      <c r="C747" s="27" t="s">
        <v>46</v>
      </c>
      <c r="D747" s="27" t="s">
        <v>44</v>
      </c>
      <c r="E747" s="28" t="n">
        <f aca="false">ROUND((SUMIFS(Acerto_Detalhado!$F$2:$F$433,Acerto_Detalhado!$A$2:$A$433,$C747,Acerto_Detalhado!$B$2:$B$433,"Fev",Acerto_Detalhado!$C$2:$C$433,"Fibra"))*(SUMIFS(Acerto_Detalhado!$I$2:$I$433,Acerto_Detalhado!$A$2:$A$433,$D747,Acerto_Detalhado!$B$2:$B$433,"Fev",Acerto_Detalhado!$C$2:$C$433,"Fibra")),2)</f>
        <v>0</v>
      </c>
    </row>
    <row r="748" customFormat="false" ht="15" hidden="false" customHeight="false" outlineLevel="0" collapsed="false">
      <c r="A748" s="27" t="s">
        <v>112</v>
      </c>
      <c r="B748" s="27" t="s">
        <v>111</v>
      </c>
      <c r="C748" s="27" t="s">
        <v>46</v>
      </c>
      <c r="D748" s="27" t="s">
        <v>45</v>
      </c>
      <c r="E748" s="28" t="n">
        <f aca="false">ROUND((SUMIFS(Acerto_Detalhado!$F$2:$F$433,Acerto_Detalhado!$A$2:$A$433,$C748,Acerto_Detalhado!$B$2:$B$433,"Fev",Acerto_Detalhado!$C$2:$C$433,"Fibra"))*(SUMIFS(Acerto_Detalhado!$I$2:$I$433,Acerto_Detalhado!$A$2:$A$433,$D748,Acerto_Detalhado!$B$2:$B$433,"Fev",Acerto_Detalhado!$C$2:$C$433,"Fibra")),2)</f>
        <v>0</v>
      </c>
    </row>
    <row r="749" customFormat="false" ht="15" hidden="false" customHeight="false" outlineLevel="0" collapsed="false">
      <c r="A749" s="27" t="s">
        <v>112</v>
      </c>
      <c r="B749" s="27" t="s">
        <v>111</v>
      </c>
      <c r="C749" s="27" t="s">
        <v>46</v>
      </c>
      <c r="D749" s="27" t="s">
        <v>47</v>
      </c>
      <c r="E749" s="28" t="n">
        <f aca="false">ROUND((SUMIFS(Acerto_Detalhado!$F$2:$F$433,Acerto_Detalhado!$A$2:$A$433,$C749,Acerto_Detalhado!$B$2:$B$433,"Fev",Acerto_Detalhado!$C$2:$C$433,"Fibra"))*(SUMIFS(Acerto_Detalhado!$I$2:$I$433,Acerto_Detalhado!$A$2:$A$433,$D749,Acerto_Detalhado!$B$2:$B$433,"Fev",Acerto_Detalhado!$C$2:$C$433,"Fibra")),2)</f>
        <v>0</v>
      </c>
    </row>
    <row r="750" customFormat="false" ht="15" hidden="false" customHeight="false" outlineLevel="0" collapsed="false">
      <c r="A750" s="27" t="s">
        <v>112</v>
      </c>
      <c r="B750" s="27" t="s">
        <v>111</v>
      </c>
      <c r="C750" s="27" t="s">
        <v>46</v>
      </c>
      <c r="D750" s="27" t="s">
        <v>48</v>
      </c>
      <c r="E750" s="28" t="n">
        <f aca="false">ROUND((SUMIFS(Acerto_Detalhado!$F$2:$F$433,Acerto_Detalhado!$A$2:$A$433,$C750,Acerto_Detalhado!$B$2:$B$433,"Fev",Acerto_Detalhado!$C$2:$C$433,"Fibra"))*(SUMIFS(Acerto_Detalhado!$I$2:$I$433,Acerto_Detalhado!$A$2:$A$433,$D750,Acerto_Detalhado!$B$2:$B$433,"Fev",Acerto_Detalhado!$C$2:$C$433,"Fibra")),2)</f>
        <v>0</v>
      </c>
    </row>
    <row r="751" customFormat="false" ht="15" hidden="false" customHeight="false" outlineLevel="0" collapsed="false">
      <c r="A751" s="27" t="s">
        <v>112</v>
      </c>
      <c r="B751" s="27" t="s">
        <v>111</v>
      </c>
      <c r="C751" s="27" t="s">
        <v>46</v>
      </c>
      <c r="D751" s="27" t="s">
        <v>49</v>
      </c>
      <c r="E751" s="28" t="n">
        <f aca="false">ROUND((SUMIFS(Acerto_Detalhado!$F$2:$F$433,Acerto_Detalhado!$A$2:$A$433,$C751,Acerto_Detalhado!$B$2:$B$433,"Fev",Acerto_Detalhado!$C$2:$C$433,"Fibra"))*(SUMIFS(Acerto_Detalhado!$I$2:$I$433,Acerto_Detalhado!$A$2:$A$433,$D751,Acerto_Detalhado!$B$2:$B$433,"Fev",Acerto_Detalhado!$C$2:$C$433,"Fibra")),2)</f>
        <v>0</v>
      </c>
    </row>
    <row r="752" customFormat="false" ht="15" hidden="false" customHeight="false" outlineLevel="0" collapsed="false">
      <c r="A752" s="27" t="s">
        <v>112</v>
      </c>
      <c r="B752" s="27" t="s">
        <v>111</v>
      </c>
      <c r="C752" s="27" t="s">
        <v>46</v>
      </c>
      <c r="D752" s="27" t="s">
        <v>50</v>
      </c>
      <c r="E752" s="28" t="n">
        <f aca="false">ROUND((SUMIFS(Acerto_Detalhado!$F$2:$F$433,Acerto_Detalhado!$A$2:$A$433,$C752,Acerto_Detalhado!$B$2:$B$433,"Fev",Acerto_Detalhado!$C$2:$C$433,"Fibra"))*(SUMIFS(Acerto_Detalhado!$I$2:$I$433,Acerto_Detalhado!$A$2:$A$433,$D752,Acerto_Detalhado!$B$2:$B$433,"Fev",Acerto_Detalhado!$C$2:$C$433,"Fibra")),2)</f>
        <v>0</v>
      </c>
    </row>
    <row r="753" customFormat="false" ht="15" hidden="false" customHeight="false" outlineLevel="0" collapsed="false">
      <c r="A753" s="27" t="s">
        <v>112</v>
      </c>
      <c r="B753" s="27" t="s">
        <v>111</v>
      </c>
      <c r="C753" s="27" t="s">
        <v>47</v>
      </c>
      <c r="D753" s="27" t="s">
        <v>39</v>
      </c>
      <c r="E753" s="28" t="n">
        <f aca="false">ROUND((SUMIFS(Acerto_Detalhado!$F$2:$F$433,Acerto_Detalhado!$A$2:$A$433,$C753,Acerto_Detalhado!$B$2:$B$433,"Fev",Acerto_Detalhado!$C$2:$C$433,"Fibra"))*(SUMIFS(Acerto_Detalhado!$I$2:$I$433,Acerto_Detalhado!$A$2:$A$433,$D753,Acerto_Detalhado!$B$2:$B$433,"Fev",Acerto_Detalhado!$C$2:$C$433,"Fibra")),2)</f>
        <v>0</v>
      </c>
    </row>
    <row r="754" customFormat="false" ht="15" hidden="false" customHeight="false" outlineLevel="0" collapsed="false">
      <c r="A754" s="27" t="s">
        <v>112</v>
      </c>
      <c r="B754" s="27" t="s">
        <v>111</v>
      </c>
      <c r="C754" s="27" t="s">
        <v>47</v>
      </c>
      <c r="D754" s="27" t="s">
        <v>40</v>
      </c>
      <c r="E754" s="28" t="n">
        <f aca="false">ROUND((SUMIFS(Acerto_Detalhado!$F$2:$F$433,Acerto_Detalhado!$A$2:$A$433,$C754,Acerto_Detalhado!$B$2:$B$433,"Fev",Acerto_Detalhado!$C$2:$C$433,"Fibra"))*(SUMIFS(Acerto_Detalhado!$I$2:$I$433,Acerto_Detalhado!$A$2:$A$433,$D754,Acerto_Detalhado!$B$2:$B$433,"Fev",Acerto_Detalhado!$C$2:$C$433,"Fibra")),2)</f>
        <v>0</v>
      </c>
    </row>
    <row r="755" customFormat="false" ht="15" hidden="false" customHeight="false" outlineLevel="0" collapsed="false">
      <c r="A755" s="27" t="s">
        <v>112</v>
      </c>
      <c r="B755" s="27" t="s">
        <v>111</v>
      </c>
      <c r="C755" s="27" t="s">
        <v>47</v>
      </c>
      <c r="D755" s="27" t="s">
        <v>41</v>
      </c>
      <c r="E755" s="28" t="n">
        <f aca="false">ROUND((SUMIFS(Acerto_Detalhado!$F$2:$F$433,Acerto_Detalhado!$A$2:$A$433,$C755,Acerto_Detalhado!$B$2:$B$433,"Fev",Acerto_Detalhado!$C$2:$C$433,"Fibra"))*(SUMIFS(Acerto_Detalhado!$I$2:$I$433,Acerto_Detalhado!$A$2:$A$433,$D755,Acerto_Detalhado!$B$2:$B$433,"Fev",Acerto_Detalhado!$C$2:$C$433,"Fibra")),2)</f>
        <v>0</v>
      </c>
    </row>
    <row r="756" customFormat="false" ht="15" hidden="false" customHeight="false" outlineLevel="0" collapsed="false">
      <c r="A756" s="27" t="s">
        <v>112</v>
      </c>
      <c r="B756" s="27" t="s">
        <v>111</v>
      </c>
      <c r="C756" s="27" t="s">
        <v>47</v>
      </c>
      <c r="D756" s="27" t="s">
        <v>42</v>
      </c>
      <c r="E756" s="28" t="n">
        <f aca="false">ROUND((SUMIFS(Acerto_Detalhado!$F$2:$F$433,Acerto_Detalhado!$A$2:$A$433,$C756,Acerto_Detalhado!$B$2:$B$433,"Fev",Acerto_Detalhado!$C$2:$C$433,"Fibra"))*(SUMIFS(Acerto_Detalhado!$I$2:$I$433,Acerto_Detalhado!$A$2:$A$433,$D756,Acerto_Detalhado!$B$2:$B$433,"Fev",Acerto_Detalhado!$C$2:$C$433,"Fibra")),2)</f>
        <v>0</v>
      </c>
    </row>
    <row r="757" customFormat="false" ht="15" hidden="false" customHeight="false" outlineLevel="0" collapsed="false">
      <c r="A757" s="27" t="s">
        <v>112</v>
      </c>
      <c r="B757" s="27" t="s">
        <v>111</v>
      </c>
      <c r="C757" s="27" t="s">
        <v>47</v>
      </c>
      <c r="D757" s="27" t="s">
        <v>43</v>
      </c>
      <c r="E757" s="28" t="n">
        <f aca="false">ROUND((SUMIFS(Acerto_Detalhado!$F$2:$F$433,Acerto_Detalhado!$A$2:$A$433,$C757,Acerto_Detalhado!$B$2:$B$433,"Fev",Acerto_Detalhado!$C$2:$C$433,"Fibra"))*(SUMIFS(Acerto_Detalhado!$I$2:$I$433,Acerto_Detalhado!$A$2:$A$433,$D757,Acerto_Detalhado!$B$2:$B$433,"Fev",Acerto_Detalhado!$C$2:$C$433,"Fibra")),2)</f>
        <v>0</v>
      </c>
    </row>
    <row r="758" customFormat="false" ht="15" hidden="false" customHeight="false" outlineLevel="0" collapsed="false">
      <c r="A758" s="27" t="s">
        <v>112</v>
      </c>
      <c r="B758" s="27" t="s">
        <v>111</v>
      </c>
      <c r="C758" s="27" t="s">
        <v>47</v>
      </c>
      <c r="D758" s="27" t="s">
        <v>44</v>
      </c>
      <c r="E758" s="28" t="n">
        <f aca="false">ROUND((SUMIFS(Acerto_Detalhado!$F$2:$F$433,Acerto_Detalhado!$A$2:$A$433,$C758,Acerto_Detalhado!$B$2:$B$433,"Fev",Acerto_Detalhado!$C$2:$C$433,"Fibra"))*(SUMIFS(Acerto_Detalhado!$I$2:$I$433,Acerto_Detalhado!$A$2:$A$433,$D758,Acerto_Detalhado!$B$2:$B$433,"Fev",Acerto_Detalhado!$C$2:$C$433,"Fibra")),2)</f>
        <v>0</v>
      </c>
    </row>
    <row r="759" customFormat="false" ht="15" hidden="false" customHeight="false" outlineLevel="0" collapsed="false">
      <c r="A759" s="27" t="s">
        <v>112</v>
      </c>
      <c r="B759" s="27" t="s">
        <v>111</v>
      </c>
      <c r="C759" s="27" t="s">
        <v>47</v>
      </c>
      <c r="D759" s="27" t="s">
        <v>45</v>
      </c>
      <c r="E759" s="28" t="n">
        <f aca="false">ROUND((SUMIFS(Acerto_Detalhado!$F$2:$F$433,Acerto_Detalhado!$A$2:$A$433,$C759,Acerto_Detalhado!$B$2:$B$433,"Fev",Acerto_Detalhado!$C$2:$C$433,"Fibra"))*(SUMIFS(Acerto_Detalhado!$I$2:$I$433,Acerto_Detalhado!$A$2:$A$433,$D759,Acerto_Detalhado!$B$2:$B$433,"Fev",Acerto_Detalhado!$C$2:$C$433,"Fibra")),2)</f>
        <v>0</v>
      </c>
    </row>
    <row r="760" customFormat="false" ht="15" hidden="false" customHeight="false" outlineLevel="0" collapsed="false">
      <c r="A760" s="27" t="s">
        <v>112</v>
      </c>
      <c r="B760" s="27" t="s">
        <v>111</v>
      </c>
      <c r="C760" s="27" t="s">
        <v>47</v>
      </c>
      <c r="D760" s="27" t="s">
        <v>46</v>
      </c>
      <c r="E760" s="28" t="n">
        <f aca="false">ROUND((SUMIFS(Acerto_Detalhado!$F$2:$F$433,Acerto_Detalhado!$A$2:$A$433,$C760,Acerto_Detalhado!$B$2:$B$433,"Fev",Acerto_Detalhado!$C$2:$C$433,"Fibra"))*(SUMIFS(Acerto_Detalhado!$I$2:$I$433,Acerto_Detalhado!$A$2:$A$433,$D760,Acerto_Detalhado!$B$2:$B$433,"Fev",Acerto_Detalhado!$C$2:$C$433,"Fibra")),2)</f>
        <v>0</v>
      </c>
    </row>
    <row r="761" customFormat="false" ht="15" hidden="false" customHeight="false" outlineLevel="0" collapsed="false">
      <c r="A761" s="27" t="s">
        <v>112</v>
      </c>
      <c r="B761" s="27" t="s">
        <v>111</v>
      </c>
      <c r="C761" s="27" t="s">
        <v>47</v>
      </c>
      <c r="D761" s="27" t="s">
        <v>48</v>
      </c>
      <c r="E761" s="28" t="n">
        <f aca="false">ROUND((SUMIFS(Acerto_Detalhado!$F$2:$F$433,Acerto_Detalhado!$A$2:$A$433,$C761,Acerto_Detalhado!$B$2:$B$433,"Fev",Acerto_Detalhado!$C$2:$C$433,"Fibra"))*(SUMIFS(Acerto_Detalhado!$I$2:$I$433,Acerto_Detalhado!$A$2:$A$433,$D761,Acerto_Detalhado!$B$2:$B$433,"Fev",Acerto_Detalhado!$C$2:$C$433,"Fibra")),2)</f>
        <v>0</v>
      </c>
    </row>
    <row r="762" customFormat="false" ht="15" hidden="false" customHeight="false" outlineLevel="0" collapsed="false">
      <c r="A762" s="27" t="s">
        <v>112</v>
      </c>
      <c r="B762" s="27" t="s">
        <v>111</v>
      </c>
      <c r="C762" s="27" t="s">
        <v>47</v>
      </c>
      <c r="D762" s="27" t="s">
        <v>49</v>
      </c>
      <c r="E762" s="28" t="n">
        <f aca="false">ROUND((SUMIFS(Acerto_Detalhado!$F$2:$F$433,Acerto_Detalhado!$A$2:$A$433,$C762,Acerto_Detalhado!$B$2:$B$433,"Fev",Acerto_Detalhado!$C$2:$C$433,"Fibra"))*(SUMIFS(Acerto_Detalhado!$I$2:$I$433,Acerto_Detalhado!$A$2:$A$433,$D762,Acerto_Detalhado!$B$2:$B$433,"Fev",Acerto_Detalhado!$C$2:$C$433,"Fibra")),2)</f>
        <v>0</v>
      </c>
    </row>
    <row r="763" customFormat="false" ht="15" hidden="false" customHeight="false" outlineLevel="0" collapsed="false">
      <c r="A763" s="27" t="s">
        <v>112</v>
      </c>
      <c r="B763" s="27" t="s">
        <v>111</v>
      </c>
      <c r="C763" s="27" t="s">
        <v>47</v>
      </c>
      <c r="D763" s="27" t="s">
        <v>50</v>
      </c>
      <c r="E763" s="28" t="n">
        <f aca="false">ROUND((SUMIFS(Acerto_Detalhado!$F$2:$F$433,Acerto_Detalhado!$A$2:$A$433,$C763,Acerto_Detalhado!$B$2:$B$433,"Fev",Acerto_Detalhado!$C$2:$C$433,"Fibra"))*(SUMIFS(Acerto_Detalhado!$I$2:$I$433,Acerto_Detalhado!$A$2:$A$433,$D763,Acerto_Detalhado!$B$2:$B$433,"Fev",Acerto_Detalhado!$C$2:$C$433,"Fibra")),2)</f>
        <v>0</v>
      </c>
    </row>
    <row r="764" customFormat="false" ht="15" hidden="false" customHeight="false" outlineLevel="0" collapsed="false">
      <c r="A764" s="27" t="s">
        <v>112</v>
      </c>
      <c r="B764" s="27" t="s">
        <v>111</v>
      </c>
      <c r="C764" s="27" t="s">
        <v>48</v>
      </c>
      <c r="D764" s="27" t="s">
        <v>39</v>
      </c>
      <c r="E764" s="28" t="n">
        <f aca="false">ROUND((SUMIFS(Acerto_Detalhado!$F$2:$F$433,Acerto_Detalhado!$A$2:$A$433,$C764,Acerto_Detalhado!$B$2:$B$433,"Fev",Acerto_Detalhado!$C$2:$C$433,"Fibra"))*(SUMIFS(Acerto_Detalhado!$I$2:$I$433,Acerto_Detalhado!$A$2:$A$433,$D764,Acerto_Detalhado!$B$2:$B$433,"Fev",Acerto_Detalhado!$C$2:$C$433,"Fibra")),2)</f>
        <v>0</v>
      </c>
    </row>
    <row r="765" customFormat="false" ht="15" hidden="false" customHeight="false" outlineLevel="0" collapsed="false">
      <c r="A765" s="27" t="s">
        <v>112</v>
      </c>
      <c r="B765" s="27" t="s">
        <v>111</v>
      </c>
      <c r="C765" s="27" t="s">
        <v>48</v>
      </c>
      <c r="D765" s="27" t="s">
        <v>40</v>
      </c>
      <c r="E765" s="28" t="n">
        <f aca="false">ROUND((SUMIFS(Acerto_Detalhado!$F$2:$F$433,Acerto_Detalhado!$A$2:$A$433,$C765,Acerto_Detalhado!$B$2:$B$433,"Fev",Acerto_Detalhado!$C$2:$C$433,"Fibra"))*(SUMIFS(Acerto_Detalhado!$I$2:$I$433,Acerto_Detalhado!$A$2:$A$433,$D765,Acerto_Detalhado!$B$2:$B$433,"Fev",Acerto_Detalhado!$C$2:$C$433,"Fibra")),2)</f>
        <v>0</v>
      </c>
    </row>
    <row r="766" customFormat="false" ht="15" hidden="false" customHeight="false" outlineLevel="0" collapsed="false">
      <c r="A766" s="27" t="s">
        <v>112</v>
      </c>
      <c r="B766" s="27" t="s">
        <v>111</v>
      </c>
      <c r="C766" s="27" t="s">
        <v>48</v>
      </c>
      <c r="D766" s="27" t="s">
        <v>41</v>
      </c>
      <c r="E766" s="28" t="n">
        <f aca="false">ROUND((SUMIFS(Acerto_Detalhado!$F$2:$F$433,Acerto_Detalhado!$A$2:$A$433,$C766,Acerto_Detalhado!$B$2:$B$433,"Fev",Acerto_Detalhado!$C$2:$C$433,"Fibra"))*(SUMIFS(Acerto_Detalhado!$I$2:$I$433,Acerto_Detalhado!$A$2:$A$433,$D766,Acerto_Detalhado!$B$2:$B$433,"Fev",Acerto_Detalhado!$C$2:$C$433,"Fibra")),2)</f>
        <v>0</v>
      </c>
    </row>
    <row r="767" customFormat="false" ht="15" hidden="false" customHeight="false" outlineLevel="0" collapsed="false">
      <c r="A767" s="27" t="s">
        <v>112</v>
      </c>
      <c r="B767" s="27" t="s">
        <v>111</v>
      </c>
      <c r="C767" s="27" t="s">
        <v>48</v>
      </c>
      <c r="D767" s="27" t="s">
        <v>42</v>
      </c>
      <c r="E767" s="28" t="n">
        <f aca="false">ROUND((SUMIFS(Acerto_Detalhado!$F$2:$F$433,Acerto_Detalhado!$A$2:$A$433,$C767,Acerto_Detalhado!$B$2:$B$433,"Fev",Acerto_Detalhado!$C$2:$C$433,"Fibra"))*(SUMIFS(Acerto_Detalhado!$I$2:$I$433,Acerto_Detalhado!$A$2:$A$433,$D767,Acerto_Detalhado!$B$2:$B$433,"Fev",Acerto_Detalhado!$C$2:$C$433,"Fibra")),2)</f>
        <v>0</v>
      </c>
    </row>
    <row r="768" customFormat="false" ht="15" hidden="false" customHeight="false" outlineLevel="0" collapsed="false">
      <c r="A768" s="27" t="s">
        <v>112</v>
      </c>
      <c r="B768" s="27" t="s">
        <v>111</v>
      </c>
      <c r="C768" s="27" t="s">
        <v>48</v>
      </c>
      <c r="D768" s="27" t="s">
        <v>43</v>
      </c>
      <c r="E768" s="28" t="n">
        <f aca="false">ROUND((SUMIFS(Acerto_Detalhado!$F$2:$F$433,Acerto_Detalhado!$A$2:$A$433,$C768,Acerto_Detalhado!$B$2:$B$433,"Fev",Acerto_Detalhado!$C$2:$C$433,"Fibra"))*(SUMIFS(Acerto_Detalhado!$I$2:$I$433,Acerto_Detalhado!$A$2:$A$433,$D768,Acerto_Detalhado!$B$2:$B$433,"Fev",Acerto_Detalhado!$C$2:$C$433,"Fibra")),2)</f>
        <v>0</v>
      </c>
    </row>
    <row r="769" customFormat="false" ht="15" hidden="false" customHeight="false" outlineLevel="0" collapsed="false">
      <c r="A769" s="27" t="s">
        <v>112</v>
      </c>
      <c r="B769" s="27" t="s">
        <v>111</v>
      </c>
      <c r="C769" s="27" t="s">
        <v>48</v>
      </c>
      <c r="D769" s="27" t="s">
        <v>44</v>
      </c>
      <c r="E769" s="28" t="n">
        <f aca="false">ROUND((SUMIFS(Acerto_Detalhado!$F$2:$F$433,Acerto_Detalhado!$A$2:$A$433,$C769,Acerto_Detalhado!$B$2:$B$433,"Fev",Acerto_Detalhado!$C$2:$C$433,"Fibra"))*(SUMIFS(Acerto_Detalhado!$I$2:$I$433,Acerto_Detalhado!$A$2:$A$433,$D769,Acerto_Detalhado!$B$2:$B$433,"Fev",Acerto_Detalhado!$C$2:$C$433,"Fibra")),2)</f>
        <v>0</v>
      </c>
    </row>
    <row r="770" customFormat="false" ht="15" hidden="false" customHeight="false" outlineLevel="0" collapsed="false">
      <c r="A770" s="27" t="s">
        <v>112</v>
      </c>
      <c r="B770" s="27" t="s">
        <v>111</v>
      </c>
      <c r="C770" s="27" t="s">
        <v>48</v>
      </c>
      <c r="D770" s="27" t="s">
        <v>45</v>
      </c>
      <c r="E770" s="28" t="n">
        <f aca="false">ROUND((SUMIFS(Acerto_Detalhado!$F$2:$F$433,Acerto_Detalhado!$A$2:$A$433,$C770,Acerto_Detalhado!$B$2:$B$433,"Fev",Acerto_Detalhado!$C$2:$C$433,"Fibra"))*(SUMIFS(Acerto_Detalhado!$I$2:$I$433,Acerto_Detalhado!$A$2:$A$433,$D770,Acerto_Detalhado!$B$2:$B$433,"Fev",Acerto_Detalhado!$C$2:$C$433,"Fibra")),2)</f>
        <v>0</v>
      </c>
    </row>
    <row r="771" customFormat="false" ht="15" hidden="false" customHeight="false" outlineLevel="0" collapsed="false">
      <c r="A771" s="27" t="s">
        <v>112</v>
      </c>
      <c r="B771" s="27" t="s">
        <v>111</v>
      </c>
      <c r="C771" s="27" t="s">
        <v>48</v>
      </c>
      <c r="D771" s="27" t="s">
        <v>46</v>
      </c>
      <c r="E771" s="28" t="n">
        <f aca="false">ROUND((SUMIFS(Acerto_Detalhado!$F$2:$F$433,Acerto_Detalhado!$A$2:$A$433,$C771,Acerto_Detalhado!$B$2:$B$433,"Fev",Acerto_Detalhado!$C$2:$C$433,"Fibra"))*(SUMIFS(Acerto_Detalhado!$I$2:$I$433,Acerto_Detalhado!$A$2:$A$433,$D771,Acerto_Detalhado!$B$2:$B$433,"Fev",Acerto_Detalhado!$C$2:$C$433,"Fibra")),2)</f>
        <v>0</v>
      </c>
    </row>
    <row r="772" customFormat="false" ht="15" hidden="false" customHeight="false" outlineLevel="0" collapsed="false">
      <c r="A772" s="27" t="s">
        <v>112</v>
      </c>
      <c r="B772" s="27" t="s">
        <v>111</v>
      </c>
      <c r="C772" s="27" t="s">
        <v>48</v>
      </c>
      <c r="D772" s="27" t="s">
        <v>47</v>
      </c>
      <c r="E772" s="28" t="n">
        <f aca="false">ROUND((SUMIFS(Acerto_Detalhado!$F$2:$F$433,Acerto_Detalhado!$A$2:$A$433,$C772,Acerto_Detalhado!$B$2:$B$433,"Fev",Acerto_Detalhado!$C$2:$C$433,"Fibra"))*(SUMIFS(Acerto_Detalhado!$I$2:$I$433,Acerto_Detalhado!$A$2:$A$433,$D772,Acerto_Detalhado!$B$2:$B$433,"Fev",Acerto_Detalhado!$C$2:$C$433,"Fibra")),2)</f>
        <v>0</v>
      </c>
    </row>
    <row r="773" customFormat="false" ht="15" hidden="false" customHeight="false" outlineLevel="0" collapsed="false">
      <c r="A773" s="27" t="s">
        <v>112</v>
      </c>
      <c r="B773" s="27" t="s">
        <v>111</v>
      </c>
      <c r="C773" s="27" t="s">
        <v>48</v>
      </c>
      <c r="D773" s="27" t="s">
        <v>49</v>
      </c>
      <c r="E773" s="28" t="n">
        <f aca="false">ROUND((SUMIFS(Acerto_Detalhado!$F$2:$F$433,Acerto_Detalhado!$A$2:$A$433,$C773,Acerto_Detalhado!$B$2:$B$433,"Fev",Acerto_Detalhado!$C$2:$C$433,"Fibra"))*(SUMIFS(Acerto_Detalhado!$I$2:$I$433,Acerto_Detalhado!$A$2:$A$433,$D773,Acerto_Detalhado!$B$2:$B$433,"Fev",Acerto_Detalhado!$C$2:$C$433,"Fibra")),2)</f>
        <v>0</v>
      </c>
    </row>
    <row r="774" customFormat="false" ht="15" hidden="false" customHeight="false" outlineLevel="0" collapsed="false">
      <c r="A774" s="27" t="s">
        <v>112</v>
      </c>
      <c r="B774" s="27" t="s">
        <v>111</v>
      </c>
      <c r="C774" s="27" t="s">
        <v>48</v>
      </c>
      <c r="D774" s="27" t="s">
        <v>50</v>
      </c>
      <c r="E774" s="28" t="n">
        <f aca="false">ROUND((SUMIFS(Acerto_Detalhado!$F$2:$F$433,Acerto_Detalhado!$A$2:$A$433,$C774,Acerto_Detalhado!$B$2:$B$433,"Fev",Acerto_Detalhado!$C$2:$C$433,"Fibra"))*(SUMIFS(Acerto_Detalhado!$I$2:$I$433,Acerto_Detalhado!$A$2:$A$433,$D774,Acerto_Detalhado!$B$2:$B$433,"Fev",Acerto_Detalhado!$C$2:$C$433,"Fibra")),2)</f>
        <v>0</v>
      </c>
    </row>
    <row r="775" customFormat="false" ht="15" hidden="false" customHeight="false" outlineLevel="0" collapsed="false">
      <c r="A775" s="27" t="s">
        <v>112</v>
      </c>
      <c r="B775" s="27" t="s">
        <v>111</v>
      </c>
      <c r="C775" s="27" t="s">
        <v>49</v>
      </c>
      <c r="D775" s="27" t="s">
        <v>39</v>
      </c>
      <c r="E775" s="28" t="n">
        <f aca="false">ROUND((SUMIFS(Acerto_Detalhado!$F$2:$F$433,Acerto_Detalhado!$A$2:$A$433,$C775,Acerto_Detalhado!$B$2:$B$433,"Fev",Acerto_Detalhado!$C$2:$C$433,"Fibra"))*(SUMIFS(Acerto_Detalhado!$I$2:$I$433,Acerto_Detalhado!$A$2:$A$433,$D775,Acerto_Detalhado!$B$2:$B$433,"Fev",Acerto_Detalhado!$C$2:$C$433,"Fibra")),2)</f>
        <v>0</v>
      </c>
    </row>
    <row r="776" customFormat="false" ht="15" hidden="false" customHeight="false" outlineLevel="0" collapsed="false">
      <c r="A776" s="27" t="s">
        <v>112</v>
      </c>
      <c r="B776" s="27" t="s">
        <v>111</v>
      </c>
      <c r="C776" s="27" t="s">
        <v>49</v>
      </c>
      <c r="D776" s="27" t="s">
        <v>40</v>
      </c>
      <c r="E776" s="28" t="n">
        <f aca="false">ROUND((SUMIFS(Acerto_Detalhado!$F$2:$F$433,Acerto_Detalhado!$A$2:$A$433,$C776,Acerto_Detalhado!$B$2:$B$433,"Fev",Acerto_Detalhado!$C$2:$C$433,"Fibra"))*(SUMIFS(Acerto_Detalhado!$I$2:$I$433,Acerto_Detalhado!$A$2:$A$433,$D776,Acerto_Detalhado!$B$2:$B$433,"Fev",Acerto_Detalhado!$C$2:$C$433,"Fibra")),2)</f>
        <v>0</v>
      </c>
    </row>
    <row r="777" customFormat="false" ht="15" hidden="false" customHeight="false" outlineLevel="0" collapsed="false">
      <c r="A777" s="27" t="s">
        <v>112</v>
      </c>
      <c r="B777" s="27" t="s">
        <v>111</v>
      </c>
      <c r="C777" s="27" t="s">
        <v>49</v>
      </c>
      <c r="D777" s="27" t="s">
        <v>41</v>
      </c>
      <c r="E777" s="28" t="n">
        <f aca="false">ROUND((SUMIFS(Acerto_Detalhado!$F$2:$F$433,Acerto_Detalhado!$A$2:$A$433,$C777,Acerto_Detalhado!$B$2:$B$433,"Fev",Acerto_Detalhado!$C$2:$C$433,"Fibra"))*(SUMIFS(Acerto_Detalhado!$I$2:$I$433,Acerto_Detalhado!$A$2:$A$433,$D777,Acerto_Detalhado!$B$2:$B$433,"Fev",Acerto_Detalhado!$C$2:$C$433,"Fibra")),2)</f>
        <v>0</v>
      </c>
    </row>
    <row r="778" customFormat="false" ht="15" hidden="false" customHeight="false" outlineLevel="0" collapsed="false">
      <c r="A778" s="27" t="s">
        <v>112</v>
      </c>
      <c r="B778" s="27" t="s">
        <v>111</v>
      </c>
      <c r="C778" s="27" t="s">
        <v>49</v>
      </c>
      <c r="D778" s="27" t="s">
        <v>42</v>
      </c>
      <c r="E778" s="28" t="n">
        <f aca="false">ROUND((SUMIFS(Acerto_Detalhado!$F$2:$F$433,Acerto_Detalhado!$A$2:$A$433,$C778,Acerto_Detalhado!$B$2:$B$433,"Fev",Acerto_Detalhado!$C$2:$C$433,"Fibra"))*(SUMIFS(Acerto_Detalhado!$I$2:$I$433,Acerto_Detalhado!$A$2:$A$433,$D778,Acerto_Detalhado!$B$2:$B$433,"Fev",Acerto_Detalhado!$C$2:$C$433,"Fibra")),2)</f>
        <v>0</v>
      </c>
    </row>
    <row r="779" customFormat="false" ht="15" hidden="false" customHeight="false" outlineLevel="0" collapsed="false">
      <c r="A779" s="27" t="s">
        <v>112</v>
      </c>
      <c r="B779" s="27" t="s">
        <v>111</v>
      </c>
      <c r="C779" s="27" t="s">
        <v>49</v>
      </c>
      <c r="D779" s="27" t="s">
        <v>43</v>
      </c>
      <c r="E779" s="28" t="n">
        <f aca="false">ROUND((SUMIFS(Acerto_Detalhado!$F$2:$F$433,Acerto_Detalhado!$A$2:$A$433,$C779,Acerto_Detalhado!$B$2:$B$433,"Fev",Acerto_Detalhado!$C$2:$C$433,"Fibra"))*(SUMIFS(Acerto_Detalhado!$I$2:$I$433,Acerto_Detalhado!$A$2:$A$433,$D779,Acerto_Detalhado!$B$2:$B$433,"Fev",Acerto_Detalhado!$C$2:$C$433,"Fibra")),2)</f>
        <v>0</v>
      </c>
    </row>
    <row r="780" customFormat="false" ht="15" hidden="false" customHeight="false" outlineLevel="0" collapsed="false">
      <c r="A780" s="27" t="s">
        <v>112</v>
      </c>
      <c r="B780" s="27" t="s">
        <v>111</v>
      </c>
      <c r="C780" s="27" t="s">
        <v>49</v>
      </c>
      <c r="D780" s="27" t="s">
        <v>44</v>
      </c>
      <c r="E780" s="28" t="n">
        <f aca="false">ROUND((SUMIFS(Acerto_Detalhado!$F$2:$F$433,Acerto_Detalhado!$A$2:$A$433,$C780,Acerto_Detalhado!$B$2:$B$433,"Fev",Acerto_Detalhado!$C$2:$C$433,"Fibra"))*(SUMIFS(Acerto_Detalhado!$I$2:$I$433,Acerto_Detalhado!$A$2:$A$433,$D780,Acerto_Detalhado!$B$2:$B$433,"Fev",Acerto_Detalhado!$C$2:$C$433,"Fibra")),2)</f>
        <v>0</v>
      </c>
    </row>
    <row r="781" customFormat="false" ht="15" hidden="false" customHeight="false" outlineLevel="0" collapsed="false">
      <c r="A781" s="27" t="s">
        <v>112</v>
      </c>
      <c r="B781" s="27" t="s">
        <v>111</v>
      </c>
      <c r="C781" s="27" t="s">
        <v>49</v>
      </c>
      <c r="D781" s="27" t="s">
        <v>45</v>
      </c>
      <c r="E781" s="28" t="n">
        <f aca="false">ROUND((SUMIFS(Acerto_Detalhado!$F$2:$F$433,Acerto_Detalhado!$A$2:$A$433,$C781,Acerto_Detalhado!$B$2:$B$433,"Fev",Acerto_Detalhado!$C$2:$C$433,"Fibra"))*(SUMIFS(Acerto_Detalhado!$I$2:$I$433,Acerto_Detalhado!$A$2:$A$433,$D781,Acerto_Detalhado!$B$2:$B$433,"Fev",Acerto_Detalhado!$C$2:$C$433,"Fibra")),2)</f>
        <v>0</v>
      </c>
    </row>
    <row r="782" customFormat="false" ht="15" hidden="false" customHeight="false" outlineLevel="0" collapsed="false">
      <c r="A782" s="27" t="s">
        <v>112</v>
      </c>
      <c r="B782" s="27" t="s">
        <v>111</v>
      </c>
      <c r="C782" s="27" t="s">
        <v>49</v>
      </c>
      <c r="D782" s="27" t="s">
        <v>46</v>
      </c>
      <c r="E782" s="28" t="n">
        <f aca="false">ROUND((SUMIFS(Acerto_Detalhado!$F$2:$F$433,Acerto_Detalhado!$A$2:$A$433,$C782,Acerto_Detalhado!$B$2:$B$433,"Fev",Acerto_Detalhado!$C$2:$C$433,"Fibra"))*(SUMIFS(Acerto_Detalhado!$I$2:$I$433,Acerto_Detalhado!$A$2:$A$433,$D782,Acerto_Detalhado!$B$2:$B$433,"Fev",Acerto_Detalhado!$C$2:$C$433,"Fibra")),2)</f>
        <v>0</v>
      </c>
    </row>
    <row r="783" customFormat="false" ht="15" hidden="false" customHeight="false" outlineLevel="0" collapsed="false">
      <c r="A783" s="27" t="s">
        <v>112</v>
      </c>
      <c r="B783" s="27" t="s">
        <v>111</v>
      </c>
      <c r="C783" s="27" t="s">
        <v>49</v>
      </c>
      <c r="D783" s="27" t="s">
        <v>47</v>
      </c>
      <c r="E783" s="28" t="n">
        <f aca="false">ROUND((SUMIFS(Acerto_Detalhado!$F$2:$F$433,Acerto_Detalhado!$A$2:$A$433,$C783,Acerto_Detalhado!$B$2:$B$433,"Fev",Acerto_Detalhado!$C$2:$C$433,"Fibra"))*(SUMIFS(Acerto_Detalhado!$I$2:$I$433,Acerto_Detalhado!$A$2:$A$433,$D783,Acerto_Detalhado!$B$2:$B$433,"Fev",Acerto_Detalhado!$C$2:$C$433,"Fibra")),2)</f>
        <v>0</v>
      </c>
    </row>
    <row r="784" customFormat="false" ht="15" hidden="false" customHeight="false" outlineLevel="0" collapsed="false">
      <c r="A784" s="27" t="s">
        <v>112</v>
      </c>
      <c r="B784" s="27" t="s">
        <v>111</v>
      </c>
      <c r="C784" s="27" t="s">
        <v>49</v>
      </c>
      <c r="D784" s="27" t="s">
        <v>48</v>
      </c>
      <c r="E784" s="28" t="n">
        <f aca="false">ROUND((SUMIFS(Acerto_Detalhado!$F$2:$F$433,Acerto_Detalhado!$A$2:$A$433,$C784,Acerto_Detalhado!$B$2:$B$433,"Fev",Acerto_Detalhado!$C$2:$C$433,"Fibra"))*(SUMIFS(Acerto_Detalhado!$I$2:$I$433,Acerto_Detalhado!$A$2:$A$433,$D784,Acerto_Detalhado!$B$2:$B$433,"Fev",Acerto_Detalhado!$C$2:$C$433,"Fibra")),2)</f>
        <v>0</v>
      </c>
    </row>
    <row r="785" customFormat="false" ht="15" hidden="false" customHeight="false" outlineLevel="0" collapsed="false">
      <c r="A785" s="27" t="s">
        <v>112</v>
      </c>
      <c r="B785" s="27" t="s">
        <v>111</v>
      </c>
      <c r="C785" s="27" t="s">
        <v>49</v>
      </c>
      <c r="D785" s="27" t="s">
        <v>50</v>
      </c>
      <c r="E785" s="28" t="n">
        <f aca="false">ROUND((SUMIFS(Acerto_Detalhado!$F$2:$F$433,Acerto_Detalhado!$A$2:$A$433,$C785,Acerto_Detalhado!$B$2:$B$433,"Fev",Acerto_Detalhado!$C$2:$C$433,"Fibra"))*(SUMIFS(Acerto_Detalhado!$I$2:$I$433,Acerto_Detalhado!$A$2:$A$433,$D785,Acerto_Detalhado!$B$2:$B$433,"Fev",Acerto_Detalhado!$C$2:$C$433,"Fibra")),2)</f>
        <v>0</v>
      </c>
    </row>
    <row r="786" customFormat="false" ht="15" hidden="false" customHeight="false" outlineLevel="0" collapsed="false">
      <c r="A786" s="27" t="s">
        <v>112</v>
      </c>
      <c r="B786" s="27" t="s">
        <v>111</v>
      </c>
      <c r="C786" s="27" t="s">
        <v>50</v>
      </c>
      <c r="D786" s="27" t="s">
        <v>39</v>
      </c>
      <c r="E786" s="28" t="n">
        <f aca="false">ROUND((SUMIFS(Acerto_Detalhado!$F$2:$F$433,Acerto_Detalhado!$A$2:$A$433,$C786,Acerto_Detalhado!$B$2:$B$433,"Fev",Acerto_Detalhado!$C$2:$C$433,"Fibra"))*(SUMIFS(Acerto_Detalhado!$I$2:$I$433,Acerto_Detalhado!$A$2:$A$433,$D786,Acerto_Detalhado!$B$2:$B$433,"Fev",Acerto_Detalhado!$C$2:$C$433,"Fibra")),2)</f>
        <v>0</v>
      </c>
    </row>
    <row r="787" customFormat="false" ht="15" hidden="false" customHeight="false" outlineLevel="0" collapsed="false">
      <c r="A787" s="27" t="s">
        <v>112</v>
      </c>
      <c r="B787" s="27" t="s">
        <v>111</v>
      </c>
      <c r="C787" s="27" t="s">
        <v>50</v>
      </c>
      <c r="D787" s="27" t="s">
        <v>40</v>
      </c>
      <c r="E787" s="28" t="n">
        <f aca="false">ROUND((SUMIFS(Acerto_Detalhado!$F$2:$F$433,Acerto_Detalhado!$A$2:$A$433,$C787,Acerto_Detalhado!$B$2:$B$433,"Fev",Acerto_Detalhado!$C$2:$C$433,"Fibra"))*(SUMIFS(Acerto_Detalhado!$I$2:$I$433,Acerto_Detalhado!$A$2:$A$433,$D787,Acerto_Detalhado!$B$2:$B$433,"Fev",Acerto_Detalhado!$C$2:$C$433,"Fibra")),2)</f>
        <v>0</v>
      </c>
    </row>
    <row r="788" customFormat="false" ht="15" hidden="false" customHeight="false" outlineLevel="0" collapsed="false">
      <c r="A788" s="27" t="s">
        <v>112</v>
      </c>
      <c r="B788" s="27" t="s">
        <v>111</v>
      </c>
      <c r="C788" s="27" t="s">
        <v>50</v>
      </c>
      <c r="D788" s="27" t="s">
        <v>41</v>
      </c>
      <c r="E788" s="28" t="n">
        <f aca="false">ROUND((SUMIFS(Acerto_Detalhado!$F$2:$F$433,Acerto_Detalhado!$A$2:$A$433,$C788,Acerto_Detalhado!$B$2:$B$433,"Fev",Acerto_Detalhado!$C$2:$C$433,"Fibra"))*(SUMIFS(Acerto_Detalhado!$I$2:$I$433,Acerto_Detalhado!$A$2:$A$433,$D788,Acerto_Detalhado!$B$2:$B$433,"Fev",Acerto_Detalhado!$C$2:$C$433,"Fibra")),2)</f>
        <v>0</v>
      </c>
    </row>
    <row r="789" customFormat="false" ht="15" hidden="false" customHeight="false" outlineLevel="0" collapsed="false">
      <c r="A789" s="27" t="s">
        <v>112</v>
      </c>
      <c r="B789" s="27" t="s">
        <v>111</v>
      </c>
      <c r="C789" s="27" t="s">
        <v>50</v>
      </c>
      <c r="D789" s="27" t="s">
        <v>42</v>
      </c>
      <c r="E789" s="28" t="n">
        <f aca="false">ROUND((SUMIFS(Acerto_Detalhado!$F$2:$F$433,Acerto_Detalhado!$A$2:$A$433,$C789,Acerto_Detalhado!$B$2:$B$433,"Fev",Acerto_Detalhado!$C$2:$C$433,"Fibra"))*(SUMIFS(Acerto_Detalhado!$I$2:$I$433,Acerto_Detalhado!$A$2:$A$433,$D789,Acerto_Detalhado!$B$2:$B$433,"Fev",Acerto_Detalhado!$C$2:$C$433,"Fibra")),2)</f>
        <v>0</v>
      </c>
    </row>
    <row r="790" customFormat="false" ht="15" hidden="false" customHeight="false" outlineLevel="0" collapsed="false">
      <c r="A790" s="27" t="s">
        <v>112</v>
      </c>
      <c r="B790" s="27" t="s">
        <v>111</v>
      </c>
      <c r="C790" s="27" t="s">
        <v>50</v>
      </c>
      <c r="D790" s="27" t="s">
        <v>43</v>
      </c>
      <c r="E790" s="28" t="n">
        <f aca="false">ROUND((SUMIFS(Acerto_Detalhado!$F$2:$F$433,Acerto_Detalhado!$A$2:$A$433,$C790,Acerto_Detalhado!$B$2:$B$433,"Fev",Acerto_Detalhado!$C$2:$C$433,"Fibra"))*(SUMIFS(Acerto_Detalhado!$I$2:$I$433,Acerto_Detalhado!$A$2:$A$433,$D790,Acerto_Detalhado!$B$2:$B$433,"Fev",Acerto_Detalhado!$C$2:$C$433,"Fibra")),2)</f>
        <v>0</v>
      </c>
    </row>
    <row r="791" customFormat="false" ht="15" hidden="false" customHeight="false" outlineLevel="0" collapsed="false">
      <c r="A791" s="27" t="s">
        <v>112</v>
      </c>
      <c r="B791" s="27" t="s">
        <v>111</v>
      </c>
      <c r="C791" s="27" t="s">
        <v>50</v>
      </c>
      <c r="D791" s="27" t="s">
        <v>44</v>
      </c>
      <c r="E791" s="28" t="n">
        <f aca="false">ROUND((SUMIFS(Acerto_Detalhado!$F$2:$F$433,Acerto_Detalhado!$A$2:$A$433,$C791,Acerto_Detalhado!$B$2:$B$433,"Fev",Acerto_Detalhado!$C$2:$C$433,"Fibra"))*(SUMIFS(Acerto_Detalhado!$I$2:$I$433,Acerto_Detalhado!$A$2:$A$433,$D791,Acerto_Detalhado!$B$2:$B$433,"Fev",Acerto_Detalhado!$C$2:$C$433,"Fibra")),2)</f>
        <v>0</v>
      </c>
    </row>
    <row r="792" customFormat="false" ht="15" hidden="false" customHeight="false" outlineLevel="0" collapsed="false">
      <c r="A792" s="27" t="s">
        <v>112</v>
      </c>
      <c r="B792" s="27" t="s">
        <v>111</v>
      </c>
      <c r="C792" s="27" t="s">
        <v>50</v>
      </c>
      <c r="D792" s="27" t="s">
        <v>45</v>
      </c>
      <c r="E792" s="28" t="n">
        <f aca="false">ROUND((SUMIFS(Acerto_Detalhado!$F$2:$F$433,Acerto_Detalhado!$A$2:$A$433,$C792,Acerto_Detalhado!$B$2:$B$433,"Fev",Acerto_Detalhado!$C$2:$C$433,"Fibra"))*(SUMIFS(Acerto_Detalhado!$I$2:$I$433,Acerto_Detalhado!$A$2:$A$433,$D792,Acerto_Detalhado!$B$2:$B$433,"Fev",Acerto_Detalhado!$C$2:$C$433,"Fibra")),2)</f>
        <v>0</v>
      </c>
    </row>
    <row r="793" customFormat="false" ht="15" hidden="false" customHeight="false" outlineLevel="0" collapsed="false">
      <c r="A793" s="27" t="s">
        <v>112</v>
      </c>
      <c r="B793" s="27" t="s">
        <v>111</v>
      </c>
      <c r="C793" s="27" t="s">
        <v>50</v>
      </c>
      <c r="D793" s="27" t="s">
        <v>46</v>
      </c>
      <c r="E793" s="28" t="n">
        <f aca="false">ROUND((SUMIFS(Acerto_Detalhado!$F$2:$F$433,Acerto_Detalhado!$A$2:$A$433,$C793,Acerto_Detalhado!$B$2:$B$433,"Fev",Acerto_Detalhado!$C$2:$C$433,"Fibra"))*(SUMIFS(Acerto_Detalhado!$I$2:$I$433,Acerto_Detalhado!$A$2:$A$433,$D793,Acerto_Detalhado!$B$2:$B$433,"Fev",Acerto_Detalhado!$C$2:$C$433,"Fibra")),2)</f>
        <v>0</v>
      </c>
    </row>
    <row r="794" customFormat="false" ht="15" hidden="false" customHeight="false" outlineLevel="0" collapsed="false">
      <c r="A794" s="27" t="s">
        <v>112</v>
      </c>
      <c r="B794" s="27" t="s">
        <v>111</v>
      </c>
      <c r="C794" s="27" t="s">
        <v>50</v>
      </c>
      <c r="D794" s="27" t="s">
        <v>47</v>
      </c>
      <c r="E794" s="28" t="n">
        <f aca="false">ROUND((SUMIFS(Acerto_Detalhado!$F$2:$F$433,Acerto_Detalhado!$A$2:$A$433,$C794,Acerto_Detalhado!$B$2:$B$433,"Fev",Acerto_Detalhado!$C$2:$C$433,"Fibra"))*(SUMIFS(Acerto_Detalhado!$I$2:$I$433,Acerto_Detalhado!$A$2:$A$433,$D794,Acerto_Detalhado!$B$2:$B$433,"Fev",Acerto_Detalhado!$C$2:$C$433,"Fibra")),2)</f>
        <v>0</v>
      </c>
    </row>
    <row r="795" customFormat="false" ht="15" hidden="false" customHeight="false" outlineLevel="0" collapsed="false">
      <c r="A795" s="27" t="s">
        <v>112</v>
      </c>
      <c r="B795" s="27" t="s">
        <v>111</v>
      </c>
      <c r="C795" s="27" t="s">
        <v>50</v>
      </c>
      <c r="D795" s="27" t="s">
        <v>48</v>
      </c>
      <c r="E795" s="28" t="n">
        <f aca="false">ROUND((SUMIFS(Acerto_Detalhado!$F$2:$F$433,Acerto_Detalhado!$A$2:$A$433,$C795,Acerto_Detalhado!$B$2:$B$433,"Fev",Acerto_Detalhado!$C$2:$C$433,"Fibra"))*(SUMIFS(Acerto_Detalhado!$I$2:$I$433,Acerto_Detalhado!$A$2:$A$433,$D795,Acerto_Detalhado!$B$2:$B$433,"Fev",Acerto_Detalhado!$C$2:$C$433,"Fibra")),2)</f>
        <v>0</v>
      </c>
    </row>
    <row r="796" customFormat="false" ht="15" hidden="false" customHeight="false" outlineLevel="0" collapsed="false">
      <c r="A796" s="27" t="s">
        <v>112</v>
      </c>
      <c r="B796" s="27" t="s">
        <v>111</v>
      </c>
      <c r="C796" s="27" t="s">
        <v>50</v>
      </c>
      <c r="D796" s="27" t="s">
        <v>49</v>
      </c>
      <c r="E796" s="28" t="n">
        <f aca="false">ROUND((SUMIFS(Acerto_Detalhado!$F$2:$F$433,Acerto_Detalhado!$A$2:$A$433,$C796,Acerto_Detalhado!$B$2:$B$433,"Fev",Acerto_Detalhado!$C$2:$C$433,"Fibra"))*(SUMIFS(Acerto_Detalhado!$I$2:$I$433,Acerto_Detalhado!$A$2:$A$433,$D796,Acerto_Detalhado!$B$2:$B$433,"Fev",Acerto_Detalhado!$C$2:$C$433,"Fibra")),2)</f>
        <v>0</v>
      </c>
    </row>
    <row r="797" customFormat="false" ht="15" hidden="false" customHeight="false" outlineLevel="0" collapsed="false">
      <c r="A797" s="27" t="s">
        <v>113</v>
      </c>
      <c r="B797" s="27" t="s">
        <v>109</v>
      </c>
      <c r="C797" s="27" t="s">
        <v>39</v>
      </c>
      <c r="D797" s="27" t="s">
        <v>40</v>
      </c>
      <c r="E797" s="28" t="n">
        <f aca="false">ROUND((SUMIFS(Acerto_Detalhado!$F$2:$F$433,Acerto_Detalhado!$A$2:$A$433,$C797,Acerto_Detalhado!$B$2:$B$433,"Mar",Acerto_Detalhado!$C$2:$C$433,"Proteina"))*(SUMIFS(Acerto_Detalhado!$I$2:$I$433,Acerto_Detalhado!$A$2:$A$433,$D797,Acerto_Detalhado!$B$2:$B$433,"Mar",Acerto_Detalhado!$C$2:$C$433,"Proteina")),2)</f>
        <v>0</v>
      </c>
    </row>
    <row r="798" customFormat="false" ht="15" hidden="false" customHeight="false" outlineLevel="0" collapsed="false">
      <c r="A798" s="27" t="s">
        <v>113</v>
      </c>
      <c r="B798" s="27" t="s">
        <v>109</v>
      </c>
      <c r="C798" s="27" t="s">
        <v>39</v>
      </c>
      <c r="D798" s="27" t="s">
        <v>41</v>
      </c>
      <c r="E798" s="28" t="n">
        <f aca="false">ROUND((SUMIFS(Acerto_Detalhado!$F$2:$F$433,Acerto_Detalhado!$A$2:$A$433,$C798,Acerto_Detalhado!$B$2:$B$433,"Mar",Acerto_Detalhado!$C$2:$C$433,"Proteina"))*(SUMIFS(Acerto_Detalhado!$I$2:$I$433,Acerto_Detalhado!$A$2:$A$433,$D798,Acerto_Detalhado!$B$2:$B$433,"Mar",Acerto_Detalhado!$C$2:$C$433,"Proteina")),2)</f>
        <v>0</v>
      </c>
    </row>
    <row r="799" customFormat="false" ht="15" hidden="false" customHeight="false" outlineLevel="0" collapsed="false">
      <c r="A799" s="27" t="s">
        <v>113</v>
      </c>
      <c r="B799" s="27" t="s">
        <v>109</v>
      </c>
      <c r="C799" s="27" t="s">
        <v>39</v>
      </c>
      <c r="D799" s="27" t="s">
        <v>42</v>
      </c>
      <c r="E799" s="28" t="n">
        <f aca="false">ROUND((SUMIFS(Acerto_Detalhado!$F$2:$F$433,Acerto_Detalhado!$A$2:$A$433,$C799,Acerto_Detalhado!$B$2:$B$433,"Mar",Acerto_Detalhado!$C$2:$C$433,"Proteina"))*(SUMIFS(Acerto_Detalhado!$I$2:$I$433,Acerto_Detalhado!$A$2:$A$433,$D799,Acerto_Detalhado!$B$2:$B$433,"Mar",Acerto_Detalhado!$C$2:$C$433,"Proteina")),2)</f>
        <v>0</v>
      </c>
    </row>
    <row r="800" customFormat="false" ht="15" hidden="false" customHeight="false" outlineLevel="0" collapsed="false">
      <c r="A800" s="27" t="s">
        <v>113</v>
      </c>
      <c r="B800" s="27" t="s">
        <v>109</v>
      </c>
      <c r="C800" s="27" t="s">
        <v>39</v>
      </c>
      <c r="D800" s="27" t="s">
        <v>43</v>
      </c>
      <c r="E800" s="28" t="n">
        <f aca="false">ROUND((SUMIFS(Acerto_Detalhado!$F$2:$F$433,Acerto_Detalhado!$A$2:$A$433,$C800,Acerto_Detalhado!$B$2:$B$433,"Mar",Acerto_Detalhado!$C$2:$C$433,"Proteina"))*(SUMIFS(Acerto_Detalhado!$I$2:$I$433,Acerto_Detalhado!$A$2:$A$433,$D800,Acerto_Detalhado!$B$2:$B$433,"Mar",Acerto_Detalhado!$C$2:$C$433,"Proteina")),2)</f>
        <v>0</v>
      </c>
    </row>
    <row r="801" customFormat="false" ht="15" hidden="false" customHeight="false" outlineLevel="0" collapsed="false">
      <c r="A801" s="27" t="s">
        <v>113</v>
      </c>
      <c r="B801" s="27" t="s">
        <v>109</v>
      </c>
      <c r="C801" s="27" t="s">
        <v>39</v>
      </c>
      <c r="D801" s="27" t="s">
        <v>44</v>
      </c>
      <c r="E801" s="28" t="n">
        <f aca="false">ROUND((SUMIFS(Acerto_Detalhado!$F$2:$F$433,Acerto_Detalhado!$A$2:$A$433,$C801,Acerto_Detalhado!$B$2:$B$433,"Mar",Acerto_Detalhado!$C$2:$C$433,"Proteina"))*(SUMIFS(Acerto_Detalhado!$I$2:$I$433,Acerto_Detalhado!$A$2:$A$433,$D801,Acerto_Detalhado!$B$2:$B$433,"Mar",Acerto_Detalhado!$C$2:$C$433,"Proteina")),2)</f>
        <v>0</v>
      </c>
    </row>
    <row r="802" customFormat="false" ht="15" hidden="false" customHeight="false" outlineLevel="0" collapsed="false">
      <c r="A802" s="27" t="s">
        <v>113</v>
      </c>
      <c r="B802" s="27" t="s">
        <v>109</v>
      </c>
      <c r="C802" s="27" t="s">
        <v>39</v>
      </c>
      <c r="D802" s="27" t="s">
        <v>45</v>
      </c>
      <c r="E802" s="28" t="n">
        <f aca="false">ROUND((SUMIFS(Acerto_Detalhado!$F$2:$F$433,Acerto_Detalhado!$A$2:$A$433,$C802,Acerto_Detalhado!$B$2:$B$433,"Mar",Acerto_Detalhado!$C$2:$C$433,"Proteina"))*(SUMIFS(Acerto_Detalhado!$I$2:$I$433,Acerto_Detalhado!$A$2:$A$433,$D802,Acerto_Detalhado!$B$2:$B$433,"Mar",Acerto_Detalhado!$C$2:$C$433,"Proteina")),2)</f>
        <v>0</v>
      </c>
    </row>
    <row r="803" customFormat="false" ht="15" hidden="false" customHeight="false" outlineLevel="0" collapsed="false">
      <c r="A803" s="27" t="s">
        <v>113</v>
      </c>
      <c r="B803" s="27" t="s">
        <v>109</v>
      </c>
      <c r="C803" s="27" t="s">
        <v>39</v>
      </c>
      <c r="D803" s="27" t="s">
        <v>46</v>
      </c>
      <c r="E803" s="28" t="n">
        <f aca="false">ROUND((SUMIFS(Acerto_Detalhado!$F$2:$F$433,Acerto_Detalhado!$A$2:$A$433,$C803,Acerto_Detalhado!$B$2:$B$433,"Mar",Acerto_Detalhado!$C$2:$C$433,"Proteina"))*(SUMIFS(Acerto_Detalhado!$I$2:$I$433,Acerto_Detalhado!$A$2:$A$433,$D803,Acerto_Detalhado!$B$2:$B$433,"Mar",Acerto_Detalhado!$C$2:$C$433,"Proteina")),2)</f>
        <v>0</v>
      </c>
    </row>
    <row r="804" customFormat="false" ht="15" hidden="false" customHeight="false" outlineLevel="0" collapsed="false">
      <c r="A804" s="27" t="s">
        <v>113</v>
      </c>
      <c r="B804" s="27" t="s">
        <v>109</v>
      </c>
      <c r="C804" s="27" t="s">
        <v>39</v>
      </c>
      <c r="D804" s="27" t="s">
        <v>47</v>
      </c>
      <c r="E804" s="28" t="n">
        <f aca="false">ROUND((SUMIFS(Acerto_Detalhado!$F$2:$F$433,Acerto_Detalhado!$A$2:$A$433,$C804,Acerto_Detalhado!$B$2:$B$433,"Mar",Acerto_Detalhado!$C$2:$C$433,"Proteina"))*(SUMIFS(Acerto_Detalhado!$I$2:$I$433,Acerto_Detalhado!$A$2:$A$433,$D804,Acerto_Detalhado!$B$2:$B$433,"Mar",Acerto_Detalhado!$C$2:$C$433,"Proteina")),2)</f>
        <v>0</v>
      </c>
    </row>
    <row r="805" customFormat="false" ht="15" hidden="false" customHeight="false" outlineLevel="0" collapsed="false">
      <c r="A805" s="27" t="s">
        <v>113</v>
      </c>
      <c r="B805" s="27" t="s">
        <v>109</v>
      </c>
      <c r="C805" s="27" t="s">
        <v>39</v>
      </c>
      <c r="D805" s="27" t="s">
        <v>48</v>
      </c>
      <c r="E805" s="28" t="n">
        <f aca="false">ROUND((SUMIFS(Acerto_Detalhado!$F$2:$F$433,Acerto_Detalhado!$A$2:$A$433,$C805,Acerto_Detalhado!$B$2:$B$433,"Mar",Acerto_Detalhado!$C$2:$C$433,"Proteina"))*(SUMIFS(Acerto_Detalhado!$I$2:$I$433,Acerto_Detalhado!$A$2:$A$433,$D805,Acerto_Detalhado!$B$2:$B$433,"Mar",Acerto_Detalhado!$C$2:$C$433,"Proteina")),2)</f>
        <v>0</v>
      </c>
    </row>
    <row r="806" customFormat="false" ht="15" hidden="false" customHeight="false" outlineLevel="0" collapsed="false">
      <c r="A806" s="27" t="s">
        <v>113</v>
      </c>
      <c r="B806" s="27" t="s">
        <v>109</v>
      </c>
      <c r="C806" s="27" t="s">
        <v>39</v>
      </c>
      <c r="D806" s="27" t="s">
        <v>49</v>
      </c>
      <c r="E806" s="28" t="n">
        <f aca="false">ROUND((SUMIFS(Acerto_Detalhado!$F$2:$F$433,Acerto_Detalhado!$A$2:$A$433,$C806,Acerto_Detalhado!$B$2:$B$433,"Mar",Acerto_Detalhado!$C$2:$C$433,"Proteina"))*(SUMIFS(Acerto_Detalhado!$I$2:$I$433,Acerto_Detalhado!$A$2:$A$433,$D806,Acerto_Detalhado!$B$2:$B$433,"Mar",Acerto_Detalhado!$C$2:$C$433,"Proteina")),2)</f>
        <v>0</v>
      </c>
    </row>
    <row r="807" customFormat="false" ht="15" hidden="false" customHeight="false" outlineLevel="0" collapsed="false">
      <c r="A807" s="27" t="s">
        <v>113</v>
      </c>
      <c r="B807" s="27" t="s">
        <v>109</v>
      </c>
      <c r="C807" s="27" t="s">
        <v>39</v>
      </c>
      <c r="D807" s="27" t="s">
        <v>50</v>
      </c>
      <c r="E807" s="28" t="n">
        <f aca="false">ROUND((SUMIFS(Acerto_Detalhado!$F$2:$F$433,Acerto_Detalhado!$A$2:$A$433,$C807,Acerto_Detalhado!$B$2:$B$433,"Mar",Acerto_Detalhado!$C$2:$C$433,"Proteina"))*(SUMIFS(Acerto_Detalhado!$I$2:$I$433,Acerto_Detalhado!$A$2:$A$433,$D807,Acerto_Detalhado!$B$2:$B$433,"Mar",Acerto_Detalhado!$C$2:$C$433,"Proteina")),2)</f>
        <v>0</v>
      </c>
    </row>
    <row r="808" customFormat="false" ht="15" hidden="false" customHeight="false" outlineLevel="0" collapsed="false">
      <c r="A808" s="27" t="s">
        <v>113</v>
      </c>
      <c r="B808" s="27" t="s">
        <v>109</v>
      </c>
      <c r="C808" s="27" t="s">
        <v>40</v>
      </c>
      <c r="D808" s="27" t="s">
        <v>39</v>
      </c>
      <c r="E808" s="28" t="n">
        <f aca="false">ROUND((SUMIFS(Acerto_Detalhado!$F$2:$F$433,Acerto_Detalhado!$A$2:$A$433,$C808,Acerto_Detalhado!$B$2:$B$433,"Mar",Acerto_Detalhado!$C$2:$C$433,"Proteina"))*(SUMIFS(Acerto_Detalhado!$I$2:$I$433,Acerto_Detalhado!$A$2:$A$433,$D808,Acerto_Detalhado!$B$2:$B$433,"Mar",Acerto_Detalhado!$C$2:$C$433,"Proteina")),2)</f>
        <v>0</v>
      </c>
    </row>
    <row r="809" customFormat="false" ht="15" hidden="false" customHeight="false" outlineLevel="0" collapsed="false">
      <c r="A809" s="27" t="s">
        <v>113</v>
      </c>
      <c r="B809" s="27" t="s">
        <v>109</v>
      </c>
      <c r="C809" s="27" t="s">
        <v>40</v>
      </c>
      <c r="D809" s="27" t="s">
        <v>41</v>
      </c>
      <c r="E809" s="28" t="n">
        <f aca="false">ROUND((SUMIFS(Acerto_Detalhado!$F$2:$F$433,Acerto_Detalhado!$A$2:$A$433,$C809,Acerto_Detalhado!$B$2:$B$433,"Mar",Acerto_Detalhado!$C$2:$C$433,"Proteina"))*(SUMIFS(Acerto_Detalhado!$I$2:$I$433,Acerto_Detalhado!$A$2:$A$433,$D809,Acerto_Detalhado!$B$2:$B$433,"Mar",Acerto_Detalhado!$C$2:$C$433,"Proteina")),2)</f>
        <v>0</v>
      </c>
    </row>
    <row r="810" customFormat="false" ht="15" hidden="false" customHeight="false" outlineLevel="0" collapsed="false">
      <c r="A810" s="27" t="s">
        <v>113</v>
      </c>
      <c r="B810" s="27" t="s">
        <v>109</v>
      </c>
      <c r="C810" s="27" t="s">
        <v>40</v>
      </c>
      <c r="D810" s="27" t="s">
        <v>42</v>
      </c>
      <c r="E810" s="28" t="n">
        <f aca="false">ROUND((SUMIFS(Acerto_Detalhado!$F$2:$F$433,Acerto_Detalhado!$A$2:$A$433,$C810,Acerto_Detalhado!$B$2:$B$433,"Mar",Acerto_Detalhado!$C$2:$C$433,"Proteina"))*(SUMIFS(Acerto_Detalhado!$I$2:$I$433,Acerto_Detalhado!$A$2:$A$433,$D810,Acerto_Detalhado!$B$2:$B$433,"Mar",Acerto_Detalhado!$C$2:$C$433,"Proteina")),2)</f>
        <v>0</v>
      </c>
    </row>
    <row r="811" customFormat="false" ht="15" hidden="false" customHeight="false" outlineLevel="0" collapsed="false">
      <c r="A811" s="27" t="s">
        <v>113</v>
      </c>
      <c r="B811" s="27" t="s">
        <v>109</v>
      </c>
      <c r="C811" s="27" t="s">
        <v>40</v>
      </c>
      <c r="D811" s="27" t="s">
        <v>43</v>
      </c>
      <c r="E811" s="28" t="n">
        <f aca="false">ROUND((SUMIFS(Acerto_Detalhado!$F$2:$F$433,Acerto_Detalhado!$A$2:$A$433,$C811,Acerto_Detalhado!$B$2:$B$433,"Mar",Acerto_Detalhado!$C$2:$C$433,"Proteina"))*(SUMIFS(Acerto_Detalhado!$I$2:$I$433,Acerto_Detalhado!$A$2:$A$433,$D811,Acerto_Detalhado!$B$2:$B$433,"Mar",Acerto_Detalhado!$C$2:$C$433,"Proteina")),2)</f>
        <v>0</v>
      </c>
    </row>
    <row r="812" customFormat="false" ht="15" hidden="false" customHeight="false" outlineLevel="0" collapsed="false">
      <c r="A812" s="27" t="s">
        <v>113</v>
      </c>
      <c r="B812" s="27" t="s">
        <v>109</v>
      </c>
      <c r="C812" s="27" t="s">
        <v>40</v>
      </c>
      <c r="D812" s="27" t="s">
        <v>44</v>
      </c>
      <c r="E812" s="28" t="n">
        <f aca="false">ROUND((SUMIFS(Acerto_Detalhado!$F$2:$F$433,Acerto_Detalhado!$A$2:$A$433,$C812,Acerto_Detalhado!$B$2:$B$433,"Mar",Acerto_Detalhado!$C$2:$C$433,"Proteina"))*(SUMIFS(Acerto_Detalhado!$I$2:$I$433,Acerto_Detalhado!$A$2:$A$433,$D812,Acerto_Detalhado!$B$2:$B$433,"Mar",Acerto_Detalhado!$C$2:$C$433,"Proteina")),2)</f>
        <v>0</v>
      </c>
    </row>
    <row r="813" customFormat="false" ht="15" hidden="false" customHeight="false" outlineLevel="0" collapsed="false">
      <c r="A813" s="27" t="s">
        <v>113</v>
      </c>
      <c r="B813" s="27" t="s">
        <v>109</v>
      </c>
      <c r="C813" s="27" t="s">
        <v>40</v>
      </c>
      <c r="D813" s="27" t="s">
        <v>45</v>
      </c>
      <c r="E813" s="28" t="n">
        <f aca="false">ROUND((SUMIFS(Acerto_Detalhado!$F$2:$F$433,Acerto_Detalhado!$A$2:$A$433,$C813,Acerto_Detalhado!$B$2:$B$433,"Mar",Acerto_Detalhado!$C$2:$C$433,"Proteina"))*(SUMIFS(Acerto_Detalhado!$I$2:$I$433,Acerto_Detalhado!$A$2:$A$433,$D813,Acerto_Detalhado!$B$2:$B$433,"Mar",Acerto_Detalhado!$C$2:$C$433,"Proteina")),2)</f>
        <v>0</v>
      </c>
    </row>
    <row r="814" customFormat="false" ht="15" hidden="false" customHeight="false" outlineLevel="0" collapsed="false">
      <c r="A814" s="27" t="s">
        <v>113</v>
      </c>
      <c r="B814" s="27" t="s">
        <v>109</v>
      </c>
      <c r="C814" s="27" t="s">
        <v>40</v>
      </c>
      <c r="D814" s="27" t="s">
        <v>46</v>
      </c>
      <c r="E814" s="28" t="n">
        <f aca="false">ROUND((SUMIFS(Acerto_Detalhado!$F$2:$F$433,Acerto_Detalhado!$A$2:$A$433,$C814,Acerto_Detalhado!$B$2:$B$433,"Mar",Acerto_Detalhado!$C$2:$C$433,"Proteina"))*(SUMIFS(Acerto_Detalhado!$I$2:$I$433,Acerto_Detalhado!$A$2:$A$433,$D814,Acerto_Detalhado!$B$2:$B$433,"Mar",Acerto_Detalhado!$C$2:$C$433,"Proteina")),2)</f>
        <v>0</v>
      </c>
    </row>
    <row r="815" customFormat="false" ht="15" hidden="false" customHeight="false" outlineLevel="0" collapsed="false">
      <c r="A815" s="27" t="s">
        <v>113</v>
      </c>
      <c r="B815" s="27" t="s">
        <v>109</v>
      </c>
      <c r="C815" s="27" t="s">
        <v>40</v>
      </c>
      <c r="D815" s="27" t="s">
        <v>47</v>
      </c>
      <c r="E815" s="28" t="n">
        <f aca="false">ROUND((SUMIFS(Acerto_Detalhado!$F$2:$F$433,Acerto_Detalhado!$A$2:$A$433,$C815,Acerto_Detalhado!$B$2:$B$433,"Mar",Acerto_Detalhado!$C$2:$C$433,"Proteina"))*(SUMIFS(Acerto_Detalhado!$I$2:$I$433,Acerto_Detalhado!$A$2:$A$433,$D815,Acerto_Detalhado!$B$2:$B$433,"Mar",Acerto_Detalhado!$C$2:$C$433,"Proteina")),2)</f>
        <v>0</v>
      </c>
    </row>
    <row r="816" customFormat="false" ht="15" hidden="false" customHeight="false" outlineLevel="0" collapsed="false">
      <c r="A816" s="27" t="s">
        <v>113</v>
      </c>
      <c r="B816" s="27" t="s">
        <v>109</v>
      </c>
      <c r="C816" s="27" t="s">
        <v>40</v>
      </c>
      <c r="D816" s="27" t="s">
        <v>48</v>
      </c>
      <c r="E816" s="28" t="n">
        <f aca="false">ROUND((SUMIFS(Acerto_Detalhado!$F$2:$F$433,Acerto_Detalhado!$A$2:$A$433,$C816,Acerto_Detalhado!$B$2:$B$433,"Mar",Acerto_Detalhado!$C$2:$C$433,"Proteina"))*(SUMIFS(Acerto_Detalhado!$I$2:$I$433,Acerto_Detalhado!$A$2:$A$433,$D816,Acerto_Detalhado!$B$2:$B$433,"Mar",Acerto_Detalhado!$C$2:$C$433,"Proteina")),2)</f>
        <v>0</v>
      </c>
    </row>
    <row r="817" customFormat="false" ht="15" hidden="false" customHeight="false" outlineLevel="0" collapsed="false">
      <c r="A817" s="27" t="s">
        <v>113</v>
      </c>
      <c r="B817" s="27" t="s">
        <v>109</v>
      </c>
      <c r="C817" s="27" t="s">
        <v>40</v>
      </c>
      <c r="D817" s="27" t="s">
        <v>49</v>
      </c>
      <c r="E817" s="28" t="n">
        <f aca="false">ROUND((SUMIFS(Acerto_Detalhado!$F$2:$F$433,Acerto_Detalhado!$A$2:$A$433,$C817,Acerto_Detalhado!$B$2:$B$433,"Mar",Acerto_Detalhado!$C$2:$C$433,"Proteina"))*(SUMIFS(Acerto_Detalhado!$I$2:$I$433,Acerto_Detalhado!$A$2:$A$433,$D817,Acerto_Detalhado!$B$2:$B$433,"Mar",Acerto_Detalhado!$C$2:$C$433,"Proteina")),2)</f>
        <v>0</v>
      </c>
    </row>
    <row r="818" customFormat="false" ht="15" hidden="false" customHeight="false" outlineLevel="0" collapsed="false">
      <c r="A818" s="27" t="s">
        <v>113</v>
      </c>
      <c r="B818" s="27" t="s">
        <v>109</v>
      </c>
      <c r="C818" s="27" t="s">
        <v>40</v>
      </c>
      <c r="D818" s="27" t="s">
        <v>50</v>
      </c>
      <c r="E818" s="28" t="n">
        <f aca="false">ROUND((SUMIFS(Acerto_Detalhado!$F$2:$F$433,Acerto_Detalhado!$A$2:$A$433,$C818,Acerto_Detalhado!$B$2:$B$433,"Mar",Acerto_Detalhado!$C$2:$C$433,"Proteina"))*(SUMIFS(Acerto_Detalhado!$I$2:$I$433,Acerto_Detalhado!$A$2:$A$433,$D818,Acerto_Detalhado!$B$2:$B$433,"Mar",Acerto_Detalhado!$C$2:$C$433,"Proteina")),2)</f>
        <v>0</v>
      </c>
    </row>
    <row r="819" customFormat="false" ht="15" hidden="false" customHeight="false" outlineLevel="0" collapsed="false">
      <c r="A819" s="27" t="s">
        <v>113</v>
      </c>
      <c r="B819" s="27" t="s">
        <v>109</v>
      </c>
      <c r="C819" s="27" t="s">
        <v>41</v>
      </c>
      <c r="D819" s="27" t="s">
        <v>39</v>
      </c>
      <c r="E819" s="28" t="n">
        <f aca="false">ROUND((SUMIFS(Acerto_Detalhado!$F$2:$F$433,Acerto_Detalhado!$A$2:$A$433,$C819,Acerto_Detalhado!$B$2:$B$433,"Mar",Acerto_Detalhado!$C$2:$C$433,"Proteina"))*(SUMIFS(Acerto_Detalhado!$I$2:$I$433,Acerto_Detalhado!$A$2:$A$433,$D819,Acerto_Detalhado!$B$2:$B$433,"Mar",Acerto_Detalhado!$C$2:$C$433,"Proteina")),2)</f>
        <v>0</v>
      </c>
    </row>
    <row r="820" customFormat="false" ht="15" hidden="false" customHeight="false" outlineLevel="0" collapsed="false">
      <c r="A820" s="27" t="s">
        <v>113</v>
      </c>
      <c r="B820" s="27" t="s">
        <v>109</v>
      </c>
      <c r="C820" s="27" t="s">
        <v>41</v>
      </c>
      <c r="D820" s="27" t="s">
        <v>40</v>
      </c>
      <c r="E820" s="28" t="n">
        <f aca="false">ROUND((SUMIFS(Acerto_Detalhado!$F$2:$F$433,Acerto_Detalhado!$A$2:$A$433,$C820,Acerto_Detalhado!$B$2:$B$433,"Mar",Acerto_Detalhado!$C$2:$C$433,"Proteina"))*(SUMIFS(Acerto_Detalhado!$I$2:$I$433,Acerto_Detalhado!$A$2:$A$433,$D820,Acerto_Detalhado!$B$2:$B$433,"Mar",Acerto_Detalhado!$C$2:$C$433,"Proteina")),2)</f>
        <v>0</v>
      </c>
    </row>
    <row r="821" customFormat="false" ht="15" hidden="false" customHeight="false" outlineLevel="0" collapsed="false">
      <c r="A821" s="27" t="s">
        <v>113</v>
      </c>
      <c r="B821" s="27" t="s">
        <v>109</v>
      </c>
      <c r="C821" s="27" t="s">
        <v>41</v>
      </c>
      <c r="D821" s="27" t="s">
        <v>42</v>
      </c>
      <c r="E821" s="28" t="n">
        <f aca="false">ROUND((SUMIFS(Acerto_Detalhado!$F$2:$F$433,Acerto_Detalhado!$A$2:$A$433,$C821,Acerto_Detalhado!$B$2:$B$433,"Mar",Acerto_Detalhado!$C$2:$C$433,"Proteina"))*(SUMIFS(Acerto_Detalhado!$I$2:$I$433,Acerto_Detalhado!$A$2:$A$433,$D821,Acerto_Detalhado!$B$2:$B$433,"Mar",Acerto_Detalhado!$C$2:$C$433,"Proteina")),2)</f>
        <v>0</v>
      </c>
    </row>
    <row r="822" customFormat="false" ht="15" hidden="false" customHeight="false" outlineLevel="0" collapsed="false">
      <c r="A822" s="27" t="s">
        <v>113</v>
      </c>
      <c r="B822" s="27" t="s">
        <v>109</v>
      </c>
      <c r="C822" s="27" t="s">
        <v>41</v>
      </c>
      <c r="D822" s="27" t="s">
        <v>43</v>
      </c>
      <c r="E822" s="28" t="n">
        <f aca="false">ROUND((SUMIFS(Acerto_Detalhado!$F$2:$F$433,Acerto_Detalhado!$A$2:$A$433,$C822,Acerto_Detalhado!$B$2:$B$433,"Mar",Acerto_Detalhado!$C$2:$C$433,"Proteina"))*(SUMIFS(Acerto_Detalhado!$I$2:$I$433,Acerto_Detalhado!$A$2:$A$433,$D822,Acerto_Detalhado!$B$2:$B$433,"Mar",Acerto_Detalhado!$C$2:$C$433,"Proteina")),2)</f>
        <v>0</v>
      </c>
    </row>
    <row r="823" customFormat="false" ht="15" hidden="false" customHeight="false" outlineLevel="0" collapsed="false">
      <c r="A823" s="27" t="s">
        <v>113</v>
      </c>
      <c r="B823" s="27" t="s">
        <v>109</v>
      </c>
      <c r="C823" s="27" t="s">
        <v>41</v>
      </c>
      <c r="D823" s="27" t="s">
        <v>44</v>
      </c>
      <c r="E823" s="28" t="n">
        <f aca="false">ROUND((SUMIFS(Acerto_Detalhado!$F$2:$F$433,Acerto_Detalhado!$A$2:$A$433,$C823,Acerto_Detalhado!$B$2:$B$433,"Mar",Acerto_Detalhado!$C$2:$C$433,"Proteina"))*(SUMIFS(Acerto_Detalhado!$I$2:$I$433,Acerto_Detalhado!$A$2:$A$433,$D823,Acerto_Detalhado!$B$2:$B$433,"Mar",Acerto_Detalhado!$C$2:$C$433,"Proteina")),2)</f>
        <v>0</v>
      </c>
    </row>
    <row r="824" customFormat="false" ht="15" hidden="false" customHeight="false" outlineLevel="0" collapsed="false">
      <c r="A824" s="27" t="s">
        <v>113</v>
      </c>
      <c r="B824" s="27" t="s">
        <v>109</v>
      </c>
      <c r="C824" s="27" t="s">
        <v>41</v>
      </c>
      <c r="D824" s="27" t="s">
        <v>45</v>
      </c>
      <c r="E824" s="28" t="n">
        <f aca="false">ROUND((SUMIFS(Acerto_Detalhado!$F$2:$F$433,Acerto_Detalhado!$A$2:$A$433,$C824,Acerto_Detalhado!$B$2:$B$433,"Mar",Acerto_Detalhado!$C$2:$C$433,"Proteina"))*(SUMIFS(Acerto_Detalhado!$I$2:$I$433,Acerto_Detalhado!$A$2:$A$433,$D824,Acerto_Detalhado!$B$2:$B$433,"Mar",Acerto_Detalhado!$C$2:$C$433,"Proteina")),2)</f>
        <v>0</v>
      </c>
    </row>
    <row r="825" customFormat="false" ht="15" hidden="false" customHeight="false" outlineLevel="0" collapsed="false">
      <c r="A825" s="27" t="s">
        <v>113</v>
      </c>
      <c r="B825" s="27" t="s">
        <v>109</v>
      </c>
      <c r="C825" s="27" t="s">
        <v>41</v>
      </c>
      <c r="D825" s="27" t="s">
        <v>46</v>
      </c>
      <c r="E825" s="28" t="n">
        <f aca="false">ROUND((SUMIFS(Acerto_Detalhado!$F$2:$F$433,Acerto_Detalhado!$A$2:$A$433,$C825,Acerto_Detalhado!$B$2:$B$433,"Mar",Acerto_Detalhado!$C$2:$C$433,"Proteina"))*(SUMIFS(Acerto_Detalhado!$I$2:$I$433,Acerto_Detalhado!$A$2:$A$433,$D825,Acerto_Detalhado!$B$2:$B$433,"Mar",Acerto_Detalhado!$C$2:$C$433,"Proteina")),2)</f>
        <v>0</v>
      </c>
    </row>
    <row r="826" customFormat="false" ht="15" hidden="false" customHeight="false" outlineLevel="0" collapsed="false">
      <c r="A826" s="27" t="s">
        <v>113</v>
      </c>
      <c r="B826" s="27" t="s">
        <v>109</v>
      </c>
      <c r="C826" s="27" t="s">
        <v>41</v>
      </c>
      <c r="D826" s="27" t="s">
        <v>47</v>
      </c>
      <c r="E826" s="28" t="n">
        <f aca="false">ROUND((SUMIFS(Acerto_Detalhado!$F$2:$F$433,Acerto_Detalhado!$A$2:$A$433,$C826,Acerto_Detalhado!$B$2:$B$433,"Mar",Acerto_Detalhado!$C$2:$C$433,"Proteina"))*(SUMIFS(Acerto_Detalhado!$I$2:$I$433,Acerto_Detalhado!$A$2:$A$433,$D826,Acerto_Detalhado!$B$2:$B$433,"Mar",Acerto_Detalhado!$C$2:$C$433,"Proteina")),2)</f>
        <v>0</v>
      </c>
    </row>
    <row r="827" customFormat="false" ht="15" hidden="false" customHeight="false" outlineLevel="0" collapsed="false">
      <c r="A827" s="27" t="s">
        <v>113</v>
      </c>
      <c r="B827" s="27" t="s">
        <v>109</v>
      </c>
      <c r="C827" s="27" t="s">
        <v>41</v>
      </c>
      <c r="D827" s="27" t="s">
        <v>48</v>
      </c>
      <c r="E827" s="28" t="n">
        <f aca="false">ROUND((SUMIFS(Acerto_Detalhado!$F$2:$F$433,Acerto_Detalhado!$A$2:$A$433,$C827,Acerto_Detalhado!$B$2:$B$433,"Mar",Acerto_Detalhado!$C$2:$C$433,"Proteina"))*(SUMIFS(Acerto_Detalhado!$I$2:$I$433,Acerto_Detalhado!$A$2:$A$433,$D827,Acerto_Detalhado!$B$2:$B$433,"Mar",Acerto_Detalhado!$C$2:$C$433,"Proteina")),2)</f>
        <v>0</v>
      </c>
    </row>
    <row r="828" customFormat="false" ht="15" hidden="false" customHeight="false" outlineLevel="0" collapsed="false">
      <c r="A828" s="27" t="s">
        <v>113</v>
      </c>
      <c r="B828" s="27" t="s">
        <v>109</v>
      </c>
      <c r="C828" s="27" t="s">
        <v>41</v>
      </c>
      <c r="D828" s="27" t="s">
        <v>49</v>
      </c>
      <c r="E828" s="28" t="n">
        <f aca="false">ROUND((SUMIFS(Acerto_Detalhado!$F$2:$F$433,Acerto_Detalhado!$A$2:$A$433,$C828,Acerto_Detalhado!$B$2:$B$433,"Mar",Acerto_Detalhado!$C$2:$C$433,"Proteina"))*(SUMIFS(Acerto_Detalhado!$I$2:$I$433,Acerto_Detalhado!$A$2:$A$433,$D828,Acerto_Detalhado!$B$2:$B$433,"Mar",Acerto_Detalhado!$C$2:$C$433,"Proteina")),2)</f>
        <v>0</v>
      </c>
    </row>
    <row r="829" customFormat="false" ht="15" hidden="false" customHeight="false" outlineLevel="0" collapsed="false">
      <c r="A829" s="27" t="s">
        <v>113</v>
      </c>
      <c r="B829" s="27" t="s">
        <v>109</v>
      </c>
      <c r="C829" s="27" t="s">
        <v>41</v>
      </c>
      <c r="D829" s="27" t="s">
        <v>50</v>
      </c>
      <c r="E829" s="28" t="n">
        <f aca="false">ROUND((SUMIFS(Acerto_Detalhado!$F$2:$F$433,Acerto_Detalhado!$A$2:$A$433,$C829,Acerto_Detalhado!$B$2:$B$433,"Mar",Acerto_Detalhado!$C$2:$C$433,"Proteina"))*(SUMIFS(Acerto_Detalhado!$I$2:$I$433,Acerto_Detalhado!$A$2:$A$433,$D829,Acerto_Detalhado!$B$2:$B$433,"Mar",Acerto_Detalhado!$C$2:$C$433,"Proteina")),2)</f>
        <v>0</v>
      </c>
    </row>
    <row r="830" customFormat="false" ht="15" hidden="false" customHeight="false" outlineLevel="0" collapsed="false">
      <c r="A830" s="27" t="s">
        <v>113</v>
      </c>
      <c r="B830" s="27" t="s">
        <v>109</v>
      </c>
      <c r="C830" s="27" t="s">
        <v>42</v>
      </c>
      <c r="D830" s="27" t="s">
        <v>39</v>
      </c>
      <c r="E830" s="28" t="n">
        <f aca="false">ROUND((SUMIFS(Acerto_Detalhado!$F$2:$F$433,Acerto_Detalhado!$A$2:$A$433,$C830,Acerto_Detalhado!$B$2:$B$433,"Mar",Acerto_Detalhado!$C$2:$C$433,"Proteina"))*(SUMIFS(Acerto_Detalhado!$I$2:$I$433,Acerto_Detalhado!$A$2:$A$433,$D830,Acerto_Detalhado!$B$2:$B$433,"Mar",Acerto_Detalhado!$C$2:$C$433,"Proteina")),2)</f>
        <v>0</v>
      </c>
    </row>
    <row r="831" customFormat="false" ht="15" hidden="false" customHeight="false" outlineLevel="0" collapsed="false">
      <c r="A831" s="27" t="s">
        <v>113</v>
      </c>
      <c r="B831" s="27" t="s">
        <v>109</v>
      </c>
      <c r="C831" s="27" t="s">
        <v>42</v>
      </c>
      <c r="D831" s="27" t="s">
        <v>40</v>
      </c>
      <c r="E831" s="28" t="n">
        <f aca="false">ROUND((SUMIFS(Acerto_Detalhado!$F$2:$F$433,Acerto_Detalhado!$A$2:$A$433,$C831,Acerto_Detalhado!$B$2:$B$433,"Mar",Acerto_Detalhado!$C$2:$C$433,"Proteina"))*(SUMIFS(Acerto_Detalhado!$I$2:$I$433,Acerto_Detalhado!$A$2:$A$433,$D831,Acerto_Detalhado!$B$2:$B$433,"Mar",Acerto_Detalhado!$C$2:$C$433,"Proteina")),2)</f>
        <v>19860.9</v>
      </c>
    </row>
    <row r="832" customFormat="false" ht="15" hidden="false" customHeight="false" outlineLevel="0" collapsed="false">
      <c r="A832" s="27" t="s">
        <v>113</v>
      </c>
      <c r="B832" s="27" t="s">
        <v>109</v>
      </c>
      <c r="C832" s="27" t="s">
        <v>42</v>
      </c>
      <c r="D832" s="27" t="s">
        <v>41</v>
      </c>
      <c r="E832" s="28" t="n">
        <f aca="false">ROUND((SUMIFS(Acerto_Detalhado!$F$2:$F$433,Acerto_Detalhado!$A$2:$A$433,$C832,Acerto_Detalhado!$B$2:$B$433,"Mar",Acerto_Detalhado!$C$2:$C$433,"Proteina"))*(SUMIFS(Acerto_Detalhado!$I$2:$I$433,Acerto_Detalhado!$A$2:$A$433,$D832,Acerto_Detalhado!$B$2:$B$433,"Mar",Acerto_Detalhado!$C$2:$C$433,"Proteina")),2)</f>
        <v>5627.86</v>
      </c>
    </row>
    <row r="833" customFormat="false" ht="15" hidden="false" customHeight="false" outlineLevel="0" collapsed="false">
      <c r="A833" s="27" t="s">
        <v>113</v>
      </c>
      <c r="B833" s="27" t="s">
        <v>109</v>
      </c>
      <c r="C833" s="27" t="s">
        <v>42</v>
      </c>
      <c r="D833" s="27" t="s">
        <v>43</v>
      </c>
      <c r="E833" s="28" t="n">
        <f aca="false">ROUND((SUMIFS(Acerto_Detalhado!$F$2:$F$433,Acerto_Detalhado!$A$2:$A$433,$C833,Acerto_Detalhado!$B$2:$B$433,"Mar",Acerto_Detalhado!$C$2:$C$433,"Proteina"))*(SUMIFS(Acerto_Detalhado!$I$2:$I$433,Acerto_Detalhado!$A$2:$A$433,$D833,Acerto_Detalhado!$B$2:$B$433,"Mar",Acerto_Detalhado!$C$2:$C$433,"Proteina")),2)</f>
        <v>0</v>
      </c>
    </row>
    <row r="834" customFormat="false" ht="15" hidden="false" customHeight="false" outlineLevel="0" collapsed="false">
      <c r="A834" s="27" t="s">
        <v>113</v>
      </c>
      <c r="B834" s="27" t="s">
        <v>109</v>
      </c>
      <c r="C834" s="27" t="s">
        <v>42</v>
      </c>
      <c r="D834" s="27" t="s">
        <v>44</v>
      </c>
      <c r="E834" s="28" t="n">
        <f aca="false">ROUND((SUMIFS(Acerto_Detalhado!$F$2:$F$433,Acerto_Detalhado!$A$2:$A$433,$C834,Acerto_Detalhado!$B$2:$B$433,"Mar",Acerto_Detalhado!$C$2:$C$433,"Proteina"))*(SUMIFS(Acerto_Detalhado!$I$2:$I$433,Acerto_Detalhado!$A$2:$A$433,$D834,Acerto_Detalhado!$B$2:$B$433,"Mar",Acerto_Detalhado!$C$2:$C$433,"Proteina")),2)</f>
        <v>0</v>
      </c>
    </row>
    <row r="835" customFormat="false" ht="15" hidden="false" customHeight="false" outlineLevel="0" collapsed="false">
      <c r="A835" s="27" t="s">
        <v>113</v>
      </c>
      <c r="B835" s="27" t="s">
        <v>109</v>
      </c>
      <c r="C835" s="27" t="s">
        <v>42</v>
      </c>
      <c r="D835" s="27" t="s">
        <v>45</v>
      </c>
      <c r="E835" s="28" t="n">
        <f aca="false">ROUND((SUMIFS(Acerto_Detalhado!$F$2:$F$433,Acerto_Detalhado!$A$2:$A$433,$C835,Acerto_Detalhado!$B$2:$B$433,"Mar",Acerto_Detalhado!$C$2:$C$433,"Proteina"))*(SUMIFS(Acerto_Detalhado!$I$2:$I$433,Acerto_Detalhado!$A$2:$A$433,$D835,Acerto_Detalhado!$B$2:$B$433,"Mar",Acerto_Detalhado!$C$2:$C$433,"Proteina")),2)</f>
        <v>64.89</v>
      </c>
    </row>
    <row r="836" customFormat="false" ht="15" hidden="false" customHeight="false" outlineLevel="0" collapsed="false">
      <c r="A836" s="27" t="s">
        <v>113</v>
      </c>
      <c r="B836" s="27" t="s">
        <v>109</v>
      </c>
      <c r="C836" s="27" t="s">
        <v>42</v>
      </c>
      <c r="D836" s="27" t="s">
        <v>46</v>
      </c>
      <c r="E836" s="28" t="n">
        <f aca="false">ROUND((SUMIFS(Acerto_Detalhado!$F$2:$F$433,Acerto_Detalhado!$A$2:$A$433,$C836,Acerto_Detalhado!$B$2:$B$433,"Mar",Acerto_Detalhado!$C$2:$C$433,"Proteina"))*(SUMIFS(Acerto_Detalhado!$I$2:$I$433,Acerto_Detalhado!$A$2:$A$433,$D836,Acerto_Detalhado!$B$2:$B$433,"Mar",Acerto_Detalhado!$C$2:$C$433,"Proteina")),2)</f>
        <v>0</v>
      </c>
    </row>
    <row r="837" customFormat="false" ht="15" hidden="false" customHeight="false" outlineLevel="0" collapsed="false">
      <c r="A837" s="27" t="s">
        <v>113</v>
      </c>
      <c r="B837" s="27" t="s">
        <v>109</v>
      </c>
      <c r="C837" s="27" t="s">
        <v>42</v>
      </c>
      <c r="D837" s="27" t="s">
        <v>47</v>
      </c>
      <c r="E837" s="28" t="n">
        <f aca="false">ROUND((SUMIFS(Acerto_Detalhado!$F$2:$F$433,Acerto_Detalhado!$A$2:$A$433,$C837,Acerto_Detalhado!$B$2:$B$433,"Mar",Acerto_Detalhado!$C$2:$C$433,"Proteina"))*(SUMIFS(Acerto_Detalhado!$I$2:$I$433,Acerto_Detalhado!$A$2:$A$433,$D837,Acerto_Detalhado!$B$2:$B$433,"Mar",Acerto_Detalhado!$C$2:$C$433,"Proteina")),2)</f>
        <v>0</v>
      </c>
    </row>
    <row r="838" customFormat="false" ht="15" hidden="false" customHeight="false" outlineLevel="0" collapsed="false">
      <c r="A838" s="27" t="s">
        <v>113</v>
      </c>
      <c r="B838" s="27" t="s">
        <v>109</v>
      </c>
      <c r="C838" s="27" t="s">
        <v>42</v>
      </c>
      <c r="D838" s="27" t="s">
        <v>48</v>
      </c>
      <c r="E838" s="28" t="n">
        <f aca="false">ROUND((SUMIFS(Acerto_Detalhado!$F$2:$F$433,Acerto_Detalhado!$A$2:$A$433,$C838,Acerto_Detalhado!$B$2:$B$433,"Mar",Acerto_Detalhado!$C$2:$C$433,"Proteina"))*(SUMIFS(Acerto_Detalhado!$I$2:$I$433,Acerto_Detalhado!$A$2:$A$433,$D838,Acerto_Detalhado!$B$2:$B$433,"Mar",Acerto_Detalhado!$C$2:$C$433,"Proteina")),2)</f>
        <v>0</v>
      </c>
    </row>
    <row r="839" customFormat="false" ht="15" hidden="false" customHeight="false" outlineLevel="0" collapsed="false">
      <c r="A839" s="27" t="s">
        <v>113</v>
      </c>
      <c r="B839" s="27" t="s">
        <v>109</v>
      </c>
      <c r="C839" s="27" t="s">
        <v>42</v>
      </c>
      <c r="D839" s="27" t="s">
        <v>49</v>
      </c>
      <c r="E839" s="28" t="n">
        <f aca="false">ROUND((SUMIFS(Acerto_Detalhado!$F$2:$F$433,Acerto_Detalhado!$A$2:$A$433,$C839,Acerto_Detalhado!$B$2:$B$433,"Mar",Acerto_Detalhado!$C$2:$C$433,"Proteina"))*(SUMIFS(Acerto_Detalhado!$I$2:$I$433,Acerto_Detalhado!$A$2:$A$433,$D839,Acerto_Detalhado!$B$2:$B$433,"Mar",Acerto_Detalhado!$C$2:$C$433,"Proteina")),2)</f>
        <v>0</v>
      </c>
    </row>
    <row r="840" customFormat="false" ht="15" hidden="false" customHeight="false" outlineLevel="0" collapsed="false">
      <c r="A840" s="27" t="s">
        <v>113</v>
      </c>
      <c r="B840" s="27" t="s">
        <v>109</v>
      </c>
      <c r="C840" s="27" t="s">
        <v>42</v>
      </c>
      <c r="D840" s="27" t="s">
        <v>50</v>
      </c>
      <c r="E840" s="28" t="n">
        <f aca="false">ROUND((SUMIFS(Acerto_Detalhado!$F$2:$F$433,Acerto_Detalhado!$A$2:$A$433,$C840,Acerto_Detalhado!$B$2:$B$433,"Mar",Acerto_Detalhado!$C$2:$C$433,"Proteina"))*(SUMIFS(Acerto_Detalhado!$I$2:$I$433,Acerto_Detalhado!$A$2:$A$433,$D840,Acerto_Detalhado!$B$2:$B$433,"Mar",Acerto_Detalhado!$C$2:$C$433,"Proteina")),2)</f>
        <v>0</v>
      </c>
    </row>
    <row r="841" customFormat="false" ht="15" hidden="false" customHeight="false" outlineLevel="0" collapsed="false">
      <c r="A841" s="27" t="s">
        <v>113</v>
      </c>
      <c r="B841" s="27" t="s">
        <v>109</v>
      </c>
      <c r="C841" s="27" t="s">
        <v>43</v>
      </c>
      <c r="D841" s="27" t="s">
        <v>39</v>
      </c>
      <c r="E841" s="28" t="n">
        <f aca="false">ROUND((SUMIFS(Acerto_Detalhado!$F$2:$F$433,Acerto_Detalhado!$A$2:$A$433,$C841,Acerto_Detalhado!$B$2:$B$433,"Mar",Acerto_Detalhado!$C$2:$C$433,"Proteina"))*(SUMIFS(Acerto_Detalhado!$I$2:$I$433,Acerto_Detalhado!$A$2:$A$433,$D841,Acerto_Detalhado!$B$2:$B$433,"Mar",Acerto_Detalhado!$C$2:$C$433,"Proteina")),2)</f>
        <v>0</v>
      </c>
    </row>
    <row r="842" customFormat="false" ht="15" hidden="false" customHeight="false" outlineLevel="0" collapsed="false">
      <c r="A842" s="27" t="s">
        <v>113</v>
      </c>
      <c r="B842" s="27" t="s">
        <v>109</v>
      </c>
      <c r="C842" s="27" t="s">
        <v>43</v>
      </c>
      <c r="D842" s="27" t="s">
        <v>40</v>
      </c>
      <c r="E842" s="28" t="n">
        <f aca="false">ROUND((SUMIFS(Acerto_Detalhado!$F$2:$F$433,Acerto_Detalhado!$A$2:$A$433,$C842,Acerto_Detalhado!$B$2:$B$433,"Mar",Acerto_Detalhado!$C$2:$C$433,"Proteina"))*(SUMIFS(Acerto_Detalhado!$I$2:$I$433,Acerto_Detalhado!$A$2:$A$433,$D842,Acerto_Detalhado!$B$2:$B$433,"Mar",Acerto_Detalhado!$C$2:$C$433,"Proteina")),2)</f>
        <v>4494.93</v>
      </c>
    </row>
    <row r="843" customFormat="false" ht="15" hidden="false" customHeight="false" outlineLevel="0" collapsed="false">
      <c r="A843" s="27" t="s">
        <v>113</v>
      </c>
      <c r="B843" s="27" t="s">
        <v>109</v>
      </c>
      <c r="C843" s="27" t="s">
        <v>43</v>
      </c>
      <c r="D843" s="27" t="s">
        <v>41</v>
      </c>
      <c r="E843" s="28" t="n">
        <f aca="false">ROUND((SUMIFS(Acerto_Detalhado!$F$2:$F$433,Acerto_Detalhado!$A$2:$A$433,$C843,Acerto_Detalhado!$B$2:$B$433,"Mar",Acerto_Detalhado!$C$2:$C$433,"Proteina"))*(SUMIFS(Acerto_Detalhado!$I$2:$I$433,Acerto_Detalhado!$A$2:$A$433,$D843,Acerto_Detalhado!$B$2:$B$433,"Mar",Acerto_Detalhado!$C$2:$C$433,"Proteina")),2)</f>
        <v>1273.7</v>
      </c>
    </row>
    <row r="844" customFormat="false" ht="15" hidden="false" customHeight="false" outlineLevel="0" collapsed="false">
      <c r="A844" s="27" t="s">
        <v>113</v>
      </c>
      <c r="B844" s="27" t="s">
        <v>109</v>
      </c>
      <c r="C844" s="27" t="s">
        <v>43</v>
      </c>
      <c r="D844" s="27" t="s">
        <v>42</v>
      </c>
      <c r="E844" s="28" t="n">
        <f aca="false">ROUND((SUMIFS(Acerto_Detalhado!$F$2:$F$433,Acerto_Detalhado!$A$2:$A$433,$C844,Acerto_Detalhado!$B$2:$B$433,"Mar",Acerto_Detalhado!$C$2:$C$433,"Proteina"))*(SUMIFS(Acerto_Detalhado!$I$2:$I$433,Acerto_Detalhado!$A$2:$A$433,$D844,Acerto_Detalhado!$B$2:$B$433,"Mar",Acerto_Detalhado!$C$2:$C$433,"Proteina")),2)</f>
        <v>0</v>
      </c>
    </row>
    <row r="845" customFormat="false" ht="15" hidden="false" customHeight="false" outlineLevel="0" collapsed="false">
      <c r="A845" s="27" t="s">
        <v>113</v>
      </c>
      <c r="B845" s="27" t="s">
        <v>109</v>
      </c>
      <c r="C845" s="27" t="s">
        <v>43</v>
      </c>
      <c r="D845" s="27" t="s">
        <v>44</v>
      </c>
      <c r="E845" s="28" t="n">
        <f aca="false">ROUND((SUMIFS(Acerto_Detalhado!$F$2:$F$433,Acerto_Detalhado!$A$2:$A$433,$C845,Acerto_Detalhado!$B$2:$B$433,"Mar",Acerto_Detalhado!$C$2:$C$433,"Proteina"))*(SUMIFS(Acerto_Detalhado!$I$2:$I$433,Acerto_Detalhado!$A$2:$A$433,$D845,Acerto_Detalhado!$B$2:$B$433,"Mar",Acerto_Detalhado!$C$2:$C$433,"Proteina")),2)</f>
        <v>0</v>
      </c>
    </row>
    <row r="846" customFormat="false" ht="15" hidden="false" customHeight="false" outlineLevel="0" collapsed="false">
      <c r="A846" s="27" t="s">
        <v>113</v>
      </c>
      <c r="B846" s="27" t="s">
        <v>109</v>
      </c>
      <c r="C846" s="27" t="s">
        <v>43</v>
      </c>
      <c r="D846" s="27" t="s">
        <v>45</v>
      </c>
      <c r="E846" s="28" t="n">
        <f aca="false">ROUND((SUMIFS(Acerto_Detalhado!$F$2:$F$433,Acerto_Detalhado!$A$2:$A$433,$C846,Acerto_Detalhado!$B$2:$B$433,"Mar",Acerto_Detalhado!$C$2:$C$433,"Proteina"))*(SUMIFS(Acerto_Detalhado!$I$2:$I$433,Acerto_Detalhado!$A$2:$A$433,$D846,Acerto_Detalhado!$B$2:$B$433,"Mar",Acerto_Detalhado!$C$2:$C$433,"Proteina")),2)</f>
        <v>14.68</v>
      </c>
    </row>
    <row r="847" customFormat="false" ht="15" hidden="false" customHeight="false" outlineLevel="0" collapsed="false">
      <c r="A847" s="27" t="s">
        <v>113</v>
      </c>
      <c r="B847" s="27" t="s">
        <v>109</v>
      </c>
      <c r="C847" s="27" t="s">
        <v>43</v>
      </c>
      <c r="D847" s="27" t="s">
        <v>46</v>
      </c>
      <c r="E847" s="28" t="n">
        <f aca="false">ROUND((SUMIFS(Acerto_Detalhado!$F$2:$F$433,Acerto_Detalhado!$A$2:$A$433,$C847,Acerto_Detalhado!$B$2:$B$433,"Mar",Acerto_Detalhado!$C$2:$C$433,"Proteina"))*(SUMIFS(Acerto_Detalhado!$I$2:$I$433,Acerto_Detalhado!$A$2:$A$433,$D847,Acerto_Detalhado!$B$2:$B$433,"Mar",Acerto_Detalhado!$C$2:$C$433,"Proteina")),2)</f>
        <v>0</v>
      </c>
    </row>
    <row r="848" customFormat="false" ht="15" hidden="false" customHeight="false" outlineLevel="0" collapsed="false">
      <c r="A848" s="27" t="s">
        <v>113</v>
      </c>
      <c r="B848" s="27" t="s">
        <v>109</v>
      </c>
      <c r="C848" s="27" t="s">
        <v>43</v>
      </c>
      <c r="D848" s="27" t="s">
        <v>47</v>
      </c>
      <c r="E848" s="28" t="n">
        <f aca="false">ROUND((SUMIFS(Acerto_Detalhado!$F$2:$F$433,Acerto_Detalhado!$A$2:$A$433,$C848,Acerto_Detalhado!$B$2:$B$433,"Mar",Acerto_Detalhado!$C$2:$C$433,"Proteina"))*(SUMIFS(Acerto_Detalhado!$I$2:$I$433,Acerto_Detalhado!$A$2:$A$433,$D848,Acerto_Detalhado!$B$2:$B$433,"Mar",Acerto_Detalhado!$C$2:$C$433,"Proteina")),2)</f>
        <v>0</v>
      </c>
    </row>
    <row r="849" customFormat="false" ht="15" hidden="false" customHeight="false" outlineLevel="0" collapsed="false">
      <c r="A849" s="27" t="s">
        <v>113</v>
      </c>
      <c r="B849" s="27" t="s">
        <v>109</v>
      </c>
      <c r="C849" s="27" t="s">
        <v>43</v>
      </c>
      <c r="D849" s="27" t="s">
        <v>48</v>
      </c>
      <c r="E849" s="28" t="n">
        <f aca="false">ROUND((SUMIFS(Acerto_Detalhado!$F$2:$F$433,Acerto_Detalhado!$A$2:$A$433,$C849,Acerto_Detalhado!$B$2:$B$433,"Mar",Acerto_Detalhado!$C$2:$C$433,"Proteina"))*(SUMIFS(Acerto_Detalhado!$I$2:$I$433,Acerto_Detalhado!$A$2:$A$433,$D849,Acerto_Detalhado!$B$2:$B$433,"Mar",Acerto_Detalhado!$C$2:$C$433,"Proteina")),2)</f>
        <v>0</v>
      </c>
    </row>
    <row r="850" customFormat="false" ht="15" hidden="false" customHeight="false" outlineLevel="0" collapsed="false">
      <c r="A850" s="27" t="s">
        <v>113</v>
      </c>
      <c r="B850" s="27" t="s">
        <v>109</v>
      </c>
      <c r="C850" s="27" t="s">
        <v>43</v>
      </c>
      <c r="D850" s="27" t="s">
        <v>49</v>
      </c>
      <c r="E850" s="28" t="n">
        <f aca="false">ROUND((SUMIFS(Acerto_Detalhado!$F$2:$F$433,Acerto_Detalhado!$A$2:$A$433,$C850,Acerto_Detalhado!$B$2:$B$433,"Mar",Acerto_Detalhado!$C$2:$C$433,"Proteina"))*(SUMIFS(Acerto_Detalhado!$I$2:$I$433,Acerto_Detalhado!$A$2:$A$433,$D850,Acerto_Detalhado!$B$2:$B$433,"Mar",Acerto_Detalhado!$C$2:$C$433,"Proteina")),2)</f>
        <v>0</v>
      </c>
    </row>
    <row r="851" customFormat="false" ht="15" hidden="false" customHeight="false" outlineLevel="0" collapsed="false">
      <c r="A851" s="27" t="s">
        <v>113</v>
      </c>
      <c r="B851" s="27" t="s">
        <v>109</v>
      </c>
      <c r="C851" s="27" t="s">
        <v>43</v>
      </c>
      <c r="D851" s="27" t="s">
        <v>50</v>
      </c>
      <c r="E851" s="28" t="n">
        <f aca="false">ROUND((SUMIFS(Acerto_Detalhado!$F$2:$F$433,Acerto_Detalhado!$A$2:$A$433,$C851,Acerto_Detalhado!$B$2:$B$433,"Mar",Acerto_Detalhado!$C$2:$C$433,"Proteina"))*(SUMIFS(Acerto_Detalhado!$I$2:$I$433,Acerto_Detalhado!$A$2:$A$433,$D851,Acerto_Detalhado!$B$2:$B$433,"Mar",Acerto_Detalhado!$C$2:$C$433,"Proteina")),2)</f>
        <v>0</v>
      </c>
    </row>
    <row r="852" customFormat="false" ht="15" hidden="false" customHeight="false" outlineLevel="0" collapsed="false">
      <c r="A852" s="27" t="s">
        <v>113</v>
      </c>
      <c r="B852" s="27" t="s">
        <v>109</v>
      </c>
      <c r="C852" s="27" t="s">
        <v>44</v>
      </c>
      <c r="D852" s="27" t="s">
        <v>39</v>
      </c>
      <c r="E852" s="28" t="n">
        <f aca="false">ROUND((SUMIFS(Acerto_Detalhado!$F$2:$F$433,Acerto_Detalhado!$A$2:$A$433,$C852,Acerto_Detalhado!$B$2:$B$433,"Mar",Acerto_Detalhado!$C$2:$C$433,"Proteina"))*(SUMIFS(Acerto_Detalhado!$I$2:$I$433,Acerto_Detalhado!$A$2:$A$433,$D852,Acerto_Detalhado!$B$2:$B$433,"Mar",Acerto_Detalhado!$C$2:$C$433,"Proteina")),2)</f>
        <v>0</v>
      </c>
    </row>
    <row r="853" customFormat="false" ht="15" hidden="false" customHeight="false" outlineLevel="0" collapsed="false">
      <c r="A853" s="27" t="s">
        <v>113</v>
      </c>
      <c r="B853" s="27" t="s">
        <v>109</v>
      </c>
      <c r="C853" s="27" t="s">
        <v>44</v>
      </c>
      <c r="D853" s="27" t="s">
        <v>40</v>
      </c>
      <c r="E853" s="28" t="n">
        <f aca="false">ROUND((SUMIFS(Acerto_Detalhado!$F$2:$F$433,Acerto_Detalhado!$A$2:$A$433,$C853,Acerto_Detalhado!$B$2:$B$433,"Mar",Acerto_Detalhado!$C$2:$C$433,"Proteina"))*(SUMIFS(Acerto_Detalhado!$I$2:$I$433,Acerto_Detalhado!$A$2:$A$433,$D853,Acerto_Detalhado!$B$2:$B$433,"Mar",Acerto_Detalhado!$C$2:$C$433,"Proteina")),2)</f>
        <v>34427.99</v>
      </c>
    </row>
    <row r="854" customFormat="false" ht="15" hidden="false" customHeight="false" outlineLevel="0" collapsed="false">
      <c r="A854" s="27" t="s">
        <v>113</v>
      </c>
      <c r="B854" s="27" t="s">
        <v>109</v>
      </c>
      <c r="C854" s="27" t="s">
        <v>44</v>
      </c>
      <c r="D854" s="27" t="s">
        <v>41</v>
      </c>
      <c r="E854" s="28" t="n">
        <f aca="false">ROUND((SUMIFS(Acerto_Detalhado!$F$2:$F$433,Acerto_Detalhado!$A$2:$A$433,$C854,Acerto_Detalhado!$B$2:$B$433,"Mar",Acerto_Detalhado!$C$2:$C$433,"Proteina"))*(SUMIFS(Acerto_Detalhado!$I$2:$I$433,Acerto_Detalhado!$A$2:$A$433,$D854,Acerto_Detalhado!$B$2:$B$433,"Mar",Acerto_Detalhado!$C$2:$C$433,"Proteina")),2)</f>
        <v>9755.65</v>
      </c>
    </row>
    <row r="855" customFormat="false" ht="15" hidden="false" customHeight="false" outlineLevel="0" collapsed="false">
      <c r="A855" s="27" t="s">
        <v>113</v>
      </c>
      <c r="B855" s="27" t="s">
        <v>109</v>
      </c>
      <c r="C855" s="27" t="s">
        <v>44</v>
      </c>
      <c r="D855" s="27" t="s">
        <v>42</v>
      </c>
      <c r="E855" s="28" t="n">
        <f aca="false">ROUND((SUMIFS(Acerto_Detalhado!$F$2:$F$433,Acerto_Detalhado!$A$2:$A$433,$C855,Acerto_Detalhado!$B$2:$B$433,"Mar",Acerto_Detalhado!$C$2:$C$433,"Proteina"))*(SUMIFS(Acerto_Detalhado!$I$2:$I$433,Acerto_Detalhado!$A$2:$A$433,$D855,Acerto_Detalhado!$B$2:$B$433,"Mar",Acerto_Detalhado!$C$2:$C$433,"Proteina")),2)</f>
        <v>0</v>
      </c>
    </row>
    <row r="856" customFormat="false" ht="15" hidden="false" customHeight="false" outlineLevel="0" collapsed="false">
      <c r="A856" s="27" t="s">
        <v>113</v>
      </c>
      <c r="B856" s="27" t="s">
        <v>109</v>
      </c>
      <c r="C856" s="27" t="s">
        <v>44</v>
      </c>
      <c r="D856" s="27" t="s">
        <v>43</v>
      </c>
      <c r="E856" s="28" t="n">
        <f aca="false">ROUND((SUMIFS(Acerto_Detalhado!$F$2:$F$433,Acerto_Detalhado!$A$2:$A$433,$C856,Acerto_Detalhado!$B$2:$B$433,"Mar",Acerto_Detalhado!$C$2:$C$433,"Proteina"))*(SUMIFS(Acerto_Detalhado!$I$2:$I$433,Acerto_Detalhado!$A$2:$A$433,$D856,Acerto_Detalhado!$B$2:$B$433,"Mar",Acerto_Detalhado!$C$2:$C$433,"Proteina")),2)</f>
        <v>0</v>
      </c>
    </row>
    <row r="857" customFormat="false" ht="15" hidden="false" customHeight="false" outlineLevel="0" collapsed="false">
      <c r="A857" s="27" t="s">
        <v>113</v>
      </c>
      <c r="B857" s="27" t="s">
        <v>109</v>
      </c>
      <c r="C857" s="27" t="s">
        <v>44</v>
      </c>
      <c r="D857" s="27" t="s">
        <v>45</v>
      </c>
      <c r="E857" s="28" t="n">
        <f aca="false">ROUND((SUMIFS(Acerto_Detalhado!$F$2:$F$433,Acerto_Detalhado!$A$2:$A$433,$C857,Acerto_Detalhado!$B$2:$B$433,"Mar",Acerto_Detalhado!$C$2:$C$433,"Proteina"))*(SUMIFS(Acerto_Detalhado!$I$2:$I$433,Acerto_Detalhado!$A$2:$A$433,$D857,Acerto_Detalhado!$B$2:$B$433,"Mar",Acerto_Detalhado!$C$2:$C$433,"Proteina")),2)</f>
        <v>112.48</v>
      </c>
    </row>
    <row r="858" customFormat="false" ht="15" hidden="false" customHeight="false" outlineLevel="0" collapsed="false">
      <c r="A858" s="27" t="s">
        <v>113</v>
      </c>
      <c r="B858" s="27" t="s">
        <v>109</v>
      </c>
      <c r="C858" s="27" t="s">
        <v>44</v>
      </c>
      <c r="D858" s="27" t="s">
        <v>46</v>
      </c>
      <c r="E858" s="28" t="n">
        <f aca="false">ROUND((SUMIFS(Acerto_Detalhado!$F$2:$F$433,Acerto_Detalhado!$A$2:$A$433,$C858,Acerto_Detalhado!$B$2:$B$433,"Mar",Acerto_Detalhado!$C$2:$C$433,"Proteina"))*(SUMIFS(Acerto_Detalhado!$I$2:$I$433,Acerto_Detalhado!$A$2:$A$433,$D858,Acerto_Detalhado!$B$2:$B$433,"Mar",Acerto_Detalhado!$C$2:$C$433,"Proteina")),2)</f>
        <v>0</v>
      </c>
    </row>
    <row r="859" customFormat="false" ht="15" hidden="false" customHeight="false" outlineLevel="0" collapsed="false">
      <c r="A859" s="27" t="s">
        <v>113</v>
      </c>
      <c r="B859" s="27" t="s">
        <v>109</v>
      </c>
      <c r="C859" s="27" t="s">
        <v>44</v>
      </c>
      <c r="D859" s="27" t="s">
        <v>47</v>
      </c>
      <c r="E859" s="28" t="n">
        <f aca="false">ROUND((SUMIFS(Acerto_Detalhado!$F$2:$F$433,Acerto_Detalhado!$A$2:$A$433,$C859,Acerto_Detalhado!$B$2:$B$433,"Mar",Acerto_Detalhado!$C$2:$C$433,"Proteina"))*(SUMIFS(Acerto_Detalhado!$I$2:$I$433,Acerto_Detalhado!$A$2:$A$433,$D859,Acerto_Detalhado!$B$2:$B$433,"Mar",Acerto_Detalhado!$C$2:$C$433,"Proteina")),2)</f>
        <v>0</v>
      </c>
    </row>
    <row r="860" customFormat="false" ht="15" hidden="false" customHeight="false" outlineLevel="0" collapsed="false">
      <c r="A860" s="27" t="s">
        <v>113</v>
      </c>
      <c r="B860" s="27" t="s">
        <v>109</v>
      </c>
      <c r="C860" s="27" t="s">
        <v>44</v>
      </c>
      <c r="D860" s="27" t="s">
        <v>48</v>
      </c>
      <c r="E860" s="28" t="n">
        <f aca="false">ROUND((SUMIFS(Acerto_Detalhado!$F$2:$F$433,Acerto_Detalhado!$A$2:$A$433,$C860,Acerto_Detalhado!$B$2:$B$433,"Mar",Acerto_Detalhado!$C$2:$C$433,"Proteina"))*(SUMIFS(Acerto_Detalhado!$I$2:$I$433,Acerto_Detalhado!$A$2:$A$433,$D860,Acerto_Detalhado!$B$2:$B$433,"Mar",Acerto_Detalhado!$C$2:$C$433,"Proteina")),2)</f>
        <v>0</v>
      </c>
    </row>
    <row r="861" customFormat="false" ht="15" hidden="false" customHeight="false" outlineLevel="0" collapsed="false">
      <c r="A861" s="27" t="s">
        <v>113</v>
      </c>
      <c r="B861" s="27" t="s">
        <v>109</v>
      </c>
      <c r="C861" s="27" t="s">
        <v>44</v>
      </c>
      <c r="D861" s="27" t="s">
        <v>49</v>
      </c>
      <c r="E861" s="28" t="n">
        <f aca="false">ROUND((SUMIFS(Acerto_Detalhado!$F$2:$F$433,Acerto_Detalhado!$A$2:$A$433,$C861,Acerto_Detalhado!$B$2:$B$433,"Mar",Acerto_Detalhado!$C$2:$C$433,"Proteina"))*(SUMIFS(Acerto_Detalhado!$I$2:$I$433,Acerto_Detalhado!$A$2:$A$433,$D861,Acerto_Detalhado!$B$2:$B$433,"Mar",Acerto_Detalhado!$C$2:$C$433,"Proteina")),2)</f>
        <v>0</v>
      </c>
    </row>
    <row r="862" customFormat="false" ht="15" hidden="false" customHeight="false" outlineLevel="0" collapsed="false">
      <c r="A862" s="27" t="s">
        <v>113</v>
      </c>
      <c r="B862" s="27" t="s">
        <v>109</v>
      </c>
      <c r="C862" s="27" t="s">
        <v>44</v>
      </c>
      <c r="D862" s="27" t="s">
        <v>50</v>
      </c>
      <c r="E862" s="28" t="n">
        <f aca="false">ROUND((SUMIFS(Acerto_Detalhado!$F$2:$F$433,Acerto_Detalhado!$A$2:$A$433,$C862,Acerto_Detalhado!$B$2:$B$433,"Mar",Acerto_Detalhado!$C$2:$C$433,"Proteina"))*(SUMIFS(Acerto_Detalhado!$I$2:$I$433,Acerto_Detalhado!$A$2:$A$433,$D862,Acerto_Detalhado!$B$2:$B$433,"Mar",Acerto_Detalhado!$C$2:$C$433,"Proteina")),2)</f>
        <v>0</v>
      </c>
    </row>
    <row r="863" customFormat="false" ht="15" hidden="false" customHeight="false" outlineLevel="0" collapsed="false">
      <c r="A863" s="27" t="s">
        <v>113</v>
      </c>
      <c r="B863" s="27" t="s">
        <v>109</v>
      </c>
      <c r="C863" s="27" t="s">
        <v>45</v>
      </c>
      <c r="D863" s="27" t="s">
        <v>39</v>
      </c>
      <c r="E863" s="28" t="n">
        <f aca="false">ROUND((SUMIFS(Acerto_Detalhado!$F$2:$F$433,Acerto_Detalhado!$A$2:$A$433,$C863,Acerto_Detalhado!$B$2:$B$433,"Mar",Acerto_Detalhado!$C$2:$C$433,"Proteina"))*(SUMIFS(Acerto_Detalhado!$I$2:$I$433,Acerto_Detalhado!$A$2:$A$433,$D863,Acerto_Detalhado!$B$2:$B$433,"Mar",Acerto_Detalhado!$C$2:$C$433,"Proteina")),2)</f>
        <v>0</v>
      </c>
    </row>
    <row r="864" customFormat="false" ht="15" hidden="false" customHeight="false" outlineLevel="0" collapsed="false">
      <c r="A864" s="27" t="s">
        <v>113</v>
      </c>
      <c r="B864" s="27" t="s">
        <v>109</v>
      </c>
      <c r="C864" s="27" t="s">
        <v>45</v>
      </c>
      <c r="D864" s="27" t="s">
        <v>40</v>
      </c>
      <c r="E864" s="28" t="n">
        <f aca="false">ROUND((SUMIFS(Acerto_Detalhado!$F$2:$F$433,Acerto_Detalhado!$A$2:$A$433,$C864,Acerto_Detalhado!$B$2:$B$433,"Mar",Acerto_Detalhado!$C$2:$C$433,"Proteina"))*(SUMIFS(Acerto_Detalhado!$I$2:$I$433,Acerto_Detalhado!$A$2:$A$433,$D864,Acerto_Detalhado!$B$2:$B$433,"Mar",Acerto_Detalhado!$C$2:$C$433,"Proteina")),2)</f>
        <v>0</v>
      </c>
    </row>
    <row r="865" customFormat="false" ht="15" hidden="false" customHeight="false" outlineLevel="0" collapsed="false">
      <c r="A865" s="27" t="s">
        <v>113</v>
      </c>
      <c r="B865" s="27" t="s">
        <v>109</v>
      </c>
      <c r="C865" s="27" t="s">
        <v>45</v>
      </c>
      <c r="D865" s="27" t="s">
        <v>41</v>
      </c>
      <c r="E865" s="28" t="n">
        <f aca="false">ROUND((SUMIFS(Acerto_Detalhado!$F$2:$F$433,Acerto_Detalhado!$A$2:$A$433,$C865,Acerto_Detalhado!$B$2:$B$433,"Mar",Acerto_Detalhado!$C$2:$C$433,"Proteina"))*(SUMIFS(Acerto_Detalhado!$I$2:$I$433,Acerto_Detalhado!$A$2:$A$433,$D865,Acerto_Detalhado!$B$2:$B$433,"Mar",Acerto_Detalhado!$C$2:$C$433,"Proteina")),2)</f>
        <v>0</v>
      </c>
    </row>
    <row r="866" customFormat="false" ht="15" hidden="false" customHeight="false" outlineLevel="0" collapsed="false">
      <c r="A866" s="27" t="s">
        <v>113</v>
      </c>
      <c r="B866" s="27" t="s">
        <v>109</v>
      </c>
      <c r="C866" s="27" t="s">
        <v>45</v>
      </c>
      <c r="D866" s="27" t="s">
        <v>42</v>
      </c>
      <c r="E866" s="28" t="n">
        <f aca="false">ROUND((SUMIFS(Acerto_Detalhado!$F$2:$F$433,Acerto_Detalhado!$A$2:$A$433,$C866,Acerto_Detalhado!$B$2:$B$433,"Mar",Acerto_Detalhado!$C$2:$C$433,"Proteina"))*(SUMIFS(Acerto_Detalhado!$I$2:$I$433,Acerto_Detalhado!$A$2:$A$433,$D866,Acerto_Detalhado!$B$2:$B$433,"Mar",Acerto_Detalhado!$C$2:$C$433,"Proteina")),2)</f>
        <v>0</v>
      </c>
    </row>
    <row r="867" customFormat="false" ht="15" hidden="false" customHeight="false" outlineLevel="0" collapsed="false">
      <c r="A867" s="27" t="s">
        <v>113</v>
      </c>
      <c r="B867" s="27" t="s">
        <v>109</v>
      </c>
      <c r="C867" s="27" t="s">
        <v>45</v>
      </c>
      <c r="D867" s="27" t="s">
        <v>43</v>
      </c>
      <c r="E867" s="28" t="n">
        <f aca="false">ROUND((SUMIFS(Acerto_Detalhado!$F$2:$F$433,Acerto_Detalhado!$A$2:$A$433,$C867,Acerto_Detalhado!$B$2:$B$433,"Mar",Acerto_Detalhado!$C$2:$C$433,"Proteina"))*(SUMIFS(Acerto_Detalhado!$I$2:$I$433,Acerto_Detalhado!$A$2:$A$433,$D867,Acerto_Detalhado!$B$2:$B$433,"Mar",Acerto_Detalhado!$C$2:$C$433,"Proteina")),2)</f>
        <v>0</v>
      </c>
    </row>
    <row r="868" customFormat="false" ht="15" hidden="false" customHeight="false" outlineLevel="0" collapsed="false">
      <c r="A868" s="27" t="s">
        <v>113</v>
      </c>
      <c r="B868" s="27" t="s">
        <v>109</v>
      </c>
      <c r="C868" s="27" t="s">
        <v>45</v>
      </c>
      <c r="D868" s="27" t="s">
        <v>44</v>
      </c>
      <c r="E868" s="28" t="n">
        <f aca="false">ROUND((SUMIFS(Acerto_Detalhado!$F$2:$F$433,Acerto_Detalhado!$A$2:$A$433,$C868,Acerto_Detalhado!$B$2:$B$433,"Mar",Acerto_Detalhado!$C$2:$C$433,"Proteina"))*(SUMIFS(Acerto_Detalhado!$I$2:$I$433,Acerto_Detalhado!$A$2:$A$433,$D868,Acerto_Detalhado!$B$2:$B$433,"Mar",Acerto_Detalhado!$C$2:$C$433,"Proteina")),2)</f>
        <v>0</v>
      </c>
    </row>
    <row r="869" customFormat="false" ht="15" hidden="false" customHeight="false" outlineLevel="0" collapsed="false">
      <c r="A869" s="27" t="s">
        <v>113</v>
      </c>
      <c r="B869" s="27" t="s">
        <v>109</v>
      </c>
      <c r="C869" s="27" t="s">
        <v>45</v>
      </c>
      <c r="D869" s="27" t="s">
        <v>46</v>
      </c>
      <c r="E869" s="28" t="n">
        <f aca="false">ROUND((SUMIFS(Acerto_Detalhado!$F$2:$F$433,Acerto_Detalhado!$A$2:$A$433,$C869,Acerto_Detalhado!$B$2:$B$433,"Mar",Acerto_Detalhado!$C$2:$C$433,"Proteina"))*(SUMIFS(Acerto_Detalhado!$I$2:$I$433,Acerto_Detalhado!$A$2:$A$433,$D869,Acerto_Detalhado!$B$2:$B$433,"Mar",Acerto_Detalhado!$C$2:$C$433,"Proteina")),2)</f>
        <v>0</v>
      </c>
    </row>
    <row r="870" customFormat="false" ht="15" hidden="false" customHeight="false" outlineLevel="0" collapsed="false">
      <c r="A870" s="27" t="s">
        <v>113</v>
      </c>
      <c r="B870" s="27" t="s">
        <v>109</v>
      </c>
      <c r="C870" s="27" t="s">
        <v>45</v>
      </c>
      <c r="D870" s="27" t="s">
        <v>47</v>
      </c>
      <c r="E870" s="28" t="n">
        <f aca="false">ROUND((SUMIFS(Acerto_Detalhado!$F$2:$F$433,Acerto_Detalhado!$A$2:$A$433,$C870,Acerto_Detalhado!$B$2:$B$433,"Mar",Acerto_Detalhado!$C$2:$C$433,"Proteina"))*(SUMIFS(Acerto_Detalhado!$I$2:$I$433,Acerto_Detalhado!$A$2:$A$433,$D870,Acerto_Detalhado!$B$2:$B$433,"Mar",Acerto_Detalhado!$C$2:$C$433,"Proteina")),2)</f>
        <v>0</v>
      </c>
    </row>
    <row r="871" customFormat="false" ht="15" hidden="false" customHeight="false" outlineLevel="0" collapsed="false">
      <c r="A871" s="27" t="s">
        <v>113</v>
      </c>
      <c r="B871" s="27" t="s">
        <v>109</v>
      </c>
      <c r="C871" s="27" t="s">
        <v>45</v>
      </c>
      <c r="D871" s="27" t="s">
        <v>48</v>
      </c>
      <c r="E871" s="28" t="n">
        <f aca="false">ROUND((SUMIFS(Acerto_Detalhado!$F$2:$F$433,Acerto_Detalhado!$A$2:$A$433,$C871,Acerto_Detalhado!$B$2:$B$433,"Mar",Acerto_Detalhado!$C$2:$C$433,"Proteina"))*(SUMIFS(Acerto_Detalhado!$I$2:$I$433,Acerto_Detalhado!$A$2:$A$433,$D871,Acerto_Detalhado!$B$2:$B$433,"Mar",Acerto_Detalhado!$C$2:$C$433,"Proteina")),2)</f>
        <v>0</v>
      </c>
    </row>
    <row r="872" customFormat="false" ht="15" hidden="false" customHeight="false" outlineLevel="0" collapsed="false">
      <c r="A872" s="27" t="s">
        <v>113</v>
      </c>
      <c r="B872" s="27" t="s">
        <v>109</v>
      </c>
      <c r="C872" s="27" t="s">
        <v>45</v>
      </c>
      <c r="D872" s="27" t="s">
        <v>49</v>
      </c>
      <c r="E872" s="28" t="n">
        <f aca="false">ROUND((SUMIFS(Acerto_Detalhado!$F$2:$F$433,Acerto_Detalhado!$A$2:$A$433,$C872,Acerto_Detalhado!$B$2:$B$433,"Mar",Acerto_Detalhado!$C$2:$C$433,"Proteina"))*(SUMIFS(Acerto_Detalhado!$I$2:$I$433,Acerto_Detalhado!$A$2:$A$433,$D872,Acerto_Detalhado!$B$2:$B$433,"Mar",Acerto_Detalhado!$C$2:$C$433,"Proteina")),2)</f>
        <v>0</v>
      </c>
    </row>
    <row r="873" customFormat="false" ht="15" hidden="false" customHeight="false" outlineLevel="0" collapsed="false">
      <c r="A873" s="27" t="s">
        <v>113</v>
      </c>
      <c r="B873" s="27" t="s">
        <v>109</v>
      </c>
      <c r="C873" s="27" t="s">
        <v>45</v>
      </c>
      <c r="D873" s="27" t="s">
        <v>50</v>
      </c>
      <c r="E873" s="28" t="n">
        <f aca="false">ROUND((SUMIFS(Acerto_Detalhado!$F$2:$F$433,Acerto_Detalhado!$A$2:$A$433,$C873,Acerto_Detalhado!$B$2:$B$433,"Mar",Acerto_Detalhado!$C$2:$C$433,"Proteina"))*(SUMIFS(Acerto_Detalhado!$I$2:$I$433,Acerto_Detalhado!$A$2:$A$433,$D873,Acerto_Detalhado!$B$2:$B$433,"Mar",Acerto_Detalhado!$C$2:$C$433,"Proteina")),2)</f>
        <v>0</v>
      </c>
    </row>
    <row r="874" customFormat="false" ht="15" hidden="false" customHeight="false" outlineLevel="0" collapsed="false">
      <c r="A874" s="27" t="s">
        <v>113</v>
      </c>
      <c r="B874" s="27" t="s">
        <v>109</v>
      </c>
      <c r="C874" s="27" t="s">
        <v>46</v>
      </c>
      <c r="D874" s="27" t="s">
        <v>39</v>
      </c>
      <c r="E874" s="28" t="n">
        <f aca="false">ROUND((SUMIFS(Acerto_Detalhado!$F$2:$F$433,Acerto_Detalhado!$A$2:$A$433,$C874,Acerto_Detalhado!$B$2:$B$433,"Mar",Acerto_Detalhado!$C$2:$C$433,"Proteina"))*(SUMIFS(Acerto_Detalhado!$I$2:$I$433,Acerto_Detalhado!$A$2:$A$433,$D874,Acerto_Detalhado!$B$2:$B$433,"Mar",Acerto_Detalhado!$C$2:$C$433,"Proteina")),2)</f>
        <v>0</v>
      </c>
    </row>
    <row r="875" customFormat="false" ht="15" hidden="false" customHeight="false" outlineLevel="0" collapsed="false">
      <c r="A875" s="27" t="s">
        <v>113</v>
      </c>
      <c r="B875" s="27" t="s">
        <v>109</v>
      </c>
      <c r="C875" s="27" t="s">
        <v>46</v>
      </c>
      <c r="D875" s="27" t="s">
        <v>40</v>
      </c>
      <c r="E875" s="28" t="n">
        <f aca="false">ROUND((SUMIFS(Acerto_Detalhado!$F$2:$F$433,Acerto_Detalhado!$A$2:$A$433,$C875,Acerto_Detalhado!$B$2:$B$433,"Mar",Acerto_Detalhado!$C$2:$C$433,"Proteina"))*(SUMIFS(Acerto_Detalhado!$I$2:$I$433,Acerto_Detalhado!$A$2:$A$433,$D875,Acerto_Detalhado!$B$2:$B$433,"Mar",Acerto_Detalhado!$C$2:$C$433,"Proteina")),2)</f>
        <v>0</v>
      </c>
    </row>
    <row r="876" customFormat="false" ht="15" hidden="false" customHeight="false" outlineLevel="0" collapsed="false">
      <c r="A876" s="27" t="s">
        <v>113</v>
      </c>
      <c r="B876" s="27" t="s">
        <v>109</v>
      </c>
      <c r="C876" s="27" t="s">
        <v>46</v>
      </c>
      <c r="D876" s="27" t="s">
        <v>41</v>
      </c>
      <c r="E876" s="28" t="n">
        <f aca="false">ROUND((SUMIFS(Acerto_Detalhado!$F$2:$F$433,Acerto_Detalhado!$A$2:$A$433,$C876,Acerto_Detalhado!$B$2:$B$433,"Mar",Acerto_Detalhado!$C$2:$C$433,"Proteina"))*(SUMIFS(Acerto_Detalhado!$I$2:$I$433,Acerto_Detalhado!$A$2:$A$433,$D876,Acerto_Detalhado!$B$2:$B$433,"Mar",Acerto_Detalhado!$C$2:$C$433,"Proteina")),2)</f>
        <v>0</v>
      </c>
    </row>
    <row r="877" customFormat="false" ht="15" hidden="false" customHeight="false" outlineLevel="0" collapsed="false">
      <c r="A877" s="27" t="s">
        <v>113</v>
      </c>
      <c r="B877" s="27" t="s">
        <v>109</v>
      </c>
      <c r="C877" s="27" t="s">
        <v>46</v>
      </c>
      <c r="D877" s="27" t="s">
        <v>42</v>
      </c>
      <c r="E877" s="28" t="n">
        <f aca="false">ROUND((SUMIFS(Acerto_Detalhado!$F$2:$F$433,Acerto_Detalhado!$A$2:$A$433,$C877,Acerto_Detalhado!$B$2:$B$433,"Mar",Acerto_Detalhado!$C$2:$C$433,"Proteina"))*(SUMIFS(Acerto_Detalhado!$I$2:$I$433,Acerto_Detalhado!$A$2:$A$433,$D877,Acerto_Detalhado!$B$2:$B$433,"Mar",Acerto_Detalhado!$C$2:$C$433,"Proteina")),2)</f>
        <v>0</v>
      </c>
    </row>
    <row r="878" customFormat="false" ht="15" hidden="false" customHeight="false" outlineLevel="0" collapsed="false">
      <c r="A878" s="27" t="s">
        <v>113</v>
      </c>
      <c r="B878" s="27" t="s">
        <v>109</v>
      </c>
      <c r="C878" s="27" t="s">
        <v>46</v>
      </c>
      <c r="D878" s="27" t="s">
        <v>43</v>
      </c>
      <c r="E878" s="28" t="n">
        <f aca="false">ROUND((SUMIFS(Acerto_Detalhado!$F$2:$F$433,Acerto_Detalhado!$A$2:$A$433,$C878,Acerto_Detalhado!$B$2:$B$433,"Mar",Acerto_Detalhado!$C$2:$C$433,"Proteina"))*(SUMIFS(Acerto_Detalhado!$I$2:$I$433,Acerto_Detalhado!$A$2:$A$433,$D878,Acerto_Detalhado!$B$2:$B$433,"Mar",Acerto_Detalhado!$C$2:$C$433,"Proteina")),2)</f>
        <v>0</v>
      </c>
    </row>
    <row r="879" customFormat="false" ht="15" hidden="false" customHeight="false" outlineLevel="0" collapsed="false">
      <c r="A879" s="27" t="s">
        <v>113</v>
      </c>
      <c r="B879" s="27" t="s">
        <v>109</v>
      </c>
      <c r="C879" s="27" t="s">
        <v>46</v>
      </c>
      <c r="D879" s="27" t="s">
        <v>44</v>
      </c>
      <c r="E879" s="28" t="n">
        <f aca="false">ROUND((SUMIFS(Acerto_Detalhado!$F$2:$F$433,Acerto_Detalhado!$A$2:$A$433,$C879,Acerto_Detalhado!$B$2:$B$433,"Mar",Acerto_Detalhado!$C$2:$C$433,"Proteina"))*(SUMIFS(Acerto_Detalhado!$I$2:$I$433,Acerto_Detalhado!$A$2:$A$433,$D879,Acerto_Detalhado!$B$2:$B$433,"Mar",Acerto_Detalhado!$C$2:$C$433,"Proteina")),2)</f>
        <v>0</v>
      </c>
    </row>
    <row r="880" customFormat="false" ht="15" hidden="false" customHeight="false" outlineLevel="0" collapsed="false">
      <c r="A880" s="27" t="s">
        <v>113</v>
      </c>
      <c r="B880" s="27" t="s">
        <v>109</v>
      </c>
      <c r="C880" s="27" t="s">
        <v>46</v>
      </c>
      <c r="D880" s="27" t="s">
        <v>45</v>
      </c>
      <c r="E880" s="28" t="n">
        <f aca="false">ROUND((SUMIFS(Acerto_Detalhado!$F$2:$F$433,Acerto_Detalhado!$A$2:$A$433,$C880,Acerto_Detalhado!$B$2:$B$433,"Mar",Acerto_Detalhado!$C$2:$C$433,"Proteina"))*(SUMIFS(Acerto_Detalhado!$I$2:$I$433,Acerto_Detalhado!$A$2:$A$433,$D880,Acerto_Detalhado!$B$2:$B$433,"Mar",Acerto_Detalhado!$C$2:$C$433,"Proteina")),2)</f>
        <v>0</v>
      </c>
    </row>
    <row r="881" customFormat="false" ht="15" hidden="false" customHeight="false" outlineLevel="0" collapsed="false">
      <c r="A881" s="27" t="s">
        <v>113</v>
      </c>
      <c r="B881" s="27" t="s">
        <v>109</v>
      </c>
      <c r="C881" s="27" t="s">
        <v>46</v>
      </c>
      <c r="D881" s="27" t="s">
        <v>47</v>
      </c>
      <c r="E881" s="28" t="n">
        <f aca="false">ROUND((SUMIFS(Acerto_Detalhado!$F$2:$F$433,Acerto_Detalhado!$A$2:$A$433,$C881,Acerto_Detalhado!$B$2:$B$433,"Mar",Acerto_Detalhado!$C$2:$C$433,"Proteina"))*(SUMIFS(Acerto_Detalhado!$I$2:$I$433,Acerto_Detalhado!$A$2:$A$433,$D881,Acerto_Detalhado!$B$2:$B$433,"Mar",Acerto_Detalhado!$C$2:$C$433,"Proteina")),2)</f>
        <v>0</v>
      </c>
    </row>
    <row r="882" customFormat="false" ht="15" hidden="false" customHeight="false" outlineLevel="0" collapsed="false">
      <c r="A882" s="27" t="s">
        <v>113</v>
      </c>
      <c r="B882" s="27" t="s">
        <v>109</v>
      </c>
      <c r="C882" s="27" t="s">
        <v>46</v>
      </c>
      <c r="D882" s="27" t="s">
        <v>48</v>
      </c>
      <c r="E882" s="28" t="n">
        <f aca="false">ROUND((SUMIFS(Acerto_Detalhado!$F$2:$F$433,Acerto_Detalhado!$A$2:$A$433,$C882,Acerto_Detalhado!$B$2:$B$433,"Mar",Acerto_Detalhado!$C$2:$C$433,"Proteina"))*(SUMIFS(Acerto_Detalhado!$I$2:$I$433,Acerto_Detalhado!$A$2:$A$433,$D882,Acerto_Detalhado!$B$2:$B$433,"Mar",Acerto_Detalhado!$C$2:$C$433,"Proteina")),2)</f>
        <v>0</v>
      </c>
    </row>
    <row r="883" customFormat="false" ht="15" hidden="false" customHeight="false" outlineLevel="0" collapsed="false">
      <c r="A883" s="27" t="s">
        <v>113</v>
      </c>
      <c r="B883" s="27" t="s">
        <v>109</v>
      </c>
      <c r="C883" s="27" t="s">
        <v>46</v>
      </c>
      <c r="D883" s="27" t="s">
        <v>49</v>
      </c>
      <c r="E883" s="28" t="n">
        <f aca="false">ROUND((SUMIFS(Acerto_Detalhado!$F$2:$F$433,Acerto_Detalhado!$A$2:$A$433,$C883,Acerto_Detalhado!$B$2:$B$433,"Mar",Acerto_Detalhado!$C$2:$C$433,"Proteina"))*(SUMIFS(Acerto_Detalhado!$I$2:$I$433,Acerto_Detalhado!$A$2:$A$433,$D883,Acerto_Detalhado!$B$2:$B$433,"Mar",Acerto_Detalhado!$C$2:$C$433,"Proteina")),2)</f>
        <v>0</v>
      </c>
    </row>
    <row r="884" customFormat="false" ht="15" hidden="false" customHeight="false" outlineLevel="0" collapsed="false">
      <c r="A884" s="27" t="s">
        <v>113</v>
      </c>
      <c r="B884" s="27" t="s">
        <v>109</v>
      </c>
      <c r="C884" s="27" t="s">
        <v>46</v>
      </c>
      <c r="D884" s="27" t="s">
        <v>50</v>
      </c>
      <c r="E884" s="28" t="n">
        <f aca="false">ROUND((SUMIFS(Acerto_Detalhado!$F$2:$F$433,Acerto_Detalhado!$A$2:$A$433,$C884,Acerto_Detalhado!$B$2:$B$433,"Mar",Acerto_Detalhado!$C$2:$C$433,"Proteina"))*(SUMIFS(Acerto_Detalhado!$I$2:$I$433,Acerto_Detalhado!$A$2:$A$433,$D884,Acerto_Detalhado!$B$2:$B$433,"Mar",Acerto_Detalhado!$C$2:$C$433,"Proteina")),2)</f>
        <v>0</v>
      </c>
    </row>
    <row r="885" customFormat="false" ht="15" hidden="false" customHeight="false" outlineLevel="0" collapsed="false">
      <c r="A885" s="27" t="s">
        <v>113</v>
      </c>
      <c r="B885" s="27" t="s">
        <v>109</v>
      </c>
      <c r="C885" s="27" t="s">
        <v>47</v>
      </c>
      <c r="D885" s="27" t="s">
        <v>39</v>
      </c>
      <c r="E885" s="28" t="n">
        <f aca="false">ROUND((SUMIFS(Acerto_Detalhado!$F$2:$F$433,Acerto_Detalhado!$A$2:$A$433,$C885,Acerto_Detalhado!$B$2:$B$433,"Mar",Acerto_Detalhado!$C$2:$C$433,"Proteina"))*(SUMIFS(Acerto_Detalhado!$I$2:$I$433,Acerto_Detalhado!$A$2:$A$433,$D885,Acerto_Detalhado!$B$2:$B$433,"Mar",Acerto_Detalhado!$C$2:$C$433,"Proteina")),2)</f>
        <v>0</v>
      </c>
    </row>
    <row r="886" customFormat="false" ht="15" hidden="false" customHeight="false" outlineLevel="0" collapsed="false">
      <c r="A886" s="27" t="s">
        <v>113</v>
      </c>
      <c r="B886" s="27" t="s">
        <v>109</v>
      </c>
      <c r="C886" s="27" t="s">
        <v>47</v>
      </c>
      <c r="D886" s="27" t="s">
        <v>40</v>
      </c>
      <c r="E886" s="28" t="n">
        <f aca="false">ROUND((SUMIFS(Acerto_Detalhado!$F$2:$F$433,Acerto_Detalhado!$A$2:$A$433,$C886,Acerto_Detalhado!$B$2:$B$433,"Mar",Acerto_Detalhado!$C$2:$C$433,"Proteina"))*(SUMIFS(Acerto_Detalhado!$I$2:$I$433,Acerto_Detalhado!$A$2:$A$433,$D886,Acerto_Detalhado!$B$2:$B$433,"Mar",Acerto_Detalhado!$C$2:$C$433,"Proteina")),2)</f>
        <v>0</v>
      </c>
    </row>
    <row r="887" customFormat="false" ht="15" hidden="false" customHeight="false" outlineLevel="0" collapsed="false">
      <c r="A887" s="27" t="s">
        <v>113</v>
      </c>
      <c r="B887" s="27" t="s">
        <v>109</v>
      </c>
      <c r="C887" s="27" t="s">
        <v>47</v>
      </c>
      <c r="D887" s="27" t="s">
        <v>41</v>
      </c>
      <c r="E887" s="28" t="n">
        <f aca="false">ROUND((SUMIFS(Acerto_Detalhado!$F$2:$F$433,Acerto_Detalhado!$A$2:$A$433,$C887,Acerto_Detalhado!$B$2:$B$433,"Mar",Acerto_Detalhado!$C$2:$C$433,"Proteina"))*(SUMIFS(Acerto_Detalhado!$I$2:$I$433,Acerto_Detalhado!$A$2:$A$433,$D887,Acerto_Detalhado!$B$2:$B$433,"Mar",Acerto_Detalhado!$C$2:$C$433,"Proteina")),2)</f>
        <v>0</v>
      </c>
    </row>
    <row r="888" customFormat="false" ht="15" hidden="false" customHeight="false" outlineLevel="0" collapsed="false">
      <c r="A888" s="27" t="s">
        <v>113</v>
      </c>
      <c r="B888" s="27" t="s">
        <v>109</v>
      </c>
      <c r="C888" s="27" t="s">
        <v>47</v>
      </c>
      <c r="D888" s="27" t="s">
        <v>42</v>
      </c>
      <c r="E888" s="28" t="n">
        <f aca="false">ROUND((SUMIFS(Acerto_Detalhado!$F$2:$F$433,Acerto_Detalhado!$A$2:$A$433,$C888,Acerto_Detalhado!$B$2:$B$433,"Mar",Acerto_Detalhado!$C$2:$C$433,"Proteina"))*(SUMIFS(Acerto_Detalhado!$I$2:$I$433,Acerto_Detalhado!$A$2:$A$433,$D888,Acerto_Detalhado!$B$2:$B$433,"Mar",Acerto_Detalhado!$C$2:$C$433,"Proteina")),2)</f>
        <v>0</v>
      </c>
    </row>
    <row r="889" customFormat="false" ht="15" hidden="false" customHeight="false" outlineLevel="0" collapsed="false">
      <c r="A889" s="27" t="s">
        <v>113</v>
      </c>
      <c r="B889" s="27" t="s">
        <v>109</v>
      </c>
      <c r="C889" s="27" t="s">
        <v>47</v>
      </c>
      <c r="D889" s="27" t="s">
        <v>43</v>
      </c>
      <c r="E889" s="28" t="n">
        <f aca="false">ROUND((SUMIFS(Acerto_Detalhado!$F$2:$F$433,Acerto_Detalhado!$A$2:$A$433,$C889,Acerto_Detalhado!$B$2:$B$433,"Mar",Acerto_Detalhado!$C$2:$C$433,"Proteina"))*(SUMIFS(Acerto_Detalhado!$I$2:$I$433,Acerto_Detalhado!$A$2:$A$433,$D889,Acerto_Detalhado!$B$2:$B$433,"Mar",Acerto_Detalhado!$C$2:$C$433,"Proteina")),2)</f>
        <v>0</v>
      </c>
    </row>
    <row r="890" customFormat="false" ht="15" hidden="false" customHeight="false" outlineLevel="0" collapsed="false">
      <c r="A890" s="27" t="s">
        <v>113</v>
      </c>
      <c r="B890" s="27" t="s">
        <v>109</v>
      </c>
      <c r="C890" s="27" t="s">
        <v>47</v>
      </c>
      <c r="D890" s="27" t="s">
        <v>44</v>
      </c>
      <c r="E890" s="28" t="n">
        <f aca="false">ROUND((SUMIFS(Acerto_Detalhado!$F$2:$F$433,Acerto_Detalhado!$A$2:$A$433,$C890,Acerto_Detalhado!$B$2:$B$433,"Mar",Acerto_Detalhado!$C$2:$C$433,"Proteina"))*(SUMIFS(Acerto_Detalhado!$I$2:$I$433,Acerto_Detalhado!$A$2:$A$433,$D890,Acerto_Detalhado!$B$2:$B$433,"Mar",Acerto_Detalhado!$C$2:$C$433,"Proteina")),2)</f>
        <v>0</v>
      </c>
    </row>
    <row r="891" customFormat="false" ht="15" hidden="false" customHeight="false" outlineLevel="0" collapsed="false">
      <c r="A891" s="27" t="s">
        <v>113</v>
      </c>
      <c r="B891" s="27" t="s">
        <v>109</v>
      </c>
      <c r="C891" s="27" t="s">
        <v>47</v>
      </c>
      <c r="D891" s="27" t="s">
        <v>45</v>
      </c>
      <c r="E891" s="28" t="n">
        <f aca="false">ROUND((SUMIFS(Acerto_Detalhado!$F$2:$F$433,Acerto_Detalhado!$A$2:$A$433,$C891,Acerto_Detalhado!$B$2:$B$433,"Mar",Acerto_Detalhado!$C$2:$C$433,"Proteina"))*(SUMIFS(Acerto_Detalhado!$I$2:$I$433,Acerto_Detalhado!$A$2:$A$433,$D891,Acerto_Detalhado!$B$2:$B$433,"Mar",Acerto_Detalhado!$C$2:$C$433,"Proteina")),2)</f>
        <v>0</v>
      </c>
    </row>
    <row r="892" customFormat="false" ht="15" hidden="false" customHeight="false" outlineLevel="0" collapsed="false">
      <c r="A892" s="27" t="s">
        <v>113</v>
      </c>
      <c r="B892" s="27" t="s">
        <v>109</v>
      </c>
      <c r="C892" s="27" t="s">
        <v>47</v>
      </c>
      <c r="D892" s="27" t="s">
        <v>46</v>
      </c>
      <c r="E892" s="28" t="n">
        <f aca="false">ROUND((SUMIFS(Acerto_Detalhado!$F$2:$F$433,Acerto_Detalhado!$A$2:$A$433,$C892,Acerto_Detalhado!$B$2:$B$433,"Mar",Acerto_Detalhado!$C$2:$C$433,"Proteina"))*(SUMIFS(Acerto_Detalhado!$I$2:$I$433,Acerto_Detalhado!$A$2:$A$433,$D892,Acerto_Detalhado!$B$2:$B$433,"Mar",Acerto_Detalhado!$C$2:$C$433,"Proteina")),2)</f>
        <v>0</v>
      </c>
    </row>
    <row r="893" customFormat="false" ht="15" hidden="false" customHeight="false" outlineLevel="0" collapsed="false">
      <c r="A893" s="27" t="s">
        <v>113</v>
      </c>
      <c r="B893" s="27" t="s">
        <v>109</v>
      </c>
      <c r="C893" s="27" t="s">
        <v>47</v>
      </c>
      <c r="D893" s="27" t="s">
        <v>48</v>
      </c>
      <c r="E893" s="28" t="n">
        <f aca="false">ROUND((SUMIFS(Acerto_Detalhado!$F$2:$F$433,Acerto_Detalhado!$A$2:$A$433,$C893,Acerto_Detalhado!$B$2:$B$433,"Mar",Acerto_Detalhado!$C$2:$C$433,"Proteina"))*(SUMIFS(Acerto_Detalhado!$I$2:$I$433,Acerto_Detalhado!$A$2:$A$433,$D893,Acerto_Detalhado!$B$2:$B$433,"Mar",Acerto_Detalhado!$C$2:$C$433,"Proteina")),2)</f>
        <v>0</v>
      </c>
    </row>
    <row r="894" customFormat="false" ht="15" hidden="false" customHeight="false" outlineLevel="0" collapsed="false">
      <c r="A894" s="27" t="s">
        <v>113</v>
      </c>
      <c r="B894" s="27" t="s">
        <v>109</v>
      </c>
      <c r="C894" s="27" t="s">
        <v>47</v>
      </c>
      <c r="D894" s="27" t="s">
        <v>49</v>
      </c>
      <c r="E894" s="28" t="n">
        <f aca="false">ROUND((SUMIFS(Acerto_Detalhado!$F$2:$F$433,Acerto_Detalhado!$A$2:$A$433,$C894,Acerto_Detalhado!$B$2:$B$433,"Mar",Acerto_Detalhado!$C$2:$C$433,"Proteina"))*(SUMIFS(Acerto_Detalhado!$I$2:$I$433,Acerto_Detalhado!$A$2:$A$433,$D894,Acerto_Detalhado!$B$2:$B$433,"Mar",Acerto_Detalhado!$C$2:$C$433,"Proteina")),2)</f>
        <v>0</v>
      </c>
    </row>
    <row r="895" customFormat="false" ht="15" hidden="false" customHeight="false" outlineLevel="0" collapsed="false">
      <c r="A895" s="27" t="s">
        <v>113</v>
      </c>
      <c r="B895" s="27" t="s">
        <v>109</v>
      </c>
      <c r="C895" s="27" t="s">
        <v>47</v>
      </c>
      <c r="D895" s="27" t="s">
        <v>50</v>
      </c>
      <c r="E895" s="28" t="n">
        <f aca="false">ROUND((SUMIFS(Acerto_Detalhado!$F$2:$F$433,Acerto_Detalhado!$A$2:$A$433,$C895,Acerto_Detalhado!$B$2:$B$433,"Mar",Acerto_Detalhado!$C$2:$C$433,"Proteina"))*(SUMIFS(Acerto_Detalhado!$I$2:$I$433,Acerto_Detalhado!$A$2:$A$433,$D895,Acerto_Detalhado!$B$2:$B$433,"Mar",Acerto_Detalhado!$C$2:$C$433,"Proteina")),2)</f>
        <v>0</v>
      </c>
    </row>
    <row r="896" customFormat="false" ht="15" hidden="false" customHeight="false" outlineLevel="0" collapsed="false">
      <c r="A896" s="27" t="s">
        <v>113</v>
      </c>
      <c r="B896" s="27" t="s">
        <v>109</v>
      </c>
      <c r="C896" s="27" t="s">
        <v>48</v>
      </c>
      <c r="D896" s="27" t="s">
        <v>39</v>
      </c>
      <c r="E896" s="28" t="n">
        <f aca="false">ROUND((SUMIFS(Acerto_Detalhado!$F$2:$F$433,Acerto_Detalhado!$A$2:$A$433,$C896,Acerto_Detalhado!$B$2:$B$433,"Mar",Acerto_Detalhado!$C$2:$C$433,"Proteina"))*(SUMIFS(Acerto_Detalhado!$I$2:$I$433,Acerto_Detalhado!$A$2:$A$433,$D896,Acerto_Detalhado!$B$2:$B$433,"Mar",Acerto_Detalhado!$C$2:$C$433,"Proteina")),2)</f>
        <v>0</v>
      </c>
    </row>
    <row r="897" customFormat="false" ht="15" hidden="false" customHeight="false" outlineLevel="0" collapsed="false">
      <c r="A897" s="27" t="s">
        <v>113</v>
      </c>
      <c r="B897" s="27" t="s">
        <v>109</v>
      </c>
      <c r="C897" s="27" t="s">
        <v>48</v>
      </c>
      <c r="D897" s="27" t="s">
        <v>40</v>
      </c>
      <c r="E897" s="28" t="n">
        <f aca="false">ROUND((SUMIFS(Acerto_Detalhado!$F$2:$F$433,Acerto_Detalhado!$A$2:$A$433,$C897,Acerto_Detalhado!$B$2:$B$433,"Mar",Acerto_Detalhado!$C$2:$C$433,"Proteina"))*(SUMIFS(Acerto_Detalhado!$I$2:$I$433,Acerto_Detalhado!$A$2:$A$433,$D897,Acerto_Detalhado!$B$2:$B$433,"Mar",Acerto_Detalhado!$C$2:$C$433,"Proteina")),2)</f>
        <v>0</v>
      </c>
    </row>
    <row r="898" customFormat="false" ht="15" hidden="false" customHeight="false" outlineLevel="0" collapsed="false">
      <c r="A898" s="27" t="s">
        <v>113</v>
      </c>
      <c r="B898" s="27" t="s">
        <v>109</v>
      </c>
      <c r="C898" s="27" t="s">
        <v>48</v>
      </c>
      <c r="D898" s="27" t="s">
        <v>41</v>
      </c>
      <c r="E898" s="28" t="n">
        <f aca="false">ROUND((SUMIFS(Acerto_Detalhado!$F$2:$F$433,Acerto_Detalhado!$A$2:$A$433,$C898,Acerto_Detalhado!$B$2:$B$433,"Mar",Acerto_Detalhado!$C$2:$C$433,"Proteina"))*(SUMIFS(Acerto_Detalhado!$I$2:$I$433,Acerto_Detalhado!$A$2:$A$433,$D898,Acerto_Detalhado!$B$2:$B$433,"Mar",Acerto_Detalhado!$C$2:$C$433,"Proteina")),2)</f>
        <v>0</v>
      </c>
    </row>
    <row r="899" customFormat="false" ht="15" hidden="false" customHeight="false" outlineLevel="0" collapsed="false">
      <c r="A899" s="27" t="s">
        <v>113</v>
      </c>
      <c r="B899" s="27" t="s">
        <v>109</v>
      </c>
      <c r="C899" s="27" t="s">
        <v>48</v>
      </c>
      <c r="D899" s="27" t="s">
        <v>42</v>
      </c>
      <c r="E899" s="28" t="n">
        <f aca="false">ROUND((SUMIFS(Acerto_Detalhado!$F$2:$F$433,Acerto_Detalhado!$A$2:$A$433,$C899,Acerto_Detalhado!$B$2:$B$433,"Mar",Acerto_Detalhado!$C$2:$C$433,"Proteina"))*(SUMIFS(Acerto_Detalhado!$I$2:$I$433,Acerto_Detalhado!$A$2:$A$433,$D899,Acerto_Detalhado!$B$2:$B$433,"Mar",Acerto_Detalhado!$C$2:$C$433,"Proteina")),2)</f>
        <v>0</v>
      </c>
    </row>
    <row r="900" customFormat="false" ht="15" hidden="false" customHeight="false" outlineLevel="0" collapsed="false">
      <c r="A900" s="27" t="s">
        <v>113</v>
      </c>
      <c r="B900" s="27" t="s">
        <v>109</v>
      </c>
      <c r="C900" s="27" t="s">
        <v>48</v>
      </c>
      <c r="D900" s="27" t="s">
        <v>43</v>
      </c>
      <c r="E900" s="28" t="n">
        <f aca="false">ROUND((SUMIFS(Acerto_Detalhado!$F$2:$F$433,Acerto_Detalhado!$A$2:$A$433,$C900,Acerto_Detalhado!$B$2:$B$433,"Mar",Acerto_Detalhado!$C$2:$C$433,"Proteina"))*(SUMIFS(Acerto_Detalhado!$I$2:$I$433,Acerto_Detalhado!$A$2:$A$433,$D900,Acerto_Detalhado!$B$2:$B$433,"Mar",Acerto_Detalhado!$C$2:$C$433,"Proteina")),2)</f>
        <v>0</v>
      </c>
    </row>
    <row r="901" customFormat="false" ht="15" hidden="false" customHeight="false" outlineLevel="0" collapsed="false">
      <c r="A901" s="27" t="s">
        <v>113</v>
      </c>
      <c r="B901" s="27" t="s">
        <v>109</v>
      </c>
      <c r="C901" s="27" t="s">
        <v>48</v>
      </c>
      <c r="D901" s="27" t="s">
        <v>44</v>
      </c>
      <c r="E901" s="28" t="n">
        <f aca="false">ROUND((SUMIFS(Acerto_Detalhado!$F$2:$F$433,Acerto_Detalhado!$A$2:$A$433,$C901,Acerto_Detalhado!$B$2:$B$433,"Mar",Acerto_Detalhado!$C$2:$C$433,"Proteina"))*(SUMIFS(Acerto_Detalhado!$I$2:$I$433,Acerto_Detalhado!$A$2:$A$433,$D901,Acerto_Detalhado!$B$2:$B$433,"Mar",Acerto_Detalhado!$C$2:$C$433,"Proteina")),2)</f>
        <v>0</v>
      </c>
    </row>
    <row r="902" customFormat="false" ht="15" hidden="false" customHeight="false" outlineLevel="0" collapsed="false">
      <c r="A902" s="27" t="s">
        <v>113</v>
      </c>
      <c r="B902" s="27" t="s">
        <v>109</v>
      </c>
      <c r="C902" s="27" t="s">
        <v>48</v>
      </c>
      <c r="D902" s="27" t="s">
        <v>45</v>
      </c>
      <c r="E902" s="28" t="n">
        <f aca="false">ROUND((SUMIFS(Acerto_Detalhado!$F$2:$F$433,Acerto_Detalhado!$A$2:$A$433,$C902,Acerto_Detalhado!$B$2:$B$433,"Mar",Acerto_Detalhado!$C$2:$C$433,"Proteina"))*(SUMIFS(Acerto_Detalhado!$I$2:$I$433,Acerto_Detalhado!$A$2:$A$433,$D902,Acerto_Detalhado!$B$2:$B$433,"Mar",Acerto_Detalhado!$C$2:$C$433,"Proteina")),2)</f>
        <v>0</v>
      </c>
    </row>
    <row r="903" customFormat="false" ht="15" hidden="false" customHeight="false" outlineLevel="0" collapsed="false">
      <c r="A903" s="27" t="s">
        <v>113</v>
      </c>
      <c r="B903" s="27" t="s">
        <v>109</v>
      </c>
      <c r="C903" s="27" t="s">
        <v>48</v>
      </c>
      <c r="D903" s="27" t="s">
        <v>46</v>
      </c>
      <c r="E903" s="28" t="n">
        <f aca="false">ROUND((SUMIFS(Acerto_Detalhado!$F$2:$F$433,Acerto_Detalhado!$A$2:$A$433,$C903,Acerto_Detalhado!$B$2:$B$433,"Mar",Acerto_Detalhado!$C$2:$C$433,"Proteina"))*(SUMIFS(Acerto_Detalhado!$I$2:$I$433,Acerto_Detalhado!$A$2:$A$433,$D903,Acerto_Detalhado!$B$2:$B$433,"Mar",Acerto_Detalhado!$C$2:$C$433,"Proteina")),2)</f>
        <v>0</v>
      </c>
    </row>
    <row r="904" customFormat="false" ht="15" hidden="false" customHeight="false" outlineLevel="0" collapsed="false">
      <c r="A904" s="27" t="s">
        <v>113</v>
      </c>
      <c r="B904" s="27" t="s">
        <v>109</v>
      </c>
      <c r="C904" s="27" t="s">
        <v>48</v>
      </c>
      <c r="D904" s="27" t="s">
        <v>47</v>
      </c>
      <c r="E904" s="28" t="n">
        <f aca="false">ROUND((SUMIFS(Acerto_Detalhado!$F$2:$F$433,Acerto_Detalhado!$A$2:$A$433,$C904,Acerto_Detalhado!$B$2:$B$433,"Mar",Acerto_Detalhado!$C$2:$C$433,"Proteina"))*(SUMIFS(Acerto_Detalhado!$I$2:$I$433,Acerto_Detalhado!$A$2:$A$433,$D904,Acerto_Detalhado!$B$2:$B$433,"Mar",Acerto_Detalhado!$C$2:$C$433,"Proteina")),2)</f>
        <v>0</v>
      </c>
    </row>
    <row r="905" customFormat="false" ht="15" hidden="false" customHeight="false" outlineLevel="0" collapsed="false">
      <c r="A905" s="27" t="s">
        <v>113</v>
      </c>
      <c r="B905" s="27" t="s">
        <v>109</v>
      </c>
      <c r="C905" s="27" t="s">
        <v>48</v>
      </c>
      <c r="D905" s="27" t="s">
        <v>49</v>
      </c>
      <c r="E905" s="28" t="n">
        <f aca="false">ROUND((SUMIFS(Acerto_Detalhado!$F$2:$F$433,Acerto_Detalhado!$A$2:$A$433,$C905,Acerto_Detalhado!$B$2:$B$433,"Mar",Acerto_Detalhado!$C$2:$C$433,"Proteina"))*(SUMIFS(Acerto_Detalhado!$I$2:$I$433,Acerto_Detalhado!$A$2:$A$433,$D905,Acerto_Detalhado!$B$2:$B$433,"Mar",Acerto_Detalhado!$C$2:$C$433,"Proteina")),2)</f>
        <v>0</v>
      </c>
    </row>
    <row r="906" customFormat="false" ht="15" hidden="false" customHeight="false" outlineLevel="0" collapsed="false">
      <c r="A906" s="27" t="s">
        <v>113</v>
      </c>
      <c r="B906" s="27" t="s">
        <v>109</v>
      </c>
      <c r="C906" s="27" t="s">
        <v>48</v>
      </c>
      <c r="D906" s="27" t="s">
        <v>50</v>
      </c>
      <c r="E906" s="28" t="n">
        <f aca="false">ROUND((SUMIFS(Acerto_Detalhado!$F$2:$F$433,Acerto_Detalhado!$A$2:$A$433,$C906,Acerto_Detalhado!$B$2:$B$433,"Mar",Acerto_Detalhado!$C$2:$C$433,"Proteina"))*(SUMIFS(Acerto_Detalhado!$I$2:$I$433,Acerto_Detalhado!$A$2:$A$433,$D906,Acerto_Detalhado!$B$2:$B$433,"Mar",Acerto_Detalhado!$C$2:$C$433,"Proteina")),2)</f>
        <v>0</v>
      </c>
    </row>
    <row r="907" customFormat="false" ht="15" hidden="false" customHeight="false" outlineLevel="0" collapsed="false">
      <c r="A907" s="27" t="s">
        <v>113</v>
      </c>
      <c r="B907" s="27" t="s">
        <v>109</v>
      </c>
      <c r="C907" s="27" t="s">
        <v>49</v>
      </c>
      <c r="D907" s="27" t="s">
        <v>39</v>
      </c>
      <c r="E907" s="28" t="n">
        <f aca="false">ROUND((SUMIFS(Acerto_Detalhado!$F$2:$F$433,Acerto_Detalhado!$A$2:$A$433,$C907,Acerto_Detalhado!$B$2:$B$433,"Mar",Acerto_Detalhado!$C$2:$C$433,"Proteina"))*(SUMIFS(Acerto_Detalhado!$I$2:$I$433,Acerto_Detalhado!$A$2:$A$433,$D907,Acerto_Detalhado!$B$2:$B$433,"Mar",Acerto_Detalhado!$C$2:$C$433,"Proteina")),2)</f>
        <v>0</v>
      </c>
    </row>
    <row r="908" customFormat="false" ht="15" hidden="false" customHeight="false" outlineLevel="0" collapsed="false">
      <c r="A908" s="27" t="s">
        <v>113</v>
      </c>
      <c r="B908" s="27" t="s">
        <v>109</v>
      </c>
      <c r="C908" s="27" t="s">
        <v>49</v>
      </c>
      <c r="D908" s="27" t="s">
        <v>40</v>
      </c>
      <c r="E908" s="28" t="n">
        <f aca="false">ROUND((SUMIFS(Acerto_Detalhado!$F$2:$F$433,Acerto_Detalhado!$A$2:$A$433,$C908,Acerto_Detalhado!$B$2:$B$433,"Mar",Acerto_Detalhado!$C$2:$C$433,"Proteina"))*(SUMIFS(Acerto_Detalhado!$I$2:$I$433,Acerto_Detalhado!$A$2:$A$433,$D908,Acerto_Detalhado!$B$2:$B$433,"Mar",Acerto_Detalhado!$C$2:$C$433,"Proteina")),2)</f>
        <v>0</v>
      </c>
    </row>
    <row r="909" customFormat="false" ht="15" hidden="false" customHeight="false" outlineLevel="0" collapsed="false">
      <c r="A909" s="27" t="s">
        <v>113</v>
      </c>
      <c r="B909" s="27" t="s">
        <v>109</v>
      </c>
      <c r="C909" s="27" t="s">
        <v>49</v>
      </c>
      <c r="D909" s="27" t="s">
        <v>41</v>
      </c>
      <c r="E909" s="28" t="n">
        <f aca="false">ROUND((SUMIFS(Acerto_Detalhado!$F$2:$F$433,Acerto_Detalhado!$A$2:$A$433,$C909,Acerto_Detalhado!$B$2:$B$433,"Mar",Acerto_Detalhado!$C$2:$C$433,"Proteina"))*(SUMIFS(Acerto_Detalhado!$I$2:$I$433,Acerto_Detalhado!$A$2:$A$433,$D909,Acerto_Detalhado!$B$2:$B$433,"Mar",Acerto_Detalhado!$C$2:$C$433,"Proteina")),2)</f>
        <v>0</v>
      </c>
    </row>
    <row r="910" customFormat="false" ht="15" hidden="false" customHeight="false" outlineLevel="0" collapsed="false">
      <c r="A910" s="27" t="s">
        <v>113</v>
      </c>
      <c r="B910" s="27" t="s">
        <v>109</v>
      </c>
      <c r="C910" s="27" t="s">
        <v>49</v>
      </c>
      <c r="D910" s="27" t="s">
        <v>42</v>
      </c>
      <c r="E910" s="28" t="n">
        <f aca="false">ROUND((SUMIFS(Acerto_Detalhado!$F$2:$F$433,Acerto_Detalhado!$A$2:$A$433,$C910,Acerto_Detalhado!$B$2:$B$433,"Mar",Acerto_Detalhado!$C$2:$C$433,"Proteina"))*(SUMIFS(Acerto_Detalhado!$I$2:$I$433,Acerto_Detalhado!$A$2:$A$433,$D910,Acerto_Detalhado!$B$2:$B$433,"Mar",Acerto_Detalhado!$C$2:$C$433,"Proteina")),2)</f>
        <v>0</v>
      </c>
    </row>
    <row r="911" customFormat="false" ht="15" hidden="false" customHeight="false" outlineLevel="0" collapsed="false">
      <c r="A911" s="27" t="s">
        <v>113</v>
      </c>
      <c r="B911" s="27" t="s">
        <v>109</v>
      </c>
      <c r="C911" s="27" t="s">
        <v>49</v>
      </c>
      <c r="D911" s="27" t="s">
        <v>43</v>
      </c>
      <c r="E911" s="28" t="n">
        <f aca="false">ROUND((SUMIFS(Acerto_Detalhado!$F$2:$F$433,Acerto_Detalhado!$A$2:$A$433,$C911,Acerto_Detalhado!$B$2:$B$433,"Mar",Acerto_Detalhado!$C$2:$C$433,"Proteina"))*(SUMIFS(Acerto_Detalhado!$I$2:$I$433,Acerto_Detalhado!$A$2:$A$433,$D911,Acerto_Detalhado!$B$2:$B$433,"Mar",Acerto_Detalhado!$C$2:$C$433,"Proteina")),2)</f>
        <v>0</v>
      </c>
    </row>
    <row r="912" customFormat="false" ht="15" hidden="false" customHeight="false" outlineLevel="0" collapsed="false">
      <c r="A912" s="27" t="s">
        <v>113</v>
      </c>
      <c r="B912" s="27" t="s">
        <v>109</v>
      </c>
      <c r="C912" s="27" t="s">
        <v>49</v>
      </c>
      <c r="D912" s="27" t="s">
        <v>44</v>
      </c>
      <c r="E912" s="28" t="n">
        <f aca="false">ROUND((SUMIFS(Acerto_Detalhado!$F$2:$F$433,Acerto_Detalhado!$A$2:$A$433,$C912,Acerto_Detalhado!$B$2:$B$433,"Mar",Acerto_Detalhado!$C$2:$C$433,"Proteina"))*(SUMIFS(Acerto_Detalhado!$I$2:$I$433,Acerto_Detalhado!$A$2:$A$433,$D912,Acerto_Detalhado!$B$2:$B$433,"Mar",Acerto_Detalhado!$C$2:$C$433,"Proteina")),2)</f>
        <v>0</v>
      </c>
    </row>
    <row r="913" customFormat="false" ht="15" hidden="false" customHeight="false" outlineLevel="0" collapsed="false">
      <c r="A913" s="27" t="s">
        <v>113</v>
      </c>
      <c r="B913" s="27" t="s">
        <v>109</v>
      </c>
      <c r="C913" s="27" t="s">
        <v>49</v>
      </c>
      <c r="D913" s="27" t="s">
        <v>45</v>
      </c>
      <c r="E913" s="28" t="n">
        <f aca="false">ROUND((SUMIFS(Acerto_Detalhado!$F$2:$F$433,Acerto_Detalhado!$A$2:$A$433,$C913,Acerto_Detalhado!$B$2:$B$433,"Mar",Acerto_Detalhado!$C$2:$C$433,"Proteina"))*(SUMIFS(Acerto_Detalhado!$I$2:$I$433,Acerto_Detalhado!$A$2:$A$433,$D913,Acerto_Detalhado!$B$2:$B$433,"Mar",Acerto_Detalhado!$C$2:$C$433,"Proteina")),2)</f>
        <v>0</v>
      </c>
    </row>
    <row r="914" customFormat="false" ht="15" hidden="false" customHeight="false" outlineLevel="0" collapsed="false">
      <c r="A914" s="27" t="s">
        <v>113</v>
      </c>
      <c r="B914" s="27" t="s">
        <v>109</v>
      </c>
      <c r="C914" s="27" t="s">
        <v>49</v>
      </c>
      <c r="D914" s="27" t="s">
        <v>46</v>
      </c>
      <c r="E914" s="28" t="n">
        <f aca="false">ROUND((SUMIFS(Acerto_Detalhado!$F$2:$F$433,Acerto_Detalhado!$A$2:$A$433,$C914,Acerto_Detalhado!$B$2:$B$433,"Mar",Acerto_Detalhado!$C$2:$C$433,"Proteina"))*(SUMIFS(Acerto_Detalhado!$I$2:$I$433,Acerto_Detalhado!$A$2:$A$433,$D914,Acerto_Detalhado!$B$2:$B$433,"Mar",Acerto_Detalhado!$C$2:$C$433,"Proteina")),2)</f>
        <v>0</v>
      </c>
    </row>
    <row r="915" customFormat="false" ht="15" hidden="false" customHeight="false" outlineLevel="0" collapsed="false">
      <c r="A915" s="27" t="s">
        <v>113</v>
      </c>
      <c r="B915" s="27" t="s">
        <v>109</v>
      </c>
      <c r="C915" s="27" t="s">
        <v>49</v>
      </c>
      <c r="D915" s="27" t="s">
        <v>47</v>
      </c>
      <c r="E915" s="28" t="n">
        <f aca="false">ROUND((SUMIFS(Acerto_Detalhado!$F$2:$F$433,Acerto_Detalhado!$A$2:$A$433,$C915,Acerto_Detalhado!$B$2:$B$433,"Mar",Acerto_Detalhado!$C$2:$C$433,"Proteina"))*(SUMIFS(Acerto_Detalhado!$I$2:$I$433,Acerto_Detalhado!$A$2:$A$433,$D915,Acerto_Detalhado!$B$2:$B$433,"Mar",Acerto_Detalhado!$C$2:$C$433,"Proteina")),2)</f>
        <v>0</v>
      </c>
    </row>
    <row r="916" customFormat="false" ht="15" hidden="false" customHeight="false" outlineLevel="0" collapsed="false">
      <c r="A916" s="27" t="s">
        <v>113</v>
      </c>
      <c r="B916" s="27" t="s">
        <v>109</v>
      </c>
      <c r="C916" s="27" t="s">
        <v>49</v>
      </c>
      <c r="D916" s="27" t="s">
        <v>48</v>
      </c>
      <c r="E916" s="28" t="n">
        <f aca="false">ROUND((SUMIFS(Acerto_Detalhado!$F$2:$F$433,Acerto_Detalhado!$A$2:$A$433,$C916,Acerto_Detalhado!$B$2:$B$433,"Mar",Acerto_Detalhado!$C$2:$C$433,"Proteina"))*(SUMIFS(Acerto_Detalhado!$I$2:$I$433,Acerto_Detalhado!$A$2:$A$433,$D916,Acerto_Detalhado!$B$2:$B$433,"Mar",Acerto_Detalhado!$C$2:$C$433,"Proteina")),2)</f>
        <v>0</v>
      </c>
    </row>
    <row r="917" customFormat="false" ht="15" hidden="false" customHeight="false" outlineLevel="0" collapsed="false">
      <c r="A917" s="27" t="s">
        <v>113</v>
      </c>
      <c r="B917" s="27" t="s">
        <v>109</v>
      </c>
      <c r="C917" s="27" t="s">
        <v>49</v>
      </c>
      <c r="D917" s="27" t="s">
        <v>50</v>
      </c>
      <c r="E917" s="28" t="n">
        <f aca="false">ROUND((SUMIFS(Acerto_Detalhado!$F$2:$F$433,Acerto_Detalhado!$A$2:$A$433,$C917,Acerto_Detalhado!$B$2:$B$433,"Mar",Acerto_Detalhado!$C$2:$C$433,"Proteina"))*(SUMIFS(Acerto_Detalhado!$I$2:$I$433,Acerto_Detalhado!$A$2:$A$433,$D917,Acerto_Detalhado!$B$2:$B$433,"Mar",Acerto_Detalhado!$C$2:$C$433,"Proteina")),2)</f>
        <v>0</v>
      </c>
    </row>
    <row r="918" customFormat="false" ht="15" hidden="false" customHeight="false" outlineLevel="0" collapsed="false">
      <c r="A918" s="27" t="s">
        <v>113</v>
      </c>
      <c r="B918" s="27" t="s">
        <v>109</v>
      </c>
      <c r="C918" s="27" t="s">
        <v>50</v>
      </c>
      <c r="D918" s="27" t="s">
        <v>39</v>
      </c>
      <c r="E918" s="28" t="n">
        <f aca="false">ROUND((SUMIFS(Acerto_Detalhado!$F$2:$F$433,Acerto_Detalhado!$A$2:$A$433,$C918,Acerto_Detalhado!$B$2:$B$433,"Mar",Acerto_Detalhado!$C$2:$C$433,"Proteina"))*(SUMIFS(Acerto_Detalhado!$I$2:$I$433,Acerto_Detalhado!$A$2:$A$433,$D918,Acerto_Detalhado!$B$2:$B$433,"Mar",Acerto_Detalhado!$C$2:$C$433,"Proteina")),2)</f>
        <v>0</v>
      </c>
    </row>
    <row r="919" customFormat="false" ht="15" hidden="false" customHeight="false" outlineLevel="0" collapsed="false">
      <c r="A919" s="27" t="s">
        <v>113</v>
      </c>
      <c r="B919" s="27" t="s">
        <v>109</v>
      </c>
      <c r="C919" s="27" t="s">
        <v>50</v>
      </c>
      <c r="D919" s="27" t="s">
        <v>40</v>
      </c>
      <c r="E919" s="28" t="n">
        <f aca="false">ROUND((SUMIFS(Acerto_Detalhado!$F$2:$F$433,Acerto_Detalhado!$A$2:$A$433,$C919,Acerto_Detalhado!$B$2:$B$433,"Mar",Acerto_Detalhado!$C$2:$C$433,"Proteina"))*(SUMIFS(Acerto_Detalhado!$I$2:$I$433,Acerto_Detalhado!$A$2:$A$433,$D919,Acerto_Detalhado!$B$2:$B$433,"Mar",Acerto_Detalhado!$C$2:$C$433,"Proteina")),2)</f>
        <v>0</v>
      </c>
    </row>
    <row r="920" customFormat="false" ht="15" hidden="false" customHeight="false" outlineLevel="0" collapsed="false">
      <c r="A920" s="27" t="s">
        <v>113</v>
      </c>
      <c r="B920" s="27" t="s">
        <v>109</v>
      </c>
      <c r="C920" s="27" t="s">
        <v>50</v>
      </c>
      <c r="D920" s="27" t="s">
        <v>41</v>
      </c>
      <c r="E920" s="28" t="n">
        <f aca="false">ROUND((SUMIFS(Acerto_Detalhado!$F$2:$F$433,Acerto_Detalhado!$A$2:$A$433,$C920,Acerto_Detalhado!$B$2:$B$433,"Mar",Acerto_Detalhado!$C$2:$C$433,"Proteina"))*(SUMIFS(Acerto_Detalhado!$I$2:$I$433,Acerto_Detalhado!$A$2:$A$433,$D920,Acerto_Detalhado!$B$2:$B$433,"Mar",Acerto_Detalhado!$C$2:$C$433,"Proteina")),2)</f>
        <v>0</v>
      </c>
    </row>
    <row r="921" customFormat="false" ht="15" hidden="false" customHeight="false" outlineLevel="0" collapsed="false">
      <c r="A921" s="27" t="s">
        <v>113</v>
      </c>
      <c r="B921" s="27" t="s">
        <v>109</v>
      </c>
      <c r="C921" s="27" t="s">
        <v>50</v>
      </c>
      <c r="D921" s="27" t="s">
        <v>42</v>
      </c>
      <c r="E921" s="28" t="n">
        <f aca="false">ROUND((SUMIFS(Acerto_Detalhado!$F$2:$F$433,Acerto_Detalhado!$A$2:$A$433,$C921,Acerto_Detalhado!$B$2:$B$433,"Mar",Acerto_Detalhado!$C$2:$C$433,"Proteina"))*(SUMIFS(Acerto_Detalhado!$I$2:$I$433,Acerto_Detalhado!$A$2:$A$433,$D921,Acerto_Detalhado!$B$2:$B$433,"Mar",Acerto_Detalhado!$C$2:$C$433,"Proteina")),2)</f>
        <v>0</v>
      </c>
    </row>
    <row r="922" customFormat="false" ht="15" hidden="false" customHeight="false" outlineLevel="0" collapsed="false">
      <c r="A922" s="27" t="s">
        <v>113</v>
      </c>
      <c r="B922" s="27" t="s">
        <v>109</v>
      </c>
      <c r="C922" s="27" t="s">
        <v>50</v>
      </c>
      <c r="D922" s="27" t="s">
        <v>43</v>
      </c>
      <c r="E922" s="28" t="n">
        <f aca="false">ROUND((SUMIFS(Acerto_Detalhado!$F$2:$F$433,Acerto_Detalhado!$A$2:$A$433,$C922,Acerto_Detalhado!$B$2:$B$433,"Mar",Acerto_Detalhado!$C$2:$C$433,"Proteina"))*(SUMIFS(Acerto_Detalhado!$I$2:$I$433,Acerto_Detalhado!$A$2:$A$433,$D922,Acerto_Detalhado!$B$2:$B$433,"Mar",Acerto_Detalhado!$C$2:$C$433,"Proteina")),2)</f>
        <v>0</v>
      </c>
    </row>
    <row r="923" customFormat="false" ht="15" hidden="false" customHeight="false" outlineLevel="0" collapsed="false">
      <c r="A923" s="27" t="s">
        <v>113</v>
      </c>
      <c r="B923" s="27" t="s">
        <v>109</v>
      </c>
      <c r="C923" s="27" t="s">
        <v>50</v>
      </c>
      <c r="D923" s="27" t="s">
        <v>44</v>
      </c>
      <c r="E923" s="28" t="n">
        <f aca="false">ROUND((SUMIFS(Acerto_Detalhado!$F$2:$F$433,Acerto_Detalhado!$A$2:$A$433,$C923,Acerto_Detalhado!$B$2:$B$433,"Mar",Acerto_Detalhado!$C$2:$C$433,"Proteina"))*(SUMIFS(Acerto_Detalhado!$I$2:$I$433,Acerto_Detalhado!$A$2:$A$433,$D923,Acerto_Detalhado!$B$2:$B$433,"Mar",Acerto_Detalhado!$C$2:$C$433,"Proteina")),2)</f>
        <v>0</v>
      </c>
    </row>
    <row r="924" customFormat="false" ht="15" hidden="false" customHeight="false" outlineLevel="0" collapsed="false">
      <c r="A924" s="27" t="s">
        <v>113</v>
      </c>
      <c r="B924" s="27" t="s">
        <v>109</v>
      </c>
      <c r="C924" s="27" t="s">
        <v>50</v>
      </c>
      <c r="D924" s="27" t="s">
        <v>45</v>
      </c>
      <c r="E924" s="28" t="n">
        <f aca="false">ROUND((SUMIFS(Acerto_Detalhado!$F$2:$F$433,Acerto_Detalhado!$A$2:$A$433,$C924,Acerto_Detalhado!$B$2:$B$433,"Mar",Acerto_Detalhado!$C$2:$C$433,"Proteina"))*(SUMIFS(Acerto_Detalhado!$I$2:$I$433,Acerto_Detalhado!$A$2:$A$433,$D924,Acerto_Detalhado!$B$2:$B$433,"Mar",Acerto_Detalhado!$C$2:$C$433,"Proteina")),2)</f>
        <v>0</v>
      </c>
    </row>
    <row r="925" customFormat="false" ht="15" hidden="false" customHeight="false" outlineLevel="0" collapsed="false">
      <c r="A925" s="27" t="s">
        <v>113</v>
      </c>
      <c r="B925" s="27" t="s">
        <v>109</v>
      </c>
      <c r="C925" s="27" t="s">
        <v>50</v>
      </c>
      <c r="D925" s="27" t="s">
        <v>46</v>
      </c>
      <c r="E925" s="28" t="n">
        <f aca="false">ROUND((SUMIFS(Acerto_Detalhado!$F$2:$F$433,Acerto_Detalhado!$A$2:$A$433,$C925,Acerto_Detalhado!$B$2:$B$433,"Mar",Acerto_Detalhado!$C$2:$C$433,"Proteina"))*(SUMIFS(Acerto_Detalhado!$I$2:$I$433,Acerto_Detalhado!$A$2:$A$433,$D925,Acerto_Detalhado!$B$2:$B$433,"Mar",Acerto_Detalhado!$C$2:$C$433,"Proteina")),2)</f>
        <v>0</v>
      </c>
    </row>
    <row r="926" customFormat="false" ht="15" hidden="false" customHeight="false" outlineLevel="0" collapsed="false">
      <c r="A926" s="27" t="s">
        <v>113</v>
      </c>
      <c r="B926" s="27" t="s">
        <v>109</v>
      </c>
      <c r="C926" s="27" t="s">
        <v>50</v>
      </c>
      <c r="D926" s="27" t="s">
        <v>47</v>
      </c>
      <c r="E926" s="28" t="n">
        <f aca="false">ROUND((SUMIFS(Acerto_Detalhado!$F$2:$F$433,Acerto_Detalhado!$A$2:$A$433,$C926,Acerto_Detalhado!$B$2:$B$433,"Mar",Acerto_Detalhado!$C$2:$C$433,"Proteina"))*(SUMIFS(Acerto_Detalhado!$I$2:$I$433,Acerto_Detalhado!$A$2:$A$433,$D926,Acerto_Detalhado!$B$2:$B$433,"Mar",Acerto_Detalhado!$C$2:$C$433,"Proteina")),2)</f>
        <v>0</v>
      </c>
    </row>
    <row r="927" customFormat="false" ht="15" hidden="false" customHeight="false" outlineLevel="0" collapsed="false">
      <c r="A927" s="27" t="s">
        <v>113</v>
      </c>
      <c r="B927" s="27" t="s">
        <v>109</v>
      </c>
      <c r="C927" s="27" t="s">
        <v>50</v>
      </c>
      <c r="D927" s="27" t="s">
        <v>48</v>
      </c>
      <c r="E927" s="28" t="n">
        <f aca="false">ROUND((SUMIFS(Acerto_Detalhado!$F$2:$F$433,Acerto_Detalhado!$A$2:$A$433,$C927,Acerto_Detalhado!$B$2:$B$433,"Mar",Acerto_Detalhado!$C$2:$C$433,"Proteina"))*(SUMIFS(Acerto_Detalhado!$I$2:$I$433,Acerto_Detalhado!$A$2:$A$433,$D927,Acerto_Detalhado!$B$2:$B$433,"Mar",Acerto_Detalhado!$C$2:$C$433,"Proteina")),2)</f>
        <v>0</v>
      </c>
    </row>
    <row r="928" customFormat="false" ht="15" hidden="false" customHeight="false" outlineLevel="0" collapsed="false">
      <c r="A928" s="27" t="s">
        <v>113</v>
      </c>
      <c r="B928" s="27" t="s">
        <v>109</v>
      </c>
      <c r="C928" s="27" t="s">
        <v>50</v>
      </c>
      <c r="D928" s="27" t="s">
        <v>49</v>
      </c>
      <c r="E928" s="28" t="n">
        <f aca="false">ROUND((SUMIFS(Acerto_Detalhado!$F$2:$F$433,Acerto_Detalhado!$A$2:$A$433,$C928,Acerto_Detalhado!$B$2:$B$433,"Mar",Acerto_Detalhado!$C$2:$C$433,"Proteina"))*(SUMIFS(Acerto_Detalhado!$I$2:$I$433,Acerto_Detalhado!$A$2:$A$433,$D928,Acerto_Detalhado!$B$2:$B$433,"Mar",Acerto_Detalhado!$C$2:$C$433,"Proteina")),2)</f>
        <v>0</v>
      </c>
    </row>
    <row r="929" customFormat="false" ht="15" hidden="false" customHeight="false" outlineLevel="0" collapsed="false">
      <c r="A929" s="27" t="s">
        <v>113</v>
      </c>
      <c r="B929" s="27" t="s">
        <v>110</v>
      </c>
      <c r="C929" s="27" t="s">
        <v>39</v>
      </c>
      <c r="D929" s="27" t="s">
        <v>40</v>
      </c>
      <c r="E929" s="28" t="n">
        <f aca="false">ROUND((SUMIFS(Acerto_Detalhado!$F$2:$F$433,Acerto_Detalhado!$A$2:$A$433,$C929,Acerto_Detalhado!$B$2:$B$433,"Mar",Acerto_Detalhado!$C$2:$C$433,"Umidade"))*(SUMIFS(Acerto_Detalhado!$I$2:$I$433,Acerto_Detalhado!$A$2:$A$433,$D929,Acerto_Detalhado!$B$2:$B$433,"Mar",Acerto_Detalhado!$C$2:$C$433,"Umidade")),2)</f>
        <v>0</v>
      </c>
    </row>
    <row r="930" customFormat="false" ht="15" hidden="false" customHeight="false" outlineLevel="0" collapsed="false">
      <c r="A930" s="27" t="s">
        <v>113</v>
      </c>
      <c r="B930" s="27" t="s">
        <v>110</v>
      </c>
      <c r="C930" s="27" t="s">
        <v>39</v>
      </c>
      <c r="D930" s="27" t="s">
        <v>41</v>
      </c>
      <c r="E930" s="28" t="n">
        <f aca="false">ROUND((SUMIFS(Acerto_Detalhado!$F$2:$F$433,Acerto_Detalhado!$A$2:$A$433,$C930,Acerto_Detalhado!$B$2:$B$433,"Mar",Acerto_Detalhado!$C$2:$C$433,"Umidade"))*(SUMIFS(Acerto_Detalhado!$I$2:$I$433,Acerto_Detalhado!$A$2:$A$433,$D930,Acerto_Detalhado!$B$2:$B$433,"Mar",Acerto_Detalhado!$C$2:$C$433,"Umidade")),2)</f>
        <v>0</v>
      </c>
    </row>
    <row r="931" customFormat="false" ht="15" hidden="false" customHeight="false" outlineLevel="0" collapsed="false">
      <c r="A931" s="27" t="s">
        <v>113</v>
      </c>
      <c r="B931" s="27" t="s">
        <v>110</v>
      </c>
      <c r="C931" s="27" t="s">
        <v>39</v>
      </c>
      <c r="D931" s="27" t="s">
        <v>42</v>
      </c>
      <c r="E931" s="28" t="n">
        <f aca="false">ROUND((SUMIFS(Acerto_Detalhado!$F$2:$F$433,Acerto_Detalhado!$A$2:$A$433,$C931,Acerto_Detalhado!$B$2:$B$433,"Mar",Acerto_Detalhado!$C$2:$C$433,"Umidade"))*(SUMIFS(Acerto_Detalhado!$I$2:$I$433,Acerto_Detalhado!$A$2:$A$433,$D931,Acerto_Detalhado!$B$2:$B$433,"Mar",Acerto_Detalhado!$C$2:$C$433,"Umidade")),2)</f>
        <v>0</v>
      </c>
    </row>
    <row r="932" customFormat="false" ht="15" hidden="false" customHeight="false" outlineLevel="0" collapsed="false">
      <c r="A932" s="27" t="s">
        <v>113</v>
      </c>
      <c r="B932" s="27" t="s">
        <v>110</v>
      </c>
      <c r="C932" s="27" t="s">
        <v>39</v>
      </c>
      <c r="D932" s="27" t="s">
        <v>43</v>
      </c>
      <c r="E932" s="28" t="n">
        <f aca="false">ROUND((SUMIFS(Acerto_Detalhado!$F$2:$F$433,Acerto_Detalhado!$A$2:$A$433,$C932,Acerto_Detalhado!$B$2:$B$433,"Mar",Acerto_Detalhado!$C$2:$C$433,"Umidade"))*(SUMIFS(Acerto_Detalhado!$I$2:$I$433,Acerto_Detalhado!$A$2:$A$433,$D932,Acerto_Detalhado!$B$2:$B$433,"Mar",Acerto_Detalhado!$C$2:$C$433,"Umidade")),2)</f>
        <v>0</v>
      </c>
    </row>
    <row r="933" customFormat="false" ht="15" hidden="false" customHeight="false" outlineLevel="0" collapsed="false">
      <c r="A933" s="27" t="s">
        <v>113</v>
      </c>
      <c r="B933" s="27" t="s">
        <v>110</v>
      </c>
      <c r="C933" s="27" t="s">
        <v>39</v>
      </c>
      <c r="D933" s="27" t="s">
        <v>44</v>
      </c>
      <c r="E933" s="28" t="n">
        <f aca="false">ROUND((SUMIFS(Acerto_Detalhado!$F$2:$F$433,Acerto_Detalhado!$A$2:$A$433,$C933,Acerto_Detalhado!$B$2:$B$433,"Mar",Acerto_Detalhado!$C$2:$C$433,"Umidade"))*(SUMIFS(Acerto_Detalhado!$I$2:$I$433,Acerto_Detalhado!$A$2:$A$433,$D933,Acerto_Detalhado!$B$2:$B$433,"Mar",Acerto_Detalhado!$C$2:$C$433,"Umidade")),2)</f>
        <v>0</v>
      </c>
    </row>
    <row r="934" customFormat="false" ht="15" hidden="false" customHeight="false" outlineLevel="0" collapsed="false">
      <c r="A934" s="27" t="s">
        <v>113</v>
      </c>
      <c r="B934" s="27" t="s">
        <v>110</v>
      </c>
      <c r="C934" s="27" t="s">
        <v>39</v>
      </c>
      <c r="D934" s="27" t="s">
        <v>45</v>
      </c>
      <c r="E934" s="28" t="n">
        <f aca="false">ROUND((SUMIFS(Acerto_Detalhado!$F$2:$F$433,Acerto_Detalhado!$A$2:$A$433,$C934,Acerto_Detalhado!$B$2:$B$433,"Mar",Acerto_Detalhado!$C$2:$C$433,"Umidade"))*(SUMIFS(Acerto_Detalhado!$I$2:$I$433,Acerto_Detalhado!$A$2:$A$433,$D934,Acerto_Detalhado!$B$2:$B$433,"Mar",Acerto_Detalhado!$C$2:$C$433,"Umidade")),2)</f>
        <v>0</v>
      </c>
    </row>
    <row r="935" customFormat="false" ht="15" hidden="false" customHeight="false" outlineLevel="0" collapsed="false">
      <c r="A935" s="27" t="s">
        <v>113</v>
      </c>
      <c r="B935" s="27" t="s">
        <v>110</v>
      </c>
      <c r="C935" s="27" t="s">
        <v>39</v>
      </c>
      <c r="D935" s="27" t="s">
        <v>46</v>
      </c>
      <c r="E935" s="28" t="n">
        <f aca="false">ROUND((SUMIFS(Acerto_Detalhado!$F$2:$F$433,Acerto_Detalhado!$A$2:$A$433,$C935,Acerto_Detalhado!$B$2:$B$433,"Mar",Acerto_Detalhado!$C$2:$C$433,"Umidade"))*(SUMIFS(Acerto_Detalhado!$I$2:$I$433,Acerto_Detalhado!$A$2:$A$433,$D935,Acerto_Detalhado!$B$2:$B$433,"Mar",Acerto_Detalhado!$C$2:$C$433,"Umidade")),2)</f>
        <v>0</v>
      </c>
    </row>
    <row r="936" customFormat="false" ht="15" hidden="false" customHeight="false" outlineLevel="0" collapsed="false">
      <c r="A936" s="27" t="s">
        <v>113</v>
      </c>
      <c r="B936" s="27" t="s">
        <v>110</v>
      </c>
      <c r="C936" s="27" t="s">
        <v>39</v>
      </c>
      <c r="D936" s="27" t="s">
        <v>47</v>
      </c>
      <c r="E936" s="28" t="n">
        <f aca="false">ROUND((SUMIFS(Acerto_Detalhado!$F$2:$F$433,Acerto_Detalhado!$A$2:$A$433,$C936,Acerto_Detalhado!$B$2:$B$433,"Mar",Acerto_Detalhado!$C$2:$C$433,"Umidade"))*(SUMIFS(Acerto_Detalhado!$I$2:$I$433,Acerto_Detalhado!$A$2:$A$433,$D936,Acerto_Detalhado!$B$2:$B$433,"Mar",Acerto_Detalhado!$C$2:$C$433,"Umidade")),2)</f>
        <v>0</v>
      </c>
    </row>
    <row r="937" customFormat="false" ht="15" hidden="false" customHeight="false" outlineLevel="0" collapsed="false">
      <c r="A937" s="27" t="s">
        <v>113</v>
      </c>
      <c r="B937" s="27" t="s">
        <v>110</v>
      </c>
      <c r="C937" s="27" t="s">
        <v>39</v>
      </c>
      <c r="D937" s="27" t="s">
        <v>48</v>
      </c>
      <c r="E937" s="28" t="n">
        <f aca="false">ROUND((SUMIFS(Acerto_Detalhado!$F$2:$F$433,Acerto_Detalhado!$A$2:$A$433,$C937,Acerto_Detalhado!$B$2:$B$433,"Mar",Acerto_Detalhado!$C$2:$C$433,"Umidade"))*(SUMIFS(Acerto_Detalhado!$I$2:$I$433,Acerto_Detalhado!$A$2:$A$433,$D937,Acerto_Detalhado!$B$2:$B$433,"Mar",Acerto_Detalhado!$C$2:$C$433,"Umidade")),2)</f>
        <v>0</v>
      </c>
    </row>
    <row r="938" customFormat="false" ht="15" hidden="false" customHeight="false" outlineLevel="0" collapsed="false">
      <c r="A938" s="27" t="s">
        <v>113</v>
      </c>
      <c r="B938" s="27" t="s">
        <v>110</v>
      </c>
      <c r="C938" s="27" t="s">
        <v>39</v>
      </c>
      <c r="D938" s="27" t="s">
        <v>49</v>
      </c>
      <c r="E938" s="28" t="n">
        <f aca="false">ROUND((SUMIFS(Acerto_Detalhado!$F$2:$F$433,Acerto_Detalhado!$A$2:$A$433,$C938,Acerto_Detalhado!$B$2:$B$433,"Mar",Acerto_Detalhado!$C$2:$C$433,"Umidade"))*(SUMIFS(Acerto_Detalhado!$I$2:$I$433,Acerto_Detalhado!$A$2:$A$433,$D938,Acerto_Detalhado!$B$2:$B$433,"Mar",Acerto_Detalhado!$C$2:$C$433,"Umidade")),2)</f>
        <v>0</v>
      </c>
    </row>
    <row r="939" customFormat="false" ht="15" hidden="false" customHeight="false" outlineLevel="0" collapsed="false">
      <c r="A939" s="27" t="s">
        <v>113</v>
      </c>
      <c r="B939" s="27" t="s">
        <v>110</v>
      </c>
      <c r="C939" s="27" t="s">
        <v>39</v>
      </c>
      <c r="D939" s="27" t="s">
        <v>50</v>
      </c>
      <c r="E939" s="28" t="n">
        <f aca="false">ROUND((SUMIFS(Acerto_Detalhado!$F$2:$F$433,Acerto_Detalhado!$A$2:$A$433,$C939,Acerto_Detalhado!$B$2:$B$433,"Mar",Acerto_Detalhado!$C$2:$C$433,"Umidade"))*(SUMIFS(Acerto_Detalhado!$I$2:$I$433,Acerto_Detalhado!$A$2:$A$433,$D939,Acerto_Detalhado!$B$2:$B$433,"Mar",Acerto_Detalhado!$C$2:$C$433,"Umidade")),2)</f>
        <v>0</v>
      </c>
    </row>
    <row r="940" customFormat="false" ht="15" hidden="false" customHeight="false" outlineLevel="0" collapsed="false">
      <c r="A940" s="27" t="s">
        <v>113</v>
      </c>
      <c r="B940" s="27" t="s">
        <v>110</v>
      </c>
      <c r="C940" s="27" t="s">
        <v>40</v>
      </c>
      <c r="D940" s="27" t="s">
        <v>39</v>
      </c>
      <c r="E940" s="28" t="n">
        <f aca="false">ROUND((SUMIFS(Acerto_Detalhado!$F$2:$F$433,Acerto_Detalhado!$A$2:$A$433,$C940,Acerto_Detalhado!$B$2:$B$433,"Mar",Acerto_Detalhado!$C$2:$C$433,"Umidade"))*(SUMIFS(Acerto_Detalhado!$I$2:$I$433,Acerto_Detalhado!$A$2:$A$433,$D940,Acerto_Detalhado!$B$2:$B$433,"Mar",Acerto_Detalhado!$C$2:$C$433,"Umidade")),2)</f>
        <v>0</v>
      </c>
    </row>
    <row r="941" customFormat="false" ht="15" hidden="false" customHeight="false" outlineLevel="0" collapsed="false">
      <c r="A941" s="27" t="s">
        <v>113</v>
      </c>
      <c r="B941" s="27" t="s">
        <v>110</v>
      </c>
      <c r="C941" s="27" t="s">
        <v>40</v>
      </c>
      <c r="D941" s="27" t="s">
        <v>41</v>
      </c>
      <c r="E941" s="28" t="n">
        <f aca="false">ROUND((SUMIFS(Acerto_Detalhado!$F$2:$F$433,Acerto_Detalhado!$A$2:$A$433,$C941,Acerto_Detalhado!$B$2:$B$433,"Mar",Acerto_Detalhado!$C$2:$C$433,"Umidade"))*(SUMIFS(Acerto_Detalhado!$I$2:$I$433,Acerto_Detalhado!$A$2:$A$433,$D941,Acerto_Detalhado!$B$2:$B$433,"Mar",Acerto_Detalhado!$C$2:$C$433,"Umidade")),2)</f>
        <v>0</v>
      </c>
    </row>
    <row r="942" customFormat="false" ht="15" hidden="false" customHeight="false" outlineLevel="0" collapsed="false">
      <c r="A942" s="27" t="s">
        <v>113</v>
      </c>
      <c r="B942" s="27" t="s">
        <v>110</v>
      </c>
      <c r="C942" s="27" t="s">
        <v>40</v>
      </c>
      <c r="D942" s="27" t="s">
        <v>42</v>
      </c>
      <c r="E942" s="28" t="n">
        <f aca="false">ROUND((SUMIFS(Acerto_Detalhado!$F$2:$F$433,Acerto_Detalhado!$A$2:$A$433,$C942,Acerto_Detalhado!$B$2:$B$433,"Mar",Acerto_Detalhado!$C$2:$C$433,"Umidade"))*(SUMIFS(Acerto_Detalhado!$I$2:$I$433,Acerto_Detalhado!$A$2:$A$433,$D942,Acerto_Detalhado!$B$2:$B$433,"Mar",Acerto_Detalhado!$C$2:$C$433,"Umidade")),2)</f>
        <v>0</v>
      </c>
    </row>
    <row r="943" customFormat="false" ht="15" hidden="false" customHeight="false" outlineLevel="0" collapsed="false">
      <c r="A943" s="27" t="s">
        <v>113</v>
      </c>
      <c r="B943" s="27" t="s">
        <v>110</v>
      </c>
      <c r="C943" s="27" t="s">
        <v>40</v>
      </c>
      <c r="D943" s="27" t="s">
        <v>43</v>
      </c>
      <c r="E943" s="28" t="n">
        <f aca="false">ROUND((SUMIFS(Acerto_Detalhado!$F$2:$F$433,Acerto_Detalhado!$A$2:$A$433,$C943,Acerto_Detalhado!$B$2:$B$433,"Mar",Acerto_Detalhado!$C$2:$C$433,"Umidade"))*(SUMIFS(Acerto_Detalhado!$I$2:$I$433,Acerto_Detalhado!$A$2:$A$433,$D943,Acerto_Detalhado!$B$2:$B$433,"Mar",Acerto_Detalhado!$C$2:$C$433,"Umidade")),2)</f>
        <v>0</v>
      </c>
    </row>
    <row r="944" customFormat="false" ht="15" hidden="false" customHeight="false" outlineLevel="0" collapsed="false">
      <c r="A944" s="27" t="s">
        <v>113</v>
      </c>
      <c r="B944" s="27" t="s">
        <v>110</v>
      </c>
      <c r="C944" s="27" t="s">
        <v>40</v>
      </c>
      <c r="D944" s="27" t="s">
        <v>44</v>
      </c>
      <c r="E944" s="28" t="n">
        <f aca="false">ROUND((SUMIFS(Acerto_Detalhado!$F$2:$F$433,Acerto_Detalhado!$A$2:$A$433,$C944,Acerto_Detalhado!$B$2:$B$433,"Mar",Acerto_Detalhado!$C$2:$C$433,"Umidade"))*(SUMIFS(Acerto_Detalhado!$I$2:$I$433,Acerto_Detalhado!$A$2:$A$433,$D944,Acerto_Detalhado!$B$2:$B$433,"Mar",Acerto_Detalhado!$C$2:$C$433,"Umidade")),2)</f>
        <v>0</v>
      </c>
    </row>
    <row r="945" customFormat="false" ht="15" hidden="false" customHeight="false" outlineLevel="0" collapsed="false">
      <c r="A945" s="27" t="s">
        <v>113</v>
      </c>
      <c r="B945" s="27" t="s">
        <v>110</v>
      </c>
      <c r="C945" s="27" t="s">
        <v>40</v>
      </c>
      <c r="D945" s="27" t="s">
        <v>45</v>
      </c>
      <c r="E945" s="28" t="n">
        <f aca="false">ROUND((SUMIFS(Acerto_Detalhado!$F$2:$F$433,Acerto_Detalhado!$A$2:$A$433,$C945,Acerto_Detalhado!$B$2:$B$433,"Mar",Acerto_Detalhado!$C$2:$C$433,"Umidade"))*(SUMIFS(Acerto_Detalhado!$I$2:$I$433,Acerto_Detalhado!$A$2:$A$433,$D945,Acerto_Detalhado!$B$2:$B$433,"Mar",Acerto_Detalhado!$C$2:$C$433,"Umidade")),2)</f>
        <v>0</v>
      </c>
    </row>
    <row r="946" customFormat="false" ht="15" hidden="false" customHeight="false" outlineLevel="0" collapsed="false">
      <c r="A946" s="27" t="s">
        <v>113</v>
      </c>
      <c r="B946" s="27" t="s">
        <v>110</v>
      </c>
      <c r="C946" s="27" t="s">
        <v>40</v>
      </c>
      <c r="D946" s="27" t="s">
        <v>46</v>
      </c>
      <c r="E946" s="28" t="n">
        <f aca="false">ROUND((SUMIFS(Acerto_Detalhado!$F$2:$F$433,Acerto_Detalhado!$A$2:$A$433,$C946,Acerto_Detalhado!$B$2:$B$433,"Mar",Acerto_Detalhado!$C$2:$C$433,"Umidade"))*(SUMIFS(Acerto_Detalhado!$I$2:$I$433,Acerto_Detalhado!$A$2:$A$433,$D946,Acerto_Detalhado!$B$2:$B$433,"Mar",Acerto_Detalhado!$C$2:$C$433,"Umidade")),2)</f>
        <v>0</v>
      </c>
    </row>
    <row r="947" customFormat="false" ht="15" hidden="false" customHeight="false" outlineLevel="0" collapsed="false">
      <c r="A947" s="27" t="s">
        <v>113</v>
      </c>
      <c r="B947" s="27" t="s">
        <v>110</v>
      </c>
      <c r="C947" s="27" t="s">
        <v>40</v>
      </c>
      <c r="D947" s="27" t="s">
        <v>47</v>
      </c>
      <c r="E947" s="28" t="n">
        <f aca="false">ROUND((SUMIFS(Acerto_Detalhado!$F$2:$F$433,Acerto_Detalhado!$A$2:$A$433,$C947,Acerto_Detalhado!$B$2:$B$433,"Mar",Acerto_Detalhado!$C$2:$C$433,"Umidade"))*(SUMIFS(Acerto_Detalhado!$I$2:$I$433,Acerto_Detalhado!$A$2:$A$433,$D947,Acerto_Detalhado!$B$2:$B$433,"Mar",Acerto_Detalhado!$C$2:$C$433,"Umidade")),2)</f>
        <v>0</v>
      </c>
    </row>
    <row r="948" customFormat="false" ht="15" hidden="false" customHeight="false" outlineLevel="0" collapsed="false">
      <c r="A948" s="27" t="s">
        <v>113</v>
      </c>
      <c r="B948" s="27" t="s">
        <v>110</v>
      </c>
      <c r="C948" s="27" t="s">
        <v>40</v>
      </c>
      <c r="D948" s="27" t="s">
        <v>48</v>
      </c>
      <c r="E948" s="28" t="n">
        <f aca="false">ROUND((SUMIFS(Acerto_Detalhado!$F$2:$F$433,Acerto_Detalhado!$A$2:$A$433,$C948,Acerto_Detalhado!$B$2:$B$433,"Mar",Acerto_Detalhado!$C$2:$C$433,"Umidade"))*(SUMIFS(Acerto_Detalhado!$I$2:$I$433,Acerto_Detalhado!$A$2:$A$433,$D948,Acerto_Detalhado!$B$2:$B$433,"Mar",Acerto_Detalhado!$C$2:$C$433,"Umidade")),2)</f>
        <v>0</v>
      </c>
    </row>
    <row r="949" customFormat="false" ht="15" hidden="false" customHeight="false" outlineLevel="0" collapsed="false">
      <c r="A949" s="27" t="s">
        <v>113</v>
      </c>
      <c r="B949" s="27" t="s">
        <v>110</v>
      </c>
      <c r="C949" s="27" t="s">
        <v>40</v>
      </c>
      <c r="D949" s="27" t="s">
        <v>49</v>
      </c>
      <c r="E949" s="28" t="n">
        <f aca="false">ROUND((SUMIFS(Acerto_Detalhado!$F$2:$F$433,Acerto_Detalhado!$A$2:$A$433,$C949,Acerto_Detalhado!$B$2:$B$433,"Mar",Acerto_Detalhado!$C$2:$C$433,"Umidade"))*(SUMIFS(Acerto_Detalhado!$I$2:$I$433,Acerto_Detalhado!$A$2:$A$433,$D949,Acerto_Detalhado!$B$2:$B$433,"Mar",Acerto_Detalhado!$C$2:$C$433,"Umidade")),2)</f>
        <v>0</v>
      </c>
    </row>
    <row r="950" customFormat="false" ht="15" hidden="false" customHeight="false" outlineLevel="0" collapsed="false">
      <c r="A950" s="27" t="s">
        <v>113</v>
      </c>
      <c r="B950" s="27" t="s">
        <v>110</v>
      </c>
      <c r="C950" s="27" t="s">
        <v>40</v>
      </c>
      <c r="D950" s="27" t="s">
        <v>50</v>
      </c>
      <c r="E950" s="28" t="n">
        <f aca="false">ROUND((SUMIFS(Acerto_Detalhado!$F$2:$F$433,Acerto_Detalhado!$A$2:$A$433,$C950,Acerto_Detalhado!$B$2:$B$433,"Mar",Acerto_Detalhado!$C$2:$C$433,"Umidade"))*(SUMIFS(Acerto_Detalhado!$I$2:$I$433,Acerto_Detalhado!$A$2:$A$433,$D950,Acerto_Detalhado!$B$2:$B$433,"Mar",Acerto_Detalhado!$C$2:$C$433,"Umidade")),2)</f>
        <v>0</v>
      </c>
    </row>
    <row r="951" customFormat="false" ht="15" hidden="false" customHeight="false" outlineLevel="0" collapsed="false">
      <c r="A951" s="27" t="s">
        <v>113</v>
      </c>
      <c r="B951" s="27" t="s">
        <v>110</v>
      </c>
      <c r="C951" s="27" t="s">
        <v>41</v>
      </c>
      <c r="D951" s="27" t="s">
        <v>39</v>
      </c>
      <c r="E951" s="28" t="n">
        <f aca="false">ROUND((SUMIFS(Acerto_Detalhado!$F$2:$F$433,Acerto_Detalhado!$A$2:$A$433,$C951,Acerto_Detalhado!$B$2:$B$433,"Mar",Acerto_Detalhado!$C$2:$C$433,"Umidade"))*(SUMIFS(Acerto_Detalhado!$I$2:$I$433,Acerto_Detalhado!$A$2:$A$433,$D951,Acerto_Detalhado!$B$2:$B$433,"Mar",Acerto_Detalhado!$C$2:$C$433,"Umidade")),2)</f>
        <v>0</v>
      </c>
    </row>
    <row r="952" customFormat="false" ht="15" hidden="false" customHeight="false" outlineLevel="0" collapsed="false">
      <c r="A952" s="27" t="s">
        <v>113</v>
      </c>
      <c r="B952" s="27" t="s">
        <v>110</v>
      </c>
      <c r="C952" s="27" t="s">
        <v>41</v>
      </c>
      <c r="D952" s="27" t="s">
        <v>40</v>
      </c>
      <c r="E952" s="28" t="n">
        <f aca="false">ROUND((SUMIFS(Acerto_Detalhado!$F$2:$F$433,Acerto_Detalhado!$A$2:$A$433,$C952,Acerto_Detalhado!$B$2:$B$433,"Mar",Acerto_Detalhado!$C$2:$C$433,"Umidade"))*(SUMIFS(Acerto_Detalhado!$I$2:$I$433,Acerto_Detalhado!$A$2:$A$433,$D952,Acerto_Detalhado!$B$2:$B$433,"Mar",Acerto_Detalhado!$C$2:$C$433,"Umidade")),2)</f>
        <v>0</v>
      </c>
    </row>
    <row r="953" customFormat="false" ht="15" hidden="false" customHeight="false" outlineLevel="0" collapsed="false">
      <c r="A953" s="27" t="s">
        <v>113</v>
      </c>
      <c r="B953" s="27" t="s">
        <v>110</v>
      </c>
      <c r="C953" s="27" t="s">
        <v>41</v>
      </c>
      <c r="D953" s="27" t="s">
        <v>42</v>
      </c>
      <c r="E953" s="28" t="n">
        <f aca="false">ROUND((SUMIFS(Acerto_Detalhado!$F$2:$F$433,Acerto_Detalhado!$A$2:$A$433,$C953,Acerto_Detalhado!$B$2:$B$433,"Mar",Acerto_Detalhado!$C$2:$C$433,"Umidade"))*(SUMIFS(Acerto_Detalhado!$I$2:$I$433,Acerto_Detalhado!$A$2:$A$433,$D953,Acerto_Detalhado!$B$2:$B$433,"Mar",Acerto_Detalhado!$C$2:$C$433,"Umidade")),2)</f>
        <v>0</v>
      </c>
    </row>
    <row r="954" customFormat="false" ht="15" hidden="false" customHeight="false" outlineLevel="0" collapsed="false">
      <c r="A954" s="27" t="s">
        <v>113</v>
      </c>
      <c r="B954" s="27" t="s">
        <v>110</v>
      </c>
      <c r="C954" s="27" t="s">
        <v>41</v>
      </c>
      <c r="D954" s="27" t="s">
        <v>43</v>
      </c>
      <c r="E954" s="28" t="n">
        <f aca="false">ROUND((SUMIFS(Acerto_Detalhado!$F$2:$F$433,Acerto_Detalhado!$A$2:$A$433,$C954,Acerto_Detalhado!$B$2:$B$433,"Mar",Acerto_Detalhado!$C$2:$C$433,"Umidade"))*(SUMIFS(Acerto_Detalhado!$I$2:$I$433,Acerto_Detalhado!$A$2:$A$433,$D954,Acerto_Detalhado!$B$2:$B$433,"Mar",Acerto_Detalhado!$C$2:$C$433,"Umidade")),2)</f>
        <v>0</v>
      </c>
    </row>
    <row r="955" customFormat="false" ht="15" hidden="false" customHeight="false" outlineLevel="0" collapsed="false">
      <c r="A955" s="27" t="s">
        <v>113</v>
      </c>
      <c r="B955" s="27" t="s">
        <v>110</v>
      </c>
      <c r="C955" s="27" t="s">
        <v>41</v>
      </c>
      <c r="D955" s="27" t="s">
        <v>44</v>
      </c>
      <c r="E955" s="28" t="n">
        <f aca="false">ROUND((SUMIFS(Acerto_Detalhado!$F$2:$F$433,Acerto_Detalhado!$A$2:$A$433,$C955,Acerto_Detalhado!$B$2:$B$433,"Mar",Acerto_Detalhado!$C$2:$C$433,"Umidade"))*(SUMIFS(Acerto_Detalhado!$I$2:$I$433,Acerto_Detalhado!$A$2:$A$433,$D955,Acerto_Detalhado!$B$2:$B$433,"Mar",Acerto_Detalhado!$C$2:$C$433,"Umidade")),2)</f>
        <v>0</v>
      </c>
    </row>
    <row r="956" customFormat="false" ht="15" hidden="false" customHeight="false" outlineLevel="0" collapsed="false">
      <c r="A956" s="27" t="s">
        <v>113</v>
      </c>
      <c r="B956" s="27" t="s">
        <v>110</v>
      </c>
      <c r="C956" s="27" t="s">
        <v>41</v>
      </c>
      <c r="D956" s="27" t="s">
        <v>45</v>
      </c>
      <c r="E956" s="28" t="n">
        <f aca="false">ROUND((SUMIFS(Acerto_Detalhado!$F$2:$F$433,Acerto_Detalhado!$A$2:$A$433,$C956,Acerto_Detalhado!$B$2:$B$433,"Mar",Acerto_Detalhado!$C$2:$C$433,"Umidade"))*(SUMIFS(Acerto_Detalhado!$I$2:$I$433,Acerto_Detalhado!$A$2:$A$433,$D956,Acerto_Detalhado!$B$2:$B$433,"Mar",Acerto_Detalhado!$C$2:$C$433,"Umidade")),2)</f>
        <v>0</v>
      </c>
    </row>
    <row r="957" customFormat="false" ht="15" hidden="false" customHeight="false" outlineLevel="0" collapsed="false">
      <c r="A957" s="27" t="s">
        <v>113</v>
      </c>
      <c r="B957" s="27" t="s">
        <v>110</v>
      </c>
      <c r="C957" s="27" t="s">
        <v>41</v>
      </c>
      <c r="D957" s="27" t="s">
        <v>46</v>
      </c>
      <c r="E957" s="28" t="n">
        <f aca="false">ROUND((SUMIFS(Acerto_Detalhado!$F$2:$F$433,Acerto_Detalhado!$A$2:$A$433,$C957,Acerto_Detalhado!$B$2:$B$433,"Mar",Acerto_Detalhado!$C$2:$C$433,"Umidade"))*(SUMIFS(Acerto_Detalhado!$I$2:$I$433,Acerto_Detalhado!$A$2:$A$433,$D957,Acerto_Detalhado!$B$2:$B$433,"Mar",Acerto_Detalhado!$C$2:$C$433,"Umidade")),2)</f>
        <v>0</v>
      </c>
    </row>
    <row r="958" customFormat="false" ht="15" hidden="false" customHeight="false" outlineLevel="0" collapsed="false">
      <c r="A958" s="27" t="s">
        <v>113</v>
      </c>
      <c r="B958" s="27" t="s">
        <v>110</v>
      </c>
      <c r="C958" s="27" t="s">
        <v>41</v>
      </c>
      <c r="D958" s="27" t="s">
        <v>47</v>
      </c>
      <c r="E958" s="28" t="n">
        <f aca="false">ROUND((SUMIFS(Acerto_Detalhado!$F$2:$F$433,Acerto_Detalhado!$A$2:$A$433,$C958,Acerto_Detalhado!$B$2:$B$433,"Mar",Acerto_Detalhado!$C$2:$C$433,"Umidade"))*(SUMIFS(Acerto_Detalhado!$I$2:$I$433,Acerto_Detalhado!$A$2:$A$433,$D958,Acerto_Detalhado!$B$2:$B$433,"Mar",Acerto_Detalhado!$C$2:$C$433,"Umidade")),2)</f>
        <v>0</v>
      </c>
    </row>
    <row r="959" customFormat="false" ht="15" hidden="false" customHeight="false" outlineLevel="0" collapsed="false">
      <c r="A959" s="27" t="s">
        <v>113</v>
      </c>
      <c r="B959" s="27" t="s">
        <v>110</v>
      </c>
      <c r="C959" s="27" t="s">
        <v>41</v>
      </c>
      <c r="D959" s="27" t="s">
        <v>48</v>
      </c>
      <c r="E959" s="28" t="n">
        <f aca="false">ROUND((SUMIFS(Acerto_Detalhado!$F$2:$F$433,Acerto_Detalhado!$A$2:$A$433,$C959,Acerto_Detalhado!$B$2:$B$433,"Mar",Acerto_Detalhado!$C$2:$C$433,"Umidade"))*(SUMIFS(Acerto_Detalhado!$I$2:$I$433,Acerto_Detalhado!$A$2:$A$433,$D959,Acerto_Detalhado!$B$2:$B$433,"Mar",Acerto_Detalhado!$C$2:$C$433,"Umidade")),2)</f>
        <v>0</v>
      </c>
    </row>
    <row r="960" customFormat="false" ht="15" hidden="false" customHeight="false" outlineLevel="0" collapsed="false">
      <c r="A960" s="27" t="s">
        <v>113</v>
      </c>
      <c r="B960" s="27" t="s">
        <v>110</v>
      </c>
      <c r="C960" s="27" t="s">
        <v>41</v>
      </c>
      <c r="D960" s="27" t="s">
        <v>49</v>
      </c>
      <c r="E960" s="28" t="n">
        <f aca="false">ROUND((SUMIFS(Acerto_Detalhado!$F$2:$F$433,Acerto_Detalhado!$A$2:$A$433,$C960,Acerto_Detalhado!$B$2:$B$433,"Mar",Acerto_Detalhado!$C$2:$C$433,"Umidade"))*(SUMIFS(Acerto_Detalhado!$I$2:$I$433,Acerto_Detalhado!$A$2:$A$433,$D960,Acerto_Detalhado!$B$2:$B$433,"Mar",Acerto_Detalhado!$C$2:$C$433,"Umidade")),2)</f>
        <v>0</v>
      </c>
    </row>
    <row r="961" customFormat="false" ht="15" hidden="false" customHeight="false" outlineLevel="0" collapsed="false">
      <c r="A961" s="27" t="s">
        <v>113</v>
      </c>
      <c r="B961" s="27" t="s">
        <v>110</v>
      </c>
      <c r="C961" s="27" t="s">
        <v>41</v>
      </c>
      <c r="D961" s="27" t="s">
        <v>50</v>
      </c>
      <c r="E961" s="28" t="n">
        <f aca="false">ROUND((SUMIFS(Acerto_Detalhado!$F$2:$F$433,Acerto_Detalhado!$A$2:$A$433,$C961,Acerto_Detalhado!$B$2:$B$433,"Mar",Acerto_Detalhado!$C$2:$C$433,"Umidade"))*(SUMIFS(Acerto_Detalhado!$I$2:$I$433,Acerto_Detalhado!$A$2:$A$433,$D961,Acerto_Detalhado!$B$2:$B$433,"Mar",Acerto_Detalhado!$C$2:$C$433,"Umidade")),2)</f>
        <v>0</v>
      </c>
    </row>
    <row r="962" customFormat="false" ht="15" hidden="false" customHeight="false" outlineLevel="0" collapsed="false">
      <c r="A962" s="27" t="s">
        <v>113</v>
      </c>
      <c r="B962" s="27" t="s">
        <v>110</v>
      </c>
      <c r="C962" s="27" t="s">
        <v>42</v>
      </c>
      <c r="D962" s="27" t="s">
        <v>39</v>
      </c>
      <c r="E962" s="28" t="n">
        <f aca="false">ROUND((SUMIFS(Acerto_Detalhado!$F$2:$F$433,Acerto_Detalhado!$A$2:$A$433,$C962,Acerto_Detalhado!$B$2:$B$433,"Mar",Acerto_Detalhado!$C$2:$C$433,"Umidade"))*(SUMIFS(Acerto_Detalhado!$I$2:$I$433,Acerto_Detalhado!$A$2:$A$433,$D962,Acerto_Detalhado!$B$2:$B$433,"Mar",Acerto_Detalhado!$C$2:$C$433,"Umidade")),2)</f>
        <v>0</v>
      </c>
    </row>
    <row r="963" customFormat="false" ht="15" hidden="false" customHeight="false" outlineLevel="0" collapsed="false">
      <c r="A963" s="27" t="s">
        <v>113</v>
      </c>
      <c r="B963" s="27" t="s">
        <v>110</v>
      </c>
      <c r="C963" s="27" t="s">
        <v>42</v>
      </c>
      <c r="D963" s="27" t="s">
        <v>40</v>
      </c>
      <c r="E963" s="28" t="n">
        <f aca="false">ROUND((SUMIFS(Acerto_Detalhado!$F$2:$F$433,Acerto_Detalhado!$A$2:$A$433,$C963,Acerto_Detalhado!$B$2:$B$433,"Mar",Acerto_Detalhado!$C$2:$C$433,"Umidade"))*(SUMIFS(Acerto_Detalhado!$I$2:$I$433,Acerto_Detalhado!$A$2:$A$433,$D963,Acerto_Detalhado!$B$2:$B$433,"Mar",Acerto_Detalhado!$C$2:$C$433,"Umidade")),2)</f>
        <v>0</v>
      </c>
    </row>
    <row r="964" customFormat="false" ht="15" hidden="false" customHeight="false" outlineLevel="0" collapsed="false">
      <c r="A964" s="27" t="s">
        <v>113</v>
      </c>
      <c r="B964" s="27" t="s">
        <v>110</v>
      </c>
      <c r="C964" s="27" t="s">
        <v>42</v>
      </c>
      <c r="D964" s="27" t="s">
        <v>41</v>
      </c>
      <c r="E964" s="28" t="n">
        <f aca="false">ROUND((SUMIFS(Acerto_Detalhado!$F$2:$F$433,Acerto_Detalhado!$A$2:$A$433,$C964,Acerto_Detalhado!$B$2:$B$433,"Mar",Acerto_Detalhado!$C$2:$C$433,"Umidade"))*(SUMIFS(Acerto_Detalhado!$I$2:$I$433,Acerto_Detalhado!$A$2:$A$433,$D964,Acerto_Detalhado!$B$2:$B$433,"Mar",Acerto_Detalhado!$C$2:$C$433,"Umidade")),2)</f>
        <v>0</v>
      </c>
    </row>
    <row r="965" customFormat="false" ht="15" hidden="false" customHeight="false" outlineLevel="0" collapsed="false">
      <c r="A965" s="27" t="s">
        <v>113</v>
      </c>
      <c r="B965" s="27" t="s">
        <v>110</v>
      </c>
      <c r="C965" s="27" t="s">
        <v>42</v>
      </c>
      <c r="D965" s="27" t="s">
        <v>43</v>
      </c>
      <c r="E965" s="28" t="n">
        <f aca="false">ROUND((SUMIFS(Acerto_Detalhado!$F$2:$F$433,Acerto_Detalhado!$A$2:$A$433,$C965,Acerto_Detalhado!$B$2:$B$433,"Mar",Acerto_Detalhado!$C$2:$C$433,"Umidade"))*(SUMIFS(Acerto_Detalhado!$I$2:$I$433,Acerto_Detalhado!$A$2:$A$433,$D965,Acerto_Detalhado!$B$2:$B$433,"Mar",Acerto_Detalhado!$C$2:$C$433,"Umidade")),2)</f>
        <v>0</v>
      </c>
    </row>
    <row r="966" customFormat="false" ht="15" hidden="false" customHeight="false" outlineLevel="0" collapsed="false">
      <c r="A966" s="27" t="s">
        <v>113</v>
      </c>
      <c r="B966" s="27" t="s">
        <v>110</v>
      </c>
      <c r="C966" s="27" t="s">
        <v>42</v>
      </c>
      <c r="D966" s="27" t="s">
        <v>44</v>
      </c>
      <c r="E966" s="28" t="n">
        <f aca="false">ROUND((SUMIFS(Acerto_Detalhado!$F$2:$F$433,Acerto_Detalhado!$A$2:$A$433,$C966,Acerto_Detalhado!$B$2:$B$433,"Mar",Acerto_Detalhado!$C$2:$C$433,"Umidade"))*(SUMIFS(Acerto_Detalhado!$I$2:$I$433,Acerto_Detalhado!$A$2:$A$433,$D966,Acerto_Detalhado!$B$2:$B$433,"Mar",Acerto_Detalhado!$C$2:$C$433,"Umidade")),2)</f>
        <v>0</v>
      </c>
    </row>
    <row r="967" customFormat="false" ht="15" hidden="false" customHeight="false" outlineLevel="0" collapsed="false">
      <c r="A967" s="27" t="s">
        <v>113</v>
      </c>
      <c r="B967" s="27" t="s">
        <v>110</v>
      </c>
      <c r="C967" s="27" t="s">
        <v>42</v>
      </c>
      <c r="D967" s="27" t="s">
        <v>45</v>
      </c>
      <c r="E967" s="28" t="n">
        <f aca="false">ROUND((SUMIFS(Acerto_Detalhado!$F$2:$F$433,Acerto_Detalhado!$A$2:$A$433,$C967,Acerto_Detalhado!$B$2:$B$433,"Mar",Acerto_Detalhado!$C$2:$C$433,"Umidade"))*(SUMIFS(Acerto_Detalhado!$I$2:$I$433,Acerto_Detalhado!$A$2:$A$433,$D967,Acerto_Detalhado!$B$2:$B$433,"Mar",Acerto_Detalhado!$C$2:$C$433,"Umidade")),2)</f>
        <v>0</v>
      </c>
    </row>
    <row r="968" customFormat="false" ht="15" hidden="false" customHeight="false" outlineLevel="0" collapsed="false">
      <c r="A968" s="27" t="s">
        <v>113</v>
      </c>
      <c r="B968" s="27" t="s">
        <v>110</v>
      </c>
      <c r="C968" s="27" t="s">
        <v>42</v>
      </c>
      <c r="D968" s="27" t="s">
        <v>46</v>
      </c>
      <c r="E968" s="28" t="n">
        <f aca="false">ROUND((SUMIFS(Acerto_Detalhado!$F$2:$F$433,Acerto_Detalhado!$A$2:$A$433,$C968,Acerto_Detalhado!$B$2:$B$433,"Mar",Acerto_Detalhado!$C$2:$C$433,"Umidade"))*(SUMIFS(Acerto_Detalhado!$I$2:$I$433,Acerto_Detalhado!$A$2:$A$433,$D968,Acerto_Detalhado!$B$2:$B$433,"Mar",Acerto_Detalhado!$C$2:$C$433,"Umidade")),2)</f>
        <v>0</v>
      </c>
    </row>
    <row r="969" customFormat="false" ht="15" hidden="false" customHeight="false" outlineLevel="0" collapsed="false">
      <c r="A969" s="27" t="s">
        <v>113</v>
      </c>
      <c r="B969" s="27" t="s">
        <v>110</v>
      </c>
      <c r="C969" s="27" t="s">
        <v>42</v>
      </c>
      <c r="D969" s="27" t="s">
        <v>47</v>
      </c>
      <c r="E969" s="28" t="n">
        <f aca="false">ROUND((SUMIFS(Acerto_Detalhado!$F$2:$F$433,Acerto_Detalhado!$A$2:$A$433,$C969,Acerto_Detalhado!$B$2:$B$433,"Mar",Acerto_Detalhado!$C$2:$C$433,"Umidade"))*(SUMIFS(Acerto_Detalhado!$I$2:$I$433,Acerto_Detalhado!$A$2:$A$433,$D969,Acerto_Detalhado!$B$2:$B$433,"Mar",Acerto_Detalhado!$C$2:$C$433,"Umidade")),2)</f>
        <v>0</v>
      </c>
    </row>
    <row r="970" customFormat="false" ht="15" hidden="false" customHeight="false" outlineLevel="0" collapsed="false">
      <c r="A970" s="27" t="s">
        <v>113</v>
      </c>
      <c r="B970" s="27" t="s">
        <v>110</v>
      </c>
      <c r="C970" s="27" t="s">
        <v>42</v>
      </c>
      <c r="D970" s="27" t="s">
        <v>48</v>
      </c>
      <c r="E970" s="28" t="n">
        <f aca="false">ROUND((SUMIFS(Acerto_Detalhado!$F$2:$F$433,Acerto_Detalhado!$A$2:$A$433,$C970,Acerto_Detalhado!$B$2:$B$433,"Mar",Acerto_Detalhado!$C$2:$C$433,"Umidade"))*(SUMIFS(Acerto_Detalhado!$I$2:$I$433,Acerto_Detalhado!$A$2:$A$433,$D970,Acerto_Detalhado!$B$2:$B$433,"Mar",Acerto_Detalhado!$C$2:$C$433,"Umidade")),2)</f>
        <v>0</v>
      </c>
    </row>
    <row r="971" customFormat="false" ht="15" hidden="false" customHeight="false" outlineLevel="0" collapsed="false">
      <c r="A971" s="27" t="s">
        <v>113</v>
      </c>
      <c r="B971" s="27" t="s">
        <v>110</v>
      </c>
      <c r="C971" s="27" t="s">
        <v>42</v>
      </c>
      <c r="D971" s="27" t="s">
        <v>49</v>
      </c>
      <c r="E971" s="28" t="n">
        <f aca="false">ROUND((SUMIFS(Acerto_Detalhado!$F$2:$F$433,Acerto_Detalhado!$A$2:$A$433,$C971,Acerto_Detalhado!$B$2:$B$433,"Mar",Acerto_Detalhado!$C$2:$C$433,"Umidade"))*(SUMIFS(Acerto_Detalhado!$I$2:$I$433,Acerto_Detalhado!$A$2:$A$433,$D971,Acerto_Detalhado!$B$2:$B$433,"Mar",Acerto_Detalhado!$C$2:$C$433,"Umidade")),2)</f>
        <v>0</v>
      </c>
    </row>
    <row r="972" customFormat="false" ht="15" hidden="false" customHeight="false" outlineLevel="0" collapsed="false">
      <c r="A972" s="27" t="s">
        <v>113</v>
      </c>
      <c r="B972" s="27" t="s">
        <v>110</v>
      </c>
      <c r="C972" s="27" t="s">
        <v>42</v>
      </c>
      <c r="D972" s="27" t="s">
        <v>50</v>
      </c>
      <c r="E972" s="28" t="n">
        <f aca="false">ROUND((SUMIFS(Acerto_Detalhado!$F$2:$F$433,Acerto_Detalhado!$A$2:$A$433,$C972,Acerto_Detalhado!$B$2:$B$433,"Mar",Acerto_Detalhado!$C$2:$C$433,"Umidade"))*(SUMIFS(Acerto_Detalhado!$I$2:$I$433,Acerto_Detalhado!$A$2:$A$433,$D972,Acerto_Detalhado!$B$2:$B$433,"Mar",Acerto_Detalhado!$C$2:$C$433,"Umidade")),2)</f>
        <v>0</v>
      </c>
    </row>
    <row r="973" customFormat="false" ht="15" hidden="false" customHeight="false" outlineLevel="0" collapsed="false">
      <c r="A973" s="27" t="s">
        <v>113</v>
      </c>
      <c r="B973" s="27" t="s">
        <v>110</v>
      </c>
      <c r="C973" s="27" t="s">
        <v>43</v>
      </c>
      <c r="D973" s="27" t="s">
        <v>39</v>
      </c>
      <c r="E973" s="28" t="n">
        <f aca="false">ROUND((SUMIFS(Acerto_Detalhado!$F$2:$F$433,Acerto_Detalhado!$A$2:$A$433,$C973,Acerto_Detalhado!$B$2:$B$433,"Mar",Acerto_Detalhado!$C$2:$C$433,"Umidade"))*(SUMIFS(Acerto_Detalhado!$I$2:$I$433,Acerto_Detalhado!$A$2:$A$433,$D973,Acerto_Detalhado!$B$2:$B$433,"Mar",Acerto_Detalhado!$C$2:$C$433,"Umidade")),2)</f>
        <v>0</v>
      </c>
    </row>
    <row r="974" customFormat="false" ht="15" hidden="false" customHeight="false" outlineLevel="0" collapsed="false">
      <c r="A974" s="27" t="s">
        <v>113</v>
      </c>
      <c r="B974" s="27" t="s">
        <v>110</v>
      </c>
      <c r="C974" s="27" t="s">
        <v>43</v>
      </c>
      <c r="D974" s="27" t="s">
        <v>40</v>
      </c>
      <c r="E974" s="28" t="n">
        <f aca="false">ROUND((SUMIFS(Acerto_Detalhado!$F$2:$F$433,Acerto_Detalhado!$A$2:$A$433,$C974,Acerto_Detalhado!$B$2:$B$433,"Mar",Acerto_Detalhado!$C$2:$C$433,"Umidade"))*(SUMIFS(Acerto_Detalhado!$I$2:$I$433,Acerto_Detalhado!$A$2:$A$433,$D974,Acerto_Detalhado!$B$2:$B$433,"Mar",Acerto_Detalhado!$C$2:$C$433,"Umidade")),2)</f>
        <v>0</v>
      </c>
    </row>
    <row r="975" customFormat="false" ht="15" hidden="false" customHeight="false" outlineLevel="0" collapsed="false">
      <c r="A975" s="27" t="s">
        <v>113</v>
      </c>
      <c r="B975" s="27" t="s">
        <v>110</v>
      </c>
      <c r="C975" s="27" t="s">
        <v>43</v>
      </c>
      <c r="D975" s="27" t="s">
        <v>41</v>
      </c>
      <c r="E975" s="28" t="n">
        <f aca="false">ROUND((SUMIFS(Acerto_Detalhado!$F$2:$F$433,Acerto_Detalhado!$A$2:$A$433,$C975,Acerto_Detalhado!$B$2:$B$433,"Mar",Acerto_Detalhado!$C$2:$C$433,"Umidade"))*(SUMIFS(Acerto_Detalhado!$I$2:$I$433,Acerto_Detalhado!$A$2:$A$433,$D975,Acerto_Detalhado!$B$2:$B$433,"Mar",Acerto_Detalhado!$C$2:$C$433,"Umidade")),2)</f>
        <v>0</v>
      </c>
    </row>
    <row r="976" customFormat="false" ht="15" hidden="false" customHeight="false" outlineLevel="0" collapsed="false">
      <c r="A976" s="27" t="s">
        <v>113</v>
      </c>
      <c r="B976" s="27" t="s">
        <v>110</v>
      </c>
      <c r="C976" s="27" t="s">
        <v>43</v>
      </c>
      <c r="D976" s="27" t="s">
        <v>42</v>
      </c>
      <c r="E976" s="28" t="n">
        <f aca="false">ROUND((SUMIFS(Acerto_Detalhado!$F$2:$F$433,Acerto_Detalhado!$A$2:$A$433,$C976,Acerto_Detalhado!$B$2:$B$433,"Mar",Acerto_Detalhado!$C$2:$C$433,"Umidade"))*(SUMIFS(Acerto_Detalhado!$I$2:$I$433,Acerto_Detalhado!$A$2:$A$433,$D976,Acerto_Detalhado!$B$2:$B$433,"Mar",Acerto_Detalhado!$C$2:$C$433,"Umidade")),2)</f>
        <v>0</v>
      </c>
    </row>
    <row r="977" customFormat="false" ht="15" hidden="false" customHeight="false" outlineLevel="0" collapsed="false">
      <c r="A977" s="27" t="s">
        <v>113</v>
      </c>
      <c r="B977" s="27" t="s">
        <v>110</v>
      </c>
      <c r="C977" s="27" t="s">
        <v>43</v>
      </c>
      <c r="D977" s="27" t="s">
        <v>44</v>
      </c>
      <c r="E977" s="28" t="n">
        <f aca="false">ROUND((SUMIFS(Acerto_Detalhado!$F$2:$F$433,Acerto_Detalhado!$A$2:$A$433,$C977,Acerto_Detalhado!$B$2:$B$433,"Mar",Acerto_Detalhado!$C$2:$C$433,"Umidade"))*(SUMIFS(Acerto_Detalhado!$I$2:$I$433,Acerto_Detalhado!$A$2:$A$433,$D977,Acerto_Detalhado!$B$2:$B$433,"Mar",Acerto_Detalhado!$C$2:$C$433,"Umidade")),2)</f>
        <v>0</v>
      </c>
    </row>
    <row r="978" customFormat="false" ht="15" hidden="false" customHeight="false" outlineLevel="0" collapsed="false">
      <c r="A978" s="27" t="s">
        <v>113</v>
      </c>
      <c r="B978" s="27" t="s">
        <v>110</v>
      </c>
      <c r="C978" s="27" t="s">
        <v>43</v>
      </c>
      <c r="D978" s="27" t="s">
        <v>45</v>
      </c>
      <c r="E978" s="28" t="n">
        <f aca="false">ROUND((SUMIFS(Acerto_Detalhado!$F$2:$F$433,Acerto_Detalhado!$A$2:$A$433,$C978,Acerto_Detalhado!$B$2:$B$433,"Mar",Acerto_Detalhado!$C$2:$C$433,"Umidade"))*(SUMIFS(Acerto_Detalhado!$I$2:$I$433,Acerto_Detalhado!$A$2:$A$433,$D978,Acerto_Detalhado!$B$2:$B$433,"Mar",Acerto_Detalhado!$C$2:$C$433,"Umidade")),2)</f>
        <v>0</v>
      </c>
    </row>
    <row r="979" customFormat="false" ht="15" hidden="false" customHeight="false" outlineLevel="0" collapsed="false">
      <c r="A979" s="27" t="s">
        <v>113</v>
      </c>
      <c r="B979" s="27" t="s">
        <v>110</v>
      </c>
      <c r="C979" s="27" t="s">
        <v>43</v>
      </c>
      <c r="D979" s="27" t="s">
        <v>46</v>
      </c>
      <c r="E979" s="28" t="n">
        <f aca="false">ROUND((SUMIFS(Acerto_Detalhado!$F$2:$F$433,Acerto_Detalhado!$A$2:$A$433,$C979,Acerto_Detalhado!$B$2:$B$433,"Mar",Acerto_Detalhado!$C$2:$C$433,"Umidade"))*(SUMIFS(Acerto_Detalhado!$I$2:$I$433,Acerto_Detalhado!$A$2:$A$433,$D979,Acerto_Detalhado!$B$2:$B$433,"Mar",Acerto_Detalhado!$C$2:$C$433,"Umidade")),2)</f>
        <v>0</v>
      </c>
    </row>
    <row r="980" customFormat="false" ht="15" hidden="false" customHeight="false" outlineLevel="0" collapsed="false">
      <c r="A980" s="27" t="s">
        <v>113</v>
      </c>
      <c r="B980" s="27" t="s">
        <v>110</v>
      </c>
      <c r="C980" s="27" t="s">
        <v>43</v>
      </c>
      <c r="D980" s="27" t="s">
        <v>47</v>
      </c>
      <c r="E980" s="28" t="n">
        <f aca="false">ROUND((SUMIFS(Acerto_Detalhado!$F$2:$F$433,Acerto_Detalhado!$A$2:$A$433,$C980,Acerto_Detalhado!$B$2:$B$433,"Mar",Acerto_Detalhado!$C$2:$C$433,"Umidade"))*(SUMIFS(Acerto_Detalhado!$I$2:$I$433,Acerto_Detalhado!$A$2:$A$433,$D980,Acerto_Detalhado!$B$2:$B$433,"Mar",Acerto_Detalhado!$C$2:$C$433,"Umidade")),2)</f>
        <v>0</v>
      </c>
    </row>
    <row r="981" customFormat="false" ht="15" hidden="false" customHeight="false" outlineLevel="0" collapsed="false">
      <c r="A981" s="27" t="s">
        <v>113</v>
      </c>
      <c r="B981" s="27" t="s">
        <v>110</v>
      </c>
      <c r="C981" s="27" t="s">
        <v>43</v>
      </c>
      <c r="D981" s="27" t="s">
        <v>48</v>
      </c>
      <c r="E981" s="28" t="n">
        <f aca="false">ROUND((SUMIFS(Acerto_Detalhado!$F$2:$F$433,Acerto_Detalhado!$A$2:$A$433,$C981,Acerto_Detalhado!$B$2:$B$433,"Mar",Acerto_Detalhado!$C$2:$C$433,"Umidade"))*(SUMIFS(Acerto_Detalhado!$I$2:$I$433,Acerto_Detalhado!$A$2:$A$433,$D981,Acerto_Detalhado!$B$2:$B$433,"Mar",Acerto_Detalhado!$C$2:$C$433,"Umidade")),2)</f>
        <v>0</v>
      </c>
    </row>
    <row r="982" customFormat="false" ht="15" hidden="false" customHeight="false" outlineLevel="0" collapsed="false">
      <c r="A982" s="27" t="s">
        <v>113</v>
      </c>
      <c r="B982" s="27" t="s">
        <v>110</v>
      </c>
      <c r="C982" s="27" t="s">
        <v>43</v>
      </c>
      <c r="D982" s="27" t="s">
        <v>49</v>
      </c>
      <c r="E982" s="28" t="n">
        <f aca="false">ROUND((SUMIFS(Acerto_Detalhado!$F$2:$F$433,Acerto_Detalhado!$A$2:$A$433,$C982,Acerto_Detalhado!$B$2:$B$433,"Mar",Acerto_Detalhado!$C$2:$C$433,"Umidade"))*(SUMIFS(Acerto_Detalhado!$I$2:$I$433,Acerto_Detalhado!$A$2:$A$433,$D982,Acerto_Detalhado!$B$2:$B$433,"Mar",Acerto_Detalhado!$C$2:$C$433,"Umidade")),2)</f>
        <v>0</v>
      </c>
    </row>
    <row r="983" customFormat="false" ht="15" hidden="false" customHeight="false" outlineLevel="0" collapsed="false">
      <c r="A983" s="27" t="s">
        <v>113</v>
      </c>
      <c r="B983" s="27" t="s">
        <v>110</v>
      </c>
      <c r="C983" s="27" t="s">
        <v>43</v>
      </c>
      <c r="D983" s="27" t="s">
        <v>50</v>
      </c>
      <c r="E983" s="28" t="n">
        <f aca="false">ROUND((SUMIFS(Acerto_Detalhado!$F$2:$F$433,Acerto_Detalhado!$A$2:$A$433,$C983,Acerto_Detalhado!$B$2:$B$433,"Mar",Acerto_Detalhado!$C$2:$C$433,"Umidade"))*(SUMIFS(Acerto_Detalhado!$I$2:$I$433,Acerto_Detalhado!$A$2:$A$433,$D983,Acerto_Detalhado!$B$2:$B$433,"Mar",Acerto_Detalhado!$C$2:$C$433,"Umidade")),2)</f>
        <v>0</v>
      </c>
    </row>
    <row r="984" customFormat="false" ht="15" hidden="false" customHeight="false" outlineLevel="0" collapsed="false">
      <c r="A984" s="27" t="s">
        <v>113</v>
      </c>
      <c r="B984" s="27" t="s">
        <v>110</v>
      </c>
      <c r="C984" s="27" t="s">
        <v>44</v>
      </c>
      <c r="D984" s="27" t="s">
        <v>39</v>
      </c>
      <c r="E984" s="28" t="n">
        <f aca="false">ROUND((SUMIFS(Acerto_Detalhado!$F$2:$F$433,Acerto_Detalhado!$A$2:$A$433,$C984,Acerto_Detalhado!$B$2:$B$433,"Mar",Acerto_Detalhado!$C$2:$C$433,"Umidade"))*(SUMIFS(Acerto_Detalhado!$I$2:$I$433,Acerto_Detalhado!$A$2:$A$433,$D984,Acerto_Detalhado!$B$2:$B$433,"Mar",Acerto_Detalhado!$C$2:$C$433,"Umidade")),2)</f>
        <v>0</v>
      </c>
    </row>
    <row r="985" customFormat="false" ht="15" hidden="false" customHeight="false" outlineLevel="0" collapsed="false">
      <c r="A985" s="27" t="s">
        <v>113</v>
      </c>
      <c r="B985" s="27" t="s">
        <v>110</v>
      </c>
      <c r="C985" s="27" t="s">
        <v>44</v>
      </c>
      <c r="D985" s="27" t="s">
        <v>40</v>
      </c>
      <c r="E985" s="28" t="n">
        <f aca="false">ROUND((SUMIFS(Acerto_Detalhado!$F$2:$F$433,Acerto_Detalhado!$A$2:$A$433,$C985,Acerto_Detalhado!$B$2:$B$433,"Mar",Acerto_Detalhado!$C$2:$C$433,"Umidade"))*(SUMIFS(Acerto_Detalhado!$I$2:$I$433,Acerto_Detalhado!$A$2:$A$433,$D985,Acerto_Detalhado!$B$2:$B$433,"Mar",Acerto_Detalhado!$C$2:$C$433,"Umidade")),2)</f>
        <v>0</v>
      </c>
    </row>
    <row r="986" customFormat="false" ht="15" hidden="false" customHeight="false" outlineLevel="0" collapsed="false">
      <c r="A986" s="27" t="s">
        <v>113</v>
      </c>
      <c r="B986" s="27" t="s">
        <v>110</v>
      </c>
      <c r="C986" s="27" t="s">
        <v>44</v>
      </c>
      <c r="D986" s="27" t="s">
        <v>41</v>
      </c>
      <c r="E986" s="28" t="n">
        <f aca="false">ROUND((SUMIFS(Acerto_Detalhado!$F$2:$F$433,Acerto_Detalhado!$A$2:$A$433,$C986,Acerto_Detalhado!$B$2:$B$433,"Mar",Acerto_Detalhado!$C$2:$C$433,"Umidade"))*(SUMIFS(Acerto_Detalhado!$I$2:$I$433,Acerto_Detalhado!$A$2:$A$433,$D986,Acerto_Detalhado!$B$2:$B$433,"Mar",Acerto_Detalhado!$C$2:$C$433,"Umidade")),2)</f>
        <v>0</v>
      </c>
    </row>
    <row r="987" customFormat="false" ht="15" hidden="false" customHeight="false" outlineLevel="0" collapsed="false">
      <c r="A987" s="27" t="s">
        <v>113</v>
      </c>
      <c r="B987" s="27" t="s">
        <v>110</v>
      </c>
      <c r="C987" s="27" t="s">
        <v>44</v>
      </c>
      <c r="D987" s="27" t="s">
        <v>42</v>
      </c>
      <c r="E987" s="28" t="n">
        <f aca="false">ROUND((SUMIFS(Acerto_Detalhado!$F$2:$F$433,Acerto_Detalhado!$A$2:$A$433,$C987,Acerto_Detalhado!$B$2:$B$433,"Mar",Acerto_Detalhado!$C$2:$C$433,"Umidade"))*(SUMIFS(Acerto_Detalhado!$I$2:$I$433,Acerto_Detalhado!$A$2:$A$433,$D987,Acerto_Detalhado!$B$2:$B$433,"Mar",Acerto_Detalhado!$C$2:$C$433,"Umidade")),2)</f>
        <v>0</v>
      </c>
    </row>
    <row r="988" customFormat="false" ht="15" hidden="false" customHeight="false" outlineLevel="0" collapsed="false">
      <c r="A988" s="27" t="s">
        <v>113</v>
      </c>
      <c r="B988" s="27" t="s">
        <v>110</v>
      </c>
      <c r="C988" s="27" t="s">
        <v>44</v>
      </c>
      <c r="D988" s="27" t="s">
        <v>43</v>
      </c>
      <c r="E988" s="28" t="n">
        <f aca="false">ROUND((SUMIFS(Acerto_Detalhado!$F$2:$F$433,Acerto_Detalhado!$A$2:$A$433,$C988,Acerto_Detalhado!$B$2:$B$433,"Mar",Acerto_Detalhado!$C$2:$C$433,"Umidade"))*(SUMIFS(Acerto_Detalhado!$I$2:$I$433,Acerto_Detalhado!$A$2:$A$433,$D988,Acerto_Detalhado!$B$2:$B$433,"Mar",Acerto_Detalhado!$C$2:$C$433,"Umidade")),2)</f>
        <v>0</v>
      </c>
    </row>
    <row r="989" customFormat="false" ht="15" hidden="false" customHeight="false" outlineLevel="0" collapsed="false">
      <c r="A989" s="27" t="s">
        <v>113</v>
      </c>
      <c r="B989" s="27" t="s">
        <v>110</v>
      </c>
      <c r="C989" s="27" t="s">
        <v>44</v>
      </c>
      <c r="D989" s="27" t="s">
        <v>45</v>
      </c>
      <c r="E989" s="28" t="n">
        <f aca="false">ROUND((SUMIFS(Acerto_Detalhado!$F$2:$F$433,Acerto_Detalhado!$A$2:$A$433,$C989,Acerto_Detalhado!$B$2:$B$433,"Mar",Acerto_Detalhado!$C$2:$C$433,"Umidade"))*(SUMIFS(Acerto_Detalhado!$I$2:$I$433,Acerto_Detalhado!$A$2:$A$433,$D989,Acerto_Detalhado!$B$2:$B$433,"Mar",Acerto_Detalhado!$C$2:$C$433,"Umidade")),2)</f>
        <v>0</v>
      </c>
    </row>
    <row r="990" customFormat="false" ht="15" hidden="false" customHeight="false" outlineLevel="0" collapsed="false">
      <c r="A990" s="27" t="s">
        <v>113</v>
      </c>
      <c r="B990" s="27" t="s">
        <v>110</v>
      </c>
      <c r="C990" s="27" t="s">
        <v>44</v>
      </c>
      <c r="D990" s="27" t="s">
        <v>46</v>
      </c>
      <c r="E990" s="28" t="n">
        <f aca="false">ROUND((SUMIFS(Acerto_Detalhado!$F$2:$F$433,Acerto_Detalhado!$A$2:$A$433,$C990,Acerto_Detalhado!$B$2:$B$433,"Mar",Acerto_Detalhado!$C$2:$C$433,"Umidade"))*(SUMIFS(Acerto_Detalhado!$I$2:$I$433,Acerto_Detalhado!$A$2:$A$433,$D990,Acerto_Detalhado!$B$2:$B$433,"Mar",Acerto_Detalhado!$C$2:$C$433,"Umidade")),2)</f>
        <v>0</v>
      </c>
    </row>
    <row r="991" customFormat="false" ht="15" hidden="false" customHeight="false" outlineLevel="0" collapsed="false">
      <c r="A991" s="27" t="s">
        <v>113</v>
      </c>
      <c r="B991" s="27" t="s">
        <v>110</v>
      </c>
      <c r="C991" s="27" t="s">
        <v>44</v>
      </c>
      <c r="D991" s="27" t="s">
        <v>47</v>
      </c>
      <c r="E991" s="28" t="n">
        <f aca="false">ROUND((SUMIFS(Acerto_Detalhado!$F$2:$F$433,Acerto_Detalhado!$A$2:$A$433,$C991,Acerto_Detalhado!$B$2:$B$433,"Mar",Acerto_Detalhado!$C$2:$C$433,"Umidade"))*(SUMIFS(Acerto_Detalhado!$I$2:$I$433,Acerto_Detalhado!$A$2:$A$433,$D991,Acerto_Detalhado!$B$2:$B$433,"Mar",Acerto_Detalhado!$C$2:$C$433,"Umidade")),2)</f>
        <v>0</v>
      </c>
    </row>
    <row r="992" customFormat="false" ht="15" hidden="false" customHeight="false" outlineLevel="0" collapsed="false">
      <c r="A992" s="27" t="s">
        <v>113</v>
      </c>
      <c r="B992" s="27" t="s">
        <v>110</v>
      </c>
      <c r="C992" s="27" t="s">
        <v>44</v>
      </c>
      <c r="D992" s="27" t="s">
        <v>48</v>
      </c>
      <c r="E992" s="28" t="n">
        <f aca="false">ROUND((SUMIFS(Acerto_Detalhado!$F$2:$F$433,Acerto_Detalhado!$A$2:$A$433,$C992,Acerto_Detalhado!$B$2:$B$433,"Mar",Acerto_Detalhado!$C$2:$C$433,"Umidade"))*(SUMIFS(Acerto_Detalhado!$I$2:$I$433,Acerto_Detalhado!$A$2:$A$433,$D992,Acerto_Detalhado!$B$2:$B$433,"Mar",Acerto_Detalhado!$C$2:$C$433,"Umidade")),2)</f>
        <v>0</v>
      </c>
    </row>
    <row r="993" customFormat="false" ht="15" hidden="false" customHeight="false" outlineLevel="0" collapsed="false">
      <c r="A993" s="27" t="s">
        <v>113</v>
      </c>
      <c r="B993" s="27" t="s">
        <v>110</v>
      </c>
      <c r="C993" s="27" t="s">
        <v>44</v>
      </c>
      <c r="D993" s="27" t="s">
        <v>49</v>
      </c>
      <c r="E993" s="28" t="n">
        <f aca="false">ROUND((SUMIFS(Acerto_Detalhado!$F$2:$F$433,Acerto_Detalhado!$A$2:$A$433,$C993,Acerto_Detalhado!$B$2:$B$433,"Mar",Acerto_Detalhado!$C$2:$C$433,"Umidade"))*(SUMIFS(Acerto_Detalhado!$I$2:$I$433,Acerto_Detalhado!$A$2:$A$433,$D993,Acerto_Detalhado!$B$2:$B$433,"Mar",Acerto_Detalhado!$C$2:$C$433,"Umidade")),2)</f>
        <v>0</v>
      </c>
    </row>
    <row r="994" customFormat="false" ht="15" hidden="false" customHeight="false" outlineLevel="0" collapsed="false">
      <c r="A994" s="27" t="s">
        <v>113</v>
      </c>
      <c r="B994" s="27" t="s">
        <v>110</v>
      </c>
      <c r="C994" s="27" t="s">
        <v>44</v>
      </c>
      <c r="D994" s="27" t="s">
        <v>50</v>
      </c>
      <c r="E994" s="28" t="n">
        <f aca="false">ROUND((SUMIFS(Acerto_Detalhado!$F$2:$F$433,Acerto_Detalhado!$A$2:$A$433,$C994,Acerto_Detalhado!$B$2:$B$433,"Mar",Acerto_Detalhado!$C$2:$C$433,"Umidade"))*(SUMIFS(Acerto_Detalhado!$I$2:$I$433,Acerto_Detalhado!$A$2:$A$433,$D994,Acerto_Detalhado!$B$2:$B$433,"Mar",Acerto_Detalhado!$C$2:$C$433,"Umidade")),2)</f>
        <v>0</v>
      </c>
    </row>
    <row r="995" customFormat="false" ht="15" hidden="false" customHeight="false" outlineLevel="0" collapsed="false">
      <c r="A995" s="27" t="s">
        <v>113</v>
      </c>
      <c r="B995" s="27" t="s">
        <v>110</v>
      </c>
      <c r="C995" s="27" t="s">
        <v>45</v>
      </c>
      <c r="D995" s="27" t="s">
        <v>39</v>
      </c>
      <c r="E995" s="28" t="n">
        <f aca="false">ROUND((SUMIFS(Acerto_Detalhado!$F$2:$F$433,Acerto_Detalhado!$A$2:$A$433,$C995,Acerto_Detalhado!$B$2:$B$433,"Mar",Acerto_Detalhado!$C$2:$C$433,"Umidade"))*(SUMIFS(Acerto_Detalhado!$I$2:$I$433,Acerto_Detalhado!$A$2:$A$433,$D995,Acerto_Detalhado!$B$2:$B$433,"Mar",Acerto_Detalhado!$C$2:$C$433,"Umidade")),2)</f>
        <v>0</v>
      </c>
    </row>
    <row r="996" customFormat="false" ht="15" hidden="false" customHeight="false" outlineLevel="0" collapsed="false">
      <c r="A996" s="27" t="s">
        <v>113</v>
      </c>
      <c r="B996" s="27" t="s">
        <v>110</v>
      </c>
      <c r="C996" s="27" t="s">
        <v>45</v>
      </c>
      <c r="D996" s="27" t="s">
        <v>40</v>
      </c>
      <c r="E996" s="28" t="n">
        <f aca="false">ROUND((SUMIFS(Acerto_Detalhado!$F$2:$F$433,Acerto_Detalhado!$A$2:$A$433,$C996,Acerto_Detalhado!$B$2:$B$433,"Mar",Acerto_Detalhado!$C$2:$C$433,"Umidade"))*(SUMIFS(Acerto_Detalhado!$I$2:$I$433,Acerto_Detalhado!$A$2:$A$433,$D996,Acerto_Detalhado!$B$2:$B$433,"Mar",Acerto_Detalhado!$C$2:$C$433,"Umidade")),2)</f>
        <v>0</v>
      </c>
    </row>
    <row r="997" customFormat="false" ht="15" hidden="false" customHeight="false" outlineLevel="0" collapsed="false">
      <c r="A997" s="27" t="s">
        <v>113</v>
      </c>
      <c r="B997" s="27" t="s">
        <v>110</v>
      </c>
      <c r="C997" s="27" t="s">
        <v>45</v>
      </c>
      <c r="D997" s="27" t="s">
        <v>41</v>
      </c>
      <c r="E997" s="28" t="n">
        <f aca="false">ROUND((SUMIFS(Acerto_Detalhado!$F$2:$F$433,Acerto_Detalhado!$A$2:$A$433,$C997,Acerto_Detalhado!$B$2:$B$433,"Mar",Acerto_Detalhado!$C$2:$C$433,"Umidade"))*(SUMIFS(Acerto_Detalhado!$I$2:$I$433,Acerto_Detalhado!$A$2:$A$433,$D997,Acerto_Detalhado!$B$2:$B$433,"Mar",Acerto_Detalhado!$C$2:$C$433,"Umidade")),2)</f>
        <v>0</v>
      </c>
    </row>
    <row r="998" customFormat="false" ht="15" hidden="false" customHeight="false" outlineLevel="0" collapsed="false">
      <c r="A998" s="27" t="s">
        <v>113</v>
      </c>
      <c r="B998" s="27" t="s">
        <v>110</v>
      </c>
      <c r="C998" s="27" t="s">
        <v>45</v>
      </c>
      <c r="D998" s="27" t="s">
        <v>42</v>
      </c>
      <c r="E998" s="28" t="n">
        <f aca="false">ROUND((SUMIFS(Acerto_Detalhado!$F$2:$F$433,Acerto_Detalhado!$A$2:$A$433,$C998,Acerto_Detalhado!$B$2:$B$433,"Mar",Acerto_Detalhado!$C$2:$C$433,"Umidade"))*(SUMIFS(Acerto_Detalhado!$I$2:$I$433,Acerto_Detalhado!$A$2:$A$433,$D998,Acerto_Detalhado!$B$2:$B$433,"Mar",Acerto_Detalhado!$C$2:$C$433,"Umidade")),2)</f>
        <v>0</v>
      </c>
    </row>
    <row r="999" customFormat="false" ht="15" hidden="false" customHeight="false" outlineLevel="0" collapsed="false">
      <c r="A999" s="27" t="s">
        <v>113</v>
      </c>
      <c r="B999" s="27" t="s">
        <v>110</v>
      </c>
      <c r="C999" s="27" t="s">
        <v>45</v>
      </c>
      <c r="D999" s="27" t="s">
        <v>43</v>
      </c>
      <c r="E999" s="28" t="n">
        <f aca="false">ROUND((SUMIFS(Acerto_Detalhado!$F$2:$F$433,Acerto_Detalhado!$A$2:$A$433,$C999,Acerto_Detalhado!$B$2:$B$433,"Mar",Acerto_Detalhado!$C$2:$C$433,"Umidade"))*(SUMIFS(Acerto_Detalhado!$I$2:$I$433,Acerto_Detalhado!$A$2:$A$433,$D999,Acerto_Detalhado!$B$2:$B$433,"Mar",Acerto_Detalhado!$C$2:$C$433,"Umidade")),2)</f>
        <v>0</v>
      </c>
    </row>
    <row r="1000" customFormat="false" ht="15" hidden="false" customHeight="false" outlineLevel="0" collapsed="false">
      <c r="A1000" s="27" t="s">
        <v>113</v>
      </c>
      <c r="B1000" s="27" t="s">
        <v>110</v>
      </c>
      <c r="C1000" s="27" t="s">
        <v>45</v>
      </c>
      <c r="D1000" s="27" t="s">
        <v>44</v>
      </c>
      <c r="E1000" s="28" t="n">
        <f aca="false">ROUND((SUMIFS(Acerto_Detalhado!$F$2:$F$433,Acerto_Detalhado!$A$2:$A$433,$C1000,Acerto_Detalhado!$B$2:$B$433,"Mar",Acerto_Detalhado!$C$2:$C$433,"Umidade"))*(SUMIFS(Acerto_Detalhado!$I$2:$I$433,Acerto_Detalhado!$A$2:$A$433,$D1000,Acerto_Detalhado!$B$2:$B$433,"Mar",Acerto_Detalhado!$C$2:$C$433,"Umidade")),2)</f>
        <v>0</v>
      </c>
    </row>
    <row r="1001" customFormat="false" ht="15" hidden="false" customHeight="false" outlineLevel="0" collapsed="false">
      <c r="A1001" s="27" t="s">
        <v>113</v>
      </c>
      <c r="B1001" s="27" t="s">
        <v>110</v>
      </c>
      <c r="C1001" s="27" t="s">
        <v>45</v>
      </c>
      <c r="D1001" s="27" t="s">
        <v>46</v>
      </c>
      <c r="E1001" s="28" t="n">
        <f aca="false">ROUND((SUMIFS(Acerto_Detalhado!$F$2:$F$433,Acerto_Detalhado!$A$2:$A$433,$C1001,Acerto_Detalhado!$B$2:$B$433,"Mar",Acerto_Detalhado!$C$2:$C$433,"Umidade"))*(SUMIFS(Acerto_Detalhado!$I$2:$I$433,Acerto_Detalhado!$A$2:$A$433,$D1001,Acerto_Detalhado!$B$2:$B$433,"Mar",Acerto_Detalhado!$C$2:$C$433,"Umidade")),2)</f>
        <v>0</v>
      </c>
    </row>
    <row r="1002" customFormat="false" ht="15" hidden="false" customHeight="false" outlineLevel="0" collapsed="false">
      <c r="A1002" s="27" t="s">
        <v>113</v>
      </c>
      <c r="B1002" s="27" t="s">
        <v>110</v>
      </c>
      <c r="C1002" s="27" t="s">
        <v>45</v>
      </c>
      <c r="D1002" s="27" t="s">
        <v>47</v>
      </c>
      <c r="E1002" s="28" t="n">
        <f aca="false">ROUND((SUMIFS(Acerto_Detalhado!$F$2:$F$433,Acerto_Detalhado!$A$2:$A$433,$C1002,Acerto_Detalhado!$B$2:$B$433,"Mar",Acerto_Detalhado!$C$2:$C$433,"Umidade"))*(SUMIFS(Acerto_Detalhado!$I$2:$I$433,Acerto_Detalhado!$A$2:$A$433,$D1002,Acerto_Detalhado!$B$2:$B$433,"Mar",Acerto_Detalhado!$C$2:$C$433,"Umidade")),2)</f>
        <v>0</v>
      </c>
    </row>
    <row r="1003" customFormat="false" ht="15" hidden="false" customHeight="false" outlineLevel="0" collapsed="false">
      <c r="A1003" s="27" t="s">
        <v>113</v>
      </c>
      <c r="B1003" s="27" t="s">
        <v>110</v>
      </c>
      <c r="C1003" s="27" t="s">
        <v>45</v>
      </c>
      <c r="D1003" s="27" t="s">
        <v>48</v>
      </c>
      <c r="E1003" s="28" t="n">
        <f aca="false">ROUND((SUMIFS(Acerto_Detalhado!$F$2:$F$433,Acerto_Detalhado!$A$2:$A$433,$C1003,Acerto_Detalhado!$B$2:$B$433,"Mar",Acerto_Detalhado!$C$2:$C$433,"Umidade"))*(SUMIFS(Acerto_Detalhado!$I$2:$I$433,Acerto_Detalhado!$A$2:$A$433,$D1003,Acerto_Detalhado!$B$2:$B$433,"Mar",Acerto_Detalhado!$C$2:$C$433,"Umidade")),2)</f>
        <v>0</v>
      </c>
    </row>
    <row r="1004" customFormat="false" ht="15" hidden="false" customHeight="false" outlineLevel="0" collapsed="false">
      <c r="A1004" s="27" t="s">
        <v>113</v>
      </c>
      <c r="B1004" s="27" t="s">
        <v>110</v>
      </c>
      <c r="C1004" s="27" t="s">
        <v>45</v>
      </c>
      <c r="D1004" s="27" t="s">
        <v>49</v>
      </c>
      <c r="E1004" s="28" t="n">
        <f aca="false">ROUND((SUMIFS(Acerto_Detalhado!$F$2:$F$433,Acerto_Detalhado!$A$2:$A$433,$C1004,Acerto_Detalhado!$B$2:$B$433,"Mar",Acerto_Detalhado!$C$2:$C$433,"Umidade"))*(SUMIFS(Acerto_Detalhado!$I$2:$I$433,Acerto_Detalhado!$A$2:$A$433,$D1004,Acerto_Detalhado!$B$2:$B$433,"Mar",Acerto_Detalhado!$C$2:$C$433,"Umidade")),2)</f>
        <v>0</v>
      </c>
    </row>
    <row r="1005" customFormat="false" ht="15" hidden="false" customHeight="false" outlineLevel="0" collapsed="false">
      <c r="A1005" s="27" t="s">
        <v>113</v>
      </c>
      <c r="B1005" s="27" t="s">
        <v>110</v>
      </c>
      <c r="C1005" s="27" t="s">
        <v>45</v>
      </c>
      <c r="D1005" s="27" t="s">
        <v>50</v>
      </c>
      <c r="E1005" s="28" t="n">
        <f aca="false">ROUND((SUMIFS(Acerto_Detalhado!$F$2:$F$433,Acerto_Detalhado!$A$2:$A$433,$C1005,Acerto_Detalhado!$B$2:$B$433,"Mar",Acerto_Detalhado!$C$2:$C$433,"Umidade"))*(SUMIFS(Acerto_Detalhado!$I$2:$I$433,Acerto_Detalhado!$A$2:$A$433,$D1005,Acerto_Detalhado!$B$2:$B$433,"Mar",Acerto_Detalhado!$C$2:$C$433,"Umidade")),2)</f>
        <v>0</v>
      </c>
    </row>
    <row r="1006" customFormat="false" ht="15" hidden="false" customHeight="false" outlineLevel="0" collapsed="false">
      <c r="A1006" s="27" t="s">
        <v>113</v>
      </c>
      <c r="B1006" s="27" t="s">
        <v>110</v>
      </c>
      <c r="C1006" s="27" t="s">
        <v>46</v>
      </c>
      <c r="D1006" s="27" t="s">
        <v>39</v>
      </c>
      <c r="E1006" s="28" t="n">
        <f aca="false">ROUND((SUMIFS(Acerto_Detalhado!$F$2:$F$433,Acerto_Detalhado!$A$2:$A$433,$C1006,Acerto_Detalhado!$B$2:$B$433,"Mar",Acerto_Detalhado!$C$2:$C$433,"Umidade"))*(SUMIFS(Acerto_Detalhado!$I$2:$I$433,Acerto_Detalhado!$A$2:$A$433,$D1006,Acerto_Detalhado!$B$2:$B$433,"Mar",Acerto_Detalhado!$C$2:$C$433,"Umidade")),2)</f>
        <v>0</v>
      </c>
    </row>
    <row r="1007" customFormat="false" ht="15" hidden="false" customHeight="false" outlineLevel="0" collapsed="false">
      <c r="A1007" s="27" t="s">
        <v>113</v>
      </c>
      <c r="B1007" s="27" t="s">
        <v>110</v>
      </c>
      <c r="C1007" s="27" t="s">
        <v>46</v>
      </c>
      <c r="D1007" s="27" t="s">
        <v>40</v>
      </c>
      <c r="E1007" s="28" t="n">
        <f aca="false">ROUND((SUMIFS(Acerto_Detalhado!$F$2:$F$433,Acerto_Detalhado!$A$2:$A$433,$C1007,Acerto_Detalhado!$B$2:$B$433,"Mar",Acerto_Detalhado!$C$2:$C$433,"Umidade"))*(SUMIFS(Acerto_Detalhado!$I$2:$I$433,Acerto_Detalhado!$A$2:$A$433,$D1007,Acerto_Detalhado!$B$2:$B$433,"Mar",Acerto_Detalhado!$C$2:$C$433,"Umidade")),2)</f>
        <v>0</v>
      </c>
    </row>
    <row r="1008" customFormat="false" ht="15" hidden="false" customHeight="false" outlineLevel="0" collapsed="false">
      <c r="A1008" s="27" t="s">
        <v>113</v>
      </c>
      <c r="B1008" s="27" t="s">
        <v>110</v>
      </c>
      <c r="C1008" s="27" t="s">
        <v>46</v>
      </c>
      <c r="D1008" s="27" t="s">
        <v>41</v>
      </c>
      <c r="E1008" s="28" t="n">
        <f aca="false">ROUND((SUMIFS(Acerto_Detalhado!$F$2:$F$433,Acerto_Detalhado!$A$2:$A$433,$C1008,Acerto_Detalhado!$B$2:$B$433,"Mar",Acerto_Detalhado!$C$2:$C$433,"Umidade"))*(SUMIFS(Acerto_Detalhado!$I$2:$I$433,Acerto_Detalhado!$A$2:$A$433,$D1008,Acerto_Detalhado!$B$2:$B$433,"Mar",Acerto_Detalhado!$C$2:$C$433,"Umidade")),2)</f>
        <v>0</v>
      </c>
    </row>
    <row r="1009" customFormat="false" ht="15" hidden="false" customHeight="false" outlineLevel="0" collapsed="false">
      <c r="A1009" s="27" t="s">
        <v>113</v>
      </c>
      <c r="B1009" s="27" t="s">
        <v>110</v>
      </c>
      <c r="C1009" s="27" t="s">
        <v>46</v>
      </c>
      <c r="D1009" s="27" t="s">
        <v>42</v>
      </c>
      <c r="E1009" s="28" t="n">
        <f aca="false">ROUND((SUMIFS(Acerto_Detalhado!$F$2:$F$433,Acerto_Detalhado!$A$2:$A$433,$C1009,Acerto_Detalhado!$B$2:$B$433,"Mar",Acerto_Detalhado!$C$2:$C$433,"Umidade"))*(SUMIFS(Acerto_Detalhado!$I$2:$I$433,Acerto_Detalhado!$A$2:$A$433,$D1009,Acerto_Detalhado!$B$2:$B$433,"Mar",Acerto_Detalhado!$C$2:$C$433,"Umidade")),2)</f>
        <v>0</v>
      </c>
    </row>
    <row r="1010" customFormat="false" ht="15" hidden="false" customHeight="false" outlineLevel="0" collapsed="false">
      <c r="A1010" s="27" t="s">
        <v>113</v>
      </c>
      <c r="B1010" s="27" t="s">
        <v>110</v>
      </c>
      <c r="C1010" s="27" t="s">
        <v>46</v>
      </c>
      <c r="D1010" s="27" t="s">
        <v>43</v>
      </c>
      <c r="E1010" s="28" t="n">
        <f aca="false">ROUND((SUMIFS(Acerto_Detalhado!$F$2:$F$433,Acerto_Detalhado!$A$2:$A$433,$C1010,Acerto_Detalhado!$B$2:$B$433,"Mar",Acerto_Detalhado!$C$2:$C$433,"Umidade"))*(SUMIFS(Acerto_Detalhado!$I$2:$I$433,Acerto_Detalhado!$A$2:$A$433,$D1010,Acerto_Detalhado!$B$2:$B$433,"Mar",Acerto_Detalhado!$C$2:$C$433,"Umidade")),2)</f>
        <v>0</v>
      </c>
    </row>
    <row r="1011" customFormat="false" ht="15" hidden="false" customHeight="false" outlineLevel="0" collapsed="false">
      <c r="A1011" s="27" t="s">
        <v>113</v>
      </c>
      <c r="B1011" s="27" t="s">
        <v>110</v>
      </c>
      <c r="C1011" s="27" t="s">
        <v>46</v>
      </c>
      <c r="D1011" s="27" t="s">
        <v>44</v>
      </c>
      <c r="E1011" s="28" t="n">
        <f aca="false">ROUND((SUMIFS(Acerto_Detalhado!$F$2:$F$433,Acerto_Detalhado!$A$2:$A$433,$C1011,Acerto_Detalhado!$B$2:$B$433,"Mar",Acerto_Detalhado!$C$2:$C$433,"Umidade"))*(SUMIFS(Acerto_Detalhado!$I$2:$I$433,Acerto_Detalhado!$A$2:$A$433,$D1011,Acerto_Detalhado!$B$2:$B$433,"Mar",Acerto_Detalhado!$C$2:$C$433,"Umidade")),2)</f>
        <v>0</v>
      </c>
    </row>
    <row r="1012" customFormat="false" ht="15" hidden="false" customHeight="false" outlineLevel="0" collapsed="false">
      <c r="A1012" s="27" t="s">
        <v>113</v>
      </c>
      <c r="B1012" s="27" t="s">
        <v>110</v>
      </c>
      <c r="C1012" s="27" t="s">
        <v>46</v>
      </c>
      <c r="D1012" s="27" t="s">
        <v>45</v>
      </c>
      <c r="E1012" s="28" t="n">
        <f aca="false">ROUND((SUMIFS(Acerto_Detalhado!$F$2:$F$433,Acerto_Detalhado!$A$2:$A$433,$C1012,Acerto_Detalhado!$B$2:$B$433,"Mar",Acerto_Detalhado!$C$2:$C$433,"Umidade"))*(SUMIFS(Acerto_Detalhado!$I$2:$I$433,Acerto_Detalhado!$A$2:$A$433,$D1012,Acerto_Detalhado!$B$2:$B$433,"Mar",Acerto_Detalhado!$C$2:$C$433,"Umidade")),2)</f>
        <v>0</v>
      </c>
    </row>
    <row r="1013" customFormat="false" ht="15" hidden="false" customHeight="false" outlineLevel="0" collapsed="false">
      <c r="A1013" s="27" t="s">
        <v>113</v>
      </c>
      <c r="B1013" s="27" t="s">
        <v>110</v>
      </c>
      <c r="C1013" s="27" t="s">
        <v>46</v>
      </c>
      <c r="D1013" s="27" t="s">
        <v>47</v>
      </c>
      <c r="E1013" s="28" t="n">
        <f aca="false">ROUND((SUMIFS(Acerto_Detalhado!$F$2:$F$433,Acerto_Detalhado!$A$2:$A$433,$C1013,Acerto_Detalhado!$B$2:$B$433,"Mar",Acerto_Detalhado!$C$2:$C$433,"Umidade"))*(SUMIFS(Acerto_Detalhado!$I$2:$I$433,Acerto_Detalhado!$A$2:$A$433,$D1013,Acerto_Detalhado!$B$2:$B$433,"Mar",Acerto_Detalhado!$C$2:$C$433,"Umidade")),2)</f>
        <v>0</v>
      </c>
    </row>
    <row r="1014" customFormat="false" ht="15" hidden="false" customHeight="false" outlineLevel="0" collapsed="false">
      <c r="A1014" s="27" t="s">
        <v>113</v>
      </c>
      <c r="B1014" s="27" t="s">
        <v>110</v>
      </c>
      <c r="C1014" s="27" t="s">
        <v>46</v>
      </c>
      <c r="D1014" s="27" t="s">
        <v>48</v>
      </c>
      <c r="E1014" s="28" t="n">
        <f aca="false">ROUND((SUMIFS(Acerto_Detalhado!$F$2:$F$433,Acerto_Detalhado!$A$2:$A$433,$C1014,Acerto_Detalhado!$B$2:$B$433,"Mar",Acerto_Detalhado!$C$2:$C$433,"Umidade"))*(SUMIFS(Acerto_Detalhado!$I$2:$I$433,Acerto_Detalhado!$A$2:$A$433,$D1014,Acerto_Detalhado!$B$2:$B$433,"Mar",Acerto_Detalhado!$C$2:$C$433,"Umidade")),2)</f>
        <v>0</v>
      </c>
    </row>
    <row r="1015" customFormat="false" ht="15" hidden="false" customHeight="false" outlineLevel="0" collapsed="false">
      <c r="A1015" s="27" t="s">
        <v>113</v>
      </c>
      <c r="B1015" s="27" t="s">
        <v>110</v>
      </c>
      <c r="C1015" s="27" t="s">
        <v>46</v>
      </c>
      <c r="D1015" s="27" t="s">
        <v>49</v>
      </c>
      <c r="E1015" s="28" t="n">
        <f aca="false">ROUND((SUMIFS(Acerto_Detalhado!$F$2:$F$433,Acerto_Detalhado!$A$2:$A$433,$C1015,Acerto_Detalhado!$B$2:$B$433,"Mar",Acerto_Detalhado!$C$2:$C$433,"Umidade"))*(SUMIFS(Acerto_Detalhado!$I$2:$I$433,Acerto_Detalhado!$A$2:$A$433,$D1015,Acerto_Detalhado!$B$2:$B$433,"Mar",Acerto_Detalhado!$C$2:$C$433,"Umidade")),2)</f>
        <v>0</v>
      </c>
    </row>
    <row r="1016" customFormat="false" ht="15" hidden="false" customHeight="false" outlineLevel="0" collapsed="false">
      <c r="A1016" s="27" t="s">
        <v>113</v>
      </c>
      <c r="B1016" s="27" t="s">
        <v>110</v>
      </c>
      <c r="C1016" s="27" t="s">
        <v>46</v>
      </c>
      <c r="D1016" s="27" t="s">
        <v>50</v>
      </c>
      <c r="E1016" s="28" t="n">
        <f aca="false">ROUND((SUMIFS(Acerto_Detalhado!$F$2:$F$433,Acerto_Detalhado!$A$2:$A$433,$C1016,Acerto_Detalhado!$B$2:$B$433,"Mar",Acerto_Detalhado!$C$2:$C$433,"Umidade"))*(SUMIFS(Acerto_Detalhado!$I$2:$I$433,Acerto_Detalhado!$A$2:$A$433,$D1016,Acerto_Detalhado!$B$2:$B$433,"Mar",Acerto_Detalhado!$C$2:$C$433,"Umidade")),2)</f>
        <v>0</v>
      </c>
    </row>
    <row r="1017" customFormat="false" ht="15" hidden="false" customHeight="false" outlineLevel="0" collapsed="false">
      <c r="A1017" s="27" t="s">
        <v>113</v>
      </c>
      <c r="B1017" s="27" t="s">
        <v>110</v>
      </c>
      <c r="C1017" s="27" t="s">
        <v>47</v>
      </c>
      <c r="D1017" s="27" t="s">
        <v>39</v>
      </c>
      <c r="E1017" s="28" t="n">
        <f aca="false">ROUND((SUMIFS(Acerto_Detalhado!$F$2:$F$433,Acerto_Detalhado!$A$2:$A$433,$C1017,Acerto_Detalhado!$B$2:$B$433,"Mar",Acerto_Detalhado!$C$2:$C$433,"Umidade"))*(SUMIFS(Acerto_Detalhado!$I$2:$I$433,Acerto_Detalhado!$A$2:$A$433,$D1017,Acerto_Detalhado!$B$2:$B$433,"Mar",Acerto_Detalhado!$C$2:$C$433,"Umidade")),2)</f>
        <v>0</v>
      </c>
    </row>
    <row r="1018" customFormat="false" ht="15" hidden="false" customHeight="false" outlineLevel="0" collapsed="false">
      <c r="A1018" s="27" t="s">
        <v>113</v>
      </c>
      <c r="B1018" s="27" t="s">
        <v>110</v>
      </c>
      <c r="C1018" s="27" t="s">
        <v>47</v>
      </c>
      <c r="D1018" s="27" t="s">
        <v>40</v>
      </c>
      <c r="E1018" s="28" t="n">
        <f aca="false">ROUND((SUMIFS(Acerto_Detalhado!$F$2:$F$433,Acerto_Detalhado!$A$2:$A$433,$C1018,Acerto_Detalhado!$B$2:$B$433,"Mar",Acerto_Detalhado!$C$2:$C$433,"Umidade"))*(SUMIFS(Acerto_Detalhado!$I$2:$I$433,Acerto_Detalhado!$A$2:$A$433,$D1018,Acerto_Detalhado!$B$2:$B$433,"Mar",Acerto_Detalhado!$C$2:$C$433,"Umidade")),2)</f>
        <v>0</v>
      </c>
    </row>
    <row r="1019" customFormat="false" ht="15" hidden="false" customHeight="false" outlineLevel="0" collapsed="false">
      <c r="A1019" s="27" t="s">
        <v>113</v>
      </c>
      <c r="B1019" s="27" t="s">
        <v>110</v>
      </c>
      <c r="C1019" s="27" t="s">
        <v>47</v>
      </c>
      <c r="D1019" s="27" t="s">
        <v>41</v>
      </c>
      <c r="E1019" s="28" t="n">
        <f aca="false">ROUND((SUMIFS(Acerto_Detalhado!$F$2:$F$433,Acerto_Detalhado!$A$2:$A$433,$C1019,Acerto_Detalhado!$B$2:$B$433,"Mar",Acerto_Detalhado!$C$2:$C$433,"Umidade"))*(SUMIFS(Acerto_Detalhado!$I$2:$I$433,Acerto_Detalhado!$A$2:$A$433,$D1019,Acerto_Detalhado!$B$2:$B$433,"Mar",Acerto_Detalhado!$C$2:$C$433,"Umidade")),2)</f>
        <v>0</v>
      </c>
    </row>
    <row r="1020" customFormat="false" ht="15" hidden="false" customHeight="false" outlineLevel="0" collapsed="false">
      <c r="A1020" s="27" t="s">
        <v>113</v>
      </c>
      <c r="B1020" s="27" t="s">
        <v>110</v>
      </c>
      <c r="C1020" s="27" t="s">
        <v>47</v>
      </c>
      <c r="D1020" s="27" t="s">
        <v>42</v>
      </c>
      <c r="E1020" s="28" t="n">
        <f aca="false">ROUND((SUMIFS(Acerto_Detalhado!$F$2:$F$433,Acerto_Detalhado!$A$2:$A$433,$C1020,Acerto_Detalhado!$B$2:$B$433,"Mar",Acerto_Detalhado!$C$2:$C$433,"Umidade"))*(SUMIFS(Acerto_Detalhado!$I$2:$I$433,Acerto_Detalhado!$A$2:$A$433,$D1020,Acerto_Detalhado!$B$2:$B$433,"Mar",Acerto_Detalhado!$C$2:$C$433,"Umidade")),2)</f>
        <v>0</v>
      </c>
    </row>
    <row r="1021" customFormat="false" ht="15" hidden="false" customHeight="false" outlineLevel="0" collapsed="false">
      <c r="A1021" s="27" t="s">
        <v>113</v>
      </c>
      <c r="B1021" s="27" t="s">
        <v>110</v>
      </c>
      <c r="C1021" s="27" t="s">
        <v>47</v>
      </c>
      <c r="D1021" s="27" t="s">
        <v>43</v>
      </c>
      <c r="E1021" s="28" t="n">
        <f aca="false">ROUND((SUMIFS(Acerto_Detalhado!$F$2:$F$433,Acerto_Detalhado!$A$2:$A$433,$C1021,Acerto_Detalhado!$B$2:$B$433,"Mar",Acerto_Detalhado!$C$2:$C$433,"Umidade"))*(SUMIFS(Acerto_Detalhado!$I$2:$I$433,Acerto_Detalhado!$A$2:$A$433,$D1021,Acerto_Detalhado!$B$2:$B$433,"Mar",Acerto_Detalhado!$C$2:$C$433,"Umidade")),2)</f>
        <v>0</v>
      </c>
    </row>
    <row r="1022" customFormat="false" ht="15" hidden="false" customHeight="false" outlineLevel="0" collapsed="false">
      <c r="A1022" s="27" t="s">
        <v>113</v>
      </c>
      <c r="B1022" s="27" t="s">
        <v>110</v>
      </c>
      <c r="C1022" s="27" t="s">
        <v>47</v>
      </c>
      <c r="D1022" s="27" t="s">
        <v>44</v>
      </c>
      <c r="E1022" s="28" t="n">
        <f aca="false">ROUND((SUMIFS(Acerto_Detalhado!$F$2:$F$433,Acerto_Detalhado!$A$2:$A$433,$C1022,Acerto_Detalhado!$B$2:$B$433,"Mar",Acerto_Detalhado!$C$2:$C$433,"Umidade"))*(SUMIFS(Acerto_Detalhado!$I$2:$I$433,Acerto_Detalhado!$A$2:$A$433,$D1022,Acerto_Detalhado!$B$2:$B$433,"Mar",Acerto_Detalhado!$C$2:$C$433,"Umidade")),2)</f>
        <v>0</v>
      </c>
    </row>
    <row r="1023" customFormat="false" ht="15" hidden="false" customHeight="false" outlineLevel="0" collapsed="false">
      <c r="A1023" s="27" t="s">
        <v>113</v>
      </c>
      <c r="B1023" s="27" t="s">
        <v>110</v>
      </c>
      <c r="C1023" s="27" t="s">
        <v>47</v>
      </c>
      <c r="D1023" s="27" t="s">
        <v>45</v>
      </c>
      <c r="E1023" s="28" t="n">
        <f aca="false">ROUND((SUMIFS(Acerto_Detalhado!$F$2:$F$433,Acerto_Detalhado!$A$2:$A$433,$C1023,Acerto_Detalhado!$B$2:$B$433,"Mar",Acerto_Detalhado!$C$2:$C$433,"Umidade"))*(SUMIFS(Acerto_Detalhado!$I$2:$I$433,Acerto_Detalhado!$A$2:$A$433,$D1023,Acerto_Detalhado!$B$2:$B$433,"Mar",Acerto_Detalhado!$C$2:$C$433,"Umidade")),2)</f>
        <v>0</v>
      </c>
    </row>
    <row r="1024" customFormat="false" ht="15" hidden="false" customHeight="false" outlineLevel="0" collapsed="false">
      <c r="A1024" s="27" t="s">
        <v>113</v>
      </c>
      <c r="B1024" s="27" t="s">
        <v>110</v>
      </c>
      <c r="C1024" s="27" t="s">
        <v>47</v>
      </c>
      <c r="D1024" s="27" t="s">
        <v>46</v>
      </c>
      <c r="E1024" s="28" t="n">
        <f aca="false">ROUND((SUMIFS(Acerto_Detalhado!$F$2:$F$433,Acerto_Detalhado!$A$2:$A$433,$C1024,Acerto_Detalhado!$B$2:$B$433,"Mar",Acerto_Detalhado!$C$2:$C$433,"Umidade"))*(SUMIFS(Acerto_Detalhado!$I$2:$I$433,Acerto_Detalhado!$A$2:$A$433,$D1024,Acerto_Detalhado!$B$2:$B$433,"Mar",Acerto_Detalhado!$C$2:$C$433,"Umidade")),2)</f>
        <v>0</v>
      </c>
    </row>
    <row r="1025" customFormat="false" ht="15" hidden="false" customHeight="false" outlineLevel="0" collapsed="false">
      <c r="A1025" s="27" t="s">
        <v>113</v>
      </c>
      <c r="B1025" s="27" t="s">
        <v>110</v>
      </c>
      <c r="C1025" s="27" t="s">
        <v>47</v>
      </c>
      <c r="D1025" s="27" t="s">
        <v>48</v>
      </c>
      <c r="E1025" s="28" t="n">
        <f aca="false">ROUND((SUMIFS(Acerto_Detalhado!$F$2:$F$433,Acerto_Detalhado!$A$2:$A$433,$C1025,Acerto_Detalhado!$B$2:$B$433,"Mar",Acerto_Detalhado!$C$2:$C$433,"Umidade"))*(SUMIFS(Acerto_Detalhado!$I$2:$I$433,Acerto_Detalhado!$A$2:$A$433,$D1025,Acerto_Detalhado!$B$2:$B$433,"Mar",Acerto_Detalhado!$C$2:$C$433,"Umidade")),2)</f>
        <v>0</v>
      </c>
    </row>
    <row r="1026" customFormat="false" ht="15" hidden="false" customHeight="false" outlineLevel="0" collapsed="false">
      <c r="A1026" s="27" t="s">
        <v>113</v>
      </c>
      <c r="B1026" s="27" t="s">
        <v>110</v>
      </c>
      <c r="C1026" s="27" t="s">
        <v>47</v>
      </c>
      <c r="D1026" s="27" t="s">
        <v>49</v>
      </c>
      <c r="E1026" s="28" t="n">
        <f aca="false">ROUND((SUMIFS(Acerto_Detalhado!$F$2:$F$433,Acerto_Detalhado!$A$2:$A$433,$C1026,Acerto_Detalhado!$B$2:$B$433,"Mar",Acerto_Detalhado!$C$2:$C$433,"Umidade"))*(SUMIFS(Acerto_Detalhado!$I$2:$I$433,Acerto_Detalhado!$A$2:$A$433,$D1026,Acerto_Detalhado!$B$2:$B$433,"Mar",Acerto_Detalhado!$C$2:$C$433,"Umidade")),2)</f>
        <v>0</v>
      </c>
    </row>
    <row r="1027" customFormat="false" ht="15" hidden="false" customHeight="false" outlineLevel="0" collapsed="false">
      <c r="A1027" s="27" t="s">
        <v>113</v>
      </c>
      <c r="B1027" s="27" t="s">
        <v>110</v>
      </c>
      <c r="C1027" s="27" t="s">
        <v>47</v>
      </c>
      <c r="D1027" s="27" t="s">
        <v>50</v>
      </c>
      <c r="E1027" s="28" t="n">
        <f aca="false">ROUND((SUMIFS(Acerto_Detalhado!$F$2:$F$433,Acerto_Detalhado!$A$2:$A$433,$C1027,Acerto_Detalhado!$B$2:$B$433,"Mar",Acerto_Detalhado!$C$2:$C$433,"Umidade"))*(SUMIFS(Acerto_Detalhado!$I$2:$I$433,Acerto_Detalhado!$A$2:$A$433,$D1027,Acerto_Detalhado!$B$2:$B$433,"Mar",Acerto_Detalhado!$C$2:$C$433,"Umidade")),2)</f>
        <v>0</v>
      </c>
    </row>
    <row r="1028" customFormat="false" ht="15" hidden="false" customHeight="false" outlineLevel="0" collapsed="false">
      <c r="A1028" s="27" t="s">
        <v>113</v>
      </c>
      <c r="B1028" s="27" t="s">
        <v>110</v>
      </c>
      <c r="C1028" s="27" t="s">
        <v>48</v>
      </c>
      <c r="D1028" s="27" t="s">
        <v>39</v>
      </c>
      <c r="E1028" s="28" t="n">
        <f aca="false">ROUND((SUMIFS(Acerto_Detalhado!$F$2:$F$433,Acerto_Detalhado!$A$2:$A$433,$C1028,Acerto_Detalhado!$B$2:$B$433,"Mar",Acerto_Detalhado!$C$2:$C$433,"Umidade"))*(SUMIFS(Acerto_Detalhado!$I$2:$I$433,Acerto_Detalhado!$A$2:$A$433,$D1028,Acerto_Detalhado!$B$2:$B$433,"Mar",Acerto_Detalhado!$C$2:$C$433,"Umidade")),2)</f>
        <v>0</v>
      </c>
    </row>
    <row r="1029" customFormat="false" ht="15" hidden="false" customHeight="false" outlineLevel="0" collapsed="false">
      <c r="A1029" s="27" t="s">
        <v>113</v>
      </c>
      <c r="B1029" s="27" t="s">
        <v>110</v>
      </c>
      <c r="C1029" s="27" t="s">
        <v>48</v>
      </c>
      <c r="D1029" s="27" t="s">
        <v>40</v>
      </c>
      <c r="E1029" s="28" t="n">
        <f aca="false">ROUND((SUMIFS(Acerto_Detalhado!$F$2:$F$433,Acerto_Detalhado!$A$2:$A$433,$C1029,Acerto_Detalhado!$B$2:$B$433,"Mar",Acerto_Detalhado!$C$2:$C$433,"Umidade"))*(SUMIFS(Acerto_Detalhado!$I$2:$I$433,Acerto_Detalhado!$A$2:$A$433,$D1029,Acerto_Detalhado!$B$2:$B$433,"Mar",Acerto_Detalhado!$C$2:$C$433,"Umidade")),2)</f>
        <v>0</v>
      </c>
    </row>
    <row r="1030" customFormat="false" ht="15" hidden="false" customHeight="false" outlineLevel="0" collapsed="false">
      <c r="A1030" s="27" t="s">
        <v>113</v>
      </c>
      <c r="B1030" s="27" t="s">
        <v>110</v>
      </c>
      <c r="C1030" s="27" t="s">
        <v>48</v>
      </c>
      <c r="D1030" s="27" t="s">
        <v>41</v>
      </c>
      <c r="E1030" s="28" t="n">
        <f aca="false">ROUND((SUMIFS(Acerto_Detalhado!$F$2:$F$433,Acerto_Detalhado!$A$2:$A$433,$C1030,Acerto_Detalhado!$B$2:$B$433,"Mar",Acerto_Detalhado!$C$2:$C$433,"Umidade"))*(SUMIFS(Acerto_Detalhado!$I$2:$I$433,Acerto_Detalhado!$A$2:$A$433,$D1030,Acerto_Detalhado!$B$2:$B$433,"Mar",Acerto_Detalhado!$C$2:$C$433,"Umidade")),2)</f>
        <v>0</v>
      </c>
    </row>
    <row r="1031" customFormat="false" ht="15" hidden="false" customHeight="false" outlineLevel="0" collapsed="false">
      <c r="A1031" s="27" t="s">
        <v>113</v>
      </c>
      <c r="B1031" s="27" t="s">
        <v>110</v>
      </c>
      <c r="C1031" s="27" t="s">
        <v>48</v>
      </c>
      <c r="D1031" s="27" t="s">
        <v>42</v>
      </c>
      <c r="E1031" s="28" t="n">
        <f aca="false">ROUND((SUMIFS(Acerto_Detalhado!$F$2:$F$433,Acerto_Detalhado!$A$2:$A$433,$C1031,Acerto_Detalhado!$B$2:$B$433,"Mar",Acerto_Detalhado!$C$2:$C$433,"Umidade"))*(SUMIFS(Acerto_Detalhado!$I$2:$I$433,Acerto_Detalhado!$A$2:$A$433,$D1031,Acerto_Detalhado!$B$2:$B$433,"Mar",Acerto_Detalhado!$C$2:$C$433,"Umidade")),2)</f>
        <v>0</v>
      </c>
    </row>
    <row r="1032" customFormat="false" ht="15" hidden="false" customHeight="false" outlineLevel="0" collapsed="false">
      <c r="A1032" s="27" t="s">
        <v>113</v>
      </c>
      <c r="B1032" s="27" t="s">
        <v>110</v>
      </c>
      <c r="C1032" s="27" t="s">
        <v>48</v>
      </c>
      <c r="D1032" s="27" t="s">
        <v>43</v>
      </c>
      <c r="E1032" s="28" t="n">
        <f aca="false">ROUND((SUMIFS(Acerto_Detalhado!$F$2:$F$433,Acerto_Detalhado!$A$2:$A$433,$C1032,Acerto_Detalhado!$B$2:$B$433,"Mar",Acerto_Detalhado!$C$2:$C$433,"Umidade"))*(SUMIFS(Acerto_Detalhado!$I$2:$I$433,Acerto_Detalhado!$A$2:$A$433,$D1032,Acerto_Detalhado!$B$2:$B$433,"Mar",Acerto_Detalhado!$C$2:$C$433,"Umidade")),2)</f>
        <v>0</v>
      </c>
    </row>
    <row r="1033" customFormat="false" ht="15" hidden="false" customHeight="false" outlineLevel="0" collapsed="false">
      <c r="A1033" s="27" t="s">
        <v>113</v>
      </c>
      <c r="B1033" s="27" t="s">
        <v>110</v>
      </c>
      <c r="C1033" s="27" t="s">
        <v>48</v>
      </c>
      <c r="D1033" s="27" t="s">
        <v>44</v>
      </c>
      <c r="E1033" s="28" t="n">
        <f aca="false">ROUND((SUMIFS(Acerto_Detalhado!$F$2:$F$433,Acerto_Detalhado!$A$2:$A$433,$C1033,Acerto_Detalhado!$B$2:$B$433,"Mar",Acerto_Detalhado!$C$2:$C$433,"Umidade"))*(SUMIFS(Acerto_Detalhado!$I$2:$I$433,Acerto_Detalhado!$A$2:$A$433,$D1033,Acerto_Detalhado!$B$2:$B$433,"Mar",Acerto_Detalhado!$C$2:$C$433,"Umidade")),2)</f>
        <v>0</v>
      </c>
    </row>
    <row r="1034" customFormat="false" ht="15" hidden="false" customHeight="false" outlineLevel="0" collapsed="false">
      <c r="A1034" s="27" t="s">
        <v>113</v>
      </c>
      <c r="B1034" s="27" t="s">
        <v>110</v>
      </c>
      <c r="C1034" s="27" t="s">
        <v>48</v>
      </c>
      <c r="D1034" s="27" t="s">
        <v>45</v>
      </c>
      <c r="E1034" s="28" t="n">
        <f aca="false">ROUND((SUMIFS(Acerto_Detalhado!$F$2:$F$433,Acerto_Detalhado!$A$2:$A$433,$C1034,Acerto_Detalhado!$B$2:$B$433,"Mar",Acerto_Detalhado!$C$2:$C$433,"Umidade"))*(SUMIFS(Acerto_Detalhado!$I$2:$I$433,Acerto_Detalhado!$A$2:$A$433,$D1034,Acerto_Detalhado!$B$2:$B$433,"Mar",Acerto_Detalhado!$C$2:$C$433,"Umidade")),2)</f>
        <v>0</v>
      </c>
    </row>
    <row r="1035" customFormat="false" ht="15" hidden="false" customHeight="false" outlineLevel="0" collapsed="false">
      <c r="A1035" s="27" t="s">
        <v>113</v>
      </c>
      <c r="B1035" s="27" t="s">
        <v>110</v>
      </c>
      <c r="C1035" s="27" t="s">
        <v>48</v>
      </c>
      <c r="D1035" s="27" t="s">
        <v>46</v>
      </c>
      <c r="E1035" s="28" t="n">
        <f aca="false">ROUND((SUMIFS(Acerto_Detalhado!$F$2:$F$433,Acerto_Detalhado!$A$2:$A$433,$C1035,Acerto_Detalhado!$B$2:$B$433,"Mar",Acerto_Detalhado!$C$2:$C$433,"Umidade"))*(SUMIFS(Acerto_Detalhado!$I$2:$I$433,Acerto_Detalhado!$A$2:$A$433,$D1035,Acerto_Detalhado!$B$2:$B$433,"Mar",Acerto_Detalhado!$C$2:$C$433,"Umidade")),2)</f>
        <v>0</v>
      </c>
    </row>
    <row r="1036" customFormat="false" ht="15" hidden="false" customHeight="false" outlineLevel="0" collapsed="false">
      <c r="A1036" s="27" t="s">
        <v>113</v>
      </c>
      <c r="B1036" s="27" t="s">
        <v>110</v>
      </c>
      <c r="C1036" s="27" t="s">
        <v>48</v>
      </c>
      <c r="D1036" s="27" t="s">
        <v>47</v>
      </c>
      <c r="E1036" s="28" t="n">
        <f aca="false">ROUND((SUMIFS(Acerto_Detalhado!$F$2:$F$433,Acerto_Detalhado!$A$2:$A$433,$C1036,Acerto_Detalhado!$B$2:$B$433,"Mar",Acerto_Detalhado!$C$2:$C$433,"Umidade"))*(SUMIFS(Acerto_Detalhado!$I$2:$I$433,Acerto_Detalhado!$A$2:$A$433,$D1036,Acerto_Detalhado!$B$2:$B$433,"Mar",Acerto_Detalhado!$C$2:$C$433,"Umidade")),2)</f>
        <v>0</v>
      </c>
    </row>
    <row r="1037" customFormat="false" ht="15" hidden="false" customHeight="false" outlineLevel="0" collapsed="false">
      <c r="A1037" s="27" t="s">
        <v>113</v>
      </c>
      <c r="B1037" s="27" t="s">
        <v>110</v>
      </c>
      <c r="C1037" s="27" t="s">
        <v>48</v>
      </c>
      <c r="D1037" s="27" t="s">
        <v>49</v>
      </c>
      <c r="E1037" s="28" t="n">
        <f aca="false">ROUND((SUMIFS(Acerto_Detalhado!$F$2:$F$433,Acerto_Detalhado!$A$2:$A$433,$C1037,Acerto_Detalhado!$B$2:$B$433,"Mar",Acerto_Detalhado!$C$2:$C$433,"Umidade"))*(SUMIFS(Acerto_Detalhado!$I$2:$I$433,Acerto_Detalhado!$A$2:$A$433,$D1037,Acerto_Detalhado!$B$2:$B$433,"Mar",Acerto_Detalhado!$C$2:$C$433,"Umidade")),2)</f>
        <v>0</v>
      </c>
    </row>
    <row r="1038" customFormat="false" ht="15" hidden="false" customHeight="false" outlineLevel="0" collapsed="false">
      <c r="A1038" s="27" t="s">
        <v>113</v>
      </c>
      <c r="B1038" s="27" t="s">
        <v>110</v>
      </c>
      <c r="C1038" s="27" t="s">
        <v>48</v>
      </c>
      <c r="D1038" s="27" t="s">
        <v>50</v>
      </c>
      <c r="E1038" s="28" t="n">
        <f aca="false">ROUND((SUMIFS(Acerto_Detalhado!$F$2:$F$433,Acerto_Detalhado!$A$2:$A$433,$C1038,Acerto_Detalhado!$B$2:$B$433,"Mar",Acerto_Detalhado!$C$2:$C$433,"Umidade"))*(SUMIFS(Acerto_Detalhado!$I$2:$I$433,Acerto_Detalhado!$A$2:$A$433,$D1038,Acerto_Detalhado!$B$2:$B$433,"Mar",Acerto_Detalhado!$C$2:$C$433,"Umidade")),2)</f>
        <v>0</v>
      </c>
    </row>
    <row r="1039" customFormat="false" ht="15" hidden="false" customHeight="false" outlineLevel="0" collapsed="false">
      <c r="A1039" s="27" t="s">
        <v>113</v>
      </c>
      <c r="B1039" s="27" t="s">
        <v>110</v>
      </c>
      <c r="C1039" s="27" t="s">
        <v>49</v>
      </c>
      <c r="D1039" s="27" t="s">
        <v>39</v>
      </c>
      <c r="E1039" s="28" t="n">
        <f aca="false">ROUND((SUMIFS(Acerto_Detalhado!$F$2:$F$433,Acerto_Detalhado!$A$2:$A$433,$C1039,Acerto_Detalhado!$B$2:$B$433,"Mar",Acerto_Detalhado!$C$2:$C$433,"Umidade"))*(SUMIFS(Acerto_Detalhado!$I$2:$I$433,Acerto_Detalhado!$A$2:$A$433,$D1039,Acerto_Detalhado!$B$2:$B$433,"Mar",Acerto_Detalhado!$C$2:$C$433,"Umidade")),2)</f>
        <v>0</v>
      </c>
    </row>
    <row r="1040" customFormat="false" ht="15" hidden="false" customHeight="false" outlineLevel="0" collapsed="false">
      <c r="A1040" s="27" t="s">
        <v>113</v>
      </c>
      <c r="B1040" s="27" t="s">
        <v>110</v>
      </c>
      <c r="C1040" s="27" t="s">
        <v>49</v>
      </c>
      <c r="D1040" s="27" t="s">
        <v>40</v>
      </c>
      <c r="E1040" s="28" t="n">
        <f aca="false">ROUND((SUMIFS(Acerto_Detalhado!$F$2:$F$433,Acerto_Detalhado!$A$2:$A$433,$C1040,Acerto_Detalhado!$B$2:$B$433,"Mar",Acerto_Detalhado!$C$2:$C$433,"Umidade"))*(SUMIFS(Acerto_Detalhado!$I$2:$I$433,Acerto_Detalhado!$A$2:$A$433,$D1040,Acerto_Detalhado!$B$2:$B$433,"Mar",Acerto_Detalhado!$C$2:$C$433,"Umidade")),2)</f>
        <v>0</v>
      </c>
    </row>
    <row r="1041" customFormat="false" ht="15" hidden="false" customHeight="false" outlineLevel="0" collapsed="false">
      <c r="A1041" s="27" t="s">
        <v>113</v>
      </c>
      <c r="B1041" s="27" t="s">
        <v>110</v>
      </c>
      <c r="C1041" s="27" t="s">
        <v>49</v>
      </c>
      <c r="D1041" s="27" t="s">
        <v>41</v>
      </c>
      <c r="E1041" s="28" t="n">
        <f aca="false">ROUND((SUMIFS(Acerto_Detalhado!$F$2:$F$433,Acerto_Detalhado!$A$2:$A$433,$C1041,Acerto_Detalhado!$B$2:$B$433,"Mar",Acerto_Detalhado!$C$2:$C$433,"Umidade"))*(SUMIFS(Acerto_Detalhado!$I$2:$I$433,Acerto_Detalhado!$A$2:$A$433,$D1041,Acerto_Detalhado!$B$2:$B$433,"Mar",Acerto_Detalhado!$C$2:$C$433,"Umidade")),2)</f>
        <v>0</v>
      </c>
    </row>
    <row r="1042" customFormat="false" ht="15" hidden="false" customHeight="false" outlineLevel="0" collapsed="false">
      <c r="A1042" s="27" t="s">
        <v>113</v>
      </c>
      <c r="B1042" s="27" t="s">
        <v>110</v>
      </c>
      <c r="C1042" s="27" t="s">
        <v>49</v>
      </c>
      <c r="D1042" s="27" t="s">
        <v>42</v>
      </c>
      <c r="E1042" s="28" t="n">
        <f aca="false">ROUND((SUMIFS(Acerto_Detalhado!$F$2:$F$433,Acerto_Detalhado!$A$2:$A$433,$C1042,Acerto_Detalhado!$B$2:$B$433,"Mar",Acerto_Detalhado!$C$2:$C$433,"Umidade"))*(SUMIFS(Acerto_Detalhado!$I$2:$I$433,Acerto_Detalhado!$A$2:$A$433,$D1042,Acerto_Detalhado!$B$2:$B$433,"Mar",Acerto_Detalhado!$C$2:$C$433,"Umidade")),2)</f>
        <v>0</v>
      </c>
    </row>
    <row r="1043" customFormat="false" ht="15" hidden="false" customHeight="false" outlineLevel="0" collapsed="false">
      <c r="A1043" s="27" t="s">
        <v>113</v>
      </c>
      <c r="B1043" s="27" t="s">
        <v>110</v>
      </c>
      <c r="C1043" s="27" t="s">
        <v>49</v>
      </c>
      <c r="D1043" s="27" t="s">
        <v>43</v>
      </c>
      <c r="E1043" s="28" t="n">
        <f aca="false">ROUND((SUMIFS(Acerto_Detalhado!$F$2:$F$433,Acerto_Detalhado!$A$2:$A$433,$C1043,Acerto_Detalhado!$B$2:$B$433,"Mar",Acerto_Detalhado!$C$2:$C$433,"Umidade"))*(SUMIFS(Acerto_Detalhado!$I$2:$I$433,Acerto_Detalhado!$A$2:$A$433,$D1043,Acerto_Detalhado!$B$2:$B$433,"Mar",Acerto_Detalhado!$C$2:$C$433,"Umidade")),2)</f>
        <v>0</v>
      </c>
    </row>
    <row r="1044" customFormat="false" ht="15" hidden="false" customHeight="false" outlineLevel="0" collapsed="false">
      <c r="A1044" s="27" t="s">
        <v>113</v>
      </c>
      <c r="B1044" s="27" t="s">
        <v>110</v>
      </c>
      <c r="C1044" s="27" t="s">
        <v>49</v>
      </c>
      <c r="D1044" s="27" t="s">
        <v>44</v>
      </c>
      <c r="E1044" s="28" t="n">
        <f aca="false">ROUND((SUMIFS(Acerto_Detalhado!$F$2:$F$433,Acerto_Detalhado!$A$2:$A$433,$C1044,Acerto_Detalhado!$B$2:$B$433,"Mar",Acerto_Detalhado!$C$2:$C$433,"Umidade"))*(SUMIFS(Acerto_Detalhado!$I$2:$I$433,Acerto_Detalhado!$A$2:$A$433,$D1044,Acerto_Detalhado!$B$2:$B$433,"Mar",Acerto_Detalhado!$C$2:$C$433,"Umidade")),2)</f>
        <v>0</v>
      </c>
    </row>
    <row r="1045" customFormat="false" ht="15" hidden="false" customHeight="false" outlineLevel="0" collapsed="false">
      <c r="A1045" s="27" t="s">
        <v>113</v>
      </c>
      <c r="B1045" s="27" t="s">
        <v>110</v>
      </c>
      <c r="C1045" s="27" t="s">
        <v>49</v>
      </c>
      <c r="D1045" s="27" t="s">
        <v>45</v>
      </c>
      <c r="E1045" s="28" t="n">
        <f aca="false">ROUND((SUMIFS(Acerto_Detalhado!$F$2:$F$433,Acerto_Detalhado!$A$2:$A$433,$C1045,Acerto_Detalhado!$B$2:$B$433,"Mar",Acerto_Detalhado!$C$2:$C$433,"Umidade"))*(SUMIFS(Acerto_Detalhado!$I$2:$I$433,Acerto_Detalhado!$A$2:$A$433,$D1045,Acerto_Detalhado!$B$2:$B$433,"Mar",Acerto_Detalhado!$C$2:$C$433,"Umidade")),2)</f>
        <v>0</v>
      </c>
    </row>
    <row r="1046" customFormat="false" ht="15" hidden="false" customHeight="false" outlineLevel="0" collapsed="false">
      <c r="A1046" s="27" t="s">
        <v>113</v>
      </c>
      <c r="B1046" s="27" t="s">
        <v>110</v>
      </c>
      <c r="C1046" s="27" t="s">
        <v>49</v>
      </c>
      <c r="D1046" s="27" t="s">
        <v>46</v>
      </c>
      <c r="E1046" s="28" t="n">
        <f aca="false">ROUND((SUMIFS(Acerto_Detalhado!$F$2:$F$433,Acerto_Detalhado!$A$2:$A$433,$C1046,Acerto_Detalhado!$B$2:$B$433,"Mar",Acerto_Detalhado!$C$2:$C$433,"Umidade"))*(SUMIFS(Acerto_Detalhado!$I$2:$I$433,Acerto_Detalhado!$A$2:$A$433,$D1046,Acerto_Detalhado!$B$2:$B$433,"Mar",Acerto_Detalhado!$C$2:$C$433,"Umidade")),2)</f>
        <v>0</v>
      </c>
    </row>
    <row r="1047" customFormat="false" ht="15" hidden="false" customHeight="false" outlineLevel="0" collapsed="false">
      <c r="A1047" s="27" t="s">
        <v>113</v>
      </c>
      <c r="B1047" s="27" t="s">
        <v>110</v>
      </c>
      <c r="C1047" s="27" t="s">
        <v>49</v>
      </c>
      <c r="D1047" s="27" t="s">
        <v>47</v>
      </c>
      <c r="E1047" s="28" t="n">
        <f aca="false">ROUND((SUMIFS(Acerto_Detalhado!$F$2:$F$433,Acerto_Detalhado!$A$2:$A$433,$C1047,Acerto_Detalhado!$B$2:$B$433,"Mar",Acerto_Detalhado!$C$2:$C$433,"Umidade"))*(SUMIFS(Acerto_Detalhado!$I$2:$I$433,Acerto_Detalhado!$A$2:$A$433,$D1047,Acerto_Detalhado!$B$2:$B$433,"Mar",Acerto_Detalhado!$C$2:$C$433,"Umidade")),2)</f>
        <v>0</v>
      </c>
    </row>
    <row r="1048" customFormat="false" ht="15" hidden="false" customHeight="false" outlineLevel="0" collapsed="false">
      <c r="A1048" s="27" t="s">
        <v>113</v>
      </c>
      <c r="B1048" s="27" t="s">
        <v>110</v>
      </c>
      <c r="C1048" s="27" t="s">
        <v>49</v>
      </c>
      <c r="D1048" s="27" t="s">
        <v>48</v>
      </c>
      <c r="E1048" s="28" t="n">
        <f aca="false">ROUND((SUMIFS(Acerto_Detalhado!$F$2:$F$433,Acerto_Detalhado!$A$2:$A$433,$C1048,Acerto_Detalhado!$B$2:$B$433,"Mar",Acerto_Detalhado!$C$2:$C$433,"Umidade"))*(SUMIFS(Acerto_Detalhado!$I$2:$I$433,Acerto_Detalhado!$A$2:$A$433,$D1048,Acerto_Detalhado!$B$2:$B$433,"Mar",Acerto_Detalhado!$C$2:$C$433,"Umidade")),2)</f>
        <v>0</v>
      </c>
    </row>
    <row r="1049" customFormat="false" ht="15" hidden="false" customHeight="false" outlineLevel="0" collapsed="false">
      <c r="A1049" s="27" t="s">
        <v>113</v>
      </c>
      <c r="B1049" s="27" t="s">
        <v>110</v>
      </c>
      <c r="C1049" s="27" t="s">
        <v>49</v>
      </c>
      <c r="D1049" s="27" t="s">
        <v>50</v>
      </c>
      <c r="E1049" s="28" t="n">
        <f aca="false">ROUND((SUMIFS(Acerto_Detalhado!$F$2:$F$433,Acerto_Detalhado!$A$2:$A$433,$C1049,Acerto_Detalhado!$B$2:$B$433,"Mar",Acerto_Detalhado!$C$2:$C$433,"Umidade"))*(SUMIFS(Acerto_Detalhado!$I$2:$I$433,Acerto_Detalhado!$A$2:$A$433,$D1049,Acerto_Detalhado!$B$2:$B$433,"Mar",Acerto_Detalhado!$C$2:$C$433,"Umidade")),2)</f>
        <v>0</v>
      </c>
    </row>
    <row r="1050" customFormat="false" ht="15" hidden="false" customHeight="false" outlineLevel="0" collapsed="false">
      <c r="A1050" s="27" t="s">
        <v>113</v>
      </c>
      <c r="B1050" s="27" t="s">
        <v>110</v>
      </c>
      <c r="C1050" s="27" t="s">
        <v>50</v>
      </c>
      <c r="D1050" s="27" t="s">
        <v>39</v>
      </c>
      <c r="E1050" s="28" t="n">
        <f aca="false">ROUND((SUMIFS(Acerto_Detalhado!$F$2:$F$433,Acerto_Detalhado!$A$2:$A$433,$C1050,Acerto_Detalhado!$B$2:$B$433,"Mar",Acerto_Detalhado!$C$2:$C$433,"Umidade"))*(SUMIFS(Acerto_Detalhado!$I$2:$I$433,Acerto_Detalhado!$A$2:$A$433,$D1050,Acerto_Detalhado!$B$2:$B$433,"Mar",Acerto_Detalhado!$C$2:$C$433,"Umidade")),2)</f>
        <v>0</v>
      </c>
    </row>
    <row r="1051" customFormat="false" ht="15" hidden="false" customHeight="false" outlineLevel="0" collapsed="false">
      <c r="A1051" s="27" t="s">
        <v>113</v>
      </c>
      <c r="B1051" s="27" t="s">
        <v>110</v>
      </c>
      <c r="C1051" s="27" t="s">
        <v>50</v>
      </c>
      <c r="D1051" s="27" t="s">
        <v>40</v>
      </c>
      <c r="E1051" s="28" t="n">
        <f aca="false">ROUND((SUMIFS(Acerto_Detalhado!$F$2:$F$433,Acerto_Detalhado!$A$2:$A$433,$C1051,Acerto_Detalhado!$B$2:$B$433,"Mar",Acerto_Detalhado!$C$2:$C$433,"Umidade"))*(SUMIFS(Acerto_Detalhado!$I$2:$I$433,Acerto_Detalhado!$A$2:$A$433,$D1051,Acerto_Detalhado!$B$2:$B$433,"Mar",Acerto_Detalhado!$C$2:$C$433,"Umidade")),2)</f>
        <v>0</v>
      </c>
    </row>
    <row r="1052" customFormat="false" ht="15" hidden="false" customHeight="false" outlineLevel="0" collapsed="false">
      <c r="A1052" s="27" t="s">
        <v>113</v>
      </c>
      <c r="B1052" s="27" t="s">
        <v>110</v>
      </c>
      <c r="C1052" s="27" t="s">
        <v>50</v>
      </c>
      <c r="D1052" s="27" t="s">
        <v>41</v>
      </c>
      <c r="E1052" s="28" t="n">
        <f aca="false">ROUND((SUMIFS(Acerto_Detalhado!$F$2:$F$433,Acerto_Detalhado!$A$2:$A$433,$C1052,Acerto_Detalhado!$B$2:$B$433,"Mar",Acerto_Detalhado!$C$2:$C$433,"Umidade"))*(SUMIFS(Acerto_Detalhado!$I$2:$I$433,Acerto_Detalhado!$A$2:$A$433,$D1052,Acerto_Detalhado!$B$2:$B$433,"Mar",Acerto_Detalhado!$C$2:$C$433,"Umidade")),2)</f>
        <v>0</v>
      </c>
    </row>
    <row r="1053" customFormat="false" ht="15" hidden="false" customHeight="false" outlineLevel="0" collapsed="false">
      <c r="A1053" s="27" t="s">
        <v>113</v>
      </c>
      <c r="B1053" s="27" t="s">
        <v>110</v>
      </c>
      <c r="C1053" s="27" t="s">
        <v>50</v>
      </c>
      <c r="D1053" s="27" t="s">
        <v>42</v>
      </c>
      <c r="E1053" s="28" t="n">
        <f aca="false">ROUND((SUMIFS(Acerto_Detalhado!$F$2:$F$433,Acerto_Detalhado!$A$2:$A$433,$C1053,Acerto_Detalhado!$B$2:$B$433,"Mar",Acerto_Detalhado!$C$2:$C$433,"Umidade"))*(SUMIFS(Acerto_Detalhado!$I$2:$I$433,Acerto_Detalhado!$A$2:$A$433,$D1053,Acerto_Detalhado!$B$2:$B$433,"Mar",Acerto_Detalhado!$C$2:$C$433,"Umidade")),2)</f>
        <v>0</v>
      </c>
    </row>
    <row r="1054" customFormat="false" ht="15" hidden="false" customHeight="false" outlineLevel="0" collapsed="false">
      <c r="A1054" s="27" t="s">
        <v>113</v>
      </c>
      <c r="B1054" s="27" t="s">
        <v>110</v>
      </c>
      <c r="C1054" s="27" t="s">
        <v>50</v>
      </c>
      <c r="D1054" s="27" t="s">
        <v>43</v>
      </c>
      <c r="E1054" s="28" t="n">
        <f aca="false">ROUND((SUMIFS(Acerto_Detalhado!$F$2:$F$433,Acerto_Detalhado!$A$2:$A$433,$C1054,Acerto_Detalhado!$B$2:$B$433,"Mar",Acerto_Detalhado!$C$2:$C$433,"Umidade"))*(SUMIFS(Acerto_Detalhado!$I$2:$I$433,Acerto_Detalhado!$A$2:$A$433,$D1054,Acerto_Detalhado!$B$2:$B$433,"Mar",Acerto_Detalhado!$C$2:$C$433,"Umidade")),2)</f>
        <v>0</v>
      </c>
    </row>
    <row r="1055" customFormat="false" ht="15" hidden="false" customHeight="false" outlineLevel="0" collapsed="false">
      <c r="A1055" s="27" t="s">
        <v>113</v>
      </c>
      <c r="B1055" s="27" t="s">
        <v>110</v>
      </c>
      <c r="C1055" s="27" t="s">
        <v>50</v>
      </c>
      <c r="D1055" s="27" t="s">
        <v>44</v>
      </c>
      <c r="E1055" s="28" t="n">
        <f aca="false">ROUND((SUMIFS(Acerto_Detalhado!$F$2:$F$433,Acerto_Detalhado!$A$2:$A$433,$C1055,Acerto_Detalhado!$B$2:$B$433,"Mar",Acerto_Detalhado!$C$2:$C$433,"Umidade"))*(SUMIFS(Acerto_Detalhado!$I$2:$I$433,Acerto_Detalhado!$A$2:$A$433,$D1055,Acerto_Detalhado!$B$2:$B$433,"Mar",Acerto_Detalhado!$C$2:$C$433,"Umidade")),2)</f>
        <v>0</v>
      </c>
    </row>
    <row r="1056" customFormat="false" ht="15" hidden="false" customHeight="false" outlineLevel="0" collapsed="false">
      <c r="A1056" s="27" t="s">
        <v>113</v>
      </c>
      <c r="B1056" s="27" t="s">
        <v>110</v>
      </c>
      <c r="C1056" s="27" t="s">
        <v>50</v>
      </c>
      <c r="D1056" s="27" t="s">
        <v>45</v>
      </c>
      <c r="E1056" s="28" t="n">
        <f aca="false">ROUND((SUMIFS(Acerto_Detalhado!$F$2:$F$433,Acerto_Detalhado!$A$2:$A$433,$C1056,Acerto_Detalhado!$B$2:$B$433,"Mar",Acerto_Detalhado!$C$2:$C$433,"Umidade"))*(SUMIFS(Acerto_Detalhado!$I$2:$I$433,Acerto_Detalhado!$A$2:$A$433,$D1056,Acerto_Detalhado!$B$2:$B$433,"Mar",Acerto_Detalhado!$C$2:$C$433,"Umidade")),2)</f>
        <v>0</v>
      </c>
    </row>
    <row r="1057" customFormat="false" ht="15" hidden="false" customHeight="false" outlineLevel="0" collapsed="false">
      <c r="A1057" s="27" t="s">
        <v>113</v>
      </c>
      <c r="B1057" s="27" t="s">
        <v>110</v>
      </c>
      <c r="C1057" s="27" t="s">
        <v>50</v>
      </c>
      <c r="D1057" s="27" t="s">
        <v>46</v>
      </c>
      <c r="E1057" s="28" t="n">
        <f aca="false">ROUND((SUMIFS(Acerto_Detalhado!$F$2:$F$433,Acerto_Detalhado!$A$2:$A$433,$C1057,Acerto_Detalhado!$B$2:$B$433,"Mar",Acerto_Detalhado!$C$2:$C$433,"Umidade"))*(SUMIFS(Acerto_Detalhado!$I$2:$I$433,Acerto_Detalhado!$A$2:$A$433,$D1057,Acerto_Detalhado!$B$2:$B$433,"Mar",Acerto_Detalhado!$C$2:$C$433,"Umidade")),2)</f>
        <v>0</v>
      </c>
    </row>
    <row r="1058" customFormat="false" ht="15" hidden="false" customHeight="false" outlineLevel="0" collapsed="false">
      <c r="A1058" s="27" t="s">
        <v>113</v>
      </c>
      <c r="B1058" s="27" t="s">
        <v>110</v>
      </c>
      <c r="C1058" s="27" t="s">
        <v>50</v>
      </c>
      <c r="D1058" s="27" t="s">
        <v>47</v>
      </c>
      <c r="E1058" s="28" t="n">
        <f aca="false">ROUND((SUMIFS(Acerto_Detalhado!$F$2:$F$433,Acerto_Detalhado!$A$2:$A$433,$C1058,Acerto_Detalhado!$B$2:$B$433,"Mar",Acerto_Detalhado!$C$2:$C$433,"Umidade"))*(SUMIFS(Acerto_Detalhado!$I$2:$I$433,Acerto_Detalhado!$A$2:$A$433,$D1058,Acerto_Detalhado!$B$2:$B$433,"Mar",Acerto_Detalhado!$C$2:$C$433,"Umidade")),2)</f>
        <v>0</v>
      </c>
    </row>
    <row r="1059" customFormat="false" ht="15" hidden="false" customHeight="false" outlineLevel="0" collapsed="false">
      <c r="A1059" s="27" t="s">
        <v>113</v>
      </c>
      <c r="B1059" s="27" t="s">
        <v>110</v>
      </c>
      <c r="C1059" s="27" t="s">
        <v>50</v>
      </c>
      <c r="D1059" s="27" t="s">
        <v>48</v>
      </c>
      <c r="E1059" s="28" t="n">
        <f aca="false">ROUND((SUMIFS(Acerto_Detalhado!$F$2:$F$433,Acerto_Detalhado!$A$2:$A$433,$C1059,Acerto_Detalhado!$B$2:$B$433,"Mar",Acerto_Detalhado!$C$2:$C$433,"Umidade"))*(SUMIFS(Acerto_Detalhado!$I$2:$I$433,Acerto_Detalhado!$A$2:$A$433,$D1059,Acerto_Detalhado!$B$2:$B$433,"Mar",Acerto_Detalhado!$C$2:$C$433,"Umidade")),2)</f>
        <v>0</v>
      </c>
    </row>
    <row r="1060" customFormat="false" ht="15" hidden="false" customHeight="false" outlineLevel="0" collapsed="false">
      <c r="A1060" s="27" t="s">
        <v>113</v>
      </c>
      <c r="B1060" s="27" t="s">
        <v>110</v>
      </c>
      <c r="C1060" s="27" t="s">
        <v>50</v>
      </c>
      <c r="D1060" s="27" t="s">
        <v>49</v>
      </c>
      <c r="E1060" s="28" t="n">
        <f aca="false">ROUND((SUMIFS(Acerto_Detalhado!$F$2:$F$433,Acerto_Detalhado!$A$2:$A$433,$C1060,Acerto_Detalhado!$B$2:$B$433,"Mar",Acerto_Detalhado!$C$2:$C$433,"Umidade"))*(SUMIFS(Acerto_Detalhado!$I$2:$I$433,Acerto_Detalhado!$A$2:$A$433,$D1060,Acerto_Detalhado!$B$2:$B$433,"Mar",Acerto_Detalhado!$C$2:$C$433,"Umidade")),2)</f>
        <v>0</v>
      </c>
    </row>
    <row r="1061" customFormat="false" ht="15" hidden="false" customHeight="false" outlineLevel="0" collapsed="false">
      <c r="A1061" s="27" t="s">
        <v>113</v>
      </c>
      <c r="B1061" s="27" t="s">
        <v>111</v>
      </c>
      <c r="C1061" s="27" t="s">
        <v>39</v>
      </c>
      <c r="D1061" s="27" t="s">
        <v>40</v>
      </c>
      <c r="E1061" s="28" t="n">
        <f aca="false">ROUND((SUMIFS(Acerto_Detalhado!$F$2:$F$433,Acerto_Detalhado!$A$2:$A$433,$C1061,Acerto_Detalhado!$B$2:$B$433,"Mar",Acerto_Detalhado!$C$2:$C$433,"Fibra"))*(SUMIFS(Acerto_Detalhado!$I$2:$I$433,Acerto_Detalhado!$A$2:$A$433,$D1061,Acerto_Detalhado!$B$2:$B$433,"Mar",Acerto_Detalhado!$C$2:$C$433,"Fibra")),2)</f>
        <v>0</v>
      </c>
    </row>
    <row r="1062" customFormat="false" ht="15" hidden="false" customHeight="false" outlineLevel="0" collapsed="false">
      <c r="A1062" s="27" t="s">
        <v>113</v>
      </c>
      <c r="B1062" s="27" t="s">
        <v>111</v>
      </c>
      <c r="C1062" s="27" t="s">
        <v>39</v>
      </c>
      <c r="D1062" s="27" t="s">
        <v>41</v>
      </c>
      <c r="E1062" s="28" t="n">
        <f aca="false">ROUND((SUMIFS(Acerto_Detalhado!$F$2:$F$433,Acerto_Detalhado!$A$2:$A$433,$C1062,Acerto_Detalhado!$B$2:$B$433,"Mar",Acerto_Detalhado!$C$2:$C$433,"Fibra"))*(SUMIFS(Acerto_Detalhado!$I$2:$I$433,Acerto_Detalhado!$A$2:$A$433,$D1062,Acerto_Detalhado!$B$2:$B$433,"Mar",Acerto_Detalhado!$C$2:$C$433,"Fibra")),2)</f>
        <v>0</v>
      </c>
    </row>
    <row r="1063" customFormat="false" ht="15" hidden="false" customHeight="false" outlineLevel="0" collapsed="false">
      <c r="A1063" s="27" t="s">
        <v>113</v>
      </c>
      <c r="B1063" s="27" t="s">
        <v>111</v>
      </c>
      <c r="C1063" s="27" t="s">
        <v>39</v>
      </c>
      <c r="D1063" s="27" t="s">
        <v>42</v>
      </c>
      <c r="E1063" s="28" t="n">
        <f aca="false">ROUND((SUMIFS(Acerto_Detalhado!$F$2:$F$433,Acerto_Detalhado!$A$2:$A$433,$C1063,Acerto_Detalhado!$B$2:$B$433,"Mar",Acerto_Detalhado!$C$2:$C$433,"Fibra"))*(SUMIFS(Acerto_Detalhado!$I$2:$I$433,Acerto_Detalhado!$A$2:$A$433,$D1063,Acerto_Detalhado!$B$2:$B$433,"Mar",Acerto_Detalhado!$C$2:$C$433,"Fibra")),2)</f>
        <v>0</v>
      </c>
    </row>
    <row r="1064" customFormat="false" ht="15" hidden="false" customHeight="false" outlineLevel="0" collapsed="false">
      <c r="A1064" s="27" t="s">
        <v>113</v>
      </c>
      <c r="B1064" s="27" t="s">
        <v>111</v>
      </c>
      <c r="C1064" s="27" t="s">
        <v>39</v>
      </c>
      <c r="D1064" s="27" t="s">
        <v>43</v>
      </c>
      <c r="E1064" s="28" t="n">
        <f aca="false">ROUND((SUMIFS(Acerto_Detalhado!$F$2:$F$433,Acerto_Detalhado!$A$2:$A$433,$C1064,Acerto_Detalhado!$B$2:$B$433,"Mar",Acerto_Detalhado!$C$2:$C$433,"Fibra"))*(SUMIFS(Acerto_Detalhado!$I$2:$I$433,Acerto_Detalhado!$A$2:$A$433,$D1064,Acerto_Detalhado!$B$2:$B$433,"Mar",Acerto_Detalhado!$C$2:$C$433,"Fibra")),2)</f>
        <v>0</v>
      </c>
    </row>
    <row r="1065" customFormat="false" ht="15" hidden="false" customHeight="false" outlineLevel="0" collapsed="false">
      <c r="A1065" s="27" t="s">
        <v>113</v>
      </c>
      <c r="B1065" s="27" t="s">
        <v>111</v>
      </c>
      <c r="C1065" s="27" t="s">
        <v>39</v>
      </c>
      <c r="D1065" s="27" t="s">
        <v>44</v>
      </c>
      <c r="E1065" s="28" t="n">
        <f aca="false">ROUND((SUMIFS(Acerto_Detalhado!$F$2:$F$433,Acerto_Detalhado!$A$2:$A$433,$C1065,Acerto_Detalhado!$B$2:$B$433,"Mar",Acerto_Detalhado!$C$2:$C$433,"Fibra"))*(SUMIFS(Acerto_Detalhado!$I$2:$I$433,Acerto_Detalhado!$A$2:$A$433,$D1065,Acerto_Detalhado!$B$2:$B$433,"Mar",Acerto_Detalhado!$C$2:$C$433,"Fibra")),2)</f>
        <v>0</v>
      </c>
    </row>
    <row r="1066" customFormat="false" ht="15" hidden="false" customHeight="false" outlineLevel="0" collapsed="false">
      <c r="A1066" s="27" t="s">
        <v>113</v>
      </c>
      <c r="B1066" s="27" t="s">
        <v>111</v>
      </c>
      <c r="C1066" s="27" t="s">
        <v>39</v>
      </c>
      <c r="D1066" s="27" t="s">
        <v>45</v>
      </c>
      <c r="E1066" s="28" t="n">
        <f aca="false">ROUND((SUMIFS(Acerto_Detalhado!$F$2:$F$433,Acerto_Detalhado!$A$2:$A$433,$C1066,Acerto_Detalhado!$B$2:$B$433,"Mar",Acerto_Detalhado!$C$2:$C$433,"Fibra"))*(SUMIFS(Acerto_Detalhado!$I$2:$I$433,Acerto_Detalhado!$A$2:$A$433,$D1066,Acerto_Detalhado!$B$2:$B$433,"Mar",Acerto_Detalhado!$C$2:$C$433,"Fibra")),2)</f>
        <v>0</v>
      </c>
    </row>
    <row r="1067" customFormat="false" ht="15" hidden="false" customHeight="false" outlineLevel="0" collapsed="false">
      <c r="A1067" s="27" t="s">
        <v>113</v>
      </c>
      <c r="B1067" s="27" t="s">
        <v>111</v>
      </c>
      <c r="C1067" s="27" t="s">
        <v>39</v>
      </c>
      <c r="D1067" s="27" t="s">
        <v>46</v>
      </c>
      <c r="E1067" s="28" t="n">
        <f aca="false">ROUND((SUMIFS(Acerto_Detalhado!$F$2:$F$433,Acerto_Detalhado!$A$2:$A$433,$C1067,Acerto_Detalhado!$B$2:$B$433,"Mar",Acerto_Detalhado!$C$2:$C$433,"Fibra"))*(SUMIFS(Acerto_Detalhado!$I$2:$I$433,Acerto_Detalhado!$A$2:$A$433,$D1067,Acerto_Detalhado!$B$2:$B$433,"Mar",Acerto_Detalhado!$C$2:$C$433,"Fibra")),2)</f>
        <v>0</v>
      </c>
    </row>
    <row r="1068" customFormat="false" ht="15" hidden="false" customHeight="false" outlineLevel="0" collapsed="false">
      <c r="A1068" s="27" t="s">
        <v>113</v>
      </c>
      <c r="B1068" s="27" t="s">
        <v>111</v>
      </c>
      <c r="C1068" s="27" t="s">
        <v>39</v>
      </c>
      <c r="D1068" s="27" t="s">
        <v>47</v>
      </c>
      <c r="E1068" s="28" t="n">
        <f aca="false">ROUND((SUMIFS(Acerto_Detalhado!$F$2:$F$433,Acerto_Detalhado!$A$2:$A$433,$C1068,Acerto_Detalhado!$B$2:$B$433,"Mar",Acerto_Detalhado!$C$2:$C$433,"Fibra"))*(SUMIFS(Acerto_Detalhado!$I$2:$I$433,Acerto_Detalhado!$A$2:$A$433,$D1068,Acerto_Detalhado!$B$2:$B$433,"Mar",Acerto_Detalhado!$C$2:$C$433,"Fibra")),2)</f>
        <v>0</v>
      </c>
    </row>
    <row r="1069" customFormat="false" ht="15" hidden="false" customHeight="false" outlineLevel="0" collapsed="false">
      <c r="A1069" s="27" t="s">
        <v>113</v>
      </c>
      <c r="B1069" s="27" t="s">
        <v>111</v>
      </c>
      <c r="C1069" s="27" t="s">
        <v>39</v>
      </c>
      <c r="D1069" s="27" t="s">
        <v>48</v>
      </c>
      <c r="E1069" s="28" t="n">
        <f aca="false">ROUND((SUMIFS(Acerto_Detalhado!$F$2:$F$433,Acerto_Detalhado!$A$2:$A$433,$C1069,Acerto_Detalhado!$B$2:$B$433,"Mar",Acerto_Detalhado!$C$2:$C$433,"Fibra"))*(SUMIFS(Acerto_Detalhado!$I$2:$I$433,Acerto_Detalhado!$A$2:$A$433,$D1069,Acerto_Detalhado!$B$2:$B$433,"Mar",Acerto_Detalhado!$C$2:$C$433,"Fibra")),2)</f>
        <v>0</v>
      </c>
    </row>
    <row r="1070" customFormat="false" ht="15" hidden="false" customHeight="false" outlineLevel="0" collapsed="false">
      <c r="A1070" s="27" t="s">
        <v>113</v>
      </c>
      <c r="B1070" s="27" t="s">
        <v>111</v>
      </c>
      <c r="C1070" s="27" t="s">
        <v>39</v>
      </c>
      <c r="D1070" s="27" t="s">
        <v>49</v>
      </c>
      <c r="E1070" s="28" t="n">
        <f aca="false">ROUND((SUMIFS(Acerto_Detalhado!$F$2:$F$433,Acerto_Detalhado!$A$2:$A$433,$C1070,Acerto_Detalhado!$B$2:$B$433,"Mar",Acerto_Detalhado!$C$2:$C$433,"Fibra"))*(SUMIFS(Acerto_Detalhado!$I$2:$I$433,Acerto_Detalhado!$A$2:$A$433,$D1070,Acerto_Detalhado!$B$2:$B$433,"Mar",Acerto_Detalhado!$C$2:$C$433,"Fibra")),2)</f>
        <v>0</v>
      </c>
    </row>
    <row r="1071" customFormat="false" ht="15" hidden="false" customHeight="false" outlineLevel="0" collapsed="false">
      <c r="A1071" s="27" t="s">
        <v>113</v>
      </c>
      <c r="B1071" s="27" t="s">
        <v>111</v>
      </c>
      <c r="C1071" s="27" t="s">
        <v>39</v>
      </c>
      <c r="D1071" s="27" t="s">
        <v>50</v>
      </c>
      <c r="E1071" s="28" t="n">
        <f aca="false">ROUND((SUMIFS(Acerto_Detalhado!$F$2:$F$433,Acerto_Detalhado!$A$2:$A$433,$C1071,Acerto_Detalhado!$B$2:$B$433,"Mar",Acerto_Detalhado!$C$2:$C$433,"Fibra"))*(SUMIFS(Acerto_Detalhado!$I$2:$I$433,Acerto_Detalhado!$A$2:$A$433,$D1071,Acerto_Detalhado!$B$2:$B$433,"Mar",Acerto_Detalhado!$C$2:$C$433,"Fibra")),2)</f>
        <v>0</v>
      </c>
    </row>
    <row r="1072" customFormat="false" ht="15" hidden="false" customHeight="false" outlineLevel="0" collapsed="false">
      <c r="A1072" s="27" t="s">
        <v>113</v>
      </c>
      <c r="B1072" s="27" t="s">
        <v>111</v>
      </c>
      <c r="C1072" s="27" t="s">
        <v>40</v>
      </c>
      <c r="D1072" s="27" t="s">
        <v>39</v>
      </c>
      <c r="E1072" s="28" t="n">
        <f aca="false">ROUND((SUMIFS(Acerto_Detalhado!$F$2:$F$433,Acerto_Detalhado!$A$2:$A$433,$C1072,Acerto_Detalhado!$B$2:$B$433,"Mar",Acerto_Detalhado!$C$2:$C$433,"Fibra"))*(SUMIFS(Acerto_Detalhado!$I$2:$I$433,Acerto_Detalhado!$A$2:$A$433,$D1072,Acerto_Detalhado!$B$2:$B$433,"Mar",Acerto_Detalhado!$C$2:$C$433,"Fibra")),2)</f>
        <v>0</v>
      </c>
    </row>
    <row r="1073" customFormat="false" ht="15" hidden="false" customHeight="false" outlineLevel="0" collapsed="false">
      <c r="A1073" s="27" t="s">
        <v>113</v>
      </c>
      <c r="B1073" s="27" t="s">
        <v>111</v>
      </c>
      <c r="C1073" s="27" t="s">
        <v>40</v>
      </c>
      <c r="D1073" s="27" t="s">
        <v>41</v>
      </c>
      <c r="E1073" s="28" t="n">
        <f aca="false">ROUND((SUMIFS(Acerto_Detalhado!$F$2:$F$433,Acerto_Detalhado!$A$2:$A$433,$C1073,Acerto_Detalhado!$B$2:$B$433,"Mar",Acerto_Detalhado!$C$2:$C$433,"Fibra"))*(SUMIFS(Acerto_Detalhado!$I$2:$I$433,Acerto_Detalhado!$A$2:$A$433,$D1073,Acerto_Detalhado!$B$2:$B$433,"Mar",Acerto_Detalhado!$C$2:$C$433,"Fibra")),2)</f>
        <v>0</v>
      </c>
    </row>
    <row r="1074" customFormat="false" ht="15" hidden="false" customHeight="false" outlineLevel="0" collapsed="false">
      <c r="A1074" s="27" t="s">
        <v>113</v>
      </c>
      <c r="B1074" s="27" t="s">
        <v>111</v>
      </c>
      <c r="C1074" s="27" t="s">
        <v>40</v>
      </c>
      <c r="D1074" s="27" t="s">
        <v>42</v>
      </c>
      <c r="E1074" s="28" t="n">
        <f aca="false">ROUND((SUMIFS(Acerto_Detalhado!$F$2:$F$433,Acerto_Detalhado!$A$2:$A$433,$C1074,Acerto_Detalhado!$B$2:$B$433,"Mar",Acerto_Detalhado!$C$2:$C$433,"Fibra"))*(SUMIFS(Acerto_Detalhado!$I$2:$I$433,Acerto_Detalhado!$A$2:$A$433,$D1074,Acerto_Detalhado!$B$2:$B$433,"Mar",Acerto_Detalhado!$C$2:$C$433,"Fibra")),2)</f>
        <v>0</v>
      </c>
    </row>
    <row r="1075" customFormat="false" ht="15" hidden="false" customHeight="false" outlineLevel="0" collapsed="false">
      <c r="A1075" s="27" t="s">
        <v>113</v>
      </c>
      <c r="B1075" s="27" t="s">
        <v>111</v>
      </c>
      <c r="C1075" s="27" t="s">
        <v>40</v>
      </c>
      <c r="D1075" s="27" t="s">
        <v>43</v>
      </c>
      <c r="E1075" s="28" t="n">
        <f aca="false">ROUND((SUMIFS(Acerto_Detalhado!$F$2:$F$433,Acerto_Detalhado!$A$2:$A$433,$C1075,Acerto_Detalhado!$B$2:$B$433,"Mar",Acerto_Detalhado!$C$2:$C$433,"Fibra"))*(SUMIFS(Acerto_Detalhado!$I$2:$I$433,Acerto_Detalhado!$A$2:$A$433,$D1075,Acerto_Detalhado!$B$2:$B$433,"Mar",Acerto_Detalhado!$C$2:$C$433,"Fibra")),2)</f>
        <v>0</v>
      </c>
    </row>
    <row r="1076" customFormat="false" ht="15" hidden="false" customHeight="false" outlineLevel="0" collapsed="false">
      <c r="A1076" s="27" t="s">
        <v>113</v>
      </c>
      <c r="B1076" s="27" t="s">
        <v>111</v>
      </c>
      <c r="C1076" s="27" t="s">
        <v>40</v>
      </c>
      <c r="D1076" s="27" t="s">
        <v>44</v>
      </c>
      <c r="E1076" s="28" t="n">
        <f aca="false">ROUND((SUMIFS(Acerto_Detalhado!$F$2:$F$433,Acerto_Detalhado!$A$2:$A$433,$C1076,Acerto_Detalhado!$B$2:$B$433,"Mar",Acerto_Detalhado!$C$2:$C$433,"Fibra"))*(SUMIFS(Acerto_Detalhado!$I$2:$I$433,Acerto_Detalhado!$A$2:$A$433,$D1076,Acerto_Detalhado!$B$2:$B$433,"Mar",Acerto_Detalhado!$C$2:$C$433,"Fibra")),2)</f>
        <v>0</v>
      </c>
    </row>
    <row r="1077" customFormat="false" ht="15" hidden="false" customHeight="false" outlineLevel="0" collapsed="false">
      <c r="A1077" s="27" t="s">
        <v>113</v>
      </c>
      <c r="B1077" s="27" t="s">
        <v>111</v>
      </c>
      <c r="C1077" s="27" t="s">
        <v>40</v>
      </c>
      <c r="D1077" s="27" t="s">
        <v>45</v>
      </c>
      <c r="E1077" s="28" t="n">
        <f aca="false">ROUND((SUMIFS(Acerto_Detalhado!$F$2:$F$433,Acerto_Detalhado!$A$2:$A$433,$C1077,Acerto_Detalhado!$B$2:$B$433,"Mar",Acerto_Detalhado!$C$2:$C$433,"Fibra"))*(SUMIFS(Acerto_Detalhado!$I$2:$I$433,Acerto_Detalhado!$A$2:$A$433,$D1077,Acerto_Detalhado!$B$2:$B$433,"Mar",Acerto_Detalhado!$C$2:$C$433,"Fibra")),2)</f>
        <v>0</v>
      </c>
    </row>
    <row r="1078" customFormat="false" ht="15" hidden="false" customHeight="false" outlineLevel="0" collapsed="false">
      <c r="A1078" s="27" t="s">
        <v>113</v>
      </c>
      <c r="B1078" s="27" t="s">
        <v>111</v>
      </c>
      <c r="C1078" s="27" t="s">
        <v>40</v>
      </c>
      <c r="D1078" s="27" t="s">
        <v>46</v>
      </c>
      <c r="E1078" s="28" t="n">
        <f aca="false">ROUND((SUMIFS(Acerto_Detalhado!$F$2:$F$433,Acerto_Detalhado!$A$2:$A$433,$C1078,Acerto_Detalhado!$B$2:$B$433,"Mar",Acerto_Detalhado!$C$2:$C$433,"Fibra"))*(SUMIFS(Acerto_Detalhado!$I$2:$I$433,Acerto_Detalhado!$A$2:$A$433,$D1078,Acerto_Detalhado!$B$2:$B$433,"Mar",Acerto_Detalhado!$C$2:$C$433,"Fibra")),2)</f>
        <v>0</v>
      </c>
    </row>
    <row r="1079" customFormat="false" ht="15" hidden="false" customHeight="false" outlineLevel="0" collapsed="false">
      <c r="A1079" s="27" t="s">
        <v>113</v>
      </c>
      <c r="B1079" s="27" t="s">
        <v>111</v>
      </c>
      <c r="C1079" s="27" t="s">
        <v>40</v>
      </c>
      <c r="D1079" s="27" t="s">
        <v>47</v>
      </c>
      <c r="E1079" s="28" t="n">
        <f aca="false">ROUND((SUMIFS(Acerto_Detalhado!$F$2:$F$433,Acerto_Detalhado!$A$2:$A$433,$C1079,Acerto_Detalhado!$B$2:$B$433,"Mar",Acerto_Detalhado!$C$2:$C$433,"Fibra"))*(SUMIFS(Acerto_Detalhado!$I$2:$I$433,Acerto_Detalhado!$A$2:$A$433,$D1079,Acerto_Detalhado!$B$2:$B$433,"Mar",Acerto_Detalhado!$C$2:$C$433,"Fibra")),2)</f>
        <v>0</v>
      </c>
    </row>
    <row r="1080" customFormat="false" ht="15" hidden="false" customHeight="false" outlineLevel="0" collapsed="false">
      <c r="A1080" s="27" t="s">
        <v>113</v>
      </c>
      <c r="B1080" s="27" t="s">
        <v>111</v>
      </c>
      <c r="C1080" s="27" t="s">
        <v>40</v>
      </c>
      <c r="D1080" s="27" t="s">
        <v>48</v>
      </c>
      <c r="E1080" s="28" t="n">
        <f aca="false">ROUND((SUMIFS(Acerto_Detalhado!$F$2:$F$433,Acerto_Detalhado!$A$2:$A$433,$C1080,Acerto_Detalhado!$B$2:$B$433,"Mar",Acerto_Detalhado!$C$2:$C$433,"Fibra"))*(SUMIFS(Acerto_Detalhado!$I$2:$I$433,Acerto_Detalhado!$A$2:$A$433,$D1080,Acerto_Detalhado!$B$2:$B$433,"Mar",Acerto_Detalhado!$C$2:$C$433,"Fibra")),2)</f>
        <v>0</v>
      </c>
    </row>
    <row r="1081" customFormat="false" ht="15" hidden="false" customHeight="false" outlineLevel="0" collapsed="false">
      <c r="A1081" s="27" t="s">
        <v>113</v>
      </c>
      <c r="B1081" s="27" t="s">
        <v>111</v>
      </c>
      <c r="C1081" s="27" t="s">
        <v>40</v>
      </c>
      <c r="D1081" s="27" t="s">
        <v>49</v>
      </c>
      <c r="E1081" s="28" t="n">
        <f aca="false">ROUND((SUMIFS(Acerto_Detalhado!$F$2:$F$433,Acerto_Detalhado!$A$2:$A$433,$C1081,Acerto_Detalhado!$B$2:$B$433,"Mar",Acerto_Detalhado!$C$2:$C$433,"Fibra"))*(SUMIFS(Acerto_Detalhado!$I$2:$I$433,Acerto_Detalhado!$A$2:$A$433,$D1081,Acerto_Detalhado!$B$2:$B$433,"Mar",Acerto_Detalhado!$C$2:$C$433,"Fibra")),2)</f>
        <v>0</v>
      </c>
    </row>
    <row r="1082" customFormat="false" ht="15" hidden="false" customHeight="false" outlineLevel="0" collapsed="false">
      <c r="A1082" s="27" t="s">
        <v>113</v>
      </c>
      <c r="B1082" s="27" t="s">
        <v>111</v>
      </c>
      <c r="C1082" s="27" t="s">
        <v>40</v>
      </c>
      <c r="D1082" s="27" t="s">
        <v>50</v>
      </c>
      <c r="E1082" s="28" t="n">
        <f aca="false">ROUND((SUMIFS(Acerto_Detalhado!$F$2:$F$433,Acerto_Detalhado!$A$2:$A$433,$C1082,Acerto_Detalhado!$B$2:$B$433,"Mar",Acerto_Detalhado!$C$2:$C$433,"Fibra"))*(SUMIFS(Acerto_Detalhado!$I$2:$I$433,Acerto_Detalhado!$A$2:$A$433,$D1082,Acerto_Detalhado!$B$2:$B$433,"Mar",Acerto_Detalhado!$C$2:$C$433,"Fibra")),2)</f>
        <v>0</v>
      </c>
    </row>
    <row r="1083" customFormat="false" ht="15" hidden="false" customHeight="false" outlineLevel="0" collapsed="false">
      <c r="A1083" s="27" t="s">
        <v>113</v>
      </c>
      <c r="B1083" s="27" t="s">
        <v>111</v>
      </c>
      <c r="C1083" s="27" t="s">
        <v>41</v>
      </c>
      <c r="D1083" s="27" t="s">
        <v>39</v>
      </c>
      <c r="E1083" s="28" t="n">
        <f aca="false">ROUND((SUMIFS(Acerto_Detalhado!$F$2:$F$433,Acerto_Detalhado!$A$2:$A$433,$C1083,Acerto_Detalhado!$B$2:$B$433,"Mar",Acerto_Detalhado!$C$2:$C$433,"Fibra"))*(SUMIFS(Acerto_Detalhado!$I$2:$I$433,Acerto_Detalhado!$A$2:$A$433,$D1083,Acerto_Detalhado!$B$2:$B$433,"Mar",Acerto_Detalhado!$C$2:$C$433,"Fibra")),2)</f>
        <v>0</v>
      </c>
    </row>
    <row r="1084" customFormat="false" ht="15" hidden="false" customHeight="false" outlineLevel="0" collapsed="false">
      <c r="A1084" s="27" t="s">
        <v>113</v>
      </c>
      <c r="B1084" s="27" t="s">
        <v>111</v>
      </c>
      <c r="C1084" s="27" t="s">
        <v>41</v>
      </c>
      <c r="D1084" s="27" t="s">
        <v>40</v>
      </c>
      <c r="E1084" s="28" t="n">
        <f aca="false">ROUND((SUMIFS(Acerto_Detalhado!$F$2:$F$433,Acerto_Detalhado!$A$2:$A$433,$C1084,Acerto_Detalhado!$B$2:$B$433,"Mar",Acerto_Detalhado!$C$2:$C$433,"Fibra"))*(SUMIFS(Acerto_Detalhado!$I$2:$I$433,Acerto_Detalhado!$A$2:$A$433,$D1084,Acerto_Detalhado!$B$2:$B$433,"Mar",Acerto_Detalhado!$C$2:$C$433,"Fibra")),2)</f>
        <v>0</v>
      </c>
    </row>
    <row r="1085" customFormat="false" ht="15" hidden="false" customHeight="false" outlineLevel="0" collapsed="false">
      <c r="A1085" s="27" t="s">
        <v>113</v>
      </c>
      <c r="B1085" s="27" t="s">
        <v>111</v>
      </c>
      <c r="C1085" s="27" t="s">
        <v>41</v>
      </c>
      <c r="D1085" s="27" t="s">
        <v>42</v>
      </c>
      <c r="E1085" s="28" t="n">
        <f aca="false">ROUND((SUMIFS(Acerto_Detalhado!$F$2:$F$433,Acerto_Detalhado!$A$2:$A$433,$C1085,Acerto_Detalhado!$B$2:$B$433,"Mar",Acerto_Detalhado!$C$2:$C$433,"Fibra"))*(SUMIFS(Acerto_Detalhado!$I$2:$I$433,Acerto_Detalhado!$A$2:$A$433,$D1085,Acerto_Detalhado!$B$2:$B$433,"Mar",Acerto_Detalhado!$C$2:$C$433,"Fibra")),2)</f>
        <v>0</v>
      </c>
    </row>
    <row r="1086" customFormat="false" ht="15" hidden="false" customHeight="false" outlineLevel="0" collapsed="false">
      <c r="A1086" s="27" t="s">
        <v>113</v>
      </c>
      <c r="B1086" s="27" t="s">
        <v>111</v>
      </c>
      <c r="C1086" s="27" t="s">
        <v>41</v>
      </c>
      <c r="D1086" s="27" t="s">
        <v>43</v>
      </c>
      <c r="E1086" s="28" t="n">
        <f aca="false">ROUND((SUMIFS(Acerto_Detalhado!$F$2:$F$433,Acerto_Detalhado!$A$2:$A$433,$C1086,Acerto_Detalhado!$B$2:$B$433,"Mar",Acerto_Detalhado!$C$2:$C$433,"Fibra"))*(SUMIFS(Acerto_Detalhado!$I$2:$I$433,Acerto_Detalhado!$A$2:$A$433,$D1086,Acerto_Detalhado!$B$2:$B$433,"Mar",Acerto_Detalhado!$C$2:$C$433,"Fibra")),2)</f>
        <v>0</v>
      </c>
    </row>
    <row r="1087" customFormat="false" ht="15" hidden="false" customHeight="false" outlineLevel="0" collapsed="false">
      <c r="A1087" s="27" t="s">
        <v>113</v>
      </c>
      <c r="B1087" s="27" t="s">
        <v>111</v>
      </c>
      <c r="C1087" s="27" t="s">
        <v>41</v>
      </c>
      <c r="D1087" s="27" t="s">
        <v>44</v>
      </c>
      <c r="E1087" s="28" t="n">
        <f aca="false">ROUND((SUMIFS(Acerto_Detalhado!$F$2:$F$433,Acerto_Detalhado!$A$2:$A$433,$C1087,Acerto_Detalhado!$B$2:$B$433,"Mar",Acerto_Detalhado!$C$2:$C$433,"Fibra"))*(SUMIFS(Acerto_Detalhado!$I$2:$I$433,Acerto_Detalhado!$A$2:$A$433,$D1087,Acerto_Detalhado!$B$2:$B$433,"Mar",Acerto_Detalhado!$C$2:$C$433,"Fibra")),2)</f>
        <v>0</v>
      </c>
    </row>
    <row r="1088" customFormat="false" ht="15" hidden="false" customHeight="false" outlineLevel="0" collapsed="false">
      <c r="A1088" s="27" t="s">
        <v>113</v>
      </c>
      <c r="B1088" s="27" t="s">
        <v>111</v>
      </c>
      <c r="C1088" s="27" t="s">
        <v>41</v>
      </c>
      <c r="D1088" s="27" t="s">
        <v>45</v>
      </c>
      <c r="E1088" s="28" t="n">
        <f aca="false">ROUND((SUMIFS(Acerto_Detalhado!$F$2:$F$433,Acerto_Detalhado!$A$2:$A$433,$C1088,Acerto_Detalhado!$B$2:$B$433,"Mar",Acerto_Detalhado!$C$2:$C$433,"Fibra"))*(SUMIFS(Acerto_Detalhado!$I$2:$I$433,Acerto_Detalhado!$A$2:$A$433,$D1088,Acerto_Detalhado!$B$2:$B$433,"Mar",Acerto_Detalhado!$C$2:$C$433,"Fibra")),2)</f>
        <v>0</v>
      </c>
    </row>
    <row r="1089" customFormat="false" ht="15" hidden="false" customHeight="false" outlineLevel="0" collapsed="false">
      <c r="A1089" s="27" t="s">
        <v>113</v>
      </c>
      <c r="B1089" s="27" t="s">
        <v>111</v>
      </c>
      <c r="C1089" s="27" t="s">
        <v>41</v>
      </c>
      <c r="D1089" s="27" t="s">
        <v>46</v>
      </c>
      <c r="E1089" s="28" t="n">
        <f aca="false">ROUND((SUMIFS(Acerto_Detalhado!$F$2:$F$433,Acerto_Detalhado!$A$2:$A$433,$C1089,Acerto_Detalhado!$B$2:$B$433,"Mar",Acerto_Detalhado!$C$2:$C$433,"Fibra"))*(SUMIFS(Acerto_Detalhado!$I$2:$I$433,Acerto_Detalhado!$A$2:$A$433,$D1089,Acerto_Detalhado!$B$2:$B$433,"Mar",Acerto_Detalhado!$C$2:$C$433,"Fibra")),2)</f>
        <v>0</v>
      </c>
    </row>
    <row r="1090" customFormat="false" ht="15" hidden="false" customHeight="false" outlineLevel="0" collapsed="false">
      <c r="A1090" s="27" t="s">
        <v>113</v>
      </c>
      <c r="B1090" s="27" t="s">
        <v>111</v>
      </c>
      <c r="C1090" s="27" t="s">
        <v>41</v>
      </c>
      <c r="D1090" s="27" t="s">
        <v>47</v>
      </c>
      <c r="E1090" s="28" t="n">
        <f aca="false">ROUND((SUMIFS(Acerto_Detalhado!$F$2:$F$433,Acerto_Detalhado!$A$2:$A$433,$C1090,Acerto_Detalhado!$B$2:$B$433,"Mar",Acerto_Detalhado!$C$2:$C$433,"Fibra"))*(SUMIFS(Acerto_Detalhado!$I$2:$I$433,Acerto_Detalhado!$A$2:$A$433,$D1090,Acerto_Detalhado!$B$2:$B$433,"Mar",Acerto_Detalhado!$C$2:$C$433,"Fibra")),2)</f>
        <v>0</v>
      </c>
    </row>
    <row r="1091" customFormat="false" ht="15" hidden="false" customHeight="false" outlineLevel="0" collapsed="false">
      <c r="A1091" s="27" t="s">
        <v>113</v>
      </c>
      <c r="B1091" s="27" t="s">
        <v>111</v>
      </c>
      <c r="C1091" s="27" t="s">
        <v>41</v>
      </c>
      <c r="D1091" s="27" t="s">
        <v>48</v>
      </c>
      <c r="E1091" s="28" t="n">
        <f aca="false">ROUND((SUMIFS(Acerto_Detalhado!$F$2:$F$433,Acerto_Detalhado!$A$2:$A$433,$C1091,Acerto_Detalhado!$B$2:$B$433,"Mar",Acerto_Detalhado!$C$2:$C$433,"Fibra"))*(SUMIFS(Acerto_Detalhado!$I$2:$I$433,Acerto_Detalhado!$A$2:$A$433,$D1091,Acerto_Detalhado!$B$2:$B$433,"Mar",Acerto_Detalhado!$C$2:$C$433,"Fibra")),2)</f>
        <v>0</v>
      </c>
    </row>
    <row r="1092" customFormat="false" ht="15" hidden="false" customHeight="false" outlineLevel="0" collapsed="false">
      <c r="A1092" s="27" t="s">
        <v>113</v>
      </c>
      <c r="B1092" s="27" t="s">
        <v>111</v>
      </c>
      <c r="C1092" s="27" t="s">
        <v>41</v>
      </c>
      <c r="D1092" s="27" t="s">
        <v>49</v>
      </c>
      <c r="E1092" s="28" t="n">
        <f aca="false">ROUND((SUMIFS(Acerto_Detalhado!$F$2:$F$433,Acerto_Detalhado!$A$2:$A$433,$C1092,Acerto_Detalhado!$B$2:$B$433,"Mar",Acerto_Detalhado!$C$2:$C$433,"Fibra"))*(SUMIFS(Acerto_Detalhado!$I$2:$I$433,Acerto_Detalhado!$A$2:$A$433,$D1092,Acerto_Detalhado!$B$2:$B$433,"Mar",Acerto_Detalhado!$C$2:$C$433,"Fibra")),2)</f>
        <v>0</v>
      </c>
    </row>
    <row r="1093" customFormat="false" ht="15" hidden="false" customHeight="false" outlineLevel="0" collapsed="false">
      <c r="A1093" s="27" t="s">
        <v>113</v>
      </c>
      <c r="B1093" s="27" t="s">
        <v>111</v>
      </c>
      <c r="C1093" s="27" t="s">
        <v>41</v>
      </c>
      <c r="D1093" s="27" t="s">
        <v>50</v>
      </c>
      <c r="E1093" s="28" t="n">
        <f aca="false">ROUND((SUMIFS(Acerto_Detalhado!$F$2:$F$433,Acerto_Detalhado!$A$2:$A$433,$C1093,Acerto_Detalhado!$B$2:$B$433,"Mar",Acerto_Detalhado!$C$2:$C$433,"Fibra"))*(SUMIFS(Acerto_Detalhado!$I$2:$I$433,Acerto_Detalhado!$A$2:$A$433,$D1093,Acerto_Detalhado!$B$2:$B$433,"Mar",Acerto_Detalhado!$C$2:$C$433,"Fibra")),2)</f>
        <v>0</v>
      </c>
    </row>
    <row r="1094" customFormat="false" ht="15" hidden="false" customHeight="false" outlineLevel="0" collapsed="false">
      <c r="A1094" s="27" t="s">
        <v>113</v>
      </c>
      <c r="B1094" s="27" t="s">
        <v>111</v>
      </c>
      <c r="C1094" s="27" t="s">
        <v>42</v>
      </c>
      <c r="D1094" s="27" t="s">
        <v>39</v>
      </c>
      <c r="E1094" s="28" t="n">
        <f aca="false">ROUND((SUMIFS(Acerto_Detalhado!$F$2:$F$433,Acerto_Detalhado!$A$2:$A$433,$C1094,Acerto_Detalhado!$B$2:$B$433,"Mar",Acerto_Detalhado!$C$2:$C$433,"Fibra"))*(SUMIFS(Acerto_Detalhado!$I$2:$I$433,Acerto_Detalhado!$A$2:$A$433,$D1094,Acerto_Detalhado!$B$2:$B$433,"Mar",Acerto_Detalhado!$C$2:$C$433,"Fibra")),2)</f>
        <v>0</v>
      </c>
    </row>
    <row r="1095" customFormat="false" ht="15" hidden="false" customHeight="false" outlineLevel="0" collapsed="false">
      <c r="A1095" s="27" t="s">
        <v>113</v>
      </c>
      <c r="B1095" s="27" t="s">
        <v>111</v>
      </c>
      <c r="C1095" s="27" t="s">
        <v>42</v>
      </c>
      <c r="D1095" s="27" t="s">
        <v>40</v>
      </c>
      <c r="E1095" s="28" t="n">
        <f aca="false">ROUND((SUMIFS(Acerto_Detalhado!$F$2:$F$433,Acerto_Detalhado!$A$2:$A$433,$C1095,Acerto_Detalhado!$B$2:$B$433,"Mar",Acerto_Detalhado!$C$2:$C$433,"Fibra"))*(SUMIFS(Acerto_Detalhado!$I$2:$I$433,Acerto_Detalhado!$A$2:$A$433,$D1095,Acerto_Detalhado!$B$2:$B$433,"Mar",Acerto_Detalhado!$C$2:$C$433,"Fibra")),2)</f>
        <v>5099.89</v>
      </c>
    </row>
    <row r="1096" customFormat="false" ht="15" hidden="false" customHeight="false" outlineLevel="0" collapsed="false">
      <c r="A1096" s="27" t="s">
        <v>113</v>
      </c>
      <c r="B1096" s="27" t="s">
        <v>111</v>
      </c>
      <c r="C1096" s="27" t="s">
        <v>42</v>
      </c>
      <c r="D1096" s="27" t="s">
        <v>41</v>
      </c>
      <c r="E1096" s="28" t="n">
        <f aca="false">ROUND((SUMIFS(Acerto_Detalhado!$F$2:$F$433,Acerto_Detalhado!$A$2:$A$433,$C1096,Acerto_Detalhado!$B$2:$B$433,"Mar",Acerto_Detalhado!$C$2:$C$433,"Fibra"))*(SUMIFS(Acerto_Detalhado!$I$2:$I$433,Acerto_Detalhado!$A$2:$A$433,$D1096,Acerto_Detalhado!$B$2:$B$433,"Mar",Acerto_Detalhado!$C$2:$C$433,"Fibra")),2)</f>
        <v>1445.12</v>
      </c>
    </row>
    <row r="1097" customFormat="false" ht="15" hidden="false" customHeight="false" outlineLevel="0" collapsed="false">
      <c r="A1097" s="27" t="s">
        <v>113</v>
      </c>
      <c r="B1097" s="27" t="s">
        <v>111</v>
      </c>
      <c r="C1097" s="27" t="s">
        <v>42</v>
      </c>
      <c r="D1097" s="27" t="s">
        <v>43</v>
      </c>
      <c r="E1097" s="28" t="n">
        <f aca="false">ROUND((SUMIFS(Acerto_Detalhado!$F$2:$F$433,Acerto_Detalhado!$A$2:$A$433,$C1097,Acerto_Detalhado!$B$2:$B$433,"Mar",Acerto_Detalhado!$C$2:$C$433,"Fibra"))*(SUMIFS(Acerto_Detalhado!$I$2:$I$433,Acerto_Detalhado!$A$2:$A$433,$D1097,Acerto_Detalhado!$B$2:$B$433,"Mar",Acerto_Detalhado!$C$2:$C$433,"Fibra")),2)</f>
        <v>0</v>
      </c>
    </row>
    <row r="1098" customFormat="false" ht="15" hidden="false" customHeight="false" outlineLevel="0" collapsed="false">
      <c r="A1098" s="27" t="s">
        <v>113</v>
      </c>
      <c r="B1098" s="27" t="s">
        <v>111</v>
      </c>
      <c r="C1098" s="27" t="s">
        <v>42</v>
      </c>
      <c r="D1098" s="27" t="s">
        <v>44</v>
      </c>
      <c r="E1098" s="28" t="n">
        <f aca="false">ROUND((SUMIFS(Acerto_Detalhado!$F$2:$F$433,Acerto_Detalhado!$A$2:$A$433,$C1098,Acerto_Detalhado!$B$2:$B$433,"Mar",Acerto_Detalhado!$C$2:$C$433,"Fibra"))*(SUMIFS(Acerto_Detalhado!$I$2:$I$433,Acerto_Detalhado!$A$2:$A$433,$D1098,Acerto_Detalhado!$B$2:$B$433,"Mar",Acerto_Detalhado!$C$2:$C$433,"Fibra")),2)</f>
        <v>0</v>
      </c>
    </row>
    <row r="1099" customFormat="false" ht="15" hidden="false" customHeight="false" outlineLevel="0" collapsed="false">
      <c r="A1099" s="27" t="s">
        <v>113</v>
      </c>
      <c r="B1099" s="27" t="s">
        <v>111</v>
      </c>
      <c r="C1099" s="27" t="s">
        <v>42</v>
      </c>
      <c r="D1099" s="27" t="s">
        <v>45</v>
      </c>
      <c r="E1099" s="28" t="n">
        <f aca="false">ROUND((SUMIFS(Acerto_Detalhado!$F$2:$F$433,Acerto_Detalhado!$A$2:$A$433,$C1099,Acerto_Detalhado!$B$2:$B$433,"Mar",Acerto_Detalhado!$C$2:$C$433,"Fibra"))*(SUMIFS(Acerto_Detalhado!$I$2:$I$433,Acerto_Detalhado!$A$2:$A$433,$D1099,Acerto_Detalhado!$B$2:$B$433,"Mar",Acerto_Detalhado!$C$2:$C$433,"Fibra")),2)</f>
        <v>16.66</v>
      </c>
    </row>
    <row r="1100" customFormat="false" ht="15" hidden="false" customHeight="false" outlineLevel="0" collapsed="false">
      <c r="A1100" s="27" t="s">
        <v>113</v>
      </c>
      <c r="B1100" s="27" t="s">
        <v>111</v>
      </c>
      <c r="C1100" s="27" t="s">
        <v>42</v>
      </c>
      <c r="D1100" s="27" t="s">
        <v>46</v>
      </c>
      <c r="E1100" s="28" t="n">
        <f aca="false">ROUND((SUMIFS(Acerto_Detalhado!$F$2:$F$433,Acerto_Detalhado!$A$2:$A$433,$C1100,Acerto_Detalhado!$B$2:$B$433,"Mar",Acerto_Detalhado!$C$2:$C$433,"Fibra"))*(SUMIFS(Acerto_Detalhado!$I$2:$I$433,Acerto_Detalhado!$A$2:$A$433,$D1100,Acerto_Detalhado!$B$2:$B$433,"Mar",Acerto_Detalhado!$C$2:$C$433,"Fibra")),2)</f>
        <v>0</v>
      </c>
    </row>
    <row r="1101" customFormat="false" ht="15" hidden="false" customHeight="false" outlineLevel="0" collapsed="false">
      <c r="A1101" s="27" t="s">
        <v>113</v>
      </c>
      <c r="B1101" s="27" t="s">
        <v>111</v>
      </c>
      <c r="C1101" s="27" t="s">
        <v>42</v>
      </c>
      <c r="D1101" s="27" t="s">
        <v>47</v>
      </c>
      <c r="E1101" s="28" t="n">
        <f aca="false">ROUND((SUMIFS(Acerto_Detalhado!$F$2:$F$433,Acerto_Detalhado!$A$2:$A$433,$C1101,Acerto_Detalhado!$B$2:$B$433,"Mar",Acerto_Detalhado!$C$2:$C$433,"Fibra"))*(SUMIFS(Acerto_Detalhado!$I$2:$I$433,Acerto_Detalhado!$A$2:$A$433,$D1101,Acerto_Detalhado!$B$2:$B$433,"Mar",Acerto_Detalhado!$C$2:$C$433,"Fibra")),2)</f>
        <v>0</v>
      </c>
    </row>
    <row r="1102" customFormat="false" ht="15" hidden="false" customHeight="false" outlineLevel="0" collapsed="false">
      <c r="A1102" s="27" t="s">
        <v>113</v>
      </c>
      <c r="B1102" s="27" t="s">
        <v>111</v>
      </c>
      <c r="C1102" s="27" t="s">
        <v>42</v>
      </c>
      <c r="D1102" s="27" t="s">
        <v>48</v>
      </c>
      <c r="E1102" s="28" t="n">
        <f aca="false">ROUND((SUMIFS(Acerto_Detalhado!$F$2:$F$433,Acerto_Detalhado!$A$2:$A$433,$C1102,Acerto_Detalhado!$B$2:$B$433,"Mar",Acerto_Detalhado!$C$2:$C$433,"Fibra"))*(SUMIFS(Acerto_Detalhado!$I$2:$I$433,Acerto_Detalhado!$A$2:$A$433,$D1102,Acerto_Detalhado!$B$2:$B$433,"Mar",Acerto_Detalhado!$C$2:$C$433,"Fibra")),2)</f>
        <v>0</v>
      </c>
    </row>
    <row r="1103" customFormat="false" ht="15" hidden="false" customHeight="false" outlineLevel="0" collapsed="false">
      <c r="A1103" s="27" t="s">
        <v>113</v>
      </c>
      <c r="B1103" s="27" t="s">
        <v>111</v>
      </c>
      <c r="C1103" s="27" t="s">
        <v>42</v>
      </c>
      <c r="D1103" s="27" t="s">
        <v>49</v>
      </c>
      <c r="E1103" s="28" t="n">
        <f aca="false">ROUND((SUMIFS(Acerto_Detalhado!$F$2:$F$433,Acerto_Detalhado!$A$2:$A$433,$C1103,Acerto_Detalhado!$B$2:$B$433,"Mar",Acerto_Detalhado!$C$2:$C$433,"Fibra"))*(SUMIFS(Acerto_Detalhado!$I$2:$I$433,Acerto_Detalhado!$A$2:$A$433,$D1103,Acerto_Detalhado!$B$2:$B$433,"Mar",Acerto_Detalhado!$C$2:$C$433,"Fibra")),2)</f>
        <v>0</v>
      </c>
    </row>
    <row r="1104" customFormat="false" ht="15" hidden="false" customHeight="false" outlineLevel="0" collapsed="false">
      <c r="A1104" s="27" t="s">
        <v>113</v>
      </c>
      <c r="B1104" s="27" t="s">
        <v>111</v>
      </c>
      <c r="C1104" s="27" t="s">
        <v>42</v>
      </c>
      <c r="D1104" s="27" t="s">
        <v>50</v>
      </c>
      <c r="E1104" s="28" t="n">
        <f aca="false">ROUND((SUMIFS(Acerto_Detalhado!$F$2:$F$433,Acerto_Detalhado!$A$2:$A$433,$C1104,Acerto_Detalhado!$B$2:$B$433,"Mar",Acerto_Detalhado!$C$2:$C$433,"Fibra"))*(SUMIFS(Acerto_Detalhado!$I$2:$I$433,Acerto_Detalhado!$A$2:$A$433,$D1104,Acerto_Detalhado!$B$2:$B$433,"Mar",Acerto_Detalhado!$C$2:$C$433,"Fibra")),2)</f>
        <v>0</v>
      </c>
    </row>
    <row r="1105" customFormat="false" ht="15" hidden="false" customHeight="false" outlineLevel="0" collapsed="false">
      <c r="A1105" s="27" t="s">
        <v>113</v>
      </c>
      <c r="B1105" s="27" t="s">
        <v>111</v>
      </c>
      <c r="C1105" s="27" t="s">
        <v>43</v>
      </c>
      <c r="D1105" s="27" t="s">
        <v>39</v>
      </c>
      <c r="E1105" s="28" t="n">
        <f aca="false">ROUND((SUMIFS(Acerto_Detalhado!$F$2:$F$433,Acerto_Detalhado!$A$2:$A$433,$C1105,Acerto_Detalhado!$B$2:$B$433,"Mar",Acerto_Detalhado!$C$2:$C$433,"Fibra"))*(SUMIFS(Acerto_Detalhado!$I$2:$I$433,Acerto_Detalhado!$A$2:$A$433,$D1105,Acerto_Detalhado!$B$2:$B$433,"Mar",Acerto_Detalhado!$C$2:$C$433,"Fibra")),2)</f>
        <v>0</v>
      </c>
    </row>
    <row r="1106" customFormat="false" ht="15" hidden="false" customHeight="false" outlineLevel="0" collapsed="false">
      <c r="A1106" s="27" t="s">
        <v>113</v>
      </c>
      <c r="B1106" s="27" t="s">
        <v>111</v>
      </c>
      <c r="C1106" s="27" t="s">
        <v>43</v>
      </c>
      <c r="D1106" s="27" t="s">
        <v>40</v>
      </c>
      <c r="E1106" s="28" t="n">
        <f aca="false">ROUND((SUMIFS(Acerto_Detalhado!$F$2:$F$433,Acerto_Detalhado!$A$2:$A$433,$C1106,Acerto_Detalhado!$B$2:$B$433,"Mar",Acerto_Detalhado!$C$2:$C$433,"Fibra"))*(SUMIFS(Acerto_Detalhado!$I$2:$I$433,Acerto_Detalhado!$A$2:$A$433,$D1106,Acerto_Detalhado!$B$2:$B$433,"Mar",Acerto_Detalhado!$C$2:$C$433,"Fibra")),2)</f>
        <v>3386.19</v>
      </c>
    </row>
    <row r="1107" customFormat="false" ht="15" hidden="false" customHeight="false" outlineLevel="0" collapsed="false">
      <c r="A1107" s="27" t="s">
        <v>113</v>
      </c>
      <c r="B1107" s="27" t="s">
        <v>111</v>
      </c>
      <c r="C1107" s="27" t="s">
        <v>43</v>
      </c>
      <c r="D1107" s="27" t="s">
        <v>41</v>
      </c>
      <c r="E1107" s="28" t="n">
        <f aca="false">ROUND((SUMIFS(Acerto_Detalhado!$F$2:$F$433,Acerto_Detalhado!$A$2:$A$433,$C1107,Acerto_Detalhado!$B$2:$B$433,"Mar",Acerto_Detalhado!$C$2:$C$433,"Fibra"))*(SUMIFS(Acerto_Detalhado!$I$2:$I$433,Acerto_Detalhado!$A$2:$A$433,$D1107,Acerto_Detalhado!$B$2:$B$433,"Mar",Acerto_Detalhado!$C$2:$C$433,"Fibra")),2)</f>
        <v>959.52</v>
      </c>
    </row>
    <row r="1108" customFormat="false" ht="15" hidden="false" customHeight="false" outlineLevel="0" collapsed="false">
      <c r="A1108" s="27" t="s">
        <v>113</v>
      </c>
      <c r="B1108" s="27" t="s">
        <v>111</v>
      </c>
      <c r="C1108" s="27" t="s">
        <v>43</v>
      </c>
      <c r="D1108" s="27" t="s">
        <v>42</v>
      </c>
      <c r="E1108" s="28" t="n">
        <f aca="false">ROUND((SUMIFS(Acerto_Detalhado!$F$2:$F$433,Acerto_Detalhado!$A$2:$A$433,$C1108,Acerto_Detalhado!$B$2:$B$433,"Mar",Acerto_Detalhado!$C$2:$C$433,"Fibra"))*(SUMIFS(Acerto_Detalhado!$I$2:$I$433,Acerto_Detalhado!$A$2:$A$433,$D1108,Acerto_Detalhado!$B$2:$B$433,"Mar",Acerto_Detalhado!$C$2:$C$433,"Fibra")),2)</f>
        <v>0</v>
      </c>
    </row>
    <row r="1109" customFormat="false" ht="15" hidden="false" customHeight="false" outlineLevel="0" collapsed="false">
      <c r="A1109" s="27" t="s">
        <v>113</v>
      </c>
      <c r="B1109" s="27" t="s">
        <v>111</v>
      </c>
      <c r="C1109" s="27" t="s">
        <v>43</v>
      </c>
      <c r="D1109" s="27" t="s">
        <v>44</v>
      </c>
      <c r="E1109" s="28" t="n">
        <f aca="false">ROUND((SUMIFS(Acerto_Detalhado!$F$2:$F$433,Acerto_Detalhado!$A$2:$A$433,$C1109,Acerto_Detalhado!$B$2:$B$433,"Mar",Acerto_Detalhado!$C$2:$C$433,"Fibra"))*(SUMIFS(Acerto_Detalhado!$I$2:$I$433,Acerto_Detalhado!$A$2:$A$433,$D1109,Acerto_Detalhado!$B$2:$B$433,"Mar",Acerto_Detalhado!$C$2:$C$433,"Fibra")),2)</f>
        <v>0</v>
      </c>
    </row>
    <row r="1110" customFormat="false" ht="15" hidden="false" customHeight="false" outlineLevel="0" collapsed="false">
      <c r="A1110" s="27" t="s">
        <v>113</v>
      </c>
      <c r="B1110" s="27" t="s">
        <v>111</v>
      </c>
      <c r="C1110" s="27" t="s">
        <v>43</v>
      </c>
      <c r="D1110" s="27" t="s">
        <v>45</v>
      </c>
      <c r="E1110" s="28" t="n">
        <f aca="false">ROUND((SUMIFS(Acerto_Detalhado!$F$2:$F$433,Acerto_Detalhado!$A$2:$A$433,$C1110,Acerto_Detalhado!$B$2:$B$433,"Mar",Acerto_Detalhado!$C$2:$C$433,"Fibra"))*(SUMIFS(Acerto_Detalhado!$I$2:$I$433,Acerto_Detalhado!$A$2:$A$433,$D1110,Acerto_Detalhado!$B$2:$B$433,"Mar",Acerto_Detalhado!$C$2:$C$433,"Fibra")),2)</f>
        <v>11.06</v>
      </c>
    </row>
    <row r="1111" customFormat="false" ht="15" hidden="false" customHeight="false" outlineLevel="0" collapsed="false">
      <c r="A1111" s="27" t="s">
        <v>113</v>
      </c>
      <c r="B1111" s="27" t="s">
        <v>111</v>
      </c>
      <c r="C1111" s="27" t="s">
        <v>43</v>
      </c>
      <c r="D1111" s="27" t="s">
        <v>46</v>
      </c>
      <c r="E1111" s="28" t="n">
        <f aca="false">ROUND((SUMIFS(Acerto_Detalhado!$F$2:$F$433,Acerto_Detalhado!$A$2:$A$433,$C1111,Acerto_Detalhado!$B$2:$B$433,"Mar",Acerto_Detalhado!$C$2:$C$433,"Fibra"))*(SUMIFS(Acerto_Detalhado!$I$2:$I$433,Acerto_Detalhado!$A$2:$A$433,$D1111,Acerto_Detalhado!$B$2:$B$433,"Mar",Acerto_Detalhado!$C$2:$C$433,"Fibra")),2)</f>
        <v>0</v>
      </c>
    </row>
    <row r="1112" customFormat="false" ht="15" hidden="false" customHeight="false" outlineLevel="0" collapsed="false">
      <c r="A1112" s="27" t="s">
        <v>113</v>
      </c>
      <c r="B1112" s="27" t="s">
        <v>111</v>
      </c>
      <c r="C1112" s="27" t="s">
        <v>43</v>
      </c>
      <c r="D1112" s="27" t="s">
        <v>47</v>
      </c>
      <c r="E1112" s="28" t="n">
        <f aca="false">ROUND((SUMIFS(Acerto_Detalhado!$F$2:$F$433,Acerto_Detalhado!$A$2:$A$433,$C1112,Acerto_Detalhado!$B$2:$B$433,"Mar",Acerto_Detalhado!$C$2:$C$433,"Fibra"))*(SUMIFS(Acerto_Detalhado!$I$2:$I$433,Acerto_Detalhado!$A$2:$A$433,$D1112,Acerto_Detalhado!$B$2:$B$433,"Mar",Acerto_Detalhado!$C$2:$C$433,"Fibra")),2)</f>
        <v>0</v>
      </c>
    </row>
    <row r="1113" customFormat="false" ht="15" hidden="false" customHeight="false" outlineLevel="0" collapsed="false">
      <c r="A1113" s="27" t="s">
        <v>113</v>
      </c>
      <c r="B1113" s="27" t="s">
        <v>111</v>
      </c>
      <c r="C1113" s="27" t="s">
        <v>43</v>
      </c>
      <c r="D1113" s="27" t="s">
        <v>48</v>
      </c>
      <c r="E1113" s="28" t="n">
        <f aca="false">ROUND((SUMIFS(Acerto_Detalhado!$F$2:$F$433,Acerto_Detalhado!$A$2:$A$433,$C1113,Acerto_Detalhado!$B$2:$B$433,"Mar",Acerto_Detalhado!$C$2:$C$433,"Fibra"))*(SUMIFS(Acerto_Detalhado!$I$2:$I$433,Acerto_Detalhado!$A$2:$A$433,$D1113,Acerto_Detalhado!$B$2:$B$433,"Mar",Acerto_Detalhado!$C$2:$C$433,"Fibra")),2)</f>
        <v>0</v>
      </c>
    </row>
    <row r="1114" customFormat="false" ht="15" hidden="false" customHeight="false" outlineLevel="0" collapsed="false">
      <c r="A1114" s="27" t="s">
        <v>113</v>
      </c>
      <c r="B1114" s="27" t="s">
        <v>111</v>
      </c>
      <c r="C1114" s="27" t="s">
        <v>43</v>
      </c>
      <c r="D1114" s="27" t="s">
        <v>49</v>
      </c>
      <c r="E1114" s="28" t="n">
        <f aca="false">ROUND((SUMIFS(Acerto_Detalhado!$F$2:$F$433,Acerto_Detalhado!$A$2:$A$433,$C1114,Acerto_Detalhado!$B$2:$B$433,"Mar",Acerto_Detalhado!$C$2:$C$433,"Fibra"))*(SUMIFS(Acerto_Detalhado!$I$2:$I$433,Acerto_Detalhado!$A$2:$A$433,$D1114,Acerto_Detalhado!$B$2:$B$433,"Mar",Acerto_Detalhado!$C$2:$C$433,"Fibra")),2)</f>
        <v>0</v>
      </c>
    </row>
    <row r="1115" customFormat="false" ht="15" hidden="false" customHeight="false" outlineLevel="0" collapsed="false">
      <c r="A1115" s="27" t="s">
        <v>113</v>
      </c>
      <c r="B1115" s="27" t="s">
        <v>111</v>
      </c>
      <c r="C1115" s="27" t="s">
        <v>43</v>
      </c>
      <c r="D1115" s="27" t="s">
        <v>50</v>
      </c>
      <c r="E1115" s="28" t="n">
        <f aca="false">ROUND((SUMIFS(Acerto_Detalhado!$F$2:$F$433,Acerto_Detalhado!$A$2:$A$433,$C1115,Acerto_Detalhado!$B$2:$B$433,"Mar",Acerto_Detalhado!$C$2:$C$433,"Fibra"))*(SUMIFS(Acerto_Detalhado!$I$2:$I$433,Acerto_Detalhado!$A$2:$A$433,$D1115,Acerto_Detalhado!$B$2:$B$433,"Mar",Acerto_Detalhado!$C$2:$C$433,"Fibra")),2)</f>
        <v>0</v>
      </c>
    </row>
    <row r="1116" customFormat="false" ht="15" hidden="false" customHeight="false" outlineLevel="0" collapsed="false">
      <c r="A1116" s="27" t="s">
        <v>113</v>
      </c>
      <c r="B1116" s="27" t="s">
        <v>111</v>
      </c>
      <c r="C1116" s="27" t="s">
        <v>44</v>
      </c>
      <c r="D1116" s="27" t="s">
        <v>39</v>
      </c>
      <c r="E1116" s="28" t="n">
        <f aca="false">ROUND((SUMIFS(Acerto_Detalhado!$F$2:$F$433,Acerto_Detalhado!$A$2:$A$433,$C1116,Acerto_Detalhado!$B$2:$B$433,"Mar",Acerto_Detalhado!$C$2:$C$433,"Fibra"))*(SUMIFS(Acerto_Detalhado!$I$2:$I$433,Acerto_Detalhado!$A$2:$A$433,$D1116,Acerto_Detalhado!$B$2:$B$433,"Mar",Acerto_Detalhado!$C$2:$C$433,"Fibra")),2)</f>
        <v>0</v>
      </c>
    </row>
    <row r="1117" customFormat="false" ht="15" hidden="false" customHeight="false" outlineLevel="0" collapsed="false">
      <c r="A1117" s="27" t="s">
        <v>113</v>
      </c>
      <c r="B1117" s="27" t="s">
        <v>111</v>
      </c>
      <c r="C1117" s="27" t="s">
        <v>44</v>
      </c>
      <c r="D1117" s="27" t="s">
        <v>40</v>
      </c>
      <c r="E1117" s="28" t="n">
        <f aca="false">ROUND((SUMIFS(Acerto_Detalhado!$F$2:$F$433,Acerto_Detalhado!$A$2:$A$433,$C1117,Acerto_Detalhado!$B$2:$B$433,"Mar",Acerto_Detalhado!$C$2:$C$433,"Fibra"))*(SUMIFS(Acerto_Detalhado!$I$2:$I$433,Acerto_Detalhado!$A$2:$A$433,$D1117,Acerto_Detalhado!$B$2:$B$433,"Mar",Acerto_Detalhado!$C$2:$C$433,"Fibra")),2)</f>
        <v>3928.89</v>
      </c>
    </row>
    <row r="1118" customFormat="false" ht="15" hidden="false" customHeight="false" outlineLevel="0" collapsed="false">
      <c r="A1118" s="27" t="s">
        <v>113</v>
      </c>
      <c r="B1118" s="27" t="s">
        <v>111</v>
      </c>
      <c r="C1118" s="27" t="s">
        <v>44</v>
      </c>
      <c r="D1118" s="27" t="s">
        <v>41</v>
      </c>
      <c r="E1118" s="28" t="n">
        <f aca="false">ROUND((SUMIFS(Acerto_Detalhado!$F$2:$F$433,Acerto_Detalhado!$A$2:$A$433,$C1118,Acerto_Detalhado!$B$2:$B$433,"Mar",Acerto_Detalhado!$C$2:$C$433,"Fibra"))*(SUMIFS(Acerto_Detalhado!$I$2:$I$433,Acerto_Detalhado!$A$2:$A$433,$D1118,Acerto_Detalhado!$B$2:$B$433,"Mar",Acerto_Detalhado!$C$2:$C$433,"Fibra")),2)</f>
        <v>1113.31</v>
      </c>
    </row>
    <row r="1119" customFormat="false" ht="15" hidden="false" customHeight="false" outlineLevel="0" collapsed="false">
      <c r="A1119" s="27" t="s">
        <v>113</v>
      </c>
      <c r="B1119" s="27" t="s">
        <v>111</v>
      </c>
      <c r="C1119" s="27" t="s">
        <v>44</v>
      </c>
      <c r="D1119" s="27" t="s">
        <v>42</v>
      </c>
      <c r="E1119" s="28" t="n">
        <f aca="false">ROUND((SUMIFS(Acerto_Detalhado!$F$2:$F$433,Acerto_Detalhado!$A$2:$A$433,$C1119,Acerto_Detalhado!$B$2:$B$433,"Mar",Acerto_Detalhado!$C$2:$C$433,"Fibra"))*(SUMIFS(Acerto_Detalhado!$I$2:$I$433,Acerto_Detalhado!$A$2:$A$433,$D1119,Acerto_Detalhado!$B$2:$B$433,"Mar",Acerto_Detalhado!$C$2:$C$433,"Fibra")),2)</f>
        <v>0</v>
      </c>
    </row>
    <row r="1120" customFormat="false" ht="15" hidden="false" customHeight="false" outlineLevel="0" collapsed="false">
      <c r="A1120" s="27" t="s">
        <v>113</v>
      </c>
      <c r="B1120" s="27" t="s">
        <v>111</v>
      </c>
      <c r="C1120" s="27" t="s">
        <v>44</v>
      </c>
      <c r="D1120" s="27" t="s">
        <v>43</v>
      </c>
      <c r="E1120" s="28" t="n">
        <f aca="false">ROUND((SUMIFS(Acerto_Detalhado!$F$2:$F$433,Acerto_Detalhado!$A$2:$A$433,$C1120,Acerto_Detalhado!$B$2:$B$433,"Mar",Acerto_Detalhado!$C$2:$C$433,"Fibra"))*(SUMIFS(Acerto_Detalhado!$I$2:$I$433,Acerto_Detalhado!$A$2:$A$433,$D1120,Acerto_Detalhado!$B$2:$B$433,"Mar",Acerto_Detalhado!$C$2:$C$433,"Fibra")),2)</f>
        <v>0</v>
      </c>
    </row>
    <row r="1121" customFormat="false" ht="15" hidden="false" customHeight="false" outlineLevel="0" collapsed="false">
      <c r="A1121" s="27" t="s">
        <v>113</v>
      </c>
      <c r="B1121" s="27" t="s">
        <v>111</v>
      </c>
      <c r="C1121" s="27" t="s">
        <v>44</v>
      </c>
      <c r="D1121" s="27" t="s">
        <v>45</v>
      </c>
      <c r="E1121" s="28" t="n">
        <f aca="false">ROUND((SUMIFS(Acerto_Detalhado!$F$2:$F$433,Acerto_Detalhado!$A$2:$A$433,$C1121,Acerto_Detalhado!$B$2:$B$433,"Mar",Acerto_Detalhado!$C$2:$C$433,"Fibra"))*(SUMIFS(Acerto_Detalhado!$I$2:$I$433,Acerto_Detalhado!$A$2:$A$433,$D1121,Acerto_Detalhado!$B$2:$B$433,"Mar",Acerto_Detalhado!$C$2:$C$433,"Fibra")),2)</f>
        <v>12.84</v>
      </c>
    </row>
    <row r="1122" customFormat="false" ht="15" hidden="false" customHeight="false" outlineLevel="0" collapsed="false">
      <c r="A1122" s="27" t="s">
        <v>113</v>
      </c>
      <c r="B1122" s="27" t="s">
        <v>111</v>
      </c>
      <c r="C1122" s="27" t="s">
        <v>44</v>
      </c>
      <c r="D1122" s="27" t="s">
        <v>46</v>
      </c>
      <c r="E1122" s="28" t="n">
        <f aca="false">ROUND((SUMIFS(Acerto_Detalhado!$F$2:$F$433,Acerto_Detalhado!$A$2:$A$433,$C1122,Acerto_Detalhado!$B$2:$B$433,"Mar",Acerto_Detalhado!$C$2:$C$433,"Fibra"))*(SUMIFS(Acerto_Detalhado!$I$2:$I$433,Acerto_Detalhado!$A$2:$A$433,$D1122,Acerto_Detalhado!$B$2:$B$433,"Mar",Acerto_Detalhado!$C$2:$C$433,"Fibra")),2)</f>
        <v>0</v>
      </c>
    </row>
    <row r="1123" customFormat="false" ht="15" hidden="false" customHeight="false" outlineLevel="0" collapsed="false">
      <c r="A1123" s="27" t="s">
        <v>113</v>
      </c>
      <c r="B1123" s="27" t="s">
        <v>111</v>
      </c>
      <c r="C1123" s="27" t="s">
        <v>44</v>
      </c>
      <c r="D1123" s="27" t="s">
        <v>47</v>
      </c>
      <c r="E1123" s="28" t="n">
        <f aca="false">ROUND((SUMIFS(Acerto_Detalhado!$F$2:$F$433,Acerto_Detalhado!$A$2:$A$433,$C1123,Acerto_Detalhado!$B$2:$B$433,"Mar",Acerto_Detalhado!$C$2:$C$433,"Fibra"))*(SUMIFS(Acerto_Detalhado!$I$2:$I$433,Acerto_Detalhado!$A$2:$A$433,$D1123,Acerto_Detalhado!$B$2:$B$433,"Mar",Acerto_Detalhado!$C$2:$C$433,"Fibra")),2)</f>
        <v>0</v>
      </c>
    </row>
    <row r="1124" customFormat="false" ht="15" hidden="false" customHeight="false" outlineLevel="0" collapsed="false">
      <c r="A1124" s="27" t="s">
        <v>113</v>
      </c>
      <c r="B1124" s="27" t="s">
        <v>111</v>
      </c>
      <c r="C1124" s="27" t="s">
        <v>44</v>
      </c>
      <c r="D1124" s="27" t="s">
        <v>48</v>
      </c>
      <c r="E1124" s="28" t="n">
        <f aca="false">ROUND((SUMIFS(Acerto_Detalhado!$F$2:$F$433,Acerto_Detalhado!$A$2:$A$433,$C1124,Acerto_Detalhado!$B$2:$B$433,"Mar",Acerto_Detalhado!$C$2:$C$433,"Fibra"))*(SUMIFS(Acerto_Detalhado!$I$2:$I$433,Acerto_Detalhado!$A$2:$A$433,$D1124,Acerto_Detalhado!$B$2:$B$433,"Mar",Acerto_Detalhado!$C$2:$C$433,"Fibra")),2)</f>
        <v>0</v>
      </c>
    </row>
    <row r="1125" customFormat="false" ht="15" hidden="false" customHeight="false" outlineLevel="0" collapsed="false">
      <c r="A1125" s="27" t="s">
        <v>113</v>
      </c>
      <c r="B1125" s="27" t="s">
        <v>111</v>
      </c>
      <c r="C1125" s="27" t="s">
        <v>44</v>
      </c>
      <c r="D1125" s="27" t="s">
        <v>49</v>
      </c>
      <c r="E1125" s="28" t="n">
        <f aca="false">ROUND((SUMIFS(Acerto_Detalhado!$F$2:$F$433,Acerto_Detalhado!$A$2:$A$433,$C1125,Acerto_Detalhado!$B$2:$B$433,"Mar",Acerto_Detalhado!$C$2:$C$433,"Fibra"))*(SUMIFS(Acerto_Detalhado!$I$2:$I$433,Acerto_Detalhado!$A$2:$A$433,$D1125,Acerto_Detalhado!$B$2:$B$433,"Mar",Acerto_Detalhado!$C$2:$C$433,"Fibra")),2)</f>
        <v>0</v>
      </c>
    </row>
    <row r="1126" customFormat="false" ht="15" hidden="false" customHeight="false" outlineLevel="0" collapsed="false">
      <c r="A1126" s="27" t="s">
        <v>113</v>
      </c>
      <c r="B1126" s="27" t="s">
        <v>111</v>
      </c>
      <c r="C1126" s="27" t="s">
        <v>44</v>
      </c>
      <c r="D1126" s="27" t="s">
        <v>50</v>
      </c>
      <c r="E1126" s="28" t="n">
        <f aca="false">ROUND((SUMIFS(Acerto_Detalhado!$F$2:$F$433,Acerto_Detalhado!$A$2:$A$433,$C1126,Acerto_Detalhado!$B$2:$B$433,"Mar",Acerto_Detalhado!$C$2:$C$433,"Fibra"))*(SUMIFS(Acerto_Detalhado!$I$2:$I$433,Acerto_Detalhado!$A$2:$A$433,$D1126,Acerto_Detalhado!$B$2:$B$433,"Mar",Acerto_Detalhado!$C$2:$C$433,"Fibra")),2)</f>
        <v>0</v>
      </c>
    </row>
    <row r="1127" customFormat="false" ht="15" hidden="false" customHeight="false" outlineLevel="0" collapsed="false">
      <c r="A1127" s="27" t="s">
        <v>113</v>
      </c>
      <c r="B1127" s="27" t="s">
        <v>111</v>
      </c>
      <c r="C1127" s="27" t="s">
        <v>45</v>
      </c>
      <c r="D1127" s="27" t="s">
        <v>39</v>
      </c>
      <c r="E1127" s="28" t="n">
        <f aca="false">ROUND((SUMIFS(Acerto_Detalhado!$F$2:$F$433,Acerto_Detalhado!$A$2:$A$433,$C1127,Acerto_Detalhado!$B$2:$B$433,"Mar",Acerto_Detalhado!$C$2:$C$433,"Fibra"))*(SUMIFS(Acerto_Detalhado!$I$2:$I$433,Acerto_Detalhado!$A$2:$A$433,$D1127,Acerto_Detalhado!$B$2:$B$433,"Mar",Acerto_Detalhado!$C$2:$C$433,"Fibra")),2)</f>
        <v>0</v>
      </c>
    </row>
    <row r="1128" customFormat="false" ht="15" hidden="false" customHeight="false" outlineLevel="0" collapsed="false">
      <c r="A1128" s="27" t="s">
        <v>113</v>
      </c>
      <c r="B1128" s="27" t="s">
        <v>111</v>
      </c>
      <c r="C1128" s="27" t="s">
        <v>45</v>
      </c>
      <c r="D1128" s="27" t="s">
        <v>40</v>
      </c>
      <c r="E1128" s="28" t="n">
        <f aca="false">ROUND((SUMIFS(Acerto_Detalhado!$F$2:$F$433,Acerto_Detalhado!$A$2:$A$433,$C1128,Acerto_Detalhado!$B$2:$B$433,"Mar",Acerto_Detalhado!$C$2:$C$433,"Fibra"))*(SUMIFS(Acerto_Detalhado!$I$2:$I$433,Acerto_Detalhado!$A$2:$A$433,$D1128,Acerto_Detalhado!$B$2:$B$433,"Mar",Acerto_Detalhado!$C$2:$C$433,"Fibra")),2)</f>
        <v>0</v>
      </c>
    </row>
    <row r="1129" customFormat="false" ht="15" hidden="false" customHeight="false" outlineLevel="0" collapsed="false">
      <c r="A1129" s="27" t="s">
        <v>113</v>
      </c>
      <c r="B1129" s="27" t="s">
        <v>111</v>
      </c>
      <c r="C1129" s="27" t="s">
        <v>45</v>
      </c>
      <c r="D1129" s="27" t="s">
        <v>41</v>
      </c>
      <c r="E1129" s="28" t="n">
        <f aca="false">ROUND((SUMIFS(Acerto_Detalhado!$F$2:$F$433,Acerto_Detalhado!$A$2:$A$433,$C1129,Acerto_Detalhado!$B$2:$B$433,"Mar",Acerto_Detalhado!$C$2:$C$433,"Fibra"))*(SUMIFS(Acerto_Detalhado!$I$2:$I$433,Acerto_Detalhado!$A$2:$A$433,$D1129,Acerto_Detalhado!$B$2:$B$433,"Mar",Acerto_Detalhado!$C$2:$C$433,"Fibra")),2)</f>
        <v>0</v>
      </c>
    </row>
    <row r="1130" customFormat="false" ht="15" hidden="false" customHeight="false" outlineLevel="0" collapsed="false">
      <c r="A1130" s="27" t="s">
        <v>113</v>
      </c>
      <c r="B1130" s="27" t="s">
        <v>111</v>
      </c>
      <c r="C1130" s="27" t="s">
        <v>45</v>
      </c>
      <c r="D1130" s="27" t="s">
        <v>42</v>
      </c>
      <c r="E1130" s="28" t="n">
        <f aca="false">ROUND((SUMIFS(Acerto_Detalhado!$F$2:$F$433,Acerto_Detalhado!$A$2:$A$433,$C1130,Acerto_Detalhado!$B$2:$B$433,"Mar",Acerto_Detalhado!$C$2:$C$433,"Fibra"))*(SUMIFS(Acerto_Detalhado!$I$2:$I$433,Acerto_Detalhado!$A$2:$A$433,$D1130,Acerto_Detalhado!$B$2:$B$433,"Mar",Acerto_Detalhado!$C$2:$C$433,"Fibra")),2)</f>
        <v>0</v>
      </c>
    </row>
    <row r="1131" customFormat="false" ht="15" hidden="false" customHeight="false" outlineLevel="0" collapsed="false">
      <c r="A1131" s="27" t="s">
        <v>113</v>
      </c>
      <c r="B1131" s="27" t="s">
        <v>111</v>
      </c>
      <c r="C1131" s="27" t="s">
        <v>45</v>
      </c>
      <c r="D1131" s="27" t="s">
        <v>43</v>
      </c>
      <c r="E1131" s="28" t="n">
        <f aca="false">ROUND((SUMIFS(Acerto_Detalhado!$F$2:$F$433,Acerto_Detalhado!$A$2:$A$433,$C1131,Acerto_Detalhado!$B$2:$B$433,"Mar",Acerto_Detalhado!$C$2:$C$433,"Fibra"))*(SUMIFS(Acerto_Detalhado!$I$2:$I$433,Acerto_Detalhado!$A$2:$A$433,$D1131,Acerto_Detalhado!$B$2:$B$433,"Mar",Acerto_Detalhado!$C$2:$C$433,"Fibra")),2)</f>
        <v>0</v>
      </c>
    </row>
    <row r="1132" customFormat="false" ht="15" hidden="false" customHeight="false" outlineLevel="0" collapsed="false">
      <c r="A1132" s="27" t="s">
        <v>113</v>
      </c>
      <c r="B1132" s="27" t="s">
        <v>111</v>
      </c>
      <c r="C1132" s="27" t="s">
        <v>45</v>
      </c>
      <c r="D1132" s="27" t="s">
        <v>44</v>
      </c>
      <c r="E1132" s="28" t="n">
        <f aca="false">ROUND((SUMIFS(Acerto_Detalhado!$F$2:$F$433,Acerto_Detalhado!$A$2:$A$433,$C1132,Acerto_Detalhado!$B$2:$B$433,"Mar",Acerto_Detalhado!$C$2:$C$433,"Fibra"))*(SUMIFS(Acerto_Detalhado!$I$2:$I$433,Acerto_Detalhado!$A$2:$A$433,$D1132,Acerto_Detalhado!$B$2:$B$433,"Mar",Acerto_Detalhado!$C$2:$C$433,"Fibra")),2)</f>
        <v>0</v>
      </c>
    </row>
    <row r="1133" customFormat="false" ht="15" hidden="false" customHeight="false" outlineLevel="0" collapsed="false">
      <c r="A1133" s="27" t="s">
        <v>113</v>
      </c>
      <c r="B1133" s="27" t="s">
        <v>111</v>
      </c>
      <c r="C1133" s="27" t="s">
        <v>45</v>
      </c>
      <c r="D1133" s="27" t="s">
        <v>46</v>
      </c>
      <c r="E1133" s="28" t="n">
        <f aca="false">ROUND((SUMIFS(Acerto_Detalhado!$F$2:$F$433,Acerto_Detalhado!$A$2:$A$433,$C1133,Acerto_Detalhado!$B$2:$B$433,"Mar",Acerto_Detalhado!$C$2:$C$433,"Fibra"))*(SUMIFS(Acerto_Detalhado!$I$2:$I$433,Acerto_Detalhado!$A$2:$A$433,$D1133,Acerto_Detalhado!$B$2:$B$433,"Mar",Acerto_Detalhado!$C$2:$C$433,"Fibra")),2)</f>
        <v>0</v>
      </c>
    </row>
    <row r="1134" customFormat="false" ht="15" hidden="false" customHeight="false" outlineLevel="0" collapsed="false">
      <c r="A1134" s="27" t="s">
        <v>113</v>
      </c>
      <c r="B1134" s="27" t="s">
        <v>111</v>
      </c>
      <c r="C1134" s="27" t="s">
        <v>45</v>
      </c>
      <c r="D1134" s="27" t="s">
        <v>47</v>
      </c>
      <c r="E1134" s="28" t="n">
        <f aca="false">ROUND((SUMIFS(Acerto_Detalhado!$F$2:$F$433,Acerto_Detalhado!$A$2:$A$433,$C1134,Acerto_Detalhado!$B$2:$B$433,"Mar",Acerto_Detalhado!$C$2:$C$433,"Fibra"))*(SUMIFS(Acerto_Detalhado!$I$2:$I$433,Acerto_Detalhado!$A$2:$A$433,$D1134,Acerto_Detalhado!$B$2:$B$433,"Mar",Acerto_Detalhado!$C$2:$C$433,"Fibra")),2)</f>
        <v>0</v>
      </c>
    </row>
    <row r="1135" customFormat="false" ht="15" hidden="false" customHeight="false" outlineLevel="0" collapsed="false">
      <c r="A1135" s="27" t="s">
        <v>113</v>
      </c>
      <c r="B1135" s="27" t="s">
        <v>111</v>
      </c>
      <c r="C1135" s="27" t="s">
        <v>45</v>
      </c>
      <c r="D1135" s="27" t="s">
        <v>48</v>
      </c>
      <c r="E1135" s="28" t="n">
        <f aca="false">ROUND((SUMIFS(Acerto_Detalhado!$F$2:$F$433,Acerto_Detalhado!$A$2:$A$433,$C1135,Acerto_Detalhado!$B$2:$B$433,"Mar",Acerto_Detalhado!$C$2:$C$433,"Fibra"))*(SUMIFS(Acerto_Detalhado!$I$2:$I$433,Acerto_Detalhado!$A$2:$A$433,$D1135,Acerto_Detalhado!$B$2:$B$433,"Mar",Acerto_Detalhado!$C$2:$C$433,"Fibra")),2)</f>
        <v>0</v>
      </c>
    </row>
    <row r="1136" customFormat="false" ht="15" hidden="false" customHeight="false" outlineLevel="0" collapsed="false">
      <c r="A1136" s="27" t="s">
        <v>113</v>
      </c>
      <c r="B1136" s="27" t="s">
        <v>111</v>
      </c>
      <c r="C1136" s="27" t="s">
        <v>45</v>
      </c>
      <c r="D1136" s="27" t="s">
        <v>49</v>
      </c>
      <c r="E1136" s="28" t="n">
        <f aca="false">ROUND((SUMIFS(Acerto_Detalhado!$F$2:$F$433,Acerto_Detalhado!$A$2:$A$433,$C1136,Acerto_Detalhado!$B$2:$B$433,"Mar",Acerto_Detalhado!$C$2:$C$433,"Fibra"))*(SUMIFS(Acerto_Detalhado!$I$2:$I$433,Acerto_Detalhado!$A$2:$A$433,$D1136,Acerto_Detalhado!$B$2:$B$433,"Mar",Acerto_Detalhado!$C$2:$C$433,"Fibra")),2)</f>
        <v>0</v>
      </c>
    </row>
    <row r="1137" customFormat="false" ht="15" hidden="false" customHeight="false" outlineLevel="0" collapsed="false">
      <c r="A1137" s="27" t="s">
        <v>113</v>
      </c>
      <c r="B1137" s="27" t="s">
        <v>111</v>
      </c>
      <c r="C1137" s="27" t="s">
        <v>45</v>
      </c>
      <c r="D1137" s="27" t="s">
        <v>50</v>
      </c>
      <c r="E1137" s="28" t="n">
        <f aca="false">ROUND((SUMIFS(Acerto_Detalhado!$F$2:$F$433,Acerto_Detalhado!$A$2:$A$433,$C1137,Acerto_Detalhado!$B$2:$B$433,"Mar",Acerto_Detalhado!$C$2:$C$433,"Fibra"))*(SUMIFS(Acerto_Detalhado!$I$2:$I$433,Acerto_Detalhado!$A$2:$A$433,$D1137,Acerto_Detalhado!$B$2:$B$433,"Mar",Acerto_Detalhado!$C$2:$C$433,"Fibra")),2)</f>
        <v>0</v>
      </c>
    </row>
    <row r="1138" customFormat="false" ht="15" hidden="false" customHeight="false" outlineLevel="0" collapsed="false">
      <c r="A1138" s="27" t="s">
        <v>113</v>
      </c>
      <c r="B1138" s="27" t="s">
        <v>111</v>
      </c>
      <c r="C1138" s="27" t="s">
        <v>46</v>
      </c>
      <c r="D1138" s="27" t="s">
        <v>39</v>
      </c>
      <c r="E1138" s="28" t="n">
        <f aca="false">ROUND((SUMIFS(Acerto_Detalhado!$F$2:$F$433,Acerto_Detalhado!$A$2:$A$433,$C1138,Acerto_Detalhado!$B$2:$B$433,"Mar",Acerto_Detalhado!$C$2:$C$433,"Fibra"))*(SUMIFS(Acerto_Detalhado!$I$2:$I$433,Acerto_Detalhado!$A$2:$A$433,$D1138,Acerto_Detalhado!$B$2:$B$433,"Mar",Acerto_Detalhado!$C$2:$C$433,"Fibra")),2)</f>
        <v>0</v>
      </c>
    </row>
    <row r="1139" customFormat="false" ht="15" hidden="false" customHeight="false" outlineLevel="0" collapsed="false">
      <c r="A1139" s="27" t="s">
        <v>113</v>
      </c>
      <c r="B1139" s="27" t="s">
        <v>111</v>
      </c>
      <c r="C1139" s="27" t="s">
        <v>46</v>
      </c>
      <c r="D1139" s="27" t="s">
        <v>40</v>
      </c>
      <c r="E1139" s="28" t="n">
        <f aca="false">ROUND((SUMIFS(Acerto_Detalhado!$F$2:$F$433,Acerto_Detalhado!$A$2:$A$433,$C1139,Acerto_Detalhado!$B$2:$B$433,"Mar",Acerto_Detalhado!$C$2:$C$433,"Fibra"))*(SUMIFS(Acerto_Detalhado!$I$2:$I$433,Acerto_Detalhado!$A$2:$A$433,$D1139,Acerto_Detalhado!$B$2:$B$433,"Mar",Acerto_Detalhado!$C$2:$C$433,"Fibra")),2)</f>
        <v>0</v>
      </c>
    </row>
    <row r="1140" customFormat="false" ht="15" hidden="false" customHeight="false" outlineLevel="0" collapsed="false">
      <c r="A1140" s="27" t="s">
        <v>113</v>
      </c>
      <c r="B1140" s="27" t="s">
        <v>111</v>
      </c>
      <c r="C1140" s="27" t="s">
        <v>46</v>
      </c>
      <c r="D1140" s="27" t="s">
        <v>41</v>
      </c>
      <c r="E1140" s="28" t="n">
        <f aca="false">ROUND((SUMIFS(Acerto_Detalhado!$F$2:$F$433,Acerto_Detalhado!$A$2:$A$433,$C1140,Acerto_Detalhado!$B$2:$B$433,"Mar",Acerto_Detalhado!$C$2:$C$433,"Fibra"))*(SUMIFS(Acerto_Detalhado!$I$2:$I$433,Acerto_Detalhado!$A$2:$A$433,$D1140,Acerto_Detalhado!$B$2:$B$433,"Mar",Acerto_Detalhado!$C$2:$C$433,"Fibra")),2)</f>
        <v>0</v>
      </c>
    </row>
    <row r="1141" customFormat="false" ht="15" hidden="false" customHeight="false" outlineLevel="0" collapsed="false">
      <c r="A1141" s="27" t="s">
        <v>113</v>
      </c>
      <c r="B1141" s="27" t="s">
        <v>111</v>
      </c>
      <c r="C1141" s="27" t="s">
        <v>46</v>
      </c>
      <c r="D1141" s="27" t="s">
        <v>42</v>
      </c>
      <c r="E1141" s="28" t="n">
        <f aca="false">ROUND((SUMIFS(Acerto_Detalhado!$F$2:$F$433,Acerto_Detalhado!$A$2:$A$433,$C1141,Acerto_Detalhado!$B$2:$B$433,"Mar",Acerto_Detalhado!$C$2:$C$433,"Fibra"))*(SUMIFS(Acerto_Detalhado!$I$2:$I$433,Acerto_Detalhado!$A$2:$A$433,$D1141,Acerto_Detalhado!$B$2:$B$433,"Mar",Acerto_Detalhado!$C$2:$C$433,"Fibra")),2)</f>
        <v>0</v>
      </c>
    </row>
    <row r="1142" customFormat="false" ht="15" hidden="false" customHeight="false" outlineLevel="0" collapsed="false">
      <c r="A1142" s="27" t="s">
        <v>113</v>
      </c>
      <c r="B1142" s="27" t="s">
        <v>111</v>
      </c>
      <c r="C1142" s="27" t="s">
        <v>46</v>
      </c>
      <c r="D1142" s="27" t="s">
        <v>43</v>
      </c>
      <c r="E1142" s="28" t="n">
        <f aca="false">ROUND((SUMIFS(Acerto_Detalhado!$F$2:$F$433,Acerto_Detalhado!$A$2:$A$433,$C1142,Acerto_Detalhado!$B$2:$B$433,"Mar",Acerto_Detalhado!$C$2:$C$433,"Fibra"))*(SUMIFS(Acerto_Detalhado!$I$2:$I$433,Acerto_Detalhado!$A$2:$A$433,$D1142,Acerto_Detalhado!$B$2:$B$433,"Mar",Acerto_Detalhado!$C$2:$C$433,"Fibra")),2)</f>
        <v>0</v>
      </c>
    </row>
    <row r="1143" customFormat="false" ht="15" hidden="false" customHeight="false" outlineLevel="0" collapsed="false">
      <c r="A1143" s="27" t="s">
        <v>113</v>
      </c>
      <c r="B1143" s="27" t="s">
        <v>111</v>
      </c>
      <c r="C1143" s="27" t="s">
        <v>46</v>
      </c>
      <c r="D1143" s="27" t="s">
        <v>44</v>
      </c>
      <c r="E1143" s="28" t="n">
        <f aca="false">ROUND((SUMIFS(Acerto_Detalhado!$F$2:$F$433,Acerto_Detalhado!$A$2:$A$433,$C1143,Acerto_Detalhado!$B$2:$B$433,"Mar",Acerto_Detalhado!$C$2:$C$433,"Fibra"))*(SUMIFS(Acerto_Detalhado!$I$2:$I$433,Acerto_Detalhado!$A$2:$A$433,$D1143,Acerto_Detalhado!$B$2:$B$433,"Mar",Acerto_Detalhado!$C$2:$C$433,"Fibra")),2)</f>
        <v>0</v>
      </c>
    </row>
    <row r="1144" customFormat="false" ht="15" hidden="false" customHeight="false" outlineLevel="0" collapsed="false">
      <c r="A1144" s="27" t="s">
        <v>113</v>
      </c>
      <c r="B1144" s="27" t="s">
        <v>111</v>
      </c>
      <c r="C1144" s="27" t="s">
        <v>46</v>
      </c>
      <c r="D1144" s="27" t="s">
        <v>45</v>
      </c>
      <c r="E1144" s="28" t="n">
        <f aca="false">ROUND((SUMIFS(Acerto_Detalhado!$F$2:$F$433,Acerto_Detalhado!$A$2:$A$433,$C1144,Acerto_Detalhado!$B$2:$B$433,"Mar",Acerto_Detalhado!$C$2:$C$433,"Fibra"))*(SUMIFS(Acerto_Detalhado!$I$2:$I$433,Acerto_Detalhado!$A$2:$A$433,$D1144,Acerto_Detalhado!$B$2:$B$433,"Mar",Acerto_Detalhado!$C$2:$C$433,"Fibra")),2)</f>
        <v>0</v>
      </c>
    </row>
    <row r="1145" customFormat="false" ht="15" hidden="false" customHeight="false" outlineLevel="0" collapsed="false">
      <c r="A1145" s="27" t="s">
        <v>113</v>
      </c>
      <c r="B1145" s="27" t="s">
        <v>111</v>
      </c>
      <c r="C1145" s="27" t="s">
        <v>46</v>
      </c>
      <c r="D1145" s="27" t="s">
        <v>47</v>
      </c>
      <c r="E1145" s="28" t="n">
        <f aca="false">ROUND((SUMIFS(Acerto_Detalhado!$F$2:$F$433,Acerto_Detalhado!$A$2:$A$433,$C1145,Acerto_Detalhado!$B$2:$B$433,"Mar",Acerto_Detalhado!$C$2:$C$433,"Fibra"))*(SUMIFS(Acerto_Detalhado!$I$2:$I$433,Acerto_Detalhado!$A$2:$A$433,$D1145,Acerto_Detalhado!$B$2:$B$433,"Mar",Acerto_Detalhado!$C$2:$C$433,"Fibra")),2)</f>
        <v>0</v>
      </c>
    </row>
    <row r="1146" customFormat="false" ht="15" hidden="false" customHeight="false" outlineLevel="0" collapsed="false">
      <c r="A1146" s="27" t="s">
        <v>113</v>
      </c>
      <c r="B1146" s="27" t="s">
        <v>111</v>
      </c>
      <c r="C1146" s="27" t="s">
        <v>46</v>
      </c>
      <c r="D1146" s="27" t="s">
        <v>48</v>
      </c>
      <c r="E1146" s="28" t="n">
        <f aca="false">ROUND((SUMIFS(Acerto_Detalhado!$F$2:$F$433,Acerto_Detalhado!$A$2:$A$433,$C1146,Acerto_Detalhado!$B$2:$B$433,"Mar",Acerto_Detalhado!$C$2:$C$433,"Fibra"))*(SUMIFS(Acerto_Detalhado!$I$2:$I$433,Acerto_Detalhado!$A$2:$A$433,$D1146,Acerto_Detalhado!$B$2:$B$433,"Mar",Acerto_Detalhado!$C$2:$C$433,"Fibra")),2)</f>
        <v>0</v>
      </c>
    </row>
    <row r="1147" customFormat="false" ht="15" hidden="false" customHeight="false" outlineLevel="0" collapsed="false">
      <c r="A1147" s="27" t="s">
        <v>113</v>
      </c>
      <c r="B1147" s="27" t="s">
        <v>111</v>
      </c>
      <c r="C1147" s="27" t="s">
        <v>46</v>
      </c>
      <c r="D1147" s="27" t="s">
        <v>49</v>
      </c>
      <c r="E1147" s="28" t="n">
        <f aca="false">ROUND((SUMIFS(Acerto_Detalhado!$F$2:$F$433,Acerto_Detalhado!$A$2:$A$433,$C1147,Acerto_Detalhado!$B$2:$B$433,"Mar",Acerto_Detalhado!$C$2:$C$433,"Fibra"))*(SUMIFS(Acerto_Detalhado!$I$2:$I$433,Acerto_Detalhado!$A$2:$A$433,$D1147,Acerto_Detalhado!$B$2:$B$433,"Mar",Acerto_Detalhado!$C$2:$C$433,"Fibra")),2)</f>
        <v>0</v>
      </c>
    </row>
    <row r="1148" customFormat="false" ht="15" hidden="false" customHeight="false" outlineLevel="0" collapsed="false">
      <c r="A1148" s="27" t="s">
        <v>113</v>
      </c>
      <c r="B1148" s="27" t="s">
        <v>111</v>
      </c>
      <c r="C1148" s="27" t="s">
        <v>46</v>
      </c>
      <c r="D1148" s="27" t="s">
        <v>50</v>
      </c>
      <c r="E1148" s="28" t="n">
        <f aca="false">ROUND((SUMIFS(Acerto_Detalhado!$F$2:$F$433,Acerto_Detalhado!$A$2:$A$433,$C1148,Acerto_Detalhado!$B$2:$B$433,"Mar",Acerto_Detalhado!$C$2:$C$433,"Fibra"))*(SUMIFS(Acerto_Detalhado!$I$2:$I$433,Acerto_Detalhado!$A$2:$A$433,$D1148,Acerto_Detalhado!$B$2:$B$433,"Mar",Acerto_Detalhado!$C$2:$C$433,"Fibra")),2)</f>
        <v>0</v>
      </c>
    </row>
    <row r="1149" customFormat="false" ht="15" hidden="false" customHeight="false" outlineLevel="0" collapsed="false">
      <c r="A1149" s="27" t="s">
        <v>113</v>
      </c>
      <c r="B1149" s="27" t="s">
        <v>111</v>
      </c>
      <c r="C1149" s="27" t="s">
        <v>47</v>
      </c>
      <c r="D1149" s="27" t="s">
        <v>39</v>
      </c>
      <c r="E1149" s="28" t="n">
        <f aca="false">ROUND((SUMIFS(Acerto_Detalhado!$F$2:$F$433,Acerto_Detalhado!$A$2:$A$433,$C1149,Acerto_Detalhado!$B$2:$B$433,"Mar",Acerto_Detalhado!$C$2:$C$433,"Fibra"))*(SUMIFS(Acerto_Detalhado!$I$2:$I$433,Acerto_Detalhado!$A$2:$A$433,$D1149,Acerto_Detalhado!$B$2:$B$433,"Mar",Acerto_Detalhado!$C$2:$C$433,"Fibra")),2)</f>
        <v>0</v>
      </c>
    </row>
    <row r="1150" customFormat="false" ht="15" hidden="false" customHeight="false" outlineLevel="0" collapsed="false">
      <c r="A1150" s="27" t="s">
        <v>113</v>
      </c>
      <c r="B1150" s="27" t="s">
        <v>111</v>
      </c>
      <c r="C1150" s="27" t="s">
        <v>47</v>
      </c>
      <c r="D1150" s="27" t="s">
        <v>40</v>
      </c>
      <c r="E1150" s="28" t="n">
        <f aca="false">ROUND((SUMIFS(Acerto_Detalhado!$F$2:$F$433,Acerto_Detalhado!$A$2:$A$433,$C1150,Acerto_Detalhado!$B$2:$B$433,"Mar",Acerto_Detalhado!$C$2:$C$433,"Fibra"))*(SUMIFS(Acerto_Detalhado!$I$2:$I$433,Acerto_Detalhado!$A$2:$A$433,$D1150,Acerto_Detalhado!$B$2:$B$433,"Mar",Acerto_Detalhado!$C$2:$C$433,"Fibra")),2)</f>
        <v>0</v>
      </c>
    </row>
    <row r="1151" customFormat="false" ht="15" hidden="false" customHeight="false" outlineLevel="0" collapsed="false">
      <c r="A1151" s="27" t="s">
        <v>113</v>
      </c>
      <c r="B1151" s="27" t="s">
        <v>111</v>
      </c>
      <c r="C1151" s="27" t="s">
        <v>47</v>
      </c>
      <c r="D1151" s="27" t="s">
        <v>41</v>
      </c>
      <c r="E1151" s="28" t="n">
        <f aca="false">ROUND((SUMIFS(Acerto_Detalhado!$F$2:$F$433,Acerto_Detalhado!$A$2:$A$433,$C1151,Acerto_Detalhado!$B$2:$B$433,"Mar",Acerto_Detalhado!$C$2:$C$433,"Fibra"))*(SUMIFS(Acerto_Detalhado!$I$2:$I$433,Acerto_Detalhado!$A$2:$A$433,$D1151,Acerto_Detalhado!$B$2:$B$433,"Mar",Acerto_Detalhado!$C$2:$C$433,"Fibra")),2)</f>
        <v>0</v>
      </c>
    </row>
    <row r="1152" customFormat="false" ht="15" hidden="false" customHeight="false" outlineLevel="0" collapsed="false">
      <c r="A1152" s="27" t="s">
        <v>113</v>
      </c>
      <c r="B1152" s="27" t="s">
        <v>111</v>
      </c>
      <c r="C1152" s="27" t="s">
        <v>47</v>
      </c>
      <c r="D1152" s="27" t="s">
        <v>42</v>
      </c>
      <c r="E1152" s="28" t="n">
        <f aca="false">ROUND((SUMIFS(Acerto_Detalhado!$F$2:$F$433,Acerto_Detalhado!$A$2:$A$433,$C1152,Acerto_Detalhado!$B$2:$B$433,"Mar",Acerto_Detalhado!$C$2:$C$433,"Fibra"))*(SUMIFS(Acerto_Detalhado!$I$2:$I$433,Acerto_Detalhado!$A$2:$A$433,$D1152,Acerto_Detalhado!$B$2:$B$433,"Mar",Acerto_Detalhado!$C$2:$C$433,"Fibra")),2)</f>
        <v>0</v>
      </c>
    </row>
    <row r="1153" customFormat="false" ht="15" hidden="false" customHeight="false" outlineLevel="0" collapsed="false">
      <c r="A1153" s="27" t="s">
        <v>113</v>
      </c>
      <c r="B1153" s="27" t="s">
        <v>111</v>
      </c>
      <c r="C1153" s="27" t="s">
        <v>47</v>
      </c>
      <c r="D1153" s="27" t="s">
        <v>43</v>
      </c>
      <c r="E1153" s="28" t="n">
        <f aca="false">ROUND((SUMIFS(Acerto_Detalhado!$F$2:$F$433,Acerto_Detalhado!$A$2:$A$433,$C1153,Acerto_Detalhado!$B$2:$B$433,"Mar",Acerto_Detalhado!$C$2:$C$433,"Fibra"))*(SUMIFS(Acerto_Detalhado!$I$2:$I$433,Acerto_Detalhado!$A$2:$A$433,$D1153,Acerto_Detalhado!$B$2:$B$433,"Mar",Acerto_Detalhado!$C$2:$C$433,"Fibra")),2)</f>
        <v>0</v>
      </c>
    </row>
    <row r="1154" customFormat="false" ht="15" hidden="false" customHeight="false" outlineLevel="0" collapsed="false">
      <c r="A1154" s="27" t="s">
        <v>113</v>
      </c>
      <c r="B1154" s="27" t="s">
        <v>111</v>
      </c>
      <c r="C1154" s="27" t="s">
        <v>47</v>
      </c>
      <c r="D1154" s="27" t="s">
        <v>44</v>
      </c>
      <c r="E1154" s="28" t="n">
        <f aca="false">ROUND((SUMIFS(Acerto_Detalhado!$F$2:$F$433,Acerto_Detalhado!$A$2:$A$433,$C1154,Acerto_Detalhado!$B$2:$B$433,"Mar",Acerto_Detalhado!$C$2:$C$433,"Fibra"))*(SUMIFS(Acerto_Detalhado!$I$2:$I$433,Acerto_Detalhado!$A$2:$A$433,$D1154,Acerto_Detalhado!$B$2:$B$433,"Mar",Acerto_Detalhado!$C$2:$C$433,"Fibra")),2)</f>
        <v>0</v>
      </c>
    </row>
    <row r="1155" customFormat="false" ht="15" hidden="false" customHeight="false" outlineLevel="0" collapsed="false">
      <c r="A1155" s="27" t="s">
        <v>113</v>
      </c>
      <c r="B1155" s="27" t="s">
        <v>111</v>
      </c>
      <c r="C1155" s="27" t="s">
        <v>47</v>
      </c>
      <c r="D1155" s="27" t="s">
        <v>45</v>
      </c>
      <c r="E1155" s="28" t="n">
        <f aca="false">ROUND((SUMIFS(Acerto_Detalhado!$F$2:$F$433,Acerto_Detalhado!$A$2:$A$433,$C1155,Acerto_Detalhado!$B$2:$B$433,"Mar",Acerto_Detalhado!$C$2:$C$433,"Fibra"))*(SUMIFS(Acerto_Detalhado!$I$2:$I$433,Acerto_Detalhado!$A$2:$A$433,$D1155,Acerto_Detalhado!$B$2:$B$433,"Mar",Acerto_Detalhado!$C$2:$C$433,"Fibra")),2)</f>
        <v>0</v>
      </c>
    </row>
    <row r="1156" customFormat="false" ht="15" hidden="false" customHeight="false" outlineLevel="0" collapsed="false">
      <c r="A1156" s="27" t="s">
        <v>113</v>
      </c>
      <c r="B1156" s="27" t="s">
        <v>111</v>
      </c>
      <c r="C1156" s="27" t="s">
        <v>47</v>
      </c>
      <c r="D1156" s="27" t="s">
        <v>46</v>
      </c>
      <c r="E1156" s="28" t="n">
        <f aca="false">ROUND((SUMIFS(Acerto_Detalhado!$F$2:$F$433,Acerto_Detalhado!$A$2:$A$433,$C1156,Acerto_Detalhado!$B$2:$B$433,"Mar",Acerto_Detalhado!$C$2:$C$433,"Fibra"))*(SUMIFS(Acerto_Detalhado!$I$2:$I$433,Acerto_Detalhado!$A$2:$A$433,$D1156,Acerto_Detalhado!$B$2:$B$433,"Mar",Acerto_Detalhado!$C$2:$C$433,"Fibra")),2)</f>
        <v>0</v>
      </c>
    </row>
    <row r="1157" customFormat="false" ht="15" hidden="false" customHeight="false" outlineLevel="0" collapsed="false">
      <c r="A1157" s="27" t="s">
        <v>113</v>
      </c>
      <c r="B1157" s="27" t="s">
        <v>111</v>
      </c>
      <c r="C1157" s="27" t="s">
        <v>47</v>
      </c>
      <c r="D1157" s="27" t="s">
        <v>48</v>
      </c>
      <c r="E1157" s="28" t="n">
        <f aca="false">ROUND((SUMIFS(Acerto_Detalhado!$F$2:$F$433,Acerto_Detalhado!$A$2:$A$433,$C1157,Acerto_Detalhado!$B$2:$B$433,"Mar",Acerto_Detalhado!$C$2:$C$433,"Fibra"))*(SUMIFS(Acerto_Detalhado!$I$2:$I$433,Acerto_Detalhado!$A$2:$A$433,$D1157,Acerto_Detalhado!$B$2:$B$433,"Mar",Acerto_Detalhado!$C$2:$C$433,"Fibra")),2)</f>
        <v>0</v>
      </c>
    </row>
    <row r="1158" customFormat="false" ht="15" hidden="false" customHeight="false" outlineLevel="0" collapsed="false">
      <c r="A1158" s="27" t="s">
        <v>113</v>
      </c>
      <c r="B1158" s="27" t="s">
        <v>111</v>
      </c>
      <c r="C1158" s="27" t="s">
        <v>47</v>
      </c>
      <c r="D1158" s="27" t="s">
        <v>49</v>
      </c>
      <c r="E1158" s="28" t="n">
        <f aca="false">ROUND((SUMIFS(Acerto_Detalhado!$F$2:$F$433,Acerto_Detalhado!$A$2:$A$433,$C1158,Acerto_Detalhado!$B$2:$B$433,"Mar",Acerto_Detalhado!$C$2:$C$433,"Fibra"))*(SUMIFS(Acerto_Detalhado!$I$2:$I$433,Acerto_Detalhado!$A$2:$A$433,$D1158,Acerto_Detalhado!$B$2:$B$433,"Mar",Acerto_Detalhado!$C$2:$C$433,"Fibra")),2)</f>
        <v>0</v>
      </c>
    </row>
    <row r="1159" customFormat="false" ht="15" hidden="false" customHeight="false" outlineLevel="0" collapsed="false">
      <c r="A1159" s="27" t="s">
        <v>113</v>
      </c>
      <c r="B1159" s="27" t="s">
        <v>111</v>
      </c>
      <c r="C1159" s="27" t="s">
        <v>47</v>
      </c>
      <c r="D1159" s="27" t="s">
        <v>50</v>
      </c>
      <c r="E1159" s="28" t="n">
        <f aca="false">ROUND((SUMIFS(Acerto_Detalhado!$F$2:$F$433,Acerto_Detalhado!$A$2:$A$433,$C1159,Acerto_Detalhado!$B$2:$B$433,"Mar",Acerto_Detalhado!$C$2:$C$433,"Fibra"))*(SUMIFS(Acerto_Detalhado!$I$2:$I$433,Acerto_Detalhado!$A$2:$A$433,$D1159,Acerto_Detalhado!$B$2:$B$433,"Mar",Acerto_Detalhado!$C$2:$C$433,"Fibra")),2)</f>
        <v>0</v>
      </c>
    </row>
    <row r="1160" customFormat="false" ht="15" hidden="false" customHeight="false" outlineLevel="0" collapsed="false">
      <c r="A1160" s="27" t="s">
        <v>113</v>
      </c>
      <c r="B1160" s="27" t="s">
        <v>111</v>
      </c>
      <c r="C1160" s="27" t="s">
        <v>48</v>
      </c>
      <c r="D1160" s="27" t="s">
        <v>39</v>
      </c>
      <c r="E1160" s="28" t="n">
        <f aca="false">ROUND((SUMIFS(Acerto_Detalhado!$F$2:$F$433,Acerto_Detalhado!$A$2:$A$433,$C1160,Acerto_Detalhado!$B$2:$B$433,"Mar",Acerto_Detalhado!$C$2:$C$433,"Fibra"))*(SUMIFS(Acerto_Detalhado!$I$2:$I$433,Acerto_Detalhado!$A$2:$A$433,$D1160,Acerto_Detalhado!$B$2:$B$433,"Mar",Acerto_Detalhado!$C$2:$C$433,"Fibra")),2)</f>
        <v>0</v>
      </c>
    </row>
    <row r="1161" customFormat="false" ht="15" hidden="false" customHeight="false" outlineLevel="0" collapsed="false">
      <c r="A1161" s="27" t="s">
        <v>113</v>
      </c>
      <c r="B1161" s="27" t="s">
        <v>111</v>
      </c>
      <c r="C1161" s="27" t="s">
        <v>48</v>
      </c>
      <c r="D1161" s="27" t="s">
        <v>40</v>
      </c>
      <c r="E1161" s="28" t="n">
        <f aca="false">ROUND((SUMIFS(Acerto_Detalhado!$F$2:$F$433,Acerto_Detalhado!$A$2:$A$433,$C1161,Acerto_Detalhado!$B$2:$B$433,"Mar",Acerto_Detalhado!$C$2:$C$433,"Fibra"))*(SUMIFS(Acerto_Detalhado!$I$2:$I$433,Acerto_Detalhado!$A$2:$A$433,$D1161,Acerto_Detalhado!$B$2:$B$433,"Mar",Acerto_Detalhado!$C$2:$C$433,"Fibra")),2)</f>
        <v>0</v>
      </c>
    </row>
    <row r="1162" customFormat="false" ht="15" hidden="false" customHeight="false" outlineLevel="0" collapsed="false">
      <c r="A1162" s="27" t="s">
        <v>113</v>
      </c>
      <c r="B1162" s="27" t="s">
        <v>111</v>
      </c>
      <c r="C1162" s="27" t="s">
        <v>48</v>
      </c>
      <c r="D1162" s="27" t="s">
        <v>41</v>
      </c>
      <c r="E1162" s="28" t="n">
        <f aca="false">ROUND((SUMIFS(Acerto_Detalhado!$F$2:$F$433,Acerto_Detalhado!$A$2:$A$433,$C1162,Acerto_Detalhado!$B$2:$B$433,"Mar",Acerto_Detalhado!$C$2:$C$433,"Fibra"))*(SUMIFS(Acerto_Detalhado!$I$2:$I$433,Acerto_Detalhado!$A$2:$A$433,$D1162,Acerto_Detalhado!$B$2:$B$433,"Mar",Acerto_Detalhado!$C$2:$C$433,"Fibra")),2)</f>
        <v>0</v>
      </c>
    </row>
    <row r="1163" customFormat="false" ht="15" hidden="false" customHeight="false" outlineLevel="0" collapsed="false">
      <c r="A1163" s="27" t="s">
        <v>113</v>
      </c>
      <c r="B1163" s="27" t="s">
        <v>111</v>
      </c>
      <c r="C1163" s="27" t="s">
        <v>48</v>
      </c>
      <c r="D1163" s="27" t="s">
        <v>42</v>
      </c>
      <c r="E1163" s="28" t="n">
        <f aca="false">ROUND((SUMIFS(Acerto_Detalhado!$F$2:$F$433,Acerto_Detalhado!$A$2:$A$433,$C1163,Acerto_Detalhado!$B$2:$B$433,"Mar",Acerto_Detalhado!$C$2:$C$433,"Fibra"))*(SUMIFS(Acerto_Detalhado!$I$2:$I$433,Acerto_Detalhado!$A$2:$A$433,$D1163,Acerto_Detalhado!$B$2:$B$433,"Mar",Acerto_Detalhado!$C$2:$C$433,"Fibra")),2)</f>
        <v>0</v>
      </c>
    </row>
    <row r="1164" customFormat="false" ht="15" hidden="false" customHeight="false" outlineLevel="0" collapsed="false">
      <c r="A1164" s="27" t="s">
        <v>113</v>
      </c>
      <c r="B1164" s="27" t="s">
        <v>111</v>
      </c>
      <c r="C1164" s="27" t="s">
        <v>48</v>
      </c>
      <c r="D1164" s="27" t="s">
        <v>43</v>
      </c>
      <c r="E1164" s="28" t="n">
        <f aca="false">ROUND((SUMIFS(Acerto_Detalhado!$F$2:$F$433,Acerto_Detalhado!$A$2:$A$433,$C1164,Acerto_Detalhado!$B$2:$B$433,"Mar",Acerto_Detalhado!$C$2:$C$433,"Fibra"))*(SUMIFS(Acerto_Detalhado!$I$2:$I$433,Acerto_Detalhado!$A$2:$A$433,$D1164,Acerto_Detalhado!$B$2:$B$433,"Mar",Acerto_Detalhado!$C$2:$C$433,"Fibra")),2)</f>
        <v>0</v>
      </c>
    </row>
    <row r="1165" customFormat="false" ht="15" hidden="false" customHeight="false" outlineLevel="0" collapsed="false">
      <c r="A1165" s="27" t="s">
        <v>113</v>
      </c>
      <c r="B1165" s="27" t="s">
        <v>111</v>
      </c>
      <c r="C1165" s="27" t="s">
        <v>48</v>
      </c>
      <c r="D1165" s="27" t="s">
        <v>44</v>
      </c>
      <c r="E1165" s="28" t="n">
        <f aca="false">ROUND((SUMIFS(Acerto_Detalhado!$F$2:$F$433,Acerto_Detalhado!$A$2:$A$433,$C1165,Acerto_Detalhado!$B$2:$B$433,"Mar",Acerto_Detalhado!$C$2:$C$433,"Fibra"))*(SUMIFS(Acerto_Detalhado!$I$2:$I$433,Acerto_Detalhado!$A$2:$A$433,$D1165,Acerto_Detalhado!$B$2:$B$433,"Mar",Acerto_Detalhado!$C$2:$C$433,"Fibra")),2)</f>
        <v>0</v>
      </c>
    </row>
    <row r="1166" customFormat="false" ht="15" hidden="false" customHeight="false" outlineLevel="0" collapsed="false">
      <c r="A1166" s="27" t="s">
        <v>113</v>
      </c>
      <c r="B1166" s="27" t="s">
        <v>111</v>
      </c>
      <c r="C1166" s="27" t="s">
        <v>48</v>
      </c>
      <c r="D1166" s="27" t="s">
        <v>45</v>
      </c>
      <c r="E1166" s="28" t="n">
        <f aca="false">ROUND((SUMIFS(Acerto_Detalhado!$F$2:$F$433,Acerto_Detalhado!$A$2:$A$433,$C1166,Acerto_Detalhado!$B$2:$B$433,"Mar",Acerto_Detalhado!$C$2:$C$433,"Fibra"))*(SUMIFS(Acerto_Detalhado!$I$2:$I$433,Acerto_Detalhado!$A$2:$A$433,$D1166,Acerto_Detalhado!$B$2:$B$433,"Mar",Acerto_Detalhado!$C$2:$C$433,"Fibra")),2)</f>
        <v>0</v>
      </c>
    </row>
    <row r="1167" customFormat="false" ht="15" hidden="false" customHeight="false" outlineLevel="0" collapsed="false">
      <c r="A1167" s="27" t="s">
        <v>113</v>
      </c>
      <c r="B1167" s="27" t="s">
        <v>111</v>
      </c>
      <c r="C1167" s="27" t="s">
        <v>48</v>
      </c>
      <c r="D1167" s="27" t="s">
        <v>46</v>
      </c>
      <c r="E1167" s="28" t="n">
        <f aca="false">ROUND((SUMIFS(Acerto_Detalhado!$F$2:$F$433,Acerto_Detalhado!$A$2:$A$433,$C1167,Acerto_Detalhado!$B$2:$B$433,"Mar",Acerto_Detalhado!$C$2:$C$433,"Fibra"))*(SUMIFS(Acerto_Detalhado!$I$2:$I$433,Acerto_Detalhado!$A$2:$A$433,$D1167,Acerto_Detalhado!$B$2:$B$433,"Mar",Acerto_Detalhado!$C$2:$C$433,"Fibra")),2)</f>
        <v>0</v>
      </c>
    </row>
    <row r="1168" customFormat="false" ht="15" hidden="false" customHeight="false" outlineLevel="0" collapsed="false">
      <c r="A1168" s="27" t="s">
        <v>113</v>
      </c>
      <c r="B1168" s="27" t="s">
        <v>111</v>
      </c>
      <c r="C1168" s="27" t="s">
        <v>48</v>
      </c>
      <c r="D1168" s="27" t="s">
        <v>47</v>
      </c>
      <c r="E1168" s="28" t="n">
        <f aca="false">ROUND((SUMIFS(Acerto_Detalhado!$F$2:$F$433,Acerto_Detalhado!$A$2:$A$433,$C1168,Acerto_Detalhado!$B$2:$B$433,"Mar",Acerto_Detalhado!$C$2:$C$433,"Fibra"))*(SUMIFS(Acerto_Detalhado!$I$2:$I$433,Acerto_Detalhado!$A$2:$A$433,$D1168,Acerto_Detalhado!$B$2:$B$433,"Mar",Acerto_Detalhado!$C$2:$C$433,"Fibra")),2)</f>
        <v>0</v>
      </c>
    </row>
    <row r="1169" customFormat="false" ht="15" hidden="false" customHeight="false" outlineLevel="0" collapsed="false">
      <c r="A1169" s="27" t="s">
        <v>113</v>
      </c>
      <c r="B1169" s="27" t="s">
        <v>111</v>
      </c>
      <c r="C1169" s="27" t="s">
        <v>48</v>
      </c>
      <c r="D1169" s="27" t="s">
        <v>49</v>
      </c>
      <c r="E1169" s="28" t="n">
        <f aca="false">ROUND((SUMIFS(Acerto_Detalhado!$F$2:$F$433,Acerto_Detalhado!$A$2:$A$433,$C1169,Acerto_Detalhado!$B$2:$B$433,"Mar",Acerto_Detalhado!$C$2:$C$433,"Fibra"))*(SUMIFS(Acerto_Detalhado!$I$2:$I$433,Acerto_Detalhado!$A$2:$A$433,$D1169,Acerto_Detalhado!$B$2:$B$433,"Mar",Acerto_Detalhado!$C$2:$C$433,"Fibra")),2)</f>
        <v>0</v>
      </c>
    </row>
    <row r="1170" customFormat="false" ht="15" hidden="false" customHeight="false" outlineLevel="0" collapsed="false">
      <c r="A1170" s="27" t="s">
        <v>113</v>
      </c>
      <c r="B1170" s="27" t="s">
        <v>111</v>
      </c>
      <c r="C1170" s="27" t="s">
        <v>48</v>
      </c>
      <c r="D1170" s="27" t="s">
        <v>50</v>
      </c>
      <c r="E1170" s="28" t="n">
        <f aca="false">ROUND((SUMIFS(Acerto_Detalhado!$F$2:$F$433,Acerto_Detalhado!$A$2:$A$433,$C1170,Acerto_Detalhado!$B$2:$B$433,"Mar",Acerto_Detalhado!$C$2:$C$433,"Fibra"))*(SUMIFS(Acerto_Detalhado!$I$2:$I$433,Acerto_Detalhado!$A$2:$A$433,$D1170,Acerto_Detalhado!$B$2:$B$433,"Mar",Acerto_Detalhado!$C$2:$C$433,"Fibra")),2)</f>
        <v>0</v>
      </c>
    </row>
    <row r="1171" customFormat="false" ht="15" hidden="false" customHeight="false" outlineLevel="0" collapsed="false">
      <c r="A1171" s="27" t="s">
        <v>113</v>
      </c>
      <c r="B1171" s="27" t="s">
        <v>111</v>
      </c>
      <c r="C1171" s="27" t="s">
        <v>49</v>
      </c>
      <c r="D1171" s="27" t="s">
        <v>39</v>
      </c>
      <c r="E1171" s="28" t="n">
        <f aca="false">ROUND((SUMIFS(Acerto_Detalhado!$F$2:$F$433,Acerto_Detalhado!$A$2:$A$433,$C1171,Acerto_Detalhado!$B$2:$B$433,"Mar",Acerto_Detalhado!$C$2:$C$433,"Fibra"))*(SUMIFS(Acerto_Detalhado!$I$2:$I$433,Acerto_Detalhado!$A$2:$A$433,$D1171,Acerto_Detalhado!$B$2:$B$433,"Mar",Acerto_Detalhado!$C$2:$C$433,"Fibra")),2)</f>
        <v>0</v>
      </c>
    </row>
    <row r="1172" customFormat="false" ht="15" hidden="false" customHeight="false" outlineLevel="0" collapsed="false">
      <c r="A1172" s="27" t="s">
        <v>113</v>
      </c>
      <c r="B1172" s="27" t="s">
        <v>111</v>
      </c>
      <c r="C1172" s="27" t="s">
        <v>49</v>
      </c>
      <c r="D1172" s="27" t="s">
        <v>40</v>
      </c>
      <c r="E1172" s="28" t="n">
        <f aca="false">ROUND((SUMIFS(Acerto_Detalhado!$F$2:$F$433,Acerto_Detalhado!$A$2:$A$433,$C1172,Acerto_Detalhado!$B$2:$B$433,"Mar",Acerto_Detalhado!$C$2:$C$433,"Fibra"))*(SUMIFS(Acerto_Detalhado!$I$2:$I$433,Acerto_Detalhado!$A$2:$A$433,$D1172,Acerto_Detalhado!$B$2:$B$433,"Mar",Acerto_Detalhado!$C$2:$C$433,"Fibra")),2)</f>
        <v>0</v>
      </c>
    </row>
    <row r="1173" customFormat="false" ht="15" hidden="false" customHeight="false" outlineLevel="0" collapsed="false">
      <c r="A1173" s="27" t="s">
        <v>113</v>
      </c>
      <c r="B1173" s="27" t="s">
        <v>111</v>
      </c>
      <c r="C1173" s="27" t="s">
        <v>49</v>
      </c>
      <c r="D1173" s="27" t="s">
        <v>41</v>
      </c>
      <c r="E1173" s="28" t="n">
        <f aca="false">ROUND((SUMIFS(Acerto_Detalhado!$F$2:$F$433,Acerto_Detalhado!$A$2:$A$433,$C1173,Acerto_Detalhado!$B$2:$B$433,"Mar",Acerto_Detalhado!$C$2:$C$433,"Fibra"))*(SUMIFS(Acerto_Detalhado!$I$2:$I$433,Acerto_Detalhado!$A$2:$A$433,$D1173,Acerto_Detalhado!$B$2:$B$433,"Mar",Acerto_Detalhado!$C$2:$C$433,"Fibra")),2)</f>
        <v>0</v>
      </c>
    </row>
    <row r="1174" customFormat="false" ht="15" hidden="false" customHeight="false" outlineLevel="0" collapsed="false">
      <c r="A1174" s="27" t="s">
        <v>113</v>
      </c>
      <c r="B1174" s="27" t="s">
        <v>111</v>
      </c>
      <c r="C1174" s="27" t="s">
        <v>49</v>
      </c>
      <c r="D1174" s="27" t="s">
        <v>42</v>
      </c>
      <c r="E1174" s="28" t="n">
        <f aca="false">ROUND((SUMIFS(Acerto_Detalhado!$F$2:$F$433,Acerto_Detalhado!$A$2:$A$433,$C1174,Acerto_Detalhado!$B$2:$B$433,"Mar",Acerto_Detalhado!$C$2:$C$433,"Fibra"))*(SUMIFS(Acerto_Detalhado!$I$2:$I$433,Acerto_Detalhado!$A$2:$A$433,$D1174,Acerto_Detalhado!$B$2:$B$433,"Mar",Acerto_Detalhado!$C$2:$C$433,"Fibra")),2)</f>
        <v>0</v>
      </c>
    </row>
    <row r="1175" customFormat="false" ht="15" hidden="false" customHeight="false" outlineLevel="0" collapsed="false">
      <c r="A1175" s="27" t="s">
        <v>113</v>
      </c>
      <c r="B1175" s="27" t="s">
        <v>111</v>
      </c>
      <c r="C1175" s="27" t="s">
        <v>49</v>
      </c>
      <c r="D1175" s="27" t="s">
        <v>43</v>
      </c>
      <c r="E1175" s="28" t="n">
        <f aca="false">ROUND((SUMIFS(Acerto_Detalhado!$F$2:$F$433,Acerto_Detalhado!$A$2:$A$433,$C1175,Acerto_Detalhado!$B$2:$B$433,"Mar",Acerto_Detalhado!$C$2:$C$433,"Fibra"))*(SUMIFS(Acerto_Detalhado!$I$2:$I$433,Acerto_Detalhado!$A$2:$A$433,$D1175,Acerto_Detalhado!$B$2:$B$433,"Mar",Acerto_Detalhado!$C$2:$C$433,"Fibra")),2)</f>
        <v>0</v>
      </c>
    </row>
    <row r="1176" customFormat="false" ht="15" hidden="false" customHeight="false" outlineLevel="0" collapsed="false">
      <c r="A1176" s="27" t="s">
        <v>113</v>
      </c>
      <c r="B1176" s="27" t="s">
        <v>111</v>
      </c>
      <c r="C1176" s="27" t="s">
        <v>49</v>
      </c>
      <c r="D1176" s="27" t="s">
        <v>44</v>
      </c>
      <c r="E1176" s="28" t="n">
        <f aca="false">ROUND((SUMIFS(Acerto_Detalhado!$F$2:$F$433,Acerto_Detalhado!$A$2:$A$433,$C1176,Acerto_Detalhado!$B$2:$B$433,"Mar",Acerto_Detalhado!$C$2:$C$433,"Fibra"))*(SUMIFS(Acerto_Detalhado!$I$2:$I$433,Acerto_Detalhado!$A$2:$A$433,$D1176,Acerto_Detalhado!$B$2:$B$433,"Mar",Acerto_Detalhado!$C$2:$C$433,"Fibra")),2)</f>
        <v>0</v>
      </c>
    </row>
    <row r="1177" customFormat="false" ht="15" hidden="false" customHeight="false" outlineLevel="0" collapsed="false">
      <c r="A1177" s="27" t="s">
        <v>113</v>
      </c>
      <c r="B1177" s="27" t="s">
        <v>111</v>
      </c>
      <c r="C1177" s="27" t="s">
        <v>49</v>
      </c>
      <c r="D1177" s="27" t="s">
        <v>45</v>
      </c>
      <c r="E1177" s="28" t="n">
        <f aca="false">ROUND((SUMIFS(Acerto_Detalhado!$F$2:$F$433,Acerto_Detalhado!$A$2:$A$433,$C1177,Acerto_Detalhado!$B$2:$B$433,"Mar",Acerto_Detalhado!$C$2:$C$433,"Fibra"))*(SUMIFS(Acerto_Detalhado!$I$2:$I$433,Acerto_Detalhado!$A$2:$A$433,$D1177,Acerto_Detalhado!$B$2:$B$433,"Mar",Acerto_Detalhado!$C$2:$C$433,"Fibra")),2)</f>
        <v>0</v>
      </c>
    </row>
    <row r="1178" customFormat="false" ht="15" hidden="false" customHeight="false" outlineLevel="0" collapsed="false">
      <c r="A1178" s="27" t="s">
        <v>113</v>
      </c>
      <c r="B1178" s="27" t="s">
        <v>111</v>
      </c>
      <c r="C1178" s="27" t="s">
        <v>49</v>
      </c>
      <c r="D1178" s="27" t="s">
        <v>46</v>
      </c>
      <c r="E1178" s="28" t="n">
        <f aca="false">ROUND((SUMIFS(Acerto_Detalhado!$F$2:$F$433,Acerto_Detalhado!$A$2:$A$433,$C1178,Acerto_Detalhado!$B$2:$B$433,"Mar",Acerto_Detalhado!$C$2:$C$433,"Fibra"))*(SUMIFS(Acerto_Detalhado!$I$2:$I$433,Acerto_Detalhado!$A$2:$A$433,$D1178,Acerto_Detalhado!$B$2:$B$433,"Mar",Acerto_Detalhado!$C$2:$C$433,"Fibra")),2)</f>
        <v>0</v>
      </c>
    </row>
    <row r="1179" customFormat="false" ht="15" hidden="false" customHeight="false" outlineLevel="0" collapsed="false">
      <c r="A1179" s="27" t="s">
        <v>113</v>
      </c>
      <c r="B1179" s="27" t="s">
        <v>111</v>
      </c>
      <c r="C1179" s="27" t="s">
        <v>49</v>
      </c>
      <c r="D1179" s="27" t="s">
        <v>47</v>
      </c>
      <c r="E1179" s="28" t="n">
        <f aca="false">ROUND((SUMIFS(Acerto_Detalhado!$F$2:$F$433,Acerto_Detalhado!$A$2:$A$433,$C1179,Acerto_Detalhado!$B$2:$B$433,"Mar",Acerto_Detalhado!$C$2:$C$433,"Fibra"))*(SUMIFS(Acerto_Detalhado!$I$2:$I$433,Acerto_Detalhado!$A$2:$A$433,$D1179,Acerto_Detalhado!$B$2:$B$433,"Mar",Acerto_Detalhado!$C$2:$C$433,"Fibra")),2)</f>
        <v>0</v>
      </c>
    </row>
    <row r="1180" customFormat="false" ht="15" hidden="false" customHeight="false" outlineLevel="0" collapsed="false">
      <c r="A1180" s="27" t="s">
        <v>113</v>
      </c>
      <c r="B1180" s="27" t="s">
        <v>111</v>
      </c>
      <c r="C1180" s="27" t="s">
        <v>49</v>
      </c>
      <c r="D1180" s="27" t="s">
        <v>48</v>
      </c>
      <c r="E1180" s="28" t="n">
        <f aca="false">ROUND((SUMIFS(Acerto_Detalhado!$F$2:$F$433,Acerto_Detalhado!$A$2:$A$433,$C1180,Acerto_Detalhado!$B$2:$B$433,"Mar",Acerto_Detalhado!$C$2:$C$433,"Fibra"))*(SUMIFS(Acerto_Detalhado!$I$2:$I$433,Acerto_Detalhado!$A$2:$A$433,$D1180,Acerto_Detalhado!$B$2:$B$433,"Mar",Acerto_Detalhado!$C$2:$C$433,"Fibra")),2)</f>
        <v>0</v>
      </c>
    </row>
    <row r="1181" customFormat="false" ht="15" hidden="false" customHeight="false" outlineLevel="0" collapsed="false">
      <c r="A1181" s="27" t="s">
        <v>113</v>
      </c>
      <c r="B1181" s="27" t="s">
        <v>111</v>
      </c>
      <c r="C1181" s="27" t="s">
        <v>49</v>
      </c>
      <c r="D1181" s="27" t="s">
        <v>50</v>
      </c>
      <c r="E1181" s="28" t="n">
        <f aca="false">ROUND((SUMIFS(Acerto_Detalhado!$F$2:$F$433,Acerto_Detalhado!$A$2:$A$433,$C1181,Acerto_Detalhado!$B$2:$B$433,"Mar",Acerto_Detalhado!$C$2:$C$433,"Fibra"))*(SUMIFS(Acerto_Detalhado!$I$2:$I$433,Acerto_Detalhado!$A$2:$A$433,$D1181,Acerto_Detalhado!$B$2:$B$433,"Mar",Acerto_Detalhado!$C$2:$C$433,"Fibra")),2)</f>
        <v>0</v>
      </c>
    </row>
    <row r="1182" customFormat="false" ht="15" hidden="false" customHeight="false" outlineLevel="0" collapsed="false">
      <c r="A1182" s="27" t="s">
        <v>113</v>
      </c>
      <c r="B1182" s="27" t="s">
        <v>111</v>
      </c>
      <c r="C1182" s="27" t="s">
        <v>50</v>
      </c>
      <c r="D1182" s="27" t="s">
        <v>39</v>
      </c>
      <c r="E1182" s="28" t="n">
        <f aca="false">ROUND((SUMIFS(Acerto_Detalhado!$F$2:$F$433,Acerto_Detalhado!$A$2:$A$433,$C1182,Acerto_Detalhado!$B$2:$B$433,"Mar",Acerto_Detalhado!$C$2:$C$433,"Fibra"))*(SUMIFS(Acerto_Detalhado!$I$2:$I$433,Acerto_Detalhado!$A$2:$A$433,$D1182,Acerto_Detalhado!$B$2:$B$433,"Mar",Acerto_Detalhado!$C$2:$C$433,"Fibra")),2)</f>
        <v>0</v>
      </c>
    </row>
    <row r="1183" customFormat="false" ht="15" hidden="false" customHeight="false" outlineLevel="0" collapsed="false">
      <c r="A1183" s="27" t="s">
        <v>113</v>
      </c>
      <c r="B1183" s="27" t="s">
        <v>111</v>
      </c>
      <c r="C1183" s="27" t="s">
        <v>50</v>
      </c>
      <c r="D1183" s="27" t="s">
        <v>40</v>
      </c>
      <c r="E1183" s="28" t="n">
        <f aca="false">ROUND((SUMIFS(Acerto_Detalhado!$F$2:$F$433,Acerto_Detalhado!$A$2:$A$433,$C1183,Acerto_Detalhado!$B$2:$B$433,"Mar",Acerto_Detalhado!$C$2:$C$433,"Fibra"))*(SUMIFS(Acerto_Detalhado!$I$2:$I$433,Acerto_Detalhado!$A$2:$A$433,$D1183,Acerto_Detalhado!$B$2:$B$433,"Mar",Acerto_Detalhado!$C$2:$C$433,"Fibra")),2)</f>
        <v>0</v>
      </c>
    </row>
    <row r="1184" customFormat="false" ht="15" hidden="false" customHeight="false" outlineLevel="0" collapsed="false">
      <c r="A1184" s="27" t="s">
        <v>113</v>
      </c>
      <c r="B1184" s="27" t="s">
        <v>111</v>
      </c>
      <c r="C1184" s="27" t="s">
        <v>50</v>
      </c>
      <c r="D1184" s="27" t="s">
        <v>41</v>
      </c>
      <c r="E1184" s="28" t="n">
        <f aca="false">ROUND((SUMIFS(Acerto_Detalhado!$F$2:$F$433,Acerto_Detalhado!$A$2:$A$433,$C1184,Acerto_Detalhado!$B$2:$B$433,"Mar",Acerto_Detalhado!$C$2:$C$433,"Fibra"))*(SUMIFS(Acerto_Detalhado!$I$2:$I$433,Acerto_Detalhado!$A$2:$A$433,$D1184,Acerto_Detalhado!$B$2:$B$433,"Mar",Acerto_Detalhado!$C$2:$C$433,"Fibra")),2)</f>
        <v>0</v>
      </c>
    </row>
    <row r="1185" customFormat="false" ht="15" hidden="false" customHeight="false" outlineLevel="0" collapsed="false">
      <c r="A1185" s="27" t="s">
        <v>113</v>
      </c>
      <c r="B1185" s="27" t="s">
        <v>111</v>
      </c>
      <c r="C1185" s="27" t="s">
        <v>50</v>
      </c>
      <c r="D1185" s="27" t="s">
        <v>42</v>
      </c>
      <c r="E1185" s="28" t="n">
        <f aca="false">ROUND((SUMIFS(Acerto_Detalhado!$F$2:$F$433,Acerto_Detalhado!$A$2:$A$433,$C1185,Acerto_Detalhado!$B$2:$B$433,"Mar",Acerto_Detalhado!$C$2:$C$433,"Fibra"))*(SUMIFS(Acerto_Detalhado!$I$2:$I$433,Acerto_Detalhado!$A$2:$A$433,$D1185,Acerto_Detalhado!$B$2:$B$433,"Mar",Acerto_Detalhado!$C$2:$C$433,"Fibra")),2)</f>
        <v>0</v>
      </c>
    </row>
    <row r="1186" customFormat="false" ht="15" hidden="false" customHeight="false" outlineLevel="0" collapsed="false">
      <c r="A1186" s="27" t="s">
        <v>113</v>
      </c>
      <c r="B1186" s="27" t="s">
        <v>111</v>
      </c>
      <c r="C1186" s="27" t="s">
        <v>50</v>
      </c>
      <c r="D1186" s="27" t="s">
        <v>43</v>
      </c>
      <c r="E1186" s="28" t="n">
        <f aca="false">ROUND((SUMIFS(Acerto_Detalhado!$F$2:$F$433,Acerto_Detalhado!$A$2:$A$433,$C1186,Acerto_Detalhado!$B$2:$B$433,"Mar",Acerto_Detalhado!$C$2:$C$433,"Fibra"))*(SUMIFS(Acerto_Detalhado!$I$2:$I$433,Acerto_Detalhado!$A$2:$A$433,$D1186,Acerto_Detalhado!$B$2:$B$433,"Mar",Acerto_Detalhado!$C$2:$C$433,"Fibra")),2)</f>
        <v>0</v>
      </c>
    </row>
    <row r="1187" customFormat="false" ht="15" hidden="false" customHeight="false" outlineLevel="0" collapsed="false">
      <c r="A1187" s="27" t="s">
        <v>113</v>
      </c>
      <c r="B1187" s="27" t="s">
        <v>111</v>
      </c>
      <c r="C1187" s="27" t="s">
        <v>50</v>
      </c>
      <c r="D1187" s="27" t="s">
        <v>44</v>
      </c>
      <c r="E1187" s="28" t="n">
        <f aca="false">ROUND((SUMIFS(Acerto_Detalhado!$F$2:$F$433,Acerto_Detalhado!$A$2:$A$433,$C1187,Acerto_Detalhado!$B$2:$B$433,"Mar",Acerto_Detalhado!$C$2:$C$433,"Fibra"))*(SUMIFS(Acerto_Detalhado!$I$2:$I$433,Acerto_Detalhado!$A$2:$A$433,$D1187,Acerto_Detalhado!$B$2:$B$433,"Mar",Acerto_Detalhado!$C$2:$C$433,"Fibra")),2)</f>
        <v>0</v>
      </c>
    </row>
    <row r="1188" customFormat="false" ht="15" hidden="false" customHeight="false" outlineLevel="0" collapsed="false">
      <c r="A1188" s="27" t="s">
        <v>113</v>
      </c>
      <c r="B1188" s="27" t="s">
        <v>111</v>
      </c>
      <c r="C1188" s="27" t="s">
        <v>50</v>
      </c>
      <c r="D1188" s="27" t="s">
        <v>45</v>
      </c>
      <c r="E1188" s="28" t="n">
        <f aca="false">ROUND((SUMIFS(Acerto_Detalhado!$F$2:$F$433,Acerto_Detalhado!$A$2:$A$433,$C1188,Acerto_Detalhado!$B$2:$B$433,"Mar",Acerto_Detalhado!$C$2:$C$433,"Fibra"))*(SUMIFS(Acerto_Detalhado!$I$2:$I$433,Acerto_Detalhado!$A$2:$A$433,$D1188,Acerto_Detalhado!$B$2:$B$433,"Mar",Acerto_Detalhado!$C$2:$C$433,"Fibra")),2)</f>
        <v>0</v>
      </c>
    </row>
    <row r="1189" customFormat="false" ht="15" hidden="false" customHeight="false" outlineLevel="0" collapsed="false">
      <c r="A1189" s="27" t="s">
        <v>113</v>
      </c>
      <c r="B1189" s="27" t="s">
        <v>111</v>
      </c>
      <c r="C1189" s="27" t="s">
        <v>50</v>
      </c>
      <c r="D1189" s="27" t="s">
        <v>46</v>
      </c>
      <c r="E1189" s="28" t="n">
        <f aca="false">ROUND((SUMIFS(Acerto_Detalhado!$F$2:$F$433,Acerto_Detalhado!$A$2:$A$433,$C1189,Acerto_Detalhado!$B$2:$B$433,"Mar",Acerto_Detalhado!$C$2:$C$433,"Fibra"))*(SUMIFS(Acerto_Detalhado!$I$2:$I$433,Acerto_Detalhado!$A$2:$A$433,$D1189,Acerto_Detalhado!$B$2:$B$433,"Mar",Acerto_Detalhado!$C$2:$C$433,"Fibra")),2)</f>
        <v>0</v>
      </c>
    </row>
    <row r="1190" customFormat="false" ht="15" hidden="false" customHeight="false" outlineLevel="0" collapsed="false">
      <c r="A1190" s="27" t="s">
        <v>113</v>
      </c>
      <c r="B1190" s="27" t="s">
        <v>111</v>
      </c>
      <c r="C1190" s="27" t="s">
        <v>50</v>
      </c>
      <c r="D1190" s="27" t="s">
        <v>47</v>
      </c>
      <c r="E1190" s="28" t="n">
        <f aca="false">ROUND((SUMIFS(Acerto_Detalhado!$F$2:$F$433,Acerto_Detalhado!$A$2:$A$433,$C1190,Acerto_Detalhado!$B$2:$B$433,"Mar",Acerto_Detalhado!$C$2:$C$433,"Fibra"))*(SUMIFS(Acerto_Detalhado!$I$2:$I$433,Acerto_Detalhado!$A$2:$A$433,$D1190,Acerto_Detalhado!$B$2:$B$433,"Mar",Acerto_Detalhado!$C$2:$C$433,"Fibra")),2)</f>
        <v>0</v>
      </c>
    </row>
    <row r="1191" customFormat="false" ht="15" hidden="false" customHeight="false" outlineLevel="0" collapsed="false">
      <c r="A1191" s="27" t="s">
        <v>113</v>
      </c>
      <c r="B1191" s="27" t="s">
        <v>111</v>
      </c>
      <c r="C1191" s="27" t="s">
        <v>50</v>
      </c>
      <c r="D1191" s="27" t="s">
        <v>48</v>
      </c>
      <c r="E1191" s="28" t="n">
        <f aca="false">ROUND((SUMIFS(Acerto_Detalhado!$F$2:$F$433,Acerto_Detalhado!$A$2:$A$433,$C1191,Acerto_Detalhado!$B$2:$B$433,"Mar",Acerto_Detalhado!$C$2:$C$433,"Fibra"))*(SUMIFS(Acerto_Detalhado!$I$2:$I$433,Acerto_Detalhado!$A$2:$A$433,$D1191,Acerto_Detalhado!$B$2:$B$433,"Mar",Acerto_Detalhado!$C$2:$C$433,"Fibra")),2)</f>
        <v>0</v>
      </c>
    </row>
    <row r="1192" customFormat="false" ht="15" hidden="false" customHeight="false" outlineLevel="0" collapsed="false">
      <c r="A1192" s="27" t="s">
        <v>113</v>
      </c>
      <c r="B1192" s="27" t="s">
        <v>111</v>
      </c>
      <c r="C1192" s="27" t="s">
        <v>50</v>
      </c>
      <c r="D1192" s="27" t="s">
        <v>49</v>
      </c>
      <c r="E1192" s="28" t="n">
        <f aca="false">ROUND((SUMIFS(Acerto_Detalhado!$F$2:$F$433,Acerto_Detalhado!$A$2:$A$433,$C1192,Acerto_Detalhado!$B$2:$B$433,"Mar",Acerto_Detalhado!$C$2:$C$433,"Fibra"))*(SUMIFS(Acerto_Detalhado!$I$2:$I$433,Acerto_Detalhado!$A$2:$A$433,$D1192,Acerto_Detalhado!$B$2:$B$433,"Mar",Acerto_Detalhado!$C$2:$C$433,"Fibra")),2)</f>
        <v>0</v>
      </c>
    </row>
    <row r="1193" customFormat="false" ht="15" hidden="false" customHeight="false" outlineLevel="0" collapsed="false">
      <c r="A1193" s="27" t="s">
        <v>114</v>
      </c>
      <c r="B1193" s="27" t="s">
        <v>109</v>
      </c>
      <c r="C1193" s="27" t="s">
        <v>39</v>
      </c>
      <c r="D1193" s="27" t="s">
        <v>40</v>
      </c>
      <c r="E1193" s="28" t="n">
        <f aca="false">ROUND((SUMIFS(Acerto_Detalhado!$F$2:$F$433,Acerto_Detalhado!$A$2:$A$433,$C1193,Acerto_Detalhado!$B$2:$B$433,"Abr",Acerto_Detalhado!$C$2:$C$433,"Proteina"))*(SUMIFS(Acerto_Detalhado!$I$2:$I$433,Acerto_Detalhado!$A$2:$A$433,$D1193,Acerto_Detalhado!$B$2:$B$433,"Abr",Acerto_Detalhado!$C$2:$C$433,"Proteina")),2)</f>
        <v>3039.69</v>
      </c>
    </row>
    <row r="1194" customFormat="false" ht="15" hidden="false" customHeight="false" outlineLevel="0" collapsed="false">
      <c r="A1194" s="27" t="s">
        <v>114</v>
      </c>
      <c r="B1194" s="27" t="s">
        <v>109</v>
      </c>
      <c r="C1194" s="27" t="s">
        <v>39</v>
      </c>
      <c r="D1194" s="27" t="s">
        <v>41</v>
      </c>
      <c r="E1194" s="28" t="n">
        <f aca="false">ROUND((SUMIFS(Acerto_Detalhado!$F$2:$F$433,Acerto_Detalhado!$A$2:$A$433,$C1194,Acerto_Detalhado!$B$2:$B$433,"Abr",Acerto_Detalhado!$C$2:$C$433,"Proteina"))*(SUMIFS(Acerto_Detalhado!$I$2:$I$433,Acerto_Detalhado!$A$2:$A$433,$D1194,Acerto_Detalhado!$B$2:$B$433,"Abr",Acerto_Detalhado!$C$2:$C$433,"Proteina")),2)</f>
        <v>0</v>
      </c>
    </row>
    <row r="1195" customFormat="false" ht="15" hidden="false" customHeight="false" outlineLevel="0" collapsed="false">
      <c r="A1195" s="27" t="s">
        <v>114</v>
      </c>
      <c r="B1195" s="27" t="s">
        <v>109</v>
      </c>
      <c r="C1195" s="27" t="s">
        <v>39</v>
      </c>
      <c r="D1195" s="27" t="s">
        <v>42</v>
      </c>
      <c r="E1195" s="28" t="n">
        <f aca="false">ROUND((SUMIFS(Acerto_Detalhado!$F$2:$F$433,Acerto_Detalhado!$A$2:$A$433,$C1195,Acerto_Detalhado!$B$2:$B$433,"Abr",Acerto_Detalhado!$C$2:$C$433,"Proteina"))*(SUMIFS(Acerto_Detalhado!$I$2:$I$433,Acerto_Detalhado!$A$2:$A$433,$D1195,Acerto_Detalhado!$B$2:$B$433,"Abr",Acerto_Detalhado!$C$2:$C$433,"Proteina")),2)</f>
        <v>3062.21</v>
      </c>
    </row>
    <row r="1196" customFormat="false" ht="15" hidden="false" customHeight="false" outlineLevel="0" collapsed="false">
      <c r="A1196" s="27" t="s">
        <v>114</v>
      </c>
      <c r="B1196" s="27" t="s">
        <v>109</v>
      </c>
      <c r="C1196" s="27" t="s">
        <v>39</v>
      </c>
      <c r="D1196" s="27" t="s">
        <v>43</v>
      </c>
      <c r="E1196" s="28" t="n">
        <f aca="false">ROUND((SUMIFS(Acerto_Detalhado!$F$2:$F$433,Acerto_Detalhado!$A$2:$A$433,$C1196,Acerto_Detalhado!$B$2:$B$433,"Abr",Acerto_Detalhado!$C$2:$C$433,"Proteina"))*(SUMIFS(Acerto_Detalhado!$I$2:$I$433,Acerto_Detalhado!$A$2:$A$433,$D1196,Acerto_Detalhado!$B$2:$B$433,"Abr",Acerto_Detalhado!$C$2:$C$433,"Proteina")),2)</f>
        <v>0</v>
      </c>
    </row>
    <row r="1197" customFormat="false" ht="15" hidden="false" customHeight="false" outlineLevel="0" collapsed="false">
      <c r="A1197" s="27" t="s">
        <v>114</v>
      </c>
      <c r="B1197" s="27" t="s">
        <v>109</v>
      </c>
      <c r="C1197" s="27" t="s">
        <v>39</v>
      </c>
      <c r="D1197" s="27" t="s">
        <v>44</v>
      </c>
      <c r="E1197" s="28" t="n">
        <f aca="false">ROUND((SUMIFS(Acerto_Detalhado!$F$2:$F$433,Acerto_Detalhado!$A$2:$A$433,$C1197,Acerto_Detalhado!$B$2:$B$433,"Abr",Acerto_Detalhado!$C$2:$C$433,"Proteina"))*(SUMIFS(Acerto_Detalhado!$I$2:$I$433,Acerto_Detalhado!$A$2:$A$433,$D1197,Acerto_Detalhado!$B$2:$B$433,"Abr",Acerto_Detalhado!$C$2:$C$433,"Proteina")),2)</f>
        <v>5062.28</v>
      </c>
    </row>
    <row r="1198" customFormat="false" ht="15" hidden="false" customHeight="false" outlineLevel="0" collapsed="false">
      <c r="A1198" s="27" t="s">
        <v>114</v>
      </c>
      <c r="B1198" s="27" t="s">
        <v>109</v>
      </c>
      <c r="C1198" s="27" t="s">
        <v>39</v>
      </c>
      <c r="D1198" s="27" t="s">
        <v>45</v>
      </c>
      <c r="E1198" s="28" t="n">
        <f aca="false">ROUND((SUMIFS(Acerto_Detalhado!$F$2:$F$433,Acerto_Detalhado!$A$2:$A$433,$C1198,Acerto_Detalhado!$B$2:$B$433,"Abr",Acerto_Detalhado!$C$2:$C$433,"Proteina"))*(SUMIFS(Acerto_Detalhado!$I$2:$I$433,Acerto_Detalhado!$A$2:$A$433,$D1198,Acerto_Detalhado!$B$2:$B$433,"Abr",Acerto_Detalhado!$C$2:$C$433,"Proteina")),2)</f>
        <v>0</v>
      </c>
    </row>
    <row r="1199" customFormat="false" ht="15" hidden="false" customHeight="false" outlineLevel="0" collapsed="false">
      <c r="A1199" s="27" t="s">
        <v>114</v>
      </c>
      <c r="B1199" s="27" t="s">
        <v>109</v>
      </c>
      <c r="C1199" s="27" t="s">
        <v>39</v>
      </c>
      <c r="D1199" s="27" t="s">
        <v>46</v>
      </c>
      <c r="E1199" s="28" t="n">
        <f aca="false">ROUND((SUMIFS(Acerto_Detalhado!$F$2:$F$433,Acerto_Detalhado!$A$2:$A$433,$C1199,Acerto_Detalhado!$B$2:$B$433,"Abr",Acerto_Detalhado!$C$2:$C$433,"Proteina"))*(SUMIFS(Acerto_Detalhado!$I$2:$I$433,Acerto_Detalhado!$A$2:$A$433,$D1199,Acerto_Detalhado!$B$2:$B$433,"Abr",Acerto_Detalhado!$C$2:$C$433,"Proteina")),2)</f>
        <v>0</v>
      </c>
    </row>
    <row r="1200" customFormat="false" ht="15" hidden="false" customHeight="false" outlineLevel="0" collapsed="false">
      <c r="A1200" s="27" t="s">
        <v>114</v>
      </c>
      <c r="B1200" s="27" t="s">
        <v>109</v>
      </c>
      <c r="C1200" s="27" t="s">
        <v>39</v>
      </c>
      <c r="D1200" s="27" t="s">
        <v>47</v>
      </c>
      <c r="E1200" s="28" t="n">
        <f aca="false">ROUND((SUMIFS(Acerto_Detalhado!$F$2:$F$433,Acerto_Detalhado!$A$2:$A$433,$C1200,Acerto_Detalhado!$B$2:$B$433,"Abr",Acerto_Detalhado!$C$2:$C$433,"Proteina"))*(SUMIFS(Acerto_Detalhado!$I$2:$I$433,Acerto_Detalhado!$A$2:$A$433,$D1200,Acerto_Detalhado!$B$2:$B$433,"Abr",Acerto_Detalhado!$C$2:$C$433,"Proteina")),2)</f>
        <v>0</v>
      </c>
    </row>
    <row r="1201" customFormat="false" ht="15" hidden="false" customHeight="false" outlineLevel="0" collapsed="false">
      <c r="A1201" s="27" t="s">
        <v>114</v>
      </c>
      <c r="B1201" s="27" t="s">
        <v>109</v>
      </c>
      <c r="C1201" s="27" t="s">
        <v>39</v>
      </c>
      <c r="D1201" s="27" t="s">
        <v>48</v>
      </c>
      <c r="E1201" s="28" t="n">
        <f aca="false">ROUND((SUMIFS(Acerto_Detalhado!$F$2:$F$433,Acerto_Detalhado!$A$2:$A$433,$C1201,Acerto_Detalhado!$B$2:$B$433,"Abr",Acerto_Detalhado!$C$2:$C$433,"Proteina"))*(SUMIFS(Acerto_Detalhado!$I$2:$I$433,Acerto_Detalhado!$A$2:$A$433,$D1201,Acerto_Detalhado!$B$2:$B$433,"Abr",Acerto_Detalhado!$C$2:$C$433,"Proteina")),2)</f>
        <v>0</v>
      </c>
    </row>
    <row r="1202" customFormat="false" ht="15" hidden="false" customHeight="false" outlineLevel="0" collapsed="false">
      <c r="A1202" s="27" t="s">
        <v>114</v>
      </c>
      <c r="B1202" s="27" t="s">
        <v>109</v>
      </c>
      <c r="C1202" s="27" t="s">
        <v>39</v>
      </c>
      <c r="D1202" s="27" t="s">
        <v>49</v>
      </c>
      <c r="E1202" s="28" t="n">
        <f aca="false">ROUND((SUMIFS(Acerto_Detalhado!$F$2:$F$433,Acerto_Detalhado!$A$2:$A$433,$C1202,Acerto_Detalhado!$B$2:$B$433,"Abr",Acerto_Detalhado!$C$2:$C$433,"Proteina"))*(SUMIFS(Acerto_Detalhado!$I$2:$I$433,Acerto_Detalhado!$A$2:$A$433,$D1202,Acerto_Detalhado!$B$2:$B$433,"Abr",Acerto_Detalhado!$C$2:$C$433,"Proteina")),2)</f>
        <v>0</v>
      </c>
    </row>
    <row r="1203" customFormat="false" ht="15" hidden="false" customHeight="false" outlineLevel="0" collapsed="false">
      <c r="A1203" s="27" t="s">
        <v>114</v>
      </c>
      <c r="B1203" s="27" t="s">
        <v>109</v>
      </c>
      <c r="C1203" s="27" t="s">
        <v>39</v>
      </c>
      <c r="D1203" s="27" t="s">
        <v>50</v>
      </c>
      <c r="E1203" s="28" t="n">
        <f aca="false">ROUND((SUMIFS(Acerto_Detalhado!$F$2:$F$433,Acerto_Detalhado!$A$2:$A$433,$C1203,Acerto_Detalhado!$B$2:$B$433,"Abr",Acerto_Detalhado!$C$2:$C$433,"Proteina"))*(SUMIFS(Acerto_Detalhado!$I$2:$I$433,Acerto_Detalhado!$A$2:$A$433,$D1203,Acerto_Detalhado!$B$2:$B$433,"Abr",Acerto_Detalhado!$C$2:$C$433,"Proteina")),2)</f>
        <v>0</v>
      </c>
    </row>
    <row r="1204" customFormat="false" ht="15" hidden="false" customHeight="false" outlineLevel="0" collapsed="false">
      <c r="A1204" s="27" t="s">
        <v>114</v>
      </c>
      <c r="B1204" s="27" t="s">
        <v>109</v>
      </c>
      <c r="C1204" s="27" t="s">
        <v>40</v>
      </c>
      <c r="D1204" s="27" t="s">
        <v>39</v>
      </c>
      <c r="E1204" s="28" t="n">
        <f aca="false">ROUND((SUMIFS(Acerto_Detalhado!$F$2:$F$433,Acerto_Detalhado!$A$2:$A$433,$C1204,Acerto_Detalhado!$B$2:$B$433,"Abr",Acerto_Detalhado!$C$2:$C$433,"Proteina"))*(SUMIFS(Acerto_Detalhado!$I$2:$I$433,Acerto_Detalhado!$A$2:$A$433,$D1204,Acerto_Detalhado!$B$2:$B$433,"Abr",Acerto_Detalhado!$C$2:$C$433,"Proteina")),2)</f>
        <v>0</v>
      </c>
    </row>
    <row r="1205" customFormat="false" ht="15" hidden="false" customHeight="false" outlineLevel="0" collapsed="false">
      <c r="A1205" s="27" t="s">
        <v>114</v>
      </c>
      <c r="B1205" s="27" t="s">
        <v>109</v>
      </c>
      <c r="C1205" s="27" t="s">
        <v>40</v>
      </c>
      <c r="D1205" s="27" t="s">
        <v>41</v>
      </c>
      <c r="E1205" s="28" t="n">
        <f aca="false">ROUND((SUMIFS(Acerto_Detalhado!$F$2:$F$433,Acerto_Detalhado!$A$2:$A$433,$C1205,Acerto_Detalhado!$B$2:$B$433,"Abr",Acerto_Detalhado!$C$2:$C$433,"Proteina"))*(SUMIFS(Acerto_Detalhado!$I$2:$I$433,Acerto_Detalhado!$A$2:$A$433,$D1205,Acerto_Detalhado!$B$2:$B$433,"Abr",Acerto_Detalhado!$C$2:$C$433,"Proteina")),2)</f>
        <v>0</v>
      </c>
    </row>
    <row r="1206" customFormat="false" ht="15" hidden="false" customHeight="false" outlineLevel="0" collapsed="false">
      <c r="A1206" s="27" t="s">
        <v>114</v>
      </c>
      <c r="B1206" s="27" t="s">
        <v>109</v>
      </c>
      <c r="C1206" s="27" t="s">
        <v>40</v>
      </c>
      <c r="D1206" s="27" t="s">
        <v>42</v>
      </c>
      <c r="E1206" s="28" t="n">
        <f aca="false">ROUND((SUMIFS(Acerto_Detalhado!$F$2:$F$433,Acerto_Detalhado!$A$2:$A$433,$C1206,Acerto_Detalhado!$B$2:$B$433,"Abr",Acerto_Detalhado!$C$2:$C$433,"Proteina"))*(SUMIFS(Acerto_Detalhado!$I$2:$I$433,Acerto_Detalhado!$A$2:$A$433,$D1206,Acerto_Detalhado!$B$2:$B$433,"Abr",Acerto_Detalhado!$C$2:$C$433,"Proteina")),2)</f>
        <v>0</v>
      </c>
    </row>
    <row r="1207" customFormat="false" ht="15" hidden="false" customHeight="false" outlineLevel="0" collapsed="false">
      <c r="A1207" s="27" t="s">
        <v>114</v>
      </c>
      <c r="B1207" s="27" t="s">
        <v>109</v>
      </c>
      <c r="C1207" s="27" t="s">
        <v>40</v>
      </c>
      <c r="D1207" s="27" t="s">
        <v>43</v>
      </c>
      <c r="E1207" s="28" t="n">
        <f aca="false">ROUND((SUMIFS(Acerto_Detalhado!$F$2:$F$433,Acerto_Detalhado!$A$2:$A$433,$C1207,Acerto_Detalhado!$B$2:$B$433,"Abr",Acerto_Detalhado!$C$2:$C$433,"Proteina"))*(SUMIFS(Acerto_Detalhado!$I$2:$I$433,Acerto_Detalhado!$A$2:$A$433,$D1207,Acerto_Detalhado!$B$2:$B$433,"Abr",Acerto_Detalhado!$C$2:$C$433,"Proteina")),2)</f>
        <v>0</v>
      </c>
    </row>
    <row r="1208" customFormat="false" ht="15" hidden="false" customHeight="false" outlineLevel="0" collapsed="false">
      <c r="A1208" s="27" t="s">
        <v>114</v>
      </c>
      <c r="B1208" s="27" t="s">
        <v>109</v>
      </c>
      <c r="C1208" s="27" t="s">
        <v>40</v>
      </c>
      <c r="D1208" s="27" t="s">
        <v>44</v>
      </c>
      <c r="E1208" s="28" t="n">
        <f aca="false">ROUND((SUMIFS(Acerto_Detalhado!$F$2:$F$433,Acerto_Detalhado!$A$2:$A$433,$C1208,Acerto_Detalhado!$B$2:$B$433,"Abr",Acerto_Detalhado!$C$2:$C$433,"Proteina"))*(SUMIFS(Acerto_Detalhado!$I$2:$I$433,Acerto_Detalhado!$A$2:$A$433,$D1208,Acerto_Detalhado!$B$2:$B$433,"Abr",Acerto_Detalhado!$C$2:$C$433,"Proteina")),2)</f>
        <v>0</v>
      </c>
    </row>
    <row r="1209" customFormat="false" ht="15" hidden="false" customHeight="false" outlineLevel="0" collapsed="false">
      <c r="A1209" s="27" t="s">
        <v>114</v>
      </c>
      <c r="B1209" s="27" t="s">
        <v>109</v>
      </c>
      <c r="C1209" s="27" t="s">
        <v>40</v>
      </c>
      <c r="D1209" s="27" t="s">
        <v>45</v>
      </c>
      <c r="E1209" s="28" t="n">
        <f aca="false">ROUND((SUMIFS(Acerto_Detalhado!$F$2:$F$433,Acerto_Detalhado!$A$2:$A$433,$C1209,Acerto_Detalhado!$B$2:$B$433,"Abr",Acerto_Detalhado!$C$2:$C$433,"Proteina"))*(SUMIFS(Acerto_Detalhado!$I$2:$I$433,Acerto_Detalhado!$A$2:$A$433,$D1209,Acerto_Detalhado!$B$2:$B$433,"Abr",Acerto_Detalhado!$C$2:$C$433,"Proteina")),2)</f>
        <v>0</v>
      </c>
    </row>
    <row r="1210" customFormat="false" ht="15" hidden="false" customHeight="false" outlineLevel="0" collapsed="false">
      <c r="A1210" s="27" t="s">
        <v>114</v>
      </c>
      <c r="B1210" s="27" t="s">
        <v>109</v>
      </c>
      <c r="C1210" s="27" t="s">
        <v>40</v>
      </c>
      <c r="D1210" s="27" t="s">
        <v>46</v>
      </c>
      <c r="E1210" s="28" t="n">
        <f aca="false">ROUND((SUMIFS(Acerto_Detalhado!$F$2:$F$433,Acerto_Detalhado!$A$2:$A$433,$C1210,Acerto_Detalhado!$B$2:$B$433,"Abr",Acerto_Detalhado!$C$2:$C$433,"Proteina"))*(SUMIFS(Acerto_Detalhado!$I$2:$I$433,Acerto_Detalhado!$A$2:$A$433,$D1210,Acerto_Detalhado!$B$2:$B$433,"Abr",Acerto_Detalhado!$C$2:$C$433,"Proteina")),2)</f>
        <v>0</v>
      </c>
    </row>
    <row r="1211" customFormat="false" ht="15" hidden="false" customHeight="false" outlineLevel="0" collapsed="false">
      <c r="A1211" s="27" t="s">
        <v>114</v>
      </c>
      <c r="B1211" s="27" t="s">
        <v>109</v>
      </c>
      <c r="C1211" s="27" t="s">
        <v>40</v>
      </c>
      <c r="D1211" s="27" t="s">
        <v>47</v>
      </c>
      <c r="E1211" s="28" t="n">
        <f aca="false">ROUND((SUMIFS(Acerto_Detalhado!$F$2:$F$433,Acerto_Detalhado!$A$2:$A$433,$C1211,Acerto_Detalhado!$B$2:$B$433,"Abr",Acerto_Detalhado!$C$2:$C$433,"Proteina"))*(SUMIFS(Acerto_Detalhado!$I$2:$I$433,Acerto_Detalhado!$A$2:$A$433,$D1211,Acerto_Detalhado!$B$2:$B$433,"Abr",Acerto_Detalhado!$C$2:$C$433,"Proteina")),2)</f>
        <v>0</v>
      </c>
    </row>
    <row r="1212" customFormat="false" ht="15" hidden="false" customHeight="false" outlineLevel="0" collapsed="false">
      <c r="A1212" s="27" t="s">
        <v>114</v>
      </c>
      <c r="B1212" s="27" t="s">
        <v>109</v>
      </c>
      <c r="C1212" s="27" t="s">
        <v>40</v>
      </c>
      <c r="D1212" s="27" t="s">
        <v>48</v>
      </c>
      <c r="E1212" s="28" t="n">
        <f aca="false">ROUND((SUMIFS(Acerto_Detalhado!$F$2:$F$433,Acerto_Detalhado!$A$2:$A$433,$C1212,Acerto_Detalhado!$B$2:$B$433,"Abr",Acerto_Detalhado!$C$2:$C$433,"Proteina"))*(SUMIFS(Acerto_Detalhado!$I$2:$I$433,Acerto_Detalhado!$A$2:$A$433,$D1212,Acerto_Detalhado!$B$2:$B$433,"Abr",Acerto_Detalhado!$C$2:$C$433,"Proteina")),2)</f>
        <v>0</v>
      </c>
    </row>
    <row r="1213" customFormat="false" ht="15" hidden="false" customHeight="false" outlineLevel="0" collapsed="false">
      <c r="A1213" s="27" t="s">
        <v>114</v>
      </c>
      <c r="B1213" s="27" t="s">
        <v>109</v>
      </c>
      <c r="C1213" s="27" t="s">
        <v>40</v>
      </c>
      <c r="D1213" s="27" t="s">
        <v>49</v>
      </c>
      <c r="E1213" s="28" t="n">
        <f aca="false">ROUND((SUMIFS(Acerto_Detalhado!$F$2:$F$433,Acerto_Detalhado!$A$2:$A$433,$C1213,Acerto_Detalhado!$B$2:$B$433,"Abr",Acerto_Detalhado!$C$2:$C$433,"Proteina"))*(SUMIFS(Acerto_Detalhado!$I$2:$I$433,Acerto_Detalhado!$A$2:$A$433,$D1213,Acerto_Detalhado!$B$2:$B$433,"Abr",Acerto_Detalhado!$C$2:$C$433,"Proteina")),2)</f>
        <v>0</v>
      </c>
    </row>
    <row r="1214" customFormat="false" ht="15" hidden="false" customHeight="false" outlineLevel="0" collapsed="false">
      <c r="A1214" s="27" t="s">
        <v>114</v>
      </c>
      <c r="B1214" s="27" t="s">
        <v>109</v>
      </c>
      <c r="C1214" s="27" t="s">
        <v>40</v>
      </c>
      <c r="D1214" s="27" t="s">
        <v>50</v>
      </c>
      <c r="E1214" s="28" t="n">
        <f aca="false">ROUND((SUMIFS(Acerto_Detalhado!$F$2:$F$433,Acerto_Detalhado!$A$2:$A$433,$C1214,Acerto_Detalhado!$B$2:$B$433,"Abr",Acerto_Detalhado!$C$2:$C$433,"Proteina"))*(SUMIFS(Acerto_Detalhado!$I$2:$I$433,Acerto_Detalhado!$A$2:$A$433,$D1214,Acerto_Detalhado!$B$2:$B$433,"Abr",Acerto_Detalhado!$C$2:$C$433,"Proteina")),2)</f>
        <v>0</v>
      </c>
    </row>
    <row r="1215" customFormat="false" ht="15" hidden="false" customHeight="false" outlineLevel="0" collapsed="false">
      <c r="A1215" s="27" t="s">
        <v>114</v>
      </c>
      <c r="B1215" s="27" t="s">
        <v>109</v>
      </c>
      <c r="C1215" s="27" t="s">
        <v>41</v>
      </c>
      <c r="D1215" s="27" t="s">
        <v>39</v>
      </c>
      <c r="E1215" s="28" t="n">
        <f aca="false">ROUND((SUMIFS(Acerto_Detalhado!$F$2:$F$433,Acerto_Detalhado!$A$2:$A$433,$C1215,Acerto_Detalhado!$B$2:$B$433,"Abr",Acerto_Detalhado!$C$2:$C$433,"Proteina"))*(SUMIFS(Acerto_Detalhado!$I$2:$I$433,Acerto_Detalhado!$A$2:$A$433,$D1215,Acerto_Detalhado!$B$2:$B$433,"Abr",Acerto_Detalhado!$C$2:$C$433,"Proteina")),2)</f>
        <v>0</v>
      </c>
    </row>
    <row r="1216" customFormat="false" ht="15" hidden="false" customHeight="false" outlineLevel="0" collapsed="false">
      <c r="A1216" s="27" t="s">
        <v>114</v>
      </c>
      <c r="B1216" s="27" t="s">
        <v>109</v>
      </c>
      <c r="C1216" s="27" t="s">
        <v>41</v>
      </c>
      <c r="D1216" s="27" t="s">
        <v>40</v>
      </c>
      <c r="E1216" s="28" t="n">
        <f aca="false">ROUND((SUMIFS(Acerto_Detalhado!$F$2:$F$433,Acerto_Detalhado!$A$2:$A$433,$C1216,Acerto_Detalhado!$B$2:$B$433,"Abr",Acerto_Detalhado!$C$2:$C$433,"Proteina"))*(SUMIFS(Acerto_Detalhado!$I$2:$I$433,Acerto_Detalhado!$A$2:$A$433,$D1216,Acerto_Detalhado!$B$2:$B$433,"Abr",Acerto_Detalhado!$C$2:$C$433,"Proteina")),2)</f>
        <v>90.47</v>
      </c>
    </row>
    <row r="1217" customFormat="false" ht="15" hidden="false" customHeight="false" outlineLevel="0" collapsed="false">
      <c r="A1217" s="27" t="s">
        <v>114</v>
      </c>
      <c r="B1217" s="27" t="s">
        <v>109</v>
      </c>
      <c r="C1217" s="27" t="s">
        <v>41</v>
      </c>
      <c r="D1217" s="27" t="s">
        <v>42</v>
      </c>
      <c r="E1217" s="28" t="n">
        <f aca="false">ROUND((SUMIFS(Acerto_Detalhado!$F$2:$F$433,Acerto_Detalhado!$A$2:$A$433,$C1217,Acerto_Detalhado!$B$2:$B$433,"Abr",Acerto_Detalhado!$C$2:$C$433,"Proteina"))*(SUMIFS(Acerto_Detalhado!$I$2:$I$433,Acerto_Detalhado!$A$2:$A$433,$D1217,Acerto_Detalhado!$B$2:$B$433,"Abr",Acerto_Detalhado!$C$2:$C$433,"Proteina")),2)</f>
        <v>91.14</v>
      </c>
    </row>
    <row r="1218" customFormat="false" ht="15" hidden="false" customHeight="false" outlineLevel="0" collapsed="false">
      <c r="A1218" s="27" t="s">
        <v>114</v>
      </c>
      <c r="B1218" s="27" t="s">
        <v>109</v>
      </c>
      <c r="C1218" s="27" t="s">
        <v>41</v>
      </c>
      <c r="D1218" s="27" t="s">
        <v>43</v>
      </c>
      <c r="E1218" s="28" t="n">
        <f aca="false">ROUND((SUMIFS(Acerto_Detalhado!$F$2:$F$433,Acerto_Detalhado!$A$2:$A$433,$C1218,Acerto_Detalhado!$B$2:$B$433,"Abr",Acerto_Detalhado!$C$2:$C$433,"Proteina"))*(SUMIFS(Acerto_Detalhado!$I$2:$I$433,Acerto_Detalhado!$A$2:$A$433,$D1218,Acerto_Detalhado!$B$2:$B$433,"Abr",Acerto_Detalhado!$C$2:$C$433,"Proteina")),2)</f>
        <v>0</v>
      </c>
    </row>
    <row r="1219" customFormat="false" ht="15" hidden="false" customHeight="false" outlineLevel="0" collapsed="false">
      <c r="A1219" s="27" t="s">
        <v>114</v>
      </c>
      <c r="B1219" s="27" t="s">
        <v>109</v>
      </c>
      <c r="C1219" s="27" t="s">
        <v>41</v>
      </c>
      <c r="D1219" s="27" t="s">
        <v>44</v>
      </c>
      <c r="E1219" s="28" t="n">
        <f aca="false">ROUND((SUMIFS(Acerto_Detalhado!$F$2:$F$433,Acerto_Detalhado!$A$2:$A$433,$C1219,Acerto_Detalhado!$B$2:$B$433,"Abr",Acerto_Detalhado!$C$2:$C$433,"Proteina"))*(SUMIFS(Acerto_Detalhado!$I$2:$I$433,Acerto_Detalhado!$A$2:$A$433,$D1219,Acerto_Detalhado!$B$2:$B$433,"Abr",Acerto_Detalhado!$C$2:$C$433,"Proteina")),2)</f>
        <v>150.67</v>
      </c>
    </row>
    <row r="1220" customFormat="false" ht="15" hidden="false" customHeight="false" outlineLevel="0" collapsed="false">
      <c r="A1220" s="27" t="s">
        <v>114</v>
      </c>
      <c r="B1220" s="27" t="s">
        <v>109</v>
      </c>
      <c r="C1220" s="27" t="s">
        <v>41</v>
      </c>
      <c r="D1220" s="27" t="s">
        <v>45</v>
      </c>
      <c r="E1220" s="28" t="n">
        <f aca="false">ROUND((SUMIFS(Acerto_Detalhado!$F$2:$F$433,Acerto_Detalhado!$A$2:$A$433,$C1220,Acerto_Detalhado!$B$2:$B$433,"Abr",Acerto_Detalhado!$C$2:$C$433,"Proteina"))*(SUMIFS(Acerto_Detalhado!$I$2:$I$433,Acerto_Detalhado!$A$2:$A$433,$D1220,Acerto_Detalhado!$B$2:$B$433,"Abr",Acerto_Detalhado!$C$2:$C$433,"Proteina")),2)</f>
        <v>0</v>
      </c>
    </row>
    <row r="1221" customFormat="false" ht="15" hidden="false" customHeight="false" outlineLevel="0" collapsed="false">
      <c r="A1221" s="27" t="s">
        <v>114</v>
      </c>
      <c r="B1221" s="27" t="s">
        <v>109</v>
      </c>
      <c r="C1221" s="27" t="s">
        <v>41</v>
      </c>
      <c r="D1221" s="27" t="s">
        <v>46</v>
      </c>
      <c r="E1221" s="28" t="n">
        <f aca="false">ROUND((SUMIFS(Acerto_Detalhado!$F$2:$F$433,Acerto_Detalhado!$A$2:$A$433,$C1221,Acerto_Detalhado!$B$2:$B$433,"Abr",Acerto_Detalhado!$C$2:$C$433,"Proteina"))*(SUMIFS(Acerto_Detalhado!$I$2:$I$433,Acerto_Detalhado!$A$2:$A$433,$D1221,Acerto_Detalhado!$B$2:$B$433,"Abr",Acerto_Detalhado!$C$2:$C$433,"Proteina")),2)</f>
        <v>0</v>
      </c>
    </row>
    <row r="1222" customFormat="false" ht="15" hidden="false" customHeight="false" outlineLevel="0" collapsed="false">
      <c r="A1222" s="27" t="s">
        <v>114</v>
      </c>
      <c r="B1222" s="27" t="s">
        <v>109</v>
      </c>
      <c r="C1222" s="27" t="s">
        <v>41</v>
      </c>
      <c r="D1222" s="27" t="s">
        <v>47</v>
      </c>
      <c r="E1222" s="28" t="n">
        <f aca="false">ROUND((SUMIFS(Acerto_Detalhado!$F$2:$F$433,Acerto_Detalhado!$A$2:$A$433,$C1222,Acerto_Detalhado!$B$2:$B$433,"Abr",Acerto_Detalhado!$C$2:$C$433,"Proteina"))*(SUMIFS(Acerto_Detalhado!$I$2:$I$433,Acerto_Detalhado!$A$2:$A$433,$D1222,Acerto_Detalhado!$B$2:$B$433,"Abr",Acerto_Detalhado!$C$2:$C$433,"Proteina")),2)</f>
        <v>0</v>
      </c>
    </row>
    <row r="1223" customFormat="false" ht="15" hidden="false" customHeight="false" outlineLevel="0" collapsed="false">
      <c r="A1223" s="27" t="s">
        <v>114</v>
      </c>
      <c r="B1223" s="27" t="s">
        <v>109</v>
      </c>
      <c r="C1223" s="27" t="s">
        <v>41</v>
      </c>
      <c r="D1223" s="27" t="s">
        <v>48</v>
      </c>
      <c r="E1223" s="28" t="n">
        <f aca="false">ROUND((SUMIFS(Acerto_Detalhado!$F$2:$F$433,Acerto_Detalhado!$A$2:$A$433,$C1223,Acerto_Detalhado!$B$2:$B$433,"Abr",Acerto_Detalhado!$C$2:$C$433,"Proteina"))*(SUMIFS(Acerto_Detalhado!$I$2:$I$433,Acerto_Detalhado!$A$2:$A$433,$D1223,Acerto_Detalhado!$B$2:$B$433,"Abr",Acerto_Detalhado!$C$2:$C$433,"Proteina")),2)</f>
        <v>0</v>
      </c>
    </row>
    <row r="1224" customFormat="false" ht="15" hidden="false" customHeight="false" outlineLevel="0" collapsed="false">
      <c r="A1224" s="27" t="s">
        <v>114</v>
      </c>
      <c r="B1224" s="27" t="s">
        <v>109</v>
      </c>
      <c r="C1224" s="27" t="s">
        <v>41</v>
      </c>
      <c r="D1224" s="27" t="s">
        <v>49</v>
      </c>
      <c r="E1224" s="28" t="n">
        <f aca="false">ROUND((SUMIFS(Acerto_Detalhado!$F$2:$F$433,Acerto_Detalhado!$A$2:$A$433,$C1224,Acerto_Detalhado!$B$2:$B$433,"Abr",Acerto_Detalhado!$C$2:$C$433,"Proteina"))*(SUMIFS(Acerto_Detalhado!$I$2:$I$433,Acerto_Detalhado!$A$2:$A$433,$D1224,Acerto_Detalhado!$B$2:$B$433,"Abr",Acerto_Detalhado!$C$2:$C$433,"Proteina")),2)</f>
        <v>0</v>
      </c>
    </row>
    <row r="1225" customFormat="false" ht="15" hidden="false" customHeight="false" outlineLevel="0" collapsed="false">
      <c r="A1225" s="27" t="s">
        <v>114</v>
      </c>
      <c r="B1225" s="27" t="s">
        <v>109</v>
      </c>
      <c r="C1225" s="27" t="s">
        <v>41</v>
      </c>
      <c r="D1225" s="27" t="s">
        <v>50</v>
      </c>
      <c r="E1225" s="28" t="n">
        <f aca="false">ROUND((SUMIFS(Acerto_Detalhado!$F$2:$F$433,Acerto_Detalhado!$A$2:$A$433,$C1225,Acerto_Detalhado!$B$2:$B$433,"Abr",Acerto_Detalhado!$C$2:$C$433,"Proteina"))*(SUMIFS(Acerto_Detalhado!$I$2:$I$433,Acerto_Detalhado!$A$2:$A$433,$D1225,Acerto_Detalhado!$B$2:$B$433,"Abr",Acerto_Detalhado!$C$2:$C$433,"Proteina")),2)</f>
        <v>0</v>
      </c>
    </row>
    <row r="1226" customFormat="false" ht="15" hidden="false" customHeight="false" outlineLevel="0" collapsed="false">
      <c r="A1226" s="27" t="s">
        <v>114</v>
      </c>
      <c r="B1226" s="27" t="s">
        <v>109</v>
      </c>
      <c r="C1226" s="27" t="s">
        <v>42</v>
      </c>
      <c r="D1226" s="27" t="s">
        <v>39</v>
      </c>
      <c r="E1226" s="28" t="n">
        <f aca="false">ROUND((SUMIFS(Acerto_Detalhado!$F$2:$F$433,Acerto_Detalhado!$A$2:$A$433,$C1226,Acerto_Detalhado!$B$2:$B$433,"Abr",Acerto_Detalhado!$C$2:$C$433,"Proteina"))*(SUMIFS(Acerto_Detalhado!$I$2:$I$433,Acerto_Detalhado!$A$2:$A$433,$D1226,Acerto_Detalhado!$B$2:$B$433,"Abr",Acerto_Detalhado!$C$2:$C$433,"Proteina")),2)</f>
        <v>0</v>
      </c>
    </row>
    <row r="1227" customFormat="false" ht="15" hidden="false" customHeight="false" outlineLevel="0" collapsed="false">
      <c r="A1227" s="27" t="s">
        <v>114</v>
      </c>
      <c r="B1227" s="27" t="s">
        <v>109</v>
      </c>
      <c r="C1227" s="27" t="s">
        <v>42</v>
      </c>
      <c r="D1227" s="27" t="s">
        <v>40</v>
      </c>
      <c r="E1227" s="28" t="n">
        <f aca="false">ROUND((SUMIFS(Acerto_Detalhado!$F$2:$F$433,Acerto_Detalhado!$A$2:$A$433,$C1227,Acerto_Detalhado!$B$2:$B$433,"Abr",Acerto_Detalhado!$C$2:$C$433,"Proteina"))*(SUMIFS(Acerto_Detalhado!$I$2:$I$433,Acerto_Detalhado!$A$2:$A$433,$D1227,Acerto_Detalhado!$B$2:$B$433,"Abr",Acerto_Detalhado!$C$2:$C$433,"Proteina")),2)</f>
        <v>0</v>
      </c>
    </row>
    <row r="1228" customFormat="false" ht="15" hidden="false" customHeight="false" outlineLevel="0" collapsed="false">
      <c r="A1228" s="27" t="s">
        <v>114</v>
      </c>
      <c r="B1228" s="27" t="s">
        <v>109</v>
      </c>
      <c r="C1228" s="27" t="s">
        <v>42</v>
      </c>
      <c r="D1228" s="27" t="s">
        <v>41</v>
      </c>
      <c r="E1228" s="28" t="n">
        <f aca="false">ROUND((SUMIFS(Acerto_Detalhado!$F$2:$F$433,Acerto_Detalhado!$A$2:$A$433,$C1228,Acerto_Detalhado!$B$2:$B$433,"Abr",Acerto_Detalhado!$C$2:$C$433,"Proteina"))*(SUMIFS(Acerto_Detalhado!$I$2:$I$433,Acerto_Detalhado!$A$2:$A$433,$D1228,Acerto_Detalhado!$B$2:$B$433,"Abr",Acerto_Detalhado!$C$2:$C$433,"Proteina")),2)</f>
        <v>0</v>
      </c>
    </row>
    <row r="1229" customFormat="false" ht="15" hidden="false" customHeight="false" outlineLevel="0" collapsed="false">
      <c r="A1229" s="27" t="s">
        <v>114</v>
      </c>
      <c r="B1229" s="27" t="s">
        <v>109</v>
      </c>
      <c r="C1229" s="27" t="s">
        <v>42</v>
      </c>
      <c r="D1229" s="27" t="s">
        <v>43</v>
      </c>
      <c r="E1229" s="28" t="n">
        <f aca="false">ROUND((SUMIFS(Acerto_Detalhado!$F$2:$F$433,Acerto_Detalhado!$A$2:$A$433,$C1229,Acerto_Detalhado!$B$2:$B$433,"Abr",Acerto_Detalhado!$C$2:$C$433,"Proteina"))*(SUMIFS(Acerto_Detalhado!$I$2:$I$433,Acerto_Detalhado!$A$2:$A$433,$D1229,Acerto_Detalhado!$B$2:$B$433,"Abr",Acerto_Detalhado!$C$2:$C$433,"Proteina")),2)</f>
        <v>0</v>
      </c>
    </row>
    <row r="1230" customFormat="false" ht="15" hidden="false" customHeight="false" outlineLevel="0" collapsed="false">
      <c r="A1230" s="27" t="s">
        <v>114</v>
      </c>
      <c r="B1230" s="27" t="s">
        <v>109</v>
      </c>
      <c r="C1230" s="27" t="s">
        <v>42</v>
      </c>
      <c r="D1230" s="27" t="s">
        <v>44</v>
      </c>
      <c r="E1230" s="28" t="n">
        <f aca="false">ROUND((SUMIFS(Acerto_Detalhado!$F$2:$F$433,Acerto_Detalhado!$A$2:$A$433,$C1230,Acerto_Detalhado!$B$2:$B$433,"Abr",Acerto_Detalhado!$C$2:$C$433,"Proteina"))*(SUMIFS(Acerto_Detalhado!$I$2:$I$433,Acerto_Detalhado!$A$2:$A$433,$D1230,Acerto_Detalhado!$B$2:$B$433,"Abr",Acerto_Detalhado!$C$2:$C$433,"Proteina")),2)</f>
        <v>0</v>
      </c>
    </row>
    <row r="1231" customFormat="false" ht="15" hidden="false" customHeight="false" outlineLevel="0" collapsed="false">
      <c r="A1231" s="27" t="s">
        <v>114</v>
      </c>
      <c r="B1231" s="27" t="s">
        <v>109</v>
      </c>
      <c r="C1231" s="27" t="s">
        <v>42</v>
      </c>
      <c r="D1231" s="27" t="s">
        <v>45</v>
      </c>
      <c r="E1231" s="28" t="n">
        <f aca="false">ROUND((SUMIFS(Acerto_Detalhado!$F$2:$F$433,Acerto_Detalhado!$A$2:$A$433,$C1231,Acerto_Detalhado!$B$2:$B$433,"Abr",Acerto_Detalhado!$C$2:$C$433,"Proteina"))*(SUMIFS(Acerto_Detalhado!$I$2:$I$433,Acerto_Detalhado!$A$2:$A$433,$D1231,Acerto_Detalhado!$B$2:$B$433,"Abr",Acerto_Detalhado!$C$2:$C$433,"Proteina")),2)</f>
        <v>0</v>
      </c>
    </row>
    <row r="1232" customFormat="false" ht="15" hidden="false" customHeight="false" outlineLevel="0" collapsed="false">
      <c r="A1232" s="27" t="s">
        <v>114</v>
      </c>
      <c r="B1232" s="27" t="s">
        <v>109</v>
      </c>
      <c r="C1232" s="27" t="s">
        <v>42</v>
      </c>
      <c r="D1232" s="27" t="s">
        <v>46</v>
      </c>
      <c r="E1232" s="28" t="n">
        <f aca="false">ROUND((SUMIFS(Acerto_Detalhado!$F$2:$F$433,Acerto_Detalhado!$A$2:$A$433,$C1232,Acerto_Detalhado!$B$2:$B$433,"Abr",Acerto_Detalhado!$C$2:$C$433,"Proteina"))*(SUMIFS(Acerto_Detalhado!$I$2:$I$433,Acerto_Detalhado!$A$2:$A$433,$D1232,Acerto_Detalhado!$B$2:$B$433,"Abr",Acerto_Detalhado!$C$2:$C$433,"Proteina")),2)</f>
        <v>0</v>
      </c>
    </row>
    <row r="1233" customFormat="false" ht="15" hidden="false" customHeight="false" outlineLevel="0" collapsed="false">
      <c r="A1233" s="27" t="s">
        <v>114</v>
      </c>
      <c r="B1233" s="27" t="s">
        <v>109</v>
      </c>
      <c r="C1233" s="27" t="s">
        <v>42</v>
      </c>
      <c r="D1233" s="27" t="s">
        <v>47</v>
      </c>
      <c r="E1233" s="28" t="n">
        <f aca="false">ROUND((SUMIFS(Acerto_Detalhado!$F$2:$F$433,Acerto_Detalhado!$A$2:$A$433,$C1233,Acerto_Detalhado!$B$2:$B$433,"Abr",Acerto_Detalhado!$C$2:$C$433,"Proteina"))*(SUMIFS(Acerto_Detalhado!$I$2:$I$433,Acerto_Detalhado!$A$2:$A$433,$D1233,Acerto_Detalhado!$B$2:$B$433,"Abr",Acerto_Detalhado!$C$2:$C$433,"Proteina")),2)</f>
        <v>0</v>
      </c>
    </row>
    <row r="1234" customFormat="false" ht="15" hidden="false" customHeight="false" outlineLevel="0" collapsed="false">
      <c r="A1234" s="27" t="s">
        <v>114</v>
      </c>
      <c r="B1234" s="27" t="s">
        <v>109</v>
      </c>
      <c r="C1234" s="27" t="s">
        <v>42</v>
      </c>
      <c r="D1234" s="27" t="s">
        <v>48</v>
      </c>
      <c r="E1234" s="28" t="n">
        <f aca="false">ROUND((SUMIFS(Acerto_Detalhado!$F$2:$F$433,Acerto_Detalhado!$A$2:$A$433,$C1234,Acerto_Detalhado!$B$2:$B$433,"Abr",Acerto_Detalhado!$C$2:$C$433,"Proteina"))*(SUMIFS(Acerto_Detalhado!$I$2:$I$433,Acerto_Detalhado!$A$2:$A$433,$D1234,Acerto_Detalhado!$B$2:$B$433,"Abr",Acerto_Detalhado!$C$2:$C$433,"Proteina")),2)</f>
        <v>0</v>
      </c>
    </row>
    <row r="1235" customFormat="false" ht="15" hidden="false" customHeight="false" outlineLevel="0" collapsed="false">
      <c r="A1235" s="27" t="s">
        <v>114</v>
      </c>
      <c r="B1235" s="27" t="s">
        <v>109</v>
      </c>
      <c r="C1235" s="27" t="s">
        <v>42</v>
      </c>
      <c r="D1235" s="27" t="s">
        <v>49</v>
      </c>
      <c r="E1235" s="28" t="n">
        <f aca="false">ROUND((SUMIFS(Acerto_Detalhado!$F$2:$F$433,Acerto_Detalhado!$A$2:$A$433,$C1235,Acerto_Detalhado!$B$2:$B$433,"Abr",Acerto_Detalhado!$C$2:$C$433,"Proteina"))*(SUMIFS(Acerto_Detalhado!$I$2:$I$433,Acerto_Detalhado!$A$2:$A$433,$D1235,Acerto_Detalhado!$B$2:$B$433,"Abr",Acerto_Detalhado!$C$2:$C$433,"Proteina")),2)</f>
        <v>0</v>
      </c>
    </row>
    <row r="1236" customFormat="false" ht="15" hidden="false" customHeight="false" outlineLevel="0" collapsed="false">
      <c r="A1236" s="27" t="s">
        <v>114</v>
      </c>
      <c r="B1236" s="27" t="s">
        <v>109</v>
      </c>
      <c r="C1236" s="27" t="s">
        <v>42</v>
      </c>
      <c r="D1236" s="27" t="s">
        <v>50</v>
      </c>
      <c r="E1236" s="28" t="n">
        <f aca="false">ROUND((SUMIFS(Acerto_Detalhado!$F$2:$F$433,Acerto_Detalhado!$A$2:$A$433,$C1236,Acerto_Detalhado!$B$2:$B$433,"Abr",Acerto_Detalhado!$C$2:$C$433,"Proteina"))*(SUMIFS(Acerto_Detalhado!$I$2:$I$433,Acerto_Detalhado!$A$2:$A$433,$D1236,Acerto_Detalhado!$B$2:$B$433,"Abr",Acerto_Detalhado!$C$2:$C$433,"Proteina")),2)</f>
        <v>0</v>
      </c>
    </row>
    <row r="1237" customFormat="false" ht="15" hidden="false" customHeight="false" outlineLevel="0" collapsed="false">
      <c r="A1237" s="27" t="s">
        <v>114</v>
      </c>
      <c r="B1237" s="27" t="s">
        <v>109</v>
      </c>
      <c r="C1237" s="27" t="s">
        <v>43</v>
      </c>
      <c r="D1237" s="27" t="s">
        <v>39</v>
      </c>
      <c r="E1237" s="28" t="n">
        <f aca="false">ROUND((SUMIFS(Acerto_Detalhado!$F$2:$F$433,Acerto_Detalhado!$A$2:$A$433,$C1237,Acerto_Detalhado!$B$2:$B$433,"Abr",Acerto_Detalhado!$C$2:$C$433,"Proteina"))*(SUMIFS(Acerto_Detalhado!$I$2:$I$433,Acerto_Detalhado!$A$2:$A$433,$D1237,Acerto_Detalhado!$B$2:$B$433,"Abr",Acerto_Detalhado!$C$2:$C$433,"Proteina")),2)</f>
        <v>0</v>
      </c>
    </row>
    <row r="1238" customFormat="false" ht="15" hidden="false" customHeight="false" outlineLevel="0" collapsed="false">
      <c r="A1238" s="27" t="s">
        <v>114</v>
      </c>
      <c r="B1238" s="27" t="s">
        <v>109</v>
      </c>
      <c r="C1238" s="27" t="s">
        <v>43</v>
      </c>
      <c r="D1238" s="27" t="s">
        <v>40</v>
      </c>
      <c r="E1238" s="28" t="n">
        <f aca="false">ROUND((SUMIFS(Acerto_Detalhado!$F$2:$F$433,Acerto_Detalhado!$A$2:$A$433,$C1238,Acerto_Detalhado!$B$2:$B$433,"Abr",Acerto_Detalhado!$C$2:$C$433,"Proteina"))*(SUMIFS(Acerto_Detalhado!$I$2:$I$433,Acerto_Detalhado!$A$2:$A$433,$D1238,Acerto_Detalhado!$B$2:$B$433,"Abr",Acerto_Detalhado!$C$2:$C$433,"Proteina")),2)</f>
        <v>23291.18</v>
      </c>
    </row>
    <row r="1239" customFormat="false" ht="15" hidden="false" customHeight="false" outlineLevel="0" collapsed="false">
      <c r="A1239" s="27" t="s">
        <v>114</v>
      </c>
      <c r="B1239" s="27" t="s">
        <v>109</v>
      </c>
      <c r="C1239" s="27" t="s">
        <v>43</v>
      </c>
      <c r="D1239" s="27" t="s">
        <v>41</v>
      </c>
      <c r="E1239" s="28" t="n">
        <f aca="false">ROUND((SUMIFS(Acerto_Detalhado!$F$2:$F$433,Acerto_Detalhado!$A$2:$A$433,$C1239,Acerto_Detalhado!$B$2:$B$433,"Abr",Acerto_Detalhado!$C$2:$C$433,"Proteina"))*(SUMIFS(Acerto_Detalhado!$I$2:$I$433,Acerto_Detalhado!$A$2:$A$433,$D1239,Acerto_Detalhado!$B$2:$B$433,"Abr",Acerto_Detalhado!$C$2:$C$433,"Proteina")),2)</f>
        <v>0</v>
      </c>
    </row>
    <row r="1240" customFormat="false" ht="15" hidden="false" customHeight="false" outlineLevel="0" collapsed="false">
      <c r="A1240" s="27" t="s">
        <v>114</v>
      </c>
      <c r="B1240" s="27" t="s">
        <v>109</v>
      </c>
      <c r="C1240" s="27" t="s">
        <v>43</v>
      </c>
      <c r="D1240" s="27" t="s">
        <v>42</v>
      </c>
      <c r="E1240" s="28" t="n">
        <f aca="false">ROUND((SUMIFS(Acerto_Detalhado!$F$2:$F$433,Acerto_Detalhado!$A$2:$A$433,$C1240,Acerto_Detalhado!$B$2:$B$433,"Abr",Acerto_Detalhado!$C$2:$C$433,"Proteina"))*(SUMIFS(Acerto_Detalhado!$I$2:$I$433,Acerto_Detalhado!$A$2:$A$433,$D1240,Acerto_Detalhado!$B$2:$B$433,"Abr",Acerto_Detalhado!$C$2:$C$433,"Proteina")),2)</f>
        <v>23463.71</v>
      </c>
    </row>
    <row r="1241" customFormat="false" ht="15" hidden="false" customHeight="false" outlineLevel="0" collapsed="false">
      <c r="A1241" s="27" t="s">
        <v>114</v>
      </c>
      <c r="B1241" s="27" t="s">
        <v>109</v>
      </c>
      <c r="C1241" s="27" t="s">
        <v>43</v>
      </c>
      <c r="D1241" s="27" t="s">
        <v>44</v>
      </c>
      <c r="E1241" s="28" t="n">
        <f aca="false">ROUND((SUMIFS(Acerto_Detalhado!$F$2:$F$433,Acerto_Detalhado!$A$2:$A$433,$C1241,Acerto_Detalhado!$B$2:$B$433,"Abr",Acerto_Detalhado!$C$2:$C$433,"Proteina"))*(SUMIFS(Acerto_Detalhado!$I$2:$I$433,Acerto_Detalhado!$A$2:$A$433,$D1241,Acerto_Detalhado!$B$2:$B$433,"Abr",Acerto_Detalhado!$C$2:$C$433,"Proteina")),2)</f>
        <v>38788.99</v>
      </c>
    </row>
    <row r="1242" customFormat="false" ht="15" hidden="false" customHeight="false" outlineLevel="0" collapsed="false">
      <c r="A1242" s="27" t="s">
        <v>114</v>
      </c>
      <c r="B1242" s="27" t="s">
        <v>109</v>
      </c>
      <c r="C1242" s="27" t="s">
        <v>43</v>
      </c>
      <c r="D1242" s="27" t="s">
        <v>45</v>
      </c>
      <c r="E1242" s="28" t="n">
        <f aca="false">ROUND((SUMIFS(Acerto_Detalhado!$F$2:$F$433,Acerto_Detalhado!$A$2:$A$433,$C1242,Acerto_Detalhado!$B$2:$B$433,"Abr",Acerto_Detalhado!$C$2:$C$433,"Proteina"))*(SUMIFS(Acerto_Detalhado!$I$2:$I$433,Acerto_Detalhado!$A$2:$A$433,$D1242,Acerto_Detalhado!$B$2:$B$433,"Abr",Acerto_Detalhado!$C$2:$C$433,"Proteina")),2)</f>
        <v>0</v>
      </c>
    </row>
    <row r="1243" customFormat="false" ht="15" hidden="false" customHeight="false" outlineLevel="0" collapsed="false">
      <c r="A1243" s="27" t="s">
        <v>114</v>
      </c>
      <c r="B1243" s="27" t="s">
        <v>109</v>
      </c>
      <c r="C1243" s="27" t="s">
        <v>43</v>
      </c>
      <c r="D1243" s="27" t="s">
        <v>46</v>
      </c>
      <c r="E1243" s="28" t="n">
        <f aca="false">ROUND((SUMIFS(Acerto_Detalhado!$F$2:$F$433,Acerto_Detalhado!$A$2:$A$433,$C1243,Acerto_Detalhado!$B$2:$B$433,"Abr",Acerto_Detalhado!$C$2:$C$433,"Proteina"))*(SUMIFS(Acerto_Detalhado!$I$2:$I$433,Acerto_Detalhado!$A$2:$A$433,$D1243,Acerto_Detalhado!$B$2:$B$433,"Abr",Acerto_Detalhado!$C$2:$C$433,"Proteina")),2)</f>
        <v>0</v>
      </c>
    </row>
    <row r="1244" customFormat="false" ht="15" hidden="false" customHeight="false" outlineLevel="0" collapsed="false">
      <c r="A1244" s="27" t="s">
        <v>114</v>
      </c>
      <c r="B1244" s="27" t="s">
        <v>109</v>
      </c>
      <c r="C1244" s="27" t="s">
        <v>43</v>
      </c>
      <c r="D1244" s="27" t="s">
        <v>47</v>
      </c>
      <c r="E1244" s="28" t="n">
        <f aca="false">ROUND((SUMIFS(Acerto_Detalhado!$F$2:$F$433,Acerto_Detalhado!$A$2:$A$433,$C1244,Acerto_Detalhado!$B$2:$B$433,"Abr",Acerto_Detalhado!$C$2:$C$433,"Proteina"))*(SUMIFS(Acerto_Detalhado!$I$2:$I$433,Acerto_Detalhado!$A$2:$A$433,$D1244,Acerto_Detalhado!$B$2:$B$433,"Abr",Acerto_Detalhado!$C$2:$C$433,"Proteina")),2)</f>
        <v>0</v>
      </c>
    </row>
    <row r="1245" customFormat="false" ht="15" hidden="false" customHeight="false" outlineLevel="0" collapsed="false">
      <c r="A1245" s="27" t="s">
        <v>114</v>
      </c>
      <c r="B1245" s="27" t="s">
        <v>109</v>
      </c>
      <c r="C1245" s="27" t="s">
        <v>43</v>
      </c>
      <c r="D1245" s="27" t="s">
        <v>48</v>
      </c>
      <c r="E1245" s="28" t="n">
        <f aca="false">ROUND((SUMIFS(Acerto_Detalhado!$F$2:$F$433,Acerto_Detalhado!$A$2:$A$433,$C1245,Acerto_Detalhado!$B$2:$B$433,"Abr",Acerto_Detalhado!$C$2:$C$433,"Proteina"))*(SUMIFS(Acerto_Detalhado!$I$2:$I$433,Acerto_Detalhado!$A$2:$A$433,$D1245,Acerto_Detalhado!$B$2:$B$433,"Abr",Acerto_Detalhado!$C$2:$C$433,"Proteina")),2)</f>
        <v>0</v>
      </c>
    </row>
    <row r="1246" customFormat="false" ht="15" hidden="false" customHeight="false" outlineLevel="0" collapsed="false">
      <c r="A1246" s="27" t="s">
        <v>114</v>
      </c>
      <c r="B1246" s="27" t="s">
        <v>109</v>
      </c>
      <c r="C1246" s="27" t="s">
        <v>43</v>
      </c>
      <c r="D1246" s="27" t="s">
        <v>49</v>
      </c>
      <c r="E1246" s="28" t="n">
        <f aca="false">ROUND((SUMIFS(Acerto_Detalhado!$F$2:$F$433,Acerto_Detalhado!$A$2:$A$433,$C1246,Acerto_Detalhado!$B$2:$B$433,"Abr",Acerto_Detalhado!$C$2:$C$433,"Proteina"))*(SUMIFS(Acerto_Detalhado!$I$2:$I$433,Acerto_Detalhado!$A$2:$A$433,$D1246,Acerto_Detalhado!$B$2:$B$433,"Abr",Acerto_Detalhado!$C$2:$C$433,"Proteina")),2)</f>
        <v>0</v>
      </c>
    </row>
    <row r="1247" customFormat="false" ht="15" hidden="false" customHeight="false" outlineLevel="0" collapsed="false">
      <c r="A1247" s="27" t="s">
        <v>114</v>
      </c>
      <c r="B1247" s="27" t="s">
        <v>109</v>
      </c>
      <c r="C1247" s="27" t="s">
        <v>43</v>
      </c>
      <c r="D1247" s="27" t="s">
        <v>50</v>
      </c>
      <c r="E1247" s="28" t="n">
        <f aca="false">ROUND((SUMIFS(Acerto_Detalhado!$F$2:$F$433,Acerto_Detalhado!$A$2:$A$433,$C1247,Acerto_Detalhado!$B$2:$B$433,"Abr",Acerto_Detalhado!$C$2:$C$433,"Proteina"))*(SUMIFS(Acerto_Detalhado!$I$2:$I$433,Acerto_Detalhado!$A$2:$A$433,$D1247,Acerto_Detalhado!$B$2:$B$433,"Abr",Acerto_Detalhado!$C$2:$C$433,"Proteina")),2)</f>
        <v>0</v>
      </c>
    </row>
    <row r="1248" customFormat="false" ht="15" hidden="false" customHeight="false" outlineLevel="0" collapsed="false">
      <c r="A1248" s="27" t="s">
        <v>114</v>
      </c>
      <c r="B1248" s="27" t="s">
        <v>109</v>
      </c>
      <c r="C1248" s="27" t="s">
        <v>44</v>
      </c>
      <c r="D1248" s="27" t="s">
        <v>39</v>
      </c>
      <c r="E1248" s="28" t="n">
        <f aca="false">ROUND((SUMIFS(Acerto_Detalhado!$F$2:$F$433,Acerto_Detalhado!$A$2:$A$433,$C1248,Acerto_Detalhado!$B$2:$B$433,"Abr",Acerto_Detalhado!$C$2:$C$433,"Proteina"))*(SUMIFS(Acerto_Detalhado!$I$2:$I$433,Acerto_Detalhado!$A$2:$A$433,$D1248,Acerto_Detalhado!$B$2:$B$433,"Abr",Acerto_Detalhado!$C$2:$C$433,"Proteina")),2)</f>
        <v>0</v>
      </c>
    </row>
    <row r="1249" customFormat="false" ht="15" hidden="false" customHeight="false" outlineLevel="0" collapsed="false">
      <c r="A1249" s="27" t="s">
        <v>114</v>
      </c>
      <c r="B1249" s="27" t="s">
        <v>109</v>
      </c>
      <c r="C1249" s="27" t="s">
        <v>44</v>
      </c>
      <c r="D1249" s="27" t="s">
        <v>40</v>
      </c>
      <c r="E1249" s="28" t="n">
        <f aca="false">ROUND((SUMIFS(Acerto_Detalhado!$F$2:$F$433,Acerto_Detalhado!$A$2:$A$433,$C1249,Acerto_Detalhado!$B$2:$B$433,"Abr",Acerto_Detalhado!$C$2:$C$433,"Proteina"))*(SUMIFS(Acerto_Detalhado!$I$2:$I$433,Acerto_Detalhado!$A$2:$A$433,$D1249,Acerto_Detalhado!$B$2:$B$433,"Abr",Acerto_Detalhado!$C$2:$C$433,"Proteina")),2)</f>
        <v>0</v>
      </c>
    </row>
    <row r="1250" customFormat="false" ht="15" hidden="false" customHeight="false" outlineLevel="0" collapsed="false">
      <c r="A1250" s="27" t="s">
        <v>114</v>
      </c>
      <c r="B1250" s="27" t="s">
        <v>109</v>
      </c>
      <c r="C1250" s="27" t="s">
        <v>44</v>
      </c>
      <c r="D1250" s="27" t="s">
        <v>41</v>
      </c>
      <c r="E1250" s="28" t="n">
        <f aca="false">ROUND((SUMIFS(Acerto_Detalhado!$F$2:$F$433,Acerto_Detalhado!$A$2:$A$433,$C1250,Acerto_Detalhado!$B$2:$B$433,"Abr",Acerto_Detalhado!$C$2:$C$433,"Proteina"))*(SUMIFS(Acerto_Detalhado!$I$2:$I$433,Acerto_Detalhado!$A$2:$A$433,$D1250,Acerto_Detalhado!$B$2:$B$433,"Abr",Acerto_Detalhado!$C$2:$C$433,"Proteina")),2)</f>
        <v>0</v>
      </c>
    </row>
    <row r="1251" customFormat="false" ht="15" hidden="false" customHeight="false" outlineLevel="0" collapsed="false">
      <c r="A1251" s="27" t="s">
        <v>114</v>
      </c>
      <c r="B1251" s="27" t="s">
        <v>109</v>
      </c>
      <c r="C1251" s="27" t="s">
        <v>44</v>
      </c>
      <c r="D1251" s="27" t="s">
        <v>42</v>
      </c>
      <c r="E1251" s="28" t="n">
        <f aca="false">ROUND((SUMIFS(Acerto_Detalhado!$F$2:$F$433,Acerto_Detalhado!$A$2:$A$433,$C1251,Acerto_Detalhado!$B$2:$B$433,"Abr",Acerto_Detalhado!$C$2:$C$433,"Proteina"))*(SUMIFS(Acerto_Detalhado!$I$2:$I$433,Acerto_Detalhado!$A$2:$A$433,$D1251,Acerto_Detalhado!$B$2:$B$433,"Abr",Acerto_Detalhado!$C$2:$C$433,"Proteina")),2)</f>
        <v>0</v>
      </c>
    </row>
    <row r="1252" customFormat="false" ht="15" hidden="false" customHeight="false" outlineLevel="0" collapsed="false">
      <c r="A1252" s="27" t="s">
        <v>114</v>
      </c>
      <c r="B1252" s="27" t="s">
        <v>109</v>
      </c>
      <c r="C1252" s="27" t="s">
        <v>44</v>
      </c>
      <c r="D1252" s="27" t="s">
        <v>43</v>
      </c>
      <c r="E1252" s="28" t="n">
        <f aca="false">ROUND((SUMIFS(Acerto_Detalhado!$F$2:$F$433,Acerto_Detalhado!$A$2:$A$433,$C1252,Acerto_Detalhado!$B$2:$B$433,"Abr",Acerto_Detalhado!$C$2:$C$433,"Proteina"))*(SUMIFS(Acerto_Detalhado!$I$2:$I$433,Acerto_Detalhado!$A$2:$A$433,$D1252,Acerto_Detalhado!$B$2:$B$433,"Abr",Acerto_Detalhado!$C$2:$C$433,"Proteina")),2)</f>
        <v>0</v>
      </c>
    </row>
    <row r="1253" customFormat="false" ht="15" hidden="false" customHeight="false" outlineLevel="0" collapsed="false">
      <c r="A1253" s="27" t="s">
        <v>114</v>
      </c>
      <c r="B1253" s="27" t="s">
        <v>109</v>
      </c>
      <c r="C1253" s="27" t="s">
        <v>44</v>
      </c>
      <c r="D1253" s="27" t="s">
        <v>45</v>
      </c>
      <c r="E1253" s="28" t="n">
        <f aca="false">ROUND((SUMIFS(Acerto_Detalhado!$F$2:$F$433,Acerto_Detalhado!$A$2:$A$433,$C1253,Acerto_Detalhado!$B$2:$B$433,"Abr",Acerto_Detalhado!$C$2:$C$433,"Proteina"))*(SUMIFS(Acerto_Detalhado!$I$2:$I$433,Acerto_Detalhado!$A$2:$A$433,$D1253,Acerto_Detalhado!$B$2:$B$433,"Abr",Acerto_Detalhado!$C$2:$C$433,"Proteina")),2)</f>
        <v>0</v>
      </c>
    </row>
    <row r="1254" customFormat="false" ht="15" hidden="false" customHeight="false" outlineLevel="0" collapsed="false">
      <c r="A1254" s="27" t="s">
        <v>114</v>
      </c>
      <c r="B1254" s="27" t="s">
        <v>109</v>
      </c>
      <c r="C1254" s="27" t="s">
        <v>44</v>
      </c>
      <c r="D1254" s="27" t="s">
        <v>46</v>
      </c>
      <c r="E1254" s="28" t="n">
        <f aca="false">ROUND((SUMIFS(Acerto_Detalhado!$F$2:$F$433,Acerto_Detalhado!$A$2:$A$433,$C1254,Acerto_Detalhado!$B$2:$B$433,"Abr",Acerto_Detalhado!$C$2:$C$433,"Proteina"))*(SUMIFS(Acerto_Detalhado!$I$2:$I$433,Acerto_Detalhado!$A$2:$A$433,$D1254,Acerto_Detalhado!$B$2:$B$433,"Abr",Acerto_Detalhado!$C$2:$C$433,"Proteina")),2)</f>
        <v>0</v>
      </c>
    </row>
    <row r="1255" customFormat="false" ht="15" hidden="false" customHeight="false" outlineLevel="0" collapsed="false">
      <c r="A1255" s="27" t="s">
        <v>114</v>
      </c>
      <c r="B1255" s="27" t="s">
        <v>109</v>
      </c>
      <c r="C1255" s="27" t="s">
        <v>44</v>
      </c>
      <c r="D1255" s="27" t="s">
        <v>47</v>
      </c>
      <c r="E1255" s="28" t="n">
        <f aca="false">ROUND((SUMIFS(Acerto_Detalhado!$F$2:$F$433,Acerto_Detalhado!$A$2:$A$433,$C1255,Acerto_Detalhado!$B$2:$B$433,"Abr",Acerto_Detalhado!$C$2:$C$433,"Proteina"))*(SUMIFS(Acerto_Detalhado!$I$2:$I$433,Acerto_Detalhado!$A$2:$A$433,$D1255,Acerto_Detalhado!$B$2:$B$433,"Abr",Acerto_Detalhado!$C$2:$C$433,"Proteina")),2)</f>
        <v>0</v>
      </c>
    </row>
    <row r="1256" customFormat="false" ht="15" hidden="false" customHeight="false" outlineLevel="0" collapsed="false">
      <c r="A1256" s="27" t="s">
        <v>114</v>
      </c>
      <c r="B1256" s="27" t="s">
        <v>109</v>
      </c>
      <c r="C1256" s="27" t="s">
        <v>44</v>
      </c>
      <c r="D1256" s="27" t="s">
        <v>48</v>
      </c>
      <c r="E1256" s="28" t="n">
        <f aca="false">ROUND((SUMIFS(Acerto_Detalhado!$F$2:$F$433,Acerto_Detalhado!$A$2:$A$433,$C1256,Acerto_Detalhado!$B$2:$B$433,"Abr",Acerto_Detalhado!$C$2:$C$433,"Proteina"))*(SUMIFS(Acerto_Detalhado!$I$2:$I$433,Acerto_Detalhado!$A$2:$A$433,$D1256,Acerto_Detalhado!$B$2:$B$433,"Abr",Acerto_Detalhado!$C$2:$C$433,"Proteina")),2)</f>
        <v>0</v>
      </c>
    </row>
    <row r="1257" customFormat="false" ht="15" hidden="false" customHeight="false" outlineLevel="0" collapsed="false">
      <c r="A1257" s="27" t="s">
        <v>114</v>
      </c>
      <c r="B1257" s="27" t="s">
        <v>109</v>
      </c>
      <c r="C1257" s="27" t="s">
        <v>44</v>
      </c>
      <c r="D1257" s="27" t="s">
        <v>49</v>
      </c>
      <c r="E1257" s="28" t="n">
        <f aca="false">ROUND((SUMIFS(Acerto_Detalhado!$F$2:$F$433,Acerto_Detalhado!$A$2:$A$433,$C1257,Acerto_Detalhado!$B$2:$B$433,"Abr",Acerto_Detalhado!$C$2:$C$433,"Proteina"))*(SUMIFS(Acerto_Detalhado!$I$2:$I$433,Acerto_Detalhado!$A$2:$A$433,$D1257,Acerto_Detalhado!$B$2:$B$433,"Abr",Acerto_Detalhado!$C$2:$C$433,"Proteina")),2)</f>
        <v>0</v>
      </c>
    </row>
    <row r="1258" customFormat="false" ht="15" hidden="false" customHeight="false" outlineLevel="0" collapsed="false">
      <c r="A1258" s="27" t="s">
        <v>114</v>
      </c>
      <c r="B1258" s="27" t="s">
        <v>109</v>
      </c>
      <c r="C1258" s="27" t="s">
        <v>44</v>
      </c>
      <c r="D1258" s="27" t="s">
        <v>50</v>
      </c>
      <c r="E1258" s="28" t="n">
        <f aca="false">ROUND((SUMIFS(Acerto_Detalhado!$F$2:$F$433,Acerto_Detalhado!$A$2:$A$433,$C1258,Acerto_Detalhado!$B$2:$B$433,"Abr",Acerto_Detalhado!$C$2:$C$433,"Proteina"))*(SUMIFS(Acerto_Detalhado!$I$2:$I$433,Acerto_Detalhado!$A$2:$A$433,$D1258,Acerto_Detalhado!$B$2:$B$433,"Abr",Acerto_Detalhado!$C$2:$C$433,"Proteina")),2)</f>
        <v>0</v>
      </c>
    </row>
    <row r="1259" customFormat="false" ht="15" hidden="false" customHeight="false" outlineLevel="0" collapsed="false">
      <c r="A1259" s="27" t="s">
        <v>114</v>
      </c>
      <c r="B1259" s="27" t="s">
        <v>109</v>
      </c>
      <c r="C1259" s="27" t="s">
        <v>45</v>
      </c>
      <c r="D1259" s="27" t="s">
        <v>39</v>
      </c>
      <c r="E1259" s="28" t="n">
        <f aca="false">ROUND((SUMIFS(Acerto_Detalhado!$F$2:$F$433,Acerto_Detalhado!$A$2:$A$433,$C1259,Acerto_Detalhado!$B$2:$B$433,"Abr",Acerto_Detalhado!$C$2:$C$433,"Proteina"))*(SUMIFS(Acerto_Detalhado!$I$2:$I$433,Acerto_Detalhado!$A$2:$A$433,$D1259,Acerto_Detalhado!$B$2:$B$433,"Abr",Acerto_Detalhado!$C$2:$C$433,"Proteina")),2)</f>
        <v>0</v>
      </c>
    </row>
    <row r="1260" customFormat="false" ht="15" hidden="false" customHeight="false" outlineLevel="0" collapsed="false">
      <c r="A1260" s="27" t="s">
        <v>114</v>
      </c>
      <c r="B1260" s="27" t="s">
        <v>109</v>
      </c>
      <c r="C1260" s="27" t="s">
        <v>45</v>
      </c>
      <c r="D1260" s="27" t="s">
        <v>40</v>
      </c>
      <c r="E1260" s="28" t="n">
        <f aca="false">ROUND((SUMIFS(Acerto_Detalhado!$F$2:$F$433,Acerto_Detalhado!$A$2:$A$433,$C1260,Acerto_Detalhado!$B$2:$B$433,"Abr",Acerto_Detalhado!$C$2:$C$433,"Proteina"))*(SUMIFS(Acerto_Detalhado!$I$2:$I$433,Acerto_Detalhado!$A$2:$A$433,$D1260,Acerto_Detalhado!$B$2:$B$433,"Abr",Acerto_Detalhado!$C$2:$C$433,"Proteina")),2)</f>
        <v>1095.01</v>
      </c>
    </row>
    <row r="1261" customFormat="false" ht="15" hidden="false" customHeight="false" outlineLevel="0" collapsed="false">
      <c r="A1261" s="27" t="s">
        <v>114</v>
      </c>
      <c r="B1261" s="27" t="s">
        <v>109</v>
      </c>
      <c r="C1261" s="27" t="s">
        <v>45</v>
      </c>
      <c r="D1261" s="27" t="s">
        <v>41</v>
      </c>
      <c r="E1261" s="28" t="n">
        <f aca="false">ROUND((SUMIFS(Acerto_Detalhado!$F$2:$F$433,Acerto_Detalhado!$A$2:$A$433,$C1261,Acerto_Detalhado!$B$2:$B$433,"Abr",Acerto_Detalhado!$C$2:$C$433,"Proteina"))*(SUMIFS(Acerto_Detalhado!$I$2:$I$433,Acerto_Detalhado!$A$2:$A$433,$D1261,Acerto_Detalhado!$B$2:$B$433,"Abr",Acerto_Detalhado!$C$2:$C$433,"Proteina")),2)</f>
        <v>0</v>
      </c>
    </row>
    <row r="1262" customFormat="false" ht="15" hidden="false" customHeight="false" outlineLevel="0" collapsed="false">
      <c r="A1262" s="27" t="s">
        <v>114</v>
      </c>
      <c r="B1262" s="27" t="s">
        <v>109</v>
      </c>
      <c r="C1262" s="27" t="s">
        <v>45</v>
      </c>
      <c r="D1262" s="27" t="s">
        <v>42</v>
      </c>
      <c r="E1262" s="28" t="n">
        <f aca="false">ROUND((SUMIFS(Acerto_Detalhado!$F$2:$F$433,Acerto_Detalhado!$A$2:$A$433,$C1262,Acerto_Detalhado!$B$2:$B$433,"Abr",Acerto_Detalhado!$C$2:$C$433,"Proteina"))*(SUMIFS(Acerto_Detalhado!$I$2:$I$433,Acerto_Detalhado!$A$2:$A$433,$D1262,Acerto_Detalhado!$B$2:$B$433,"Abr",Acerto_Detalhado!$C$2:$C$433,"Proteina")),2)</f>
        <v>1103.12</v>
      </c>
    </row>
    <row r="1263" customFormat="false" ht="15" hidden="false" customHeight="false" outlineLevel="0" collapsed="false">
      <c r="A1263" s="27" t="s">
        <v>114</v>
      </c>
      <c r="B1263" s="27" t="s">
        <v>109</v>
      </c>
      <c r="C1263" s="27" t="s">
        <v>45</v>
      </c>
      <c r="D1263" s="27" t="s">
        <v>43</v>
      </c>
      <c r="E1263" s="28" t="n">
        <f aca="false">ROUND((SUMIFS(Acerto_Detalhado!$F$2:$F$433,Acerto_Detalhado!$A$2:$A$433,$C1263,Acerto_Detalhado!$B$2:$B$433,"Abr",Acerto_Detalhado!$C$2:$C$433,"Proteina"))*(SUMIFS(Acerto_Detalhado!$I$2:$I$433,Acerto_Detalhado!$A$2:$A$433,$D1263,Acerto_Detalhado!$B$2:$B$433,"Abr",Acerto_Detalhado!$C$2:$C$433,"Proteina")),2)</f>
        <v>0</v>
      </c>
    </row>
    <row r="1264" customFormat="false" ht="15" hidden="false" customHeight="false" outlineLevel="0" collapsed="false">
      <c r="A1264" s="27" t="s">
        <v>114</v>
      </c>
      <c r="B1264" s="27" t="s">
        <v>109</v>
      </c>
      <c r="C1264" s="27" t="s">
        <v>45</v>
      </c>
      <c r="D1264" s="27" t="s">
        <v>44</v>
      </c>
      <c r="E1264" s="28" t="n">
        <f aca="false">ROUND((SUMIFS(Acerto_Detalhado!$F$2:$F$433,Acerto_Detalhado!$A$2:$A$433,$C1264,Acerto_Detalhado!$B$2:$B$433,"Abr",Acerto_Detalhado!$C$2:$C$433,"Proteina"))*(SUMIFS(Acerto_Detalhado!$I$2:$I$433,Acerto_Detalhado!$A$2:$A$433,$D1264,Acerto_Detalhado!$B$2:$B$433,"Abr",Acerto_Detalhado!$C$2:$C$433,"Proteina")),2)</f>
        <v>1823.63</v>
      </c>
    </row>
    <row r="1265" customFormat="false" ht="15" hidden="false" customHeight="false" outlineLevel="0" collapsed="false">
      <c r="A1265" s="27" t="s">
        <v>114</v>
      </c>
      <c r="B1265" s="27" t="s">
        <v>109</v>
      </c>
      <c r="C1265" s="27" t="s">
        <v>45</v>
      </c>
      <c r="D1265" s="27" t="s">
        <v>46</v>
      </c>
      <c r="E1265" s="28" t="n">
        <f aca="false">ROUND((SUMIFS(Acerto_Detalhado!$F$2:$F$433,Acerto_Detalhado!$A$2:$A$433,$C1265,Acerto_Detalhado!$B$2:$B$433,"Abr",Acerto_Detalhado!$C$2:$C$433,"Proteina"))*(SUMIFS(Acerto_Detalhado!$I$2:$I$433,Acerto_Detalhado!$A$2:$A$433,$D1265,Acerto_Detalhado!$B$2:$B$433,"Abr",Acerto_Detalhado!$C$2:$C$433,"Proteina")),2)</f>
        <v>0</v>
      </c>
    </row>
    <row r="1266" customFormat="false" ht="15" hidden="false" customHeight="false" outlineLevel="0" collapsed="false">
      <c r="A1266" s="27" t="s">
        <v>114</v>
      </c>
      <c r="B1266" s="27" t="s">
        <v>109</v>
      </c>
      <c r="C1266" s="27" t="s">
        <v>45</v>
      </c>
      <c r="D1266" s="27" t="s">
        <v>47</v>
      </c>
      <c r="E1266" s="28" t="n">
        <f aca="false">ROUND((SUMIFS(Acerto_Detalhado!$F$2:$F$433,Acerto_Detalhado!$A$2:$A$433,$C1266,Acerto_Detalhado!$B$2:$B$433,"Abr",Acerto_Detalhado!$C$2:$C$433,"Proteina"))*(SUMIFS(Acerto_Detalhado!$I$2:$I$433,Acerto_Detalhado!$A$2:$A$433,$D1266,Acerto_Detalhado!$B$2:$B$433,"Abr",Acerto_Detalhado!$C$2:$C$433,"Proteina")),2)</f>
        <v>0</v>
      </c>
    </row>
    <row r="1267" customFormat="false" ht="15" hidden="false" customHeight="false" outlineLevel="0" collapsed="false">
      <c r="A1267" s="27" t="s">
        <v>114</v>
      </c>
      <c r="B1267" s="27" t="s">
        <v>109</v>
      </c>
      <c r="C1267" s="27" t="s">
        <v>45</v>
      </c>
      <c r="D1267" s="27" t="s">
        <v>48</v>
      </c>
      <c r="E1267" s="28" t="n">
        <f aca="false">ROUND((SUMIFS(Acerto_Detalhado!$F$2:$F$433,Acerto_Detalhado!$A$2:$A$433,$C1267,Acerto_Detalhado!$B$2:$B$433,"Abr",Acerto_Detalhado!$C$2:$C$433,"Proteina"))*(SUMIFS(Acerto_Detalhado!$I$2:$I$433,Acerto_Detalhado!$A$2:$A$433,$D1267,Acerto_Detalhado!$B$2:$B$433,"Abr",Acerto_Detalhado!$C$2:$C$433,"Proteina")),2)</f>
        <v>0</v>
      </c>
    </row>
    <row r="1268" customFormat="false" ht="15" hidden="false" customHeight="false" outlineLevel="0" collapsed="false">
      <c r="A1268" s="27" t="s">
        <v>114</v>
      </c>
      <c r="B1268" s="27" t="s">
        <v>109</v>
      </c>
      <c r="C1268" s="27" t="s">
        <v>45</v>
      </c>
      <c r="D1268" s="27" t="s">
        <v>49</v>
      </c>
      <c r="E1268" s="28" t="n">
        <f aca="false">ROUND((SUMIFS(Acerto_Detalhado!$F$2:$F$433,Acerto_Detalhado!$A$2:$A$433,$C1268,Acerto_Detalhado!$B$2:$B$433,"Abr",Acerto_Detalhado!$C$2:$C$433,"Proteina"))*(SUMIFS(Acerto_Detalhado!$I$2:$I$433,Acerto_Detalhado!$A$2:$A$433,$D1268,Acerto_Detalhado!$B$2:$B$433,"Abr",Acerto_Detalhado!$C$2:$C$433,"Proteina")),2)</f>
        <v>0</v>
      </c>
    </row>
    <row r="1269" customFormat="false" ht="15" hidden="false" customHeight="false" outlineLevel="0" collapsed="false">
      <c r="A1269" s="27" t="s">
        <v>114</v>
      </c>
      <c r="B1269" s="27" t="s">
        <v>109</v>
      </c>
      <c r="C1269" s="27" t="s">
        <v>45</v>
      </c>
      <c r="D1269" s="27" t="s">
        <v>50</v>
      </c>
      <c r="E1269" s="28" t="n">
        <f aca="false">ROUND((SUMIFS(Acerto_Detalhado!$F$2:$F$433,Acerto_Detalhado!$A$2:$A$433,$C1269,Acerto_Detalhado!$B$2:$B$433,"Abr",Acerto_Detalhado!$C$2:$C$433,"Proteina"))*(SUMIFS(Acerto_Detalhado!$I$2:$I$433,Acerto_Detalhado!$A$2:$A$433,$D1269,Acerto_Detalhado!$B$2:$B$433,"Abr",Acerto_Detalhado!$C$2:$C$433,"Proteina")),2)</f>
        <v>0</v>
      </c>
    </row>
    <row r="1270" customFormat="false" ht="15" hidden="false" customHeight="false" outlineLevel="0" collapsed="false">
      <c r="A1270" s="27" t="s">
        <v>114</v>
      </c>
      <c r="B1270" s="27" t="s">
        <v>109</v>
      </c>
      <c r="C1270" s="27" t="s">
        <v>46</v>
      </c>
      <c r="D1270" s="27" t="s">
        <v>39</v>
      </c>
      <c r="E1270" s="28" t="n">
        <f aca="false">ROUND((SUMIFS(Acerto_Detalhado!$F$2:$F$433,Acerto_Detalhado!$A$2:$A$433,$C1270,Acerto_Detalhado!$B$2:$B$433,"Abr",Acerto_Detalhado!$C$2:$C$433,"Proteina"))*(SUMIFS(Acerto_Detalhado!$I$2:$I$433,Acerto_Detalhado!$A$2:$A$433,$D1270,Acerto_Detalhado!$B$2:$B$433,"Abr",Acerto_Detalhado!$C$2:$C$433,"Proteina")),2)</f>
        <v>0</v>
      </c>
    </row>
    <row r="1271" customFormat="false" ht="15" hidden="false" customHeight="false" outlineLevel="0" collapsed="false">
      <c r="A1271" s="27" t="s">
        <v>114</v>
      </c>
      <c r="B1271" s="27" t="s">
        <v>109</v>
      </c>
      <c r="C1271" s="27" t="s">
        <v>46</v>
      </c>
      <c r="D1271" s="27" t="s">
        <v>40</v>
      </c>
      <c r="E1271" s="28" t="n">
        <f aca="false">ROUND((SUMIFS(Acerto_Detalhado!$F$2:$F$433,Acerto_Detalhado!$A$2:$A$433,$C1271,Acerto_Detalhado!$B$2:$B$433,"Abr",Acerto_Detalhado!$C$2:$C$433,"Proteina"))*(SUMIFS(Acerto_Detalhado!$I$2:$I$433,Acerto_Detalhado!$A$2:$A$433,$D1271,Acerto_Detalhado!$B$2:$B$433,"Abr",Acerto_Detalhado!$C$2:$C$433,"Proteina")),2)</f>
        <v>0</v>
      </c>
    </row>
    <row r="1272" customFormat="false" ht="15" hidden="false" customHeight="false" outlineLevel="0" collapsed="false">
      <c r="A1272" s="27" t="s">
        <v>114</v>
      </c>
      <c r="B1272" s="27" t="s">
        <v>109</v>
      </c>
      <c r="C1272" s="27" t="s">
        <v>46</v>
      </c>
      <c r="D1272" s="27" t="s">
        <v>41</v>
      </c>
      <c r="E1272" s="28" t="n">
        <f aca="false">ROUND((SUMIFS(Acerto_Detalhado!$F$2:$F$433,Acerto_Detalhado!$A$2:$A$433,$C1272,Acerto_Detalhado!$B$2:$B$433,"Abr",Acerto_Detalhado!$C$2:$C$433,"Proteina"))*(SUMIFS(Acerto_Detalhado!$I$2:$I$433,Acerto_Detalhado!$A$2:$A$433,$D1272,Acerto_Detalhado!$B$2:$B$433,"Abr",Acerto_Detalhado!$C$2:$C$433,"Proteina")),2)</f>
        <v>0</v>
      </c>
    </row>
    <row r="1273" customFormat="false" ht="15" hidden="false" customHeight="false" outlineLevel="0" collapsed="false">
      <c r="A1273" s="27" t="s">
        <v>114</v>
      </c>
      <c r="B1273" s="27" t="s">
        <v>109</v>
      </c>
      <c r="C1273" s="27" t="s">
        <v>46</v>
      </c>
      <c r="D1273" s="27" t="s">
        <v>42</v>
      </c>
      <c r="E1273" s="28" t="n">
        <f aca="false">ROUND((SUMIFS(Acerto_Detalhado!$F$2:$F$433,Acerto_Detalhado!$A$2:$A$433,$C1273,Acerto_Detalhado!$B$2:$B$433,"Abr",Acerto_Detalhado!$C$2:$C$433,"Proteina"))*(SUMIFS(Acerto_Detalhado!$I$2:$I$433,Acerto_Detalhado!$A$2:$A$433,$D1273,Acerto_Detalhado!$B$2:$B$433,"Abr",Acerto_Detalhado!$C$2:$C$433,"Proteina")),2)</f>
        <v>0</v>
      </c>
    </row>
    <row r="1274" customFormat="false" ht="15" hidden="false" customHeight="false" outlineLevel="0" collapsed="false">
      <c r="A1274" s="27" t="s">
        <v>114</v>
      </c>
      <c r="B1274" s="27" t="s">
        <v>109</v>
      </c>
      <c r="C1274" s="27" t="s">
        <v>46</v>
      </c>
      <c r="D1274" s="27" t="s">
        <v>43</v>
      </c>
      <c r="E1274" s="28" t="n">
        <f aca="false">ROUND((SUMIFS(Acerto_Detalhado!$F$2:$F$433,Acerto_Detalhado!$A$2:$A$433,$C1274,Acerto_Detalhado!$B$2:$B$433,"Abr",Acerto_Detalhado!$C$2:$C$433,"Proteina"))*(SUMIFS(Acerto_Detalhado!$I$2:$I$433,Acerto_Detalhado!$A$2:$A$433,$D1274,Acerto_Detalhado!$B$2:$B$433,"Abr",Acerto_Detalhado!$C$2:$C$433,"Proteina")),2)</f>
        <v>0</v>
      </c>
    </row>
    <row r="1275" customFormat="false" ht="15" hidden="false" customHeight="false" outlineLevel="0" collapsed="false">
      <c r="A1275" s="27" t="s">
        <v>114</v>
      </c>
      <c r="B1275" s="27" t="s">
        <v>109</v>
      </c>
      <c r="C1275" s="27" t="s">
        <v>46</v>
      </c>
      <c r="D1275" s="27" t="s">
        <v>44</v>
      </c>
      <c r="E1275" s="28" t="n">
        <f aca="false">ROUND((SUMIFS(Acerto_Detalhado!$F$2:$F$433,Acerto_Detalhado!$A$2:$A$433,$C1275,Acerto_Detalhado!$B$2:$B$433,"Abr",Acerto_Detalhado!$C$2:$C$433,"Proteina"))*(SUMIFS(Acerto_Detalhado!$I$2:$I$433,Acerto_Detalhado!$A$2:$A$433,$D1275,Acerto_Detalhado!$B$2:$B$433,"Abr",Acerto_Detalhado!$C$2:$C$433,"Proteina")),2)</f>
        <v>0</v>
      </c>
    </row>
    <row r="1276" customFormat="false" ht="15" hidden="false" customHeight="false" outlineLevel="0" collapsed="false">
      <c r="A1276" s="27" t="s">
        <v>114</v>
      </c>
      <c r="B1276" s="27" t="s">
        <v>109</v>
      </c>
      <c r="C1276" s="27" t="s">
        <v>46</v>
      </c>
      <c r="D1276" s="27" t="s">
        <v>45</v>
      </c>
      <c r="E1276" s="28" t="n">
        <f aca="false">ROUND((SUMIFS(Acerto_Detalhado!$F$2:$F$433,Acerto_Detalhado!$A$2:$A$433,$C1276,Acerto_Detalhado!$B$2:$B$433,"Abr",Acerto_Detalhado!$C$2:$C$433,"Proteina"))*(SUMIFS(Acerto_Detalhado!$I$2:$I$433,Acerto_Detalhado!$A$2:$A$433,$D1276,Acerto_Detalhado!$B$2:$B$433,"Abr",Acerto_Detalhado!$C$2:$C$433,"Proteina")),2)</f>
        <v>0</v>
      </c>
    </row>
    <row r="1277" customFormat="false" ht="15" hidden="false" customHeight="false" outlineLevel="0" collapsed="false">
      <c r="A1277" s="27" t="s">
        <v>114</v>
      </c>
      <c r="B1277" s="27" t="s">
        <v>109</v>
      </c>
      <c r="C1277" s="27" t="s">
        <v>46</v>
      </c>
      <c r="D1277" s="27" t="s">
        <v>47</v>
      </c>
      <c r="E1277" s="28" t="n">
        <f aca="false">ROUND((SUMIFS(Acerto_Detalhado!$F$2:$F$433,Acerto_Detalhado!$A$2:$A$433,$C1277,Acerto_Detalhado!$B$2:$B$433,"Abr",Acerto_Detalhado!$C$2:$C$433,"Proteina"))*(SUMIFS(Acerto_Detalhado!$I$2:$I$433,Acerto_Detalhado!$A$2:$A$433,$D1277,Acerto_Detalhado!$B$2:$B$433,"Abr",Acerto_Detalhado!$C$2:$C$433,"Proteina")),2)</f>
        <v>0</v>
      </c>
    </row>
    <row r="1278" customFormat="false" ht="15" hidden="false" customHeight="false" outlineLevel="0" collapsed="false">
      <c r="A1278" s="27" t="s">
        <v>114</v>
      </c>
      <c r="B1278" s="27" t="s">
        <v>109</v>
      </c>
      <c r="C1278" s="27" t="s">
        <v>46</v>
      </c>
      <c r="D1278" s="27" t="s">
        <v>48</v>
      </c>
      <c r="E1278" s="28" t="n">
        <f aca="false">ROUND((SUMIFS(Acerto_Detalhado!$F$2:$F$433,Acerto_Detalhado!$A$2:$A$433,$C1278,Acerto_Detalhado!$B$2:$B$433,"Abr",Acerto_Detalhado!$C$2:$C$433,"Proteina"))*(SUMIFS(Acerto_Detalhado!$I$2:$I$433,Acerto_Detalhado!$A$2:$A$433,$D1278,Acerto_Detalhado!$B$2:$B$433,"Abr",Acerto_Detalhado!$C$2:$C$433,"Proteina")),2)</f>
        <v>0</v>
      </c>
    </row>
    <row r="1279" customFormat="false" ht="15" hidden="false" customHeight="false" outlineLevel="0" collapsed="false">
      <c r="A1279" s="27" t="s">
        <v>114</v>
      </c>
      <c r="B1279" s="27" t="s">
        <v>109</v>
      </c>
      <c r="C1279" s="27" t="s">
        <v>46</v>
      </c>
      <c r="D1279" s="27" t="s">
        <v>49</v>
      </c>
      <c r="E1279" s="28" t="n">
        <f aca="false">ROUND((SUMIFS(Acerto_Detalhado!$F$2:$F$433,Acerto_Detalhado!$A$2:$A$433,$C1279,Acerto_Detalhado!$B$2:$B$433,"Abr",Acerto_Detalhado!$C$2:$C$433,"Proteina"))*(SUMIFS(Acerto_Detalhado!$I$2:$I$433,Acerto_Detalhado!$A$2:$A$433,$D1279,Acerto_Detalhado!$B$2:$B$433,"Abr",Acerto_Detalhado!$C$2:$C$433,"Proteina")),2)</f>
        <v>0</v>
      </c>
    </row>
    <row r="1280" customFormat="false" ht="15" hidden="false" customHeight="false" outlineLevel="0" collapsed="false">
      <c r="A1280" s="27" t="s">
        <v>114</v>
      </c>
      <c r="B1280" s="27" t="s">
        <v>109</v>
      </c>
      <c r="C1280" s="27" t="s">
        <v>46</v>
      </c>
      <c r="D1280" s="27" t="s">
        <v>50</v>
      </c>
      <c r="E1280" s="28" t="n">
        <f aca="false">ROUND((SUMIFS(Acerto_Detalhado!$F$2:$F$433,Acerto_Detalhado!$A$2:$A$433,$C1280,Acerto_Detalhado!$B$2:$B$433,"Abr",Acerto_Detalhado!$C$2:$C$433,"Proteina"))*(SUMIFS(Acerto_Detalhado!$I$2:$I$433,Acerto_Detalhado!$A$2:$A$433,$D1280,Acerto_Detalhado!$B$2:$B$433,"Abr",Acerto_Detalhado!$C$2:$C$433,"Proteina")),2)</f>
        <v>0</v>
      </c>
    </row>
    <row r="1281" customFormat="false" ht="15" hidden="false" customHeight="false" outlineLevel="0" collapsed="false">
      <c r="A1281" s="27" t="s">
        <v>114</v>
      </c>
      <c r="B1281" s="27" t="s">
        <v>109</v>
      </c>
      <c r="C1281" s="27" t="s">
        <v>47</v>
      </c>
      <c r="D1281" s="27" t="s">
        <v>39</v>
      </c>
      <c r="E1281" s="28" t="n">
        <f aca="false">ROUND((SUMIFS(Acerto_Detalhado!$F$2:$F$433,Acerto_Detalhado!$A$2:$A$433,$C1281,Acerto_Detalhado!$B$2:$B$433,"Abr",Acerto_Detalhado!$C$2:$C$433,"Proteina"))*(SUMIFS(Acerto_Detalhado!$I$2:$I$433,Acerto_Detalhado!$A$2:$A$433,$D1281,Acerto_Detalhado!$B$2:$B$433,"Abr",Acerto_Detalhado!$C$2:$C$433,"Proteina")),2)</f>
        <v>0</v>
      </c>
    </row>
    <row r="1282" customFormat="false" ht="15" hidden="false" customHeight="false" outlineLevel="0" collapsed="false">
      <c r="A1282" s="27" t="s">
        <v>114</v>
      </c>
      <c r="B1282" s="27" t="s">
        <v>109</v>
      </c>
      <c r="C1282" s="27" t="s">
        <v>47</v>
      </c>
      <c r="D1282" s="27" t="s">
        <v>40</v>
      </c>
      <c r="E1282" s="28" t="n">
        <f aca="false">ROUND((SUMIFS(Acerto_Detalhado!$F$2:$F$433,Acerto_Detalhado!$A$2:$A$433,$C1282,Acerto_Detalhado!$B$2:$B$433,"Abr",Acerto_Detalhado!$C$2:$C$433,"Proteina"))*(SUMIFS(Acerto_Detalhado!$I$2:$I$433,Acerto_Detalhado!$A$2:$A$433,$D1282,Acerto_Detalhado!$B$2:$B$433,"Abr",Acerto_Detalhado!$C$2:$C$433,"Proteina")),2)</f>
        <v>0</v>
      </c>
    </row>
    <row r="1283" customFormat="false" ht="15" hidden="false" customHeight="false" outlineLevel="0" collapsed="false">
      <c r="A1283" s="27" t="s">
        <v>114</v>
      </c>
      <c r="B1283" s="27" t="s">
        <v>109</v>
      </c>
      <c r="C1283" s="27" t="s">
        <v>47</v>
      </c>
      <c r="D1283" s="27" t="s">
        <v>41</v>
      </c>
      <c r="E1283" s="28" t="n">
        <f aca="false">ROUND((SUMIFS(Acerto_Detalhado!$F$2:$F$433,Acerto_Detalhado!$A$2:$A$433,$C1283,Acerto_Detalhado!$B$2:$B$433,"Abr",Acerto_Detalhado!$C$2:$C$433,"Proteina"))*(SUMIFS(Acerto_Detalhado!$I$2:$I$433,Acerto_Detalhado!$A$2:$A$433,$D1283,Acerto_Detalhado!$B$2:$B$433,"Abr",Acerto_Detalhado!$C$2:$C$433,"Proteina")),2)</f>
        <v>0</v>
      </c>
    </row>
    <row r="1284" customFormat="false" ht="15" hidden="false" customHeight="false" outlineLevel="0" collapsed="false">
      <c r="A1284" s="27" t="s">
        <v>114</v>
      </c>
      <c r="B1284" s="27" t="s">
        <v>109</v>
      </c>
      <c r="C1284" s="27" t="s">
        <v>47</v>
      </c>
      <c r="D1284" s="27" t="s">
        <v>42</v>
      </c>
      <c r="E1284" s="28" t="n">
        <f aca="false">ROUND((SUMIFS(Acerto_Detalhado!$F$2:$F$433,Acerto_Detalhado!$A$2:$A$433,$C1284,Acerto_Detalhado!$B$2:$B$433,"Abr",Acerto_Detalhado!$C$2:$C$433,"Proteina"))*(SUMIFS(Acerto_Detalhado!$I$2:$I$433,Acerto_Detalhado!$A$2:$A$433,$D1284,Acerto_Detalhado!$B$2:$B$433,"Abr",Acerto_Detalhado!$C$2:$C$433,"Proteina")),2)</f>
        <v>0</v>
      </c>
    </row>
    <row r="1285" customFormat="false" ht="15" hidden="false" customHeight="false" outlineLevel="0" collapsed="false">
      <c r="A1285" s="27" t="s">
        <v>114</v>
      </c>
      <c r="B1285" s="27" t="s">
        <v>109</v>
      </c>
      <c r="C1285" s="27" t="s">
        <v>47</v>
      </c>
      <c r="D1285" s="27" t="s">
        <v>43</v>
      </c>
      <c r="E1285" s="28" t="n">
        <f aca="false">ROUND((SUMIFS(Acerto_Detalhado!$F$2:$F$433,Acerto_Detalhado!$A$2:$A$433,$C1285,Acerto_Detalhado!$B$2:$B$433,"Abr",Acerto_Detalhado!$C$2:$C$433,"Proteina"))*(SUMIFS(Acerto_Detalhado!$I$2:$I$433,Acerto_Detalhado!$A$2:$A$433,$D1285,Acerto_Detalhado!$B$2:$B$433,"Abr",Acerto_Detalhado!$C$2:$C$433,"Proteina")),2)</f>
        <v>0</v>
      </c>
    </row>
    <row r="1286" customFormat="false" ht="15" hidden="false" customHeight="false" outlineLevel="0" collapsed="false">
      <c r="A1286" s="27" t="s">
        <v>114</v>
      </c>
      <c r="B1286" s="27" t="s">
        <v>109</v>
      </c>
      <c r="C1286" s="27" t="s">
        <v>47</v>
      </c>
      <c r="D1286" s="27" t="s">
        <v>44</v>
      </c>
      <c r="E1286" s="28" t="n">
        <f aca="false">ROUND((SUMIFS(Acerto_Detalhado!$F$2:$F$433,Acerto_Detalhado!$A$2:$A$433,$C1286,Acerto_Detalhado!$B$2:$B$433,"Abr",Acerto_Detalhado!$C$2:$C$433,"Proteina"))*(SUMIFS(Acerto_Detalhado!$I$2:$I$433,Acerto_Detalhado!$A$2:$A$433,$D1286,Acerto_Detalhado!$B$2:$B$433,"Abr",Acerto_Detalhado!$C$2:$C$433,"Proteina")),2)</f>
        <v>0</v>
      </c>
    </row>
    <row r="1287" customFormat="false" ht="15" hidden="false" customHeight="false" outlineLevel="0" collapsed="false">
      <c r="A1287" s="27" t="s">
        <v>114</v>
      </c>
      <c r="B1287" s="27" t="s">
        <v>109</v>
      </c>
      <c r="C1287" s="27" t="s">
        <v>47</v>
      </c>
      <c r="D1287" s="27" t="s">
        <v>45</v>
      </c>
      <c r="E1287" s="28" t="n">
        <f aca="false">ROUND((SUMIFS(Acerto_Detalhado!$F$2:$F$433,Acerto_Detalhado!$A$2:$A$433,$C1287,Acerto_Detalhado!$B$2:$B$433,"Abr",Acerto_Detalhado!$C$2:$C$433,"Proteina"))*(SUMIFS(Acerto_Detalhado!$I$2:$I$433,Acerto_Detalhado!$A$2:$A$433,$D1287,Acerto_Detalhado!$B$2:$B$433,"Abr",Acerto_Detalhado!$C$2:$C$433,"Proteina")),2)</f>
        <v>0</v>
      </c>
    </row>
    <row r="1288" customFormat="false" ht="15" hidden="false" customHeight="false" outlineLevel="0" collapsed="false">
      <c r="A1288" s="27" t="s">
        <v>114</v>
      </c>
      <c r="B1288" s="27" t="s">
        <v>109</v>
      </c>
      <c r="C1288" s="27" t="s">
        <v>47</v>
      </c>
      <c r="D1288" s="27" t="s">
        <v>46</v>
      </c>
      <c r="E1288" s="28" t="n">
        <f aca="false">ROUND((SUMIFS(Acerto_Detalhado!$F$2:$F$433,Acerto_Detalhado!$A$2:$A$433,$C1288,Acerto_Detalhado!$B$2:$B$433,"Abr",Acerto_Detalhado!$C$2:$C$433,"Proteina"))*(SUMIFS(Acerto_Detalhado!$I$2:$I$433,Acerto_Detalhado!$A$2:$A$433,$D1288,Acerto_Detalhado!$B$2:$B$433,"Abr",Acerto_Detalhado!$C$2:$C$433,"Proteina")),2)</f>
        <v>0</v>
      </c>
    </row>
    <row r="1289" customFormat="false" ht="15" hidden="false" customHeight="false" outlineLevel="0" collapsed="false">
      <c r="A1289" s="27" t="s">
        <v>114</v>
      </c>
      <c r="B1289" s="27" t="s">
        <v>109</v>
      </c>
      <c r="C1289" s="27" t="s">
        <v>47</v>
      </c>
      <c r="D1289" s="27" t="s">
        <v>48</v>
      </c>
      <c r="E1289" s="28" t="n">
        <f aca="false">ROUND((SUMIFS(Acerto_Detalhado!$F$2:$F$433,Acerto_Detalhado!$A$2:$A$433,$C1289,Acerto_Detalhado!$B$2:$B$433,"Abr",Acerto_Detalhado!$C$2:$C$433,"Proteina"))*(SUMIFS(Acerto_Detalhado!$I$2:$I$433,Acerto_Detalhado!$A$2:$A$433,$D1289,Acerto_Detalhado!$B$2:$B$433,"Abr",Acerto_Detalhado!$C$2:$C$433,"Proteina")),2)</f>
        <v>0</v>
      </c>
    </row>
    <row r="1290" customFormat="false" ht="15" hidden="false" customHeight="false" outlineLevel="0" collapsed="false">
      <c r="A1290" s="27" t="s">
        <v>114</v>
      </c>
      <c r="B1290" s="27" t="s">
        <v>109</v>
      </c>
      <c r="C1290" s="27" t="s">
        <v>47</v>
      </c>
      <c r="D1290" s="27" t="s">
        <v>49</v>
      </c>
      <c r="E1290" s="28" t="n">
        <f aca="false">ROUND((SUMIFS(Acerto_Detalhado!$F$2:$F$433,Acerto_Detalhado!$A$2:$A$433,$C1290,Acerto_Detalhado!$B$2:$B$433,"Abr",Acerto_Detalhado!$C$2:$C$433,"Proteina"))*(SUMIFS(Acerto_Detalhado!$I$2:$I$433,Acerto_Detalhado!$A$2:$A$433,$D1290,Acerto_Detalhado!$B$2:$B$433,"Abr",Acerto_Detalhado!$C$2:$C$433,"Proteina")),2)</f>
        <v>0</v>
      </c>
    </row>
    <row r="1291" customFormat="false" ht="15" hidden="false" customHeight="false" outlineLevel="0" collapsed="false">
      <c r="A1291" s="27" t="s">
        <v>114</v>
      </c>
      <c r="B1291" s="27" t="s">
        <v>109</v>
      </c>
      <c r="C1291" s="27" t="s">
        <v>47</v>
      </c>
      <c r="D1291" s="27" t="s">
        <v>50</v>
      </c>
      <c r="E1291" s="28" t="n">
        <f aca="false">ROUND((SUMIFS(Acerto_Detalhado!$F$2:$F$433,Acerto_Detalhado!$A$2:$A$433,$C1291,Acerto_Detalhado!$B$2:$B$433,"Abr",Acerto_Detalhado!$C$2:$C$433,"Proteina"))*(SUMIFS(Acerto_Detalhado!$I$2:$I$433,Acerto_Detalhado!$A$2:$A$433,$D1291,Acerto_Detalhado!$B$2:$B$433,"Abr",Acerto_Detalhado!$C$2:$C$433,"Proteina")),2)</f>
        <v>0</v>
      </c>
    </row>
    <row r="1292" customFormat="false" ht="15" hidden="false" customHeight="false" outlineLevel="0" collapsed="false">
      <c r="A1292" s="27" t="s">
        <v>114</v>
      </c>
      <c r="B1292" s="27" t="s">
        <v>109</v>
      </c>
      <c r="C1292" s="27" t="s">
        <v>48</v>
      </c>
      <c r="D1292" s="27" t="s">
        <v>39</v>
      </c>
      <c r="E1292" s="28" t="n">
        <f aca="false">ROUND((SUMIFS(Acerto_Detalhado!$F$2:$F$433,Acerto_Detalhado!$A$2:$A$433,$C1292,Acerto_Detalhado!$B$2:$B$433,"Abr",Acerto_Detalhado!$C$2:$C$433,"Proteina"))*(SUMIFS(Acerto_Detalhado!$I$2:$I$433,Acerto_Detalhado!$A$2:$A$433,$D1292,Acerto_Detalhado!$B$2:$B$433,"Abr",Acerto_Detalhado!$C$2:$C$433,"Proteina")),2)</f>
        <v>0</v>
      </c>
    </row>
    <row r="1293" customFormat="false" ht="15" hidden="false" customHeight="false" outlineLevel="0" collapsed="false">
      <c r="A1293" s="27" t="s">
        <v>114</v>
      </c>
      <c r="B1293" s="27" t="s">
        <v>109</v>
      </c>
      <c r="C1293" s="27" t="s">
        <v>48</v>
      </c>
      <c r="D1293" s="27" t="s">
        <v>40</v>
      </c>
      <c r="E1293" s="28" t="n">
        <f aca="false">ROUND((SUMIFS(Acerto_Detalhado!$F$2:$F$433,Acerto_Detalhado!$A$2:$A$433,$C1293,Acerto_Detalhado!$B$2:$B$433,"Abr",Acerto_Detalhado!$C$2:$C$433,"Proteina"))*(SUMIFS(Acerto_Detalhado!$I$2:$I$433,Acerto_Detalhado!$A$2:$A$433,$D1293,Acerto_Detalhado!$B$2:$B$433,"Abr",Acerto_Detalhado!$C$2:$C$433,"Proteina")),2)</f>
        <v>0</v>
      </c>
    </row>
    <row r="1294" customFormat="false" ht="15" hidden="false" customHeight="false" outlineLevel="0" collapsed="false">
      <c r="A1294" s="27" t="s">
        <v>114</v>
      </c>
      <c r="B1294" s="27" t="s">
        <v>109</v>
      </c>
      <c r="C1294" s="27" t="s">
        <v>48</v>
      </c>
      <c r="D1294" s="27" t="s">
        <v>41</v>
      </c>
      <c r="E1294" s="28" t="n">
        <f aca="false">ROUND((SUMIFS(Acerto_Detalhado!$F$2:$F$433,Acerto_Detalhado!$A$2:$A$433,$C1294,Acerto_Detalhado!$B$2:$B$433,"Abr",Acerto_Detalhado!$C$2:$C$433,"Proteina"))*(SUMIFS(Acerto_Detalhado!$I$2:$I$433,Acerto_Detalhado!$A$2:$A$433,$D1294,Acerto_Detalhado!$B$2:$B$433,"Abr",Acerto_Detalhado!$C$2:$C$433,"Proteina")),2)</f>
        <v>0</v>
      </c>
    </row>
    <row r="1295" customFormat="false" ht="15" hidden="false" customHeight="false" outlineLevel="0" collapsed="false">
      <c r="A1295" s="27" t="s">
        <v>114</v>
      </c>
      <c r="B1295" s="27" t="s">
        <v>109</v>
      </c>
      <c r="C1295" s="27" t="s">
        <v>48</v>
      </c>
      <c r="D1295" s="27" t="s">
        <v>42</v>
      </c>
      <c r="E1295" s="28" t="n">
        <f aca="false">ROUND((SUMIFS(Acerto_Detalhado!$F$2:$F$433,Acerto_Detalhado!$A$2:$A$433,$C1295,Acerto_Detalhado!$B$2:$B$433,"Abr",Acerto_Detalhado!$C$2:$C$433,"Proteina"))*(SUMIFS(Acerto_Detalhado!$I$2:$I$433,Acerto_Detalhado!$A$2:$A$433,$D1295,Acerto_Detalhado!$B$2:$B$433,"Abr",Acerto_Detalhado!$C$2:$C$433,"Proteina")),2)</f>
        <v>0</v>
      </c>
    </row>
    <row r="1296" customFormat="false" ht="15" hidden="false" customHeight="false" outlineLevel="0" collapsed="false">
      <c r="A1296" s="27" t="s">
        <v>114</v>
      </c>
      <c r="B1296" s="27" t="s">
        <v>109</v>
      </c>
      <c r="C1296" s="27" t="s">
        <v>48</v>
      </c>
      <c r="D1296" s="27" t="s">
        <v>43</v>
      </c>
      <c r="E1296" s="28" t="n">
        <f aca="false">ROUND((SUMIFS(Acerto_Detalhado!$F$2:$F$433,Acerto_Detalhado!$A$2:$A$433,$C1296,Acerto_Detalhado!$B$2:$B$433,"Abr",Acerto_Detalhado!$C$2:$C$433,"Proteina"))*(SUMIFS(Acerto_Detalhado!$I$2:$I$433,Acerto_Detalhado!$A$2:$A$433,$D1296,Acerto_Detalhado!$B$2:$B$433,"Abr",Acerto_Detalhado!$C$2:$C$433,"Proteina")),2)</f>
        <v>0</v>
      </c>
    </row>
    <row r="1297" customFormat="false" ht="15" hidden="false" customHeight="false" outlineLevel="0" collapsed="false">
      <c r="A1297" s="27" t="s">
        <v>114</v>
      </c>
      <c r="B1297" s="27" t="s">
        <v>109</v>
      </c>
      <c r="C1297" s="27" t="s">
        <v>48</v>
      </c>
      <c r="D1297" s="27" t="s">
        <v>44</v>
      </c>
      <c r="E1297" s="28" t="n">
        <f aca="false">ROUND((SUMIFS(Acerto_Detalhado!$F$2:$F$433,Acerto_Detalhado!$A$2:$A$433,$C1297,Acerto_Detalhado!$B$2:$B$433,"Abr",Acerto_Detalhado!$C$2:$C$433,"Proteina"))*(SUMIFS(Acerto_Detalhado!$I$2:$I$433,Acerto_Detalhado!$A$2:$A$433,$D1297,Acerto_Detalhado!$B$2:$B$433,"Abr",Acerto_Detalhado!$C$2:$C$433,"Proteina")),2)</f>
        <v>0</v>
      </c>
    </row>
    <row r="1298" customFormat="false" ht="15" hidden="false" customHeight="false" outlineLevel="0" collapsed="false">
      <c r="A1298" s="27" t="s">
        <v>114</v>
      </c>
      <c r="B1298" s="27" t="s">
        <v>109</v>
      </c>
      <c r="C1298" s="27" t="s">
        <v>48</v>
      </c>
      <c r="D1298" s="27" t="s">
        <v>45</v>
      </c>
      <c r="E1298" s="28" t="n">
        <f aca="false">ROUND((SUMIFS(Acerto_Detalhado!$F$2:$F$433,Acerto_Detalhado!$A$2:$A$433,$C1298,Acerto_Detalhado!$B$2:$B$433,"Abr",Acerto_Detalhado!$C$2:$C$433,"Proteina"))*(SUMIFS(Acerto_Detalhado!$I$2:$I$433,Acerto_Detalhado!$A$2:$A$433,$D1298,Acerto_Detalhado!$B$2:$B$433,"Abr",Acerto_Detalhado!$C$2:$C$433,"Proteina")),2)</f>
        <v>0</v>
      </c>
    </row>
    <row r="1299" customFormat="false" ht="15" hidden="false" customHeight="false" outlineLevel="0" collapsed="false">
      <c r="A1299" s="27" t="s">
        <v>114</v>
      </c>
      <c r="B1299" s="27" t="s">
        <v>109</v>
      </c>
      <c r="C1299" s="27" t="s">
        <v>48</v>
      </c>
      <c r="D1299" s="27" t="s">
        <v>46</v>
      </c>
      <c r="E1299" s="28" t="n">
        <f aca="false">ROUND((SUMIFS(Acerto_Detalhado!$F$2:$F$433,Acerto_Detalhado!$A$2:$A$433,$C1299,Acerto_Detalhado!$B$2:$B$433,"Abr",Acerto_Detalhado!$C$2:$C$433,"Proteina"))*(SUMIFS(Acerto_Detalhado!$I$2:$I$433,Acerto_Detalhado!$A$2:$A$433,$D1299,Acerto_Detalhado!$B$2:$B$433,"Abr",Acerto_Detalhado!$C$2:$C$433,"Proteina")),2)</f>
        <v>0</v>
      </c>
    </row>
    <row r="1300" customFormat="false" ht="15" hidden="false" customHeight="false" outlineLevel="0" collapsed="false">
      <c r="A1300" s="27" t="s">
        <v>114</v>
      </c>
      <c r="B1300" s="27" t="s">
        <v>109</v>
      </c>
      <c r="C1300" s="27" t="s">
        <v>48</v>
      </c>
      <c r="D1300" s="27" t="s">
        <v>47</v>
      </c>
      <c r="E1300" s="28" t="n">
        <f aca="false">ROUND((SUMIFS(Acerto_Detalhado!$F$2:$F$433,Acerto_Detalhado!$A$2:$A$433,$C1300,Acerto_Detalhado!$B$2:$B$433,"Abr",Acerto_Detalhado!$C$2:$C$433,"Proteina"))*(SUMIFS(Acerto_Detalhado!$I$2:$I$433,Acerto_Detalhado!$A$2:$A$433,$D1300,Acerto_Detalhado!$B$2:$B$433,"Abr",Acerto_Detalhado!$C$2:$C$433,"Proteina")),2)</f>
        <v>0</v>
      </c>
    </row>
    <row r="1301" customFormat="false" ht="15" hidden="false" customHeight="false" outlineLevel="0" collapsed="false">
      <c r="A1301" s="27" t="s">
        <v>114</v>
      </c>
      <c r="B1301" s="27" t="s">
        <v>109</v>
      </c>
      <c r="C1301" s="27" t="s">
        <v>48</v>
      </c>
      <c r="D1301" s="27" t="s">
        <v>49</v>
      </c>
      <c r="E1301" s="28" t="n">
        <f aca="false">ROUND((SUMIFS(Acerto_Detalhado!$F$2:$F$433,Acerto_Detalhado!$A$2:$A$433,$C1301,Acerto_Detalhado!$B$2:$B$433,"Abr",Acerto_Detalhado!$C$2:$C$433,"Proteina"))*(SUMIFS(Acerto_Detalhado!$I$2:$I$433,Acerto_Detalhado!$A$2:$A$433,$D1301,Acerto_Detalhado!$B$2:$B$433,"Abr",Acerto_Detalhado!$C$2:$C$433,"Proteina")),2)</f>
        <v>0</v>
      </c>
    </row>
    <row r="1302" customFormat="false" ht="15" hidden="false" customHeight="false" outlineLevel="0" collapsed="false">
      <c r="A1302" s="27" t="s">
        <v>114</v>
      </c>
      <c r="B1302" s="27" t="s">
        <v>109</v>
      </c>
      <c r="C1302" s="27" t="s">
        <v>48</v>
      </c>
      <c r="D1302" s="27" t="s">
        <v>50</v>
      </c>
      <c r="E1302" s="28" t="n">
        <f aca="false">ROUND((SUMIFS(Acerto_Detalhado!$F$2:$F$433,Acerto_Detalhado!$A$2:$A$433,$C1302,Acerto_Detalhado!$B$2:$B$433,"Abr",Acerto_Detalhado!$C$2:$C$433,"Proteina"))*(SUMIFS(Acerto_Detalhado!$I$2:$I$433,Acerto_Detalhado!$A$2:$A$433,$D1302,Acerto_Detalhado!$B$2:$B$433,"Abr",Acerto_Detalhado!$C$2:$C$433,"Proteina")),2)</f>
        <v>0</v>
      </c>
    </row>
    <row r="1303" customFormat="false" ht="15" hidden="false" customHeight="false" outlineLevel="0" collapsed="false">
      <c r="A1303" s="27" t="s">
        <v>114</v>
      </c>
      <c r="B1303" s="27" t="s">
        <v>109</v>
      </c>
      <c r="C1303" s="27" t="s">
        <v>49</v>
      </c>
      <c r="D1303" s="27" t="s">
        <v>39</v>
      </c>
      <c r="E1303" s="28" t="n">
        <f aca="false">ROUND((SUMIFS(Acerto_Detalhado!$F$2:$F$433,Acerto_Detalhado!$A$2:$A$433,$C1303,Acerto_Detalhado!$B$2:$B$433,"Abr",Acerto_Detalhado!$C$2:$C$433,"Proteina"))*(SUMIFS(Acerto_Detalhado!$I$2:$I$433,Acerto_Detalhado!$A$2:$A$433,$D1303,Acerto_Detalhado!$B$2:$B$433,"Abr",Acerto_Detalhado!$C$2:$C$433,"Proteina")),2)</f>
        <v>0</v>
      </c>
    </row>
    <row r="1304" customFormat="false" ht="15" hidden="false" customHeight="false" outlineLevel="0" collapsed="false">
      <c r="A1304" s="27" t="s">
        <v>114</v>
      </c>
      <c r="B1304" s="27" t="s">
        <v>109</v>
      </c>
      <c r="C1304" s="27" t="s">
        <v>49</v>
      </c>
      <c r="D1304" s="27" t="s">
        <v>40</v>
      </c>
      <c r="E1304" s="28" t="n">
        <f aca="false">ROUND((SUMIFS(Acerto_Detalhado!$F$2:$F$433,Acerto_Detalhado!$A$2:$A$433,$C1304,Acerto_Detalhado!$B$2:$B$433,"Abr",Acerto_Detalhado!$C$2:$C$433,"Proteina"))*(SUMIFS(Acerto_Detalhado!$I$2:$I$433,Acerto_Detalhado!$A$2:$A$433,$D1304,Acerto_Detalhado!$B$2:$B$433,"Abr",Acerto_Detalhado!$C$2:$C$433,"Proteina")),2)</f>
        <v>0</v>
      </c>
    </row>
    <row r="1305" customFormat="false" ht="15" hidden="false" customHeight="false" outlineLevel="0" collapsed="false">
      <c r="A1305" s="27" t="s">
        <v>114</v>
      </c>
      <c r="B1305" s="27" t="s">
        <v>109</v>
      </c>
      <c r="C1305" s="27" t="s">
        <v>49</v>
      </c>
      <c r="D1305" s="27" t="s">
        <v>41</v>
      </c>
      <c r="E1305" s="28" t="n">
        <f aca="false">ROUND((SUMIFS(Acerto_Detalhado!$F$2:$F$433,Acerto_Detalhado!$A$2:$A$433,$C1305,Acerto_Detalhado!$B$2:$B$433,"Abr",Acerto_Detalhado!$C$2:$C$433,"Proteina"))*(SUMIFS(Acerto_Detalhado!$I$2:$I$433,Acerto_Detalhado!$A$2:$A$433,$D1305,Acerto_Detalhado!$B$2:$B$433,"Abr",Acerto_Detalhado!$C$2:$C$433,"Proteina")),2)</f>
        <v>0</v>
      </c>
    </row>
    <row r="1306" customFormat="false" ht="15" hidden="false" customHeight="false" outlineLevel="0" collapsed="false">
      <c r="A1306" s="27" t="s">
        <v>114</v>
      </c>
      <c r="B1306" s="27" t="s">
        <v>109</v>
      </c>
      <c r="C1306" s="27" t="s">
        <v>49</v>
      </c>
      <c r="D1306" s="27" t="s">
        <v>42</v>
      </c>
      <c r="E1306" s="28" t="n">
        <f aca="false">ROUND((SUMIFS(Acerto_Detalhado!$F$2:$F$433,Acerto_Detalhado!$A$2:$A$433,$C1306,Acerto_Detalhado!$B$2:$B$433,"Abr",Acerto_Detalhado!$C$2:$C$433,"Proteina"))*(SUMIFS(Acerto_Detalhado!$I$2:$I$433,Acerto_Detalhado!$A$2:$A$433,$D1306,Acerto_Detalhado!$B$2:$B$433,"Abr",Acerto_Detalhado!$C$2:$C$433,"Proteina")),2)</f>
        <v>0</v>
      </c>
    </row>
    <row r="1307" customFormat="false" ht="15" hidden="false" customHeight="false" outlineLevel="0" collapsed="false">
      <c r="A1307" s="27" t="s">
        <v>114</v>
      </c>
      <c r="B1307" s="27" t="s">
        <v>109</v>
      </c>
      <c r="C1307" s="27" t="s">
        <v>49</v>
      </c>
      <c r="D1307" s="27" t="s">
        <v>43</v>
      </c>
      <c r="E1307" s="28" t="n">
        <f aca="false">ROUND((SUMIFS(Acerto_Detalhado!$F$2:$F$433,Acerto_Detalhado!$A$2:$A$433,$C1307,Acerto_Detalhado!$B$2:$B$433,"Abr",Acerto_Detalhado!$C$2:$C$433,"Proteina"))*(SUMIFS(Acerto_Detalhado!$I$2:$I$433,Acerto_Detalhado!$A$2:$A$433,$D1307,Acerto_Detalhado!$B$2:$B$433,"Abr",Acerto_Detalhado!$C$2:$C$433,"Proteina")),2)</f>
        <v>0</v>
      </c>
    </row>
    <row r="1308" customFormat="false" ht="15" hidden="false" customHeight="false" outlineLevel="0" collapsed="false">
      <c r="A1308" s="27" t="s">
        <v>114</v>
      </c>
      <c r="B1308" s="27" t="s">
        <v>109</v>
      </c>
      <c r="C1308" s="27" t="s">
        <v>49</v>
      </c>
      <c r="D1308" s="27" t="s">
        <v>44</v>
      </c>
      <c r="E1308" s="28" t="n">
        <f aca="false">ROUND((SUMIFS(Acerto_Detalhado!$F$2:$F$433,Acerto_Detalhado!$A$2:$A$433,$C1308,Acerto_Detalhado!$B$2:$B$433,"Abr",Acerto_Detalhado!$C$2:$C$433,"Proteina"))*(SUMIFS(Acerto_Detalhado!$I$2:$I$433,Acerto_Detalhado!$A$2:$A$433,$D1308,Acerto_Detalhado!$B$2:$B$433,"Abr",Acerto_Detalhado!$C$2:$C$433,"Proteina")),2)</f>
        <v>0</v>
      </c>
    </row>
    <row r="1309" customFormat="false" ht="15" hidden="false" customHeight="false" outlineLevel="0" collapsed="false">
      <c r="A1309" s="27" t="s">
        <v>114</v>
      </c>
      <c r="B1309" s="27" t="s">
        <v>109</v>
      </c>
      <c r="C1309" s="27" t="s">
        <v>49</v>
      </c>
      <c r="D1309" s="27" t="s">
        <v>45</v>
      </c>
      <c r="E1309" s="28" t="n">
        <f aca="false">ROUND((SUMIFS(Acerto_Detalhado!$F$2:$F$433,Acerto_Detalhado!$A$2:$A$433,$C1309,Acerto_Detalhado!$B$2:$B$433,"Abr",Acerto_Detalhado!$C$2:$C$433,"Proteina"))*(SUMIFS(Acerto_Detalhado!$I$2:$I$433,Acerto_Detalhado!$A$2:$A$433,$D1309,Acerto_Detalhado!$B$2:$B$433,"Abr",Acerto_Detalhado!$C$2:$C$433,"Proteina")),2)</f>
        <v>0</v>
      </c>
    </row>
    <row r="1310" customFormat="false" ht="15" hidden="false" customHeight="false" outlineLevel="0" collapsed="false">
      <c r="A1310" s="27" t="s">
        <v>114</v>
      </c>
      <c r="B1310" s="27" t="s">
        <v>109</v>
      </c>
      <c r="C1310" s="27" t="s">
        <v>49</v>
      </c>
      <c r="D1310" s="27" t="s">
        <v>46</v>
      </c>
      <c r="E1310" s="28" t="n">
        <f aca="false">ROUND((SUMIFS(Acerto_Detalhado!$F$2:$F$433,Acerto_Detalhado!$A$2:$A$433,$C1310,Acerto_Detalhado!$B$2:$B$433,"Abr",Acerto_Detalhado!$C$2:$C$433,"Proteina"))*(SUMIFS(Acerto_Detalhado!$I$2:$I$433,Acerto_Detalhado!$A$2:$A$433,$D1310,Acerto_Detalhado!$B$2:$B$433,"Abr",Acerto_Detalhado!$C$2:$C$433,"Proteina")),2)</f>
        <v>0</v>
      </c>
    </row>
    <row r="1311" customFormat="false" ht="15" hidden="false" customHeight="false" outlineLevel="0" collapsed="false">
      <c r="A1311" s="27" t="s">
        <v>114</v>
      </c>
      <c r="B1311" s="27" t="s">
        <v>109</v>
      </c>
      <c r="C1311" s="27" t="s">
        <v>49</v>
      </c>
      <c r="D1311" s="27" t="s">
        <v>47</v>
      </c>
      <c r="E1311" s="28" t="n">
        <f aca="false">ROUND((SUMIFS(Acerto_Detalhado!$F$2:$F$433,Acerto_Detalhado!$A$2:$A$433,$C1311,Acerto_Detalhado!$B$2:$B$433,"Abr",Acerto_Detalhado!$C$2:$C$433,"Proteina"))*(SUMIFS(Acerto_Detalhado!$I$2:$I$433,Acerto_Detalhado!$A$2:$A$433,$D1311,Acerto_Detalhado!$B$2:$B$433,"Abr",Acerto_Detalhado!$C$2:$C$433,"Proteina")),2)</f>
        <v>0</v>
      </c>
    </row>
    <row r="1312" customFormat="false" ht="15" hidden="false" customHeight="false" outlineLevel="0" collapsed="false">
      <c r="A1312" s="27" t="s">
        <v>114</v>
      </c>
      <c r="B1312" s="27" t="s">
        <v>109</v>
      </c>
      <c r="C1312" s="27" t="s">
        <v>49</v>
      </c>
      <c r="D1312" s="27" t="s">
        <v>48</v>
      </c>
      <c r="E1312" s="28" t="n">
        <f aca="false">ROUND((SUMIFS(Acerto_Detalhado!$F$2:$F$433,Acerto_Detalhado!$A$2:$A$433,$C1312,Acerto_Detalhado!$B$2:$B$433,"Abr",Acerto_Detalhado!$C$2:$C$433,"Proteina"))*(SUMIFS(Acerto_Detalhado!$I$2:$I$433,Acerto_Detalhado!$A$2:$A$433,$D1312,Acerto_Detalhado!$B$2:$B$433,"Abr",Acerto_Detalhado!$C$2:$C$433,"Proteina")),2)</f>
        <v>0</v>
      </c>
    </row>
    <row r="1313" customFormat="false" ht="15" hidden="false" customHeight="false" outlineLevel="0" collapsed="false">
      <c r="A1313" s="27" t="s">
        <v>114</v>
      </c>
      <c r="B1313" s="27" t="s">
        <v>109</v>
      </c>
      <c r="C1313" s="27" t="s">
        <v>49</v>
      </c>
      <c r="D1313" s="27" t="s">
        <v>50</v>
      </c>
      <c r="E1313" s="28" t="n">
        <f aca="false">ROUND((SUMIFS(Acerto_Detalhado!$F$2:$F$433,Acerto_Detalhado!$A$2:$A$433,$C1313,Acerto_Detalhado!$B$2:$B$433,"Abr",Acerto_Detalhado!$C$2:$C$433,"Proteina"))*(SUMIFS(Acerto_Detalhado!$I$2:$I$433,Acerto_Detalhado!$A$2:$A$433,$D1313,Acerto_Detalhado!$B$2:$B$433,"Abr",Acerto_Detalhado!$C$2:$C$433,"Proteina")),2)</f>
        <v>0</v>
      </c>
    </row>
    <row r="1314" customFormat="false" ht="15" hidden="false" customHeight="false" outlineLevel="0" collapsed="false">
      <c r="A1314" s="27" t="s">
        <v>114</v>
      </c>
      <c r="B1314" s="27" t="s">
        <v>109</v>
      </c>
      <c r="C1314" s="27" t="s">
        <v>50</v>
      </c>
      <c r="D1314" s="27" t="s">
        <v>39</v>
      </c>
      <c r="E1314" s="28" t="n">
        <f aca="false">ROUND((SUMIFS(Acerto_Detalhado!$F$2:$F$433,Acerto_Detalhado!$A$2:$A$433,$C1314,Acerto_Detalhado!$B$2:$B$433,"Abr",Acerto_Detalhado!$C$2:$C$433,"Proteina"))*(SUMIFS(Acerto_Detalhado!$I$2:$I$433,Acerto_Detalhado!$A$2:$A$433,$D1314,Acerto_Detalhado!$B$2:$B$433,"Abr",Acerto_Detalhado!$C$2:$C$433,"Proteina")),2)</f>
        <v>0</v>
      </c>
    </row>
    <row r="1315" customFormat="false" ht="15" hidden="false" customHeight="false" outlineLevel="0" collapsed="false">
      <c r="A1315" s="27" t="s">
        <v>114</v>
      </c>
      <c r="B1315" s="27" t="s">
        <v>109</v>
      </c>
      <c r="C1315" s="27" t="s">
        <v>50</v>
      </c>
      <c r="D1315" s="27" t="s">
        <v>40</v>
      </c>
      <c r="E1315" s="28" t="n">
        <f aca="false">ROUND((SUMIFS(Acerto_Detalhado!$F$2:$F$433,Acerto_Detalhado!$A$2:$A$433,$C1315,Acerto_Detalhado!$B$2:$B$433,"Abr",Acerto_Detalhado!$C$2:$C$433,"Proteina"))*(SUMIFS(Acerto_Detalhado!$I$2:$I$433,Acerto_Detalhado!$A$2:$A$433,$D1315,Acerto_Detalhado!$B$2:$B$433,"Abr",Acerto_Detalhado!$C$2:$C$433,"Proteina")),2)</f>
        <v>0</v>
      </c>
    </row>
    <row r="1316" customFormat="false" ht="15" hidden="false" customHeight="false" outlineLevel="0" collapsed="false">
      <c r="A1316" s="27" t="s">
        <v>114</v>
      </c>
      <c r="B1316" s="27" t="s">
        <v>109</v>
      </c>
      <c r="C1316" s="27" t="s">
        <v>50</v>
      </c>
      <c r="D1316" s="27" t="s">
        <v>41</v>
      </c>
      <c r="E1316" s="28" t="n">
        <f aca="false">ROUND((SUMIFS(Acerto_Detalhado!$F$2:$F$433,Acerto_Detalhado!$A$2:$A$433,$C1316,Acerto_Detalhado!$B$2:$B$433,"Abr",Acerto_Detalhado!$C$2:$C$433,"Proteina"))*(SUMIFS(Acerto_Detalhado!$I$2:$I$433,Acerto_Detalhado!$A$2:$A$433,$D1316,Acerto_Detalhado!$B$2:$B$433,"Abr",Acerto_Detalhado!$C$2:$C$433,"Proteina")),2)</f>
        <v>0</v>
      </c>
    </row>
    <row r="1317" customFormat="false" ht="15" hidden="false" customHeight="false" outlineLevel="0" collapsed="false">
      <c r="A1317" s="27" t="s">
        <v>114</v>
      </c>
      <c r="B1317" s="27" t="s">
        <v>109</v>
      </c>
      <c r="C1317" s="27" t="s">
        <v>50</v>
      </c>
      <c r="D1317" s="27" t="s">
        <v>42</v>
      </c>
      <c r="E1317" s="28" t="n">
        <f aca="false">ROUND((SUMIFS(Acerto_Detalhado!$F$2:$F$433,Acerto_Detalhado!$A$2:$A$433,$C1317,Acerto_Detalhado!$B$2:$B$433,"Abr",Acerto_Detalhado!$C$2:$C$433,"Proteina"))*(SUMIFS(Acerto_Detalhado!$I$2:$I$433,Acerto_Detalhado!$A$2:$A$433,$D1317,Acerto_Detalhado!$B$2:$B$433,"Abr",Acerto_Detalhado!$C$2:$C$433,"Proteina")),2)</f>
        <v>0</v>
      </c>
    </row>
    <row r="1318" customFormat="false" ht="15" hidden="false" customHeight="false" outlineLevel="0" collapsed="false">
      <c r="A1318" s="27" t="s">
        <v>114</v>
      </c>
      <c r="B1318" s="27" t="s">
        <v>109</v>
      </c>
      <c r="C1318" s="27" t="s">
        <v>50</v>
      </c>
      <c r="D1318" s="27" t="s">
        <v>43</v>
      </c>
      <c r="E1318" s="28" t="n">
        <f aca="false">ROUND((SUMIFS(Acerto_Detalhado!$F$2:$F$433,Acerto_Detalhado!$A$2:$A$433,$C1318,Acerto_Detalhado!$B$2:$B$433,"Abr",Acerto_Detalhado!$C$2:$C$433,"Proteina"))*(SUMIFS(Acerto_Detalhado!$I$2:$I$433,Acerto_Detalhado!$A$2:$A$433,$D1318,Acerto_Detalhado!$B$2:$B$433,"Abr",Acerto_Detalhado!$C$2:$C$433,"Proteina")),2)</f>
        <v>0</v>
      </c>
    </row>
    <row r="1319" customFormat="false" ht="15" hidden="false" customHeight="false" outlineLevel="0" collapsed="false">
      <c r="A1319" s="27" t="s">
        <v>114</v>
      </c>
      <c r="B1319" s="27" t="s">
        <v>109</v>
      </c>
      <c r="C1319" s="27" t="s">
        <v>50</v>
      </c>
      <c r="D1319" s="27" t="s">
        <v>44</v>
      </c>
      <c r="E1319" s="28" t="n">
        <f aca="false">ROUND((SUMIFS(Acerto_Detalhado!$F$2:$F$433,Acerto_Detalhado!$A$2:$A$433,$C1319,Acerto_Detalhado!$B$2:$B$433,"Abr",Acerto_Detalhado!$C$2:$C$433,"Proteina"))*(SUMIFS(Acerto_Detalhado!$I$2:$I$433,Acerto_Detalhado!$A$2:$A$433,$D1319,Acerto_Detalhado!$B$2:$B$433,"Abr",Acerto_Detalhado!$C$2:$C$433,"Proteina")),2)</f>
        <v>0</v>
      </c>
    </row>
    <row r="1320" customFormat="false" ht="15" hidden="false" customHeight="false" outlineLevel="0" collapsed="false">
      <c r="A1320" s="27" t="s">
        <v>114</v>
      </c>
      <c r="B1320" s="27" t="s">
        <v>109</v>
      </c>
      <c r="C1320" s="27" t="s">
        <v>50</v>
      </c>
      <c r="D1320" s="27" t="s">
        <v>45</v>
      </c>
      <c r="E1320" s="28" t="n">
        <f aca="false">ROUND((SUMIFS(Acerto_Detalhado!$F$2:$F$433,Acerto_Detalhado!$A$2:$A$433,$C1320,Acerto_Detalhado!$B$2:$B$433,"Abr",Acerto_Detalhado!$C$2:$C$433,"Proteina"))*(SUMIFS(Acerto_Detalhado!$I$2:$I$433,Acerto_Detalhado!$A$2:$A$433,$D1320,Acerto_Detalhado!$B$2:$B$433,"Abr",Acerto_Detalhado!$C$2:$C$433,"Proteina")),2)</f>
        <v>0</v>
      </c>
    </row>
    <row r="1321" customFormat="false" ht="15" hidden="false" customHeight="false" outlineLevel="0" collapsed="false">
      <c r="A1321" s="27" t="s">
        <v>114</v>
      </c>
      <c r="B1321" s="27" t="s">
        <v>109</v>
      </c>
      <c r="C1321" s="27" t="s">
        <v>50</v>
      </c>
      <c r="D1321" s="27" t="s">
        <v>46</v>
      </c>
      <c r="E1321" s="28" t="n">
        <f aca="false">ROUND((SUMIFS(Acerto_Detalhado!$F$2:$F$433,Acerto_Detalhado!$A$2:$A$433,$C1321,Acerto_Detalhado!$B$2:$B$433,"Abr",Acerto_Detalhado!$C$2:$C$433,"Proteina"))*(SUMIFS(Acerto_Detalhado!$I$2:$I$433,Acerto_Detalhado!$A$2:$A$433,$D1321,Acerto_Detalhado!$B$2:$B$433,"Abr",Acerto_Detalhado!$C$2:$C$433,"Proteina")),2)</f>
        <v>0</v>
      </c>
    </row>
    <row r="1322" customFormat="false" ht="15" hidden="false" customHeight="false" outlineLevel="0" collapsed="false">
      <c r="A1322" s="27" t="s">
        <v>114</v>
      </c>
      <c r="B1322" s="27" t="s">
        <v>109</v>
      </c>
      <c r="C1322" s="27" t="s">
        <v>50</v>
      </c>
      <c r="D1322" s="27" t="s">
        <v>47</v>
      </c>
      <c r="E1322" s="28" t="n">
        <f aca="false">ROUND((SUMIFS(Acerto_Detalhado!$F$2:$F$433,Acerto_Detalhado!$A$2:$A$433,$C1322,Acerto_Detalhado!$B$2:$B$433,"Abr",Acerto_Detalhado!$C$2:$C$433,"Proteina"))*(SUMIFS(Acerto_Detalhado!$I$2:$I$433,Acerto_Detalhado!$A$2:$A$433,$D1322,Acerto_Detalhado!$B$2:$B$433,"Abr",Acerto_Detalhado!$C$2:$C$433,"Proteina")),2)</f>
        <v>0</v>
      </c>
    </row>
    <row r="1323" customFormat="false" ht="15" hidden="false" customHeight="false" outlineLevel="0" collapsed="false">
      <c r="A1323" s="27" t="s">
        <v>114</v>
      </c>
      <c r="B1323" s="27" t="s">
        <v>109</v>
      </c>
      <c r="C1323" s="27" t="s">
        <v>50</v>
      </c>
      <c r="D1323" s="27" t="s">
        <v>48</v>
      </c>
      <c r="E1323" s="28" t="n">
        <f aca="false">ROUND((SUMIFS(Acerto_Detalhado!$F$2:$F$433,Acerto_Detalhado!$A$2:$A$433,$C1323,Acerto_Detalhado!$B$2:$B$433,"Abr",Acerto_Detalhado!$C$2:$C$433,"Proteina"))*(SUMIFS(Acerto_Detalhado!$I$2:$I$433,Acerto_Detalhado!$A$2:$A$433,$D1323,Acerto_Detalhado!$B$2:$B$433,"Abr",Acerto_Detalhado!$C$2:$C$433,"Proteina")),2)</f>
        <v>0</v>
      </c>
    </row>
    <row r="1324" customFormat="false" ht="15" hidden="false" customHeight="false" outlineLevel="0" collapsed="false">
      <c r="A1324" s="27" t="s">
        <v>114</v>
      </c>
      <c r="B1324" s="27" t="s">
        <v>109</v>
      </c>
      <c r="C1324" s="27" t="s">
        <v>50</v>
      </c>
      <c r="D1324" s="27" t="s">
        <v>49</v>
      </c>
      <c r="E1324" s="28" t="n">
        <f aca="false">ROUND((SUMIFS(Acerto_Detalhado!$F$2:$F$433,Acerto_Detalhado!$A$2:$A$433,$C1324,Acerto_Detalhado!$B$2:$B$433,"Abr",Acerto_Detalhado!$C$2:$C$433,"Proteina"))*(SUMIFS(Acerto_Detalhado!$I$2:$I$433,Acerto_Detalhado!$A$2:$A$433,$D1324,Acerto_Detalhado!$B$2:$B$433,"Abr",Acerto_Detalhado!$C$2:$C$433,"Proteina")),2)</f>
        <v>0</v>
      </c>
    </row>
    <row r="1325" customFormat="false" ht="15" hidden="false" customHeight="false" outlineLevel="0" collapsed="false">
      <c r="A1325" s="27" t="s">
        <v>114</v>
      </c>
      <c r="B1325" s="27" t="s">
        <v>110</v>
      </c>
      <c r="C1325" s="27" t="s">
        <v>39</v>
      </c>
      <c r="D1325" s="27" t="s">
        <v>40</v>
      </c>
      <c r="E1325" s="28" t="n">
        <f aca="false">ROUND((SUMIFS(Acerto_Detalhado!$F$2:$F$433,Acerto_Detalhado!$A$2:$A$433,$C1325,Acerto_Detalhado!$B$2:$B$433,"Abr",Acerto_Detalhado!$C$2:$C$433,"Umidade"))*(SUMIFS(Acerto_Detalhado!$I$2:$I$433,Acerto_Detalhado!$A$2:$A$433,$D1325,Acerto_Detalhado!$B$2:$B$433,"Abr",Acerto_Detalhado!$C$2:$C$433,"Umidade")),2)</f>
        <v>0</v>
      </c>
    </row>
    <row r="1326" customFormat="false" ht="15" hidden="false" customHeight="false" outlineLevel="0" collapsed="false">
      <c r="A1326" s="27" t="s">
        <v>114</v>
      </c>
      <c r="B1326" s="27" t="s">
        <v>110</v>
      </c>
      <c r="C1326" s="27" t="s">
        <v>39</v>
      </c>
      <c r="D1326" s="27" t="s">
        <v>41</v>
      </c>
      <c r="E1326" s="28" t="n">
        <f aca="false">ROUND((SUMIFS(Acerto_Detalhado!$F$2:$F$433,Acerto_Detalhado!$A$2:$A$433,$C1326,Acerto_Detalhado!$B$2:$B$433,"Abr",Acerto_Detalhado!$C$2:$C$433,"Umidade"))*(SUMIFS(Acerto_Detalhado!$I$2:$I$433,Acerto_Detalhado!$A$2:$A$433,$D1326,Acerto_Detalhado!$B$2:$B$433,"Abr",Acerto_Detalhado!$C$2:$C$433,"Umidade")),2)</f>
        <v>0</v>
      </c>
    </row>
    <row r="1327" customFormat="false" ht="15" hidden="false" customHeight="false" outlineLevel="0" collapsed="false">
      <c r="A1327" s="27" t="s">
        <v>114</v>
      </c>
      <c r="B1327" s="27" t="s">
        <v>110</v>
      </c>
      <c r="C1327" s="27" t="s">
        <v>39</v>
      </c>
      <c r="D1327" s="27" t="s">
        <v>42</v>
      </c>
      <c r="E1327" s="28" t="n">
        <f aca="false">ROUND((SUMIFS(Acerto_Detalhado!$F$2:$F$433,Acerto_Detalhado!$A$2:$A$433,$C1327,Acerto_Detalhado!$B$2:$B$433,"Abr",Acerto_Detalhado!$C$2:$C$433,"Umidade"))*(SUMIFS(Acerto_Detalhado!$I$2:$I$433,Acerto_Detalhado!$A$2:$A$433,$D1327,Acerto_Detalhado!$B$2:$B$433,"Abr",Acerto_Detalhado!$C$2:$C$433,"Umidade")),2)</f>
        <v>0</v>
      </c>
    </row>
    <row r="1328" customFormat="false" ht="15" hidden="false" customHeight="false" outlineLevel="0" collapsed="false">
      <c r="A1328" s="27" t="s">
        <v>114</v>
      </c>
      <c r="B1328" s="27" t="s">
        <v>110</v>
      </c>
      <c r="C1328" s="27" t="s">
        <v>39</v>
      </c>
      <c r="D1328" s="27" t="s">
        <v>43</v>
      </c>
      <c r="E1328" s="28" t="n">
        <f aca="false">ROUND((SUMIFS(Acerto_Detalhado!$F$2:$F$433,Acerto_Detalhado!$A$2:$A$433,$C1328,Acerto_Detalhado!$B$2:$B$433,"Abr",Acerto_Detalhado!$C$2:$C$433,"Umidade"))*(SUMIFS(Acerto_Detalhado!$I$2:$I$433,Acerto_Detalhado!$A$2:$A$433,$D1328,Acerto_Detalhado!$B$2:$B$433,"Abr",Acerto_Detalhado!$C$2:$C$433,"Umidade")),2)</f>
        <v>0</v>
      </c>
    </row>
    <row r="1329" customFormat="false" ht="15" hidden="false" customHeight="false" outlineLevel="0" collapsed="false">
      <c r="A1329" s="27" t="s">
        <v>114</v>
      </c>
      <c r="B1329" s="27" t="s">
        <v>110</v>
      </c>
      <c r="C1329" s="27" t="s">
        <v>39</v>
      </c>
      <c r="D1329" s="27" t="s">
        <v>44</v>
      </c>
      <c r="E1329" s="28" t="n">
        <f aca="false">ROUND((SUMIFS(Acerto_Detalhado!$F$2:$F$433,Acerto_Detalhado!$A$2:$A$433,$C1329,Acerto_Detalhado!$B$2:$B$433,"Abr",Acerto_Detalhado!$C$2:$C$433,"Umidade"))*(SUMIFS(Acerto_Detalhado!$I$2:$I$433,Acerto_Detalhado!$A$2:$A$433,$D1329,Acerto_Detalhado!$B$2:$B$433,"Abr",Acerto_Detalhado!$C$2:$C$433,"Umidade")),2)</f>
        <v>0</v>
      </c>
    </row>
    <row r="1330" customFormat="false" ht="15" hidden="false" customHeight="false" outlineLevel="0" collapsed="false">
      <c r="A1330" s="27" t="s">
        <v>114</v>
      </c>
      <c r="B1330" s="27" t="s">
        <v>110</v>
      </c>
      <c r="C1330" s="27" t="s">
        <v>39</v>
      </c>
      <c r="D1330" s="27" t="s">
        <v>45</v>
      </c>
      <c r="E1330" s="28" t="n">
        <f aca="false">ROUND((SUMIFS(Acerto_Detalhado!$F$2:$F$433,Acerto_Detalhado!$A$2:$A$433,$C1330,Acerto_Detalhado!$B$2:$B$433,"Abr",Acerto_Detalhado!$C$2:$C$433,"Umidade"))*(SUMIFS(Acerto_Detalhado!$I$2:$I$433,Acerto_Detalhado!$A$2:$A$433,$D1330,Acerto_Detalhado!$B$2:$B$433,"Abr",Acerto_Detalhado!$C$2:$C$433,"Umidade")),2)</f>
        <v>0</v>
      </c>
    </row>
    <row r="1331" customFormat="false" ht="15" hidden="false" customHeight="false" outlineLevel="0" collapsed="false">
      <c r="A1331" s="27" t="s">
        <v>114</v>
      </c>
      <c r="B1331" s="27" t="s">
        <v>110</v>
      </c>
      <c r="C1331" s="27" t="s">
        <v>39</v>
      </c>
      <c r="D1331" s="27" t="s">
        <v>46</v>
      </c>
      <c r="E1331" s="28" t="n">
        <f aca="false">ROUND((SUMIFS(Acerto_Detalhado!$F$2:$F$433,Acerto_Detalhado!$A$2:$A$433,$C1331,Acerto_Detalhado!$B$2:$B$433,"Abr",Acerto_Detalhado!$C$2:$C$433,"Umidade"))*(SUMIFS(Acerto_Detalhado!$I$2:$I$433,Acerto_Detalhado!$A$2:$A$433,$D1331,Acerto_Detalhado!$B$2:$B$433,"Abr",Acerto_Detalhado!$C$2:$C$433,"Umidade")),2)</f>
        <v>0</v>
      </c>
    </row>
    <row r="1332" customFormat="false" ht="15" hidden="false" customHeight="false" outlineLevel="0" collapsed="false">
      <c r="A1332" s="27" t="s">
        <v>114</v>
      </c>
      <c r="B1332" s="27" t="s">
        <v>110</v>
      </c>
      <c r="C1332" s="27" t="s">
        <v>39</v>
      </c>
      <c r="D1332" s="27" t="s">
        <v>47</v>
      </c>
      <c r="E1332" s="28" t="n">
        <f aca="false">ROUND((SUMIFS(Acerto_Detalhado!$F$2:$F$433,Acerto_Detalhado!$A$2:$A$433,$C1332,Acerto_Detalhado!$B$2:$B$433,"Abr",Acerto_Detalhado!$C$2:$C$433,"Umidade"))*(SUMIFS(Acerto_Detalhado!$I$2:$I$433,Acerto_Detalhado!$A$2:$A$433,$D1332,Acerto_Detalhado!$B$2:$B$433,"Abr",Acerto_Detalhado!$C$2:$C$433,"Umidade")),2)</f>
        <v>0</v>
      </c>
    </row>
    <row r="1333" customFormat="false" ht="15" hidden="false" customHeight="false" outlineLevel="0" collapsed="false">
      <c r="A1333" s="27" t="s">
        <v>114</v>
      </c>
      <c r="B1333" s="27" t="s">
        <v>110</v>
      </c>
      <c r="C1333" s="27" t="s">
        <v>39</v>
      </c>
      <c r="D1333" s="27" t="s">
        <v>48</v>
      </c>
      <c r="E1333" s="28" t="n">
        <f aca="false">ROUND((SUMIFS(Acerto_Detalhado!$F$2:$F$433,Acerto_Detalhado!$A$2:$A$433,$C1333,Acerto_Detalhado!$B$2:$B$433,"Abr",Acerto_Detalhado!$C$2:$C$433,"Umidade"))*(SUMIFS(Acerto_Detalhado!$I$2:$I$433,Acerto_Detalhado!$A$2:$A$433,$D1333,Acerto_Detalhado!$B$2:$B$433,"Abr",Acerto_Detalhado!$C$2:$C$433,"Umidade")),2)</f>
        <v>0</v>
      </c>
    </row>
    <row r="1334" customFormat="false" ht="15" hidden="false" customHeight="false" outlineLevel="0" collapsed="false">
      <c r="A1334" s="27" t="s">
        <v>114</v>
      </c>
      <c r="B1334" s="27" t="s">
        <v>110</v>
      </c>
      <c r="C1334" s="27" t="s">
        <v>39</v>
      </c>
      <c r="D1334" s="27" t="s">
        <v>49</v>
      </c>
      <c r="E1334" s="28" t="n">
        <f aca="false">ROUND((SUMIFS(Acerto_Detalhado!$F$2:$F$433,Acerto_Detalhado!$A$2:$A$433,$C1334,Acerto_Detalhado!$B$2:$B$433,"Abr",Acerto_Detalhado!$C$2:$C$433,"Umidade"))*(SUMIFS(Acerto_Detalhado!$I$2:$I$433,Acerto_Detalhado!$A$2:$A$433,$D1334,Acerto_Detalhado!$B$2:$B$433,"Abr",Acerto_Detalhado!$C$2:$C$433,"Umidade")),2)</f>
        <v>0</v>
      </c>
    </row>
    <row r="1335" customFormat="false" ht="15" hidden="false" customHeight="false" outlineLevel="0" collapsed="false">
      <c r="A1335" s="27" t="s">
        <v>114</v>
      </c>
      <c r="B1335" s="27" t="s">
        <v>110</v>
      </c>
      <c r="C1335" s="27" t="s">
        <v>39</v>
      </c>
      <c r="D1335" s="27" t="s">
        <v>50</v>
      </c>
      <c r="E1335" s="28" t="n">
        <f aca="false">ROUND((SUMIFS(Acerto_Detalhado!$F$2:$F$433,Acerto_Detalhado!$A$2:$A$433,$C1335,Acerto_Detalhado!$B$2:$B$433,"Abr",Acerto_Detalhado!$C$2:$C$433,"Umidade"))*(SUMIFS(Acerto_Detalhado!$I$2:$I$433,Acerto_Detalhado!$A$2:$A$433,$D1335,Acerto_Detalhado!$B$2:$B$433,"Abr",Acerto_Detalhado!$C$2:$C$433,"Umidade")),2)</f>
        <v>0</v>
      </c>
    </row>
    <row r="1336" customFormat="false" ht="15" hidden="false" customHeight="false" outlineLevel="0" collapsed="false">
      <c r="A1336" s="27" t="s">
        <v>114</v>
      </c>
      <c r="B1336" s="27" t="s">
        <v>110</v>
      </c>
      <c r="C1336" s="27" t="s">
        <v>40</v>
      </c>
      <c r="D1336" s="27" t="s">
        <v>39</v>
      </c>
      <c r="E1336" s="28" t="n">
        <f aca="false">ROUND((SUMIFS(Acerto_Detalhado!$F$2:$F$433,Acerto_Detalhado!$A$2:$A$433,$C1336,Acerto_Detalhado!$B$2:$B$433,"Abr",Acerto_Detalhado!$C$2:$C$433,"Umidade"))*(SUMIFS(Acerto_Detalhado!$I$2:$I$433,Acerto_Detalhado!$A$2:$A$433,$D1336,Acerto_Detalhado!$B$2:$B$433,"Abr",Acerto_Detalhado!$C$2:$C$433,"Umidade")),2)</f>
        <v>0</v>
      </c>
    </row>
    <row r="1337" customFormat="false" ht="15" hidden="false" customHeight="false" outlineLevel="0" collapsed="false">
      <c r="A1337" s="27" t="s">
        <v>114</v>
      </c>
      <c r="B1337" s="27" t="s">
        <v>110</v>
      </c>
      <c r="C1337" s="27" t="s">
        <v>40</v>
      </c>
      <c r="D1337" s="27" t="s">
        <v>41</v>
      </c>
      <c r="E1337" s="28" t="n">
        <f aca="false">ROUND((SUMIFS(Acerto_Detalhado!$F$2:$F$433,Acerto_Detalhado!$A$2:$A$433,$C1337,Acerto_Detalhado!$B$2:$B$433,"Abr",Acerto_Detalhado!$C$2:$C$433,"Umidade"))*(SUMIFS(Acerto_Detalhado!$I$2:$I$433,Acerto_Detalhado!$A$2:$A$433,$D1337,Acerto_Detalhado!$B$2:$B$433,"Abr",Acerto_Detalhado!$C$2:$C$433,"Umidade")),2)</f>
        <v>0</v>
      </c>
    </row>
    <row r="1338" customFormat="false" ht="15" hidden="false" customHeight="false" outlineLevel="0" collapsed="false">
      <c r="A1338" s="27" t="s">
        <v>114</v>
      </c>
      <c r="B1338" s="27" t="s">
        <v>110</v>
      </c>
      <c r="C1338" s="27" t="s">
        <v>40</v>
      </c>
      <c r="D1338" s="27" t="s">
        <v>42</v>
      </c>
      <c r="E1338" s="28" t="n">
        <f aca="false">ROUND((SUMIFS(Acerto_Detalhado!$F$2:$F$433,Acerto_Detalhado!$A$2:$A$433,$C1338,Acerto_Detalhado!$B$2:$B$433,"Abr",Acerto_Detalhado!$C$2:$C$433,"Umidade"))*(SUMIFS(Acerto_Detalhado!$I$2:$I$433,Acerto_Detalhado!$A$2:$A$433,$D1338,Acerto_Detalhado!$B$2:$B$433,"Abr",Acerto_Detalhado!$C$2:$C$433,"Umidade")),2)</f>
        <v>0</v>
      </c>
    </row>
    <row r="1339" customFormat="false" ht="15" hidden="false" customHeight="false" outlineLevel="0" collapsed="false">
      <c r="A1339" s="27" t="s">
        <v>114</v>
      </c>
      <c r="B1339" s="27" t="s">
        <v>110</v>
      </c>
      <c r="C1339" s="27" t="s">
        <v>40</v>
      </c>
      <c r="D1339" s="27" t="s">
        <v>43</v>
      </c>
      <c r="E1339" s="28" t="n">
        <f aca="false">ROUND((SUMIFS(Acerto_Detalhado!$F$2:$F$433,Acerto_Detalhado!$A$2:$A$433,$C1339,Acerto_Detalhado!$B$2:$B$433,"Abr",Acerto_Detalhado!$C$2:$C$433,"Umidade"))*(SUMIFS(Acerto_Detalhado!$I$2:$I$433,Acerto_Detalhado!$A$2:$A$433,$D1339,Acerto_Detalhado!$B$2:$B$433,"Abr",Acerto_Detalhado!$C$2:$C$433,"Umidade")),2)</f>
        <v>0</v>
      </c>
    </row>
    <row r="1340" customFormat="false" ht="15" hidden="false" customHeight="false" outlineLevel="0" collapsed="false">
      <c r="A1340" s="27" t="s">
        <v>114</v>
      </c>
      <c r="B1340" s="27" t="s">
        <v>110</v>
      </c>
      <c r="C1340" s="27" t="s">
        <v>40</v>
      </c>
      <c r="D1340" s="27" t="s">
        <v>44</v>
      </c>
      <c r="E1340" s="28" t="n">
        <f aca="false">ROUND((SUMIFS(Acerto_Detalhado!$F$2:$F$433,Acerto_Detalhado!$A$2:$A$433,$C1340,Acerto_Detalhado!$B$2:$B$433,"Abr",Acerto_Detalhado!$C$2:$C$433,"Umidade"))*(SUMIFS(Acerto_Detalhado!$I$2:$I$433,Acerto_Detalhado!$A$2:$A$433,$D1340,Acerto_Detalhado!$B$2:$B$433,"Abr",Acerto_Detalhado!$C$2:$C$433,"Umidade")),2)</f>
        <v>0</v>
      </c>
    </row>
    <row r="1341" customFormat="false" ht="15" hidden="false" customHeight="false" outlineLevel="0" collapsed="false">
      <c r="A1341" s="27" t="s">
        <v>114</v>
      </c>
      <c r="B1341" s="27" t="s">
        <v>110</v>
      </c>
      <c r="C1341" s="27" t="s">
        <v>40</v>
      </c>
      <c r="D1341" s="27" t="s">
        <v>45</v>
      </c>
      <c r="E1341" s="28" t="n">
        <f aca="false">ROUND((SUMIFS(Acerto_Detalhado!$F$2:$F$433,Acerto_Detalhado!$A$2:$A$433,$C1341,Acerto_Detalhado!$B$2:$B$433,"Abr",Acerto_Detalhado!$C$2:$C$433,"Umidade"))*(SUMIFS(Acerto_Detalhado!$I$2:$I$433,Acerto_Detalhado!$A$2:$A$433,$D1341,Acerto_Detalhado!$B$2:$B$433,"Abr",Acerto_Detalhado!$C$2:$C$433,"Umidade")),2)</f>
        <v>0</v>
      </c>
    </row>
    <row r="1342" customFormat="false" ht="15" hidden="false" customHeight="false" outlineLevel="0" collapsed="false">
      <c r="A1342" s="27" t="s">
        <v>114</v>
      </c>
      <c r="B1342" s="27" t="s">
        <v>110</v>
      </c>
      <c r="C1342" s="27" t="s">
        <v>40</v>
      </c>
      <c r="D1342" s="27" t="s">
        <v>46</v>
      </c>
      <c r="E1342" s="28" t="n">
        <f aca="false">ROUND((SUMIFS(Acerto_Detalhado!$F$2:$F$433,Acerto_Detalhado!$A$2:$A$433,$C1342,Acerto_Detalhado!$B$2:$B$433,"Abr",Acerto_Detalhado!$C$2:$C$433,"Umidade"))*(SUMIFS(Acerto_Detalhado!$I$2:$I$433,Acerto_Detalhado!$A$2:$A$433,$D1342,Acerto_Detalhado!$B$2:$B$433,"Abr",Acerto_Detalhado!$C$2:$C$433,"Umidade")),2)</f>
        <v>0</v>
      </c>
    </row>
    <row r="1343" customFormat="false" ht="15" hidden="false" customHeight="false" outlineLevel="0" collapsed="false">
      <c r="A1343" s="27" t="s">
        <v>114</v>
      </c>
      <c r="B1343" s="27" t="s">
        <v>110</v>
      </c>
      <c r="C1343" s="27" t="s">
        <v>40</v>
      </c>
      <c r="D1343" s="27" t="s">
        <v>47</v>
      </c>
      <c r="E1343" s="28" t="n">
        <f aca="false">ROUND((SUMIFS(Acerto_Detalhado!$F$2:$F$433,Acerto_Detalhado!$A$2:$A$433,$C1343,Acerto_Detalhado!$B$2:$B$433,"Abr",Acerto_Detalhado!$C$2:$C$433,"Umidade"))*(SUMIFS(Acerto_Detalhado!$I$2:$I$433,Acerto_Detalhado!$A$2:$A$433,$D1343,Acerto_Detalhado!$B$2:$B$433,"Abr",Acerto_Detalhado!$C$2:$C$433,"Umidade")),2)</f>
        <v>0</v>
      </c>
    </row>
    <row r="1344" customFormat="false" ht="15" hidden="false" customHeight="false" outlineLevel="0" collapsed="false">
      <c r="A1344" s="27" t="s">
        <v>114</v>
      </c>
      <c r="B1344" s="27" t="s">
        <v>110</v>
      </c>
      <c r="C1344" s="27" t="s">
        <v>40</v>
      </c>
      <c r="D1344" s="27" t="s">
        <v>48</v>
      </c>
      <c r="E1344" s="28" t="n">
        <f aca="false">ROUND((SUMIFS(Acerto_Detalhado!$F$2:$F$433,Acerto_Detalhado!$A$2:$A$433,$C1344,Acerto_Detalhado!$B$2:$B$433,"Abr",Acerto_Detalhado!$C$2:$C$433,"Umidade"))*(SUMIFS(Acerto_Detalhado!$I$2:$I$433,Acerto_Detalhado!$A$2:$A$433,$D1344,Acerto_Detalhado!$B$2:$B$433,"Abr",Acerto_Detalhado!$C$2:$C$433,"Umidade")),2)</f>
        <v>0</v>
      </c>
    </row>
    <row r="1345" customFormat="false" ht="15" hidden="false" customHeight="false" outlineLevel="0" collapsed="false">
      <c r="A1345" s="27" t="s">
        <v>114</v>
      </c>
      <c r="B1345" s="27" t="s">
        <v>110</v>
      </c>
      <c r="C1345" s="27" t="s">
        <v>40</v>
      </c>
      <c r="D1345" s="27" t="s">
        <v>49</v>
      </c>
      <c r="E1345" s="28" t="n">
        <f aca="false">ROUND((SUMIFS(Acerto_Detalhado!$F$2:$F$433,Acerto_Detalhado!$A$2:$A$433,$C1345,Acerto_Detalhado!$B$2:$B$433,"Abr",Acerto_Detalhado!$C$2:$C$433,"Umidade"))*(SUMIFS(Acerto_Detalhado!$I$2:$I$433,Acerto_Detalhado!$A$2:$A$433,$D1345,Acerto_Detalhado!$B$2:$B$433,"Abr",Acerto_Detalhado!$C$2:$C$433,"Umidade")),2)</f>
        <v>0</v>
      </c>
    </row>
    <row r="1346" customFormat="false" ht="15" hidden="false" customHeight="false" outlineLevel="0" collapsed="false">
      <c r="A1346" s="27" t="s">
        <v>114</v>
      </c>
      <c r="B1346" s="27" t="s">
        <v>110</v>
      </c>
      <c r="C1346" s="27" t="s">
        <v>40</v>
      </c>
      <c r="D1346" s="27" t="s">
        <v>50</v>
      </c>
      <c r="E1346" s="28" t="n">
        <f aca="false">ROUND((SUMIFS(Acerto_Detalhado!$F$2:$F$433,Acerto_Detalhado!$A$2:$A$433,$C1346,Acerto_Detalhado!$B$2:$B$433,"Abr",Acerto_Detalhado!$C$2:$C$433,"Umidade"))*(SUMIFS(Acerto_Detalhado!$I$2:$I$433,Acerto_Detalhado!$A$2:$A$433,$D1346,Acerto_Detalhado!$B$2:$B$433,"Abr",Acerto_Detalhado!$C$2:$C$433,"Umidade")),2)</f>
        <v>0</v>
      </c>
    </row>
    <row r="1347" customFormat="false" ht="15" hidden="false" customHeight="false" outlineLevel="0" collapsed="false">
      <c r="A1347" s="27" t="s">
        <v>114</v>
      </c>
      <c r="B1347" s="27" t="s">
        <v>110</v>
      </c>
      <c r="C1347" s="27" t="s">
        <v>41</v>
      </c>
      <c r="D1347" s="27" t="s">
        <v>39</v>
      </c>
      <c r="E1347" s="28" t="n">
        <f aca="false">ROUND((SUMIFS(Acerto_Detalhado!$F$2:$F$433,Acerto_Detalhado!$A$2:$A$433,$C1347,Acerto_Detalhado!$B$2:$B$433,"Abr",Acerto_Detalhado!$C$2:$C$433,"Umidade"))*(SUMIFS(Acerto_Detalhado!$I$2:$I$433,Acerto_Detalhado!$A$2:$A$433,$D1347,Acerto_Detalhado!$B$2:$B$433,"Abr",Acerto_Detalhado!$C$2:$C$433,"Umidade")),2)</f>
        <v>4755.33</v>
      </c>
    </row>
    <row r="1348" customFormat="false" ht="15" hidden="false" customHeight="false" outlineLevel="0" collapsed="false">
      <c r="A1348" s="27" t="s">
        <v>114</v>
      </c>
      <c r="B1348" s="27" t="s">
        <v>110</v>
      </c>
      <c r="C1348" s="27" t="s">
        <v>41</v>
      </c>
      <c r="D1348" s="27" t="s">
        <v>40</v>
      </c>
      <c r="E1348" s="28" t="n">
        <f aca="false">ROUND((SUMIFS(Acerto_Detalhado!$F$2:$F$433,Acerto_Detalhado!$A$2:$A$433,$C1348,Acerto_Detalhado!$B$2:$B$433,"Abr",Acerto_Detalhado!$C$2:$C$433,"Umidade"))*(SUMIFS(Acerto_Detalhado!$I$2:$I$433,Acerto_Detalhado!$A$2:$A$433,$D1348,Acerto_Detalhado!$B$2:$B$433,"Abr",Acerto_Detalhado!$C$2:$C$433,"Umidade")),2)</f>
        <v>15104.52</v>
      </c>
    </row>
    <row r="1349" customFormat="false" ht="15" hidden="false" customHeight="false" outlineLevel="0" collapsed="false">
      <c r="A1349" s="27" t="s">
        <v>114</v>
      </c>
      <c r="B1349" s="27" t="s">
        <v>110</v>
      </c>
      <c r="C1349" s="27" t="s">
        <v>41</v>
      </c>
      <c r="D1349" s="27" t="s">
        <v>42</v>
      </c>
      <c r="E1349" s="28" t="n">
        <f aca="false">ROUND((SUMIFS(Acerto_Detalhado!$F$2:$F$433,Acerto_Detalhado!$A$2:$A$433,$C1349,Acerto_Detalhado!$B$2:$B$433,"Abr",Acerto_Detalhado!$C$2:$C$433,"Umidade"))*(SUMIFS(Acerto_Detalhado!$I$2:$I$433,Acerto_Detalhado!$A$2:$A$433,$D1349,Acerto_Detalhado!$B$2:$B$433,"Abr",Acerto_Detalhado!$C$2:$C$433,"Umidade")),2)</f>
        <v>15216.41</v>
      </c>
    </row>
    <row r="1350" customFormat="false" ht="15" hidden="false" customHeight="false" outlineLevel="0" collapsed="false">
      <c r="A1350" s="27" t="s">
        <v>114</v>
      </c>
      <c r="B1350" s="27" t="s">
        <v>110</v>
      </c>
      <c r="C1350" s="27" t="s">
        <v>41</v>
      </c>
      <c r="D1350" s="27" t="s">
        <v>43</v>
      </c>
      <c r="E1350" s="28" t="n">
        <f aca="false">ROUND((SUMIFS(Acerto_Detalhado!$F$2:$F$433,Acerto_Detalhado!$A$2:$A$433,$C1350,Acerto_Detalhado!$B$2:$B$433,"Abr",Acerto_Detalhado!$C$2:$C$433,"Umidade"))*(SUMIFS(Acerto_Detalhado!$I$2:$I$433,Acerto_Detalhado!$A$2:$A$433,$D1350,Acerto_Detalhado!$B$2:$B$433,"Abr",Acerto_Detalhado!$C$2:$C$433,"Umidade")),2)</f>
        <v>26278.4</v>
      </c>
    </row>
    <row r="1351" customFormat="false" ht="15" hidden="false" customHeight="false" outlineLevel="0" collapsed="false">
      <c r="A1351" s="27" t="s">
        <v>114</v>
      </c>
      <c r="B1351" s="27" t="s">
        <v>110</v>
      </c>
      <c r="C1351" s="27" t="s">
        <v>41</v>
      </c>
      <c r="D1351" s="27" t="s">
        <v>44</v>
      </c>
      <c r="E1351" s="28" t="n">
        <f aca="false">ROUND((SUMIFS(Acerto_Detalhado!$F$2:$F$433,Acerto_Detalhado!$A$2:$A$433,$C1351,Acerto_Detalhado!$B$2:$B$433,"Abr",Acerto_Detalhado!$C$2:$C$433,"Umidade"))*(SUMIFS(Acerto_Detalhado!$I$2:$I$433,Acerto_Detalhado!$A$2:$A$433,$D1351,Acerto_Detalhado!$B$2:$B$433,"Abr",Acerto_Detalhado!$C$2:$C$433,"Umidade")),2)</f>
        <v>25154.98</v>
      </c>
    </row>
    <row r="1352" customFormat="false" ht="15" hidden="false" customHeight="false" outlineLevel="0" collapsed="false">
      <c r="A1352" s="27" t="s">
        <v>114</v>
      </c>
      <c r="B1352" s="27" t="s">
        <v>110</v>
      </c>
      <c r="C1352" s="27" t="s">
        <v>41</v>
      </c>
      <c r="D1352" s="27" t="s">
        <v>45</v>
      </c>
      <c r="E1352" s="28" t="n">
        <f aca="false">ROUND((SUMIFS(Acerto_Detalhado!$F$2:$F$433,Acerto_Detalhado!$A$2:$A$433,$C1352,Acerto_Detalhado!$B$2:$B$433,"Abr",Acerto_Detalhado!$C$2:$C$433,"Umidade"))*(SUMIFS(Acerto_Detalhado!$I$2:$I$433,Acerto_Detalhado!$A$2:$A$433,$D1352,Acerto_Detalhado!$B$2:$B$433,"Abr",Acerto_Detalhado!$C$2:$C$433,"Umidade")),2)</f>
        <v>2882.89</v>
      </c>
    </row>
    <row r="1353" customFormat="false" ht="15" hidden="false" customHeight="false" outlineLevel="0" collapsed="false">
      <c r="A1353" s="27" t="s">
        <v>114</v>
      </c>
      <c r="B1353" s="27" t="s">
        <v>110</v>
      </c>
      <c r="C1353" s="27" t="s">
        <v>41</v>
      </c>
      <c r="D1353" s="27" t="s">
        <v>46</v>
      </c>
      <c r="E1353" s="28" t="n">
        <f aca="false">ROUND((SUMIFS(Acerto_Detalhado!$F$2:$F$433,Acerto_Detalhado!$A$2:$A$433,$C1353,Acerto_Detalhado!$B$2:$B$433,"Abr",Acerto_Detalhado!$C$2:$C$433,"Umidade"))*(SUMIFS(Acerto_Detalhado!$I$2:$I$433,Acerto_Detalhado!$A$2:$A$433,$D1353,Acerto_Detalhado!$B$2:$B$433,"Abr",Acerto_Detalhado!$C$2:$C$433,"Umidade")),2)</f>
        <v>0</v>
      </c>
    </row>
    <row r="1354" customFormat="false" ht="15" hidden="false" customHeight="false" outlineLevel="0" collapsed="false">
      <c r="A1354" s="27" t="s">
        <v>114</v>
      </c>
      <c r="B1354" s="27" t="s">
        <v>110</v>
      </c>
      <c r="C1354" s="27" t="s">
        <v>41</v>
      </c>
      <c r="D1354" s="27" t="s">
        <v>47</v>
      </c>
      <c r="E1354" s="28" t="n">
        <f aca="false">ROUND((SUMIFS(Acerto_Detalhado!$F$2:$F$433,Acerto_Detalhado!$A$2:$A$433,$C1354,Acerto_Detalhado!$B$2:$B$433,"Abr",Acerto_Detalhado!$C$2:$C$433,"Umidade"))*(SUMIFS(Acerto_Detalhado!$I$2:$I$433,Acerto_Detalhado!$A$2:$A$433,$D1354,Acerto_Detalhado!$B$2:$B$433,"Abr",Acerto_Detalhado!$C$2:$C$433,"Umidade")),2)</f>
        <v>0</v>
      </c>
    </row>
    <row r="1355" customFormat="false" ht="15" hidden="false" customHeight="false" outlineLevel="0" collapsed="false">
      <c r="A1355" s="27" t="s">
        <v>114</v>
      </c>
      <c r="B1355" s="27" t="s">
        <v>110</v>
      </c>
      <c r="C1355" s="27" t="s">
        <v>41</v>
      </c>
      <c r="D1355" s="27" t="s">
        <v>48</v>
      </c>
      <c r="E1355" s="28" t="n">
        <f aca="false">ROUND((SUMIFS(Acerto_Detalhado!$F$2:$F$433,Acerto_Detalhado!$A$2:$A$433,$C1355,Acerto_Detalhado!$B$2:$B$433,"Abr",Acerto_Detalhado!$C$2:$C$433,"Umidade"))*(SUMIFS(Acerto_Detalhado!$I$2:$I$433,Acerto_Detalhado!$A$2:$A$433,$D1355,Acerto_Detalhado!$B$2:$B$433,"Abr",Acerto_Detalhado!$C$2:$C$433,"Umidade")),2)</f>
        <v>0</v>
      </c>
    </row>
    <row r="1356" customFormat="false" ht="15" hidden="false" customHeight="false" outlineLevel="0" collapsed="false">
      <c r="A1356" s="27" t="s">
        <v>114</v>
      </c>
      <c r="B1356" s="27" t="s">
        <v>110</v>
      </c>
      <c r="C1356" s="27" t="s">
        <v>41</v>
      </c>
      <c r="D1356" s="27" t="s">
        <v>49</v>
      </c>
      <c r="E1356" s="28" t="n">
        <f aca="false">ROUND((SUMIFS(Acerto_Detalhado!$F$2:$F$433,Acerto_Detalhado!$A$2:$A$433,$C1356,Acerto_Detalhado!$B$2:$B$433,"Abr",Acerto_Detalhado!$C$2:$C$433,"Umidade"))*(SUMIFS(Acerto_Detalhado!$I$2:$I$433,Acerto_Detalhado!$A$2:$A$433,$D1356,Acerto_Detalhado!$B$2:$B$433,"Abr",Acerto_Detalhado!$C$2:$C$433,"Umidade")),2)</f>
        <v>0</v>
      </c>
    </row>
    <row r="1357" customFormat="false" ht="15" hidden="false" customHeight="false" outlineLevel="0" collapsed="false">
      <c r="A1357" s="27" t="s">
        <v>114</v>
      </c>
      <c r="B1357" s="27" t="s">
        <v>110</v>
      </c>
      <c r="C1357" s="27" t="s">
        <v>41</v>
      </c>
      <c r="D1357" s="27" t="s">
        <v>50</v>
      </c>
      <c r="E1357" s="28" t="n">
        <f aca="false">ROUND((SUMIFS(Acerto_Detalhado!$F$2:$F$433,Acerto_Detalhado!$A$2:$A$433,$C1357,Acerto_Detalhado!$B$2:$B$433,"Abr",Acerto_Detalhado!$C$2:$C$433,"Umidade"))*(SUMIFS(Acerto_Detalhado!$I$2:$I$433,Acerto_Detalhado!$A$2:$A$433,$D1357,Acerto_Detalhado!$B$2:$B$433,"Abr",Acerto_Detalhado!$C$2:$C$433,"Umidade")),2)</f>
        <v>0</v>
      </c>
    </row>
    <row r="1358" customFormat="false" ht="15" hidden="false" customHeight="false" outlineLevel="0" collapsed="false">
      <c r="A1358" s="27" t="s">
        <v>114</v>
      </c>
      <c r="B1358" s="27" t="s">
        <v>110</v>
      </c>
      <c r="C1358" s="27" t="s">
        <v>42</v>
      </c>
      <c r="D1358" s="27" t="s">
        <v>39</v>
      </c>
      <c r="E1358" s="28" t="n">
        <f aca="false">ROUND((SUMIFS(Acerto_Detalhado!$F$2:$F$433,Acerto_Detalhado!$A$2:$A$433,$C1358,Acerto_Detalhado!$B$2:$B$433,"Abr",Acerto_Detalhado!$C$2:$C$433,"Umidade"))*(SUMIFS(Acerto_Detalhado!$I$2:$I$433,Acerto_Detalhado!$A$2:$A$433,$D1358,Acerto_Detalhado!$B$2:$B$433,"Abr",Acerto_Detalhado!$C$2:$C$433,"Umidade")),2)</f>
        <v>0</v>
      </c>
    </row>
    <row r="1359" customFormat="false" ht="15" hidden="false" customHeight="false" outlineLevel="0" collapsed="false">
      <c r="A1359" s="27" t="s">
        <v>114</v>
      </c>
      <c r="B1359" s="27" t="s">
        <v>110</v>
      </c>
      <c r="C1359" s="27" t="s">
        <v>42</v>
      </c>
      <c r="D1359" s="27" t="s">
        <v>40</v>
      </c>
      <c r="E1359" s="28" t="n">
        <f aca="false">ROUND((SUMIFS(Acerto_Detalhado!$F$2:$F$433,Acerto_Detalhado!$A$2:$A$433,$C1359,Acerto_Detalhado!$B$2:$B$433,"Abr",Acerto_Detalhado!$C$2:$C$433,"Umidade"))*(SUMIFS(Acerto_Detalhado!$I$2:$I$433,Acerto_Detalhado!$A$2:$A$433,$D1359,Acerto_Detalhado!$B$2:$B$433,"Abr",Acerto_Detalhado!$C$2:$C$433,"Umidade")),2)</f>
        <v>0</v>
      </c>
    </row>
    <row r="1360" customFormat="false" ht="15" hidden="false" customHeight="false" outlineLevel="0" collapsed="false">
      <c r="A1360" s="27" t="s">
        <v>114</v>
      </c>
      <c r="B1360" s="27" t="s">
        <v>110</v>
      </c>
      <c r="C1360" s="27" t="s">
        <v>42</v>
      </c>
      <c r="D1360" s="27" t="s">
        <v>41</v>
      </c>
      <c r="E1360" s="28" t="n">
        <f aca="false">ROUND((SUMIFS(Acerto_Detalhado!$F$2:$F$433,Acerto_Detalhado!$A$2:$A$433,$C1360,Acerto_Detalhado!$B$2:$B$433,"Abr",Acerto_Detalhado!$C$2:$C$433,"Umidade"))*(SUMIFS(Acerto_Detalhado!$I$2:$I$433,Acerto_Detalhado!$A$2:$A$433,$D1360,Acerto_Detalhado!$B$2:$B$433,"Abr",Acerto_Detalhado!$C$2:$C$433,"Umidade")),2)</f>
        <v>0</v>
      </c>
    </row>
    <row r="1361" customFormat="false" ht="15" hidden="false" customHeight="false" outlineLevel="0" collapsed="false">
      <c r="A1361" s="27" t="s">
        <v>114</v>
      </c>
      <c r="B1361" s="27" t="s">
        <v>110</v>
      </c>
      <c r="C1361" s="27" t="s">
        <v>42</v>
      </c>
      <c r="D1361" s="27" t="s">
        <v>43</v>
      </c>
      <c r="E1361" s="28" t="n">
        <f aca="false">ROUND((SUMIFS(Acerto_Detalhado!$F$2:$F$433,Acerto_Detalhado!$A$2:$A$433,$C1361,Acerto_Detalhado!$B$2:$B$433,"Abr",Acerto_Detalhado!$C$2:$C$433,"Umidade"))*(SUMIFS(Acerto_Detalhado!$I$2:$I$433,Acerto_Detalhado!$A$2:$A$433,$D1361,Acerto_Detalhado!$B$2:$B$433,"Abr",Acerto_Detalhado!$C$2:$C$433,"Umidade")),2)</f>
        <v>0</v>
      </c>
    </row>
    <row r="1362" customFormat="false" ht="15" hidden="false" customHeight="false" outlineLevel="0" collapsed="false">
      <c r="A1362" s="27" t="s">
        <v>114</v>
      </c>
      <c r="B1362" s="27" t="s">
        <v>110</v>
      </c>
      <c r="C1362" s="27" t="s">
        <v>42</v>
      </c>
      <c r="D1362" s="27" t="s">
        <v>44</v>
      </c>
      <c r="E1362" s="28" t="n">
        <f aca="false">ROUND((SUMIFS(Acerto_Detalhado!$F$2:$F$433,Acerto_Detalhado!$A$2:$A$433,$C1362,Acerto_Detalhado!$B$2:$B$433,"Abr",Acerto_Detalhado!$C$2:$C$433,"Umidade"))*(SUMIFS(Acerto_Detalhado!$I$2:$I$433,Acerto_Detalhado!$A$2:$A$433,$D1362,Acerto_Detalhado!$B$2:$B$433,"Abr",Acerto_Detalhado!$C$2:$C$433,"Umidade")),2)</f>
        <v>0</v>
      </c>
    </row>
    <row r="1363" customFormat="false" ht="15" hidden="false" customHeight="false" outlineLevel="0" collapsed="false">
      <c r="A1363" s="27" t="s">
        <v>114</v>
      </c>
      <c r="B1363" s="27" t="s">
        <v>110</v>
      </c>
      <c r="C1363" s="27" t="s">
        <v>42</v>
      </c>
      <c r="D1363" s="27" t="s">
        <v>45</v>
      </c>
      <c r="E1363" s="28" t="n">
        <f aca="false">ROUND((SUMIFS(Acerto_Detalhado!$F$2:$F$433,Acerto_Detalhado!$A$2:$A$433,$C1363,Acerto_Detalhado!$B$2:$B$433,"Abr",Acerto_Detalhado!$C$2:$C$433,"Umidade"))*(SUMIFS(Acerto_Detalhado!$I$2:$I$433,Acerto_Detalhado!$A$2:$A$433,$D1363,Acerto_Detalhado!$B$2:$B$433,"Abr",Acerto_Detalhado!$C$2:$C$433,"Umidade")),2)</f>
        <v>0</v>
      </c>
    </row>
    <row r="1364" customFormat="false" ht="15" hidden="false" customHeight="false" outlineLevel="0" collapsed="false">
      <c r="A1364" s="27" t="s">
        <v>114</v>
      </c>
      <c r="B1364" s="27" t="s">
        <v>110</v>
      </c>
      <c r="C1364" s="27" t="s">
        <v>42</v>
      </c>
      <c r="D1364" s="27" t="s">
        <v>46</v>
      </c>
      <c r="E1364" s="28" t="n">
        <f aca="false">ROUND((SUMIFS(Acerto_Detalhado!$F$2:$F$433,Acerto_Detalhado!$A$2:$A$433,$C1364,Acerto_Detalhado!$B$2:$B$433,"Abr",Acerto_Detalhado!$C$2:$C$433,"Umidade"))*(SUMIFS(Acerto_Detalhado!$I$2:$I$433,Acerto_Detalhado!$A$2:$A$433,$D1364,Acerto_Detalhado!$B$2:$B$433,"Abr",Acerto_Detalhado!$C$2:$C$433,"Umidade")),2)</f>
        <v>0</v>
      </c>
    </row>
    <row r="1365" customFormat="false" ht="15" hidden="false" customHeight="false" outlineLevel="0" collapsed="false">
      <c r="A1365" s="27" t="s">
        <v>114</v>
      </c>
      <c r="B1365" s="27" t="s">
        <v>110</v>
      </c>
      <c r="C1365" s="27" t="s">
        <v>42</v>
      </c>
      <c r="D1365" s="27" t="s">
        <v>47</v>
      </c>
      <c r="E1365" s="28" t="n">
        <f aca="false">ROUND((SUMIFS(Acerto_Detalhado!$F$2:$F$433,Acerto_Detalhado!$A$2:$A$433,$C1365,Acerto_Detalhado!$B$2:$B$433,"Abr",Acerto_Detalhado!$C$2:$C$433,"Umidade"))*(SUMIFS(Acerto_Detalhado!$I$2:$I$433,Acerto_Detalhado!$A$2:$A$433,$D1365,Acerto_Detalhado!$B$2:$B$433,"Abr",Acerto_Detalhado!$C$2:$C$433,"Umidade")),2)</f>
        <v>0</v>
      </c>
    </row>
    <row r="1366" customFormat="false" ht="15" hidden="false" customHeight="false" outlineLevel="0" collapsed="false">
      <c r="A1366" s="27" t="s">
        <v>114</v>
      </c>
      <c r="B1366" s="27" t="s">
        <v>110</v>
      </c>
      <c r="C1366" s="27" t="s">
        <v>42</v>
      </c>
      <c r="D1366" s="27" t="s">
        <v>48</v>
      </c>
      <c r="E1366" s="28" t="n">
        <f aca="false">ROUND((SUMIFS(Acerto_Detalhado!$F$2:$F$433,Acerto_Detalhado!$A$2:$A$433,$C1366,Acerto_Detalhado!$B$2:$B$433,"Abr",Acerto_Detalhado!$C$2:$C$433,"Umidade"))*(SUMIFS(Acerto_Detalhado!$I$2:$I$433,Acerto_Detalhado!$A$2:$A$433,$D1366,Acerto_Detalhado!$B$2:$B$433,"Abr",Acerto_Detalhado!$C$2:$C$433,"Umidade")),2)</f>
        <v>0</v>
      </c>
    </row>
    <row r="1367" customFormat="false" ht="15" hidden="false" customHeight="false" outlineLevel="0" collapsed="false">
      <c r="A1367" s="27" t="s">
        <v>114</v>
      </c>
      <c r="B1367" s="27" t="s">
        <v>110</v>
      </c>
      <c r="C1367" s="27" t="s">
        <v>42</v>
      </c>
      <c r="D1367" s="27" t="s">
        <v>49</v>
      </c>
      <c r="E1367" s="28" t="n">
        <f aca="false">ROUND((SUMIFS(Acerto_Detalhado!$F$2:$F$433,Acerto_Detalhado!$A$2:$A$433,$C1367,Acerto_Detalhado!$B$2:$B$433,"Abr",Acerto_Detalhado!$C$2:$C$433,"Umidade"))*(SUMIFS(Acerto_Detalhado!$I$2:$I$433,Acerto_Detalhado!$A$2:$A$433,$D1367,Acerto_Detalhado!$B$2:$B$433,"Abr",Acerto_Detalhado!$C$2:$C$433,"Umidade")),2)</f>
        <v>0</v>
      </c>
    </row>
    <row r="1368" customFormat="false" ht="15" hidden="false" customHeight="false" outlineLevel="0" collapsed="false">
      <c r="A1368" s="27" t="s">
        <v>114</v>
      </c>
      <c r="B1368" s="27" t="s">
        <v>110</v>
      </c>
      <c r="C1368" s="27" t="s">
        <v>42</v>
      </c>
      <c r="D1368" s="27" t="s">
        <v>50</v>
      </c>
      <c r="E1368" s="28" t="n">
        <f aca="false">ROUND((SUMIFS(Acerto_Detalhado!$F$2:$F$433,Acerto_Detalhado!$A$2:$A$433,$C1368,Acerto_Detalhado!$B$2:$B$433,"Abr",Acerto_Detalhado!$C$2:$C$433,"Umidade"))*(SUMIFS(Acerto_Detalhado!$I$2:$I$433,Acerto_Detalhado!$A$2:$A$433,$D1368,Acerto_Detalhado!$B$2:$B$433,"Abr",Acerto_Detalhado!$C$2:$C$433,"Umidade")),2)</f>
        <v>0</v>
      </c>
    </row>
    <row r="1369" customFormat="false" ht="15" hidden="false" customHeight="false" outlineLevel="0" collapsed="false">
      <c r="A1369" s="27" t="s">
        <v>114</v>
      </c>
      <c r="B1369" s="27" t="s">
        <v>110</v>
      </c>
      <c r="C1369" s="27" t="s">
        <v>43</v>
      </c>
      <c r="D1369" s="27" t="s">
        <v>39</v>
      </c>
      <c r="E1369" s="28" t="n">
        <f aca="false">ROUND((SUMIFS(Acerto_Detalhado!$F$2:$F$433,Acerto_Detalhado!$A$2:$A$433,$C1369,Acerto_Detalhado!$B$2:$B$433,"Abr",Acerto_Detalhado!$C$2:$C$433,"Umidade"))*(SUMIFS(Acerto_Detalhado!$I$2:$I$433,Acerto_Detalhado!$A$2:$A$433,$D1369,Acerto_Detalhado!$B$2:$B$433,"Abr",Acerto_Detalhado!$C$2:$C$433,"Umidade")),2)</f>
        <v>0</v>
      </c>
    </row>
    <row r="1370" customFormat="false" ht="15" hidden="false" customHeight="false" outlineLevel="0" collapsed="false">
      <c r="A1370" s="27" t="s">
        <v>114</v>
      </c>
      <c r="B1370" s="27" t="s">
        <v>110</v>
      </c>
      <c r="C1370" s="27" t="s">
        <v>43</v>
      </c>
      <c r="D1370" s="27" t="s">
        <v>40</v>
      </c>
      <c r="E1370" s="28" t="n">
        <f aca="false">ROUND((SUMIFS(Acerto_Detalhado!$F$2:$F$433,Acerto_Detalhado!$A$2:$A$433,$C1370,Acerto_Detalhado!$B$2:$B$433,"Abr",Acerto_Detalhado!$C$2:$C$433,"Umidade"))*(SUMIFS(Acerto_Detalhado!$I$2:$I$433,Acerto_Detalhado!$A$2:$A$433,$D1370,Acerto_Detalhado!$B$2:$B$433,"Abr",Acerto_Detalhado!$C$2:$C$433,"Umidade")),2)</f>
        <v>0</v>
      </c>
    </row>
    <row r="1371" customFormat="false" ht="15" hidden="false" customHeight="false" outlineLevel="0" collapsed="false">
      <c r="A1371" s="27" t="s">
        <v>114</v>
      </c>
      <c r="B1371" s="27" t="s">
        <v>110</v>
      </c>
      <c r="C1371" s="27" t="s">
        <v>43</v>
      </c>
      <c r="D1371" s="27" t="s">
        <v>41</v>
      </c>
      <c r="E1371" s="28" t="n">
        <f aca="false">ROUND((SUMIFS(Acerto_Detalhado!$F$2:$F$433,Acerto_Detalhado!$A$2:$A$433,$C1371,Acerto_Detalhado!$B$2:$B$433,"Abr",Acerto_Detalhado!$C$2:$C$433,"Umidade"))*(SUMIFS(Acerto_Detalhado!$I$2:$I$433,Acerto_Detalhado!$A$2:$A$433,$D1371,Acerto_Detalhado!$B$2:$B$433,"Abr",Acerto_Detalhado!$C$2:$C$433,"Umidade")),2)</f>
        <v>0</v>
      </c>
    </row>
    <row r="1372" customFormat="false" ht="15" hidden="false" customHeight="false" outlineLevel="0" collapsed="false">
      <c r="A1372" s="27" t="s">
        <v>114</v>
      </c>
      <c r="B1372" s="27" t="s">
        <v>110</v>
      </c>
      <c r="C1372" s="27" t="s">
        <v>43</v>
      </c>
      <c r="D1372" s="27" t="s">
        <v>42</v>
      </c>
      <c r="E1372" s="28" t="n">
        <f aca="false">ROUND((SUMIFS(Acerto_Detalhado!$F$2:$F$433,Acerto_Detalhado!$A$2:$A$433,$C1372,Acerto_Detalhado!$B$2:$B$433,"Abr",Acerto_Detalhado!$C$2:$C$433,"Umidade"))*(SUMIFS(Acerto_Detalhado!$I$2:$I$433,Acerto_Detalhado!$A$2:$A$433,$D1372,Acerto_Detalhado!$B$2:$B$433,"Abr",Acerto_Detalhado!$C$2:$C$433,"Umidade")),2)</f>
        <v>0</v>
      </c>
    </row>
    <row r="1373" customFormat="false" ht="15" hidden="false" customHeight="false" outlineLevel="0" collapsed="false">
      <c r="A1373" s="27" t="s">
        <v>114</v>
      </c>
      <c r="B1373" s="27" t="s">
        <v>110</v>
      </c>
      <c r="C1373" s="27" t="s">
        <v>43</v>
      </c>
      <c r="D1373" s="27" t="s">
        <v>44</v>
      </c>
      <c r="E1373" s="28" t="n">
        <f aca="false">ROUND((SUMIFS(Acerto_Detalhado!$F$2:$F$433,Acerto_Detalhado!$A$2:$A$433,$C1373,Acerto_Detalhado!$B$2:$B$433,"Abr",Acerto_Detalhado!$C$2:$C$433,"Umidade"))*(SUMIFS(Acerto_Detalhado!$I$2:$I$433,Acerto_Detalhado!$A$2:$A$433,$D1373,Acerto_Detalhado!$B$2:$B$433,"Abr",Acerto_Detalhado!$C$2:$C$433,"Umidade")),2)</f>
        <v>0</v>
      </c>
    </row>
    <row r="1374" customFormat="false" ht="15" hidden="false" customHeight="false" outlineLevel="0" collapsed="false">
      <c r="A1374" s="27" t="s">
        <v>114</v>
      </c>
      <c r="B1374" s="27" t="s">
        <v>110</v>
      </c>
      <c r="C1374" s="27" t="s">
        <v>43</v>
      </c>
      <c r="D1374" s="27" t="s">
        <v>45</v>
      </c>
      <c r="E1374" s="28" t="n">
        <f aca="false">ROUND((SUMIFS(Acerto_Detalhado!$F$2:$F$433,Acerto_Detalhado!$A$2:$A$433,$C1374,Acerto_Detalhado!$B$2:$B$433,"Abr",Acerto_Detalhado!$C$2:$C$433,"Umidade"))*(SUMIFS(Acerto_Detalhado!$I$2:$I$433,Acerto_Detalhado!$A$2:$A$433,$D1374,Acerto_Detalhado!$B$2:$B$433,"Abr",Acerto_Detalhado!$C$2:$C$433,"Umidade")),2)</f>
        <v>0</v>
      </c>
    </row>
    <row r="1375" customFormat="false" ht="15" hidden="false" customHeight="false" outlineLevel="0" collapsed="false">
      <c r="A1375" s="27" t="s">
        <v>114</v>
      </c>
      <c r="B1375" s="27" t="s">
        <v>110</v>
      </c>
      <c r="C1375" s="27" t="s">
        <v>43</v>
      </c>
      <c r="D1375" s="27" t="s">
        <v>46</v>
      </c>
      <c r="E1375" s="28" t="n">
        <f aca="false">ROUND((SUMIFS(Acerto_Detalhado!$F$2:$F$433,Acerto_Detalhado!$A$2:$A$433,$C1375,Acerto_Detalhado!$B$2:$B$433,"Abr",Acerto_Detalhado!$C$2:$C$433,"Umidade"))*(SUMIFS(Acerto_Detalhado!$I$2:$I$433,Acerto_Detalhado!$A$2:$A$433,$D1375,Acerto_Detalhado!$B$2:$B$433,"Abr",Acerto_Detalhado!$C$2:$C$433,"Umidade")),2)</f>
        <v>0</v>
      </c>
    </row>
    <row r="1376" customFormat="false" ht="15" hidden="false" customHeight="false" outlineLevel="0" collapsed="false">
      <c r="A1376" s="27" t="s">
        <v>114</v>
      </c>
      <c r="B1376" s="27" t="s">
        <v>110</v>
      </c>
      <c r="C1376" s="27" t="s">
        <v>43</v>
      </c>
      <c r="D1376" s="27" t="s">
        <v>47</v>
      </c>
      <c r="E1376" s="28" t="n">
        <f aca="false">ROUND((SUMIFS(Acerto_Detalhado!$F$2:$F$433,Acerto_Detalhado!$A$2:$A$433,$C1376,Acerto_Detalhado!$B$2:$B$433,"Abr",Acerto_Detalhado!$C$2:$C$433,"Umidade"))*(SUMIFS(Acerto_Detalhado!$I$2:$I$433,Acerto_Detalhado!$A$2:$A$433,$D1376,Acerto_Detalhado!$B$2:$B$433,"Abr",Acerto_Detalhado!$C$2:$C$433,"Umidade")),2)</f>
        <v>0</v>
      </c>
    </row>
    <row r="1377" customFormat="false" ht="15" hidden="false" customHeight="false" outlineLevel="0" collapsed="false">
      <c r="A1377" s="27" t="s">
        <v>114</v>
      </c>
      <c r="B1377" s="27" t="s">
        <v>110</v>
      </c>
      <c r="C1377" s="27" t="s">
        <v>43</v>
      </c>
      <c r="D1377" s="27" t="s">
        <v>48</v>
      </c>
      <c r="E1377" s="28" t="n">
        <f aca="false">ROUND((SUMIFS(Acerto_Detalhado!$F$2:$F$433,Acerto_Detalhado!$A$2:$A$433,$C1377,Acerto_Detalhado!$B$2:$B$433,"Abr",Acerto_Detalhado!$C$2:$C$433,"Umidade"))*(SUMIFS(Acerto_Detalhado!$I$2:$I$433,Acerto_Detalhado!$A$2:$A$433,$D1377,Acerto_Detalhado!$B$2:$B$433,"Abr",Acerto_Detalhado!$C$2:$C$433,"Umidade")),2)</f>
        <v>0</v>
      </c>
    </row>
    <row r="1378" customFormat="false" ht="15" hidden="false" customHeight="false" outlineLevel="0" collapsed="false">
      <c r="A1378" s="27" t="s">
        <v>114</v>
      </c>
      <c r="B1378" s="27" t="s">
        <v>110</v>
      </c>
      <c r="C1378" s="27" t="s">
        <v>43</v>
      </c>
      <c r="D1378" s="27" t="s">
        <v>49</v>
      </c>
      <c r="E1378" s="28" t="n">
        <f aca="false">ROUND((SUMIFS(Acerto_Detalhado!$F$2:$F$433,Acerto_Detalhado!$A$2:$A$433,$C1378,Acerto_Detalhado!$B$2:$B$433,"Abr",Acerto_Detalhado!$C$2:$C$433,"Umidade"))*(SUMIFS(Acerto_Detalhado!$I$2:$I$433,Acerto_Detalhado!$A$2:$A$433,$D1378,Acerto_Detalhado!$B$2:$B$433,"Abr",Acerto_Detalhado!$C$2:$C$433,"Umidade")),2)</f>
        <v>0</v>
      </c>
    </row>
    <row r="1379" customFormat="false" ht="15" hidden="false" customHeight="false" outlineLevel="0" collapsed="false">
      <c r="A1379" s="27" t="s">
        <v>114</v>
      </c>
      <c r="B1379" s="27" t="s">
        <v>110</v>
      </c>
      <c r="C1379" s="27" t="s">
        <v>43</v>
      </c>
      <c r="D1379" s="27" t="s">
        <v>50</v>
      </c>
      <c r="E1379" s="28" t="n">
        <f aca="false">ROUND((SUMIFS(Acerto_Detalhado!$F$2:$F$433,Acerto_Detalhado!$A$2:$A$433,$C1379,Acerto_Detalhado!$B$2:$B$433,"Abr",Acerto_Detalhado!$C$2:$C$433,"Umidade"))*(SUMIFS(Acerto_Detalhado!$I$2:$I$433,Acerto_Detalhado!$A$2:$A$433,$D1379,Acerto_Detalhado!$B$2:$B$433,"Abr",Acerto_Detalhado!$C$2:$C$433,"Umidade")),2)</f>
        <v>0</v>
      </c>
    </row>
    <row r="1380" customFormat="false" ht="15" hidden="false" customHeight="false" outlineLevel="0" collapsed="false">
      <c r="A1380" s="27" t="s">
        <v>114</v>
      </c>
      <c r="B1380" s="27" t="s">
        <v>110</v>
      </c>
      <c r="C1380" s="27" t="s">
        <v>44</v>
      </c>
      <c r="D1380" s="27" t="s">
        <v>39</v>
      </c>
      <c r="E1380" s="28" t="n">
        <f aca="false">ROUND((SUMIFS(Acerto_Detalhado!$F$2:$F$433,Acerto_Detalhado!$A$2:$A$433,$C1380,Acerto_Detalhado!$B$2:$B$433,"Abr",Acerto_Detalhado!$C$2:$C$433,"Umidade"))*(SUMIFS(Acerto_Detalhado!$I$2:$I$433,Acerto_Detalhado!$A$2:$A$433,$D1380,Acerto_Detalhado!$B$2:$B$433,"Abr",Acerto_Detalhado!$C$2:$C$433,"Umidade")),2)</f>
        <v>0</v>
      </c>
    </row>
    <row r="1381" customFormat="false" ht="15" hidden="false" customHeight="false" outlineLevel="0" collapsed="false">
      <c r="A1381" s="27" t="s">
        <v>114</v>
      </c>
      <c r="B1381" s="27" t="s">
        <v>110</v>
      </c>
      <c r="C1381" s="27" t="s">
        <v>44</v>
      </c>
      <c r="D1381" s="27" t="s">
        <v>40</v>
      </c>
      <c r="E1381" s="28" t="n">
        <f aca="false">ROUND((SUMIFS(Acerto_Detalhado!$F$2:$F$433,Acerto_Detalhado!$A$2:$A$433,$C1381,Acerto_Detalhado!$B$2:$B$433,"Abr",Acerto_Detalhado!$C$2:$C$433,"Umidade"))*(SUMIFS(Acerto_Detalhado!$I$2:$I$433,Acerto_Detalhado!$A$2:$A$433,$D1381,Acerto_Detalhado!$B$2:$B$433,"Abr",Acerto_Detalhado!$C$2:$C$433,"Umidade")),2)</f>
        <v>0</v>
      </c>
    </row>
    <row r="1382" customFormat="false" ht="15" hidden="false" customHeight="false" outlineLevel="0" collapsed="false">
      <c r="A1382" s="27" t="s">
        <v>114</v>
      </c>
      <c r="B1382" s="27" t="s">
        <v>110</v>
      </c>
      <c r="C1382" s="27" t="s">
        <v>44</v>
      </c>
      <c r="D1382" s="27" t="s">
        <v>41</v>
      </c>
      <c r="E1382" s="28" t="n">
        <f aca="false">ROUND((SUMIFS(Acerto_Detalhado!$F$2:$F$433,Acerto_Detalhado!$A$2:$A$433,$C1382,Acerto_Detalhado!$B$2:$B$433,"Abr",Acerto_Detalhado!$C$2:$C$433,"Umidade"))*(SUMIFS(Acerto_Detalhado!$I$2:$I$433,Acerto_Detalhado!$A$2:$A$433,$D1382,Acerto_Detalhado!$B$2:$B$433,"Abr",Acerto_Detalhado!$C$2:$C$433,"Umidade")),2)</f>
        <v>0</v>
      </c>
    </row>
    <row r="1383" customFormat="false" ht="15" hidden="false" customHeight="false" outlineLevel="0" collapsed="false">
      <c r="A1383" s="27" t="s">
        <v>114</v>
      </c>
      <c r="B1383" s="27" t="s">
        <v>110</v>
      </c>
      <c r="C1383" s="27" t="s">
        <v>44</v>
      </c>
      <c r="D1383" s="27" t="s">
        <v>42</v>
      </c>
      <c r="E1383" s="28" t="n">
        <f aca="false">ROUND((SUMIFS(Acerto_Detalhado!$F$2:$F$433,Acerto_Detalhado!$A$2:$A$433,$C1383,Acerto_Detalhado!$B$2:$B$433,"Abr",Acerto_Detalhado!$C$2:$C$433,"Umidade"))*(SUMIFS(Acerto_Detalhado!$I$2:$I$433,Acerto_Detalhado!$A$2:$A$433,$D1383,Acerto_Detalhado!$B$2:$B$433,"Abr",Acerto_Detalhado!$C$2:$C$433,"Umidade")),2)</f>
        <v>0</v>
      </c>
    </row>
    <row r="1384" customFormat="false" ht="15" hidden="false" customHeight="false" outlineLevel="0" collapsed="false">
      <c r="A1384" s="27" t="s">
        <v>114</v>
      </c>
      <c r="B1384" s="27" t="s">
        <v>110</v>
      </c>
      <c r="C1384" s="27" t="s">
        <v>44</v>
      </c>
      <c r="D1384" s="27" t="s">
        <v>43</v>
      </c>
      <c r="E1384" s="28" t="n">
        <f aca="false">ROUND((SUMIFS(Acerto_Detalhado!$F$2:$F$433,Acerto_Detalhado!$A$2:$A$433,$C1384,Acerto_Detalhado!$B$2:$B$433,"Abr",Acerto_Detalhado!$C$2:$C$433,"Umidade"))*(SUMIFS(Acerto_Detalhado!$I$2:$I$433,Acerto_Detalhado!$A$2:$A$433,$D1384,Acerto_Detalhado!$B$2:$B$433,"Abr",Acerto_Detalhado!$C$2:$C$433,"Umidade")),2)</f>
        <v>0</v>
      </c>
    </row>
    <row r="1385" customFormat="false" ht="15" hidden="false" customHeight="false" outlineLevel="0" collapsed="false">
      <c r="A1385" s="27" t="s">
        <v>114</v>
      </c>
      <c r="B1385" s="27" t="s">
        <v>110</v>
      </c>
      <c r="C1385" s="27" t="s">
        <v>44</v>
      </c>
      <c r="D1385" s="27" t="s">
        <v>45</v>
      </c>
      <c r="E1385" s="28" t="n">
        <f aca="false">ROUND((SUMIFS(Acerto_Detalhado!$F$2:$F$433,Acerto_Detalhado!$A$2:$A$433,$C1385,Acerto_Detalhado!$B$2:$B$433,"Abr",Acerto_Detalhado!$C$2:$C$433,"Umidade"))*(SUMIFS(Acerto_Detalhado!$I$2:$I$433,Acerto_Detalhado!$A$2:$A$433,$D1385,Acerto_Detalhado!$B$2:$B$433,"Abr",Acerto_Detalhado!$C$2:$C$433,"Umidade")),2)</f>
        <v>0</v>
      </c>
    </row>
    <row r="1386" customFormat="false" ht="15" hidden="false" customHeight="false" outlineLevel="0" collapsed="false">
      <c r="A1386" s="27" t="s">
        <v>114</v>
      </c>
      <c r="B1386" s="27" t="s">
        <v>110</v>
      </c>
      <c r="C1386" s="27" t="s">
        <v>44</v>
      </c>
      <c r="D1386" s="27" t="s">
        <v>46</v>
      </c>
      <c r="E1386" s="28" t="n">
        <f aca="false">ROUND((SUMIFS(Acerto_Detalhado!$F$2:$F$433,Acerto_Detalhado!$A$2:$A$433,$C1386,Acerto_Detalhado!$B$2:$B$433,"Abr",Acerto_Detalhado!$C$2:$C$433,"Umidade"))*(SUMIFS(Acerto_Detalhado!$I$2:$I$433,Acerto_Detalhado!$A$2:$A$433,$D1386,Acerto_Detalhado!$B$2:$B$433,"Abr",Acerto_Detalhado!$C$2:$C$433,"Umidade")),2)</f>
        <v>0</v>
      </c>
    </row>
    <row r="1387" customFormat="false" ht="15" hidden="false" customHeight="false" outlineLevel="0" collapsed="false">
      <c r="A1387" s="27" t="s">
        <v>114</v>
      </c>
      <c r="B1387" s="27" t="s">
        <v>110</v>
      </c>
      <c r="C1387" s="27" t="s">
        <v>44</v>
      </c>
      <c r="D1387" s="27" t="s">
        <v>47</v>
      </c>
      <c r="E1387" s="28" t="n">
        <f aca="false">ROUND((SUMIFS(Acerto_Detalhado!$F$2:$F$433,Acerto_Detalhado!$A$2:$A$433,$C1387,Acerto_Detalhado!$B$2:$B$433,"Abr",Acerto_Detalhado!$C$2:$C$433,"Umidade"))*(SUMIFS(Acerto_Detalhado!$I$2:$I$433,Acerto_Detalhado!$A$2:$A$433,$D1387,Acerto_Detalhado!$B$2:$B$433,"Abr",Acerto_Detalhado!$C$2:$C$433,"Umidade")),2)</f>
        <v>0</v>
      </c>
    </row>
    <row r="1388" customFormat="false" ht="15" hidden="false" customHeight="false" outlineLevel="0" collapsed="false">
      <c r="A1388" s="27" t="s">
        <v>114</v>
      </c>
      <c r="B1388" s="27" t="s">
        <v>110</v>
      </c>
      <c r="C1388" s="27" t="s">
        <v>44</v>
      </c>
      <c r="D1388" s="27" t="s">
        <v>48</v>
      </c>
      <c r="E1388" s="28" t="n">
        <f aca="false">ROUND((SUMIFS(Acerto_Detalhado!$F$2:$F$433,Acerto_Detalhado!$A$2:$A$433,$C1388,Acerto_Detalhado!$B$2:$B$433,"Abr",Acerto_Detalhado!$C$2:$C$433,"Umidade"))*(SUMIFS(Acerto_Detalhado!$I$2:$I$433,Acerto_Detalhado!$A$2:$A$433,$D1388,Acerto_Detalhado!$B$2:$B$433,"Abr",Acerto_Detalhado!$C$2:$C$433,"Umidade")),2)</f>
        <v>0</v>
      </c>
    </row>
    <row r="1389" customFormat="false" ht="15" hidden="false" customHeight="false" outlineLevel="0" collapsed="false">
      <c r="A1389" s="27" t="s">
        <v>114</v>
      </c>
      <c r="B1389" s="27" t="s">
        <v>110</v>
      </c>
      <c r="C1389" s="27" t="s">
        <v>44</v>
      </c>
      <c r="D1389" s="27" t="s">
        <v>49</v>
      </c>
      <c r="E1389" s="28" t="n">
        <f aca="false">ROUND((SUMIFS(Acerto_Detalhado!$F$2:$F$433,Acerto_Detalhado!$A$2:$A$433,$C1389,Acerto_Detalhado!$B$2:$B$433,"Abr",Acerto_Detalhado!$C$2:$C$433,"Umidade"))*(SUMIFS(Acerto_Detalhado!$I$2:$I$433,Acerto_Detalhado!$A$2:$A$433,$D1389,Acerto_Detalhado!$B$2:$B$433,"Abr",Acerto_Detalhado!$C$2:$C$433,"Umidade")),2)</f>
        <v>0</v>
      </c>
    </row>
    <row r="1390" customFormat="false" ht="15" hidden="false" customHeight="false" outlineLevel="0" collapsed="false">
      <c r="A1390" s="27" t="s">
        <v>114</v>
      </c>
      <c r="B1390" s="27" t="s">
        <v>110</v>
      </c>
      <c r="C1390" s="27" t="s">
        <v>44</v>
      </c>
      <c r="D1390" s="27" t="s">
        <v>50</v>
      </c>
      <c r="E1390" s="28" t="n">
        <f aca="false">ROUND((SUMIFS(Acerto_Detalhado!$F$2:$F$433,Acerto_Detalhado!$A$2:$A$433,$C1390,Acerto_Detalhado!$B$2:$B$433,"Abr",Acerto_Detalhado!$C$2:$C$433,"Umidade"))*(SUMIFS(Acerto_Detalhado!$I$2:$I$433,Acerto_Detalhado!$A$2:$A$433,$D1390,Acerto_Detalhado!$B$2:$B$433,"Abr",Acerto_Detalhado!$C$2:$C$433,"Umidade")),2)</f>
        <v>0</v>
      </c>
    </row>
    <row r="1391" customFormat="false" ht="15" hidden="false" customHeight="false" outlineLevel="0" collapsed="false">
      <c r="A1391" s="27" t="s">
        <v>114</v>
      </c>
      <c r="B1391" s="27" t="s">
        <v>110</v>
      </c>
      <c r="C1391" s="27" t="s">
        <v>45</v>
      </c>
      <c r="D1391" s="27" t="s">
        <v>39</v>
      </c>
      <c r="E1391" s="28" t="n">
        <f aca="false">ROUND((SUMIFS(Acerto_Detalhado!$F$2:$F$433,Acerto_Detalhado!$A$2:$A$433,$C1391,Acerto_Detalhado!$B$2:$B$433,"Abr",Acerto_Detalhado!$C$2:$C$433,"Umidade"))*(SUMIFS(Acerto_Detalhado!$I$2:$I$433,Acerto_Detalhado!$A$2:$A$433,$D1391,Acerto_Detalhado!$B$2:$B$433,"Abr",Acerto_Detalhado!$C$2:$C$433,"Umidade")),2)</f>
        <v>0</v>
      </c>
    </row>
    <row r="1392" customFormat="false" ht="15" hidden="false" customHeight="false" outlineLevel="0" collapsed="false">
      <c r="A1392" s="27" t="s">
        <v>114</v>
      </c>
      <c r="B1392" s="27" t="s">
        <v>110</v>
      </c>
      <c r="C1392" s="27" t="s">
        <v>45</v>
      </c>
      <c r="D1392" s="27" t="s">
        <v>40</v>
      </c>
      <c r="E1392" s="28" t="n">
        <f aca="false">ROUND((SUMIFS(Acerto_Detalhado!$F$2:$F$433,Acerto_Detalhado!$A$2:$A$433,$C1392,Acerto_Detalhado!$B$2:$B$433,"Abr",Acerto_Detalhado!$C$2:$C$433,"Umidade"))*(SUMIFS(Acerto_Detalhado!$I$2:$I$433,Acerto_Detalhado!$A$2:$A$433,$D1392,Acerto_Detalhado!$B$2:$B$433,"Abr",Acerto_Detalhado!$C$2:$C$433,"Umidade")),2)</f>
        <v>0</v>
      </c>
    </row>
    <row r="1393" customFormat="false" ht="15" hidden="false" customHeight="false" outlineLevel="0" collapsed="false">
      <c r="A1393" s="27" t="s">
        <v>114</v>
      </c>
      <c r="B1393" s="27" t="s">
        <v>110</v>
      </c>
      <c r="C1393" s="27" t="s">
        <v>45</v>
      </c>
      <c r="D1393" s="27" t="s">
        <v>41</v>
      </c>
      <c r="E1393" s="28" t="n">
        <f aca="false">ROUND((SUMIFS(Acerto_Detalhado!$F$2:$F$433,Acerto_Detalhado!$A$2:$A$433,$C1393,Acerto_Detalhado!$B$2:$B$433,"Abr",Acerto_Detalhado!$C$2:$C$433,"Umidade"))*(SUMIFS(Acerto_Detalhado!$I$2:$I$433,Acerto_Detalhado!$A$2:$A$433,$D1393,Acerto_Detalhado!$B$2:$B$433,"Abr",Acerto_Detalhado!$C$2:$C$433,"Umidade")),2)</f>
        <v>0</v>
      </c>
    </row>
    <row r="1394" customFormat="false" ht="15" hidden="false" customHeight="false" outlineLevel="0" collapsed="false">
      <c r="A1394" s="27" t="s">
        <v>114</v>
      </c>
      <c r="B1394" s="27" t="s">
        <v>110</v>
      </c>
      <c r="C1394" s="27" t="s">
        <v>45</v>
      </c>
      <c r="D1394" s="27" t="s">
        <v>42</v>
      </c>
      <c r="E1394" s="28" t="n">
        <f aca="false">ROUND((SUMIFS(Acerto_Detalhado!$F$2:$F$433,Acerto_Detalhado!$A$2:$A$433,$C1394,Acerto_Detalhado!$B$2:$B$433,"Abr",Acerto_Detalhado!$C$2:$C$433,"Umidade"))*(SUMIFS(Acerto_Detalhado!$I$2:$I$433,Acerto_Detalhado!$A$2:$A$433,$D1394,Acerto_Detalhado!$B$2:$B$433,"Abr",Acerto_Detalhado!$C$2:$C$433,"Umidade")),2)</f>
        <v>0</v>
      </c>
    </row>
    <row r="1395" customFormat="false" ht="15" hidden="false" customHeight="false" outlineLevel="0" collapsed="false">
      <c r="A1395" s="27" t="s">
        <v>114</v>
      </c>
      <c r="B1395" s="27" t="s">
        <v>110</v>
      </c>
      <c r="C1395" s="27" t="s">
        <v>45</v>
      </c>
      <c r="D1395" s="27" t="s">
        <v>43</v>
      </c>
      <c r="E1395" s="28" t="n">
        <f aca="false">ROUND((SUMIFS(Acerto_Detalhado!$F$2:$F$433,Acerto_Detalhado!$A$2:$A$433,$C1395,Acerto_Detalhado!$B$2:$B$433,"Abr",Acerto_Detalhado!$C$2:$C$433,"Umidade"))*(SUMIFS(Acerto_Detalhado!$I$2:$I$433,Acerto_Detalhado!$A$2:$A$433,$D1395,Acerto_Detalhado!$B$2:$B$433,"Abr",Acerto_Detalhado!$C$2:$C$433,"Umidade")),2)</f>
        <v>0</v>
      </c>
    </row>
    <row r="1396" customFormat="false" ht="15" hidden="false" customHeight="false" outlineLevel="0" collapsed="false">
      <c r="A1396" s="27" t="s">
        <v>114</v>
      </c>
      <c r="B1396" s="27" t="s">
        <v>110</v>
      </c>
      <c r="C1396" s="27" t="s">
        <v>45</v>
      </c>
      <c r="D1396" s="27" t="s">
        <v>44</v>
      </c>
      <c r="E1396" s="28" t="n">
        <f aca="false">ROUND((SUMIFS(Acerto_Detalhado!$F$2:$F$433,Acerto_Detalhado!$A$2:$A$433,$C1396,Acerto_Detalhado!$B$2:$B$433,"Abr",Acerto_Detalhado!$C$2:$C$433,"Umidade"))*(SUMIFS(Acerto_Detalhado!$I$2:$I$433,Acerto_Detalhado!$A$2:$A$433,$D1396,Acerto_Detalhado!$B$2:$B$433,"Abr",Acerto_Detalhado!$C$2:$C$433,"Umidade")),2)</f>
        <v>0</v>
      </c>
    </row>
    <row r="1397" customFormat="false" ht="15" hidden="false" customHeight="false" outlineLevel="0" collapsed="false">
      <c r="A1397" s="27" t="s">
        <v>114</v>
      </c>
      <c r="B1397" s="27" t="s">
        <v>110</v>
      </c>
      <c r="C1397" s="27" t="s">
        <v>45</v>
      </c>
      <c r="D1397" s="27" t="s">
        <v>46</v>
      </c>
      <c r="E1397" s="28" t="n">
        <f aca="false">ROUND((SUMIFS(Acerto_Detalhado!$F$2:$F$433,Acerto_Detalhado!$A$2:$A$433,$C1397,Acerto_Detalhado!$B$2:$B$433,"Abr",Acerto_Detalhado!$C$2:$C$433,"Umidade"))*(SUMIFS(Acerto_Detalhado!$I$2:$I$433,Acerto_Detalhado!$A$2:$A$433,$D1397,Acerto_Detalhado!$B$2:$B$433,"Abr",Acerto_Detalhado!$C$2:$C$433,"Umidade")),2)</f>
        <v>0</v>
      </c>
    </row>
    <row r="1398" customFormat="false" ht="15" hidden="false" customHeight="false" outlineLevel="0" collapsed="false">
      <c r="A1398" s="27" t="s">
        <v>114</v>
      </c>
      <c r="B1398" s="27" t="s">
        <v>110</v>
      </c>
      <c r="C1398" s="27" t="s">
        <v>45</v>
      </c>
      <c r="D1398" s="27" t="s">
        <v>47</v>
      </c>
      <c r="E1398" s="28" t="n">
        <f aca="false">ROUND((SUMIFS(Acerto_Detalhado!$F$2:$F$433,Acerto_Detalhado!$A$2:$A$433,$C1398,Acerto_Detalhado!$B$2:$B$433,"Abr",Acerto_Detalhado!$C$2:$C$433,"Umidade"))*(SUMIFS(Acerto_Detalhado!$I$2:$I$433,Acerto_Detalhado!$A$2:$A$433,$D1398,Acerto_Detalhado!$B$2:$B$433,"Abr",Acerto_Detalhado!$C$2:$C$433,"Umidade")),2)</f>
        <v>0</v>
      </c>
    </row>
    <row r="1399" customFormat="false" ht="15" hidden="false" customHeight="false" outlineLevel="0" collapsed="false">
      <c r="A1399" s="27" t="s">
        <v>114</v>
      </c>
      <c r="B1399" s="27" t="s">
        <v>110</v>
      </c>
      <c r="C1399" s="27" t="s">
        <v>45</v>
      </c>
      <c r="D1399" s="27" t="s">
        <v>48</v>
      </c>
      <c r="E1399" s="28" t="n">
        <f aca="false">ROUND((SUMIFS(Acerto_Detalhado!$F$2:$F$433,Acerto_Detalhado!$A$2:$A$433,$C1399,Acerto_Detalhado!$B$2:$B$433,"Abr",Acerto_Detalhado!$C$2:$C$433,"Umidade"))*(SUMIFS(Acerto_Detalhado!$I$2:$I$433,Acerto_Detalhado!$A$2:$A$433,$D1399,Acerto_Detalhado!$B$2:$B$433,"Abr",Acerto_Detalhado!$C$2:$C$433,"Umidade")),2)</f>
        <v>0</v>
      </c>
    </row>
    <row r="1400" customFormat="false" ht="15" hidden="false" customHeight="false" outlineLevel="0" collapsed="false">
      <c r="A1400" s="27" t="s">
        <v>114</v>
      </c>
      <c r="B1400" s="27" t="s">
        <v>110</v>
      </c>
      <c r="C1400" s="27" t="s">
        <v>45</v>
      </c>
      <c r="D1400" s="27" t="s">
        <v>49</v>
      </c>
      <c r="E1400" s="28" t="n">
        <f aca="false">ROUND((SUMIFS(Acerto_Detalhado!$F$2:$F$433,Acerto_Detalhado!$A$2:$A$433,$C1400,Acerto_Detalhado!$B$2:$B$433,"Abr",Acerto_Detalhado!$C$2:$C$433,"Umidade"))*(SUMIFS(Acerto_Detalhado!$I$2:$I$433,Acerto_Detalhado!$A$2:$A$433,$D1400,Acerto_Detalhado!$B$2:$B$433,"Abr",Acerto_Detalhado!$C$2:$C$433,"Umidade")),2)</f>
        <v>0</v>
      </c>
    </row>
    <row r="1401" customFormat="false" ht="15" hidden="false" customHeight="false" outlineLevel="0" collapsed="false">
      <c r="A1401" s="27" t="s">
        <v>114</v>
      </c>
      <c r="B1401" s="27" t="s">
        <v>110</v>
      </c>
      <c r="C1401" s="27" t="s">
        <v>45</v>
      </c>
      <c r="D1401" s="27" t="s">
        <v>50</v>
      </c>
      <c r="E1401" s="28" t="n">
        <f aca="false">ROUND((SUMIFS(Acerto_Detalhado!$F$2:$F$433,Acerto_Detalhado!$A$2:$A$433,$C1401,Acerto_Detalhado!$B$2:$B$433,"Abr",Acerto_Detalhado!$C$2:$C$433,"Umidade"))*(SUMIFS(Acerto_Detalhado!$I$2:$I$433,Acerto_Detalhado!$A$2:$A$433,$D1401,Acerto_Detalhado!$B$2:$B$433,"Abr",Acerto_Detalhado!$C$2:$C$433,"Umidade")),2)</f>
        <v>0</v>
      </c>
    </row>
    <row r="1402" customFormat="false" ht="15" hidden="false" customHeight="false" outlineLevel="0" collapsed="false">
      <c r="A1402" s="27" t="s">
        <v>114</v>
      </c>
      <c r="B1402" s="27" t="s">
        <v>110</v>
      </c>
      <c r="C1402" s="27" t="s">
        <v>46</v>
      </c>
      <c r="D1402" s="27" t="s">
        <v>39</v>
      </c>
      <c r="E1402" s="28" t="n">
        <f aca="false">ROUND((SUMIFS(Acerto_Detalhado!$F$2:$F$433,Acerto_Detalhado!$A$2:$A$433,$C1402,Acerto_Detalhado!$B$2:$B$433,"Abr",Acerto_Detalhado!$C$2:$C$433,"Umidade"))*(SUMIFS(Acerto_Detalhado!$I$2:$I$433,Acerto_Detalhado!$A$2:$A$433,$D1402,Acerto_Detalhado!$B$2:$B$433,"Abr",Acerto_Detalhado!$C$2:$C$433,"Umidade")),2)</f>
        <v>0</v>
      </c>
    </row>
    <row r="1403" customFormat="false" ht="15" hidden="false" customHeight="false" outlineLevel="0" collapsed="false">
      <c r="A1403" s="27" t="s">
        <v>114</v>
      </c>
      <c r="B1403" s="27" t="s">
        <v>110</v>
      </c>
      <c r="C1403" s="27" t="s">
        <v>46</v>
      </c>
      <c r="D1403" s="27" t="s">
        <v>40</v>
      </c>
      <c r="E1403" s="28" t="n">
        <f aca="false">ROUND((SUMIFS(Acerto_Detalhado!$F$2:$F$433,Acerto_Detalhado!$A$2:$A$433,$C1403,Acerto_Detalhado!$B$2:$B$433,"Abr",Acerto_Detalhado!$C$2:$C$433,"Umidade"))*(SUMIFS(Acerto_Detalhado!$I$2:$I$433,Acerto_Detalhado!$A$2:$A$433,$D1403,Acerto_Detalhado!$B$2:$B$433,"Abr",Acerto_Detalhado!$C$2:$C$433,"Umidade")),2)</f>
        <v>0</v>
      </c>
    </row>
    <row r="1404" customFormat="false" ht="15" hidden="false" customHeight="false" outlineLevel="0" collapsed="false">
      <c r="A1404" s="27" t="s">
        <v>114</v>
      </c>
      <c r="B1404" s="27" t="s">
        <v>110</v>
      </c>
      <c r="C1404" s="27" t="s">
        <v>46</v>
      </c>
      <c r="D1404" s="27" t="s">
        <v>41</v>
      </c>
      <c r="E1404" s="28" t="n">
        <f aca="false">ROUND((SUMIFS(Acerto_Detalhado!$F$2:$F$433,Acerto_Detalhado!$A$2:$A$433,$C1404,Acerto_Detalhado!$B$2:$B$433,"Abr",Acerto_Detalhado!$C$2:$C$433,"Umidade"))*(SUMIFS(Acerto_Detalhado!$I$2:$I$433,Acerto_Detalhado!$A$2:$A$433,$D1404,Acerto_Detalhado!$B$2:$B$433,"Abr",Acerto_Detalhado!$C$2:$C$433,"Umidade")),2)</f>
        <v>0</v>
      </c>
    </row>
    <row r="1405" customFormat="false" ht="15" hidden="false" customHeight="false" outlineLevel="0" collapsed="false">
      <c r="A1405" s="27" t="s">
        <v>114</v>
      </c>
      <c r="B1405" s="27" t="s">
        <v>110</v>
      </c>
      <c r="C1405" s="27" t="s">
        <v>46</v>
      </c>
      <c r="D1405" s="27" t="s">
        <v>42</v>
      </c>
      <c r="E1405" s="28" t="n">
        <f aca="false">ROUND((SUMIFS(Acerto_Detalhado!$F$2:$F$433,Acerto_Detalhado!$A$2:$A$433,$C1405,Acerto_Detalhado!$B$2:$B$433,"Abr",Acerto_Detalhado!$C$2:$C$433,"Umidade"))*(SUMIFS(Acerto_Detalhado!$I$2:$I$433,Acerto_Detalhado!$A$2:$A$433,$D1405,Acerto_Detalhado!$B$2:$B$433,"Abr",Acerto_Detalhado!$C$2:$C$433,"Umidade")),2)</f>
        <v>0</v>
      </c>
    </row>
    <row r="1406" customFormat="false" ht="15" hidden="false" customHeight="false" outlineLevel="0" collapsed="false">
      <c r="A1406" s="27" t="s">
        <v>114</v>
      </c>
      <c r="B1406" s="27" t="s">
        <v>110</v>
      </c>
      <c r="C1406" s="27" t="s">
        <v>46</v>
      </c>
      <c r="D1406" s="27" t="s">
        <v>43</v>
      </c>
      <c r="E1406" s="28" t="n">
        <f aca="false">ROUND((SUMIFS(Acerto_Detalhado!$F$2:$F$433,Acerto_Detalhado!$A$2:$A$433,$C1406,Acerto_Detalhado!$B$2:$B$433,"Abr",Acerto_Detalhado!$C$2:$C$433,"Umidade"))*(SUMIFS(Acerto_Detalhado!$I$2:$I$433,Acerto_Detalhado!$A$2:$A$433,$D1406,Acerto_Detalhado!$B$2:$B$433,"Abr",Acerto_Detalhado!$C$2:$C$433,"Umidade")),2)</f>
        <v>0</v>
      </c>
    </row>
    <row r="1407" customFormat="false" ht="15" hidden="false" customHeight="false" outlineLevel="0" collapsed="false">
      <c r="A1407" s="27" t="s">
        <v>114</v>
      </c>
      <c r="B1407" s="27" t="s">
        <v>110</v>
      </c>
      <c r="C1407" s="27" t="s">
        <v>46</v>
      </c>
      <c r="D1407" s="27" t="s">
        <v>44</v>
      </c>
      <c r="E1407" s="28" t="n">
        <f aca="false">ROUND((SUMIFS(Acerto_Detalhado!$F$2:$F$433,Acerto_Detalhado!$A$2:$A$433,$C1407,Acerto_Detalhado!$B$2:$B$433,"Abr",Acerto_Detalhado!$C$2:$C$433,"Umidade"))*(SUMIFS(Acerto_Detalhado!$I$2:$I$433,Acerto_Detalhado!$A$2:$A$433,$D1407,Acerto_Detalhado!$B$2:$B$433,"Abr",Acerto_Detalhado!$C$2:$C$433,"Umidade")),2)</f>
        <v>0</v>
      </c>
    </row>
    <row r="1408" customFormat="false" ht="15" hidden="false" customHeight="false" outlineLevel="0" collapsed="false">
      <c r="A1408" s="27" t="s">
        <v>114</v>
      </c>
      <c r="B1408" s="27" t="s">
        <v>110</v>
      </c>
      <c r="C1408" s="27" t="s">
        <v>46</v>
      </c>
      <c r="D1408" s="27" t="s">
        <v>45</v>
      </c>
      <c r="E1408" s="28" t="n">
        <f aca="false">ROUND((SUMIFS(Acerto_Detalhado!$F$2:$F$433,Acerto_Detalhado!$A$2:$A$433,$C1408,Acerto_Detalhado!$B$2:$B$433,"Abr",Acerto_Detalhado!$C$2:$C$433,"Umidade"))*(SUMIFS(Acerto_Detalhado!$I$2:$I$433,Acerto_Detalhado!$A$2:$A$433,$D1408,Acerto_Detalhado!$B$2:$B$433,"Abr",Acerto_Detalhado!$C$2:$C$433,"Umidade")),2)</f>
        <v>0</v>
      </c>
    </row>
    <row r="1409" customFormat="false" ht="15" hidden="false" customHeight="false" outlineLevel="0" collapsed="false">
      <c r="A1409" s="27" t="s">
        <v>114</v>
      </c>
      <c r="B1409" s="27" t="s">
        <v>110</v>
      </c>
      <c r="C1409" s="27" t="s">
        <v>46</v>
      </c>
      <c r="D1409" s="27" t="s">
        <v>47</v>
      </c>
      <c r="E1409" s="28" t="n">
        <f aca="false">ROUND((SUMIFS(Acerto_Detalhado!$F$2:$F$433,Acerto_Detalhado!$A$2:$A$433,$C1409,Acerto_Detalhado!$B$2:$B$433,"Abr",Acerto_Detalhado!$C$2:$C$433,"Umidade"))*(SUMIFS(Acerto_Detalhado!$I$2:$I$433,Acerto_Detalhado!$A$2:$A$433,$D1409,Acerto_Detalhado!$B$2:$B$433,"Abr",Acerto_Detalhado!$C$2:$C$433,"Umidade")),2)</f>
        <v>0</v>
      </c>
    </row>
    <row r="1410" customFormat="false" ht="15" hidden="false" customHeight="false" outlineLevel="0" collapsed="false">
      <c r="A1410" s="27" t="s">
        <v>114</v>
      </c>
      <c r="B1410" s="27" t="s">
        <v>110</v>
      </c>
      <c r="C1410" s="27" t="s">
        <v>46</v>
      </c>
      <c r="D1410" s="27" t="s">
        <v>48</v>
      </c>
      <c r="E1410" s="28" t="n">
        <f aca="false">ROUND((SUMIFS(Acerto_Detalhado!$F$2:$F$433,Acerto_Detalhado!$A$2:$A$433,$C1410,Acerto_Detalhado!$B$2:$B$433,"Abr",Acerto_Detalhado!$C$2:$C$433,"Umidade"))*(SUMIFS(Acerto_Detalhado!$I$2:$I$433,Acerto_Detalhado!$A$2:$A$433,$D1410,Acerto_Detalhado!$B$2:$B$433,"Abr",Acerto_Detalhado!$C$2:$C$433,"Umidade")),2)</f>
        <v>0</v>
      </c>
    </row>
    <row r="1411" customFormat="false" ht="15" hidden="false" customHeight="false" outlineLevel="0" collapsed="false">
      <c r="A1411" s="27" t="s">
        <v>114</v>
      </c>
      <c r="B1411" s="27" t="s">
        <v>110</v>
      </c>
      <c r="C1411" s="27" t="s">
        <v>46</v>
      </c>
      <c r="D1411" s="27" t="s">
        <v>49</v>
      </c>
      <c r="E1411" s="28" t="n">
        <f aca="false">ROUND((SUMIFS(Acerto_Detalhado!$F$2:$F$433,Acerto_Detalhado!$A$2:$A$433,$C1411,Acerto_Detalhado!$B$2:$B$433,"Abr",Acerto_Detalhado!$C$2:$C$433,"Umidade"))*(SUMIFS(Acerto_Detalhado!$I$2:$I$433,Acerto_Detalhado!$A$2:$A$433,$D1411,Acerto_Detalhado!$B$2:$B$433,"Abr",Acerto_Detalhado!$C$2:$C$433,"Umidade")),2)</f>
        <v>0</v>
      </c>
    </row>
    <row r="1412" customFormat="false" ht="15" hidden="false" customHeight="false" outlineLevel="0" collapsed="false">
      <c r="A1412" s="27" t="s">
        <v>114</v>
      </c>
      <c r="B1412" s="27" t="s">
        <v>110</v>
      </c>
      <c r="C1412" s="27" t="s">
        <v>46</v>
      </c>
      <c r="D1412" s="27" t="s">
        <v>50</v>
      </c>
      <c r="E1412" s="28" t="n">
        <f aca="false">ROUND((SUMIFS(Acerto_Detalhado!$F$2:$F$433,Acerto_Detalhado!$A$2:$A$433,$C1412,Acerto_Detalhado!$B$2:$B$433,"Abr",Acerto_Detalhado!$C$2:$C$433,"Umidade"))*(SUMIFS(Acerto_Detalhado!$I$2:$I$433,Acerto_Detalhado!$A$2:$A$433,$D1412,Acerto_Detalhado!$B$2:$B$433,"Abr",Acerto_Detalhado!$C$2:$C$433,"Umidade")),2)</f>
        <v>0</v>
      </c>
    </row>
    <row r="1413" customFormat="false" ht="15" hidden="false" customHeight="false" outlineLevel="0" collapsed="false">
      <c r="A1413" s="27" t="s">
        <v>114</v>
      </c>
      <c r="B1413" s="27" t="s">
        <v>110</v>
      </c>
      <c r="C1413" s="27" t="s">
        <v>47</v>
      </c>
      <c r="D1413" s="27" t="s">
        <v>39</v>
      </c>
      <c r="E1413" s="28" t="n">
        <f aca="false">ROUND((SUMIFS(Acerto_Detalhado!$F$2:$F$433,Acerto_Detalhado!$A$2:$A$433,$C1413,Acerto_Detalhado!$B$2:$B$433,"Abr",Acerto_Detalhado!$C$2:$C$433,"Umidade"))*(SUMIFS(Acerto_Detalhado!$I$2:$I$433,Acerto_Detalhado!$A$2:$A$433,$D1413,Acerto_Detalhado!$B$2:$B$433,"Abr",Acerto_Detalhado!$C$2:$C$433,"Umidade")),2)</f>
        <v>0</v>
      </c>
    </row>
    <row r="1414" customFormat="false" ht="15" hidden="false" customHeight="false" outlineLevel="0" collapsed="false">
      <c r="A1414" s="27" t="s">
        <v>114</v>
      </c>
      <c r="B1414" s="27" t="s">
        <v>110</v>
      </c>
      <c r="C1414" s="27" t="s">
        <v>47</v>
      </c>
      <c r="D1414" s="27" t="s">
        <v>40</v>
      </c>
      <c r="E1414" s="28" t="n">
        <f aca="false">ROUND((SUMIFS(Acerto_Detalhado!$F$2:$F$433,Acerto_Detalhado!$A$2:$A$433,$C1414,Acerto_Detalhado!$B$2:$B$433,"Abr",Acerto_Detalhado!$C$2:$C$433,"Umidade"))*(SUMIFS(Acerto_Detalhado!$I$2:$I$433,Acerto_Detalhado!$A$2:$A$433,$D1414,Acerto_Detalhado!$B$2:$B$433,"Abr",Acerto_Detalhado!$C$2:$C$433,"Umidade")),2)</f>
        <v>0</v>
      </c>
    </row>
    <row r="1415" customFormat="false" ht="15" hidden="false" customHeight="false" outlineLevel="0" collapsed="false">
      <c r="A1415" s="27" t="s">
        <v>114</v>
      </c>
      <c r="B1415" s="27" t="s">
        <v>110</v>
      </c>
      <c r="C1415" s="27" t="s">
        <v>47</v>
      </c>
      <c r="D1415" s="27" t="s">
        <v>41</v>
      </c>
      <c r="E1415" s="28" t="n">
        <f aca="false">ROUND((SUMIFS(Acerto_Detalhado!$F$2:$F$433,Acerto_Detalhado!$A$2:$A$433,$C1415,Acerto_Detalhado!$B$2:$B$433,"Abr",Acerto_Detalhado!$C$2:$C$433,"Umidade"))*(SUMIFS(Acerto_Detalhado!$I$2:$I$433,Acerto_Detalhado!$A$2:$A$433,$D1415,Acerto_Detalhado!$B$2:$B$433,"Abr",Acerto_Detalhado!$C$2:$C$433,"Umidade")),2)</f>
        <v>0</v>
      </c>
    </row>
    <row r="1416" customFormat="false" ht="15" hidden="false" customHeight="false" outlineLevel="0" collapsed="false">
      <c r="A1416" s="27" t="s">
        <v>114</v>
      </c>
      <c r="B1416" s="27" t="s">
        <v>110</v>
      </c>
      <c r="C1416" s="27" t="s">
        <v>47</v>
      </c>
      <c r="D1416" s="27" t="s">
        <v>42</v>
      </c>
      <c r="E1416" s="28" t="n">
        <f aca="false">ROUND((SUMIFS(Acerto_Detalhado!$F$2:$F$433,Acerto_Detalhado!$A$2:$A$433,$C1416,Acerto_Detalhado!$B$2:$B$433,"Abr",Acerto_Detalhado!$C$2:$C$433,"Umidade"))*(SUMIFS(Acerto_Detalhado!$I$2:$I$433,Acerto_Detalhado!$A$2:$A$433,$D1416,Acerto_Detalhado!$B$2:$B$433,"Abr",Acerto_Detalhado!$C$2:$C$433,"Umidade")),2)</f>
        <v>0</v>
      </c>
    </row>
    <row r="1417" customFormat="false" ht="15" hidden="false" customHeight="false" outlineLevel="0" collapsed="false">
      <c r="A1417" s="27" t="s">
        <v>114</v>
      </c>
      <c r="B1417" s="27" t="s">
        <v>110</v>
      </c>
      <c r="C1417" s="27" t="s">
        <v>47</v>
      </c>
      <c r="D1417" s="27" t="s">
        <v>43</v>
      </c>
      <c r="E1417" s="28" t="n">
        <f aca="false">ROUND((SUMIFS(Acerto_Detalhado!$F$2:$F$433,Acerto_Detalhado!$A$2:$A$433,$C1417,Acerto_Detalhado!$B$2:$B$433,"Abr",Acerto_Detalhado!$C$2:$C$433,"Umidade"))*(SUMIFS(Acerto_Detalhado!$I$2:$I$433,Acerto_Detalhado!$A$2:$A$433,$D1417,Acerto_Detalhado!$B$2:$B$433,"Abr",Acerto_Detalhado!$C$2:$C$433,"Umidade")),2)</f>
        <v>0</v>
      </c>
    </row>
    <row r="1418" customFormat="false" ht="15" hidden="false" customHeight="false" outlineLevel="0" collapsed="false">
      <c r="A1418" s="27" t="s">
        <v>114</v>
      </c>
      <c r="B1418" s="27" t="s">
        <v>110</v>
      </c>
      <c r="C1418" s="27" t="s">
        <v>47</v>
      </c>
      <c r="D1418" s="27" t="s">
        <v>44</v>
      </c>
      <c r="E1418" s="28" t="n">
        <f aca="false">ROUND((SUMIFS(Acerto_Detalhado!$F$2:$F$433,Acerto_Detalhado!$A$2:$A$433,$C1418,Acerto_Detalhado!$B$2:$B$433,"Abr",Acerto_Detalhado!$C$2:$C$433,"Umidade"))*(SUMIFS(Acerto_Detalhado!$I$2:$I$433,Acerto_Detalhado!$A$2:$A$433,$D1418,Acerto_Detalhado!$B$2:$B$433,"Abr",Acerto_Detalhado!$C$2:$C$433,"Umidade")),2)</f>
        <v>0</v>
      </c>
    </row>
    <row r="1419" customFormat="false" ht="15" hidden="false" customHeight="false" outlineLevel="0" collapsed="false">
      <c r="A1419" s="27" t="s">
        <v>114</v>
      </c>
      <c r="B1419" s="27" t="s">
        <v>110</v>
      </c>
      <c r="C1419" s="27" t="s">
        <v>47</v>
      </c>
      <c r="D1419" s="27" t="s">
        <v>45</v>
      </c>
      <c r="E1419" s="28" t="n">
        <f aca="false">ROUND((SUMIFS(Acerto_Detalhado!$F$2:$F$433,Acerto_Detalhado!$A$2:$A$433,$C1419,Acerto_Detalhado!$B$2:$B$433,"Abr",Acerto_Detalhado!$C$2:$C$433,"Umidade"))*(SUMIFS(Acerto_Detalhado!$I$2:$I$433,Acerto_Detalhado!$A$2:$A$433,$D1419,Acerto_Detalhado!$B$2:$B$433,"Abr",Acerto_Detalhado!$C$2:$C$433,"Umidade")),2)</f>
        <v>0</v>
      </c>
    </row>
    <row r="1420" customFormat="false" ht="15" hidden="false" customHeight="false" outlineLevel="0" collapsed="false">
      <c r="A1420" s="27" t="s">
        <v>114</v>
      </c>
      <c r="B1420" s="27" t="s">
        <v>110</v>
      </c>
      <c r="C1420" s="27" t="s">
        <v>47</v>
      </c>
      <c r="D1420" s="27" t="s">
        <v>46</v>
      </c>
      <c r="E1420" s="28" t="n">
        <f aca="false">ROUND((SUMIFS(Acerto_Detalhado!$F$2:$F$433,Acerto_Detalhado!$A$2:$A$433,$C1420,Acerto_Detalhado!$B$2:$B$433,"Abr",Acerto_Detalhado!$C$2:$C$433,"Umidade"))*(SUMIFS(Acerto_Detalhado!$I$2:$I$433,Acerto_Detalhado!$A$2:$A$433,$D1420,Acerto_Detalhado!$B$2:$B$433,"Abr",Acerto_Detalhado!$C$2:$C$433,"Umidade")),2)</f>
        <v>0</v>
      </c>
    </row>
    <row r="1421" customFormat="false" ht="15" hidden="false" customHeight="false" outlineLevel="0" collapsed="false">
      <c r="A1421" s="27" t="s">
        <v>114</v>
      </c>
      <c r="B1421" s="27" t="s">
        <v>110</v>
      </c>
      <c r="C1421" s="27" t="s">
        <v>47</v>
      </c>
      <c r="D1421" s="27" t="s">
        <v>48</v>
      </c>
      <c r="E1421" s="28" t="n">
        <f aca="false">ROUND((SUMIFS(Acerto_Detalhado!$F$2:$F$433,Acerto_Detalhado!$A$2:$A$433,$C1421,Acerto_Detalhado!$B$2:$B$433,"Abr",Acerto_Detalhado!$C$2:$C$433,"Umidade"))*(SUMIFS(Acerto_Detalhado!$I$2:$I$433,Acerto_Detalhado!$A$2:$A$433,$D1421,Acerto_Detalhado!$B$2:$B$433,"Abr",Acerto_Detalhado!$C$2:$C$433,"Umidade")),2)</f>
        <v>0</v>
      </c>
    </row>
    <row r="1422" customFormat="false" ht="15" hidden="false" customHeight="false" outlineLevel="0" collapsed="false">
      <c r="A1422" s="27" t="s">
        <v>114</v>
      </c>
      <c r="B1422" s="27" t="s">
        <v>110</v>
      </c>
      <c r="C1422" s="27" t="s">
        <v>47</v>
      </c>
      <c r="D1422" s="27" t="s">
        <v>49</v>
      </c>
      <c r="E1422" s="28" t="n">
        <f aca="false">ROUND((SUMIFS(Acerto_Detalhado!$F$2:$F$433,Acerto_Detalhado!$A$2:$A$433,$C1422,Acerto_Detalhado!$B$2:$B$433,"Abr",Acerto_Detalhado!$C$2:$C$433,"Umidade"))*(SUMIFS(Acerto_Detalhado!$I$2:$I$433,Acerto_Detalhado!$A$2:$A$433,$D1422,Acerto_Detalhado!$B$2:$B$433,"Abr",Acerto_Detalhado!$C$2:$C$433,"Umidade")),2)</f>
        <v>0</v>
      </c>
    </row>
    <row r="1423" customFormat="false" ht="15" hidden="false" customHeight="false" outlineLevel="0" collapsed="false">
      <c r="A1423" s="27" t="s">
        <v>114</v>
      </c>
      <c r="B1423" s="27" t="s">
        <v>110</v>
      </c>
      <c r="C1423" s="27" t="s">
        <v>47</v>
      </c>
      <c r="D1423" s="27" t="s">
        <v>50</v>
      </c>
      <c r="E1423" s="28" t="n">
        <f aca="false">ROUND((SUMIFS(Acerto_Detalhado!$F$2:$F$433,Acerto_Detalhado!$A$2:$A$433,$C1423,Acerto_Detalhado!$B$2:$B$433,"Abr",Acerto_Detalhado!$C$2:$C$433,"Umidade"))*(SUMIFS(Acerto_Detalhado!$I$2:$I$433,Acerto_Detalhado!$A$2:$A$433,$D1423,Acerto_Detalhado!$B$2:$B$433,"Abr",Acerto_Detalhado!$C$2:$C$433,"Umidade")),2)</f>
        <v>0</v>
      </c>
    </row>
    <row r="1424" customFormat="false" ht="15" hidden="false" customHeight="false" outlineLevel="0" collapsed="false">
      <c r="A1424" s="27" t="s">
        <v>114</v>
      </c>
      <c r="B1424" s="27" t="s">
        <v>110</v>
      </c>
      <c r="C1424" s="27" t="s">
        <v>48</v>
      </c>
      <c r="D1424" s="27" t="s">
        <v>39</v>
      </c>
      <c r="E1424" s="28" t="n">
        <f aca="false">ROUND((SUMIFS(Acerto_Detalhado!$F$2:$F$433,Acerto_Detalhado!$A$2:$A$433,$C1424,Acerto_Detalhado!$B$2:$B$433,"Abr",Acerto_Detalhado!$C$2:$C$433,"Umidade"))*(SUMIFS(Acerto_Detalhado!$I$2:$I$433,Acerto_Detalhado!$A$2:$A$433,$D1424,Acerto_Detalhado!$B$2:$B$433,"Abr",Acerto_Detalhado!$C$2:$C$433,"Umidade")),2)</f>
        <v>0</v>
      </c>
    </row>
    <row r="1425" customFormat="false" ht="15" hidden="false" customHeight="false" outlineLevel="0" collapsed="false">
      <c r="A1425" s="27" t="s">
        <v>114</v>
      </c>
      <c r="B1425" s="27" t="s">
        <v>110</v>
      </c>
      <c r="C1425" s="27" t="s">
        <v>48</v>
      </c>
      <c r="D1425" s="27" t="s">
        <v>40</v>
      </c>
      <c r="E1425" s="28" t="n">
        <f aca="false">ROUND((SUMIFS(Acerto_Detalhado!$F$2:$F$433,Acerto_Detalhado!$A$2:$A$433,$C1425,Acerto_Detalhado!$B$2:$B$433,"Abr",Acerto_Detalhado!$C$2:$C$433,"Umidade"))*(SUMIFS(Acerto_Detalhado!$I$2:$I$433,Acerto_Detalhado!$A$2:$A$433,$D1425,Acerto_Detalhado!$B$2:$B$433,"Abr",Acerto_Detalhado!$C$2:$C$433,"Umidade")),2)</f>
        <v>0</v>
      </c>
    </row>
    <row r="1426" customFormat="false" ht="15" hidden="false" customHeight="false" outlineLevel="0" collapsed="false">
      <c r="A1426" s="27" t="s">
        <v>114</v>
      </c>
      <c r="B1426" s="27" t="s">
        <v>110</v>
      </c>
      <c r="C1426" s="27" t="s">
        <v>48</v>
      </c>
      <c r="D1426" s="27" t="s">
        <v>41</v>
      </c>
      <c r="E1426" s="28" t="n">
        <f aca="false">ROUND((SUMIFS(Acerto_Detalhado!$F$2:$F$433,Acerto_Detalhado!$A$2:$A$433,$C1426,Acerto_Detalhado!$B$2:$B$433,"Abr",Acerto_Detalhado!$C$2:$C$433,"Umidade"))*(SUMIFS(Acerto_Detalhado!$I$2:$I$433,Acerto_Detalhado!$A$2:$A$433,$D1426,Acerto_Detalhado!$B$2:$B$433,"Abr",Acerto_Detalhado!$C$2:$C$433,"Umidade")),2)</f>
        <v>0</v>
      </c>
    </row>
    <row r="1427" customFormat="false" ht="15" hidden="false" customHeight="false" outlineLevel="0" collapsed="false">
      <c r="A1427" s="27" t="s">
        <v>114</v>
      </c>
      <c r="B1427" s="27" t="s">
        <v>110</v>
      </c>
      <c r="C1427" s="27" t="s">
        <v>48</v>
      </c>
      <c r="D1427" s="27" t="s">
        <v>42</v>
      </c>
      <c r="E1427" s="28" t="n">
        <f aca="false">ROUND((SUMIFS(Acerto_Detalhado!$F$2:$F$433,Acerto_Detalhado!$A$2:$A$433,$C1427,Acerto_Detalhado!$B$2:$B$433,"Abr",Acerto_Detalhado!$C$2:$C$433,"Umidade"))*(SUMIFS(Acerto_Detalhado!$I$2:$I$433,Acerto_Detalhado!$A$2:$A$433,$D1427,Acerto_Detalhado!$B$2:$B$433,"Abr",Acerto_Detalhado!$C$2:$C$433,"Umidade")),2)</f>
        <v>0</v>
      </c>
    </row>
    <row r="1428" customFormat="false" ht="15" hidden="false" customHeight="false" outlineLevel="0" collapsed="false">
      <c r="A1428" s="27" t="s">
        <v>114</v>
      </c>
      <c r="B1428" s="27" t="s">
        <v>110</v>
      </c>
      <c r="C1428" s="27" t="s">
        <v>48</v>
      </c>
      <c r="D1428" s="27" t="s">
        <v>43</v>
      </c>
      <c r="E1428" s="28" t="n">
        <f aca="false">ROUND((SUMIFS(Acerto_Detalhado!$F$2:$F$433,Acerto_Detalhado!$A$2:$A$433,$C1428,Acerto_Detalhado!$B$2:$B$433,"Abr",Acerto_Detalhado!$C$2:$C$433,"Umidade"))*(SUMIFS(Acerto_Detalhado!$I$2:$I$433,Acerto_Detalhado!$A$2:$A$433,$D1428,Acerto_Detalhado!$B$2:$B$433,"Abr",Acerto_Detalhado!$C$2:$C$433,"Umidade")),2)</f>
        <v>0</v>
      </c>
    </row>
    <row r="1429" customFormat="false" ht="15" hidden="false" customHeight="false" outlineLevel="0" collapsed="false">
      <c r="A1429" s="27" t="s">
        <v>114</v>
      </c>
      <c r="B1429" s="27" t="s">
        <v>110</v>
      </c>
      <c r="C1429" s="27" t="s">
        <v>48</v>
      </c>
      <c r="D1429" s="27" t="s">
        <v>44</v>
      </c>
      <c r="E1429" s="28" t="n">
        <f aca="false">ROUND((SUMIFS(Acerto_Detalhado!$F$2:$F$433,Acerto_Detalhado!$A$2:$A$433,$C1429,Acerto_Detalhado!$B$2:$B$433,"Abr",Acerto_Detalhado!$C$2:$C$433,"Umidade"))*(SUMIFS(Acerto_Detalhado!$I$2:$I$433,Acerto_Detalhado!$A$2:$A$433,$D1429,Acerto_Detalhado!$B$2:$B$433,"Abr",Acerto_Detalhado!$C$2:$C$433,"Umidade")),2)</f>
        <v>0</v>
      </c>
    </row>
    <row r="1430" customFormat="false" ht="15" hidden="false" customHeight="false" outlineLevel="0" collapsed="false">
      <c r="A1430" s="27" t="s">
        <v>114</v>
      </c>
      <c r="B1430" s="27" t="s">
        <v>110</v>
      </c>
      <c r="C1430" s="27" t="s">
        <v>48</v>
      </c>
      <c r="D1430" s="27" t="s">
        <v>45</v>
      </c>
      <c r="E1430" s="28" t="n">
        <f aca="false">ROUND((SUMIFS(Acerto_Detalhado!$F$2:$F$433,Acerto_Detalhado!$A$2:$A$433,$C1430,Acerto_Detalhado!$B$2:$B$433,"Abr",Acerto_Detalhado!$C$2:$C$433,"Umidade"))*(SUMIFS(Acerto_Detalhado!$I$2:$I$433,Acerto_Detalhado!$A$2:$A$433,$D1430,Acerto_Detalhado!$B$2:$B$433,"Abr",Acerto_Detalhado!$C$2:$C$433,"Umidade")),2)</f>
        <v>0</v>
      </c>
    </row>
    <row r="1431" customFormat="false" ht="15" hidden="false" customHeight="false" outlineLevel="0" collapsed="false">
      <c r="A1431" s="27" t="s">
        <v>114</v>
      </c>
      <c r="B1431" s="27" t="s">
        <v>110</v>
      </c>
      <c r="C1431" s="27" t="s">
        <v>48</v>
      </c>
      <c r="D1431" s="27" t="s">
        <v>46</v>
      </c>
      <c r="E1431" s="28" t="n">
        <f aca="false">ROUND((SUMIFS(Acerto_Detalhado!$F$2:$F$433,Acerto_Detalhado!$A$2:$A$433,$C1431,Acerto_Detalhado!$B$2:$B$433,"Abr",Acerto_Detalhado!$C$2:$C$433,"Umidade"))*(SUMIFS(Acerto_Detalhado!$I$2:$I$433,Acerto_Detalhado!$A$2:$A$433,$D1431,Acerto_Detalhado!$B$2:$B$433,"Abr",Acerto_Detalhado!$C$2:$C$433,"Umidade")),2)</f>
        <v>0</v>
      </c>
    </row>
    <row r="1432" customFormat="false" ht="15" hidden="false" customHeight="false" outlineLevel="0" collapsed="false">
      <c r="A1432" s="27" t="s">
        <v>114</v>
      </c>
      <c r="B1432" s="27" t="s">
        <v>110</v>
      </c>
      <c r="C1432" s="27" t="s">
        <v>48</v>
      </c>
      <c r="D1432" s="27" t="s">
        <v>47</v>
      </c>
      <c r="E1432" s="28" t="n">
        <f aca="false">ROUND((SUMIFS(Acerto_Detalhado!$F$2:$F$433,Acerto_Detalhado!$A$2:$A$433,$C1432,Acerto_Detalhado!$B$2:$B$433,"Abr",Acerto_Detalhado!$C$2:$C$433,"Umidade"))*(SUMIFS(Acerto_Detalhado!$I$2:$I$433,Acerto_Detalhado!$A$2:$A$433,$D1432,Acerto_Detalhado!$B$2:$B$433,"Abr",Acerto_Detalhado!$C$2:$C$433,"Umidade")),2)</f>
        <v>0</v>
      </c>
    </row>
    <row r="1433" customFormat="false" ht="15" hidden="false" customHeight="false" outlineLevel="0" collapsed="false">
      <c r="A1433" s="27" t="s">
        <v>114</v>
      </c>
      <c r="B1433" s="27" t="s">
        <v>110</v>
      </c>
      <c r="C1433" s="27" t="s">
        <v>48</v>
      </c>
      <c r="D1433" s="27" t="s">
        <v>49</v>
      </c>
      <c r="E1433" s="28" t="n">
        <f aca="false">ROUND((SUMIFS(Acerto_Detalhado!$F$2:$F$433,Acerto_Detalhado!$A$2:$A$433,$C1433,Acerto_Detalhado!$B$2:$B$433,"Abr",Acerto_Detalhado!$C$2:$C$433,"Umidade"))*(SUMIFS(Acerto_Detalhado!$I$2:$I$433,Acerto_Detalhado!$A$2:$A$433,$D1433,Acerto_Detalhado!$B$2:$B$433,"Abr",Acerto_Detalhado!$C$2:$C$433,"Umidade")),2)</f>
        <v>0</v>
      </c>
    </row>
    <row r="1434" customFormat="false" ht="15" hidden="false" customHeight="false" outlineLevel="0" collapsed="false">
      <c r="A1434" s="27" t="s">
        <v>114</v>
      </c>
      <c r="B1434" s="27" t="s">
        <v>110</v>
      </c>
      <c r="C1434" s="27" t="s">
        <v>48</v>
      </c>
      <c r="D1434" s="27" t="s">
        <v>50</v>
      </c>
      <c r="E1434" s="28" t="n">
        <f aca="false">ROUND((SUMIFS(Acerto_Detalhado!$F$2:$F$433,Acerto_Detalhado!$A$2:$A$433,$C1434,Acerto_Detalhado!$B$2:$B$433,"Abr",Acerto_Detalhado!$C$2:$C$433,"Umidade"))*(SUMIFS(Acerto_Detalhado!$I$2:$I$433,Acerto_Detalhado!$A$2:$A$433,$D1434,Acerto_Detalhado!$B$2:$B$433,"Abr",Acerto_Detalhado!$C$2:$C$433,"Umidade")),2)</f>
        <v>0</v>
      </c>
    </row>
    <row r="1435" customFormat="false" ht="15" hidden="false" customHeight="false" outlineLevel="0" collapsed="false">
      <c r="A1435" s="27" t="s">
        <v>114</v>
      </c>
      <c r="B1435" s="27" t="s">
        <v>110</v>
      </c>
      <c r="C1435" s="27" t="s">
        <v>49</v>
      </c>
      <c r="D1435" s="27" t="s">
        <v>39</v>
      </c>
      <c r="E1435" s="28" t="n">
        <f aca="false">ROUND((SUMIFS(Acerto_Detalhado!$F$2:$F$433,Acerto_Detalhado!$A$2:$A$433,$C1435,Acerto_Detalhado!$B$2:$B$433,"Abr",Acerto_Detalhado!$C$2:$C$433,"Umidade"))*(SUMIFS(Acerto_Detalhado!$I$2:$I$433,Acerto_Detalhado!$A$2:$A$433,$D1435,Acerto_Detalhado!$B$2:$B$433,"Abr",Acerto_Detalhado!$C$2:$C$433,"Umidade")),2)</f>
        <v>0</v>
      </c>
    </row>
    <row r="1436" customFormat="false" ht="15" hidden="false" customHeight="false" outlineLevel="0" collapsed="false">
      <c r="A1436" s="27" t="s">
        <v>114</v>
      </c>
      <c r="B1436" s="27" t="s">
        <v>110</v>
      </c>
      <c r="C1436" s="27" t="s">
        <v>49</v>
      </c>
      <c r="D1436" s="27" t="s">
        <v>40</v>
      </c>
      <c r="E1436" s="28" t="n">
        <f aca="false">ROUND((SUMIFS(Acerto_Detalhado!$F$2:$F$433,Acerto_Detalhado!$A$2:$A$433,$C1436,Acerto_Detalhado!$B$2:$B$433,"Abr",Acerto_Detalhado!$C$2:$C$433,"Umidade"))*(SUMIFS(Acerto_Detalhado!$I$2:$I$433,Acerto_Detalhado!$A$2:$A$433,$D1436,Acerto_Detalhado!$B$2:$B$433,"Abr",Acerto_Detalhado!$C$2:$C$433,"Umidade")),2)</f>
        <v>0</v>
      </c>
    </row>
    <row r="1437" customFormat="false" ht="15" hidden="false" customHeight="false" outlineLevel="0" collapsed="false">
      <c r="A1437" s="27" t="s">
        <v>114</v>
      </c>
      <c r="B1437" s="27" t="s">
        <v>110</v>
      </c>
      <c r="C1437" s="27" t="s">
        <v>49</v>
      </c>
      <c r="D1437" s="27" t="s">
        <v>41</v>
      </c>
      <c r="E1437" s="28" t="n">
        <f aca="false">ROUND((SUMIFS(Acerto_Detalhado!$F$2:$F$433,Acerto_Detalhado!$A$2:$A$433,$C1437,Acerto_Detalhado!$B$2:$B$433,"Abr",Acerto_Detalhado!$C$2:$C$433,"Umidade"))*(SUMIFS(Acerto_Detalhado!$I$2:$I$433,Acerto_Detalhado!$A$2:$A$433,$D1437,Acerto_Detalhado!$B$2:$B$433,"Abr",Acerto_Detalhado!$C$2:$C$433,"Umidade")),2)</f>
        <v>0</v>
      </c>
    </row>
    <row r="1438" customFormat="false" ht="15" hidden="false" customHeight="false" outlineLevel="0" collapsed="false">
      <c r="A1438" s="27" t="s">
        <v>114</v>
      </c>
      <c r="B1438" s="27" t="s">
        <v>110</v>
      </c>
      <c r="C1438" s="27" t="s">
        <v>49</v>
      </c>
      <c r="D1438" s="27" t="s">
        <v>42</v>
      </c>
      <c r="E1438" s="28" t="n">
        <f aca="false">ROUND((SUMIFS(Acerto_Detalhado!$F$2:$F$433,Acerto_Detalhado!$A$2:$A$433,$C1438,Acerto_Detalhado!$B$2:$B$433,"Abr",Acerto_Detalhado!$C$2:$C$433,"Umidade"))*(SUMIFS(Acerto_Detalhado!$I$2:$I$433,Acerto_Detalhado!$A$2:$A$433,$D1438,Acerto_Detalhado!$B$2:$B$433,"Abr",Acerto_Detalhado!$C$2:$C$433,"Umidade")),2)</f>
        <v>0</v>
      </c>
    </row>
    <row r="1439" customFormat="false" ht="15" hidden="false" customHeight="false" outlineLevel="0" collapsed="false">
      <c r="A1439" s="27" t="s">
        <v>114</v>
      </c>
      <c r="B1439" s="27" t="s">
        <v>110</v>
      </c>
      <c r="C1439" s="27" t="s">
        <v>49</v>
      </c>
      <c r="D1439" s="27" t="s">
        <v>43</v>
      </c>
      <c r="E1439" s="28" t="n">
        <f aca="false">ROUND((SUMIFS(Acerto_Detalhado!$F$2:$F$433,Acerto_Detalhado!$A$2:$A$433,$C1439,Acerto_Detalhado!$B$2:$B$433,"Abr",Acerto_Detalhado!$C$2:$C$433,"Umidade"))*(SUMIFS(Acerto_Detalhado!$I$2:$I$433,Acerto_Detalhado!$A$2:$A$433,$D1439,Acerto_Detalhado!$B$2:$B$433,"Abr",Acerto_Detalhado!$C$2:$C$433,"Umidade")),2)</f>
        <v>0</v>
      </c>
    </row>
    <row r="1440" customFormat="false" ht="15" hidden="false" customHeight="false" outlineLevel="0" collapsed="false">
      <c r="A1440" s="27" t="s">
        <v>114</v>
      </c>
      <c r="B1440" s="27" t="s">
        <v>110</v>
      </c>
      <c r="C1440" s="27" t="s">
        <v>49</v>
      </c>
      <c r="D1440" s="27" t="s">
        <v>44</v>
      </c>
      <c r="E1440" s="28" t="n">
        <f aca="false">ROUND((SUMIFS(Acerto_Detalhado!$F$2:$F$433,Acerto_Detalhado!$A$2:$A$433,$C1440,Acerto_Detalhado!$B$2:$B$433,"Abr",Acerto_Detalhado!$C$2:$C$433,"Umidade"))*(SUMIFS(Acerto_Detalhado!$I$2:$I$433,Acerto_Detalhado!$A$2:$A$433,$D1440,Acerto_Detalhado!$B$2:$B$433,"Abr",Acerto_Detalhado!$C$2:$C$433,"Umidade")),2)</f>
        <v>0</v>
      </c>
    </row>
    <row r="1441" customFormat="false" ht="15" hidden="false" customHeight="false" outlineLevel="0" collapsed="false">
      <c r="A1441" s="27" t="s">
        <v>114</v>
      </c>
      <c r="B1441" s="27" t="s">
        <v>110</v>
      </c>
      <c r="C1441" s="27" t="s">
        <v>49</v>
      </c>
      <c r="D1441" s="27" t="s">
        <v>45</v>
      </c>
      <c r="E1441" s="28" t="n">
        <f aca="false">ROUND((SUMIFS(Acerto_Detalhado!$F$2:$F$433,Acerto_Detalhado!$A$2:$A$433,$C1441,Acerto_Detalhado!$B$2:$B$433,"Abr",Acerto_Detalhado!$C$2:$C$433,"Umidade"))*(SUMIFS(Acerto_Detalhado!$I$2:$I$433,Acerto_Detalhado!$A$2:$A$433,$D1441,Acerto_Detalhado!$B$2:$B$433,"Abr",Acerto_Detalhado!$C$2:$C$433,"Umidade")),2)</f>
        <v>0</v>
      </c>
    </row>
    <row r="1442" customFormat="false" ht="15" hidden="false" customHeight="false" outlineLevel="0" collapsed="false">
      <c r="A1442" s="27" t="s">
        <v>114</v>
      </c>
      <c r="B1442" s="27" t="s">
        <v>110</v>
      </c>
      <c r="C1442" s="27" t="s">
        <v>49</v>
      </c>
      <c r="D1442" s="27" t="s">
        <v>46</v>
      </c>
      <c r="E1442" s="28" t="n">
        <f aca="false">ROUND((SUMIFS(Acerto_Detalhado!$F$2:$F$433,Acerto_Detalhado!$A$2:$A$433,$C1442,Acerto_Detalhado!$B$2:$B$433,"Abr",Acerto_Detalhado!$C$2:$C$433,"Umidade"))*(SUMIFS(Acerto_Detalhado!$I$2:$I$433,Acerto_Detalhado!$A$2:$A$433,$D1442,Acerto_Detalhado!$B$2:$B$433,"Abr",Acerto_Detalhado!$C$2:$C$433,"Umidade")),2)</f>
        <v>0</v>
      </c>
    </row>
    <row r="1443" customFormat="false" ht="15" hidden="false" customHeight="false" outlineLevel="0" collapsed="false">
      <c r="A1443" s="27" t="s">
        <v>114</v>
      </c>
      <c r="B1443" s="27" t="s">
        <v>110</v>
      </c>
      <c r="C1443" s="27" t="s">
        <v>49</v>
      </c>
      <c r="D1443" s="27" t="s">
        <v>47</v>
      </c>
      <c r="E1443" s="28" t="n">
        <f aca="false">ROUND((SUMIFS(Acerto_Detalhado!$F$2:$F$433,Acerto_Detalhado!$A$2:$A$433,$C1443,Acerto_Detalhado!$B$2:$B$433,"Abr",Acerto_Detalhado!$C$2:$C$433,"Umidade"))*(SUMIFS(Acerto_Detalhado!$I$2:$I$433,Acerto_Detalhado!$A$2:$A$433,$D1443,Acerto_Detalhado!$B$2:$B$433,"Abr",Acerto_Detalhado!$C$2:$C$433,"Umidade")),2)</f>
        <v>0</v>
      </c>
    </row>
    <row r="1444" customFormat="false" ht="15" hidden="false" customHeight="false" outlineLevel="0" collapsed="false">
      <c r="A1444" s="27" t="s">
        <v>114</v>
      </c>
      <c r="B1444" s="27" t="s">
        <v>110</v>
      </c>
      <c r="C1444" s="27" t="s">
        <v>49</v>
      </c>
      <c r="D1444" s="27" t="s">
        <v>48</v>
      </c>
      <c r="E1444" s="28" t="n">
        <f aca="false">ROUND((SUMIFS(Acerto_Detalhado!$F$2:$F$433,Acerto_Detalhado!$A$2:$A$433,$C1444,Acerto_Detalhado!$B$2:$B$433,"Abr",Acerto_Detalhado!$C$2:$C$433,"Umidade"))*(SUMIFS(Acerto_Detalhado!$I$2:$I$433,Acerto_Detalhado!$A$2:$A$433,$D1444,Acerto_Detalhado!$B$2:$B$433,"Abr",Acerto_Detalhado!$C$2:$C$433,"Umidade")),2)</f>
        <v>0</v>
      </c>
    </row>
    <row r="1445" customFormat="false" ht="15" hidden="false" customHeight="false" outlineLevel="0" collapsed="false">
      <c r="A1445" s="27" t="s">
        <v>114</v>
      </c>
      <c r="B1445" s="27" t="s">
        <v>110</v>
      </c>
      <c r="C1445" s="27" t="s">
        <v>49</v>
      </c>
      <c r="D1445" s="27" t="s">
        <v>50</v>
      </c>
      <c r="E1445" s="28" t="n">
        <f aca="false">ROUND((SUMIFS(Acerto_Detalhado!$F$2:$F$433,Acerto_Detalhado!$A$2:$A$433,$C1445,Acerto_Detalhado!$B$2:$B$433,"Abr",Acerto_Detalhado!$C$2:$C$433,"Umidade"))*(SUMIFS(Acerto_Detalhado!$I$2:$I$433,Acerto_Detalhado!$A$2:$A$433,$D1445,Acerto_Detalhado!$B$2:$B$433,"Abr",Acerto_Detalhado!$C$2:$C$433,"Umidade")),2)</f>
        <v>0</v>
      </c>
    </row>
    <row r="1446" customFormat="false" ht="15" hidden="false" customHeight="false" outlineLevel="0" collapsed="false">
      <c r="A1446" s="27" t="s">
        <v>114</v>
      </c>
      <c r="B1446" s="27" t="s">
        <v>110</v>
      </c>
      <c r="C1446" s="27" t="s">
        <v>50</v>
      </c>
      <c r="D1446" s="27" t="s">
        <v>39</v>
      </c>
      <c r="E1446" s="28" t="n">
        <f aca="false">ROUND((SUMIFS(Acerto_Detalhado!$F$2:$F$433,Acerto_Detalhado!$A$2:$A$433,$C1446,Acerto_Detalhado!$B$2:$B$433,"Abr",Acerto_Detalhado!$C$2:$C$433,"Umidade"))*(SUMIFS(Acerto_Detalhado!$I$2:$I$433,Acerto_Detalhado!$A$2:$A$433,$D1446,Acerto_Detalhado!$B$2:$B$433,"Abr",Acerto_Detalhado!$C$2:$C$433,"Umidade")),2)</f>
        <v>0</v>
      </c>
    </row>
    <row r="1447" customFormat="false" ht="15" hidden="false" customHeight="false" outlineLevel="0" collapsed="false">
      <c r="A1447" s="27" t="s">
        <v>114</v>
      </c>
      <c r="B1447" s="27" t="s">
        <v>110</v>
      </c>
      <c r="C1447" s="27" t="s">
        <v>50</v>
      </c>
      <c r="D1447" s="27" t="s">
        <v>40</v>
      </c>
      <c r="E1447" s="28" t="n">
        <f aca="false">ROUND((SUMIFS(Acerto_Detalhado!$F$2:$F$433,Acerto_Detalhado!$A$2:$A$433,$C1447,Acerto_Detalhado!$B$2:$B$433,"Abr",Acerto_Detalhado!$C$2:$C$433,"Umidade"))*(SUMIFS(Acerto_Detalhado!$I$2:$I$433,Acerto_Detalhado!$A$2:$A$433,$D1447,Acerto_Detalhado!$B$2:$B$433,"Abr",Acerto_Detalhado!$C$2:$C$433,"Umidade")),2)</f>
        <v>0</v>
      </c>
    </row>
    <row r="1448" customFormat="false" ht="15" hidden="false" customHeight="false" outlineLevel="0" collapsed="false">
      <c r="A1448" s="27" t="s">
        <v>114</v>
      </c>
      <c r="B1448" s="27" t="s">
        <v>110</v>
      </c>
      <c r="C1448" s="27" t="s">
        <v>50</v>
      </c>
      <c r="D1448" s="27" t="s">
        <v>41</v>
      </c>
      <c r="E1448" s="28" t="n">
        <f aca="false">ROUND((SUMIFS(Acerto_Detalhado!$F$2:$F$433,Acerto_Detalhado!$A$2:$A$433,$C1448,Acerto_Detalhado!$B$2:$B$433,"Abr",Acerto_Detalhado!$C$2:$C$433,"Umidade"))*(SUMIFS(Acerto_Detalhado!$I$2:$I$433,Acerto_Detalhado!$A$2:$A$433,$D1448,Acerto_Detalhado!$B$2:$B$433,"Abr",Acerto_Detalhado!$C$2:$C$433,"Umidade")),2)</f>
        <v>0</v>
      </c>
    </row>
    <row r="1449" customFormat="false" ht="15" hidden="false" customHeight="false" outlineLevel="0" collapsed="false">
      <c r="A1449" s="27" t="s">
        <v>114</v>
      </c>
      <c r="B1449" s="27" t="s">
        <v>110</v>
      </c>
      <c r="C1449" s="27" t="s">
        <v>50</v>
      </c>
      <c r="D1449" s="27" t="s">
        <v>42</v>
      </c>
      <c r="E1449" s="28" t="n">
        <f aca="false">ROUND((SUMIFS(Acerto_Detalhado!$F$2:$F$433,Acerto_Detalhado!$A$2:$A$433,$C1449,Acerto_Detalhado!$B$2:$B$433,"Abr",Acerto_Detalhado!$C$2:$C$433,"Umidade"))*(SUMIFS(Acerto_Detalhado!$I$2:$I$433,Acerto_Detalhado!$A$2:$A$433,$D1449,Acerto_Detalhado!$B$2:$B$433,"Abr",Acerto_Detalhado!$C$2:$C$433,"Umidade")),2)</f>
        <v>0</v>
      </c>
    </row>
    <row r="1450" customFormat="false" ht="15" hidden="false" customHeight="false" outlineLevel="0" collapsed="false">
      <c r="A1450" s="27" t="s">
        <v>114</v>
      </c>
      <c r="B1450" s="27" t="s">
        <v>110</v>
      </c>
      <c r="C1450" s="27" t="s">
        <v>50</v>
      </c>
      <c r="D1450" s="27" t="s">
        <v>43</v>
      </c>
      <c r="E1450" s="28" t="n">
        <f aca="false">ROUND((SUMIFS(Acerto_Detalhado!$F$2:$F$433,Acerto_Detalhado!$A$2:$A$433,$C1450,Acerto_Detalhado!$B$2:$B$433,"Abr",Acerto_Detalhado!$C$2:$C$433,"Umidade"))*(SUMIFS(Acerto_Detalhado!$I$2:$I$433,Acerto_Detalhado!$A$2:$A$433,$D1450,Acerto_Detalhado!$B$2:$B$433,"Abr",Acerto_Detalhado!$C$2:$C$433,"Umidade")),2)</f>
        <v>0</v>
      </c>
    </row>
    <row r="1451" customFormat="false" ht="15" hidden="false" customHeight="false" outlineLevel="0" collapsed="false">
      <c r="A1451" s="27" t="s">
        <v>114</v>
      </c>
      <c r="B1451" s="27" t="s">
        <v>110</v>
      </c>
      <c r="C1451" s="27" t="s">
        <v>50</v>
      </c>
      <c r="D1451" s="27" t="s">
        <v>44</v>
      </c>
      <c r="E1451" s="28" t="n">
        <f aca="false">ROUND((SUMIFS(Acerto_Detalhado!$F$2:$F$433,Acerto_Detalhado!$A$2:$A$433,$C1451,Acerto_Detalhado!$B$2:$B$433,"Abr",Acerto_Detalhado!$C$2:$C$433,"Umidade"))*(SUMIFS(Acerto_Detalhado!$I$2:$I$433,Acerto_Detalhado!$A$2:$A$433,$D1451,Acerto_Detalhado!$B$2:$B$433,"Abr",Acerto_Detalhado!$C$2:$C$433,"Umidade")),2)</f>
        <v>0</v>
      </c>
    </row>
    <row r="1452" customFormat="false" ht="15" hidden="false" customHeight="false" outlineLevel="0" collapsed="false">
      <c r="A1452" s="27" t="s">
        <v>114</v>
      </c>
      <c r="B1452" s="27" t="s">
        <v>110</v>
      </c>
      <c r="C1452" s="27" t="s">
        <v>50</v>
      </c>
      <c r="D1452" s="27" t="s">
        <v>45</v>
      </c>
      <c r="E1452" s="28" t="n">
        <f aca="false">ROUND((SUMIFS(Acerto_Detalhado!$F$2:$F$433,Acerto_Detalhado!$A$2:$A$433,$C1452,Acerto_Detalhado!$B$2:$B$433,"Abr",Acerto_Detalhado!$C$2:$C$433,"Umidade"))*(SUMIFS(Acerto_Detalhado!$I$2:$I$433,Acerto_Detalhado!$A$2:$A$433,$D1452,Acerto_Detalhado!$B$2:$B$433,"Abr",Acerto_Detalhado!$C$2:$C$433,"Umidade")),2)</f>
        <v>0</v>
      </c>
    </row>
    <row r="1453" customFormat="false" ht="15" hidden="false" customHeight="false" outlineLevel="0" collapsed="false">
      <c r="A1453" s="27" t="s">
        <v>114</v>
      </c>
      <c r="B1453" s="27" t="s">
        <v>110</v>
      </c>
      <c r="C1453" s="27" t="s">
        <v>50</v>
      </c>
      <c r="D1453" s="27" t="s">
        <v>46</v>
      </c>
      <c r="E1453" s="28" t="n">
        <f aca="false">ROUND((SUMIFS(Acerto_Detalhado!$F$2:$F$433,Acerto_Detalhado!$A$2:$A$433,$C1453,Acerto_Detalhado!$B$2:$B$433,"Abr",Acerto_Detalhado!$C$2:$C$433,"Umidade"))*(SUMIFS(Acerto_Detalhado!$I$2:$I$433,Acerto_Detalhado!$A$2:$A$433,$D1453,Acerto_Detalhado!$B$2:$B$433,"Abr",Acerto_Detalhado!$C$2:$C$433,"Umidade")),2)</f>
        <v>0</v>
      </c>
    </row>
    <row r="1454" customFormat="false" ht="15" hidden="false" customHeight="false" outlineLevel="0" collapsed="false">
      <c r="A1454" s="27" t="s">
        <v>114</v>
      </c>
      <c r="B1454" s="27" t="s">
        <v>110</v>
      </c>
      <c r="C1454" s="27" t="s">
        <v>50</v>
      </c>
      <c r="D1454" s="27" t="s">
        <v>47</v>
      </c>
      <c r="E1454" s="28" t="n">
        <f aca="false">ROUND((SUMIFS(Acerto_Detalhado!$F$2:$F$433,Acerto_Detalhado!$A$2:$A$433,$C1454,Acerto_Detalhado!$B$2:$B$433,"Abr",Acerto_Detalhado!$C$2:$C$433,"Umidade"))*(SUMIFS(Acerto_Detalhado!$I$2:$I$433,Acerto_Detalhado!$A$2:$A$433,$D1454,Acerto_Detalhado!$B$2:$B$433,"Abr",Acerto_Detalhado!$C$2:$C$433,"Umidade")),2)</f>
        <v>0</v>
      </c>
    </row>
    <row r="1455" customFormat="false" ht="15" hidden="false" customHeight="false" outlineLevel="0" collapsed="false">
      <c r="A1455" s="27" t="s">
        <v>114</v>
      </c>
      <c r="B1455" s="27" t="s">
        <v>110</v>
      </c>
      <c r="C1455" s="27" t="s">
        <v>50</v>
      </c>
      <c r="D1455" s="27" t="s">
        <v>48</v>
      </c>
      <c r="E1455" s="28" t="n">
        <f aca="false">ROUND((SUMIFS(Acerto_Detalhado!$F$2:$F$433,Acerto_Detalhado!$A$2:$A$433,$C1455,Acerto_Detalhado!$B$2:$B$433,"Abr",Acerto_Detalhado!$C$2:$C$433,"Umidade"))*(SUMIFS(Acerto_Detalhado!$I$2:$I$433,Acerto_Detalhado!$A$2:$A$433,$D1455,Acerto_Detalhado!$B$2:$B$433,"Abr",Acerto_Detalhado!$C$2:$C$433,"Umidade")),2)</f>
        <v>0</v>
      </c>
    </row>
    <row r="1456" customFormat="false" ht="15" hidden="false" customHeight="false" outlineLevel="0" collapsed="false">
      <c r="A1456" s="27" t="s">
        <v>114</v>
      </c>
      <c r="B1456" s="27" t="s">
        <v>110</v>
      </c>
      <c r="C1456" s="27" t="s">
        <v>50</v>
      </c>
      <c r="D1456" s="27" t="s">
        <v>49</v>
      </c>
      <c r="E1456" s="28" t="n">
        <f aca="false">ROUND((SUMIFS(Acerto_Detalhado!$F$2:$F$433,Acerto_Detalhado!$A$2:$A$433,$C1456,Acerto_Detalhado!$B$2:$B$433,"Abr",Acerto_Detalhado!$C$2:$C$433,"Umidade"))*(SUMIFS(Acerto_Detalhado!$I$2:$I$433,Acerto_Detalhado!$A$2:$A$433,$D1456,Acerto_Detalhado!$B$2:$B$433,"Abr",Acerto_Detalhado!$C$2:$C$433,"Umidade")),2)</f>
        <v>0</v>
      </c>
    </row>
    <row r="1457" customFormat="false" ht="15" hidden="false" customHeight="false" outlineLevel="0" collapsed="false">
      <c r="A1457" s="27" t="s">
        <v>114</v>
      </c>
      <c r="B1457" s="27" t="s">
        <v>111</v>
      </c>
      <c r="C1457" s="27" t="s">
        <v>39</v>
      </c>
      <c r="D1457" s="27" t="s">
        <v>40</v>
      </c>
      <c r="E1457" s="28" t="n">
        <f aca="false">ROUND((SUMIFS(Acerto_Detalhado!$F$2:$F$433,Acerto_Detalhado!$A$2:$A$433,$C1457,Acerto_Detalhado!$B$2:$B$433,"Abr",Acerto_Detalhado!$C$2:$C$433,"Fibra"))*(SUMIFS(Acerto_Detalhado!$I$2:$I$433,Acerto_Detalhado!$A$2:$A$433,$D1457,Acerto_Detalhado!$B$2:$B$433,"Abr",Acerto_Detalhado!$C$2:$C$433,"Fibra")),2)</f>
        <v>1376.27</v>
      </c>
    </row>
    <row r="1458" customFormat="false" ht="15" hidden="false" customHeight="false" outlineLevel="0" collapsed="false">
      <c r="A1458" s="27" t="s">
        <v>114</v>
      </c>
      <c r="B1458" s="27" t="s">
        <v>111</v>
      </c>
      <c r="C1458" s="27" t="s">
        <v>39</v>
      </c>
      <c r="D1458" s="27" t="s">
        <v>41</v>
      </c>
      <c r="E1458" s="28" t="n">
        <f aca="false">ROUND((SUMIFS(Acerto_Detalhado!$F$2:$F$433,Acerto_Detalhado!$A$2:$A$433,$C1458,Acerto_Detalhado!$B$2:$B$433,"Abr",Acerto_Detalhado!$C$2:$C$433,"Fibra"))*(SUMIFS(Acerto_Detalhado!$I$2:$I$433,Acerto_Detalhado!$A$2:$A$433,$D1458,Acerto_Detalhado!$B$2:$B$433,"Abr",Acerto_Detalhado!$C$2:$C$433,"Fibra")),2)</f>
        <v>1106.61</v>
      </c>
    </row>
    <row r="1459" customFormat="false" ht="15" hidden="false" customHeight="false" outlineLevel="0" collapsed="false">
      <c r="A1459" s="27" t="s">
        <v>114</v>
      </c>
      <c r="B1459" s="27" t="s">
        <v>111</v>
      </c>
      <c r="C1459" s="27" t="s">
        <v>39</v>
      </c>
      <c r="D1459" s="27" t="s">
        <v>42</v>
      </c>
      <c r="E1459" s="28" t="n">
        <f aca="false">ROUND((SUMIFS(Acerto_Detalhado!$F$2:$F$433,Acerto_Detalhado!$A$2:$A$433,$C1459,Acerto_Detalhado!$B$2:$B$433,"Abr",Acerto_Detalhado!$C$2:$C$433,"Fibra"))*(SUMIFS(Acerto_Detalhado!$I$2:$I$433,Acerto_Detalhado!$A$2:$A$433,$D1459,Acerto_Detalhado!$B$2:$B$433,"Abr",Acerto_Detalhado!$C$2:$C$433,"Fibra")),2)</f>
        <v>1386.46</v>
      </c>
    </row>
    <row r="1460" customFormat="false" ht="15" hidden="false" customHeight="false" outlineLevel="0" collapsed="false">
      <c r="A1460" s="27" t="s">
        <v>114</v>
      </c>
      <c r="B1460" s="27" t="s">
        <v>111</v>
      </c>
      <c r="C1460" s="27" t="s">
        <v>39</v>
      </c>
      <c r="D1460" s="27" t="s">
        <v>43</v>
      </c>
      <c r="E1460" s="28" t="n">
        <f aca="false">ROUND((SUMIFS(Acerto_Detalhado!$F$2:$F$433,Acerto_Detalhado!$A$2:$A$433,$C1460,Acerto_Detalhado!$B$2:$B$433,"Abr",Acerto_Detalhado!$C$2:$C$433,"Fibra"))*(SUMIFS(Acerto_Detalhado!$I$2:$I$433,Acerto_Detalhado!$A$2:$A$433,$D1460,Acerto_Detalhado!$B$2:$B$433,"Abr",Acerto_Detalhado!$C$2:$C$433,"Fibra")),2)</f>
        <v>0</v>
      </c>
    </row>
    <row r="1461" customFormat="false" ht="15" hidden="false" customHeight="false" outlineLevel="0" collapsed="false">
      <c r="A1461" s="27" t="s">
        <v>114</v>
      </c>
      <c r="B1461" s="27" t="s">
        <v>111</v>
      </c>
      <c r="C1461" s="27" t="s">
        <v>39</v>
      </c>
      <c r="D1461" s="27" t="s">
        <v>44</v>
      </c>
      <c r="E1461" s="28" t="n">
        <f aca="false">ROUND((SUMIFS(Acerto_Detalhado!$F$2:$F$433,Acerto_Detalhado!$A$2:$A$433,$C1461,Acerto_Detalhado!$B$2:$B$433,"Abr",Acerto_Detalhado!$C$2:$C$433,"Fibra"))*(SUMIFS(Acerto_Detalhado!$I$2:$I$433,Acerto_Detalhado!$A$2:$A$433,$D1461,Acerto_Detalhado!$B$2:$B$433,"Abr",Acerto_Detalhado!$C$2:$C$433,"Fibra")),2)</f>
        <v>2292.03</v>
      </c>
    </row>
    <row r="1462" customFormat="false" ht="15" hidden="false" customHeight="false" outlineLevel="0" collapsed="false">
      <c r="A1462" s="27" t="s">
        <v>114</v>
      </c>
      <c r="B1462" s="27" t="s">
        <v>111</v>
      </c>
      <c r="C1462" s="27" t="s">
        <v>39</v>
      </c>
      <c r="D1462" s="27" t="s">
        <v>45</v>
      </c>
      <c r="E1462" s="28" t="n">
        <f aca="false">ROUND((SUMIFS(Acerto_Detalhado!$F$2:$F$433,Acerto_Detalhado!$A$2:$A$433,$C1462,Acerto_Detalhado!$B$2:$B$433,"Abr",Acerto_Detalhado!$C$2:$C$433,"Fibra"))*(SUMIFS(Acerto_Detalhado!$I$2:$I$433,Acerto_Detalhado!$A$2:$A$433,$D1462,Acerto_Detalhado!$B$2:$B$433,"Abr",Acerto_Detalhado!$C$2:$C$433,"Fibra")),2)</f>
        <v>0</v>
      </c>
    </row>
    <row r="1463" customFormat="false" ht="15" hidden="false" customHeight="false" outlineLevel="0" collapsed="false">
      <c r="A1463" s="27" t="s">
        <v>114</v>
      </c>
      <c r="B1463" s="27" t="s">
        <v>111</v>
      </c>
      <c r="C1463" s="27" t="s">
        <v>39</v>
      </c>
      <c r="D1463" s="27" t="s">
        <v>46</v>
      </c>
      <c r="E1463" s="28" t="n">
        <f aca="false">ROUND((SUMIFS(Acerto_Detalhado!$F$2:$F$433,Acerto_Detalhado!$A$2:$A$433,$C1463,Acerto_Detalhado!$B$2:$B$433,"Abr",Acerto_Detalhado!$C$2:$C$433,"Fibra"))*(SUMIFS(Acerto_Detalhado!$I$2:$I$433,Acerto_Detalhado!$A$2:$A$433,$D1463,Acerto_Detalhado!$B$2:$B$433,"Abr",Acerto_Detalhado!$C$2:$C$433,"Fibra")),2)</f>
        <v>0</v>
      </c>
    </row>
    <row r="1464" customFormat="false" ht="15" hidden="false" customHeight="false" outlineLevel="0" collapsed="false">
      <c r="A1464" s="27" t="s">
        <v>114</v>
      </c>
      <c r="B1464" s="27" t="s">
        <v>111</v>
      </c>
      <c r="C1464" s="27" t="s">
        <v>39</v>
      </c>
      <c r="D1464" s="27" t="s">
        <v>47</v>
      </c>
      <c r="E1464" s="28" t="n">
        <f aca="false">ROUND((SUMIFS(Acerto_Detalhado!$F$2:$F$433,Acerto_Detalhado!$A$2:$A$433,$C1464,Acerto_Detalhado!$B$2:$B$433,"Abr",Acerto_Detalhado!$C$2:$C$433,"Fibra"))*(SUMIFS(Acerto_Detalhado!$I$2:$I$433,Acerto_Detalhado!$A$2:$A$433,$D1464,Acerto_Detalhado!$B$2:$B$433,"Abr",Acerto_Detalhado!$C$2:$C$433,"Fibra")),2)</f>
        <v>0</v>
      </c>
    </row>
    <row r="1465" customFormat="false" ht="15" hidden="false" customHeight="false" outlineLevel="0" collapsed="false">
      <c r="A1465" s="27" t="s">
        <v>114</v>
      </c>
      <c r="B1465" s="27" t="s">
        <v>111</v>
      </c>
      <c r="C1465" s="27" t="s">
        <v>39</v>
      </c>
      <c r="D1465" s="27" t="s">
        <v>48</v>
      </c>
      <c r="E1465" s="28" t="n">
        <f aca="false">ROUND((SUMIFS(Acerto_Detalhado!$F$2:$F$433,Acerto_Detalhado!$A$2:$A$433,$C1465,Acerto_Detalhado!$B$2:$B$433,"Abr",Acerto_Detalhado!$C$2:$C$433,"Fibra"))*(SUMIFS(Acerto_Detalhado!$I$2:$I$433,Acerto_Detalhado!$A$2:$A$433,$D1465,Acerto_Detalhado!$B$2:$B$433,"Abr",Acerto_Detalhado!$C$2:$C$433,"Fibra")),2)</f>
        <v>0</v>
      </c>
    </row>
    <row r="1466" customFormat="false" ht="15" hidden="false" customHeight="false" outlineLevel="0" collapsed="false">
      <c r="A1466" s="27" t="s">
        <v>114</v>
      </c>
      <c r="B1466" s="27" t="s">
        <v>111</v>
      </c>
      <c r="C1466" s="27" t="s">
        <v>39</v>
      </c>
      <c r="D1466" s="27" t="s">
        <v>49</v>
      </c>
      <c r="E1466" s="28" t="n">
        <f aca="false">ROUND((SUMIFS(Acerto_Detalhado!$F$2:$F$433,Acerto_Detalhado!$A$2:$A$433,$C1466,Acerto_Detalhado!$B$2:$B$433,"Abr",Acerto_Detalhado!$C$2:$C$433,"Fibra"))*(SUMIFS(Acerto_Detalhado!$I$2:$I$433,Acerto_Detalhado!$A$2:$A$433,$D1466,Acerto_Detalhado!$B$2:$B$433,"Abr",Acerto_Detalhado!$C$2:$C$433,"Fibra")),2)</f>
        <v>0</v>
      </c>
    </row>
    <row r="1467" customFormat="false" ht="15" hidden="false" customHeight="false" outlineLevel="0" collapsed="false">
      <c r="A1467" s="27" t="s">
        <v>114</v>
      </c>
      <c r="B1467" s="27" t="s">
        <v>111</v>
      </c>
      <c r="C1467" s="27" t="s">
        <v>39</v>
      </c>
      <c r="D1467" s="27" t="s">
        <v>50</v>
      </c>
      <c r="E1467" s="28" t="n">
        <f aca="false">ROUND((SUMIFS(Acerto_Detalhado!$F$2:$F$433,Acerto_Detalhado!$A$2:$A$433,$C1467,Acerto_Detalhado!$B$2:$B$433,"Abr",Acerto_Detalhado!$C$2:$C$433,"Fibra"))*(SUMIFS(Acerto_Detalhado!$I$2:$I$433,Acerto_Detalhado!$A$2:$A$433,$D1467,Acerto_Detalhado!$B$2:$B$433,"Abr",Acerto_Detalhado!$C$2:$C$433,"Fibra")),2)</f>
        <v>0</v>
      </c>
    </row>
    <row r="1468" customFormat="false" ht="15" hidden="false" customHeight="false" outlineLevel="0" collapsed="false">
      <c r="A1468" s="27" t="s">
        <v>114</v>
      </c>
      <c r="B1468" s="27" t="s">
        <v>111</v>
      </c>
      <c r="C1468" s="27" t="s">
        <v>40</v>
      </c>
      <c r="D1468" s="27" t="s">
        <v>39</v>
      </c>
      <c r="E1468" s="28" t="n">
        <f aca="false">ROUND((SUMIFS(Acerto_Detalhado!$F$2:$F$433,Acerto_Detalhado!$A$2:$A$433,$C1468,Acerto_Detalhado!$B$2:$B$433,"Abr",Acerto_Detalhado!$C$2:$C$433,"Fibra"))*(SUMIFS(Acerto_Detalhado!$I$2:$I$433,Acerto_Detalhado!$A$2:$A$433,$D1468,Acerto_Detalhado!$B$2:$B$433,"Abr",Acerto_Detalhado!$C$2:$C$433,"Fibra")),2)</f>
        <v>0</v>
      </c>
    </row>
    <row r="1469" customFormat="false" ht="15" hidden="false" customHeight="false" outlineLevel="0" collapsed="false">
      <c r="A1469" s="27" t="s">
        <v>114</v>
      </c>
      <c r="B1469" s="27" t="s">
        <v>111</v>
      </c>
      <c r="C1469" s="27" t="s">
        <v>40</v>
      </c>
      <c r="D1469" s="27" t="s">
        <v>41</v>
      </c>
      <c r="E1469" s="28" t="n">
        <f aca="false">ROUND((SUMIFS(Acerto_Detalhado!$F$2:$F$433,Acerto_Detalhado!$A$2:$A$433,$C1469,Acerto_Detalhado!$B$2:$B$433,"Abr",Acerto_Detalhado!$C$2:$C$433,"Fibra"))*(SUMIFS(Acerto_Detalhado!$I$2:$I$433,Acerto_Detalhado!$A$2:$A$433,$D1469,Acerto_Detalhado!$B$2:$B$433,"Abr",Acerto_Detalhado!$C$2:$C$433,"Fibra")),2)</f>
        <v>0</v>
      </c>
    </row>
    <row r="1470" customFormat="false" ht="15" hidden="false" customHeight="false" outlineLevel="0" collapsed="false">
      <c r="A1470" s="27" t="s">
        <v>114</v>
      </c>
      <c r="B1470" s="27" t="s">
        <v>111</v>
      </c>
      <c r="C1470" s="27" t="s">
        <v>40</v>
      </c>
      <c r="D1470" s="27" t="s">
        <v>42</v>
      </c>
      <c r="E1470" s="28" t="n">
        <f aca="false">ROUND((SUMIFS(Acerto_Detalhado!$F$2:$F$433,Acerto_Detalhado!$A$2:$A$433,$C1470,Acerto_Detalhado!$B$2:$B$433,"Abr",Acerto_Detalhado!$C$2:$C$433,"Fibra"))*(SUMIFS(Acerto_Detalhado!$I$2:$I$433,Acerto_Detalhado!$A$2:$A$433,$D1470,Acerto_Detalhado!$B$2:$B$433,"Abr",Acerto_Detalhado!$C$2:$C$433,"Fibra")),2)</f>
        <v>0</v>
      </c>
    </row>
    <row r="1471" customFormat="false" ht="15" hidden="false" customHeight="false" outlineLevel="0" collapsed="false">
      <c r="A1471" s="27" t="s">
        <v>114</v>
      </c>
      <c r="B1471" s="27" t="s">
        <v>111</v>
      </c>
      <c r="C1471" s="27" t="s">
        <v>40</v>
      </c>
      <c r="D1471" s="27" t="s">
        <v>43</v>
      </c>
      <c r="E1471" s="28" t="n">
        <f aca="false">ROUND((SUMIFS(Acerto_Detalhado!$F$2:$F$433,Acerto_Detalhado!$A$2:$A$433,$C1471,Acerto_Detalhado!$B$2:$B$433,"Abr",Acerto_Detalhado!$C$2:$C$433,"Fibra"))*(SUMIFS(Acerto_Detalhado!$I$2:$I$433,Acerto_Detalhado!$A$2:$A$433,$D1471,Acerto_Detalhado!$B$2:$B$433,"Abr",Acerto_Detalhado!$C$2:$C$433,"Fibra")),2)</f>
        <v>0</v>
      </c>
    </row>
    <row r="1472" customFormat="false" ht="15" hidden="false" customHeight="false" outlineLevel="0" collapsed="false">
      <c r="A1472" s="27" t="s">
        <v>114</v>
      </c>
      <c r="B1472" s="27" t="s">
        <v>111</v>
      </c>
      <c r="C1472" s="27" t="s">
        <v>40</v>
      </c>
      <c r="D1472" s="27" t="s">
        <v>44</v>
      </c>
      <c r="E1472" s="28" t="n">
        <f aca="false">ROUND((SUMIFS(Acerto_Detalhado!$F$2:$F$433,Acerto_Detalhado!$A$2:$A$433,$C1472,Acerto_Detalhado!$B$2:$B$433,"Abr",Acerto_Detalhado!$C$2:$C$433,"Fibra"))*(SUMIFS(Acerto_Detalhado!$I$2:$I$433,Acerto_Detalhado!$A$2:$A$433,$D1472,Acerto_Detalhado!$B$2:$B$433,"Abr",Acerto_Detalhado!$C$2:$C$433,"Fibra")),2)</f>
        <v>0</v>
      </c>
    </row>
    <row r="1473" customFormat="false" ht="15" hidden="false" customHeight="false" outlineLevel="0" collapsed="false">
      <c r="A1473" s="27" t="s">
        <v>114</v>
      </c>
      <c r="B1473" s="27" t="s">
        <v>111</v>
      </c>
      <c r="C1473" s="27" t="s">
        <v>40</v>
      </c>
      <c r="D1473" s="27" t="s">
        <v>45</v>
      </c>
      <c r="E1473" s="28" t="n">
        <f aca="false">ROUND((SUMIFS(Acerto_Detalhado!$F$2:$F$433,Acerto_Detalhado!$A$2:$A$433,$C1473,Acerto_Detalhado!$B$2:$B$433,"Abr",Acerto_Detalhado!$C$2:$C$433,"Fibra"))*(SUMIFS(Acerto_Detalhado!$I$2:$I$433,Acerto_Detalhado!$A$2:$A$433,$D1473,Acerto_Detalhado!$B$2:$B$433,"Abr",Acerto_Detalhado!$C$2:$C$433,"Fibra")),2)</f>
        <v>0</v>
      </c>
    </row>
    <row r="1474" customFormat="false" ht="15" hidden="false" customHeight="false" outlineLevel="0" collapsed="false">
      <c r="A1474" s="27" t="s">
        <v>114</v>
      </c>
      <c r="B1474" s="27" t="s">
        <v>111</v>
      </c>
      <c r="C1474" s="27" t="s">
        <v>40</v>
      </c>
      <c r="D1474" s="27" t="s">
        <v>46</v>
      </c>
      <c r="E1474" s="28" t="n">
        <f aca="false">ROUND((SUMIFS(Acerto_Detalhado!$F$2:$F$433,Acerto_Detalhado!$A$2:$A$433,$C1474,Acerto_Detalhado!$B$2:$B$433,"Abr",Acerto_Detalhado!$C$2:$C$433,"Fibra"))*(SUMIFS(Acerto_Detalhado!$I$2:$I$433,Acerto_Detalhado!$A$2:$A$433,$D1474,Acerto_Detalhado!$B$2:$B$433,"Abr",Acerto_Detalhado!$C$2:$C$433,"Fibra")),2)</f>
        <v>0</v>
      </c>
    </row>
    <row r="1475" customFormat="false" ht="15" hidden="false" customHeight="false" outlineLevel="0" collapsed="false">
      <c r="A1475" s="27" t="s">
        <v>114</v>
      </c>
      <c r="B1475" s="27" t="s">
        <v>111</v>
      </c>
      <c r="C1475" s="27" t="s">
        <v>40</v>
      </c>
      <c r="D1475" s="27" t="s">
        <v>47</v>
      </c>
      <c r="E1475" s="28" t="n">
        <f aca="false">ROUND((SUMIFS(Acerto_Detalhado!$F$2:$F$433,Acerto_Detalhado!$A$2:$A$433,$C1475,Acerto_Detalhado!$B$2:$B$433,"Abr",Acerto_Detalhado!$C$2:$C$433,"Fibra"))*(SUMIFS(Acerto_Detalhado!$I$2:$I$433,Acerto_Detalhado!$A$2:$A$433,$D1475,Acerto_Detalhado!$B$2:$B$433,"Abr",Acerto_Detalhado!$C$2:$C$433,"Fibra")),2)</f>
        <v>0</v>
      </c>
    </row>
    <row r="1476" customFormat="false" ht="15" hidden="false" customHeight="false" outlineLevel="0" collapsed="false">
      <c r="A1476" s="27" t="s">
        <v>114</v>
      </c>
      <c r="B1476" s="27" t="s">
        <v>111</v>
      </c>
      <c r="C1476" s="27" t="s">
        <v>40</v>
      </c>
      <c r="D1476" s="27" t="s">
        <v>48</v>
      </c>
      <c r="E1476" s="28" t="n">
        <f aca="false">ROUND((SUMIFS(Acerto_Detalhado!$F$2:$F$433,Acerto_Detalhado!$A$2:$A$433,$C1476,Acerto_Detalhado!$B$2:$B$433,"Abr",Acerto_Detalhado!$C$2:$C$433,"Fibra"))*(SUMIFS(Acerto_Detalhado!$I$2:$I$433,Acerto_Detalhado!$A$2:$A$433,$D1476,Acerto_Detalhado!$B$2:$B$433,"Abr",Acerto_Detalhado!$C$2:$C$433,"Fibra")),2)</f>
        <v>0</v>
      </c>
    </row>
    <row r="1477" customFormat="false" ht="15" hidden="false" customHeight="false" outlineLevel="0" collapsed="false">
      <c r="A1477" s="27" t="s">
        <v>114</v>
      </c>
      <c r="B1477" s="27" t="s">
        <v>111</v>
      </c>
      <c r="C1477" s="27" t="s">
        <v>40</v>
      </c>
      <c r="D1477" s="27" t="s">
        <v>49</v>
      </c>
      <c r="E1477" s="28" t="n">
        <f aca="false">ROUND((SUMIFS(Acerto_Detalhado!$F$2:$F$433,Acerto_Detalhado!$A$2:$A$433,$C1477,Acerto_Detalhado!$B$2:$B$433,"Abr",Acerto_Detalhado!$C$2:$C$433,"Fibra"))*(SUMIFS(Acerto_Detalhado!$I$2:$I$433,Acerto_Detalhado!$A$2:$A$433,$D1477,Acerto_Detalhado!$B$2:$B$433,"Abr",Acerto_Detalhado!$C$2:$C$433,"Fibra")),2)</f>
        <v>0</v>
      </c>
    </row>
    <row r="1478" customFormat="false" ht="15" hidden="false" customHeight="false" outlineLevel="0" collapsed="false">
      <c r="A1478" s="27" t="s">
        <v>114</v>
      </c>
      <c r="B1478" s="27" t="s">
        <v>111</v>
      </c>
      <c r="C1478" s="27" t="s">
        <v>40</v>
      </c>
      <c r="D1478" s="27" t="s">
        <v>50</v>
      </c>
      <c r="E1478" s="28" t="n">
        <f aca="false">ROUND((SUMIFS(Acerto_Detalhado!$F$2:$F$433,Acerto_Detalhado!$A$2:$A$433,$C1478,Acerto_Detalhado!$B$2:$B$433,"Abr",Acerto_Detalhado!$C$2:$C$433,"Fibra"))*(SUMIFS(Acerto_Detalhado!$I$2:$I$433,Acerto_Detalhado!$A$2:$A$433,$D1478,Acerto_Detalhado!$B$2:$B$433,"Abr",Acerto_Detalhado!$C$2:$C$433,"Fibra")),2)</f>
        <v>0</v>
      </c>
    </row>
    <row r="1479" customFormat="false" ht="15" hidden="false" customHeight="false" outlineLevel="0" collapsed="false">
      <c r="A1479" s="27" t="s">
        <v>114</v>
      </c>
      <c r="B1479" s="27" t="s">
        <v>111</v>
      </c>
      <c r="C1479" s="27" t="s">
        <v>41</v>
      </c>
      <c r="D1479" s="27" t="s">
        <v>39</v>
      </c>
      <c r="E1479" s="28" t="n">
        <f aca="false">ROUND((SUMIFS(Acerto_Detalhado!$F$2:$F$433,Acerto_Detalhado!$A$2:$A$433,$C1479,Acerto_Detalhado!$B$2:$B$433,"Abr",Acerto_Detalhado!$C$2:$C$433,"Fibra"))*(SUMIFS(Acerto_Detalhado!$I$2:$I$433,Acerto_Detalhado!$A$2:$A$433,$D1479,Acerto_Detalhado!$B$2:$B$433,"Abr",Acerto_Detalhado!$C$2:$C$433,"Fibra")),2)</f>
        <v>0</v>
      </c>
    </row>
    <row r="1480" customFormat="false" ht="15" hidden="false" customHeight="false" outlineLevel="0" collapsed="false">
      <c r="A1480" s="27" t="s">
        <v>114</v>
      </c>
      <c r="B1480" s="27" t="s">
        <v>111</v>
      </c>
      <c r="C1480" s="27" t="s">
        <v>41</v>
      </c>
      <c r="D1480" s="27" t="s">
        <v>40</v>
      </c>
      <c r="E1480" s="28" t="n">
        <f aca="false">ROUND((SUMIFS(Acerto_Detalhado!$F$2:$F$433,Acerto_Detalhado!$A$2:$A$433,$C1480,Acerto_Detalhado!$B$2:$B$433,"Abr",Acerto_Detalhado!$C$2:$C$433,"Fibra"))*(SUMIFS(Acerto_Detalhado!$I$2:$I$433,Acerto_Detalhado!$A$2:$A$433,$D1480,Acerto_Detalhado!$B$2:$B$433,"Abr",Acerto_Detalhado!$C$2:$C$433,"Fibra")),2)</f>
        <v>0</v>
      </c>
    </row>
    <row r="1481" customFormat="false" ht="15" hidden="false" customHeight="false" outlineLevel="0" collapsed="false">
      <c r="A1481" s="27" t="s">
        <v>114</v>
      </c>
      <c r="B1481" s="27" t="s">
        <v>111</v>
      </c>
      <c r="C1481" s="27" t="s">
        <v>41</v>
      </c>
      <c r="D1481" s="27" t="s">
        <v>42</v>
      </c>
      <c r="E1481" s="28" t="n">
        <f aca="false">ROUND((SUMIFS(Acerto_Detalhado!$F$2:$F$433,Acerto_Detalhado!$A$2:$A$433,$C1481,Acerto_Detalhado!$B$2:$B$433,"Abr",Acerto_Detalhado!$C$2:$C$433,"Fibra"))*(SUMIFS(Acerto_Detalhado!$I$2:$I$433,Acerto_Detalhado!$A$2:$A$433,$D1481,Acerto_Detalhado!$B$2:$B$433,"Abr",Acerto_Detalhado!$C$2:$C$433,"Fibra")),2)</f>
        <v>0</v>
      </c>
    </row>
    <row r="1482" customFormat="false" ht="15" hidden="false" customHeight="false" outlineLevel="0" collapsed="false">
      <c r="A1482" s="27" t="s">
        <v>114</v>
      </c>
      <c r="B1482" s="27" t="s">
        <v>111</v>
      </c>
      <c r="C1482" s="27" t="s">
        <v>41</v>
      </c>
      <c r="D1482" s="27" t="s">
        <v>43</v>
      </c>
      <c r="E1482" s="28" t="n">
        <f aca="false">ROUND((SUMIFS(Acerto_Detalhado!$F$2:$F$433,Acerto_Detalhado!$A$2:$A$433,$C1482,Acerto_Detalhado!$B$2:$B$433,"Abr",Acerto_Detalhado!$C$2:$C$433,"Fibra"))*(SUMIFS(Acerto_Detalhado!$I$2:$I$433,Acerto_Detalhado!$A$2:$A$433,$D1482,Acerto_Detalhado!$B$2:$B$433,"Abr",Acerto_Detalhado!$C$2:$C$433,"Fibra")),2)</f>
        <v>0</v>
      </c>
    </row>
    <row r="1483" customFormat="false" ht="15" hidden="false" customHeight="false" outlineLevel="0" collapsed="false">
      <c r="A1483" s="27" t="s">
        <v>114</v>
      </c>
      <c r="B1483" s="27" t="s">
        <v>111</v>
      </c>
      <c r="C1483" s="27" t="s">
        <v>41</v>
      </c>
      <c r="D1483" s="27" t="s">
        <v>44</v>
      </c>
      <c r="E1483" s="28" t="n">
        <f aca="false">ROUND((SUMIFS(Acerto_Detalhado!$F$2:$F$433,Acerto_Detalhado!$A$2:$A$433,$C1483,Acerto_Detalhado!$B$2:$B$433,"Abr",Acerto_Detalhado!$C$2:$C$433,"Fibra"))*(SUMIFS(Acerto_Detalhado!$I$2:$I$433,Acerto_Detalhado!$A$2:$A$433,$D1483,Acerto_Detalhado!$B$2:$B$433,"Abr",Acerto_Detalhado!$C$2:$C$433,"Fibra")),2)</f>
        <v>0</v>
      </c>
    </row>
    <row r="1484" customFormat="false" ht="15" hidden="false" customHeight="false" outlineLevel="0" collapsed="false">
      <c r="A1484" s="27" t="s">
        <v>114</v>
      </c>
      <c r="B1484" s="27" t="s">
        <v>111</v>
      </c>
      <c r="C1484" s="27" t="s">
        <v>41</v>
      </c>
      <c r="D1484" s="27" t="s">
        <v>45</v>
      </c>
      <c r="E1484" s="28" t="n">
        <f aca="false">ROUND((SUMIFS(Acerto_Detalhado!$F$2:$F$433,Acerto_Detalhado!$A$2:$A$433,$C1484,Acerto_Detalhado!$B$2:$B$433,"Abr",Acerto_Detalhado!$C$2:$C$433,"Fibra"))*(SUMIFS(Acerto_Detalhado!$I$2:$I$433,Acerto_Detalhado!$A$2:$A$433,$D1484,Acerto_Detalhado!$B$2:$B$433,"Abr",Acerto_Detalhado!$C$2:$C$433,"Fibra")),2)</f>
        <v>0</v>
      </c>
    </row>
    <row r="1485" customFormat="false" ht="15" hidden="false" customHeight="false" outlineLevel="0" collapsed="false">
      <c r="A1485" s="27" t="s">
        <v>114</v>
      </c>
      <c r="B1485" s="27" t="s">
        <v>111</v>
      </c>
      <c r="C1485" s="27" t="s">
        <v>41</v>
      </c>
      <c r="D1485" s="27" t="s">
        <v>46</v>
      </c>
      <c r="E1485" s="28" t="n">
        <f aca="false">ROUND((SUMIFS(Acerto_Detalhado!$F$2:$F$433,Acerto_Detalhado!$A$2:$A$433,$C1485,Acerto_Detalhado!$B$2:$B$433,"Abr",Acerto_Detalhado!$C$2:$C$433,"Fibra"))*(SUMIFS(Acerto_Detalhado!$I$2:$I$433,Acerto_Detalhado!$A$2:$A$433,$D1485,Acerto_Detalhado!$B$2:$B$433,"Abr",Acerto_Detalhado!$C$2:$C$433,"Fibra")),2)</f>
        <v>0</v>
      </c>
    </row>
    <row r="1486" customFormat="false" ht="15" hidden="false" customHeight="false" outlineLevel="0" collapsed="false">
      <c r="A1486" s="27" t="s">
        <v>114</v>
      </c>
      <c r="B1486" s="27" t="s">
        <v>111</v>
      </c>
      <c r="C1486" s="27" t="s">
        <v>41</v>
      </c>
      <c r="D1486" s="27" t="s">
        <v>47</v>
      </c>
      <c r="E1486" s="28" t="n">
        <f aca="false">ROUND((SUMIFS(Acerto_Detalhado!$F$2:$F$433,Acerto_Detalhado!$A$2:$A$433,$C1486,Acerto_Detalhado!$B$2:$B$433,"Abr",Acerto_Detalhado!$C$2:$C$433,"Fibra"))*(SUMIFS(Acerto_Detalhado!$I$2:$I$433,Acerto_Detalhado!$A$2:$A$433,$D1486,Acerto_Detalhado!$B$2:$B$433,"Abr",Acerto_Detalhado!$C$2:$C$433,"Fibra")),2)</f>
        <v>0</v>
      </c>
    </row>
    <row r="1487" customFormat="false" ht="15" hidden="false" customHeight="false" outlineLevel="0" collapsed="false">
      <c r="A1487" s="27" t="s">
        <v>114</v>
      </c>
      <c r="B1487" s="27" t="s">
        <v>111</v>
      </c>
      <c r="C1487" s="27" t="s">
        <v>41</v>
      </c>
      <c r="D1487" s="27" t="s">
        <v>48</v>
      </c>
      <c r="E1487" s="28" t="n">
        <f aca="false">ROUND((SUMIFS(Acerto_Detalhado!$F$2:$F$433,Acerto_Detalhado!$A$2:$A$433,$C1487,Acerto_Detalhado!$B$2:$B$433,"Abr",Acerto_Detalhado!$C$2:$C$433,"Fibra"))*(SUMIFS(Acerto_Detalhado!$I$2:$I$433,Acerto_Detalhado!$A$2:$A$433,$D1487,Acerto_Detalhado!$B$2:$B$433,"Abr",Acerto_Detalhado!$C$2:$C$433,"Fibra")),2)</f>
        <v>0</v>
      </c>
    </row>
    <row r="1488" customFormat="false" ht="15" hidden="false" customHeight="false" outlineLevel="0" collapsed="false">
      <c r="A1488" s="27" t="s">
        <v>114</v>
      </c>
      <c r="B1488" s="27" t="s">
        <v>111</v>
      </c>
      <c r="C1488" s="27" t="s">
        <v>41</v>
      </c>
      <c r="D1488" s="27" t="s">
        <v>49</v>
      </c>
      <c r="E1488" s="28" t="n">
        <f aca="false">ROUND((SUMIFS(Acerto_Detalhado!$F$2:$F$433,Acerto_Detalhado!$A$2:$A$433,$C1488,Acerto_Detalhado!$B$2:$B$433,"Abr",Acerto_Detalhado!$C$2:$C$433,"Fibra"))*(SUMIFS(Acerto_Detalhado!$I$2:$I$433,Acerto_Detalhado!$A$2:$A$433,$D1488,Acerto_Detalhado!$B$2:$B$433,"Abr",Acerto_Detalhado!$C$2:$C$433,"Fibra")),2)</f>
        <v>0</v>
      </c>
    </row>
    <row r="1489" customFormat="false" ht="15" hidden="false" customHeight="false" outlineLevel="0" collapsed="false">
      <c r="A1489" s="27" t="s">
        <v>114</v>
      </c>
      <c r="B1489" s="27" t="s">
        <v>111</v>
      </c>
      <c r="C1489" s="27" t="s">
        <v>41</v>
      </c>
      <c r="D1489" s="27" t="s">
        <v>50</v>
      </c>
      <c r="E1489" s="28" t="n">
        <f aca="false">ROUND((SUMIFS(Acerto_Detalhado!$F$2:$F$433,Acerto_Detalhado!$A$2:$A$433,$C1489,Acerto_Detalhado!$B$2:$B$433,"Abr",Acerto_Detalhado!$C$2:$C$433,"Fibra"))*(SUMIFS(Acerto_Detalhado!$I$2:$I$433,Acerto_Detalhado!$A$2:$A$433,$D1489,Acerto_Detalhado!$B$2:$B$433,"Abr",Acerto_Detalhado!$C$2:$C$433,"Fibra")),2)</f>
        <v>0</v>
      </c>
    </row>
    <row r="1490" customFormat="false" ht="15" hidden="false" customHeight="false" outlineLevel="0" collapsed="false">
      <c r="A1490" s="27" t="s">
        <v>114</v>
      </c>
      <c r="B1490" s="27" t="s">
        <v>111</v>
      </c>
      <c r="C1490" s="27" t="s">
        <v>42</v>
      </c>
      <c r="D1490" s="27" t="s">
        <v>39</v>
      </c>
      <c r="E1490" s="28" t="n">
        <f aca="false">ROUND((SUMIFS(Acerto_Detalhado!$F$2:$F$433,Acerto_Detalhado!$A$2:$A$433,$C1490,Acerto_Detalhado!$B$2:$B$433,"Abr",Acerto_Detalhado!$C$2:$C$433,"Fibra"))*(SUMIFS(Acerto_Detalhado!$I$2:$I$433,Acerto_Detalhado!$A$2:$A$433,$D1490,Acerto_Detalhado!$B$2:$B$433,"Abr",Acerto_Detalhado!$C$2:$C$433,"Fibra")),2)</f>
        <v>0</v>
      </c>
    </row>
    <row r="1491" customFormat="false" ht="15" hidden="false" customHeight="false" outlineLevel="0" collapsed="false">
      <c r="A1491" s="27" t="s">
        <v>114</v>
      </c>
      <c r="B1491" s="27" t="s">
        <v>111</v>
      </c>
      <c r="C1491" s="27" t="s">
        <v>42</v>
      </c>
      <c r="D1491" s="27" t="s">
        <v>40</v>
      </c>
      <c r="E1491" s="28" t="n">
        <f aca="false">ROUND((SUMIFS(Acerto_Detalhado!$F$2:$F$433,Acerto_Detalhado!$A$2:$A$433,$C1491,Acerto_Detalhado!$B$2:$B$433,"Abr",Acerto_Detalhado!$C$2:$C$433,"Fibra"))*(SUMIFS(Acerto_Detalhado!$I$2:$I$433,Acerto_Detalhado!$A$2:$A$433,$D1491,Acerto_Detalhado!$B$2:$B$433,"Abr",Acerto_Detalhado!$C$2:$C$433,"Fibra")),2)</f>
        <v>0</v>
      </c>
    </row>
    <row r="1492" customFormat="false" ht="15" hidden="false" customHeight="false" outlineLevel="0" collapsed="false">
      <c r="A1492" s="27" t="s">
        <v>114</v>
      </c>
      <c r="B1492" s="27" t="s">
        <v>111</v>
      </c>
      <c r="C1492" s="27" t="s">
        <v>42</v>
      </c>
      <c r="D1492" s="27" t="s">
        <v>41</v>
      </c>
      <c r="E1492" s="28" t="n">
        <f aca="false">ROUND((SUMIFS(Acerto_Detalhado!$F$2:$F$433,Acerto_Detalhado!$A$2:$A$433,$C1492,Acerto_Detalhado!$B$2:$B$433,"Abr",Acerto_Detalhado!$C$2:$C$433,"Fibra"))*(SUMIFS(Acerto_Detalhado!$I$2:$I$433,Acerto_Detalhado!$A$2:$A$433,$D1492,Acerto_Detalhado!$B$2:$B$433,"Abr",Acerto_Detalhado!$C$2:$C$433,"Fibra")),2)</f>
        <v>0</v>
      </c>
    </row>
    <row r="1493" customFormat="false" ht="15" hidden="false" customHeight="false" outlineLevel="0" collapsed="false">
      <c r="A1493" s="27" t="s">
        <v>114</v>
      </c>
      <c r="B1493" s="27" t="s">
        <v>111</v>
      </c>
      <c r="C1493" s="27" t="s">
        <v>42</v>
      </c>
      <c r="D1493" s="27" t="s">
        <v>43</v>
      </c>
      <c r="E1493" s="28" t="n">
        <f aca="false">ROUND((SUMIFS(Acerto_Detalhado!$F$2:$F$433,Acerto_Detalhado!$A$2:$A$433,$C1493,Acerto_Detalhado!$B$2:$B$433,"Abr",Acerto_Detalhado!$C$2:$C$433,"Fibra"))*(SUMIFS(Acerto_Detalhado!$I$2:$I$433,Acerto_Detalhado!$A$2:$A$433,$D1493,Acerto_Detalhado!$B$2:$B$433,"Abr",Acerto_Detalhado!$C$2:$C$433,"Fibra")),2)</f>
        <v>0</v>
      </c>
    </row>
    <row r="1494" customFormat="false" ht="15" hidden="false" customHeight="false" outlineLevel="0" collapsed="false">
      <c r="A1494" s="27" t="s">
        <v>114</v>
      </c>
      <c r="B1494" s="27" t="s">
        <v>111</v>
      </c>
      <c r="C1494" s="27" t="s">
        <v>42</v>
      </c>
      <c r="D1494" s="27" t="s">
        <v>44</v>
      </c>
      <c r="E1494" s="28" t="n">
        <f aca="false">ROUND((SUMIFS(Acerto_Detalhado!$F$2:$F$433,Acerto_Detalhado!$A$2:$A$433,$C1494,Acerto_Detalhado!$B$2:$B$433,"Abr",Acerto_Detalhado!$C$2:$C$433,"Fibra"))*(SUMIFS(Acerto_Detalhado!$I$2:$I$433,Acerto_Detalhado!$A$2:$A$433,$D1494,Acerto_Detalhado!$B$2:$B$433,"Abr",Acerto_Detalhado!$C$2:$C$433,"Fibra")),2)</f>
        <v>0</v>
      </c>
    </row>
    <row r="1495" customFormat="false" ht="15" hidden="false" customHeight="false" outlineLevel="0" collapsed="false">
      <c r="A1495" s="27" t="s">
        <v>114</v>
      </c>
      <c r="B1495" s="27" t="s">
        <v>111</v>
      </c>
      <c r="C1495" s="27" t="s">
        <v>42</v>
      </c>
      <c r="D1495" s="27" t="s">
        <v>45</v>
      </c>
      <c r="E1495" s="28" t="n">
        <f aca="false">ROUND((SUMIFS(Acerto_Detalhado!$F$2:$F$433,Acerto_Detalhado!$A$2:$A$433,$C1495,Acerto_Detalhado!$B$2:$B$433,"Abr",Acerto_Detalhado!$C$2:$C$433,"Fibra"))*(SUMIFS(Acerto_Detalhado!$I$2:$I$433,Acerto_Detalhado!$A$2:$A$433,$D1495,Acerto_Detalhado!$B$2:$B$433,"Abr",Acerto_Detalhado!$C$2:$C$433,"Fibra")),2)</f>
        <v>0</v>
      </c>
    </row>
    <row r="1496" customFormat="false" ht="15" hidden="false" customHeight="false" outlineLevel="0" collapsed="false">
      <c r="A1496" s="27" t="s">
        <v>114</v>
      </c>
      <c r="B1496" s="27" t="s">
        <v>111</v>
      </c>
      <c r="C1496" s="27" t="s">
        <v>42</v>
      </c>
      <c r="D1496" s="27" t="s">
        <v>46</v>
      </c>
      <c r="E1496" s="28" t="n">
        <f aca="false">ROUND((SUMIFS(Acerto_Detalhado!$F$2:$F$433,Acerto_Detalhado!$A$2:$A$433,$C1496,Acerto_Detalhado!$B$2:$B$433,"Abr",Acerto_Detalhado!$C$2:$C$433,"Fibra"))*(SUMIFS(Acerto_Detalhado!$I$2:$I$433,Acerto_Detalhado!$A$2:$A$433,$D1496,Acerto_Detalhado!$B$2:$B$433,"Abr",Acerto_Detalhado!$C$2:$C$433,"Fibra")),2)</f>
        <v>0</v>
      </c>
    </row>
    <row r="1497" customFormat="false" ht="15" hidden="false" customHeight="false" outlineLevel="0" collapsed="false">
      <c r="A1497" s="27" t="s">
        <v>114</v>
      </c>
      <c r="B1497" s="27" t="s">
        <v>111</v>
      </c>
      <c r="C1497" s="27" t="s">
        <v>42</v>
      </c>
      <c r="D1497" s="27" t="s">
        <v>47</v>
      </c>
      <c r="E1497" s="28" t="n">
        <f aca="false">ROUND((SUMIFS(Acerto_Detalhado!$F$2:$F$433,Acerto_Detalhado!$A$2:$A$433,$C1497,Acerto_Detalhado!$B$2:$B$433,"Abr",Acerto_Detalhado!$C$2:$C$433,"Fibra"))*(SUMIFS(Acerto_Detalhado!$I$2:$I$433,Acerto_Detalhado!$A$2:$A$433,$D1497,Acerto_Detalhado!$B$2:$B$433,"Abr",Acerto_Detalhado!$C$2:$C$433,"Fibra")),2)</f>
        <v>0</v>
      </c>
    </row>
    <row r="1498" customFormat="false" ht="15" hidden="false" customHeight="false" outlineLevel="0" collapsed="false">
      <c r="A1498" s="27" t="s">
        <v>114</v>
      </c>
      <c r="B1498" s="27" t="s">
        <v>111</v>
      </c>
      <c r="C1498" s="27" t="s">
        <v>42</v>
      </c>
      <c r="D1498" s="27" t="s">
        <v>48</v>
      </c>
      <c r="E1498" s="28" t="n">
        <f aca="false">ROUND((SUMIFS(Acerto_Detalhado!$F$2:$F$433,Acerto_Detalhado!$A$2:$A$433,$C1498,Acerto_Detalhado!$B$2:$B$433,"Abr",Acerto_Detalhado!$C$2:$C$433,"Fibra"))*(SUMIFS(Acerto_Detalhado!$I$2:$I$433,Acerto_Detalhado!$A$2:$A$433,$D1498,Acerto_Detalhado!$B$2:$B$433,"Abr",Acerto_Detalhado!$C$2:$C$433,"Fibra")),2)</f>
        <v>0</v>
      </c>
    </row>
    <row r="1499" customFormat="false" ht="15" hidden="false" customHeight="false" outlineLevel="0" collapsed="false">
      <c r="A1499" s="27" t="s">
        <v>114</v>
      </c>
      <c r="B1499" s="27" t="s">
        <v>111</v>
      </c>
      <c r="C1499" s="27" t="s">
        <v>42</v>
      </c>
      <c r="D1499" s="27" t="s">
        <v>49</v>
      </c>
      <c r="E1499" s="28" t="n">
        <f aca="false">ROUND((SUMIFS(Acerto_Detalhado!$F$2:$F$433,Acerto_Detalhado!$A$2:$A$433,$C1499,Acerto_Detalhado!$B$2:$B$433,"Abr",Acerto_Detalhado!$C$2:$C$433,"Fibra"))*(SUMIFS(Acerto_Detalhado!$I$2:$I$433,Acerto_Detalhado!$A$2:$A$433,$D1499,Acerto_Detalhado!$B$2:$B$433,"Abr",Acerto_Detalhado!$C$2:$C$433,"Fibra")),2)</f>
        <v>0</v>
      </c>
    </row>
    <row r="1500" customFormat="false" ht="15" hidden="false" customHeight="false" outlineLevel="0" collapsed="false">
      <c r="A1500" s="27" t="s">
        <v>114</v>
      </c>
      <c r="B1500" s="27" t="s">
        <v>111</v>
      </c>
      <c r="C1500" s="27" t="s">
        <v>42</v>
      </c>
      <c r="D1500" s="27" t="s">
        <v>50</v>
      </c>
      <c r="E1500" s="28" t="n">
        <f aca="false">ROUND((SUMIFS(Acerto_Detalhado!$F$2:$F$433,Acerto_Detalhado!$A$2:$A$433,$C1500,Acerto_Detalhado!$B$2:$B$433,"Abr",Acerto_Detalhado!$C$2:$C$433,"Fibra"))*(SUMIFS(Acerto_Detalhado!$I$2:$I$433,Acerto_Detalhado!$A$2:$A$433,$D1500,Acerto_Detalhado!$B$2:$B$433,"Abr",Acerto_Detalhado!$C$2:$C$433,"Fibra")),2)</f>
        <v>0</v>
      </c>
    </row>
    <row r="1501" customFormat="false" ht="15" hidden="false" customHeight="false" outlineLevel="0" collapsed="false">
      <c r="A1501" s="27" t="s">
        <v>114</v>
      </c>
      <c r="B1501" s="27" t="s">
        <v>111</v>
      </c>
      <c r="C1501" s="27" t="s">
        <v>43</v>
      </c>
      <c r="D1501" s="27" t="s">
        <v>39</v>
      </c>
      <c r="E1501" s="28" t="n">
        <f aca="false">ROUND((SUMIFS(Acerto_Detalhado!$F$2:$F$433,Acerto_Detalhado!$A$2:$A$433,$C1501,Acerto_Detalhado!$B$2:$B$433,"Abr",Acerto_Detalhado!$C$2:$C$433,"Fibra"))*(SUMIFS(Acerto_Detalhado!$I$2:$I$433,Acerto_Detalhado!$A$2:$A$433,$D1501,Acerto_Detalhado!$B$2:$B$433,"Abr",Acerto_Detalhado!$C$2:$C$433,"Fibra")),2)</f>
        <v>0</v>
      </c>
    </row>
    <row r="1502" customFormat="false" ht="15" hidden="false" customHeight="false" outlineLevel="0" collapsed="false">
      <c r="A1502" s="27" t="s">
        <v>114</v>
      </c>
      <c r="B1502" s="27" t="s">
        <v>111</v>
      </c>
      <c r="C1502" s="27" t="s">
        <v>43</v>
      </c>
      <c r="D1502" s="27" t="s">
        <v>40</v>
      </c>
      <c r="E1502" s="28" t="n">
        <f aca="false">ROUND((SUMIFS(Acerto_Detalhado!$F$2:$F$433,Acerto_Detalhado!$A$2:$A$433,$C1502,Acerto_Detalhado!$B$2:$B$433,"Abr",Acerto_Detalhado!$C$2:$C$433,"Fibra"))*(SUMIFS(Acerto_Detalhado!$I$2:$I$433,Acerto_Detalhado!$A$2:$A$433,$D1502,Acerto_Detalhado!$B$2:$B$433,"Abr",Acerto_Detalhado!$C$2:$C$433,"Fibra")),2)</f>
        <v>8553.75</v>
      </c>
    </row>
    <row r="1503" customFormat="false" ht="15" hidden="false" customHeight="false" outlineLevel="0" collapsed="false">
      <c r="A1503" s="27" t="s">
        <v>114</v>
      </c>
      <c r="B1503" s="27" t="s">
        <v>111</v>
      </c>
      <c r="C1503" s="27" t="s">
        <v>43</v>
      </c>
      <c r="D1503" s="27" t="s">
        <v>41</v>
      </c>
      <c r="E1503" s="28" t="n">
        <f aca="false">ROUND((SUMIFS(Acerto_Detalhado!$F$2:$F$433,Acerto_Detalhado!$A$2:$A$433,$C1503,Acerto_Detalhado!$B$2:$B$433,"Abr",Acerto_Detalhado!$C$2:$C$433,"Fibra"))*(SUMIFS(Acerto_Detalhado!$I$2:$I$433,Acerto_Detalhado!$A$2:$A$433,$D1503,Acerto_Detalhado!$B$2:$B$433,"Abr",Acerto_Detalhado!$C$2:$C$433,"Fibra")),2)</f>
        <v>6877.77</v>
      </c>
    </row>
    <row r="1504" customFormat="false" ht="15" hidden="false" customHeight="false" outlineLevel="0" collapsed="false">
      <c r="A1504" s="27" t="s">
        <v>114</v>
      </c>
      <c r="B1504" s="27" t="s">
        <v>111</v>
      </c>
      <c r="C1504" s="27" t="s">
        <v>43</v>
      </c>
      <c r="D1504" s="27" t="s">
        <v>42</v>
      </c>
      <c r="E1504" s="28" t="n">
        <f aca="false">ROUND((SUMIFS(Acerto_Detalhado!$F$2:$F$433,Acerto_Detalhado!$A$2:$A$433,$C1504,Acerto_Detalhado!$B$2:$B$433,"Abr",Acerto_Detalhado!$C$2:$C$433,"Fibra"))*(SUMIFS(Acerto_Detalhado!$I$2:$I$433,Acerto_Detalhado!$A$2:$A$433,$D1504,Acerto_Detalhado!$B$2:$B$433,"Abr",Acerto_Detalhado!$C$2:$C$433,"Fibra")),2)</f>
        <v>8617.11</v>
      </c>
    </row>
    <row r="1505" customFormat="false" ht="15" hidden="false" customHeight="false" outlineLevel="0" collapsed="false">
      <c r="A1505" s="27" t="s">
        <v>114</v>
      </c>
      <c r="B1505" s="27" t="s">
        <v>111</v>
      </c>
      <c r="C1505" s="27" t="s">
        <v>43</v>
      </c>
      <c r="D1505" s="27" t="s">
        <v>44</v>
      </c>
      <c r="E1505" s="28" t="n">
        <f aca="false">ROUND((SUMIFS(Acerto_Detalhado!$F$2:$F$433,Acerto_Detalhado!$A$2:$A$433,$C1505,Acerto_Detalhado!$B$2:$B$433,"Abr",Acerto_Detalhado!$C$2:$C$433,"Fibra"))*(SUMIFS(Acerto_Detalhado!$I$2:$I$433,Acerto_Detalhado!$A$2:$A$433,$D1505,Acerto_Detalhado!$B$2:$B$433,"Abr",Acerto_Detalhado!$C$2:$C$433,"Fibra")),2)</f>
        <v>14245.36</v>
      </c>
    </row>
    <row r="1506" customFormat="false" ht="15" hidden="false" customHeight="false" outlineLevel="0" collapsed="false">
      <c r="A1506" s="27" t="s">
        <v>114</v>
      </c>
      <c r="B1506" s="27" t="s">
        <v>111</v>
      </c>
      <c r="C1506" s="27" t="s">
        <v>43</v>
      </c>
      <c r="D1506" s="27" t="s">
        <v>45</v>
      </c>
      <c r="E1506" s="28" t="n">
        <f aca="false">ROUND((SUMIFS(Acerto_Detalhado!$F$2:$F$433,Acerto_Detalhado!$A$2:$A$433,$C1506,Acerto_Detalhado!$B$2:$B$433,"Abr",Acerto_Detalhado!$C$2:$C$433,"Fibra"))*(SUMIFS(Acerto_Detalhado!$I$2:$I$433,Acerto_Detalhado!$A$2:$A$433,$D1506,Acerto_Detalhado!$B$2:$B$433,"Abr",Acerto_Detalhado!$C$2:$C$433,"Fibra")),2)</f>
        <v>0</v>
      </c>
    </row>
    <row r="1507" customFormat="false" ht="15" hidden="false" customHeight="false" outlineLevel="0" collapsed="false">
      <c r="A1507" s="27" t="s">
        <v>114</v>
      </c>
      <c r="B1507" s="27" t="s">
        <v>111</v>
      </c>
      <c r="C1507" s="27" t="s">
        <v>43</v>
      </c>
      <c r="D1507" s="27" t="s">
        <v>46</v>
      </c>
      <c r="E1507" s="28" t="n">
        <f aca="false">ROUND((SUMIFS(Acerto_Detalhado!$F$2:$F$433,Acerto_Detalhado!$A$2:$A$433,$C1507,Acerto_Detalhado!$B$2:$B$433,"Abr",Acerto_Detalhado!$C$2:$C$433,"Fibra"))*(SUMIFS(Acerto_Detalhado!$I$2:$I$433,Acerto_Detalhado!$A$2:$A$433,$D1507,Acerto_Detalhado!$B$2:$B$433,"Abr",Acerto_Detalhado!$C$2:$C$433,"Fibra")),2)</f>
        <v>0</v>
      </c>
    </row>
    <row r="1508" customFormat="false" ht="15" hidden="false" customHeight="false" outlineLevel="0" collapsed="false">
      <c r="A1508" s="27" t="s">
        <v>114</v>
      </c>
      <c r="B1508" s="27" t="s">
        <v>111</v>
      </c>
      <c r="C1508" s="27" t="s">
        <v>43</v>
      </c>
      <c r="D1508" s="27" t="s">
        <v>47</v>
      </c>
      <c r="E1508" s="28" t="n">
        <f aca="false">ROUND((SUMIFS(Acerto_Detalhado!$F$2:$F$433,Acerto_Detalhado!$A$2:$A$433,$C1508,Acerto_Detalhado!$B$2:$B$433,"Abr",Acerto_Detalhado!$C$2:$C$433,"Fibra"))*(SUMIFS(Acerto_Detalhado!$I$2:$I$433,Acerto_Detalhado!$A$2:$A$433,$D1508,Acerto_Detalhado!$B$2:$B$433,"Abr",Acerto_Detalhado!$C$2:$C$433,"Fibra")),2)</f>
        <v>0</v>
      </c>
    </row>
    <row r="1509" customFormat="false" ht="15" hidden="false" customHeight="false" outlineLevel="0" collapsed="false">
      <c r="A1509" s="27" t="s">
        <v>114</v>
      </c>
      <c r="B1509" s="27" t="s">
        <v>111</v>
      </c>
      <c r="C1509" s="27" t="s">
        <v>43</v>
      </c>
      <c r="D1509" s="27" t="s">
        <v>48</v>
      </c>
      <c r="E1509" s="28" t="n">
        <f aca="false">ROUND((SUMIFS(Acerto_Detalhado!$F$2:$F$433,Acerto_Detalhado!$A$2:$A$433,$C1509,Acerto_Detalhado!$B$2:$B$433,"Abr",Acerto_Detalhado!$C$2:$C$433,"Fibra"))*(SUMIFS(Acerto_Detalhado!$I$2:$I$433,Acerto_Detalhado!$A$2:$A$433,$D1509,Acerto_Detalhado!$B$2:$B$433,"Abr",Acerto_Detalhado!$C$2:$C$433,"Fibra")),2)</f>
        <v>0</v>
      </c>
    </row>
    <row r="1510" customFormat="false" ht="15" hidden="false" customHeight="false" outlineLevel="0" collapsed="false">
      <c r="A1510" s="27" t="s">
        <v>114</v>
      </c>
      <c r="B1510" s="27" t="s">
        <v>111</v>
      </c>
      <c r="C1510" s="27" t="s">
        <v>43</v>
      </c>
      <c r="D1510" s="27" t="s">
        <v>49</v>
      </c>
      <c r="E1510" s="28" t="n">
        <f aca="false">ROUND((SUMIFS(Acerto_Detalhado!$F$2:$F$433,Acerto_Detalhado!$A$2:$A$433,$C1510,Acerto_Detalhado!$B$2:$B$433,"Abr",Acerto_Detalhado!$C$2:$C$433,"Fibra"))*(SUMIFS(Acerto_Detalhado!$I$2:$I$433,Acerto_Detalhado!$A$2:$A$433,$D1510,Acerto_Detalhado!$B$2:$B$433,"Abr",Acerto_Detalhado!$C$2:$C$433,"Fibra")),2)</f>
        <v>0</v>
      </c>
    </row>
    <row r="1511" customFormat="false" ht="15" hidden="false" customHeight="false" outlineLevel="0" collapsed="false">
      <c r="A1511" s="27" t="s">
        <v>114</v>
      </c>
      <c r="B1511" s="27" t="s">
        <v>111</v>
      </c>
      <c r="C1511" s="27" t="s">
        <v>43</v>
      </c>
      <c r="D1511" s="27" t="s">
        <v>50</v>
      </c>
      <c r="E1511" s="28" t="n">
        <f aca="false">ROUND((SUMIFS(Acerto_Detalhado!$F$2:$F$433,Acerto_Detalhado!$A$2:$A$433,$C1511,Acerto_Detalhado!$B$2:$B$433,"Abr",Acerto_Detalhado!$C$2:$C$433,"Fibra"))*(SUMIFS(Acerto_Detalhado!$I$2:$I$433,Acerto_Detalhado!$A$2:$A$433,$D1511,Acerto_Detalhado!$B$2:$B$433,"Abr",Acerto_Detalhado!$C$2:$C$433,"Fibra")),2)</f>
        <v>0</v>
      </c>
    </row>
    <row r="1512" customFormat="false" ht="15" hidden="false" customHeight="false" outlineLevel="0" collapsed="false">
      <c r="A1512" s="27" t="s">
        <v>114</v>
      </c>
      <c r="B1512" s="27" t="s">
        <v>111</v>
      </c>
      <c r="C1512" s="27" t="s">
        <v>44</v>
      </c>
      <c r="D1512" s="27" t="s">
        <v>39</v>
      </c>
      <c r="E1512" s="28" t="n">
        <f aca="false">ROUND((SUMIFS(Acerto_Detalhado!$F$2:$F$433,Acerto_Detalhado!$A$2:$A$433,$C1512,Acerto_Detalhado!$B$2:$B$433,"Abr",Acerto_Detalhado!$C$2:$C$433,"Fibra"))*(SUMIFS(Acerto_Detalhado!$I$2:$I$433,Acerto_Detalhado!$A$2:$A$433,$D1512,Acerto_Detalhado!$B$2:$B$433,"Abr",Acerto_Detalhado!$C$2:$C$433,"Fibra")),2)</f>
        <v>0</v>
      </c>
    </row>
    <row r="1513" customFormat="false" ht="15" hidden="false" customHeight="false" outlineLevel="0" collapsed="false">
      <c r="A1513" s="27" t="s">
        <v>114</v>
      </c>
      <c r="B1513" s="27" t="s">
        <v>111</v>
      </c>
      <c r="C1513" s="27" t="s">
        <v>44</v>
      </c>
      <c r="D1513" s="27" t="s">
        <v>40</v>
      </c>
      <c r="E1513" s="28" t="n">
        <f aca="false">ROUND((SUMIFS(Acerto_Detalhado!$F$2:$F$433,Acerto_Detalhado!$A$2:$A$433,$C1513,Acerto_Detalhado!$B$2:$B$433,"Abr",Acerto_Detalhado!$C$2:$C$433,"Fibra"))*(SUMIFS(Acerto_Detalhado!$I$2:$I$433,Acerto_Detalhado!$A$2:$A$433,$D1513,Acerto_Detalhado!$B$2:$B$433,"Abr",Acerto_Detalhado!$C$2:$C$433,"Fibra")),2)</f>
        <v>0</v>
      </c>
    </row>
    <row r="1514" customFormat="false" ht="15" hidden="false" customHeight="false" outlineLevel="0" collapsed="false">
      <c r="A1514" s="27" t="s">
        <v>114</v>
      </c>
      <c r="B1514" s="27" t="s">
        <v>111</v>
      </c>
      <c r="C1514" s="27" t="s">
        <v>44</v>
      </c>
      <c r="D1514" s="27" t="s">
        <v>41</v>
      </c>
      <c r="E1514" s="28" t="n">
        <f aca="false">ROUND((SUMIFS(Acerto_Detalhado!$F$2:$F$433,Acerto_Detalhado!$A$2:$A$433,$C1514,Acerto_Detalhado!$B$2:$B$433,"Abr",Acerto_Detalhado!$C$2:$C$433,"Fibra"))*(SUMIFS(Acerto_Detalhado!$I$2:$I$433,Acerto_Detalhado!$A$2:$A$433,$D1514,Acerto_Detalhado!$B$2:$B$433,"Abr",Acerto_Detalhado!$C$2:$C$433,"Fibra")),2)</f>
        <v>0</v>
      </c>
    </row>
    <row r="1515" customFormat="false" ht="15" hidden="false" customHeight="false" outlineLevel="0" collapsed="false">
      <c r="A1515" s="27" t="s">
        <v>114</v>
      </c>
      <c r="B1515" s="27" t="s">
        <v>111</v>
      </c>
      <c r="C1515" s="27" t="s">
        <v>44</v>
      </c>
      <c r="D1515" s="27" t="s">
        <v>42</v>
      </c>
      <c r="E1515" s="28" t="n">
        <f aca="false">ROUND((SUMIFS(Acerto_Detalhado!$F$2:$F$433,Acerto_Detalhado!$A$2:$A$433,$C1515,Acerto_Detalhado!$B$2:$B$433,"Abr",Acerto_Detalhado!$C$2:$C$433,"Fibra"))*(SUMIFS(Acerto_Detalhado!$I$2:$I$433,Acerto_Detalhado!$A$2:$A$433,$D1515,Acerto_Detalhado!$B$2:$B$433,"Abr",Acerto_Detalhado!$C$2:$C$433,"Fibra")),2)</f>
        <v>0</v>
      </c>
    </row>
    <row r="1516" customFormat="false" ht="15" hidden="false" customHeight="false" outlineLevel="0" collapsed="false">
      <c r="A1516" s="27" t="s">
        <v>114</v>
      </c>
      <c r="B1516" s="27" t="s">
        <v>111</v>
      </c>
      <c r="C1516" s="27" t="s">
        <v>44</v>
      </c>
      <c r="D1516" s="27" t="s">
        <v>43</v>
      </c>
      <c r="E1516" s="28" t="n">
        <f aca="false">ROUND((SUMIFS(Acerto_Detalhado!$F$2:$F$433,Acerto_Detalhado!$A$2:$A$433,$C1516,Acerto_Detalhado!$B$2:$B$433,"Abr",Acerto_Detalhado!$C$2:$C$433,"Fibra"))*(SUMIFS(Acerto_Detalhado!$I$2:$I$433,Acerto_Detalhado!$A$2:$A$433,$D1516,Acerto_Detalhado!$B$2:$B$433,"Abr",Acerto_Detalhado!$C$2:$C$433,"Fibra")),2)</f>
        <v>0</v>
      </c>
    </row>
    <row r="1517" customFormat="false" ht="15" hidden="false" customHeight="false" outlineLevel="0" collapsed="false">
      <c r="A1517" s="27" t="s">
        <v>114</v>
      </c>
      <c r="B1517" s="27" t="s">
        <v>111</v>
      </c>
      <c r="C1517" s="27" t="s">
        <v>44</v>
      </c>
      <c r="D1517" s="27" t="s">
        <v>45</v>
      </c>
      <c r="E1517" s="28" t="n">
        <f aca="false">ROUND((SUMIFS(Acerto_Detalhado!$F$2:$F$433,Acerto_Detalhado!$A$2:$A$433,$C1517,Acerto_Detalhado!$B$2:$B$433,"Abr",Acerto_Detalhado!$C$2:$C$433,"Fibra"))*(SUMIFS(Acerto_Detalhado!$I$2:$I$433,Acerto_Detalhado!$A$2:$A$433,$D1517,Acerto_Detalhado!$B$2:$B$433,"Abr",Acerto_Detalhado!$C$2:$C$433,"Fibra")),2)</f>
        <v>0</v>
      </c>
    </row>
    <row r="1518" customFormat="false" ht="15" hidden="false" customHeight="false" outlineLevel="0" collapsed="false">
      <c r="A1518" s="27" t="s">
        <v>114</v>
      </c>
      <c r="B1518" s="27" t="s">
        <v>111</v>
      </c>
      <c r="C1518" s="27" t="s">
        <v>44</v>
      </c>
      <c r="D1518" s="27" t="s">
        <v>46</v>
      </c>
      <c r="E1518" s="28" t="n">
        <f aca="false">ROUND((SUMIFS(Acerto_Detalhado!$F$2:$F$433,Acerto_Detalhado!$A$2:$A$433,$C1518,Acerto_Detalhado!$B$2:$B$433,"Abr",Acerto_Detalhado!$C$2:$C$433,"Fibra"))*(SUMIFS(Acerto_Detalhado!$I$2:$I$433,Acerto_Detalhado!$A$2:$A$433,$D1518,Acerto_Detalhado!$B$2:$B$433,"Abr",Acerto_Detalhado!$C$2:$C$433,"Fibra")),2)</f>
        <v>0</v>
      </c>
    </row>
    <row r="1519" customFormat="false" ht="15" hidden="false" customHeight="false" outlineLevel="0" collapsed="false">
      <c r="A1519" s="27" t="s">
        <v>114</v>
      </c>
      <c r="B1519" s="27" t="s">
        <v>111</v>
      </c>
      <c r="C1519" s="27" t="s">
        <v>44</v>
      </c>
      <c r="D1519" s="27" t="s">
        <v>47</v>
      </c>
      <c r="E1519" s="28" t="n">
        <f aca="false">ROUND((SUMIFS(Acerto_Detalhado!$F$2:$F$433,Acerto_Detalhado!$A$2:$A$433,$C1519,Acerto_Detalhado!$B$2:$B$433,"Abr",Acerto_Detalhado!$C$2:$C$433,"Fibra"))*(SUMIFS(Acerto_Detalhado!$I$2:$I$433,Acerto_Detalhado!$A$2:$A$433,$D1519,Acerto_Detalhado!$B$2:$B$433,"Abr",Acerto_Detalhado!$C$2:$C$433,"Fibra")),2)</f>
        <v>0</v>
      </c>
    </row>
    <row r="1520" customFormat="false" ht="15" hidden="false" customHeight="false" outlineLevel="0" collapsed="false">
      <c r="A1520" s="27" t="s">
        <v>114</v>
      </c>
      <c r="B1520" s="27" t="s">
        <v>111</v>
      </c>
      <c r="C1520" s="27" t="s">
        <v>44</v>
      </c>
      <c r="D1520" s="27" t="s">
        <v>48</v>
      </c>
      <c r="E1520" s="28" t="n">
        <f aca="false">ROUND((SUMIFS(Acerto_Detalhado!$F$2:$F$433,Acerto_Detalhado!$A$2:$A$433,$C1520,Acerto_Detalhado!$B$2:$B$433,"Abr",Acerto_Detalhado!$C$2:$C$433,"Fibra"))*(SUMIFS(Acerto_Detalhado!$I$2:$I$433,Acerto_Detalhado!$A$2:$A$433,$D1520,Acerto_Detalhado!$B$2:$B$433,"Abr",Acerto_Detalhado!$C$2:$C$433,"Fibra")),2)</f>
        <v>0</v>
      </c>
    </row>
    <row r="1521" customFormat="false" ht="15" hidden="false" customHeight="false" outlineLevel="0" collapsed="false">
      <c r="A1521" s="27" t="s">
        <v>114</v>
      </c>
      <c r="B1521" s="27" t="s">
        <v>111</v>
      </c>
      <c r="C1521" s="27" t="s">
        <v>44</v>
      </c>
      <c r="D1521" s="27" t="s">
        <v>49</v>
      </c>
      <c r="E1521" s="28" t="n">
        <f aca="false">ROUND((SUMIFS(Acerto_Detalhado!$F$2:$F$433,Acerto_Detalhado!$A$2:$A$433,$C1521,Acerto_Detalhado!$B$2:$B$433,"Abr",Acerto_Detalhado!$C$2:$C$433,"Fibra"))*(SUMIFS(Acerto_Detalhado!$I$2:$I$433,Acerto_Detalhado!$A$2:$A$433,$D1521,Acerto_Detalhado!$B$2:$B$433,"Abr",Acerto_Detalhado!$C$2:$C$433,"Fibra")),2)</f>
        <v>0</v>
      </c>
    </row>
    <row r="1522" customFormat="false" ht="15" hidden="false" customHeight="false" outlineLevel="0" collapsed="false">
      <c r="A1522" s="27" t="s">
        <v>114</v>
      </c>
      <c r="B1522" s="27" t="s">
        <v>111</v>
      </c>
      <c r="C1522" s="27" t="s">
        <v>44</v>
      </c>
      <c r="D1522" s="27" t="s">
        <v>50</v>
      </c>
      <c r="E1522" s="28" t="n">
        <f aca="false">ROUND((SUMIFS(Acerto_Detalhado!$F$2:$F$433,Acerto_Detalhado!$A$2:$A$433,$C1522,Acerto_Detalhado!$B$2:$B$433,"Abr",Acerto_Detalhado!$C$2:$C$433,"Fibra"))*(SUMIFS(Acerto_Detalhado!$I$2:$I$433,Acerto_Detalhado!$A$2:$A$433,$D1522,Acerto_Detalhado!$B$2:$B$433,"Abr",Acerto_Detalhado!$C$2:$C$433,"Fibra")),2)</f>
        <v>0</v>
      </c>
    </row>
    <row r="1523" customFormat="false" ht="15" hidden="false" customHeight="false" outlineLevel="0" collapsed="false">
      <c r="A1523" s="27" t="s">
        <v>114</v>
      </c>
      <c r="B1523" s="27" t="s">
        <v>111</v>
      </c>
      <c r="C1523" s="27" t="s">
        <v>45</v>
      </c>
      <c r="D1523" s="27" t="s">
        <v>39</v>
      </c>
      <c r="E1523" s="28" t="n">
        <f aca="false">ROUND((SUMIFS(Acerto_Detalhado!$F$2:$F$433,Acerto_Detalhado!$A$2:$A$433,$C1523,Acerto_Detalhado!$B$2:$B$433,"Abr",Acerto_Detalhado!$C$2:$C$433,"Fibra"))*(SUMIFS(Acerto_Detalhado!$I$2:$I$433,Acerto_Detalhado!$A$2:$A$433,$D1523,Acerto_Detalhado!$B$2:$B$433,"Abr",Acerto_Detalhado!$C$2:$C$433,"Fibra")),2)</f>
        <v>0</v>
      </c>
    </row>
    <row r="1524" customFormat="false" ht="15" hidden="false" customHeight="false" outlineLevel="0" collapsed="false">
      <c r="A1524" s="27" t="s">
        <v>114</v>
      </c>
      <c r="B1524" s="27" t="s">
        <v>111</v>
      </c>
      <c r="C1524" s="27" t="s">
        <v>45</v>
      </c>
      <c r="D1524" s="27" t="s">
        <v>40</v>
      </c>
      <c r="E1524" s="28" t="n">
        <f aca="false">ROUND((SUMIFS(Acerto_Detalhado!$F$2:$F$433,Acerto_Detalhado!$A$2:$A$433,$C1524,Acerto_Detalhado!$B$2:$B$433,"Abr",Acerto_Detalhado!$C$2:$C$433,"Fibra"))*(SUMIFS(Acerto_Detalhado!$I$2:$I$433,Acerto_Detalhado!$A$2:$A$433,$D1524,Acerto_Detalhado!$B$2:$B$433,"Abr",Acerto_Detalhado!$C$2:$C$433,"Fibra")),2)</f>
        <v>332.96</v>
      </c>
    </row>
    <row r="1525" customFormat="false" ht="15" hidden="false" customHeight="false" outlineLevel="0" collapsed="false">
      <c r="A1525" s="27" t="s">
        <v>114</v>
      </c>
      <c r="B1525" s="27" t="s">
        <v>111</v>
      </c>
      <c r="C1525" s="27" t="s">
        <v>45</v>
      </c>
      <c r="D1525" s="27" t="s">
        <v>41</v>
      </c>
      <c r="E1525" s="28" t="n">
        <f aca="false">ROUND((SUMIFS(Acerto_Detalhado!$F$2:$F$433,Acerto_Detalhado!$A$2:$A$433,$C1525,Acerto_Detalhado!$B$2:$B$433,"Abr",Acerto_Detalhado!$C$2:$C$433,"Fibra"))*(SUMIFS(Acerto_Detalhado!$I$2:$I$433,Acerto_Detalhado!$A$2:$A$433,$D1525,Acerto_Detalhado!$B$2:$B$433,"Abr",Acerto_Detalhado!$C$2:$C$433,"Fibra")),2)</f>
        <v>267.72</v>
      </c>
    </row>
    <row r="1526" customFormat="false" ht="15" hidden="false" customHeight="false" outlineLevel="0" collapsed="false">
      <c r="A1526" s="27" t="s">
        <v>114</v>
      </c>
      <c r="B1526" s="27" t="s">
        <v>111</v>
      </c>
      <c r="C1526" s="27" t="s">
        <v>45</v>
      </c>
      <c r="D1526" s="27" t="s">
        <v>42</v>
      </c>
      <c r="E1526" s="28" t="n">
        <f aca="false">ROUND((SUMIFS(Acerto_Detalhado!$F$2:$F$433,Acerto_Detalhado!$A$2:$A$433,$C1526,Acerto_Detalhado!$B$2:$B$433,"Abr",Acerto_Detalhado!$C$2:$C$433,"Fibra"))*(SUMIFS(Acerto_Detalhado!$I$2:$I$433,Acerto_Detalhado!$A$2:$A$433,$D1526,Acerto_Detalhado!$B$2:$B$433,"Abr",Acerto_Detalhado!$C$2:$C$433,"Fibra")),2)</f>
        <v>335.42</v>
      </c>
    </row>
    <row r="1527" customFormat="false" ht="15" hidden="false" customHeight="false" outlineLevel="0" collapsed="false">
      <c r="A1527" s="27" t="s">
        <v>114</v>
      </c>
      <c r="B1527" s="27" t="s">
        <v>111</v>
      </c>
      <c r="C1527" s="27" t="s">
        <v>45</v>
      </c>
      <c r="D1527" s="27" t="s">
        <v>43</v>
      </c>
      <c r="E1527" s="28" t="n">
        <f aca="false">ROUND((SUMIFS(Acerto_Detalhado!$F$2:$F$433,Acerto_Detalhado!$A$2:$A$433,$C1527,Acerto_Detalhado!$B$2:$B$433,"Abr",Acerto_Detalhado!$C$2:$C$433,"Fibra"))*(SUMIFS(Acerto_Detalhado!$I$2:$I$433,Acerto_Detalhado!$A$2:$A$433,$D1527,Acerto_Detalhado!$B$2:$B$433,"Abr",Acerto_Detalhado!$C$2:$C$433,"Fibra")),2)</f>
        <v>0</v>
      </c>
    </row>
    <row r="1528" customFormat="false" ht="15" hidden="false" customHeight="false" outlineLevel="0" collapsed="false">
      <c r="A1528" s="27" t="s">
        <v>114</v>
      </c>
      <c r="B1528" s="27" t="s">
        <v>111</v>
      </c>
      <c r="C1528" s="27" t="s">
        <v>45</v>
      </c>
      <c r="D1528" s="27" t="s">
        <v>44</v>
      </c>
      <c r="E1528" s="28" t="n">
        <f aca="false">ROUND((SUMIFS(Acerto_Detalhado!$F$2:$F$433,Acerto_Detalhado!$A$2:$A$433,$C1528,Acerto_Detalhado!$B$2:$B$433,"Abr",Acerto_Detalhado!$C$2:$C$433,"Fibra"))*(SUMIFS(Acerto_Detalhado!$I$2:$I$433,Acerto_Detalhado!$A$2:$A$433,$D1528,Acerto_Detalhado!$B$2:$B$433,"Abr",Acerto_Detalhado!$C$2:$C$433,"Fibra")),2)</f>
        <v>554.51</v>
      </c>
    </row>
    <row r="1529" customFormat="false" ht="15" hidden="false" customHeight="false" outlineLevel="0" collapsed="false">
      <c r="A1529" s="27" t="s">
        <v>114</v>
      </c>
      <c r="B1529" s="27" t="s">
        <v>111</v>
      </c>
      <c r="C1529" s="27" t="s">
        <v>45</v>
      </c>
      <c r="D1529" s="27" t="s">
        <v>46</v>
      </c>
      <c r="E1529" s="28" t="n">
        <f aca="false">ROUND((SUMIFS(Acerto_Detalhado!$F$2:$F$433,Acerto_Detalhado!$A$2:$A$433,$C1529,Acerto_Detalhado!$B$2:$B$433,"Abr",Acerto_Detalhado!$C$2:$C$433,"Fibra"))*(SUMIFS(Acerto_Detalhado!$I$2:$I$433,Acerto_Detalhado!$A$2:$A$433,$D1529,Acerto_Detalhado!$B$2:$B$433,"Abr",Acerto_Detalhado!$C$2:$C$433,"Fibra")),2)</f>
        <v>0</v>
      </c>
    </row>
    <row r="1530" customFormat="false" ht="15" hidden="false" customHeight="false" outlineLevel="0" collapsed="false">
      <c r="A1530" s="27" t="s">
        <v>114</v>
      </c>
      <c r="B1530" s="27" t="s">
        <v>111</v>
      </c>
      <c r="C1530" s="27" t="s">
        <v>45</v>
      </c>
      <c r="D1530" s="27" t="s">
        <v>47</v>
      </c>
      <c r="E1530" s="28" t="n">
        <f aca="false">ROUND((SUMIFS(Acerto_Detalhado!$F$2:$F$433,Acerto_Detalhado!$A$2:$A$433,$C1530,Acerto_Detalhado!$B$2:$B$433,"Abr",Acerto_Detalhado!$C$2:$C$433,"Fibra"))*(SUMIFS(Acerto_Detalhado!$I$2:$I$433,Acerto_Detalhado!$A$2:$A$433,$D1530,Acerto_Detalhado!$B$2:$B$433,"Abr",Acerto_Detalhado!$C$2:$C$433,"Fibra")),2)</f>
        <v>0</v>
      </c>
    </row>
    <row r="1531" customFormat="false" ht="15" hidden="false" customHeight="false" outlineLevel="0" collapsed="false">
      <c r="A1531" s="27" t="s">
        <v>114</v>
      </c>
      <c r="B1531" s="27" t="s">
        <v>111</v>
      </c>
      <c r="C1531" s="27" t="s">
        <v>45</v>
      </c>
      <c r="D1531" s="27" t="s">
        <v>48</v>
      </c>
      <c r="E1531" s="28" t="n">
        <f aca="false">ROUND((SUMIFS(Acerto_Detalhado!$F$2:$F$433,Acerto_Detalhado!$A$2:$A$433,$C1531,Acerto_Detalhado!$B$2:$B$433,"Abr",Acerto_Detalhado!$C$2:$C$433,"Fibra"))*(SUMIFS(Acerto_Detalhado!$I$2:$I$433,Acerto_Detalhado!$A$2:$A$433,$D1531,Acerto_Detalhado!$B$2:$B$433,"Abr",Acerto_Detalhado!$C$2:$C$433,"Fibra")),2)</f>
        <v>0</v>
      </c>
    </row>
    <row r="1532" customFormat="false" ht="15" hidden="false" customHeight="false" outlineLevel="0" collapsed="false">
      <c r="A1532" s="27" t="s">
        <v>114</v>
      </c>
      <c r="B1532" s="27" t="s">
        <v>111</v>
      </c>
      <c r="C1532" s="27" t="s">
        <v>45</v>
      </c>
      <c r="D1532" s="27" t="s">
        <v>49</v>
      </c>
      <c r="E1532" s="28" t="n">
        <f aca="false">ROUND((SUMIFS(Acerto_Detalhado!$F$2:$F$433,Acerto_Detalhado!$A$2:$A$433,$C1532,Acerto_Detalhado!$B$2:$B$433,"Abr",Acerto_Detalhado!$C$2:$C$433,"Fibra"))*(SUMIFS(Acerto_Detalhado!$I$2:$I$433,Acerto_Detalhado!$A$2:$A$433,$D1532,Acerto_Detalhado!$B$2:$B$433,"Abr",Acerto_Detalhado!$C$2:$C$433,"Fibra")),2)</f>
        <v>0</v>
      </c>
    </row>
    <row r="1533" customFormat="false" ht="15" hidden="false" customHeight="false" outlineLevel="0" collapsed="false">
      <c r="A1533" s="27" t="s">
        <v>114</v>
      </c>
      <c r="B1533" s="27" t="s">
        <v>111</v>
      </c>
      <c r="C1533" s="27" t="s">
        <v>45</v>
      </c>
      <c r="D1533" s="27" t="s">
        <v>50</v>
      </c>
      <c r="E1533" s="28" t="n">
        <f aca="false">ROUND((SUMIFS(Acerto_Detalhado!$F$2:$F$433,Acerto_Detalhado!$A$2:$A$433,$C1533,Acerto_Detalhado!$B$2:$B$433,"Abr",Acerto_Detalhado!$C$2:$C$433,"Fibra"))*(SUMIFS(Acerto_Detalhado!$I$2:$I$433,Acerto_Detalhado!$A$2:$A$433,$D1533,Acerto_Detalhado!$B$2:$B$433,"Abr",Acerto_Detalhado!$C$2:$C$433,"Fibra")),2)</f>
        <v>0</v>
      </c>
    </row>
    <row r="1534" customFormat="false" ht="15" hidden="false" customHeight="false" outlineLevel="0" collapsed="false">
      <c r="A1534" s="27" t="s">
        <v>114</v>
      </c>
      <c r="B1534" s="27" t="s">
        <v>111</v>
      </c>
      <c r="C1534" s="27" t="s">
        <v>46</v>
      </c>
      <c r="D1534" s="27" t="s">
        <v>39</v>
      </c>
      <c r="E1534" s="28" t="n">
        <f aca="false">ROUND((SUMIFS(Acerto_Detalhado!$F$2:$F$433,Acerto_Detalhado!$A$2:$A$433,$C1534,Acerto_Detalhado!$B$2:$B$433,"Abr",Acerto_Detalhado!$C$2:$C$433,"Fibra"))*(SUMIFS(Acerto_Detalhado!$I$2:$I$433,Acerto_Detalhado!$A$2:$A$433,$D1534,Acerto_Detalhado!$B$2:$B$433,"Abr",Acerto_Detalhado!$C$2:$C$433,"Fibra")),2)</f>
        <v>0</v>
      </c>
    </row>
    <row r="1535" customFormat="false" ht="15" hidden="false" customHeight="false" outlineLevel="0" collapsed="false">
      <c r="A1535" s="27" t="s">
        <v>114</v>
      </c>
      <c r="B1535" s="27" t="s">
        <v>111</v>
      </c>
      <c r="C1535" s="27" t="s">
        <v>46</v>
      </c>
      <c r="D1535" s="27" t="s">
        <v>40</v>
      </c>
      <c r="E1535" s="28" t="n">
        <f aca="false">ROUND((SUMIFS(Acerto_Detalhado!$F$2:$F$433,Acerto_Detalhado!$A$2:$A$433,$C1535,Acerto_Detalhado!$B$2:$B$433,"Abr",Acerto_Detalhado!$C$2:$C$433,"Fibra"))*(SUMIFS(Acerto_Detalhado!$I$2:$I$433,Acerto_Detalhado!$A$2:$A$433,$D1535,Acerto_Detalhado!$B$2:$B$433,"Abr",Acerto_Detalhado!$C$2:$C$433,"Fibra")),2)</f>
        <v>0</v>
      </c>
    </row>
    <row r="1536" customFormat="false" ht="15" hidden="false" customHeight="false" outlineLevel="0" collapsed="false">
      <c r="A1536" s="27" t="s">
        <v>114</v>
      </c>
      <c r="B1536" s="27" t="s">
        <v>111</v>
      </c>
      <c r="C1536" s="27" t="s">
        <v>46</v>
      </c>
      <c r="D1536" s="27" t="s">
        <v>41</v>
      </c>
      <c r="E1536" s="28" t="n">
        <f aca="false">ROUND((SUMIFS(Acerto_Detalhado!$F$2:$F$433,Acerto_Detalhado!$A$2:$A$433,$C1536,Acerto_Detalhado!$B$2:$B$433,"Abr",Acerto_Detalhado!$C$2:$C$433,"Fibra"))*(SUMIFS(Acerto_Detalhado!$I$2:$I$433,Acerto_Detalhado!$A$2:$A$433,$D1536,Acerto_Detalhado!$B$2:$B$433,"Abr",Acerto_Detalhado!$C$2:$C$433,"Fibra")),2)</f>
        <v>0</v>
      </c>
    </row>
    <row r="1537" customFormat="false" ht="15" hidden="false" customHeight="false" outlineLevel="0" collapsed="false">
      <c r="A1537" s="27" t="s">
        <v>114</v>
      </c>
      <c r="B1537" s="27" t="s">
        <v>111</v>
      </c>
      <c r="C1537" s="27" t="s">
        <v>46</v>
      </c>
      <c r="D1537" s="27" t="s">
        <v>42</v>
      </c>
      <c r="E1537" s="28" t="n">
        <f aca="false">ROUND((SUMIFS(Acerto_Detalhado!$F$2:$F$433,Acerto_Detalhado!$A$2:$A$433,$C1537,Acerto_Detalhado!$B$2:$B$433,"Abr",Acerto_Detalhado!$C$2:$C$433,"Fibra"))*(SUMIFS(Acerto_Detalhado!$I$2:$I$433,Acerto_Detalhado!$A$2:$A$433,$D1537,Acerto_Detalhado!$B$2:$B$433,"Abr",Acerto_Detalhado!$C$2:$C$433,"Fibra")),2)</f>
        <v>0</v>
      </c>
    </row>
    <row r="1538" customFormat="false" ht="15" hidden="false" customHeight="false" outlineLevel="0" collapsed="false">
      <c r="A1538" s="27" t="s">
        <v>114</v>
      </c>
      <c r="B1538" s="27" t="s">
        <v>111</v>
      </c>
      <c r="C1538" s="27" t="s">
        <v>46</v>
      </c>
      <c r="D1538" s="27" t="s">
        <v>43</v>
      </c>
      <c r="E1538" s="28" t="n">
        <f aca="false">ROUND((SUMIFS(Acerto_Detalhado!$F$2:$F$433,Acerto_Detalhado!$A$2:$A$433,$C1538,Acerto_Detalhado!$B$2:$B$433,"Abr",Acerto_Detalhado!$C$2:$C$433,"Fibra"))*(SUMIFS(Acerto_Detalhado!$I$2:$I$433,Acerto_Detalhado!$A$2:$A$433,$D1538,Acerto_Detalhado!$B$2:$B$433,"Abr",Acerto_Detalhado!$C$2:$C$433,"Fibra")),2)</f>
        <v>0</v>
      </c>
    </row>
    <row r="1539" customFormat="false" ht="15" hidden="false" customHeight="false" outlineLevel="0" collapsed="false">
      <c r="A1539" s="27" t="s">
        <v>114</v>
      </c>
      <c r="B1539" s="27" t="s">
        <v>111</v>
      </c>
      <c r="C1539" s="27" t="s">
        <v>46</v>
      </c>
      <c r="D1539" s="27" t="s">
        <v>44</v>
      </c>
      <c r="E1539" s="28" t="n">
        <f aca="false">ROUND((SUMIFS(Acerto_Detalhado!$F$2:$F$433,Acerto_Detalhado!$A$2:$A$433,$C1539,Acerto_Detalhado!$B$2:$B$433,"Abr",Acerto_Detalhado!$C$2:$C$433,"Fibra"))*(SUMIFS(Acerto_Detalhado!$I$2:$I$433,Acerto_Detalhado!$A$2:$A$433,$D1539,Acerto_Detalhado!$B$2:$B$433,"Abr",Acerto_Detalhado!$C$2:$C$433,"Fibra")),2)</f>
        <v>0</v>
      </c>
    </row>
    <row r="1540" customFormat="false" ht="15" hidden="false" customHeight="false" outlineLevel="0" collapsed="false">
      <c r="A1540" s="27" t="s">
        <v>114</v>
      </c>
      <c r="B1540" s="27" t="s">
        <v>111</v>
      </c>
      <c r="C1540" s="27" t="s">
        <v>46</v>
      </c>
      <c r="D1540" s="27" t="s">
        <v>45</v>
      </c>
      <c r="E1540" s="28" t="n">
        <f aca="false">ROUND((SUMIFS(Acerto_Detalhado!$F$2:$F$433,Acerto_Detalhado!$A$2:$A$433,$C1540,Acerto_Detalhado!$B$2:$B$433,"Abr",Acerto_Detalhado!$C$2:$C$433,"Fibra"))*(SUMIFS(Acerto_Detalhado!$I$2:$I$433,Acerto_Detalhado!$A$2:$A$433,$D1540,Acerto_Detalhado!$B$2:$B$433,"Abr",Acerto_Detalhado!$C$2:$C$433,"Fibra")),2)</f>
        <v>0</v>
      </c>
    </row>
    <row r="1541" customFormat="false" ht="15" hidden="false" customHeight="false" outlineLevel="0" collapsed="false">
      <c r="A1541" s="27" t="s">
        <v>114</v>
      </c>
      <c r="B1541" s="27" t="s">
        <v>111</v>
      </c>
      <c r="C1541" s="27" t="s">
        <v>46</v>
      </c>
      <c r="D1541" s="27" t="s">
        <v>47</v>
      </c>
      <c r="E1541" s="28" t="n">
        <f aca="false">ROUND((SUMIFS(Acerto_Detalhado!$F$2:$F$433,Acerto_Detalhado!$A$2:$A$433,$C1541,Acerto_Detalhado!$B$2:$B$433,"Abr",Acerto_Detalhado!$C$2:$C$433,"Fibra"))*(SUMIFS(Acerto_Detalhado!$I$2:$I$433,Acerto_Detalhado!$A$2:$A$433,$D1541,Acerto_Detalhado!$B$2:$B$433,"Abr",Acerto_Detalhado!$C$2:$C$433,"Fibra")),2)</f>
        <v>0</v>
      </c>
    </row>
    <row r="1542" customFormat="false" ht="15" hidden="false" customHeight="false" outlineLevel="0" collapsed="false">
      <c r="A1542" s="27" t="s">
        <v>114</v>
      </c>
      <c r="B1542" s="27" t="s">
        <v>111</v>
      </c>
      <c r="C1542" s="27" t="s">
        <v>46</v>
      </c>
      <c r="D1542" s="27" t="s">
        <v>48</v>
      </c>
      <c r="E1542" s="28" t="n">
        <f aca="false">ROUND((SUMIFS(Acerto_Detalhado!$F$2:$F$433,Acerto_Detalhado!$A$2:$A$433,$C1542,Acerto_Detalhado!$B$2:$B$433,"Abr",Acerto_Detalhado!$C$2:$C$433,"Fibra"))*(SUMIFS(Acerto_Detalhado!$I$2:$I$433,Acerto_Detalhado!$A$2:$A$433,$D1542,Acerto_Detalhado!$B$2:$B$433,"Abr",Acerto_Detalhado!$C$2:$C$433,"Fibra")),2)</f>
        <v>0</v>
      </c>
    </row>
    <row r="1543" customFormat="false" ht="15" hidden="false" customHeight="false" outlineLevel="0" collapsed="false">
      <c r="A1543" s="27" t="s">
        <v>114</v>
      </c>
      <c r="B1543" s="27" t="s">
        <v>111</v>
      </c>
      <c r="C1543" s="27" t="s">
        <v>46</v>
      </c>
      <c r="D1543" s="27" t="s">
        <v>49</v>
      </c>
      <c r="E1543" s="28" t="n">
        <f aca="false">ROUND((SUMIFS(Acerto_Detalhado!$F$2:$F$433,Acerto_Detalhado!$A$2:$A$433,$C1543,Acerto_Detalhado!$B$2:$B$433,"Abr",Acerto_Detalhado!$C$2:$C$433,"Fibra"))*(SUMIFS(Acerto_Detalhado!$I$2:$I$433,Acerto_Detalhado!$A$2:$A$433,$D1543,Acerto_Detalhado!$B$2:$B$433,"Abr",Acerto_Detalhado!$C$2:$C$433,"Fibra")),2)</f>
        <v>0</v>
      </c>
    </row>
    <row r="1544" customFormat="false" ht="15" hidden="false" customHeight="false" outlineLevel="0" collapsed="false">
      <c r="A1544" s="27" t="s">
        <v>114</v>
      </c>
      <c r="B1544" s="27" t="s">
        <v>111</v>
      </c>
      <c r="C1544" s="27" t="s">
        <v>46</v>
      </c>
      <c r="D1544" s="27" t="s">
        <v>50</v>
      </c>
      <c r="E1544" s="28" t="n">
        <f aca="false">ROUND((SUMIFS(Acerto_Detalhado!$F$2:$F$433,Acerto_Detalhado!$A$2:$A$433,$C1544,Acerto_Detalhado!$B$2:$B$433,"Abr",Acerto_Detalhado!$C$2:$C$433,"Fibra"))*(SUMIFS(Acerto_Detalhado!$I$2:$I$433,Acerto_Detalhado!$A$2:$A$433,$D1544,Acerto_Detalhado!$B$2:$B$433,"Abr",Acerto_Detalhado!$C$2:$C$433,"Fibra")),2)</f>
        <v>0</v>
      </c>
    </row>
    <row r="1545" customFormat="false" ht="15" hidden="false" customHeight="false" outlineLevel="0" collapsed="false">
      <c r="A1545" s="27" t="s">
        <v>114</v>
      </c>
      <c r="B1545" s="27" t="s">
        <v>111</v>
      </c>
      <c r="C1545" s="27" t="s">
        <v>47</v>
      </c>
      <c r="D1545" s="27" t="s">
        <v>39</v>
      </c>
      <c r="E1545" s="28" t="n">
        <f aca="false">ROUND((SUMIFS(Acerto_Detalhado!$F$2:$F$433,Acerto_Detalhado!$A$2:$A$433,$C1545,Acerto_Detalhado!$B$2:$B$433,"Abr",Acerto_Detalhado!$C$2:$C$433,"Fibra"))*(SUMIFS(Acerto_Detalhado!$I$2:$I$433,Acerto_Detalhado!$A$2:$A$433,$D1545,Acerto_Detalhado!$B$2:$B$433,"Abr",Acerto_Detalhado!$C$2:$C$433,"Fibra")),2)</f>
        <v>0</v>
      </c>
    </row>
    <row r="1546" customFormat="false" ht="15" hidden="false" customHeight="false" outlineLevel="0" collapsed="false">
      <c r="A1546" s="27" t="s">
        <v>114</v>
      </c>
      <c r="B1546" s="27" t="s">
        <v>111</v>
      </c>
      <c r="C1546" s="27" t="s">
        <v>47</v>
      </c>
      <c r="D1546" s="27" t="s">
        <v>40</v>
      </c>
      <c r="E1546" s="28" t="n">
        <f aca="false">ROUND((SUMIFS(Acerto_Detalhado!$F$2:$F$433,Acerto_Detalhado!$A$2:$A$433,$C1546,Acerto_Detalhado!$B$2:$B$433,"Abr",Acerto_Detalhado!$C$2:$C$433,"Fibra"))*(SUMIFS(Acerto_Detalhado!$I$2:$I$433,Acerto_Detalhado!$A$2:$A$433,$D1546,Acerto_Detalhado!$B$2:$B$433,"Abr",Acerto_Detalhado!$C$2:$C$433,"Fibra")),2)</f>
        <v>0</v>
      </c>
    </row>
    <row r="1547" customFormat="false" ht="15" hidden="false" customHeight="false" outlineLevel="0" collapsed="false">
      <c r="A1547" s="27" t="s">
        <v>114</v>
      </c>
      <c r="B1547" s="27" t="s">
        <v>111</v>
      </c>
      <c r="C1547" s="27" t="s">
        <v>47</v>
      </c>
      <c r="D1547" s="27" t="s">
        <v>41</v>
      </c>
      <c r="E1547" s="28" t="n">
        <f aca="false">ROUND((SUMIFS(Acerto_Detalhado!$F$2:$F$433,Acerto_Detalhado!$A$2:$A$433,$C1547,Acerto_Detalhado!$B$2:$B$433,"Abr",Acerto_Detalhado!$C$2:$C$433,"Fibra"))*(SUMIFS(Acerto_Detalhado!$I$2:$I$433,Acerto_Detalhado!$A$2:$A$433,$D1547,Acerto_Detalhado!$B$2:$B$433,"Abr",Acerto_Detalhado!$C$2:$C$433,"Fibra")),2)</f>
        <v>0</v>
      </c>
    </row>
    <row r="1548" customFormat="false" ht="15" hidden="false" customHeight="false" outlineLevel="0" collapsed="false">
      <c r="A1548" s="27" t="s">
        <v>114</v>
      </c>
      <c r="B1548" s="27" t="s">
        <v>111</v>
      </c>
      <c r="C1548" s="27" t="s">
        <v>47</v>
      </c>
      <c r="D1548" s="27" t="s">
        <v>42</v>
      </c>
      <c r="E1548" s="28" t="n">
        <f aca="false">ROUND((SUMIFS(Acerto_Detalhado!$F$2:$F$433,Acerto_Detalhado!$A$2:$A$433,$C1548,Acerto_Detalhado!$B$2:$B$433,"Abr",Acerto_Detalhado!$C$2:$C$433,"Fibra"))*(SUMIFS(Acerto_Detalhado!$I$2:$I$433,Acerto_Detalhado!$A$2:$A$433,$D1548,Acerto_Detalhado!$B$2:$B$433,"Abr",Acerto_Detalhado!$C$2:$C$433,"Fibra")),2)</f>
        <v>0</v>
      </c>
    </row>
    <row r="1549" customFormat="false" ht="15" hidden="false" customHeight="false" outlineLevel="0" collapsed="false">
      <c r="A1549" s="27" t="s">
        <v>114</v>
      </c>
      <c r="B1549" s="27" t="s">
        <v>111</v>
      </c>
      <c r="C1549" s="27" t="s">
        <v>47</v>
      </c>
      <c r="D1549" s="27" t="s">
        <v>43</v>
      </c>
      <c r="E1549" s="28" t="n">
        <f aca="false">ROUND((SUMIFS(Acerto_Detalhado!$F$2:$F$433,Acerto_Detalhado!$A$2:$A$433,$C1549,Acerto_Detalhado!$B$2:$B$433,"Abr",Acerto_Detalhado!$C$2:$C$433,"Fibra"))*(SUMIFS(Acerto_Detalhado!$I$2:$I$433,Acerto_Detalhado!$A$2:$A$433,$D1549,Acerto_Detalhado!$B$2:$B$433,"Abr",Acerto_Detalhado!$C$2:$C$433,"Fibra")),2)</f>
        <v>0</v>
      </c>
    </row>
    <row r="1550" customFormat="false" ht="15" hidden="false" customHeight="false" outlineLevel="0" collapsed="false">
      <c r="A1550" s="27" t="s">
        <v>114</v>
      </c>
      <c r="B1550" s="27" t="s">
        <v>111</v>
      </c>
      <c r="C1550" s="27" t="s">
        <v>47</v>
      </c>
      <c r="D1550" s="27" t="s">
        <v>44</v>
      </c>
      <c r="E1550" s="28" t="n">
        <f aca="false">ROUND((SUMIFS(Acerto_Detalhado!$F$2:$F$433,Acerto_Detalhado!$A$2:$A$433,$C1550,Acerto_Detalhado!$B$2:$B$433,"Abr",Acerto_Detalhado!$C$2:$C$433,"Fibra"))*(SUMIFS(Acerto_Detalhado!$I$2:$I$433,Acerto_Detalhado!$A$2:$A$433,$D1550,Acerto_Detalhado!$B$2:$B$433,"Abr",Acerto_Detalhado!$C$2:$C$433,"Fibra")),2)</f>
        <v>0</v>
      </c>
    </row>
    <row r="1551" customFormat="false" ht="15" hidden="false" customHeight="false" outlineLevel="0" collapsed="false">
      <c r="A1551" s="27" t="s">
        <v>114</v>
      </c>
      <c r="B1551" s="27" t="s">
        <v>111</v>
      </c>
      <c r="C1551" s="27" t="s">
        <v>47</v>
      </c>
      <c r="D1551" s="27" t="s">
        <v>45</v>
      </c>
      <c r="E1551" s="28" t="n">
        <f aca="false">ROUND((SUMIFS(Acerto_Detalhado!$F$2:$F$433,Acerto_Detalhado!$A$2:$A$433,$C1551,Acerto_Detalhado!$B$2:$B$433,"Abr",Acerto_Detalhado!$C$2:$C$433,"Fibra"))*(SUMIFS(Acerto_Detalhado!$I$2:$I$433,Acerto_Detalhado!$A$2:$A$433,$D1551,Acerto_Detalhado!$B$2:$B$433,"Abr",Acerto_Detalhado!$C$2:$C$433,"Fibra")),2)</f>
        <v>0</v>
      </c>
    </row>
    <row r="1552" customFormat="false" ht="15" hidden="false" customHeight="false" outlineLevel="0" collapsed="false">
      <c r="A1552" s="27" t="s">
        <v>114</v>
      </c>
      <c r="B1552" s="27" t="s">
        <v>111</v>
      </c>
      <c r="C1552" s="27" t="s">
        <v>47</v>
      </c>
      <c r="D1552" s="27" t="s">
        <v>46</v>
      </c>
      <c r="E1552" s="28" t="n">
        <f aca="false">ROUND((SUMIFS(Acerto_Detalhado!$F$2:$F$433,Acerto_Detalhado!$A$2:$A$433,$C1552,Acerto_Detalhado!$B$2:$B$433,"Abr",Acerto_Detalhado!$C$2:$C$433,"Fibra"))*(SUMIFS(Acerto_Detalhado!$I$2:$I$433,Acerto_Detalhado!$A$2:$A$433,$D1552,Acerto_Detalhado!$B$2:$B$433,"Abr",Acerto_Detalhado!$C$2:$C$433,"Fibra")),2)</f>
        <v>0</v>
      </c>
    </row>
    <row r="1553" customFormat="false" ht="15" hidden="false" customHeight="false" outlineLevel="0" collapsed="false">
      <c r="A1553" s="27" t="s">
        <v>114</v>
      </c>
      <c r="B1553" s="27" t="s">
        <v>111</v>
      </c>
      <c r="C1553" s="27" t="s">
        <v>47</v>
      </c>
      <c r="D1553" s="27" t="s">
        <v>48</v>
      </c>
      <c r="E1553" s="28" t="n">
        <f aca="false">ROUND((SUMIFS(Acerto_Detalhado!$F$2:$F$433,Acerto_Detalhado!$A$2:$A$433,$C1553,Acerto_Detalhado!$B$2:$B$433,"Abr",Acerto_Detalhado!$C$2:$C$433,"Fibra"))*(SUMIFS(Acerto_Detalhado!$I$2:$I$433,Acerto_Detalhado!$A$2:$A$433,$D1553,Acerto_Detalhado!$B$2:$B$433,"Abr",Acerto_Detalhado!$C$2:$C$433,"Fibra")),2)</f>
        <v>0</v>
      </c>
    </row>
    <row r="1554" customFormat="false" ht="15" hidden="false" customHeight="false" outlineLevel="0" collapsed="false">
      <c r="A1554" s="27" t="s">
        <v>114</v>
      </c>
      <c r="B1554" s="27" t="s">
        <v>111</v>
      </c>
      <c r="C1554" s="27" t="s">
        <v>47</v>
      </c>
      <c r="D1554" s="27" t="s">
        <v>49</v>
      </c>
      <c r="E1554" s="28" t="n">
        <f aca="false">ROUND((SUMIFS(Acerto_Detalhado!$F$2:$F$433,Acerto_Detalhado!$A$2:$A$433,$C1554,Acerto_Detalhado!$B$2:$B$433,"Abr",Acerto_Detalhado!$C$2:$C$433,"Fibra"))*(SUMIFS(Acerto_Detalhado!$I$2:$I$433,Acerto_Detalhado!$A$2:$A$433,$D1554,Acerto_Detalhado!$B$2:$B$433,"Abr",Acerto_Detalhado!$C$2:$C$433,"Fibra")),2)</f>
        <v>0</v>
      </c>
    </row>
    <row r="1555" customFormat="false" ht="15" hidden="false" customHeight="false" outlineLevel="0" collapsed="false">
      <c r="A1555" s="27" t="s">
        <v>114</v>
      </c>
      <c r="B1555" s="27" t="s">
        <v>111</v>
      </c>
      <c r="C1555" s="27" t="s">
        <v>47</v>
      </c>
      <c r="D1555" s="27" t="s">
        <v>50</v>
      </c>
      <c r="E1555" s="28" t="n">
        <f aca="false">ROUND((SUMIFS(Acerto_Detalhado!$F$2:$F$433,Acerto_Detalhado!$A$2:$A$433,$C1555,Acerto_Detalhado!$B$2:$B$433,"Abr",Acerto_Detalhado!$C$2:$C$433,"Fibra"))*(SUMIFS(Acerto_Detalhado!$I$2:$I$433,Acerto_Detalhado!$A$2:$A$433,$D1555,Acerto_Detalhado!$B$2:$B$433,"Abr",Acerto_Detalhado!$C$2:$C$433,"Fibra")),2)</f>
        <v>0</v>
      </c>
    </row>
    <row r="1556" customFormat="false" ht="15" hidden="false" customHeight="false" outlineLevel="0" collapsed="false">
      <c r="A1556" s="27" t="s">
        <v>114</v>
      </c>
      <c r="B1556" s="27" t="s">
        <v>111</v>
      </c>
      <c r="C1556" s="27" t="s">
        <v>48</v>
      </c>
      <c r="D1556" s="27" t="s">
        <v>39</v>
      </c>
      <c r="E1556" s="28" t="n">
        <f aca="false">ROUND((SUMIFS(Acerto_Detalhado!$F$2:$F$433,Acerto_Detalhado!$A$2:$A$433,$C1556,Acerto_Detalhado!$B$2:$B$433,"Abr",Acerto_Detalhado!$C$2:$C$433,"Fibra"))*(SUMIFS(Acerto_Detalhado!$I$2:$I$433,Acerto_Detalhado!$A$2:$A$433,$D1556,Acerto_Detalhado!$B$2:$B$433,"Abr",Acerto_Detalhado!$C$2:$C$433,"Fibra")),2)</f>
        <v>0</v>
      </c>
    </row>
    <row r="1557" customFormat="false" ht="15" hidden="false" customHeight="false" outlineLevel="0" collapsed="false">
      <c r="A1557" s="27" t="s">
        <v>114</v>
      </c>
      <c r="B1557" s="27" t="s">
        <v>111</v>
      </c>
      <c r="C1557" s="27" t="s">
        <v>48</v>
      </c>
      <c r="D1557" s="27" t="s">
        <v>40</v>
      </c>
      <c r="E1557" s="28" t="n">
        <f aca="false">ROUND((SUMIFS(Acerto_Detalhado!$F$2:$F$433,Acerto_Detalhado!$A$2:$A$433,$C1557,Acerto_Detalhado!$B$2:$B$433,"Abr",Acerto_Detalhado!$C$2:$C$433,"Fibra"))*(SUMIFS(Acerto_Detalhado!$I$2:$I$433,Acerto_Detalhado!$A$2:$A$433,$D1557,Acerto_Detalhado!$B$2:$B$433,"Abr",Acerto_Detalhado!$C$2:$C$433,"Fibra")),2)</f>
        <v>0</v>
      </c>
    </row>
    <row r="1558" customFormat="false" ht="15" hidden="false" customHeight="false" outlineLevel="0" collapsed="false">
      <c r="A1558" s="27" t="s">
        <v>114</v>
      </c>
      <c r="B1558" s="27" t="s">
        <v>111</v>
      </c>
      <c r="C1558" s="27" t="s">
        <v>48</v>
      </c>
      <c r="D1558" s="27" t="s">
        <v>41</v>
      </c>
      <c r="E1558" s="28" t="n">
        <f aca="false">ROUND((SUMIFS(Acerto_Detalhado!$F$2:$F$433,Acerto_Detalhado!$A$2:$A$433,$C1558,Acerto_Detalhado!$B$2:$B$433,"Abr",Acerto_Detalhado!$C$2:$C$433,"Fibra"))*(SUMIFS(Acerto_Detalhado!$I$2:$I$433,Acerto_Detalhado!$A$2:$A$433,$D1558,Acerto_Detalhado!$B$2:$B$433,"Abr",Acerto_Detalhado!$C$2:$C$433,"Fibra")),2)</f>
        <v>0</v>
      </c>
    </row>
    <row r="1559" customFormat="false" ht="15" hidden="false" customHeight="false" outlineLevel="0" collapsed="false">
      <c r="A1559" s="27" t="s">
        <v>114</v>
      </c>
      <c r="B1559" s="27" t="s">
        <v>111</v>
      </c>
      <c r="C1559" s="27" t="s">
        <v>48</v>
      </c>
      <c r="D1559" s="27" t="s">
        <v>42</v>
      </c>
      <c r="E1559" s="28" t="n">
        <f aca="false">ROUND((SUMIFS(Acerto_Detalhado!$F$2:$F$433,Acerto_Detalhado!$A$2:$A$433,$C1559,Acerto_Detalhado!$B$2:$B$433,"Abr",Acerto_Detalhado!$C$2:$C$433,"Fibra"))*(SUMIFS(Acerto_Detalhado!$I$2:$I$433,Acerto_Detalhado!$A$2:$A$433,$D1559,Acerto_Detalhado!$B$2:$B$433,"Abr",Acerto_Detalhado!$C$2:$C$433,"Fibra")),2)</f>
        <v>0</v>
      </c>
    </row>
    <row r="1560" customFormat="false" ht="15" hidden="false" customHeight="false" outlineLevel="0" collapsed="false">
      <c r="A1560" s="27" t="s">
        <v>114</v>
      </c>
      <c r="B1560" s="27" t="s">
        <v>111</v>
      </c>
      <c r="C1560" s="27" t="s">
        <v>48</v>
      </c>
      <c r="D1560" s="27" t="s">
        <v>43</v>
      </c>
      <c r="E1560" s="28" t="n">
        <f aca="false">ROUND((SUMIFS(Acerto_Detalhado!$F$2:$F$433,Acerto_Detalhado!$A$2:$A$433,$C1560,Acerto_Detalhado!$B$2:$B$433,"Abr",Acerto_Detalhado!$C$2:$C$433,"Fibra"))*(SUMIFS(Acerto_Detalhado!$I$2:$I$433,Acerto_Detalhado!$A$2:$A$433,$D1560,Acerto_Detalhado!$B$2:$B$433,"Abr",Acerto_Detalhado!$C$2:$C$433,"Fibra")),2)</f>
        <v>0</v>
      </c>
    </row>
    <row r="1561" customFormat="false" ht="15" hidden="false" customHeight="false" outlineLevel="0" collapsed="false">
      <c r="A1561" s="27" t="s">
        <v>114</v>
      </c>
      <c r="B1561" s="27" t="s">
        <v>111</v>
      </c>
      <c r="C1561" s="27" t="s">
        <v>48</v>
      </c>
      <c r="D1561" s="27" t="s">
        <v>44</v>
      </c>
      <c r="E1561" s="28" t="n">
        <f aca="false">ROUND((SUMIFS(Acerto_Detalhado!$F$2:$F$433,Acerto_Detalhado!$A$2:$A$433,$C1561,Acerto_Detalhado!$B$2:$B$433,"Abr",Acerto_Detalhado!$C$2:$C$433,"Fibra"))*(SUMIFS(Acerto_Detalhado!$I$2:$I$433,Acerto_Detalhado!$A$2:$A$433,$D1561,Acerto_Detalhado!$B$2:$B$433,"Abr",Acerto_Detalhado!$C$2:$C$433,"Fibra")),2)</f>
        <v>0</v>
      </c>
    </row>
    <row r="1562" customFormat="false" ht="15" hidden="false" customHeight="false" outlineLevel="0" collapsed="false">
      <c r="A1562" s="27" t="s">
        <v>114</v>
      </c>
      <c r="B1562" s="27" t="s">
        <v>111</v>
      </c>
      <c r="C1562" s="27" t="s">
        <v>48</v>
      </c>
      <c r="D1562" s="27" t="s">
        <v>45</v>
      </c>
      <c r="E1562" s="28" t="n">
        <f aca="false">ROUND((SUMIFS(Acerto_Detalhado!$F$2:$F$433,Acerto_Detalhado!$A$2:$A$433,$C1562,Acerto_Detalhado!$B$2:$B$433,"Abr",Acerto_Detalhado!$C$2:$C$433,"Fibra"))*(SUMIFS(Acerto_Detalhado!$I$2:$I$433,Acerto_Detalhado!$A$2:$A$433,$D1562,Acerto_Detalhado!$B$2:$B$433,"Abr",Acerto_Detalhado!$C$2:$C$433,"Fibra")),2)</f>
        <v>0</v>
      </c>
    </row>
    <row r="1563" customFormat="false" ht="15" hidden="false" customHeight="false" outlineLevel="0" collapsed="false">
      <c r="A1563" s="27" t="s">
        <v>114</v>
      </c>
      <c r="B1563" s="27" t="s">
        <v>111</v>
      </c>
      <c r="C1563" s="27" t="s">
        <v>48</v>
      </c>
      <c r="D1563" s="27" t="s">
        <v>46</v>
      </c>
      <c r="E1563" s="28" t="n">
        <f aca="false">ROUND((SUMIFS(Acerto_Detalhado!$F$2:$F$433,Acerto_Detalhado!$A$2:$A$433,$C1563,Acerto_Detalhado!$B$2:$B$433,"Abr",Acerto_Detalhado!$C$2:$C$433,"Fibra"))*(SUMIFS(Acerto_Detalhado!$I$2:$I$433,Acerto_Detalhado!$A$2:$A$433,$D1563,Acerto_Detalhado!$B$2:$B$433,"Abr",Acerto_Detalhado!$C$2:$C$433,"Fibra")),2)</f>
        <v>0</v>
      </c>
    </row>
    <row r="1564" customFormat="false" ht="15" hidden="false" customHeight="false" outlineLevel="0" collapsed="false">
      <c r="A1564" s="27" t="s">
        <v>114</v>
      </c>
      <c r="B1564" s="27" t="s">
        <v>111</v>
      </c>
      <c r="C1564" s="27" t="s">
        <v>48</v>
      </c>
      <c r="D1564" s="27" t="s">
        <v>47</v>
      </c>
      <c r="E1564" s="28" t="n">
        <f aca="false">ROUND((SUMIFS(Acerto_Detalhado!$F$2:$F$433,Acerto_Detalhado!$A$2:$A$433,$C1564,Acerto_Detalhado!$B$2:$B$433,"Abr",Acerto_Detalhado!$C$2:$C$433,"Fibra"))*(SUMIFS(Acerto_Detalhado!$I$2:$I$433,Acerto_Detalhado!$A$2:$A$433,$D1564,Acerto_Detalhado!$B$2:$B$433,"Abr",Acerto_Detalhado!$C$2:$C$433,"Fibra")),2)</f>
        <v>0</v>
      </c>
    </row>
    <row r="1565" customFormat="false" ht="15" hidden="false" customHeight="false" outlineLevel="0" collapsed="false">
      <c r="A1565" s="27" t="s">
        <v>114</v>
      </c>
      <c r="B1565" s="27" t="s">
        <v>111</v>
      </c>
      <c r="C1565" s="27" t="s">
        <v>48</v>
      </c>
      <c r="D1565" s="27" t="s">
        <v>49</v>
      </c>
      <c r="E1565" s="28" t="n">
        <f aca="false">ROUND((SUMIFS(Acerto_Detalhado!$F$2:$F$433,Acerto_Detalhado!$A$2:$A$433,$C1565,Acerto_Detalhado!$B$2:$B$433,"Abr",Acerto_Detalhado!$C$2:$C$433,"Fibra"))*(SUMIFS(Acerto_Detalhado!$I$2:$I$433,Acerto_Detalhado!$A$2:$A$433,$D1565,Acerto_Detalhado!$B$2:$B$433,"Abr",Acerto_Detalhado!$C$2:$C$433,"Fibra")),2)</f>
        <v>0</v>
      </c>
    </row>
    <row r="1566" customFormat="false" ht="15" hidden="false" customHeight="false" outlineLevel="0" collapsed="false">
      <c r="A1566" s="27" t="s">
        <v>114</v>
      </c>
      <c r="B1566" s="27" t="s">
        <v>111</v>
      </c>
      <c r="C1566" s="27" t="s">
        <v>48</v>
      </c>
      <c r="D1566" s="27" t="s">
        <v>50</v>
      </c>
      <c r="E1566" s="28" t="n">
        <f aca="false">ROUND((SUMIFS(Acerto_Detalhado!$F$2:$F$433,Acerto_Detalhado!$A$2:$A$433,$C1566,Acerto_Detalhado!$B$2:$B$433,"Abr",Acerto_Detalhado!$C$2:$C$433,"Fibra"))*(SUMIFS(Acerto_Detalhado!$I$2:$I$433,Acerto_Detalhado!$A$2:$A$433,$D1566,Acerto_Detalhado!$B$2:$B$433,"Abr",Acerto_Detalhado!$C$2:$C$433,"Fibra")),2)</f>
        <v>0</v>
      </c>
    </row>
    <row r="1567" customFormat="false" ht="15" hidden="false" customHeight="false" outlineLevel="0" collapsed="false">
      <c r="A1567" s="27" t="s">
        <v>114</v>
      </c>
      <c r="B1567" s="27" t="s">
        <v>111</v>
      </c>
      <c r="C1567" s="27" t="s">
        <v>49</v>
      </c>
      <c r="D1567" s="27" t="s">
        <v>39</v>
      </c>
      <c r="E1567" s="28" t="n">
        <f aca="false">ROUND((SUMIFS(Acerto_Detalhado!$F$2:$F$433,Acerto_Detalhado!$A$2:$A$433,$C1567,Acerto_Detalhado!$B$2:$B$433,"Abr",Acerto_Detalhado!$C$2:$C$433,"Fibra"))*(SUMIFS(Acerto_Detalhado!$I$2:$I$433,Acerto_Detalhado!$A$2:$A$433,$D1567,Acerto_Detalhado!$B$2:$B$433,"Abr",Acerto_Detalhado!$C$2:$C$433,"Fibra")),2)</f>
        <v>0</v>
      </c>
    </row>
    <row r="1568" customFormat="false" ht="15" hidden="false" customHeight="false" outlineLevel="0" collapsed="false">
      <c r="A1568" s="27" t="s">
        <v>114</v>
      </c>
      <c r="B1568" s="27" t="s">
        <v>111</v>
      </c>
      <c r="C1568" s="27" t="s">
        <v>49</v>
      </c>
      <c r="D1568" s="27" t="s">
        <v>40</v>
      </c>
      <c r="E1568" s="28" t="n">
        <f aca="false">ROUND((SUMIFS(Acerto_Detalhado!$F$2:$F$433,Acerto_Detalhado!$A$2:$A$433,$C1568,Acerto_Detalhado!$B$2:$B$433,"Abr",Acerto_Detalhado!$C$2:$C$433,"Fibra"))*(SUMIFS(Acerto_Detalhado!$I$2:$I$433,Acerto_Detalhado!$A$2:$A$433,$D1568,Acerto_Detalhado!$B$2:$B$433,"Abr",Acerto_Detalhado!$C$2:$C$433,"Fibra")),2)</f>
        <v>0</v>
      </c>
    </row>
    <row r="1569" customFormat="false" ht="15" hidden="false" customHeight="false" outlineLevel="0" collapsed="false">
      <c r="A1569" s="27" t="s">
        <v>114</v>
      </c>
      <c r="B1569" s="27" t="s">
        <v>111</v>
      </c>
      <c r="C1569" s="27" t="s">
        <v>49</v>
      </c>
      <c r="D1569" s="27" t="s">
        <v>41</v>
      </c>
      <c r="E1569" s="28" t="n">
        <f aca="false">ROUND((SUMIFS(Acerto_Detalhado!$F$2:$F$433,Acerto_Detalhado!$A$2:$A$433,$C1569,Acerto_Detalhado!$B$2:$B$433,"Abr",Acerto_Detalhado!$C$2:$C$433,"Fibra"))*(SUMIFS(Acerto_Detalhado!$I$2:$I$433,Acerto_Detalhado!$A$2:$A$433,$D1569,Acerto_Detalhado!$B$2:$B$433,"Abr",Acerto_Detalhado!$C$2:$C$433,"Fibra")),2)</f>
        <v>0</v>
      </c>
    </row>
    <row r="1570" customFormat="false" ht="15" hidden="false" customHeight="false" outlineLevel="0" collapsed="false">
      <c r="A1570" s="27" t="s">
        <v>114</v>
      </c>
      <c r="B1570" s="27" t="s">
        <v>111</v>
      </c>
      <c r="C1570" s="27" t="s">
        <v>49</v>
      </c>
      <c r="D1570" s="27" t="s">
        <v>42</v>
      </c>
      <c r="E1570" s="28" t="n">
        <f aca="false">ROUND((SUMIFS(Acerto_Detalhado!$F$2:$F$433,Acerto_Detalhado!$A$2:$A$433,$C1570,Acerto_Detalhado!$B$2:$B$433,"Abr",Acerto_Detalhado!$C$2:$C$433,"Fibra"))*(SUMIFS(Acerto_Detalhado!$I$2:$I$433,Acerto_Detalhado!$A$2:$A$433,$D1570,Acerto_Detalhado!$B$2:$B$433,"Abr",Acerto_Detalhado!$C$2:$C$433,"Fibra")),2)</f>
        <v>0</v>
      </c>
    </row>
    <row r="1571" customFormat="false" ht="15" hidden="false" customHeight="false" outlineLevel="0" collapsed="false">
      <c r="A1571" s="27" t="s">
        <v>114</v>
      </c>
      <c r="B1571" s="27" t="s">
        <v>111</v>
      </c>
      <c r="C1571" s="27" t="s">
        <v>49</v>
      </c>
      <c r="D1571" s="27" t="s">
        <v>43</v>
      </c>
      <c r="E1571" s="28" t="n">
        <f aca="false">ROUND((SUMIFS(Acerto_Detalhado!$F$2:$F$433,Acerto_Detalhado!$A$2:$A$433,$C1571,Acerto_Detalhado!$B$2:$B$433,"Abr",Acerto_Detalhado!$C$2:$C$433,"Fibra"))*(SUMIFS(Acerto_Detalhado!$I$2:$I$433,Acerto_Detalhado!$A$2:$A$433,$D1571,Acerto_Detalhado!$B$2:$B$433,"Abr",Acerto_Detalhado!$C$2:$C$433,"Fibra")),2)</f>
        <v>0</v>
      </c>
    </row>
    <row r="1572" customFormat="false" ht="15" hidden="false" customHeight="false" outlineLevel="0" collapsed="false">
      <c r="A1572" s="27" t="s">
        <v>114</v>
      </c>
      <c r="B1572" s="27" t="s">
        <v>111</v>
      </c>
      <c r="C1572" s="27" t="s">
        <v>49</v>
      </c>
      <c r="D1572" s="27" t="s">
        <v>44</v>
      </c>
      <c r="E1572" s="28" t="n">
        <f aca="false">ROUND((SUMIFS(Acerto_Detalhado!$F$2:$F$433,Acerto_Detalhado!$A$2:$A$433,$C1572,Acerto_Detalhado!$B$2:$B$433,"Abr",Acerto_Detalhado!$C$2:$C$433,"Fibra"))*(SUMIFS(Acerto_Detalhado!$I$2:$I$433,Acerto_Detalhado!$A$2:$A$433,$D1572,Acerto_Detalhado!$B$2:$B$433,"Abr",Acerto_Detalhado!$C$2:$C$433,"Fibra")),2)</f>
        <v>0</v>
      </c>
    </row>
    <row r="1573" customFormat="false" ht="15" hidden="false" customHeight="false" outlineLevel="0" collapsed="false">
      <c r="A1573" s="27" t="s">
        <v>114</v>
      </c>
      <c r="B1573" s="27" t="s">
        <v>111</v>
      </c>
      <c r="C1573" s="27" t="s">
        <v>49</v>
      </c>
      <c r="D1573" s="27" t="s">
        <v>45</v>
      </c>
      <c r="E1573" s="28" t="n">
        <f aca="false">ROUND((SUMIFS(Acerto_Detalhado!$F$2:$F$433,Acerto_Detalhado!$A$2:$A$433,$C1573,Acerto_Detalhado!$B$2:$B$433,"Abr",Acerto_Detalhado!$C$2:$C$433,"Fibra"))*(SUMIFS(Acerto_Detalhado!$I$2:$I$433,Acerto_Detalhado!$A$2:$A$433,$D1573,Acerto_Detalhado!$B$2:$B$433,"Abr",Acerto_Detalhado!$C$2:$C$433,"Fibra")),2)</f>
        <v>0</v>
      </c>
    </row>
    <row r="1574" customFormat="false" ht="15" hidden="false" customHeight="false" outlineLevel="0" collapsed="false">
      <c r="A1574" s="27" t="s">
        <v>114</v>
      </c>
      <c r="B1574" s="27" t="s">
        <v>111</v>
      </c>
      <c r="C1574" s="27" t="s">
        <v>49</v>
      </c>
      <c r="D1574" s="27" t="s">
        <v>46</v>
      </c>
      <c r="E1574" s="28" t="n">
        <f aca="false">ROUND((SUMIFS(Acerto_Detalhado!$F$2:$F$433,Acerto_Detalhado!$A$2:$A$433,$C1574,Acerto_Detalhado!$B$2:$B$433,"Abr",Acerto_Detalhado!$C$2:$C$433,"Fibra"))*(SUMIFS(Acerto_Detalhado!$I$2:$I$433,Acerto_Detalhado!$A$2:$A$433,$D1574,Acerto_Detalhado!$B$2:$B$433,"Abr",Acerto_Detalhado!$C$2:$C$433,"Fibra")),2)</f>
        <v>0</v>
      </c>
    </row>
    <row r="1575" customFormat="false" ht="15" hidden="false" customHeight="false" outlineLevel="0" collapsed="false">
      <c r="A1575" s="27" t="s">
        <v>114</v>
      </c>
      <c r="B1575" s="27" t="s">
        <v>111</v>
      </c>
      <c r="C1575" s="27" t="s">
        <v>49</v>
      </c>
      <c r="D1575" s="27" t="s">
        <v>47</v>
      </c>
      <c r="E1575" s="28" t="n">
        <f aca="false">ROUND((SUMIFS(Acerto_Detalhado!$F$2:$F$433,Acerto_Detalhado!$A$2:$A$433,$C1575,Acerto_Detalhado!$B$2:$B$433,"Abr",Acerto_Detalhado!$C$2:$C$433,"Fibra"))*(SUMIFS(Acerto_Detalhado!$I$2:$I$433,Acerto_Detalhado!$A$2:$A$433,$D1575,Acerto_Detalhado!$B$2:$B$433,"Abr",Acerto_Detalhado!$C$2:$C$433,"Fibra")),2)</f>
        <v>0</v>
      </c>
    </row>
    <row r="1576" customFormat="false" ht="15" hidden="false" customHeight="false" outlineLevel="0" collapsed="false">
      <c r="A1576" s="27" t="s">
        <v>114</v>
      </c>
      <c r="B1576" s="27" t="s">
        <v>111</v>
      </c>
      <c r="C1576" s="27" t="s">
        <v>49</v>
      </c>
      <c r="D1576" s="27" t="s">
        <v>48</v>
      </c>
      <c r="E1576" s="28" t="n">
        <f aca="false">ROUND((SUMIFS(Acerto_Detalhado!$F$2:$F$433,Acerto_Detalhado!$A$2:$A$433,$C1576,Acerto_Detalhado!$B$2:$B$433,"Abr",Acerto_Detalhado!$C$2:$C$433,"Fibra"))*(SUMIFS(Acerto_Detalhado!$I$2:$I$433,Acerto_Detalhado!$A$2:$A$433,$D1576,Acerto_Detalhado!$B$2:$B$433,"Abr",Acerto_Detalhado!$C$2:$C$433,"Fibra")),2)</f>
        <v>0</v>
      </c>
    </row>
    <row r="1577" customFormat="false" ht="15" hidden="false" customHeight="false" outlineLevel="0" collapsed="false">
      <c r="A1577" s="27" t="s">
        <v>114</v>
      </c>
      <c r="B1577" s="27" t="s">
        <v>111</v>
      </c>
      <c r="C1577" s="27" t="s">
        <v>49</v>
      </c>
      <c r="D1577" s="27" t="s">
        <v>50</v>
      </c>
      <c r="E1577" s="28" t="n">
        <f aca="false">ROUND((SUMIFS(Acerto_Detalhado!$F$2:$F$433,Acerto_Detalhado!$A$2:$A$433,$C1577,Acerto_Detalhado!$B$2:$B$433,"Abr",Acerto_Detalhado!$C$2:$C$433,"Fibra"))*(SUMIFS(Acerto_Detalhado!$I$2:$I$433,Acerto_Detalhado!$A$2:$A$433,$D1577,Acerto_Detalhado!$B$2:$B$433,"Abr",Acerto_Detalhado!$C$2:$C$433,"Fibra")),2)</f>
        <v>0</v>
      </c>
    </row>
    <row r="1578" customFormat="false" ht="15" hidden="false" customHeight="false" outlineLevel="0" collapsed="false">
      <c r="A1578" s="27" t="s">
        <v>114</v>
      </c>
      <c r="B1578" s="27" t="s">
        <v>111</v>
      </c>
      <c r="C1578" s="27" t="s">
        <v>50</v>
      </c>
      <c r="D1578" s="27" t="s">
        <v>39</v>
      </c>
      <c r="E1578" s="28" t="n">
        <f aca="false">ROUND((SUMIFS(Acerto_Detalhado!$F$2:$F$433,Acerto_Detalhado!$A$2:$A$433,$C1578,Acerto_Detalhado!$B$2:$B$433,"Abr",Acerto_Detalhado!$C$2:$C$433,"Fibra"))*(SUMIFS(Acerto_Detalhado!$I$2:$I$433,Acerto_Detalhado!$A$2:$A$433,$D1578,Acerto_Detalhado!$B$2:$B$433,"Abr",Acerto_Detalhado!$C$2:$C$433,"Fibra")),2)</f>
        <v>0</v>
      </c>
    </row>
    <row r="1579" customFormat="false" ht="15" hidden="false" customHeight="false" outlineLevel="0" collapsed="false">
      <c r="A1579" s="27" t="s">
        <v>114</v>
      </c>
      <c r="B1579" s="27" t="s">
        <v>111</v>
      </c>
      <c r="C1579" s="27" t="s">
        <v>50</v>
      </c>
      <c r="D1579" s="27" t="s">
        <v>40</v>
      </c>
      <c r="E1579" s="28" t="n">
        <f aca="false">ROUND((SUMIFS(Acerto_Detalhado!$F$2:$F$433,Acerto_Detalhado!$A$2:$A$433,$C1579,Acerto_Detalhado!$B$2:$B$433,"Abr",Acerto_Detalhado!$C$2:$C$433,"Fibra"))*(SUMIFS(Acerto_Detalhado!$I$2:$I$433,Acerto_Detalhado!$A$2:$A$433,$D1579,Acerto_Detalhado!$B$2:$B$433,"Abr",Acerto_Detalhado!$C$2:$C$433,"Fibra")),2)</f>
        <v>0</v>
      </c>
    </row>
    <row r="1580" customFormat="false" ht="15" hidden="false" customHeight="false" outlineLevel="0" collapsed="false">
      <c r="A1580" s="27" t="s">
        <v>114</v>
      </c>
      <c r="B1580" s="27" t="s">
        <v>111</v>
      </c>
      <c r="C1580" s="27" t="s">
        <v>50</v>
      </c>
      <c r="D1580" s="27" t="s">
        <v>41</v>
      </c>
      <c r="E1580" s="28" t="n">
        <f aca="false">ROUND((SUMIFS(Acerto_Detalhado!$F$2:$F$433,Acerto_Detalhado!$A$2:$A$433,$C1580,Acerto_Detalhado!$B$2:$B$433,"Abr",Acerto_Detalhado!$C$2:$C$433,"Fibra"))*(SUMIFS(Acerto_Detalhado!$I$2:$I$433,Acerto_Detalhado!$A$2:$A$433,$D1580,Acerto_Detalhado!$B$2:$B$433,"Abr",Acerto_Detalhado!$C$2:$C$433,"Fibra")),2)</f>
        <v>0</v>
      </c>
    </row>
    <row r="1581" customFormat="false" ht="15" hidden="false" customHeight="false" outlineLevel="0" collapsed="false">
      <c r="A1581" s="27" t="s">
        <v>114</v>
      </c>
      <c r="B1581" s="27" t="s">
        <v>111</v>
      </c>
      <c r="C1581" s="27" t="s">
        <v>50</v>
      </c>
      <c r="D1581" s="27" t="s">
        <v>42</v>
      </c>
      <c r="E1581" s="28" t="n">
        <f aca="false">ROUND((SUMIFS(Acerto_Detalhado!$F$2:$F$433,Acerto_Detalhado!$A$2:$A$433,$C1581,Acerto_Detalhado!$B$2:$B$433,"Abr",Acerto_Detalhado!$C$2:$C$433,"Fibra"))*(SUMIFS(Acerto_Detalhado!$I$2:$I$433,Acerto_Detalhado!$A$2:$A$433,$D1581,Acerto_Detalhado!$B$2:$B$433,"Abr",Acerto_Detalhado!$C$2:$C$433,"Fibra")),2)</f>
        <v>0</v>
      </c>
    </row>
    <row r="1582" customFormat="false" ht="15" hidden="false" customHeight="false" outlineLevel="0" collapsed="false">
      <c r="A1582" s="27" t="s">
        <v>114</v>
      </c>
      <c r="B1582" s="27" t="s">
        <v>111</v>
      </c>
      <c r="C1582" s="27" t="s">
        <v>50</v>
      </c>
      <c r="D1582" s="27" t="s">
        <v>43</v>
      </c>
      <c r="E1582" s="28" t="n">
        <f aca="false">ROUND((SUMIFS(Acerto_Detalhado!$F$2:$F$433,Acerto_Detalhado!$A$2:$A$433,$C1582,Acerto_Detalhado!$B$2:$B$433,"Abr",Acerto_Detalhado!$C$2:$C$433,"Fibra"))*(SUMIFS(Acerto_Detalhado!$I$2:$I$433,Acerto_Detalhado!$A$2:$A$433,$D1582,Acerto_Detalhado!$B$2:$B$433,"Abr",Acerto_Detalhado!$C$2:$C$433,"Fibra")),2)</f>
        <v>0</v>
      </c>
    </row>
    <row r="1583" customFormat="false" ht="15" hidden="false" customHeight="false" outlineLevel="0" collapsed="false">
      <c r="A1583" s="27" t="s">
        <v>114</v>
      </c>
      <c r="B1583" s="27" t="s">
        <v>111</v>
      </c>
      <c r="C1583" s="27" t="s">
        <v>50</v>
      </c>
      <c r="D1583" s="27" t="s">
        <v>44</v>
      </c>
      <c r="E1583" s="28" t="n">
        <f aca="false">ROUND((SUMIFS(Acerto_Detalhado!$F$2:$F$433,Acerto_Detalhado!$A$2:$A$433,$C1583,Acerto_Detalhado!$B$2:$B$433,"Abr",Acerto_Detalhado!$C$2:$C$433,"Fibra"))*(SUMIFS(Acerto_Detalhado!$I$2:$I$433,Acerto_Detalhado!$A$2:$A$433,$D1583,Acerto_Detalhado!$B$2:$B$433,"Abr",Acerto_Detalhado!$C$2:$C$433,"Fibra")),2)</f>
        <v>0</v>
      </c>
    </row>
    <row r="1584" customFormat="false" ht="15" hidden="false" customHeight="false" outlineLevel="0" collapsed="false">
      <c r="A1584" s="27" t="s">
        <v>114</v>
      </c>
      <c r="B1584" s="27" t="s">
        <v>111</v>
      </c>
      <c r="C1584" s="27" t="s">
        <v>50</v>
      </c>
      <c r="D1584" s="27" t="s">
        <v>45</v>
      </c>
      <c r="E1584" s="28" t="n">
        <f aca="false">ROUND((SUMIFS(Acerto_Detalhado!$F$2:$F$433,Acerto_Detalhado!$A$2:$A$433,$C1584,Acerto_Detalhado!$B$2:$B$433,"Abr",Acerto_Detalhado!$C$2:$C$433,"Fibra"))*(SUMIFS(Acerto_Detalhado!$I$2:$I$433,Acerto_Detalhado!$A$2:$A$433,$D1584,Acerto_Detalhado!$B$2:$B$433,"Abr",Acerto_Detalhado!$C$2:$C$433,"Fibra")),2)</f>
        <v>0</v>
      </c>
    </row>
    <row r="1585" customFormat="false" ht="15" hidden="false" customHeight="false" outlineLevel="0" collapsed="false">
      <c r="A1585" s="27" t="s">
        <v>114</v>
      </c>
      <c r="B1585" s="27" t="s">
        <v>111</v>
      </c>
      <c r="C1585" s="27" t="s">
        <v>50</v>
      </c>
      <c r="D1585" s="27" t="s">
        <v>46</v>
      </c>
      <c r="E1585" s="28" t="n">
        <f aca="false">ROUND((SUMIFS(Acerto_Detalhado!$F$2:$F$433,Acerto_Detalhado!$A$2:$A$433,$C1585,Acerto_Detalhado!$B$2:$B$433,"Abr",Acerto_Detalhado!$C$2:$C$433,"Fibra"))*(SUMIFS(Acerto_Detalhado!$I$2:$I$433,Acerto_Detalhado!$A$2:$A$433,$D1585,Acerto_Detalhado!$B$2:$B$433,"Abr",Acerto_Detalhado!$C$2:$C$433,"Fibra")),2)</f>
        <v>0</v>
      </c>
    </row>
    <row r="1586" customFormat="false" ht="15" hidden="false" customHeight="false" outlineLevel="0" collapsed="false">
      <c r="A1586" s="27" t="s">
        <v>114</v>
      </c>
      <c r="B1586" s="27" t="s">
        <v>111</v>
      </c>
      <c r="C1586" s="27" t="s">
        <v>50</v>
      </c>
      <c r="D1586" s="27" t="s">
        <v>47</v>
      </c>
      <c r="E1586" s="28" t="n">
        <f aca="false">ROUND((SUMIFS(Acerto_Detalhado!$F$2:$F$433,Acerto_Detalhado!$A$2:$A$433,$C1586,Acerto_Detalhado!$B$2:$B$433,"Abr",Acerto_Detalhado!$C$2:$C$433,"Fibra"))*(SUMIFS(Acerto_Detalhado!$I$2:$I$433,Acerto_Detalhado!$A$2:$A$433,$D1586,Acerto_Detalhado!$B$2:$B$433,"Abr",Acerto_Detalhado!$C$2:$C$433,"Fibra")),2)</f>
        <v>0</v>
      </c>
    </row>
    <row r="1587" customFormat="false" ht="15" hidden="false" customHeight="false" outlineLevel="0" collapsed="false">
      <c r="A1587" s="27" t="s">
        <v>114</v>
      </c>
      <c r="B1587" s="27" t="s">
        <v>111</v>
      </c>
      <c r="C1587" s="27" t="s">
        <v>50</v>
      </c>
      <c r="D1587" s="27" t="s">
        <v>48</v>
      </c>
      <c r="E1587" s="28" t="n">
        <f aca="false">ROUND((SUMIFS(Acerto_Detalhado!$F$2:$F$433,Acerto_Detalhado!$A$2:$A$433,$C1587,Acerto_Detalhado!$B$2:$B$433,"Abr",Acerto_Detalhado!$C$2:$C$433,"Fibra"))*(SUMIFS(Acerto_Detalhado!$I$2:$I$433,Acerto_Detalhado!$A$2:$A$433,$D1587,Acerto_Detalhado!$B$2:$B$433,"Abr",Acerto_Detalhado!$C$2:$C$433,"Fibra")),2)</f>
        <v>0</v>
      </c>
    </row>
    <row r="1588" customFormat="false" ht="15" hidden="false" customHeight="false" outlineLevel="0" collapsed="false">
      <c r="A1588" s="27" t="s">
        <v>114</v>
      </c>
      <c r="B1588" s="27" t="s">
        <v>111</v>
      </c>
      <c r="C1588" s="27" t="s">
        <v>50</v>
      </c>
      <c r="D1588" s="27" t="s">
        <v>49</v>
      </c>
      <c r="E1588" s="28" t="n">
        <f aca="false">ROUND((SUMIFS(Acerto_Detalhado!$F$2:$F$433,Acerto_Detalhado!$A$2:$A$433,$C1588,Acerto_Detalhado!$B$2:$B$433,"Abr",Acerto_Detalhado!$C$2:$C$433,"Fibra"))*(SUMIFS(Acerto_Detalhado!$I$2:$I$433,Acerto_Detalhado!$A$2:$A$433,$D1588,Acerto_Detalhado!$B$2:$B$433,"Abr",Acerto_Detalhado!$C$2:$C$433,"Fibra")),2)</f>
        <v>0</v>
      </c>
    </row>
    <row r="1589" customFormat="false" ht="15" hidden="false" customHeight="false" outlineLevel="0" collapsed="false">
      <c r="A1589" s="27" t="s">
        <v>115</v>
      </c>
      <c r="B1589" s="27" t="s">
        <v>109</v>
      </c>
      <c r="C1589" s="27" t="s">
        <v>39</v>
      </c>
      <c r="D1589" s="27" t="s">
        <v>40</v>
      </c>
      <c r="E1589" s="28" t="n">
        <f aca="false">ROUND((SUMIFS(Acerto_Detalhado!$F$2:$F$433,Acerto_Detalhado!$A$2:$A$433,$C1589,Acerto_Detalhado!$B$2:$B$433,"Mai",Acerto_Detalhado!$C$2:$C$433,"Proteina"))*(SUMIFS(Acerto_Detalhado!$I$2:$I$433,Acerto_Detalhado!$A$2:$A$433,$D1589,Acerto_Detalhado!$B$2:$B$433,"Mai",Acerto_Detalhado!$C$2:$C$433,"Proteina")),2)</f>
        <v>3314.03</v>
      </c>
    </row>
    <row r="1590" customFormat="false" ht="15" hidden="false" customHeight="false" outlineLevel="0" collapsed="false">
      <c r="A1590" s="27" t="s">
        <v>115</v>
      </c>
      <c r="B1590" s="27" t="s">
        <v>109</v>
      </c>
      <c r="C1590" s="27" t="s">
        <v>39</v>
      </c>
      <c r="D1590" s="27" t="s">
        <v>41</v>
      </c>
      <c r="E1590" s="28" t="n">
        <f aca="false">ROUND((SUMIFS(Acerto_Detalhado!$F$2:$F$433,Acerto_Detalhado!$A$2:$A$433,$C1590,Acerto_Detalhado!$B$2:$B$433,"Mai",Acerto_Detalhado!$C$2:$C$433,"Proteina"))*(SUMIFS(Acerto_Detalhado!$I$2:$I$433,Acerto_Detalhado!$A$2:$A$433,$D1590,Acerto_Detalhado!$B$2:$B$433,"Mai",Acerto_Detalhado!$C$2:$C$433,"Proteina")),2)</f>
        <v>0</v>
      </c>
    </row>
    <row r="1591" customFormat="false" ht="15" hidden="false" customHeight="false" outlineLevel="0" collapsed="false">
      <c r="A1591" s="27" t="s">
        <v>115</v>
      </c>
      <c r="B1591" s="27" t="s">
        <v>109</v>
      </c>
      <c r="C1591" s="27" t="s">
        <v>39</v>
      </c>
      <c r="D1591" s="27" t="s">
        <v>42</v>
      </c>
      <c r="E1591" s="28" t="n">
        <f aca="false">ROUND((SUMIFS(Acerto_Detalhado!$F$2:$F$433,Acerto_Detalhado!$A$2:$A$433,$C1591,Acerto_Detalhado!$B$2:$B$433,"Mai",Acerto_Detalhado!$C$2:$C$433,"Proteina"))*(SUMIFS(Acerto_Detalhado!$I$2:$I$433,Acerto_Detalhado!$A$2:$A$433,$D1591,Acerto_Detalhado!$B$2:$B$433,"Mai",Acerto_Detalhado!$C$2:$C$433,"Proteina")),2)</f>
        <v>0</v>
      </c>
    </row>
    <row r="1592" customFormat="false" ht="15" hidden="false" customHeight="false" outlineLevel="0" collapsed="false">
      <c r="A1592" s="27" t="s">
        <v>115</v>
      </c>
      <c r="B1592" s="27" t="s">
        <v>109</v>
      </c>
      <c r="C1592" s="27" t="s">
        <v>39</v>
      </c>
      <c r="D1592" s="27" t="s">
        <v>43</v>
      </c>
      <c r="E1592" s="28" t="n">
        <f aca="false">ROUND((SUMIFS(Acerto_Detalhado!$F$2:$F$433,Acerto_Detalhado!$A$2:$A$433,$C1592,Acerto_Detalhado!$B$2:$B$433,"Mai",Acerto_Detalhado!$C$2:$C$433,"Proteina"))*(SUMIFS(Acerto_Detalhado!$I$2:$I$433,Acerto_Detalhado!$A$2:$A$433,$D1592,Acerto_Detalhado!$B$2:$B$433,"Mai",Acerto_Detalhado!$C$2:$C$433,"Proteina")),2)</f>
        <v>4259.27</v>
      </c>
    </row>
    <row r="1593" customFormat="false" ht="15" hidden="false" customHeight="false" outlineLevel="0" collapsed="false">
      <c r="A1593" s="27" t="s">
        <v>115</v>
      </c>
      <c r="B1593" s="27" t="s">
        <v>109</v>
      </c>
      <c r="C1593" s="27" t="s">
        <v>39</v>
      </c>
      <c r="D1593" s="27" t="s">
        <v>44</v>
      </c>
      <c r="E1593" s="28" t="n">
        <f aca="false">ROUND((SUMIFS(Acerto_Detalhado!$F$2:$F$433,Acerto_Detalhado!$A$2:$A$433,$C1593,Acerto_Detalhado!$B$2:$B$433,"Mai",Acerto_Detalhado!$C$2:$C$433,"Proteina"))*(SUMIFS(Acerto_Detalhado!$I$2:$I$433,Acerto_Detalhado!$A$2:$A$433,$D1593,Acerto_Detalhado!$B$2:$B$433,"Mai",Acerto_Detalhado!$C$2:$C$433,"Proteina")),2)</f>
        <v>0</v>
      </c>
    </row>
    <row r="1594" customFormat="false" ht="15" hidden="false" customHeight="false" outlineLevel="0" collapsed="false">
      <c r="A1594" s="27" t="s">
        <v>115</v>
      </c>
      <c r="B1594" s="27" t="s">
        <v>109</v>
      </c>
      <c r="C1594" s="27" t="s">
        <v>39</v>
      </c>
      <c r="D1594" s="27" t="s">
        <v>45</v>
      </c>
      <c r="E1594" s="28" t="n">
        <f aca="false">ROUND((SUMIFS(Acerto_Detalhado!$F$2:$F$433,Acerto_Detalhado!$A$2:$A$433,$C1594,Acerto_Detalhado!$B$2:$B$433,"Mai",Acerto_Detalhado!$C$2:$C$433,"Proteina"))*(SUMIFS(Acerto_Detalhado!$I$2:$I$433,Acerto_Detalhado!$A$2:$A$433,$D1594,Acerto_Detalhado!$B$2:$B$433,"Mai",Acerto_Detalhado!$C$2:$C$433,"Proteina")),2)</f>
        <v>0</v>
      </c>
    </row>
    <row r="1595" customFormat="false" ht="15" hidden="false" customHeight="false" outlineLevel="0" collapsed="false">
      <c r="A1595" s="27" t="s">
        <v>115</v>
      </c>
      <c r="B1595" s="27" t="s">
        <v>109</v>
      </c>
      <c r="C1595" s="27" t="s">
        <v>39</v>
      </c>
      <c r="D1595" s="27" t="s">
        <v>46</v>
      </c>
      <c r="E1595" s="28" t="n">
        <f aca="false">ROUND((SUMIFS(Acerto_Detalhado!$F$2:$F$433,Acerto_Detalhado!$A$2:$A$433,$C1595,Acerto_Detalhado!$B$2:$B$433,"Mai",Acerto_Detalhado!$C$2:$C$433,"Proteina"))*(SUMIFS(Acerto_Detalhado!$I$2:$I$433,Acerto_Detalhado!$A$2:$A$433,$D1595,Acerto_Detalhado!$B$2:$B$433,"Mai",Acerto_Detalhado!$C$2:$C$433,"Proteina")),2)</f>
        <v>0</v>
      </c>
    </row>
    <row r="1596" customFormat="false" ht="15" hidden="false" customHeight="false" outlineLevel="0" collapsed="false">
      <c r="A1596" s="27" t="s">
        <v>115</v>
      </c>
      <c r="B1596" s="27" t="s">
        <v>109</v>
      </c>
      <c r="C1596" s="27" t="s">
        <v>39</v>
      </c>
      <c r="D1596" s="27" t="s">
        <v>47</v>
      </c>
      <c r="E1596" s="28" t="n">
        <f aca="false">ROUND((SUMIFS(Acerto_Detalhado!$F$2:$F$433,Acerto_Detalhado!$A$2:$A$433,$C1596,Acerto_Detalhado!$B$2:$B$433,"Mai",Acerto_Detalhado!$C$2:$C$433,"Proteina"))*(SUMIFS(Acerto_Detalhado!$I$2:$I$433,Acerto_Detalhado!$A$2:$A$433,$D1596,Acerto_Detalhado!$B$2:$B$433,"Mai",Acerto_Detalhado!$C$2:$C$433,"Proteina")),2)</f>
        <v>0</v>
      </c>
    </row>
    <row r="1597" customFormat="false" ht="15" hidden="false" customHeight="false" outlineLevel="0" collapsed="false">
      <c r="A1597" s="27" t="s">
        <v>115</v>
      </c>
      <c r="B1597" s="27" t="s">
        <v>109</v>
      </c>
      <c r="C1597" s="27" t="s">
        <v>39</v>
      </c>
      <c r="D1597" s="27" t="s">
        <v>48</v>
      </c>
      <c r="E1597" s="28" t="n">
        <f aca="false">ROUND((SUMIFS(Acerto_Detalhado!$F$2:$F$433,Acerto_Detalhado!$A$2:$A$433,$C1597,Acerto_Detalhado!$B$2:$B$433,"Mai",Acerto_Detalhado!$C$2:$C$433,"Proteina"))*(SUMIFS(Acerto_Detalhado!$I$2:$I$433,Acerto_Detalhado!$A$2:$A$433,$D1597,Acerto_Detalhado!$B$2:$B$433,"Mai",Acerto_Detalhado!$C$2:$C$433,"Proteina")),2)</f>
        <v>0</v>
      </c>
    </row>
    <row r="1598" customFormat="false" ht="15" hidden="false" customHeight="false" outlineLevel="0" collapsed="false">
      <c r="A1598" s="27" t="s">
        <v>115</v>
      </c>
      <c r="B1598" s="27" t="s">
        <v>109</v>
      </c>
      <c r="C1598" s="27" t="s">
        <v>39</v>
      </c>
      <c r="D1598" s="27" t="s">
        <v>49</v>
      </c>
      <c r="E1598" s="28" t="n">
        <f aca="false">ROUND((SUMIFS(Acerto_Detalhado!$F$2:$F$433,Acerto_Detalhado!$A$2:$A$433,$C1598,Acerto_Detalhado!$B$2:$B$433,"Mai",Acerto_Detalhado!$C$2:$C$433,"Proteina"))*(SUMIFS(Acerto_Detalhado!$I$2:$I$433,Acerto_Detalhado!$A$2:$A$433,$D1598,Acerto_Detalhado!$B$2:$B$433,"Mai",Acerto_Detalhado!$C$2:$C$433,"Proteina")),2)</f>
        <v>0</v>
      </c>
    </row>
    <row r="1599" customFormat="false" ht="15" hidden="false" customHeight="false" outlineLevel="0" collapsed="false">
      <c r="A1599" s="27" t="s">
        <v>115</v>
      </c>
      <c r="B1599" s="27" t="s">
        <v>109</v>
      </c>
      <c r="C1599" s="27" t="s">
        <v>39</v>
      </c>
      <c r="D1599" s="27" t="s">
        <v>50</v>
      </c>
      <c r="E1599" s="28" t="n">
        <f aca="false">ROUND((SUMIFS(Acerto_Detalhado!$F$2:$F$433,Acerto_Detalhado!$A$2:$A$433,$C1599,Acerto_Detalhado!$B$2:$B$433,"Mai",Acerto_Detalhado!$C$2:$C$433,"Proteina"))*(SUMIFS(Acerto_Detalhado!$I$2:$I$433,Acerto_Detalhado!$A$2:$A$433,$D1599,Acerto_Detalhado!$B$2:$B$433,"Mai",Acerto_Detalhado!$C$2:$C$433,"Proteina")),2)</f>
        <v>0</v>
      </c>
    </row>
    <row r="1600" customFormat="false" ht="15" hidden="false" customHeight="false" outlineLevel="0" collapsed="false">
      <c r="A1600" s="27" t="s">
        <v>115</v>
      </c>
      <c r="B1600" s="27" t="s">
        <v>109</v>
      </c>
      <c r="C1600" s="27" t="s">
        <v>40</v>
      </c>
      <c r="D1600" s="27" t="s">
        <v>39</v>
      </c>
      <c r="E1600" s="28" t="n">
        <f aca="false">ROUND((SUMIFS(Acerto_Detalhado!$F$2:$F$433,Acerto_Detalhado!$A$2:$A$433,$C1600,Acerto_Detalhado!$B$2:$B$433,"Mai",Acerto_Detalhado!$C$2:$C$433,"Proteina"))*(SUMIFS(Acerto_Detalhado!$I$2:$I$433,Acerto_Detalhado!$A$2:$A$433,$D1600,Acerto_Detalhado!$B$2:$B$433,"Mai",Acerto_Detalhado!$C$2:$C$433,"Proteina")),2)</f>
        <v>0</v>
      </c>
    </row>
    <row r="1601" customFormat="false" ht="15" hidden="false" customHeight="false" outlineLevel="0" collapsed="false">
      <c r="A1601" s="27" t="s">
        <v>115</v>
      </c>
      <c r="B1601" s="27" t="s">
        <v>109</v>
      </c>
      <c r="C1601" s="27" t="s">
        <v>40</v>
      </c>
      <c r="D1601" s="27" t="s">
        <v>41</v>
      </c>
      <c r="E1601" s="28" t="n">
        <f aca="false">ROUND((SUMIFS(Acerto_Detalhado!$F$2:$F$433,Acerto_Detalhado!$A$2:$A$433,$C1601,Acerto_Detalhado!$B$2:$B$433,"Mai",Acerto_Detalhado!$C$2:$C$433,"Proteina"))*(SUMIFS(Acerto_Detalhado!$I$2:$I$433,Acerto_Detalhado!$A$2:$A$433,$D1601,Acerto_Detalhado!$B$2:$B$433,"Mai",Acerto_Detalhado!$C$2:$C$433,"Proteina")),2)</f>
        <v>0</v>
      </c>
    </row>
    <row r="1602" customFormat="false" ht="15" hidden="false" customHeight="false" outlineLevel="0" collapsed="false">
      <c r="A1602" s="27" t="s">
        <v>115</v>
      </c>
      <c r="B1602" s="27" t="s">
        <v>109</v>
      </c>
      <c r="C1602" s="27" t="s">
        <v>40</v>
      </c>
      <c r="D1602" s="27" t="s">
        <v>42</v>
      </c>
      <c r="E1602" s="28" t="n">
        <f aca="false">ROUND((SUMIFS(Acerto_Detalhado!$F$2:$F$433,Acerto_Detalhado!$A$2:$A$433,$C1602,Acerto_Detalhado!$B$2:$B$433,"Mai",Acerto_Detalhado!$C$2:$C$433,"Proteina"))*(SUMIFS(Acerto_Detalhado!$I$2:$I$433,Acerto_Detalhado!$A$2:$A$433,$D1602,Acerto_Detalhado!$B$2:$B$433,"Mai",Acerto_Detalhado!$C$2:$C$433,"Proteina")),2)</f>
        <v>0</v>
      </c>
    </row>
    <row r="1603" customFormat="false" ht="15" hidden="false" customHeight="false" outlineLevel="0" collapsed="false">
      <c r="A1603" s="27" t="s">
        <v>115</v>
      </c>
      <c r="B1603" s="27" t="s">
        <v>109</v>
      </c>
      <c r="C1603" s="27" t="s">
        <v>40</v>
      </c>
      <c r="D1603" s="27" t="s">
        <v>43</v>
      </c>
      <c r="E1603" s="28" t="n">
        <f aca="false">ROUND((SUMIFS(Acerto_Detalhado!$F$2:$F$433,Acerto_Detalhado!$A$2:$A$433,$C1603,Acerto_Detalhado!$B$2:$B$433,"Mai",Acerto_Detalhado!$C$2:$C$433,"Proteina"))*(SUMIFS(Acerto_Detalhado!$I$2:$I$433,Acerto_Detalhado!$A$2:$A$433,$D1603,Acerto_Detalhado!$B$2:$B$433,"Mai",Acerto_Detalhado!$C$2:$C$433,"Proteina")),2)</f>
        <v>0</v>
      </c>
    </row>
    <row r="1604" customFormat="false" ht="15" hidden="false" customHeight="false" outlineLevel="0" collapsed="false">
      <c r="A1604" s="27" t="s">
        <v>115</v>
      </c>
      <c r="B1604" s="27" t="s">
        <v>109</v>
      </c>
      <c r="C1604" s="27" t="s">
        <v>40</v>
      </c>
      <c r="D1604" s="27" t="s">
        <v>44</v>
      </c>
      <c r="E1604" s="28" t="n">
        <f aca="false">ROUND((SUMIFS(Acerto_Detalhado!$F$2:$F$433,Acerto_Detalhado!$A$2:$A$433,$C1604,Acerto_Detalhado!$B$2:$B$433,"Mai",Acerto_Detalhado!$C$2:$C$433,"Proteina"))*(SUMIFS(Acerto_Detalhado!$I$2:$I$433,Acerto_Detalhado!$A$2:$A$433,$D1604,Acerto_Detalhado!$B$2:$B$433,"Mai",Acerto_Detalhado!$C$2:$C$433,"Proteina")),2)</f>
        <v>0</v>
      </c>
    </row>
    <row r="1605" customFormat="false" ht="15" hidden="false" customHeight="false" outlineLevel="0" collapsed="false">
      <c r="A1605" s="27" t="s">
        <v>115</v>
      </c>
      <c r="B1605" s="27" t="s">
        <v>109</v>
      </c>
      <c r="C1605" s="27" t="s">
        <v>40</v>
      </c>
      <c r="D1605" s="27" t="s">
        <v>45</v>
      </c>
      <c r="E1605" s="28" t="n">
        <f aca="false">ROUND((SUMIFS(Acerto_Detalhado!$F$2:$F$433,Acerto_Detalhado!$A$2:$A$433,$C1605,Acerto_Detalhado!$B$2:$B$433,"Mai",Acerto_Detalhado!$C$2:$C$433,"Proteina"))*(SUMIFS(Acerto_Detalhado!$I$2:$I$433,Acerto_Detalhado!$A$2:$A$433,$D1605,Acerto_Detalhado!$B$2:$B$433,"Mai",Acerto_Detalhado!$C$2:$C$433,"Proteina")),2)</f>
        <v>0</v>
      </c>
    </row>
    <row r="1606" customFormat="false" ht="15" hidden="false" customHeight="false" outlineLevel="0" collapsed="false">
      <c r="A1606" s="27" t="s">
        <v>115</v>
      </c>
      <c r="B1606" s="27" t="s">
        <v>109</v>
      </c>
      <c r="C1606" s="27" t="s">
        <v>40</v>
      </c>
      <c r="D1606" s="27" t="s">
        <v>46</v>
      </c>
      <c r="E1606" s="28" t="n">
        <f aca="false">ROUND((SUMIFS(Acerto_Detalhado!$F$2:$F$433,Acerto_Detalhado!$A$2:$A$433,$C1606,Acerto_Detalhado!$B$2:$B$433,"Mai",Acerto_Detalhado!$C$2:$C$433,"Proteina"))*(SUMIFS(Acerto_Detalhado!$I$2:$I$433,Acerto_Detalhado!$A$2:$A$433,$D1606,Acerto_Detalhado!$B$2:$B$433,"Mai",Acerto_Detalhado!$C$2:$C$433,"Proteina")),2)</f>
        <v>0</v>
      </c>
    </row>
    <row r="1607" customFormat="false" ht="15" hidden="false" customHeight="false" outlineLevel="0" collapsed="false">
      <c r="A1607" s="27" t="s">
        <v>115</v>
      </c>
      <c r="B1607" s="27" t="s">
        <v>109</v>
      </c>
      <c r="C1607" s="27" t="s">
        <v>40</v>
      </c>
      <c r="D1607" s="27" t="s">
        <v>47</v>
      </c>
      <c r="E1607" s="28" t="n">
        <f aca="false">ROUND((SUMIFS(Acerto_Detalhado!$F$2:$F$433,Acerto_Detalhado!$A$2:$A$433,$C1607,Acerto_Detalhado!$B$2:$B$433,"Mai",Acerto_Detalhado!$C$2:$C$433,"Proteina"))*(SUMIFS(Acerto_Detalhado!$I$2:$I$433,Acerto_Detalhado!$A$2:$A$433,$D1607,Acerto_Detalhado!$B$2:$B$433,"Mai",Acerto_Detalhado!$C$2:$C$433,"Proteina")),2)</f>
        <v>0</v>
      </c>
    </row>
    <row r="1608" customFormat="false" ht="15" hidden="false" customHeight="false" outlineLevel="0" collapsed="false">
      <c r="A1608" s="27" t="s">
        <v>115</v>
      </c>
      <c r="B1608" s="27" t="s">
        <v>109</v>
      </c>
      <c r="C1608" s="27" t="s">
        <v>40</v>
      </c>
      <c r="D1608" s="27" t="s">
        <v>48</v>
      </c>
      <c r="E1608" s="28" t="n">
        <f aca="false">ROUND((SUMIFS(Acerto_Detalhado!$F$2:$F$433,Acerto_Detalhado!$A$2:$A$433,$C1608,Acerto_Detalhado!$B$2:$B$433,"Mai",Acerto_Detalhado!$C$2:$C$433,"Proteina"))*(SUMIFS(Acerto_Detalhado!$I$2:$I$433,Acerto_Detalhado!$A$2:$A$433,$D1608,Acerto_Detalhado!$B$2:$B$433,"Mai",Acerto_Detalhado!$C$2:$C$433,"Proteina")),2)</f>
        <v>0</v>
      </c>
    </row>
    <row r="1609" customFormat="false" ht="15" hidden="false" customHeight="false" outlineLevel="0" collapsed="false">
      <c r="A1609" s="27" t="s">
        <v>115</v>
      </c>
      <c r="B1609" s="27" t="s">
        <v>109</v>
      </c>
      <c r="C1609" s="27" t="s">
        <v>40</v>
      </c>
      <c r="D1609" s="27" t="s">
        <v>49</v>
      </c>
      <c r="E1609" s="28" t="n">
        <f aca="false">ROUND((SUMIFS(Acerto_Detalhado!$F$2:$F$433,Acerto_Detalhado!$A$2:$A$433,$C1609,Acerto_Detalhado!$B$2:$B$433,"Mai",Acerto_Detalhado!$C$2:$C$433,"Proteina"))*(SUMIFS(Acerto_Detalhado!$I$2:$I$433,Acerto_Detalhado!$A$2:$A$433,$D1609,Acerto_Detalhado!$B$2:$B$433,"Mai",Acerto_Detalhado!$C$2:$C$433,"Proteina")),2)</f>
        <v>0</v>
      </c>
    </row>
    <row r="1610" customFormat="false" ht="15" hidden="false" customHeight="false" outlineLevel="0" collapsed="false">
      <c r="A1610" s="27" t="s">
        <v>115</v>
      </c>
      <c r="B1610" s="27" t="s">
        <v>109</v>
      </c>
      <c r="C1610" s="27" t="s">
        <v>40</v>
      </c>
      <c r="D1610" s="27" t="s">
        <v>50</v>
      </c>
      <c r="E1610" s="28" t="n">
        <f aca="false">ROUND((SUMIFS(Acerto_Detalhado!$F$2:$F$433,Acerto_Detalhado!$A$2:$A$433,$C1610,Acerto_Detalhado!$B$2:$B$433,"Mai",Acerto_Detalhado!$C$2:$C$433,"Proteina"))*(SUMIFS(Acerto_Detalhado!$I$2:$I$433,Acerto_Detalhado!$A$2:$A$433,$D1610,Acerto_Detalhado!$B$2:$B$433,"Mai",Acerto_Detalhado!$C$2:$C$433,"Proteina")),2)</f>
        <v>0</v>
      </c>
    </row>
    <row r="1611" customFormat="false" ht="15" hidden="false" customHeight="false" outlineLevel="0" collapsed="false">
      <c r="A1611" s="27" t="s">
        <v>115</v>
      </c>
      <c r="B1611" s="27" t="s">
        <v>109</v>
      </c>
      <c r="C1611" s="27" t="s">
        <v>41</v>
      </c>
      <c r="D1611" s="27" t="s">
        <v>39</v>
      </c>
      <c r="E1611" s="28" t="n">
        <f aca="false">ROUND((SUMIFS(Acerto_Detalhado!$F$2:$F$433,Acerto_Detalhado!$A$2:$A$433,$C1611,Acerto_Detalhado!$B$2:$B$433,"Mai",Acerto_Detalhado!$C$2:$C$433,"Proteina"))*(SUMIFS(Acerto_Detalhado!$I$2:$I$433,Acerto_Detalhado!$A$2:$A$433,$D1611,Acerto_Detalhado!$B$2:$B$433,"Mai",Acerto_Detalhado!$C$2:$C$433,"Proteina")),2)</f>
        <v>0</v>
      </c>
    </row>
    <row r="1612" customFormat="false" ht="15" hidden="false" customHeight="false" outlineLevel="0" collapsed="false">
      <c r="A1612" s="27" t="s">
        <v>115</v>
      </c>
      <c r="B1612" s="27" t="s">
        <v>109</v>
      </c>
      <c r="C1612" s="27" t="s">
        <v>41</v>
      </c>
      <c r="D1612" s="27" t="s">
        <v>40</v>
      </c>
      <c r="E1612" s="28" t="n">
        <f aca="false">ROUND((SUMIFS(Acerto_Detalhado!$F$2:$F$433,Acerto_Detalhado!$A$2:$A$433,$C1612,Acerto_Detalhado!$B$2:$B$433,"Mai",Acerto_Detalhado!$C$2:$C$433,"Proteina"))*(SUMIFS(Acerto_Detalhado!$I$2:$I$433,Acerto_Detalhado!$A$2:$A$433,$D1612,Acerto_Detalhado!$B$2:$B$433,"Mai",Acerto_Detalhado!$C$2:$C$433,"Proteina")),2)</f>
        <v>4836.41</v>
      </c>
    </row>
    <row r="1613" customFormat="false" ht="15" hidden="false" customHeight="false" outlineLevel="0" collapsed="false">
      <c r="A1613" s="27" t="s">
        <v>115</v>
      </c>
      <c r="B1613" s="27" t="s">
        <v>109</v>
      </c>
      <c r="C1613" s="27" t="s">
        <v>41</v>
      </c>
      <c r="D1613" s="27" t="s">
        <v>42</v>
      </c>
      <c r="E1613" s="28" t="n">
        <f aca="false">ROUND((SUMIFS(Acerto_Detalhado!$F$2:$F$433,Acerto_Detalhado!$A$2:$A$433,$C1613,Acerto_Detalhado!$B$2:$B$433,"Mai",Acerto_Detalhado!$C$2:$C$433,"Proteina"))*(SUMIFS(Acerto_Detalhado!$I$2:$I$433,Acerto_Detalhado!$A$2:$A$433,$D1613,Acerto_Detalhado!$B$2:$B$433,"Mai",Acerto_Detalhado!$C$2:$C$433,"Proteina")),2)</f>
        <v>0</v>
      </c>
    </row>
    <row r="1614" customFormat="false" ht="15" hidden="false" customHeight="false" outlineLevel="0" collapsed="false">
      <c r="A1614" s="27" t="s">
        <v>115</v>
      </c>
      <c r="B1614" s="27" t="s">
        <v>109</v>
      </c>
      <c r="C1614" s="27" t="s">
        <v>41</v>
      </c>
      <c r="D1614" s="27" t="s">
        <v>43</v>
      </c>
      <c r="E1614" s="28" t="n">
        <f aca="false">ROUND((SUMIFS(Acerto_Detalhado!$F$2:$F$433,Acerto_Detalhado!$A$2:$A$433,$C1614,Acerto_Detalhado!$B$2:$B$433,"Mai",Acerto_Detalhado!$C$2:$C$433,"Proteina"))*(SUMIFS(Acerto_Detalhado!$I$2:$I$433,Acerto_Detalhado!$A$2:$A$433,$D1614,Acerto_Detalhado!$B$2:$B$433,"Mai",Acerto_Detalhado!$C$2:$C$433,"Proteina")),2)</f>
        <v>6215.87</v>
      </c>
    </row>
    <row r="1615" customFormat="false" ht="15" hidden="false" customHeight="false" outlineLevel="0" collapsed="false">
      <c r="A1615" s="27" t="s">
        <v>115</v>
      </c>
      <c r="B1615" s="27" t="s">
        <v>109</v>
      </c>
      <c r="C1615" s="27" t="s">
        <v>41</v>
      </c>
      <c r="D1615" s="27" t="s">
        <v>44</v>
      </c>
      <c r="E1615" s="28" t="n">
        <f aca="false">ROUND((SUMIFS(Acerto_Detalhado!$F$2:$F$433,Acerto_Detalhado!$A$2:$A$433,$C1615,Acerto_Detalhado!$B$2:$B$433,"Mai",Acerto_Detalhado!$C$2:$C$433,"Proteina"))*(SUMIFS(Acerto_Detalhado!$I$2:$I$433,Acerto_Detalhado!$A$2:$A$433,$D1615,Acerto_Detalhado!$B$2:$B$433,"Mai",Acerto_Detalhado!$C$2:$C$433,"Proteina")),2)</f>
        <v>0</v>
      </c>
    </row>
    <row r="1616" customFormat="false" ht="15" hidden="false" customHeight="false" outlineLevel="0" collapsed="false">
      <c r="A1616" s="27" t="s">
        <v>115</v>
      </c>
      <c r="B1616" s="27" t="s">
        <v>109</v>
      </c>
      <c r="C1616" s="27" t="s">
        <v>41</v>
      </c>
      <c r="D1616" s="27" t="s">
        <v>45</v>
      </c>
      <c r="E1616" s="28" t="n">
        <f aca="false">ROUND((SUMIFS(Acerto_Detalhado!$F$2:$F$433,Acerto_Detalhado!$A$2:$A$433,$C1616,Acerto_Detalhado!$B$2:$B$433,"Mai",Acerto_Detalhado!$C$2:$C$433,"Proteina"))*(SUMIFS(Acerto_Detalhado!$I$2:$I$433,Acerto_Detalhado!$A$2:$A$433,$D1616,Acerto_Detalhado!$B$2:$B$433,"Mai",Acerto_Detalhado!$C$2:$C$433,"Proteina")),2)</f>
        <v>0</v>
      </c>
    </row>
    <row r="1617" customFormat="false" ht="15" hidden="false" customHeight="false" outlineLevel="0" collapsed="false">
      <c r="A1617" s="27" t="s">
        <v>115</v>
      </c>
      <c r="B1617" s="27" t="s">
        <v>109</v>
      </c>
      <c r="C1617" s="27" t="s">
        <v>41</v>
      </c>
      <c r="D1617" s="27" t="s">
        <v>46</v>
      </c>
      <c r="E1617" s="28" t="n">
        <f aca="false">ROUND((SUMIFS(Acerto_Detalhado!$F$2:$F$433,Acerto_Detalhado!$A$2:$A$433,$C1617,Acerto_Detalhado!$B$2:$B$433,"Mai",Acerto_Detalhado!$C$2:$C$433,"Proteina"))*(SUMIFS(Acerto_Detalhado!$I$2:$I$433,Acerto_Detalhado!$A$2:$A$433,$D1617,Acerto_Detalhado!$B$2:$B$433,"Mai",Acerto_Detalhado!$C$2:$C$433,"Proteina")),2)</f>
        <v>0</v>
      </c>
    </row>
    <row r="1618" customFormat="false" ht="15" hidden="false" customHeight="false" outlineLevel="0" collapsed="false">
      <c r="A1618" s="27" t="s">
        <v>115</v>
      </c>
      <c r="B1618" s="27" t="s">
        <v>109</v>
      </c>
      <c r="C1618" s="27" t="s">
        <v>41</v>
      </c>
      <c r="D1618" s="27" t="s">
        <v>47</v>
      </c>
      <c r="E1618" s="28" t="n">
        <f aca="false">ROUND((SUMIFS(Acerto_Detalhado!$F$2:$F$433,Acerto_Detalhado!$A$2:$A$433,$C1618,Acerto_Detalhado!$B$2:$B$433,"Mai",Acerto_Detalhado!$C$2:$C$433,"Proteina"))*(SUMIFS(Acerto_Detalhado!$I$2:$I$433,Acerto_Detalhado!$A$2:$A$433,$D1618,Acerto_Detalhado!$B$2:$B$433,"Mai",Acerto_Detalhado!$C$2:$C$433,"Proteina")),2)</f>
        <v>0</v>
      </c>
    </row>
    <row r="1619" customFormat="false" ht="15" hidden="false" customHeight="false" outlineLevel="0" collapsed="false">
      <c r="A1619" s="27" t="s">
        <v>115</v>
      </c>
      <c r="B1619" s="27" t="s">
        <v>109</v>
      </c>
      <c r="C1619" s="27" t="s">
        <v>41</v>
      </c>
      <c r="D1619" s="27" t="s">
        <v>48</v>
      </c>
      <c r="E1619" s="28" t="n">
        <f aca="false">ROUND((SUMIFS(Acerto_Detalhado!$F$2:$F$433,Acerto_Detalhado!$A$2:$A$433,$C1619,Acerto_Detalhado!$B$2:$B$433,"Mai",Acerto_Detalhado!$C$2:$C$433,"Proteina"))*(SUMIFS(Acerto_Detalhado!$I$2:$I$433,Acerto_Detalhado!$A$2:$A$433,$D1619,Acerto_Detalhado!$B$2:$B$433,"Mai",Acerto_Detalhado!$C$2:$C$433,"Proteina")),2)</f>
        <v>0</v>
      </c>
    </row>
    <row r="1620" customFormat="false" ht="15" hidden="false" customHeight="false" outlineLevel="0" collapsed="false">
      <c r="A1620" s="27" t="s">
        <v>115</v>
      </c>
      <c r="B1620" s="27" t="s">
        <v>109</v>
      </c>
      <c r="C1620" s="27" t="s">
        <v>41</v>
      </c>
      <c r="D1620" s="27" t="s">
        <v>49</v>
      </c>
      <c r="E1620" s="28" t="n">
        <f aca="false">ROUND((SUMIFS(Acerto_Detalhado!$F$2:$F$433,Acerto_Detalhado!$A$2:$A$433,$C1620,Acerto_Detalhado!$B$2:$B$433,"Mai",Acerto_Detalhado!$C$2:$C$433,"Proteina"))*(SUMIFS(Acerto_Detalhado!$I$2:$I$433,Acerto_Detalhado!$A$2:$A$433,$D1620,Acerto_Detalhado!$B$2:$B$433,"Mai",Acerto_Detalhado!$C$2:$C$433,"Proteina")),2)</f>
        <v>0</v>
      </c>
    </row>
    <row r="1621" customFormat="false" ht="15" hidden="false" customHeight="false" outlineLevel="0" collapsed="false">
      <c r="A1621" s="27" t="s">
        <v>115</v>
      </c>
      <c r="B1621" s="27" t="s">
        <v>109</v>
      </c>
      <c r="C1621" s="27" t="s">
        <v>41</v>
      </c>
      <c r="D1621" s="27" t="s">
        <v>50</v>
      </c>
      <c r="E1621" s="28" t="n">
        <f aca="false">ROUND((SUMIFS(Acerto_Detalhado!$F$2:$F$433,Acerto_Detalhado!$A$2:$A$433,$C1621,Acerto_Detalhado!$B$2:$B$433,"Mai",Acerto_Detalhado!$C$2:$C$433,"Proteina"))*(SUMIFS(Acerto_Detalhado!$I$2:$I$433,Acerto_Detalhado!$A$2:$A$433,$D1621,Acerto_Detalhado!$B$2:$B$433,"Mai",Acerto_Detalhado!$C$2:$C$433,"Proteina")),2)</f>
        <v>0</v>
      </c>
    </row>
    <row r="1622" customFormat="false" ht="15" hidden="false" customHeight="false" outlineLevel="0" collapsed="false">
      <c r="A1622" s="27" t="s">
        <v>115</v>
      </c>
      <c r="B1622" s="27" t="s">
        <v>109</v>
      </c>
      <c r="C1622" s="27" t="s">
        <v>42</v>
      </c>
      <c r="D1622" s="27" t="s">
        <v>39</v>
      </c>
      <c r="E1622" s="28" t="n">
        <f aca="false">ROUND((SUMIFS(Acerto_Detalhado!$F$2:$F$433,Acerto_Detalhado!$A$2:$A$433,$C1622,Acerto_Detalhado!$B$2:$B$433,"Mai",Acerto_Detalhado!$C$2:$C$433,"Proteina"))*(SUMIFS(Acerto_Detalhado!$I$2:$I$433,Acerto_Detalhado!$A$2:$A$433,$D1622,Acerto_Detalhado!$B$2:$B$433,"Mai",Acerto_Detalhado!$C$2:$C$433,"Proteina")),2)</f>
        <v>0</v>
      </c>
    </row>
    <row r="1623" customFormat="false" ht="15" hidden="false" customHeight="false" outlineLevel="0" collapsed="false">
      <c r="A1623" s="27" t="s">
        <v>115</v>
      </c>
      <c r="B1623" s="27" t="s">
        <v>109</v>
      </c>
      <c r="C1623" s="27" t="s">
        <v>42</v>
      </c>
      <c r="D1623" s="27" t="s">
        <v>40</v>
      </c>
      <c r="E1623" s="28" t="n">
        <f aca="false">ROUND((SUMIFS(Acerto_Detalhado!$F$2:$F$433,Acerto_Detalhado!$A$2:$A$433,$C1623,Acerto_Detalhado!$B$2:$B$433,"Mai",Acerto_Detalhado!$C$2:$C$433,"Proteina"))*(SUMIFS(Acerto_Detalhado!$I$2:$I$433,Acerto_Detalhado!$A$2:$A$433,$D1623,Acerto_Detalhado!$B$2:$B$433,"Mai",Acerto_Detalhado!$C$2:$C$433,"Proteina")),2)</f>
        <v>14652.81</v>
      </c>
    </row>
    <row r="1624" customFormat="false" ht="15" hidden="false" customHeight="false" outlineLevel="0" collapsed="false">
      <c r="A1624" s="27" t="s">
        <v>115</v>
      </c>
      <c r="B1624" s="27" t="s">
        <v>109</v>
      </c>
      <c r="C1624" s="27" t="s">
        <v>42</v>
      </c>
      <c r="D1624" s="27" t="s">
        <v>41</v>
      </c>
      <c r="E1624" s="28" t="n">
        <f aca="false">ROUND((SUMIFS(Acerto_Detalhado!$F$2:$F$433,Acerto_Detalhado!$A$2:$A$433,$C1624,Acerto_Detalhado!$B$2:$B$433,"Mai",Acerto_Detalhado!$C$2:$C$433,"Proteina"))*(SUMIFS(Acerto_Detalhado!$I$2:$I$433,Acerto_Detalhado!$A$2:$A$433,$D1624,Acerto_Detalhado!$B$2:$B$433,"Mai",Acerto_Detalhado!$C$2:$C$433,"Proteina")),2)</f>
        <v>0</v>
      </c>
    </row>
    <row r="1625" customFormat="false" ht="15" hidden="false" customHeight="false" outlineLevel="0" collapsed="false">
      <c r="A1625" s="27" t="s">
        <v>115</v>
      </c>
      <c r="B1625" s="27" t="s">
        <v>109</v>
      </c>
      <c r="C1625" s="27" t="s">
        <v>42</v>
      </c>
      <c r="D1625" s="27" t="s">
        <v>43</v>
      </c>
      <c r="E1625" s="28" t="n">
        <f aca="false">ROUND((SUMIFS(Acerto_Detalhado!$F$2:$F$433,Acerto_Detalhado!$A$2:$A$433,$C1625,Acerto_Detalhado!$B$2:$B$433,"Mai",Acerto_Detalhado!$C$2:$C$433,"Proteina"))*(SUMIFS(Acerto_Detalhado!$I$2:$I$433,Acerto_Detalhado!$A$2:$A$433,$D1625,Acerto_Detalhado!$B$2:$B$433,"Mai",Acerto_Detalhado!$C$2:$C$433,"Proteina")),2)</f>
        <v>18832.15</v>
      </c>
    </row>
    <row r="1626" customFormat="false" ht="15" hidden="false" customHeight="false" outlineLevel="0" collapsed="false">
      <c r="A1626" s="27" t="s">
        <v>115</v>
      </c>
      <c r="B1626" s="27" t="s">
        <v>109</v>
      </c>
      <c r="C1626" s="27" t="s">
        <v>42</v>
      </c>
      <c r="D1626" s="27" t="s">
        <v>44</v>
      </c>
      <c r="E1626" s="28" t="n">
        <f aca="false">ROUND((SUMIFS(Acerto_Detalhado!$F$2:$F$433,Acerto_Detalhado!$A$2:$A$433,$C1626,Acerto_Detalhado!$B$2:$B$433,"Mai",Acerto_Detalhado!$C$2:$C$433,"Proteina"))*(SUMIFS(Acerto_Detalhado!$I$2:$I$433,Acerto_Detalhado!$A$2:$A$433,$D1626,Acerto_Detalhado!$B$2:$B$433,"Mai",Acerto_Detalhado!$C$2:$C$433,"Proteina")),2)</f>
        <v>0</v>
      </c>
    </row>
    <row r="1627" customFormat="false" ht="15" hidden="false" customHeight="false" outlineLevel="0" collapsed="false">
      <c r="A1627" s="27" t="s">
        <v>115</v>
      </c>
      <c r="B1627" s="27" t="s">
        <v>109</v>
      </c>
      <c r="C1627" s="27" t="s">
        <v>42</v>
      </c>
      <c r="D1627" s="27" t="s">
        <v>45</v>
      </c>
      <c r="E1627" s="28" t="n">
        <f aca="false">ROUND((SUMIFS(Acerto_Detalhado!$F$2:$F$433,Acerto_Detalhado!$A$2:$A$433,$C1627,Acerto_Detalhado!$B$2:$B$433,"Mai",Acerto_Detalhado!$C$2:$C$433,"Proteina"))*(SUMIFS(Acerto_Detalhado!$I$2:$I$433,Acerto_Detalhado!$A$2:$A$433,$D1627,Acerto_Detalhado!$B$2:$B$433,"Mai",Acerto_Detalhado!$C$2:$C$433,"Proteina")),2)</f>
        <v>0</v>
      </c>
    </row>
    <row r="1628" customFormat="false" ht="15" hidden="false" customHeight="false" outlineLevel="0" collapsed="false">
      <c r="A1628" s="27" t="s">
        <v>115</v>
      </c>
      <c r="B1628" s="27" t="s">
        <v>109</v>
      </c>
      <c r="C1628" s="27" t="s">
        <v>42</v>
      </c>
      <c r="D1628" s="27" t="s">
        <v>46</v>
      </c>
      <c r="E1628" s="28" t="n">
        <f aca="false">ROUND((SUMIFS(Acerto_Detalhado!$F$2:$F$433,Acerto_Detalhado!$A$2:$A$433,$C1628,Acerto_Detalhado!$B$2:$B$433,"Mai",Acerto_Detalhado!$C$2:$C$433,"Proteina"))*(SUMIFS(Acerto_Detalhado!$I$2:$I$433,Acerto_Detalhado!$A$2:$A$433,$D1628,Acerto_Detalhado!$B$2:$B$433,"Mai",Acerto_Detalhado!$C$2:$C$433,"Proteina")),2)</f>
        <v>0</v>
      </c>
    </row>
    <row r="1629" customFormat="false" ht="15" hidden="false" customHeight="false" outlineLevel="0" collapsed="false">
      <c r="A1629" s="27" t="s">
        <v>115</v>
      </c>
      <c r="B1629" s="27" t="s">
        <v>109</v>
      </c>
      <c r="C1629" s="27" t="s">
        <v>42</v>
      </c>
      <c r="D1629" s="27" t="s">
        <v>47</v>
      </c>
      <c r="E1629" s="28" t="n">
        <f aca="false">ROUND((SUMIFS(Acerto_Detalhado!$F$2:$F$433,Acerto_Detalhado!$A$2:$A$433,$C1629,Acerto_Detalhado!$B$2:$B$433,"Mai",Acerto_Detalhado!$C$2:$C$433,"Proteina"))*(SUMIFS(Acerto_Detalhado!$I$2:$I$433,Acerto_Detalhado!$A$2:$A$433,$D1629,Acerto_Detalhado!$B$2:$B$433,"Mai",Acerto_Detalhado!$C$2:$C$433,"Proteina")),2)</f>
        <v>0</v>
      </c>
    </row>
    <row r="1630" customFormat="false" ht="15" hidden="false" customHeight="false" outlineLevel="0" collapsed="false">
      <c r="A1630" s="27" t="s">
        <v>115</v>
      </c>
      <c r="B1630" s="27" t="s">
        <v>109</v>
      </c>
      <c r="C1630" s="27" t="s">
        <v>42</v>
      </c>
      <c r="D1630" s="27" t="s">
        <v>48</v>
      </c>
      <c r="E1630" s="28" t="n">
        <f aca="false">ROUND((SUMIFS(Acerto_Detalhado!$F$2:$F$433,Acerto_Detalhado!$A$2:$A$433,$C1630,Acerto_Detalhado!$B$2:$B$433,"Mai",Acerto_Detalhado!$C$2:$C$433,"Proteina"))*(SUMIFS(Acerto_Detalhado!$I$2:$I$433,Acerto_Detalhado!$A$2:$A$433,$D1630,Acerto_Detalhado!$B$2:$B$433,"Mai",Acerto_Detalhado!$C$2:$C$433,"Proteina")),2)</f>
        <v>0</v>
      </c>
    </row>
    <row r="1631" customFormat="false" ht="15" hidden="false" customHeight="false" outlineLevel="0" collapsed="false">
      <c r="A1631" s="27" t="s">
        <v>115</v>
      </c>
      <c r="B1631" s="27" t="s">
        <v>109</v>
      </c>
      <c r="C1631" s="27" t="s">
        <v>42</v>
      </c>
      <c r="D1631" s="27" t="s">
        <v>49</v>
      </c>
      <c r="E1631" s="28" t="n">
        <f aca="false">ROUND((SUMIFS(Acerto_Detalhado!$F$2:$F$433,Acerto_Detalhado!$A$2:$A$433,$C1631,Acerto_Detalhado!$B$2:$B$433,"Mai",Acerto_Detalhado!$C$2:$C$433,"Proteina"))*(SUMIFS(Acerto_Detalhado!$I$2:$I$433,Acerto_Detalhado!$A$2:$A$433,$D1631,Acerto_Detalhado!$B$2:$B$433,"Mai",Acerto_Detalhado!$C$2:$C$433,"Proteina")),2)</f>
        <v>0</v>
      </c>
    </row>
    <row r="1632" customFormat="false" ht="15" hidden="false" customHeight="false" outlineLevel="0" collapsed="false">
      <c r="A1632" s="27" t="s">
        <v>115</v>
      </c>
      <c r="B1632" s="27" t="s">
        <v>109</v>
      </c>
      <c r="C1632" s="27" t="s">
        <v>42</v>
      </c>
      <c r="D1632" s="27" t="s">
        <v>50</v>
      </c>
      <c r="E1632" s="28" t="n">
        <f aca="false">ROUND((SUMIFS(Acerto_Detalhado!$F$2:$F$433,Acerto_Detalhado!$A$2:$A$433,$C1632,Acerto_Detalhado!$B$2:$B$433,"Mai",Acerto_Detalhado!$C$2:$C$433,"Proteina"))*(SUMIFS(Acerto_Detalhado!$I$2:$I$433,Acerto_Detalhado!$A$2:$A$433,$D1632,Acerto_Detalhado!$B$2:$B$433,"Mai",Acerto_Detalhado!$C$2:$C$433,"Proteina")),2)</f>
        <v>0</v>
      </c>
    </row>
    <row r="1633" customFormat="false" ht="15" hidden="false" customHeight="false" outlineLevel="0" collapsed="false">
      <c r="A1633" s="27" t="s">
        <v>115</v>
      </c>
      <c r="B1633" s="27" t="s">
        <v>109</v>
      </c>
      <c r="C1633" s="27" t="s">
        <v>43</v>
      </c>
      <c r="D1633" s="27" t="s">
        <v>39</v>
      </c>
      <c r="E1633" s="28" t="n">
        <f aca="false">ROUND((SUMIFS(Acerto_Detalhado!$F$2:$F$433,Acerto_Detalhado!$A$2:$A$433,$C1633,Acerto_Detalhado!$B$2:$B$433,"Mai",Acerto_Detalhado!$C$2:$C$433,"Proteina"))*(SUMIFS(Acerto_Detalhado!$I$2:$I$433,Acerto_Detalhado!$A$2:$A$433,$D1633,Acerto_Detalhado!$B$2:$B$433,"Mai",Acerto_Detalhado!$C$2:$C$433,"Proteina")),2)</f>
        <v>0</v>
      </c>
    </row>
    <row r="1634" customFormat="false" ht="15" hidden="false" customHeight="false" outlineLevel="0" collapsed="false">
      <c r="A1634" s="27" t="s">
        <v>115</v>
      </c>
      <c r="B1634" s="27" t="s">
        <v>109</v>
      </c>
      <c r="C1634" s="27" t="s">
        <v>43</v>
      </c>
      <c r="D1634" s="27" t="s">
        <v>40</v>
      </c>
      <c r="E1634" s="28" t="n">
        <f aca="false">ROUND((SUMIFS(Acerto_Detalhado!$F$2:$F$433,Acerto_Detalhado!$A$2:$A$433,$C1634,Acerto_Detalhado!$B$2:$B$433,"Mai",Acerto_Detalhado!$C$2:$C$433,"Proteina"))*(SUMIFS(Acerto_Detalhado!$I$2:$I$433,Acerto_Detalhado!$A$2:$A$433,$D1634,Acerto_Detalhado!$B$2:$B$433,"Mai",Acerto_Detalhado!$C$2:$C$433,"Proteina")),2)</f>
        <v>0</v>
      </c>
    </row>
    <row r="1635" customFormat="false" ht="15" hidden="false" customHeight="false" outlineLevel="0" collapsed="false">
      <c r="A1635" s="27" t="s">
        <v>115</v>
      </c>
      <c r="B1635" s="27" t="s">
        <v>109</v>
      </c>
      <c r="C1635" s="27" t="s">
        <v>43</v>
      </c>
      <c r="D1635" s="27" t="s">
        <v>41</v>
      </c>
      <c r="E1635" s="28" t="n">
        <f aca="false">ROUND((SUMIFS(Acerto_Detalhado!$F$2:$F$433,Acerto_Detalhado!$A$2:$A$433,$C1635,Acerto_Detalhado!$B$2:$B$433,"Mai",Acerto_Detalhado!$C$2:$C$433,"Proteina"))*(SUMIFS(Acerto_Detalhado!$I$2:$I$433,Acerto_Detalhado!$A$2:$A$433,$D1635,Acerto_Detalhado!$B$2:$B$433,"Mai",Acerto_Detalhado!$C$2:$C$433,"Proteina")),2)</f>
        <v>0</v>
      </c>
    </row>
    <row r="1636" customFormat="false" ht="15" hidden="false" customHeight="false" outlineLevel="0" collapsed="false">
      <c r="A1636" s="27" t="s">
        <v>115</v>
      </c>
      <c r="B1636" s="27" t="s">
        <v>109</v>
      </c>
      <c r="C1636" s="27" t="s">
        <v>43</v>
      </c>
      <c r="D1636" s="27" t="s">
        <v>42</v>
      </c>
      <c r="E1636" s="28" t="n">
        <f aca="false">ROUND((SUMIFS(Acerto_Detalhado!$F$2:$F$433,Acerto_Detalhado!$A$2:$A$433,$C1636,Acerto_Detalhado!$B$2:$B$433,"Mai",Acerto_Detalhado!$C$2:$C$433,"Proteina"))*(SUMIFS(Acerto_Detalhado!$I$2:$I$433,Acerto_Detalhado!$A$2:$A$433,$D1636,Acerto_Detalhado!$B$2:$B$433,"Mai",Acerto_Detalhado!$C$2:$C$433,"Proteina")),2)</f>
        <v>0</v>
      </c>
    </row>
    <row r="1637" customFormat="false" ht="15" hidden="false" customHeight="false" outlineLevel="0" collapsed="false">
      <c r="A1637" s="27" t="s">
        <v>115</v>
      </c>
      <c r="B1637" s="27" t="s">
        <v>109</v>
      </c>
      <c r="C1637" s="27" t="s">
        <v>43</v>
      </c>
      <c r="D1637" s="27" t="s">
        <v>44</v>
      </c>
      <c r="E1637" s="28" t="n">
        <f aca="false">ROUND((SUMIFS(Acerto_Detalhado!$F$2:$F$433,Acerto_Detalhado!$A$2:$A$433,$C1637,Acerto_Detalhado!$B$2:$B$433,"Mai",Acerto_Detalhado!$C$2:$C$433,"Proteina"))*(SUMIFS(Acerto_Detalhado!$I$2:$I$433,Acerto_Detalhado!$A$2:$A$433,$D1637,Acerto_Detalhado!$B$2:$B$433,"Mai",Acerto_Detalhado!$C$2:$C$433,"Proteina")),2)</f>
        <v>0</v>
      </c>
    </row>
    <row r="1638" customFormat="false" ht="15" hidden="false" customHeight="false" outlineLevel="0" collapsed="false">
      <c r="A1638" s="27" t="s">
        <v>115</v>
      </c>
      <c r="B1638" s="27" t="s">
        <v>109</v>
      </c>
      <c r="C1638" s="27" t="s">
        <v>43</v>
      </c>
      <c r="D1638" s="27" t="s">
        <v>45</v>
      </c>
      <c r="E1638" s="28" t="n">
        <f aca="false">ROUND((SUMIFS(Acerto_Detalhado!$F$2:$F$433,Acerto_Detalhado!$A$2:$A$433,$C1638,Acerto_Detalhado!$B$2:$B$433,"Mai",Acerto_Detalhado!$C$2:$C$433,"Proteina"))*(SUMIFS(Acerto_Detalhado!$I$2:$I$433,Acerto_Detalhado!$A$2:$A$433,$D1638,Acerto_Detalhado!$B$2:$B$433,"Mai",Acerto_Detalhado!$C$2:$C$433,"Proteina")),2)</f>
        <v>0</v>
      </c>
    </row>
    <row r="1639" customFormat="false" ht="15" hidden="false" customHeight="false" outlineLevel="0" collapsed="false">
      <c r="A1639" s="27" t="s">
        <v>115</v>
      </c>
      <c r="B1639" s="27" t="s">
        <v>109</v>
      </c>
      <c r="C1639" s="27" t="s">
        <v>43</v>
      </c>
      <c r="D1639" s="27" t="s">
        <v>46</v>
      </c>
      <c r="E1639" s="28" t="n">
        <f aca="false">ROUND((SUMIFS(Acerto_Detalhado!$F$2:$F$433,Acerto_Detalhado!$A$2:$A$433,$C1639,Acerto_Detalhado!$B$2:$B$433,"Mai",Acerto_Detalhado!$C$2:$C$433,"Proteina"))*(SUMIFS(Acerto_Detalhado!$I$2:$I$433,Acerto_Detalhado!$A$2:$A$433,$D1639,Acerto_Detalhado!$B$2:$B$433,"Mai",Acerto_Detalhado!$C$2:$C$433,"Proteina")),2)</f>
        <v>0</v>
      </c>
    </row>
    <row r="1640" customFormat="false" ht="15" hidden="false" customHeight="false" outlineLevel="0" collapsed="false">
      <c r="A1640" s="27" t="s">
        <v>115</v>
      </c>
      <c r="B1640" s="27" t="s">
        <v>109</v>
      </c>
      <c r="C1640" s="27" t="s">
        <v>43</v>
      </c>
      <c r="D1640" s="27" t="s">
        <v>47</v>
      </c>
      <c r="E1640" s="28" t="n">
        <f aca="false">ROUND((SUMIFS(Acerto_Detalhado!$F$2:$F$433,Acerto_Detalhado!$A$2:$A$433,$C1640,Acerto_Detalhado!$B$2:$B$433,"Mai",Acerto_Detalhado!$C$2:$C$433,"Proteina"))*(SUMIFS(Acerto_Detalhado!$I$2:$I$433,Acerto_Detalhado!$A$2:$A$433,$D1640,Acerto_Detalhado!$B$2:$B$433,"Mai",Acerto_Detalhado!$C$2:$C$433,"Proteina")),2)</f>
        <v>0</v>
      </c>
    </row>
    <row r="1641" customFormat="false" ht="15" hidden="false" customHeight="false" outlineLevel="0" collapsed="false">
      <c r="A1641" s="27" t="s">
        <v>115</v>
      </c>
      <c r="B1641" s="27" t="s">
        <v>109</v>
      </c>
      <c r="C1641" s="27" t="s">
        <v>43</v>
      </c>
      <c r="D1641" s="27" t="s">
        <v>48</v>
      </c>
      <c r="E1641" s="28" t="n">
        <f aca="false">ROUND((SUMIFS(Acerto_Detalhado!$F$2:$F$433,Acerto_Detalhado!$A$2:$A$433,$C1641,Acerto_Detalhado!$B$2:$B$433,"Mai",Acerto_Detalhado!$C$2:$C$433,"Proteina"))*(SUMIFS(Acerto_Detalhado!$I$2:$I$433,Acerto_Detalhado!$A$2:$A$433,$D1641,Acerto_Detalhado!$B$2:$B$433,"Mai",Acerto_Detalhado!$C$2:$C$433,"Proteina")),2)</f>
        <v>0</v>
      </c>
    </row>
    <row r="1642" customFormat="false" ht="15" hidden="false" customHeight="false" outlineLevel="0" collapsed="false">
      <c r="A1642" s="27" t="s">
        <v>115</v>
      </c>
      <c r="B1642" s="27" t="s">
        <v>109</v>
      </c>
      <c r="C1642" s="27" t="s">
        <v>43</v>
      </c>
      <c r="D1642" s="27" t="s">
        <v>49</v>
      </c>
      <c r="E1642" s="28" t="n">
        <f aca="false">ROUND((SUMIFS(Acerto_Detalhado!$F$2:$F$433,Acerto_Detalhado!$A$2:$A$433,$C1642,Acerto_Detalhado!$B$2:$B$433,"Mai",Acerto_Detalhado!$C$2:$C$433,"Proteina"))*(SUMIFS(Acerto_Detalhado!$I$2:$I$433,Acerto_Detalhado!$A$2:$A$433,$D1642,Acerto_Detalhado!$B$2:$B$433,"Mai",Acerto_Detalhado!$C$2:$C$433,"Proteina")),2)</f>
        <v>0</v>
      </c>
    </row>
    <row r="1643" customFormat="false" ht="15" hidden="false" customHeight="false" outlineLevel="0" collapsed="false">
      <c r="A1643" s="27" t="s">
        <v>115</v>
      </c>
      <c r="B1643" s="27" t="s">
        <v>109</v>
      </c>
      <c r="C1643" s="27" t="s">
        <v>43</v>
      </c>
      <c r="D1643" s="27" t="s">
        <v>50</v>
      </c>
      <c r="E1643" s="28" t="n">
        <f aca="false">ROUND((SUMIFS(Acerto_Detalhado!$F$2:$F$433,Acerto_Detalhado!$A$2:$A$433,$C1643,Acerto_Detalhado!$B$2:$B$433,"Mai",Acerto_Detalhado!$C$2:$C$433,"Proteina"))*(SUMIFS(Acerto_Detalhado!$I$2:$I$433,Acerto_Detalhado!$A$2:$A$433,$D1643,Acerto_Detalhado!$B$2:$B$433,"Mai",Acerto_Detalhado!$C$2:$C$433,"Proteina")),2)</f>
        <v>0</v>
      </c>
    </row>
    <row r="1644" customFormat="false" ht="15" hidden="false" customHeight="false" outlineLevel="0" collapsed="false">
      <c r="A1644" s="27" t="s">
        <v>115</v>
      </c>
      <c r="B1644" s="27" t="s">
        <v>109</v>
      </c>
      <c r="C1644" s="27" t="s">
        <v>44</v>
      </c>
      <c r="D1644" s="27" t="s">
        <v>39</v>
      </c>
      <c r="E1644" s="28" t="n">
        <f aca="false">ROUND((SUMIFS(Acerto_Detalhado!$F$2:$F$433,Acerto_Detalhado!$A$2:$A$433,$C1644,Acerto_Detalhado!$B$2:$B$433,"Mai",Acerto_Detalhado!$C$2:$C$433,"Proteina"))*(SUMIFS(Acerto_Detalhado!$I$2:$I$433,Acerto_Detalhado!$A$2:$A$433,$D1644,Acerto_Detalhado!$B$2:$B$433,"Mai",Acerto_Detalhado!$C$2:$C$433,"Proteina")),2)</f>
        <v>0</v>
      </c>
    </row>
    <row r="1645" customFormat="false" ht="15" hidden="false" customHeight="false" outlineLevel="0" collapsed="false">
      <c r="A1645" s="27" t="s">
        <v>115</v>
      </c>
      <c r="B1645" s="27" t="s">
        <v>109</v>
      </c>
      <c r="C1645" s="27" t="s">
        <v>44</v>
      </c>
      <c r="D1645" s="27" t="s">
        <v>40</v>
      </c>
      <c r="E1645" s="28" t="n">
        <f aca="false">ROUND((SUMIFS(Acerto_Detalhado!$F$2:$F$433,Acerto_Detalhado!$A$2:$A$433,$C1645,Acerto_Detalhado!$B$2:$B$433,"Mai",Acerto_Detalhado!$C$2:$C$433,"Proteina"))*(SUMIFS(Acerto_Detalhado!$I$2:$I$433,Acerto_Detalhado!$A$2:$A$433,$D1645,Acerto_Detalhado!$B$2:$B$433,"Mai",Acerto_Detalhado!$C$2:$C$433,"Proteina")),2)</f>
        <v>13241.79</v>
      </c>
    </row>
    <row r="1646" customFormat="false" ht="15" hidden="false" customHeight="false" outlineLevel="0" collapsed="false">
      <c r="A1646" s="27" t="s">
        <v>115</v>
      </c>
      <c r="B1646" s="27" t="s">
        <v>109</v>
      </c>
      <c r="C1646" s="27" t="s">
        <v>44</v>
      </c>
      <c r="D1646" s="27" t="s">
        <v>41</v>
      </c>
      <c r="E1646" s="28" t="n">
        <f aca="false">ROUND((SUMIFS(Acerto_Detalhado!$F$2:$F$433,Acerto_Detalhado!$A$2:$A$433,$C1646,Acerto_Detalhado!$B$2:$B$433,"Mai",Acerto_Detalhado!$C$2:$C$433,"Proteina"))*(SUMIFS(Acerto_Detalhado!$I$2:$I$433,Acerto_Detalhado!$A$2:$A$433,$D1646,Acerto_Detalhado!$B$2:$B$433,"Mai",Acerto_Detalhado!$C$2:$C$433,"Proteina")),2)</f>
        <v>0</v>
      </c>
    </row>
    <row r="1647" customFormat="false" ht="15" hidden="false" customHeight="false" outlineLevel="0" collapsed="false">
      <c r="A1647" s="27" t="s">
        <v>115</v>
      </c>
      <c r="B1647" s="27" t="s">
        <v>109</v>
      </c>
      <c r="C1647" s="27" t="s">
        <v>44</v>
      </c>
      <c r="D1647" s="27" t="s">
        <v>42</v>
      </c>
      <c r="E1647" s="28" t="n">
        <f aca="false">ROUND((SUMIFS(Acerto_Detalhado!$F$2:$F$433,Acerto_Detalhado!$A$2:$A$433,$C1647,Acerto_Detalhado!$B$2:$B$433,"Mai",Acerto_Detalhado!$C$2:$C$433,"Proteina"))*(SUMIFS(Acerto_Detalhado!$I$2:$I$433,Acerto_Detalhado!$A$2:$A$433,$D1647,Acerto_Detalhado!$B$2:$B$433,"Mai",Acerto_Detalhado!$C$2:$C$433,"Proteina")),2)</f>
        <v>0</v>
      </c>
    </row>
    <row r="1648" customFormat="false" ht="15" hidden="false" customHeight="false" outlineLevel="0" collapsed="false">
      <c r="A1648" s="27" t="s">
        <v>115</v>
      </c>
      <c r="B1648" s="27" t="s">
        <v>109</v>
      </c>
      <c r="C1648" s="27" t="s">
        <v>44</v>
      </c>
      <c r="D1648" s="27" t="s">
        <v>43</v>
      </c>
      <c r="E1648" s="28" t="n">
        <f aca="false">ROUND((SUMIFS(Acerto_Detalhado!$F$2:$F$433,Acerto_Detalhado!$A$2:$A$433,$C1648,Acerto_Detalhado!$B$2:$B$433,"Mai",Acerto_Detalhado!$C$2:$C$433,"Proteina"))*(SUMIFS(Acerto_Detalhado!$I$2:$I$433,Acerto_Detalhado!$A$2:$A$433,$D1648,Acerto_Detalhado!$B$2:$B$433,"Mai",Acerto_Detalhado!$C$2:$C$433,"Proteina")),2)</f>
        <v>17018.67</v>
      </c>
    </row>
    <row r="1649" customFormat="false" ht="15" hidden="false" customHeight="false" outlineLevel="0" collapsed="false">
      <c r="A1649" s="27" t="s">
        <v>115</v>
      </c>
      <c r="B1649" s="27" t="s">
        <v>109</v>
      </c>
      <c r="C1649" s="27" t="s">
        <v>44</v>
      </c>
      <c r="D1649" s="27" t="s">
        <v>45</v>
      </c>
      <c r="E1649" s="28" t="n">
        <f aca="false">ROUND((SUMIFS(Acerto_Detalhado!$F$2:$F$433,Acerto_Detalhado!$A$2:$A$433,$C1649,Acerto_Detalhado!$B$2:$B$433,"Mai",Acerto_Detalhado!$C$2:$C$433,"Proteina"))*(SUMIFS(Acerto_Detalhado!$I$2:$I$433,Acerto_Detalhado!$A$2:$A$433,$D1649,Acerto_Detalhado!$B$2:$B$433,"Mai",Acerto_Detalhado!$C$2:$C$433,"Proteina")),2)</f>
        <v>0</v>
      </c>
    </row>
    <row r="1650" customFormat="false" ht="15" hidden="false" customHeight="false" outlineLevel="0" collapsed="false">
      <c r="A1650" s="27" t="s">
        <v>115</v>
      </c>
      <c r="B1650" s="27" t="s">
        <v>109</v>
      </c>
      <c r="C1650" s="27" t="s">
        <v>44</v>
      </c>
      <c r="D1650" s="27" t="s">
        <v>46</v>
      </c>
      <c r="E1650" s="28" t="n">
        <f aca="false">ROUND((SUMIFS(Acerto_Detalhado!$F$2:$F$433,Acerto_Detalhado!$A$2:$A$433,$C1650,Acerto_Detalhado!$B$2:$B$433,"Mai",Acerto_Detalhado!$C$2:$C$433,"Proteina"))*(SUMIFS(Acerto_Detalhado!$I$2:$I$433,Acerto_Detalhado!$A$2:$A$433,$D1650,Acerto_Detalhado!$B$2:$B$433,"Mai",Acerto_Detalhado!$C$2:$C$433,"Proteina")),2)</f>
        <v>0</v>
      </c>
    </row>
    <row r="1651" customFormat="false" ht="15" hidden="false" customHeight="false" outlineLevel="0" collapsed="false">
      <c r="A1651" s="27" t="s">
        <v>115</v>
      </c>
      <c r="B1651" s="27" t="s">
        <v>109</v>
      </c>
      <c r="C1651" s="27" t="s">
        <v>44</v>
      </c>
      <c r="D1651" s="27" t="s">
        <v>47</v>
      </c>
      <c r="E1651" s="28" t="n">
        <f aca="false">ROUND((SUMIFS(Acerto_Detalhado!$F$2:$F$433,Acerto_Detalhado!$A$2:$A$433,$C1651,Acerto_Detalhado!$B$2:$B$433,"Mai",Acerto_Detalhado!$C$2:$C$433,"Proteina"))*(SUMIFS(Acerto_Detalhado!$I$2:$I$433,Acerto_Detalhado!$A$2:$A$433,$D1651,Acerto_Detalhado!$B$2:$B$433,"Mai",Acerto_Detalhado!$C$2:$C$433,"Proteina")),2)</f>
        <v>0</v>
      </c>
    </row>
    <row r="1652" customFormat="false" ht="15" hidden="false" customHeight="false" outlineLevel="0" collapsed="false">
      <c r="A1652" s="27" t="s">
        <v>115</v>
      </c>
      <c r="B1652" s="27" t="s">
        <v>109</v>
      </c>
      <c r="C1652" s="27" t="s">
        <v>44</v>
      </c>
      <c r="D1652" s="27" t="s">
        <v>48</v>
      </c>
      <c r="E1652" s="28" t="n">
        <f aca="false">ROUND((SUMIFS(Acerto_Detalhado!$F$2:$F$433,Acerto_Detalhado!$A$2:$A$433,$C1652,Acerto_Detalhado!$B$2:$B$433,"Mai",Acerto_Detalhado!$C$2:$C$433,"Proteina"))*(SUMIFS(Acerto_Detalhado!$I$2:$I$433,Acerto_Detalhado!$A$2:$A$433,$D1652,Acerto_Detalhado!$B$2:$B$433,"Mai",Acerto_Detalhado!$C$2:$C$433,"Proteina")),2)</f>
        <v>0</v>
      </c>
    </row>
    <row r="1653" customFormat="false" ht="15" hidden="false" customHeight="false" outlineLevel="0" collapsed="false">
      <c r="A1653" s="27" t="s">
        <v>115</v>
      </c>
      <c r="B1653" s="27" t="s">
        <v>109</v>
      </c>
      <c r="C1653" s="27" t="s">
        <v>44</v>
      </c>
      <c r="D1653" s="27" t="s">
        <v>49</v>
      </c>
      <c r="E1653" s="28" t="n">
        <f aca="false">ROUND((SUMIFS(Acerto_Detalhado!$F$2:$F$433,Acerto_Detalhado!$A$2:$A$433,$C1653,Acerto_Detalhado!$B$2:$B$433,"Mai",Acerto_Detalhado!$C$2:$C$433,"Proteina"))*(SUMIFS(Acerto_Detalhado!$I$2:$I$433,Acerto_Detalhado!$A$2:$A$433,$D1653,Acerto_Detalhado!$B$2:$B$433,"Mai",Acerto_Detalhado!$C$2:$C$433,"Proteina")),2)</f>
        <v>0</v>
      </c>
    </row>
    <row r="1654" customFormat="false" ht="15" hidden="false" customHeight="false" outlineLevel="0" collapsed="false">
      <c r="A1654" s="27" t="s">
        <v>115</v>
      </c>
      <c r="B1654" s="27" t="s">
        <v>109</v>
      </c>
      <c r="C1654" s="27" t="s">
        <v>44</v>
      </c>
      <c r="D1654" s="27" t="s">
        <v>50</v>
      </c>
      <c r="E1654" s="28" t="n">
        <f aca="false">ROUND((SUMIFS(Acerto_Detalhado!$F$2:$F$433,Acerto_Detalhado!$A$2:$A$433,$C1654,Acerto_Detalhado!$B$2:$B$433,"Mai",Acerto_Detalhado!$C$2:$C$433,"Proteina"))*(SUMIFS(Acerto_Detalhado!$I$2:$I$433,Acerto_Detalhado!$A$2:$A$433,$D1654,Acerto_Detalhado!$B$2:$B$433,"Mai",Acerto_Detalhado!$C$2:$C$433,"Proteina")),2)</f>
        <v>0</v>
      </c>
    </row>
    <row r="1655" customFormat="false" ht="15" hidden="false" customHeight="false" outlineLevel="0" collapsed="false">
      <c r="A1655" s="27" t="s">
        <v>115</v>
      </c>
      <c r="B1655" s="27" t="s">
        <v>109</v>
      </c>
      <c r="C1655" s="27" t="s">
        <v>45</v>
      </c>
      <c r="D1655" s="27" t="s">
        <v>39</v>
      </c>
      <c r="E1655" s="28" t="n">
        <f aca="false">ROUND((SUMIFS(Acerto_Detalhado!$F$2:$F$433,Acerto_Detalhado!$A$2:$A$433,$C1655,Acerto_Detalhado!$B$2:$B$433,"Mai",Acerto_Detalhado!$C$2:$C$433,"Proteina"))*(SUMIFS(Acerto_Detalhado!$I$2:$I$433,Acerto_Detalhado!$A$2:$A$433,$D1655,Acerto_Detalhado!$B$2:$B$433,"Mai",Acerto_Detalhado!$C$2:$C$433,"Proteina")),2)</f>
        <v>0</v>
      </c>
    </row>
    <row r="1656" customFormat="false" ht="15" hidden="false" customHeight="false" outlineLevel="0" collapsed="false">
      <c r="A1656" s="27" t="s">
        <v>115</v>
      </c>
      <c r="B1656" s="27" t="s">
        <v>109</v>
      </c>
      <c r="C1656" s="27" t="s">
        <v>45</v>
      </c>
      <c r="D1656" s="27" t="s">
        <v>40</v>
      </c>
      <c r="E1656" s="28" t="n">
        <f aca="false">ROUND((SUMIFS(Acerto_Detalhado!$F$2:$F$433,Acerto_Detalhado!$A$2:$A$433,$C1656,Acerto_Detalhado!$B$2:$B$433,"Mai",Acerto_Detalhado!$C$2:$C$433,"Proteina"))*(SUMIFS(Acerto_Detalhado!$I$2:$I$433,Acerto_Detalhado!$A$2:$A$433,$D1656,Acerto_Detalhado!$B$2:$B$433,"Mai",Acerto_Detalhado!$C$2:$C$433,"Proteina")),2)</f>
        <v>0</v>
      </c>
    </row>
    <row r="1657" customFormat="false" ht="15" hidden="false" customHeight="false" outlineLevel="0" collapsed="false">
      <c r="A1657" s="27" t="s">
        <v>115</v>
      </c>
      <c r="B1657" s="27" t="s">
        <v>109</v>
      </c>
      <c r="C1657" s="27" t="s">
        <v>45</v>
      </c>
      <c r="D1657" s="27" t="s">
        <v>41</v>
      </c>
      <c r="E1657" s="28" t="n">
        <f aca="false">ROUND((SUMIFS(Acerto_Detalhado!$F$2:$F$433,Acerto_Detalhado!$A$2:$A$433,$C1657,Acerto_Detalhado!$B$2:$B$433,"Mai",Acerto_Detalhado!$C$2:$C$433,"Proteina"))*(SUMIFS(Acerto_Detalhado!$I$2:$I$433,Acerto_Detalhado!$A$2:$A$433,$D1657,Acerto_Detalhado!$B$2:$B$433,"Mai",Acerto_Detalhado!$C$2:$C$433,"Proteina")),2)</f>
        <v>0</v>
      </c>
    </row>
    <row r="1658" customFormat="false" ht="15" hidden="false" customHeight="false" outlineLevel="0" collapsed="false">
      <c r="A1658" s="27" t="s">
        <v>115</v>
      </c>
      <c r="B1658" s="27" t="s">
        <v>109</v>
      </c>
      <c r="C1658" s="27" t="s">
        <v>45</v>
      </c>
      <c r="D1658" s="27" t="s">
        <v>42</v>
      </c>
      <c r="E1658" s="28" t="n">
        <f aca="false">ROUND((SUMIFS(Acerto_Detalhado!$F$2:$F$433,Acerto_Detalhado!$A$2:$A$433,$C1658,Acerto_Detalhado!$B$2:$B$433,"Mai",Acerto_Detalhado!$C$2:$C$433,"Proteina"))*(SUMIFS(Acerto_Detalhado!$I$2:$I$433,Acerto_Detalhado!$A$2:$A$433,$D1658,Acerto_Detalhado!$B$2:$B$433,"Mai",Acerto_Detalhado!$C$2:$C$433,"Proteina")),2)</f>
        <v>0</v>
      </c>
    </row>
    <row r="1659" customFormat="false" ht="15" hidden="false" customHeight="false" outlineLevel="0" collapsed="false">
      <c r="A1659" s="27" t="s">
        <v>115</v>
      </c>
      <c r="B1659" s="27" t="s">
        <v>109</v>
      </c>
      <c r="C1659" s="27" t="s">
        <v>45</v>
      </c>
      <c r="D1659" s="27" t="s">
        <v>43</v>
      </c>
      <c r="E1659" s="28" t="n">
        <f aca="false">ROUND((SUMIFS(Acerto_Detalhado!$F$2:$F$433,Acerto_Detalhado!$A$2:$A$433,$C1659,Acerto_Detalhado!$B$2:$B$433,"Mai",Acerto_Detalhado!$C$2:$C$433,"Proteina"))*(SUMIFS(Acerto_Detalhado!$I$2:$I$433,Acerto_Detalhado!$A$2:$A$433,$D1659,Acerto_Detalhado!$B$2:$B$433,"Mai",Acerto_Detalhado!$C$2:$C$433,"Proteina")),2)</f>
        <v>0</v>
      </c>
    </row>
    <row r="1660" customFormat="false" ht="15" hidden="false" customHeight="false" outlineLevel="0" collapsed="false">
      <c r="A1660" s="27" t="s">
        <v>115</v>
      </c>
      <c r="B1660" s="27" t="s">
        <v>109</v>
      </c>
      <c r="C1660" s="27" t="s">
        <v>45</v>
      </c>
      <c r="D1660" s="27" t="s">
        <v>44</v>
      </c>
      <c r="E1660" s="28" t="n">
        <f aca="false">ROUND((SUMIFS(Acerto_Detalhado!$F$2:$F$433,Acerto_Detalhado!$A$2:$A$433,$C1660,Acerto_Detalhado!$B$2:$B$433,"Mai",Acerto_Detalhado!$C$2:$C$433,"Proteina"))*(SUMIFS(Acerto_Detalhado!$I$2:$I$433,Acerto_Detalhado!$A$2:$A$433,$D1660,Acerto_Detalhado!$B$2:$B$433,"Mai",Acerto_Detalhado!$C$2:$C$433,"Proteina")),2)</f>
        <v>0</v>
      </c>
    </row>
    <row r="1661" customFormat="false" ht="15" hidden="false" customHeight="false" outlineLevel="0" collapsed="false">
      <c r="A1661" s="27" t="s">
        <v>115</v>
      </c>
      <c r="B1661" s="27" t="s">
        <v>109</v>
      </c>
      <c r="C1661" s="27" t="s">
        <v>45</v>
      </c>
      <c r="D1661" s="27" t="s">
        <v>46</v>
      </c>
      <c r="E1661" s="28" t="n">
        <f aca="false">ROUND((SUMIFS(Acerto_Detalhado!$F$2:$F$433,Acerto_Detalhado!$A$2:$A$433,$C1661,Acerto_Detalhado!$B$2:$B$433,"Mai",Acerto_Detalhado!$C$2:$C$433,"Proteina"))*(SUMIFS(Acerto_Detalhado!$I$2:$I$433,Acerto_Detalhado!$A$2:$A$433,$D1661,Acerto_Detalhado!$B$2:$B$433,"Mai",Acerto_Detalhado!$C$2:$C$433,"Proteina")),2)</f>
        <v>0</v>
      </c>
    </row>
    <row r="1662" customFormat="false" ht="15" hidden="false" customHeight="false" outlineLevel="0" collapsed="false">
      <c r="A1662" s="27" t="s">
        <v>115</v>
      </c>
      <c r="B1662" s="27" t="s">
        <v>109</v>
      </c>
      <c r="C1662" s="27" t="s">
        <v>45</v>
      </c>
      <c r="D1662" s="27" t="s">
        <v>47</v>
      </c>
      <c r="E1662" s="28" t="n">
        <f aca="false">ROUND((SUMIFS(Acerto_Detalhado!$F$2:$F$433,Acerto_Detalhado!$A$2:$A$433,$C1662,Acerto_Detalhado!$B$2:$B$433,"Mai",Acerto_Detalhado!$C$2:$C$433,"Proteina"))*(SUMIFS(Acerto_Detalhado!$I$2:$I$433,Acerto_Detalhado!$A$2:$A$433,$D1662,Acerto_Detalhado!$B$2:$B$433,"Mai",Acerto_Detalhado!$C$2:$C$433,"Proteina")),2)</f>
        <v>0</v>
      </c>
    </row>
    <row r="1663" customFormat="false" ht="15" hidden="false" customHeight="false" outlineLevel="0" collapsed="false">
      <c r="A1663" s="27" t="s">
        <v>115</v>
      </c>
      <c r="B1663" s="27" t="s">
        <v>109</v>
      </c>
      <c r="C1663" s="27" t="s">
        <v>45</v>
      </c>
      <c r="D1663" s="27" t="s">
        <v>48</v>
      </c>
      <c r="E1663" s="28" t="n">
        <f aca="false">ROUND((SUMIFS(Acerto_Detalhado!$F$2:$F$433,Acerto_Detalhado!$A$2:$A$433,$C1663,Acerto_Detalhado!$B$2:$B$433,"Mai",Acerto_Detalhado!$C$2:$C$433,"Proteina"))*(SUMIFS(Acerto_Detalhado!$I$2:$I$433,Acerto_Detalhado!$A$2:$A$433,$D1663,Acerto_Detalhado!$B$2:$B$433,"Mai",Acerto_Detalhado!$C$2:$C$433,"Proteina")),2)</f>
        <v>0</v>
      </c>
    </row>
    <row r="1664" customFormat="false" ht="15" hidden="false" customHeight="false" outlineLevel="0" collapsed="false">
      <c r="A1664" s="27" t="s">
        <v>115</v>
      </c>
      <c r="B1664" s="27" t="s">
        <v>109</v>
      </c>
      <c r="C1664" s="27" t="s">
        <v>45</v>
      </c>
      <c r="D1664" s="27" t="s">
        <v>49</v>
      </c>
      <c r="E1664" s="28" t="n">
        <f aca="false">ROUND((SUMIFS(Acerto_Detalhado!$F$2:$F$433,Acerto_Detalhado!$A$2:$A$433,$C1664,Acerto_Detalhado!$B$2:$B$433,"Mai",Acerto_Detalhado!$C$2:$C$433,"Proteina"))*(SUMIFS(Acerto_Detalhado!$I$2:$I$433,Acerto_Detalhado!$A$2:$A$433,$D1664,Acerto_Detalhado!$B$2:$B$433,"Mai",Acerto_Detalhado!$C$2:$C$433,"Proteina")),2)</f>
        <v>0</v>
      </c>
    </row>
    <row r="1665" customFormat="false" ht="15" hidden="false" customHeight="false" outlineLevel="0" collapsed="false">
      <c r="A1665" s="27" t="s">
        <v>115</v>
      </c>
      <c r="B1665" s="27" t="s">
        <v>109</v>
      </c>
      <c r="C1665" s="27" t="s">
        <v>45</v>
      </c>
      <c r="D1665" s="27" t="s">
        <v>50</v>
      </c>
      <c r="E1665" s="28" t="n">
        <f aca="false">ROUND((SUMIFS(Acerto_Detalhado!$F$2:$F$433,Acerto_Detalhado!$A$2:$A$433,$C1665,Acerto_Detalhado!$B$2:$B$433,"Mai",Acerto_Detalhado!$C$2:$C$433,"Proteina"))*(SUMIFS(Acerto_Detalhado!$I$2:$I$433,Acerto_Detalhado!$A$2:$A$433,$D1665,Acerto_Detalhado!$B$2:$B$433,"Mai",Acerto_Detalhado!$C$2:$C$433,"Proteina")),2)</f>
        <v>0</v>
      </c>
    </row>
    <row r="1666" customFormat="false" ht="15" hidden="false" customHeight="false" outlineLevel="0" collapsed="false">
      <c r="A1666" s="27" t="s">
        <v>115</v>
      </c>
      <c r="B1666" s="27" t="s">
        <v>109</v>
      </c>
      <c r="C1666" s="27" t="s">
        <v>46</v>
      </c>
      <c r="D1666" s="27" t="s">
        <v>39</v>
      </c>
      <c r="E1666" s="28" t="n">
        <f aca="false">ROUND((SUMIFS(Acerto_Detalhado!$F$2:$F$433,Acerto_Detalhado!$A$2:$A$433,$C1666,Acerto_Detalhado!$B$2:$B$433,"Mai",Acerto_Detalhado!$C$2:$C$433,"Proteina"))*(SUMIFS(Acerto_Detalhado!$I$2:$I$433,Acerto_Detalhado!$A$2:$A$433,$D1666,Acerto_Detalhado!$B$2:$B$433,"Mai",Acerto_Detalhado!$C$2:$C$433,"Proteina")),2)</f>
        <v>0</v>
      </c>
    </row>
    <row r="1667" customFormat="false" ht="15" hidden="false" customHeight="false" outlineLevel="0" collapsed="false">
      <c r="A1667" s="27" t="s">
        <v>115</v>
      </c>
      <c r="B1667" s="27" t="s">
        <v>109</v>
      </c>
      <c r="C1667" s="27" t="s">
        <v>46</v>
      </c>
      <c r="D1667" s="27" t="s">
        <v>40</v>
      </c>
      <c r="E1667" s="28" t="n">
        <f aca="false">ROUND((SUMIFS(Acerto_Detalhado!$F$2:$F$433,Acerto_Detalhado!$A$2:$A$433,$C1667,Acerto_Detalhado!$B$2:$B$433,"Mai",Acerto_Detalhado!$C$2:$C$433,"Proteina"))*(SUMIFS(Acerto_Detalhado!$I$2:$I$433,Acerto_Detalhado!$A$2:$A$433,$D1667,Acerto_Detalhado!$B$2:$B$433,"Mai",Acerto_Detalhado!$C$2:$C$433,"Proteina")),2)</f>
        <v>0</v>
      </c>
    </row>
    <row r="1668" customFormat="false" ht="15" hidden="false" customHeight="false" outlineLevel="0" collapsed="false">
      <c r="A1668" s="27" t="s">
        <v>115</v>
      </c>
      <c r="B1668" s="27" t="s">
        <v>109</v>
      </c>
      <c r="C1668" s="27" t="s">
        <v>46</v>
      </c>
      <c r="D1668" s="27" t="s">
        <v>41</v>
      </c>
      <c r="E1668" s="28" t="n">
        <f aca="false">ROUND((SUMIFS(Acerto_Detalhado!$F$2:$F$433,Acerto_Detalhado!$A$2:$A$433,$C1668,Acerto_Detalhado!$B$2:$B$433,"Mai",Acerto_Detalhado!$C$2:$C$433,"Proteina"))*(SUMIFS(Acerto_Detalhado!$I$2:$I$433,Acerto_Detalhado!$A$2:$A$433,$D1668,Acerto_Detalhado!$B$2:$B$433,"Mai",Acerto_Detalhado!$C$2:$C$433,"Proteina")),2)</f>
        <v>0</v>
      </c>
    </row>
    <row r="1669" customFormat="false" ht="15" hidden="false" customHeight="false" outlineLevel="0" collapsed="false">
      <c r="A1669" s="27" t="s">
        <v>115</v>
      </c>
      <c r="B1669" s="27" t="s">
        <v>109</v>
      </c>
      <c r="C1669" s="27" t="s">
        <v>46</v>
      </c>
      <c r="D1669" s="27" t="s">
        <v>42</v>
      </c>
      <c r="E1669" s="28" t="n">
        <f aca="false">ROUND((SUMIFS(Acerto_Detalhado!$F$2:$F$433,Acerto_Detalhado!$A$2:$A$433,$C1669,Acerto_Detalhado!$B$2:$B$433,"Mai",Acerto_Detalhado!$C$2:$C$433,"Proteina"))*(SUMIFS(Acerto_Detalhado!$I$2:$I$433,Acerto_Detalhado!$A$2:$A$433,$D1669,Acerto_Detalhado!$B$2:$B$433,"Mai",Acerto_Detalhado!$C$2:$C$433,"Proteina")),2)</f>
        <v>0</v>
      </c>
    </row>
    <row r="1670" customFormat="false" ht="15" hidden="false" customHeight="false" outlineLevel="0" collapsed="false">
      <c r="A1670" s="27" t="s">
        <v>115</v>
      </c>
      <c r="B1670" s="27" t="s">
        <v>109</v>
      </c>
      <c r="C1670" s="27" t="s">
        <v>46</v>
      </c>
      <c r="D1670" s="27" t="s">
        <v>43</v>
      </c>
      <c r="E1670" s="28" t="n">
        <f aca="false">ROUND((SUMIFS(Acerto_Detalhado!$F$2:$F$433,Acerto_Detalhado!$A$2:$A$433,$C1670,Acerto_Detalhado!$B$2:$B$433,"Mai",Acerto_Detalhado!$C$2:$C$433,"Proteina"))*(SUMIFS(Acerto_Detalhado!$I$2:$I$433,Acerto_Detalhado!$A$2:$A$433,$D1670,Acerto_Detalhado!$B$2:$B$433,"Mai",Acerto_Detalhado!$C$2:$C$433,"Proteina")),2)</f>
        <v>0</v>
      </c>
    </row>
    <row r="1671" customFormat="false" ht="15" hidden="false" customHeight="false" outlineLevel="0" collapsed="false">
      <c r="A1671" s="27" t="s">
        <v>115</v>
      </c>
      <c r="B1671" s="27" t="s">
        <v>109</v>
      </c>
      <c r="C1671" s="27" t="s">
        <v>46</v>
      </c>
      <c r="D1671" s="27" t="s">
        <v>44</v>
      </c>
      <c r="E1671" s="28" t="n">
        <f aca="false">ROUND((SUMIFS(Acerto_Detalhado!$F$2:$F$433,Acerto_Detalhado!$A$2:$A$433,$C1671,Acerto_Detalhado!$B$2:$B$433,"Mai",Acerto_Detalhado!$C$2:$C$433,"Proteina"))*(SUMIFS(Acerto_Detalhado!$I$2:$I$433,Acerto_Detalhado!$A$2:$A$433,$D1671,Acerto_Detalhado!$B$2:$B$433,"Mai",Acerto_Detalhado!$C$2:$C$433,"Proteina")),2)</f>
        <v>0</v>
      </c>
    </row>
    <row r="1672" customFormat="false" ht="15" hidden="false" customHeight="false" outlineLevel="0" collapsed="false">
      <c r="A1672" s="27" t="s">
        <v>115</v>
      </c>
      <c r="B1672" s="27" t="s">
        <v>109</v>
      </c>
      <c r="C1672" s="27" t="s">
        <v>46</v>
      </c>
      <c r="D1672" s="27" t="s">
        <v>45</v>
      </c>
      <c r="E1672" s="28" t="n">
        <f aca="false">ROUND((SUMIFS(Acerto_Detalhado!$F$2:$F$433,Acerto_Detalhado!$A$2:$A$433,$C1672,Acerto_Detalhado!$B$2:$B$433,"Mai",Acerto_Detalhado!$C$2:$C$433,"Proteina"))*(SUMIFS(Acerto_Detalhado!$I$2:$I$433,Acerto_Detalhado!$A$2:$A$433,$D1672,Acerto_Detalhado!$B$2:$B$433,"Mai",Acerto_Detalhado!$C$2:$C$433,"Proteina")),2)</f>
        <v>0</v>
      </c>
    </row>
    <row r="1673" customFormat="false" ht="15" hidden="false" customHeight="false" outlineLevel="0" collapsed="false">
      <c r="A1673" s="27" t="s">
        <v>115</v>
      </c>
      <c r="B1673" s="27" t="s">
        <v>109</v>
      </c>
      <c r="C1673" s="27" t="s">
        <v>46</v>
      </c>
      <c r="D1673" s="27" t="s">
        <v>47</v>
      </c>
      <c r="E1673" s="28" t="n">
        <f aca="false">ROUND((SUMIFS(Acerto_Detalhado!$F$2:$F$433,Acerto_Detalhado!$A$2:$A$433,$C1673,Acerto_Detalhado!$B$2:$B$433,"Mai",Acerto_Detalhado!$C$2:$C$433,"Proteina"))*(SUMIFS(Acerto_Detalhado!$I$2:$I$433,Acerto_Detalhado!$A$2:$A$433,$D1673,Acerto_Detalhado!$B$2:$B$433,"Mai",Acerto_Detalhado!$C$2:$C$433,"Proteina")),2)</f>
        <v>0</v>
      </c>
    </row>
    <row r="1674" customFormat="false" ht="15" hidden="false" customHeight="false" outlineLevel="0" collapsed="false">
      <c r="A1674" s="27" t="s">
        <v>115</v>
      </c>
      <c r="B1674" s="27" t="s">
        <v>109</v>
      </c>
      <c r="C1674" s="27" t="s">
        <v>46</v>
      </c>
      <c r="D1674" s="27" t="s">
        <v>48</v>
      </c>
      <c r="E1674" s="28" t="n">
        <f aca="false">ROUND((SUMIFS(Acerto_Detalhado!$F$2:$F$433,Acerto_Detalhado!$A$2:$A$433,$C1674,Acerto_Detalhado!$B$2:$B$433,"Mai",Acerto_Detalhado!$C$2:$C$433,"Proteina"))*(SUMIFS(Acerto_Detalhado!$I$2:$I$433,Acerto_Detalhado!$A$2:$A$433,$D1674,Acerto_Detalhado!$B$2:$B$433,"Mai",Acerto_Detalhado!$C$2:$C$433,"Proteina")),2)</f>
        <v>0</v>
      </c>
    </row>
    <row r="1675" customFormat="false" ht="15" hidden="false" customHeight="false" outlineLevel="0" collapsed="false">
      <c r="A1675" s="27" t="s">
        <v>115</v>
      </c>
      <c r="B1675" s="27" t="s">
        <v>109</v>
      </c>
      <c r="C1675" s="27" t="s">
        <v>46</v>
      </c>
      <c r="D1675" s="27" t="s">
        <v>49</v>
      </c>
      <c r="E1675" s="28" t="n">
        <f aca="false">ROUND((SUMIFS(Acerto_Detalhado!$F$2:$F$433,Acerto_Detalhado!$A$2:$A$433,$C1675,Acerto_Detalhado!$B$2:$B$433,"Mai",Acerto_Detalhado!$C$2:$C$433,"Proteina"))*(SUMIFS(Acerto_Detalhado!$I$2:$I$433,Acerto_Detalhado!$A$2:$A$433,$D1675,Acerto_Detalhado!$B$2:$B$433,"Mai",Acerto_Detalhado!$C$2:$C$433,"Proteina")),2)</f>
        <v>0</v>
      </c>
    </row>
    <row r="1676" customFormat="false" ht="15" hidden="false" customHeight="false" outlineLevel="0" collapsed="false">
      <c r="A1676" s="27" t="s">
        <v>115</v>
      </c>
      <c r="B1676" s="27" t="s">
        <v>109</v>
      </c>
      <c r="C1676" s="27" t="s">
        <v>46</v>
      </c>
      <c r="D1676" s="27" t="s">
        <v>50</v>
      </c>
      <c r="E1676" s="28" t="n">
        <f aca="false">ROUND((SUMIFS(Acerto_Detalhado!$F$2:$F$433,Acerto_Detalhado!$A$2:$A$433,$C1676,Acerto_Detalhado!$B$2:$B$433,"Mai",Acerto_Detalhado!$C$2:$C$433,"Proteina"))*(SUMIFS(Acerto_Detalhado!$I$2:$I$433,Acerto_Detalhado!$A$2:$A$433,$D1676,Acerto_Detalhado!$B$2:$B$433,"Mai",Acerto_Detalhado!$C$2:$C$433,"Proteina")),2)</f>
        <v>0</v>
      </c>
    </row>
    <row r="1677" customFormat="false" ht="15" hidden="false" customHeight="false" outlineLevel="0" collapsed="false">
      <c r="A1677" s="27" t="s">
        <v>115</v>
      </c>
      <c r="B1677" s="27" t="s">
        <v>109</v>
      </c>
      <c r="C1677" s="27" t="s">
        <v>47</v>
      </c>
      <c r="D1677" s="27" t="s">
        <v>39</v>
      </c>
      <c r="E1677" s="28" t="n">
        <f aca="false">ROUND((SUMIFS(Acerto_Detalhado!$F$2:$F$433,Acerto_Detalhado!$A$2:$A$433,$C1677,Acerto_Detalhado!$B$2:$B$433,"Mai",Acerto_Detalhado!$C$2:$C$433,"Proteina"))*(SUMIFS(Acerto_Detalhado!$I$2:$I$433,Acerto_Detalhado!$A$2:$A$433,$D1677,Acerto_Detalhado!$B$2:$B$433,"Mai",Acerto_Detalhado!$C$2:$C$433,"Proteina")),2)</f>
        <v>0</v>
      </c>
    </row>
    <row r="1678" customFormat="false" ht="15" hidden="false" customHeight="false" outlineLevel="0" collapsed="false">
      <c r="A1678" s="27" t="s">
        <v>115</v>
      </c>
      <c r="B1678" s="27" t="s">
        <v>109</v>
      </c>
      <c r="C1678" s="27" t="s">
        <v>47</v>
      </c>
      <c r="D1678" s="27" t="s">
        <v>40</v>
      </c>
      <c r="E1678" s="28" t="n">
        <f aca="false">ROUND((SUMIFS(Acerto_Detalhado!$F$2:$F$433,Acerto_Detalhado!$A$2:$A$433,$C1678,Acerto_Detalhado!$B$2:$B$433,"Mai",Acerto_Detalhado!$C$2:$C$433,"Proteina"))*(SUMIFS(Acerto_Detalhado!$I$2:$I$433,Acerto_Detalhado!$A$2:$A$433,$D1678,Acerto_Detalhado!$B$2:$B$433,"Mai",Acerto_Detalhado!$C$2:$C$433,"Proteina")),2)</f>
        <v>0</v>
      </c>
    </row>
    <row r="1679" customFormat="false" ht="15" hidden="false" customHeight="false" outlineLevel="0" collapsed="false">
      <c r="A1679" s="27" t="s">
        <v>115</v>
      </c>
      <c r="B1679" s="27" t="s">
        <v>109</v>
      </c>
      <c r="C1679" s="27" t="s">
        <v>47</v>
      </c>
      <c r="D1679" s="27" t="s">
        <v>41</v>
      </c>
      <c r="E1679" s="28" t="n">
        <f aca="false">ROUND((SUMIFS(Acerto_Detalhado!$F$2:$F$433,Acerto_Detalhado!$A$2:$A$433,$C1679,Acerto_Detalhado!$B$2:$B$433,"Mai",Acerto_Detalhado!$C$2:$C$433,"Proteina"))*(SUMIFS(Acerto_Detalhado!$I$2:$I$433,Acerto_Detalhado!$A$2:$A$433,$D1679,Acerto_Detalhado!$B$2:$B$433,"Mai",Acerto_Detalhado!$C$2:$C$433,"Proteina")),2)</f>
        <v>0</v>
      </c>
    </row>
    <row r="1680" customFormat="false" ht="15" hidden="false" customHeight="false" outlineLevel="0" collapsed="false">
      <c r="A1680" s="27" t="s">
        <v>115</v>
      </c>
      <c r="B1680" s="27" t="s">
        <v>109</v>
      </c>
      <c r="C1680" s="27" t="s">
        <v>47</v>
      </c>
      <c r="D1680" s="27" t="s">
        <v>42</v>
      </c>
      <c r="E1680" s="28" t="n">
        <f aca="false">ROUND((SUMIFS(Acerto_Detalhado!$F$2:$F$433,Acerto_Detalhado!$A$2:$A$433,$C1680,Acerto_Detalhado!$B$2:$B$433,"Mai",Acerto_Detalhado!$C$2:$C$433,"Proteina"))*(SUMIFS(Acerto_Detalhado!$I$2:$I$433,Acerto_Detalhado!$A$2:$A$433,$D1680,Acerto_Detalhado!$B$2:$B$433,"Mai",Acerto_Detalhado!$C$2:$C$433,"Proteina")),2)</f>
        <v>0</v>
      </c>
    </row>
    <row r="1681" customFormat="false" ht="15" hidden="false" customHeight="false" outlineLevel="0" collapsed="false">
      <c r="A1681" s="27" t="s">
        <v>115</v>
      </c>
      <c r="B1681" s="27" t="s">
        <v>109</v>
      </c>
      <c r="C1681" s="27" t="s">
        <v>47</v>
      </c>
      <c r="D1681" s="27" t="s">
        <v>43</v>
      </c>
      <c r="E1681" s="28" t="n">
        <f aca="false">ROUND((SUMIFS(Acerto_Detalhado!$F$2:$F$433,Acerto_Detalhado!$A$2:$A$433,$C1681,Acerto_Detalhado!$B$2:$B$433,"Mai",Acerto_Detalhado!$C$2:$C$433,"Proteina"))*(SUMIFS(Acerto_Detalhado!$I$2:$I$433,Acerto_Detalhado!$A$2:$A$433,$D1681,Acerto_Detalhado!$B$2:$B$433,"Mai",Acerto_Detalhado!$C$2:$C$433,"Proteina")),2)</f>
        <v>0</v>
      </c>
    </row>
    <row r="1682" customFormat="false" ht="15" hidden="false" customHeight="false" outlineLevel="0" collapsed="false">
      <c r="A1682" s="27" t="s">
        <v>115</v>
      </c>
      <c r="B1682" s="27" t="s">
        <v>109</v>
      </c>
      <c r="C1682" s="27" t="s">
        <v>47</v>
      </c>
      <c r="D1682" s="27" t="s">
        <v>44</v>
      </c>
      <c r="E1682" s="28" t="n">
        <f aca="false">ROUND((SUMIFS(Acerto_Detalhado!$F$2:$F$433,Acerto_Detalhado!$A$2:$A$433,$C1682,Acerto_Detalhado!$B$2:$B$433,"Mai",Acerto_Detalhado!$C$2:$C$433,"Proteina"))*(SUMIFS(Acerto_Detalhado!$I$2:$I$433,Acerto_Detalhado!$A$2:$A$433,$D1682,Acerto_Detalhado!$B$2:$B$433,"Mai",Acerto_Detalhado!$C$2:$C$433,"Proteina")),2)</f>
        <v>0</v>
      </c>
    </row>
    <row r="1683" customFormat="false" ht="15" hidden="false" customHeight="false" outlineLevel="0" collapsed="false">
      <c r="A1683" s="27" t="s">
        <v>115</v>
      </c>
      <c r="B1683" s="27" t="s">
        <v>109</v>
      </c>
      <c r="C1683" s="27" t="s">
        <v>47</v>
      </c>
      <c r="D1683" s="27" t="s">
        <v>45</v>
      </c>
      <c r="E1683" s="28" t="n">
        <f aca="false">ROUND((SUMIFS(Acerto_Detalhado!$F$2:$F$433,Acerto_Detalhado!$A$2:$A$433,$C1683,Acerto_Detalhado!$B$2:$B$433,"Mai",Acerto_Detalhado!$C$2:$C$433,"Proteina"))*(SUMIFS(Acerto_Detalhado!$I$2:$I$433,Acerto_Detalhado!$A$2:$A$433,$D1683,Acerto_Detalhado!$B$2:$B$433,"Mai",Acerto_Detalhado!$C$2:$C$433,"Proteina")),2)</f>
        <v>0</v>
      </c>
    </row>
    <row r="1684" customFormat="false" ht="15" hidden="false" customHeight="false" outlineLevel="0" collapsed="false">
      <c r="A1684" s="27" t="s">
        <v>115</v>
      </c>
      <c r="B1684" s="27" t="s">
        <v>109</v>
      </c>
      <c r="C1684" s="27" t="s">
        <v>47</v>
      </c>
      <c r="D1684" s="27" t="s">
        <v>46</v>
      </c>
      <c r="E1684" s="28" t="n">
        <f aca="false">ROUND((SUMIFS(Acerto_Detalhado!$F$2:$F$433,Acerto_Detalhado!$A$2:$A$433,$C1684,Acerto_Detalhado!$B$2:$B$433,"Mai",Acerto_Detalhado!$C$2:$C$433,"Proteina"))*(SUMIFS(Acerto_Detalhado!$I$2:$I$433,Acerto_Detalhado!$A$2:$A$433,$D1684,Acerto_Detalhado!$B$2:$B$433,"Mai",Acerto_Detalhado!$C$2:$C$433,"Proteina")),2)</f>
        <v>0</v>
      </c>
    </row>
    <row r="1685" customFormat="false" ht="15" hidden="false" customHeight="false" outlineLevel="0" collapsed="false">
      <c r="A1685" s="27" t="s">
        <v>115</v>
      </c>
      <c r="B1685" s="27" t="s">
        <v>109</v>
      </c>
      <c r="C1685" s="27" t="s">
        <v>47</v>
      </c>
      <c r="D1685" s="27" t="s">
        <v>48</v>
      </c>
      <c r="E1685" s="28" t="n">
        <f aca="false">ROUND((SUMIFS(Acerto_Detalhado!$F$2:$F$433,Acerto_Detalhado!$A$2:$A$433,$C1685,Acerto_Detalhado!$B$2:$B$433,"Mai",Acerto_Detalhado!$C$2:$C$433,"Proteina"))*(SUMIFS(Acerto_Detalhado!$I$2:$I$433,Acerto_Detalhado!$A$2:$A$433,$D1685,Acerto_Detalhado!$B$2:$B$433,"Mai",Acerto_Detalhado!$C$2:$C$433,"Proteina")),2)</f>
        <v>0</v>
      </c>
    </row>
    <row r="1686" customFormat="false" ht="15" hidden="false" customHeight="false" outlineLevel="0" collapsed="false">
      <c r="A1686" s="27" t="s">
        <v>115</v>
      </c>
      <c r="B1686" s="27" t="s">
        <v>109</v>
      </c>
      <c r="C1686" s="27" t="s">
        <v>47</v>
      </c>
      <c r="D1686" s="27" t="s">
        <v>49</v>
      </c>
      <c r="E1686" s="28" t="n">
        <f aca="false">ROUND((SUMIFS(Acerto_Detalhado!$F$2:$F$433,Acerto_Detalhado!$A$2:$A$433,$C1686,Acerto_Detalhado!$B$2:$B$433,"Mai",Acerto_Detalhado!$C$2:$C$433,"Proteina"))*(SUMIFS(Acerto_Detalhado!$I$2:$I$433,Acerto_Detalhado!$A$2:$A$433,$D1686,Acerto_Detalhado!$B$2:$B$433,"Mai",Acerto_Detalhado!$C$2:$C$433,"Proteina")),2)</f>
        <v>0</v>
      </c>
    </row>
    <row r="1687" customFormat="false" ht="15" hidden="false" customHeight="false" outlineLevel="0" collapsed="false">
      <c r="A1687" s="27" t="s">
        <v>115</v>
      </c>
      <c r="B1687" s="27" t="s">
        <v>109</v>
      </c>
      <c r="C1687" s="27" t="s">
        <v>47</v>
      </c>
      <c r="D1687" s="27" t="s">
        <v>50</v>
      </c>
      <c r="E1687" s="28" t="n">
        <f aca="false">ROUND((SUMIFS(Acerto_Detalhado!$F$2:$F$433,Acerto_Detalhado!$A$2:$A$433,$C1687,Acerto_Detalhado!$B$2:$B$433,"Mai",Acerto_Detalhado!$C$2:$C$433,"Proteina"))*(SUMIFS(Acerto_Detalhado!$I$2:$I$433,Acerto_Detalhado!$A$2:$A$433,$D1687,Acerto_Detalhado!$B$2:$B$433,"Mai",Acerto_Detalhado!$C$2:$C$433,"Proteina")),2)</f>
        <v>0</v>
      </c>
    </row>
    <row r="1688" customFormat="false" ht="15" hidden="false" customHeight="false" outlineLevel="0" collapsed="false">
      <c r="A1688" s="27" t="s">
        <v>115</v>
      </c>
      <c r="B1688" s="27" t="s">
        <v>109</v>
      </c>
      <c r="C1688" s="27" t="s">
        <v>48</v>
      </c>
      <c r="D1688" s="27" t="s">
        <v>39</v>
      </c>
      <c r="E1688" s="28" t="n">
        <f aca="false">ROUND((SUMIFS(Acerto_Detalhado!$F$2:$F$433,Acerto_Detalhado!$A$2:$A$433,$C1688,Acerto_Detalhado!$B$2:$B$433,"Mai",Acerto_Detalhado!$C$2:$C$433,"Proteina"))*(SUMIFS(Acerto_Detalhado!$I$2:$I$433,Acerto_Detalhado!$A$2:$A$433,$D1688,Acerto_Detalhado!$B$2:$B$433,"Mai",Acerto_Detalhado!$C$2:$C$433,"Proteina")),2)</f>
        <v>0</v>
      </c>
    </row>
    <row r="1689" customFormat="false" ht="15" hidden="false" customHeight="false" outlineLevel="0" collapsed="false">
      <c r="A1689" s="27" t="s">
        <v>115</v>
      </c>
      <c r="B1689" s="27" t="s">
        <v>109</v>
      </c>
      <c r="C1689" s="27" t="s">
        <v>48</v>
      </c>
      <c r="D1689" s="27" t="s">
        <v>40</v>
      </c>
      <c r="E1689" s="28" t="n">
        <f aca="false">ROUND((SUMIFS(Acerto_Detalhado!$F$2:$F$433,Acerto_Detalhado!$A$2:$A$433,$C1689,Acerto_Detalhado!$B$2:$B$433,"Mai",Acerto_Detalhado!$C$2:$C$433,"Proteina"))*(SUMIFS(Acerto_Detalhado!$I$2:$I$433,Acerto_Detalhado!$A$2:$A$433,$D1689,Acerto_Detalhado!$B$2:$B$433,"Mai",Acerto_Detalhado!$C$2:$C$433,"Proteina")),2)</f>
        <v>0</v>
      </c>
    </row>
    <row r="1690" customFormat="false" ht="15" hidden="false" customHeight="false" outlineLevel="0" collapsed="false">
      <c r="A1690" s="27" t="s">
        <v>115</v>
      </c>
      <c r="B1690" s="27" t="s">
        <v>109</v>
      </c>
      <c r="C1690" s="27" t="s">
        <v>48</v>
      </c>
      <c r="D1690" s="27" t="s">
        <v>41</v>
      </c>
      <c r="E1690" s="28" t="n">
        <f aca="false">ROUND((SUMIFS(Acerto_Detalhado!$F$2:$F$433,Acerto_Detalhado!$A$2:$A$433,$C1690,Acerto_Detalhado!$B$2:$B$433,"Mai",Acerto_Detalhado!$C$2:$C$433,"Proteina"))*(SUMIFS(Acerto_Detalhado!$I$2:$I$433,Acerto_Detalhado!$A$2:$A$433,$D1690,Acerto_Detalhado!$B$2:$B$433,"Mai",Acerto_Detalhado!$C$2:$C$433,"Proteina")),2)</f>
        <v>0</v>
      </c>
    </row>
    <row r="1691" customFormat="false" ht="15" hidden="false" customHeight="false" outlineLevel="0" collapsed="false">
      <c r="A1691" s="27" t="s">
        <v>115</v>
      </c>
      <c r="B1691" s="27" t="s">
        <v>109</v>
      </c>
      <c r="C1691" s="27" t="s">
        <v>48</v>
      </c>
      <c r="D1691" s="27" t="s">
        <v>42</v>
      </c>
      <c r="E1691" s="28" t="n">
        <f aca="false">ROUND((SUMIFS(Acerto_Detalhado!$F$2:$F$433,Acerto_Detalhado!$A$2:$A$433,$C1691,Acerto_Detalhado!$B$2:$B$433,"Mai",Acerto_Detalhado!$C$2:$C$433,"Proteina"))*(SUMIFS(Acerto_Detalhado!$I$2:$I$433,Acerto_Detalhado!$A$2:$A$433,$D1691,Acerto_Detalhado!$B$2:$B$433,"Mai",Acerto_Detalhado!$C$2:$C$433,"Proteina")),2)</f>
        <v>0</v>
      </c>
    </row>
    <row r="1692" customFormat="false" ht="15" hidden="false" customHeight="false" outlineLevel="0" collapsed="false">
      <c r="A1692" s="27" t="s">
        <v>115</v>
      </c>
      <c r="B1692" s="27" t="s">
        <v>109</v>
      </c>
      <c r="C1692" s="27" t="s">
        <v>48</v>
      </c>
      <c r="D1692" s="27" t="s">
        <v>43</v>
      </c>
      <c r="E1692" s="28" t="n">
        <f aca="false">ROUND((SUMIFS(Acerto_Detalhado!$F$2:$F$433,Acerto_Detalhado!$A$2:$A$433,$C1692,Acerto_Detalhado!$B$2:$B$433,"Mai",Acerto_Detalhado!$C$2:$C$433,"Proteina"))*(SUMIFS(Acerto_Detalhado!$I$2:$I$433,Acerto_Detalhado!$A$2:$A$433,$D1692,Acerto_Detalhado!$B$2:$B$433,"Mai",Acerto_Detalhado!$C$2:$C$433,"Proteina")),2)</f>
        <v>0</v>
      </c>
    </row>
    <row r="1693" customFormat="false" ht="15" hidden="false" customHeight="false" outlineLevel="0" collapsed="false">
      <c r="A1693" s="27" t="s">
        <v>115</v>
      </c>
      <c r="B1693" s="27" t="s">
        <v>109</v>
      </c>
      <c r="C1693" s="27" t="s">
        <v>48</v>
      </c>
      <c r="D1693" s="27" t="s">
        <v>44</v>
      </c>
      <c r="E1693" s="28" t="n">
        <f aca="false">ROUND((SUMIFS(Acerto_Detalhado!$F$2:$F$433,Acerto_Detalhado!$A$2:$A$433,$C1693,Acerto_Detalhado!$B$2:$B$433,"Mai",Acerto_Detalhado!$C$2:$C$433,"Proteina"))*(SUMIFS(Acerto_Detalhado!$I$2:$I$433,Acerto_Detalhado!$A$2:$A$433,$D1693,Acerto_Detalhado!$B$2:$B$433,"Mai",Acerto_Detalhado!$C$2:$C$433,"Proteina")),2)</f>
        <v>0</v>
      </c>
    </row>
    <row r="1694" customFormat="false" ht="15" hidden="false" customHeight="false" outlineLevel="0" collapsed="false">
      <c r="A1694" s="27" t="s">
        <v>115</v>
      </c>
      <c r="B1694" s="27" t="s">
        <v>109</v>
      </c>
      <c r="C1694" s="27" t="s">
        <v>48</v>
      </c>
      <c r="D1694" s="27" t="s">
        <v>45</v>
      </c>
      <c r="E1694" s="28" t="n">
        <f aca="false">ROUND((SUMIFS(Acerto_Detalhado!$F$2:$F$433,Acerto_Detalhado!$A$2:$A$433,$C1694,Acerto_Detalhado!$B$2:$B$433,"Mai",Acerto_Detalhado!$C$2:$C$433,"Proteina"))*(SUMIFS(Acerto_Detalhado!$I$2:$I$433,Acerto_Detalhado!$A$2:$A$433,$D1694,Acerto_Detalhado!$B$2:$B$433,"Mai",Acerto_Detalhado!$C$2:$C$433,"Proteina")),2)</f>
        <v>0</v>
      </c>
    </row>
    <row r="1695" customFormat="false" ht="15" hidden="false" customHeight="false" outlineLevel="0" collapsed="false">
      <c r="A1695" s="27" t="s">
        <v>115</v>
      </c>
      <c r="B1695" s="27" t="s">
        <v>109</v>
      </c>
      <c r="C1695" s="27" t="s">
        <v>48</v>
      </c>
      <c r="D1695" s="27" t="s">
        <v>46</v>
      </c>
      <c r="E1695" s="28" t="n">
        <f aca="false">ROUND((SUMIFS(Acerto_Detalhado!$F$2:$F$433,Acerto_Detalhado!$A$2:$A$433,$C1695,Acerto_Detalhado!$B$2:$B$433,"Mai",Acerto_Detalhado!$C$2:$C$433,"Proteina"))*(SUMIFS(Acerto_Detalhado!$I$2:$I$433,Acerto_Detalhado!$A$2:$A$433,$D1695,Acerto_Detalhado!$B$2:$B$433,"Mai",Acerto_Detalhado!$C$2:$C$433,"Proteina")),2)</f>
        <v>0</v>
      </c>
    </row>
    <row r="1696" customFormat="false" ht="15" hidden="false" customHeight="false" outlineLevel="0" collapsed="false">
      <c r="A1696" s="27" t="s">
        <v>115</v>
      </c>
      <c r="B1696" s="27" t="s">
        <v>109</v>
      </c>
      <c r="C1696" s="27" t="s">
        <v>48</v>
      </c>
      <c r="D1696" s="27" t="s">
        <v>47</v>
      </c>
      <c r="E1696" s="28" t="n">
        <f aca="false">ROUND((SUMIFS(Acerto_Detalhado!$F$2:$F$433,Acerto_Detalhado!$A$2:$A$433,$C1696,Acerto_Detalhado!$B$2:$B$433,"Mai",Acerto_Detalhado!$C$2:$C$433,"Proteina"))*(SUMIFS(Acerto_Detalhado!$I$2:$I$433,Acerto_Detalhado!$A$2:$A$433,$D1696,Acerto_Detalhado!$B$2:$B$433,"Mai",Acerto_Detalhado!$C$2:$C$433,"Proteina")),2)</f>
        <v>0</v>
      </c>
    </row>
    <row r="1697" customFormat="false" ht="15" hidden="false" customHeight="false" outlineLevel="0" collapsed="false">
      <c r="A1697" s="27" t="s">
        <v>115</v>
      </c>
      <c r="B1697" s="27" t="s">
        <v>109</v>
      </c>
      <c r="C1697" s="27" t="s">
        <v>48</v>
      </c>
      <c r="D1697" s="27" t="s">
        <v>49</v>
      </c>
      <c r="E1697" s="28" t="n">
        <f aca="false">ROUND((SUMIFS(Acerto_Detalhado!$F$2:$F$433,Acerto_Detalhado!$A$2:$A$433,$C1697,Acerto_Detalhado!$B$2:$B$433,"Mai",Acerto_Detalhado!$C$2:$C$433,"Proteina"))*(SUMIFS(Acerto_Detalhado!$I$2:$I$433,Acerto_Detalhado!$A$2:$A$433,$D1697,Acerto_Detalhado!$B$2:$B$433,"Mai",Acerto_Detalhado!$C$2:$C$433,"Proteina")),2)</f>
        <v>0</v>
      </c>
    </row>
    <row r="1698" customFormat="false" ht="15" hidden="false" customHeight="false" outlineLevel="0" collapsed="false">
      <c r="A1698" s="27" t="s">
        <v>115</v>
      </c>
      <c r="B1698" s="27" t="s">
        <v>109</v>
      </c>
      <c r="C1698" s="27" t="s">
        <v>48</v>
      </c>
      <c r="D1698" s="27" t="s">
        <v>50</v>
      </c>
      <c r="E1698" s="28" t="n">
        <f aca="false">ROUND((SUMIFS(Acerto_Detalhado!$F$2:$F$433,Acerto_Detalhado!$A$2:$A$433,$C1698,Acerto_Detalhado!$B$2:$B$433,"Mai",Acerto_Detalhado!$C$2:$C$433,"Proteina"))*(SUMIFS(Acerto_Detalhado!$I$2:$I$433,Acerto_Detalhado!$A$2:$A$433,$D1698,Acerto_Detalhado!$B$2:$B$433,"Mai",Acerto_Detalhado!$C$2:$C$433,"Proteina")),2)</f>
        <v>0</v>
      </c>
    </row>
    <row r="1699" customFormat="false" ht="15" hidden="false" customHeight="false" outlineLevel="0" collapsed="false">
      <c r="A1699" s="27" t="s">
        <v>115</v>
      </c>
      <c r="B1699" s="27" t="s">
        <v>109</v>
      </c>
      <c r="C1699" s="27" t="s">
        <v>49</v>
      </c>
      <c r="D1699" s="27" t="s">
        <v>39</v>
      </c>
      <c r="E1699" s="28" t="n">
        <f aca="false">ROUND((SUMIFS(Acerto_Detalhado!$F$2:$F$433,Acerto_Detalhado!$A$2:$A$433,$C1699,Acerto_Detalhado!$B$2:$B$433,"Mai",Acerto_Detalhado!$C$2:$C$433,"Proteina"))*(SUMIFS(Acerto_Detalhado!$I$2:$I$433,Acerto_Detalhado!$A$2:$A$433,$D1699,Acerto_Detalhado!$B$2:$B$433,"Mai",Acerto_Detalhado!$C$2:$C$433,"Proteina")),2)</f>
        <v>0</v>
      </c>
    </row>
    <row r="1700" customFormat="false" ht="15" hidden="false" customHeight="false" outlineLevel="0" collapsed="false">
      <c r="A1700" s="27" t="s">
        <v>115</v>
      </c>
      <c r="B1700" s="27" t="s">
        <v>109</v>
      </c>
      <c r="C1700" s="27" t="s">
        <v>49</v>
      </c>
      <c r="D1700" s="27" t="s">
        <v>40</v>
      </c>
      <c r="E1700" s="28" t="n">
        <f aca="false">ROUND((SUMIFS(Acerto_Detalhado!$F$2:$F$433,Acerto_Detalhado!$A$2:$A$433,$C1700,Acerto_Detalhado!$B$2:$B$433,"Mai",Acerto_Detalhado!$C$2:$C$433,"Proteina"))*(SUMIFS(Acerto_Detalhado!$I$2:$I$433,Acerto_Detalhado!$A$2:$A$433,$D1700,Acerto_Detalhado!$B$2:$B$433,"Mai",Acerto_Detalhado!$C$2:$C$433,"Proteina")),2)</f>
        <v>0</v>
      </c>
    </row>
    <row r="1701" customFormat="false" ht="15" hidden="false" customHeight="false" outlineLevel="0" collapsed="false">
      <c r="A1701" s="27" t="s">
        <v>115</v>
      </c>
      <c r="B1701" s="27" t="s">
        <v>109</v>
      </c>
      <c r="C1701" s="27" t="s">
        <v>49</v>
      </c>
      <c r="D1701" s="27" t="s">
        <v>41</v>
      </c>
      <c r="E1701" s="28" t="n">
        <f aca="false">ROUND((SUMIFS(Acerto_Detalhado!$F$2:$F$433,Acerto_Detalhado!$A$2:$A$433,$C1701,Acerto_Detalhado!$B$2:$B$433,"Mai",Acerto_Detalhado!$C$2:$C$433,"Proteina"))*(SUMIFS(Acerto_Detalhado!$I$2:$I$433,Acerto_Detalhado!$A$2:$A$433,$D1701,Acerto_Detalhado!$B$2:$B$433,"Mai",Acerto_Detalhado!$C$2:$C$433,"Proteina")),2)</f>
        <v>0</v>
      </c>
    </row>
    <row r="1702" customFormat="false" ht="15" hidden="false" customHeight="false" outlineLevel="0" collapsed="false">
      <c r="A1702" s="27" t="s">
        <v>115</v>
      </c>
      <c r="B1702" s="27" t="s">
        <v>109</v>
      </c>
      <c r="C1702" s="27" t="s">
        <v>49</v>
      </c>
      <c r="D1702" s="27" t="s">
        <v>42</v>
      </c>
      <c r="E1702" s="28" t="n">
        <f aca="false">ROUND((SUMIFS(Acerto_Detalhado!$F$2:$F$433,Acerto_Detalhado!$A$2:$A$433,$C1702,Acerto_Detalhado!$B$2:$B$433,"Mai",Acerto_Detalhado!$C$2:$C$433,"Proteina"))*(SUMIFS(Acerto_Detalhado!$I$2:$I$433,Acerto_Detalhado!$A$2:$A$433,$D1702,Acerto_Detalhado!$B$2:$B$433,"Mai",Acerto_Detalhado!$C$2:$C$433,"Proteina")),2)</f>
        <v>0</v>
      </c>
    </row>
    <row r="1703" customFormat="false" ht="15" hidden="false" customHeight="false" outlineLevel="0" collapsed="false">
      <c r="A1703" s="27" t="s">
        <v>115</v>
      </c>
      <c r="B1703" s="27" t="s">
        <v>109</v>
      </c>
      <c r="C1703" s="27" t="s">
        <v>49</v>
      </c>
      <c r="D1703" s="27" t="s">
        <v>43</v>
      </c>
      <c r="E1703" s="28" t="n">
        <f aca="false">ROUND((SUMIFS(Acerto_Detalhado!$F$2:$F$433,Acerto_Detalhado!$A$2:$A$433,$C1703,Acerto_Detalhado!$B$2:$B$433,"Mai",Acerto_Detalhado!$C$2:$C$433,"Proteina"))*(SUMIFS(Acerto_Detalhado!$I$2:$I$433,Acerto_Detalhado!$A$2:$A$433,$D1703,Acerto_Detalhado!$B$2:$B$433,"Mai",Acerto_Detalhado!$C$2:$C$433,"Proteina")),2)</f>
        <v>0</v>
      </c>
    </row>
    <row r="1704" customFormat="false" ht="15" hidden="false" customHeight="false" outlineLevel="0" collapsed="false">
      <c r="A1704" s="27" t="s">
        <v>115</v>
      </c>
      <c r="B1704" s="27" t="s">
        <v>109</v>
      </c>
      <c r="C1704" s="27" t="s">
        <v>49</v>
      </c>
      <c r="D1704" s="27" t="s">
        <v>44</v>
      </c>
      <c r="E1704" s="28" t="n">
        <f aca="false">ROUND((SUMIFS(Acerto_Detalhado!$F$2:$F$433,Acerto_Detalhado!$A$2:$A$433,$C1704,Acerto_Detalhado!$B$2:$B$433,"Mai",Acerto_Detalhado!$C$2:$C$433,"Proteina"))*(SUMIFS(Acerto_Detalhado!$I$2:$I$433,Acerto_Detalhado!$A$2:$A$433,$D1704,Acerto_Detalhado!$B$2:$B$433,"Mai",Acerto_Detalhado!$C$2:$C$433,"Proteina")),2)</f>
        <v>0</v>
      </c>
    </row>
    <row r="1705" customFormat="false" ht="15" hidden="false" customHeight="false" outlineLevel="0" collapsed="false">
      <c r="A1705" s="27" t="s">
        <v>115</v>
      </c>
      <c r="B1705" s="27" t="s">
        <v>109</v>
      </c>
      <c r="C1705" s="27" t="s">
        <v>49</v>
      </c>
      <c r="D1705" s="27" t="s">
        <v>45</v>
      </c>
      <c r="E1705" s="28" t="n">
        <f aca="false">ROUND((SUMIFS(Acerto_Detalhado!$F$2:$F$433,Acerto_Detalhado!$A$2:$A$433,$C1705,Acerto_Detalhado!$B$2:$B$433,"Mai",Acerto_Detalhado!$C$2:$C$433,"Proteina"))*(SUMIFS(Acerto_Detalhado!$I$2:$I$433,Acerto_Detalhado!$A$2:$A$433,$D1705,Acerto_Detalhado!$B$2:$B$433,"Mai",Acerto_Detalhado!$C$2:$C$433,"Proteina")),2)</f>
        <v>0</v>
      </c>
    </row>
    <row r="1706" customFormat="false" ht="15" hidden="false" customHeight="false" outlineLevel="0" collapsed="false">
      <c r="A1706" s="27" t="s">
        <v>115</v>
      </c>
      <c r="B1706" s="27" t="s">
        <v>109</v>
      </c>
      <c r="C1706" s="27" t="s">
        <v>49</v>
      </c>
      <c r="D1706" s="27" t="s">
        <v>46</v>
      </c>
      <c r="E1706" s="28" t="n">
        <f aca="false">ROUND((SUMIFS(Acerto_Detalhado!$F$2:$F$433,Acerto_Detalhado!$A$2:$A$433,$C1706,Acerto_Detalhado!$B$2:$B$433,"Mai",Acerto_Detalhado!$C$2:$C$433,"Proteina"))*(SUMIFS(Acerto_Detalhado!$I$2:$I$433,Acerto_Detalhado!$A$2:$A$433,$D1706,Acerto_Detalhado!$B$2:$B$433,"Mai",Acerto_Detalhado!$C$2:$C$433,"Proteina")),2)</f>
        <v>0</v>
      </c>
    </row>
    <row r="1707" customFormat="false" ht="15" hidden="false" customHeight="false" outlineLevel="0" collapsed="false">
      <c r="A1707" s="27" t="s">
        <v>115</v>
      </c>
      <c r="B1707" s="27" t="s">
        <v>109</v>
      </c>
      <c r="C1707" s="27" t="s">
        <v>49</v>
      </c>
      <c r="D1707" s="27" t="s">
        <v>47</v>
      </c>
      <c r="E1707" s="28" t="n">
        <f aca="false">ROUND((SUMIFS(Acerto_Detalhado!$F$2:$F$433,Acerto_Detalhado!$A$2:$A$433,$C1707,Acerto_Detalhado!$B$2:$B$433,"Mai",Acerto_Detalhado!$C$2:$C$433,"Proteina"))*(SUMIFS(Acerto_Detalhado!$I$2:$I$433,Acerto_Detalhado!$A$2:$A$433,$D1707,Acerto_Detalhado!$B$2:$B$433,"Mai",Acerto_Detalhado!$C$2:$C$433,"Proteina")),2)</f>
        <v>0</v>
      </c>
    </row>
    <row r="1708" customFormat="false" ht="15" hidden="false" customHeight="false" outlineLevel="0" collapsed="false">
      <c r="A1708" s="27" t="s">
        <v>115</v>
      </c>
      <c r="B1708" s="27" t="s">
        <v>109</v>
      </c>
      <c r="C1708" s="27" t="s">
        <v>49</v>
      </c>
      <c r="D1708" s="27" t="s">
        <v>48</v>
      </c>
      <c r="E1708" s="28" t="n">
        <f aca="false">ROUND((SUMIFS(Acerto_Detalhado!$F$2:$F$433,Acerto_Detalhado!$A$2:$A$433,$C1708,Acerto_Detalhado!$B$2:$B$433,"Mai",Acerto_Detalhado!$C$2:$C$433,"Proteina"))*(SUMIFS(Acerto_Detalhado!$I$2:$I$433,Acerto_Detalhado!$A$2:$A$433,$D1708,Acerto_Detalhado!$B$2:$B$433,"Mai",Acerto_Detalhado!$C$2:$C$433,"Proteina")),2)</f>
        <v>0</v>
      </c>
    </row>
    <row r="1709" customFormat="false" ht="15" hidden="false" customHeight="false" outlineLevel="0" collapsed="false">
      <c r="A1709" s="27" t="s">
        <v>115</v>
      </c>
      <c r="B1709" s="27" t="s">
        <v>109</v>
      </c>
      <c r="C1709" s="27" t="s">
        <v>49</v>
      </c>
      <c r="D1709" s="27" t="s">
        <v>50</v>
      </c>
      <c r="E1709" s="28" t="n">
        <f aca="false">ROUND((SUMIFS(Acerto_Detalhado!$F$2:$F$433,Acerto_Detalhado!$A$2:$A$433,$C1709,Acerto_Detalhado!$B$2:$B$433,"Mai",Acerto_Detalhado!$C$2:$C$433,"Proteina"))*(SUMIFS(Acerto_Detalhado!$I$2:$I$433,Acerto_Detalhado!$A$2:$A$433,$D1709,Acerto_Detalhado!$B$2:$B$433,"Mai",Acerto_Detalhado!$C$2:$C$433,"Proteina")),2)</f>
        <v>0</v>
      </c>
    </row>
    <row r="1710" customFormat="false" ht="15" hidden="false" customHeight="false" outlineLevel="0" collapsed="false">
      <c r="A1710" s="27" t="s">
        <v>115</v>
      </c>
      <c r="B1710" s="27" t="s">
        <v>109</v>
      </c>
      <c r="C1710" s="27" t="s">
        <v>50</v>
      </c>
      <c r="D1710" s="27" t="s">
        <v>39</v>
      </c>
      <c r="E1710" s="28" t="n">
        <f aca="false">ROUND((SUMIFS(Acerto_Detalhado!$F$2:$F$433,Acerto_Detalhado!$A$2:$A$433,$C1710,Acerto_Detalhado!$B$2:$B$433,"Mai",Acerto_Detalhado!$C$2:$C$433,"Proteina"))*(SUMIFS(Acerto_Detalhado!$I$2:$I$433,Acerto_Detalhado!$A$2:$A$433,$D1710,Acerto_Detalhado!$B$2:$B$433,"Mai",Acerto_Detalhado!$C$2:$C$433,"Proteina")),2)</f>
        <v>0</v>
      </c>
    </row>
    <row r="1711" customFormat="false" ht="15" hidden="false" customHeight="false" outlineLevel="0" collapsed="false">
      <c r="A1711" s="27" t="s">
        <v>115</v>
      </c>
      <c r="B1711" s="27" t="s">
        <v>109</v>
      </c>
      <c r="C1711" s="27" t="s">
        <v>50</v>
      </c>
      <c r="D1711" s="27" t="s">
        <v>40</v>
      </c>
      <c r="E1711" s="28" t="n">
        <f aca="false">ROUND((SUMIFS(Acerto_Detalhado!$F$2:$F$433,Acerto_Detalhado!$A$2:$A$433,$C1711,Acerto_Detalhado!$B$2:$B$433,"Mai",Acerto_Detalhado!$C$2:$C$433,"Proteina"))*(SUMIFS(Acerto_Detalhado!$I$2:$I$433,Acerto_Detalhado!$A$2:$A$433,$D1711,Acerto_Detalhado!$B$2:$B$433,"Mai",Acerto_Detalhado!$C$2:$C$433,"Proteina")),2)</f>
        <v>0</v>
      </c>
    </row>
    <row r="1712" customFormat="false" ht="15" hidden="false" customHeight="false" outlineLevel="0" collapsed="false">
      <c r="A1712" s="27" t="s">
        <v>115</v>
      </c>
      <c r="B1712" s="27" t="s">
        <v>109</v>
      </c>
      <c r="C1712" s="27" t="s">
        <v>50</v>
      </c>
      <c r="D1712" s="27" t="s">
        <v>41</v>
      </c>
      <c r="E1712" s="28" t="n">
        <f aca="false">ROUND((SUMIFS(Acerto_Detalhado!$F$2:$F$433,Acerto_Detalhado!$A$2:$A$433,$C1712,Acerto_Detalhado!$B$2:$B$433,"Mai",Acerto_Detalhado!$C$2:$C$433,"Proteina"))*(SUMIFS(Acerto_Detalhado!$I$2:$I$433,Acerto_Detalhado!$A$2:$A$433,$D1712,Acerto_Detalhado!$B$2:$B$433,"Mai",Acerto_Detalhado!$C$2:$C$433,"Proteina")),2)</f>
        <v>0</v>
      </c>
    </row>
    <row r="1713" customFormat="false" ht="15" hidden="false" customHeight="false" outlineLevel="0" collapsed="false">
      <c r="A1713" s="27" t="s">
        <v>115</v>
      </c>
      <c r="B1713" s="27" t="s">
        <v>109</v>
      </c>
      <c r="C1713" s="27" t="s">
        <v>50</v>
      </c>
      <c r="D1713" s="27" t="s">
        <v>42</v>
      </c>
      <c r="E1713" s="28" t="n">
        <f aca="false">ROUND((SUMIFS(Acerto_Detalhado!$F$2:$F$433,Acerto_Detalhado!$A$2:$A$433,$C1713,Acerto_Detalhado!$B$2:$B$433,"Mai",Acerto_Detalhado!$C$2:$C$433,"Proteina"))*(SUMIFS(Acerto_Detalhado!$I$2:$I$433,Acerto_Detalhado!$A$2:$A$433,$D1713,Acerto_Detalhado!$B$2:$B$433,"Mai",Acerto_Detalhado!$C$2:$C$433,"Proteina")),2)</f>
        <v>0</v>
      </c>
    </row>
    <row r="1714" customFormat="false" ht="15" hidden="false" customHeight="false" outlineLevel="0" collapsed="false">
      <c r="A1714" s="27" t="s">
        <v>115</v>
      </c>
      <c r="B1714" s="27" t="s">
        <v>109</v>
      </c>
      <c r="C1714" s="27" t="s">
        <v>50</v>
      </c>
      <c r="D1714" s="27" t="s">
        <v>43</v>
      </c>
      <c r="E1714" s="28" t="n">
        <f aca="false">ROUND((SUMIFS(Acerto_Detalhado!$F$2:$F$433,Acerto_Detalhado!$A$2:$A$433,$C1714,Acerto_Detalhado!$B$2:$B$433,"Mai",Acerto_Detalhado!$C$2:$C$433,"Proteina"))*(SUMIFS(Acerto_Detalhado!$I$2:$I$433,Acerto_Detalhado!$A$2:$A$433,$D1714,Acerto_Detalhado!$B$2:$B$433,"Mai",Acerto_Detalhado!$C$2:$C$433,"Proteina")),2)</f>
        <v>0</v>
      </c>
    </row>
    <row r="1715" customFormat="false" ht="15" hidden="false" customHeight="false" outlineLevel="0" collapsed="false">
      <c r="A1715" s="27" t="s">
        <v>115</v>
      </c>
      <c r="B1715" s="27" t="s">
        <v>109</v>
      </c>
      <c r="C1715" s="27" t="s">
        <v>50</v>
      </c>
      <c r="D1715" s="27" t="s">
        <v>44</v>
      </c>
      <c r="E1715" s="28" t="n">
        <f aca="false">ROUND((SUMIFS(Acerto_Detalhado!$F$2:$F$433,Acerto_Detalhado!$A$2:$A$433,$C1715,Acerto_Detalhado!$B$2:$B$433,"Mai",Acerto_Detalhado!$C$2:$C$433,"Proteina"))*(SUMIFS(Acerto_Detalhado!$I$2:$I$433,Acerto_Detalhado!$A$2:$A$433,$D1715,Acerto_Detalhado!$B$2:$B$433,"Mai",Acerto_Detalhado!$C$2:$C$433,"Proteina")),2)</f>
        <v>0</v>
      </c>
    </row>
    <row r="1716" customFormat="false" ht="15" hidden="false" customHeight="false" outlineLevel="0" collapsed="false">
      <c r="A1716" s="27" t="s">
        <v>115</v>
      </c>
      <c r="B1716" s="27" t="s">
        <v>109</v>
      </c>
      <c r="C1716" s="27" t="s">
        <v>50</v>
      </c>
      <c r="D1716" s="27" t="s">
        <v>45</v>
      </c>
      <c r="E1716" s="28" t="n">
        <f aca="false">ROUND((SUMIFS(Acerto_Detalhado!$F$2:$F$433,Acerto_Detalhado!$A$2:$A$433,$C1716,Acerto_Detalhado!$B$2:$B$433,"Mai",Acerto_Detalhado!$C$2:$C$433,"Proteina"))*(SUMIFS(Acerto_Detalhado!$I$2:$I$433,Acerto_Detalhado!$A$2:$A$433,$D1716,Acerto_Detalhado!$B$2:$B$433,"Mai",Acerto_Detalhado!$C$2:$C$433,"Proteina")),2)</f>
        <v>0</v>
      </c>
    </row>
    <row r="1717" customFormat="false" ht="15" hidden="false" customHeight="false" outlineLevel="0" collapsed="false">
      <c r="A1717" s="27" t="s">
        <v>115</v>
      </c>
      <c r="B1717" s="27" t="s">
        <v>109</v>
      </c>
      <c r="C1717" s="27" t="s">
        <v>50</v>
      </c>
      <c r="D1717" s="27" t="s">
        <v>46</v>
      </c>
      <c r="E1717" s="28" t="n">
        <f aca="false">ROUND((SUMIFS(Acerto_Detalhado!$F$2:$F$433,Acerto_Detalhado!$A$2:$A$433,$C1717,Acerto_Detalhado!$B$2:$B$433,"Mai",Acerto_Detalhado!$C$2:$C$433,"Proteina"))*(SUMIFS(Acerto_Detalhado!$I$2:$I$433,Acerto_Detalhado!$A$2:$A$433,$D1717,Acerto_Detalhado!$B$2:$B$433,"Mai",Acerto_Detalhado!$C$2:$C$433,"Proteina")),2)</f>
        <v>0</v>
      </c>
    </row>
    <row r="1718" customFormat="false" ht="15" hidden="false" customHeight="false" outlineLevel="0" collapsed="false">
      <c r="A1718" s="27" t="s">
        <v>115</v>
      </c>
      <c r="B1718" s="27" t="s">
        <v>109</v>
      </c>
      <c r="C1718" s="27" t="s">
        <v>50</v>
      </c>
      <c r="D1718" s="27" t="s">
        <v>47</v>
      </c>
      <c r="E1718" s="28" t="n">
        <f aca="false">ROUND((SUMIFS(Acerto_Detalhado!$F$2:$F$433,Acerto_Detalhado!$A$2:$A$433,$C1718,Acerto_Detalhado!$B$2:$B$433,"Mai",Acerto_Detalhado!$C$2:$C$433,"Proteina"))*(SUMIFS(Acerto_Detalhado!$I$2:$I$433,Acerto_Detalhado!$A$2:$A$433,$D1718,Acerto_Detalhado!$B$2:$B$433,"Mai",Acerto_Detalhado!$C$2:$C$433,"Proteina")),2)</f>
        <v>0</v>
      </c>
    </row>
    <row r="1719" customFormat="false" ht="15" hidden="false" customHeight="false" outlineLevel="0" collapsed="false">
      <c r="A1719" s="27" t="s">
        <v>115</v>
      </c>
      <c r="B1719" s="27" t="s">
        <v>109</v>
      </c>
      <c r="C1719" s="27" t="s">
        <v>50</v>
      </c>
      <c r="D1719" s="27" t="s">
        <v>48</v>
      </c>
      <c r="E1719" s="28" t="n">
        <f aca="false">ROUND((SUMIFS(Acerto_Detalhado!$F$2:$F$433,Acerto_Detalhado!$A$2:$A$433,$C1719,Acerto_Detalhado!$B$2:$B$433,"Mai",Acerto_Detalhado!$C$2:$C$433,"Proteina"))*(SUMIFS(Acerto_Detalhado!$I$2:$I$433,Acerto_Detalhado!$A$2:$A$433,$D1719,Acerto_Detalhado!$B$2:$B$433,"Mai",Acerto_Detalhado!$C$2:$C$433,"Proteina")),2)</f>
        <v>0</v>
      </c>
    </row>
    <row r="1720" customFormat="false" ht="15" hidden="false" customHeight="false" outlineLevel="0" collapsed="false">
      <c r="A1720" s="27" t="s">
        <v>115</v>
      </c>
      <c r="B1720" s="27" t="s">
        <v>109</v>
      </c>
      <c r="C1720" s="27" t="s">
        <v>50</v>
      </c>
      <c r="D1720" s="27" t="s">
        <v>49</v>
      </c>
      <c r="E1720" s="28" t="n">
        <f aca="false">ROUND((SUMIFS(Acerto_Detalhado!$F$2:$F$433,Acerto_Detalhado!$A$2:$A$433,$C1720,Acerto_Detalhado!$B$2:$B$433,"Mai",Acerto_Detalhado!$C$2:$C$433,"Proteina"))*(SUMIFS(Acerto_Detalhado!$I$2:$I$433,Acerto_Detalhado!$A$2:$A$433,$D1720,Acerto_Detalhado!$B$2:$B$433,"Mai",Acerto_Detalhado!$C$2:$C$433,"Proteina")),2)</f>
        <v>0</v>
      </c>
    </row>
    <row r="1721" customFormat="false" ht="15" hidden="false" customHeight="false" outlineLevel="0" collapsed="false">
      <c r="A1721" s="27" t="s">
        <v>115</v>
      </c>
      <c r="B1721" s="27" t="s">
        <v>110</v>
      </c>
      <c r="C1721" s="27" t="s">
        <v>39</v>
      </c>
      <c r="D1721" s="27" t="s">
        <v>40</v>
      </c>
      <c r="E1721" s="28" t="n">
        <f aca="false">ROUND((SUMIFS(Acerto_Detalhado!$F$2:$F$433,Acerto_Detalhado!$A$2:$A$433,$C1721,Acerto_Detalhado!$B$2:$B$433,"Mai",Acerto_Detalhado!$C$2:$C$433,"Umidade"))*(SUMIFS(Acerto_Detalhado!$I$2:$I$433,Acerto_Detalhado!$A$2:$A$433,$D1721,Acerto_Detalhado!$B$2:$B$433,"Mai",Acerto_Detalhado!$C$2:$C$433,"Umidade")),2)</f>
        <v>0</v>
      </c>
    </row>
    <row r="1722" customFormat="false" ht="15" hidden="false" customHeight="false" outlineLevel="0" collapsed="false">
      <c r="A1722" s="27" t="s">
        <v>115</v>
      </c>
      <c r="B1722" s="27" t="s">
        <v>110</v>
      </c>
      <c r="C1722" s="27" t="s">
        <v>39</v>
      </c>
      <c r="D1722" s="27" t="s">
        <v>41</v>
      </c>
      <c r="E1722" s="28" t="n">
        <f aca="false">ROUND((SUMIFS(Acerto_Detalhado!$F$2:$F$433,Acerto_Detalhado!$A$2:$A$433,$C1722,Acerto_Detalhado!$B$2:$B$433,"Mai",Acerto_Detalhado!$C$2:$C$433,"Umidade"))*(SUMIFS(Acerto_Detalhado!$I$2:$I$433,Acerto_Detalhado!$A$2:$A$433,$D1722,Acerto_Detalhado!$B$2:$B$433,"Mai",Acerto_Detalhado!$C$2:$C$433,"Umidade")),2)</f>
        <v>0</v>
      </c>
    </row>
    <row r="1723" customFormat="false" ht="15" hidden="false" customHeight="false" outlineLevel="0" collapsed="false">
      <c r="A1723" s="27" t="s">
        <v>115</v>
      </c>
      <c r="B1723" s="27" t="s">
        <v>110</v>
      </c>
      <c r="C1723" s="27" t="s">
        <v>39</v>
      </c>
      <c r="D1723" s="27" t="s">
        <v>42</v>
      </c>
      <c r="E1723" s="28" t="n">
        <f aca="false">ROUND((SUMIFS(Acerto_Detalhado!$F$2:$F$433,Acerto_Detalhado!$A$2:$A$433,$C1723,Acerto_Detalhado!$B$2:$B$433,"Mai",Acerto_Detalhado!$C$2:$C$433,"Umidade"))*(SUMIFS(Acerto_Detalhado!$I$2:$I$433,Acerto_Detalhado!$A$2:$A$433,$D1723,Acerto_Detalhado!$B$2:$B$433,"Mai",Acerto_Detalhado!$C$2:$C$433,"Umidade")),2)</f>
        <v>0</v>
      </c>
    </row>
    <row r="1724" customFormat="false" ht="15" hidden="false" customHeight="false" outlineLevel="0" collapsed="false">
      <c r="A1724" s="27" t="s">
        <v>115</v>
      </c>
      <c r="B1724" s="27" t="s">
        <v>110</v>
      </c>
      <c r="C1724" s="27" t="s">
        <v>39</v>
      </c>
      <c r="D1724" s="27" t="s">
        <v>43</v>
      </c>
      <c r="E1724" s="28" t="n">
        <f aca="false">ROUND((SUMIFS(Acerto_Detalhado!$F$2:$F$433,Acerto_Detalhado!$A$2:$A$433,$C1724,Acerto_Detalhado!$B$2:$B$433,"Mai",Acerto_Detalhado!$C$2:$C$433,"Umidade"))*(SUMIFS(Acerto_Detalhado!$I$2:$I$433,Acerto_Detalhado!$A$2:$A$433,$D1724,Acerto_Detalhado!$B$2:$B$433,"Mai",Acerto_Detalhado!$C$2:$C$433,"Umidade")),2)</f>
        <v>0</v>
      </c>
    </row>
    <row r="1725" customFormat="false" ht="15" hidden="false" customHeight="false" outlineLevel="0" collapsed="false">
      <c r="A1725" s="27" t="s">
        <v>115</v>
      </c>
      <c r="B1725" s="27" t="s">
        <v>110</v>
      </c>
      <c r="C1725" s="27" t="s">
        <v>39</v>
      </c>
      <c r="D1725" s="27" t="s">
        <v>44</v>
      </c>
      <c r="E1725" s="28" t="n">
        <f aca="false">ROUND((SUMIFS(Acerto_Detalhado!$F$2:$F$433,Acerto_Detalhado!$A$2:$A$433,$C1725,Acerto_Detalhado!$B$2:$B$433,"Mai",Acerto_Detalhado!$C$2:$C$433,"Umidade"))*(SUMIFS(Acerto_Detalhado!$I$2:$I$433,Acerto_Detalhado!$A$2:$A$433,$D1725,Acerto_Detalhado!$B$2:$B$433,"Mai",Acerto_Detalhado!$C$2:$C$433,"Umidade")),2)</f>
        <v>0</v>
      </c>
    </row>
    <row r="1726" customFormat="false" ht="15" hidden="false" customHeight="false" outlineLevel="0" collapsed="false">
      <c r="A1726" s="27" t="s">
        <v>115</v>
      </c>
      <c r="B1726" s="27" t="s">
        <v>110</v>
      </c>
      <c r="C1726" s="27" t="s">
        <v>39</v>
      </c>
      <c r="D1726" s="27" t="s">
        <v>45</v>
      </c>
      <c r="E1726" s="28" t="n">
        <f aca="false">ROUND((SUMIFS(Acerto_Detalhado!$F$2:$F$433,Acerto_Detalhado!$A$2:$A$433,$C1726,Acerto_Detalhado!$B$2:$B$433,"Mai",Acerto_Detalhado!$C$2:$C$433,"Umidade"))*(SUMIFS(Acerto_Detalhado!$I$2:$I$433,Acerto_Detalhado!$A$2:$A$433,$D1726,Acerto_Detalhado!$B$2:$B$433,"Mai",Acerto_Detalhado!$C$2:$C$433,"Umidade")),2)</f>
        <v>0</v>
      </c>
    </row>
    <row r="1727" customFormat="false" ht="15" hidden="false" customHeight="false" outlineLevel="0" collapsed="false">
      <c r="A1727" s="27" t="s">
        <v>115</v>
      </c>
      <c r="B1727" s="27" t="s">
        <v>110</v>
      </c>
      <c r="C1727" s="27" t="s">
        <v>39</v>
      </c>
      <c r="D1727" s="27" t="s">
        <v>46</v>
      </c>
      <c r="E1727" s="28" t="n">
        <f aca="false">ROUND((SUMIFS(Acerto_Detalhado!$F$2:$F$433,Acerto_Detalhado!$A$2:$A$433,$C1727,Acerto_Detalhado!$B$2:$B$433,"Mai",Acerto_Detalhado!$C$2:$C$433,"Umidade"))*(SUMIFS(Acerto_Detalhado!$I$2:$I$433,Acerto_Detalhado!$A$2:$A$433,$D1727,Acerto_Detalhado!$B$2:$B$433,"Mai",Acerto_Detalhado!$C$2:$C$433,"Umidade")),2)</f>
        <v>0</v>
      </c>
    </row>
    <row r="1728" customFormat="false" ht="15" hidden="false" customHeight="false" outlineLevel="0" collapsed="false">
      <c r="A1728" s="27" t="s">
        <v>115</v>
      </c>
      <c r="B1728" s="27" t="s">
        <v>110</v>
      </c>
      <c r="C1728" s="27" t="s">
        <v>39</v>
      </c>
      <c r="D1728" s="27" t="s">
        <v>47</v>
      </c>
      <c r="E1728" s="28" t="n">
        <f aca="false">ROUND((SUMIFS(Acerto_Detalhado!$F$2:$F$433,Acerto_Detalhado!$A$2:$A$433,$C1728,Acerto_Detalhado!$B$2:$B$433,"Mai",Acerto_Detalhado!$C$2:$C$433,"Umidade"))*(SUMIFS(Acerto_Detalhado!$I$2:$I$433,Acerto_Detalhado!$A$2:$A$433,$D1728,Acerto_Detalhado!$B$2:$B$433,"Mai",Acerto_Detalhado!$C$2:$C$433,"Umidade")),2)</f>
        <v>0</v>
      </c>
    </row>
    <row r="1729" customFormat="false" ht="15" hidden="false" customHeight="false" outlineLevel="0" collapsed="false">
      <c r="A1729" s="27" t="s">
        <v>115</v>
      </c>
      <c r="B1729" s="27" t="s">
        <v>110</v>
      </c>
      <c r="C1729" s="27" t="s">
        <v>39</v>
      </c>
      <c r="D1729" s="27" t="s">
        <v>48</v>
      </c>
      <c r="E1729" s="28" t="n">
        <f aca="false">ROUND((SUMIFS(Acerto_Detalhado!$F$2:$F$433,Acerto_Detalhado!$A$2:$A$433,$C1729,Acerto_Detalhado!$B$2:$B$433,"Mai",Acerto_Detalhado!$C$2:$C$433,"Umidade"))*(SUMIFS(Acerto_Detalhado!$I$2:$I$433,Acerto_Detalhado!$A$2:$A$433,$D1729,Acerto_Detalhado!$B$2:$B$433,"Mai",Acerto_Detalhado!$C$2:$C$433,"Umidade")),2)</f>
        <v>0</v>
      </c>
    </row>
    <row r="1730" customFormat="false" ht="15" hidden="false" customHeight="false" outlineLevel="0" collapsed="false">
      <c r="A1730" s="27" t="s">
        <v>115</v>
      </c>
      <c r="B1730" s="27" t="s">
        <v>110</v>
      </c>
      <c r="C1730" s="27" t="s">
        <v>39</v>
      </c>
      <c r="D1730" s="27" t="s">
        <v>49</v>
      </c>
      <c r="E1730" s="28" t="n">
        <f aca="false">ROUND((SUMIFS(Acerto_Detalhado!$F$2:$F$433,Acerto_Detalhado!$A$2:$A$433,$C1730,Acerto_Detalhado!$B$2:$B$433,"Mai",Acerto_Detalhado!$C$2:$C$433,"Umidade"))*(SUMIFS(Acerto_Detalhado!$I$2:$I$433,Acerto_Detalhado!$A$2:$A$433,$D1730,Acerto_Detalhado!$B$2:$B$433,"Mai",Acerto_Detalhado!$C$2:$C$433,"Umidade")),2)</f>
        <v>0</v>
      </c>
    </row>
    <row r="1731" customFormat="false" ht="15" hidden="false" customHeight="false" outlineLevel="0" collapsed="false">
      <c r="A1731" s="27" t="s">
        <v>115</v>
      </c>
      <c r="B1731" s="27" t="s">
        <v>110</v>
      </c>
      <c r="C1731" s="27" t="s">
        <v>39</v>
      </c>
      <c r="D1731" s="27" t="s">
        <v>50</v>
      </c>
      <c r="E1731" s="28" t="n">
        <f aca="false">ROUND((SUMIFS(Acerto_Detalhado!$F$2:$F$433,Acerto_Detalhado!$A$2:$A$433,$C1731,Acerto_Detalhado!$B$2:$B$433,"Mai",Acerto_Detalhado!$C$2:$C$433,"Umidade"))*(SUMIFS(Acerto_Detalhado!$I$2:$I$433,Acerto_Detalhado!$A$2:$A$433,$D1731,Acerto_Detalhado!$B$2:$B$433,"Mai",Acerto_Detalhado!$C$2:$C$433,"Umidade")),2)</f>
        <v>0</v>
      </c>
    </row>
    <row r="1732" customFormat="false" ht="15" hidden="false" customHeight="false" outlineLevel="0" collapsed="false">
      <c r="A1732" s="27" t="s">
        <v>115</v>
      </c>
      <c r="B1732" s="27" t="s">
        <v>110</v>
      </c>
      <c r="C1732" s="27" t="s">
        <v>40</v>
      </c>
      <c r="D1732" s="27" t="s">
        <v>39</v>
      </c>
      <c r="E1732" s="28" t="n">
        <f aca="false">ROUND((SUMIFS(Acerto_Detalhado!$F$2:$F$433,Acerto_Detalhado!$A$2:$A$433,$C1732,Acerto_Detalhado!$B$2:$B$433,"Mai",Acerto_Detalhado!$C$2:$C$433,"Umidade"))*(SUMIFS(Acerto_Detalhado!$I$2:$I$433,Acerto_Detalhado!$A$2:$A$433,$D1732,Acerto_Detalhado!$B$2:$B$433,"Mai",Acerto_Detalhado!$C$2:$C$433,"Umidade")),2)</f>
        <v>0</v>
      </c>
    </row>
    <row r="1733" customFormat="false" ht="15" hidden="false" customHeight="false" outlineLevel="0" collapsed="false">
      <c r="A1733" s="27" t="s">
        <v>115</v>
      </c>
      <c r="B1733" s="27" t="s">
        <v>110</v>
      </c>
      <c r="C1733" s="27" t="s">
        <v>40</v>
      </c>
      <c r="D1733" s="27" t="s">
        <v>41</v>
      </c>
      <c r="E1733" s="28" t="n">
        <f aca="false">ROUND((SUMIFS(Acerto_Detalhado!$F$2:$F$433,Acerto_Detalhado!$A$2:$A$433,$C1733,Acerto_Detalhado!$B$2:$B$433,"Mai",Acerto_Detalhado!$C$2:$C$433,"Umidade"))*(SUMIFS(Acerto_Detalhado!$I$2:$I$433,Acerto_Detalhado!$A$2:$A$433,$D1733,Acerto_Detalhado!$B$2:$B$433,"Mai",Acerto_Detalhado!$C$2:$C$433,"Umidade")),2)</f>
        <v>0</v>
      </c>
    </row>
    <row r="1734" customFormat="false" ht="15" hidden="false" customHeight="false" outlineLevel="0" collapsed="false">
      <c r="A1734" s="27" t="s">
        <v>115</v>
      </c>
      <c r="B1734" s="27" t="s">
        <v>110</v>
      </c>
      <c r="C1734" s="27" t="s">
        <v>40</v>
      </c>
      <c r="D1734" s="27" t="s">
        <v>42</v>
      </c>
      <c r="E1734" s="28" t="n">
        <f aca="false">ROUND((SUMIFS(Acerto_Detalhado!$F$2:$F$433,Acerto_Detalhado!$A$2:$A$433,$C1734,Acerto_Detalhado!$B$2:$B$433,"Mai",Acerto_Detalhado!$C$2:$C$433,"Umidade"))*(SUMIFS(Acerto_Detalhado!$I$2:$I$433,Acerto_Detalhado!$A$2:$A$433,$D1734,Acerto_Detalhado!$B$2:$B$433,"Mai",Acerto_Detalhado!$C$2:$C$433,"Umidade")),2)</f>
        <v>0</v>
      </c>
    </row>
    <row r="1735" customFormat="false" ht="15" hidden="false" customHeight="false" outlineLevel="0" collapsed="false">
      <c r="A1735" s="27" t="s">
        <v>115</v>
      </c>
      <c r="B1735" s="27" t="s">
        <v>110</v>
      </c>
      <c r="C1735" s="27" t="s">
        <v>40</v>
      </c>
      <c r="D1735" s="27" t="s">
        <v>43</v>
      </c>
      <c r="E1735" s="28" t="n">
        <f aca="false">ROUND((SUMIFS(Acerto_Detalhado!$F$2:$F$433,Acerto_Detalhado!$A$2:$A$433,$C1735,Acerto_Detalhado!$B$2:$B$433,"Mai",Acerto_Detalhado!$C$2:$C$433,"Umidade"))*(SUMIFS(Acerto_Detalhado!$I$2:$I$433,Acerto_Detalhado!$A$2:$A$433,$D1735,Acerto_Detalhado!$B$2:$B$433,"Mai",Acerto_Detalhado!$C$2:$C$433,"Umidade")),2)</f>
        <v>0</v>
      </c>
    </row>
    <row r="1736" customFormat="false" ht="15" hidden="false" customHeight="false" outlineLevel="0" collapsed="false">
      <c r="A1736" s="27" t="s">
        <v>115</v>
      </c>
      <c r="B1736" s="27" t="s">
        <v>110</v>
      </c>
      <c r="C1736" s="27" t="s">
        <v>40</v>
      </c>
      <c r="D1736" s="27" t="s">
        <v>44</v>
      </c>
      <c r="E1736" s="28" t="n">
        <f aca="false">ROUND((SUMIFS(Acerto_Detalhado!$F$2:$F$433,Acerto_Detalhado!$A$2:$A$433,$C1736,Acerto_Detalhado!$B$2:$B$433,"Mai",Acerto_Detalhado!$C$2:$C$433,"Umidade"))*(SUMIFS(Acerto_Detalhado!$I$2:$I$433,Acerto_Detalhado!$A$2:$A$433,$D1736,Acerto_Detalhado!$B$2:$B$433,"Mai",Acerto_Detalhado!$C$2:$C$433,"Umidade")),2)</f>
        <v>0</v>
      </c>
    </row>
    <row r="1737" customFormat="false" ht="15" hidden="false" customHeight="false" outlineLevel="0" collapsed="false">
      <c r="A1737" s="27" t="s">
        <v>115</v>
      </c>
      <c r="B1737" s="27" t="s">
        <v>110</v>
      </c>
      <c r="C1737" s="27" t="s">
        <v>40</v>
      </c>
      <c r="D1737" s="27" t="s">
        <v>45</v>
      </c>
      <c r="E1737" s="28" t="n">
        <f aca="false">ROUND((SUMIFS(Acerto_Detalhado!$F$2:$F$433,Acerto_Detalhado!$A$2:$A$433,$C1737,Acerto_Detalhado!$B$2:$B$433,"Mai",Acerto_Detalhado!$C$2:$C$433,"Umidade"))*(SUMIFS(Acerto_Detalhado!$I$2:$I$433,Acerto_Detalhado!$A$2:$A$433,$D1737,Acerto_Detalhado!$B$2:$B$433,"Mai",Acerto_Detalhado!$C$2:$C$433,"Umidade")),2)</f>
        <v>0</v>
      </c>
    </row>
    <row r="1738" customFormat="false" ht="15" hidden="false" customHeight="false" outlineLevel="0" collapsed="false">
      <c r="A1738" s="27" t="s">
        <v>115</v>
      </c>
      <c r="B1738" s="27" t="s">
        <v>110</v>
      </c>
      <c r="C1738" s="27" t="s">
        <v>40</v>
      </c>
      <c r="D1738" s="27" t="s">
        <v>46</v>
      </c>
      <c r="E1738" s="28" t="n">
        <f aca="false">ROUND((SUMIFS(Acerto_Detalhado!$F$2:$F$433,Acerto_Detalhado!$A$2:$A$433,$C1738,Acerto_Detalhado!$B$2:$B$433,"Mai",Acerto_Detalhado!$C$2:$C$433,"Umidade"))*(SUMIFS(Acerto_Detalhado!$I$2:$I$433,Acerto_Detalhado!$A$2:$A$433,$D1738,Acerto_Detalhado!$B$2:$B$433,"Mai",Acerto_Detalhado!$C$2:$C$433,"Umidade")),2)</f>
        <v>0</v>
      </c>
    </row>
    <row r="1739" customFormat="false" ht="15" hidden="false" customHeight="false" outlineLevel="0" collapsed="false">
      <c r="A1739" s="27" t="s">
        <v>115</v>
      </c>
      <c r="B1739" s="27" t="s">
        <v>110</v>
      </c>
      <c r="C1739" s="27" t="s">
        <v>40</v>
      </c>
      <c r="D1739" s="27" t="s">
        <v>47</v>
      </c>
      <c r="E1739" s="28" t="n">
        <f aca="false">ROUND((SUMIFS(Acerto_Detalhado!$F$2:$F$433,Acerto_Detalhado!$A$2:$A$433,$C1739,Acerto_Detalhado!$B$2:$B$433,"Mai",Acerto_Detalhado!$C$2:$C$433,"Umidade"))*(SUMIFS(Acerto_Detalhado!$I$2:$I$433,Acerto_Detalhado!$A$2:$A$433,$D1739,Acerto_Detalhado!$B$2:$B$433,"Mai",Acerto_Detalhado!$C$2:$C$433,"Umidade")),2)</f>
        <v>0</v>
      </c>
    </row>
    <row r="1740" customFormat="false" ht="15" hidden="false" customHeight="false" outlineLevel="0" collapsed="false">
      <c r="A1740" s="27" t="s">
        <v>115</v>
      </c>
      <c r="B1740" s="27" t="s">
        <v>110</v>
      </c>
      <c r="C1740" s="27" t="s">
        <v>40</v>
      </c>
      <c r="D1740" s="27" t="s">
        <v>48</v>
      </c>
      <c r="E1740" s="28" t="n">
        <f aca="false">ROUND((SUMIFS(Acerto_Detalhado!$F$2:$F$433,Acerto_Detalhado!$A$2:$A$433,$C1740,Acerto_Detalhado!$B$2:$B$433,"Mai",Acerto_Detalhado!$C$2:$C$433,"Umidade"))*(SUMIFS(Acerto_Detalhado!$I$2:$I$433,Acerto_Detalhado!$A$2:$A$433,$D1740,Acerto_Detalhado!$B$2:$B$433,"Mai",Acerto_Detalhado!$C$2:$C$433,"Umidade")),2)</f>
        <v>0</v>
      </c>
    </row>
    <row r="1741" customFormat="false" ht="15" hidden="false" customHeight="false" outlineLevel="0" collapsed="false">
      <c r="A1741" s="27" t="s">
        <v>115</v>
      </c>
      <c r="B1741" s="27" t="s">
        <v>110</v>
      </c>
      <c r="C1741" s="27" t="s">
        <v>40</v>
      </c>
      <c r="D1741" s="27" t="s">
        <v>49</v>
      </c>
      <c r="E1741" s="28" t="n">
        <f aca="false">ROUND((SUMIFS(Acerto_Detalhado!$F$2:$F$433,Acerto_Detalhado!$A$2:$A$433,$C1741,Acerto_Detalhado!$B$2:$B$433,"Mai",Acerto_Detalhado!$C$2:$C$433,"Umidade"))*(SUMIFS(Acerto_Detalhado!$I$2:$I$433,Acerto_Detalhado!$A$2:$A$433,$D1741,Acerto_Detalhado!$B$2:$B$433,"Mai",Acerto_Detalhado!$C$2:$C$433,"Umidade")),2)</f>
        <v>0</v>
      </c>
    </row>
    <row r="1742" customFormat="false" ht="15" hidden="false" customHeight="false" outlineLevel="0" collapsed="false">
      <c r="A1742" s="27" t="s">
        <v>115</v>
      </c>
      <c r="B1742" s="27" t="s">
        <v>110</v>
      </c>
      <c r="C1742" s="27" t="s">
        <v>40</v>
      </c>
      <c r="D1742" s="27" t="s">
        <v>50</v>
      </c>
      <c r="E1742" s="28" t="n">
        <f aca="false">ROUND((SUMIFS(Acerto_Detalhado!$F$2:$F$433,Acerto_Detalhado!$A$2:$A$433,$C1742,Acerto_Detalhado!$B$2:$B$433,"Mai",Acerto_Detalhado!$C$2:$C$433,"Umidade"))*(SUMIFS(Acerto_Detalhado!$I$2:$I$433,Acerto_Detalhado!$A$2:$A$433,$D1742,Acerto_Detalhado!$B$2:$B$433,"Mai",Acerto_Detalhado!$C$2:$C$433,"Umidade")),2)</f>
        <v>0</v>
      </c>
    </row>
    <row r="1743" customFormat="false" ht="15" hidden="false" customHeight="false" outlineLevel="0" collapsed="false">
      <c r="A1743" s="27" t="s">
        <v>115</v>
      </c>
      <c r="B1743" s="27" t="s">
        <v>110</v>
      </c>
      <c r="C1743" s="27" t="s">
        <v>41</v>
      </c>
      <c r="D1743" s="27" t="s">
        <v>39</v>
      </c>
      <c r="E1743" s="28" t="n">
        <f aca="false">ROUND((SUMIFS(Acerto_Detalhado!$F$2:$F$433,Acerto_Detalhado!$A$2:$A$433,$C1743,Acerto_Detalhado!$B$2:$B$433,"Mai",Acerto_Detalhado!$C$2:$C$433,"Umidade"))*(SUMIFS(Acerto_Detalhado!$I$2:$I$433,Acerto_Detalhado!$A$2:$A$433,$D1743,Acerto_Detalhado!$B$2:$B$433,"Mai",Acerto_Detalhado!$C$2:$C$433,"Umidade")),2)</f>
        <v>3573.39</v>
      </c>
    </row>
    <row r="1744" customFormat="false" ht="15" hidden="false" customHeight="false" outlineLevel="0" collapsed="false">
      <c r="A1744" s="27" t="s">
        <v>115</v>
      </c>
      <c r="B1744" s="27" t="s">
        <v>110</v>
      </c>
      <c r="C1744" s="27" t="s">
        <v>41</v>
      </c>
      <c r="D1744" s="27" t="s">
        <v>40</v>
      </c>
      <c r="E1744" s="28" t="n">
        <f aca="false">ROUND((SUMIFS(Acerto_Detalhado!$F$2:$F$433,Acerto_Detalhado!$A$2:$A$433,$C1744,Acerto_Detalhado!$B$2:$B$433,"Mai",Acerto_Detalhado!$C$2:$C$433,"Umidade"))*(SUMIFS(Acerto_Detalhado!$I$2:$I$433,Acerto_Detalhado!$A$2:$A$433,$D1744,Acerto_Detalhado!$B$2:$B$433,"Mai",Acerto_Detalhado!$C$2:$C$433,"Umidade")),2)</f>
        <v>4044.55</v>
      </c>
    </row>
    <row r="1745" customFormat="false" ht="15" hidden="false" customHeight="false" outlineLevel="0" collapsed="false">
      <c r="A1745" s="27" t="s">
        <v>115</v>
      </c>
      <c r="B1745" s="27" t="s">
        <v>110</v>
      </c>
      <c r="C1745" s="27" t="s">
        <v>41</v>
      </c>
      <c r="D1745" s="27" t="s">
        <v>42</v>
      </c>
      <c r="E1745" s="28" t="n">
        <f aca="false">ROUND((SUMIFS(Acerto_Detalhado!$F$2:$F$433,Acerto_Detalhado!$A$2:$A$433,$C1745,Acerto_Detalhado!$B$2:$B$433,"Mai",Acerto_Detalhado!$C$2:$C$433,"Umidade"))*(SUMIFS(Acerto_Detalhado!$I$2:$I$433,Acerto_Detalhado!$A$2:$A$433,$D1745,Acerto_Detalhado!$B$2:$B$433,"Mai",Acerto_Detalhado!$C$2:$C$433,"Umidade")),2)</f>
        <v>4331.82</v>
      </c>
    </row>
    <row r="1746" customFormat="false" ht="15" hidden="false" customHeight="false" outlineLevel="0" collapsed="false">
      <c r="A1746" s="27" t="s">
        <v>115</v>
      </c>
      <c r="B1746" s="27" t="s">
        <v>110</v>
      </c>
      <c r="C1746" s="27" t="s">
        <v>41</v>
      </c>
      <c r="D1746" s="27" t="s">
        <v>43</v>
      </c>
      <c r="E1746" s="28" t="n">
        <f aca="false">ROUND((SUMIFS(Acerto_Detalhado!$F$2:$F$433,Acerto_Detalhado!$A$2:$A$433,$C1746,Acerto_Detalhado!$B$2:$B$433,"Mai",Acerto_Detalhado!$C$2:$C$433,"Umidade"))*(SUMIFS(Acerto_Detalhado!$I$2:$I$433,Acerto_Detalhado!$A$2:$A$433,$D1746,Acerto_Detalhado!$B$2:$B$433,"Mai",Acerto_Detalhado!$C$2:$C$433,"Umidade")),2)</f>
        <v>0</v>
      </c>
    </row>
    <row r="1747" customFormat="false" ht="15" hidden="false" customHeight="false" outlineLevel="0" collapsed="false">
      <c r="A1747" s="27" t="s">
        <v>115</v>
      </c>
      <c r="B1747" s="27" t="s">
        <v>110</v>
      </c>
      <c r="C1747" s="27" t="s">
        <v>41</v>
      </c>
      <c r="D1747" s="27" t="s">
        <v>44</v>
      </c>
      <c r="E1747" s="28" t="n">
        <f aca="false">ROUND((SUMIFS(Acerto_Detalhado!$F$2:$F$433,Acerto_Detalhado!$A$2:$A$433,$C1747,Acerto_Detalhado!$B$2:$B$433,"Mai",Acerto_Detalhado!$C$2:$C$433,"Umidade"))*(SUMIFS(Acerto_Detalhado!$I$2:$I$433,Acerto_Detalhado!$A$2:$A$433,$D1747,Acerto_Detalhado!$B$2:$B$433,"Mai",Acerto_Detalhado!$C$2:$C$433,"Umidade")),2)</f>
        <v>5105.19</v>
      </c>
    </row>
    <row r="1748" customFormat="false" ht="15" hidden="false" customHeight="false" outlineLevel="0" collapsed="false">
      <c r="A1748" s="27" t="s">
        <v>115</v>
      </c>
      <c r="B1748" s="27" t="s">
        <v>110</v>
      </c>
      <c r="C1748" s="27" t="s">
        <v>41</v>
      </c>
      <c r="D1748" s="27" t="s">
        <v>45</v>
      </c>
      <c r="E1748" s="28" t="n">
        <f aca="false">ROUND((SUMIFS(Acerto_Detalhado!$F$2:$F$433,Acerto_Detalhado!$A$2:$A$433,$C1748,Acerto_Detalhado!$B$2:$B$433,"Mai",Acerto_Detalhado!$C$2:$C$433,"Umidade"))*(SUMIFS(Acerto_Detalhado!$I$2:$I$433,Acerto_Detalhado!$A$2:$A$433,$D1748,Acerto_Detalhado!$B$2:$B$433,"Mai",Acerto_Detalhado!$C$2:$C$433,"Umidade")),2)</f>
        <v>0</v>
      </c>
    </row>
    <row r="1749" customFormat="false" ht="15" hidden="false" customHeight="false" outlineLevel="0" collapsed="false">
      <c r="A1749" s="27" t="s">
        <v>115</v>
      </c>
      <c r="B1749" s="27" t="s">
        <v>110</v>
      </c>
      <c r="C1749" s="27" t="s">
        <v>41</v>
      </c>
      <c r="D1749" s="27" t="s">
        <v>46</v>
      </c>
      <c r="E1749" s="28" t="n">
        <f aca="false">ROUND((SUMIFS(Acerto_Detalhado!$F$2:$F$433,Acerto_Detalhado!$A$2:$A$433,$C1749,Acerto_Detalhado!$B$2:$B$433,"Mai",Acerto_Detalhado!$C$2:$C$433,"Umidade"))*(SUMIFS(Acerto_Detalhado!$I$2:$I$433,Acerto_Detalhado!$A$2:$A$433,$D1749,Acerto_Detalhado!$B$2:$B$433,"Mai",Acerto_Detalhado!$C$2:$C$433,"Umidade")),2)</f>
        <v>0</v>
      </c>
    </row>
    <row r="1750" customFormat="false" ht="15" hidden="false" customHeight="false" outlineLevel="0" collapsed="false">
      <c r="A1750" s="27" t="s">
        <v>115</v>
      </c>
      <c r="B1750" s="27" t="s">
        <v>110</v>
      </c>
      <c r="C1750" s="27" t="s">
        <v>41</v>
      </c>
      <c r="D1750" s="27" t="s">
        <v>47</v>
      </c>
      <c r="E1750" s="28" t="n">
        <f aca="false">ROUND((SUMIFS(Acerto_Detalhado!$F$2:$F$433,Acerto_Detalhado!$A$2:$A$433,$C1750,Acerto_Detalhado!$B$2:$B$433,"Mai",Acerto_Detalhado!$C$2:$C$433,"Umidade"))*(SUMIFS(Acerto_Detalhado!$I$2:$I$433,Acerto_Detalhado!$A$2:$A$433,$D1750,Acerto_Detalhado!$B$2:$B$433,"Mai",Acerto_Detalhado!$C$2:$C$433,"Umidade")),2)</f>
        <v>0</v>
      </c>
    </row>
    <row r="1751" customFormat="false" ht="15" hidden="false" customHeight="false" outlineLevel="0" collapsed="false">
      <c r="A1751" s="27" t="s">
        <v>115</v>
      </c>
      <c r="B1751" s="27" t="s">
        <v>110</v>
      </c>
      <c r="C1751" s="27" t="s">
        <v>41</v>
      </c>
      <c r="D1751" s="27" t="s">
        <v>48</v>
      </c>
      <c r="E1751" s="28" t="n">
        <f aca="false">ROUND((SUMIFS(Acerto_Detalhado!$F$2:$F$433,Acerto_Detalhado!$A$2:$A$433,$C1751,Acerto_Detalhado!$B$2:$B$433,"Mai",Acerto_Detalhado!$C$2:$C$433,"Umidade"))*(SUMIFS(Acerto_Detalhado!$I$2:$I$433,Acerto_Detalhado!$A$2:$A$433,$D1751,Acerto_Detalhado!$B$2:$B$433,"Mai",Acerto_Detalhado!$C$2:$C$433,"Umidade")),2)</f>
        <v>0</v>
      </c>
    </row>
    <row r="1752" customFormat="false" ht="15" hidden="false" customHeight="false" outlineLevel="0" collapsed="false">
      <c r="A1752" s="27" t="s">
        <v>115</v>
      </c>
      <c r="B1752" s="27" t="s">
        <v>110</v>
      </c>
      <c r="C1752" s="27" t="s">
        <v>41</v>
      </c>
      <c r="D1752" s="27" t="s">
        <v>49</v>
      </c>
      <c r="E1752" s="28" t="n">
        <f aca="false">ROUND((SUMIFS(Acerto_Detalhado!$F$2:$F$433,Acerto_Detalhado!$A$2:$A$433,$C1752,Acerto_Detalhado!$B$2:$B$433,"Mai",Acerto_Detalhado!$C$2:$C$433,"Umidade"))*(SUMIFS(Acerto_Detalhado!$I$2:$I$433,Acerto_Detalhado!$A$2:$A$433,$D1752,Acerto_Detalhado!$B$2:$B$433,"Mai",Acerto_Detalhado!$C$2:$C$433,"Umidade")),2)</f>
        <v>0</v>
      </c>
    </row>
    <row r="1753" customFormat="false" ht="15" hidden="false" customHeight="false" outlineLevel="0" collapsed="false">
      <c r="A1753" s="27" t="s">
        <v>115</v>
      </c>
      <c r="B1753" s="27" t="s">
        <v>110</v>
      </c>
      <c r="C1753" s="27" t="s">
        <v>41</v>
      </c>
      <c r="D1753" s="27" t="s">
        <v>50</v>
      </c>
      <c r="E1753" s="28" t="n">
        <f aca="false">ROUND((SUMIFS(Acerto_Detalhado!$F$2:$F$433,Acerto_Detalhado!$A$2:$A$433,$C1753,Acerto_Detalhado!$B$2:$B$433,"Mai",Acerto_Detalhado!$C$2:$C$433,"Umidade"))*(SUMIFS(Acerto_Detalhado!$I$2:$I$433,Acerto_Detalhado!$A$2:$A$433,$D1753,Acerto_Detalhado!$B$2:$B$433,"Mai",Acerto_Detalhado!$C$2:$C$433,"Umidade")),2)</f>
        <v>0</v>
      </c>
    </row>
    <row r="1754" customFormat="false" ht="15" hidden="false" customHeight="false" outlineLevel="0" collapsed="false">
      <c r="A1754" s="27" t="s">
        <v>115</v>
      </c>
      <c r="B1754" s="27" t="s">
        <v>110</v>
      </c>
      <c r="C1754" s="27" t="s">
        <v>42</v>
      </c>
      <c r="D1754" s="27" t="s">
        <v>39</v>
      </c>
      <c r="E1754" s="28" t="n">
        <f aca="false">ROUND((SUMIFS(Acerto_Detalhado!$F$2:$F$433,Acerto_Detalhado!$A$2:$A$433,$C1754,Acerto_Detalhado!$B$2:$B$433,"Mai",Acerto_Detalhado!$C$2:$C$433,"Umidade"))*(SUMIFS(Acerto_Detalhado!$I$2:$I$433,Acerto_Detalhado!$A$2:$A$433,$D1754,Acerto_Detalhado!$B$2:$B$433,"Mai",Acerto_Detalhado!$C$2:$C$433,"Umidade")),2)</f>
        <v>0</v>
      </c>
    </row>
    <row r="1755" customFormat="false" ht="15" hidden="false" customHeight="false" outlineLevel="0" collapsed="false">
      <c r="A1755" s="27" t="s">
        <v>115</v>
      </c>
      <c r="B1755" s="27" t="s">
        <v>110</v>
      </c>
      <c r="C1755" s="27" t="s">
        <v>42</v>
      </c>
      <c r="D1755" s="27" t="s">
        <v>40</v>
      </c>
      <c r="E1755" s="28" t="n">
        <f aca="false">ROUND((SUMIFS(Acerto_Detalhado!$F$2:$F$433,Acerto_Detalhado!$A$2:$A$433,$C1755,Acerto_Detalhado!$B$2:$B$433,"Mai",Acerto_Detalhado!$C$2:$C$433,"Umidade"))*(SUMIFS(Acerto_Detalhado!$I$2:$I$433,Acerto_Detalhado!$A$2:$A$433,$D1755,Acerto_Detalhado!$B$2:$B$433,"Mai",Acerto_Detalhado!$C$2:$C$433,"Umidade")),2)</f>
        <v>0</v>
      </c>
    </row>
    <row r="1756" customFormat="false" ht="15" hidden="false" customHeight="false" outlineLevel="0" collapsed="false">
      <c r="A1756" s="27" t="s">
        <v>115</v>
      </c>
      <c r="B1756" s="27" t="s">
        <v>110</v>
      </c>
      <c r="C1756" s="27" t="s">
        <v>42</v>
      </c>
      <c r="D1756" s="27" t="s">
        <v>41</v>
      </c>
      <c r="E1756" s="28" t="n">
        <f aca="false">ROUND((SUMIFS(Acerto_Detalhado!$F$2:$F$433,Acerto_Detalhado!$A$2:$A$433,$C1756,Acerto_Detalhado!$B$2:$B$433,"Mai",Acerto_Detalhado!$C$2:$C$433,"Umidade"))*(SUMIFS(Acerto_Detalhado!$I$2:$I$433,Acerto_Detalhado!$A$2:$A$433,$D1756,Acerto_Detalhado!$B$2:$B$433,"Mai",Acerto_Detalhado!$C$2:$C$433,"Umidade")),2)</f>
        <v>0</v>
      </c>
    </row>
    <row r="1757" customFormat="false" ht="15" hidden="false" customHeight="false" outlineLevel="0" collapsed="false">
      <c r="A1757" s="27" t="s">
        <v>115</v>
      </c>
      <c r="B1757" s="27" t="s">
        <v>110</v>
      </c>
      <c r="C1757" s="27" t="s">
        <v>42</v>
      </c>
      <c r="D1757" s="27" t="s">
        <v>43</v>
      </c>
      <c r="E1757" s="28" t="n">
        <f aca="false">ROUND((SUMIFS(Acerto_Detalhado!$F$2:$F$433,Acerto_Detalhado!$A$2:$A$433,$C1757,Acerto_Detalhado!$B$2:$B$433,"Mai",Acerto_Detalhado!$C$2:$C$433,"Umidade"))*(SUMIFS(Acerto_Detalhado!$I$2:$I$433,Acerto_Detalhado!$A$2:$A$433,$D1757,Acerto_Detalhado!$B$2:$B$433,"Mai",Acerto_Detalhado!$C$2:$C$433,"Umidade")),2)</f>
        <v>0</v>
      </c>
    </row>
    <row r="1758" customFormat="false" ht="15" hidden="false" customHeight="false" outlineLevel="0" collapsed="false">
      <c r="A1758" s="27" t="s">
        <v>115</v>
      </c>
      <c r="B1758" s="27" t="s">
        <v>110</v>
      </c>
      <c r="C1758" s="27" t="s">
        <v>42</v>
      </c>
      <c r="D1758" s="27" t="s">
        <v>44</v>
      </c>
      <c r="E1758" s="28" t="n">
        <f aca="false">ROUND((SUMIFS(Acerto_Detalhado!$F$2:$F$433,Acerto_Detalhado!$A$2:$A$433,$C1758,Acerto_Detalhado!$B$2:$B$433,"Mai",Acerto_Detalhado!$C$2:$C$433,"Umidade"))*(SUMIFS(Acerto_Detalhado!$I$2:$I$433,Acerto_Detalhado!$A$2:$A$433,$D1758,Acerto_Detalhado!$B$2:$B$433,"Mai",Acerto_Detalhado!$C$2:$C$433,"Umidade")),2)</f>
        <v>0</v>
      </c>
    </row>
    <row r="1759" customFormat="false" ht="15" hidden="false" customHeight="false" outlineLevel="0" collapsed="false">
      <c r="A1759" s="27" t="s">
        <v>115</v>
      </c>
      <c r="B1759" s="27" t="s">
        <v>110</v>
      </c>
      <c r="C1759" s="27" t="s">
        <v>42</v>
      </c>
      <c r="D1759" s="27" t="s">
        <v>45</v>
      </c>
      <c r="E1759" s="28" t="n">
        <f aca="false">ROUND((SUMIFS(Acerto_Detalhado!$F$2:$F$433,Acerto_Detalhado!$A$2:$A$433,$C1759,Acerto_Detalhado!$B$2:$B$433,"Mai",Acerto_Detalhado!$C$2:$C$433,"Umidade"))*(SUMIFS(Acerto_Detalhado!$I$2:$I$433,Acerto_Detalhado!$A$2:$A$433,$D1759,Acerto_Detalhado!$B$2:$B$433,"Mai",Acerto_Detalhado!$C$2:$C$433,"Umidade")),2)</f>
        <v>0</v>
      </c>
    </row>
    <row r="1760" customFormat="false" ht="15" hidden="false" customHeight="false" outlineLevel="0" collapsed="false">
      <c r="A1760" s="27" t="s">
        <v>115</v>
      </c>
      <c r="B1760" s="27" t="s">
        <v>110</v>
      </c>
      <c r="C1760" s="27" t="s">
        <v>42</v>
      </c>
      <c r="D1760" s="27" t="s">
        <v>46</v>
      </c>
      <c r="E1760" s="28" t="n">
        <f aca="false">ROUND((SUMIFS(Acerto_Detalhado!$F$2:$F$433,Acerto_Detalhado!$A$2:$A$433,$C1760,Acerto_Detalhado!$B$2:$B$433,"Mai",Acerto_Detalhado!$C$2:$C$433,"Umidade"))*(SUMIFS(Acerto_Detalhado!$I$2:$I$433,Acerto_Detalhado!$A$2:$A$433,$D1760,Acerto_Detalhado!$B$2:$B$433,"Mai",Acerto_Detalhado!$C$2:$C$433,"Umidade")),2)</f>
        <v>0</v>
      </c>
    </row>
    <row r="1761" customFormat="false" ht="15" hidden="false" customHeight="false" outlineLevel="0" collapsed="false">
      <c r="A1761" s="27" t="s">
        <v>115</v>
      </c>
      <c r="B1761" s="27" t="s">
        <v>110</v>
      </c>
      <c r="C1761" s="27" t="s">
        <v>42</v>
      </c>
      <c r="D1761" s="27" t="s">
        <v>47</v>
      </c>
      <c r="E1761" s="28" t="n">
        <f aca="false">ROUND((SUMIFS(Acerto_Detalhado!$F$2:$F$433,Acerto_Detalhado!$A$2:$A$433,$C1761,Acerto_Detalhado!$B$2:$B$433,"Mai",Acerto_Detalhado!$C$2:$C$433,"Umidade"))*(SUMIFS(Acerto_Detalhado!$I$2:$I$433,Acerto_Detalhado!$A$2:$A$433,$D1761,Acerto_Detalhado!$B$2:$B$433,"Mai",Acerto_Detalhado!$C$2:$C$433,"Umidade")),2)</f>
        <v>0</v>
      </c>
    </row>
    <row r="1762" customFormat="false" ht="15" hidden="false" customHeight="false" outlineLevel="0" collapsed="false">
      <c r="A1762" s="27" t="s">
        <v>115</v>
      </c>
      <c r="B1762" s="27" t="s">
        <v>110</v>
      </c>
      <c r="C1762" s="27" t="s">
        <v>42</v>
      </c>
      <c r="D1762" s="27" t="s">
        <v>48</v>
      </c>
      <c r="E1762" s="28" t="n">
        <f aca="false">ROUND((SUMIFS(Acerto_Detalhado!$F$2:$F$433,Acerto_Detalhado!$A$2:$A$433,$C1762,Acerto_Detalhado!$B$2:$B$433,"Mai",Acerto_Detalhado!$C$2:$C$433,"Umidade"))*(SUMIFS(Acerto_Detalhado!$I$2:$I$433,Acerto_Detalhado!$A$2:$A$433,$D1762,Acerto_Detalhado!$B$2:$B$433,"Mai",Acerto_Detalhado!$C$2:$C$433,"Umidade")),2)</f>
        <v>0</v>
      </c>
    </row>
    <row r="1763" customFormat="false" ht="15" hidden="false" customHeight="false" outlineLevel="0" collapsed="false">
      <c r="A1763" s="27" t="s">
        <v>115</v>
      </c>
      <c r="B1763" s="27" t="s">
        <v>110</v>
      </c>
      <c r="C1763" s="27" t="s">
        <v>42</v>
      </c>
      <c r="D1763" s="27" t="s">
        <v>49</v>
      </c>
      <c r="E1763" s="28" t="n">
        <f aca="false">ROUND((SUMIFS(Acerto_Detalhado!$F$2:$F$433,Acerto_Detalhado!$A$2:$A$433,$C1763,Acerto_Detalhado!$B$2:$B$433,"Mai",Acerto_Detalhado!$C$2:$C$433,"Umidade"))*(SUMIFS(Acerto_Detalhado!$I$2:$I$433,Acerto_Detalhado!$A$2:$A$433,$D1763,Acerto_Detalhado!$B$2:$B$433,"Mai",Acerto_Detalhado!$C$2:$C$433,"Umidade")),2)</f>
        <v>0</v>
      </c>
    </row>
    <row r="1764" customFormat="false" ht="15" hidden="false" customHeight="false" outlineLevel="0" collapsed="false">
      <c r="A1764" s="27" t="s">
        <v>115</v>
      </c>
      <c r="B1764" s="27" t="s">
        <v>110</v>
      </c>
      <c r="C1764" s="27" t="s">
        <v>42</v>
      </c>
      <c r="D1764" s="27" t="s">
        <v>50</v>
      </c>
      <c r="E1764" s="28" t="n">
        <f aca="false">ROUND((SUMIFS(Acerto_Detalhado!$F$2:$F$433,Acerto_Detalhado!$A$2:$A$433,$C1764,Acerto_Detalhado!$B$2:$B$433,"Mai",Acerto_Detalhado!$C$2:$C$433,"Umidade"))*(SUMIFS(Acerto_Detalhado!$I$2:$I$433,Acerto_Detalhado!$A$2:$A$433,$D1764,Acerto_Detalhado!$B$2:$B$433,"Mai",Acerto_Detalhado!$C$2:$C$433,"Umidade")),2)</f>
        <v>0</v>
      </c>
    </row>
    <row r="1765" customFormat="false" ht="15" hidden="false" customHeight="false" outlineLevel="0" collapsed="false">
      <c r="A1765" s="27" t="s">
        <v>115</v>
      </c>
      <c r="B1765" s="27" t="s">
        <v>110</v>
      </c>
      <c r="C1765" s="27" t="s">
        <v>43</v>
      </c>
      <c r="D1765" s="27" t="s">
        <v>39</v>
      </c>
      <c r="E1765" s="28" t="n">
        <f aca="false">ROUND((SUMIFS(Acerto_Detalhado!$F$2:$F$433,Acerto_Detalhado!$A$2:$A$433,$C1765,Acerto_Detalhado!$B$2:$B$433,"Mai",Acerto_Detalhado!$C$2:$C$433,"Umidade"))*(SUMIFS(Acerto_Detalhado!$I$2:$I$433,Acerto_Detalhado!$A$2:$A$433,$D1765,Acerto_Detalhado!$B$2:$B$433,"Mai",Acerto_Detalhado!$C$2:$C$433,"Umidade")),2)</f>
        <v>343.77</v>
      </c>
    </row>
    <row r="1766" customFormat="false" ht="15" hidden="false" customHeight="false" outlineLevel="0" collapsed="false">
      <c r="A1766" s="27" t="s">
        <v>115</v>
      </c>
      <c r="B1766" s="27" t="s">
        <v>110</v>
      </c>
      <c r="C1766" s="27" t="s">
        <v>43</v>
      </c>
      <c r="D1766" s="27" t="s">
        <v>40</v>
      </c>
      <c r="E1766" s="28" t="n">
        <f aca="false">ROUND((SUMIFS(Acerto_Detalhado!$F$2:$F$433,Acerto_Detalhado!$A$2:$A$433,$C1766,Acerto_Detalhado!$B$2:$B$433,"Mai",Acerto_Detalhado!$C$2:$C$433,"Umidade"))*(SUMIFS(Acerto_Detalhado!$I$2:$I$433,Acerto_Detalhado!$A$2:$A$433,$D1766,Acerto_Detalhado!$B$2:$B$433,"Mai",Acerto_Detalhado!$C$2:$C$433,"Umidade")),2)</f>
        <v>389.1</v>
      </c>
    </row>
    <row r="1767" customFormat="false" ht="15" hidden="false" customHeight="false" outlineLevel="0" collapsed="false">
      <c r="A1767" s="27" t="s">
        <v>115</v>
      </c>
      <c r="B1767" s="27" t="s">
        <v>110</v>
      </c>
      <c r="C1767" s="27" t="s">
        <v>43</v>
      </c>
      <c r="D1767" s="27" t="s">
        <v>41</v>
      </c>
      <c r="E1767" s="28" t="n">
        <f aca="false">ROUND((SUMIFS(Acerto_Detalhado!$F$2:$F$433,Acerto_Detalhado!$A$2:$A$433,$C1767,Acerto_Detalhado!$B$2:$B$433,"Mai",Acerto_Detalhado!$C$2:$C$433,"Umidade"))*(SUMIFS(Acerto_Detalhado!$I$2:$I$433,Acerto_Detalhado!$A$2:$A$433,$D1767,Acerto_Detalhado!$B$2:$B$433,"Mai",Acerto_Detalhado!$C$2:$C$433,"Umidade")),2)</f>
        <v>0</v>
      </c>
    </row>
    <row r="1768" customFormat="false" ht="15" hidden="false" customHeight="false" outlineLevel="0" collapsed="false">
      <c r="A1768" s="27" t="s">
        <v>115</v>
      </c>
      <c r="B1768" s="27" t="s">
        <v>110</v>
      </c>
      <c r="C1768" s="27" t="s">
        <v>43</v>
      </c>
      <c r="D1768" s="27" t="s">
        <v>42</v>
      </c>
      <c r="E1768" s="28" t="n">
        <f aca="false">ROUND((SUMIFS(Acerto_Detalhado!$F$2:$F$433,Acerto_Detalhado!$A$2:$A$433,$C1768,Acerto_Detalhado!$B$2:$B$433,"Mai",Acerto_Detalhado!$C$2:$C$433,"Umidade"))*(SUMIFS(Acerto_Detalhado!$I$2:$I$433,Acerto_Detalhado!$A$2:$A$433,$D1768,Acerto_Detalhado!$B$2:$B$433,"Mai",Acerto_Detalhado!$C$2:$C$433,"Umidade")),2)</f>
        <v>416.73</v>
      </c>
    </row>
    <row r="1769" customFormat="false" ht="15" hidden="false" customHeight="false" outlineLevel="0" collapsed="false">
      <c r="A1769" s="27" t="s">
        <v>115</v>
      </c>
      <c r="B1769" s="27" t="s">
        <v>110</v>
      </c>
      <c r="C1769" s="27" t="s">
        <v>43</v>
      </c>
      <c r="D1769" s="27" t="s">
        <v>44</v>
      </c>
      <c r="E1769" s="28" t="n">
        <f aca="false">ROUND((SUMIFS(Acerto_Detalhado!$F$2:$F$433,Acerto_Detalhado!$A$2:$A$433,$C1769,Acerto_Detalhado!$B$2:$B$433,"Mai",Acerto_Detalhado!$C$2:$C$433,"Umidade"))*(SUMIFS(Acerto_Detalhado!$I$2:$I$433,Acerto_Detalhado!$A$2:$A$433,$D1769,Acerto_Detalhado!$B$2:$B$433,"Mai",Acerto_Detalhado!$C$2:$C$433,"Umidade")),2)</f>
        <v>491.14</v>
      </c>
    </row>
    <row r="1770" customFormat="false" ht="15" hidden="false" customHeight="false" outlineLevel="0" collapsed="false">
      <c r="A1770" s="27" t="s">
        <v>115</v>
      </c>
      <c r="B1770" s="27" t="s">
        <v>110</v>
      </c>
      <c r="C1770" s="27" t="s">
        <v>43</v>
      </c>
      <c r="D1770" s="27" t="s">
        <v>45</v>
      </c>
      <c r="E1770" s="28" t="n">
        <f aca="false">ROUND((SUMIFS(Acerto_Detalhado!$F$2:$F$433,Acerto_Detalhado!$A$2:$A$433,$C1770,Acerto_Detalhado!$B$2:$B$433,"Mai",Acerto_Detalhado!$C$2:$C$433,"Umidade"))*(SUMIFS(Acerto_Detalhado!$I$2:$I$433,Acerto_Detalhado!$A$2:$A$433,$D1770,Acerto_Detalhado!$B$2:$B$433,"Mai",Acerto_Detalhado!$C$2:$C$433,"Umidade")),2)</f>
        <v>0</v>
      </c>
    </row>
    <row r="1771" customFormat="false" ht="15" hidden="false" customHeight="false" outlineLevel="0" collapsed="false">
      <c r="A1771" s="27" t="s">
        <v>115</v>
      </c>
      <c r="B1771" s="27" t="s">
        <v>110</v>
      </c>
      <c r="C1771" s="27" t="s">
        <v>43</v>
      </c>
      <c r="D1771" s="27" t="s">
        <v>46</v>
      </c>
      <c r="E1771" s="28" t="n">
        <f aca="false">ROUND((SUMIFS(Acerto_Detalhado!$F$2:$F$433,Acerto_Detalhado!$A$2:$A$433,$C1771,Acerto_Detalhado!$B$2:$B$433,"Mai",Acerto_Detalhado!$C$2:$C$433,"Umidade"))*(SUMIFS(Acerto_Detalhado!$I$2:$I$433,Acerto_Detalhado!$A$2:$A$433,$D1771,Acerto_Detalhado!$B$2:$B$433,"Mai",Acerto_Detalhado!$C$2:$C$433,"Umidade")),2)</f>
        <v>0</v>
      </c>
    </row>
    <row r="1772" customFormat="false" ht="15" hidden="false" customHeight="false" outlineLevel="0" collapsed="false">
      <c r="A1772" s="27" t="s">
        <v>115</v>
      </c>
      <c r="B1772" s="27" t="s">
        <v>110</v>
      </c>
      <c r="C1772" s="27" t="s">
        <v>43</v>
      </c>
      <c r="D1772" s="27" t="s">
        <v>47</v>
      </c>
      <c r="E1772" s="28" t="n">
        <f aca="false">ROUND((SUMIFS(Acerto_Detalhado!$F$2:$F$433,Acerto_Detalhado!$A$2:$A$433,$C1772,Acerto_Detalhado!$B$2:$B$433,"Mai",Acerto_Detalhado!$C$2:$C$433,"Umidade"))*(SUMIFS(Acerto_Detalhado!$I$2:$I$433,Acerto_Detalhado!$A$2:$A$433,$D1772,Acerto_Detalhado!$B$2:$B$433,"Mai",Acerto_Detalhado!$C$2:$C$433,"Umidade")),2)</f>
        <v>0</v>
      </c>
    </row>
    <row r="1773" customFormat="false" ht="15" hidden="false" customHeight="false" outlineLevel="0" collapsed="false">
      <c r="A1773" s="27" t="s">
        <v>115</v>
      </c>
      <c r="B1773" s="27" t="s">
        <v>110</v>
      </c>
      <c r="C1773" s="27" t="s">
        <v>43</v>
      </c>
      <c r="D1773" s="27" t="s">
        <v>48</v>
      </c>
      <c r="E1773" s="28" t="n">
        <f aca="false">ROUND((SUMIFS(Acerto_Detalhado!$F$2:$F$433,Acerto_Detalhado!$A$2:$A$433,$C1773,Acerto_Detalhado!$B$2:$B$433,"Mai",Acerto_Detalhado!$C$2:$C$433,"Umidade"))*(SUMIFS(Acerto_Detalhado!$I$2:$I$433,Acerto_Detalhado!$A$2:$A$433,$D1773,Acerto_Detalhado!$B$2:$B$433,"Mai",Acerto_Detalhado!$C$2:$C$433,"Umidade")),2)</f>
        <v>0</v>
      </c>
    </row>
    <row r="1774" customFormat="false" ht="15" hidden="false" customHeight="false" outlineLevel="0" collapsed="false">
      <c r="A1774" s="27" t="s">
        <v>115</v>
      </c>
      <c r="B1774" s="27" t="s">
        <v>110</v>
      </c>
      <c r="C1774" s="27" t="s">
        <v>43</v>
      </c>
      <c r="D1774" s="27" t="s">
        <v>49</v>
      </c>
      <c r="E1774" s="28" t="n">
        <f aca="false">ROUND((SUMIFS(Acerto_Detalhado!$F$2:$F$433,Acerto_Detalhado!$A$2:$A$433,$C1774,Acerto_Detalhado!$B$2:$B$433,"Mai",Acerto_Detalhado!$C$2:$C$433,"Umidade"))*(SUMIFS(Acerto_Detalhado!$I$2:$I$433,Acerto_Detalhado!$A$2:$A$433,$D1774,Acerto_Detalhado!$B$2:$B$433,"Mai",Acerto_Detalhado!$C$2:$C$433,"Umidade")),2)</f>
        <v>0</v>
      </c>
    </row>
    <row r="1775" customFormat="false" ht="15" hidden="false" customHeight="false" outlineLevel="0" collapsed="false">
      <c r="A1775" s="27" t="s">
        <v>115</v>
      </c>
      <c r="B1775" s="27" t="s">
        <v>110</v>
      </c>
      <c r="C1775" s="27" t="s">
        <v>43</v>
      </c>
      <c r="D1775" s="27" t="s">
        <v>50</v>
      </c>
      <c r="E1775" s="28" t="n">
        <f aca="false">ROUND((SUMIFS(Acerto_Detalhado!$F$2:$F$433,Acerto_Detalhado!$A$2:$A$433,$C1775,Acerto_Detalhado!$B$2:$B$433,"Mai",Acerto_Detalhado!$C$2:$C$433,"Umidade"))*(SUMIFS(Acerto_Detalhado!$I$2:$I$433,Acerto_Detalhado!$A$2:$A$433,$D1775,Acerto_Detalhado!$B$2:$B$433,"Mai",Acerto_Detalhado!$C$2:$C$433,"Umidade")),2)</f>
        <v>0</v>
      </c>
    </row>
    <row r="1776" customFormat="false" ht="15" hidden="false" customHeight="false" outlineLevel="0" collapsed="false">
      <c r="A1776" s="27" t="s">
        <v>115</v>
      </c>
      <c r="B1776" s="27" t="s">
        <v>110</v>
      </c>
      <c r="C1776" s="27" t="s">
        <v>44</v>
      </c>
      <c r="D1776" s="27" t="s">
        <v>39</v>
      </c>
      <c r="E1776" s="28" t="n">
        <f aca="false">ROUND((SUMIFS(Acerto_Detalhado!$F$2:$F$433,Acerto_Detalhado!$A$2:$A$433,$C1776,Acerto_Detalhado!$B$2:$B$433,"Mai",Acerto_Detalhado!$C$2:$C$433,"Umidade"))*(SUMIFS(Acerto_Detalhado!$I$2:$I$433,Acerto_Detalhado!$A$2:$A$433,$D1776,Acerto_Detalhado!$B$2:$B$433,"Mai",Acerto_Detalhado!$C$2:$C$433,"Umidade")),2)</f>
        <v>0</v>
      </c>
    </row>
    <row r="1777" customFormat="false" ht="15" hidden="false" customHeight="false" outlineLevel="0" collapsed="false">
      <c r="A1777" s="27" t="s">
        <v>115</v>
      </c>
      <c r="B1777" s="27" t="s">
        <v>110</v>
      </c>
      <c r="C1777" s="27" t="s">
        <v>44</v>
      </c>
      <c r="D1777" s="27" t="s">
        <v>40</v>
      </c>
      <c r="E1777" s="28" t="n">
        <f aca="false">ROUND((SUMIFS(Acerto_Detalhado!$F$2:$F$433,Acerto_Detalhado!$A$2:$A$433,$C1777,Acerto_Detalhado!$B$2:$B$433,"Mai",Acerto_Detalhado!$C$2:$C$433,"Umidade"))*(SUMIFS(Acerto_Detalhado!$I$2:$I$433,Acerto_Detalhado!$A$2:$A$433,$D1777,Acerto_Detalhado!$B$2:$B$433,"Mai",Acerto_Detalhado!$C$2:$C$433,"Umidade")),2)</f>
        <v>0</v>
      </c>
    </row>
    <row r="1778" customFormat="false" ht="15" hidden="false" customHeight="false" outlineLevel="0" collapsed="false">
      <c r="A1778" s="27" t="s">
        <v>115</v>
      </c>
      <c r="B1778" s="27" t="s">
        <v>110</v>
      </c>
      <c r="C1778" s="27" t="s">
        <v>44</v>
      </c>
      <c r="D1778" s="27" t="s">
        <v>41</v>
      </c>
      <c r="E1778" s="28" t="n">
        <f aca="false">ROUND((SUMIFS(Acerto_Detalhado!$F$2:$F$433,Acerto_Detalhado!$A$2:$A$433,$C1778,Acerto_Detalhado!$B$2:$B$433,"Mai",Acerto_Detalhado!$C$2:$C$433,"Umidade"))*(SUMIFS(Acerto_Detalhado!$I$2:$I$433,Acerto_Detalhado!$A$2:$A$433,$D1778,Acerto_Detalhado!$B$2:$B$433,"Mai",Acerto_Detalhado!$C$2:$C$433,"Umidade")),2)</f>
        <v>0</v>
      </c>
    </row>
    <row r="1779" customFormat="false" ht="15" hidden="false" customHeight="false" outlineLevel="0" collapsed="false">
      <c r="A1779" s="27" t="s">
        <v>115</v>
      </c>
      <c r="B1779" s="27" t="s">
        <v>110</v>
      </c>
      <c r="C1779" s="27" t="s">
        <v>44</v>
      </c>
      <c r="D1779" s="27" t="s">
        <v>42</v>
      </c>
      <c r="E1779" s="28" t="n">
        <f aca="false">ROUND((SUMIFS(Acerto_Detalhado!$F$2:$F$433,Acerto_Detalhado!$A$2:$A$433,$C1779,Acerto_Detalhado!$B$2:$B$433,"Mai",Acerto_Detalhado!$C$2:$C$433,"Umidade"))*(SUMIFS(Acerto_Detalhado!$I$2:$I$433,Acerto_Detalhado!$A$2:$A$433,$D1779,Acerto_Detalhado!$B$2:$B$433,"Mai",Acerto_Detalhado!$C$2:$C$433,"Umidade")),2)</f>
        <v>0</v>
      </c>
    </row>
    <row r="1780" customFormat="false" ht="15" hidden="false" customHeight="false" outlineLevel="0" collapsed="false">
      <c r="A1780" s="27" t="s">
        <v>115</v>
      </c>
      <c r="B1780" s="27" t="s">
        <v>110</v>
      </c>
      <c r="C1780" s="27" t="s">
        <v>44</v>
      </c>
      <c r="D1780" s="27" t="s">
        <v>43</v>
      </c>
      <c r="E1780" s="28" t="n">
        <f aca="false">ROUND((SUMIFS(Acerto_Detalhado!$F$2:$F$433,Acerto_Detalhado!$A$2:$A$433,$C1780,Acerto_Detalhado!$B$2:$B$433,"Mai",Acerto_Detalhado!$C$2:$C$433,"Umidade"))*(SUMIFS(Acerto_Detalhado!$I$2:$I$433,Acerto_Detalhado!$A$2:$A$433,$D1780,Acerto_Detalhado!$B$2:$B$433,"Mai",Acerto_Detalhado!$C$2:$C$433,"Umidade")),2)</f>
        <v>0</v>
      </c>
    </row>
    <row r="1781" customFormat="false" ht="15" hidden="false" customHeight="false" outlineLevel="0" collapsed="false">
      <c r="A1781" s="27" t="s">
        <v>115</v>
      </c>
      <c r="B1781" s="27" t="s">
        <v>110</v>
      </c>
      <c r="C1781" s="27" t="s">
        <v>44</v>
      </c>
      <c r="D1781" s="27" t="s">
        <v>45</v>
      </c>
      <c r="E1781" s="28" t="n">
        <f aca="false">ROUND((SUMIFS(Acerto_Detalhado!$F$2:$F$433,Acerto_Detalhado!$A$2:$A$433,$C1781,Acerto_Detalhado!$B$2:$B$433,"Mai",Acerto_Detalhado!$C$2:$C$433,"Umidade"))*(SUMIFS(Acerto_Detalhado!$I$2:$I$433,Acerto_Detalhado!$A$2:$A$433,$D1781,Acerto_Detalhado!$B$2:$B$433,"Mai",Acerto_Detalhado!$C$2:$C$433,"Umidade")),2)</f>
        <v>0</v>
      </c>
    </row>
    <row r="1782" customFormat="false" ht="15" hidden="false" customHeight="false" outlineLevel="0" collapsed="false">
      <c r="A1782" s="27" t="s">
        <v>115</v>
      </c>
      <c r="B1782" s="27" t="s">
        <v>110</v>
      </c>
      <c r="C1782" s="27" t="s">
        <v>44</v>
      </c>
      <c r="D1782" s="27" t="s">
        <v>46</v>
      </c>
      <c r="E1782" s="28" t="n">
        <f aca="false">ROUND((SUMIFS(Acerto_Detalhado!$F$2:$F$433,Acerto_Detalhado!$A$2:$A$433,$C1782,Acerto_Detalhado!$B$2:$B$433,"Mai",Acerto_Detalhado!$C$2:$C$433,"Umidade"))*(SUMIFS(Acerto_Detalhado!$I$2:$I$433,Acerto_Detalhado!$A$2:$A$433,$D1782,Acerto_Detalhado!$B$2:$B$433,"Mai",Acerto_Detalhado!$C$2:$C$433,"Umidade")),2)</f>
        <v>0</v>
      </c>
    </row>
    <row r="1783" customFormat="false" ht="15" hidden="false" customHeight="false" outlineLevel="0" collapsed="false">
      <c r="A1783" s="27" t="s">
        <v>115</v>
      </c>
      <c r="B1783" s="27" t="s">
        <v>110</v>
      </c>
      <c r="C1783" s="27" t="s">
        <v>44</v>
      </c>
      <c r="D1783" s="27" t="s">
        <v>47</v>
      </c>
      <c r="E1783" s="28" t="n">
        <f aca="false">ROUND((SUMIFS(Acerto_Detalhado!$F$2:$F$433,Acerto_Detalhado!$A$2:$A$433,$C1783,Acerto_Detalhado!$B$2:$B$433,"Mai",Acerto_Detalhado!$C$2:$C$433,"Umidade"))*(SUMIFS(Acerto_Detalhado!$I$2:$I$433,Acerto_Detalhado!$A$2:$A$433,$D1783,Acerto_Detalhado!$B$2:$B$433,"Mai",Acerto_Detalhado!$C$2:$C$433,"Umidade")),2)</f>
        <v>0</v>
      </c>
    </row>
    <row r="1784" customFormat="false" ht="15" hidden="false" customHeight="false" outlineLevel="0" collapsed="false">
      <c r="A1784" s="27" t="s">
        <v>115</v>
      </c>
      <c r="B1784" s="27" t="s">
        <v>110</v>
      </c>
      <c r="C1784" s="27" t="s">
        <v>44</v>
      </c>
      <c r="D1784" s="27" t="s">
        <v>48</v>
      </c>
      <c r="E1784" s="28" t="n">
        <f aca="false">ROUND((SUMIFS(Acerto_Detalhado!$F$2:$F$433,Acerto_Detalhado!$A$2:$A$433,$C1784,Acerto_Detalhado!$B$2:$B$433,"Mai",Acerto_Detalhado!$C$2:$C$433,"Umidade"))*(SUMIFS(Acerto_Detalhado!$I$2:$I$433,Acerto_Detalhado!$A$2:$A$433,$D1784,Acerto_Detalhado!$B$2:$B$433,"Mai",Acerto_Detalhado!$C$2:$C$433,"Umidade")),2)</f>
        <v>0</v>
      </c>
    </row>
    <row r="1785" customFormat="false" ht="15" hidden="false" customHeight="false" outlineLevel="0" collapsed="false">
      <c r="A1785" s="27" t="s">
        <v>115</v>
      </c>
      <c r="B1785" s="27" t="s">
        <v>110</v>
      </c>
      <c r="C1785" s="27" t="s">
        <v>44</v>
      </c>
      <c r="D1785" s="27" t="s">
        <v>49</v>
      </c>
      <c r="E1785" s="28" t="n">
        <f aca="false">ROUND((SUMIFS(Acerto_Detalhado!$F$2:$F$433,Acerto_Detalhado!$A$2:$A$433,$C1785,Acerto_Detalhado!$B$2:$B$433,"Mai",Acerto_Detalhado!$C$2:$C$433,"Umidade"))*(SUMIFS(Acerto_Detalhado!$I$2:$I$433,Acerto_Detalhado!$A$2:$A$433,$D1785,Acerto_Detalhado!$B$2:$B$433,"Mai",Acerto_Detalhado!$C$2:$C$433,"Umidade")),2)</f>
        <v>0</v>
      </c>
    </row>
    <row r="1786" customFormat="false" ht="15" hidden="false" customHeight="false" outlineLevel="0" collapsed="false">
      <c r="A1786" s="27" t="s">
        <v>115</v>
      </c>
      <c r="B1786" s="27" t="s">
        <v>110</v>
      </c>
      <c r="C1786" s="27" t="s">
        <v>44</v>
      </c>
      <c r="D1786" s="27" t="s">
        <v>50</v>
      </c>
      <c r="E1786" s="28" t="n">
        <f aca="false">ROUND((SUMIFS(Acerto_Detalhado!$F$2:$F$433,Acerto_Detalhado!$A$2:$A$433,$C1786,Acerto_Detalhado!$B$2:$B$433,"Mai",Acerto_Detalhado!$C$2:$C$433,"Umidade"))*(SUMIFS(Acerto_Detalhado!$I$2:$I$433,Acerto_Detalhado!$A$2:$A$433,$D1786,Acerto_Detalhado!$B$2:$B$433,"Mai",Acerto_Detalhado!$C$2:$C$433,"Umidade")),2)</f>
        <v>0</v>
      </c>
    </row>
    <row r="1787" customFormat="false" ht="15" hidden="false" customHeight="false" outlineLevel="0" collapsed="false">
      <c r="A1787" s="27" t="s">
        <v>115</v>
      </c>
      <c r="B1787" s="27" t="s">
        <v>110</v>
      </c>
      <c r="C1787" s="27" t="s">
        <v>45</v>
      </c>
      <c r="D1787" s="27" t="s">
        <v>39</v>
      </c>
      <c r="E1787" s="28" t="n">
        <f aca="false">ROUND((SUMIFS(Acerto_Detalhado!$F$2:$F$433,Acerto_Detalhado!$A$2:$A$433,$C1787,Acerto_Detalhado!$B$2:$B$433,"Mai",Acerto_Detalhado!$C$2:$C$433,"Umidade"))*(SUMIFS(Acerto_Detalhado!$I$2:$I$433,Acerto_Detalhado!$A$2:$A$433,$D1787,Acerto_Detalhado!$B$2:$B$433,"Mai",Acerto_Detalhado!$C$2:$C$433,"Umidade")),2)</f>
        <v>0</v>
      </c>
    </row>
    <row r="1788" customFormat="false" ht="15" hidden="false" customHeight="false" outlineLevel="0" collapsed="false">
      <c r="A1788" s="27" t="s">
        <v>115</v>
      </c>
      <c r="B1788" s="27" t="s">
        <v>110</v>
      </c>
      <c r="C1788" s="27" t="s">
        <v>45</v>
      </c>
      <c r="D1788" s="27" t="s">
        <v>40</v>
      </c>
      <c r="E1788" s="28" t="n">
        <f aca="false">ROUND((SUMIFS(Acerto_Detalhado!$F$2:$F$433,Acerto_Detalhado!$A$2:$A$433,$C1788,Acerto_Detalhado!$B$2:$B$433,"Mai",Acerto_Detalhado!$C$2:$C$433,"Umidade"))*(SUMIFS(Acerto_Detalhado!$I$2:$I$433,Acerto_Detalhado!$A$2:$A$433,$D1788,Acerto_Detalhado!$B$2:$B$433,"Mai",Acerto_Detalhado!$C$2:$C$433,"Umidade")),2)</f>
        <v>0</v>
      </c>
    </row>
    <row r="1789" customFormat="false" ht="15" hidden="false" customHeight="false" outlineLevel="0" collapsed="false">
      <c r="A1789" s="27" t="s">
        <v>115</v>
      </c>
      <c r="B1789" s="27" t="s">
        <v>110</v>
      </c>
      <c r="C1789" s="27" t="s">
        <v>45</v>
      </c>
      <c r="D1789" s="27" t="s">
        <v>41</v>
      </c>
      <c r="E1789" s="28" t="n">
        <f aca="false">ROUND((SUMIFS(Acerto_Detalhado!$F$2:$F$433,Acerto_Detalhado!$A$2:$A$433,$C1789,Acerto_Detalhado!$B$2:$B$433,"Mai",Acerto_Detalhado!$C$2:$C$433,"Umidade"))*(SUMIFS(Acerto_Detalhado!$I$2:$I$433,Acerto_Detalhado!$A$2:$A$433,$D1789,Acerto_Detalhado!$B$2:$B$433,"Mai",Acerto_Detalhado!$C$2:$C$433,"Umidade")),2)</f>
        <v>0</v>
      </c>
    </row>
    <row r="1790" customFormat="false" ht="15" hidden="false" customHeight="false" outlineLevel="0" collapsed="false">
      <c r="A1790" s="27" t="s">
        <v>115</v>
      </c>
      <c r="B1790" s="27" t="s">
        <v>110</v>
      </c>
      <c r="C1790" s="27" t="s">
        <v>45</v>
      </c>
      <c r="D1790" s="27" t="s">
        <v>42</v>
      </c>
      <c r="E1790" s="28" t="n">
        <f aca="false">ROUND((SUMIFS(Acerto_Detalhado!$F$2:$F$433,Acerto_Detalhado!$A$2:$A$433,$C1790,Acerto_Detalhado!$B$2:$B$433,"Mai",Acerto_Detalhado!$C$2:$C$433,"Umidade"))*(SUMIFS(Acerto_Detalhado!$I$2:$I$433,Acerto_Detalhado!$A$2:$A$433,$D1790,Acerto_Detalhado!$B$2:$B$433,"Mai",Acerto_Detalhado!$C$2:$C$433,"Umidade")),2)</f>
        <v>0</v>
      </c>
    </row>
    <row r="1791" customFormat="false" ht="15" hidden="false" customHeight="false" outlineLevel="0" collapsed="false">
      <c r="A1791" s="27" t="s">
        <v>115</v>
      </c>
      <c r="B1791" s="27" t="s">
        <v>110</v>
      </c>
      <c r="C1791" s="27" t="s">
        <v>45</v>
      </c>
      <c r="D1791" s="27" t="s">
        <v>43</v>
      </c>
      <c r="E1791" s="28" t="n">
        <f aca="false">ROUND((SUMIFS(Acerto_Detalhado!$F$2:$F$433,Acerto_Detalhado!$A$2:$A$433,$C1791,Acerto_Detalhado!$B$2:$B$433,"Mai",Acerto_Detalhado!$C$2:$C$433,"Umidade"))*(SUMIFS(Acerto_Detalhado!$I$2:$I$433,Acerto_Detalhado!$A$2:$A$433,$D1791,Acerto_Detalhado!$B$2:$B$433,"Mai",Acerto_Detalhado!$C$2:$C$433,"Umidade")),2)</f>
        <v>0</v>
      </c>
    </row>
    <row r="1792" customFormat="false" ht="15" hidden="false" customHeight="false" outlineLevel="0" collapsed="false">
      <c r="A1792" s="27" t="s">
        <v>115</v>
      </c>
      <c r="B1792" s="27" t="s">
        <v>110</v>
      </c>
      <c r="C1792" s="27" t="s">
        <v>45</v>
      </c>
      <c r="D1792" s="27" t="s">
        <v>44</v>
      </c>
      <c r="E1792" s="28" t="n">
        <f aca="false">ROUND((SUMIFS(Acerto_Detalhado!$F$2:$F$433,Acerto_Detalhado!$A$2:$A$433,$C1792,Acerto_Detalhado!$B$2:$B$433,"Mai",Acerto_Detalhado!$C$2:$C$433,"Umidade"))*(SUMIFS(Acerto_Detalhado!$I$2:$I$433,Acerto_Detalhado!$A$2:$A$433,$D1792,Acerto_Detalhado!$B$2:$B$433,"Mai",Acerto_Detalhado!$C$2:$C$433,"Umidade")),2)</f>
        <v>0</v>
      </c>
    </row>
    <row r="1793" customFormat="false" ht="15" hidden="false" customHeight="false" outlineLevel="0" collapsed="false">
      <c r="A1793" s="27" t="s">
        <v>115</v>
      </c>
      <c r="B1793" s="27" t="s">
        <v>110</v>
      </c>
      <c r="C1793" s="27" t="s">
        <v>45</v>
      </c>
      <c r="D1793" s="27" t="s">
        <v>46</v>
      </c>
      <c r="E1793" s="28" t="n">
        <f aca="false">ROUND((SUMIFS(Acerto_Detalhado!$F$2:$F$433,Acerto_Detalhado!$A$2:$A$433,$C1793,Acerto_Detalhado!$B$2:$B$433,"Mai",Acerto_Detalhado!$C$2:$C$433,"Umidade"))*(SUMIFS(Acerto_Detalhado!$I$2:$I$433,Acerto_Detalhado!$A$2:$A$433,$D1793,Acerto_Detalhado!$B$2:$B$433,"Mai",Acerto_Detalhado!$C$2:$C$433,"Umidade")),2)</f>
        <v>0</v>
      </c>
    </row>
    <row r="1794" customFormat="false" ht="15" hidden="false" customHeight="false" outlineLevel="0" collapsed="false">
      <c r="A1794" s="27" t="s">
        <v>115</v>
      </c>
      <c r="B1794" s="27" t="s">
        <v>110</v>
      </c>
      <c r="C1794" s="27" t="s">
        <v>45</v>
      </c>
      <c r="D1794" s="27" t="s">
        <v>47</v>
      </c>
      <c r="E1794" s="28" t="n">
        <f aca="false">ROUND((SUMIFS(Acerto_Detalhado!$F$2:$F$433,Acerto_Detalhado!$A$2:$A$433,$C1794,Acerto_Detalhado!$B$2:$B$433,"Mai",Acerto_Detalhado!$C$2:$C$433,"Umidade"))*(SUMIFS(Acerto_Detalhado!$I$2:$I$433,Acerto_Detalhado!$A$2:$A$433,$D1794,Acerto_Detalhado!$B$2:$B$433,"Mai",Acerto_Detalhado!$C$2:$C$433,"Umidade")),2)</f>
        <v>0</v>
      </c>
    </row>
    <row r="1795" customFormat="false" ht="15" hidden="false" customHeight="false" outlineLevel="0" collapsed="false">
      <c r="A1795" s="27" t="s">
        <v>115</v>
      </c>
      <c r="B1795" s="27" t="s">
        <v>110</v>
      </c>
      <c r="C1795" s="27" t="s">
        <v>45</v>
      </c>
      <c r="D1795" s="27" t="s">
        <v>48</v>
      </c>
      <c r="E1795" s="28" t="n">
        <f aca="false">ROUND((SUMIFS(Acerto_Detalhado!$F$2:$F$433,Acerto_Detalhado!$A$2:$A$433,$C1795,Acerto_Detalhado!$B$2:$B$433,"Mai",Acerto_Detalhado!$C$2:$C$433,"Umidade"))*(SUMIFS(Acerto_Detalhado!$I$2:$I$433,Acerto_Detalhado!$A$2:$A$433,$D1795,Acerto_Detalhado!$B$2:$B$433,"Mai",Acerto_Detalhado!$C$2:$C$433,"Umidade")),2)</f>
        <v>0</v>
      </c>
    </row>
    <row r="1796" customFormat="false" ht="15" hidden="false" customHeight="false" outlineLevel="0" collapsed="false">
      <c r="A1796" s="27" t="s">
        <v>115</v>
      </c>
      <c r="B1796" s="27" t="s">
        <v>110</v>
      </c>
      <c r="C1796" s="27" t="s">
        <v>45</v>
      </c>
      <c r="D1796" s="27" t="s">
        <v>49</v>
      </c>
      <c r="E1796" s="28" t="n">
        <f aca="false">ROUND((SUMIFS(Acerto_Detalhado!$F$2:$F$433,Acerto_Detalhado!$A$2:$A$433,$C1796,Acerto_Detalhado!$B$2:$B$433,"Mai",Acerto_Detalhado!$C$2:$C$433,"Umidade"))*(SUMIFS(Acerto_Detalhado!$I$2:$I$433,Acerto_Detalhado!$A$2:$A$433,$D1796,Acerto_Detalhado!$B$2:$B$433,"Mai",Acerto_Detalhado!$C$2:$C$433,"Umidade")),2)</f>
        <v>0</v>
      </c>
    </row>
    <row r="1797" customFormat="false" ht="15" hidden="false" customHeight="false" outlineLevel="0" collapsed="false">
      <c r="A1797" s="27" t="s">
        <v>115</v>
      </c>
      <c r="B1797" s="27" t="s">
        <v>110</v>
      </c>
      <c r="C1797" s="27" t="s">
        <v>45</v>
      </c>
      <c r="D1797" s="27" t="s">
        <v>50</v>
      </c>
      <c r="E1797" s="28" t="n">
        <f aca="false">ROUND((SUMIFS(Acerto_Detalhado!$F$2:$F$433,Acerto_Detalhado!$A$2:$A$433,$C1797,Acerto_Detalhado!$B$2:$B$433,"Mai",Acerto_Detalhado!$C$2:$C$433,"Umidade"))*(SUMIFS(Acerto_Detalhado!$I$2:$I$433,Acerto_Detalhado!$A$2:$A$433,$D1797,Acerto_Detalhado!$B$2:$B$433,"Mai",Acerto_Detalhado!$C$2:$C$433,"Umidade")),2)</f>
        <v>0</v>
      </c>
    </row>
    <row r="1798" customFormat="false" ht="15" hidden="false" customHeight="false" outlineLevel="0" collapsed="false">
      <c r="A1798" s="27" t="s">
        <v>115</v>
      </c>
      <c r="B1798" s="27" t="s">
        <v>110</v>
      </c>
      <c r="C1798" s="27" t="s">
        <v>46</v>
      </c>
      <c r="D1798" s="27" t="s">
        <v>39</v>
      </c>
      <c r="E1798" s="28" t="n">
        <f aca="false">ROUND((SUMIFS(Acerto_Detalhado!$F$2:$F$433,Acerto_Detalhado!$A$2:$A$433,$C1798,Acerto_Detalhado!$B$2:$B$433,"Mai",Acerto_Detalhado!$C$2:$C$433,"Umidade"))*(SUMIFS(Acerto_Detalhado!$I$2:$I$433,Acerto_Detalhado!$A$2:$A$433,$D1798,Acerto_Detalhado!$B$2:$B$433,"Mai",Acerto_Detalhado!$C$2:$C$433,"Umidade")),2)</f>
        <v>0</v>
      </c>
    </row>
    <row r="1799" customFormat="false" ht="15" hidden="false" customHeight="false" outlineLevel="0" collapsed="false">
      <c r="A1799" s="27" t="s">
        <v>115</v>
      </c>
      <c r="B1799" s="27" t="s">
        <v>110</v>
      </c>
      <c r="C1799" s="27" t="s">
        <v>46</v>
      </c>
      <c r="D1799" s="27" t="s">
        <v>40</v>
      </c>
      <c r="E1799" s="28" t="n">
        <f aca="false">ROUND((SUMIFS(Acerto_Detalhado!$F$2:$F$433,Acerto_Detalhado!$A$2:$A$433,$C1799,Acerto_Detalhado!$B$2:$B$433,"Mai",Acerto_Detalhado!$C$2:$C$433,"Umidade"))*(SUMIFS(Acerto_Detalhado!$I$2:$I$433,Acerto_Detalhado!$A$2:$A$433,$D1799,Acerto_Detalhado!$B$2:$B$433,"Mai",Acerto_Detalhado!$C$2:$C$433,"Umidade")),2)</f>
        <v>0</v>
      </c>
    </row>
    <row r="1800" customFormat="false" ht="15" hidden="false" customHeight="false" outlineLevel="0" collapsed="false">
      <c r="A1800" s="27" t="s">
        <v>115</v>
      </c>
      <c r="B1800" s="27" t="s">
        <v>110</v>
      </c>
      <c r="C1800" s="27" t="s">
        <v>46</v>
      </c>
      <c r="D1800" s="27" t="s">
        <v>41</v>
      </c>
      <c r="E1800" s="28" t="n">
        <f aca="false">ROUND((SUMIFS(Acerto_Detalhado!$F$2:$F$433,Acerto_Detalhado!$A$2:$A$433,$C1800,Acerto_Detalhado!$B$2:$B$433,"Mai",Acerto_Detalhado!$C$2:$C$433,"Umidade"))*(SUMIFS(Acerto_Detalhado!$I$2:$I$433,Acerto_Detalhado!$A$2:$A$433,$D1800,Acerto_Detalhado!$B$2:$B$433,"Mai",Acerto_Detalhado!$C$2:$C$433,"Umidade")),2)</f>
        <v>0</v>
      </c>
    </row>
    <row r="1801" customFormat="false" ht="15" hidden="false" customHeight="false" outlineLevel="0" collapsed="false">
      <c r="A1801" s="27" t="s">
        <v>115</v>
      </c>
      <c r="B1801" s="27" t="s">
        <v>110</v>
      </c>
      <c r="C1801" s="27" t="s">
        <v>46</v>
      </c>
      <c r="D1801" s="27" t="s">
        <v>42</v>
      </c>
      <c r="E1801" s="28" t="n">
        <f aca="false">ROUND((SUMIFS(Acerto_Detalhado!$F$2:$F$433,Acerto_Detalhado!$A$2:$A$433,$C1801,Acerto_Detalhado!$B$2:$B$433,"Mai",Acerto_Detalhado!$C$2:$C$433,"Umidade"))*(SUMIFS(Acerto_Detalhado!$I$2:$I$433,Acerto_Detalhado!$A$2:$A$433,$D1801,Acerto_Detalhado!$B$2:$B$433,"Mai",Acerto_Detalhado!$C$2:$C$433,"Umidade")),2)</f>
        <v>0</v>
      </c>
    </row>
    <row r="1802" customFormat="false" ht="15" hidden="false" customHeight="false" outlineLevel="0" collapsed="false">
      <c r="A1802" s="27" t="s">
        <v>115</v>
      </c>
      <c r="B1802" s="27" t="s">
        <v>110</v>
      </c>
      <c r="C1802" s="27" t="s">
        <v>46</v>
      </c>
      <c r="D1802" s="27" t="s">
        <v>43</v>
      </c>
      <c r="E1802" s="28" t="n">
        <f aca="false">ROUND((SUMIFS(Acerto_Detalhado!$F$2:$F$433,Acerto_Detalhado!$A$2:$A$433,$C1802,Acerto_Detalhado!$B$2:$B$433,"Mai",Acerto_Detalhado!$C$2:$C$433,"Umidade"))*(SUMIFS(Acerto_Detalhado!$I$2:$I$433,Acerto_Detalhado!$A$2:$A$433,$D1802,Acerto_Detalhado!$B$2:$B$433,"Mai",Acerto_Detalhado!$C$2:$C$433,"Umidade")),2)</f>
        <v>0</v>
      </c>
    </row>
    <row r="1803" customFormat="false" ht="15" hidden="false" customHeight="false" outlineLevel="0" collapsed="false">
      <c r="A1803" s="27" t="s">
        <v>115</v>
      </c>
      <c r="B1803" s="27" t="s">
        <v>110</v>
      </c>
      <c r="C1803" s="27" t="s">
        <v>46</v>
      </c>
      <c r="D1803" s="27" t="s">
        <v>44</v>
      </c>
      <c r="E1803" s="28" t="n">
        <f aca="false">ROUND((SUMIFS(Acerto_Detalhado!$F$2:$F$433,Acerto_Detalhado!$A$2:$A$433,$C1803,Acerto_Detalhado!$B$2:$B$433,"Mai",Acerto_Detalhado!$C$2:$C$433,"Umidade"))*(SUMIFS(Acerto_Detalhado!$I$2:$I$433,Acerto_Detalhado!$A$2:$A$433,$D1803,Acerto_Detalhado!$B$2:$B$433,"Mai",Acerto_Detalhado!$C$2:$C$433,"Umidade")),2)</f>
        <v>0</v>
      </c>
    </row>
    <row r="1804" customFormat="false" ht="15" hidden="false" customHeight="false" outlineLevel="0" collapsed="false">
      <c r="A1804" s="27" t="s">
        <v>115</v>
      </c>
      <c r="B1804" s="27" t="s">
        <v>110</v>
      </c>
      <c r="C1804" s="27" t="s">
        <v>46</v>
      </c>
      <c r="D1804" s="27" t="s">
        <v>45</v>
      </c>
      <c r="E1804" s="28" t="n">
        <f aca="false">ROUND((SUMIFS(Acerto_Detalhado!$F$2:$F$433,Acerto_Detalhado!$A$2:$A$433,$C1804,Acerto_Detalhado!$B$2:$B$433,"Mai",Acerto_Detalhado!$C$2:$C$433,"Umidade"))*(SUMIFS(Acerto_Detalhado!$I$2:$I$433,Acerto_Detalhado!$A$2:$A$433,$D1804,Acerto_Detalhado!$B$2:$B$433,"Mai",Acerto_Detalhado!$C$2:$C$433,"Umidade")),2)</f>
        <v>0</v>
      </c>
    </row>
    <row r="1805" customFormat="false" ht="15" hidden="false" customHeight="false" outlineLevel="0" collapsed="false">
      <c r="A1805" s="27" t="s">
        <v>115</v>
      </c>
      <c r="B1805" s="27" t="s">
        <v>110</v>
      </c>
      <c r="C1805" s="27" t="s">
        <v>46</v>
      </c>
      <c r="D1805" s="27" t="s">
        <v>47</v>
      </c>
      <c r="E1805" s="28" t="n">
        <f aca="false">ROUND((SUMIFS(Acerto_Detalhado!$F$2:$F$433,Acerto_Detalhado!$A$2:$A$433,$C1805,Acerto_Detalhado!$B$2:$B$433,"Mai",Acerto_Detalhado!$C$2:$C$433,"Umidade"))*(SUMIFS(Acerto_Detalhado!$I$2:$I$433,Acerto_Detalhado!$A$2:$A$433,$D1805,Acerto_Detalhado!$B$2:$B$433,"Mai",Acerto_Detalhado!$C$2:$C$433,"Umidade")),2)</f>
        <v>0</v>
      </c>
    </row>
    <row r="1806" customFormat="false" ht="15" hidden="false" customHeight="false" outlineLevel="0" collapsed="false">
      <c r="A1806" s="27" t="s">
        <v>115</v>
      </c>
      <c r="B1806" s="27" t="s">
        <v>110</v>
      </c>
      <c r="C1806" s="27" t="s">
        <v>46</v>
      </c>
      <c r="D1806" s="27" t="s">
        <v>48</v>
      </c>
      <c r="E1806" s="28" t="n">
        <f aca="false">ROUND((SUMIFS(Acerto_Detalhado!$F$2:$F$433,Acerto_Detalhado!$A$2:$A$433,$C1806,Acerto_Detalhado!$B$2:$B$433,"Mai",Acerto_Detalhado!$C$2:$C$433,"Umidade"))*(SUMIFS(Acerto_Detalhado!$I$2:$I$433,Acerto_Detalhado!$A$2:$A$433,$D1806,Acerto_Detalhado!$B$2:$B$433,"Mai",Acerto_Detalhado!$C$2:$C$433,"Umidade")),2)</f>
        <v>0</v>
      </c>
    </row>
    <row r="1807" customFormat="false" ht="15" hidden="false" customHeight="false" outlineLevel="0" collapsed="false">
      <c r="A1807" s="27" t="s">
        <v>115</v>
      </c>
      <c r="B1807" s="27" t="s">
        <v>110</v>
      </c>
      <c r="C1807" s="27" t="s">
        <v>46</v>
      </c>
      <c r="D1807" s="27" t="s">
        <v>49</v>
      </c>
      <c r="E1807" s="28" t="n">
        <f aca="false">ROUND((SUMIFS(Acerto_Detalhado!$F$2:$F$433,Acerto_Detalhado!$A$2:$A$433,$C1807,Acerto_Detalhado!$B$2:$B$433,"Mai",Acerto_Detalhado!$C$2:$C$433,"Umidade"))*(SUMIFS(Acerto_Detalhado!$I$2:$I$433,Acerto_Detalhado!$A$2:$A$433,$D1807,Acerto_Detalhado!$B$2:$B$433,"Mai",Acerto_Detalhado!$C$2:$C$433,"Umidade")),2)</f>
        <v>0</v>
      </c>
    </row>
    <row r="1808" customFormat="false" ht="15" hidden="false" customHeight="false" outlineLevel="0" collapsed="false">
      <c r="A1808" s="27" t="s">
        <v>115</v>
      </c>
      <c r="B1808" s="27" t="s">
        <v>110</v>
      </c>
      <c r="C1808" s="27" t="s">
        <v>46</v>
      </c>
      <c r="D1808" s="27" t="s">
        <v>50</v>
      </c>
      <c r="E1808" s="28" t="n">
        <f aca="false">ROUND((SUMIFS(Acerto_Detalhado!$F$2:$F$433,Acerto_Detalhado!$A$2:$A$433,$C1808,Acerto_Detalhado!$B$2:$B$433,"Mai",Acerto_Detalhado!$C$2:$C$433,"Umidade"))*(SUMIFS(Acerto_Detalhado!$I$2:$I$433,Acerto_Detalhado!$A$2:$A$433,$D1808,Acerto_Detalhado!$B$2:$B$433,"Mai",Acerto_Detalhado!$C$2:$C$433,"Umidade")),2)</f>
        <v>0</v>
      </c>
    </row>
    <row r="1809" customFormat="false" ht="15" hidden="false" customHeight="false" outlineLevel="0" collapsed="false">
      <c r="A1809" s="27" t="s">
        <v>115</v>
      </c>
      <c r="B1809" s="27" t="s">
        <v>110</v>
      </c>
      <c r="C1809" s="27" t="s">
        <v>47</v>
      </c>
      <c r="D1809" s="27" t="s">
        <v>39</v>
      </c>
      <c r="E1809" s="28" t="n">
        <f aca="false">ROUND((SUMIFS(Acerto_Detalhado!$F$2:$F$433,Acerto_Detalhado!$A$2:$A$433,$C1809,Acerto_Detalhado!$B$2:$B$433,"Mai",Acerto_Detalhado!$C$2:$C$433,"Umidade"))*(SUMIFS(Acerto_Detalhado!$I$2:$I$433,Acerto_Detalhado!$A$2:$A$433,$D1809,Acerto_Detalhado!$B$2:$B$433,"Mai",Acerto_Detalhado!$C$2:$C$433,"Umidade")),2)</f>
        <v>0</v>
      </c>
    </row>
    <row r="1810" customFormat="false" ht="15" hidden="false" customHeight="false" outlineLevel="0" collapsed="false">
      <c r="A1810" s="27" t="s">
        <v>115</v>
      </c>
      <c r="B1810" s="27" t="s">
        <v>110</v>
      </c>
      <c r="C1810" s="27" t="s">
        <v>47</v>
      </c>
      <c r="D1810" s="27" t="s">
        <v>40</v>
      </c>
      <c r="E1810" s="28" t="n">
        <f aca="false">ROUND((SUMIFS(Acerto_Detalhado!$F$2:$F$433,Acerto_Detalhado!$A$2:$A$433,$C1810,Acerto_Detalhado!$B$2:$B$433,"Mai",Acerto_Detalhado!$C$2:$C$433,"Umidade"))*(SUMIFS(Acerto_Detalhado!$I$2:$I$433,Acerto_Detalhado!$A$2:$A$433,$D1810,Acerto_Detalhado!$B$2:$B$433,"Mai",Acerto_Detalhado!$C$2:$C$433,"Umidade")),2)</f>
        <v>0</v>
      </c>
    </row>
    <row r="1811" customFormat="false" ht="15" hidden="false" customHeight="false" outlineLevel="0" collapsed="false">
      <c r="A1811" s="27" t="s">
        <v>115</v>
      </c>
      <c r="B1811" s="27" t="s">
        <v>110</v>
      </c>
      <c r="C1811" s="27" t="s">
        <v>47</v>
      </c>
      <c r="D1811" s="27" t="s">
        <v>41</v>
      </c>
      <c r="E1811" s="28" t="n">
        <f aca="false">ROUND((SUMIFS(Acerto_Detalhado!$F$2:$F$433,Acerto_Detalhado!$A$2:$A$433,$C1811,Acerto_Detalhado!$B$2:$B$433,"Mai",Acerto_Detalhado!$C$2:$C$433,"Umidade"))*(SUMIFS(Acerto_Detalhado!$I$2:$I$433,Acerto_Detalhado!$A$2:$A$433,$D1811,Acerto_Detalhado!$B$2:$B$433,"Mai",Acerto_Detalhado!$C$2:$C$433,"Umidade")),2)</f>
        <v>0</v>
      </c>
    </row>
    <row r="1812" customFormat="false" ht="15" hidden="false" customHeight="false" outlineLevel="0" collapsed="false">
      <c r="A1812" s="27" t="s">
        <v>115</v>
      </c>
      <c r="B1812" s="27" t="s">
        <v>110</v>
      </c>
      <c r="C1812" s="27" t="s">
        <v>47</v>
      </c>
      <c r="D1812" s="27" t="s">
        <v>42</v>
      </c>
      <c r="E1812" s="28" t="n">
        <f aca="false">ROUND((SUMIFS(Acerto_Detalhado!$F$2:$F$433,Acerto_Detalhado!$A$2:$A$433,$C1812,Acerto_Detalhado!$B$2:$B$433,"Mai",Acerto_Detalhado!$C$2:$C$433,"Umidade"))*(SUMIFS(Acerto_Detalhado!$I$2:$I$433,Acerto_Detalhado!$A$2:$A$433,$D1812,Acerto_Detalhado!$B$2:$B$433,"Mai",Acerto_Detalhado!$C$2:$C$433,"Umidade")),2)</f>
        <v>0</v>
      </c>
    </row>
    <row r="1813" customFormat="false" ht="15" hidden="false" customHeight="false" outlineLevel="0" collapsed="false">
      <c r="A1813" s="27" t="s">
        <v>115</v>
      </c>
      <c r="B1813" s="27" t="s">
        <v>110</v>
      </c>
      <c r="C1813" s="27" t="s">
        <v>47</v>
      </c>
      <c r="D1813" s="27" t="s">
        <v>43</v>
      </c>
      <c r="E1813" s="28" t="n">
        <f aca="false">ROUND((SUMIFS(Acerto_Detalhado!$F$2:$F$433,Acerto_Detalhado!$A$2:$A$433,$C1813,Acerto_Detalhado!$B$2:$B$433,"Mai",Acerto_Detalhado!$C$2:$C$433,"Umidade"))*(SUMIFS(Acerto_Detalhado!$I$2:$I$433,Acerto_Detalhado!$A$2:$A$433,$D1813,Acerto_Detalhado!$B$2:$B$433,"Mai",Acerto_Detalhado!$C$2:$C$433,"Umidade")),2)</f>
        <v>0</v>
      </c>
    </row>
    <row r="1814" customFormat="false" ht="15" hidden="false" customHeight="false" outlineLevel="0" collapsed="false">
      <c r="A1814" s="27" t="s">
        <v>115</v>
      </c>
      <c r="B1814" s="27" t="s">
        <v>110</v>
      </c>
      <c r="C1814" s="27" t="s">
        <v>47</v>
      </c>
      <c r="D1814" s="27" t="s">
        <v>44</v>
      </c>
      <c r="E1814" s="28" t="n">
        <f aca="false">ROUND((SUMIFS(Acerto_Detalhado!$F$2:$F$433,Acerto_Detalhado!$A$2:$A$433,$C1814,Acerto_Detalhado!$B$2:$B$433,"Mai",Acerto_Detalhado!$C$2:$C$433,"Umidade"))*(SUMIFS(Acerto_Detalhado!$I$2:$I$433,Acerto_Detalhado!$A$2:$A$433,$D1814,Acerto_Detalhado!$B$2:$B$433,"Mai",Acerto_Detalhado!$C$2:$C$433,"Umidade")),2)</f>
        <v>0</v>
      </c>
    </row>
    <row r="1815" customFormat="false" ht="15" hidden="false" customHeight="false" outlineLevel="0" collapsed="false">
      <c r="A1815" s="27" t="s">
        <v>115</v>
      </c>
      <c r="B1815" s="27" t="s">
        <v>110</v>
      </c>
      <c r="C1815" s="27" t="s">
        <v>47</v>
      </c>
      <c r="D1815" s="27" t="s">
        <v>45</v>
      </c>
      <c r="E1815" s="28" t="n">
        <f aca="false">ROUND((SUMIFS(Acerto_Detalhado!$F$2:$F$433,Acerto_Detalhado!$A$2:$A$433,$C1815,Acerto_Detalhado!$B$2:$B$433,"Mai",Acerto_Detalhado!$C$2:$C$433,"Umidade"))*(SUMIFS(Acerto_Detalhado!$I$2:$I$433,Acerto_Detalhado!$A$2:$A$433,$D1815,Acerto_Detalhado!$B$2:$B$433,"Mai",Acerto_Detalhado!$C$2:$C$433,"Umidade")),2)</f>
        <v>0</v>
      </c>
    </row>
    <row r="1816" customFormat="false" ht="15" hidden="false" customHeight="false" outlineLevel="0" collapsed="false">
      <c r="A1816" s="27" t="s">
        <v>115</v>
      </c>
      <c r="B1816" s="27" t="s">
        <v>110</v>
      </c>
      <c r="C1816" s="27" t="s">
        <v>47</v>
      </c>
      <c r="D1816" s="27" t="s">
        <v>46</v>
      </c>
      <c r="E1816" s="28" t="n">
        <f aca="false">ROUND((SUMIFS(Acerto_Detalhado!$F$2:$F$433,Acerto_Detalhado!$A$2:$A$433,$C1816,Acerto_Detalhado!$B$2:$B$433,"Mai",Acerto_Detalhado!$C$2:$C$433,"Umidade"))*(SUMIFS(Acerto_Detalhado!$I$2:$I$433,Acerto_Detalhado!$A$2:$A$433,$D1816,Acerto_Detalhado!$B$2:$B$433,"Mai",Acerto_Detalhado!$C$2:$C$433,"Umidade")),2)</f>
        <v>0</v>
      </c>
    </row>
    <row r="1817" customFormat="false" ht="15" hidden="false" customHeight="false" outlineLevel="0" collapsed="false">
      <c r="A1817" s="27" t="s">
        <v>115</v>
      </c>
      <c r="B1817" s="27" t="s">
        <v>110</v>
      </c>
      <c r="C1817" s="27" t="s">
        <v>47</v>
      </c>
      <c r="D1817" s="27" t="s">
        <v>48</v>
      </c>
      <c r="E1817" s="28" t="n">
        <f aca="false">ROUND((SUMIFS(Acerto_Detalhado!$F$2:$F$433,Acerto_Detalhado!$A$2:$A$433,$C1817,Acerto_Detalhado!$B$2:$B$433,"Mai",Acerto_Detalhado!$C$2:$C$433,"Umidade"))*(SUMIFS(Acerto_Detalhado!$I$2:$I$433,Acerto_Detalhado!$A$2:$A$433,$D1817,Acerto_Detalhado!$B$2:$B$433,"Mai",Acerto_Detalhado!$C$2:$C$433,"Umidade")),2)</f>
        <v>0</v>
      </c>
    </row>
    <row r="1818" customFormat="false" ht="15" hidden="false" customHeight="false" outlineLevel="0" collapsed="false">
      <c r="A1818" s="27" t="s">
        <v>115</v>
      </c>
      <c r="B1818" s="27" t="s">
        <v>110</v>
      </c>
      <c r="C1818" s="27" t="s">
        <v>47</v>
      </c>
      <c r="D1818" s="27" t="s">
        <v>49</v>
      </c>
      <c r="E1818" s="28" t="n">
        <f aca="false">ROUND((SUMIFS(Acerto_Detalhado!$F$2:$F$433,Acerto_Detalhado!$A$2:$A$433,$C1818,Acerto_Detalhado!$B$2:$B$433,"Mai",Acerto_Detalhado!$C$2:$C$433,"Umidade"))*(SUMIFS(Acerto_Detalhado!$I$2:$I$433,Acerto_Detalhado!$A$2:$A$433,$D1818,Acerto_Detalhado!$B$2:$B$433,"Mai",Acerto_Detalhado!$C$2:$C$433,"Umidade")),2)</f>
        <v>0</v>
      </c>
    </row>
    <row r="1819" customFormat="false" ht="15" hidden="false" customHeight="false" outlineLevel="0" collapsed="false">
      <c r="A1819" s="27" t="s">
        <v>115</v>
      </c>
      <c r="B1819" s="27" t="s">
        <v>110</v>
      </c>
      <c r="C1819" s="27" t="s">
        <v>47</v>
      </c>
      <c r="D1819" s="27" t="s">
        <v>50</v>
      </c>
      <c r="E1819" s="28" t="n">
        <f aca="false">ROUND((SUMIFS(Acerto_Detalhado!$F$2:$F$433,Acerto_Detalhado!$A$2:$A$433,$C1819,Acerto_Detalhado!$B$2:$B$433,"Mai",Acerto_Detalhado!$C$2:$C$433,"Umidade"))*(SUMIFS(Acerto_Detalhado!$I$2:$I$433,Acerto_Detalhado!$A$2:$A$433,$D1819,Acerto_Detalhado!$B$2:$B$433,"Mai",Acerto_Detalhado!$C$2:$C$433,"Umidade")),2)</f>
        <v>0</v>
      </c>
    </row>
    <row r="1820" customFormat="false" ht="15" hidden="false" customHeight="false" outlineLevel="0" collapsed="false">
      <c r="A1820" s="27" t="s">
        <v>115</v>
      </c>
      <c r="B1820" s="27" t="s">
        <v>110</v>
      </c>
      <c r="C1820" s="27" t="s">
        <v>48</v>
      </c>
      <c r="D1820" s="27" t="s">
        <v>39</v>
      </c>
      <c r="E1820" s="28" t="n">
        <f aca="false">ROUND((SUMIFS(Acerto_Detalhado!$F$2:$F$433,Acerto_Detalhado!$A$2:$A$433,$C1820,Acerto_Detalhado!$B$2:$B$433,"Mai",Acerto_Detalhado!$C$2:$C$433,"Umidade"))*(SUMIFS(Acerto_Detalhado!$I$2:$I$433,Acerto_Detalhado!$A$2:$A$433,$D1820,Acerto_Detalhado!$B$2:$B$433,"Mai",Acerto_Detalhado!$C$2:$C$433,"Umidade")),2)</f>
        <v>0</v>
      </c>
    </row>
    <row r="1821" customFormat="false" ht="15" hidden="false" customHeight="false" outlineLevel="0" collapsed="false">
      <c r="A1821" s="27" t="s">
        <v>115</v>
      </c>
      <c r="B1821" s="27" t="s">
        <v>110</v>
      </c>
      <c r="C1821" s="27" t="s">
        <v>48</v>
      </c>
      <c r="D1821" s="27" t="s">
        <v>40</v>
      </c>
      <c r="E1821" s="28" t="n">
        <f aca="false">ROUND((SUMIFS(Acerto_Detalhado!$F$2:$F$433,Acerto_Detalhado!$A$2:$A$433,$C1821,Acerto_Detalhado!$B$2:$B$433,"Mai",Acerto_Detalhado!$C$2:$C$433,"Umidade"))*(SUMIFS(Acerto_Detalhado!$I$2:$I$433,Acerto_Detalhado!$A$2:$A$433,$D1821,Acerto_Detalhado!$B$2:$B$433,"Mai",Acerto_Detalhado!$C$2:$C$433,"Umidade")),2)</f>
        <v>0</v>
      </c>
    </row>
    <row r="1822" customFormat="false" ht="15" hidden="false" customHeight="false" outlineLevel="0" collapsed="false">
      <c r="A1822" s="27" t="s">
        <v>115</v>
      </c>
      <c r="B1822" s="27" t="s">
        <v>110</v>
      </c>
      <c r="C1822" s="27" t="s">
        <v>48</v>
      </c>
      <c r="D1822" s="27" t="s">
        <v>41</v>
      </c>
      <c r="E1822" s="28" t="n">
        <f aca="false">ROUND((SUMIFS(Acerto_Detalhado!$F$2:$F$433,Acerto_Detalhado!$A$2:$A$433,$C1822,Acerto_Detalhado!$B$2:$B$433,"Mai",Acerto_Detalhado!$C$2:$C$433,"Umidade"))*(SUMIFS(Acerto_Detalhado!$I$2:$I$433,Acerto_Detalhado!$A$2:$A$433,$D1822,Acerto_Detalhado!$B$2:$B$433,"Mai",Acerto_Detalhado!$C$2:$C$433,"Umidade")),2)</f>
        <v>0</v>
      </c>
    </row>
    <row r="1823" customFormat="false" ht="15" hidden="false" customHeight="false" outlineLevel="0" collapsed="false">
      <c r="A1823" s="27" t="s">
        <v>115</v>
      </c>
      <c r="B1823" s="27" t="s">
        <v>110</v>
      </c>
      <c r="C1823" s="27" t="s">
        <v>48</v>
      </c>
      <c r="D1823" s="27" t="s">
        <v>42</v>
      </c>
      <c r="E1823" s="28" t="n">
        <f aca="false">ROUND((SUMIFS(Acerto_Detalhado!$F$2:$F$433,Acerto_Detalhado!$A$2:$A$433,$C1823,Acerto_Detalhado!$B$2:$B$433,"Mai",Acerto_Detalhado!$C$2:$C$433,"Umidade"))*(SUMIFS(Acerto_Detalhado!$I$2:$I$433,Acerto_Detalhado!$A$2:$A$433,$D1823,Acerto_Detalhado!$B$2:$B$433,"Mai",Acerto_Detalhado!$C$2:$C$433,"Umidade")),2)</f>
        <v>0</v>
      </c>
    </row>
    <row r="1824" customFormat="false" ht="15" hidden="false" customHeight="false" outlineLevel="0" collapsed="false">
      <c r="A1824" s="27" t="s">
        <v>115</v>
      </c>
      <c r="B1824" s="27" t="s">
        <v>110</v>
      </c>
      <c r="C1824" s="27" t="s">
        <v>48</v>
      </c>
      <c r="D1824" s="27" t="s">
        <v>43</v>
      </c>
      <c r="E1824" s="28" t="n">
        <f aca="false">ROUND((SUMIFS(Acerto_Detalhado!$F$2:$F$433,Acerto_Detalhado!$A$2:$A$433,$C1824,Acerto_Detalhado!$B$2:$B$433,"Mai",Acerto_Detalhado!$C$2:$C$433,"Umidade"))*(SUMIFS(Acerto_Detalhado!$I$2:$I$433,Acerto_Detalhado!$A$2:$A$433,$D1824,Acerto_Detalhado!$B$2:$B$433,"Mai",Acerto_Detalhado!$C$2:$C$433,"Umidade")),2)</f>
        <v>0</v>
      </c>
    </row>
    <row r="1825" customFormat="false" ht="15" hidden="false" customHeight="false" outlineLevel="0" collapsed="false">
      <c r="A1825" s="27" t="s">
        <v>115</v>
      </c>
      <c r="B1825" s="27" t="s">
        <v>110</v>
      </c>
      <c r="C1825" s="27" t="s">
        <v>48</v>
      </c>
      <c r="D1825" s="27" t="s">
        <v>44</v>
      </c>
      <c r="E1825" s="28" t="n">
        <f aca="false">ROUND((SUMIFS(Acerto_Detalhado!$F$2:$F$433,Acerto_Detalhado!$A$2:$A$433,$C1825,Acerto_Detalhado!$B$2:$B$433,"Mai",Acerto_Detalhado!$C$2:$C$433,"Umidade"))*(SUMIFS(Acerto_Detalhado!$I$2:$I$433,Acerto_Detalhado!$A$2:$A$433,$D1825,Acerto_Detalhado!$B$2:$B$433,"Mai",Acerto_Detalhado!$C$2:$C$433,"Umidade")),2)</f>
        <v>0</v>
      </c>
    </row>
    <row r="1826" customFormat="false" ht="15" hidden="false" customHeight="false" outlineLevel="0" collapsed="false">
      <c r="A1826" s="27" t="s">
        <v>115</v>
      </c>
      <c r="B1826" s="27" t="s">
        <v>110</v>
      </c>
      <c r="C1826" s="27" t="s">
        <v>48</v>
      </c>
      <c r="D1826" s="27" t="s">
        <v>45</v>
      </c>
      <c r="E1826" s="28" t="n">
        <f aca="false">ROUND((SUMIFS(Acerto_Detalhado!$F$2:$F$433,Acerto_Detalhado!$A$2:$A$433,$C1826,Acerto_Detalhado!$B$2:$B$433,"Mai",Acerto_Detalhado!$C$2:$C$433,"Umidade"))*(SUMIFS(Acerto_Detalhado!$I$2:$I$433,Acerto_Detalhado!$A$2:$A$433,$D1826,Acerto_Detalhado!$B$2:$B$433,"Mai",Acerto_Detalhado!$C$2:$C$433,"Umidade")),2)</f>
        <v>0</v>
      </c>
    </row>
    <row r="1827" customFormat="false" ht="15" hidden="false" customHeight="false" outlineLevel="0" collapsed="false">
      <c r="A1827" s="27" t="s">
        <v>115</v>
      </c>
      <c r="B1827" s="27" t="s">
        <v>110</v>
      </c>
      <c r="C1827" s="27" t="s">
        <v>48</v>
      </c>
      <c r="D1827" s="27" t="s">
        <v>46</v>
      </c>
      <c r="E1827" s="28" t="n">
        <f aca="false">ROUND((SUMIFS(Acerto_Detalhado!$F$2:$F$433,Acerto_Detalhado!$A$2:$A$433,$C1827,Acerto_Detalhado!$B$2:$B$433,"Mai",Acerto_Detalhado!$C$2:$C$433,"Umidade"))*(SUMIFS(Acerto_Detalhado!$I$2:$I$433,Acerto_Detalhado!$A$2:$A$433,$D1827,Acerto_Detalhado!$B$2:$B$433,"Mai",Acerto_Detalhado!$C$2:$C$433,"Umidade")),2)</f>
        <v>0</v>
      </c>
    </row>
    <row r="1828" customFormat="false" ht="15" hidden="false" customHeight="false" outlineLevel="0" collapsed="false">
      <c r="A1828" s="27" t="s">
        <v>115</v>
      </c>
      <c r="B1828" s="27" t="s">
        <v>110</v>
      </c>
      <c r="C1828" s="27" t="s">
        <v>48</v>
      </c>
      <c r="D1828" s="27" t="s">
        <v>47</v>
      </c>
      <c r="E1828" s="28" t="n">
        <f aca="false">ROUND((SUMIFS(Acerto_Detalhado!$F$2:$F$433,Acerto_Detalhado!$A$2:$A$433,$C1828,Acerto_Detalhado!$B$2:$B$433,"Mai",Acerto_Detalhado!$C$2:$C$433,"Umidade"))*(SUMIFS(Acerto_Detalhado!$I$2:$I$433,Acerto_Detalhado!$A$2:$A$433,$D1828,Acerto_Detalhado!$B$2:$B$433,"Mai",Acerto_Detalhado!$C$2:$C$433,"Umidade")),2)</f>
        <v>0</v>
      </c>
    </row>
    <row r="1829" customFormat="false" ht="15" hidden="false" customHeight="false" outlineLevel="0" collapsed="false">
      <c r="A1829" s="27" t="s">
        <v>115</v>
      </c>
      <c r="B1829" s="27" t="s">
        <v>110</v>
      </c>
      <c r="C1829" s="27" t="s">
        <v>48</v>
      </c>
      <c r="D1829" s="27" t="s">
        <v>49</v>
      </c>
      <c r="E1829" s="28" t="n">
        <f aca="false">ROUND((SUMIFS(Acerto_Detalhado!$F$2:$F$433,Acerto_Detalhado!$A$2:$A$433,$C1829,Acerto_Detalhado!$B$2:$B$433,"Mai",Acerto_Detalhado!$C$2:$C$433,"Umidade"))*(SUMIFS(Acerto_Detalhado!$I$2:$I$433,Acerto_Detalhado!$A$2:$A$433,$D1829,Acerto_Detalhado!$B$2:$B$433,"Mai",Acerto_Detalhado!$C$2:$C$433,"Umidade")),2)</f>
        <v>0</v>
      </c>
    </row>
    <row r="1830" customFormat="false" ht="15" hidden="false" customHeight="false" outlineLevel="0" collapsed="false">
      <c r="A1830" s="27" t="s">
        <v>115</v>
      </c>
      <c r="B1830" s="27" t="s">
        <v>110</v>
      </c>
      <c r="C1830" s="27" t="s">
        <v>48</v>
      </c>
      <c r="D1830" s="27" t="s">
        <v>50</v>
      </c>
      <c r="E1830" s="28" t="n">
        <f aca="false">ROUND((SUMIFS(Acerto_Detalhado!$F$2:$F$433,Acerto_Detalhado!$A$2:$A$433,$C1830,Acerto_Detalhado!$B$2:$B$433,"Mai",Acerto_Detalhado!$C$2:$C$433,"Umidade"))*(SUMIFS(Acerto_Detalhado!$I$2:$I$433,Acerto_Detalhado!$A$2:$A$433,$D1830,Acerto_Detalhado!$B$2:$B$433,"Mai",Acerto_Detalhado!$C$2:$C$433,"Umidade")),2)</f>
        <v>0</v>
      </c>
    </row>
    <row r="1831" customFormat="false" ht="15" hidden="false" customHeight="false" outlineLevel="0" collapsed="false">
      <c r="A1831" s="27" t="s">
        <v>115</v>
      </c>
      <c r="B1831" s="27" t="s">
        <v>110</v>
      </c>
      <c r="C1831" s="27" t="s">
        <v>49</v>
      </c>
      <c r="D1831" s="27" t="s">
        <v>39</v>
      </c>
      <c r="E1831" s="28" t="n">
        <f aca="false">ROUND((SUMIFS(Acerto_Detalhado!$F$2:$F$433,Acerto_Detalhado!$A$2:$A$433,$C1831,Acerto_Detalhado!$B$2:$B$433,"Mai",Acerto_Detalhado!$C$2:$C$433,"Umidade"))*(SUMIFS(Acerto_Detalhado!$I$2:$I$433,Acerto_Detalhado!$A$2:$A$433,$D1831,Acerto_Detalhado!$B$2:$B$433,"Mai",Acerto_Detalhado!$C$2:$C$433,"Umidade")),2)</f>
        <v>0</v>
      </c>
    </row>
    <row r="1832" customFormat="false" ht="15" hidden="false" customHeight="false" outlineLevel="0" collapsed="false">
      <c r="A1832" s="27" t="s">
        <v>115</v>
      </c>
      <c r="B1832" s="27" t="s">
        <v>110</v>
      </c>
      <c r="C1832" s="27" t="s">
        <v>49</v>
      </c>
      <c r="D1832" s="27" t="s">
        <v>40</v>
      </c>
      <c r="E1832" s="28" t="n">
        <f aca="false">ROUND((SUMIFS(Acerto_Detalhado!$F$2:$F$433,Acerto_Detalhado!$A$2:$A$433,$C1832,Acerto_Detalhado!$B$2:$B$433,"Mai",Acerto_Detalhado!$C$2:$C$433,"Umidade"))*(SUMIFS(Acerto_Detalhado!$I$2:$I$433,Acerto_Detalhado!$A$2:$A$433,$D1832,Acerto_Detalhado!$B$2:$B$433,"Mai",Acerto_Detalhado!$C$2:$C$433,"Umidade")),2)</f>
        <v>0</v>
      </c>
    </row>
    <row r="1833" customFormat="false" ht="15" hidden="false" customHeight="false" outlineLevel="0" collapsed="false">
      <c r="A1833" s="27" t="s">
        <v>115</v>
      </c>
      <c r="B1833" s="27" t="s">
        <v>110</v>
      </c>
      <c r="C1833" s="27" t="s">
        <v>49</v>
      </c>
      <c r="D1833" s="27" t="s">
        <v>41</v>
      </c>
      <c r="E1833" s="28" t="n">
        <f aca="false">ROUND((SUMIFS(Acerto_Detalhado!$F$2:$F$433,Acerto_Detalhado!$A$2:$A$433,$C1833,Acerto_Detalhado!$B$2:$B$433,"Mai",Acerto_Detalhado!$C$2:$C$433,"Umidade"))*(SUMIFS(Acerto_Detalhado!$I$2:$I$433,Acerto_Detalhado!$A$2:$A$433,$D1833,Acerto_Detalhado!$B$2:$B$433,"Mai",Acerto_Detalhado!$C$2:$C$433,"Umidade")),2)</f>
        <v>0</v>
      </c>
    </row>
    <row r="1834" customFormat="false" ht="15" hidden="false" customHeight="false" outlineLevel="0" collapsed="false">
      <c r="A1834" s="27" t="s">
        <v>115</v>
      </c>
      <c r="B1834" s="27" t="s">
        <v>110</v>
      </c>
      <c r="C1834" s="27" t="s">
        <v>49</v>
      </c>
      <c r="D1834" s="27" t="s">
        <v>42</v>
      </c>
      <c r="E1834" s="28" t="n">
        <f aca="false">ROUND((SUMIFS(Acerto_Detalhado!$F$2:$F$433,Acerto_Detalhado!$A$2:$A$433,$C1834,Acerto_Detalhado!$B$2:$B$433,"Mai",Acerto_Detalhado!$C$2:$C$433,"Umidade"))*(SUMIFS(Acerto_Detalhado!$I$2:$I$433,Acerto_Detalhado!$A$2:$A$433,$D1834,Acerto_Detalhado!$B$2:$B$433,"Mai",Acerto_Detalhado!$C$2:$C$433,"Umidade")),2)</f>
        <v>0</v>
      </c>
    </row>
    <row r="1835" customFormat="false" ht="15" hidden="false" customHeight="false" outlineLevel="0" collapsed="false">
      <c r="A1835" s="27" t="s">
        <v>115</v>
      </c>
      <c r="B1835" s="27" t="s">
        <v>110</v>
      </c>
      <c r="C1835" s="27" t="s">
        <v>49</v>
      </c>
      <c r="D1835" s="27" t="s">
        <v>43</v>
      </c>
      <c r="E1835" s="28" t="n">
        <f aca="false">ROUND((SUMIFS(Acerto_Detalhado!$F$2:$F$433,Acerto_Detalhado!$A$2:$A$433,$C1835,Acerto_Detalhado!$B$2:$B$433,"Mai",Acerto_Detalhado!$C$2:$C$433,"Umidade"))*(SUMIFS(Acerto_Detalhado!$I$2:$I$433,Acerto_Detalhado!$A$2:$A$433,$D1835,Acerto_Detalhado!$B$2:$B$433,"Mai",Acerto_Detalhado!$C$2:$C$433,"Umidade")),2)</f>
        <v>0</v>
      </c>
    </row>
    <row r="1836" customFormat="false" ht="15" hidden="false" customHeight="false" outlineLevel="0" collapsed="false">
      <c r="A1836" s="27" t="s">
        <v>115</v>
      </c>
      <c r="B1836" s="27" t="s">
        <v>110</v>
      </c>
      <c r="C1836" s="27" t="s">
        <v>49</v>
      </c>
      <c r="D1836" s="27" t="s">
        <v>44</v>
      </c>
      <c r="E1836" s="28" t="n">
        <f aca="false">ROUND((SUMIFS(Acerto_Detalhado!$F$2:$F$433,Acerto_Detalhado!$A$2:$A$433,$C1836,Acerto_Detalhado!$B$2:$B$433,"Mai",Acerto_Detalhado!$C$2:$C$433,"Umidade"))*(SUMIFS(Acerto_Detalhado!$I$2:$I$433,Acerto_Detalhado!$A$2:$A$433,$D1836,Acerto_Detalhado!$B$2:$B$433,"Mai",Acerto_Detalhado!$C$2:$C$433,"Umidade")),2)</f>
        <v>0</v>
      </c>
    </row>
    <row r="1837" customFormat="false" ht="15" hidden="false" customHeight="false" outlineLevel="0" collapsed="false">
      <c r="A1837" s="27" t="s">
        <v>115</v>
      </c>
      <c r="B1837" s="27" t="s">
        <v>110</v>
      </c>
      <c r="C1837" s="27" t="s">
        <v>49</v>
      </c>
      <c r="D1837" s="27" t="s">
        <v>45</v>
      </c>
      <c r="E1837" s="28" t="n">
        <f aca="false">ROUND((SUMIFS(Acerto_Detalhado!$F$2:$F$433,Acerto_Detalhado!$A$2:$A$433,$C1837,Acerto_Detalhado!$B$2:$B$433,"Mai",Acerto_Detalhado!$C$2:$C$433,"Umidade"))*(SUMIFS(Acerto_Detalhado!$I$2:$I$433,Acerto_Detalhado!$A$2:$A$433,$D1837,Acerto_Detalhado!$B$2:$B$433,"Mai",Acerto_Detalhado!$C$2:$C$433,"Umidade")),2)</f>
        <v>0</v>
      </c>
    </row>
    <row r="1838" customFormat="false" ht="15" hidden="false" customHeight="false" outlineLevel="0" collapsed="false">
      <c r="A1838" s="27" t="s">
        <v>115</v>
      </c>
      <c r="B1838" s="27" t="s">
        <v>110</v>
      </c>
      <c r="C1838" s="27" t="s">
        <v>49</v>
      </c>
      <c r="D1838" s="27" t="s">
        <v>46</v>
      </c>
      <c r="E1838" s="28" t="n">
        <f aca="false">ROUND((SUMIFS(Acerto_Detalhado!$F$2:$F$433,Acerto_Detalhado!$A$2:$A$433,$C1838,Acerto_Detalhado!$B$2:$B$433,"Mai",Acerto_Detalhado!$C$2:$C$433,"Umidade"))*(SUMIFS(Acerto_Detalhado!$I$2:$I$433,Acerto_Detalhado!$A$2:$A$433,$D1838,Acerto_Detalhado!$B$2:$B$433,"Mai",Acerto_Detalhado!$C$2:$C$433,"Umidade")),2)</f>
        <v>0</v>
      </c>
    </row>
    <row r="1839" customFormat="false" ht="15" hidden="false" customHeight="false" outlineLevel="0" collapsed="false">
      <c r="A1839" s="27" t="s">
        <v>115</v>
      </c>
      <c r="B1839" s="27" t="s">
        <v>110</v>
      </c>
      <c r="C1839" s="27" t="s">
        <v>49</v>
      </c>
      <c r="D1839" s="27" t="s">
        <v>47</v>
      </c>
      <c r="E1839" s="28" t="n">
        <f aca="false">ROUND((SUMIFS(Acerto_Detalhado!$F$2:$F$433,Acerto_Detalhado!$A$2:$A$433,$C1839,Acerto_Detalhado!$B$2:$B$433,"Mai",Acerto_Detalhado!$C$2:$C$433,"Umidade"))*(SUMIFS(Acerto_Detalhado!$I$2:$I$433,Acerto_Detalhado!$A$2:$A$433,$D1839,Acerto_Detalhado!$B$2:$B$433,"Mai",Acerto_Detalhado!$C$2:$C$433,"Umidade")),2)</f>
        <v>0</v>
      </c>
    </row>
    <row r="1840" customFormat="false" ht="15" hidden="false" customHeight="false" outlineLevel="0" collapsed="false">
      <c r="A1840" s="27" t="s">
        <v>115</v>
      </c>
      <c r="B1840" s="27" t="s">
        <v>110</v>
      </c>
      <c r="C1840" s="27" t="s">
        <v>49</v>
      </c>
      <c r="D1840" s="27" t="s">
        <v>48</v>
      </c>
      <c r="E1840" s="28" t="n">
        <f aca="false">ROUND((SUMIFS(Acerto_Detalhado!$F$2:$F$433,Acerto_Detalhado!$A$2:$A$433,$C1840,Acerto_Detalhado!$B$2:$B$433,"Mai",Acerto_Detalhado!$C$2:$C$433,"Umidade"))*(SUMIFS(Acerto_Detalhado!$I$2:$I$433,Acerto_Detalhado!$A$2:$A$433,$D1840,Acerto_Detalhado!$B$2:$B$433,"Mai",Acerto_Detalhado!$C$2:$C$433,"Umidade")),2)</f>
        <v>0</v>
      </c>
    </row>
    <row r="1841" customFormat="false" ht="15" hidden="false" customHeight="false" outlineLevel="0" collapsed="false">
      <c r="A1841" s="27" t="s">
        <v>115</v>
      </c>
      <c r="B1841" s="27" t="s">
        <v>110</v>
      </c>
      <c r="C1841" s="27" t="s">
        <v>49</v>
      </c>
      <c r="D1841" s="27" t="s">
        <v>50</v>
      </c>
      <c r="E1841" s="28" t="n">
        <f aca="false">ROUND((SUMIFS(Acerto_Detalhado!$F$2:$F$433,Acerto_Detalhado!$A$2:$A$433,$C1841,Acerto_Detalhado!$B$2:$B$433,"Mai",Acerto_Detalhado!$C$2:$C$433,"Umidade"))*(SUMIFS(Acerto_Detalhado!$I$2:$I$433,Acerto_Detalhado!$A$2:$A$433,$D1841,Acerto_Detalhado!$B$2:$B$433,"Mai",Acerto_Detalhado!$C$2:$C$433,"Umidade")),2)</f>
        <v>0</v>
      </c>
    </row>
    <row r="1842" customFormat="false" ht="15" hidden="false" customHeight="false" outlineLevel="0" collapsed="false">
      <c r="A1842" s="27" t="s">
        <v>115</v>
      </c>
      <c r="B1842" s="27" t="s">
        <v>110</v>
      </c>
      <c r="C1842" s="27" t="s">
        <v>50</v>
      </c>
      <c r="D1842" s="27" t="s">
        <v>39</v>
      </c>
      <c r="E1842" s="28" t="n">
        <f aca="false">ROUND((SUMIFS(Acerto_Detalhado!$F$2:$F$433,Acerto_Detalhado!$A$2:$A$433,$C1842,Acerto_Detalhado!$B$2:$B$433,"Mai",Acerto_Detalhado!$C$2:$C$433,"Umidade"))*(SUMIFS(Acerto_Detalhado!$I$2:$I$433,Acerto_Detalhado!$A$2:$A$433,$D1842,Acerto_Detalhado!$B$2:$B$433,"Mai",Acerto_Detalhado!$C$2:$C$433,"Umidade")),2)</f>
        <v>0</v>
      </c>
    </row>
    <row r="1843" customFormat="false" ht="15" hidden="false" customHeight="false" outlineLevel="0" collapsed="false">
      <c r="A1843" s="27" t="s">
        <v>115</v>
      </c>
      <c r="B1843" s="27" t="s">
        <v>110</v>
      </c>
      <c r="C1843" s="27" t="s">
        <v>50</v>
      </c>
      <c r="D1843" s="27" t="s">
        <v>40</v>
      </c>
      <c r="E1843" s="28" t="n">
        <f aca="false">ROUND((SUMIFS(Acerto_Detalhado!$F$2:$F$433,Acerto_Detalhado!$A$2:$A$433,$C1843,Acerto_Detalhado!$B$2:$B$433,"Mai",Acerto_Detalhado!$C$2:$C$433,"Umidade"))*(SUMIFS(Acerto_Detalhado!$I$2:$I$433,Acerto_Detalhado!$A$2:$A$433,$D1843,Acerto_Detalhado!$B$2:$B$433,"Mai",Acerto_Detalhado!$C$2:$C$433,"Umidade")),2)</f>
        <v>0</v>
      </c>
    </row>
    <row r="1844" customFormat="false" ht="15" hidden="false" customHeight="false" outlineLevel="0" collapsed="false">
      <c r="A1844" s="27" t="s">
        <v>115</v>
      </c>
      <c r="B1844" s="27" t="s">
        <v>110</v>
      </c>
      <c r="C1844" s="27" t="s">
        <v>50</v>
      </c>
      <c r="D1844" s="27" t="s">
        <v>41</v>
      </c>
      <c r="E1844" s="28" t="n">
        <f aca="false">ROUND((SUMIFS(Acerto_Detalhado!$F$2:$F$433,Acerto_Detalhado!$A$2:$A$433,$C1844,Acerto_Detalhado!$B$2:$B$433,"Mai",Acerto_Detalhado!$C$2:$C$433,"Umidade"))*(SUMIFS(Acerto_Detalhado!$I$2:$I$433,Acerto_Detalhado!$A$2:$A$433,$D1844,Acerto_Detalhado!$B$2:$B$433,"Mai",Acerto_Detalhado!$C$2:$C$433,"Umidade")),2)</f>
        <v>0</v>
      </c>
    </row>
    <row r="1845" customFormat="false" ht="15" hidden="false" customHeight="false" outlineLevel="0" collapsed="false">
      <c r="A1845" s="27" t="s">
        <v>115</v>
      </c>
      <c r="B1845" s="27" t="s">
        <v>110</v>
      </c>
      <c r="C1845" s="27" t="s">
        <v>50</v>
      </c>
      <c r="D1845" s="27" t="s">
        <v>42</v>
      </c>
      <c r="E1845" s="28" t="n">
        <f aca="false">ROUND((SUMIFS(Acerto_Detalhado!$F$2:$F$433,Acerto_Detalhado!$A$2:$A$433,$C1845,Acerto_Detalhado!$B$2:$B$433,"Mai",Acerto_Detalhado!$C$2:$C$433,"Umidade"))*(SUMIFS(Acerto_Detalhado!$I$2:$I$433,Acerto_Detalhado!$A$2:$A$433,$D1845,Acerto_Detalhado!$B$2:$B$433,"Mai",Acerto_Detalhado!$C$2:$C$433,"Umidade")),2)</f>
        <v>0</v>
      </c>
    </row>
    <row r="1846" customFormat="false" ht="15" hidden="false" customHeight="false" outlineLevel="0" collapsed="false">
      <c r="A1846" s="27" t="s">
        <v>115</v>
      </c>
      <c r="B1846" s="27" t="s">
        <v>110</v>
      </c>
      <c r="C1846" s="27" t="s">
        <v>50</v>
      </c>
      <c r="D1846" s="27" t="s">
        <v>43</v>
      </c>
      <c r="E1846" s="28" t="n">
        <f aca="false">ROUND((SUMIFS(Acerto_Detalhado!$F$2:$F$433,Acerto_Detalhado!$A$2:$A$433,$C1846,Acerto_Detalhado!$B$2:$B$433,"Mai",Acerto_Detalhado!$C$2:$C$433,"Umidade"))*(SUMIFS(Acerto_Detalhado!$I$2:$I$433,Acerto_Detalhado!$A$2:$A$433,$D1846,Acerto_Detalhado!$B$2:$B$433,"Mai",Acerto_Detalhado!$C$2:$C$433,"Umidade")),2)</f>
        <v>0</v>
      </c>
    </row>
    <row r="1847" customFormat="false" ht="15" hidden="false" customHeight="false" outlineLevel="0" collapsed="false">
      <c r="A1847" s="27" t="s">
        <v>115</v>
      </c>
      <c r="B1847" s="27" t="s">
        <v>110</v>
      </c>
      <c r="C1847" s="27" t="s">
        <v>50</v>
      </c>
      <c r="D1847" s="27" t="s">
        <v>44</v>
      </c>
      <c r="E1847" s="28" t="n">
        <f aca="false">ROUND((SUMIFS(Acerto_Detalhado!$F$2:$F$433,Acerto_Detalhado!$A$2:$A$433,$C1847,Acerto_Detalhado!$B$2:$B$433,"Mai",Acerto_Detalhado!$C$2:$C$433,"Umidade"))*(SUMIFS(Acerto_Detalhado!$I$2:$I$433,Acerto_Detalhado!$A$2:$A$433,$D1847,Acerto_Detalhado!$B$2:$B$433,"Mai",Acerto_Detalhado!$C$2:$C$433,"Umidade")),2)</f>
        <v>0</v>
      </c>
    </row>
    <row r="1848" customFormat="false" ht="15" hidden="false" customHeight="false" outlineLevel="0" collapsed="false">
      <c r="A1848" s="27" t="s">
        <v>115</v>
      </c>
      <c r="B1848" s="27" t="s">
        <v>110</v>
      </c>
      <c r="C1848" s="27" t="s">
        <v>50</v>
      </c>
      <c r="D1848" s="27" t="s">
        <v>45</v>
      </c>
      <c r="E1848" s="28" t="n">
        <f aca="false">ROUND((SUMIFS(Acerto_Detalhado!$F$2:$F$433,Acerto_Detalhado!$A$2:$A$433,$C1848,Acerto_Detalhado!$B$2:$B$433,"Mai",Acerto_Detalhado!$C$2:$C$433,"Umidade"))*(SUMIFS(Acerto_Detalhado!$I$2:$I$433,Acerto_Detalhado!$A$2:$A$433,$D1848,Acerto_Detalhado!$B$2:$B$433,"Mai",Acerto_Detalhado!$C$2:$C$433,"Umidade")),2)</f>
        <v>0</v>
      </c>
    </row>
    <row r="1849" customFormat="false" ht="15" hidden="false" customHeight="false" outlineLevel="0" collapsed="false">
      <c r="A1849" s="27" t="s">
        <v>115</v>
      </c>
      <c r="B1849" s="27" t="s">
        <v>110</v>
      </c>
      <c r="C1849" s="27" t="s">
        <v>50</v>
      </c>
      <c r="D1849" s="27" t="s">
        <v>46</v>
      </c>
      <c r="E1849" s="28" t="n">
        <f aca="false">ROUND((SUMIFS(Acerto_Detalhado!$F$2:$F$433,Acerto_Detalhado!$A$2:$A$433,$C1849,Acerto_Detalhado!$B$2:$B$433,"Mai",Acerto_Detalhado!$C$2:$C$433,"Umidade"))*(SUMIFS(Acerto_Detalhado!$I$2:$I$433,Acerto_Detalhado!$A$2:$A$433,$D1849,Acerto_Detalhado!$B$2:$B$433,"Mai",Acerto_Detalhado!$C$2:$C$433,"Umidade")),2)</f>
        <v>0</v>
      </c>
    </row>
    <row r="1850" customFormat="false" ht="15" hidden="false" customHeight="false" outlineLevel="0" collapsed="false">
      <c r="A1850" s="27" t="s">
        <v>115</v>
      </c>
      <c r="B1850" s="27" t="s">
        <v>110</v>
      </c>
      <c r="C1850" s="27" t="s">
        <v>50</v>
      </c>
      <c r="D1850" s="27" t="s">
        <v>47</v>
      </c>
      <c r="E1850" s="28" t="n">
        <f aca="false">ROUND((SUMIFS(Acerto_Detalhado!$F$2:$F$433,Acerto_Detalhado!$A$2:$A$433,$C1850,Acerto_Detalhado!$B$2:$B$433,"Mai",Acerto_Detalhado!$C$2:$C$433,"Umidade"))*(SUMIFS(Acerto_Detalhado!$I$2:$I$433,Acerto_Detalhado!$A$2:$A$433,$D1850,Acerto_Detalhado!$B$2:$B$433,"Mai",Acerto_Detalhado!$C$2:$C$433,"Umidade")),2)</f>
        <v>0</v>
      </c>
    </row>
    <row r="1851" customFormat="false" ht="15" hidden="false" customHeight="false" outlineLevel="0" collapsed="false">
      <c r="A1851" s="27" t="s">
        <v>115</v>
      </c>
      <c r="B1851" s="27" t="s">
        <v>110</v>
      </c>
      <c r="C1851" s="27" t="s">
        <v>50</v>
      </c>
      <c r="D1851" s="27" t="s">
        <v>48</v>
      </c>
      <c r="E1851" s="28" t="n">
        <f aca="false">ROUND((SUMIFS(Acerto_Detalhado!$F$2:$F$433,Acerto_Detalhado!$A$2:$A$433,$C1851,Acerto_Detalhado!$B$2:$B$433,"Mai",Acerto_Detalhado!$C$2:$C$433,"Umidade"))*(SUMIFS(Acerto_Detalhado!$I$2:$I$433,Acerto_Detalhado!$A$2:$A$433,$D1851,Acerto_Detalhado!$B$2:$B$433,"Mai",Acerto_Detalhado!$C$2:$C$433,"Umidade")),2)</f>
        <v>0</v>
      </c>
    </row>
    <row r="1852" customFormat="false" ht="15" hidden="false" customHeight="false" outlineLevel="0" collapsed="false">
      <c r="A1852" s="27" t="s">
        <v>115</v>
      </c>
      <c r="B1852" s="27" t="s">
        <v>110</v>
      </c>
      <c r="C1852" s="27" t="s">
        <v>50</v>
      </c>
      <c r="D1852" s="27" t="s">
        <v>49</v>
      </c>
      <c r="E1852" s="28" t="n">
        <f aca="false">ROUND((SUMIFS(Acerto_Detalhado!$F$2:$F$433,Acerto_Detalhado!$A$2:$A$433,$C1852,Acerto_Detalhado!$B$2:$B$433,"Mai",Acerto_Detalhado!$C$2:$C$433,"Umidade"))*(SUMIFS(Acerto_Detalhado!$I$2:$I$433,Acerto_Detalhado!$A$2:$A$433,$D1852,Acerto_Detalhado!$B$2:$B$433,"Mai",Acerto_Detalhado!$C$2:$C$433,"Umidade")),2)</f>
        <v>0</v>
      </c>
    </row>
    <row r="1853" customFormat="false" ht="15" hidden="false" customHeight="false" outlineLevel="0" collapsed="false">
      <c r="A1853" s="27" t="s">
        <v>115</v>
      </c>
      <c r="B1853" s="27" t="s">
        <v>111</v>
      </c>
      <c r="C1853" s="27" t="s">
        <v>39</v>
      </c>
      <c r="D1853" s="27" t="s">
        <v>40</v>
      </c>
      <c r="E1853" s="28" t="n">
        <f aca="false">ROUND((SUMIFS(Acerto_Detalhado!$F$2:$F$433,Acerto_Detalhado!$A$2:$A$433,$C1853,Acerto_Detalhado!$B$2:$B$433,"Mai",Acerto_Detalhado!$C$2:$C$433,"Fibra"))*(SUMIFS(Acerto_Detalhado!$I$2:$I$433,Acerto_Detalhado!$A$2:$A$433,$D1853,Acerto_Detalhado!$B$2:$B$433,"Mai",Acerto_Detalhado!$C$2:$C$433,"Fibra")),2)</f>
        <v>0</v>
      </c>
    </row>
    <row r="1854" customFormat="false" ht="15" hidden="false" customHeight="false" outlineLevel="0" collapsed="false">
      <c r="A1854" s="27" t="s">
        <v>115</v>
      </c>
      <c r="B1854" s="27" t="s">
        <v>111</v>
      </c>
      <c r="C1854" s="27" t="s">
        <v>39</v>
      </c>
      <c r="D1854" s="27" t="s">
        <v>41</v>
      </c>
      <c r="E1854" s="28" t="n">
        <f aca="false">ROUND((SUMIFS(Acerto_Detalhado!$F$2:$F$433,Acerto_Detalhado!$A$2:$A$433,$C1854,Acerto_Detalhado!$B$2:$B$433,"Mai",Acerto_Detalhado!$C$2:$C$433,"Fibra"))*(SUMIFS(Acerto_Detalhado!$I$2:$I$433,Acerto_Detalhado!$A$2:$A$433,$D1854,Acerto_Detalhado!$B$2:$B$433,"Mai",Acerto_Detalhado!$C$2:$C$433,"Fibra")),2)</f>
        <v>0</v>
      </c>
    </row>
    <row r="1855" customFormat="false" ht="15" hidden="false" customHeight="false" outlineLevel="0" collapsed="false">
      <c r="A1855" s="27" t="s">
        <v>115</v>
      </c>
      <c r="B1855" s="27" t="s">
        <v>111</v>
      </c>
      <c r="C1855" s="27" t="s">
        <v>39</v>
      </c>
      <c r="D1855" s="27" t="s">
        <v>42</v>
      </c>
      <c r="E1855" s="28" t="n">
        <f aca="false">ROUND((SUMIFS(Acerto_Detalhado!$F$2:$F$433,Acerto_Detalhado!$A$2:$A$433,$C1855,Acerto_Detalhado!$B$2:$B$433,"Mai",Acerto_Detalhado!$C$2:$C$433,"Fibra"))*(SUMIFS(Acerto_Detalhado!$I$2:$I$433,Acerto_Detalhado!$A$2:$A$433,$D1855,Acerto_Detalhado!$B$2:$B$433,"Mai",Acerto_Detalhado!$C$2:$C$433,"Fibra")),2)</f>
        <v>0</v>
      </c>
    </row>
    <row r="1856" customFormat="false" ht="15" hidden="false" customHeight="false" outlineLevel="0" collapsed="false">
      <c r="A1856" s="27" t="s">
        <v>115</v>
      </c>
      <c r="B1856" s="27" t="s">
        <v>111</v>
      </c>
      <c r="C1856" s="27" t="s">
        <v>39</v>
      </c>
      <c r="D1856" s="27" t="s">
        <v>43</v>
      </c>
      <c r="E1856" s="28" t="n">
        <f aca="false">ROUND((SUMIFS(Acerto_Detalhado!$F$2:$F$433,Acerto_Detalhado!$A$2:$A$433,$C1856,Acerto_Detalhado!$B$2:$B$433,"Mai",Acerto_Detalhado!$C$2:$C$433,"Fibra"))*(SUMIFS(Acerto_Detalhado!$I$2:$I$433,Acerto_Detalhado!$A$2:$A$433,$D1856,Acerto_Detalhado!$B$2:$B$433,"Mai",Acerto_Detalhado!$C$2:$C$433,"Fibra")),2)</f>
        <v>0</v>
      </c>
    </row>
    <row r="1857" customFormat="false" ht="15" hidden="false" customHeight="false" outlineLevel="0" collapsed="false">
      <c r="A1857" s="27" t="s">
        <v>115</v>
      </c>
      <c r="B1857" s="27" t="s">
        <v>111</v>
      </c>
      <c r="C1857" s="27" t="s">
        <v>39</v>
      </c>
      <c r="D1857" s="27" t="s">
        <v>44</v>
      </c>
      <c r="E1857" s="28" t="n">
        <f aca="false">ROUND((SUMIFS(Acerto_Detalhado!$F$2:$F$433,Acerto_Detalhado!$A$2:$A$433,$C1857,Acerto_Detalhado!$B$2:$B$433,"Mai",Acerto_Detalhado!$C$2:$C$433,"Fibra"))*(SUMIFS(Acerto_Detalhado!$I$2:$I$433,Acerto_Detalhado!$A$2:$A$433,$D1857,Acerto_Detalhado!$B$2:$B$433,"Mai",Acerto_Detalhado!$C$2:$C$433,"Fibra")),2)</f>
        <v>0</v>
      </c>
    </row>
    <row r="1858" customFormat="false" ht="15" hidden="false" customHeight="false" outlineLevel="0" collapsed="false">
      <c r="A1858" s="27" t="s">
        <v>115</v>
      </c>
      <c r="B1858" s="27" t="s">
        <v>111</v>
      </c>
      <c r="C1858" s="27" t="s">
        <v>39</v>
      </c>
      <c r="D1858" s="27" t="s">
        <v>45</v>
      </c>
      <c r="E1858" s="28" t="n">
        <f aca="false">ROUND((SUMIFS(Acerto_Detalhado!$F$2:$F$433,Acerto_Detalhado!$A$2:$A$433,$C1858,Acerto_Detalhado!$B$2:$B$433,"Mai",Acerto_Detalhado!$C$2:$C$433,"Fibra"))*(SUMIFS(Acerto_Detalhado!$I$2:$I$433,Acerto_Detalhado!$A$2:$A$433,$D1858,Acerto_Detalhado!$B$2:$B$433,"Mai",Acerto_Detalhado!$C$2:$C$433,"Fibra")),2)</f>
        <v>0</v>
      </c>
    </row>
    <row r="1859" customFormat="false" ht="15" hidden="false" customHeight="false" outlineLevel="0" collapsed="false">
      <c r="A1859" s="27" t="s">
        <v>115</v>
      </c>
      <c r="B1859" s="27" t="s">
        <v>111</v>
      </c>
      <c r="C1859" s="27" t="s">
        <v>39</v>
      </c>
      <c r="D1859" s="27" t="s">
        <v>46</v>
      </c>
      <c r="E1859" s="28" t="n">
        <f aca="false">ROUND((SUMIFS(Acerto_Detalhado!$F$2:$F$433,Acerto_Detalhado!$A$2:$A$433,$C1859,Acerto_Detalhado!$B$2:$B$433,"Mai",Acerto_Detalhado!$C$2:$C$433,"Fibra"))*(SUMIFS(Acerto_Detalhado!$I$2:$I$433,Acerto_Detalhado!$A$2:$A$433,$D1859,Acerto_Detalhado!$B$2:$B$433,"Mai",Acerto_Detalhado!$C$2:$C$433,"Fibra")),2)</f>
        <v>0</v>
      </c>
    </row>
    <row r="1860" customFormat="false" ht="15" hidden="false" customHeight="false" outlineLevel="0" collapsed="false">
      <c r="A1860" s="27" t="s">
        <v>115</v>
      </c>
      <c r="B1860" s="27" t="s">
        <v>111</v>
      </c>
      <c r="C1860" s="27" t="s">
        <v>39</v>
      </c>
      <c r="D1860" s="27" t="s">
        <v>47</v>
      </c>
      <c r="E1860" s="28" t="n">
        <f aca="false">ROUND((SUMIFS(Acerto_Detalhado!$F$2:$F$433,Acerto_Detalhado!$A$2:$A$433,$C1860,Acerto_Detalhado!$B$2:$B$433,"Mai",Acerto_Detalhado!$C$2:$C$433,"Fibra"))*(SUMIFS(Acerto_Detalhado!$I$2:$I$433,Acerto_Detalhado!$A$2:$A$433,$D1860,Acerto_Detalhado!$B$2:$B$433,"Mai",Acerto_Detalhado!$C$2:$C$433,"Fibra")),2)</f>
        <v>0</v>
      </c>
    </row>
    <row r="1861" customFormat="false" ht="15" hidden="false" customHeight="false" outlineLevel="0" collapsed="false">
      <c r="A1861" s="27" t="s">
        <v>115</v>
      </c>
      <c r="B1861" s="27" t="s">
        <v>111</v>
      </c>
      <c r="C1861" s="27" t="s">
        <v>39</v>
      </c>
      <c r="D1861" s="27" t="s">
        <v>48</v>
      </c>
      <c r="E1861" s="28" t="n">
        <f aca="false">ROUND((SUMIFS(Acerto_Detalhado!$F$2:$F$433,Acerto_Detalhado!$A$2:$A$433,$C1861,Acerto_Detalhado!$B$2:$B$433,"Mai",Acerto_Detalhado!$C$2:$C$433,"Fibra"))*(SUMIFS(Acerto_Detalhado!$I$2:$I$433,Acerto_Detalhado!$A$2:$A$433,$D1861,Acerto_Detalhado!$B$2:$B$433,"Mai",Acerto_Detalhado!$C$2:$C$433,"Fibra")),2)</f>
        <v>0</v>
      </c>
    </row>
    <row r="1862" customFormat="false" ht="15" hidden="false" customHeight="false" outlineLevel="0" collapsed="false">
      <c r="A1862" s="27" t="s">
        <v>115</v>
      </c>
      <c r="B1862" s="27" t="s">
        <v>111</v>
      </c>
      <c r="C1862" s="27" t="s">
        <v>39</v>
      </c>
      <c r="D1862" s="27" t="s">
        <v>49</v>
      </c>
      <c r="E1862" s="28" t="n">
        <f aca="false">ROUND((SUMIFS(Acerto_Detalhado!$F$2:$F$433,Acerto_Detalhado!$A$2:$A$433,$C1862,Acerto_Detalhado!$B$2:$B$433,"Mai",Acerto_Detalhado!$C$2:$C$433,"Fibra"))*(SUMIFS(Acerto_Detalhado!$I$2:$I$433,Acerto_Detalhado!$A$2:$A$433,$D1862,Acerto_Detalhado!$B$2:$B$433,"Mai",Acerto_Detalhado!$C$2:$C$433,"Fibra")),2)</f>
        <v>0</v>
      </c>
    </row>
    <row r="1863" customFormat="false" ht="15" hidden="false" customHeight="false" outlineLevel="0" collapsed="false">
      <c r="A1863" s="27" t="s">
        <v>115</v>
      </c>
      <c r="B1863" s="27" t="s">
        <v>111</v>
      </c>
      <c r="C1863" s="27" t="s">
        <v>39</v>
      </c>
      <c r="D1863" s="27" t="s">
        <v>50</v>
      </c>
      <c r="E1863" s="28" t="n">
        <f aca="false">ROUND((SUMIFS(Acerto_Detalhado!$F$2:$F$433,Acerto_Detalhado!$A$2:$A$433,$C1863,Acerto_Detalhado!$B$2:$B$433,"Mai",Acerto_Detalhado!$C$2:$C$433,"Fibra"))*(SUMIFS(Acerto_Detalhado!$I$2:$I$433,Acerto_Detalhado!$A$2:$A$433,$D1863,Acerto_Detalhado!$B$2:$B$433,"Mai",Acerto_Detalhado!$C$2:$C$433,"Fibra")),2)</f>
        <v>0</v>
      </c>
    </row>
    <row r="1864" customFormat="false" ht="15" hidden="false" customHeight="false" outlineLevel="0" collapsed="false">
      <c r="A1864" s="27" t="s">
        <v>115</v>
      </c>
      <c r="B1864" s="27" t="s">
        <v>111</v>
      </c>
      <c r="C1864" s="27" t="s">
        <v>40</v>
      </c>
      <c r="D1864" s="27" t="s">
        <v>39</v>
      </c>
      <c r="E1864" s="28" t="n">
        <f aca="false">ROUND((SUMIFS(Acerto_Detalhado!$F$2:$F$433,Acerto_Detalhado!$A$2:$A$433,$C1864,Acerto_Detalhado!$B$2:$B$433,"Mai",Acerto_Detalhado!$C$2:$C$433,"Fibra"))*(SUMIFS(Acerto_Detalhado!$I$2:$I$433,Acerto_Detalhado!$A$2:$A$433,$D1864,Acerto_Detalhado!$B$2:$B$433,"Mai",Acerto_Detalhado!$C$2:$C$433,"Fibra")),2)</f>
        <v>0</v>
      </c>
    </row>
    <row r="1865" customFormat="false" ht="15" hidden="false" customHeight="false" outlineLevel="0" collapsed="false">
      <c r="A1865" s="27" t="s">
        <v>115</v>
      </c>
      <c r="B1865" s="27" t="s">
        <v>111</v>
      </c>
      <c r="C1865" s="27" t="s">
        <v>40</v>
      </c>
      <c r="D1865" s="27" t="s">
        <v>41</v>
      </c>
      <c r="E1865" s="28" t="n">
        <f aca="false">ROUND((SUMIFS(Acerto_Detalhado!$F$2:$F$433,Acerto_Detalhado!$A$2:$A$433,$C1865,Acerto_Detalhado!$B$2:$B$433,"Mai",Acerto_Detalhado!$C$2:$C$433,"Fibra"))*(SUMIFS(Acerto_Detalhado!$I$2:$I$433,Acerto_Detalhado!$A$2:$A$433,$D1865,Acerto_Detalhado!$B$2:$B$433,"Mai",Acerto_Detalhado!$C$2:$C$433,"Fibra")),2)</f>
        <v>0</v>
      </c>
    </row>
    <row r="1866" customFormat="false" ht="15" hidden="false" customHeight="false" outlineLevel="0" collapsed="false">
      <c r="A1866" s="27" t="s">
        <v>115</v>
      </c>
      <c r="B1866" s="27" t="s">
        <v>111</v>
      </c>
      <c r="C1866" s="27" t="s">
        <v>40</v>
      </c>
      <c r="D1866" s="27" t="s">
        <v>42</v>
      </c>
      <c r="E1866" s="28" t="n">
        <f aca="false">ROUND((SUMIFS(Acerto_Detalhado!$F$2:$F$433,Acerto_Detalhado!$A$2:$A$433,$C1866,Acerto_Detalhado!$B$2:$B$433,"Mai",Acerto_Detalhado!$C$2:$C$433,"Fibra"))*(SUMIFS(Acerto_Detalhado!$I$2:$I$433,Acerto_Detalhado!$A$2:$A$433,$D1866,Acerto_Detalhado!$B$2:$B$433,"Mai",Acerto_Detalhado!$C$2:$C$433,"Fibra")),2)</f>
        <v>0</v>
      </c>
    </row>
    <row r="1867" customFormat="false" ht="15" hidden="false" customHeight="false" outlineLevel="0" collapsed="false">
      <c r="A1867" s="27" t="s">
        <v>115</v>
      </c>
      <c r="B1867" s="27" t="s">
        <v>111</v>
      </c>
      <c r="C1867" s="27" t="s">
        <v>40</v>
      </c>
      <c r="D1867" s="27" t="s">
        <v>43</v>
      </c>
      <c r="E1867" s="28" t="n">
        <f aca="false">ROUND((SUMIFS(Acerto_Detalhado!$F$2:$F$433,Acerto_Detalhado!$A$2:$A$433,$C1867,Acerto_Detalhado!$B$2:$B$433,"Mai",Acerto_Detalhado!$C$2:$C$433,"Fibra"))*(SUMIFS(Acerto_Detalhado!$I$2:$I$433,Acerto_Detalhado!$A$2:$A$433,$D1867,Acerto_Detalhado!$B$2:$B$433,"Mai",Acerto_Detalhado!$C$2:$C$433,"Fibra")),2)</f>
        <v>0</v>
      </c>
    </row>
    <row r="1868" customFormat="false" ht="15" hidden="false" customHeight="false" outlineLevel="0" collapsed="false">
      <c r="A1868" s="27" t="s">
        <v>115</v>
      </c>
      <c r="B1868" s="27" t="s">
        <v>111</v>
      </c>
      <c r="C1868" s="27" t="s">
        <v>40</v>
      </c>
      <c r="D1868" s="27" t="s">
        <v>44</v>
      </c>
      <c r="E1868" s="28" t="n">
        <f aca="false">ROUND((SUMIFS(Acerto_Detalhado!$F$2:$F$433,Acerto_Detalhado!$A$2:$A$433,$C1868,Acerto_Detalhado!$B$2:$B$433,"Mai",Acerto_Detalhado!$C$2:$C$433,"Fibra"))*(SUMIFS(Acerto_Detalhado!$I$2:$I$433,Acerto_Detalhado!$A$2:$A$433,$D1868,Acerto_Detalhado!$B$2:$B$433,"Mai",Acerto_Detalhado!$C$2:$C$433,"Fibra")),2)</f>
        <v>0</v>
      </c>
    </row>
    <row r="1869" customFormat="false" ht="15" hidden="false" customHeight="false" outlineLevel="0" collapsed="false">
      <c r="A1869" s="27" t="s">
        <v>115</v>
      </c>
      <c r="B1869" s="27" t="s">
        <v>111</v>
      </c>
      <c r="C1869" s="27" t="s">
        <v>40</v>
      </c>
      <c r="D1869" s="27" t="s">
        <v>45</v>
      </c>
      <c r="E1869" s="28" t="n">
        <f aca="false">ROUND((SUMIFS(Acerto_Detalhado!$F$2:$F$433,Acerto_Detalhado!$A$2:$A$433,$C1869,Acerto_Detalhado!$B$2:$B$433,"Mai",Acerto_Detalhado!$C$2:$C$433,"Fibra"))*(SUMIFS(Acerto_Detalhado!$I$2:$I$433,Acerto_Detalhado!$A$2:$A$433,$D1869,Acerto_Detalhado!$B$2:$B$433,"Mai",Acerto_Detalhado!$C$2:$C$433,"Fibra")),2)</f>
        <v>0</v>
      </c>
    </row>
    <row r="1870" customFormat="false" ht="15" hidden="false" customHeight="false" outlineLevel="0" collapsed="false">
      <c r="A1870" s="27" t="s">
        <v>115</v>
      </c>
      <c r="B1870" s="27" t="s">
        <v>111</v>
      </c>
      <c r="C1870" s="27" t="s">
        <v>40</v>
      </c>
      <c r="D1870" s="27" t="s">
        <v>46</v>
      </c>
      <c r="E1870" s="28" t="n">
        <f aca="false">ROUND((SUMIFS(Acerto_Detalhado!$F$2:$F$433,Acerto_Detalhado!$A$2:$A$433,$C1870,Acerto_Detalhado!$B$2:$B$433,"Mai",Acerto_Detalhado!$C$2:$C$433,"Fibra"))*(SUMIFS(Acerto_Detalhado!$I$2:$I$433,Acerto_Detalhado!$A$2:$A$433,$D1870,Acerto_Detalhado!$B$2:$B$433,"Mai",Acerto_Detalhado!$C$2:$C$433,"Fibra")),2)</f>
        <v>0</v>
      </c>
    </row>
    <row r="1871" customFormat="false" ht="15" hidden="false" customHeight="false" outlineLevel="0" collapsed="false">
      <c r="A1871" s="27" t="s">
        <v>115</v>
      </c>
      <c r="B1871" s="27" t="s">
        <v>111</v>
      </c>
      <c r="C1871" s="27" t="s">
        <v>40</v>
      </c>
      <c r="D1871" s="27" t="s">
        <v>47</v>
      </c>
      <c r="E1871" s="28" t="n">
        <f aca="false">ROUND((SUMIFS(Acerto_Detalhado!$F$2:$F$433,Acerto_Detalhado!$A$2:$A$433,$C1871,Acerto_Detalhado!$B$2:$B$433,"Mai",Acerto_Detalhado!$C$2:$C$433,"Fibra"))*(SUMIFS(Acerto_Detalhado!$I$2:$I$433,Acerto_Detalhado!$A$2:$A$433,$D1871,Acerto_Detalhado!$B$2:$B$433,"Mai",Acerto_Detalhado!$C$2:$C$433,"Fibra")),2)</f>
        <v>0</v>
      </c>
    </row>
    <row r="1872" customFormat="false" ht="15" hidden="false" customHeight="false" outlineLevel="0" collapsed="false">
      <c r="A1872" s="27" t="s">
        <v>115</v>
      </c>
      <c r="B1872" s="27" t="s">
        <v>111</v>
      </c>
      <c r="C1872" s="27" t="s">
        <v>40</v>
      </c>
      <c r="D1872" s="27" t="s">
        <v>48</v>
      </c>
      <c r="E1872" s="28" t="n">
        <f aca="false">ROUND((SUMIFS(Acerto_Detalhado!$F$2:$F$433,Acerto_Detalhado!$A$2:$A$433,$C1872,Acerto_Detalhado!$B$2:$B$433,"Mai",Acerto_Detalhado!$C$2:$C$433,"Fibra"))*(SUMIFS(Acerto_Detalhado!$I$2:$I$433,Acerto_Detalhado!$A$2:$A$433,$D1872,Acerto_Detalhado!$B$2:$B$433,"Mai",Acerto_Detalhado!$C$2:$C$433,"Fibra")),2)</f>
        <v>0</v>
      </c>
    </row>
    <row r="1873" customFormat="false" ht="15" hidden="false" customHeight="false" outlineLevel="0" collapsed="false">
      <c r="A1873" s="27" t="s">
        <v>115</v>
      </c>
      <c r="B1873" s="27" t="s">
        <v>111</v>
      </c>
      <c r="C1873" s="27" t="s">
        <v>40</v>
      </c>
      <c r="D1873" s="27" t="s">
        <v>49</v>
      </c>
      <c r="E1873" s="28" t="n">
        <f aca="false">ROUND((SUMIFS(Acerto_Detalhado!$F$2:$F$433,Acerto_Detalhado!$A$2:$A$433,$C1873,Acerto_Detalhado!$B$2:$B$433,"Mai",Acerto_Detalhado!$C$2:$C$433,"Fibra"))*(SUMIFS(Acerto_Detalhado!$I$2:$I$433,Acerto_Detalhado!$A$2:$A$433,$D1873,Acerto_Detalhado!$B$2:$B$433,"Mai",Acerto_Detalhado!$C$2:$C$433,"Fibra")),2)</f>
        <v>0</v>
      </c>
    </row>
    <row r="1874" customFormat="false" ht="15" hidden="false" customHeight="false" outlineLevel="0" collapsed="false">
      <c r="A1874" s="27" t="s">
        <v>115</v>
      </c>
      <c r="B1874" s="27" t="s">
        <v>111</v>
      </c>
      <c r="C1874" s="27" t="s">
        <v>40</v>
      </c>
      <c r="D1874" s="27" t="s">
        <v>50</v>
      </c>
      <c r="E1874" s="28" t="n">
        <f aca="false">ROUND((SUMIFS(Acerto_Detalhado!$F$2:$F$433,Acerto_Detalhado!$A$2:$A$433,$C1874,Acerto_Detalhado!$B$2:$B$433,"Mai",Acerto_Detalhado!$C$2:$C$433,"Fibra"))*(SUMIFS(Acerto_Detalhado!$I$2:$I$433,Acerto_Detalhado!$A$2:$A$433,$D1874,Acerto_Detalhado!$B$2:$B$433,"Mai",Acerto_Detalhado!$C$2:$C$433,"Fibra")),2)</f>
        <v>0</v>
      </c>
    </row>
    <row r="1875" customFormat="false" ht="15" hidden="false" customHeight="false" outlineLevel="0" collapsed="false">
      <c r="A1875" s="27" t="s">
        <v>115</v>
      </c>
      <c r="B1875" s="27" t="s">
        <v>111</v>
      </c>
      <c r="C1875" s="27" t="s">
        <v>41</v>
      </c>
      <c r="D1875" s="27" t="s">
        <v>39</v>
      </c>
      <c r="E1875" s="28" t="n">
        <f aca="false">ROUND((SUMIFS(Acerto_Detalhado!$F$2:$F$433,Acerto_Detalhado!$A$2:$A$433,$C1875,Acerto_Detalhado!$B$2:$B$433,"Mai",Acerto_Detalhado!$C$2:$C$433,"Fibra"))*(SUMIFS(Acerto_Detalhado!$I$2:$I$433,Acerto_Detalhado!$A$2:$A$433,$D1875,Acerto_Detalhado!$B$2:$B$433,"Mai",Acerto_Detalhado!$C$2:$C$433,"Fibra")),2)</f>
        <v>874.76</v>
      </c>
    </row>
    <row r="1876" customFormat="false" ht="15" hidden="false" customHeight="false" outlineLevel="0" collapsed="false">
      <c r="A1876" s="27" t="s">
        <v>115</v>
      </c>
      <c r="B1876" s="27" t="s">
        <v>111</v>
      </c>
      <c r="C1876" s="27" t="s">
        <v>41</v>
      </c>
      <c r="D1876" s="27" t="s">
        <v>40</v>
      </c>
      <c r="E1876" s="28" t="n">
        <f aca="false">ROUND((SUMIFS(Acerto_Detalhado!$F$2:$F$433,Acerto_Detalhado!$A$2:$A$433,$C1876,Acerto_Detalhado!$B$2:$B$433,"Mai",Acerto_Detalhado!$C$2:$C$433,"Fibra"))*(SUMIFS(Acerto_Detalhado!$I$2:$I$433,Acerto_Detalhado!$A$2:$A$433,$D1876,Acerto_Detalhado!$B$2:$B$433,"Mai",Acerto_Detalhado!$C$2:$C$433,"Fibra")),2)</f>
        <v>990.1</v>
      </c>
    </row>
    <row r="1877" customFormat="false" ht="15" hidden="false" customHeight="false" outlineLevel="0" collapsed="false">
      <c r="A1877" s="27" t="s">
        <v>115</v>
      </c>
      <c r="B1877" s="27" t="s">
        <v>111</v>
      </c>
      <c r="C1877" s="27" t="s">
        <v>41</v>
      </c>
      <c r="D1877" s="27" t="s">
        <v>42</v>
      </c>
      <c r="E1877" s="28" t="n">
        <f aca="false">ROUND((SUMIFS(Acerto_Detalhado!$F$2:$F$433,Acerto_Detalhado!$A$2:$A$433,$C1877,Acerto_Detalhado!$B$2:$B$433,"Mai",Acerto_Detalhado!$C$2:$C$433,"Fibra"))*(SUMIFS(Acerto_Detalhado!$I$2:$I$433,Acerto_Detalhado!$A$2:$A$433,$D1877,Acerto_Detalhado!$B$2:$B$433,"Mai",Acerto_Detalhado!$C$2:$C$433,"Fibra")),2)</f>
        <v>0</v>
      </c>
    </row>
    <row r="1878" customFormat="false" ht="15" hidden="false" customHeight="false" outlineLevel="0" collapsed="false">
      <c r="A1878" s="27" t="s">
        <v>115</v>
      </c>
      <c r="B1878" s="27" t="s">
        <v>111</v>
      </c>
      <c r="C1878" s="27" t="s">
        <v>41</v>
      </c>
      <c r="D1878" s="27" t="s">
        <v>43</v>
      </c>
      <c r="E1878" s="28" t="n">
        <f aca="false">ROUND((SUMIFS(Acerto_Detalhado!$F$2:$F$433,Acerto_Detalhado!$A$2:$A$433,$C1878,Acerto_Detalhado!$B$2:$B$433,"Mai",Acerto_Detalhado!$C$2:$C$433,"Fibra"))*(SUMIFS(Acerto_Detalhado!$I$2:$I$433,Acerto_Detalhado!$A$2:$A$433,$D1878,Acerto_Detalhado!$B$2:$B$433,"Mai",Acerto_Detalhado!$C$2:$C$433,"Fibra")),2)</f>
        <v>1272.5</v>
      </c>
    </row>
    <row r="1879" customFormat="false" ht="15" hidden="false" customHeight="false" outlineLevel="0" collapsed="false">
      <c r="A1879" s="27" t="s">
        <v>115</v>
      </c>
      <c r="B1879" s="27" t="s">
        <v>111</v>
      </c>
      <c r="C1879" s="27" t="s">
        <v>41</v>
      </c>
      <c r="D1879" s="27" t="s">
        <v>44</v>
      </c>
      <c r="E1879" s="28" t="n">
        <f aca="false">ROUND((SUMIFS(Acerto_Detalhado!$F$2:$F$433,Acerto_Detalhado!$A$2:$A$433,$C1879,Acerto_Detalhado!$B$2:$B$433,"Mai",Acerto_Detalhado!$C$2:$C$433,"Fibra"))*(SUMIFS(Acerto_Detalhado!$I$2:$I$433,Acerto_Detalhado!$A$2:$A$433,$D1879,Acerto_Detalhado!$B$2:$B$433,"Mai",Acerto_Detalhado!$C$2:$C$433,"Fibra")),2)</f>
        <v>0</v>
      </c>
    </row>
    <row r="1880" customFormat="false" ht="15" hidden="false" customHeight="false" outlineLevel="0" collapsed="false">
      <c r="A1880" s="27" t="s">
        <v>115</v>
      </c>
      <c r="B1880" s="27" t="s">
        <v>111</v>
      </c>
      <c r="C1880" s="27" t="s">
        <v>41</v>
      </c>
      <c r="D1880" s="27" t="s">
        <v>45</v>
      </c>
      <c r="E1880" s="28" t="n">
        <f aca="false">ROUND((SUMIFS(Acerto_Detalhado!$F$2:$F$433,Acerto_Detalhado!$A$2:$A$433,$C1880,Acerto_Detalhado!$B$2:$B$433,"Mai",Acerto_Detalhado!$C$2:$C$433,"Fibra"))*(SUMIFS(Acerto_Detalhado!$I$2:$I$433,Acerto_Detalhado!$A$2:$A$433,$D1880,Acerto_Detalhado!$B$2:$B$433,"Mai",Acerto_Detalhado!$C$2:$C$433,"Fibra")),2)</f>
        <v>0</v>
      </c>
    </row>
    <row r="1881" customFormat="false" ht="15" hidden="false" customHeight="false" outlineLevel="0" collapsed="false">
      <c r="A1881" s="27" t="s">
        <v>115</v>
      </c>
      <c r="B1881" s="27" t="s">
        <v>111</v>
      </c>
      <c r="C1881" s="27" t="s">
        <v>41</v>
      </c>
      <c r="D1881" s="27" t="s">
        <v>46</v>
      </c>
      <c r="E1881" s="28" t="n">
        <f aca="false">ROUND((SUMIFS(Acerto_Detalhado!$F$2:$F$433,Acerto_Detalhado!$A$2:$A$433,$C1881,Acerto_Detalhado!$B$2:$B$433,"Mai",Acerto_Detalhado!$C$2:$C$433,"Fibra"))*(SUMIFS(Acerto_Detalhado!$I$2:$I$433,Acerto_Detalhado!$A$2:$A$433,$D1881,Acerto_Detalhado!$B$2:$B$433,"Mai",Acerto_Detalhado!$C$2:$C$433,"Fibra")),2)</f>
        <v>0</v>
      </c>
    </row>
    <row r="1882" customFormat="false" ht="15" hidden="false" customHeight="false" outlineLevel="0" collapsed="false">
      <c r="A1882" s="27" t="s">
        <v>115</v>
      </c>
      <c r="B1882" s="27" t="s">
        <v>111</v>
      </c>
      <c r="C1882" s="27" t="s">
        <v>41</v>
      </c>
      <c r="D1882" s="27" t="s">
        <v>47</v>
      </c>
      <c r="E1882" s="28" t="n">
        <f aca="false">ROUND((SUMIFS(Acerto_Detalhado!$F$2:$F$433,Acerto_Detalhado!$A$2:$A$433,$C1882,Acerto_Detalhado!$B$2:$B$433,"Mai",Acerto_Detalhado!$C$2:$C$433,"Fibra"))*(SUMIFS(Acerto_Detalhado!$I$2:$I$433,Acerto_Detalhado!$A$2:$A$433,$D1882,Acerto_Detalhado!$B$2:$B$433,"Mai",Acerto_Detalhado!$C$2:$C$433,"Fibra")),2)</f>
        <v>0</v>
      </c>
    </row>
    <row r="1883" customFormat="false" ht="15" hidden="false" customHeight="false" outlineLevel="0" collapsed="false">
      <c r="A1883" s="27" t="s">
        <v>115</v>
      </c>
      <c r="B1883" s="27" t="s">
        <v>111</v>
      </c>
      <c r="C1883" s="27" t="s">
        <v>41</v>
      </c>
      <c r="D1883" s="27" t="s">
        <v>48</v>
      </c>
      <c r="E1883" s="28" t="n">
        <f aca="false">ROUND((SUMIFS(Acerto_Detalhado!$F$2:$F$433,Acerto_Detalhado!$A$2:$A$433,$C1883,Acerto_Detalhado!$B$2:$B$433,"Mai",Acerto_Detalhado!$C$2:$C$433,"Fibra"))*(SUMIFS(Acerto_Detalhado!$I$2:$I$433,Acerto_Detalhado!$A$2:$A$433,$D1883,Acerto_Detalhado!$B$2:$B$433,"Mai",Acerto_Detalhado!$C$2:$C$433,"Fibra")),2)</f>
        <v>0</v>
      </c>
    </row>
    <row r="1884" customFormat="false" ht="15" hidden="false" customHeight="false" outlineLevel="0" collapsed="false">
      <c r="A1884" s="27" t="s">
        <v>115</v>
      </c>
      <c r="B1884" s="27" t="s">
        <v>111</v>
      </c>
      <c r="C1884" s="27" t="s">
        <v>41</v>
      </c>
      <c r="D1884" s="27" t="s">
        <v>49</v>
      </c>
      <c r="E1884" s="28" t="n">
        <f aca="false">ROUND((SUMIFS(Acerto_Detalhado!$F$2:$F$433,Acerto_Detalhado!$A$2:$A$433,$C1884,Acerto_Detalhado!$B$2:$B$433,"Mai",Acerto_Detalhado!$C$2:$C$433,"Fibra"))*(SUMIFS(Acerto_Detalhado!$I$2:$I$433,Acerto_Detalhado!$A$2:$A$433,$D1884,Acerto_Detalhado!$B$2:$B$433,"Mai",Acerto_Detalhado!$C$2:$C$433,"Fibra")),2)</f>
        <v>0</v>
      </c>
    </row>
    <row r="1885" customFormat="false" ht="15" hidden="false" customHeight="false" outlineLevel="0" collapsed="false">
      <c r="A1885" s="27" t="s">
        <v>115</v>
      </c>
      <c r="B1885" s="27" t="s">
        <v>111</v>
      </c>
      <c r="C1885" s="27" t="s">
        <v>41</v>
      </c>
      <c r="D1885" s="27" t="s">
        <v>50</v>
      </c>
      <c r="E1885" s="28" t="n">
        <f aca="false">ROUND((SUMIFS(Acerto_Detalhado!$F$2:$F$433,Acerto_Detalhado!$A$2:$A$433,$C1885,Acerto_Detalhado!$B$2:$B$433,"Mai",Acerto_Detalhado!$C$2:$C$433,"Fibra"))*(SUMIFS(Acerto_Detalhado!$I$2:$I$433,Acerto_Detalhado!$A$2:$A$433,$D1885,Acerto_Detalhado!$B$2:$B$433,"Mai",Acerto_Detalhado!$C$2:$C$433,"Fibra")),2)</f>
        <v>0</v>
      </c>
    </row>
    <row r="1886" customFormat="false" ht="15" hidden="false" customHeight="false" outlineLevel="0" collapsed="false">
      <c r="A1886" s="27" t="s">
        <v>115</v>
      </c>
      <c r="B1886" s="27" t="s">
        <v>111</v>
      </c>
      <c r="C1886" s="27" t="s">
        <v>42</v>
      </c>
      <c r="D1886" s="27" t="s">
        <v>39</v>
      </c>
      <c r="E1886" s="28" t="n">
        <f aca="false">ROUND((SUMIFS(Acerto_Detalhado!$F$2:$F$433,Acerto_Detalhado!$A$2:$A$433,$C1886,Acerto_Detalhado!$B$2:$B$433,"Mai",Acerto_Detalhado!$C$2:$C$433,"Fibra"))*(SUMIFS(Acerto_Detalhado!$I$2:$I$433,Acerto_Detalhado!$A$2:$A$433,$D1886,Acerto_Detalhado!$B$2:$B$433,"Mai",Acerto_Detalhado!$C$2:$C$433,"Fibra")),2)</f>
        <v>2435.26</v>
      </c>
    </row>
    <row r="1887" customFormat="false" ht="15" hidden="false" customHeight="false" outlineLevel="0" collapsed="false">
      <c r="A1887" s="27" t="s">
        <v>115</v>
      </c>
      <c r="B1887" s="27" t="s">
        <v>111</v>
      </c>
      <c r="C1887" s="27" t="s">
        <v>42</v>
      </c>
      <c r="D1887" s="27" t="s">
        <v>40</v>
      </c>
      <c r="E1887" s="28" t="n">
        <f aca="false">ROUND((SUMIFS(Acerto_Detalhado!$F$2:$F$433,Acerto_Detalhado!$A$2:$A$433,$C1887,Acerto_Detalhado!$B$2:$B$433,"Mai",Acerto_Detalhado!$C$2:$C$433,"Fibra"))*(SUMIFS(Acerto_Detalhado!$I$2:$I$433,Acerto_Detalhado!$A$2:$A$433,$D1887,Acerto_Detalhado!$B$2:$B$433,"Mai",Acerto_Detalhado!$C$2:$C$433,"Fibra")),2)</f>
        <v>2756.35</v>
      </c>
    </row>
    <row r="1888" customFormat="false" ht="15" hidden="false" customHeight="false" outlineLevel="0" collapsed="false">
      <c r="A1888" s="27" t="s">
        <v>115</v>
      </c>
      <c r="B1888" s="27" t="s">
        <v>111</v>
      </c>
      <c r="C1888" s="27" t="s">
        <v>42</v>
      </c>
      <c r="D1888" s="27" t="s">
        <v>41</v>
      </c>
      <c r="E1888" s="28" t="n">
        <f aca="false">ROUND((SUMIFS(Acerto_Detalhado!$F$2:$F$433,Acerto_Detalhado!$A$2:$A$433,$C1888,Acerto_Detalhado!$B$2:$B$433,"Mai",Acerto_Detalhado!$C$2:$C$433,"Fibra"))*(SUMIFS(Acerto_Detalhado!$I$2:$I$433,Acerto_Detalhado!$A$2:$A$433,$D1888,Acerto_Detalhado!$B$2:$B$433,"Mai",Acerto_Detalhado!$C$2:$C$433,"Fibra")),2)</f>
        <v>0</v>
      </c>
    </row>
    <row r="1889" customFormat="false" ht="15" hidden="false" customHeight="false" outlineLevel="0" collapsed="false">
      <c r="A1889" s="27" t="s">
        <v>115</v>
      </c>
      <c r="B1889" s="27" t="s">
        <v>111</v>
      </c>
      <c r="C1889" s="27" t="s">
        <v>42</v>
      </c>
      <c r="D1889" s="27" t="s">
        <v>43</v>
      </c>
      <c r="E1889" s="28" t="n">
        <f aca="false">ROUND((SUMIFS(Acerto_Detalhado!$F$2:$F$433,Acerto_Detalhado!$A$2:$A$433,$C1889,Acerto_Detalhado!$B$2:$B$433,"Mai",Acerto_Detalhado!$C$2:$C$433,"Fibra"))*(SUMIFS(Acerto_Detalhado!$I$2:$I$433,Acerto_Detalhado!$A$2:$A$433,$D1889,Acerto_Detalhado!$B$2:$B$433,"Mai",Acerto_Detalhado!$C$2:$C$433,"Fibra")),2)</f>
        <v>3542.53</v>
      </c>
    </row>
    <row r="1890" customFormat="false" ht="15" hidden="false" customHeight="false" outlineLevel="0" collapsed="false">
      <c r="A1890" s="27" t="s">
        <v>115</v>
      </c>
      <c r="B1890" s="27" t="s">
        <v>111</v>
      </c>
      <c r="C1890" s="27" t="s">
        <v>42</v>
      </c>
      <c r="D1890" s="27" t="s">
        <v>44</v>
      </c>
      <c r="E1890" s="28" t="n">
        <f aca="false">ROUND((SUMIFS(Acerto_Detalhado!$F$2:$F$433,Acerto_Detalhado!$A$2:$A$433,$C1890,Acerto_Detalhado!$B$2:$B$433,"Mai",Acerto_Detalhado!$C$2:$C$433,"Fibra"))*(SUMIFS(Acerto_Detalhado!$I$2:$I$433,Acerto_Detalhado!$A$2:$A$433,$D1890,Acerto_Detalhado!$B$2:$B$433,"Mai",Acerto_Detalhado!$C$2:$C$433,"Fibra")),2)</f>
        <v>0</v>
      </c>
    </row>
    <row r="1891" customFormat="false" ht="15" hidden="false" customHeight="false" outlineLevel="0" collapsed="false">
      <c r="A1891" s="27" t="s">
        <v>115</v>
      </c>
      <c r="B1891" s="27" t="s">
        <v>111</v>
      </c>
      <c r="C1891" s="27" t="s">
        <v>42</v>
      </c>
      <c r="D1891" s="27" t="s">
        <v>45</v>
      </c>
      <c r="E1891" s="28" t="n">
        <f aca="false">ROUND((SUMIFS(Acerto_Detalhado!$F$2:$F$433,Acerto_Detalhado!$A$2:$A$433,$C1891,Acerto_Detalhado!$B$2:$B$433,"Mai",Acerto_Detalhado!$C$2:$C$433,"Fibra"))*(SUMIFS(Acerto_Detalhado!$I$2:$I$433,Acerto_Detalhado!$A$2:$A$433,$D1891,Acerto_Detalhado!$B$2:$B$433,"Mai",Acerto_Detalhado!$C$2:$C$433,"Fibra")),2)</f>
        <v>0</v>
      </c>
    </row>
    <row r="1892" customFormat="false" ht="15" hidden="false" customHeight="false" outlineLevel="0" collapsed="false">
      <c r="A1892" s="27" t="s">
        <v>115</v>
      </c>
      <c r="B1892" s="27" t="s">
        <v>111</v>
      </c>
      <c r="C1892" s="27" t="s">
        <v>42</v>
      </c>
      <c r="D1892" s="27" t="s">
        <v>46</v>
      </c>
      <c r="E1892" s="28" t="n">
        <f aca="false">ROUND((SUMIFS(Acerto_Detalhado!$F$2:$F$433,Acerto_Detalhado!$A$2:$A$433,$C1892,Acerto_Detalhado!$B$2:$B$433,"Mai",Acerto_Detalhado!$C$2:$C$433,"Fibra"))*(SUMIFS(Acerto_Detalhado!$I$2:$I$433,Acerto_Detalhado!$A$2:$A$433,$D1892,Acerto_Detalhado!$B$2:$B$433,"Mai",Acerto_Detalhado!$C$2:$C$433,"Fibra")),2)</f>
        <v>0</v>
      </c>
    </row>
    <row r="1893" customFormat="false" ht="15" hidden="false" customHeight="false" outlineLevel="0" collapsed="false">
      <c r="A1893" s="27" t="s">
        <v>115</v>
      </c>
      <c r="B1893" s="27" t="s">
        <v>111</v>
      </c>
      <c r="C1893" s="27" t="s">
        <v>42</v>
      </c>
      <c r="D1893" s="27" t="s">
        <v>47</v>
      </c>
      <c r="E1893" s="28" t="n">
        <f aca="false">ROUND((SUMIFS(Acerto_Detalhado!$F$2:$F$433,Acerto_Detalhado!$A$2:$A$433,$C1893,Acerto_Detalhado!$B$2:$B$433,"Mai",Acerto_Detalhado!$C$2:$C$433,"Fibra"))*(SUMIFS(Acerto_Detalhado!$I$2:$I$433,Acerto_Detalhado!$A$2:$A$433,$D1893,Acerto_Detalhado!$B$2:$B$433,"Mai",Acerto_Detalhado!$C$2:$C$433,"Fibra")),2)</f>
        <v>0</v>
      </c>
    </row>
    <row r="1894" customFormat="false" ht="15" hidden="false" customHeight="false" outlineLevel="0" collapsed="false">
      <c r="A1894" s="27" t="s">
        <v>115</v>
      </c>
      <c r="B1894" s="27" t="s">
        <v>111</v>
      </c>
      <c r="C1894" s="27" t="s">
        <v>42</v>
      </c>
      <c r="D1894" s="27" t="s">
        <v>48</v>
      </c>
      <c r="E1894" s="28" t="n">
        <f aca="false">ROUND((SUMIFS(Acerto_Detalhado!$F$2:$F$433,Acerto_Detalhado!$A$2:$A$433,$C1894,Acerto_Detalhado!$B$2:$B$433,"Mai",Acerto_Detalhado!$C$2:$C$433,"Fibra"))*(SUMIFS(Acerto_Detalhado!$I$2:$I$433,Acerto_Detalhado!$A$2:$A$433,$D1894,Acerto_Detalhado!$B$2:$B$433,"Mai",Acerto_Detalhado!$C$2:$C$433,"Fibra")),2)</f>
        <v>0</v>
      </c>
    </row>
    <row r="1895" customFormat="false" ht="15" hidden="false" customHeight="false" outlineLevel="0" collapsed="false">
      <c r="A1895" s="27" t="s">
        <v>115</v>
      </c>
      <c r="B1895" s="27" t="s">
        <v>111</v>
      </c>
      <c r="C1895" s="27" t="s">
        <v>42</v>
      </c>
      <c r="D1895" s="27" t="s">
        <v>49</v>
      </c>
      <c r="E1895" s="28" t="n">
        <f aca="false">ROUND((SUMIFS(Acerto_Detalhado!$F$2:$F$433,Acerto_Detalhado!$A$2:$A$433,$C1895,Acerto_Detalhado!$B$2:$B$433,"Mai",Acerto_Detalhado!$C$2:$C$433,"Fibra"))*(SUMIFS(Acerto_Detalhado!$I$2:$I$433,Acerto_Detalhado!$A$2:$A$433,$D1895,Acerto_Detalhado!$B$2:$B$433,"Mai",Acerto_Detalhado!$C$2:$C$433,"Fibra")),2)</f>
        <v>0</v>
      </c>
    </row>
    <row r="1896" customFormat="false" ht="15" hidden="false" customHeight="false" outlineLevel="0" collapsed="false">
      <c r="A1896" s="27" t="s">
        <v>115</v>
      </c>
      <c r="B1896" s="27" t="s">
        <v>111</v>
      </c>
      <c r="C1896" s="27" t="s">
        <v>42</v>
      </c>
      <c r="D1896" s="27" t="s">
        <v>50</v>
      </c>
      <c r="E1896" s="28" t="n">
        <f aca="false">ROUND((SUMIFS(Acerto_Detalhado!$F$2:$F$433,Acerto_Detalhado!$A$2:$A$433,$C1896,Acerto_Detalhado!$B$2:$B$433,"Mai",Acerto_Detalhado!$C$2:$C$433,"Fibra"))*(SUMIFS(Acerto_Detalhado!$I$2:$I$433,Acerto_Detalhado!$A$2:$A$433,$D1896,Acerto_Detalhado!$B$2:$B$433,"Mai",Acerto_Detalhado!$C$2:$C$433,"Fibra")),2)</f>
        <v>0</v>
      </c>
    </row>
    <row r="1897" customFormat="false" ht="15" hidden="false" customHeight="false" outlineLevel="0" collapsed="false">
      <c r="A1897" s="27" t="s">
        <v>115</v>
      </c>
      <c r="B1897" s="27" t="s">
        <v>111</v>
      </c>
      <c r="C1897" s="27" t="s">
        <v>43</v>
      </c>
      <c r="D1897" s="27" t="s">
        <v>39</v>
      </c>
      <c r="E1897" s="28" t="n">
        <f aca="false">ROUND((SUMIFS(Acerto_Detalhado!$F$2:$F$433,Acerto_Detalhado!$A$2:$A$433,$C1897,Acerto_Detalhado!$B$2:$B$433,"Mai",Acerto_Detalhado!$C$2:$C$433,"Fibra"))*(SUMIFS(Acerto_Detalhado!$I$2:$I$433,Acerto_Detalhado!$A$2:$A$433,$D1897,Acerto_Detalhado!$B$2:$B$433,"Mai",Acerto_Detalhado!$C$2:$C$433,"Fibra")),2)</f>
        <v>0</v>
      </c>
    </row>
    <row r="1898" customFormat="false" ht="15" hidden="false" customHeight="false" outlineLevel="0" collapsed="false">
      <c r="A1898" s="27" t="s">
        <v>115</v>
      </c>
      <c r="B1898" s="27" t="s">
        <v>111</v>
      </c>
      <c r="C1898" s="27" t="s">
        <v>43</v>
      </c>
      <c r="D1898" s="27" t="s">
        <v>40</v>
      </c>
      <c r="E1898" s="28" t="n">
        <f aca="false">ROUND((SUMIFS(Acerto_Detalhado!$F$2:$F$433,Acerto_Detalhado!$A$2:$A$433,$C1898,Acerto_Detalhado!$B$2:$B$433,"Mai",Acerto_Detalhado!$C$2:$C$433,"Fibra"))*(SUMIFS(Acerto_Detalhado!$I$2:$I$433,Acerto_Detalhado!$A$2:$A$433,$D1898,Acerto_Detalhado!$B$2:$B$433,"Mai",Acerto_Detalhado!$C$2:$C$433,"Fibra")),2)</f>
        <v>0</v>
      </c>
    </row>
    <row r="1899" customFormat="false" ht="15" hidden="false" customHeight="false" outlineLevel="0" collapsed="false">
      <c r="A1899" s="27" t="s">
        <v>115</v>
      </c>
      <c r="B1899" s="27" t="s">
        <v>111</v>
      </c>
      <c r="C1899" s="27" t="s">
        <v>43</v>
      </c>
      <c r="D1899" s="27" t="s">
        <v>41</v>
      </c>
      <c r="E1899" s="28" t="n">
        <f aca="false">ROUND((SUMIFS(Acerto_Detalhado!$F$2:$F$433,Acerto_Detalhado!$A$2:$A$433,$C1899,Acerto_Detalhado!$B$2:$B$433,"Mai",Acerto_Detalhado!$C$2:$C$433,"Fibra"))*(SUMIFS(Acerto_Detalhado!$I$2:$I$433,Acerto_Detalhado!$A$2:$A$433,$D1899,Acerto_Detalhado!$B$2:$B$433,"Mai",Acerto_Detalhado!$C$2:$C$433,"Fibra")),2)</f>
        <v>0</v>
      </c>
    </row>
    <row r="1900" customFormat="false" ht="15" hidden="false" customHeight="false" outlineLevel="0" collapsed="false">
      <c r="A1900" s="27" t="s">
        <v>115</v>
      </c>
      <c r="B1900" s="27" t="s">
        <v>111</v>
      </c>
      <c r="C1900" s="27" t="s">
        <v>43</v>
      </c>
      <c r="D1900" s="27" t="s">
        <v>42</v>
      </c>
      <c r="E1900" s="28" t="n">
        <f aca="false">ROUND((SUMIFS(Acerto_Detalhado!$F$2:$F$433,Acerto_Detalhado!$A$2:$A$433,$C1900,Acerto_Detalhado!$B$2:$B$433,"Mai",Acerto_Detalhado!$C$2:$C$433,"Fibra"))*(SUMIFS(Acerto_Detalhado!$I$2:$I$433,Acerto_Detalhado!$A$2:$A$433,$D1900,Acerto_Detalhado!$B$2:$B$433,"Mai",Acerto_Detalhado!$C$2:$C$433,"Fibra")),2)</f>
        <v>0</v>
      </c>
    </row>
    <row r="1901" customFormat="false" ht="15" hidden="false" customHeight="false" outlineLevel="0" collapsed="false">
      <c r="A1901" s="27" t="s">
        <v>115</v>
      </c>
      <c r="B1901" s="27" t="s">
        <v>111</v>
      </c>
      <c r="C1901" s="27" t="s">
        <v>43</v>
      </c>
      <c r="D1901" s="27" t="s">
        <v>44</v>
      </c>
      <c r="E1901" s="28" t="n">
        <f aca="false">ROUND((SUMIFS(Acerto_Detalhado!$F$2:$F$433,Acerto_Detalhado!$A$2:$A$433,$C1901,Acerto_Detalhado!$B$2:$B$433,"Mai",Acerto_Detalhado!$C$2:$C$433,"Fibra"))*(SUMIFS(Acerto_Detalhado!$I$2:$I$433,Acerto_Detalhado!$A$2:$A$433,$D1901,Acerto_Detalhado!$B$2:$B$433,"Mai",Acerto_Detalhado!$C$2:$C$433,"Fibra")),2)</f>
        <v>0</v>
      </c>
    </row>
    <row r="1902" customFormat="false" ht="15" hidden="false" customHeight="false" outlineLevel="0" collapsed="false">
      <c r="A1902" s="27" t="s">
        <v>115</v>
      </c>
      <c r="B1902" s="27" t="s">
        <v>111</v>
      </c>
      <c r="C1902" s="27" t="s">
        <v>43</v>
      </c>
      <c r="D1902" s="27" t="s">
        <v>45</v>
      </c>
      <c r="E1902" s="28" t="n">
        <f aca="false">ROUND((SUMIFS(Acerto_Detalhado!$F$2:$F$433,Acerto_Detalhado!$A$2:$A$433,$C1902,Acerto_Detalhado!$B$2:$B$433,"Mai",Acerto_Detalhado!$C$2:$C$433,"Fibra"))*(SUMIFS(Acerto_Detalhado!$I$2:$I$433,Acerto_Detalhado!$A$2:$A$433,$D1902,Acerto_Detalhado!$B$2:$B$433,"Mai",Acerto_Detalhado!$C$2:$C$433,"Fibra")),2)</f>
        <v>0</v>
      </c>
    </row>
    <row r="1903" customFormat="false" ht="15" hidden="false" customHeight="false" outlineLevel="0" collapsed="false">
      <c r="A1903" s="27" t="s">
        <v>115</v>
      </c>
      <c r="B1903" s="27" t="s">
        <v>111</v>
      </c>
      <c r="C1903" s="27" t="s">
        <v>43</v>
      </c>
      <c r="D1903" s="27" t="s">
        <v>46</v>
      </c>
      <c r="E1903" s="28" t="n">
        <f aca="false">ROUND((SUMIFS(Acerto_Detalhado!$F$2:$F$433,Acerto_Detalhado!$A$2:$A$433,$C1903,Acerto_Detalhado!$B$2:$B$433,"Mai",Acerto_Detalhado!$C$2:$C$433,"Fibra"))*(SUMIFS(Acerto_Detalhado!$I$2:$I$433,Acerto_Detalhado!$A$2:$A$433,$D1903,Acerto_Detalhado!$B$2:$B$433,"Mai",Acerto_Detalhado!$C$2:$C$433,"Fibra")),2)</f>
        <v>0</v>
      </c>
    </row>
    <row r="1904" customFormat="false" ht="15" hidden="false" customHeight="false" outlineLevel="0" collapsed="false">
      <c r="A1904" s="27" t="s">
        <v>115</v>
      </c>
      <c r="B1904" s="27" t="s">
        <v>111</v>
      </c>
      <c r="C1904" s="27" t="s">
        <v>43</v>
      </c>
      <c r="D1904" s="27" t="s">
        <v>47</v>
      </c>
      <c r="E1904" s="28" t="n">
        <f aca="false">ROUND((SUMIFS(Acerto_Detalhado!$F$2:$F$433,Acerto_Detalhado!$A$2:$A$433,$C1904,Acerto_Detalhado!$B$2:$B$433,"Mai",Acerto_Detalhado!$C$2:$C$433,"Fibra"))*(SUMIFS(Acerto_Detalhado!$I$2:$I$433,Acerto_Detalhado!$A$2:$A$433,$D1904,Acerto_Detalhado!$B$2:$B$433,"Mai",Acerto_Detalhado!$C$2:$C$433,"Fibra")),2)</f>
        <v>0</v>
      </c>
    </row>
    <row r="1905" customFormat="false" ht="15" hidden="false" customHeight="false" outlineLevel="0" collapsed="false">
      <c r="A1905" s="27" t="s">
        <v>115</v>
      </c>
      <c r="B1905" s="27" t="s">
        <v>111</v>
      </c>
      <c r="C1905" s="27" t="s">
        <v>43</v>
      </c>
      <c r="D1905" s="27" t="s">
        <v>48</v>
      </c>
      <c r="E1905" s="28" t="n">
        <f aca="false">ROUND((SUMIFS(Acerto_Detalhado!$F$2:$F$433,Acerto_Detalhado!$A$2:$A$433,$C1905,Acerto_Detalhado!$B$2:$B$433,"Mai",Acerto_Detalhado!$C$2:$C$433,"Fibra"))*(SUMIFS(Acerto_Detalhado!$I$2:$I$433,Acerto_Detalhado!$A$2:$A$433,$D1905,Acerto_Detalhado!$B$2:$B$433,"Mai",Acerto_Detalhado!$C$2:$C$433,"Fibra")),2)</f>
        <v>0</v>
      </c>
    </row>
    <row r="1906" customFormat="false" ht="15" hidden="false" customHeight="false" outlineLevel="0" collapsed="false">
      <c r="A1906" s="27" t="s">
        <v>115</v>
      </c>
      <c r="B1906" s="27" t="s">
        <v>111</v>
      </c>
      <c r="C1906" s="27" t="s">
        <v>43</v>
      </c>
      <c r="D1906" s="27" t="s">
        <v>49</v>
      </c>
      <c r="E1906" s="28" t="n">
        <f aca="false">ROUND((SUMIFS(Acerto_Detalhado!$F$2:$F$433,Acerto_Detalhado!$A$2:$A$433,$C1906,Acerto_Detalhado!$B$2:$B$433,"Mai",Acerto_Detalhado!$C$2:$C$433,"Fibra"))*(SUMIFS(Acerto_Detalhado!$I$2:$I$433,Acerto_Detalhado!$A$2:$A$433,$D1906,Acerto_Detalhado!$B$2:$B$433,"Mai",Acerto_Detalhado!$C$2:$C$433,"Fibra")),2)</f>
        <v>0</v>
      </c>
    </row>
    <row r="1907" customFormat="false" ht="15" hidden="false" customHeight="false" outlineLevel="0" collapsed="false">
      <c r="A1907" s="27" t="s">
        <v>115</v>
      </c>
      <c r="B1907" s="27" t="s">
        <v>111</v>
      </c>
      <c r="C1907" s="27" t="s">
        <v>43</v>
      </c>
      <c r="D1907" s="27" t="s">
        <v>50</v>
      </c>
      <c r="E1907" s="28" t="n">
        <f aca="false">ROUND((SUMIFS(Acerto_Detalhado!$F$2:$F$433,Acerto_Detalhado!$A$2:$A$433,$C1907,Acerto_Detalhado!$B$2:$B$433,"Mai",Acerto_Detalhado!$C$2:$C$433,"Fibra"))*(SUMIFS(Acerto_Detalhado!$I$2:$I$433,Acerto_Detalhado!$A$2:$A$433,$D1907,Acerto_Detalhado!$B$2:$B$433,"Mai",Acerto_Detalhado!$C$2:$C$433,"Fibra")),2)</f>
        <v>0</v>
      </c>
    </row>
    <row r="1908" customFormat="false" ht="15" hidden="false" customHeight="false" outlineLevel="0" collapsed="false">
      <c r="A1908" s="27" t="s">
        <v>115</v>
      </c>
      <c r="B1908" s="27" t="s">
        <v>111</v>
      </c>
      <c r="C1908" s="27" t="s">
        <v>44</v>
      </c>
      <c r="D1908" s="27" t="s">
        <v>39</v>
      </c>
      <c r="E1908" s="28" t="n">
        <f aca="false">ROUND((SUMIFS(Acerto_Detalhado!$F$2:$F$433,Acerto_Detalhado!$A$2:$A$433,$C1908,Acerto_Detalhado!$B$2:$B$433,"Mai",Acerto_Detalhado!$C$2:$C$433,"Fibra"))*(SUMIFS(Acerto_Detalhado!$I$2:$I$433,Acerto_Detalhado!$A$2:$A$433,$D1908,Acerto_Detalhado!$B$2:$B$433,"Mai",Acerto_Detalhado!$C$2:$C$433,"Fibra")),2)</f>
        <v>6349.19</v>
      </c>
    </row>
    <row r="1909" customFormat="false" ht="15" hidden="false" customHeight="false" outlineLevel="0" collapsed="false">
      <c r="A1909" s="27" t="s">
        <v>115</v>
      </c>
      <c r="B1909" s="27" t="s">
        <v>111</v>
      </c>
      <c r="C1909" s="27" t="s">
        <v>44</v>
      </c>
      <c r="D1909" s="27" t="s">
        <v>40</v>
      </c>
      <c r="E1909" s="28" t="n">
        <f aca="false">ROUND((SUMIFS(Acerto_Detalhado!$F$2:$F$433,Acerto_Detalhado!$A$2:$A$433,$C1909,Acerto_Detalhado!$B$2:$B$433,"Mai",Acerto_Detalhado!$C$2:$C$433,"Fibra"))*(SUMIFS(Acerto_Detalhado!$I$2:$I$433,Acerto_Detalhado!$A$2:$A$433,$D1909,Acerto_Detalhado!$B$2:$B$433,"Mai",Acerto_Detalhado!$C$2:$C$433,"Fibra")),2)</f>
        <v>7186.33</v>
      </c>
    </row>
    <row r="1910" customFormat="false" ht="15" hidden="false" customHeight="false" outlineLevel="0" collapsed="false">
      <c r="A1910" s="27" t="s">
        <v>115</v>
      </c>
      <c r="B1910" s="27" t="s">
        <v>111</v>
      </c>
      <c r="C1910" s="27" t="s">
        <v>44</v>
      </c>
      <c r="D1910" s="27" t="s">
        <v>41</v>
      </c>
      <c r="E1910" s="28" t="n">
        <f aca="false">ROUND((SUMIFS(Acerto_Detalhado!$F$2:$F$433,Acerto_Detalhado!$A$2:$A$433,$C1910,Acerto_Detalhado!$B$2:$B$433,"Mai",Acerto_Detalhado!$C$2:$C$433,"Fibra"))*(SUMIFS(Acerto_Detalhado!$I$2:$I$433,Acerto_Detalhado!$A$2:$A$433,$D1910,Acerto_Detalhado!$B$2:$B$433,"Mai",Acerto_Detalhado!$C$2:$C$433,"Fibra")),2)</f>
        <v>0</v>
      </c>
    </row>
    <row r="1911" customFormat="false" ht="15" hidden="false" customHeight="false" outlineLevel="0" collapsed="false">
      <c r="A1911" s="27" t="s">
        <v>115</v>
      </c>
      <c r="B1911" s="27" t="s">
        <v>111</v>
      </c>
      <c r="C1911" s="27" t="s">
        <v>44</v>
      </c>
      <c r="D1911" s="27" t="s">
        <v>42</v>
      </c>
      <c r="E1911" s="28" t="n">
        <f aca="false">ROUND((SUMIFS(Acerto_Detalhado!$F$2:$F$433,Acerto_Detalhado!$A$2:$A$433,$C1911,Acerto_Detalhado!$B$2:$B$433,"Mai",Acerto_Detalhado!$C$2:$C$433,"Fibra"))*(SUMIFS(Acerto_Detalhado!$I$2:$I$433,Acerto_Detalhado!$A$2:$A$433,$D1911,Acerto_Detalhado!$B$2:$B$433,"Mai",Acerto_Detalhado!$C$2:$C$433,"Fibra")),2)</f>
        <v>0</v>
      </c>
    </row>
    <row r="1912" customFormat="false" ht="15" hidden="false" customHeight="false" outlineLevel="0" collapsed="false">
      <c r="A1912" s="27" t="s">
        <v>115</v>
      </c>
      <c r="B1912" s="27" t="s">
        <v>111</v>
      </c>
      <c r="C1912" s="27" t="s">
        <v>44</v>
      </c>
      <c r="D1912" s="27" t="s">
        <v>43</v>
      </c>
      <c r="E1912" s="28" t="n">
        <f aca="false">ROUND((SUMIFS(Acerto_Detalhado!$F$2:$F$433,Acerto_Detalhado!$A$2:$A$433,$C1912,Acerto_Detalhado!$B$2:$B$433,"Mai",Acerto_Detalhado!$C$2:$C$433,"Fibra"))*(SUMIFS(Acerto_Detalhado!$I$2:$I$433,Acerto_Detalhado!$A$2:$A$433,$D1912,Acerto_Detalhado!$B$2:$B$433,"Mai",Acerto_Detalhado!$C$2:$C$433,"Fibra")),2)</f>
        <v>9236.05</v>
      </c>
    </row>
    <row r="1913" customFormat="false" ht="15" hidden="false" customHeight="false" outlineLevel="0" collapsed="false">
      <c r="A1913" s="27" t="s">
        <v>115</v>
      </c>
      <c r="B1913" s="27" t="s">
        <v>111</v>
      </c>
      <c r="C1913" s="27" t="s">
        <v>44</v>
      </c>
      <c r="D1913" s="27" t="s">
        <v>45</v>
      </c>
      <c r="E1913" s="28" t="n">
        <f aca="false">ROUND((SUMIFS(Acerto_Detalhado!$F$2:$F$433,Acerto_Detalhado!$A$2:$A$433,$C1913,Acerto_Detalhado!$B$2:$B$433,"Mai",Acerto_Detalhado!$C$2:$C$433,"Fibra"))*(SUMIFS(Acerto_Detalhado!$I$2:$I$433,Acerto_Detalhado!$A$2:$A$433,$D1913,Acerto_Detalhado!$B$2:$B$433,"Mai",Acerto_Detalhado!$C$2:$C$433,"Fibra")),2)</f>
        <v>0</v>
      </c>
    </row>
    <row r="1914" customFormat="false" ht="15" hidden="false" customHeight="false" outlineLevel="0" collapsed="false">
      <c r="A1914" s="27" t="s">
        <v>115</v>
      </c>
      <c r="B1914" s="27" t="s">
        <v>111</v>
      </c>
      <c r="C1914" s="27" t="s">
        <v>44</v>
      </c>
      <c r="D1914" s="27" t="s">
        <v>46</v>
      </c>
      <c r="E1914" s="28" t="n">
        <f aca="false">ROUND((SUMIFS(Acerto_Detalhado!$F$2:$F$433,Acerto_Detalhado!$A$2:$A$433,$C1914,Acerto_Detalhado!$B$2:$B$433,"Mai",Acerto_Detalhado!$C$2:$C$433,"Fibra"))*(SUMIFS(Acerto_Detalhado!$I$2:$I$433,Acerto_Detalhado!$A$2:$A$433,$D1914,Acerto_Detalhado!$B$2:$B$433,"Mai",Acerto_Detalhado!$C$2:$C$433,"Fibra")),2)</f>
        <v>0</v>
      </c>
    </row>
    <row r="1915" customFormat="false" ht="15" hidden="false" customHeight="false" outlineLevel="0" collapsed="false">
      <c r="A1915" s="27" t="s">
        <v>115</v>
      </c>
      <c r="B1915" s="27" t="s">
        <v>111</v>
      </c>
      <c r="C1915" s="27" t="s">
        <v>44</v>
      </c>
      <c r="D1915" s="27" t="s">
        <v>47</v>
      </c>
      <c r="E1915" s="28" t="n">
        <f aca="false">ROUND((SUMIFS(Acerto_Detalhado!$F$2:$F$433,Acerto_Detalhado!$A$2:$A$433,$C1915,Acerto_Detalhado!$B$2:$B$433,"Mai",Acerto_Detalhado!$C$2:$C$433,"Fibra"))*(SUMIFS(Acerto_Detalhado!$I$2:$I$433,Acerto_Detalhado!$A$2:$A$433,$D1915,Acerto_Detalhado!$B$2:$B$433,"Mai",Acerto_Detalhado!$C$2:$C$433,"Fibra")),2)</f>
        <v>0</v>
      </c>
    </row>
    <row r="1916" customFormat="false" ht="15" hidden="false" customHeight="false" outlineLevel="0" collapsed="false">
      <c r="A1916" s="27" t="s">
        <v>115</v>
      </c>
      <c r="B1916" s="27" t="s">
        <v>111</v>
      </c>
      <c r="C1916" s="27" t="s">
        <v>44</v>
      </c>
      <c r="D1916" s="27" t="s">
        <v>48</v>
      </c>
      <c r="E1916" s="28" t="n">
        <f aca="false">ROUND((SUMIFS(Acerto_Detalhado!$F$2:$F$433,Acerto_Detalhado!$A$2:$A$433,$C1916,Acerto_Detalhado!$B$2:$B$433,"Mai",Acerto_Detalhado!$C$2:$C$433,"Fibra"))*(SUMIFS(Acerto_Detalhado!$I$2:$I$433,Acerto_Detalhado!$A$2:$A$433,$D1916,Acerto_Detalhado!$B$2:$B$433,"Mai",Acerto_Detalhado!$C$2:$C$433,"Fibra")),2)</f>
        <v>0</v>
      </c>
    </row>
    <row r="1917" customFormat="false" ht="15" hidden="false" customHeight="false" outlineLevel="0" collapsed="false">
      <c r="A1917" s="27" t="s">
        <v>115</v>
      </c>
      <c r="B1917" s="27" t="s">
        <v>111</v>
      </c>
      <c r="C1917" s="27" t="s">
        <v>44</v>
      </c>
      <c r="D1917" s="27" t="s">
        <v>49</v>
      </c>
      <c r="E1917" s="28" t="n">
        <f aca="false">ROUND((SUMIFS(Acerto_Detalhado!$F$2:$F$433,Acerto_Detalhado!$A$2:$A$433,$C1917,Acerto_Detalhado!$B$2:$B$433,"Mai",Acerto_Detalhado!$C$2:$C$433,"Fibra"))*(SUMIFS(Acerto_Detalhado!$I$2:$I$433,Acerto_Detalhado!$A$2:$A$433,$D1917,Acerto_Detalhado!$B$2:$B$433,"Mai",Acerto_Detalhado!$C$2:$C$433,"Fibra")),2)</f>
        <v>0</v>
      </c>
    </row>
    <row r="1918" customFormat="false" ht="15" hidden="false" customHeight="false" outlineLevel="0" collapsed="false">
      <c r="A1918" s="27" t="s">
        <v>115</v>
      </c>
      <c r="B1918" s="27" t="s">
        <v>111</v>
      </c>
      <c r="C1918" s="27" t="s">
        <v>44</v>
      </c>
      <c r="D1918" s="27" t="s">
        <v>50</v>
      </c>
      <c r="E1918" s="28" t="n">
        <f aca="false">ROUND((SUMIFS(Acerto_Detalhado!$F$2:$F$433,Acerto_Detalhado!$A$2:$A$433,$C1918,Acerto_Detalhado!$B$2:$B$433,"Mai",Acerto_Detalhado!$C$2:$C$433,"Fibra"))*(SUMIFS(Acerto_Detalhado!$I$2:$I$433,Acerto_Detalhado!$A$2:$A$433,$D1918,Acerto_Detalhado!$B$2:$B$433,"Mai",Acerto_Detalhado!$C$2:$C$433,"Fibra")),2)</f>
        <v>0</v>
      </c>
    </row>
    <row r="1919" customFormat="false" ht="15" hidden="false" customHeight="false" outlineLevel="0" collapsed="false">
      <c r="A1919" s="27" t="s">
        <v>115</v>
      </c>
      <c r="B1919" s="27" t="s">
        <v>111</v>
      </c>
      <c r="C1919" s="27" t="s">
        <v>45</v>
      </c>
      <c r="D1919" s="27" t="s">
        <v>39</v>
      </c>
      <c r="E1919" s="28" t="n">
        <f aca="false">ROUND((SUMIFS(Acerto_Detalhado!$F$2:$F$433,Acerto_Detalhado!$A$2:$A$433,$C1919,Acerto_Detalhado!$B$2:$B$433,"Mai",Acerto_Detalhado!$C$2:$C$433,"Fibra"))*(SUMIFS(Acerto_Detalhado!$I$2:$I$433,Acerto_Detalhado!$A$2:$A$433,$D1919,Acerto_Detalhado!$B$2:$B$433,"Mai",Acerto_Detalhado!$C$2:$C$433,"Fibra")),2)</f>
        <v>0</v>
      </c>
    </row>
    <row r="1920" customFormat="false" ht="15" hidden="false" customHeight="false" outlineLevel="0" collapsed="false">
      <c r="A1920" s="27" t="s">
        <v>115</v>
      </c>
      <c r="B1920" s="27" t="s">
        <v>111</v>
      </c>
      <c r="C1920" s="27" t="s">
        <v>45</v>
      </c>
      <c r="D1920" s="27" t="s">
        <v>40</v>
      </c>
      <c r="E1920" s="28" t="n">
        <f aca="false">ROUND((SUMIFS(Acerto_Detalhado!$F$2:$F$433,Acerto_Detalhado!$A$2:$A$433,$C1920,Acerto_Detalhado!$B$2:$B$433,"Mai",Acerto_Detalhado!$C$2:$C$433,"Fibra"))*(SUMIFS(Acerto_Detalhado!$I$2:$I$433,Acerto_Detalhado!$A$2:$A$433,$D1920,Acerto_Detalhado!$B$2:$B$433,"Mai",Acerto_Detalhado!$C$2:$C$433,"Fibra")),2)</f>
        <v>0</v>
      </c>
    </row>
    <row r="1921" customFormat="false" ht="15" hidden="false" customHeight="false" outlineLevel="0" collapsed="false">
      <c r="A1921" s="27" t="s">
        <v>115</v>
      </c>
      <c r="B1921" s="27" t="s">
        <v>111</v>
      </c>
      <c r="C1921" s="27" t="s">
        <v>45</v>
      </c>
      <c r="D1921" s="27" t="s">
        <v>41</v>
      </c>
      <c r="E1921" s="28" t="n">
        <f aca="false">ROUND((SUMIFS(Acerto_Detalhado!$F$2:$F$433,Acerto_Detalhado!$A$2:$A$433,$C1921,Acerto_Detalhado!$B$2:$B$433,"Mai",Acerto_Detalhado!$C$2:$C$433,"Fibra"))*(SUMIFS(Acerto_Detalhado!$I$2:$I$433,Acerto_Detalhado!$A$2:$A$433,$D1921,Acerto_Detalhado!$B$2:$B$433,"Mai",Acerto_Detalhado!$C$2:$C$433,"Fibra")),2)</f>
        <v>0</v>
      </c>
    </row>
    <row r="1922" customFormat="false" ht="15" hidden="false" customHeight="false" outlineLevel="0" collapsed="false">
      <c r="A1922" s="27" t="s">
        <v>115</v>
      </c>
      <c r="B1922" s="27" t="s">
        <v>111</v>
      </c>
      <c r="C1922" s="27" t="s">
        <v>45</v>
      </c>
      <c r="D1922" s="27" t="s">
        <v>42</v>
      </c>
      <c r="E1922" s="28" t="n">
        <f aca="false">ROUND((SUMIFS(Acerto_Detalhado!$F$2:$F$433,Acerto_Detalhado!$A$2:$A$433,$C1922,Acerto_Detalhado!$B$2:$B$433,"Mai",Acerto_Detalhado!$C$2:$C$433,"Fibra"))*(SUMIFS(Acerto_Detalhado!$I$2:$I$433,Acerto_Detalhado!$A$2:$A$433,$D1922,Acerto_Detalhado!$B$2:$B$433,"Mai",Acerto_Detalhado!$C$2:$C$433,"Fibra")),2)</f>
        <v>0</v>
      </c>
    </row>
    <row r="1923" customFormat="false" ht="15" hidden="false" customHeight="false" outlineLevel="0" collapsed="false">
      <c r="A1923" s="27" t="s">
        <v>115</v>
      </c>
      <c r="B1923" s="27" t="s">
        <v>111</v>
      </c>
      <c r="C1923" s="27" t="s">
        <v>45</v>
      </c>
      <c r="D1923" s="27" t="s">
        <v>43</v>
      </c>
      <c r="E1923" s="28" t="n">
        <f aca="false">ROUND((SUMIFS(Acerto_Detalhado!$F$2:$F$433,Acerto_Detalhado!$A$2:$A$433,$C1923,Acerto_Detalhado!$B$2:$B$433,"Mai",Acerto_Detalhado!$C$2:$C$433,"Fibra"))*(SUMIFS(Acerto_Detalhado!$I$2:$I$433,Acerto_Detalhado!$A$2:$A$433,$D1923,Acerto_Detalhado!$B$2:$B$433,"Mai",Acerto_Detalhado!$C$2:$C$433,"Fibra")),2)</f>
        <v>0</v>
      </c>
    </row>
    <row r="1924" customFormat="false" ht="15" hidden="false" customHeight="false" outlineLevel="0" collapsed="false">
      <c r="A1924" s="27" t="s">
        <v>115</v>
      </c>
      <c r="B1924" s="27" t="s">
        <v>111</v>
      </c>
      <c r="C1924" s="27" t="s">
        <v>45</v>
      </c>
      <c r="D1924" s="27" t="s">
        <v>44</v>
      </c>
      <c r="E1924" s="28" t="n">
        <f aca="false">ROUND((SUMIFS(Acerto_Detalhado!$F$2:$F$433,Acerto_Detalhado!$A$2:$A$433,$C1924,Acerto_Detalhado!$B$2:$B$433,"Mai",Acerto_Detalhado!$C$2:$C$433,"Fibra"))*(SUMIFS(Acerto_Detalhado!$I$2:$I$433,Acerto_Detalhado!$A$2:$A$433,$D1924,Acerto_Detalhado!$B$2:$B$433,"Mai",Acerto_Detalhado!$C$2:$C$433,"Fibra")),2)</f>
        <v>0</v>
      </c>
    </row>
    <row r="1925" customFormat="false" ht="15" hidden="false" customHeight="false" outlineLevel="0" collapsed="false">
      <c r="A1925" s="27" t="s">
        <v>115</v>
      </c>
      <c r="B1925" s="27" t="s">
        <v>111</v>
      </c>
      <c r="C1925" s="27" t="s">
        <v>45</v>
      </c>
      <c r="D1925" s="27" t="s">
        <v>46</v>
      </c>
      <c r="E1925" s="28" t="n">
        <f aca="false">ROUND((SUMIFS(Acerto_Detalhado!$F$2:$F$433,Acerto_Detalhado!$A$2:$A$433,$C1925,Acerto_Detalhado!$B$2:$B$433,"Mai",Acerto_Detalhado!$C$2:$C$433,"Fibra"))*(SUMIFS(Acerto_Detalhado!$I$2:$I$433,Acerto_Detalhado!$A$2:$A$433,$D1925,Acerto_Detalhado!$B$2:$B$433,"Mai",Acerto_Detalhado!$C$2:$C$433,"Fibra")),2)</f>
        <v>0</v>
      </c>
    </row>
    <row r="1926" customFormat="false" ht="15" hidden="false" customHeight="false" outlineLevel="0" collapsed="false">
      <c r="A1926" s="27" t="s">
        <v>115</v>
      </c>
      <c r="B1926" s="27" t="s">
        <v>111</v>
      </c>
      <c r="C1926" s="27" t="s">
        <v>45</v>
      </c>
      <c r="D1926" s="27" t="s">
        <v>47</v>
      </c>
      <c r="E1926" s="28" t="n">
        <f aca="false">ROUND((SUMIFS(Acerto_Detalhado!$F$2:$F$433,Acerto_Detalhado!$A$2:$A$433,$C1926,Acerto_Detalhado!$B$2:$B$433,"Mai",Acerto_Detalhado!$C$2:$C$433,"Fibra"))*(SUMIFS(Acerto_Detalhado!$I$2:$I$433,Acerto_Detalhado!$A$2:$A$433,$D1926,Acerto_Detalhado!$B$2:$B$433,"Mai",Acerto_Detalhado!$C$2:$C$433,"Fibra")),2)</f>
        <v>0</v>
      </c>
    </row>
    <row r="1927" customFormat="false" ht="15" hidden="false" customHeight="false" outlineLevel="0" collapsed="false">
      <c r="A1927" s="27" t="s">
        <v>115</v>
      </c>
      <c r="B1927" s="27" t="s">
        <v>111</v>
      </c>
      <c r="C1927" s="27" t="s">
        <v>45</v>
      </c>
      <c r="D1927" s="27" t="s">
        <v>48</v>
      </c>
      <c r="E1927" s="28" t="n">
        <f aca="false">ROUND((SUMIFS(Acerto_Detalhado!$F$2:$F$433,Acerto_Detalhado!$A$2:$A$433,$C1927,Acerto_Detalhado!$B$2:$B$433,"Mai",Acerto_Detalhado!$C$2:$C$433,"Fibra"))*(SUMIFS(Acerto_Detalhado!$I$2:$I$433,Acerto_Detalhado!$A$2:$A$433,$D1927,Acerto_Detalhado!$B$2:$B$433,"Mai",Acerto_Detalhado!$C$2:$C$433,"Fibra")),2)</f>
        <v>0</v>
      </c>
    </row>
    <row r="1928" customFormat="false" ht="15" hidden="false" customHeight="false" outlineLevel="0" collapsed="false">
      <c r="A1928" s="27" t="s">
        <v>115</v>
      </c>
      <c r="B1928" s="27" t="s">
        <v>111</v>
      </c>
      <c r="C1928" s="27" t="s">
        <v>45</v>
      </c>
      <c r="D1928" s="27" t="s">
        <v>49</v>
      </c>
      <c r="E1928" s="28" t="n">
        <f aca="false">ROUND((SUMIFS(Acerto_Detalhado!$F$2:$F$433,Acerto_Detalhado!$A$2:$A$433,$C1928,Acerto_Detalhado!$B$2:$B$433,"Mai",Acerto_Detalhado!$C$2:$C$433,"Fibra"))*(SUMIFS(Acerto_Detalhado!$I$2:$I$433,Acerto_Detalhado!$A$2:$A$433,$D1928,Acerto_Detalhado!$B$2:$B$433,"Mai",Acerto_Detalhado!$C$2:$C$433,"Fibra")),2)</f>
        <v>0</v>
      </c>
    </row>
    <row r="1929" customFormat="false" ht="15" hidden="false" customHeight="false" outlineLevel="0" collapsed="false">
      <c r="A1929" s="27" t="s">
        <v>115</v>
      </c>
      <c r="B1929" s="27" t="s">
        <v>111</v>
      </c>
      <c r="C1929" s="27" t="s">
        <v>45</v>
      </c>
      <c r="D1929" s="27" t="s">
        <v>50</v>
      </c>
      <c r="E1929" s="28" t="n">
        <f aca="false">ROUND((SUMIFS(Acerto_Detalhado!$F$2:$F$433,Acerto_Detalhado!$A$2:$A$433,$C1929,Acerto_Detalhado!$B$2:$B$433,"Mai",Acerto_Detalhado!$C$2:$C$433,"Fibra"))*(SUMIFS(Acerto_Detalhado!$I$2:$I$433,Acerto_Detalhado!$A$2:$A$433,$D1929,Acerto_Detalhado!$B$2:$B$433,"Mai",Acerto_Detalhado!$C$2:$C$433,"Fibra")),2)</f>
        <v>0</v>
      </c>
    </row>
    <row r="1930" customFormat="false" ht="15" hidden="false" customHeight="false" outlineLevel="0" collapsed="false">
      <c r="A1930" s="27" t="s">
        <v>115</v>
      </c>
      <c r="B1930" s="27" t="s">
        <v>111</v>
      </c>
      <c r="C1930" s="27" t="s">
        <v>46</v>
      </c>
      <c r="D1930" s="27" t="s">
        <v>39</v>
      </c>
      <c r="E1930" s="28" t="n">
        <f aca="false">ROUND((SUMIFS(Acerto_Detalhado!$F$2:$F$433,Acerto_Detalhado!$A$2:$A$433,$C1930,Acerto_Detalhado!$B$2:$B$433,"Mai",Acerto_Detalhado!$C$2:$C$433,"Fibra"))*(SUMIFS(Acerto_Detalhado!$I$2:$I$433,Acerto_Detalhado!$A$2:$A$433,$D1930,Acerto_Detalhado!$B$2:$B$433,"Mai",Acerto_Detalhado!$C$2:$C$433,"Fibra")),2)</f>
        <v>0</v>
      </c>
    </row>
    <row r="1931" customFormat="false" ht="15" hidden="false" customHeight="false" outlineLevel="0" collapsed="false">
      <c r="A1931" s="27" t="s">
        <v>115</v>
      </c>
      <c r="B1931" s="27" t="s">
        <v>111</v>
      </c>
      <c r="C1931" s="27" t="s">
        <v>46</v>
      </c>
      <c r="D1931" s="27" t="s">
        <v>40</v>
      </c>
      <c r="E1931" s="28" t="n">
        <f aca="false">ROUND((SUMIFS(Acerto_Detalhado!$F$2:$F$433,Acerto_Detalhado!$A$2:$A$433,$C1931,Acerto_Detalhado!$B$2:$B$433,"Mai",Acerto_Detalhado!$C$2:$C$433,"Fibra"))*(SUMIFS(Acerto_Detalhado!$I$2:$I$433,Acerto_Detalhado!$A$2:$A$433,$D1931,Acerto_Detalhado!$B$2:$B$433,"Mai",Acerto_Detalhado!$C$2:$C$433,"Fibra")),2)</f>
        <v>0</v>
      </c>
    </row>
    <row r="1932" customFormat="false" ht="15" hidden="false" customHeight="false" outlineLevel="0" collapsed="false">
      <c r="A1932" s="27" t="s">
        <v>115</v>
      </c>
      <c r="B1932" s="27" t="s">
        <v>111</v>
      </c>
      <c r="C1932" s="27" t="s">
        <v>46</v>
      </c>
      <c r="D1932" s="27" t="s">
        <v>41</v>
      </c>
      <c r="E1932" s="28" t="n">
        <f aca="false">ROUND((SUMIFS(Acerto_Detalhado!$F$2:$F$433,Acerto_Detalhado!$A$2:$A$433,$C1932,Acerto_Detalhado!$B$2:$B$433,"Mai",Acerto_Detalhado!$C$2:$C$433,"Fibra"))*(SUMIFS(Acerto_Detalhado!$I$2:$I$433,Acerto_Detalhado!$A$2:$A$433,$D1932,Acerto_Detalhado!$B$2:$B$433,"Mai",Acerto_Detalhado!$C$2:$C$433,"Fibra")),2)</f>
        <v>0</v>
      </c>
    </row>
    <row r="1933" customFormat="false" ht="15" hidden="false" customHeight="false" outlineLevel="0" collapsed="false">
      <c r="A1933" s="27" t="s">
        <v>115</v>
      </c>
      <c r="B1933" s="27" t="s">
        <v>111</v>
      </c>
      <c r="C1933" s="27" t="s">
        <v>46</v>
      </c>
      <c r="D1933" s="27" t="s">
        <v>42</v>
      </c>
      <c r="E1933" s="28" t="n">
        <f aca="false">ROUND((SUMIFS(Acerto_Detalhado!$F$2:$F$433,Acerto_Detalhado!$A$2:$A$433,$C1933,Acerto_Detalhado!$B$2:$B$433,"Mai",Acerto_Detalhado!$C$2:$C$433,"Fibra"))*(SUMIFS(Acerto_Detalhado!$I$2:$I$433,Acerto_Detalhado!$A$2:$A$433,$D1933,Acerto_Detalhado!$B$2:$B$433,"Mai",Acerto_Detalhado!$C$2:$C$433,"Fibra")),2)</f>
        <v>0</v>
      </c>
    </row>
    <row r="1934" customFormat="false" ht="15" hidden="false" customHeight="false" outlineLevel="0" collapsed="false">
      <c r="A1934" s="27" t="s">
        <v>115</v>
      </c>
      <c r="B1934" s="27" t="s">
        <v>111</v>
      </c>
      <c r="C1934" s="27" t="s">
        <v>46</v>
      </c>
      <c r="D1934" s="27" t="s">
        <v>43</v>
      </c>
      <c r="E1934" s="28" t="n">
        <f aca="false">ROUND((SUMIFS(Acerto_Detalhado!$F$2:$F$433,Acerto_Detalhado!$A$2:$A$433,$C1934,Acerto_Detalhado!$B$2:$B$433,"Mai",Acerto_Detalhado!$C$2:$C$433,"Fibra"))*(SUMIFS(Acerto_Detalhado!$I$2:$I$433,Acerto_Detalhado!$A$2:$A$433,$D1934,Acerto_Detalhado!$B$2:$B$433,"Mai",Acerto_Detalhado!$C$2:$C$433,"Fibra")),2)</f>
        <v>0</v>
      </c>
    </row>
    <row r="1935" customFormat="false" ht="15" hidden="false" customHeight="false" outlineLevel="0" collapsed="false">
      <c r="A1935" s="27" t="s">
        <v>115</v>
      </c>
      <c r="B1935" s="27" t="s">
        <v>111</v>
      </c>
      <c r="C1935" s="27" t="s">
        <v>46</v>
      </c>
      <c r="D1935" s="27" t="s">
        <v>44</v>
      </c>
      <c r="E1935" s="28" t="n">
        <f aca="false">ROUND((SUMIFS(Acerto_Detalhado!$F$2:$F$433,Acerto_Detalhado!$A$2:$A$433,$C1935,Acerto_Detalhado!$B$2:$B$433,"Mai",Acerto_Detalhado!$C$2:$C$433,"Fibra"))*(SUMIFS(Acerto_Detalhado!$I$2:$I$433,Acerto_Detalhado!$A$2:$A$433,$D1935,Acerto_Detalhado!$B$2:$B$433,"Mai",Acerto_Detalhado!$C$2:$C$433,"Fibra")),2)</f>
        <v>0</v>
      </c>
    </row>
    <row r="1936" customFormat="false" ht="15" hidden="false" customHeight="false" outlineLevel="0" collapsed="false">
      <c r="A1936" s="27" t="s">
        <v>115</v>
      </c>
      <c r="B1936" s="27" t="s">
        <v>111</v>
      </c>
      <c r="C1936" s="27" t="s">
        <v>46</v>
      </c>
      <c r="D1936" s="27" t="s">
        <v>45</v>
      </c>
      <c r="E1936" s="28" t="n">
        <f aca="false">ROUND((SUMIFS(Acerto_Detalhado!$F$2:$F$433,Acerto_Detalhado!$A$2:$A$433,$C1936,Acerto_Detalhado!$B$2:$B$433,"Mai",Acerto_Detalhado!$C$2:$C$433,"Fibra"))*(SUMIFS(Acerto_Detalhado!$I$2:$I$433,Acerto_Detalhado!$A$2:$A$433,$D1936,Acerto_Detalhado!$B$2:$B$433,"Mai",Acerto_Detalhado!$C$2:$C$433,"Fibra")),2)</f>
        <v>0</v>
      </c>
    </row>
    <row r="1937" customFormat="false" ht="15" hidden="false" customHeight="false" outlineLevel="0" collapsed="false">
      <c r="A1937" s="27" t="s">
        <v>115</v>
      </c>
      <c r="B1937" s="27" t="s">
        <v>111</v>
      </c>
      <c r="C1937" s="27" t="s">
        <v>46</v>
      </c>
      <c r="D1937" s="27" t="s">
        <v>47</v>
      </c>
      <c r="E1937" s="28" t="n">
        <f aca="false">ROUND((SUMIFS(Acerto_Detalhado!$F$2:$F$433,Acerto_Detalhado!$A$2:$A$433,$C1937,Acerto_Detalhado!$B$2:$B$433,"Mai",Acerto_Detalhado!$C$2:$C$433,"Fibra"))*(SUMIFS(Acerto_Detalhado!$I$2:$I$433,Acerto_Detalhado!$A$2:$A$433,$D1937,Acerto_Detalhado!$B$2:$B$433,"Mai",Acerto_Detalhado!$C$2:$C$433,"Fibra")),2)</f>
        <v>0</v>
      </c>
    </row>
    <row r="1938" customFormat="false" ht="15" hidden="false" customHeight="false" outlineLevel="0" collapsed="false">
      <c r="A1938" s="27" t="s">
        <v>115</v>
      </c>
      <c r="B1938" s="27" t="s">
        <v>111</v>
      </c>
      <c r="C1938" s="27" t="s">
        <v>46</v>
      </c>
      <c r="D1938" s="27" t="s">
        <v>48</v>
      </c>
      <c r="E1938" s="28" t="n">
        <f aca="false">ROUND((SUMIFS(Acerto_Detalhado!$F$2:$F$433,Acerto_Detalhado!$A$2:$A$433,$C1938,Acerto_Detalhado!$B$2:$B$433,"Mai",Acerto_Detalhado!$C$2:$C$433,"Fibra"))*(SUMIFS(Acerto_Detalhado!$I$2:$I$433,Acerto_Detalhado!$A$2:$A$433,$D1938,Acerto_Detalhado!$B$2:$B$433,"Mai",Acerto_Detalhado!$C$2:$C$433,"Fibra")),2)</f>
        <v>0</v>
      </c>
    </row>
    <row r="1939" customFormat="false" ht="15" hidden="false" customHeight="false" outlineLevel="0" collapsed="false">
      <c r="A1939" s="27" t="s">
        <v>115</v>
      </c>
      <c r="B1939" s="27" t="s">
        <v>111</v>
      </c>
      <c r="C1939" s="27" t="s">
        <v>46</v>
      </c>
      <c r="D1939" s="27" t="s">
        <v>49</v>
      </c>
      <c r="E1939" s="28" t="n">
        <f aca="false">ROUND((SUMIFS(Acerto_Detalhado!$F$2:$F$433,Acerto_Detalhado!$A$2:$A$433,$C1939,Acerto_Detalhado!$B$2:$B$433,"Mai",Acerto_Detalhado!$C$2:$C$433,"Fibra"))*(SUMIFS(Acerto_Detalhado!$I$2:$I$433,Acerto_Detalhado!$A$2:$A$433,$D1939,Acerto_Detalhado!$B$2:$B$433,"Mai",Acerto_Detalhado!$C$2:$C$433,"Fibra")),2)</f>
        <v>0</v>
      </c>
    </row>
    <row r="1940" customFormat="false" ht="15" hidden="false" customHeight="false" outlineLevel="0" collapsed="false">
      <c r="A1940" s="27" t="s">
        <v>115</v>
      </c>
      <c r="B1940" s="27" t="s">
        <v>111</v>
      </c>
      <c r="C1940" s="27" t="s">
        <v>46</v>
      </c>
      <c r="D1940" s="27" t="s">
        <v>50</v>
      </c>
      <c r="E1940" s="28" t="n">
        <f aca="false">ROUND((SUMIFS(Acerto_Detalhado!$F$2:$F$433,Acerto_Detalhado!$A$2:$A$433,$C1940,Acerto_Detalhado!$B$2:$B$433,"Mai",Acerto_Detalhado!$C$2:$C$433,"Fibra"))*(SUMIFS(Acerto_Detalhado!$I$2:$I$433,Acerto_Detalhado!$A$2:$A$433,$D1940,Acerto_Detalhado!$B$2:$B$433,"Mai",Acerto_Detalhado!$C$2:$C$433,"Fibra")),2)</f>
        <v>0</v>
      </c>
    </row>
    <row r="1941" customFormat="false" ht="15" hidden="false" customHeight="false" outlineLevel="0" collapsed="false">
      <c r="A1941" s="27" t="s">
        <v>115</v>
      </c>
      <c r="B1941" s="27" t="s">
        <v>111</v>
      </c>
      <c r="C1941" s="27" t="s">
        <v>47</v>
      </c>
      <c r="D1941" s="27" t="s">
        <v>39</v>
      </c>
      <c r="E1941" s="28" t="n">
        <f aca="false">ROUND((SUMIFS(Acerto_Detalhado!$F$2:$F$433,Acerto_Detalhado!$A$2:$A$433,$C1941,Acerto_Detalhado!$B$2:$B$433,"Mai",Acerto_Detalhado!$C$2:$C$433,"Fibra"))*(SUMIFS(Acerto_Detalhado!$I$2:$I$433,Acerto_Detalhado!$A$2:$A$433,$D1941,Acerto_Detalhado!$B$2:$B$433,"Mai",Acerto_Detalhado!$C$2:$C$433,"Fibra")),2)</f>
        <v>0</v>
      </c>
    </row>
    <row r="1942" customFormat="false" ht="15" hidden="false" customHeight="false" outlineLevel="0" collapsed="false">
      <c r="A1942" s="27" t="s">
        <v>115</v>
      </c>
      <c r="B1942" s="27" t="s">
        <v>111</v>
      </c>
      <c r="C1942" s="27" t="s">
        <v>47</v>
      </c>
      <c r="D1942" s="27" t="s">
        <v>40</v>
      </c>
      <c r="E1942" s="28" t="n">
        <f aca="false">ROUND((SUMIFS(Acerto_Detalhado!$F$2:$F$433,Acerto_Detalhado!$A$2:$A$433,$C1942,Acerto_Detalhado!$B$2:$B$433,"Mai",Acerto_Detalhado!$C$2:$C$433,"Fibra"))*(SUMIFS(Acerto_Detalhado!$I$2:$I$433,Acerto_Detalhado!$A$2:$A$433,$D1942,Acerto_Detalhado!$B$2:$B$433,"Mai",Acerto_Detalhado!$C$2:$C$433,"Fibra")),2)</f>
        <v>0</v>
      </c>
    </row>
    <row r="1943" customFormat="false" ht="15" hidden="false" customHeight="false" outlineLevel="0" collapsed="false">
      <c r="A1943" s="27" t="s">
        <v>115</v>
      </c>
      <c r="B1943" s="27" t="s">
        <v>111</v>
      </c>
      <c r="C1943" s="27" t="s">
        <v>47</v>
      </c>
      <c r="D1943" s="27" t="s">
        <v>41</v>
      </c>
      <c r="E1943" s="28" t="n">
        <f aca="false">ROUND((SUMIFS(Acerto_Detalhado!$F$2:$F$433,Acerto_Detalhado!$A$2:$A$433,$C1943,Acerto_Detalhado!$B$2:$B$433,"Mai",Acerto_Detalhado!$C$2:$C$433,"Fibra"))*(SUMIFS(Acerto_Detalhado!$I$2:$I$433,Acerto_Detalhado!$A$2:$A$433,$D1943,Acerto_Detalhado!$B$2:$B$433,"Mai",Acerto_Detalhado!$C$2:$C$433,"Fibra")),2)</f>
        <v>0</v>
      </c>
    </row>
    <row r="1944" customFormat="false" ht="15" hidden="false" customHeight="false" outlineLevel="0" collapsed="false">
      <c r="A1944" s="27" t="s">
        <v>115</v>
      </c>
      <c r="B1944" s="27" t="s">
        <v>111</v>
      </c>
      <c r="C1944" s="27" t="s">
        <v>47</v>
      </c>
      <c r="D1944" s="27" t="s">
        <v>42</v>
      </c>
      <c r="E1944" s="28" t="n">
        <f aca="false">ROUND((SUMIFS(Acerto_Detalhado!$F$2:$F$433,Acerto_Detalhado!$A$2:$A$433,$C1944,Acerto_Detalhado!$B$2:$B$433,"Mai",Acerto_Detalhado!$C$2:$C$433,"Fibra"))*(SUMIFS(Acerto_Detalhado!$I$2:$I$433,Acerto_Detalhado!$A$2:$A$433,$D1944,Acerto_Detalhado!$B$2:$B$433,"Mai",Acerto_Detalhado!$C$2:$C$433,"Fibra")),2)</f>
        <v>0</v>
      </c>
    </row>
    <row r="1945" customFormat="false" ht="15" hidden="false" customHeight="false" outlineLevel="0" collapsed="false">
      <c r="A1945" s="27" t="s">
        <v>115</v>
      </c>
      <c r="B1945" s="27" t="s">
        <v>111</v>
      </c>
      <c r="C1945" s="27" t="s">
        <v>47</v>
      </c>
      <c r="D1945" s="27" t="s">
        <v>43</v>
      </c>
      <c r="E1945" s="28" t="n">
        <f aca="false">ROUND((SUMIFS(Acerto_Detalhado!$F$2:$F$433,Acerto_Detalhado!$A$2:$A$433,$C1945,Acerto_Detalhado!$B$2:$B$433,"Mai",Acerto_Detalhado!$C$2:$C$433,"Fibra"))*(SUMIFS(Acerto_Detalhado!$I$2:$I$433,Acerto_Detalhado!$A$2:$A$433,$D1945,Acerto_Detalhado!$B$2:$B$433,"Mai",Acerto_Detalhado!$C$2:$C$433,"Fibra")),2)</f>
        <v>0</v>
      </c>
    </row>
    <row r="1946" customFormat="false" ht="15" hidden="false" customHeight="false" outlineLevel="0" collapsed="false">
      <c r="A1946" s="27" t="s">
        <v>115</v>
      </c>
      <c r="B1946" s="27" t="s">
        <v>111</v>
      </c>
      <c r="C1946" s="27" t="s">
        <v>47</v>
      </c>
      <c r="D1946" s="27" t="s">
        <v>44</v>
      </c>
      <c r="E1946" s="28" t="n">
        <f aca="false">ROUND((SUMIFS(Acerto_Detalhado!$F$2:$F$433,Acerto_Detalhado!$A$2:$A$433,$C1946,Acerto_Detalhado!$B$2:$B$433,"Mai",Acerto_Detalhado!$C$2:$C$433,"Fibra"))*(SUMIFS(Acerto_Detalhado!$I$2:$I$433,Acerto_Detalhado!$A$2:$A$433,$D1946,Acerto_Detalhado!$B$2:$B$433,"Mai",Acerto_Detalhado!$C$2:$C$433,"Fibra")),2)</f>
        <v>0</v>
      </c>
    </row>
    <row r="1947" customFormat="false" ht="15" hidden="false" customHeight="false" outlineLevel="0" collapsed="false">
      <c r="A1947" s="27" t="s">
        <v>115</v>
      </c>
      <c r="B1947" s="27" t="s">
        <v>111</v>
      </c>
      <c r="C1947" s="27" t="s">
        <v>47</v>
      </c>
      <c r="D1947" s="27" t="s">
        <v>45</v>
      </c>
      <c r="E1947" s="28" t="n">
        <f aca="false">ROUND((SUMIFS(Acerto_Detalhado!$F$2:$F$433,Acerto_Detalhado!$A$2:$A$433,$C1947,Acerto_Detalhado!$B$2:$B$433,"Mai",Acerto_Detalhado!$C$2:$C$433,"Fibra"))*(SUMIFS(Acerto_Detalhado!$I$2:$I$433,Acerto_Detalhado!$A$2:$A$433,$D1947,Acerto_Detalhado!$B$2:$B$433,"Mai",Acerto_Detalhado!$C$2:$C$433,"Fibra")),2)</f>
        <v>0</v>
      </c>
    </row>
    <row r="1948" customFormat="false" ht="15" hidden="false" customHeight="false" outlineLevel="0" collapsed="false">
      <c r="A1948" s="27" t="s">
        <v>115</v>
      </c>
      <c r="B1948" s="27" t="s">
        <v>111</v>
      </c>
      <c r="C1948" s="27" t="s">
        <v>47</v>
      </c>
      <c r="D1948" s="27" t="s">
        <v>46</v>
      </c>
      <c r="E1948" s="28" t="n">
        <f aca="false">ROUND((SUMIFS(Acerto_Detalhado!$F$2:$F$433,Acerto_Detalhado!$A$2:$A$433,$C1948,Acerto_Detalhado!$B$2:$B$433,"Mai",Acerto_Detalhado!$C$2:$C$433,"Fibra"))*(SUMIFS(Acerto_Detalhado!$I$2:$I$433,Acerto_Detalhado!$A$2:$A$433,$D1948,Acerto_Detalhado!$B$2:$B$433,"Mai",Acerto_Detalhado!$C$2:$C$433,"Fibra")),2)</f>
        <v>0</v>
      </c>
    </row>
    <row r="1949" customFormat="false" ht="15" hidden="false" customHeight="false" outlineLevel="0" collapsed="false">
      <c r="A1949" s="27" t="s">
        <v>115</v>
      </c>
      <c r="B1949" s="27" t="s">
        <v>111</v>
      </c>
      <c r="C1949" s="27" t="s">
        <v>47</v>
      </c>
      <c r="D1949" s="27" t="s">
        <v>48</v>
      </c>
      <c r="E1949" s="28" t="n">
        <f aca="false">ROUND((SUMIFS(Acerto_Detalhado!$F$2:$F$433,Acerto_Detalhado!$A$2:$A$433,$C1949,Acerto_Detalhado!$B$2:$B$433,"Mai",Acerto_Detalhado!$C$2:$C$433,"Fibra"))*(SUMIFS(Acerto_Detalhado!$I$2:$I$433,Acerto_Detalhado!$A$2:$A$433,$D1949,Acerto_Detalhado!$B$2:$B$433,"Mai",Acerto_Detalhado!$C$2:$C$433,"Fibra")),2)</f>
        <v>0</v>
      </c>
    </row>
    <row r="1950" customFormat="false" ht="15" hidden="false" customHeight="false" outlineLevel="0" collapsed="false">
      <c r="A1950" s="27" t="s">
        <v>115</v>
      </c>
      <c r="B1950" s="27" t="s">
        <v>111</v>
      </c>
      <c r="C1950" s="27" t="s">
        <v>47</v>
      </c>
      <c r="D1950" s="27" t="s">
        <v>49</v>
      </c>
      <c r="E1950" s="28" t="n">
        <f aca="false">ROUND((SUMIFS(Acerto_Detalhado!$F$2:$F$433,Acerto_Detalhado!$A$2:$A$433,$C1950,Acerto_Detalhado!$B$2:$B$433,"Mai",Acerto_Detalhado!$C$2:$C$433,"Fibra"))*(SUMIFS(Acerto_Detalhado!$I$2:$I$433,Acerto_Detalhado!$A$2:$A$433,$D1950,Acerto_Detalhado!$B$2:$B$433,"Mai",Acerto_Detalhado!$C$2:$C$433,"Fibra")),2)</f>
        <v>0</v>
      </c>
    </row>
    <row r="1951" customFormat="false" ht="15" hidden="false" customHeight="false" outlineLevel="0" collapsed="false">
      <c r="A1951" s="27" t="s">
        <v>115</v>
      </c>
      <c r="B1951" s="27" t="s">
        <v>111</v>
      </c>
      <c r="C1951" s="27" t="s">
        <v>47</v>
      </c>
      <c r="D1951" s="27" t="s">
        <v>50</v>
      </c>
      <c r="E1951" s="28" t="n">
        <f aca="false">ROUND((SUMIFS(Acerto_Detalhado!$F$2:$F$433,Acerto_Detalhado!$A$2:$A$433,$C1951,Acerto_Detalhado!$B$2:$B$433,"Mai",Acerto_Detalhado!$C$2:$C$433,"Fibra"))*(SUMIFS(Acerto_Detalhado!$I$2:$I$433,Acerto_Detalhado!$A$2:$A$433,$D1951,Acerto_Detalhado!$B$2:$B$433,"Mai",Acerto_Detalhado!$C$2:$C$433,"Fibra")),2)</f>
        <v>0</v>
      </c>
    </row>
    <row r="1952" customFormat="false" ht="15" hidden="false" customHeight="false" outlineLevel="0" collapsed="false">
      <c r="A1952" s="27" t="s">
        <v>115</v>
      </c>
      <c r="B1952" s="27" t="s">
        <v>111</v>
      </c>
      <c r="C1952" s="27" t="s">
        <v>48</v>
      </c>
      <c r="D1952" s="27" t="s">
        <v>39</v>
      </c>
      <c r="E1952" s="28" t="n">
        <f aca="false">ROUND((SUMIFS(Acerto_Detalhado!$F$2:$F$433,Acerto_Detalhado!$A$2:$A$433,$C1952,Acerto_Detalhado!$B$2:$B$433,"Mai",Acerto_Detalhado!$C$2:$C$433,"Fibra"))*(SUMIFS(Acerto_Detalhado!$I$2:$I$433,Acerto_Detalhado!$A$2:$A$433,$D1952,Acerto_Detalhado!$B$2:$B$433,"Mai",Acerto_Detalhado!$C$2:$C$433,"Fibra")),2)</f>
        <v>0</v>
      </c>
    </row>
    <row r="1953" customFormat="false" ht="15" hidden="false" customHeight="false" outlineLevel="0" collapsed="false">
      <c r="A1953" s="27" t="s">
        <v>115</v>
      </c>
      <c r="B1953" s="27" t="s">
        <v>111</v>
      </c>
      <c r="C1953" s="27" t="s">
        <v>48</v>
      </c>
      <c r="D1953" s="27" t="s">
        <v>40</v>
      </c>
      <c r="E1953" s="28" t="n">
        <f aca="false">ROUND((SUMIFS(Acerto_Detalhado!$F$2:$F$433,Acerto_Detalhado!$A$2:$A$433,$C1953,Acerto_Detalhado!$B$2:$B$433,"Mai",Acerto_Detalhado!$C$2:$C$433,"Fibra"))*(SUMIFS(Acerto_Detalhado!$I$2:$I$433,Acerto_Detalhado!$A$2:$A$433,$D1953,Acerto_Detalhado!$B$2:$B$433,"Mai",Acerto_Detalhado!$C$2:$C$433,"Fibra")),2)</f>
        <v>0</v>
      </c>
    </row>
    <row r="1954" customFormat="false" ht="15" hidden="false" customHeight="false" outlineLevel="0" collapsed="false">
      <c r="A1954" s="27" t="s">
        <v>115</v>
      </c>
      <c r="B1954" s="27" t="s">
        <v>111</v>
      </c>
      <c r="C1954" s="27" t="s">
        <v>48</v>
      </c>
      <c r="D1954" s="27" t="s">
        <v>41</v>
      </c>
      <c r="E1954" s="28" t="n">
        <f aca="false">ROUND((SUMIFS(Acerto_Detalhado!$F$2:$F$433,Acerto_Detalhado!$A$2:$A$433,$C1954,Acerto_Detalhado!$B$2:$B$433,"Mai",Acerto_Detalhado!$C$2:$C$433,"Fibra"))*(SUMIFS(Acerto_Detalhado!$I$2:$I$433,Acerto_Detalhado!$A$2:$A$433,$D1954,Acerto_Detalhado!$B$2:$B$433,"Mai",Acerto_Detalhado!$C$2:$C$433,"Fibra")),2)</f>
        <v>0</v>
      </c>
    </row>
    <row r="1955" customFormat="false" ht="15" hidden="false" customHeight="false" outlineLevel="0" collapsed="false">
      <c r="A1955" s="27" t="s">
        <v>115</v>
      </c>
      <c r="B1955" s="27" t="s">
        <v>111</v>
      </c>
      <c r="C1955" s="27" t="s">
        <v>48</v>
      </c>
      <c r="D1955" s="27" t="s">
        <v>42</v>
      </c>
      <c r="E1955" s="28" t="n">
        <f aca="false">ROUND((SUMIFS(Acerto_Detalhado!$F$2:$F$433,Acerto_Detalhado!$A$2:$A$433,$C1955,Acerto_Detalhado!$B$2:$B$433,"Mai",Acerto_Detalhado!$C$2:$C$433,"Fibra"))*(SUMIFS(Acerto_Detalhado!$I$2:$I$433,Acerto_Detalhado!$A$2:$A$433,$D1955,Acerto_Detalhado!$B$2:$B$433,"Mai",Acerto_Detalhado!$C$2:$C$433,"Fibra")),2)</f>
        <v>0</v>
      </c>
    </row>
    <row r="1956" customFormat="false" ht="15" hidden="false" customHeight="false" outlineLevel="0" collapsed="false">
      <c r="A1956" s="27" t="s">
        <v>115</v>
      </c>
      <c r="B1956" s="27" t="s">
        <v>111</v>
      </c>
      <c r="C1956" s="27" t="s">
        <v>48</v>
      </c>
      <c r="D1956" s="27" t="s">
        <v>43</v>
      </c>
      <c r="E1956" s="28" t="n">
        <f aca="false">ROUND((SUMIFS(Acerto_Detalhado!$F$2:$F$433,Acerto_Detalhado!$A$2:$A$433,$C1956,Acerto_Detalhado!$B$2:$B$433,"Mai",Acerto_Detalhado!$C$2:$C$433,"Fibra"))*(SUMIFS(Acerto_Detalhado!$I$2:$I$433,Acerto_Detalhado!$A$2:$A$433,$D1956,Acerto_Detalhado!$B$2:$B$433,"Mai",Acerto_Detalhado!$C$2:$C$433,"Fibra")),2)</f>
        <v>0</v>
      </c>
    </row>
    <row r="1957" customFormat="false" ht="15" hidden="false" customHeight="false" outlineLevel="0" collapsed="false">
      <c r="A1957" s="27" t="s">
        <v>115</v>
      </c>
      <c r="B1957" s="27" t="s">
        <v>111</v>
      </c>
      <c r="C1957" s="27" t="s">
        <v>48</v>
      </c>
      <c r="D1957" s="27" t="s">
        <v>44</v>
      </c>
      <c r="E1957" s="28" t="n">
        <f aca="false">ROUND((SUMIFS(Acerto_Detalhado!$F$2:$F$433,Acerto_Detalhado!$A$2:$A$433,$C1957,Acerto_Detalhado!$B$2:$B$433,"Mai",Acerto_Detalhado!$C$2:$C$433,"Fibra"))*(SUMIFS(Acerto_Detalhado!$I$2:$I$433,Acerto_Detalhado!$A$2:$A$433,$D1957,Acerto_Detalhado!$B$2:$B$433,"Mai",Acerto_Detalhado!$C$2:$C$433,"Fibra")),2)</f>
        <v>0</v>
      </c>
    </row>
    <row r="1958" customFormat="false" ht="15" hidden="false" customHeight="false" outlineLevel="0" collapsed="false">
      <c r="A1958" s="27" t="s">
        <v>115</v>
      </c>
      <c r="B1958" s="27" t="s">
        <v>111</v>
      </c>
      <c r="C1958" s="27" t="s">
        <v>48</v>
      </c>
      <c r="D1958" s="27" t="s">
        <v>45</v>
      </c>
      <c r="E1958" s="28" t="n">
        <f aca="false">ROUND((SUMIFS(Acerto_Detalhado!$F$2:$F$433,Acerto_Detalhado!$A$2:$A$433,$C1958,Acerto_Detalhado!$B$2:$B$433,"Mai",Acerto_Detalhado!$C$2:$C$433,"Fibra"))*(SUMIFS(Acerto_Detalhado!$I$2:$I$433,Acerto_Detalhado!$A$2:$A$433,$D1958,Acerto_Detalhado!$B$2:$B$433,"Mai",Acerto_Detalhado!$C$2:$C$433,"Fibra")),2)</f>
        <v>0</v>
      </c>
    </row>
    <row r="1959" customFormat="false" ht="15" hidden="false" customHeight="false" outlineLevel="0" collapsed="false">
      <c r="A1959" s="27" t="s">
        <v>115</v>
      </c>
      <c r="B1959" s="27" t="s">
        <v>111</v>
      </c>
      <c r="C1959" s="27" t="s">
        <v>48</v>
      </c>
      <c r="D1959" s="27" t="s">
        <v>46</v>
      </c>
      <c r="E1959" s="28" t="n">
        <f aca="false">ROUND((SUMIFS(Acerto_Detalhado!$F$2:$F$433,Acerto_Detalhado!$A$2:$A$433,$C1959,Acerto_Detalhado!$B$2:$B$433,"Mai",Acerto_Detalhado!$C$2:$C$433,"Fibra"))*(SUMIFS(Acerto_Detalhado!$I$2:$I$433,Acerto_Detalhado!$A$2:$A$433,$D1959,Acerto_Detalhado!$B$2:$B$433,"Mai",Acerto_Detalhado!$C$2:$C$433,"Fibra")),2)</f>
        <v>0</v>
      </c>
    </row>
    <row r="1960" customFormat="false" ht="15" hidden="false" customHeight="false" outlineLevel="0" collapsed="false">
      <c r="A1960" s="27" t="s">
        <v>115</v>
      </c>
      <c r="B1960" s="27" t="s">
        <v>111</v>
      </c>
      <c r="C1960" s="27" t="s">
        <v>48</v>
      </c>
      <c r="D1960" s="27" t="s">
        <v>47</v>
      </c>
      <c r="E1960" s="28" t="n">
        <f aca="false">ROUND((SUMIFS(Acerto_Detalhado!$F$2:$F$433,Acerto_Detalhado!$A$2:$A$433,$C1960,Acerto_Detalhado!$B$2:$B$433,"Mai",Acerto_Detalhado!$C$2:$C$433,"Fibra"))*(SUMIFS(Acerto_Detalhado!$I$2:$I$433,Acerto_Detalhado!$A$2:$A$433,$D1960,Acerto_Detalhado!$B$2:$B$433,"Mai",Acerto_Detalhado!$C$2:$C$433,"Fibra")),2)</f>
        <v>0</v>
      </c>
    </row>
    <row r="1961" customFormat="false" ht="15" hidden="false" customHeight="false" outlineLevel="0" collapsed="false">
      <c r="A1961" s="27" t="s">
        <v>115</v>
      </c>
      <c r="B1961" s="27" t="s">
        <v>111</v>
      </c>
      <c r="C1961" s="27" t="s">
        <v>48</v>
      </c>
      <c r="D1961" s="27" t="s">
        <v>49</v>
      </c>
      <c r="E1961" s="28" t="n">
        <f aca="false">ROUND((SUMIFS(Acerto_Detalhado!$F$2:$F$433,Acerto_Detalhado!$A$2:$A$433,$C1961,Acerto_Detalhado!$B$2:$B$433,"Mai",Acerto_Detalhado!$C$2:$C$433,"Fibra"))*(SUMIFS(Acerto_Detalhado!$I$2:$I$433,Acerto_Detalhado!$A$2:$A$433,$D1961,Acerto_Detalhado!$B$2:$B$433,"Mai",Acerto_Detalhado!$C$2:$C$433,"Fibra")),2)</f>
        <v>0</v>
      </c>
    </row>
    <row r="1962" customFormat="false" ht="15" hidden="false" customHeight="false" outlineLevel="0" collapsed="false">
      <c r="A1962" s="27" t="s">
        <v>115</v>
      </c>
      <c r="B1962" s="27" t="s">
        <v>111</v>
      </c>
      <c r="C1962" s="27" t="s">
        <v>48</v>
      </c>
      <c r="D1962" s="27" t="s">
        <v>50</v>
      </c>
      <c r="E1962" s="28" t="n">
        <f aca="false">ROUND((SUMIFS(Acerto_Detalhado!$F$2:$F$433,Acerto_Detalhado!$A$2:$A$433,$C1962,Acerto_Detalhado!$B$2:$B$433,"Mai",Acerto_Detalhado!$C$2:$C$433,"Fibra"))*(SUMIFS(Acerto_Detalhado!$I$2:$I$433,Acerto_Detalhado!$A$2:$A$433,$D1962,Acerto_Detalhado!$B$2:$B$433,"Mai",Acerto_Detalhado!$C$2:$C$433,"Fibra")),2)</f>
        <v>0</v>
      </c>
    </row>
    <row r="1963" customFormat="false" ht="15" hidden="false" customHeight="false" outlineLevel="0" collapsed="false">
      <c r="A1963" s="27" t="s">
        <v>115</v>
      </c>
      <c r="B1963" s="27" t="s">
        <v>111</v>
      </c>
      <c r="C1963" s="27" t="s">
        <v>49</v>
      </c>
      <c r="D1963" s="27" t="s">
        <v>39</v>
      </c>
      <c r="E1963" s="28" t="n">
        <f aca="false">ROUND((SUMIFS(Acerto_Detalhado!$F$2:$F$433,Acerto_Detalhado!$A$2:$A$433,$C1963,Acerto_Detalhado!$B$2:$B$433,"Mai",Acerto_Detalhado!$C$2:$C$433,"Fibra"))*(SUMIFS(Acerto_Detalhado!$I$2:$I$433,Acerto_Detalhado!$A$2:$A$433,$D1963,Acerto_Detalhado!$B$2:$B$433,"Mai",Acerto_Detalhado!$C$2:$C$433,"Fibra")),2)</f>
        <v>0</v>
      </c>
    </row>
    <row r="1964" customFormat="false" ht="15" hidden="false" customHeight="false" outlineLevel="0" collapsed="false">
      <c r="A1964" s="27" t="s">
        <v>115</v>
      </c>
      <c r="B1964" s="27" t="s">
        <v>111</v>
      </c>
      <c r="C1964" s="27" t="s">
        <v>49</v>
      </c>
      <c r="D1964" s="27" t="s">
        <v>40</v>
      </c>
      <c r="E1964" s="28" t="n">
        <f aca="false">ROUND((SUMIFS(Acerto_Detalhado!$F$2:$F$433,Acerto_Detalhado!$A$2:$A$433,$C1964,Acerto_Detalhado!$B$2:$B$433,"Mai",Acerto_Detalhado!$C$2:$C$433,"Fibra"))*(SUMIFS(Acerto_Detalhado!$I$2:$I$433,Acerto_Detalhado!$A$2:$A$433,$D1964,Acerto_Detalhado!$B$2:$B$433,"Mai",Acerto_Detalhado!$C$2:$C$433,"Fibra")),2)</f>
        <v>0</v>
      </c>
    </row>
    <row r="1965" customFormat="false" ht="15" hidden="false" customHeight="false" outlineLevel="0" collapsed="false">
      <c r="A1965" s="27" t="s">
        <v>115</v>
      </c>
      <c r="B1965" s="27" t="s">
        <v>111</v>
      </c>
      <c r="C1965" s="27" t="s">
        <v>49</v>
      </c>
      <c r="D1965" s="27" t="s">
        <v>41</v>
      </c>
      <c r="E1965" s="28" t="n">
        <f aca="false">ROUND((SUMIFS(Acerto_Detalhado!$F$2:$F$433,Acerto_Detalhado!$A$2:$A$433,$C1965,Acerto_Detalhado!$B$2:$B$433,"Mai",Acerto_Detalhado!$C$2:$C$433,"Fibra"))*(SUMIFS(Acerto_Detalhado!$I$2:$I$433,Acerto_Detalhado!$A$2:$A$433,$D1965,Acerto_Detalhado!$B$2:$B$433,"Mai",Acerto_Detalhado!$C$2:$C$433,"Fibra")),2)</f>
        <v>0</v>
      </c>
    </row>
    <row r="1966" customFormat="false" ht="15" hidden="false" customHeight="false" outlineLevel="0" collapsed="false">
      <c r="A1966" s="27" t="s">
        <v>115</v>
      </c>
      <c r="B1966" s="27" t="s">
        <v>111</v>
      </c>
      <c r="C1966" s="27" t="s">
        <v>49</v>
      </c>
      <c r="D1966" s="27" t="s">
        <v>42</v>
      </c>
      <c r="E1966" s="28" t="n">
        <f aca="false">ROUND((SUMIFS(Acerto_Detalhado!$F$2:$F$433,Acerto_Detalhado!$A$2:$A$433,$C1966,Acerto_Detalhado!$B$2:$B$433,"Mai",Acerto_Detalhado!$C$2:$C$433,"Fibra"))*(SUMIFS(Acerto_Detalhado!$I$2:$I$433,Acerto_Detalhado!$A$2:$A$433,$D1966,Acerto_Detalhado!$B$2:$B$433,"Mai",Acerto_Detalhado!$C$2:$C$433,"Fibra")),2)</f>
        <v>0</v>
      </c>
    </row>
    <row r="1967" customFormat="false" ht="15" hidden="false" customHeight="false" outlineLevel="0" collapsed="false">
      <c r="A1967" s="27" t="s">
        <v>115</v>
      </c>
      <c r="B1967" s="27" t="s">
        <v>111</v>
      </c>
      <c r="C1967" s="27" t="s">
        <v>49</v>
      </c>
      <c r="D1967" s="27" t="s">
        <v>43</v>
      </c>
      <c r="E1967" s="28" t="n">
        <f aca="false">ROUND((SUMIFS(Acerto_Detalhado!$F$2:$F$433,Acerto_Detalhado!$A$2:$A$433,$C1967,Acerto_Detalhado!$B$2:$B$433,"Mai",Acerto_Detalhado!$C$2:$C$433,"Fibra"))*(SUMIFS(Acerto_Detalhado!$I$2:$I$433,Acerto_Detalhado!$A$2:$A$433,$D1967,Acerto_Detalhado!$B$2:$B$433,"Mai",Acerto_Detalhado!$C$2:$C$433,"Fibra")),2)</f>
        <v>0</v>
      </c>
    </row>
    <row r="1968" customFormat="false" ht="15" hidden="false" customHeight="false" outlineLevel="0" collapsed="false">
      <c r="A1968" s="27" t="s">
        <v>115</v>
      </c>
      <c r="B1968" s="27" t="s">
        <v>111</v>
      </c>
      <c r="C1968" s="27" t="s">
        <v>49</v>
      </c>
      <c r="D1968" s="27" t="s">
        <v>44</v>
      </c>
      <c r="E1968" s="28" t="n">
        <f aca="false">ROUND((SUMIFS(Acerto_Detalhado!$F$2:$F$433,Acerto_Detalhado!$A$2:$A$433,$C1968,Acerto_Detalhado!$B$2:$B$433,"Mai",Acerto_Detalhado!$C$2:$C$433,"Fibra"))*(SUMIFS(Acerto_Detalhado!$I$2:$I$433,Acerto_Detalhado!$A$2:$A$433,$D1968,Acerto_Detalhado!$B$2:$B$433,"Mai",Acerto_Detalhado!$C$2:$C$433,"Fibra")),2)</f>
        <v>0</v>
      </c>
    </row>
    <row r="1969" customFormat="false" ht="15" hidden="false" customHeight="false" outlineLevel="0" collapsed="false">
      <c r="A1969" s="27" t="s">
        <v>115</v>
      </c>
      <c r="B1969" s="27" t="s">
        <v>111</v>
      </c>
      <c r="C1969" s="27" t="s">
        <v>49</v>
      </c>
      <c r="D1969" s="27" t="s">
        <v>45</v>
      </c>
      <c r="E1969" s="28" t="n">
        <f aca="false">ROUND((SUMIFS(Acerto_Detalhado!$F$2:$F$433,Acerto_Detalhado!$A$2:$A$433,$C1969,Acerto_Detalhado!$B$2:$B$433,"Mai",Acerto_Detalhado!$C$2:$C$433,"Fibra"))*(SUMIFS(Acerto_Detalhado!$I$2:$I$433,Acerto_Detalhado!$A$2:$A$433,$D1969,Acerto_Detalhado!$B$2:$B$433,"Mai",Acerto_Detalhado!$C$2:$C$433,"Fibra")),2)</f>
        <v>0</v>
      </c>
    </row>
    <row r="1970" customFormat="false" ht="15" hidden="false" customHeight="false" outlineLevel="0" collapsed="false">
      <c r="A1970" s="27" t="s">
        <v>115</v>
      </c>
      <c r="B1970" s="27" t="s">
        <v>111</v>
      </c>
      <c r="C1970" s="27" t="s">
        <v>49</v>
      </c>
      <c r="D1970" s="27" t="s">
        <v>46</v>
      </c>
      <c r="E1970" s="28" t="n">
        <f aca="false">ROUND((SUMIFS(Acerto_Detalhado!$F$2:$F$433,Acerto_Detalhado!$A$2:$A$433,$C1970,Acerto_Detalhado!$B$2:$B$433,"Mai",Acerto_Detalhado!$C$2:$C$433,"Fibra"))*(SUMIFS(Acerto_Detalhado!$I$2:$I$433,Acerto_Detalhado!$A$2:$A$433,$D1970,Acerto_Detalhado!$B$2:$B$433,"Mai",Acerto_Detalhado!$C$2:$C$433,"Fibra")),2)</f>
        <v>0</v>
      </c>
    </row>
    <row r="1971" customFormat="false" ht="15" hidden="false" customHeight="false" outlineLevel="0" collapsed="false">
      <c r="A1971" s="27" t="s">
        <v>115</v>
      </c>
      <c r="B1971" s="27" t="s">
        <v>111</v>
      </c>
      <c r="C1971" s="27" t="s">
        <v>49</v>
      </c>
      <c r="D1971" s="27" t="s">
        <v>47</v>
      </c>
      <c r="E1971" s="28" t="n">
        <f aca="false">ROUND((SUMIFS(Acerto_Detalhado!$F$2:$F$433,Acerto_Detalhado!$A$2:$A$433,$C1971,Acerto_Detalhado!$B$2:$B$433,"Mai",Acerto_Detalhado!$C$2:$C$433,"Fibra"))*(SUMIFS(Acerto_Detalhado!$I$2:$I$433,Acerto_Detalhado!$A$2:$A$433,$D1971,Acerto_Detalhado!$B$2:$B$433,"Mai",Acerto_Detalhado!$C$2:$C$433,"Fibra")),2)</f>
        <v>0</v>
      </c>
    </row>
    <row r="1972" customFormat="false" ht="15" hidden="false" customHeight="false" outlineLevel="0" collapsed="false">
      <c r="A1972" s="27" t="s">
        <v>115</v>
      </c>
      <c r="B1972" s="27" t="s">
        <v>111</v>
      </c>
      <c r="C1972" s="27" t="s">
        <v>49</v>
      </c>
      <c r="D1972" s="27" t="s">
        <v>48</v>
      </c>
      <c r="E1972" s="28" t="n">
        <f aca="false">ROUND((SUMIFS(Acerto_Detalhado!$F$2:$F$433,Acerto_Detalhado!$A$2:$A$433,$C1972,Acerto_Detalhado!$B$2:$B$433,"Mai",Acerto_Detalhado!$C$2:$C$433,"Fibra"))*(SUMIFS(Acerto_Detalhado!$I$2:$I$433,Acerto_Detalhado!$A$2:$A$433,$D1972,Acerto_Detalhado!$B$2:$B$433,"Mai",Acerto_Detalhado!$C$2:$C$433,"Fibra")),2)</f>
        <v>0</v>
      </c>
    </row>
    <row r="1973" customFormat="false" ht="15" hidden="false" customHeight="false" outlineLevel="0" collapsed="false">
      <c r="A1973" s="27" t="s">
        <v>115</v>
      </c>
      <c r="B1973" s="27" t="s">
        <v>111</v>
      </c>
      <c r="C1973" s="27" t="s">
        <v>49</v>
      </c>
      <c r="D1973" s="27" t="s">
        <v>50</v>
      </c>
      <c r="E1973" s="28" t="n">
        <f aca="false">ROUND((SUMIFS(Acerto_Detalhado!$F$2:$F$433,Acerto_Detalhado!$A$2:$A$433,$C1973,Acerto_Detalhado!$B$2:$B$433,"Mai",Acerto_Detalhado!$C$2:$C$433,"Fibra"))*(SUMIFS(Acerto_Detalhado!$I$2:$I$433,Acerto_Detalhado!$A$2:$A$433,$D1973,Acerto_Detalhado!$B$2:$B$433,"Mai",Acerto_Detalhado!$C$2:$C$433,"Fibra")),2)</f>
        <v>0</v>
      </c>
    </row>
    <row r="1974" customFormat="false" ht="15" hidden="false" customHeight="false" outlineLevel="0" collapsed="false">
      <c r="A1974" s="27" t="s">
        <v>115</v>
      </c>
      <c r="B1974" s="27" t="s">
        <v>111</v>
      </c>
      <c r="C1974" s="27" t="s">
        <v>50</v>
      </c>
      <c r="D1974" s="27" t="s">
        <v>39</v>
      </c>
      <c r="E1974" s="28" t="n">
        <f aca="false">ROUND((SUMIFS(Acerto_Detalhado!$F$2:$F$433,Acerto_Detalhado!$A$2:$A$433,$C1974,Acerto_Detalhado!$B$2:$B$433,"Mai",Acerto_Detalhado!$C$2:$C$433,"Fibra"))*(SUMIFS(Acerto_Detalhado!$I$2:$I$433,Acerto_Detalhado!$A$2:$A$433,$D1974,Acerto_Detalhado!$B$2:$B$433,"Mai",Acerto_Detalhado!$C$2:$C$433,"Fibra")),2)</f>
        <v>0</v>
      </c>
    </row>
    <row r="1975" customFormat="false" ht="15" hidden="false" customHeight="false" outlineLevel="0" collapsed="false">
      <c r="A1975" s="27" t="s">
        <v>115</v>
      </c>
      <c r="B1975" s="27" t="s">
        <v>111</v>
      </c>
      <c r="C1975" s="27" t="s">
        <v>50</v>
      </c>
      <c r="D1975" s="27" t="s">
        <v>40</v>
      </c>
      <c r="E1975" s="28" t="n">
        <f aca="false">ROUND((SUMIFS(Acerto_Detalhado!$F$2:$F$433,Acerto_Detalhado!$A$2:$A$433,$C1975,Acerto_Detalhado!$B$2:$B$433,"Mai",Acerto_Detalhado!$C$2:$C$433,"Fibra"))*(SUMIFS(Acerto_Detalhado!$I$2:$I$433,Acerto_Detalhado!$A$2:$A$433,$D1975,Acerto_Detalhado!$B$2:$B$433,"Mai",Acerto_Detalhado!$C$2:$C$433,"Fibra")),2)</f>
        <v>0</v>
      </c>
    </row>
    <row r="1976" customFormat="false" ht="15" hidden="false" customHeight="false" outlineLevel="0" collapsed="false">
      <c r="A1976" s="27" t="s">
        <v>115</v>
      </c>
      <c r="B1976" s="27" t="s">
        <v>111</v>
      </c>
      <c r="C1976" s="27" t="s">
        <v>50</v>
      </c>
      <c r="D1976" s="27" t="s">
        <v>41</v>
      </c>
      <c r="E1976" s="28" t="n">
        <f aca="false">ROUND((SUMIFS(Acerto_Detalhado!$F$2:$F$433,Acerto_Detalhado!$A$2:$A$433,$C1976,Acerto_Detalhado!$B$2:$B$433,"Mai",Acerto_Detalhado!$C$2:$C$433,"Fibra"))*(SUMIFS(Acerto_Detalhado!$I$2:$I$433,Acerto_Detalhado!$A$2:$A$433,$D1976,Acerto_Detalhado!$B$2:$B$433,"Mai",Acerto_Detalhado!$C$2:$C$433,"Fibra")),2)</f>
        <v>0</v>
      </c>
    </row>
    <row r="1977" customFormat="false" ht="15" hidden="false" customHeight="false" outlineLevel="0" collapsed="false">
      <c r="A1977" s="27" t="s">
        <v>115</v>
      </c>
      <c r="B1977" s="27" t="s">
        <v>111</v>
      </c>
      <c r="C1977" s="27" t="s">
        <v>50</v>
      </c>
      <c r="D1977" s="27" t="s">
        <v>42</v>
      </c>
      <c r="E1977" s="28" t="n">
        <f aca="false">ROUND((SUMIFS(Acerto_Detalhado!$F$2:$F$433,Acerto_Detalhado!$A$2:$A$433,$C1977,Acerto_Detalhado!$B$2:$B$433,"Mai",Acerto_Detalhado!$C$2:$C$433,"Fibra"))*(SUMIFS(Acerto_Detalhado!$I$2:$I$433,Acerto_Detalhado!$A$2:$A$433,$D1977,Acerto_Detalhado!$B$2:$B$433,"Mai",Acerto_Detalhado!$C$2:$C$433,"Fibra")),2)</f>
        <v>0</v>
      </c>
    </row>
    <row r="1978" customFormat="false" ht="15" hidden="false" customHeight="false" outlineLevel="0" collapsed="false">
      <c r="A1978" s="27" t="s">
        <v>115</v>
      </c>
      <c r="B1978" s="27" t="s">
        <v>111</v>
      </c>
      <c r="C1978" s="27" t="s">
        <v>50</v>
      </c>
      <c r="D1978" s="27" t="s">
        <v>43</v>
      </c>
      <c r="E1978" s="28" t="n">
        <f aca="false">ROUND((SUMIFS(Acerto_Detalhado!$F$2:$F$433,Acerto_Detalhado!$A$2:$A$433,$C1978,Acerto_Detalhado!$B$2:$B$433,"Mai",Acerto_Detalhado!$C$2:$C$433,"Fibra"))*(SUMIFS(Acerto_Detalhado!$I$2:$I$433,Acerto_Detalhado!$A$2:$A$433,$D1978,Acerto_Detalhado!$B$2:$B$433,"Mai",Acerto_Detalhado!$C$2:$C$433,"Fibra")),2)</f>
        <v>0</v>
      </c>
    </row>
    <row r="1979" customFormat="false" ht="15" hidden="false" customHeight="false" outlineLevel="0" collapsed="false">
      <c r="A1979" s="27" t="s">
        <v>115</v>
      </c>
      <c r="B1979" s="27" t="s">
        <v>111</v>
      </c>
      <c r="C1979" s="27" t="s">
        <v>50</v>
      </c>
      <c r="D1979" s="27" t="s">
        <v>44</v>
      </c>
      <c r="E1979" s="28" t="n">
        <f aca="false">ROUND((SUMIFS(Acerto_Detalhado!$F$2:$F$433,Acerto_Detalhado!$A$2:$A$433,$C1979,Acerto_Detalhado!$B$2:$B$433,"Mai",Acerto_Detalhado!$C$2:$C$433,"Fibra"))*(SUMIFS(Acerto_Detalhado!$I$2:$I$433,Acerto_Detalhado!$A$2:$A$433,$D1979,Acerto_Detalhado!$B$2:$B$433,"Mai",Acerto_Detalhado!$C$2:$C$433,"Fibra")),2)</f>
        <v>0</v>
      </c>
    </row>
    <row r="1980" customFormat="false" ht="15" hidden="false" customHeight="false" outlineLevel="0" collapsed="false">
      <c r="A1980" s="27" t="s">
        <v>115</v>
      </c>
      <c r="B1980" s="27" t="s">
        <v>111</v>
      </c>
      <c r="C1980" s="27" t="s">
        <v>50</v>
      </c>
      <c r="D1980" s="27" t="s">
        <v>45</v>
      </c>
      <c r="E1980" s="28" t="n">
        <f aca="false">ROUND((SUMIFS(Acerto_Detalhado!$F$2:$F$433,Acerto_Detalhado!$A$2:$A$433,$C1980,Acerto_Detalhado!$B$2:$B$433,"Mai",Acerto_Detalhado!$C$2:$C$433,"Fibra"))*(SUMIFS(Acerto_Detalhado!$I$2:$I$433,Acerto_Detalhado!$A$2:$A$433,$D1980,Acerto_Detalhado!$B$2:$B$433,"Mai",Acerto_Detalhado!$C$2:$C$433,"Fibra")),2)</f>
        <v>0</v>
      </c>
    </row>
    <row r="1981" customFormat="false" ht="15" hidden="false" customHeight="false" outlineLevel="0" collapsed="false">
      <c r="A1981" s="27" t="s">
        <v>115</v>
      </c>
      <c r="B1981" s="27" t="s">
        <v>111</v>
      </c>
      <c r="C1981" s="27" t="s">
        <v>50</v>
      </c>
      <c r="D1981" s="27" t="s">
        <v>46</v>
      </c>
      <c r="E1981" s="28" t="n">
        <f aca="false">ROUND((SUMIFS(Acerto_Detalhado!$F$2:$F$433,Acerto_Detalhado!$A$2:$A$433,$C1981,Acerto_Detalhado!$B$2:$B$433,"Mai",Acerto_Detalhado!$C$2:$C$433,"Fibra"))*(SUMIFS(Acerto_Detalhado!$I$2:$I$433,Acerto_Detalhado!$A$2:$A$433,$D1981,Acerto_Detalhado!$B$2:$B$433,"Mai",Acerto_Detalhado!$C$2:$C$433,"Fibra")),2)</f>
        <v>0</v>
      </c>
    </row>
    <row r="1982" customFormat="false" ht="15" hidden="false" customHeight="false" outlineLevel="0" collapsed="false">
      <c r="A1982" s="27" t="s">
        <v>115</v>
      </c>
      <c r="B1982" s="27" t="s">
        <v>111</v>
      </c>
      <c r="C1982" s="27" t="s">
        <v>50</v>
      </c>
      <c r="D1982" s="27" t="s">
        <v>47</v>
      </c>
      <c r="E1982" s="28" t="n">
        <f aca="false">ROUND((SUMIFS(Acerto_Detalhado!$F$2:$F$433,Acerto_Detalhado!$A$2:$A$433,$C1982,Acerto_Detalhado!$B$2:$B$433,"Mai",Acerto_Detalhado!$C$2:$C$433,"Fibra"))*(SUMIFS(Acerto_Detalhado!$I$2:$I$433,Acerto_Detalhado!$A$2:$A$433,$D1982,Acerto_Detalhado!$B$2:$B$433,"Mai",Acerto_Detalhado!$C$2:$C$433,"Fibra")),2)</f>
        <v>0</v>
      </c>
    </row>
    <row r="1983" customFormat="false" ht="15" hidden="false" customHeight="false" outlineLevel="0" collapsed="false">
      <c r="A1983" s="27" t="s">
        <v>115</v>
      </c>
      <c r="B1983" s="27" t="s">
        <v>111</v>
      </c>
      <c r="C1983" s="27" t="s">
        <v>50</v>
      </c>
      <c r="D1983" s="27" t="s">
        <v>48</v>
      </c>
      <c r="E1983" s="28" t="n">
        <f aca="false">ROUND((SUMIFS(Acerto_Detalhado!$F$2:$F$433,Acerto_Detalhado!$A$2:$A$433,$C1983,Acerto_Detalhado!$B$2:$B$433,"Mai",Acerto_Detalhado!$C$2:$C$433,"Fibra"))*(SUMIFS(Acerto_Detalhado!$I$2:$I$433,Acerto_Detalhado!$A$2:$A$433,$D1983,Acerto_Detalhado!$B$2:$B$433,"Mai",Acerto_Detalhado!$C$2:$C$433,"Fibra")),2)</f>
        <v>0</v>
      </c>
    </row>
    <row r="1984" customFormat="false" ht="15" hidden="false" customHeight="false" outlineLevel="0" collapsed="false">
      <c r="A1984" s="27" t="s">
        <v>115</v>
      </c>
      <c r="B1984" s="27" t="s">
        <v>111</v>
      </c>
      <c r="C1984" s="27" t="s">
        <v>50</v>
      </c>
      <c r="D1984" s="27" t="s">
        <v>49</v>
      </c>
      <c r="E1984" s="28" t="n">
        <f aca="false">ROUND((SUMIFS(Acerto_Detalhado!$F$2:$F$433,Acerto_Detalhado!$A$2:$A$433,$C1984,Acerto_Detalhado!$B$2:$B$433,"Mai",Acerto_Detalhado!$C$2:$C$433,"Fibra"))*(SUMIFS(Acerto_Detalhado!$I$2:$I$433,Acerto_Detalhado!$A$2:$A$433,$D1984,Acerto_Detalhado!$B$2:$B$433,"Mai",Acerto_Detalhado!$C$2:$C$433,"Fibra")),2)</f>
        <v>0</v>
      </c>
    </row>
    <row r="1985" customFormat="false" ht="15" hidden="false" customHeight="false" outlineLevel="0" collapsed="false">
      <c r="A1985" s="27" t="s">
        <v>116</v>
      </c>
      <c r="B1985" s="27" t="s">
        <v>109</v>
      </c>
      <c r="C1985" s="27" t="s">
        <v>39</v>
      </c>
      <c r="D1985" s="27" t="s">
        <v>40</v>
      </c>
      <c r="E1985" s="28" t="n">
        <f aca="false">ROUND((SUMIFS(Acerto_Detalhado!$F$2:$F$433,Acerto_Detalhado!$A$2:$A$433,$C1985,Acerto_Detalhado!$B$2:$B$433,"Jun",Acerto_Detalhado!$C$2:$C$433,"Proteina"))*(SUMIFS(Acerto_Detalhado!$I$2:$I$433,Acerto_Detalhado!$A$2:$A$433,$D1985,Acerto_Detalhado!$B$2:$B$433,"Jun",Acerto_Detalhado!$C$2:$C$433,"Proteina")),2)</f>
        <v>0</v>
      </c>
    </row>
    <row r="1986" customFormat="false" ht="15" hidden="false" customHeight="false" outlineLevel="0" collapsed="false">
      <c r="A1986" s="27" t="s">
        <v>116</v>
      </c>
      <c r="B1986" s="27" t="s">
        <v>109</v>
      </c>
      <c r="C1986" s="27" t="s">
        <v>39</v>
      </c>
      <c r="D1986" s="27" t="s">
        <v>41</v>
      </c>
      <c r="E1986" s="28" t="n">
        <f aca="false">ROUND((SUMIFS(Acerto_Detalhado!$F$2:$F$433,Acerto_Detalhado!$A$2:$A$433,$C1986,Acerto_Detalhado!$B$2:$B$433,"Jun",Acerto_Detalhado!$C$2:$C$433,"Proteina"))*(SUMIFS(Acerto_Detalhado!$I$2:$I$433,Acerto_Detalhado!$A$2:$A$433,$D1986,Acerto_Detalhado!$B$2:$B$433,"Jun",Acerto_Detalhado!$C$2:$C$433,"Proteina")),2)</f>
        <v>0</v>
      </c>
    </row>
    <row r="1987" customFormat="false" ht="15" hidden="false" customHeight="false" outlineLevel="0" collapsed="false">
      <c r="A1987" s="27" t="s">
        <v>116</v>
      </c>
      <c r="B1987" s="27" t="s">
        <v>109</v>
      </c>
      <c r="C1987" s="27" t="s">
        <v>39</v>
      </c>
      <c r="D1987" s="27" t="s">
        <v>42</v>
      </c>
      <c r="E1987" s="28" t="n">
        <f aca="false">ROUND((SUMIFS(Acerto_Detalhado!$F$2:$F$433,Acerto_Detalhado!$A$2:$A$433,$C1987,Acerto_Detalhado!$B$2:$B$433,"Jun",Acerto_Detalhado!$C$2:$C$433,"Proteina"))*(SUMIFS(Acerto_Detalhado!$I$2:$I$433,Acerto_Detalhado!$A$2:$A$433,$D1987,Acerto_Detalhado!$B$2:$B$433,"Jun",Acerto_Detalhado!$C$2:$C$433,"Proteina")),2)</f>
        <v>0</v>
      </c>
    </row>
    <row r="1988" customFormat="false" ht="15" hidden="false" customHeight="false" outlineLevel="0" collapsed="false">
      <c r="A1988" s="27" t="s">
        <v>116</v>
      </c>
      <c r="B1988" s="27" t="s">
        <v>109</v>
      </c>
      <c r="C1988" s="27" t="s">
        <v>39</v>
      </c>
      <c r="D1988" s="27" t="s">
        <v>43</v>
      </c>
      <c r="E1988" s="28" t="n">
        <f aca="false">ROUND((SUMIFS(Acerto_Detalhado!$F$2:$F$433,Acerto_Detalhado!$A$2:$A$433,$C1988,Acerto_Detalhado!$B$2:$B$433,"Jun",Acerto_Detalhado!$C$2:$C$433,"Proteina"))*(SUMIFS(Acerto_Detalhado!$I$2:$I$433,Acerto_Detalhado!$A$2:$A$433,$D1988,Acerto_Detalhado!$B$2:$B$433,"Jun",Acerto_Detalhado!$C$2:$C$433,"Proteina")),2)</f>
        <v>0</v>
      </c>
    </row>
    <row r="1989" customFormat="false" ht="15" hidden="false" customHeight="false" outlineLevel="0" collapsed="false">
      <c r="A1989" s="27" t="s">
        <v>116</v>
      </c>
      <c r="B1989" s="27" t="s">
        <v>109</v>
      </c>
      <c r="C1989" s="27" t="s">
        <v>39</v>
      </c>
      <c r="D1989" s="27" t="s">
        <v>44</v>
      </c>
      <c r="E1989" s="28" t="n">
        <f aca="false">ROUND((SUMIFS(Acerto_Detalhado!$F$2:$F$433,Acerto_Detalhado!$A$2:$A$433,$C1989,Acerto_Detalhado!$B$2:$B$433,"Jun",Acerto_Detalhado!$C$2:$C$433,"Proteina"))*(SUMIFS(Acerto_Detalhado!$I$2:$I$433,Acerto_Detalhado!$A$2:$A$433,$D1989,Acerto_Detalhado!$B$2:$B$433,"Jun",Acerto_Detalhado!$C$2:$C$433,"Proteina")),2)</f>
        <v>0</v>
      </c>
    </row>
    <row r="1990" customFormat="false" ht="15" hidden="false" customHeight="false" outlineLevel="0" collapsed="false">
      <c r="A1990" s="27" t="s">
        <v>116</v>
      </c>
      <c r="B1990" s="27" t="s">
        <v>109</v>
      </c>
      <c r="C1990" s="27" t="s">
        <v>39</v>
      </c>
      <c r="D1990" s="27" t="s">
        <v>45</v>
      </c>
      <c r="E1990" s="28" t="n">
        <f aca="false">ROUND((SUMIFS(Acerto_Detalhado!$F$2:$F$433,Acerto_Detalhado!$A$2:$A$433,$C1990,Acerto_Detalhado!$B$2:$B$433,"Jun",Acerto_Detalhado!$C$2:$C$433,"Proteina"))*(SUMIFS(Acerto_Detalhado!$I$2:$I$433,Acerto_Detalhado!$A$2:$A$433,$D1990,Acerto_Detalhado!$B$2:$B$433,"Jun",Acerto_Detalhado!$C$2:$C$433,"Proteina")),2)</f>
        <v>0</v>
      </c>
    </row>
    <row r="1991" customFormat="false" ht="15" hidden="false" customHeight="false" outlineLevel="0" collapsed="false">
      <c r="A1991" s="27" t="s">
        <v>116</v>
      </c>
      <c r="B1991" s="27" t="s">
        <v>109</v>
      </c>
      <c r="C1991" s="27" t="s">
        <v>39</v>
      </c>
      <c r="D1991" s="27" t="s">
        <v>46</v>
      </c>
      <c r="E1991" s="28" t="n">
        <f aca="false">ROUND((SUMIFS(Acerto_Detalhado!$F$2:$F$433,Acerto_Detalhado!$A$2:$A$433,$C1991,Acerto_Detalhado!$B$2:$B$433,"Jun",Acerto_Detalhado!$C$2:$C$433,"Proteina"))*(SUMIFS(Acerto_Detalhado!$I$2:$I$433,Acerto_Detalhado!$A$2:$A$433,$D1991,Acerto_Detalhado!$B$2:$B$433,"Jun",Acerto_Detalhado!$C$2:$C$433,"Proteina")),2)</f>
        <v>0</v>
      </c>
    </row>
    <row r="1992" customFormat="false" ht="15" hidden="false" customHeight="false" outlineLevel="0" collapsed="false">
      <c r="A1992" s="27" t="s">
        <v>116</v>
      </c>
      <c r="B1992" s="27" t="s">
        <v>109</v>
      </c>
      <c r="C1992" s="27" t="s">
        <v>39</v>
      </c>
      <c r="D1992" s="27" t="s">
        <v>47</v>
      </c>
      <c r="E1992" s="28" t="n">
        <f aca="false">ROUND((SUMIFS(Acerto_Detalhado!$F$2:$F$433,Acerto_Detalhado!$A$2:$A$433,$C1992,Acerto_Detalhado!$B$2:$B$433,"Jun",Acerto_Detalhado!$C$2:$C$433,"Proteina"))*(SUMIFS(Acerto_Detalhado!$I$2:$I$433,Acerto_Detalhado!$A$2:$A$433,$D1992,Acerto_Detalhado!$B$2:$B$433,"Jun",Acerto_Detalhado!$C$2:$C$433,"Proteina")),2)</f>
        <v>0</v>
      </c>
    </row>
    <row r="1993" customFormat="false" ht="15" hidden="false" customHeight="false" outlineLevel="0" collapsed="false">
      <c r="A1993" s="27" t="s">
        <v>116</v>
      </c>
      <c r="B1993" s="27" t="s">
        <v>109</v>
      </c>
      <c r="C1993" s="27" t="s">
        <v>39</v>
      </c>
      <c r="D1993" s="27" t="s">
        <v>48</v>
      </c>
      <c r="E1993" s="28" t="n">
        <f aca="false">ROUND((SUMIFS(Acerto_Detalhado!$F$2:$F$433,Acerto_Detalhado!$A$2:$A$433,$C1993,Acerto_Detalhado!$B$2:$B$433,"Jun",Acerto_Detalhado!$C$2:$C$433,"Proteina"))*(SUMIFS(Acerto_Detalhado!$I$2:$I$433,Acerto_Detalhado!$A$2:$A$433,$D1993,Acerto_Detalhado!$B$2:$B$433,"Jun",Acerto_Detalhado!$C$2:$C$433,"Proteina")),2)</f>
        <v>0</v>
      </c>
    </row>
    <row r="1994" customFormat="false" ht="15" hidden="false" customHeight="false" outlineLevel="0" collapsed="false">
      <c r="A1994" s="27" t="s">
        <v>116</v>
      </c>
      <c r="B1994" s="27" t="s">
        <v>109</v>
      </c>
      <c r="C1994" s="27" t="s">
        <v>39</v>
      </c>
      <c r="D1994" s="27" t="s">
        <v>49</v>
      </c>
      <c r="E1994" s="28" t="n">
        <f aca="false">ROUND((SUMIFS(Acerto_Detalhado!$F$2:$F$433,Acerto_Detalhado!$A$2:$A$433,$C1994,Acerto_Detalhado!$B$2:$B$433,"Jun",Acerto_Detalhado!$C$2:$C$433,"Proteina"))*(SUMIFS(Acerto_Detalhado!$I$2:$I$433,Acerto_Detalhado!$A$2:$A$433,$D1994,Acerto_Detalhado!$B$2:$B$433,"Jun",Acerto_Detalhado!$C$2:$C$433,"Proteina")),2)</f>
        <v>0</v>
      </c>
    </row>
    <row r="1995" customFormat="false" ht="15" hidden="false" customHeight="false" outlineLevel="0" collapsed="false">
      <c r="A1995" s="27" t="s">
        <v>116</v>
      </c>
      <c r="B1995" s="27" t="s">
        <v>109</v>
      </c>
      <c r="C1995" s="27" t="s">
        <v>39</v>
      </c>
      <c r="D1995" s="27" t="s">
        <v>50</v>
      </c>
      <c r="E1995" s="28" t="n">
        <f aca="false">ROUND((SUMIFS(Acerto_Detalhado!$F$2:$F$433,Acerto_Detalhado!$A$2:$A$433,$C1995,Acerto_Detalhado!$B$2:$B$433,"Jun",Acerto_Detalhado!$C$2:$C$433,"Proteina"))*(SUMIFS(Acerto_Detalhado!$I$2:$I$433,Acerto_Detalhado!$A$2:$A$433,$D1995,Acerto_Detalhado!$B$2:$B$433,"Jun",Acerto_Detalhado!$C$2:$C$433,"Proteina")),2)</f>
        <v>0</v>
      </c>
    </row>
    <row r="1996" customFormat="false" ht="15" hidden="false" customHeight="false" outlineLevel="0" collapsed="false">
      <c r="A1996" s="27" t="s">
        <v>116</v>
      </c>
      <c r="B1996" s="27" t="s">
        <v>109</v>
      </c>
      <c r="C1996" s="27" t="s">
        <v>40</v>
      </c>
      <c r="D1996" s="27" t="s">
        <v>39</v>
      </c>
      <c r="E1996" s="28" t="n">
        <f aca="false">ROUND((SUMIFS(Acerto_Detalhado!$F$2:$F$433,Acerto_Detalhado!$A$2:$A$433,$C1996,Acerto_Detalhado!$B$2:$B$433,"Jun",Acerto_Detalhado!$C$2:$C$433,"Proteina"))*(SUMIFS(Acerto_Detalhado!$I$2:$I$433,Acerto_Detalhado!$A$2:$A$433,$D1996,Acerto_Detalhado!$B$2:$B$433,"Jun",Acerto_Detalhado!$C$2:$C$433,"Proteina")),2)</f>
        <v>0</v>
      </c>
    </row>
    <row r="1997" customFormat="false" ht="15" hidden="false" customHeight="false" outlineLevel="0" collapsed="false">
      <c r="A1997" s="27" t="s">
        <v>116</v>
      </c>
      <c r="B1997" s="27" t="s">
        <v>109</v>
      </c>
      <c r="C1997" s="27" t="s">
        <v>40</v>
      </c>
      <c r="D1997" s="27" t="s">
        <v>41</v>
      </c>
      <c r="E1997" s="28" t="n">
        <f aca="false">ROUND((SUMIFS(Acerto_Detalhado!$F$2:$F$433,Acerto_Detalhado!$A$2:$A$433,$C1997,Acerto_Detalhado!$B$2:$B$433,"Jun",Acerto_Detalhado!$C$2:$C$433,"Proteina"))*(SUMIFS(Acerto_Detalhado!$I$2:$I$433,Acerto_Detalhado!$A$2:$A$433,$D1997,Acerto_Detalhado!$B$2:$B$433,"Jun",Acerto_Detalhado!$C$2:$C$433,"Proteina")),2)</f>
        <v>0</v>
      </c>
    </row>
    <row r="1998" customFormat="false" ht="15" hidden="false" customHeight="false" outlineLevel="0" collapsed="false">
      <c r="A1998" s="27" t="s">
        <v>116</v>
      </c>
      <c r="B1998" s="27" t="s">
        <v>109</v>
      </c>
      <c r="C1998" s="27" t="s">
        <v>40</v>
      </c>
      <c r="D1998" s="27" t="s">
        <v>42</v>
      </c>
      <c r="E1998" s="28" t="n">
        <f aca="false">ROUND((SUMIFS(Acerto_Detalhado!$F$2:$F$433,Acerto_Detalhado!$A$2:$A$433,$C1998,Acerto_Detalhado!$B$2:$B$433,"Jun",Acerto_Detalhado!$C$2:$C$433,"Proteina"))*(SUMIFS(Acerto_Detalhado!$I$2:$I$433,Acerto_Detalhado!$A$2:$A$433,$D1998,Acerto_Detalhado!$B$2:$B$433,"Jun",Acerto_Detalhado!$C$2:$C$433,"Proteina")),2)</f>
        <v>0</v>
      </c>
    </row>
    <row r="1999" customFormat="false" ht="15" hidden="false" customHeight="false" outlineLevel="0" collapsed="false">
      <c r="A1999" s="27" t="s">
        <v>116</v>
      </c>
      <c r="B1999" s="27" t="s">
        <v>109</v>
      </c>
      <c r="C1999" s="27" t="s">
        <v>40</v>
      </c>
      <c r="D1999" s="27" t="s">
        <v>43</v>
      </c>
      <c r="E1999" s="28" t="n">
        <f aca="false">ROUND((SUMIFS(Acerto_Detalhado!$F$2:$F$433,Acerto_Detalhado!$A$2:$A$433,$C1999,Acerto_Detalhado!$B$2:$B$433,"Jun",Acerto_Detalhado!$C$2:$C$433,"Proteina"))*(SUMIFS(Acerto_Detalhado!$I$2:$I$433,Acerto_Detalhado!$A$2:$A$433,$D1999,Acerto_Detalhado!$B$2:$B$433,"Jun",Acerto_Detalhado!$C$2:$C$433,"Proteina")),2)</f>
        <v>0</v>
      </c>
    </row>
    <row r="2000" customFormat="false" ht="15" hidden="false" customHeight="false" outlineLevel="0" collapsed="false">
      <c r="A2000" s="27" t="s">
        <v>116</v>
      </c>
      <c r="B2000" s="27" t="s">
        <v>109</v>
      </c>
      <c r="C2000" s="27" t="s">
        <v>40</v>
      </c>
      <c r="D2000" s="27" t="s">
        <v>44</v>
      </c>
      <c r="E2000" s="28" t="n">
        <f aca="false">ROUND((SUMIFS(Acerto_Detalhado!$F$2:$F$433,Acerto_Detalhado!$A$2:$A$433,$C2000,Acerto_Detalhado!$B$2:$B$433,"Jun",Acerto_Detalhado!$C$2:$C$433,"Proteina"))*(SUMIFS(Acerto_Detalhado!$I$2:$I$433,Acerto_Detalhado!$A$2:$A$433,$D2000,Acerto_Detalhado!$B$2:$B$433,"Jun",Acerto_Detalhado!$C$2:$C$433,"Proteina")),2)</f>
        <v>0</v>
      </c>
    </row>
    <row r="2001" customFormat="false" ht="15" hidden="false" customHeight="false" outlineLevel="0" collapsed="false">
      <c r="A2001" s="27" t="s">
        <v>116</v>
      </c>
      <c r="B2001" s="27" t="s">
        <v>109</v>
      </c>
      <c r="C2001" s="27" t="s">
        <v>40</v>
      </c>
      <c r="D2001" s="27" t="s">
        <v>45</v>
      </c>
      <c r="E2001" s="28" t="n">
        <f aca="false">ROUND((SUMIFS(Acerto_Detalhado!$F$2:$F$433,Acerto_Detalhado!$A$2:$A$433,$C2001,Acerto_Detalhado!$B$2:$B$433,"Jun",Acerto_Detalhado!$C$2:$C$433,"Proteina"))*(SUMIFS(Acerto_Detalhado!$I$2:$I$433,Acerto_Detalhado!$A$2:$A$433,$D2001,Acerto_Detalhado!$B$2:$B$433,"Jun",Acerto_Detalhado!$C$2:$C$433,"Proteina")),2)</f>
        <v>0</v>
      </c>
    </row>
    <row r="2002" customFormat="false" ht="15" hidden="false" customHeight="false" outlineLevel="0" collapsed="false">
      <c r="A2002" s="27" t="s">
        <v>116</v>
      </c>
      <c r="B2002" s="27" t="s">
        <v>109</v>
      </c>
      <c r="C2002" s="27" t="s">
        <v>40</v>
      </c>
      <c r="D2002" s="27" t="s">
        <v>46</v>
      </c>
      <c r="E2002" s="28" t="n">
        <f aca="false">ROUND((SUMIFS(Acerto_Detalhado!$F$2:$F$433,Acerto_Detalhado!$A$2:$A$433,$C2002,Acerto_Detalhado!$B$2:$B$433,"Jun",Acerto_Detalhado!$C$2:$C$433,"Proteina"))*(SUMIFS(Acerto_Detalhado!$I$2:$I$433,Acerto_Detalhado!$A$2:$A$433,$D2002,Acerto_Detalhado!$B$2:$B$433,"Jun",Acerto_Detalhado!$C$2:$C$433,"Proteina")),2)</f>
        <v>0</v>
      </c>
    </row>
    <row r="2003" customFormat="false" ht="15" hidden="false" customHeight="false" outlineLevel="0" collapsed="false">
      <c r="A2003" s="27" t="s">
        <v>116</v>
      </c>
      <c r="B2003" s="27" t="s">
        <v>109</v>
      </c>
      <c r="C2003" s="27" t="s">
        <v>40</v>
      </c>
      <c r="D2003" s="27" t="s">
        <v>47</v>
      </c>
      <c r="E2003" s="28" t="n">
        <f aca="false">ROUND((SUMIFS(Acerto_Detalhado!$F$2:$F$433,Acerto_Detalhado!$A$2:$A$433,$C2003,Acerto_Detalhado!$B$2:$B$433,"Jun",Acerto_Detalhado!$C$2:$C$433,"Proteina"))*(SUMIFS(Acerto_Detalhado!$I$2:$I$433,Acerto_Detalhado!$A$2:$A$433,$D2003,Acerto_Detalhado!$B$2:$B$433,"Jun",Acerto_Detalhado!$C$2:$C$433,"Proteina")),2)</f>
        <v>0</v>
      </c>
    </row>
    <row r="2004" customFormat="false" ht="15" hidden="false" customHeight="false" outlineLevel="0" collapsed="false">
      <c r="A2004" s="27" t="s">
        <v>116</v>
      </c>
      <c r="B2004" s="27" t="s">
        <v>109</v>
      </c>
      <c r="C2004" s="27" t="s">
        <v>40</v>
      </c>
      <c r="D2004" s="27" t="s">
        <v>48</v>
      </c>
      <c r="E2004" s="28" t="n">
        <f aca="false">ROUND((SUMIFS(Acerto_Detalhado!$F$2:$F$433,Acerto_Detalhado!$A$2:$A$433,$C2004,Acerto_Detalhado!$B$2:$B$433,"Jun",Acerto_Detalhado!$C$2:$C$433,"Proteina"))*(SUMIFS(Acerto_Detalhado!$I$2:$I$433,Acerto_Detalhado!$A$2:$A$433,$D2004,Acerto_Detalhado!$B$2:$B$433,"Jun",Acerto_Detalhado!$C$2:$C$433,"Proteina")),2)</f>
        <v>0</v>
      </c>
    </row>
    <row r="2005" customFormat="false" ht="15" hidden="false" customHeight="false" outlineLevel="0" collapsed="false">
      <c r="A2005" s="27" t="s">
        <v>116</v>
      </c>
      <c r="B2005" s="27" t="s">
        <v>109</v>
      </c>
      <c r="C2005" s="27" t="s">
        <v>40</v>
      </c>
      <c r="D2005" s="27" t="s">
        <v>49</v>
      </c>
      <c r="E2005" s="28" t="n">
        <f aca="false">ROUND((SUMIFS(Acerto_Detalhado!$F$2:$F$433,Acerto_Detalhado!$A$2:$A$433,$C2005,Acerto_Detalhado!$B$2:$B$433,"Jun",Acerto_Detalhado!$C$2:$C$433,"Proteina"))*(SUMIFS(Acerto_Detalhado!$I$2:$I$433,Acerto_Detalhado!$A$2:$A$433,$D2005,Acerto_Detalhado!$B$2:$B$433,"Jun",Acerto_Detalhado!$C$2:$C$433,"Proteina")),2)</f>
        <v>0</v>
      </c>
    </row>
    <row r="2006" customFormat="false" ht="15" hidden="false" customHeight="false" outlineLevel="0" collapsed="false">
      <c r="A2006" s="27" t="s">
        <v>116</v>
      </c>
      <c r="B2006" s="27" t="s">
        <v>109</v>
      </c>
      <c r="C2006" s="27" t="s">
        <v>40</v>
      </c>
      <c r="D2006" s="27" t="s">
        <v>50</v>
      </c>
      <c r="E2006" s="28" t="n">
        <f aca="false">ROUND((SUMIFS(Acerto_Detalhado!$F$2:$F$433,Acerto_Detalhado!$A$2:$A$433,$C2006,Acerto_Detalhado!$B$2:$B$433,"Jun",Acerto_Detalhado!$C$2:$C$433,"Proteina"))*(SUMIFS(Acerto_Detalhado!$I$2:$I$433,Acerto_Detalhado!$A$2:$A$433,$D2006,Acerto_Detalhado!$B$2:$B$433,"Jun",Acerto_Detalhado!$C$2:$C$433,"Proteina")),2)</f>
        <v>0</v>
      </c>
    </row>
    <row r="2007" customFormat="false" ht="15" hidden="false" customHeight="false" outlineLevel="0" collapsed="false">
      <c r="A2007" s="27" t="s">
        <v>116</v>
      </c>
      <c r="B2007" s="27" t="s">
        <v>109</v>
      </c>
      <c r="C2007" s="27" t="s">
        <v>41</v>
      </c>
      <c r="D2007" s="27" t="s">
        <v>39</v>
      </c>
      <c r="E2007" s="28" t="n">
        <f aca="false">ROUND((SUMIFS(Acerto_Detalhado!$F$2:$F$433,Acerto_Detalhado!$A$2:$A$433,$C2007,Acerto_Detalhado!$B$2:$B$433,"Jun",Acerto_Detalhado!$C$2:$C$433,"Proteina"))*(SUMIFS(Acerto_Detalhado!$I$2:$I$433,Acerto_Detalhado!$A$2:$A$433,$D2007,Acerto_Detalhado!$B$2:$B$433,"Jun",Acerto_Detalhado!$C$2:$C$433,"Proteina")),2)</f>
        <v>0</v>
      </c>
    </row>
    <row r="2008" customFormat="false" ht="15" hidden="false" customHeight="false" outlineLevel="0" collapsed="false">
      <c r="A2008" s="27" t="s">
        <v>116</v>
      </c>
      <c r="B2008" s="27" t="s">
        <v>109</v>
      </c>
      <c r="C2008" s="27" t="s">
        <v>41</v>
      </c>
      <c r="D2008" s="27" t="s">
        <v>40</v>
      </c>
      <c r="E2008" s="28" t="n">
        <f aca="false">ROUND((SUMIFS(Acerto_Detalhado!$F$2:$F$433,Acerto_Detalhado!$A$2:$A$433,$C2008,Acerto_Detalhado!$B$2:$B$433,"Jun",Acerto_Detalhado!$C$2:$C$433,"Proteina"))*(SUMIFS(Acerto_Detalhado!$I$2:$I$433,Acerto_Detalhado!$A$2:$A$433,$D2008,Acerto_Detalhado!$B$2:$B$433,"Jun",Acerto_Detalhado!$C$2:$C$433,"Proteina")),2)</f>
        <v>0</v>
      </c>
    </row>
    <row r="2009" customFormat="false" ht="15" hidden="false" customHeight="false" outlineLevel="0" collapsed="false">
      <c r="A2009" s="27" t="s">
        <v>116</v>
      </c>
      <c r="B2009" s="27" t="s">
        <v>109</v>
      </c>
      <c r="C2009" s="27" t="s">
        <v>41</v>
      </c>
      <c r="D2009" s="27" t="s">
        <v>42</v>
      </c>
      <c r="E2009" s="28" t="n">
        <f aca="false">ROUND((SUMIFS(Acerto_Detalhado!$F$2:$F$433,Acerto_Detalhado!$A$2:$A$433,$C2009,Acerto_Detalhado!$B$2:$B$433,"Jun",Acerto_Detalhado!$C$2:$C$433,"Proteina"))*(SUMIFS(Acerto_Detalhado!$I$2:$I$433,Acerto_Detalhado!$A$2:$A$433,$D2009,Acerto_Detalhado!$B$2:$B$433,"Jun",Acerto_Detalhado!$C$2:$C$433,"Proteina")),2)</f>
        <v>0</v>
      </c>
    </row>
    <row r="2010" customFormat="false" ht="15" hidden="false" customHeight="false" outlineLevel="0" collapsed="false">
      <c r="A2010" s="27" t="s">
        <v>116</v>
      </c>
      <c r="B2010" s="27" t="s">
        <v>109</v>
      </c>
      <c r="C2010" s="27" t="s">
        <v>41</v>
      </c>
      <c r="D2010" s="27" t="s">
        <v>43</v>
      </c>
      <c r="E2010" s="28" t="n">
        <f aca="false">ROUND((SUMIFS(Acerto_Detalhado!$F$2:$F$433,Acerto_Detalhado!$A$2:$A$433,$C2010,Acerto_Detalhado!$B$2:$B$433,"Jun",Acerto_Detalhado!$C$2:$C$433,"Proteina"))*(SUMIFS(Acerto_Detalhado!$I$2:$I$433,Acerto_Detalhado!$A$2:$A$433,$D2010,Acerto_Detalhado!$B$2:$B$433,"Jun",Acerto_Detalhado!$C$2:$C$433,"Proteina")),2)</f>
        <v>0</v>
      </c>
    </row>
    <row r="2011" customFormat="false" ht="15" hidden="false" customHeight="false" outlineLevel="0" collapsed="false">
      <c r="A2011" s="27" t="s">
        <v>116</v>
      </c>
      <c r="B2011" s="27" t="s">
        <v>109</v>
      </c>
      <c r="C2011" s="27" t="s">
        <v>41</v>
      </c>
      <c r="D2011" s="27" t="s">
        <v>44</v>
      </c>
      <c r="E2011" s="28" t="n">
        <f aca="false">ROUND((SUMIFS(Acerto_Detalhado!$F$2:$F$433,Acerto_Detalhado!$A$2:$A$433,$C2011,Acerto_Detalhado!$B$2:$B$433,"Jun",Acerto_Detalhado!$C$2:$C$433,"Proteina"))*(SUMIFS(Acerto_Detalhado!$I$2:$I$433,Acerto_Detalhado!$A$2:$A$433,$D2011,Acerto_Detalhado!$B$2:$B$433,"Jun",Acerto_Detalhado!$C$2:$C$433,"Proteina")),2)</f>
        <v>0</v>
      </c>
    </row>
    <row r="2012" customFormat="false" ht="15" hidden="false" customHeight="false" outlineLevel="0" collapsed="false">
      <c r="A2012" s="27" t="s">
        <v>116</v>
      </c>
      <c r="B2012" s="27" t="s">
        <v>109</v>
      </c>
      <c r="C2012" s="27" t="s">
        <v>41</v>
      </c>
      <c r="D2012" s="27" t="s">
        <v>45</v>
      </c>
      <c r="E2012" s="28" t="n">
        <f aca="false">ROUND((SUMIFS(Acerto_Detalhado!$F$2:$F$433,Acerto_Detalhado!$A$2:$A$433,$C2012,Acerto_Detalhado!$B$2:$B$433,"Jun",Acerto_Detalhado!$C$2:$C$433,"Proteina"))*(SUMIFS(Acerto_Detalhado!$I$2:$I$433,Acerto_Detalhado!$A$2:$A$433,$D2012,Acerto_Detalhado!$B$2:$B$433,"Jun",Acerto_Detalhado!$C$2:$C$433,"Proteina")),2)</f>
        <v>0</v>
      </c>
    </row>
    <row r="2013" customFormat="false" ht="15" hidden="false" customHeight="false" outlineLevel="0" collapsed="false">
      <c r="A2013" s="27" t="s">
        <v>116</v>
      </c>
      <c r="B2013" s="27" t="s">
        <v>109</v>
      </c>
      <c r="C2013" s="27" t="s">
        <v>41</v>
      </c>
      <c r="D2013" s="27" t="s">
        <v>46</v>
      </c>
      <c r="E2013" s="28" t="n">
        <f aca="false">ROUND((SUMIFS(Acerto_Detalhado!$F$2:$F$433,Acerto_Detalhado!$A$2:$A$433,$C2013,Acerto_Detalhado!$B$2:$B$433,"Jun",Acerto_Detalhado!$C$2:$C$433,"Proteina"))*(SUMIFS(Acerto_Detalhado!$I$2:$I$433,Acerto_Detalhado!$A$2:$A$433,$D2013,Acerto_Detalhado!$B$2:$B$433,"Jun",Acerto_Detalhado!$C$2:$C$433,"Proteina")),2)</f>
        <v>0</v>
      </c>
    </row>
    <row r="2014" customFormat="false" ht="15" hidden="false" customHeight="false" outlineLevel="0" collapsed="false">
      <c r="A2014" s="27" t="s">
        <v>116</v>
      </c>
      <c r="B2014" s="27" t="s">
        <v>109</v>
      </c>
      <c r="C2014" s="27" t="s">
        <v>41</v>
      </c>
      <c r="D2014" s="27" t="s">
        <v>47</v>
      </c>
      <c r="E2014" s="28" t="n">
        <f aca="false">ROUND((SUMIFS(Acerto_Detalhado!$F$2:$F$433,Acerto_Detalhado!$A$2:$A$433,$C2014,Acerto_Detalhado!$B$2:$B$433,"Jun",Acerto_Detalhado!$C$2:$C$433,"Proteina"))*(SUMIFS(Acerto_Detalhado!$I$2:$I$433,Acerto_Detalhado!$A$2:$A$433,$D2014,Acerto_Detalhado!$B$2:$B$433,"Jun",Acerto_Detalhado!$C$2:$C$433,"Proteina")),2)</f>
        <v>0</v>
      </c>
    </row>
    <row r="2015" customFormat="false" ht="15" hidden="false" customHeight="false" outlineLevel="0" collapsed="false">
      <c r="A2015" s="27" t="s">
        <v>116</v>
      </c>
      <c r="B2015" s="27" t="s">
        <v>109</v>
      </c>
      <c r="C2015" s="27" t="s">
        <v>41</v>
      </c>
      <c r="D2015" s="27" t="s">
        <v>48</v>
      </c>
      <c r="E2015" s="28" t="n">
        <f aca="false">ROUND((SUMIFS(Acerto_Detalhado!$F$2:$F$433,Acerto_Detalhado!$A$2:$A$433,$C2015,Acerto_Detalhado!$B$2:$B$433,"Jun",Acerto_Detalhado!$C$2:$C$433,"Proteina"))*(SUMIFS(Acerto_Detalhado!$I$2:$I$433,Acerto_Detalhado!$A$2:$A$433,$D2015,Acerto_Detalhado!$B$2:$B$433,"Jun",Acerto_Detalhado!$C$2:$C$433,"Proteina")),2)</f>
        <v>0</v>
      </c>
    </row>
    <row r="2016" customFormat="false" ht="15" hidden="false" customHeight="false" outlineLevel="0" collapsed="false">
      <c r="A2016" s="27" t="s">
        <v>116</v>
      </c>
      <c r="B2016" s="27" t="s">
        <v>109</v>
      </c>
      <c r="C2016" s="27" t="s">
        <v>41</v>
      </c>
      <c r="D2016" s="27" t="s">
        <v>49</v>
      </c>
      <c r="E2016" s="28" t="n">
        <f aca="false">ROUND((SUMIFS(Acerto_Detalhado!$F$2:$F$433,Acerto_Detalhado!$A$2:$A$433,$C2016,Acerto_Detalhado!$B$2:$B$433,"Jun",Acerto_Detalhado!$C$2:$C$433,"Proteina"))*(SUMIFS(Acerto_Detalhado!$I$2:$I$433,Acerto_Detalhado!$A$2:$A$433,$D2016,Acerto_Detalhado!$B$2:$B$433,"Jun",Acerto_Detalhado!$C$2:$C$433,"Proteina")),2)</f>
        <v>0</v>
      </c>
    </row>
    <row r="2017" customFormat="false" ht="15" hidden="false" customHeight="false" outlineLevel="0" collapsed="false">
      <c r="A2017" s="27" t="s">
        <v>116</v>
      </c>
      <c r="B2017" s="27" t="s">
        <v>109</v>
      </c>
      <c r="C2017" s="27" t="s">
        <v>41</v>
      </c>
      <c r="D2017" s="27" t="s">
        <v>50</v>
      </c>
      <c r="E2017" s="28" t="n">
        <f aca="false">ROUND((SUMIFS(Acerto_Detalhado!$F$2:$F$433,Acerto_Detalhado!$A$2:$A$433,$C2017,Acerto_Detalhado!$B$2:$B$433,"Jun",Acerto_Detalhado!$C$2:$C$433,"Proteina"))*(SUMIFS(Acerto_Detalhado!$I$2:$I$433,Acerto_Detalhado!$A$2:$A$433,$D2017,Acerto_Detalhado!$B$2:$B$433,"Jun",Acerto_Detalhado!$C$2:$C$433,"Proteina")),2)</f>
        <v>0</v>
      </c>
    </row>
    <row r="2018" customFormat="false" ht="15" hidden="false" customHeight="false" outlineLevel="0" collapsed="false">
      <c r="A2018" s="27" t="s">
        <v>116</v>
      </c>
      <c r="B2018" s="27" t="s">
        <v>109</v>
      </c>
      <c r="C2018" s="27" t="s">
        <v>42</v>
      </c>
      <c r="D2018" s="27" t="s">
        <v>39</v>
      </c>
      <c r="E2018" s="28" t="n">
        <f aca="false">ROUND((SUMIFS(Acerto_Detalhado!$F$2:$F$433,Acerto_Detalhado!$A$2:$A$433,$C2018,Acerto_Detalhado!$B$2:$B$433,"Jun",Acerto_Detalhado!$C$2:$C$433,"Proteina"))*(SUMIFS(Acerto_Detalhado!$I$2:$I$433,Acerto_Detalhado!$A$2:$A$433,$D2018,Acerto_Detalhado!$B$2:$B$433,"Jun",Acerto_Detalhado!$C$2:$C$433,"Proteina")),2)</f>
        <v>1675.33</v>
      </c>
    </row>
    <row r="2019" customFormat="false" ht="15" hidden="false" customHeight="false" outlineLevel="0" collapsed="false">
      <c r="A2019" s="27" t="s">
        <v>116</v>
      </c>
      <c r="B2019" s="27" t="s">
        <v>109</v>
      </c>
      <c r="C2019" s="27" t="s">
        <v>42</v>
      </c>
      <c r="D2019" s="27" t="s">
        <v>40</v>
      </c>
      <c r="E2019" s="28" t="n">
        <f aca="false">ROUND((SUMIFS(Acerto_Detalhado!$F$2:$F$433,Acerto_Detalhado!$A$2:$A$433,$C2019,Acerto_Detalhado!$B$2:$B$433,"Jun",Acerto_Detalhado!$C$2:$C$433,"Proteina"))*(SUMIFS(Acerto_Detalhado!$I$2:$I$433,Acerto_Detalhado!$A$2:$A$433,$D2019,Acerto_Detalhado!$B$2:$B$433,"Jun",Acerto_Detalhado!$C$2:$C$433,"Proteina")),2)</f>
        <v>1823.87</v>
      </c>
    </row>
    <row r="2020" customFormat="false" ht="15" hidden="false" customHeight="false" outlineLevel="0" collapsed="false">
      <c r="A2020" s="27" t="s">
        <v>116</v>
      </c>
      <c r="B2020" s="27" t="s">
        <v>109</v>
      </c>
      <c r="C2020" s="27" t="s">
        <v>42</v>
      </c>
      <c r="D2020" s="27" t="s">
        <v>41</v>
      </c>
      <c r="E2020" s="28" t="n">
        <f aca="false">ROUND((SUMIFS(Acerto_Detalhado!$F$2:$F$433,Acerto_Detalhado!$A$2:$A$433,$C2020,Acerto_Detalhado!$B$2:$B$433,"Jun",Acerto_Detalhado!$C$2:$C$433,"Proteina"))*(SUMIFS(Acerto_Detalhado!$I$2:$I$433,Acerto_Detalhado!$A$2:$A$433,$D2020,Acerto_Detalhado!$B$2:$B$433,"Jun",Acerto_Detalhado!$C$2:$C$433,"Proteina")),2)</f>
        <v>1681.14</v>
      </c>
    </row>
    <row r="2021" customFormat="false" ht="15" hidden="false" customHeight="false" outlineLevel="0" collapsed="false">
      <c r="A2021" s="27" t="s">
        <v>116</v>
      </c>
      <c r="B2021" s="27" t="s">
        <v>109</v>
      </c>
      <c r="C2021" s="27" t="s">
        <v>42</v>
      </c>
      <c r="D2021" s="27" t="s">
        <v>43</v>
      </c>
      <c r="E2021" s="28" t="n">
        <f aca="false">ROUND((SUMIFS(Acerto_Detalhado!$F$2:$F$433,Acerto_Detalhado!$A$2:$A$433,$C2021,Acerto_Detalhado!$B$2:$B$433,"Jun",Acerto_Detalhado!$C$2:$C$433,"Proteina"))*(SUMIFS(Acerto_Detalhado!$I$2:$I$433,Acerto_Detalhado!$A$2:$A$433,$D2021,Acerto_Detalhado!$B$2:$B$433,"Jun",Acerto_Detalhado!$C$2:$C$433,"Proteina")),2)</f>
        <v>0</v>
      </c>
    </row>
    <row r="2022" customFormat="false" ht="15" hidden="false" customHeight="false" outlineLevel="0" collapsed="false">
      <c r="A2022" s="27" t="s">
        <v>116</v>
      </c>
      <c r="B2022" s="27" t="s">
        <v>109</v>
      </c>
      <c r="C2022" s="27" t="s">
        <v>42</v>
      </c>
      <c r="D2022" s="27" t="s">
        <v>44</v>
      </c>
      <c r="E2022" s="28" t="n">
        <f aca="false">ROUND((SUMIFS(Acerto_Detalhado!$F$2:$F$433,Acerto_Detalhado!$A$2:$A$433,$C2022,Acerto_Detalhado!$B$2:$B$433,"Jun",Acerto_Detalhado!$C$2:$C$433,"Proteina"))*(SUMIFS(Acerto_Detalhado!$I$2:$I$433,Acerto_Detalhado!$A$2:$A$433,$D2022,Acerto_Detalhado!$B$2:$B$433,"Jun",Acerto_Detalhado!$C$2:$C$433,"Proteina")),2)</f>
        <v>0</v>
      </c>
    </row>
    <row r="2023" customFormat="false" ht="15" hidden="false" customHeight="false" outlineLevel="0" collapsed="false">
      <c r="A2023" s="27" t="s">
        <v>116</v>
      </c>
      <c r="B2023" s="27" t="s">
        <v>109</v>
      </c>
      <c r="C2023" s="27" t="s">
        <v>42</v>
      </c>
      <c r="D2023" s="27" t="s">
        <v>45</v>
      </c>
      <c r="E2023" s="28" t="n">
        <f aca="false">ROUND((SUMIFS(Acerto_Detalhado!$F$2:$F$433,Acerto_Detalhado!$A$2:$A$433,$C2023,Acerto_Detalhado!$B$2:$B$433,"Jun",Acerto_Detalhado!$C$2:$C$433,"Proteina"))*(SUMIFS(Acerto_Detalhado!$I$2:$I$433,Acerto_Detalhado!$A$2:$A$433,$D2023,Acerto_Detalhado!$B$2:$B$433,"Jun",Acerto_Detalhado!$C$2:$C$433,"Proteina")),2)</f>
        <v>0</v>
      </c>
    </row>
    <row r="2024" customFormat="false" ht="15" hidden="false" customHeight="false" outlineLevel="0" collapsed="false">
      <c r="A2024" s="27" t="s">
        <v>116</v>
      </c>
      <c r="B2024" s="27" t="s">
        <v>109</v>
      </c>
      <c r="C2024" s="27" t="s">
        <v>42</v>
      </c>
      <c r="D2024" s="27" t="s">
        <v>46</v>
      </c>
      <c r="E2024" s="28" t="n">
        <f aca="false">ROUND((SUMIFS(Acerto_Detalhado!$F$2:$F$433,Acerto_Detalhado!$A$2:$A$433,$C2024,Acerto_Detalhado!$B$2:$B$433,"Jun",Acerto_Detalhado!$C$2:$C$433,"Proteina"))*(SUMIFS(Acerto_Detalhado!$I$2:$I$433,Acerto_Detalhado!$A$2:$A$433,$D2024,Acerto_Detalhado!$B$2:$B$433,"Jun",Acerto_Detalhado!$C$2:$C$433,"Proteina")),2)</f>
        <v>0</v>
      </c>
    </row>
    <row r="2025" customFormat="false" ht="15" hidden="false" customHeight="false" outlineLevel="0" collapsed="false">
      <c r="A2025" s="27" t="s">
        <v>116</v>
      </c>
      <c r="B2025" s="27" t="s">
        <v>109</v>
      </c>
      <c r="C2025" s="27" t="s">
        <v>42</v>
      </c>
      <c r="D2025" s="27" t="s">
        <v>47</v>
      </c>
      <c r="E2025" s="28" t="n">
        <f aca="false">ROUND((SUMIFS(Acerto_Detalhado!$F$2:$F$433,Acerto_Detalhado!$A$2:$A$433,$C2025,Acerto_Detalhado!$B$2:$B$433,"Jun",Acerto_Detalhado!$C$2:$C$433,"Proteina"))*(SUMIFS(Acerto_Detalhado!$I$2:$I$433,Acerto_Detalhado!$A$2:$A$433,$D2025,Acerto_Detalhado!$B$2:$B$433,"Jun",Acerto_Detalhado!$C$2:$C$433,"Proteina")),2)</f>
        <v>0</v>
      </c>
    </row>
    <row r="2026" customFormat="false" ht="15" hidden="false" customHeight="false" outlineLevel="0" collapsed="false">
      <c r="A2026" s="27" t="s">
        <v>116</v>
      </c>
      <c r="B2026" s="27" t="s">
        <v>109</v>
      </c>
      <c r="C2026" s="27" t="s">
        <v>42</v>
      </c>
      <c r="D2026" s="27" t="s">
        <v>48</v>
      </c>
      <c r="E2026" s="28" t="n">
        <f aca="false">ROUND((SUMIFS(Acerto_Detalhado!$F$2:$F$433,Acerto_Detalhado!$A$2:$A$433,$C2026,Acerto_Detalhado!$B$2:$B$433,"Jun",Acerto_Detalhado!$C$2:$C$433,"Proteina"))*(SUMIFS(Acerto_Detalhado!$I$2:$I$433,Acerto_Detalhado!$A$2:$A$433,$D2026,Acerto_Detalhado!$B$2:$B$433,"Jun",Acerto_Detalhado!$C$2:$C$433,"Proteina")),2)</f>
        <v>0</v>
      </c>
    </row>
    <row r="2027" customFormat="false" ht="15" hidden="false" customHeight="false" outlineLevel="0" collapsed="false">
      <c r="A2027" s="27" t="s">
        <v>116</v>
      </c>
      <c r="B2027" s="27" t="s">
        <v>109</v>
      </c>
      <c r="C2027" s="27" t="s">
        <v>42</v>
      </c>
      <c r="D2027" s="27" t="s">
        <v>49</v>
      </c>
      <c r="E2027" s="28" t="n">
        <f aca="false">ROUND((SUMIFS(Acerto_Detalhado!$F$2:$F$433,Acerto_Detalhado!$A$2:$A$433,$C2027,Acerto_Detalhado!$B$2:$B$433,"Jun",Acerto_Detalhado!$C$2:$C$433,"Proteina"))*(SUMIFS(Acerto_Detalhado!$I$2:$I$433,Acerto_Detalhado!$A$2:$A$433,$D2027,Acerto_Detalhado!$B$2:$B$433,"Jun",Acerto_Detalhado!$C$2:$C$433,"Proteina")),2)</f>
        <v>0</v>
      </c>
    </row>
    <row r="2028" customFormat="false" ht="15" hidden="false" customHeight="false" outlineLevel="0" collapsed="false">
      <c r="A2028" s="27" t="s">
        <v>116</v>
      </c>
      <c r="B2028" s="27" t="s">
        <v>109</v>
      </c>
      <c r="C2028" s="27" t="s">
        <v>42</v>
      </c>
      <c r="D2028" s="27" t="s">
        <v>50</v>
      </c>
      <c r="E2028" s="28" t="n">
        <f aca="false">ROUND((SUMIFS(Acerto_Detalhado!$F$2:$F$433,Acerto_Detalhado!$A$2:$A$433,$C2028,Acerto_Detalhado!$B$2:$B$433,"Jun",Acerto_Detalhado!$C$2:$C$433,"Proteina"))*(SUMIFS(Acerto_Detalhado!$I$2:$I$433,Acerto_Detalhado!$A$2:$A$433,$D2028,Acerto_Detalhado!$B$2:$B$433,"Jun",Acerto_Detalhado!$C$2:$C$433,"Proteina")),2)</f>
        <v>0</v>
      </c>
    </row>
    <row r="2029" customFormat="false" ht="15" hidden="false" customHeight="false" outlineLevel="0" collapsed="false">
      <c r="A2029" s="27" t="s">
        <v>116</v>
      </c>
      <c r="B2029" s="27" t="s">
        <v>109</v>
      </c>
      <c r="C2029" s="27" t="s">
        <v>43</v>
      </c>
      <c r="D2029" s="27" t="s">
        <v>39</v>
      </c>
      <c r="E2029" s="28" t="n">
        <f aca="false">ROUND((SUMIFS(Acerto_Detalhado!$F$2:$F$433,Acerto_Detalhado!$A$2:$A$433,$C2029,Acerto_Detalhado!$B$2:$B$433,"Jun",Acerto_Detalhado!$C$2:$C$433,"Proteina"))*(SUMIFS(Acerto_Detalhado!$I$2:$I$433,Acerto_Detalhado!$A$2:$A$433,$D2029,Acerto_Detalhado!$B$2:$B$433,"Jun",Acerto_Detalhado!$C$2:$C$433,"Proteina")),2)</f>
        <v>3924.48</v>
      </c>
    </row>
    <row r="2030" customFormat="false" ht="15" hidden="false" customHeight="false" outlineLevel="0" collapsed="false">
      <c r="A2030" s="27" t="s">
        <v>116</v>
      </c>
      <c r="B2030" s="27" t="s">
        <v>109</v>
      </c>
      <c r="C2030" s="27" t="s">
        <v>43</v>
      </c>
      <c r="D2030" s="27" t="s">
        <v>40</v>
      </c>
      <c r="E2030" s="28" t="n">
        <f aca="false">ROUND((SUMIFS(Acerto_Detalhado!$F$2:$F$433,Acerto_Detalhado!$A$2:$A$433,$C2030,Acerto_Detalhado!$B$2:$B$433,"Jun",Acerto_Detalhado!$C$2:$C$433,"Proteina"))*(SUMIFS(Acerto_Detalhado!$I$2:$I$433,Acerto_Detalhado!$A$2:$A$433,$D2030,Acerto_Detalhado!$B$2:$B$433,"Jun",Acerto_Detalhado!$C$2:$C$433,"Proteina")),2)</f>
        <v>4272.42</v>
      </c>
    </row>
    <row r="2031" customFormat="false" ht="15" hidden="false" customHeight="false" outlineLevel="0" collapsed="false">
      <c r="A2031" s="27" t="s">
        <v>116</v>
      </c>
      <c r="B2031" s="27" t="s">
        <v>109</v>
      </c>
      <c r="C2031" s="27" t="s">
        <v>43</v>
      </c>
      <c r="D2031" s="27" t="s">
        <v>41</v>
      </c>
      <c r="E2031" s="28" t="n">
        <f aca="false">ROUND((SUMIFS(Acerto_Detalhado!$F$2:$F$433,Acerto_Detalhado!$A$2:$A$433,$C2031,Acerto_Detalhado!$B$2:$B$433,"Jun",Acerto_Detalhado!$C$2:$C$433,"Proteina"))*(SUMIFS(Acerto_Detalhado!$I$2:$I$433,Acerto_Detalhado!$A$2:$A$433,$D2031,Acerto_Detalhado!$B$2:$B$433,"Jun",Acerto_Detalhado!$C$2:$C$433,"Proteina")),2)</f>
        <v>3938.07</v>
      </c>
    </row>
    <row r="2032" customFormat="false" ht="15" hidden="false" customHeight="false" outlineLevel="0" collapsed="false">
      <c r="A2032" s="27" t="s">
        <v>116</v>
      </c>
      <c r="B2032" s="27" t="s">
        <v>109</v>
      </c>
      <c r="C2032" s="27" t="s">
        <v>43</v>
      </c>
      <c r="D2032" s="27" t="s">
        <v>42</v>
      </c>
      <c r="E2032" s="28" t="n">
        <f aca="false">ROUND((SUMIFS(Acerto_Detalhado!$F$2:$F$433,Acerto_Detalhado!$A$2:$A$433,$C2032,Acerto_Detalhado!$B$2:$B$433,"Jun",Acerto_Detalhado!$C$2:$C$433,"Proteina"))*(SUMIFS(Acerto_Detalhado!$I$2:$I$433,Acerto_Detalhado!$A$2:$A$433,$D2032,Acerto_Detalhado!$B$2:$B$433,"Jun",Acerto_Detalhado!$C$2:$C$433,"Proteina")),2)</f>
        <v>0</v>
      </c>
    </row>
    <row r="2033" customFormat="false" ht="15" hidden="false" customHeight="false" outlineLevel="0" collapsed="false">
      <c r="A2033" s="27" t="s">
        <v>116</v>
      </c>
      <c r="B2033" s="27" t="s">
        <v>109</v>
      </c>
      <c r="C2033" s="27" t="s">
        <v>43</v>
      </c>
      <c r="D2033" s="27" t="s">
        <v>44</v>
      </c>
      <c r="E2033" s="28" t="n">
        <f aca="false">ROUND((SUMIFS(Acerto_Detalhado!$F$2:$F$433,Acerto_Detalhado!$A$2:$A$433,$C2033,Acerto_Detalhado!$B$2:$B$433,"Jun",Acerto_Detalhado!$C$2:$C$433,"Proteina"))*(SUMIFS(Acerto_Detalhado!$I$2:$I$433,Acerto_Detalhado!$A$2:$A$433,$D2033,Acerto_Detalhado!$B$2:$B$433,"Jun",Acerto_Detalhado!$C$2:$C$433,"Proteina")),2)</f>
        <v>0</v>
      </c>
    </row>
    <row r="2034" customFormat="false" ht="15" hidden="false" customHeight="false" outlineLevel="0" collapsed="false">
      <c r="A2034" s="27" t="s">
        <v>116</v>
      </c>
      <c r="B2034" s="27" t="s">
        <v>109</v>
      </c>
      <c r="C2034" s="27" t="s">
        <v>43</v>
      </c>
      <c r="D2034" s="27" t="s">
        <v>45</v>
      </c>
      <c r="E2034" s="28" t="n">
        <f aca="false">ROUND((SUMIFS(Acerto_Detalhado!$F$2:$F$433,Acerto_Detalhado!$A$2:$A$433,$C2034,Acerto_Detalhado!$B$2:$B$433,"Jun",Acerto_Detalhado!$C$2:$C$433,"Proteina"))*(SUMIFS(Acerto_Detalhado!$I$2:$I$433,Acerto_Detalhado!$A$2:$A$433,$D2034,Acerto_Detalhado!$B$2:$B$433,"Jun",Acerto_Detalhado!$C$2:$C$433,"Proteina")),2)</f>
        <v>0</v>
      </c>
    </row>
    <row r="2035" customFormat="false" ht="15" hidden="false" customHeight="false" outlineLevel="0" collapsed="false">
      <c r="A2035" s="27" t="s">
        <v>116</v>
      </c>
      <c r="B2035" s="27" t="s">
        <v>109</v>
      </c>
      <c r="C2035" s="27" t="s">
        <v>43</v>
      </c>
      <c r="D2035" s="27" t="s">
        <v>46</v>
      </c>
      <c r="E2035" s="28" t="n">
        <f aca="false">ROUND((SUMIFS(Acerto_Detalhado!$F$2:$F$433,Acerto_Detalhado!$A$2:$A$433,$C2035,Acerto_Detalhado!$B$2:$B$433,"Jun",Acerto_Detalhado!$C$2:$C$433,"Proteina"))*(SUMIFS(Acerto_Detalhado!$I$2:$I$433,Acerto_Detalhado!$A$2:$A$433,$D2035,Acerto_Detalhado!$B$2:$B$433,"Jun",Acerto_Detalhado!$C$2:$C$433,"Proteina")),2)</f>
        <v>0</v>
      </c>
    </row>
    <row r="2036" customFormat="false" ht="15" hidden="false" customHeight="false" outlineLevel="0" collapsed="false">
      <c r="A2036" s="27" t="s">
        <v>116</v>
      </c>
      <c r="B2036" s="27" t="s">
        <v>109</v>
      </c>
      <c r="C2036" s="27" t="s">
        <v>43</v>
      </c>
      <c r="D2036" s="27" t="s">
        <v>47</v>
      </c>
      <c r="E2036" s="28" t="n">
        <f aca="false">ROUND((SUMIFS(Acerto_Detalhado!$F$2:$F$433,Acerto_Detalhado!$A$2:$A$433,$C2036,Acerto_Detalhado!$B$2:$B$433,"Jun",Acerto_Detalhado!$C$2:$C$433,"Proteina"))*(SUMIFS(Acerto_Detalhado!$I$2:$I$433,Acerto_Detalhado!$A$2:$A$433,$D2036,Acerto_Detalhado!$B$2:$B$433,"Jun",Acerto_Detalhado!$C$2:$C$433,"Proteina")),2)</f>
        <v>0</v>
      </c>
    </row>
    <row r="2037" customFormat="false" ht="15" hidden="false" customHeight="false" outlineLevel="0" collapsed="false">
      <c r="A2037" s="27" t="s">
        <v>116</v>
      </c>
      <c r="B2037" s="27" t="s">
        <v>109</v>
      </c>
      <c r="C2037" s="27" t="s">
        <v>43</v>
      </c>
      <c r="D2037" s="27" t="s">
        <v>48</v>
      </c>
      <c r="E2037" s="28" t="n">
        <f aca="false">ROUND((SUMIFS(Acerto_Detalhado!$F$2:$F$433,Acerto_Detalhado!$A$2:$A$433,$C2037,Acerto_Detalhado!$B$2:$B$433,"Jun",Acerto_Detalhado!$C$2:$C$433,"Proteina"))*(SUMIFS(Acerto_Detalhado!$I$2:$I$433,Acerto_Detalhado!$A$2:$A$433,$D2037,Acerto_Detalhado!$B$2:$B$433,"Jun",Acerto_Detalhado!$C$2:$C$433,"Proteina")),2)</f>
        <v>0</v>
      </c>
    </row>
    <row r="2038" customFormat="false" ht="15" hidden="false" customHeight="false" outlineLevel="0" collapsed="false">
      <c r="A2038" s="27" t="s">
        <v>116</v>
      </c>
      <c r="B2038" s="27" t="s">
        <v>109</v>
      </c>
      <c r="C2038" s="27" t="s">
        <v>43</v>
      </c>
      <c r="D2038" s="27" t="s">
        <v>49</v>
      </c>
      <c r="E2038" s="28" t="n">
        <f aca="false">ROUND((SUMIFS(Acerto_Detalhado!$F$2:$F$433,Acerto_Detalhado!$A$2:$A$433,$C2038,Acerto_Detalhado!$B$2:$B$433,"Jun",Acerto_Detalhado!$C$2:$C$433,"Proteina"))*(SUMIFS(Acerto_Detalhado!$I$2:$I$433,Acerto_Detalhado!$A$2:$A$433,$D2038,Acerto_Detalhado!$B$2:$B$433,"Jun",Acerto_Detalhado!$C$2:$C$433,"Proteina")),2)</f>
        <v>0</v>
      </c>
    </row>
    <row r="2039" customFormat="false" ht="15" hidden="false" customHeight="false" outlineLevel="0" collapsed="false">
      <c r="A2039" s="27" t="s">
        <v>116</v>
      </c>
      <c r="B2039" s="27" t="s">
        <v>109</v>
      </c>
      <c r="C2039" s="27" t="s">
        <v>43</v>
      </c>
      <c r="D2039" s="27" t="s">
        <v>50</v>
      </c>
      <c r="E2039" s="28" t="n">
        <f aca="false">ROUND((SUMIFS(Acerto_Detalhado!$F$2:$F$433,Acerto_Detalhado!$A$2:$A$433,$C2039,Acerto_Detalhado!$B$2:$B$433,"Jun",Acerto_Detalhado!$C$2:$C$433,"Proteina"))*(SUMIFS(Acerto_Detalhado!$I$2:$I$433,Acerto_Detalhado!$A$2:$A$433,$D2039,Acerto_Detalhado!$B$2:$B$433,"Jun",Acerto_Detalhado!$C$2:$C$433,"Proteina")),2)</f>
        <v>0</v>
      </c>
    </row>
    <row r="2040" customFormat="false" ht="15" hidden="false" customHeight="false" outlineLevel="0" collapsed="false">
      <c r="A2040" s="27" t="s">
        <v>116</v>
      </c>
      <c r="B2040" s="27" t="s">
        <v>109</v>
      </c>
      <c r="C2040" s="27" t="s">
        <v>44</v>
      </c>
      <c r="D2040" s="27" t="s">
        <v>39</v>
      </c>
      <c r="E2040" s="28" t="n">
        <f aca="false">ROUND((SUMIFS(Acerto_Detalhado!$F$2:$F$433,Acerto_Detalhado!$A$2:$A$433,$C2040,Acerto_Detalhado!$B$2:$B$433,"Jun",Acerto_Detalhado!$C$2:$C$433,"Proteina"))*(SUMIFS(Acerto_Detalhado!$I$2:$I$433,Acerto_Detalhado!$A$2:$A$433,$D2040,Acerto_Detalhado!$B$2:$B$433,"Jun",Acerto_Detalhado!$C$2:$C$433,"Proteina")),2)</f>
        <v>3880.36</v>
      </c>
    </row>
    <row r="2041" customFormat="false" ht="15" hidden="false" customHeight="false" outlineLevel="0" collapsed="false">
      <c r="A2041" s="27" t="s">
        <v>116</v>
      </c>
      <c r="B2041" s="27" t="s">
        <v>109</v>
      </c>
      <c r="C2041" s="27" t="s">
        <v>44</v>
      </c>
      <c r="D2041" s="27" t="s">
        <v>40</v>
      </c>
      <c r="E2041" s="28" t="n">
        <f aca="false">ROUND((SUMIFS(Acerto_Detalhado!$F$2:$F$433,Acerto_Detalhado!$A$2:$A$433,$C2041,Acerto_Detalhado!$B$2:$B$433,"Jun",Acerto_Detalhado!$C$2:$C$433,"Proteina"))*(SUMIFS(Acerto_Detalhado!$I$2:$I$433,Acerto_Detalhado!$A$2:$A$433,$D2041,Acerto_Detalhado!$B$2:$B$433,"Jun",Acerto_Detalhado!$C$2:$C$433,"Proteina")),2)</f>
        <v>4224.4</v>
      </c>
    </row>
    <row r="2042" customFormat="false" ht="15" hidden="false" customHeight="false" outlineLevel="0" collapsed="false">
      <c r="A2042" s="27" t="s">
        <v>116</v>
      </c>
      <c r="B2042" s="27" t="s">
        <v>109</v>
      </c>
      <c r="C2042" s="27" t="s">
        <v>44</v>
      </c>
      <c r="D2042" s="27" t="s">
        <v>41</v>
      </c>
      <c r="E2042" s="28" t="n">
        <f aca="false">ROUND((SUMIFS(Acerto_Detalhado!$F$2:$F$433,Acerto_Detalhado!$A$2:$A$433,$C2042,Acerto_Detalhado!$B$2:$B$433,"Jun",Acerto_Detalhado!$C$2:$C$433,"Proteina"))*(SUMIFS(Acerto_Detalhado!$I$2:$I$433,Acerto_Detalhado!$A$2:$A$433,$D2042,Acerto_Detalhado!$B$2:$B$433,"Jun",Acerto_Detalhado!$C$2:$C$433,"Proteina")),2)</f>
        <v>3893.8</v>
      </c>
    </row>
    <row r="2043" customFormat="false" ht="15" hidden="false" customHeight="false" outlineLevel="0" collapsed="false">
      <c r="A2043" s="27" t="s">
        <v>116</v>
      </c>
      <c r="B2043" s="27" t="s">
        <v>109</v>
      </c>
      <c r="C2043" s="27" t="s">
        <v>44</v>
      </c>
      <c r="D2043" s="27" t="s">
        <v>42</v>
      </c>
      <c r="E2043" s="28" t="n">
        <f aca="false">ROUND((SUMIFS(Acerto_Detalhado!$F$2:$F$433,Acerto_Detalhado!$A$2:$A$433,$C2043,Acerto_Detalhado!$B$2:$B$433,"Jun",Acerto_Detalhado!$C$2:$C$433,"Proteina"))*(SUMIFS(Acerto_Detalhado!$I$2:$I$433,Acerto_Detalhado!$A$2:$A$433,$D2043,Acerto_Detalhado!$B$2:$B$433,"Jun",Acerto_Detalhado!$C$2:$C$433,"Proteina")),2)</f>
        <v>0</v>
      </c>
    </row>
    <row r="2044" customFormat="false" ht="15" hidden="false" customHeight="false" outlineLevel="0" collapsed="false">
      <c r="A2044" s="27" t="s">
        <v>116</v>
      </c>
      <c r="B2044" s="27" t="s">
        <v>109</v>
      </c>
      <c r="C2044" s="27" t="s">
        <v>44</v>
      </c>
      <c r="D2044" s="27" t="s">
        <v>43</v>
      </c>
      <c r="E2044" s="28" t="n">
        <f aca="false">ROUND((SUMIFS(Acerto_Detalhado!$F$2:$F$433,Acerto_Detalhado!$A$2:$A$433,$C2044,Acerto_Detalhado!$B$2:$B$433,"Jun",Acerto_Detalhado!$C$2:$C$433,"Proteina"))*(SUMIFS(Acerto_Detalhado!$I$2:$I$433,Acerto_Detalhado!$A$2:$A$433,$D2044,Acerto_Detalhado!$B$2:$B$433,"Jun",Acerto_Detalhado!$C$2:$C$433,"Proteina")),2)</f>
        <v>0</v>
      </c>
    </row>
    <row r="2045" customFormat="false" ht="15" hidden="false" customHeight="false" outlineLevel="0" collapsed="false">
      <c r="A2045" s="27" t="s">
        <v>116</v>
      </c>
      <c r="B2045" s="27" t="s">
        <v>109</v>
      </c>
      <c r="C2045" s="27" t="s">
        <v>44</v>
      </c>
      <c r="D2045" s="27" t="s">
        <v>45</v>
      </c>
      <c r="E2045" s="28" t="n">
        <f aca="false">ROUND((SUMIFS(Acerto_Detalhado!$F$2:$F$433,Acerto_Detalhado!$A$2:$A$433,$C2045,Acerto_Detalhado!$B$2:$B$433,"Jun",Acerto_Detalhado!$C$2:$C$433,"Proteina"))*(SUMIFS(Acerto_Detalhado!$I$2:$I$433,Acerto_Detalhado!$A$2:$A$433,$D2045,Acerto_Detalhado!$B$2:$B$433,"Jun",Acerto_Detalhado!$C$2:$C$433,"Proteina")),2)</f>
        <v>0</v>
      </c>
    </row>
    <row r="2046" customFormat="false" ht="15" hidden="false" customHeight="false" outlineLevel="0" collapsed="false">
      <c r="A2046" s="27" t="s">
        <v>116</v>
      </c>
      <c r="B2046" s="27" t="s">
        <v>109</v>
      </c>
      <c r="C2046" s="27" t="s">
        <v>44</v>
      </c>
      <c r="D2046" s="27" t="s">
        <v>46</v>
      </c>
      <c r="E2046" s="28" t="n">
        <f aca="false">ROUND((SUMIFS(Acerto_Detalhado!$F$2:$F$433,Acerto_Detalhado!$A$2:$A$433,$C2046,Acerto_Detalhado!$B$2:$B$433,"Jun",Acerto_Detalhado!$C$2:$C$433,"Proteina"))*(SUMIFS(Acerto_Detalhado!$I$2:$I$433,Acerto_Detalhado!$A$2:$A$433,$D2046,Acerto_Detalhado!$B$2:$B$433,"Jun",Acerto_Detalhado!$C$2:$C$433,"Proteina")),2)</f>
        <v>0</v>
      </c>
    </row>
    <row r="2047" customFormat="false" ht="15" hidden="false" customHeight="false" outlineLevel="0" collapsed="false">
      <c r="A2047" s="27" t="s">
        <v>116</v>
      </c>
      <c r="B2047" s="27" t="s">
        <v>109</v>
      </c>
      <c r="C2047" s="27" t="s">
        <v>44</v>
      </c>
      <c r="D2047" s="27" t="s">
        <v>47</v>
      </c>
      <c r="E2047" s="28" t="n">
        <f aca="false">ROUND((SUMIFS(Acerto_Detalhado!$F$2:$F$433,Acerto_Detalhado!$A$2:$A$433,$C2047,Acerto_Detalhado!$B$2:$B$433,"Jun",Acerto_Detalhado!$C$2:$C$433,"Proteina"))*(SUMIFS(Acerto_Detalhado!$I$2:$I$433,Acerto_Detalhado!$A$2:$A$433,$D2047,Acerto_Detalhado!$B$2:$B$433,"Jun",Acerto_Detalhado!$C$2:$C$433,"Proteina")),2)</f>
        <v>0</v>
      </c>
    </row>
    <row r="2048" customFormat="false" ht="15" hidden="false" customHeight="false" outlineLevel="0" collapsed="false">
      <c r="A2048" s="27" t="s">
        <v>116</v>
      </c>
      <c r="B2048" s="27" t="s">
        <v>109</v>
      </c>
      <c r="C2048" s="27" t="s">
        <v>44</v>
      </c>
      <c r="D2048" s="27" t="s">
        <v>48</v>
      </c>
      <c r="E2048" s="28" t="n">
        <f aca="false">ROUND((SUMIFS(Acerto_Detalhado!$F$2:$F$433,Acerto_Detalhado!$A$2:$A$433,$C2048,Acerto_Detalhado!$B$2:$B$433,"Jun",Acerto_Detalhado!$C$2:$C$433,"Proteina"))*(SUMIFS(Acerto_Detalhado!$I$2:$I$433,Acerto_Detalhado!$A$2:$A$433,$D2048,Acerto_Detalhado!$B$2:$B$433,"Jun",Acerto_Detalhado!$C$2:$C$433,"Proteina")),2)</f>
        <v>0</v>
      </c>
    </row>
    <row r="2049" customFormat="false" ht="15" hidden="false" customHeight="false" outlineLevel="0" collapsed="false">
      <c r="A2049" s="27" t="s">
        <v>116</v>
      </c>
      <c r="B2049" s="27" t="s">
        <v>109</v>
      </c>
      <c r="C2049" s="27" t="s">
        <v>44</v>
      </c>
      <c r="D2049" s="27" t="s">
        <v>49</v>
      </c>
      <c r="E2049" s="28" t="n">
        <f aca="false">ROUND((SUMIFS(Acerto_Detalhado!$F$2:$F$433,Acerto_Detalhado!$A$2:$A$433,$C2049,Acerto_Detalhado!$B$2:$B$433,"Jun",Acerto_Detalhado!$C$2:$C$433,"Proteina"))*(SUMIFS(Acerto_Detalhado!$I$2:$I$433,Acerto_Detalhado!$A$2:$A$433,$D2049,Acerto_Detalhado!$B$2:$B$433,"Jun",Acerto_Detalhado!$C$2:$C$433,"Proteina")),2)</f>
        <v>0</v>
      </c>
    </row>
    <row r="2050" customFormat="false" ht="15" hidden="false" customHeight="false" outlineLevel="0" collapsed="false">
      <c r="A2050" s="27" t="s">
        <v>116</v>
      </c>
      <c r="B2050" s="27" t="s">
        <v>109</v>
      </c>
      <c r="C2050" s="27" t="s">
        <v>44</v>
      </c>
      <c r="D2050" s="27" t="s">
        <v>50</v>
      </c>
      <c r="E2050" s="28" t="n">
        <f aca="false">ROUND((SUMIFS(Acerto_Detalhado!$F$2:$F$433,Acerto_Detalhado!$A$2:$A$433,$C2050,Acerto_Detalhado!$B$2:$B$433,"Jun",Acerto_Detalhado!$C$2:$C$433,"Proteina"))*(SUMIFS(Acerto_Detalhado!$I$2:$I$433,Acerto_Detalhado!$A$2:$A$433,$D2050,Acerto_Detalhado!$B$2:$B$433,"Jun",Acerto_Detalhado!$C$2:$C$433,"Proteina")),2)</f>
        <v>0</v>
      </c>
    </row>
    <row r="2051" customFormat="false" ht="15" hidden="false" customHeight="false" outlineLevel="0" collapsed="false">
      <c r="A2051" s="27" t="s">
        <v>116</v>
      </c>
      <c r="B2051" s="27" t="s">
        <v>109</v>
      </c>
      <c r="C2051" s="27" t="s">
        <v>45</v>
      </c>
      <c r="D2051" s="27" t="s">
        <v>39</v>
      </c>
      <c r="E2051" s="28" t="n">
        <f aca="false">ROUND((SUMIFS(Acerto_Detalhado!$F$2:$F$433,Acerto_Detalhado!$A$2:$A$433,$C2051,Acerto_Detalhado!$B$2:$B$433,"Jun",Acerto_Detalhado!$C$2:$C$433,"Proteina"))*(SUMIFS(Acerto_Detalhado!$I$2:$I$433,Acerto_Detalhado!$A$2:$A$433,$D2051,Acerto_Detalhado!$B$2:$B$433,"Jun",Acerto_Detalhado!$C$2:$C$433,"Proteina")),2)</f>
        <v>5981.74</v>
      </c>
    </row>
    <row r="2052" customFormat="false" ht="15" hidden="false" customHeight="false" outlineLevel="0" collapsed="false">
      <c r="A2052" s="27" t="s">
        <v>116</v>
      </c>
      <c r="B2052" s="27" t="s">
        <v>109</v>
      </c>
      <c r="C2052" s="27" t="s">
        <v>45</v>
      </c>
      <c r="D2052" s="27" t="s">
        <v>40</v>
      </c>
      <c r="E2052" s="28" t="n">
        <f aca="false">ROUND((SUMIFS(Acerto_Detalhado!$F$2:$F$433,Acerto_Detalhado!$A$2:$A$433,$C2052,Acerto_Detalhado!$B$2:$B$433,"Jun",Acerto_Detalhado!$C$2:$C$433,"Proteina"))*(SUMIFS(Acerto_Detalhado!$I$2:$I$433,Acerto_Detalhado!$A$2:$A$433,$D2052,Acerto_Detalhado!$B$2:$B$433,"Jun",Acerto_Detalhado!$C$2:$C$433,"Proteina")),2)</f>
        <v>6512.08</v>
      </c>
    </row>
    <row r="2053" customFormat="false" ht="15" hidden="false" customHeight="false" outlineLevel="0" collapsed="false">
      <c r="A2053" s="27" t="s">
        <v>116</v>
      </c>
      <c r="B2053" s="27" t="s">
        <v>109</v>
      </c>
      <c r="C2053" s="27" t="s">
        <v>45</v>
      </c>
      <c r="D2053" s="27" t="s">
        <v>41</v>
      </c>
      <c r="E2053" s="28" t="n">
        <f aca="false">ROUND((SUMIFS(Acerto_Detalhado!$F$2:$F$433,Acerto_Detalhado!$A$2:$A$433,$C2053,Acerto_Detalhado!$B$2:$B$433,"Jun",Acerto_Detalhado!$C$2:$C$433,"Proteina"))*(SUMIFS(Acerto_Detalhado!$I$2:$I$433,Acerto_Detalhado!$A$2:$A$433,$D2053,Acerto_Detalhado!$B$2:$B$433,"Jun",Acerto_Detalhado!$C$2:$C$433,"Proteina")),2)</f>
        <v>6002.46</v>
      </c>
    </row>
    <row r="2054" customFormat="false" ht="15" hidden="false" customHeight="false" outlineLevel="0" collapsed="false">
      <c r="A2054" s="27" t="s">
        <v>116</v>
      </c>
      <c r="B2054" s="27" t="s">
        <v>109</v>
      </c>
      <c r="C2054" s="27" t="s">
        <v>45</v>
      </c>
      <c r="D2054" s="27" t="s">
        <v>42</v>
      </c>
      <c r="E2054" s="28" t="n">
        <f aca="false">ROUND((SUMIFS(Acerto_Detalhado!$F$2:$F$433,Acerto_Detalhado!$A$2:$A$433,$C2054,Acerto_Detalhado!$B$2:$B$433,"Jun",Acerto_Detalhado!$C$2:$C$433,"Proteina"))*(SUMIFS(Acerto_Detalhado!$I$2:$I$433,Acerto_Detalhado!$A$2:$A$433,$D2054,Acerto_Detalhado!$B$2:$B$433,"Jun",Acerto_Detalhado!$C$2:$C$433,"Proteina")),2)</f>
        <v>0</v>
      </c>
    </row>
    <row r="2055" customFormat="false" ht="15" hidden="false" customHeight="false" outlineLevel="0" collapsed="false">
      <c r="A2055" s="27" t="s">
        <v>116</v>
      </c>
      <c r="B2055" s="27" t="s">
        <v>109</v>
      </c>
      <c r="C2055" s="27" t="s">
        <v>45</v>
      </c>
      <c r="D2055" s="27" t="s">
        <v>43</v>
      </c>
      <c r="E2055" s="28" t="n">
        <f aca="false">ROUND((SUMIFS(Acerto_Detalhado!$F$2:$F$433,Acerto_Detalhado!$A$2:$A$433,$C2055,Acerto_Detalhado!$B$2:$B$433,"Jun",Acerto_Detalhado!$C$2:$C$433,"Proteina"))*(SUMIFS(Acerto_Detalhado!$I$2:$I$433,Acerto_Detalhado!$A$2:$A$433,$D2055,Acerto_Detalhado!$B$2:$B$433,"Jun",Acerto_Detalhado!$C$2:$C$433,"Proteina")),2)</f>
        <v>0</v>
      </c>
    </row>
    <row r="2056" customFormat="false" ht="15" hidden="false" customHeight="false" outlineLevel="0" collapsed="false">
      <c r="A2056" s="27" t="s">
        <v>116</v>
      </c>
      <c r="B2056" s="27" t="s">
        <v>109</v>
      </c>
      <c r="C2056" s="27" t="s">
        <v>45</v>
      </c>
      <c r="D2056" s="27" t="s">
        <v>44</v>
      </c>
      <c r="E2056" s="28" t="n">
        <f aca="false">ROUND((SUMIFS(Acerto_Detalhado!$F$2:$F$433,Acerto_Detalhado!$A$2:$A$433,$C2056,Acerto_Detalhado!$B$2:$B$433,"Jun",Acerto_Detalhado!$C$2:$C$433,"Proteina"))*(SUMIFS(Acerto_Detalhado!$I$2:$I$433,Acerto_Detalhado!$A$2:$A$433,$D2056,Acerto_Detalhado!$B$2:$B$433,"Jun",Acerto_Detalhado!$C$2:$C$433,"Proteina")),2)</f>
        <v>0</v>
      </c>
    </row>
    <row r="2057" customFormat="false" ht="15" hidden="false" customHeight="false" outlineLevel="0" collapsed="false">
      <c r="A2057" s="27" t="s">
        <v>116</v>
      </c>
      <c r="B2057" s="27" t="s">
        <v>109</v>
      </c>
      <c r="C2057" s="27" t="s">
        <v>45</v>
      </c>
      <c r="D2057" s="27" t="s">
        <v>46</v>
      </c>
      <c r="E2057" s="28" t="n">
        <f aca="false">ROUND((SUMIFS(Acerto_Detalhado!$F$2:$F$433,Acerto_Detalhado!$A$2:$A$433,$C2057,Acerto_Detalhado!$B$2:$B$433,"Jun",Acerto_Detalhado!$C$2:$C$433,"Proteina"))*(SUMIFS(Acerto_Detalhado!$I$2:$I$433,Acerto_Detalhado!$A$2:$A$433,$D2057,Acerto_Detalhado!$B$2:$B$433,"Jun",Acerto_Detalhado!$C$2:$C$433,"Proteina")),2)</f>
        <v>0</v>
      </c>
    </row>
    <row r="2058" customFormat="false" ht="15" hidden="false" customHeight="false" outlineLevel="0" collapsed="false">
      <c r="A2058" s="27" t="s">
        <v>116</v>
      </c>
      <c r="B2058" s="27" t="s">
        <v>109</v>
      </c>
      <c r="C2058" s="27" t="s">
        <v>45</v>
      </c>
      <c r="D2058" s="27" t="s">
        <v>47</v>
      </c>
      <c r="E2058" s="28" t="n">
        <f aca="false">ROUND((SUMIFS(Acerto_Detalhado!$F$2:$F$433,Acerto_Detalhado!$A$2:$A$433,$C2058,Acerto_Detalhado!$B$2:$B$433,"Jun",Acerto_Detalhado!$C$2:$C$433,"Proteina"))*(SUMIFS(Acerto_Detalhado!$I$2:$I$433,Acerto_Detalhado!$A$2:$A$433,$D2058,Acerto_Detalhado!$B$2:$B$433,"Jun",Acerto_Detalhado!$C$2:$C$433,"Proteina")),2)</f>
        <v>0</v>
      </c>
    </row>
    <row r="2059" customFormat="false" ht="15" hidden="false" customHeight="false" outlineLevel="0" collapsed="false">
      <c r="A2059" s="27" t="s">
        <v>116</v>
      </c>
      <c r="B2059" s="27" t="s">
        <v>109</v>
      </c>
      <c r="C2059" s="27" t="s">
        <v>45</v>
      </c>
      <c r="D2059" s="27" t="s">
        <v>48</v>
      </c>
      <c r="E2059" s="28" t="n">
        <f aca="false">ROUND((SUMIFS(Acerto_Detalhado!$F$2:$F$433,Acerto_Detalhado!$A$2:$A$433,$C2059,Acerto_Detalhado!$B$2:$B$433,"Jun",Acerto_Detalhado!$C$2:$C$433,"Proteina"))*(SUMIFS(Acerto_Detalhado!$I$2:$I$433,Acerto_Detalhado!$A$2:$A$433,$D2059,Acerto_Detalhado!$B$2:$B$433,"Jun",Acerto_Detalhado!$C$2:$C$433,"Proteina")),2)</f>
        <v>0</v>
      </c>
    </row>
    <row r="2060" customFormat="false" ht="15" hidden="false" customHeight="false" outlineLevel="0" collapsed="false">
      <c r="A2060" s="27" t="s">
        <v>116</v>
      </c>
      <c r="B2060" s="27" t="s">
        <v>109</v>
      </c>
      <c r="C2060" s="27" t="s">
        <v>45</v>
      </c>
      <c r="D2060" s="27" t="s">
        <v>49</v>
      </c>
      <c r="E2060" s="28" t="n">
        <f aca="false">ROUND((SUMIFS(Acerto_Detalhado!$F$2:$F$433,Acerto_Detalhado!$A$2:$A$433,$C2060,Acerto_Detalhado!$B$2:$B$433,"Jun",Acerto_Detalhado!$C$2:$C$433,"Proteina"))*(SUMIFS(Acerto_Detalhado!$I$2:$I$433,Acerto_Detalhado!$A$2:$A$433,$D2060,Acerto_Detalhado!$B$2:$B$433,"Jun",Acerto_Detalhado!$C$2:$C$433,"Proteina")),2)</f>
        <v>0</v>
      </c>
    </row>
    <row r="2061" customFormat="false" ht="15" hidden="false" customHeight="false" outlineLevel="0" collapsed="false">
      <c r="A2061" s="27" t="s">
        <v>116</v>
      </c>
      <c r="B2061" s="27" t="s">
        <v>109</v>
      </c>
      <c r="C2061" s="27" t="s">
        <v>45</v>
      </c>
      <c r="D2061" s="27" t="s">
        <v>50</v>
      </c>
      <c r="E2061" s="28" t="n">
        <f aca="false">ROUND((SUMIFS(Acerto_Detalhado!$F$2:$F$433,Acerto_Detalhado!$A$2:$A$433,$C2061,Acerto_Detalhado!$B$2:$B$433,"Jun",Acerto_Detalhado!$C$2:$C$433,"Proteina"))*(SUMIFS(Acerto_Detalhado!$I$2:$I$433,Acerto_Detalhado!$A$2:$A$433,$D2061,Acerto_Detalhado!$B$2:$B$433,"Jun",Acerto_Detalhado!$C$2:$C$433,"Proteina")),2)</f>
        <v>0</v>
      </c>
    </row>
    <row r="2062" customFormat="false" ht="15" hidden="false" customHeight="false" outlineLevel="0" collapsed="false">
      <c r="A2062" s="27" t="s">
        <v>116</v>
      </c>
      <c r="B2062" s="27" t="s">
        <v>109</v>
      </c>
      <c r="C2062" s="27" t="s">
        <v>46</v>
      </c>
      <c r="D2062" s="27" t="s">
        <v>39</v>
      </c>
      <c r="E2062" s="28" t="n">
        <f aca="false">ROUND((SUMIFS(Acerto_Detalhado!$F$2:$F$433,Acerto_Detalhado!$A$2:$A$433,$C2062,Acerto_Detalhado!$B$2:$B$433,"Jun",Acerto_Detalhado!$C$2:$C$433,"Proteina"))*(SUMIFS(Acerto_Detalhado!$I$2:$I$433,Acerto_Detalhado!$A$2:$A$433,$D2062,Acerto_Detalhado!$B$2:$B$433,"Jun",Acerto_Detalhado!$C$2:$C$433,"Proteina")),2)</f>
        <v>0</v>
      </c>
    </row>
    <row r="2063" customFormat="false" ht="15" hidden="false" customHeight="false" outlineLevel="0" collapsed="false">
      <c r="A2063" s="27" t="s">
        <v>116</v>
      </c>
      <c r="B2063" s="27" t="s">
        <v>109</v>
      </c>
      <c r="C2063" s="27" t="s">
        <v>46</v>
      </c>
      <c r="D2063" s="27" t="s">
        <v>40</v>
      </c>
      <c r="E2063" s="28" t="n">
        <f aca="false">ROUND((SUMIFS(Acerto_Detalhado!$F$2:$F$433,Acerto_Detalhado!$A$2:$A$433,$C2063,Acerto_Detalhado!$B$2:$B$433,"Jun",Acerto_Detalhado!$C$2:$C$433,"Proteina"))*(SUMIFS(Acerto_Detalhado!$I$2:$I$433,Acerto_Detalhado!$A$2:$A$433,$D2063,Acerto_Detalhado!$B$2:$B$433,"Jun",Acerto_Detalhado!$C$2:$C$433,"Proteina")),2)</f>
        <v>0</v>
      </c>
    </row>
    <row r="2064" customFormat="false" ht="15" hidden="false" customHeight="false" outlineLevel="0" collapsed="false">
      <c r="A2064" s="27" t="s">
        <v>116</v>
      </c>
      <c r="B2064" s="27" t="s">
        <v>109</v>
      </c>
      <c r="C2064" s="27" t="s">
        <v>46</v>
      </c>
      <c r="D2064" s="27" t="s">
        <v>41</v>
      </c>
      <c r="E2064" s="28" t="n">
        <f aca="false">ROUND((SUMIFS(Acerto_Detalhado!$F$2:$F$433,Acerto_Detalhado!$A$2:$A$433,$C2064,Acerto_Detalhado!$B$2:$B$433,"Jun",Acerto_Detalhado!$C$2:$C$433,"Proteina"))*(SUMIFS(Acerto_Detalhado!$I$2:$I$433,Acerto_Detalhado!$A$2:$A$433,$D2064,Acerto_Detalhado!$B$2:$B$433,"Jun",Acerto_Detalhado!$C$2:$C$433,"Proteina")),2)</f>
        <v>0</v>
      </c>
    </row>
    <row r="2065" customFormat="false" ht="15" hidden="false" customHeight="false" outlineLevel="0" collapsed="false">
      <c r="A2065" s="27" t="s">
        <v>116</v>
      </c>
      <c r="B2065" s="27" t="s">
        <v>109</v>
      </c>
      <c r="C2065" s="27" t="s">
        <v>46</v>
      </c>
      <c r="D2065" s="27" t="s">
        <v>42</v>
      </c>
      <c r="E2065" s="28" t="n">
        <f aca="false">ROUND((SUMIFS(Acerto_Detalhado!$F$2:$F$433,Acerto_Detalhado!$A$2:$A$433,$C2065,Acerto_Detalhado!$B$2:$B$433,"Jun",Acerto_Detalhado!$C$2:$C$433,"Proteina"))*(SUMIFS(Acerto_Detalhado!$I$2:$I$433,Acerto_Detalhado!$A$2:$A$433,$D2065,Acerto_Detalhado!$B$2:$B$433,"Jun",Acerto_Detalhado!$C$2:$C$433,"Proteina")),2)</f>
        <v>0</v>
      </c>
    </row>
    <row r="2066" customFormat="false" ht="15" hidden="false" customHeight="false" outlineLevel="0" collapsed="false">
      <c r="A2066" s="27" t="s">
        <v>116</v>
      </c>
      <c r="B2066" s="27" t="s">
        <v>109</v>
      </c>
      <c r="C2066" s="27" t="s">
        <v>46</v>
      </c>
      <c r="D2066" s="27" t="s">
        <v>43</v>
      </c>
      <c r="E2066" s="28" t="n">
        <f aca="false">ROUND((SUMIFS(Acerto_Detalhado!$F$2:$F$433,Acerto_Detalhado!$A$2:$A$433,$C2066,Acerto_Detalhado!$B$2:$B$433,"Jun",Acerto_Detalhado!$C$2:$C$433,"Proteina"))*(SUMIFS(Acerto_Detalhado!$I$2:$I$433,Acerto_Detalhado!$A$2:$A$433,$D2066,Acerto_Detalhado!$B$2:$B$433,"Jun",Acerto_Detalhado!$C$2:$C$433,"Proteina")),2)</f>
        <v>0</v>
      </c>
    </row>
    <row r="2067" customFormat="false" ht="15" hidden="false" customHeight="false" outlineLevel="0" collapsed="false">
      <c r="A2067" s="27" t="s">
        <v>116</v>
      </c>
      <c r="B2067" s="27" t="s">
        <v>109</v>
      </c>
      <c r="C2067" s="27" t="s">
        <v>46</v>
      </c>
      <c r="D2067" s="27" t="s">
        <v>44</v>
      </c>
      <c r="E2067" s="28" t="n">
        <f aca="false">ROUND((SUMIFS(Acerto_Detalhado!$F$2:$F$433,Acerto_Detalhado!$A$2:$A$433,$C2067,Acerto_Detalhado!$B$2:$B$433,"Jun",Acerto_Detalhado!$C$2:$C$433,"Proteina"))*(SUMIFS(Acerto_Detalhado!$I$2:$I$433,Acerto_Detalhado!$A$2:$A$433,$D2067,Acerto_Detalhado!$B$2:$B$433,"Jun",Acerto_Detalhado!$C$2:$C$433,"Proteina")),2)</f>
        <v>0</v>
      </c>
    </row>
    <row r="2068" customFormat="false" ht="15" hidden="false" customHeight="false" outlineLevel="0" collapsed="false">
      <c r="A2068" s="27" t="s">
        <v>116</v>
      </c>
      <c r="B2068" s="27" t="s">
        <v>109</v>
      </c>
      <c r="C2068" s="27" t="s">
        <v>46</v>
      </c>
      <c r="D2068" s="27" t="s">
        <v>45</v>
      </c>
      <c r="E2068" s="28" t="n">
        <f aca="false">ROUND((SUMIFS(Acerto_Detalhado!$F$2:$F$433,Acerto_Detalhado!$A$2:$A$433,$C2068,Acerto_Detalhado!$B$2:$B$433,"Jun",Acerto_Detalhado!$C$2:$C$433,"Proteina"))*(SUMIFS(Acerto_Detalhado!$I$2:$I$433,Acerto_Detalhado!$A$2:$A$433,$D2068,Acerto_Detalhado!$B$2:$B$433,"Jun",Acerto_Detalhado!$C$2:$C$433,"Proteina")),2)</f>
        <v>0</v>
      </c>
    </row>
    <row r="2069" customFormat="false" ht="15" hidden="false" customHeight="false" outlineLevel="0" collapsed="false">
      <c r="A2069" s="27" t="s">
        <v>116</v>
      </c>
      <c r="B2069" s="27" t="s">
        <v>109</v>
      </c>
      <c r="C2069" s="27" t="s">
        <v>46</v>
      </c>
      <c r="D2069" s="27" t="s">
        <v>47</v>
      </c>
      <c r="E2069" s="28" t="n">
        <f aca="false">ROUND((SUMIFS(Acerto_Detalhado!$F$2:$F$433,Acerto_Detalhado!$A$2:$A$433,$C2069,Acerto_Detalhado!$B$2:$B$433,"Jun",Acerto_Detalhado!$C$2:$C$433,"Proteina"))*(SUMIFS(Acerto_Detalhado!$I$2:$I$433,Acerto_Detalhado!$A$2:$A$433,$D2069,Acerto_Detalhado!$B$2:$B$433,"Jun",Acerto_Detalhado!$C$2:$C$433,"Proteina")),2)</f>
        <v>0</v>
      </c>
    </row>
    <row r="2070" customFormat="false" ht="15" hidden="false" customHeight="false" outlineLevel="0" collapsed="false">
      <c r="A2070" s="27" t="s">
        <v>116</v>
      </c>
      <c r="B2070" s="27" t="s">
        <v>109</v>
      </c>
      <c r="C2070" s="27" t="s">
        <v>46</v>
      </c>
      <c r="D2070" s="27" t="s">
        <v>48</v>
      </c>
      <c r="E2070" s="28" t="n">
        <f aca="false">ROUND((SUMIFS(Acerto_Detalhado!$F$2:$F$433,Acerto_Detalhado!$A$2:$A$433,$C2070,Acerto_Detalhado!$B$2:$B$433,"Jun",Acerto_Detalhado!$C$2:$C$433,"Proteina"))*(SUMIFS(Acerto_Detalhado!$I$2:$I$433,Acerto_Detalhado!$A$2:$A$433,$D2070,Acerto_Detalhado!$B$2:$B$433,"Jun",Acerto_Detalhado!$C$2:$C$433,"Proteina")),2)</f>
        <v>0</v>
      </c>
    </row>
    <row r="2071" customFormat="false" ht="15" hidden="false" customHeight="false" outlineLevel="0" collapsed="false">
      <c r="A2071" s="27" t="s">
        <v>116</v>
      </c>
      <c r="B2071" s="27" t="s">
        <v>109</v>
      </c>
      <c r="C2071" s="27" t="s">
        <v>46</v>
      </c>
      <c r="D2071" s="27" t="s">
        <v>49</v>
      </c>
      <c r="E2071" s="28" t="n">
        <f aca="false">ROUND((SUMIFS(Acerto_Detalhado!$F$2:$F$433,Acerto_Detalhado!$A$2:$A$433,$C2071,Acerto_Detalhado!$B$2:$B$433,"Jun",Acerto_Detalhado!$C$2:$C$433,"Proteina"))*(SUMIFS(Acerto_Detalhado!$I$2:$I$433,Acerto_Detalhado!$A$2:$A$433,$D2071,Acerto_Detalhado!$B$2:$B$433,"Jun",Acerto_Detalhado!$C$2:$C$433,"Proteina")),2)</f>
        <v>0</v>
      </c>
    </row>
    <row r="2072" customFormat="false" ht="15" hidden="false" customHeight="false" outlineLevel="0" collapsed="false">
      <c r="A2072" s="27" t="s">
        <v>116</v>
      </c>
      <c r="B2072" s="27" t="s">
        <v>109</v>
      </c>
      <c r="C2072" s="27" t="s">
        <v>46</v>
      </c>
      <c r="D2072" s="27" t="s">
        <v>50</v>
      </c>
      <c r="E2072" s="28" t="n">
        <f aca="false">ROUND((SUMIFS(Acerto_Detalhado!$F$2:$F$433,Acerto_Detalhado!$A$2:$A$433,$C2072,Acerto_Detalhado!$B$2:$B$433,"Jun",Acerto_Detalhado!$C$2:$C$433,"Proteina"))*(SUMIFS(Acerto_Detalhado!$I$2:$I$433,Acerto_Detalhado!$A$2:$A$433,$D2072,Acerto_Detalhado!$B$2:$B$433,"Jun",Acerto_Detalhado!$C$2:$C$433,"Proteina")),2)</f>
        <v>0</v>
      </c>
    </row>
    <row r="2073" customFormat="false" ht="15" hidden="false" customHeight="false" outlineLevel="0" collapsed="false">
      <c r="A2073" s="27" t="s">
        <v>116</v>
      </c>
      <c r="B2073" s="27" t="s">
        <v>109</v>
      </c>
      <c r="C2073" s="27" t="s">
        <v>47</v>
      </c>
      <c r="D2073" s="27" t="s">
        <v>39</v>
      </c>
      <c r="E2073" s="28" t="n">
        <f aca="false">ROUND((SUMIFS(Acerto_Detalhado!$F$2:$F$433,Acerto_Detalhado!$A$2:$A$433,$C2073,Acerto_Detalhado!$B$2:$B$433,"Jun",Acerto_Detalhado!$C$2:$C$433,"Proteina"))*(SUMIFS(Acerto_Detalhado!$I$2:$I$433,Acerto_Detalhado!$A$2:$A$433,$D2073,Acerto_Detalhado!$B$2:$B$433,"Jun",Acerto_Detalhado!$C$2:$C$433,"Proteina")),2)</f>
        <v>0</v>
      </c>
    </row>
    <row r="2074" customFormat="false" ht="15" hidden="false" customHeight="false" outlineLevel="0" collapsed="false">
      <c r="A2074" s="27" t="s">
        <v>116</v>
      </c>
      <c r="B2074" s="27" t="s">
        <v>109</v>
      </c>
      <c r="C2074" s="27" t="s">
        <v>47</v>
      </c>
      <c r="D2074" s="27" t="s">
        <v>40</v>
      </c>
      <c r="E2074" s="28" t="n">
        <f aca="false">ROUND((SUMIFS(Acerto_Detalhado!$F$2:$F$433,Acerto_Detalhado!$A$2:$A$433,$C2074,Acerto_Detalhado!$B$2:$B$433,"Jun",Acerto_Detalhado!$C$2:$C$433,"Proteina"))*(SUMIFS(Acerto_Detalhado!$I$2:$I$433,Acerto_Detalhado!$A$2:$A$433,$D2074,Acerto_Detalhado!$B$2:$B$433,"Jun",Acerto_Detalhado!$C$2:$C$433,"Proteina")),2)</f>
        <v>0</v>
      </c>
    </row>
    <row r="2075" customFormat="false" ht="15" hidden="false" customHeight="false" outlineLevel="0" collapsed="false">
      <c r="A2075" s="27" t="s">
        <v>116</v>
      </c>
      <c r="B2075" s="27" t="s">
        <v>109</v>
      </c>
      <c r="C2075" s="27" t="s">
        <v>47</v>
      </c>
      <c r="D2075" s="27" t="s">
        <v>41</v>
      </c>
      <c r="E2075" s="28" t="n">
        <f aca="false">ROUND((SUMIFS(Acerto_Detalhado!$F$2:$F$433,Acerto_Detalhado!$A$2:$A$433,$C2075,Acerto_Detalhado!$B$2:$B$433,"Jun",Acerto_Detalhado!$C$2:$C$433,"Proteina"))*(SUMIFS(Acerto_Detalhado!$I$2:$I$433,Acerto_Detalhado!$A$2:$A$433,$D2075,Acerto_Detalhado!$B$2:$B$433,"Jun",Acerto_Detalhado!$C$2:$C$433,"Proteina")),2)</f>
        <v>0</v>
      </c>
    </row>
    <row r="2076" customFormat="false" ht="15" hidden="false" customHeight="false" outlineLevel="0" collapsed="false">
      <c r="A2076" s="27" t="s">
        <v>116</v>
      </c>
      <c r="B2076" s="27" t="s">
        <v>109</v>
      </c>
      <c r="C2076" s="27" t="s">
        <v>47</v>
      </c>
      <c r="D2076" s="27" t="s">
        <v>42</v>
      </c>
      <c r="E2076" s="28" t="n">
        <f aca="false">ROUND((SUMIFS(Acerto_Detalhado!$F$2:$F$433,Acerto_Detalhado!$A$2:$A$433,$C2076,Acerto_Detalhado!$B$2:$B$433,"Jun",Acerto_Detalhado!$C$2:$C$433,"Proteina"))*(SUMIFS(Acerto_Detalhado!$I$2:$I$433,Acerto_Detalhado!$A$2:$A$433,$D2076,Acerto_Detalhado!$B$2:$B$433,"Jun",Acerto_Detalhado!$C$2:$C$433,"Proteina")),2)</f>
        <v>0</v>
      </c>
    </row>
    <row r="2077" customFormat="false" ht="15" hidden="false" customHeight="false" outlineLevel="0" collapsed="false">
      <c r="A2077" s="27" t="s">
        <v>116</v>
      </c>
      <c r="B2077" s="27" t="s">
        <v>109</v>
      </c>
      <c r="C2077" s="27" t="s">
        <v>47</v>
      </c>
      <c r="D2077" s="27" t="s">
        <v>43</v>
      </c>
      <c r="E2077" s="28" t="n">
        <f aca="false">ROUND((SUMIFS(Acerto_Detalhado!$F$2:$F$433,Acerto_Detalhado!$A$2:$A$433,$C2077,Acerto_Detalhado!$B$2:$B$433,"Jun",Acerto_Detalhado!$C$2:$C$433,"Proteina"))*(SUMIFS(Acerto_Detalhado!$I$2:$I$433,Acerto_Detalhado!$A$2:$A$433,$D2077,Acerto_Detalhado!$B$2:$B$433,"Jun",Acerto_Detalhado!$C$2:$C$433,"Proteina")),2)</f>
        <v>0</v>
      </c>
    </row>
    <row r="2078" customFormat="false" ht="15" hidden="false" customHeight="false" outlineLevel="0" collapsed="false">
      <c r="A2078" s="27" t="s">
        <v>116</v>
      </c>
      <c r="B2078" s="27" t="s">
        <v>109</v>
      </c>
      <c r="C2078" s="27" t="s">
        <v>47</v>
      </c>
      <c r="D2078" s="27" t="s">
        <v>44</v>
      </c>
      <c r="E2078" s="28" t="n">
        <f aca="false">ROUND((SUMIFS(Acerto_Detalhado!$F$2:$F$433,Acerto_Detalhado!$A$2:$A$433,$C2078,Acerto_Detalhado!$B$2:$B$433,"Jun",Acerto_Detalhado!$C$2:$C$433,"Proteina"))*(SUMIFS(Acerto_Detalhado!$I$2:$I$433,Acerto_Detalhado!$A$2:$A$433,$D2078,Acerto_Detalhado!$B$2:$B$433,"Jun",Acerto_Detalhado!$C$2:$C$433,"Proteina")),2)</f>
        <v>0</v>
      </c>
    </row>
    <row r="2079" customFormat="false" ht="15" hidden="false" customHeight="false" outlineLevel="0" collapsed="false">
      <c r="A2079" s="27" t="s">
        <v>116</v>
      </c>
      <c r="B2079" s="27" t="s">
        <v>109</v>
      </c>
      <c r="C2079" s="27" t="s">
        <v>47</v>
      </c>
      <c r="D2079" s="27" t="s">
        <v>45</v>
      </c>
      <c r="E2079" s="28" t="n">
        <f aca="false">ROUND((SUMIFS(Acerto_Detalhado!$F$2:$F$433,Acerto_Detalhado!$A$2:$A$433,$C2079,Acerto_Detalhado!$B$2:$B$433,"Jun",Acerto_Detalhado!$C$2:$C$433,"Proteina"))*(SUMIFS(Acerto_Detalhado!$I$2:$I$433,Acerto_Detalhado!$A$2:$A$433,$D2079,Acerto_Detalhado!$B$2:$B$433,"Jun",Acerto_Detalhado!$C$2:$C$433,"Proteina")),2)</f>
        <v>0</v>
      </c>
    </row>
    <row r="2080" customFormat="false" ht="15" hidden="false" customHeight="false" outlineLevel="0" collapsed="false">
      <c r="A2080" s="27" t="s">
        <v>116</v>
      </c>
      <c r="B2080" s="27" t="s">
        <v>109</v>
      </c>
      <c r="C2080" s="27" t="s">
        <v>47</v>
      </c>
      <c r="D2080" s="27" t="s">
        <v>46</v>
      </c>
      <c r="E2080" s="28" t="n">
        <f aca="false">ROUND((SUMIFS(Acerto_Detalhado!$F$2:$F$433,Acerto_Detalhado!$A$2:$A$433,$C2080,Acerto_Detalhado!$B$2:$B$433,"Jun",Acerto_Detalhado!$C$2:$C$433,"Proteina"))*(SUMIFS(Acerto_Detalhado!$I$2:$I$433,Acerto_Detalhado!$A$2:$A$433,$D2080,Acerto_Detalhado!$B$2:$B$433,"Jun",Acerto_Detalhado!$C$2:$C$433,"Proteina")),2)</f>
        <v>0</v>
      </c>
    </row>
    <row r="2081" customFormat="false" ht="15" hidden="false" customHeight="false" outlineLevel="0" collapsed="false">
      <c r="A2081" s="27" t="s">
        <v>116</v>
      </c>
      <c r="B2081" s="27" t="s">
        <v>109</v>
      </c>
      <c r="C2081" s="27" t="s">
        <v>47</v>
      </c>
      <c r="D2081" s="27" t="s">
        <v>48</v>
      </c>
      <c r="E2081" s="28" t="n">
        <f aca="false">ROUND((SUMIFS(Acerto_Detalhado!$F$2:$F$433,Acerto_Detalhado!$A$2:$A$433,$C2081,Acerto_Detalhado!$B$2:$B$433,"Jun",Acerto_Detalhado!$C$2:$C$433,"Proteina"))*(SUMIFS(Acerto_Detalhado!$I$2:$I$433,Acerto_Detalhado!$A$2:$A$433,$D2081,Acerto_Detalhado!$B$2:$B$433,"Jun",Acerto_Detalhado!$C$2:$C$433,"Proteina")),2)</f>
        <v>0</v>
      </c>
    </row>
    <row r="2082" customFormat="false" ht="15" hidden="false" customHeight="false" outlineLevel="0" collapsed="false">
      <c r="A2082" s="27" t="s">
        <v>116</v>
      </c>
      <c r="B2082" s="27" t="s">
        <v>109</v>
      </c>
      <c r="C2082" s="27" t="s">
        <v>47</v>
      </c>
      <c r="D2082" s="27" t="s">
        <v>49</v>
      </c>
      <c r="E2082" s="28" t="n">
        <f aca="false">ROUND((SUMIFS(Acerto_Detalhado!$F$2:$F$433,Acerto_Detalhado!$A$2:$A$433,$C2082,Acerto_Detalhado!$B$2:$B$433,"Jun",Acerto_Detalhado!$C$2:$C$433,"Proteina"))*(SUMIFS(Acerto_Detalhado!$I$2:$I$433,Acerto_Detalhado!$A$2:$A$433,$D2082,Acerto_Detalhado!$B$2:$B$433,"Jun",Acerto_Detalhado!$C$2:$C$433,"Proteina")),2)</f>
        <v>0</v>
      </c>
    </row>
    <row r="2083" customFormat="false" ht="15" hidden="false" customHeight="false" outlineLevel="0" collapsed="false">
      <c r="A2083" s="27" t="s">
        <v>116</v>
      </c>
      <c r="B2083" s="27" t="s">
        <v>109</v>
      </c>
      <c r="C2083" s="27" t="s">
        <v>47</v>
      </c>
      <c r="D2083" s="27" t="s">
        <v>50</v>
      </c>
      <c r="E2083" s="28" t="n">
        <f aca="false">ROUND((SUMIFS(Acerto_Detalhado!$F$2:$F$433,Acerto_Detalhado!$A$2:$A$433,$C2083,Acerto_Detalhado!$B$2:$B$433,"Jun",Acerto_Detalhado!$C$2:$C$433,"Proteina"))*(SUMIFS(Acerto_Detalhado!$I$2:$I$433,Acerto_Detalhado!$A$2:$A$433,$D2083,Acerto_Detalhado!$B$2:$B$433,"Jun",Acerto_Detalhado!$C$2:$C$433,"Proteina")),2)</f>
        <v>0</v>
      </c>
    </row>
    <row r="2084" customFormat="false" ht="15" hidden="false" customHeight="false" outlineLevel="0" collapsed="false">
      <c r="A2084" s="27" t="s">
        <v>116</v>
      </c>
      <c r="B2084" s="27" t="s">
        <v>109</v>
      </c>
      <c r="C2084" s="27" t="s">
        <v>48</v>
      </c>
      <c r="D2084" s="27" t="s">
        <v>39</v>
      </c>
      <c r="E2084" s="28" t="n">
        <f aca="false">ROUND((SUMIFS(Acerto_Detalhado!$F$2:$F$433,Acerto_Detalhado!$A$2:$A$433,$C2084,Acerto_Detalhado!$B$2:$B$433,"Jun",Acerto_Detalhado!$C$2:$C$433,"Proteina"))*(SUMIFS(Acerto_Detalhado!$I$2:$I$433,Acerto_Detalhado!$A$2:$A$433,$D2084,Acerto_Detalhado!$B$2:$B$433,"Jun",Acerto_Detalhado!$C$2:$C$433,"Proteina")),2)</f>
        <v>0</v>
      </c>
    </row>
    <row r="2085" customFormat="false" ht="15" hidden="false" customHeight="false" outlineLevel="0" collapsed="false">
      <c r="A2085" s="27" t="s">
        <v>116</v>
      </c>
      <c r="B2085" s="27" t="s">
        <v>109</v>
      </c>
      <c r="C2085" s="27" t="s">
        <v>48</v>
      </c>
      <c r="D2085" s="27" t="s">
        <v>40</v>
      </c>
      <c r="E2085" s="28" t="n">
        <f aca="false">ROUND((SUMIFS(Acerto_Detalhado!$F$2:$F$433,Acerto_Detalhado!$A$2:$A$433,$C2085,Acerto_Detalhado!$B$2:$B$433,"Jun",Acerto_Detalhado!$C$2:$C$433,"Proteina"))*(SUMIFS(Acerto_Detalhado!$I$2:$I$433,Acerto_Detalhado!$A$2:$A$433,$D2085,Acerto_Detalhado!$B$2:$B$433,"Jun",Acerto_Detalhado!$C$2:$C$433,"Proteina")),2)</f>
        <v>0</v>
      </c>
    </row>
    <row r="2086" customFormat="false" ht="15" hidden="false" customHeight="false" outlineLevel="0" collapsed="false">
      <c r="A2086" s="27" t="s">
        <v>116</v>
      </c>
      <c r="B2086" s="27" t="s">
        <v>109</v>
      </c>
      <c r="C2086" s="27" t="s">
        <v>48</v>
      </c>
      <c r="D2086" s="27" t="s">
        <v>41</v>
      </c>
      <c r="E2086" s="28" t="n">
        <f aca="false">ROUND((SUMIFS(Acerto_Detalhado!$F$2:$F$433,Acerto_Detalhado!$A$2:$A$433,$C2086,Acerto_Detalhado!$B$2:$B$433,"Jun",Acerto_Detalhado!$C$2:$C$433,"Proteina"))*(SUMIFS(Acerto_Detalhado!$I$2:$I$433,Acerto_Detalhado!$A$2:$A$433,$D2086,Acerto_Detalhado!$B$2:$B$433,"Jun",Acerto_Detalhado!$C$2:$C$433,"Proteina")),2)</f>
        <v>0</v>
      </c>
    </row>
    <row r="2087" customFormat="false" ht="15" hidden="false" customHeight="false" outlineLevel="0" collapsed="false">
      <c r="A2087" s="27" t="s">
        <v>116</v>
      </c>
      <c r="B2087" s="27" t="s">
        <v>109</v>
      </c>
      <c r="C2087" s="27" t="s">
        <v>48</v>
      </c>
      <c r="D2087" s="27" t="s">
        <v>42</v>
      </c>
      <c r="E2087" s="28" t="n">
        <f aca="false">ROUND((SUMIFS(Acerto_Detalhado!$F$2:$F$433,Acerto_Detalhado!$A$2:$A$433,$C2087,Acerto_Detalhado!$B$2:$B$433,"Jun",Acerto_Detalhado!$C$2:$C$433,"Proteina"))*(SUMIFS(Acerto_Detalhado!$I$2:$I$433,Acerto_Detalhado!$A$2:$A$433,$D2087,Acerto_Detalhado!$B$2:$B$433,"Jun",Acerto_Detalhado!$C$2:$C$433,"Proteina")),2)</f>
        <v>0</v>
      </c>
    </row>
    <row r="2088" customFormat="false" ht="15" hidden="false" customHeight="false" outlineLevel="0" collapsed="false">
      <c r="A2088" s="27" t="s">
        <v>116</v>
      </c>
      <c r="B2088" s="27" t="s">
        <v>109</v>
      </c>
      <c r="C2088" s="27" t="s">
        <v>48</v>
      </c>
      <c r="D2088" s="27" t="s">
        <v>43</v>
      </c>
      <c r="E2088" s="28" t="n">
        <f aca="false">ROUND((SUMIFS(Acerto_Detalhado!$F$2:$F$433,Acerto_Detalhado!$A$2:$A$433,$C2088,Acerto_Detalhado!$B$2:$B$433,"Jun",Acerto_Detalhado!$C$2:$C$433,"Proteina"))*(SUMIFS(Acerto_Detalhado!$I$2:$I$433,Acerto_Detalhado!$A$2:$A$433,$D2088,Acerto_Detalhado!$B$2:$B$433,"Jun",Acerto_Detalhado!$C$2:$C$433,"Proteina")),2)</f>
        <v>0</v>
      </c>
    </row>
    <row r="2089" customFormat="false" ht="15" hidden="false" customHeight="false" outlineLevel="0" collapsed="false">
      <c r="A2089" s="27" t="s">
        <v>116</v>
      </c>
      <c r="B2089" s="27" t="s">
        <v>109</v>
      </c>
      <c r="C2089" s="27" t="s">
        <v>48</v>
      </c>
      <c r="D2089" s="27" t="s">
        <v>44</v>
      </c>
      <c r="E2089" s="28" t="n">
        <f aca="false">ROUND((SUMIFS(Acerto_Detalhado!$F$2:$F$433,Acerto_Detalhado!$A$2:$A$433,$C2089,Acerto_Detalhado!$B$2:$B$433,"Jun",Acerto_Detalhado!$C$2:$C$433,"Proteina"))*(SUMIFS(Acerto_Detalhado!$I$2:$I$433,Acerto_Detalhado!$A$2:$A$433,$D2089,Acerto_Detalhado!$B$2:$B$433,"Jun",Acerto_Detalhado!$C$2:$C$433,"Proteina")),2)</f>
        <v>0</v>
      </c>
    </row>
    <row r="2090" customFormat="false" ht="15" hidden="false" customHeight="false" outlineLevel="0" collapsed="false">
      <c r="A2090" s="27" t="s">
        <v>116</v>
      </c>
      <c r="B2090" s="27" t="s">
        <v>109</v>
      </c>
      <c r="C2090" s="27" t="s">
        <v>48</v>
      </c>
      <c r="D2090" s="27" t="s">
        <v>45</v>
      </c>
      <c r="E2090" s="28" t="n">
        <f aca="false">ROUND((SUMIFS(Acerto_Detalhado!$F$2:$F$433,Acerto_Detalhado!$A$2:$A$433,$C2090,Acerto_Detalhado!$B$2:$B$433,"Jun",Acerto_Detalhado!$C$2:$C$433,"Proteina"))*(SUMIFS(Acerto_Detalhado!$I$2:$I$433,Acerto_Detalhado!$A$2:$A$433,$D2090,Acerto_Detalhado!$B$2:$B$433,"Jun",Acerto_Detalhado!$C$2:$C$433,"Proteina")),2)</f>
        <v>0</v>
      </c>
    </row>
    <row r="2091" customFormat="false" ht="15" hidden="false" customHeight="false" outlineLevel="0" collapsed="false">
      <c r="A2091" s="27" t="s">
        <v>116</v>
      </c>
      <c r="B2091" s="27" t="s">
        <v>109</v>
      </c>
      <c r="C2091" s="27" t="s">
        <v>48</v>
      </c>
      <c r="D2091" s="27" t="s">
        <v>46</v>
      </c>
      <c r="E2091" s="28" t="n">
        <f aca="false">ROUND((SUMIFS(Acerto_Detalhado!$F$2:$F$433,Acerto_Detalhado!$A$2:$A$433,$C2091,Acerto_Detalhado!$B$2:$B$433,"Jun",Acerto_Detalhado!$C$2:$C$433,"Proteina"))*(SUMIFS(Acerto_Detalhado!$I$2:$I$433,Acerto_Detalhado!$A$2:$A$433,$D2091,Acerto_Detalhado!$B$2:$B$433,"Jun",Acerto_Detalhado!$C$2:$C$433,"Proteina")),2)</f>
        <v>0</v>
      </c>
    </row>
    <row r="2092" customFormat="false" ht="15" hidden="false" customHeight="false" outlineLevel="0" collapsed="false">
      <c r="A2092" s="27" t="s">
        <v>116</v>
      </c>
      <c r="B2092" s="27" t="s">
        <v>109</v>
      </c>
      <c r="C2092" s="27" t="s">
        <v>48</v>
      </c>
      <c r="D2092" s="27" t="s">
        <v>47</v>
      </c>
      <c r="E2092" s="28" t="n">
        <f aca="false">ROUND((SUMIFS(Acerto_Detalhado!$F$2:$F$433,Acerto_Detalhado!$A$2:$A$433,$C2092,Acerto_Detalhado!$B$2:$B$433,"Jun",Acerto_Detalhado!$C$2:$C$433,"Proteina"))*(SUMIFS(Acerto_Detalhado!$I$2:$I$433,Acerto_Detalhado!$A$2:$A$433,$D2092,Acerto_Detalhado!$B$2:$B$433,"Jun",Acerto_Detalhado!$C$2:$C$433,"Proteina")),2)</f>
        <v>0</v>
      </c>
    </row>
    <row r="2093" customFormat="false" ht="15" hidden="false" customHeight="false" outlineLevel="0" collapsed="false">
      <c r="A2093" s="27" t="s">
        <v>116</v>
      </c>
      <c r="B2093" s="27" t="s">
        <v>109</v>
      </c>
      <c r="C2093" s="27" t="s">
        <v>48</v>
      </c>
      <c r="D2093" s="27" t="s">
        <v>49</v>
      </c>
      <c r="E2093" s="28" t="n">
        <f aca="false">ROUND((SUMIFS(Acerto_Detalhado!$F$2:$F$433,Acerto_Detalhado!$A$2:$A$433,$C2093,Acerto_Detalhado!$B$2:$B$433,"Jun",Acerto_Detalhado!$C$2:$C$433,"Proteina"))*(SUMIFS(Acerto_Detalhado!$I$2:$I$433,Acerto_Detalhado!$A$2:$A$433,$D2093,Acerto_Detalhado!$B$2:$B$433,"Jun",Acerto_Detalhado!$C$2:$C$433,"Proteina")),2)</f>
        <v>0</v>
      </c>
    </row>
    <row r="2094" customFormat="false" ht="15" hidden="false" customHeight="false" outlineLevel="0" collapsed="false">
      <c r="A2094" s="27" t="s">
        <v>116</v>
      </c>
      <c r="B2094" s="27" t="s">
        <v>109</v>
      </c>
      <c r="C2094" s="27" t="s">
        <v>48</v>
      </c>
      <c r="D2094" s="27" t="s">
        <v>50</v>
      </c>
      <c r="E2094" s="28" t="n">
        <f aca="false">ROUND((SUMIFS(Acerto_Detalhado!$F$2:$F$433,Acerto_Detalhado!$A$2:$A$433,$C2094,Acerto_Detalhado!$B$2:$B$433,"Jun",Acerto_Detalhado!$C$2:$C$433,"Proteina"))*(SUMIFS(Acerto_Detalhado!$I$2:$I$433,Acerto_Detalhado!$A$2:$A$433,$D2094,Acerto_Detalhado!$B$2:$B$433,"Jun",Acerto_Detalhado!$C$2:$C$433,"Proteina")),2)</f>
        <v>0</v>
      </c>
    </row>
    <row r="2095" customFormat="false" ht="15" hidden="false" customHeight="false" outlineLevel="0" collapsed="false">
      <c r="A2095" s="27" t="s">
        <v>116</v>
      </c>
      <c r="B2095" s="27" t="s">
        <v>109</v>
      </c>
      <c r="C2095" s="27" t="s">
        <v>49</v>
      </c>
      <c r="D2095" s="27" t="s">
        <v>39</v>
      </c>
      <c r="E2095" s="28" t="n">
        <f aca="false">ROUND((SUMIFS(Acerto_Detalhado!$F$2:$F$433,Acerto_Detalhado!$A$2:$A$433,$C2095,Acerto_Detalhado!$B$2:$B$433,"Jun",Acerto_Detalhado!$C$2:$C$433,"Proteina"))*(SUMIFS(Acerto_Detalhado!$I$2:$I$433,Acerto_Detalhado!$A$2:$A$433,$D2095,Acerto_Detalhado!$B$2:$B$433,"Jun",Acerto_Detalhado!$C$2:$C$433,"Proteina")),2)</f>
        <v>0</v>
      </c>
    </row>
    <row r="2096" customFormat="false" ht="15" hidden="false" customHeight="false" outlineLevel="0" collapsed="false">
      <c r="A2096" s="27" t="s">
        <v>116</v>
      </c>
      <c r="B2096" s="27" t="s">
        <v>109</v>
      </c>
      <c r="C2096" s="27" t="s">
        <v>49</v>
      </c>
      <c r="D2096" s="27" t="s">
        <v>40</v>
      </c>
      <c r="E2096" s="28" t="n">
        <f aca="false">ROUND((SUMIFS(Acerto_Detalhado!$F$2:$F$433,Acerto_Detalhado!$A$2:$A$433,$C2096,Acerto_Detalhado!$B$2:$B$433,"Jun",Acerto_Detalhado!$C$2:$C$433,"Proteina"))*(SUMIFS(Acerto_Detalhado!$I$2:$I$433,Acerto_Detalhado!$A$2:$A$433,$D2096,Acerto_Detalhado!$B$2:$B$433,"Jun",Acerto_Detalhado!$C$2:$C$433,"Proteina")),2)</f>
        <v>0</v>
      </c>
    </row>
    <row r="2097" customFormat="false" ht="15" hidden="false" customHeight="false" outlineLevel="0" collapsed="false">
      <c r="A2097" s="27" t="s">
        <v>116</v>
      </c>
      <c r="B2097" s="27" t="s">
        <v>109</v>
      </c>
      <c r="C2097" s="27" t="s">
        <v>49</v>
      </c>
      <c r="D2097" s="27" t="s">
        <v>41</v>
      </c>
      <c r="E2097" s="28" t="n">
        <f aca="false">ROUND((SUMIFS(Acerto_Detalhado!$F$2:$F$433,Acerto_Detalhado!$A$2:$A$433,$C2097,Acerto_Detalhado!$B$2:$B$433,"Jun",Acerto_Detalhado!$C$2:$C$433,"Proteina"))*(SUMIFS(Acerto_Detalhado!$I$2:$I$433,Acerto_Detalhado!$A$2:$A$433,$D2097,Acerto_Detalhado!$B$2:$B$433,"Jun",Acerto_Detalhado!$C$2:$C$433,"Proteina")),2)</f>
        <v>0</v>
      </c>
    </row>
    <row r="2098" customFormat="false" ht="15" hidden="false" customHeight="false" outlineLevel="0" collapsed="false">
      <c r="A2098" s="27" t="s">
        <v>116</v>
      </c>
      <c r="B2098" s="27" t="s">
        <v>109</v>
      </c>
      <c r="C2098" s="27" t="s">
        <v>49</v>
      </c>
      <c r="D2098" s="27" t="s">
        <v>42</v>
      </c>
      <c r="E2098" s="28" t="n">
        <f aca="false">ROUND((SUMIFS(Acerto_Detalhado!$F$2:$F$433,Acerto_Detalhado!$A$2:$A$433,$C2098,Acerto_Detalhado!$B$2:$B$433,"Jun",Acerto_Detalhado!$C$2:$C$433,"Proteina"))*(SUMIFS(Acerto_Detalhado!$I$2:$I$433,Acerto_Detalhado!$A$2:$A$433,$D2098,Acerto_Detalhado!$B$2:$B$433,"Jun",Acerto_Detalhado!$C$2:$C$433,"Proteina")),2)</f>
        <v>0</v>
      </c>
    </row>
    <row r="2099" customFormat="false" ht="15" hidden="false" customHeight="false" outlineLevel="0" collapsed="false">
      <c r="A2099" s="27" t="s">
        <v>116</v>
      </c>
      <c r="B2099" s="27" t="s">
        <v>109</v>
      </c>
      <c r="C2099" s="27" t="s">
        <v>49</v>
      </c>
      <c r="D2099" s="27" t="s">
        <v>43</v>
      </c>
      <c r="E2099" s="28" t="n">
        <f aca="false">ROUND((SUMIFS(Acerto_Detalhado!$F$2:$F$433,Acerto_Detalhado!$A$2:$A$433,$C2099,Acerto_Detalhado!$B$2:$B$433,"Jun",Acerto_Detalhado!$C$2:$C$433,"Proteina"))*(SUMIFS(Acerto_Detalhado!$I$2:$I$433,Acerto_Detalhado!$A$2:$A$433,$D2099,Acerto_Detalhado!$B$2:$B$433,"Jun",Acerto_Detalhado!$C$2:$C$433,"Proteina")),2)</f>
        <v>0</v>
      </c>
    </row>
    <row r="2100" customFormat="false" ht="15" hidden="false" customHeight="false" outlineLevel="0" collapsed="false">
      <c r="A2100" s="27" t="s">
        <v>116</v>
      </c>
      <c r="B2100" s="27" t="s">
        <v>109</v>
      </c>
      <c r="C2100" s="27" t="s">
        <v>49</v>
      </c>
      <c r="D2100" s="27" t="s">
        <v>44</v>
      </c>
      <c r="E2100" s="28" t="n">
        <f aca="false">ROUND((SUMIFS(Acerto_Detalhado!$F$2:$F$433,Acerto_Detalhado!$A$2:$A$433,$C2100,Acerto_Detalhado!$B$2:$B$433,"Jun",Acerto_Detalhado!$C$2:$C$433,"Proteina"))*(SUMIFS(Acerto_Detalhado!$I$2:$I$433,Acerto_Detalhado!$A$2:$A$433,$D2100,Acerto_Detalhado!$B$2:$B$433,"Jun",Acerto_Detalhado!$C$2:$C$433,"Proteina")),2)</f>
        <v>0</v>
      </c>
    </row>
    <row r="2101" customFormat="false" ht="15" hidden="false" customHeight="false" outlineLevel="0" collapsed="false">
      <c r="A2101" s="27" t="s">
        <v>116</v>
      </c>
      <c r="B2101" s="27" t="s">
        <v>109</v>
      </c>
      <c r="C2101" s="27" t="s">
        <v>49</v>
      </c>
      <c r="D2101" s="27" t="s">
        <v>45</v>
      </c>
      <c r="E2101" s="28" t="n">
        <f aca="false">ROUND((SUMIFS(Acerto_Detalhado!$F$2:$F$433,Acerto_Detalhado!$A$2:$A$433,$C2101,Acerto_Detalhado!$B$2:$B$433,"Jun",Acerto_Detalhado!$C$2:$C$433,"Proteina"))*(SUMIFS(Acerto_Detalhado!$I$2:$I$433,Acerto_Detalhado!$A$2:$A$433,$D2101,Acerto_Detalhado!$B$2:$B$433,"Jun",Acerto_Detalhado!$C$2:$C$433,"Proteina")),2)</f>
        <v>0</v>
      </c>
    </row>
    <row r="2102" customFormat="false" ht="15" hidden="false" customHeight="false" outlineLevel="0" collapsed="false">
      <c r="A2102" s="27" t="s">
        <v>116</v>
      </c>
      <c r="B2102" s="27" t="s">
        <v>109</v>
      </c>
      <c r="C2102" s="27" t="s">
        <v>49</v>
      </c>
      <c r="D2102" s="27" t="s">
        <v>46</v>
      </c>
      <c r="E2102" s="28" t="n">
        <f aca="false">ROUND((SUMIFS(Acerto_Detalhado!$F$2:$F$433,Acerto_Detalhado!$A$2:$A$433,$C2102,Acerto_Detalhado!$B$2:$B$433,"Jun",Acerto_Detalhado!$C$2:$C$433,"Proteina"))*(SUMIFS(Acerto_Detalhado!$I$2:$I$433,Acerto_Detalhado!$A$2:$A$433,$D2102,Acerto_Detalhado!$B$2:$B$433,"Jun",Acerto_Detalhado!$C$2:$C$433,"Proteina")),2)</f>
        <v>0</v>
      </c>
    </row>
    <row r="2103" customFormat="false" ht="15" hidden="false" customHeight="false" outlineLevel="0" collapsed="false">
      <c r="A2103" s="27" t="s">
        <v>116</v>
      </c>
      <c r="B2103" s="27" t="s">
        <v>109</v>
      </c>
      <c r="C2103" s="27" t="s">
        <v>49</v>
      </c>
      <c r="D2103" s="27" t="s">
        <v>47</v>
      </c>
      <c r="E2103" s="28" t="n">
        <f aca="false">ROUND((SUMIFS(Acerto_Detalhado!$F$2:$F$433,Acerto_Detalhado!$A$2:$A$433,$C2103,Acerto_Detalhado!$B$2:$B$433,"Jun",Acerto_Detalhado!$C$2:$C$433,"Proteina"))*(SUMIFS(Acerto_Detalhado!$I$2:$I$433,Acerto_Detalhado!$A$2:$A$433,$D2103,Acerto_Detalhado!$B$2:$B$433,"Jun",Acerto_Detalhado!$C$2:$C$433,"Proteina")),2)</f>
        <v>0</v>
      </c>
    </row>
    <row r="2104" customFormat="false" ht="15" hidden="false" customHeight="false" outlineLevel="0" collapsed="false">
      <c r="A2104" s="27" t="s">
        <v>116</v>
      </c>
      <c r="B2104" s="27" t="s">
        <v>109</v>
      </c>
      <c r="C2104" s="27" t="s">
        <v>49</v>
      </c>
      <c r="D2104" s="27" t="s">
        <v>48</v>
      </c>
      <c r="E2104" s="28" t="n">
        <f aca="false">ROUND((SUMIFS(Acerto_Detalhado!$F$2:$F$433,Acerto_Detalhado!$A$2:$A$433,$C2104,Acerto_Detalhado!$B$2:$B$433,"Jun",Acerto_Detalhado!$C$2:$C$433,"Proteina"))*(SUMIFS(Acerto_Detalhado!$I$2:$I$433,Acerto_Detalhado!$A$2:$A$433,$D2104,Acerto_Detalhado!$B$2:$B$433,"Jun",Acerto_Detalhado!$C$2:$C$433,"Proteina")),2)</f>
        <v>0</v>
      </c>
    </row>
    <row r="2105" customFormat="false" ht="15" hidden="false" customHeight="false" outlineLevel="0" collapsed="false">
      <c r="A2105" s="27" t="s">
        <v>116</v>
      </c>
      <c r="B2105" s="27" t="s">
        <v>109</v>
      </c>
      <c r="C2105" s="27" t="s">
        <v>49</v>
      </c>
      <c r="D2105" s="27" t="s">
        <v>50</v>
      </c>
      <c r="E2105" s="28" t="n">
        <f aca="false">ROUND((SUMIFS(Acerto_Detalhado!$F$2:$F$433,Acerto_Detalhado!$A$2:$A$433,$C2105,Acerto_Detalhado!$B$2:$B$433,"Jun",Acerto_Detalhado!$C$2:$C$433,"Proteina"))*(SUMIFS(Acerto_Detalhado!$I$2:$I$433,Acerto_Detalhado!$A$2:$A$433,$D2105,Acerto_Detalhado!$B$2:$B$433,"Jun",Acerto_Detalhado!$C$2:$C$433,"Proteina")),2)</f>
        <v>0</v>
      </c>
    </row>
    <row r="2106" customFormat="false" ht="15" hidden="false" customHeight="false" outlineLevel="0" collapsed="false">
      <c r="A2106" s="27" t="s">
        <v>116</v>
      </c>
      <c r="B2106" s="27" t="s">
        <v>109</v>
      </c>
      <c r="C2106" s="27" t="s">
        <v>50</v>
      </c>
      <c r="D2106" s="27" t="s">
        <v>39</v>
      </c>
      <c r="E2106" s="28" t="n">
        <f aca="false">ROUND((SUMIFS(Acerto_Detalhado!$F$2:$F$433,Acerto_Detalhado!$A$2:$A$433,$C2106,Acerto_Detalhado!$B$2:$B$433,"Jun",Acerto_Detalhado!$C$2:$C$433,"Proteina"))*(SUMIFS(Acerto_Detalhado!$I$2:$I$433,Acerto_Detalhado!$A$2:$A$433,$D2106,Acerto_Detalhado!$B$2:$B$433,"Jun",Acerto_Detalhado!$C$2:$C$433,"Proteina")),2)</f>
        <v>0</v>
      </c>
    </row>
    <row r="2107" customFormat="false" ht="15" hidden="false" customHeight="false" outlineLevel="0" collapsed="false">
      <c r="A2107" s="27" t="s">
        <v>116</v>
      </c>
      <c r="B2107" s="27" t="s">
        <v>109</v>
      </c>
      <c r="C2107" s="27" t="s">
        <v>50</v>
      </c>
      <c r="D2107" s="27" t="s">
        <v>40</v>
      </c>
      <c r="E2107" s="28" t="n">
        <f aca="false">ROUND((SUMIFS(Acerto_Detalhado!$F$2:$F$433,Acerto_Detalhado!$A$2:$A$433,$C2107,Acerto_Detalhado!$B$2:$B$433,"Jun",Acerto_Detalhado!$C$2:$C$433,"Proteina"))*(SUMIFS(Acerto_Detalhado!$I$2:$I$433,Acerto_Detalhado!$A$2:$A$433,$D2107,Acerto_Detalhado!$B$2:$B$433,"Jun",Acerto_Detalhado!$C$2:$C$433,"Proteina")),2)</f>
        <v>0</v>
      </c>
    </row>
    <row r="2108" customFormat="false" ht="15" hidden="false" customHeight="false" outlineLevel="0" collapsed="false">
      <c r="A2108" s="27" t="s">
        <v>116</v>
      </c>
      <c r="B2108" s="27" t="s">
        <v>109</v>
      </c>
      <c r="C2108" s="27" t="s">
        <v>50</v>
      </c>
      <c r="D2108" s="27" t="s">
        <v>41</v>
      </c>
      <c r="E2108" s="28" t="n">
        <f aca="false">ROUND((SUMIFS(Acerto_Detalhado!$F$2:$F$433,Acerto_Detalhado!$A$2:$A$433,$C2108,Acerto_Detalhado!$B$2:$B$433,"Jun",Acerto_Detalhado!$C$2:$C$433,"Proteina"))*(SUMIFS(Acerto_Detalhado!$I$2:$I$433,Acerto_Detalhado!$A$2:$A$433,$D2108,Acerto_Detalhado!$B$2:$B$433,"Jun",Acerto_Detalhado!$C$2:$C$433,"Proteina")),2)</f>
        <v>0</v>
      </c>
    </row>
    <row r="2109" customFormat="false" ht="15" hidden="false" customHeight="false" outlineLevel="0" collapsed="false">
      <c r="A2109" s="27" t="s">
        <v>116</v>
      </c>
      <c r="B2109" s="27" t="s">
        <v>109</v>
      </c>
      <c r="C2109" s="27" t="s">
        <v>50</v>
      </c>
      <c r="D2109" s="27" t="s">
        <v>42</v>
      </c>
      <c r="E2109" s="28" t="n">
        <f aca="false">ROUND((SUMIFS(Acerto_Detalhado!$F$2:$F$433,Acerto_Detalhado!$A$2:$A$433,$C2109,Acerto_Detalhado!$B$2:$B$433,"Jun",Acerto_Detalhado!$C$2:$C$433,"Proteina"))*(SUMIFS(Acerto_Detalhado!$I$2:$I$433,Acerto_Detalhado!$A$2:$A$433,$D2109,Acerto_Detalhado!$B$2:$B$433,"Jun",Acerto_Detalhado!$C$2:$C$433,"Proteina")),2)</f>
        <v>0</v>
      </c>
    </row>
    <row r="2110" customFormat="false" ht="15" hidden="false" customHeight="false" outlineLevel="0" collapsed="false">
      <c r="A2110" s="27" t="s">
        <v>116</v>
      </c>
      <c r="B2110" s="27" t="s">
        <v>109</v>
      </c>
      <c r="C2110" s="27" t="s">
        <v>50</v>
      </c>
      <c r="D2110" s="27" t="s">
        <v>43</v>
      </c>
      <c r="E2110" s="28" t="n">
        <f aca="false">ROUND((SUMIFS(Acerto_Detalhado!$F$2:$F$433,Acerto_Detalhado!$A$2:$A$433,$C2110,Acerto_Detalhado!$B$2:$B$433,"Jun",Acerto_Detalhado!$C$2:$C$433,"Proteina"))*(SUMIFS(Acerto_Detalhado!$I$2:$I$433,Acerto_Detalhado!$A$2:$A$433,$D2110,Acerto_Detalhado!$B$2:$B$433,"Jun",Acerto_Detalhado!$C$2:$C$433,"Proteina")),2)</f>
        <v>0</v>
      </c>
    </row>
    <row r="2111" customFormat="false" ht="15" hidden="false" customHeight="false" outlineLevel="0" collapsed="false">
      <c r="A2111" s="27" t="s">
        <v>116</v>
      </c>
      <c r="B2111" s="27" t="s">
        <v>109</v>
      </c>
      <c r="C2111" s="27" t="s">
        <v>50</v>
      </c>
      <c r="D2111" s="27" t="s">
        <v>44</v>
      </c>
      <c r="E2111" s="28" t="n">
        <f aca="false">ROUND((SUMIFS(Acerto_Detalhado!$F$2:$F$433,Acerto_Detalhado!$A$2:$A$433,$C2111,Acerto_Detalhado!$B$2:$B$433,"Jun",Acerto_Detalhado!$C$2:$C$433,"Proteina"))*(SUMIFS(Acerto_Detalhado!$I$2:$I$433,Acerto_Detalhado!$A$2:$A$433,$D2111,Acerto_Detalhado!$B$2:$B$433,"Jun",Acerto_Detalhado!$C$2:$C$433,"Proteina")),2)</f>
        <v>0</v>
      </c>
    </row>
    <row r="2112" customFormat="false" ht="15" hidden="false" customHeight="false" outlineLevel="0" collapsed="false">
      <c r="A2112" s="27" t="s">
        <v>116</v>
      </c>
      <c r="B2112" s="27" t="s">
        <v>109</v>
      </c>
      <c r="C2112" s="27" t="s">
        <v>50</v>
      </c>
      <c r="D2112" s="27" t="s">
        <v>45</v>
      </c>
      <c r="E2112" s="28" t="n">
        <f aca="false">ROUND((SUMIFS(Acerto_Detalhado!$F$2:$F$433,Acerto_Detalhado!$A$2:$A$433,$C2112,Acerto_Detalhado!$B$2:$B$433,"Jun",Acerto_Detalhado!$C$2:$C$433,"Proteina"))*(SUMIFS(Acerto_Detalhado!$I$2:$I$433,Acerto_Detalhado!$A$2:$A$433,$D2112,Acerto_Detalhado!$B$2:$B$433,"Jun",Acerto_Detalhado!$C$2:$C$433,"Proteina")),2)</f>
        <v>0</v>
      </c>
    </row>
    <row r="2113" customFormat="false" ht="15" hidden="false" customHeight="false" outlineLevel="0" collapsed="false">
      <c r="A2113" s="27" t="s">
        <v>116</v>
      </c>
      <c r="B2113" s="27" t="s">
        <v>109</v>
      </c>
      <c r="C2113" s="27" t="s">
        <v>50</v>
      </c>
      <c r="D2113" s="27" t="s">
        <v>46</v>
      </c>
      <c r="E2113" s="28" t="n">
        <f aca="false">ROUND((SUMIFS(Acerto_Detalhado!$F$2:$F$433,Acerto_Detalhado!$A$2:$A$433,$C2113,Acerto_Detalhado!$B$2:$B$433,"Jun",Acerto_Detalhado!$C$2:$C$433,"Proteina"))*(SUMIFS(Acerto_Detalhado!$I$2:$I$433,Acerto_Detalhado!$A$2:$A$433,$D2113,Acerto_Detalhado!$B$2:$B$433,"Jun",Acerto_Detalhado!$C$2:$C$433,"Proteina")),2)</f>
        <v>0</v>
      </c>
    </row>
    <row r="2114" customFormat="false" ht="15" hidden="false" customHeight="false" outlineLevel="0" collapsed="false">
      <c r="A2114" s="27" t="s">
        <v>116</v>
      </c>
      <c r="B2114" s="27" t="s">
        <v>109</v>
      </c>
      <c r="C2114" s="27" t="s">
        <v>50</v>
      </c>
      <c r="D2114" s="27" t="s">
        <v>47</v>
      </c>
      <c r="E2114" s="28" t="n">
        <f aca="false">ROUND((SUMIFS(Acerto_Detalhado!$F$2:$F$433,Acerto_Detalhado!$A$2:$A$433,$C2114,Acerto_Detalhado!$B$2:$B$433,"Jun",Acerto_Detalhado!$C$2:$C$433,"Proteina"))*(SUMIFS(Acerto_Detalhado!$I$2:$I$433,Acerto_Detalhado!$A$2:$A$433,$D2114,Acerto_Detalhado!$B$2:$B$433,"Jun",Acerto_Detalhado!$C$2:$C$433,"Proteina")),2)</f>
        <v>0</v>
      </c>
    </row>
    <row r="2115" customFormat="false" ht="15" hidden="false" customHeight="false" outlineLevel="0" collapsed="false">
      <c r="A2115" s="27" t="s">
        <v>116</v>
      </c>
      <c r="B2115" s="27" t="s">
        <v>109</v>
      </c>
      <c r="C2115" s="27" t="s">
        <v>50</v>
      </c>
      <c r="D2115" s="27" t="s">
        <v>48</v>
      </c>
      <c r="E2115" s="28" t="n">
        <f aca="false">ROUND((SUMIFS(Acerto_Detalhado!$F$2:$F$433,Acerto_Detalhado!$A$2:$A$433,$C2115,Acerto_Detalhado!$B$2:$B$433,"Jun",Acerto_Detalhado!$C$2:$C$433,"Proteina"))*(SUMIFS(Acerto_Detalhado!$I$2:$I$433,Acerto_Detalhado!$A$2:$A$433,$D2115,Acerto_Detalhado!$B$2:$B$433,"Jun",Acerto_Detalhado!$C$2:$C$433,"Proteina")),2)</f>
        <v>0</v>
      </c>
    </row>
    <row r="2116" customFormat="false" ht="15" hidden="false" customHeight="false" outlineLevel="0" collapsed="false">
      <c r="A2116" s="27" t="s">
        <v>116</v>
      </c>
      <c r="B2116" s="27" t="s">
        <v>109</v>
      </c>
      <c r="C2116" s="27" t="s">
        <v>50</v>
      </c>
      <c r="D2116" s="27" t="s">
        <v>49</v>
      </c>
      <c r="E2116" s="28" t="n">
        <f aca="false">ROUND((SUMIFS(Acerto_Detalhado!$F$2:$F$433,Acerto_Detalhado!$A$2:$A$433,$C2116,Acerto_Detalhado!$B$2:$B$433,"Jun",Acerto_Detalhado!$C$2:$C$433,"Proteina"))*(SUMIFS(Acerto_Detalhado!$I$2:$I$433,Acerto_Detalhado!$A$2:$A$433,$D2116,Acerto_Detalhado!$B$2:$B$433,"Jun",Acerto_Detalhado!$C$2:$C$433,"Proteina")),2)</f>
        <v>0</v>
      </c>
    </row>
    <row r="2117" customFormat="false" ht="15" hidden="false" customHeight="false" outlineLevel="0" collapsed="false">
      <c r="A2117" s="27" t="s">
        <v>116</v>
      </c>
      <c r="B2117" s="27" t="s">
        <v>110</v>
      </c>
      <c r="C2117" s="27" t="s">
        <v>39</v>
      </c>
      <c r="D2117" s="27" t="s">
        <v>40</v>
      </c>
      <c r="E2117" s="28" t="n">
        <f aca="false">ROUND((SUMIFS(Acerto_Detalhado!$F$2:$F$433,Acerto_Detalhado!$A$2:$A$433,$C2117,Acerto_Detalhado!$B$2:$B$433,"Jun",Acerto_Detalhado!$C$2:$C$433,"Umidade"))*(SUMIFS(Acerto_Detalhado!$I$2:$I$433,Acerto_Detalhado!$A$2:$A$433,$D2117,Acerto_Detalhado!$B$2:$B$433,"Jun",Acerto_Detalhado!$C$2:$C$433,"Umidade")),2)</f>
        <v>0</v>
      </c>
    </row>
    <row r="2118" customFormat="false" ht="15" hidden="false" customHeight="false" outlineLevel="0" collapsed="false">
      <c r="A2118" s="27" t="s">
        <v>116</v>
      </c>
      <c r="B2118" s="27" t="s">
        <v>110</v>
      </c>
      <c r="C2118" s="27" t="s">
        <v>39</v>
      </c>
      <c r="D2118" s="27" t="s">
        <v>41</v>
      </c>
      <c r="E2118" s="28" t="n">
        <f aca="false">ROUND((SUMIFS(Acerto_Detalhado!$F$2:$F$433,Acerto_Detalhado!$A$2:$A$433,$C2118,Acerto_Detalhado!$B$2:$B$433,"Jun",Acerto_Detalhado!$C$2:$C$433,"Umidade"))*(SUMIFS(Acerto_Detalhado!$I$2:$I$433,Acerto_Detalhado!$A$2:$A$433,$D2118,Acerto_Detalhado!$B$2:$B$433,"Jun",Acerto_Detalhado!$C$2:$C$433,"Umidade")),2)</f>
        <v>0</v>
      </c>
    </row>
    <row r="2119" customFormat="false" ht="15" hidden="false" customHeight="false" outlineLevel="0" collapsed="false">
      <c r="A2119" s="27" t="s">
        <v>116</v>
      </c>
      <c r="B2119" s="27" t="s">
        <v>110</v>
      </c>
      <c r="C2119" s="27" t="s">
        <v>39</v>
      </c>
      <c r="D2119" s="27" t="s">
        <v>42</v>
      </c>
      <c r="E2119" s="28" t="n">
        <f aca="false">ROUND((SUMIFS(Acerto_Detalhado!$F$2:$F$433,Acerto_Detalhado!$A$2:$A$433,$C2119,Acerto_Detalhado!$B$2:$B$433,"Jun",Acerto_Detalhado!$C$2:$C$433,"Umidade"))*(SUMIFS(Acerto_Detalhado!$I$2:$I$433,Acerto_Detalhado!$A$2:$A$433,$D2119,Acerto_Detalhado!$B$2:$B$433,"Jun",Acerto_Detalhado!$C$2:$C$433,"Umidade")),2)</f>
        <v>0</v>
      </c>
    </row>
    <row r="2120" customFormat="false" ht="15" hidden="false" customHeight="false" outlineLevel="0" collapsed="false">
      <c r="A2120" s="27" t="s">
        <v>116</v>
      </c>
      <c r="B2120" s="27" t="s">
        <v>110</v>
      </c>
      <c r="C2120" s="27" t="s">
        <v>39</v>
      </c>
      <c r="D2120" s="27" t="s">
        <v>43</v>
      </c>
      <c r="E2120" s="28" t="n">
        <f aca="false">ROUND((SUMIFS(Acerto_Detalhado!$F$2:$F$433,Acerto_Detalhado!$A$2:$A$433,$C2120,Acerto_Detalhado!$B$2:$B$433,"Jun",Acerto_Detalhado!$C$2:$C$433,"Umidade"))*(SUMIFS(Acerto_Detalhado!$I$2:$I$433,Acerto_Detalhado!$A$2:$A$433,$D2120,Acerto_Detalhado!$B$2:$B$433,"Jun",Acerto_Detalhado!$C$2:$C$433,"Umidade")),2)</f>
        <v>0</v>
      </c>
    </row>
    <row r="2121" customFormat="false" ht="15" hidden="false" customHeight="false" outlineLevel="0" collapsed="false">
      <c r="A2121" s="27" t="s">
        <v>116</v>
      </c>
      <c r="B2121" s="27" t="s">
        <v>110</v>
      </c>
      <c r="C2121" s="27" t="s">
        <v>39</v>
      </c>
      <c r="D2121" s="27" t="s">
        <v>44</v>
      </c>
      <c r="E2121" s="28" t="n">
        <f aca="false">ROUND((SUMIFS(Acerto_Detalhado!$F$2:$F$433,Acerto_Detalhado!$A$2:$A$433,$C2121,Acerto_Detalhado!$B$2:$B$433,"Jun",Acerto_Detalhado!$C$2:$C$433,"Umidade"))*(SUMIFS(Acerto_Detalhado!$I$2:$I$433,Acerto_Detalhado!$A$2:$A$433,$D2121,Acerto_Detalhado!$B$2:$B$433,"Jun",Acerto_Detalhado!$C$2:$C$433,"Umidade")),2)</f>
        <v>0</v>
      </c>
    </row>
    <row r="2122" customFormat="false" ht="15" hidden="false" customHeight="false" outlineLevel="0" collapsed="false">
      <c r="A2122" s="27" t="s">
        <v>116</v>
      </c>
      <c r="B2122" s="27" t="s">
        <v>110</v>
      </c>
      <c r="C2122" s="27" t="s">
        <v>39</v>
      </c>
      <c r="D2122" s="27" t="s">
        <v>45</v>
      </c>
      <c r="E2122" s="28" t="n">
        <f aca="false">ROUND((SUMIFS(Acerto_Detalhado!$F$2:$F$433,Acerto_Detalhado!$A$2:$A$433,$C2122,Acerto_Detalhado!$B$2:$B$433,"Jun",Acerto_Detalhado!$C$2:$C$433,"Umidade"))*(SUMIFS(Acerto_Detalhado!$I$2:$I$433,Acerto_Detalhado!$A$2:$A$433,$D2122,Acerto_Detalhado!$B$2:$B$433,"Jun",Acerto_Detalhado!$C$2:$C$433,"Umidade")),2)</f>
        <v>0</v>
      </c>
    </row>
    <row r="2123" customFormat="false" ht="15" hidden="false" customHeight="false" outlineLevel="0" collapsed="false">
      <c r="A2123" s="27" t="s">
        <v>116</v>
      </c>
      <c r="B2123" s="27" t="s">
        <v>110</v>
      </c>
      <c r="C2123" s="27" t="s">
        <v>39</v>
      </c>
      <c r="D2123" s="27" t="s">
        <v>46</v>
      </c>
      <c r="E2123" s="28" t="n">
        <f aca="false">ROUND((SUMIFS(Acerto_Detalhado!$F$2:$F$433,Acerto_Detalhado!$A$2:$A$433,$C2123,Acerto_Detalhado!$B$2:$B$433,"Jun",Acerto_Detalhado!$C$2:$C$433,"Umidade"))*(SUMIFS(Acerto_Detalhado!$I$2:$I$433,Acerto_Detalhado!$A$2:$A$433,$D2123,Acerto_Detalhado!$B$2:$B$433,"Jun",Acerto_Detalhado!$C$2:$C$433,"Umidade")),2)</f>
        <v>0</v>
      </c>
    </row>
    <row r="2124" customFormat="false" ht="15" hidden="false" customHeight="false" outlineLevel="0" collapsed="false">
      <c r="A2124" s="27" t="s">
        <v>116</v>
      </c>
      <c r="B2124" s="27" t="s">
        <v>110</v>
      </c>
      <c r="C2124" s="27" t="s">
        <v>39</v>
      </c>
      <c r="D2124" s="27" t="s">
        <v>47</v>
      </c>
      <c r="E2124" s="28" t="n">
        <f aca="false">ROUND((SUMIFS(Acerto_Detalhado!$F$2:$F$433,Acerto_Detalhado!$A$2:$A$433,$C2124,Acerto_Detalhado!$B$2:$B$433,"Jun",Acerto_Detalhado!$C$2:$C$433,"Umidade"))*(SUMIFS(Acerto_Detalhado!$I$2:$I$433,Acerto_Detalhado!$A$2:$A$433,$D2124,Acerto_Detalhado!$B$2:$B$433,"Jun",Acerto_Detalhado!$C$2:$C$433,"Umidade")),2)</f>
        <v>0</v>
      </c>
    </row>
    <row r="2125" customFormat="false" ht="15" hidden="false" customHeight="false" outlineLevel="0" collapsed="false">
      <c r="A2125" s="27" t="s">
        <v>116</v>
      </c>
      <c r="B2125" s="27" t="s">
        <v>110</v>
      </c>
      <c r="C2125" s="27" t="s">
        <v>39</v>
      </c>
      <c r="D2125" s="27" t="s">
        <v>48</v>
      </c>
      <c r="E2125" s="28" t="n">
        <f aca="false">ROUND((SUMIFS(Acerto_Detalhado!$F$2:$F$433,Acerto_Detalhado!$A$2:$A$433,$C2125,Acerto_Detalhado!$B$2:$B$433,"Jun",Acerto_Detalhado!$C$2:$C$433,"Umidade"))*(SUMIFS(Acerto_Detalhado!$I$2:$I$433,Acerto_Detalhado!$A$2:$A$433,$D2125,Acerto_Detalhado!$B$2:$B$433,"Jun",Acerto_Detalhado!$C$2:$C$433,"Umidade")),2)</f>
        <v>0</v>
      </c>
    </row>
    <row r="2126" customFormat="false" ht="15" hidden="false" customHeight="false" outlineLevel="0" collapsed="false">
      <c r="A2126" s="27" t="s">
        <v>116</v>
      </c>
      <c r="B2126" s="27" t="s">
        <v>110</v>
      </c>
      <c r="C2126" s="27" t="s">
        <v>39</v>
      </c>
      <c r="D2126" s="27" t="s">
        <v>49</v>
      </c>
      <c r="E2126" s="28" t="n">
        <f aca="false">ROUND((SUMIFS(Acerto_Detalhado!$F$2:$F$433,Acerto_Detalhado!$A$2:$A$433,$C2126,Acerto_Detalhado!$B$2:$B$433,"Jun",Acerto_Detalhado!$C$2:$C$433,"Umidade"))*(SUMIFS(Acerto_Detalhado!$I$2:$I$433,Acerto_Detalhado!$A$2:$A$433,$D2126,Acerto_Detalhado!$B$2:$B$433,"Jun",Acerto_Detalhado!$C$2:$C$433,"Umidade")),2)</f>
        <v>0</v>
      </c>
    </row>
    <row r="2127" customFormat="false" ht="15" hidden="false" customHeight="false" outlineLevel="0" collapsed="false">
      <c r="A2127" s="27" t="s">
        <v>116</v>
      </c>
      <c r="B2127" s="27" t="s">
        <v>110</v>
      </c>
      <c r="C2127" s="27" t="s">
        <v>39</v>
      </c>
      <c r="D2127" s="27" t="s">
        <v>50</v>
      </c>
      <c r="E2127" s="28" t="n">
        <f aca="false">ROUND((SUMIFS(Acerto_Detalhado!$F$2:$F$433,Acerto_Detalhado!$A$2:$A$433,$C2127,Acerto_Detalhado!$B$2:$B$433,"Jun",Acerto_Detalhado!$C$2:$C$433,"Umidade"))*(SUMIFS(Acerto_Detalhado!$I$2:$I$433,Acerto_Detalhado!$A$2:$A$433,$D2127,Acerto_Detalhado!$B$2:$B$433,"Jun",Acerto_Detalhado!$C$2:$C$433,"Umidade")),2)</f>
        <v>0</v>
      </c>
    </row>
    <row r="2128" customFormat="false" ht="15" hidden="false" customHeight="false" outlineLevel="0" collapsed="false">
      <c r="A2128" s="27" t="s">
        <v>116</v>
      </c>
      <c r="B2128" s="27" t="s">
        <v>110</v>
      </c>
      <c r="C2128" s="27" t="s">
        <v>40</v>
      </c>
      <c r="D2128" s="27" t="s">
        <v>39</v>
      </c>
      <c r="E2128" s="28" t="n">
        <f aca="false">ROUND((SUMIFS(Acerto_Detalhado!$F$2:$F$433,Acerto_Detalhado!$A$2:$A$433,$C2128,Acerto_Detalhado!$B$2:$B$433,"Jun",Acerto_Detalhado!$C$2:$C$433,"Umidade"))*(SUMIFS(Acerto_Detalhado!$I$2:$I$433,Acerto_Detalhado!$A$2:$A$433,$D2128,Acerto_Detalhado!$B$2:$B$433,"Jun",Acerto_Detalhado!$C$2:$C$433,"Umidade")),2)</f>
        <v>0</v>
      </c>
    </row>
    <row r="2129" customFormat="false" ht="15" hidden="false" customHeight="false" outlineLevel="0" collapsed="false">
      <c r="A2129" s="27" t="s">
        <v>116</v>
      </c>
      <c r="B2129" s="27" t="s">
        <v>110</v>
      </c>
      <c r="C2129" s="27" t="s">
        <v>40</v>
      </c>
      <c r="D2129" s="27" t="s">
        <v>41</v>
      </c>
      <c r="E2129" s="28" t="n">
        <f aca="false">ROUND((SUMIFS(Acerto_Detalhado!$F$2:$F$433,Acerto_Detalhado!$A$2:$A$433,$C2129,Acerto_Detalhado!$B$2:$B$433,"Jun",Acerto_Detalhado!$C$2:$C$433,"Umidade"))*(SUMIFS(Acerto_Detalhado!$I$2:$I$433,Acerto_Detalhado!$A$2:$A$433,$D2129,Acerto_Detalhado!$B$2:$B$433,"Jun",Acerto_Detalhado!$C$2:$C$433,"Umidade")),2)</f>
        <v>0</v>
      </c>
    </row>
    <row r="2130" customFormat="false" ht="15" hidden="false" customHeight="false" outlineLevel="0" collapsed="false">
      <c r="A2130" s="27" t="s">
        <v>116</v>
      </c>
      <c r="B2130" s="27" t="s">
        <v>110</v>
      </c>
      <c r="C2130" s="27" t="s">
        <v>40</v>
      </c>
      <c r="D2130" s="27" t="s">
        <v>42</v>
      </c>
      <c r="E2130" s="28" t="n">
        <f aca="false">ROUND((SUMIFS(Acerto_Detalhado!$F$2:$F$433,Acerto_Detalhado!$A$2:$A$433,$C2130,Acerto_Detalhado!$B$2:$B$433,"Jun",Acerto_Detalhado!$C$2:$C$433,"Umidade"))*(SUMIFS(Acerto_Detalhado!$I$2:$I$433,Acerto_Detalhado!$A$2:$A$433,$D2130,Acerto_Detalhado!$B$2:$B$433,"Jun",Acerto_Detalhado!$C$2:$C$433,"Umidade")),2)</f>
        <v>0</v>
      </c>
    </row>
    <row r="2131" customFormat="false" ht="15" hidden="false" customHeight="false" outlineLevel="0" collapsed="false">
      <c r="A2131" s="27" t="s">
        <v>116</v>
      </c>
      <c r="B2131" s="27" t="s">
        <v>110</v>
      </c>
      <c r="C2131" s="27" t="s">
        <v>40</v>
      </c>
      <c r="D2131" s="27" t="s">
        <v>43</v>
      </c>
      <c r="E2131" s="28" t="n">
        <f aca="false">ROUND((SUMIFS(Acerto_Detalhado!$F$2:$F$433,Acerto_Detalhado!$A$2:$A$433,$C2131,Acerto_Detalhado!$B$2:$B$433,"Jun",Acerto_Detalhado!$C$2:$C$433,"Umidade"))*(SUMIFS(Acerto_Detalhado!$I$2:$I$433,Acerto_Detalhado!$A$2:$A$433,$D2131,Acerto_Detalhado!$B$2:$B$433,"Jun",Acerto_Detalhado!$C$2:$C$433,"Umidade")),2)</f>
        <v>0</v>
      </c>
    </row>
    <row r="2132" customFormat="false" ht="15" hidden="false" customHeight="false" outlineLevel="0" collapsed="false">
      <c r="A2132" s="27" t="s">
        <v>116</v>
      </c>
      <c r="B2132" s="27" t="s">
        <v>110</v>
      </c>
      <c r="C2132" s="27" t="s">
        <v>40</v>
      </c>
      <c r="D2132" s="27" t="s">
        <v>44</v>
      </c>
      <c r="E2132" s="28" t="n">
        <f aca="false">ROUND((SUMIFS(Acerto_Detalhado!$F$2:$F$433,Acerto_Detalhado!$A$2:$A$433,$C2132,Acerto_Detalhado!$B$2:$B$433,"Jun",Acerto_Detalhado!$C$2:$C$433,"Umidade"))*(SUMIFS(Acerto_Detalhado!$I$2:$I$433,Acerto_Detalhado!$A$2:$A$433,$D2132,Acerto_Detalhado!$B$2:$B$433,"Jun",Acerto_Detalhado!$C$2:$C$433,"Umidade")),2)</f>
        <v>0</v>
      </c>
    </row>
    <row r="2133" customFormat="false" ht="15" hidden="false" customHeight="false" outlineLevel="0" collapsed="false">
      <c r="A2133" s="27" t="s">
        <v>116</v>
      </c>
      <c r="B2133" s="27" t="s">
        <v>110</v>
      </c>
      <c r="C2133" s="27" t="s">
        <v>40</v>
      </c>
      <c r="D2133" s="27" t="s">
        <v>45</v>
      </c>
      <c r="E2133" s="28" t="n">
        <f aca="false">ROUND((SUMIFS(Acerto_Detalhado!$F$2:$F$433,Acerto_Detalhado!$A$2:$A$433,$C2133,Acerto_Detalhado!$B$2:$B$433,"Jun",Acerto_Detalhado!$C$2:$C$433,"Umidade"))*(SUMIFS(Acerto_Detalhado!$I$2:$I$433,Acerto_Detalhado!$A$2:$A$433,$D2133,Acerto_Detalhado!$B$2:$B$433,"Jun",Acerto_Detalhado!$C$2:$C$433,"Umidade")),2)</f>
        <v>0</v>
      </c>
    </row>
    <row r="2134" customFormat="false" ht="15" hidden="false" customHeight="false" outlineLevel="0" collapsed="false">
      <c r="A2134" s="27" t="s">
        <v>116</v>
      </c>
      <c r="B2134" s="27" t="s">
        <v>110</v>
      </c>
      <c r="C2134" s="27" t="s">
        <v>40</v>
      </c>
      <c r="D2134" s="27" t="s">
        <v>46</v>
      </c>
      <c r="E2134" s="28" t="n">
        <f aca="false">ROUND((SUMIFS(Acerto_Detalhado!$F$2:$F$433,Acerto_Detalhado!$A$2:$A$433,$C2134,Acerto_Detalhado!$B$2:$B$433,"Jun",Acerto_Detalhado!$C$2:$C$433,"Umidade"))*(SUMIFS(Acerto_Detalhado!$I$2:$I$433,Acerto_Detalhado!$A$2:$A$433,$D2134,Acerto_Detalhado!$B$2:$B$433,"Jun",Acerto_Detalhado!$C$2:$C$433,"Umidade")),2)</f>
        <v>0</v>
      </c>
    </row>
    <row r="2135" customFormat="false" ht="15" hidden="false" customHeight="false" outlineLevel="0" collapsed="false">
      <c r="A2135" s="27" t="s">
        <v>116</v>
      </c>
      <c r="B2135" s="27" t="s">
        <v>110</v>
      </c>
      <c r="C2135" s="27" t="s">
        <v>40</v>
      </c>
      <c r="D2135" s="27" t="s">
        <v>47</v>
      </c>
      <c r="E2135" s="28" t="n">
        <f aca="false">ROUND((SUMIFS(Acerto_Detalhado!$F$2:$F$433,Acerto_Detalhado!$A$2:$A$433,$C2135,Acerto_Detalhado!$B$2:$B$433,"Jun",Acerto_Detalhado!$C$2:$C$433,"Umidade"))*(SUMIFS(Acerto_Detalhado!$I$2:$I$433,Acerto_Detalhado!$A$2:$A$433,$D2135,Acerto_Detalhado!$B$2:$B$433,"Jun",Acerto_Detalhado!$C$2:$C$433,"Umidade")),2)</f>
        <v>0</v>
      </c>
    </row>
    <row r="2136" customFormat="false" ht="15" hidden="false" customHeight="false" outlineLevel="0" collapsed="false">
      <c r="A2136" s="27" t="s">
        <v>116</v>
      </c>
      <c r="B2136" s="27" t="s">
        <v>110</v>
      </c>
      <c r="C2136" s="27" t="s">
        <v>40</v>
      </c>
      <c r="D2136" s="27" t="s">
        <v>48</v>
      </c>
      <c r="E2136" s="28" t="n">
        <f aca="false">ROUND((SUMIFS(Acerto_Detalhado!$F$2:$F$433,Acerto_Detalhado!$A$2:$A$433,$C2136,Acerto_Detalhado!$B$2:$B$433,"Jun",Acerto_Detalhado!$C$2:$C$433,"Umidade"))*(SUMIFS(Acerto_Detalhado!$I$2:$I$433,Acerto_Detalhado!$A$2:$A$433,$D2136,Acerto_Detalhado!$B$2:$B$433,"Jun",Acerto_Detalhado!$C$2:$C$433,"Umidade")),2)</f>
        <v>0</v>
      </c>
    </row>
    <row r="2137" customFormat="false" ht="15" hidden="false" customHeight="false" outlineLevel="0" collapsed="false">
      <c r="A2137" s="27" t="s">
        <v>116</v>
      </c>
      <c r="B2137" s="27" t="s">
        <v>110</v>
      </c>
      <c r="C2137" s="27" t="s">
        <v>40</v>
      </c>
      <c r="D2137" s="27" t="s">
        <v>49</v>
      </c>
      <c r="E2137" s="28" t="n">
        <f aca="false">ROUND((SUMIFS(Acerto_Detalhado!$F$2:$F$433,Acerto_Detalhado!$A$2:$A$433,$C2137,Acerto_Detalhado!$B$2:$B$433,"Jun",Acerto_Detalhado!$C$2:$C$433,"Umidade"))*(SUMIFS(Acerto_Detalhado!$I$2:$I$433,Acerto_Detalhado!$A$2:$A$433,$D2137,Acerto_Detalhado!$B$2:$B$433,"Jun",Acerto_Detalhado!$C$2:$C$433,"Umidade")),2)</f>
        <v>0</v>
      </c>
    </row>
    <row r="2138" customFormat="false" ht="15" hidden="false" customHeight="false" outlineLevel="0" collapsed="false">
      <c r="A2138" s="27" t="s">
        <v>116</v>
      </c>
      <c r="B2138" s="27" t="s">
        <v>110</v>
      </c>
      <c r="C2138" s="27" t="s">
        <v>40</v>
      </c>
      <c r="D2138" s="27" t="s">
        <v>50</v>
      </c>
      <c r="E2138" s="28" t="n">
        <f aca="false">ROUND((SUMIFS(Acerto_Detalhado!$F$2:$F$433,Acerto_Detalhado!$A$2:$A$433,$C2138,Acerto_Detalhado!$B$2:$B$433,"Jun",Acerto_Detalhado!$C$2:$C$433,"Umidade"))*(SUMIFS(Acerto_Detalhado!$I$2:$I$433,Acerto_Detalhado!$A$2:$A$433,$D2138,Acerto_Detalhado!$B$2:$B$433,"Jun",Acerto_Detalhado!$C$2:$C$433,"Umidade")),2)</f>
        <v>0</v>
      </c>
    </row>
    <row r="2139" customFormat="false" ht="15" hidden="false" customHeight="false" outlineLevel="0" collapsed="false">
      <c r="A2139" s="27" t="s">
        <v>116</v>
      </c>
      <c r="B2139" s="27" t="s">
        <v>110</v>
      </c>
      <c r="C2139" s="27" t="s">
        <v>41</v>
      </c>
      <c r="D2139" s="27" t="s">
        <v>39</v>
      </c>
      <c r="E2139" s="28" t="n">
        <f aca="false">ROUND((SUMIFS(Acerto_Detalhado!$F$2:$F$433,Acerto_Detalhado!$A$2:$A$433,$C2139,Acerto_Detalhado!$B$2:$B$433,"Jun",Acerto_Detalhado!$C$2:$C$433,"Umidade"))*(SUMIFS(Acerto_Detalhado!$I$2:$I$433,Acerto_Detalhado!$A$2:$A$433,$D2139,Acerto_Detalhado!$B$2:$B$433,"Jun",Acerto_Detalhado!$C$2:$C$433,"Umidade")),2)</f>
        <v>21964.34</v>
      </c>
    </row>
    <row r="2140" customFormat="false" ht="15" hidden="false" customHeight="false" outlineLevel="0" collapsed="false">
      <c r="A2140" s="27" t="s">
        <v>116</v>
      </c>
      <c r="B2140" s="27" t="s">
        <v>110</v>
      </c>
      <c r="C2140" s="27" t="s">
        <v>41</v>
      </c>
      <c r="D2140" s="27" t="s">
        <v>40</v>
      </c>
      <c r="E2140" s="28" t="n">
        <f aca="false">ROUND((SUMIFS(Acerto_Detalhado!$F$2:$F$433,Acerto_Detalhado!$A$2:$A$433,$C2140,Acerto_Detalhado!$B$2:$B$433,"Jun",Acerto_Detalhado!$C$2:$C$433,"Umidade"))*(SUMIFS(Acerto_Detalhado!$I$2:$I$433,Acerto_Detalhado!$A$2:$A$433,$D2140,Acerto_Detalhado!$B$2:$B$433,"Jun",Acerto_Detalhado!$C$2:$C$433,"Umidade")),2)</f>
        <v>23911.7</v>
      </c>
    </row>
    <row r="2141" customFormat="false" ht="15" hidden="false" customHeight="false" outlineLevel="0" collapsed="false">
      <c r="A2141" s="27" t="s">
        <v>116</v>
      </c>
      <c r="B2141" s="27" t="s">
        <v>110</v>
      </c>
      <c r="C2141" s="27" t="s">
        <v>41</v>
      </c>
      <c r="D2141" s="27" t="s">
        <v>42</v>
      </c>
      <c r="E2141" s="28" t="n">
        <f aca="false">ROUND((SUMIFS(Acerto_Detalhado!$F$2:$F$433,Acerto_Detalhado!$A$2:$A$433,$C2141,Acerto_Detalhado!$B$2:$B$433,"Jun",Acerto_Detalhado!$C$2:$C$433,"Umidade"))*(SUMIFS(Acerto_Detalhado!$I$2:$I$433,Acerto_Detalhado!$A$2:$A$433,$D2141,Acerto_Detalhado!$B$2:$B$433,"Jun",Acerto_Detalhado!$C$2:$C$433,"Umidade")),2)</f>
        <v>0</v>
      </c>
    </row>
    <row r="2142" customFormat="false" ht="15" hidden="false" customHeight="false" outlineLevel="0" collapsed="false">
      <c r="A2142" s="27" t="s">
        <v>116</v>
      </c>
      <c r="B2142" s="27" t="s">
        <v>110</v>
      </c>
      <c r="C2142" s="27" t="s">
        <v>41</v>
      </c>
      <c r="D2142" s="27" t="s">
        <v>43</v>
      </c>
      <c r="E2142" s="28" t="n">
        <f aca="false">ROUND((SUMIFS(Acerto_Detalhado!$F$2:$F$433,Acerto_Detalhado!$A$2:$A$433,$C2142,Acerto_Detalhado!$B$2:$B$433,"Jun",Acerto_Detalhado!$C$2:$C$433,"Umidade"))*(SUMIFS(Acerto_Detalhado!$I$2:$I$433,Acerto_Detalhado!$A$2:$A$433,$D2142,Acerto_Detalhado!$B$2:$B$433,"Jun",Acerto_Detalhado!$C$2:$C$433,"Umidade")),2)</f>
        <v>50321.38</v>
      </c>
    </row>
    <row r="2143" customFormat="false" ht="15" hidden="false" customHeight="false" outlineLevel="0" collapsed="false">
      <c r="A2143" s="27" t="s">
        <v>116</v>
      </c>
      <c r="B2143" s="27" t="s">
        <v>110</v>
      </c>
      <c r="C2143" s="27" t="s">
        <v>41</v>
      </c>
      <c r="D2143" s="27" t="s">
        <v>44</v>
      </c>
      <c r="E2143" s="28" t="n">
        <f aca="false">ROUND((SUMIFS(Acerto_Detalhado!$F$2:$F$433,Acerto_Detalhado!$A$2:$A$433,$C2143,Acerto_Detalhado!$B$2:$B$433,"Jun",Acerto_Detalhado!$C$2:$C$433,"Umidade"))*(SUMIFS(Acerto_Detalhado!$I$2:$I$433,Acerto_Detalhado!$A$2:$A$433,$D2143,Acerto_Detalhado!$B$2:$B$433,"Jun",Acerto_Detalhado!$C$2:$C$433,"Umidade")),2)</f>
        <v>27370.79</v>
      </c>
    </row>
    <row r="2144" customFormat="false" ht="15" hidden="false" customHeight="false" outlineLevel="0" collapsed="false">
      <c r="A2144" s="27" t="s">
        <v>116</v>
      </c>
      <c r="B2144" s="27" t="s">
        <v>110</v>
      </c>
      <c r="C2144" s="27" t="s">
        <v>41</v>
      </c>
      <c r="D2144" s="27" t="s">
        <v>45</v>
      </c>
      <c r="E2144" s="28" t="n">
        <f aca="false">ROUND((SUMIFS(Acerto_Detalhado!$F$2:$F$433,Acerto_Detalhado!$A$2:$A$433,$C2144,Acerto_Detalhado!$B$2:$B$433,"Jun",Acerto_Detalhado!$C$2:$C$433,"Umidade"))*(SUMIFS(Acerto_Detalhado!$I$2:$I$433,Acerto_Detalhado!$A$2:$A$433,$D2144,Acerto_Detalhado!$B$2:$B$433,"Jun",Acerto_Detalhado!$C$2:$C$433,"Umidade")),2)</f>
        <v>0</v>
      </c>
    </row>
    <row r="2145" customFormat="false" ht="15" hidden="false" customHeight="false" outlineLevel="0" collapsed="false">
      <c r="A2145" s="27" t="s">
        <v>116</v>
      </c>
      <c r="B2145" s="27" t="s">
        <v>110</v>
      </c>
      <c r="C2145" s="27" t="s">
        <v>41</v>
      </c>
      <c r="D2145" s="27" t="s">
        <v>46</v>
      </c>
      <c r="E2145" s="28" t="n">
        <f aca="false">ROUND((SUMIFS(Acerto_Detalhado!$F$2:$F$433,Acerto_Detalhado!$A$2:$A$433,$C2145,Acerto_Detalhado!$B$2:$B$433,"Jun",Acerto_Detalhado!$C$2:$C$433,"Umidade"))*(SUMIFS(Acerto_Detalhado!$I$2:$I$433,Acerto_Detalhado!$A$2:$A$433,$D2145,Acerto_Detalhado!$B$2:$B$433,"Jun",Acerto_Detalhado!$C$2:$C$433,"Umidade")),2)</f>
        <v>0</v>
      </c>
    </row>
    <row r="2146" customFormat="false" ht="15" hidden="false" customHeight="false" outlineLevel="0" collapsed="false">
      <c r="A2146" s="27" t="s">
        <v>116</v>
      </c>
      <c r="B2146" s="27" t="s">
        <v>110</v>
      </c>
      <c r="C2146" s="27" t="s">
        <v>41</v>
      </c>
      <c r="D2146" s="27" t="s">
        <v>47</v>
      </c>
      <c r="E2146" s="28" t="n">
        <f aca="false">ROUND((SUMIFS(Acerto_Detalhado!$F$2:$F$433,Acerto_Detalhado!$A$2:$A$433,$C2146,Acerto_Detalhado!$B$2:$B$433,"Jun",Acerto_Detalhado!$C$2:$C$433,"Umidade"))*(SUMIFS(Acerto_Detalhado!$I$2:$I$433,Acerto_Detalhado!$A$2:$A$433,$D2146,Acerto_Detalhado!$B$2:$B$433,"Jun",Acerto_Detalhado!$C$2:$C$433,"Umidade")),2)</f>
        <v>0</v>
      </c>
    </row>
    <row r="2147" customFormat="false" ht="15" hidden="false" customHeight="false" outlineLevel="0" collapsed="false">
      <c r="A2147" s="27" t="s">
        <v>116</v>
      </c>
      <c r="B2147" s="27" t="s">
        <v>110</v>
      </c>
      <c r="C2147" s="27" t="s">
        <v>41</v>
      </c>
      <c r="D2147" s="27" t="s">
        <v>48</v>
      </c>
      <c r="E2147" s="28" t="n">
        <f aca="false">ROUND((SUMIFS(Acerto_Detalhado!$F$2:$F$433,Acerto_Detalhado!$A$2:$A$433,$C2147,Acerto_Detalhado!$B$2:$B$433,"Jun",Acerto_Detalhado!$C$2:$C$433,"Umidade"))*(SUMIFS(Acerto_Detalhado!$I$2:$I$433,Acerto_Detalhado!$A$2:$A$433,$D2147,Acerto_Detalhado!$B$2:$B$433,"Jun",Acerto_Detalhado!$C$2:$C$433,"Umidade")),2)</f>
        <v>0</v>
      </c>
    </row>
    <row r="2148" customFormat="false" ht="15" hidden="false" customHeight="false" outlineLevel="0" collapsed="false">
      <c r="A2148" s="27" t="s">
        <v>116</v>
      </c>
      <c r="B2148" s="27" t="s">
        <v>110</v>
      </c>
      <c r="C2148" s="27" t="s">
        <v>41</v>
      </c>
      <c r="D2148" s="27" t="s">
        <v>49</v>
      </c>
      <c r="E2148" s="28" t="n">
        <f aca="false">ROUND((SUMIFS(Acerto_Detalhado!$F$2:$F$433,Acerto_Detalhado!$A$2:$A$433,$C2148,Acerto_Detalhado!$B$2:$B$433,"Jun",Acerto_Detalhado!$C$2:$C$433,"Umidade"))*(SUMIFS(Acerto_Detalhado!$I$2:$I$433,Acerto_Detalhado!$A$2:$A$433,$D2148,Acerto_Detalhado!$B$2:$B$433,"Jun",Acerto_Detalhado!$C$2:$C$433,"Umidade")),2)</f>
        <v>0</v>
      </c>
    </row>
    <row r="2149" customFormat="false" ht="15" hidden="false" customHeight="false" outlineLevel="0" collapsed="false">
      <c r="A2149" s="27" t="s">
        <v>116</v>
      </c>
      <c r="B2149" s="27" t="s">
        <v>110</v>
      </c>
      <c r="C2149" s="27" t="s">
        <v>41</v>
      </c>
      <c r="D2149" s="27" t="s">
        <v>50</v>
      </c>
      <c r="E2149" s="28" t="n">
        <f aca="false">ROUND((SUMIFS(Acerto_Detalhado!$F$2:$F$433,Acerto_Detalhado!$A$2:$A$433,$C2149,Acerto_Detalhado!$B$2:$B$433,"Jun",Acerto_Detalhado!$C$2:$C$433,"Umidade"))*(SUMIFS(Acerto_Detalhado!$I$2:$I$433,Acerto_Detalhado!$A$2:$A$433,$D2149,Acerto_Detalhado!$B$2:$B$433,"Jun",Acerto_Detalhado!$C$2:$C$433,"Umidade")),2)</f>
        <v>0</v>
      </c>
    </row>
    <row r="2150" customFormat="false" ht="15" hidden="false" customHeight="false" outlineLevel="0" collapsed="false">
      <c r="A2150" s="27" t="s">
        <v>116</v>
      </c>
      <c r="B2150" s="27" t="s">
        <v>110</v>
      </c>
      <c r="C2150" s="27" t="s">
        <v>42</v>
      </c>
      <c r="D2150" s="27" t="s">
        <v>39</v>
      </c>
      <c r="E2150" s="28" t="n">
        <f aca="false">ROUND((SUMIFS(Acerto_Detalhado!$F$2:$F$433,Acerto_Detalhado!$A$2:$A$433,$C2150,Acerto_Detalhado!$B$2:$B$433,"Jun",Acerto_Detalhado!$C$2:$C$433,"Umidade"))*(SUMIFS(Acerto_Detalhado!$I$2:$I$433,Acerto_Detalhado!$A$2:$A$433,$D2150,Acerto_Detalhado!$B$2:$B$433,"Jun",Acerto_Detalhado!$C$2:$C$433,"Umidade")),2)</f>
        <v>3038.12</v>
      </c>
    </row>
    <row r="2151" customFormat="false" ht="15" hidden="false" customHeight="false" outlineLevel="0" collapsed="false">
      <c r="A2151" s="27" t="s">
        <v>116</v>
      </c>
      <c r="B2151" s="27" t="s">
        <v>110</v>
      </c>
      <c r="C2151" s="27" t="s">
        <v>42</v>
      </c>
      <c r="D2151" s="27" t="s">
        <v>40</v>
      </c>
      <c r="E2151" s="28" t="n">
        <f aca="false">ROUND((SUMIFS(Acerto_Detalhado!$F$2:$F$433,Acerto_Detalhado!$A$2:$A$433,$C2151,Acerto_Detalhado!$B$2:$B$433,"Jun",Acerto_Detalhado!$C$2:$C$433,"Umidade"))*(SUMIFS(Acerto_Detalhado!$I$2:$I$433,Acerto_Detalhado!$A$2:$A$433,$D2151,Acerto_Detalhado!$B$2:$B$433,"Jun",Acerto_Detalhado!$C$2:$C$433,"Umidade")),2)</f>
        <v>3307.48</v>
      </c>
    </row>
    <row r="2152" customFormat="false" ht="15" hidden="false" customHeight="false" outlineLevel="0" collapsed="false">
      <c r="A2152" s="27" t="s">
        <v>116</v>
      </c>
      <c r="B2152" s="27" t="s">
        <v>110</v>
      </c>
      <c r="C2152" s="27" t="s">
        <v>42</v>
      </c>
      <c r="D2152" s="27" t="s">
        <v>41</v>
      </c>
      <c r="E2152" s="28" t="n">
        <f aca="false">ROUND((SUMIFS(Acerto_Detalhado!$F$2:$F$433,Acerto_Detalhado!$A$2:$A$433,$C2152,Acerto_Detalhado!$B$2:$B$433,"Jun",Acerto_Detalhado!$C$2:$C$433,"Umidade"))*(SUMIFS(Acerto_Detalhado!$I$2:$I$433,Acerto_Detalhado!$A$2:$A$433,$D2152,Acerto_Detalhado!$B$2:$B$433,"Jun",Acerto_Detalhado!$C$2:$C$433,"Umidade")),2)</f>
        <v>0</v>
      </c>
    </row>
    <row r="2153" customFormat="false" ht="15" hidden="false" customHeight="false" outlineLevel="0" collapsed="false">
      <c r="A2153" s="27" t="s">
        <v>116</v>
      </c>
      <c r="B2153" s="27" t="s">
        <v>110</v>
      </c>
      <c r="C2153" s="27" t="s">
        <v>42</v>
      </c>
      <c r="D2153" s="27" t="s">
        <v>43</v>
      </c>
      <c r="E2153" s="28" t="n">
        <f aca="false">ROUND((SUMIFS(Acerto_Detalhado!$F$2:$F$433,Acerto_Detalhado!$A$2:$A$433,$C2153,Acerto_Detalhado!$B$2:$B$433,"Jun",Acerto_Detalhado!$C$2:$C$433,"Umidade"))*(SUMIFS(Acerto_Detalhado!$I$2:$I$433,Acerto_Detalhado!$A$2:$A$433,$D2153,Acerto_Detalhado!$B$2:$B$433,"Jun",Acerto_Detalhado!$C$2:$C$433,"Umidade")),2)</f>
        <v>6960.49</v>
      </c>
    </row>
    <row r="2154" customFormat="false" ht="15" hidden="false" customHeight="false" outlineLevel="0" collapsed="false">
      <c r="A2154" s="27" t="s">
        <v>116</v>
      </c>
      <c r="B2154" s="27" t="s">
        <v>110</v>
      </c>
      <c r="C2154" s="27" t="s">
        <v>42</v>
      </c>
      <c r="D2154" s="27" t="s">
        <v>44</v>
      </c>
      <c r="E2154" s="28" t="n">
        <f aca="false">ROUND((SUMIFS(Acerto_Detalhado!$F$2:$F$433,Acerto_Detalhado!$A$2:$A$433,$C2154,Acerto_Detalhado!$B$2:$B$433,"Jun",Acerto_Detalhado!$C$2:$C$433,"Umidade"))*(SUMIFS(Acerto_Detalhado!$I$2:$I$433,Acerto_Detalhado!$A$2:$A$433,$D2154,Acerto_Detalhado!$B$2:$B$433,"Jun",Acerto_Detalhado!$C$2:$C$433,"Umidade")),2)</f>
        <v>3785.95</v>
      </c>
    </row>
    <row r="2155" customFormat="false" ht="15" hidden="false" customHeight="false" outlineLevel="0" collapsed="false">
      <c r="A2155" s="27" t="s">
        <v>116</v>
      </c>
      <c r="B2155" s="27" t="s">
        <v>110</v>
      </c>
      <c r="C2155" s="27" t="s">
        <v>42</v>
      </c>
      <c r="D2155" s="27" t="s">
        <v>45</v>
      </c>
      <c r="E2155" s="28" t="n">
        <f aca="false">ROUND((SUMIFS(Acerto_Detalhado!$F$2:$F$433,Acerto_Detalhado!$A$2:$A$433,$C2155,Acerto_Detalhado!$B$2:$B$433,"Jun",Acerto_Detalhado!$C$2:$C$433,"Umidade"))*(SUMIFS(Acerto_Detalhado!$I$2:$I$433,Acerto_Detalhado!$A$2:$A$433,$D2155,Acerto_Detalhado!$B$2:$B$433,"Jun",Acerto_Detalhado!$C$2:$C$433,"Umidade")),2)</f>
        <v>0</v>
      </c>
    </row>
    <row r="2156" customFormat="false" ht="15" hidden="false" customHeight="false" outlineLevel="0" collapsed="false">
      <c r="A2156" s="27" t="s">
        <v>116</v>
      </c>
      <c r="B2156" s="27" t="s">
        <v>110</v>
      </c>
      <c r="C2156" s="27" t="s">
        <v>42</v>
      </c>
      <c r="D2156" s="27" t="s">
        <v>46</v>
      </c>
      <c r="E2156" s="28" t="n">
        <f aca="false">ROUND((SUMIFS(Acerto_Detalhado!$F$2:$F$433,Acerto_Detalhado!$A$2:$A$433,$C2156,Acerto_Detalhado!$B$2:$B$433,"Jun",Acerto_Detalhado!$C$2:$C$433,"Umidade"))*(SUMIFS(Acerto_Detalhado!$I$2:$I$433,Acerto_Detalhado!$A$2:$A$433,$D2156,Acerto_Detalhado!$B$2:$B$433,"Jun",Acerto_Detalhado!$C$2:$C$433,"Umidade")),2)</f>
        <v>0</v>
      </c>
    </row>
    <row r="2157" customFormat="false" ht="15" hidden="false" customHeight="false" outlineLevel="0" collapsed="false">
      <c r="A2157" s="27" t="s">
        <v>116</v>
      </c>
      <c r="B2157" s="27" t="s">
        <v>110</v>
      </c>
      <c r="C2157" s="27" t="s">
        <v>42</v>
      </c>
      <c r="D2157" s="27" t="s">
        <v>47</v>
      </c>
      <c r="E2157" s="28" t="n">
        <f aca="false">ROUND((SUMIFS(Acerto_Detalhado!$F$2:$F$433,Acerto_Detalhado!$A$2:$A$433,$C2157,Acerto_Detalhado!$B$2:$B$433,"Jun",Acerto_Detalhado!$C$2:$C$433,"Umidade"))*(SUMIFS(Acerto_Detalhado!$I$2:$I$433,Acerto_Detalhado!$A$2:$A$433,$D2157,Acerto_Detalhado!$B$2:$B$433,"Jun",Acerto_Detalhado!$C$2:$C$433,"Umidade")),2)</f>
        <v>0</v>
      </c>
    </row>
    <row r="2158" customFormat="false" ht="15" hidden="false" customHeight="false" outlineLevel="0" collapsed="false">
      <c r="A2158" s="27" t="s">
        <v>116</v>
      </c>
      <c r="B2158" s="27" t="s">
        <v>110</v>
      </c>
      <c r="C2158" s="27" t="s">
        <v>42</v>
      </c>
      <c r="D2158" s="27" t="s">
        <v>48</v>
      </c>
      <c r="E2158" s="28" t="n">
        <f aca="false">ROUND((SUMIFS(Acerto_Detalhado!$F$2:$F$433,Acerto_Detalhado!$A$2:$A$433,$C2158,Acerto_Detalhado!$B$2:$B$433,"Jun",Acerto_Detalhado!$C$2:$C$433,"Umidade"))*(SUMIFS(Acerto_Detalhado!$I$2:$I$433,Acerto_Detalhado!$A$2:$A$433,$D2158,Acerto_Detalhado!$B$2:$B$433,"Jun",Acerto_Detalhado!$C$2:$C$433,"Umidade")),2)</f>
        <v>0</v>
      </c>
    </row>
    <row r="2159" customFormat="false" ht="15" hidden="false" customHeight="false" outlineLevel="0" collapsed="false">
      <c r="A2159" s="27" t="s">
        <v>116</v>
      </c>
      <c r="B2159" s="27" t="s">
        <v>110</v>
      </c>
      <c r="C2159" s="27" t="s">
        <v>42</v>
      </c>
      <c r="D2159" s="27" t="s">
        <v>49</v>
      </c>
      <c r="E2159" s="28" t="n">
        <f aca="false">ROUND((SUMIFS(Acerto_Detalhado!$F$2:$F$433,Acerto_Detalhado!$A$2:$A$433,$C2159,Acerto_Detalhado!$B$2:$B$433,"Jun",Acerto_Detalhado!$C$2:$C$433,"Umidade"))*(SUMIFS(Acerto_Detalhado!$I$2:$I$433,Acerto_Detalhado!$A$2:$A$433,$D2159,Acerto_Detalhado!$B$2:$B$433,"Jun",Acerto_Detalhado!$C$2:$C$433,"Umidade")),2)</f>
        <v>0</v>
      </c>
    </row>
    <row r="2160" customFormat="false" ht="15" hidden="false" customHeight="false" outlineLevel="0" collapsed="false">
      <c r="A2160" s="27" t="s">
        <v>116</v>
      </c>
      <c r="B2160" s="27" t="s">
        <v>110</v>
      </c>
      <c r="C2160" s="27" t="s">
        <v>42</v>
      </c>
      <c r="D2160" s="27" t="s">
        <v>50</v>
      </c>
      <c r="E2160" s="28" t="n">
        <f aca="false">ROUND((SUMIFS(Acerto_Detalhado!$F$2:$F$433,Acerto_Detalhado!$A$2:$A$433,$C2160,Acerto_Detalhado!$B$2:$B$433,"Jun",Acerto_Detalhado!$C$2:$C$433,"Umidade"))*(SUMIFS(Acerto_Detalhado!$I$2:$I$433,Acerto_Detalhado!$A$2:$A$433,$D2160,Acerto_Detalhado!$B$2:$B$433,"Jun",Acerto_Detalhado!$C$2:$C$433,"Umidade")),2)</f>
        <v>0</v>
      </c>
    </row>
    <row r="2161" customFormat="false" ht="15" hidden="false" customHeight="false" outlineLevel="0" collapsed="false">
      <c r="A2161" s="27" t="s">
        <v>116</v>
      </c>
      <c r="B2161" s="27" t="s">
        <v>110</v>
      </c>
      <c r="C2161" s="27" t="s">
        <v>43</v>
      </c>
      <c r="D2161" s="27" t="s">
        <v>39</v>
      </c>
      <c r="E2161" s="28" t="n">
        <f aca="false">ROUND((SUMIFS(Acerto_Detalhado!$F$2:$F$433,Acerto_Detalhado!$A$2:$A$433,$C2161,Acerto_Detalhado!$B$2:$B$433,"Jun",Acerto_Detalhado!$C$2:$C$433,"Umidade"))*(SUMIFS(Acerto_Detalhado!$I$2:$I$433,Acerto_Detalhado!$A$2:$A$433,$D2161,Acerto_Detalhado!$B$2:$B$433,"Jun",Acerto_Detalhado!$C$2:$C$433,"Umidade")),2)</f>
        <v>0</v>
      </c>
    </row>
    <row r="2162" customFormat="false" ht="15" hidden="false" customHeight="false" outlineLevel="0" collapsed="false">
      <c r="A2162" s="27" t="s">
        <v>116</v>
      </c>
      <c r="B2162" s="27" t="s">
        <v>110</v>
      </c>
      <c r="C2162" s="27" t="s">
        <v>43</v>
      </c>
      <c r="D2162" s="27" t="s">
        <v>40</v>
      </c>
      <c r="E2162" s="28" t="n">
        <f aca="false">ROUND((SUMIFS(Acerto_Detalhado!$F$2:$F$433,Acerto_Detalhado!$A$2:$A$433,$C2162,Acerto_Detalhado!$B$2:$B$433,"Jun",Acerto_Detalhado!$C$2:$C$433,"Umidade"))*(SUMIFS(Acerto_Detalhado!$I$2:$I$433,Acerto_Detalhado!$A$2:$A$433,$D2162,Acerto_Detalhado!$B$2:$B$433,"Jun",Acerto_Detalhado!$C$2:$C$433,"Umidade")),2)</f>
        <v>0</v>
      </c>
    </row>
    <row r="2163" customFormat="false" ht="15" hidden="false" customHeight="false" outlineLevel="0" collapsed="false">
      <c r="A2163" s="27" t="s">
        <v>116</v>
      </c>
      <c r="B2163" s="27" t="s">
        <v>110</v>
      </c>
      <c r="C2163" s="27" t="s">
        <v>43</v>
      </c>
      <c r="D2163" s="27" t="s">
        <v>41</v>
      </c>
      <c r="E2163" s="28" t="n">
        <f aca="false">ROUND((SUMIFS(Acerto_Detalhado!$F$2:$F$433,Acerto_Detalhado!$A$2:$A$433,$C2163,Acerto_Detalhado!$B$2:$B$433,"Jun",Acerto_Detalhado!$C$2:$C$433,"Umidade"))*(SUMIFS(Acerto_Detalhado!$I$2:$I$433,Acerto_Detalhado!$A$2:$A$433,$D2163,Acerto_Detalhado!$B$2:$B$433,"Jun",Acerto_Detalhado!$C$2:$C$433,"Umidade")),2)</f>
        <v>0</v>
      </c>
    </row>
    <row r="2164" customFormat="false" ht="15" hidden="false" customHeight="false" outlineLevel="0" collapsed="false">
      <c r="A2164" s="27" t="s">
        <v>116</v>
      </c>
      <c r="B2164" s="27" t="s">
        <v>110</v>
      </c>
      <c r="C2164" s="27" t="s">
        <v>43</v>
      </c>
      <c r="D2164" s="27" t="s">
        <v>42</v>
      </c>
      <c r="E2164" s="28" t="n">
        <f aca="false">ROUND((SUMIFS(Acerto_Detalhado!$F$2:$F$433,Acerto_Detalhado!$A$2:$A$433,$C2164,Acerto_Detalhado!$B$2:$B$433,"Jun",Acerto_Detalhado!$C$2:$C$433,"Umidade"))*(SUMIFS(Acerto_Detalhado!$I$2:$I$433,Acerto_Detalhado!$A$2:$A$433,$D2164,Acerto_Detalhado!$B$2:$B$433,"Jun",Acerto_Detalhado!$C$2:$C$433,"Umidade")),2)</f>
        <v>0</v>
      </c>
    </row>
    <row r="2165" customFormat="false" ht="15" hidden="false" customHeight="false" outlineLevel="0" collapsed="false">
      <c r="A2165" s="27" t="s">
        <v>116</v>
      </c>
      <c r="B2165" s="27" t="s">
        <v>110</v>
      </c>
      <c r="C2165" s="27" t="s">
        <v>43</v>
      </c>
      <c r="D2165" s="27" t="s">
        <v>44</v>
      </c>
      <c r="E2165" s="28" t="n">
        <f aca="false">ROUND((SUMIFS(Acerto_Detalhado!$F$2:$F$433,Acerto_Detalhado!$A$2:$A$433,$C2165,Acerto_Detalhado!$B$2:$B$433,"Jun",Acerto_Detalhado!$C$2:$C$433,"Umidade"))*(SUMIFS(Acerto_Detalhado!$I$2:$I$433,Acerto_Detalhado!$A$2:$A$433,$D2165,Acerto_Detalhado!$B$2:$B$433,"Jun",Acerto_Detalhado!$C$2:$C$433,"Umidade")),2)</f>
        <v>0</v>
      </c>
    </row>
    <row r="2166" customFormat="false" ht="15" hidden="false" customHeight="false" outlineLevel="0" collapsed="false">
      <c r="A2166" s="27" t="s">
        <v>116</v>
      </c>
      <c r="B2166" s="27" t="s">
        <v>110</v>
      </c>
      <c r="C2166" s="27" t="s">
        <v>43</v>
      </c>
      <c r="D2166" s="27" t="s">
        <v>45</v>
      </c>
      <c r="E2166" s="28" t="n">
        <f aca="false">ROUND((SUMIFS(Acerto_Detalhado!$F$2:$F$433,Acerto_Detalhado!$A$2:$A$433,$C2166,Acerto_Detalhado!$B$2:$B$433,"Jun",Acerto_Detalhado!$C$2:$C$433,"Umidade"))*(SUMIFS(Acerto_Detalhado!$I$2:$I$433,Acerto_Detalhado!$A$2:$A$433,$D2166,Acerto_Detalhado!$B$2:$B$433,"Jun",Acerto_Detalhado!$C$2:$C$433,"Umidade")),2)</f>
        <v>0</v>
      </c>
    </row>
    <row r="2167" customFormat="false" ht="15" hidden="false" customHeight="false" outlineLevel="0" collapsed="false">
      <c r="A2167" s="27" t="s">
        <v>116</v>
      </c>
      <c r="B2167" s="27" t="s">
        <v>110</v>
      </c>
      <c r="C2167" s="27" t="s">
        <v>43</v>
      </c>
      <c r="D2167" s="27" t="s">
        <v>46</v>
      </c>
      <c r="E2167" s="28" t="n">
        <f aca="false">ROUND((SUMIFS(Acerto_Detalhado!$F$2:$F$433,Acerto_Detalhado!$A$2:$A$433,$C2167,Acerto_Detalhado!$B$2:$B$433,"Jun",Acerto_Detalhado!$C$2:$C$433,"Umidade"))*(SUMIFS(Acerto_Detalhado!$I$2:$I$433,Acerto_Detalhado!$A$2:$A$433,$D2167,Acerto_Detalhado!$B$2:$B$433,"Jun",Acerto_Detalhado!$C$2:$C$433,"Umidade")),2)</f>
        <v>0</v>
      </c>
    </row>
    <row r="2168" customFormat="false" ht="15" hidden="false" customHeight="false" outlineLevel="0" collapsed="false">
      <c r="A2168" s="27" t="s">
        <v>116</v>
      </c>
      <c r="B2168" s="27" t="s">
        <v>110</v>
      </c>
      <c r="C2168" s="27" t="s">
        <v>43</v>
      </c>
      <c r="D2168" s="27" t="s">
        <v>47</v>
      </c>
      <c r="E2168" s="28" t="n">
        <f aca="false">ROUND((SUMIFS(Acerto_Detalhado!$F$2:$F$433,Acerto_Detalhado!$A$2:$A$433,$C2168,Acerto_Detalhado!$B$2:$B$433,"Jun",Acerto_Detalhado!$C$2:$C$433,"Umidade"))*(SUMIFS(Acerto_Detalhado!$I$2:$I$433,Acerto_Detalhado!$A$2:$A$433,$D2168,Acerto_Detalhado!$B$2:$B$433,"Jun",Acerto_Detalhado!$C$2:$C$433,"Umidade")),2)</f>
        <v>0</v>
      </c>
    </row>
    <row r="2169" customFormat="false" ht="15" hidden="false" customHeight="false" outlineLevel="0" collapsed="false">
      <c r="A2169" s="27" t="s">
        <v>116</v>
      </c>
      <c r="B2169" s="27" t="s">
        <v>110</v>
      </c>
      <c r="C2169" s="27" t="s">
        <v>43</v>
      </c>
      <c r="D2169" s="27" t="s">
        <v>48</v>
      </c>
      <c r="E2169" s="28" t="n">
        <f aca="false">ROUND((SUMIFS(Acerto_Detalhado!$F$2:$F$433,Acerto_Detalhado!$A$2:$A$433,$C2169,Acerto_Detalhado!$B$2:$B$433,"Jun",Acerto_Detalhado!$C$2:$C$433,"Umidade"))*(SUMIFS(Acerto_Detalhado!$I$2:$I$433,Acerto_Detalhado!$A$2:$A$433,$D2169,Acerto_Detalhado!$B$2:$B$433,"Jun",Acerto_Detalhado!$C$2:$C$433,"Umidade")),2)</f>
        <v>0</v>
      </c>
    </row>
    <row r="2170" customFormat="false" ht="15" hidden="false" customHeight="false" outlineLevel="0" collapsed="false">
      <c r="A2170" s="27" t="s">
        <v>116</v>
      </c>
      <c r="B2170" s="27" t="s">
        <v>110</v>
      </c>
      <c r="C2170" s="27" t="s">
        <v>43</v>
      </c>
      <c r="D2170" s="27" t="s">
        <v>49</v>
      </c>
      <c r="E2170" s="28" t="n">
        <f aca="false">ROUND((SUMIFS(Acerto_Detalhado!$F$2:$F$433,Acerto_Detalhado!$A$2:$A$433,$C2170,Acerto_Detalhado!$B$2:$B$433,"Jun",Acerto_Detalhado!$C$2:$C$433,"Umidade"))*(SUMIFS(Acerto_Detalhado!$I$2:$I$433,Acerto_Detalhado!$A$2:$A$433,$D2170,Acerto_Detalhado!$B$2:$B$433,"Jun",Acerto_Detalhado!$C$2:$C$433,"Umidade")),2)</f>
        <v>0</v>
      </c>
    </row>
    <row r="2171" customFormat="false" ht="15" hidden="false" customHeight="false" outlineLevel="0" collapsed="false">
      <c r="A2171" s="27" t="s">
        <v>116</v>
      </c>
      <c r="B2171" s="27" t="s">
        <v>110</v>
      </c>
      <c r="C2171" s="27" t="s">
        <v>43</v>
      </c>
      <c r="D2171" s="27" t="s">
        <v>50</v>
      </c>
      <c r="E2171" s="28" t="n">
        <f aca="false">ROUND((SUMIFS(Acerto_Detalhado!$F$2:$F$433,Acerto_Detalhado!$A$2:$A$433,$C2171,Acerto_Detalhado!$B$2:$B$433,"Jun",Acerto_Detalhado!$C$2:$C$433,"Umidade"))*(SUMIFS(Acerto_Detalhado!$I$2:$I$433,Acerto_Detalhado!$A$2:$A$433,$D2171,Acerto_Detalhado!$B$2:$B$433,"Jun",Acerto_Detalhado!$C$2:$C$433,"Umidade")),2)</f>
        <v>0</v>
      </c>
    </row>
    <row r="2172" customFormat="false" ht="15" hidden="false" customHeight="false" outlineLevel="0" collapsed="false">
      <c r="A2172" s="27" t="s">
        <v>116</v>
      </c>
      <c r="B2172" s="27" t="s">
        <v>110</v>
      </c>
      <c r="C2172" s="27" t="s">
        <v>44</v>
      </c>
      <c r="D2172" s="27" t="s">
        <v>39</v>
      </c>
      <c r="E2172" s="28" t="n">
        <f aca="false">ROUND((SUMIFS(Acerto_Detalhado!$F$2:$F$433,Acerto_Detalhado!$A$2:$A$433,$C2172,Acerto_Detalhado!$B$2:$B$433,"Jun",Acerto_Detalhado!$C$2:$C$433,"Umidade"))*(SUMIFS(Acerto_Detalhado!$I$2:$I$433,Acerto_Detalhado!$A$2:$A$433,$D2172,Acerto_Detalhado!$B$2:$B$433,"Jun",Acerto_Detalhado!$C$2:$C$433,"Umidade")),2)</f>
        <v>0</v>
      </c>
    </row>
    <row r="2173" customFormat="false" ht="15" hidden="false" customHeight="false" outlineLevel="0" collapsed="false">
      <c r="A2173" s="27" t="s">
        <v>116</v>
      </c>
      <c r="B2173" s="27" t="s">
        <v>110</v>
      </c>
      <c r="C2173" s="27" t="s">
        <v>44</v>
      </c>
      <c r="D2173" s="27" t="s">
        <v>40</v>
      </c>
      <c r="E2173" s="28" t="n">
        <f aca="false">ROUND((SUMIFS(Acerto_Detalhado!$F$2:$F$433,Acerto_Detalhado!$A$2:$A$433,$C2173,Acerto_Detalhado!$B$2:$B$433,"Jun",Acerto_Detalhado!$C$2:$C$433,"Umidade"))*(SUMIFS(Acerto_Detalhado!$I$2:$I$433,Acerto_Detalhado!$A$2:$A$433,$D2173,Acerto_Detalhado!$B$2:$B$433,"Jun",Acerto_Detalhado!$C$2:$C$433,"Umidade")),2)</f>
        <v>0</v>
      </c>
    </row>
    <row r="2174" customFormat="false" ht="15" hidden="false" customHeight="false" outlineLevel="0" collapsed="false">
      <c r="A2174" s="27" t="s">
        <v>116</v>
      </c>
      <c r="B2174" s="27" t="s">
        <v>110</v>
      </c>
      <c r="C2174" s="27" t="s">
        <v>44</v>
      </c>
      <c r="D2174" s="27" t="s">
        <v>41</v>
      </c>
      <c r="E2174" s="28" t="n">
        <f aca="false">ROUND((SUMIFS(Acerto_Detalhado!$F$2:$F$433,Acerto_Detalhado!$A$2:$A$433,$C2174,Acerto_Detalhado!$B$2:$B$433,"Jun",Acerto_Detalhado!$C$2:$C$433,"Umidade"))*(SUMIFS(Acerto_Detalhado!$I$2:$I$433,Acerto_Detalhado!$A$2:$A$433,$D2174,Acerto_Detalhado!$B$2:$B$433,"Jun",Acerto_Detalhado!$C$2:$C$433,"Umidade")),2)</f>
        <v>0</v>
      </c>
    </row>
    <row r="2175" customFormat="false" ht="15" hidden="false" customHeight="false" outlineLevel="0" collapsed="false">
      <c r="A2175" s="27" t="s">
        <v>116</v>
      </c>
      <c r="B2175" s="27" t="s">
        <v>110</v>
      </c>
      <c r="C2175" s="27" t="s">
        <v>44</v>
      </c>
      <c r="D2175" s="27" t="s">
        <v>42</v>
      </c>
      <c r="E2175" s="28" t="n">
        <f aca="false">ROUND((SUMIFS(Acerto_Detalhado!$F$2:$F$433,Acerto_Detalhado!$A$2:$A$433,$C2175,Acerto_Detalhado!$B$2:$B$433,"Jun",Acerto_Detalhado!$C$2:$C$433,"Umidade"))*(SUMIFS(Acerto_Detalhado!$I$2:$I$433,Acerto_Detalhado!$A$2:$A$433,$D2175,Acerto_Detalhado!$B$2:$B$433,"Jun",Acerto_Detalhado!$C$2:$C$433,"Umidade")),2)</f>
        <v>0</v>
      </c>
    </row>
    <row r="2176" customFormat="false" ht="15" hidden="false" customHeight="false" outlineLevel="0" collapsed="false">
      <c r="A2176" s="27" t="s">
        <v>116</v>
      </c>
      <c r="B2176" s="27" t="s">
        <v>110</v>
      </c>
      <c r="C2176" s="27" t="s">
        <v>44</v>
      </c>
      <c r="D2176" s="27" t="s">
        <v>43</v>
      </c>
      <c r="E2176" s="28" t="n">
        <f aca="false">ROUND((SUMIFS(Acerto_Detalhado!$F$2:$F$433,Acerto_Detalhado!$A$2:$A$433,$C2176,Acerto_Detalhado!$B$2:$B$433,"Jun",Acerto_Detalhado!$C$2:$C$433,"Umidade"))*(SUMIFS(Acerto_Detalhado!$I$2:$I$433,Acerto_Detalhado!$A$2:$A$433,$D2176,Acerto_Detalhado!$B$2:$B$433,"Jun",Acerto_Detalhado!$C$2:$C$433,"Umidade")),2)</f>
        <v>0</v>
      </c>
    </row>
    <row r="2177" customFormat="false" ht="15" hidden="false" customHeight="false" outlineLevel="0" collapsed="false">
      <c r="A2177" s="27" t="s">
        <v>116</v>
      </c>
      <c r="B2177" s="27" t="s">
        <v>110</v>
      </c>
      <c r="C2177" s="27" t="s">
        <v>44</v>
      </c>
      <c r="D2177" s="27" t="s">
        <v>45</v>
      </c>
      <c r="E2177" s="28" t="n">
        <f aca="false">ROUND((SUMIFS(Acerto_Detalhado!$F$2:$F$433,Acerto_Detalhado!$A$2:$A$433,$C2177,Acerto_Detalhado!$B$2:$B$433,"Jun",Acerto_Detalhado!$C$2:$C$433,"Umidade"))*(SUMIFS(Acerto_Detalhado!$I$2:$I$433,Acerto_Detalhado!$A$2:$A$433,$D2177,Acerto_Detalhado!$B$2:$B$433,"Jun",Acerto_Detalhado!$C$2:$C$433,"Umidade")),2)</f>
        <v>0</v>
      </c>
    </row>
    <row r="2178" customFormat="false" ht="15" hidden="false" customHeight="false" outlineLevel="0" collapsed="false">
      <c r="A2178" s="27" t="s">
        <v>116</v>
      </c>
      <c r="B2178" s="27" t="s">
        <v>110</v>
      </c>
      <c r="C2178" s="27" t="s">
        <v>44</v>
      </c>
      <c r="D2178" s="27" t="s">
        <v>46</v>
      </c>
      <c r="E2178" s="28" t="n">
        <f aca="false">ROUND((SUMIFS(Acerto_Detalhado!$F$2:$F$433,Acerto_Detalhado!$A$2:$A$433,$C2178,Acerto_Detalhado!$B$2:$B$433,"Jun",Acerto_Detalhado!$C$2:$C$433,"Umidade"))*(SUMIFS(Acerto_Detalhado!$I$2:$I$433,Acerto_Detalhado!$A$2:$A$433,$D2178,Acerto_Detalhado!$B$2:$B$433,"Jun",Acerto_Detalhado!$C$2:$C$433,"Umidade")),2)</f>
        <v>0</v>
      </c>
    </row>
    <row r="2179" customFormat="false" ht="15" hidden="false" customHeight="false" outlineLevel="0" collapsed="false">
      <c r="A2179" s="27" t="s">
        <v>116</v>
      </c>
      <c r="B2179" s="27" t="s">
        <v>110</v>
      </c>
      <c r="C2179" s="27" t="s">
        <v>44</v>
      </c>
      <c r="D2179" s="27" t="s">
        <v>47</v>
      </c>
      <c r="E2179" s="28" t="n">
        <f aca="false">ROUND((SUMIFS(Acerto_Detalhado!$F$2:$F$433,Acerto_Detalhado!$A$2:$A$433,$C2179,Acerto_Detalhado!$B$2:$B$433,"Jun",Acerto_Detalhado!$C$2:$C$433,"Umidade"))*(SUMIFS(Acerto_Detalhado!$I$2:$I$433,Acerto_Detalhado!$A$2:$A$433,$D2179,Acerto_Detalhado!$B$2:$B$433,"Jun",Acerto_Detalhado!$C$2:$C$433,"Umidade")),2)</f>
        <v>0</v>
      </c>
    </row>
    <row r="2180" customFormat="false" ht="15" hidden="false" customHeight="false" outlineLevel="0" collapsed="false">
      <c r="A2180" s="27" t="s">
        <v>116</v>
      </c>
      <c r="B2180" s="27" t="s">
        <v>110</v>
      </c>
      <c r="C2180" s="27" t="s">
        <v>44</v>
      </c>
      <c r="D2180" s="27" t="s">
        <v>48</v>
      </c>
      <c r="E2180" s="28" t="n">
        <f aca="false">ROUND((SUMIFS(Acerto_Detalhado!$F$2:$F$433,Acerto_Detalhado!$A$2:$A$433,$C2180,Acerto_Detalhado!$B$2:$B$433,"Jun",Acerto_Detalhado!$C$2:$C$433,"Umidade"))*(SUMIFS(Acerto_Detalhado!$I$2:$I$433,Acerto_Detalhado!$A$2:$A$433,$D2180,Acerto_Detalhado!$B$2:$B$433,"Jun",Acerto_Detalhado!$C$2:$C$433,"Umidade")),2)</f>
        <v>0</v>
      </c>
    </row>
    <row r="2181" customFormat="false" ht="15" hidden="false" customHeight="false" outlineLevel="0" collapsed="false">
      <c r="A2181" s="27" t="s">
        <v>116</v>
      </c>
      <c r="B2181" s="27" t="s">
        <v>110</v>
      </c>
      <c r="C2181" s="27" t="s">
        <v>44</v>
      </c>
      <c r="D2181" s="27" t="s">
        <v>49</v>
      </c>
      <c r="E2181" s="28" t="n">
        <f aca="false">ROUND((SUMIFS(Acerto_Detalhado!$F$2:$F$433,Acerto_Detalhado!$A$2:$A$433,$C2181,Acerto_Detalhado!$B$2:$B$433,"Jun",Acerto_Detalhado!$C$2:$C$433,"Umidade"))*(SUMIFS(Acerto_Detalhado!$I$2:$I$433,Acerto_Detalhado!$A$2:$A$433,$D2181,Acerto_Detalhado!$B$2:$B$433,"Jun",Acerto_Detalhado!$C$2:$C$433,"Umidade")),2)</f>
        <v>0</v>
      </c>
    </row>
    <row r="2182" customFormat="false" ht="15" hidden="false" customHeight="false" outlineLevel="0" collapsed="false">
      <c r="A2182" s="27" t="s">
        <v>116</v>
      </c>
      <c r="B2182" s="27" t="s">
        <v>110</v>
      </c>
      <c r="C2182" s="27" t="s">
        <v>44</v>
      </c>
      <c r="D2182" s="27" t="s">
        <v>50</v>
      </c>
      <c r="E2182" s="28" t="n">
        <f aca="false">ROUND((SUMIFS(Acerto_Detalhado!$F$2:$F$433,Acerto_Detalhado!$A$2:$A$433,$C2182,Acerto_Detalhado!$B$2:$B$433,"Jun",Acerto_Detalhado!$C$2:$C$433,"Umidade"))*(SUMIFS(Acerto_Detalhado!$I$2:$I$433,Acerto_Detalhado!$A$2:$A$433,$D2182,Acerto_Detalhado!$B$2:$B$433,"Jun",Acerto_Detalhado!$C$2:$C$433,"Umidade")),2)</f>
        <v>0</v>
      </c>
    </row>
    <row r="2183" customFormat="false" ht="15" hidden="false" customHeight="false" outlineLevel="0" collapsed="false">
      <c r="A2183" s="27" t="s">
        <v>116</v>
      </c>
      <c r="B2183" s="27" t="s">
        <v>110</v>
      </c>
      <c r="C2183" s="27" t="s">
        <v>45</v>
      </c>
      <c r="D2183" s="27" t="s">
        <v>39</v>
      </c>
      <c r="E2183" s="28" t="n">
        <f aca="false">ROUND((SUMIFS(Acerto_Detalhado!$F$2:$F$433,Acerto_Detalhado!$A$2:$A$433,$C2183,Acerto_Detalhado!$B$2:$B$433,"Jun",Acerto_Detalhado!$C$2:$C$433,"Umidade"))*(SUMIFS(Acerto_Detalhado!$I$2:$I$433,Acerto_Detalhado!$A$2:$A$433,$D2183,Acerto_Detalhado!$B$2:$B$433,"Jun",Acerto_Detalhado!$C$2:$C$433,"Umidade")),2)</f>
        <v>1242.19</v>
      </c>
    </row>
    <row r="2184" customFormat="false" ht="15" hidden="false" customHeight="false" outlineLevel="0" collapsed="false">
      <c r="A2184" s="27" t="s">
        <v>116</v>
      </c>
      <c r="B2184" s="27" t="s">
        <v>110</v>
      </c>
      <c r="C2184" s="27" t="s">
        <v>45</v>
      </c>
      <c r="D2184" s="27" t="s">
        <v>40</v>
      </c>
      <c r="E2184" s="28" t="n">
        <f aca="false">ROUND((SUMIFS(Acerto_Detalhado!$F$2:$F$433,Acerto_Detalhado!$A$2:$A$433,$C2184,Acerto_Detalhado!$B$2:$B$433,"Jun",Acerto_Detalhado!$C$2:$C$433,"Umidade"))*(SUMIFS(Acerto_Detalhado!$I$2:$I$433,Acerto_Detalhado!$A$2:$A$433,$D2184,Acerto_Detalhado!$B$2:$B$433,"Jun",Acerto_Detalhado!$C$2:$C$433,"Umidade")),2)</f>
        <v>1352.33</v>
      </c>
    </row>
    <row r="2185" customFormat="false" ht="15" hidden="false" customHeight="false" outlineLevel="0" collapsed="false">
      <c r="A2185" s="27" t="s">
        <v>116</v>
      </c>
      <c r="B2185" s="27" t="s">
        <v>110</v>
      </c>
      <c r="C2185" s="27" t="s">
        <v>45</v>
      </c>
      <c r="D2185" s="27" t="s">
        <v>41</v>
      </c>
      <c r="E2185" s="28" t="n">
        <f aca="false">ROUND((SUMIFS(Acerto_Detalhado!$F$2:$F$433,Acerto_Detalhado!$A$2:$A$433,$C2185,Acerto_Detalhado!$B$2:$B$433,"Jun",Acerto_Detalhado!$C$2:$C$433,"Umidade"))*(SUMIFS(Acerto_Detalhado!$I$2:$I$433,Acerto_Detalhado!$A$2:$A$433,$D2185,Acerto_Detalhado!$B$2:$B$433,"Jun",Acerto_Detalhado!$C$2:$C$433,"Umidade")),2)</f>
        <v>0</v>
      </c>
    </row>
    <row r="2186" customFormat="false" ht="15" hidden="false" customHeight="false" outlineLevel="0" collapsed="false">
      <c r="A2186" s="27" t="s">
        <v>116</v>
      </c>
      <c r="B2186" s="27" t="s">
        <v>110</v>
      </c>
      <c r="C2186" s="27" t="s">
        <v>45</v>
      </c>
      <c r="D2186" s="27" t="s">
        <v>42</v>
      </c>
      <c r="E2186" s="28" t="n">
        <f aca="false">ROUND((SUMIFS(Acerto_Detalhado!$F$2:$F$433,Acerto_Detalhado!$A$2:$A$433,$C2186,Acerto_Detalhado!$B$2:$B$433,"Jun",Acerto_Detalhado!$C$2:$C$433,"Umidade"))*(SUMIFS(Acerto_Detalhado!$I$2:$I$433,Acerto_Detalhado!$A$2:$A$433,$D2186,Acerto_Detalhado!$B$2:$B$433,"Jun",Acerto_Detalhado!$C$2:$C$433,"Umidade")),2)</f>
        <v>0</v>
      </c>
    </row>
    <row r="2187" customFormat="false" ht="15" hidden="false" customHeight="false" outlineLevel="0" collapsed="false">
      <c r="A2187" s="27" t="s">
        <v>116</v>
      </c>
      <c r="B2187" s="27" t="s">
        <v>110</v>
      </c>
      <c r="C2187" s="27" t="s">
        <v>45</v>
      </c>
      <c r="D2187" s="27" t="s">
        <v>43</v>
      </c>
      <c r="E2187" s="28" t="n">
        <f aca="false">ROUND((SUMIFS(Acerto_Detalhado!$F$2:$F$433,Acerto_Detalhado!$A$2:$A$433,$C2187,Acerto_Detalhado!$B$2:$B$433,"Jun",Acerto_Detalhado!$C$2:$C$433,"Umidade"))*(SUMIFS(Acerto_Detalhado!$I$2:$I$433,Acerto_Detalhado!$A$2:$A$433,$D2187,Acerto_Detalhado!$B$2:$B$433,"Jun",Acerto_Detalhado!$C$2:$C$433,"Umidade")),2)</f>
        <v>2845.93</v>
      </c>
    </row>
    <row r="2188" customFormat="false" ht="15" hidden="false" customHeight="false" outlineLevel="0" collapsed="false">
      <c r="A2188" s="27" t="s">
        <v>116</v>
      </c>
      <c r="B2188" s="27" t="s">
        <v>110</v>
      </c>
      <c r="C2188" s="27" t="s">
        <v>45</v>
      </c>
      <c r="D2188" s="27" t="s">
        <v>44</v>
      </c>
      <c r="E2188" s="28" t="n">
        <f aca="false">ROUND((SUMIFS(Acerto_Detalhado!$F$2:$F$433,Acerto_Detalhado!$A$2:$A$433,$C2188,Acerto_Detalhado!$B$2:$B$433,"Jun",Acerto_Detalhado!$C$2:$C$433,"Umidade"))*(SUMIFS(Acerto_Detalhado!$I$2:$I$433,Acerto_Detalhado!$A$2:$A$433,$D2188,Acerto_Detalhado!$B$2:$B$433,"Jun",Acerto_Detalhado!$C$2:$C$433,"Umidade")),2)</f>
        <v>1547.96</v>
      </c>
    </row>
    <row r="2189" customFormat="false" ht="15" hidden="false" customHeight="false" outlineLevel="0" collapsed="false">
      <c r="A2189" s="27" t="s">
        <v>116</v>
      </c>
      <c r="B2189" s="27" t="s">
        <v>110</v>
      </c>
      <c r="C2189" s="27" t="s">
        <v>45</v>
      </c>
      <c r="D2189" s="27" t="s">
        <v>46</v>
      </c>
      <c r="E2189" s="28" t="n">
        <f aca="false">ROUND((SUMIFS(Acerto_Detalhado!$F$2:$F$433,Acerto_Detalhado!$A$2:$A$433,$C2189,Acerto_Detalhado!$B$2:$B$433,"Jun",Acerto_Detalhado!$C$2:$C$433,"Umidade"))*(SUMIFS(Acerto_Detalhado!$I$2:$I$433,Acerto_Detalhado!$A$2:$A$433,$D2189,Acerto_Detalhado!$B$2:$B$433,"Jun",Acerto_Detalhado!$C$2:$C$433,"Umidade")),2)</f>
        <v>0</v>
      </c>
    </row>
    <row r="2190" customFormat="false" ht="15" hidden="false" customHeight="false" outlineLevel="0" collapsed="false">
      <c r="A2190" s="27" t="s">
        <v>116</v>
      </c>
      <c r="B2190" s="27" t="s">
        <v>110</v>
      </c>
      <c r="C2190" s="27" t="s">
        <v>45</v>
      </c>
      <c r="D2190" s="27" t="s">
        <v>47</v>
      </c>
      <c r="E2190" s="28" t="n">
        <f aca="false">ROUND((SUMIFS(Acerto_Detalhado!$F$2:$F$433,Acerto_Detalhado!$A$2:$A$433,$C2190,Acerto_Detalhado!$B$2:$B$433,"Jun",Acerto_Detalhado!$C$2:$C$433,"Umidade"))*(SUMIFS(Acerto_Detalhado!$I$2:$I$433,Acerto_Detalhado!$A$2:$A$433,$D2190,Acerto_Detalhado!$B$2:$B$433,"Jun",Acerto_Detalhado!$C$2:$C$433,"Umidade")),2)</f>
        <v>0</v>
      </c>
    </row>
    <row r="2191" customFormat="false" ht="15" hidden="false" customHeight="false" outlineLevel="0" collapsed="false">
      <c r="A2191" s="27" t="s">
        <v>116</v>
      </c>
      <c r="B2191" s="27" t="s">
        <v>110</v>
      </c>
      <c r="C2191" s="27" t="s">
        <v>45</v>
      </c>
      <c r="D2191" s="27" t="s">
        <v>48</v>
      </c>
      <c r="E2191" s="28" t="n">
        <f aca="false">ROUND((SUMIFS(Acerto_Detalhado!$F$2:$F$433,Acerto_Detalhado!$A$2:$A$433,$C2191,Acerto_Detalhado!$B$2:$B$433,"Jun",Acerto_Detalhado!$C$2:$C$433,"Umidade"))*(SUMIFS(Acerto_Detalhado!$I$2:$I$433,Acerto_Detalhado!$A$2:$A$433,$D2191,Acerto_Detalhado!$B$2:$B$433,"Jun",Acerto_Detalhado!$C$2:$C$433,"Umidade")),2)</f>
        <v>0</v>
      </c>
    </row>
    <row r="2192" customFormat="false" ht="15" hidden="false" customHeight="false" outlineLevel="0" collapsed="false">
      <c r="A2192" s="27" t="s">
        <v>116</v>
      </c>
      <c r="B2192" s="27" t="s">
        <v>110</v>
      </c>
      <c r="C2192" s="27" t="s">
        <v>45</v>
      </c>
      <c r="D2192" s="27" t="s">
        <v>49</v>
      </c>
      <c r="E2192" s="28" t="n">
        <f aca="false">ROUND((SUMIFS(Acerto_Detalhado!$F$2:$F$433,Acerto_Detalhado!$A$2:$A$433,$C2192,Acerto_Detalhado!$B$2:$B$433,"Jun",Acerto_Detalhado!$C$2:$C$433,"Umidade"))*(SUMIFS(Acerto_Detalhado!$I$2:$I$433,Acerto_Detalhado!$A$2:$A$433,$D2192,Acerto_Detalhado!$B$2:$B$433,"Jun",Acerto_Detalhado!$C$2:$C$433,"Umidade")),2)</f>
        <v>0</v>
      </c>
    </row>
    <row r="2193" customFormat="false" ht="15" hidden="false" customHeight="false" outlineLevel="0" collapsed="false">
      <c r="A2193" s="27" t="s">
        <v>116</v>
      </c>
      <c r="B2193" s="27" t="s">
        <v>110</v>
      </c>
      <c r="C2193" s="27" t="s">
        <v>45</v>
      </c>
      <c r="D2193" s="27" t="s">
        <v>50</v>
      </c>
      <c r="E2193" s="28" t="n">
        <f aca="false">ROUND((SUMIFS(Acerto_Detalhado!$F$2:$F$433,Acerto_Detalhado!$A$2:$A$433,$C2193,Acerto_Detalhado!$B$2:$B$433,"Jun",Acerto_Detalhado!$C$2:$C$433,"Umidade"))*(SUMIFS(Acerto_Detalhado!$I$2:$I$433,Acerto_Detalhado!$A$2:$A$433,$D2193,Acerto_Detalhado!$B$2:$B$433,"Jun",Acerto_Detalhado!$C$2:$C$433,"Umidade")),2)</f>
        <v>0</v>
      </c>
    </row>
    <row r="2194" customFormat="false" ht="15" hidden="false" customHeight="false" outlineLevel="0" collapsed="false">
      <c r="A2194" s="27" t="s">
        <v>116</v>
      </c>
      <c r="B2194" s="27" t="s">
        <v>110</v>
      </c>
      <c r="C2194" s="27" t="s">
        <v>46</v>
      </c>
      <c r="D2194" s="27" t="s">
        <v>39</v>
      </c>
      <c r="E2194" s="28" t="n">
        <f aca="false">ROUND((SUMIFS(Acerto_Detalhado!$F$2:$F$433,Acerto_Detalhado!$A$2:$A$433,$C2194,Acerto_Detalhado!$B$2:$B$433,"Jun",Acerto_Detalhado!$C$2:$C$433,"Umidade"))*(SUMIFS(Acerto_Detalhado!$I$2:$I$433,Acerto_Detalhado!$A$2:$A$433,$D2194,Acerto_Detalhado!$B$2:$B$433,"Jun",Acerto_Detalhado!$C$2:$C$433,"Umidade")),2)</f>
        <v>0</v>
      </c>
    </row>
    <row r="2195" customFormat="false" ht="15" hidden="false" customHeight="false" outlineLevel="0" collapsed="false">
      <c r="A2195" s="27" t="s">
        <v>116</v>
      </c>
      <c r="B2195" s="27" t="s">
        <v>110</v>
      </c>
      <c r="C2195" s="27" t="s">
        <v>46</v>
      </c>
      <c r="D2195" s="27" t="s">
        <v>40</v>
      </c>
      <c r="E2195" s="28" t="n">
        <f aca="false">ROUND((SUMIFS(Acerto_Detalhado!$F$2:$F$433,Acerto_Detalhado!$A$2:$A$433,$C2195,Acerto_Detalhado!$B$2:$B$433,"Jun",Acerto_Detalhado!$C$2:$C$433,"Umidade"))*(SUMIFS(Acerto_Detalhado!$I$2:$I$433,Acerto_Detalhado!$A$2:$A$433,$D2195,Acerto_Detalhado!$B$2:$B$433,"Jun",Acerto_Detalhado!$C$2:$C$433,"Umidade")),2)</f>
        <v>0</v>
      </c>
    </row>
    <row r="2196" customFormat="false" ht="15" hidden="false" customHeight="false" outlineLevel="0" collapsed="false">
      <c r="A2196" s="27" t="s">
        <v>116</v>
      </c>
      <c r="B2196" s="27" t="s">
        <v>110</v>
      </c>
      <c r="C2196" s="27" t="s">
        <v>46</v>
      </c>
      <c r="D2196" s="27" t="s">
        <v>41</v>
      </c>
      <c r="E2196" s="28" t="n">
        <f aca="false">ROUND((SUMIFS(Acerto_Detalhado!$F$2:$F$433,Acerto_Detalhado!$A$2:$A$433,$C2196,Acerto_Detalhado!$B$2:$B$433,"Jun",Acerto_Detalhado!$C$2:$C$433,"Umidade"))*(SUMIFS(Acerto_Detalhado!$I$2:$I$433,Acerto_Detalhado!$A$2:$A$433,$D2196,Acerto_Detalhado!$B$2:$B$433,"Jun",Acerto_Detalhado!$C$2:$C$433,"Umidade")),2)</f>
        <v>0</v>
      </c>
    </row>
    <row r="2197" customFormat="false" ht="15" hidden="false" customHeight="false" outlineLevel="0" collapsed="false">
      <c r="A2197" s="27" t="s">
        <v>116</v>
      </c>
      <c r="B2197" s="27" t="s">
        <v>110</v>
      </c>
      <c r="C2197" s="27" t="s">
        <v>46</v>
      </c>
      <c r="D2197" s="27" t="s">
        <v>42</v>
      </c>
      <c r="E2197" s="28" t="n">
        <f aca="false">ROUND((SUMIFS(Acerto_Detalhado!$F$2:$F$433,Acerto_Detalhado!$A$2:$A$433,$C2197,Acerto_Detalhado!$B$2:$B$433,"Jun",Acerto_Detalhado!$C$2:$C$433,"Umidade"))*(SUMIFS(Acerto_Detalhado!$I$2:$I$433,Acerto_Detalhado!$A$2:$A$433,$D2197,Acerto_Detalhado!$B$2:$B$433,"Jun",Acerto_Detalhado!$C$2:$C$433,"Umidade")),2)</f>
        <v>0</v>
      </c>
    </row>
    <row r="2198" customFormat="false" ht="15" hidden="false" customHeight="false" outlineLevel="0" collapsed="false">
      <c r="A2198" s="27" t="s">
        <v>116</v>
      </c>
      <c r="B2198" s="27" t="s">
        <v>110</v>
      </c>
      <c r="C2198" s="27" t="s">
        <v>46</v>
      </c>
      <c r="D2198" s="27" t="s">
        <v>43</v>
      </c>
      <c r="E2198" s="28" t="n">
        <f aca="false">ROUND((SUMIFS(Acerto_Detalhado!$F$2:$F$433,Acerto_Detalhado!$A$2:$A$433,$C2198,Acerto_Detalhado!$B$2:$B$433,"Jun",Acerto_Detalhado!$C$2:$C$433,"Umidade"))*(SUMIFS(Acerto_Detalhado!$I$2:$I$433,Acerto_Detalhado!$A$2:$A$433,$D2198,Acerto_Detalhado!$B$2:$B$433,"Jun",Acerto_Detalhado!$C$2:$C$433,"Umidade")),2)</f>
        <v>0</v>
      </c>
    </row>
    <row r="2199" customFormat="false" ht="15" hidden="false" customHeight="false" outlineLevel="0" collapsed="false">
      <c r="A2199" s="27" t="s">
        <v>116</v>
      </c>
      <c r="B2199" s="27" t="s">
        <v>110</v>
      </c>
      <c r="C2199" s="27" t="s">
        <v>46</v>
      </c>
      <c r="D2199" s="27" t="s">
        <v>44</v>
      </c>
      <c r="E2199" s="28" t="n">
        <f aca="false">ROUND((SUMIFS(Acerto_Detalhado!$F$2:$F$433,Acerto_Detalhado!$A$2:$A$433,$C2199,Acerto_Detalhado!$B$2:$B$433,"Jun",Acerto_Detalhado!$C$2:$C$433,"Umidade"))*(SUMIFS(Acerto_Detalhado!$I$2:$I$433,Acerto_Detalhado!$A$2:$A$433,$D2199,Acerto_Detalhado!$B$2:$B$433,"Jun",Acerto_Detalhado!$C$2:$C$433,"Umidade")),2)</f>
        <v>0</v>
      </c>
    </row>
    <row r="2200" customFormat="false" ht="15" hidden="false" customHeight="false" outlineLevel="0" collapsed="false">
      <c r="A2200" s="27" t="s">
        <v>116</v>
      </c>
      <c r="B2200" s="27" t="s">
        <v>110</v>
      </c>
      <c r="C2200" s="27" t="s">
        <v>46</v>
      </c>
      <c r="D2200" s="27" t="s">
        <v>45</v>
      </c>
      <c r="E2200" s="28" t="n">
        <f aca="false">ROUND((SUMIFS(Acerto_Detalhado!$F$2:$F$433,Acerto_Detalhado!$A$2:$A$433,$C2200,Acerto_Detalhado!$B$2:$B$433,"Jun",Acerto_Detalhado!$C$2:$C$433,"Umidade"))*(SUMIFS(Acerto_Detalhado!$I$2:$I$433,Acerto_Detalhado!$A$2:$A$433,$D2200,Acerto_Detalhado!$B$2:$B$433,"Jun",Acerto_Detalhado!$C$2:$C$433,"Umidade")),2)</f>
        <v>0</v>
      </c>
    </row>
    <row r="2201" customFormat="false" ht="15" hidden="false" customHeight="false" outlineLevel="0" collapsed="false">
      <c r="A2201" s="27" t="s">
        <v>116</v>
      </c>
      <c r="B2201" s="27" t="s">
        <v>110</v>
      </c>
      <c r="C2201" s="27" t="s">
        <v>46</v>
      </c>
      <c r="D2201" s="27" t="s">
        <v>47</v>
      </c>
      <c r="E2201" s="28" t="n">
        <f aca="false">ROUND((SUMIFS(Acerto_Detalhado!$F$2:$F$433,Acerto_Detalhado!$A$2:$A$433,$C2201,Acerto_Detalhado!$B$2:$B$433,"Jun",Acerto_Detalhado!$C$2:$C$433,"Umidade"))*(SUMIFS(Acerto_Detalhado!$I$2:$I$433,Acerto_Detalhado!$A$2:$A$433,$D2201,Acerto_Detalhado!$B$2:$B$433,"Jun",Acerto_Detalhado!$C$2:$C$433,"Umidade")),2)</f>
        <v>0</v>
      </c>
    </row>
    <row r="2202" customFormat="false" ht="15" hidden="false" customHeight="false" outlineLevel="0" collapsed="false">
      <c r="A2202" s="27" t="s">
        <v>116</v>
      </c>
      <c r="B2202" s="27" t="s">
        <v>110</v>
      </c>
      <c r="C2202" s="27" t="s">
        <v>46</v>
      </c>
      <c r="D2202" s="27" t="s">
        <v>48</v>
      </c>
      <c r="E2202" s="28" t="n">
        <f aca="false">ROUND((SUMIFS(Acerto_Detalhado!$F$2:$F$433,Acerto_Detalhado!$A$2:$A$433,$C2202,Acerto_Detalhado!$B$2:$B$433,"Jun",Acerto_Detalhado!$C$2:$C$433,"Umidade"))*(SUMIFS(Acerto_Detalhado!$I$2:$I$433,Acerto_Detalhado!$A$2:$A$433,$D2202,Acerto_Detalhado!$B$2:$B$433,"Jun",Acerto_Detalhado!$C$2:$C$433,"Umidade")),2)</f>
        <v>0</v>
      </c>
    </row>
    <row r="2203" customFormat="false" ht="15" hidden="false" customHeight="false" outlineLevel="0" collapsed="false">
      <c r="A2203" s="27" t="s">
        <v>116</v>
      </c>
      <c r="B2203" s="27" t="s">
        <v>110</v>
      </c>
      <c r="C2203" s="27" t="s">
        <v>46</v>
      </c>
      <c r="D2203" s="27" t="s">
        <v>49</v>
      </c>
      <c r="E2203" s="28" t="n">
        <f aca="false">ROUND((SUMIFS(Acerto_Detalhado!$F$2:$F$433,Acerto_Detalhado!$A$2:$A$433,$C2203,Acerto_Detalhado!$B$2:$B$433,"Jun",Acerto_Detalhado!$C$2:$C$433,"Umidade"))*(SUMIFS(Acerto_Detalhado!$I$2:$I$433,Acerto_Detalhado!$A$2:$A$433,$D2203,Acerto_Detalhado!$B$2:$B$433,"Jun",Acerto_Detalhado!$C$2:$C$433,"Umidade")),2)</f>
        <v>0</v>
      </c>
    </row>
    <row r="2204" customFormat="false" ht="15" hidden="false" customHeight="false" outlineLevel="0" collapsed="false">
      <c r="A2204" s="27" t="s">
        <v>116</v>
      </c>
      <c r="B2204" s="27" t="s">
        <v>110</v>
      </c>
      <c r="C2204" s="27" t="s">
        <v>46</v>
      </c>
      <c r="D2204" s="27" t="s">
        <v>50</v>
      </c>
      <c r="E2204" s="28" t="n">
        <f aca="false">ROUND((SUMIFS(Acerto_Detalhado!$F$2:$F$433,Acerto_Detalhado!$A$2:$A$433,$C2204,Acerto_Detalhado!$B$2:$B$433,"Jun",Acerto_Detalhado!$C$2:$C$433,"Umidade"))*(SUMIFS(Acerto_Detalhado!$I$2:$I$433,Acerto_Detalhado!$A$2:$A$433,$D2204,Acerto_Detalhado!$B$2:$B$433,"Jun",Acerto_Detalhado!$C$2:$C$433,"Umidade")),2)</f>
        <v>0</v>
      </c>
    </row>
    <row r="2205" customFormat="false" ht="15" hidden="false" customHeight="false" outlineLevel="0" collapsed="false">
      <c r="A2205" s="27" t="s">
        <v>116</v>
      </c>
      <c r="B2205" s="27" t="s">
        <v>110</v>
      </c>
      <c r="C2205" s="27" t="s">
        <v>47</v>
      </c>
      <c r="D2205" s="27" t="s">
        <v>39</v>
      </c>
      <c r="E2205" s="28" t="n">
        <f aca="false">ROUND((SUMIFS(Acerto_Detalhado!$F$2:$F$433,Acerto_Detalhado!$A$2:$A$433,$C2205,Acerto_Detalhado!$B$2:$B$433,"Jun",Acerto_Detalhado!$C$2:$C$433,"Umidade"))*(SUMIFS(Acerto_Detalhado!$I$2:$I$433,Acerto_Detalhado!$A$2:$A$433,$D2205,Acerto_Detalhado!$B$2:$B$433,"Jun",Acerto_Detalhado!$C$2:$C$433,"Umidade")),2)</f>
        <v>0</v>
      </c>
    </row>
    <row r="2206" customFormat="false" ht="15" hidden="false" customHeight="false" outlineLevel="0" collapsed="false">
      <c r="A2206" s="27" t="s">
        <v>116</v>
      </c>
      <c r="B2206" s="27" t="s">
        <v>110</v>
      </c>
      <c r="C2206" s="27" t="s">
        <v>47</v>
      </c>
      <c r="D2206" s="27" t="s">
        <v>40</v>
      </c>
      <c r="E2206" s="28" t="n">
        <f aca="false">ROUND((SUMIFS(Acerto_Detalhado!$F$2:$F$433,Acerto_Detalhado!$A$2:$A$433,$C2206,Acerto_Detalhado!$B$2:$B$433,"Jun",Acerto_Detalhado!$C$2:$C$433,"Umidade"))*(SUMIFS(Acerto_Detalhado!$I$2:$I$433,Acerto_Detalhado!$A$2:$A$433,$D2206,Acerto_Detalhado!$B$2:$B$433,"Jun",Acerto_Detalhado!$C$2:$C$433,"Umidade")),2)</f>
        <v>0</v>
      </c>
    </row>
    <row r="2207" customFormat="false" ht="15" hidden="false" customHeight="false" outlineLevel="0" collapsed="false">
      <c r="A2207" s="27" t="s">
        <v>116</v>
      </c>
      <c r="B2207" s="27" t="s">
        <v>110</v>
      </c>
      <c r="C2207" s="27" t="s">
        <v>47</v>
      </c>
      <c r="D2207" s="27" t="s">
        <v>41</v>
      </c>
      <c r="E2207" s="28" t="n">
        <f aca="false">ROUND((SUMIFS(Acerto_Detalhado!$F$2:$F$433,Acerto_Detalhado!$A$2:$A$433,$C2207,Acerto_Detalhado!$B$2:$B$433,"Jun",Acerto_Detalhado!$C$2:$C$433,"Umidade"))*(SUMIFS(Acerto_Detalhado!$I$2:$I$433,Acerto_Detalhado!$A$2:$A$433,$D2207,Acerto_Detalhado!$B$2:$B$433,"Jun",Acerto_Detalhado!$C$2:$C$433,"Umidade")),2)</f>
        <v>0</v>
      </c>
    </row>
    <row r="2208" customFormat="false" ht="15" hidden="false" customHeight="false" outlineLevel="0" collapsed="false">
      <c r="A2208" s="27" t="s">
        <v>116</v>
      </c>
      <c r="B2208" s="27" t="s">
        <v>110</v>
      </c>
      <c r="C2208" s="27" t="s">
        <v>47</v>
      </c>
      <c r="D2208" s="27" t="s">
        <v>42</v>
      </c>
      <c r="E2208" s="28" t="n">
        <f aca="false">ROUND((SUMIFS(Acerto_Detalhado!$F$2:$F$433,Acerto_Detalhado!$A$2:$A$433,$C2208,Acerto_Detalhado!$B$2:$B$433,"Jun",Acerto_Detalhado!$C$2:$C$433,"Umidade"))*(SUMIFS(Acerto_Detalhado!$I$2:$I$433,Acerto_Detalhado!$A$2:$A$433,$D2208,Acerto_Detalhado!$B$2:$B$433,"Jun",Acerto_Detalhado!$C$2:$C$433,"Umidade")),2)</f>
        <v>0</v>
      </c>
    </row>
    <row r="2209" customFormat="false" ht="15" hidden="false" customHeight="false" outlineLevel="0" collapsed="false">
      <c r="A2209" s="27" t="s">
        <v>116</v>
      </c>
      <c r="B2209" s="27" t="s">
        <v>110</v>
      </c>
      <c r="C2209" s="27" t="s">
        <v>47</v>
      </c>
      <c r="D2209" s="27" t="s">
        <v>43</v>
      </c>
      <c r="E2209" s="28" t="n">
        <f aca="false">ROUND((SUMIFS(Acerto_Detalhado!$F$2:$F$433,Acerto_Detalhado!$A$2:$A$433,$C2209,Acerto_Detalhado!$B$2:$B$433,"Jun",Acerto_Detalhado!$C$2:$C$433,"Umidade"))*(SUMIFS(Acerto_Detalhado!$I$2:$I$433,Acerto_Detalhado!$A$2:$A$433,$D2209,Acerto_Detalhado!$B$2:$B$433,"Jun",Acerto_Detalhado!$C$2:$C$433,"Umidade")),2)</f>
        <v>0</v>
      </c>
    </row>
    <row r="2210" customFormat="false" ht="15" hidden="false" customHeight="false" outlineLevel="0" collapsed="false">
      <c r="A2210" s="27" t="s">
        <v>116</v>
      </c>
      <c r="B2210" s="27" t="s">
        <v>110</v>
      </c>
      <c r="C2210" s="27" t="s">
        <v>47</v>
      </c>
      <c r="D2210" s="27" t="s">
        <v>44</v>
      </c>
      <c r="E2210" s="28" t="n">
        <f aca="false">ROUND((SUMIFS(Acerto_Detalhado!$F$2:$F$433,Acerto_Detalhado!$A$2:$A$433,$C2210,Acerto_Detalhado!$B$2:$B$433,"Jun",Acerto_Detalhado!$C$2:$C$433,"Umidade"))*(SUMIFS(Acerto_Detalhado!$I$2:$I$433,Acerto_Detalhado!$A$2:$A$433,$D2210,Acerto_Detalhado!$B$2:$B$433,"Jun",Acerto_Detalhado!$C$2:$C$433,"Umidade")),2)</f>
        <v>0</v>
      </c>
    </row>
    <row r="2211" customFormat="false" ht="15" hidden="false" customHeight="false" outlineLevel="0" collapsed="false">
      <c r="A2211" s="27" t="s">
        <v>116</v>
      </c>
      <c r="B2211" s="27" t="s">
        <v>110</v>
      </c>
      <c r="C2211" s="27" t="s">
        <v>47</v>
      </c>
      <c r="D2211" s="27" t="s">
        <v>45</v>
      </c>
      <c r="E2211" s="28" t="n">
        <f aca="false">ROUND((SUMIFS(Acerto_Detalhado!$F$2:$F$433,Acerto_Detalhado!$A$2:$A$433,$C2211,Acerto_Detalhado!$B$2:$B$433,"Jun",Acerto_Detalhado!$C$2:$C$433,"Umidade"))*(SUMIFS(Acerto_Detalhado!$I$2:$I$433,Acerto_Detalhado!$A$2:$A$433,$D2211,Acerto_Detalhado!$B$2:$B$433,"Jun",Acerto_Detalhado!$C$2:$C$433,"Umidade")),2)</f>
        <v>0</v>
      </c>
    </row>
    <row r="2212" customFormat="false" ht="15" hidden="false" customHeight="false" outlineLevel="0" collapsed="false">
      <c r="A2212" s="27" t="s">
        <v>116</v>
      </c>
      <c r="B2212" s="27" t="s">
        <v>110</v>
      </c>
      <c r="C2212" s="27" t="s">
        <v>47</v>
      </c>
      <c r="D2212" s="27" t="s">
        <v>46</v>
      </c>
      <c r="E2212" s="28" t="n">
        <f aca="false">ROUND((SUMIFS(Acerto_Detalhado!$F$2:$F$433,Acerto_Detalhado!$A$2:$A$433,$C2212,Acerto_Detalhado!$B$2:$B$433,"Jun",Acerto_Detalhado!$C$2:$C$433,"Umidade"))*(SUMIFS(Acerto_Detalhado!$I$2:$I$433,Acerto_Detalhado!$A$2:$A$433,$D2212,Acerto_Detalhado!$B$2:$B$433,"Jun",Acerto_Detalhado!$C$2:$C$433,"Umidade")),2)</f>
        <v>0</v>
      </c>
    </row>
    <row r="2213" customFormat="false" ht="15" hidden="false" customHeight="false" outlineLevel="0" collapsed="false">
      <c r="A2213" s="27" t="s">
        <v>116</v>
      </c>
      <c r="B2213" s="27" t="s">
        <v>110</v>
      </c>
      <c r="C2213" s="27" t="s">
        <v>47</v>
      </c>
      <c r="D2213" s="27" t="s">
        <v>48</v>
      </c>
      <c r="E2213" s="28" t="n">
        <f aca="false">ROUND((SUMIFS(Acerto_Detalhado!$F$2:$F$433,Acerto_Detalhado!$A$2:$A$433,$C2213,Acerto_Detalhado!$B$2:$B$433,"Jun",Acerto_Detalhado!$C$2:$C$433,"Umidade"))*(SUMIFS(Acerto_Detalhado!$I$2:$I$433,Acerto_Detalhado!$A$2:$A$433,$D2213,Acerto_Detalhado!$B$2:$B$433,"Jun",Acerto_Detalhado!$C$2:$C$433,"Umidade")),2)</f>
        <v>0</v>
      </c>
    </row>
    <row r="2214" customFormat="false" ht="15" hidden="false" customHeight="false" outlineLevel="0" collapsed="false">
      <c r="A2214" s="27" t="s">
        <v>116</v>
      </c>
      <c r="B2214" s="27" t="s">
        <v>110</v>
      </c>
      <c r="C2214" s="27" t="s">
        <v>47</v>
      </c>
      <c r="D2214" s="27" t="s">
        <v>49</v>
      </c>
      <c r="E2214" s="28" t="n">
        <f aca="false">ROUND((SUMIFS(Acerto_Detalhado!$F$2:$F$433,Acerto_Detalhado!$A$2:$A$433,$C2214,Acerto_Detalhado!$B$2:$B$433,"Jun",Acerto_Detalhado!$C$2:$C$433,"Umidade"))*(SUMIFS(Acerto_Detalhado!$I$2:$I$433,Acerto_Detalhado!$A$2:$A$433,$D2214,Acerto_Detalhado!$B$2:$B$433,"Jun",Acerto_Detalhado!$C$2:$C$433,"Umidade")),2)</f>
        <v>0</v>
      </c>
    </row>
    <row r="2215" customFormat="false" ht="15" hidden="false" customHeight="false" outlineLevel="0" collapsed="false">
      <c r="A2215" s="27" t="s">
        <v>116</v>
      </c>
      <c r="B2215" s="27" t="s">
        <v>110</v>
      </c>
      <c r="C2215" s="27" t="s">
        <v>47</v>
      </c>
      <c r="D2215" s="27" t="s">
        <v>50</v>
      </c>
      <c r="E2215" s="28" t="n">
        <f aca="false">ROUND((SUMIFS(Acerto_Detalhado!$F$2:$F$433,Acerto_Detalhado!$A$2:$A$433,$C2215,Acerto_Detalhado!$B$2:$B$433,"Jun",Acerto_Detalhado!$C$2:$C$433,"Umidade"))*(SUMIFS(Acerto_Detalhado!$I$2:$I$433,Acerto_Detalhado!$A$2:$A$433,$D2215,Acerto_Detalhado!$B$2:$B$433,"Jun",Acerto_Detalhado!$C$2:$C$433,"Umidade")),2)</f>
        <v>0</v>
      </c>
    </row>
    <row r="2216" customFormat="false" ht="15" hidden="false" customHeight="false" outlineLevel="0" collapsed="false">
      <c r="A2216" s="27" t="s">
        <v>116</v>
      </c>
      <c r="B2216" s="27" t="s">
        <v>110</v>
      </c>
      <c r="C2216" s="27" t="s">
        <v>48</v>
      </c>
      <c r="D2216" s="27" t="s">
        <v>39</v>
      </c>
      <c r="E2216" s="28" t="n">
        <f aca="false">ROUND((SUMIFS(Acerto_Detalhado!$F$2:$F$433,Acerto_Detalhado!$A$2:$A$433,$C2216,Acerto_Detalhado!$B$2:$B$433,"Jun",Acerto_Detalhado!$C$2:$C$433,"Umidade"))*(SUMIFS(Acerto_Detalhado!$I$2:$I$433,Acerto_Detalhado!$A$2:$A$433,$D2216,Acerto_Detalhado!$B$2:$B$433,"Jun",Acerto_Detalhado!$C$2:$C$433,"Umidade")),2)</f>
        <v>0</v>
      </c>
    </row>
    <row r="2217" customFormat="false" ht="15" hidden="false" customHeight="false" outlineLevel="0" collapsed="false">
      <c r="A2217" s="27" t="s">
        <v>116</v>
      </c>
      <c r="B2217" s="27" t="s">
        <v>110</v>
      </c>
      <c r="C2217" s="27" t="s">
        <v>48</v>
      </c>
      <c r="D2217" s="27" t="s">
        <v>40</v>
      </c>
      <c r="E2217" s="28" t="n">
        <f aca="false">ROUND((SUMIFS(Acerto_Detalhado!$F$2:$F$433,Acerto_Detalhado!$A$2:$A$433,$C2217,Acerto_Detalhado!$B$2:$B$433,"Jun",Acerto_Detalhado!$C$2:$C$433,"Umidade"))*(SUMIFS(Acerto_Detalhado!$I$2:$I$433,Acerto_Detalhado!$A$2:$A$433,$D2217,Acerto_Detalhado!$B$2:$B$433,"Jun",Acerto_Detalhado!$C$2:$C$433,"Umidade")),2)</f>
        <v>0</v>
      </c>
    </row>
    <row r="2218" customFormat="false" ht="15" hidden="false" customHeight="false" outlineLevel="0" collapsed="false">
      <c r="A2218" s="27" t="s">
        <v>116</v>
      </c>
      <c r="B2218" s="27" t="s">
        <v>110</v>
      </c>
      <c r="C2218" s="27" t="s">
        <v>48</v>
      </c>
      <c r="D2218" s="27" t="s">
        <v>41</v>
      </c>
      <c r="E2218" s="28" t="n">
        <f aca="false">ROUND((SUMIFS(Acerto_Detalhado!$F$2:$F$433,Acerto_Detalhado!$A$2:$A$433,$C2218,Acerto_Detalhado!$B$2:$B$433,"Jun",Acerto_Detalhado!$C$2:$C$433,"Umidade"))*(SUMIFS(Acerto_Detalhado!$I$2:$I$433,Acerto_Detalhado!$A$2:$A$433,$D2218,Acerto_Detalhado!$B$2:$B$433,"Jun",Acerto_Detalhado!$C$2:$C$433,"Umidade")),2)</f>
        <v>0</v>
      </c>
    </row>
    <row r="2219" customFormat="false" ht="15" hidden="false" customHeight="false" outlineLevel="0" collapsed="false">
      <c r="A2219" s="27" t="s">
        <v>116</v>
      </c>
      <c r="B2219" s="27" t="s">
        <v>110</v>
      </c>
      <c r="C2219" s="27" t="s">
        <v>48</v>
      </c>
      <c r="D2219" s="27" t="s">
        <v>42</v>
      </c>
      <c r="E2219" s="28" t="n">
        <f aca="false">ROUND((SUMIFS(Acerto_Detalhado!$F$2:$F$433,Acerto_Detalhado!$A$2:$A$433,$C2219,Acerto_Detalhado!$B$2:$B$433,"Jun",Acerto_Detalhado!$C$2:$C$433,"Umidade"))*(SUMIFS(Acerto_Detalhado!$I$2:$I$433,Acerto_Detalhado!$A$2:$A$433,$D2219,Acerto_Detalhado!$B$2:$B$433,"Jun",Acerto_Detalhado!$C$2:$C$433,"Umidade")),2)</f>
        <v>0</v>
      </c>
    </row>
    <row r="2220" customFormat="false" ht="15" hidden="false" customHeight="false" outlineLevel="0" collapsed="false">
      <c r="A2220" s="27" t="s">
        <v>116</v>
      </c>
      <c r="B2220" s="27" t="s">
        <v>110</v>
      </c>
      <c r="C2220" s="27" t="s">
        <v>48</v>
      </c>
      <c r="D2220" s="27" t="s">
        <v>43</v>
      </c>
      <c r="E2220" s="28" t="n">
        <f aca="false">ROUND((SUMIFS(Acerto_Detalhado!$F$2:$F$433,Acerto_Detalhado!$A$2:$A$433,$C2220,Acerto_Detalhado!$B$2:$B$433,"Jun",Acerto_Detalhado!$C$2:$C$433,"Umidade"))*(SUMIFS(Acerto_Detalhado!$I$2:$I$433,Acerto_Detalhado!$A$2:$A$433,$D2220,Acerto_Detalhado!$B$2:$B$433,"Jun",Acerto_Detalhado!$C$2:$C$433,"Umidade")),2)</f>
        <v>0</v>
      </c>
    </row>
    <row r="2221" customFormat="false" ht="15" hidden="false" customHeight="false" outlineLevel="0" collapsed="false">
      <c r="A2221" s="27" t="s">
        <v>116</v>
      </c>
      <c r="B2221" s="27" t="s">
        <v>110</v>
      </c>
      <c r="C2221" s="27" t="s">
        <v>48</v>
      </c>
      <c r="D2221" s="27" t="s">
        <v>44</v>
      </c>
      <c r="E2221" s="28" t="n">
        <f aca="false">ROUND((SUMIFS(Acerto_Detalhado!$F$2:$F$433,Acerto_Detalhado!$A$2:$A$433,$C2221,Acerto_Detalhado!$B$2:$B$433,"Jun",Acerto_Detalhado!$C$2:$C$433,"Umidade"))*(SUMIFS(Acerto_Detalhado!$I$2:$I$433,Acerto_Detalhado!$A$2:$A$433,$D2221,Acerto_Detalhado!$B$2:$B$433,"Jun",Acerto_Detalhado!$C$2:$C$433,"Umidade")),2)</f>
        <v>0</v>
      </c>
    </row>
    <row r="2222" customFormat="false" ht="15" hidden="false" customHeight="false" outlineLevel="0" collapsed="false">
      <c r="A2222" s="27" t="s">
        <v>116</v>
      </c>
      <c r="B2222" s="27" t="s">
        <v>110</v>
      </c>
      <c r="C2222" s="27" t="s">
        <v>48</v>
      </c>
      <c r="D2222" s="27" t="s">
        <v>45</v>
      </c>
      <c r="E2222" s="28" t="n">
        <f aca="false">ROUND((SUMIFS(Acerto_Detalhado!$F$2:$F$433,Acerto_Detalhado!$A$2:$A$433,$C2222,Acerto_Detalhado!$B$2:$B$433,"Jun",Acerto_Detalhado!$C$2:$C$433,"Umidade"))*(SUMIFS(Acerto_Detalhado!$I$2:$I$433,Acerto_Detalhado!$A$2:$A$433,$D2222,Acerto_Detalhado!$B$2:$B$433,"Jun",Acerto_Detalhado!$C$2:$C$433,"Umidade")),2)</f>
        <v>0</v>
      </c>
    </row>
    <row r="2223" customFormat="false" ht="15" hidden="false" customHeight="false" outlineLevel="0" collapsed="false">
      <c r="A2223" s="27" t="s">
        <v>116</v>
      </c>
      <c r="B2223" s="27" t="s">
        <v>110</v>
      </c>
      <c r="C2223" s="27" t="s">
        <v>48</v>
      </c>
      <c r="D2223" s="27" t="s">
        <v>46</v>
      </c>
      <c r="E2223" s="28" t="n">
        <f aca="false">ROUND((SUMIFS(Acerto_Detalhado!$F$2:$F$433,Acerto_Detalhado!$A$2:$A$433,$C2223,Acerto_Detalhado!$B$2:$B$433,"Jun",Acerto_Detalhado!$C$2:$C$433,"Umidade"))*(SUMIFS(Acerto_Detalhado!$I$2:$I$433,Acerto_Detalhado!$A$2:$A$433,$D2223,Acerto_Detalhado!$B$2:$B$433,"Jun",Acerto_Detalhado!$C$2:$C$433,"Umidade")),2)</f>
        <v>0</v>
      </c>
    </row>
    <row r="2224" customFormat="false" ht="15" hidden="false" customHeight="false" outlineLevel="0" collapsed="false">
      <c r="A2224" s="27" t="s">
        <v>116</v>
      </c>
      <c r="B2224" s="27" t="s">
        <v>110</v>
      </c>
      <c r="C2224" s="27" t="s">
        <v>48</v>
      </c>
      <c r="D2224" s="27" t="s">
        <v>47</v>
      </c>
      <c r="E2224" s="28" t="n">
        <f aca="false">ROUND((SUMIFS(Acerto_Detalhado!$F$2:$F$433,Acerto_Detalhado!$A$2:$A$433,$C2224,Acerto_Detalhado!$B$2:$B$433,"Jun",Acerto_Detalhado!$C$2:$C$433,"Umidade"))*(SUMIFS(Acerto_Detalhado!$I$2:$I$433,Acerto_Detalhado!$A$2:$A$433,$D2224,Acerto_Detalhado!$B$2:$B$433,"Jun",Acerto_Detalhado!$C$2:$C$433,"Umidade")),2)</f>
        <v>0</v>
      </c>
    </row>
    <row r="2225" customFormat="false" ht="15" hidden="false" customHeight="false" outlineLevel="0" collapsed="false">
      <c r="A2225" s="27" t="s">
        <v>116</v>
      </c>
      <c r="B2225" s="27" t="s">
        <v>110</v>
      </c>
      <c r="C2225" s="27" t="s">
        <v>48</v>
      </c>
      <c r="D2225" s="27" t="s">
        <v>49</v>
      </c>
      <c r="E2225" s="28" t="n">
        <f aca="false">ROUND((SUMIFS(Acerto_Detalhado!$F$2:$F$433,Acerto_Detalhado!$A$2:$A$433,$C2225,Acerto_Detalhado!$B$2:$B$433,"Jun",Acerto_Detalhado!$C$2:$C$433,"Umidade"))*(SUMIFS(Acerto_Detalhado!$I$2:$I$433,Acerto_Detalhado!$A$2:$A$433,$D2225,Acerto_Detalhado!$B$2:$B$433,"Jun",Acerto_Detalhado!$C$2:$C$433,"Umidade")),2)</f>
        <v>0</v>
      </c>
    </row>
    <row r="2226" customFormat="false" ht="15" hidden="false" customHeight="false" outlineLevel="0" collapsed="false">
      <c r="A2226" s="27" t="s">
        <v>116</v>
      </c>
      <c r="B2226" s="27" t="s">
        <v>110</v>
      </c>
      <c r="C2226" s="27" t="s">
        <v>48</v>
      </c>
      <c r="D2226" s="27" t="s">
        <v>50</v>
      </c>
      <c r="E2226" s="28" t="n">
        <f aca="false">ROUND((SUMIFS(Acerto_Detalhado!$F$2:$F$433,Acerto_Detalhado!$A$2:$A$433,$C2226,Acerto_Detalhado!$B$2:$B$433,"Jun",Acerto_Detalhado!$C$2:$C$433,"Umidade"))*(SUMIFS(Acerto_Detalhado!$I$2:$I$433,Acerto_Detalhado!$A$2:$A$433,$D2226,Acerto_Detalhado!$B$2:$B$433,"Jun",Acerto_Detalhado!$C$2:$C$433,"Umidade")),2)</f>
        <v>0</v>
      </c>
    </row>
    <row r="2227" customFormat="false" ht="15" hidden="false" customHeight="false" outlineLevel="0" collapsed="false">
      <c r="A2227" s="27" t="s">
        <v>116</v>
      </c>
      <c r="B2227" s="27" t="s">
        <v>110</v>
      </c>
      <c r="C2227" s="27" t="s">
        <v>49</v>
      </c>
      <c r="D2227" s="27" t="s">
        <v>39</v>
      </c>
      <c r="E2227" s="28" t="n">
        <f aca="false">ROUND((SUMIFS(Acerto_Detalhado!$F$2:$F$433,Acerto_Detalhado!$A$2:$A$433,$C2227,Acerto_Detalhado!$B$2:$B$433,"Jun",Acerto_Detalhado!$C$2:$C$433,"Umidade"))*(SUMIFS(Acerto_Detalhado!$I$2:$I$433,Acerto_Detalhado!$A$2:$A$433,$D2227,Acerto_Detalhado!$B$2:$B$433,"Jun",Acerto_Detalhado!$C$2:$C$433,"Umidade")),2)</f>
        <v>0</v>
      </c>
    </row>
    <row r="2228" customFormat="false" ht="15" hidden="false" customHeight="false" outlineLevel="0" collapsed="false">
      <c r="A2228" s="27" t="s">
        <v>116</v>
      </c>
      <c r="B2228" s="27" t="s">
        <v>110</v>
      </c>
      <c r="C2228" s="27" t="s">
        <v>49</v>
      </c>
      <c r="D2228" s="27" t="s">
        <v>40</v>
      </c>
      <c r="E2228" s="28" t="n">
        <f aca="false">ROUND((SUMIFS(Acerto_Detalhado!$F$2:$F$433,Acerto_Detalhado!$A$2:$A$433,$C2228,Acerto_Detalhado!$B$2:$B$433,"Jun",Acerto_Detalhado!$C$2:$C$433,"Umidade"))*(SUMIFS(Acerto_Detalhado!$I$2:$I$433,Acerto_Detalhado!$A$2:$A$433,$D2228,Acerto_Detalhado!$B$2:$B$433,"Jun",Acerto_Detalhado!$C$2:$C$433,"Umidade")),2)</f>
        <v>0</v>
      </c>
    </row>
    <row r="2229" customFormat="false" ht="15" hidden="false" customHeight="false" outlineLevel="0" collapsed="false">
      <c r="A2229" s="27" t="s">
        <v>116</v>
      </c>
      <c r="B2229" s="27" t="s">
        <v>110</v>
      </c>
      <c r="C2229" s="27" t="s">
        <v>49</v>
      </c>
      <c r="D2229" s="27" t="s">
        <v>41</v>
      </c>
      <c r="E2229" s="28" t="n">
        <f aca="false">ROUND((SUMIFS(Acerto_Detalhado!$F$2:$F$433,Acerto_Detalhado!$A$2:$A$433,$C2229,Acerto_Detalhado!$B$2:$B$433,"Jun",Acerto_Detalhado!$C$2:$C$433,"Umidade"))*(SUMIFS(Acerto_Detalhado!$I$2:$I$433,Acerto_Detalhado!$A$2:$A$433,$D2229,Acerto_Detalhado!$B$2:$B$433,"Jun",Acerto_Detalhado!$C$2:$C$433,"Umidade")),2)</f>
        <v>0</v>
      </c>
    </row>
    <row r="2230" customFormat="false" ht="15" hidden="false" customHeight="false" outlineLevel="0" collapsed="false">
      <c r="A2230" s="27" t="s">
        <v>116</v>
      </c>
      <c r="B2230" s="27" t="s">
        <v>110</v>
      </c>
      <c r="C2230" s="27" t="s">
        <v>49</v>
      </c>
      <c r="D2230" s="27" t="s">
        <v>42</v>
      </c>
      <c r="E2230" s="28" t="n">
        <f aca="false">ROUND((SUMIFS(Acerto_Detalhado!$F$2:$F$433,Acerto_Detalhado!$A$2:$A$433,$C2230,Acerto_Detalhado!$B$2:$B$433,"Jun",Acerto_Detalhado!$C$2:$C$433,"Umidade"))*(SUMIFS(Acerto_Detalhado!$I$2:$I$433,Acerto_Detalhado!$A$2:$A$433,$D2230,Acerto_Detalhado!$B$2:$B$433,"Jun",Acerto_Detalhado!$C$2:$C$433,"Umidade")),2)</f>
        <v>0</v>
      </c>
    </row>
    <row r="2231" customFormat="false" ht="15" hidden="false" customHeight="false" outlineLevel="0" collapsed="false">
      <c r="A2231" s="27" t="s">
        <v>116</v>
      </c>
      <c r="B2231" s="27" t="s">
        <v>110</v>
      </c>
      <c r="C2231" s="27" t="s">
        <v>49</v>
      </c>
      <c r="D2231" s="27" t="s">
        <v>43</v>
      </c>
      <c r="E2231" s="28" t="n">
        <f aca="false">ROUND((SUMIFS(Acerto_Detalhado!$F$2:$F$433,Acerto_Detalhado!$A$2:$A$433,$C2231,Acerto_Detalhado!$B$2:$B$433,"Jun",Acerto_Detalhado!$C$2:$C$433,"Umidade"))*(SUMIFS(Acerto_Detalhado!$I$2:$I$433,Acerto_Detalhado!$A$2:$A$433,$D2231,Acerto_Detalhado!$B$2:$B$433,"Jun",Acerto_Detalhado!$C$2:$C$433,"Umidade")),2)</f>
        <v>0</v>
      </c>
    </row>
    <row r="2232" customFormat="false" ht="15" hidden="false" customHeight="false" outlineLevel="0" collapsed="false">
      <c r="A2232" s="27" t="s">
        <v>116</v>
      </c>
      <c r="B2232" s="27" t="s">
        <v>110</v>
      </c>
      <c r="C2232" s="27" t="s">
        <v>49</v>
      </c>
      <c r="D2232" s="27" t="s">
        <v>44</v>
      </c>
      <c r="E2232" s="28" t="n">
        <f aca="false">ROUND((SUMIFS(Acerto_Detalhado!$F$2:$F$433,Acerto_Detalhado!$A$2:$A$433,$C2232,Acerto_Detalhado!$B$2:$B$433,"Jun",Acerto_Detalhado!$C$2:$C$433,"Umidade"))*(SUMIFS(Acerto_Detalhado!$I$2:$I$433,Acerto_Detalhado!$A$2:$A$433,$D2232,Acerto_Detalhado!$B$2:$B$433,"Jun",Acerto_Detalhado!$C$2:$C$433,"Umidade")),2)</f>
        <v>0</v>
      </c>
    </row>
    <row r="2233" customFormat="false" ht="15" hidden="false" customHeight="false" outlineLevel="0" collapsed="false">
      <c r="A2233" s="27" t="s">
        <v>116</v>
      </c>
      <c r="B2233" s="27" t="s">
        <v>110</v>
      </c>
      <c r="C2233" s="27" t="s">
        <v>49</v>
      </c>
      <c r="D2233" s="27" t="s">
        <v>45</v>
      </c>
      <c r="E2233" s="28" t="n">
        <f aca="false">ROUND((SUMIFS(Acerto_Detalhado!$F$2:$F$433,Acerto_Detalhado!$A$2:$A$433,$C2233,Acerto_Detalhado!$B$2:$B$433,"Jun",Acerto_Detalhado!$C$2:$C$433,"Umidade"))*(SUMIFS(Acerto_Detalhado!$I$2:$I$433,Acerto_Detalhado!$A$2:$A$433,$D2233,Acerto_Detalhado!$B$2:$B$433,"Jun",Acerto_Detalhado!$C$2:$C$433,"Umidade")),2)</f>
        <v>0</v>
      </c>
    </row>
    <row r="2234" customFormat="false" ht="15" hidden="false" customHeight="false" outlineLevel="0" collapsed="false">
      <c r="A2234" s="27" t="s">
        <v>116</v>
      </c>
      <c r="B2234" s="27" t="s">
        <v>110</v>
      </c>
      <c r="C2234" s="27" t="s">
        <v>49</v>
      </c>
      <c r="D2234" s="27" t="s">
        <v>46</v>
      </c>
      <c r="E2234" s="28" t="n">
        <f aca="false">ROUND((SUMIFS(Acerto_Detalhado!$F$2:$F$433,Acerto_Detalhado!$A$2:$A$433,$C2234,Acerto_Detalhado!$B$2:$B$433,"Jun",Acerto_Detalhado!$C$2:$C$433,"Umidade"))*(SUMIFS(Acerto_Detalhado!$I$2:$I$433,Acerto_Detalhado!$A$2:$A$433,$D2234,Acerto_Detalhado!$B$2:$B$433,"Jun",Acerto_Detalhado!$C$2:$C$433,"Umidade")),2)</f>
        <v>0</v>
      </c>
    </row>
    <row r="2235" customFormat="false" ht="15" hidden="false" customHeight="false" outlineLevel="0" collapsed="false">
      <c r="A2235" s="27" t="s">
        <v>116</v>
      </c>
      <c r="B2235" s="27" t="s">
        <v>110</v>
      </c>
      <c r="C2235" s="27" t="s">
        <v>49</v>
      </c>
      <c r="D2235" s="27" t="s">
        <v>47</v>
      </c>
      <c r="E2235" s="28" t="n">
        <f aca="false">ROUND((SUMIFS(Acerto_Detalhado!$F$2:$F$433,Acerto_Detalhado!$A$2:$A$433,$C2235,Acerto_Detalhado!$B$2:$B$433,"Jun",Acerto_Detalhado!$C$2:$C$433,"Umidade"))*(SUMIFS(Acerto_Detalhado!$I$2:$I$433,Acerto_Detalhado!$A$2:$A$433,$D2235,Acerto_Detalhado!$B$2:$B$433,"Jun",Acerto_Detalhado!$C$2:$C$433,"Umidade")),2)</f>
        <v>0</v>
      </c>
    </row>
    <row r="2236" customFormat="false" ht="15" hidden="false" customHeight="false" outlineLevel="0" collapsed="false">
      <c r="A2236" s="27" t="s">
        <v>116</v>
      </c>
      <c r="B2236" s="27" t="s">
        <v>110</v>
      </c>
      <c r="C2236" s="27" t="s">
        <v>49</v>
      </c>
      <c r="D2236" s="27" t="s">
        <v>48</v>
      </c>
      <c r="E2236" s="28" t="n">
        <f aca="false">ROUND((SUMIFS(Acerto_Detalhado!$F$2:$F$433,Acerto_Detalhado!$A$2:$A$433,$C2236,Acerto_Detalhado!$B$2:$B$433,"Jun",Acerto_Detalhado!$C$2:$C$433,"Umidade"))*(SUMIFS(Acerto_Detalhado!$I$2:$I$433,Acerto_Detalhado!$A$2:$A$433,$D2236,Acerto_Detalhado!$B$2:$B$433,"Jun",Acerto_Detalhado!$C$2:$C$433,"Umidade")),2)</f>
        <v>0</v>
      </c>
    </row>
    <row r="2237" customFormat="false" ht="15" hidden="false" customHeight="false" outlineLevel="0" collapsed="false">
      <c r="A2237" s="27" t="s">
        <v>116</v>
      </c>
      <c r="B2237" s="27" t="s">
        <v>110</v>
      </c>
      <c r="C2237" s="27" t="s">
        <v>49</v>
      </c>
      <c r="D2237" s="27" t="s">
        <v>50</v>
      </c>
      <c r="E2237" s="28" t="n">
        <f aca="false">ROUND((SUMIFS(Acerto_Detalhado!$F$2:$F$433,Acerto_Detalhado!$A$2:$A$433,$C2237,Acerto_Detalhado!$B$2:$B$433,"Jun",Acerto_Detalhado!$C$2:$C$433,"Umidade"))*(SUMIFS(Acerto_Detalhado!$I$2:$I$433,Acerto_Detalhado!$A$2:$A$433,$D2237,Acerto_Detalhado!$B$2:$B$433,"Jun",Acerto_Detalhado!$C$2:$C$433,"Umidade")),2)</f>
        <v>0</v>
      </c>
    </row>
    <row r="2238" customFormat="false" ht="15" hidden="false" customHeight="false" outlineLevel="0" collapsed="false">
      <c r="A2238" s="27" t="s">
        <v>116</v>
      </c>
      <c r="B2238" s="27" t="s">
        <v>110</v>
      </c>
      <c r="C2238" s="27" t="s">
        <v>50</v>
      </c>
      <c r="D2238" s="27" t="s">
        <v>39</v>
      </c>
      <c r="E2238" s="28" t="n">
        <f aca="false">ROUND((SUMIFS(Acerto_Detalhado!$F$2:$F$433,Acerto_Detalhado!$A$2:$A$433,$C2238,Acerto_Detalhado!$B$2:$B$433,"Jun",Acerto_Detalhado!$C$2:$C$433,"Umidade"))*(SUMIFS(Acerto_Detalhado!$I$2:$I$433,Acerto_Detalhado!$A$2:$A$433,$D2238,Acerto_Detalhado!$B$2:$B$433,"Jun",Acerto_Detalhado!$C$2:$C$433,"Umidade")),2)</f>
        <v>0</v>
      </c>
    </row>
    <row r="2239" customFormat="false" ht="15" hidden="false" customHeight="false" outlineLevel="0" collapsed="false">
      <c r="A2239" s="27" t="s">
        <v>116</v>
      </c>
      <c r="B2239" s="27" t="s">
        <v>110</v>
      </c>
      <c r="C2239" s="27" t="s">
        <v>50</v>
      </c>
      <c r="D2239" s="27" t="s">
        <v>40</v>
      </c>
      <c r="E2239" s="28" t="n">
        <f aca="false">ROUND((SUMIFS(Acerto_Detalhado!$F$2:$F$433,Acerto_Detalhado!$A$2:$A$433,$C2239,Acerto_Detalhado!$B$2:$B$433,"Jun",Acerto_Detalhado!$C$2:$C$433,"Umidade"))*(SUMIFS(Acerto_Detalhado!$I$2:$I$433,Acerto_Detalhado!$A$2:$A$433,$D2239,Acerto_Detalhado!$B$2:$B$433,"Jun",Acerto_Detalhado!$C$2:$C$433,"Umidade")),2)</f>
        <v>0</v>
      </c>
    </row>
    <row r="2240" customFormat="false" ht="15" hidden="false" customHeight="false" outlineLevel="0" collapsed="false">
      <c r="A2240" s="27" t="s">
        <v>116</v>
      </c>
      <c r="B2240" s="27" t="s">
        <v>110</v>
      </c>
      <c r="C2240" s="27" t="s">
        <v>50</v>
      </c>
      <c r="D2240" s="27" t="s">
        <v>41</v>
      </c>
      <c r="E2240" s="28" t="n">
        <f aca="false">ROUND((SUMIFS(Acerto_Detalhado!$F$2:$F$433,Acerto_Detalhado!$A$2:$A$433,$C2240,Acerto_Detalhado!$B$2:$B$433,"Jun",Acerto_Detalhado!$C$2:$C$433,"Umidade"))*(SUMIFS(Acerto_Detalhado!$I$2:$I$433,Acerto_Detalhado!$A$2:$A$433,$D2240,Acerto_Detalhado!$B$2:$B$433,"Jun",Acerto_Detalhado!$C$2:$C$433,"Umidade")),2)</f>
        <v>0</v>
      </c>
    </row>
    <row r="2241" customFormat="false" ht="15" hidden="false" customHeight="false" outlineLevel="0" collapsed="false">
      <c r="A2241" s="27" t="s">
        <v>116</v>
      </c>
      <c r="B2241" s="27" t="s">
        <v>110</v>
      </c>
      <c r="C2241" s="27" t="s">
        <v>50</v>
      </c>
      <c r="D2241" s="27" t="s">
        <v>42</v>
      </c>
      <c r="E2241" s="28" t="n">
        <f aca="false">ROUND((SUMIFS(Acerto_Detalhado!$F$2:$F$433,Acerto_Detalhado!$A$2:$A$433,$C2241,Acerto_Detalhado!$B$2:$B$433,"Jun",Acerto_Detalhado!$C$2:$C$433,"Umidade"))*(SUMIFS(Acerto_Detalhado!$I$2:$I$433,Acerto_Detalhado!$A$2:$A$433,$D2241,Acerto_Detalhado!$B$2:$B$433,"Jun",Acerto_Detalhado!$C$2:$C$433,"Umidade")),2)</f>
        <v>0</v>
      </c>
    </row>
    <row r="2242" customFormat="false" ht="15" hidden="false" customHeight="false" outlineLevel="0" collapsed="false">
      <c r="A2242" s="27" t="s">
        <v>116</v>
      </c>
      <c r="B2242" s="27" t="s">
        <v>110</v>
      </c>
      <c r="C2242" s="27" t="s">
        <v>50</v>
      </c>
      <c r="D2242" s="27" t="s">
        <v>43</v>
      </c>
      <c r="E2242" s="28" t="n">
        <f aca="false">ROUND((SUMIFS(Acerto_Detalhado!$F$2:$F$433,Acerto_Detalhado!$A$2:$A$433,$C2242,Acerto_Detalhado!$B$2:$B$433,"Jun",Acerto_Detalhado!$C$2:$C$433,"Umidade"))*(SUMIFS(Acerto_Detalhado!$I$2:$I$433,Acerto_Detalhado!$A$2:$A$433,$D2242,Acerto_Detalhado!$B$2:$B$433,"Jun",Acerto_Detalhado!$C$2:$C$433,"Umidade")),2)</f>
        <v>0</v>
      </c>
    </row>
    <row r="2243" customFormat="false" ht="15" hidden="false" customHeight="false" outlineLevel="0" collapsed="false">
      <c r="A2243" s="27" t="s">
        <v>116</v>
      </c>
      <c r="B2243" s="27" t="s">
        <v>110</v>
      </c>
      <c r="C2243" s="27" t="s">
        <v>50</v>
      </c>
      <c r="D2243" s="27" t="s">
        <v>44</v>
      </c>
      <c r="E2243" s="28" t="n">
        <f aca="false">ROUND((SUMIFS(Acerto_Detalhado!$F$2:$F$433,Acerto_Detalhado!$A$2:$A$433,$C2243,Acerto_Detalhado!$B$2:$B$433,"Jun",Acerto_Detalhado!$C$2:$C$433,"Umidade"))*(SUMIFS(Acerto_Detalhado!$I$2:$I$433,Acerto_Detalhado!$A$2:$A$433,$D2243,Acerto_Detalhado!$B$2:$B$433,"Jun",Acerto_Detalhado!$C$2:$C$433,"Umidade")),2)</f>
        <v>0</v>
      </c>
    </row>
    <row r="2244" customFormat="false" ht="15" hidden="false" customHeight="false" outlineLevel="0" collapsed="false">
      <c r="A2244" s="27" t="s">
        <v>116</v>
      </c>
      <c r="B2244" s="27" t="s">
        <v>110</v>
      </c>
      <c r="C2244" s="27" t="s">
        <v>50</v>
      </c>
      <c r="D2244" s="27" t="s">
        <v>45</v>
      </c>
      <c r="E2244" s="28" t="n">
        <f aca="false">ROUND((SUMIFS(Acerto_Detalhado!$F$2:$F$433,Acerto_Detalhado!$A$2:$A$433,$C2244,Acerto_Detalhado!$B$2:$B$433,"Jun",Acerto_Detalhado!$C$2:$C$433,"Umidade"))*(SUMIFS(Acerto_Detalhado!$I$2:$I$433,Acerto_Detalhado!$A$2:$A$433,$D2244,Acerto_Detalhado!$B$2:$B$433,"Jun",Acerto_Detalhado!$C$2:$C$433,"Umidade")),2)</f>
        <v>0</v>
      </c>
    </row>
    <row r="2245" customFormat="false" ht="15" hidden="false" customHeight="false" outlineLevel="0" collapsed="false">
      <c r="A2245" s="27" t="s">
        <v>116</v>
      </c>
      <c r="B2245" s="27" t="s">
        <v>110</v>
      </c>
      <c r="C2245" s="27" t="s">
        <v>50</v>
      </c>
      <c r="D2245" s="27" t="s">
        <v>46</v>
      </c>
      <c r="E2245" s="28" t="n">
        <f aca="false">ROUND((SUMIFS(Acerto_Detalhado!$F$2:$F$433,Acerto_Detalhado!$A$2:$A$433,$C2245,Acerto_Detalhado!$B$2:$B$433,"Jun",Acerto_Detalhado!$C$2:$C$433,"Umidade"))*(SUMIFS(Acerto_Detalhado!$I$2:$I$433,Acerto_Detalhado!$A$2:$A$433,$D2245,Acerto_Detalhado!$B$2:$B$433,"Jun",Acerto_Detalhado!$C$2:$C$433,"Umidade")),2)</f>
        <v>0</v>
      </c>
    </row>
    <row r="2246" customFormat="false" ht="15" hidden="false" customHeight="false" outlineLevel="0" collapsed="false">
      <c r="A2246" s="27" t="s">
        <v>116</v>
      </c>
      <c r="B2246" s="27" t="s">
        <v>110</v>
      </c>
      <c r="C2246" s="27" t="s">
        <v>50</v>
      </c>
      <c r="D2246" s="27" t="s">
        <v>47</v>
      </c>
      <c r="E2246" s="28" t="n">
        <f aca="false">ROUND((SUMIFS(Acerto_Detalhado!$F$2:$F$433,Acerto_Detalhado!$A$2:$A$433,$C2246,Acerto_Detalhado!$B$2:$B$433,"Jun",Acerto_Detalhado!$C$2:$C$433,"Umidade"))*(SUMIFS(Acerto_Detalhado!$I$2:$I$433,Acerto_Detalhado!$A$2:$A$433,$D2246,Acerto_Detalhado!$B$2:$B$433,"Jun",Acerto_Detalhado!$C$2:$C$433,"Umidade")),2)</f>
        <v>0</v>
      </c>
    </row>
    <row r="2247" customFormat="false" ht="15" hidden="false" customHeight="false" outlineLevel="0" collapsed="false">
      <c r="A2247" s="27" t="s">
        <v>116</v>
      </c>
      <c r="B2247" s="27" t="s">
        <v>110</v>
      </c>
      <c r="C2247" s="27" t="s">
        <v>50</v>
      </c>
      <c r="D2247" s="27" t="s">
        <v>48</v>
      </c>
      <c r="E2247" s="28" t="n">
        <f aca="false">ROUND((SUMIFS(Acerto_Detalhado!$F$2:$F$433,Acerto_Detalhado!$A$2:$A$433,$C2247,Acerto_Detalhado!$B$2:$B$433,"Jun",Acerto_Detalhado!$C$2:$C$433,"Umidade"))*(SUMIFS(Acerto_Detalhado!$I$2:$I$433,Acerto_Detalhado!$A$2:$A$433,$D2247,Acerto_Detalhado!$B$2:$B$433,"Jun",Acerto_Detalhado!$C$2:$C$433,"Umidade")),2)</f>
        <v>0</v>
      </c>
    </row>
    <row r="2248" customFormat="false" ht="15" hidden="false" customHeight="false" outlineLevel="0" collapsed="false">
      <c r="A2248" s="27" t="s">
        <v>116</v>
      </c>
      <c r="B2248" s="27" t="s">
        <v>110</v>
      </c>
      <c r="C2248" s="27" t="s">
        <v>50</v>
      </c>
      <c r="D2248" s="27" t="s">
        <v>49</v>
      </c>
      <c r="E2248" s="28" t="n">
        <f aca="false">ROUND((SUMIFS(Acerto_Detalhado!$F$2:$F$433,Acerto_Detalhado!$A$2:$A$433,$C2248,Acerto_Detalhado!$B$2:$B$433,"Jun",Acerto_Detalhado!$C$2:$C$433,"Umidade"))*(SUMIFS(Acerto_Detalhado!$I$2:$I$433,Acerto_Detalhado!$A$2:$A$433,$D2248,Acerto_Detalhado!$B$2:$B$433,"Jun",Acerto_Detalhado!$C$2:$C$433,"Umidade")),2)</f>
        <v>0</v>
      </c>
    </row>
    <row r="2249" customFormat="false" ht="15" hidden="false" customHeight="false" outlineLevel="0" collapsed="false">
      <c r="A2249" s="27" t="s">
        <v>116</v>
      </c>
      <c r="B2249" s="27" t="s">
        <v>111</v>
      </c>
      <c r="C2249" s="27" t="s">
        <v>39</v>
      </c>
      <c r="D2249" s="27" t="s">
        <v>40</v>
      </c>
      <c r="E2249" s="28" t="n">
        <f aca="false">ROUND((SUMIFS(Acerto_Detalhado!$F$2:$F$433,Acerto_Detalhado!$A$2:$A$433,$C2249,Acerto_Detalhado!$B$2:$B$433,"Jun",Acerto_Detalhado!$C$2:$C$433,"Fibra"))*(SUMIFS(Acerto_Detalhado!$I$2:$I$433,Acerto_Detalhado!$A$2:$A$433,$D2249,Acerto_Detalhado!$B$2:$B$433,"Jun",Acerto_Detalhado!$C$2:$C$433,"Fibra")),2)</f>
        <v>0</v>
      </c>
    </row>
    <row r="2250" customFormat="false" ht="15" hidden="false" customHeight="false" outlineLevel="0" collapsed="false">
      <c r="A2250" s="27" t="s">
        <v>116</v>
      </c>
      <c r="B2250" s="27" t="s">
        <v>111</v>
      </c>
      <c r="C2250" s="27" t="s">
        <v>39</v>
      </c>
      <c r="D2250" s="27" t="s">
        <v>41</v>
      </c>
      <c r="E2250" s="28" t="n">
        <f aca="false">ROUND((SUMIFS(Acerto_Detalhado!$F$2:$F$433,Acerto_Detalhado!$A$2:$A$433,$C2250,Acerto_Detalhado!$B$2:$B$433,"Jun",Acerto_Detalhado!$C$2:$C$433,"Fibra"))*(SUMIFS(Acerto_Detalhado!$I$2:$I$433,Acerto_Detalhado!$A$2:$A$433,$D2250,Acerto_Detalhado!$B$2:$B$433,"Jun",Acerto_Detalhado!$C$2:$C$433,"Fibra")),2)</f>
        <v>0</v>
      </c>
    </row>
    <row r="2251" customFormat="false" ht="15" hidden="false" customHeight="false" outlineLevel="0" collapsed="false">
      <c r="A2251" s="27" t="s">
        <v>116</v>
      </c>
      <c r="B2251" s="27" t="s">
        <v>111</v>
      </c>
      <c r="C2251" s="27" t="s">
        <v>39</v>
      </c>
      <c r="D2251" s="27" t="s">
        <v>42</v>
      </c>
      <c r="E2251" s="28" t="n">
        <f aca="false">ROUND((SUMIFS(Acerto_Detalhado!$F$2:$F$433,Acerto_Detalhado!$A$2:$A$433,$C2251,Acerto_Detalhado!$B$2:$B$433,"Jun",Acerto_Detalhado!$C$2:$C$433,"Fibra"))*(SUMIFS(Acerto_Detalhado!$I$2:$I$433,Acerto_Detalhado!$A$2:$A$433,$D2251,Acerto_Detalhado!$B$2:$B$433,"Jun",Acerto_Detalhado!$C$2:$C$433,"Fibra")),2)</f>
        <v>0</v>
      </c>
    </row>
    <row r="2252" customFormat="false" ht="15" hidden="false" customHeight="false" outlineLevel="0" collapsed="false">
      <c r="A2252" s="27" t="s">
        <v>116</v>
      </c>
      <c r="B2252" s="27" t="s">
        <v>111</v>
      </c>
      <c r="C2252" s="27" t="s">
        <v>39</v>
      </c>
      <c r="D2252" s="27" t="s">
        <v>43</v>
      </c>
      <c r="E2252" s="28" t="n">
        <f aca="false">ROUND((SUMIFS(Acerto_Detalhado!$F$2:$F$433,Acerto_Detalhado!$A$2:$A$433,$C2252,Acerto_Detalhado!$B$2:$B$433,"Jun",Acerto_Detalhado!$C$2:$C$433,"Fibra"))*(SUMIFS(Acerto_Detalhado!$I$2:$I$433,Acerto_Detalhado!$A$2:$A$433,$D2252,Acerto_Detalhado!$B$2:$B$433,"Jun",Acerto_Detalhado!$C$2:$C$433,"Fibra")),2)</f>
        <v>0</v>
      </c>
    </row>
    <row r="2253" customFormat="false" ht="15" hidden="false" customHeight="false" outlineLevel="0" collapsed="false">
      <c r="A2253" s="27" t="s">
        <v>116</v>
      </c>
      <c r="B2253" s="27" t="s">
        <v>111</v>
      </c>
      <c r="C2253" s="27" t="s">
        <v>39</v>
      </c>
      <c r="D2253" s="27" t="s">
        <v>44</v>
      </c>
      <c r="E2253" s="28" t="n">
        <f aca="false">ROUND((SUMIFS(Acerto_Detalhado!$F$2:$F$433,Acerto_Detalhado!$A$2:$A$433,$C2253,Acerto_Detalhado!$B$2:$B$433,"Jun",Acerto_Detalhado!$C$2:$C$433,"Fibra"))*(SUMIFS(Acerto_Detalhado!$I$2:$I$433,Acerto_Detalhado!$A$2:$A$433,$D2253,Acerto_Detalhado!$B$2:$B$433,"Jun",Acerto_Detalhado!$C$2:$C$433,"Fibra")),2)</f>
        <v>0</v>
      </c>
    </row>
    <row r="2254" customFormat="false" ht="15" hidden="false" customHeight="false" outlineLevel="0" collapsed="false">
      <c r="A2254" s="27" t="s">
        <v>116</v>
      </c>
      <c r="B2254" s="27" t="s">
        <v>111</v>
      </c>
      <c r="C2254" s="27" t="s">
        <v>39</v>
      </c>
      <c r="D2254" s="27" t="s">
        <v>45</v>
      </c>
      <c r="E2254" s="28" t="n">
        <f aca="false">ROUND((SUMIFS(Acerto_Detalhado!$F$2:$F$433,Acerto_Detalhado!$A$2:$A$433,$C2254,Acerto_Detalhado!$B$2:$B$433,"Jun",Acerto_Detalhado!$C$2:$C$433,"Fibra"))*(SUMIFS(Acerto_Detalhado!$I$2:$I$433,Acerto_Detalhado!$A$2:$A$433,$D2254,Acerto_Detalhado!$B$2:$B$433,"Jun",Acerto_Detalhado!$C$2:$C$433,"Fibra")),2)</f>
        <v>0</v>
      </c>
    </row>
    <row r="2255" customFormat="false" ht="15" hidden="false" customHeight="false" outlineLevel="0" collapsed="false">
      <c r="A2255" s="27" t="s">
        <v>116</v>
      </c>
      <c r="B2255" s="27" t="s">
        <v>111</v>
      </c>
      <c r="C2255" s="27" t="s">
        <v>39</v>
      </c>
      <c r="D2255" s="27" t="s">
        <v>46</v>
      </c>
      <c r="E2255" s="28" t="n">
        <f aca="false">ROUND((SUMIFS(Acerto_Detalhado!$F$2:$F$433,Acerto_Detalhado!$A$2:$A$433,$C2255,Acerto_Detalhado!$B$2:$B$433,"Jun",Acerto_Detalhado!$C$2:$C$433,"Fibra"))*(SUMIFS(Acerto_Detalhado!$I$2:$I$433,Acerto_Detalhado!$A$2:$A$433,$D2255,Acerto_Detalhado!$B$2:$B$433,"Jun",Acerto_Detalhado!$C$2:$C$433,"Fibra")),2)</f>
        <v>0</v>
      </c>
    </row>
    <row r="2256" customFormat="false" ht="15" hidden="false" customHeight="false" outlineLevel="0" collapsed="false">
      <c r="A2256" s="27" t="s">
        <v>116</v>
      </c>
      <c r="B2256" s="27" t="s">
        <v>111</v>
      </c>
      <c r="C2256" s="27" t="s">
        <v>39</v>
      </c>
      <c r="D2256" s="27" t="s">
        <v>47</v>
      </c>
      <c r="E2256" s="28" t="n">
        <f aca="false">ROUND((SUMIFS(Acerto_Detalhado!$F$2:$F$433,Acerto_Detalhado!$A$2:$A$433,$C2256,Acerto_Detalhado!$B$2:$B$433,"Jun",Acerto_Detalhado!$C$2:$C$433,"Fibra"))*(SUMIFS(Acerto_Detalhado!$I$2:$I$433,Acerto_Detalhado!$A$2:$A$433,$D2256,Acerto_Detalhado!$B$2:$B$433,"Jun",Acerto_Detalhado!$C$2:$C$433,"Fibra")),2)</f>
        <v>0</v>
      </c>
    </row>
    <row r="2257" customFormat="false" ht="15" hidden="false" customHeight="false" outlineLevel="0" collapsed="false">
      <c r="A2257" s="27" t="s">
        <v>116</v>
      </c>
      <c r="B2257" s="27" t="s">
        <v>111</v>
      </c>
      <c r="C2257" s="27" t="s">
        <v>39</v>
      </c>
      <c r="D2257" s="27" t="s">
        <v>48</v>
      </c>
      <c r="E2257" s="28" t="n">
        <f aca="false">ROUND((SUMIFS(Acerto_Detalhado!$F$2:$F$433,Acerto_Detalhado!$A$2:$A$433,$C2257,Acerto_Detalhado!$B$2:$B$433,"Jun",Acerto_Detalhado!$C$2:$C$433,"Fibra"))*(SUMIFS(Acerto_Detalhado!$I$2:$I$433,Acerto_Detalhado!$A$2:$A$433,$D2257,Acerto_Detalhado!$B$2:$B$433,"Jun",Acerto_Detalhado!$C$2:$C$433,"Fibra")),2)</f>
        <v>0</v>
      </c>
    </row>
    <row r="2258" customFormat="false" ht="15" hidden="false" customHeight="false" outlineLevel="0" collapsed="false">
      <c r="A2258" s="27" t="s">
        <v>116</v>
      </c>
      <c r="B2258" s="27" t="s">
        <v>111</v>
      </c>
      <c r="C2258" s="27" t="s">
        <v>39</v>
      </c>
      <c r="D2258" s="27" t="s">
        <v>49</v>
      </c>
      <c r="E2258" s="28" t="n">
        <f aca="false">ROUND((SUMIFS(Acerto_Detalhado!$F$2:$F$433,Acerto_Detalhado!$A$2:$A$433,$C2258,Acerto_Detalhado!$B$2:$B$433,"Jun",Acerto_Detalhado!$C$2:$C$433,"Fibra"))*(SUMIFS(Acerto_Detalhado!$I$2:$I$433,Acerto_Detalhado!$A$2:$A$433,$D2258,Acerto_Detalhado!$B$2:$B$433,"Jun",Acerto_Detalhado!$C$2:$C$433,"Fibra")),2)</f>
        <v>0</v>
      </c>
    </row>
    <row r="2259" customFormat="false" ht="15" hidden="false" customHeight="false" outlineLevel="0" collapsed="false">
      <c r="A2259" s="27" t="s">
        <v>116</v>
      </c>
      <c r="B2259" s="27" t="s">
        <v>111</v>
      </c>
      <c r="C2259" s="27" t="s">
        <v>39</v>
      </c>
      <c r="D2259" s="27" t="s">
        <v>50</v>
      </c>
      <c r="E2259" s="28" t="n">
        <f aca="false">ROUND((SUMIFS(Acerto_Detalhado!$F$2:$F$433,Acerto_Detalhado!$A$2:$A$433,$C2259,Acerto_Detalhado!$B$2:$B$433,"Jun",Acerto_Detalhado!$C$2:$C$433,"Fibra"))*(SUMIFS(Acerto_Detalhado!$I$2:$I$433,Acerto_Detalhado!$A$2:$A$433,$D2259,Acerto_Detalhado!$B$2:$B$433,"Jun",Acerto_Detalhado!$C$2:$C$433,"Fibra")),2)</f>
        <v>0</v>
      </c>
    </row>
    <row r="2260" customFormat="false" ht="15" hidden="false" customHeight="false" outlineLevel="0" collapsed="false">
      <c r="A2260" s="27" t="s">
        <v>116</v>
      </c>
      <c r="B2260" s="27" t="s">
        <v>111</v>
      </c>
      <c r="C2260" s="27" t="s">
        <v>40</v>
      </c>
      <c r="D2260" s="27" t="s">
        <v>39</v>
      </c>
      <c r="E2260" s="28" t="n">
        <f aca="false">ROUND((SUMIFS(Acerto_Detalhado!$F$2:$F$433,Acerto_Detalhado!$A$2:$A$433,$C2260,Acerto_Detalhado!$B$2:$B$433,"Jun",Acerto_Detalhado!$C$2:$C$433,"Fibra"))*(SUMIFS(Acerto_Detalhado!$I$2:$I$433,Acerto_Detalhado!$A$2:$A$433,$D2260,Acerto_Detalhado!$B$2:$B$433,"Jun",Acerto_Detalhado!$C$2:$C$433,"Fibra")),2)</f>
        <v>0</v>
      </c>
    </row>
    <row r="2261" customFormat="false" ht="15" hidden="false" customHeight="false" outlineLevel="0" collapsed="false">
      <c r="A2261" s="27" t="s">
        <v>116</v>
      </c>
      <c r="B2261" s="27" t="s">
        <v>111</v>
      </c>
      <c r="C2261" s="27" t="s">
        <v>40</v>
      </c>
      <c r="D2261" s="27" t="s">
        <v>41</v>
      </c>
      <c r="E2261" s="28" t="n">
        <f aca="false">ROUND((SUMIFS(Acerto_Detalhado!$F$2:$F$433,Acerto_Detalhado!$A$2:$A$433,$C2261,Acerto_Detalhado!$B$2:$B$433,"Jun",Acerto_Detalhado!$C$2:$C$433,"Fibra"))*(SUMIFS(Acerto_Detalhado!$I$2:$I$433,Acerto_Detalhado!$A$2:$A$433,$D2261,Acerto_Detalhado!$B$2:$B$433,"Jun",Acerto_Detalhado!$C$2:$C$433,"Fibra")),2)</f>
        <v>0</v>
      </c>
    </row>
    <row r="2262" customFormat="false" ht="15" hidden="false" customHeight="false" outlineLevel="0" collapsed="false">
      <c r="A2262" s="27" t="s">
        <v>116</v>
      </c>
      <c r="B2262" s="27" t="s">
        <v>111</v>
      </c>
      <c r="C2262" s="27" t="s">
        <v>40</v>
      </c>
      <c r="D2262" s="27" t="s">
        <v>42</v>
      </c>
      <c r="E2262" s="28" t="n">
        <f aca="false">ROUND((SUMIFS(Acerto_Detalhado!$F$2:$F$433,Acerto_Detalhado!$A$2:$A$433,$C2262,Acerto_Detalhado!$B$2:$B$433,"Jun",Acerto_Detalhado!$C$2:$C$433,"Fibra"))*(SUMIFS(Acerto_Detalhado!$I$2:$I$433,Acerto_Detalhado!$A$2:$A$433,$D2262,Acerto_Detalhado!$B$2:$B$433,"Jun",Acerto_Detalhado!$C$2:$C$433,"Fibra")),2)</f>
        <v>0</v>
      </c>
    </row>
    <row r="2263" customFormat="false" ht="15" hidden="false" customHeight="false" outlineLevel="0" collapsed="false">
      <c r="A2263" s="27" t="s">
        <v>116</v>
      </c>
      <c r="B2263" s="27" t="s">
        <v>111</v>
      </c>
      <c r="C2263" s="27" t="s">
        <v>40</v>
      </c>
      <c r="D2263" s="27" t="s">
        <v>43</v>
      </c>
      <c r="E2263" s="28" t="n">
        <f aca="false">ROUND((SUMIFS(Acerto_Detalhado!$F$2:$F$433,Acerto_Detalhado!$A$2:$A$433,$C2263,Acerto_Detalhado!$B$2:$B$433,"Jun",Acerto_Detalhado!$C$2:$C$433,"Fibra"))*(SUMIFS(Acerto_Detalhado!$I$2:$I$433,Acerto_Detalhado!$A$2:$A$433,$D2263,Acerto_Detalhado!$B$2:$B$433,"Jun",Acerto_Detalhado!$C$2:$C$433,"Fibra")),2)</f>
        <v>0</v>
      </c>
    </row>
    <row r="2264" customFormat="false" ht="15" hidden="false" customHeight="false" outlineLevel="0" collapsed="false">
      <c r="A2264" s="27" t="s">
        <v>116</v>
      </c>
      <c r="B2264" s="27" t="s">
        <v>111</v>
      </c>
      <c r="C2264" s="27" t="s">
        <v>40</v>
      </c>
      <c r="D2264" s="27" t="s">
        <v>44</v>
      </c>
      <c r="E2264" s="28" t="n">
        <f aca="false">ROUND((SUMIFS(Acerto_Detalhado!$F$2:$F$433,Acerto_Detalhado!$A$2:$A$433,$C2264,Acerto_Detalhado!$B$2:$B$433,"Jun",Acerto_Detalhado!$C$2:$C$433,"Fibra"))*(SUMIFS(Acerto_Detalhado!$I$2:$I$433,Acerto_Detalhado!$A$2:$A$433,$D2264,Acerto_Detalhado!$B$2:$B$433,"Jun",Acerto_Detalhado!$C$2:$C$433,"Fibra")),2)</f>
        <v>0</v>
      </c>
    </row>
    <row r="2265" customFormat="false" ht="15" hidden="false" customHeight="false" outlineLevel="0" collapsed="false">
      <c r="A2265" s="27" t="s">
        <v>116</v>
      </c>
      <c r="B2265" s="27" t="s">
        <v>111</v>
      </c>
      <c r="C2265" s="27" t="s">
        <v>40</v>
      </c>
      <c r="D2265" s="27" t="s">
        <v>45</v>
      </c>
      <c r="E2265" s="28" t="n">
        <f aca="false">ROUND((SUMIFS(Acerto_Detalhado!$F$2:$F$433,Acerto_Detalhado!$A$2:$A$433,$C2265,Acerto_Detalhado!$B$2:$B$433,"Jun",Acerto_Detalhado!$C$2:$C$433,"Fibra"))*(SUMIFS(Acerto_Detalhado!$I$2:$I$433,Acerto_Detalhado!$A$2:$A$433,$D2265,Acerto_Detalhado!$B$2:$B$433,"Jun",Acerto_Detalhado!$C$2:$C$433,"Fibra")),2)</f>
        <v>0</v>
      </c>
    </row>
    <row r="2266" customFormat="false" ht="15" hidden="false" customHeight="false" outlineLevel="0" collapsed="false">
      <c r="A2266" s="27" t="s">
        <v>116</v>
      </c>
      <c r="B2266" s="27" t="s">
        <v>111</v>
      </c>
      <c r="C2266" s="27" t="s">
        <v>40</v>
      </c>
      <c r="D2266" s="27" t="s">
        <v>46</v>
      </c>
      <c r="E2266" s="28" t="n">
        <f aca="false">ROUND((SUMIFS(Acerto_Detalhado!$F$2:$F$433,Acerto_Detalhado!$A$2:$A$433,$C2266,Acerto_Detalhado!$B$2:$B$433,"Jun",Acerto_Detalhado!$C$2:$C$433,"Fibra"))*(SUMIFS(Acerto_Detalhado!$I$2:$I$433,Acerto_Detalhado!$A$2:$A$433,$D2266,Acerto_Detalhado!$B$2:$B$433,"Jun",Acerto_Detalhado!$C$2:$C$433,"Fibra")),2)</f>
        <v>0</v>
      </c>
    </row>
    <row r="2267" customFormat="false" ht="15" hidden="false" customHeight="false" outlineLevel="0" collapsed="false">
      <c r="A2267" s="27" t="s">
        <v>116</v>
      </c>
      <c r="B2267" s="27" t="s">
        <v>111</v>
      </c>
      <c r="C2267" s="27" t="s">
        <v>40</v>
      </c>
      <c r="D2267" s="27" t="s">
        <v>47</v>
      </c>
      <c r="E2267" s="28" t="n">
        <f aca="false">ROUND((SUMIFS(Acerto_Detalhado!$F$2:$F$433,Acerto_Detalhado!$A$2:$A$433,$C2267,Acerto_Detalhado!$B$2:$B$433,"Jun",Acerto_Detalhado!$C$2:$C$433,"Fibra"))*(SUMIFS(Acerto_Detalhado!$I$2:$I$433,Acerto_Detalhado!$A$2:$A$433,$D2267,Acerto_Detalhado!$B$2:$B$433,"Jun",Acerto_Detalhado!$C$2:$C$433,"Fibra")),2)</f>
        <v>0</v>
      </c>
    </row>
    <row r="2268" customFormat="false" ht="15" hidden="false" customHeight="false" outlineLevel="0" collapsed="false">
      <c r="A2268" s="27" t="s">
        <v>116</v>
      </c>
      <c r="B2268" s="27" t="s">
        <v>111</v>
      </c>
      <c r="C2268" s="27" t="s">
        <v>40</v>
      </c>
      <c r="D2268" s="27" t="s">
        <v>48</v>
      </c>
      <c r="E2268" s="28" t="n">
        <f aca="false">ROUND((SUMIFS(Acerto_Detalhado!$F$2:$F$433,Acerto_Detalhado!$A$2:$A$433,$C2268,Acerto_Detalhado!$B$2:$B$433,"Jun",Acerto_Detalhado!$C$2:$C$433,"Fibra"))*(SUMIFS(Acerto_Detalhado!$I$2:$I$433,Acerto_Detalhado!$A$2:$A$433,$D2268,Acerto_Detalhado!$B$2:$B$433,"Jun",Acerto_Detalhado!$C$2:$C$433,"Fibra")),2)</f>
        <v>0</v>
      </c>
    </row>
    <row r="2269" customFormat="false" ht="15" hidden="false" customHeight="false" outlineLevel="0" collapsed="false">
      <c r="A2269" s="27" t="s">
        <v>116</v>
      </c>
      <c r="B2269" s="27" t="s">
        <v>111</v>
      </c>
      <c r="C2269" s="27" t="s">
        <v>40</v>
      </c>
      <c r="D2269" s="27" t="s">
        <v>49</v>
      </c>
      <c r="E2269" s="28" t="n">
        <f aca="false">ROUND((SUMIFS(Acerto_Detalhado!$F$2:$F$433,Acerto_Detalhado!$A$2:$A$433,$C2269,Acerto_Detalhado!$B$2:$B$433,"Jun",Acerto_Detalhado!$C$2:$C$433,"Fibra"))*(SUMIFS(Acerto_Detalhado!$I$2:$I$433,Acerto_Detalhado!$A$2:$A$433,$D2269,Acerto_Detalhado!$B$2:$B$433,"Jun",Acerto_Detalhado!$C$2:$C$433,"Fibra")),2)</f>
        <v>0</v>
      </c>
    </row>
    <row r="2270" customFormat="false" ht="15" hidden="false" customHeight="false" outlineLevel="0" collapsed="false">
      <c r="A2270" s="27" t="s">
        <v>116</v>
      </c>
      <c r="B2270" s="27" t="s">
        <v>111</v>
      </c>
      <c r="C2270" s="27" t="s">
        <v>40</v>
      </c>
      <c r="D2270" s="27" t="s">
        <v>50</v>
      </c>
      <c r="E2270" s="28" t="n">
        <f aca="false">ROUND((SUMIFS(Acerto_Detalhado!$F$2:$F$433,Acerto_Detalhado!$A$2:$A$433,$C2270,Acerto_Detalhado!$B$2:$B$433,"Jun",Acerto_Detalhado!$C$2:$C$433,"Fibra"))*(SUMIFS(Acerto_Detalhado!$I$2:$I$433,Acerto_Detalhado!$A$2:$A$433,$D2270,Acerto_Detalhado!$B$2:$B$433,"Jun",Acerto_Detalhado!$C$2:$C$433,"Fibra")),2)</f>
        <v>0</v>
      </c>
    </row>
    <row r="2271" customFormat="false" ht="15" hidden="false" customHeight="false" outlineLevel="0" collapsed="false">
      <c r="A2271" s="27" t="s">
        <v>116</v>
      </c>
      <c r="B2271" s="27" t="s">
        <v>111</v>
      </c>
      <c r="C2271" s="27" t="s">
        <v>41</v>
      </c>
      <c r="D2271" s="27" t="s">
        <v>39</v>
      </c>
      <c r="E2271" s="28" t="n">
        <f aca="false">ROUND((SUMIFS(Acerto_Detalhado!$F$2:$F$433,Acerto_Detalhado!$A$2:$A$433,$C2271,Acerto_Detalhado!$B$2:$B$433,"Jun",Acerto_Detalhado!$C$2:$C$433,"Fibra"))*(SUMIFS(Acerto_Detalhado!$I$2:$I$433,Acerto_Detalhado!$A$2:$A$433,$D2271,Acerto_Detalhado!$B$2:$B$433,"Jun",Acerto_Detalhado!$C$2:$C$433,"Fibra")),2)</f>
        <v>0</v>
      </c>
    </row>
    <row r="2272" customFormat="false" ht="15" hidden="false" customHeight="false" outlineLevel="0" collapsed="false">
      <c r="A2272" s="27" t="s">
        <v>116</v>
      </c>
      <c r="B2272" s="27" t="s">
        <v>111</v>
      </c>
      <c r="C2272" s="27" t="s">
        <v>41</v>
      </c>
      <c r="D2272" s="27" t="s">
        <v>40</v>
      </c>
      <c r="E2272" s="28" t="n">
        <f aca="false">ROUND((SUMIFS(Acerto_Detalhado!$F$2:$F$433,Acerto_Detalhado!$A$2:$A$433,$C2272,Acerto_Detalhado!$B$2:$B$433,"Jun",Acerto_Detalhado!$C$2:$C$433,"Fibra"))*(SUMIFS(Acerto_Detalhado!$I$2:$I$433,Acerto_Detalhado!$A$2:$A$433,$D2272,Acerto_Detalhado!$B$2:$B$433,"Jun",Acerto_Detalhado!$C$2:$C$433,"Fibra")),2)</f>
        <v>0</v>
      </c>
    </row>
    <row r="2273" customFormat="false" ht="15" hidden="false" customHeight="false" outlineLevel="0" collapsed="false">
      <c r="A2273" s="27" t="s">
        <v>116</v>
      </c>
      <c r="B2273" s="27" t="s">
        <v>111</v>
      </c>
      <c r="C2273" s="27" t="s">
        <v>41</v>
      </c>
      <c r="D2273" s="27" t="s">
        <v>42</v>
      </c>
      <c r="E2273" s="28" t="n">
        <f aca="false">ROUND((SUMIFS(Acerto_Detalhado!$F$2:$F$433,Acerto_Detalhado!$A$2:$A$433,$C2273,Acerto_Detalhado!$B$2:$B$433,"Jun",Acerto_Detalhado!$C$2:$C$433,"Fibra"))*(SUMIFS(Acerto_Detalhado!$I$2:$I$433,Acerto_Detalhado!$A$2:$A$433,$D2273,Acerto_Detalhado!$B$2:$B$433,"Jun",Acerto_Detalhado!$C$2:$C$433,"Fibra")),2)</f>
        <v>0</v>
      </c>
    </row>
    <row r="2274" customFormat="false" ht="15" hidden="false" customHeight="false" outlineLevel="0" collapsed="false">
      <c r="A2274" s="27" t="s">
        <v>116</v>
      </c>
      <c r="B2274" s="27" t="s">
        <v>111</v>
      </c>
      <c r="C2274" s="27" t="s">
        <v>41</v>
      </c>
      <c r="D2274" s="27" t="s">
        <v>43</v>
      </c>
      <c r="E2274" s="28" t="n">
        <f aca="false">ROUND((SUMIFS(Acerto_Detalhado!$F$2:$F$433,Acerto_Detalhado!$A$2:$A$433,$C2274,Acerto_Detalhado!$B$2:$B$433,"Jun",Acerto_Detalhado!$C$2:$C$433,"Fibra"))*(SUMIFS(Acerto_Detalhado!$I$2:$I$433,Acerto_Detalhado!$A$2:$A$433,$D2274,Acerto_Detalhado!$B$2:$B$433,"Jun",Acerto_Detalhado!$C$2:$C$433,"Fibra")),2)</f>
        <v>0</v>
      </c>
    </row>
    <row r="2275" customFormat="false" ht="15" hidden="false" customHeight="false" outlineLevel="0" collapsed="false">
      <c r="A2275" s="27" t="s">
        <v>116</v>
      </c>
      <c r="B2275" s="27" t="s">
        <v>111</v>
      </c>
      <c r="C2275" s="27" t="s">
        <v>41</v>
      </c>
      <c r="D2275" s="27" t="s">
        <v>44</v>
      </c>
      <c r="E2275" s="28" t="n">
        <f aca="false">ROUND((SUMIFS(Acerto_Detalhado!$F$2:$F$433,Acerto_Detalhado!$A$2:$A$433,$C2275,Acerto_Detalhado!$B$2:$B$433,"Jun",Acerto_Detalhado!$C$2:$C$433,"Fibra"))*(SUMIFS(Acerto_Detalhado!$I$2:$I$433,Acerto_Detalhado!$A$2:$A$433,$D2275,Acerto_Detalhado!$B$2:$B$433,"Jun",Acerto_Detalhado!$C$2:$C$433,"Fibra")),2)</f>
        <v>0</v>
      </c>
    </row>
    <row r="2276" customFormat="false" ht="15" hidden="false" customHeight="false" outlineLevel="0" collapsed="false">
      <c r="A2276" s="27" t="s">
        <v>116</v>
      </c>
      <c r="B2276" s="27" t="s">
        <v>111</v>
      </c>
      <c r="C2276" s="27" t="s">
        <v>41</v>
      </c>
      <c r="D2276" s="27" t="s">
        <v>45</v>
      </c>
      <c r="E2276" s="28" t="n">
        <f aca="false">ROUND((SUMIFS(Acerto_Detalhado!$F$2:$F$433,Acerto_Detalhado!$A$2:$A$433,$C2276,Acerto_Detalhado!$B$2:$B$433,"Jun",Acerto_Detalhado!$C$2:$C$433,"Fibra"))*(SUMIFS(Acerto_Detalhado!$I$2:$I$433,Acerto_Detalhado!$A$2:$A$433,$D2276,Acerto_Detalhado!$B$2:$B$433,"Jun",Acerto_Detalhado!$C$2:$C$433,"Fibra")),2)</f>
        <v>0</v>
      </c>
    </row>
    <row r="2277" customFormat="false" ht="15" hidden="false" customHeight="false" outlineLevel="0" collapsed="false">
      <c r="A2277" s="27" t="s">
        <v>116</v>
      </c>
      <c r="B2277" s="27" t="s">
        <v>111</v>
      </c>
      <c r="C2277" s="27" t="s">
        <v>41</v>
      </c>
      <c r="D2277" s="27" t="s">
        <v>46</v>
      </c>
      <c r="E2277" s="28" t="n">
        <f aca="false">ROUND((SUMIFS(Acerto_Detalhado!$F$2:$F$433,Acerto_Detalhado!$A$2:$A$433,$C2277,Acerto_Detalhado!$B$2:$B$433,"Jun",Acerto_Detalhado!$C$2:$C$433,"Fibra"))*(SUMIFS(Acerto_Detalhado!$I$2:$I$433,Acerto_Detalhado!$A$2:$A$433,$D2277,Acerto_Detalhado!$B$2:$B$433,"Jun",Acerto_Detalhado!$C$2:$C$433,"Fibra")),2)</f>
        <v>0</v>
      </c>
    </row>
    <row r="2278" customFormat="false" ht="15" hidden="false" customHeight="false" outlineLevel="0" collapsed="false">
      <c r="A2278" s="27" t="s">
        <v>116</v>
      </c>
      <c r="B2278" s="27" t="s">
        <v>111</v>
      </c>
      <c r="C2278" s="27" t="s">
        <v>41</v>
      </c>
      <c r="D2278" s="27" t="s">
        <v>47</v>
      </c>
      <c r="E2278" s="28" t="n">
        <f aca="false">ROUND((SUMIFS(Acerto_Detalhado!$F$2:$F$433,Acerto_Detalhado!$A$2:$A$433,$C2278,Acerto_Detalhado!$B$2:$B$433,"Jun",Acerto_Detalhado!$C$2:$C$433,"Fibra"))*(SUMIFS(Acerto_Detalhado!$I$2:$I$433,Acerto_Detalhado!$A$2:$A$433,$D2278,Acerto_Detalhado!$B$2:$B$433,"Jun",Acerto_Detalhado!$C$2:$C$433,"Fibra")),2)</f>
        <v>0</v>
      </c>
    </row>
    <row r="2279" customFormat="false" ht="15" hidden="false" customHeight="false" outlineLevel="0" collapsed="false">
      <c r="A2279" s="27" t="s">
        <v>116</v>
      </c>
      <c r="B2279" s="27" t="s">
        <v>111</v>
      </c>
      <c r="C2279" s="27" t="s">
        <v>41</v>
      </c>
      <c r="D2279" s="27" t="s">
        <v>48</v>
      </c>
      <c r="E2279" s="28" t="n">
        <f aca="false">ROUND((SUMIFS(Acerto_Detalhado!$F$2:$F$433,Acerto_Detalhado!$A$2:$A$433,$C2279,Acerto_Detalhado!$B$2:$B$433,"Jun",Acerto_Detalhado!$C$2:$C$433,"Fibra"))*(SUMIFS(Acerto_Detalhado!$I$2:$I$433,Acerto_Detalhado!$A$2:$A$433,$D2279,Acerto_Detalhado!$B$2:$B$433,"Jun",Acerto_Detalhado!$C$2:$C$433,"Fibra")),2)</f>
        <v>0</v>
      </c>
    </row>
    <row r="2280" customFormat="false" ht="15" hidden="false" customHeight="false" outlineLevel="0" collapsed="false">
      <c r="A2280" s="27" t="s">
        <v>116</v>
      </c>
      <c r="B2280" s="27" t="s">
        <v>111</v>
      </c>
      <c r="C2280" s="27" t="s">
        <v>41</v>
      </c>
      <c r="D2280" s="27" t="s">
        <v>49</v>
      </c>
      <c r="E2280" s="28" t="n">
        <f aca="false">ROUND((SUMIFS(Acerto_Detalhado!$F$2:$F$433,Acerto_Detalhado!$A$2:$A$433,$C2280,Acerto_Detalhado!$B$2:$B$433,"Jun",Acerto_Detalhado!$C$2:$C$433,"Fibra"))*(SUMIFS(Acerto_Detalhado!$I$2:$I$433,Acerto_Detalhado!$A$2:$A$433,$D2280,Acerto_Detalhado!$B$2:$B$433,"Jun",Acerto_Detalhado!$C$2:$C$433,"Fibra")),2)</f>
        <v>0</v>
      </c>
    </row>
    <row r="2281" customFormat="false" ht="15" hidden="false" customHeight="false" outlineLevel="0" collapsed="false">
      <c r="A2281" s="27" t="s">
        <v>116</v>
      </c>
      <c r="B2281" s="27" t="s">
        <v>111</v>
      </c>
      <c r="C2281" s="27" t="s">
        <v>41</v>
      </c>
      <c r="D2281" s="27" t="s">
        <v>50</v>
      </c>
      <c r="E2281" s="28" t="n">
        <f aca="false">ROUND((SUMIFS(Acerto_Detalhado!$F$2:$F$433,Acerto_Detalhado!$A$2:$A$433,$C2281,Acerto_Detalhado!$B$2:$B$433,"Jun",Acerto_Detalhado!$C$2:$C$433,"Fibra"))*(SUMIFS(Acerto_Detalhado!$I$2:$I$433,Acerto_Detalhado!$A$2:$A$433,$D2281,Acerto_Detalhado!$B$2:$B$433,"Jun",Acerto_Detalhado!$C$2:$C$433,"Fibra")),2)</f>
        <v>0</v>
      </c>
    </row>
    <row r="2282" customFormat="false" ht="15" hidden="false" customHeight="false" outlineLevel="0" collapsed="false">
      <c r="A2282" s="27" t="s">
        <v>116</v>
      </c>
      <c r="B2282" s="27" t="s">
        <v>111</v>
      </c>
      <c r="C2282" s="27" t="s">
        <v>42</v>
      </c>
      <c r="D2282" s="27" t="s">
        <v>39</v>
      </c>
      <c r="E2282" s="28" t="n">
        <f aca="false">ROUND((SUMIFS(Acerto_Detalhado!$F$2:$F$433,Acerto_Detalhado!$A$2:$A$433,$C2282,Acerto_Detalhado!$B$2:$B$433,"Jun",Acerto_Detalhado!$C$2:$C$433,"Fibra"))*(SUMIFS(Acerto_Detalhado!$I$2:$I$433,Acerto_Detalhado!$A$2:$A$433,$D2282,Acerto_Detalhado!$B$2:$B$433,"Jun",Acerto_Detalhado!$C$2:$C$433,"Fibra")),2)</f>
        <v>1811.03</v>
      </c>
    </row>
    <row r="2283" customFormat="false" ht="15" hidden="false" customHeight="false" outlineLevel="0" collapsed="false">
      <c r="A2283" s="27" t="s">
        <v>116</v>
      </c>
      <c r="B2283" s="27" t="s">
        <v>111</v>
      </c>
      <c r="C2283" s="27" t="s">
        <v>42</v>
      </c>
      <c r="D2283" s="27" t="s">
        <v>40</v>
      </c>
      <c r="E2283" s="28" t="n">
        <f aca="false">ROUND((SUMIFS(Acerto_Detalhado!$F$2:$F$433,Acerto_Detalhado!$A$2:$A$433,$C2283,Acerto_Detalhado!$B$2:$B$433,"Jun",Acerto_Detalhado!$C$2:$C$433,"Fibra"))*(SUMIFS(Acerto_Detalhado!$I$2:$I$433,Acerto_Detalhado!$A$2:$A$433,$D2283,Acerto_Detalhado!$B$2:$B$433,"Jun",Acerto_Detalhado!$C$2:$C$433,"Fibra")),2)</f>
        <v>1971.6</v>
      </c>
    </row>
    <row r="2284" customFormat="false" ht="15" hidden="false" customHeight="false" outlineLevel="0" collapsed="false">
      <c r="A2284" s="27" t="s">
        <v>116</v>
      </c>
      <c r="B2284" s="27" t="s">
        <v>111</v>
      </c>
      <c r="C2284" s="27" t="s">
        <v>42</v>
      </c>
      <c r="D2284" s="27" t="s">
        <v>41</v>
      </c>
      <c r="E2284" s="28" t="n">
        <f aca="false">ROUND((SUMIFS(Acerto_Detalhado!$F$2:$F$433,Acerto_Detalhado!$A$2:$A$433,$C2284,Acerto_Detalhado!$B$2:$B$433,"Jun",Acerto_Detalhado!$C$2:$C$433,"Fibra"))*(SUMIFS(Acerto_Detalhado!$I$2:$I$433,Acerto_Detalhado!$A$2:$A$433,$D2284,Acerto_Detalhado!$B$2:$B$433,"Jun",Acerto_Detalhado!$C$2:$C$433,"Fibra")),2)</f>
        <v>1817.31</v>
      </c>
    </row>
    <row r="2285" customFormat="false" ht="15" hidden="false" customHeight="false" outlineLevel="0" collapsed="false">
      <c r="A2285" s="27" t="s">
        <v>116</v>
      </c>
      <c r="B2285" s="27" t="s">
        <v>111</v>
      </c>
      <c r="C2285" s="27" t="s">
        <v>42</v>
      </c>
      <c r="D2285" s="27" t="s">
        <v>43</v>
      </c>
      <c r="E2285" s="28" t="n">
        <f aca="false">ROUND((SUMIFS(Acerto_Detalhado!$F$2:$F$433,Acerto_Detalhado!$A$2:$A$433,$C2285,Acerto_Detalhado!$B$2:$B$433,"Jun",Acerto_Detalhado!$C$2:$C$433,"Fibra"))*(SUMIFS(Acerto_Detalhado!$I$2:$I$433,Acerto_Detalhado!$A$2:$A$433,$D2285,Acerto_Detalhado!$B$2:$B$433,"Jun",Acerto_Detalhado!$C$2:$C$433,"Fibra")),2)</f>
        <v>0</v>
      </c>
    </row>
    <row r="2286" customFormat="false" ht="15" hidden="false" customHeight="false" outlineLevel="0" collapsed="false">
      <c r="A2286" s="27" t="s">
        <v>116</v>
      </c>
      <c r="B2286" s="27" t="s">
        <v>111</v>
      </c>
      <c r="C2286" s="27" t="s">
        <v>42</v>
      </c>
      <c r="D2286" s="27" t="s">
        <v>44</v>
      </c>
      <c r="E2286" s="28" t="n">
        <f aca="false">ROUND((SUMIFS(Acerto_Detalhado!$F$2:$F$433,Acerto_Detalhado!$A$2:$A$433,$C2286,Acerto_Detalhado!$B$2:$B$433,"Jun",Acerto_Detalhado!$C$2:$C$433,"Fibra"))*(SUMIFS(Acerto_Detalhado!$I$2:$I$433,Acerto_Detalhado!$A$2:$A$433,$D2286,Acerto_Detalhado!$B$2:$B$433,"Jun",Acerto_Detalhado!$C$2:$C$433,"Fibra")),2)</f>
        <v>0</v>
      </c>
    </row>
    <row r="2287" customFormat="false" ht="15" hidden="false" customHeight="false" outlineLevel="0" collapsed="false">
      <c r="A2287" s="27" t="s">
        <v>116</v>
      </c>
      <c r="B2287" s="27" t="s">
        <v>111</v>
      </c>
      <c r="C2287" s="27" t="s">
        <v>42</v>
      </c>
      <c r="D2287" s="27" t="s">
        <v>45</v>
      </c>
      <c r="E2287" s="28" t="n">
        <f aca="false">ROUND((SUMIFS(Acerto_Detalhado!$F$2:$F$433,Acerto_Detalhado!$A$2:$A$433,$C2287,Acerto_Detalhado!$B$2:$B$433,"Jun",Acerto_Detalhado!$C$2:$C$433,"Fibra"))*(SUMIFS(Acerto_Detalhado!$I$2:$I$433,Acerto_Detalhado!$A$2:$A$433,$D2287,Acerto_Detalhado!$B$2:$B$433,"Jun",Acerto_Detalhado!$C$2:$C$433,"Fibra")),2)</f>
        <v>0</v>
      </c>
    </row>
    <row r="2288" customFormat="false" ht="15" hidden="false" customHeight="false" outlineLevel="0" collapsed="false">
      <c r="A2288" s="27" t="s">
        <v>116</v>
      </c>
      <c r="B2288" s="27" t="s">
        <v>111</v>
      </c>
      <c r="C2288" s="27" t="s">
        <v>42</v>
      </c>
      <c r="D2288" s="27" t="s">
        <v>46</v>
      </c>
      <c r="E2288" s="28" t="n">
        <f aca="false">ROUND((SUMIFS(Acerto_Detalhado!$F$2:$F$433,Acerto_Detalhado!$A$2:$A$433,$C2288,Acerto_Detalhado!$B$2:$B$433,"Jun",Acerto_Detalhado!$C$2:$C$433,"Fibra"))*(SUMIFS(Acerto_Detalhado!$I$2:$I$433,Acerto_Detalhado!$A$2:$A$433,$D2288,Acerto_Detalhado!$B$2:$B$433,"Jun",Acerto_Detalhado!$C$2:$C$433,"Fibra")),2)</f>
        <v>0</v>
      </c>
    </row>
    <row r="2289" customFormat="false" ht="15" hidden="false" customHeight="false" outlineLevel="0" collapsed="false">
      <c r="A2289" s="27" t="s">
        <v>116</v>
      </c>
      <c r="B2289" s="27" t="s">
        <v>111</v>
      </c>
      <c r="C2289" s="27" t="s">
        <v>42</v>
      </c>
      <c r="D2289" s="27" t="s">
        <v>47</v>
      </c>
      <c r="E2289" s="28" t="n">
        <f aca="false">ROUND((SUMIFS(Acerto_Detalhado!$F$2:$F$433,Acerto_Detalhado!$A$2:$A$433,$C2289,Acerto_Detalhado!$B$2:$B$433,"Jun",Acerto_Detalhado!$C$2:$C$433,"Fibra"))*(SUMIFS(Acerto_Detalhado!$I$2:$I$433,Acerto_Detalhado!$A$2:$A$433,$D2289,Acerto_Detalhado!$B$2:$B$433,"Jun",Acerto_Detalhado!$C$2:$C$433,"Fibra")),2)</f>
        <v>0</v>
      </c>
    </row>
    <row r="2290" customFormat="false" ht="15" hidden="false" customHeight="false" outlineLevel="0" collapsed="false">
      <c r="A2290" s="27" t="s">
        <v>116</v>
      </c>
      <c r="B2290" s="27" t="s">
        <v>111</v>
      </c>
      <c r="C2290" s="27" t="s">
        <v>42</v>
      </c>
      <c r="D2290" s="27" t="s">
        <v>48</v>
      </c>
      <c r="E2290" s="28" t="n">
        <f aca="false">ROUND((SUMIFS(Acerto_Detalhado!$F$2:$F$433,Acerto_Detalhado!$A$2:$A$433,$C2290,Acerto_Detalhado!$B$2:$B$433,"Jun",Acerto_Detalhado!$C$2:$C$433,"Fibra"))*(SUMIFS(Acerto_Detalhado!$I$2:$I$433,Acerto_Detalhado!$A$2:$A$433,$D2290,Acerto_Detalhado!$B$2:$B$433,"Jun",Acerto_Detalhado!$C$2:$C$433,"Fibra")),2)</f>
        <v>0</v>
      </c>
    </row>
    <row r="2291" customFormat="false" ht="15" hidden="false" customHeight="false" outlineLevel="0" collapsed="false">
      <c r="A2291" s="27" t="s">
        <v>116</v>
      </c>
      <c r="B2291" s="27" t="s">
        <v>111</v>
      </c>
      <c r="C2291" s="27" t="s">
        <v>42</v>
      </c>
      <c r="D2291" s="27" t="s">
        <v>49</v>
      </c>
      <c r="E2291" s="28" t="n">
        <f aca="false">ROUND((SUMIFS(Acerto_Detalhado!$F$2:$F$433,Acerto_Detalhado!$A$2:$A$433,$C2291,Acerto_Detalhado!$B$2:$B$433,"Jun",Acerto_Detalhado!$C$2:$C$433,"Fibra"))*(SUMIFS(Acerto_Detalhado!$I$2:$I$433,Acerto_Detalhado!$A$2:$A$433,$D2291,Acerto_Detalhado!$B$2:$B$433,"Jun",Acerto_Detalhado!$C$2:$C$433,"Fibra")),2)</f>
        <v>0</v>
      </c>
    </row>
    <row r="2292" customFormat="false" ht="15" hidden="false" customHeight="false" outlineLevel="0" collapsed="false">
      <c r="A2292" s="27" t="s">
        <v>116</v>
      </c>
      <c r="B2292" s="27" t="s">
        <v>111</v>
      </c>
      <c r="C2292" s="27" t="s">
        <v>42</v>
      </c>
      <c r="D2292" s="27" t="s">
        <v>50</v>
      </c>
      <c r="E2292" s="28" t="n">
        <f aca="false">ROUND((SUMIFS(Acerto_Detalhado!$F$2:$F$433,Acerto_Detalhado!$A$2:$A$433,$C2292,Acerto_Detalhado!$B$2:$B$433,"Jun",Acerto_Detalhado!$C$2:$C$433,"Fibra"))*(SUMIFS(Acerto_Detalhado!$I$2:$I$433,Acerto_Detalhado!$A$2:$A$433,$D2292,Acerto_Detalhado!$B$2:$B$433,"Jun",Acerto_Detalhado!$C$2:$C$433,"Fibra")),2)</f>
        <v>0</v>
      </c>
    </row>
    <row r="2293" customFormat="false" ht="15" hidden="false" customHeight="false" outlineLevel="0" collapsed="false">
      <c r="A2293" s="27" t="s">
        <v>116</v>
      </c>
      <c r="B2293" s="27" t="s">
        <v>111</v>
      </c>
      <c r="C2293" s="27" t="s">
        <v>43</v>
      </c>
      <c r="D2293" s="27" t="s">
        <v>39</v>
      </c>
      <c r="E2293" s="28" t="n">
        <f aca="false">ROUND((SUMIFS(Acerto_Detalhado!$F$2:$F$433,Acerto_Detalhado!$A$2:$A$433,$C2293,Acerto_Detalhado!$B$2:$B$433,"Jun",Acerto_Detalhado!$C$2:$C$433,"Fibra"))*(SUMIFS(Acerto_Detalhado!$I$2:$I$433,Acerto_Detalhado!$A$2:$A$433,$D2293,Acerto_Detalhado!$B$2:$B$433,"Jun",Acerto_Detalhado!$C$2:$C$433,"Fibra")),2)</f>
        <v>5110.9</v>
      </c>
    </row>
    <row r="2294" customFormat="false" ht="15" hidden="false" customHeight="false" outlineLevel="0" collapsed="false">
      <c r="A2294" s="27" t="s">
        <v>116</v>
      </c>
      <c r="B2294" s="27" t="s">
        <v>111</v>
      </c>
      <c r="C2294" s="27" t="s">
        <v>43</v>
      </c>
      <c r="D2294" s="27" t="s">
        <v>40</v>
      </c>
      <c r="E2294" s="28" t="n">
        <f aca="false">ROUND((SUMIFS(Acerto_Detalhado!$F$2:$F$433,Acerto_Detalhado!$A$2:$A$433,$C2294,Acerto_Detalhado!$B$2:$B$433,"Jun",Acerto_Detalhado!$C$2:$C$433,"Fibra"))*(SUMIFS(Acerto_Detalhado!$I$2:$I$433,Acerto_Detalhado!$A$2:$A$433,$D2294,Acerto_Detalhado!$B$2:$B$433,"Jun",Acerto_Detalhado!$C$2:$C$433,"Fibra")),2)</f>
        <v>5564.04</v>
      </c>
    </row>
    <row r="2295" customFormat="false" ht="15" hidden="false" customHeight="false" outlineLevel="0" collapsed="false">
      <c r="A2295" s="27" t="s">
        <v>116</v>
      </c>
      <c r="B2295" s="27" t="s">
        <v>111</v>
      </c>
      <c r="C2295" s="27" t="s">
        <v>43</v>
      </c>
      <c r="D2295" s="27" t="s">
        <v>41</v>
      </c>
      <c r="E2295" s="28" t="n">
        <f aca="false">ROUND((SUMIFS(Acerto_Detalhado!$F$2:$F$433,Acerto_Detalhado!$A$2:$A$433,$C2295,Acerto_Detalhado!$B$2:$B$433,"Jun",Acerto_Detalhado!$C$2:$C$433,"Fibra"))*(SUMIFS(Acerto_Detalhado!$I$2:$I$433,Acerto_Detalhado!$A$2:$A$433,$D2295,Acerto_Detalhado!$B$2:$B$433,"Jun",Acerto_Detalhado!$C$2:$C$433,"Fibra")),2)</f>
        <v>5128.61</v>
      </c>
    </row>
    <row r="2296" customFormat="false" ht="15" hidden="false" customHeight="false" outlineLevel="0" collapsed="false">
      <c r="A2296" s="27" t="s">
        <v>116</v>
      </c>
      <c r="B2296" s="27" t="s">
        <v>111</v>
      </c>
      <c r="C2296" s="27" t="s">
        <v>43</v>
      </c>
      <c r="D2296" s="27" t="s">
        <v>42</v>
      </c>
      <c r="E2296" s="28" t="n">
        <f aca="false">ROUND((SUMIFS(Acerto_Detalhado!$F$2:$F$433,Acerto_Detalhado!$A$2:$A$433,$C2296,Acerto_Detalhado!$B$2:$B$433,"Jun",Acerto_Detalhado!$C$2:$C$433,"Fibra"))*(SUMIFS(Acerto_Detalhado!$I$2:$I$433,Acerto_Detalhado!$A$2:$A$433,$D2296,Acerto_Detalhado!$B$2:$B$433,"Jun",Acerto_Detalhado!$C$2:$C$433,"Fibra")),2)</f>
        <v>0</v>
      </c>
    </row>
    <row r="2297" customFormat="false" ht="15" hidden="false" customHeight="false" outlineLevel="0" collapsed="false">
      <c r="A2297" s="27" t="s">
        <v>116</v>
      </c>
      <c r="B2297" s="27" t="s">
        <v>111</v>
      </c>
      <c r="C2297" s="27" t="s">
        <v>43</v>
      </c>
      <c r="D2297" s="27" t="s">
        <v>44</v>
      </c>
      <c r="E2297" s="28" t="n">
        <f aca="false">ROUND((SUMIFS(Acerto_Detalhado!$F$2:$F$433,Acerto_Detalhado!$A$2:$A$433,$C2297,Acerto_Detalhado!$B$2:$B$433,"Jun",Acerto_Detalhado!$C$2:$C$433,"Fibra"))*(SUMIFS(Acerto_Detalhado!$I$2:$I$433,Acerto_Detalhado!$A$2:$A$433,$D2297,Acerto_Detalhado!$B$2:$B$433,"Jun",Acerto_Detalhado!$C$2:$C$433,"Fibra")),2)</f>
        <v>0</v>
      </c>
    </row>
    <row r="2298" customFormat="false" ht="15" hidden="false" customHeight="false" outlineLevel="0" collapsed="false">
      <c r="A2298" s="27" t="s">
        <v>116</v>
      </c>
      <c r="B2298" s="27" t="s">
        <v>111</v>
      </c>
      <c r="C2298" s="27" t="s">
        <v>43</v>
      </c>
      <c r="D2298" s="27" t="s">
        <v>45</v>
      </c>
      <c r="E2298" s="28" t="n">
        <f aca="false">ROUND((SUMIFS(Acerto_Detalhado!$F$2:$F$433,Acerto_Detalhado!$A$2:$A$433,$C2298,Acerto_Detalhado!$B$2:$B$433,"Jun",Acerto_Detalhado!$C$2:$C$433,"Fibra"))*(SUMIFS(Acerto_Detalhado!$I$2:$I$433,Acerto_Detalhado!$A$2:$A$433,$D2298,Acerto_Detalhado!$B$2:$B$433,"Jun",Acerto_Detalhado!$C$2:$C$433,"Fibra")),2)</f>
        <v>0</v>
      </c>
    </row>
    <row r="2299" customFormat="false" ht="15" hidden="false" customHeight="false" outlineLevel="0" collapsed="false">
      <c r="A2299" s="27" t="s">
        <v>116</v>
      </c>
      <c r="B2299" s="27" t="s">
        <v>111</v>
      </c>
      <c r="C2299" s="27" t="s">
        <v>43</v>
      </c>
      <c r="D2299" s="27" t="s">
        <v>46</v>
      </c>
      <c r="E2299" s="28" t="n">
        <f aca="false">ROUND((SUMIFS(Acerto_Detalhado!$F$2:$F$433,Acerto_Detalhado!$A$2:$A$433,$C2299,Acerto_Detalhado!$B$2:$B$433,"Jun",Acerto_Detalhado!$C$2:$C$433,"Fibra"))*(SUMIFS(Acerto_Detalhado!$I$2:$I$433,Acerto_Detalhado!$A$2:$A$433,$D2299,Acerto_Detalhado!$B$2:$B$433,"Jun",Acerto_Detalhado!$C$2:$C$433,"Fibra")),2)</f>
        <v>0</v>
      </c>
    </row>
    <row r="2300" customFormat="false" ht="15" hidden="false" customHeight="false" outlineLevel="0" collapsed="false">
      <c r="A2300" s="27" t="s">
        <v>116</v>
      </c>
      <c r="B2300" s="27" t="s">
        <v>111</v>
      </c>
      <c r="C2300" s="27" t="s">
        <v>43</v>
      </c>
      <c r="D2300" s="27" t="s">
        <v>47</v>
      </c>
      <c r="E2300" s="28" t="n">
        <f aca="false">ROUND((SUMIFS(Acerto_Detalhado!$F$2:$F$433,Acerto_Detalhado!$A$2:$A$433,$C2300,Acerto_Detalhado!$B$2:$B$433,"Jun",Acerto_Detalhado!$C$2:$C$433,"Fibra"))*(SUMIFS(Acerto_Detalhado!$I$2:$I$433,Acerto_Detalhado!$A$2:$A$433,$D2300,Acerto_Detalhado!$B$2:$B$433,"Jun",Acerto_Detalhado!$C$2:$C$433,"Fibra")),2)</f>
        <v>0</v>
      </c>
    </row>
    <row r="2301" customFormat="false" ht="15" hidden="false" customHeight="false" outlineLevel="0" collapsed="false">
      <c r="A2301" s="27" t="s">
        <v>116</v>
      </c>
      <c r="B2301" s="27" t="s">
        <v>111</v>
      </c>
      <c r="C2301" s="27" t="s">
        <v>43</v>
      </c>
      <c r="D2301" s="27" t="s">
        <v>48</v>
      </c>
      <c r="E2301" s="28" t="n">
        <f aca="false">ROUND((SUMIFS(Acerto_Detalhado!$F$2:$F$433,Acerto_Detalhado!$A$2:$A$433,$C2301,Acerto_Detalhado!$B$2:$B$433,"Jun",Acerto_Detalhado!$C$2:$C$433,"Fibra"))*(SUMIFS(Acerto_Detalhado!$I$2:$I$433,Acerto_Detalhado!$A$2:$A$433,$D2301,Acerto_Detalhado!$B$2:$B$433,"Jun",Acerto_Detalhado!$C$2:$C$433,"Fibra")),2)</f>
        <v>0</v>
      </c>
    </row>
    <row r="2302" customFormat="false" ht="15" hidden="false" customHeight="false" outlineLevel="0" collapsed="false">
      <c r="A2302" s="27" t="s">
        <v>116</v>
      </c>
      <c r="B2302" s="27" t="s">
        <v>111</v>
      </c>
      <c r="C2302" s="27" t="s">
        <v>43</v>
      </c>
      <c r="D2302" s="27" t="s">
        <v>49</v>
      </c>
      <c r="E2302" s="28" t="n">
        <f aca="false">ROUND((SUMIFS(Acerto_Detalhado!$F$2:$F$433,Acerto_Detalhado!$A$2:$A$433,$C2302,Acerto_Detalhado!$B$2:$B$433,"Jun",Acerto_Detalhado!$C$2:$C$433,"Fibra"))*(SUMIFS(Acerto_Detalhado!$I$2:$I$433,Acerto_Detalhado!$A$2:$A$433,$D2302,Acerto_Detalhado!$B$2:$B$433,"Jun",Acerto_Detalhado!$C$2:$C$433,"Fibra")),2)</f>
        <v>0</v>
      </c>
    </row>
    <row r="2303" customFormat="false" ht="15" hidden="false" customHeight="false" outlineLevel="0" collapsed="false">
      <c r="A2303" s="27" t="s">
        <v>116</v>
      </c>
      <c r="B2303" s="27" t="s">
        <v>111</v>
      </c>
      <c r="C2303" s="27" t="s">
        <v>43</v>
      </c>
      <c r="D2303" s="27" t="s">
        <v>50</v>
      </c>
      <c r="E2303" s="28" t="n">
        <f aca="false">ROUND((SUMIFS(Acerto_Detalhado!$F$2:$F$433,Acerto_Detalhado!$A$2:$A$433,$C2303,Acerto_Detalhado!$B$2:$B$433,"Jun",Acerto_Detalhado!$C$2:$C$433,"Fibra"))*(SUMIFS(Acerto_Detalhado!$I$2:$I$433,Acerto_Detalhado!$A$2:$A$433,$D2303,Acerto_Detalhado!$B$2:$B$433,"Jun",Acerto_Detalhado!$C$2:$C$433,"Fibra")),2)</f>
        <v>0</v>
      </c>
    </row>
    <row r="2304" customFormat="false" ht="15" hidden="false" customHeight="false" outlineLevel="0" collapsed="false">
      <c r="A2304" s="27" t="s">
        <v>116</v>
      </c>
      <c r="B2304" s="27" t="s">
        <v>111</v>
      </c>
      <c r="C2304" s="27" t="s">
        <v>44</v>
      </c>
      <c r="D2304" s="27" t="s">
        <v>39</v>
      </c>
      <c r="E2304" s="28" t="n">
        <f aca="false">ROUND((SUMIFS(Acerto_Detalhado!$F$2:$F$433,Acerto_Detalhado!$A$2:$A$433,$C2304,Acerto_Detalhado!$B$2:$B$433,"Jun",Acerto_Detalhado!$C$2:$C$433,"Fibra"))*(SUMIFS(Acerto_Detalhado!$I$2:$I$433,Acerto_Detalhado!$A$2:$A$433,$D2304,Acerto_Detalhado!$B$2:$B$433,"Jun",Acerto_Detalhado!$C$2:$C$433,"Fibra")),2)</f>
        <v>2296.72</v>
      </c>
    </row>
    <row r="2305" customFormat="false" ht="15" hidden="false" customHeight="false" outlineLevel="0" collapsed="false">
      <c r="A2305" s="27" t="s">
        <v>116</v>
      </c>
      <c r="B2305" s="27" t="s">
        <v>111</v>
      </c>
      <c r="C2305" s="27" t="s">
        <v>44</v>
      </c>
      <c r="D2305" s="27" t="s">
        <v>40</v>
      </c>
      <c r="E2305" s="28" t="n">
        <f aca="false">ROUND((SUMIFS(Acerto_Detalhado!$F$2:$F$433,Acerto_Detalhado!$A$2:$A$433,$C2305,Acerto_Detalhado!$B$2:$B$433,"Jun",Acerto_Detalhado!$C$2:$C$433,"Fibra"))*(SUMIFS(Acerto_Detalhado!$I$2:$I$433,Acerto_Detalhado!$A$2:$A$433,$D2305,Acerto_Detalhado!$B$2:$B$433,"Jun",Acerto_Detalhado!$C$2:$C$433,"Fibra")),2)</f>
        <v>2500.35</v>
      </c>
    </row>
    <row r="2306" customFormat="false" ht="15" hidden="false" customHeight="false" outlineLevel="0" collapsed="false">
      <c r="A2306" s="27" t="s">
        <v>116</v>
      </c>
      <c r="B2306" s="27" t="s">
        <v>111</v>
      </c>
      <c r="C2306" s="27" t="s">
        <v>44</v>
      </c>
      <c r="D2306" s="27" t="s">
        <v>41</v>
      </c>
      <c r="E2306" s="28" t="n">
        <f aca="false">ROUND((SUMIFS(Acerto_Detalhado!$F$2:$F$433,Acerto_Detalhado!$A$2:$A$433,$C2306,Acerto_Detalhado!$B$2:$B$433,"Jun",Acerto_Detalhado!$C$2:$C$433,"Fibra"))*(SUMIFS(Acerto_Detalhado!$I$2:$I$433,Acerto_Detalhado!$A$2:$A$433,$D2306,Acerto_Detalhado!$B$2:$B$433,"Jun",Acerto_Detalhado!$C$2:$C$433,"Fibra")),2)</f>
        <v>2304.68</v>
      </c>
    </row>
    <row r="2307" customFormat="false" ht="15" hidden="false" customHeight="false" outlineLevel="0" collapsed="false">
      <c r="A2307" s="27" t="s">
        <v>116</v>
      </c>
      <c r="B2307" s="27" t="s">
        <v>111</v>
      </c>
      <c r="C2307" s="27" t="s">
        <v>44</v>
      </c>
      <c r="D2307" s="27" t="s">
        <v>42</v>
      </c>
      <c r="E2307" s="28" t="n">
        <f aca="false">ROUND((SUMIFS(Acerto_Detalhado!$F$2:$F$433,Acerto_Detalhado!$A$2:$A$433,$C2307,Acerto_Detalhado!$B$2:$B$433,"Jun",Acerto_Detalhado!$C$2:$C$433,"Fibra"))*(SUMIFS(Acerto_Detalhado!$I$2:$I$433,Acerto_Detalhado!$A$2:$A$433,$D2307,Acerto_Detalhado!$B$2:$B$433,"Jun",Acerto_Detalhado!$C$2:$C$433,"Fibra")),2)</f>
        <v>0</v>
      </c>
    </row>
    <row r="2308" customFormat="false" ht="15" hidden="false" customHeight="false" outlineLevel="0" collapsed="false">
      <c r="A2308" s="27" t="s">
        <v>116</v>
      </c>
      <c r="B2308" s="27" t="s">
        <v>111</v>
      </c>
      <c r="C2308" s="27" t="s">
        <v>44</v>
      </c>
      <c r="D2308" s="27" t="s">
        <v>43</v>
      </c>
      <c r="E2308" s="28" t="n">
        <f aca="false">ROUND((SUMIFS(Acerto_Detalhado!$F$2:$F$433,Acerto_Detalhado!$A$2:$A$433,$C2308,Acerto_Detalhado!$B$2:$B$433,"Jun",Acerto_Detalhado!$C$2:$C$433,"Fibra"))*(SUMIFS(Acerto_Detalhado!$I$2:$I$433,Acerto_Detalhado!$A$2:$A$433,$D2308,Acerto_Detalhado!$B$2:$B$433,"Jun",Acerto_Detalhado!$C$2:$C$433,"Fibra")),2)</f>
        <v>0</v>
      </c>
    </row>
    <row r="2309" customFormat="false" ht="15" hidden="false" customHeight="false" outlineLevel="0" collapsed="false">
      <c r="A2309" s="27" t="s">
        <v>116</v>
      </c>
      <c r="B2309" s="27" t="s">
        <v>111</v>
      </c>
      <c r="C2309" s="27" t="s">
        <v>44</v>
      </c>
      <c r="D2309" s="27" t="s">
        <v>45</v>
      </c>
      <c r="E2309" s="28" t="n">
        <f aca="false">ROUND((SUMIFS(Acerto_Detalhado!$F$2:$F$433,Acerto_Detalhado!$A$2:$A$433,$C2309,Acerto_Detalhado!$B$2:$B$433,"Jun",Acerto_Detalhado!$C$2:$C$433,"Fibra"))*(SUMIFS(Acerto_Detalhado!$I$2:$I$433,Acerto_Detalhado!$A$2:$A$433,$D2309,Acerto_Detalhado!$B$2:$B$433,"Jun",Acerto_Detalhado!$C$2:$C$433,"Fibra")),2)</f>
        <v>0</v>
      </c>
    </row>
    <row r="2310" customFormat="false" ht="15" hidden="false" customHeight="false" outlineLevel="0" collapsed="false">
      <c r="A2310" s="27" t="s">
        <v>116</v>
      </c>
      <c r="B2310" s="27" t="s">
        <v>111</v>
      </c>
      <c r="C2310" s="27" t="s">
        <v>44</v>
      </c>
      <c r="D2310" s="27" t="s">
        <v>46</v>
      </c>
      <c r="E2310" s="28" t="n">
        <f aca="false">ROUND((SUMIFS(Acerto_Detalhado!$F$2:$F$433,Acerto_Detalhado!$A$2:$A$433,$C2310,Acerto_Detalhado!$B$2:$B$433,"Jun",Acerto_Detalhado!$C$2:$C$433,"Fibra"))*(SUMIFS(Acerto_Detalhado!$I$2:$I$433,Acerto_Detalhado!$A$2:$A$433,$D2310,Acerto_Detalhado!$B$2:$B$433,"Jun",Acerto_Detalhado!$C$2:$C$433,"Fibra")),2)</f>
        <v>0</v>
      </c>
    </row>
    <row r="2311" customFormat="false" ht="15" hidden="false" customHeight="false" outlineLevel="0" collapsed="false">
      <c r="A2311" s="27" t="s">
        <v>116</v>
      </c>
      <c r="B2311" s="27" t="s">
        <v>111</v>
      </c>
      <c r="C2311" s="27" t="s">
        <v>44</v>
      </c>
      <c r="D2311" s="27" t="s">
        <v>47</v>
      </c>
      <c r="E2311" s="28" t="n">
        <f aca="false">ROUND((SUMIFS(Acerto_Detalhado!$F$2:$F$433,Acerto_Detalhado!$A$2:$A$433,$C2311,Acerto_Detalhado!$B$2:$B$433,"Jun",Acerto_Detalhado!$C$2:$C$433,"Fibra"))*(SUMIFS(Acerto_Detalhado!$I$2:$I$433,Acerto_Detalhado!$A$2:$A$433,$D2311,Acerto_Detalhado!$B$2:$B$433,"Jun",Acerto_Detalhado!$C$2:$C$433,"Fibra")),2)</f>
        <v>0</v>
      </c>
    </row>
    <row r="2312" customFormat="false" ht="15" hidden="false" customHeight="false" outlineLevel="0" collapsed="false">
      <c r="A2312" s="27" t="s">
        <v>116</v>
      </c>
      <c r="B2312" s="27" t="s">
        <v>111</v>
      </c>
      <c r="C2312" s="27" t="s">
        <v>44</v>
      </c>
      <c r="D2312" s="27" t="s">
        <v>48</v>
      </c>
      <c r="E2312" s="28" t="n">
        <f aca="false">ROUND((SUMIFS(Acerto_Detalhado!$F$2:$F$433,Acerto_Detalhado!$A$2:$A$433,$C2312,Acerto_Detalhado!$B$2:$B$433,"Jun",Acerto_Detalhado!$C$2:$C$433,"Fibra"))*(SUMIFS(Acerto_Detalhado!$I$2:$I$433,Acerto_Detalhado!$A$2:$A$433,$D2312,Acerto_Detalhado!$B$2:$B$433,"Jun",Acerto_Detalhado!$C$2:$C$433,"Fibra")),2)</f>
        <v>0</v>
      </c>
    </row>
    <row r="2313" customFormat="false" ht="15" hidden="false" customHeight="false" outlineLevel="0" collapsed="false">
      <c r="A2313" s="27" t="s">
        <v>116</v>
      </c>
      <c r="B2313" s="27" t="s">
        <v>111</v>
      </c>
      <c r="C2313" s="27" t="s">
        <v>44</v>
      </c>
      <c r="D2313" s="27" t="s">
        <v>49</v>
      </c>
      <c r="E2313" s="28" t="n">
        <f aca="false">ROUND((SUMIFS(Acerto_Detalhado!$F$2:$F$433,Acerto_Detalhado!$A$2:$A$433,$C2313,Acerto_Detalhado!$B$2:$B$433,"Jun",Acerto_Detalhado!$C$2:$C$433,"Fibra"))*(SUMIFS(Acerto_Detalhado!$I$2:$I$433,Acerto_Detalhado!$A$2:$A$433,$D2313,Acerto_Detalhado!$B$2:$B$433,"Jun",Acerto_Detalhado!$C$2:$C$433,"Fibra")),2)</f>
        <v>0</v>
      </c>
    </row>
    <row r="2314" customFormat="false" ht="15" hidden="false" customHeight="false" outlineLevel="0" collapsed="false">
      <c r="A2314" s="27" t="s">
        <v>116</v>
      </c>
      <c r="B2314" s="27" t="s">
        <v>111</v>
      </c>
      <c r="C2314" s="27" t="s">
        <v>44</v>
      </c>
      <c r="D2314" s="27" t="s">
        <v>50</v>
      </c>
      <c r="E2314" s="28" t="n">
        <f aca="false">ROUND((SUMIFS(Acerto_Detalhado!$F$2:$F$433,Acerto_Detalhado!$A$2:$A$433,$C2314,Acerto_Detalhado!$B$2:$B$433,"Jun",Acerto_Detalhado!$C$2:$C$433,"Fibra"))*(SUMIFS(Acerto_Detalhado!$I$2:$I$433,Acerto_Detalhado!$A$2:$A$433,$D2314,Acerto_Detalhado!$B$2:$B$433,"Jun",Acerto_Detalhado!$C$2:$C$433,"Fibra")),2)</f>
        <v>0</v>
      </c>
    </row>
    <row r="2315" customFormat="false" ht="15" hidden="false" customHeight="false" outlineLevel="0" collapsed="false">
      <c r="A2315" s="27" t="s">
        <v>116</v>
      </c>
      <c r="B2315" s="27" t="s">
        <v>111</v>
      </c>
      <c r="C2315" s="27" t="s">
        <v>45</v>
      </c>
      <c r="D2315" s="27" t="s">
        <v>39</v>
      </c>
      <c r="E2315" s="28" t="n">
        <f aca="false">ROUND((SUMIFS(Acerto_Detalhado!$F$2:$F$433,Acerto_Detalhado!$A$2:$A$433,$C2315,Acerto_Detalhado!$B$2:$B$433,"Jun",Acerto_Detalhado!$C$2:$C$433,"Fibra"))*(SUMIFS(Acerto_Detalhado!$I$2:$I$433,Acerto_Detalhado!$A$2:$A$433,$D2315,Acerto_Detalhado!$B$2:$B$433,"Jun",Acerto_Detalhado!$C$2:$C$433,"Fibra")),2)</f>
        <v>1007.66</v>
      </c>
    </row>
    <row r="2316" customFormat="false" ht="15" hidden="false" customHeight="false" outlineLevel="0" collapsed="false">
      <c r="A2316" s="27" t="s">
        <v>116</v>
      </c>
      <c r="B2316" s="27" t="s">
        <v>111</v>
      </c>
      <c r="C2316" s="27" t="s">
        <v>45</v>
      </c>
      <c r="D2316" s="27" t="s">
        <v>40</v>
      </c>
      <c r="E2316" s="28" t="n">
        <f aca="false">ROUND((SUMIFS(Acerto_Detalhado!$F$2:$F$433,Acerto_Detalhado!$A$2:$A$433,$C2316,Acerto_Detalhado!$B$2:$B$433,"Jun",Acerto_Detalhado!$C$2:$C$433,"Fibra"))*(SUMIFS(Acerto_Detalhado!$I$2:$I$433,Acerto_Detalhado!$A$2:$A$433,$D2316,Acerto_Detalhado!$B$2:$B$433,"Jun",Acerto_Detalhado!$C$2:$C$433,"Fibra")),2)</f>
        <v>1097</v>
      </c>
    </row>
    <row r="2317" customFormat="false" ht="15" hidden="false" customHeight="false" outlineLevel="0" collapsed="false">
      <c r="A2317" s="27" t="s">
        <v>116</v>
      </c>
      <c r="B2317" s="27" t="s">
        <v>111</v>
      </c>
      <c r="C2317" s="27" t="s">
        <v>45</v>
      </c>
      <c r="D2317" s="27" t="s">
        <v>41</v>
      </c>
      <c r="E2317" s="28" t="n">
        <f aca="false">ROUND((SUMIFS(Acerto_Detalhado!$F$2:$F$433,Acerto_Detalhado!$A$2:$A$433,$C2317,Acerto_Detalhado!$B$2:$B$433,"Jun",Acerto_Detalhado!$C$2:$C$433,"Fibra"))*(SUMIFS(Acerto_Detalhado!$I$2:$I$433,Acerto_Detalhado!$A$2:$A$433,$D2317,Acerto_Detalhado!$B$2:$B$433,"Jun",Acerto_Detalhado!$C$2:$C$433,"Fibra")),2)</f>
        <v>1011.15</v>
      </c>
    </row>
    <row r="2318" customFormat="false" ht="15" hidden="false" customHeight="false" outlineLevel="0" collapsed="false">
      <c r="A2318" s="27" t="s">
        <v>116</v>
      </c>
      <c r="B2318" s="27" t="s">
        <v>111</v>
      </c>
      <c r="C2318" s="27" t="s">
        <v>45</v>
      </c>
      <c r="D2318" s="27" t="s">
        <v>42</v>
      </c>
      <c r="E2318" s="28" t="n">
        <f aca="false">ROUND((SUMIFS(Acerto_Detalhado!$F$2:$F$433,Acerto_Detalhado!$A$2:$A$433,$C2318,Acerto_Detalhado!$B$2:$B$433,"Jun",Acerto_Detalhado!$C$2:$C$433,"Fibra"))*(SUMIFS(Acerto_Detalhado!$I$2:$I$433,Acerto_Detalhado!$A$2:$A$433,$D2318,Acerto_Detalhado!$B$2:$B$433,"Jun",Acerto_Detalhado!$C$2:$C$433,"Fibra")),2)</f>
        <v>0</v>
      </c>
    </row>
    <row r="2319" customFormat="false" ht="15" hidden="false" customHeight="false" outlineLevel="0" collapsed="false">
      <c r="A2319" s="27" t="s">
        <v>116</v>
      </c>
      <c r="B2319" s="27" t="s">
        <v>111</v>
      </c>
      <c r="C2319" s="27" t="s">
        <v>45</v>
      </c>
      <c r="D2319" s="27" t="s">
        <v>43</v>
      </c>
      <c r="E2319" s="28" t="n">
        <f aca="false">ROUND((SUMIFS(Acerto_Detalhado!$F$2:$F$433,Acerto_Detalhado!$A$2:$A$433,$C2319,Acerto_Detalhado!$B$2:$B$433,"Jun",Acerto_Detalhado!$C$2:$C$433,"Fibra"))*(SUMIFS(Acerto_Detalhado!$I$2:$I$433,Acerto_Detalhado!$A$2:$A$433,$D2319,Acerto_Detalhado!$B$2:$B$433,"Jun",Acerto_Detalhado!$C$2:$C$433,"Fibra")),2)</f>
        <v>0</v>
      </c>
    </row>
    <row r="2320" customFormat="false" ht="15" hidden="false" customHeight="false" outlineLevel="0" collapsed="false">
      <c r="A2320" s="27" t="s">
        <v>116</v>
      </c>
      <c r="B2320" s="27" t="s">
        <v>111</v>
      </c>
      <c r="C2320" s="27" t="s">
        <v>45</v>
      </c>
      <c r="D2320" s="27" t="s">
        <v>44</v>
      </c>
      <c r="E2320" s="28" t="n">
        <f aca="false">ROUND((SUMIFS(Acerto_Detalhado!$F$2:$F$433,Acerto_Detalhado!$A$2:$A$433,$C2320,Acerto_Detalhado!$B$2:$B$433,"Jun",Acerto_Detalhado!$C$2:$C$433,"Fibra"))*(SUMIFS(Acerto_Detalhado!$I$2:$I$433,Acerto_Detalhado!$A$2:$A$433,$D2320,Acerto_Detalhado!$B$2:$B$433,"Jun",Acerto_Detalhado!$C$2:$C$433,"Fibra")),2)</f>
        <v>0</v>
      </c>
    </row>
    <row r="2321" customFormat="false" ht="15" hidden="false" customHeight="false" outlineLevel="0" collapsed="false">
      <c r="A2321" s="27" t="s">
        <v>116</v>
      </c>
      <c r="B2321" s="27" t="s">
        <v>111</v>
      </c>
      <c r="C2321" s="27" t="s">
        <v>45</v>
      </c>
      <c r="D2321" s="27" t="s">
        <v>46</v>
      </c>
      <c r="E2321" s="28" t="n">
        <f aca="false">ROUND((SUMIFS(Acerto_Detalhado!$F$2:$F$433,Acerto_Detalhado!$A$2:$A$433,$C2321,Acerto_Detalhado!$B$2:$B$433,"Jun",Acerto_Detalhado!$C$2:$C$433,"Fibra"))*(SUMIFS(Acerto_Detalhado!$I$2:$I$433,Acerto_Detalhado!$A$2:$A$433,$D2321,Acerto_Detalhado!$B$2:$B$433,"Jun",Acerto_Detalhado!$C$2:$C$433,"Fibra")),2)</f>
        <v>0</v>
      </c>
    </row>
    <row r="2322" customFormat="false" ht="15" hidden="false" customHeight="false" outlineLevel="0" collapsed="false">
      <c r="A2322" s="27" t="s">
        <v>116</v>
      </c>
      <c r="B2322" s="27" t="s">
        <v>111</v>
      </c>
      <c r="C2322" s="27" t="s">
        <v>45</v>
      </c>
      <c r="D2322" s="27" t="s">
        <v>47</v>
      </c>
      <c r="E2322" s="28" t="n">
        <f aca="false">ROUND((SUMIFS(Acerto_Detalhado!$F$2:$F$433,Acerto_Detalhado!$A$2:$A$433,$C2322,Acerto_Detalhado!$B$2:$B$433,"Jun",Acerto_Detalhado!$C$2:$C$433,"Fibra"))*(SUMIFS(Acerto_Detalhado!$I$2:$I$433,Acerto_Detalhado!$A$2:$A$433,$D2322,Acerto_Detalhado!$B$2:$B$433,"Jun",Acerto_Detalhado!$C$2:$C$433,"Fibra")),2)</f>
        <v>0</v>
      </c>
    </row>
    <row r="2323" customFormat="false" ht="15" hidden="false" customHeight="false" outlineLevel="0" collapsed="false">
      <c r="A2323" s="27" t="s">
        <v>116</v>
      </c>
      <c r="B2323" s="27" t="s">
        <v>111</v>
      </c>
      <c r="C2323" s="27" t="s">
        <v>45</v>
      </c>
      <c r="D2323" s="27" t="s">
        <v>48</v>
      </c>
      <c r="E2323" s="28" t="n">
        <f aca="false">ROUND((SUMIFS(Acerto_Detalhado!$F$2:$F$433,Acerto_Detalhado!$A$2:$A$433,$C2323,Acerto_Detalhado!$B$2:$B$433,"Jun",Acerto_Detalhado!$C$2:$C$433,"Fibra"))*(SUMIFS(Acerto_Detalhado!$I$2:$I$433,Acerto_Detalhado!$A$2:$A$433,$D2323,Acerto_Detalhado!$B$2:$B$433,"Jun",Acerto_Detalhado!$C$2:$C$433,"Fibra")),2)</f>
        <v>0</v>
      </c>
    </row>
    <row r="2324" customFormat="false" ht="15" hidden="false" customHeight="false" outlineLevel="0" collapsed="false">
      <c r="A2324" s="27" t="s">
        <v>116</v>
      </c>
      <c r="B2324" s="27" t="s">
        <v>111</v>
      </c>
      <c r="C2324" s="27" t="s">
        <v>45</v>
      </c>
      <c r="D2324" s="27" t="s">
        <v>49</v>
      </c>
      <c r="E2324" s="28" t="n">
        <f aca="false">ROUND((SUMIFS(Acerto_Detalhado!$F$2:$F$433,Acerto_Detalhado!$A$2:$A$433,$C2324,Acerto_Detalhado!$B$2:$B$433,"Jun",Acerto_Detalhado!$C$2:$C$433,"Fibra"))*(SUMIFS(Acerto_Detalhado!$I$2:$I$433,Acerto_Detalhado!$A$2:$A$433,$D2324,Acerto_Detalhado!$B$2:$B$433,"Jun",Acerto_Detalhado!$C$2:$C$433,"Fibra")),2)</f>
        <v>0</v>
      </c>
    </row>
    <row r="2325" customFormat="false" ht="15" hidden="false" customHeight="false" outlineLevel="0" collapsed="false">
      <c r="A2325" s="27" t="s">
        <v>116</v>
      </c>
      <c r="B2325" s="27" t="s">
        <v>111</v>
      </c>
      <c r="C2325" s="27" t="s">
        <v>45</v>
      </c>
      <c r="D2325" s="27" t="s">
        <v>50</v>
      </c>
      <c r="E2325" s="28" t="n">
        <f aca="false">ROUND((SUMIFS(Acerto_Detalhado!$F$2:$F$433,Acerto_Detalhado!$A$2:$A$433,$C2325,Acerto_Detalhado!$B$2:$B$433,"Jun",Acerto_Detalhado!$C$2:$C$433,"Fibra"))*(SUMIFS(Acerto_Detalhado!$I$2:$I$433,Acerto_Detalhado!$A$2:$A$433,$D2325,Acerto_Detalhado!$B$2:$B$433,"Jun",Acerto_Detalhado!$C$2:$C$433,"Fibra")),2)</f>
        <v>0</v>
      </c>
    </row>
    <row r="2326" customFormat="false" ht="15" hidden="false" customHeight="false" outlineLevel="0" collapsed="false">
      <c r="A2326" s="27" t="s">
        <v>116</v>
      </c>
      <c r="B2326" s="27" t="s">
        <v>111</v>
      </c>
      <c r="C2326" s="27" t="s">
        <v>46</v>
      </c>
      <c r="D2326" s="27" t="s">
        <v>39</v>
      </c>
      <c r="E2326" s="28" t="n">
        <f aca="false">ROUND((SUMIFS(Acerto_Detalhado!$F$2:$F$433,Acerto_Detalhado!$A$2:$A$433,$C2326,Acerto_Detalhado!$B$2:$B$433,"Jun",Acerto_Detalhado!$C$2:$C$433,"Fibra"))*(SUMIFS(Acerto_Detalhado!$I$2:$I$433,Acerto_Detalhado!$A$2:$A$433,$D2326,Acerto_Detalhado!$B$2:$B$433,"Jun",Acerto_Detalhado!$C$2:$C$433,"Fibra")),2)</f>
        <v>0</v>
      </c>
    </row>
    <row r="2327" customFormat="false" ht="15" hidden="false" customHeight="false" outlineLevel="0" collapsed="false">
      <c r="A2327" s="27" t="s">
        <v>116</v>
      </c>
      <c r="B2327" s="27" t="s">
        <v>111</v>
      </c>
      <c r="C2327" s="27" t="s">
        <v>46</v>
      </c>
      <c r="D2327" s="27" t="s">
        <v>40</v>
      </c>
      <c r="E2327" s="28" t="n">
        <f aca="false">ROUND((SUMIFS(Acerto_Detalhado!$F$2:$F$433,Acerto_Detalhado!$A$2:$A$433,$C2327,Acerto_Detalhado!$B$2:$B$433,"Jun",Acerto_Detalhado!$C$2:$C$433,"Fibra"))*(SUMIFS(Acerto_Detalhado!$I$2:$I$433,Acerto_Detalhado!$A$2:$A$433,$D2327,Acerto_Detalhado!$B$2:$B$433,"Jun",Acerto_Detalhado!$C$2:$C$433,"Fibra")),2)</f>
        <v>0</v>
      </c>
    </row>
    <row r="2328" customFormat="false" ht="15" hidden="false" customHeight="false" outlineLevel="0" collapsed="false">
      <c r="A2328" s="27" t="s">
        <v>116</v>
      </c>
      <c r="B2328" s="27" t="s">
        <v>111</v>
      </c>
      <c r="C2328" s="27" t="s">
        <v>46</v>
      </c>
      <c r="D2328" s="27" t="s">
        <v>41</v>
      </c>
      <c r="E2328" s="28" t="n">
        <f aca="false">ROUND((SUMIFS(Acerto_Detalhado!$F$2:$F$433,Acerto_Detalhado!$A$2:$A$433,$C2328,Acerto_Detalhado!$B$2:$B$433,"Jun",Acerto_Detalhado!$C$2:$C$433,"Fibra"))*(SUMIFS(Acerto_Detalhado!$I$2:$I$433,Acerto_Detalhado!$A$2:$A$433,$D2328,Acerto_Detalhado!$B$2:$B$433,"Jun",Acerto_Detalhado!$C$2:$C$433,"Fibra")),2)</f>
        <v>0</v>
      </c>
    </row>
    <row r="2329" customFormat="false" ht="15" hidden="false" customHeight="false" outlineLevel="0" collapsed="false">
      <c r="A2329" s="27" t="s">
        <v>116</v>
      </c>
      <c r="B2329" s="27" t="s">
        <v>111</v>
      </c>
      <c r="C2329" s="27" t="s">
        <v>46</v>
      </c>
      <c r="D2329" s="27" t="s">
        <v>42</v>
      </c>
      <c r="E2329" s="28" t="n">
        <f aca="false">ROUND((SUMIFS(Acerto_Detalhado!$F$2:$F$433,Acerto_Detalhado!$A$2:$A$433,$C2329,Acerto_Detalhado!$B$2:$B$433,"Jun",Acerto_Detalhado!$C$2:$C$433,"Fibra"))*(SUMIFS(Acerto_Detalhado!$I$2:$I$433,Acerto_Detalhado!$A$2:$A$433,$D2329,Acerto_Detalhado!$B$2:$B$433,"Jun",Acerto_Detalhado!$C$2:$C$433,"Fibra")),2)</f>
        <v>0</v>
      </c>
    </row>
    <row r="2330" customFormat="false" ht="15" hidden="false" customHeight="false" outlineLevel="0" collapsed="false">
      <c r="A2330" s="27" t="s">
        <v>116</v>
      </c>
      <c r="B2330" s="27" t="s">
        <v>111</v>
      </c>
      <c r="C2330" s="27" t="s">
        <v>46</v>
      </c>
      <c r="D2330" s="27" t="s">
        <v>43</v>
      </c>
      <c r="E2330" s="28" t="n">
        <f aca="false">ROUND((SUMIFS(Acerto_Detalhado!$F$2:$F$433,Acerto_Detalhado!$A$2:$A$433,$C2330,Acerto_Detalhado!$B$2:$B$433,"Jun",Acerto_Detalhado!$C$2:$C$433,"Fibra"))*(SUMIFS(Acerto_Detalhado!$I$2:$I$433,Acerto_Detalhado!$A$2:$A$433,$D2330,Acerto_Detalhado!$B$2:$B$433,"Jun",Acerto_Detalhado!$C$2:$C$433,"Fibra")),2)</f>
        <v>0</v>
      </c>
    </row>
    <row r="2331" customFormat="false" ht="15" hidden="false" customHeight="false" outlineLevel="0" collapsed="false">
      <c r="A2331" s="27" t="s">
        <v>116</v>
      </c>
      <c r="B2331" s="27" t="s">
        <v>111</v>
      </c>
      <c r="C2331" s="27" t="s">
        <v>46</v>
      </c>
      <c r="D2331" s="27" t="s">
        <v>44</v>
      </c>
      <c r="E2331" s="28" t="n">
        <f aca="false">ROUND((SUMIFS(Acerto_Detalhado!$F$2:$F$433,Acerto_Detalhado!$A$2:$A$433,$C2331,Acerto_Detalhado!$B$2:$B$433,"Jun",Acerto_Detalhado!$C$2:$C$433,"Fibra"))*(SUMIFS(Acerto_Detalhado!$I$2:$I$433,Acerto_Detalhado!$A$2:$A$433,$D2331,Acerto_Detalhado!$B$2:$B$433,"Jun",Acerto_Detalhado!$C$2:$C$433,"Fibra")),2)</f>
        <v>0</v>
      </c>
    </row>
    <row r="2332" customFormat="false" ht="15" hidden="false" customHeight="false" outlineLevel="0" collapsed="false">
      <c r="A2332" s="27" t="s">
        <v>116</v>
      </c>
      <c r="B2332" s="27" t="s">
        <v>111</v>
      </c>
      <c r="C2332" s="27" t="s">
        <v>46</v>
      </c>
      <c r="D2332" s="27" t="s">
        <v>45</v>
      </c>
      <c r="E2332" s="28" t="n">
        <f aca="false">ROUND((SUMIFS(Acerto_Detalhado!$F$2:$F$433,Acerto_Detalhado!$A$2:$A$433,$C2332,Acerto_Detalhado!$B$2:$B$433,"Jun",Acerto_Detalhado!$C$2:$C$433,"Fibra"))*(SUMIFS(Acerto_Detalhado!$I$2:$I$433,Acerto_Detalhado!$A$2:$A$433,$D2332,Acerto_Detalhado!$B$2:$B$433,"Jun",Acerto_Detalhado!$C$2:$C$433,"Fibra")),2)</f>
        <v>0</v>
      </c>
    </row>
    <row r="2333" customFormat="false" ht="15" hidden="false" customHeight="false" outlineLevel="0" collapsed="false">
      <c r="A2333" s="27" t="s">
        <v>116</v>
      </c>
      <c r="B2333" s="27" t="s">
        <v>111</v>
      </c>
      <c r="C2333" s="27" t="s">
        <v>46</v>
      </c>
      <c r="D2333" s="27" t="s">
        <v>47</v>
      </c>
      <c r="E2333" s="28" t="n">
        <f aca="false">ROUND((SUMIFS(Acerto_Detalhado!$F$2:$F$433,Acerto_Detalhado!$A$2:$A$433,$C2333,Acerto_Detalhado!$B$2:$B$433,"Jun",Acerto_Detalhado!$C$2:$C$433,"Fibra"))*(SUMIFS(Acerto_Detalhado!$I$2:$I$433,Acerto_Detalhado!$A$2:$A$433,$D2333,Acerto_Detalhado!$B$2:$B$433,"Jun",Acerto_Detalhado!$C$2:$C$433,"Fibra")),2)</f>
        <v>0</v>
      </c>
    </row>
    <row r="2334" customFormat="false" ht="15" hidden="false" customHeight="false" outlineLevel="0" collapsed="false">
      <c r="A2334" s="27" t="s">
        <v>116</v>
      </c>
      <c r="B2334" s="27" t="s">
        <v>111</v>
      </c>
      <c r="C2334" s="27" t="s">
        <v>46</v>
      </c>
      <c r="D2334" s="27" t="s">
        <v>48</v>
      </c>
      <c r="E2334" s="28" t="n">
        <f aca="false">ROUND((SUMIFS(Acerto_Detalhado!$F$2:$F$433,Acerto_Detalhado!$A$2:$A$433,$C2334,Acerto_Detalhado!$B$2:$B$433,"Jun",Acerto_Detalhado!$C$2:$C$433,"Fibra"))*(SUMIFS(Acerto_Detalhado!$I$2:$I$433,Acerto_Detalhado!$A$2:$A$433,$D2334,Acerto_Detalhado!$B$2:$B$433,"Jun",Acerto_Detalhado!$C$2:$C$433,"Fibra")),2)</f>
        <v>0</v>
      </c>
    </row>
    <row r="2335" customFormat="false" ht="15" hidden="false" customHeight="false" outlineLevel="0" collapsed="false">
      <c r="A2335" s="27" t="s">
        <v>116</v>
      </c>
      <c r="B2335" s="27" t="s">
        <v>111</v>
      </c>
      <c r="C2335" s="27" t="s">
        <v>46</v>
      </c>
      <c r="D2335" s="27" t="s">
        <v>49</v>
      </c>
      <c r="E2335" s="28" t="n">
        <f aca="false">ROUND((SUMIFS(Acerto_Detalhado!$F$2:$F$433,Acerto_Detalhado!$A$2:$A$433,$C2335,Acerto_Detalhado!$B$2:$B$433,"Jun",Acerto_Detalhado!$C$2:$C$433,"Fibra"))*(SUMIFS(Acerto_Detalhado!$I$2:$I$433,Acerto_Detalhado!$A$2:$A$433,$D2335,Acerto_Detalhado!$B$2:$B$433,"Jun",Acerto_Detalhado!$C$2:$C$433,"Fibra")),2)</f>
        <v>0</v>
      </c>
    </row>
    <row r="2336" customFormat="false" ht="15" hidden="false" customHeight="false" outlineLevel="0" collapsed="false">
      <c r="A2336" s="27" t="s">
        <v>116</v>
      </c>
      <c r="B2336" s="27" t="s">
        <v>111</v>
      </c>
      <c r="C2336" s="27" t="s">
        <v>46</v>
      </c>
      <c r="D2336" s="27" t="s">
        <v>50</v>
      </c>
      <c r="E2336" s="28" t="n">
        <f aca="false">ROUND((SUMIFS(Acerto_Detalhado!$F$2:$F$433,Acerto_Detalhado!$A$2:$A$433,$C2336,Acerto_Detalhado!$B$2:$B$433,"Jun",Acerto_Detalhado!$C$2:$C$433,"Fibra"))*(SUMIFS(Acerto_Detalhado!$I$2:$I$433,Acerto_Detalhado!$A$2:$A$433,$D2336,Acerto_Detalhado!$B$2:$B$433,"Jun",Acerto_Detalhado!$C$2:$C$433,"Fibra")),2)</f>
        <v>0</v>
      </c>
    </row>
    <row r="2337" customFormat="false" ht="15" hidden="false" customHeight="false" outlineLevel="0" collapsed="false">
      <c r="A2337" s="27" t="s">
        <v>116</v>
      </c>
      <c r="B2337" s="27" t="s">
        <v>111</v>
      </c>
      <c r="C2337" s="27" t="s">
        <v>47</v>
      </c>
      <c r="D2337" s="27" t="s">
        <v>39</v>
      </c>
      <c r="E2337" s="28" t="n">
        <f aca="false">ROUND((SUMIFS(Acerto_Detalhado!$F$2:$F$433,Acerto_Detalhado!$A$2:$A$433,$C2337,Acerto_Detalhado!$B$2:$B$433,"Jun",Acerto_Detalhado!$C$2:$C$433,"Fibra"))*(SUMIFS(Acerto_Detalhado!$I$2:$I$433,Acerto_Detalhado!$A$2:$A$433,$D2337,Acerto_Detalhado!$B$2:$B$433,"Jun",Acerto_Detalhado!$C$2:$C$433,"Fibra")),2)</f>
        <v>0</v>
      </c>
    </row>
    <row r="2338" customFormat="false" ht="15" hidden="false" customHeight="false" outlineLevel="0" collapsed="false">
      <c r="A2338" s="27" t="s">
        <v>116</v>
      </c>
      <c r="B2338" s="27" t="s">
        <v>111</v>
      </c>
      <c r="C2338" s="27" t="s">
        <v>47</v>
      </c>
      <c r="D2338" s="27" t="s">
        <v>40</v>
      </c>
      <c r="E2338" s="28" t="n">
        <f aca="false">ROUND((SUMIFS(Acerto_Detalhado!$F$2:$F$433,Acerto_Detalhado!$A$2:$A$433,$C2338,Acerto_Detalhado!$B$2:$B$433,"Jun",Acerto_Detalhado!$C$2:$C$433,"Fibra"))*(SUMIFS(Acerto_Detalhado!$I$2:$I$433,Acerto_Detalhado!$A$2:$A$433,$D2338,Acerto_Detalhado!$B$2:$B$433,"Jun",Acerto_Detalhado!$C$2:$C$433,"Fibra")),2)</f>
        <v>0</v>
      </c>
    </row>
    <row r="2339" customFormat="false" ht="15" hidden="false" customHeight="false" outlineLevel="0" collapsed="false">
      <c r="A2339" s="27" t="s">
        <v>116</v>
      </c>
      <c r="B2339" s="27" t="s">
        <v>111</v>
      </c>
      <c r="C2339" s="27" t="s">
        <v>47</v>
      </c>
      <c r="D2339" s="27" t="s">
        <v>41</v>
      </c>
      <c r="E2339" s="28" t="n">
        <f aca="false">ROUND((SUMIFS(Acerto_Detalhado!$F$2:$F$433,Acerto_Detalhado!$A$2:$A$433,$C2339,Acerto_Detalhado!$B$2:$B$433,"Jun",Acerto_Detalhado!$C$2:$C$433,"Fibra"))*(SUMIFS(Acerto_Detalhado!$I$2:$I$433,Acerto_Detalhado!$A$2:$A$433,$D2339,Acerto_Detalhado!$B$2:$B$433,"Jun",Acerto_Detalhado!$C$2:$C$433,"Fibra")),2)</f>
        <v>0</v>
      </c>
    </row>
    <row r="2340" customFormat="false" ht="15" hidden="false" customHeight="false" outlineLevel="0" collapsed="false">
      <c r="A2340" s="27" t="s">
        <v>116</v>
      </c>
      <c r="B2340" s="27" t="s">
        <v>111</v>
      </c>
      <c r="C2340" s="27" t="s">
        <v>47</v>
      </c>
      <c r="D2340" s="27" t="s">
        <v>42</v>
      </c>
      <c r="E2340" s="28" t="n">
        <f aca="false">ROUND((SUMIFS(Acerto_Detalhado!$F$2:$F$433,Acerto_Detalhado!$A$2:$A$433,$C2340,Acerto_Detalhado!$B$2:$B$433,"Jun",Acerto_Detalhado!$C$2:$C$433,"Fibra"))*(SUMIFS(Acerto_Detalhado!$I$2:$I$433,Acerto_Detalhado!$A$2:$A$433,$D2340,Acerto_Detalhado!$B$2:$B$433,"Jun",Acerto_Detalhado!$C$2:$C$433,"Fibra")),2)</f>
        <v>0</v>
      </c>
    </row>
    <row r="2341" customFormat="false" ht="15" hidden="false" customHeight="false" outlineLevel="0" collapsed="false">
      <c r="A2341" s="27" t="s">
        <v>116</v>
      </c>
      <c r="B2341" s="27" t="s">
        <v>111</v>
      </c>
      <c r="C2341" s="27" t="s">
        <v>47</v>
      </c>
      <c r="D2341" s="27" t="s">
        <v>43</v>
      </c>
      <c r="E2341" s="28" t="n">
        <f aca="false">ROUND((SUMIFS(Acerto_Detalhado!$F$2:$F$433,Acerto_Detalhado!$A$2:$A$433,$C2341,Acerto_Detalhado!$B$2:$B$433,"Jun",Acerto_Detalhado!$C$2:$C$433,"Fibra"))*(SUMIFS(Acerto_Detalhado!$I$2:$I$433,Acerto_Detalhado!$A$2:$A$433,$D2341,Acerto_Detalhado!$B$2:$B$433,"Jun",Acerto_Detalhado!$C$2:$C$433,"Fibra")),2)</f>
        <v>0</v>
      </c>
    </row>
    <row r="2342" customFormat="false" ht="15" hidden="false" customHeight="false" outlineLevel="0" collapsed="false">
      <c r="A2342" s="27" t="s">
        <v>116</v>
      </c>
      <c r="B2342" s="27" t="s">
        <v>111</v>
      </c>
      <c r="C2342" s="27" t="s">
        <v>47</v>
      </c>
      <c r="D2342" s="27" t="s">
        <v>44</v>
      </c>
      <c r="E2342" s="28" t="n">
        <f aca="false">ROUND((SUMIFS(Acerto_Detalhado!$F$2:$F$433,Acerto_Detalhado!$A$2:$A$433,$C2342,Acerto_Detalhado!$B$2:$B$433,"Jun",Acerto_Detalhado!$C$2:$C$433,"Fibra"))*(SUMIFS(Acerto_Detalhado!$I$2:$I$433,Acerto_Detalhado!$A$2:$A$433,$D2342,Acerto_Detalhado!$B$2:$B$433,"Jun",Acerto_Detalhado!$C$2:$C$433,"Fibra")),2)</f>
        <v>0</v>
      </c>
    </row>
    <row r="2343" customFormat="false" ht="15" hidden="false" customHeight="false" outlineLevel="0" collapsed="false">
      <c r="A2343" s="27" t="s">
        <v>116</v>
      </c>
      <c r="B2343" s="27" t="s">
        <v>111</v>
      </c>
      <c r="C2343" s="27" t="s">
        <v>47</v>
      </c>
      <c r="D2343" s="27" t="s">
        <v>45</v>
      </c>
      <c r="E2343" s="28" t="n">
        <f aca="false">ROUND((SUMIFS(Acerto_Detalhado!$F$2:$F$433,Acerto_Detalhado!$A$2:$A$433,$C2343,Acerto_Detalhado!$B$2:$B$433,"Jun",Acerto_Detalhado!$C$2:$C$433,"Fibra"))*(SUMIFS(Acerto_Detalhado!$I$2:$I$433,Acerto_Detalhado!$A$2:$A$433,$D2343,Acerto_Detalhado!$B$2:$B$433,"Jun",Acerto_Detalhado!$C$2:$C$433,"Fibra")),2)</f>
        <v>0</v>
      </c>
    </row>
    <row r="2344" customFormat="false" ht="15" hidden="false" customHeight="false" outlineLevel="0" collapsed="false">
      <c r="A2344" s="27" t="s">
        <v>116</v>
      </c>
      <c r="B2344" s="27" t="s">
        <v>111</v>
      </c>
      <c r="C2344" s="27" t="s">
        <v>47</v>
      </c>
      <c r="D2344" s="27" t="s">
        <v>46</v>
      </c>
      <c r="E2344" s="28" t="n">
        <f aca="false">ROUND((SUMIFS(Acerto_Detalhado!$F$2:$F$433,Acerto_Detalhado!$A$2:$A$433,$C2344,Acerto_Detalhado!$B$2:$B$433,"Jun",Acerto_Detalhado!$C$2:$C$433,"Fibra"))*(SUMIFS(Acerto_Detalhado!$I$2:$I$433,Acerto_Detalhado!$A$2:$A$433,$D2344,Acerto_Detalhado!$B$2:$B$433,"Jun",Acerto_Detalhado!$C$2:$C$433,"Fibra")),2)</f>
        <v>0</v>
      </c>
    </row>
    <row r="2345" customFormat="false" ht="15" hidden="false" customHeight="false" outlineLevel="0" collapsed="false">
      <c r="A2345" s="27" t="s">
        <v>116</v>
      </c>
      <c r="B2345" s="27" t="s">
        <v>111</v>
      </c>
      <c r="C2345" s="27" t="s">
        <v>47</v>
      </c>
      <c r="D2345" s="27" t="s">
        <v>48</v>
      </c>
      <c r="E2345" s="28" t="n">
        <f aca="false">ROUND((SUMIFS(Acerto_Detalhado!$F$2:$F$433,Acerto_Detalhado!$A$2:$A$433,$C2345,Acerto_Detalhado!$B$2:$B$433,"Jun",Acerto_Detalhado!$C$2:$C$433,"Fibra"))*(SUMIFS(Acerto_Detalhado!$I$2:$I$433,Acerto_Detalhado!$A$2:$A$433,$D2345,Acerto_Detalhado!$B$2:$B$433,"Jun",Acerto_Detalhado!$C$2:$C$433,"Fibra")),2)</f>
        <v>0</v>
      </c>
    </row>
    <row r="2346" customFormat="false" ht="15" hidden="false" customHeight="false" outlineLevel="0" collapsed="false">
      <c r="A2346" s="27" t="s">
        <v>116</v>
      </c>
      <c r="B2346" s="27" t="s">
        <v>111</v>
      </c>
      <c r="C2346" s="27" t="s">
        <v>47</v>
      </c>
      <c r="D2346" s="27" t="s">
        <v>49</v>
      </c>
      <c r="E2346" s="28" t="n">
        <f aca="false">ROUND((SUMIFS(Acerto_Detalhado!$F$2:$F$433,Acerto_Detalhado!$A$2:$A$433,$C2346,Acerto_Detalhado!$B$2:$B$433,"Jun",Acerto_Detalhado!$C$2:$C$433,"Fibra"))*(SUMIFS(Acerto_Detalhado!$I$2:$I$433,Acerto_Detalhado!$A$2:$A$433,$D2346,Acerto_Detalhado!$B$2:$B$433,"Jun",Acerto_Detalhado!$C$2:$C$433,"Fibra")),2)</f>
        <v>0</v>
      </c>
    </row>
    <row r="2347" customFormat="false" ht="15" hidden="false" customHeight="false" outlineLevel="0" collapsed="false">
      <c r="A2347" s="27" t="s">
        <v>116</v>
      </c>
      <c r="B2347" s="27" t="s">
        <v>111</v>
      </c>
      <c r="C2347" s="27" t="s">
        <v>47</v>
      </c>
      <c r="D2347" s="27" t="s">
        <v>50</v>
      </c>
      <c r="E2347" s="28" t="n">
        <f aca="false">ROUND((SUMIFS(Acerto_Detalhado!$F$2:$F$433,Acerto_Detalhado!$A$2:$A$433,$C2347,Acerto_Detalhado!$B$2:$B$433,"Jun",Acerto_Detalhado!$C$2:$C$433,"Fibra"))*(SUMIFS(Acerto_Detalhado!$I$2:$I$433,Acerto_Detalhado!$A$2:$A$433,$D2347,Acerto_Detalhado!$B$2:$B$433,"Jun",Acerto_Detalhado!$C$2:$C$433,"Fibra")),2)</f>
        <v>0</v>
      </c>
    </row>
    <row r="2348" customFormat="false" ht="15" hidden="false" customHeight="false" outlineLevel="0" collapsed="false">
      <c r="A2348" s="27" t="s">
        <v>116</v>
      </c>
      <c r="B2348" s="27" t="s">
        <v>111</v>
      </c>
      <c r="C2348" s="27" t="s">
        <v>48</v>
      </c>
      <c r="D2348" s="27" t="s">
        <v>39</v>
      </c>
      <c r="E2348" s="28" t="n">
        <f aca="false">ROUND((SUMIFS(Acerto_Detalhado!$F$2:$F$433,Acerto_Detalhado!$A$2:$A$433,$C2348,Acerto_Detalhado!$B$2:$B$433,"Jun",Acerto_Detalhado!$C$2:$C$433,"Fibra"))*(SUMIFS(Acerto_Detalhado!$I$2:$I$433,Acerto_Detalhado!$A$2:$A$433,$D2348,Acerto_Detalhado!$B$2:$B$433,"Jun",Acerto_Detalhado!$C$2:$C$433,"Fibra")),2)</f>
        <v>0</v>
      </c>
    </row>
    <row r="2349" customFormat="false" ht="15" hidden="false" customHeight="false" outlineLevel="0" collapsed="false">
      <c r="A2349" s="27" t="s">
        <v>116</v>
      </c>
      <c r="B2349" s="27" t="s">
        <v>111</v>
      </c>
      <c r="C2349" s="27" t="s">
        <v>48</v>
      </c>
      <c r="D2349" s="27" t="s">
        <v>40</v>
      </c>
      <c r="E2349" s="28" t="n">
        <f aca="false">ROUND((SUMIFS(Acerto_Detalhado!$F$2:$F$433,Acerto_Detalhado!$A$2:$A$433,$C2349,Acerto_Detalhado!$B$2:$B$433,"Jun",Acerto_Detalhado!$C$2:$C$433,"Fibra"))*(SUMIFS(Acerto_Detalhado!$I$2:$I$433,Acerto_Detalhado!$A$2:$A$433,$D2349,Acerto_Detalhado!$B$2:$B$433,"Jun",Acerto_Detalhado!$C$2:$C$433,"Fibra")),2)</f>
        <v>0</v>
      </c>
    </row>
    <row r="2350" customFormat="false" ht="15" hidden="false" customHeight="false" outlineLevel="0" collapsed="false">
      <c r="A2350" s="27" t="s">
        <v>116</v>
      </c>
      <c r="B2350" s="27" t="s">
        <v>111</v>
      </c>
      <c r="C2350" s="27" t="s">
        <v>48</v>
      </c>
      <c r="D2350" s="27" t="s">
        <v>41</v>
      </c>
      <c r="E2350" s="28" t="n">
        <f aca="false">ROUND((SUMIFS(Acerto_Detalhado!$F$2:$F$433,Acerto_Detalhado!$A$2:$A$433,$C2350,Acerto_Detalhado!$B$2:$B$433,"Jun",Acerto_Detalhado!$C$2:$C$433,"Fibra"))*(SUMIFS(Acerto_Detalhado!$I$2:$I$433,Acerto_Detalhado!$A$2:$A$433,$D2350,Acerto_Detalhado!$B$2:$B$433,"Jun",Acerto_Detalhado!$C$2:$C$433,"Fibra")),2)</f>
        <v>0</v>
      </c>
    </row>
    <row r="2351" customFormat="false" ht="15" hidden="false" customHeight="false" outlineLevel="0" collapsed="false">
      <c r="A2351" s="27" t="s">
        <v>116</v>
      </c>
      <c r="B2351" s="27" t="s">
        <v>111</v>
      </c>
      <c r="C2351" s="27" t="s">
        <v>48</v>
      </c>
      <c r="D2351" s="27" t="s">
        <v>42</v>
      </c>
      <c r="E2351" s="28" t="n">
        <f aca="false">ROUND((SUMIFS(Acerto_Detalhado!$F$2:$F$433,Acerto_Detalhado!$A$2:$A$433,$C2351,Acerto_Detalhado!$B$2:$B$433,"Jun",Acerto_Detalhado!$C$2:$C$433,"Fibra"))*(SUMIFS(Acerto_Detalhado!$I$2:$I$433,Acerto_Detalhado!$A$2:$A$433,$D2351,Acerto_Detalhado!$B$2:$B$433,"Jun",Acerto_Detalhado!$C$2:$C$433,"Fibra")),2)</f>
        <v>0</v>
      </c>
    </row>
    <row r="2352" customFormat="false" ht="15" hidden="false" customHeight="false" outlineLevel="0" collapsed="false">
      <c r="A2352" s="27" t="s">
        <v>116</v>
      </c>
      <c r="B2352" s="27" t="s">
        <v>111</v>
      </c>
      <c r="C2352" s="27" t="s">
        <v>48</v>
      </c>
      <c r="D2352" s="27" t="s">
        <v>43</v>
      </c>
      <c r="E2352" s="28" t="n">
        <f aca="false">ROUND((SUMIFS(Acerto_Detalhado!$F$2:$F$433,Acerto_Detalhado!$A$2:$A$433,$C2352,Acerto_Detalhado!$B$2:$B$433,"Jun",Acerto_Detalhado!$C$2:$C$433,"Fibra"))*(SUMIFS(Acerto_Detalhado!$I$2:$I$433,Acerto_Detalhado!$A$2:$A$433,$D2352,Acerto_Detalhado!$B$2:$B$433,"Jun",Acerto_Detalhado!$C$2:$C$433,"Fibra")),2)</f>
        <v>0</v>
      </c>
    </row>
    <row r="2353" customFormat="false" ht="15" hidden="false" customHeight="false" outlineLevel="0" collapsed="false">
      <c r="A2353" s="27" t="s">
        <v>116</v>
      </c>
      <c r="B2353" s="27" t="s">
        <v>111</v>
      </c>
      <c r="C2353" s="27" t="s">
        <v>48</v>
      </c>
      <c r="D2353" s="27" t="s">
        <v>44</v>
      </c>
      <c r="E2353" s="28" t="n">
        <f aca="false">ROUND((SUMIFS(Acerto_Detalhado!$F$2:$F$433,Acerto_Detalhado!$A$2:$A$433,$C2353,Acerto_Detalhado!$B$2:$B$433,"Jun",Acerto_Detalhado!$C$2:$C$433,"Fibra"))*(SUMIFS(Acerto_Detalhado!$I$2:$I$433,Acerto_Detalhado!$A$2:$A$433,$D2353,Acerto_Detalhado!$B$2:$B$433,"Jun",Acerto_Detalhado!$C$2:$C$433,"Fibra")),2)</f>
        <v>0</v>
      </c>
    </row>
    <row r="2354" customFormat="false" ht="15" hidden="false" customHeight="false" outlineLevel="0" collapsed="false">
      <c r="A2354" s="27" t="s">
        <v>116</v>
      </c>
      <c r="B2354" s="27" t="s">
        <v>111</v>
      </c>
      <c r="C2354" s="27" t="s">
        <v>48</v>
      </c>
      <c r="D2354" s="27" t="s">
        <v>45</v>
      </c>
      <c r="E2354" s="28" t="n">
        <f aca="false">ROUND((SUMIFS(Acerto_Detalhado!$F$2:$F$433,Acerto_Detalhado!$A$2:$A$433,$C2354,Acerto_Detalhado!$B$2:$B$433,"Jun",Acerto_Detalhado!$C$2:$C$433,"Fibra"))*(SUMIFS(Acerto_Detalhado!$I$2:$I$433,Acerto_Detalhado!$A$2:$A$433,$D2354,Acerto_Detalhado!$B$2:$B$433,"Jun",Acerto_Detalhado!$C$2:$C$433,"Fibra")),2)</f>
        <v>0</v>
      </c>
    </row>
    <row r="2355" customFormat="false" ht="15" hidden="false" customHeight="false" outlineLevel="0" collapsed="false">
      <c r="A2355" s="27" t="s">
        <v>116</v>
      </c>
      <c r="B2355" s="27" t="s">
        <v>111</v>
      </c>
      <c r="C2355" s="27" t="s">
        <v>48</v>
      </c>
      <c r="D2355" s="27" t="s">
        <v>46</v>
      </c>
      <c r="E2355" s="28" t="n">
        <f aca="false">ROUND((SUMIFS(Acerto_Detalhado!$F$2:$F$433,Acerto_Detalhado!$A$2:$A$433,$C2355,Acerto_Detalhado!$B$2:$B$433,"Jun",Acerto_Detalhado!$C$2:$C$433,"Fibra"))*(SUMIFS(Acerto_Detalhado!$I$2:$I$433,Acerto_Detalhado!$A$2:$A$433,$D2355,Acerto_Detalhado!$B$2:$B$433,"Jun",Acerto_Detalhado!$C$2:$C$433,"Fibra")),2)</f>
        <v>0</v>
      </c>
    </row>
    <row r="2356" customFormat="false" ht="15" hidden="false" customHeight="false" outlineLevel="0" collapsed="false">
      <c r="A2356" s="27" t="s">
        <v>116</v>
      </c>
      <c r="B2356" s="27" t="s">
        <v>111</v>
      </c>
      <c r="C2356" s="27" t="s">
        <v>48</v>
      </c>
      <c r="D2356" s="27" t="s">
        <v>47</v>
      </c>
      <c r="E2356" s="28" t="n">
        <f aca="false">ROUND((SUMIFS(Acerto_Detalhado!$F$2:$F$433,Acerto_Detalhado!$A$2:$A$433,$C2356,Acerto_Detalhado!$B$2:$B$433,"Jun",Acerto_Detalhado!$C$2:$C$433,"Fibra"))*(SUMIFS(Acerto_Detalhado!$I$2:$I$433,Acerto_Detalhado!$A$2:$A$433,$D2356,Acerto_Detalhado!$B$2:$B$433,"Jun",Acerto_Detalhado!$C$2:$C$433,"Fibra")),2)</f>
        <v>0</v>
      </c>
    </row>
    <row r="2357" customFormat="false" ht="15" hidden="false" customHeight="false" outlineLevel="0" collapsed="false">
      <c r="A2357" s="27" t="s">
        <v>116</v>
      </c>
      <c r="B2357" s="27" t="s">
        <v>111</v>
      </c>
      <c r="C2357" s="27" t="s">
        <v>48</v>
      </c>
      <c r="D2357" s="27" t="s">
        <v>49</v>
      </c>
      <c r="E2357" s="28" t="n">
        <f aca="false">ROUND((SUMIFS(Acerto_Detalhado!$F$2:$F$433,Acerto_Detalhado!$A$2:$A$433,$C2357,Acerto_Detalhado!$B$2:$B$433,"Jun",Acerto_Detalhado!$C$2:$C$433,"Fibra"))*(SUMIFS(Acerto_Detalhado!$I$2:$I$433,Acerto_Detalhado!$A$2:$A$433,$D2357,Acerto_Detalhado!$B$2:$B$433,"Jun",Acerto_Detalhado!$C$2:$C$433,"Fibra")),2)</f>
        <v>0</v>
      </c>
    </row>
    <row r="2358" customFormat="false" ht="15" hidden="false" customHeight="false" outlineLevel="0" collapsed="false">
      <c r="A2358" s="27" t="s">
        <v>116</v>
      </c>
      <c r="B2358" s="27" t="s">
        <v>111</v>
      </c>
      <c r="C2358" s="27" t="s">
        <v>48</v>
      </c>
      <c r="D2358" s="27" t="s">
        <v>50</v>
      </c>
      <c r="E2358" s="28" t="n">
        <f aca="false">ROUND((SUMIFS(Acerto_Detalhado!$F$2:$F$433,Acerto_Detalhado!$A$2:$A$433,$C2358,Acerto_Detalhado!$B$2:$B$433,"Jun",Acerto_Detalhado!$C$2:$C$433,"Fibra"))*(SUMIFS(Acerto_Detalhado!$I$2:$I$433,Acerto_Detalhado!$A$2:$A$433,$D2358,Acerto_Detalhado!$B$2:$B$433,"Jun",Acerto_Detalhado!$C$2:$C$433,"Fibra")),2)</f>
        <v>0</v>
      </c>
    </row>
    <row r="2359" customFormat="false" ht="15" hidden="false" customHeight="false" outlineLevel="0" collapsed="false">
      <c r="A2359" s="27" t="s">
        <v>116</v>
      </c>
      <c r="B2359" s="27" t="s">
        <v>111</v>
      </c>
      <c r="C2359" s="27" t="s">
        <v>49</v>
      </c>
      <c r="D2359" s="27" t="s">
        <v>39</v>
      </c>
      <c r="E2359" s="28" t="n">
        <f aca="false">ROUND((SUMIFS(Acerto_Detalhado!$F$2:$F$433,Acerto_Detalhado!$A$2:$A$433,$C2359,Acerto_Detalhado!$B$2:$B$433,"Jun",Acerto_Detalhado!$C$2:$C$433,"Fibra"))*(SUMIFS(Acerto_Detalhado!$I$2:$I$433,Acerto_Detalhado!$A$2:$A$433,$D2359,Acerto_Detalhado!$B$2:$B$433,"Jun",Acerto_Detalhado!$C$2:$C$433,"Fibra")),2)</f>
        <v>0</v>
      </c>
    </row>
    <row r="2360" customFormat="false" ht="15" hidden="false" customHeight="false" outlineLevel="0" collapsed="false">
      <c r="A2360" s="27" t="s">
        <v>116</v>
      </c>
      <c r="B2360" s="27" t="s">
        <v>111</v>
      </c>
      <c r="C2360" s="27" t="s">
        <v>49</v>
      </c>
      <c r="D2360" s="27" t="s">
        <v>40</v>
      </c>
      <c r="E2360" s="28" t="n">
        <f aca="false">ROUND((SUMIFS(Acerto_Detalhado!$F$2:$F$433,Acerto_Detalhado!$A$2:$A$433,$C2360,Acerto_Detalhado!$B$2:$B$433,"Jun",Acerto_Detalhado!$C$2:$C$433,"Fibra"))*(SUMIFS(Acerto_Detalhado!$I$2:$I$433,Acerto_Detalhado!$A$2:$A$433,$D2360,Acerto_Detalhado!$B$2:$B$433,"Jun",Acerto_Detalhado!$C$2:$C$433,"Fibra")),2)</f>
        <v>0</v>
      </c>
    </row>
    <row r="2361" customFormat="false" ht="15" hidden="false" customHeight="false" outlineLevel="0" collapsed="false">
      <c r="A2361" s="27" t="s">
        <v>116</v>
      </c>
      <c r="B2361" s="27" t="s">
        <v>111</v>
      </c>
      <c r="C2361" s="27" t="s">
        <v>49</v>
      </c>
      <c r="D2361" s="27" t="s">
        <v>41</v>
      </c>
      <c r="E2361" s="28" t="n">
        <f aca="false">ROUND((SUMIFS(Acerto_Detalhado!$F$2:$F$433,Acerto_Detalhado!$A$2:$A$433,$C2361,Acerto_Detalhado!$B$2:$B$433,"Jun",Acerto_Detalhado!$C$2:$C$433,"Fibra"))*(SUMIFS(Acerto_Detalhado!$I$2:$I$433,Acerto_Detalhado!$A$2:$A$433,$D2361,Acerto_Detalhado!$B$2:$B$433,"Jun",Acerto_Detalhado!$C$2:$C$433,"Fibra")),2)</f>
        <v>0</v>
      </c>
    </row>
    <row r="2362" customFormat="false" ht="15" hidden="false" customHeight="false" outlineLevel="0" collapsed="false">
      <c r="A2362" s="27" t="s">
        <v>116</v>
      </c>
      <c r="B2362" s="27" t="s">
        <v>111</v>
      </c>
      <c r="C2362" s="27" t="s">
        <v>49</v>
      </c>
      <c r="D2362" s="27" t="s">
        <v>42</v>
      </c>
      <c r="E2362" s="28" t="n">
        <f aca="false">ROUND((SUMIFS(Acerto_Detalhado!$F$2:$F$433,Acerto_Detalhado!$A$2:$A$433,$C2362,Acerto_Detalhado!$B$2:$B$433,"Jun",Acerto_Detalhado!$C$2:$C$433,"Fibra"))*(SUMIFS(Acerto_Detalhado!$I$2:$I$433,Acerto_Detalhado!$A$2:$A$433,$D2362,Acerto_Detalhado!$B$2:$B$433,"Jun",Acerto_Detalhado!$C$2:$C$433,"Fibra")),2)</f>
        <v>0</v>
      </c>
    </row>
    <row r="2363" customFormat="false" ht="15" hidden="false" customHeight="false" outlineLevel="0" collapsed="false">
      <c r="A2363" s="27" t="s">
        <v>116</v>
      </c>
      <c r="B2363" s="27" t="s">
        <v>111</v>
      </c>
      <c r="C2363" s="27" t="s">
        <v>49</v>
      </c>
      <c r="D2363" s="27" t="s">
        <v>43</v>
      </c>
      <c r="E2363" s="28" t="n">
        <f aca="false">ROUND((SUMIFS(Acerto_Detalhado!$F$2:$F$433,Acerto_Detalhado!$A$2:$A$433,$C2363,Acerto_Detalhado!$B$2:$B$433,"Jun",Acerto_Detalhado!$C$2:$C$433,"Fibra"))*(SUMIFS(Acerto_Detalhado!$I$2:$I$433,Acerto_Detalhado!$A$2:$A$433,$D2363,Acerto_Detalhado!$B$2:$B$433,"Jun",Acerto_Detalhado!$C$2:$C$433,"Fibra")),2)</f>
        <v>0</v>
      </c>
    </row>
    <row r="2364" customFormat="false" ht="15" hidden="false" customHeight="false" outlineLevel="0" collapsed="false">
      <c r="A2364" s="27" t="s">
        <v>116</v>
      </c>
      <c r="B2364" s="27" t="s">
        <v>111</v>
      </c>
      <c r="C2364" s="27" t="s">
        <v>49</v>
      </c>
      <c r="D2364" s="27" t="s">
        <v>44</v>
      </c>
      <c r="E2364" s="28" t="n">
        <f aca="false">ROUND((SUMIFS(Acerto_Detalhado!$F$2:$F$433,Acerto_Detalhado!$A$2:$A$433,$C2364,Acerto_Detalhado!$B$2:$B$433,"Jun",Acerto_Detalhado!$C$2:$C$433,"Fibra"))*(SUMIFS(Acerto_Detalhado!$I$2:$I$433,Acerto_Detalhado!$A$2:$A$433,$D2364,Acerto_Detalhado!$B$2:$B$433,"Jun",Acerto_Detalhado!$C$2:$C$433,"Fibra")),2)</f>
        <v>0</v>
      </c>
    </row>
    <row r="2365" customFormat="false" ht="15" hidden="false" customHeight="false" outlineLevel="0" collapsed="false">
      <c r="A2365" s="27" t="s">
        <v>116</v>
      </c>
      <c r="B2365" s="27" t="s">
        <v>111</v>
      </c>
      <c r="C2365" s="27" t="s">
        <v>49</v>
      </c>
      <c r="D2365" s="27" t="s">
        <v>45</v>
      </c>
      <c r="E2365" s="28" t="n">
        <f aca="false">ROUND((SUMIFS(Acerto_Detalhado!$F$2:$F$433,Acerto_Detalhado!$A$2:$A$433,$C2365,Acerto_Detalhado!$B$2:$B$433,"Jun",Acerto_Detalhado!$C$2:$C$433,"Fibra"))*(SUMIFS(Acerto_Detalhado!$I$2:$I$433,Acerto_Detalhado!$A$2:$A$433,$D2365,Acerto_Detalhado!$B$2:$B$433,"Jun",Acerto_Detalhado!$C$2:$C$433,"Fibra")),2)</f>
        <v>0</v>
      </c>
    </row>
    <row r="2366" customFormat="false" ht="15" hidden="false" customHeight="false" outlineLevel="0" collapsed="false">
      <c r="A2366" s="27" t="s">
        <v>116</v>
      </c>
      <c r="B2366" s="27" t="s">
        <v>111</v>
      </c>
      <c r="C2366" s="27" t="s">
        <v>49</v>
      </c>
      <c r="D2366" s="27" t="s">
        <v>46</v>
      </c>
      <c r="E2366" s="28" t="n">
        <f aca="false">ROUND((SUMIFS(Acerto_Detalhado!$F$2:$F$433,Acerto_Detalhado!$A$2:$A$433,$C2366,Acerto_Detalhado!$B$2:$B$433,"Jun",Acerto_Detalhado!$C$2:$C$433,"Fibra"))*(SUMIFS(Acerto_Detalhado!$I$2:$I$433,Acerto_Detalhado!$A$2:$A$433,$D2366,Acerto_Detalhado!$B$2:$B$433,"Jun",Acerto_Detalhado!$C$2:$C$433,"Fibra")),2)</f>
        <v>0</v>
      </c>
    </row>
    <row r="2367" customFormat="false" ht="15" hidden="false" customHeight="false" outlineLevel="0" collapsed="false">
      <c r="A2367" s="27" t="s">
        <v>116</v>
      </c>
      <c r="B2367" s="27" t="s">
        <v>111</v>
      </c>
      <c r="C2367" s="27" t="s">
        <v>49</v>
      </c>
      <c r="D2367" s="27" t="s">
        <v>47</v>
      </c>
      <c r="E2367" s="28" t="n">
        <f aca="false">ROUND((SUMIFS(Acerto_Detalhado!$F$2:$F$433,Acerto_Detalhado!$A$2:$A$433,$C2367,Acerto_Detalhado!$B$2:$B$433,"Jun",Acerto_Detalhado!$C$2:$C$433,"Fibra"))*(SUMIFS(Acerto_Detalhado!$I$2:$I$433,Acerto_Detalhado!$A$2:$A$433,$D2367,Acerto_Detalhado!$B$2:$B$433,"Jun",Acerto_Detalhado!$C$2:$C$433,"Fibra")),2)</f>
        <v>0</v>
      </c>
    </row>
    <row r="2368" customFormat="false" ht="15" hidden="false" customHeight="false" outlineLevel="0" collapsed="false">
      <c r="A2368" s="27" t="s">
        <v>116</v>
      </c>
      <c r="B2368" s="27" t="s">
        <v>111</v>
      </c>
      <c r="C2368" s="27" t="s">
        <v>49</v>
      </c>
      <c r="D2368" s="27" t="s">
        <v>48</v>
      </c>
      <c r="E2368" s="28" t="n">
        <f aca="false">ROUND((SUMIFS(Acerto_Detalhado!$F$2:$F$433,Acerto_Detalhado!$A$2:$A$433,$C2368,Acerto_Detalhado!$B$2:$B$433,"Jun",Acerto_Detalhado!$C$2:$C$433,"Fibra"))*(SUMIFS(Acerto_Detalhado!$I$2:$I$433,Acerto_Detalhado!$A$2:$A$433,$D2368,Acerto_Detalhado!$B$2:$B$433,"Jun",Acerto_Detalhado!$C$2:$C$433,"Fibra")),2)</f>
        <v>0</v>
      </c>
    </row>
    <row r="2369" customFormat="false" ht="15" hidden="false" customHeight="false" outlineLevel="0" collapsed="false">
      <c r="A2369" s="27" t="s">
        <v>116</v>
      </c>
      <c r="B2369" s="27" t="s">
        <v>111</v>
      </c>
      <c r="C2369" s="27" t="s">
        <v>49</v>
      </c>
      <c r="D2369" s="27" t="s">
        <v>50</v>
      </c>
      <c r="E2369" s="28" t="n">
        <f aca="false">ROUND((SUMIFS(Acerto_Detalhado!$F$2:$F$433,Acerto_Detalhado!$A$2:$A$433,$C2369,Acerto_Detalhado!$B$2:$B$433,"Jun",Acerto_Detalhado!$C$2:$C$433,"Fibra"))*(SUMIFS(Acerto_Detalhado!$I$2:$I$433,Acerto_Detalhado!$A$2:$A$433,$D2369,Acerto_Detalhado!$B$2:$B$433,"Jun",Acerto_Detalhado!$C$2:$C$433,"Fibra")),2)</f>
        <v>0</v>
      </c>
    </row>
    <row r="2370" customFormat="false" ht="15" hidden="false" customHeight="false" outlineLevel="0" collapsed="false">
      <c r="A2370" s="27" t="s">
        <v>116</v>
      </c>
      <c r="B2370" s="27" t="s">
        <v>111</v>
      </c>
      <c r="C2370" s="27" t="s">
        <v>50</v>
      </c>
      <c r="D2370" s="27" t="s">
        <v>39</v>
      </c>
      <c r="E2370" s="28" t="n">
        <f aca="false">ROUND((SUMIFS(Acerto_Detalhado!$F$2:$F$433,Acerto_Detalhado!$A$2:$A$433,$C2370,Acerto_Detalhado!$B$2:$B$433,"Jun",Acerto_Detalhado!$C$2:$C$433,"Fibra"))*(SUMIFS(Acerto_Detalhado!$I$2:$I$433,Acerto_Detalhado!$A$2:$A$433,$D2370,Acerto_Detalhado!$B$2:$B$433,"Jun",Acerto_Detalhado!$C$2:$C$433,"Fibra")),2)</f>
        <v>0</v>
      </c>
    </row>
    <row r="2371" customFormat="false" ht="15" hidden="false" customHeight="false" outlineLevel="0" collapsed="false">
      <c r="A2371" s="27" t="s">
        <v>116</v>
      </c>
      <c r="B2371" s="27" t="s">
        <v>111</v>
      </c>
      <c r="C2371" s="27" t="s">
        <v>50</v>
      </c>
      <c r="D2371" s="27" t="s">
        <v>40</v>
      </c>
      <c r="E2371" s="28" t="n">
        <f aca="false">ROUND((SUMIFS(Acerto_Detalhado!$F$2:$F$433,Acerto_Detalhado!$A$2:$A$433,$C2371,Acerto_Detalhado!$B$2:$B$433,"Jun",Acerto_Detalhado!$C$2:$C$433,"Fibra"))*(SUMIFS(Acerto_Detalhado!$I$2:$I$433,Acerto_Detalhado!$A$2:$A$433,$D2371,Acerto_Detalhado!$B$2:$B$433,"Jun",Acerto_Detalhado!$C$2:$C$433,"Fibra")),2)</f>
        <v>0</v>
      </c>
    </row>
    <row r="2372" customFormat="false" ht="15" hidden="false" customHeight="false" outlineLevel="0" collapsed="false">
      <c r="A2372" s="27" t="s">
        <v>116</v>
      </c>
      <c r="B2372" s="27" t="s">
        <v>111</v>
      </c>
      <c r="C2372" s="27" t="s">
        <v>50</v>
      </c>
      <c r="D2372" s="27" t="s">
        <v>41</v>
      </c>
      <c r="E2372" s="28" t="n">
        <f aca="false">ROUND((SUMIFS(Acerto_Detalhado!$F$2:$F$433,Acerto_Detalhado!$A$2:$A$433,$C2372,Acerto_Detalhado!$B$2:$B$433,"Jun",Acerto_Detalhado!$C$2:$C$433,"Fibra"))*(SUMIFS(Acerto_Detalhado!$I$2:$I$433,Acerto_Detalhado!$A$2:$A$433,$D2372,Acerto_Detalhado!$B$2:$B$433,"Jun",Acerto_Detalhado!$C$2:$C$433,"Fibra")),2)</f>
        <v>0</v>
      </c>
    </row>
    <row r="2373" customFormat="false" ht="15" hidden="false" customHeight="false" outlineLevel="0" collapsed="false">
      <c r="A2373" s="27" t="s">
        <v>116</v>
      </c>
      <c r="B2373" s="27" t="s">
        <v>111</v>
      </c>
      <c r="C2373" s="27" t="s">
        <v>50</v>
      </c>
      <c r="D2373" s="27" t="s">
        <v>42</v>
      </c>
      <c r="E2373" s="28" t="n">
        <f aca="false">ROUND((SUMIFS(Acerto_Detalhado!$F$2:$F$433,Acerto_Detalhado!$A$2:$A$433,$C2373,Acerto_Detalhado!$B$2:$B$433,"Jun",Acerto_Detalhado!$C$2:$C$433,"Fibra"))*(SUMIFS(Acerto_Detalhado!$I$2:$I$433,Acerto_Detalhado!$A$2:$A$433,$D2373,Acerto_Detalhado!$B$2:$B$433,"Jun",Acerto_Detalhado!$C$2:$C$433,"Fibra")),2)</f>
        <v>0</v>
      </c>
    </row>
    <row r="2374" customFormat="false" ht="15" hidden="false" customHeight="false" outlineLevel="0" collapsed="false">
      <c r="A2374" s="27" t="s">
        <v>116</v>
      </c>
      <c r="B2374" s="27" t="s">
        <v>111</v>
      </c>
      <c r="C2374" s="27" t="s">
        <v>50</v>
      </c>
      <c r="D2374" s="27" t="s">
        <v>43</v>
      </c>
      <c r="E2374" s="28" t="n">
        <f aca="false">ROUND((SUMIFS(Acerto_Detalhado!$F$2:$F$433,Acerto_Detalhado!$A$2:$A$433,$C2374,Acerto_Detalhado!$B$2:$B$433,"Jun",Acerto_Detalhado!$C$2:$C$433,"Fibra"))*(SUMIFS(Acerto_Detalhado!$I$2:$I$433,Acerto_Detalhado!$A$2:$A$433,$D2374,Acerto_Detalhado!$B$2:$B$433,"Jun",Acerto_Detalhado!$C$2:$C$433,"Fibra")),2)</f>
        <v>0</v>
      </c>
    </row>
    <row r="2375" customFormat="false" ht="15" hidden="false" customHeight="false" outlineLevel="0" collapsed="false">
      <c r="A2375" s="27" t="s">
        <v>116</v>
      </c>
      <c r="B2375" s="27" t="s">
        <v>111</v>
      </c>
      <c r="C2375" s="27" t="s">
        <v>50</v>
      </c>
      <c r="D2375" s="27" t="s">
        <v>44</v>
      </c>
      <c r="E2375" s="28" t="n">
        <f aca="false">ROUND((SUMIFS(Acerto_Detalhado!$F$2:$F$433,Acerto_Detalhado!$A$2:$A$433,$C2375,Acerto_Detalhado!$B$2:$B$433,"Jun",Acerto_Detalhado!$C$2:$C$433,"Fibra"))*(SUMIFS(Acerto_Detalhado!$I$2:$I$433,Acerto_Detalhado!$A$2:$A$433,$D2375,Acerto_Detalhado!$B$2:$B$433,"Jun",Acerto_Detalhado!$C$2:$C$433,"Fibra")),2)</f>
        <v>0</v>
      </c>
    </row>
    <row r="2376" customFormat="false" ht="15" hidden="false" customHeight="false" outlineLevel="0" collapsed="false">
      <c r="A2376" s="27" t="s">
        <v>116</v>
      </c>
      <c r="B2376" s="27" t="s">
        <v>111</v>
      </c>
      <c r="C2376" s="27" t="s">
        <v>50</v>
      </c>
      <c r="D2376" s="27" t="s">
        <v>45</v>
      </c>
      <c r="E2376" s="28" t="n">
        <f aca="false">ROUND((SUMIFS(Acerto_Detalhado!$F$2:$F$433,Acerto_Detalhado!$A$2:$A$433,$C2376,Acerto_Detalhado!$B$2:$B$433,"Jun",Acerto_Detalhado!$C$2:$C$433,"Fibra"))*(SUMIFS(Acerto_Detalhado!$I$2:$I$433,Acerto_Detalhado!$A$2:$A$433,$D2376,Acerto_Detalhado!$B$2:$B$433,"Jun",Acerto_Detalhado!$C$2:$C$433,"Fibra")),2)</f>
        <v>0</v>
      </c>
    </row>
    <row r="2377" customFormat="false" ht="15" hidden="false" customHeight="false" outlineLevel="0" collapsed="false">
      <c r="A2377" s="27" t="s">
        <v>116</v>
      </c>
      <c r="B2377" s="27" t="s">
        <v>111</v>
      </c>
      <c r="C2377" s="27" t="s">
        <v>50</v>
      </c>
      <c r="D2377" s="27" t="s">
        <v>46</v>
      </c>
      <c r="E2377" s="28" t="n">
        <f aca="false">ROUND((SUMIFS(Acerto_Detalhado!$F$2:$F$433,Acerto_Detalhado!$A$2:$A$433,$C2377,Acerto_Detalhado!$B$2:$B$433,"Jun",Acerto_Detalhado!$C$2:$C$433,"Fibra"))*(SUMIFS(Acerto_Detalhado!$I$2:$I$433,Acerto_Detalhado!$A$2:$A$433,$D2377,Acerto_Detalhado!$B$2:$B$433,"Jun",Acerto_Detalhado!$C$2:$C$433,"Fibra")),2)</f>
        <v>0</v>
      </c>
    </row>
    <row r="2378" customFormat="false" ht="15" hidden="false" customHeight="false" outlineLevel="0" collapsed="false">
      <c r="A2378" s="27" t="s">
        <v>116</v>
      </c>
      <c r="B2378" s="27" t="s">
        <v>111</v>
      </c>
      <c r="C2378" s="27" t="s">
        <v>50</v>
      </c>
      <c r="D2378" s="27" t="s">
        <v>47</v>
      </c>
      <c r="E2378" s="28" t="n">
        <f aca="false">ROUND((SUMIFS(Acerto_Detalhado!$F$2:$F$433,Acerto_Detalhado!$A$2:$A$433,$C2378,Acerto_Detalhado!$B$2:$B$433,"Jun",Acerto_Detalhado!$C$2:$C$433,"Fibra"))*(SUMIFS(Acerto_Detalhado!$I$2:$I$433,Acerto_Detalhado!$A$2:$A$433,$D2378,Acerto_Detalhado!$B$2:$B$433,"Jun",Acerto_Detalhado!$C$2:$C$433,"Fibra")),2)</f>
        <v>0</v>
      </c>
    </row>
    <row r="2379" customFormat="false" ht="15" hidden="false" customHeight="false" outlineLevel="0" collapsed="false">
      <c r="A2379" s="27" t="s">
        <v>116</v>
      </c>
      <c r="B2379" s="27" t="s">
        <v>111</v>
      </c>
      <c r="C2379" s="27" t="s">
        <v>50</v>
      </c>
      <c r="D2379" s="27" t="s">
        <v>48</v>
      </c>
      <c r="E2379" s="28" t="n">
        <f aca="false">ROUND((SUMIFS(Acerto_Detalhado!$F$2:$F$433,Acerto_Detalhado!$A$2:$A$433,$C2379,Acerto_Detalhado!$B$2:$B$433,"Jun",Acerto_Detalhado!$C$2:$C$433,"Fibra"))*(SUMIFS(Acerto_Detalhado!$I$2:$I$433,Acerto_Detalhado!$A$2:$A$433,$D2379,Acerto_Detalhado!$B$2:$B$433,"Jun",Acerto_Detalhado!$C$2:$C$433,"Fibra")),2)</f>
        <v>0</v>
      </c>
    </row>
    <row r="2380" customFormat="false" ht="15" hidden="false" customHeight="false" outlineLevel="0" collapsed="false">
      <c r="A2380" s="27" t="s">
        <v>116</v>
      </c>
      <c r="B2380" s="27" t="s">
        <v>111</v>
      </c>
      <c r="C2380" s="27" t="s">
        <v>50</v>
      </c>
      <c r="D2380" s="27" t="s">
        <v>49</v>
      </c>
      <c r="E2380" s="28" t="n">
        <f aca="false">ROUND((SUMIFS(Acerto_Detalhado!$F$2:$F$433,Acerto_Detalhado!$A$2:$A$433,$C2380,Acerto_Detalhado!$B$2:$B$433,"Jun",Acerto_Detalhado!$C$2:$C$433,"Fibra"))*(SUMIFS(Acerto_Detalhado!$I$2:$I$433,Acerto_Detalhado!$A$2:$A$433,$D2380,Acerto_Detalhado!$B$2:$B$433,"Jun",Acerto_Detalhado!$C$2:$C$433,"Fibra")),2)</f>
        <v>0</v>
      </c>
    </row>
    <row r="2381" customFormat="false" ht="15" hidden="false" customHeight="false" outlineLevel="0" collapsed="false">
      <c r="A2381" s="27" t="s">
        <v>117</v>
      </c>
      <c r="B2381" s="27" t="s">
        <v>109</v>
      </c>
      <c r="C2381" s="27" t="s">
        <v>39</v>
      </c>
      <c r="D2381" s="27" t="s">
        <v>40</v>
      </c>
      <c r="E2381" s="28" t="n">
        <f aca="false">ROUND((SUMIFS(Acerto_Detalhado!$F$2:$F$433,Acerto_Detalhado!$A$2:$A$433,$C2381,Acerto_Detalhado!$B$2:$B$433,"Jul",Acerto_Detalhado!$C$2:$C$433,"Proteina"))*(SUMIFS(Acerto_Detalhado!$I$2:$I$433,Acerto_Detalhado!$A$2:$A$433,$D2381,Acerto_Detalhado!$B$2:$B$433,"Jul",Acerto_Detalhado!$C$2:$C$433,"Proteina")),2)</f>
        <v>10820.14</v>
      </c>
    </row>
    <row r="2382" customFormat="false" ht="15" hidden="false" customHeight="false" outlineLevel="0" collapsed="false">
      <c r="A2382" s="27" t="s">
        <v>117</v>
      </c>
      <c r="B2382" s="27" t="s">
        <v>109</v>
      </c>
      <c r="C2382" s="27" t="s">
        <v>39</v>
      </c>
      <c r="D2382" s="27" t="s">
        <v>41</v>
      </c>
      <c r="E2382" s="28" t="n">
        <f aca="false">ROUND((SUMIFS(Acerto_Detalhado!$F$2:$F$433,Acerto_Detalhado!$A$2:$A$433,$C2382,Acerto_Detalhado!$B$2:$B$433,"Jul",Acerto_Detalhado!$C$2:$C$433,"Proteina"))*(SUMIFS(Acerto_Detalhado!$I$2:$I$433,Acerto_Detalhado!$A$2:$A$433,$D2382,Acerto_Detalhado!$B$2:$B$433,"Jul",Acerto_Detalhado!$C$2:$C$433,"Proteina")),2)</f>
        <v>19139.57</v>
      </c>
    </row>
    <row r="2383" customFormat="false" ht="15" hidden="false" customHeight="false" outlineLevel="0" collapsed="false">
      <c r="A2383" s="27" t="s">
        <v>117</v>
      </c>
      <c r="B2383" s="27" t="s">
        <v>109</v>
      </c>
      <c r="C2383" s="27" t="s">
        <v>39</v>
      </c>
      <c r="D2383" s="27" t="s">
        <v>42</v>
      </c>
      <c r="E2383" s="28" t="n">
        <f aca="false">ROUND((SUMIFS(Acerto_Detalhado!$F$2:$F$433,Acerto_Detalhado!$A$2:$A$433,$C2383,Acerto_Detalhado!$B$2:$B$433,"Jul",Acerto_Detalhado!$C$2:$C$433,"Proteina"))*(SUMIFS(Acerto_Detalhado!$I$2:$I$433,Acerto_Detalhado!$A$2:$A$433,$D2383,Acerto_Detalhado!$B$2:$B$433,"Jul",Acerto_Detalhado!$C$2:$C$433,"Proteina")),2)</f>
        <v>0</v>
      </c>
    </row>
    <row r="2384" customFormat="false" ht="15" hidden="false" customHeight="false" outlineLevel="0" collapsed="false">
      <c r="A2384" s="27" t="s">
        <v>117</v>
      </c>
      <c r="B2384" s="27" t="s">
        <v>109</v>
      </c>
      <c r="C2384" s="27" t="s">
        <v>39</v>
      </c>
      <c r="D2384" s="27" t="s">
        <v>43</v>
      </c>
      <c r="E2384" s="28" t="n">
        <f aca="false">ROUND((SUMIFS(Acerto_Detalhado!$F$2:$F$433,Acerto_Detalhado!$A$2:$A$433,$C2384,Acerto_Detalhado!$B$2:$B$433,"Jul",Acerto_Detalhado!$C$2:$C$433,"Proteina"))*(SUMIFS(Acerto_Detalhado!$I$2:$I$433,Acerto_Detalhado!$A$2:$A$433,$D2384,Acerto_Detalhado!$B$2:$B$433,"Jul",Acerto_Detalhado!$C$2:$C$433,"Proteina")),2)</f>
        <v>0</v>
      </c>
    </row>
    <row r="2385" customFormat="false" ht="15" hidden="false" customHeight="false" outlineLevel="0" collapsed="false">
      <c r="A2385" s="27" t="s">
        <v>117</v>
      </c>
      <c r="B2385" s="27" t="s">
        <v>109</v>
      </c>
      <c r="C2385" s="27" t="s">
        <v>39</v>
      </c>
      <c r="D2385" s="27" t="s">
        <v>44</v>
      </c>
      <c r="E2385" s="28" t="n">
        <f aca="false">ROUND((SUMIFS(Acerto_Detalhado!$F$2:$F$433,Acerto_Detalhado!$A$2:$A$433,$C2385,Acerto_Detalhado!$B$2:$B$433,"Jul",Acerto_Detalhado!$C$2:$C$433,"Proteina"))*(SUMIFS(Acerto_Detalhado!$I$2:$I$433,Acerto_Detalhado!$A$2:$A$433,$D2385,Acerto_Detalhado!$B$2:$B$433,"Jul",Acerto_Detalhado!$C$2:$C$433,"Proteina")),2)</f>
        <v>12110.77</v>
      </c>
    </row>
    <row r="2386" customFormat="false" ht="15" hidden="false" customHeight="false" outlineLevel="0" collapsed="false">
      <c r="A2386" s="27" t="s">
        <v>117</v>
      </c>
      <c r="B2386" s="27" t="s">
        <v>109</v>
      </c>
      <c r="C2386" s="27" t="s">
        <v>39</v>
      </c>
      <c r="D2386" s="27" t="s">
        <v>45</v>
      </c>
      <c r="E2386" s="28" t="n">
        <f aca="false">ROUND((SUMIFS(Acerto_Detalhado!$F$2:$F$433,Acerto_Detalhado!$A$2:$A$433,$C2386,Acerto_Detalhado!$B$2:$B$433,"Jul",Acerto_Detalhado!$C$2:$C$433,"Proteina"))*(SUMIFS(Acerto_Detalhado!$I$2:$I$433,Acerto_Detalhado!$A$2:$A$433,$D2386,Acerto_Detalhado!$B$2:$B$433,"Jul",Acerto_Detalhado!$C$2:$C$433,"Proteina")),2)</f>
        <v>0</v>
      </c>
    </row>
    <row r="2387" customFormat="false" ht="15" hidden="false" customHeight="false" outlineLevel="0" collapsed="false">
      <c r="A2387" s="27" t="s">
        <v>117</v>
      </c>
      <c r="B2387" s="27" t="s">
        <v>109</v>
      </c>
      <c r="C2387" s="27" t="s">
        <v>39</v>
      </c>
      <c r="D2387" s="27" t="s">
        <v>46</v>
      </c>
      <c r="E2387" s="28" t="n">
        <f aca="false">ROUND((SUMIFS(Acerto_Detalhado!$F$2:$F$433,Acerto_Detalhado!$A$2:$A$433,$C2387,Acerto_Detalhado!$B$2:$B$433,"Jul",Acerto_Detalhado!$C$2:$C$433,"Proteina"))*(SUMIFS(Acerto_Detalhado!$I$2:$I$433,Acerto_Detalhado!$A$2:$A$433,$D2387,Acerto_Detalhado!$B$2:$B$433,"Jul",Acerto_Detalhado!$C$2:$C$433,"Proteina")),2)</f>
        <v>0</v>
      </c>
    </row>
    <row r="2388" customFormat="false" ht="15" hidden="false" customHeight="false" outlineLevel="0" collapsed="false">
      <c r="A2388" s="27" t="s">
        <v>117</v>
      </c>
      <c r="B2388" s="27" t="s">
        <v>109</v>
      </c>
      <c r="C2388" s="27" t="s">
        <v>39</v>
      </c>
      <c r="D2388" s="27" t="s">
        <v>47</v>
      </c>
      <c r="E2388" s="28" t="n">
        <f aca="false">ROUND((SUMIFS(Acerto_Detalhado!$F$2:$F$433,Acerto_Detalhado!$A$2:$A$433,$C2388,Acerto_Detalhado!$B$2:$B$433,"Jul",Acerto_Detalhado!$C$2:$C$433,"Proteina"))*(SUMIFS(Acerto_Detalhado!$I$2:$I$433,Acerto_Detalhado!$A$2:$A$433,$D2388,Acerto_Detalhado!$B$2:$B$433,"Jul",Acerto_Detalhado!$C$2:$C$433,"Proteina")),2)</f>
        <v>0</v>
      </c>
    </row>
    <row r="2389" customFormat="false" ht="15" hidden="false" customHeight="false" outlineLevel="0" collapsed="false">
      <c r="A2389" s="27" t="s">
        <v>117</v>
      </c>
      <c r="B2389" s="27" t="s">
        <v>109</v>
      </c>
      <c r="C2389" s="27" t="s">
        <v>39</v>
      </c>
      <c r="D2389" s="27" t="s">
        <v>48</v>
      </c>
      <c r="E2389" s="28" t="n">
        <f aca="false">ROUND((SUMIFS(Acerto_Detalhado!$F$2:$F$433,Acerto_Detalhado!$A$2:$A$433,$C2389,Acerto_Detalhado!$B$2:$B$433,"Jul",Acerto_Detalhado!$C$2:$C$433,"Proteina"))*(SUMIFS(Acerto_Detalhado!$I$2:$I$433,Acerto_Detalhado!$A$2:$A$433,$D2389,Acerto_Detalhado!$B$2:$B$433,"Jul",Acerto_Detalhado!$C$2:$C$433,"Proteina")),2)</f>
        <v>13472.35</v>
      </c>
    </row>
    <row r="2390" customFormat="false" ht="15" hidden="false" customHeight="false" outlineLevel="0" collapsed="false">
      <c r="A2390" s="27" t="s">
        <v>117</v>
      </c>
      <c r="B2390" s="27" t="s">
        <v>109</v>
      </c>
      <c r="C2390" s="27" t="s">
        <v>39</v>
      </c>
      <c r="D2390" s="27" t="s">
        <v>49</v>
      </c>
      <c r="E2390" s="28" t="n">
        <f aca="false">ROUND((SUMIFS(Acerto_Detalhado!$F$2:$F$433,Acerto_Detalhado!$A$2:$A$433,$C2390,Acerto_Detalhado!$B$2:$B$433,"Jul",Acerto_Detalhado!$C$2:$C$433,"Proteina"))*(SUMIFS(Acerto_Detalhado!$I$2:$I$433,Acerto_Detalhado!$A$2:$A$433,$D2390,Acerto_Detalhado!$B$2:$B$433,"Jul",Acerto_Detalhado!$C$2:$C$433,"Proteina")),2)</f>
        <v>0</v>
      </c>
    </row>
    <row r="2391" customFormat="false" ht="15" hidden="false" customHeight="false" outlineLevel="0" collapsed="false">
      <c r="A2391" s="27" t="s">
        <v>117</v>
      </c>
      <c r="B2391" s="27" t="s">
        <v>109</v>
      </c>
      <c r="C2391" s="27" t="s">
        <v>39</v>
      </c>
      <c r="D2391" s="27" t="s">
        <v>50</v>
      </c>
      <c r="E2391" s="28" t="n">
        <f aca="false">ROUND((SUMIFS(Acerto_Detalhado!$F$2:$F$433,Acerto_Detalhado!$A$2:$A$433,$C2391,Acerto_Detalhado!$B$2:$B$433,"Jul",Acerto_Detalhado!$C$2:$C$433,"Proteina"))*(SUMIFS(Acerto_Detalhado!$I$2:$I$433,Acerto_Detalhado!$A$2:$A$433,$D2391,Acerto_Detalhado!$B$2:$B$433,"Jul",Acerto_Detalhado!$C$2:$C$433,"Proteina")),2)</f>
        <v>0</v>
      </c>
    </row>
    <row r="2392" customFormat="false" ht="15" hidden="false" customHeight="false" outlineLevel="0" collapsed="false">
      <c r="A2392" s="27" t="s">
        <v>117</v>
      </c>
      <c r="B2392" s="27" t="s">
        <v>109</v>
      </c>
      <c r="C2392" s="27" t="s">
        <v>40</v>
      </c>
      <c r="D2392" s="27" t="s">
        <v>39</v>
      </c>
      <c r="E2392" s="28" t="n">
        <f aca="false">ROUND((SUMIFS(Acerto_Detalhado!$F$2:$F$433,Acerto_Detalhado!$A$2:$A$433,$C2392,Acerto_Detalhado!$B$2:$B$433,"Jul",Acerto_Detalhado!$C$2:$C$433,"Proteina"))*(SUMIFS(Acerto_Detalhado!$I$2:$I$433,Acerto_Detalhado!$A$2:$A$433,$D2392,Acerto_Detalhado!$B$2:$B$433,"Jul",Acerto_Detalhado!$C$2:$C$433,"Proteina")),2)</f>
        <v>0</v>
      </c>
    </row>
    <row r="2393" customFormat="false" ht="15" hidden="false" customHeight="false" outlineLevel="0" collapsed="false">
      <c r="A2393" s="27" t="s">
        <v>117</v>
      </c>
      <c r="B2393" s="27" t="s">
        <v>109</v>
      </c>
      <c r="C2393" s="27" t="s">
        <v>40</v>
      </c>
      <c r="D2393" s="27" t="s">
        <v>41</v>
      </c>
      <c r="E2393" s="28" t="n">
        <f aca="false">ROUND((SUMIFS(Acerto_Detalhado!$F$2:$F$433,Acerto_Detalhado!$A$2:$A$433,$C2393,Acerto_Detalhado!$B$2:$B$433,"Jul",Acerto_Detalhado!$C$2:$C$433,"Proteina"))*(SUMIFS(Acerto_Detalhado!$I$2:$I$433,Acerto_Detalhado!$A$2:$A$433,$D2393,Acerto_Detalhado!$B$2:$B$433,"Jul",Acerto_Detalhado!$C$2:$C$433,"Proteina")),2)</f>
        <v>0</v>
      </c>
    </row>
    <row r="2394" customFormat="false" ht="15" hidden="false" customHeight="false" outlineLevel="0" collapsed="false">
      <c r="A2394" s="27" t="s">
        <v>117</v>
      </c>
      <c r="B2394" s="27" t="s">
        <v>109</v>
      </c>
      <c r="C2394" s="27" t="s">
        <v>40</v>
      </c>
      <c r="D2394" s="27" t="s">
        <v>42</v>
      </c>
      <c r="E2394" s="28" t="n">
        <f aca="false">ROUND((SUMIFS(Acerto_Detalhado!$F$2:$F$433,Acerto_Detalhado!$A$2:$A$433,$C2394,Acerto_Detalhado!$B$2:$B$433,"Jul",Acerto_Detalhado!$C$2:$C$433,"Proteina"))*(SUMIFS(Acerto_Detalhado!$I$2:$I$433,Acerto_Detalhado!$A$2:$A$433,$D2394,Acerto_Detalhado!$B$2:$B$433,"Jul",Acerto_Detalhado!$C$2:$C$433,"Proteina")),2)</f>
        <v>0</v>
      </c>
    </row>
    <row r="2395" customFormat="false" ht="15" hidden="false" customHeight="false" outlineLevel="0" collapsed="false">
      <c r="A2395" s="27" t="s">
        <v>117</v>
      </c>
      <c r="B2395" s="27" t="s">
        <v>109</v>
      </c>
      <c r="C2395" s="27" t="s">
        <v>40</v>
      </c>
      <c r="D2395" s="27" t="s">
        <v>43</v>
      </c>
      <c r="E2395" s="28" t="n">
        <f aca="false">ROUND((SUMIFS(Acerto_Detalhado!$F$2:$F$433,Acerto_Detalhado!$A$2:$A$433,$C2395,Acerto_Detalhado!$B$2:$B$433,"Jul",Acerto_Detalhado!$C$2:$C$433,"Proteina"))*(SUMIFS(Acerto_Detalhado!$I$2:$I$433,Acerto_Detalhado!$A$2:$A$433,$D2395,Acerto_Detalhado!$B$2:$B$433,"Jul",Acerto_Detalhado!$C$2:$C$433,"Proteina")),2)</f>
        <v>0</v>
      </c>
    </row>
    <row r="2396" customFormat="false" ht="15" hidden="false" customHeight="false" outlineLevel="0" collapsed="false">
      <c r="A2396" s="27" t="s">
        <v>117</v>
      </c>
      <c r="B2396" s="27" t="s">
        <v>109</v>
      </c>
      <c r="C2396" s="27" t="s">
        <v>40</v>
      </c>
      <c r="D2396" s="27" t="s">
        <v>44</v>
      </c>
      <c r="E2396" s="28" t="n">
        <f aca="false">ROUND((SUMIFS(Acerto_Detalhado!$F$2:$F$433,Acerto_Detalhado!$A$2:$A$433,$C2396,Acerto_Detalhado!$B$2:$B$433,"Jul",Acerto_Detalhado!$C$2:$C$433,"Proteina"))*(SUMIFS(Acerto_Detalhado!$I$2:$I$433,Acerto_Detalhado!$A$2:$A$433,$D2396,Acerto_Detalhado!$B$2:$B$433,"Jul",Acerto_Detalhado!$C$2:$C$433,"Proteina")),2)</f>
        <v>0</v>
      </c>
    </row>
    <row r="2397" customFormat="false" ht="15" hidden="false" customHeight="false" outlineLevel="0" collapsed="false">
      <c r="A2397" s="27" t="s">
        <v>117</v>
      </c>
      <c r="B2397" s="27" t="s">
        <v>109</v>
      </c>
      <c r="C2397" s="27" t="s">
        <v>40</v>
      </c>
      <c r="D2397" s="27" t="s">
        <v>45</v>
      </c>
      <c r="E2397" s="28" t="n">
        <f aca="false">ROUND((SUMIFS(Acerto_Detalhado!$F$2:$F$433,Acerto_Detalhado!$A$2:$A$433,$C2397,Acerto_Detalhado!$B$2:$B$433,"Jul",Acerto_Detalhado!$C$2:$C$433,"Proteina"))*(SUMIFS(Acerto_Detalhado!$I$2:$I$433,Acerto_Detalhado!$A$2:$A$433,$D2397,Acerto_Detalhado!$B$2:$B$433,"Jul",Acerto_Detalhado!$C$2:$C$433,"Proteina")),2)</f>
        <v>0</v>
      </c>
    </row>
    <row r="2398" customFormat="false" ht="15" hidden="false" customHeight="false" outlineLevel="0" collapsed="false">
      <c r="A2398" s="27" t="s">
        <v>117</v>
      </c>
      <c r="B2398" s="27" t="s">
        <v>109</v>
      </c>
      <c r="C2398" s="27" t="s">
        <v>40</v>
      </c>
      <c r="D2398" s="27" t="s">
        <v>46</v>
      </c>
      <c r="E2398" s="28" t="n">
        <f aca="false">ROUND((SUMIFS(Acerto_Detalhado!$F$2:$F$433,Acerto_Detalhado!$A$2:$A$433,$C2398,Acerto_Detalhado!$B$2:$B$433,"Jul",Acerto_Detalhado!$C$2:$C$433,"Proteina"))*(SUMIFS(Acerto_Detalhado!$I$2:$I$433,Acerto_Detalhado!$A$2:$A$433,$D2398,Acerto_Detalhado!$B$2:$B$433,"Jul",Acerto_Detalhado!$C$2:$C$433,"Proteina")),2)</f>
        <v>0</v>
      </c>
    </row>
    <row r="2399" customFormat="false" ht="15" hidden="false" customHeight="false" outlineLevel="0" collapsed="false">
      <c r="A2399" s="27" t="s">
        <v>117</v>
      </c>
      <c r="B2399" s="27" t="s">
        <v>109</v>
      </c>
      <c r="C2399" s="27" t="s">
        <v>40</v>
      </c>
      <c r="D2399" s="27" t="s">
        <v>47</v>
      </c>
      <c r="E2399" s="28" t="n">
        <f aca="false">ROUND((SUMIFS(Acerto_Detalhado!$F$2:$F$433,Acerto_Detalhado!$A$2:$A$433,$C2399,Acerto_Detalhado!$B$2:$B$433,"Jul",Acerto_Detalhado!$C$2:$C$433,"Proteina"))*(SUMIFS(Acerto_Detalhado!$I$2:$I$433,Acerto_Detalhado!$A$2:$A$433,$D2399,Acerto_Detalhado!$B$2:$B$433,"Jul",Acerto_Detalhado!$C$2:$C$433,"Proteina")),2)</f>
        <v>0</v>
      </c>
    </row>
    <row r="2400" customFormat="false" ht="15" hidden="false" customHeight="false" outlineLevel="0" collapsed="false">
      <c r="A2400" s="27" t="s">
        <v>117</v>
      </c>
      <c r="B2400" s="27" t="s">
        <v>109</v>
      </c>
      <c r="C2400" s="27" t="s">
        <v>40</v>
      </c>
      <c r="D2400" s="27" t="s">
        <v>48</v>
      </c>
      <c r="E2400" s="28" t="n">
        <f aca="false">ROUND((SUMIFS(Acerto_Detalhado!$F$2:$F$433,Acerto_Detalhado!$A$2:$A$433,$C2400,Acerto_Detalhado!$B$2:$B$433,"Jul",Acerto_Detalhado!$C$2:$C$433,"Proteina"))*(SUMIFS(Acerto_Detalhado!$I$2:$I$433,Acerto_Detalhado!$A$2:$A$433,$D2400,Acerto_Detalhado!$B$2:$B$433,"Jul",Acerto_Detalhado!$C$2:$C$433,"Proteina")),2)</f>
        <v>0</v>
      </c>
    </row>
    <row r="2401" customFormat="false" ht="15" hidden="false" customHeight="false" outlineLevel="0" collapsed="false">
      <c r="A2401" s="27" t="s">
        <v>117</v>
      </c>
      <c r="B2401" s="27" t="s">
        <v>109</v>
      </c>
      <c r="C2401" s="27" t="s">
        <v>40</v>
      </c>
      <c r="D2401" s="27" t="s">
        <v>49</v>
      </c>
      <c r="E2401" s="28" t="n">
        <f aca="false">ROUND((SUMIFS(Acerto_Detalhado!$F$2:$F$433,Acerto_Detalhado!$A$2:$A$433,$C2401,Acerto_Detalhado!$B$2:$B$433,"Jul",Acerto_Detalhado!$C$2:$C$433,"Proteina"))*(SUMIFS(Acerto_Detalhado!$I$2:$I$433,Acerto_Detalhado!$A$2:$A$433,$D2401,Acerto_Detalhado!$B$2:$B$433,"Jul",Acerto_Detalhado!$C$2:$C$433,"Proteina")),2)</f>
        <v>0</v>
      </c>
    </row>
    <row r="2402" customFormat="false" ht="15" hidden="false" customHeight="false" outlineLevel="0" collapsed="false">
      <c r="A2402" s="27" t="s">
        <v>117</v>
      </c>
      <c r="B2402" s="27" t="s">
        <v>109</v>
      </c>
      <c r="C2402" s="27" t="s">
        <v>40</v>
      </c>
      <c r="D2402" s="27" t="s">
        <v>50</v>
      </c>
      <c r="E2402" s="28" t="n">
        <f aca="false">ROUND((SUMIFS(Acerto_Detalhado!$F$2:$F$433,Acerto_Detalhado!$A$2:$A$433,$C2402,Acerto_Detalhado!$B$2:$B$433,"Jul",Acerto_Detalhado!$C$2:$C$433,"Proteina"))*(SUMIFS(Acerto_Detalhado!$I$2:$I$433,Acerto_Detalhado!$A$2:$A$433,$D2402,Acerto_Detalhado!$B$2:$B$433,"Jul",Acerto_Detalhado!$C$2:$C$433,"Proteina")),2)</f>
        <v>0</v>
      </c>
    </row>
    <row r="2403" customFormat="false" ht="15" hidden="false" customHeight="false" outlineLevel="0" collapsed="false">
      <c r="A2403" s="27" t="s">
        <v>117</v>
      </c>
      <c r="B2403" s="27" t="s">
        <v>109</v>
      </c>
      <c r="C2403" s="27" t="s">
        <v>41</v>
      </c>
      <c r="D2403" s="27" t="s">
        <v>39</v>
      </c>
      <c r="E2403" s="28" t="n">
        <f aca="false">ROUND((SUMIFS(Acerto_Detalhado!$F$2:$F$433,Acerto_Detalhado!$A$2:$A$433,$C2403,Acerto_Detalhado!$B$2:$B$433,"Jul",Acerto_Detalhado!$C$2:$C$433,"Proteina"))*(SUMIFS(Acerto_Detalhado!$I$2:$I$433,Acerto_Detalhado!$A$2:$A$433,$D2403,Acerto_Detalhado!$B$2:$B$433,"Jul",Acerto_Detalhado!$C$2:$C$433,"Proteina")),2)</f>
        <v>0</v>
      </c>
    </row>
    <row r="2404" customFormat="false" ht="15" hidden="false" customHeight="false" outlineLevel="0" collapsed="false">
      <c r="A2404" s="27" t="s">
        <v>117</v>
      </c>
      <c r="B2404" s="27" t="s">
        <v>109</v>
      </c>
      <c r="C2404" s="27" t="s">
        <v>41</v>
      </c>
      <c r="D2404" s="27" t="s">
        <v>40</v>
      </c>
      <c r="E2404" s="28" t="n">
        <f aca="false">ROUND((SUMIFS(Acerto_Detalhado!$F$2:$F$433,Acerto_Detalhado!$A$2:$A$433,$C2404,Acerto_Detalhado!$B$2:$B$433,"Jul",Acerto_Detalhado!$C$2:$C$433,"Proteina"))*(SUMIFS(Acerto_Detalhado!$I$2:$I$433,Acerto_Detalhado!$A$2:$A$433,$D2404,Acerto_Detalhado!$B$2:$B$433,"Jul",Acerto_Detalhado!$C$2:$C$433,"Proteina")),2)</f>
        <v>0</v>
      </c>
    </row>
    <row r="2405" customFormat="false" ht="15" hidden="false" customHeight="false" outlineLevel="0" collapsed="false">
      <c r="A2405" s="27" t="s">
        <v>117</v>
      </c>
      <c r="B2405" s="27" t="s">
        <v>109</v>
      </c>
      <c r="C2405" s="27" t="s">
        <v>41</v>
      </c>
      <c r="D2405" s="27" t="s">
        <v>42</v>
      </c>
      <c r="E2405" s="28" t="n">
        <f aca="false">ROUND((SUMIFS(Acerto_Detalhado!$F$2:$F$433,Acerto_Detalhado!$A$2:$A$433,$C2405,Acerto_Detalhado!$B$2:$B$433,"Jul",Acerto_Detalhado!$C$2:$C$433,"Proteina"))*(SUMIFS(Acerto_Detalhado!$I$2:$I$433,Acerto_Detalhado!$A$2:$A$433,$D2405,Acerto_Detalhado!$B$2:$B$433,"Jul",Acerto_Detalhado!$C$2:$C$433,"Proteina")),2)</f>
        <v>0</v>
      </c>
    </row>
    <row r="2406" customFormat="false" ht="15" hidden="false" customHeight="false" outlineLevel="0" collapsed="false">
      <c r="A2406" s="27" t="s">
        <v>117</v>
      </c>
      <c r="B2406" s="27" t="s">
        <v>109</v>
      </c>
      <c r="C2406" s="27" t="s">
        <v>41</v>
      </c>
      <c r="D2406" s="27" t="s">
        <v>43</v>
      </c>
      <c r="E2406" s="28" t="n">
        <f aca="false">ROUND((SUMIFS(Acerto_Detalhado!$F$2:$F$433,Acerto_Detalhado!$A$2:$A$433,$C2406,Acerto_Detalhado!$B$2:$B$433,"Jul",Acerto_Detalhado!$C$2:$C$433,"Proteina"))*(SUMIFS(Acerto_Detalhado!$I$2:$I$433,Acerto_Detalhado!$A$2:$A$433,$D2406,Acerto_Detalhado!$B$2:$B$433,"Jul",Acerto_Detalhado!$C$2:$C$433,"Proteina")),2)</f>
        <v>0</v>
      </c>
    </row>
    <row r="2407" customFormat="false" ht="15" hidden="false" customHeight="false" outlineLevel="0" collapsed="false">
      <c r="A2407" s="27" t="s">
        <v>117</v>
      </c>
      <c r="B2407" s="27" t="s">
        <v>109</v>
      </c>
      <c r="C2407" s="27" t="s">
        <v>41</v>
      </c>
      <c r="D2407" s="27" t="s">
        <v>44</v>
      </c>
      <c r="E2407" s="28" t="n">
        <f aca="false">ROUND((SUMIFS(Acerto_Detalhado!$F$2:$F$433,Acerto_Detalhado!$A$2:$A$433,$C2407,Acerto_Detalhado!$B$2:$B$433,"Jul",Acerto_Detalhado!$C$2:$C$433,"Proteina"))*(SUMIFS(Acerto_Detalhado!$I$2:$I$433,Acerto_Detalhado!$A$2:$A$433,$D2407,Acerto_Detalhado!$B$2:$B$433,"Jul",Acerto_Detalhado!$C$2:$C$433,"Proteina")),2)</f>
        <v>0</v>
      </c>
    </row>
    <row r="2408" customFormat="false" ht="15" hidden="false" customHeight="false" outlineLevel="0" collapsed="false">
      <c r="A2408" s="27" t="s">
        <v>117</v>
      </c>
      <c r="B2408" s="27" t="s">
        <v>109</v>
      </c>
      <c r="C2408" s="27" t="s">
        <v>41</v>
      </c>
      <c r="D2408" s="27" t="s">
        <v>45</v>
      </c>
      <c r="E2408" s="28" t="n">
        <f aca="false">ROUND((SUMIFS(Acerto_Detalhado!$F$2:$F$433,Acerto_Detalhado!$A$2:$A$433,$C2408,Acerto_Detalhado!$B$2:$B$433,"Jul",Acerto_Detalhado!$C$2:$C$433,"Proteina"))*(SUMIFS(Acerto_Detalhado!$I$2:$I$433,Acerto_Detalhado!$A$2:$A$433,$D2408,Acerto_Detalhado!$B$2:$B$433,"Jul",Acerto_Detalhado!$C$2:$C$433,"Proteina")),2)</f>
        <v>0</v>
      </c>
    </row>
    <row r="2409" customFormat="false" ht="15" hidden="false" customHeight="false" outlineLevel="0" collapsed="false">
      <c r="A2409" s="27" t="s">
        <v>117</v>
      </c>
      <c r="B2409" s="27" t="s">
        <v>109</v>
      </c>
      <c r="C2409" s="27" t="s">
        <v>41</v>
      </c>
      <c r="D2409" s="27" t="s">
        <v>46</v>
      </c>
      <c r="E2409" s="28" t="n">
        <f aca="false">ROUND((SUMIFS(Acerto_Detalhado!$F$2:$F$433,Acerto_Detalhado!$A$2:$A$433,$C2409,Acerto_Detalhado!$B$2:$B$433,"Jul",Acerto_Detalhado!$C$2:$C$433,"Proteina"))*(SUMIFS(Acerto_Detalhado!$I$2:$I$433,Acerto_Detalhado!$A$2:$A$433,$D2409,Acerto_Detalhado!$B$2:$B$433,"Jul",Acerto_Detalhado!$C$2:$C$433,"Proteina")),2)</f>
        <v>0</v>
      </c>
    </row>
    <row r="2410" customFormat="false" ht="15" hidden="false" customHeight="false" outlineLevel="0" collapsed="false">
      <c r="A2410" s="27" t="s">
        <v>117</v>
      </c>
      <c r="B2410" s="27" t="s">
        <v>109</v>
      </c>
      <c r="C2410" s="27" t="s">
        <v>41</v>
      </c>
      <c r="D2410" s="27" t="s">
        <v>47</v>
      </c>
      <c r="E2410" s="28" t="n">
        <f aca="false">ROUND((SUMIFS(Acerto_Detalhado!$F$2:$F$433,Acerto_Detalhado!$A$2:$A$433,$C2410,Acerto_Detalhado!$B$2:$B$433,"Jul",Acerto_Detalhado!$C$2:$C$433,"Proteina"))*(SUMIFS(Acerto_Detalhado!$I$2:$I$433,Acerto_Detalhado!$A$2:$A$433,$D2410,Acerto_Detalhado!$B$2:$B$433,"Jul",Acerto_Detalhado!$C$2:$C$433,"Proteina")),2)</f>
        <v>0</v>
      </c>
    </row>
    <row r="2411" customFormat="false" ht="15" hidden="false" customHeight="false" outlineLevel="0" collapsed="false">
      <c r="A2411" s="27" t="s">
        <v>117</v>
      </c>
      <c r="B2411" s="27" t="s">
        <v>109</v>
      </c>
      <c r="C2411" s="27" t="s">
        <v>41</v>
      </c>
      <c r="D2411" s="27" t="s">
        <v>48</v>
      </c>
      <c r="E2411" s="28" t="n">
        <f aca="false">ROUND((SUMIFS(Acerto_Detalhado!$F$2:$F$433,Acerto_Detalhado!$A$2:$A$433,$C2411,Acerto_Detalhado!$B$2:$B$433,"Jul",Acerto_Detalhado!$C$2:$C$433,"Proteina"))*(SUMIFS(Acerto_Detalhado!$I$2:$I$433,Acerto_Detalhado!$A$2:$A$433,$D2411,Acerto_Detalhado!$B$2:$B$433,"Jul",Acerto_Detalhado!$C$2:$C$433,"Proteina")),2)</f>
        <v>0</v>
      </c>
    </row>
    <row r="2412" customFormat="false" ht="15" hidden="false" customHeight="false" outlineLevel="0" collapsed="false">
      <c r="A2412" s="27" t="s">
        <v>117</v>
      </c>
      <c r="B2412" s="27" t="s">
        <v>109</v>
      </c>
      <c r="C2412" s="27" t="s">
        <v>41</v>
      </c>
      <c r="D2412" s="27" t="s">
        <v>49</v>
      </c>
      <c r="E2412" s="28" t="n">
        <f aca="false">ROUND((SUMIFS(Acerto_Detalhado!$F$2:$F$433,Acerto_Detalhado!$A$2:$A$433,$C2412,Acerto_Detalhado!$B$2:$B$433,"Jul",Acerto_Detalhado!$C$2:$C$433,"Proteina"))*(SUMIFS(Acerto_Detalhado!$I$2:$I$433,Acerto_Detalhado!$A$2:$A$433,$D2412,Acerto_Detalhado!$B$2:$B$433,"Jul",Acerto_Detalhado!$C$2:$C$433,"Proteina")),2)</f>
        <v>0</v>
      </c>
    </row>
    <row r="2413" customFormat="false" ht="15" hidden="false" customHeight="false" outlineLevel="0" collapsed="false">
      <c r="A2413" s="27" t="s">
        <v>117</v>
      </c>
      <c r="B2413" s="27" t="s">
        <v>109</v>
      </c>
      <c r="C2413" s="27" t="s">
        <v>41</v>
      </c>
      <c r="D2413" s="27" t="s">
        <v>50</v>
      </c>
      <c r="E2413" s="28" t="n">
        <f aca="false">ROUND((SUMIFS(Acerto_Detalhado!$F$2:$F$433,Acerto_Detalhado!$A$2:$A$433,$C2413,Acerto_Detalhado!$B$2:$B$433,"Jul",Acerto_Detalhado!$C$2:$C$433,"Proteina"))*(SUMIFS(Acerto_Detalhado!$I$2:$I$433,Acerto_Detalhado!$A$2:$A$433,$D2413,Acerto_Detalhado!$B$2:$B$433,"Jul",Acerto_Detalhado!$C$2:$C$433,"Proteina")),2)</f>
        <v>0</v>
      </c>
    </row>
    <row r="2414" customFormat="false" ht="15" hidden="false" customHeight="false" outlineLevel="0" collapsed="false">
      <c r="A2414" s="27" t="s">
        <v>117</v>
      </c>
      <c r="B2414" s="27" t="s">
        <v>109</v>
      </c>
      <c r="C2414" s="27" t="s">
        <v>42</v>
      </c>
      <c r="D2414" s="27" t="s">
        <v>39</v>
      </c>
      <c r="E2414" s="28" t="n">
        <f aca="false">ROUND((SUMIFS(Acerto_Detalhado!$F$2:$F$433,Acerto_Detalhado!$A$2:$A$433,$C2414,Acerto_Detalhado!$B$2:$B$433,"Jul",Acerto_Detalhado!$C$2:$C$433,"Proteina"))*(SUMIFS(Acerto_Detalhado!$I$2:$I$433,Acerto_Detalhado!$A$2:$A$433,$D2414,Acerto_Detalhado!$B$2:$B$433,"Jul",Acerto_Detalhado!$C$2:$C$433,"Proteina")),2)</f>
        <v>0</v>
      </c>
    </row>
    <row r="2415" customFormat="false" ht="15" hidden="false" customHeight="false" outlineLevel="0" collapsed="false">
      <c r="A2415" s="27" t="s">
        <v>117</v>
      </c>
      <c r="B2415" s="27" t="s">
        <v>109</v>
      </c>
      <c r="C2415" s="27" t="s">
        <v>42</v>
      </c>
      <c r="D2415" s="27" t="s">
        <v>40</v>
      </c>
      <c r="E2415" s="28" t="n">
        <f aca="false">ROUND((SUMIFS(Acerto_Detalhado!$F$2:$F$433,Acerto_Detalhado!$A$2:$A$433,$C2415,Acerto_Detalhado!$B$2:$B$433,"Jul",Acerto_Detalhado!$C$2:$C$433,"Proteina"))*(SUMIFS(Acerto_Detalhado!$I$2:$I$433,Acerto_Detalhado!$A$2:$A$433,$D2415,Acerto_Detalhado!$B$2:$B$433,"Jul",Acerto_Detalhado!$C$2:$C$433,"Proteina")),2)</f>
        <v>2138.34</v>
      </c>
    </row>
    <row r="2416" customFormat="false" ht="15" hidden="false" customHeight="false" outlineLevel="0" collapsed="false">
      <c r="A2416" s="27" t="s">
        <v>117</v>
      </c>
      <c r="B2416" s="27" t="s">
        <v>109</v>
      </c>
      <c r="C2416" s="27" t="s">
        <v>42</v>
      </c>
      <c r="D2416" s="27" t="s">
        <v>41</v>
      </c>
      <c r="E2416" s="28" t="n">
        <f aca="false">ROUND((SUMIFS(Acerto_Detalhado!$F$2:$F$433,Acerto_Detalhado!$A$2:$A$433,$C2416,Acerto_Detalhado!$B$2:$B$433,"Jul",Acerto_Detalhado!$C$2:$C$433,"Proteina"))*(SUMIFS(Acerto_Detalhado!$I$2:$I$433,Acerto_Detalhado!$A$2:$A$433,$D2416,Acerto_Detalhado!$B$2:$B$433,"Jul",Acerto_Detalhado!$C$2:$C$433,"Proteina")),2)</f>
        <v>3782.47</v>
      </c>
    </row>
    <row r="2417" customFormat="false" ht="15" hidden="false" customHeight="false" outlineLevel="0" collapsed="false">
      <c r="A2417" s="27" t="s">
        <v>117</v>
      </c>
      <c r="B2417" s="27" t="s">
        <v>109</v>
      </c>
      <c r="C2417" s="27" t="s">
        <v>42</v>
      </c>
      <c r="D2417" s="27" t="s">
        <v>43</v>
      </c>
      <c r="E2417" s="28" t="n">
        <f aca="false">ROUND((SUMIFS(Acerto_Detalhado!$F$2:$F$433,Acerto_Detalhado!$A$2:$A$433,$C2417,Acerto_Detalhado!$B$2:$B$433,"Jul",Acerto_Detalhado!$C$2:$C$433,"Proteina"))*(SUMIFS(Acerto_Detalhado!$I$2:$I$433,Acerto_Detalhado!$A$2:$A$433,$D2417,Acerto_Detalhado!$B$2:$B$433,"Jul",Acerto_Detalhado!$C$2:$C$433,"Proteina")),2)</f>
        <v>0</v>
      </c>
    </row>
    <row r="2418" customFormat="false" ht="15" hidden="false" customHeight="false" outlineLevel="0" collapsed="false">
      <c r="A2418" s="27" t="s">
        <v>117</v>
      </c>
      <c r="B2418" s="27" t="s">
        <v>109</v>
      </c>
      <c r="C2418" s="27" t="s">
        <v>42</v>
      </c>
      <c r="D2418" s="27" t="s">
        <v>44</v>
      </c>
      <c r="E2418" s="28" t="n">
        <f aca="false">ROUND((SUMIFS(Acerto_Detalhado!$F$2:$F$433,Acerto_Detalhado!$A$2:$A$433,$C2418,Acerto_Detalhado!$B$2:$B$433,"Jul",Acerto_Detalhado!$C$2:$C$433,"Proteina"))*(SUMIFS(Acerto_Detalhado!$I$2:$I$433,Acerto_Detalhado!$A$2:$A$433,$D2418,Acerto_Detalhado!$B$2:$B$433,"Jul",Acerto_Detalhado!$C$2:$C$433,"Proteina")),2)</f>
        <v>2393.4</v>
      </c>
    </row>
    <row r="2419" customFormat="false" ht="15" hidden="false" customHeight="false" outlineLevel="0" collapsed="false">
      <c r="A2419" s="27" t="s">
        <v>117</v>
      </c>
      <c r="B2419" s="27" t="s">
        <v>109</v>
      </c>
      <c r="C2419" s="27" t="s">
        <v>42</v>
      </c>
      <c r="D2419" s="27" t="s">
        <v>45</v>
      </c>
      <c r="E2419" s="28" t="n">
        <f aca="false">ROUND((SUMIFS(Acerto_Detalhado!$F$2:$F$433,Acerto_Detalhado!$A$2:$A$433,$C2419,Acerto_Detalhado!$B$2:$B$433,"Jul",Acerto_Detalhado!$C$2:$C$433,"Proteina"))*(SUMIFS(Acerto_Detalhado!$I$2:$I$433,Acerto_Detalhado!$A$2:$A$433,$D2419,Acerto_Detalhado!$B$2:$B$433,"Jul",Acerto_Detalhado!$C$2:$C$433,"Proteina")),2)</f>
        <v>0</v>
      </c>
    </row>
    <row r="2420" customFormat="false" ht="15" hidden="false" customHeight="false" outlineLevel="0" collapsed="false">
      <c r="A2420" s="27" t="s">
        <v>117</v>
      </c>
      <c r="B2420" s="27" t="s">
        <v>109</v>
      </c>
      <c r="C2420" s="27" t="s">
        <v>42</v>
      </c>
      <c r="D2420" s="27" t="s">
        <v>46</v>
      </c>
      <c r="E2420" s="28" t="n">
        <f aca="false">ROUND((SUMIFS(Acerto_Detalhado!$F$2:$F$433,Acerto_Detalhado!$A$2:$A$433,$C2420,Acerto_Detalhado!$B$2:$B$433,"Jul",Acerto_Detalhado!$C$2:$C$433,"Proteina"))*(SUMIFS(Acerto_Detalhado!$I$2:$I$433,Acerto_Detalhado!$A$2:$A$433,$D2420,Acerto_Detalhado!$B$2:$B$433,"Jul",Acerto_Detalhado!$C$2:$C$433,"Proteina")),2)</f>
        <v>0</v>
      </c>
    </row>
    <row r="2421" customFormat="false" ht="15" hidden="false" customHeight="false" outlineLevel="0" collapsed="false">
      <c r="A2421" s="27" t="s">
        <v>117</v>
      </c>
      <c r="B2421" s="27" t="s">
        <v>109</v>
      </c>
      <c r="C2421" s="27" t="s">
        <v>42</v>
      </c>
      <c r="D2421" s="27" t="s">
        <v>47</v>
      </c>
      <c r="E2421" s="28" t="n">
        <f aca="false">ROUND((SUMIFS(Acerto_Detalhado!$F$2:$F$433,Acerto_Detalhado!$A$2:$A$433,$C2421,Acerto_Detalhado!$B$2:$B$433,"Jul",Acerto_Detalhado!$C$2:$C$433,"Proteina"))*(SUMIFS(Acerto_Detalhado!$I$2:$I$433,Acerto_Detalhado!$A$2:$A$433,$D2421,Acerto_Detalhado!$B$2:$B$433,"Jul",Acerto_Detalhado!$C$2:$C$433,"Proteina")),2)</f>
        <v>0</v>
      </c>
    </row>
    <row r="2422" customFormat="false" ht="15" hidden="false" customHeight="false" outlineLevel="0" collapsed="false">
      <c r="A2422" s="27" t="s">
        <v>117</v>
      </c>
      <c r="B2422" s="27" t="s">
        <v>109</v>
      </c>
      <c r="C2422" s="27" t="s">
        <v>42</v>
      </c>
      <c r="D2422" s="27" t="s">
        <v>48</v>
      </c>
      <c r="E2422" s="28" t="n">
        <f aca="false">ROUND((SUMIFS(Acerto_Detalhado!$F$2:$F$433,Acerto_Detalhado!$A$2:$A$433,$C2422,Acerto_Detalhado!$B$2:$B$433,"Jul",Acerto_Detalhado!$C$2:$C$433,"Proteina"))*(SUMIFS(Acerto_Detalhado!$I$2:$I$433,Acerto_Detalhado!$A$2:$A$433,$D2422,Acerto_Detalhado!$B$2:$B$433,"Jul",Acerto_Detalhado!$C$2:$C$433,"Proteina")),2)</f>
        <v>2662.48</v>
      </c>
    </row>
    <row r="2423" customFormat="false" ht="15" hidden="false" customHeight="false" outlineLevel="0" collapsed="false">
      <c r="A2423" s="27" t="s">
        <v>117</v>
      </c>
      <c r="B2423" s="27" t="s">
        <v>109</v>
      </c>
      <c r="C2423" s="27" t="s">
        <v>42</v>
      </c>
      <c r="D2423" s="27" t="s">
        <v>49</v>
      </c>
      <c r="E2423" s="28" t="n">
        <f aca="false">ROUND((SUMIFS(Acerto_Detalhado!$F$2:$F$433,Acerto_Detalhado!$A$2:$A$433,$C2423,Acerto_Detalhado!$B$2:$B$433,"Jul",Acerto_Detalhado!$C$2:$C$433,"Proteina"))*(SUMIFS(Acerto_Detalhado!$I$2:$I$433,Acerto_Detalhado!$A$2:$A$433,$D2423,Acerto_Detalhado!$B$2:$B$433,"Jul",Acerto_Detalhado!$C$2:$C$433,"Proteina")),2)</f>
        <v>0</v>
      </c>
    </row>
    <row r="2424" customFormat="false" ht="15" hidden="false" customHeight="false" outlineLevel="0" collapsed="false">
      <c r="A2424" s="27" t="s">
        <v>117</v>
      </c>
      <c r="B2424" s="27" t="s">
        <v>109</v>
      </c>
      <c r="C2424" s="27" t="s">
        <v>42</v>
      </c>
      <c r="D2424" s="27" t="s">
        <v>50</v>
      </c>
      <c r="E2424" s="28" t="n">
        <f aca="false">ROUND((SUMIFS(Acerto_Detalhado!$F$2:$F$433,Acerto_Detalhado!$A$2:$A$433,$C2424,Acerto_Detalhado!$B$2:$B$433,"Jul",Acerto_Detalhado!$C$2:$C$433,"Proteina"))*(SUMIFS(Acerto_Detalhado!$I$2:$I$433,Acerto_Detalhado!$A$2:$A$433,$D2424,Acerto_Detalhado!$B$2:$B$433,"Jul",Acerto_Detalhado!$C$2:$C$433,"Proteina")),2)</f>
        <v>0</v>
      </c>
    </row>
    <row r="2425" customFormat="false" ht="15" hidden="false" customHeight="false" outlineLevel="0" collapsed="false">
      <c r="A2425" s="27" t="s">
        <v>117</v>
      </c>
      <c r="B2425" s="27" t="s">
        <v>109</v>
      </c>
      <c r="C2425" s="27" t="s">
        <v>43</v>
      </c>
      <c r="D2425" s="27" t="s">
        <v>39</v>
      </c>
      <c r="E2425" s="28" t="n">
        <f aca="false">ROUND((SUMIFS(Acerto_Detalhado!$F$2:$F$433,Acerto_Detalhado!$A$2:$A$433,$C2425,Acerto_Detalhado!$B$2:$B$433,"Jul",Acerto_Detalhado!$C$2:$C$433,"Proteina"))*(SUMIFS(Acerto_Detalhado!$I$2:$I$433,Acerto_Detalhado!$A$2:$A$433,$D2425,Acerto_Detalhado!$B$2:$B$433,"Jul",Acerto_Detalhado!$C$2:$C$433,"Proteina")),2)</f>
        <v>0</v>
      </c>
    </row>
    <row r="2426" customFormat="false" ht="15" hidden="false" customHeight="false" outlineLevel="0" collapsed="false">
      <c r="A2426" s="27" t="s">
        <v>117</v>
      </c>
      <c r="B2426" s="27" t="s">
        <v>109</v>
      </c>
      <c r="C2426" s="27" t="s">
        <v>43</v>
      </c>
      <c r="D2426" s="27" t="s">
        <v>40</v>
      </c>
      <c r="E2426" s="28" t="n">
        <f aca="false">ROUND((SUMIFS(Acerto_Detalhado!$F$2:$F$433,Acerto_Detalhado!$A$2:$A$433,$C2426,Acerto_Detalhado!$B$2:$B$433,"Jul",Acerto_Detalhado!$C$2:$C$433,"Proteina"))*(SUMIFS(Acerto_Detalhado!$I$2:$I$433,Acerto_Detalhado!$A$2:$A$433,$D2426,Acerto_Detalhado!$B$2:$B$433,"Jul",Acerto_Detalhado!$C$2:$C$433,"Proteina")),2)</f>
        <v>13146.66</v>
      </c>
    </row>
    <row r="2427" customFormat="false" ht="15" hidden="false" customHeight="false" outlineLevel="0" collapsed="false">
      <c r="A2427" s="27" t="s">
        <v>117</v>
      </c>
      <c r="B2427" s="27" t="s">
        <v>109</v>
      </c>
      <c r="C2427" s="27" t="s">
        <v>43</v>
      </c>
      <c r="D2427" s="27" t="s">
        <v>41</v>
      </c>
      <c r="E2427" s="28" t="n">
        <f aca="false">ROUND((SUMIFS(Acerto_Detalhado!$F$2:$F$433,Acerto_Detalhado!$A$2:$A$433,$C2427,Acerto_Detalhado!$B$2:$B$433,"Jul",Acerto_Detalhado!$C$2:$C$433,"Proteina"))*(SUMIFS(Acerto_Detalhado!$I$2:$I$433,Acerto_Detalhado!$A$2:$A$433,$D2427,Acerto_Detalhado!$B$2:$B$433,"Jul",Acerto_Detalhado!$C$2:$C$433,"Proteina")),2)</f>
        <v>23254.92</v>
      </c>
    </row>
    <row r="2428" customFormat="false" ht="15" hidden="false" customHeight="false" outlineLevel="0" collapsed="false">
      <c r="A2428" s="27" t="s">
        <v>117</v>
      </c>
      <c r="B2428" s="27" t="s">
        <v>109</v>
      </c>
      <c r="C2428" s="27" t="s">
        <v>43</v>
      </c>
      <c r="D2428" s="27" t="s">
        <v>42</v>
      </c>
      <c r="E2428" s="28" t="n">
        <f aca="false">ROUND((SUMIFS(Acerto_Detalhado!$F$2:$F$433,Acerto_Detalhado!$A$2:$A$433,$C2428,Acerto_Detalhado!$B$2:$B$433,"Jul",Acerto_Detalhado!$C$2:$C$433,"Proteina"))*(SUMIFS(Acerto_Detalhado!$I$2:$I$433,Acerto_Detalhado!$A$2:$A$433,$D2428,Acerto_Detalhado!$B$2:$B$433,"Jul",Acerto_Detalhado!$C$2:$C$433,"Proteina")),2)</f>
        <v>0</v>
      </c>
    </row>
    <row r="2429" customFormat="false" ht="15" hidden="false" customHeight="false" outlineLevel="0" collapsed="false">
      <c r="A2429" s="27" t="s">
        <v>117</v>
      </c>
      <c r="B2429" s="27" t="s">
        <v>109</v>
      </c>
      <c r="C2429" s="27" t="s">
        <v>43</v>
      </c>
      <c r="D2429" s="27" t="s">
        <v>44</v>
      </c>
      <c r="E2429" s="28" t="n">
        <f aca="false">ROUND((SUMIFS(Acerto_Detalhado!$F$2:$F$433,Acerto_Detalhado!$A$2:$A$433,$C2429,Acerto_Detalhado!$B$2:$B$433,"Jul",Acerto_Detalhado!$C$2:$C$433,"Proteina"))*(SUMIFS(Acerto_Detalhado!$I$2:$I$433,Acerto_Detalhado!$A$2:$A$433,$D2429,Acerto_Detalhado!$B$2:$B$433,"Jul",Acerto_Detalhado!$C$2:$C$433,"Proteina")),2)</f>
        <v>14714.8</v>
      </c>
    </row>
    <row r="2430" customFormat="false" ht="15" hidden="false" customHeight="false" outlineLevel="0" collapsed="false">
      <c r="A2430" s="27" t="s">
        <v>117</v>
      </c>
      <c r="B2430" s="27" t="s">
        <v>109</v>
      </c>
      <c r="C2430" s="27" t="s">
        <v>43</v>
      </c>
      <c r="D2430" s="27" t="s">
        <v>45</v>
      </c>
      <c r="E2430" s="28" t="n">
        <f aca="false">ROUND((SUMIFS(Acerto_Detalhado!$F$2:$F$433,Acerto_Detalhado!$A$2:$A$433,$C2430,Acerto_Detalhado!$B$2:$B$433,"Jul",Acerto_Detalhado!$C$2:$C$433,"Proteina"))*(SUMIFS(Acerto_Detalhado!$I$2:$I$433,Acerto_Detalhado!$A$2:$A$433,$D2430,Acerto_Detalhado!$B$2:$B$433,"Jul",Acerto_Detalhado!$C$2:$C$433,"Proteina")),2)</f>
        <v>0</v>
      </c>
    </row>
    <row r="2431" customFormat="false" ht="15" hidden="false" customHeight="false" outlineLevel="0" collapsed="false">
      <c r="A2431" s="27" t="s">
        <v>117</v>
      </c>
      <c r="B2431" s="27" t="s">
        <v>109</v>
      </c>
      <c r="C2431" s="27" t="s">
        <v>43</v>
      </c>
      <c r="D2431" s="27" t="s">
        <v>46</v>
      </c>
      <c r="E2431" s="28" t="n">
        <f aca="false">ROUND((SUMIFS(Acerto_Detalhado!$F$2:$F$433,Acerto_Detalhado!$A$2:$A$433,$C2431,Acerto_Detalhado!$B$2:$B$433,"Jul",Acerto_Detalhado!$C$2:$C$433,"Proteina"))*(SUMIFS(Acerto_Detalhado!$I$2:$I$433,Acerto_Detalhado!$A$2:$A$433,$D2431,Acerto_Detalhado!$B$2:$B$433,"Jul",Acerto_Detalhado!$C$2:$C$433,"Proteina")),2)</f>
        <v>0</v>
      </c>
    </row>
    <row r="2432" customFormat="false" ht="15" hidden="false" customHeight="false" outlineLevel="0" collapsed="false">
      <c r="A2432" s="27" t="s">
        <v>117</v>
      </c>
      <c r="B2432" s="27" t="s">
        <v>109</v>
      </c>
      <c r="C2432" s="27" t="s">
        <v>43</v>
      </c>
      <c r="D2432" s="27" t="s">
        <v>47</v>
      </c>
      <c r="E2432" s="28" t="n">
        <f aca="false">ROUND((SUMIFS(Acerto_Detalhado!$F$2:$F$433,Acerto_Detalhado!$A$2:$A$433,$C2432,Acerto_Detalhado!$B$2:$B$433,"Jul",Acerto_Detalhado!$C$2:$C$433,"Proteina"))*(SUMIFS(Acerto_Detalhado!$I$2:$I$433,Acerto_Detalhado!$A$2:$A$433,$D2432,Acerto_Detalhado!$B$2:$B$433,"Jul",Acerto_Detalhado!$C$2:$C$433,"Proteina")),2)</f>
        <v>0</v>
      </c>
    </row>
    <row r="2433" customFormat="false" ht="15" hidden="false" customHeight="false" outlineLevel="0" collapsed="false">
      <c r="A2433" s="27" t="s">
        <v>117</v>
      </c>
      <c r="B2433" s="27" t="s">
        <v>109</v>
      </c>
      <c r="C2433" s="27" t="s">
        <v>43</v>
      </c>
      <c r="D2433" s="27" t="s">
        <v>48</v>
      </c>
      <c r="E2433" s="28" t="n">
        <f aca="false">ROUND((SUMIFS(Acerto_Detalhado!$F$2:$F$433,Acerto_Detalhado!$A$2:$A$433,$C2433,Acerto_Detalhado!$B$2:$B$433,"Jul",Acerto_Detalhado!$C$2:$C$433,"Proteina"))*(SUMIFS(Acerto_Detalhado!$I$2:$I$433,Acerto_Detalhado!$A$2:$A$433,$D2433,Acerto_Detalhado!$B$2:$B$433,"Jul",Acerto_Detalhado!$C$2:$C$433,"Proteina")),2)</f>
        <v>16369.14</v>
      </c>
    </row>
    <row r="2434" customFormat="false" ht="15" hidden="false" customHeight="false" outlineLevel="0" collapsed="false">
      <c r="A2434" s="27" t="s">
        <v>117</v>
      </c>
      <c r="B2434" s="27" t="s">
        <v>109</v>
      </c>
      <c r="C2434" s="27" t="s">
        <v>43</v>
      </c>
      <c r="D2434" s="27" t="s">
        <v>49</v>
      </c>
      <c r="E2434" s="28" t="n">
        <f aca="false">ROUND((SUMIFS(Acerto_Detalhado!$F$2:$F$433,Acerto_Detalhado!$A$2:$A$433,$C2434,Acerto_Detalhado!$B$2:$B$433,"Jul",Acerto_Detalhado!$C$2:$C$433,"Proteina"))*(SUMIFS(Acerto_Detalhado!$I$2:$I$433,Acerto_Detalhado!$A$2:$A$433,$D2434,Acerto_Detalhado!$B$2:$B$433,"Jul",Acerto_Detalhado!$C$2:$C$433,"Proteina")),2)</f>
        <v>0</v>
      </c>
    </row>
    <row r="2435" customFormat="false" ht="15" hidden="false" customHeight="false" outlineLevel="0" collapsed="false">
      <c r="A2435" s="27" t="s">
        <v>117</v>
      </c>
      <c r="B2435" s="27" t="s">
        <v>109</v>
      </c>
      <c r="C2435" s="27" t="s">
        <v>43</v>
      </c>
      <c r="D2435" s="27" t="s">
        <v>50</v>
      </c>
      <c r="E2435" s="28" t="n">
        <f aca="false">ROUND((SUMIFS(Acerto_Detalhado!$F$2:$F$433,Acerto_Detalhado!$A$2:$A$433,$C2435,Acerto_Detalhado!$B$2:$B$433,"Jul",Acerto_Detalhado!$C$2:$C$433,"Proteina"))*(SUMIFS(Acerto_Detalhado!$I$2:$I$433,Acerto_Detalhado!$A$2:$A$433,$D2435,Acerto_Detalhado!$B$2:$B$433,"Jul",Acerto_Detalhado!$C$2:$C$433,"Proteina")),2)</f>
        <v>0</v>
      </c>
    </row>
    <row r="2436" customFormat="false" ht="15" hidden="false" customHeight="false" outlineLevel="0" collapsed="false">
      <c r="A2436" s="27" t="s">
        <v>117</v>
      </c>
      <c r="B2436" s="27" t="s">
        <v>109</v>
      </c>
      <c r="C2436" s="27" t="s">
        <v>44</v>
      </c>
      <c r="D2436" s="27" t="s">
        <v>39</v>
      </c>
      <c r="E2436" s="28" t="n">
        <f aca="false">ROUND((SUMIFS(Acerto_Detalhado!$F$2:$F$433,Acerto_Detalhado!$A$2:$A$433,$C2436,Acerto_Detalhado!$B$2:$B$433,"Jul",Acerto_Detalhado!$C$2:$C$433,"Proteina"))*(SUMIFS(Acerto_Detalhado!$I$2:$I$433,Acerto_Detalhado!$A$2:$A$433,$D2436,Acerto_Detalhado!$B$2:$B$433,"Jul",Acerto_Detalhado!$C$2:$C$433,"Proteina")),2)</f>
        <v>0</v>
      </c>
    </row>
    <row r="2437" customFormat="false" ht="15" hidden="false" customHeight="false" outlineLevel="0" collapsed="false">
      <c r="A2437" s="27" t="s">
        <v>117</v>
      </c>
      <c r="B2437" s="27" t="s">
        <v>109</v>
      </c>
      <c r="C2437" s="27" t="s">
        <v>44</v>
      </c>
      <c r="D2437" s="27" t="s">
        <v>40</v>
      </c>
      <c r="E2437" s="28" t="n">
        <f aca="false">ROUND((SUMIFS(Acerto_Detalhado!$F$2:$F$433,Acerto_Detalhado!$A$2:$A$433,$C2437,Acerto_Detalhado!$B$2:$B$433,"Jul",Acerto_Detalhado!$C$2:$C$433,"Proteina"))*(SUMIFS(Acerto_Detalhado!$I$2:$I$433,Acerto_Detalhado!$A$2:$A$433,$D2437,Acerto_Detalhado!$B$2:$B$433,"Jul",Acerto_Detalhado!$C$2:$C$433,"Proteina")),2)</f>
        <v>0</v>
      </c>
    </row>
    <row r="2438" customFormat="false" ht="15" hidden="false" customHeight="false" outlineLevel="0" collapsed="false">
      <c r="A2438" s="27" t="s">
        <v>117</v>
      </c>
      <c r="B2438" s="27" t="s">
        <v>109</v>
      </c>
      <c r="C2438" s="27" t="s">
        <v>44</v>
      </c>
      <c r="D2438" s="27" t="s">
        <v>41</v>
      </c>
      <c r="E2438" s="28" t="n">
        <f aca="false">ROUND((SUMIFS(Acerto_Detalhado!$F$2:$F$433,Acerto_Detalhado!$A$2:$A$433,$C2438,Acerto_Detalhado!$B$2:$B$433,"Jul",Acerto_Detalhado!$C$2:$C$433,"Proteina"))*(SUMIFS(Acerto_Detalhado!$I$2:$I$433,Acerto_Detalhado!$A$2:$A$433,$D2438,Acerto_Detalhado!$B$2:$B$433,"Jul",Acerto_Detalhado!$C$2:$C$433,"Proteina")),2)</f>
        <v>0</v>
      </c>
    </row>
    <row r="2439" customFormat="false" ht="15" hidden="false" customHeight="false" outlineLevel="0" collapsed="false">
      <c r="A2439" s="27" t="s">
        <v>117</v>
      </c>
      <c r="B2439" s="27" t="s">
        <v>109</v>
      </c>
      <c r="C2439" s="27" t="s">
        <v>44</v>
      </c>
      <c r="D2439" s="27" t="s">
        <v>42</v>
      </c>
      <c r="E2439" s="28" t="n">
        <f aca="false">ROUND((SUMIFS(Acerto_Detalhado!$F$2:$F$433,Acerto_Detalhado!$A$2:$A$433,$C2439,Acerto_Detalhado!$B$2:$B$433,"Jul",Acerto_Detalhado!$C$2:$C$433,"Proteina"))*(SUMIFS(Acerto_Detalhado!$I$2:$I$433,Acerto_Detalhado!$A$2:$A$433,$D2439,Acerto_Detalhado!$B$2:$B$433,"Jul",Acerto_Detalhado!$C$2:$C$433,"Proteina")),2)</f>
        <v>0</v>
      </c>
    </row>
    <row r="2440" customFormat="false" ht="15" hidden="false" customHeight="false" outlineLevel="0" collapsed="false">
      <c r="A2440" s="27" t="s">
        <v>117</v>
      </c>
      <c r="B2440" s="27" t="s">
        <v>109</v>
      </c>
      <c r="C2440" s="27" t="s">
        <v>44</v>
      </c>
      <c r="D2440" s="27" t="s">
        <v>43</v>
      </c>
      <c r="E2440" s="28" t="n">
        <f aca="false">ROUND((SUMIFS(Acerto_Detalhado!$F$2:$F$433,Acerto_Detalhado!$A$2:$A$433,$C2440,Acerto_Detalhado!$B$2:$B$433,"Jul",Acerto_Detalhado!$C$2:$C$433,"Proteina"))*(SUMIFS(Acerto_Detalhado!$I$2:$I$433,Acerto_Detalhado!$A$2:$A$433,$D2440,Acerto_Detalhado!$B$2:$B$433,"Jul",Acerto_Detalhado!$C$2:$C$433,"Proteina")),2)</f>
        <v>0</v>
      </c>
    </row>
    <row r="2441" customFormat="false" ht="15" hidden="false" customHeight="false" outlineLevel="0" collapsed="false">
      <c r="A2441" s="27" t="s">
        <v>117</v>
      </c>
      <c r="B2441" s="27" t="s">
        <v>109</v>
      </c>
      <c r="C2441" s="27" t="s">
        <v>44</v>
      </c>
      <c r="D2441" s="27" t="s">
        <v>45</v>
      </c>
      <c r="E2441" s="28" t="n">
        <f aca="false">ROUND((SUMIFS(Acerto_Detalhado!$F$2:$F$433,Acerto_Detalhado!$A$2:$A$433,$C2441,Acerto_Detalhado!$B$2:$B$433,"Jul",Acerto_Detalhado!$C$2:$C$433,"Proteina"))*(SUMIFS(Acerto_Detalhado!$I$2:$I$433,Acerto_Detalhado!$A$2:$A$433,$D2441,Acerto_Detalhado!$B$2:$B$433,"Jul",Acerto_Detalhado!$C$2:$C$433,"Proteina")),2)</f>
        <v>0</v>
      </c>
    </row>
    <row r="2442" customFormat="false" ht="15" hidden="false" customHeight="false" outlineLevel="0" collapsed="false">
      <c r="A2442" s="27" t="s">
        <v>117</v>
      </c>
      <c r="B2442" s="27" t="s">
        <v>109</v>
      </c>
      <c r="C2442" s="27" t="s">
        <v>44</v>
      </c>
      <c r="D2442" s="27" t="s">
        <v>46</v>
      </c>
      <c r="E2442" s="28" t="n">
        <f aca="false">ROUND((SUMIFS(Acerto_Detalhado!$F$2:$F$433,Acerto_Detalhado!$A$2:$A$433,$C2442,Acerto_Detalhado!$B$2:$B$433,"Jul",Acerto_Detalhado!$C$2:$C$433,"Proteina"))*(SUMIFS(Acerto_Detalhado!$I$2:$I$433,Acerto_Detalhado!$A$2:$A$433,$D2442,Acerto_Detalhado!$B$2:$B$433,"Jul",Acerto_Detalhado!$C$2:$C$433,"Proteina")),2)</f>
        <v>0</v>
      </c>
    </row>
    <row r="2443" customFormat="false" ht="15" hidden="false" customHeight="false" outlineLevel="0" collapsed="false">
      <c r="A2443" s="27" t="s">
        <v>117</v>
      </c>
      <c r="B2443" s="27" t="s">
        <v>109</v>
      </c>
      <c r="C2443" s="27" t="s">
        <v>44</v>
      </c>
      <c r="D2443" s="27" t="s">
        <v>47</v>
      </c>
      <c r="E2443" s="28" t="n">
        <f aca="false">ROUND((SUMIFS(Acerto_Detalhado!$F$2:$F$433,Acerto_Detalhado!$A$2:$A$433,$C2443,Acerto_Detalhado!$B$2:$B$433,"Jul",Acerto_Detalhado!$C$2:$C$433,"Proteina"))*(SUMIFS(Acerto_Detalhado!$I$2:$I$433,Acerto_Detalhado!$A$2:$A$433,$D2443,Acerto_Detalhado!$B$2:$B$433,"Jul",Acerto_Detalhado!$C$2:$C$433,"Proteina")),2)</f>
        <v>0</v>
      </c>
    </row>
    <row r="2444" customFormat="false" ht="15" hidden="false" customHeight="false" outlineLevel="0" collapsed="false">
      <c r="A2444" s="27" t="s">
        <v>117</v>
      </c>
      <c r="B2444" s="27" t="s">
        <v>109</v>
      </c>
      <c r="C2444" s="27" t="s">
        <v>44</v>
      </c>
      <c r="D2444" s="27" t="s">
        <v>48</v>
      </c>
      <c r="E2444" s="28" t="n">
        <f aca="false">ROUND((SUMIFS(Acerto_Detalhado!$F$2:$F$433,Acerto_Detalhado!$A$2:$A$433,$C2444,Acerto_Detalhado!$B$2:$B$433,"Jul",Acerto_Detalhado!$C$2:$C$433,"Proteina"))*(SUMIFS(Acerto_Detalhado!$I$2:$I$433,Acerto_Detalhado!$A$2:$A$433,$D2444,Acerto_Detalhado!$B$2:$B$433,"Jul",Acerto_Detalhado!$C$2:$C$433,"Proteina")),2)</f>
        <v>0</v>
      </c>
    </row>
    <row r="2445" customFormat="false" ht="15" hidden="false" customHeight="false" outlineLevel="0" collapsed="false">
      <c r="A2445" s="27" t="s">
        <v>117</v>
      </c>
      <c r="B2445" s="27" t="s">
        <v>109</v>
      </c>
      <c r="C2445" s="27" t="s">
        <v>44</v>
      </c>
      <c r="D2445" s="27" t="s">
        <v>49</v>
      </c>
      <c r="E2445" s="28" t="n">
        <f aca="false">ROUND((SUMIFS(Acerto_Detalhado!$F$2:$F$433,Acerto_Detalhado!$A$2:$A$433,$C2445,Acerto_Detalhado!$B$2:$B$433,"Jul",Acerto_Detalhado!$C$2:$C$433,"Proteina"))*(SUMIFS(Acerto_Detalhado!$I$2:$I$433,Acerto_Detalhado!$A$2:$A$433,$D2445,Acerto_Detalhado!$B$2:$B$433,"Jul",Acerto_Detalhado!$C$2:$C$433,"Proteina")),2)</f>
        <v>0</v>
      </c>
    </row>
    <row r="2446" customFormat="false" ht="15" hidden="false" customHeight="false" outlineLevel="0" collapsed="false">
      <c r="A2446" s="27" t="s">
        <v>117</v>
      </c>
      <c r="B2446" s="27" t="s">
        <v>109</v>
      </c>
      <c r="C2446" s="27" t="s">
        <v>44</v>
      </c>
      <c r="D2446" s="27" t="s">
        <v>50</v>
      </c>
      <c r="E2446" s="28" t="n">
        <f aca="false">ROUND((SUMIFS(Acerto_Detalhado!$F$2:$F$433,Acerto_Detalhado!$A$2:$A$433,$C2446,Acerto_Detalhado!$B$2:$B$433,"Jul",Acerto_Detalhado!$C$2:$C$433,"Proteina"))*(SUMIFS(Acerto_Detalhado!$I$2:$I$433,Acerto_Detalhado!$A$2:$A$433,$D2446,Acerto_Detalhado!$B$2:$B$433,"Jul",Acerto_Detalhado!$C$2:$C$433,"Proteina")),2)</f>
        <v>0</v>
      </c>
    </row>
    <row r="2447" customFormat="false" ht="15" hidden="false" customHeight="false" outlineLevel="0" collapsed="false">
      <c r="A2447" s="27" t="s">
        <v>117</v>
      </c>
      <c r="B2447" s="27" t="s">
        <v>109</v>
      </c>
      <c r="C2447" s="27" t="s">
        <v>45</v>
      </c>
      <c r="D2447" s="27" t="s">
        <v>39</v>
      </c>
      <c r="E2447" s="28" t="n">
        <f aca="false">ROUND((SUMIFS(Acerto_Detalhado!$F$2:$F$433,Acerto_Detalhado!$A$2:$A$433,$C2447,Acerto_Detalhado!$B$2:$B$433,"Jul",Acerto_Detalhado!$C$2:$C$433,"Proteina"))*(SUMIFS(Acerto_Detalhado!$I$2:$I$433,Acerto_Detalhado!$A$2:$A$433,$D2447,Acerto_Detalhado!$B$2:$B$433,"Jul",Acerto_Detalhado!$C$2:$C$433,"Proteina")),2)</f>
        <v>0</v>
      </c>
    </row>
    <row r="2448" customFormat="false" ht="15" hidden="false" customHeight="false" outlineLevel="0" collapsed="false">
      <c r="A2448" s="27" t="s">
        <v>117</v>
      </c>
      <c r="B2448" s="27" t="s">
        <v>109</v>
      </c>
      <c r="C2448" s="27" t="s">
        <v>45</v>
      </c>
      <c r="D2448" s="27" t="s">
        <v>40</v>
      </c>
      <c r="E2448" s="28" t="n">
        <f aca="false">ROUND((SUMIFS(Acerto_Detalhado!$F$2:$F$433,Acerto_Detalhado!$A$2:$A$433,$C2448,Acerto_Detalhado!$B$2:$B$433,"Jul",Acerto_Detalhado!$C$2:$C$433,"Proteina"))*(SUMIFS(Acerto_Detalhado!$I$2:$I$433,Acerto_Detalhado!$A$2:$A$433,$D2448,Acerto_Detalhado!$B$2:$B$433,"Jul",Acerto_Detalhado!$C$2:$C$433,"Proteina")),2)</f>
        <v>8358.78</v>
      </c>
    </row>
    <row r="2449" customFormat="false" ht="15" hidden="false" customHeight="false" outlineLevel="0" collapsed="false">
      <c r="A2449" s="27" t="s">
        <v>117</v>
      </c>
      <c r="B2449" s="27" t="s">
        <v>109</v>
      </c>
      <c r="C2449" s="27" t="s">
        <v>45</v>
      </c>
      <c r="D2449" s="27" t="s">
        <v>41</v>
      </c>
      <c r="E2449" s="28" t="n">
        <f aca="false">ROUND((SUMIFS(Acerto_Detalhado!$F$2:$F$433,Acerto_Detalhado!$A$2:$A$433,$C2449,Acerto_Detalhado!$B$2:$B$433,"Jul",Acerto_Detalhado!$C$2:$C$433,"Proteina"))*(SUMIFS(Acerto_Detalhado!$I$2:$I$433,Acerto_Detalhado!$A$2:$A$433,$D2449,Acerto_Detalhado!$B$2:$B$433,"Jul",Acerto_Detalhado!$C$2:$C$433,"Proteina")),2)</f>
        <v>14785.71</v>
      </c>
    </row>
    <row r="2450" customFormat="false" ht="15" hidden="false" customHeight="false" outlineLevel="0" collapsed="false">
      <c r="A2450" s="27" t="s">
        <v>117</v>
      </c>
      <c r="B2450" s="27" t="s">
        <v>109</v>
      </c>
      <c r="C2450" s="27" t="s">
        <v>45</v>
      </c>
      <c r="D2450" s="27" t="s">
        <v>42</v>
      </c>
      <c r="E2450" s="28" t="n">
        <f aca="false">ROUND((SUMIFS(Acerto_Detalhado!$F$2:$F$433,Acerto_Detalhado!$A$2:$A$433,$C2450,Acerto_Detalhado!$B$2:$B$433,"Jul",Acerto_Detalhado!$C$2:$C$433,"Proteina"))*(SUMIFS(Acerto_Detalhado!$I$2:$I$433,Acerto_Detalhado!$A$2:$A$433,$D2450,Acerto_Detalhado!$B$2:$B$433,"Jul",Acerto_Detalhado!$C$2:$C$433,"Proteina")),2)</f>
        <v>0</v>
      </c>
    </row>
    <row r="2451" customFormat="false" ht="15" hidden="false" customHeight="false" outlineLevel="0" collapsed="false">
      <c r="A2451" s="27" t="s">
        <v>117</v>
      </c>
      <c r="B2451" s="27" t="s">
        <v>109</v>
      </c>
      <c r="C2451" s="27" t="s">
        <v>45</v>
      </c>
      <c r="D2451" s="27" t="s">
        <v>43</v>
      </c>
      <c r="E2451" s="28" t="n">
        <f aca="false">ROUND((SUMIFS(Acerto_Detalhado!$F$2:$F$433,Acerto_Detalhado!$A$2:$A$433,$C2451,Acerto_Detalhado!$B$2:$B$433,"Jul",Acerto_Detalhado!$C$2:$C$433,"Proteina"))*(SUMIFS(Acerto_Detalhado!$I$2:$I$433,Acerto_Detalhado!$A$2:$A$433,$D2451,Acerto_Detalhado!$B$2:$B$433,"Jul",Acerto_Detalhado!$C$2:$C$433,"Proteina")),2)</f>
        <v>0</v>
      </c>
    </row>
    <row r="2452" customFormat="false" ht="15" hidden="false" customHeight="false" outlineLevel="0" collapsed="false">
      <c r="A2452" s="27" t="s">
        <v>117</v>
      </c>
      <c r="B2452" s="27" t="s">
        <v>109</v>
      </c>
      <c r="C2452" s="27" t="s">
        <v>45</v>
      </c>
      <c r="D2452" s="27" t="s">
        <v>44</v>
      </c>
      <c r="E2452" s="28" t="n">
        <f aca="false">ROUND((SUMIFS(Acerto_Detalhado!$F$2:$F$433,Acerto_Detalhado!$A$2:$A$433,$C2452,Acerto_Detalhado!$B$2:$B$433,"Jul",Acerto_Detalhado!$C$2:$C$433,"Proteina"))*(SUMIFS(Acerto_Detalhado!$I$2:$I$433,Acerto_Detalhado!$A$2:$A$433,$D2452,Acerto_Detalhado!$B$2:$B$433,"Jul",Acerto_Detalhado!$C$2:$C$433,"Proteina")),2)</f>
        <v>9355.82</v>
      </c>
    </row>
    <row r="2453" customFormat="false" ht="15" hidden="false" customHeight="false" outlineLevel="0" collapsed="false">
      <c r="A2453" s="27" t="s">
        <v>117</v>
      </c>
      <c r="B2453" s="27" t="s">
        <v>109</v>
      </c>
      <c r="C2453" s="27" t="s">
        <v>45</v>
      </c>
      <c r="D2453" s="27" t="s">
        <v>46</v>
      </c>
      <c r="E2453" s="28" t="n">
        <f aca="false">ROUND((SUMIFS(Acerto_Detalhado!$F$2:$F$433,Acerto_Detalhado!$A$2:$A$433,$C2453,Acerto_Detalhado!$B$2:$B$433,"Jul",Acerto_Detalhado!$C$2:$C$433,"Proteina"))*(SUMIFS(Acerto_Detalhado!$I$2:$I$433,Acerto_Detalhado!$A$2:$A$433,$D2453,Acerto_Detalhado!$B$2:$B$433,"Jul",Acerto_Detalhado!$C$2:$C$433,"Proteina")),2)</f>
        <v>0</v>
      </c>
    </row>
    <row r="2454" customFormat="false" ht="15" hidden="false" customHeight="false" outlineLevel="0" collapsed="false">
      <c r="A2454" s="27" t="s">
        <v>117</v>
      </c>
      <c r="B2454" s="27" t="s">
        <v>109</v>
      </c>
      <c r="C2454" s="27" t="s">
        <v>45</v>
      </c>
      <c r="D2454" s="27" t="s">
        <v>47</v>
      </c>
      <c r="E2454" s="28" t="n">
        <f aca="false">ROUND((SUMIFS(Acerto_Detalhado!$F$2:$F$433,Acerto_Detalhado!$A$2:$A$433,$C2454,Acerto_Detalhado!$B$2:$B$433,"Jul",Acerto_Detalhado!$C$2:$C$433,"Proteina"))*(SUMIFS(Acerto_Detalhado!$I$2:$I$433,Acerto_Detalhado!$A$2:$A$433,$D2454,Acerto_Detalhado!$B$2:$B$433,"Jul",Acerto_Detalhado!$C$2:$C$433,"Proteina")),2)</f>
        <v>0</v>
      </c>
    </row>
    <row r="2455" customFormat="false" ht="15" hidden="false" customHeight="false" outlineLevel="0" collapsed="false">
      <c r="A2455" s="27" t="s">
        <v>117</v>
      </c>
      <c r="B2455" s="27" t="s">
        <v>109</v>
      </c>
      <c r="C2455" s="27" t="s">
        <v>45</v>
      </c>
      <c r="D2455" s="27" t="s">
        <v>48</v>
      </c>
      <c r="E2455" s="28" t="n">
        <f aca="false">ROUND((SUMIFS(Acerto_Detalhado!$F$2:$F$433,Acerto_Detalhado!$A$2:$A$433,$C2455,Acerto_Detalhado!$B$2:$B$433,"Jul",Acerto_Detalhado!$C$2:$C$433,"Proteina"))*(SUMIFS(Acerto_Detalhado!$I$2:$I$433,Acerto_Detalhado!$A$2:$A$433,$D2455,Acerto_Detalhado!$B$2:$B$433,"Jul",Acerto_Detalhado!$C$2:$C$433,"Proteina")),2)</f>
        <v>10407.67</v>
      </c>
    </row>
    <row r="2456" customFormat="false" ht="15" hidden="false" customHeight="false" outlineLevel="0" collapsed="false">
      <c r="A2456" s="27" t="s">
        <v>117</v>
      </c>
      <c r="B2456" s="27" t="s">
        <v>109</v>
      </c>
      <c r="C2456" s="27" t="s">
        <v>45</v>
      </c>
      <c r="D2456" s="27" t="s">
        <v>49</v>
      </c>
      <c r="E2456" s="28" t="n">
        <f aca="false">ROUND((SUMIFS(Acerto_Detalhado!$F$2:$F$433,Acerto_Detalhado!$A$2:$A$433,$C2456,Acerto_Detalhado!$B$2:$B$433,"Jul",Acerto_Detalhado!$C$2:$C$433,"Proteina"))*(SUMIFS(Acerto_Detalhado!$I$2:$I$433,Acerto_Detalhado!$A$2:$A$433,$D2456,Acerto_Detalhado!$B$2:$B$433,"Jul",Acerto_Detalhado!$C$2:$C$433,"Proteina")),2)</f>
        <v>0</v>
      </c>
    </row>
    <row r="2457" customFormat="false" ht="15" hidden="false" customHeight="false" outlineLevel="0" collapsed="false">
      <c r="A2457" s="27" t="s">
        <v>117</v>
      </c>
      <c r="B2457" s="27" t="s">
        <v>109</v>
      </c>
      <c r="C2457" s="27" t="s">
        <v>45</v>
      </c>
      <c r="D2457" s="27" t="s">
        <v>50</v>
      </c>
      <c r="E2457" s="28" t="n">
        <f aca="false">ROUND((SUMIFS(Acerto_Detalhado!$F$2:$F$433,Acerto_Detalhado!$A$2:$A$433,$C2457,Acerto_Detalhado!$B$2:$B$433,"Jul",Acerto_Detalhado!$C$2:$C$433,"Proteina"))*(SUMIFS(Acerto_Detalhado!$I$2:$I$433,Acerto_Detalhado!$A$2:$A$433,$D2457,Acerto_Detalhado!$B$2:$B$433,"Jul",Acerto_Detalhado!$C$2:$C$433,"Proteina")),2)</f>
        <v>0</v>
      </c>
    </row>
    <row r="2458" customFormat="false" ht="15" hidden="false" customHeight="false" outlineLevel="0" collapsed="false">
      <c r="A2458" s="27" t="s">
        <v>117</v>
      </c>
      <c r="B2458" s="27" t="s">
        <v>109</v>
      </c>
      <c r="C2458" s="27" t="s">
        <v>46</v>
      </c>
      <c r="D2458" s="27" t="s">
        <v>39</v>
      </c>
      <c r="E2458" s="28" t="n">
        <f aca="false">ROUND((SUMIFS(Acerto_Detalhado!$F$2:$F$433,Acerto_Detalhado!$A$2:$A$433,$C2458,Acerto_Detalhado!$B$2:$B$433,"Jul",Acerto_Detalhado!$C$2:$C$433,"Proteina"))*(SUMIFS(Acerto_Detalhado!$I$2:$I$433,Acerto_Detalhado!$A$2:$A$433,$D2458,Acerto_Detalhado!$B$2:$B$433,"Jul",Acerto_Detalhado!$C$2:$C$433,"Proteina")),2)</f>
        <v>0</v>
      </c>
    </row>
    <row r="2459" customFormat="false" ht="15" hidden="false" customHeight="false" outlineLevel="0" collapsed="false">
      <c r="A2459" s="27" t="s">
        <v>117</v>
      </c>
      <c r="B2459" s="27" t="s">
        <v>109</v>
      </c>
      <c r="C2459" s="27" t="s">
        <v>46</v>
      </c>
      <c r="D2459" s="27" t="s">
        <v>40</v>
      </c>
      <c r="E2459" s="28" t="n">
        <f aca="false">ROUND((SUMIFS(Acerto_Detalhado!$F$2:$F$433,Acerto_Detalhado!$A$2:$A$433,$C2459,Acerto_Detalhado!$B$2:$B$433,"Jul",Acerto_Detalhado!$C$2:$C$433,"Proteina"))*(SUMIFS(Acerto_Detalhado!$I$2:$I$433,Acerto_Detalhado!$A$2:$A$433,$D2459,Acerto_Detalhado!$B$2:$B$433,"Jul",Acerto_Detalhado!$C$2:$C$433,"Proteina")),2)</f>
        <v>0</v>
      </c>
    </row>
    <row r="2460" customFormat="false" ht="15" hidden="false" customHeight="false" outlineLevel="0" collapsed="false">
      <c r="A2460" s="27" t="s">
        <v>117</v>
      </c>
      <c r="B2460" s="27" t="s">
        <v>109</v>
      </c>
      <c r="C2460" s="27" t="s">
        <v>46</v>
      </c>
      <c r="D2460" s="27" t="s">
        <v>41</v>
      </c>
      <c r="E2460" s="28" t="n">
        <f aca="false">ROUND((SUMIFS(Acerto_Detalhado!$F$2:$F$433,Acerto_Detalhado!$A$2:$A$433,$C2460,Acerto_Detalhado!$B$2:$B$433,"Jul",Acerto_Detalhado!$C$2:$C$433,"Proteina"))*(SUMIFS(Acerto_Detalhado!$I$2:$I$433,Acerto_Detalhado!$A$2:$A$433,$D2460,Acerto_Detalhado!$B$2:$B$433,"Jul",Acerto_Detalhado!$C$2:$C$433,"Proteina")),2)</f>
        <v>0</v>
      </c>
    </row>
    <row r="2461" customFormat="false" ht="15" hidden="false" customHeight="false" outlineLevel="0" collapsed="false">
      <c r="A2461" s="27" t="s">
        <v>117</v>
      </c>
      <c r="B2461" s="27" t="s">
        <v>109</v>
      </c>
      <c r="C2461" s="27" t="s">
        <v>46</v>
      </c>
      <c r="D2461" s="27" t="s">
        <v>42</v>
      </c>
      <c r="E2461" s="28" t="n">
        <f aca="false">ROUND((SUMIFS(Acerto_Detalhado!$F$2:$F$433,Acerto_Detalhado!$A$2:$A$433,$C2461,Acerto_Detalhado!$B$2:$B$433,"Jul",Acerto_Detalhado!$C$2:$C$433,"Proteina"))*(SUMIFS(Acerto_Detalhado!$I$2:$I$433,Acerto_Detalhado!$A$2:$A$433,$D2461,Acerto_Detalhado!$B$2:$B$433,"Jul",Acerto_Detalhado!$C$2:$C$433,"Proteina")),2)</f>
        <v>0</v>
      </c>
    </row>
    <row r="2462" customFormat="false" ht="15" hidden="false" customHeight="false" outlineLevel="0" collapsed="false">
      <c r="A2462" s="27" t="s">
        <v>117</v>
      </c>
      <c r="B2462" s="27" t="s">
        <v>109</v>
      </c>
      <c r="C2462" s="27" t="s">
        <v>46</v>
      </c>
      <c r="D2462" s="27" t="s">
        <v>43</v>
      </c>
      <c r="E2462" s="28" t="n">
        <f aca="false">ROUND((SUMIFS(Acerto_Detalhado!$F$2:$F$433,Acerto_Detalhado!$A$2:$A$433,$C2462,Acerto_Detalhado!$B$2:$B$433,"Jul",Acerto_Detalhado!$C$2:$C$433,"Proteina"))*(SUMIFS(Acerto_Detalhado!$I$2:$I$433,Acerto_Detalhado!$A$2:$A$433,$D2462,Acerto_Detalhado!$B$2:$B$433,"Jul",Acerto_Detalhado!$C$2:$C$433,"Proteina")),2)</f>
        <v>0</v>
      </c>
    </row>
    <row r="2463" customFormat="false" ht="15" hidden="false" customHeight="false" outlineLevel="0" collapsed="false">
      <c r="A2463" s="27" t="s">
        <v>117</v>
      </c>
      <c r="B2463" s="27" t="s">
        <v>109</v>
      </c>
      <c r="C2463" s="27" t="s">
        <v>46</v>
      </c>
      <c r="D2463" s="27" t="s">
        <v>44</v>
      </c>
      <c r="E2463" s="28" t="n">
        <f aca="false">ROUND((SUMIFS(Acerto_Detalhado!$F$2:$F$433,Acerto_Detalhado!$A$2:$A$433,$C2463,Acerto_Detalhado!$B$2:$B$433,"Jul",Acerto_Detalhado!$C$2:$C$433,"Proteina"))*(SUMIFS(Acerto_Detalhado!$I$2:$I$433,Acerto_Detalhado!$A$2:$A$433,$D2463,Acerto_Detalhado!$B$2:$B$433,"Jul",Acerto_Detalhado!$C$2:$C$433,"Proteina")),2)</f>
        <v>0</v>
      </c>
    </row>
    <row r="2464" customFormat="false" ht="15" hidden="false" customHeight="false" outlineLevel="0" collapsed="false">
      <c r="A2464" s="27" t="s">
        <v>117</v>
      </c>
      <c r="B2464" s="27" t="s">
        <v>109</v>
      </c>
      <c r="C2464" s="27" t="s">
        <v>46</v>
      </c>
      <c r="D2464" s="27" t="s">
        <v>45</v>
      </c>
      <c r="E2464" s="28" t="n">
        <f aca="false">ROUND((SUMIFS(Acerto_Detalhado!$F$2:$F$433,Acerto_Detalhado!$A$2:$A$433,$C2464,Acerto_Detalhado!$B$2:$B$433,"Jul",Acerto_Detalhado!$C$2:$C$433,"Proteina"))*(SUMIFS(Acerto_Detalhado!$I$2:$I$433,Acerto_Detalhado!$A$2:$A$433,$D2464,Acerto_Detalhado!$B$2:$B$433,"Jul",Acerto_Detalhado!$C$2:$C$433,"Proteina")),2)</f>
        <v>0</v>
      </c>
    </row>
    <row r="2465" customFormat="false" ht="15" hidden="false" customHeight="false" outlineLevel="0" collapsed="false">
      <c r="A2465" s="27" t="s">
        <v>117</v>
      </c>
      <c r="B2465" s="27" t="s">
        <v>109</v>
      </c>
      <c r="C2465" s="27" t="s">
        <v>46</v>
      </c>
      <c r="D2465" s="27" t="s">
        <v>47</v>
      </c>
      <c r="E2465" s="28" t="n">
        <f aca="false">ROUND((SUMIFS(Acerto_Detalhado!$F$2:$F$433,Acerto_Detalhado!$A$2:$A$433,$C2465,Acerto_Detalhado!$B$2:$B$433,"Jul",Acerto_Detalhado!$C$2:$C$433,"Proteina"))*(SUMIFS(Acerto_Detalhado!$I$2:$I$433,Acerto_Detalhado!$A$2:$A$433,$D2465,Acerto_Detalhado!$B$2:$B$433,"Jul",Acerto_Detalhado!$C$2:$C$433,"Proteina")),2)</f>
        <v>0</v>
      </c>
    </row>
    <row r="2466" customFormat="false" ht="15" hidden="false" customHeight="false" outlineLevel="0" collapsed="false">
      <c r="A2466" s="27" t="s">
        <v>117</v>
      </c>
      <c r="B2466" s="27" t="s">
        <v>109</v>
      </c>
      <c r="C2466" s="27" t="s">
        <v>46</v>
      </c>
      <c r="D2466" s="27" t="s">
        <v>48</v>
      </c>
      <c r="E2466" s="28" t="n">
        <f aca="false">ROUND((SUMIFS(Acerto_Detalhado!$F$2:$F$433,Acerto_Detalhado!$A$2:$A$433,$C2466,Acerto_Detalhado!$B$2:$B$433,"Jul",Acerto_Detalhado!$C$2:$C$433,"Proteina"))*(SUMIFS(Acerto_Detalhado!$I$2:$I$433,Acerto_Detalhado!$A$2:$A$433,$D2466,Acerto_Detalhado!$B$2:$B$433,"Jul",Acerto_Detalhado!$C$2:$C$433,"Proteina")),2)</f>
        <v>0</v>
      </c>
    </row>
    <row r="2467" customFormat="false" ht="15" hidden="false" customHeight="false" outlineLevel="0" collapsed="false">
      <c r="A2467" s="27" t="s">
        <v>117</v>
      </c>
      <c r="B2467" s="27" t="s">
        <v>109</v>
      </c>
      <c r="C2467" s="27" t="s">
        <v>46</v>
      </c>
      <c r="D2467" s="27" t="s">
        <v>49</v>
      </c>
      <c r="E2467" s="28" t="n">
        <f aca="false">ROUND((SUMIFS(Acerto_Detalhado!$F$2:$F$433,Acerto_Detalhado!$A$2:$A$433,$C2467,Acerto_Detalhado!$B$2:$B$433,"Jul",Acerto_Detalhado!$C$2:$C$433,"Proteina"))*(SUMIFS(Acerto_Detalhado!$I$2:$I$433,Acerto_Detalhado!$A$2:$A$433,$D2467,Acerto_Detalhado!$B$2:$B$433,"Jul",Acerto_Detalhado!$C$2:$C$433,"Proteina")),2)</f>
        <v>0</v>
      </c>
    </row>
    <row r="2468" customFormat="false" ht="15" hidden="false" customHeight="false" outlineLevel="0" collapsed="false">
      <c r="A2468" s="27" t="s">
        <v>117</v>
      </c>
      <c r="B2468" s="27" t="s">
        <v>109</v>
      </c>
      <c r="C2468" s="27" t="s">
        <v>46</v>
      </c>
      <c r="D2468" s="27" t="s">
        <v>50</v>
      </c>
      <c r="E2468" s="28" t="n">
        <f aca="false">ROUND((SUMIFS(Acerto_Detalhado!$F$2:$F$433,Acerto_Detalhado!$A$2:$A$433,$C2468,Acerto_Detalhado!$B$2:$B$433,"Jul",Acerto_Detalhado!$C$2:$C$433,"Proteina"))*(SUMIFS(Acerto_Detalhado!$I$2:$I$433,Acerto_Detalhado!$A$2:$A$433,$D2468,Acerto_Detalhado!$B$2:$B$433,"Jul",Acerto_Detalhado!$C$2:$C$433,"Proteina")),2)</f>
        <v>0</v>
      </c>
    </row>
    <row r="2469" customFormat="false" ht="15" hidden="false" customHeight="false" outlineLevel="0" collapsed="false">
      <c r="A2469" s="27" t="s">
        <v>117</v>
      </c>
      <c r="B2469" s="27" t="s">
        <v>109</v>
      </c>
      <c r="C2469" s="27" t="s">
        <v>47</v>
      </c>
      <c r="D2469" s="27" t="s">
        <v>39</v>
      </c>
      <c r="E2469" s="28" t="n">
        <f aca="false">ROUND((SUMIFS(Acerto_Detalhado!$F$2:$F$433,Acerto_Detalhado!$A$2:$A$433,$C2469,Acerto_Detalhado!$B$2:$B$433,"Jul",Acerto_Detalhado!$C$2:$C$433,"Proteina"))*(SUMIFS(Acerto_Detalhado!$I$2:$I$433,Acerto_Detalhado!$A$2:$A$433,$D2469,Acerto_Detalhado!$B$2:$B$433,"Jul",Acerto_Detalhado!$C$2:$C$433,"Proteina")),2)</f>
        <v>0</v>
      </c>
    </row>
    <row r="2470" customFormat="false" ht="15" hidden="false" customHeight="false" outlineLevel="0" collapsed="false">
      <c r="A2470" s="27" t="s">
        <v>117</v>
      </c>
      <c r="B2470" s="27" t="s">
        <v>109</v>
      </c>
      <c r="C2470" s="27" t="s">
        <v>47</v>
      </c>
      <c r="D2470" s="27" t="s">
        <v>40</v>
      </c>
      <c r="E2470" s="28" t="n">
        <f aca="false">ROUND((SUMIFS(Acerto_Detalhado!$F$2:$F$433,Acerto_Detalhado!$A$2:$A$433,$C2470,Acerto_Detalhado!$B$2:$B$433,"Jul",Acerto_Detalhado!$C$2:$C$433,"Proteina"))*(SUMIFS(Acerto_Detalhado!$I$2:$I$433,Acerto_Detalhado!$A$2:$A$433,$D2470,Acerto_Detalhado!$B$2:$B$433,"Jul",Acerto_Detalhado!$C$2:$C$433,"Proteina")),2)</f>
        <v>0</v>
      </c>
    </row>
    <row r="2471" customFormat="false" ht="15" hidden="false" customHeight="false" outlineLevel="0" collapsed="false">
      <c r="A2471" s="27" t="s">
        <v>117</v>
      </c>
      <c r="B2471" s="27" t="s">
        <v>109</v>
      </c>
      <c r="C2471" s="27" t="s">
        <v>47</v>
      </c>
      <c r="D2471" s="27" t="s">
        <v>41</v>
      </c>
      <c r="E2471" s="28" t="n">
        <f aca="false">ROUND((SUMIFS(Acerto_Detalhado!$F$2:$F$433,Acerto_Detalhado!$A$2:$A$433,$C2471,Acerto_Detalhado!$B$2:$B$433,"Jul",Acerto_Detalhado!$C$2:$C$433,"Proteina"))*(SUMIFS(Acerto_Detalhado!$I$2:$I$433,Acerto_Detalhado!$A$2:$A$433,$D2471,Acerto_Detalhado!$B$2:$B$433,"Jul",Acerto_Detalhado!$C$2:$C$433,"Proteina")),2)</f>
        <v>0</v>
      </c>
    </row>
    <row r="2472" customFormat="false" ht="15" hidden="false" customHeight="false" outlineLevel="0" collapsed="false">
      <c r="A2472" s="27" t="s">
        <v>117</v>
      </c>
      <c r="B2472" s="27" t="s">
        <v>109</v>
      </c>
      <c r="C2472" s="27" t="s">
        <v>47</v>
      </c>
      <c r="D2472" s="27" t="s">
        <v>42</v>
      </c>
      <c r="E2472" s="28" t="n">
        <f aca="false">ROUND((SUMIFS(Acerto_Detalhado!$F$2:$F$433,Acerto_Detalhado!$A$2:$A$433,$C2472,Acerto_Detalhado!$B$2:$B$433,"Jul",Acerto_Detalhado!$C$2:$C$433,"Proteina"))*(SUMIFS(Acerto_Detalhado!$I$2:$I$433,Acerto_Detalhado!$A$2:$A$433,$D2472,Acerto_Detalhado!$B$2:$B$433,"Jul",Acerto_Detalhado!$C$2:$C$433,"Proteina")),2)</f>
        <v>0</v>
      </c>
    </row>
    <row r="2473" customFormat="false" ht="15" hidden="false" customHeight="false" outlineLevel="0" collapsed="false">
      <c r="A2473" s="27" t="s">
        <v>117</v>
      </c>
      <c r="B2473" s="27" t="s">
        <v>109</v>
      </c>
      <c r="C2473" s="27" t="s">
        <v>47</v>
      </c>
      <c r="D2473" s="27" t="s">
        <v>43</v>
      </c>
      <c r="E2473" s="28" t="n">
        <f aca="false">ROUND((SUMIFS(Acerto_Detalhado!$F$2:$F$433,Acerto_Detalhado!$A$2:$A$433,$C2473,Acerto_Detalhado!$B$2:$B$433,"Jul",Acerto_Detalhado!$C$2:$C$433,"Proteina"))*(SUMIFS(Acerto_Detalhado!$I$2:$I$433,Acerto_Detalhado!$A$2:$A$433,$D2473,Acerto_Detalhado!$B$2:$B$433,"Jul",Acerto_Detalhado!$C$2:$C$433,"Proteina")),2)</f>
        <v>0</v>
      </c>
    </row>
    <row r="2474" customFormat="false" ht="15" hidden="false" customHeight="false" outlineLevel="0" collapsed="false">
      <c r="A2474" s="27" t="s">
        <v>117</v>
      </c>
      <c r="B2474" s="27" t="s">
        <v>109</v>
      </c>
      <c r="C2474" s="27" t="s">
        <v>47</v>
      </c>
      <c r="D2474" s="27" t="s">
        <v>44</v>
      </c>
      <c r="E2474" s="28" t="n">
        <f aca="false">ROUND((SUMIFS(Acerto_Detalhado!$F$2:$F$433,Acerto_Detalhado!$A$2:$A$433,$C2474,Acerto_Detalhado!$B$2:$B$433,"Jul",Acerto_Detalhado!$C$2:$C$433,"Proteina"))*(SUMIFS(Acerto_Detalhado!$I$2:$I$433,Acerto_Detalhado!$A$2:$A$433,$D2474,Acerto_Detalhado!$B$2:$B$433,"Jul",Acerto_Detalhado!$C$2:$C$433,"Proteina")),2)</f>
        <v>0</v>
      </c>
    </row>
    <row r="2475" customFormat="false" ht="15" hidden="false" customHeight="false" outlineLevel="0" collapsed="false">
      <c r="A2475" s="27" t="s">
        <v>117</v>
      </c>
      <c r="B2475" s="27" t="s">
        <v>109</v>
      </c>
      <c r="C2475" s="27" t="s">
        <v>47</v>
      </c>
      <c r="D2475" s="27" t="s">
        <v>45</v>
      </c>
      <c r="E2475" s="28" t="n">
        <f aca="false">ROUND((SUMIFS(Acerto_Detalhado!$F$2:$F$433,Acerto_Detalhado!$A$2:$A$433,$C2475,Acerto_Detalhado!$B$2:$B$433,"Jul",Acerto_Detalhado!$C$2:$C$433,"Proteina"))*(SUMIFS(Acerto_Detalhado!$I$2:$I$433,Acerto_Detalhado!$A$2:$A$433,$D2475,Acerto_Detalhado!$B$2:$B$433,"Jul",Acerto_Detalhado!$C$2:$C$433,"Proteina")),2)</f>
        <v>0</v>
      </c>
    </row>
    <row r="2476" customFormat="false" ht="15" hidden="false" customHeight="false" outlineLevel="0" collapsed="false">
      <c r="A2476" s="27" t="s">
        <v>117</v>
      </c>
      <c r="B2476" s="27" t="s">
        <v>109</v>
      </c>
      <c r="C2476" s="27" t="s">
        <v>47</v>
      </c>
      <c r="D2476" s="27" t="s">
        <v>46</v>
      </c>
      <c r="E2476" s="28" t="n">
        <f aca="false">ROUND((SUMIFS(Acerto_Detalhado!$F$2:$F$433,Acerto_Detalhado!$A$2:$A$433,$C2476,Acerto_Detalhado!$B$2:$B$433,"Jul",Acerto_Detalhado!$C$2:$C$433,"Proteina"))*(SUMIFS(Acerto_Detalhado!$I$2:$I$433,Acerto_Detalhado!$A$2:$A$433,$D2476,Acerto_Detalhado!$B$2:$B$433,"Jul",Acerto_Detalhado!$C$2:$C$433,"Proteina")),2)</f>
        <v>0</v>
      </c>
    </row>
    <row r="2477" customFormat="false" ht="15" hidden="false" customHeight="false" outlineLevel="0" collapsed="false">
      <c r="A2477" s="27" t="s">
        <v>117</v>
      </c>
      <c r="B2477" s="27" t="s">
        <v>109</v>
      </c>
      <c r="C2477" s="27" t="s">
        <v>47</v>
      </c>
      <c r="D2477" s="27" t="s">
        <v>48</v>
      </c>
      <c r="E2477" s="28" t="n">
        <f aca="false">ROUND((SUMIFS(Acerto_Detalhado!$F$2:$F$433,Acerto_Detalhado!$A$2:$A$433,$C2477,Acerto_Detalhado!$B$2:$B$433,"Jul",Acerto_Detalhado!$C$2:$C$433,"Proteina"))*(SUMIFS(Acerto_Detalhado!$I$2:$I$433,Acerto_Detalhado!$A$2:$A$433,$D2477,Acerto_Detalhado!$B$2:$B$433,"Jul",Acerto_Detalhado!$C$2:$C$433,"Proteina")),2)</f>
        <v>0</v>
      </c>
    </row>
    <row r="2478" customFormat="false" ht="15" hidden="false" customHeight="false" outlineLevel="0" collapsed="false">
      <c r="A2478" s="27" t="s">
        <v>117</v>
      </c>
      <c r="B2478" s="27" t="s">
        <v>109</v>
      </c>
      <c r="C2478" s="27" t="s">
        <v>47</v>
      </c>
      <c r="D2478" s="27" t="s">
        <v>49</v>
      </c>
      <c r="E2478" s="28" t="n">
        <f aca="false">ROUND((SUMIFS(Acerto_Detalhado!$F$2:$F$433,Acerto_Detalhado!$A$2:$A$433,$C2478,Acerto_Detalhado!$B$2:$B$433,"Jul",Acerto_Detalhado!$C$2:$C$433,"Proteina"))*(SUMIFS(Acerto_Detalhado!$I$2:$I$433,Acerto_Detalhado!$A$2:$A$433,$D2478,Acerto_Detalhado!$B$2:$B$433,"Jul",Acerto_Detalhado!$C$2:$C$433,"Proteina")),2)</f>
        <v>0</v>
      </c>
    </row>
    <row r="2479" customFormat="false" ht="15" hidden="false" customHeight="false" outlineLevel="0" collapsed="false">
      <c r="A2479" s="27" t="s">
        <v>117</v>
      </c>
      <c r="B2479" s="27" t="s">
        <v>109</v>
      </c>
      <c r="C2479" s="27" t="s">
        <v>47</v>
      </c>
      <c r="D2479" s="27" t="s">
        <v>50</v>
      </c>
      <c r="E2479" s="28" t="n">
        <f aca="false">ROUND((SUMIFS(Acerto_Detalhado!$F$2:$F$433,Acerto_Detalhado!$A$2:$A$433,$C2479,Acerto_Detalhado!$B$2:$B$433,"Jul",Acerto_Detalhado!$C$2:$C$433,"Proteina"))*(SUMIFS(Acerto_Detalhado!$I$2:$I$433,Acerto_Detalhado!$A$2:$A$433,$D2479,Acerto_Detalhado!$B$2:$B$433,"Jul",Acerto_Detalhado!$C$2:$C$433,"Proteina")),2)</f>
        <v>0</v>
      </c>
    </row>
    <row r="2480" customFormat="false" ht="15" hidden="false" customHeight="false" outlineLevel="0" collapsed="false">
      <c r="A2480" s="27" t="s">
        <v>117</v>
      </c>
      <c r="B2480" s="27" t="s">
        <v>109</v>
      </c>
      <c r="C2480" s="27" t="s">
        <v>48</v>
      </c>
      <c r="D2480" s="27" t="s">
        <v>39</v>
      </c>
      <c r="E2480" s="28" t="n">
        <f aca="false">ROUND((SUMIFS(Acerto_Detalhado!$F$2:$F$433,Acerto_Detalhado!$A$2:$A$433,$C2480,Acerto_Detalhado!$B$2:$B$433,"Jul",Acerto_Detalhado!$C$2:$C$433,"Proteina"))*(SUMIFS(Acerto_Detalhado!$I$2:$I$433,Acerto_Detalhado!$A$2:$A$433,$D2480,Acerto_Detalhado!$B$2:$B$433,"Jul",Acerto_Detalhado!$C$2:$C$433,"Proteina")),2)</f>
        <v>0</v>
      </c>
    </row>
    <row r="2481" customFormat="false" ht="15" hidden="false" customHeight="false" outlineLevel="0" collapsed="false">
      <c r="A2481" s="27" t="s">
        <v>117</v>
      </c>
      <c r="B2481" s="27" t="s">
        <v>109</v>
      </c>
      <c r="C2481" s="27" t="s">
        <v>48</v>
      </c>
      <c r="D2481" s="27" t="s">
        <v>40</v>
      </c>
      <c r="E2481" s="28" t="n">
        <f aca="false">ROUND((SUMIFS(Acerto_Detalhado!$F$2:$F$433,Acerto_Detalhado!$A$2:$A$433,$C2481,Acerto_Detalhado!$B$2:$B$433,"Jul",Acerto_Detalhado!$C$2:$C$433,"Proteina"))*(SUMIFS(Acerto_Detalhado!$I$2:$I$433,Acerto_Detalhado!$A$2:$A$433,$D2481,Acerto_Detalhado!$B$2:$B$433,"Jul",Acerto_Detalhado!$C$2:$C$433,"Proteina")),2)</f>
        <v>0</v>
      </c>
    </row>
    <row r="2482" customFormat="false" ht="15" hidden="false" customHeight="false" outlineLevel="0" collapsed="false">
      <c r="A2482" s="27" t="s">
        <v>117</v>
      </c>
      <c r="B2482" s="27" t="s">
        <v>109</v>
      </c>
      <c r="C2482" s="27" t="s">
        <v>48</v>
      </c>
      <c r="D2482" s="27" t="s">
        <v>41</v>
      </c>
      <c r="E2482" s="28" t="n">
        <f aca="false">ROUND((SUMIFS(Acerto_Detalhado!$F$2:$F$433,Acerto_Detalhado!$A$2:$A$433,$C2482,Acerto_Detalhado!$B$2:$B$433,"Jul",Acerto_Detalhado!$C$2:$C$433,"Proteina"))*(SUMIFS(Acerto_Detalhado!$I$2:$I$433,Acerto_Detalhado!$A$2:$A$433,$D2482,Acerto_Detalhado!$B$2:$B$433,"Jul",Acerto_Detalhado!$C$2:$C$433,"Proteina")),2)</f>
        <v>0</v>
      </c>
    </row>
    <row r="2483" customFormat="false" ht="15" hidden="false" customHeight="false" outlineLevel="0" collapsed="false">
      <c r="A2483" s="27" t="s">
        <v>117</v>
      </c>
      <c r="B2483" s="27" t="s">
        <v>109</v>
      </c>
      <c r="C2483" s="27" t="s">
        <v>48</v>
      </c>
      <c r="D2483" s="27" t="s">
        <v>42</v>
      </c>
      <c r="E2483" s="28" t="n">
        <f aca="false">ROUND((SUMIFS(Acerto_Detalhado!$F$2:$F$433,Acerto_Detalhado!$A$2:$A$433,$C2483,Acerto_Detalhado!$B$2:$B$433,"Jul",Acerto_Detalhado!$C$2:$C$433,"Proteina"))*(SUMIFS(Acerto_Detalhado!$I$2:$I$433,Acerto_Detalhado!$A$2:$A$433,$D2483,Acerto_Detalhado!$B$2:$B$433,"Jul",Acerto_Detalhado!$C$2:$C$433,"Proteina")),2)</f>
        <v>0</v>
      </c>
    </row>
    <row r="2484" customFormat="false" ht="15" hidden="false" customHeight="false" outlineLevel="0" collapsed="false">
      <c r="A2484" s="27" t="s">
        <v>117</v>
      </c>
      <c r="B2484" s="27" t="s">
        <v>109</v>
      </c>
      <c r="C2484" s="27" t="s">
        <v>48</v>
      </c>
      <c r="D2484" s="27" t="s">
        <v>43</v>
      </c>
      <c r="E2484" s="28" t="n">
        <f aca="false">ROUND((SUMIFS(Acerto_Detalhado!$F$2:$F$433,Acerto_Detalhado!$A$2:$A$433,$C2484,Acerto_Detalhado!$B$2:$B$433,"Jul",Acerto_Detalhado!$C$2:$C$433,"Proteina"))*(SUMIFS(Acerto_Detalhado!$I$2:$I$433,Acerto_Detalhado!$A$2:$A$433,$D2484,Acerto_Detalhado!$B$2:$B$433,"Jul",Acerto_Detalhado!$C$2:$C$433,"Proteina")),2)</f>
        <v>0</v>
      </c>
    </row>
    <row r="2485" customFormat="false" ht="15" hidden="false" customHeight="false" outlineLevel="0" collapsed="false">
      <c r="A2485" s="27" t="s">
        <v>117</v>
      </c>
      <c r="B2485" s="27" t="s">
        <v>109</v>
      </c>
      <c r="C2485" s="27" t="s">
        <v>48</v>
      </c>
      <c r="D2485" s="27" t="s">
        <v>44</v>
      </c>
      <c r="E2485" s="28" t="n">
        <f aca="false">ROUND((SUMIFS(Acerto_Detalhado!$F$2:$F$433,Acerto_Detalhado!$A$2:$A$433,$C2485,Acerto_Detalhado!$B$2:$B$433,"Jul",Acerto_Detalhado!$C$2:$C$433,"Proteina"))*(SUMIFS(Acerto_Detalhado!$I$2:$I$433,Acerto_Detalhado!$A$2:$A$433,$D2485,Acerto_Detalhado!$B$2:$B$433,"Jul",Acerto_Detalhado!$C$2:$C$433,"Proteina")),2)</f>
        <v>0</v>
      </c>
    </row>
    <row r="2486" customFormat="false" ht="15" hidden="false" customHeight="false" outlineLevel="0" collapsed="false">
      <c r="A2486" s="27" t="s">
        <v>117</v>
      </c>
      <c r="B2486" s="27" t="s">
        <v>109</v>
      </c>
      <c r="C2486" s="27" t="s">
        <v>48</v>
      </c>
      <c r="D2486" s="27" t="s">
        <v>45</v>
      </c>
      <c r="E2486" s="28" t="n">
        <f aca="false">ROUND((SUMIFS(Acerto_Detalhado!$F$2:$F$433,Acerto_Detalhado!$A$2:$A$433,$C2486,Acerto_Detalhado!$B$2:$B$433,"Jul",Acerto_Detalhado!$C$2:$C$433,"Proteina"))*(SUMIFS(Acerto_Detalhado!$I$2:$I$433,Acerto_Detalhado!$A$2:$A$433,$D2486,Acerto_Detalhado!$B$2:$B$433,"Jul",Acerto_Detalhado!$C$2:$C$433,"Proteina")),2)</f>
        <v>0</v>
      </c>
    </row>
    <row r="2487" customFormat="false" ht="15" hidden="false" customHeight="false" outlineLevel="0" collapsed="false">
      <c r="A2487" s="27" t="s">
        <v>117</v>
      </c>
      <c r="B2487" s="27" t="s">
        <v>109</v>
      </c>
      <c r="C2487" s="27" t="s">
        <v>48</v>
      </c>
      <c r="D2487" s="27" t="s">
        <v>46</v>
      </c>
      <c r="E2487" s="28" t="n">
        <f aca="false">ROUND((SUMIFS(Acerto_Detalhado!$F$2:$F$433,Acerto_Detalhado!$A$2:$A$433,$C2487,Acerto_Detalhado!$B$2:$B$433,"Jul",Acerto_Detalhado!$C$2:$C$433,"Proteina"))*(SUMIFS(Acerto_Detalhado!$I$2:$I$433,Acerto_Detalhado!$A$2:$A$433,$D2487,Acerto_Detalhado!$B$2:$B$433,"Jul",Acerto_Detalhado!$C$2:$C$433,"Proteina")),2)</f>
        <v>0</v>
      </c>
    </row>
    <row r="2488" customFormat="false" ht="15" hidden="false" customHeight="false" outlineLevel="0" collapsed="false">
      <c r="A2488" s="27" t="s">
        <v>117</v>
      </c>
      <c r="B2488" s="27" t="s">
        <v>109</v>
      </c>
      <c r="C2488" s="27" t="s">
        <v>48</v>
      </c>
      <c r="D2488" s="27" t="s">
        <v>47</v>
      </c>
      <c r="E2488" s="28" t="n">
        <f aca="false">ROUND((SUMIFS(Acerto_Detalhado!$F$2:$F$433,Acerto_Detalhado!$A$2:$A$433,$C2488,Acerto_Detalhado!$B$2:$B$433,"Jul",Acerto_Detalhado!$C$2:$C$433,"Proteina"))*(SUMIFS(Acerto_Detalhado!$I$2:$I$433,Acerto_Detalhado!$A$2:$A$433,$D2488,Acerto_Detalhado!$B$2:$B$433,"Jul",Acerto_Detalhado!$C$2:$C$433,"Proteina")),2)</f>
        <v>0</v>
      </c>
    </row>
    <row r="2489" customFormat="false" ht="15" hidden="false" customHeight="false" outlineLevel="0" collapsed="false">
      <c r="A2489" s="27" t="s">
        <v>117</v>
      </c>
      <c r="B2489" s="27" t="s">
        <v>109</v>
      </c>
      <c r="C2489" s="27" t="s">
        <v>48</v>
      </c>
      <c r="D2489" s="27" t="s">
        <v>49</v>
      </c>
      <c r="E2489" s="28" t="n">
        <f aca="false">ROUND((SUMIFS(Acerto_Detalhado!$F$2:$F$433,Acerto_Detalhado!$A$2:$A$433,$C2489,Acerto_Detalhado!$B$2:$B$433,"Jul",Acerto_Detalhado!$C$2:$C$433,"Proteina"))*(SUMIFS(Acerto_Detalhado!$I$2:$I$433,Acerto_Detalhado!$A$2:$A$433,$D2489,Acerto_Detalhado!$B$2:$B$433,"Jul",Acerto_Detalhado!$C$2:$C$433,"Proteina")),2)</f>
        <v>0</v>
      </c>
    </row>
    <row r="2490" customFormat="false" ht="15" hidden="false" customHeight="false" outlineLevel="0" collapsed="false">
      <c r="A2490" s="27" t="s">
        <v>117</v>
      </c>
      <c r="B2490" s="27" t="s">
        <v>109</v>
      </c>
      <c r="C2490" s="27" t="s">
        <v>48</v>
      </c>
      <c r="D2490" s="27" t="s">
        <v>50</v>
      </c>
      <c r="E2490" s="28" t="n">
        <f aca="false">ROUND((SUMIFS(Acerto_Detalhado!$F$2:$F$433,Acerto_Detalhado!$A$2:$A$433,$C2490,Acerto_Detalhado!$B$2:$B$433,"Jul",Acerto_Detalhado!$C$2:$C$433,"Proteina"))*(SUMIFS(Acerto_Detalhado!$I$2:$I$433,Acerto_Detalhado!$A$2:$A$433,$D2490,Acerto_Detalhado!$B$2:$B$433,"Jul",Acerto_Detalhado!$C$2:$C$433,"Proteina")),2)</f>
        <v>0</v>
      </c>
    </row>
    <row r="2491" customFormat="false" ht="15" hidden="false" customHeight="false" outlineLevel="0" collapsed="false">
      <c r="A2491" s="27" t="s">
        <v>117</v>
      </c>
      <c r="B2491" s="27" t="s">
        <v>109</v>
      </c>
      <c r="C2491" s="27" t="s">
        <v>49</v>
      </c>
      <c r="D2491" s="27" t="s">
        <v>39</v>
      </c>
      <c r="E2491" s="28" t="n">
        <f aca="false">ROUND((SUMIFS(Acerto_Detalhado!$F$2:$F$433,Acerto_Detalhado!$A$2:$A$433,$C2491,Acerto_Detalhado!$B$2:$B$433,"Jul",Acerto_Detalhado!$C$2:$C$433,"Proteina"))*(SUMIFS(Acerto_Detalhado!$I$2:$I$433,Acerto_Detalhado!$A$2:$A$433,$D2491,Acerto_Detalhado!$B$2:$B$433,"Jul",Acerto_Detalhado!$C$2:$C$433,"Proteina")),2)</f>
        <v>0</v>
      </c>
    </row>
    <row r="2492" customFormat="false" ht="15" hidden="false" customHeight="false" outlineLevel="0" collapsed="false">
      <c r="A2492" s="27" t="s">
        <v>117</v>
      </c>
      <c r="B2492" s="27" t="s">
        <v>109</v>
      </c>
      <c r="C2492" s="27" t="s">
        <v>49</v>
      </c>
      <c r="D2492" s="27" t="s">
        <v>40</v>
      </c>
      <c r="E2492" s="28" t="n">
        <f aca="false">ROUND((SUMIFS(Acerto_Detalhado!$F$2:$F$433,Acerto_Detalhado!$A$2:$A$433,$C2492,Acerto_Detalhado!$B$2:$B$433,"Jul",Acerto_Detalhado!$C$2:$C$433,"Proteina"))*(SUMIFS(Acerto_Detalhado!$I$2:$I$433,Acerto_Detalhado!$A$2:$A$433,$D2492,Acerto_Detalhado!$B$2:$B$433,"Jul",Acerto_Detalhado!$C$2:$C$433,"Proteina")),2)</f>
        <v>0</v>
      </c>
    </row>
    <row r="2493" customFormat="false" ht="15" hidden="false" customHeight="false" outlineLevel="0" collapsed="false">
      <c r="A2493" s="27" t="s">
        <v>117</v>
      </c>
      <c r="B2493" s="27" t="s">
        <v>109</v>
      </c>
      <c r="C2493" s="27" t="s">
        <v>49</v>
      </c>
      <c r="D2493" s="27" t="s">
        <v>41</v>
      </c>
      <c r="E2493" s="28" t="n">
        <f aca="false">ROUND((SUMIFS(Acerto_Detalhado!$F$2:$F$433,Acerto_Detalhado!$A$2:$A$433,$C2493,Acerto_Detalhado!$B$2:$B$433,"Jul",Acerto_Detalhado!$C$2:$C$433,"Proteina"))*(SUMIFS(Acerto_Detalhado!$I$2:$I$433,Acerto_Detalhado!$A$2:$A$433,$D2493,Acerto_Detalhado!$B$2:$B$433,"Jul",Acerto_Detalhado!$C$2:$C$433,"Proteina")),2)</f>
        <v>0</v>
      </c>
    </row>
    <row r="2494" customFormat="false" ht="15" hidden="false" customHeight="false" outlineLevel="0" collapsed="false">
      <c r="A2494" s="27" t="s">
        <v>117</v>
      </c>
      <c r="B2494" s="27" t="s">
        <v>109</v>
      </c>
      <c r="C2494" s="27" t="s">
        <v>49</v>
      </c>
      <c r="D2494" s="27" t="s">
        <v>42</v>
      </c>
      <c r="E2494" s="28" t="n">
        <f aca="false">ROUND((SUMIFS(Acerto_Detalhado!$F$2:$F$433,Acerto_Detalhado!$A$2:$A$433,$C2494,Acerto_Detalhado!$B$2:$B$433,"Jul",Acerto_Detalhado!$C$2:$C$433,"Proteina"))*(SUMIFS(Acerto_Detalhado!$I$2:$I$433,Acerto_Detalhado!$A$2:$A$433,$D2494,Acerto_Detalhado!$B$2:$B$433,"Jul",Acerto_Detalhado!$C$2:$C$433,"Proteina")),2)</f>
        <v>0</v>
      </c>
    </row>
    <row r="2495" customFormat="false" ht="15" hidden="false" customHeight="false" outlineLevel="0" collapsed="false">
      <c r="A2495" s="27" t="s">
        <v>117</v>
      </c>
      <c r="B2495" s="27" t="s">
        <v>109</v>
      </c>
      <c r="C2495" s="27" t="s">
        <v>49</v>
      </c>
      <c r="D2495" s="27" t="s">
        <v>43</v>
      </c>
      <c r="E2495" s="28" t="n">
        <f aca="false">ROUND((SUMIFS(Acerto_Detalhado!$F$2:$F$433,Acerto_Detalhado!$A$2:$A$433,$C2495,Acerto_Detalhado!$B$2:$B$433,"Jul",Acerto_Detalhado!$C$2:$C$433,"Proteina"))*(SUMIFS(Acerto_Detalhado!$I$2:$I$433,Acerto_Detalhado!$A$2:$A$433,$D2495,Acerto_Detalhado!$B$2:$B$433,"Jul",Acerto_Detalhado!$C$2:$C$433,"Proteina")),2)</f>
        <v>0</v>
      </c>
    </row>
    <row r="2496" customFormat="false" ht="15" hidden="false" customHeight="false" outlineLevel="0" collapsed="false">
      <c r="A2496" s="27" t="s">
        <v>117</v>
      </c>
      <c r="B2496" s="27" t="s">
        <v>109</v>
      </c>
      <c r="C2496" s="27" t="s">
        <v>49</v>
      </c>
      <c r="D2496" s="27" t="s">
        <v>44</v>
      </c>
      <c r="E2496" s="28" t="n">
        <f aca="false">ROUND((SUMIFS(Acerto_Detalhado!$F$2:$F$433,Acerto_Detalhado!$A$2:$A$433,$C2496,Acerto_Detalhado!$B$2:$B$433,"Jul",Acerto_Detalhado!$C$2:$C$433,"Proteina"))*(SUMIFS(Acerto_Detalhado!$I$2:$I$433,Acerto_Detalhado!$A$2:$A$433,$D2496,Acerto_Detalhado!$B$2:$B$433,"Jul",Acerto_Detalhado!$C$2:$C$433,"Proteina")),2)</f>
        <v>0</v>
      </c>
    </row>
    <row r="2497" customFormat="false" ht="15" hidden="false" customHeight="false" outlineLevel="0" collapsed="false">
      <c r="A2497" s="27" t="s">
        <v>117</v>
      </c>
      <c r="B2497" s="27" t="s">
        <v>109</v>
      </c>
      <c r="C2497" s="27" t="s">
        <v>49</v>
      </c>
      <c r="D2497" s="27" t="s">
        <v>45</v>
      </c>
      <c r="E2497" s="28" t="n">
        <f aca="false">ROUND((SUMIFS(Acerto_Detalhado!$F$2:$F$433,Acerto_Detalhado!$A$2:$A$433,$C2497,Acerto_Detalhado!$B$2:$B$433,"Jul",Acerto_Detalhado!$C$2:$C$433,"Proteina"))*(SUMIFS(Acerto_Detalhado!$I$2:$I$433,Acerto_Detalhado!$A$2:$A$433,$D2497,Acerto_Detalhado!$B$2:$B$433,"Jul",Acerto_Detalhado!$C$2:$C$433,"Proteina")),2)</f>
        <v>0</v>
      </c>
    </row>
    <row r="2498" customFormat="false" ht="15" hidden="false" customHeight="false" outlineLevel="0" collapsed="false">
      <c r="A2498" s="27" t="s">
        <v>117</v>
      </c>
      <c r="B2498" s="27" t="s">
        <v>109</v>
      </c>
      <c r="C2498" s="27" t="s">
        <v>49</v>
      </c>
      <c r="D2498" s="27" t="s">
        <v>46</v>
      </c>
      <c r="E2498" s="28" t="n">
        <f aca="false">ROUND((SUMIFS(Acerto_Detalhado!$F$2:$F$433,Acerto_Detalhado!$A$2:$A$433,$C2498,Acerto_Detalhado!$B$2:$B$433,"Jul",Acerto_Detalhado!$C$2:$C$433,"Proteina"))*(SUMIFS(Acerto_Detalhado!$I$2:$I$433,Acerto_Detalhado!$A$2:$A$433,$D2498,Acerto_Detalhado!$B$2:$B$433,"Jul",Acerto_Detalhado!$C$2:$C$433,"Proteina")),2)</f>
        <v>0</v>
      </c>
    </row>
    <row r="2499" customFormat="false" ht="15" hidden="false" customHeight="false" outlineLevel="0" collapsed="false">
      <c r="A2499" s="27" t="s">
        <v>117</v>
      </c>
      <c r="B2499" s="27" t="s">
        <v>109</v>
      </c>
      <c r="C2499" s="27" t="s">
        <v>49</v>
      </c>
      <c r="D2499" s="27" t="s">
        <v>47</v>
      </c>
      <c r="E2499" s="28" t="n">
        <f aca="false">ROUND((SUMIFS(Acerto_Detalhado!$F$2:$F$433,Acerto_Detalhado!$A$2:$A$433,$C2499,Acerto_Detalhado!$B$2:$B$433,"Jul",Acerto_Detalhado!$C$2:$C$433,"Proteina"))*(SUMIFS(Acerto_Detalhado!$I$2:$I$433,Acerto_Detalhado!$A$2:$A$433,$D2499,Acerto_Detalhado!$B$2:$B$433,"Jul",Acerto_Detalhado!$C$2:$C$433,"Proteina")),2)</f>
        <v>0</v>
      </c>
    </row>
    <row r="2500" customFormat="false" ht="15" hidden="false" customHeight="false" outlineLevel="0" collapsed="false">
      <c r="A2500" s="27" t="s">
        <v>117</v>
      </c>
      <c r="B2500" s="27" t="s">
        <v>109</v>
      </c>
      <c r="C2500" s="27" t="s">
        <v>49</v>
      </c>
      <c r="D2500" s="27" t="s">
        <v>48</v>
      </c>
      <c r="E2500" s="28" t="n">
        <f aca="false">ROUND((SUMIFS(Acerto_Detalhado!$F$2:$F$433,Acerto_Detalhado!$A$2:$A$433,$C2500,Acerto_Detalhado!$B$2:$B$433,"Jul",Acerto_Detalhado!$C$2:$C$433,"Proteina"))*(SUMIFS(Acerto_Detalhado!$I$2:$I$433,Acerto_Detalhado!$A$2:$A$433,$D2500,Acerto_Detalhado!$B$2:$B$433,"Jul",Acerto_Detalhado!$C$2:$C$433,"Proteina")),2)</f>
        <v>0</v>
      </c>
    </row>
    <row r="2501" customFormat="false" ht="15" hidden="false" customHeight="false" outlineLevel="0" collapsed="false">
      <c r="A2501" s="27" t="s">
        <v>117</v>
      </c>
      <c r="B2501" s="27" t="s">
        <v>109</v>
      </c>
      <c r="C2501" s="27" t="s">
        <v>49</v>
      </c>
      <c r="D2501" s="27" t="s">
        <v>50</v>
      </c>
      <c r="E2501" s="28" t="n">
        <f aca="false">ROUND((SUMIFS(Acerto_Detalhado!$F$2:$F$433,Acerto_Detalhado!$A$2:$A$433,$C2501,Acerto_Detalhado!$B$2:$B$433,"Jul",Acerto_Detalhado!$C$2:$C$433,"Proteina"))*(SUMIFS(Acerto_Detalhado!$I$2:$I$433,Acerto_Detalhado!$A$2:$A$433,$D2501,Acerto_Detalhado!$B$2:$B$433,"Jul",Acerto_Detalhado!$C$2:$C$433,"Proteina")),2)</f>
        <v>0</v>
      </c>
    </row>
    <row r="2502" customFormat="false" ht="15" hidden="false" customHeight="false" outlineLevel="0" collapsed="false">
      <c r="A2502" s="27" t="s">
        <v>117</v>
      </c>
      <c r="B2502" s="27" t="s">
        <v>109</v>
      </c>
      <c r="C2502" s="27" t="s">
        <v>50</v>
      </c>
      <c r="D2502" s="27" t="s">
        <v>39</v>
      </c>
      <c r="E2502" s="28" t="n">
        <f aca="false">ROUND((SUMIFS(Acerto_Detalhado!$F$2:$F$433,Acerto_Detalhado!$A$2:$A$433,$C2502,Acerto_Detalhado!$B$2:$B$433,"Jul",Acerto_Detalhado!$C$2:$C$433,"Proteina"))*(SUMIFS(Acerto_Detalhado!$I$2:$I$433,Acerto_Detalhado!$A$2:$A$433,$D2502,Acerto_Detalhado!$B$2:$B$433,"Jul",Acerto_Detalhado!$C$2:$C$433,"Proteina")),2)</f>
        <v>0</v>
      </c>
    </row>
    <row r="2503" customFormat="false" ht="15" hidden="false" customHeight="false" outlineLevel="0" collapsed="false">
      <c r="A2503" s="27" t="s">
        <v>117</v>
      </c>
      <c r="B2503" s="27" t="s">
        <v>109</v>
      </c>
      <c r="C2503" s="27" t="s">
        <v>50</v>
      </c>
      <c r="D2503" s="27" t="s">
        <v>40</v>
      </c>
      <c r="E2503" s="28" t="n">
        <f aca="false">ROUND((SUMIFS(Acerto_Detalhado!$F$2:$F$433,Acerto_Detalhado!$A$2:$A$433,$C2503,Acerto_Detalhado!$B$2:$B$433,"Jul",Acerto_Detalhado!$C$2:$C$433,"Proteina"))*(SUMIFS(Acerto_Detalhado!$I$2:$I$433,Acerto_Detalhado!$A$2:$A$433,$D2503,Acerto_Detalhado!$B$2:$B$433,"Jul",Acerto_Detalhado!$C$2:$C$433,"Proteina")),2)</f>
        <v>0</v>
      </c>
    </row>
    <row r="2504" customFormat="false" ht="15" hidden="false" customHeight="false" outlineLevel="0" collapsed="false">
      <c r="A2504" s="27" t="s">
        <v>117</v>
      </c>
      <c r="B2504" s="27" t="s">
        <v>109</v>
      </c>
      <c r="C2504" s="27" t="s">
        <v>50</v>
      </c>
      <c r="D2504" s="27" t="s">
        <v>41</v>
      </c>
      <c r="E2504" s="28" t="n">
        <f aca="false">ROUND((SUMIFS(Acerto_Detalhado!$F$2:$F$433,Acerto_Detalhado!$A$2:$A$433,$C2504,Acerto_Detalhado!$B$2:$B$433,"Jul",Acerto_Detalhado!$C$2:$C$433,"Proteina"))*(SUMIFS(Acerto_Detalhado!$I$2:$I$433,Acerto_Detalhado!$A$2:$A$433,$D2504,Acerto_Detalhado!$B$2:$B$433,"Jul",Acerto_Detalhado!$C$2:$C$433,"Proteina")),2)</f>
        <v>0</v>
      </c>
    </row>
    <row r="2505" customFormat="false" ht="15" hidden="false" customHeight="false" outlineLevel="0" collapsed="false">
      <c r="A2505" s="27" t="s">
        <v>117</v>
      </c>
      <c r="B2505" s="27" t="s">
        <v>109</v>
      </c>
      <c r="C2505" s="27" t="s">
        <v>50</v>
      </c>
      <c r="D2505" s="27" t="s">
        <v>42</v>
      </c>
      <c r="E2505" s="28" t="n">
        <f aca="false">ROUND((SUMIFS(Acerto_Detalhado!$F$2:$F$433,Acerto_Detalhado!$A$2:$A$433,$C2505,Acerto_Detalhado!$B$2:$B$433,"Jul",Acerto_Detalhado!$C$2:$C$433,"Proteina"))*(SUMIFS(Acerto_Detalhado!$I$2:$I$433,Acerto_Detalhado!$A$2:$A$433,$D2505,Acerto_Detalhado!$B$2:$B$433,"Jul",Acerto_Detalhado!$C$2:$C$433,"Proteina")),2)</f>
        <v>0</v>
      </c>
    </row>
    <row r="2506" customFormat="false" ht="15" hidden="false" customHeight="false" outlineLevel="0" collapsed="false">
      <c r="A2506" s="27" t="s">
        <v>117</v>
      </c>
      <c r="B2506" s="27" t="s">
        <v>109</v>
      </c>
      <c r="C2506" s="27" t="s">
        <v>50</v>
      </c>
      <c r="D2506" s="27" t="s">
        <v>43</v>
      </c>
      <c r="E2506" s="28" t="n">
        <f aca="false">ROUND((SUMIFS(Acerto_Detalhado!$F$2:$F$433,Acerto_Detalhado!$A$2:$A$433,$C2506,Acerto_Detalhado!$B$2:$B$433,"Jul",Acerto_Detalhado!$C$2:$C$433,"Proteina"))*(SUMIFS(Acerto_Detalhado!$I$2:$I$433,Acerto_Detalhado!$A$2:$A$433,$D2506,Acerto_Detalhado!$B$2:$B$433,"Jul",Acerto_Detalhado!$C$2:$C$433,"Proteina")),2)</f>
        <v>0</v>
      </c>
    </row>
    <row r="2507" customFormat="false" ht="15" hidden="false" customHeight="false" outlineLevel="0" collapsed="false">
      <c r="A2507" s="27" t="s">
        <v>117</v>
      </c>
      <c r="B2507" s="27" t="s">
        <v>109</v>
      </c>
      <c r="C2507" s="27" t="s">
        <v>50</v>
      </c>
      <c r="D2507" s="27" t="s">
        <v>44</v>
      </c>
      <c r="E2507" s="28" t="n">
        <f aca="false">ROUND((SUMIFS(Acerto_Detalhado!$F$2:$F$433,Acerto_Detalhado!$A$2:$A$433,$C2507,Acerto_Detalhado!$B$2:$B$433,"Jul",Acerto_Detalhado!$C$2:$C$433,"Proteina"))*(SUMIFS(Acerto_Detalhado!$I$2:$I$433,Acerto_Detalhado!$A$2:$A$433,$D2507,Acerto_Detalhado!$B$2:$B$433,"Jul",Acerto_Detalhado!$C$2:$C$433,"Proteina")),2)</f>
        <v>0</v>
      </c>
    </row>
    <row r="2508" customFormat="false" ht="15" hidden="false" customHeight="false" outlineLevel="0" collapsed="false">
      <c r="A2508" s="27" t="s">
        <v>117</v>
      </c>
      <c r="B2508" s="27" t="s">
        <v>109</v>
      </c>
      <c r="C2508" s="27" t="s">
        <v>50</v>
      </c>
      <c r="D2508" s="27" t="s">
        <v>45</v>
      </c>
      <c r="E2508" s="28" t="n">
        <f aca="false">ROUND((SUMIFS(Acerto_Detalhado!$F$2:$F$433,Acerto_Detalhado!$A$2:$A$433,$C2508,Acerto_Detalhado!$B$2:$B$433,"Jul",Acerto_Detalhado!$C$2:$C$433,"Proteina"))*(SUMIFS(Acerto_Detalhado!$I$2:$I$433,Acerto_Detalhado!$A$2:$A$433,$D2508,Acerto_Detalhado!$B$2:$B$433,"Jul",Acerto_Detalhado!$C$2:$C$433,"Proteina")),2)</f>
        <v>0</v>
      </c>
    </row>
    <row r="2509" customFormat="false" ht="15" hidden="false" customHeight="false" outlineLevel="0" collapsed="false">
      <c r="A2509" s="27" t="s">
        <v>117</v>
      </c>
      <c r="B2509" s="27" t="s">
        <v>109</v>
      </c>
      <c r="C2509" s="27" t="s">
        <v>50</v>
      </c>
      <c r="D2509" s="27" t="s">
        <v>46</v>
      </c>
      <c r="E2509" s="28" t="n">
        <f aca="false">ROUND((SUMIFS(Acerto_Detalhado!$F$2:$F$433,Acerto_Detalhado!$A$2:$A$433,$C2509,Acerto_Detalhado!$B$2:$B$433,"Jul",Acerto_Detalhado!$C$2:$C$433,"Proteina"))*(SUMIFS(Acerto_Detalhado!$I$2:$I$433,Acerto_Detalhado!$A$2:$A$433,$D2509,Acerto_Detalhado!$B$2:$B$433,"Jul",Acerto_Detalhado!$C$2:$C$433,"Proteina")),2)</f>
        <v>0</v>
      </c>
    </row>
    <row r="2510" customFormat="false" ht="15" hidden="false" customHeight="false" outlineLevel="0" collapsed="false">
      <c r="A2510" s="27" t="s">
        <v>117</v>
      </c>
      <c r="B2510" s="27" t="s">
        <v>109</v>
      </c>
      <c r="C2510" s="27" t="s">
        <v>50</v>
      </c>
      <c r="D2510" s="27" t="s">
        <v>47</v>
      </c>
      <c r="E2510" s="28" t="n">
        <f aca="false">ROUND((SUMIFS(Acerto_Detalhado!$F$2:$F$433,Acerto_Detalhado!$A$2:$A$433,$C2510,Acerto_Detalhado!$B$2:$B$433,"Jul",Acerto_Detalhado!$C$2:$C$433,"Proteina"))*(SUMIFS(Acerto_Detalhado!$I$2:$I$433,Acerto_Detalhado!$A$2:$A$433,$D2510,Acerto_Detalhado!$B$2:$B$433,"Jul",Acerto_Detalhado!$C$2:$C$433,"Proteina")),2)</f>
        <v>0</v>
      </c>
    </row>
    <row r="2511" customFormat="false" ht="15" hidden="false" customHeight="false" outlineLevel="0" collapsed="false">
      <c r="A2511" s="27" t="s">
        <v>117</v>
      </c>
      <c r="B2511" s="27" t="s">
        <v>109</v>
      </c>
      <c r="C2511" s="27" t="s">
        <v>50</v>
      </c>
      <c r="D2511" s="27" t="s">
        <v>48</v>
      </c>
      <c r="E2511" s="28" t="n">
        <f aca="false">ROUND((SUMIFS(Acerto_Detalhado!$F$2:$F$433,Acerto_Detalhado!$A$2:$A$433,$C2511,Acerto_Detalhado!$B$2:$B$433,"Jul",Acerto_Detalhado!$C$2:$C$433,"Proteina"))*(SUMIFS(Acerto_Detalhado!$I$2:$I$433,Acerto_Detalhado!$A$2:$A$433,$D2511,Acerto_Detalhado!$B$2:$B$433,"Jul",Acerto_Detalhado!$C$2:$C$433,"Proteina")),2)</f>
        <v>0</v>
      </c>
    </row>
    <row r="2512" customFormat="false" ht="15" hidden="false" customHeight="false" outlineLevel="0" collapsed="false">
      <c r="A2512" s="27" t="s">
        <v>117</v>
      </c>
      <c r="B2512" s="27" t="s">
        <v>109</v>
      </c>
      <c r="C2512" s="27" t="s">
        <v>50</v>
      </c>
      <c r="D2512" s="27" t="s">
        <v>49</v>
      </c>
      <c r="E2512" s="28" t="n">
        <f aca="false">ROUND((SUMIFS(Acerto_Detalhado!$F$2:$F$433,Acerto_Detalhado!$A$2:$A$433,$C2512,Acerto_Detalhado!$B$2:$B$433,"Jul",Acerto_Detalhado!$C$2:$C$433,"Proteina"))*(SUMIFS(Acerto_Detalhado!$I$2:$I$433,Acerto_Detalhado!$A$2:$A$433,$D2512,Acerto_Detalhado!$B$2:$B$433,"Jul",Acerto_Detalhado!$C$2:$C$433,"Proteina")),2)</f>
        <v>0</v>
      </c>
    </row>
    <row r="2513" customFormat="false" ht="15" hidden="false" customHeight="false" outlineLevel="0" collapsed="false">
      <c r="A2513" s="27" t="s">
        <v>117</v>
      </c>
      <c r="B2513" s="27" t="s">
        <v>110</v>
      </c>
      <c r="C2513" s="27" t="s">
        <v>39</v>
      </c>
      <c r="D2513" s="27" t="s">
        <v>40</v>
      </c>
      <c r="E2513" s="28" t="n">
        <f aca="false">ROUND((SUMIFS(Acerto_Detalhado!$F$2:$F$433,Acerto_Detalhado!$A$2:$A$433,$C2513,Acerto_Detalhado!$B$2:$B$433,"Jul",Acerto_Detalhado!$C$2:$C$433,"Umidade"))*(SUMIFS(Acerto_Detalhado!$I$2:$I$433,Acerto_Detalhado!$A$2:$A$433,$D2513,Acerto_Detalhado!$B$2:$B$433,"Jul",Acerto_Detalhado!$C$2:$C$433,"Umidade")),2)</f>
        <v>0</v>
      </c>
    </row>
    <row r="2514" customFormat="false" ht="15" hidden="false" customHeight="false" outlineLevel="0" collapsed="false">
      <c r="A2514" s="27" t="s">
        <v>117</v>
      </c>
      <c r="B2514" s="27" t="s">
        <v>110</v>
      </c>
      <c r="C2514" s="27" t="s">
        <v>39</v>
      </c>
      <c r="D2514" s="27" t="s">
        <v>41</v>
      </c>
      <c r="E2514" s="28" t="n">
        <f aca="false">ROUND((SUMIFS(Acerto_Detalhado!$F$2:$F$433,Acerto_Detalhado!$A$2:$A$433,$C2514,Acerto_Detalhado!$B$2:$B$433,"Jul",Acerto_Detalhado!$C$2:$C$433,"Umidade"))*(SUMIFS(Acerto_Detalhado!$I$2:$I$433,Acerto_Detalhado!$A$2:$A$433,$D2514,Acerto_Detalhado!$B$2:$B$433,"Jul",Acerto_Detalhado!$C$2:$C$433,"Umidade")),2)</f>
        <v>0</v>
      </c>
    </row>
    <row r="2515" customFormat="false" ht="15" hidden="false" customHeight="false" outlineLevel="0" collapsed="false">
      <c r="A2515" s="27" t="s">
        <v>117</v>
      </c>
      <c r="B2515" s="27" t="s">
        <v>110</v>
      </c>
      <c r="C2515" s="27" t="s">
        <v>39</v>
      </c>
      <c r="D2515" s="27" t="s">
        <v>42</v>
      </c>
      <c r="E2515" s="28" t="n">
        <f aca="false">ROUND((SUMIFS(Acerto_Detalhado!$F$2:$F$433,Acerto_Detalhado!$A$2:$A$433,$C2515,Acerto_Detalhado!$B$2:$B$433,"Jul",Acerto_Detalhado!$C$2:$C$433,"Umidade"))*(SUMIFS(Acerto_Detalhado!$I$2:$I$433,Acerto_Detalhado!$A$2:$A$433,$D2515,Acerto_Detalhado!$B$2:$B$433,"Jul",Acerto_Detalhado!$C$2:$C$433,"Umidade")),2)</f>
        <v>0</v>
      </c>
    </row>
    <row r="2516" customFormat="false" ht="15" hidden="false" customHeight="false" outlineLevel="0" collapsed="false">
      <c r="A2516" s="27" t="s">
        <v>117</v>
      </c>
      <c r="B2516" s="27" t="s">
        <v>110</v>
      </c>
      <c r="C2516" s="27" t="s">
        <v>39</v>
      </c>
      <c r="D2516" s="27" t="s">
        <v>43</v>
      </c>
      <c r="E2516" s="28" t="n">
        <f aca="false">ROUND((SUMIFS(Acerto_Detalhado!$F$2:$F$433,Acerto_Detalhado!$A$2:$A$433,$C2516,Acerto_Detalhado!$B$2:$B$433,"Jul",Acerto_Detalhado!$C$2:$C$433,"Umidade"))*(SUMIFS(Acerto_Detalhado!$I$2:$I$433,Acerto_Detalhado!$A$2:$A$433,$D2516,Acerto_Detalhado!$B$2:$B$433,"Jul",Acerto_Detalhado!$C$2:$C$433,"Umidade")),2)</f>
        <v>0</v>
      </c>
    </row>
    <row r="2517" customFormat="false" ht="15" hidden="false" customHeight="false" outlineLevel="0" collapsed="false">
      <c r="A2517" s="27" t="s">
        <v>117</v>
      </c>
      <c r="B2517" s="27" t="s">
        <v>110</v>
      </c>
      <c r="C2517" s="27" t="s">
        <v>39</v>
      </c>
      <c r="D2517" s="27" t="s">
        <v>44</v>
      </c>
      <c r="E2517" s="28" t="n">
        <f aca="false">ROUND((SUMIFS(Acerto_Detalhado!$F$2:$F$433,Acerto_Detalhado!$A$2:$A$433,$C2517,Acerto_Detalhado!$B$2:$B$433,"Jul",Acerto_Detalhado!$C$2:$C$433,"Umidade"))*(SUMIFS(Acerto_Detalhado!$I$2:$I$433,Acerto_Detalhado!$A$2:$A$433,$D2517,Acerto_Detalhado!$B$2:$B$433,"Jul",Acerto_Detalhado!$C$2:$C$433,"Umidade")),2)</f>
        <v>0</v>
      </c>
    </row>
    <row r="2518" customFormat="false" ht="15" hidden="false" customHeight="false" outlineLevel="0" collapsed="false">
      <c r="A2518" s="27" t="s">
        <v>117</v>
      </c>
      <c r="B2518" s="27" t="s">
        <v>110</v>
      </c>
      <c r="C2518" s="27" t="s">
        <v>39</v>
      </c>
      <c r="D2518" s="27" t="s">
        <v>45</v>
      </c>
      <c r="E2518" s="28" t="n">
        <f aca="false">ROUND((SUMIFS(Acerto_Detalhado!$F$2:$F$433,Acerto_Detalhado!$A$2:$A$433,$C2518,Acerto_Detalhado!$B$2:$B$433,"Jul",Acerto_Detalhado!$C$2:$C$433,"Umidade"))*(SUMIFS(Acerto_Detalhado!$I$2:$I$433,Acerto_Detalhado!$A$2:$A$433,$D2518,Acerto_Detalhado!$B$2:$B$433,"Jul",Acerto_Detalhado!$C$2:$C$433,"Umidade")),2)</f>
        <v>0</v>
      </c>
    </row>
    <row r="2519" customFormat="false" ht="15" hidden="false" customHeight="false" outlineLevel="0" collapsed="false">
      <c r="A2519" s="27" t="s">
        <v>117</v>
      </c>
      <c r="B2519" s="27" t="s">
        <v>110</v>
      </c>
      <c r="C2519" s="27" t="s">
        <v>39</v>
      </c>
      <c r="D2519" s="27" t="s">
        <v>46</v>
      </c>
      <c r="E2519" s="28" t="n">
        <f aca="false">ROUND((SUMIFS(Acerto_Detalhado!$F$2:$F$433,Acerto_Detalhado!$A$2:$A$433,$C2519,Acerto_Detalhado!$B$2:$B$433,"Jul",Acerto_Detalhado!$C$2:$C$433,"Umidade"))*(SUMIFS(Acerto_Detalhado!$I$2:$I$433,Acerto_Detalhado!$A$2:$A$433,$D2519,Acerto_Detalhado!$B$2:$B$433,"Jul",Acerto_Detalhado!$C$2:$C$433,"Umidade")),2)</f>
        <v>0</v>
      </c>
    </row>
    <row r="2520" customFormat="false" ht="15" hidden="false" customHeight="false" outlineLevel="0" collapsed="false">
      <c r="A2520" s="27" t="s">
        <v>117</v>
      </c>
      <c r="B2520" s="27" t="s">
        <v>110</v>
      </c>
      <c r="C2520" s="27" t="s">
        <v>39</v>
      </c>
      <c r="D2520" s="27" t="s">
        <v>47</v>
      </c>
      <c r="E2520" s="28" t="n">
        <f aca="false">ROUND((SUMIFS(Acerto_Detalhado!$F$2:$F$433,Acerto_Detalhado!$A$2:$A$433,$C2520,Acerto_Detalhado!$B$2:$B$433,"Jul",Acerto_Detalhado!$C$2:$C$433,"Umidade"))*(SUMIFS(Acerto_Detalhado!$I$2:$I$433,Acerto_Detalhado!$A$2:$A$433,$D2520,Acerto_Detalhado!$B$2:$B$433,"Jul",Acerto_Detalhado!$C$2:$C$433,"Umidade")),2)</f>
        <v>0</v>
      </c>
    </row>
    <row r="2521" customFormat="false" ht="15" hidden="false" customHeight="false" outlineLevel="0" collapsed="false">
      <c r="A2521" s="27" t="s">
        <v>117</v>
      </c>
      <c r="B2521" s="27" t="s">
        <v>110</v>
      </c>
      <c r="C2521" s="27" t="s">
        <v>39</v>
      </c>
      <c r="D2521" s="27" t="s">
        <v>48</v>
      </c>
      <c r="E2521" s="28" t="n">
        <f aca="false">ROUND((SUMIFS(Acerto_Detalhado!$F$2:$F$433,Acerto_Detalhado!$A$2:$A$433,$C2521,Acerto_Detalhado!$B$2:$B$433,"Jul",Acerto_Detalhado!$C$2:$C$433,"Umidade"))*(SUMIFS(Acerto_Detalhado!$I$2:$I$433,Acerto_Detalhado!$A$2:$A$433,$D2521,Acerto_Detalhado!$B$2:$B$433,"Jul",Acerto_Detalhado!$C$2:$C$433,"Umidade")),2)</f>
        <v>0</v>
      </c>
    </row>
    <row r="2522" customFormat="false" ht="15" hidden="false" customHeight="false" outlineLevel="0" collapsed="false">
      <c r="A2522" s="27" t="s">
        <v>117</v>
      </c>
      <c r="B2522" s="27" t="s">
        <v>110</v>
      </c>
      <c r="C2522" s="27" t="s">
        <v>39</v>
      </c>
      <c r="D2522" s="27" t="s">
        <v>49</v>
      </c>
      <c r="E2522" s="28" t="n">
        <f aca="false">ROUND((SUMIFS(Acerto_Detalhado!$F$2:$F$433,Acerto_Detalhado!$A$2:$A$433,$C2522,Acerto_Detalhado!$B$2:$B$433,"Jul",Acerto_Detalhado!$C$2:$C$433,"Umidade"))*(SUMIFS(Acerto_Detalhado!$I$2:$I$433,Acerto_Detalhado!$A$2:$A$433,$D2522,Acerto_Detalhado!$B$2:$B$433,"Jul",Acerto_Detalhado!$C$2:$C$433,"Umidade")),2)</f>
        <v>0</v>
      </c>
    </row>
    <row r="2523" customFormat="false" ht="15" hidden="false" customHeight="false" outlineLevel="0" collapsed="false">
      <c r="A2523" s="27" t="s">
        <v>117</v>
      </c>
      <c r="B2523" s="27" t="s">
        <v>110</v>
      </c>
      <c r="C2523" s="27" t="s">
        <v>39</v>
      </c>
      <c r="D2523" s="27" t="s">
        <v>50</v>
      </c>
      <c r="E2523" s="28" t="n">
        <f aca="false">ROUND((SUMIFS(Acerto_Detalhado!$F$2:$F$433,Acerto_Detalhado!$A$2:$A$433,$C2523,Acerto_Detalhado!$B$2:$B$433,"Jul",Acerto_Detalhado!$C$2:$C$433,"Umidade"))*(SUMIFS(Acerto_Detalhado!$I$2:$I$433,Acerto_Detalhado!$A$2:$A$433,$D2523,Acerto_Detalhado!$B$2:$B$433,"Jul",Acerto_Detalhado!$C$2:$C$433,"Umidade")),2)</f>
        <v>0</v>
      </c>
    </row>
    <row r="2524" customFormat="false" ht="15" hidden="false" customHeight="false" outlineLevel="0" collapsed="false">
      <c r="A2524" s="27" t="s">
        <v>117</v>
      </c>
      <c r="B2524" s="27" t="s">
        <v>110</v>
      </c>
      <c r="C2524" s="27" t="s">
        <v>40</v>
      </c>
      <c r="D2524" s="27" t="s">
        <v>39</v>
      </c>
      <c r="E2524" s="28" t="n">
        <f aca="false">ROUND((SUMIFS(Acerto_Detalhado!$F$2:$F$433,Acerto_Detalhado!$A$2:$A$433,$C2524,Acerto_Detalhado!$B$2:$B$433,"Jul",Acerto_Detalhado!$C$2:$C$433,"Umidade"))*(SUMIFS(Acerto_Detalhado!$I$2:$I$433,Acerto_Detalhado!$A$2:$A$433,$D2524,Acerto_Detalhado!$B$2:$B$433,"Jul",Acerto_Detalhado!$C$2:$C$433,"Umidade")),2)</f>
        <v>0</v>
      </c>
    </row>
    <row r="2525" customFormat="false" ht="15" hidden="false" customHeight="false" outlineLevel="0" collapsed="false">
      <c r="A2525" s="27" t="s">
        <v>117</v>
      </c>
      <c r="B2525" s="27" t="s">
        <v>110</v>
      </c>
      <c r="C2525" s="27" t="s">
        <v>40</v>
      </c>
      <c r="D2525" s="27" t="s">
        <v>41</v>
      </c>
      <c r="E2525" s="28" t="n">
        <f aca="false">ROUND((SUMIFS(Acerto_Detalhado!$F$2:$F$433,Acerto_Detalhado!$A$2:$A$433,$C2525,Acerto_Detalhado!$B$2:$B$433,"Jul",Acerto_Detalhado!$C$2:$C$433,"Umidade"))*(SUMIFS(Acerto_Detalhado!$I$2:$I$433,Acerto_Detalhado!$A$2:$A$433,$D2525,Acerto_Detalhado!$B$2:$B$433,"Jul",Acerto_Detalhado!$C$2:$C$433,"Umidade")),2)</f>
        <v>0</v>
      </c>
    </row>
    <row r="2526" customFormat="false" ht="15" hidden="false" customHeight="false" outlineLevel="0" collapsed="false">
      <c r="A2526" s="27" t="s">
        <v>117</v>
      </c>
      <c r="B2526" s="27" t="s">
        <v>110</v>
      </c>
      <c r="C2526" s="27" t="s">
        <v>40</v>
      </c>
      <c r="D2526" s="27" t="s">
        <v>42</v>
      </c>
      <c r="E2526" s="28" t="n">
        <f aca="false">ROUND((SUMIFS(Acerto_Detalhado!$F$2:$F$433,Acerto_Detalhado!$A$2:$A$433,$C2526,Acerto_Detalhado!$B$2:$B$433,"Jul",Acerto_Detalhado!$C$2:$C$433,"Umidade"))*(SUMIFS(Acerto_Detalhado!$I$2:$I$433,Acerto_Detalhado!$A$2:$A$433,$D2526,Acerto_Detalhado!$B$2:$B$433,"Jul",Acerto_Detalhado!$C$2:$C$433,"Umidade")),2)</f>
        <v>0</v>
      </c>
    </row>
    <row r="2527" customFormat="false" ht="15" hidden="false" customHeight="false" outlineLevel="0" collapsed="false">
      <c r="A2527" s="27" t="s">
        <v>117</v>
      </c>
      <c r="B2527" s="27" t="s">
        <v>110</v>
      </c>
      <c r="C2527" s="27" t="s">
        <v>40</v>
      </c>
      <c r="D2527" s="27" t="s">
        <v>43</v>
      </c>
      <c r="E2527" s="28" t="n">
        <f aca="false">ROUND((SUMIFS(Acerto_Detalhado!$F$2:$F$433,Acerto_Detalhado!$A$2:$A$433,$C2527,Acerto_Detalhado!$B$2:$B$433,"Jul",Acerto_Detalhado!$C$2:$C$433,"Umidade"))*(SUMIFS(Acerto_Detalhado!$I$2:$I$433,Acerto_Detalhado!$A$2:$A$433,$D2527,Acerto_Detalhado!$B$2:$B$433,"Jul",Acerto_Detalhado!$C$2:$C$433,"Umidade")),2)</f>
        <v>0</v>
      </c>
    </row>
    <row r="2528" customFormat="false" ht="15" hidden="false" customHeight="false" outlineLevel="0" collapsed="false">
      <c r="A2528" s="27" t="s">
        <v>117</v>
      </c>
      <c r="B2528" s="27" t="s">
        <v>110</v>
      </c>
      <c r="C2528" s="27" t="s">
        <v>40</v>
      </c>
      <c r="D2528" s="27" t="s">
        <v>44</v>
      </c>
      <c r="E2528" s="28" t="n">
        <f aca="false">ROUND((SUMIFS(Acerto_Detalhado!$F$2:$F$433,Acerto_Detalhado!$A$2:$A$433,$C2528,Acerto_Detalhado!$B$2:$B$433,"Jul",Acerto_Detalhado!$C$2:$C$433,"Umidade"))*(SUMIFS(Acerto_Detalhado!$I$2:$I$433,Acerto_Detalhado!$A$2:$A$433,$D2528,Acerto_Detalhado!$B$2:$B$433,"Jul",Acerto_Detalhado!$C$2:$C$433,"Umidade")),2)</f>
        <v>0</v>
      </c>
    </row>
    <row r="2529" customFormat="false" ht="15" hidden="false" customHeight="false" outlineLevel="0" collapsed="false">
      <c r="A2529" s="27" t="s">
        <v>117</v>
      </c>
      <c r="B2529" s="27" t="s">
        <v>110</v>
      </c>
      <c r="C2529" s="27" t="s">
        <v>40</v>
      </c>
      <c r="D2529" s="27" t="s">
        <v>45</v>
      </c>
      <c r="E2529" s="28" t="n">
        <f aca="false">ROUND((SUMIFS(Acerto_Detalhado!$F$2:$F$433,Acerto_Detalhado!$A$2:$A$433,$C2529,Acerto_Detalhado!$B$2:$B$433,"Jul",Acerto_Detalhado!$C$2:$C$433,"Umidade"))*(SUMIFS(Acerto_Detalhado!$I$2:$I$433,Acerto_Detalhado!$A$2:$A$433,$D2529,Acerto_Detalhado!$B$2:$B$433,"Jul",Acerto_Detalhado!$C$2:$C$433,"Umidade")),2)</f>
        <v>0</v>
      </c>
    </row>
    <row r="2530" customFormat="false" ht="15" hidden="false" customHeight="false" outlineLevel="0" collapsed="false">
      <c r="A2530" s="27" t="s">
        <v>117</v>
      </c>
      <c r="B2530" s="27" t="s">
        <v>110</v>
      </c>
      <c r="C2530" s="27" t="s">
        <v>40</v>
      </c>
      <c r="D2530" s="27" t="s">
        <v>46</v>
      </c>
      <c r="E2530" s="28" t="n">
        <f aca="false">ROUND((SUMIFS(Acerto_Detalhado!$F$2:$F$433,Acerto_Detalhado!$A$2:$A$433,$C2530,Acerto_Detalhado!$B$2:$B$433,"Jul",Acerto_Detalhado!$C$2:$C$433,"Umidade"))*(SUMIFS(Acerto_Detalhado!$I$2:$I$433,Acerto_Detalhado!$A$2:$A$433,$D2530,Acerto_Detalhado!$B$2:$B$433,"Jul",Acerto_Detalhado!$C$2:$C$433,"Umidade")),2)</f>
        <v>0</v>
      </c>
    </row>
    <row r="2531" customFormat="false" ht="15" hidden="false" customHeight="false" outlineLevel="0" collapsed="false">
      <c r="A2531" s="27" t="s">
        <v>117</v>
      </c>
      <c r="B2531" s="27" t="s">
        <v>110</v>
      </c>
      <c r="C2531" s="27" t="s">
        <v>40</v>
      </c>
      <c r="D2531" s="27" t="s">
        <v>47</v>
      </c>
      <c r="E2531" s="28" t="n">
        <f aca="false">ROUND((SUMIFS(Acerto_Detalhado!$F$2:$F$433,Acerto_Detalhado!$A$2:$A$433,$C2531,Acerto_Detalhado!$B$2:$B$433,"Jul",Acerto_Detalhado!$C$2:$C$433,"Umidade"))*(SUMIFS(Acerto_Detalhado!$I$2:$I$433,Acerto_Detalhado!$A$2:$A$433,$D2531,Acerto_Detalhado!$B$2:$B$433,"Jul",Acerto_Detalhado!$C$2:$C$433,"Umidade")),2)</f>
        <v>0</v>
      </c>
    </row>
    <row r="2532" customFormat="false" ht="15" hidden="false" customHeight="false" outlineLevel="0" collapsed="false">
      <c r="A2532" s="27" t="s">
        <v>117</v>
      </c>
      <c r="B2532" s="27" t="s">
        <v>110</v>
      </c>
      <c r="C2532" s="27" t="s">
        <v>40</v>
      </c>
      <c r="D2532" s="27" t="s">
        <v>48</v>
      </c>
      <c r="E2532" s="28" t="n">
        <f aca="false">ROUND((SUMIFS(Acerto_Detalhado!$F$2:$F$433,Acerto_Detalhado!$A$2:$A$433,$C2532,Acerto_Detalhado!$B$2:$B$433,"Jul",Acerto_Detalhado!$C$2:$C$433,"Umidade"))*(SUMIFS(Acerto_Detalhado!$I$2:$I$433,Acerto_Detalhado!$A$2:$A$433,$D2532,Acerto_Detalhado!$B$2:$B$433,"Jul",Acerto_Detalhado!$C$2:$C$433,"Umidade")),2)</f>
        <v>0</v>
      </c>
    </row>
    <row r="2533" customFormat="false" ht="15" hidden="false" customHeight="false" outlineLevel="0" collapsed="false">
      <c r="A2533" s="27" t="s">
        <v>117</v>
      </c>
      <c r="B2533" s="27" t="s">
        <v>110</v>
      </c>
      <c r="C2533" s="27" t="s">
        <v>40</v>
      </c>
      <c r="D2533" s="27" t="s">
        <v>49</v>
      </c>
      <c r="E2533" s="28" t="n">
        <f aca="false">ROUND((SUMIFS(Acerto_Detalhado!$F$2:$F$433,Acerto_Detalhado!$A$2:$A$433,$C2533,Acerto_Detalhado!$B$2:$B$433,"Jul",Acerto_Detalhado!$C$2:$C$433,"Umidade"))*(SUMIFS(Acerto_Detalhado!$I$2:$I$433,Acerto_Detalhado!$A$2:$A$433,$D2533,Acerto_Detalhado!$B$2:$B$433,"Jul",Acerto_Detalhado!$C$2:$C$433,"Umidade")),2)</f>
        <v>0</v>
      </c>
    </row>
    <row r="2534" customFormat="false" ht="15" hidden="false" customHeight="false" outlineLevel="0" collapsed="false">
      <c r="A2534" s="27" t="s">
        <v>117</v>
      </c>
      <c r="B2534" s="27" t="s">
        <v>110</v>
      </c>
      <c r="C2534" s="27" t="s">
        <v>40</v>
      </c>
      <c r="D2534" s="27" t="s">
        <v>50</v>
      </c>
      <c r="E2534" s="28" t="n">
        <f aca="false">ROUND((SUMIFS(Acerto_Detalhado!$F$2:$F$433,Acerto_Detalhado!$A$2:$A$433,$C2534,Acerto_Detalhado!$B$2:$B$433,"Jul",Acerto_Detalhado!$C$2:$C$433,"Umidade"))*(SUMIFS(Acerto_Detalhado!$I$2:$I$433,Acerto_Detalhado!$A$2:$A$433,$D2534,Acerto_Detalhado!$B$2:$B$433,"Jul",Acerto_Detalhado!$C$2:$C$433,"Umidade")),2)</f>
        <v>0</v>
      </c>
    </row>
    <row r="2535" customFormat="false" ht="15" hidden="false" customHeight="false" outlineLevel="0" collapsed="false">
      <c r="A2535" s="27" t="s">
        <v>117</v>
      </c>
      <c r="B2535" s="27" t="s">
        <v>110</v>
      </c>
      <c r="C2535" s="27" t="s">
        <v>41</v>
      </c>
      <c r="D2535" s="27" t="s">
        <v>39</v>
      </c>
      <c r="E2535" s="28" t="n">
        <f aca="false">ROUND((SUMIFS(Acerto_Detalhado!$F$2:$F$433,Acerto_Detalhado!$A$2:$A$433,$C2535,Acerto_Detalhado!$B$2:$B$433,"Jul",Acerto_Detalhado!$C$2:$C$433,"Umidade"))*(SUMIFS(Acerto_Detalhado!$I$2:$I$433,Acerto_Detalhado!$A$2:$A$433,$D2535,Acerto_Detalhado!$B$2:$B$433,"Jul",Acerto_Detalhado!$C$2:$C$433,"Umidade")),2)</f>
        <v>9299.32</v>
      </c>
    </row>
    <row r="2536" customFormat="false" ht="15" hidden="false" customHeight="false" outlineLevel="0" collapsed="false">
      <c r="A2536" s="27" t="s">
        <v>117</v>
      </c>
      <c r="B2536" s="27" t="s">
        <v>110</v>
      </c>
      <c r="C2536" s="27" t="s">
        <v>41</v>
      </c>
      <c r="D2536" s="27" t="s">
        <v>40</v>
      </c>
      <c r="E2536" s="28" t="n">
        <f aca="false">ROUND((SUMIFS(Acerto_Detalhado!$F$2:$F$433,Acerto_Detalhado!$A$2:$A$433,$C2536,Acerto_Detalhado!$B$2:$B$433,"Jul",Acerto_Detalhado!$C$2:$C$433,"Umidade"))*(SUMIFS(Acerto_Detalhado!$I$2:$I$433,Acerto_Detalhado!$A$2:$A$433,$D2536,Acerto_Detalhado!$B$2:$B$433,"Jul",Acerto_Detalhado!$C$2:$C$433,"Umidade")),2)</f>
        <v>8911.98</v>
      </c>
    </row>
    <row r="2537" customFormat="false" ht="15" hidden="false" customHeight="false" outlineLevel="0" collapsed="false">
      <c r="A2537" s="27" t="s">
        <v>117</v>
      </c>
      <c r="B2537" s="27" t="s">
        <v>110</v>
      </c>
      <c r="C2537" s="27" t="s">
        <v>41</v>
      </c>
      <c r="D2537" s="27" t="s">
        <v>42</v>
      </c>
      <c r="E2537" s="28" t="n">
        <f aca="false">ROUND((SUMIFS(Acerto_Detalhado!$F$2:$F$433,Acerto_Detalhado!$A$2:$A$433,$C2537,Acerto_Detalhado!$B$2:$B$433,"Jul",Acerto_Detalhado!$C$2:$C$433,"Umidade"))*(SUMIFS(Acerto_Detalhado!$I$2:$I$433,Acerto_Detalhado!$A$2:$A$433,$D2537,Acerto_Detalhado!$B$2:$B$433,"Jul",Acerto_Detalhado!$C$2:$C$433,"Umidade")),2)</f>
        <v>0</v>
      </c>
    </row>
    <row r="2538" customFormat="false" ht="15" hidden="false" customHeight="false" outlineLevel="0" collapsed="false">
      <c r="A2538" s="27" t="s">
        <v>117</v>
      </c>
      <c r="B2538" s="27" t="s">
        <v>110</v>
      </c>
      <c r="C2538" s="27" t="s">
        <v>41</v>
      </c>
      <c r="D2538" s="27" t="s">
        <v>43</v>
      </c>
      <c r="E2538" s="28" t="n">
        <f aca="false">ROUND((SUMIFS(Acerto_Detalhado!$F$2:$F$433,Acerto_Detalhado!$A$2:$A$433,$C2538,Acerto_Detalhado!$B$2:$B$433,"Jul",Acerto_Detalhado!$C$2:$C$433,"Umidade"))*(SUMIFS(Acerto_Detalhado!$I$2:$I$433,Acerto_Detalhado!$A$2:$A$433,$D2538,Acerto_Detalhado!$B$2:$B$433,"Jul",Acerto_Detalhado!$C$2:$C$433,"Umidade")),2)</f>
        <v>14678.02</v>
      </c>
    </row>
    <row r="2539" customFormat="false" ht="15" hidden="false" customHeight="false" outlineLevel="0" collapsed="false">
      <c r="A2539" s="27" t="s">
        <v>117</v>
      </c>
      <c r="B2539" s="27" t="s">
        <v>110</v>
      </c>
      <c r="C2539" s="27" t="s">
        <v>41</v>
      </c>
      <c r="D2539" s="27" t="s">
        <v>44</v>
      </c>
      <c r="E2539" s="28" t="n">
        <f aca="false">ROUND((SUMIFS(Acerto_Detalhado!$F$2:$F$433,Acerto_Detalhado!$A$2:$A$433,$C2539,Acerto_Detalhado!$B$2:$B$433,"Jul",Acerto_Detalhado!$C$2:$C$433,"Umidade"))*(SUMIFS(Acerto_Detalhado!$I$2:$I$433,Acerto_Detalhado!$A$2:$A$433,$D2539,Acerto_Detalhado!$B$2:$B$433,"Jul",Acerto_Detalhado!$C$2:$C$433,"Umidade")),2)</f>
        <v>9975</v>
      </c>
    </row>
    <row r="2540" customFormat="false" ht="15" hidden="false" customHeight="false" outlineLevel="0" collapsed="false">
      <c r="A2540" s="27" t="s">
        <v>117</v>
      </c>
      <c r="B2540" s="27" t="s">
        <v>110</v>
      </c>
      <c r="C2540" s="27" t="s">
        <v>41</v>
      </c>
      <c r="D2540" s="27" t="s">
        <v>45</v>
      </c>
      <c r="E2540" s="28" t="n">
        <f aca="false">ROUND((SUMIFS(Acerto_Detalhado!$F$2:$F$433,Acerto_Detalhado!$A$2:$A$433,$C2540,Acerto_Detalhado!$B$2:$B$433,"Jul",Acerto_Detalhado!$C$2:$C$433,"Umidade"))*(SUMIFS(Acerto_Detalhado!$I$2:$I$433,Acerto_Detalhado!$A$2:$A$433,$D2540,Acerto_Detalhado!$B$2:$B$433,"Jul",Acerto_Detalhado!$C$2:$C$433,"Umidade")),2)</f>
        <v>20036.34</v>
      </c>
    </row>
    <row r="2541" customFormat="false" ht="15" hidden="false" customHeight="false" outlineLevel="0" collapsed="false">
      <c r="A2541" s="27" t="s">
        <v>117</v>
      </c>
      <c r="B2541" s="27" t="s">
        <v>110</v>
      </c>
      <c r="C2541" s="27" t="s">
        <v>41</v>
      </c>
      <c r="D2541" s="27" t="s">
        <v>46</v>
      </c>
      <c r="E2541" s="28" t="n">
        <f aca="false">ROUND((SUMIFS(Acerto_Detalhado!$F$2:$F$433,Acerto_Detalhado!$A$2:$A$433,$C2541,Acerto_Detalhado!$B$2:$B$433,"Jul",Acerto_Detalhado!$C$2:$C$433,"Umidade"))*(SUMIFS(Acerto_Detalhado!$I$2:$I$433,Acerto_Detalhado!$A$2:$A$433,$D2541,Acerto_Detalhado!$B$2:$B$433,"Jul",Acerto_Detalhado!$C$2:$C$433,"Umidade")),2)</f>
        <v>0</v>
      </c>
    </row>
    <row r="2542" customFormat="false" ht="15" hidden="false" customHeight="false" outlineLevel="0" collapsed="false">
      <c r="A2542" s="27" t="s">
        <v>117</v>
      </c>
      <c r="B2542" s="27" t="s">
        <v>110</v>
      </c>
      <c r="C2542" s="27" t="s">
        <v>41</v>
      </c>
      <c r="D2542" s="27" t="s">
        <v>47</v>
      </c>
      <c r="E2542" s="28" t="n">
        <f aca="false">ROUND((SUMIFS(Acerto_Detalhado!$F$2:$F$433,Acerto_Detalhado!$A$2:$A$433,$C2542,Acerto_Detalhado!$B$2:$B$433,"Jul",Acerto_Detalhado!$C$2:$C$433,"Umidade"))*(SUMIFS(Acerto_Detalhado!$I$2:$I$433,Acerto_Detalhado!$A$2:$A$433,$D2542,Acerto_Detalhado!$B$2:$B$433,"Jul",Acerto_Detalhado!$C$2:$C$433,"Umidade")),2)</f>
        <v>0</v>
      </c>
    </row>
    <row r="2543" customFormat="false" ht="15" hidden="false" customHeight="false" outlineLevel="0" collapsed="false">
      <c r="A2543" s="27" t="s">
        <v>117</v>
      </c>
      <c r="B2543" s="27" t="s">
        <v>110</v>
      </c>
      <c r="C2543" s="27" t="s">
        <v>41</v>
      </c>
      <c r="D2543" s="27" t="s">
        <v>48</v>
      </c>
      <c r="E2543" s="28" t="n">
        <f aca="false">ROUND((SUMIFS(Acerto_Detalhado!$F$2:$F$433,Acerto_Detalhado!$A$2:$A$433,$C2543,Acerto_Detalhado!$B$2:$B$433,"Jul",Acerto_Detalhado!$C$2:$C$433,"Umidade"))*(SUMIFS(Acerto_Detalhado!$I$2:$I$433,Acerto_Detalhado!$A$2:$A$433,$D2543,Acerto_Detalhado!$B$2:$B$433,"Jul",Acerto_Detalhado!$C$2:$C$433,"Umidade")),2)</f>
        <v>11096.46</v>
      </c>
    </row>
    <row r="2544" customFormat="false" ht="15" hidden="false" customHeight="false" outlineLevel="0" collapsed="false">
      <c r="A2544" s="27" t="s">
        <v>117</v>
      </c>
      <c r="B2544" s="27" t="s">
        <v>110</v>
      </c>
      <c r="C2544" s="27" t="s">
        <v>41</v>
      </c>
      <c r="D2544" s="27" t="s">
        <v>49</v>
      </c>
      <c r="E2544" s="28" t="n">
        <f aca="false">ROUND((SUMIFS(Acerto_Detalhado!$F$2:$F$433,Acerto_Detalhado!$A$2:$A$433,$C2544,Acerto_Detalhado!$B$2:$B$433,"Jul",Acerto_Detalhado!$C$2:$C$433,"Umidade"))*(SUMIFS(Acerto_Detalhado!$I$2:$I$433,Acerto_Detalhado!$A$2:$A$433,$D2544,Acerto_Detalhado!$B$2:$B$433,"Jul",Acerto_Detalhado!$C$2:$C$433,"Umidade")),2)</f>
        <v>0</v>
      </c>
    </row>
    <row r="2545" customFormat="false" ht="15" hidden="false" customHeight="false" outlineLevel="0" collapsed="false">
      <c r="A2545" s="27" t="s">
        <v>117</v>
      </c>
      <c r="B2545" s="27" t="s">
        <v>110</v>
      </c>
      <c r="C2545" s="27" t="s">
        <v>41</v>
      </c>
      <c r="D2545" s="27" t="s">
        <v>50</v>
      </c>
      <c r="E2545" s="28" t="n">
        <f aca="false">ROUND((SUMIFS(Acerto_Detalhado!$F$2:$F$433,Acerto_Detalhado!$A$2:$A$433,$C2545,Acerto_Detalhado!$B$2:$B$433,"Jul",Acerto_Detalhado!$C$2:$C$433,"Umidade"))*(SUMIFS(Acerto_Detalhado!$I$2:$I$433,Acerto_Detalhado!$A$2:$A$433,$D2545,Acerto_Detalhado!$B$2:$B$433,"Jul",Acerto_Detalhado!$C$2:$C$433,"Umidade")),2)</f>
        <v>0</v>
      </c>
    </row>
    <row r="2546" customFormat="false" ht="15" hidden="false" customHeight="false" outlineLevel="0" collapsed="false">
      <c r="A2546" s="27" t="s">
        <v>117</v>
      </c>
      <c r="B2546" s="27" t="s">
        <v>110</v>
      </c>
      <c r="C2546" s="27" t="s">
        <v>42</v>
      </c>
      <c r="D2546" s="27" t="s">
        <v>39</v>
      </c>
      <c r="E2546" s="28" t="n">
        <f aca="false">ROUND((SUMIFS(Acerto_Detalhado!$F$2:$F$433,Acerto_Detalhado!$A$2:$A$433,$C2546,Acerto_Detalhado!$B$2:$B$433,"Jul",Acerto_Detalhado!$C$2:$C$433,"Umidade"))*(SUMIFS(Acerto_Detalhado!$I$2:$I$433,Acerto_Detalhado!$A$2:$A$433,$D2546,Acerto_Detalhado!$B$2:$B$433,"Jul",Acerto_Detalhado!$C$2:$C$433,"Umidade")),2)</f>
        <v>521.7</v>
      </c>
    </row>
    <row r="2547" customFormat="false" ht="15" hidden="false" customHeight="false" outlineLevel="0" collapsed="false">
      <c r="A2547" s="27" t="s">
        <v>117</v>
      </c>
      <c r="B2547" s="27" t="s">
        <v>110</v>
      </c>
      <c r="C2547" s="27" t="s">
        <v>42</v>
      </c>
      <c r="D2547" s="27" t="s">
        <v>40</v>
      </c>
      <c r="E2547" s="28" t="n">
        <f aca="false">ROUND((SUMIFS(Acerto_Detalhado!$F$2:$F$433,Acerto_Detalhado!$A$2:$A$433,$C2547,Acerto_Detalhado!$B$2:$B$433,"Jul",Acerto_Detalhado!$C$2:$C$433,"Umidade"))*(SUMIFS(Acerto_Detalhado!$I$2:$I$433,Acerto_Detalhado!$A$2:$A$433,$D2547,Acerto_Detalhado!$B$2:$B$433,"Jul",Acerto_Detalhado!$C$2:$C$433,"Umidade")),2)</f>
        <v>499.97</v>
      </c>
    </row>
    <row r="2548" customFormat="false" ht="15" hidden="false" customHeight="false" outlineLevel="0" collapsed="false">
      <c r="A2548" s="27" t="s">
        <v>117</v>
      </c>
      <c r="B2548" s="27" t="s">
        <v>110</v>
      </c>
      <c r="C2548" s="27" t="s">
        <v>42</v>
      </c>
      <c r="D2548" s="27" t="s">
        <v>41</v>
      </c>
      <c r="E2548" s="28" t="n">
        <f aca="false">ROUND((SUMIFS(Acerto_Detalhado!$F$2:$F$433,Acerto_Detalhado!$A$2:$A$433,$C2548,Acerto_Detalhado!$B$2:$B$433,"Jul",Acerto_Detalhado!$C$2:$C$433,"Umidade"))*(SUMIFS(Acerto_Detalhado!$I$2:$I$433,Acerto_Detalhado!$A$2:$A$433,$D2548,Acerto_Detalhado!$B$2:$B$433,"Jul",Acerto_Detalhado!$C$2:$C$433,"Umidade")),2)</f>
        <v>0</v>
      </c>
    </row>
    <row r="2549" customFormat="false" ht="15" hidden="false" customHeight="false" outlineLevel="0" collapsed="false">
      <c r="A2549" s="27" t="s">
        <v>117</v>
      </c>
      <c r="B2549" s="27" t="s">
        <v>110</v>
      </c>
      <c r="C2549" s="27" t="s">
        <v>42</v>
      </c>
      <c r="D2549" s="27" t="s">
        <v>43</v>
      </c>
      <c r="E2549" s="28" t="n">
        <f aca="false">ROUND((SUMIFS(Acerto_Detalhado!$F$2:$F$433,Acerto_Detalhado!$A$2:$A$433,$C2549,Acerto_Detalhado!$B$2:$B$433,"Jul",Acerto_Detalhado!$C$2:$C$433,"Umidade"))*(SUMIFS(Acerto_Detalhado!$I$2:$I$433,Acerto_Detalhado!$A$2:$A$433,$D2549,Acerto_Detalhado!$B$2:$B$433,"Jul",Acerto_Detalhado!$C$2:$C$433,"Umidade")),2)</f>
        <v>823.44</v>
      </c>
    </row>
    <row r="2550" customFormat="false" ht="15" hidden="false" customHeight="false" outlineLevel="0" collapsed="false">
      <c r="A2550" s="27" t="s">
        <v>117</v>
      </c>
      <c r="B2550" s="27" t="s">
        <v>110</v>
      </c>
      <c r="C2550" s="27" t="s">
        <v>42</v>
      </c>
      <c r="D2550" s="27" t="s">
        <v>44</v>
      </c>
      <c r="E2550" s="28" t="n">
        <f aca="false">ROUND((SUMIFS(Acerto_Detalhado!$F$2:$F$433,Acerto_Detalhado!$A$2:$A$433,$C2550,Acerto_Detalhado!$B$2:$B$433,"Jul",Acerto_Detalhado!$C$2:$C$433,"Umidade"))*(SUMIFS(Acerto_Detalhado!$I$2:$I$433,Acerto_Detalhado!$A$2:$A$433,$D2550,Acerto_Detalhado!$B$2:$B$433,"Jul",Acerto_Detalhado!$C$2:$C$433,"Umidade")),2)</f>
        <v>559.6</v>
      </c>
    </row>
    <row r="2551" customFormat="false" ht="15" hidden="false" customHeight="false" outlineLevel="0" collapsed="false">
      <c r="A2551" s="27" t="s">
        <v>117</v>
      </c>
      <c r="B2551" s="27" t="s">
        <v>110</v>
      </c>
      <c r="C2551" s="27" t="s">
        <v>42</v>
      </c>
      <c r="D2551" s="27" t="s">
        <v>45</v>
      </c>
      <c r="E2551" s="28" t="n">
        <f aca="false">ROUND((SUMIFS(Acerto_Detalhado!$F$2:$F$433,Acerto_Detalhado!$A$2:$A$433,$C2551,Acerto_Detalhado!$B$2:$B$433,"Jul",Acerto_Detalhado!$C$2:$C$433,"Umidade"))*(SUMIFS(Acerto_Detalhado!$I$2:$I$433,Acerto_Detalhado!$A$2:$A$433,$D2551,Acerto_Detalhado!$B$2:$B$433,"Jul",Acerto_Detalhado!$C$2:$C$433,"Umidade")),2)</f>
        <v>1124.05</v>
      </c>
    </row>
    <row r="2552" customFormat="false" ht="15" hidden="false" customHeight="false" outlineLevel="0" collapsed="false">
      <c r="A2552" s="27" t="s">
        <v>117</v>
      </c>
      <c r="B2552" s="27" t="s">
        <v>110</v>
      </c>
      <c r="C2552" s="27" t="s">
        <v>42</v>
      </c>
      <c r="D2552" s="27" t="s">
        <v>46</v>
      </c>
      <c r="E2552" s="28" t="n">
        <f aca="false">ROUND((SUMIFS(Acerto_Detalhado!$F$2:$F$433,Acerto_Detalhado!$A$2:$A$433,$C2552,Acerto_Detalhado!$B$2:$B$433,"Jul",Acerto_Detalhado!$C$2:$C$433,"Umidade"))*(SUMIFS(Acerto_Detalhado!$I$2:$I$433,Acerto_Detalhado!$A$2:$A$433,$D2552,Acerto_Detalhado!$B$2:$B$433,"Jul",Acerto_Detalhado!$C$2:$C$433,"Umidade")),2)</f>
        <v>0</v>
      </c>
    </row>
    <row r="2553" customFormat="false" ht="15" hidden="false" customHeight="false" outlineLevel="0" collapsed="false">
      <c r="A2553" s="27" t="s">
        <v>117</v>
      </c>
      <c r="B2553" s="27" t="s">
        <v>110</v>
      </c>
      <c r="C2553" s="27" t="s">
        <v>42</v>
      </c>
      <c r="D2553" s="27" t="s">
        <v>47</v>
      </c>
      <c r="E2553" s="28" t="n">
        <f aca="false">ROUND((SUMIFS(Acerto_Detalhado!$F$2:$F$433,Acerto_Detalhado!$A$2:$A$433,$C2553,Acerto_Detalhado!$B$2:$B$433,"Jul",Acerto_Detalhado!$C$2:$C$433,"Umidade"))*(SUMIFS(Acerto_Detalhado!$I$2:$I$433,Acerto_Detalhado!$A$2:$A$433,$D2553,Acerto_Detalhado!$B$2:$B$433,"Jul",Acerto_Detalhado!$C$2:$C$433,"Umidade")),2)</f>
        <v>0</v>
      </c>
    </row>
    <row r="2554" customFormat="false" ht="15" hidden="false" customHeight="false" outlineLevel="0" collapsed="false">
      <c r="A2554" s="27" t="s">
        <v>117</v>
      </c>
      <c r="B2554" s="27" t="s">
        <v>110</v>
      </c>
      <c r="C2554" s="27" t="s">
        <v>42</v>
      </c>
      <c r="D2554" s="27" t="s">
        <v>48</v>
      </c>
      <c r="E2554" s="28" t="n">
        <f aca="false">ROUND((SUMIFS(Acerto_Detalhado!$F$2:$F$433,Acerto_Detalhado!$A$2:$A$433,$C2554,Acerto_Detalhado!$B$2:$B$433,"Jul",Acerto_Detalhado!$C$2:$C$433,"Umidade"))*(SUMIFS(Acerto_Detalhado!$I$2:$I$433,Acerto_Detalhado!$A$2:$A$433,$D2554,Acerto_Detalhado!$B$2:$B$433,"Jul",Acerto_Detalhado!$C$2:$C$433,"Umidade")),2)</f>
        <v>622.52</v>
      </c>
    </row>
    <row r="2555" customFormat="false" ht="15" hidden="false" customHeight="false" outlineLevel="0" collapsed="false">
      <c r="A2555" s="27" t="s">
        <v>117</v>
      </c>
      <c r="B2555" s="27" t="s">
        <v>110</v>
      </c>
      <c r="C2555" s="27" t="s">
        <v>42</v>
      </c>
      <c r="D2555" s="27" t="s">
        <v>49</v>
      </c>
      <c r="E2555" s="28" t="n">
        <f aca="false">ROUND((SUMIFS(Acerto_Detalhado!$F$2:$F$433,Acerto_Detalhado!$A$2:$A$433,$C2555,Acerto_Detalhado!$B$2:$B$433,"Jul",Acerto_Detalhado!$C$2:$C$433,"Umidade"))*(SUMIFS(Acerto_Detalhado!$I$2:$I$433,Acerto_Detalhado!$A$2:$A$433,$D2555,Acerto_Detalhado!$B$2:$B$433,"Jul",Acerto_Detalhado!$C$2:$C$433,"Umidade")),2)</f>
        <v>0</v>
      </c>
    </row>
    <row r="2556" customFormat="false" ht="15" hidden="false" customHeight="false" outlineLevel="0" collapsed="false">
      <c r="A2556" s="27" t="s">
        <v>117</v>
      </c>
      <c r="B2556" s="27" t="s">
        <v>110</v>
      </c>
      <c r="C2556" s="27" t="s">
        <v>42</v>
      </c>
      <c r="D2556" s="27" t="s">
        <v>50</v>
      </c>
      <c r="E2556" s="28" t="n">
        <f aca="false">ROUND((SUMIFS(Acerto_Detalhado!$F$2:$F$433,Acerto_Detalhado!$A$2:$A$433,$C2556,Acerto_Detalhado!$B$2:$B$433,"Jul",Acerto_Detalhado!$C$2:$C$433,"Umidade"))*(SUMIFS(Acerto_Detalhado!$I$2:$I$433,Acerto_Detalhado!$A$2:$A$433,$D2556,Acerto_Detalhado!$B$2:$B$433,"Jul",Acerto_Detalhado!$C$2:$C$433,"Umidade")),2)</f>
        <v>0</v>
      </c>
    </row>
    <row r="2557" customFormat="false" ht="15" hidden="false" customHeight="false" outlineLevel="0" collapsed="false">
      <c r="A2557" s="27" t="s">
        <v>117</v>
      </c>
      <c r="B2557" s="27" t="s">
        <v>110</v>
      </c>
      <c r="C2557" s="27" t="s">
        <v>43</v>
      </c>
      <c r="D2557" s="27" t="s">
        <v>39</v>
      </c>
      <c r="E2557" s="28" t="n">
        <f aca="false">ROUND((SUMIFS(Acerto_Detalhado!$F$2:$F$433,Acerto_Detalhado!$A$2:$A$433,$C2557,Acerto_Detalhado!$B$2:$B$433,"Jul",Acerto_Detalhado!$C$2:$C$433,"Umidade"))*(SUMIFS(Acerto_Detalhado!$I$2:$I$433,Acerto_Detalhado!$A$2:$A$433,$D2557,Acerto_Detalhado!$B$2:$B$433,"Jul",Acerto_Detalhado!$C$2:$C$433,"Umidade")),2)</f>
        <v>0</v>
      </c>
    </row>
    <row r="2558" customFormat="false" ht="15" hidden="false" customHeight="false" outlineLevel="0" collapsed="false">
      <c r="A2558" s="27" t="s">
        <v>117</v>
      </c>
      <c r="B2558" s="27" t="s">
        <v>110</v>
      </c>
      <c r="C2558" s="27" t="s">
        <v>43</v>
      </c>
      <c r="D2558" s="27" t="s">
        <v>40</v>
      </c>
      <c r="E2558" s="28" t="n">
        <f aca="false">ROUND((SUMIFS(Acerto_Detalhado!$F$2:$F$433,Acerto_Detalhado!$A$2:$A$433,$C2558,Acerto_Detalhado!$B$2:$B$433,"Jul",Acerto_Detalhado!$C$2:$C$433,"Umidade"))*(SUMIFS(Acerto_Detalhado!$I$2:$I$433,Acerto_Detalhado!$A$2:$A$433,$D2558,Acerto_Detalhado!$B$2:$B$433,"Jul",Acerto_Detalhado!$C$2:$C$433,"Umidade")),2)</f>
        <v>0</v>
      </c>
    </row>
    <row r="2559" customFormat="false" ht="15" hidden="false" customHeight="false" outlineLevel="0" collapsed="false">
      <c r="A2559" s="27" t="s">
        <v>117</v>
      </c>
      <c r="B2559" s="27" t="s">
        <v>110</v>
      </c>
      <c r="C2559" s="27" t="s">
        <v>43</v>
      </c>
      <c r="D2559" s="27" t="s">
        <v>41</v>
      </c>
      <c r="E2559" s="28" t="n">
        <f aca="false">ROUND((SUMIFS(Acerto_Detalhado!$F$2:$F$433,Acerto_Detalhado!$A$2:$A$433,$C2559,Acerto_Detalhado!$B$2:$B$433,"Jul",Acerto_Detalhado!$C$2:$C$433,"Umidade"))*(SUMIFS(Acerto_Detalhado!$I$2:$I$433,Acerto_Detalhado!$A$2:$A$433,$D2559,Acerto_Detalhado!$B$2:$B$433,"Jul",Acerto_Detalhado!$C$2:$C$433,"Umidade")),2)</f>
        <v>0</v>
      </c>
    </row>
    <row r="2560" customFormat="false" ht="15" hidden="false" customHeight="false" outlineLevel="0" collapsed="false">
      <c r="A2560" s="27" t="s">
        <v>117</v>
      </c>
      <c r="B2560" s="27" t="s">
        <v>110</v>
      </c>
      <c r="C2560" s="27" t="s">
        <v>43</v>
      </c>
      <c r="D2560" s="27" t="s">
        <v>42</v>
      </c>
      <c r="E2560" s="28" t="n">
        <f aca="false">ROUND((SUMIFS(Acerto_Detalhado!$F$2:$F$433,Acerto_Detalhado!$A$2:$A$433,$C2560,Acerto_Detalhado!$B$2:$B$433,"Jul",Acerto_Detalhado!$C$2:$C$433,"Umidade"))*(SUMIFS(Acerto_Detalhado!$I$2:$I$433,Acerto_Detalhado!$A$2:$A$433,$D2560,Acerto_Detalhado!$B$2:$B$433,"Jul",Acerto_Detalhado!$C$2:$C$433,"Umidade")),2)</f>
        <v>0</v>
      </c>
    </row>
    <row r="2561" customFormat="false" ht="15" hidden="false" customHeight="false" outlineLevel="0" collapsed="false">
      <c r="A2561" s="27" t="s">
        <v>117</v>
      </c>
      <c r="B2561" s="27" t="s">
        <v>110</v>
      </c>
      <c r="C2561" s="27" t="s">
        <v>43</v>
      </c>
      <c r="D2561" s="27" t="s">
        <v>44</v>
      </c>
      <c r="E2561" s="28" t="n">
        <f aca="false">ROUND((SUMIFS(Acerto_Detalhado!$F$2:$F$433,Acerto_Detalhado!$A$2:$A$433,$C2561,Acerto_Detalhado!$B$2:$B$433,"Jul",Acerto_Detalhado!$C$2:$C$433,"Umidade"))*(SUMIFS(Acerto_Detalhado!$I$2:$I$433,Acerto_Detalhado!$A$2:$A$433,$D2561,Acerto_Detalhado!$B$2:$B$433,"Jul",Acerto_Detalhado!$C$2:$C$433,"Umidade")),2)</f>
        <v>0</v>
      </c>
    </row>
    <row r="2562" customFormat="false" ht="15" hidden="false" customHeight="false" outlineLevel="0" collapsed="false">
      <c r="A2562" s="27" t="s">
        <v>117</v>
      </c>
      <c r="B2562" s="27" t="s">
        <v>110</v>
      </c>
      <c r="C2562" s="27" t="s">
        <v>43</v>
      </c>
      <c r="D2562" s="27" t="s">
        <v>45</v>
      </c>
      <c r="E2562" s="28" t="n">
        <f aca="false">ROUND((SUMIFS(Acerto_Detalhado!$F$2:$F$433,Acerto_Detalhado!$A$2:$A$433,$C2562,Acerto_Detalhado!$B$2:$B$433,"Jul",Acerto_Detalhado!$C$2:$C$433,"Umidade"))*(SUMIFS(Acerto_Detalhado!$I$2:$I$433,Acerto_Detalhado!$A$2:$A$433,$D2562,Acerto_Detalhado!$B$2:$B$433,"Jul",Acerto_Detalhado!$C$2:$C$433,"Umidade")),2)</f>
        <v>0</v>
      </c>
    </row>
    <row r="2563" customFormat="false" ht="15" hidden="false" customHeight="false" outlineLevel="0" collapsed="false">
      <c r="A2563" s="27" t="s">
        <v>117</v>
      </c>
      <c r="B2563" s="27" t="s">
        <v>110</v>
      </c>
      <c r="C2563" s="27" t="s">
        <v>43</v>
      </c>
      <c r="D2563" s="27" t="s">
        <v>46</v>
      </c>
      <c r="E2563" s="28" t="n">
        <f aca="false">ROUND((SUMIFS(Acerto_Detalhado!$F$2:$F$433,Acerto_Detalhado!$A$2:$A$433,$C2563,Acerto_Detalhado!$B$2:$B$433,"Jul",Acerto_Detalhado!$C$2:$C$433,"Umidade"))*(SUMIFS(Acerto_Detalhado!$I$2:$I$433,Acerto_Detalhado!$A$2:$A$433,$D2563,Acerto_Detalhado!$B$2:$B$433,"Jul",Acerto_Detalhado!$C$2:$C$433,"Umidade")),2)</f>
        <v>0</v>
      </c>
    </row>
    <row r="2564" customFormat="false" ht="15" hidden="false" customHeight="false" outlineLevel="0" collapsed="false">
      <c r="A2564" s="27" t="s">
        <v>117</v>
      </c>
      <c r="B2564" s="27" t="s">
        <v>110</v>
      </c>
      <c r="C2564" s="27" t="s">
        <v>43</v>
      </c>
      <c r="D2564" s="27" t="s">
        <v>47</v>
      </c>
      <c r="E2564" s="28" t="n">
        <f aca="false">ROUND((SUMIFS(Acerto_Detalhado!$F$2:$F$433,Acerto_Detalhado!$A$2:$A$433,$C2564,Acerto_Detalhado!$B$2:$B$433,"Jul",Acerto_Detalhado!$C$2:$C$433,"Umidade"))*(SUMIFS(Acerto_Detalhado!$I$2:$I$433,Acerto_Detalhado!$A$2:$A$433,$D2564,Acerto_Detalhado!$B$2:$B$433,"Jul",Acerto_Detalhado!$C$2:$C$433,"Umidade")),2)</f>
        <v>0</v>
      </c>
    </row>
    <row r="2565" customFormat="false" ht="15" hidden="false" customHeight="false" outlineLevel="0" collapsed="false">
      <c r="A2565" s="27" t="s">
        <v>117</v>
      </c>
      <c r="B2565" s="27" t="s">
        <v>110</v>
      </c>
      <c r="C2565" s="27" t="s">
        <v>43</v>
      </c>
      <c r="D2565" s="27" t="s">
        <v>48</v>
      </c>
      <c r="E2565" s="28" t="n">
        <f aca="false">ROUND((SUMIFS(Acerto_Detalhado!$F$2:$F$433,Acerto_Detalhado!$A$2:$A$433,$C2565,Acerto_Detalhado!$B$2:$B$433,"Jul",Acerto_Detalhado!$C$2:$C$433,"Umidade"))*(SUMIFS(Acerto_Detalhado!$I$2:$I$433,Acerto_Detalhado!$A$2:$A$433,$D2565,Acerto_Detalhado!$B$2:$B$433,"Jul",Acerto_Detalhado!$C$2:$C$433,"Umidade")),2)</f>
        <v>0</v>
      </c>
    </row>
    <row r="2566" customFormat="false" ht="15" hidden="false" customHeight="false" outlineLevel="0" collapsed="false">
      <c r="A2566" s="27" t="s">
        <v>117</v>
      </c>
      <c r="B2566" s="27" t="s">
        <v>110</v>
      </c>
      <c r="C2566" s="27" t="s">
        <v>43</v>
      </c>
      <c r="D2566" s="27" t="s">
        <v>49</v>
      </c>
      <c r="E2566" s="28" t="n">
        <f aca="false">ROUND((SUMIFS(Acerto_Detalhado!$F$2:$F$433,Acerto_Detalhado!$A$2:$A$433,$C2566,Acerto_Detalhado!$B$2:$B$433,"Jul",Acerto_Detalhado!$C$2:$C$433,"Umidade"))*(SUMIFS(Acerto_Detalhado!$I$2:$I$433,Acerto_Detalhado!$A$2:$A$433,$D2566,Acerto_Detalhado!$B$2:$B$433,"Jul",Acerto_Detalhado!$C$2:$C$433,"Umidade")),2)</f>
        <v>0</v>
      </c>
    </row>
    <row r="2567" customFormat="false" ht="15" hidden="false" customHeight="false" outlineLevel="0" collapsed="false">
      <c r="A2567" s="27" t="s">
        <v>117</v>
      </c>
      <c r="B2567" s="27" t="s">
        <v>110</v>
      </c>
      <c r="C2567" s="27" t="s">
        <v>43</v>
      </c>
      <c r="D2567" s="27" t="s">
        <v>50</v>
      </c>
      <c r="E2567" s="28" t="n">
        <f aca="false">ROUND((SUMIFS(Acerto_Detalhado!$F$2:$F$433,Acerto_Detalhado!$A$2:$A$433,$C2567,Acerto_Detalhado!$B$2:$B$433,"Jul",Acerto_Detalhado!$C$2:$C$433,"Umidade"))*(SUMIFS(Acerto_Detalhado!$I$2:$I$433,Acerto_Detalhado!$A$2:$A$433,$D2567,Acerto_Detalhado!$B$2:$B$433,"Jul",Acerto_Detalhado!$C$2:$C$433,"Umidade")),2)</f>
        <v>0</v>
      </c>
    </row>
    <row r="2568" customFormat="false" ht="15" hidden="false" customHeight="false" outlineLevel="0" collapsed="false">
      <c r="A2568" s="27" t="s">
        <v>117</v>
      </c>
      <c r="B2568" s="27" t="s">
        <v>110</v>
      </c>
      <c r="C2568" s="27" t="s">
        <v>44</v>
      </c>
      <c r="D2568" s="27" t="s">
        <v>39</v>
      </c>
      <c r="E2568" s="28" t="n">
        <f aca="false">ROUND((SUMIFS(Acerto_Detalhado!$F$2:$F$433,Acerto_Detalhado!$A$2:$A$433,$C2568,Acerto_Detalhado!$B$2:$B$433,"Jul",Acerto_Detalhado!$C$2:$C$433,"Umidade"))*(SUMIFS(Acerto_Detalhado!$I$2:$I$433,Acerto_Detalhado!$A$2:$A$433,$D2568,Acerto_Detalhado!$B$2:$B$433,"Jul",Acerto_Detalhado!$C$2:$C$433,"Umidade")),2)</f>
        <v>0</v>
      </c>
    </row>
    <row r="2569" customFormat="false" ht="15" hidden="false" customHeight="false" outlineLevel="0" collapsed="false">
      <c r="A2569" s="27" t="s">
        <v>117</v>
      </c>
      <c r="B2569" s="27" t="s">
        <v>110</v>
      </c>
      <c r="C2569" s="27" t="s">
        <v>44</v>
      </c>
      <c r="D2569" s="27" t="s">
        <v>40</v>
      </c>
      <c r="E2569" s="28" t="n">
        <f aca="false">ROUND((SUMIFS(Acerto_Detalhado!$F$2:$F$433,Acerto_Detalhado!$A$2:$A$433,$C2569,Acerto_Detalhado!$B$2:$B$433,"Jul",Acerto_Detalhado!$C$2:$C$433,"Umidade"))*(SUMIFS(Acerto_Detalhado!$I$2:$I$433,Acerto_Detalhado!$A$2:$A$433,$D2569,Acerto_Detalhado!$B$2:$B$433,"Jul",Acerto_Detalhado!$C$2:$C$433,"Umidade")),2)</f>
        <v>0</v>
      </c>
    </row>
    <row r="2570" customFormat="false" ht="15" hidden="false" customHeight="false" outlineLevel="0" collapsed="false">
      <c r="A2570" s="27" t="s">
        <v>117</v>
      </c>
      <c r="B2570" s="27" t="s">
        <v>110</v>
      </c>
      <c r="C2570" s="27" t="s">
        <v>44</v>
      </c>
      <c r="D2570" s="27" t="s">
        <v>41</v>
      </c>
      <c r="E2570" s="28" t="n">
        <f aca="false">ROUND((SUMIFS(Acerto_Detalhado!$F$2:$F$433,Acerto_Detalhado!$A$2:$A$433,$C2570,Acerto_Detalhado!$B$2:$B$433,"Jul",Acerto_Detalhado!$C$2:$C$433,"Umidade"))*(SUMIFS(Acerto_Detalhado!$I$2:$I$433,Acerto_Detalhado!$A$2:$A$433,$D2570,Acerto_Detalhado!$B$2:$B$433,"Jul",Acerto_Detalhado!$C$2:$C$433,"Umidade")),2)</f>
        <v>0</v>
      </c>
    </row>
    <row r="2571" customFormat="false" ht="15" hidden="false" customHeight="false" outlineLevel="0" collapsed="false">
      <c r="A2571" s="27" t="s">
        <v>117</v>
      </c>
      <c r="B2571" s="27" t="s">
        <v>110</v>
      </c>
      <c r="C2571" s="27" t="s">
        <v>44</v>
      </c>
      <c r="D2571" s="27" t="s">
        <v>42</v>
      </c>
      <c r="E2571" s="28" t="n">
        <f aca="false">ROUND((SUMIFS(Acerto_Detalhado!$F$2:$F$433,Acerto_Detalhado!$A$2:$A$433,$C2571,Acerto_Detalhado!$B$2:$B$433,"Jul",Acerto_Detalhado!$C$2:$C$433,"Umidade"))*(SUMIFS(Acerto_Detalhado!$I$2:$I$433,Acerto_Detalhado!$A$2:$A$433,$D2571,Acerto_Detalhado!$B$2:$B$433,"Jul",Acerto_Detalhado!$C$2:$C$433,"Umidade")),2)</f>
        <v>0</v>
      </c>
    </row>
    <row r="2572" customFormat="false" ht="15" hidden="false" customHeight="false" outlineLevel="0" collapsed="false">
      <c r="A2572" s="27" t="s">
        <v>117</v>
      </c>
      <c r="B2572" s="27" t="s">
        <v>110</v>
      </c>
      <c r="C2572" s="27" t="s">
        <v>44</v>
      </c>
      <c r="D2572" s="27" t="s">
        <v>43</v>
      </c>
      <c r="E2572" s="28" t="n">
        <f aca="false">ROUND((SUMIFS(Acerto_Detalhado!$F$2:$F$433,Acerto_Detalhado!$A$2:$A$433,$C2572,Acerto_Detalhado!$B$2:$B$433,"Jul",Acerto_Detalhado!$C$2:$C$433,"Umidade"))*(SUMIFS(Acerto_Detalhado!$I$2:$I$433,Acerto_Detalhado!$A$2:$A$433,$D2572,Acerto_Detalhado!$B$2:$B$433,"Jul",Acerto_Detalhado!$C$2:$C$433,"Umidade")),2)</f>
        <v>0</v>
      </c>
    </row>
    <row r="2573" customFormat="false" ht="15" hidden="false" customHeight="false" outlineLevel="0" collapsed="false">
      <c r="A2573" s="27" t="s">
        <v>117</v>
      </c>
      <c r="B2573" s="27" t="s">
        <v>110</v>
      </c>
      <c r="C2573" s="27" t="s">
        <v>44</v>
      </c>
      <c r="D2573" s="27" t="s">
        <v>45</v>
      </c>
      <c r="E2573" s="28" t="n">
        <f aca="false">ROUND((SUMIFS(Acerto_Detalhado!$F$2:$F$433,Acerto_Detalhado!$A$2:$A$433,$C2573,Acerto_Detalhado!$B$2:$B$433,"Jul",Acerto_Detalhado!$C$2:$C$433,"Umidade"))*(SUMIFS(Acerto_Detalhado!$I$2:$I$433,Acerto_Detalhado!$A$2:$A$433,$D2573,Acerto_Detalhado!$B$2:$B$433,"Jul",Acerto_Detalhado!$C$2:$C$433,"Umidade")),2)</f>
        <v>0</v>
      </c>
    </row>
    <row r="2574" customFormat="false" ht="15" hidden="false" customHeight="false" outlineLevel="0" collapsed="false">
      <c r="A2574" s="27" t="s">
        <v>117</v>
      </c>
      <c r="B2574" s="27" t="s">
        <v>110</v>
      </c>
      <c r="C2574" s="27" t="s">
        <v>44</v>
      </c>
      <c r="D2574" s="27" t="s">
        <v>46</v>
      </c>
      <c r="E2574" s="28" t="n">
        <f aca="false">ROUND((SUMIFS(Acerto_Detalhado!$F$2:$F$433,Acerto_Detalhado!$A$2:$A$433,$C2574,Acerto_Detalhado!$B$2:$B$433,"Jul",Acerto_Detalhado!$C$2:$C$433,"Umidade"))*(SUMIFS(Acerto_Detalhado!$I$2:$I$433,Acerto_Detalhado!$A$2:$A$433,$D2574,Acerto_Detalhado!$B$2:$B$433,"Jul",Acerto_Detalhado!$C$2:$C$433,"Umidade")),2)</f>
        <v>0</v>
      </c>
    </row>
    <row r="2575" customFormat="false" ht="15" hidden="false" customHeight="false" outlineLevel="0" collapsed="false">
      <c r="A2575" s="27" t="s">
        <v>117</v>
      </c>
      <c r="B2575" s="27" t="s">
        <v>110</v>
      </c>
      <c r="C2575" s="27" t="s">
        <v>44</v>
      </c>
      <c r="D2575" s="27" t="s">
        <v>47</v>
      </c>
      <c r="E2575" s="28" t="n">
        <f aca="false">ROUND((SUMIFS(Acerto_Detalhado!$F$2:$F$433,Acerto_Detalhado!$A$2:$A$433,$C2575,Acerto_Detalhado!$B$2:$B$433,"Jul",Acerto_Detalhado!$C$2:$C$433,"Umidade"))*(SUMIFS(Acerto_Detalhado!$I$2:$I$433,Acerto_Detalhado!$A$2:$A$433,$D2575,Acerto_Detalhado!$B$2:$B$433,"Jul",Acerto_Detalhado!$C$2:$C$433,"Umidade")),2)</f>
        <v>0</v>
      </c>
    </row>
    <row r="2576" customFormat="false" ht="15" hidden="false" customHeight="false" outlineLevel="0" collapsed="false">
      <c r="A2576" s="27" t="s">
        <v>117</v>
      </c>
      <c r="B2576" s="27" t="s">
        <v>110</v>
      </c>
      <c r="C2576" s="27" t="s">
        <v>44</v>
      </c>
      <c r="D2576" s="27" t="s">
        <v>48</v>
      </c>
      <c r="E2576" s="28" t="n">
        <f aca="false">ROUND((SUMIFS(Acerto_Detalhado!$F$2:$F$433,Acerto_Detalhado!$A$2:$A$433,$C2576,Acerto_Detalhado!$B$2:$B$433,"Jul",Acerto_Detalhado!$C$2:$C$433,"Umidade"))*(SUMIFS(Acerto_Detalhado!$I$2:$I$433,Acerto_Detalhado!$A$2:$A$433,$D2576,Acerto_Detalhado!$B$2:$B$433,"Jul",Acerto_Detalhado!$C$2:$C$433,"Umidade")),2)</f>
        <v>0</v>
      </c>
    </row>
    <row r="2577" customFormat="false" ht="15" hidden="false" customHeight="false" outlineLevel="0" collapsed="false">
      <c r="A2577" s="27" t="s">
        <v>117</v>
      </c>
      <c r="B2577" s="27" t="s">
        <v>110</v>
      </c>
      <c r="C2577" s="27" t="s">
        <v>44</v>
      </c>
      <c r="D2577" s="27" t="s">
        <v>49</v>
      </c>
      <c r="E2577" s="28" t="n">
        <f aca="false">ROUND((SUMIFS(Acerto_Detalhado!$F$2:$F$433,Acerto_Detalhado!$A$2:$A$433,$C2577,Acerto_Detalhado!$B$2:$B$433,"Jul",Acerto_Detalhado!$C$2:$C$433,"Umidade"))*(SUMIFS(Acerto_Detalhado!$I$2:$I$433,Acerto_Detalhado!$A$2:$A$433,$D2577,Acerto_Detalhado!$B$2:$B$433,"Jul",Acerto_Detalhado!$C$2:$C$433,"Umidade")),2)</f>
        <v>0</v>
      </c>
    </row>
    <row r="2578" customFormat="false" ht="15" hidden="false" customHeight="false" outlineLevel="0" collapsed="false">
      <c r="A2578" s="27" t="s">
        <v>117</v>
      </c>
      <c r="B2578" s="27" t="s">
        <v>110</v>
      </c>
      <c r="C2578" s="27" t="s">
        <v>44</v>
      </c>
      <c r="D2578" s="27" t="s">
        <v>50</v>
      </c>
      <c r="E2578" s="28" t="n">
        <f aca="false">ROUND((SUMIFS(Acerto_Detalhado!$F$2:$F$433,Acerto_Detalhado!$A$2:$A$433,$C2578,Acerto_Detalhado!$B$2:$B$433,"Jul",Acerto_Detalhado!$C$2:$C$433,"Umidade"))*(SUMIFS(Acerto_Detalhado!$I$2:$I$433,Acerto_Detalhado!$A$2:$A$433,$D2578,Acerto_Detalhado!$B$2:$B$433,"Jul",Acerto_Detalhado!$C$2:$C$433,"Umidade")),2)</f>
        <v>0</v>
      </c>
    </row>
    <row r="2579" customFormat="false" ht="15" hidden="false" customHeight="false" outlineLevel="0" collapsed="false">
      <c r="A2579" s="27" t="s">
        <v>117</v>
      </c>
      <c r="B2579" s="27" t="s">
        <v>110</v>
      </c>
      <c r="C2579" s="27" t="s">
        <v>45</v>
      </c>
      <c r="D2579" s="27" t="s">
        <v>39</v>
      </c>
      <c r="E2579" s="28" t="n">
        <f aca="false">ROUND((SUMIFS(Acerto_Detalhado!$F$2:$F$433,Acerto_Detalhado!$A$2:$A$433,$C2579,Acerto_Detalhado!$B$2:$B$433,"Jul",Acerto_Detalhado!$C$2:$C$433,"Umidade"))*(SUMIFS(Acerto_Detalhado!$I$2:$I$433,Acerto_Detalhado!$A$2:$A$433,$D2579,Acerto_Detalhado!$B$2:$B$433,"Jul",Acerto_Detalhado!$C$2:$C$433,"Umidade")),2)</f>
        <v>0</v>
      </c>
    </row>
    <row r="2580" customFormat="false" ht="15" hidden="false" customHeight="false" outlineLevel="0" collapsed="false">
      <c r="A2580" s="27" t="s">
        <v>117</v>
      </c>
      <c r="B2580" s="27" t="s">
        <v>110</v>
      </c>
      <c r="C2580" s="27" t="s">
        <v>45</v>
      </c>
      <c r="D2580" s="27" t="s">
        <v>40</v>
      </c>
      <c r="E2580" s="28" t="n">
        <f aca="false">ROUND((SUMIFS(Acerto_Detalhado!$F$2:$F$433,Acerto_Detalhado!$A$2:$A$433,$C2580,Acerto_Detalhado!$B$2:$B$433,"Jul",Acerto_Detalhado!$C$2:$C$433,"Umidade"))*(SUMIFS(Acerto_Detalhado!$I$2:$I$433,Acerto_Detalhado!$A$2:$A$433,$D2580,Acerto_Detalhado!$B$2:$B$433,"Jul",Acerto_Detalhado!$C$2:$C$433,"Umidade")),2)</f>
        <v>0</v>
      </c>
    </row>
    <row r="2581" customFormat="false" ht="15" hidden="false" customHeight="false" outlineLevel="0" collapsed="false">
      <c r="A2581" s="27" t="s">
        <v>117</v>
      </c>
      <c r="B2581" s="27" t="s">
        <v>110</v>
      </c>
      <c r="C2581" s="27" t="s">
        <v>45</v>
      </c>
      <c r="D2581" s="27" t="s">
        <v>41</v>
      </c>
      <c r="E2581" s="28" t="n">
        <f aca="false">ROUND((SUMIFS(Acerto_Detalhado!$F$2:$F$433,Acerto_Detalhado!$A$2:$A$433,$C2581,Acerto_Detalhado!$B$2:$B$433,"Jul",Acerto_Detalhado!$C$2:$C$433,"Umidade"))*(SUMIFS(Acerto_Detalhado!$I$2:$I$433,Acerto_Detalhado!$A$2:$A$433,$D2581,Acerto_Detalhado!$B$2:$B$433,"Jul",Acerto_Detalhado!$C$2:$C$433,"Umidade")),2)</f>
        <v>0</v>
      </c>
    </row>
    <row r="2582" customFormat="false" ht="15" hidden="false" customHeight="false" outlineLevel="0" collapsed="false">
      <c r="A2582" s="27" t="s">
        <v>117</v>
      </c>
      <c r="B2582" s="27" t="s">
        <v>110</v>
      </c>
      <c r="C2582" s="27" t="s">
        <v>45</v>
      </c>
      <c r="D2582" s="27" t="s">
        <v>42</v>
      </c>
      <c r="E2582" s="28" t="n">
        <f aca="false">ROUND((SUMIFS(Acerto_Detalhado!$F$2:$F$433,Acerto_Detalhado!$A$2:$A$433,$C2582,Acerto_Detalhado!$B$2:$B$433,"Jul",Acerto_Detalhado!$C$2:$C$433,"Umidade"))*(SUMIFS(Acerto_Detalhado!$I$2:$I$433,Acerto_Detalhado!$A$2:$A$433,$D2582,Acerto_Detalhado!$B$2:$B$433,"Jul",Acerto_Detalhado!$C$2:$C$433,"Umidade")),2)</f>
        <v>0</v>
      </c>
    </row>
    <row r="2583" customFormat="false" ht="15" hidden="false" customHeight="false" outlineLevel="0" collapsed="false">
      <c r="A2583" s="27" t="s">
        <v>117</v>
      </c>
      <c r="B2583" s="27" t="s">
        <v>110</v>
      </c>
      <c r="C2583" s="27" t="s">
        <v>45</v>
      </c>
      <c r="D2583" s="27" t="s">
        <v>43</v>
      </c>
      <c r="E2583" s="28" t="n">
        <f aca="false">ROUND((SUMIFS(Acerto_Detalhado!$F$2:$F$433,Acerto_Detalhado!$A$2:$A$433,$C2583,Acerto_Detalhado!$B$2:$B$433,"Jul",Acerto_Detalhado!$C$2:$C$433,"Umidade"))*(SUMIFS(Acerto_Detalhado!$I$2:$I$433,Acerto_Detalhado!$A$2:$A$433,$D2583,Acerto_Detalhado!$B$2:$B$433,"Jul",Acerto_Detalhado!$C$2:$C$433,"Umidade")),2)</f>
        <v>0</v>
      </c>
    </row>
    <row r="2584" customFormat="false" ht="15" hidden="false" customHeight="false" outlineLevel="0" collapsed="false">
      <c r="A2584" s="27" t="s">
        <v>117</v>
      </c>
      <c r="B2584" s="27" t="s">
        <v>110</v>
      </c>
      <c r="C2584" s="27" t="s">
        <v>45</v>
      </c>
      <c r="D2584" s="27" t="s">
        <v>44</v>
      </c>
      <c r="E2584" s="28" t="n">
        <f aca="false">ROUND((SUMIFS(Acerto_Detalhado!$F$2:$F$433,Acerto_Detalhado!$A$2:$A$433,$C2584,Acerto_Detalhado!$B$2:$B$433,"Jul",Acerto_Detalhado!$C$2:$C$433,"Umidade"))*(SUMIFS(Acerto_Detalhado!$I$2:$I$433,Acerto_Detalhado!$A$2:$A$433,$D2584,Acerto_Detalhado!$B$2:$B$433,"Jul",Acerto_Detalhado!$C$2:$C$433,"Umidade")),2)</f>
        <v>0</v>
      </c>
    </row>
    <row r="2585" customFormat="false" ht="15" hidden="false" customHeight="false" outlineLevel="0" collapsed="false">
      <c r="A2585" s="27" t="s">
        <v>117</v>
      </c>
      <c r="B2585" s="27" t="s">
        <v>110</v>
      </c>
      <c r="C2585" s="27" t="s">
        <v>45</v>
      </c>
      <c r="D2585" s="27" t="s">
        <v>46</v>
      </c>
      <c r="E2585" s="28" t="n">
        <f aca="false">ROUND((SUMIFS(Acerto_Detalhado!$F$2:$F$433,Acerto_Detalhado!$A$2:$A$433,$C2585,Acerto_Detalhado!$B$2:$B$433,"Jul",Acerto_Detalhado!$C$2:$C$433,"Umidade"))*(SUMIFS(Acerto_Detalhado!$I$2:$I$433,Acerto_Detalhado!$A$2:$A$433,$D2585,Acerto_Detalhado!$B$2:$B$433,"Jul",Acerto_Detalhado!$C$2:$C$433,"Umidade")),2)</f>
        <v>0</v>
      </c>
    </row>
    <row r="2586" customFormat="false" ht="15" hidden="false" customHeight="false" outlineLevel="0" collapsed="false">
      <c r="A2586" s="27" t="s">
        <v>117</v>
      </c>
      <c r="B2586" s="27" t="s">
        <v>110</v>
      </c>
      <c r="C2586" s="27" t="s">
        <v>45</v>
      </c>
      <c r="D2586" s="27" t="s">
        <v>47</v>
      </c>
      <c r="E2586" s="28" t="n">
        <f aca="false">ROUND((SUMIFS(Acerto_Detalhado!$F$2:$F$433,Acerto_Detalhado!$A$2:$A$433,$C2586,Acerto_Detalhado!$B$2:$B$433,"Jul",Acerto_Detalhado!$C$2:$C$433,"Umidade"))*(SUMIFS(Acerto_Detalhado!$I$2:$I$433,Acerto_Detalhado!$A$2:$A$433,$D2586,Acerto_Detalhado!$B$2:$B$433,"Jul",Acerto_Detalhado!$C$2:$C$433,"Umidade")),2)</f>
        <v>0</v>
      </c>
    </row>
    <row r="2587" customFormat="false" ht="15" hidden="false" customHeight="false" outlineLevel="0" collapsed="false">
      <c r="A2587" s="27" t="s">
        <v>117</v>
      </c>
      <c r="B2587" s="27" t="s">
        <v>110</v>
      </c>
      <c r="C2587" s="27" t="s">
        <v>45</v>
      </c>
      <c r="D2587" s="27" t="s">
        <v>48</v>
      </c>
      <c r="E2587" s="28" t="n">
        <f aca="false">ROUND((SUMIFS(Acerto_Detalhado!$F$2:$F$433,Acerto_Detalhado!$A$2:$A$433,$C2587,Acerto_Detalhado!$B$2:$B$433,"Jul",Acerto_Detalhado!$C$2:$C$433,"Umidade"))*(SUMIFS(Acerto_Detalhado!$I$2:$I$433,Acerto_Detalhado!$A$2:$A$433,$D2587,Acerto_Detalhado!$B$2:$B$433,"Jul",Acerto_Detalhado!$C$2:$C$433,"Umidade")),2)</f>
        <v>0</v>
      </c>
    </row>
    <row r="2588" customFormat="false" ht="15" hidden="false" customHeight="false" outlineLevel="0" collapsed="false">
      <c r="A2588" s="27" t="s">
        <v>117</v>
      </c>
      <c r="B2588" s="27" t="s">
        <v>110</v>
      </c>
      <c r="C2588" s="27" t="s">
        <v>45</v>
      </c>
      <c r="D2588" s="27" t="s">
        <v>49</v>
      </c>
      <c r="E2588" s="28" t="n">
        <f aca="false">ROUND((SUMIFS(Acerto_Detalhado!$F$2:$F$433,Acerto_Detalhado!$A$2:$A$433,$C2588,Acerto_Detalhado!$B$2:$B$433,"Jul",Acerto_Detalhado!$C$2:$C$433,"Umidade"))*(SUMIFS(Acerto_Detalhado!$I$2:$I$433,Acerto_Detalhado!$A$2:$A$433,$D2588,Acerto_Detalhado!$B$2:$B$433,"Jul",Acerto_Detalhado!$C$2:$C$433,"Umidade")),2)</f>
        <v>0</v>
      </c>
    </row>
    <row r="2589" customFormat="false" ht="15" hidden="false" customHeight="false" outlineLevel="0" collapsed="false">
      <c r="A2589" s="27" t="s">
        <v>117</v>
      </c>
      <c r="B2589" s="27" t="s">
        <v>110</v>
      </c>
      <c r="C2589" s="27" t="s">
        <v>45</v>
      </c>
      <c r="D2589" s="27" t="s">
        <v>50</v>
      </c>
      <c r="E2589" s="28" t="n">
        <f aca="false">ROUND((SUMIFS(Acerto_Detalhado!$F$2:$F$433,Acerto_Detalhado!$A$2:$A$433,$C2589,Acerto_Detalhado!$B$2:$B$433,"Jul",Acerto_Detalhado!$C$2:$C$433,"Umidade"))*(SUMIFS(Acerto_Detalhado!$I$2:$I$433,Acerto_Detalhado!$A$2:$A$433,$D2589,Acerto_Detalhado!$B$2:$B$433,"Jul",Acerto_Detalhado!$C$2:$C$433,"Umidade")),2)</f>
        <v>0</v>
      </c>
    </row>
    <row r="2590" customFormat="false" ht="15" hidden="false" customHeight="false" outlineLevel="0" collapsed="false">
      <c r="A2590" s="27" t="s">
        <v>117</v>
      </c>
      <c r="B2590" s="27" t="s">
        <v>110</v>
      </c>
      <c r="C2590" s="27" t="s">
        <v>46</v>
      </c>
      <c r="D2590" s="27" t="s">
        <v>39</v>
      </c>
      <c r="E2590" s="28" t="n">
        <f aca="false">ROUND((SUMIFS(Acerto_Detalhado!$F$2:$F$433,Acerto_Detalhado!$A$2:$A$433,$C2590,Acerto_Detalhado!$B$2:$B$433,"Jul",Acerto_Detalhado!$C$2:$C$433,"Umidade"))*(SUMIFS(Acerto_Detalhado!$I$2:$I$433,Acerto_Detalhado!$A$2:$A$433,$D2590,Acerto_Detalhado!$B$2:$B$433,"Jul",Acerto_Detalhado!$C$2:$C$433,"Umidade")),2)</f>
        <v>0</v>
      </c>
    </row>
    <row r="2591" customFormat="false" ht="15" hidden="false" customHeight="false" outlineLevel="0" collapsed="false">
      <c r="A2591" s="27" t="s">
        <v>117</v>
      </c>
      <c r="B2591" s="27" t="s">
        <v>110</v>
      </c>
      <c r="C2591" s="27" t="s">
        <v>46</v>
      </c>
      <c r="D2591" s="27" t="s">
        <v>40</v>
      </c>
      <c r="E2591" s="28" t="n">
        <f aca="false">ROUND((SUMIFS(Acerto_Detalhado!$F$2:$F$433,Acerto_Detalhado!$A$2:$A$433,$C2591,Acerto_Detalhado!$B$2:$B$433,"Jul",Acerto_Detalhado!$C$2:$C$433,"Umidade"))*(SUMIFS(Acerto_Detalhado!$I$2:$I$433,Acerto_Detalhado!$A$2:$A$433,$D2591,Acerto_Detalhado!$B$2:$B$433,"Jul",Acerto_Detalhado!$C$2:$C$433,"Umidade")),2)</f>
        <v>0</v>
      </c>
    </row>
    <row r="2592" customFormat="false" ht="15" hidden="false" customHeight="false" outlineLevel="0" collapsed="false">
      <c r="A2592" s="27" t="s">
        <v>117</v>
      </c>
      <c r="B2592" s="27" t="s">
        <v>110</v>
      </c>
      <c r="C2592" s="27" t="s">
        <v>46</v>
      </c>
      <c r="D2592" s="27" t="s">
        <v>41</v>
      </c>
      <c r="E2592" s="28" t="n">
        <f aca="false">ROUND((SUMIFS(Acerto_Detalhado!$F$2:$F$433,Acerto_Detalhado!$A$2:$A$433,$C2592,Acerto_Detalhado!$B$2:$B$433,"Jul",Acerto_Detalhado!$C$2:$C$433,"Umidade"))*(SUMIFS(Acerto_Detalhado!$I$2:$I$433,Acerto_Detalhado!$A$2:$A$433,$D2592,Acerto_Detalhado!$B$2:$B$433,"Jul",Acerto_Detalhado!$C$2:$C$433,"Umidade")),2)</f>
        <v>0</v>
      </c>
    </row>
    <row r="2593" customFormat="false" ht="15" hidden="false" customHeight="false" outlineLevel="0" collapsed="false">
      <c r="A2593" s="27" t="s">
        <v>117</v>
      </c>
      <c r="B2593" s="27" t="s">
        <v>110</v>
      </c>
      <c r="C2593" s="27" t="s">
        <v>46</v>
      </c>
      <c r="D2593" s="27" t="s">
        <v>42</v>
      </c>
      <c r="E2593" s="28" t="n">
        <f aca="false">ROUND((SUMIFS(Acerto_Detalhado!$F$2:$F$433,Acerto_Detalhado!$A$2:$A$433,$C2593,Acerto_Detalhado!$B$2:$B$433,"Jul",Acerto_Detalhado!$C$2:$C$433,"Umidade"))*(SUMIFS(Acerto_Detalhado!$I$2:$I$433,Acerto_Detalhado!$A$2:$A$433,$D2593,Acerto_Detalhado!$B$2:$B$433,"Jul",Acerto_Detalhado!$C$2:$C$433,"Umidade")),2)</f>
        <v>0</v>
      </c>
    </row>
    <row r="2594" customFormat="false" ht="15" hidden="false" customHeight="false" outlineLevel="0" collapsed="false">
      <c r="A2594" s="27" t="s">
        <v>117</v>
      </c>
      <c r="B2594" s="27" t="s">
        <v>110</v>
      </c>
      <c r="C2594" s="27" t="s">
        <v>46</v>
      </c>
      <c r="D2594" s="27" t="s">
        <v>43</v>
      </c>
      <c r="E2594" s="28" t="n">
        <f aca="false">ROUND((SUMIFS(Acerto_Detalhado!$F$2:$F$433,Acerto_Detalhado!$A$2:$A$433,$C2594,Acerto_Detalhado!$B$2:$B$433,"Jul",Acerto_Detalhado!$C$2:$C$433,"Umidade"))*(SUMIFS(Acerto_Detalhado!$I$2:$I$433,Acerto_Detalhado!$A$2:$A$433,$D2594,Acerto_Detalhado!$B$2:$B$433,"Jul",Acerto_Detalhado!$C$2:$C$433,"Umidade")),2)</f>
        <v>0</v>
      </c>
    </row>
    <row r="2595" customFormat="false" ht="15" hidden="false" customHeight="false" outlineLevel="0" collapsed="false">
      <c r="A2595" s="27" t="s">
        <v>117</v>
      </c>
      <c r="B2595" s="27" t="s">
        <v>110</v>
      </c>
      <c r="C2595" s="27" t="s">
        <v>46</v>
      </c>
      <c r="D2595" s="27" t="s">
        <v>44</v>
      </c>
      <c r="E2595" s="28" t="n">
        <f aca="false">ROUND((SUMIFS(Acerto_Detalhado!$F$2:$F$433,Acerto_Detalhado!$A$2:$A$433,$C2595,Acerto_Detalhado!$B$2:$B$433,"Jul",Acerto_Detalhado!$C$2:$C$433,"Umidade"))*(SUMIFS(Acerto_Detalhado!$I$2:$I$433,Acerto_Detalhado!$A$2:$A$433,$D2595,Acerto_Detalhado!$B$2:$B$433,"Jul",Acerto_Detalhado!$C$2:$C$433,"Umidade")),2)</f>
        <v>0</v>
      </c>
    </row>
    <row r="2596" customFormat="false" ht="15" hidden="false" customHeight="false" outlineLevel="0" collapsed="false">
      <c r="A2596" s="27" t="s">
        <v>117</v>
      </c>
      <c r="B2596" s="27" t="s">
        <v>110</v>
      </c>
      <c r="C2596" s="27" t="s">
        <v>46</v>
      </c>
      <c r="D2596" s="27" t="s">
        <v>45</v>
      </c>
      <c r="E2596" s="28" t="n">
        <f aca="false">ROUND((SUMIFS(Acerto_Detalhado!$F$2:$F$433,Acerto_Detalhado!$A$2:$A$433,$C2596,Acerto_Detalhado!$B$2:$B$433,"Jul",Acerto_Detalhado!$C$2:$C$433,"Umidade"))*(SUMIFS(Acerto_Detalhado!$I$2:$I$433,Acerto_Detalhado!$A$2:$A$433,$D2596,Acerto_Detalhado!$B$2:$B$433,"Jul",Acerto_Detalhado!$C$2:$C$433,"Umidade")),2)</f>
        <v>0</v>
      </c>
    </row>
    <row r="2597" customFormat="false" ht="15" hidden="false" customHeight="false" outlineLevel="0" collapsed="false">
      <c r="A2597" s="27" t="s">
        <v>117</v>
      </c>
      <c r="B2597" s="27" t="s">
        <v>110</v>
      </c>
      <c r="C2597" s="27" t="s">
        <v>46</v>
      </c>
      <c r="D2597" s="27" t="s">
        <v>47</v>
      </c>
      <c r="E2597" s="28" t="n">
        <f aca="false">ROUND((SUMIFS(Acerto_Detalhado!$F$2:$F$433,Acerto_Detalhado!$A$2:$A$433,$C2597,Acerto_Detalhado!$B$2:$B$433,"Jul",Acerto_Detalhado!$C$2:$C$433,"Umidade"))*(SUMIFS(Acerto_Detalhado!$I$2:$I$433,Acerto_Detalhado!$A$2:$A$433,$D2597,Acerto_Detalhado!$B$2:$B$433,"Jul",Acerto_Detalhado!$C$2:$C$433,"Umidade")),2)</f>
        <v>0</v>
      </c>
    </row>
    <row r="2598" customFormat="false" ht="15" hidden="false" customHeight="false" outlineLevel="0" collapsed="false">
      <c r="A2598" s="27" t="s">
        <v>117</v>
      </c>
      <c r="B2598" s="27" t="s">
        <v>110</v>
      </c>
      <c r="C2598" s="27" t="s">
        <v>46</v>
      </c>
      <c r="D2598" s="27" t="s">
        <v>48</v>
      </c>
      <c r="E2598" s="28" t="n">
        <f aca="false">ROUND((SUMIFS(Acerto_Detalhado!$F$2:$F$433,Acerto_Detalhado!$A$2:$A$433,$C2598,Acerto_Detalhado!$B$2:$B$433,"Jul",Acerto_Detalhado!$C$2:$C$433,"Umidade"))*(SUMIFS(Acerto_Detalhado!$I$2:$I$433,Acerto_Detalhado!$A$2:$A$433,$D2598,Acerto_Detalhado!$B$2:$B$433,"Jul",Acerto_Detalhado!$C$2:$C$433,"Umidade")),2)</f>
        <v>0</v>
      </c>
    </row>
    <row r="2599" customFormat="false" ht="15" hidden="false" customHeight="false" outlineLevel="0" collapsed="false">
      <c r="A2599" s="27" t="s">
        <v>117</v>
      </c>
      <c r="B2599" s="27" t="s">
        <v>110</v>
      </c>
      <c r="C2599" s="27" t="s">
        <v>46</v>
      </c>
      <c r="D2599" s="27" t="s">
        <v>49</v>
      </c>
      <c r="E2599" s="28" t="n">
        <f aca="false">ROUND((SUMIFS(Acerto_Detalhado!$F$2:$F$433,Acerto_Detalhado!$A$2:$A$433,$C2599,Acerto_Detalhado!$B$2:$B$433,"Jul",Acerto_Detalhado!$C$2:$C$433,"Umidade"))*(SUMIFS(Acerto_Detalhado!$I$2:$I$433,Acerto_Detalhado!$A$2:$A$433,$D2599,Acerto_Detalhado!$B$2:$B$433,"Jul",Acerto_Detalhado!$C$2:$C$433,"Umidade")),2)</f>
        <v>0</v>
      </c>
    </row>
    <row r="2600" customFormat="false" ht="15" hidden="false" customHeight="false" outlineLevel="0" collapsed="false">
      <c r="A2600" s="27" t="s">
        <v>117</v>
      </c>
      <c r="B2600" s="27" t="s">
        <v>110</v>
      </c>
      <c r="C2600" s="27" t="s">
        <v>46</v>
      </c>
      <c r="D2600" s="27" t="s">
        <v>50</v>
      </c>
      <c r="E2600" s="28" t="n">
        <f aca="false">ROUND((SUMIFS(Acerto_Detalhado!$F$2:$F$433,Acerto_Detalhado!$A$2:$A$433,$C2600,Acerto_Detalhado!$B$2:$B$433,"Jul",Acerto_Detalhado!$C$2:$C$433,"Umidade"))*(SUMIFS(Acerto_Detalhado!$I$2:$I$433,Acerto_Detalhado!$A$2:$A$433,$D2600,Acerto_Detalhado!$B$2:$B$433,"Jul",Acerto_Detalhado!$C$2:$C$433,"Umidade")),2)</f>
        <v>0</v>
      </c>
    </row>
    <row r="2601" customFormat="false" ht="15" hidden="false" customHeight="false" outlineLevel="0" collapsed="false">
      <c r="A2601" s="27" t="s">
        <v>117</v>
      </c>
      <c r="B2601" s="27" t="s">
        <v>110</v>
      </c>
      <c r="C2601" s="27" t="s">
        <v>47</v>
      </c>
      <c r="D2601" s="27" t="s">
        <v>39</v>
      </c>
      <c r="E2601" s="28" t="n">
        <f aca="false">ROUND((SUMIFS(Acerto_Detalhado!$F$2:$F$433,Acerto_Detalhado!$A$2:$A$433,$C2601,Acerto_Detalhado!$B$2:$B$433,"Jul",Acerto_Detalhado!$C$2:$C$433,"Umidade"))*(SUMIFS(Acerto_Detalhado!$I$2:$I$433,Acerto_Detalhado!$A$2:$A$433,$D2601,Acerto_Detalhado!$B$2:$B$433,"Jul",Acerto_Detalhado!$C$2:$C$433,"Umidade")),2)</f>
        <v>0</v>
      </c>
    </row>
    <row r="2602" customFormat="false" ht="15" hidden="false" customHeight="false" outlineLevel="0" collapsed="false">
      <c r="A2602" s="27" t="s">
        <v>117</v>
      </c>
      <c r="B2602" s="27" t="s">
        <v>110</v>
      </c>
      <c r="C2602" s="27" t="s">
        <v>47</v>
      </c>
      <c r="D2602" s="27" t="s">
        <v>40</v>
      </c>
      <c r="E2602" s="28" t="n">
        <f aca="false">ROUND((SUMIFS(Acerto_Detalhado!$F$2:$F$433,Acerto_Detalhado!$A$2:$A$433,$C2602,Acerto_Detalhado!$B$2:$B$433,"Jul",Acerto_Detalhado!$C$2:$C$433,"Umidade"))*(SUMIFS(Acerto_Detalhado!$I$2:$I$433,Acerto_Detalhado!$A$2:$A$433,$D2602,Acerto_Detalhado!$B$2:$B$433,"Jul",Acerto_Detalhado!$C$2:$C$433,"Umidade")),2)</f>
        <v>0</v>
      </c>
    </row>
    <row r="2603" customFormat="false" ht="15" hidden="false" customHeight="false" outlineLevel="0" collapsed="false">
      <c r="A2603" s="27" t="s">
        <v>117</v>
      </c>
      <c r="B2603" s="27" t="s">
        <v>110</v>
      </c>
      <c r="C2603" s="27" t="s">
        <v>47</v>
      </c>
      <c r="D2603" s="27" t="s">
        <v>41</v>
      </c>
      <c r="E2603" s="28" t="n">
        <f aca="false">ROUND((SUMIFS(Acerto_Detalhado!$F$2:$F$433,Acerto_Detalhado!$A$2:$A$433,$C2603,Acerto_Detalhado!$B$2:$B$433,"Jul",Acerto_Detalhado!$C$2:$C$433,"Umidade"))*(SUMIFS(Acerto_Detalhado!$I$2:$I$433,Acerto_Detalhado!$A$2:$A$433,$D2603,Acerto_Detalhado!$B$2:$B$433,"Jul",Acerto_Detalhado!$C$2:$C$433,"Umidade")),2)</f>
        <v>0</v>
      </c>
    </row>
    <row r="2604" customFormat="false" ht="15" hidden="false" customHeight="false" outlineLevel="0" collapsed="false">
      <c r="A2604" s="27" t="s">
        <v>117</v>
      </c>
      <c r="B2604" s="27" t="s">
        <v>110</v>
      </c>
      <c r="C2604" s="27" t="s">
        <v>47</v>
      </c>
      <c r="D2604" s="27" t="s">
        <v>42</v>
      </c>
      <c r="E2604" s="28" t="n">
        <f aca="false">ROUND((SUMIFS(Acerto_Detalhado!$F$2:$F$433,Acerto_Detalhado!$A$2:$A$433,$C2604,Acerto_Detalhado!$B$2:$B$433,"Jul",Acerto_Detalhado!$C$2:$C$433,"Umidade"))*(SUMIFS(Acerto_Detalhado!$I$2:$I$433,Acerto_Detalhado!$A$2:$A$433,$D2604,Acerto_Detalhado!$B$2:$B$433,"Jul",Acerto_Detalhado!$C$2:$C$433,"Umidade")),2)</f>
        <v>0</v>
      </c>
    </row>
    <row r="2605" customFormat="false" ht="15" hidden="false" customHeight="false" outlineLevel="0" collapsed="false">
      <c r="A2605" s="27" t="s">
        <v>117</v>
      </c>
      <c r="B2605" s="27" t="s">
        <v>110</v>
      </c>
      <c r="C2605" s="27" t="s">
        <v>47</v>
      </c>
      <c r="D2605" s="27" t="s">
        <v>43</v>
      </c>
      <c r="E2605" s="28" t="n">
        <f aca="false">ROUND((SUMIFS(Acerto_Detalhado!$F$2:$F$433,Acerto_Detalhado!$A$2:$A$433,$C2605,Acerto_Detalhado!$B$2:$B$433,"Jul",Acerto_Detalhado!$C$2:$C$433,"Umidade"))*(SUMIFS(Acerto_Detalhado!$I$2:$I$433,Acerto_Detalhado!$A$2:$A$433,$D2605,Acerto_Detalhado!$B$2:$B$433,"Jul",Acerto_Detalhado!$C$2:$C$433,"Umidade")),2)</f>
        <v>0</v>
      </c>
    </row>
    <row r="2606" customFormat="false" ht="15" hidden="false" customHeight="false" outlineLevel="0" collapsed="false">
      <c r="A2606" s="27" t="s">
        <v>117</v>
      </c>
      <c r="B2606" s="27" t="s">
        <v>110</v>
      </c>
      <c r="C2606" s="27" t="s">
        <v>47</v>
      </c>
      <c r="D2606" s="27" t="s">
        <v>44</v>
      </c>
      <c r="E2606" s="28" t="n">
        <f aca="false">ROUND((SUMIFS(Acerto_Detalhado!$F$2:$F$433,Acerto_Detalhado!$A$2:$A$433,$C2606,Acerto_Detalhado!$B$2:$B$433,"Jul",Acerto_Detalhado!$C$2:$C$433,"Umidade"))*(SUMIFS(Acerto_Detalhado!$I$2:$I$433,Acerto_Detalhado!$A$2:$A$433,$D2606,Acerto_Detalhado!$B$2:$B$433,"Jul",Acerto_Detalhado!$C$2:$C$433,"Umidade")),2)</f>
        <v>0</v>
      </c>
    </row>
    <row r="2607" customFormat="false" ht="15" hidden="false" customHeight="false" outlineLevel="0" collapsed="false">
      <c r="A2607" s="27" t="s">
        <v>117</v>
      </c>
      <c r="B2607" s="27" t="s">
        <v>110</v>
      </c>
      <c r="C2607" s="27" t="s">
        <v>47</v>
      </c>
      <c r="D2607" s="27" t="s">
        <v>45</v>
      </c>
      <c r="E2607" s="28" t="n">
        <f aca="false">ROUND((SUMIFS(Acerto_Detalhado!$F$2:$F$433,Acerto_Detalhado!$A$2:$A$433,$C2607,Acerto_Detalhado!$B$2:$B$433,"Jul",Acerto_Detalhado!$C$2:$C$433,"Umidade"))*(SUMIFS(Acerto_Detalhado!$I$2:$I$433,Acerto_Detalhado!$A$2:$A$433,$D2607,Acerto_Detalhado!$B$2:$B$433,"Jul",Acerto_Detalhado!$C$2:$C$433,"Umidade")),2)</f>
        <v>0</v>
      </c>
    </row>
    <row r="2608" customFormat="false" ht="15" hidden="false" customHeight="false" outlineLevel="0" collapsed="false">
      <c r="A2608" s="27" t="s">
        <v>117</v>
      </c>
      <c r="B2608" s="27" t="s">
        <v>110</v>
      </c>
      <c r="C2608" s="27" t="s">
        <v>47</v>
      </c>
      <c r="D2608" s="27" t="s">
        <v>46</v>
      </c>
      <c r="E2608" s="28" t="n">
        <f aca="false">ROUND((SUMIFS(Acerto_Detalhado!$F$2:$F$433,Acerto_Detalhado!$A$2:$A$433,$C2608,Acerto_Detalhado!$B$2:$B$433,"Jul",Acerto_Detalhado!$C$2:$C$433,"Umidade"))*(SUMIFS(Acerto_Detalhado!$I$2:$I$433,Acerto_Detalhado!$A$2:$A$433,$D2608,Acerto_Detalhado!$B$2:$B$433,"Jul",Acerto_Detalhado!$C$2:$C$433,"Umidade")),2)</f>
        <v>0</v>
      </c>
    </row>
    <row r="2609" customFormat="false" ht="15" hidden="false" customHeight="false" outlineLevel="0" collapsed="false">
      <c r="A2609" s="27" t="s">
        <v>117</v>
      </c>
      <c r="B2609" s="27" t="s">
        <v>110</v>
      </c>
      <c r="C2609" s="27" t="s">
        <v>47</v>
      </c>
      <c r="D2609" s="27" t="s">
        <v>48</v>
      </c>
      <c r="E2609" s="28" t="n">
        <f aca="false">ROUND((SUMIFS(Acerto_Detalhado!$F$2:$F$433,Acerto_Detalhado!$A$2:$A$433,$C2609,Acerto_Detalhado!$B$2:$B$433,"Jul",Acerto_Detalhado!$C$2:$C$433,"Umidade"))*(SUMIFS(Acerto_Detalhado!$I$2:$I$433,Acerto_Detalhado!$A$2:$A$433,$D2609,Acerto_Detalhado!$B$2:$B$433,"Jul",Acerto_Detalhado!$C$2:$C$433,"Umidade")),2)</f>
        <v>0</v>
      </c>
    </row>
    <row r="2610" customFormat="false" ht="15" hidden="false" customHeight="false" outlineLevel="0" collapsed="false">
      <c r="A2610" s="27" t="s">
        <v>117</v>
      </c>
      <c r="B2610" s="27" t="s">
        <v>110</v>
      </c>
      <c r="C2610" s="27" t="s">
        <v>47</v>
      </c>
      <c r="D2610" s="27" t="s">
        <v>49</v>
      </c>
      <c r="E2610" s="28" t="n">
        <f aca="false">ROUND((SUMIFS(Acerto_Detalhado!$F$2:$F$433,Acerto_Detalhado!$A$2:$A$433,$C2610,Acerto_Detalhado!$B$2:$B$433,"Jul",Acerto_Detalhado!$C$2:$C$433,"Umidade"))*(SUMIFS(Acerto_Detalhado!$I$2:$I$433,Acerto_Detalhado!$A$2:$A$433,$D2610,Acerto_Detalhado!$B$2:$B$433,"Jul",Acerto_Detalhado!$C$2:$C$433,"Umidade")),2)</f>
        <v>0</v>
      </c>
    </row>
    <row r="2611" customFormat="false" ht="15" hidden="false" customHeight="false" outlineLevel="0" collapsed="false">
      <c r="A2611" s="27" t="s">
        <v>117</v>
      </c>
      <c r="B2611" s="27" t="s">
        <v>110</v>
      </c>
      <c r="C2611" s="27" t="s">
        <v>47</v>
      </c>
      <c r="D2611" s="27" t="s">
        <v>50</v>
      </c>
      <c r="E2611" s="28" t="n">
        <f aca="false">ROUND((SUMIFS(Acerto_Detalhado!$F$2:$F$433,Acerto_Detalhado!$A$2:$A$433,$C2611,Acerto_Detalhado!$B$2:$B$433,"Jul",Acerto_Detalhado!$C$2:$C$433,"Umidade"))*(SUMIFS(Acerto_Detalhado!$I$2:$I$433,Acerto_Detalhado!$A$2:$A$433,$D2611,Acerto_Detalhado!$B$2:$B$433,"Jul",Acerto_Detalhado!$C$2:$C$433,"Umidade")),2)</f>
        <v>0</v>
      </c>
    </row>
    <row r="2612" customFormat="false" ht="15" hidden="false" customHeight="false" outlineLevel="0" collapsed="false">
      <c r="A2612" s="27" t="s">
        <v>117</v>
      </c>
      <c r="B2612" s="27" t="s">
        <v>110</v>
      </c>
      <c r="C2612" s="27" t="s">
        <v>48</v>
      </c>
      <c r="D2612" s="27" t="s">
        <v>39</v>
      </c>
      <c r="E2612" s="28" t="n">
        <f aca="false">ROUND((SUMIFS(Acerto_Detalhado!$F$2:$F$433,Acerto_Detalhado!$A$2:$A$433,$C2612,Acerto_Detalhado!$B$2:$B$433,"Jul",Acerto_Detalhado!$C$2:$C$433,"Umidade"))*(SUMIFS(Acerto_Detalhado!$I$2:$I$433,Acerto_Detalhado!$A$2:$A$433,$D2612,Acerto_Detalhado!$B$2:$B$433,"Jul",Acerto_Detalhado!$C$2:$C$433,"Umidade")),2)</f>
        <v>0</v>
      </c>
    </row>
    <row r="2613" customFormat="false" ht="15" hidden="false" customHeight="false" outlineLevel="0" collapsed="false">
      <c r="A2613" s="27" t="s">
        <v>117</v>
      </c>
      <c r="B2613" s="27" t="s">
        <v>110</v>
      </c>
      <c r="C2613" s="27" t="s">
        <v>48</v>
      </c>
      <c r="D2613" s="27" t="s">
        <v>40</v>
      </c>
      <c r="E2613" s="28" t="n">
        <f aca="false">ROUND((SUMIFS(Acerto_Detalhado!$F$2:$F$433,Acerto_Detalhado!$A$2:$A$433,$C2613,Acerto_Detalhado!$B$2:$B$433,"Jul",Acerto_Detalhado!$C$2:$C$433,"Umidade"))*(SUMIFS(Acerto_Detalhado!$I$2:$I$433,Acerto_Detalhado!$A$2:$A$433,$D2613,Acerto_Detalhado!$B$2:$B$433,"Jul",Acerto_Detalhado!$C$2:$C$433,"Umidade")),2)</f>
        <v>0</v>
      </c>
    </row>
    <row r="2614" customFormat="false" ht="15" hidden="false" customHeight="false" outlineLevel="0" collapsed="false">
      <c r="A2614" s="27" t="s">
        <v>117</v>
      </c>
      <c r="B2614" s="27" t="s">
        <v>110</v>
      </c>
      <c r="C2614" s="27" t="s">
        <v>48</v>
      </c>
      <c r="D2614" s="27" t="s">
        <v>41</v>
      </c>
      <c r="E2614" s="28" t="n">
        <f aca="false">ROUND((SUMIFS(Acerto_Detalhado!$F$2:$F$433,Acerto_Detalhado!$A$2:$A$433,$C2614,Acerto_Detalhado!$B$2:$B$433,"Jul",Acerto_Detalhado!$C$2:$C$433,"Umidade"))*(SUMIFS(Acerto_Detalhado!$I$2:$I$433,Acerto_Detalhado!$A$2:$A$433,$D2614,Acerto_Detalhado!$B$2:$B$433,"Jul",Acerto_Detalhado!$C$2:$C$433,"Umidade")),2)</f>
        <v>0</v>
      </c>
    </row>
    <row r="2615" customFormat="false" ht="15" hidden="false" customHeight="false" outlineLevel="0" collapsed="false">
      <c r="A2615" s="27" t="s">
        <v>117</v>
      </c>
      <c r="B2615" s="27" t="s">
        <v>110</v>
      </c>
      <c r="C2615" s="27" t="s">
        <v>48</v>
      </c>
      <c r="D2615" s="27" t="s">
        <v>42</v>
      </c>
      <c r="E2615" s="28" t="n">
        <f aca="false">ROUND((SUMIFS(Acerto_Detalhado!$F$2:$F$433,Acerto_Detalhado!$A$2:$A$433,$C2615,Acerto_Detalhado!$B$2:$B$433,"Jul",Acerto_Detalhado!$C$2:$C$433,"Umidade"))*(SUMIFS(Acerto_Detalhado!$I$2:$I$433,Acerto_Detalhado!$A$2:$A$433,$D2615,Acerto_Detalhado!$B$2:$B$433,"Jul",Acerto_Detalhado!$C$2:$C$433,"Umidade")),2)</f>
        <v>0</v>
      </c>
    </row>
    <row r="2616" customFormat="false" ht="15" hidden="false" customHeight="false" outlineLevel="0" collapsed="false">
      <c r="A2616" s="27" t="s">
        <v>117</v>
      </c>
      <c r="B2616" s="27" t="s">
        <v>110</v>
      </c>
      <c r="C2616" s="27" t="s">
        <v>48</v>
      </c>
      <c r="D2616" s="27" t="s">
        <v>43</v>
      </c>
      <c r="E2616" s="28" t="n">
        <f aca="false">ROUND((SUMIFS(Acerto_Detalhado!$F$2:$F$433,Acerto_Detalhado!$A$2:$A$433,$C2616,Acerto_Detalhado!$B$2:$B$433,"Jul",Acerto_Detalhado!$C$2:$C$433,"Umidade"))*(SUMIFS(Acerto_Detalhado!$I$2:$I$433,Acerto_Detalhado!$A$2:$A$433,$D2616,Acerto_Detalhado!$B$2:$B$433,"Jul",Acerto_Detalhado!$C$2:$C$433,"Umidade")),2)</f>
        <v>0</v>
      </c>
    </row>
    <row r="2617" customFormat="false" ht="15" hidden="false" customHeight="false" outlineLevel="0" collapsed="false">
      <c r="A2617" s="27" t="s">
        <v>117</v>
      </c>
      <c r="B2617" s="27" t="s">
        <v>110</v>
      </c>
      <c r="C2617" s="27" t="s">
        <v>48</v>
      </c>
      <c r="D2617" s="27" t="s">
        <v>44</v>
      </c>
      <c r="E2617" s="28" t="n">
        <f aca="false">ROUND((SUMIFS(Acerto_Detalhado!$F$2:$F$433,Acerto_Detalhado!$A$2:$A$433,$C2617,Acerto_Detalhado!$B$2:$B$433,"Jul",Acerto_Detalhado!$C$2:$C$433,"Umidade"))*(SUMIFS(Acerto_Detalhado!$I$2:$I$433,Acerto_Detalhado!$A$2:$A$433,$D2617,Acerto_Detalhado!$B$2:$B$433,"Jul",Acerto_Detalhado!$C$2:$C$433,"Umidade")),2)</f>
        <v>0</v>
      </c>
    </row>
    <row r="2618" customFormat="false" ht="15" hidden="false" customHeight="false" outlineLevel="0" collapsed="false">
      <c r="A2618" s="27" t="s">
        <v>117</v>
      </c>
      <c r="B2618" s="27" t="s">
        <v>110</v>
      </c>
      <c r="C2618" s="27" t="s">
        <v>48</v>
      </c>
      <c r="D2618" s="27" t="s">
        <v>45</v>
      </c>
      <c r="E2618" s="28" t="n">
        <f aca="false">ROUND((SUMIFS(Acerto_Detalhado!$F$2:$F$433,Acerto_Detalhado!$A$2:$A$433,$C2618,Acerto_Detalhado!$B$2:$B$433,"Jul",Acerto_Detalhado!$C$2:$C$433,"Umidade"))*(SUMIFS(Acerto_Detalhado!$I$2:$I$433,Acerto_Detalhado!$A$2:$A$433,$D2618,Acerto_Detalhado!$B$2:$B$433,"Jul",Acerto_Detalhado!$C$2:$C$433,"Umidade")),2)</f>
        <v>0</v>
      </c>
    </row>
    <row r="2619" customFormat="false" ht="15" hidden="false" customHeight="false" outlineLevel="0" collapsed="false">
      <c r="A2619" s="27" t="s">
        <v>117</v>
      </c>
      <c r="B2619" s="27" t="s">
        <v>110</v>
      </c>
      <c r="C2619" s="27" t="s">
        <v>48</v>
      </c>
      <c r="D2619" s="27" t="s">
        <v>46</v>
      </c>
      <c r="E2619" s="28" t="n">
        <f aca="false">ROUND((SUMIFS(Acerto_Detalhado!$F$2:$F$433,Acerto_Detalhado!$A$2:$A$433,$C2619,Acerto_Detalhado!$B$2:$B$433,"Jul",Acerto_Detalhado!$C$2:$C$433,"Umidade"))*(SUMIFS(Acerto_Detalhado!$I$2:$I$433,Acerto_Detalhado!$A$2:$A$433,$D2619,Acerto_Detalhado!$B$2:$B$433,"Jul",Acerto_Detalhado!$C$2:$C$433,"Umidade")),2)</f>
        <v>0</v>
      </c>
    </row>
    <row r="2620" customFormat="false" ht="15" hidden="false" customHeight="false" outlineLevel="0" collapsed="false">
      <c r="A2620" s="27" t="s">
        <v>117</v>
      </c>
      <c r="B2620" s="27" t="s">
        <v>110</v>
      </c>
      <c r="C2620" s="27" t="s">
        <v>48</v>
      </c>
      <c r="D2620" s="27" t="s">
        <v>47</v>
      </c>
      <c r="E2620" s="28" t="n">
        <f aca="false">ROUND((SUMIFS(Acerto_Detalhado!$F$2:$F$433,Acerto_Detalhado!$A$2:$A$433,$C2620,Acerto_Detalhado!$B$2:$B$433,"Jul",Acerto_Detalhado!$C$2:$C$433,"Umidade"))*(SUMIFS(Acerto_Detalhado!$I$2:$I$433,Acerto_Detalhado!$A$2:$A$433,$D2620,Acerto_Detalhado!$B$2:$B$433,"Jul",Acerto_Detalhado!$C$2:$C$433,"Umidade")),2)</f>
        <v>0</v>
      </c>
    </row>
    <row r="2621" customFormat="false" ht="15" hidden="false" customHeight="false" outlineLevel="0" collapsed="false">
      <c r="A2621" s="27" t="s">
        <v>117</v>
      </c>
      <c r="B2621" s="27" t="s">
        <v>110</v>
      </c>
      <c r="C2621" s="27" t="s">
        <v>48</v>
      </c>
      <c r="D2621" s="27" t="s">
        <v>49</v>
      </c>
      <c r="E2621" s="28" t="n">
        <f aca="false">ROUND((SUMIFS(Acerto_Detalhado!$F$2:$F$433,Acerto_Detalhado!$A$2:$A$433,$C2621,Acerto_Detalhado!$B$2:$B$433,"Jul",Acerto_Detalhado!$C$2:$C$433,"Umidade"))*(SUMIFS(Acerto_Detalhado!$I$2:$I$433,Acerto_Detalhado!$A$2:$A$433,$D2621,Acerto_Detalhado!$B$2:$B$433,"Jul",Acerto_Detalhado!$C$2:$C$433,"Umidade")),2)</f>
        <v>0</v>
      </c>
    </row>
    <row r="2622" customFormat="false" ht="15" hidden="false" customHeight="false" outlineLevel="0" collapsed="false">
      <c r="A2622" s="27" t="s">
        <v>117</v>
      </c>
      <c r="B2622" s="27" t="s">
        <v>110</v>
      </c>
      <c r="C2622" s="27" t="s">
        <v>48</v>
      </c>
      <c r="D2622" s="27" t="s">
        <v>50</v>
      </c>
      <c r="E2622" s="28" t="n">
        <f aca="false">ROUND((SUMIFS(Acerto_Detalhado!$F$2:$F$433,Acerto_Detalhado!$A$2:$A$433,$C2622,Acerto_Detalhado!$B$2:$B$433,"Jul",Acerto_Detalhado!$C$2:$C$433,"Umidade"))*(SUMIFS(Acerto_Detalhado!$I$2:$I$433,Acerto_Detalhado!$A$2:$A$433,$D2622,Acerto_Detalhado!$B$2:$B$433,"Jul",Acerto_Detalhado!$C$2:$C$433,"Umidade")),2)</f>
        <v>0</v>
      </c>
    </row>
    <row r="2623" customFormat="false" ht="15" hidden="false" customHeight="false" outlineLevel="0" collapsed="false">
      <c r="A2623" s="27" t="s">
        <v>117</v>
      </c>
      <c r="B2623" s="27" t="s">
        <v>110</v>
      </c>
      <c r="C2623" s="27" t="s">
        <v>49</v>
      </c>
      <c r="D2623" s="27" t="s">
        <v>39</v>
      </c>
      <c r="E2623" s="28" t="n">
        <f aca="false">ROUND((SUMIFS(Acerto_Detalhado!$F$2:$F$433,Acerto_Detalhado!$A$2:$A$433,$C2623,Acerto_Detalhado!$B$2:$B$433,"Jul",Acerto_Detalhado!$C$2:$C$433,"Umidade"))*(SUMIFS(Acerto_Detalhado!$I$2:$I$433,Acerto_Detalhado!$A$2:$A$433,$D2623,Acerto_Detalhado!$B$2:$B$433,"Jul",Acerto_Detalhado!$C$2:$C$433,"Umidade")),2)</f>
        <v>0</v>
      </c>
    </row>
    <row r="2624" customFormat="false" ht="15" hidden="false" customHeight="false" outlineLevel="0" collapsed="false">
      <c r="A2624" s="27" t="s">
        <v>117</v>
      </c>
      <c r="B2624" s="27" t="s">
        <v>110</v>
      </c>
      <c r="C2624" s="27" t="s">
        <v>49</v>
      </c>
      <c r="D2624" s="27" t="s">
        <v>40</v>
      </c>
      <c r="E2624" s="28" t="n">
        <f aca="false">ROUND((SUMIFS(Acerto_Detalhado!$F$2:$F$433,Acerto_Detalhado!$A$2:$A$433,$C2624,Acerto_Detalhado!$B$2:$B$433,"Jul",Acerto_Detalhado!$C$2:$C$433,"Umidade"))*(SUMIFS(Acerto_Detalhado!$I$2:$I$433,Acerto_Detalhado!$A$2:$A$433,$D2624,Acerto_Detalhado!$B$2:$B$433,"Jul",Acerto_Detalhado!$C$2:$C$433,"Umidade")),2)</f>
        <v>0</v>
      </c>
    </row>
    <row r="2625" customFormat="false" ht="15" hidden="false" customHeight="false" outlineLevel="0" collapsed="false">
      <c r="A2625" s="27" t="s">
        <v>117</v>
      </c>
      <c r="B2625" s="27" t="s">
        <v>110</v>
      </c>
      <c r="C2625" s="27" t="s">
        <v>49</v>
      </c>
      <c r="D2625" s="27" t="s">
        <v>41</v>
      </c>
      <c r="E2625" s="28" t="n">
        <f aca="false">ROUND((SUMIFS(Acerto_Detalhado!$F$2:$F$433,Acerto_Detalhado!$A$2:$A$433,$C2625,Acerto_Detalhado!$B$2:$B$433,"Jul",Acerto_Detalhado!$C$2:$C$433,"Umidade"))*(SUMIFS(Acerto_Detalhado!$I$2:$I$433,Acerto_Detalhado!$A$2:$A$433,$D2625,Acerto_Detalhado!$B$2:$B$433,"Jul",Acerto_Detalhado!$C$2:$C$433,"Umidade")),2)</f>
        <v>0</v>
      </c>
    </row>
    <row r="2626" customFormat="false" ht="15" hidden="false" customHeight="false" outlineLevel="0" collapsed="false">
      <c r="A2626" s="27" t="s">
        <v>117</v>
      </c>
      <c r="B2626" s="27" t="s">
        <v>110</v>
      </c>
      <c r="C2626" s="27" t="s">
        <v>49</v>
      </c>
      <c r="D2626" s="27" t="s">
        <v>42</v>
      </c>
      <c r="E2626" s="28" t="n">
        <f aca="false">ROUND((SUMIFS(Acerto_Detalhado!$F$2:$F$433,Acerto_Detalhado!$A$2:$A$433,$C2626,Acerto_Detalhado!$B$2:$B$433,"Jul",Acerto_Detalhado!$C$2:$C$433,"Umidade"))*(SUMIFS(Acerto_Detalhado!$I$2:$I$433,Acerto_Detalhado!$A$2:$A$433,$D2626,Acerto_Detalhado!$B$2:$B$433,"Jul",Acerto_Detalhado!$C$2:$C$433,"Umidade")),2)</f>
        <v>0</v>
      </c>
    </row>
    <row r="2627" customFormat="false" ht="15" hidden="false" customHeight="false" outlineLevel="0" collapsed="false">
      <c r="A2627" s="27" t="s">
        <v>117</v>
      </c>
      <c r="B2627" s="27" t="s">
        <v>110</v>
      </c>
      <c r="C2627" s="27" t="s">
        <v>49</v>
      </c>
      <c r="D2627" s="27" t="s">
        <v>43</v>
      </c>
      <c r="E2627" s="28" t="n">
        <f aca="false">ROUND((SUMIFS(Acerto_Detalhado!$F$2:$F$433,Acerto_Detalhado!$A$2:$A$433,$C2627,Acerto_Detalhado!$B$2:$B$433,"Jul",Acerto_Detalhado!$C$2:$C$433,"Umidade"))*(SUMIFS(Acerto_Detalhado!$I$2:$I$433,Acerto_Detalhado!$A$2:$A$433,$D2627,Acerto_Detalhado!$B$2:$B$433,"Jul",Acerto_Detalhado!$C$2:$C$433,"Umidade")),2)</f>
        <v>0</v>
      </c>
    </row>
    <row r="2628" customFormat="false" ht="15" hidden="false" customHeight="false" outlineLevel="0" collapsed="false">
      <c r="A2628" s="27" t="s">
        <v>117</v>
      </c>
      <c r="B2628" s="27" t="s">
        <v>110</v>
      </c>
      <c r="C2628" s="27" t="s">
        <v>49</v>
      </c>
      <c r="D2628" s="27" t="s">
        <v>44</v>
      </c>
      <c r="E2628" s="28" t="n">
        <f aca="false">ROUND((SUMIFS(Acerto_Detalhado!$F$2:$F$433,Acerto_Detalhado!$A$2:$A$433,$C2628,Acerto_Detalhado!$B$2:$B$433,"Jul",Acerto_Detalhado!$C$2:$C$433,"Umidade"))*(SUMIFS(Acerto_Detalhado!$I$2:$I$433,Acerto_Detalhado!$A$2:$A$433,$D2628,Acerto_Detalhado!$B$2:$B$433,"Jul",Acerto_Detalhado!$C$2:$C$433,"Umidade")),2)</f>
        <v>0</v>
      </c>
    </row>
    <row r="2629" customFormat="false" ht="15" hidden="false" customHeight="false" outlineLevel="0" collapsed="false">
      <c r="A2629" s="27" t="s">
        <v>117</v>
      </c>
      <c r="B2629" s="27" t="s">
        <v>110</v>
      </c>
      <c r="C2629" s="27" t="s">
        <v>49</v>
      </c>
      <c r="D2629" s="27" t="s">
        <v>45</v>
      </c>
      <c r="E2629" s="28" t="n">
        <f aca="false">ROUND((SUMIFS(Acerto_Detalhado!$F$2:$F$433,Acerto_Detalhado!$A$2:$A$433,$C2629,Acerto_Detalhado!$B$2:$B$433,"Jul",Acerto_Detalhado!$C$2:$C$433,"Umidade"))*(SUMIFS(Acerto_Detalhado!$I$2:$I$433,Acerto_Detalhado!$A$2:$A$433,$D2629,Acerto_Detalhado!$B$2:$B$433,"Jul",Acerto_Detalhado!$C$2:$C$433,"Umidade")),2)</f>
        <v>0</v>
      </c>
    </row>
    <row r="2630" customFormat="false" ht="15" hidden="false" customHeight="false" outlineLevel="0" collapsed="false">
      <c r="A2630" s="27" t="s">
        <v>117</v>
      </c>
      <c r="B2630" s="27" t="s">
        <v>110</v>
      </c>
      <c r="C2630" s="27" t="s">
        <v>49</v>
      </c>
      <c r="D2630" s="27" t="s">
        <v>46</v>
      </c>
      <c r="E2630" s="28" t="n">
        <f aca="false">ROUND((SUMIFS(Acerto_Detalhado!$F$2:$F$433,Acerto_Detalhado!$A$2:$A$433,$C2630,Acerto_Detalhado!$B$2:$B$433,"Jul",Acerto_Detalhado!$C$2:$C$433,"Umidade"))*(SUMIFS(Acerto_Detalhado!$I$2:$I$433,Acerto_Detalhado!$A$2:$A$433,$D2630,Acerto_Detalhado!$B$2:$B$433,"Jul",Acerto_Detalhado!$C$2:$C$433,"Umidade")),2)</f>
        <v>0</v>
      </c>
    </row>
    <row r="2631" customFormat="false" ht="15" hidden="false" customHeight="false" outlineLevel="0" collapsed="false">
      <c r="A2631" s="27" t="s">
        <v>117</v>
      </c>
      <c r="B2631" s="27" t="s">
        <v>110</v>
      </c>
      <c r="C2631" s="27" t="s">
        <v>49</v>
      </c>
      <c r="D2631" s="27" t="s">
        <v>47</v>
      </c>
      <c r="E2631" s="28" t="n">
        <f aca="false">ROUND((SUMIFS(Acerto_Detalhado!$F$2:$F$433,Acerto_Detalhado!$A$2:$A$433,$C2631,Acerto_Detalhado!$B$2:$B$433,"Jul",Acerto_Detalhado!$C$2:$C$433,"Umidade"))*(SUMIFS(Acerto_Detalhado!$I$2:$I$433,Acerto_Detalhado!$A$2:$A$433,$D2631,Acerto_Detalhado!$B$2:$B$433,"Jul",Acerto_Detalhado!$C$2:$C$433,"Umidade")),2)</f>
        <v>0</v>
      </c>
    </row>
    <row r="2632" customFormat="false" ht="15" hidden="false" customHeight="false" outlineLevel="0" collapsed="false">
      <c r="A2632" s="27" t="s">
        <v>117</v>
      </c>
      <c r="B2632" s="27" t="s">
        <v>110</v>
      </c>
      <c r="C2632" s="27" t="s">
        <v>49</v>
      </c>
      <c r="D2632" s="27" t="s">
        <v>48</v>
      </c>
      <c r="E2632" s="28" t="n">
        <f aca="false">ROUND((SUMIFS(Acerto_Detalhado!$F$2:$F$433,Acerto_Detalhado!$A$2:$A$433,$C2632,Acerto_Detalhado!$B$2:$B$433,"Jul",Acerto_Detalhado!$C$2:$C$433,"Umidade"))*(SUMIFS(Acerto_Detalhado!$I$2:$I$433,Acerto_Detalhado!$A$2:$A$433,$D2632,Acerto_Detalhado!$B$2:$B$433,"Jul",Acerto_Detalhado!$C$2:$C$433,"Umidade")),2)</f>
        <v>0</v>
      </c>
    </row>
    <row r="2633" customFormat="false" ht="15" hidden="false" customHeight="false" outlineLevel="0" collapsed="false">
      <c r="A2633" s="27" t="s">
        <v>117</v>
      </c>
      <c r="B2633" s="27" t="s">
        <v>110</v>
      </c>
      <c r="C2633" s="27" t="s">
        <v>49</v>
      </c>
      <c r="D2633" s="27" t="s">
        <v>50</v>
      </c>
      <c r="E2633" s="28" t="n">
        <f aca="false">ROUND((SUMIFS(Acerto_Detalhado!$F$2:$F$433,Acerto_Detalhado!$A$2:$A$433,$C2633,Acerto_Detalhado!$B$2:$B$433,"Jul",Acerto_Detalhado!$C$2:$C$433,"Umidade"))*(SUMIFS(Acerto_Detalhado!$I$2:$I$433,Acerto_Detalhado!$A$2:$A$433,$D2633,Acerto_Detalhado!$B$2:$B$433,"Jul",Acerto_Detalhado!$C$2:$C$433,"Umidade")),2)</f>
        <v>0</v>
      </c>
    </row>
    <row r="2634" customFormat="false" ht="15" hidden="false" customHeight="false" outlineLevel="0" collapsed="false">
      <c r="A2634" s="27" t="s">
        <v>117</v>
      </c>
      <c r="B2634" s="27" t="s">
        <v>110</v>
      </c>
      <c r="C2634" s="27" t="s">
        <v>50</v>
      </c>
      <c r="D2634" s="27" t="s">
        <v>39</v>
      </c>
      <c r="E2634" s="28" t="n">
        <f aca="false">ROUND((SUMIFS(Acerto_Detalhado!$F$2:$F$433,Acerto_Detalhado!$A$2:$A$433,$C2634,Acerto_Detalhado!$B$2:$B$433,"Jul",Acerto_Detalhado!$C$2:$C$433,"Umidade"))*(SUMIFS(Acerto_Detalhado!$I$2:$I$433,Acerto_Detalhado!$A$2:$A$433,$D2634,Acerto_Detalhado!$B$2:$B$433,"Jul",Acerto_Detalhado!$C$2:$C$433,"Umidade")),2)</f>
        <v>0</v>
      </c>
    </row>
    <row r="2635" customFormat="false" ht="15" hidden="false" customHeight="false" outlineLevel="0" collapsed="false">
      <c r="A2635" s="27" t="s">
        <v>117</v>
      </c>
      <c r="B2635" s="27" t="s">
        <v>110</v>
      </c>
      <c r="C2635" s="27" t="s">
        <v>50</v>
      </c>
      <c r="D2635" s="27" t="s">
        <v>40</v>
      </c>
      <c r="E2635" s="28" t="n">
        <f aca="false">ROUND((SUMIFS(Acerto_Detalhado!$F$2:$F$433,Acerto_Detalhado!$A$2:$A$433,$C2635,Acerto_Detalhado!$B$2:$B$433,"Jul",Acerto_Detalhado!$C$2:$C$433,"Umidade"))*(SUMIFS(Acerto_Detalhado!$I$2:$I$433,Acerto_Detalhado!$A$2:$A$433,$D2635,Acerto_Detalhado!$B$2:$B$433,"Jul",Acerto_Detalhado!$C$2:$C$433,"Umidade")),2)</f>
        <v>0</v>
      </c>
    </row>
    <row r="2636" customFormat="false" ht="15" hidden="false" customHeight="false" outlineLevel="0" collapsed="false">
      <c r="A2636" s="27" t="s">
        <v>117</v>
      </c>
      <c r="B2636" s="27" t="s">
        <v>110</v>
      </c>
      <c r="C2636" s="27" t="s">
        <v>50</v>
      </c>
      <c r="D2636" s="27" t="s">
        <v>41</v>
      </c>
      <c r="E2636" s="28" t="n">
        <f aca="false">ROUND((SUMIFS(Acerto_Detalhado!$F$2:$F$433,Acerto_Detalhado!$A$2:$A$433,$C2636,Acerto_Detalhado!$B$2:$B$433,"Jul",Acerto_Detalhado!$C$2:$C$433,"Umidade"))*(SUMIFS(Acerto_Detalhado!$I$2:$I$433,Acerto_Detalhado!$A$2:$A$433,$D2636,Acerto_Detalhado!$B$2:$B$433,"Jul",Acerto_Detalhado!$C$2:$C$433,"Umidade")),2)</f>
        <v>0</v>
      </c>
    </row>
    <row r="2637" customFormat="false" ht="15" hidden="false" customHeight="false" outlineLevel="0" collapsed="false">
      <c r="A2637" s="27" t="s">
        <v>117</v>
      </c>
      <c r="B2637" s="27" t="s">
        <v>110</v>
      </c>
      <c r="C2637" s="27" t="s">
        <v>50</v>
      </c>
      <c r="D2637" s="27" t="s">
        <v>42</v>
      </c>
      <c r="E2637" s="28" t="n">
        <f aca="false">ROUND((SUMIFS(Acerto_Detalhado!$F$2:$F$433,Acerto_Detalhado!$A$2:$A$433,$C2637,Acerto_Detalhado!$B$2:$B$433,"Jul",Acerto_Detalhado!$C$2:$C$433,"Umidade"))*(SUMIFS(Acerto_Detalhado!$I$2:$I$433,Acerto_Detalhado!$A$2:$A$433,$D2637,Acerto_Detalhado!$B$2:$B$433,"Jul",Acerto_Detalhado!$C$2:$C$433,"Umidade")),2)</f>
        <v>0</v>
      </c>
    </row>
    <row r="2638" customFormat="false" ht="15" hidden="false" customHeight="false" outlineLevel="0" collapsed="false">
      <c r="A2638" s="27" t="s">
        <v>117</v>
      </c>
      <c r="B2638" s="27" t="s">
        <v>110</v>
      </c>
      <c r="C2638" s="27" t="s">
        <v>50</v>
      </c>
      <c r="D2638" s="27" t="s">
        <v>43</v>
      </c>
      <c r="E2638" s="28" t="n">
        <f aca="false">ROUND((SUMIFS(Acerto_Detalhado!$F$2:$F$433,Acerto_Detalhado!$A$2:$A$433,$C2638,Acerto_Detalhado!$B$2:$B$433,"Jul",Acerto_Detalhado!$C$2:$C$433,"Umidade"))*(SUMIFS(Acerto_Detalhado!$I$2:$I$433,Acerto_Detalhado!$A$2:$A$433,$D2638,Acerto_Detalhado!$B$2:$B$433,"Jul",Acerto_Detalhado!$C$2:$C$433,"Umidade")),2)</f>
        <v>0</v>
      </c>
    </row>
    <row r="2639" customFormat="false" ht="15" hidden="false" customHeight="false" outlineLevel="0" collapsed="false">
      <c r="A2639" s="27" t="s">
        <v>117</v>
      </c>
      <c r="B2639" s="27" t="s">
        <v>110</v>
      </c>
      <c r="C2639" s="27" t="s">
        <v>50</v>
      </c>
      <c r="D2639" s="27" t="s">
        <v>44</v>
      </c>
      <c r="E2639" s="28" t="n">
        <f aca="false">ROUND((SUMIFS(Acerto_Detalhado!$F$2:$F$433,Acerto_Detalhado!$A$2:$A$433,$C2639,Acerto_Detalhado!$B$2:$B$433,"Jul",Acerto_Detalhado!$C$2:$C$433,"Umidade"))*(SUMIFS(Acerto_Detalhado!$I$2:$I$433,Acerto_Detalhado!$A$2:$A$433,$D2639,Acerto_Detalhado!$B$2:$B$433,"Jul",Acerto_Detalhado!$C$2:$C$433,"Umidade")),2)</f>
        <v>0</v>
      </c>
    </row>
    <row r="2640" customFormat="false" ht="15" hidden="false" customHeight="false" outlineLevel="0" collapsed="false">
      <c r="A2640" s="27" t="s">
        <v>117</v>
      </c>
      <c r="B2640" s="27" t="s">
        <v>110</v>
      </c>
      <c r="C2640" s="27" t="s">
        <v>50</v>
      </c>
      <c r="D2640" s="27" t="s">
        <v>45</v>
      </c>
      <c r="E2640" s="28" t="n">
        <f aca="false">ROUND((SUMIFS(Acerto_Detalhado!$F$2:$F$433,Acerto_Detalhado!$A$2:$A$433,$C2640,Acerto_Detalhado!$B$2:$B$433,"Jul",Acerto_Detalhado!$C$2:$C$433,"Umidade"))*(SUMIFS(Acerto_Detalhado!$I$2:$I$433,Acerto_Detalhado!$A$2:$A$433,$D2640,Acerto_Detalhado!$B$2:$B$433,"Jul",Acerto_Detalhado!$C$2:$C$433,"Umidade")),2)</f>
        <v>0</v>
      </c>
    </row>
    <row r="2641" customFormat="false" ht="15" hidden="false" customHeight="false" outlineLevel="0" collapsed="false">
      <c r="A2641" s="27" t="s">
        <v>117</v>
      </c>
      <c r="B2641" s="27" t="s">
        <v>110</v>
      </c>
      <c r="C2641" s="27" t="s">
        <v>50</v>
      </c>
      <c r="D2641" s="27" t="s">
        <v>46</v>
      </c>
      <c r="E2641" s="28" t="n">
        <f aca="false">ROUND((SUMIFS(Acerto_Detalhado!$F$2:$F$433,Acerto_Detalhado!$A$2:$A$433,$C2641,Acerto_Detalhado!$B$2:$B$433,"Jul",Acerto_Detalhado!$C$2:$C$433,"Umidade"))*(SUMIFS(Acerto_Detalhado!$I$2:$I$433,Acerto_Detalhado!$A$2:$A$433,$D2641,Acerto_Detalhado!$B$2:$B$433,"Jul",Acerto_Detalhado!$C$2:$C$433,"Umidade")),2)</f>
        <v>0</v>
      </c>
    </row>
    <row r="2642" customFormat="false" ht="15" hidden="false" customHeight="false" outlineLevel="0" collapsed="false">
      <c r="A2642" s="27" t="s">
        <v>117</v>
      </c>
      <c r="B2642" s="27" t="s">
        <v>110</v>
      </c>
      <c r="C2642" s="27" t="s">
        <v>50</v>
      </c>
      <c r="D2642" s="27" t="s">
        <v>47</v>
      </c>
      <c r="E2642" s="28" t="n">
        <f aca="false">ROUND((SUMIFS(Acerto_Detalhado!$F$2:$F$433,Acerto_Detalhado!$A$2:$A$433,$C2642,Acerto_Detalhado!$B$2:$B$433,"Jul",Acerto_Detalhado!$C$2:$C$433,"Umidade"))*(SUMIFS(Acerto_Detalhado!$I$2:$I$433,Acerto_Detalhado!$A$2:$A$433,$D2642,Acerto_Detalhado!$B$2:$B$433,"Jul",Acerto_Detalhado!$C$2:$C$433,"Umidade")),2)</f>
        <v>0</v>
      </c>
    </row>
    <row r="2643" customFormat="false" ht="15" hidden="false" customHeight="false" outlineLevel="0" collapsed="false">
      <c r="A2643" s="27" t="s">
        <v>117</v>
      </c>
      <c r="B2643" s="27" t="s">
        <v>110</v>
      </c>
      <c r="C2643" s="27" t="s">
        <v>50</v>
      </c>
      <c r="D2643" s="27" t="s">
        <v>48</v>
      </c>
      <c r="E2643" s="28" t="n">
        <f aca="false">ROUND((SUMIFS(Acerto_Detalhado!$F$2:$F$433,Acerto_Detalhado!$A$2:$A$433,$C2643,Acerto_Detalhado!$B$2:$B$433,"Jul",Acerto_Detalhado!$C$2:$C$433,"Umidade"))*(SUMIFS(Acerto_Detalhado!$I$2:$I$433,Acerto_Detalhado!$A$2:$A$433,$D2643,Acerto_Detalhado!$B$2:$B$433,"Jul",Acerto_Detalhado!$C$2:$C$433,"Umidade")),2)</f>
        <v>0</v>
      </c>
    </row>
    <row r="2644" customFormat="false" ht="15" hidden="false" customHeight="false" outlineLevel="0" collapsed="false">
      <c r="A2644" s="27" t="s">
        <v>117</v>
      </c>
      <c r="B2644" s="27" t="s">
        <v>110</v>
      </c>
      <c r="C2644" s="27" t="s">
        <v>50</v>
      </c>
      <c r="D2644" s="27" t="s">
        <v>49</v>
      </c>
      <c r="E2644" s="28" t="n">
        <f aca="false">ROUND((SUMIFS(Acerto_Detalhado!$F$2:$F$433,Acerto_Detalhado!$A$2:$A$433,$C2644,Acerto_Detalhado!$B$2:$B$433,"Jul",Acerto_Detalhado!$C$2:$C$433,"Umidade"))*(SUMIFS(Acerto_Detalhado!$I$2:$I$433,Acerto_Detalhado!$A$2:$A$433,$D2644,Acerto_Detalhado!$B$2:$B$433,"Jul",Acerto_Detalhado!$C$2:$C$433,"Umidade")),2)</f>
        <v>0</v>
      </c>
    </row>
    <row r="2645" customFormat="false" ht="15" hidden="false" customHeight="false" outlineLevel="0" collapsed="false">
      <c r="A2645" s="27" t="s">
        <v>117</v>
      </c>
      <c r="B2645" s="27" t="s">
        <v>111</v>
      </c>
      <c r="C2645" s="27" t="s">
        <v>39</v>
      </c>
      <c r="D2645" s="27" t="s">
        <v>40</v>
      </c>
      <c r="E2645" s="28" t="n">
        <f aca="false">ROUND((SUMIFS(Acerto_Detalhado!$F$2:$F$433,Acerto_Detalhado!$A$2:$A$433,$C2645,Acerto_Detalhado!$B$2:$B$433,"Jul",Acerto_Detalhado!$C$2:$C$433,"Fibra"))*(SUMIFS(Acerto_Detalhado!$I$2:$I$433,Acerto_Detalhado!$A$2:$A$433,$D2645,Acerto_Detalhado!$B$2:$B$433,"Jul",Acerto_Detalhado!$C$2:$C$433,"Fibra")),2)</f>
        <v>3585.06</v>
      </c>
    </row>
    <row r="2646" customFormat="false" ht="15" hidden="false" customHeight="false" outlineLevel="0" collapsed="false">
      <c r="A2646" s="27" t="s">
        <v>117</v>
      </c>
      <c r="B2646" s="27" t="s">
        <v>111</v>
      </c>
      <c r="C2646" s="27" t="s">
        <v>39</v>
      </c>
      <c r="D2646" s="27" t="s">
        <v>41</v>
      </c>
      <c r="E2646" s="28" t="n">
        <f aca="false">ROUND((SUMIFS(Acerto_Detalhado!$F$2:$F$433,Acerto_Detalhado!$A$2:$A$433,$C2646,Acerto_Detalhado!$B$2:$B$433,"Jul",Acerto_Detalhado!$C$2:$C$433,"Fibra"))*(SUMIFS(Acerto_Detalhado!$I$2:$I$433,Acerto_Detalhado!$A$2:$A$433,$D2646,Acerto_Detalhado!$B$2:$B$433,"Jul",Acerto_Detalhado!$C$2:$C$433,"Fibra")),2)</f>
        <v>6341.55</v>
      </c>
    </row>
    <row r="2647" customFormat="false" ht="15" hidden="false" customHeight="false" outlineLevel="0" collapsed="false">
      <c r="A2647" s="27" t="s">
        <v>117</v>
      </c>
      <c r="B2647" s="27" t="s">
        <v>111</v>
      </c>
      <c r="C2647" s="27" t="s">
        <v>39</v>
      </c>
      <c r="D2647" s="27" t="s">
        <v>42</v>
      </c>
      <c r="E2647" s="28" t="n">
        <f aca="false">ROUND((SUMIFS(Acerto_Detalhado!$F$2:$F$433,Acerto_Detalhado!$A$2:$A$433,$C2647,Acerto_Detalhado!$B$2:$B$433,"Jul",Acerto_Detalhado!$C$2:$C$433,"Fibra"))*(SUMIFS(Acerto_Detalhado!$I$2:$I$433,Acerto_Detalhado!$A$2:$A$433,$D2647,Acerto_Detalhado!$B$2:$B$433,"Jul",Acerto_Detalhado!$C$2:$C$433,"Fibra")),2)</f>
        <v>0</v>
      </c>
    </row>
    <row r="2648" customFormat="false" ht="15" hidden="false" customHeight="false" outlineLevel="0" collapsed="false">
      <c r="A2648" s="27" t="s">
        <v>117</v>
      </c>
      <c r="B2648" s="27" t="s">
        <v>111</v>
      </c>
      <c r="C2648" s="27" t="s">
        <v>39</v>
      </c>
      <c r="D2648" s="27" t="s">
        <v>43</v>
      </c>
      <c r="E2648" s="28" t="n">
        <f aca="false">ROUND((SUMIFS(Acerto_Detalhado!$F$2:$F$433,Acerto_Detalhado!$A$2:$A$433,$C2648,Acerto_Detalhado!$B$2:$B$433,"Jul",Acerto_Detalhado!$C$2:$C$433,"Fibra"))*(SUMIFS(Acerto_Detalhado!$I$2:$I$433,Acerto_Detalhado!$A$2:$A$433,$D2648,Acerto_Detalhado!$B$2:$B$433,"Jul",Acerto_Detalhado!$C$2:$C$433,"Fibra")),2)</f>
        <v>5904.59</v>
      </c>
    </row>
    <row r="2649" customFormat="false" ht="15" hidden="false" customHeight="false" outlineLevel="0" collapsed="false">
      <c r="A2649" s="27" t="s">
        <v>117</v>
      </c>
      <c r="B2649" s="27" t="s">
        <v>111</v>
      </c>
      <c r="C2649" s="27" t="s">
        <v>39</v>
      </c>
      <c r="D2649" s="27" t="s">
        <v>44</v>
      </c>
      <c r="E2649" s="28" t="n">
        <f aca="false">ROUND((SUMIFS(Acerto_Detalhado!$F$2:$F$433,Acerto_Detalhado!$A$2:$A$433,$C2649,Acerto_Detalhado!$B$2:$B$433,"Jul",Acerto_Detalhado!$C$2:$C$433,"Fibra"))*(SUMIFS(Acerto_Detalhado!$I$2:$I$433,Acerto_Detalhado!$A$2:$A$433,$D2649,Acerto_Detalhado!$B$2:$B$433,"Jul",Acerto_Detalhado!$C$2:$C$433,"Fibra")),2)</f>
        <v>0</v>
      </c>
    </row>
    <row r="2650" customFormat="false" ht="15" hidden="false" customHeight="false" outlineLevel="0" collapsed="false">
      <c r="A2650" s="27" t="s">
        <v>117</v>
      </c>
      <c r="B2650" s="27" t="s">
        <v>111</v>
      </c>
      <c r="C2650" s="27" t="s">
        <v>39</v>
      </c>
      <c r="D2650" s="27" t="s">
        <v>45</v>
      </c>
      <c r="E2650" s="28" t="n">
        <f aca="false">ROUND((SUMIFS(Acerto_Detalhado!$F$2:$F$433,Acerto_Detalhado!$A$2:$A$433,$C2650,Acerto_Detalhado!$B$2:$B$433,"Jul",Acerto_Detalhado!$C$2:$C$433,"Fibra"))*(SUMIFS(Acerto_Detalhado!$I$2:$I$433,Acerto_Detalhado!$A$2:$A$433,$D2650,Acerto_Detalhado!$B$2:$B$433,"Jul",Acerto_Detalhado!$C$2:$C$433,"Fibra")),2)</f>
        <v>0</v>
      </c>
    </row>
    <row r="2651" customFormat="false" ht="15" hidden="false" customHeight="false" outlineLevel="0" collapsed="false">
      <c r="A2651" s="27" t="s">
        <v>117</v>
      </c>
      <c r="B2651" s="27" t="s">
        <v>111</v>
      </c>
      <c r="C2651" s="27" t="s">
        <v>39</v>
      </c>
      <c r="D2651" s="27" t="s">
        <v>46</v>
      </c>
      <c r="E2651" s="28" t="n">
        <f aca="false">ROUND((SUMIFS(Acerto_Detalhado!$F$2:$F$433,Acerto_Detalhado!$A$2:$A$433,$C2651,Acerto_Detalhado!$B$2:$B$433,"Jul",Acerto_Detalhado!$C$2:$C$433,"Fibra"))*(SUMIFS(Acerto_Detalhado!$I$2:$I$433,Acerto_Detalhado!$A$2:$A$433,$D2651,Acerto_Detalhado!$B$2:$B$433,"Jul",Acerto_Detalhado!$C$2:$C$433,"Fibra")),2)</f>
        <v>0</v>
      </c>
    </row>
    <row r="2652" customFormat="false" ht="15" hidden="false" customHeight="false" outlineLevel="0" collapsed="false">
      <c r="A2652" s="27" t="s">
        <v>117</v>
      </c>
      <c r="B2652" s="27" t="s">
        <v>111</v>
      </c>
      <c r="C2652" s="27" t="s">
        <v>39</v>
      </c>
      <c r="D2652" s="27" t="s">
        <v>47</v>
      </c>
      <c r="E2652" s="28" t="n">
        <f aca="false">ROUND((SUMIFS(Acerto_Detalhado!$F$2:$F$433,Acerto_Detalhado!$A$2:$A$433,$C2652,Acerto_Detalhado!$B$2:$B$433,"Jul",Acerto_Detalhado!$C$2:$C$433,"Fibra"))*(SUMIFS(Acerto_Detalhado!$I$2:$I$433,Acerto_Detalhado!$A$2:$A$433,$D2652,Acerto_Detalhado!$B$2:$B$433,"Jul",Acerto_Detalhado!$C$2:$C$433,"Fibra")),2)</f>
        <v>0</v>
      </c>
    </row>
    <row r="2653" customFormat="false" ht="15" hidden="false" customHeight="false" outlineLevel="0" collapsed="false">
      <c r="A2653" s="27" t="s">
        <v>117</v>
      </c>
      <c r="B2653" s="27" t="s">
        <v>111</v>
      </c>
      <c r="C2653" s="27" t="s">
        <v>39</v>
      </c>
      <c r="D2653" s="27" t="s">
        <v>48</v>
      </c>
      <c r="E2653" s="28" t="n">
        <f aca="false">ROUND((SUMIFS(Acerto_Detalhado!$F$2:$F$433,Acerto_Detalhado!$A$2:$A$433,$C2653,Acerto_Detalhado!$B$2:$B$433,"Jul",Acerto_Detalhado!$C$2:$C$433,"Fibra"))*(SUMIFS(Acerto_Detalhado!$I$2:$I$433,Acerto_Detalhado!$A$2:$A$433,$D2653,Acerto_Detalhado!$B$2:$B$433,"Jul",Acerto_Detalhado!$C$2:$C$433,"Fibra")),2)</f>
        <v>4463.82</v>
      </c>
    </row>
    <row r="2654" customFormat="false" ht="15" hidden="false" customHeight="false" outlineLevel="0" collapsed="false">
      <c r="A2654" s="27" t="s">
        <v>117</v>
      </c>
      <c r="B2654" s="27" t="s">
        <v>111</v>
      </c>
      <c r="C2654" s="27" t="s">
        <v>39</v>
      </c>
      <c r="D2654" s="27" t="s">
        <v>49</v>
      </c>
      <c r="E2654" s="28" t="n">
        <f aca="false">ROUND((SUMIFS(Acerto_Detalhado!$F$2:$F$433,Acerto_Detalhado!$A$2:$A$433,$C2654,Acerto_Detalhado!$B$2:$B$433,"Jul",Acerto_Detalhado!$C$2:$C$433,"Fibra"))*(SUMIFS(Acerto_Detalhado!$I$2:$I$433,Acerto_Detalhado!$A$2:$A$433,$D2654,Acerto_Detalhado!$B$2:$B$433,"Jul",Acerto_Detalhado!$C$2:$C$433,"Fibra")),2)</f>
        <v>0</v>
      </c>
    </row>
    <row r="2655" customFormat="false" ht="15" hidden="false" customHeight="false" outlineLevel="0" collapsed="false">
      <c r="A2655" s="27" t="s">
        <v>117</v>
      </c>
      <c r="B2655" s="27" t="s">
        <v>111</v>
      </c>
      <c r="C2655" s="27" t="s">
        <v>39</v>
      </c>
      <c r="D2655" s="27" t="s">
        <v>50</v>
      </c>
      <c r="E2655" s="28" t="n">
        <f aca="false">ROUND((SUMIFS(Acerto_Detalhado!$F$2:$F$433,Acerto_Detalhado!$A$2:$A$433,$C2655,Acerto_Detalhado!$B$2:$B$433,"Jul",Acerto_Detalhado!$C$2:$C$433,"Fibra"))*(SUMIFS(Acerto_Detalhado!$I$2:$I$433,Acerto_Detalhado!$A$2:$A$433,$D2655,Acerto_Detalhado!$B$2:$B$433,"Jul",Acerto_Detalhado!$C$2:$C$433,"Fibra")),2)</f>
        <v>0</v>
      </c>
    </row>
    <row r="2656" customFormat="false" ht="15" hidden="false" customHeight="false" outlineLevel="0" collapsed="false">
      <c r="A2656" s="27" t="s">
        <v>117</v>
      </c>
      <c r="B2656" s="27" t="s">
        <v>111</v>
      </c>
      <c r="C2656" s="27" t="s">
        <v>40</v>
      </c>
      <c r="D2656" s="27" t="s">
        <v>39</v>
      </c>
      <c r="E2656" s="28" t="n">
        <f aca="false">ROUND((SUMIFS(Acerto_Detalhado!$F$2:$F$433,Acerto_Detalhado!$A$2:$A$433,$C2656,Acerto_Detalhado!$B$2:$B$433,"Jul",Acerto_Detalhado!$C$2:$C$433,"Fibra"))*(SUMIFS(Acerto_Detalhado!$I$2:$I$433,Acerto_Detalhado!$A$2:$A$433,$D2656,Acerto_Detalhado!$B$2:$B$433,"Jul",Acerto_Detalhado!$C$2:$C$433,"Fibra")),2)</f>
        <v>0</v>
      </c>
    </row>
    <row r="2657" customFormat="false" ht="15" hidden="false" customHeight="false" outlineLevel="0" collapsed="false">
      <c r="A2657" s="27" t="s">
        <v>117</v>
      </c>
      <c r="B2657" s="27" t="s">
        <v>111</v>
      </c>
      <c r="C2657" s="27" t="s">
        <v>40</v>
      </c>
      <c r="D2657" s="27" t="s">
        <v>41</v>
      </c>
      <c r="E2657" s="28" t="n">
        <f aca="false">ROUND((SUMIFS(Acerto_Detalhado!$F$2:$F$433,Acerto_Detalhado!$A$2:$A$433,$C2657,Acerto_Detalhado!$B$2:$B$433,"Jul",Acerto_Detalhado!$C$2:$C$433,"Fibra"))*(SUMIFS(Acerto_Detalhado!$I$2:$I$433,Acerto_Detalhado!$A$2:$A$433,$D2657,Acerto_Detalhado!$B$2:$B$433,"Jul",Acerto_Detalhado!$C$2:$C$433,"Fibra")),2)</f>
        <v>0</v>
      </c>
    </row>
    <row r="2658" customFormat="false" ht="15" hidden="false" customHeight="false" outlineLevel="0" collapsed="false">
      <c r="A2658" s="27" t="s">
        <v>117</v>
      </c>
      <c r="B2658" s="27" t="s">
        <v>111</v>
      </c>
      <c r="C2658" s="27" t="s">
        <v>40</v>
      </c>
      <c r="D2658" s="27" t="s">
        <v>42</v>
      </c>
      <c r="E2658" s="28" t="n">
        <f aca="false">ROUND((SUMIFS(Acerto_Detalhado!$F$2:$F$433,Acerto_Detalhado!$A$2:$A$433,$C2658,Acerto_Detalhado!$B$2:$B$433,"Jul",Acerto_Detalhado!$C$2:$C$433,"Fibra"))*(SUMIFS(Acerto_Detalhado!$I$2:$I$433,Acerto_Detalhado!$A$2:$A$433,$D2658,Acerto_Detalhado!$B$2:$B$433,"Jul",Acerto_Detalhado!$C$2:$C$433,"Fibra")),2)</f>
        <v>0</v>
      </c>
    </row>
    <row r="2659" customFormat="false" ht="15" hidden="false" customHeight="false" outlineLevel="0" collapsed="false">
      <c r="A2659" s="27" t="s">
        <v>117</v>
      </c>
      <c r="B2659" s="27" t="s">
        <v>111</v>
      </c>
      <c r="C2659" s="27" t="s">
        <v>40</v>
      </c>
      <c r="D2659" s="27" t="s">
        <v>43</v>
      </c>
      <c r="E2659" s="28" t="n">
        <f aca="false">ROUND((SUMIFS(Acerto_Detalhado!$F$2:$F$433,Acerto_Detalhado!$A$2:$A$433,$C2659,Acerto_Detalhado!$B$2:$B$433,"Jul",Acerto_Detalhado!$C$2:$C$433,"Fibra"))*(SUMIFS(Acerto_Detalhado!$I$2:$I$433,Acerto_Detalhado!$A$2:$A$433,$D2659,Acerto_Detalhado!$B$2:$B$433,"Jul",Acerto_Detalhado!$C$2:$C$433,"Fibra")),2)</f>
        <v>0</v>
      </c>
    </row>
    <row r="2660" customFormat="false" ht="15" hidden="false" customHeight="false" outlineLevel="0" collapsed="false">
      <c r="A2660" s="27" t="s">
        <v>117</v>
      </c>
      <c r="B2660" s="27" t="s">
        <v>111</v>
      </c>
      <c r="C2660" s="27" t="s">
        <v>40</v>
      </c>
      <c r="D2660" s="27" t="s">
        <v>44</v>
      </c>
      <c r="E2660" s="28" t="n">
        <f aca="false">ROUND((SUMIFS(Acerto_Detalhado!$F$2:$F$433,Acerto_Detalhado!$A$2:$A$433,$C2660,Acerto_Detalhado!$B$2:$B$433,"Jul",Acerto_Detalhado!$C$2:$C$433,"Fibra"))*(SUMIFS(Acerto_Detalhado!$I$2:$I$433,Acerto_Detalhado!$A$2:$A$433,$D2660,Acerto_Detalhado!$B$2:$B$433,"Jul",Acerto_Detalhado!$C$2:$C$433,"Fibra")),2)</f>
        <v>0</v>
      </c>
    </row>
    <row r="2661" customFormat="false" ht="15" hidden="false" customHeight="false" outlineLevel="0" collapsed="false">
      <c r="A2661" s="27" t="s">
        <v>117</v>
      </c>
      <c r="B2661" s="27" t="s">
        <v>111</v>
      </c>
      <c r="C2661" s="27" t="s">
        <v>40</v>
      </c>
      <c r="D2661" s="27" t="s">
        <v>45</v>
      </c>
      <c r="E2661" s="28" t="n">
        <f aca="false">ROUND((SUMIFS(Acerto_Detalhado!$F$2:$F$433,Acerto_Detalhado!$A$2:$A$433,$C2661,Acerto_Detalhado!$B$2:$B$433,"Jul",Acerto_Detalhado!$C$2:$C$433,"Fibra"))*(SUMIFS(Acerto_Detalhado!$I$2:$I$433,Acerto_Detalhado!$A$2:$A$433,$D2661,Acerto_Detalhado!$B$2:$B$433,"Jul",Acerto_Detalhado!$C$2:$C$433,"Fibra")),2)</f>
        <v>0</v>
      </c>
    </row>
    <row r="2662" customFormat="false" ht="15" hidden="false" customHeight="false" outlineLevel="0" collapsed="false">
      <c r="A2662" s="27" t="s">
        <v>117</v>
      </c>
      <c r="B2662" s="27" t="s">
        <v>111</v>
      </c>
      <c r="C2662" s="27" t="s">
        <v>40</v>
      </c>
      <c r="D2662" s="27" t="s">
        <v>46</v>
      </c>
      <c r="E2662" s="28" t="n">
        <f aca="false">ROUND((SUMIFS(Acerto_Detalhado!$F$2:$F$433,Acerto_Detalhado!$A$2:$A$433,$C2662,Acerto_Detalhado!$B$2:$B$433,"Jul",Acerto_Detalhado!$C$2:$C$433,"Fibra"))*(SUMIFS(Acerto_Detalhado!$I$2:$I$433,Acerto_Detalhado!$A$2:$A$433,$D2662,Acerto_Detalhado!$B$2:$B$433,"Jul",Acerto_Detalhado!$C$2:$C$433,"Fibra")),2)</f>
        <v>0</v>
      </c>
    </row>
    <row r="2663" customFormat="false" ht="15" hidden="false" customHeight="false" outlineLevel="0" collapsed="false">
      <c r="A2663" s="27" t="s">
        <v>117</v>
      </c>
      <c r="B2663" s="27" t="s">
        <v>111</v>
      </c>
      <c r="C2663" s="27" t="s">
        <v>40</v>
      </c>
      <c r="D2663" s="27" t="s">
        <v>47</v>
      </c>
      <c r="E2663" s="28" t="n">
        <f aca="false">ROUND((SUMIFS(Acerto_Detalhado!$F$2:$F$433,Acerto_Detalhado!$A$2:$A$433,$C2663,Acerto_Detalhado!$B$2:$B$433,"Jul",Acerto_Detalhado!$C$2:$C$433,"Fibra"))*(SUMIFS(Acerto_Detalhado!$I$2:$I$433,Acerto_Detalhado!$A$2:$A$433,$D2663,Acerto_Detalhado!$B$2:$B$433,"Jul",Acerto_Detalhado!$C$2:$C$433,"Fibra")),2)</f>
        <v>0</v>
      </c>
    </row>
    <row r="2664" customFormat="false" ht="15" hidden="false" customHeight="false" outlineLevel="0" collapsed="false">
      <c r="A2664" s="27" t="s">
        <v>117</v>
      </c>
      <c r="B2664" s="27" t="s">
        <v>111</v>
      </c>
      <c r="C2664" s="27" t="s">
        <v>40</v>
      </c>
      <c r="D2664" s="27" t="s">
        <v>48</v>
      </c>
      <c r="E2664" s="28" t="n">
        <f aca="false">ROUND((SUMIFS(Acerto_Detalhado!$F$2:$F$433,Acerto_Detalhado!$A$2:$A$433,$C2664,Acerto_Detalhado!$B$2:$B$433,"Jul",Acerto_Detalhado!$C$2:$C$433,"Fibra"))*(SUMIFS(Acerto_Detalhado!$I$2:$I$433,Acerto_Detalhado!$A$2:$A$433,$D2664,Acerto_Detalhado!$B$2:$B$433,"Jul",Acerto_Detalhado!$C$2:$C$433,"Fibra")),2)</f>
        <v>0</v>
      </c>
    </row>
    <row r="2665" customFormat="false" ht="15" hidden="false" customHeight="false" outlineLevel="0" collapsed="false">
      <c r="A2665" s="27" t="s">
        <v>117</v>
      </c>
      <c r="B2665" s="27" t="s">
        <v>111</v>
      </c>
      <c r="C2665" s="27" t="s">
        <v>40</v>
      </c>
      <c r="D2665" s="27" t="s">
        <v>49</v>
      </c>
      <c r="E2665" s="28" t="n">
        <f aca="false">ROUND((SUMIFS(Acerto_Detalhado!$F$2:$F$433,Acerto_Detalhado!$A$2:$A$433,$C2665,Acerto_Detalhado!$B$2:$B$433,"Jul",Acerto_Detalhado!$C$2:$C$433,"Fibra"))*(SUMIFS(Acerto_Detalhado!$I$2:$I$433,Acerto_Detalhado!$A$2:$A$433,$D2665,Acerto_Detalhado!$B$2:$B$433,"Jul",Acerto_Detalhado!$C$2:$C$433,"Fibra")),2)</f>
        <v>0</v>
      </c>
    </row>
    <row r="2666" customFormat="false" ht="15" hidden="false" customHeight="false" outlineLevel="0" collapsed="false">
      <c r="A2666" s="27" t="s">
        <v>117</v>
      </c>
      <c r="B2666" s="27" t="s">
        <v>111</v>
      </c>
      <c r="C2666" s="27" t="s">
        <v>40</v>
      </c>
      <c r="D2666" s="27" t="s">
        <v>50</v>
      </c>
      <c r="E2666" s="28" t="n">
        <f aca="false">ROUND((SUMIFS(Acerto_Detalhado!$F$2:$F$433,Acerto_Detalhado!$A$2:$A$433,$C2666,Acerto_Detalhado!$B$2:$B$433,"Jul",Acerto_Detalhado!$C$2:$C$433,"Fibra"))*(SUMIFS(Acerto_Detalhado!$I$2:$I$433,Acerto_Detalhado!$A$2:$A$433,$D2666,Acerto_Detalhado!$B$2:$B$433,"Jul",Acerto_Detalhado!$C$2:$C$433,"Fibra")),2)</f>
        <v>0</v>
      </c>
    </row>
    <row r="2667" customFormat="false" ht="15" hidden="false" customHeight="false" outlineLevel="0" collapsed="false">
      <c r="A2667" s="27" t="s">
        <v>117</v>
      </c>
      <c r="B2667" s="27" t="s">
        <v>111</v>
      </c>
      <c r="C2667" s="27" t="s">
        <v>41</v>
      </c>
      <c r="D2667" s="27" t="s">
        <v>39</v>
      </c>
      <c r="E2667" s="28" t="n">
        <f aca="false">ROUND((SUMIFS(Acerto_Detalhado!$F$2:$F$433,Acerto_Detalhado!$A$2:$A$433,$C2667,Acerto_Detalhado!$B$2:$B$433,"Jul",Acerto_Detalhado!$C$2:$C$433,"Fibra"))*(SUMIFS(Acerto_Detalhado!$I$2:$I$433,Acerto_Detalhado!$A$2:$A$433,$D2667,Acerto_Detalhado!$B$2:$B$433,"Jul",Acerto_Detalhado!$C$2:$C$433,"Fibra")),2)</f>
        <v>0</v>
      </c>
    </row>
    <row r="2668" customFormat="false" ht="15" hidden="false" customHeight="false" outlineLevel="0" collapsed="false">
      <c r="A2668" s="27" t="s">
        <v>117</v>
      </c>
      <c r="B2668" s="27" t="s">
        <v>111</v>
      </c>
      <c r="C2668" s="27" t="s">
        <v>41</v>
      </c>
      <c r="D2668" s="27" t="s">
        <v>40</v>
      </c>
      <c r="E2668" s="28" t="n">
        <f aca="false">ROUND((SUMIFS(Acerto_Detalhado!$F$2:$F$433,Acerto_Detalhado!$A$2:$A$433,$C2668,Acerto_Detalhado!$B$2:$B$433,"Jul",Acerto_Detalhado!$C$2:$C$433,"Fibra"))*(SUMIFS(Acerto_Detalhado!$I$2:$I$433,Acerto_Detalhado!$A$2:$A$433,$D2668,Acerto_Detalhado!$B$2:$B$433,"Jul",Acerto_Detalhado!$C$2:$C$433,"Fibra")),2)</f>
        <v>0</v>
      </c>
    </row>
    <row r="2669" customFormat="false" ht="15" hidden="false" customHeight="false" outlineLevel="0" collapsed="false">
      <c r="A2669" s="27" t="s">
        <v>117</v>
      </c>
      <c r="B2669" s="27" t="s">
        <v>111</v>
      </c>
      <c r="C2669" s="27" t="s">
        <v>41</v>
      </c>
      <c r="D2669" s="27" t="s">
        <v>42</v>
      </c>
      <c r="E2669" s="28" t="n">
        <f aca="false">ROUND((SUMIFS(Acerto_Detalhado!$F$2:$F$433,Acerto_Detalhado!$A$2:$A$433,$C2669,Acerto_Detalhado!$B$2:$B$433,"Jul",Acerto_Detalhado!$C$2:$C$433,"Fibra"))*(SUMIFS(Acerto_Detalhado!$I$2:$I$433,Acerto_Detalhado!$A$2:$A$433,$D2669,Acerto_Detalhado!$B$2:$B$433,"Jul",Acerto_Detalhado!$C$2:$C$433,"Fibra")),2)</f>
        <v>0</v>
      </c>
    </row>
    <row r="2670" customFormat="false" ht="15" hidden="false" customHeight="false" outlineLevel="0" collapsed="false">
      <c r="A2670" s="27" t="s">
        <v>117</v>
      </c>
      <c r="B2670" s="27" t="s">
        <v>111</v>
      </c>
      <c r="C2670" s="27" t="s">
        <v>41</v>
      </c>
      <c r="D2670" s="27" t="s">
        <v>43</v>
      </c>
      <c r="E2670" s="28" t="n">
        <f aca="false">ROUND((SUMIFS(Acerto_Detalhado!$F$2:$F$433,Acerto_Detalhado!$A$2:$A$433,$C2670,Acerto_Detalhado!$B$2:$B$433,"Jul",Acerto_Detalhado!$C$2:$C$433,"Fibra"))*(SUMIFS(Acerto_Detalhado!$I$2:$I$433,Acerto_Detalhado!$A$2:$A$433,$D2670,Acerto_Detalhado!$B$2:$B$433,"Jul",Acerto_Detalhado!$C$2:$C$433,"Fibra")),2)</f>
        <v>0</v>
      </c>
    </row>
    <row r="2671" customFormat="false" ht="15" hidden="false" customHeight="false" outlineLevel="0" collapsed="false">
      <c r="A2671" s="27" t="s">
        <v>117</v>
      </c>
      <c r="B2671" s="27" t="s">
        <v>111</v>
      </c>
      <c r="C2671" s="27" t="s">
        <v>41</v>
      </c>
      <c r="D2671" s="27" t="s">
        <v>44</v>
      </c>
      <c r="E2671" s="28" t="n">
        <f aca="false">ROUND((SUMIFS(Acerto_Detalhado!$F$2:$F$433,Acerto_Detalhado!$A$2:$A$433,$C2671,Acerto_Detalhado!$B$2:$B$433,"Jul",Acerto_Detalhado!$C$2:$C$433,"Fibra"))*(SUMIFS(Acerto_Detalhado!$I$2:$I$433,Acerto_Detalhado!$A$2:$A$433,$D2671,Acerto_Detalhado!$B$2:$B$433,"Jul",Acerto_Detalhado!$C$2:$C$433,"Fibra")),2)</f>
        <v>0</v>
      </c>
    </row>
    <row r="2672" customFormat="false" ht="15" hidden="false" customHeight="false" outlineLevel="0" collapsed="false">
      <c r="A2672" s="27" t="s">
        <v>117</v>
      </c>
      <c r="B2672" s="27" t="s">
        <v>111</v>
      </c>
      <c r="C2672" s="27" t="s">
        <v>41</v>
      </c>
      <c r="D2672" s="27" t="s">
        <v>45</v>
      </c>
      <c r="E2672" s="28" t="n">
        <f aca="false">ROUND((SUMIFS(Acerto_Detalhado!$F$2:$F$433,Acerto_Detalhado!$A$2:$A$433,$C2672,Acerto_Detalhado!$B$2:$B$433,"Jul",Acerto_Detalhado!$C$2:$C$433,"Fibra"))*(SUMIFS(Acerto_Detalhado!$I$2:$I$433,Acerto_Detalhado!$A$2:$A$433,$D2672,Acerto_Detalhado!$B$2:$B$433,"Jul",Acerto_Detalhado!$C$2:$C$433,"Fibra")),2)</f>
        <v>0</v>
      </c>
    </row>
    <row r="2673" customFormat="false" ht="15" hidden="false" customHeight="false" outlineLevel="0" collapsed="false">
      <c r="A2673" s="27" t="s">
        <v>117</v>
      </c>
      <c r="B2673" s="27" t="s">
        <v>111</v>
      </c>
      <c r="C2673" s="27" t="s">
        <v>41</v>
      </c>
      <c r="D2673" s="27" t="s">
        <v>46</v>
      </c>
      <c r="E2673" s="28" t="n">
        <f aca="false">ROUND((SUMIFS(Acerto_Detalhado!$F$2:$F$433,Acerto_Detalhado!$A$2:$A$433,$C2673,Acerto_Detalhado!$B$2:$B$433,"Jul",Acerto_Detalhado!$C$2:$C$433,"Fibra"))*(SUMIFS(Acerto_Detalhado!$I$2:$I$433,Acerto_Detalhado!$A$2:$A$433,$D2673,Acerto_Detalhado!$B$2:$B$433,"Jul",Acerto_Detalhado!$C$2:$C$433,"Fibra")),2)</f>
        <v>0</v>
      </c>
    </row>
    <row r="2674" customFormat="false" ht="15" hidden="false" customHeight="false" outlineLevel="0" collapsed="false">
      <c r="A2674" s="27" t="s">
        <v>117</v>
      </c>
      <c r="B2674" s="27" t="s">
        <v>111</v>
      </c>
      <c r="C2674" s="27" t="s">
        <v>41</v>
      </c>
      <c r="D2674" s="27" t="s">
        <v>47</v>
      </c>
      <c r="E2674" s="28" t="n">
        <f aca="false">ROUND((SUMIFS(Acerto_Detalhado!$F$2:$F$433,Acerto_Detalhado!$A$2:$A$433,$C2674,Acerto_Detalhado!$B$2:$B$433,"Jul",Acerto_Detalhado!$C$2:$C$433,"Fibra"))*(SUMIFS(Acerto_Detalhado!$I$2:$I$433,Acerto_Detalhado!$A$2:$A$433,$D2674,Acerto_Detalhado!$B$2:$B$433,"Jul",Acerto_Detalhado!$C$2:$C$433,"Fibra")),2)</f>
        <v>0</v>
      </c>
    </row>
    <row r="2675" customFormat="false" ht="15" hidden="false" customHeight="false" outlineLevel="0" collapsed="false">
      <c r="A2675" s="27" t="s">
        <v>117</v>
      </c>
      <c r="B2675" s="27" t="s">
        <v>111</v>
      </c>
      <c r="C2675" s="27" t="s">
        <v>41</v>
      </c>
      <c r="D2675" s="27" t="s">
        <v>48</v>
      </c>
      <c r="E2675" s="28" t="n">
        <f aca="false">ROUND((SUMIFS(Acerto_Detalhado!$F$2:$F$433,Acerto_Detalhado!$A$2:$A$433,$C2675,Acerto_Detalhado!$B$2:$B$433,"Jul",Acerto_Detalhado!$C$2:$C$433,"Fibra"))*(SUMIFS(Acerto_Detalhado!$I$2:$I$433,Acerto_Detalhado!$A$2:$A$433,$D2675,Acerto_Detalhado!$B$2:$B$433,"Jul",Acerto_Detalhado!$C$2:$C$433,"Fibra")),2)</f>
        <v>0</v>
      </c>
    </row>
    <row r="2676" customFormat="false" ht="15" hidden="false" customHeight="false" outlineLevel="0" collapsed="false">
      <c r="A2676" s="27" t="s">
        <v>117</v>
      </c>
      <c r="B2676" s="27" t="s">
        <v>111</v>
      </c>
      <c r="C2676" s="27" t="s">
        <v>41</v>
      </c>
      <c r="D2676" s="27" t="s">
        <v>49</v>
      </c>
      <c r="E2676" s="28" t="n">
        <f aca="false">ROUND((SUMIFS(Acerto_Detalhado!$F$2:$F$433,Acerto_Detalhado!$A$2:$A$433,$C2676,Acerto_Detalhado!$B$2:$B$433,"Jul",Acerto_Detalhado!$C$2:$C$433,"Fibra"))*(SUMIFS(Acerto_Detalhado!$I$2:$I$433,Acerto_Detalhado!$A$2:$A$433,$D2676,Acerto_Detalhado!$B$2:$B$433,"Jul",Acerto_Detalhado!$C$2:$C$433,"Fibra")),2)</f>
        <v>0</v>
      </c>
    </row>
    <row r="2677" customFormat="false" ht="15" hidden="false" customHeight="false" outlineLevel="0" collapsed="false">
      <c r="A2677" s="27" t="s">
        <v>117</v>
      </c>
      <c r="B2677" s="27" t="s">
        <v>111</v>
      </c>
      <c r="C2677" s="27" t="s">
        <v>41</v>
      </c>
      <c r="D2677" s="27" t="s">
        <v>50</v>
      </c>
      <c r="E2677" s="28" t="n">
        <f aca="false">ROUND((SUMIFS(Acerto_Detalhado!$F$2:$F$433,Acerto_Detalhado!$A$2:$A$433,$C2677,Acerto_Detalhado!$B$2:$B$433,"Jul",Acerto_Detalhado!$C$2:$C$433,"Fibra"))*(SUMIFS(Acerto_Detalhado!$I$2:$I$433,Acerto_Detalhado!$A$2:$A$433,$D2677,Acerto_Detalhado!$B$2:$B$433,"Jul",Acerto_Detalhado!$C$2:$C$433,"Fibra")),2)</f>
        <v>0</v>
      </c>
    </row>
    <row r="2678" customFormat="false" ht="15" hidden="false" customHeight="false" outlineLevel="0" collapsed="false">
      <c r="A2678" s="27" t="s">
        <v>117</v>
      </c>
      <c r="B2678" s="27" t="s">
        <v>111</v>
      </c>
      <c r="C2678" s="27" t="s">
        <v>42</v>
      </c>
      <c r="D2678" s="27" t="s">
        <v>39</v>
      </c>
      <c r="E2678" s="28" t="n">
        <f aca="false">ROUND((SUMIFS(Acerto_Detalhado!$F$2:$F$433,Acerto_Detalhado!$A$2:$A$433,$C2678,Acerto_Detalhado!$B$2:$B$433,"Jul",Acerto_Detalhado!$C$2:$C$433,"Fibra"))*(SUMIFS(Acerto_Detalhado!$I$2:$I$433,Acerto_Detalhado!$A$2:$A$433,$D2678,Acerto_Detalhado!$B$2:$B$433,"Jul",Acerto_Detalhado!$C$2:$C$433,"Fibra")),2)</f>
        <v>0</v>
      </c>
    </row>
    <row r="2679" customFormat="false" ht="15" hidden="false" customHeight="false" outlineLevel="0" collapsed="false">
      <c r="A2679" s="27" t="s">
        <v>117</v>
      </c>
      <c r="B2679" s="27" t="s">
        <v>111</v>
      </c>
      <c r="C2679" s="27" t="s">
        <v>42</v>
      </c>
      <c r="D2679" s="27" t="s">
        <v>40</v>
      </c>
      <c r="E2679" s="28" t="n">
        <f aca="false">ROUND((SUMIFS(Acerto_Detalhado!$F$2:$F$433,Acerto_Detalhado!$A$2:$A$433,$C2679,Acerto_Detalhado!$B$2:$B$433,"Jul",Acerto_Detalhado!$C$2:$C$433,"Fibra"))*(SUMIFS(Acerto_Detalhado!$I$2:$I$433,Acerto_Detalhado!$A$2:$A$433,$D2679,Acerto_Detalhado!$B$2:$B$433,"Jul",Acerto_Detalhado!$C$2:$C$433,"Fibra")),2)</f>
        <v>1472.01</v>
      </c>
    </row>
    <row r="2680" customFormat="false" ht="15" hidden="false" customHeight="false" outlineLevel="0" collapsed="false">
      <c r="A2680" s="27" t="s">
        <v>117</v>
      </c>
      <c r="B2680" s="27" t="s">
        <v>111</v>
      </c>
      <c r="C2680" s="27" t="s">
        <v>42</v>
      </c>
      <c r="D2680" s="27" t="s">
        <v>41</v>
      </c>
      <c r="E2680" s="28" t="n">
        <f aca="false">ROUND((SUMIFS(Acerto_Detalhado!$F$2:$F$433,Acerto_Detalhado!$A$2:$A$433,$C2680,Acerto_Detalhado!$B$2:$B$433,"Jul",Acerto_Detalhado!$C$2:$C$433,"Fibra"))*(SUMIFS(Acerto_Detalhado!$I$2:$I$433,Acerto_Detalhado!$A$2:$A$433,$D2680,Acerto_Detalhado!$B$2:$B$433,"Jul",Acerto_Detalhado!$C$2:$C$433,"Fibra")),2)</f>
        <v>2603.81</v>
      </c>
    </row>
    <row r="2681" customFormat="false" ht="15" hidden="false" customHeight="false" outlineLevel="0" collapsed="false">
      <c r="A2681" s="27" t="s">
        <v>117</v>
      </c>
      <c r="B2681" s="27" t="s">
        <v>111</v>
      </c>
      <c r="C2681" s="27" t="s">
        <v>42</v>
      </c>
      <c r="D2681" s="27" t="s">
        <v>43</v>
      </c>
      <c r="E2681" s="28" t="n">
        <f aca="false">ROUND((SUMIFS(Acerto_Detalhado!$F$2:$F$433,Acerto_Detalhado!$A$2:$A$433,$C2681,Acerto_Detalhado!$B$2:$B$433,"Jul",Acerto_Detalhado!$C$2:$C$433,"Fibra"))*(SUMIFS(Acerto_Detalhado!$I$2:$I$433,Acerto_Detalhado!$A$2:$A$433,$D2681,Acerto_Detalhado!$B$2:$B$433,"Jul",Acerto_Detalhado!$C$2:$C$433,"Fibra")),2)</f>
        <v>2424.4</v>
      </c>
    </row>
    <row r="2682" customFormat="false" ht="15" hidden="false" customHeight="false" outlineLevel="0" collapsed="false">
      <c r="A2682" s="27" t="s">
        <v>117</v>
      </c>
      <c r="B2682" s="27" t="s">
        <v>111</v>
      </c>
      <c r="C2682" s="27" t="s">
        <v>42</v>
      </c>
      <c r="D2682" s="27" t="s">
        <v>44</v>
      </c>
      <c r="E2682" s="28" t="n">
        <f aca="false">ROUND((SUMIFS(Acerto_Detalhado!$F$2:$F$433,Acerto_Detalhado!$A$2:$A$433,$C2682,Acerto_Detalhado!$B$2:$B$433,"Jul",Acerto_Detalhado!$C$2:$C$433,"Fibra"))*(SUMIFS(Acerto_Detalhado!$I$2:$I$433,Acerto_Detalhado!$A$2:$A$433,$D2682,Acerto_Detalhado!$B$2:$B$433,"Jul",Acerto_Detalhado!$C$2:$C$433,"Fibra")),2)</f>
        <v>0</v>
      </c>
    </row>
    <row r="2683" customFormat="false" ht="15" hidden="false" customHeight="false" outlineLevel="0" collapsed="false">
      <c r="A2683" s="27" t="s">
        <v>117</v>
      </c>
      <c r="B2683" s="27" t="s">
        <v>111</v>
      </c>
      <c r="C2683" s="27" t="s">
        <v>42</v>
      </c>
      <c r="D2683" s="27" t="s">
        <v>45</v>
      </c>
      <c r="E2683" s="28" t="n">
        <f aca="false">ROUND((SUMIFS(Acerto_Detalhado!$F$2:$F$433,Acerto_Detalhado!$A$2:$A$433,$C2683,Acerto_Detalhado!$B$2:$B$433,"Jul",Acerto_Detalhado!$C$2:$C$433,"Fibra"))*(SUMIFS(Acerto_Detalhado!$I$2:$I$433,Acerto_Detalhado!$A$2:$A$433,$D2683,Acerto_Detalhado!$B$2:$B$433,"Jul",Acerto_Detalhado!$C$2:$C$433,"Fibra")),2)</f>
        <v>0</v>
      </c>
    </row>
    <row r="2684" customFormat="false" ht="15" hidden="false" customHeight="false" outlineLevel="0" collapsed="false">
      <c r="A2684" s="27" t="s">
        <v>117</v>
      </c>
      <c r="B2684" s="27" t="s">
        <v>111</v>
      </c>
      <c r="C2684" s="27" t="s">
        <v>42</v>
      </c>
      <c r="D2684" s="27" t="s">
        <v>46</v>
      </c>
      <c r="E2684" s="28" t="n">
        <f aca="false">ROUND((SUMIFS(Acerto_Detalhado!$F$2:$F$433,Acerto_Detalhado!$A$2:$A$433,$C2684,Acerto_Detalhado!$B$2:$B$433,"Jul",Acerto_Detalhado!$C$2:$C$433,"Fibra"))*(SUMIFS(Acerto_Detalhado!$I$2:$I$433,Acerto_Detalhado!$A$2:$A$433,$D2684,Acerto_Detalhado!$B$2:$B$433,"Jul",Acerto_Detalhado!$C$2:$C$433,"Fibra")),2)</f>
        <v>0</v>
      </c>
    </row>
    <row r="2685" customFormat="false" ht="15" hidden="false" customHeight="false" outlineLevel="0" collapsed="false">
      <c r="A2685" s="27" t="s">
        <v>117</v>
      </c>
      <c r="B2685" s="27" t="s">
        <v>111</v>
      </c>
      <c r="C2685" s="27" t="s">
        <v>42</v>
      </c>
      <c r="D2685" s="27" t="s">
        <v>47</v>
      </c>
      <c r="E2685" s="28" t="n">
        <f aca="false">ROUND((SUMIFS(Acerto_Detalhado!$F$2:$F$433,Acerto_Detalhado!$A$2:$A$433,$C2685,Acerto_Detalhado!$B$2:$B$433,"Jul",Acerto_Detalhado!$C$2:$C$433,"Fibra"))*(SUMIFS(Acerto_Detalhado!$I$2:$I$433,Acerto_Detalhado!$A$2:$A$433,$D2685,Acerto_Detalhado!$B$2:$B$433,"Jul",Acerto_Detalhado!$C$2:$C$433,"Fibra")),2)</f>
        <v>0</v>
      </c>
    </row>
    <row r="2686" customFormat="false" ht="15" hidden="false" customHeight="false" outlineLevel="0" collapsed="false">
      <c r="A2686" s="27" t="s">
        <v>117</v>
      </c>
      <c r="B2686" s="27" t="s">
        <v>111</v>
      </c>
      <c r="C2686" s="27" t="s">
        <v>42</v>
      </c>
      <c r="D2686" s="27" t="s">
        <v>48</v>
      </c>
      <c r="E2686" s="28" t="n">
        <f aca="false">ROUND((SUMIFS(Acerto_Detalhado!$F$2:$F$433,Acerto_Detalhado!$A$2:$A$433,$C2686,Acerto_Detalhado!$B$2:$B$433,"Jul",Acerto_Detalhado!$C$2:$C$433,"Fibra"))*(SUMIFS(Acerto_Detalhado!$I$2:$I$433,Acerto_Detalhado!$A$2:$A$433,$D2686,Acerto_Detalhado!$B$2:$B$433,"Jul",Acerto_Detalhado!$C$2:$C$433,"Fibra")),2)</f>
        <v>1832.83</v>
      </c>
    </row>
    <row r="2687" customFormat="false" ht="15" hidden="false" customHeight="false" outlineLevel="0" collapsed="false">
      <c r="A2687" s="27" t="s">
        <v>117</v>
      </c>
      <c r="B2687" s="27" t="s">
        <v>111</v>
      </c>
      <c r="C2687" s="27" t="s">
        <v>42</v>
      </c>
      <c r="D2687" s="27" t="s">
        <v>49</v>
      </c>
      <c r="E2687" s="28" t="n">
        <f aca="false">ROUND((SUMIFS(Acerto_Detalhado!$F$2:$F$433,Acerto_Detalhado!$A$2:$A$433,$C2687,Acerto_Detalhado!$B$2:$B$433,"Jul",Acerto_Detalhado!$C$2:$C$433,"Fibra"))*(SUMIFS(Acerto_Detalhado!$I$2:$I$433,Acerto_Detalhado!$A$2:$A$433,$D2687,Acerto_Detalhado!$B$2:$B$433,"Jul",Acerto_Detalhado!$C$2:$C$433,"Fibra")),2)</f>
        <v>0</v>
      </c>
    </row>
    <row r="2688" customFormat="false" ht="15" hidden="false" customHeight="false" outlineLevel="0" collapsed="false">
      <c r="A2688" s="27" t="s">
        <v>117</v>
      </c>
      <c r="B2688" s="27" t="s">
        <v>111</v>
      </c>
      <c r="C2688" s="27" t="s">
        <v>42</v>
      </c>
      <c r="D2688" s="27" t="s">
        <v>50</v>
      </c>
      <c r="E2688" s="28" t="n">
        <f aca="false">ROUND((SUMIFS(Acerto_Detalhado!$F$2:$F$433,Acerto_Detalhado!$A$2:$A$433,$C2688,Acerto_Detalhado!$B$2:$B$433,"Jul",Acerto_Detalhado!$C$2:$C$433,"Fibra"))*(SUMIFS(Acerto_Detalhado!$I$2:$I$433,Acerto_Detalhado!$A$2:$A$433,$D2688,Acerto_Detalhado!$B$2:$B$433,"Jul",Acerto_Detalhado!$C$2:$C$433,"Fibra")),2)</f>
        <v>0</v>
      </c>
    </row>
    <row r="2689" customFormat="false" ht="15" hidden="false" customHeight="false" outlineLevel="0" collapsed="false">
      <c r="A2689" s="27" t="s">
        <v>117</v>
      </c>
      <c r="B2689" s="27" t="s">
        <v>111</v>
      </c>
      <c r="C2689" s="27" t="s">
        <v>43</v>
      </c>
      <c r="D2689" s="27" t="s">
        <v>39</v>
      </c>
      <c r="E2689" s="28" t="n">
        <f aca="false">ROUND((SUMIFS(Acerto_Detalhado!$F$2:$F$433,Acerto_Detalhado!$A$2:$A$433,$C2689,Acerto_Detalhado!$B$2:$B$433,"Jul",Acerto_Detalhado!$C$2:$C$433,"Fibra"))*(SUMIFS(Acerto_Detalhado!$I$2:$I$433,Acerto_Detalhado!$A$2:$A$433,$D2689,Acerto_Detalhado!$B$2:$B$433,"Jul",Acerto_Detalhado!$C$2:$C$433,"Fibra")),2)</f>
        <v>0</v>
      </c>
    </row>
    <row r="2690" customFormat="false" ht="15" hidden="false" customHeight="false" outlineLevel="0" collapsed="false">
      <c r="A2690" s="27" t="s">
        <v>117</v>
      </c>
      <c r="B2690" s="27" t="s">
        <v>111</v>
      </c>
      <c r="C2690" s="27" t="s">
        <v>43</v>
      </c>
      <c r="D2690" s="27" t="s">
        <v>40</v>
      </c>
      <c r="E2690" s="28" t="n">
        <f aca="false">ROUND((SUMIFS(Acerto_Detalhado!$F$2:$F$433,Acerto_Detalhado!$A$2:$A$433,$C2690,Acerto_Detalhado!$B$2:$B$433,"Jul",Acerto_Detalhado!$C$2:$C$433,"Fibra"))*(SUMIFS(Acerto_Detalhado!$I$2:$I$433,Acerto_Detalhado!$A$2:$A$433,$D2690,Acerto_Detalhado!$B$2:$B$433,"Jul",Acerto_Detalhado!$C$2:$C$433,"Fibra")),2)</f>
        <v>0</v>
      </c>
    </row>
    <row r="2691" customFormat="false" ht="15" hidden="false" customHeight="false" outlineLevel="0" collapsed="false">
      <c r="A2691" s="27" t="s">
        <v>117</v>
      </c>
      <c r="B2691" s="27" t="s">
        <v>111</v>
      </c>
      <c r="C2691" s="27" t="s">
        <v>43</v>
      </c>
      <c r="D2691" s="27" t="s">
        <v>41</v>
      </c>
      <c r="E2691" s="28" t="n">
        <f aca="false">ROUND((SUMIFS(Acerto_Detalhado!$F$2:$F$433,Acerto_Detalhado!$A$2:$A$433,$C2691,Acerto_Detalhado!$B$2:$B$433,"Jul",Acerto_Detalhado!$C$2:$C$433,"Fibra"))*(SUMIFS(Acerto_Detalhado!$I$2:$I$433,Acerto_Detalhado!$A$2:$A$433,$D2691,Acerto_Detalhado!$B$2:$B$433,"Jul",Acerto_Detalhado!$C$2:$C$433,"Fibra")),2)</f>
        <v>0</v>
      </c>
    </row>
    <row r="2692" customFormat="false" ht="15" hidden="false" customHeight="false" outlineLevel="0" collapsed="false">
      <c r="A2692" s="27" t="s">
        <v>117</v>
      </c>
      <c r="B2692" s="27" t="s">
        <v>111</v>
      </c>
      <c r="C2692" s="27" t="s">
        <v>43</v>
      </c>
      <c r="D2692" s="27" t="s">
        <v>42</v>
      </c>
      <c r="E2692" s="28" t="n">
        <f aca="false">ROUND((SUMIFS(Acerto_Detalhado!$F$2:$F$433,Acerto_Detalhado!$A$2:$A$433,$C2692,Acerto_Detalhado!$B$2:$B$433,"Jul",Acerto_Detalhado!$C$2:$C$433,"Fibra"))*(SUMIFS(Acerto_Detalhado!$I$2:$I$433,Acerto_Detalhado!$A$2:$A$433,$D2692,Acerto_Detalhado!$B$2:$B$433,"Jul",Acerto_Detalhado!$C$2:$C$433,"Fibra")),2)</f>
        <v>0</v>
      </c>
    </row>
    <row r="2693" customFormat="false" ht="15" hidden="false" customHeight="false" outlineLevel="0" collapsed="false">
      <c r="A2693" s="27" t="s">
        <v>117</v>
      </c>
      <c r="B2693" s="27" t="s">
        <v>111</v>
      </c>
      <c r="C2693" s="27" t="s">
        <v>43</v>
      </c>
      <c r="D2693" s="27" t="s">
        <v>44</v>
      </c>
      <c r="E2693" s="28" t="n">
        <f aca="false">ROUND((SUMIFS(Acerto_Detalhado!$F$2:$F$433,Acerto_Detalhado!$A$2:$A$433,$C2693,Acerto_Detalhado!$B$2:$B$433,"Jul",Acerto_Detalhado!$C$2:$C$433,"Fibra"))*(SUMIFS(Acerto_Detalhado!$I$2:$I$433,Acerto_Detalhado!$A$2:$A$433,$D2693,Acerto_Detalhado!$B$2:$B$433,"Jul",Acerto_Detalhado!$C$2:$C$433,"Fibra")),2)</f>
        <v>0</v>
      </c>
    </row>
    <row r="2694" customFormat="false" ht="15" hidden="false" customHeight="false" outlineLevel="0" collapsed="false">
      <c r="A2694" s="27" t="s">
        <v>117</v>
      </c>
      <c r="B2694" s="27" t="s">
        <v>111</v>
      </c>
      <c r="C2694" s="27" t="s">
        <v>43</v>
      </c>
      <c r="D2694" s="27" t="s">
        <v>45</v>
      </c>
      <c r="E2694" s="28" t="n">
        <f aca="false">ROUND((SUMIFS(Acerto_Detalhado!$F$2:$F$433,Acerto_Detalhado!$A$2:$A$433,$C2694,Acerto_Detalhado!$B$2:$B$433,"Jul",Acerto_Detalhado!$C$2:$C$433,"Fibra"))*(SUMIFS(Acerto_Detalhado!$I$2:$I$433,Acerto_Detalhado!$A$2:$A$433,$D2694,Acerto_Detalhado!$B$2:$B$433,"Jul",Acerto_Detalhado!$C$2:$C$433,"Fibra")),2)</f>
        <v>0</v>
      </c>
    </row>
    <row r="2695" customFormat="false" ht="15" hidden="false" customHeight="false" outlineLevel="0" collapsed="false">
      <c r="A2695" s="27" t="s">
        <v>117</v>
      </c>
      <c r="B2695" s="27" t="s">
        <v>111</v>
      </c>
      <c r="C2695" s="27" t="s">
        <v>43</v>
      </c>
      <c r="D2695" s="27" t="s">
        <v>46</v>
      </c>
      <c r="E2695" s="28" t="n">
        <f aca="false">ROUND((SUMIFS(Acerto_Detalhado!$F$2:$F$433,Acerto_Detalhado!$A$2:$A$433,$C2695,Acerto_Detalhado!$B$2:$B$433,"Jul",Acerto_Detalhado!$C$2:$C$433,"Fibra"))*(SUMIFS(Acerto_Detalhado!$I$2:$I$433,Acerto_Detalhado!$A$2:$A$433,$D2695,Acerto_Detalhado!$B$2:$B$433,"Jul",Acerto_Detalhado!$C$2:$C$433,"Fibra")),2)</f>
        <v>0</v>
      </c>
    </row>
    <row r="2696" customFormat="false" ht="15" hidden="false" customHeight="false" outlineLevel="0" collapsed="false">
      <c r="A2696" s="27" t="s">
        <v>117</v>
      </c>
      <c r="B2696" s="27" t="s">
        <v>111</v>
      </c>
      <c r="C2696" s="27" t="s">
        <v>43</v>
      </c>
      <c r="D2696" s="27" t="s">
        <v>47</v>
      </c>
      <c r="E2696" s="28" t="n">
        <f aca="false">ROUND((SUMIFS(Acerto_Detalhado!$F$2:$F$433,Acerto_Detalhado!$A$2:$A$433,$C2696,Acerto_Detalhado!$B$2:$B$433,"Jul",Acerto_Detalhado!$C$2:$C$433,"Fibra"))*(SUMIFS(Acerto_Detalhado!$I$2:$I$433,Acerto_Detalhado!$A$2:$A$433,$D2696,Acerto_Detalhado!$B$2:$B$433,"Jul",Acerto_Detalhado!$C$2:$C$433,"Fibra")),2)</f>
        <v>0</v>
      </c>
    </row>
    <row r="2697" customFormat="false" ht="15" hidden="false" customHeight="false" outlineLevel="0" collapsed="false">
      <c r="A2697" s="27" t="s">
        <v>117</v>
      </c>
      <c r="B2697" s="27" t="s">
        <v>111</v>
      </c>
      <c r="C2697" s="27" t="s">
        <v>43</v>
      </c>
      <c r="D2697" s="27" t="s">
        <v>48</v>
      </c>
      <c r="E2697" s="28" t="n">
        <f aca="false">ROUND((SUMIFS(Acerto_Detalhado!$F$2:$F$433,Acerto_Detalhado!$A$2:$A$433,$C2697,Acerto_Detalhado!$B$2:$B$433,"Jul",Acerto_Detalhado!$C$2:$C$433,"Fibra"))*(SUMIFS(Acerto_Detalhado!$I$2:$I$433,Acerto_Detalhado!$A$2:$A$433,$D2697,Acerto_Detalhado!$B$2:$B$433,"Jul",Acerto_Detalhado!$C$2:$C$433,"Fibra")),2)</f>
        <v>0</v>
      </c>
    </row>
    <row r="2698" customFormat="false" ht="15" hidden="false" customHeight="false" outlineLevel="0" collapsed="false">
      <c r="A2698" s="27" t="s">
        <v>117</v>
      </c>
      <c r="B2698" s="27" t="s">
        <v>111</v>
      </c>
      <c r="C2698" s="27" t="s">
        <v>43</v>
      </c>
      <c r="D2698" s="27" t="s">
        <v>49</v>
      </c>
      <c r="E2698" s="28" t="n">
        <f aca="false">ROUND((SUMIFS(Acerto_Detalhado!$F$2:$F$433,Acerto_Detalhado!$A$2:$A$433,$C2698,Acerto_Detalhado!$B$2:$B$433,"Jul",Acerto_Detalhado!$C$2:$C$433,"Fibra"))*(SUMIFS(Acerto_Detalhado!$I$2:$I$433,Acerto_Detalhado!$A$2:$A$433,$D2698,Acerto_Detalhado!$B$2:$B$433,"Jul",Acerto_Detalhado!$C$2:$C$433,"Fibra")),2)</f>
        <v>0</v>
      </c>
    </row>
    <row r="2699" customFormat="false" ht="15" hidden="false" customHeight="false" outlineLevel="0" collapsed="false">
      <c r="A2699" s="27" t="s">
        <v>117</v>
      </c>
      <c r="B2699" s="27" t="s">
        <v>111</v>
      </c>
      <c r="C2699" s="27" t="s">
        <v>43</v>
      </c>
      <c r="D2699" s="27" t="s">
        <v>50</v>
      </c>
      <c r="E2699" s="28" t="n">
        <f aca="false">ROUND((SUMIFS(Acerto_Detalhado!$F$2:$F$433,Acerto_Detalhado!$A$2:$A$433,$C2699,Acerto_Detalhado!$B$2:$B$433,"Jul",Acerto_Detalhado!$C$2:$C$433,"Fibra"))*(SUMIFS(Acerto_Detalhado!$I$2:$I$433,Acerto_Detalhado!$A$2:$A$433,$D2699,Acerto_Detalhado!$B$2:$B$433,"Jul",Acerto_Detalhado!$C$2:$C$433,"Fibra")),2)</f>
        <v>0</v>
      </c>
    </row>
    <row r="2700" customFormat="false" ht="15" hidden="false" customHeight="false" outlineLevel="0" collapsed="false">
      <c r="A2700" s="27" t="s">
        <v>117</v>
      </c>
      <c r="B2700" s="27" t="s">
        <v>111</v>
      </c>
      <c r="C2700" s="27" t="s">
        <v>44</v>
      </c>
      <c r="D2700" s="27" t="s">
        <v>39</v>
      </c>
      <c r="E2700" s="28" t="n">
        <f aca="false">ROUND((SUMIFS(Acerto_Detalhado!$F$2:$F$433,Acerto_Detalhado!$A$2:$A$433,$C2700,Acerto_Detalhado!$B$2:$B$433,"Jul",Acerto_Detalhado!$C$2:$C$433,"Fibra"))*(SUMIFS(Acerto_Detalhado!$I$2:$I$433,Acerto_Detalhado!$A$2:$A$433,$D2700,Acerto_Detalhado!$B$2:$B$433,"Jul",Acerto_Detalhado!$C$2:$C$433,"Fibra")),2)</f>
        <v>0</v>
      </c>
    </row>
    <row r="2701" customFormat="false" ht="15" hidden="false" customHeight="false" outlineLevel="0" collapsed="false">
      <c r="A2701" s="27" t="s">
        <v>117</v>
      </c>
      <c r="B2701" s="27" t="s">
        <v>111</v>
      </c>
      <c r="C2701" s="27" t="s">
        <v>44</v>
      </c>
      <c r="D2701" s="27" t="s">
        <v>40</v>
      </c>
      <c r="E2701" s="28" t="n">
        <f aca="false">ROUND((SUMIFS(Acerto_Detalhado!$F$2:$F$433,Acerto_Detalhado!$A$2:$A$433,$C2701,Acerto_Detalhado!$B$2:$B$433,"Jul",Acerto_Detalhado!$C$2:$C$433,"Fibra"))*(SUMIFS(Acerto_Detalhado!$I$2:$I$433,Acerto_Detalhado!$A$2:$A$433,$D2701,Acerto_Detalhado!$B$2:$B$433,"Jul",Acerto_Detalhado!$C$2:$C$433,"Fibra")),2)</f>
        <v>2694.66</v>
      </c>
    </row>
    <row r="2702" customFormat="false" ht="15" hidden="false" customHeight="false" outlineLevel="0" collapsed="false">
      <c r="A2702" s="27" t="s">
        <v>117</v>
      </c>
      <c r="B2702" s="27" t="s">
        <v>111</v>
      </c>
      <c r="C2702" s="27" t="s">
        <v>44</v>
      </c>
      <c r="D2702" s="27" t="s">
        <v>41</v>
      </c>
      <c r="E2702" s="28" t="n">
        <f aca="false">ROUND((SUMIFS(Acerto_Detalhado!$F$2:$F$433,Acerto_Detalhado!$A$2:$A$433,$C2702,Acerto_Detalhado!$B$2:$B$433,"Jul",Acerto_Detalhado!$C$2:$C$433,"Fibra"))*(SUMIFS(Acerto_Detalhado!$I$2:$I$433,Acerto_Detalhado!$A$2:$A$433,$D2702,Acerto_Detalhado!$B$2:$B$433,"Jul",Acerto_Detalhado!$C$2:$C$433,"Fibra")),2)</f>
        <v>4766.54</v>
      </c>
    </row>
    <row r="2703" customFormat="false" ht="15" hidden="false" customHeight="false" outlineLevel="0" collapsed="false">
      <c r="A2703" s="27" t="s">
        <v>117</v>
      </c>
      <c r="B2703" s="27" t="s">
        <v>111</v>
      </c>
      <c r="C2703" s="27" t="s">
        <v>44</v>
      </c>
      <c r="D2703" s="27" t="s">
        <v>42</v>
      </c>
      <c r="E2703" s="28" t="n">
        <f aca="false">ROUND((SUMIFS(Acerto_Detalhado!$F$2:$F$433,Acerto_Detalhado!$A$2:$A$433,$C2703,Acerto_Detalhado!$B$2:$B$433,"Jul",Acerto_Detalhado!$C$2:$C$433,"Fibra"))*(SUMIFS(Acerto_Detalhado!$I$2:$I$433,Acerto_Detalhado!$A$2:$A$433,$D2703,Acerto_Detalhado!$B$2:$B$433,"Jul",Acerto_Detalhado!$C$2:$C$433,"Fibra")),2)</f>
        <v>0</v>
      </c>
    </row>
    <row r="2704" customFormat="false" ht="15" hidden="false" customHeight="false" outlineLevel="0" collapsed="false">
      <c r="A2704" s="27" t="s">
        <v>117</v>
      </c>
      <c r="B2704" s="27" t="s">
        <v>111</v>
      </c>
      <c r="C2704" s="27" t="s">
        <v>44</v>
      </c>
      <c r="D2704" s="27" t="s">
        <v>43</v>
      </c>
      <c r="E2704" s="28" t="n">
        <f aca="false">ROUND((SUMIFS(Acerto_Detalhado!$F$2:$F$433,Acerto_Detalhado!$A$2:$A$433,$C2704,Acerto_Detalhado!$B$2:$B$433,"Jul",Acerto_Detalhado!$C$2:$C$433,"Fibra"))*(SUMIFS(Acerto_Detalhado!$I$2:$I$433,Acerto_Detalhado!$A$2:$A$433,$D2704,Acerto_Detalhado!$B$2:$B$433,"Jul",Acerto_Detalhado!$C$2:$C$433,"Fibra")),2)</f>
        <v>4438.11</v>
      </c>
    </row>
    <row r="2705" customFormat="false" ht="15" hidden="false" customHeight="false" outlineLevel="0" collapsed="false">
      <c r="A2705" s="27" t="s">
        <v>117</v>
      </c>
      <c r="B2705" s="27" t="s">
        <v>111</v>
      </c>
      <c r="C2705" s="27" t="s">
        <v>44</v>
      </c>
      <c r="D2705" s="27" t="s">
        <v>45</v>
      </c>
      <c r="E2705" s="28" t="n">
        <f aca="false">ROUND((SUMIFS(Acerto_Detalhado!$F$2:$F$433,Acerto_Detalhado!$A$2:$A$433,$C2705,Acerto_Detalhado!$B$2:$B$433,"Jul",Acerto_Detalhado!$C$2:$C$433,"Fibra"))*(SUMIFS(Acerto_Detalhado!$I$2:$I$433,Acerto_Detalhado!$A$2:$A$433,$D2705,Acerto_Detalhado!$B$2:$B$433,"Jul",Acerto_Detalhado!$C$2:$C$433,"Fibra")),2)</f>
        <v>0</v>
      </c>
    </row>
    <row r="2706" customFormat="false" ht="15" hidden="false" customHeight="false" outlineLevel="0" collapsed="false">
      <c r="A2706" s="27" t="s">
        <v>117</v>
      </c>
      <c r="B2706" s="27" t="s">
        <v>111</v>
      </c>
      <c r="C2706" s="27" t="s">
        <v>44</v>
      </c>
      <c r="D2706" s="27" t="s">
        <v>46</v>
      </c>
      <c r="E2706" s="28" t="n">
        <f aca="false">ROUND((SUMIFS(Acerto_Detalhado!$F$2:$F$433,Acerto_Detalhado!$A$2:$A$433,$C2706,Acerto_Detalhado!$B$2:$B$433,"Jul",Acerto_Detalhado!$C$2:$C$433,"Fibra"))*(SUMIFS(Acerto_Detalhado!$I$2:$I$433,Acerto_Detalhado!$A$2:$A$433,$D2706,Acerto_Detalhado!$B$2:$B$433,"Jul",Acerto_Detalhado!$C$2:$C$433,"Fibra")),2)</f>
        <v>0</v>
      </c>
    </row>
    <row r="2707" customFormat="false" ht="15" hidden="false" customHeight="false" outlineLevel="0" collapsed="false">
      <c r="A2707" s="27" t="s">
        <v>117</v>
      </c>
      <c r="B2707" s="27" t="s">
        <v>111</v>
      </c>
      <c r="C2707" s="27" t="s">
        <v>44</v>
      </c>
      <c r="D2707" s="27" t="s">
        <v>47</v>
      </c>
      <c r="E2707" s="28" t="n">
        <f aca="false">ROUND((SUMIFS(Acerto_Detalhado!$F$2:$F$433,Acerto_Detalhado!$A$2:$A$433,$C2707,Acerto_Detalhado!$B$2:$B$433,"Jul",Acerto_Detalhado!$C$2:$C$433,"Fibra"))*(SUMIFS(Acerto_Detalhado!$I$2:$I$433,Acerto_Detalhado!$A$2:$A$433,$D2707,Acerto_Detalhado!$B$2:$B$433,"Jul",Acerto_Detalhado!$C$2:$C$433,"Fibra")),2)</f>
        <v>0</v>
      </c>
    </row>
    <row r="2708" customFormat="false" ht="15" hidden="false" customHeight="false" outlineLevel="0" collapsed="false">
      <c r="A2708" s="27" t="s">
        <v>117</v>
      </c>
      <c r="B2708" s="27" t="s">
        <v>111</v>
      </c>
      <c r="C2708" s="27" t="s">
        <v>44</v>
      </c>
      <c r="D2708" s="27" t="s">
        <v>48</v>
      </c>
      <c r="E2708" s="28" t="n">
        <f aca="false">ROUND((SUMIFS(Acerto_Detalhado!$F$2:$F$433,Acerto_Detalhado!$A$2:$A$433,$C2708,Acerto_Detalhado!$B$2:$B$433,"Jul",Acerto_Detalhado!$C$2:$C$433,"Fibra"))*(SUMIFS(Acerto_Detalhado!$I$2:$I$433,Acerto_Detalhado!$A$2:$A$433,$D2708,Acerto_Detalhado!$B$2:$B$433,"Jul",Acerto_Detalhado!$C$2:$C$433,"Fibra")),2)</f>
        <v>3355.17</v>
      </c>
    </row>
    <row r="2709" customFormat="false" ht="15" hidden="false" customHeight="false" outlineLevel="0" collapsed="false">
      <c r="A2709" s="27" t="s">
        <v>117</v>
      </c>
      <c r="B2709" s="27" t="s">
        <v>111</v>
      </c>
      <c r="C2709" s="27" t="s">
        <v>44</v>
      </c>
      <c r="D2709" s="27" t="s">
        <v>49</v>
      </c>
      <c r="E2709" s="28" t="n">
        <f aca="false">ROUND((SUMIFS(Acerto_Detalhado!$F$2:$F$433,Acerto_Detalhado!$A$2:$A$433,$C2709,Acerto_Detalhado!$B$2:$B$433,"Jul",Acerto_Detalhado!$C$2:$C$433,"Fibra"))*(SUMIFS(Acerto_Detalhado!$I$2:$I$433,Acerto_Detalhado!$A$2:$A$433,$D2709,Acerto_Detalhado!$B$2:$B$433,"Jul",Acerto_Detalhado!$C$2:$C$433,"Fibra")),2)</f>
        <v>0</v>
      </c>
    </row>
    <row r="2710" customFormat="false" ht="15" hidden="false" customHeight="false" outlineLevel="0" collapsed="false">
      <c r="A2710" s="27" t="s">
        <v>117</v>
      </c>
      <c r="B2710" s="27" t="s">
        <v>111</v>
      </c>
      <c r="C2710" s="27" t="s">
        <v>44</v>
      </c>
      <c r="D2710" s="27" t="s">
        <v>50</v>
      </c>
      <c r="E2710" s="28" t="n">
        <f aca="false">ROUND((SUMIFS(Acerto_Detalhado!$F$2:$F$433,Acerto_Detalhado!$A$2:$A$433,$C2710,Acerto_Detalhado!$B$2:$B$433,"Jul",Acerto_Detalhado!$C$2:$C$433,"Fibra"))*(SUMIFS(Acerto_Detalhado!$I$2:$I$433,Acerto_Detalhado!$A$2:$A$433,$D2710,Acerto_Detalhado!$B$2:$B$433,"Jul",Acerto_Detalhado!$C$2:$C$433,"Fibra")),2)</f>
        <v>0</v>
      </c>
    </row>
    <row r="2711" customFormat="false" ht="15" hidden="false" customHeight="false" outlineLevel="0" collapsed="false">
      <c r="A2711" s="27" t="s">
        <v>117</v>
      </c>
      <c r="B2711" s="27" t="s">
        <v>111</v>
      </c>
      <c r="C2711" s="27" t="s">
        <v>45</v>
      </c>
      <c r="D2711" s="27" t="s">
        <v>39</v>
      </c>
      <c r="E2711" s="28" t="n">
        <f aca="false">ROUND((SUMIFS(Acerto_Detalhado!$F$2:$F$433,Acerto_Detalhado!$A$2:$A$433,$C2711,Acerto_Detalhado!$B$2:$B$433,"Jul",Acerto_Detalhado!$C$2:$C$433,"Fibra"))*(SUMIFS(Acerto_Detalhado!$I$2:$I$433,Acerto_Detalhado!$A$2:$A$433,$D2711,Acerto_Detalhado!$B$2:$B$433,"Jul",Acerto_Detalhado!$C$2:$C$433,"Fibra")),2)</f>
        <v>0</v>
      </c>
    </row>
    <row r="2712" customFormat="false" ht="15" hidden="false" customHeight="false" outlineLevel="0" collapsed="false">
      <c r="A2712" s="27" t="s">
        <v>117</v>
      </c>
      <c r="B2712" s="27" t="s">
        <v>111</v>
      </c>
      <c r="C2712" s="27" t="s">
        <v>45</v>
      </c>
      <c r="D2712" s="27" t="s">
        <v>40</v>
      </c>
      <c r="E2712" s="28" t="n">
        <f aca="false">ROUND((SUMIFS(Acerto_Detalhado!$F$2:$F$433,Acerto_Detalhado!$A$2:$A$433,$C2712,Acerto_Detalhado!$B$2:$B$433,"Jul",Acerto_Detalhado!$C$2:$C$433,"Fibra"))*(SUMIFS(Acerto_Detalhado!$I$2:$I$433,Acerto_Detalhado!$A$2:$A$433,$D2712,Acerto_Detalhado!$B$2:$B$433,"Jul",Acerto_Detalhado!$C$2:$C$433,"Fibra")),2)</f>
        <v>1652.02</v>
      </c>
    </row>
    <row r="2713" customFormat="false" ht="15" hidden="false" customHeight="false" outlineLevel="0" collapsed="false">
      <c r="A2713" s="27" t="s">
        <v>117</v>
      </c>
      <c r="B2713" s="27" t="s">
        <v>111</v>
      </c>
      <c r="C2713" s="27" t="s">
        <v>45</v>
      </c>
      <c r="D2713" s="27" t="s">
        <v>41</v>
      </c>
      <c r="E2713" s="28" t="n">
        <f aca="false">ROUND((SUMIFS(Acerto_Detalhado!$F$2:$F$433,Acerto_Detalhado!$A$2:$A$433,$C2713,Acerto_Detalhado!$B$2:$B$433,"Jul",Acerto_Detalhado!$C$2:$C$433,"Fibra"))*(SUMIFS(Acerto_Detalhado!$I$2:$I$433,Acerto_Detalhado!$A$2:$A$433,$D2713,Acerto_Detalhado!$B$2:$B$433,"Jul",Acerto_Detalhado!$C$2:$C$433,"Fibra")),2)</f>
        <v>2922.23</v>
      </c>
    </row>
    <row r="2714" customFormat="false" ht="15" hidden="false" customHeight="false" outlineLevel="0" collapsed="false">
      <c r="A2714" s="27" t="s">
        <v>117</v>
      </c>
      <c r="B2714" s="27" t="s">
        <v>111</v>
      </c>
      <c r="C2714" s="27" t="s">
        <v>45</v>
      </c>
      <c r="D2714" s="27" t="s">
        <v>42</v>
      </c>
      <c r="E2714" s="28" t="n">
        <f aca="false">ROUND((SUMIFS(Acerto_Detalhado!$F$2:$F$433,Acerto_Detalhado!$A$2:$A$433,$C2714,Acerto_Detalhado!$B$2:$B$433,"Jul",Acerto_Detalhado!$C$2:$C$433,"Fibra"))*(SUMIFS(Acerto_Detalhado!$I$2:$I$433,Acerto_Detalhado!$A$2:$A$433,$D2714,Acerto_Detalhado!$B$2:$B$433,"Jul",Acerto_Detalhado!$C$2:$C$433,"Fibra")),2)</f>
        <v>0</v>
      </c>
    </row>
    <row r="2715" customFormat="false" ht="15" hidden="false" customHeight="false" outlineLevel="0" collapsed="false">
      <c r="A2715" s="27" t="s">
        <v>117</v>
      </c>
      <c r="B2715" s="27" t="s">
        <v>111</v>
      </c>
      <c r="C2715" s="27" t="s">
        <v>45</v>
      </c>
      <c r="D2715" s="27" t="s">
        <v>43</v>
      </c>
      <c r="E2715" s="28" t="n">
        <f aca="false">ROUND((SUMIFS(Acerto_Detalhado!$F$2:$F$433,Acerto_Detalhado!$A$2:$A$433,$C2715,Acerto_Detalhado!$B$2:$B$433,"Jul",Acerto_Detalhado!$C$2:$C$433,"Fibra"))*(SUMIFS(Acerto_Detalhado!$I$2:$I$433,Acerto_Detalhado!$A$2:$A$433,$D2715,Acerto_Detalhado!$B$2:$B$433,"Jul",Acerto_Detalhado!$C$2:$C$433,"Fibra")),2)</f>
        <v>2720.88</v>
      </c>
    </row>
    <row r="2716" customFormat="false" ht="15" hidden="false" customHeight="false" outlineLevel="0" collapsed="false">
      <c r="A2716" s="27" t="s">
        <v>117</v>
      </c>
      <c r="B2716" s="27" t="s">
        <v>111</v>
      </c>
      <c r="C2716" s="27" t="s">
        <v>45</v>
      </c>
      <c r="D2716" s="27" t="s">
        <v>44</v>
      </c>
      <c r="E2716" s="28" t="n">
        <f aca="false">ROUND((SUMIFS(Acerto_Detalhado!$F$2:$F$433,Acerto_Detalhado!$A$2:$A$433,$C2716,Acerto_Detalhado!$B$2:$B$433,"Jul",Acerto_Detalhado!$C$2:$C$433,"Fibra"))*(SUMIFS(Acerto_Detalhado!$I$2:$I$433,Acerto_Detalhado!$A$2:$A$433,$D2716,Acerto_Detalhado!$B$2:$B$433,"Jul",Acerto_Detalhado!$C$2:$C$433,"Fibra")),2)</f>
        <v>0</v>
      </c>
    </row>
    <row r="2717" customFormat="false" ht="15" hidden="false" customHeight="false" outlineLevel="0" collapsed="false">
      <c r="A2717" s="27" t="s">
        <v>117</v>
      </c>
      <c r="B2717" s="27" t="s">
        <v>111</v>
      </c>
      <c r="C2717" s="27" t="s">
        <v>45</v>
      </c>
      <c r="D2717" s="27" t="s">
        <v>46</v>
      </c>
      <c r="E2717" s="28" t="n">
        <f aca="false">ROUND((SUMIFS(Acerto_Detalhado!$F$2:$F$433,Acerto_Detalhado!$A$2:$A$433,$C2717,Acerto_Detalhado!$B$2:$B$433,"Jul",Acerto_Detalhado!$C$2:$C$433,"Fibra"))*(SUMIFS(Acerto_Detalhado!$I$2:$I$433,Acerto_Detalhado!$A$2:$A$433,$D2717,Acerto_Detalhado!$B$2:$B$433,"Jul",Acerto_Detalhado!$C$2:$C$433,"Fibra")),2)</f>
        <v>0</v>
      </c>
    </row>
    <row r="2718" customFormat="false" ht="15" hidden="false" customHeight="false" outlineLevel="0" collapsed="false">
      <c r="A2718" s="27" t="s">
        <v>117</v>
      </c>
      <c r="B2718" s="27" t="s">
        <v>111</v>
      </c>
      <c r="C2718" s="27" t="s">
        <v>45</v>
      </c>
      <c r="D2718" s="27" t="s">
        <v>47</v>
      </c>
      <c r="E2718" s="28" t="n">
        <f aca="false">ROUND((SUMIFS(Acerto_Detalhado!$F$2:$F$433,Acerto_Detalhado!$A$2:$A$433,$C2718,Acerto_Detalhado!$B$2:$B$433,"Jul",Acerto_Detalhado!$C$2:$C$433,"Fibra"))*(SUMIFS(Acerto_Detalhado!$I$2:$I$433,Acerto_Detalhado!$A$2:$A$433,$D2718,Acerto_Detalhado!$B$2:$B$433,"Jul",Acerto_Detalhado!$C$2:$C$433,"Fibra")),2)</f>
        <v>0</v>
      </c>
    </row>
    <row r="2719" customFormat="false" ht="15" hidden="false" customHeight="false" outlineLevel="0" collapsed="false">
      <c r="A2719" s="27" t="s">
        <v>117</v>
      </c>
      <c r="B2719" s="27" t="s">
        <v>111</v>
      </c>
      <c r="C2719" s="27" t="s">
        <v>45</v>
      </c>
      <c r="D2719" s="27" t="s">
        <v>48</v>
      </c>
      <c r="E2719" s="28" t="n">
        <f aca="false">ROUND((SUMIFS(Acerto_Detalhado!$F$2:$F$433,Acerto_Detalhado!$A$2:$A$433,$C2719,Acerto_Detalhado!$B$2:$B$433,"Jul",Acerto_Detalhado!$C$2:$C$433,"Fibra"))*(SUMIFS(Acerto_Detalhado!$I$2:$I$433,Acerto_Detalhado!$A$2:$A$433,$D2719,Acerto_Detalhado!$B$2:$B$433,"Jul",Acerto_Detalhado!$C$2:$C$433,"Fibra")),2)</f>
        <v>2056.96</v>
      </c>
    </row>
    <row r="2720" customFormat="false" ht="15" hidden="false" customHeight="false" outlineLevel="0" collapsed="false">
      <c r="A2720" s="27" t="s">
        <v>117</v>
      </c>
      <c r="B2720" s="27" t="s">
        <v>111</v>
      </c>
      <c r="C2720" s="27" t="s">
        <v>45</v>
      </c>
      <c r="D2720" s="27" t="s">
        <v>49</v>
      </c>
      <c r="E2720" s="28" t="n">
        <f aca="false">ROUND((SUMIFS(Acerto_Detalhado!$F$2:$F$433,Acerto_Detalhado!$A$2:$A$433,$C2720,Acerto_Detalhado!$B$2:$B$433,"Jul",Acerto_Detalhado!$C$2:$C$433,"Fibra"))*(SUMIFS(Acerto_Detalhado!$I$2:$I$433,Acerto_Detalhado!$A$2:$A$433,$D2720,Acerto_Detalhado!$B$2:$B$433,"Jul",Acerto_Detalhado!$C$2:$C$433,"Fibra")),2)</f>
        <v>0</v>
      </c>
    </row>
    <row r="2721" customFormat="false" ht="15" hidden="false" customHeight="false" outlineLevel="0" collapsed="false">
      <c r="A2721" s="27" t="s">
        <v>117</v>
      </c>
      <c r="B2721" s="27" t="s">
        <v>111</v>
      </c>
      <c r="C2721" s="27" t="s">
        <v>45</v>
      </c>
      <c r="D2721" s="27" t="s">
        <v>50</v>
      </c>
      <c r="E2721" s="28" t="n">
        <f aca="false">ROUND((SUMIFS(Acerto_Detalhado!$F$2:$F$433,Acerto_Detalhado!$A$2:$A$433,$C2721,Acerto_Detalhado!$B$2:$B$433,"Jul",Acerto_Detalhado!$C$2:$C$433,"Fibra"))*(SUMIFS(Acerto_Detalhado!$I$2:$I$433,Acerto_Detalhado!$A$2:$A$433,$D2721,Acerto_Detalhado!$B$2:$B$433,"Jul",Acerto_Detalhado!$C$2:$C$433,"Fibra")),2)</f>
        <v>0</v>
      </c>
    </row>
    <row r="2722" customFormat="false" ht="15" hidden="false" customHeight="false" outlineLevel="0" collapsed="false">
      <c r="A2722" s="27" t="s">
        <v>117</v>
      </c>
      <c r="B2722" s="27" t="s">
        <v>111</v>
      </c>
      <c r="C2722" s="27" t="s">
        <v>46</v>
      </c>
      <c r="D2722" s="27" t="s">
        <v>39</v>
      </c>
      <c r="E2722" s="28" t="n">
        <f aca="false">ROUND((SUMIFS(Acerto_Detalhado!$F$2:$F$433,Acerto_Detalhado!$A$2:$A$433,$C2722,Acerto_Detalhado!$B$2:$B$433,"Jul",Acerto_Detalhado!$C$2:$C$433,"Fibra"))*(SUMIFS(Acerto_Detalhado!$I$2:$I$433,Acerto_Detalhado!$A$2:$A$433,$D2722,Acerto_Detalhado!$B$2:$B$433,"Jul",Acerto_Detalhado!$C$2:$C$433,"Fibra")),2)</f>
        <v>0</v>
      </c>
    </row>
    <row r="2723" customFormat="false" ht="15" hidden="false" customHeight="false" outlineLevel="0" collapsed="false">
      <c r="A2723" s="27" t="s">
        <v>117</v>
      </c>
      <c r="B2723" s="27" t="s">
        <v>111</v>
      </c>
      <c r="C2723" s="27" t="s">
        <v>46</v>
      </c>
      <c r="D2723" s="27" t="s">
        <v>40</v>
      </c>
      <c r="E2723" s="28" t="n">
        <f aca="false">ROUND((SUMIFS(Acerto_Detalhado!$F$2:$F$433,Acerto_Detalhado!$A$2:$A$433,$C2723,Acerto_Detalhado!$B$2:$B$433,"Jul",Acerto_Detalhado!$C$2:$C$433,"Fibra"))*(SUMIFS(Acerto_Detalhado!$I$2:$I$433,Acerto_Detalhado!$A$2:$A$433,$D2723,Acerto_Detalhado!$B$2:$B$433,"Jul",Acerto_Detalhado!$C$2:$C$433,"Fibra")),2)</f>
        <v>0</v>
      </c>
    </row>
    <row r="2724" customFormat="false" ht="15" hidden="false" customHeight="false" outlineLevel="0" collapsed="false">
      <c r="A2724" s="27" t="s">
        <v>117</v>
      </c>
      <c r="B2724" s="27" t="s">
        <v>111</v>
      </c>
      <c r="C2724" s="27" t="s">
        <v>46</v>
      </c>
      <c r="D2724" s="27" t="s">
        <v>41</v>
      </c>
      <c r="E2724" s="28" t="n">
        <f aca="false">ROUND((SUMIFS(Acerto_Detalhado!$F$2:$F$433,Acerto_Detalhado!$A$2:$A$433,$C2724,Acerto_Detalhado!$B$2:$B$433,"Jul",Acerto_Detalhado!$C$2:$C$433,"Fibra"))*(SUMIFS(Acerto_Detalhado!$I$2:$I$433,Acerto_Detalhado!$A$2:$A$433,$D2724,Acerto_Detalhado!$B$2:$B$433,"Jul",Acerto_Detalhado!$C$2:$C$433,"Fibra")),2)</f>
        <v>0</v>
      </c>
    </row>
    <row r="2725" customFormat="false" ht="15" hidden="false" customHeight="false" outlineLevel="0" collapsed="false">
      <c r="A2725" s="27" t="s">
        <v>117</v>
      </c>
      <c r="B2725" s="27" t="s">
        <v>111</v>
      </c>
      <c r="C2725" s="27" t="s">
        <v>46</v>
      </c>
      <c r="D2725" s="27" t="s">
        <v>42</v>
      </c>
      <c r="E2725" s="28" t="n">
        <f aca="false">ROUND((SUMIFS(Acerto_Detalhado!$F$2:$F$433,Acerto_Detalhado!$A$2:$A$433,$C2725,Acerto_Detalhado!$B$2:$B$433,"Jul",Acerto_Detalhado!$C$2:$C$433,"Fibra"))*(SUMIFS(Acerto_Detalhado!$I$2:$I$433,Acerto_Detalhado!$A$2:$A$433,$D2725,Acerto_Detalhado!$B$2:$B$433,"Jul",Acerto_Detalhado!$C$2:$C$433,"Fibra")),2)</f>
        <v>0</v>
      </c>
    </row>
    <row r="2726" customFormat="false" ht="15" hidden="false" customHeight="false" outlineLevel="0" collapsed="false">
      <c r="A2726" s="27" t="s">
        <v>117</v>
      </c>
      <c r="B2726" s="27" t="s">
        <v>111</v>
      </c>
      <c r="C2726" s="27" t="s">
        <v>46</v>
      </c>
      <c r="D2726" s="27" t="s">
        <v>43</v>
      </c>
      <c r="E2726" s="28" t="n">
        <f aca="false">ROUND((SUMIFS(Acerto_Detalhado!$F$2:$F$433,Acerto_Detalhado!$A$2:$A$433,$C2726,Acerto_Detalhado!$B$2:$B$433,"Jul",Acerto_Detalhado!$C$2:$C$433,"Fibra"))*(SUMIFS(Acerto_Detalhado!$I$2:$I$433,Acerto_Detalhado!$A$2:$A$433,$D2726,Acerto_Detalhado!$B$2:$B$433,"Jul",Acerto_Detalhado!$C$2:$C$433,"Fibra")),2)</f>
        <v>0</v>
      </c>
    </row>
    <row r="2727" customFormat="false" ht="15" hidden="false" customHeight="false" outlineLevel="0" collapsed="false">
      <c r="A2727" s="27" t="s">
        <v>117</v>
      </c>
      <c r="B2727" s="27" t="s">
        <v>111</v>
      </c>
      <c r="C2727" s="27" t="s">
        <v>46</v>
      </c>
      <c r="D2727" s="27" t="s">
        <v>44</v>
      </c>
      <c r="E2727" s="28" t="n">
        <f aca="false">ROUND((SUMIFS(Acerto_Detalhado!$F$2:$F$433,Acerto_Detalhado!$A$2:$A$433,$C2727,Acerto_Detalhado!$B$2:$B$433,"Jul",Acerto_Detalhado!$C$2:$C$433,"Fibra"))*(SUMIFS(Acerto_Detalhado!$I$2:$I$433,Acerto_Detalhado!$A$2:$A$433,$D2727,Acerto_Detalhado!$B$2:$B$433,"Jul",Acerto_Detalhado!$C$2:$C$433,"Fibra")),2)</f>
        <v>0</v>
      </c>
    </row>
    <row r="2728" customFormat="false" ht="15" hidden="false" customHeight="false" outlineLevel="0" collapsed="false">
      <c r="A2728" s="27" t="s">
        <v>117</v>
      </c>
      <c r="B2728" s="27" t="s">
        <v>111</v>
      </c>
      <c r="C2728" s="27" t="s">
        <v>46</v>
      </c>
      <c r="D2728" s="27" t="s">
        <v>45</v>
      </c>
      <c r="E2728" s="28" t="n">
        <f aca="false">ROUND((SUMIFS(Acerto_Detalhado!$F$2:$F$433,Acerto_Detalhado!$A$2:$A$433,$C2728,Acerto_Detalhado!$B$2:$B$433,"Jul",Acerto_Detalhado!$C$2:$C$433,"Fibra"))*(SUMIFS(Acerto_Detalhado!$I$2:$I$433,Acerto_Detalhado!$A$2:$A$433,$D2728,Acerto_Detalhado!$B$2:$B$433,"Jul",Acerto_Detalhado!$C$2:$C$433,"Fibra")),2)</f>
        <v>0</v>
      </c>
    </row>
    <row r="2729" customFormat="false" ht="15" hidden="false" customHeight="false" outlineLevel="0" collapsed="false">
      <c r="A2729" s="27" t="s">
        <v>117</v>
      </c>
      <c r="B2729" s="27" t="s">
        <v>111</v>
      </c>
      <c r="C2729" s="27" t="s">
        <v>46</v>
      </c>
      <c r="D2729" s="27" t="s">
        <v>47</v>
      </c>
      <c r="E2729" s="28" t="n">
        <f aca="false">ROUND((SUMIFS(Acerto_Detalhado!$F$2:$F$433,Acerto_Detalhado!$A$2:$A$433,$C2729,Acerto_Detalhado!$B$2:$B$433,"Jul",Acerto_Detalhado!$C$2:$C$433,"Fibra"))*(SUMIFS(Acerto_Detalhado!$I$2:$I$433,Acerto_Detalhado!$A$2:$A$433,$D2729,Acerto_Detalhado!$B$2:$B$433,"Jul",Acerto_Detalhado!$C$2:$C$433,"Fibra")),2)</f>
        <v>0</v>
      </c>
    </row>
    <row r="2730" customFormat="false" ht="15" hidden="false" customHeight="false" outlineLevel="0" collapsed="false">
      <c r="A2730" s="27" t="s">
        <v>117</v>
      </c>
      <c r="B2730" s="27" t="s">
        <v>111</v>
      </c>
      <c r="C2730" s="27" t="s">
        <v>46</v>
      </c>
      <c r="D2730" s="27" t="s">
        <v>48</v>
      </c>
      <c r="E2730" s="28" t="n">
        <f aca="false">ROUND((SUMIFS(Acerto_Detalhado!$F$2:$F$433,Acerto_Detalhado!$A$2:$A$433,$C2730,Acerto_Detalhado!$B$2:$B$433,"Jul",Acerto_Detalhado!$C$2:$C$433,"Fibra"))*(SUMIFS(Acerto_Detalhado!$I$2:$I$433,Acerto_Detalhado!$A$2:$A$433,$D2730,Acerto_Detalhado!$B$2:$B$433,"Jul",Acerto_Detalhado!$C$2:$C$433,"Fibra")),2)</f>
        <v>0</v>
      </c>
    </row>
    <row r="2731" customFormat="false" ht="15" hidden="false" customHeight="false" outlineLevel="0" collapsed="false">
      <c r="A2731" s="27" t="s">
        <v>117</v>
      </c>
      <c r="B2731" s="27" t="s">
        <v>111</v>
      </c>
      <c r="C2731" s="27" t="s">
        <v>46</v>
      </c>
      <c r="D2731" s="27" t="s">
        <v>49</v>
      </c>
      <c r="E2731" s="28" t="n">
        <f aca="false">ROUND((SUMIFS(Acerto_Detalhado!$F$2:$F$433,Acerto_Detalhado!$A$2:$A$433,$C2731,Acerto_Detalhado!$B$2:$B$433,"Jul",Acerto_Detalhado!$C$2:$C$433,"Fibra"))*(SUMIFS(Acerto_Detalhado!$I$2:$I$433,Acerto_Detalhado!$A$2:$A$433,$D2731,Acerto_Detalhado!$B$2:$B$433,"Jul",Acerto_Detalhado!$C$2:$C$433,"Fibra")),2)</f>
        <v>0</v>
      </c>
    </row>
    <row r="2732" customFormat="false" ht="15" hidden="false" customHeight="false" outlineLevel="0" collapsed="false">
      <c r="A2732" s="27" t="s">
        <v>117</v>
      </c>
      <c r="B2732" s="27" t="s">
        <v>111</v>
      </c>
      <c r="C2732" s="27" t="s">
        <v>46</v>
      </c>
      <c r="D2732" s="27" t="s">
        <v>50</v>
      </c>
      <c r="E2732" s="28" t="n">
        <f aca="false">ROUND((SUMIFS(Acerto_Detalhado!$F$2:$F$433,Acerto_Detalhado!$A$2:$A$433,$C2732,Acerto_Detalhado!$B$2:$B$433,"Jul",Acerto_Detalhado!$C$2:$C$433,"Fibra"))*(SUMIFS(Acerto_Detalhado!$I$2:$I$433,Acerto_Detalhado!$A$2:$A$433,$D2732,Acerto_Detalhado!$B$2:$B$433,"Jul",Acerto_Detalhado!$C$2:$C$433,"Fibra")),2)</f>
        <v>0</v>
      </c>
    </row>
    <row r="2733" customFormat="false" ht="15" hidden="false" customHeight="false" outlineLevel="0" collapsed="false">
      <c r="A2733" s="27" t="s">
        <v>117</v>
      </c>
      <c r="B2733" s="27" t="s">
        <v>111</v>
      </c>
      <c r="C2733" s="27" t="s">
        <v>47</v>
      </c>
      <c r="D2733" s="27" t="s">
        <v>39</v>
      </c>
      <c r="E2733" s="28" t="n">
        <f aca="false">ROUND((SUMIFS(Acerto_Detalhado!$F$2:$F$433,Acerto_Detalhado!$A$2:$A$433,$C2733,Acerto_Detalhado!$B$2:$B$433,"Jul",Acerto_Detalhado!$C$2:$C$433,"Fibra"))*(SUMIFS(Acerto_Detalhado!$I$2:$I$433,Acerto_Detalhado!$A$2:$A$433,$D2733,Acerto_Detalhado!$B$2:$B$433,"Jul",Acerto_Detalhado!$C$2:$C$433,"Fibra")),2)</f>
        <v>0</v>
      </c>
    </row>
    <row r="2734" customFormat="false" ht="15" hidden="false" customHeight="false" outlineLevel="0" collapsed="false">
      <c r="A2734" s="27" t="s">
        <v>117</v>
      </c>
      <c r="B2734" s="27" t="s">
        <v>111</v>
      </c>
      <c r="C2734" s="27" t="s">
        <v>47</v>
      </c>
      <c r="D2734" s="27" t="s">
        <v>40</v>
      </c>
      <c r="E2734" s="28" t="n">
        <f aca="false">ROUND((SUMIFS(Acerto_Detalhado!$F$2:$F$433,Acerto_Detalhado!$A$2:$A$433,$C2734,Acerto_Detalhado!$B$2:$B$433,"Jul",Acerto_Detalhado!$C$2:$C$433,"Fibra"))*(SUMIFS(Acerto_Detalhado!$I$2:$I$433,Acerto_Detalhado!$A$2:$A$433,$D2734,Acerto_Detalhado!$B$2:$B$433,"Jul",Acerto_Detalhado!$C$2:$C$433,"Fibra")),2)</f>
        <v>0</v>
      </c>
    </row>
    <row r="2735" customFormat="false" ht="15" hidden="false" customHeight="false" outlineLevel="0" collapsed="false">
      <c r="A2735" s="27" t="s">
        <v>117</v>
      </c>
      <c r="B2735" s="27" t="s">
        <v>111</v>
      </c>
      <c r="C2735" s="27" t="s">
        <v>47</v>
      </c>
      <c r="D2735" s="27" t="s">
        <v>41</v>
      </c>
      <c r="E2735" s="28" t="n">
        <f aca="false">ROUND((SUMIFS(Acerto_Detalhado!$F$2:$F$433,Acerto_Detalhado!$A$2:$A$433,$C2735,Acerto_Detalhado!$B$2:$B$433,"Jul",Acerto_Detalhado!$C$2:$C$433,"Fibra"))*(SUMIFS(Acerto_Detalhado!$I$2:$I$433,Acerto_Detalhado!$A$2:$A$433,$D2735,Acerto_Detalhado!$B$2:$B$433,"Jul",Acerto_Detalhado!$C$2:$C$433,"Fibra")),2)</f>
        <v>0</v>
      </c>
    </row>
    <row r="2736" customFormat="false" ht="15" hidden="false" customHeight="false" outlineLevel="0" collapsed="false">
      <c r="A2736" s="27" t="s">
        <v>117</v>
      </c>
      <c r="B2736" s="27" t="s">
        <v>111</v>
      </c>
      <c r="C2736" s="27" t="s">
        <v>47</v>
      </c>
      <c r="D2736" s="27" t="s">
        <v>42</v>
      </c>
      <c r="E2736" s="28" t="n">
        <f aca="false">ROUND((SUMIFS(Acerto_Detalhado!$F$2:$F$433,Acerto_Detalhado!$A$2:$A$433,$C2736,Acerto_Detalhado!$B$2:$B$433,"Jul",Acerto_Detalhado!$C$2:$C$433,"Fibra"))*(SUMIFS(Acerto_Detalhado!$I$2:$I$433,Acerto_Detalhado!$A$2:$A$433,$D2736,Acerto_Detalhado!$B$2:$B$433,"Jul",Acerto_Detalhado!$C$2:$C$433,"Fibra")),2)</f>
        <v>0</v>
      </c>
    </row>
    <row r="2737" customFormat="false" ht="15" hidden="false" customHeight="false" outlineLevel="0" collapsed="false">
      <c r="A2737" s="27" t="s">
        <v>117</v>
      </c>
      <c r="B2737" s="27" t="s">
        <v>111</v>
      </c>
      <c r="C2737" s="27" t="s">
        <v>47</v>
      </c>
      <c r="D2737" s="27" t="s">
        <v>43</v>
      </c>
      <c r="E2737" s="28" t="n">
        <f aca="false">ROUND((SUMIFS(Acerto_Detalhado!$F$2:$F$433,Acerto_Detalhado!$A$2:$A$433,$C2737,Acerto_Detalhado!$B$2:$B$433,"Jul",Acerto_Detalhado!$C$2:$C$433,"Fibra"))*(SUMIFS(Acerto_Detalhado!$I$2:$I$433,Acerto_Detalhado!$A$2:$A$433,$D2737,Acerto_Detalhado!$B$2:$B$433,"Jul",Acerto_Detalhado!$C$2:$C$433,"Fibra")),2)</f>
        <v>0</v>
      </c>
    </row>
    <row r="2738" customFormat="false" ht="15" hidden="false" customHeight="false" outlineLevel="0" collapsed="false">
      <c r="A2738" s="27" t="s">
        <v>117</v>
      </c>
      <c r="B2738" s="27" t="s">
        <v>111</v>
      </c>
      <c r="C2738" s="27" t="s">
        <v>47</v>
      </c>
      <c r="D2738" s="27" t="s">
        <v>44</v>
      </c>
      <c r="E2738" s="28" t="n">
        <f aca="false">ROUND((SUMIFS(Acerto_Detalhado!$F$2:$F$433,Acerto_Detalhado!$A$2:$A$433,$C2738,Acerto_Detalhado!$B$2:$B$433,"Jul",Acerto_Detalhado!$C$2:$C$433,"Fibra"))*(SUMIFS(Acerto_Detalhado!$I$2:$I$433,Acerto_Detalhado!$A$2:$A$433,$D2738,Acerto_Detalhado!$B$2:$B$433,"Jul",Acerto_Detalhado!$C$2:$C$433,"Fibra")),2)</f>
        <v>0</v>
      </c>
    </row>
    <row r="2739" customFormat="false" ht="15" hidden="false" customHeight="false" outlineLevel="0" collapsed="false">
      <c r="A2739" s="27" t="s">
        <v>117</v>
      </c>
      <c r="B2739" s="27" t="s">
        <v>111</v>
      </c>
      <c r="C2739" s="27" t="s">
        <v>47</v>
      </c>
      <c r="D2739" s="27" t="s">
        <v>45</v>
      </c>
      <c r="E2739" s="28" t="n">
        <f aca="false">ROUND((SUMIFS(Acerto_Detalhado!$F$2:$F$433,Acerto_Detalhado!$A$2:$A$433,$C2739,Acerto_Detalhado!$B$2:$B$433,"Jul",Acerto_Detalhado!$C$2:$C$433,"Fibra"))*(SUMIFS(Acerto_Detalhado!$I$2:$I$433,Acerto_Detalhado!$A$2:$A$433,$D2739,Acerto_Detalhado!$B$2:$B$433,"Jul",Acerto_Detalhado!$C$2:$C$433,"Fibra")),2)</f>
        <v>0</v>
      </c>
    </row>
    <row r="2740" customFormat="false" ht="15" hidden="false" customHeight="false" outlineLevel="0" collapsed="false">
      <c r="A2740" s="27" t="s">
        <v>117</v>
      </c>
      <c r="B2740" s="27" t="s">
        <v>111</v>
      </c>
      <c r="C2740" s="27" t="s">
        <v>47</v>
      </c>
      <c r="D2740" s="27" t="s">
        <v>46</v>
      </c>
      <c r="E2740" s="28" t="n">
        <f aca="false">ROUND((SUMIFS(Acerto_Detalhado!$F$2:$F$433,Acerto_Detalhado!$A$2:$A$433,$C2740,Acerto_Detalhado!$B$2:$B$433,"Jul",Acerto_Detalhado!$C$2:$C$433,"Fibra"))*(SUMIFS(Acerto_Detalhado!$I$2:$I$433,Acerto_Detalhado!$A$2:$A$433,$D2740,Acerto_Detalhado!$B$2:$B$433,"Jul",Acerto_Detalhado!$C$2:$C$433,"Fibra")),2)</f>
        <v>0</v>
      </c>
    </row>
    <row r="2741" customFormat="false" ht="15" hidden="false" customHeight="false" outlineLevel="0" collapsed="false">
      <c r="A2741" s="27" t="s">
        <v>117</v>
      </c>
      <c r="B2741" s="27" t="s">
        <v>111</v>
      </c>
      <c r="C2741" s="27" t="s">
        <v>47</v>
      </c>
      <c r="D2741" s="27" t="s">
        <v>48</v>
      </c>
      <c r="E2741" s="28" t="n">
        <f aca="false">ROUND((SUMIFS(Acerto_Detalhado!$F$2:$F$433,Acerto_Detalhado!$A$2:$A$433,$C2741,Acerto_Detalhado!$B$2:$B$433,"Jul",Acerto_Detalhado!$C$2:$C$433,"Fibra"))*(SUMIFS(Acerto_Detalhado!$I$2:$I$433,Acerto_Detalhado!$A$2:$A$433,$D2741,Acerto_Detalhado!$B$2:$B$433,"Jul",Acerto_Detalhado!$C$2:$C$433,"Fibra")),2)</f>
        <v>0</v>
      </c>
    </row>
    <row r="2742" customFormat="false" ht="15" hidden="false" customHeight="false" outlineLevel="0" collapsed="false">
      <c r="A2742" s="27" t="s">
        <v>117</v>
      </c>
      <c r="B2742" s="27" t="s">
        <v>111</v>
      </c>
      <c r="C2742" s="27" t="s">
        <v>47</v>
      </c>
      <c r="D2742" s="27" t="s">
        <v>49</v>
      </c>
      <c r="E2742" s="28" t="n">
        <f aca="false">ROUND((SUMIFS(Acerto_Detalhado!$F$2:$F$433,Acerto_Detalhado!$A$2:$A$433,$C2742,Acerto_Detalhado!$B$2:$B$433,"Jul",Acerto_Detalhado!$C$2:$C$433,"Fibra"))*(SUMIFS(Acerto_Detalhado!$I$2:$I$433,Acerto_Detalhado!$A$2:$A$433,$D2742,Acerto_Detalhado!$B$2:$B$433,"Jul",Acerto_Detalhado!$C$2:$C$433,"Fibra")),2)</f>
        <v>0</v>
      </c>
    </row>
    <row r="2743" customFormat="false" ht="15" hidden="false" customHeight="false" outlineLevel="0" collapsed="false">
      <c r="A2743" s="27" t="s">
        <v>117</v>
      </c>
      <c r="B2743" s="27" t="s">
        <v>111</v>
      </c>
      <c r="C2743" s="27" t="s">
        <v>47</v>
      </c>
      <c r="D2743" s="27" t="s">
        <v>50</v>
      </c>
      <c r="E2743" s="28" t="n">
        <f aca="false">ROUND((SUMIFS(Acerto_Detalhado!$F$2:$F$433,Acerto_Detalhado!$A$2:$A$433,$C2743,Acerto_Detalhado!$B$2:$B$433,"Jul",Acerto_Detalhado!$C$2:$C$433,"Fibra"))*(SUMIFS(Acerto_Detalhado!$I$2:$I$433,Acerto_Detalhado!$A$2:$A$433,$D2743,Acerto_Detalhado!$B$2:$B$433,"Jul",Acerto_Detalhado!$C$2:$C$433,"Fibra")),2)</f>
        <v>0</v>
      </c>
    </row>
    <row r="2744" customFormat="false" ht="15" hidden="false" customHeight="false" outlineLevel="0" collapsed="false">
      <c r="A2744" s="27" t="s">
        <v>117</v>
      </c>
      <c r="B2744" s="27" t="s">
        <v>111</v>
      </c>
      <c r="C2744" s="27" t="s">
        <v>48</v>
      </c>
      <c r="D2744" s="27" t="s">
        <v>39</v>
      </c>
      <c r="E2744" s="28" t="n">
        <f aca="false">ROUND((SUMIFS(Acerto_Detalhado!$F$2:$F$433,Acerto_Detalhado!$A$2:$A$433,$C2744,Acerto_Detalhado!$B$2:$B$433,"Jul",Acerto_Detalhado!$C$2:$C$433,"Fibra"))*(SUMIFS(Acerto_Detalhado!$I$2:$I$433,Acerto_Detalhado!$A$2:$A$433,$D2744,Acerto_Detalhado!$B$2:$B$433,"Jul",Acerto_Detalhado!$C$2:$C$433,"Fibra")),2)</f>
        <v>0</v>
      </c>
    </row>
    <row r="2745" customFormat="false" ht="15" hidden="false" customHeight="false" outlineLevel="0" collapsed="false">
      <c r="A2745" s="27" t="s">
        <v>117</v>
      </c>
      <c r="B2745" s="27" t="s">
        <v>111</v>
      </c>
      <c r="C2745" s="27" t="s">
        <v>48</v>
      </c>
      <c r="D2745" s="27" t="s">
        <v>40</v>
      </c>
      <c r="E2745" s="28" t="n">
        <f aca="false">ROUND((SUMIFS(Acerto_Detalhado!$F$2:$F$433,Acerto_Detalhado!$A$2:$A$433,$C2745,Acerto_Detalhado!$B$2:$B$433,"Jul",Acerto_Detalhado!$C$2:$C$433,"Fibra"))*(SUMIFS(Acerto_Detalhado!$I$2:$I$433,Acerto_Detalhado!$A$2:$A$433,$D2745,Acerto_Detalhado!$B$2:$B$433,"Jul",Acerto_Detalhado!$C$2:$C$433,"Fibra")),2)</f>
        <v>0</v>
      </c>
    </row>
    <row r="2746" customFormat="false" ht="15" hidden="false" customHeight="false" outlineLevel="0" collapsed="false">
      <c r="A2746" s="27" t="s">
        <v>117</v>
      </c>
      <c r="B2746" s="27" t="s">
        <v>111</v>
      </c>
      <c r="C2746" s="27" t="s">
        <v>48</v>
      </c>
      <c r="D2746" s="27" t="s">
        <v>41</v>
      </c>
      <c r="E2746" s="28" t="n">
        <f aca="false">ROUND((SUMIFS(Acerto_Detalhado!$F$2:$F$433,Acerto_Detalhado!$A$2:$A$433,$C2746,Acerto_Detalhado!$B$2:$B$433,"Jul",Acerto_Detalhado!$C$2:$C$433,"Fibra"))*(SUMIFS(Acerto_Detalhado!$I$2:$I$433,Acerto_Detalhado!$A$2:$A$433,$D2746,Acerto_Detalhado!$B$2:$B$433,"Jul",Acerto_Detalhado!$C$2:$C$433,"Fibra")),2)</f>
        <v>0</v>
      </c>
    </row>
    <row r="2747" customFormat="false" ht="15" hidden="false" customHeight="false" outlineLevel="0" collapsed="false">
      <c r="A2747" s="27" t="s">
        <v>117</v>
      </c>
      <c r="B2747" s="27" t="s">
        <v>111</v>
      </c>
      <c r="C2747" s="27" t="s">
        <v>48</v>
      </c>
      <c r="D2747" s="27" t="s">
        <v>42</v>
      </c>
      <c r="E2747" s="28" t="n">
        <f aca="false">ROUND((SUMIFS(Acerto_Detalhado!$F$2:$F$433,Acerto_Detalhado!$A$2:$A$433,$C2747,Acerto_Detalhado!$B$2:$B$433,"Jul",Acerto_Detalhado!$C$2:$C$433,"Fibra"))*(SUMIFS(Acerto_Detalhado!$I$2:$I$433,Acerto_Detalhado!$A$2:$A$433,$D2747,Acerto_Detalhado!$B$2:$B$433,"Jul",Acerto_Detalhado!$C$2:$C$433,"Fibra")),2)</f>
        <v>0</v>
      </c>
    </row>
    <row r="2748" customFormat="false" ht="15" hidden="false" customHeight="false" outlineLevel="0" collapsed="false">
      <c r="A2748" s="27" t="s">
        <v>117</v>
      </c>
      <c r="B2748" s="27" t="s">
        <v>111</v>
      </c>
      <c r="C2748" s="27" t="s">
        <v>48</v>
      </c>
      <c r="D2748" s="27" t="s">
        <v>43</v>
      </c>
      <c r="E2748" s="28" t="n">
        <f aca="false">ROUND((SUMIFS(Acerto_Detalhado!$F$2:$F$433,Acerto_Detalhado!$A$2:$A$433,$C2748,Acerto_Detalhado!$B$2:$B$433,"Jul",Acerto_Detalhado!$C$2:$C$433,"Fibra"))*(SUMIFS(Acerto_Detalhado!$I$2:$I$433,Acerto_Detalhado!$A$2:$A$433,$D2748,Acerto_Detalhado!$B$2:$B$433,"Jul",Acerto_Detalhado!$C$2:$C$433,"Fibra")),2)</f>
        <v>0</v>
      </c>
    </row>
    <row r="2749" customFormat="false" ht="15" hidden="false" customHeight="false" outlineLevel="0" collapsed="false">
      <c r="A2749" s="27" t="s">
        <v>117</v>
      </c>
      <c r="B2749" s="27" t="s">
        <v>111</v>
      </c>
      <c r="C2749" s="27" t="s">
        <v>48</v>
      </c>
      <c r="D2749" s="27" t="s">
        <v>44</v>
      </c>
      <c r="E2749" s="28" t="n">
        <f aca="false">ROUND((SUMIFS(Acerto_Detalhado!$F$2:$F$433,Acerto_Detalhado!$A$2:$A$433,$C2749,Acerto_Detalhado!$B$2:$B$433,"Jul",Acerto_Detalhado!$C$2:$C$433,"Fibra"))*(SUMIFS(Acerto_Detalhado!$I$2:$I$433,Acerto_Detalhado!$A$2:$A$433,$D2749,Acerto_Detalhado!$B$2:$B$433,"Jul",Acerto_Detalhado!$C$2:$C$433,"Fibra")),2)</f>
        <v>0</v>
      </c>
    </row>
    <row r="2750" customFormat="false" ht="15" hidden="false" customHeight="false" outlineLevel="0" collapsed="false">
      <c r="A2750" s="27" t="s">
        <v>117</v>
      </c>
      <c r="B2750" s="27" t="s">
        <v>111</v>
      </c>
      <c r="C2750" s="27" t="s">
        <v>48</v>
      </c>
      <c r="D2750" s="27" t="s">
        <v>45</v>
      </c>
      <c r="E2750" s="28" t="n">
        <f aca="false">ROUND((SUMIFS(Acerto_Detalhado!$F$2:$F$433,Acerto_Detalhado!$A$2:$A$433,$C2750,Acerto_Detalhado!$B$2:$B$433,"Jul",Acerto_Detalhado!$C$2:$C$433,"Fibra"))*(SUMIFS(Acerto_Detalhado!$I$2:$I$433,Acerto_Detalhado!$A$2:$A$433,$D2750,Acerto_Detalhado!$B$2:$B$433,"Jul",Acerto_Detalhado!$C$2:$C$433,"Fibra")),2)</f>
        <v>0</v>
      </c>
    </row>
    <row r="2751" customFormat="false" ht="15" hidden="false" customHeight="false" outlineLevel="0" collapsed="false">
      <c r="A2751" s="27" t="s">
        <v>117</v>
      </c>
      <c r="B2751" s="27" t="s">
        <v>111</v>
      </c>
      <c r="C2751" s="27" t="s">
        <v>48</v>
      </c>
      <c r="D2751" s="27" t="s">
        <v>46</v>
      </c>
      <c r="E2751" s="28" t="n">
        <f aca="false">ROUND((SUMIFS(Acerto_Detalhado!$F$2:$F$433,Acerto_Detalhado!$A$2:$A$433,$C2751,Acerto_Detalhado!$B$2:$B$433,"Jul",Acerto_Detalhado!$C$2:$C$433,"Fibra"))*(SUMIFS(Acerto_Detalhado!$I$2:$I$433,Acerto_Detalhado!$A$2:$A$433,$D2751,Acerto_Detalhado!$B$2:$B$433,"Jul",Acerto_Detalhado!$C$2:$C$433,"Fibra")),2)</f>
        <v>0</v>
      </c>
    </row>
    <row r="2752" customFormat="false" ht="15" hidden="false" customHeight="false" outlineLevel="0" collapsed="false">
      <c r="A2752" s="27" t="s">
        <v>117</v>
      </c>
      <c r="B2752" s="27" t="s">
        <v>111</v>
      </c>
      <c r="C2752" s="27" t="s">
        <v>48</v>
      </c>
      <c r="D2752" s="27" t="s">
        <v>47</v>
      </c>
      <c r="E2752" s="28" t="n">
        <f aca="false">ROUND((SUMIFS(Acerto_Detalhado!$F$2:$F$433,Acerto_Detalhado!$A$2:$A$433,$C2752,Acerto_Detalhado!$B$2:$B$433,"Jul",Acerto_Detalhado!$C$2:$C$433,"Fibra"))*(SUMIFS(Acerto_Detalhado!$I$2:$I$433,Acerto_Detalhado!$A$2:$A$433,$D2752,Acerto_Detalhado!$B$2:$B$433,"Jul",Acerto_Detalhado!$C$2:$C$433,"Fibra")),2)</f>
        <v>0</v>
      </c>
    </row>
    <row r="2753" customFormat="false" ht="15" hidden="false" customHeight="false" outlineLevel="0" collapsed="false">
      <c r="A2753" s="27" t="s">
        <v>117</v>
      </c>
      <c r="B2753" s="27" t="s">
        <v>111</v>
      </c>
      <c r="C2753" s="27" t="s">
        <v>48</v>
      </c>
      <c r="D2753" s="27" t="s">
        <v>49</v>
      </c>
      <c r="E2753" s="28" t="n">
        <f aca="false">ROUND((SUMIFS(Acerto_Detalhado!$F$2:$F$433,Acerto_Detalhado!$A$2:$A$433,$C2753,Acerto_Detalhado!$B$2:$B$433,"Jul",Acerto_Detalhado!$C$2:$C$433,"Fibra"))*(SUMIFS(Acerto_Detalhado!$I$2:$I$433,Acerto_Detalhado!$A$2:$A$433,$D2753,Acerto_Detalhado!$B$2:$B$433,"Jul",Acerto_Detalhado!$C$2:$C$433,"Fibra")),2)</f>
        <v>0</v>
      </c>
    </row>
    <row r="2754" customFormat="false" ht="15" hidden="false" customHeight="false" outlineLevel="0" collapsed="false">
      <c r="A2754" s="27" t="s">
        <v>117</v>
      </c>
      <c r="B2754" s="27" t="s">
        <v>111</v>
      </c>
      <c r="C2754" s="27" t="s">
        <v>48</v>
      </c>
      <c r="D2754" s="27" t="s">
        <v>50</v>
      </c>
      <c r="E2754" s="28" t="n">
        <f aca="false">ROUND((SUMIFS(Acerto_Detalhado!$F$2:$F$433,Acerto_Detalhado!$A$2:$A$433,$C2754,Acerto_Detalhado!$B$2:$B$433,"Jul",Acerto_Detalhado!$C$2:$C$433,"Fibra"))*(SUMIFS(Acerto_Detalhado!$I$2:$I$433,Acerto_Detalhado!$A$2:$A$433,$D2754,Acerto_Detalhado!$B$2:$B$433,"Jul",Acerto_Detalhado!$C$2:$C$433,"Fibra")),2)</f>
        <v>0</v>
      </c>
    </row>
    <row r="2755" customFormat="false" ht="15" hidden="false" customHeight="false" outlineLevel="0" collapsed="false">
      <c r="A2755" s="27" t="s">
        <v>117</v>
      </c>
      <c r="B2755" s="27" t="s">
        <v>111</v>
      </c>
      <c r="C2755" s="27" t="s">
        <v>49</v>
      </c>
      <c r="D2755" s="27" t="s">
        <v>39</v>
      </c>
      <c r="E2755" s="28" t="n">
        <f aca="false">ROUND((SUMIFS(Acerto_Detalhado!$F$2:$F$433,Acerto_Detalhado!$A$2:$A$433,$C2755,Acerto_Detalhado!$B$2:$B$433,"Jul",Acerto_Detalhado!$C$2:$C$433,"Fibra"))*(SUMIFS(Acerto_Detalhado!$I$2:$I$433,Acerto_Detalhado!$A$2:$A$433,$D2755,Acerto_Detalhado!$B$2:$B$433,"Jul",Acerto_Detalhado!$C$2:$C$433,"Fibra")),2)</f>
        <v>0</v>
      </c>
    </row>
    <row r="2756" customFormat="false" ht="15" hidden="false" customHeight="false" outlineLevel="0" collapsed="false">
      <c r="A2756" s="27" t="s">
        <v>117</v>
      </c>
      <c r="B2756" s="27" t="s">
        <v>111</v>
      </c>
      <c r="C2756" s="27" t="s">
        <v>49</v>
      </c>
      <c r="D2756" s="27" t="s">
        <v>40</v>
      </c>
      <c r="E2756" s="28" t="n">
        <f aca="false">ROUND((SUMIFS(Acerto_Detalhado!$F$2:$F$433,Acerto_Detalhado!$A$2:$A$433,$C2756,Acerto_Detalhado!$B$2:$B$433,"Jul",Acerto_Detalhado!$C$2:$C$433,"Fibra"))*(SUMIFS(Acerto_Detalhado!$I$2:$I$433,Acerto_Detalhado!$A$2:$A$433,$D2756,Acerto_Detalhado!$B$2:$B$433,"Jul",Acerto_Detalhado!$C$2:$C$433,"Fibra")),2)</f>
        <v>0</v>
      </c>
    </row>
    <row r="2757" customFormat="false" ht="15" hidden="false" customHeight="false" outlineLevel="0" collapsed="false">
      <c r="A2757" s="27" t="s">
        <v>117</v>
      </c>
      <c r="B2757" s="27" t="s">
        <v>111</v>
      </c>
      <c r="C2757" s="27" t="s">
        <v>49</v>
      </c>
      <c r="D2757" s="27" t="s">
        <v>41</v>
      </c>
      <c r="E2757" s="28" t="n">
        <f aca="false">ROUND((SUMIFS(Acerto_Detalhado!$F$2:$F$433,Acerto_Detalhado!$A$2:$A$433,$C2757,Acerto_Detalhado!$B$2:$B$433,"Jul",Acerto_Detalhado!$C$2:$C$433,"Fibra"))*(SUMIFS(Acerto_Detalhado!$I$2:$I$433,Acerto_Detalhado!$A$2:$A$433,$D2757,Acerto_Detalhado!$B$2:$B$433,"Jul",Acerto_Detalhado!$C$2:$C$433,"Fibra")),2)</f>
        <v>0</v>
      </c>
    </row>
    <row r="2758" customFormat="false" ht="15" hidden="false" customHeight="false" outlineLevel="0" collapsed="false">
      <c r="A2758" s="27" t="s">
        <v>117</v>
      </c>
      <c r="B2758" s="27" t="s">
        <v>111</v>
      </c>
      <c r="C2758" s="27" t="s">
        <v>49</v>
      </c>
      <c r="D2758" s="27" t="s">
        <v>42</v>
      </c>
      <c r="E2758" s="28" t="n">
        <f aca="false">ROUND((SUMIFS(Acerto_Detalhado!$F$2:$F$433,Acerto_Detalhado!$A$2:$A$433,$C2758,Acerto_Detalhado!$B$2:$B$433,"Jul",Acerto_Detalhado!$C$2:$C$433,"Fibra"))*(SUMIFS(Acerto_Detalhado!$I$2:$I$433,Acerto_Detalhado!$A$2:$A$433,$D2758,Acerto_Detalhado!$B$2:$B$433,"Jul",Acerto_Detalhado!$C$2:$C$433,"Fibra")),2)</f>
        <v>0</v>
      </c>
    </row>
    <row r="2759" customFormat="false" ht="15" hidden="false" customHeight="false" outlineLevel="0" collapsed="false">
      <c r="A2759" s="27" t="s">
        <v>117</v>
      </c>
      <c r="B2759" s="27" t="s">
        <v>111</v>
      </c>
      <c r="C2759" s="27" t="s">
        <v>49</v>
      </c>
      <c r="D2759" s="27" t="s">
        <v>43</v>
      </c>
      <c r="E2759" s="28" t="n">
        <f aca="false">ROUND((SUMIFS(Acerto_Detalhado!$F$2:$F$433,Acerto_Detalhado!$A$2:$A$433,$C2759,Acerto_Detalhado!$B$2:$B$433,"Jul",Acerto_Detalhado!$C$2:$C$433,"Fibra"))*(SUMIFS(Acerto_Detalhado!$I$2:$I$433,Acerto_Detalhado!$A$2:$A$433,$D2759,Acerto_Detalhado!$B$2:$B$433,"Jul",Acerto_Detalhado!$C$2:$C$433,"Fibra")),2)</f>
        <v>0</v>
      </c>
    </row>
    <row r="2760" customFormat="false" ht="15" hidden="false" customHeight="false" outlineLevel="0" collapsed="false">
      <c r="A2760" s="27" t="s">
        <v>117</v>
      </c>
      <c r="B2760" s="27" t="s">
        <v>111</v>
      </c>
      <c r="C2760" s="27" t="s">
        <v>49</v>
      </c>
      <c r="D2760" s="27" t="s">
        <v>44</v>
      </c>
      <c r="E2760" s="28" t="n">
        <f aca="false">ROUND((SUMIFS(Acerto_Detalhado!$F$2:$F$433,Acerto_Detalhado!$A$2:$A$433,$C2760,Acerto_Detalhado!$B$2:$B$433,"Jul",Acerto_Detalhado!$C$2:$C$433,"Fibra"))*(SUMIFS(Acerto_Detalhado!$I$2:$I$433,Acerto_Detalhado!$A$2:$A$433,$D2760,Acerto_Detalhado!$B$2:$B$433,"Jul",Acerto_Detalhado!$C$2:$C$433,"Fibra")),2)</f>
        <v>0</v>
      </c>
    </row>
    <row r="2761" customFormat="false" ht="15" hidden="false" customHeight="false" outlineLevel="0" collapsed="false">
      <c r="A2761" s="27" t="s">
        <v>117</v>
      </c>
      <c r="B2761" s="27" t="s">
        <v>111</v>
      </c>
      <c r="C2761" s="27" t="s">
        <v>49</v>
      </c>
      <c r="D2761" s="27" t="s">
        <v>45</v>
      </c>
      <c r="E2761" s="28" t="n">
        <f aca="false">ROUND((SUMIFS(Acerto_Detalhado!$F$2:$F$433,Acerto_Detalhado!$A$2:$A$433,$C2761,Acerto_Detalhado!$B$2:$B$433,"Jul",Acerto_Detalhado!$C$2:$C$433,"Fibra"))*(SUMIFS(Acerto_Detalhado!$I$2:$I$433,Acerto_Detalhado!$A$2:$A$433,$D2761,Acerto_Detalhado!$B$2:$B$433,"Jul",Acerto_Detalhado!$C$2:$C$433,"Fibra")),2)</f>
        <v>0</v>
      </c>
    </row>
    <row r="2762" customFormat="false" ht="15" hidden="false" customHeight="false" outlineLevel="0" collapsed="false">
      <c r="A2762" s="27" t="s">
        <v>117</v>
      </c>
      <c r="B2762" s="27" t="s">
        <v>111</v>
      </c>
      <c r="C2762" s="27" t="s">
        <v>49</v>
      </c>
      <c r="D2762" s="27" t="s">
        <v>46</v>
      </c>
      <c r="E2762" s="28" t="n">
        <f aca="false">ROUND((SUMIFS(Acerto_Detalhado!$F$2:$F$433,Acerto_Detalhado!$A$2:$A$433,$C2762,Acerto_Detalhado!$B$2:$B$433,"Jul",Acerto_Detalhado!$C$2:$C$433,"Fibra"))*(SUMIFS(Acerto_Detalhado!$I$2:$I$433,Acerto_Detalhado!$A$2:$A$433,$D2762,Acerto_Detalhado!$B$2:$B$433,"Jul",Acerto_Detalhado!$C$2:$C$433,"Fibra")),2)</f>
        <v>0</v>
      </c>
    </row>
    <row r="2763" customFormat="false" ht="15" hidden="false" customHeight="false" outlineLevel="0" collapsed="false">
      <c r="A2763" s="27" t="s">
        <v>117</v>
      </c>
      <c r="B2763" s="27" t="s">
        <v>111</v>
      </c>
      <c r="C2763" s="27" t="s">
        <v>49</v>
      </c>
      <c r="D2763" s="27" t="s">
        <v>47</v>
      </c>
      <c r="E2763" s="28" t="n">
        <f aca="false">ROUND((SUMIFS(Acerto_Detalhado!$F$2:$F$433,Acerto_Detalhado!$A$2:$A$433,$C2763,Acerto_Detalhado!$B$2:$B$433,"Jul",Acerto_Detalhado!$C$2:$C$433,"Fibra"))*(SUMIFS(Acerto_Detalhado!$I$2:$I$433,Acerto_Detalhado!$A$2:$A$433,$D2763,Acerto_Detalhado!$B$2:$B$433,"Jul",Acerto_Detalhado!$C$2:$C$433,"Fibra")),2)</f>
        <v>0</v>
      </c>
    </row>
    <row r="2764" customFormat="false" ht="15" hidden="false" customHeight="false" outlineLevel="0" collapsed="false">
      <c r="A2764" s="27" t="s">
        <v>117</v>
      </c>
      <c r="B2764" s="27" t="s">
        <v>111</v>
      </c>
      <c r="C2764" s="27" t="s">
        <v>49</v>
      </c>
      <c r="D2764" s="27" t="s">
        <v>48</v>
      </c>
      <c r="E2764" s="28" t="n">
        <f aca="false">ROUND((SUMIFS(Acerto_Detalhado!$F$2:$F$433,Acerto_Detalhado!$A$2:$A$433,$C2764,Acerto_Detalhado!$B$2:$B$433,"Jul",Acerto_Detalhado!$C$2:$C$433,"Fibra"))*(SUMIFS(Acerto_Detalhado!$I$2:$I$433,Acerto_Detalhado!$A$2:$A$433,$D2764,Acerto_Detalhado!$B$2:$B$433,"Jul",Acerto_Detalhado!$C$2:$C$433,"Fibra")),2)</f>
        <v>0</v>
      </c>
    </row>
    <row r="2765" customFormat="false" ht="15" hidden="false" customHeight="false" outlineLevel="0" collapsed="false">
      <c r="A2765" s="27" t="s">
        <v>117</v>
      </c>
      <c r="B2765" s="27" t="s">
        <v>111</v>
      </c>
      <c r="C2765" s="27" t="s">
        <v>49</v>
      </c>
      <c r="D2765" s="27" t="s">
        <v>50</v>
      </c>
      <c r="E2765" s="28" t="n">
        <f aca="false">ROUND((SUMIFS(Acerto_Detalhado!$F$2:$F$433,Acerto_Detalhado!$A$2:$A$433,$C2765,Acerto_Detalhado!$B$2:$B$433,"Jul",Acerto_Detalhado!$C$2:$C$433,"Fibra"))*(SUMIFS(Acerto_Detalhado!$I$2:$I$433,Acerto_Detalhado!$A$2:$A$433,$D2765,Acerto_Detalhado!$B$2:$B$433,"Jul",Acerto_Detalhado!$C$2:$C$433,"Fibra")),2)</f>
        <v>0</v>
      </c>
    </row>
    <row r="2766" customFormat="false" ht="15" hidden="false" customHeight="false" outlineLevel="0" collapsed="false">
      <c r="A2766" s="27" t="s">
        <v>117</v>
      </c>
      <c r="B2766" s="27" t="s">
        <v>111</v>
      </c>
      <c r="C2766" s="27" t="s">
        <v>50</v>
      </c>
      <c r="D2766" s="27" t="s">
        <v>39</v>
      </c>
      <c r="E2766" s="28" t="n">
        <f aca="false">ROUND((SUMIFS(Acerto_Detalhado!$F$2:$F$433,Acerto_Detalhado!$A$2:$A$433,$C2766,Acerto_Detalhado!$B$2:$B$433,"Jul",Acerto_Detalhado!$C$2:$C$433,"Fibra"))*(SUMIFS(Acerto_Detalhado!$I$2:$I$433,Acerto_Detalhado!$A$2:$A$433,$D2766,Acerto_Detalhado!$B$2:$B$433,"Jul",Acerto_Detalhado!$C$2:$C$433,"Fibra")),2)</f>
        <v>0</v>
      </c>
    </row>
    <row r="2767" customFormat="false" ht="15" hidden="false" customHeight="false" outlineLevel="0" collapsed="false">
      <c r="A2767" s="27" t="s">
        <v>117</v>
      </c>
      <c r="B2767" s="27" t="s">
        <v>111</v>
      </c>
      <c r="C2767" s="27" t="s">
        <v>50</v>
      </c>
      <c r="D2767" s="27" t="s">
        <v>40</v>
      </c>
      <c r="E2767" s="28" t="n">
        <f aca="false">ROUND((SUMIFS(Acerto_Detalhado!$F$2:$F$433,Acerto_Detalhado!$A$2:$A$433,$C2767,Acerto_Detalhado!$B$2:$B$433,"Jul",Acerto_Detalhado!$C$2:$C$433,"Fibra"))*(SUMIFS(Acerto_Detalhado!$I$2:$I$433,Acerto_Detalhado!$A$2:$A$433,$D2767,Acerto_Detalhado!$B$2:$B$433,"Jul",Acerto_Detalhado!$C$2:$C$433,"Fibra")),2)</f>
        <v>0</v>
      </c>
    </row>
    <row r="2768" customFormat="false" ht="15" hidden="false" customHeight="false" outlineLevel="0" collapsed="false">
      <c r="A2768" s="27" t="s">
        <v>117</v>
      </c>
      <c r="B2768" s="27" t="s">
        <v>111</v>
      </c>
      <c r="C2768" s="27" t="s">
        <v>50</v>
      </c>
      <c r="D2768" s="27" t="s">
        <v>41</v>
      </c>
      <c r="E2768" s="28" t="n">
        <f aca="false">ROUND((SUMIFS(Acerto_Detalhado!$F$2:$F$433,Acerto_Detalhado!$A$2:$A$433,$C2768,Acerto_Detalhado!$B$2:$B$433,"Jul",Acerto_Detalhado!$C$2:$C$433,"Fibra"))*(SUMIFS(Acerto_Detalhado!$I$2:$I$433,Acerto_Detalhado!$A$2:$A$433,$D2768,Acerto_Detalhado!$B$2:$B$433,"Jul",Acerto_Detalhado!$C$2:$C$433,"Fibra")),2)</f>
        <v>0</v>
      </c>
    </row>
    <row r="2769" customFormat="false" ht="15" hidden="false" customHeight="false" outlineLevel="0" collapsed="false">
      <c r="A2769" s="27" t="s">
        <v>117</v>
      </c>
      <c r="B2769" s="27" t="s">
        <v>111</v>
      </c>
      <c r="C2769" s="27" t="s">
        <v>50</v>
      </c>
      <c r="D2769" s="27" t="s">
        <v>42</v>
      </c>
      <c r="E2769" s="28" t="n">
        <f aca="false">ROUND((SUMIFS(Acerto_Detalhado!$F$2:$F$433,Acerto_Detalhado!$A$2:$A$433,$C2769,Acerto_Detalhado!$B$2:$B$433,"Jul",Acerto_Detalhado!$C$2:$C$433,"Fibra"))*(SUMIFS(Acerto_Detalhado!$I$2:$I$433,Acerto_Detalhado!$A$2:$A$433,$D2769,Acerto_Detalhado!$B$2:$B$433,"Jul",Acerto_Detalhado!$C$2:$C$433,"Fibra")),2)</f>
        <v>0</v>
      </c>
    </row>
    <row r="2770" customFormat="false" ht="15" hidden="false" customHeight="false" outlineLevel="0" collapsed="false">
      <c r="A2770" s="27" t="s">
        <v>117</v>
      </c>
      <c r="B2770" s="27" t="s">
        <v>111</v>
      </c>
      <c r="C2770" s="27" t="s">
        <v>50</v>
      </c>
      <c r="D2770" s="27" t="s">
        <v>43</v>
      </c>
      <c r="E2770" s="28" t="n">
        <f aca="false">ROUND((SUMIFS(Acerto_Detalhado!$F$2:$F$433,Acerto_Detalhado!$A$2:$A$433,$C2770,Acerto_Detalhado!$B$2:$B$433,"Jul",Acerto_Detalhado!$C$2:$C$433,"Fibra"))*(SUMIFS(Acerto_Detalhado!$I$2:$I$433,Acerto_Detalhado!$A$2:$A$433,$D2770,Acerto_Detalhado!$B$2:$B$433,"Jul",Acerto_Detalhado!$C$2:$C$433,"Fibra")),2)</f>
        <v>0</v>
      </c>
    </row>
    <row r="2771" customFormat="false" ht="15" hidden="false" customHeight="false" outlineLevel="0" collapsed="false">
      <c r="A2771" s="27" t="s">
        <v>117</v>
      </c>
      <c r="B2771" s="27" t="s">
        <v>111</v>
      </c>
      <c r="C2771" s="27" t="s">
        <v>50</v>
      </c>
      <c r="D2771" s="27" t="s">
        <v>44</v>
      </c>
      <c r="E2771" s="28" t="n">
        <f aca="false">ROUND((SUMIFS(Acerto_Detalhado!$F$2:$F$433,Acerto_Detalhado!$A$2:$A$433,$C2771,Acerto_Detalhado!$B$2:$B$433,"Jul",Acerto_Detalhado!$C$2:$C$433,"Fibra"))*(SUMIFS(Acerto_Detalhado!$I$2:$I$433,Acerto_Detalhado!$A$2:$A$433,$D2771,Acerto_Detalhado!$B$2:$B$433,"Jul",Acerto_Detalhado!$C$2:$C$433,"Fibra")),2)</f>
        <v>0</v>
      </c>
    </row>
    <row r="2772" customFormat="false" ht="15" hidden="false" customHeight="false" outlineLevel="0" collapsed="false">
      <c r="A2772" s="27" t="s">
        <v>117</v>
      </c>
      <c r="B2772" s="27" t="s">
        <v>111</v>
      </c>
      <c r="C2772" s="27" t="s">
        <v>50</v>
      </c>
      <c r="D2772" s="27" t="s">
        <v>45</v>
      </c>
      <c r="E2772" s="28" t="n">
        <f aca="false">ROUND((SUMIFS(Acerto_Detalhado!$F$2:$F$433,Acerto_Detalhado!$A$2:$A$433,$C2772,Acerto_Detalhado!$B$2:$B$433,"Jul",Acerto_Detalhado!$C$2:$C$433,"Fibra"))*(SUMIFS(Acerto_Detalhado!$I$2:$I$433,Acerto_Detalhado!$A$2:$A$433,$D2772,Acerto_Detalhado!$B$2:$B$433,"Jul",Acerto_Detalhado!$C$2:$C$433,"Fibra")),2)</f>
        <v>0</v>
      </c>
    </row>
    <row r="2773" customFormat="false" ht="15" hidden="false" customHeight="false" outlineLevel="0" collapsed="false">
      <c r="A2773" s="27" t="s">
        <v>117</v>
      </c>
      <c r="B2773" s="27" t="s">
        <v>111</v>
      </c>
      <c r="C2773" s="27" t="s">
        <v>50</v>
      </c>
      <c r="D2773" s="27" t="s">
        <v>46</v>
      </c>
      <c r="E2773" s="28" t="n">
        <f aca="false">ROUND((SUMIFS(Acerto_Detalhado!$F$2:$F$433,Acerto_Detalhado!$A$2:$A$433,$C2773,Acerto_Detalhado!$B$2:$B$433,"Jul",Acerto_Detalhado!$C$2:$C$433,"Fibra"))*(SUMIFS(Acerto_Detalhado!$I$2:$I$433,Acerto_Detalhado!$A$2:$A$433,$D2773,Acerto_Detalhado!$B$2:$B$433,"Jul",Acerto_Detalhado!$C$2:$C$433,"Fibra")),2)</f>
        <v>0</v>
      </c>
    </row>
    <row r="2774" customFormat="false" ht="15" hidden="false" customHeight="false" outlineLevel="0" collapsed="false">
      <c r="A2774" s="27" t="s">
        <v>117</v>
      </c>
      <c r="B2774" s="27" t="s">
        <v>111</v>
      </c>
      <c r="C2774" s="27" t="s">
        <v>50</v>
      </c>
      <c r="D2774" s="27" t="s">
        <v>47</v>
      </c>
      <c r="E2774" s="28" t="n">
        <f aca="false">ROUND((SUMIFS(Acerto_Detalhado!$F$2:$F$433,Acerto_Detalhado!$A$2:$A$433,$C2774,Acerto_Detalhado!$B$2:$B$433,"Jul",Acerto_Detalhado!$C$2:$C$433,"Fibra"))*(SUMIFS(Acerto_Detalhado!$I$2:$I$433,Acerto_Detalhado!$A$2:$A$433,$D2774,Acerto_Detalhado!$B$2:$B$433,"Jul",Acerto_Detalhado!$C$2:$C$433,"Fibra")),2)</f>
        <v>0</v>
      </c>
    </row>
    <row r="2775" customFormat="false" ht="15" hidden="false" customHeight="false" outlineLevel="0" collapsed="false">
      <c r="A2775" s="27" t="s">
        <v>117</v>
      </c>
      <c r="B2775" s="27" t="s">
        <v>111</v>
      </c>
      <c r="C2775" s="27" t="s">
        <v>50</v>
      </c>
      <c r="D2775" s="27" t="s">
        <v>48</v>
      </c>
      <c r="E2775" s="28" t="n">
        <f aca="false">ROUND((SUMIFS(Acerto_Detalhado!$F$2:$F$433,Acerto_Detalhado!$A$2:$A$433,$C2775,Acerto_Detalhado!$B$2:$B$433,"Jul",Acerto_Detalhado!$C$2:$C$433,"Fibra"))*(SUMIFS(Acerto_Detalhado!$I$2:$I$433,Acerto_Detalhado!$A$2:$A$433,$D2775,Acerto_Detalhado!$B$2:$B$433,"Jul",Acerto_Detalhado!$C$2:$C$433,"Fibra")),2)</f>
        <v>0</v>
      </c>
    </row>
    <row r="2776" customFormat="false" ht="15" hidden="false" customHeight="false" outlineLevel="0" collapsed="false">
      <c r="A2776" s="27" t="s">
        <v>117</v>
      </c>
      <c r="B2776" s="27" t="s">
        <v>111</v>
      </c>
      <c r="C2776" s="27" t="s">
        <v>50</v>
      </c>
      <c r="D2776" s="27" t="s">
        <v>49</v>
      </c>
      <c r="E2776" s="28" t="n">
        <f aca="false">ROUND((SUMIFS(Acerto_Detalhado!$F$2:$F$433,Acerto_Detalhado!$A$2:$A$433,$C2776,Acerto_Detalhado!$B$2:$B$433,"Jul",Acerto_Detalhado!$C$2:$C$433,"Fibra"))*(SUMIFS(Acerto_Detalhado!$I$2:$I$433,Acerto_Detalhado!$A$2:$A$433,$D2776,Acerto_Detalhado!$B$2:$B$433,"Jul",Acerto_Detalhado!$C$2:$C$433,"Fibra")),2)</f>
        <v>0</v>
      </c>
    </row>
    <row r="2777" customFormat="false" ht="15" hidden="false" customHeight="false" outlineLevel="0" collapsed="false">
      <c r="A2777" s="27" t="s">
        <v>118</v>
      </c>
      <c r="B2777" s="27" t="s">
        <v>109</v>
      </c>
      <c r="C2777" s="27" t="s">
        <v>39</v>
      </c>
      <c r="D2777" s="27" t="s">
        <v>40</v>
      </c>
      <c r="E2777" s="28" t="n">
        <f aca="false">ROUND((SUMIFS(Acerto_Detalhado!$F$2:$F$433,Acerto_Detalhado!$A$2:$A$433,$C2777,Acerto_Detalhado!$B$2:$B$433,"Ago",Acerto_Detalhado!$C$2:$C$433,"Proteina"))*(SUMIFS(Acerto_Detalhado!$I$2:$I$433,Acerto_Detalhado!$A$2:$A$433,$D2777,Acerto_Detalhado!$B$2:$B$433,"Ago",Acerto_Detalhado!$C$2:$C$433,"Proteina")),2)</f>
        <v>35681.32</v>
      </c>
    </row>
    <row r="2778" customFormat="false" ht="15" hidden="false" customHeight="false" outlineLevel="0" collapsed="false">
      <c r="A2778" s="27" t="s">
        <v>118</v>
      </c>
      <c r="B2778" s="27" t="s">
        <v>109</v>
      </c>
      <c r="C2778" s="27" t="s">
        <v>39</v>
      </c>
      <c r="D2778" s="27" t="s">
        <v>41</v>
      </c>
      <c r="E2778" s="28" t="n">
        <f aca="false">ROUND((SUMIFS(Acerto_Detalhado!$F$2:$F$433,Acerto_Detalhado!$A$2:$A$433,$C2778,Acerto_Detalhado!$B$2:$B$433,"Ago",Acerto_Detalhado!$C$2:$C$433,"Proteina"))*(SUMIFS(Acerto_Detalhado!$I$2:$I$433,Acerto_Detalhado!$A$2:$A$433,$D2778,Acerto_Detalhado!$B$2:$B$433,"Ago",Acerto_Detalhado!$C$2:$C$433,"Proteina")),2)</f>
        <v>64038.77</v>
      </c>
    </row>
    <row r="2779" customFormat="false" ht="15" hidden="false" customHeight="false" outlineLevel="0" collapsed="false">
      <c r="A2779" s="27" t="s">
        <v>118</v>
      </c>
      <c r="B2779" s="27" t="s">
        <v>109</v>
      </c>
      <c r="C2779" s="27" t="s">
        <v>39</v>
      </c>
      <c r="D2779" s="27" t="s">
        <v>42</v>
      </c>
      <c r="E2779" s="28" t="n">
        <f aca="false">ROUND((SUMIFS(Acerto_Detalhado!$F$2:$F$433,Acerto_Detalhado!$A$2:$A$433,$C2779,Acerto_Detalhado!$B$2:$B$433,"Ago",Acerto_Detalhado!$C$2:$C$433,"Proteina"))*(SUMIFS(Acerto_Detalhado!$I$2:$I$433,Acerto_Detalhado!$A$2:$A$433,$D2779,Acerto_Detalhado!$B$2:$B$433,"Ago",Acerto_Detalhado!$C$2:$C$433,"Proteina")),2)</f>
        <v>0</v>
      </c>
    </row>
    <row r="2780" customFormat="false" ht="15" hidden="false" customHeight="false" outlineLevel="0" collapsed="false">
      <c r="A2780" s="27" t="s">
        <v>118</v>
      </c>
      <c r="B2780" s="27" t="s">
        <v>109</v>
      </c>
      <c r="C2780" s="27" t="s">
        <v>39</v>
      </c>
      <c r="D2780" s="27" t="s">
        <v>43</v>
      </c>
      <c r="E2780" s="28" t="n">
        <f aca="false">ROUND((SUMIFS(Acerto_Detalhado!$F$2:$F$433,Acerto_Detalhado!$A$2:$A$433,$C2780,Acerto_Detalhado!$B$2:$B$433,"Ago",Acerto_Detalhado!$C$2:$C$433,"Proteina"))*(SUMIFS(Acerto_Detalhado!$I$2:$I$433,Acerto_Detalhado!$A$2:$A$433,$D2780,Acerto_Detalhado!$B$2:$B$433,"Ago",Acerto_Detalhado!$C$2:$C$433,"Proteina")),2)</f>
        <v>0</v>
      </c>
    </row>
    <row r="2781" customFormat="false" ht="15" hidden="false" customHeight="false" outlineLevel="0" collapsed="false">
      <c r="A2781" s="27" t="s">
        <v>118</v>
      </c>
      <c r="B2781" s="27" t="s">
        <v>109</v>
      </c>
      <c r="C2781" s="27" t="s">
        <v>39</v>
      </c>
      <c r="D2781" s="27" t="s">
        <v>44</v>
      </c>
      <c r="E2781" s="28" t="n">
        <f aca="false">ROUND((SUMIFS(Acerto_Detalhado!$F$2:$F$433,Acerto_Detalhado!$A$2:$A$433,$C2781,Acerto_Detalhado!$B$2:$B$433,"Ago",Acerto_Detalhado!$C$2:$C$433,"Proteina"))*(SUMIFS(Acerto_Detalhado!$I$2:$I$433,Acerto_Detalhado!$A$2:$A$433,$D2781,Acerto_Detalhado!$B$2:$B$433,"Ago",Acerto_Detalhado!$C$2:$C$433,"Proteina")),2)</f>
        <v>0</v>
      </c>
    </row>
    <row r="2782" customFormat="false" ht="15" hidden="false" customHeight="false" outlineLevel="0" collapsed="false">
      <c r="A2782" s="27" t="s">
        <v>118</v>
      </c>
      <c r="B2782" s="27" t="s">
        <v>109</v>
      </c>
      <c r="C2782" s="27" t="s">
        <v>39</v>
      </c>
      <c r="D2782" s="27" t="s">
        <v>45</v>
      </c>
      <c r="E2782" s="28" t="n">
        <f aca="false">ROUND((SUMIFS(Acerto_Detalhado!$F$2:$F$433,Acerto_Detalhado!$A$2:$A$433,$C2782,Acerto_Detalhado!$B$2:$B$433,"Ago",Acerto_Detalhado!$C$2:$C$433,"Proteina"))*(SUMIFS(Acerto_Detalhado!$I$2:$I$433,Acerto_Detalhado!$A$2:$A$433,$D2782,Acerto_Detalhado!$B$2:$B$433,"Ago",Acerto_Detalhado!$C$2:$C$433,"Proteina")),2)</f>
        <v>0</v>
      </c>
    </row>
    <row r="2783" customFormat="false" ht="15" hidden="false" customHeight="false" outlineLevel="0" collapsed="false">
      <c r="A2783" s="27" t="s">
        <v>118</v>
      </c>
      <c r="B2783" s="27" t="s">
        <v>109</v>
      </c>
      <c r="C2783" s="27" t="s">
        <v>39</v>
      </c>
      <c r="D2783" s="27" t="s">
        <v>46</v>
      </c>
      <c r="E2783" s="28" t="n">
        <f aca="false">ROUND((SUMIFS(Acerto_Detalhado!$F$2:$F$433,Acerto_Detalhado!$A$2:$A$433,$C2783,Acerto_Detalhado!$B$2:$B$433,"Ago",Acerto_Detalhado!$C$2:$C$433,"Proteina"))*(SUMIFS(Acerto_Detalhado!$I$2:$I$433,Acerto_Detalhado!$A$2:$A$433,$D2783,Acerto_Detalhado!$B$2:$B$433,"Ago",Acerto_Detalhado!$C$2:$C$433,"Proteina")),2)</f>
        <v>9536.74</v>
      </c>
    </row>
    <row r="2784" customFormat="false" ht="15" hidden="false" customHeight="false" outlineLevel="0" collapsed="false">
      <c r="A2784" s="27" t="s">
        <v>118</v>
      </c>
      <c r="B2784" s="27" t="s">
        <v>109</v>
      </c>
      <c r="C2784" s="27" t="s">
        <v>39</v>
      </c>
      <c r="D2784" s="27" t="s">
        <v>47</v>
      </c>
      <c r="E2784" s="28" t="n">
        <f aca="false">ROUND((SUMIFS(Acerto_Detalhado!$F$2:$F$433,Acerto_Detalhado!$A$2:$A$433,$C2784,Acerto_Detalhado!$B$2:$B$433,"Ago",Acerto_Detalhado!$C$2:$C$433,"Proteina"))*(SUMIFS(Acerto_Detalhado!$I$2:$I$433,Acerto_Detalhado!$A$2:$A$433,$D2784,Acerto_Detalhado!$B$2:$B$433,"Ago",Acerto_Detalhado!$C$2:$C$433,"Proteina")),2)</f>
        <v>0</v>
      </c>
    </row>
    <row r="2785" customFormat="false" ht="15" hidden="false" customHeight="false" outlineLevel="0" collapsed="false">
      <c r="A2785" s="27" t="s">
        <v>118</v>
      </c>
      <c r="B2785" s="27" t="s">
        <v>109</v>
      </c>
      <c r="C2785" s="27" t="s">
        <v>39</v>
      </c>
      <c r="D2785" s="27" t="s">
        <v>48</v>
      </c>
      <c r="E2785" s="28" t="n">
        <f aca="false">ROUND((SUMIFS(Acerto_Detalhado!$F$2:$F$433,Acerto_Detalhado!$A$2:$A$433,$C2785,Acerto_Detalhado!$B$2:$B$433,"Ago",Acerto_Detalhado!$C$2:$C$433,"Proteina"))*(SUMIFS(Acerto_Detalhado!$I$2:$I$433,Acerto_Detalhado!$A$2:$A$433,$D2785,Acerto_Detalhado!$B$2:$B$433,"Ago",Acerto_Detalhado!$C$2:$C$433,"Proteina")),2)</f>
        <v>27881.85</v>
      </c>
    </row>
    <row r="2786" customFormat="false" ht="15" hidden="false" customHeight="false" outlineLevel="0" collapsed="false">
      <c r="A2786" s="27" t="s">
        <v>118</v>
      </c>
      <c r="B2786" s="27" t="s">
        <v>109</v>
      </c>
      <c r="C2786" s="27" t="s">
        <v>39</v>
      </c>
      <c r="D2786" s="27" t="s">
        <v>49</v>
      </c>
      <c r="E2786" s="28" t="n">
        <f aca="false">ROUND((SUMIFS(Acerto_Detalhado!$F$2:$F$433,Acerto_Detalhado!$A$2:$A$433,$C2786,Acerto_Detalhado!$B$2:$B$433,"Ago",Acerto_Detalhado!$C$2:$C$433,"Proteina"))*(SUMIFS(Acerto_Detalhado!$I$2:$I$433,Acerto_Detalhado!$A$2:$A$433,$D2786,Acerto_Detalhado!$B$2:$B$433,"Ago",Acerto_Detalhado!$C$2:$C$433,"Proteina")),2)</f>
        <v>0</v>
      </c>
    </row>
    <row r="2787" customFormat="false" ht="15" hidden="false" customHeight="false" outlineLevel="0" collapsed="false">
      <c r="A2787" s="27" t="s">
        <v>118</v>
      </c>
      <c r="B2787" s="27" t="s">
        <v>109</v>
      </c>
      <c r="C2787" s="27" t="s">
        <v>39</v>
      </c>
      <c r="D2787" s="27" t="s">
        <v>50</v>
      </c>
      <c r="E2787" s="28" t="n">
        <f aca="false">ROUND((SUMIFS(Acerto_Detalhado!$F$2:$F$433,Acerto_Detalhado!$A$2:$A$433,$C2787,Acerto_Detalhado!$B$2:$B$433,"Ago",Acerto_Detalhado!$C$2:$C$433,"Proteina"))*(SUMIFS(Acerto_Detalhado!$I$2:$I$433,Acerto_Detalhado!$A$2:$A$433,$D2787,Acerto_Detalhado!$B$2:$B$433,"Ago",Acerto_Detalhado!$C$2:$C$433,"Proteina")),2)</f>
        <v>0</v>
      </c>
    </row>
    <row r="2788" customFormat="false" ht="15" hidden="false" customHeight="false" outlineLevel="0" collapsed="false">
      <c r="A2788" s="27" t="s">
        <v>118</v>
      </c>
      <c r="B2788" s="27" t="s">
        <v>109</v>
      </c>
      <c r="C2788" s="27" t="s">
        <v>40</v>
      </c>
      <c r="D2788" s="27" t="s">
        <v>39</v>
      </c>
      <c r="E2788" s="28" t="n">
        <f aca="false">ROUND((SUMIFS(Acerto_Detalhado!$F$2:$F$433,Acerto_Detalhado!$A$2:$A$433,$C2788,Acerto_Detalhado!$B$2:$B$433,"Ago",Acerto_Detalhado!$C$2:$C$433,"Proteina"))*(SUMIFS(Acerto_Detalhado!$I$2:$I$433,Acerto_Detalhado!$A$2:$A$433,$D2788,Acerto_Detalhado!$B$2:$B$433,"Ago",Acerto_Detalhado!$C$2:$C$433,"Proteina")),2)</f>
        <v>0</v>
      </c>
    </row>
    <row r="2789" customFormat="false" ht="15" hidden="false" customHeight="false" outlineLevel="0" collapsed="false">
      <c r="A2789" s="27" t="s">
        <v>118</v>
      </c>
      <c r="B2789" s="27" t="s">
        <v>109</v>
      </c>
      <c r="C2789" s="27" t="s">
        <v>40</v>
      </c>
      <c r="D2789" s="27" t="s">
        <v>41</v>
      </c>
      <c r="E2789" s="28" t="n">
        <f aca="false">ROUND((SUMIFS(Acerto_Detalhado!$F$2:$F$433,Acerto_Detalhado!$A$2:$A$433,$C2789,Acerto_Detalhado!$B$2:$B$433,"Ago",Acerto_Detalhado!$C$2:$C$433,"Proteina"))*(SUMIFS(Acerto_Detalhado!$I$2:$I$433,Acerto_Detalhado!$A$2:$A$433,$D2789,Acerto_Detalhado!$B$2:$B$433,"Ago",Acerto_Detalhado!$C$2:$C$433,"Proteina")),2)</f>
        <v>0</v>
      </c>
    </row>
    <row r="2790" customFormat="false" ht="15" hidden="false" customHeight="false" outlineLevel="0" collapsed="false">
      <c r="A2790" s="27" t="s">
        <v>118</v>
      </c>
      <c r="B2790" s="27" t="s">
        <v>109</v>
      </c>
      <c r="C2790" s="27" t="s">
        <v>40</v>
      </c>
      <c r="D2790" s="27" t="s">
        <v>42</v>
      </c>
      <c r="E2790" s="28" t="n">
        <f aca="false">ROUND((SUMIFS(Acerto_Detalhado!$F$2:$F$433,Acerto_Detalhado!$A$2:$A$433,$C2790,Acerto_Detalhado!$B$2:$B$433,"Ago",Acerto_Detalhado!$C$2:$C$433,"Proteina"))*(SUMIFS(Acerto_Detalhado!$I$2:$I$433,Acerto_Detalhado!$A$2:$A$433,$D2790,Acerto_Detalhado!$B$2:$B$433,"Ago",Acerto_Detalhado!$C$2:$C$433,"Proteina")),2)</f>
        <v>0</v>
      </c>
    </row>
    <row r="2791" customFormat="false" ht="15" hidden="false" customHeight="false" outlineLevel="0" collapsed="false">
      <c r="A2791" s="27" t="s">
        <v>118</v>
      </c>
      <c r="B2791" s="27" t="s">
        <v>109</v>
      </c>
      <c r="C2791" s="27" t="s">
        <v>40</v>
      </c>
      <c r="D2791" s="27" t="s">
        <v>43</v>
      </c>
      <c r="E2791" s="28" t="n">
        <f aca="false">ROUND((SUMIFS(Acerto_Detalhado!$F$2:$F$433,Acerto_Detalhado!$A$2:$A$433,$C2791,Acerto_Detalhado!$B$2:$B$433,"Ago",Acerto_Detalhado!$C$2:$C$433,"Proteina"))*(SUMIFS(Acerto_Detalhado!$I$2:$I$433,Acerto_Detalhado!$A$2:$A$433,$D2791,Acerto_Detalhado!$B$2:$B$433,"Ago",Acerto_Detalhado!$C$2:$C$433,"Proteina")),2)</f>
        <v>0</v>
      </c>
    </row>
    <row r="2792" customFormat="false" ht="15" hidden="false" customHeight="false" outlineLevel="0" collapsed="false">
      <c r="A2792" s="27" t="s">
        <v>118</v>
      </c>
      <c r="B2792" s="27" t="s">
        <v>109</v>
      </c>
      <c r="C2792" s="27" t="s">
        <v>40</v>
      </c>
      <c r="D2792" s="27" t="s">
        <v>44</v>
      </c>
      <c r="E2792" s="28" t="n">
        <f aca="false">ROUND((SUMIFS(Acerto_Detalhado!$F$2:$F$433,Acerto_Detalhado!$A$2:$A$433,$C2792,Acerto_Detalhado!$B$2:$B$433,"Ago",Acerto_Detalhado!$C$2:$C$433,"Proteina"))*(SUMIFS(Acerto_Detalhado!$I$2:$I$433,Acerto_Detalhado!$A$2:$A$433,$D2792,Acerto_Detalhado!$B$2:$B$433,"Ago",Acerto_Detalhado!$C$2:$C$433,"Proteina")),2)</f>
        <v>0</v>
      </c>
    </row>
    <row r="2793" customFormat="false" ht="15" hidden="false" customHeight="false" outlineLevel="0" collapsed="false">
      <c r="A2793" s="27" t="s">
        <v>118</v>
      </c>
      <c r="B2793" s="27" t="s">
        <v>109</v>
      </c>
      <c r="C2793" s="27" t="s">
        <v>40</v>
      </c>
      <c r="D2793" s="27" t="s">
        <v>45</v>
      </c>
      <c r="E2793" s="28" t="n">
        <f aca="false">ROUND((SUMIFS(Acerto_Detalhado!$F$2:$F$433,Acerto_Detalhado!$A$2:$A$433,$C2793,Acerto_Detalhado!$B$2:$B$433,"Ago",Acerto_Detalhado!$C$2:$C$433,"Proteina"))*(SUMIFS(Acerto_Detalhado!$I$2:$I$433,Acerto_Detalhado!$A$2:$A$433,$D2793,Acerto_Detalhado!$B$2:$B$433,"Ago",Acerto_Detalhado!$C$2:$C$433,"Proteina")),2)</f>
        <v>0</v>
      </c>
    </row>
    <row r="2794" customFormat="false" ht="15" hidden="false" customHeight="false" outlineLevel="0" collapsed="false">
      <c r="A2794" s="27" t="s">
        <v>118</v>
      </c>
      <c r="B2794" s="27" t="s">
        <v>109</v>
      </c>
      <c r="C2794" s="27" t="s">
        <v>40</v>
      </c>
      <c r="D2794" s="27" t="s">
        <v>46</v>
      </c>
      <c r="E2794" s="28" t="n">
        <f aca="false">ROUND((SUMIFS(Acerto_Detalhado!$F$2:$F$433,Acerto_Detalhado!$A$2:$A$433,$C2794,Acerto_Detalhado!$B$2:$B$433,"Ago",Acerto_Detalhado!$C$2:$C$433,"Proteina"))*(SUMIFS(Acerto_Detalhado!$I$2:$I$433,Acerto_Detalhado!$A$2:$A$433,$D2794,Acerto_Detalhado!$B$2:$B$433,"Ago",Acerto_Detalhado!$C$2:$C$433,"Proteina")),2)</f>
        <v>0</v>
      </c>
    </row>
    <row r="2795" customFormat="false" ht="15" hidden="false" customHeight="false" outlineLevel="0" collapsed="false">
      <c r="A2795" s="27" t="s">
        <v>118</v>
      </c>
      <c r="B2795" s="27" t="s">
        <v>109</v>
      </c>
      <c r="C2795" s="27" t="s">
        <v>40</v>
      </c>
      <c r="D2795" s="27" t="s">
        <v>47</v>
      </c>
      <c r="E2795" s="28" t="n">
        <f aca="false">ROUND((SUMIFS(Acerto_Detalhado!$F$2:$F$433,Acerto_Detalhado!$A$2:$A$433,$C2795,Acerto_Detalhado!$B$2:$B$433,"Ago",Acerto_Detalhado!$C$2:$C$433,"Proteina"))*(SUMIFS(Acerto_Detalhado!$I$2:$I$433,Acerto_Detalhado!$A$2:$A$433,$D2795,Acerto_Detalhado!$B$2:$B$433,"Ago",Acerto_Detalhado!$C$2:$C$433,"Proteina")),2)</f>
        <v>0</v>
      </c>
    </row>
    <row r="2796" customFormat="false" ht="15" hidden="false" customHeight="false" outlineLevel="0" collapsed="false">
      <c r="A2796" s="27" t="s">
        <v>118</v>
      </c>
      <c r="B2796" s="27" t="s">
        <v>109</v>
      </c>
      <c r="C2796" s="27" t="s">
        <v>40</v>
      </c>
      <c r="D2796" s="27" t="s">
        <v>48</v>
      </c>
      <c r="E2796" s="28" t="n">
        <f aca="false">ROUND((SUMIFS(Acerto_Detalhado!$F$2:$F$433,Acerto_Detalhado!$A$2:$A$433,$C2796,Acerto_Detalhado!$B$2:$B$433,"Ago",Acerto_Detalhado!$C$2:$C$433,"Proteina"))*(SUMIFS(Acerto_Detalhado!$I$2:$I$433,Acerto_Detalhado!$A$2:$A$433,$D2796,Acerto_Detalhado!$B$2:$B$433,"Ago",Acerto_Detalhado!$C$2:$C$433,"Proteina")),2)</f>
        <v>0</v>
      </c>
    </row>
    <row r="2797" customFormat="false" ht="15" hidden="false" customHeight="false" outlineLevel="0" collapsed="false">
      <c r="A2797" s="27" t="s">
        <v>118</v>
      </c>
      <c r="B2797" s="27" t="s">
        <v>109</v>
      </c>
      <c r="C2797" s="27" t="s">
        <v>40</v>
      </c>
      <c r="D2797" s="27" t="s">
        <v>49</v>
      </c>
      <c r="E2797" s="28" t="n">
        <f aca="false">ROUND((SUMIFS(Acerto_Detalhado!$F$2:$F$433,Acerto_Detalhado!$A$2:$A$433,$C2797,Acerto_Detalhado!$B$2:$B$433,"Ago",Acerto_Detalhado!$C$2:$C$433,"Proteina"))*(SUMIFS(Acerto_Detalhado!$I$2:$I$433,Acerto_Detalhado!$A$2:$A$433,$D2797,Acerto_Detalhado!$B$2:$B$433,"Ago",Acerto_Detalhado!$C$2:$C$433,"Proteina")),2)</f>
        <v>0</v>
      </c>
    </row>
    <row r="2798" customFormat="false" ht="15" hidden="false" customHeight="false" outlineLevel="0" collapsed="false">
      <c r="A2798" s="27" t="s">
        <v>118</v>
      </c>
      <c r="B2798" s="27" t="s">
        <v>109</v>
      </c>
      <c r="C2798" s="27" t="s">
        <v>40</v>
      </c>
      <c r="D2798" s="27" t="s">
        <v>50</v>
      </c>
      <c r="E2798" s="28" t="n">
        <f aca="false">ROUND((SUMIFS(Acerto_Detalhado!$F$2:$F$433,Acerto_Detalhado!$A$2:$A$433,$C2798,Acerto_Detalhado!$B$2:$B$433,"Ago",Acerto_Detalhado!$C$2:$C$433,"Proteina"))*(SUMIFS(Acerto_Detalhado!$I$2:$I$433,Acerto_Detalhado!$A$2:$A$433,$D2798,Acerto_Detalhado!$B$2:$B$433,"Ago",Acerto_Detalhado!$C$2:$C$433,"Proteina")),2)</f>
        <v>0</v>
      </c>
    </row>
    <row r="2799" customFormat="false" ht="15" hidden="false" customHeight="false" outlineLevel="0" collapsed="false">
      <c r="A2799" s="27" t="s">
        <v>118</v>
      </c>
      <c r="B2799" s="27" t="s">
        <v>109</v>
      </c>
      <c r="C2799" s="27" t="s">
        <v>41</v>
      </c>
      <c r="D2799" s="27" t="s">
        <v>39</v>
      </c>
      <c r="E2799" s="28" t="n">
        <f aca="false">ROUND((SUMIFS(Acerto_Detalhado!$F$2:$F$433,Acerto_Detalhado!$A$2:$A$433,$C2799,Acerto_Detalhado!$B$2:$B$433,"Ago",Acerto_Detalhado!$C$2:$C$433,"Proteina"))*(SUMIFS(Acerto_Detalhado!$I$2:$I$433,Acerto_Detalhado!$A$2:$A$433,$D2799,Acerto_Detalhado!$B$2:$B$433,"Ago",Acerto_Detalhado!$C$2:$C$433,"Proteina")),2)</f>
        <v>0</v>
      </c>
    </row>
    <row r="2800" customFormat="false" ht="15" hidden="false" customHeight="false" outlineLevel="0" collapsed="false">
      <c r="A2800" s="27" t="s">
        <v>118</v>
      </c>
      <c r="B2800" s="27" t="s">
        <v>109</v>
      </c>
      <c r="C2800" s="27" t="s">
        <v>41</v>
      </c>
      <c r="D2800" s="27" t="s">
        <v>40</v>
      </c>
      <c r="E2800" s="28" t="n">
        <f aca="false">ROUND((SUMIFS(Acerto_Detalhado!$F$2:$F$433,Acerto_Detalhado!$A$2:$A$433,$C2800,Acerto_Detalhado!$B$2:$B$433,"Ago",Acerto_Detalhado!$C$2:$C$433,"Proteina"))*(SUMIFS(Acerto_Detalhado!$I$2:$I$433,Acerto_Detalhado!$A$2:$A$433,$D2800,Acerto_Detalhado!$B$2:$B$433,"Ago",Acerto_Detalhado!$C$2:$C$433,"Proteina")),2)</f>
        <v>0</v>
      </c>
    </row>
    <row r="2801" customFormat="false" ht="15" hidden="false" customHeight="false" outlineLevel="0" collapsed="false">
      <c r="A2801" s="27" t="s">
        <v>118</v>
      </c>
      <c r="B2801" s="27" t="s">
        <v>109</v>
      </c>
      <c r="C2801" s="27" t="s">
        <v>41</v>
      </c>
      <c r="D2801" s="27" t="s">
        <v>42</v>
      </c>
      <c r="E2801" s="28" t="n">
        <f aca="false">ROUND((SUMIFS(Acerto_Detalhado!$F$2:$F$433,Acerto_Detalhado!$A$2:$A$433,$C2801,Acerto_Detalhado!$B$2:$B$433,"Ago",Acerto_Detalhado!$C$2:$C$433,"Proteina"))*(SUMIFS(Acerto_Detalhado!$I$2:$I$433,Acerto_Detalhado!$A$2:$A$433,$D2801,Acerto_Detalhado!$B$2:$B$433,"Ago",Acerto_Detalhado!$C$2:$C$433,"Proteina")),2)</f>
        <v>0</v>
      </c>
    </row>
    <row r="2802" customFormat="false" ht="15" hidden="false" customHeight="false" outlineLevel="0" collapsed="false">
      <c r="A2802" s="27" t="s">
        <v>118</v>
      </c>
      <c r="B2802" s="27" t="s">
        <v>109</v>
      </c>
      <c r="C2802" s="27" t="s">
        <v>41</v>
      </c>
      <c r="D2802" s="27" t="s">
        <v>43</v>
      </c>
      <c r="E2802" s="28" t="n">
        <f aca="false">ROUND((SUMIFS(Acerto_Detalhado!$F$2:$F$433,Acerto_Detalhado!$A$2:$A$433,$C2802,Acerto_Detalhado!$B$2:$B$433,"Ago",Acerto_Detalhado!$C$2:$C$433,"Proteina"))*(SUMIFS(Acerto_Detalhado!$I$2:$I$433,Acerto_Detalhado!$A$2:$A$433,$D2802,Acerto_Detalhado!$B$2:$B$433,"Ago",Acerto_Detalhado!$C$2:$C$433,"Proteina")),2)</f>
        <v>0</v>
      </c>
    </row>
    <row r="2803" customFormat="false" ht="15" hidden="false" customHeight="false" outlineLevel="0" collapsed="false">
      <c r="A2803" s="27" t="s">
        <v>118</v>
      </c>
      <c r="B2803" s="27" t="s">
        <v>109</v>
      </c>
      <c r="C2803" s="27" t="s">
        <v>41</v>
      </c>
      <c r="D2803" s="27" t="s">
        <v>44</v>
      </c>
      <c r="E2803" s="28" t="n">
        <f aca="false">ROUND((SUMIFS(Acerto_Detalhado!$F$2:$F$433,Acerto_Detalhado!$A$2:$A$433,$C2803,Acerto_Detalhado!$B$2:$B$433,"Ago",Acerto_Detalhado!$C$2:$C$433,"Proteina"))*(SUMIFS(Acerto_Detalhado!$I$2:$I$433,Acerto_Detalhado!$A$2:$A$433,$D2803,Acerto_Detalhado!$B$2:$B$433,"Ago",Acerto_Detalhado!$C$2:$C$433,"Proteina")),2)</f>
        <v>0</v>
      </c>
    </row>
    <row r="2804" customFormat="false" ht="15" hidden="false" customHeight="false" outlineLevel="0" collapsed="false">
      <c r="A2804" s="27" t="s">
        <v>118</v>
      </c>
      <c r="B2804" s="27" t="s">
        <v>109</v>
      </c>
      <c r="C2804" s="27" t="s">
        <v>41</v>
      </c>
      <c r="D2804" s="27" t="s">
        <v>45</v>
      </c>
      <c r="E2804" s="28" t="n">
        <f aca="false">ROUND((SUMIFS(Acerto_Detalhado!$F$2:$F$433,Acerto_Detalhado!$A$2:$A$433,$C2804,Acerto_Detalhado!$B$2:$B$433,"Ago",Acerto_Detalhado!$C$2:$C$433,"Proteina"))*(SUMIFS(Acerto_Detalhado!$I$2:$I$433,Acerto_Detalhado!$A$2:$A$433,$D2804,Acerto_Detalhado!$B$2:$B$433,"Ago",Acerto_Detalhado!$C$2:$C$433,"Proteina")),2)</f>
        <v>0</v>
      </c>
    </row>
    <row r="2805" customFormat="false" ht="15" hidden="false" customHeight="false" outlineLevel="0" collapsed="false">
      <c r="A2805" s="27" t="s">
        <v>118</v>
      </c>
      <c r="B2805" s="27" t="s">
        <v>109</v>
      </c>
      <c r="C2805" s="27" t="s">
        <v>41</v>
      </c>
      <c r="D2805" s="27" t="s">
        <v>46</v>
      </c>
      <c r="E2805" s="28" t="n">
        <f aca="false">ROUND((SUMIFS(Acerto_Detalhado!$F$2:$F$433,Acerto_Detalhado!$A$2:$A$433,$C2805,Acerto_Detalhado!$B$2:$B$433,"Ago",Acerto_Detalhado!$C$2:$C$433,"Proteina"))*(SUMIFS(Acerto_Detalhado!$I$2:$I$433,Acerto_Detalhado!$A$2:$A$433,$D2805,Acerto_Detalhado!$B$2:$B$433,"Ago",Acerto_Detalhado!$C$2:$C$433,"Proteina")),2)</f>
        <v>0</v>
      </c>
    </row>
    <row r="2806" customFormat="false" ht="15" hidden="false" customHeight="false" outlineLevel="0" collapsed="false">
      <c r="A2806" s="27" t="s">
        <v>118</v>
      </c>
      <c r="B2806" s="27" t="s">
        <v>109</v>
      </c>
      <c r="C2806" s="27" t="s">
        <v>41</v>
      </c>
      <c r="D2806" s="27" t="s">
        <v>47</v>
      </c>
      <c r="E2806" s="28" t="n">
        <f aca="false">ROUND((SUMIFS(Acerto_Detalhado!$F$2:$F$433,Acerto_Detalhado!$A$2:$A$433,$C2806,Acerto_Detalhado!$B$2:$B$433,"Ago",Acerto_Detalhado!$C$2:$C$433,"Proteina"))*(SUMIFS(Acerto_Detalhado!$I$2:$I$433,Acerto_Detalhado!$A$2:$A$433,$D2806,Acerto_Detalhado!$B$2:$B$433,"Ago",Acerto_Detalhado!$C$2:$C$433,"Proteina")),2)</f>
        <v>0</v>
      </c>
    </row>
    <row r="2807" customFormat="false" ht="15" hidden="false" customHeight="false" outlineLevel="0" collapsed="false">
      <c r="A2807" s="27" t="s">
        <v>118</v>
      </c>
      <c r="B2807" s="27" t="s">
        <v>109</v>
      </c>
      <c r="C2807" s="27" t="s">
        <v>41</v>
      </c>
      <c r="D2807" s="27" t="s">
        <v>48</v>
      </c>
      <c r="E2807" s="28" t="n">
        <f aca="false">ROUND((SUMIFS(Acerto_Detalhado!$F$2:$F$433,Acerto_Detalhado!$A$2:$A$433,$C2807,Acerto_Detalhado!$B$2:$B$433,"Ago",Acerto_Detalhado!$C$2:$C$433,"Proteina"))*(SUMIFS(Acerto_Detalhado!$I$2:$I$433,Acerto_Detalhado!$A$2:$A$433,$D2807,Acerto_Detalhado!$B$2:$B$433,"Ago",Acerto_Detalhado!$C$2:$C$433,"Proteina")),2)</f>
        <v>0</v>
      </c>
    </row>
    <row r="2808" customFormat="false" ht="15" hidden="false" customHeight="false" outlineLevel="0" collapsed="false">
      <c r="A2808" s="27" t="s">
        <v>118</v>
      </c>
      <c r="B2808" s="27" t="s">
        <v>109</v>
      </c>
      <c r="C2808" s="27" t="s">
        <v>41</v>
      </c>
      <c r="D2808" s="27" t="s">
        <v>49</v>
      </c>
      <c r="E2808" s="28" t="n">
        <f aca="false">ROUND((SUMIFS(Acerto_Detalhado!$F$2:$F$433,Acerto_Detalhado!$A$2:$A$433,$C2808,Acerto_Detalhado!$B$2:$B$433,"Ago",Acerto_Detalhado!$C$2:$C$433,"Proteina"))*(SUMIFS(Acerto_Detalhado!$I$2:$I$433,Acerto_Detalhado!$A$2:$A$433,$D2808,Acerto_Detalhado!$B$2:$B$433,"Ago",Acerto_Detalhado!$C$2:$C$433,"Proteina")),2)</f>
        <v>0</v>
      </c>
    </row>
    <row r="2809" customFormat="false" ht="15" hidden="false" customHeight="false" outlineLevel="0" collapsed="false">
      <c r="A2809" s="27" t="s">
        <v>118</v>
      </c>
      <c r="B2809" s="27" t="s">
        <v>109</v>
      </c>
      <c r="C2809" s="27" t="s">
        <v>41</v>
      </c>
      <c r="D2809" s="27" t="s">
        <v>50</v>
      </c>
      <c r="E2809" s="28" t="n">
        <f aca="false">ROUND((SUMIFS(Acerto_Detalhado!$F$2:$F$433,Acerto_Detalhado!$A$2:$A$433,$C2809,Acerto_Detalhado!$B$2:$B$433,"Ago",Acerto_Detalhado!$C$2:$C$433,"Proteina"))*(SUMIFS(Acerto_Detalhado!$I$2:$I$433,Acerto_Detalhado!$A$2:$A$433,$D2809,Acerto_Detalhado!$B$2:$B$433,"Ago",Acerto_Detalhado!$C$2:$C$433,"Proteina")),2)</f>
        <v>0</v>
      </c>
    </row>
    <row r="2810" customFormat="false" ht="15" hidden="false" customHeight="false" outlineLevel="0" collapsed="false">
      <c r="A2810" s="27" t="s">
        <v>118</v>
      </c>
      <c r="B2810" s="27" t="s">
        <v>109</v>
      </c>
      <c r="C2810" s="27" t="s">
        <v>42</v>
      </c>
      <c r="D2810" s="27" t="s">
        <v>39</v>
      </c>
      <c r="E2810" s="28" t="n">
        <f aca="false">ROUND((SUMIFS(Acerto_Detalhado!$F$2:$F$433,Acerto_Detalhado!$A$2:$A$433,$C2810,Acerto_Detalhado!$B$2:$B$433,"Ago",Acerto_Detalhado!$C$2:$C$433,"Proteina"))*(SUMIFS(Acerto_Detalhado!$I$2:$I$433,Acerto_Detalhado!$A$2:$A$433,$D2810,Acerto_Detalhado!$B$2:$B$433,"Ago",Acerto_Detalhado!$C$2:$C$433,"Proteina")),2)</f>
        <v>0</v>
      </c>
    </row>
    <row r="2811" customFormat="false" ht="15" hidden="false" customHeight="false" outlineLevel="0" collapsed="false">
      <c r="A2811" s="27" t="s">
        <v>118</v>
      </c>
      <c r="B2811" s="27" t="s">
        <v>109</v>
      </c>
      <c r="C2811" s="27" t="s">
        <v>42</v>
      </c>
      <c r="D2811" s="27" t="s">
        <v>40</v>
      </c>
      <c r="E2811" s="28" t="n">
        <f aca="false">ROUND((SUMIFS(Acerto_Detalhado!$F$2:$F$433,Acerto_Detalhado!$A$2:$A$433,$C2811,Acerto_Detalhado!$B$2:$B$433,"Ago",Acerto_Detalhado!$C$2:$C$433,"Proteina"))*(SUMIFS(Acerto_Detalhado!$I$2:$I$433,Acerto_Detalhado!$A$2:$A$433,$D2811,Acerto_Detalhado!$B$2:$B$433,"Ago",Acerto_Detalhado!$C$2:$C$433,"Proteina")),2)</f>
        <v>690.09</v>
      </c>
    </row>
    <row r="2812" customFormat="false" ht="15" hidden="false" customHeight="false" outlineLevel="0" collapsed="false">
      <c r="A2812" s="27" t="s">
        <v>118</v>
      </c>
      <c r="B2812" s="27" t="s">
        <v>109</v>
      </c>
      <c r="C2812" s="27" t="s">
        <v>42</v>
      </c>
      <c r="D2812" s="27" t="s">
        <v>41</v>
      </c>
      <c r="E2812" s="28" t="n">
        <f aca="false">ROUND((SUMIFS(Acerto_Detalhado!$F$2:$F$433,Acerto_Detalhado!$A$2:$A$433,$C2812,Acerto_Detalhado!$B$2:$B$433,"Ago",Acerto_Detalhado!$C$2:$C$433,"Proteina"))*(SUMIFS(Acerto_Detalhado!$I$2:$I$433,Acerto_Detalhado!$A$2:$A$433,$D2812,Acerto_Detalhado!$B$2:$B$433,"Ago",Acerto_Detalhado!$C$2:$C$433,"Proteina")),2)</f>
        <v>1238.53</v>
      </c>
    </row>
    <row r="2813" customFormat="false" ht="15" hidden="false" customHeight="false" outlineLevel="0" collapsed="false">
      <c r="A2813" s="27" t="s">
        <v>118</v>
      </c>
      <c r="B2813" s="27" t="s">
        <v>109</v>
      </c>
      <c r="C2813" s="27" t="s">
        <v>42</v>
      </c>
      <c r="D2813" s="27" t="s">
        <v>43</v>
      </c>
      <c r="E2813" s="28" t="n">
        <f aca="false">ROUND((SUMIFS(Acerto_Detalhado!$F$2:$F$433,Acerto_Detalhado!$A$2:$A$433,$C2813,Acerto_Detalhado!$B$2:$B$433,"Ago",Acerto_Detalhado!$C$2:$C$433,"Proteina"))*(SUMIFS(Acerto_Detalhado!$I$2:$I$433,Acerto_Detalhado!$A$2:$A$433,$D2813,Acerto_Detalhado!$B$2:$B$433,"Ago",Acerto_Detalhado!$C$2:$C$433,"Proteina")),2)</f>
        <v>0</v>
      </c>
    </row>
    <row r="2814" customFormat="false" ht="15" hidden="false" customHeight="false" outlineLevel="0" collapsed="false">
      <c r="A2814" s="27" t="s">
        <v>118</v>
      </c>
      <c r="B2814" s="27" t="s">
        <v>109</v>
      </c>
      <c r="C2814" s="27" t="s">
        <v>42</v>
      </c>
      <c r="D2814" s="27" t="s">
        <v>44</v>
      </c>
      <c r="E2814" s="28" t="n">
        <f aca="false">ROUND((SUMIFS(Acerto_Detalhado!$F$2:$F$433,Acerto_Detalhado!$A$2:$A$433,$C2814,Acerto_Detalhado!$B$2:$B$433,"Ago",Acerto_Detalhado!$C$2:$C$433,"Proteina"))*(SUMIFS(Acerto_Detalhado!$I$2:$I$433,Acerto_Detalhado!$A$2:$A$433,$D2814,Acerto_Detalhado!$B$2:$B$433,"Ago",Acerto_Detalhado!$C$2:$C$433,"Proteina")),2)</f>
        <v>0</v>
      </c>
    </row>
    <row r="2815" customFormat="false" ht="15" hidden="false" customHeight="false" outlineLevel="0" collapsed="false">
      <c r="A2815" s="27" t="s">
        <v>118</v>
      </c>
      <c r="B2815" s="27" t="s">
        <v>109</v>
      </c>
      <c r="C2815" s="27" t="s">
        <v>42</v>
      </c>
      <c r="D2815" s="27" t="s">
        <v>45</v>
      </c>
      <c r="E2815" s="28" t="n">
        <f aca="false">ROUND((SUMIFS(Acerto_Detalhado!$F$2:$F$433,Acerto_Detalhado!$A$2:$A$433,$C2815,Acerto_Detalhado!$B$2:$B$433,"Ago",Acerto_Detalhado!$C$2:$C$433,"Proteina"))*(SUMIFS(Acerto_Detalhado!$I$2:$I$433,Acerto_Detalhado!$A$2:$A$433,$D2815,Acerto_Detalhado!$B$2:$B$433,"Ago",Acerto_Detalhado!$C$2:$C$433,"Proteina")),2)</f>
        <v>0</v>
      </c>
    </row>
    <row r="2816" customFormat="false" ht="15" hidden="false" customHeight="false" outlineLevel="0" collapsed="false">
      <c r="A2816" s="27" t="s">
        <v>118</v>
      </c>
      <c r="B2816" s="27" t="s">
        <v>109</v>
      </c>
      <c r="C2816" s="27" t="s">
        <v>42</v>
      </c>
      <c r="D2816" s="27" t="s">
        <v>46</v>
      </c>
      <c r="E2816" s="28" t="n">
        <f aca="false">ROUND((SUMIFS(Acerto_Detalhado!$F$2:$F$433,Acerto_Detalhado!$A$2:$A$433,$C2816,Acerto_Detalhado!$B$2:$B$433,"Ago",Acerto_Detalhado!$C$2:$C$433,"Proteina"))*(SUMIFS(Acerto_Detalhado!$I$2:$I$433,Acerto_Detalhado!$A$2:$A$433,$D2816,Acerto_Detalhado!$B$2:$B$433,"Ago",Acerto_Detalhado!$C$2:$C$433,"Proteina")),2)</f>
        <v>184.44</v>
      </c>
    </row>
    <row r="2817" customFormat="false" ht="15" hidden="false" customHeight="false" outlineLevel="0" collapsed="false">
      <c r="A2817" s="27" t="s">
        <v>118</v>
      </c>
      <c r="B2817" s="27" t="s">
        <v>109</v>
      </c>
      <c r="C2817" s="27" t="s">
        <v>42</v>
      </c>
      <c r="D2817" s="27" t="s">
        <v>47</v>
      </c>
      <c r="E2817" s="28" t="n">
        <f aca="false">ROUND((SUMIFS(Acerto_Detalhado!$F$2:$F$433,Acerto_Detalhado!$A$2:$A$433,$C2817,Acerto_Detalhado!$B$2:$B$433,"Ago",Acerto_Detalhado!$C$2:$C$433,"Proteina"))*(SUMIFS(Acerto_Detalhado!$I$2:$I$433,Acerto_Detalhado!$A$2:$A$433,$D2817,Acerto_Detalhado!$B$2:$B$433,"Ago",Acerto_Detalhado!$C$2:$C$433,"Proteina")),2)</f>
        <v>0</v>
      </c>
    </row>
    <row r="2818" customFormat="false" ht="15" hidden="false" customHeight="false" outlineLevel="0" collapsed="false">
      <c r="A2818" s="27" t="s">
        <v>118</v>
      </c>
      <c r="B2818" s="27" t="s">
        <v>109</v>
      </c>
      <c r="C2818" s="27" t="s">
        <v>42</v>
      </c>
      <c r="D2818" s="27" t="s">
        <v>48</v>
      </c>
      <c r="E2818" s="28" t="n">
        <f aca="false">ROUND((SUMIFS(Acerto_Detalhado!$F$2:$F$433,Acerto_Detalhado!$A$2:$A$433,$C2818,Acerto_Detalhado!$B$2:$B$433,"Ago",Acerto_Detalhado!$C$2:$C$433,"Proteina"))*(SUMIFS(Acerto_Detalhado!$I$2:$I$433,Acerto_Detalhado!$A$2:$A$433,$D2818,Acerto_Detalhado!$B$2:$B$433,"Ago",Acerto_Detalhado!$C$2:$C$433,"Proteina")),2)</f>
        <v>539.24</v>
      </c>
    </row>
    <row r="2819" customFormat="false" ht="15" hidden="false" customHeight="false" outlineLevel="0" collapsed="false">
      <c r="A2819" s="27" t="s">
        <v>118</v>
      </c>
      <c r="B2819" s="27" t="s">
        <v>109</v>
      </c>
      <c r="C2819" s="27" t="s">
        <v>42</v>
      </c>
      <c r="D2819" s="27" t="s">
        <v>49</v>
      </c>
      <c r="E2819" s="28" t="n">
        <f aca="false">ROUND((SUMIFS(Acerto_Detalhado!$F$2:$F$433,Acerto_Detalhado!$A$2:$A$433,$C2819,Acerto_Detalhado!$B$2:$B$433,"Ago",Acerto_Detalhado!$C$2:$C$433,"Proteina"))*(SUMIFS(Acerto_Detalhado!$I$2:$I$433,Acerto_Detalhado!$A$2:$A$433,$D2819,Acerto_Detalhado!$B$2:$B$433,"Ago",Acerto_Detalhado!$C$2:$C$433,"Proteina")),2)</f>
        <v>0</v>
      </c>
    </row>
    <row r="2820" customFormat="false" ht="15" hidden="false" customHeight="false" outlineLevel="0" collapsed="false">
      <c r="A2820" s="27" t="s">
        <v>118</v>
      </c>
      <c r="B2820" s="27" t="s">
        <v>109</v>
      </c>
      <c r="C2820" s="27" t="s">
        <v>42</v>
      </c>
      <c r="D2820" s="27" t="s">
        <v>50</v>
      </c>
      <c r="E2820" s="28" t="n">
        <f aca="false">ROUND((SUMIFS(Acerto_Detalhado!$F$2:$F$433,Acerto_Detalhado!$A$2:$A$433,$C2820,Acerto_Detalhado!$B$2:$B$433,"Ago",Acerto_Detalhado!$C$2:$C$433,"Proteina"))*(SUMIFS(Acerto_Detalhado!$I$2:$I$433,Acerto_Detalhado!$A$2:$A$433,$D2820,Acerto_Detalhado!$B$2:$B$433,"Ago",Acerto_Detalhado!$C$2:$C$433,"Proteina")),2)</f>
        <v>0</v>
      </c>
    </row>
    <row r="2821" customFormat="false" ht="15" hidden="false" customHeight="false" outlineLevel="0" collapsed="false">
      <c r="A2821" s="27" t="s">
        <v>118</v>
      </c>
      <c r="B2821" s="27" t="s">
        <v>109</v>
      </c>
      <c r="C2821" s="27" t="s">
        <v>43</v>
      </c>
      <c r="D2821" s="27" t="s">
        <v>39</v>
      </c>
      <c r="E2821" s="28" t="n">
        <f aca="false">ROUND((SUMIFS(Acerto_Detalhado!$F$2:$F$433,Acerto_Detalhado!$A$2:$A$433,$C2821,Acerto_Detalhado!$B$2:$B$433,"Ago",Acerto_Detalhado!$C$2:$C$433,"Proteina"))*(SUMIFS(Acerto_Detalhado!$I$2:$I$433,Acerto_Detalhado!$A$2:$A$433,$D2821,Acerto_Detalhado!$B$2:$B$433,"Ago",Acerto_Detalhado!$C$2:$C$433,"Proteina")),2)</f>
        <v>0</v>
      </c>
    </row>
    <row r="2822" customFormat="false" ht="15" hidden="false" customHeight="false" outlineLevel="0" collapsed="false">
      <c r="A2822" s="27" t="s">
        <v>118</v>
      </c>
      <c r="B2822" s="27" t="s">
        <v>109</v>
      </c>
      <c r="C2822" s="27" t="s">
        <v>43</v>
      </c>
      <c r="D2822" s="27" t="s">
        <v>40</v>
      </c>
      <c r="E2822" s="28" t="n">
        <f aca="false">ROUND((SUMIFS(Acerto_Detalhado!$F$2:$F$433,Acerto_Detalhado!$A$2:$A$433,$C2822,Acerto_Detalhado!$B$2:$B$433,"Ago",Acerto_Detalhado!$C$2:$C$433,"Proteina"))*(SUMIFS(Acerto_Detalhado!$I$2:$I$433,Acerto_Detalhado!$A$2:$A$433,$D2822,Acerto_Detalhado!$B$2:$B$433,"Ago",Acerto_Detalhado!$C$2:$C$433,"Proteina")),2)</f>
        <v>18560.43</v>
      </c>
    </row>
    <row r="2823" customFormat="false" ht="15" hidden="false" customHeight="false" outlineLevel="0" collapsed="false">
      <c r="A2823" s="27" t="s">
        <v>118</v>
      </c>
      <c r="B2823" s="27" t="s">
        <v>109</v>
      </c>
      <c r="C2823" s="27" t="s">
        <v>43</v>
      </c>
      <c r="D2823" s="27" t="s">
        <v>41</v>
      </c>
      <c r="E2823" s="28" t="n">
        <f aca="false">ROUND((SUMIFS(Acerto_Detalhado!$F$2:$F$433,Acerto_Detalhado!$A$2:$A$433,$C2823,Acerto_Detalhado!$B$2:$B$433,"Ago",Acerto_Detalhado!$C$2:$C$433,"Proteina"))*(SUMIFS(Acerto_Detalhado!$I$2:$I$433,Acerto_Detalhado!$A$2:$A$433,$D2823,Acerto_Detalhado!$B$2:$B$433,"Ago",Acerto_Detalhado!$C$2:$C$433,"Proteina")),2)</f>
        <v>33311.2</v>
      </c>
    </row>
    <row r="2824" customFormat="false" ht="15" hidden="false" customHeight="false" outlineLevel="0" collapsed="false">
      <c r="A2824" s="27" t="s">
        <v>118</v>
      </c>
      <c r="B2824" s="27" t="s">
        <v>109</v>
      </c>
      <c r="C2824" s="27" t="s">
        <v>43</v>
      </c>
      <c r="D2824" s="27" t="s">
        <v>42</v>
      </c>
      <c r="E2824" s="28" t="n">
        <f aca="false">ROUND((SUMIFS(Acerto_Detalhado!$F$2:$F$433,Acerto_Detalhado!$A$2:$A$433,$C2824,Acerto_Detalhado!$B$2:$B$433,"Ago",Acerto_Detalhado!$C$2:$C$433,"Proteina"))*(SUMIFS(Acerto_Detalhado!$I$2:$I$433,Acerto_Detalhado!$A$2:$A$433,$D2824,Acerto_Detalhado!$B$2:$B$433,"Ago",Acerto_Detalhado!$C$2:$C$433,"Proteina")),2)</f>
        <v>0</v>
      </c>
    </row>
    <row r="2825" customFormat="false" ht="15" hidden="false" customHeight="false" outlineLevel="0" collapsed="false">
      <c r="A2825" s="27" t="s">
        <v>118</v>
      </c>
      <c r="B2825" s="27" t="s">
        <v>109</v>
      </c>
      <c r="C2825" s="27" t="s">
        <v>43</v>
      </c>
      <c r="D2825" s="27" t="s">
        <v>44</v>
      </c>
      <c r="E2825" s="28" t="n">
        <f aca="false">ROUND((SUMIFS(Acerto_Detalhado!$F$2:$F$433,Acerto_Detalhado!$A$2:$A$433,$C2825,Acerto_Detalhado!$B$2:$B$433,"Ago",Acerto_Detalhado!$C$2:$C$433,"Proteina"))*(SUMIFS(Acerto_Detalhado!$I$2:$I$433,Acerto_Detalhado!$A$2:$A$433,$D2825,Acerto_Detalhado!$B$2:$B$433,"Ago",Acerto_Detalhado!$C$2:$C$433,"Proteina")),2)</f>
        <v>0</v>
      </c>
    </row>
    <row r="2826" customFormat="false" ht="15" hidden="false" customHeight="false" outlineLevel="0" collapsed="false">
      <c r="A2826" s="27" t="s">
        <v>118</v>
      </c>
      <c r="B2826" s="27" t="s">
        <v>109</v>
      </c>
      <c r="C2826" s="27" t="s">
        <v>43</v>
      </c>
      <c r="D2826" s="27" t="s">
        <v>45</v>
      </c>
      <c r="E2826" s="28" t="n">
        <f aca="false">ROUND((SUMIFS(Acerto_Detalhado!$F$2:$F$433,Acerto_Detalhado!$A$2:$A$433,$C2826,Acerto_Detalhado!$B$2:$B$433,"Ago",Acerto_Detalhado!$C$2:$C$433,"Proteina"))*(SUMIFS(Acerto_Detalhado!$I$2:$I$433,Acerto_Detalhado!$A$2:$A$433,$D2826,Acerto_Detalhado!$B$2:$B$433,"Ago",Acerto_Detalhado!$C$2:$C$433,"Proteina")),2)</f>
        <v>0</v>
      </c>
    </row>
    <row r="2827" customFormat="false" ht="15" hidden="false" customHeight="false" outlineLevel="0" collapsed="false">
      <c r="A2827" s="27" t="s">
        <v>118</v>
      </c>
      <c r="B2827" s="27" t="s">
        <v>109</v>
      </c>
      <c r="C2827" s="27" t="s">
        <v>43</v>
      </c>
      <c r="D2827" s="27" t="s">
        <v>46</v>
      </c>
      <c r="E2827" s="28" t="n">
        <f aca="false">ROUND((SUMIFS(Acerto_Detalhado!$F$2:$F$433,Acerto_Detalhado!$A$2:$A$433,$C2827,Acerto_Detalhado!$B$2:$B$433,"Ago",Acerto_Detalhado!$C$2:$C$433,"Proteina"))*(SUMIFS(Acerto_Detalhado!$I$2:$I$433,Acerto_Detalhado!$A$2:$A$433,$D2827,Acerto_Detalhado!$B$2:$B$433,"Ago",Acerto_Detalhado!$C$2:$C$433,"Proteina")),2)</f>
        <v>4960.75</v>
      </c>
    </row>
    <row r="2828" customFormat="false" ht="15" hidden="false" customHeight="false" outlineLevel="0" collapsed="false">
      <c r="A2828" s="27" t="s">
        <v>118</v>
      </c>
      <c r="B2828" s="27" t="s">
        <v>109</v>
      </c>
      <c r="C2828" s="27" t="s">
        <v>43</v>
      </c>
      <c r="D2828" s="27" t="s">
        <v>47</v>
      </c>
      <c r="E2828" s="28" t="n">
        <f aca="false">ROUND((SUMIFS(Acerto_Detalhado!$F$2:$F$433,Acerto_Detalhado!$A$2:$A$433,$C2828,Acerto_Detalhado!$B$2:$B$433,"Ago",Acerto_Detalhado!$C$2:$C$433,"Proteina"))*(SUMIFS(Acerto_Detalhado!$I$2:$I$433,Acerto_Detalhado!$A$2:$A$433,$D2828,Acerto_Detalhado!$B$2:$B$433,"Ago",Acerto_Detalhado!$C$2:$C$433,"Proteina")),2)</f>
        <v>0</v>
      </c>
    </row>
    <row r="2829" customFormat="false" ht="15" hidden="false" customHeight="false" outlineLevel="0" collapsed="false">
      <c r="A2829" s="27" t="s">
        <v>118</v>
      </c>
      <c r="B2829" s="27" t="s">
        <v>109</v>
      </c>
      <c r="C2829" s="27" t="s">
        <v>43</v>
      </c>
      <c r="D2829" s="27" t="s">
        <v>48</v>
      </c>
      <c r="E2829" s="28" t="n">
        <f aca="false">ROUND((SUMIFS(Acerto_Detalhado!$F$2:$F$433,Acerto_Detalhado!$A$2:$A$433,$C2829,Acerto_Detalhado!$B$2:$B$433,"Ago",Acerto_Detalhado!$C$2:$C$433,"Proteina"))*(SUMIFS(Acerto_Detalhado!$I$2:$I$433,Acerto_Detalhado!$A$2:$A$433,$D2829,Acerto_Detalhado!$B$2:$B$433,"Ago",Acerto_Detalhado!$C$2:$C$433,"Proteina")),2)</f>
        <v>14503.37</v>
      </c>
    </row>
    <row r="2830" customFormat="false" ht="15" hidden="false" customHeight="false" outlineLevel="0" collapsed="false">
      <c r="A2830" s="27" t="s">
        <v>118</v>
      </c>
      <c r="B2830" s="27" t="s">
        <v>109</v>
      </c>
      <c r="C2830" s="27" t="s">
        <v>43</v>
      </c>
      <c r="D2830" s="27" t="s">
        <v>49</v>
      </c>
      <c r="E2830" s="28" t="n">
        <f aca="false">ROUND((SUMIFS(Acerto_Detalhado!$F$2:$F$433,Acerto_Detalhado!$A$2:$A$433,$C2830,Acerto_Detalhado!$B$2:$B$433,"Ago",Acerto_Detalhado!$C$2:$C$433,"Proteina"))*(SUMIFS(Acerto_Detalhado!$I$2:$I$433,Acerto_Detalhado!$A$2:$A$433,$D2830,Acerto_Detalhado!$B$2:$B$433,"Ago",Acerto_Detalhado!$C$2:$C$433,"Proteina")),2)</f>
        <v>0</v>
      </c>
    </row>
    <row r="2831" customFormat="false" ht="15" hidden="false" customHeight="false" outlineLevel="0" collapsed="false">
      <c r="A2831" s="27" t="s">
        <v>118</v>
      </c>
      <c r="B2831" s="27" t="s">
        <v>109</v>
      </c>
      <c r="C2831" s="27" t="s">
        <v>43</v>
      </c>
      <c r="D2831" s="27" t="s">
        <v>50</v>
      </c>
      <c r="E2831" s="28" t="n">
        <f aca="false">ROUND((SUMIFS(Acerto_Detalhado!$F$2:$F$433,Acerto_Detalhado!$A$2:$A$433,$C2831,Acerto_Detalhado!$B$2:$B$433,"Ago",Acerto_Detalhado!$C$2:$C$433,"Proteina"))*(SUMIFS(Acerto_Detalhado!$I$2:$I$433,Acerto_Detalhado!$A$2:$A$433,$D2831,Acerto_Detalhado!$B$2:$B$433,"Ago",Acerto_Detalhado!$C$2:$C$433,"Proteina")),2)</f>
        <v>0</v>
      </c>
    </row>
    <row r="2832" customFormat="false" ht="15" hidden="false" customHeight="false" outlineLevel="0" collapsed="false">
      <c r="A2832" s="27" t="s">
        <v>118</v>
      </c>
      <c r="B2832" s="27" t="s">
        <v>109</v>
      </c>
      <c r="C2832" s="27" t="s">
        <v>44</v>
      </c>
      <c r="D2832" s="27" t="s">
        <v>39</v>
      </c>
      <c r="E2832" s="28" t="n">
        <f aca="false">ROUND((SUMIFS(Acerto_Detalhado!$F$2:$F$433,Acerto_Detalhado!$A$2:$A$433,$C2832,Acerto_Detalhado!$B$2:$B$433,"Ago",Acerto_Detalhado!$C$2:$C$433,"Proteina"))*(SUMIFS(Acerto_Detalhado!$I$2:$I$433,Acerto_Detalhado!$A$2:$A$433,$D2832,Acerto_Detalhado!$B$2:$B$433,"Ago",Acerto_Detalhado!$C$2:$C$433,"Proteina")),2)</f>
        <v>0</v>
      </c>
    </row>
    <row r="2833" customFormat="false" ht="15" hidden="false" customHeight="false" outlineLevel="0" collapsed="false">
      <c r="A2833" s="27" t="s">
        <v>118</v>
      </c>
      <c r="B2833" s="27" t="s">
        <v>109</v>
      </c>
      <c r="C2833" s="27" t="s">
        <v>44</v>
      </c>
      <c r="D2833" s="27" t="s">
        <v>40</v>
      </c>
      <c r="E2833" s="28" t="n">
        <f aca="false">ROUND((SUMIFS(Acerto_Detalhado!$F$2:$F$433,Acerto_Detalhado!$A$2:$A$433,$C2833,Acerto_Detalhado!$B$2:$B$433,"Ago",Acerto_Detalhado!$C$2:$C$433,"Proteina"))*(SUMIFS(Acerto_Detalhado!$I$2:$I$433,Acerto_Detalhado!$A$2:$A$433,$D2833,Acerto_Detalhado!$B$2:$B$433,"Ago",Acerto_Detalhado!$C$2:$C$433,"Proteina")),2)</f>
        <v>6752.66</v>
      </c>
    </row>
    <row r="2834" customFormat="false" ht="15" hidden="false" customHeight="false" outlineLevel="0" collapsed="false">
      <c r="A2834" s="27" t="s">
        <v>118</v>
      </c>
      <c r="B2834" s="27" t="s">
        <v>109</v>
      </c>
      <c r="C2834" s="27" t="s">
        <v>44</v>
      </c>
      <c r="D2834" s="27" t="s">
        <v>41</v>
      </c>
      <c r="E2834" s="28" t="n">
        <f aca="false">ROUND((SUMIFS(Acerto_Detalhado!$F$2:$F$433,Acerto_Detalhado!$A$2:$A$433,$C2834,Acerto_Detalhado!$B$2:$B$433,"Ago",Acerto_Detalhado!$C$2:$C$433,"Proteina"))*(SUMIFS(Acerto_Detalhado!$I$2:$I$433,Acerto_Detalhado!$A$2:$A$433,$D2834,Acerto_Detalhado!$B$2:$B$433,"Ago",Acerto_Detalhado!$C$2:$C$433,"Proteina")),2)</f>
        <v>12119.28</v>
      </c>
    </row>
    <row r="2835" customFormat="false" ht="15" hidden="false" customHeight="false" outlineLevel="0" collapsed="false">
      <c r="A2835" s="27" t="s">
        <v>118</v>
      </c>
      <c r="B2835" s="27" t="s">
        <v>109</v>
      </c>
      <c r="C2835" s="27" t="s">
        <v>44</v>
      </c>
      <c r="D2835" s="27" t="s">
        <v>42</v>
      </c>
      <c r="E2835" s="28" t="n">
        <f aca="false">ROUND((SUMIFS(Acerto_Detalhado!$F$2:$F$433,Acerto_Detalhado!$A$2:$A$433,$C2835,Acerto_Detalhado!$B$2:$B$433,"Ago",Acerto_Detalhado!$C$2:$C$433,"Proteina"))*(SUMIFS(Acerto_Detalhado!$I$2:$I$433,Acerto_Detalhado!$A$2:$A$433,$D2835,Acerto_Detalhado!$B$2:$B$433,"Ago",Acerto_Detalhado!$C$2:$C$433,"Proteina")),2)</f>
        <v>0</v>
      </c>
    </row>
    <row r="2836" customFormat="false" ht="15" hidden="false" customHeight="false" outlineLevel="0" collapsed="false">
      <c r="A2836" s="27" t="s">
        <v>118</v>
      </c>
      <c r="B2836" s="27" t="s">
        <v>109</v>
      </c>
      <c r="C2836" s="27" t="s">
        <v>44</v>
      </c>
      <c r="D2836" s="27" t="s">
        <v>43</v>
      </c>
      <c r="E2836" s="28" t="n">
        <f aca="false">ROUND((SUMIFS(Acerto_Detalhado!$F$2:$F$433,Acerto_Detalhado!$A$2:$A$433,$C2836,Acerto_Detalhado!$B$2:$B$433,"Ago",Acerto_Detalhado!$C$2:$C$433,"Proteina"))*(SUMIFS(Acerto_Detalhado!$I$2:$I$433,Acerto_Detalhado!$A$2:$A$433,$D2836,Acerto_Detalhado!$B$2:$B$433,"Ago",Acerto_Detalhado!$C$2:$C$433,"Proteina")),2)</f>
        <v>0</v>
      </c>
    </row>
    <row r="2837" customFormat="false" ht="15" hidden="false" customHeight="false" outlineLevel="0" collapsed="false">
      <c r="A2837" s="27" t="s">
        <v>118</v>
      </c>
      <c r="B2837" s="27" t="s">
        <v>109</v>
      </c>
      <c r="C2837" s="27" t="s">
        <v>44</v>
      </c>
      <c r="D2837" s="27" t="s">
        <v>45</v>
      </c>
      <c r="E2837" s="28" t="n">
        <f aca="false">ROUND((SUMIFS(Acerto_Detalhado!$F$2:$F$433,Acerto_Detalhado!$A$2:$A$433,$C2837,Acerto_Detalhado!$B$2:$B$433,"Ago",Acerto_Detalhado!$C$2:$C$433,"Proteina"))*(SUMIFS(Acerto_Detalhado!$I$2:$I$433,Acerto_Detalhado!$A$2:$A$433,$D2837,Acerto_Detalhado!$B$2:$B$433,"Ago",Acerto_Detalhado!$C$2:$C$433,"Proteina")),2)</f>
        <v>0</v>
      </c>
    </row>
    <row r="2838" customFormat="false" ht="15" hidden="false" customHeight="false" outlineLevel="0" collapsed="false">
      <c r="A2838" s="27" t="s">
        <v>118</v>
      </c>
      <c r="B2838" s="27" t="s">
        <v>109</v>
      </c>
      <c r="C2838" s="27" t="s">
        <v>44</v>
      </c>
      <c r="D2838" s="27" t="s">
        <v>46</v>
      </c>
      <c r="E2838" s="28" t="n">
        <f aca="false">ROUND((SUMIFS(Acerto_Detalhado!$F$2:$F$433,Acerto_Detalhado!$A$2:$A$433,$C2838,Acerto_Detalhado!$B$2:$B$433,"Ago",Acerto_Detalhado!$C$2:$C$433,"Proteina"))*(SUMIFS(Acerto_Detalhado!$I$2:$I$433,Acerto_Detalhado!$A$2:$A$433,$D2838,Acerto_Detalhado!$B$2:$B$433,"Ago",Acerto_Detalhado!$C$2:$C$433,"Proteina")),2)</f>
        <v>1804.82</v>
      </c>
    </row>
    <row r="2839" customFormat="false" ht="15" hidden="false" customHeight="false" outlineLevel="0" collapsed="false">
      <c r="A2839" s="27" t="s">
        <v>118</v>
      </c>
      <c r="B2839" s="27" t="s">
        <v>109</v>
      </c>
      <c r="C2839" s="27" t="s">
        <v>44</v>
      </c>
      <c r="D2839" s="27" t="s">
        <v>47</v>
      </c>
      <c r="E2839" s="28" t="n">
        <f aca="false">ROUND((SUMIFS(Acerto_Detalhado!$F$2:$F$433,Acerto_Detalhado!$A$2:$A$433,$C2839,Acerto_Detalhado!$B$2:$B$433,"Ago",Acerto_Detalhado!$C$2:$C$433,"Proteina"))*(SUMIFS(Acerto_Detalhado!$I$2:$I$433,Acerto_Detalhado!$A$2:$A$433,$D2839,Acerto_Detalhado!$B$2:$B$433,"Ago",Acerto_Detalhado!$C$2:$C$433,"Proteina")),2)</f>
        <v>0</v>
      </c>
    </row>
    <row r="2840" customFormat="false" ht="15" hidden="false" customHeight="false" outlineLevel="0" collapsed="false">
      <c r="A2840" s="27" t="s">
        <v>118</v>
      </c>
      <c r="B2840" s="27" t="s">
        <v>109</v>
      </c>
      <c r="C2840" s="27" t="s">
        <v>44</v>
      </c>
      <c r="D2840" s="27" t="s">
        <v>48</v>
      </c>
      <c r="E2840" s="28" t="n">
        <f aca="false">ROUND((SUMIFS(Acerto_Detalhado!$F$2:$F$433,Acerto_Detalhado!$A$2:$A$433,$C2840,Acerto_Detalhado!$B$2:$B$433,"Ago",Acerto_Detalhado!$C$2:$C$433,"Proteina"))*(SUMIFS(Acerto_Detalhado!$I$2:$I$433,Acerto_Detalhado!$A$2:$A$433,$D2840,Acerto_Detalhado!$B$2:$B$433,"Ago",Acerto_Detalhado!$C$2:$C$433,"Proteina")),2)</f>
        <v>5276.61</v>
      </c>
    </row>
    <row r="2841" customFormat="false" ht="15" hidden="false" customHeight="false" outlineLevel="0" collapsed="false">
      <c r="A2841" s="27" t="s">
        <v>118</v>
      </c>
      <c r="B2841" s="27" t="s">
        <v>109</v>
      </c>
      <c r="C2841" s="27" t="s">
        <v>44</v>
      </c>
      <c r="D2841" s="27" t="s">
        <v>49</v>
      </c>
      <c r="E2841" s="28" t="n">
        <f aca="false">ROUND((SUMIFS(Acerto_Detalhado!$F$2:$F$433,Acerto_Detalhado!$A$2:$A$433,$C2841,Acerto_Detalhado!$B$2:$B$433,"Ago",Acerto_Detalhado!$C$2:$C$433,"Proteina"))*(SUMIFS(Acerto_Detalhado!$I$2:$I$433,Acerto_Detalhado!$A$2:$A$433,$D2841,Acerto_Detalhado!$B$2:$B$433,"Ago",Acerto_Detalhado!$C$2:$C$433,"Proteina")),2)</f>
        <v>0</v>
      </c>
    </row>
    <row r="2842" customFormat="false" ht="15" hidden="false" customHeight="false" outlineLevel="0" collapsed="false">
      <c r="A2842" s="27" t="s">
        <v>118</v>
      </c>
      <c r="B2842" s="27" t="s">
        <v>109</v>
      </c>
      <c r="C2842" s="27" t="s">
        <v>44</v>
      </c>
      <c r="D2842" s="27" t="s">
        <v>50</v>
      </c>
      <c r="E2842" s="28" t="n">
        <f aca="false">ROUND((SUMIFS(Acerto_Detalhado!$F$2:$F$433,Acerto_Detalhado!$A$2:$A$433,$C2842,Acerto_Detalhado!$B$2:$B$433,"Ago",Acerto_Detalhado!$C$2:$C$433,"Proteina"))*(SUMIFS(Acerto_Detalhado!$I$2:$I$433,Acerto_Detalhado!$A$2:$A$433,$D2842,Acerto_Detalhado!$B$2:$B$433,"Ago",Acerto_Detalhado!$C$2:$C$433,"Proteina")),2)</f>
        <v>0</v>
      </c>
    </row>
    <row r="2843" customFormat="false" ht="15" hidden="false" customHeight="false" outlineLevel="0" collapsed="false">
      <c r="A2843" s="27" t="s">
        <v>118</v>
      </c>
      <c r="B2843" s="27" t="s">
        <v>109</v>
      </c>
      <c r="C2843" s="27" t="s">
        <v>45</v>
      </c>
      <c r="D2843" s="27" t="s">
        <v>39</v>
      </c>
      <c r="E2843" s="28" t="n">
        <f aca="false">ROUND((SUMIFS(Acerto_Detalhado!$F$2:$F$433,Acerto_Detalhado!$A$2:$A$433,$C2843,Acerto_Detalhado!$B$2:$B$433,"Ago",Acerto_Detalhado!$C$2:$C$433,"Proteina"))*(SUMIFS(Acerto_Detalhado!$I$2:$I$433,Acerto_Detalhado!$A$2:$A$433,$D2843,Acerto_Detalhado!$B$2:$B$433,"Ago",Acerto_Detalhado!$C$2:$C$433,"Proteina")),2)</f>
        <v>0</v>
      </c>
    </row>
    <row r="2844" customFormat="false" ht="15" hidden="false" customHeight="false" outlineLevel="0" collapsed="false">
      <c r="A2844" s="27" t="s">
        <v>118</v>
      </c>
      <c r="B2844" s="27" t="s">
        <v>109</v>
      </c>
      <c r="C2844" s="27" t="s">
        <v>45</v>
      </c>
      <c r="D2844" s="27" t="s">
        <v>40</v>
      </c>
      <c r="E2844" s="28" t="n">
        <f aca="false">ROUND((SUMIFS(Acerto_Detalhado!$F$2:$F$433,Acerto_Detalhado!$A$2:$A$433,$C2844,Acerto_Detalhado!$B$2:$B$433,"Ago",Acerto_Detalhado!$C$2:$C$433,"Proteina"))*(SUMIFS(Acerto_Detalhado!$I$2:$I$433,Acerto_Detalhado!$A$2:$A$433,$D2844,Acerto_Detalhado!$B$2:$B$433,"Ago",Acerto_Detalhado!$C$2:$C$433,"Proteina")),2)</f>
        <v>7108.12</v>
      </c>
    </row>
    <row r="2845" customFormat="false" ht="15" hidden="false" customHeight="false" outlineLevel="0" collapsed="false">
      <c r="A2845" s="27" t="s">
        <v>118</v>
      </c>
      <c r="B2845" s="27" t="s">
        <v>109</v>
      </c>
      <c r="C2845" s="27" t="s">
        <v>45</v>
      </c>
      <c r="D2845" s="27" t="s">
        <v>41</v>
      </c>
      <c r="E2845" s="28" t="n">
        <f aca="false">ROUND((SUMIFS(Acerto_Detalhado!$F$2:$F$433,Acerto_Detalhado!$A$2:$A$433,$C2845,Acerto_Detalhado!$B$2:$B$433,"Ago",Acerto_Detalhado!$C$2:$C$433,"Proteina"))*(SUMIFS(Acerto_Detalhado!$I$2:$I$433,Acerto_Detalhado!$A$2:$A$433,$D2845,Acerto_Detalhado!$B$2:$B$433,"Ago",Acerto_Detalhado!$C$2:$C$433,"Proteina")),2)</f>
        <v>12757.24</v>
      </c>
    </row>
    <row r="2846" customFormat="false" ht="15" hidden="false" customHeight="false" outlineLevel="0" collapsed="false">
      <c r="A2846" s="27" t="s">
        <v>118</v>
      </c>
      <c r="B2846" s="27" t="s">
        <v>109</v>
      </c>
      <c r="C2846" s="27" t="s">
        <v>45</v>
      </c>
      <c r="D2846" s="27" t="s">
        <v>42</v>
      </c>
      <c r="E2846" s="28" t="n">
        <f aca="false">ROUND((SUMIFS(Acerto_Detalhado!$F$2:$F$433,Acerto_Detalhado!$A$2:$A$433,$C2846,Acerto_Detalhado!$B$2:$B$433,"Ago",Acerto_Detalhado!$C$2:$C$433,"Proteina"))*(SUMIFS(Acerto_Detalhado!$I$2:$I$433,Acerto_Detalhado!$A$2:$A$433,$D2846,Acerto_Detalhado!$B$2:$B$433,"Ago",Acerto_Detalhado!$C$2:$C$433,"Proteina")),2)</f>
        <v>0</v>
      </c>
    </row>
    <row r="2847" customFormat="false" ht="15" hidden="false" customHeight="false" outlineLevel="0" collapsed="false">
      <c r="A2847" s="27" t="s">
        <v>118</v>
      </c>
      <c r="B2847" s="27" t="s">
        <v>109</v>
      </c>
      <c r="C2847" s="27" t="s">
        <v>45</v>
      </c>
      <c r="D2847" s="27" t="s">
        <v>43</v>
      </c>
      <c r="E2847" s="28" t="n">
        <f aca="false">ROUND((SUMIFS(Acerto_Detalhado!$F$2:$F$433,Acerto_Detalhado!$A$2:$A$433,$C2847,Acerto_Detalhado!$B$2:$B$433,"Ago",Acerto_Detalhado!$C$2:$C$433,"Proteina"))*(SUMIFS(Acerto_Detalhado!$I$2:$I$433,Acerto_Detalhado!$A$2:$A$433,$D2847,Acerto_Detalhado!$B$2:$B$433,"Ago",Acerto_Detalhado!$C$2:$C$433,"Proteina")),2)</f>
        <v>0</v>
      </c>
    </row>
    <row r="2848" customFormat="false" ht="15" hidden="false" customHeight="false" outlineLevel="0" collapsed="false">
      <c r="A2848" s="27" t="s">
        <v>118</v>
      </c>
      <c r="B2848" s="27" t="s">
        <v>109</v>
      </c>
      <c r="C2848" s="27" t="s">
        <v>45</v>
      </c>
      <c r="D2848" s="27" t="s">
        <v>44</v>
      </c>
      <c r="E2848" s="28" t="n">
        <f aca="false">ROUND((SUMIFS(Acerto_Detalhado!$F$2:$F$433,Acerto_Detalhado!$A$2:$A$433,$C2848,Acerto_Detalhado!$B$2:$B$433,"Ago",Acerto_Detalhado!$C$2:$C$433,"Proteina"))*(SUMIFS(Acerto_Detalhado!$I$2:$I$433,Acerto_Detalhado!$A$2:$A$433,$D2848,Acerto_Detalhado!$B$2:$B$433,"Ago",Acerto_Detalhado!$C$2:$C$433,"Proteina")),2)</f>
        <v>0</v>
      </c>
    </row>
    <row r="2849" customFormat="false" ht="15" hidden="false" customHeight="false" outlineLevel="0" collapsed="false">
      <c r="A2849" s="27" t="s">
        <v>118</v>
      </c>
      <c r="B2849" s="27" t="s">
        <v>109</v>
      </c>
      <c r="C2849" s="27" t="s">
        <v>45</v>
      </c>
      <c r="D2849" s="27" t="s">
        <v>46</v>
      </c>
      <c r="E2849" s="28" t="n">
        <f aca="false">ROUND((SUMIFS(Acerto_Detalhado!$F$2:$F$433,Acerto_Detalhado!$A$2:$A$433,$C2849,Acerto_Detalhado!$B$2:$B$433,"Ago",Acerto_Detalhado!$C$2:$C$433,"Proteina"))*(SUMIFS(Acerto_Detalhado!$I$2:$I$433,Acerto_Detalhado!$A$2:$A$433,$D2849,Acerto_Detalhado!$B$2:$B$433,"Ago",Acerto_Detalhado!$C$2:$C$433,"Proteina")),2)</f>
        <v>1899.83</v>
      </c>
    </row>
    <row r="2850" customFormat="false" ht="15" hidden="false" customHeight="false" outlineLevel="0" collapsed="false">
      <c r="A2850" s="27" t="s">
        <v>118</v>
      </c>
      <c r="B2850" s="27" t="s">
        <v>109</v>
      </c>
      <c r="C2850" s="27" t="s">
        <v>45</v>
      </c>
      <c r="D2850" s="27" t="s">
        <v>47</v>
      </c>
      <c r="E2850" s="28" t="n">
        <f aca="false">ROUND((SUMIFS(Acerto_Detalhado!$F$2:$F$433,Acerto_Detalhado!$A$2:$A$433,$C2850,Acerto_Detalhado!$B$2:$B$433,"Ago",Acerto_Detalhado!$C$2:$C$433,"Proteina"))*(SUMIFS(Acerto_Detalhado!$I$2:$I$433,Acerto_Detalhado!$A$2:$A$433,$D2850,Acerto_Detalhado!$B$2:$B$433,"Ago",Acerto_Detalhado!$C$2:$C$433,"Proteina")),2)</f>
        <v>0</v>
      </c>
    </row>
    <row r="2851" customFormat="false" ht="15" hidden="false" customHeight="false" outlineLevel="0" collapsed="false">
      <c r="A2851" s="27" t="s">
        <v>118</v>
      </c>
      <c r="B2851" s="27" t="s">
        <v>109</v>
      </c>
      <c r="C2851" s="27" t="s">
        <v>45</v>
      </c>
      <c r="D2851" s="27" t="s">
        <v>48</v>
      </c>
      <c r="E2851" s="28" t="n">
        <f aca="false">ROUND((SUMIFS(Acerto_Detalhado!$F$2:$F$433,Acerto_Detalhado!$A$2:$A$433,$C2851,Acerto_Detalhado!$B$2:$B$433,"Ago",Acerto_Detalhado!$C$2:$C$433,"Proteina"))*(SUMIFS(Acerto_Detalhado!$I$2:$I$433,Acerto_Detalhado!$A$2:$A$433,$D2851,Acerto_Detalhado!$B$2:$B$433,"Ago",Acerto_Detalhado!$C$2:$C$433,"Proteina")),2)</f>
        <v>5554.38</v>
      </c>
    </row>
    <row r="2852" customFormat="false" ht="15" hidden="false" customHeight="false" outlineLevel="0" collapsed="false">
      <c r="A2852" s="27" t="s">
        <v>118</v>
      </c>
      <c r="B2852" s="27" t="s">
        <v>109</v>
      </c>
      <c r="C2852" s="27" t="s">
        <v>45</v>
      </c>
      <c r="D2852" s="27" t="s">
        <v>49</v>
      </c>
      <c r="E2852" s="28" t="n">
        <f aca="false">ROUND((SUMIFS(Acerto_Detalhado!$F$2:$F$433,Acerto_Detalhado!$A$2:$A$433,$C2852,Acerto_Detalhado!$B$2:$B$433,"Ago",Acerto_Detalhado!$C$2:$C$433,"Proteina"))*(SUMIFS(Acerto_Detalhado!$I$2:$I$433,Acerto_Detalhado!$A$2:$A$433,$D2852,Acerto_Detalhado!$B$2:$B$433,"Ago",Acerto_Detalhado!$C$2:$C$433,"Proteina")),2)</f>
        <v>0</v>
      </c>
    </row>
    <row r="2853" customFormat="false" ht="15" hidden="false" customHeight="false" outlineLevel="0" collapsed="false">
      <c r="A2853" s="27" t="s">
        <v>118</v>
      </c>
      <c r="B2853" s="27" t="s">
        <v>109</v>
      </c>
      <c r="C2853" s="27" t="s">
        <v>45</v>
      </c>
      <c r="D2853" s="27" t="s">
        <v>50</v>
      </c>
      <c r="E2853" s="28" t="n">
        <f aca="false">ROUND((SUMIFS(Acerto_Detalhado!$F$2:$F$433,Acerto_Detalhado!$A$2:$A$433,$C2853,Acerto_Detalhado!$B$2:$B$433,"Ago",Acerto_Detalhado!$C$2:$C$433,"Proteina"))*(SUMIFS(Acerto_Detalhado!$I$2:$I$433,Acerto_Detalhado!$A$2:$A$433,$D2853,Acerto_Detalhado!$B$2:$B$433,"Ago",Acerto_Detalhado!$C$2:$C$433,"Proteina")),2)</f>
        <v>0</v>
      </c>
    </row>
    <row r="2854" customFormat="false" ht="15" hidden="false" customHeight="false" outlineLevel="0" collapsed="false">
      <c r="A2854" s="27" t="s">
        <v>118</v>
      </c>
      <c r="B2854" s="27" t="s">
        <v>109</v>
      </c>
      <c r="C2854" s="27" t="s">
        <v>46</v>
      </c>
      <c r="D2854" s="27" t="s">
        <v>39</v>
      </c>
      <c r="E2854" s="28" t="n">
        <f aca="false">ROUND((SUMIFS(Acerto_Detalhado!$F$2:$F$433,Acerto_Detalhado!$A$2:$A$433,$C2854,Acerto_Detalhado!$B$2:$B$433,"Ago",Acerto_Detalhado!$C$2:$C$433,"Proteina"))*(SUMIFS(Acerto_Detalhado!$I$2:$I$433,Acerto_Detalhado!$A$2:$A$433,$D2854,Acerto_Detalhado!$B$2:$B$433,"Ago",Acerto_Detalhado!$C$2:$C$433,"Proteina")),2)</f>
        <v>0</v>
      </c>
    </row>
    <row r="2855" customFormat="false" ht="15" hidden="false" customHeight="false" outlineLevel="0" collapsed="false">
      <c r="A2855" s="27" t="s">
        <v>118</v>
      </c>
      <c r="B2855" s="27" t="s">
        <v>109</v>
      </c>
      <c r="C2855" s="27" t="s">
        <v>46</v>
      </c>
      <c r="D2855" s="27" t="s">
        <v>40</v>
      </c>
      <c r="E2855" s="28" t="n">
        <f aca="false">ROUND((SUMIFS(Acerto_Detalhado!$F$2:$F$433,Acerto_Detalhado!$A$2:$A$433,$C2855,Acerto_Detalhado!$B$2:$B$433,"Ago",Acerto_Detalhado!$C$2:$C$433,"Proteina"))*(SUMIFS(Acerto_Detalhado!$I$2:$I$433,Acerto_Detalhado!$A$2:$A$433,$D2855,Acerto_Detalhado!$B$2:$B$433,"Ago",Acerto_Detalhado!$C$2:$C$433,"Proteina")),2)</f>
        <v>0</v>
      </c>
    </row>
    <row r="2856" customFormat="false" ht="15" hidden="false" customHeight="false" outlineLevel="0" collapsed="false">
      <c r="A2856" s="27" t="s">
        <v>118</v>
      </c>
      <c r="B2856" s="27" t="s">
        <v>109</v>
      </c>
      <c r="C2856" s="27" t="s">
        <v>46</v>
      </c>
      <c r="D2856" s="27" t="s">
        <v>41</v>
      </c>
      <c r="E2856" s="28" t="n">
        <f aca="false">ROUND((SUMIFS(Acerto_Detalhado!$F$2:$F$433,Acerto_Detalhado!$A$2:$A$433,$C2856,Acerto_Detalhado!$B$2:$B$433,"Ago",Acerto_Detalhado!$C$2:$C$433,"Proteina"))*(SUMIFS(Acerto_Detalhado!$I$2:$I$433,Acerto_Detalhado!$A$2:$A$433,$D2856,Acerto_Detalhado!$B$2:$B$433,"Ago",Acerto_Detalhado!$C$2:$C$433,"Proteina")),2)</f>
        <v>0</v>
      </c>
    </row>
    <row r="2857" customFormat="false" ht="15" hidden="false" customHeight="false" outlineLevel="0" collapsed="false">
      <c r="A2857" s="27" t="s">
        <v>118</v>
      </c>
      <c r="B2857" s="27" t="s">
        <v>109</v>
      </c>
      <c r="C2857" s="27" t="s">
        <v>46</v>
      </c>
      <c r="D2857" s="27" t="s">
        <v>42</v>
      </c>
      <c r="E2857" s="28" t="n">
        <f aca="false">ROUND((SUMIFS(Acerto_Detalhado!$F$2:$F$433,Acerto_Detalhado!$A$2:$A$433,$C2857,Acerto_Detalhado!$B$2:$B$433,"Ago",Acerto_Detalhado!$C$2:$C$433,"Proteina"))*(SUMIFS(Acerto_Detalhado!$I$2:$I$433,Acerto_Detalhado!$A$2:$A$433,$D2857,Acerto_Detalhado!$B$2:$B$433,"Ago",Acerto_Detalhado!$C$2:$C$433,"Proteina")),2)</f>
        <v>0</v>
      </c>
    </row>
    <row r="2858" customFormat="false" ht="15" hidden="false" customHeight="false" outlineLevel="0" collapsed="false">
      <c r="A2858" s="27" t="s">
        <v>118</v>
      </c>
      <c r="B2858" s="27" t="s">
        <v>109</v>
      </c>
      <c r="C2858" s="27" t="s">
        <v>46</v>
      </c>
      <c r="D2858" s="27" t="s">
        <v>43</v>
      </c>
      <c r="E2858" s="28" t="n">
        <f aca="false">ROUND((SUMIFS(Acerto_Detalhado!$F$2:$F$433,Acerto_Detalhado!$A$2:$A$433,$C2858,Acerto_Detalhado!$B$2:$B$433,"Ago",Acerto_Detalhado!$C$2:$C$433,"Proteina"))*(SUMIFS(Acerto_Detalhado!$I$2:$I$433,Acerto_Detalhado!$A$2:$A$433,$D2858,Acerto_Detalhado!$B$2:$B$433,"Ago",Acerto_Detalhado!$C$2:$C$433,"Proteina")),2)</f>
        <v>0</v>
      </c>
    </row>
    <row r="2859" customFormat="false" ht="15" hidden="false" customHeight="false" outlineLevel="0" collapsed="false">
      <c r="A2859" s="27" t="s">
        <v>118</v>
      </c>
      <c r="B2859" s="27" t="s">
        <v>109</v>
      </c>
      <c r="C2859" s="27" t="s">
        <v>46</v>
      </c>
      <c r="D2859" s="27" t="s">
        <v>44</v>
      </c>
      <c r="E2859" s="28" t="n">
        <f aca="false">ROUND((SUMIFS(Acerto_Detalhado!$F$2:$F$433,Acerto_Detalhado!$A$2:$A$433,$C2859,Acerto_Detalhado!$B$2:$B$433,"Ago",Acerto_Detalhado!$C$2:$C$433,"Proteina"))*(SUMIFS(Acerto_Detalhado!$I$2:$I$433,Acerto_Detalhado!$A$2:$A$433,$D2859,Acerto_Detalhado!$B$2:$B$433,"Ago",Acerto_Detalhado!$C$2:$C$433,"Proteina")),2)</f>
        <v>0</v>
      </c>
    </row>
    <row r="2860" customFormat="false" ht="15" hidden="false" customHeight="false" outlineLevel="0" collapsed="false">
      <c r="A2860" s="27" t="s">
        <v>118</v>
      </c>
      <c r="B2860" s="27" t="s">
        <v>109</v>
      </c>
      <c r="C2860" s="27" t="s">
        <v>46</v>
      </c>
      <c r="D2860" s="27" t="s">
        <v>45</v>
      </c>
      <c r="E2860" s="28" t="n">
        <f aca="false">ROUND((SUMIFS(Acerto_Detalhado!$F$2:$F$433,Acerto_Detalhado!$A$2:$A$433,$C2860,Acerto_Detalhado!$B$2:$B$433,"Ago",Acerto_Detalhado!$C$2:$C$433,"Proteina"))*(SUMIFS(Acerto_Detalhado!$I$2:$I$433,Acerto_Detalhado!$A$2:$A$433,$D2860,Acerto_Detalhado!$B$2:$B$433,"Ago",Acerto_Detalhado!$C$2:$C$433,"Proteina")),2)</f>
        <v>0</v>
      </c>
    </row>
    <row r="2861" customFormat="false" ht="15" hidden="false" customHeight="false" outlineLevel="0" collapsed="false">
      <c r="A2861" s="27" t="s">
        <v>118</v>
      </c>
      <c r="B2861" s="27" t="s">
        <v>109</v>
      </c>
      <c r="C2861" s="27" t="s">
        <v>46</v>
      </c>
      <c r="D2861" s="27" t="s">
        <v>47</v>
      </c>
      <c r="E2861" s="28" t="n">
        <f aca="false">ROUND((SUMIFS(Acerto_Detalhado!$F$2:$F$433,Acerto_Detalhado!$A$2:$A$433,$C2861,Acerto_Detalhado!$B$2:$B$433,"Ago",Acerto_Detalhado!$C$2:$C$433,"Proteina"))*(SUMIFS(Acerto_Detalhado!$I$2:$I$433,Acerto_Detalhado!$A$2:$A$433,$D2861,Acerto_Detalhado!$B$2:$B$433,"Ago",Acerto_Detalhado!$C$2:$C$433,"Proteina")),2)</f>
        <v>0</v>
      </c>
    </row>
    <row r="2862" customFormat="false" ht="15" hidden="false" customHeight="false" outlineLevel="0" collapsed="false">
      <c r="A2862" s="27" t="s">
        <v>118</v>
      </c>
      <c r="B2862" s="27" t="s">
        <v>109</v>
      </c>
      <c r="C2862" s="27" t="s">
        <v>46</v>
      </c>
      <c r="D2862" s="27" t="s">
        <v>48</v>
      </c>
      <c r="E2862" s="28" t="n">
        <f aca="false">ROUND((SUMIFS(Acerto_Detalhado!$F$2:$F$433,Acerto_Detalhado!$A$2:$A$433,$C2862,Acerto_Detalhado!$B$2:$B$433,"Ago",Acerto_Detalhado!$C$2:$C$433,"Proteina"))*(SUMIFS(Acerto_Detalhado!$I$2:$I$433,Acerto_Detalhado!$A$2:$A$433,$D2862,Acerto_Detalhado!$B$2:$B$433,"Ago",Acerto_Detalhado!$C$2:$C$433,"Proteina")),2)</f>
        <v>0</v>
      </c>
    </row>
    <row r="2863" customFormat="false" ht="15" hidden="false" customHeight="false" outlineLevel="0" collapsed="false">
      <c r="A2863" s="27" t="s">
        <v>118</v>
      </c>
      <c r="B2863" s="27" t="s">
        <v>109</v>
      </c>
      <c r="C2863" s="27" t="s">
        <v>46</v>
      </c>
      <c r="D2863" s="27" t="s">
        <v>49</v>
      </c>
      <c r="E2863" s="28" t="n">
        <f aca="false">ROUND((SUMIFS(Acerto_Detalhado!$F$2:$F$433,Acerto_Detalhado!$A$2:$A$433,$C2863,Acerto_Detalhado!$B$2:$B$433,"Ago",Acerto_Detalhado!$C$2:$C$433,"Proteina"))*(SUMIFS(Acerto_Detalhado!$I$2:$I$433,Acerto_Detalhado!$A$2:$A$433,$D2863,Acerto_Detalhado!$B$2:$B$433,"Ago",Acerto_Detalhado!$C$2:$C$433,"Proteina")),2)</f>
        <v>0</v>
      </c>
    </row>
    <row r="2864" customFormat="false" ht="15" hidden="false" customHeight="false" outlineLevel="0" collapsed="false">
      <c r="A2864" s="27" t="s">
        <v>118</v>
      </c>
      <c r="B2864" s="27" t="s">
        <v>109</v>
      </c>
      <c r="C2864" s="27" t="s">
        <v>46</v>
      </c>
      <c r="D2864" s="27" t="s">
        <v>50</v>
      </c>
      <c r="E2864" s="28" t="n">
        <f aca="false">ROUND((SUMIFS(Acerto_Detalhado!$F$2:$F$433,Acerto_Detalhado!$A$2:$A$433,$C2864,Acerto_Detalhado!$B$2:$B$433,"Ago",Acerto_Detalhado!$C$2:$C$433,"Proteina"))*(SUMIFS(Acerto_Detalhado!$I$2:$I$433,Acerto_Detalhado!$A$2:$A$433,$D2864,Acerto_Detalhado!$B$2:$B$433,"Ago",Acerto_Detalhado!$C$2:$C$433,"Proteina")),2)</f>
        <v>0</v>
      </c>
    </row>
    <row r="2865" customFormat="false" ht="15" hidden="false" customHeight="false" outlineLevel="0" collapsed="false">
      <c r="A2865" s="27" t="s">
        <v>118</v>
      </c>
      <c r="B2865" s="27" t="s">
        <v>109</v>
      </c>
      <c r="C2865" s="27" t="s">
        <v>47</v>
      </c>
      <c r="D2865" s="27" t="s">
        <v>39</v>
      </c>
      <c r="E2865" s="28" t="n">
        <f aca="false">ROUND((SUMIFS(Acerto_Detalhado!$F$2:$F$433,Acerto_Detalhado!$A$2:$A$433,$C2865,Acerto_Detalhado!$B$2:$B$433,"Ago",Acerto_Detalhado!$C$2:$C$433,"Proteina"))*(SUMIFS(Acerto_Detalhado!$I$2:$I$433,Acerto_Detalhado!$A$2:$A$433,$D2865,Acerto_Detalhado!$B$2:$B$433,"Ago",Acerto_Detalhado!$C$2:$C$433,"Proteina")),2)</f>
        <v>0</v>
      </c>
    </row>
    <row r="2866" customFormat="false" ht="15" hidden="false" customHeight="false" outlineLevel="0" collapsed="false">
      <c r="A2866" s="27" t="s">
        <v>118</v>
      </c>
      <c r="B2866" s="27" t="s">
        <v>109</v>
      </c>
      <c r="C2866" s="27" t="s">
        <v>47</v>
      </c>
      <c r="D2866" s="27" t="s">
        <v>40</v>
      </c>
      <c r="E2866" s="28" t="n">
        <f aca="false">ROUND((SUMIFS(Acerto_Detalhado!$F$2:$F$433,Acerto_Detalhado!$A$2:$A$433,$C2866,Acerto_Detalhado!$B$2:$B$433,"Ago",Acerto_Detalhado!$C$2:$C$433,"Proteina"))*(SUMIFS(Acerto_Detalhado!$I$2:$I$433,Acerto_Detalhado!$A$2:$A$433,$D2866,Acerto_Detalhado!$B$2:$B$433,"Ago",Acerto_Detalhado!$C$2:$C$433,"Proteina")),2)</f>
        <v>0</v>
      </c>
    </row>
    <row r="2867" customFormat="false" ht="15" hidden="false" customHeight="false" outlineLevel="0" collapsed="false">
      <c r="A2867" s="27" t="s">
        <v>118</v>
      </c>
      <c r="B2867" s="27" t="s">
        <v>109</v>
      </c>
      <c r="C2867" s="27" t="s">
        <v>47</v>
      </c>
      <c r="D2867" s="27" t="s">
        <v>41</v>
      </c>
      <c r="E2867" s="28" t="n">
        <f aca="false">ROUND((SUMIFS(Acerto_Detalhado!$F$2:$F$433,Acerto_Detalhado!$A$2:$A$433,$C2867,Acerto_Detalhado!$B$2:$B$433,"Ago",Acerto_Detalhado!$C$2:$C$433,"Proteina"))*(SUMIFS(Acerto_Detalhado!$I$2:$I$433,Acerto_Detalhado!$A$2:$A$433,$D2867,Acerto_Detalhado!$B$2:$B$433,"Ago",Acerto_Detalhado!$C$2:$C$433,"Proteina")),2)</f>
        <v>0</v>
      </c>
    </row>
    <row r="2868" customFormat="false" ht="15" hidden="false" customHeight="false" outlineLevel="0" collapsed="false">
      <c r="A2868" s="27" t="s">
        <v>118</v>
      </c>
      <c r="B2868" s="27" t="s">
        <v>109</v>
      </c>
      <c r="C2868" s="27" t="s">
        <v>47</v>
      </c>
      <c r="D2868" s="27" t="s">
        <v>42</v>
      </c>
      <c r="E2868" s="28" t="n">
        <f aca="false">ROUND((SUMIFS(Acerto_Detalhado!$F$2:$F$433,Acerto_Detalhado!$A$2:$A$433,$C2868,Acerto_Detalhado!$B$2:$B$433,"Ago",Acerto_Detalhado!$C$2:$C$433,"Proteina"))*(SUMIFS(Acerto_Detalhado!$I$2:$I$433,Acerto_Detalhado!$A$2:$A$433,$D2868,Acerto_Detalhado!$B$2:$B$433,"Ago",Acerto_Detalhado!$C$2:$C$433,"Proteina")),2)</f>
        <v>0</v>
      </c>
    </row>
    <row r="2869" customFormat="false" ht="15" hidden="false" customHeight="false" outlineLevel="0" collapsed="false">
      <c r="A2869" s="27" t="s">
        <v>118</v>
      </c>
      <c r="B2869" s="27" t="s">
        <v>109</v>
      </c>
      <c r="C2869" s="27" t="s">
        <v>47</v>
      </c>
      <c r="D2869" s="27" t="s">
        <v>43</v>
      </c>
      <c r="E2869" s="28" t="n">
        <f aca="false">ROUND((SUMIFS(Acerto_Detalhado!$F$2:$F$433,Acerto_Detalhado!$A$2:$A$433,$C2869,Acerto_Detalhado!$B$2:$B$433,"Ago",Acerto_Detalhado!$C$2:$C$433,"Proteina"))*(SUMIFS(Acerto_Detalhado!$I$2:$I$433,Acerto_Detalhado!$A$2:$A$433,$D2869,Acerto_Detalhado!$B$2:$B$433,"Ago",Acerto_Detalhado!$C$2:$C$433,"Proteina")),2)</f>
        <v>0</v>
      </c>
    </row>
    <row r="2870" customFormat="false" ht="15" hidden="false" customHeight="false" outlineLevel="0" collapsed="false">
      <c r="A2870" s="27" t="s">
        <v>118</v>
      </c>
      <c r="B2870" s="27" t="s">
        <v>109</v>
      </c>
      <c r="C2870" s="27" t="s">
        <v>47</v>
      </c>
      <c r="D2870" s="27" t="s">
        <v>44</v>
      </c>
      <c r="E2870" s="28" t="n">
        <f aca="false">ROUND((SUMIFS(Acerto_Detalhado!$F$2:$F$433,Acerto_Detalhado!$A$2:$A$433,$C2870,Acerto_Detalhado!$B$2:$B$433,"Ago",Acerto_Detalhado!$C$2:$C$433,"Proteina"))*(SUMIFS(Acerto_Detalhado!$I$2:$I$433,Acerto_Detalhado!$A$2:$A$433,$D2870,Acerto_Detalhado!$B$2:$B$433,"Ago",Acerto_Detalhado!$C$2:$C$433,"Proteina")),2)</f>
        <v>0</v>
      </c>
    </row>
    <row r="2871" customFormat="false" ht="15" hidden="false" customHeight="false" outlineLevel="0" collapsed="false">
      <c r="A2871" s="27" t="s">
        <v>118</v>
      </c>
      <c r="B2871" s="27" t="s">
        <v>109</v>
      </c>
      <c r="C2871" s="27" t="s">
        <v>47</v>
      </c>
      <c r="D2871" s="27" t="s">
        <v>45</v>
      </c>
      <c r="E2871" s="28" t="n">
        <f aca="false">ROUND((SUMIFS(Acerto_Detalhado!$F$2:$F$433,Acerto_Detalhado!$A$2:$A$433,$C2871,Acerto_Detalhado!$B$2:$B$433,"Ago",Acerto_Detalhado!$C$2:$C$433,"Proteina"))*(SUMIFS(Acerto_Detalhado!$I$2:$I$433,Acerto_Detalhado!$A$2:$A$433,$D2871,Acerto_Detalhado!$B$2:$B$433,"Ago",Acerto_Detalhado!$C$2:$C$433,"Proteina")),2)</f>
        <v>0</v>
      </c>
    </row>
    <row r="2872" customFormat="false" ht="15" hidden="false" customHeight="false" outlineLevel="0" collapsed="false">
      <c r="A2872" s="27" t="s">
        <v>118</v>
      </c>
      <c r="B2872" s="27" t="s">
        <v>109</v>
      </c>
      <c r="C2872" s="27" t="s">
        <v>47</v>
      </c>
      <c r="D2872" s="27" t="s">
        <v>46</v>
      </c>
      <c r="E2872" s="28" t="n">
        <f aca="false">ROUND((SUMIFS(Acerto_Detalhado!$F$2:$F$433,Acerto_Detalhado!$A$2:$A$433,$C2872,Acerto_Detalhado!$B$2:$B$433,"Ago",Acerto_Detalhado!$C$2:$C$433,"Proteina"))*(SUMIFS(Acerto_Detalhado!$I$2:$I$433,Acerto_Detalhado!$A$2:$A$433,$D2872,Acerto_Detalhado!$B$2:$B$433,"Ago",Acerto_Detalhado!$C$2:$C$433,"Proteina")),2)</f>
        <v>0</v>
      </c>
    </row>
    <row r="2873" customFormat="false" ht="15" hidden="false" customHeight="false" outlineLevel="0" collapsed="false">
      <c r="A2873" s="27" t="s">
        <v>118</v>
      </c>
      <c r="B2873" s="27" t="s">
        <v>109</v>
      </c>
      <c r="C2873" s="27" t="s">
        <v>47</v>
      </c>
      <c r="D2873" s="27" t="s">
        <v>48</v>
      </c>
      <c r="E2873" s="28" t="n">
        <f aca="false">ROUND((SUMIFS(Acerto_Detalhado!$F$2:$F$433,Acerto_Detalhado!$A$2:$A$433,$C2873,Acerto_Detalhado!$B$2:$B$433,"Ago",Acerto_Detalhado!$C$2:$C$433,"Proteina"))*(SUMIFS(Acerto_Detalhado!$I$2:$I$433,Acerto_Detalhado!$A$2:$A$433,$D2873,Acerto_Detalhado!$B$2:$B$433,"Ago",Acerto_Detalhado!$C$2:$C$433,"Proteina")),2)</f>
        <v>0</v>
      </c>
    </row>
    <row r="2874" customFormat="false" ht="15" hidden="false" customHeight="false" outlineLevel="0" collapsed="false">
      <c r="A2874" s="27" t="s">
        <v>118</v>
      </c>
      <c r="B2874" s="27" t="s">
        <v>109</v>
      </c>
      <c r="C2874" s="27" t="s">
        <v>47</v>
      </c>
      <c r="D2874" s="27" t="s">
        <v>49</v>
      </c>
      <c r="E2874" s="28" t="n">
        <f aca="false">ROUND((SUMIFS(Acerto_Detalhado!$F$2:$F$433,Acerto_Detalhado!$A$2:$A$433,$C2874,Acerto_Detalhado!$B$2:$B$433,"Ago",Acerto_Detalhado!$C$2:$C$433,"Proteina"))*(SUMIFS(Acerto_Detalhado!$I$2:$I$433,Acerto_Detalhado!$A$2:$A$433,$D2874,Acerto_Detalhado!$B$2:$B$433,"Ago",Acerto_Detalhado!$C$2:$C$433,"Proteina")),2)</f>
        <v>0</v>
      </c>
    </row>
    <row r="2875" customFormat="false" ht="15" hidden="false" customHeight="false" outlineLevel="0" collapsed="false">
      <c r="A2875" s="27" t="s">
        <v>118</v>
      </c>
      <c r="B2875" s="27" t="s">
        <v>109</v>
      </c>
      <c r="C2875" s="27" t="s">
        <v>47</v>
      </c>
      <c r="D2875" s="27" t="s">
        <v>50</v>
      </c>
      <c r="E2875" s="28" t="n">
        <f aca="false">ROUND((SUMIFS(Acerto_Detalhado!$F$2:$F$433,Acerto_Detalhado!$A$2:$A$433,$C2875,Acerto_Detalhado!$B$2:$B$433,"Ago",Acerto_Detalhado!$C$2:$C$433,"Proteina"))*(SUMIFS(Acerto_Detalhado!$I$2:$I$433,Acerto_Detalhado!$A$2:$A$433,$D2875,Acerto_Detalhado!$B$2:$B$433,"Ago",Acerto_Detalhado!$C$2:$C$433,"Proteina")),2)</f>
        <v>0</v>
      </c>
    </row>
    <row r="2876" customFormat="false" ht="15" hidden="false" customHeight="false" outlineLevel="0" collapsed="false">
      <c r="A2876" s="27" t="s">
        <v>118</v>
      </c>
      <c r="B2876" s="27" t="s">
        <v>109</v>
      </c>
      <c r="C2876" s="27" t="s">
        <v>48</v>
      </c>
      <c r="D2876" s="27" t="s">
        <v>39</v>
      </c>
      <c r="E2876" s="28" t="n">
        <f aca="false">ROUND((SUMIFS(Acerto_Detalhado!$F$2:$F$433,Acerto_Detalhado!$A$2:$A$433,$C2876,Acerto_Detalhado!$B$2:$B$433,"Ago",Acerto_Detalhado!$C$2:$C$433,"Proteina"))*(SUMIFS(Acerto_Detalhado!$I$2:$I$433,Acerto_Detalhado!$A$2:$A$433,$D2876,Acerto_Detalhado!$B$2:$B$433,"Ago",Acerto_Detalhado!$C$2:$C$433,"Proteina")),2)</f>
        <v>0</v>
      </c>
    </row>
    <row r="2877" customFormat="false" ht="15" hidden="false" customHeight="false" outlineLevel="0" collapsed="false">
      <c r="A2877" s="27" t="s">
        <v>118</v>
      </c>
      <c r="B2877" s="27" t="s">
        <v>109</v>
      </c>
      <c r="C2877" s="27" t="s">
        <v>48</v>
      </c>
      <c r="D2877" s="27" t="s">
        <v>40</v>
      </c>
      <c r="E2877" s="28" t="n">
        <f aca="false">ROUND((SUMIFS(Acerto_Detalhado!$F$2:$F$433,Acerto_Detalhado!$A$2:$A$433,$C2877,Acerto_Detalhado!$B$2:$B$433,"Ago",Acerto_Detalhado!$C$2:$C$433,"Proteina"))*(SUMIFS(Acerto_Detalhado!$I$2:$I$433,Acerto_Detalhado!$A$2:$A$433,$D2877,Acerto_Detalhado!$B$2:$B$433,"Ago",Acerto_Detalhado!$C$2:$C$433,"Proteina")),2)</f>
        <v>0</v>
      </c>
    </row>
    <row r="2878" customFormat="false" ht="15" hidden="false" customHeight="false" outlineLevel="0" collapsed="false">
      <c r="A2878" s="27" t="s">
        <v>118</v>
      </c>
      <c r="B2878" s="27" t="s">
        <v>109</v>
      </c>
      <c r="C2878" s="27" t="s">
        <v>48</v>
      </c>
      <c r="D2878" s="27" t="s">
        <v>41</v>
      </c>
      <c r="E2878" s="28" t="n">
        <f aca="false">ROUND((SUMIFS(Acerto_Detalhado!$F$2:$F$433,Acerto_Detalhado!$A$2:$A$433,$C2878,Acerto_Detalhado!$B$2:$B$433,"Ago",Acerto_Detalhado!$C$2:$C$433,"Proteina"))*(SUMIFS(Acerto_Detalhado!$I$2:$I$433,Acerto_Detalhado!$A$2:$A$433,$D2878,Acerto_Detalhado!$B$2:$B$433,"Ago",Acerto_Detalhado!$C$2:$C$433,"Proteina")),2)</f>
        <v>0</v>
      </c>
    </row>
    <row r="2879" customFormat="false" ht="15" hidden="false" customHeight="false" outlineLevel="0" collapsed="false">
      <c r="A2879" s="27" t="s">
        <v>118</v>
      </c>
      <c r="B2879" s="27" t="s">
        <v>109</v>
      </c>
      <c r="C2879" s="27" t="s">
        <v>48</v>
      </c>
      <c r="D2879" s="27" t="s">
        <v>42</v>
      </c>
      <c r="E2879" s="28" t="n">
        <f aca="false">ROUND((SUMIFS(Acerto_Detalhado!$F$2:$F$433,Acerto_Detalhado!$A$2:$A$433,$C2879,Acerto_Detalhado!$B$2:$B$433,"Ago",Acerto_Detalhado!$C$2:$C$433,"Proteina"))*(SUMIFS(Acerto_Detalhado!$I$2:$I$433,Acerto_Detalhado!$A$2:$A$433,$D2879,Acerto_Detalhado!$B$2:$B$433,"Ago",Acerto_Detalhado!$C$2:$C$433,"Proteina")),2)</f>
        <v>0</v>
      </c>
    </row>
    <row r="2880" customFormat="false" ht="15" hidden="false" customHeight="false" outlineLevel="0" collapsed="false">
      <c r="A2880" s="27" t="s">
        <v>118</v>
      </c>
      <c r="B2880" s="27" t="s">
        <v>109</v>
      </c>
      <c r="C2880" s="27" t="s">
        <v>48</v>
      </c>
      <c r="D2880" s="27" t="s">
        <v>43</v>
      </c>
      <c r="E2880" s="28" t="n">
        <f aca="false">ROUND((SUMIFS(Acerto_Detalhado!$F$2:$F$433,Acerto_Detalhado!$A$2:$A$433,$C2880,Acerto_Detalhado!$B$2:$B$433,"Ago",Acerto_Detalhado!$C$2:$C$433,"Proteina"))*(SUMIFS(Acerto_Detalhado!$I$2:$I$433,Acerto_Detalhado!$A$2:$A$433,$D2880,Acerto_Detalhado!$B$2:$B$433,"Ago",Acerto_Detalhado!$C$2:$C$433,"Proteina")),2)</f>
        <v>0</v>
      </c>
    </row>
    <row r="2881" customFormat="false" ht="15" hidden="false" customHeight="false" outlineLevel="0" collapsed="false">
      <c r="A2881" s="27" t="s">
        <v>118</v>
      </c>
      <c r="B2881" s="27" t="s">
        <v>109</v>
      </c>
      <c r="C2881" s="27" t="s">
        <v>48</v>
      </c>
      <c r="D2881" s="27" t="s">
        <v>44</v>
      </c>
      <c r="E2881" s="28" t="n">
        <f aca="false">ROUND((SUMIFS(Acerto_Detalhado!$F$2:$F$433,Acerto_Detalhado!$A$2:$A$433,$C2881,Acerto_Detalhado!$B$2:$B$433,"Ago",Acerto_Detalhado!$C$2:$C$433,"Proteina"))*(SUMIFS(Acerto_Detalhado!$I$2:$I$433,Acerto_Detalhado!$A$2:$A$433,$D2881,Acerto_Detalhado!$B$2:$B$433,"Ago",Acerto_Detalhado!$C$2:$C$433,"Proteina")),2)</f>
        <v>0</v>
      </c>
    </row>
    <row r="2882" customFormat="false" ht="15" hidden="false" customHeight="false" outlineLevel="0" collapsed="false">
      <c r="A2882" s="27" t="s">
        <v>118</v>
      </c>
      <c r="B2882" s="27" t="s">
        <v>109</v>
      </c>
      <c r="C2882" s="27" t="s">
        <v>48</v>
      </c>
      <c r="D2882" s="27" t="s">
        <v>45</v>
      </c>
      <c r="E2882" s="28" t="n">
        <f aca="false">ROUND((SUMIFS(Acerto_Detalhado!$F$2:$F$433,Acerto_Detalhado!$A$2:$A$433,$C2882,Acerto_Detalhado!$B$2:$B$433,"Ago",Acerto_Detalhado!$C$2:$C$433,"Proteina"))*(SUMIFS(Acerto_Detalhado!$I$2:$I$433,Acerto_Detalhado!$A$2:$A$433,$D2882,Acerto_Detalhado!$B$2:$B$433,"Ago",Acerto_Detalhado!$C$2:$C$433,"Proteina")),2)</f>
        <v>0</v>
      </c>
    </row>
    <row r="2883" customFormat="false" ht="15" hidden="false" customHeight="false" outlineLevel="0" collapsed="false">
      <c r="A2883" s="27" t="s">
        <v>118</v>
      </c>
      <c r="B2883" s="27" t="s">
        <v>109</v>
      </c>
      <c r="C2883" s="27" t="s">
        <v>48</v>
      </c>
      <c r="D2883" s="27" t="s">
        <v>46</v>
      </c>
      <c r="E2883" s="28" t="n">
        <f aca="false">ROUND((SUMIFS(Acerto_Detalhado!$F$2:$F$433,Acerto_Detalhado!$A$2:$A$433,$C2883,Acerto_Detalhado!$B$2:$B$433,"Ago",Acerto_Detalhado!$C$2:$C$433,"Proteina"))*(SUMIFS(Acerto_Detalhado!$I$2:$I$433,Acerto_Detalhado!$A$2:$A$433,$D2883,Acerto_Detalhado!$B$2:$B$433,"Ago",Acerto_Detalhado!$C$2:$C$433,"Proteina")),2)</f>
        <v>0</v>
      </c>
    </row>
    <row r="2884" customFormat="false" ht="15" hidden="false" customHeight="false" outlineLevel="0" collapsed="false">
      <c r="A2884" s="27" t="s">
        <v>118</v>
      </c>
      <c r="B2884" s="27" t="s">
        <v>109</v>
      </c>
      <c r="C2884" s="27" t="s">
        <v>48</v>
      </c>
      <c r="D2884" s="27" t="s">
        <v>47</v>
      </c>
      <c r="E2884" s="28" t="n">
        <f aca="false">ROUND((SUMIFS(Acerto_Detalhado!$F$2:$F$433,Acerto_Detalhado!$A$2:$A$433,$C2884,Acerto_Detalhado!$B$2:$B$433,"Ago",Acerto_Detalhado!$C$2:$C$433,"Proteina"))*(SUMIFS(Acerto_Detalhado!$I$2:$I$433,Acerto_Detalhado!$A$2:$A$433,$D2884,Acerto_Detalhado!$B$2:$B$433,"Ago",Acerto_Detalhado!$C$2:$C$433,"Proteina")),2)</f>
        <v>0</v>
      </c>
    </row>
    <row r="2885" customFormat="false" ht="15" hidden="false" customHeight="false" outlineLevel="0" collapsed="false">
      <c r="A2885" s="27" t="s">
        <v>118</v>
      </c>
      <c r="B2885" s="27" t="s">
        <v>109</v>
      </c>
      <c r="C2885" s="27" t="s">
        <v>48</v>
      </c>
      <c r="D2885" s="27" t="s">
        <v>49</v>
      </c>
      <c r="E2885" s="28" t="n">
        <f aca="false">ROUND((SUMIFS(Acerto_Detalhado!$F$2:$F$433,Acerto_Detalhado!$A$2:$A$433,$C2885,Acerto_Detalhado!$B$2:$B$433,"Ago",Acerto_Detalhado!$C$2:$C$433,"Proteina"))*(SUMIFS(Acerto_Detalhado!$I$2:$I$433,Acerto_Detalhado!$A$2:$A$433,$D2885,Acerto_Detalhado!$B$2:$B$433,"Ago",Acerto_Detalhado!$C$2:$C$433,"Proteina")),2)</f>
        <v>0</v>
      </c>
    </row>
    <row r="2886" customFormat="false" ht="15" hidden="false" customHeight="false" outlineLevel="0" collapsed="false">
      <c r="A2886" s="27" t="s">
        <v>118</v>
      </c>
      <c r="B2886" s="27" t="s">
        <v>109</v>
      </c>
      <c r="C2886" s="27" t="s">
        <v>48</v>
      </c>
      <c r="D2886" s="27" t="s">
        <v>50</v>
      </c>
      <c r="E2886" s="28" t="n">
        <f aca="false">ROUND((SUMIFS(Acerto_Detalhado!$F$2:$F$433,Acerto_Detalhado!$A$2:$A$433,$C2886,Acerto_Detalhado!$B$2:$B$433,"Ago",Acerto_Detalhado!$C$2:$C$433,"Proteina"))*(SUMIFS(Acerto_Detalhado!$I$2:$I$433,Acerto_Detalhado!$A$2:$A$433,$D2886,Acerto_Detalhado!$B$2:$B$433,"Ago",Acerto_Detalhado!$C$2:$C$433,"Proteina")),2)</f>
        <v>0</v>
      </c>
    </row>
    <row r="2887" customFormat="false" ht="15" hidden="false" customHeight="false" outlineLevel="0" collapsed="false">
      <c r="A2887" s="27" t="s">
        <v>118</v>
      </c>
      <c r="B2887" s="27" t="s">
        <v>109</v>
      </c>
      <c r="C2887" s="27" t="s">
        <v>49</v>
      </c>
      <c r="D2887" s="27" t="s">
        <v>39</v>
      </c>
      <c r="E2887" s="28" t="n">
        <f aca="false">ROUND((SUMIFS(Acerto_Detalhado!$F$2:$F$433,Acerto_Detalhado!$A$2:$A$433,$C2887,Acerto_Detalhado!$B$2:$B$433,"Ago",Acerto_Detalhado!$C$2:$C$433,"Proteina"))*(SUMIFS(Acerto_Detalhado!$I$2:$I$433,Acerto_Detalhado!$A$2:$A$433,$D2887,Acerto_Detalhado!$B$2:$B$433,"Ago",Acerto_Detalhado!$C$2:$C$433,"Proteina")),2)</f>
        <v>0</v>
      </c>
    </row>
    <row r="2888" customFormat="false" ht="15" hidden="false" customHeight="false" outlineLevel="0" collapsed="false">
      <c r="A2888" s="27" t="s">
        <v>118</v>
      </c>
      <c r="B2888" s="27" t="s">
        <v>109</v>
      </c>
      <c r="C2888" s="27" t="s">
        <v>49</v>
      </c>
      <c r="D2888" s="27" t="s">
        <v>40</v>
      </c>
      <c r="E2888" s="28" t="n">
        <f aca="false">ROUND((SUMIFS(Acerto_Detalhado!$F$2:$F$433,Acerto_Detalhado!$A$2:$A$433,$C2888,Acerto_Detalhado!$B$2:$B$433,"Ago",Acerto_Detalhado!$C$2:$C$433,"Proteina"))*(SUMIFS(Acerto_Detalhado!$I$2:$I$433,Acerto_Detalhado!$A$2:$A$433,$D2888,Acerto_Detalhado!$B$2:$B$433,"Ago",Acerto_Detalhado!$C$2:$C$433,"Proteina")),2)</f>
        <v>0</v>
      </c>
    </row>
    <row r="2889" customFormat="false" ht="15" hidden="false" customHeight="false" outlineLevel="0" collapsed="false">
      <c r="A2889" s="27" t="s">
        <v>118</v>
      </c>
      <c r="B2889" s="27" t="s">
        <v>109</v>
      </c>
      <c r="C2889" s="27" t="s">
        <v>49</v>
      </c>
      <c r="D2889" s="27" t="s">
        <v>41</v>
      </c>
      <c r="E2889" s="28" t="n">
        <f aca="false">ROUND((SUMIFS(Acerto_Detalhado!$F$2:$F$433,Acerto_Detalhado!$A$2:$A$433,$C2889,Acerto_Detalhado!$B$2:$B$433,"Ago",Acerto_Detalhado!$C$2:$C$433,"Proteina"))*(SUMIFS(Acerto_Detalhado!$I$2:$I$433,Acerto_Detalhado!$A$2:$A$433,$D2889,Acerto_Detalhado!$B$2:$B$433,"Ago",Acerto_Detalhado!$C$2:$C$433,"Proteina")),2)</f>
        <v>0</v>
      </c>
    </row>
    <row r="2890" customFormat="false" ht="15" hidden="false" customHeight="false" outlineLevel="0" collapsed="false">
      <c r="A2890" s="27" t="s">
        <v>118</v>
      </c>
      <c r="B2890" s="27" t="s">
        <v>109</v>
      </c>
      <c r="C2890" s="27" t="s">
        <v>49</v>
      </c>
      <c r="D2890" s="27" t="s">
        <v>42</v>
      </c>
      <c r="E2890" s="28" t="n">
        <f aca="false">ROUND((SUMIFS(Acerto_Detalhado!$F$2:$F$433,Acerto_Detalhado!$A$2:$A$433,$C2890,Acerto_Detalhado!$B$2:$B$433,"Ago",Acerto_Detalhado!$C$2:$C$433,"Proteina"))*(SUMIFS(Acerto_Detalhado!$I$2:$I$433,Acerto_Detalhado!$A$2:$A$433,$D2890,Acerto_Detalhado!$B$2:$B$433,"Ago",Acerto_Detalhado!$C$2:$C$433,"Proteina")),2)</f>
        <v>0</v>
      </c>
    </row>
    <row r="2891" customFormat="false" ht="15" hidden="false" customHeight="false" outlineLevel="0" collapsed="false">
      <c r="A2891" s="27" t="s">
        <v>118</v>
      </c>
      <c r="B2891" s="27" t="s">
        <v>109</v>
      </c>
      <c r="C2891" s="27" t="s">
        <v>49</v>
      </c>
      <c r="D2891" s="27" t="s">
        <v>43</v>
      </c>
      <c r="E2891" s="28" t="n">
        <f aca="false">ROUND((SUMIFS(Acerto_Detalhado!$F$2:$F$433,Acerto_Detalhado!$A$2:$A$433,$C2891,Acerto_Detalhado!$B$2:$B$433,"Ago",Acerto_Detalhado!$C$2:$C$433,"Proteina"))*(SUMIFS(Acerto_Detalhado!$I$2:$I$433,Acerto_Detalhado!$A$2:$A$433,$D2891,Acerto_Detalhado!$B$2:$B$433,"Ago",Acerto_Detalhado!$C$2:$C$433,"Proteina")),2)</f>
        <v>0</v>
      </c>
    </row>
    <row r="2892" customFormat="false" ht="15" hidden="false" customHeight="false" outlineLevel="0" collapsed="false">
      <c r="A2892" s="27" t="s">
        <v>118</v>
      </c>
      <c r="B2892" s="27" t="s">
        <v>109</v>
      </c>
      <c r="C2892" s="27" t="s">
        <v>49</v>
      </c>
      <c r="D2892" s="27" t="s">
        <v>44</v>
      </c>
      <c r="E2892" s="28" t="n">
        <f aca="false">ROUND((SUMIFS(Acerto_Detalhado!$F$2:$F$433,Acerto_Detalhado!$A$2:$A$433,$C2892,Acerto_Detalhado!$B$2:$B$433,"Ago",Acerto_Detalhado!$C$2:$C$433,"Proteina"))*(SUMIFS(Acerto_Detalhado!$I$2:$I$433,Acerto_Detalhado!$A$2:$A$433,$D2892,Acerto_Detalhado!$B$2:$B$433,"Ago",Acerto_Detalhado!$C$2:$C$433,"Proteina")),2)</f>
        <v>0</v>
      </c>
    </row>
    <row r="2893" customFormat="false" ht="15" hidden="false" customHeight="false" outlineLevel="0" collapsed="false">
      <c r="A2893" s="27" t="s">
        <v>118</v>
      </c>
      <c r="B2893" s="27" t="s">
        <v>109</v>
      </c>
      <c r="C2893" s="27" t="s">
        <v>49</v>
      </c>
      <c r="D2893" s="27" t="s">
        <v>45</v>
      </c>
      <c r="E2893" s="28" t="n">
        <f aca="false">ROUND((SUMIFS(Acerto_Detalhado!$F$2:$F$433,Acerto_Detalhado!$A$2:$A$433,$C2893,Acerto_Detalhado!$B$2:$B$433,"Ago",Acerto_Detalhado!$C$2:$C$433,"Proteina"))*(SUMIFS(Acerto_Detalhado!$I$2:$I$433,Acerto_Detalhado!$A$2:$A$433,$D2893,Acerto_Detalhado!$B$2:$B$433,"Ago",Acerto_Detalhado!$C$2:$C$433,"Proteina")),2)</f>
        <v>0</v>
      </c>
    </row>
    <row r="2894" customFormat="false" ht="15" hidden="false" customHeight="false" outlineLevel="0" collapsed="false">
      <c r="A2894" s="27" t="s">
        <v>118</v>
      </c>
      <c r="B2894" s="27" t="s">
        <v>109</v>
      </c>
      <c r="C2894" s="27" t="s">
        <v>49</v>
      </c>
      <c r="D2894" s="27" t="s">
        <v>46</v>
      </c>
      <c r="E2894" s="28" t="n">
        <f aca="false">ROUND((SUMIFS(Acerto_Detalhado!$F$2:$F$433,Acerto_Detalhado!$A$2:$A$433,$C2894,Acerto_Detalhado!$B$2:$B$433,"Ago",Acerto_Detalhado!$C$2:$C$433,"Proteina"))*(SUMIFS(Acerto_Detalhado!$I$2:$I$433,Acerto_Detalhado!$A$2:$A$433,$D2894,Acerto_Detalhado!$B$2:$B$433,"Ago",Acerto_Detalhado!$C$2:$C$433,"Proteina")),2)</f>
        <v>0</v>
      </c>
    </row>
    <row r="2895" customFormat="false" ht="15" hidden="false" customHeight="false" outlineLevel="0" collapsed="false">
      <c r="A2895" s="27" t="s">
        <v>118</v>
      </c>
      <c r="B2895" s="27" t="s">
        <v>109</v>
      </c>
      <c r="C2895" s="27" t="s">
        <v>49</v>
      </c>
      <c r="D2895" s="27" t="s">
        <v>47</v>
      </c>
      <c r="E2895" s="28" t="n">
        <f aca="false">ROUND((SUMIFS(Acerto_Detalhado!$F$2:$F$433,Acerto_Detalhado!$A$2:$A$433,$C2895,Acerto_Detalhado!$B$2:$B$433,"Ago",Acerto_Detalhado!$C$2:$C$433,"Proteina"))*(SUMIFS(Acerto_Detalhado!$I$2:$I$433,Acerto_Detalhado!$A$2:$A$433,$D2895,Acerto_Detalhado!$B$2:$B$433,"Ago",Acerto_Detalhado!$C$2:$C$433,"Proteina")),2)</f>
        <v>0</v>
      </c>
    </row>
    <row r="2896" customFormat="false" ht="15" hidden="false" customHeight="false" outlineLevel="0" collapsed="false">
      <c r="A2896" s="27" t="s">
        <v>118</v>
      </c>
      <c r="B2896" s="27" t="s">
        <v>109</v>
      </c>
      <c r="C2896" s="27" t="s">
        <v>49</v>
      </c>
      <c r="D2896" s="27" t="s">
        <v>48</v>
      </c>
      <c r="E2896" s="28" t="n">
        <f aca="false">ROUND((SUMIFS(Acerto_Detalhado!$F$2:$F$433,Acerto_Detalhado!$A$2:$A$433,$C2896,Acerto_Detalhado!$B$2:$B$433,"Ago",Acerto_Detalhado!$C$2:$C$433,"Proteina"))*(SUMIFS(Acerto_Detalhado!$I$2:$I$433,Acerto_Detalhado!$A$2:$A$433,$D2896,Acerto_Detalhado!$B$2:$B$433,"Ago",Acerto_Detalhado!$C$2:$C$433,"Proteina")),2)</f>
        <v>0</v>
      </c>
    </row>
    <row r="2897" customFormat="false" ht="15" hidden="false" customHeight="false" outlineLevel="0" collapsed="false">
      <c r="A2897" s="27" t="s">
        <v>118</v>
      </c>
      <c r="B2897" s="27" t="s">
        <v>109</v>
      </c>
      <c r="C2897" s="27" t="s">
        <v>49</v>
      </c>
      <c r="D2897" s="27" t="s">
        <v>50</v>
      </c>
      <c r="E2897" s="28" t="n">
        <f aca="false">ROUND((SUMIFS(Acerto_Detalhado!$F$2:$F$433,Acerto_Detalhado!$A$2:$A$433,$C2897,Acerto_Detalhado!$B$2:$B$433,"Ago",Acerto_Detalhado!$C$2:$C$433,"Proteina"))*(SUMIFS(Acerto_Detalhado!$I$2:$I$433,Acerto_Detalhado!$A$2:$A$433,$D2897,Acerto_Detalhado!$B$2:$B$433,"Ago",Acerto_Detalhado!$C$2:$C$433,"Proteina")),2)</f>
        <v>0</v>
      </c>
    </row>
    <row r="2898" customFormat="false" ht="15" hidden="false" customHeight="false" outlineLevel="0" collapsed="false">
      <c r="A2898" s="27" t="s">
        <v>118</v>
      </c>
      <c r="B2898" s="27" t="s">
        <v>109</v>
      </c>
      <c r="C2898" s="27" t="s">
        <v>50</v>
      </c>
      <c r="D2898" s="27" t="s">
        <v>39</v>
      </c>
      <c r="E2898" s="28" t="n">
        <f aca="false">ROUND((SUMIFS(Acerto_Detalhado!$F$2:$F$433,Acerto_Detalhado!$A$2:$A$433,$C2898,Acerto_Detalhado!$B$2:$B$433,"Ago",Acerto_Detalhado!$C$2:$C$433,"Proteina"))*(SUMIFS(Acerto_Detalhado!$I$2:$I$433,Acerto_Detalhado!$A$2:$A$433,$D2898,Acerto_Detalhado!$B$2:$B$433,"Ago",Acerto_Detalhado!$C$2:$C$433,"Proteina")),2)</f>
        <v>0</v>
      </c>
    </row>
    <row r="2899" customFormat="false" ht="15" hidden="false" customHeight="false" outlineLevel="0" collapsed="false">
      <c r="A2899" s="27" t="s">
        <v>118</v>
      </c>
      <c r="B2899" s="27" t="s">
        <v>109</v>
      </c>
      <c r="C2899" s="27" t="s">
        <v>50</v>
      </c>
      <c r="D2899" s="27" t="s">
        <v>40</v>
      </c>
      <c r="E2899" s="28" t="n">
        <f aca="false">ROUND((SUMIFS(Acerto_Detalhado!$F$2:$F$433,Acerto_Detalhado!$A$2:$A$433,$C2899,Acerto_Detalhado!$B$2:$B$433,"Ago",Acerto_Detalhado!$C$2:$C$433,"Proteina"))*(SUMIFS(Acerto_Detalhado!$I$2:$I$433,Acerto_Detalhado!$A$2:$A$433,$D2899,Acerto_Detalhado!$B$2:$B$433,"Ago",Acerto_Detalhado!$C$2:$C$433,"Proteina")),2)</f>
        <v>0</v>
      </c>
    </row>
    <row r="2900" customFormat="false" ht="15" hidden="false" customHeight="false" outlineLevel="0" collapsed="false">
      <c r="A2900" s="27" t="s">
        <v>118</v>
      </c>
      <c r="B2900" s="27" t="s">
        <v>109</v>
      </c>
      <c r="C2900" s="27" t="s">
        <v>50</v>
      </c>
      <c r="D2900" s="27" t="s">
        <v>41</v>
      </c>
      <c r="E2900" s="28" t="n">
        <f aca="false">ROUND((SUMIFS(Acerto_Detalhado!$F$2:$F$433,Acerto_Detalhado!$A$2:$A$433,$C2900,Acerto_Detalhado!$B$2:$B$433,"Ago",Acerto_Detalhado!$C$2:$C$433,"Proteina"))*(SUMIFS(Acerto_Detalhado!$I$2:$I$433,Acerto_Detalhado!$A$2:$A$433,$D2900,Acerto_Detalhado!$B$2:$B$433,"Ago",Acerto_Detalhado!$C$2:$C$433,"Proteina")),2)</f>
        <v>0</v>
      </c>
    </row>
    <row r="2901" customFormat="false" ht="15" hidden="false" customHeight="false" outlineLevel="0" collapsed="false">
      <c r="A2901" s="27" t="s">
        <v>118</v>
      </c>
      <c r="B2901" s="27" t="s">
        <v>109</v>
      </c>
      <c r="C2901" s="27" t="s">
        <v>50</v>
      </c>
      <c r="D2901" s="27" t="s">
        <v>42</v>
      </c>
      <c r="E2901" s="28" t="n">
        <f aca="false">ROUND((SUMIFS(Acerto_Detalhado!$F$2:$F$433,Acerto_Detalhado!$A$2:$A$433,$C2901,Acerto_Detalhado!$B$2:$B$433,"Ago",Acerto_Detalhado!$C$2:$C$433,"Proteina"))*(SUMIFS(Acerto_Detalhado!$I$2:$I$433,Acerto_Detalhado!$A$2:$A$433,$D2901,Acerto_Detalhado!$B$2:$B$433,"Ago",Acerto_Detalhado!$C$2:$C$433,"Proteina")),2)</f>
        <v>0</v>
      </c>
    </row>
    <row r="2902" customFormat="false" ht="15" hidden="false" customHeight="false" outlineLevel="0" collapsed="false">
      <c r="A2902" s="27" t="s">
        <v>118</v>
      </c>
      <c r="B2902" s="27" t="s">
        <v>109</v>
      </c>
      <c r="C2902" s="27" t="s">
        <v>50</v>
      </c>
      <c r="D2902" s="27" t="s">
        <v>43</v>
      </c>
      <c r="E2902" s="28" t="n">
        <f aca="false">ROUND((SUMIFS(Acerto_Detalhado!$F$2:$F$433,Acerto_Detalhado!$A$2:$A$433,$C2902,Acerto_Detalhado!$B$2:$B$433,"Ago",Acerto_Detalhado!$C$2:$C$433,"Proteina"))*(SUMIFS(Acerto_Detalhado!$I$2:$I$433,Acerto_Detalhado!$A$2:$A$433,$D2902,Acerto_Detalhado!$B$2:$B$433,"Ago",Acerto_Detalhado!$C$2:$C$433,"Proteina")),2)</f>
        <v>0</v>
      </c>
    </row>
    <row r="2903" customFormat="false" ht="15" hidden="false" customHeight="false" outlineLevel="0" collapsed="false">
      <c r="A2903" s="27" t="s">
        <v>118</v>
      </c>
      <c r="B2903" s="27" t="s">
        <v>109</v>
      </c>
      <c r="C2903" s="27" t="s">
        <v>50</v>
      </c>
      <c r="D2903" s="27" t="s">
        <v>44</v>
      </c>
      <c r="E2903" s="28" t="n">
        <f aca="false">ROUND((SUMIFS(Acerto_Detalhado!$F$2:$F$433,Acerto_Detalhado!$A$2:$A$433,$C2903,Acerto_Detalhado!$B$2:$B$433,"Ago",Acerto_Detalhado!$C$2:$C$433,"Proteina"))*(SUMIFS(Acerto_Detalhado!$I$2:$I$433,Acerto_Detalhado!$A$2:$A$433,$D2903,Acerto_Detalhado!$B$2:$B$433,"Ago",Acerto_Detalhado!$C$2:$C$433,"Proteina")),2)</f>
        <v>0</v>
      </c>
    </row>
    <row r="2904" customFormat="false" ht="15" hidden="false" customHeight="false" outlineLevel="0" collapsed="false">
      <c r="A2904" s="27" t="s">
        <v>118</v>
      </c>
      <c r="B2904" s="27" t="s">
        <v>109</v>
      </c>
      <c r="C2904" s="27" t="s">
        <v>50</v>
      </c>
      <c r="D2904" s="27" t="s">
        <v>45</v>
      </c>
      <c r="E2904" s="28" t="n">
        <f aca="false">ROUND((SUMIFS(Acerto_Detalhado!$F$2:$F$433,Acerto_Detalhado!$A$2:$A$433,$C2904,Acerto_Detalhado!$B$2:$B$433,"Ago",Acerto_Detalhado!$C$2:$C$433,"Proteina"))*(SUMIFS(Acerto_Detalhado!$I$2:$I$433,Acerto_Detalhado!$A$2:$A$433,$D2904,Acerto_Detalhado!$B$2:$B$433,"Ago",Acerto_Detalhado!$C$2:$C$433,"Proteina")),2)</f>
        <v>0</v>
      </c>
    </row>
    <row r="2905" customFormat="false" ht="15" hidden="false" customHeight="false" outlineLevel="0" collapsed="false">
      <c r="A2905" s="27" t="s">
        <v>118</v>
      </c>
      <c r="B2905" s="27" t="s">
        <v>109</v>
      </c>
      <c r="C2905" s="27" t="s">
        <v>50</v>
      </c>
      <c r="D2905" s="27" t="s">
        <v>46</v>
      </c>
      <c r="E2905" s="28" t="n">
        <f aca="false">ROUND((SUMIFS(Acerto_Detalhado!$F$2:$F$433,Acerto_Detalhado!$A$2:$A$433,$C2905,Acerto_Detalhado!$B$2:$B$433,"Ago",Acerto_Detalhado!$C$2:$C$433,"Proteina"))*(SUMIFS(Acerto_Detalhado!$I$2:$I$433,Acerto_Detalhado!$A$2:$A$433,$D2905,Acerto_Detalhado!$B$2:$B$433,"Ago",Acerto_Detalhado!$C$2:$C$433,"Proteina")),2)</f>
        <v>0</v>
      </c>
    </row>
    <row r="2906" customFormat="false" ht="15" hidden="false" customHeight="false" outlineLevel="0" collapsed="false">
      <c r="A2906" s="27" t="s">
        <v>118</v>
      </c>
      <c r="B2906" s="27" t="s">
        <v>109</v>
      </c>
      <c r="C2906" s="27" t="s">
        <v>50</v>
      </c>
      <c r="D2906" s="27" t="s">
        <v>47</v>
      </c>
      <c r="E2906" s="28" t="n">
        <f aca="false">ROUND((SUMIFS(Acerto_Detalhado!$F$2:$F$433,Acerto_Detalhado!$A$2:$A$433,$C2906,Acerto_Detalhado!$B$2:$B$433,"Ago",Acerto_Detalhado!$C$2:$C$433,"Proteina"))*(SUMIFS(Acerto_Detalhado!$I$2:$I$433,Acerto_Detalhado!$A$2:$A$433,$D2906,Acerto_Detalhado!$B$2:$B$433,"Ago",Acerto_Detalhado!$C$2:$C$433,"Proteina")),2)</f>
        <v>0</v>
      </c>
    </row>
    <row r="2907" customFormat="false" ht="15" hidden="false" customHeight="false" outlineLevel="0" collapsed="false">
      <c r="A2907" s="27" t="s">
        <v>118</v>
      </c>
      <c r="B2907" s="27" t="s">
        <v>109</v>
      </c>
      <c r="C2907" s="27" t="s">
        <v>50</v>
      </c>
      <c r="D2907" s="27" t="s">
        <v>48</v>
      </c>
      <c r="E2907" s="28" t="n">
        <f aca="false">ROUND((SUMIFS(Acerto_Detalhado!$F$2:$F$433,Acerto_Detalhado!$A$2:$A$433,$C2907,Acerto_Detalhado!$B$2:$B$433,"Ago",Acerto_Detalhado!$C$2:$C$433,"Proteina"))*(SUMIFS(Acerto_Detalhado!$I$2:$I$433,Acerto_Detalhado!$A$2:$A$433,$D2907,Acerto_Detalhado!$B$2:$B$433,"Ago",Acerto_Detalhado!$C$2:$C$433,"Proteina")),2)</f>
        <v>0</v>
      </c>
    </row>
    <row r="2908" customFormat="false" ht="15" hidden="false" customHeight="false" outlineLevel="0" collapsed="false">
      <c r="A2908" s="27" t="s">
        <v>118</v>
      </c>
      <c r="B2908" s="27" t="s">
        <v>109</v>
      </c>
      <c r="C2908" s="27" t="s">
        <v>50</v>
      </c>
      <c r="D2908" s="27" t="s">
        <v>49</v>
      </c>
      <c r="E2908" s="28" t="n">
        <f aca="false">ROUND((SUMIFS(Acerto_Detalhado!$F$2:$F$433,Acerto_Detalhado!$A$2:$A$433,$C2908,Acerto_Detalhado!$B$2:$B$433,"Ago",Acerto_Detalhado!$C$2:$C$433,"Proteina"))*(SUMIFS(Acerto_Detalhado!$I$2:$I$433,Acerto_Detalhado!$A$2:$A$433,$D2908,Acerto_Detalhado!$B$2:$B$433,"Ago",Acerto_Detalhado!$C$2:$C$433,"Proteina")),2)</f>
        <v>0</v>
      </c>
    </row>
    <row r="2909" customFormat="false" ht="15" hidden="false" customHeight="false" outlineLevel="0" collapsed="false">
      <c r="A2909" s="27" t="s">
        <v>118</v>
      </c>
      <c r="B2909" s="27" t="s">
        <v>110</v>
      </c>
      <c r="C2909" s="27" t="s">
        <v>39</v>
      </c>
      <c r="D2909" s="27" t="s">
        <v>40</v>
      </c>
      <c r="E2909" s="28" t="n">
        <f aca="false">ROUND((SUMIFS(Acerto_Detalhado!$F$2:$F$433,Acerto_Detalhado!$A$2:$A$433,$C2909,Acerto_Detalhado!$B$2:$B$433,"Ago",Acerto_Detalhado!$C$2:$C$433,"Umidade"))*(SUMIFS(Acerto_Detalhado!$I$2:$I$433,Acerto_Detalhado!$A$2:$A$433,$D2909,Acerto_Detalhado!$B$2:$B$433,"Ago",Acerto_Detalhado!$C$2:$C$433,"Umidade")),2)</f>
        <v>0</v>
      </c>
    </row>
    <row r="2910" customFormat="false" ht="15" hidden="false" customHeight="false" outlineLevel="0" collapsed="false">
      <c r="A2910" s="27" t="s">
        <v>118</v>
      </c>
      <c r="B2910" s="27" t="s">
        <v>110</v>
      </c>
      <c r="C2910" s="27" t="s">
        <v>39</v>
      </c>
      <c r="D2910" s="27" t="s">
        <v>41</v>
      </c>
      <c r="E2910" s="28" t="n">
        <f aca="false">ROUND((SUMIFS(Acerto_Detalhado!$F$2:$F$433,Acerto_Detalhado!$A$2:$A$433,$C2910,Acerto_Detalhado!$B$2:$B$433,"Ago",Acerto_Detalhado!$C$2:$C$433,"Umidade"))*(SUMIFS(Acerto_Detalhado!$I$2:$I$433,Acerto_Detalhado!$A$2:$A$433,$D2910,Acerto_Detalhado!$B$2:$B$433,"Ago",Acerto_Detalhado!$C$2:$C$433,"Umidade")),2)</f>
        <v>0</v>
      </c>
    </row>
    <row r="2911" customFormat="false" ht="15" hidden="false" customHeight="false" outlineLevel="0" collapsed="false">
      <c r="A2911" s="27" t="s">
        <v>118</v>
      </c>
      <c r="B2911" s="27" t="s">
        <v>110</v>
      </c>
      <c r="C2911" s="27" t="s">
        <v>39</v>
      </c>
      <c r="D2911" s="27" t="s">
        <v>42</v>
      </c>
      <c r="E2911" s="28" t="n">
        <f aca="false">ROUND((SUMIFS(Acerto_Detalhado!$F$2:$F$433,Acerto_Detalhado!$A$2:$A$433,$C2911,Acerto_Detalhado!$B$2:$B$433,"Ago",Acerto_Detalhado!$C$2:$C$433,"Umidade"))*(SUMIFS(Acerto_Detalhado!$I$2:$I$433,Acerto_Detalhado!$A$2:$A$433,$D2911,Acerto_Detalhado!$B$2:$B$433,"Ago",Acerto_Detalhado!$C$2:$C$433,"Umidade")),2)</f>
        <v>0</v>
      </c>
    </row>
    <row r="2912" customFormat="false" ht="15" hidden="false" customHeight="false" outlineLevel="0" collapsed="false">
      <c r="A2912" s="27" t="s">
        <v>118</v>
      </c>
      <c r="B2912" s="27" t="s">
        <v>110</v>
      </c>
      <c r="C2912" s="27" t="s">
        <v>39</v>
      </c>
      <c r="D2912" s="27" t="s">
        <v>43</v>
      </c>
      <c r="E2912" s="28" t="n">
        <f aca="false">ROUND((SUMIFS(Acerto_Detalhado!$F$2:$F$433,Acerto_Detalhado!$A$2:$A$433,$C2912,Acerto_Detalhado!$B$2:$B$433,"Ago",Acerto_Detalhado!$C$2:$C$433,"Umidade"))*(SUMIFS(Acerto_Detalhado!$I$2:$I$433,Acerto_Detalhado!$A$2:$A$433,$D2912,Acerto_Detalhado!$B$2:$B$433,"Ago",Acerto_Detalhado!$C$2:$C$433,"Umidade")),2)</f>
        <v>0</v>
      </c>
    </row>
    <row r="2913" customFormat="false" ht="15" hidden="false" customHeight="false" outlineLevel="0" collapsed="false">
      <c r="A2913" s="27" t="s">
        <v>118</v>
      </c>
      <c r="B2913" s="27" t="s">
        <v>110</v>
      </c>
      <c r="C2913" s="27" t="s">
        <v>39</v>
      </c>
      <c r="D2913" s="27" t="s">
        <v>44</v>
      </c>
      <c r="E2913" s="28" t="n">
        <f aca="false">ROUND((SUMIFS(Acerto_Detalhado!$F$2:$F$433,Acerto_Detalhado!$A$2:$A$433,$C2913,Acerto_Detalhado!$B$2:$B$433,"Ago",Acerto_Detalhado!$C$2:$C$433,"Umidade"))*(SUMIFS(Acerto_Detalhado!$I$2:$I$433,Acerto_Detalhado!$A$2:$A$433,$D2913,Acerto_Detalhado!$B$2:$B$433,"Ago",Acerto_Detalhado!$C$2:$C$433,"Umidade")),2)</f>
        <v>0</v>
      </c>
    </row>
    <row r="2914" customFormat="false" ht="15" hidden="false" customHeight="false" outlineLevel="0" collapsed="false">
      <c r="A2914" s="27" t="s">
        <v>118</v>
      </c>
      <c r="B2914" s="27" t="s">
        <v>110</v>
      </c>
      <c r="C2914" s="27" t="s">
        <v>39</v>
      </c>
      <c r="D2914" s="27" t="s">
        <v>45</v>
      </c>
      <c r="E2914" s="28" t="n">
        <f aca="false">ROUND((SUMIFS(Acerto_Detalhado!$F$2:$F$433,Acerto_Detalhado!$A$2:$A$433,$C2914,Acerto_Detalhado!$B$2:$B$433,"Ago",Acerto_Detalhado!$C$2:$C$433,"Umidade"))*(SUMIFS(Acerto_Detalhado!$I$2:$I$433,Acerto_Detalhado!$A$2:$A$433,$D2914,Acerto_Detalhado!$B$2:$B$433,"Ago",Acerto_Detalhado!$C$2:$C$433,"Umidade")),2)</f>
        <v>0</v>
      </c>
    </row>
    <row r="2915" customFormat="false" ht="15" hidden="false" customHeight="false" outlineLevel="0" collapsed="false">
      <c r="A2915" s="27" t="s">
        <v>118</v>
      </c>
      <c r="B2915" s="27" t="s">
        <v>110</v>
      </c>
      <c r="C2915" s="27" t="s">
        <v>39</v>
      </c>
      <c r="D2915" s="27" t="s">
        <v>46</v>
      </c>
      <c r="E2915" s="28" t="n">
        <f aca="false">ROUND((SUMIFS(Acerto_Detalhado!$F$2:$F$433,Acerto_Detalhado!$A$2:$A$433,$C2915,Acerto_Detalhado!$B$2:$B$433,"Ago",Acerto_Detalhado!$C$2:$C$433,"Umidade"))*(SUMIFS(Acerto_Detalhado!$I$2:$I$433,Acerto_Detalhado!$A$2:$A$433,$D2915,Acerto_Detalhado!$B$2:$B$433,"Ago",Acerto_Detalhado!$C$2:$C$433,"Umidade")),2)</f>
        <v>0</v>
      </c>
    </row>
    <row r="2916" customFormat="false" ht="15" hidden="false" customHeight="false" outlineLevel="0" collapsed="false">
      <c r="A2916" s="27" t="s">
        <v>118</v>
      </c>
      <c r="B2916" s="27" t="s">
        <v>110</v>
      </c>
      <c r="C2916" s="27" t="s">
        <v>39</v>
      </c>
      <c r="D2916" s="27" t="s">
        <v>47</v>
      </c>
      <c r="E2916" s="28" t="n">
        <f aca="false">ROUND((SUMIFS(Acerto_Detalhado!$F$2:$F$433,Acerto_Detalhado!$A$2:$A$433,$C2916,Acerto_Detalhado!$B$2:$B$433,"Ago",Acerto_Detalhado!$C$2:$C$433,"Umidade"))*(SUMIFS(Acerto_Detalhado!$I$2:$I$433,Acerto_Detalhado!$A$2:$A$433,$D2916,Acerto_Detalhado!$B$2:$B$433,"Ago",Acerto_Detalhado!$C$2:$C$433,"Umidade")),2)</f>
        <v>0</v>
      </c>
    </row>
    <row r="2917" customFormat="false" ht="15" hidden="false" customHeight="false" outlineLevel="0" collapsed="false">
      <c r="A2917" s="27" t="s">
        <v>118</v>
      </c>
      <c r="B2917" s="27" t="s">
        <v>110</v>
      </c>
      <c r="C2917" s="27" t="s">
        <v>39</v>
      </c>
      <c r="D2917" s="27" t="s">
        <v>48</v>
      </c>
      <c r="E2917" s="28" t="n">
        <f aca="false">ROUND((SUMIFS(Acerto_Detalhado!$F$2:$F$433,Acerto_Detalhado!$A$2:$A$433,$C2917,Acerto_Detalhado!$B$2:$B$433,"Ago",Acerto_Detalhado!$C$2:$C$433,"Umidade"))*(SUMIFS(Acerto_Detalhado!$I$2:$I$433,Acerto_Detalhado!$A$2:$A$433,$D2917,Acerto_Detalhado!$B$2:$B$433,"Ago",Acerto_Detalhado!$C$2:$C$433,"Umidade")),2)</f>
        <v>0</v>
      </c>
    </row>
    <row r="2918" customFormat="false" ht="15" hidden="false" customHeight="false" outlineLevel="0" collapsed="false">
      <c r="A2918" s="27" t="s">
        <v>118</v>
      </c>
      <c r="B2918" s="27" t="s">
        <v>110</v>
      </c>
      <c r="C2918" s="27" t="s">
        <v>39</v>
      </c>
      <c r="D2918" s="27" t="s">
        <v>49</v>
      </c>
      <c r="E2918" s="28" t="n">
        <f aca="false">ROUND((SUMIFS(Acerto_Detalhado!$F$2:$F$433,Acerto_Detalhado!$A$2:$A$433,$C2918,Acerto_Detalhado!$B$2:$B$433,"Ago",Acerto_Detalhado!$C$2:$C$433,"Umidade"))*(SUMIFS(Acerto_Detalhado!$I$2:$I$433,Acerto_Detalhado!$A$2:$A$433,$D2918,Acerto_Detalhado!$B$2:$B$433,"Ago",Acerto_Detalhado!$C$2:$C$433,"Umidade")),2)</f>
        <v>0</v>
      </c>
    </row>
    <row r="2919" customFormat="false" ht="15" hidden="false" customHeight="false" outlineLevel="0" collapsed="false">
      <c r="A2919" s="27" t="s">
        <v>118</v>
      </c>
      <c r="B2919" s="27" t="s">
        <v>110</v>
      </c>
      <c r="C2919" s="27" t="s">
        <v>39</v>
      </c>
      <c r="D2919" s="27" t="s">
        <v>50</v>
      </c>
      <c r="E2919" s="28" t="n">
        <f aca="false">ROUND((SUMIFS(Acerto_Detalhado!$F$2:$F$433,Acerto_Detalhado!$A$2:$A$433,$C2919,Acerto_Detalhado!$B$2:$B$433,"Ago",Acerto_Detalhado!$C$2:$C$433,"Umidade"))*(SUMIFS(Acerto_Detalhado!$I$2:$I$433,Acerto_Detalhado!$A$2:$A$433,$D2919,Acerto_Detalhado!$B$2:$B$433,"Ago",Acerto_Detalhado!$C$2:$C$433,"Umidade")),2)</f>
        <v>0</v>
      </c>
    </row>
    <row r="2920" customFormat="false" ht="15" hidden="false" customHeight="false" outlineLevel="0" collapsed="false">
      <c r="A2920" s="27" t="s">
        <v>118</v>
      </c>
      <c r="B2920" s="27" t="s">
        <v>110</v>
      </c>
      <c r="C2920" s="27" t="s">
        <v>40</v>
      </c>
      <c r="D2920" s="27" t="s">
        <v>39</v>
      </c>
      <c r="E2920" s="28" t="n">
        <f aca="false">ROUND((SUMIFS(Acerto_Detalhado!$F$2:$F$433,Acerto_Detalhado!$A$2:$A$433,$C2920,Acerto_Detalhado!$B$2:$B$433,"Ago",Acerto_Detalhado!$C$2:$C$433,"Umidade"))*(SUMIFS(Acerto_Detalhado!$I$2:$I$433,Acerto_Detalhado!$A$2:$A$433,$D2920,Acerto_Detalhado!$B$2:$B$433,"Ago",Acerto_Detalhado!$C$2:$C$433,"Umidade")),2)</f>
        <v>0</v>
      </c>
    </row>
    <row r="2921" customFormat="false" ht="15" hidden="false" customHeight="false" outlineLevel="0" collapsed="false">
      <c r="A2921" s="27" t="s">
        <v>118</v>
      </c>
      <c r="B2921" s="27" t="s">
        <v>110</v>
      </c>
      <c r="C2921" s="27" t="s">
        <v>40</v>
      </c>
      <c r="D2921" s="27" t="s">
        <v>41</v>
      </c>
      <c r="E2921" s="28" t="n">
        <f aca="false">ROUND((SUMIFS(Acerto_Detalhado!$F$2:$F$433,Acerto_Detalhado!$A$2:$A$433,$C2921,Acerto_Detalhado!$B$2:$B$433,"Ago",Acerto_Detalhado!$C$2:$C$433,"Umidade"))*(SUMIFS(Acerto_Detalhado!$I$2:$I$433,Acerto_Detalhado!$A$2:$A$433,$D2921,Acerto_Detalhado!$B$2:$B$433,"Ago",Acerto_Detalhado!$C$2:$C$433,"Umidade")),2)</f>
        <v>0</v>
      </c>
    </row>
    <row r="2922" customFormat="false" ht="15" hidden="false" customHeight="false" outlineLevel="0" collapsed="false">
      <c r="A2922" s="27" t="s">
        <v>118</v>
      </c>
      <c r="B2922" s="27" t="s">
        <v>110</v>
      </c>
      <c r="C2922" s="27" t="s">
        <v>40</v>
      </c>
      <c r="D2922" s="27" t="s">
        <v>42</v>
      </c>
      <c r="E2922" s="28" t="n">
        <f aca="false">ROUND((SUMIFS(Acerto_Detalhado!$F$2:$F$433,Acerto_Detalhado!$A$2:$A$433,$C2922,Acerto_Detalhado!$B$2:$B$433,"Ago",Acerto_Detalhado!$C$2:$C$433,"Umidade"))*(SUMIFS(Acerto_Detalhado!$I$2:$I$433,Acerto_Detalhado!$A$2:$A$433,$D2922,Acerto_Detalhado!$B$2:$B$433,"Ago",Acerto_Detalhado!$C$2:$C$433,"Umidade")),2)</f>
        <v>0</v>
      </c>
    </row>
    <row r="2923" customFormat="false" ht="15" hidden="false" customHeight="false" outlineLevel="0" collapsed="false">
      <c r="A2923" s="27" t="s">
        <v>118</v>
      </c>
      <c r="B2923" s="27" t="s">
        <v>110</v>
      </c>
      <c r="C2923" s="27" t="s">
        <v>40</v>
      </c>
      <c r="D2923" s="27" t="s">
        <v>43</v>
      </c>
      <c r="E2923" s="28" t="n">
        <f aca="false">ROUND((SUMIFS(Acerto_Detalhado!$F$2:$F$433,Acerto_Detalhado!$A$2:$A$433,$C2923,Acerto_Detalhado!$B$2:$B$433,"Ago",Acerto_Detalhado!$C$2:$C$433,"Umidade"))*(SUMIFS(Acerto_Detalhado!$I$2:$I$433,Acerto_Detalhado!$A$2:$A$433,$D2923,Acerto_Detalhado!$B$2:$B$433,"Ago",Acerto_Detalhado!$C$2:$C$433,"Umidade")),2)</f>
        <v>0</v>
      </c>
    </row>
    <row r="2924" customFormat="false" ht="15" hidden="false" customHeight="false" outlineLevel="0" collapsed="false">
      <c r="A2924" s="27" t="s">
        <v>118</v>
      </c>
      <c r="B2924" s="27" t="s">
        <v>110</v>
      </c>
      <c r="C2924" s="27" t="s">
        <v>40</v>
      </c>
      <c r="D2924" s="27" t="s">
        <v>44</v>
      </c>
      <c r="E2924" s="28" t="n">
        <f aca="false">ROUND((SUMIFS(Acerto_Detalhado!$F$2:$F$433,Acerto_Detalhado!$A$2:$A$433,$C2924,Acerto_Detalhado!$B$2:$B$433,"Ago",Acerto_Detalhado!$C$2:$C$433,"Umidade"))*(SUMIFS(Acerto_Detalhado!$I$2:$I$433,Acerto_Detalhado!$A$2:$A$433,$D2924,Acerto_Detalhado!$B$2:$B$433,"Ago",Acerto_Detalhado!$C$2:$C$433,"Umidade")),2)</f>
        <v>0</v>
      </c>
    </row>
    <row r="2925" customFormat="false" ht="15" hidden="false" customHeight="false" outlineLevel="0" collapsed="false">
      <c r="A2925" s="27" t="s">
        <v>118</v>
      </c>
      <c r="B2925" s="27" t="s">
        <v>110</v>
      </c>
      <c r="C2925" s="27" t="s">
        <v>40</v>
      </c>
      <c r="D2925" s="27" t="s">
        <v>45</v>
      </c>
      <c r="E2925" s="28" t="n">
        <f aca="false">ROUND((SUMIFS(Acerto_Detalhado!$F$2:$F$433,Acerto_Detalhado!$A$2:$A$433,$C2925,Acerto_Detalhado!$B$2:$B$433,"Ago",Acerto_Detalhado!$C$2:$C$433,"Umidade"))*(SUMIFS(Acerto_Detalhado!$I$2:$I$433,Acerto_Detalhado!$A$2:$A$433,$D2925,Acerto_Detalhado!$B$2:$B$433,"Ago",Acerto_Detalhado!$C$2:$C$433,"Umidade")),2)</f>
        <v>0</v>
      </c>
    </row>
    <row r="2926" customFormat="false" ht="15" hidden="false" customHeight="false" outlineLevel="0" collapsed="false">
      <c r="A2926" s="27" t="s">
        <v>118</v>
      </c>
      <c r="B2926" s="27" t="s">
        <v>110</v>
      </c>
      <c r="C2926" s="27" t="s">
        <v>40</v>
      </c>
      <c r="D2926" s="27" t="s">
        <v>46</v>
      </c>
      <c r="E2926" s="28" t="n">
        <f aca="false">ROUND((SUMIFS(Acerto_Detalhado!$F$2:$F$433,Acerto_Detalhado!$A$2:$A$433,$C2926,Acerto_Detalhado!$B$2:$B$433,"Ago",Acerto_Detalhado!$C$2:$C$433,"Umidade"))*(SUMIFS(Acerto_Detalhado!$I$2:$I$433,Acerto_Detalhado!$A$2:$A$433,$D2926,Acerto_Detalhado!$B$2:$B$433,"Ago",Acerto_Detalhado!$C$2:$C$433,"Umidade")),2)</f>
        <v>0</v>
      </c>
    </row>
    <row r="2927" customFormat="false" ht="15" hidden="false" customHeight="false" outlineLevel="0" collapsed="false">
      <c r="A2927" s="27" t="s">
        <v>118</v>
      </c>
      <c r="B2927" s="27" t="s">
        <v>110</v>
      </c>
      <c r="C2927" s="27" t="s">
        <v>40</v>
      </c>
      <c r="D2927" s="27" t="s">
        <v>47</v>
      </c>
      <c r="E2927" s="28" t="n">
        <f aca="false">ROUND((SUMIFS(Acerto_Detalhado!$F$2:$F$433,Acerto_Detalhado!$A$2:$A$433,$C2927,Acerto_Detalhado!$B$2:$B$433,"Ago",Acerto_Detalhado!$C$2:$C$433,"Umidade"))*(SUMIFS(Acerto_Detalhado!$I$2:$I$433,Acerto_Detalhado!$A$2:$A$433,$D2927,Acerto_Detalhado!$B$2:$B$433,"Ago",Acerto_Detalhado!$C$2:$C$433,"Umidade")),2)</f>
        <v>0</v>
      </c>
    </row>
    <row r="2928" customFormat="false" ht="15" hidden="false" customHeight="false" outlineLevel="0" collapsed="false">
      <c r="A2928" s="27" t="s">
        <v>118</v>
      </c>
      <c r="B2928" s="27" t="s">
        <v>110</v>
      </c>
      <c r="C2928" s="27" t="s">
        <v>40</v>
      </c>
      <c r="D2928" s="27" t="s">
        <v>48</v>
      </c>
      <c r="E2928" s="28" t="n">
        <f aca="false">ROUND((SUMIFS(Acerto_Detalhado!$F$2:$F$433,Acerto_Detalhado!$A$2:$A$433,$C2928,Acerto_Detalhado!$B$2:$B$433,"Ago",Acerto_Detalhado!$C$2:$C$433,"Umidade"))*(SUMIFS(Acerto_Detalhado!$I$2:$I$433,Acerto_Detalhado!$A$2:$A$433,$D2928,Acerto_Detalhado!$B$2:$B$433,"Ago",Acerto_Detalhado!$C$2:$C$433,"Umidade")),2)</f>
        <v>0</v>
      </c>
    </row>
    <row r="2929" customFormat="false" ht="15" hidden="false" customHeight="false" outlineLevel="0" collapsed="false">
      <c r="A2929" s="27" t="s">
        <v>118</v>
      </c>
      <c r="B2929" s="27" t="s">
        <v>110</v>
      </c>
      <c r="C2929" s="27" t="s">
        <v>40</v>
      </c>
      <c r="D2929" s="27" t="s">
        <v>49</v>
      </c>
      <c r="E2929" s="28" t="n">
        <f aca="false">ROUND((SUMIFS(Acerto_Detalhado!$F$2:$F$433,Acerto_Detalhado!$A$2:$A$433,$C2929,Acerto_Detalhado!$B$2:$B$433,"Ago",Acerto_Detalhado!$C$2:$C$433,"Umidade"))*(SUMIFS(Acerto_Detalhado!$I$2:$I$433,Acerto_Detalhado!$A$2:$A$433,$D2929,Acerto_Detalhado!$B$2:$B$433,"Ago",Acerto_Detalhado!$C$2:$C$433,"Umidade")),2)</f>
        <v>0</v>
      </c>
    </row>
    <row r="2930" customFormat="false" ht="15" hidden="false" customHeight="false" outlineLevel="0" collapsed="false">
      <c r="A2930" s="27" t="s">
        <v>118</v>
      </c>
      <c r="B2930" s="27" t="s">
        <v>110</v>
      </c>
      <c r="C2930" s="27" t="s">
        <v>40</v>
      </c>
      <c r="D2930" s="27" t="s">
        <v>50</v>
      </c>
      <c r="E2930" s="28" t="n">
        <f aca="false">ROUND((SUMIFS(Acerto_Detalhado!$F$2:$F$433,Acerto_Detalhado!$A$2:$A$433,$C2930,Acerto_Detalhado!$B$2:$B$433,"Ago",Acerto_Detalhado!$C$2:$C$433,"Umidade"))*(SUMIFS(Acerto_Detalhado!$I$2:$I$433,Acerto_Detalhado!$A$2:$A$433,$D2930,Acerto_Detalhado!$B$2:$B$433,"Ago",Acerto_Detalhado!$C$2:$C$433,"Umidade")),2)</f>
        <v>0</v>
      </c>
    </row>
    <row r="2931" customFormat="false" ht="15" hidden="false" customHeight="false" outlineLevel="0" collapsed="false">
      <c r="A2931" s="27" t="s">
        <v>118</v>
      </c>
      <c r="B2931" s="27" t="s">
        <v>110</v>
      </c>
      <c r="C2931" s="27" t="s">
        <v>41</v>
      </c>
      <c r="D2931" s="27" t="s">
        <v>39</v>
      </c>
      <c r="E2931" s="28" t="n">
        <f aca="false">ROUND((SUMIFS(Acerto_Detalhado!$F$2:$F$433,Acerto_Detalhado!$A$2:$A$433,$C2931,Acerto_Detalhado!$B$2:$B$433,"Ago",Acerto_Detalhado!$C$2:$C$433,"Umidade"))*(SUMIFS(Acerto_Detalhado!$I$2:$I$433,Acerto_Detalhado!$A$2:$A$433,$D2931,Acerto_Detalhado!$B$2:$B$433,"Ago",Acerto_Detalhado!$C$2:$C$433,"Umidade")),2)</f>
        <v>0</v>
      </c>
    </row>
    <row r="2932" customFormat="false" ht="15" hidden="false" customHeight="false" outlineLevel="0" collapsed="false">
      <c r="A2932" s="27" t="s">
        <v>118</v>
      </c>
      <c r="B2932" s="27" t="s">
        <v>110</v>
      </c>
      <c r="C2932" s="27" t="s">
        <v>41</v>
      </c>
      <c r="D2932" s="27" t="s">
        <v>40</v>
      </c>
      <c r="E2932" s="28" t="n">
        <f aca="false">ROUND((SUMIFS(Acerto_Detalhado!$F$2:$F$433,Acerto_Detalhado!$A$2:$A$433,$C2932,Acerto_Detalhado!$B$2:$B$433,"Ago",Acerto_Detalhado!$C$2:$C$433,"Umidade"))*(SUMIFS(Acerto_Detalhado!$I$2:$I$433,Acerto_Detalhado!$A$2:$A$433,$D2932,Acerto_Detalhado!$B$2:$B$433,"Ago",Acerto_Detalhado!$C$2:$C$433,"Umidade")),2)</f>
        <v>0</v>
      </c>
    </row>
    <row r="2933" customFormat="false" ht="15" hidden="false" customHeight="false" outlineLevel="0" collapsed="false">
      <c r="A2933" s="27" t="s">
        <v>118</v>
      </c>
      <c r="B2933" s="27" t="s">
        <v>110</v>
      </c>
      <c r="C2933" s="27" t="s">
        <v>41</v>
      </c>
      <c r="D2933" s="27" t="s">
        <v>42</v>
      </c>
      <c r="E2933" s="28" t="n">
        <f aca="false">ROUND((SUMIFS(Acerto_Detalhado!$F$2:$F$433,Acerto_Detalhado!$A$2:$A$433,$C2933,Acerto_Detalhado!$B$2:$B$433,"Ago",Acerto_Detalhado!$C$2:$C$433,"Umidade"))*(SUMIFS(Acerto_Detalhado!$I$2:$I$433,Acerto_Detalhado!$A$2:$A$433,$D2933,Acerto_Detalhado!$B$2:$B$433,"Ago",Acerto_Detalhado!$C$2:$C$433,"Umidade")),2)</f>
        <v>0</v>
      </c>
    </row>
    <row r="2934" customFormat="false" ht="15" hidden="false" customHeight="false" outlineLevel="0" collapsed="false">
      <c r="A2934" s="27" t="s">
        <v>118</v>
      </c>
      <c r="B2934" s="27" t="s">
        <v>110</v>
      </c>
      <c r="C2934" s="27" t="s">
        <v>41</v>
      </c>
      <c r="D2934" s="27" t="s">
        <v>43</v>
      </c>
      <c r="E2934" s="28" t="n">
        <f aca="false">ROUND((SUMIFS(Acerto_Detalhado!$F$2:$F$433,Acerto_Detalhado!$A$2:$A$433,$C2934,Acerto_Detalhado!$B$2:$B$433,"Ago",Acerto_Detalhado!$C$2:$C$433,"Umidade"))*(SUMIFS(Acerto_Detalhado!$I$2:$I$433,Acerto_Detalhado!$A$2:$A$433,$D2934,Acerto_Detalhado!$B$2:$B$433,"Ago",Acerto_Detalhado!$C$2:$C$433,"Umidade")),2)</f>
        <v>0</v>
      </c>
    </row>
    <row r="2935" customFormat="false" ht="15" hidden="false" customHeight="false" outlineLevel="0" collapsed="false">
      <c r="A2935" s="27" t="s">
        <v>118</v>
      </c>
      <c r="B2935" s="27" t="s">
        <v>110</v>
      </c>
      <c r="C2935" s="27" t="s">
        <v>41</v>
      </c>
      <c r="D2935" s="27" t="s">
        <v>44</v>
      </c>
      <c r="E2935" s="28" t="n">
        <f aca="false">ROUND((SUMIFS(Acerto_Detalhado!$F$2:$F$433,Acerto_Detalhado!$A$2:$A$433,$C2935,Acerto_Detalhado!$B$2:$B$433,"Ago",Acerto_Detalhado!$C$2:$C$433,"Umidade"))*(SUMIFS(Acerto_Detalhado!$I$2:$I$433,Acerto_Detalhado!$A$2:$A$433,$D2935,Acerto_Detalhado!$B$2:$B$433,"Ago",Acerto_Detalhado!$C$2:$C$433,"Umidade")),2)</f>
        <v>0</v>
      </c>
    </row>
    <row r="2936" customFormat="false" ht="15" hidden="false" customHeight="false" outlineLevel="0" collapsed="false">
      <c r="A2936" s="27" t="s">
        <v>118</v>
      </c>
      <c r="B2936" s="27" t="s">
        <v>110</v>
      </c>
      <c r="C2936" s="27" t="s">
        <v>41</v>
      </c>
      <c r="D2936" s="27" t="s">
        <v>45</v>
      </c>
      <c r="E2936" s="28" t="n">
        <f aca="false">ROUND((SUMIFS(Acerto_Detalhado!$F$2:$F$433,Acerto_Detalhado!$A$2:$A$433,$C2936,Acerto_Detalhado!$B$2:$B$433,"Ago",Acerto_Detalhado!$C$2:$C$433,"Umidade"))*(SUMIFS(Acerto_Detalhado!$I$2:$I$433,Acerto_Detalhado!$A$2:$A$433,$D2936,Acerto_Detalhado!$B$2:$B$433,"Ago",Acerto_Detalhado!$C$2:$C$433,"Umidade")),2)</f>
        <v>0</v>
      </c>
    </row>
    <row r="2937" customFormat="false" ht="15" hidden="false" customHeight="false" outlineLevel="0" collapsed="false">
      <c r="A2937" s="27" t="s">
        <v>118</v>
      </c>
      <c r="B2937" s="27" t="s">
        <v>110</v>
      </c>
      <c r="C2937" s="27" t="s">
        <v>41</v>
      </c>
      <c r="D2937" s="27" t="s">
        <v>46</v>
      </c>
      <c r="E2937" s="28" t="n">
        <f aca="false">ROUND((SUMIFS(Acerto_Detalhado!$F$2:$F$433,Acerto_Detalhado!$A$2:$A$433,$C2937,Acerto_Detalhado!$B$2:$B$433,"Ago",Acerto_Detalhado!$C$2:$C$433,"Umidade"))*(SUMIFS(Acerto_Detalhado!$I$2:$I$433,Acerto_Detalhado!$A$2:$A$433,$D2937,Acerto_Detalhado!$B$2:$B$433,"Ago",Acerto_Detalhado!$C$2:$C$433,"Umidade")),2)</f>
        <v>0</v>
      </c>
    </row>
    <row r="2938" customFormat="false" ht="15" hidden="false" customHeight="false" outlineLevel="0" collapsed="false">
      <c r="A2938" s="27" t="s">
        <v>118</v>
      </c>
      <c r="B2938" s="27" t="s">
        <v>110</v>
      </c>
      <c r="C2938" s="27" t="s">
        <v>41</v>
      </c>
      <c r="D2938" s="27" t="s">
        <v>47</v>
      </c>
      <c r="E2938" s="28" t="n">
        <f aca="false">ROUND((SUMIFS(Acerto_Detalhado!$F$2:$F$433,Acerto_Detalhado!$A$2:$A$433,$C2938,Acerto_Detalhado!$B$2:$B$433,"Ago",Acerto_Detalhado!$C$2:$C$433,"Umidade"))*(SUMIFS(Acerto_Detalhado!$I$2:$I$433,Acerto_Detalhado!$A$2:$A$433,$D2938,Acerto_Detalhado!$B$2:$B$433,"Ago",Acerto_Detalhado!$C$2:$C$433,"Umidade")),2)</f>
        <v>0</v>
      </c>
    </row>
    <row r="2939" customFormat="false" ht="15" hidden="false" customHeight="false" outlineLevel="0" collapsed="false">
      <c r="A2939" s="27" t="s">
        <v>118</v>
      </c>
      <c r="B2939" s="27" t="s">
        <v>110</v>
      </c>
      <c r="C2939" s="27" t="s">
        <v>41</v>
      </c>
      <c r="D2939" s="27" t="s">
        <v>48</v>
      </c>
      <c r="E2939" s="28" t="n">
        <f aca="false">ROUND((SUMIFS(Acerto_Detalhado!$F$2:$F$433,Acerto_Detalhado!$A$2:$A$433,$C2939,Acerto_Detalhado!$B$2:$B$433,"Ago",Acerto_Detalhado!$C$2:$C$433,"Umidade"))*(SUMIFS(Acerto_Detalhado!$I$2:$I$433,Acerto_Detalhado!$A$2:$A$433,$D2939,Acerto_Detalhado!$B$2:$B$433,"Ago",Acerto_Detalhado!$C$2:$C$433,"Umidade")),2)</f>
        <v>0</v>
      </c>
    </row>
    <row r="2940" customFormat="false" ht="15" hidden="false" customHeight="false" outlineLevel="0" collapsed="false">
      <c r="A2940" s="27" t="s">
        <v>118</v>
      </c>
      <c r="B2940" s="27" t="s">
        <v>110</v>
      </c>
      <c r="C2940" s="27" t="s">
        <v>41</v>
      </c>
      <c r="D2940" s="27" t="s">
        <v>49</v>
      </c>
      <c r="E2940" s="28" t="n">
        <f aca="false">ROUND((SUMIFS(Acerto_Detalhado!$F$2:$F$433,Acerto_Detalhado!$A$2:$A$433,$C2940,Acerto_Detalhado!$B$2:$B$433,"Ago",Acerto_Detalhado!$C$2:$C$433,"Umidade"))*(SUMIFS(Acerto_Detalhado!$I$2:$I$433,Acerto_Detalhado!$A$2:$A$433,$D2940,Acerto_Detalhado!$B$2:$B$433,"Ago",Acerto_Detalhado!$C$2:$C$433,"Umidade")),2)</f>
        <v>0</v>
      </c>
    </row>
    <row r="2941" customFormat="false" ht="15" hidden="false" customHeight="false" outlineLevel="0" collapsed="false">
      <c r="A2941" s="27" t="s">
        <v>118</v>
      </c>
      <c r="B2941" s="27" t="s">
        <v>110</v>
      </c>
      <c r="C2941" s="27" t="s">
        <v>41</v>
      </c>
      <c r="D2941" s="27" t="s">
        <v>50</v>
      </c>
      <c r="E2941" s="28" t="n">
        <f aca="false">ROUND((SUMIFS(Acerto_Detalhado!$F$2:$F$433,Acerto_Detalhado!$A$2:$A$433,$C2941,Acerto_Detalhado!$B$2:$B$433,"Ago",Acerto_Detalhado!$C$2:$C$433,"Umidade"))*(SUMIFS(Acerto_Detalhado!$I$2:$I$433,Acerto_Detalhado!$A$2:$A$433,$D2941,Acerto_Detalhado!$B$2:$B$433,"Ago",Acerto_Detalhado!$C$2:$C$433,"Umidade")),2)</f>
        <v>0</v>
      </c>
    </row>
    <row r="2942" customFormat="false" ht="15" hidden="false" customHeight="false" outlineLevel="0" collapsed="false">
      <c r="A2942" s="27" t="s">
        <v>118</v>
      </c>
      <c r="B2942" s="27" t="s">
        <v>110</v>
      </c>
      <c r="C2942" s="27" t="s">
        <v>42</v>
      </c>
      <c r="D2942" s="27" t="s">
        <v>39</v>
      </c>
      <c r="E2942" s="28" t="n">
        <f aca="false">ROUND((SUMIFS(Acerto_Detalhado!$F$2:$F$433,Acerto_Detalhado!$A$2:$A$433,$C2942,Acerto_Detalhado!$B$2:$B$433,"Ago",Acerto_Detalhado!$C$2:$C$433,"Umidade"))*(SUMIFS(Acerto_Detalhado!$I$2:$I$433,Acerto_Detalhado!$A$2:$A$433,$D2942,Acerto_Detalhado!$B$2:$B$433,"Ago",Acerto_Detalhado!$C$2:$C$433,"Umidade")),2)</f>
        <v>0</v>
      </c>
    </row>
    <row r="2943" customFormat="false" ht="15" hidden="false" customHeight="false" outlineLevel="0" collapsed="false">
      <c r="A2943" s="27" t="s">
        <v>118</v>
      </c>
      <c r="B2943" s="27" t="s">
        <v>110</v>
      </c>
      <c r="C2943" s="27" t="s">
        <v>42</v>
      </c>
      <c r="D2943" s="27" t="s">
        <v>40</v>
      </c>
      <c r="E2943" s="28" t="n">
        <f aca="false">ROUND((SUMIFS(Acerto_Detalhado!$F$2:$F$433,Acerto_Detalhado!$A$2:$A$433,$C2943,Acerto_Detalhado!$B$2:$B$433,"Ago",Acerto_Detalhado!$C$2:$C$433,"Umidade"))*(SUMIFS(Acerto_Detalhado!$I$2:$I$433,Acerto_Detalhado!$A$2:$A$433,$D2943,Acerto_Detalhado!$B$2:$B$433,"Ago",Acerto_Detalhado!$C$2:$C$433,"Umidade")),2)</f>
        <v>0</v>
      </c>
    </row>
    <row r="2944" customFormat="false" ht="15" hidden="false" customHeight="false" outlineLevel="0" collapsed="false">
      <c r="A2944" s="27" t="s">
        <v>118</v>
      </c>
      <c r="B2944" s="27" t="s">
        <v>110</v>
      </c>
      <c r="C2944" s="27" t="s">
        <v>42</v>
      </c>
      <c r="D2944" s="27" t="s">
        <v>41</v>
      </c>
      <c r="E2944" s="28" t="n">
        <f aca="false">ROUND((SUMIFS(Acerto_Detalhado!$F$2:$F$433,Acerto_Detalhado!$A$2:$A$433,$C2944,Acerto_Detalhado!$B$2:$B$433,"Ago",Acerto_Detalhado!$C$2:$C$433,"Umidade"))*(SUMIFS(Acerto_Detalhado!$I$2:$I$433,Acerto_Detalhado!$A$2:$A$433,$D2944,Acerto_Detalhado!$B$2:$B$433,"Ago",Acerto_Detalhado!$C$2:$C$433,"Umidade")),2)</f>
        <v>0</v>
      </c>
    </row>
    <row r="2945" customFormat="false" ht="15" hidden="false" customHeight="false" outlineLevel="0" collapsed="false">
      <c r="A2945" s="27" t="s">
        <v>118</v>
      </c>
      <c r="B2945" s="27" t="s">
        <v>110</v>
      </c>
      <c r="C2945" s="27" t="s">
        <v>42</v>
      </c>
      <c r="D2945" s="27" t="s">
        <v>43</v>
      </c>
      <c r="E2945" s="28" t="n">
        <f aca="false">ROUND((SUMIFS(Acerto_Detalhado!$F$2:$F$433,Acerto_Detalhado!$A$2:$A$433,$C2945,Acerto_Detalhado!$B$2:$B$433,"Ago",Acerto_Detalhado!$C$2:$C$433,"Umidade"))*(SUMIFS(Acerto_Detalhado!$I$2:$I$433,Acerto_Detalhado!$A$2:$A$433,$D2945,Acerto_Detalhado!$B$2:$B$433,"Ago",Acerto_Detalhado!$C$2:$C$433,"Umidade")),2)</f>
        <v>0</v>
      </c>
    </row>
    <row r="2946" customFormat="false" ht="15" hidden="false" customHeight="false" outlineLevel="0" collapsed="false">
      <c r="A2946" s="27" t="s">
        <v>118</v>
      </c>
      <c r="B2946" s="27" t="s">
        <v>110</v>
      </c>
      <c r="C2946" s="27" t="s">
        <v>42</v>
      </c>
      <c r="D2946" s="27" t="s">
        <v>44</v>
      </c>
      <c r="E2946" s="28" t="n">
        <f aca="false">ROUND((SUMIFS(Acerto_Detalhado!$F$2:$F$433,Acerto_Detalhado!$A$2:$A$433,$C2946,Acerto_Detalhado!$B$2:$B$433,"Ago",Acerto_Detalhado!$C$2:$C$433,"Umidade"))*(SUMIFS(Acerto_Detalhado!$I$2:$I$433,Acerto_Detalhado!$A$2:$A$433,$D2946,Acerto_Detalhado!$B$2:$B$433,"Ago",Acerto_Detalhado!$C$2:$C$433,"Umidade")),2)</f>
        <v>0</v>
      </c>
    </row>
    <row r="2947" customFormat="false" ht="15" hidden="false" customHeight="false" outlineLevel="0" collapsed="false">
      <c r="A2947" s="27" t="s">
        <v>118</v>
      </c>
      <c r="B2947" s="27" t="s">
        <v>110</v>
      </c>
      <c r="C2947" s="27" t="s">
        <v>42</v>
      </c>
      <c r="D2947" s="27" t="s">
        <v>45</v>
      </c>
      <c r="E2947" s="28" t="n">
        <f aca="false">ROUND((SUMIFS(Acerto_Detalhado!$F$2:$F$433,Acerto_Detalhado!$A$2:$A$433,$C2947,Acerto_Detalhado!$B$2:$B$433,"Ago",Acerto_Detalhado!$C$2:$C$433,"Umidade"))*(SUMIFS(Acerto_Detalhado!$I$2:$I$433,Acerto_Detalhado!$A$2:$A$433,$D2947,Acerto_Detalhado!$B$2:$B$433,"Ago",Acerto_Detalhado!$C$2:$C$433,"Umidade")),2)</f>
        <v>0</v>
      </c>
    </row>
    <row r="2948" customFormat="false" ht="15" hidden="false" customHeight="false" outlineLevel="0" collapsed="false">
      <c r="A2948" s="27" t="s">
        <v>118</v>
      </c>
      <c r="B2948" s="27" t="s">
        <v>110</v>
      </c>
      <c r="C2948" s="27" t="s">
        <v>42</v>
      </c>
      <c r="D2948" s="27" t="s">
        <v>46</v>
      </c>
      <c r="E2948" s="28" t="n">
        <f aca="false">ROUND((SUMIFS(Acerto_Detalhado!$F$2:$F$433,Acerto_Detalhado!$A$2:$A$433,$C2948,Acerto_Detalhado!$B$2:$B$433,"Ago",Acerto_Detalhado!$C$2:$C$433,"Umidade"))*(SUMIFS(Acerto_Detalhado!$I$2:$I$433,Acerto_Detalhado!$A$2:$A$433,$D2948,Acerto_Detalhado!$B$2:$B$433,"Ago",Acerto_Detalhado!$C$2:$C$433,"Umidade")),2)</f>
        <v>0</v>
      </c>
    </row>
    <row r="2949" customFormat="false" ht="15" hidden="false" customHeight="false" outlineLevel="0" collapsed="false">
      <c r="A2949" s="27" t="s">
        <v>118</v>
      </c>
      <c r="B2949" s="27" t="s">
        <v>110</v>
      </c>
      <c r="C2949" s="27" t="s">
        <v>42</v>
      </c>
      <c r="D2949" s="27" t="s">
        <v>47</v>
      </c>
      <c r="E2949" s="28" t="n">
        <f aca="false">ROUND((SUMIFS(Acerto_Detalhado!$F$2:$F$433,Acerto_Detalhado!$A$2:$A$433,$C2949,Acerto_Detalhado!$B$2:$B$433,"Ago",Acerto_Detalhado!$C$2:$C$433,"Umidade"))*(SUMIFS(Acerto_Detalhado!$I$2:$I$433,Acerto_Detalhado!$A$2:$A$433,$D2949,Acerto_Detalhado!$B$2:$B$433,"Ago",Acerto_Detalhado!$C$2:$C$433,"Umidade")),2)</f>
        <v>0</v>
      </c>
    </row>
    <row r="2950" customFormat="false" ht="15" hidden="false" customHeight="false" outlineLevel="0" collapsed="false">
      <c r="A2950" s="27" t="s">
        <v>118</v>
      </c>
      <c r="B2950" s="27" t="s">
        <v>110</v>
      </c>
      <c r="C2950" s="27" t="s">
        <v>42</v>
      </c>
      <c r="D2950" s="27" t="s">
        <v>48</v>
      </c>
      <c r="E2950" s="28" t="n">
        <f aca="false">ROUND((SUMIFS(Acerto_Detalhado!$F$2:$F$433,Acerto_Detalhado!$A$2:$A$433,$C2950,Acerto_Detalhado!$B$2:$B$433,"Ago",Acerto_Detalhado!$C$2:$C$433,"Umidade"))*(SUMIFS(Acerto_Detalhado!$I$2:$I$433,Acerto_Detalhado!$A$2:$A$433,$D2950,Acerto_Detalhado!$B$2:$B$433,"Ago",Acerto_Detalhado!$C$2:$C$433,"Umidade")),2)</f>
        <v>0</v>
      </c>
    </row>
    <row r="2951" customFormat="false" ht="15" hidden="false" customHeight="false" outlineLevel="0" collapsed="false">
      <c r="A2951" s="27" t="s">
        <v>118</v>
      </c>
      <c r="B2951" s="27" t="s">
        <v>110</v>
      </c>
      <c r="C2951" s="27" t="s">
        <v>42</v>
      </c>
      <c r="D2951" s="27" t="s">
        <v>49</v>
      </c>
      <c r="E2951" s="28" t="n">
        <f aca="false">ROUND((SUMIFS(Acerto_Detalhado!$F$2:$F$433,Acerto_Detalhado!$A$2:$A$433,$C2951,Acerto_Detalhado!$B$2:$B$433,"Ago",Acerto_Detalhado!$C$2:$C$433,"Umidade"))*(SUMIFS(Acerto_Detalhado!$I$2:$I$433,Acerto_Detalhado!$A$2:$A$433,$D2951,Acerto_Detalhado!$B$2:$B$433,"Ago",Acerto_Detalhado!$C$2:$C$433,"Umidade")),2)</f>
        <v>0</v>
      </c>
    </row>
    <row r="2952" customFormat="false" ht="15" hidden="false" customHeight="false" outlineLevel="0" collapsed="false">
      <c r="A2952" s="27" t="s">
        <v>118</v>
      </c>
      <c r="B2952" s="27" t="s">
        <v>110</v>
      </c>
      <c r="C2952" s="27" t="s">
        <v>42</v>
      </c>
      <c r="D2952" s="27" t="s">
        <v>50</v>
      </c>
      <c r="E2952" s="28" t="n">
        <f aca="false">ROUND((SUMIFS(Acerto_Detalhado!$F$2:$F$433,Acerto_Detalhado!$A$2:$A$433,$C2952,Acerto_Detalhado!$B$2:$B$433,"Ago",Acerto_Detalhado!$C$2:$C$433,"Umidade"))*(SUMIFS(Acerto_Detalhado!$I$2:$I$433,Acerto_Detalhado!$A$2:$A$433,$D2952,Acerto_Detalhado!$B$2:$B$433,"Ago",Acerto_Detalhado!$C$2:$C$433,"Umidade")),2)</f>
        <v>0</v>
      </c>
    </row>
    <row r="2953" customFormat="false" ht="15" hidden="false" customHeight="false" outlineLevel="0" collapsed="false">
      <c r="A2953" s="27" t="s">
        <v>118</v>
      </c>
      <c r="B2953" s="27" t="s">
        <v>110</v>
      </c>
      <c r="C2953" s="27" t="s">
        <v>43</v>
      </c>
      <c r="D2953" s="27" t="s">
        <v>39</v>
      </c>
      <c r="E2953" s="28" t="n">
        <f aca="false">ROUND((SUMIFS(Acerto_Detalhado!$F$2:$F$433,Acerto_Detalhado!$A$2:$A$433,$C2953,Acerto_Detalhado!$B$2:$B$433,"Ago",Acerto_Detalhado!$C$2:$C$433,"Umidade"))*(SUMIFS(Acerto_Detalhado!$I$2:$I$433,Acerto_Detalhado!$A$2:$A$433,$D2953,Acerto_Detalhado!$B$2:$B$433,"Ago",Acerto_Detalhado!$C$2:$C$433,"Umidade")),2)</f>
        <v>0</v>
      </c>
    </row>
    <row r="2954" customFormat="false" ht="15" hidden="false" customHeight="false" outlineLevel="0" collapsed="false">
      <c r="A2954" s="27" t="s">
        <v>118</v>
      </c>
      <c r="B2954" s="27" t="s">
        <v>110</v>
      </c>
      <c r="C2954" s="27" t="s">
        <v>43</v>
      </c>
      <c r="D2954" s="27" t="s">
        <v>40</v>
      </c>
      <c r="E2954" s="28" t="n">
        <f aca="false">ROUND((SUMIFS(Acerto_Detalhado!$F$2:$F$433,Acerto_Detalhado!$A$2:$A$433,$C2954,Acerto_Detalhado!$B$2:$B$433,"Ago",Acerto_Detalhado!$C$2:$C$433,"Umidade"))*(SUMIFS(Acerto_Detalhado!$I$2:$I$433,Acerto_Detalhado!$A$2:$A$433,$D2954,Acerto_Detalhado!$B$2:$B$433,"Ago",Acerto_Detalhado!$C$2:$C$433,"Umidade")),2)</f>
        <v>0</v>
      </c>
    </row>
    <row r="2955" customFormat="false" ht="15" hidden="false" customHeight="false" outlineLevel="0" collapsed="false">
      <c r="A2955" s="27" t="s">
        <v>118</v>
      </c>
      <c r="B2955" s="27" t="s">
        <v>110</v>
      </c>
      <c r="C2955" s="27" t="s">
        <v>43</v>
      </c>
      <c r="D2955" s="27" t="s">
        <v>41</v>
      </c>
      <c r="E2955" s="28" t="n">
        <f aca="false">ROUND((SUMIFS(Acerto_Detalhado!$F$2:$F$433,Acerto_Detalhado!$A$2:$A$433,$C2955,Acerto_Detalhado!$B$2:$B$433,"Ago",Acerto_Detalhado!$C$2:$C$433,"Umidade"))*(SUMIFS(Acerto_Detalhado!$I$2:$I$433,Acerto_Detalhado!$A$2:$A$433,$D2955,Acerto_Detalhado!$B$2:$B$433,"Ago",Acerto_Detalhado!$C$2:$C$433,"Umidade")),2)</f>
        <v>0</v>
      </c>
    </row>
    <row r="2956" customFormat="false" ht="15" hidden="false" customHeight="false" outlineLevel="0" collapsed="false">
      <c r="A2956" s="27" t="s">
        <v>118</v>
      </c>
      <c r="B2956" s="27" t="s">
        <v>110</v>
      </c>
      <c r="C2956" s="27" t="s">
        <v>43</v>
      </c>
      <c r="D2956" s="27" t="s">
        <v>42</v>
      </c>
      <c r="E2956" s="28" t="n">
        <f aca="false">ROUND((SUMIFS(Acerto_Detalhado!$F$2:$F$433,Acerto_Detalhado!$A$2:$A$433,$C2956,Acerto_Detalhado!$B$2:$B$433,"Ago",Acerto_Detalhado!$C$2:$C$433,"Umidade"))*(SUMIFS(Acerto_Detalhado!$I$2:$I$433,Acerto_Detalhado!$A$2:$A$433,$D2956,Acerto_Detalhado!$B$2:$B$433,"Ago",Acerto_Detalhado!$C$2:$C$433,"Umidade")),2)</f>
        <v>0</v>
      </c>
    </row>
    <row r="2957" customFormat="false" ht="15" hidden="false" customHeight="false" outlineLevel="0" collapsed="false">
      <c r="A2957" s="27" t="s">
        <v>118</v>
      </c>
      <c r="B2957" s="27" t="s">
        <v>110</v>
      </c>
      <c r="C2957" s="27" t="s">
        <v>43</v>
      </c>
      <c r="D2957" s="27" t="s">
        <v>44</v>
      </c>
      <c r="E2957" s="28" t="n">
        <f aca="false">ROUND((SUMIFS(Acerto_Detalhado!$F$2:$F$433,Acerto_Detalhado!$A$2:$A$433,$C2957,Acerto_Detalhado!$B$2:$B$433,"Ago",Acerto_Detalhado!$C$2:$C$433,"Umidade"))*(SUMIFS(Acerto_Detalhado!$I$2:$I$433,Acerto_Detalhado!$A$2:$A$433,$D2957,Acerto_Detalhado!$B$2:$B$433,"Ago",Acerto_Detalhado!$C$2:$C$433,"Umidade")),2)</f>
        <v>0</v>
      </c>
    </row>
    <row r="2958" customFormat="false" ht="15" hidden="false" customHeight="false" outlineLevel="0" collapsed="false">
      <c r="A2958" s="27" t="s">
        <v>118</v>
      </c>
      <c r="B2958" s="27" t="s">
        <v>110</v>
      </c>
      <c r="C2958" s="27" t="s">
        <v>43</v>
      </c>
      <c r="D2958" s="27" t="s">
        <v>45</v>
      </c>
      <c r="E2958" s="28" t="n">
        <f aca="false">ROUND((SUMIFS(Acerto_Detalhado!$F$2:$F$433,Acerto_Detalhado!$A$2:$A$433,$C2958,Acerto_Detalhado!$B$2:$B$433,"Ago",Acerto_Detalhado!$C$2:$C$433,"Umidade"))*(SUMIFS(Acerto_Detalhado!$I$2:$I$433,Acerto_Detalhado!$A$2:$A$433,$D2958,Acerto_Detalhado!$B$2:$B$433,"Ago",Acerto_Detalhado!$C$2:$C$433,"Umidade")),2)</f>
        <v>0</v>
      </c>
    </row>
    <row r="2959" customFormat="false" ht="15" hidden="false" customHeight="false" outlineLevel="0" collapsed="false">
      <c r="A2959" s="27" t="s">
        <v>118</v>
      </c>
      <c r="B2959" s="27" t="s">
        <v>110</v>
      </c>
      <c r="C2959" s="27" t="s">
        <v>43</v>
      </c>
      <c r="D2959" s="27" t="s">
        <v>46</v>
      </c>
      <c r="E2959" s="28" t="n">
        <f aca="false">ROUND((SUMIFS(Acerto_Detalhado!$F$2:$F$433,Acerto_Detalhado!$A$2:$A$433,$C2959,Acerto_Detalhado!$B$2:$B$433,"Ago",Acerto_Detalhado!$C$2:$C$433,"Umidade"))*(SUMIFS(Acerto_Detalhado!$I$2:$I$433,Acerto_Detalhado!$A$2:$A$433,$D2959,Acerto_Detalhado!$B$2:$B$433,"Ago",Acerto_Detalhado!$C$2:$C$433,"Umidade")),2)</f>
        <v>0</v>
      </c>
    </row>
    <row r="2960" customFormat="false" ht="15" hidden="false" customHeight="false" outlineLevel="0" collapsed="false">
      <c r="A2960" s="27" t="s">
        <v>118</v>
      </c>
      <c r="B2960" s="27" t="s">
        <v>110</v>
      </c>
      <c r="C2960" s="27" t="s">
        <v>43</v>
      </c>
      <c r="D2960" s="27" t="s">
        <v>47</v>
      </c>
      <c r="E2960" s="28" t="n">
        <f aca="false">ROUND((SUMIFS(Acerto_Detalhado!$F$2:$F$433,Acerto_Detalhado!$A$2:$A$433,$C2960,Acerto_Detalhado!$B$2:$B$433,"Ago",Acerto_Detalhado!$C$2:$C$433,"Umidade"))*(SUMIFS(Acerto_Detalhado!$I$2:$I$433,Acerto_Detalhado!$A$2:$A$433,$D2960,Acerto_Detalhado!$B$2:$B$433,"Ago",Acerto_Detalhado!$C$2:$C$433,"Umidade")),2)</f>
        <v>0</v>
      </c>
    </row>
    <row r="2961" customFormat="false" ht="15" hidden="false" customHeight="false" outlineLevel="0" collapsed="false">
      <c r="A2961" s="27" t="s">
        <v>118</v>
      </c>
      <c r="B2961" s="27" t="s">
        <v>110</v>
      </c>
      <c r="C2961" s="27" t="s">
        <v>43</v>
      </c>
      <c r="D2961" s="27" t="s">
        <v>48</v>
      </c>
      <c r="E2961" s="28" t="n">
        <f aca="false">ROUND((SUMIFS(Acerto_Detalhado!$F$2:$F$433,Acerto_Detalhado!$A$2:$A$433,$C2961,Acerto_Detalhado!$B$2:$B$433,"Ago",Acerto_Detalhado!$C$2:$C$433,"Umidade"))*(SUMIFS(Acerto_Detalhado!$I$2:$I$433,Acerto_Detalhado!$A$2:$A$433,$D2961,Acerto_Detalhado!$B$2:$B$433,"Ago",Acerto_Detalhado!$C$2:$C$433,"Umidade")),2)</f>
        <v>0</v>
      </c>
    </row>
    <row r="2962" customFormat="false" ht="15" hidden="false" customHeight="false" outlineLevel="0" collapsed="false">
      <c r="A2962" s="27" t="s">
        <v>118</v>
      </c>
      <c r="B2962" s="27" t="s">
        <v>110</v>
      </c>
      <c r="C2962" s="27" t="s">
        <v>43</v>
      </c>
      <c r="D2962" s="27" t="s">
        <v>49</v>
      </c>
      <c r="E2962" s="28" t="n">
        <f aca="false">ROUND((SUMIFS(Acerto_Detalhado!$F$2:$F$433,Acerto_Detalhado!$A$2:$A$433,$C2962,Acerto_Detalhado!$B$2:$B$433,"Ago",Acerto_Detalhado!$C$2:$C$433,"Umidade"))*(SUMIFS(Acerto_Detalhado!$I$2:$I$433,Acerto_Detalhado!$A$2:$A$433,$D2962,Acerto_Detalhado!$B$2:$B$433,"Ago",Acerto_Detalhado!$C$2:$C$433,"Umidade")),2)</f>
        <v>0</v>
      </c>
    </row>
    <row r="2963" customFormat="false" ht="15" hidden="false" customHeight="false" outlineLevel="0" collapsed="false">
      <c r="A2963" s="27" t="s">
        <v>118</v>
      </c>
      <c r="B2963" s="27" t="s">
        <v>110</v>
      </c>
      <c r="C2963" s="27" t="s">
        <v>43</v>
      </c>
      <c r="D2963" s="27" t="s">
        <v>50</v>
      </c>
      <c r="E2963" s="28" t="n">
        <f aca="false">ROUND((SUMIFS(Acerto_Detalhado!$F$2:$F$433,Acerto_Detalhado!$A$2:$A$433,$C2963,Acerto_Detalhado!$B$2:$B$433,"Ago",Acerto_Detalhado!$C$2:$C$433,"Umidade"))*(SUMIFS(Acerto_Detalhado!$I$2:$I$433,Acerto_Detalhado!$A$2:$A$433,$D2963,Acerto_Detalhado!$B$2:$B$433,"Ago",Acerto_Detalhado!$C$2:$C$433,"Umidade")),2)</f>
        <v>0</v>
      </c>
    </row>
    <row r="2964" customFormat="false" ht="15" hidden="false" customHeight="false" outlineLevel="0" collapsed="false">
      <c r="A2964" s="27" t="s">
        <v>118</v>
      </c>
      <c r="B2964" s="27" t="s">
        <v>110</v>
      </c>
      <c r="C2964" s="27" t="s">
        <v>44</v>
      </c>
      <c r="D2964" s="27" t="s">
        <v>39</v>
      </c>
      <c r="E2964" s="28" t="n">
        <f aca="false">ROUND((SUMIFS(Acerto_Detalhado!$F$2:$F$433,Acerto_Detalhado!$A$2:$A$433,$C2964,Acerto_Detalhado!$B$2:$B$433,"Ago",Acerto_Detalhado!$C$2:$C$433,"Umidade"))*(SUMIFS(Acerto_Detalhado!$I$2:$I$433,Acerto_Detalhado!$A$2:$A$433,$D2964,Acerto_Detalhado!$B$2:$B$433,"Ago",Acerto_Detalhado!$C$2:$C$433,"Umidade")),2)</f>
        <v>0</v>
      </c>
    </row>
    <row r="2965" customFormat="false" ht="15" hidden="false" customHeight="false" outlineLevel="0" collapsed="false">
      <c r="A2965" s="27" t="s">
        <v>118</v>
      </c>
      <c r="B2965" s="27" t="s">
        <v>110</v>
      </c>
      <c r="C2965" s="27" t="s">
        <v>44</v>
      </c>
      <c r="D2965" s="27" t="s">
        <v>40</v>
      </c>
      <c r="E2965" s="28" t="n">
        <f aca="false">ROUND((SUMIFS(Acerto_Detalhado!$F$2:$F$433,Acerto_Detalhado!$A$2:$A$433,$C2965,Acerto_Detalhado!$B$2:$B$433,"Ago",Acerto_Detalhado!$C$2:$C$433,"Umidade"))*(SUMIFS(Acerto_Detalhado!$I$2:$I$433,Acerto_Detalhado!$A$2:$A$433,$D2965,Acerto_Detalhado!$B$2:$B$433,"Ago",Acerto_Detalhado!$C$2:$C$433,"Umidade")),2)</f>
        <v>0</v>
      </c>
    </row>
    <row r="2966" customFormat="false" ht="15" hidden="false" customHeight="false" outlineLevel="0" collapsed="false">
      <c r="A2966" s="27" t="s">
        <v>118</v>
      </c>
      <c r="B2966" s="27" t="s">
        <v>110</v>
      </c>
      <c r="C2966" s="27" t="s">
        <v>44</v>
      </c>
      <c r="D2966" s="27" t="s">
        <v>41</v>
      </c>
      <c r="E2966" s="28" t="n">
        <f aca="false">ROUND((SUMIFS(Acerto_Detalhado!$F$2:$F$433,Acerto_Detalhado!$A$2:$A$433,$C2966,Acerto_Detalhado!$B$2:$B$433,"Ago",Acerto_Detalhado!$C$2:$C$433,"Umidade"))*(SUMIFS(Acerto_Detalhado!$I$2:$I$433,Acerto_Detalhado!$A$2:$A$433,$D2966,Acerto_Detalhado!$B$2:$B$433,"Ago",Acerto_Detalhado!$C$2:$C$433,"Umidade")),2)</f>
        <v>0</v>
      </c>
    </row>
    <row r="2967" customFormat="false" ht="15" hidden="false" customHeight="false" outlineLevel="0" collapsed="false">
      <c r="A2967" s="27" t="s">
        <v>118</v>
      </c>
      <c r="B2967" s="27" t="s">
        <v>110</v>
      </c>
      <c r="C2967" s="27" t="s">
        <v>44</v>
      </c>
      <c r="D2967" s="27" t="s">
        <v>42</v>
      </c>
      <c r="E2967" s="28" t="n">
        <f aca="false">ROUND((SUMIFS(Acerto_Detalhado!$F$2:$F$433,Acerto_Detalhado!$A$2:$A$433,$C2967,Acerto_Detalhado!$B$2:$B$433,"Ago",Acerto_Detalhado!$C$2:$C$433,"Umidade"))*(SUMIFS(Acerto_Detalhado!$I$2:$I$433,Acerto_Detalhado!$A$2:$A$433,$D2967,Acerto_Detalhado!$B$2:$B$433,"Ago",Acerto_Detalhado!$C$2:$C$433,"Umidade")),2)</f>
        <v>0</v>
      </c>
    </row>
    <row r="2968" customFormat="false" ht="15" hidden="false" customHeight="false" outlineLevel="0" collapsed="false">
      <c r="A2968" s="27" t="s">
        <v>118</v>
      </c>
      <c r="B2968" s="27" t="s">
        <v>110</v>
      </c>
      <c r="C2968" s="27" t="s">
        <v>44</v>
      </c>
      <c r="D2968" s="27" t="s">
        <v>43</v>
      </c>
      <c r="E2968" s="28" t="n">
        <f aca="false">ROUND((SUMIFS(Acerto_Detalhado!$F$2:$F$433,Acerto_Detalhado!$A$2:$A$433,$C2968,Acerto_Detalhado!$B$2:$B$433,"Ago",Acerto_Detalhado!$C$2:$C$433,"Umidade"))*(SUMIFS(Acerto_Detalhado!$I$2:$I$433,Acerto_Detalhado!$A$2:$A$433,$D2968,Acerto_Detalhado!$B$2:$B$433,"Ago",Acerto_Detalhado!$C$2:$C$433,"Umidade")),2)</f>
        <v>0</v>
      </c>
    </row>
    <row r="2969" customFormat="false" ht="15" hidden="false" customHeight="false" outlineLevel="0" collapsed="false">
      <c r="A2969" s="27" t="s">
        <v>118</v>
      </c>
      <c r="B2969" s="27" t="s">
        <v>110</v>
      </c>
      <c r="C2969" s="27" t="s">
        <v>44</v>
      </c>
      <c r="D2969" s="27" t="s">
        <v>45</v>
      </c>
      <c r="E2969" s="28" t="n">
        <f aca="false">ROUND((SUMIFS(Acerto_Detalhado!$F$2:$F$433,Acerto_Detalhado!$A$2:$A$433,$C2969,Acerto_Detalhado!$B$2:$B$433,"Ago",Acerto_Detalhado!$C$2:$C$433,"Umidade"))*(SUMIFS(Acerto_Detalhado!$I$2:$I$433,Acerto_Detalhado!$A$2:$A$433,$D2969,Acerto_Detalhado!$B$2:$B$433,"Ago",Acerto_Detalhado!$C$2:$C$433,"Umidade")),2)</f>
        <v>0</v>
      </c>
    </row>
    <row r="2970" customFormat="false" ht="15" hidden="false" customHeight="false" outlineLevel="0" collapsed="false">
      <c r="A2970" s="27" t="s">
        <v>118</v>
      </c>
      <c r="B2970" s="27" t="s">
        <v>110</v>
      </c>
      <c r="C2970" s="27" t="s">
        <v>44</v>
      </c>
      <c r="D2970" s="27" t="s">
        <v>46</v>
      </c>
      <c r="E2970" s="28" t="n">
        <f aca="false">ROUND((SUMIFS(Acerto_Detalhado!$F$2:$F$433,Acerto_Detalhado!$A$2:$A$433,$C2970,Acerto_Detalhado!$B$2:$B$433,"Ago",Acerto_Detalhado!$C$2:$C$433,"Umidade"))*(SUMIFS(Acerto_Detalhado!$I$2:$I$433,Acerto_Detalhado!$A$2:$A$433,$D2970,Acerto_Detalhado!$B$2:$B$433,"Ago",Acerto_Detalhado!$C$2:$C$433,"Umidade")),2)</f>
        <v>0</v>
      </c>
    </row>
    <row r="2971" customFormat="false" ht="15" hidden="false" customHeight="false" outlineLevel="0" collapsed="false">
      <c r="A2971" s="27" t="s">
        <v>118</v>
      </c>
      <c r="B2971" s="27" t="s">
        <v>110</v>
      </c>
      <c r="C2971" s="27" t="s">
        <v>44</v>
      </c>
      <c r="D2971" s="27" t="s">
        <v>47</v>
      </c>
      <c r="E2971" s="28" t="n">
        <f aca="false">ROUND((SUMIFS(Acerto_Detalhado!$F$2:$F$433,Acerto_Detalhado!$A$2:$A$433,$C2971,Acerto_Detalhado!$B$2:$B$433,"Ago",Acerto_Detalhado!$C$2:$C$433,"Umidade"))*(SUMIFS(Acerto_Detalhado!$I$2:$I$433,Acerto_Detalhado!$A$2:$A$433,$D2971,Acerto_Detalhado!$B$2:$B$433,"Ago",Acerto_Detalhado!$C$2:$C$433,"Umidade")),2)</f>
        <v>0</v>
      </c>
    </row>
    <row r="2972" customFormat="false" ht="15" hidden="false" customHeight="false" outlineLevel="0" collapsed="false">
      <c r="A2972" s="27" t="s">
        <v>118</v>
      </c>
      <c r="B2972" s="27" t="s">
        <v>110</v>
      </c>
      <c r="C2972" s="27" t="s">
        <v>44</v>
      </c>
      <c r="D2972" s="27" t="s">
        <v>48</v>
      </c>
      <c r="E2972" s="28" t="n">
        <f aca="false">ROUND((SUMIFS(Acerto_Detalhado!$F$2:$F$433,Acerto_Detalhado!$A$2:$A$433,$C2972,Acerto_Detalhado!$B$2:$B$433,"Ago",Acerto_Detalhado!$C$2:$C$433,"Umidade"))*(SUMIFS(Acerto_Detalhado!$I$2:$I$433,Acerto_Detalhado!$A$2:$A$433,$D2972,Acerto_Detalhado!$B$2:$B$433,"Ago",Acerto_Detalhado!$C$2:$C$433,"Umidade")),2)</f>
        <v>0</v>
      </c>
    </row>
    <row r="2973" customFormat="false" ht="15" hidden="false" customHeight="false" outlineLevel="0" collapsed="false">
      <c r="A2973" s="27" t="s">
        <v>118</v>
      </c>
      <c r="B2973" s="27" t="s">
        <v>110</v>
      </c>
      <c r="C2973" s="27" t="s">
        <v>44</v>
      </c>
      <c r="D2973" s="27" t="s">
        <v>49</v>
      </c>
      <c r="E2973" s="28" t="n">
        <f aca="false">ROUND((SUMIFS(Acerto_Detalhado!$F$2:$F$433,Acerto_Detalhado!$A$2:$A$433,$C2973,Acerto_Detalhado!$B$2:$B$433,"Ago",Acerto_Detalhado!$C$2:$C$433,"Umidade"))*(SUMIFS(Acerto_Detalhado!$I$2:$I$433,Acerto_Detalhado!$A$2:$A$433,$D2973,Acerto_Detalhado!$B$2:$B$433,"Ago",Acerto_Detalhado!$C$2:$C$433,"Umidade")),2)</f>
        <v>0</v>
      </c>
    </row>
    <row r="2974" customFormat="false" ht="15" hidden="false" customHeight="false" outlineLevel="0" collapsed="false">
      <c r="A2974" s="27" t="s">
        <v>118</v>
      </c>
      <c r="B2974" s="27" t="s">
        <v>110</v>
      </c>
      <c r="C2974" s="27" t="s">
        <v>44</v>
      </c>
      <c r="D2974" s="27" t="s">
        <v>50</v>
      </c>
      <c r="E2974" s="28" t="n">
        <f aca="false">ROUND((SUMIFS(Acerto_Detalhado!$F$2:$F$433,Acerto_Detalhado!$A$2:$A$433,$C2974,Acerto_Detalhado!$B$2:$B$433,"Ago",Acerto_Detalhado!$C$2:$C$433,"Umidade"))*(SUMIFS(Acerto_Detalhado!$I$2:$I$433,Acerto_Detalhado!$A$2:$A$433,$D2974,Acerto_Detalhado!$B$2:$B$433,"Ago",Acerto_Detalhado!$C$2:$C$433,"Umidade")),2)</f>
        <v>0</v>
      </c>
    </row>
    <row r="2975" customFormat="false" ht="15" hidden="false" customHeight="false" outlineLevel="0" collapsed="false">
      <c r="A2975" s="27" t="s">
        <v>118</v>
      </c>
      <c r="B2975" s="27" t="s">
        <v>110</v>
      </c>
      <c r="C2975" s="27" t="s">
        <v>45</v>
      </c>
      <c r="D2975" s="27" t="s">
        <v>39</v>
      </c>
      <c r="E2975" s="28" t="n">
        <f aca="false">ROUND((SUMIFS(Acerto_Detalhado!$F$2:$F$433,Acerto_Detalhado!$A$2:$A$433,$C2975,Acerto_Detalhado!$B$2:$B$433,"Ago",Acerto_Detalhado!$C$2:$C$433,"Umidade"))*(SUMIFS(Acerto_Detalhado!$I$2:$I$433,Acerto_Detalhado!$A$2:$A$433,$D2975,Acerto_Detalhado!$B$2:$B$433,"Ago",Acerto_Detalhado!$C$2:$C$433,"Umidade")),2)</f>
        <v>0</v>
      </c>
    </row>
    <row r="2976" customFormat="false" ht="15" hidden="false" customHeight="false" outlineLevel="0" collapsed="false">
      <c r="A2976" s="27" t="s">
        <v>118</v>
      </c>
      <c r="B2976" s="27" t="s">
        <v>110</v>
      </c>
      <c r="C2976" s="27" t="s">
        <v>45</v>
      </c>
      <c r="D2976" s="27" t="s">
        <v>40</v>
      </c>
      <c r="E2976" s="28" t="n">
        <f aca="false">ROUND((SUMIFS(Acerto_Detalhado!$F$2:$F$433,Acerto_Detalhado!$A$2:$A$433,$C2976,Acerto_Detalhado!$B$2:$B$433,"Ago",Acerto_Detalhado!$C$2:$C$433,"Umidade"))*(SUMIFS(Acerto_Detalhado!$I$2:$I$433,Acerto_Detalhado!$A$2:$A$433,$D2976,Acerto_Detalhado!$B$2:$B$433,"Ago",Acerto_Detalhado!$C$2:$C$433,"Umidade")),2)</f>
        <v>0</v>
      </c>
    </row>
    <row r="2977" customFormat="false" ht="15" hidden="false" customHeight="false" outlineLevel="0" collapsed="false">
      <c r="A2977" s="27" t="s">
        <v>118</v>
      </c>
      <c r="B2977" s="27" t="s">
        <v>110</v>
      </c>
      <c r="C2977" s="27" t="s">
        <v>45</v>
      </c>
      <c r="D2977" s="27" t="s">
        <v>41</v>
      </c>
      <c r="E2977" s="28" t="n">
        <f aca="false">ROUND((SUMIFS(Acerto_Detalhado!$F$2:$F$433,Acerto_Detalhado!$A$2:$A$433,$C2977,Acerto_Detalhado!$B$2:$B$433,"Ago",Acerto_Detalhado!$C$2:$C$433,"Umidade"))*(SUMIFS(Acerto_Detalhado!$I$2:$I$433,Acerto_Detalhado!$A$2:$A$433,$D2977,Acerto_Detalhado!$B$2:$B$433,"Ago",Acerto_Detalhado!$C$2:$C$433,"Umidade")),2)</f>
        <v>0</v>
      </c>
    </row>
    <row r="2978" customFormat="false" ht="15" hidden="false" customHeight="false" outlineLevel="0" collapsed="false">
      <c r="A2978" s="27" t="s">
        <v>118</v>
      </c>
      <c r="B2978" s="27" t="s">
        <v>110</v>
      </c>
      <c r="C2978" s="27" t="s">
        <v>45</v>
      </c>
      <c r="D2978" s="27" t="s">
        <v>42</v>
      </c>
      <c r="E2978" s="28" t="n">
        <f aca="false">ROUND((SUMIFS(Acerto_Detalhado!$F$2:$F$433,Acerto_Detalhado!$A$2:$A$433,$C2978,Acerto_Detalhado!$B$2:$B$433,"Ago",Acerto_Detalhado!$C$2:$C$433,"Umidade"))*(SUMIFS(Acerto_Detalhado!$I$2:$I$433,Acerto_Detalhado!$A$2:$A$433,$D2978,Acerto_Detalhado!$B$2:$B$433,"Ago",Acerto_Detalhado!$C$2:$C$433,"Umidade")),2)</f>
        <v>0</v>
      </c>
    </row>
    <row r="2979" customFormat="false" ht="15" hidden="false" customHeight="false" outlineLevel="0" collapsed="false">
      <c r="A2979" s="27" t="s">
        <v>118</v>
      </c>
      <c r="B2979" s="27" t="s">
        <v>110</v>
      </c>
      <c r="C2979" s="27" t="s">
        <v>45</v>
      </c>
      <c r="D2979" s="27" t="s">
        <v>43</v>
      </c>
      <c r="E2979" s="28" t="n">
        <f aca="false">ROUND((SUMIFS(Acerto_Detalhado!$F$2:$F$433,Acerto_Detalhado!$A$2:$A$433,$C2979,Acerto_Detalhado!$B$2:$B$433,"Ago",Acerto_Detalhado!$C$2:$C$433,"Umidade"))*(SUMIFS(Acerto_Detalhado!$I$2:$I$433,Acerto_Detalhado!$A$2:$A$433,$D2979,Acerto_Detalhado!$B$2:$B$433,"Ago",Acerto_Detalhado!$C$2:$C$433,"Umidade")),2)</f>
        <v>0</v>
      </c>
    </row>
    <row r="2980" customFormat="false" ht="15" hidden="false" customHeight="false" outlineLevel="0" collapsed="false">
      <c r="A2980" s="27" t="s">
        <v>118</v>
      </c>
      <c r="B2980" s="27" t="s">
        <v>110</v>
      </c>
      <c r="C2980" s="27" t="s">
        <v>45</v>
      </c>
      <c r="D2980" s="27" t="s">
        <v>44</v>
      </c>
      <c r="E2980" s="28" t="n">
        <f aca="false">ROUND((SUMIFS(Acerto_Detalhado!$F$2:$F$433,Acerto_Detalhado!$A$2:$A$433,$C2980,Acerto_Detalhado!$B$2:$B$433,"Ago",Acerto_Detalhado!$C$2:$C$433,"Umidade"))*(SUMIFS(Acerto_Detalhado!$I$2:$I$433,Acerto_Detalhado!$A$2:$A$433,$D2980,Acerto_Detalhado!$B$2:$B$433,"Ago",Acerto_Detalhado!$C$2:$C$433,"Umidade")),2)</f>
        <v>0</v>
      </c>
    </row>
    <row r="2981" customFormat="false" ht="15" hidden="false" customHeight="false" outlineLevel="0" collapsed="false">
      <c r="A2981" s="27" t="s">
        <v>118</v>
      </c>
      <c r="B2981" s="27" t="s">
        <v>110</v>
      </c>
      <c r="C2981" s="27" t="s">
        <v>45</v>
      </c>
      <c r="D2981" s="27" t="s">
        <v>46</v>
      </c>
      <c r="E2981" s="28" t="n">
        <f aca="false">ROUND((SUMIFS(Acerto_Detalhado!$F$2:$F$433,Acerto_Detalhado!$A$2:$A$433,$C2981,Acerto_Detalhado!$B$2:$B$433,"Ago",Acerto_Detalhado!$C$2:$C$433,"Umidade"))*(SUMIFS(Acerto_Detalhado!$I$2:$I$433,Acerto_Detalhado!$A$2:$A$433,$D2981,Acerto_Detalhado!$B$2:$B$433,"Ago",Acerto_Detalhado!$C$2:$C$433,"Umidade")),2)</f>
        <v>0</v>
      </c>
    </row>
    <row r="2982" customFormat="false" ht="15" hidden="false" customHeight="false" outlineLevel="0" collapsed="false">
      <c r="A2982" s="27" t="s">
        <v>118</v>
      </c>
      <c r="B2982" s="27" t="s">
        <v>110</v>
      </c>
      <c r="C2982" s="27" t="s">
        <v>45</v>
      </c>
      <c r="D2982" s="27" t="s">
        <v>47</v>
      </c>
      <c r="E2982" s="28" t="n">
        <f aca="false">ROUND((SUMIFS(Acerto_Detalhado!$F$2:$F$433,Acerto_Detalhado!$A$2:$A$433,$C2982,Acerto_Detalhado!$B$2:$B$433,"Ago",Acerto_Detalhado!$C$2:$C$433,"Umidade"))*(SUMIFS(Acerto_Detalhado!$I$2:$I$433,Acerto_Detalhado!$A$2:$A$433,$D2982,Acerto_Detalhado!$B$2:$B$433,"Ago",Acerto_Detalhado!$C$2:$C$433,"Umidade")),2)</f>
        <v>0</v>
      </c>
    </row>
    <row r="2983" customFormat="false" ht="15" hidden="false" customHeight="false" outlineLevel="0" collapsed="false">
      <c r="A2983" s="27" t="s">
        <v>118</v>
      </c>
      <c r="B2983" s="27" t="s">
        <v>110</v>
      </c>
      <c r="C2983" s="27" t="s">
        <v>45</v>
      </c>
      <c r="D2983" s="27" t="s">
        <v>48</v>
      </c>
      <c r="E2983" s="28" t="n">
        <f aca="false">ROUND((SUMIFS(Acerto_Detalhado!$F$2:$F$433,Acerto_Detalhado!$A$2:$A$433,$C2983,Acerto_Detalhado!$B$2:$B$433,"Ago",Acerto_Detalhado!$C$2:$C$433,"Umidade"))*(SUMIFS(Acerto_Detalhado!$I$2:$I$433,Acerto_Detalhado!$A$2:$A$433,$D2983,Acerto_Detalhado!$B$2:$B$433,"Ago",Acerto_Detalhado!$C$2:$C$433,"Umidade")),2)</f>
        <v>0</v>
      </c>
    </row>
    <row r="2984" customFormat="false" ht="15" hidden="false" customHeight="false" outlineLevel="0" collapsed="false">
      <c r="A2984" s="27" t="s">
        <v>118</v>
      </c>
      <c r="B2984" s="27" t="s">
        <v>110</v>
      </c>
      <c r="C2984" s="27" t="s">
        <v>45</v>
      </c>
      <c r="D2984" s="27" t="s">
        <v>49</v>
      </c>
      <c r="E2984" s="28" t="n">
        <f aca="false">ROUND((SUMIFS(Acerto_Detalhado!$F$2:$F$433,Acerto_Detalhado!$A$2:$A$433,$C2984,Acerto_Detalhado!$B$2:$B$433,"Ago",Acerto_Detalhado!$C$2:$C$433,"Umidade"))*(SUMIFS(Acerto_Detalhado!$I$2:$I$433,Acerto_Detalhado!$A$2:$A$433,$D2984,Acerto_Detalhado!$B$2:$B$433,"Ago",Acerto_Detalhado!$C$2:$C$433,"Umidade")),2)</f>
        <v>0</v>
      </c>
    </row>
    <row r="2985" customFormat="false" ht="15" hidden="false" customHeight="false" outlineLevel="0" collapsed="false">
      <c r="A2985" s="27" t="s">
        <v>118</v>
      </c>
      <c r="B2985" s="27" t="s">
        <v>110</v>
      </c>
      <c r="C2985" s="27" t="s">
        <v>45</v>
      </c>
      <c r="D2985" s="27" t="s">
        <v>50</v>
      </c>
      <c r="E2985" s="28" t="n">
        <f aca="false">ROUND((SUMIFS(Acerto_Detalhado!$F$2:$F$433,Acerto_Detalhado!$A$2:$A$433,$C2985,Acerto_Detalhado!$B$2:$B$433,"Ago",Acerto_Detalhado!$C$2:$C$433,"Umidade"))*(SUMIFS(Acerto_Detalhado!$I$2:$I$433,Acerto_Detalhado!$A$2:$A$433,$D2985,Acerto_Detalhado!$B$2:$B$433,"Ago",Acerto_Detalhado!$C$2:$C$433,"Umidade")),2)</f>
        <v>0</v>
      </c>
    </row>
    <row r="2986" customFormat="false" ht="15" hidden="false" customHeight="false" outlineLevel="0" collapsed="false">
      <c r="A2986" s="27" t="s">
        <v>118</v>
      </c>
      <c r="B2986" s="27" t="s">
        <v>110</v>
      </c>
      <c r="C2986" s="27" t="s">
        <v>46</v>
      </c>
      <c r="D2986" s="27" t="s">
        <v>39</v>
      </c>
      <c r="E2986" s="28" t="n">
        <f aca="false">ROUND((SUMIFS(Acerto_Detalhado!$F$2:$F$433,Acerto_Detalhado!$A$2:$A$433,$C2986,Acerto_Detalhado!$B$2:$B$433,"Ago",Acerto_Detalhado!$C$2:$C$433,"Umidade"))*(SUMIFS(Acerto_Detalhado!$I$2:$I$433,Acerto_Detalhado!$A$2:$A$433,$D2986,Acerto_Detalhado!$B$2:$B$433,"Ago",Acerto_Detalhado!$C$2:$C$433,"Umidade")),2)</f>
        <v>0</v>
      </c>
    </row>
    <row r="2987" customFormat="false" ht="15" hidden="false" customHeight="false" outlineLevel="0" collapsed="false">
      <c r="A2987" s="27" t="s">
        <v>118</v>
      </c>
      <c r="B2987" s="27" t="s">
        <v>110</v>
      </c>
      <c r="C2987" s="27" t="s">
        <v>46</v>
      </c>
      <c r="D2987" s="27" t="s">
        <v>40</v>
      </c>
      <c r="E2987" s="28" t="n">
        <f aca="false">ROUND((SUMIFS(Acerto_Detalhado!$F$2:$F$433,Acerto_Detalhado!$A$2:$A$433,$C2987,Acerto_Detalhado!$B$2:$B$433,"Ago",Acerto_Detalhado!$C$2:$C$433,"Umidade"))*(SUMIFS(Acerto_Detalhado!$I$2:$I$433,Acerto_Detalhado!$A$2:$A$433,$D2987,Acerto_Detalhado!$B$2:$B$433,"Ago",Acerto_Detalhado!$C$2:$C$433,"Umidade")),2)</f>
        <v>0</v>
      </c>
    </row>
    <row r="2988" customFormat="false" ht="15" hidden="false" customHeight="false" outlineLevel="0" collapsed="false">
      <c r="A2988" s="27" t="s">
        <v>118</v>
      </c>
      <c r="B2988" s="27" t="s">
        <v>110</v>
      </c>
      <c r="C2988" s="27" t="s">
        <v>46</v>
      </c>
      <c r="D2988" s="27" t="s">
        <v>41</v>
      </c>
      <c r="E2988" s="28" t="n">
        <f aca="false">ROUND((SUMIFS(Acerto_Detalhado!$F$2:$F$433,Acerto_Detalhado!$A$2:$A$433,$C2988,Acerto_Detalhado!$B$2:$B$433,"Ago",Acerto_Detalhado!$C$2:$C$433,"Umidade"))*(SUMIFS(Acerto_Detalhado!$I$2:$I$433,Acerto_Detalhado!$A$2:$A$433,$D2988,Acerto_Detalhado!$B$2:$B$433,"Ago",Acerto_Detalhado!$C$2:$C$433,"Umidade")),2)</f>
        <v>0</v>
      </c>
    </row>
    <row r="2989" customFormat="false" ht="15" hidden="false" customHeight="false" outlineLevel="0" collapsed="false">
      <c r="A2989" s="27" t="s">
        <v>118</v>
      </c>
      <c r="B2989" s="27" t="s">
        <v>110</v>
      </c>
      <c r="C2989" s="27" t="s">
        <v>46</v>
      </c>
      <c r="D2989" s="27" t="s">
        <v>42</v>
      </c>
      <c r="E2989" s="28" t="n">
        <f aca="false">ROUND((SUMIFS(Acerto_Detalhado!$F$2:$F$433,Acerto_Detalhado!$A$2:$A$433,$C2989,Acerto_Detalhado!$B$2:$B$433,"Ago",Acerto_Detalhado!$C$2:$C$433,"Umidade"))*(SUMIFS(Acerto_Detalhado!$I$2:$I$433,Acerto_Detalhado!$A$2:$A$433,$D2989,Acerto_Detalhado!$B$2:$B$433,"Ago",Acerto_Detalhado!$C$2:$C$433,"Umidade")),2)</f>
        <v>0</v>
      </c>
    </row>
    <row r="2990" customFormat="false" ht="15" hidden="false" customHeight="false" outlineLevel="0" collapsed="false">
      <c r="A2990" s="27" t="s">
        <v>118</v>
      </c>
      <c r="B2990" s="27" t="s">
        <v>110</v>
      </c>
      <c r="C2990" s="27" t="s">
        <v>46</v>
      </c>
      <c r="D2990" s="27" t="s">
        <v>43</v>
      </c>
      <c r="E2990" s="28" t="n">
        <f aca="false">ROUND((SUMIFS(Acerto_Detalhado!$F$2:$F$433,Acerto_Detalhado!$A$2:$A$433,$C2990,Acerto_Detalhado!$B$2:$B$433,"Ago",Acerto_Detalhado!$C$2:$C$433,"Umidade"))*(SUMIFS(Acerto_Detalhado!$I$2:$I$433,Acerto_Detalhado!$A$2:$A$433,$D2990,Acerto_Detalhado!$B$2:$B$433,"Ago",Acerto_Detalhado!$C$2:$C$433,"Umidade")),2)</f>
        <v>0</v>
      </c>
    </row>
    <row r="2991" customFormat="false" ht="15" hidden="false" customHeight="false" outlineLevel="0" collapsed="false">
      <c r="A2991" s="27" t="s">
        <v>118</v>
      </c>
      <c r="B2991" s="27" t="s">
        <v>110</v>
      </c>
      <c r="C2991" s="27" t="s">
        <v>46</v>
      </c>
      <c r="D2991" s="27" t="s">
        <v>44</v>
      </c>
      <c r="E2991" s="28" t="n">
        <f aca="false">ROUND((SUMIFS(Acerto_Detalhado!$F$2:$F$433,Acerto_Detalhado!$A$2:$A$433,$C2991,Acerto_Detalhado!$B$2:$B$433,"Ago",Acerto_Detalhado!$C$2:$C$433,"Umidade"))*(SUMIFS(Acerto_Detalhado!$I$2:$I$433,Acerto_Detalhado!$A$2:$A$433,$D2991,Acerto_Detalhado!$B$2:$B$433,"Ago",Acerto_Detalhado!$C$2:$C$433,"Umidade")),2)</f>
        <v>0</v>
      </c>
    </row>
    <row r="2992" customFormat="false" ht="15" hidden="false" customHeight="false" outlineLevel="0" collapsed="false">
      <c r="A2992" s="27" t="s">
        <v>118</v>
      </c>
      <c r="B2992" s="27" t="s">
        <v>110</v>
      </c>
      <c r="C2992" s="27" t="s">
        <v>46</v>
      </c>
      <c r="D2992" s="27" t="s">
        <v>45</v>
      </c>
      <c r="E2992" s="28" t="n">
        <f aca="false">ROUND((SUMIFS(Acerto_Detalhado!$F$2:$F$433,Acerto_Detalhado!$A$2:$A$433,$C2992,Acerto_Detalhado!$B$2:$B$433,"Ago",Acerto_Detalhado!$C$2:$C$433,"Umidade"))*(SUMIFS(Acerto_Detalhado!$I$2:$I$433,Acerto_Detalhado!$A$2:$A$433,$D2992,Acerto_Detalhado!$B$2:$B$433,"Ago",Acerto_Detalhado!$C$2:$C$433,"Umidade")),2)</f>
        <v>0</v>
      </c>
    </row>
    <row r="2993" customFormat="false" ht="15" hidden="false" customHeight="false" outlineLevel="0" collapsed="false">
      <c r="A2993" s="27" t="s">
        <v>118</v>
      </c>
      <c r="B2993" s="27" t="s">
        <v>110</v>
      </c>
      <c r="C2993" s="27" t="s">
        <v>46</v>
      </c>
      <c r="D2993" s="27" t="s">
        <v>47</v>
      </c>
      <c r="E2993" s="28" t="n">
        <f aca="false">ROUND((SUMIFS(Acerto_Detalhado!$F$2:$F$433,Acerto_Detalhado!$A$2:$A$433,$C2993,Acerto_Detalhado!$B$2:$B$433,"Ago",Acerto_Detalhado!$C$2:$C$433,"Umidade"))*(SUMIFS(Acerto_Detalhado!$I$2:$I$433,Acerto_Detalhado!$A$2:$A$433,$D2993,Acerto_Detalhado!$B$2:$B$433,"Ago",Acerto_Detalhado!$C$2:$C$433,"Umidade")),2)</f>
        <v>0</v>
      </c>
    </row>
    <row r="2994" customFormat="false" ht="15" hidden="false" customHeight="false" outlineLevel="0" collapsed="false">
      <c r="A2994" s="27" t="s">
        <v>118</v>
      </c>
      <c r="B2994" s="27" t="s">
        <v>110</v>
      </c>
      <c r="C2994" s="27" t="s">
        <v>46</v>
      </c>
      <c r="D2994" s="27" t="s">
        <v>48</v>
      </c>
      <c r="E2994" s="28" t="n">
        <f aca="false">ROUND((SUMIFS(Acerto_Detalhado!$F$2:$F$433,Acerto_Detalhado!$A$2:$A$433,$C2994,Acerto_Detalhado!$B$2:$B$433,"Ago",Acerto_Detalhado!$C$2:$C$433,"Umidade"))*(SUMIFS(Acerto_Detalhado!$I$2:$I$433,Acerto_Detalhado!$A$2:$A$433,$D2994,Acerto_Detalhado!$B$2:$B$433,"Ago",Acerto_Detalhado!$C$2:$C$433,"Umidade")),2)</f>
        <v>0</v>
      </c>
    </row>
    <row r="2995" customFormat="false" ht="15" hidden="false" customHeight="false" outlineLevel="0" collapsed="false">
      <c r="A2995" s="27" t="s">
        <v>118</v>
      </c>
      <c r="B2995" s="27" t="s">
        <v>110</v>
      </c>
      <c r="C2995" s="27" t="s">
        <v>46</v>
      </c>
      <c r="D2995" s="27" t="s">
        <v>49</v>
      </c>
      <c r="E2995" s="28" t="n">
        <f aca="false">ROUND((SUMIFS(Acerto_Detalhado!$F$2:$F$433,Acerto_Detalhado!$A$2:$A$433,$C2995,Acerto_Detalhado!$B$2:$B$433,"Ago",Acerto_Detalhado!$C$2:$C$433,"Umidade"))*(SUMIFS(Acerto_Detalhado!$I$2:$I$433,Acerto_Detalhado!$A$2:$A$433,$D2995,Acerto_Detalhado!$B$2:$B$433,"Ago",Acerto_Detalhado!$C$2:$C$433,"Umidade")),2)</f>
        <v>0</v>
      </c>
    </row>
    <row r="2996" customFormat="false" ht="15" hidden="false" customHeight="false" outlineLevel="0" collapsed="false">
      <c r="A2996" s="27" t="s">
        <v>118</v>
      </c>
      <c r="B2996" s="27" t="s">
        <v>110</v>
      </c>
      <c r="C2996" s="27" t="s">
        <v>46</v>
      </c>
      <c r="D2996" s="27" t="s">
        <v>50</v>
      </c>
      <c r="E2996" s="28" t="n">
        <f aca="false">ROUND((SUMIFS(Acerto_Detalhado!$F$2:$F$433,Acerto_Detalhado!$A$2:$A$433,$C2996,Acerto_Detalhado!$B$2:$B$433,"Ago",Acerto_Detalhado!$C$2:$C$433,"Umidade"))*(SUMIFS(Acerto_Detalhado!$I$2:$I$433,Acerto_Detalhado!$A$2:$A$433,$D2996,Acerto_Detalhado!$B$2:$B$433,"Ago",Acerto_Detalhado!$C$2:$C$433,"Umidade")),2)</f>
        <v>0</v>
      </c>
    </row>
    <row r="2997" customFormat="false" ht="15" hidden="false" customHeight="false" outlineLevel="0" collapsed="false">
      <c r="A2997" s="27" t="s">
        <v>118</v>
      </c>
      <c r="B2997" s="27" t="s">
        <v>110</v>
      </c>
      <c r="C2997" s="27" t="s">
        <v>47</v>
      </c>
      <c r="D2997" s="27" t="s">
        <v>39</v>
      </c>
      <c r="E2997" s="28" t="n">
        <f aca="false">ROUND((SUMIFS(Acerto_Detalhado!$F$2:$F$433,Acerto_Detalhado!$A$2:$A$433,$C2997,Acerto_Detalhado!$B$2:$B$433,"Ago",Acerto_Detalhado!$C$2:$C$433,"Umidade"))*(SUMIFS(Acerto_Detalhado!$I$2:$I$433,Acerto_Detalhado!$A$2:$A$433,$D2997,Acerto_Detalhado!$B$2:$B$433,"Ago",Acerto_Detalhado!$C$2:$C$433,"Umidade")),2)</f>
        <v>0</v>
      </c>
    </row>
    <row r="2998" customFormat="false" ht="15" hidden="false" customHeight="false" outlineLevel="0" collapsed="false">
      <c r="A2998" s="27" t="s">
        <v>118</v>
      </c>
      <c r="B2998" s="27" t="s">
        <v>110</v>
      </c>
      <c r="C2998" s="27" t="s">
        <v>47</v>
      </c>
      <c r="D2998" s="27" t="s">
        <v>40</v>
      </c>
      <c r="E2998" s="28" t="n">
        <f aca="false">ROUND((SUMIFS(Acerto_Detalhado!$F$2:$F$433,Acerto_Detalhado!$A$2:$A$433,$C2998,Acerto_Detalhado!$B$2:$B$433,"Ago",Acerto_Detalhado!$C$2:$C$433,"Umidade"))*(SUMIFS(Acerto_Detalhado!$I$2:$I$433,Acerto_Detalhado!$A$2:$A$433,$D2998,Acerto_Detalhado!$B$2:$B$433,"Ago",Acerto_Detalhado!$C$2:$C$433,"Umidade")),2)</f>
        <v>0</v>
      </c>
    </row>
    <row r="2999" customFormat="false" ht="15" hidden="false" customHeight="false" outlineLevel="0" collapsed="false">
      <c r="A2999" s="27" t="s">
        <v>118</v>
      </c>
      <c r="B2999" s="27" t="s">
        <v>110</v>
      </c>
      <c r="C2999" s="27" t="s">
        <v>47</v>
      </c>
      <c r="D2999" s="27" t="s">
        <v>41</v>
      </c>
      <c r="E2999" s="28" t="n">
        <f aca="false">ROUND((SUMIFS(Acerto_Detalhado!$F$2:$F$433,Acerto_Detalhado!$A$2:$A$433,$C2999,Acerto_Detalhado!$B$2:$B$433,"Ago",Acerto_Detalhado!$C$2:$C$433,"Umidade"))*(SUMIFS(Acerto_Detalhado!$I$2:$I$433,Acerto_Detalhado!$A$2:$A$433,$D2999,Acerto_Detalhado!$B$2:$B$433,"Ago",Acerto_Detalhado!$C$2:$C$433,"Umidade")),2)</f>
        <v>0</v>
      </c>
    </row>
    <row r="3000" customFormat="false" ht="15" hidden="false" customHeight="false" outlineLevel="0" collapsed="false">
      <c r="A3000" s="27" t="s">
        <v>118</v>
      </c>
      <c r="B3000" s="27" t="s">
        <v>110</v>
      </c>
      <c r="C3000" s="27" t="s">
        <v>47</v>
      </c>
      <c r="D3000" s="27" t="s">
        <v>42</v>
      </c>
      <c r="E3000" s="28" t="n">
        <f aca="false">ROUND((SUMIFS(Acerto_Detalhado!$F$2:$F$433,Acerto_Detalhado!$A$2:$A$433,$C3000,Acerto_Detalhado!$B$2:$B$433,"Ago",Acerto_Detalhado!$C$2:$C$433,"Umidade"))*(SUMIFS(Acerto_Detalhado!$I$2:$I$433,Acerto_Detalhado!$A$2:$A$433,$D3000,Acerto_Detalhado!$B$2:$B$433,"Ago",Acerto_Detalhado!$C$2:$C$433,"Umidade")),2)</f>
        <v>0</v>
      </c>
    </row>
    <row r="3001" customFormat="false" ht="15" hidden="false" customHeight="false" outlineLevel="0" collapsed="false">
      <c r="A3001" s="27" t="s">
        <v>118</v>
      </c>
      <c r="B3001" s="27" t="s">
        <v>110</v>
      </c>
      <c r="C3001" s="27" t="s">
        <v>47</v>
      </c>
      <c r="D3001" s="27" t="s">
        <v>43</v>
      </c>
      <c r="E3001" s="28" t="n">
        <f aca="false">ROUND((SUMIFS(Acerto_Detalhado!$F$2:$F$433,Acerto_Detalhado!$A$2:$A$433,$C3001,Acerto_Detalhado!$B$2:$B$433,"Ago",Acerto_Detalhado!$C$2:$C$433,"Umidade"))*(SUMIFS(Acerto_Detalhado!$I$2:$I$433,Acerto_Detalhado!$A$2:$A$433,$D3001,Acerto_Detalhado!$B$2:$B$433,"Ago",Acerto_Detalhado!$C$2:$C$433,"Umidade")),2)</f>
        <v>0</v>
      </c>
    </row>
    <row r="3002" customFormat="false" ht="15" hidden="false" customHeight="false" outlineLevel="0" collapsed="false">
      <c r="A3002" s="27" t="s">
        <v>118</v>
      </c>
      <c r="B3002" s="27" t="s">
        <v>110</v>
      </c>
      <c r="C3002" s="27" t="s">
        <v>47</v>
      </c>
      <c r="D3002" s="27" t="s">
        <v>44</v>
      </c>
      <c r="E3002" s="28" t="n">
        <f aca="false">ROUND((SUMIFS(Acerto_Detalhado!$F$2:$F$433,Acerto_Detalhado!$A$2:$A$433,$C3002,Acerto_Detalhado!$B$2:$B$433,"Ago",Acerto_Detalhado!$C$2:$C$433,"Umidade"))*(SUMIFS(Acerto_Detalhado!$I$2:$I$433,Acerto_Detalhado!$A$2:$A$433,$D3002,Acerto_Detalhado!$B$2:$B$433,"Ago",Acerto_Detalhado!$C$2:$C$433,"Umidade")),2)</f>
        <v>0</v>
      </c>
    </row>
    <row r="3003" customFormat="false" ht="15" hidden="false" customHeight="false" outlineLevel="0" collapsed="false">
      <c r="A3003" s="27" t="s">
        <v>118</v>
      </c>
      <c r="B3003" s="27" t="s">
        <v>110</v>
      </c>
      <c r="C3003" s="27" t="s">
        <v>47</v>
      </c>
      <c r="D3003" s="27" t="s">
        <v>45</v>
      </c>
      <c r="E3003" s="28" t="n">
        <f aca="false">ROUND((SUMIFS(Acerto_Detalhado!$F$2:$F$433,Acerto_Detalhado!$A$2:$A$433,$C3003,Acerto_Detalhado!$B$2:$B$433,"Ago",Acerto_Detalhado!$C$2:$C$433,"Umidade"))*(SUMIFS(Acerto_Detalhado!$I$2:$I$433,Acerto_Detalhado!$A$2:$A$433,$D3003,Acerto_Detalhado!$B$2:$B$433,"Ago",Acerto_Detalhado!$C$2:$C$433,"Umidade")),2)</f>
        <v>0</v>
      </c>
    </row>
    <row r="3004" customFormat="false" ht="15" hidden="false" customHeight="false" outlineLevel="0" collapsed="false">
      <c r="A3004" s="27" t="s">
        <v>118</v>
      </c>
      <c r="B3004" s="27" t="s">
        <v>110</v>
      </c>
      <c r="C3004" s="27" t="s">
        <v>47</v>
      </c>
      <c r="D3004" s="27" t="s">
        <v>46</v>
      </c>
      <c r="E3004" s="28" t="n">
        <f aca="false">ROUND((SUMIFS(Acerto_Detalhado!$F$2:$F$433,Acerto_Detalhado!$A$2:$A$433,$C3004,Acerto_Detalhado!$B$2:$B$433,"Ago",Acerto_Detalhado!$C$2:$C$433,"Umidade"))*(SUMIFS(Acerto_Detalhado!$I$2:$I$433,Acerto_Detalhado!$A$2:$A$433,$D3004,Acerto_Detalhado!$B$2:$B$433,"Ago",Acerto_Detalhado!$C$2:$C$433,"Umidade")),2)</f>
        <v>0</v>
      </c>
    </row>
    <row r="3005" customFormat="false" ht="15" hidden="false" customHeight="false" outlineLevel="0" collapsed="false">
      <c r="A3005" s="27" t="s">
        <v>118</v>
      </c>
      <c r="B3005" s="27" t="s">
        <v>110</v>
      </c>
      <c r="C3005" s="27" t="s">
        <v>47</v>
      </c>
      <c r="D3005" s="27" t="s">
        <v>48</v>
      </c>
      <c r="E3005" s="28" t="n">
        <f aca="false">ROUND((SUMIFS(Acerto_Detalhado!$F$2:$F$433,Acerto_Detalhado!$A$2:$A$433,$C3005,Acerto_Detalhado!$B$2:$B$433,"Ago",Acerto_Detalhado!$C$2:$C$433,"Umidade"))*(SUMIFS(Acerto_Detalhado!$I$2:$I$433,Acerto_Detalhado!$A$2:$A$433,$D3005,Acerto_Detalhado!$B$2:$B$433,"Ago",Acerto_Detalhado!$C$2:$C$433,"Umidade")),2)</f>
        <v>0</v>
      </c>
    </row>
    <row r="3006" customFormat="false" ht="15" hidden="false" customHeight="false" outlineLevel="0" collapsed="false">
      <c r="A3006" s="27" t="s">
        <v>118</v>
      </c>
      <c r="B3006" s="27" t="s">
        <v>110</v>
      </c>
      <c r="C3006" s="27" t="s">
        <v>47</v>
      </c>
      <c r="D3006" s="27" t="s">
        <v>49</v>
      </c>
      <c r="E3006" s="28" t="n">
        <f aca="false">ROUND((SUMIFS(Acerto_Detalhado!$F$2:$F$433,Acerto_Detalhado!$A$2:$A$433,$C3006,Acerto_Detalhado!$B$2:$B$433,"Ago",Acerto_Detalhado!$C$2:$C$433,"Umidade"))*(SUMIFS(Acerto_Detalhado!$I$2:$I$433,Acerto_Detalhado!$A$2:$A$433,$D3006,Acerto_Detalhado!$B$2:$B$433,"Ago",Acerto_Detalhado!$C$2:$C$433,"Umidade")),2)</f>
        <v>0</v>
      </c>
    </row>
    <row r="3007" customFormat="false" ht="15" hidden="false" customHeight="false" outlineLevel="0" collapsed="false">
      <c r="A3007" s="27" t="s">
        <v>118</v>
      </c>
      <c r="B3007" s="27" t="s">
        <v>110</v>
      </c>
      <c r="C3007" s="27" t="s">
        <v>47</v>
      </c>
      <c r="D3007" s="27" t="s">
        <v>50</v>
      </c>
      <c r="E3007" s="28" t="n">
        <f aca="false">ROUND((SUMIFS(Acerto_Detalhado!$F$2:$F$433,Acerto_Detalhado!$A$2:$A$433,$C3007,Acerto_Detalhado!$B$2:$B$433,"Ago",Acerto_Detalhado!$C$2:$C$433,"Umidade"))*(SUMIFS(Acerto_Detalhado!$I$2:$I$433,Acerto_Detalhado!$A$2:$A$433,$D3007,Acerto_Detalhado!$B$2:$B$433,"Ago",Acerto_Detalhado!$C$2:$C$433,"Umidade")),2)</f>
        <v>0</v>
      </c>
    </row>
    <row r="3008" customFormat="false" ht="15" hidden="false" customHeight="false" outlineLevel="0" collapsed="false">
      <c r="A3008" s="27" t="s">
        <v>118</v>
      </c>
      <c r="B3008" s="27" t="s">
        <v>110</v>
      </c>
      <c r="C3008" s="27" t="s">
        <v>48</v>
      </c>
      <c r="D3008" s="27" t="s">
        <v>39</v>
      </c>
      <c r="E3008" s="28" t="n">
        <f aca="false">ROUND((SUMIFS(Acerto_Detalhado!$F$2:$F$433,Acerto_Detalhado!$A$2:$A$433,$C3008,Acerto_Detalhado!$B$2:$B$433,"Ago",Acerto_Detalhado!$C$2:$C$433,"Umidade"))*(SUMIFS(Acerto_Detalhado!$I$2:$I$433,Acerto_Detalhado!$A$2:$A$433,$D3008,Acerto_Detalhado!$B$2:$B$433,"Ago",Acerto_Detalhado!$C$2:$C$433,"Umidade")),2)</f>
        <v>6430.96</v>
      </c>
    </row>
    <row r="3009" customFormat="false" ht="15" hidden="false" customHeight="false" outlineLevel="0" collapsed="false">
      <c r="A3009" s="27" t="s">
        <v>118</v>
      </c>
      <c r="B3009" s="27" t="s">
        <v>110</v>
      </c>
      <c r="C3009" s="27" t="s">
        <v>48</v>
      </c>
      <c r="D3009" s="27" t="s">
        <v>40</v>
      </c>
      <c r="E3009" s="28" t="n">
        <f aca="false">ROUND((SUMIFS(Acerto_Detalhado!$F$2:$F$433,Acerto_Detalhado!$A$2:$A$433,$C3009,Acerto_Detalhado!$B$2:$B$433,"Ago",Acerto_Detalhado!$C$2:$C$433,"Umidade"))*(SUMIFS(Acerto_Detalhado!$I$2:$I$433,Acerto_Detalhado!$A$2:$A$433,$D3009,Acerto_Detalhado!$B$2:$B$433,"Ago",Acerto_Detalhado!$C$2:$C$433,"Umidade")),2)</f>
        <v>6296.16</v>
      </c>
    </row>
    <row r="3010" customFormat="false" ht="15" hidden="false" customHeight="false" outlineLevel="0" collapsed="false">
      <c r="A3010" s="27" t="s">
        <v>118</v>
      </c>
      <c r="B3010" s="27" t="s">
        <v>110</v>
      </c>
      <c r="C3010" s="27" t="s">
        <v>48</v>
      </c>
      <c r="D3010" s="27" t="s">
        <v>41</v>
      </c>
      <c r="E3010" s="28" t="n">
        <f aca="false">ROUND((SUMIFS(Acerto_Detalhado!$F$2:$F$433,Acerto_Detalhado!$A$2:$A$433,$C3010,Acerto_Detalhado!$B$2:$B$433,"Ago",Acerto_Detalhado!$C$2:$C$433,"Umidade"))*(SUMIFS(Acerto_Detalhado!$I$2:$I$433,Acerto_Detalhado!$A$2:$A$433,$D3010,Acerto_Detalhado!$B$2:$B$433,"Ago",Acerto_Detalhado!$C$2:$C$433,"Umidade")),2)</f>
        <v>11299.99</v>
      </c>
    </row>
    <row r="3011" customFormat="false" ht="15" hidden="false" customHeight="false" outlineLevel="0" collapsed="false">
      <c r="A3011" s="27" t="s">
        <v>118</v>
      </c>
      <c r="B3011" s="27" t="s">
        <v>110</v>
      </c>
      <c r="C3011" s="27" t="s">
        <v>48</v>
      </c>
      <c r="D3011" s="27" t="s">
        <v>42</v>
      </c>
      <c r="E3011" s="28" t="n">
        <f aca="false">ROUND((SUMIFS(Acerto_Detalhado!$F$2:$F$433,Acerto_Detalhado!$A$2:$A$433,$C3011,Acerto_Detalhado!$B$2:$B$433,"Ago",Acerto_Detalhado!$C$2:$C$433,"Umidade"))*(SUMIFS(Acerto_Detalhado!$I$2:$I$433,Acerto_Detalhado!$A$2:$A$433,$D3011,Acerto_Detalhado!$B$2:$B$433,"Ago",Acerto_Detalhado!$C$2:$C$433,"Umidade")),2)</f>
        <v>727.2</v>
      </c>
    </row>
    <row r="3012" customFormat="false" ht="15" hidden="false" customHeight="false" outlineLevel="0" collapsed="false">
      <c r="A3012" s="27" t="s">
        <v>118</v>
      </c>
      <c r="B3012" s="27" t="s">
        <v>110</v>
      </c>
      <c r="C3012" s="27" t="s">
        <v>48</v>
      </c>
      <c r="D3012" s="27" t="s">
        <v>43</v>
      </c>
      <c r="E3012" s="28" t="n">
        <f aca="false">ROUND((SUMIFS(Acerto_Detalhado!$F$2:$F$433,Acerto_Detalhado!$A$2:$A$433,$C3012,Acerto_Detalhado!$B$2:$B$433,"Ago",Acerto_Detalhado!$C$2:$C$433,"Umidade"))*(SUMIFS(Acerto_Detalhado!$I$2:$I$433,Acerto_Detalhado!$A$2:$A$433,$D3012,Acerto_Detalhado!$B$2:$B$433,"Ago",Acerto_Detalhado!$C$2:$C$433,"Umidade")),2)</f>
        <v>10174.31</v>
      </c>
    </row>
    <row r="3013" customFormat="false" ht="15" hidden="false" customHeight="false" outlineLevel="0" collapsed="false">
      <c r="A3013" s="27" t="s">
        <v>118</v>
      </c>
      <c r="B3013" s="27" t="s">
        <v>110</v>
      </c>
      <c r="C3013" s="27" t="s">
        <v>48</v>
      </c>
      <c r="D3013" s="27" t="s">
        <v>44</v>
      </c>
      <c r="E3013" s="28" t="n">
        <f aca="false">ROUND((SUMIFS(Acerto_Detalhado!$F$2:$F$433,Acerto_Detalhado!$A$2:$A$433,$C3013,Acerto_Detalhado!$B$2:$B$433,"Ago",Acerto_Detalhado!$C$2:$C$433,"Umidade"))*(SUMIFS(Acerto_Detalhado!$I$2:$I$433,Acerto_Detalhado!$A$2:$A$433,$D3013,Acerto_Detalhado!$B$2:$B$433,"Ago",Acerto_Detalhado!$C$2:$C$433,"Umidade")),2)</f>
        <v>6925.75</v>
      </c>
    </row>
    <row r="3014" customFormat="false" ht="15" hidden="false" customHeight="false" outlineLevel="0" collapsed="false">
      <c r="A3014" s="27" t="s">
        <v>118</v>
      </c>
      <c r="B3014" s="27" t="s">
        <v>110</v>
      </c>
      <c r="C3014" s="27" t="s">
        <v>48</v>
      </c>
      <c r="D3014" s="27" t="s">
        <v>45</v>
      </c>
      <c r="E3014" s="28" t="n">
        <f aca="false">ROUND((SUMIFS(Acerto_Detalhado!$F$2:$F$433,Acerto_Detalhado!$A$2:$A$433,$C3014,Acerto_Detalhado!$B$2:$B$433,"Ago",Acerto_Detalhado!$C$2:$C$433,"Umidade"))*(SUMIFS(Acerto_Detalhado!$I$2:$I$433,Acerto_Detalhado!$A$2:$A$433,$D3014,Acerto_Detalhado!$B$2:$B$433,"Ago",Acerto_Detalhado!$C$2:$C$433,"Umidade")),2)</f>
        <v>11405.44</v>
      </c>
    </row>
    <row r="3015" customFormat="false" ht="15" hidden="false" customHeight="false" outlineLevel="0" collapsed="false">
      <c r="A3015" s="27" t="s">
        <v>118</v>
      </c>
      <c r="B3015" s="27" t="s">
        <v>110</v>
      </c>
      <c r="C3015" s="27" t="s">
        <v>48</v>
      </c>
      <c r="D3015" s="27" t="s">
        <v>46</v>
      </c>
      <c r="E3015" s="28" t="n">
        <f aca="false">ROUND((SUMIFS(Acerto_Detalhado!$F$2:$F$433,Acerto_Detalhado!$A$2:$A$433,$C3015,Acerto_Detalhado!$B$2:$B$433,"Ago",Acerto_Detalhado!$C$2:$C$433,"Umidade"))*(SUMIFS(Acerto_Detalhado!$I$2:$I$433,Acerto_Detalhado!$A$2:$A$433,$D3015,Acerto_Detalhado!$B$2:$B$433,"Ago",Acerto_Detalhado!$C$2:$C$433,"Umidade")),2)</f>
        <v>1682.81</v>
      </c>
    </row>
    <row r="3016" customFormat="false" ht="15" hidden="false" customHeight="false" outlineLevel="0" collapsed="false">
      <c r="A3016" s="27" t="s">
        <v>118</v>
      </c>
      <c r="B3016" s="27" t="s">
        <v>110</v>
      </c>
      <c r="C3016" s="27" t="s">
        <v>48</v>
      </c>
      <c r="D3016" s="27" t="s">
        <v>47</v>
      </c>
      <c r="E3016" s="28" t="n">
        <f aca="false">ROUND((SUMIFS(Acerto_Detalhado!$F$2:$F$433,Acerto_Detalhado!$A$2:$A$433,$C3016,Acerto_Detalhado!$B$2:$B$433,"Ago",Acerto_Detalhado!$C$2:$C$433,"Umidade"))*(SUMIFS(Acerto_Detalhado!$I$2:$I$433,Acerto_Detalhado!$A$2:$A$433,$D3016,Acerto_Detalhado!$B$2:$B$433,"Ago",Acerto_Detalhado!$C$2:$C$433,"Umidade")),2)</f>
        <v>0</v>
      </c>
    </row>
    <row r="3017" customFormat="false" ht="15" hidden="false" customHeight="false" outlineLevel="0" collapsed="false">
      <c r="A3017" s="27" t="s">
        <v>118</v>
      </c>
      <c r="B3017" s="27" t="s">
        <v>110</v>
      </c>
      <c r="C3017" s="27" t="s">
        <v>48</v>
      </c>
      <c r="D3017" s="27" t="s">
        <v>49</v>
      </c>
      <c r="E3017" s="28" t="n">
        <f aca="false">ROUND((SUMIFS(Acerto_Detalhado!$F$2:$F$433,Acerto_Detalhado!$A$2:$A$433,$C3017,Acerto_Detalhado!$B$2:$B$433,"Ago",Acerto_Detalhado!$C$2:$C$433,"Umidade"))*(SUMIFS(Acerto_Detalhado!$I$2:$I$433,Acerto_Detalhado!$A$2:$A$433,$D3017,Acerto_Detalhado!$B$2:$B$433,"Ago",Acerto_Detalhado!$C$2:$C$433,"Umidade")),2)</f>
        <v>0</v>
      </c>
    </row>
    <row r="3018" customFormat="false" ht="15" hidden="false" customHeight="false" outlineLevel="0" collapsed="false">
      <c r="A3018" s="27" t="s">
        <v>118</v>
      </c>
      <c r="B3018" s="27" t="s">
        <v>110</v>
      </c>
      <c r="C3018" s="27" t="s">
        <v>48</v>
      </c>
      <c r="D3018" s="27" t="s">
        <v>50</v>
      </c>
      <c r="E3018" s="28" t="n">
        <f aca="false">ROUND((SUMIFS(Acerto_Detalhado!$F$2:$F$433,Acerto_Detalhado!$A$2:$A$433,$C3018,Acerto_Detalhado!$B$2:$B$433,"Ago",Acerto_Detalhado!$C$2:$C$433,"Umidade"))*(SUMIFS(Acerto_Detalhado!$I$2:$I$433,Acerto_Detalhado!$A$2:$A$433,$D3018,Acerto_Detalhado!$B$2:$B$433,"Ago",Acerto_Detalhado!$C$2:$C$433,"Umidade")),2)</f>
        <v>0</v>
      </c>
    </row>
    <row r="3019" customFormat="false" ht="15" hidden="false" customHeight="false" outlineLevel="0" collapsed="false">
      <c r="A3019" s="27" t="s">
        <v>118</v>
      </c>
      <c r="B3019" s="27" t="s">
        <v>110</v>
      </c>
      <c r="C3019" s="27" t="s">
        <v>49</v>
      </c>
      <c r="D3019" s="27" t="s">
        <v>39</v>
      </c>
      <c r="E3019" s="28" t="n">
        <f aca="false">ROUND((SUMIFS(Acerto_Detalhado!$F$2:$F$433,Acerto_Detalhado!$A$2:$A$433,$C3019,Acerto_Detalhado!$B$2:$B$433,"Ago",Acerto_Detalhado!$C$2:$C$433,"Umidade"))*(SUMIFS(Acerto_Detalhado!$I$2:$I$433,Acerto_Detalhado!$A$2:$A$433,$D3019,Acerto_Detalhado!$B$2:$B$433,"Ago",Acerto_Detalhado!$C$2:$C$433,"Umidade")),2)</f>
        <v>0</v>
      </c>
    </row>
    <row r="3020" customFormat="false" ht="15" hidden="false" customHeight="false" outlineLevel="0" collapsed="false">
      <c r="A3020" s="27" t="s">
        <v>118</v>
      </c>
      <c r="B3020" s="27" t="s">
        <v>110</v>
      </c>
      <c r="C3020" s="27" t="s">
        <v>49</v>
      </c>
      <c r="D3020" s="27" t="s">
        <v>40</v>
      </c>
      <c r="E3020" s="28" t="n">
        <f aca="false">ROUND((SUMIFS(Acerto_Detalhado!$F$2:$F$433,Acerto_Detalhado!$A$2:$A$433,$C3020,Acerto_Detalhado!$B$2:$B$433,"Ago",Acerto_Detalhado!$C$2:$C$433,"Umidade"))*(SUMIFS(Acerto_Detalhado!$I$2:$I$433,Acerto_Detalhado!$A$2:$A$433,$D3020,Acerto_Detalhado!$B$2:$B$433,"Ago",Acerto_Detalhado!$C$2:$C$433,"Umidade")),2)</f>
        <v>0</v>
      </c>
    </row>
    <row r="3021" customFormat="false" ht="15" hidden="false" customHeight="false" outlineLevel="0" collapsed="false">
      <c r="A3021" s="27" t="s">
        <v>118</v>
      </c>
      <c r="B3021" s="27" t="s">
        <v>110</v>
      </c>
      <c r="C3021" s="27" t="s">
        <v>49</v>
      </c>
      <c r="D3021" s="27" t="s">
        <v>41</v>
      </c>
      <c r="E3021" s="28" t="n">
        <f aca="false">ROUND((SUMIFS(Acerto_Detalhado!$F$2:$F$433,Acerto_Detalhado!$A$2:$A$433,$C3021,Acerto_Detalhado!$B$2:$B$433,"Ago",Acerto_Detalhado!$C$2:$C$433,"Umidade"))*(SUMIFS(Acerto_Detalhado!$I$2:$I$433,Acerto_Detalhado!$A$2:$A$433,$D3021,Acerto_Detalhado!$B$2:$B$433,"Ago",Acerto_Detalhado!$C$2:$C$433,"Umidade")),2)</f>
        <v>0</v>
      </c>
    </row>
    <row r="3022" customFormat="false" ht="15" hidden="false" customHeight="false" outlineLevel="0" collapsed="false">
      <c r="A3022" s="27" t="s">
        <v>118</v>
      </c>
      <c r="B3022" s="27" t="s">
        <v>110</v>
      </c>
      <c r="C3022" s="27" t="s">
        <v>49</v>
      </c>
      <c r="D3022" s="27" t="s">
        <v>42</v>
      </c>
      <c r="E3022" s="28" t="n">
        <f aca="false">ROUND((SUMIFS(Acerto_Detalhado!$F$2:$F$433,Acerto_Detalhado!$A$2:$A$433,$C3022,Acerto_Detalhado!$B$2:$B$433,"Ago",Acerto_Detalhado!$C$2:$C$433,"Umidade"))*(SUMIFS(Acerto_Detalhado!$I$2:$I$433,Acerto_Detalhado!$A$2:$A$433,$D3022,Acerto_Detalhado!$B$2:$B$433,"Ago",Acerto_Detalhado!$C$2:$C$433,"Umidade")),2)</f>
        <v>0</v>
      </c>
    </row>
    <row r="3023" customFormat="false" ht="15" hidden="false" customHeight="false" outlineLevel="0" collapsed="false">
      <c r="A3023" s="27" t="s">
        <v>118</v>
      </c>
      <c r="B3023" s="27" t="s">
        <v>110</v>
      </c>
      <c r="C3023" s="27" t="s">
        <v>49</v>
      </c>
      <c r="D3023" s="27" t="s">
        <v>43</v>
      </c>
      <c r="E3023" s="28" t="n">
        <f aca="false">ROUND((SUMIFS(Acerto_Detalhado!$F$2:$F$433,Acerto_Detalhado!$A$2:$A$433,$C3023,Acerto_Detalhado!$B$2:$B$433,"Ago",Acerto_Detalhado!$C$2:$C$433,"Umidade"))*(SUMIFS(Acerto_Detalhado!$I$2:$I$433,Acerto_Detalhado!$A$2:$A$433,$D3023,Acerto_Detalhado!$B$2:$B$433,"Ago",Acerto_Detalhado!$C$2:$C$433,"Umidade")),2)</f>
        <v>0</v>
      </c>
    </row>
    <row r="3024" customFormat="false" ht="15" hidden="false" customHeight="false" outlineLevel="0" collapsed="false">
      <c r="A3024" s="27" t="s">
        <v>118</v>
      </c>
      <c r="B3024" s="27" t="s">
        <v>110</v>
      </c>
      <c r="C3024" s="27" t="s">
        <v>49</v>
      </c>
      <c r="D3024" s="27" t="s">
        <v>44</v>
      </c>
      <c r="E3024" s="28" t="n">
        <f aca="false">ROUND((SUMIFS(Acerto_Detalhado!$F$2:$F$433,Acerto_Detalhado!$A$2:$A$433,$C3024,Acerto_Detalhado!$B$2:$B$433,"Ago",Acerto_Detalhado!$C$2:$C$433,"Umidade"))*(SUMIFS(Acerto_Detalhado!$I$2:$I$433,Acerto_Detalhado!$A$2:$A$433,$D3024,Acerto_Detalhado!$B$2:$B$433,"Ago",Acerto_Detalhado!$C$2:$C$433,"Umidade")),2)</f>
        <v>0</v>
      </c>
    </row>
    <row r="3025" customFormat="false" ht="15" hidden="false" customHeight="false" outlineLevel="0" collapsed="false">
      <c r="A3025" s="27" t="s">
        <v>118</v>
      </c>
      <c r="B3025" s="27" t="s">
        <v>110</v>
      </c>
      <c r="C3025" s="27" t="s">
        <v>49</v>
      </c>
      <c r="D3025" s="27" t="s">
        <v>45</v>
      </c>
      <c r="E3025" s="28" t="n">
        <f aca="false">ROUND((SUMIFS(Acerto_Detalhado!$F$2:$F$433,Acerto_Detalhado!$A$2:$A$433,$C3025,Acerto_Detalhado!$B$2:$B$433,"Ago",Acerto_Detalhado!$C$2:$C$433,"Umidade"))*(SUMIFS(Acerto_Detalhado!$I$2:$I$433,Acerto_Detalhado!$A$2:$A$433,$D3025,Acerto_Detalhado!$B$2:$B$433,"Ago",Acerto_Detalhado!$C$2:$C$433,"Umidade")),2)</f>
        <v>0</v>
      </c>
    </row>
    <row r="3026" customFormat="false" ht="15" hidden="false" customHeight="false" outlineLevel="0" collapsed="false">
      <c r="A3026" s="27" t="s">
        <v>118</v>
      </c>
      <c r="B3026" s="27" t="s">
        <v>110</v>
      </c>
      <c r="C3026" s="27" t="s">
        <v>49</v>
      </c>
      <c r="D3026" s="27" t="s">
        <v>46</v>
      </c>
      <c r="E3026" s="28" t="n">
        <f aca="false">ROUND((SUMIFS(Acerto_Detalhado!$F$2:$F$433,Acerto_Detalhado!$A$2:$A$433,$C3026,Acerto_Detalhado!$B$2:$B$433,"Ago",Acerto_Detalhado!$C$2:$C$433,"Umidade"))*(SUMIFS(Acerto_Detalhado!$I$2:$I$433,Acerto_Detalhado!$A$2:$A$433,$D3026,Acerto_Detalhado!$B$2:$B$433,"Ago",Acerto_Detalhado!$C$2:$C$433,"Umidade")),2)</f>
        <v>0</v>
      </c>
    </row>
    <row r="3027" customFormat="false" ht="15" hidden="false" customHeight="false" outlineLevel="0" collapsed="false">
      <c r="A3027" s="27" t="s">
        <v>118</v>
      </c>
      <c r="B3027" s="27" t="s">
        <v>110</v>
      </c>
      <c r="C3027" s="27" t="s">
        <v>49</v>
      </c>
      <c r="D3027" s="27" t="s">
        <v>47</v>
      </c>
      <c r="E3027" s="28" t="n">
        <f aca="false">ROUND((SUMIFS(Acerto_Detalhado!$F$2:$F$433,Acerto_Detalhado!$A$2:$A$433,$C3027,Acerto_Detalhado!$B$2:$B$433,"Ago",Acerto_Detalhado!$C$2:$C$433,"Umidade"))*(SUMIFS(Acerto_Detalhado!$I$2:$I$433,Acerto_Detalhado!$A$2:$A$433,$D3027,Acerto_Detalhado!$B$2:$B$433,"Ago",Acerto_Detalhado!$C$2:$C$433,"Umidade")),2)</f>
        <v>0</v>
      </c>
    </row>
    <row r="3028" customFormat="false" ht="15" hidden="false" customHeight="false" outlineLevel="0" collapsed="false">
      <c r="A3028" s="27" t="s">
        <v>118</v>
      </c>
      <c r="B3028" s="27" t="s">
        <v>110</v>
      </c>
      <c r="C3028" s="27" t="s">
        <v>49</v>
      </c>
      <c r="D3028" s="27" t="s">
        <v>48</v>
      </c>
      <c r="E3028" s="28" t="n">
        <f aca="false">ROUND((SUMIFS(Acerto_Detalhado!$F$2:$F$433,Acerto_Detalhado!$A$2:$A$433,$C3028,Acerto_Detalhado!$B$2:$B$433,"Ago",Acerto_Detalhado!$C$2:$C$433,"Umidade"))*(SUMIFS(Acerto_Detalhado!$I$2:$I$433,Acerto_Detalhado!$A$2:$A$433,$D3028,Acerto_Detalhado!$B$2:$B$433,"Ago",Acerto_Detalhado!$C$2:$C$433,"Umidade")),2)</f>
        <v>0</v>
      </c>
    </row>
    <row r="3029" customFormat="false" ht="15" hidden="false" customHeight="false" outlineLevel="0" collapsed="false">
      <c r="A3029" s="27" t="s">
        <v>118</v>
      </c>
      <c r="B3029" s="27" t="s">
        <v>110</v>
      </c>
      <c r="C3029" s="27" t="s">
        <v>49</v>
      </c>
      <c r="D3029" s="27" t="s">
        <v>50</v>
      </c>
      <c r="E3029" s="28" t="n">
        <f aca="false">ROUND((SUMIFS(Acerto_Detalhado!$F$2:$F$433,Acerto_Detalhado!$A$2:$A$433,$C3029,Acerto_Detalhado!$B$2:$B$433,"Ago",Acerto_Detalhado!$C$2:$C$433,"Umidade"))*(SUMIFS(Acerto_Detalhado!$I$2:$I$433,Acerto_Detalhado!$A$2:$A$433,$D3029,Acerto_Detalhado!$B$2:$B$433,"Ago",Acerto_Detalhado!$C$2:$C$433,"Umidade")),2)</f>
        <v>0</v>
      </c>
    </row>
    <row r="3030" customFormat="false" ht="15" hidden="false" customHeight="false" outlineLevel="0" collapsed="false">
      <c r="A3030" s="27" t="s">
        <v>118</v>
      </c>
      <c r="B3030" s="27" t="s">
        <v>110</v>
      </c>
      <c r="C3030" s="27" t="s">
        <v>50</v>
      </c>
      <c r="D3030" s="27" t="s">
        <v>39</v>
      </c>
      <c r="E3030" s="28" t="n">
        <f aca="false">ROUND((SUMIFS(Acerto_Detalhado!$F$2:$F$433,Acerto_Detalhado!$A$2:$A$433,$C3030,Acerto_Detalhado!$B$2:$B$433,"Ago",Acerto_Detalhado!$C$2:$C$433,"Umidade"))*(SUMIFS(Acerto_Detalhado!$I$2:$I$433,Acerto_Detalhado!$A$2:$A$433,$D3030,Acerto_Detalhado!$B$2:$B$433,"Ago",Acerto_Detalhado!$C$2:$C$433,"Umidade")),2)</f>
        <v>0</v>
      </c>
    </row>
    <row r="3031" customFormat="false" ht="15" hidden="false" customHeight="false" outlineLevel="0" collapsed="false">
      <c r="A3031" s="27" t="s">
        <v>118</v>
      </c>
      <c r="B3031" s="27" t="s">
        <v>110</v>
      </c>
      <c r="C3031" s="27" t="s">
        <v>50</v>
      </c>
      <c r="D3031" s="27" t="s">
        <v>40</v>
      </c>
      <c r="E3031" s="28" t="n">
        <f aca="false">ROUND((SUMIFS(Acerto_Detalhado!$F$2:$F$433,Acerto_Detalhado!$A$2:$A$433,$C3031,Acerto_Detalhado!$B$2:$B$433,"Ago",Acerto_Detalhado!$C$2:$C$433,"Umidade"))*(SUMIFS(Acerto_Detalhado!$I$2:$I$433,Acerto_Detalhado!$A$2:$A$433,$D3031,Acerto_Detalhado!$B$2:$B$433,"Ago",Acerto_Detalhado!$C$2:$C$433,"Umidade")),2)</f>
        <v>0</v>
      </c>
    </row>
    <row r="3032" customFormat="false" ht="15" hidden="false" customHeight="false" outlineLevel="0" collapsed="false">
      <c r="A3032" s="27" t="s">
        <v>118</v>
      </c>
      <c r="B3032" s="27" t="s">
        <v>110</v>
      </c>
      <c r="C3032" s="27" t="s">
        <v>50</v>
      </c>
      <c r="D3032" s="27" t="s">
        <v>41</v>
      </c>
      <c r="E3032" s="28" t="n">
        <f aca="false">ROUND((SUMIFS(Acerto_Detalhado!$F$2:$F$433,Acerto_Detalhado!$A$2:$A$433,$C3032,Acerto_Detalhado!$B$2:$B$433,"Ago",Acerto_Detalhado!$C$2:$C$433,"Umidade"))*(SUMIFS(Acerto_Detalhado!$I$2:$I$433,Acerto_Detalhado!$A$2:$A$433,$D3032,Acerto_Detalhado!$B$2:$B$433,"Ago",Acerto_Detalhado!$C$2:$C$433,"Umidade")),2)</f>
        <v>0</v>
      </c>
    </row>
    <row r="3033" customFormat="false" ht="15" hidden="false" customHeight="false" outlineLevel="0" collapsed="false">
      <c r="A3033" s="27" t="s">
        <v>118</v>
      </c>
      <c r="B3033" s="27" t="s">
        <v>110</v>
      </c>
      <c r="C3033" s="27" t="s">
        <v>50</v>
      </c>
      <c r="D3033" s="27" t="s">
        <v>42</v>
      </c>
      <c r="E3033" s="28" t="n">
        <f aca="false">ROUND((SUMIFS(Acerto_Detalhado!$F$2:$F$433,Acerto_Detalhado!$A$2:$A$433,$C3033,Acerto_Detalhado!$B$2:$B$433,"Ago",Acerto_Detalhado!$C$2:$C$433,"Umidade"))*(SUMIFS(Acerto_Detalhado!$I$2:$I$433,Acerto_Detalhado!$A$2:$A$433,$D3033,Acerto_Detalhado!$B$2:$B$433,"Ago",Acerto_Detalhado!$C$2:$C$433,"Umidade")),2)</f>
        <v>0</v>
      </c>
    </row>
    <row r="3034" customFormat="false" ht="15" hidden="false" customHeight="false" outlineLevel="0" collapsed="false">
      <c r="A3034" s="27" t="s">
        <v>118</v>
      </c>
      <c r="B3034" s="27" t="s">
        <v>110</v>
      </c>
      <c r="C3034" s="27" t="s">
        <v>50</v>
      </c>
      <c r="D3034" s="27" t="s">
        <v>43</v>
      </c>
      <c r="E3034" s="28" t="n">
        <f aca="false">ROUND((SUMIFS(Acerto_Detalhado!$F$2:$F$433,Acerto_Detalhado!$A$2:$A$433,$C3034,Acerto_Detalhado!$B$2:$B$433,"Ago",Acerto_Detalhado!$C$2:$C$433,"Umidade"))*(SUMIFS(Acerto_Detalhado!$I$2:$I$433,Acerto_Detalhado!$A$2:$A$433,$D3034,Acerto_Detalhado!$B$2:$B$433,"Ago",Acerto_Detalhado!$C$2:$C$433,"Umidade")),2)</f>
        <v>0</v>
      </c>
    </row>
    <row r="3035" customFormat="false" ht="15" hidden="false" customHeight="false" outlineLevel="0" collapsed="false">
      <c r="A3035" s="27" t="s">
        <v>118</v>
      </c>
      <c r="B3035" s="27" t="s">
        <v>110</v>
      </c>
      <c r="C3035" s="27" t="s">
        <v>50</v>
      </c>
      <c r="D3035" s="27" t="s">
        <v>44</v>
      </c>
      <c r="E3035" s="28" t="n">
        <f aca="false">ROUND((SUMIFS(Acerto_Detalhado!$F$2:$F$433,Acerto_Detalhado!$A$2:$A$433,$C3035,Acerto_Detalhado!$B$2:$B$433,"Ago",Acerto_Detalhado!$C$2:$C$433,"Umidade"))*(SUMIFS(Acerto_Detalhado!$I$2:$I$433,Acerto_Detalhado!$A$2:$A$433,$D3035,Acerto_Detalhado!$B$2:$B$433,"Ago",Acerto_Detalhado!$C$2:$C$433,"Umidade")),2)</f>
        <v>0</v>
      </c>
    </row>
    <row r="3036" customFormat="false" ht="15" hidden="false" customHeight="false" outlineLevel="0" collapsed="false">
      <c r="A3036" s="27" t="s">
        <v>118</v>
      </c>
      <c r="B3036" s="27" t="s">
        <v>110</v>
      </c>
      <c r="C3036" s="27" t="s">
        <v>50</v>
      </c>
      <c r="D3036" s="27" t="s">
        <v>45</v>
      </c>
      <c r="E3036" s="28" t="n">
        <f aca="false">ROUND((SUMIFS(Acerto_Detalhado!$F$2:$F$433,Acerto_Detalhado!$A$2:$A$433,$C3036,Acerto_Detalhado!$B$2:$B$433,"Ago",Acerto_Detalhado!$C$2:$C$433,"Umidade"))*(SUMIFS(Acerto_Detalhado!$I$2:$I$433,Acerto_Detalhado!$A$2:$A$433,$D3036,Acerto_Detalhado!$B$2:$B$433,"Ago",Acerto_Detalhado!$C$2:$C$433,"Umidade")),2)</f>
        <v>0</v>
      </c>
    </row>
    <row r="3037" customFormat="false" ht="15" hidden="false" customHeight="false" outlineLevel="0" collapsed="false">
      <c r="A3037" s="27" t="s">
        <v>118</v>
      </c>
      <c r="B3037" s="27" t="s">
        <v>110</v>
      </c>
      <c r="C3037" s="27" t="s">
        <v>50</v>
      </c>
      <c r="D3037" s="27" t="s">
        <v>46</v>
      </c>
      <c r="E3037" s="28" t="n">
        <f aca="false">ROUND((SUMIFS(Acerto_Detalhado!$F$2:$F$433,Acerto_Detalhado!$A$2:$A$433,$C3037,Acerto_Detalhado!$B$2:$B$433,"Ago",Acerto_Detalhado!$C$2:$C$433,"Umidade"))*(SUMIFS(Acerto_Detalhado!$I$2:$I$433,Acerto_Detalhado!$A$2:$A$433,$D3037,Acerto_Detalhado!$B$2:$B$433,"Ago",Acerto_Detalhado!$C$2:$C$433,"Umidade")),2)</f>
        <v>0</v>
      </c>
    </row>
    <row r="3038" customFormat="false" ht="15" hidden="false" customHeight="false" outlineLevel="0" collapsed="false">
      <c r="A3038" s="27" t="s">
        <v>118</v>
      </c>
      <c r="B3038" s="27" t="s">
        <v>110</v>
      </c>
      <c r="C3038" s="27" t="s">
        <v>50</v>
      </c>
      <c r="D3038" s="27" t="s">
        <v>47</v>
      </c>
      <c r="E3038" s="28" t="n">
        <f aca="false">ROUND((SUMIFS(Acerto_Detalhado!$F$2:$F$433,Acerto_Detalhado!$A$2:$A$433,$C3038,Acerto_Detalhado!$B$2:$B$433,"Ago",Acerto_Detalhado!$C$2:$C$433,"Umidade"))*(SUMIFS(Acerto_Detalhado!$I$2:$I$433,Acerto_Detalhado!$A$2:$A$433,$D3038,Acerto_Detalhado!$B$2:$B$433,"Ago",Acerto_Detalhado!$C$2:$C$433,"Umidade")),2)</f>
        <v>0</v>
      </c>
    </row>
    <row r="3039" customFormat="false" ht="15" hidden="false" customHeight="false" outlineLevel="0" collapsed="false">
      <c r="A3039" s="27" t="s">
        <v>118</v>
      </c>
      <c r="B3039" s="27" t="s">
        <v>110</v>
      </c>
      <c r="C3039" s="27" t="s">
        <v>50</v>
      </c>
      <c r="D3039" s="27" t="s">
        <v>48</v>
      </c>
      <c r="E3039" s="28" t="n">
        <f aca="false">ROUND((SUMIFS(Acerto_Detalhado!$F$2:$F$433,Acerto_Detalhado!$A$2:$A$433,$C3039,Acerto_Detalhado!$B$2:$B$433,"Ago",Acerto_Detalhado!$C$2:$C$433,"Umidade"))*(SUMIFS(Acerto_Detalhado!$I$2:$I$433,Acerto_Detalhado!$A$2:$A$433,$D3039,Acerto_Detalhado!$B$2:$B$433,"Ago",Acerto_Detalhado!$C$2:$C$433,"Umidade")),2)</f>
        <v>0</v>
      </c>
    </row>
    <row r="3040" customFormat="false" ht="15" hidden="false" customHeight="false" outlineLevel="0" collapsed="false">
      <c r="A3040" s="27" t="s">
        <v>118</v>
      </c>
      <c r="B3040" s="27" t="s">
        <v>110</v>
      </c>
      <c r="C3040" s="27" t="s">
        <v>50</v>
      </c>
      <c r="D3040" s="27" t="s">
        <v>49</v>
      </c>
      <c r="E3040" s="28" t="n">
        <f aca="false">ROUND((SUMIFS(Acerto_Detalhado!$F$2:$F$433,Acerto_Detalhado!$A$2:$A$433,$C3040,Acerto_Detalhado!$B$2:$B$433,"Ago",Acerto_Detalhado!$C$2:$C$433,"Umidade"))*(SUMIFS(Acerto_Detalhado!$I$2:$I$433,Acerto_Detalhado!$A$2:$A$433,$D3040,Acerto_Detalhado!$B$2:$B$433,"Ago",Acerto_Detalhado!$C$2:$C$433,"Umidade")),2)</f>
        <v>0</v>
      </c>
    </row>
    <row r="3041" customFormat="false" ht="15" hidden="false" customHeight="false" outlineLevel="0" collapsed="false">
      <c r="A3041" s="27" t="s">
        <v>118</v>
      </c>
      <c r="B3041" s="27" t="s">
        <v>111</v>
      </c>
      <c r="C3041" s="27" t="s">
        <v>39</v>
      </c>
      <c r="D3041" s="27" t="s">
        <v>40</v>
      </c>
      <c r="E3041" s="28" t="n">
        <f aca="false">ROUND((SUMIFS(Acerto_Detalhado!$F$2:$F$433,Acerto_Detalhado!$A$2:$A$433,$C3041,Acerto_Detalhado!$B$2:$B$433,"Ago",Acerto_Detalhado!$C$2:$C$433,"Fibra"))*(SUMIFS(Acerto_Detalhado!$I$2:$I$433,Acerto_Detalhado!$A$2:$A$433,$D3041,Acerto_Detalhado!$B$2:$B$433,"Ago",Acerto_Detalhado!$C$2:$C$433,"Fibra")),2)</f>
        <v>14841.11</v>
      </c>
    </row>
    <row r="3042" customFormat="false" ht="15" hidden="false" customHeight="false" outlineLevel="0" collapsed="false">
      <c r="A3042" s="27" t="s">
        <v>118</v>
      </c>
      <c r="B3042" s="27" t="s">
        <v>111</v>
      </c>
      <c r="C3042" s="27" t="s">
        <v>39</v>
      </c>
      <c r="D3042" s="27" t="s">
        <v>41</v>
      </c>
      <c r="E3042" s="28" t="n">
        <f aca="false">ROUND((SUMIFS(Acerto_Detalhado!$F$2:$F$433,Acerto_Detalhado!$A$2:$A$433,$C3042,Acerto_Detalhado!$B$2:$B$433,"Ago",Acerto_Detalhado!$C$2:$C$433,"Fibra"))*(SUMIFS(Acerto_Detalhado!$I$2:$I$433,Acerto_Detalhado!$A$2:$A$433,$D3042,Acerto_Detalhado!$B$2:$B$433,"Ago",Acerto_Detalhado!$C$2:$C$433,"Fibra")),2)</f>
        <v>26635.96</v>
      </c>
    </row>
    <row r="3043" customFormat="false" ht="15" hidden="false" customHeight="false" outlineLevel="0" collapsed="false">
      <c r="A3043" s="27" t="s">
        <v>118</v>
      </c>
      <c r="B3043" s="27" t="s">
        <v>111</v>
      </c>
      <c r="C3043" s="27" t="s">
        <v>39</v>
      </c>
      <c r="D3043" s="27" t="s">
        <v>42</v>
      </c>
      <c r="E3043" s="28" t="n">
        <f aca="false">ROUND((SUMIFS(Acerto_Detalhado!$F$2:$F$433,Acerto_Detalhado!$A$2:$A$433,$C3043,Acerto_Detalhado!$B$2:$B$433,"Ago",Acerto_Detalhado!$C$2:$C$433,"Fibra"))*(SUMIFS(Acerto_Detalhado!$I$2:$I$433,Acerto_Detalhado!$A$2:$A$433,$D3043,Acerto_Detalhado!$B$2:$B$433,"Ago",Acerto_Detalhado!$C$2:$C$433,"Fibra")),2)</f>
        <v>0</v>
      </c>
    </row>
    <row r="3044" customFormat="false" ht="15" hidden="false" customHeight="false" outlineLevel="0" collapsed="false">
      <c r="A3044" s="27" t="s">
        <v>118</v>
      </c>
      <c r="B3044" s="27" t="s">
        <v>111</v>
      </c>
      <c r="C3044" s="27" t="s">
        <v>39</v>
      </c>
      <c r="D3044" s="27" t="s">
        <v>43</v>
      </c>
      <c r="E3044" s="28" t="n">
        <f aca="false">ROUND((SUMIFS(Acerto_Detalhado!$F$2:$F$433,Acerto_Detalhado!$A$2:$A$433,$C3044,Acerto_Detalhado!$B$2:$B$433,"Ago",Acerto_Detalhado!$C$2:$C$433,"Fibra"))*(SUMIFS(Acerto_Detalhado!$I$2:$I$433,Acerto_Detalhado!$A$2:$A$433,$D3044,Acerto_Detalhado!$B$2:$B$433,"Ago",Acerto_Detalhado!$C$2:$C$433,"Fibra")),2)</f>
        <v>0</v>
      </c>
    </row>
    <row r="3045" customFormat="false" ht="15" hidden="false" customHeight="false" outlineLevel="0" collapsed="false">
      <c r="A3045" s="27" t="s">
        <v>118</v>
      </c>
      <c r="B3045" s="27" t="s">
        <v>111</v>
      </c>
      <c r="C3045" s="27" t="s">
        <v>39</v>
      </c>
      <c r="D3045" s="27" t="s">
        <v>44</v>
      </c>
      <c r="E3045" s="28" t="n">
        <f aca="false">ROUND((SUMIFS(Acerto_Detalhado!$F$2:$F$433,Acerto_Detalhado!$A$2:$A$433,$C3045,Acerto_Detalhado!$B$2:$B$433,"Ago",Acerto_Detalhado!$C$2:$C$433,"Fibra"))*(SUMIFS(Acerto_Detalhado!$I$2:$I$433,Acerto_Detalhado!$A$2:$A$433,$D3045,Acerto_Detalhado!$B$2:$B$433,"Ago",Acerto_Detalhado!$C$2:$C$433,"Fibra")),2)</f>
        <v>0</v>
      </c>
    </row>
    <row r="3046" customFormat="false" ht="15" hidden="false" customHeight="false" outlineLevel="0" collapsed="false">
      <c r="A3046" s="27" t="s">
        <v>118</v>
      </c>
      <c r="B3046" s="27" t="s">
        <v>111</v>
      </c>
      <c r="C3046" s="27" t="s">
        <v>39</v>
      </c>
      <c r="D3046" s="27" t="s">
        <v>45</v>
      </c>
      <c r="E3046" s="28" t="n">
        <f aca="false">ROUND((SUMIFS(Acerto_Detalhado!$F$2:$F$433,Acerto_Detalhado!$A$2:$A$433,$C3046,Acerto_Detalhado!$B$2:$B$433,"Ago",Acerto_Detalhado!$C$2:$C$433,"Fibra"))*(SUMIFS(Acerto_Detalhado!$I$2:$I$433,Acerto_Detalhado!$A$2:$A$433,$D3046,Acerto_Detalhado!$B$2:$B$433,"Ago",Acerto_Detalhado!$C$2:$C$433,"Fibra")),2)</f>
        <v>0</v>
      </c>
    </row>
    <row r="3047" customFormat="false" ht="15" hidden="false" customHeight="false" outlineLevel="0" collapsed="false">
      <c r="A3047" s="27" t="s">
        <v>118</v>
      </c>
      <c r="B3047" s="27" t="s">
        <v>111</v>
      </c>
      <c r="C3047" s="27" t="s">
        <v>39</v>
      </c>
      <c r="D3047" s="27" t="s">
        <v>46</v>
      </c>
      <c r="E3047" s="28" t="n">
        <f aca="false">ROUND((SUMIFS(Acerto_Detalhado!$F$2:$F$433,Acerto_Detalhado!$A$2:$A$433,$C3047,Acerto_Detalhado!$B$2:$B$433,"Ago",Acerto_Detalhado!$C$2:$C$433,"Fibra"))*(SUMIFS(Acerto_Detalhado!$I$2:$I$433,Acerto_Detalhado!$A$2:$A$433,$D3047,Acerto_Detalhado!$B$2:$B$433,"Ago",Acerto_Detalhado!$C$2:$C$433,"Fibra")),2)</f>
        <v>3966.66</v>
      </c>
    </row>
    <row r="3048" customFormat="false" ht="15" hidden="false" customHeight="false" outlineLevel="0" collapsed="false">
      <c r="A3048" s="27" t="s">
        <v>118</v>
      </c>
      <c r="B3048" s="27" t="s">
        <v>111</v>
      </c>
      <c r="C3048" s="27" t="s">
        <v>39</v>
      </c>
      <c r="D3048" s="27" t="s">
        <v>47</v>
      </c>
      <c r="E3048" s="28" t="n">
        <f aca="false">ROUND((SUMIFS(Acerto_Detalhado!$F$2:$F$433,Acerto_Detalhado!$A$2:$A$433,$C3048,Acerto_Detalhado!$B$2:$B$433,"Ago",Acerto_Detalhado!$C$2:$C$433,"Fibra"))*(SUMIFS(Acerto_Detalhado!$I$2:$I$433,Acerto_Detalhado!$A$2:$A$433,$D3048,Acerto_Detalhado!$B$2:$B$433,"Ago",Acerto_Detalhado!$C$2:$C$433,"Fibra")),2)</f>
        <v>0</v>
      </c>
    </row>
    <row r="3049" customFormat="false" ht="15" hidden="false" customHeight="false" outlineLevel="0" collapsed="false">
      <c r="A3049" s="27" t="s">
        <v>118</v>
      </c>
      <c r="B3049" s="27" t="s">
        <v>111</v>
      </c>
      <c r="C3049" s="27" t="s">
        <v>39</v>
      </c>
      <c r="D3049" s="27" t="s">
        <v>48</v>
      </c>
      <c r="E3049" s="28" t="n">
        <f aca="false">ROUND((SUMIFS(Acerto_Detalhado!$F$2:$F$433,Acerto_Detalhado!$A$2:$A$433,$C3049,Acerto_Detalhado!$B$2:$B$433,"Ago",Acerto_Detalhado!$C$2:$C$433,"Fibra"))*(SUMIFS(Acerto_Detalhado!$I$2:$I$433,Acerto_Detalhado!$A$2:$A$433,$D3049,Acerto_Detalhado!$B$2:$B$433,"Ago",Acerto_Detalhado!$C$2:$C$433,"Fibra")),2)</f>
        <v>0</v>
      </c>
    </row>
    <row r="3050" customFormat="false" ht="15" hidden="false" customHeight="false" outlineLevel="0" collapsed="false">
      <c r="A3050" s="27" t="s">
        <v>118</v>
      </c>
      <c r="B3050" s="27" t="s">
        <v>111</v>
      </c>
      <c r="C3050" s="27" t="s">
        <v>39</v>
      </c>
      <c r="D3050" s="27" t="s">
        <v>49</v>
      </c>
      <c r="E3050" s="28" t="n">
        <f aca="false">ROUND((SUMIFS(Acerto_Detalhado!$F$2:$F$433,Acerto_Detalhado!$A$2:$A$433,$C3050,Acerto_Detalhado!$B$2:$B$433,"Ago",Acerto_Detalhado!$C$2:$C$433,"Fibra"))*(SUMIFS(Acerto_Detalhado!$I$2:$I$433,Acerto_Detalhado!$A$2:$A$433,$D3050,Acerto_Detalhado!$B$2:$B$433,"Ago",Acerto_Detalhado!$C$2:$C$433,"Fibra")),2)</f>
        <v>0</v>
      </c>
    </row>
    <row r="3051" customFormat="false" ht="15" hidden="false" customHeight="false" outlineLevel="0" collapsed="false">
      <c r="A3051" s="27" t="s">
        <v>118</v>
      </c>
      <c r="B3051" s="27" t="s">
        <v>111</v>
      </c>
      <c r="C3051" s="27" t="s">
        <v>39</v>
      </c>
      <c r="D3051" s="27" t="s">
        <v>50</v>
      </c>
      <c r="E3051" s="28" t="n">
        <f aca="false">ROUND((SUMIFS(Acerto_Detalhado!$F$2:$F$433,Acerto_Detalhado!$A$2:$A$433,$C3051,Acerto_Detalhado!$B$2:$B$433,"Ago",Acerto_Detalhado!$C$2:$C$433,"Fibra"))*(SUMIFS(Acerto_Detalhado!$I$2:$I$433,Acerto_Detalhado!$A$2:$A$433,$D3051,Acerto_Detalhado!$B$2:$B$433,"Ago",Acerto_Detalhado!$C$2:$C$433,"Fibra")),2)</f>
        <v>0</v>
      </c>
    </row>
    <row r="3052" customFormat="false" ht="15" hidden="false" customHeight="false" outlineLevel="0" collapsed="false">
      <c r="A3052" s="27" t="s">
        <v>118</v>
      </c>
      <c r="B3052" s="27" t="s">
        <v>111</v>
      </c>
      <c r="C3052" s="27" t="s">
        <v>40</v>
      </c>
      <c r="D3052" s="27" t="s">
        <v>39</v>
      </c>
      <c r="E3052" s="28" t="n">
        <f aca="false">ROUND((SUMIFS(Acerto_Detalhado!$F$2:$F$433,Acerto_Detalhado!$A$2:$A$433,$C3052,Acerto_Detalhado!$B$2:$B$433,"Ago",Acerto_Detalhado!$C$2:$C$433,"Fibra"))*(SUMIFS(Acerto_Detalhado!$I$2:$I$433,Acerto_Detalhado!$A$2:$A$433,$D3052,Acerto_Detalhado!$B$2:$B$433,"Ago",Acerto_Detalhado!$C$2:$C$433,"Fibra")),2)</f>
        <v>0</v>
      </c>
    </row>
    <row r="3053" customFormat="false" ht="15" hidden="false" customHeight="false" outlineLevel="0" collapsed="false">
      <c r="A3053" s="27" t="s">
        <v>118</v>
      </c>
      <c r="B3053" s="27" t="s">
        <v>111</v>
      </c>
      <c r="C3053" s="27" t="s">
        <v>40</v>
      </c>
      <c r="D3053" s="27" t="s">
        <v>41</v>
      </c>
      <c r="E3053" s="28" t="n">
        <f aca="false">ROUND((SUMIFS(Acerto_Detalhado!$F$2:$F$433,Acerto_Detalhado!$A$2:$A$433,$C3053,Acerto_Detalhado!$B$2:$B$433,"Ago",Acerto_Detalhado!$C$2:$C$433,"Fibra"))*(SUMIFS(Acerto_Detalhado!$I$2:$I$433,Acerto_Detalhado!$A$2:$A$433,$D3053,Acerto_Detalhado!$B$2:$B$433,"Ago",Acerto_Detalhado!$C$2:$C$433,"Fibra")),2)</f>
        <v>0</v>
      </c>
    </row>
    <row r="3054" customFormat="false" ht="15" hidden="false" customHeight="false" outlineLevel="0" collapsed="false">
      <c r="A3054" s="27" t="s">
        <v>118</v>
      </c>
      <c r="B3054" s="27" t="s">
        <v>111</v>
      </c>
      <c r="C3054" s="27" t="s">
        <v>40</v>
      </c>
      <c r="D3054" s="27" t="s">
        <v>42</v>
      </c>
      <c r="E3054" s="28" t="n">
        <f aca="false">ROUND((SUMIFS(Acerto_Detalhado!$F$2:$F$433,Acerto_Detalhado!$A$2:$A$433,$C3054,Acerto_Detalhado!$B$2:$B$433,"Ago",Acerto_Detalhado!$C$2:$C$433,"Fibra"))*(SUMIFS(Acerto_Detalhado!$I$2:$I$433,Acerto_Detalhado!$A$2:$A$433,$D3054,Acerto_Detalhado!$B$2:$B$433,"Ago",Acerto_Detalhado!$C$2:$C$433,"Fibra")),2)</f>
        <v>0</v>
      </c>
    </row>
    <row r="3055" customFormat="false" ht="15" hidden="false" customHeight="false" outlineLevel="0" collapsed="false">
      <c r="A3055" s="27" t="s">
        <v>118</v>
      </c>
      <c r="B3055" s="27" t="s">
        <v>111</v>
      </c>
      <c r="C3055" s="27" t="s">
        <v>40</v>
      </c>
      <c r="D3055" s="27" t="s">
        <v>43</v>
      </c>
      <c r="E3055" s="28" t="n">
        <f aca="false">ROUND((SUMIFS(Acerto_Detalhado!$F$2:$F$433,Acerto_Detalhado!$A$2:$A$433,$C3055,Acerto_Detalhado!$B$2:$B$433,"Ago",Acerto_Detalhado!$C$2:$C$433,"Fibra"))*(SUMIFS(Acerto_Detalhado!$I$2:$I$433,Acerto_Detalhado!$A$2:$A$433,$D3055,Acerto_Detalhado!$B$2:$B$433,"Ago",Acerto_Detalhado!$C$2:$C$433,"Fibra")),2)</f>
        <v>0</v>
      </c>
    </row>
    <row r="3056" customFormat="false" ht="15" hidden="false" customHeight="false" outlineLevel="0" collapsed="false">
      <c r="A3056" s="27" t="s">
        <v>118</v>
      </c>
      <c r="B3056" s="27" t="s">
        <v>111</v>
      </c>
      <c r="C3056" s="27" t="s">
        <v>40</v>
      </c>
      <c r="D3056" s="27" t="s">
        <v>44</v>
      </c>
      <c r="E3056" s="28" t="n">
        <f aca="false">ROUND((SUMIFS(Acerto_Detalhado!$F$2:$F$433,Acerto_Detalhado!$A$2:$A$433,$C3056,Acerto_Detalhado!$B$2:$B$433,"Ago",Acerto_Detalhado!$C$2:$C$433,"Fibra"))*(SUMIFS(Acerto_Detalhado!$I$2:$I$433,Acerto_Detalhado!$A$2:$A$433,$D3056,Acerto_Detalhado!$B$2:$B$433,"Ago",Acerto_Detalhado!$C$2:$C$433,"Fibra")),2)</f>
        <v>0</v>
      </c>
    </row>
    <row r="3057" customFormat="false" ht="15" hidden="false" customHeight="false" outlineLevel="0" collapsed="false">
      <c r="A3057" s="27" t="s">
        <v>118</v>
      </c>
      <c r="B3057" s="27" t="s">
        <v>111</v>
      </c>
      <c r="C3057" s="27" t="s">
        <v>40</v>
      </c>
      <c r="D3057" s="27" t="s">
        <v>45</v>
      </c>
      <c r="E3057" s="28" t="n">
        <f aca="false">ROUND((SUMIFS(Acerto_Detalhado!$F$2:$F$433,Acerto_Detalhado!$A$2:$A$433,$C3057,Acerto_Detalhado!$B$2:$B$433,"Ago",Acerto_Detalhado!$C$2:$C$433,"Fibra"))*(SUMIFS(Acerto_Detalhado!$I$2:$I$433,Acerto_Detalhado!$A$2:$A$433,$D3057,Acerto_Detalhado!$B$2:$B$433,"Ago",Acerto_Detalhado!$C$2:$C$433,"Fibra")),2)</f>
        <v>0</v>
      </c>
    </row>
    <row r="3058" customFormat="false" ht="15" hidden="false" customHeight="false" outlineLevel="0" collapsed="false">
      <c r="A3058" s="27" t="s">
        <v>118</v>
      </c>
      <c r="B3058" s="27" t="s">
        <v>111</v>
      </c>
      <c r="C3058" s="27" t="s">
        <v>40</v>
      </c>
      <c r="D3058" s="27" t="s">
        <v>46</v>
      </c>
      <c r="E3058" s="28" t="n">
        <f aca="false">ROUND((SUMIFS(Acerto_Detalhado!$F$2:$F$433,Acerto_Detalhado!$A$2:$A$433,$C3058,Acerto_Detalhado!$B$2:$B$433,"Ago",Acerto_Detalhado!$C$2:$C$433,"Fibra"))*(SUMIFS(Acerto_Detalhado!$I$2:$I$433,Acerto_Detalhado!$A$2:$A$433,$D3058,Acerto_Detalhado!$B$2:$B$433,"Ago",Acerto_Detalhado!$C$2:$C$433,"Fibra")),2)</f>
        <v>0</v>
      </c>
    </row>
    <row r="3059" customFormat="false" ht="15" hidden="false" customHeight="false" outlineLevel="0" collapsed="false">
      <c r="A3059" s="27" t="s">
        <v>118</v>
      </c>
      <c r="B3059" s="27" t="s">
        <v>111</v>
      </c>
      <c r="C3059" s="27" t="s">
        <v>40</v>
      </c>
      <c r="D3059" s="27" t="s">
        <v>47</v>
      </c>
      <c r="E3059" s="28" t="n">
        <f aca="false">ROUND((SUMIFS(Acerto_Detalhado!$F$2:$F$433,Acerto_Detalhado!$A$2:$A$433,$C3059,Acerto_Detalhado!$B$2:$B$433,"Ago",Acerto_Detalhado!$C$2:$C$433,"Fibra"))*(SUMIFS(Acerto_Detalhado!$I$2:$I$433,Acerto_Detalhado!$A$2:$A$433,$D3059,Acerto_Detalhado!$B$2:$B$433,"Ago",Acerto_Detalhado!$C$2:$C$433,"Fibra")),2)</f>
        <v>0</v>
      </c>
    </row>
    <row r="3060" customFormat="false" ht="15" hidden="false" customHeight="false" outlineLevel="0" collapsed="false">
      <c r="A3060" s="27" t="s">
        <v>118</v>
      </c>
      <c r="B3060" s="27" t="s">
        <v>111</v>
      </c>
      <c r="C3060" s="27" t="s">
        <v>40</v>
      </c>
      <c r="D3060" s="27" t="s">
        <v>48</v>
      </c>
      <c r="E3060" s="28" t="n">
        <f aca="false">ROUND((SUMIFS(Acerto_Detalhado!$F$2:$F$433,Acerto_Detalhado!$A$2:$A$433,$C3060,Acerto_Detalhado!$B$2:$B$433,"Ago",Acerto_Detalhado!$C$2:$C$433,"Fibra"))*(SUMIFS(Acerto_Detalhado!$I$2:$I$433,Acerto_Detalhado!$A$2:$A$433,$D3060,Acerto_Detalhado!$B$2:$B$433,"Ago",Acerto_Detalhado!$C$2:$C$433,"Fibra")),2)</f>
        <v>0</v>
      </c>
    </row>
    <row r="3061" customFormat="false" ht="15" hidden="false" customHeight="false" outlineLevel="0" collapsed="false">
      <c r="A3061" s="27" t="s">
        <v>118</v>
      </c>
      <c r="B3061" s="27" t="s">
        <v>111</v>
      </c>
      <c r="C3061" s="27" t="s">
        <v>40</v>
      </c>
      <c r="D3061" s="27" t="s">
        <v>49</v>
      </c>
      <c r="E3061" s="28" t="n">
        <f aca="false">ROUND((SUMIFS(Acerto_Detalhado!$F$2:$F$433,Acerto_Detalhado!$A$2:$A$433,$C3061,Acerto_Detalhado!$B$2:$B$433,"Ago",Acerto_Detalhado!$C$2:$C$433,"Fibra"))*(SUMIFS(Acerto_Detalhado!$I$2:$I$433,Acerto_Detalhado!$A$2:$A$433,$D3061,Acerto_Detalhado!$B$2:$B$433,"Ago",Acerto_Detalhado!$C$2:$C$433,"Fibra")),2)</f>
        <v>0</v>
      </c>
    </row>
    <row r="3062" customFormat="false" ht="15" hidden="false" customHeight="false" outlineLevel="0" collapsed="false">
      <c r="A3062" s="27" t="s">
        <v>118</v>
      </c>
      <c r="B3062" s="27" t="s">
        <v>111</v>
      </c>
      <c r="C3062" s="27" t="s">
        <v>40</v>
      </c>
      <c r="D3062" s="27" t="s">
        <v>50</v>
      </c>
      <c r="E3062" s="28" t="n">
        <f aca="false">ROUND((SUMIFS(Acerto_Detalhado!$F$2:$F$433,Acerto_Detalhado!$A$2:$A$433,$C3062,Acerto_Detalhado!$B$2:$B$433,"Ago",Acerto_Detalhado!$C$2:$C$433,"Fibra"))*(SUMIFS(Acerto_Detalhado!$I$2:$I$433,Acerto_Detalhado!$A$2:$A$433,$D3062,Acerto_Detalhado!$B$2:$B$433,"Ago",Acerto_Detalhado!$C$2:$C$433,"Fibra")),2)</f>
        <v>0</v>
      </c>
    </row>
    <row r="3063" customFormat="false" ht="15" hidden="false" customHeight="false" outlineLevel="0" collapsed="false">
      <c r="A3063" s="27" t="s">
        <v>118</v>
      </c>
      <c r="B3063" s="27" t="s">
        <v>111</v>
      </c>
      <c r="C3063" s="27" t="s">
        <v>41</v>
      </c>
      <c r="D3063" s="27" t="s">
        <v>39</v>
      </c>
      <c r="E3063" s="28" t="n">
        <f aca="false">ROUND((SUMIFS(Acerto_Detalhado!$F$2:$F$433,Acerto_Detalhado!$A$2:$A$433,$C3063,Acerto_Detalhado!$B$2:$B$433,"Ago",Acerto_Detalhado!$C$2:$C$433,"Fibra"))*(SUMIFS(Acerto_Detalhado!$I$2:$I$433,Acerto_Detalhado!$A$2:$A$433,$D3063,Acerto_Detalhado!$B$2:$B$433,"Ago",Acerto_Detalhado!$C$2:$C$433,"Fibra")),2)</f>
        <v>0</v>
      </c>
    </row>
    <row r="3064" customFormat="false" ht="15" hidden="false" customHeight="false" outlineLevel="0" collapsed="false">
      <c r="A3064" s="27" t="s">
        <v>118</v>
      </c>
      <c r="B3064" s="27" t="s">
        <v>111</v>
      </c>
      <c r="C3064" s="27" t="s">
        <v>41</v>
      </c>
      <c r="D3064" s="27" t="s">
        <v>40</v>
      </c>
      <c r="E3064" s="28" t="n">
        <f aca="false">ROUND((SUMIFS(Acerto_Detalhado!$F$2:$F$433,Acerto_Detalhado!$A$2:$A$433,$C3064,Acerto_Detalhado!$B$2:$B$433,"Ago",Acerto_Detalhado!$C$2:$C$433,"Fibra"))*(SUMIFS(Acerto_Detalhado!$I$2:$I$433,Acerto_Detalhado!$A$2:$A$433,$D3064,Acerto_Detalhado!$B$2:$B$433,"Ago",Acerto_Detalhado!$C$2:$C$433,"Fibra")),2)</f>
        <v>0</v>
      </c>
    </row>
    <row r="3065" customFormat="false" ht="15" hidden="false" customHeight="false" outlineLevel="0" collapsed="false">
      <c r="A3065" s="27" t="s">
        <v>118</v>
      </c>
      <c r="B3065" s="27" t="s">
        <v>111</v>
      </c>
      <c r="C3065" s="27" t="s">
        <v>41</v>
      </c>
      <c r="D3065" s="27" t="s">
        <v>42</v>
      </c>
      <c r="E3065" s="28" t="n">
        <f aca="false">ROUND((SUMIFS(Acerto_Detalhado!$F$2:$F$433,Acerto_Detalhado!$A$2:$A$433,$C3065,Acerto_Detalhado!$B$2:$B$433,"Ago",Acerto_Detalhado!$C$2:$C$433,"Fibra"))*(SUMIFS(Acerto_Detalhado!$I$2:$I$433,Acerto_Detalhado!$A$2:$A$433,$D3065,Acerto_Detalhado!$B$2:$B$433,"Ago",Acerto_Detalhado!$C$2:$C$433,"Fibra")),2)</f>
        <v>0</v>
      </c>
    </row>
    <row r="3066" customFormat="false" ht="15" hidden="false" customHeight="false" outlineLevel="0" collapsed="false">
      <c r="A3066" s="27" t="s">
        <v>118</v>
      </c>
      <c r="B3066" s="27" t="s">
        <v>111</v>
      </c>
      <c r="C3066" s="27" t="s">
        <v>41</v>
      </c>
      <c r="D3066" s="27" t="s">
        <v>43</v>
      </c>
      <c r="E3066" s="28" t="n">
        <f aca="false">ROUND((SUMIFS(Acerto_Detalhado!$F$2:$F$433,Acerto_Detalhado!$A$2:$A$433,$C3066,Acerto_Detalhado!$B$2:$B$433,"Ago",Acerto_Detalhado!$C$2:$C$433,"Fibra"))*(SUMIFS(Acerto_Detalhado!$I$2:$I$433,Acerto_Detalhado!$A$2:$A$433,$D3066,Acerto_Detalhado!$B$2:$B$433,"Ago",Acerto_Detalhado!$C$2:$C$433,"Fibra")),2)</f>
        <v>0</v>
      </c>
    </row>
    <row r="3067" customFormat="false" ht="15" hidden="false" customHeight="false" outlineLevel="0" collapsed="false">
      <c r="A3067" s="27" t="s">
        <v>118</v>
      </c>
      <c r="B3067" s="27" t="s">
        <v>111</v>
      </c>
      <c r="C3067" s="27" t="s">
        <v>41</v>
      </c>
      <c r="D3067" s="27" t="s">
        <v>44</v>
      </c>
      <c r="E3067" s="28" t="n">
        <f aca="false">ROUND((SUMIFS(Acerto_Detalhado!$F$2:$F$433,Acerto_Detalhado!$A$2:$A$433,$C3067,Acerto_Detalhado!$B$2:$B$433,"Ago",Acerto_Detalhado!$C$2:$C$433,"Fibra"))*(SUMIFS(Acerto_Detalhado!$I$2:$I$433,Acerto_Detalhado!$A$2:$A$433,$D3067,Acerto_Detalhado!$B$2:$B$433,"Ago",Acerto_Detalhado!$C$2:$C$433,"Fibra")),2)</f>
        <v>0</v>
      </c>
    </row>
    <row r="3068" customFormat="false" ht="15" hidden="false" customHeight="false" outlineLevel="0" collapsed="false">
      <c r="A3068" s="27" t="s">
        <v>118</v>
      </c>
      <c r="B3068" s="27" t="s">
        <v>111</v>
      </c>
      <c r="C3068" s="27" t="s">
        <v>41</v>
      </c>
      <c r="D3068" s="27" t="s">
        <v>45</v>
      </c>
      <c r="E3068" s="28" t="n">
        <f aca="false">ROUND((SUMIFS(Acerto_Detalhado!$F$2:$F$433,Acerto_Detalhado!$A$2:$A$433,$C3068,Acerto_Detalhado!$B$2:$B$433,"Ago",Acerto_Detalhado!$C$2:$C$433,"Fibra"))*(SUMIFS(Acerto_Detalhado!$I$2:$I$433,Acerto_Detalhado!$A$2:$A$433,$D3068,Acerto_Detalhado!$B$2:$B$433,"Ago",Acerto_Detalhado!$C$2:$C$433,"Fibra")),2)</f>
        <v>0</v>
      </c>
    </row>
    <row r="3069" customFormat="false" ht="15" hidden="false" customHeight="false" outlineLevel="0" collapsed="false">
      <c r="A3069" s="27" t="s">
        <v>118</v>
      </c>
      <c r="B3069" s="27" t="s">
        <v>111</v>
      </c>
      <c r="C3069" s="27" t="s">
        <v>41</v>
      </c>
      <c r="D3069" s="27" t="s">
        <v>46</v>
      </c>
      <c r="E3069" s="28" t="n">
        <f aca="false">ROUND((SUMIFS(Acerto_Detalhado!$F$2:$F$433,Acerto_Detalhado!$A$2:$A$433,$C3069,Acerto_Detalhado!$B$2:$B$433,"Ago",Acerto_Detalhado!$C$2:$C$433,"Fibra"))*(SUMIFS(Acerto_Detalhado!$I$2:$I$433,Acerto_Detalhado!$A$2:$A$433,$D3069,Acerto_Detalhado!$B$2:$B$433,"Ago",Acerto_Detalhado!$C$2:$C$433,"Fibra")),2)</f>
        <v>0</v>
      </c>
    </row>
    <row r="3070" customFormat="false" ht="15" hidden="false" customHeight="false" outlineLevel="0" collapsed="false">
      <c r="A3070" s="27" t="s">
        <v>118</v>
      </c>
      <c r="B3070" s="27" t="s">
        <v>111</v>
      </c>
      <c r="C3070" s="27" t="s">
        <v>41</v>
      </c>
      <c r="D3070" s="27" t="s">
        <v>47</v>
      </c>
      <c r="E3070" s="28" t="n">
        <f aca="false">ROUND((SUMIFS(Acerto_Detalhado!$F$2:$F$433,Acerto_Detalhado!$A$2:$A$433,$C3070,Acerto_Detalhado!$B$2:$B$433,"Ago",Acerto_Detalhado!$C$2:$C$433,"Fibra"))*(SUMIFS(Acerto_Detalhado!$I$2:$I$433,Acerto_Detalhado!$A$2:$A$433,$D3070,Acerto_Detalhado!$B$2:$B$433,"Ago",Acerto_Detalhado!$C$2:$C$433,"Fibra")),2)</f>
        <v>0</v>
      </c>
    </row>
    <row r="3071" customFormat="false" ht="15" hidden="false" customHeight="false" outlineLevel="0" collapsed="false">
      <c r="A3071" s="27" t="s">
        <v>118</v>
      </c>
      <c r="B3071" s="27" t="s">
        <v>111</v>
      </c>
      <c r="C3071" s="27" t="s">
        <v>41</v>
      </c>
      <c r="D3071" s="27" t="s">
        <v>48</v>
      </c>
      <c r="E3071" s="28" t="n">
        <f aca="false">ROUND((SUMIFS(Acerto_Detalhado!$F$2:$F$433,Acerto_Detalhado!$A$2:$A$433,$C3071,Acerto_Detalhado!$B$2:$B$433,"Ago",Acerto_Detalhado!$C$2:$C$433,"Fibra"))*(SUMIFS(Acerto_Detalhado!$I$2:$I$433,Acerto_Detalhado!$A$2:$A$433,$D3071,Acerto_Detalhado!$B$2:$B$433,"Ago",Acerto_Detalhado!$C$2:$C$433,"Fibra")),2)</f>
        <v>0</v>
      </c>
    </row>
    <row r="3072" customFormat="false" ht="15" hidden="false" customHeight="false" outlineLevel="0" collapsed="false">
      <c r="A3072" s="27" t="s">
        <v>118</v>
      </c>
      <c r="B3072" s="27" t="s">
        <v>111</v>
      </c>
      <c r="C3072" s="27" t="s">
        <v>41</v>
      </c>
      <c r="D3072" s="27" t="s">
        <v>49</v>
      </c>
      <c r="E3072" s="28" t="n">
        <f aca="false">ROUND((SUMIFS(Acerto_Detalhado!$F$2:$F$433,Acerto_Detalhado!$A$2:$A$433,$C3072,Acerto_Detalhado!$B$2:$B$433,"Ago",Acerto_Detalhado!$C$2:$C$433,"Fibra"))*(SUMIFS(Acerto_Detalhado!$I$2:$I$433,Acerto_Detalhado!$A$2:$A$433,$D3072,Acerto_Detalhado!$B$2:$B$433,"Ago",Acerto_Detalhado!$C$2:$C$433,"Fibra")),2)</f>
        <v>0</v>
      </c>
    </row>
    <row r="3073" customFormat="false" ht="15" hidden="false" customHeight="false" outlineLevel="0" collapsed="false">
      <c r="A3073" s="27" t="s">
        <v>118</v>
      </c>
      <c r="B3073" s="27" t="s">
        <v>111</v>
      </c>
      <c r="C3073" s="27" t="s">
        <v>41</v>
      </c>
      <c r="D3073" s="27" t="s">
        <v>50</v>
      </c>
      <c r="E3073" s="28" t="n">
        <f aca="false">ROUND((SUMIFS(Acerto_Detalhado!$F$2:$F$433,Acerto_Detalhado!$A$2:$A$433,$C3073,Acerto_Detalhado!$B$2:$B$433,"Ago",Acerto_Detalhado!$C$2:$C$433,"Fibra"))*(SUMIFS(Acerto_Detalhado!$I$2:$I$433,Acerto_Detalhado!$A$2:$A$433,$D3073,Acerto_Detalhado!$B$2:$B$433,"Ago",Acerto_Detalhado!$C$2:$C$433,"Fibra")),2)</f>
        <v>0</v>
      </c>
    </row>
    <row r="3074" customFormat="false" ht="15" hidden="false" customHeight="false" outlineLevel="0" collapsed="false">
      <c r="A3074" s="27" t="s">
        <v>118</v>
      </c>
      <c r="B3074" s="27" t="s">
        <v>111</v>
      </c>
      <c r="C3074" s="27" t="s">
        <v>42</v>
      </c>
      <c r="D3074" s="27" t="s">
        <v>39</v>
      </c>
      <c r="E3074" s="28" t="n">
        <f aca="false">ROUND((SUMIFS(Acerto_Detalhado!$F$2:$F$433,Acerto_Detalhado!$A$2:$A$433,$C3074,Acerto_Detalhado!$B$2:$B$433,"Ago",Acerto_Detalhado!$C$2:$C$433,"Fibra"))*(SUMIFS(Acerto_Detalhado!$I$2:$I$433,Acerto_Detalhado!$A$2:$A$433,$D3074,Acerto_Detalhado!$B$2:$B$433,"Ago",Acerto_Detalhado!$C$2:$C$433,"Fibra")),2)</f>
        <v>0</v>
      </c>
    </row>
    <row r="3075" customFormat="false" ht="15" hidden="false" customHeight="false" outlineLevel="0" collapsed="false">
      <c r="A3075" s="27" t="s">
        <v>118</v>
      </c>
      <c r="B3075" s="27" t="s">
        <v>111</v>
      </c>
      <c r="C3075" s="27" t="s">
        <v>42</v>
      </c>
      <c r="D3075" s="27" t="s">
        <v>40</v>
      </c>
      <c r="E3075" s="28" t="n">
        <f aca="false">ROUND((SUMIFS(Acerto_Detalhado!$F$2:$F$433,Acerto_Detalhado!$A$2:$A$433,$C3075,Acerto_Detalhado!$B$2:$B$433,"Ago",Acerto_Detalhado!$C$2:$C$433,"Fibra"))*(SUMIFS(Acerto_Detalhado!$I$2:$I$433,Acerto_Detalhado!$A$2:$A$433,$D3075,Acerto_Detalhado!$B$2:$B$433,"Ago",Acerto_Detalhado!$C$2:$C$433,"Fibra")),2)</f>
        <v>1138.7</v>
      </c>
    </row>
    <row r="3076" customFormat="false" ht="15" hidden="false" customHeight="false" outlineLevel="0" collapsed="false">
      <c r="A3076" s="27" t="s">
        <v>118</v>
      </c>
      <c r="B3076" s="27" t="s">
        <v>111</v>
      </c>
      <c r="C3076" s="27" t="s">
        <v>42</v>
      </c>
      <c r="D3076" s="27" t="s">
        <v>41</v>
      </c>
      <c r="E3076" s="28" t="n">
        <f aca="false">ROUND((SUMIFS(Acerto_Detalhado!$F$2:$F$433,Acerto_Detalhado!$A$2:$A$433,$C3076,Acerto_Detalhado!$B$2:$B$433,"Ago",Acerto_Detalhado!$C$2:$C$433,"Fibra"))*(SUMIFS(Acerto_Detalhado!$I$2:$I$433,Acerto_Detalhado!$A$2:$A$433,$D3076,Acerto_Detalhado!$B$2:$B$433,"Ago",Acerto_Detalhado!$C$2:$C$433,"Fibra")),2)</f>
        <v>2043.67</v>
      </c>
    </row>
    <row r="3077" customFormat="false" ht="15" hidden="false" customHeight="false" outlineLevel="0" collapsed="false">
      <c r="A3077" s="27" t="s">
        <v>118</v>
      </c>
      <c r="B3077" s="27" t="s">
        <v>111</v>
      </c>
      <c r="C3077" s="27" t="s">
        <v>42</v>
      </c>
      <c r="D3077" s="27" t="s">
        <v>43</v>
      </c>
      <c r="E3077" s="28" t="n">
        <f aca="false">ROUND((SUMIFS(Acerto_Detalhado!$F$2:$F$433,Acerto_Detalhado!$A$2:$A$433,$C3077,Acerto_Detalhado!$B$2:$B$433,"Ago",Acerto_Detalhado!$C$2:$C$433,"Fibra"))*(SUMIFS(Acerto_Detalhado!$I$2:$I$433,Acerto_Detalhado!$A$2:$A$433,$D3077,Acerto_Detalhado!$B$2:$B$433,"Ago",Acerto_Detalhado!$C$2:$C$433,"Fibra")),2)</f>
        <v>0</v>
      </c>
    </row>
    <row r="3078" customFormat="false" ht="15" hidden="false" customHeight="false" outlineLevel="0" collapsed="false">
      <c r="A3078" s="27" t="s">
        <v>118</v>
      </c>
      <c r="B3078" s="27" t="s">
        <v>111</v>
      </c>
      <c r="C3078" s="27" t="s">
        <v>42</v>
      </c>
      <c r="D3078" s="27" t="s">
        <v>44</v>
      </c>
      <c r="E3078" s="28" t="n">
        <f aca="false">ROUND((SUMIFS(Acerto_Detalhado!$F$2:$F$433,Acerto_Detalhado!$A$2:$A$433,$C3078,Acerto_Detalhado!$B$2:$B$433,"Ago",Acerto_Detalhado!$C$2:$C$433,"Fibra"))*(SUMIFS(Acerto_Detalhado!$I$2:$I$433,Acerto_Detalhado!$A$2:$A$433,$D3078,Acerto_Detalhado!$B$2:$B$433,"Ago",Acerto_Detalhado!$C$2:$C$433,"Fibra")),2)</f>
        <v>0</v>
      </c>
    </row>
    <row r="3079" customFormat="false" ht="15" hidden="false" customHeight="false" outlineLevel="0" collapsed="false">
      <c r="A3079" s="27" t="s">
        <v>118</v>
      </c>
      <c r="B3079" s="27" t="s">
        <v>111</v>
      </c>
      <c r="C3079" s="27" t="s">
        <v>42</v>
      </c>
      <c r="D3079" s="27" t="s">
        <v>45</v>
      </c>
      <c r="E3079" s="28" t="n">
        <f aca="false">ROUND((SUMIFS(Acerto_Detalhado!$F$2:$F$433,Acerto_Detalhado!$A$2:$A$433,$C3079,Acerto_Detalhado!$B$2:$B$433,"Ago",Acerto_Detalhado!$C$2:$C$433,"Fibra"))*(SUMIFS(Acerto_Detalhado!$I$2:$I$433,Acerto_Detalhado!$A$2:$A$433,$D3079,Acerto_Detalhado!$B$2:$B$433,"Ago",Acerto_Detalhado!$C$2:$C$433,"Fibra")),2)</f>
        <v>0</v>
      </c>
    </row>
    <row r="3080" customFormat="false" ht="15" hidden="false" customHeight="false" outlineLevel="0" collapsed="false">
      <c r="A3080" s="27" t="s">
        <v>118</v>
      </c>
      <c r="B3080" s="27" t="s">
        <v>111</v>
      </c>
      <c r="C3080" s="27" t="s">
        <v>42</v>
      </c>
      <c r="D3080" s="27" t="s">
        <v>46</v>
      </c>
      <c r="E3080" s="28" t="n">
        <f aca="false">ROUND((SUMIFS(Acerto_Detalhado!$F$2:$F$433,Acerto_Detalhado!$A$2:$A$433,$C3080,Acerto_Detalhado!$B$2:$B$433,"Ago",Acerto_Detalhado!$C$2:$C$433,"Fibra"))*(SUMIFS(Acerto_Detalhado!$I$2:$I$433,Acerto_Detalhado!$A$2:$A$433,$D3080,Acerto_Detalhado!$B$2:$B$433,"Ago",Acerto_Detalhado!$C$2:$C$433,"Fibra")),2)</f>
        <v>304.35</v>
      </c>
    </row>
    <row r="3081" customFormat="false" ht="15" hidden="false" customHeight="false" outlineLevel="0" collapsed="false">
      <c r="A3081" s="27" t="s">
        <v>118</v>
      </c>
      <c r="B3081" s="27" t="s">
        <v>111</v>
      </c>
      <c r="C3081" s="27" t="s">
        <v>42</v>
      </c>
      <c r="D3081" s="27" t="s">
        <v>47</v>
      </c>
      <c r="E3081" s="28" t="n">
        <f aca="false">ROUND((SUMIFS(Acerto_Detalhado!$F$2:$F$433,Acerto_Detalhado!$A$2:$A$433,$C3081,Acerto_Detalhado!$B$2:$B$433,"Ago",Acerto_Detalhado!$C$2:$C$433,"Fibra"))*(SUMIFS(Acerto_Detalhado!$I$2:$I$433,Acerto_Detalhado!$A$2:$A$433,$D3081,Acerto_Detalhado!$B$2:$B$433,"Ago",Acerto_Detalhado!$C$2:$C$433,"Fibra")),2)</f>
        <v>0</v>
      </c>
    </row>
    <row r="3082" customFormat="false" ht="15" hidden="false" customHeight="false" outlineLevel="0" collapsed="false">
      <c r="A3082" s="27" t="s">
        <v>118</v>
      </c>
      <c r="B3082" s="27" t="s">
        <v>111</v>
      </c>
      <c r="C3082" s="27" t="s">
        <v>42</v>
      </c>
      <c r="D3082" s="27" t="s">
        <v>48</v>
      </c>
      <c r="E3082" s="28" t="n">
        <f aca="false">ROUND((SUMIFS(Acerto_Detalhado!$F$2:$F$433,Acerto_Detalhado!$A$2:$A$433,$C3082,Acerto_Detalhado!$B$2:$B$433,"Ago",Acerto_Detalhado!$C$2:$C$433,"Fibra"))*(SUMIFS(Acerto_Detalhado!$I$2:$I$433,Acerto_Detalhado!$A$2:$A$433,$D3082,Acerto_Detalhado!$B$2:$B$433,"Ago",Acerto_Detalhado!$C$2:$C$433,"Fibra")),2)</f>
        <v>0</v>
      </c>
    </row>
    <row r="3083" customFormat="false" ht="15" hidden="false" customHeight="false" outlineLevel="0" collapsed="false">
      <c r="A3083" s="27" t="s">
        <v>118</v>
      </c>
      <c r="B3083" s="27" t="s">
        <v>111</v>
      </c>
      <c r="C3083" s="27" t="s">
        <v>42</v>
      </c>
      <c r="D3083" s="27" t="s">
        <v>49</v>
      </c>
      <c r="E3083" s="28" t="n">
        <f aca="false">ROUND((SUMIFS(Acerto_Detalhado!$F$2:$F$433,Acerto_Detalhado!$A$2:$A$433,$C3083,Acerto_Detalhado!$B$2:$B$433,"Ago",Acerto_Detalhado!$C$2:$C$433,"Fibra"))*(SUMIFS(Acerto_Detalhado!$I$2:$I$433,Acerto_Detalhado!$A$2:$A$433,$D3083,Acerto_Detalhado!$B$2:$B$433,"Ago",Acerto_Detalhado!$C$2:$C$433,"Fibra")),2)</f>
        <v>0</v>
      </c>
    </row>
    <row r="3084" customFormat="false" ht="15" hidden="false" customHeight="false" outlineLevel="0" collapsed="false">
      <c r="A3084" s="27" t="s">
        <v>118</v>
      </c>
      <c r="B3084" s="27" t="s">
        <v>111</v>
      </c>
      <c r="C3084" s="27" t="s">
        <v>42</v>
      </c>
      <c r="D3084" s="27" t="s">
        <v>50</v>
      </c>
      <c r="E3084" s="28" t="n">
        <f aca="false">ROUND((SUMIFS(Acerto_Detalhado!$F$2:$F$433,Acerto_Detalhado!$A$2:$A$433,$C3084,Acerto_Detalhado!$B$2:$B$433,"Ago",Acerto_Detalhado!$C$2:$C$433,"Fibra"))*(SUMIFS(Acerto_Detalhado!$I$2:$I$433,Acerto_Detalhado!$A$2:$A$433,$D3084,Acerto_Detalhado!$B$2:$B$433,"Ago",Acerto_Detalhado!$C$2:$C$433,"Fibra")),2)</f>
        <v>0</v>
      </c>
    </row>
    <row r="3085" customFormat="false" ht="15" hidden="false" customHeight="false" outlineLevel="0" collapsed="false">
      <c r="A3085" s="27" t="s">
        <v>118</v>
      </c>
      <c r="B3085" s="27" t="s">
        <v>111</v>
      </c>
      <c r="C3085" s="27" t="s">
        <v>43</v>
      </c>
      <c r="D3085" s="27" t="s">
        <v>39</v>
      </c>
      <c r="E3085" s="28" t="n">
        <f aca="false">ROUND((SUMIFS(Acerto_Detalhado!$F$2:$F$433,Acerto_Detalhado!$A$2:$A$433,$C3085,Acerto_Detalhado!$B$2:$B$433,"Ago",Acerto_Detalhado!$C$2:$C$433,"Fibra"))*(SUMIFS(Acerto_Detalhado!$I$2:$I$433,Acerto_Detalhado!$A$2:$A$433,$D3085,Acerto_Detalhado!$B$2:$B$433,"Ago",Acerto_Detalhado!$C$2:$C$433,"Fibra")),2)</f>
        <v>0</v>
      </c>
    </row>
    <row r="3086" customFormat="false" ht="15" hidden="false" customHeight="false" outlineLevel="0" collapsed="false">
      <c r="A3086" s="27" t="s">
        <v>118</v>
      </c>
      <c r="B3086" s="27" t="s">
        <v>111</v>
      </c>
      <c r="C3086" s="27" t="s">
        <v>43</v>
      </c>
      <c r="D3086" s="27" t="s">
        <v>40</v>
      </c>
      <c r="E3086" s="28" t="n">
        <f aca="false">ROUND((SUMIFS(Acerto_Detalhado!$F$2:$F$433,Acerto_Detalhado!$A$2:$A$433,$C3086,Acerto_Detalhado!$B$2:$B$433,"Ago",Acerto_Detalhado!$C$2:$C$433,"Fibra"))*(SUMIFS(Acerto_Detalhado!$I$2:$I$433,Acerto_Detalhado!$A$2:$A$433,$D3086,Acerto_Detalhado!$B$2:$B$433,"Ago",Acerto_Detalhado!$C$2:$C$433,"Fibra")),2)</f>
        <v>13511.63</v>
      </c>
    </row>
    <row r="3087" customFormat="false" ht="15" hidden="false" customHeight="false" outlineLevel="0" collapsed="false">
      <c r="A3087" s="27" t="s">
        <v>118</v>
      </c>
      <c r="B3087" s="27" t="s">
        <v>111</v>
      </c>
      <c r="C3087" s="27" t="s">
        <v>43</v>
      </c>
      <c r="D3087" s="27" t="s">
        <v>41</v>
      </c>
      <c r="E3087" s="28" t="n">
        <f aca="false">ROUND((SUMIFS(Acerto_Detalhado!$F$2:$F$433,Acerto_Detalhado!$A$2:$A$433,$C3087,Acerto_Detalhado!$B$2:$B$433,"Ago",Acerto_Detalhado!$C$2:$C$433,"Fibra"))*(SUMIFS(Acerto_Detalhado!$I$2:$I$433,Acerto_Detalhado!$A$2:$A$433,$D3087,Acerto_Detalhado!$B$2:$B$433,"Ago",Acerto_Detalhado!$C$2:$C$433,"Fibra")),2)</f>
        <v>24249.89</v>
      </c>
    </row>
    <row r="3088" customFormat="false" ht="15" hidden="false" customHeight="false" outlineLevel="0" collapsed="false">
      <c r="A3088" s="27" t="s">
        <v>118</v>
      </c>
      <c r="B3088" s="27" t="s">
        <v>111</v>
      </c>
      <c r="C3088" s="27" t="s">
        <v>43</v>
      </c>
      <c r="D3088" s="27" t="s">
        <v>42</v>
      </c>
      <c r="E3088" s="28" t="n">
        <f aca="false">ROUND((SUMIFS(Acerto_Detalhado!$F$2:$F$433,Acerto_Detalhado!$A$2:$A$433,$C3088,Acerto_Detalhado!$B$2:$B$433,"Ago",Acerto_Detalhado!$C$2:$C$433,"Fibra"))*(SUMIFS(Acerto_Detalhado!$I$2:$I$433,Acerto_Detalhado!$A$2:$A$433,$D3088,Acerto_Detalhado!$B$2:$B$433,"Ago",Acerto_Detalhado!$C$2:$C$433,"Fibra")),2)</f>
        <v>0</v>
      </c>
    </row>
    <row r="3089" customFormat="false" ht="15" hidden="false" customHeight="false" outlineLevel="0" collapsed="false">
      <c r="A3089" s="27" t="s">
        <v>118</v>
      </c>
      <c r="B3089" s="27" t="s">
        <v>111</v>
      </c>
      <c r="C3089" s="27" t="s">
        <v>43</v>
      </c>
      <c r="D3089" s="27" t="s">
        <v>44</v>
      </c>
      <c r="E3089" s="28" t="n">
        <f aca="false">ROUND((SUMIFS(Acerto_Detalhado!$F$2:$F$433,Acerto_Detalhado!$A$2:$A$433,$C3089,Acerto_Detalhado!$B$2:$B$433,"Ago",Acerto_Detalhado!$C$2:$C$433,"Fibra"))*(SUMIFS(Acerto_Detalhado!$I$2:$I$433,Acerto_Detalhado!$A$2:$A$433,$D3089,Acerto_Detalhado!$B$2:$B$433,"Ago",Acerto_Detalhado!$C$2:$C$433,"Fibra")),2)</f>
        <v>0</v>
      </c>
    </row>
    <row r="3090" customFormat="false" ht="15" hidden="false" customHeight="false" outlineLevel="0" collapsed="false">
      <c r="A3090" s="27" t="s">
        <v>118</v>
      </c>
      <c r="B3090" s="27" t="s">
        <v>111</v>
      </c>
      <c r="C3090" s="27" t="s">
        <v>43</v>
      </c>
      <c r="D3090" s="27" t="s">
        <v>45</v>
      </c>
      <c r="E3090" s="28" t="n">
        <f aca="false">ROUND((SUMIFS(Acerto_Detalhado!$F$2:$F$433,Acerto_Detalhado!$A$2:$A$433,$C3090,Acerto_Detalhado!$B$2:$B$433,"Ago",Acerto_Detalhado!$C$2:$C$433,"Fibra"))*(SUMIFS(Acerto_Detalhado!$I$2:$I$433,Acerto_Detalhado!$A$2:$A$433,$D3090,Acerto_Detalhado!$B$2:$B$433,"Ago",Acerto_Detalhado!$C$2:$C$433,"Fibra")),2)</f>
        <v>0</v>
      </c>
    </row>
    <row r="3091" customFormat="false" ht="15" hidden="false" customHeight="false" outlineLevel="0" collapsed="false">
      <c r="A3091" s="27" t="s">
        <v>118</v>
      </c>
      <c r="B3091" s="27" t="s">
        <v>111</v>
      </c>
      <c r="C3091" s="27" t="s">
        <v>43</v>
      </c>
      <c r="D3091" s="27" t="s">
        <v>46</v>
      </c>
      <c r="E3091" s="28" t="n">
        <f aca="false">ROUND((SUMIFS(Acerto_Detalhado!$F$2:$F$433,Acerto_Detalhado!$A$2:$A$433,$C3091,Acerto_Detalhado!$B$2:$B$433,"Ago",Acerto_Detalhado!$C$2:$C$433,"Fibra"))*(SUMIFS(Acerto_Detalhado!$I$2:$I$433,Acerto_Detalhado!$A$2:$A$433,$D3091,Acerto_Detalhado!$B$2:$B$433,"Ago",Acerto_Detalhado!$C$2:$C$433,"Fibra")),2)</f>
        <v>3611.33</v>
      </c>
    </row>
    <row r="3092" customFormat="false" ht="15" hidden="false" customHeight="false" outlineLevel="0" collapsed="false">
      <c r="A3092" s="27" t="s">
        <v>118</v>
      </c>
      <c r="B3092" s="27" t="s">
        <v>111</v>
      </c>
      <c r="C3092" s="27" t="s">
        <v>43</v>
      </c>
      <c r="D3092" s="27" t="s">
        <v>47</v>
      </c>
      <c r="E3092" s="28" t="n">
        <f aca="false">ROUND((SUMIFS(Acerto_Detalhado!$F$2:$F$433,Acerto_Detalhado!$A$2:$A$433,$C3092,Acerto_Detalhado!$B$2:$B$433,"Ago",Acerto_Detalhado!$C$2:$C$433,"Fibra"))*(SUMIFS(Acerto_Detalhado!$I$2:$I$433,Acerto_Detalhado!$A$2:$A$433,$D3092,Acerto_Detalhado!$B$2:$B$433,"Ago",Acerto_Detalhado!$C$2:$C$433,"Fibra")),2)</f>
        <v>0</v>
      </c>
    </row>
    <row r="3093" customFormat="false" ht="15" hidden="false" customHeight="false" outlineLevel="0" collapsed="false">
      <c r="A3093" s="27" t="s">
        <v>118</v>
      </c>
      <c r="B3093" s="27" t="s">
        <v>111</v>
      </c>
      <c r="C3093" s="27" t="s">
        <v>43</v>
      </c>
      <c r="D3093" s="27" t="s">
        <v>48</v>
      </c>
      <c r="E3093" s="28" t="n">
        <f aca="false">ROUND((SUMIFS(Acerto_Detalhado!$F$2:$F$433,Acerto_Detalhado!$A$2:$A$433,$C3093,Acerto_Detalhado!$B$2:$B$433,"Ago",Acerto_Detalhado!$C$2:$C$433,"Fibra"))*(SUMIFS(Acerto_Detalhado!$I$2:$I$433,Acerto_Detalhado!$A$2:$A$433,$D3093,Acerto_Detalhado!$B$2:$B$433,"Ago",Acerto_Detalhado!$C$2:$C$433,"Fibra")),2)</f>
        <v>0</v>
      </c>
    </row>
    <row r="3094" customFormat="false" ht="15" hidden="false" customHeight="false" outlineLevel="0" collapsed="false">
      <c r="A3094" s="27" t="s">
        <v>118</v>
      </c>
      <c r="B3094" s="27" t="s">
        <v>111</v>
      </c>
      <c r="C3094" s="27" t="s">
        <v>43</v>
      </c>
      <c r="D3094" s="27" t="s">
        <v>49</v>
      </c>
      <c r="E3094" s="28" t="n">
        <f aca="false">ROUND((SUMIFS(Acerto_Detalhado!$F$2:$F$433,Acerto_Detalhado!$A$2:$A$433,$C3094,Acerto_Detalhado!$B$2:$B$433,"Ago",Acerto_Detalhado!$C$2:$C$433,"Fibra"))*(SUMIFS(Acerto_Detalhado!$I$2:$I$433,Acerto_Detalhado!$A$2:$A$433,$D3094,Acerto_Detalhado!$B$2:$B$433,"Ago",Acerto_Detalhado!$C$2:$C$433,"Fibra")),2)</f>
        <v>0</v>
      </c>
    </row>
    <row r="3095" customFormat="false" ht="15" hidden="false" customHeight="false" outlineLevel="0" collapsed="false">
      <c r="A3095" s="27" t="s">
        <v>118</v>
      </c>
      <c r="B3095" s="27" t="s">
        <v>111</v>
      </c>
      <c r="C3095" s="27" t="s">
        <v>43</v>
      </c>
      <c r="D3095" s="27" t="s">
        <v>50</v>
      </c>
      <c r="E3095" s="28" t="n">
        <f aca="false">ROUND((SUMIFS(Acerto_Detalhado!$F$2:$F$433,Acerto_Detalhado!$A$2:$A$433,$C3095,Acerto_Detalhado!$B$2:$B$433,"Ago",Acerto_Detalhado!$C$2:$C$433,"Fibra"))*(SUMIFS(Acerto_Detalhado!$I$2:$I$433,Acerto_Detalhado!$A$2:$A$433,$D3095,Acerto_Detalhado!$B$2:$B$433,"Ago",Acerto_Detalhado!$C$2:$C$433,"Fibra")),2)</f>
        <v>0</v>
      </c>
    </row>
    <row r="3096" customFormat="false" ht="15" hidden="false" customHeight="false" outlineLevel="0" collapsed="false">
      <c r="A3096" s="27" t="s">
        <v>118</v>
      </c>
      <c r="B3096" s="27" t="s">
        <v>111</v>
      </c>
      <c r="C3096" s="27" t="s">
        <v>44</v>
      </c>
      <c r="D3096" s="27" t="s">
        <v>39</v>
      </c>
      <c r="E3096" s="28" t="n">
        <f aca="false">ROUND((SUMIFS(Acerto_Detalhado!$F$2:$F$433,Acerto_Detalhado!$A$2:$A$433,$C3096,Acerto_Detalhado!$B$2:$B$433,"Ago",Acerto_Detalhado!$C$2:$C$433,"Fibra"))*(SUMIFS(Acerto_Detalhado!$I$2:$I$433,Acerto_Detalhado!$A$2:$A$433,$D3096,Acerto_Detalhado!$B$2:$B$433,"Ago",Acerto_Detalhado!$C$2:$C$433,"Fibra")),2)</f>
        <v>0</v>
      </c>
    </row>
    <row r="3097" customFormat="false" ht="15" hidden="false" customHeight="false" outlineLevel="0" collapsed="false">
      <c r="A3097" s="27" t="s">
        <v>118</v>
      </c>
      <c r="B3097" s="27" t="s">
        <v>111</v>
      </c>
      <c r="C3097" s="27" t="s">
        <v>44</v>
      </c>
      <c r="D3097" s="27" t="s">
        <v>40</v>
      </c>
      <c r="E3097" s="28" t="n">
        <f aca="false">ROUND((SUMIFS(Acerto_Detalhado!$F$2:$F$433,Acerto_Detalhado!$A$2:$A$433,$C3097,Acerto_Detalhado!$B$2:$B$433,"Ago",Acerto_Detalhado!$C$2:$C$433,"Fibra"))*(SUMIFS(Acerto_Detalhado!$I$2:$I$433,Acerto_Detalhado!$A$2:$A$433,$D3097,Acerto_Detalhado!$B$2:$B$433,"Ago",Acerto_Detalhado!$C$2:$C$433,"Fibra")),2)</f>
        <v>5624.49</v>
      </c>
    </row>
    <row r="3098" customFormat="false" ht="15" hidden="false" customHeight="false" outlineLevel="0" collapsed="false">
      <c r="A3098" s="27" t="s">
        <v>118</v>
      </c>
      <c r="B3098" s="27" t="s">
        <v>111</v>
      </c>
      <c r="C3098" s="27" t="s">
        <v>44</v>
      </c>
      <c r="D3098" s="27" t="s">
        <v>41</v>
      </c>
      <c r="E3098" s="28" t="n">
        <f aca="false">ROUND((SUMIFS(Acerto_Detalhado!$F$2:$F$433,Acerto_Detalhado!$A$2:$A$433,$C3098,Acerto_Detalhado!$B$2:$B$433,"Ago",Acerto_Detalhado!$C$2:$C$433,"Fibra"))*(SUMIFS(Acerto_Detalhado!$I$2:$I$433,Acerto_Detalhado!$A$2:$A$433,$D3098,Acerto_Detalhado!$B$2:$B$433,"Ago",Acerto_Detalhado!$C$2:$C$433,"Fibra")),2)</f>
        <v>10094.5</v>
      </c>
    </row>
    <row r="3099" customFormat="false" ht="15" hidden="false" customHeight="false" outlineLevel="0" collapsed="false">
      <c r="A3099" s="27" t="s">
        <v>118</v>
      </c>
      <c r="B3099" s="27" t="s">
        <v>111</v>
      </c>
      <c r="C3099" s="27" t="s">
        <v>44</v>
      </c>
      <c r="D3099" s="27" t="s">
        <v>42</v>
      </c>
      <c r="E3099" s="28" t="n">
        <f aca="false">ROUND((SUMIFS(Acerto_Detalhado!$F$2:$F$433,Acerto_Detalhado!$A$2:$A$433,$C3099,Acerto_Detalhado!$B$2:$B$433,"Ago",Acerto_Detalhado!$C$2:$C$433,"Fibra"))*(SUMIFS(Acerto_Detalhado!$I$2:$I$433,Acerto_Detalhado!$A$2:$A$433,$D3099,Acerto_Detalhado!$B$2:$B$433,"Ago",Acerto_Detalhado!$C$2:$C$433,"Fibra")),2)</f>
        <v>0</v>
      </c>
    </row>
    <row r="3100" customFormat="false" ht="15" hidden="false" customHeight="false" outlineLevel="0" collapsed="false">
      <c r="A3100" s="27" t="s">
        <v>118</v>
      </c>
      <c r="B3100" s="27" t="s">
        <v>111</v>
      </c>
      <c r="C3100" s="27" t="s">
        <v>44</v>
      </c>
      <c r="D3100" s="27" t="s">
        <v>43</v>
      </c>
      <c r="E3100" s="28" t="n">
        <f aca="false">ROUND((SUMIFS(Acerto_Detalhado!$F$2:$F$433,Acerto_Detalhado!$A$2:$A$433,$C3100,Acerto_Detalhado!$B$2:$B$433,"Ago",Acerto_Detalhado!$C$2:$C$433,"Fibra"))*(SUMIFS(Acerto_Detalhado!$I$2:$I$433,Acerto_Detalhado!$A$2:$A$433,$D3100,Acerto_Detalhado!$B$2:$B$433,"Ago",Acerto_Detalhado!$C$2:$C$433,"Fibra")),2)</f>
        <v>0</v>
      </c>
    </row>
    <row r="3101" customFormat="false" ht="15" hidden="false" customHeight="false" outlineLevel="0" collapsed="false">
      <c r="A3101" s="27" t="s">
        <v>118</v>
      </c>
      <c r="B3101" s="27" t="s">
        <v>111</v>
      </c>
      <c r="C3101" s="27" t="s">
        <v>44</v>
      </c>
      <c r="D3101" s="27" t="s">
        <v>45</v>
      </c>
      <c r="E3101" s="28" t="n">
        <f aca="false">ROUND((SUMIFS(Acerto_Detalhado!$F$2:$F$433,Acerto_Detalhado!$A$2:$A$433,$C3101,Acerto_Detalhado!$B$2:$B$433,"Ago",Acerto_Detalhado!$C$2:$C$433,"Fibra"))*(SUMIFS(Acerto_Detalhado!$I$2:$I$433,Acerto_Detalhado!$A$2:$A$433,$D3101,Acerto_Detalhado!$B$2:$B$433,"Ago",Acerto_Detalhado!$C$2:$C$433,"Fibra")),2)</f>
        <v>0</v>
      </c>
    </row>
    <row r="3102" customFormat="false" ht="15" hidden="false" customHeight="false" outlineLevel="0" collapsed="false">
      <c r="A3102" s="27" t="s">
        <v>118</v>
      </c>
      <c r="B3102" s="27" t="s">
        <v>111</v>
      </c>
      <c r="C3102" s="27" t="s">
        <v>44</v>
      </c>
      <c r="D3102" s="27" t="s">
        <v>46</v>
      </c>
      <c r="E3102" s="28" t="n">
        <f aca="false">ROUND((SUMIFS(Acerto_Detalhado!$F$2:$F$433,Acerto_Detalhado!$A$2:$A$433,$C3102,Acerto_Detalhado!$B$2:$B$433,"Ago",Acerto_Detalhado!$C$2:$C$433,"Fibra"))*(SUMIFS(Acerto_Detalhado!$I$2:$I$433,Acerto_Detalhado!$A$2:$A$433,$D3102,Acerto_Detalhado!$B$2:$B$433,"Ago",Acerto_Detalhado!$C$2:$C$433,"Fibra")),2)</f>
        <v>1503.29</v>
      </c>
    </row>
    <row r="3103" customFormat="false" ht="15" hidden="false" customHeight="false" outlineLevel="0" collapsed="false">
      <c r="A3103" s="27" t="s">
        <v>118</v>
      </c>
      <c r="B3103" s="27" t="s">
        <v>111</v>
      </c>
      <c r="C3103" s="27" t="s">
        <v>44</v>
      </c>
      <c r="D3103" s="27" t="s">
        <v>47</v>
      </c>
      <c r="E3103" s="28" t="n">
        <f aca="false">ROUND((SUMIFS(Acerto_Detalhado!$F$2:$F$433,Acerto_Detalhado!$A$2:$A$433,$C3103,Acerto_Detalhado!$B$2:$B$433,"Ago",Acerto_Detalhado!$C$2:$C$433,"Fibra"))*(SUMIFS(Acerto_Detalhado!$I$2:$I$433,Acerto_Detalhado!$A$2:$A$433,$D3103,Acerto_Detalhado!$B$2:$B$433,"Ago",Acerto_Detalhado!$C$2:$C$433,"Fibra")),2)</f>
        <v>0</v>
      </c>
    </row>
    <row r="3104" customFormat="false" ht="15" hidden="false" customHeight="false" outlineLevel="0" collapsed="false">
      <c r="A3104" s="27" t="s">
        <v>118</v>
      </c>
      <c r="B3104" s="27" t="s">
        <v>111</v>
      </c>
      <c r="C3104" s="27" t="s">
        <v>44</v>
      </c>
      <c r="D3104" s="27" t="s">
        <v>48</v>
      </c>
      <c r="E3104" s="28" t="n">
        <f aca="false">ROUND((SUMIFS(Acerto_Detalhado!$F$2:$F$433,Acerto_Detalhado!$A$2:$A$433,$C3104,Acerto_Detalhado!$B$2:$B$433,"Ago",Acerto_Detalhado!$C$2:$C$433,"Fibra"))*(SUMIFS(Acerto_Detalhado!$I$2:$I$433,Acerto_Detalhado!$A$2:$A$433,$D3104,Acerto_Detalhado!$B$2:$B$433,"Ago",Acerto_Detalhado!$C$2:$C$433,"Fibra")),2)</f>
        <v>0</v>
      </c>
    </row>
    <row r="3105" customFormat="false" ht="15" hidden="false" customHeight="false" outlineLevel="0" collapsed="false">
      <c r="A3105" s="27" t="s">
        <v>118</v>
      </c>
      <c r="B3105" s="27" t="s">
        <v>111</v>
      </c>
      <c r="C3105" s="27" t="s">
        <v>44</v>
      </c>
      <c r="D3105" s="27" t="s">
        <v>49</v>
      </c>
      <c r="E3105" s="28" t="n">
        <f aca="false">ROUND((SUMIFS(Acerto_Detalhado!$F$2:$F$433,Acerto_Detalhado!$A$2:$A$433,$C3105,Acerto_Detalhado!$B$2:$B$433,"Ago",Acerto_Detalhado!$C$2:$C$433,"Fibra"))*(SUMIFS(Acerto_Detalhado!$I$2:$I$433,Acerto_Detalhado!$A$2:$A$433,$D3105,Acerto_Detalhado!$B$2:$B$433,"Ago",Acerto_Detalhado!$C$2:$C$433,"Fibra")),2)</f>
        <v>0</v>
      </c>
    </row>
    <row r="3106" customFormat="false" ht="15" hidden="false" customHeight="false" outlineLevel="0" collapsed="false">
      <c r="A3106" s="27" t="s">
        <v>118</v>
      </c>
      <c r="B3106" s="27" t="s">
        <v>111</v>
      </c>
      <c r="C3106" s="27" t="s">
        <v>44</v>
      </c>
      <c r="D3106" s="27" t="s">
        <v>50</v>
      </c>
      <c r="E3106" s="28" t="n">
        <f aca="false">ROUND((SUMIFS(Acerto_Detalhado!$F$2:$F$433,Acerto_Detalhado!$A$2:$A$433,$C3106,Acerto_Detalhado!$B$2:$B$433,"Ago",Acerto_Detalhado!$C$2:$C$433,"Fibra"))*(SUMIFS(Acerto_Detalhado!$I$2:$I$433,Acerto_Detalhado!$A$2:$A$433,$D3106,Acerto_Detalhado!$B$2:$B$433,"Ago",Acerto_Detalhado!$C$2:$C$433,"Fibra")),2)</f>
        <v>0</v>
      </c>
    </row>
    <row r="3107" customFormat="false" ht="15" hidden="false" customHeight="false" outlineLevel="0" collapsed="false">
      <c r="A3107" s="27" t="s">
        <v>118</v>
      </c>
      <c r="B3107" s="27" t="s">
        <v>111</v>
      </c>
      <c r="C3107" s="27" t="s">
        <v>45</v>
      </c>
      <c r="D3107" s="27" t="s">
        <v>39</v>
      </c>
      <c r="E3107" s="28" t="n">
        <f aca="false">ROUND((SUMIFS(Acerto_Detalhado!$F$2:$F$433,Acerto_Detalhado!$A$2:$A$433,$C3107,Acerto_Detalhado!$B$2:$B$433,"Ago",Acerto_Detalhado!$C$2:$C$433,"Fibra"))*(SUMIFS(Acerto_Detalhado!$I$2:$I$433,Acerto_Detalhado!$A$2:$A$433,$D3107,Acerto_Detalhado!$B$2:$B$433,"Ago",Acerto_Detalhado!$C$2:$C$433,"Fibra")),2)</f>
        <v>0</v>
      </c>
    </row>
    <row r="3108" customFormat="false" ht="15" hidden="false" customHeight="false" outlineLevel="0" collapsed="false">
      <c r="A3108" s="27" t="s">
        <v>118</v>
      </c>
      <c r="B3108" s="27" t="s">
        <v>111</v>
      </c>
      <c r="C3108" s="27" t="s">
        <v>45</v>
      </c>
      <c r="D3108" s="27" t="s">
        <v>40</v>
      </c>
      <c r="E3108" s="28" t="n">
        <f aca="false">ROUND((SUMIFS(Acerto_Detalhado!$F$2:$F$433,Acerto_Detalhado!$A$2:$A$433,$C3108,Acerto_Detalhado!$B$2:$B$433,"Ago",Acerto_Detalhado!$C$2:$C$433,"Fibra"))*(SUMIFS(Acerto_Detalhado!$I$2:$I$433,Acerto_Detalhado!$A$2:$A$433,$D3108,Acerto_Detalhado!$B$2:$B$433,"Ago",Acerto_Detalhado!$C$2:$C$433,"Fibra")),2)</f>
        <v>3548.32</v>
      </c>
    </row>
    <row r="3109" customFormat="false" ht="15" hidden="false" customHeight="false" outlineLevel="0" collapsed="false">
      <c r="A3109" s="27" t="s">
        <v>118</v>
      </c>
      <c r="B3109" s="27" t="s">
        <v>111</v>
      </c>
      <c r="C3109" s="27" t="s">
        <v>45</v>
      </c>
      <c r="D3109" s="27" t="s">
        <v>41</v>
      </c>
      <c r="E3109" s="28" t="n">
        <f aca="false">ROUND((SUMIFS(Acerto_Detalhado!$F$2:$F$433,Acerto_Detalhado!$A$2:$A$433,$C3109,Acerto_Detalhado!$B$2:$B$433,"Ago",Acerto_Detalhado!$C$2:$C$433,"Fibra"))*(SUMIFS(Acerto_Detalhado!$I$2:$I$433,Acerto_Detalhado!$A$2:$A$433,$D3109,Acerto_Detalhado!$B$2:$B$433,"Ago",Acerto_Detalhado!$C$2:$C$433,"Fibra")),2)</f>
        <v>6368.32</v>
      </c>
    </row>
    <row r="3110" customFormat="false" ht="15" hidden="false" customHeight="false" outlineLevel="0" collapsed="false">
      <c r="A3110" s="27" t="s">
        <v>118</v>
      </c>
      <c r="B3110" s="27" t="s">
        <v>111</v>
      </c>
      <c r="C3110" s="27" t="s">
        <v>45</v>
      </c>
      <c r="D3110" s="27" t="s">
        <v>42</v>
      </c>
      <c r="E3110" s="28" t="n">
        <f aca="false">ROUND((SUMIFS(Acerto_Detalhado!$F$2:$F$433,Acerto_Detalhado!$A$2:$A$433,$C3110,Acerto_Detalhado!$B$2:$B$433,"Ago",Acerto_Detalhado!$C$2:$C$433,"Fibra"))*(SUMIFS(Acerto_Detalhado!$I$2:$I$433,Acerto_Detalhado!$A$2:$A$433,$D3110,Acerto_Detalhado!$B$2:$B$433,"Ago",Acerto_Detalhado!$C$2:$C$433,"Fibra")),2)</f>
        <v>0</v>
      </c>
    </row>
    <row r="3111" customFormat="false" ht="15" hidden="false" customHeight="false" outlineLevel="0" collapsed="false">
      <c r="A3111" s="27" t="s">
        <v>118</v>
      </c>
      <c r="B3111" s="27" t="s">
        <v>111</v>
      </c>
      <c r="C3111" s="27" t="s">
        <v>45</v>
      </c>
      <c r="D3111" s="27" t="s">
        <v>43</v>
      </c>
      <c r="E3111" s="28" t="n">
        <f aca="false">ROUND((SUMIFS(Acerto_Detalhado!$F$2:$F$433,Acerto_Detalhado!$A$2:$A$433,$C3111,Acerto_Detalhado!$B$2:$B$433,"Ago",Acerto_Detalhado!$C$2:$C$433,"Fibra"))*(SUMIFS(Acerto_Detalhado!$I$2:$I$433,Acerto_Detalhado!$A$2:$A$433,$D3111,Acerto_Detalhado!$B$2:$B$433,"Ago",Acerto_Detalhado!$C$2:$C$433,"Fibra")),2)</f>
        <v>0</v>
      </c>
    </row>
    <row r="3112" customFormat="false" ht="15" hidden="false" customHeight="false" outlineLevel="0" collapsed="false">
      <c r="A3112" s="27" t="s">
        <v>118</v>
      </c>
      <c r="B3112" s="27" t="s">
        <v>111</v>
      </c>
      <c r="C3112" s="27" t="s">
        <v>45</v>
      </c>
      <c r="D3112" s="27" t="s">
        <v>44</v>
      </c>
      <c r="E3112" s="28" t="n">
        <f aca="false">ROUND((SUMIFS(Acerto_Detalhado!$F$2:$F$433,Acerto_Detalhado!$A$2:$A$433,$C3112,Acerto_Detalhado!$B$2:$B$433,"Ago",Acerto_Detalhado!$C$2:$C$433,"Fibra"))*(SUMIFS(Acerto_Detalhado!$I$2:$I$433,Acerto_Detalhado!$A$2:$A$433,$D3112,Acerto_Detalhado!$B$2:$B$433,"Ago",Acerto_Detalhado!$C$2:$C$433,"Fibra")),2)</f>
        <v>0</v>
      </c>
    </row>
    <row r="3113" customFormat="false" ht="15" hidden="false" customHeight="false" outlineLevel="0" collapsed="false">
      <c r="A3113" s="27" t="s">
        <v>118</v>
      </c>
      <c r="B3113" s="27" t="s">
        <v>111</v>
      </c>
      <c r="C3113" s="27" t="s">
        <v>45</v>
      </c>
      <c r="D3113" s="27" t="s">
        <v>46</v>
      </c>
      <c r="E3113" s="28" t="n">
        <f aca="false">ROUND((SUMIFS(Acerto_Detalhado!$F$2:$F$433,Acerto_Detalhado!$A$2:$A$433,$C3113,Acerto_Detalhado!$B$2:$B$433,"Ago",Acerto_Detalhado!$C$2:$C$433,"Fibra"))*(SUMIFS(Acerto_Detalhado!$I$2:$I$433,Acerto_Detalhado!$A$2:$A$433,$D3113,Acerto_Detalhado!$B$2:$B$433,"Ago",Acerto_Detalhado!$C$2:$C$433,"Fibra")),2)</f>
        <v>948.38</v>
      </c>
    </row>
    <row r="3114" customFormat="false" ht="15" hidden="false" customHeight="false" outlineLevel="0" collapsed="false">
      <c r="A3114" s="27" t="s">
        <v>118</v>
      </c>
      <c r="B3114" s="27" t="s">
        <v>111</v>
      </c>
      <c r="C3114" s="27" t="s">
        <v>45</v>
      </c>
      <c r="D3114" s="27" t="s">
        <v>47</v>
      </c>
      <c r="E3114" s="28" t="n">
        <f aca="false">ROUND((SUMIFS(Acerto_Detalhado!$F$2:$F$433,Acerto_Detalhado!$A$2:$A$433,$C3114,Acerto_Detalhado!$B$2:$B$433,"Ago",Acerto_Detalhado!$C$2:$C$433,"Fibra"))*(SUMIFS(Acerto_Detalhado!$I$2:$I$433,Acerto_Detalhado!$A$2:$A$433,$D3114,Acerto_Detalhado!$B$2:$B$433,"Ago",Acerto_Detalhado!$C$2:$C$433,"Fibra")),2)</f>
        <v>0</v>
      </c>
    </row>
    <row r="3115" customFormat="false" ht="15" hidden="false" customHeight="false" outlineLevel="0" collapsed="false">
      <c r="A3115" s="27" t="s">
        <v>118</v>
      </c>
      <c r="B3115" s="27" t="s">
        <v>111</v>
      </c>
      <c r="C3115" s="27" t="s">
        <v>45</v>
      </c>
      <c r="D3115" s="27" t="s">
        <v>48</v>
      </c>
      <c r="E3115" s="28" t="n">
        <f aca="false">ROUND((SUMIFS(Acerto_Detalhado!$F$2:$F$433,Acerto_Detalhado!$A$2:$A$433,$C3115,Acerto_Detalhado!$B$2:$B$433,"Ago",Acerto_Detalhado!$C$2:$C$433,"Fibra"))*(SUMIFS(Acerto_Detalhado!$I$2:$I$433,Acerto_Detalhado!$A$2:$A$433,$D3115,Acerto_Detalhado!$B$2:$B$433,"Ago",Acerto_Detalhado!$C$2:$C$433,"Fibra")),2)</f>
        <v>0</v>
      </c>
    </row>
    <row r="3116" customFormat="false" ht="15" hidden="false" customHeight="false" outlineLevel="0" collapsed="false">
      <c r="A3116" s="27" t="s">
        <v>118</v>
      </c>
      <c r="B3116" s="27" t="s">
        <v>111</v>
      </c>
      <c r="C3116" s="27" t="s">
        <v>45</v>
      </c>
      <c r="D3116" s="27" t="s">
        <v>49</v>
      </c>
      <c r="E3116" s="28" t="n">
        <f aca="false">ROUND((SUMIFS(Acerto_Detalhado!$F$2:$F$433,Acerto_Detalhado!$A$2:$A$433,$C3116,Acerto_Detalhado!$B$2:$B$433,"Ago",Acerto_Detalhado!$C$2:$C$433,"Fibra"))*(SUMIFS(Acerto_Detalhado!$I$2:$I$433,Acerto_Detalhado!$A$2:$A$433,$D3116,Acerto_Detalhado!$B$2:$B$433,"Ago",Acerto_Detalhado!$C$2:$C$433,"Fibra")),2)</f>
        <v>0</v>
      </c>
    </row>
    <row r="3117" customFormat="false" ht="15" hidden="false" customHeight="false" outlineLevel="0" collapsed="false">
      <c r="A3117" s="27" t="s">
        <v>118</v>
      </c>
      <c r="B3117" s="27" t="s">
        <v>111</v>
      </c>
      <c r="C3117" s="27" t="s">
        <v>45</v>
      </c>
      <c r="D3117" s="27" t="s">
        <v>50</v>
      </c>
      <c r="E3117" s="28" t="n">
        <f aca="false">ROUND((SUMIFS(Acerto_Detalhado!$F$2:$F$433,Acerto_Detalhado!$A$2:$A$433,$C3117,Acerto_Detalhado!$B$2:$B$433,"Ago",Acerto_Detalhado!$C$2:$C$433,"Fibra"))*(SUMIFS(Acerto_Detalhado!$I$2:$I$433,Acerto_Detalhado!$A$2:$A$433,$D3117,Acerto_Detalhado!$B$2:$B$433,"Ago",Acerto_Detalhado!$C$2:$C$433,"Fibra")),2)</f>
        <v>0</v>
      </c>
    </row>
    <row r="3118" customFormat="false" ht="15" hidden="false" customHeight="false" outlineLevel="0" collapsed="false">
      <c r="A3118" s="27" t="s">
        <v>118</v>
      </c>
      <c r="B3118" s="27" t="s">
        <v>111</v>
      </c>
      <c r="C3118" s="27" t="s">
        <v>46</v>
      </c>
      <c r="D3118" s="27" t="s">
        <v>39</v>
      </c>
      <c r="E3118" s="28" t="n">
        <f aca="false">ROUND((SUMIFS(Acerto_Detalhado!$F$2:$F$433,Acerto_Detalhado!$A$2:$A$433,$C3118,Acerto_Detalhado!$B$2:$B$433,"Ago",Acerto_Detalhado!$C$2:$C$433,"Fibra"))*(SUMIFS(Acerto_Detalhado!$I$2:$I$433,Acerto_Detalhado!$A$2:$A$433,$D3118,Acerto_Detalhado!$B$2:$B$433,"Ago",Acerto_Detalhado!$C$2:$C$433,"Fibra")),2)</f>
        <v>0</v>
      </c>
    </row>
    <row r="3119" customFormat="false" ht="15" hidden="false" customHeight="false" outlineLevel="0" collapsed="false">
      <c r="A3119" s="27" t="s">
        <v>118</v>
      </c>
      <c r="B3119" s="27" t="s">
        <v>111</v>
      </c>
      <c r="C3119" s="27" t="s">
        <v>46</v>
      </c>
      <c r="D3119" s="27" t="s">
        <v>40</v>
      </c>
      <c r="E3119" s="28" t="n">
        <f aca="false">ROUND((SUMIFS(Acerto_Detalhado!$F$2:$F$433,Acerto_Detalhado!$A$2:$A$433,$C3119,Acerto_Detalhado!$B$2:$B$433,"Ago",Acerto_Detalhado!$C$2:$C$433,"Fibra"))*(SUMIFS(Acerto_Detalhado!$I$2:$I$433,Acerto_Detalhado!$A$2:$A$433,$D3119,Acerto_Detalhado!$B$2:$B$433,"Ago",Acerto_Detalhado!$C$2:$C$433,"Fibra")),2)</f>
        <v>0</v>
      </c>
    </row>
    <row r="3120" customFormat="false" ht="15" hidden="false" customHeight="false" outlineLevel="0" collapsed="false">
      <c r="A3120" s="27" t="s">
        <v>118</v>
      </c>
      <c r="B3120" s="27" t="s">
        <v>111</v>
      </c>
      <c r="C3120" s="27" t="s">
        <v>46</v>
      </c>
      <c r="D3120" s="27" t="s">
        <v>41</v>
      </c>
      <c r="E3120" s="28" t="n">
        <f aca="false">ROUND((SUMIFS(Acerto_Detalhado!$F$2:$F$433,Acerto_Detalhado!$A$2:$A$433,$C3120,Acerto_Detalhado!$B$2:$B$433,"Ago",Acerto_Detalhado!$C$2:$C$433,"Fibra"))*(SUMIFS(Acerto_Detalhado!$I$2:$I$433,Acerto_Detalhado!$A$2:$A$433,$D3120,Acerto_Detalhado!$B$2:$B$433,"Ago",Acerto_Detalhado!$C$2:$C$433,"Fibra")),2)</f>
        <v>0</v>
      </c>
    </row>
    <row r="3121" customFormat="false" ht="15" hidden="false" customHeight="false" outlineLevel="0" collapsed="false">
      <c r="A3121" s="27" t="s">
        <v>118</v>
      </c>
      <c r="B3121" s="27" t="s">
        <v>111</v>
      </c>
      <c r="C3121" s="27" t="s">
        <v>46</v>
      </c>
      <c r="D3121" s="27" t="s">
        <v>42</v>
      </c>
      <c r="E3121" s="28" t="n">
        <f aca="false">ROUND((SUMIFS(Acerto_Detalhado!$F$2:$F$433,Acerto_Detalhado!$A$2:$A$433,$C3121,Acerto_Detalhado!$B$2:$B$433,"Ago",Acerto_Detalhado!$C$2:$C$433,"Fibra"))*(SUMIFS(Acerto_Detalhado!$I$2:$I$433,Acerto_Detalhado!$A$2:$A$433,$D3121,Acerto_Detalhado!$B$2:$B$433,"Ago",Acerto_Detalhado!$C$2:$C$433,"Fibra")),2)</f>
        <v>0</v>
      </c>
    </row>
    <row r="3122" customFormat="false" ht="15" hidden="false" customHeight="false" outlineLevel="0" collapsed="false">
      <c r="A3122" s="27" t="s">
        <v>118</v>
      </c>
      <c r="B3122" s="27" t="s">
        <v>111</v>
      </c>
      <c r="C3122" s="27" t="s">
        <v>46</v>
      </c>
      <c r="D3122" s="27" t="s">
        <v>43</v>
      </c>
      <c r="E3122" s="28" t="n">
        <f aca="false">ROUND((SUMIFS(Acerto_Detalhado!$F$2:$F$433,Acerto_Detalhado!$A$2:$A$433,$C3122,Acerto_Detalhado!$B$2:$B$433,"Ago",Acerto_Detalhado!$C$2:$C$433,"Fibra"))*(SUMIFS(Acerto_Detalhado!$I$2:$I$433,Acerto_Detalhado!$A$2:$A$433,$D3122,Acerto_Detalhado!$B$2:$B$433,"Ago",Acerto_Detalhado!$C$2:$C$433,"Fibra")),2)</f>
        <v>0</v>
      </c>
    </row>
    <row r="3123" customFormat="false" ht="15" hidden="false" customHeight="false" outlineLevel="0" collapsed="false">
      <c r="A3123" s="27" t="s">
        <v>118</v>
      </c>
      <c r="B3123" s="27" t="s">
        <v>111</v>
      </c>
      <c r="C3123" s="27" t="s">
        <v>46</v>
      </c>
      <c r="D3123" s="27" t="s">
        <v>44</v>
      </c>
      <c r="E3123" s="28" t="n">
        <f aca="false">ROUND((SUMIFS(Acerto_Detalhado!$F$2:$F$433,Acerto_Detalhado!$A$2:$A$433,$C3123,Acerto_Detalhado!$B$2:$B$433,"Ago",Acerto_Detalhado!$C$2:$C$433,"Fibra"))*(SUMIFS(Acerto_Detalhado!$I$2:$I$433,Acerto_Detalhado!$A$2:$A$433,$D3123,Acerto_Detalhado!$B$2:$B$433,"Ago",Acerto_Detalhado!$C$2:$C$433,"Fibra")),2)</f>
        <v>0</v>
      </c>
    </row>
    <row r="3124" customFormat="false" ht="15" hidden="false" customHeight="false" outlineLevel="0" collapsed="false">
      <c r="A3124" s="27" t="s">
        <v>118</v>
      </c>
      <c r="B3124" s="27" t="s">
        <v>111</v>
      </c>
      <c r="C3124" s="27" t="s">
        <v>46</v>
      </c>
      <c r="D3124" s="27" t="s">
        <v>45</v>
      </c>
      <c r="E3124" s="28" t="n">
        <f aca="false">ROUND((SUMIFS(Acerto_Detalhado!$F$2:$F$433,Acerto_Detalhado!$A$2:$A$433,$C3124,Acerto_Detalhado!$B$2:$B$433,"Ago",Acerto_Detalhado!$C$2:$C$433,"Fibra"))*(SUMIFS(Acerto_Detalhado!$I$2:$I$433,Acerto_Detalhado!$A$2:$A$433,$D3124,Acerto_Detalhado!$B$2:$B$433,"Ago",Acerto_Detalhado!$C$2:$C$433,"Fibra")),2)</f>
        <v>0</v>
      </c>
    </row>
    <row r="3125" customFormat="false" ht="15" hidden="false" customHeight="false" outlineLevel="0" collapsed="false">
      <c r="A3125" s="27" t="s">
        <v>118</v>
      </c>
      <c r="B3125" s="27" t="s">
        <v>111</v>
      </c>
      <c r="C3125" s="27" t="s">
        <v>46</v>
      </c>
      <c r="D3125" s="27" t="s">
        <v>47</v>
      </c>
      <c r="E3125" s="28" t="n">
        <f aca="false">ROUND((SUMIFS(Acerto_Detalhado!$F$2:$F$433,Acerto_Detalhado!$A$2:$A$433,$C3125,Acerto_Detalhado!$B$2:$B$433,"Ago",Acerto_Detalhado!$C$2:$C$433,"Fibra"))*(SUMIFS(Acerto_Detalhado!$I$2:$I$433,Acerto_Detalhado!$A$2:$A$433,$D3125,Acerto_Detalhado!$B$2:$B$433,"Ago",Acerto_Detalhado!$C$2:$C$433,"Fibra")),2)</f>
        <v>0</v>
      </c>
    </row>
    <row r="3126" customFormat="false" ht="15" hidden="false" customHeight="false" outlineLevel="0" collapsed="false">
      <c r="A3126" s="27" t="s">
        <v>118</v>
      </c>
      <c r="B3126" s="27" t="s">
        <v>111</v>
      </c>
      <c r="C3126" s="27" t="s">
        <v>46</v>
      </c>
      <c r="D3126" s="27" t="s">
        <v>48</v>
      </c>
      <c r="E3126" s="28" t="n">
        <f aca="false">ROUND((SUMIFS(Acerto_Detalhado!$F$2:$F$433,Acerto_Detalhado!$A$2:$A$433,$C3126,Acerto_Detalhado!$B$2:$B$433,"Ago",Acerto_Detalhado!$C$2:$C$433,"Fibra"))*(SUMIFS(Acerto_Detalhado!$I$2:$I$433,Acerto_Detalhado!$A$2:$A$433,$D3126,Acerto_Detalhado!$B$2:$B$433,"Ago",Acerto_Detalhado!$C$2:$C$433,"Fibra")),2)</f>
        <v>0</v>
      </c>
    </row>
    <row r="3127" customFormat="false" ht="15" hidden="false" customHeight="false" outlineLevel="0" collapsed="false">
      <c r="A3127" s="27" t="s">
        <v>118</v>
      </c>
      <c r="B3127" s="27" t="s">
        <v>111</v>
      </c>
      <c r="C3127" s="27" t="s">
        <v>46</v>
      </c>
      <c r="D3127" s="27" t="s">
        <v>49</v>
      </c>
      <c r="E3127" s="28" t="n">
        <f aca="false">ROUND((SUMIFS(Acerto_Detalhado!$F$2:$F$433,Acerto_Detalhado!$A$2:$A$433,$C3127,Acerto_Detalhado!$B$2:$B$433,"Ago",Acerto_Detalhado!$C$2:$C$433,"Fibra"))*(SUMIFS(Acerto_Detalhado!$I$2:$I$433,Acerto_Detalhado!$A$2:$A$433,$D3127,Acerto_Detalhado!$B$2:$B$433,"Ago",Acerto_Detalhado!$C$2:$C$433,"Fibra")),2)</f>
        <v>0</v>
      </c>
    </row>
    <row r="3128" customFormat="false" ht="15" hidden="false" customHeight="false" outlineLevel="0" collapsed="false">
      <c r="A3128" s="27" t="s">
        <v>118</v>
      </c>
      <c r="B3128" s="27" t="s">
        <v>111</v>
      </c>
      <c r="C3128" s="27" t="s">
        <v>46</v>
      </c>
      <c r="D3128" s="27" t="s">
        <v>50</v>
      </c>
      <c r="E3128" s="28" t="n">
        <f aca="false">ROUND((SUMIFS(Acerto_Detalhado!$F$2:$F$433,Acerto_Detalhado!$A$2:$A$433,$C3128,Acerto_Detalhado!$B$2:$B$433,"Ago",Acerto_Detalhado!$C$2:$C$433,"Fibra"))*(SUMIFS(Acerto_Detalhado!$I$2:$I$433,Acerto_Detalhado!$A$2:$A$433,$D3128,Acerto_Detalhado!$B$2:$B$433,"Ago",Acerto_Detalhado!$C$2:$C$433,"Fibra")),2)</f>
        <v>0</v>
      </c>
    </row>
    <row r="3129" customFormat="false" ht="15" hidden="false" customHeight="false" outlineLevel="0" collapsed="false">
      <c r="A3129" s="27" t="s">
        <v>118</v>
      </c>
      <c r="B3129" s="27" t="s">
        <v>111</v>
      </c>
      <c r="C3129" s="27" t="s">
        <v>47</v>
      </c>
      <c r="D3129" s="27" t="s">
        <v>39</v>
      </c>
      <c r="E3129" s="28" t="n">
        <f aca="false">ROUND((SUMIFS(Acerto_Detalhado!$F$2:$F$433,Acerto_Detalhado!$A$2:$A$433,$C3129,Acerto_Detalhado!$B$2:$B$433,"Ago",Acerto_Detalhado!$C$2:$C$433,"Fibra"))*(SUMIFS(Acerto_Detalhado!$I$2:$I$433,Acerto_Detalhado!$A$2:$A$433,$D3129,Acerto_Detalhado!$B$2:$B$433,"Ago",Acerto_Detalhado!$C$2:$C$433,"Fibra")),2)</f>
        <v>0</v>
      </c>
    </row>
    <row r="3130" customFormat="false" ht="15" hidden="false" customHeight="false" outlineLevel="0" collapsed="false">
      <c r="A3130" s="27" t="s">
        <v>118</v>
      </c>
      <c r="B3130" s="27" t="s">
        <v>111</v>
      </c>
      <c r="C3130" s="27" t="s">
        <v>47</v>
      </c>
      <c r="D3130" s="27" t="s">
        <v>40</v>
      </c>
      <c r="E3130" s="28" t="n">
        <f aca="false">ROUND((SUMIFS(Acerto_Detalhado!$F$2:$F$433,Acerto_Detalhado!$A$2:$A$433,$C3130,Acerto_Detalhado!$B$2:$B$433,"Ago",Acerto_Detalhado!$C$2:$C$433,"Fibra"))*(SUMIFS(Acerto_Detalhado!$I$2:$I$433,Acerto_Detalhado!$A$2:$A$433,$D3130,Acerto_Detalhado!$B$2:$B$433,"Ago",Acerto_Detalhado!$C$2:$C$433,"Fibra")),2)</f>
        <v>0</v>
      </c>
    </row>
    <row r="3131" customFormat="false" ht="15" hidden="false" customHeight="false" outlineLevel="0" collapsed="false">
      <c r="A3131" s="27" t="s">
        <v>118</v>
      </c>
      <c r="B3131" s="27" t="s">
        <v>111</v>
      </c>
      <c r="C3131" s="27" t="s">
        <v>47</v>
      </c>
      <c r="D3131" s="27" t="s">
        <v>41</v>
      </c>
      <c r="E3131" s="28" t="n">
        <f aca="false">ROUND((SUMIFS(Acerto_Detalhado!$F$2:$F$433,Acerto_Detalhado!$A$2:$A$433,$C3131,Acerto_Detalhado!$B$2:$B$433,"Ago",Acerto_Detalhado!$C$2:$C$433,"Fibra"))*(SUMIFS(Acerto_Detalhado!$I$2:$I$433,Acerto_Detalhado!$A$2:$A$433,$D3131,Acerto_Detalhado!$B$2:$B$433,"Ago",Acerto_Detalhado!$C$2:$C$433,"Fibra")),2)</f>
        <v>0</v>
      </c>
    </row>
    <row r="3132" customFormat="false" ht="15" hidden="false" customHeight="false" outlineLevel="0" collapsed="false">
      <c r="A3132" s="27" t="s">
        <v>118</v>
      </c>
      <c r="B3132" s="27" t="s">
        <v>111</v>
      </c>
      <c r="C3132" s="27" t="s">
        <v>47</v>
      </c>
      <c r="D3132" s="27" t="s">
        <v>42</v>
      </c>
      <c r="E3132" s="28" t="n">
        <f aca="false">ROUND((SUMIFS(Acerto_Detalhado!$F$2:$F$433,Acerto_Detalhado!$A$2:$A$433,$C3132,Acerto_Detalhado!$B$2:$B$433,"Ago",Acerto_Detalhado!$C$2:$C$433,"Fibra"))*(SUMIFS(Acerto_Detalhado!$I$2:$I$433,Acerto_Detalhado!$A$2:$A$433,$D3132,Acerto_Detalhado!$B$2:$B$433,"Ago",Acerto_Detalhado!$C$2:$C$433,"Fibra")),2)</f>
        <v>0</v>
      </c>
    </row>
    <row r="3133" customFormat="false" ht="15" hidden="false" customHeight="false" outlineLevel="0" collapsed="false">
      <c r="A3133" s="27" t="s">
        <v>118</v>
      </c>
      <c r="B3133" s="27" t="s">
        <v>111</v>
      </c>
      <c r="C3133" s="27" t="s">
        <v>47</v>
      </c>
      <c r="D3133" s="27" t="s">
        <v>43</v>
      </c>
      <c r="E3133" s="28" t="n">
        <f aca="false">ROUND((SUMIFS(Acerto_Detalhado!$F$2:$F$433,Acerto_Detalhado!$A$2:$A$433,$C3133,Acerto_Detalhado!$B$2:$B$433,"Ago",Acerto_Detalhado!$C$2:$C$433,"Fibra"))*(SUMIFS(Acerto_Detalhado!$I$2:$I$433,Acerto_Detalhado!$A$2:$A$433,$D3133,Acerto_Detalhado!$B$2:$B$433,"Ago",Acerto_Detalhado!$C$2:$C$433,"Fibra")),2)</f>
        <v>0</v>
      </c>
    </row>
    <row r="3134" customFormat="false" ht="15" hidden="false" customHeight="false" outlineLevel="0" collapsed="false">
      <c r="A3134" s="27" t="s">
        <v>118</v>
      </c>
      <c r="B3134" s="27" t="s">
        <v>111</v>
      </c>
      <c r="C3134" s="27" t="s">
        <v>47</v>
      </c>
      <c r="D3134" s="27" t="s">
        <v>44</v>
      </c>
      <c r="E3134" s="28" t="n">
        <f aca="false">ROUND((SUMIFS(Acerto_Detalhado!$F$2:$F$433,Acerto_Detalhado!$A$2:$A$433,$C3134,Acerto_Detalhado!$B$2:$B$433,"Ago",Acerto_Detalhado!$C$2:$C$433,"Fibra"))*(SUMIFS(Acerto_Detalhado!$I$2:$I$433,Acerto_Detalhado!$A$2:$A$433,$D3134,Acerto_Detalhado!$B$2:$B$433,"Ago",Acerto_Detalhado!$C$2:$C$433,"Fibra")),2)</f>
        <v>0</v>
      </c>
    </row>
    <row r="3135" customFormat="false" ht="15" hidden="false" customHeight="false" outlineLevel="0" collapsed="false">
      <c r="A3135" s="27" t="s">
        <v>118</v>
      </c>
      <c r="B3135" s="27" t="s">
        <v>111</v>
      </c>
      <c r="C3135" s="27" t="s">
        <v>47</v>
      </c>
      <c r="D3135" s="27" t="s">
        <v>45</v>
      </c>
      <c r="E3135" s="28" t="n">
        <f aca="false">ROUND((SUMIFS(Acerto_Detalhado!$F$2:$F$433,Acerto_Detalhado!$A$2:$A$433,$C3135,Acerto_Detalhado!$B$2:$B$433,"Ago",Acerto_Detalhado!$C$2:$C$433,"Fibra"))*(SUMIFS(Acerto_Detalhado!$I$2:$I$433,Acerto_Detalhado!$A$2:$A$433,$D3135,Acerto_Detalhado!$B$2:$B$433,"Ago",Acerto_Detalhado!$C$2:$C$433,"Fibra")),2)</f>
        <v>0</v>
      </c>
    </row>
    <row r="3136" customFormat="false" ht="15" hidden="false" customHeight="false" outlineLevel="0" collapsed="false">
      <c r="A3136" s="27" t="s">
        <v>118</v>
      </c>
      <c r="B3136" s="27" t="s">
        <v>111</v>
      </c>
      <c r="C3136" s="27" t="s">
        <v>47</v>
      </c>
      <c r="D3136" s="27" t="s">
        <v>46</v>
      </c>
      <c r="E3136" s="28" t="n">
        <f aca="false">ROUND((SUMIFS(Acerto_Detalhado!$F$2:$F$433,Acerto_Detalhado!$A$2:$A$433,$C3136,Acerto_Detalhado!$B$2:$B$433,"Ago",Acerto_Detalhado!$C$2:$C$433,"Fibra"))*(SUMIFS(Acerto_Detalhado!$I$2:$I$433,Acerto_Detalhado!$A$2:$A$433,$D3136,Acerto_Detalhado!$B$2:$B$433,"Ago",Acerto_Detalhado!$C$2:$C$433,"Fibra")),2)</f>
        <v>0</v>
      </c>
    </row>
    <row r="3137" customFormat="false" ht="15" hidden="false" customHeight="false" outlineLevel="0" collapsed="false">
      <c r="A3137" s="27" t="s">
        <v>118</v>
      </c>
      <c r="B3137" s="27" t="s">
        <v>111</v>
      </c>
      <c r="C3137" s="27" t="s">
        <v>47</v>
      </c>
      <c r="D3137" s="27" t="s">
        <v>48</v>
      </c>
      <c r="E3137" s="28" t="n">
        <f aca="false">ROUND((SUMIFS(Acerto_Detalhado!$F$2:$F$433,Acerto_Detalhado!$A$2:$A$433,$C3137,Acerto_Detalhado!$B$2:$B$433,"Ago",Acerto_Detalhado!$C$2:$C$433,"Fibra"))*(SUMIFS(Acerto_Detalhado!$I$2:$I$433,Acerto_Detalhado!$A$2:$A$433,$D3137,Acerto_Detalhado!$B$2:$B$433,"Ago",Acerto_Detalhado!$C$2:$C$433,"Fibra")),2)</f>
        <v>0</v>
      </c>
    </row>
    <row r="3138" customFormat="false" ht="15" hidden="false" customHeight="false" outlineLevel="0" collapsed="false">
      <c r="A3138" s="27" t="s">
        <v>118</v>
      </c>
      <c r="B3138" s="27" t="s">
        <v>111</v>
      </c>
      <c r="C3138" s="27" t="s">
        <v>47</v>
      </c>
      <c r="D3138" s="27" t="s">
        <v>49</v>
      </c>
      <c r="E3138" s="28" t="n">
        <f aca="false">ROUND((SUMIFS(Acerto_Detalhado!$F$2:$F$433,Acerto_Detalhado!$A$2:$A$433,$C3138,Acerto_Detalhado!$B$2:$B$433,"Ago",Acerto_Detalhado!$C$2:$C$433,"Fibra"))*(SUMIFS(Acerto_Detalhado!$I$2:$I$433,Acerto_Detalhado!$A$2:$A$433,$D3138,Acerto_Detalhado!$B$2:$B$433,"Ago",Acerto_Detalhado!$C$2:$C$433,"Fibra")),2)</f>
        <v>0</v>
      </c>
    </row>
    <row r="3139" customFormat="false" ht="15" hidden="false" customHeight="false" outlineLevel="0" collapsed="false">
      <c r="A3139" s="27" t="s">
        <v>118</v>
      </c>
      <c r="B3139" s="27" t="s">
        <v>111</v>
      </c>
      <c r="C3139" s="27" t="s">
        <v>47</v>
      </c>
      <c r="D3139" s="27" t="s">
        <v>50</v>
      </c>
      <c r="E3139" s="28" t="n">
        <f aca="false">ROUND((SUMIFS(Acerto_Detalhado!$F$2:$F$433,Acerto_Detalhado!$A$2:$A$433,$C3139,Acerto_Detalhado!$B$2:$B$433,"Ago",Acerto_Detalhado!$C$2:$C$433,"Fibra"))*(SUMIFS(Acerto_Detalhado!$I$2:$I$433,Acerto_Detalhado!$A$2:$A$433,$D3139,Acerto_Detalhado!$B$2:$B$433,"Ago",Acerto_Detalhado!$C$2:$C$433,"Fibra")),2)</f>
        <v>0</v>
      </c>
    </row>
    <row r="3140" customFormat="false" ht="15" hidden="false" customHeight="false" outlineLevel="0" collapsed="false">
      <c r="A3140" s="27" t="s">
        <v>118</v>
      </c>
      <c r="B3140" s="27" t="s">
        <v>111</v>
      </c>
      <c r="C3140" s="27" t="s">
        <v>48</v>
      </c>
      <c r="D3140" s="27" t="s">
        <v>39</v>
      </c>
      <c r="E3140" s="28" t="n">
        <f aca="false">ROUND((SUMIFS(Acerto_Detalhado!$F$2:$F$433,Acerto_Detalhado!$A$2:$A$433,$C3140,Acerto_Detalhado!$B$2:$B$433,"Ago",Acerto_Detalhado!$C$2:$C$433,"Fibra"))*(SUMIFS(Acerto_Detalhado!$I$2:$I$433,Acerto_Detalhado!$A$2:$A$433,$D3140,Acerto_Detalhado!$B$2:$B$433,"Ago",Acerto_Detalhado!$C$2:$C$433,"Fibra")),2)</f>
        <v>0</v>
      </c>
    </row>
    <row r="3141" customFormat="false" ht="15" hidden="false" customHeight="false" outlineLevel="0" collapsed="false">
      <c r="A3141" s="27" t="s">
        <v>118</v>
      </c>
      <c r="B3141" s="27" t="s">
        <v>111</v>
      </c>
      <c r="C3141" s="27" t="s">
        <v>48</v>
      </c>
      <c r="D3141" s="27" t="s">
        <v>40</v>
      </c>
      <c r="E3141" s="28" t="n">
        <f aca="false">ROUND((SUMIFS(Acerto_Detalhado!$F$2:$F$433,Acerto_Detalhado!$A$2:$A$433,$C3141,Acerto_Detalhado!$B$2:$B$433,"Ago",Acerto_Detalhado!$C$2:$C$433,"Fibra"))*(SUMIFS(Acerto_Detalhado!$I$2:$I$433,Acerto_Detalhado!$A$2:$A$433,$D3141,Acerto_Detalhado!$B$2:$B$433,"Ago",Acerto_Detalhado!$C$2:$C$433,"Fibra")),2)</f>
        <v>4443.2</v>
      </c>
    </row>
    <row r="3142" customFormat="false" ht="15" hidden="false" customHeight="false" outlineLevel="0" collapsed="false">
      <c r="A3142" s="27" t="s">
        <v>118</v>
      </c>
      <c r="B3142" s="27" t="s">
        <v>111</v>
      </c>
      <c r="C3142" s="27" t="s">
        <v>48</v>
      </c>
      <c r="D3142" s="27" t="s">
        <v>41</v>
      </c>
      <c r="E3142" s="28" t="n">
        <f aca="false">ROUND((SUMIFS(Acerto_Detalhado!$F$2:$F$433,Acerto_Detalhado!$A$2:$A$433,$C3142,Acerto_Detalhado!$B$2:$B$433,"Ago",Acerto_Detalhado!$C$2:$C$433,"Fibra"))*(SUMIFS(Acerto_Detalhado!$I$2:$I$433,Acerto_Detalhado!$A$2:$A$433,$D3142,Acerto_Detalhado!$B$2:$B$433,"Ago",Acerto_Detalhado!$C$2:$C$433,"Fibra")),2)</f>
        <v>7974.4</v>
      </c>
    </row>
    <row r="3143" customFormat="false" ht="15" hidden="false" customHeight="false" outlineLevel="0" collapsed="false">
      <c r="A3143" s="27" t="s">
        <v>118</v>
      </c>
      <c r="B3143" s="27" t="s">
        <v>111</v>
      </c>
      <c r="C3143" s="27" t="s">
        <v>48</v>
      </c>
      <c r="D3143" s="27" t="s">
        <v>42</v>
      </c>
      <c r="E3143" s="28" t="n">
        <f aca="false">ROUND((SUMIFS(Acerto_Detalhado!$F$2:$F$433,Acerto_Detalhado!$A$2:$A$433,$C3143,Acerto_Detalhado!$B$2:$B$433,"Ago",Acerto_Detalhado!$C$2:$C$433,"Fibra"))*(SUMIFS(Acerto_Detalhado!$I$2:$I$433,Acerto_Detalhado!$A$2:$A$433,$D3143,Acerto_Detalhado!$B$2:$B$433,"Ago",Acerto_Detalhado!$C$2:$C$433,"Fibra")),2)</f>
        <v>0</v>
      </c>
    </row>
    <row r="3144" customFormat="false" ht="15" hidden="false" customHeight="false" outlineLevel="0" collapsed="false">
      <c r="A3144" s="27" t="s">
        <v>118</v>
      </c>
      <c r="B3144" s="27" t="s">
        <v>111</v>
      </c>
      <c r="C3144" s="27" t="s">
        <v>48</v>
      </c>
      <c r="D3144" s="27" t="s">
        <v>43</v>
      </c>
      <c r="E3144" s="28" t="n">
        <f aca="false">ROUND((SUMIFS(Acerto_Detalhado!$F$2:$F$433,Acerto_Detalhado!$A$2:$A$433,$C3144,Acerto_Detalhado!$B$2:$B$433,"Ago",Acerto_Detalhado!$C$2:$C$433,"Fibra"))*(SUMIFS(Acerto_Detalhado!$I$2:$I$433,Acerto_Detalhado!$A$2:$A$433,$D3144,Acerto_Detalhado!$B$2:$B$433,"Ago",Acerto_Detalhado!$C$2:$C$433,"Fibra")),2)</f>
        <v>0</v>
      </c>
    </row>
    <row r="3145" customFormat="false" ht="15" hidden="false" customHeight="false" outlineLevel="0" collapsed="false">
      <c r="A3145" s="27" t="s">
        <v>118</v>
      </c>
      <c r="B3145" s="27" t="s">
        <v>111</v>
      </c>
      <c r="C3145" s="27" t="s">
        <v>48</v>
      </c>
      <c r="D3145" s="27" t="s">
        <v>44</v>
      </c>
      <c r="E3145" s="28" t="n">
        <f aca="false">ROUND((SUMIFS(Acerto_Detalhado!$F$2:$F$433,Acerto_Detalhado!$A$2:$A$433,$C3145,Acerto_Detalhado!$B$2:$B$433,"Ago",Acerto_Detalhado!$C$2:$C$433,"Fibra"))*(SUMIFS(Acerto_Detalhado!$I$2:$I$433,Acerto_Detalhado!$A$2:$A$433,$D3145,Acerto_Detalhado!$B$2:$B$433,"Ago",Acerto_Detalhado!$C$2:$C$433,"Fibra")),2)</f>
        <v>0</v>
      </c>
    </row>
    <row r="3146" customFormat="false" ht="15" hidden="false" customHeight="false" outlineLevel="0" collapsed="false">
      <c r="A3146" s="27" t="s">
        <v>118</v>
      </c>
      <c r="B3146" s="27" t="s">
        <v>111</v>
      </c>
      <c r="C3146" s="27" t="s">
        <v>48</v>
      </c>
      <c r="D3146" s="27" t="s">
        <v>45</v>
      </c>
      <c r="E3146" s="28" t="n">
        <f aca="false">ROUND((SUMIFS(Acerto_Detalhado!$F$2:$F$433,Acerto_Detalhado!$A$2:$A$433,$C3146,Acerto_Detalhado!$B$2:$B$433,"Ago",Acerto_Detalhado!$C$2:$C$433,"Fibra"))*(SUMIFS(Acerto_Detalhado!$I$2:$I$433,Acerto_Detalhado!$A$2:$A$433,$D3146,Acerto_Detalhado!$B$2:$B$433,"Ago",Acerto_Detalhado!$C$2:$C$433,"Fibra")),2)</f>
        <v>0</v>
      </c>
    </row>
    <row r="3147" customFormat="false" ht="15" hidden="false" customHeight="false" outlineLevel="0" collapsed="false">
      <c r="A3147" s="27" t="s">
        <v>118</v>
      </c>
      <c r="B3147" s="27" t="s">
        <v>111</v>
      </c>
      <c r="C3147" s="27" t="s">
        <v>48</v>
      </c>
      <c r="D3147" s="27" t="s">
        <v>46</v>
      </c>
      <c r="E3147" s="28" t="n">
        <f aca="false">ROUND((SUMIFS(Acerto_Detalhado!$F$2:$F$433,Acerto_Detalhado!$A$2:$A$433,$C3147,Acerto_Detalhado!$B$2:$B$433,"Ago",Acerto_Detalhado!$C$2:$C$433,"Fibra"))*(SUMIFS(Acerto_Detalhado!$I$2:$I$433,Acerto_Detalhado!$A$2:$A$433,$D3147,Acerto_Detalhado!$B$2:$B$433,"Ago",Acerto_Detalhado!$C$2:$C$433,"Fibra")),2)</f>
        <v>1187.56</v>
      </c>
    </row>
    <row r="3148" customFormat="false" ht="15" hidden="false" customHeight="false" outlineLevel="0" collapsed="false">
      <c r="A3148" s="27" t="s">
        <v>118</v>
      </c>
      <c r="B3148" s="27" t="s">
        <v>111</v>
      </c>
      <c r="C3148" s="27" t="s">
        <v>48</v>
      </c>
      <c r="D3148" s="27" t="s">
        <v>47</v>
      </c>
      <c r="E3148" s="28" t="n">
        <f aca="false">ROUND((SUMIFS(Acerto_Detalhado!$F$2:$F$433,Acerto_Detalhado!$A$2:$A$433,$C3148,Acerto_Detalhado!$B$2:$B$433,"Ago",Acerto_Detalhado!$C$2:$C$433,"Fibra"))*(SUMIFS(Acerto_Detalhado!$I$2:$I$433,Acerto_Detalhado!$A$2:$A$433,$D3148,Acerto_Detalhado!$B$2:$B$433,"Ago",Acerto_Detalhado!$C$2:$C$433,"Fibra")),2)</f>
        <v>0</v>
      </c>
    </row>
    <row r="3149" customFormat="false" ht="15" hidden="false" customHeight="false" outlineLevel="0" collapsed="false">
      <c r="A3149" s="27" t="s">
        <v>118</v>
      </c>
      <c r="B3149" s="27" t="s">
        <v>111</v>
      </c>
      <c r="C3149" s="27" t="s">
        <v>48</v>
      </c>
      <c r="D3149" s="27" t="s">
        <v>49</v>
      </c>
      <c r="E3149" s="28" t="n">
        <f aca="false">ROUND((SUMIFS(Acerto_Detalhado!$F$2:$F$433,Acerto_Detalhado!$A$2:$A$433,$C3149,Acerto_Detalhado!$B$2:$B$433,"Ago",Acerto_Detalhado!$C$2:$C$433,"Fibra"))*(SUMIFS(Acerto_Detalhado!$I$2:$I$433,Acerto_Detalhado!$A$2:$A$433,$D3149,Acerto_Detalhado!$B$2:$B$433,"Ago",Acerto_Detalhado!$C$2:$C$433,"Fibra")),2)</f>
        <v>0</v>
      </c>
    </row>
    <row r="3150" customFormat="false" ht="15" hidden="false" customHeight="false" outlineLevel="0" collapsed="false">
      <c r="A3150" s="27" t="s">
        <v>118</v>
      </c>
      <c r="B3150" s="27" t="s">
        <v>111</v>
      </c>
      <c r="C3150" s="27" t="s">
        <v>48</v>
      </c>
      <c r="D3150" s="27" t="s">
        <v>50</v>
      </c>
      <c r="E3150" s="28" t="n">
        <f aca="false">ROUND((SUMIFS(Acerto_Detalhado!$F$2:$F$433,Acerto_Detalhado!$A$2:$A$433,$C3150,Acerto_Detalhado!$B$2:$B$433,"Ago",Acerto_Detalhado!$C$2:$C$433,"Fibra"))*(SUMIFS(Acerto_Detalhado!$I$2:$I$433,Acerto_Detalhado!$A$2:$A$433,$D3150,Acerto_Detalhado!$B$2:$B$433,"Ago",Acerto_Detalhado!$C$2:$C$433,"Fibra")),2)</f>
        <v>0</v>
      </c>
    </row>
    <row r="3151" customFormat="false" ht="15" hidden="false" customHeight="false" outlineLevel="0" collapsed="false">
      <c r="A3151" s="27" t="s">
        <v>118</v>
      </c>
      <c r="B3151" s="27" t="s">
        <v>111</v>
      </c>
      <c r="C3151" s="27" t="s">
        <v>49</v>
      </c>
      <c r="D3151" s="27" t="s">
        <v>39</v>
      </c>
      <c r="E3151" s="28" t="n">
        <f aca="false">ROUND((SUMIFS(Acerto_Detalhado!$F$2:$F$433,Acerto_Detalhado!$A$2:$A$433,$C3151,Acerto_Detalhado!$B$2:$B$433,"Ago",Acerto_Detalhado!$C$2:$C$433,"Fibra"))*(SUMIFS(Acerto_Detalhado!$I$2:$I$433,Acerto_Detalhado!$A$2:$A$433,$D3151,Acerto_Detalhado!$B$2:$B$433,"Ago",Acerto_Detalhado!$C$2:$C$433,"Fibra")),2)</f>
        <v>0</v>
      </c>
    </row>
    <row r="3152" customFormat="false" ht="15" hidden="false" customHeight="false" outlineLevel="0" collapsed="false">
      <c r="A3152" s="27" t="s">
        <v>118</v>
      </c>
      <c r="B3152" s="27" t="s">
        <v>111</v>
      </c>
      <c r="C3152" s="27" t="s">
        <v>49</v>
      </c>
      <c r="D3152" s="27" t="s">
        <v>40</v>
      </c>
      <c r="E3152" s="28" t="n">
        <f aca="false">ROUND((SUMIFS(Acerto_Detalhado!$F$2:$F$433,Acerto_Detalhado!$A$2:$A$433,$C3152,Acerto_Detalhado!$B$2:$B$433,"Ago",Acerto_Detalhado!$C$2:$C$433,"Fibra"))*(SUMIFS(Acerto_Detalhado!$I$2:$I$433,Acerto_Detalhado!$A$2:$A$433,$D3152,Acerto_Detalhado!$B$2:$B$433,"Ago",Acerto_Detalhado!$C$2:$C$433,"Fibra")),2)</f>
        <v>0</v>
      </c>
    </row>
    <row r="3153" customFormat="false" ht="15" hidden="false" customHeight="false" outlineLevel="0" collapsed="false">
      <c r="A3153" s="27" t="s">
        <v>118</v>
      </c>
      <c r="B3153" s="27" t="s">
        <v>111</v>
      </c>
      <c r="C3153" s="27" t="s">
        <v>49</v>
      </c>
      <c r="D3153" s="27" t="s">
        <v>41</v>
      </c>
      <c r="E3153" s="28" t="n">
        <f aca="false">ROUND((SUMIFS(Acerto_Detalhado!$F$2:$F$433,Acerto_Detalhado!$A$2:$A$433,$C3153,Acerto_Detalhado!$B$2:$B$433,"Ago",Acerto_Detalhado!$C$2:$C$433,"Fibra"))*(SUMIFS(Acerto_Detalhado!$I$2:$I$433,Acerto_Detalhado!$A$2:$A$433,$D3153,Acerto_Detalhado!$B$2:$B$433,"Ago",Acerto_Detalhado!$C$2:$C$433,"Fibra")),2)</f>
        <v>0</v>
      </c>
    </row>
    <row r="3154" customFormat="false" ht="15" hidden="false" customHeight="false" outlineLevel="0" collapsed="false">
      <c r="A3154" s="27" t="s">
        <v>118</v>
      </c>
      <c r="B3154" s="27" t="s">
        <v>111</v>
      </c>
      <c r="C3154" s="27" t="s">
        <v>49</v>
      </c>
      <c r="D3154" s="27" t="s">
        <v>42</v>
      </c>
      <c r="E3154" s="28" t="n">
        <f aca="false">ROUND((SUMIFS(Acerto_Detalhado!$F$2:$F$433,Acerto_Detalhado!$A$2:$A$433,$C3154,Acerto_Detalhado!$B$2:$B$433,"Ago",Acerto_Detalhado!$C$2:$C$433,"Fibra"))*(SUMIFS(Acerto_Detalhado!$I$2:$I$433,Acerto_Detalhado!$A$2:$A$433,$D3154,Acerto_Detalhado!$B$2:$B$433,"Ago",Acerto_Detalhado!$C$2:$C$433,"Fibra")),2)</f>
        <v>0</v>
      </c>
    </row>
    <row r="3155" customFormat="false" ht="15" hidden="false" customHeight="false" outlineLevel="0" collapsed="false">
      <c r="A3155" s="27" t="s">
        <v>118</v>
      </c>
      <c r="B3155" s="27" t="s">
        <v>111</v>
      </c>
      <c r="C3155" s="27" t="s">
        <v>49</v>
      </c>
      <c r="D3155" s="27" t="s">
        <v>43</v>
      </c>
      <c r="E3155" s="28" t="n">
        <f aca="false">ROUND((SUMIFS(Acerto_Detalhado!$F$2:$F$433,Acerto_Detalhado!$A$2:$A$433,$C3155,Acerto_Detalhado!$B$2:$B$433,"Ago",Acerto_Detalhado!$C$2:$C$433,"Fibra"))*(SUMIFS(Acerto_Detalhado!$I$2:$I$433,Acerto_Detalhado!$A$2:$A$433,$D3155,Acerto_Detalhado!$B$2:$B$433,"Ago",Acerto_Detalhado!$C$2:$C$433,"Fibra")),2)</f>
        <v>0</v>
      </c>
    </row>
    <row r="3156" customFormat="false" ht="15" hidden="false" customHeight="false" outlineLevel="0" collapsed="false">
      <c r="A3156" s="27" t="s">
        <v>118</v>
      </c>
      <c r="B3156" s="27" t="s">
        <v>111</v>
      </c>
      <c r="C3156" s="27" t="s">
        <v>49</v>
      </c>
      <c r="D3156" s="27" t="s">
        <v>44</v>
      </c>
      <c r="E3156" s="28" t="n">
        <f aca="false">ROUND((SUMIFS(Acerto_Detalhado!$F$2:$F$433,Acerto_Detalhado!$A$2:$A$433,$C3156,Acerto_Detalhado!$B$2:$B$433,"Ago",Acerto_Detalhado!$C$2:$C$433,"Fibra"))*(SUMIFS(Acerto_Detalhado!$I$2:$I$433,Acerto_Detalhado!$A$2:$A$433,$D3156,Acerto_Detalhado!$B$2:$B$433,"Ago",Acerto_Detalhado!$C$2:$C$433,"Fibra")),2)</f>
        <v>0</v>
      </c>
    </row>
    <row r="3157" customFormat="false" ht="15" hidden="false" customHeight="false" outlineLevel="0" collapsed="false">
      <c r="A3157" s="27" t="s">
        <v>118</v>
      </c>
      <c r="B3157" s="27" t="s">
        <v>111</v>
      </c>
      <c r="C3157" s="27" t="s">
        <v>49</v>
      </c>
      <c r="D3157" s="27" t="s">
        <v>45</v>
      </c>
      <c r="E3157" s="28" t="n">
        <f aca="false">ROUND((SUMIFS(Acerto_Detalhado!$F$2:$F$433,Acerto_Detalhado!$A$2:$A$433,$C3157,Acerto_Detalhado!$B$2:$B$433,"Ago",Acerto_Detalhado!$C$2:$C$433,"Fibra"))*(SUMIFS(Acerto_Detalhado!$I$2:$I$433,Acerto_Detalhado!$A$2:$A$433,$D3157,Acerto_Detalhado!$B$2:$B$433,"Ago",Acerto_Detalhado!$C$2:$C$433,"Fibra")),2)</f>
        <v>0</v>
      </c>
    </row>
    <row r="3158" customFormat="false" ht="15" hidden="false" customHeight="false" outlineLevel="0" collapsed="false">
      <c r="A3158" s="27" t="s">
        <v>118</v>
      </c>
      <c r="B3158" s="27" t="s">
        <v>111</v>
      </c>
      <c r="C3158" s="27" t="s">
        <v>49</v>
      </c>
      <c r="D3158" s="27" t="s">
        <v>46</v>
      </c>
      <c r="E3158" s="28" t="n">
        <f aca="false">ROUND((SUMIFS(Acerto_Detalhado!$F$2:$F$433,Acerto_Detalhado!$A$2:$A$433,$C3158,Acerto_Detalhado!$B$2:$B$433,"Ago",Acerto_Detalhado!$C$2:$C$433,"Fibra"))*(SUMIFS(Acerto_Detalhado!$I$2:$I$433,Acerto_Detalhado!$A$2:$A$433,$D3158,Acerto_Detalhado!$B$2:$B$433,"Ago",Acerto_Detalhado!$C$2:$C$433,"Fibra")),2)</f>
        <v>0</v>
      </c>
    </row>
    <row r="3159" customFormat="false" ht="15" hidden="false" customHeight="false" outlineLevel="0" collapsed="false">
      <c r="A3159" s="27" t="s">
        <v>118</v>
      </c>
      <c r="B3159" s="27" t="s">
        <v>111</v>
      </c>
      <c r="C3159" s="27" t="s">
        <v>49</v>
      </c>
      <c r="D3159" s="27" t="s">
        <v>47</v>
      </c>
      <c r="E3159" s="28" t="n">
        <f aca="false">ROUND((SUMIFS(Acerto_Detalhado!$F$2:$F$433,Acerto_Detalhado!$A$2:$A$433,$C3159,Acerto_Detalhado!$B$2:$B$433,"Ago",Acerto_Detalhado!$C$2:$C$433,"Fibra"))*(SUMIFS(Acerto_Detalhado!$I$2:$I$433,Acerto_Detalhado!$A$2:$A$433,$D3159,Acerto_Detalhado!$B$2:$B$433,"Ago",Acerto_Detalhado!$C$2:$C$433,"Fibra")),2)</f>
        <v>0</v>
      </c>
    </row>
    <row r="3160" customFormat="false" ht="15" hidden="false" customHeight="false" outlineLevel="0" collapsed="false">
      <c r="A3160" s="27" t="s">
        <v>118</v>
      </c>
      <c r="B3160" s="27" t="s">
        <v>111</v>
      </c>
      <c r="C3160" s="27" t="s">
        <v>49</v>
      </c>
      <c r="D3160" s="27" t="s">
        <v>48</v>
      </c>
      <c r="E3160" s="28" t="n">
        <f aca="false">ROUND((SUMIFS(Acerto_Detalhado!$F$2:$F$433,Acerto_Detalhado!$A$2:$A$433,$C3160,Acerto_Detalhado!$B$2:$B$433,"Ago",Acerto_Detalhado!$C$2:$C$433,"Fibra"))*(SUMIFS(Acerto_Detalhado!$I$2:$I$433,Acerto_Detalhado!$A$2:$A$433,$D3160,Acerto_Detalhado!$B$2:$B$433,"Ago",Acerto_Detalhado!$C$2:$C$433,"Fibra")),2)</f>
        <v>0</v>
      </c>
    </row>
    <row r="3161" customFormat="false" ht="15" hidden="false" customHeight="false" outlineLevel="0" collapsed="false">
      <c r="A3161" s="27" t="s">
        <v>118</v>
      </c>
      <c r="B3161" s="27" t="s">
        <v>111</v>
      </c>
      <c r="C3161" s="27" t="s">
        <v>49</v>
      </c>
      <c r="D3161" s="27" t="s">
        <v>50</v>
      </c>
      <c r="E3161" s="28" t="n">
        <f aca="false">ROUND((SUMIFS(Acerto_Detalhado!$F$2:$F$433,Acerto_Detalhado!$A$2:$A$433,$C3161,Acerto_Detalhado!$B$2:$B$433,"Ago",Acerto_Detalhado!$C$2:$C$433,"Fibra"))*(SUMIFS(Acerto_Detalhado!$I$2:$I$433,Acerto_Detalhado!$A$2:$A$433,$D3161,Acerto_Detalhado!$B$2:$B$433,"Ago",Acerto_Detalhado!$C$2:$C$433,"Fibra")),2)</f>
        <v>0</v>
      </c>
    </row>
    <row r="3162" customFormat="false" ht="15" hidden="false" customHeight="false" outlineLevel="0" collapsed="false">
      <c r="A3162" s="27" t="s">
        <v>118</v>
      </c>
      <c r="B3162" s="27" t="s">
        <v>111</v>
      </c>
      <c r="C3162" s="27" t="s">
        <v>50</v>
      </c>
      <c r="D3162" s="27" t="s">
        <v>39</v>
      </c>
      <c r="E3162" s="28" t="n">
        <f aca="false">ROUND((SUMIFS(Acerto_Detalhado!$F$2:$F$433,Acerto_Detalhado!$A$2:$A$433,$C3162,Acerto_Detalhado!$B$2:$B$433,"Ago",Acerto_Detalhado!$C$2:$C$433,"Fibra"))*(SUMIFS(Acerto_Detalhado!$I$2:$I$433,Acerto_Detalhado!$A$2:$A$433,$D3162,Acerto_Detalhado!$B$2:$B$433,"Ago",Acerto_Detalhado!$C$2:$C$433,"Fibra")),2)</f>
        <v>0</v>
      </c>
    </row>
    <row r="3163" customFormat="false" ht="15" hidden="false" customHeight="false" outlineLevel="0" collapsed="false">
      <c r="A3163" s="27" t="s">
        <v>118</v>
      </c>
      <c r="B3163" s="27" t="s">
        <v>111</v>
      </c>
      <c r="C3163" s="27" t="s">
        <v>50</v>
      </c>
      <c r="D3163" s="27" t="s">
        <v>40</v>
      </c>
      <c r="E3163" s="28" t="n">
        <f aca="false">ROUND((SUMIFS(Acerto_Detalhado!$F$2:$F$433,Acerto_Detalhado!$A$2:$A$433,$C3163,Acerto_Detalhado!$B$2:$B$433,"Ago",Acerto_Detalhado!$C$2:$C$433,"Fibra"))*(SUMIFS(Acerto_Detalhado!$I$2:$I$433,Acerto_Detalhado!$A$2:$A$433,$D3163,Acerto_Detalhado!$B$2:$B$433,"Ago",Acerto_Detalhado!$C$2:$C$433,"Fibra")),2)</f>
        <v>0</v>
      </c>
    </row>
    <row r="3164" customFormat="false" ht="15" hidden="false" customHeight="false" outlineLevel="0" collapsed="false">
      <c r="A3164" s="27" t="s">
        <v>118</v>
      </c>
      <c r="B3164" s="27" t="s">
        <v>111</v>
      </c>
      <c r="C3164" s="27" t="s">
        <v>50</v>
      </c>
      <c r="D3164" s="27" t="s">
        <v>41</v>
      </c>
      <c r="E3164" s="28" t="n">
        <f aca="false">ROUND((SUMIFS(Acerto_Detalhado!$F$2:$F$433,Acerto_Detalhado!$A$2:$A$433,$C3164,Acerto_Detalhado!$B$2:$B$433,"Ago",Acerto_Detalhado!$C$2:$C$433,"Fibra"))*(SUMIFS(Acerto_Detalhado!$I$2:$I$433,Acerto_Detalhado!$A$2:$A$433,$D3164,Acerto_Detalhado!$B$2:$B$433,"Ago",Acerto_Detalhado!$C$2:$C$433,"Fibra")),2)</f>
        <v>0</v>
      </c>
    </row>
    <row r="3165" customFormat="false" ht="15" hidden="false" customHeight="false" outlineLevel="0" collapsed="false">
      <c r="A3165" s="27" t="s">
        <v>118</v>
      </c>
      <c r="B3165" s="27" t="s">
        <v>111</v>
      </c>
      <c r="C3165" s="27" t="s">
        <v>50</v>
      </c>
      <c r="D3165" s="27" t="s">
        <v>42</v>
      </c>
      <c r="E3165" s="28" t="n">
        <f aca="false">ROUND((SUMIFS(Acerto_Detalhado!$F$2:$F$433,Acerto_Detalhado!$A$2:$A$433,$C3165,Acerto_Detalhado!$B$2:$B$433,"Ago",Acerto_Detalhado!$C$2:$C$433,"Fibra"))*(SUMIFS(Acerto_Detalhado!$I$2:$I$433,Acerto_Detalhado!$A$2:$A$433,$D3165,Acerto_Detalhado!$B$2:$B$433,"Ago",Acerto_Detalhado!$C$2:$C$433,"Fibra")),2)</f>
        <v>0</v>
      </c>
    </row>
    <row r="3166" customFormat="false" ht="15" hidden="false" customHeight="false" outlineLevel="0" collapsed="false">
      <c r="A3166" s="27" t="s">
        <v>118</v>
      </c>
      <c r="B3166" s="27" t="s">
        <v>111</v>
      </c>
      <c r="C3166" s="27" t="s">
        <v>50</v>
      </c>
      <c r="D3166" s="27" t="s">
        <v>43</v>
      </c>
      <c r="E3166" s="28" t="n">
        <f aca="false">ROUND((SUMIFS(Acerto_Detalhado!$F$2:$F$433,Acerto_Detalhado!$A$2:$A$433,$C3166,Acerto_Detalhado!$B$2:$B$433,"Ago",Acerto_Detalhado!$C$2:$C$433,"Fibra"))*(SUMIFS(Acerto_Detalhado!$I$2:$I$433,Acerto_Detalhado!$A$2:$A$433,$D3166,Acerto_Detalhado!$B$2:$B$433,"Ago",Acerto_Detalhado!$C$2:$C$433,"Fibra")),2)</f>
        <v>0</v>
      </c>
    </row>
    <row r="3167" customFormat="false" ht="15" hidden="false" customHeight="false" outlineLevel="0" collapsed="false">
      <c r="A3167" s="27" t="s">
        <v>118</v>
      </c>
      <c r="B3167" s="27" t="s">
        <v>111</v>
      </c>
      <c r="C3167" s="27" t="s">
        <v>50</v>
      </c>
      <c r="D3167" s="27" t="s">
        <v>44</v>
      </c>
      <c r="E3167" s="28" t="n">
        <f aca="false">ROUND((SUMIFS(Acerto_Detalhado!$F$2:$F$433,Acerto_Detalhado!$A$2:$A$433,$C3167,Acerto_Detalhado!$B$2:$B$433,"Ago",Acerto_Detalhado!$C$2:$C$433,"Fibra"))*(SUMIFS(Acerto_Detalhado!$I$2:$I$433,Acerto_Detalhado!$A$2:$A$433,$D3167,Acerto_Detalhado!$B$2:$B$433,"Ago",Acerto_Detalhado!$C$2:$C$433,"Fibra")),2)</f>
        <v>0</v>
      </c>
    </row>
    <row r="3168" customFormat="false" ht="15" hidden="false" customHeight="false" outlineLevel="0" collapsed="false">
      <c r="A3168" s="27" t="s">
        <v>118</v>
      </c>
      <c r="B3168" s="27" t="s">
        <v>111</v>
      </c>
      <c r="C3168" s="27" t="s">
        <v>50</v>
      </c>
      <c r="D3168" s="27" t="s">
        <v>45</v>
      </c>
      <c r="E3168" s="28" t="n">
        <f aca="false">ROUND((SUMIFS(Acerto_Detalhado!$F$2:$F$433,Acerto_Detalhado!$A$2:$A$433,$C3168,Acerto_Detalhado!$B$2:$B$433,"Ago",Acerto_Detalhado!$C$2:$C$433,"Fibra"))*(SUMIFS(Acerto_Detalhado!$I$2:$I$433,Acerto_Detalhado!$A$2:$A$433,$D3168,Acerto_Detalhado!$B$2:$B$433,"Ago",Acerto_Detalhado!$C$2:$C$433,"Fibra")),2)</f>
        <v>0</v>
      </c>
    </row>
    <row r="3169" customFormat="false" ht="15" hidden="false" customHeight="false" outlineLevel="0" collapsed="false">
      <c r="A3169" s="27" t="s">
        <v>118</v>
      </c>
      <c r="B3169" s="27" t="s">
        <v>111</v>
      </c>
      <c r="C3169" s="27" t="s">
        <v>50</v>
      </c>
      <c r="D3169" s="27" t="s">
        <v>46</v>
      </c>
      <c r="E3169" s="28" t="n">
        <f aca="false">ROUND((SUMIFS(Acerto_Detalhado!$F$2:$F$433,Acerto_Detalhado!$A$2:$A$433,$C3169,Acerto_Detalhado!$B$2:$B$433,"Ago",Acerto_Detalhado!$C$2:$C$433,"Fibra"))*(SUMIFS(Acerto_Detalhado!$I$2:$I$433,Acerto_Detalhado!$A$2:$A$433,$D3169,Acerto_Detalhado!$B$2:$B$433,"Ago",Acerto_Detalhado!$C$2:$C$433,"Fibra")),2)</f>
        <v>0</v>
      </c>
    </row>
    <row r="3170" customFormat="false" ht="15" hidden="false" customHeight="false" outlineLevel="0" collapsed="false">
      <c r="A3170" s="27" t="s">
        <v>118</v>
      </c>
      <c r="B3170" s="27" t="s">
        <v>111</v>
      </c>
      <c r="C3170" s="27" t="s">
        <v>50</v>
      </c>
      <c r="D3170" s="27" t="s">
        <v>47</v>
      </c>
      <c r="E3170" s="28" t="n">
        <f aca="false">ROUND((SUMIFS(Acerto_Detalhado!$F$2:$F$433,Acerto_Detalhado!$A$2:$A$433,$C3170,Acerto_Detalhado!$B$2:$B$433,"Ago",Acerto_Detalhado!$C$2:$C$433,"Fibra"))*(SUMIFS(Acerto_Detalhado!$I$2:$I$433,Acerto_Detalhado!$A$2:$A$433,$D3170,Acerto_Detalhado!$B$2:$B$433,"Ago",Acerto_Detalhado!$C$2:$C$433,"Fibra")),2)</f>
        <v>0</v>
      </c>
    </row>
    <row r="3171" customFormat="false" ht="15" hidden="false" customHeight="false" outlineLevel="0" collapsed="false">
      <c r="A3171" s="27" t="s">
        <v>118</v>
      </c>
      <c r="B3171" s="27" t="s">
        <v>111</v>
      </c>
      <c r="C3171" s="27" t="s">
        <v>50</v>
      </c>
      <c r="D3171" s="27" t="s">
        <v>48</v>
      </c>
      <c r="E3171" s="28" t="n">
        <f aca="false">ROUND((SUMIFS(Acerto_Detalhado!$F$2:$F$433,Acerto_Detalhado!$A$2:$A$433,$C3171,Acerto_Detalhado!$B$2:$B$433,"Ago",Acerto_Detalhado!$C$2:$C$433,"Fibra"))*(SUMIFS(Acerto_Detalhado!$I$2:$I$433,Acerto_Detalhado!$A$2:$A$433,$D3171,Acerto_Detalhado!$B$2:$B$433,"Ago",Acerto_Detalhado!$C$2:$C$433,"Fibra")),2)</f>
        <v>0</v>
      </c>
    </row>
    <row r="3172" customFormat="false" ht="15" hidden="false" customHeight="false" outlineLevel="0" collapsed="false">
      <c r="A3172" s="27" t="s">
        <v>118</v>
      </c>
      <c r="B3172" s="27" t="s">
        <v>111</v>
      </c>
      <c r="C3172" s="27" t="s">
        <v>50</v>
      </c>
      <c r="D3172" s="27" t="s">
        <v>49</v>
      </c>
      <c r="E3172" s="28" t="n">
        <f aca="false">ROUND((SUMIFS(Acerto_Detalhado!$F$2:$F$433,Acerto_Detalhado!$A$2:$A$433,$C3172,Acerto_Detalhado!$B$2:$B$433,"Ago",Acerto_Detalhado!$C$2:$C$433,"Fibra"))*(SUMIFS(Acerto_Detalhado!$I$2:$I$433,Acerto_Detalhado!$A$2:$A$433,$D3172,Acerto_Detalhado!$B$2:$B$433,"Ago",Acerto_Detalhado!$C$2:$C$433,"Fibra")),2)</f>
        <v>0</v>
      </c>
    </row>
    <row r="3173" customFormat="false" ht="15" hidden="false" customHeight="false" outlineLevel="0" collapsed="false">
      <c r="A3173" s="27" t="s">
        <v>119</v>
      </c>
      <c r="B3173" s="27" t="s">
        <v>109</v>
      </c>
      <c r="C3173" s="27" t="s">
        <v>39</v>
      </c>
      <c r="D3173" s="27" t="s">
        <v>40</v>
      </c>
      <c r="E3173" s="28" t="n">
        <f aca="false">ROUND((SUMIFS(Acerto_Detalhado!$F$2:$F$433,Acerto_Detalhado!$A$2:$A$433,$C3173,Acerto_Detalhado!$B$2:$B$433,"Set",Acerto_Detalhado!$C$2:$C$433,"Proteina"))*(SUMIFS(Acerto_Detalhado!$I$2:$I$433,Acerto_Detalhado!$A$2:$A$433,$D3173,Acerto_Detalhado!$B$2:$B$433,"Set",Acerto_Detalhado!$C$2:$C$433,"Proteina")),2)</f>
        <v>1115.58</v>
      </c>
    </row>
    <row r="3174" customFormat="false" ht="15" hidden="false" customHeight="false" outlineLevel="0" collapsed="false">
      <c r="A3174" s="27" t="s">
        <v>119</v>
      </c>
      <c r="B3174" s="27" t="s">
        <v>109</v>
      </c>
      <c r="C3174" s="27" t="s">
        <v>39</v>
      </c>
      <c r="D3174" s="27" t="s">
        <v>41</v>
      </c>
      <c r="E3174" s="28" t="n">
        <f aca="false">ROUND((SUMIFS(Acerto_Detalhado!$F$2:$F$433,Acerto_Detalhado!$A$2:$A$433,$C3174,Acerto_Detalhado!$B$2:$B$433,"Set",Acerto_Detalhado!$C$2:$C$433,"Proteina"))*(SUMIFS(Acerto_Detalhado!$I$2:$I$433,Acerto_Detalhado!$A$2:$A$433,$D3174,Acerto_Detalhado!$B$2:$B$433,"Set",Acerto_Detalhado!$C$2:$C$433,"Proteina")),2)</f>
        <v>505.13</v>
      </c>
    </row>
    <row r="3175" customFormat="false" ht="15" hidden="false" customHeight="false" outlineLevel="0" collapsed="false">
      <c r="A3175" s="27" t="s">
        <v>119</v>
      </c>
      <c r="B3175" s="27" t="s">
        <v>109</v>
      </c>
      <c r="C3175" s="27" t="s">
        <v>39</v>
      </c>
      <c r="D3175" s="27" t="s">
        <v>42</v>
      </c>
      <c r="E3175" s="28" t="n">
        <f aca="false">ROUND((SUMIFS(Acerto_Detalhado!$F$2:$F$433,Acerto_Detalhado!$A$2:$A$433,$C3175,Acerto_Detalhado!$B$2:$B$433,"Set",Acerto_Detalhado!$C$2:$C$433,"Proteina"))*(SUMIFS(Acerto_Detalhado!$I$2:$I$433,Acerto_Detalhado!$A$2:$A$433,$D3175,Acerto_Detalhado!$B$2:$B$433,"Set",Acerto_Detalhado!$C$2:$C$433,"Proteina")),2)</f>
        <v>0</v>
      </c>
    </row>
    <row r="3176" customFormat="false" ht="15" hidden="false" customHeight="false" outlineLevel="0" collapsed="false">
      <c r="A3176" s="27" t="s">
        <v>119</v>
      </c>
      <c r="B3176" s="27" t="s">
        <v>109</v>
      </c>
      <c r="C3176" s="27" t="s">
        <v>39</v>
      </c>
      <c r="D3176" s="27" t="s">
        <v>43</v>
      </c>
      <c r="E3176" s="28" t="n">
        <f aca="false">ROUND((SUMIFS(Acerto_Detalhado!$F$2:$F$433,Acerto_Detalhado!$A$2:$A$433,$C3176,Acerto_Detalhado!$B$2:$B$433,"Set",Acerto_Detalhado!$C$2:$C$433,"Proteina"))*(SUMIFS(Acerto_Detalhado!$I$2:$I$433,Acerto_Detalhado!$A$2:$A$433,$D3176,Acerto_Detalhado!$B$2:$B$433,"Set",Acerto_Detalhado!$C$2:$C$433,"Proteina")),2)</f>
        <v>0</v>
      </c>
    </row>
    <row r="3177" customFormat="false" ht="15" hidden="false" customHeight="false" outlineLevel="0" collapsed="false">
      <c r="A3177" s="27" t="s">
        <v>119</v>
      </c>
      <c r="B3177" s="27" t="s">
        <v>109</v>
      </c>
      <c r="C3177" s="27" t="s">
        <v>39</v>
      </c>
      <c r="D3177" s="27" t="s">
        <v>44</v>
      </c>
      <c r="E3177" s="28" t="n">
        <f aca="false">ROUND((SUMIFS(Acerto_Detalhado!$F$2:$F$433,Acerto_Detalhado!$A$2:$A$433,$C3177,Acerto_Detalhado!$B$2:$B$433,"Set",Acerto_Detalhado!$C$2:$C$433,"Proteina"))*(SUMIFS(Acerto_Detalhado!$I$2:$I$433,Acerto_Detalhado!$A$2:$A$433,$D3177,Acerto_Detalhado!$B$2:$B$433,"Set",Acerto_Detalhado!$C$2:$C$433,"Proteina")),2)</f>
        <v>621.4</v>
      </c>
    </row>
    <row r="3178" customFormat="false" ht="15" hidden="false" customHeight="false" outlineLevel="0" collapsed="false">
      <c r="A3178" s="27" t="s">
        <v>119</v>
      </c>
      <c r="B3178" s="27" t="s">
        <v>109</v>
      </c>
      <c r="C3178" s="27" t="s">
        <v>39</v>
      </c>
      <c r="D3178" s="27" t="s">
        <v>45</v>
      </c>
      <c r="E3178" s="28" t="n">
        <f aca="false">ROUND((SUMIFS(Acerto_Detalhado!$F$2:$F$433,Acerto_Detalhado!$A$2:$A$433,$C3178,Acerto_Detalhado!$B$2:$B$433,"Set",Acerto_Detalhado!$C$2:$C$433,"Proteina"))*(SUMIFS(Acerto_Detalhado!$I$2:$I$433,Acerto_Detalhado!$A$2:$A$433,$D3178,Acerto_Detalhado!$B$2:$B$433,"Set",Acerto_Detalhado!$C$2:$C$433,"Proteina")),2)</f>
        <v>0</v>
      </c>
    </row>
    <row r="3179" customFormat="false" ht="15" hidden="false" customHeight="false" outlineLevel="0" collapsed="false">
      <c r="A3179" s="27" t="s">
        <v>119</v>
      </c>
      <c r="B3179" s="27" t="s">
        <v>109</v>
      </c>
      <c r="C3179" s="27" t="s">
        <v>39</v>
      </c>
      <c r="D3179" s="27" t="s">
        <v>46</v>
      </c>
      <c r="E3179" s="28" t="n">
        <f aca="false">ROUND((SUMIFS(Acerto_Detalhado!$F$2:$F$433,Acerto_Detalhado!$A$2:$A$433,$C3179,Acerto_Detalhado!$B$2:$B$433,"Set",Acerto_Detalhado!$C$2:$C$433,"Proteina"))*(SUMIFS(Acerto_Detalhado!$I$2:$I$433,Acerto_Detalhado!$A$2:$A$433,$D3179,Acerto_Detalhado!$B$2:$B$433,"Set",Acerto_Detalhado!$C$2:$C$433,"Proteina")),2)</f>
        <v>0</v>
      </c>
    </row>
    <row r="3180" customFormat="false" ht="15" hidden="false" customHeight="false" outlineLevel="0" collapsed="false">
      <c r="A3180" s="27" t="s">
        <v>119</v>
      </c>
      <c r="B3180" s="27" t="s">
        <v>109</v>
      </c>
      <c r="C3180" s="27" t="s">
        <v>39</v>
      </c>
      <c r="D3180" s="27" t="s">
        <v>47</v>
      </c>
      <c r="E3180" s="28" t="n">
        <f aca="false">ROUND((SUMIFS(Acerto_Detalhado!$F$2:$F$433,Acerto_Detalhado!$A$2:$A$433,$C3180,Acerto_Detalhado!$B$2:$B$433,"Set",Acerto_Detalhado!$C$2:$C$433,"Proteina"))*(SUMIFS(Acerto_Detalhado!$I$2:$I$433,Acerto_Detalhado!$A$2:$A$433,$D3180,Acerto_Detalhado!$B$2:$B$433,"Set",Acerto_Detalhado!$C$2:$C$433,"Proteina")),2)</f>
        <v>0</v>
      </c>
    </row>
    <row r="3181" customFormat="false" ht="15" hidden="false" customHeight="false" outlineLevel="0" collapsed="false">
      <c r="A3181" s="27" t="s">
        <v>119</v>
      </c>
      <c r="B3181" s="27" t="s">
        <v>109</v>
      </c>
      <c r="C3181" s="27" t="s">
        <v>39</v>
      </c>
      <c r="D3181" s="27" t="s">
        <v>48</v>
      </c>
      <c r="E3181" s="28" t="n">
        <f aca="false">ROUND((SUMIFS(Acerto_Detalhado!$F$2:$F$433,Acerto_Detalhado!$A$2:$A$433,$C3181,Acerto_Detalhado!$B$2:$B$433,"Set",Acerto_Detalhado!$C$2:$C$433,"Proteina"))*(SUMIFS(Acerto_Detalhado!$I$2:$I$433,Acerto_Detalhado!$A$2:$A$433,$D3181,Acerto_Detalhado!$B$2:$B$433,"Set",Acerto_Detalhado!$C$2:$C$433,"Proteina")),2)</f>
        <v>821.27</v>
      </c>
    </row>
    <row r="3182" customFormat="false" ht="15" hidden="false" customHeight="false" outlineLevel="0" collapsed="false">
      <c r="A3182" s="27" t="s">
        <v>119</v>
      </c>
      <c r="B3182" s="27" t="s">
        <v>109</v>
      </c>
      <c r="C3182" s="27" t="s">
        <v>39</v>
      </c>
      <c r="D3182" s="27" t="s">
        <v>49</v>
      </c>
      <c r="E3182" s="28" t="n">
        <f aca="false">ROUND((SUMIFS(Acerto_Detalhado!$F$2:$F$433,Acerto_Detalhado!$A$2:$A$433,$C3182,Acerto_Detalhado!$B$2:$B$433,"Set",Acerto_Detalhado!$C$2:$C$433,"Proteina"))*(SUMIFS(Acerto_Detalhado!$I$2:$I$433,Acerto_Detalhado!$A$2:$A$433,$D3182,Acerto_Detalhado!$B$2:$B$433,"Set",Acerto_Detalhado!$C$2:$C$433,"Proteina")),2)</f>
        <v>0</v>
      </c>
    </row>
    <row r="3183" customFormat="false" ht="15" hidden="false" customHeight="false" outlineLevel="0" collapsed="false">
      <c r="A3183" s="27" t="s">
        <v>119</v>
      </c>
      <c r="B3183" s="27" t="s">
        <v>109</v>
      </c>
      <c r="C3183" s="27" t="s">
        <v>39</v>
      </c>
      <c r="D3183" s="27" t="s">
        <v>50</v>
      </c>
      <c r="E3183" s="28" t="n">
        <f aca="false">ROUND((SUMIFS(Acerto_Detalhado!$F$2:$F$433,Acerto_Detalhado!$A$2:$A$433,$C3183,Acerto_Detalhado!$B$2:$B$433,"Set",Acerto_Detalhado!$C$2:$C$433,"Proteina"))*(SUMIFS(Acerto_Detalhado!$I$2:$I$433,Acerto_Detalhado!$A$2:$A$433,$D3183,Acerto_Detalhado!$B$2:$B$433,"Set",Acerto_Detalhado!$C$2:$C$433,"Proteina")),2)</f>
        <v>0</v>
      </c>
    </row>
    <row r="3184" customFormat="false" ht="15" hidden="false" customHeight="false" outlineLevel="0" collapsed="false">
      <c r="A3184" s="27" t="s">
        <v>119</v>
      </c>
      <c r="B3184" s="27" t="s">
        <v>109</v>
      </c>
      <c r="C3184" s="27" t="s">
        <v>40</v>
      </c>
      <c r="D3184" s="27" t="s">
        <v>39</v>
      </c>
      <c r="E3184" s="28" t="n">
        <f aca="false">ROUND((SUMIFS(Acerto_Detalhado!$F$2:$F$433,Acerto_Detalhado!$A$2:$A$433,$C3184,Acerto_Detalhado!$B$2:$B$433,"Set",Acerto_Detalhado!$C$2:$C$433,"Proteina"))*(SUMIFS(Acerto_Detalhado!$I$2:$I$433,Acerto_Detalhado!$A$2:$A$433,$D3184,Acerto_Detalhado!$B$2:$B$433,"Set",Acerto_Detalhado!$C$2:$C$433,"Proteina")),2)</f>
        <v>0</v>
      </c>
    </row>
    <row r="3185" customFormat="false" ht="15" hidden="false" customHeight="false" outlineLevel="0" collapsed="false">
      <c r="A3185" s="27" t="s">
        <v>119</v>
      </c>
      <c r="B3185" s="27" t="s">
        <v>109</v>
      </c>
      <c r="C3185" s="27" t="s">
        <v>40</v>
      </c>
      <c r="D3185" s="27" t="s">
        <v>41</v>
      </c>
      <c r="E3185" s="28" t="n">
        <f aca="false">ROUND((SUMIFS(Acerto_Detalhado!$F$2:$F$433,Acerto_Detalhado!$A$2:$A$433,$C3185,Acerto_Detalhado!$B$2:$B$433,"Set",Acerto_Detalhado!$C$2:$C$433,"Proteina"))*(SUMIFS(Acerto_Detalhado!$I$2:$I$433,Acerto_Detalhado!$A$2:$A$433,$D3185,Acerto_Detalhado!$B$2:$B$433,"Set",Acerto_Detalhado!$C$2:$C$433,"Proteina")),2)</f>
        <v>0</v>
      </c>
    </row>
    <row r="3186" customFormat="false" ht="15" hidden="false" customHeight="false" outlineLevel="0" collapsed="false">
      <c r="A3186" s="27" t="s">
        <v>119</v>
      </c>
      <c r="B3186" s="27" t="s">
        <v>109</v>
      </c>
      <c r="C3186" s="27" t="s">
        <v>40</v>
      </c>
      <c r="D3186" s="27" t="s">
        <v>42</v>
      </c>
      <c r="E3186" s="28" t="n">
        <f aca="false">ROUND((SUMIFS(Acerto_Detalhado!$F$2:$F$433,Acerto_Detalhado!$A$2:$A$433,$C3186,Acerto_Detalhado!$B$2:$B$433,"Set",Acerto_Detalhado!$C$2:$C$433,"Proteina"))*(SUMIFS(Acerto_Detalhado!$I$2:$I$433,Acerto_Detalhado!$A$2:$A$433,$D3186,Acerto_Detalhado!$B$2:$B$433,"Set",Acerto_Detalhado!$C$2:$C$433,"Proteina")),2)</f>
        <v>0</v>
      </c>
    </row>
    <row r="3187" customFormat="false" ht="15" hidden="false" customHeight="false" outlineLevel="0" collapsed="false">
      <c r="A3187" s="27" t="s">
        <v>119</v>
      </c>
      <c r="B3187" s="27" t="s">
        <v>109</v>
      </c>
      <c r="C3187" s="27" t="s">
        <v>40</v>
      </c>
      <c r="D3187" s="27" t="s">
        <v>43</v>
      </c>
      <c r="E3187" s="28" t="n">
        <f aca="false">ROUND((SUMIFS(Acerto_Detalhado!$F$2:$F$433,Acerto_Detalhado!$A$2:$A$433,$C3187,Acerto_Detalhado!$B$2:$B$433,"Set",Acerto_Detalhado!$C$2:$C$433,"Proteina"))*(SUMIFS(Acerto_Detalhado!$I$2:$I$433,Acerto_Detalhado!$A$2:$A$433,$D3187,Acerto_Detalhado!$B$2:$B$433,"Set",Acerto_Detalhado!$C$2:$C$433,"Proteina")),2)</f>
        <v>0</v>
      </c>
    </row>
    <row r="3188" customFormat="false" ht="15" hidden="false" customHeight="false" outlineLevel="0" collapsed="false">
      <c r="A3188" s="27" t="s">
        <v>119</v>
      </c>
      <c r="B3188" s="27" t="s">
        <v>109</v>
      </c>
      <c r="C3188" s="27" t="s">
        <v>40</v>
      </c>
      <c r="D3188" s="27" t="s">
        <v>44</v>
      </c>
      <c r="E3188" s="28" t="n">
        <f aca="false">ROUND((SUMIFS(Acerto_Detalhado!$F$2:$F$433,Acerto_Detalhado!$A$2:$A$433,$C3188,Acerto_Detalhado!$B$2:$B$433,"Set",Acerto_Detalhado!$C$2:$C$433,"Proteina"))*(SUMIFS(Acerto_Detalhado!$I$2:$I$433,Acerto_Detalhado!$A$2:$A$433,$D3188,Acerto_Detalhado!$B$2:$B$433,"Set",Acerto_Detalhado!$C$2:$C$433,"Proteina")),2)</f>
        <v>0</v>
      </c>
    </row>
    <row r="3189" customFormat="false" ht="15" hidden="false" customHeight="false" outlineLevel="0" collapsed="false">
      <c r="A3189" s="27" t="s">
        <v>119</v>
      </c>
      <c r="B3189" s="27" t="s">
        <v>109</v>
      </c>
      <c r="C3189" s="27" t="s">
        <v>40</v>
      </c>
      <c r="D3189" s="27" t="s">
        <v>45</v>
      </c>
      <c r="E3189" s="28" t="n">
        <f aca="false">ROUND((SUMIFS(Acerto_Detalhado!$F$2:$F$433,Acerto_Detalhado!$A$2:$A$433,$C3189,Acerto_Detalhado!$B$2:$B$433,"Set",Acerto_Detalhado!$C$2:$C$433,"Proteina"))*(SUMIFS(Acerto_Detalhado!$I$2:$I$433,Acerto_Detalhado!$A$2:$A$433,$D3189,Acerto_Detalhado!$B$2:$B$433,"Set",Acerto_Detalhado!$C$2:$C$433,"Proteina")),2)</f>
        <v>0</v>
      </c>
    </row>
    <row r="3190" customFormat="false" ht="15" hidden="false" customHeight="false" outlineLevel="0" collapsed="false">
      <c r="A3190" s="27" t="s">
        <v>119</v>
      </c>
      <c r="B3190" s="27" t="s">
        <v>109</v>
      </c>
      <c r="C3190" s="27" t="s">
        <v>40</v>
      </c>
      <c r="D3190" s="27" t="s">
        <v>46</v>
      </c>
      <c r="E3190" s="28" t="n">
        <f aca="false">ROUND((SUMIFS(Acerto_Detalhado!$F$2:$F$433,Acerto_Detalhado!$A$2:$A$433,$C3190,Acerto_Detalhado!$B$2:$B$433,"Set",Acerto_Detalhado!$C$2:$C$433,"Proteina"))*(SUMIFS(Acerto_Detalhado!$I$2:$I$433,Acerto_Detalhado!$A$2:$A$433,$D3190,Acerto_Detalhado!$B$2:$B$433,"Set",Acerto_Detalhado!$C$2:$C$433,"Proteina")),2)</f>
        <v>0</v>
      </c>
    </row>
    <row r="3191" customFormat="false" ht="15" hidden="false" customHeight="false" outlineLevel="0" collapsed="false">
      <c r="A3191" s="27" t="s">
        <v>119</v>
      </c>
      <c r="B3191" s="27" t="s">
        <v>109</v>
      </c>
      <c r="C3191" s="27" t="s">
        <v>40</v>
      </c>
      <c r="D3191" s="27" t="s">
        <v>47</v>
      </c>
      <c r="E3191" s="28" t="n">
        <f aca="false">ROUND((SUMIFS(Acerto_Detalhado!$F$2:$F$433,Acerto_Detalhado!$A$2:$A$433,$C3191,Acerto_Detalhado!$B$2:$B$433,"Set",Acerto_Detalhado!$C$2:$C$433,"Proteina"))*(SUMIFS(Acerto_Detalhado!$I$2:$I$433,Acerto_Detalhado!$A$2:$A$433,$D3191,Acerto_Detalhado!$B$2:$B$433,"Set",Acerto_Detalhado!$C$2:$C$433,"Proteina")),2)</f>
        <v>0</v>
      </c>
    </row>
    <row r="3192" customFormat="false" ht="15" hidden="false" customHeight="false" outlineLevel="0" collapsed="false">
      <c r="A3192" s="27" t="s">
        <v>119</v>
      </c>
      <c r="B3192" s="27" t="s">
        <v>109</v>
      </c>
      <c r="C3192" s="27" t="s">
        <v>40</v>
      </c>
      <c r="D3192" s="27" t="s">
        <v>48</v>
      </c>
      <c r="E3192" s="28" t="n">
        <f aca="false">ROUND((SUMIFS(Acerto_Detalhado!$F$2:$F$433,Acerto_Detalhado!$A$2:$A$433,$C3192,Acerto_Detalhado!$B$2:$B$433,"Set",Acerto_Detalhado!$C$2:$C$433,"Proteina"))*(SUMIFS(Acerto_Detalhado!$I$2:$I$433,Acerto_Detalhado!$A$2:$A$433,$D3192,Acerto_Detalhado!$B$2:$B$433,"Set",Acerto_Detalhado!$C$2:$C$433,"Proteina")),2)</f>
        <v>0</v>
      </c>
    </row>
    <row r="3193" customFormat="false" ht="15" hidden="false" customHeight="false" outlineLevel="0" collapsed="false">
      <c r="A3193" s="27" t="s">
        <v>119</v>
      </c>
      <c r="B3193" s="27" t="s">
        <v>109</v>
      </c>
      <c r="C3193" s="27" t="s">
        <v>40</v>
      </c>
      <c r="D3193" s="27" t="s">
        <v>49</v>
      </c>
      <c r="E3193" s="28" t="n">
        <f aca="false">ROUND((SUMIFS(Acerto_Detalhado!$F$2:$F$433,Acerto_Detalhado!$A$2:$A$433,$C3193,Acerto_Detalhado!$B$2:$B$433,"Set",Acerto_Detalhado!$C$2:$C$433,"Proteina"))*(SUMIFS(Acerto_Detalhado!$I$2:$I$433,Acerto_Detalhado!$A$2:$A$433,$D3193,Acerto_Detalhado!$B$2:$B$433,"Set",Acerto_Detalhado!$C$2:$C$433,"Proteina")),2)</f>
        <v>0</v>
      </c>
    </row>
    <row r="3194" customFormat="false" ht="15" hidden="false" customHeight="false" outlineLevel="0" collapsed="false">
      <c r="A3194" s="27" t="s">
        <v>119</v>
      </c>
      <c r="B3194" s="27" t="s">
        <v>109</v>
      </c>
      <c r="C3194" s="27" t="s">
        <v>40</v>
      </c>
      <c r="D3194" s="27" t="s">
        <v>50</v>
      </c>
      <c r="E3194" s="28" t="n">
        <f aca="false">ROUND((SUMIFS(Acerto_Detalhado!$F$2:$F$433,Acerto_Detalhado!$A$2:$A$433,$C3194,Acerto_Detalhado!$B$2:$B$433,"Set",Acerto_Detalhado!$C$2:$C$433,"Proteina"))*(SUMIFS(Acerto_Detalhado!$I$2:$I$433,Acerto_Detalhado!$A$2:$A$433,$D3194,Acerto_Detalhado!$B$2:$B$433,"Set",Acerto_Detalhado!$C$2:$C$433,"Proteina")),2)</f>
        <v>0</v>
      </c>
    </row>
    <row r="3195" customFormat="false" ht="15" hidden="false" customHeight="false" outlineLevel="0" collapsed="false">
      <c r="A3195" s="27" t="s">
        <v>119</v>
      </c>
      <c r="B3195" s="27" t="s">
        <v>109</v>
      </c>
      <c r="C3195" s="27" t="s">
        <v>41</v>
      </c>
      <c r="D3195" s="27" t="s">
        <v>39</v>
      </c>
      <c r="E3195" s="28" t="n">
        <f aca="false">ROUND((SUMIFS(Acerto_Detalhado!$F$2:$F$433,Acerto_Detalhado!$A$2:$A$433,$C3195,Acerto_Detalhado!$B$2:$B$433,"Set",Acerto_Detalhado!$C$2:$C$433,"Proteina"))*(SUMIFS(Acerto_Detalhado!$I$2:$I$433,Acerto_Detalhado!$A$2:$A$433,$D3195,Acerto_Detalhado!$B$2:$B$433,"Set",Acerto_Detalhado!$C$2:$C$433,"Proteina")),2)</f>
        <v>0</v>
      </c>
    </row>
    <row r="3196" customFormat="false" ht="15" hidden="false" customHeight="false" outlineLevel="0" collapsed="false">
      <c r="A3196" s="27" t="s">
        <v>119</v>
      </c>
      <c r="B3196" s="27" t="s">
        <v>109</v>
      </c>
      <c r="C3196" s="27" t="s">
        <v>41</v>
      </c>
      <c r="D3196" s="27" t="s">
        <v>40</v>
      </c>
      <c r="E3196" s="28" t="n">
        <f aca="false">ROUND((SUMIFS(Acerto_Detalhado!$F$2:$F$433,Acerto_Detalhado!$A$2:$A$433,$C3196,Acerto_Detalhado!$B$2:$B$433,"Set",Acerto_Detalhado!$C$2:$C$433,"Proteina"))*(SUMIFS(Acerto_Detalhado!$I$2:$I$433,Acerto_Detalhado!$A$2:$A$433,$D3196,Acerto_Detalhado!$B$2:$B$433,"Set",Acerto_Detalhado!$C$2:$C$433,"Proteina")),2)</f>
        <v>0</v>
      </c>
    </row>
    <row r="3197" customFormat="false" ht="15" hidden="false" customHeight="false" outlineLevel="0" collapsed="false">
      <c r="A3197" s="27" t="s">
        <v>119</v>
      </c>
      <c r="B3197" s="27" t="s">
        <v>109</v>
      </c>
      <c r="C3197" s="27" t="s">
        <v>41</v>
      </c>
      <c r="D3197" s="27" t="s">
        <v>42</v>
      </c>
      <c r="E3197" s="28" t="n">
        <f aca="false">ROUND((SUMIFS(Acerto_Detalhado!$F$2:$F$433,Acerto_Detalhado!$A$2:$A$433,$C3197,Acerto_Detalhado!$B$2:$B$433,"Set",Acerto_Detalhado!$C$2:$C$433,"Proteina"))*(SUMIFS(Acerto_Detalhado!$I$2:$I$433,Acerto_Detalhado!$A$2:$A$433,$D3197,Acerto_Detalhado!$B$2:$B$433,"Set",Acerto_Detalhado!$C$2:$C$433,"Proteina")),2)</f>
        <v>0</v>
      </c>
    </row>
    <row r="3198" customFormat="false" ht="15" hidden="false" customHeight="false" outlineLevel="0" collapsed="false">
      <c r="A3198" s="27" t="s">
        <v>119</v>
      </c>
      <c r="B3198" s="27" t="s">
        <v>109</v>
      </c>
      <c r="C3198" s="27" t="s">
        <v>41</v>
      </c>
      <c r="D3198" s="27" t="s">
        <v>43</v>
      </c>
      <c r="E3198" s="28" t="n">
        <f aca="false">ROUND((SUMIFS(Acerto_Detalhado!$F$2:$F$433,Acerto_Detalhado!$A$2:$A$433,$C3198,Acerto_Detalhado!$B$2:$B$433,"Set",Acerto_Detalhado!$C$2:$C$433,"Proteina"))*(SUMIFS(Acerto_Detalhado!$I$2:$I$433,Acerto_Detalhado!$A$2:$A$433,$D3198,Acerto_Detalhado!$B$2:$B$433,"Set",Acerto_Detalhado!$C$2:$C$433,"Proteina")),2)</f>
        <v>0</v>
      </c>
    </row>
    <row r="3199" customFormat="false" ht="15" hidden="false" customHeight="false" outlineLevel="0" collapsed="false">
      <c r="A3199" s="27" t="s">
        <v>119</v>
      </c>
      <c r="B3199" s="27" t="s">
        <v>109</v>
      </c>
      <c r="C3199" s="27" t="s">
        <v>41</v>
      </c>
      <c r="D3199" s="27" t="s">
        <v>44</v>
      </c>
      <c r="E3199" s="28" t="n">
        <f aca="false">ROUND((SUMIFS(Acerto_Detalhado!$F$2:$F$433,Acerto_Detalhado!$A$2:$A$433,$C3199,Acerto_Detalhado!$B$2:$B$433,"Set",Acerto_Detalhado!$C$2:$C$433,"Proteina"))*(SUMIFS(Acerto_Detalhado!$I$2:$I$433,Acerto_Detalhado!$A$2:$A$433,$D3199,Acerto_Detalhado!$B$2:$B$433,"Set",Acerto_Detalhado!$C$2:$C$433,"Proteina")),2)</f>
        <v>0</v>
      </c>
    </row>
    <row r="3200" customFormat="false" ht="15" hidden="false" customHeight="false" outlineLevel="0" collapsed="false">
      <c r="A3200" s="27" t="s">
        <v>119</v>
      </c>
      <c r="B3200" s="27" t="s">
        <v>109</v>
      </c>
      <c r="C3200" s="27" t="s">
        <v>41</v>
      </c>
      <c r="D3200" s="27" t="s">
        <v>45</v>
      </c>
      <c r="E3200" s="28" t="n">
        <f aca="false">ROUND((SUMIFS(Acerto_Detalhado!$F$2:$F$433,Acerto_Detalhado!$A$2:$A$433,$C3200,Acerto_Detalhado!$B$2:$B$433,"Set",Acerto_Detalhado!$C$2:$C$433,"Proteina"))*(SUMIFS(Acerto_Detalhado!$I$2:$I$433,Acerto_Detalhado!$A$2:$A$433,$D3200,Acerto_Detalhado!$B$2:$B$433,"Set",Acerto_Detalhado!$C$2:$C$433,"Proteina")),2)</f>
        <v>0</v>
      </c>
    </row>
    <row r="3201" customFormat="false" ht="15" hidden="false" customHeight="false" outlineLevel="0" collapsed="false">
      <c r="A3201" s="27" t="s">
        <v>119</v>
      </c>
      <c r="B3201" s="27" t="s">
        <v>109</v>
      </c>
      <c r="C3201" s="27" t="s">
        <v>41</v>
      </c>
      <c r="D3201" s="27" t="s">
        <v>46</v>
      </c>
      <c r="E3201" s="28" t="n">
        <f aca="false">ROUND((SUMIFS(Acerto_Detalhado!$F$2:$F$433,Acerto_Detalhado!$A$2:$A$433,$C3201,Acerto_Detalhado!$B$2:$B$433,"Set",Acerto_Detalhado!$C$2:$C$433,"Proteina"))*(SUMIFS(Acerto_Detalhado!$I$2:$I$433,Acerto_Detalhado!$A$2:$A$433,$D3201,Acerto_Detalhado!$B$2:$B$433,"Set",Acerto_Detalhado!$C$2:$C$433,"Proteina")),2)</f>
        <v>0</v>
      </c>
    </row>
    <row r="3202" customFormat="false" ht="15" hidden="false" customHeight="false" outlineLevel="0" collapsed="false">
      <c r="A3202" s="27" t="s">
        <v>119</v>
      </c>
      <c r="B3202" s="27" t="s">
        <v>109</v>
      </c>
      <c r="C3202" s="27" t="s">
        <v>41</v>
      </c>
      <c r="D3202" s="27" t="s">
        <v>47</v>
      </c>
      <c r="E3202" s="28" t="n">
        <f aca="false">ROUND((SUMIFS(Acerto_Detalhado!$F$2:$F$433,Acerto_Detalhado!$A$2:$A$433,$C3202,Acerto_Detalhado!$B$2:$B$433,"Set",Acerto_Detalhado!$C$2:$C$433,"Proteina"))*(SUMIFS(Acerto_Detalhado!$I$2:$I$433,Acerto_Detalhado!$A$2:$A$433,$D3202,Acerto_Detalhado!$B$2:$B$433,"Set",Acerto_Detalhado!$C$2:$C$433,"Proteina")),2)</f>
        <v>0</v>
      </c>
    </row>
    <row r="3203" customFormat="false" ht="15" hidden="false" customHeight="false" outlineLevel="0" collapsed="false">
      <c r="A3203" s="27" t="s">
        <v>119</v>
      </c>
      <c r="B3203" s="27" t="s">
        <v>109</v>
      </c>
      <c r="C3203" s="27" t="s">
        <v>41</v>
      </c>
      <c r="D3203" s="27" t="s">
        <v>48</v>
      </c>
      <c r="E3203" s="28" t="n">
        <f aca="false">ROUND((SUMIFS(Acerto_Detalhado!$F$2:$F$433,Acerto_Detalhado!$A$2:$A$433,$C3203,Acerto_Detalhado!$B$2:$B$433,"Set",Acerto_Detalhado!$C$2:$C$433,"Proteina"))*(SUMIFS(Acerto_Detalhado!$I$2:$I$433,Acerto_Detalhado!$A$2:$A$433,$D3203,Acerto_Detalhado!$B$2:$B$433,"Set",Acerto_Detalhado!$C$2:$C$433,"Proteina")),2)</f>
        <v>0</v>
      </c>
    </row>
    <row r="3204" customFormat="false" ht="15" hidden="false" customHeight="false" outlineLevel="0" collapsed="false">
      <c r="A3204" s="27" t="s">
        <v>119</v>
      </c>
      <c r="B3204" s="27" t="s">
        <v>109</v>
      </c>
      <c r="C3204" s="27" t="s">
        <v>41</v>
      </c>
      <c r="D3204" s="27" t="s">
        <v>49</v>
      </c>
      <c r="E3204" s="28" t="n">
        <f aca="false">ROUND((SUMIFS(Acerto_Detalhado!$F$2:$F$433,Acerto_Detalhado!$A$2:$A$433,$C3204,Acerto_Detalhado!$B$2:$B$433,"Set",Acerto_Detalhado!$C$2:$C$433,"Proteina"))*(SUMIFS(Acerto_Detalhado!$I$2:$I$433,Acerto_Detalhado!$A$2:$A$433,$D3204,Acerto_Detalhado!$B$2:$B$433,"Set",Acerto_Detalhado!$C$2:$C$433,"Proteina")),2)</f>
        <v>0</v>
      </c>
    </row>
    <row r="3205" customFormat="false" ht="15" hidden="false" customHeight="false" outlineLevel="0" collapsed="false">
      <c r="A3205" s="27" t="s">
        <v>119</v>
      </c>
      <c r="B3205" s="27" t="s">
        <v>109</v>
      </c>
      <c r="C3205" s="27" t="s">
        <v>41</v>
      </c>
      <c r="D3205" s="27" t="s">
        <v>50</v>
      </c>
      <c r="E3205" s="28" t="n">
        <f aca="false">ROUND((SUMIFS(Acerto_Detalhado!$F$2:$F$433,Acerto_Detalhado!$A$2:$A$433,$C3205,Acerto_Detalhado!$B$2:$B$433,"Set",Acerto_Detalhado!$C$2:$C$433,"Proteina"))*(SUMIFS(Acerto_Detalhado!$I$2:$I$433,Acerto_Detalhado!$A$2:$A$433,$D3205,Acerto_Detalhado!$B$2:$B$433,"Set",Acerto_Detalhado!$C$2:$C$433,"Proteina")),2)</f>
        <v>0</v>
      </c>
    </row>
    <row r="3206" customFormat="false" ht="15" hidden="false" customHeight="false" outlineLevel="0" collapsed="false">
      <c r="A3206" s="27" t="s">
        <v>119</v>
      </c>
      <c r="B3206" s="27" t="s">
        <v>109</v>
      </c>
      <c r="C3206" s="27" t="s">
        <v>42</v>
      </c>
      <c r="D3206" s="27" t="s">
        <v>39</v>
      </c>
      <c r="E3206" s="28" t="n">
        <f aca="false">ROUND((SUMIFS(Acerto_Detalhado!$F$2:$F$433,Acerto_Detalhado!$A$2:$A$433,$C3206,Acerto_Detalhado!$B$2:$B$433,"Set",Acerto_Detalhado!$C$2:$C$433,"Proteina"))*(SUMIFS(Acerto_Detalhado!$I$2:$I$433,Acerto_Detalhado!$A$2:$A$433,$D3206,Acerto_Detalhado!$B$2:$B$433,"Set",Acerto_Detalhado!$C$2:$C$433,"Proteina")),2)</f>
        <v>0</v>
      </c>
    </row>
    <row r="3207" customFormat="false" ht="15" hidden="false" customHeight="false" outlineLevel="0" collapsed="false">
      <c r="A3207" s="27" t="s">
        <v>119</v>
      </c>
      <c r="B3207" s="27" t="s">
        <v>109</v>
      </c>
      <c r="C3207" s="27" t="s">
        <v>42</v>
      </c>
      <c r="D3207" s="27" t="s">
        <v>40</v>
      </c>
      <c r="E3207" s="28" t="n">
        <f aca="false">ROUND((SUMIFS(Acerto_Detalhado!$F$2:$F$433,Acerto_Detalhado!$A$2:$A$433,$C3207,Acerto_Detalhado!$B$2:$B$433,"Set",Acerto_Detalhado!$C$2:$C$433,"Proteina"))*(SUMIFS(Acerto_Detalhado!$I$2:$I$433,Acerto_Detalhado!$A$2:$A$433,$D3207,Acerto_Detalhado!$B$2:$B$433,"Set",Acerto_Detalhado!$C$2:$C$433,"Proteina")),2)</f>
        <v>76.05</v>
      </c>
    </row>
    <row r="3208" customFormat="false" ht="15" hidden="false" customHeight="false" outlineLevel="0" collapsed="false">
      <c r="A3208" s="27" t="s">
        <v>119</v>
      </c>
      <c r="B3208" s="27" t="s">
        <v>109</v>
      </c>
      <c r="C3208" s="27" t="s">
        <v>42</v>
      </c>
      <c r="D3208" s="27" t="s">
        <v>41</v>
      </c>
      <c r="E3208" s="28" t="n">
        <f aca="false">ROUND((SUMIFS(Acerto_Detalhado!$F$2:$F$433,Acerto_Detalhado!$A$2:$A$433,$C3208,Acerto_Detalhado!$B$2:$B$433,"Set",Acerto_Detalhado!$C$2:$C$433,"Proteina"))*(SUMIFS(Acerto_Detalhado!$I$2:$I$433,Acerto_Detalhado!$A$2:$A$433,$D3208,Acerto_Detalhado!$B$2:$B$433,"Set",Acerto_Detalhado!$C$2:$C$433,"Proteina")),2)</f>
        <v>34.44</v>
      </c>
    </row>
    <row r="3209" customFormat="false" ht="15" hidden="false" customHeight="false" outlineLevel="0" collapsed="false">
      <c r="A3209" s="27" t="s">
        <v>119</v>
      </c>
      <c r="B3209" s="27" t="s">
        <v>109</v>
      </c>
      <c r="C3209" s="27" t="s">
        <v>42</v>
      </c>
      <c r="D3209" s="27" t="s">
        <v>43</v>
      </c>
      <c r="E3209" s="28" t="n">
        <f aca="false">ROUND((SUMIFS(Acerto_Detalhado!$F$2:$F$433,Acerto_Detalhado!$A$2:$A$433,$C3209,Acerto_Detalhado!$B$2:$B$433,"Set",Acerto_Detalhado!$C$2:$C$433,"Proteina"))*(SUMIFS(Acerto_Detalhado!$I$2:$I$433,Acerto_Detalhado!$A$2:$A$433,$D3209,Acerto_Detalhado!$B$2:$B$433,"Set",Acerto_Detalhado!$C$2:$C$433,"Proteina")),2)</f>
        <v>0</v>
      </c>
    </row>
    <row r="3210" customFormat="false" ht="15" hidden="false" customHeight="false" outlineLevel="0" collapsed="false">
      <c r="A3210" s="27" t="s">
        <v>119</v>
      </c>
      <c r="B3210" s="27" t="s">
        <v>109</v>
      </c>
      <c r="C3210" s="27" t="s">
        <v>42</v>
      </c>
      <c r="D3210" s="27" t="s">
        <v>44</v>
      </c>
      <c r="E3210" s="28" t="n">
        <f aca="false">ROUND((SUMIFS(Acerto_Detalhado!$F$2:$F$433,Acerto_Detalhado!$A$2:$A$433,$C3210,Acerto_Detalhado!$B$2:$B$433,"Set",Acerto_Detalhado!$C$2:$C$433,"Proteina"))*(SUMIFS(Acerto_Detalhado!$I$2:$I$433,Acerto_Detalhado!$A$2:$A$433,$D3210,Acerto_Detalhado!$B$2:$B$433,"Set",Acerto_Detalhado!$C$2:$C$433,"Proteina")),2)</f>
        <v>42.36</v>
      </c>
    </row>
    <row r="3211" customFormat="false" ht="15" hidden="false" customHeight="false" outlineLevel="0" collapsed="false">
      <c r="A3211" s="27" t="s">
        <v>119</v>
      </c>
      <c r="B3211" s="27" t="s">
        <v>109</v>
      </c>
      <c r="C3211" s="27" t="s">
        <v>42</v>
      </c>
      <c r="D3211" s="27" t="s">
        <v>45</v>
      </c>
      <c r="E3211" s="28" t="n">
        <f aca="false">ROUND((SUMIFS(Acerto_Detalhado!$F$2:$F$433,Acerto_Detalhado!$A$2:$A$433,$C3211,Acerto_Detalhado!$B$2:$B$433,"Set",Acerto_Detalhado!$C$2:$C$433,"Proteina"))*(SUMIFS(Acerto_Detalhado!$I$2:$I$433,Acerto_Detalhado!$A$2:$A$433,$D3211,Acerto_Detalhado!$B$2:$B$433,"Set",Acerto_Detalhado!$C$2:$C$433,"Proteina")),2)</f>
        <v>0</v>
      </c>
    </row>
    <row r="3212" customFormat="false" ht="15" hidden="false" customHeight="false" outlineLevel="0" collapsed="false">
      <c r="A3212" s="27" t="s">
        <v>119</v>
      </c>
      <c r="B3212" s="27" t="s">
        <v>109</v>
      </c>
      <c r="C3212" s="27" t="s">
        <v>42</v>
      </c>
      <c r="D3212" s="27" t="s">
        <v>46</v>
      </c>
      <c r="E3212" s="28" t="n">
        <f aca="false">ROUND((SUMIFS(Acerto_Detalhado!$F$2:$F$433,Acerto_Detalhado!$A$2:$A$433,$C3212,Acerto_Detalhado!$B$2:$B$433,"Set",Acerto_Detalhado!$C$2:$C$433,"Proteina"))*(SUMIFS(Acerto_Detalhado!$I$2:$I$433,Acerto_Detalhado!$A$2:$A$433,$D3212,Acerto_Detalhado!$B$2:$B$433,"Set",Acerto_Detalhado!$C$2:$C$433,"Proteina")),2)</f>
        <v>0</v>
      </c>
    </row>
    <row r="3213" customFormat="false" ht="15" hidden="false" customHeight="false" outlineLevel="0" collapsed="false">
      <c r="A3213" s="27" t="s">
        <v>119</v>
      </c>
      <c r="B3213" s="27" t="s">
        <v>109</v>
      </c>
      <c r="C3213" s="27" t="s">
        <v>42</v>
      </c>
      <c r="D3213" s="27" t="s">
        <v>47</v>
      </c>
      <c r="E3213" s="28" t="n">
        <f aca="false">ROUND((SUMIFS(Acerto_Detalhado!$F$2:$F$433,Acerto_Detalhado!$A$2:$A$433,$C3213,Acerto_Detalhado!$B$2:$B$433,"Set",Acerto_Detalhado!$C$2:$C$433,"Proteina"))*(SUMIFS(Acerto_Detalhado!$I$2:$I$433,Acerto_Detalhado!$A$2:$A$433,$D3213,Acerto_Detalhado!$B$2:$B$433,"Set",Acerto_Detalhado!$C$2:$C$433,"Proteina")),2)</f>
        <v>0</v>
      </c>
    </row>
    <row r="3214" customFormat="false" ht="15" hidden="false" customHeight="false" outlineLevel="0" collapsed="false">
      <c r="A3214" s="27" t="s">
        <v>119</v>
      </c>
      <c r="B3214" s="27" t="s">
        <v>109</v>
      </c>
      <c r="C3214" s="27" t="s">
        <v>42</v>
      </c>
      <c r="D3214" s="27" t="s">
        <v>48</v>
      </c>
      <c r="E3214" s="28" t="n">
        <f aca="false">ROUND((SUMIFS(Acerto_Detalhado!$F$2:$F$433,Acerto_Detalhado!$A$2:$A$433,$C3214,Acerto_Detalhado!$B$2:$B$433,"Set",Acerto_Detalhado!$C$2:$C$433,"Proteina"))*(SUMIFS(Acerto_Detalhado!$I$2:$I$433,Acerto_Detalhado!$A$2:$A$433,$D3214,Acerto_Detalhado!$B$2:$B$433,"Set",Acerto_Detalhado!$C$2:$C$433,"Proteina")),2)</f>
        <v>55.99</v>
      </c>
    </row>
    <row r="3215" customFormat="false" ht="15" hidden="false" customHeight="false" outlineLevel="0" collapsed="false">
      <c r="A3215" s="27" t="s">
        <v>119</v>
      </c>
      <c r="B3215" s="27" t="s">
        <v>109</v>
      </c>
      <c r="C3215" s="27" t="s">
        <v>42</v>
      </c>
      <c r="D3215" s="27" t="s">
        <v>49</v>
      </c>
      <c r="E3215" s="28" t="n">
        <f aca="false">ROUND((SUMIFS(Acerto_Detalhado!$F$2:$F$433,Acerto_Detalhado!$A$2:$A$433,$C3215,Acerto_Detalhado!$B$2:$B$433,"Set",Acerto_Detalhado!$C$2:$C$433,"Proteina"))*(SUMIFS(Acerto_Detalhado!$I$2:$I$433,Acerto_Detalhado!$A$2:$A$433,$D3215,Acerto_Detalhado!$B$2:$B$433,"Set",Acerto_Detalhado!$C$2:$C$433,"Proteina")),2)</f>
        <v>0</v>
      </c>
    </row>
    <row r="3216" customFormat="false" ht="15" hidden="false" customHeight="false" outlineLevel="0" collapsed="false">
      <c r="A3216" s="27" t="s">
        <v>119</v>
      </c>
      <c r="B3216" s="27" t="s">
        <v>109</v>
      </c>
      <c r="C3216" s="27" t="s">
        <v>42</v>
      </c>
      <c r="D3216" s="27" t="s">
        <v>50</v>
      </c>
      <c r="E3216" s="28" t="n">
        <f aca="false">ROUND((SUMIFS(Acerto_Detalhado!$F$2:$F$433,Acerto_Detalhado!$A$2:$A$433,$C3216,Acerto_Detalhado!$B$2:$B$433,"Set",Acerto_Detalhado!$C$2:$C$433,"Proteina"))*(SUMIFS(Acerto_Detalhado!$I$2:$I$433,Acerto_Detalhado!$A$2:$A$433,$D3216,Acerto_Detalhado!$B$2:$B$433,"Set",Acerto_Detalhado!$C$2:$C$433,"Proteina")),2)</f>
        <v>0</v>
      </c>
    </row>
    <row r="3217" customFormat="false" ht="15" hidden="false" customHeight="false" outlineLevel="0" collapsed="false">
      <c r="A3217" s="27" t="s">
        <v>119</v>
      </c>
      <c r="B3217" s="27" t="s">
        <v>109</v>
      </c>
      <c r="C3217" s="27" t="s">
        <v>43</v>
      </c>
      <c r="D3217" s="27" t="s">
        <v>39</v>
      </c>
      <c r="E3217" s="28" t="n">
        <f aca="false">ROUND((SUMIFS(Acerto_Detalhado!$F$2:$F$433,Acerto_Detalhado!$A$2:$A$433,$C3217,Acerto_Detalhado!$B$2:$B$433,"Set",Acerto_Detalhado!$C$2:$C$433,"Proteina"))*(SUMIFS(Acerto_Detalhado!$I$2:$I$433,Acerto_Detalhado!$A$2:$A$433,$D3217,Acerto_Detalhado!$B$2:$B$433,"Set",Acerto_Detalhado!$C$2:$C$433,"Proteina")),2)</f>
        <v>0</v>
      </c>
    </row>
    <row r="3218" customFormat="false" ht="15" hidden="false" customHeight="false" outlineLevel="0" collapsed="false">
      <c r="A3218" s="27" t="s">
        <v>119</v>
      </c>
      <c r="B3218" s="27" t="s">
        <v>109</v>
      </c>
      <c r="C3218" s="27" t="s">
        <v>43</v>
      </c>
      <c r="D3218" s="27" t="s">
        <v>40</v>
      </c>
      <c r="E3218" s="28" t="n">
        <f aca="false">ROUND((SUMIFS(Acerto_Detalhado!$F$2:$F$433,Acerto_Detalhado!$A$2:$A$433,$C3218,Acerto_Detalhado!$B$2:$B$433,"Set",Acerto_Detalhado!$C$2:$C$433,"Proteina"))*(SUMIFS(Acerto_Detalhado!$I$2:$I$433,Acerto_Detalhado!$A$2:$A$433,$D3218,Acerto_Detalhado!$B$2:$B$433,"Set",Acerto_Detalhado!$C$2:$C$433,"Proteina")),2)</f>
        <v>566.55</v>
      </c>
    </row>
    <row r="3219" customFormat="false" ht="15" hidden="false" customHeight="false" outlineLevel="0" collapsed="false">
      <c r="A3219" s="27" t="s">
        <v>119</v>
      </c>
      <c r="B3219" s="27" t="s">
        <v>109</v>
      </c>
      <c r="C3219" s="27" t="s">
        <v>43</v>
      </c>
      <c r="D3219" s="27" t="s">
        <v>41</v>
      </c>
      <c r="E3219" s="28" t="n">
        <f aca="false">ROUND((SUMIFS(Acerto_Detalhado!$F$2:$F$433,Acerto_Detalhado!$A$2:$A$433,$C3219,Acerto_Detalhado!$B$2:$B$433,"Set",Acerto_Detalhado!$C$2:$C$433,"Proteina"))*(SUMIFS(Acerto_Detalhado!$I$2:$I$433,Acerto_Detalhado!$A$2:$A$433,$D3219,Acerto_Detalhado!$B$2:$B$433,"Set",Acerto_Detalhado!$C$2:$C$433,"Proteina")),2)</f>
        <v>256.53</v>
      </c>
    </row>
    <row r="3220" customFormat="false" ht="15" hidden="false" customHeight="false" outlineLevel="0" collapsed="false">
      <c r="A3220" s="27" t="s">
        <v>119</v>
      </c>
      <c r="B3220" s="27" t="s">
        <v>109</v>
      </c>
      <c r="C3220" s="27" t="s">
        <v>43</v>
      </c>
      <c r="D3220" s="27" t="s">
        <v>42</v>
      </c>
      <c r="E3220" s="28" t="n">
        <f aca="false">ROUND((SUMIFS(Acerto_Detalhado!$F$2:$F$433,Acerto_Detalhado!$A$2:$A$433,$C3220,Acerto_Detalhado!$B$2:$B$433,"Set",Acerto_Detalhado!$C$2:$C$433,"Proteina"))*(SUMIFS(Acerto_Detalhado!$I$2:$I$433,Acerto_Detalhado!$A$2:$A$433,$D3220,Acerto_Detalhado!$B$2:$B$433,"Set",Acerto_Detalhado!$C$2:$C$433,"Proteina")),2)</f>
        <v>0</v>
      </c>
    </row>
    <row r="3221" customFormat="false" ht="15" hidden="false" customHeight="false" outlineLevel="0" collapsed="false">
      <c r="A3221" s="27" t="s">
        <v>119</v>
      </c>
      <c r="B3221" s="27" t="s">
        <v>109</v>
      </c>
      <c r="C3221" s="27" t="s">
        <v>43</v>
      </c>
      <c r="D3221" s="27" t="s">
        <v>44</v>
      </c>
      <c r="E3221" s="28" t="n">
        <f aca="false">ROUND((SUMIFS(Acerto_Detalhado!$F$2:$F$433,Acerto_Detalhado!$A$2:$A$433,$C3221,Acerto_Detalhado!$B$2:$B$433,"Set",Acerto_Detalhado!$C$2:$C$433,"Proteina"))*(SUMIFS(Acerto_Detalhado!$I$2:$I$433,Acerto_Detalhado!$A$2:$A$433,$D3221,Acerto_Detalhado!$B$2:$B$433,"Set",Acerto_Detalhado!$C$2:$C$433,"Proteina")),2)</f>
        <v>315.57</v>
      </c>
    </row>
    <row r="3222" customFormat="false" ht="15" hidden="false" customHeight="false" outlineLevel="0" collapsed="false">
      <c r="A3222" s="27" t="s">
        <v>119</v>
      </c>
      <c r="B3222" s="27" t="s">
        <v>109</v>
      </c>
      <c r="C3222" s="27" t="s">
        <v>43</v>
      </c>
      <c r="D3222" s="27" t="s">
        <v>45</v>
      </c>
      <c r="E3222" s="28" t="n">
        <f aca="false">ROUND((SUMIFS(Acerto_Detalhado!$F$2:$F$433,Acerto_Detalhado!$A$2:$A$433,$C3222,Acerto_Detalhado!$B$2:$B$433,"Set",Acerto_Detalhado!$C$2:$C$433,"Proteina"))*(SUMIFS(Acerto_Detalhado!$I$2:$I$433,Acerto_Detalhado!$A$2:$A$433,$D3222,Acerto_Detalhado!$B$2:$B$433,"Set",Acerto_Detalhado!$C$2:$C$433,"Proteina")),2)</f>
        <v>0</v>
      </c>
    </row>
    <row r="3223" customFormat="false" ht="15" hidden="false" customHeight="false" outlineLevel="0" collapsed="false">
      <c r="A3223" s="27" t="s">
        <v>119</v>
      </c>
      <c r="B3223" s="27" t="s">
        <v>109</v>
      </c>
      <c r="C3223" s="27" t="s">
        <v>43</v>
      </c>
      <c r="D3223" s="27" t="s">
        <v>46</v>
      </c>
      <c r="E3223" s="28" t="n">
        <f aca="false">ROUND((SUMIFS(Acerto_Detalhado!$F$2:$F$433,Acerto_Detalhado!$A$2:$A$433,$C3223,Acerto_Detalhado!$B$2:$B$433,"Set",Acerto_Detalhado!$C$2:$C$433,"Proteina"))*(SUMIFS(Acerto_Detalhado!$I$2:$I$433,Acerto_Detalhado!$A$2:$A$433,$D3223,Acerto_Detalhado!$B$2:$B$433,"Set",Acerto_Detalhado!$C$2:$C$433,"Proteina")),2)</f>
        <v>0</v>
      </c>
    </row>
    <row r="3224" customFormat="false" ht="15" hidden="false" customHeight="false" outlineLevel="0" collapsed="false">
      <c r="A3224" s="27" t="s">
        <v>119</v>
      </c>
      <c r="B3224" s="27" t="s">
        <v>109</v>
      </c>
      <c r="C3224" s="27" t="s">
        <v>43</v>
      </c>
      <c r="D3224" s="27" t="s">
        <v>47</v>
      </c>
      <c r="E3224" s="28" t="n">
        <f aca="false">ROUND((SUMIFS(Acerto_Detalhado!$F$2:$F$433,Acerto_Detalhado!$A$2:$A$433,$C3224,Acerto_Detalhado!$B$2:$B$433,"Set",Acerto_Detalhado!$C$2:$C$433,"Proteina"))*(SUMIFS(Acerto_Detalhado!$I$2:$I$433,Acerto_Detalhado!$A$2:$A$433,$D3224,Acerto_Detalhado!$B$2:$B$433,"Set",Acerto_Detalhado!$C$2:$C$433,"Proteina")),2)</f>
        <v>0</v>
      </c>
    </row>
    <row r="3225" customFormat="false" ht="15" hidden="false" customHeight="false" outlineLevel="0" collapsed="false">
      <c r="A3225" s="27" t="s">
        <v>119</v>
      </c>
      <c r="B3225" s="27" t="s">
        <v>109</v>
      </c>
      <c r="C3225" s="27" t="s">
        <v>43</v>
      </c>
      <c r="D3225" s="27" t="s">
        <v>48</v>
      </c>
      <c r="E3225" s="28" t="n">
        <f aca="false">ROUND((SUMIFS(Acerto_Detalhado!$F$2:$F$433,Acerto_Detalhado!$A$2:$A$433,$C3225,Acerto_Detalhado!$B$2:$B$433,"Set",Acerto_Detalhado!$C$2:$C$433,"Proteina"))*(SUMIFS(Acerto_Detalhado!$I$2:$I$433,Acerto_Detalhado!$A$2:$A$433,$D3225,Acerto_Detalhado!$B$2:$B$433,"Set",Acerto_Detalhado!$C$2:$C$433,"Proteina")),2)</f>
        <v>417.08</v>
      </c>
    </row>
    <row r="3226" customFormat="false" ht="15" hidden="false" customHeight="false" outlineLevel="0" collapsed="false">
      <c r="A3226" s="27" t="s">
        <v>119</v>
      </c>
      <c r="B3226" s="27" t="s">
        <v>109</v>
      </c>
      <c r="C3226" s="27" t="s">
        <v>43</v>
      </c>
      <c r="D3226" s="27" t="s">
        <v>49</v>
      </c>
      <c r="E3226" s="28" t="n">
        <f aca="false">ROUND((SUMIFS(Acerto_Detalhado!$F$2:$F$433,Acerto_Detalhado!$A$2:$A$433,$C3226,Acerto_Detalhado!$B$2:$B$433,"Set",Acerto_Detalhado!$C$2:$C$433,"Proteina"))*(SUMIFS(Acerto_Detalhado!$I$2:$I$433,Acerto_Detalhado!$A$2:$A$433,$D3226,Acerto_Detalhado!$B$2:$B$433,"Set",Acerto_Detalhado!$C$2:$C$433,"Proteina")),2)</f>
        <v>0</v>
      </c>
    </row>
    <row r="3227" customFormat="false" ht="15" hidden="false" customHeight="false" outlineLevel="0" collapsed="false">
      <c r="A3227" s="27" t="s">
        <v>119</v>
      </c>
      <c r="B3227" s="27" t="s">
        <v>109</v>
      </c>
      <c r="C3227" s="27" t="s">
        <v>43</v>
      </c>
      <c r="D3227" s="27" t="s">
        <v>50</v>
      </c>
      <c r="E3227" s="28" t="n">
        <f aca="false">ROUND((SUMIFS(Acerto_Detalhado!$F$2:$F$433,Acerto_Detalhado!$A$2:$A$433,$C3227,Acerto_Detalhado!$B$2:$B$433,"Set",Acerto_Detalhado!$C$2:$C$433,"Proteina"))*(SUMIFS(Acerto_Detalhado!$I$2:$I$433,Acerto_Detalhado!$A$2:$A$433,$D3227,Acerto_Detalhado!$B$2:$B$433,"Set",Acerto_Detalhado!$C$2:$C$433,"Proteina")),2)</f>
        <v>0</v>
      </c>
    </row>
    <row r="3228" customFormat="false" ht="15" hidden="false" customHeight="false" outlineLevel="0" collapsed="false">
      <c r="A3228" s="27" t="s">
        <v>119</v>
      </c>
      <c r="B3228" s="27" t="s">
        <v>109</v>
      </c>
      <c r="C3228" s="27" t="s">
        <v>44</v>
      </c>
      <c r="D3228" s="27" t="s">
        <v>39</v>
      </c>
      <c r="E3228" s="28" t="n">
        <f aca="false">ROUND((SUMIFS(Acerto_Detalhado!$F$2:$F$433,Acerto_Detalhado!$A$2:$A$433,$C3228,Acerto_Detalhado!$B$2:$B$433,"Set",Acerto_Detalhado!$C$2:$C$433,"Proteina"))*(SUMIFS(Acerto_Detalhado!$I$2:$I$433,Acerto_Detalhado!$A$2:$A$433,$D3228,Acerto_Detalhado!$B$2:$B$433,"Set",Acerto_Detalhado!$C$2:$C$433,"Proteina")),2)</f>
        <v>0</v>
      </c>
    </row>
    <row r="3229" customFormat="false" ht="15" hidden="false" customHeight="false" outlineLevel="0" collapsed="false">
      <c r="A3229" s="27" t="s">
        <v>119</v>
      </c>
      <c r="B3229" s="27" t="s">
        <v>109</v>
      </c>
      <c r="C3229" s="27" t="s">
        <v>44</v>
      </c>
      <c r="D3229" s="27" t="s">
        <v>40</v>
      </c>
      <c r="E3229" s="28" t="n">
        <f aca="false">ROUND((SUMIFS(Acerto_Detalhado!$F$2:$F$433,Acerto_Detalhado!$A$2:$A$433,$C3229,Acerto_Detalhado!$B$2:$B$433,"Set",Acerto_Detalhado!$C$2:$C$433,"Proteina"))*(SUMIFS(Acerto_Detalhado!$I$2:$I$433,Acerto_Detalhado!$A$2:$A$433,$D3229,Acerto_Detalhado!$B$2:$B$433,"Set",Acerto_Detalhado!$C$2:$C$433,"Proteina")),2)</f>
        <v>0</v>
      </c>
    </row>
    <row r="3230" customFormat="false" ht="15" hidden="false" customHeight="false" outlineLevel="0" collapsed="false">
      <c r="A3230" s="27" t="s">
        <v>119</v>
      </c>
      <c r="B3230" s="27" t="s">
        <v>109</v>
      </c>
      <c r="C3230" s="27" t="s">
        <v>44</v>
      </c>
      <c r="D3230" s="27" t="s">
        <v>41</v>
      </c>
      <c r="E3230" s="28" t="n">
        <f aca="false">ROUND((SUMIFS(Acerto_Detalhado!$F$2:$F$433,Acerto_Detalhado!$A$2:$A$433,$C3230,Acerto_Detalhado!$B$2:$B$433,"Set",Acerto_Detalhado!$C$2:$C$433,"Proteina"))*(SUMIFS(Acerto_Detalhado!$I$2:$I$433,Acerto_Detalhado!$A$2:$A$433,$D3230,Acerto_Detalhado!$B$2:$B$433,"Set",Acerto_Detalhado!$C$2:$C$433,"Proteina")),2)</f>
        <v>0</v>
      </c>
    </row>
    <row r="3231" customFormat="false" ht="15" hidden="false" customHeight="false" outlineLevel="0" collapsed="false">
      <c r="A3231" s="27" t="s">
        <v>119</v>
      </c>
      <c r="B3231" s="27" t="s">
        <v>109</v>
      </c>
      <c r="C3231" s="27" t="s">
        <v>44</v>
      </c>
      <c r="D3231" s="27" t="s">
        <v>42</v>
      </c>
      <c r="E3231" s="28" t="n">
        <f aca="false">ROUND((SUMIFS(Acerto_Detalhado!$F$2:$F$433,Acerto_Detalhado!$A$2:$A$433,$C3231,Acerto_Detalhado!$B$2:$B$433,"Set",Acerto_Detalhado!$C$2:$C$433,"Proteina"))*(SUMIFS(Acerto_Detalhado!$I$2:$I$433,Acerto_Detalhado!$A$2:$A$433,$D3231,Acerto_Detalhado!$B$2:$B$433,"Set",Acerto_Detalhado!$C$2:$C$433,"Proteina")),2)</f>
        <v>0</v>
      </c>
    </row>
    <row r="3232" customFormat="false" ht="15" hidden="false" customHeight="false" outlineLevel="0" collapsed="false">
      <c r="A3232" s="27" t="s">
        <v>119</v>
      </c>
      <c r="B3232" s="27" t="s">
        <v>109</v>
      </c>
      <c r="C3232" s="27" t="s">
        <v>44</v>
      </c>
      <c r="D3232" s="27" t="s">
        <v>43</v>
      </c>
      <c r="E3232" s="28" t="n">
        <f aca="false">ROUND((SUMIFS(Acerto_Detalhado!$F$2:$F$433,Acerto_Detalhado!$A$2:$A$433,$C3232,Acerto_Detalhado!$B$2:$B$433,"Set",Acerto_Detalhado!$C$2:$C$433,"Proteina"))*(SUMIFS(Acerto_Detalhado!$I$2:$I$433,Acerto_Detalhado!$A$2:$A$433,$D3232,Acerto_Detalhado!$B$2:$B$433,"Set",Acerto_Detalhado!$C$2:$C$433,"Proteina")),2)</f>
        <v>0</v>
      </c>
    </row>
    <row r="3233" customFormat="false" ht="15" hidden="false" customHeight="false" outlineLevel="0" collapsed="false">
      <c r="A3233" s="27" t="s">
        <v>119</v>
      </c>
      <c r="B3233" s="27" t="s">
        <v>109</v>
      </c>
      <c r="C3233" s="27" t="s">
        <v>44</v>
      </c>
      <c r="D3233" s="27" t="s">
        <v>45</v>
      </c>
      <c r="E3233" s="28" t="n">
        <f aca="false">ROUND((SUMIFS(Acerto_Detalhado!$F$2:$F$433,Acerto_Detalhado!$A$2:$A$433,$C3233,Acerto_Detalhado!$B$2:$B$433,"Set",Acerto_Detalhado!$C$2:$C$433,"Proteina"))*(SUMIFS(Acerto_Detalhado!$I$2:$I$433,Acerto_Detalhado!$A$2:$A$433,$D3233,Acerto_Detalhado!$B$2:$B$433,"Set",Acerto_Detalhado!$C$2:$C$433,"Proteina")),2)</f>
        <v>0</v>
      </c>
    </row>
    <row r="3234" customFormat="false" ht="15" hidden="false" customHeight="false" outlineLevel="0" collapsed="false">
      <c r="A3234" s="27" t="s">
        <v>119</v>
      </c>
      <c r="B3234" s="27" t="s">
        <v>109</v>
      </c>
      <c r="C3234" s="27" t="s">
        <v>44</v>
      </c>
      <c r="D3234" s="27" t="s">
        <v>46</v>
      </c>
      <c r="E3234" s="28" t="n">
        <f aca="false">ROUND((SUMIFS(Acerto_Detalhado!$F$2:$F$433,Acerto_Detalhado!$A$2:$A$433,$C3234,Acerto_Detalhado!$B$2:$B$433,"Set",Acerto_Detalhado!$C$2:$C$433,"Proteina"))*(SUMIFS(Acerto_Detalhado!$I$2:$I$433,Acerto_Detalhado!$A$2:$A$433,$D3234,Acerto_Detalhado!$B$2:$B$433,"Set",Acerto_Detalhado!$C$2:$C$433,"Proteina")),2)</f>
        <v>0</v>
      </c>
    </row>
    <row r="3235" customFormat="false" ht="15" hidden="false" customHeight="false" outlineLevel="0" collapsed="false">
      <c r="A3235" s="27" t="s">
        <v>119</v>
      </c>
      <c r="B3235" s="27" t="s">
        <v>109</v>
      </c>
      <c r="C3235" s="27" t="s">
        <v>44</v>
      </c>
      <c r="D3235" s="27" t="s">
        <v>47</v>
      </c>
      <c r="E3235" s="28" t="n">
        <f aca="false">ROUND((SUMIFS(Acerto_Detalhado!$F$2:$F$433,Acerto_Detalhado!$A$2:$A$433,$C3235,Acerto_Detalhado!$B$2:$B$433,"Set",Acerto_Detalhado!$C$2:$C$433,"Proteina"))*(SUMIFS(Acerto_Detalhado!$I$2:$I$433,Acerto_Detalhado!$A$2:$A$433,$D3235,Acerto_Detalhado!$B$2:$B$433,"Set",Acerto_Detalhado!$C$2:$C$433,"Proteina")),2)</f>
        <v>0</v>
      </c>
    </row>
    <row r="3236" customFormat="false" ht="15" hidden="false" customHeight="false" outlineLevel="0" collapsed="false">
      <c r="A3236" s="27" t="s">
        <v>119</v>
      </c>
      <c r="B3236" s="27" t="s">
        <v>109</v>
      </c>
      <c r="C3236" s="27" t="s">
        <v>44</v>
      </c>
      <c r="D3236" s="27" t="s">
        <v>48</v>
      </c>
      <c r="E3236" s="28" t="n">
        <f aca="false">ROUND((SUMIFS(Acerto_Detalhado!$F$2:$F$433,Acerto_Detalhado!$A$2:$A$433,$C3236,Acerto_Detalhado!$B$2:$B$433,"Set",Acerto_Detalhado!$C$2:$C$433,"Proteina"))*(SUMIFS(Acerto_Detalhado!$I$2:$I$433,Acerto_Detalhado!$A$2:$A$433,$D3236,Acerto_Detalhado!$B$2:$B$433,"Set",Acerto_Detalhado!$C$2:$C$433,"Proteina")),2)</f>
        <v>0</v>
      </c>
    </row>
    <row r="3237" customFormat="false" ht="15" hidden="false" customHeight="false" outlineLevel="0" collapsed="false">
      <c r="A3237" s="27" t="s">
        <v>119</v>
      </c>
      <c r="B3237" s="27" t="s">
        <v>109</v>
      </c>
      <c r="C3237" s="27" t="s">
        <v>44</v>
      </c>
      <c r="D3237" s="27" t="s">
        <v>49</v>
      </c>
      <c r="E3237" s="28" t="n">
        <f aca="false">ROUND((SUMIFS(Acerto_Detalhado!$F$2:$F$433,Acerto_Detalhado!$A$2:$A$433,$C3237,Acerto_Detalhado!$B$2:$B$433,"Set",Acerto_Detalhado!$C$2:$C$433,"Proteina"))*(SUMIFS(Acerto_Detalhado!$I$2:$I$433,Acerto_Detalhado!$A$2:$A$433,$D3237,Acerto_Detalhado!$B$2:$B$433,"Set",Acerto_Detalhado!$C$2:$C$433,"Proteina")),2)</f>
        <v>0</v>
      </c>
    </row>
    <row r="3238" customFormat="false" ht="15" hidden="false" customHeight="false" outlineLevel="0" collapsed="false">
      <c r="A3238" s="27" t="s">
        <v>119</v>
      </c>
      <c r="B3238" s="27" t="s">
        <v>109</v>
      </c>
      <c r="C3238" s="27" t="s">
        <v>44</v>
      </c>
      <c r="D3238" s="27" t="s">
        <v>50</v>
      </c>
      <c r="E3238" s="28" t="n">
        <f aca="false">ROUND((SUMIFS(Acerto_Detalhado!$F$2:$F$433,Acerto_Detalhado!$A$2:$A$433,$C3238,Acerto_Detalhado!$B$2:$B$433,"Set",Acerto_Detalhado!$C$2:$C$433,"Proteina"))*(SUMIFS(Acerto_Detalhado!$I$2:$I$433,Acerto_Detalhado!$A$2:$A$433,$D3238,Acerto_Detalhado!$B$2:$B$433,"Set",Acerto_Detalhado!$C$2:$C$433,"Proteina")),2)</f>
        <v>0</v>
      </c>
    </row>
    <row r="3239" customFormat="false" ht="15" hidden="false" customHeight="false" outlineLevel="0" collapsed="false">
      <c r="A3239" s="27" t="s">
        <v>119</v>
      </c>
      <c r="B3239" s="27" t="s">
        <v>109</v>
      </c>
      <c r="C3239" s="27" t="s">
        <v>45</v>
      </c>
      <c r="D3239" s="27" t="s">
        <v>39</v>
      </c>
      <c r="E3239" s="28" t="n">
        <f aca="false">ROUND((SUMIFS(Acerto_Detalhado!$F$2:$F$433,Acerto_Detalhado!$A$2:$A$433,$C3239,Acerto_Detalhado!$B$2:$B$433,"Set",Acerto_Detalhado!$C$2:$C$433,"Proteina"))*(SUMIFS(Acerto_Detalhado!$I$2:$I$433,Acerto_Detalhado!$A$2:$A$433,$D3239,Acerto_Detalhado!$B$2:$B$433,"Set",Acerto_Detalhado!$C$2:$C$433,"Proteina")),2)</f>
        <v>0</v>
      </c>
    </row>
    <row r="3240" customFormat="false" ht="15" hidden="false" customHeight="false" outlineLevel="0" collapsed="false">
      <c r="A3240" s="27" t="s">
        <v>119</v>
      </c>
      <c r="B3240" s="27" t="s">
        <v>109</v>
      </c>
      <c r="C3240" s="27" t="s">
        <v>45</v>
      </c>
      <c r="D3240" s="27" t="s">
        <v>40</v>
      </c>
      <c r="E3240" s="28" t="n">
        <f aca="false">ROUND((SUMIFS(Acerto_Detalhado!$F$2:$F$433,Acerto_Detalhado!$A$2:$A$433,$C3240,Acerto_Detalhado!$B$2:$B$433,"Set",Acerto_Detalhado!$C$2:$C$433,"Proteina"))*(SUMIFS(Acerto_Detalhado!$I$2:$I$433,Acerto_Detalhado!$A$2:$A$433,$D3240,Acerto_Detalhado!$B$2:$B$433,"Set",Acerto_Detalhado!$C$2:$C$433,"Proteina")),2)</f>
        <v>6801.29</v>
      </c>
    </row>
    <row r="3241" customFormat="false" ht="15" hidden="false" customHeight="false" outlineLevel="0" collapsed="false">
      <c r="A3241" s="27" t="s">
        <v>119</v>
      </c>
      <c r="B3241" s="27" t="s">
        <v>109</v>
      </c>
      <c r="C3241" s="27" t="s">
        <v>45</v>
      </c>
      <c r="D3241" s="27" t="s">
        <v>41</v>
      </c>
      <c r="E3241" s="28" t="n">
        <f aca="false">ROUND((SUMIFS(Acerto_Detalhado!$F$2:$F$433,Acerto_Detalhado!$A$2:$A$433,$C3241,Acerto_Detalhado!$B$2:$B$433,"Set",Acerto_Detalhado!$C$2:$C$433,"Proteina"))*(SUMIFS(Acerto_Detalhado!$I$2:$I$433,Acerto_Detalhado!$A$2:$A$433,$D3241,Acerto_Detalhado!$B$2:$B$433,"Set",Acerto_Detalhado!$C$2:$C$433,"Proteina")),2)</f>
        <v>3079.57</v>
      </c>
    </row>
    <row r="3242" customFormat="false" ht="15" hidden="false" customHeight="false" outlineLevel="0" collapsed="false">
      <c r="A3242" s="27" t="s">
        <v>119</v>
      </c>
      <c r="B3242" s="27" t="s">
        <v>109</v>
      </c>
      <c r="C3242" s="27" t="s">
        <v>45</v>
      </c>
      <c r="D3242" s="27" t="s">
        <v>42</v>
      </c>
      <c r="E3242" s="28" t="n">
        <f aca="false">ROUND((SUMIFS(Acerto_Detalhado!$F$2:$F$433,Acerto_Detalhado!$A$2:$A$433,$C3242,Acerto_Detalhado!$B$2:$B$433,"Set",Acerto_Detalhado!$C$2:$C$433,"Proteina"))*(SUMIFS(Acerto_Detalhado!$I$2:$I$433,Acerto_Detalhado!$A$2:$A$433,$D3242,Acerto_Detalhado!$B$2:$B$433,"Set",Acerto_Detalhado!$C$2:$C$433,"Proteina")),2)</f>
        <v>0</v>
      </c>
    </row>
    <row r="3243" customFormat="false" ht="15" hidden="false" customHeight="false" outlineLevel="0" collapsed="false">
      <c r="A3243" s="27" t="s">
        <v>119</v>
      </c>
      <c r="B3243" s="27" t="s">
        <v>109</v>
      </c>
      <c r="C3243" s="27" t="s">
        <v>45</v>
      </c>
      <c r="D3243" s="27" t="s">
        <v>43</v>
      </c>
      <c r="E3243" s="28" t="n">
        <f aca="false">ROUND((SUMIFS(Acerto_Detalhado!$F$2:$F$433,Acerto_Detalhado!$A$2:$A$433,$C3243,Acerto_Detalhado!$B$2:$B$433,"Set",Acerto_Detalhado!$C$2:$C$433,"Proteina"))*(SUMIFS(Acerto_Detalhado!$I$2:$I$433,Acerto_Detalhado!$A$2:$A$433,$D3243,Acerto_Detalhado!$B$2:$B$433,"Set",Acerto_Detalhado!$C$2:$C$433,"Proteina")),2)</f>
        <v>0</v>
      </c>
    </row>
    <row r="3244" customFormat="false" ht="15" hidden="false" customHeight="false" outlineLevel="0" collapsed="false">
      <c r="A3244" s="27" t="s">
        <v>119</v>
      </c>
      <c r="B3244" s="27" t="s">
        <v>109</v>
      </c>
      <c r="C3244" s="27" t="s">
        <v>45</v>
      </c>
      <c r="D3244" s="27" t="s">
        <v>44</v>
      </c>
      <c r="E3244" s="28" t="n">
        <f aca="false">ROUND((SUMIFS(Acerto_Detalhado!$F$2:$F$433,Acerto_Detalhado!$A$2:$A$433,$C3244,Acerto_Detalhado!$B$2:$B$433,"Set",Acerto_Detalhado!$C$2:$C$433,"Proteina"))*(SUMIFS(Acerto_Detalhado!$I$2:$I$433,Acerto_Detalhado!$A$2:$A$433,$D3244,Acerto_Detalhado!$B$2:$B$433,"Set",Acerto_Detalhado!$C$2:$C$433,"Proteina")),2)</f>
        <v>3788.42</v>
      </c>
    </row>
    <row r="3245" customFormat="false" ht="15" hidden="false" customHeight="false" outlineLevel="0" collapsed="false">
      <c r="A3245" s="27" t="s">
        <v>119</v>
      </c>
      <c r="B3245" s="27" t="s">
        <v>109</v>
      </c>
      <c r="C3245" s="27" t="s">
        <v>45</v>
      </c>
      <c r="D3245" s="27" t="s">
        <v>46</v>
      </c>
      <c r="E3245" s="28" t="n">
        <f aca="false">ROUND((SUMIFS(Acerto_Detalhado!$F$2:$F$433,Acerto_Detalhado!$A$2:$A$433,$C3245,Acerto_Detalhado!$B$2:$B$433,"Set",Acerto_Detalhado!$C$2:$C$433,"Proteina"))*(SUMIFS(Acerto_Detalhado!$I$2:$I$433,Acerto_Detalhado!$A$2:$A$433,$D3245,Acerto_Detalhado!$B$2:$B$433,"Set",Acerto_Detalhado!$C$2:$C$433,"Proteina")),2)</f>
        <v>0</v>
      </c>
    </row>
    <row r="3246" customFormat="false" ht="15" hidden="false" customHeight="false" outlineLevel="0" collapsed="false">
      <c r="A3246" s="27" t="s">
        <v>119</v>
      </c>
      <c r="B3246" s="27" t="s">
        <v>109</v>
      </c>
      <c r="C3246" s="27" t="s">
        <v>45</v>
      </c>
      <c r="D3246" s="27" t="s">
        <v>47</v>
      </c>
      <c r="E3246" s="28" t="n">
        <f aca="false">ROUND((SUMIFS(Acerto_Detalhado!$F$2:$F$433,Acerto_Detalhado!$A$2:$A$433,$C3246,Acerto_Detalhado!$B$2:$B$433,"Set",Acerto_Detalhado!$C$2:$C$433,"Proteina"))*(SUMIFS(Acerto_Detalhado!$I$2:$I$433,Acerto_Detalhado!$A$2:$A$433,$D3246,Acerto_Detalhado!$B$2:$B$433,"Set",Acerto_Detalhado!$C$2:$C$433,"Proteina")),2)</f>
        <v>0</v>
      </c>
    </row>
    <row r="3247" customFormat="false" ht="15" hidden="false" customHeight="false" outlineLevel="0" collapsed="false">
      <c r="A3247" s="27" t="s">
        <v>119</v>
      </c>
      <c r="B3247" s="27" t="s">
        <v>109</v>
      </c>
      <c r="C3247" s="27" t="s">
        <v>45</v>
      </c>
      <c r="D3247" s="27" t="s">
        <v>48</v>
      </c>
      <c r="E3247" s="28" t="n">
        <f aca="false">ROUND((SUMIFS(Acerto_Detalhado!$F$2:$F$433,Acerto_Detalhado!$A$2:$A$433,$C3247,Acerto_Detalhado!$B$2:$B$433,"Set",Acerto_Detalhado!$C$2:$C$433,"Proteina"))*(SUMIFS(Acerto_Detalhado!$I$2:$I$433,Acerto_Detalhado!$A$2:$A$433,$D3247,Acerto_Detalhado!$B$2:$B$433,"Set",Acerto_Detalhado!$C$2:$C$433,"Proteina")),2)</f>
        <v>5006.99</v>
      </c>
    </row>
    <row r="3248" customFormat="false" ht="15" hidden="false" customHeight="false" outlineLevel="0" collapsed="false">
      <c r="A3248" s="27" t="s">
        <v>119</v>
      </c>
      <c r="B3248" s="27" t="s">
        <v>109</v>
      </c>
      <c r="C3248" s="27" t="s">
        <v>45</v>
      </c>
      <c r="D3248" s="27" t="s">
        <v>49</v>
      </c>
      <c r="E3248" s="28" t="n">
        <f aca="false">ROUND((SUMIFS(Acerto_Detalhado!$F$2:$F$433,Acerto_Detalhado!$A$2:$A$433,$C3248,Acerto_Detalhado!$B$2:$B$433,"Set",Acerto_Detalhado!$C$2:$C$433,"Proteina"))*(SUMIFS(Acerto_Detalhado!$I$2:$I$433,Acerto_Detalhado!$A$2:$A$433,$D3248,Acerto_Detalhado!$B$2:$B$433,"Set",Acerto_Detalhado!$C$2:$C$433,"Proteina")),2)</f>
        <v>0</v>
      </c>
    </row>
    <row r="3249" customFormat="false" ht="15" hidden="false" customHeight="false" outlineLevel="0" collapsed="false">
      <c r="A3249" s="27" t="s">
        <v>119</v>
      </c>
      <c r="B3249" s="27" t="s">
        <v>109</v>
      </c>
      <c r="C3249" s="27" t="s">
        <v>45</v>
      </c>
      <c r="D3249" s="27" t="s">
        <v>50</v>
      </c>
      <c r="E3249" s="28" t="n">
        <f aca="false">ROUND((SUMIFS(Acerto_Detalhado!$F$2:$F$433,Acerto_Detalhado!$A$2:$A$433,$C3249,Acerto_Detalhado!$B$2:$B$433,"Set",Acerto_Detalhado!$C$2:$C$433,"Proteina"))*(SUMIFS(Acerto_Detalhado!$I$2:$I$433,Acerto_Detalhado!$A$2:$A$433,$D3249,Acerto_Detalhado!$B$2:$B$433,"Set",Acerto_Detalhado!$C$2:$C$433,"Proteina")),2)</f>
        <v>0</v>
      </c>
    </row>
    <row r="3250" customFormat="false" ht="15" hidden="false" customHeight="false" outlineLevel="0" collapsed="false">
      <c r="A3250" s="27" t="s">
        <v>119</v>
      </c>
      <c r="B3250" s="27" t="s">
        <v>109</v>
      </c>
      <c r="C3250" s="27" t="s">
        <v>46</v>
      </c>
      <c r="D3250" s="27" t="s">
        <v>39</v>
      </c>
      <c r="E3250" s="28" t="n">
        <f aca="false">ROUND((SUMIFS(Acerto_Detalhado!$F$2:$F$433,Acerto_Detalhado!$A$2:$A$433,$C3250,Acerto_Detalhado!$B$2:$B$433,"Set",Acerto_Detalhado!$C$2:$C$433,"Proteina"))*(SUMIFS(Acerto_Detalhado!$I$2:$I$433,Acerto_Detalhado!$A$2:$A$433,$D3250,Acerto_Detalhado!$B$2:$B$433,"Set",Acerto_Detalhado!$C$2:$C$433,"Proteina")),2)</f>
        <v>0</v>
      </c>
    </row>
    <row r="3251" customFormat="false" ht="15" hidden="false" customHeight="false" outlineLevel="0" collapsed="false">
      <c r="A3251" s="27" t="s">
        <v>119</v>
      </c>
      <c r="B3251" s="27" t="s">
        <v>109</v>
      </c>
      <c r="C3251" s="27" t="s">
        <v>46</v>
      </c>
      <c r="D3251" s="27" t="s">
        <v>40</v>
      </c>
      <c r="E3251" s="28" t="n">
        <f aca="false">ROUND((SUMIFS(Acerto_Detalhado!$F$2:$F$433,Acerto_Detalhado!$A$2:$A$433,$C3251,Acerto_Detalhado!$B$2:$B$433,"Set",Acerto_Detalhado!$C$2:$C$433,"Proteina"))*(SUMIFS(Acerto_Detalhado!$I$2:$I$433,Acerto_Detalhado!$A$2:$A$433,$D3251,Acerto_Detalhado!$B$2:$B$433,"Set",Acerto_Detalhado!$C$2:$C$433,"Proteina")),2)</f>
        <v>1057.51</v>
      </c>
    </row>
    <row r="3252" customFormat="false" ht="15" hidden="false" customHeight="false" outlineLevel="0" collapsed="false">
      <c r="A3252" s="27" t="s">
        <v>119</v>
      </c>
      <c r="B3252" s="27" t="s">
        <v>109</v>
      </c>
      <c r="C3252" s="27" t="s">
        <v>46</v>
      </c>
      <c r="D3252" s="27" t="s">
        <v>41</v>
      </c>
      <c r="E3252" s="28" t="n">
        <f aca="false">ROUND((SUMIFS(Acerto_Detalhado!$F$2:$F$433,Acerto_Detalhado!$A$2:$A$433,$C3252,Acerto_Detalhado!$B$2:$B$433,"Set",Acerto_Detalhado!$C$2:$C$433,"Proteina"))*(SUMIFS(Acerto_Detalhado!$I$2:$I$433,Acerto_Detalhado!$A$2:$A$433,$D3252,Acerto_Detalhado!$B$2:$B$433,"Set",Acerto_Detalhado!$C$2:$C$433,"Proteina")),2)</f>
        <v>478.83</v>
      </c>
    </row>
    <row r="3253" customFormat="false" ht="15" hidden="false" customHeight="false" outlineLevel="0" collapsed="false">
      <c r="A3253" s="27" t="s">
        <v>119</v>
      </c>
      <c r="B3253" s="27" t="s">
        <v>109</v>
      </c>
      <c r="C3253" s="27" t="s">
        <v>46</v>
      </c>
      <c r="D3253" s="27" t="s">
        <v>42</v>
      </c>
      <c r="E3253" s="28" t="n">
        <f aca="false">ROUND((SUMIFS(Acerto_Detalhado!$F$2:$F$433,Acerto_Detalhado!$A$2:$A$433,$C3253,Acerto_Detalhado!$B$2:$B$433,"Set",Acerto_Detalhado!$C$2:$C$433,"Proteina"))*(SUMIFS(Acerto_Detalhado!$I$2:$I$433,Acerto_Detalhado!$A$2:$A$433,$D3253,Acerto_Detalhado!$B$2:$B$433,"Set",Acerto_Detalhado!$C$2:$C$433,"Proteina")),2)</f>
        <v>0</v>
      </c>
    </row>
    <row r="3254" customFormat="false" ht="15" hidden="false" customHeight="false" outlineLevel="0" collapsed="false">
      <c r="A3254" s="27" t="s">
        <v>119</v>
      </c>
      <c r="B3254" s="27" t="s">
        <v>109</v>
      </c>
      <c r="C3254" s="27" t="s">
        <v>46</v>
      </c>
      <c r="D3254" s="27" t="s">
        <v>43</v>
      </c>
      <c r="E3254" s="28" t="n">
        <f aca="false">ROUND((SUMIFS(Acerto_Detalhado!$F$2:$F$433,Acerto_Detalhado!$A$2:$A$433,$C3254,Acerto_Detalhado!$B$2:$B$433,"Set",Acerto_Detalhado!$C$2:$C$433,"Proteina"))*(SUMIFS(Acerto_Detalhado!$I$2:$I$433,Acerto_Detalhado!$A$2:$A$433,$D3254,Acerto_Detalhado!$B$2:$B$433,"Set",Acerto_Detalhado!$C$2:$C$433,"Proteina")),2)</f>
        <v>0</v>
      </c>
    </row>
    <row r="3255" customFormat="false" ht="15" hidden="false" customHeight="false" outlineLevel="0" collapsed="false">
      <c r="A3255" s="27" t="s">
        <v>119</v>
      </c>
      <c r="B3255" s="27" t="s">
        <v>109</v>
      </c>
      <c r="C3255" s="27" t="s">
        <v>46</v>
      </c>
      <c r="D3255" s="27" t="s">
        <v>44</v>
      </c>
      <c r="E3255" s="28" t="n">
        <f aca="false">ROUND((SUMIFS(Acerto_Detalhado!$F$2:$F$433,Acerto_Detalhado!$A$2:$A$433,$C3255,Acerto_Detalhado!$B$2:$B$433,"Set",Acerto_Detalhado!$C$2:$C$433,"Proteina"))*(SUMIFS(Acerto_Detalhado!$I$2:$I$433,Acerto_Detalhado!$A$2:$A$433,$D3255,Acerto_Detalhado!$B$2:$B$433,"Set",Acerto_Detalhado!$C$2:$C$433,"Proteina")),2)</f>
        <v>589.05</v>
      </c>
    </row>
    <row r="3256" customFormat="false" ht="15" hidden="false" customHeight="false" outlineLevel="0" collapsed="false">
      <c r="A3256" s="27" t="s">
        <v>119</v>
      </c>
      <c r="B3256" s="27" t="s">
        <v>109</v>
      </c>
      <c r="C3256" s="27" t="s">
        <v>46</v>
      </c>
      <c r="D3256" s="27" t="s">
        <v>45</v>
      </c>
      <c r="E3256" s="28" t="n">
        <f aca="false">ROUND((SUMIFS(Acerto_Detalhado!$F$2:$F$433,Acerto_Detalhado!$A$2:$A$433,$C3256,Acerto_Detalhado!$B$2:$B$433,"Set",Acerto_Detalhado!$C$2:$C$433,"Proteina"))*(SUMIFS(Acerto_Detalhado!$I$2:$I$433,Acerto_Detalhado!$A$2:$A$433,$D3256,Acerto_Detalhado!$B$2:$B$433,"Set",Acerto_Detalhado!$C$2:$C$433,"Proteina")),2)</f>
        <v>0</v>
      </c>
    </row>
    <row r="3257" customFormat="false" ht="15" hidden="false" customHeight="false" outlineLevel="0" collapsed="false">
      <c r="A3257" s="27" t="s">
        <v>119</v>
      </c>
      <c r="B3257" s="27" t="s">
        <v>109</v>
      </c>
      <c r="C3257" s="27" t="s">
        <v>46</v>
      </c>
      <c r="D3257" s="27" t="s">
        <v>47</v>
      </c>
      <c r="E3257" s="28" t="n">
        <f aca="false">ROUND((SUMIFS(Acerto_Detalhado!$F$2:$F$433,Acerto_Detalhado!$A$2:$A$433,$C3257,Acerto_Detalhado!$B$2:$B$433,"Set",Acerto_Detalhado!$C$2:$C$433,"Proteina"))*(SUMIFS(Acerto_Detalhado!$I$2:$I$433,Acerto_Detalhado!$A$2:$A$433,$D3257,Acerto_Detalhado!$B$2:$B$433,"Set",Acerto_Detalhado!$C$2:$C$433,"Proteina")),2)</f>
        <v>0</v>
      </c>
    </row>
    <row r="3258" customFormat="false" ht="15" hidden="false" customHeight="false" outlineLevel="0" collapsed="false">
      <c r="A3258" s="27" t="s">
        <v>119</v>
      </c>
      <c r="B3258" s="27" t="s">
        <v>109</v>
      </c>
      <c r="C3258" s="27" t="s">
        <v>46</v>
      </c>
      <c r="D3258" s="27" t="s">
        <v>48</v>
      </c>
      <c r="E3258" s="28" t="n">
        <f aca="false">ROUND((SUMIFS(Acerto_Detalhado!$F$2:$F$433,Acerto_Detalhado!$A$2:$A$433,$C3258,Acerto_Detalhado!$B$2:$B$433,"Set",Acerto_Detalhado!$C$2:$C$433,"Proteina"))*(SUMIFS(Acerto_Detalhado!$I$2:$I$433,Acerto_Detalhado!$A$2:$A$433,$D3258,Acerto_Detalhado!$B$2:$B$433,"Set",Acerto_Detalhado!$C$2:$C$433,"Proteina")),2)</f>
        <v>778.52</v>
      </c>
    </row>
    <row r="3259" customFormat="false" ht="15" hidden="false" customHeight="false" outlineLevel="0" collapsed="false">
      <c r="A3259" s="27" t="s">
        <v>119</v>
      </c>
      <c r="B3259" s="27" t="s">
        <v>109</v>
      </c>
      <c r="C3259" s="27" t="s">
        <v>46</v>
      </c>
      <c r="D3259" s="27" t="s">
        <v>49</v>
      </c>
      <c r="E3259" s="28" t="n">
        <f aca="false">ROUND((SUMIFS(Acerto_Detalhado!$F$2:$F$433,Acerto_Detalhado!$A$2:$A$433,$C3259,Acerto_Detalhado!$B$2:$B$433,"Set",Acerto_Detalhado!$C$2:$C$433,"Proteina"))*(SUMIFS(Acerto_Detalhado!$I$2:$I$433,Acerto_Detalhado!$A$2:$A$433,$D3259,Acerto_Detalhado!$B$2:$B$433,"Set",Acerto_Detalhado!$C$2:$C$433,"Proteina")),2)</f>
        <v>0</v>
      </c>
    </row>
    <row r="3260" customFormat="false" ht="15" hidden="false" customHeight="false" outlineLevel="0" collapsed="false">
      <c r="A3260" s="27" t="s">
        <v>119</v>
      </c>
      <c r="B3260" s="27" t="s">
        <v>109</v>
      </c>
      <c r="C3260" s="27" t="s">
        <v>46</v>
      </c>
      <c r="D3260" s="27" t="s">
        <v>50</v>
      </c>
      <c r="E3260" s="28" t="n">
        <f aca="false">ROUND((SUMIFS(Acerto_Detalhado!$F$2:$F$433,Acerto_Detalhado!$A$2:$A$433,$C3260,Acerto_Detalhado!$B$2:$B$433,"Set",Acerto_Detalhado!$C$2:$C$433,"Proteina"))*(SUMIFS(Acerto_Detalhado!$I$2:$I$433,Acerto_Detalhado!$A$2:$A$433,$D3260,Acerto_Detalhado!$B$2:$B$433,"Set",Acerto_Detalhado!$C$2:$C$433,"Proteina")),2)</f>
        <v>0</v>
      </c>
    </row>
    <row r="3261" customFormat="false" ht="15" hidden="false" customHeight="false" outlineLevel="0" collapsed="false">
      <c r="A3261" s="27" t="s">
        <v>119</v>
      </c>
      <c r="B3261" s="27" t="s">
        <v>109</v>
      </c>
      <c r="C3261" s="27" t="s">
        <v>47</v>
      </c>
      <c r="D3261" s="27" t="s">
        <v>39</v>
      </c>
      <c r="E3261" s="28" t="n">
        <f aca="false">ROUND((SUMIFS(Acerto_Detalhado!$F$2:$F$433,Acerto_Detalhado!$A$2:$A$433,$C3261,Acerto_Detalhado!$B$2:$B$433,"Set",Acerto_Detalhado!$C$2:$C$433,"Proteina"))*(SUMIFS(Acerto_Detalhado!$I$2:$I$433,Acerto_Detalhado!$A$2:$A$433,$D3261,Acerto_Detalhado!$B$2:$B$433,"Set",Acerto_Detalhado!$C$2:$C$433,"Proteina")),2)</f>
        <v>0</v>
      </c>
    </row>
    <row r="3262" customFormat="false" ht="15" hidden="false" customHeight="false" outlineLevel="0" collapsed="false">
      <c r="A3262" s="27" t="s">
        <v>119</v>
      </c>
      <c r="B3262" s="27" t="s">
        <v>109</v>
      </c>
      <c r="C3262" s="27" t="s">
        <v>47</v>
      </c>
      <c r="D3262" s="27" t="s">
        <v>40</v>
      </c>
      <c r="E3262" s="28" t="n">
        <f aca="false">ROUND((SUMIFS(Acerto_Detalhado!$F$2:$F$433,Acerto_Detalhado!$A$2:$A$433,$C3262,Acerto_Detalhado!$B$2:$B$433,"Set",Acerto_Detalhado!$C$2:$C$433,"Proteina"))*(SUMIFS(Acerto_Detalhado!$I$2:$I$433,Acerto_Detalhado!$A$2:$A$433,$D3262,Acerto_Detalhado!$B$2:$B$433,"Set",Acerto_Detalhado!$C$2:$C$433,"Proteina")),2)</f>
        <v>0</v>
      </c>
    </row>
    <row r="3263" customFormat="false" ht="15" hidden="false" customHeight="false" outlineLevel="0" collapsed="false">
      <c r="A3263" s="27" t="s">
        <v>119</v>
      </c>
      <c r="B3263" s="27" t="s">
        <v>109</v>
      </c>
      <c r="C3263" s="27" t="s">
        <v>47</v>
      </c>
      <c r="D3263" s="27" t="s">
        <v>41</v>
      </c>
      <c r="E3263" s="28" t="n">
        <f aca="false">ROUND((SUMIFS(Acerto_Detalhado!$F$2:$F$433,Acerto_Detalhado!$A$2:$A$433,$C3263,Acerto_Detalhado!$B$2:$B$433,"Set",Acerto_Detalhado!$C$2:$C$433,"Proteina"))*(SUMIFS(Acerto_Detalhado!$I$2:$I$433,Acerto_Detalhado!$A$2:$A$433,$D3263,Acerto_Detalhado!$B$2:$B$433,"Set",Acerto_Detalhado!$C$2:$C$433,"Proteina")),2)</f>
        <v>0</v>
      </c>
    </row>
    <row r="3264" customFormat="false" ht="15" hidden="false" customHeight="false" outlineLevel="0" collapsed="false">
      <c r="A3264" s="27" t="s">
        <v>119</v>
      </c>
      <c r="B3264" s="27" t="s">
        <v>109</v>
      </c>
      <c r="C3264" s="27" t="s">
        <v>47</v>
      </c>
      <c r="D3264" s="27" t="s">
        <v>42</v>
      </c>
      <c r="E3264" s="28" t="n">
        <f aca="false">ROUND((SUMIFS(Acerto_Detalhado!$F$2:$F$433,Acerto_Detalhado!$A$2:$A$433,$C3264,Acerto_Detalhado!$B$2:$B$433,"Set",Acerto_Detalhado!$C$2:$C$433,"Proteina"))*(SUMIFS(Acerto_Detalhado!$I$2:$I$433,Acerto_Detalhado!$A$2:$A$433,$D3264,Acerto_Detalhado!$B$2:$B$433,"Set",Acerto_Detalhado!$C$2:$C$433,"Proteina")),2)</f>
        <v>0</v>
      </c>
    </row>
    <row r="3265" customFormat="false" ht="15" hidden="false" customHeight="false" outlineLevel="0" collapsed="false">
      <c r="A3265" s="27" t="s">
        <v>119</v>
      </c>
      <c r="B3265" s="27" t="s">
        <v>109</v>
      </c>
      <c r="C3265" s="27" t="s">
        <v>47</v>
      </c>
      <c r="D3265" s="27" t="s">
        <v>43</v>
      </c>
      <c r="E3265" s="28" t="n">
        <f aca="false">ROUND((SUMIFS(Acerto_Detalhado!$F$2:$F$433,Acerto_Detalhado!$A$2:$A$433,$C3265,Acerto_Detalhado!$B$2:$B$433,"Set",Acerto_Detalhado!$C$2:$C$433,"Proteina"))*(SUMIFS(Acerto_Detalhado!$I$2:$I$433,Acerto_Detalhado!$A$2:$A$433,$D3265,Acerto_Detalhado!$B$2:$B$433,"Set",Acerto_Detalhado!$C$2:$C$433,"Proteina")),2)</f>
        <v>0</v>
      </c>
    </row>
    <row r="3266" customFormat="false" ht="15" hidden="false" customHeight="false" outlineLevel="0" collapsed="false">
      <c r="A3266" s="27" t="s">
        <v>119</v>
      </c>
      <c r="B3266" s="27" t="s">
        <v>109</v>
      </c>
      <c r="C3266" s="27" t="s">
        <v>47</v>
      </c>
      <c r="D3266" s="27" t="s">
        <v>44</v>
      </c>
      <c r="E3266" s="28" t="n">
        <f aca="false">ROUND((SUMIFS(Acerto_Detalhado!$F$2:$F$433,Acerto_Detalhado!$A$2:$A$433,$C3266,Acerto_Detalhado!$B$2:$B$433,"Set",Acerto_Detalhado!$C$2:$C$433,"Proteina"))*(SUMIFS(Acerto_Detalhado!$I$2:$I$433,Acerto_Detalhado!$A$2:$A$433,$D3266,Acerto_Detalhado!$B$2:$B$433,"Set",Acerto_Detalhado!$C$2:$C$433,"Proteina")),2)</f>
        <v>0</v>
      </c>
    </row>
    <row r="3267" customFormat="false" ht="15" hidden="false" customHeight="false" outlineLevel="0" collapsed="false">
      <c r="A3267" s="27" t="s">
        <v>119</v>
      </c>
      <c r="B3267" s="27" t="s">
        <v>109</v>
      </c>
      <c r="C3267" s="27" t="s">
        <v>47</v>
      </c>
      <c r="D3267" s="27" t="s">
        <v>45</v>
      </c>
      <c r="E3267" s="28" t="n">
        <f aca="false">ROUND((SUMIFS(Acerto_Detalhado!$F$2:$F$433,Acerto_Detalhado!$A$2:$A$433,$C3267,Acerto_Detalhado!$B$2:$B$433,"Set",Acerto_Detalhado!$C$2:$C$433,"Proteina"))*(SUMIFS(Acerto_Detalhado!$I$2:$I$433,Acerto_Detalhado!$A$2:$A$433,$D3267,Acerto_Detalhado!$B$2:$B$433,"Set",Acerto_Detalhado!$C$2:$C$433,"Proteina")),2)</f>
        <v>0</v>
      </c>
    </row>
    <row r="3268" customFormat="false" ht="15" hidden="false" customHeight="false" outlineLevel="0" collapsed="false">
      <c r="A3268" s="27" t="s">
        <v>119</v>
      </c>
      <c r="B3268" s="27" t="s">
        <v>109</v>
      </c>
      <c r="C3268" s="27" t="s">
        <v>47</v>
      </c>
      <c r="D3268" s="27" t="s">
        <v>46</v>
      </c>
      <c r="E3268" s="28" t="n">
        <f aca="false">ROUND((SUMIFS(Acerto_Detalhado!$F$2:$F$433,Acerto_Detalhado!$A$2:$A$433,$C3268,Acerto_Detalhado!$B$2:$B$433,"Set",Acerto_Detalhado!$C$2:$C$433,"Proteina"))*(SUMIFS(Acerto_Detalhado!$I$2:$I$433,Acerto_Detalhado!$A$2:$A$433,$D3268,Acerto_Detalhado!$B$2:$B$433,"Set",Acerto_Detalhado!$C$2:$C$433,"Proteina")),2)</f>
        <v>0</v>
      </c>
    </row>
    <row r="3269" customFormat="false" ht="15" hidden="false" customHeight="false" outlineLevel="0" collapsed="false">
      <c r="A3269" s="27" t="s">
        <v>119</v>
      </c>
      <c r="B3269" s="27" t="s">
        <v>109</v>
      </c>
      <c r="C3269" s="27" t="s">
        <v>47</v>
      </c>
      <c r="D3269" s="27" t="s">
        <v>48</v>
      </c>
      <c r="E3269" s="28" t="n">
        <f aca="false">ROUND((SUMIFS(Acerto_Detalhado!$F$2:$F$433,Acerto_Detalhado!$A$2:$A$433,$C3269,Acerto_Detalhado!$B$2:$B$433,"Set",Acerto_Detalhado!$C$2:$C$433,"Proteina"))*(SUMIFS(Acerto_Detalhado!$I$2:$I$433,Acerto_Detalhado!$A$2:$A$433,$D3269,Acerto_Detalhado!$B$2:$B$433,"Set",Acerto_Detalhado!$C$2:$C$433,"Proteina")),2)</f>
        <v>0</v>
      </c>
    </row>
    <row r="3270" customFormat="false" ht="15" hidden="false" customHeight="false" outlineLevel="0" collapsed="false">
      <c r="A3270" s="27" t="s">
        <v>119</v>
      </c>
      <c r="B3270" s="27" t="s">
        <v>109</v>
      </c>
      <c r="C3270" s="27" t="s">
        <v>47</v>
      </c>
      <c r="D3270" s="27" t="s">
        <v>49</v>
      </c>
      <c r="E3270" s="28" t="n">
        <f aca="false">ROUND((SUMIFS(Acerto_Detalhado!$F$2:$F$433,Acerto_Detalhado!$A$2:$A$433,$C3270,Acerto_Detalhado!$B$2:$B$433,"Set",Acerto_Detalhado!$C$2:$C$433,"Proteina"))*(SUMIFS(Acerto_Detalhado!$I$2:$I$433,Acerto_Detalhado!$A$2:$A$433,$D3270,Acerto_Detalhado!$B$2:$B$433,"Set",Acerto_Detalhado!$C$2:$C$433,"Proteina")),2)</f>
        <v>0</v>
      </c>
    </row>
    <row r="3271" customFormat="false" ht="15" hidden="false" customHeight="false" outlineLevel="0" collapsed="false">
      <c r="A3271" s="27" t="s">
        <v>119</v>
      </c>
      <c r="B3271" s="27" t="s">
        <v>109</v>
      </c>
      <c r="C3271" s="27" t="s">
        <v>47</v>
      </c>
      <c r="D3271" s="27" t="s">
        <v>50</v>
      </c>
      <c r="E3271" s="28" t="n">
        <f aca="false">ROUND((SUMIFS(Acerto_Detalhado!$F$2:$F$433,Acerto_Detalhado!$A$2:$A$433,$C3271,Acerto_Detalhado!$B$2:$B$433,"Set",Acerto_Detalhado!$C$2:$C$433,"Proteina"))*(SUMIFS(Acerto_Detalhado!$I$2:$I$433,Acerto_Detalhado!$A$2:$A$433,$D3271,Acerto_Detalhado!$B$2:$B$433,"Set",Acerto_Detalhado!$C$2:$C$433,"Proteina")),2)</f>
        <v>0</v>
      </c>
    </row>
    <row r="3272" customFormat="false" ht="15" hidden="false" customHeight="false" outlineLevel="0" collapsed="false">
      <c r="A3272" s="27" t="s">
        <v>119</v>
      </c>
      <c r="B3272" s="27" t="s">
        <v>109</v>
      </c>
      <c r="C3272" s="27" t="s">
        <v>48</v>
      </c>
      <c r="D3272" s="27" t="s">
        <v>39</v>
      </c>
      <c r="E3272" s="28" t="n">
        <f aca="false">ROUND((SUMIFS(Acerto_Detalhado!$F$2:$F$433,Acerto_Detalhado!$A$2:$A$433,$C3272,Acerto_Detalhado!$B$2:$B$433,"Set",Acerto_Detalhado!$C$2:$C$433,"Proteina"))*(SUMIFS(Acerto_Detalhado!$I$2:$I$433,Acerto_Detalhado!$A$2:$A$433,$D3272,Acerto_Detalhado!$B$2:$B$433,"Set",Acerto_Detalhado!$C$2:$C$433,"Proteina")),2)</f>
        <v>0</v>
      </c>
    </row>
    <row r="3273" customFormat="false" ht="15" hidden="false" customHeight="false" outlineLevel="0" collapsed="false">
      <c r="A3273" s="27" t="s">
        <v>119</v>
      </c>
      <c r="B3273" s="27" t="s">
        <v>109</v>
      </c>
      <c r="C3273" s="27" t="s">
        <v>48</v>
      </c>
      <c r="D3273" s="27" t="s">
        <v>40</v>
      </c>
      <c r="E3273" s="28" t="n">
        <f aca="false">ROUND((SUMIFS(Acerto_Detalhado!$F$2:$F$433,Acerto_Detalhado!$A$2:$A$433,$C3273,Acerto_Detalhado!$B$2:$B$433,"Set",Acerto_Detalhado!$C$2:$C$433,"Proteina"))*(SUMIFS(Acerto_Detalhado!$I$2:$I$433,Acerto_Detalhado!$A$2:$A$433,$D3273,Acerto_Detalhado!$B$2:$B$433,"Set",Acerto_Detalhado!$C$2:$C$433,"Proteina")),2)</f>
        <v>0</v>
      </c>
    </row>
    <row r="3274" customFormat="false" ht="15" hidden="false" customHeight="false" outlineLevel="0" collapsed="false">
      <c r="A3274" s="27" t="s">
        <v>119</v>
      </c>
      <c r="B3274" s="27" t="s">
        <v>109</v>
      </c>
      <c r="C3274" s="27" t="s">
        <v>48</v>
      </c>
      <c r="D3274" s="27" t="s">
        <v>41</v>
      </c>
      <c r="E3274" s="28" t="n">
        <f aca="false">ROUND((SUMIFS(Acerto_Detalhado!$F$2:$F$433,Acerto_Detalhado!$A$2:$A$433,$C3274,Acerto_Detalhado!$B$2:$B$433,"Set",Acerto_Detalhado!$C$2:$C$433,"Proteina"))*(SUMIFS(Acerto_Detalhado!$I$2:$I$433,Acerto_Detalhado!$A$2:$A$433,$D3274,Acerto_Detalhado!$B$2:$B$433,"Set",Acerto_Detalhado!$C$2:$C$433,"Proteina")),2)</f>
        <v>0</v>
      </c>
    </row>
    <row r="3275" customFormat="false" ht="15" hidden="false" customHeight="false" outlineLevel="0" collapsed="false">
      <c r="A3275" s="27" t="s">
        <v>119</v>
      </c>
      <c r="B3275" s="27" t="s">
        <v>109</v>
      </c>
      <c r="C3275" s="27" t="s">
        <v>48</v>
      </c>
      <c r="D3275" s="27" t="s">
        <v>42</v>
      </c>
      <c r="E3275" s="28" t="n">
        <f aca="false">ROUND((SUMIFS(Acerto_Detalhado!$F$2:$F$433,Acerto_Detalhado!$A$2:$A$433,$C3275,Acerto_Detalhado!$B$2:$B$433,"Set",Acerto_Detalhado!$C$2:$C$433,"Proteina"))*(SUMIFS(Acerto_Detalhado!$I$2:$I$433,Acerto_Detalhado!$A$2:$A$433,$D3275,Acerto_Detalhado!$B$2:$B$433,"Set",Acerto_Detalhado!$C$2:$C$433,"Proteina")),2)</f>
        <v>0</v>
      </c>
    </row>
    <row r="3276" customFormat="false" ht="15" hidden="false" customHeight="false" outlineLevel="0" collapsed="false">
      <c r="A3276" s="27" t="s">
        <v>119</v>
      </c>
      <c r="B3276" s="27" t="s">
        <v>109</v>
      </c>
      <c r="C3276" s="27" t="s">
        <v>48</v>
      </c>
      <c r="D3276" s="27" t="s">
        <v>43</v>
      </c>
      <c r="E3276" s="28" t="n">
        <f aca="false">ROUND((SUMIFS(Acerto_Detalhado!$F$2:$F$433,Acerto_Detalhado!$A$2:$A$433,$C3276,Acerto_Detalhado!$B$2:$B$433,"Set",Acerto_Detalhado!$C$2:$C$433,"Proteina"))*(SUMIFS(Acerto_Detalhado!$I$2:$I$433,Acerto_Detalhado!$A$2:$A$433,$D3276,Acerto_Detalhado!$B$2:$B$433,"Set",Acerto_Detalhado!$C$2:$C$433,"Proteina")),2)</f>
        <v>0</v>
      </c>
    </row>
    <row r="3277" customFormat="false" ht="15" hidden="false" customHeight="false" outlineLevel="0" collapsed="false">
      <c r="A3277" s="27" t="s">
        <v>119</v>
      </c>
      <c r="B3277" s="27" t="s">
        <v>109</v>
      </c>
      <c r="C3277" s="27" t="s">
        <v>48</v>
      </c>
      <c r="D3277" s="27" t="s">
        <v>44</v>
      </c>
      <c r="E3277" s="28" t="n">
        <f aca="false">ROUND((SUMIFS(Acerto_Detalhado!$F$2:$F$433,Acerto_Detalhado!$A$2:$A$433,$C3277,Acerto_Detalhado!$B$2:$B$433,"Set",Acerto_Detalhado!$C$2:$C$433,"Proteina"))*(SUMIFS(Acerto_Detalhado!$I$2:$I$433,Acerto_Detalhado!$A$2:$A$433,$D3277,Acerto_Detalhado!$B$2:$B$433,"Set",Acerto_Detalhado!$C$2:$C$433,"Proteina")),2)</f>
        <v>0</v>
      </c>
    </row>
    <row r="3278" customFormat="false" ht="15" hidden="false" customHeight="false" outlineLevel="0" collapsed="false">
      <c r="A3278" s="27" t="s">
        <v>119</v>
      </c>
      <c r="B3278" s="27" t="s">
        <v>109</v>
      </c>
      <c r="C3278" s="27" t="s">
        <v>48</v>
      </c>
      <c r="D3278" s="27" t="s">
        <v>45</v>
      </c>
      <c r="E3278" s="28" t="n">
        <f aca="false">ROUND((SUMIFS(Acerto_Detalhado!$F$2:$F$433,Acerto_Detalhado!$A$2:$A$433,$C3278,Acerto_Detalhado!$B$2:$B$433,"Set",Acerto_Detalhado!$C$2:$C$433,"Proteina"))*(SUMIFS(Acerto_Detalhado!$I$2:$I$433,Acerto_Detalhado!$A$2:$A$433,$D3278,Acerto_Detalhado!$B$2:$B$433,"Set",Acerto_Detalhado!$C$2:$C$433,"Proteina")),2)</f>
        <v>0</v>
      </c>
    </row>
    <row r="3279" customFormat="false" ht="15" hidden="false" customHeight="false" outlineLevel="0" collapsed="false">
      <c r="A3279" s="27" t="s">
        <v>119</v>
      </c>
      <c r="B3279" s="27" t="s">
        <v>109</v>
      </c>
      <c r="C3279" s="27" t="s">
        <v>48</v>
      </c>
      <c r="D3279" s="27" t="s">
        <v>46</v>
      </c>
      <c r="E3279" s="28" t="n">
        <f aca="false">ROUND((SUMIFS(Acerto_Detalhado!$F$2:$F$433,Acerto_Detalhado!$A$2:$A$433,$C3279,Acerto_Detalhado!$B$2:$B$433,"Set",Acerto_Detalhado!$C$2:$C$433,"Proteina"))*(SUMIFS(Acerto_Detalhado!$I$2:$I$433,Acerto_Detalhado!$A$2:$A$433,$D3279,Acerto_Detalhado!$B$2:$B$433,"Set",Acerto_Detalhado!$C$2:$C$433,"Proteina")),2)</f>
        <v>0</v>
      </c>
    </row>
    <row r="3280" customFormat="false" ht="15" hidden="false" customHeight="false" outlineLevel="0" collapsed="false">
      <c r="A3280" s="27" t="s">
        <v>119</v>
      </c>
      <c r="B3280" s="27" t="s">
        <v>109</v>
      </c>
      <c r="C3280" s="27" t="s">
        <v>48</v>
      </c>
      <c r="D3280" s="27" t="s">
        <v>47</v>
      </c>
      <c r="E3280" s="28" t="n">
        <f aca="false">ROUND((SUMIFS(Acerto_Detalhado!$F$2:$F$433,Acerto_Detalhado!$A$2:$A$433,$C3280,Acerto_Detalhado!$B$2:$B$433,"Set",Acerto_Detalhado!$C$2:$C$433,"Proteina"))*(SUMIFS(Acerto_Detalhado!$I$2:$I$433,Acerto_Detalhado!$A$2:$A$433,$D3280,Acerto_Detalhado!$B$2:$B$433,"Set",Acerto_Detalhado!$C$2:$C$433,"Proteina")),2)</f>
        <v>0</v>
      </c>
    </row>
    <row r="3281" customFormat="false" ht="15" hidden="false" customHeight="false" outlineLevel="0" collapsed="false">
      <c r="A3281" s="27" t="s">
        <v>119</v>
      </c>
      <c r="B3281" s="27" t="s">
        <v>109</v>
      </c>
      <c r="C3281" s="27" t="s">
        <v>48</v>
      </c>
      <c r="D3281" s="27" t="s">
        <v>49</v>
      </c>
      <c r="E3281" s="28" t="n">
        <f aca="false">ROUND((SUMIFS(Acerto_Detalhado!$F$2:$F$433,Acerto_Detalhado!$A$2:$A$433,$C3281,Acerto_Detalhado!$B$2:$B$433,"Set",Acerto_Detalhado!$C$2:$C$433,"Proteina"))*(SUMIFS(Acerto_Detalhado!$I$2:$I$433,Acerto_Detalhado!$A$2:$A$433,$D3281,Acerto_Detalhado!$B$2:$B$433,"Set",Acerto_Detalhado!$C$2:$C$433,"Proteina")),2)</f>
        <v>0</v>
      </c>
    </row>
    <row r="3282" customFormat="false" ht="15" hidden="false" customHeight="false" outlineLevel="0" collapsed="false">
      <c r="A3282" s="27" t="s">
        <v>119</v>
      </c>
      <c r="B3282" s="27" t="s">
        <v>109</v>
      </c>
      <c r="C3282" s="27" t="s">
        <v>48</v>
      </c>
      <c r="D3282" s="27" t="s">
        <v>50</v>
      </c>
      <c r="E3282" s="28" t="n">
        <f aca="false">ROUND((SUMIFS(Acerto_Detalhado!$F$2:$F$433,Acerto_Detalhado!$A$2:$A$433,$C3282,Acerto_Detalhado!$B$2:$B$433,"Set",Acerto_Detalhado!$C$2:$C$433,"Proteina"))*(SUMIFS(Acerto_Detalhado!$I$2:$I$433,Acerto_Detalhado!$A$2:$A$433,$D3282,Acerto_Detalhado!$B$2:$B$433,"Set",Acerto_Detalhado!$C$2:$C$433,"Proteina")),2)</f>
        <v>0</v>
      </c>
    </row>
    <row r="3283" customFormat="false" ht="15" hidden="false" customHeight="false" outlineLevel="0" collapsed="false">
      <c r="A3283" s="27" t="s">
        <v>119</v>
      </c>
      <c r="B3283" s="27" t="s">
        <v>109</v>
      </c>
      <c r="C3283" s="27" t="s">
        <v>49</v>
      </c>
      <c r="D3283" s="27" t="s">
        <v>39</v>
      </c>
      <c r="E3283" s="28" t="n">
        <f aca="false">ROUND((SUMIFS(Acerto_Detalhado!$F$2:$F$433,Acerto_Detalhado!$A$2:$A$433,$C3283,Acerto_Detalhado!$B$2:$B$433,"Set",Acerto_Detalhado!$C$2:$C$433,"Proteina"))*(SUMIFS(Acerto_Detalhado!$I$2:$I$433,Acerto_Detalhado!$A$2:$A$433,$D3283,Acerto_Detalhado!$B$2:$B$433,"Set",Acerto_Detalhado!$C$2:$C$433,"Proteina")),2)</f>
        <v>0</v>
      </c>
    </row>
    <row r="3284" customFormat="false" ht="15" hidden="false" customHeight="false" outlineLevel="0" collapsed="false">
      <c r="A3284" s="27" t="s">
        <v>119</v>
      </c>
      <c r="B3284" s="27" t="s">
        <v>109</v>
      </c>
      <c r="C3284" s="27" t="s">
        <v>49</v>
      </c>
      <c r="D3284" s="27" t="s">
        <v>40</v>
      </c>
      <c r="E3284" s="28" t="n">
        <f aca="false">ROUND((SUMIFS(Acerto_Detalhado!$F$2:$F$433,Acerto_Detalhado!$A$2:$A$433,$C3284,Acerto_Detalhado!$B$2:$B$433,"Set",Acerto_Detalhado!$C$2:$C$433,"Proteina"))*(SUMIFS(Acerto_Detalhado!$I$2:$I$433,Acerto_Detalhado!$A$2:$A$433,$D3284,Acerto_Detalhado!$B$2:$B$433,"Set",Acerto_Detalhado!$C$2:$C$433,"Proteina")),2)</f>
        <v>0</v>
      </c>
    </row>
    <row r="3285" customFormat="false" ht="15" hidden="false" customHeight="false" outlineLevel="0" collapsed="false">
      <c r="A3285" s="27" t="s">
        <v>119</v>
      </c>
      <c r="B3285" s="27" t="s">
        <v>109</v>
      </c>
      <c r="C3285" s="27" t="s">
        <v>49</v>
      </c>
      <c r="D3285" s="27" t="s">
        <v>41</v>
      </c>
      <c r="E3285" s="28" t="n">
        <f aca="false">ROUND((SUMIFS(Acerto_Detalhado!$F$2:$F$433,Acerto_Detalhado!$A$2:$A$433,$C3285,Acerto_Detalhado!$B$2:$B$433,"Set",Acerto_Detalhado!$C$2:$C$433,"Proteina"))*(SUMIFS(Acerto_Detalhado!$I$2:$I$433,Acerto_Detalhado!$A$2:$A$433,$D3285,Acerto_Detalhado!$B$2:$B$433,"Set",Acerto_Detalhado!$C$2:$C$433,"Proteina")),2)</f>
        <v>0</v>
      </c>
    </row>
    <row r="3286" customFormat="false" ht="15" hidden="false" customHeight="false" outlineLevel="0" collapsed="false">
      <c r="A3286" s="27" t="s">
        <v>119</v>
      </c>
      <c r="B3286" s="27" t="s">
        <v>109</v>
      </c>
      <c r="C3286" s="27" t="s">
        <v>49</v>
      </c>
      <c r="D3286" s="27" t="s">
        <v>42</v>
      </c>
      <c r="E3286" s="28" t="n">
        <f aca="false">ROUND((SUMIFS(Acerto_Detalhado!$F$2:$F$433,Acerto_Detalhado!$A$2:$A$433,$C3286,Acerto_Detalhado!$B$2:$B$433,"Set",Acerto_Detalhado!$C$2:$C$433,"Proteina"))*(SUMIFS(Acerto_Detalhado!$I$2:$I$433,Acerto_Detalhado!$A$2:$A$433,$D3286,Acerto_Detalhado!$B$2:$B$433,"Set",Acerto_Detalhado!$C$2:$C$433,"Proteina")),2)</f>
        <v>0</v>
      </c>
    </row>
    <row r="3287" customFormat="false" ht="15" hidden="false" customHeight="false" outlineLevel="0" collapsed="false">
      <c r="A3287" s="27" t="s">
        <v>119</v>
      </c>
      <c r="B3287" s="27" t="s">
        <v>109</v>
      </c>
      <c r="C3287" s="27" t="s">
        <v>49</v>
      </c>
      <c r="D3287" s="27" t="s">
        <v>43</v>
      </c>
      <c r="E3287" s="28" t="n">
        <f aca="false">ROUND((SUMIFS(Acerto_Detalhado!$F$2:$F$433,Acerto_Detalhado!$A$2:$A$433,$C3287,Acerto_Detalhado!$B$2:$B$433,"Set",Acerto_Detalhado!$C$2:$C$433,"Proteina"))*(SUMIFS(Acerto_Detalhado!$I$2:$I$433,Acerto_Detalhado!$A$2:$A$433,$D3287,Acerto_Detalhado!$B$2:$B$433,"Set",Acerto_Detalhado!$C$2:$C$433,"Proteina")),2)</f>
        <v>0</v>
      </c>
    </row>
    <row r="3288" customFormat="false" ht="15" hidden="false" customHeight="false" outlineLevel="0" collapsed="false">
      <c r="A3288" s="27" t="s">
        <v>119</v>
      </c>
      <c r="B3288" s="27" t="s">
        <v>109</v>
      </c>
      <c r="C3288" s="27" t="s">
        <v>49</v>
      </c>
      <c r="D3288" s="27" t="s">
        <v>44</v>
      </c>
      <c r="E3288" s="28" t="n">
        <f aca="false">ROUND((SUMIFS(Acerto_Detalhado!$F$2:$F$433,Acerto_Detalhado!$A$2:$A$433,$C3288,Acerto_Detalhado!$B$2:$B$433,"Set",Acerto_Detalhado!$C$2:$C$433,"Proteina"))*(SUMIFS(Acerto_Detalhado!$I$2:$I$433,Acerto_Detalhado!$A$2:$A$433,$D3288,Acerto_Detalhado!$B$2:$B$433,"Set",Acerto_Detalhado!$C$2:$C$433,"Proteina")),2)</f>
        <v>0</v>
      </c>
    </row>
    <row r="3289" customFormat="false" ht="15" hidden="false" customHeight="false" outlineLevel="0" collapsed="false">
      <c r="A3289" s="27" t="s">
        <v>119</v>
      </c>
      <c r="B3289" s="27" t="s">
        <v>109</v>
      </c>
      <c r="C3289" s="27" t="s">
        <v>49</v>
      </c>
      <c r="D3289" s="27" t="s">
        <v>45</v>
      </c>
      <c r="E3289" s="28" t="n">
        <f aca="false">ROUND((SUMIFS(Acerto_Detalhado!$F$2:$F$433,Acerto_Detalhado!$A$2:$A$433,$C3289,Acerto_Detalhado!$B$2:$B$433,"Set",Acerto_Detalhado!$C$2:$C$433,"Proteina"))*(SUMIFS(Acerto_Detalhado!$I$2:$I$433,Acerto_Detalhado!$A$2:$A$433,$D3289,Acerto_Detalhado!$B$2:$B$433,"Set",Acerto_Detalhado!$C$2:$C$433,"Proteina")),2)</f>
        <v>0</v>
      </c>
    </row>
    <row r="3290" customFormat="false" ht="15" hidden="false" customHeight="false" outlineLevel="0" collapsed="false">
      <c r="A3290" s="27" t="s">
        <v>119</v>
      </c>
      <c r="B3290" s="27" t="s">
        <v>109</v>
      </c>
      <c r="C3290" s="27" t="s">
        <v>49</v>
      </c>
      <c r="D3290" s="27" t="s">
        <v>46</v>
      </c>
      <c r="E3290" s="28" t="n">
        <f aca="false">ROUND((SUMIFS(Acerto_Detalhado!$F$2:$F$433,Acerto_Detalhado!$A$2:$A$433,$C3290,Acerto_Detalhado!$B$2:$B$433,"Set",Acerto_Detalhado!$C$2:$C$433,"Proteina"))*(SUMIFS(Acerto_Detalhado!$I$2:$I$433,Acerto_Detalhado!$A$2:$A$433,$D3290,Acerto_Detalhado!$B$2:$B$433,"Set",Acerto_Detalhado!$C$2:$C$433,"Proteina")),2)</f>
        <v>0</v>
      </c>
    </row>
    <row r="3291" customFormat="false" ht="15" hidden="false" customHeight="false" outlineLevel="0" collapsed="false">
      <c r="A3291" s="27" t="s">
        <v>119</v>
      </c>
      <c r="B3291" s="27" t="s">
        <v>109</v>
      </c>
      <c r="C3291" s="27" t="s">
        <v>49</v>
      </c>
      <c r="D3291" s="27" t="s">
        <v>47</v>
      </c>
      <c r="E3291" s="28" t="n">
        <f aca="false">ROUND((SUMIFS(Acerto_Detalhado!$F$2:$F$433,Acerto_Detalhado!$A$2:$A$433,$C3291,Acerto_Detalhado!$B$2:$B$433,"Set",Acerto_Detalhado!$C$2:$C$433,"Proteina"))*(SUMIFS(Acerto_Detalhado!$I$2:$I$433,Acerto_Detalhado!$A$2:$A$433,$D3291,Acerto_Detalhado!$B$2:$B$433,"Set",Acerto_Detalhado!$C$2:$C$433,"Proteina")),2)</f>
        <v>0</v>
      </c>
    </row>
    <row r="3292" customFormat="false" ht="15" hidden="false" customHeight="false" outlineLevel="0" collapsed="false">
      <c r="A3292" s="27" t="s">
        <v>119</v>
      </c>
      <c r="B3292" s="27" t="s">
        <v>109</v>
      </c>
      <c r="C3292" s="27" t="s">
        <v>49</v>
      </c>
      <c r="D3292" s="27" t="s">
        <v>48</v>
      </c>
      <c r="E3292" s="28" t="n">
        <f aca="false">ROUND((SUMIFS(Acerto_Detalhado!$F$2:$F$433,Acerto_Detalhado!$A$2:$A$433,$C3292,Acerto_Detalhado!$B$2:$B$433,"Set",Acerto_Detalhado!$C$2:$C$433,"Proteina"))*(SUMIFS(Acerto_Detalhado!$I$2:$I$433,Acerto_Detalhado!$A$2:$A$433,$D3292,Acerto_Detalhado!$B$2:$B$433,"Set",Acerto_Detalhado!$C$2:$C$433,"Proteina")),2)</f>
        <v>0</v>
      </c>
    </row>
    <row r="3293" customFormat="false" ht="15" hidden="false" customHeight="false" outlineLevel="0" collapsed="false">
      <c r="A3293" s="27" t="s">
        <v>119</v>
      </c>
      <c r="B3293" s="27" t="s">
        <v>109</v>
      </c>
      <c r="C3293" s="27" t="s">
        <v>49</v>
      </c>
      <c r="D3293" s="27" t="s">
        <v>50</v>
      </c>
      <c r="E3293" s="28" t="n">
        <f aca="false">ROUND((SUMIFS(Acerto_Detalhado!$F$2:$F$433,Acerto_Detalhado!$A$2:$A$433,$C3293,Acerto_Detalhado!$B$2:$B$433,"Set",Acerto_Detalhado!$C$2:$C$433,"Proteina"))*(SUMIFS(Acerto_Detalhado!$I$2:$I$433,Acerto_Detalhado!$A$2:$A$433,$D3293,Acerto_Detalhado!$B$2:$B$433,"Set",Acerto_Detalhado!$C$2:$C$433,"Proteina")),2)</f>
        <v>0</v>
      </c>
    </row>
    <row r="3294" customFormat="false" ht="15" hidden="false" customHeight="false" outlineLevel="0" collapsed="false">
      <c r="A3294" s="27" t="s">
        <v>119</v>
      </c>
      <c r="B3294" s="27" t="s">
        <v>109</v>
      </c>
      <c r="C3294" s="27" t="s">
        <v>50</v>
      </c>
      <c r="D3294" s="27" t="s">
        <v>39</v>
      </c>
      <c r="E3294" s="28" t="n">
        <f aca="false">ROUND((SUMIFS(Acerto_Detalhado!$F$2:$F$433,Acerto_Detalhado!$A$2:$A$433,$C3294,Acerto_Detalhado!$B$2:$B$433,"Set",Acerto_Detalhado!$C$2:$C$433,"Proteina"))*(SUMIFS(Acerto_Detalhado!$I$2:$I$433,Acerto_Detalhado!$A$2:$A$433,$D3294,Acerto_Detalhado!$B$2:$B$433,"Set",Acerto_Detalhado!$C$2:$C$433,"Proteina")),2)</f>
        <v>0</v>
      </c>
    </row>
    <row r="3295" customFormat="false" ht="15" hidden="false" customHeight="false" outlineLevel="0" collapsed="false">
      <c r="A3295" s="27" t="s">
        <v>119</v>
      </c>
      <c r="B3295" s="27" t="s">
        <v>109</v>
      </c>
      <c r="C3295" s="27" t="s">
        <v>50</v>
      </c>
      <c r="D3295" s="27" t="s">
        <v>40</v>
      </c>
      <c r="E3295" s="28" t="n">
        <f aca="false">ROUND((SUMIFS(Acerto_Detalhado!$F$2:$F$433,Acerto_Detalhado!$A$2:$A$433,$C3295,Acerto_Detalhado!$B$2:$B$433,"Set",Acerto_Detalhado!$C$2:$C$433,"Proteina"))*(SUMIFS(Acerto_Detalhado!$I$2:$I$433,Acerto_Detalhado!$A$2:$A$433,$D3295,Acerto_Detalhado!$B$2:$B$433,"Set",Acerto_Detalhado!$C$2:$C$433,"Proteina")),2)</f>
        <v>0</v>
      </c>
    </row>
    <row r="3296" customFormat="false" ht="15" hidden="false" customHeight="false" outlineLevel="0" collapsed="false">
      <c r="A3296" s="27" t="s">
        <v>119</v>
      </c>
      <c r="B3296" s="27" t="s">
        <v>109</v>
      </c>
      <c r="C3296" s="27" t="s">
        <v>50</v>
      </c>
      <c r="D3296" s="27" t="s">
        <v>41</v>
      </c>
      <c r="E3296" s="28" t="n">
        <f aca="false">ROUND((SUMIFS(Acerto_Detalhado!$F$2:$F$433,Acerto_Detalhado!$A$2:$A$433,$C3296,Acerto_Detalhado!$B$2:$B$433,"Set",Acerto_Detalhado!$C$2:$C$433,"Proteina"))*(SUMIFS(Acerto_Detalhado!$I$2:$I$433,Acerto_Detalhado!$A$2:$A$433,$D3296,Acerto_Detalhado!$B$2:$B$433,"Set",Acerto_Detalhado!$C$2:$C$433,"Proteina")),2)</f>
        <v>0</v>
      </c>
    </row>
    <row r="3297" customFormat="false" ht="15" hidden="false" customHeight="false" outlineLevel="0" collapsed="false">
      <c r="A3297" s="27" t="s">
        <v>119</v>
      </c>
      <c r="B3297" s="27" t="s">
        <v>109</v>
      </c>
      <c r="C3297" s="27" t="s">
        <v>50</v>
      </c>
      <c r="D3297" s="27" t="s">
        <v>42</v>
      </c>
      <c r="E3297" s="28" t="n">
        <f aca="false">ROUND((SUMIFS(Acerto_Detalhado!$F$2:$F$433,Acerto_Detalhado!$A$2:$A$433,$C3297,Acerto_Detalhado!$B$2:$B$433,"Set",Acerto_Detalhado!$C$2:$C$433,"Proteina"))*(SUMIFS(Acerto_Detalhado!$I$2:$I$433,Acerto_Detalhado!$A$2:$A$433,$D3297,Acerto_Detalhado!$B$2:$B$433,"Set",Acerto_Detalhado!$C$2:$C$433,"Proteina")),2)</f>
        <v>0</v>
      </c>
    </row>
    <row r="3298" customFormat="false" ht="15" hidden="false" customHeight="false" outlineLevel="0" collapsed="false">
      <c r="A3298" s="27" t="s">
        <v>119</v>
      </c>
      <c r="B3298" s="27" t="s">
        <v>109</v>
      </c>
      <c r="C3298" s="27" t="s">
        <v>50</v>
      </c>
      <c r="D3298" s="27" t="s">
        <v>43</v>
      </c>
      <c r="E3298" s="28" t="n">
        <f aca="false">ROUND((SUMIFS(Acerto_Detalhado!$F$2:$F$433,Acerto_Detalhado!$A$2:$A$433,$C3298,Acerto_Detalhado!$B$2:$B$433,"Set",Acerto_Detalhado!$C$2:$C$433,"Proteina"))*(SUMIFS(Acerto_Detalhado!$I$2:$I$433,Acerto_Detalhado!$A$2:$A$433,$D3298,Acerto_Detalhado!$B$2:$B$433,"Set",Acerto_Detalhado!$C$2:$C$433,"Proteina")),2)</f>
        <v>0</v>
      </c>
    </row>
    <row r="3299" customFormat="false" ht="15" hidden="false" customHeight="false" outlineLevel="0" collapsed="false">
      <c r="A3299" s="27" t="s">
        <v>119</v>
      </c>
      <c r="B3299" s="27" t="s">
        <v>109</v>
      </c>
      <c r="C3299" s="27" t="s">
        <v>50</v>
      </c>
      <c r="D3299" s="27" t="s">
        <v>44</v>
      </c>
      <c r="E3299" s="28" t="n">
        <f aca="false">ROUND((SUMIFS(Acerto_Detalhado!$F$2:$F$433,Acerto_Detalhado!$A$2:$A$433,$C3299,Acerto_Detalhado!$B$2:$B$433,"Set",Acerto_Detalhado!$C$2:$C$433,"Proteina"))*(SUMIFS(Acerto_Detalhado!$I$2:$I$433,Acerto_Detalhado!$A$2:$A$433,$D3299,Acerto_Detalhado!$B$2:$B$433,"Set",Acerto_Detalhado!$C$2:$C$433,"Proteina")),2)</f>
        <v>0</v>
      </c>
    </row>
    <row r="3300" customFormat="false" ht="15" hidden="false" customHeight="false" outlineLevel="0" collapsed="false">
      <c r="A3300" s="27" t="s">
        <v>119</v>
      </c>
      <c r="B3300" s="27" t="s">
        <v>109</v>
      </c>
      <c r="C3300" s="27" t="s">
        <v>50</v>
      </c>
      <c r="D3300" s="27" t="s">
        <v>45</v>
      </c>
      <c r="E3300" s="28" t="n">
        <f aca="false">ROUND((SUMIFS(Acerto_Detalhado!$F$2:$F$433,Acerto_Detalhado!$A$2:$A$433,$C3300,Acerto_Detalhado!$B$2:$B$433,"Set",Acerto_Detalhado!$C$2:$C$433,"Proteina"))*(SUMIFS(Acerto_Detalhado!$I$2:$I$433,Acerto_Detalhado!$A$2:$A$433,$D3300,Acerto_Detalhado!$B$2:$B$433,"Set",Acerto_Detalhado!$C$2:$C$433,"Proteina")),2)</f>
        <v>0</v>
      </c>
    </row>
    <row r="3301" customFormat="false" ht="15" hidden="false" customHeight="false" outlineLevel="0" collapsed="false">
      <c r="A3301" s="27" t="s">
        <v>119</v>
      </c>
      <c r="B3301" s="27" t="s">
        <v>109</v>
      </c>
      <c r="C3301" s="27" t="s">
        <v>50</v>
      </c>
      <c r="D3301" s="27" t="s">
        <v>46</v>
      </c>
      <c r="E3301" s="28" t="n">
        <f aca="false">ROUND((SUMIFS(Acerto_Detalhado!$F$2:$F$433,Acerto_Detalhado!$A$2:$A$433,$C3301,Acerto_Detalhado!$B$2:$B$433,"Set",Acerto_Detalhado!$C$2:$C$433,"Proteina"))*(SUMIFS(Acerto_Detalhado!$I$2:$I$433,Acerto_Detalhado!$A$2:$A$433,$D3301,Acerto_Detalhado!$B$2:$B$433,"Set",Acerto_Detalhado!$C$2:$C$433,"Proteina")),2)</f>
        <v>0</v>
      </c>
    </row>
    <row r="3302" customFormat="false" ht="15" hidden="false" customHeight="false" outlineLevel="0" collapsed="false">
      <c r="A3302" s="27" t="s">
        <v>119</v>
      </c>
      <c r="B3302" s="27" t="s">
        <v>109</v>
      </c>
      <c r="C3302" s="27" t="s">
        <v>50</v>
      </c>
      <c r="D3302" s="27" t="s">
        <v>47</v>
      </c>
      <c r="E3302" s="28" t="n">
        <f aca="false">ROUND((SUMIFS(Acerto_Detalhado!$F$2:$F$433,Acerto_Detalhado!$A$2:$A$433,$C3302,Acerto_Detalhado!$B$2:$B$433,"Set",Acerto_Detalhado!$C$2:$C$433,"Proteina"))*(SUMIFS(Acerto_Detalhado!$I$2:$I$433,Acerto_Detalhado!$A$2:$A$433,$D3302,Acerto_Detalhado!$B$2:$B$433,"Set",Acerto_Detalhado!$C$2:$C$433,"Proteina")),2)</f>
        <v>0</v>
      </c>
    </row>
    <row r="3303" customFormat="false" ht="15" hidden="false" customHeight="false" outlineLevel="0" collapsed="false">
      <c r="A3303" s="27" t="s">
        <v>119</v>
      </c>
      <c r="B3303" s="27" t="s">
        <v>109</v>
      </c>
      <c r="C3303" s="27" t="s">
        <v>50</v>
      </c>
      <c r="D3303" s="27" t="s">
        <v>48</v>
      </c>
      <c r="E3303" s="28" t="n">
        <f aca="false">ROUND((SUMIFS(Acerto_Detalhado!$F$2:$F$433,Acerto_Detalhado!$A$2:$A$433,$C3303,Acerto_Detalhado!$B$2:$B$433,"Set",Acerto_Detalhado!$C$2:$C$433,"Proteina"))*(SUMIFS(Acerto_Detalhado!$I$2:$I$433,Acerto_Detalhado!$A$2:$A$433,$D3303,Acerto_Detalhado!$B$2:$B$433,"Set",Acerto_Detalhado!$C$2:$C$433,"Proteina")),2)</f>
        <v>0</v>
      </c>
    </row>
    <row r="3304" customFormat="false" ht="15" hidden="false" customHeight="false" outlineLevel="0" collapsed="false">
      <c r="A3304" s="27" t="s">
        <v>119</v>
      </c>
      <c r="B3304" s="27" t="s">
        <v>109</v>
      </c>
      <c r="C3304" s="27" t="s">
        <v>50</v>
      </c>
      <c r="D3304" s="27" t="s">
        <v>49</v>
      </c>
      <c r="E3304" s="28" t="n">
        <f aca="false">ROUND((SUMIFS(Acerto_Detalhado!$F$2:$F$433,Acerto_Detalhado!$A$2:$A$433,$C3304,Acerto_Detalhado!$B$2:$B$433,"Set",Acerto_Detalhado!$C$2:$C$433,"Proteina"))*(SUMIFS(Acerto_Detalhado!$I$2:$I$433,Acerto_Detalhado!$A$2:$A$433,$D3304,Acerto_Detalhado!$B$2:$B$433,"Set",Acerto_Detalhado!$C$2:$C$433,"Proteina")),2)</f>
        <v>0</v>
      </c>
    </row>
    <row r="3305" customFormat="false" ht="15" hidden="false" customHeight="false" outlineLevel="0" collapsed="false">
      <c r="A3305" s="27" t="s">
        <v>119</v>
      </c>
      <c r="B3305" s="27" t="s">
        <v>110</v>
      </c>
      <c r="C3305" s="27" t="s">
        <v>39</v>
      </c>
      <c r="D3305" s="27" t="s">
        <v>40</v>
      </c>
      <c r="E3305" s="28" t="n">
        <f aca="false">ROUND((SUMIFS(Acerto_Detalhado!$F$2:$F$433,Acerto_Detalhado!$A$2:$A$433,$C3305,Acerto_Detalhado!$B$2:$B$433,"Set",Acerto_Detalhado!$C$2:$C$433,"Umidade"))*(SUMIFS(Acerto_Detalhado!$I$2:$I$433,Acerto_Detalhado!$A$2:$A$433,$D3305,Acerto_Detalhado!$B$2:$B$433,"Set",Acerto_Detalhado!$C$2:$C$433,"Umidade")),2)</f>
        <v>0</v>
      </c>
    </row>
    <row r="3306" customFormat="false" ht="15" hidden="false" customHeight="false" outlineLevel="0" collapsed="false">
      <c r="A3306" s="27" t="s">
        <v>119</v>
      </c>
      <c r="B3306" s="27" t="s">
        <v>110</v>
      </c>
      <c r="C3306" s="27" t="s">
        <v>39</v>
      </c>
      <c r="D3306" s="27" t="s">
        <v>41</v>
      </c>
      <c r="E3306" s="28" t="n">
        <f aca="false">ROUND((SUMIFS(Acerto_Detalhado!$F$2:$F$433,Acerto_Detalhado!$A$2:$A$433,$C3306,Acerto_Detalhado!$B$2:$B$433,"Set",Acerto_Detalhado!$C$2:$C$433,"Umidade"))*(SUMIFS(Acerto_Detalhado!$I$2:$I$433,Acerto_Detalhado!$A$2:$A$433,$D3306,Acerto_Detalhado!$B$2:$B$433,"Set",Acerto_Detalhado!$C$2:$C$433,"Umidade")),2)</f>
        <v>0</v>
      </c>
    </row>
    <row r="3307" customFormat="false" ht="15" hidden="false" customHeight="false" outlineLevel="0" collapsed="false">
      <c r="A3307" s="27" t="s">
        <v>119</v>
      </c>
      <c r="B3307" s="27" t="s">
        <v>110</v>
      </c>
      <c r="C3307" s="27" t="s">
        <v>39</v>
      </c>
      <c r="D3307" s="27" t="s">
        <v>42</v>
      </c>
      <c r="E3307" s="28" t="n">
        <f aca="false">ROUND((SUMIFS(Acerto_Detalhado!$F$2:$F$433,Acerto_Detalhado!$A$2:$A$433,$C3307,Acerto_Detalhado!$B$2:$B$433,"Set",Acerto_Detalhado!$C$2:$C$433,"Umidade"))*(SUMIFS(Acerto_Detalhado!$I$2:$I$433,Acerto_Detalhado!$A$2:$A$433,$D3307,Acerto_Detalhado!$B$2:$B$433,"Set",Acerto_Detalhado!$C$2:$C$433,"Umidade")),2)</f>
        <v>0</v>
      </c>
    </row>
    <row r="3308" customFormat="false" ht="15" hidden="false" customHeight="false" outlineLevel="0" collapsed="false">
      <c r="A3308" s="27" t="s">
        <v>119</v>
      </c>
      <c r="B3308" s="27" t="s">
        <v>110</v>
      </c>
      <c r="C3308" s="27" t="s">
        <v>39</v>
      </c>
      <c r="D3308" s="27" t="s">
        <v>43</v>
      </c>
      <c r="E3308" s="28" t="n">
        <f aca="false">ROUND((SUMIFS(Acerto_Detalhado!$F$2:$F$433,Acerto_Detalhado!$A$2:$A$433,$C3308,Acerto_Detalhado!$B$2:$B$433,"Set",Acerto_Detalhado!$C$2:$C$433,"Umidade"))*(SUMIFS(Acerto_Detalhado!$I$2:$I$433,Acerto_Detalhado!$A$2:$A$433,$D3308,Acerto_Detalhado!$B$2:$B$433,"Set",Acerto_Detalhado!$C$2:$C$433,"Umidade")),2)</f>
        <v>0</v>
      </c>
    </row>
    <row r="3309" customFormat="false" ht="15" hidden="false" customHeight="false" outlineLevel="0" collapsed="false">
      <c r="A3309" s="27" t="s">
        <v>119</v>
      </c>
      <c r="B3309" s="27" t="s">
        <v>110</v>
      </c>
      <c r="C3309" s="27" t="s">
        <v>39</v>
      </c>
      <c r="D3309" s="27" t="s">
        <v>44</v>
      </c>
      <c r="E3309" s="28" t="n">
        <f aca="false">ROUND((SUMIFS(Acerto_Detalhado!$F$2:$F$433,Acerto_Detalhado!$A$2:$A$433,$C3309,Acerto_Detalhado!$B$2:$B$433,"Set",Acerto_Detalhado!$C$2:$C$433,"Umidade"))*(SUMIFS(Acerto_Detalhado!$I$2:$I$433,Acerto_Detalhado!$A$2:$A$433,$D3309,Acerto_Detalhado!$B$2:$B$433,"Set",Acerto_Detalhado!$C$2:$C$433,"Umidade")),2)</f>
        <v>0</v>
      </c>
    </row>
    <row r="3310" customFormat="false" ht="15" hidden="false" customHeight="false" outlineLevel="0" collapsed="false">
      <c r="A3310" s="27" t="s">
        <v>119</v>
      </c>
      <c r="B3310" s="27" t="s">
        <v>110</v>
      </c>
      <c r="C3310" s="27" t="s">
        <v>39</v>
      </c>
      <c r="D3310" s="27" t="s">
        <v>45</v>
      </c>
      <c r="E3310" s="28" t="n">
        <f aca="false">ROUND((SUMIFS(Acerto_Detalhado!$F$2:$F$433,Acerto_Detalhado!$A$2:$A$433,$C3310,Acerto_Detalhado!$B$2:$B$433,"Set",Acerto_Detalhado!$C$2:$C$433,"Umidade"))*(SUMIFS(Acerto_Detalhado!$I$2:$I$433,Acerto_Detalhado!$A$2:$A$433,$D3310,Acerto_Detalhado!$B$2:$B$433,"Set",Acerto_Detalhado!$C$2:$C$433,"Umidade")),2)</f>
        <v>0</v>
      </c>
    </row>
    <row r="3311" customFormat="false" ht="15" hidden="false" customHeight="false" outlineLevel="0" collapsed="false">
      <c r="A3311" s="27" t="s">
        <v>119</v>
      </c>
      <c r="B3311" s="27" t="s">
        <v>110</v>
      </c>
      <c r="C3311" s="27" t="s">
        <v>39</v>
      </c>
      <c r="D3311" s="27" t="s">
        <v>46</v>
      </c>
      <c r="E3311" s="28" t="n">
        <f aca="false">ROUND((SUMIFS(Acerto_Detalhado!$F$2:$F$433,Acerto_Detalhado!$A$2:$A$433,$C3311,Acerto_Detalhado!$B$2:$B$433,"Set",Acerto_Detalhado!$C$2:$C$433,"Umidade"))*(SUMIFS(Acerto_Detalhado!$I$2:$I$433,Acerto_Detalhado!$A$2:$A$433,$D3311,Acerto_Detalhado!$B$2:$B$433,"Set",Acerto_Detalhado!$C$2:$C$433,"Umidade")),2)</f>
        <v>0</v>
      </c>
    </row>
    <row r="3312" customFormat="false" ht="15" hidden="false" customHeight="false" outlineLevel="0" collapsed="false">
      <c r="A3312" s="27" t="s">
        <v>119</v>
      </c>
      <c r="B3312" s="27" t="s">
        <v>110</v>
      </c>
      <c r="C3312" s="27" t="s">
        <v>39</v>
      </c>
      <c r="D3312" s="27" t="s">
        <v>47</v>
      </c>
      <c r="E3312" s="28" t="n">
        <f aca="false">ROUND((SUMIFS(Acerto_Detalhado!$F$2:$F$433,Acerto_Detalhado!$A$2:$A$433,$C3312,Acerto_Detalhado!$B$2:$B$433,"Set",Acerto_Detalhado!$C$2:$C$433,"Umidade"))*(SUMIFS(Acerto_Detalhado!$I$2:$I$433,Acerto_Detalhado!$A$2:$A$433,$D3312,Acerto_Detalhado!$B$2:$B$433,"Set",Acerto_Detalhado!$C$2:$C$433,"Umidade")),2)</f>
        <v>0</v>
      </c>
    </row>
    <row r="3313" customFormat="false" ht="15" hidden="false" customHeight="false" outlineLevel="0" collapsed="false">
      <c r="A3313" s="27" t="s">
        <v>119</v>
      </c>
      <c r="B3313" s="27" t="s">
        <v>110</v>
      </c>
      <c r="C3313" s="27" t="s">
        <v>39</v>
      </c>
      <c r="D3313" s="27" t="s">
        <v>48</v>
      </c>
      <c r="E3313" s="28" t="n">
        <f aca="false">ROUND((SUMIFS(Acerto_Detalhado!$F$2:$F$433,Acerto_Detalhado!$A$2:$A$433,$C3313,Acerto_Detalhado!$B$2:$B$433,"Set",Acerto_Detalhado!$C$2:$C$433,"Umidade"))*(SUMIFS(Acerto_Detalhado!$I$2:$I$433,Acerto_Detalhado!$A$2:$A$433,$D3313,Acerto_Detalhado!$B$2:$B$433,"Set",Acerto_Detalhado!$C$2:$C$433,"Umidade")),2)</f>
        <v>0</v>
      </c>
    </row>
    <row r="3314" customFormat="false" ht="15" hidden="false" customHeight="false" outlineLevel="0" collapsed="false">
      <c r="A3314" s="27" t="s">
        <v>119</v>
      </c>
      <c r="B3314" s="27" t="s">
        <v>110</v>
      </c>
      <c r="C3314" s="27" t="s">
        <v>39</v>
      </c>
      <c r="D3314" s="27" t="s">
        <v>49</v>
      </c>
      <c r="E3314" s="28" t="n">
        <f aca="false">ROUND((SUMIFS(Acerto_Detalhado!$F$2:$F$433,Acerto_Detalhado!$A$2:$A$433,$C3314,Acerto_Detalhado!$B$2:$B$433,"Set",Acerto_Detalhado!$C$2:$C$433,"Umidade"))*(SUMIFS(Acerto_Detalhado!$I$2:$I$433,Acerto_Detalhado!$A$2:$A$433,$D3314,Acerto_Detalhado!$B$2:$B$433,"Set",Acerto_Detalhado!$C$2:$C$433,"Umidade")),2)</f>
        <v>0</v>
      </c>
    </row>
    <row r="3315" customFormat="false" ht="15" hidden="false" customHeight="false" outlineLevel="0" collapsed="false">
      <c r="A3315" s="27" t="s">
        <v>119</v>
      </c>
      <c r="B3315" s="27" t="s">
        <v>110</v>
      </c>
      <c r="C3315" s="27" t="s">
        <v>39</v>
      </c>
      <c r="D3315" s="27" t="s">
        <v>50</v>
      </c>
      <c r="E3315" s="28" t="n">
        <f aca="false">ROUND((SUMIFS(Acerto_Detalhado!$F$2:$F$433,Acerto_Detalhado!$A$2:$A$433,$C3315,Acerto_Detalhado!$B$2:$B$433,"Set",Acerto_Detalhado!$C$2:$C$433,"Umidade"))*(SUMIFS(Acerto_Detalhado!$I$2:$I$433,Acerto_Detalhado!$A$2:$A$433,$D3315,Acerto_Detalhado!$B$2:$B$433,"Set",Acerto_Detalhado!$C$2:$C$433,"Umidade")),2)</f>
        <v>0</v>
      </c>
    </row>
    <row r="3316" customFormat="false" ht="15" hidden="false" customHeight="false" outlineLevel="0" collapsed="false">
      <c r="A3316" s="27" t="s">
        <v>119</v>
      </c>
      <c r="B3316" s="27" t="s">
        <v>110</v>
      </c>
      <c r="C3316" s="27" t="s">
        <v>40</v>
      </c>
      <c r="D3316" s="27" t="s">
        <v>39</v>
      </c>
      <c r="E3316" s="28" t="n">
        <f aca="false">ROUND((SUMIFS(Acerto_Detalhado!$F$2:$F$433,Acerto_Detalhado!$A$2:$A$433,$C3316,Acerto_Detalhado!$B$2:$B$433,"Set",Acerto_Detalhado!$C$2:$C$433,"Umidade"))*(SUMIFS(Acerto_Detalhado!$I$2:$I$433,Acerto_Detalhado!$A$2:$A$433,$D3316,Acerto_Detalhado!$B$2:$B$433,"Set",Acerto_Detalhado!$C$2:$C$433,"Umidade")),2)</f>
        <v>0</v>
      </c>
    </row>
    <row r="3317" customFormat="false" ht="15" hidden="false" customHeight="false" outlineLevel="0" collapsed="false">
      <c r="A3317" s="27" t="s">
        <v>119</v>
      </c>
      <c r="B3317" s="27" t="s">
        <v>110</v>
      </c>
      <c r="C3317" s="27" t="s">
        <v>40</v>
      </c>
      <c r="D3317" s="27" t="s">
        <v>41</v>
      </c>
      <c r="E3317" s="28" t="n">
        <f aca="false">ROUND((SUMIFS(Acerto_Detalhado!$F$2:$F$433,Acerto_Detalhado!$A$2:$A$433,$C3317,Acerto_Detalhado!$B$2:$B$433,"Set",Acerto_Detalhado!$C$2:$C$433,"Umidade"))*(SUMIFS(Acerto_Detalhado!$I$2:$I$433,Acerto_Detalhado!$A$2:$A$433,$D3317,Acerto_Detalhado!$B$2:$B$433,"Set",Acerto_Detalhado!$C$2:$C$433,"Umidade")),2)</f>
        <v>0</v>
      </c>
    </row>
    <row r="3318" customFormat="false" ht="15" hidden="false" customHeight="false" outlineLevel="0" collapsed="false">
      <c r="A3318" s="27" t="s">
        <v>119</v>
      </c>
      <c r="B3318" s="27" t="s">
        <v>110</v>
      </c>
      <c r="C3318" s="27" t="s">
        <v>40</v>
      </c>
      <c r="D3318" s="27" t="s">
        <v>42</v>
      </c>
      <c r="E3318" s="28" t="n">
        <f aca="false">ROUND((SUMIFS(Acerto_Detalhado!$F$2:$F$433,Acerto_Detalhado!$A$2:$A$433,$C3318,Acerto_Detalhado!$B$2:$B$433,"Set",Acerto_Detalhado!$C$2:$C$433,"Umidade"))*(SUMIFS(Acerto_Detalhado!$I$2:$I$433,Acerto_Detalhado!$A$2:$A$433,$D3318,Acerto_Detalhado!$B$2:$B$433,"Set",Acerto_Detalhado!$C$2:$C$433,"Umidade")),2)</f>
        <v>0</v>
      </c>
    </row>
    <row r="3319" customFormat="false" ht="15" hidden="false" customHeight="false" outlineLevel="0" collapsed="false">
      <c r="A3319" s="27" t="s">
        <v>119</v>
      </c>
      <c r="B3319" s="27" t="s">
        <v>110</v>
      </c>
      <c r="C3319" s="27" t="s">
        <v>40</v>
      </c>
      <c r="D3319" s="27" t="s">
        <v>43</v>
      </c>
      <c r="E3319" s="28" t="n">
        <f aca="false">ROUND((SUMIFS(Acerto_Detalhado!$F$2:$F$433,Acerto_Detalhado!$A$2:$A$433,$C3319,Acerto_Detalhado!$B$2:$B$433,"Set",Acerto_Detalhado!$C$2:$C$433,"Umidade"))*(SUMIFS(Acerto_Detalhado!$I$2:$I$433,Acerto_Detalhado!$A$2:$A$433,$D3319,Acerto_Detalhado!$B$2:$B$433,"Set",Acerto_Detalhado!$C$2:$C$433,"Umidade")),2)</f>
        <v>0</v>
      </c>
    </row>
    <row r="3320" customFormat="false" ht="15" hidden="false" customHeight="false" outlineLevel="0" collapsed="false">
      <c r="A3320" s="27" t="s">
        <v>119</v>
      </c>
      <c r="B3320" s="27" t="s">
        <v>110</v>
      </c>
      <c r="C3320" s="27" t="s">
        <v>40</v>
      </c>
      <c r="D3320" s="27" t="s">
        <v>44</v>
      </c>
      <c r="E3320" s="28" t="n">
        <f aca="false">ROUND((SUMIFS(Acerto_Detalhado!$F$2:$F$433,Acerto_Detalhado!$A$2:$A$433,$C3320,Acerto_Detalhado!$B$2:$B$433,"Set",Acerto_Detalhado!$C$2:$C$433,"Umidade"))*(SUMIFS(Acerto_Detalhado!$I$2:$I$433,Acerto_Detalhado!$A$2:$A$433,$D3320,Acerto_Detalhado!$B$2:$B$433,"Set",Acerto_Detalhado!$C$2:$C$433,"Umidade")),2)</f>
        <v>0</v>
      </c>
    </row>
    <row r="3321" customFormat="false" ht="15" hidden="false" customHeight="false" outlineLevel="0" collapsed="false">
      <c r="A3321" s="27" t="s">
        <v>119</v>
      </c>
      <c r="B3321" s="27" t="s">
        <v>110</v>
      </c>
      <c r="C3321" s="27" t="s">
        <v>40</v>
      </c>
      <c r="D3321" s="27" t="s">
        <v>45</v>
      </c>
      <c r="E3321" s="28" t="n">
        <f aca="false">ROUND((SUMIFS(Acerto_Detalhado!$F$2:$F$433,Acerto_Detalhado!$A$2:$A$433,$C3321,Acerto_Detalhado!$B$2:$B$433,"Set",Acerto_Detalhado!$C$2:$C$433,"Umidade"))*(SUMIFS(Acerto_Detalhado!$I$2:$I$433,Acerto_Detalhado!$A$2:$A$433,$D3321,Acerto_Detalhado!$B$2:$B$433,"Set",Acerto_Detalhado!$C$2:$C$433,"Umidade")),2)</f>
        <v>0</v>
      </c>
    </row>
    <row r="3322" customFormat="false" ht="15" hidden="false" customHeight="false" outlineLevel="0" collapsed="false">
      <c r="A3322" s="27" t="s">
        <v>119</v>
      </c>
      <c r="B3322" s="27" t="s">
        <v>110</v>
      </c>
      <c r="C3322" s="27" t="s">
        <v>40</v>
      </c>
      <c r="D3322" s="27" t="s">
        <v>46</v>
      </c>
      <c r="E3322" s="28" t="n">
        <f aca="false">ROUND((SUMIFS(Acerto_Detalhado!$F$2:$F$433,Acerto_Detalhado!$A$2:$A$433,$C3322,Acerto_Detalhado!$B$2:$B$433,"Set",Acerto_Detalhado!$C$2:$C$433,"Umidade"))*(SUMIFS(Acerto_Detalhado!$I$2:$I$433,Acerto_Detalhado!$A$2:$A$433,$D3322,Acerto_Detalhado!$B$2:$B$433,"Set",Acerto_Detalhado!$C$2:$C$433,"Umidade")),2)</f>
        <v>0</v>
      </c>
    </row>
    <row r="3323" customFormat="false" ht="15" hidden="false" customHeight="false" outlineLevel="0" collapsed="false">
      <c r="A3323" s="27" t="s">
        <v>119</v>
      </c>
      <c r="B3323" s="27" t="s">
        <v>110</v>
      </c>
      <c r="C3323" s="27" t="s">
        <v>40</v>
      </c>
      <c r="D3323" s="27" t="s">
        <v>47</v>
      </c>
      <c r="E3323" s="28" t="n">
        <f aca="false">ROUND((SUMIFS(Acerto_Detalhado!$F$2:$F$433,Acerto_Detalhado!$A$2:$A$433,$C3323,Acerto_Detalhado!$B$2:$B$433,"Set",Acerto_Detalhado!$C$2:$C$433,"Umidade"))*(SUMIFS(Acerto_Detalhado!$I$2:$I$433,Acerto_Detalhado!$A$2:$A$433,$D3323,Acerto_Detalhado!$B$2:$B$433,"Set",Acerto_Detalhado!$C$2:$C$433,"Umidade")),2)</f>
        <v>0</v>
      </c>
    </row>
    <row r="3324" customFormat="false" ht="15" hidden="false" customHeight="false" outlineLevel="0" collapsed="false">
      <c r="A3324" s="27" t="s">
        <v>119</v>
      </c>
      <c r="B3324" s="27" t="s">
        <v>110</v>
      </c>
      <c r="C3324" s="27" t="s">
        <v>40</v>
      </c>
      <c r="D3324" s="27" t="s">
        <v>48</v>
      </c>
      <c r="E3324" s="28" t="n">
        <f aca="false">ROUND((SUMIFS(Acerto_Detalhado!$F$2:$F$433,Acerto_Detalhado!$A$2:$A$433,$C3324,Acerto_Detalhado!$B$2:$B$433,"Set",Acerto_Detalhado!$C$2:$C$433,"Umidade"))*(SUMIFS(Acerto_Detalhado!$I$2:$I$433,Acerto_Detalhado!$A$2:$A$433,$D3324,Acerto_Detalhado!$B$2:$B$433,"Set",Acerto_Detalhado!$C$2:$C$433,"Umidade")),2)</f>
        <v>0</v>
      </c>
    </row>
    <row r="3325" customFormat="false" ht="15" hidden="false" customHeight="false" outlineLevel="0" collapsed="false">
      <c r="A3325" s="27" t="s">
        <v>119</v>
      </c>
      <c r="B3325" s="27" t="s">
        <v>110</v>
      </c>
      <c r="C3325" s="27" t="s">
        <v>40</v>
      </c>
      <c r="D3325" s="27" t="s">
        <v>49</v>
      </c>
      <c r="E3325" s="28" t="n">
        <f aca="false">ROUND((SUMIFS(Acerto_Detalhado!$F$2:$F$433,Acerto_Detalhado!$A$2:$A$433,$C3325,Acerto_Detalhado!$B$2:$B$433,"Set",Acerto_Detalhado!$C$2:$C$433,"Umidade"))*(SUMIFS(Acerto_Detalhado!$I$2:$I$433,Acerto_Detalhado!$A$2:$A$433,$D3325,Acerto_Detalhado!$B$2:$B$433,"Set",Acerto_Detalhado!$C$2:$C$433,"Umidade")),2)</f>
        <v>0</v>
      </c>
    </row>
    <row r="3326" customFormat="false" ht="15" hidden="false" customHeight="false" outlineLevel="0" collapsed="false">
      <c r="A3326" s="27" t="s">
        <v>119</v>
      </c>
      <c r="B3326" s="27" t="s">
        <v>110</v>
      </c>
      <c r="C3326" s="27" t="s">
        <v>40</v>
      </c>
      <c r="D3326" s="27" t="s">
        <v>50</v>
      </c>
      <c r="E3326" s="28" t="n">
        <f aca="false">ROUND((SUMIFS(Acerto_Detalhado!$F$2:$F$433,Acerto_Detalhado!$A$2:$A$433,$C3326,Acerto_Detalhado!$B$2:$B$433,"Set",Acerto_Detalhado!$C$2:$C$433,"Umidade"))*(SUMIFS(Acerto_Detalhado!$I$2:$I$433,Acerto_Detalhado!$A$2:$A$433,$D3326,Acerto_Detalhado!$B$2:$B$433,"Set",Acerto_Detalhado!$C$2:$C$433,"Umidade")),2)</f>
        <v>0</v>
      </c>
    </row>
    <row r="3327" customFormat="false" ht="15" hidden="false" customHeight="false" outlineLevel="0" collapsed="false">
      <c r="A3327" s="27" t="s">
        <v>119</v>
      </c>
      <c r="B3327" s="27" t="s">
        <v>110</v>
      </c>
      <c r="C3327" s="27" t="s">
        <v>41</v>
      </c>
      <c r="D3327" s="27" t="s">
        <v>39</v>
      </c>
      <c r="E3327" s="28" t="n">
        <f aca="false">ROUND((SUMIFS(Acerto_Detalhado!$F$2:$F$433,Acerto_Detalhado!$A$2:$A$433,$C3327,Acerto_Detalhado!$B$2:$B$433,"Set",Acerto_Detalhado!$C$2:$C$433,"Umidade"))*(SUMIFS(Acerto_Detalhado!$I$2:$I$433,Acerto_Detalhado!$A$2:$A$433,$D3327,Acerto_Detalhado!$B$2:$B$433,"Set",Acerto_Detalhado!$C$2:$C$433,"Umidade")),2)</f>
        <v>99.36</v>
      </c>
    </row>
    <row r="3328" customFormat="false" ht="15" hidden="false" customHeight="false" outlineLevel="0" collapsed="false">
      <c r="A3328" s="27" t="s">
        <v>119</v>
      </c>
      <c r="B3328" s="27" t="s">
        <v>110</v>
      </c>
      <c r="C3328" s="27" t="s">
        <v>41</v>
      </c>
      <c r="D3328" s="27" t="s">
        <v>40</v>
      </c>
      <c r="E3328" s="28" t="n">
        <f aca="false">ROUND((SUMIFS(Acerto_Detalhado!$F$2:$F$433,Acerto_Detalhado!$A$2:$A$433,$C3328,Acerto_Detalhado!$B$2:$B$433,"Set",Acerto_Detalhado!$C$2:$C$433,"Umidade"))*(SUMIFS(Acerto_Detalhado!$I$2:$I$433,Acerto_Detalhado!$A$2:$A$433,$D3328,Acerto_Detalhado!$B$2:$B$433,"Set",Acerto_Detalhado!$C$2:$C$433,"Umidade")),2)</f>
        <v>407.13</v>
      </c>
    </row>
    <row r="3329" customFormat="false" ht="15" hidden="false" customHeight="false" outlineLevel="0" collapsed="false">
      <c r="A3329" s="27" t="s">
        <v>119</v>
      </c>
      <c r="B3329" s="27" t="s">
        <v>110</v>
      </c>
      <c r="C3329" s="27" t="s">
        <v>41</v>
      </c>
      <c r="D3329" s="27" t="s">
        <v>42</v>
      </c>
      <c r="E3329" s="28" t="n">
        <f aca="false">ROUND((SUMIFS(Acerto_Detalhado!$F$2:$F$433,Acerto_Detalhado!$A$2:$A$433,$C3329,Acerto_Detalhado!$B$2:$B$433,"Set",Acerto_Detalhado!$C$2:$C$433,"Umidade"))*(SUMIFS(Acerto_Detalhado!$I$2:$I$433,Acerto_Detalhado!$A$2:$A$433,$D3329,Acerto_Detalhado!$B$2:$B$433,"Set",Acerto_Detalhado!$C$2:$C$433,"Umidade")),2)</f>
        <v>10.18</v>
      </c>
    </row>
    <row r="3330" customFormat="false" ht="15" hidden="false" customHeight="false" outlineLevel="0" collapsed="false">
      <c r="A3330" s="27" t="s">
        <v>119</v>
      </c>
      <c r="B3330" s="27" t="s">
        <v>110</v>
      </c>
      <c r="C3330" s="27" t="s">
        <v>41</v>
      </c>
      <c r="D3330" s="27" t="s">
        <v>43</v>
      </c>
      <c r="E3330" s="28" t="n">
        <f aca="false">ROUND((SUMIFS(Acerto_Detalhado!$F$2:$F$433,Acerto_Detalhado!$A$2:$A$433,$C3330,Acerto_Detalhado!$B$2:$B$433,"Set",Acerto_Detalhado!$C$2:$C$433,"Umidade"))*(SUMIFS(Acerto_Detalhado!$I$2:$I$433,Acerto_Detalhado!$A$2:$A$433,$D3330,Acerto_Detalhado!$B$2:$B$433,"Set",Acerto_Detalhado!$C$2:$C$433,"Umidade")),2)</f>
        <v>0</v>
      </c>
    </row>
    <row r="3331" customFormat="false" ht="15" hidden="false" customHeight="false" outlineLevel="0" collapsed="false">
      <c r="A3331" s="27" t="s">
        <v>119</v>
      </c>
      <c r="B3331" s="27" t="s">
        <v>110</v>
      </c>
      <c r="C3331" s="27" t="s">
        <v>41</v>
      </c>
      <c r="D3331" s="27" t="s">
        <v>44</v>
      </c>
      <c r="E3331" s="28" t="n">
        <f aca="false">ROUND((SUMIFS(Acerto_Detalhado!$F$2:$F$433,Acerto_Detalhado!$A$2:$A$433,$C3331,Acerto_Detalhado!$B$2:$B$433,"Set",Acerto_Detalhado!$C$2:$C$433,"Umidade"))*(SUMIFS(Acerto_Detalhado!$I$2:$I$433,Acerto_Detalhado!$A$2:$A$433,$D3331,Acerto_Detalhado!$B$2:$B$433,"Set",Acerto_Detalhado!$C$2:$C$433,"Umidade")),2)</f>
        <v>226.78</v>
      </c>
    </row>
    <row r="3332" customFormat="false" ht="15" hidden="false" customHeight="false" outlineLevel="0" collapsed="false">
      <c r="A3332" s="27" t="s">
        <v>119</v>
      </c>
      <c r="B3332" s="27" t="s">
        <v>110</v>
      </c>
      <c r="C3332" s="27" t="s">
        <v>41</v>
      </c>
      <c r="D3332" s="27" t="s">
        <v>45</v>
      </c>
      <c r="E3332" s="28" t="n">
        <f aca="false">ROUND((SUMIFS(Acerto_Detalhado!$F$2:$F$433,Acerto_Detalhado!$A$2:$A$433,$C3332,Acerto_Detalhado!$B$2:$B$433,"Set",Acerto_Detalhado!$C$2:$C$433,"Umidade"))*(SUMIFS(Acerto_Detalhado!$I$2:$I$433,Acerto_Detalhado!$A$2:$A$433,$D3332,Acerto_Detalhado!$B$2:$B$433,"Set",Acerto_Detalhado!$C$2:$C$433,"Umidade")),2)</f>
        <v>885.3</v>
      </c>
    </row>
    <row r="3333" customFormat="false" ht="15" hidden="false" customHeight="false" outlineLevel="0" collapsed="false">
      <c r="A3333" s="27" t="s">
        <v>119</v>
      </c>
      <c r="B3333" s="27" t="s">
        <v>110</v>
      </c>
      <c r="C3333" s="27" t="s">
        <v>41</v>
      </c>
      <c r="D3333" s="27" t="s">
        <v>46</v>
      </c>
      <c r="E3333" s="28" t="n">
        <f aca="false">ROUND((SUMIFS(Acerto_Detalhado!$F$2:$F$433,Acerto_Detalhado!$A$2:$A$433,$C3333,Acerto_Detalhado!$B$2:$B$433,"Set",Acerto_Detalhado!$C$2:$C$433,"Umidade"))*(SUMIFS(Acerto_Detalhado!$I$2:$I$433,Acerto_Detalhado!$A$2:$A$433,$D3333,Acerto_Detalhado!$B$2:$B$433,"Set",Acerto_Detalhado!$C$2:$C$433,"Umidade")),2)</f>
        <v>0</v>
      </c>
    </row>
    <row r="3334" customFormat="false" ht="15" hidden="false" customHeight="false" outlineLevel="0" collapsed="false">
      <c r="A3334" s="27" t="s">
        <v>119</v>
      </c>
      <c r="B3334" s="27" t="s">
        <v>110</v>
      </c>
      <c r="C3334" s="27" t="s">
        <v>41</v>
      </c>
      <c r="D3334" s="27" t="s">
        <v>47</v>
      </c>
      <c r="E3334" s="28" t="n">
        <f aca="false">ROUND((SUMIFS(Acerto_Detalhado!$F$2:$F$433,Acerto_Detalhado!$A$2:$A$433,$C3334,Acerto_Detalhado!$B$2:$B$433,"Set",Acerto_Detalhado!$C$2:$C$433,"Umidade"))*(SUMIFS(Acerto_Detalhado!$I$2:$I$433,Acerto_Detalhado!$A$2:$A$433,$D3334,Acerto_Detalhado!$B$2:$B$433,"Set",Acerto_Detalhado!$C$2:$C$433,"Umidade")),2)</f>
        <v>0</v>
      </c>
    </row>
    <row r="3335" customFormat="false" ht="15" hidden="false" customHeight="false" outlineLevel="0" collapsed="false">
      <c r="A3335" s="27" t="s">
        <v>119</v>
      </c>
      <c r="B3335" s="27" t="s">
        <v>110</v>
      </c>
      <c r="C3335" s="27" t="s">
        <v>41</v>
      </c>
      <c r="D3335" s="27" t="s">
        <v>48</v>
      </c>
      <c r="E3335" s="28" t="n">
        <f aca="false">ROUND((SUMIFS(Acerto_Detalhado!$F$2:$F$433,Acerto_Detalhado!$A$2:$A$433,$C3335,Acerto_Detalhado!$B$2:$B$433,"Set",Acerto_Detalhado!$C$2:$C$433,"Umidade"))*(SUMIFS(Acerto_Detalhado!$I$2:$I$433,Acerto_Detalhado!$A$2:$A$433,$D3335,Acerto_Detalhado!$B$2:$B$433,"Set",Acerto_Detalhado!$C$2:$C$433,"Umidade")),2)</f>
        <v>0</v>
      </c>
    </row>
    <row r="3336" customFormat="false" ht="15" hidden="false" customHeight="false" outlineLevel="0" collapsed="false">
      <c r="A3336" s="27" t="s">
        <v>119</v>
      </c>
      <c r="B3336" s="27" t="s">
        <v>110</v>
      </c>
      <c r="C3336" s="27" t="s">
        <v>41</v>
      </c>
      <c r="D3336" s="27" t="s">
        <v>49</v>
      </c>
      <c r="E3336" s="28" t="n">
        <f aca="false">ROUND((SUMIFS(Acerto_Detalhado!$F$2:$F$433,Acerto_Detalhado!$A$2:$A$433,$C3336,Acerto_Detalhado!$B$2:$B$433,"Set",Acerto_Detalhado!$C$2:$C$433,"Umidade"))*(SUMIFS(Acerto_Detalhado!$I$2:$I$433,Acerto_Detalhado!$A$2:$A$433,$D3336,Acerto_Detalhado!$B$2:$B$433,"Set",Acerto_Detalhado!$C$2:$C$433,"Umidade")),2)</f>
        <v>0</v>
      </c>
    </row>
    <row r="3337" customFormat="false" ht="15" hidden="false" customHeight="false" outlineLevel="0" collapsed="false">
      <c r="A3337" s="27" t="s">
        <v>119</v>
      </c>
      <c r="B3337" s="27" t="s">
        <v>110</v>
      </c>
      <c r="C3337" s="27" t="s">
        <v>41</v>
      </c>
      <c r="D3337" s="27" t="s">
        <v>50</v>
      </c>
      <c r="E3337" s="28" t="n">
        <f aca="false">ROUND((SUMIFS(Acerto_Detalhado!$F$2:$F$433,Acerto_Detalhado!$A$2:$A$433,$C3337,Acerto_Detalhado!$B$2:$B$433,"Set",Acerto_Detalhado!$C$2:$C$433,"Umidade"))*(SUMIFS(Acerto_Detalhado!$I$2:$I$433,Acerto_Detalhado!$A$2:$A$433,$D3337,Acerto_Detalhado!$B$2:$B$433,"Set",Acerto_Detalhado!$C$2:$C$433,"Umidade")),2)</f>
        <v>0</v>
      </c>
    </row>
    <row r="3338" customFormat="false" ht="15" hidden="false" customHeight="false" outlineLevel="0" collapsed="false">
      <c r="A3338" s="27" t="s">
        <v>119</v>
      </c>
      <c r="B3338" s="27" t="s">
        <v>110</v>
      </c>
      <c r="C3338" s="27" t="s">
        <v>42</v>
      </c>
      <c r="D3338" s="27" t="s">
        <v>39</v>
      </c>
      <c r="E3338" s="28" t="n">
        <f aca="false">ROUND((SUMIFS(Acerto_Detalhado!$F$2:$F$433,Acerto_Detalhado!$A$2:$A$433,$C3338,Acerto_Detalhado!$B$2:$B$433,"Set",Acerto_Detalhado!$C$2:$C$433,"Umidade"))*(SUMIFS(Acerto_Detalhado!$I$2:$I$433,Acerto_Detalhado!$A$2:$A$433,$D3338,Acerto_Detalhado!$B$2:$B$433,"Set",Acerto_Detalhado!$C$2:$C$433,"Umidade")),2)</f>
        <v>0</v>
      </c>
    </row>
    <row r="3339" customFormat="false" ht="15" hidden="false" customHeight="false" outlineLevel="0" collapsed="false">
      <c r="A3339" s="27" t="s">
        <v>119</v>
      </c>
      <c r="B3339" s="27" t="s">
        <v>110</v>
      </c>
      <c r="C3339" s="27" t="s">
        <v>42</v>
      </c>
      <c r="D3339" s="27" t="s">
        <v>40</v>
      </c>
      <c r="E3339" s="28" t="n">
        <f aca="false">ROUND((SUMIFS(Acerto_Detalhado!$F$2:$F$433,Acerto_Detalhado!$A$2:$A$433,$C3339,Acerto_Detalhado!$B$2:$B$433,"Set",Acerto_Detalhado!$C$2:$C$433,"Umidade"))*(SUMIFS(Acerto_Detalhado!$I$2:$I$433,Acerto_Detalhado!$A$2:$A$433,$D3339,Acerto_Detalhado!$B$2:$B$433,"Set",Acerto_Detalhado!$C$2:$C$433,"Umidade")),2)</f>
        <v>0</v>
      </c>
    </row>
    <row r="3340" customFormat="false" ht="15" hidden="false" customHeight="false" outlineLevel="0" collapsed="false">
      <c r="A3340" s="27" t="s">
        <v>119</v>
      </c>
      <c r="B3340" s="27" t="s">
        <v>110</v>
      </c>
      <c r="C3340" s="27" t="s">
        <v>42</v>
      </c>
      <c r="D3340" s="27" t="s">
        <v>41</v>
      </c>
      <c r="E3340" s="28" t="n">
        <f aca="false">ROUND((SUMIFS(Acerto_Detalhado!$F$2:$F$433,Acerto_Detalhado!$A$2:$A$433,$C3340,Acerto_Detalhado!$B$2:$B$433,"Set",Acerto_Detalhado!$C$2:$C$433,"Umidade"))*(SUMIFS(Acerto_Detalhado!$I$2:$I$433,Acerto_Detalhado!$A$2:$A$433,$D3340,Acerto_Detalhado!$B$2:$B$433,"Set",Acerto_Detalhado!$C$2:$C$433,"Umidade")),2)</f>
        <v>0</v>
      </c>
    </row>
    <row r="3341" customFormat="false" ht="15" hidden="false" customHeight="false" outlineLevel="0" collapsed="false">
      <c r="A3341" s="27" t="s">
        <v>119</v>
      </c>
      <c r="B3341" s="27" t="s">
        <v>110</v>
      </c>
      <c r="C3341" s="27" t="s">
        <v>42</v>
      </c>
      <c r="D3341" s="27" t="s">
        <v>43</v>
      </c>
      <c r="E3341" s="28" t="n">
        <f aca="false">ROUND((SUMIFS(Acerto_Detalhado!$F$2:$F$433,Acerto_Detalhado!$A$2:$A$433,$C3341,Acerto_Detalhado!$B$2:$B$433,"Set",Acerto_Detalhado!$C$2:$C$433,"Umidade"))*(SUMIFS(Acerto_Detalhado!$I$2:$I$433,Acerto_Detalhado!$A$2:$A$433,$D3341,Acerto_Detalhado!$B$2:$B$433,"Set",Acerto_Detalhado!$C$2:$C$433,"Umidade")),2)</f>
        <v>0</v>
      </c>
    </row>
    <row r="3342" customFormat="false" ht="15" hidden="false" customHeight="false" outlineLevel="0" collapsed="false">
      <c r="A3342" s="27" t="s">
        <v>119</v>
      </c>
      <c r="B3342" s="27" t="s">
        <v>110</v>
      </c>
      <c r="C3342" s="27" t="s">
        <v>42</v>
      </c>
      <c r="D3342" s="27" t="s">
        <v>44</v>
      </c>
      <c r="E3342" s="28" t="n">
        <f aca="false">ROUND((SUMIFS(Acerto_Detalhado!$F$2:$F$433,Acerto_Detalhado!$A$2:$A$433,$C3342,Acerto_Detalhado!$B$2:$B$433,"Set",Acerto_Detalhado!$C$2:$C$433,"Umidade"))*(SUMIFS(Acerto_Detalhado!$I$2:$I$433,Acerto_Detalhado!$A$2:$A$433,$D3342,Acerto_Detalhado!$B$2:$B$433,"Set",Acerto_Detalhado!$C$2:$C$433,"Umidade")),2)</f>
        <v>0</v>
      </c>
    </row>
    <row r="3343" customFormat="false" ht="15" hidden="false" customHeight="false" outlineLevel="0" collapsed="false">
      <c r="A3343" s="27" t="s">
        <v>119</v>
      </c>
      <c r="B3343" s="27" t="s">
        <v>110</v>
      </c>
      <c r="C3343" s="27" t="s">
        <v>42</v>
      </c>
      <c r="D3343" s="27" t="s">
        <v>45</v>
      </c>
      <c r="E3343" s="28" t="n">
        <f aca="false">ROUND((SUMIFS(Acerto_Detalhado!$F$2:$F$433,Acerto_Detalhado!$A$2:$A$433,$C3343,Acerto_Detalhado!$B$2:$B$433,"Set",Acerto_Detalhado!$C$2:$C$433,"Umidade"))*(SUMIFS(Acerto_Detalhado!$I$2:$I$433,Acerto_Detalhado!$A$2:$A$433,$D3343,Acerto_Detalhado!$B$2:$B$433,"Set",Acerto_Detalhado!$C$2:$C$433,"Umidade")),2)</f>
        <v>0</v>
      </c>
    </row>
    <row r="3344" customFormat="false" ht="15" hidden="false" customHeight="false" outlineLevel="0" collapsed="false">
      <c r="A3344" s="27" t="s">
        <v>119</v>
      </c>
      <c r="B3344" s="27" t="s">
        <v>110</v>
      </c>
      <c r="C3344" s="27" t="s">
        <v>42</v>
      </c>
      <c r="D3344" s="27" t="s">
        <v>46</v>
      </c>
      <c r="E3344" s="28" t="n">
        <f aca="false">ROUND((SUMIFS(Acerto_Detalhado!$F$2:$F$433,Acerto_Detalhado!$A$2:$A$433,$C3344,Acerto_Detalhado!$B$2:$B$433,"Set",Acerto_Detalhado!$C$2:$C$433,"Umidade"))*(SUMIFS(Acerto_Detalhado!$I$2:$I$433,Acerto_Detalhado!$A$2:$A$433,$D3344,Acerto_Detalhado!$B$2:$B$433,"Set",Acerto_Detalhado!$C$2:$C$433,"Umidade")),2)</f>
        <v>0</v>
      </c>
    </row>
    <row r="3345" customFormat="false" ht="15" hidden="false" customHeight="false" outlineLevel="0" collapsed="false">
      <c r="A3345" s="27" t="s">
        <v>119</v>
      </c>
      <c r="B3345" s="27" t="s">
        <v>110</v>
      </c>
      <c r="C3345" s="27" t="s">
        <v>42</v>
      </c>
      <c r="D3345" s="27" t="s">
        <v>47</v>
      </c>
      <c r="E3345" s="28" t="n">
        <f aca="false">ROUND((SUMIFS(Acerto_Detalhado!$F$2:$F$433,Acerto_Detalhado!$A$2:$A$433,$C3345,Acerto_Detalhado!$B$2:$B$433,"Set",Acerto_Detalhado!$C$2:$C$433,"Umidade"))*(SUMIFS(Acerto_Detalhado!$I$2:$I$433,Acerto_Detalhado!$A$2:$A$433,$D3345,Acerto_Detalhado!$B$2:$B$433,"Set",Acerto_Detalhado!$C$2:$C$433,"Umidade")),2)</f>
        <v>0</v>
      </c>
    </row>
    <row r="3346" customFormat="false" ht="15" hidden="false" customHeight="false" outlineLevel="0" collapsed="false">
      <c r="A3346" s="27" t="s">
        <v>119</v>
      </c>
      <c r="B3346" s="27" t="s">
        <v>110</v>
      </c>
      <c r="C3346" s="27" t="s">
        <v>42</v>
      </c>
      <c r="D3346" s="27" t="s">
        <v>48</v>
      </c>
      <c r="E3346" s="28" t="n">
        <f aca="false">ROUND((SUMIFS(Acerto_Detalhado!$F$2:$F$433,Acerto_Detalhado!$A$2:$A$433,$C3346,Acerto_Detalhado!$B$2:$B$433,"Set",Acerto_Detalhado!$C$2:$C$433,"Umidade"))*(SUMIFS(Acerto_Detalhado!$I$2:$I$433,Acerto_Detalhado!$A$2:$A$433,$D3346,Acerto_Detalhado!$B$2:$B$433,"Set",Acerto_Detalhado!$C$2:$C$433,"Umidade")),2)</f>
        <v>0</v>
      </c>
    </row>
    <row r="3347" customFormat="false" ht="15" hidden="false" customHeight="false" outlineLevel="0" collapsed="false">
      <c r="A3347" s="27" t="s">
        <v>119</v>
      </c>
      <c r="B3347" s="27" t="s">
        <v>110</v>
      </c>
      <c r="C3347" s="27" t="s">
        <v>42</v>
      </c>
      <c r="D3347" s="27" t="s">
        <v>49</v>
      </c>
      <c r="E3347" s="28" t="n">
        <f aca="false">ROUND((SUMIFS(Acerto_Detalhado!$F$2:$F$433,Acerto_Detalhado!$A$2:$A$433,$C3347,Acerto_Detalhado!$B$2:$B$433,"Set",Acerto_Detalhado!$C$2:$C$433,"Umidade"))*(SUMIFS(Acerto_Detalhado!$I$2:$I$433,Acerto_Detalhado!$A$2:$A$433,$D3347,Acerto_Detalhado!$B$2:$B$433,"Set",Acerto_Detalhado!$C$2:$C$433,"Umidade")),2)</f>
        <v>0</v>
      </c>
    </row>
    <row r="3348" customFormat="false" ht="15" hidden="false" customHeight="false" outlineLevel="0" collapsed="false">
      <c r="A3348" s="27" t="s">
        <v>119</v>
      </c>
      <c r="B3348" s="27" t="s">
        <v>110</v>
      </c>
      <c r="C3348" s="27" t="s">
        <v>42</v>
      </c>
      <c r="D3348" s="27" t="s">
        <v>50</v>
      </c>
      <c r="E3348" s="28" t="n">
        <f aca="false">ROUND((SUMIFS(Acerto_Detalhado!$F$2:$F$433,Acerto_Detalhado!$A$2:$A$433,$C3348,Acerto_Detalhado!$B$2:$B$433,"Set",Acerto_Detalhado!$C$2:$C$433,"Umidade"))*(SUMIFS(Acerto_Detalhado!$I$2:$I$433,Acerto_Detalhado!$A$2:$A$433,$D3348,Acerto_Detalhado!$B$2:$B$433,"Set",Acerto_Detalhado!$C$2:$C$433,"Umidade")),2)</f>
        <v>0</v>
      </c>
    </row>
    <row r="3349" customFormat="false" ht="15" hidden="false" customHeight="false" outlineLevel="0" collapsed="false">
      <c r="A3349" s="27" t="s">
        <v>119</v>
      </c>
      <c r="B3349" s="27" t="s">
        <v>110</v>
      </c>
      <c r="C3349" s="27" t="s">
        <v>43</v>
      </c>
      <c r="D3349" s="27" t="s">
        <v>39</v>
      </c>
      <c r="E3349" s="28" t="n">
        <f aca="false">ROUND((SUMIFS(Acerto_Detalhado!$F$2:$F$433,Acerto_Detalhado!$A$2:$A$433,$C3349,Acerto_Detalhado!$B$2:$B$433,"Set",Acerto_Detalhado!$C$2:$C$433,"Umidade"))*(SUMIFS(Acerto_Detalhado!$I$2:$I$433,Acerto_Detalhado!$A$2:$A$433,$D3349,Acerto_Detalhado!$B$2:$B$433,"Set",Acerto_Detalhado!$C$2:$C$433,"Umidade")),2)</f>
        <v>858.22</v>
      </c>
    </row>
    <row r="3350" customFormat="false" ht="15" hidden="false" customHeight="false" outlineLevel="0" collapsed="false">
      <c r="A3350" s="27" t="s">
        <v>119</v>
      </c>
      <c r="B3350" s="27" t="s">
        <v>110</v>
      </c>
      <c r="C3350" s="27" t="s">
        <v>43</v>
      </c>
      <c r="D3350" s="27" t="s">
        <v>40</v>
      </c>
      <c r="E3350" s="28" t="n">
        <f aca="false">ROUND((SUMIFS(Acerto_Detalhado!$F$2:$F$433,Acerto_Detalhado!$A$2:$A$433,$C3350,Acerto_Detalhado!$B$2:$B$433,"Set",Acerto_Detalhado!$C$2:$C$433,"Umidade"))*(SUMIFS(Acerto_Detalhado!$I$2:$I$433,Acerto_Detalhado!$A$2:$A$433,$D3350,Acerto_Detalhado!$B$2:$B$433,"Set",Acerto_Detalhado!$C$2:$C$433,"Umidade")),2)</f>
        <v>3516.63</v>
      </c>
    </row>
    <row r="3351" customFormat="false" ht="15" hidden="false" customHeight="false" outlineLevel="0" collapsed="false">
      <c r="A3351" s="27" t="s">
        <v>119</v>
      </c>
      <c r="B3351" s="27" t="s">
        <v>110</v>
      </c>
      <c r="C3351" s="27" t="s">
        <v>43</v>
      </c>
      <c r="D3351" s="27" t="s">
        <v>41</v>
      </c>
      <c r="E3351" s="28" t="n">
        <f aca="false">ROUND((SUMIFS(Acerto_Detalhado!$F$2:$F$433,Acerto_Detalhado!$A$2:$A$433,$C3351,Acerto_Detalhado!$B$2:$B$433,"Set",Acerto_Detalhado!$C$2:$C$433,"Umidade"))*(SUMIFS(Acerto_Detalhado!$I$2:$I$433,Acerto_Detalhado!$A$2:$A$433,$D3351,Acerto_Detalhado!$B$2:$B$433,"Set",Acerto_Detalhado!$C$2:$C$433,"Umidade")),2)</f>
        <v>0</v>
      </c>
    </row>
    <row r="3352" customFormat="false" ht="15" hidden="false" customHeight="false" outlineLevel="0" collapsed="false">
      <c r="A3352" s="27" t="s">
        <v>119</v>
      </c>
      <c r="B3352" s="27" t="s">
        <v>110</v>
      </c>
      <c r="C3352" s="27" t="s">
        <v>43</v>
      </c>
      <c r="D3352" s="27" t="s">
        <v>42</v>
      </c>
      <c r="E3352" s="28" t="n">
        <f aca="false">ROUND((SUMIFS(Acerto_Detalhado!$F$2:$F$433,Acerto_Detalhado!$A$2:$A$433,$C3352,Acerto_Detalhado!$B$2:$B$433,"Set",Acerto_Detalhado!$C$2:$C$433,"Umidade"))*(SUMIFS(Acerto_Detalhado!$I$2:$I$433,Acerto_Detalhado!$A$2:$A$433,$D3352,Acerto_Detalhado!$B$2:$B$433,"Set",Acerto_Detalhado!$C$2:$C$433,"Umidade")),2)</f>
        <v>87.89</v>
      </c>
    </row>
    <row r="3353" customFormat="false" ht="15" hidden="false" customHeight="false" outlineLevel="0" collapsed="false">
      <c r="A3353" s="27" t="s">
        <v>119</v>
      </c>
      <c r="B3353" s="27" t="s">
        <v>110</v>
      </c>
      <c r="C3353" s="27" t="s">
        <v>43</v>
      </c>
      <c r="D3353" s="27" t="s">
        <v>44</v>
      </c>
      <c r="E3353" s="28" t="n">
        <f aca="false">ROUND((SUMIFS(Acerto_Detalhado!$F$2:$F$433,Acerto_Detalhado!$A$2:$A$433,$C3353,Acerto_Detalhado!$B$2:$B$433,"Set",Acerto_Detalhado!$C$2:$C$433,"Umidade"))*(SUMIFS(Acerto_Detalhado!$I$2:$I$433,Acerto_Detalhado!$A$2:$A$433,$D3353,Acerto_Detalhado!$B$2:$B$433,"Set",Acerto_Detalhado!$C$2:$C$433,"Umidade")),2)</f>
        <v>1958.81</v>
      </c>
    </row>
    <row r="3354" customFormat="false" ht="15" hidden="false" customHeight="false" outlineLevel="0" collapsed="false">
      <c r="A3354" s="27" t="s">
        <v>119</v>
      </c>
      <c r="B3354" s="27" t="s">
        <v>110</v>
      </c>
      <c r="C3354" s="27" t="s">
        <v>43</v>
      </c>
      <c r="D3354" s="27" t="s">
        <v>45</v>
      </c>
      <c r="E3354" s="28" t="n">
        <f aca="false">ROUND((SUMIFS(Acerto_Detalhado!$F$2:$F$433,Acerto_Detalhado!$A$2:$A$433,$C3354,Acerto_Detalhado!$B$2:$B$433,"Set",Acerto_Detalhado!$C$2:$C$433,"Umidade"))*(SUMIFS(Acerto_Detalhado!$I$2:$I$433,Acerto_Detalhado!$A$2:$A$433,$D3354,Acerto_Detalhado!$B$2:$B$433,"Set",Acerto_Detalhado!$C$2:$C$433,"Umidade")),2)</f>
        <v>7646.92</v>
      </c>
    </row>
    <row r="3355" customFormat="false" ht="15" hidden="false" customHeight="false" outlineLevel="0" collapsed="false">
      <c r="A3355" s="27" t="s">
        <v>119</v>
      </c>
      <c r="B3355" s="27" t="s">
        <v>110</v>
      </c>
      <c r="C3355" s="27" t="s">
        <v>43</v>
      </c>
      <c r="D3355" s="27" t="s">
        <v>46</v>
      </c>
      <c r="E3355" s="28" t="n">
        <f aca="false">ROUND((SUMIFS(Acerto_Detalhado!$F$2:$F$433,Acerto_Detalhado!$A$2:$A$433,$C3355,Acerto_Detalhado!$B$2:$B$433,"Set",Acerto_Detalhado!$C$2:$C$433,"Umidade"))*(SUMIFS(Acerto_Detalhado!$I$2:$I$433,Acerto_Detalhado!$A$2:$A$433,$D3355,Acerto_Detalhado!$B$2:$B$433,"Set",Acerto_Detalhado!$C$2:$C$433,"Umidade")),2)</f>
        <v>0</v>
      </c>
    </row>
    <row r="3356" customFormat="false" ht="15" hidden="false" customHeight="false" outlineLevel="0" collapsed="false">
      <c r="A3356" s="27" t="s">
        <v>119</v>
      </c>
      <c r="B3356" s="27" t="s">
        <v>110</v>
      </c>
      <c r="C3356" s="27" t="s">
        <v>43</v>
      </c>
      <c r="D3356" s="27" t="s">
        <v>47</v>
      </c>
      <c r="E3356" s="28" t="n">
        <f aca="false">ROUND((SUMIFS(Acerto_Detalhado!$F$2:$F$433,Acerto_Detalhado!$A$2:$A$433,$C3356,Acerto_Detalhado!$B$2:$B$433,"Set",Acerto_Detalhado!$C$2:$C$433,"Umidade"))*(SUMIFS(Acerto_Detalhado!$I$2:$I$433,Acerto_Detalhado!$A$2:$A$433,$D3356,Acerto_Detalhado!$B$2:$B$433,"Set",Acerto_Detalhado!$C$2:$C$433,"Umidade")),2)</f>
        <v>0</v>
      </c>
    </row>
    <row r="3357" customFormat="false" ht="15" hidden="false" customHeight="false" outlineLevel="0" collapsed="false">
      <c r="A3357" s="27" t="s">
        <v>119</v>
      </c>
      <c r="B3357" s="27" t="s">
        <v>110</v>
      </c>
      <c r="C3357" s="27" t="s">
        <v>43</v>
      </c>
      <c r="D3357" s="27" t="s">
        <v>48</v>
      </c>
      <c r="E3357" s="28" t="n">
        <f aca="false">ROUND((SUMIFS(Acerto_Detalhado!$F$2:$F$433,Acerto_Detalhado!$A$2:$A$433,$C3357,Acerto_Detalhado!$B$2:$B$433,"Set",Acerto_Detalhado!$C$2:$C$433,"Umidade"))*(SUMIFS(Acerto_Detalhado!$I$2:$I$433,Acerto_Detalhado!$A$2:$A$433,$D3357,Acerto_Detalhado!$B$2:$B$433,"Set",Acerto_Detalhado!$C$2:$C$433,"Umidade")),2)</f>
        <v>0</v>
      </c>
    </row>
    <row r="3358" customFormat="false" ht="15" hidden="false" customHeight="false" outlineLevel="0" collapsed="false">
      <c r="A3358" s="27" t="s">
        <v>119</v>
      </c>
      <c r="B3358" s="27" t="s">
        <v>110</v>
      </c>
      <c r="C3358" s="27" t="s">
        <v>43</v>
      </c>
      <c r="D3358" s="27" t="s">
        <v>49</v>
      </c>
      <c r="E3358" s="28" t="n">
        <f aca="false">ROUND((SUMIFS(Acerto_Detalhado!$F$2:$F$433,Acerto_Detalhado!$A$2:$A$433,$C3358,Acerto_Detalhado!$B$2:$B$433,"Set",Acerto_Detalhado!$C$2:$C$433,"Umidade"))*(SUMIFS(Acerto_Detalhado!$I$2:$I$433,Acerto_Detalhado!$A$2:$A$433,$D3358,Acerto_Detalhado!$B$2:$B$433,"Set",Acerto_Detalhado!$C$2:$C$433,"Umidade")),2)</f>
        <v>0</v>
      </c>
    </row>
    <row r="3359" customFormat="false" ht="15" hidden="false" customHeight="false" outlineLevel="0" collapsed="false">
      <c r="A3359" s="27" t="s">
        <v>119</v>
      </c>
      <c r="B3359" s="27" t="s">
        <v>110</v>
      </c>
      <c r="C3359" s="27" t="s">
        <v>43</v>
      </c>
      <c r="D3359" s="27" t="s">
        <v>50</v>
      </c>
      <c r="E3359" s="28" t="n">
        <f aca="false">ROUND((SUMIFS(Acerto_Detalhado!$F$2:$F$433,Acerto_Detalhado!$A$2:$A$433,$C3359,Acerto_Detalhado!$B$2:$B$433,"Set",Acerto_Detalhado!$C$2:$C$433,"Umidade"))*(SUMIFS(Acerto_Detalhado!$I$2:$I$433,Acerto_Detalhado!$A$2:$A$433,$D3359,Acerto_Detalhado!$B$2:$B$433,"Set",Acerto_Detalhado!$C$2:$C$433,"Umidade")),2)</f>
        <v>0</v>
      </c>
    </row>
    <row r="3360" customFormat="false" ht="15" hidden="false" customHeight="false" outlineLevel="0" collapsed="false">
      <c r="A3360" s="27" t="s">
        <v>119</v>
      </c>
      <c r="B3360" s="27" t="s">
        <v>110</v>
      </c>
      <c r="C3360" s="27" t="s">
        <v>44</v>
      </c>
      <c r="D3360" s="27" t="s">
        <v>39</v>
      </c>
      <c r="E3360" s="28" t="n">
        <f aca="false">ROUND((SUMIFS(Acerto_Detalhado!$F$2:$F$433,Acerto_Detalhado!$A$2:$A$433,$C3360,Acerto_Detalhado!$B$2:$B$433,"Set",Acerto_Detalhado!$C$2:$C$433,"Umidade"))*(SUMIFS(Acerto_Detalhado!$I$2:$I$433,Acerto_Detalhado!$A$2:$A$433,$D3360,Acerto_Detalhado!$B$2:$B$433,"Set",Acerto_Detalhado!$C$2:$C$433,"Umidade")),2)</f>
        <v>0</v>
      </c>
    </row>
    <row r="3361" customFormat="false" ht="15" hidden="false" customHeight="false" outlineLevel="0" collapsed="false">
      <c r="A3361" s="27" t="s">
        <v>119</v>
      </c>
      <c r="B3361" s="27" t="s">
        <v>110</v>
      </c>
      <c r="C3361" s="27" t="s">
        <v>44</v>
      </c>
      <c r="D3361" s="27" t="s">
        <v>40</v>
      </c>
      <c r="E3361" s="28" t="n">
        <f aca="false">ROUND((SUMIFS(Acerto_Detalhado!$F$2:$F$433,Acerto_Detalhado!$A$2:$A$433,$C3361,Acerto_Detalhado!$B$2:$B$433,"Set",Acerto_Detalhado!$C$2:$C$433,"Umidade"))*(SUMIFS(Acerto_Detalhado!$I$2:$I$433,Acerto_Detalhado!$A$2:$A$433,$D3361,Acerto_Detalhado!$B$2:$B$433,"Set",Acerto_Detalhado!$C$2:$C$433,"Umidade")),2)</f>
        <v>0</v>
      </c>
    </row>
    <row r="3362" customFormat="false" ht="15" hidden="false" customHeight="false" outlineLevel="0" collapsed="false">
      <c r="A3362" s="27" t="s">
        <v>119</v>
      </c>
      <c r="B3362" s="27" t="s">
        <v>110</v>
      </c>
      <c r="C3362" s="27" t="s">
        <v>44</v>
      </c>
      <c r="D3362" s="27" t="s">
        <v>41</v>
      </c>
      <c r="E3362" s="28" t="n">
        <f aca="false">ROUND((SUMIFS(Acerto_Detalhado!$F$2:$F$433,Acerto_Detalhado!$A$2:$A$433,$C3362,Acerto_Detalhado!$B$2:$B$433,"Set",Acerto_Detalhado!$C$2:$C$433,"Umidade"))*(SUMIFS(Acerto_Detalhado!$I$2:$I$433,Acerto_Detalhado!$A$2:$A$433,$D3362,Acerto_Detalhado!$B$2:$B$433,"Set",Acerto_Detalhado!$C$2:$C$433,"Umidade")),2)</f>
        <v>0</v>
      </c>
    </row>
    <row r="3363" customFormat="false" ht="15" hidden="false" customHeight="false" outlineLevel="0" collapsed="false">
      <c r="A3363" s="27" t="s">
        <v>119</v>
      </c>
      <c r="B3363" s="27" t="s">
        <v>110</v>
      </c>
      <c r="C3363" s="27" t="s">
        <v>44</v>
      </c>
      <c r="D3363" s="27" t="s">
        <v>42</v>
      </c>
      <c r="E3363" s="28" t="n">
        <f aca="false">ROUND((SUMIFS(Acerto_Detalhado!$F$2:$F$433,Acerto_Detalhado!$A$2:$A$433,$C3363,Acerto_Detalhado!$B$2:$B$433,"Set",Acerto_Detalhado!$C$2:$C$433,"Umidade"))*(SUMIFS(Acerto_Detalhado!$I$2:$I$433,Acerto_Detalhado!$A$2:$A$433,$D3363,Acerto_Detalhado!$B$2:$B$433,"Set",Acerto_Detalhado!$C$2:$C$433,"Umidade")),2)</f>
        <v>0</v>
      </c>
    </row>
    <row r="3364" customFormat="false" ht="15" hidden="false" customHeight="false" outlineLevel="0" collapsed="false">
      <c r="A3364" s="27" t="s">
        <v>119</v>
      </c>
      <c r="B3364" s="27" t="s">
        <v>110</v>
      </c>
      <c r="C3364" s="27" t="s">
        <v>44</v>
      </c>
      <c r="D3364" s="27" t="s">
        <v>43</v>
      </c>
      <c r="E3364" s="28" t="n">
        <f aca="false">ROUND((SUMIFS(Acerto_Detalhado!$F$2:$F$433,Acerto_Detalhado!$A$2:$A$433,$C3364,Acerto_Detalhado!$B$2:$B$433,"Set",Acerto_Detalhado!$C$2:$C$433,"Umidade"))*(SUMIFS(Acerto_Detalhado!$I$2:$I$433,Acerto_Detalhado!$A$2:$A$433,$D3364,Acerto_Detalhado!$B$2:$B$433,"Set",Acerto_Detalhado!$C$2:$C$433,"Umidade")),2)</f>
        <v>0</v>
      </c>
    </row>
    <row r="3365" customFormat="false" ht="15" hidden="false" customHeight="false" outlineLevel="0" collapsed="false">
      <c r="A3365" s="27" t="s">
        <v>119</v>
      </c>
      <c r="B3365" s="27" t="s">
        <v>110</v>
      </c>
      <c r="C3365" s="27" t="s">
        <v>44</v>
      </c>
      <c r="D3365" s="27" t="s">
        <v>45</v>
      </c>
      <c r="E3365" s="28" t="n">
        <f aca="false">ROUND((SUMIFS(Acerto_Detalhado!$F$2:$F$433,Acerto_Detalhado!$A$2:$A$433,$C3365,Acerto_Detalhado!$B$2:$B$433,"Set",Acerto_Detalhado!$C$2:$C$433,"Umidade"))*(SUMIFS(Acerto_Detalhado!$I$2:$I$433,Acerto_Detalhado!$A$2:$A$433,$D3365,Acerto_Detalhado!$B$2:$B$433,"Set",Acerto_Detalhado!$C$2:$C$433,"Umidade")),2)</f>
        <v>0</v>
      </c>
    </row>
    <row r="3366" customFormat="false" ht="15" hidden="false" customHeight="false" outlineLevel="0" collapsed="false">
      <c r="A3366" s="27" t="s">
        <v>119</v>
      </c>
      <c r="B3366" s="27" t="s">
        <v>110</v>
      </c>
      <c r="C3366" s="27" t="s">
        <v>44</v>
      </c>
      <c r="D3366" s="27" t="s">
        <v>46</v>
      </c>
      <c r="E3366" s="28" t="n">
        <f aca="false">ROUND((SUMIFS(Acerto_Detalhado!$F$2:$F$433,Acerto_Detalhado!$A$2:$A$433,$C3366,Acerto_Detalhado!$B$2:$B$433,"Set",Acerto_Detalhado!$C$2:$C$433,"Umidade"))*(SUMIFS(Acerto_Detalhado!$I$2:$I$433,Acerto_Detalhado!$A$2:$A$433,$D3366,Acerto_Detalhado!$B$2:$B$433,"Set",Acerto_Detalhado!$C$2:$C$433,"Umidade")),2)</f>
        <v>0</v>
      </c>
    </row>
    <row r="3367" customFormat="false" ht="15" hidden="false" customHeight="false" outlineLevel="0" collapsed="false">
      <c r="A3367" s="27" t="s">
        <v>119</v>
      </c>
      <c r="B3367" s="27" t="s">
        <v>110</v>
      </c>
      <c r="C3367" s="27" t="s">
        <v>44</v>
      </c>
      <c r="D3367" s="27" t="s">
        <v>47</v>
      </c>
      <c r="E3367" s="28" t="n">
        <f aca="false">ROUND((SUMIFS(Acerto_Detalhado!$F$2:$F$433,Acerto_Detalhado!$A$2:$A$433,$C3367,Acerto_Detalhado!$B$2:$B$433,"Set",Acerto_Detalhado!$C$2:$C$433,"Umidade"))*(SUMIFS(Acerto_Detalhado!$I$2:$I$433,Acerto_Detalhado!$A$2:$A$433,$D3367,Acerto_Detalhado!$B$2:$B$433,"Set",Acerto_Detalhado!$C$2:$C$433,"Umidade")),2)</f>
        <v>0</v>
      </c>
    </row>
    <row r="3368" customFormat="false" ht="15" hidden="false" customHeight="false" outlineLevel="0" collapsed="false">
      <c r="A3368" s="27" t="s">
        <v>119</v>
      </c>
      <c r="B3368" s="27" t="s">
        <v>110</v>
      </c>
      <c r="C3368" s="27" t="s">
        <v>44</v>
      </c>
      <c r="D3368" s="27" t="s">
        <v>48</v>
      </c>
      <c r="E3368" s="28" t="n">
        <f aca="false">ROUND((SUMIFS(Acerto_Detalhado!$F$2:$F$433,Acerto_Detalhado!$A$2:$A$433,$C3368,Acerto_Detalhado!$B$2:$B$433,"Set",Acerto_Detalhado!$C$2:$C$433,"Umidade"))*(SUMIFS(Acerto_Detalhado!$I$2:$I$433,Acerto_Detalhado!$A$2:$A$433,$D3368,Acerto_Detalhado!$B$2:$B$433,"Set",Acerto_Detalhado!$C$2:$C$433,"Umidade")),2)</f>
        <v>0</v>
      </c>
    </row>
    <row r="3369" customFormat="false" ht="15" hidden="false" customHeight="false" outlineLevel="0" collapsed="false">
      <c r="A3369" s="27" t="s">
        <v>119</v>
      </c>
      <c r="B3369" s="27" t="s">
        <v>110</v>
      </c>
      <c r="C3369" s="27" t="s">
        <v>44</v>
      </c>
      <c r="D3369" s="27" t="s">
        <v>49</v>
      </c>
      <c r="E3369" s="28" t="n">
        <f aca="false">ROUND((SUMIFS(Acerto_Detalhado!$F$2:$F$433,Acerto_Detalhado!$A$2:$A$433,$C3369,Acerto_Detalhado!$B$2:$B$433,"Set",Acerto_Detalhado!$C$2:$C$433,"Umidade"))*(SUMIFS(Acerto_Detalhado!$I$2:$I$433,Acerto_Detalhado!$A$2:$A$433,$D3369,Acerto_Detalhado!$B$2:$B$433,"Set",Acerto_Detalhado!$C$2:$C$433,"Umidade")),2)</f>
        <v>0</v>
      </c>
    </row>
    <row r="3370" customFormat="false" ht="15" hidden="false" customHeight="false" outlineLevel="0" collapsed="false">
      <c r="A3370" s="27" t="s">
        <v>119</v>
      </c>
      <c r="B3370" s="27" t="s">
        <v>110</v>
      </c>
      <c r="C3370" s="27" t="s">
        <v>44</v>
      </c>
      <c r="D3370" s="27" t="s">
        <v>50</v>
      </c>
      <c r="E3370" s="28" t="n">
        <f aca="false">ROUND((SUMIFS(Acerto_Detalhado!$F$2:$F$433,Acerto_Detalhado!$A$2:$A$433,$C3370,Acerto_Detalhado!$B$2:$B$433,"Set",Acerto_Detalhado!$C$2:$C$433,"Umidade"))*(SUMIFS(Acerto_Detalhado!$I$2:$I$433,Acerto_Detalhado!$A$2:$A$433,$D3370,Acerto_Detalhado!$B$2:$B$433,"Set",Acerto_Detalhado!$C$2:$C$433,"Umidade")),2)</f>
        <v>0</v>
      </c>
    </row>
    <row r="3371" customFormat="false" ht="15" hidden="false" customHeight="false" outlineLevel="0" collapsed="false">
      <c r="A3371" s="27" t="s">
        <v>119</v>
      </c>
      <c r="B3371" s="27" t="s">
        <v>110</v>
      </c>
      <c r="C3371" s="27" t="s">
        <v>45</v>
      </c>
      <c r="D3371" s="27" t="s">
        <v>39</v>
      </c>
      <c r="E3371" s="28" t="n">
        <f aca="false">ROUND((SUMIFS(Acerto_Detalhado!$F$2:$F$433,Acerto_Detalhado!$A$2:$A$433,$C3371,Acerto_Detalhado!$B$2:$B$433,"Set",Acerto_Detalhado!$C$2:$C$433,"Umidade"))*(SUMIFS(Acerto_Detalhado!$I$2:$I$433,Acerto_Detalhado!$A$2:$A$433,$D3371,Acerto_Detalhado!$B$2:$B$433,"Set",Acerto_Detalhado!$C$2:$C$433,"Umidade")),2)</f>
        <v>0</v>
      </c>
    </row>
    <row r="3372" customFormat="false" ht="15" hidden="false" customHeight="false" outlineLevel="0" collapsed="false">
      <c r="A3372" s="27" t="s">
        <v>119</v>
      </c>
      <c r="B3372" s="27" t="s">
        <v>110</v>
      </c>
      <c r="C3372" s="27" t="s">
        <v>45</v>
      </c>
      <c r="D3372" s="27" t="s">
        <v>40</v>
      </c>
      <c r="E3372" s="28" t="n">
        <f aca="false">ROUND((SUMIFS(Acerto_Detalhado!$F$2:$F$433,Acerto_Detalhado!$A$2:$A$433,$C3372,Acerto_Detalhado!$B$2:$B$433,"Set",Acerto_Detalhado!$C$2:$C$433,"Umidade"))*(SUMIFS(Acerto_Detalhado!$I$2:$I$433,Acerto_Detalhado!$A$2:$A$433,$D3372,Acerto_Detalhado!$B$2:$B$433,"Set",Acerto_Detalhado!$C$2:$C$433,"Umidade")),2)</f>
        <v>0</v>
      </c>
    </row>
    <row r="3373" customFormat="false" ht="15" hidden="false" customHeight="false" outlineLevel="0" collapsed="false">
      <c r="A3373" s="27" t="s">
        <v>119</v>
      </c>
      <c r="B3373" s="27" t="s">
        <v>110</v>
      </c>
      <c r="C3373" s="27" t="s">
        <v>45</v>
      </c>
      <c r="D3373" s="27" t="s">
        <v>41</v>
      </c>
      <c r="E3373" s="28" t="n">
        <f aca="false">ROUND((SUMIFS(Acerto_Detalhado!$F$2:$F$433,Acerto_Detalhado!$A$2:$A$433,$C3373,Acerto_Detalhado!$B$2:$B$433,"Set",Acerto_Detalhado!$C$2:$C$433,"Umidade"))*(SUMIFS(Acerto_Detalhado!$I$2:$I$433,Acerto_Detalhado!$A$2:$A$433,$D3373,Acerto_Detalhado!$B$2:$B$433,"Set",Acerto_Detalhado!$C$2:$C$433,"Umidade")),2)</f>
        <v>0</v>
      </c>
    </row>
    <row r="3374" customFormat="false" ht="15" hidden="false" customHeight="false" outlineLevel="0" collapsed="false">
      <c r="A3374" s="27" t="s">
        <v>119</v>
      </c>
      <c r="B3374" s="27" t="s">
        <v>110</v>
      </c>
      <c r="C3374" s="27" t="s">
        <v>45</v>
      </c>
      <c r="D3374" s="27" t="s">
        <v>42</v>
      </c>
      <c r="E3374" s="28" t="n">
        <f aca="false">ROUND((SUMIFS(Acerto_Detalhado!$F$2:$F$433,Acerto_Detalhado!$A$2:$A$433,$C3374,Acerto_Detalhado!$B$2:$B$433,"Set",Acerto_Detalhado!$C$2:$C$433,"Umidade"))*(SUMIFS(Acerto_Detalhado!$I$2:$I$433,Acerto_Detalhado!$A$2:$A$433,$D3374,Acerto_Detalhado!$B$2:$B$433,"Set",Acerto_Detalhado!$C$2:$C$433,"Umidade")),2)</f>
        <v>0</v>
      </c>
    </row>
    <row r="3375" customFormat="false" ht="15" hidden="false" customHeight="false" outlineLevel="0" collapsed="false">
      <c r="A3375" s="27" t="s">
        <v>119</v>
      </c>
      <c r="B3375" s="27" t="s">
        <v>110</v>
      </c>
      <c r="C3375" s="27" t="s">
        <v>45</v>
      </c>
      <c r="D3375" s="27" t="s">
        <v>43</v>
      </c>
      <c r="E3375" s="28" t="n">
        <f aca="false">ROUND((SUMIFS(Acerto_Detalhado!$F$2:$F$433,Acerto_Detalhado!$A$2:$A$433,$C3375,Acerto_Detalhado!$B$2:$B$433,"Set",Acerto_Detalhado!$C$2:$C$433,"Umidade"))*(SUMIFS(Acerto_Detalhado!$I$2:$I$433,Acerto_Detalhado!$A$2:$A$433,$D3375,Acerto_Detalhado!$B$2:$B$433,"Set",Acerto_Detalhado!$C$2:$C$433,"Umidade")),2)</f>
        <v>0</v>
      </c>
    </row>
    <row r="3376" customFormat="false" ht="15" hidden="false" customHeight="false" outlineLevel="0" collapsed="false">
      <c r="A3376" s="27" t="s">
        <v>119</v>
      </c>
      <c r="B3376" s="27" t="s">
        <v>110</v>
      </c>
      <c r="C3376" s="27" t="s">
        <v>45</v>
      </c>
      <c r="D3376" s="27" t="s">
        <v>44</v>
      </c>
      <c r="E3376" s="28" t="n">
        <f aca="false">ROUND((SUMIFS(Acerto_Detalhado!$F$2:$F$433,Acerto_Detalhado!$A$2:$A$433,$C3376,Acerto_Detalhado!$B$2:$B$433,"Set",Acerto_Detalhado!$C$2:$C$433,"Umidade"))*(SUMIFS(Acerto_Detalhado!$I$2:$I$433,Acerto_Detalhado!$A$2:$A$433,$D3376,Acerto_Detalhado!$B$2:$B$433,"Set",Acerto_Detalhado!$C$2:$C$433,"Umidade")),2)</f>
        <v>0</v>
      </c>
    </row>
    <row r="3377" customFormat="false" ht="15" hidden="false" customHeight="false" outlineLevel="0" collapsed="false">
      <c r="A3377" s="27" t="s">
        <v>119</v>
      </c>
      <c r="B3377" s="27" t="s">
        <v>110</v>
      </c>
      <c r="C3377" s="27" t="s">
        <v>45</v>
      </c>
      <c r="D3377" s="27" t="s">
        <v>46</v>
      </c>
      <c r="E3377" s="28" t="n">
        <f aca="false">ROUND((SUMIFS(Acerto_Detalhado!$F$2:$F$433,Acerto_Detalhado!$A$2:$A$433,$C3377,Acerto_Detalhado!$B$2:$B$433,"Set",Acerto_Detalhado!$C$2:$C$433,"Umidade"))*(SUMIFS(Acerto_Detalhado!$I$2:$I$433,Acerto_Detalhado!$A$2:$A$433,$D3377,Acerto_Detalhado!$B$2:$B$433,"Set",Acerto_Detalhado!$C$2:$C$433,"Umidade")),2)</f>
        <v>0</v>
      </c>
    </row>
    <row r="3378" customFormat="false" ht="15" hidden="false" customHeight="false" outlineLevel="0" collapsed="false">
      <c r="A3378" s="27" t="s">
        <v>119</v>
      </c>
      <c r="B3378" s="27" t="s">
        <v>110</v>
      </c>
      <c r="C3378" s="27" t="s">
        <v>45</v>
      </c>
      <c r="D3378" s="27" t="s">
        <v>47</v>
      </c>
      <c r="E3378" s="28" t="n">
        <f aca="false">ROUND((SUMIFS(Acerto_Detalhado!$F$2:$F$433,Acerto_Detalhado!$A$2:$A$433,$C3378,Acerto_Detalhado!$B$2:$B$433,"Set",Acerto_Detalhado!$C$2:$C$433,"Umidade"))*(SUMIFS(Acerto_Detalhado!$I$2:$I$433,Acerto_Detalhado!$A$2:$A$433,$D3378,Acerto_Detalhado!$B$2:$B$433,"Set",Acerto_Detalhado!$C$2:$C$433,"Umidade")),2)</f>
        <v>0</v>
      </c>
    </row>
    <row r="3379" customFormat="false" ht="15" hidden="false" customHeight="false" outlineLevel="0" collapsed="false">
      <c r="A3379" s="27" t="s">
        <v>119</v>
      </c>
      <c r="B3379" s="27" t="s">
        <v>110</v>
      </c>
      <c r="C3379" s="27" t="s">
        <v>45</v>
      </c>
      <c r="D3379" s="27" t="s">
        <v>48</v>
      </c>
      <c r="E3379" s="28" t="n">
        <f aca="false">ROUND((SUMIFS(Acerto_Detalhado!$F$2:$F$433,Acerto_Detalhado!$A$2:$A$433,$C3379,Acerto_Detalhado!$B$2:$B$433,"Set",Acerto_Detalhado!$C$2:$C$433,"Umidade"))*(SUMIFS(Acerto_Detalhado!$I$2:$I$433,Acerto_Detalhado!$A$2:$A$433,$D3379,Acerto_Detalhado!$B$2:$B$433,"Set",Acerto_Detalhado!$C$2:$C$433,"Umidade")),2)</f>
        <v>0</v>
      </c>
    </row>
    <row r="3380" customFormat="false" ht="15" hidden="false" customHeight="false" outlineLevel="0" collapsed="false">
      <c r="A3380" s="27" t="s">
        <v>119</v>
      </c>
      <c r="B3380" s="27" t="s">
        <v>110</v>
      </c>
      <c r="C3380" s="27" t="s">
        <v>45</v>
      </c>
      <c r="D3380" s="27" t="s">
        <v>49</v>
      </c>
      <c r="E3380" s="28" t="n">
        <f aca="false">ROUND((SUMIFS(Acerto_Detalhado!$F$2:$F$433,Acerto_Detalhado!$A$2:$A$433,$C3380,Acerto_Detalhado!$B$2:$B$433,"Set",Acerto_Detalhado!$C$2:$C$433,"Umidade"))*(SUMIFS(Acerto_Detalhado!$I$2:$I$433,Acerto_Detalhado!$A$2:$A$433,$D3380,Acerto_Detalhado!$B$2:$B$433,"Set",Acerto_Detalhado!$C$2:$C$433,"Umidade")),2)</f>
        <v>0</v>
      </c>
    </row>
    <row r="3381" customFormat="false" ht="15" hidden="false" customHeight="false" outlineLevel="0" collapsed="false">
      <c r="A3381" s="27" t="s">
        <v>119</v>
      </c>
      <c r="B3381" s="27" t="s">
        <v>110</v>
      </c>
      <c r="C3381" s="27" t="s">
        <v>45</v>
      </c>
      <c r="D3381" s="27" t="s">
        <v>50</v>
      </c>
      <c r="E3381" s="28" t="n">
        <f aca="false">ROUND((SUMIFS(Acerto_Detalhado!$F$2:$F$433,Acerto_Detalhado!$A$2:$A$433,$C3381,Acerto_Detalhado!$B$2:$B$433,"Set",Acerto_Detalhado!$C$2:$C$433,"Umidade"))*(SUMIFS(Acerto_Detalhado!$I$2:$I$433,Acerto_Detalhado!$A$2:$A$433,$D3381,Acerto_Detalhado!$B$2:$B$433,"Set",Acerto_Detalhado!$C$2:$C$433,"Umidade")),2)</f>
        <v>0</v>
      </c>
    </row>
    <row r="3382" customFormat="false" ht="15" hidden="false" customHeight="false" outlineLevel="0" collapsed="false">
      <c r="A3382" s="27" t="s">
        <v>119</v>
      </c>
      <c r="B3382" s="27" t="s">
        <v>110</v>
      </c>
      <c r="C3382" s="27" t="s">
        <v>46</v>
      </c>
      <c r="D3382" s="27" t="s">
        <v>39</v>
      </c>
      <c r="E3382" s="28" t="n">
        <f aca="false">ROUND((SUMIFS(Acerto_Detalhado!$F$2:$F$433,Acerto_Detalhado!$A$2:$A$433,$C3382,Acerto_Detalhado!$B$2:$B$433,"Set",Acerto_Detalhado!$C$2:$C$433,"Umidade"))*(SUMIFS(Acerto_Detalhado!$I$2:$I$433,Acerto_Detalhado!$A$2:$A$433,$D3382,Acerto_Detalhado!$B$2:$B$433,"Set",Acerto_Detalhado!$C$2:$C$433,"Umidade")),2)</f>
        <v>14.84</v>
      </c>
    </row>
    <row r="3383" customFormat="false" ht="15" hidden="false" customHeight="false" outlineLevel="0" collapsed="false">
      <c r="A3383" s="27" t="s">
        <v>119</v>
      </c>
      <c r="B3383" s="27" t="s">
        <v>110</v>
      </c>
      <c r="C3383" s="27" t="s">
        <v>46</v>
      </c>
      <c r="D3383" s="27" t="s">
        <v>40</v>
      </c>
      <c r="E3383" s="28" t="n">
        <f aca="false">ROUND((SUMIFS(Acerto_Detalhado!$F$2:$F$433,Acerto_Detalhado!$A$2:$A$433,$C3383,Acerto_Detalhado!$B$2:$B$433,"Set",Acerto_Detalhado!$C$2:$C$433,"Umidade"))*(SUMIFS(Acerto_Detalhado!$I$2:$I$433,Acerto_Detalhado!$A$2:$A$433,$D3383,Acerto_Detalhado!$B$2:$B$433,"Set",Acerto_Detalhado!$C$2:$C$433,"Umidade")),2)</f>
        <v>60.81</v>
      </c>
    </row>
    <row r="3384" customFormat="false" ht="15" hidden="false" customHeight="false" outlineLevel="0" collapsed="false">
      <c r="A3384" s="27" t="s">
        <v>119</v>
      </c>
      <c r="B3384" s="27" t="s">
        <v>110</v>
      </c>
      <c r="C3384" s="27" t="s">
        <v>46</v>
      </c>
      <c r="D3384" s="27" t="s">
        <v>41</v>
      </c>
      <c r="E3384" s="28" t="n">
        <f aca="false">ROUND((SUMIFS(Acerto_Detalhado!$F$2:$F$433,Acerto_Detalhado!$A$2:$A$433,$C3384,Acerto_Detalhado!$B$2:$B$433,"Set",Acerto_Detalhado!$C$2:$C$433,"Umidade"))*(SUMIFS(Acerto_Detalhado!$I$2:$I$433,Acerto_Detalhado!$A$2:$A$433,$D3384,Acerto_Detalhado!$B$2:$B$433,"Set",Acerto_Detalhado!$C$2:$C$433,"Umidade")),2)</f>
        <v>0</v>
      </c>
    </row>
    <row r="3385" customFormat="false" ht="15" hidden="false" customHeight="false" outlineLevel="0" collapsed="false">
      <c r="A3385" s="27" t="s">
        <v>119</v>
      </c>
      <c r="B3385" s="27" t="s">
        <v>110</v>
      </c>
      <c r="C3385" s="27" t="s">
        <v>46</v>
      </c>
      <c r="D3385" s="27" t="s">
        <v>42</v>
      </c>
      <c r="E3385" s="28" t="n">
        <f aca="false">ROUND((SUMIFS(Acerto_Detalhado!$F$2:$F$433,Acerto_Detalhado!$A$2:$A$433,$C3385,Acerto_Detalhado!$B$2:$B$433,"Set",Acerto_Detalhado!$C$2:$C$433,"Umidade"))*(SUMIFS(Acerto_Detalhado!$I$2:$I$433,Acerto_Detalhado!$A$2:$A$433,$D3385,Acerto_Detalhado!$B$2:$B$433,"Set",Acerto_Detalhado!$C$2:$C$433,"Umidade")),2)</f>
        <v>1.52</v>
      </c>
    </row>
    <row r="3386" customFormat="false" ht="15" hidden="false" customHeight="false" outlineLevel="0" collapsed="false">
      <c r="A3386" s="27" t="s">
        <v>119</v>
      </c>
      <c r="B3386" s="27" t="s">
        <v>110</v>
      </c>
      <c r="C3386" s="27" t="s">
        <v>46</v>
      </c>
      <c r="D3386" s="27" t="s">
        <v>43</v>
      </c>
      <c r="E3386" s="28" t="n">
        <f aca="false">ROUND((SUMIFS(Acerto_Detalhado!$F$2:$F$433,Acerto_Detalhado!$A$2:$A$433,$C3386,Acerto_Detalhado!$B$2:$B$433,"Set",Acerto_Detalhado!$C$2:$C$433,"Umidade"))*(SUMIFS(Acerto_Detalhado!$I$2:$I$433,Acerto_Detalhado!$A$2:$A$433,$D3386,Acerto_Detalhado!$B$2:$B$433,"Set",Acerto_Detalhado!$C$2:$C$433,"Umidade")),2)</f>
        <v>0</v>
      </c>
    </row>
    <row r="3387" customFormat="false" ht="15" hidden="false" customHeight="false" outlineLevel="0" collapsed="false">
      <c r="A3387" s="27" t="s">
        <v>119</v>
      </c>
      <c r="B3387" s="27" t="s">
        <v>110</v>
      </c>
      <c r="C3387" s="27" t="s">
        <v>46</v>
      </c>
      <c r="D3387" s="27" t="s">
        <v>44</v>
      </c>
      <c r="E3387" s="28" t="n">
        <f aca="false">ROUND((SUMIFS(Acerto_Detalhado!$F$2:$F$433,Acerto_Detalhado!$A$2:$A$433,$C3387,Acerto_Detalhado!$B$2:$B$433,"Set",Acerto_Detalhado!$C$2:$C$433,"Umidade"))*(SUMIFS(Acerto_Detalhado!$I$2:$I$433,Acerto_Detalhado!$A$2:$A$433,$D3387,Acerto_Detalhado!$B$2:$B$433,"Set",Acerto_Detalhado!$C$2:$C$433,"Umidade")),2)</f>
        <v>33.87</v>
      </c>
    </row>
    <row r="3388" customFormat="false" ht="15" hidden="false" customHeight="false" outlineLevel="0" collapsed="false">
      <c r="A3388" s="27" t="s">
        <v>119</v>
      </c>
      <c r="B3388" s="27" t="s">
        <v>110</v>
      </c>
      <c r="C3388" s="27" t="s">
        <v>46</v>
      </c>
      <c r="D3388" s="27" t="s">
        <v>45</v>
      </c>
      <c r="E3388" s="28" t="n">
        <f aca="false">ROUND((SUMIFS(Acerto_Detalhado!$F$2:$F$433,Acerto_Detalhado!$A$2:$A$433,$C3388,Acerto_Detalhado!$B$2:$B$433,"Set",Acerto_Detalhado!$C$2:$C$433,"Umidade"))*(SUMIFS(Acerto_Detalhado!$I$2:$I$433,Acerto_Detalhado!$A$2:$A$433,$D3388,Acerto_Detalhado!$B$2:$B$433,"Set",Acerto_Detalhado!$C$2:$C$433,"Umidade")),2)</f>
        <v>132.22</v>
      </c>
    </row>
    <row r="3389" customFormat="false" ht="15" hidden="false" customHeight="false" outlineLevel="0" collapsed="false">
      <c r="A3389" s="27" t="s">
        <v>119</v>
      </c>
      <c r="B3389" s="27" t="s">
        <v>110</v>
      </c>
      <c r="C3389" s="27" t="s">
        <v>46</v>
      </c>
      <c r="D3389" s="27" t="s">
        <v>47</v>
      </c>
      <c r="E3389" s="28" t="n">
        <f aca="false">ROUND((SUMIFS(Acerto_Detalhado!$F$2:$F$433,Acerto_Detalhado!$A$2:$A$433,$C3389,Acerto_Detalhado!$B$2:$B$433,"Set",Acerto_Detalhado!$C$2:$C$433,"Umidade"))*(SUMIFS(Acerto_Detalhado!$I$2:$I$433,Acerto_Detalhado!$A$2:$A$433,$D3389,Acerto_Detalhado!$B$2:$B$433,"Set",Acerto_Detalhado!$C$2:$C$433,"Umidade")),2)</f>
        <v>0</v>
      </c>
    </row>
    <row r="3390" customFormat="false" ht="15" hidden="false" customHeight="false" outlineLevel="0" collapsed="false">
      <c r="A3390" s="27" t="s">
        <v>119</v>
      </c>
      <c r="B3390" s="27" t="s">
        <v>110</v>
      </c>
      <c r="C3390" s="27" t="s">
        <v>46</v>
      </c>
      <c r="D3390" s="27" t="s">
        <v>48</v>
      </c>
      <c r="E3390" s="28" t="n">
        <f aca="false">ROUND((SUMIFS(Acerto_Detalhado!$F$2:$F$433,Acerto_Detalhado!$A$2:$A$433,$C3390,Acerto_Detalhado!$B$2:$B$433,"Set",Acerto_Detalhado!$C$2:$C$433,"Umidade"))*(SUMIFS(Acerto_Detalhado!$I$2:$I$433,Acerto_Detalhado!$A$2:$A$433,$D3390,Acerto_Detalhado!$B$2:$B$433,"Set",Acerto_Detalhado!$C$2:$C$433,"Umidade")),2)</f>
        <v>0</v>
      </c>
    </row>
    <row r="3391" customFormat="false" ht="15" hidden="false" customHeight="false" outlineLevel="0" collapsed="false">
      <c r="A3391" s="27" t="s">
        <v>119</v>
      </c>
      <c r="B3391" s="27" t="s">
        <v>110</v>
      </c>
      <c r="C3391" s="27" t="s">
        <v>46</v>
      </c>
      <c r="D3391" s="27" t="s">
        <v>49</v>
      </c>
      <c r="E3391" s="28" t="n">
        <f aca="false">ROUND((SUMIFS(Acerto_Detalhado!$F$2:$F$433,Acerto_Detalhado!$A$2:$A$433,$C3391,Acerto_Detalhado!$B$2:$B$433,"Set",Acerto_Detalhado!$C$2:$C$433,"Umidade"))*(SUMIFS(Acerto_Detalhado!$I$2:$I$433,Acerto_Detalhado!$A$2:$A$433,$D3391,Acerto_Detalhado!$B$2:$B$433,"Set",Acerto_Detalhado!$C$2:$C$433,"Umidade")),2)</f>
        <v>0</v>
      </c>
    </row>
    <row r="3392" customFormat="false" ht="15" hidden="false" customHeight="false" outlineLevel="0" collapsed="false">
      <c r="A3392" s="27" t="s">
        <v>119</v>
      </c>
      <c r="B3392" s="27" t="s">
        <v>110</v>
      </c>
      <c r="C3392" s="27" t="s">
        <v>46</v>
      </c>
      <c r="D3392" s="27" t="s">
        <v>50</v>
      </c>
      <c r="E3392" s="28" t="n">
        <f aca="false">ROUND((SUMIFS(Acerto_Detalhado!$F$2:$F$433,Acerto_Detalhado!$A$2:$A$433,$C3392,Acerto_Detalhado!$B$2:$B$433,"Set",Acerto_Detalhado!$C$2:$C$433,"Umidade"))*(SUMIFS(Acerto_Detalhado!$I$2:$I$433,Acerto_Detalhado!$A$2:$A$433,$D3392,Acerto_Detalhado!$B$2:$B$433,"Set",Acerto_Detalhado!$C$2:$C$433,"Umidade")),2)</f>
        <v>0</v>
      </c>
    </row>
    <row r="3393" customFormat="false" ht="15" hidden="false" customHeight="false" outlineLevel="0" collapsed="false">
      <c r="A3393" s="27" t="s">
        <v>119</v>
      </c>
      <c r="B3393" s="27" t="s">
        <v>110</v>
      </c>
      <c r="C3393" s="27" t="s">
        <v>47</v>
      </c>
      <c r="D3393" s="27" t="s">
        <v>39</v>
      </c>
      <c r="E3393" s="28" t="n">
        <f aca="false">ROUND((SUMIFS(Acerto_Detalhado!$F$2:$F$433,Acerto_Detalhado!$A$2:$A$433,$C3393,Acerto_Detalhado!$B$2:$B$433,"Set",Acerto_Detalhado!$C$2:$C$433,"Umidade"))*(SUMIFS(Acerto_Detalhado!$I$2:$I$433,Acerto_Detalhado!$A$2:$A$433,$D3393,Acerto_Detalhado!$B$2:$B$433,"Set",Acerto_Detalhado!$C$2:$C$433,"Umidade")),2)</f>
        <v>0</v>
      </c>
    </row>
    <row r="3394" customFormat="false" ht="15" hidden="false" customHeight="false" outlineLevel="0" collapsed="false">
      <c r="A3394" s="27" t="s">
        <v>119</v>
      </c>
      <c r="B3394" s="27" t="s">
        <v>110</v>
      </c>
      <c r="C3394" s="27" t="s">
        <v>47</v>
      </c>
      <c r="D3394" s="27" t="s">
        <v>40</v>
      </c>
      <c r="E3394" s="28" t="n">
        <f aca="false">ROUND((SUMIFS(Acerto_Detalhado!$F$2:$F$433,Acerto_Detalhado!$A$2:$A$433,$C3394,Acerto_Detalhado!$B$2:$B$433,"Set",Acerto_Detalhado!$C$2:$C$433,"Umidade"))*(SUMIFS(Acerto_Detalhado!$I$2:$I$433,Acerto_Detalhado!$A$2:$A$433,$D3394,Acerto_Detalhado!$B$2:$B$433,"Set",Acerto_Detalhado!$C$2:$C$433,"Umidade")),2)</f>
        <v>0</v>
      </c>
    </row>
    <row r="3395" customFormat="false" ht="15" hidden="false" customHeight="false" outlineLevel="0" collapsed="false">
      <c r="A3395" s="27" t="s">
        <v>119</v>
      </c>
      <c r="B3395" s="27" t="s">
        <v>110</v>
      </c>
      <c r="C3395" s="27" t="s">
        <v>47</v>
      </c>
      <c r="D3395" s="27" t="s">
        <v>41</v>
      </c>
      <c r="E3395" s="28" t="n">
        <f aca="false">ROUND((SUMIFS(Acerto_Detalhado!$F$2:$F$433,Acerto_Detalhado!$A$2:$A$433,$C3395,Acerto_Detalhado!$B$2:$B$433,"Set",Acerto_Detalhado!$C$2:$C$433,"Umidade"))*(SUMIFS(Acerto_Detalhado!$I$2:$I$433,Acerto_Detalhado!$A$2:$A$433,$D3395,Acerto_Detalhado!$B$2:$B$433,"Set",Acerto_Detalhado!$C$2:$C$433,"Umidade")),2)</f>
        <v>0</v>
      </c>
    </row>
    <row r="3396" customFormat="false" ht="15" hidden="false" customHeight="false" outlineLevel="0" collapsed="false">
      <c r="A3396" s="27" t="s">
        <v>119</v>
      </c>
      <c r="B3396" s="27" t="s">
        <v>110</v>
      </c>
      <c r="C3396" s="27" t="s">
        <v>47</v>
      </c>
      <c r="D3396" s="27" t="s">
        <v>42</v>
      </c>
      <c r="E3396" s="28" t="n">
        <f aca="false">ROUND((SUMIFS(Acerto_Detalhado!$F$2:$F$433,Acerto_Detalhado!$A$2:$A$433,$C3396,Acerto_Detalhado!$B$2:$B$433,"Set",Acerto_Detalhado!$C$2:$C$433,"Umidade"))*(SUMIFS(Acerto_Detalhado!$I$2:$I$433,Acerto_Detalhado!$A$2:$A$433,$D3396,Acerto_Detalhado!$B$2:$B$433,"Set",Acerto_Detalhado!$C$2:$C$433,"Umidade")),2)</f>
        <v>0</v>
      </c>
    </row>
    <row r="3397" customFormat="false" ht="15" hidden="false" customHeight="false" outlineLevel="0" collapsed="false">
      <c r="A3397" s="27" t="s">
        <v>119</v>
      </c>
      <c r="B3397" s="27" t="s">
        <v>110</v>
      </c>
      <c r="C3397" s="27" t="s">
        <v>47</v>
      </c>
      <c r="D3397" s="27" t="s">
        <v>43</v>
      </c>
      <c r="E3397" s="28" t="n">
        <f aca="false">ROUND((SUMIFS(Acerto_Detalhado!$F$2:$F$433,Acerto_Detalhado!$A$2:$A$433,$C3397,Acerto_Detalhado!$B$2:$B$433,"Set",Acerto_Detalhado!$C$2:$C$433,"Umidade"))*(SUMIFS(Acerto_Detalhado!$I$2:$I$433,Acerto_Detalhado!$A$2:$A$433,$D3397,Acerto_Detalhado!$B$2:$B$433,"Set",Acerto_Detalhado!$C$2:$C$433,"Umidade")),2)</f>
        <v>0</v>
      </c>
    </row>
    <row r="3398" customFormat="false" ht="15" hidden="false" customHeight="false" outlineLevel="0" collapsed="false">
      <c r="A3398" s="27" t="s">
        <v>119</v>
      </c>
      <c r="B3398" s="27" t="s">
        <v>110</v>
      </c>
      <c r="C3398" s="27" t="s">
        <v>47</v>
      </c>
      <c r="D3398" s="27" t="s">
        <v>44</v>
      </c>
      <c r="E3398" s="28" t="n">
        <f aca="false">ROUND((SUMIFS(Acerto_Detalhado!$F$2:$F$433,Acerto_Detalhado!$A$2:$A$433,$C3398,Acerto_Detalhado!$B$2:$B$433,"Set",Acerto_Detalhado!$C$2:$C$433,"Umidade"))*(SUMIFS(Acerto_Detalhado!$I$2:$I$433,Acerto_Detalhado!$A$2:$A$433,$D3398,Acerto_Detalhado!$B$2:$B$433,"Set",Acerto_Detalhado!$C$2:$C$433,"Umidade")),2)</f>
        <v>0</v>
      </c>
    </row>
    <row r="3399" customFormat="false" ht="15" hidden="false" customHeight="false" outlineLevel="0" collapsed="false">
      <c r="A3399" s="27" t="s">
        <v>119</v>
      </c>
      <c r="B3399" s="27" t="s">
        <v>110</v>
      </c>
      <c r="C3399" s="27" t="s">
        <v>47</v>
      </c>
      <c r="D3399" s="27" t="s">
        <v>45</v>
      </c>
      <c r="E3399" s="28" t="n">
        <f aca="false">ROUND((SUMIFS(Acerto_Detalhado!$F$2:$F$433,Acerto_Detalhado!$A$2:$A$433,$C3399,Acerto_Detalhado!$B$2:$B$433,"Set",Acerto_Detalhado!$C$2:$C$433,"Umidade"))*(SUMIFS(Acerto_Detalhado!$I$2:$I$433,Acerto_Detalhado!$A$2:$A$433,$D3399,Acerto_Detalhado!$B$2:$B$433,"Set",Acerto_Detalhado!$C$2:$C$433,"Umidade")),2)</f>
        <v>0</v>
      </c>
    </row>
    <row r="3400" customFormat="false" ht="15" hidden="false" customHeight="false" outlineLevel="0" collapsed="false">
      <c r="A3400" s="27" t="s">
        <v>119</v>
      </c>
      <c r="B3400" s="27" t="s">
        <v>110</v>
      </c>
      <c r="C3400" s="27" t="s">
        <v>47</v>
      </c>
      <c r="D3400" s="27" t="s">
        <v>46</v>
      </c>
      <c r="E3400" s="28" t="n">
        <f aca="false">ROUND((SUMIFS(Acerto_Detalhado!$F$2:$F$433,Acerto_Detalhado!$A$2:$A$433,$C3400,Acerto_Detalhado!$B$2:$B$433,"Set",Acerto_Detalhado!$C$2:$C$433,"Umidade"))*(SUMIFS(Acerto_Detalhado!$I$2:$I$433,Acerto_Detalhado!$A$2:$A$433,$D3400,Acerto_Detalhado!$B$2:$B$433,"Set",Acerto_Detalhado!$C$2:$C$433,"Umidade")),2)</f>
        <v>0</v>
      </c>
    </row>
    <row r="3401" customFormat="false" ht="15" hidden="false" customHeight="false" outlineLevel="0" collapsed="false">
      <c r="A3401" s="27" t="s">
        <v>119</v>
      </c>
      <c r="B3401" s="27" t="s">
        <v>110</v>
      </c>
      <c r="C3401" s="27" t="s">
        <v>47</v>
      </c>
      <c r="D3401" s="27" t="s">
        <v>48</v>
      </c>
      <c r="E3401" s="28" t="n">
        <f aca="false">ROUND((SUMIFS(Acerto_Detalhado!$F$2:$F$433,Acerto_Detalhado!$A$2:$A$433,$C3401,Acerto_Detalhado!$B$2:$B$433,"Set",Acerto_Detalhado!$C$2:$C$433,"Umidade"))*(SUMIFS(Acerto_Detalhado!$I$2:$I$433,Acerto_Detalhado!$A$2:$A$433,$D3401,Acerto_Detalhado!$B$2:$B$433,"Set",Acerto_Detalhado!$C$2:$C$433,"Umidade")),2)</f>
        <v>0</v>
      </c>
    </row>
    <row r="3402" customFormat="false" ht="15" hidden="false" customHeight="false" outlineLevel="0" collapsed="false">
      <c r="A3402" s="27" t="s">
        <v>119</v>
      </c>
      <c r="B3402" s="27" t="s">
        <v>110</v>
      </c>
      <c r="C3402" s="27" t="s">
        <v>47</v>
      </c>
      <c r="D3402" s="27" t="s">
        <v>49</v>
      </c>
      <c r="E3402" s="28" t="n">
        <f aca="false">ROUND((SUMIFS(Acerto_Detalhado!$F$2:$F$433,Acerto_Detalhado!$A$2:$A$433,$C3402,Acerto_Detalhado!$B$2:$B$433,"Set",Acerto_Detalhado!$C$2:$C$433,"Umidade"))*(SUMIFS(Acerto_Detalhado!$I$2:$I$433,Acerto_Detalhado!$A$2:$A$433,$D3402,Acerto_Detalhado!$B$2:$B$433,"Set",Acerto_Detalhado!$C$2:$C$433,"Umidade")),2)</f>
        <v>0</v>
      </c>
    </row>
    <row r="3403" customFormat="false" ht="15" hidden="false" customHeight="false" outlineLevel="0" collapsed="false">
      <c r="A3403" s="27" t="s">
        <v>119</v>
      </c>
      <c r="B3403" s="27" t="s">
        <v>110</v>
      </c>
      <c r="C3403" s="27" t="s">
        <v>47</v>
      </c>
      <c r="D3403" s="27" t="s">
        <v>50</v>
      </c>
      <c r="E3403" s="28" t="n">
        <f aca="false">ROUND((SUMIFS(Acerto_Detalhado!$F$2:$F$433,Acerto_Detalhado!$A$2:$A$433,$C3403,Acerto_Detalhado!$B$2:$B$433,"Set",Acerto_Detalhado!$C$2:$C$433,"Umidade"))*(SUMIFS(Acerto_Detalhado!$I$2:$I$433,Acerto_Detalhado!$A$2:$A$433,$D3403,Acerto_Detalhado!$B$2:$B$433,"Set",Acerto_Detalhado!$C$2:$C$433,"Umidade")),2)</f>
        <v>0</v>
      </c>
    </row>
    <row r="3404" customFormat="false" ht="15" hidden="false" customHeight="false" outlineLevel="0" collapsed="false">
      <c r="A3404" s="27" t="s">
        <v>119</v>
      </c>
      <c r="B3404" s="27" t="s">
        <v>110</v>
      </c>
      <c r="C3404" s="27" t="s">
        <v>48</v>
      </c>
      <c r="D3404" s="27" t="s">
        <v>39</v>
      </c>
      <c r="E3404" s="28" t="n">
        <f aca="false">ROUND((SUMIFS(Acerto_Detalhado!$F$2:$F$433,Acerto_Detalhado!$A$2:$A$433,$C3404,Acerto_Detalhado!$B$2:$B$433,"Set",Acerto_Detalhado!$C$2:$C$433,"Umidade"))*(SUMIFS(Acerto_Detalhado!$I$2:$I$433,Acerto_Detalhado!$A$2:$A$433,$D3404,Acerto_Detalhado!$B$2:$B$433,"Set",Acerto_Detalhado!$C$2:$C$433,"Umidade")),2)</f>
        <v>282.7</v>
      </c>
    </row>
    <row r="3405" customFormat="false" ht="15" hidden="false" customHeight="false" outlineLevel="0" collapsed="false">
      <c r="A3405" s="27" t="s">
        <v>119</v>
      </c>
      <c r="B3405" s="27" t="s">
        <v>110</v>
      </c>
      <c r="C3405" s="27" t="s">
        <v>48</v>
      </c>
      <c r="D3405" s="27" t="s">
        <v>40</v>
      </c>
      <c r="E3405" s="28" t="n">
        <f aca="false">ROUND((SUMIFS(Acerto_Detalhado!$F$2:$F$433,Acerto_Detalhado!$A$2:$A$433,$C3405,Acerto_Detalhado!$B$2:$B$433,"Set",Acerto_Detalhado!$C$2:$C$433,"Umidade"))*(SUMIFS(Acerto_Detalhado!$I$2:$I$433,Acerto_Detalhado!$A$2:$A$433,$D3405,Acerto_Detalhado!$B$2:$B$433,"Set",Acerto_Detalhado!$C$2:$C$433,"Umidade")),2)</f>
        <v>1158.39</v>
      </c>
    </row>
    <row r="3406" customFormat="false" ht="15" hidden="false" customHeight="false" outlineLevel="0" collapsed="false">
      <c r="A3406" s="27" t="s">
        <v>119</v>
      </c>
      <c r="B3406" s="27" t="s">
        <v>110</v>
      </c>
      <c r="C3406" s="27" t="s">
        <v>48</v>
      </c>
      <c r="D3406" s="27" t="s">
        <v>41</v>
      </c>
      <c r="E3406" s="28" t="n">
        <f aca="false">ROUND((SUMIFS(Acerto_Detalhado!$F$2:$F$433,Acerto_Detalhado!$A$2:$A$433,$C3406,Acerto_Detalhado!$B$2:$B$433,"Set",Acerto_Detalhado!$C$2:$C$433,"Umidade"))*(SUMIFS(Acerto_Detalhado!$I$2:$I$433,Acerto_Detalhado!$A$2:$A$433,$D3406,Acerto_Detalhado!$B$2:$B$433,"Set",Acerto_Detalhado!$C$2:$C$433,"Umidade")),2)</f>
        <v>0</v>
      </c>
    </row>
    <row r="3407" customFormat="false" ht="15" hidden="false" customHeight="false" outlineLevel="0" collapsed="false">
      <c r="A3407" s="27" t="s">
        <v>119</v>
      </c>
      <c r="B3407" s="27" t="s">
        <v>110</v>
      </c>
      <c r="C3407" s="27" t="s">
        <v>48</v>
      </c>
      <c r="D3407" s="27" t="s">
        <v>42</v>
      </c>
      <c r="E3407" s="28" t="n">
        <f aca="false">ROUND((SUMIFS(Acerto_Detalhado!$F$2:$F$433,Acerto_Detalhado!$A$2:$A$433,$C3407,Acerto_Detalhado!$B$2:$B$433,"Set",Acerto_Detalhado!$C$2:$C$433,"Umidade"))*(SUMIFS(Acerto_Detalhado!$I$2:$I$433,Acerto_Detalhado!$A$2:$A$433,$D3407,Acerto_Detalhado!$B$2:$B$433,"Set",Acerto_Detalhado!$C$2:$C$433,"Umidade")),2)</f>
        <v>28.95</v>
      </c>
    </row>
    <row r="3408" customFormat="false" ht="15" hidden="false" customHeight="false" outlineLevel="0" collapsed="false">
      <c r="A3408" s="27" t="s">
        <v>119</v>
      </c>
      <c r="B3408" s="27" t="s">
        <v>110</v>
      </c>
      <c r="C3408" s="27" t="s">
        <v>48</v>
      </c>
      <c r="D3408" s="27" t="s">
        <v>43</v>
      </c>
      <c r="E3408" s="28" t="n">
        <f aca="false">ROUND((SUMIFS(Acerto_Detalhado!$F$2:$F$433,Acerto_Detalhado!$A$2:$A$433,$C3408,Acerto_Detalhado!$B$2:$B$433,"Set",Acerto_Detalhado!$C$2:$C$433,"Umidade"))*(SUMIFS(Acerto_Detalhado!$I$2:$I$433,Acerto_Detalhado!$A$2:$A$433,$D3408,Acerto_Detalhado!$B$2:$B$433,"Set",Acerto_Detalhado!$C$2:$C$433,"Umidade")),2)</f>
        <v>0</v>
      </c>
    </row>
    <row r="3409" customFormat="false" ht="15" hidden="false" customHeight="false" outlineLevel="0" collapsed="false">
      <c r="A3409" s="27" t="s">
        <v>119</v>
      </c>
      <c r="B3409" s="27" t="s">
        <v>110</v>
      </c>
      <c r="C3409" s="27" t="s">
        <v>48</v>
      </c>
      <c r="D3409" s="27" t="s">
        <v>44</v>
      </c>
      <c r="E3409" s="28" t="n">
        <f aca="false">ROUND((SUMIFS(Acerto_Detalhado!$F$2:$F$433,Acerto_Detalhado!$A$2:$A$433,$C3409,Acerto_Detalhado!$B$2:$B$433,"Set",Acerto_Detalhado!$C$2:$C$433,"Umidade"))*(SUMIFS(Acerto_Detalhado!$I$2:$I$433,Acerto_Detalhado!$A$2:$A$433,$D3409,Acerto_Detalhado!$B$2:$B$433,"Set",Acerto_Detalhado!$C$2:$C$433,"Umidade")),2)</f>
        <v>645.24</v>
      </c>
    </row>
    <row r="3410" customFormat="false" ht="15" hidden="false" customHeight="false" outlineLevel="0" collapsed="false">
      <c r="A3410" s="27" t="s">
        <v>119</v>
      </c>
      <c r="B3410" s="27" t="s">
        <v>110</v>
      </c>
      <c r="C3410" s="27" t="s">
        <v>48</v>
      </c>
      <c r="D3410" s="27" t="s">
        <v>45</v>
      </c>
      <c r="E3410" s="28" t="n">
        <f aca="false">ROUND((SUMIFS(Acerto_Detalhado!$F$2:$F$433,Acerto_Detalhado!$A$2:$A$433,$C3410,Acerto_Detalhado!$B$2:$B$433,"Set",Acerto_Detalhado!$C$2:$C$433,"Umidade"))*(SUMIFS(Acerto_Detalhado!$I$2:$I$433,Acerto_Detalhado!$A$2:$A$433,$D3410,Acerto_Detalhado!$B$2:$B$433,"Set",Acerto_Detalhado!$C$2:$C$433,"Umidade")),2)</f>
        <v>2518.93</v>
      </c>
    </row>
    <row r="3411" customFormat="false" ht="15" hidden="false" customHeight="false" outlineLevel="0" collapsed="false">
      <c r="A3411" s="27" t="s">
        <v>119</v>
      </c>
      <c r="B3411" s="27" t="s">
        <v>110</v>
      </c>
      <c r="C3411" s="27" t="s">
        <v>48</v>
      </c>
      <c r="D3411" s="27" t="s">
        <v>46</v>
      </c>
      <c r="E3411" s="28" t="n">
        <f aca="false">ROUND((SUMIFS(Acerto_Detalhado!$F$2:$F$433,Acerto_Detalhado!$A$2:$A$433,$C3411,Acerto_Detalhado!$B$2:$B$433,"Set",Acerto_Detalhado!$C$2:$C$433,"Umidade"))*(SUMIFS(Acerto_Detalhado!$I$2:$I$433,Acerto_Detalhado!$A$2:$A$433,$D3411,Acerto_Detalhado!$B$2:$B$433,"Set",Acerto_Detalhado!$C$2:$C$433,"Umidade")),2)</f>
        <v>0</v>
      </c>
    </row>
    <row r="3412" customFormat="false" ht="15" hidden="false" customHeight="false" outlineLevel="0" collapsed="false">
      <c r="A3412" s="27" t="s">
        <v>119</v>
      </c>
      <c r="B3412" s="27" t="s">
        <v>110</v>
      </c>
      <c r="C3412" s="27" t="s">
        <v>48</v>
      </c>
      <c r="D3412" s="27" t="s">
        <v>47</v>
      </c>
      <c r="E3412" s="28" t="n">
        <f aca="false">ROUND((SUMIFS(Acerto_Detalhado!$F$2:$F$433,Acerto_Detalhado!$A$2:$A$433,$C3412,Acerto_Detalhado!$B$2:$B$433,"Set",Acerto_Detalhado!$C$2:$C$433,"Umidade"))*(SUMIFS(Acerto_Detalhado!$I$2:$I$433,Acerto_Detalhado!$A$2:$A$433,$D3412,Acerto_Detalhado!$B$2:$B$433,"Set",Acerto_Detalhado!$C$2:$C$433,"Umidade")),2)</f>
        <v>0</v>
      </c>
    </row>
    <row r="3413" customFormat="false" ht="15" hidden="false" customHeight="false" outlineLevel="0" collapsed="false">
      <c r="A3413" s="27" t="s">
        <v>119</v>
      </c>
      <c r="B3413" s="27" t="s">
        <v>110</v>
      </c>
      <c r="C3413" s="27" t="s">
        <v>48</v>
      </c>
      <c r="D3413" s="27" t="s">
        <v>49</v>
      </c>
      <c r="E3413" s="28" t="n">
        <f aca="false">ROUND((SUMIFS(Acerto_Detalhado!$F$2:$F$433,Acerto_Detalhado!$A$2:$A$433,$C3413,Acerto_Detalhado!$B$2:$B$433,"Set",Acerto_Detalhado!$C$2:$C$433,"Umidade"))*(SUMIFS(Acerto_Detalhado!$I$2:$I$433,Acerto_Detalhado!$A$2:$A$433,$D3413,Acerto_Detalhado!$B$2:$B$433,"Set",Acerto_Detalhado!$C$2:$C$433,"Umidade")),2)</f>
        <v>0</v>
      </c>
    </row>
    <row r="3414" customFormat="false" ht="15" hidden="false" customHeight="false" outlineLevel="0" collapsed="false">
      <c r="A3414" s="27" t="s">
        <v>119</v>
      </c>
      <c r="B3414" s="27" t="s">
        <v>110</v>
      </c>
      <c r="C3414" s="27" t="s">
        <v>48</v>
      </c>
      <c r="D3414" s="27" t="s">
        <v>50</v>
      </c>
      <c r="E3414" s="28" t="n">
        <f aca="false">ROUND((SUMIFS(Acerto_Detalhado!$F$2:$F$433,Acerto_Detalhado!$A$2:$A$433,$C3414,Acerto_Detalhado!$B$2:$B$433,"Set",Acerto_Detalhado!$C$2:$C$433,"Umidade"))*(SUMIFS(Acerto_Detalhado!$I$2:$I$433,Acerto_Detalhado!$A$2:$A$433,$D3414,Acerto_Detalhado!$B$2:$B$433,"Set",Acerto_Detalhado!$C$2:$C$433,"Umidade")),2)</f>
        <v>0</v>
      </c>
    </row>
    <row r="3415" customFormat="false" ht="15" hidden="false" customHeight="false" outlineLevel="0" collapsed="false">
      <c r="A3415" s="27" t="s">
        <v>119</v>
      </c>
      <c r="B3415" s="27" t="s">
        <v>110</v>
      </c>
      <c r="C3415" s="27" t="s">
        <v>49</v>
      </c>
      <c r="D3415" s="27" t="s">
        <v>39</v>
      </c>
      <c r="E3415" s="28" t="n">
        <f aca="false">ROUND((SUMIFS(Acerto_Detalhado!$F$2:$F$433,Acerto_Detalhado!$A$2:$A$433,$C3415,Acerto_Detalhado!$B$2:$B$433,"Set",Acerto_Detalhado!$C$2:$C$433,"Umidade"))*(SUMIFS(Acerto_Detalhado!$I$2:$I$433,Acerto_Detalhado!$A$2:$A$433,$D3415,Acerto_Detalhado!$B$2:$B$433,"Set",Acerto_Detalhado!$C$2:$C$433,"Umidade")),2)</f>
        <v>0</v>
      </c>
    </row>
    <row r="3416" customFormat="false" ht="15" hidden="false" customHeight="false" outlineLevel="0" collapsed="false">
      <c r="A3416" s="27" t="s">
        <v>119</v>
      </c>
      <c r="B3416" s="27" t="s">
        <v>110</v>
      </c>
      <c r="C3416" s="27" t="s">
        <v>49</v>
      </c>
      <c r="D3416" s="27" t="s">
        <v>40</v>
      </c>
      <c r="E3416" s="28" t="n">
        <f aca="false">ROUND((SUMIFS(Acerto_Detalhado!$F$2:$F$433,Acerto_Detalhado!$A$2:$A$433,$C3416,Acerto_Detalhado!$B$2:$B$433,"Set",Acerto_Detalhado!$C$2:$C$433,"Umidade"))*(SUMIFS(Acerto_Detalhado!$I$2:$I$433,Acerto_Detalhado!$A$2:$A$433,$D3416,Acerto_Detalhado!$B$2:$B$433,"Set",Acerto_Detalhado!$C$2:$C$433,"Umidade")),2)</f>
        <v>0</v>
      </c>
    </row>
    <row r="3417" customFormat="false" ht="15" hidden="false" customHeight="false" outlineLevel="0" collapsed="false">
      <c r="A3417" s="27" t="s">
        <v>119</v>
      </c>
      <c r="B3417" s="27" t="s">
        <v>110</v>
      </c>
      <c r="C3417" s="27" t="s">
        <v>49</v>
      </c>
      <c r="D3417" s="27" t="s">
        <v>41</v>
      </c>
      <c r="E3417" s="28" t="n">
        <f aca="false">ROUND((SUMIFS(Acerto_Detalhado!$F$2:$F$433,Acerto_Detalhado!$A$2:$A$433,$C3417,Acerto_Detalhado!$B$2:$B$433,"Set",Acerto_Detalhado!$C$2:$C$433,"Umidade"))*(SUMIFS(Acerto_Detalhado!$I$2:$I$433,Acerto_Detalhado!$A$2:$A$433,$D3417,Acerto_Detalhado!$B$2:$B$433,"Set",Acerto_Detalhado!$C$2:$C$433,"Umidade")),2)</f>
        <v>0</v>
      </c>
    </row>
    <row r="3418" customFormat="false" ht="15" hidden="false" customHeight="false" outlineLevel="0" collapsed="false">
      <c r="A3418" s="27" t="s">
        <v>119</v>
      </c>
      <c r="B3418" s="27" t="s">
        <v>110</v>
      </c>
      <c r="C3418" s="27" t="s">
        <v>49</v>
      </c>
      <c r="D3418" s="27" t="s">
        <v>42</v>
      </c>
      <c r="E3418" s="28" t="n">
        <f aca="false">ROUND((SUMIFS(Acerto_Detalhado!$F$2:$F$433,Acerto_Detalhado!$A$2:$A$433,$C3418,Acerto_Detalhado!$B$2:$B$433,"Set",Acerto_Detalhado!$C$2:$C$433,"Umidade"))*(SUMIFS(Acerto_Detalhado!$I$2:$I$433,Acerto_Detalhado!$A$2:$A$433,$D3418,Acerto_Detalhado!$B$2:$B$433,"Set",Acerto_Detalhado!$C$2:$C$433,"Umidade")),2)</f>
        <v>0</v>
      </c>
    </row>
    <row r="3419" customFormat="false" ht="15" hidden="false" customHeight="false" outlineLevel="0" collapsed="false">
      <c r="A3419" s="27" t="s">
        <v>119</v>
      </c>
      <c r="B3419" s="27" t="s">
        <v>110</v>
      </c>
      <c r="C3419" s="27" t="s">
        <v>49</v>
      </c>
      <c r="D3419" s="27" t="s">
        <v>43</v>
      </c>
      <c r="E3419" s="28" t="n">
        <f aca="false">ROUND((SUMIFS(Acerto_Detalhado!$F$2:$F$433,Acerto_Detalhado!$A$2:$A$433,$C3419,Acerto_Detalhado!$B$2:$B$433,"Set",Acerto_Detalhado!$C$2:$C$433,"Umidade"))*(SUMIFS(Acerto_Detalhado!$I$2:$I$433,Acerto_Detalhado!$A$2:$A$433,$D3419,Acerto_Detalhado!$B$2:$B$433,"Set",Acerto_Detalhado!$C$2:$C$433,"Umidade")),2)</f>
        <v>0</v>
      </c>
    </row>
    <row r="3420" customFormat="false" ht="15" hidden="false" customHeight="false" outlineLevel="0" collapsed="false">
      <c r="A3420" s="27" t="s">
        <v>119</v>
      </c>
      <c r="B3420" s="27" t="s">
        <v>110</v>
      </c>
      <c r="C3420" s="27" t="s">
        <v>49</v>
      </c>
      <c r="D3420" s="27" t="s">
        <v>44</v>
      </c>
      <c r="E3420" s="28" t="n">
        <f aca="false">ROUND((SUMIFS(Acerto_Detalhado!$F$2:$F$433,Acerto_Detalhado!$A$2:$A$433,$C3420,Acerto_Detalhado!$B$2:$B$433,"Set",Acerto_Detalhado!$C$2:$C$433,"Umidade"))*(SUMIFS(Acerto_Detalhado!$I$2:$I$433,Acerto_Detalhado!$A$2:$A$433,$D3420,Acerto_Detalhado!$B$2:$B$433,"Set",Acerto_Detalhado!$C$2:$C$433,"Umidade")),2)</f>
        <v>0</v>
      </c>
    </row>
    <row r="3421" customFormat="false" ht="15" hidden="false" customHeight="false" outlineLevel="0" collapsed="false">
      <c r="A3421" s="27" t="s">
        <v>119</v>
      </c>
      <c r="B3421" s="27" t="s">
        <v>110</v>
      </c>
      <c r="C3421" s="27" t="s">
        <v>49</v>
      </c>
      <c r="D3421" s="27" t="s">
        <v>45</v>
      </c>
      <c r="E3421" s="28" t="n">
        <f aca="false">ROUND((SUMIFS(Acerto_Detalhado!$F$2:$F$433,Acerto_Detalhado!$A$2:$A$433,$C3421,Acerto_Detalhado!$B$2:$B$433,"Set",Acerto_Detalhado!$C$2:$C$433,"Umidade"))*(SUMIFS(Acerto_Detalhado!$I$2:$I$433,Acerto_Detalhado!$A$2:$A$433,$D3421,Acerto_Detalhado!$B$2:$B$433,"Set",Acerto_Detalhado!$C$2:$C$433,"Umidade")),2)</f>
        <v>0</v>
      </c>
    </row>
    <row r="3422" customFormat="false" ht="15" hidden="false" customHeight="false" outlineLevel="0" collapsed="false">
      <c r="A3422" s="27" t="s">
        <v>119</v>
      </c>
      <c r="B3422" s="27" t="s">
        <v>110</v>
      </c>
      <c r="C3422" s="27" t="s">
        <v>49</v>
      </c>
      <c r="D3422" s="27" t="s">
        <v>46</v>
      </c>
      <c r="E3422" s="28" t="n">
        <f aca="false">ROUND((SUMIFS(Acerto_Detalhado!$F$2:$F$433,Acerto_Detalhado!$A$2:$A$433,$C3422,Acerto_Detalhado!$B$2:$B$433,"Set",Acerto_Detalhado!$C$2:$C$433,"Umidade"))*(SUMIFS(Acerto_Detalhado!$I$2:$I$433,Acerto_Detalhado!$A$2:$A$433,$D3422,Acerto_Detalhado!$B$2:$B$433,"Set",Acerto_Detalhado!$C$2:$C$433,"Umidade")),2)</f>
        <v>0</v>
      </c>
    </row>
    <row r="3423" customFormat="false" ht="15" hidden="false" customHeight="false" outlineLevel="0" collapsed="false">
      <c r="A3423" s="27" t="s">
        <v>119</v>
      </c>
      <c r="B3423" s="27" t="s">
        <v>110</v>
      </c>
      <c r="C3423" s="27" t="s">
        <v>49</v>
      </c>
      <c r="D3423" s="27" t="s">
        <v>47</v>
      </c>
      <c r="E3423" s="28" t="n">
        <f aca="false">ROUND((SUMIFS(Acerto_Detalhado!$F$2:$F$433,Acerto_Detalhado!$A$2:$A$433,$C3423,Acerto_Detalhado!$B$2:$B$433,"Set",Acerto_Detalhado!$C$2:$C$433,"Umidade"))*(SUMIFS(Acerto_Detalhado!$I$2:$I$433,Acerto_Detalhado!$A$2:$A$433,$D3423,Acerto_Detalhado!$B$2:$B$433,"Set",Acerto_Detalhado!$C$2:$C$433,"Umidade")),2)</f>
        <v>0</v>
      </c>
    </row>
    <row r="3424" customFormat="false" ht="15" hidden="false" customHeight="false" outlineLevel="0" collapsed="false">
      <c r="A3424" s="27" t="s">
        <v>119</v>
      </c>
      <c r="B3424" s="27" t="s">
        <v>110</v>
      </c>
      <c r="C3424" s="27" t="s">
        <v>49</v>
      </c>
      <c r="D3424" s="27" t="s">
        <v>48</v>
      </c>
      <c r="E3424" s="28" t="n">
        <f aca="false">ROUND((SUMIFS(Acerto_Detalhado!$F$2:$F$433,Acerto_Detalhado!$A$2:$A$433,$C3424,Acerto_Detalhado!$B$2:$B$433,"Set",Acerto_Detalhado!$C$2:$C$433,"Umidade"))*(SUMIFS(Acerto_Detalhado!$I$2:$I$433,Acerto_Detalhado!$A$2:$A$433,$D3424,Acerto_Detalhado!$B$2:$B$433,"Set",Acerto_Detalhado!$C$2:$C$433,"Umidade")),2)</f>
        <v>0</v>
      </c>
    </row>
    <row r="3425" customFormat="false" ht="15" hidden="false" customHeight="false" outlineLevel="0" collapsed="false">
      <c r="A3425" s="27" t="s">
        <v>119</v>
      </c>
      <c r="B3425" s="27" t="s">
        <v>110</v>
      </c>
      <c r="C3425" s="27" t="s">
        <v>49</v>
      </c>
      <c r="D3425" s="27" t="s">
        <v>50</v>
      </c>
      <c r="E3425" s="28" t="n">
        <f aca="false">ROUND((SUMIFS(Acerto_Detalhado!$F$2:$F$433,Acerto_Detalhado!$A$2:$A$433,$C3425,Acerto_Detalhado!$B$2:$B$433,"Set",Acerto_Detalhado!$C$2:$C$433,"Umidade"))*(SUMIFS(Acerto_Detalhado!$I$2:$I$433,Acerto_Detalhado!$A$2:$A$433,$D3425,Acerto_Detalhado!$B$2:$B$433,"Set",Acerto_Detalhado!$C$2:$C$433,"Umidade")),2)</f>
        <v>0</v>
      </c>
    </row>
    <row r="3426" customFormat="false" ht="15" hidden="false" customHeight="false" outlineLevel="0" collapsed="false">
      <c r="A3426" s="27" t="s">
        <v>119</v>
      </c>
      <c r="B3426" s="27" t="s">
        <v>110</v>
      </c>
      <c r="C3426" s="27" t="s">
        <v>50</v>
      </c>
      <c r="D3426" s="27" t="s">
        <v>39</v>
      </c>
      <c r="E3426" s="28" t="n">
        <f aca="false">ROUND((SUMIFS(Acerto_Detalhado!$F$2:$F$433,Acerto_Detalhado!$A$2:$A$433,$C3426,Acerto_Detalhado!$B$2:$B$433,"Set",Acerto_Detalhado!$C$2:$C$433,"Umidade"))*(SUMIFS(Acerto_Detalhado!$I$2:$I$433,Acerto_Detalhado!$A$2:$A$433,$D3426,Acerto_Detalhado!$B$2:$B$433,"Set",Acerto_Detalhado!$C$2:$C$433,"Umidade")),2)</f>
        <v>0</v>
      </c>
    </row>
    <row r="3427" customFormat="false" ht="15" hidden="false" customHeight="false" outlineLevel="0" collapsed="false">
      <c r="A3427" s="27" t="s">
        <v>119</v>
      </c>
      <c r="B3427" s="27" t="s">
        <v>110</v>
      </c>
      <c r="C3427" s="27" t="s">
        <v>50</v>
      </c>
      <c r="D3427" s="27" t="s">
        <v>40</v>
      </c>
      <c r="E3427" s="28" t="n">
        <f aca="false">ROUND((SUMIFS(Acerto_Detalhado!$F$2:$F$433,Acerto_Detalhado!$A$2:$A$433,$C3427,Acerto_Detalhado!$B$2:$B$433,"Set",Acerto_Detalhado!$C$2:$C$433,"Umidade"))*(SUMIFS(Acerto_Detalhado!$I$2:$I$433,Acerto_Detalhado!$A$2:$A$433,$D3427,Acerto_Detalhado!$B$2:$B$433,"Set",Acerto_Detalhado!$C$2:$C$433,"Umidade")),2)</f>
        <v>0</v>
      </c>
    </row>
    <row r="3428" customFormat="false" ht="15" hidden="false" customHeight="false" outlineLevel="0" collapsed="false">
      <c r="A3428" s="27" t="s">
        <v>119</v>
      </c>
      <c r="B3428" s="27" t="s">
        <v>110</v>
      </c>
      <c r="C3428" s="27" t="s">
        <v>50</v>
      </c>
      <c r="D3428" s="27" t="s">
        <v>41</v>
      </c>
      <c r="E3428" s="28" t="n">
        <f aca="false">ROUND((SUMIFS(Acerto_Detalhado!$F$2:$F$433,Acerto_Detalhado!$A$2:$A$433,$C3428,Acerto_Detalhado!$B$2:$B$433,"Set",Acerto_Detalhado!$C$2:$C$433,"Umidade"))*(SUMIFS(Acerto_Detalhado!$I$2:$I$433,Acerto_Detalhado!$A$2:$A$433,$D3428,Acerto_Detalhado!$B$2:$B$433,"Set",Acerto_Detalhado!$C$2:$C$433,"Umidade")),2)</f>
        <v>0</v>
      </c>
    </row>
    <row r="3429" customFormat="false" ht="15" hidden="false" customHeight="false" outlineLevel="0" collapsed="false">
      <c r="A3429" s="27" t="s">
        <v>119</v>
      </c>
      <c r="B3429" s="27" t="s">
        <v>110</v>
      </c>
      <c r="C3429" s="27" t="s">
        <v>50</v>
      </c>
      <c r="D3429" s="27" t="s">
        <v>42</v>
      </c>
      <c r="E3429" s="28" t="n">
        <f aca="false">ROUND((SUMIFS(Acerto_Detalhado!$F$2:$F$433,Acerto_Detalhado!$A$2:$A$433,$C3429,Acerto_Detalhado!$B$2:$B$433,"Set",Acerto_Detalhado!$C$2:$C$433,"Umidade"))*(SUMIFS(Acerto_Detalhado!$I$2:$I$433,Acerto_Detalhado!$A$2:$A$433,$D3429,Acerto_Detalhado!$B$2:$B$433,"Set",Acerto_Detalhado!$C$2:$C$433,"Umidade")),2)</f>
        <v>0</v>
      </c>
    </row>
    <row r="3430" customFormat="false" ht="15" hidden="false" customHeight="false" outlineLevel="0" collapsed="false">
      <c r="A3430" s="27" t="s">
        <v>119</v>
      </c>
      <c r="B3430" s="27" t="s">
        <v>110</v>
      </c>
      <c r="C3430" s="27" t="s">
        <v>50</v>
      </c>
      <c r="D3430" s="27" t="s">
        <v>43</v>
      </c>
      <c r="E3430" s="28" t="n">
        <f aca="false">ROUND((SUMIFS(Acerto_Detalhado!$F$2:$F$433,Acerto_Detalhado!$A$2:$A$433,$C3430,Acerto_Detalhado!$B$2:$B$433,"Set",Acerto_Detalhado!$C$2:$C$433,"Umidade"))*(SUMIFS(Acerto_Detalhado!$I$2:$I$433,Acerto_Detalhado!$A$2:$A$433,$D3430,Acerto_Detalhado!$B$2:$B$433,"Set",Acerto_Detalhado!$C$2:$C$433,"Umidade")),2)</f>
        <v>0</v>
      </c>
    </row>
    <row r="3431" customFormat="false" ht="15" hidden="false" customHeight="false" outlineLevel="0" collapsed="false">
      <c r="A3431" s="27" t="s">
        <v>119</v>
      </c>
      <c r="B3431" s="27" t="s">
        <v>110</v>
      </c>
      <c r="C3431" s="27" t="s">
        <v>50</v>
      </c>
      <c r="D3431" s="27" t="s">
        <v>44</v>
      </c>
      <c r="E3431" s="28" t="n">
        <f aca="false">ROUND((SUMIFS(Acerto_Detalhado!$F$2:$F$433,Acerto_Detalhado!$A$2:$A$433,$C3431,Acerto_Detalhado!$B$2:$B$433,"Set",Acerto_Detalhado!$C$2:$C$433,"Umidade"))*(SUMIFS(Acerto_Detalhado!$I$2:$I$433,Acerto_Detalhado!$A$2:$A$433,$D3431,Acerto_Detalhado!$B$2:$B$433,"Set",Acerto_Detalhado!$C$2:$C$433,"Umidade")),2)</f>
        <v>0</v>
      </c>
    </row>
    <row r="3432" customFormat="false" ht="15" hidden="false" customHeight="false" outlineLevel="0" collapsed="false">
      <c r="A3432" s="27" t="s">
        <v>119</v>
      </c>
      <c r="B3432" s="27" t="s">
        <v>110</v>
      </c>
      <c r="C3432" s="27" t="s">
        <v>50</v>
      </c>
      <c r="D3432" s="27" t="s">
        <v>45</v>
      </c>
      <c r="E3432" s="28" t="n">
        <f aca="false">ROUND((SUMIFS(Acerto_Detalhado!$F$2:$F$433,Acerto_Detalhado!$A$2:$A$433,$C3432,Acerto_Detalhado!$B$2:$B$433,"Set",Acerto_Detalhado!$C$2:$C$433,"Umidade"))*(SUMIFS(Acerto_Detalhado!$I$2:$I$433,Acerto_Detalhado!$A$2:$A$433,$D3432,Acerto_Detalhado!$B$2:$B$433,"Set",Acerto_Detalhado!$C$2:$C$433,"Umidade")),2)</f>
        <v>0</v>
      </c>
    </row>
    <row r="3433" customFormat="false" ht="15" hidden="false" customHeight="false" outlineLevel="0" collapsed="false">
      <c r="A3433" s="27" t="s">
        <v>119</v>
      </c>
      <c r="B3433" s="27" t="s">
        <v>110</v>
      </c>
      <c r="C3433" s="27" t="s">
        <v>50</v>
      </c>
      <c r="D3433" s="27" t="s">
        <v>46</v>
      </c>
      <c r="E3433" s="28" t="n">
        <f aca="false">ROUND((SUMIFS(Acerto_Detalhado!$F$2:$F$433,Acerto_Detalhado!$A$2:$A$433,$C3433,Acerto_Detalhado!$B$2:$B$433,"Set",Acerto_Detalhado!$C$2:$C$433,"Umidade"))*(SUMIFS(Acerto_Detalhado!$I$2:$I$433,Acerto_Detalhado!$A$2:$A$433,$D3433,Acerto_Detalhado!$B$2:$B$433,"Set",Acerto_Detalhado!$C$2:$C$433,"Umidade")),2)</f>
        <v>0</v>
      </c>
    </row>
    <row r="3434" customFormat="false" ht="15" hidden="false" customHeight="false" outlineLevel="0" collapsed="false">
      <c r="A3434" s="27" t="s">
        <v>119</v>
      </c>
      <c r="B3434" s="27" t="s">
        <v>110</v>
      </c>
      <c r="C3434" s="27" t="s">
        <v>50</v>
      </c>
      <c r="D3434" s="27" t="s">
        <v>47</v>
      </c>
      <c r="E3434" s="28" t="n">
        <f aca="false">ROUND((SUMIFS(Acerto_Detalhado!$F$2:$F$433,Acerto_Detalhado!$A$2:$A$433,$C3434,Acerto_Detalhado!$B$2:$B$433,"Set",Acerto_Detalhado!$C$2:$C$433,"Umidade"))*(SUMIFS(Acerto_Detalhado!$I$2:$I$433,Acerto_Detalhado!$A$2:$A$433,$D3434,Acerto_Detalhado!$B$2:$B$433,"Set",Acerto_Detalhado!$C$2:$C$433,"Umidade")),2)</f>
        <v>0</v>
      </c>
    </row>
    <row r="3435" customFormat="false" ht="15" hidden="false" customHeight="false" outlineLevel="0" collapsed="false">
      <c r="A3435" s="27" t="s">
        <v>119</v>
      </c>
      <c r="B3435" s="27" t="s">
        <v>110</v>
      </c>
      <c r="C3435" s="27" t="s">
        <v>50</v>
      </c>
      <c r="D3435" s="27" t="s">
        <v>48</v>
      </c>
      <c r="E3435" s="28" t="n">
        <f aca="false">ROUND((SUMIFS(Acerto_Detalhado!$F$2:$F$433,Acerto_Detalhado!$A$2:$A$433,$C3435,Acerto_Detalhado!$B$2:$B$433,"Set",Acerto_Detalhado!$C$2:$C$433,"Umidade"))*(SUMIFS(Acerto_Detalhado!$I$2:$I$433,Acerto_Detalhado!$A$2:$A$433,$D3435,Acerto_Detalhado!$B$2:$B$433,"Set",Acerto_Detalhado!$C$2:$C$433,"Umidade")),2)</f>
        <v>0</v>
      </c>
    </row>
    <row r="3436" customFormat="false" ht="15" hidden="false" customHeight="false" outlineLevel="0" collapsed="false">
      <c r="A3436" s="27" t="s">
        <v>119</v>
      </c>
      <c r="B3436" s="27" t="s">
        <v>110</v>
      </c>
      <c r="C3436" s="27" t="s">
        <v>50</v>
      </c>
      <c r="D3436" s="27" t="s">
        <v>49</v>
      </c>
      <c r="E3436" s="28" t="n">
        <f aca="false">ROUND((SUMIFS(Acerto_Detalhado!$F$2:$F$433,Acerto_Detalhado!$A$2:$A$433,$C3436,Acerto_Detalhado!$B$2:$B$433,"Set",Acerto_Detalhado!$C$2:$C$433,"Umidade"))*(SUMIFS(Acerto_Detalhado!$I$2:$I$433,Acerto_Detalhado!$A$2:$A$433,$D3436,Acerto_Detalhado!$B$2:$B$433,"Set",Acerto_Detalhado!$C$2:$C$433,"Umidade")),2)</f>
        <v>0</v>
      </c>
    </row>
    <row r="3437" customFormat="false" ht="15" hidden="false" customHeight="false" outlineLevel="0" collapsed="false">
      <c r="A3437" s="27" t="s">
        <v>119</v>
      </c>
      <c r="B3437" s="27" t="s">
        <v>111</v>
      </c>
      <c r="C3437" s="27" t="s">
        <v>39</v>
      </c>
      <c r="D3437" s="27" t="s">
        <v>40</v>
      </c>
      <c r="E3437" s="28" t="n">
        <f aca="false">ROUND((SUMIFS(Acerto_Detalhado!$F$2:$F$433,Acerto_Detalhado!$A$2:$A$433,$C3437,Acerto_Detalhado!$B$2:$B$433,"Set",Acerto_Detalhado!$C$2:$C$433,"Fibra"))*(SUMIFS(Acerto_Detalhado!$I$2:$I$433,Acerto_Detalhado!$A$2:$A$433,$D3437,Acerto_Detalhado!$B$2:$B$433,"Set",Acerto_Detalhado!$C$2:$C$433,"Fibra")),2)</f>
        <v>416.1</v>
      </c>
    </row>
    <row r="3438" customFormat="false" ht="15" hidden="false" customHeight="false" outlineLevel="0" collapsed="false">
      <c r="A3438" s="27" t="s">
        <v>119</v>
      </c>
      <c r="B3438" s="27" t="s">
        <v>111</v>
      </c>
      <c r="C3438" s="27" t="s">
        <v>39</v>
      </c>
      <c r="D3438" s="27" t="s">
        <v>41</v>
      </c>
      <c r="E3438" s="28" t="n">
        <f aca="false">ROUND((SUMIFS(Acerto_Detalhado!$F$2:$F$433,Acerto_Detalhado!$A$2:$A$433,$C3438,Acerto_Detalhado!$B$2:$B$433,"Set",Acerto_Detalhado!$C$2:$C$433,"Fibra"))*(SUMIFS(Acerto_Detalhado!$I$2:$I$433,Acerto_Detalhado!$A$2:$A$433,$D3438,Acerto_Detalhado!$B$2:$B$433,"Set",Acerto_Detalhado!$C$2:$C$433,"Fibra")),2)</f>
        <v>188.41</v>
      </c>
    </row>
    <row r="3439" customFormat="false" ht="15" hidden="false" customHeight="false" outlineLevel="0" collapsed="false">
      <c r="A3439" s="27" t="s">
        <v>119</v>
      </c>
      <c r="B3439" s="27" t="s">
        <v>111</v>
      </c>
      <c r="C3439" s="27" t="s">
        <v>39</v>
      </c>
      <c r="D3439" s="27" t="s">
        <v>42</v>
      </c>
      <c r="E3439" s="28" t="n">
        <f aca="false">ROUND((SUMIFS(Acerto_Detalhado!$F$2:$F$433,Acerto_Detalhado!$A$2:$A$433,$C3439,Acerto_Detalhado!$B$2:$B$433,"Set",Acerto_Detalhado!$C$2:$C$433,"Fibra"))*(SUMIFS(Acerto_Detalhado!$I$2:$I$433,Acerto_Detalhado!$A$2:$A$433,$D3439,Acerto_Detalhado!$B$2:$B$433,"Set",Acerto_Detalhado!$C$2:$C$433,"Fibra")),2)</f>
        <v>0</v>
      </c>
    </row>
    <row r="3440" customFormat="false" ht="15" hidden="false" customHeight="false" outlineLevel="0" collapsed="false">
      <c r="A3440" s="27" t="s">
        <v>119</v>
      </c>
      <c r="B3440" s="27" t="s">
        <v>111</v>
      </c>
      <c r="C3440" s="27" t="s">
        <v>39</v>
      </c>
      <c r="D3440" s="27" t="s">
        <v>43</v>
      </c>
      <c r="E3440" s="28" t="n">
        <f aca="false">ROUND((SUMIFS(Acerto_Detalhado!$F$2:$F$433,Acerto_Detalhado!$A$2:$A$433,$C3440,Acerto_Detalhado!$B$2:$B$433,"Set",Acerto_Detalhado!$C$2:$C$433,"Fibra"))*(SUMIFS(Acerto_Detalhado!$I$2:$I$433,Acerto_Detalhado!$A$2:$A$433,$D3440,Acerto_Detalhado!$B$2:$B$433,"Set",Acerto_Detalhado!$C$2:$C$433,"Fibra")),2)</f>
        <v>751.1</v>
      </c>
    </row>
    <row r="3441" customFormat="false" ht="15" hidden="false" customHeight="false" outlineLevel="0" collapsed="false">
      <c r="A3441" s="27" t="s">
        <v>119</v>
      </c>
      <c r="B3441" s="27" t="s">
        <v>111</v>
      </c>
      <c r="C3441" s="27" t="s">
        <v>39</v>
      </c>
      <c r="D3441" s="27" t="s">
        <v>44</v>
      </c>
      <c r="E3441" s="28" t="n">
        <f aca="false">ROUND((SUMIFS(Acerto_Detalhado!$F$2:$F$433,Acerto_Detalhado!$A$2:$A$433,$C3441,Acerto_Detalhado!$B$2:$B$433,"Set",Acerto_Detalhado!$C$2:$C$433,"Fibra"))*(SUMIFS(Acerto_Detalhado!$I$2:$I$433,Acerto_Detalhado!$A$2:$A$433,$D3441,Acerto_Detalhado!$B$2:$B$433,"Set",Acerto_Detalhado!$C$2:$C$433,"Fibra")),2)</f>
        <v>231.77</v>
      </c>
    </row>
    <row r="3442" customFormat="false" ht="15" hidden="false" customHeight="false" outlineLevel="0" collapsed="false">
      <c r="A3442" s="27" t="s">
        <v>119</v>
      </c>
      <c r="B3442" s="27" t="s">
        <v>111</v>
      </c>
      <c r="C3442" s="27" t="s">
        <v>39</v>
      </c>
      <c r="D3442" s="27" t="s">
        <v>45</v>
      </c>
      <c r="E3442" s="28" t="n">
        <f aca="false">ROUND((SUMIFS(Acerto_Detalhado!$F$2:$F$433,Acerto_Detalhado!$A$2:$A$433,$C3442,Acerto_Detalhado!$B$2:$B$433,"Set",Acerto_Detalhado!$C$2:$C$433,"Fibra"))*(SUMIFS(Acerto_Detalhado!$I$2:$I$433,Acerto_Detalhado!$A$2:$A$433,$D3442,Acerto_Detalhado!$B$2:$B$433,"Set",Acerto_Detalhado!$C$2:$C$433,"Fibra")),2)</f>
        <v>0</v>
      </c>
    </row>
    <row r="3443" customFormat="false" ht="15" hidden="false" customHeight="false" outlineLevel="0" collapsed="false">
      <c r="A3443" s="27" t="s">
        <v>119</v>
      </c>
      <c r="B3443" s="27" t="s">
        <v>111</v>
      </c>
      <c r="C3443" s="27" t="s">
        <v>39</v>
      </c>
      <c r="D3443" s="27" t="s">
        <v>46</v>
      </c>
      <c r="E3443" s="28" t="n">
        <f aca="false">ROUND((SUMIFS(Acerto_Detalhado!$F$2:$F$433,Acerto_Detalhado!$A$2:$A$433,$C3443,Acerto_Detalhado!$B$2:$B$433,"Set",Acerto_Detalhado!$C$2:$C$433,"Fibra"))*(SUMIFS(Acerto_Detalhado!$I$2:$I$433,Acerto_Detalhado!$A$2:$A$433,$D3443,Acerto_Detalhado!$B$2:$B$433,"Set",Acerto_Detalhado!$C$2:$C$433,"Fibra")),2)</f>
        <v>0</v>
      </c>
    </row>
    <row r="3444" customFormat="false" ht="15" hidden="false" customHeight="false" outlineLevel="0" collapsed="false">
      <c r="A3444" s="27" t="s">
        <v>119</v>
      </c>
      <c r="B3444" s="27" t="s">
        <v>111</v>
      </c>
      <c r="C3444" s="27" t="s">
        <v>39</v>
      </c>
      <c r="D3444" s="27" t="s">
        <v>47</v>
      </c>
      <c r="E3444" s="28" t="n">
        <f aca="false">ROUND((SUMIFS(Acerto_Detalhado!$F$2:$F$433,Acerto_Detalhado!$A$2:$A$433,$C3444,Acerto_Detalhado!$B$2:$B$433,"Set",Acerto_Detalhado!$C$2:$C$433,"Fibra"))*(SUMIFS(Acerto_Detalhado!$I$2:$I$433,Acerto_Detalhado!$A$2:$A$433,$D3444,Acerto_Detalhado!$B$2:$B$433,"Set",Acerto_Detalhado!$C$2:$C$433,"Fibra")),2)</f>
        <v>0</v>
      </c>
    </row>
    <row r="3445" customFormat="false" ht="15" hidden="false" customHeight="false" outlineLevel="0" collapsed="false">
      <c r="A3445" s="27" t="s">
        <v>119</v>
      </c>
      <c r="B3445" s="27" t="s">
        <v>111</v>
      </c>
      <c r="C3445" s="27" t="s">
        <v>39</v>
      </c>
      <c r="D3445" s="27" t="s">
        <v>48</v>
      </c>
      <c r="E3445" s="28" t="n">
        <f aca="false">ROUND((SUMIFS(Acerto_Detalhado!$F$2:$F$433,Acerto_Detalhado!$A$2:$A$433,$C3445,Acerto_Detalhado!$B$2:$B$433,"Set",Acerto_Detalhado!$C$2:$C$433,"Fibra"))*(SUMIFS(Acerto_Detalhado!$I$2:$I$433,Acerto_Detalhado!$A$2:$A$433,$D3445,Acerto_Detalhado!$B$2:$B$433,"Set",Acerto_Detalhado!$C$2:$C$433,"Fibra")),2)</f>
        <v>306.33</v>
      </c>
    </row>
    <row r="3446" customFormat="false" ht="15" hidden="false" customHeight="false" outlineLevel="0" collapsed="false">
      <c r="A3446" s="27" t="s">
        <v>119</v>
      </c>
      <c r="B3446" s="27" t="s">
        <v>111</v>
      </c>
      <c r="C3446" s="27" t="s">
        <v>39</v>
      </c>
      <c r="D3446" s="27" t="s">
        <v>49</v>
      </c>
      <c r="E3446" s="28" t="n">
        <f aca="false">ROUND((SUMIFS(Acerto_Detalhado!$F$2:$F$433,Acerto_Detalhado!$A$2:$A$433,$C3446,Acerto_Detalhado!$B$2:$B$433,"Set",Acerto_Detalhado!$C$2:$C$433,"Fibra"))*(SUMIFS(Acerto_Detalhado!$I$2:$I$433,Acerto_Detalhado!$A$2:$A$433,$D3446,Acerto_Detalhado!$B$2:$B$433,"Set",Acerto_Detalhado!$C$2:$C$433,"Fibra")),2)</f>
        <v>0</v>
      </c>
    </row>
    <row r="3447" customFormat="false" ht="15" hidden="false" customHeight="false" outlineLevel="0" collapsed="false">
      <c r="A3447" s="27" t="s">
        <v>119</v>
      </c>
      <c r="B3447" s="27" t="s">
        <v>111</v>
      </c>
      <c r="C3447" s="27" t="s">
        <v>39</v>
      </c>
      <c r="D3447" s="27" t="s">
        <v>50</v>
      </c>
      <c r="E3447" s="28" t="n">
        <f aca="false">ROUND((SUMIFS(Acerto_Detalhado!$F$2:$F$433,Acerto_Detalhado!$A$2:$A$433,$C3447,Acerto_Detalhado!$B$2:$B$433,"Set",Acerto_Detalhado!$C$2:$C$433,"Fibra"))*(SUMIFS(Acerto_Detalhado!$I$2:$I$433,Acerto_Detalhado!$A$2:$A$433,$D3447,Acerto_Detalhado!$B$2:$B$433,"Set",Acerto_Detalhado!$C$2:$C$433,"Fibra")),2)</f>
        <v>0</v>
      </c>
    </row>
    <row r="3448" customFormat="false" ht="15" hidden="false" customHeight="false" outlineLevel="0" collapsed="false">
      <c r="A3448" s="27" t="s">
        <v>119</v>
      </c>
      <c r="B3448" s="27" t="s">
        <v>111</v>
      </c>
      <c r="C3448" s="27" t="s">
        <v>40</v>
      </c>
      <c r="D3448" s="27" t="s">
        <v>39</v>
      </c>
      <c r="E3448" s="28" t="n">
        <f aca="false">ROUND((SUMIFS(Acerto_Detalhado!$F$2:$F$433,Acerto_Detalhado!$A$2:$A$433,$C3448,Acerto_Detalhado!$B$2:$B$433,"Set",Acerto_Detalhado!$C$2:$C$433,"Fibra"))*(SUMIFS(Acerto_Detalhado!$I$2:$I$433,Acerto_Detalhado!$A$2:$A$433,$D3448,Acerto_Detalhado!$B$2:$B$433,"Set",Acerto_Detalhado!$C$2:$C$433,"Fibra")),2)</f>
        <v>0</v>
      </c>
    </row>
    <row r="3449" customFormat="false" ht="15" hidden="false" customHeight="false" outlineLevel="0" collapsed="false">
      <c r="A3449" s="27" t="s">
        <v>119</v>
      </c>
      <c r="B3449" s="27" t="s">
        <v>111</v>
      </c>
      <c r="C3449" s="27" t="s">
        <v>40</v>
      </c>
      <c r="D3449" s="27" t="s">
        <v>41</v>
      </c>
      <c r="E3449" s="28" t="n">
        <f aca="false">ROUND((SUMIFS(Acerto_Detalhado!$F$2:$F$433,Acerto_Detalhado!$A$2:$A$433,$C3449,Acerto_Detalhado!$B$2:$B$433,"Set",Acerto_Detalhado!$C$2:$C$433,"Fibra"))*(SUMIFS(Acerto_Detalhado!$I$2:$I$433,Acerto_Detalhado!$A$2:$A$433,$D3449,Acerto_Detalhado!$B$2:$B$433,"Set",Acerto_Detalhado!$C$2:$C$433,"Fibra")),2)</f>
        <v>0</v>
      </c>
    </row>
    <row r="3450" customFormat="false" ht="15" hidden="false" customHeight="false" outlineLevel="0" collapsed="false">
      <c r="A3450" s="27" t="s">
        <v>119</v>
      </c>
      <c r="B3450" s="27" t="s">
        <v>111</v>
      </c>
      <c r="C3450" s="27" t="s">
        <v>40</v>
      </c>
      <c r="D3450" s="27" t="s">
        <v>42</v>
      </c>
      <c r="E3450" s="28" t="n">
        <f aca="false">ROUND((SUMIFS(Acerto_Detalhado!$F$2:$F$433,Acerto_Detalhado!$A$2:$A$433,$C3450,Acerto_Detalhado!$B$2:$B$433,"Set",Acerto_Detalhado!$C$2:$C$433,"Fibra"))*(SUMIFS(Acerto_Detalhado!$I$2:$I$433,Acerto_Detalhado!$A$2:$A$433,$D3450,Acerto_Detalhado!$B$2:$B$433,"Set",Acerto_Detalhado!$C$2:$C$433,"Fibra")),2)</f>
        <v>0</v>
      </c>
    </row>
    <row r="3451" customFormat="false" ht="15" hidden="false" customHeight="false" outlineLevel="0" collapsed="false">
      <c r="A3451" s="27" t="s">
        <v>119</v>
      </c>
      <c r="B3451" s="27" t="s">
        <v>111</v>
      </c>
      <c r="C3451" s="27" t="s">
        <v>40</v>
      </c>
      <c r="D3451" s="27" t="s">
        <v>43</v>
      </c>
      <c r="E3451" s="28" t="n">
        <f aca="false">ROUND((SUMIFS(Acerto_Detalhado!$F$2:$F$433,Acerto_Detalhado!$A$2:$A$433,$C3451,Acerto_Detalhado!$B$2:$B$433,"Set",Acerto_Detalhado!$C$2:$C$433,"Fibra"))*(SUMIFS(Acerto_Detalhado!$I$2:$I$433,Acerto_Detalhado!$A$2:$A$433,$D3451,Acerto_Detalhado!$B$2:$B$433,"Set",Acerto_Detalhado!$C$2:$C$433,"Fibra")),2)</f>
        <v>0</v>
      </c>
    </row>
    <row r="3452" customFormat="false" ht="15" hidden="false" customHeight="false" outlineLevel="0" collapsed="false">
      <c r="A3452" s="27" t="s">
        <v>119</v>
      </c>
      <c r="B3452" s="27" t="s">
        <v>111</v>
      </c>
      <c r="C3452" s="27" t="s">
        <v>40</v>
      </c>
      <c r="D3452" s="27" t="s">
        <v>44</v>
      </c>
      <c r="E3452" s="28" t="n">
        <f aca="false">ROUND((SUMIFS(Acerto_Detalhado!$F$2:$F$433,Acerto_Detalhado!$A$2:$A$433,$C3452,Acerto_Detalhado!$B$2:$B$433,"Set",Acerto_Detalhado!$C$2:$C$433,"Fibra"))*(SUMIFS(Acerto_Detalhado!$I$2:$I$433,Acerto_Detalhado!$A$2:$A$433,$D3452,Acerto_Detalhado!$B$2:$B$433,"Set",Acerto_Detalhado!$C$2:$C$433,"Fibra")),2)</f>
        <v>0</v>
      </c>
    </row>
    <row r="3453" customFormat="false" ht="15" hidden="false" customHeight="false" outlineLevel="0" collapsed="false">
      <c r="A3453" s="27" t="s">
        <v>119</v>
      </c>
      <c r="B3453" s="27" t="s">
        <v>111</v>
      </c>
      <c r="C3453" s="27" t="s">
        <v>40</v>
      </c>
      <c r="D3453" s="27" t="s">
        <v>45</v>
      </c>
      <c r="E3453" s="28" t="n">
        <f aca="false">ROUND((SUMIFS(Acerto_Detalhado!$F$2:$F$433,Acerto_Detalhado!$A$2:$A$433,$C3453,Acerto_Detalhado!$B$2:$B$433,"Set",Acerto_Detalhado!$C$2:$C$433,"Fibra"))*(SUMIFS(Acerto_Detalhado!$I$2:$I$433,Acerto_Detalhado!$A$2:$A$433,$D3453,Acerto_Detalhado!$B$2:$B$433,"Set",Acerto_Detalhado!$C$2:$C$433,"Fibra")),2)</f>
        <v>0</v>
      </c>
    </row>
    <row r="3454" customFormat="false" ht="15" hidden="false" customHeight="false" outlineLevel="0" collapsed="false">
      <c r="A3454" s="27" t="s">
        <v>119</v>
      </c>
      <c r="B3454" s="27" t="s">
        <v>111</v>
      </c>
      <c r="C3454" s="27" t="s">
        <v>40</v>
      </c>
      <c r="D3454" s="27" t="s">
        <v>46</v>
      </c>
      <c r="E3454" s="28" t="n">
        <f aca="false">ROUND((SUMIFS(Acerto_Detalhado!$F$2:$F$433,Acerto_Detalhado!$A$2:$A$433,$C3454,Acerto_Detalhado!$B$2:$B$433,"Set",Acerto_Detalhado!$C$2:$C$433,"Fibra"))*(SUMIFS(Acerto_Detalhado!$I$2:$I$433,Acerto_Detalhado!$A$2:$A$433,$D3454,Acerto_Detalhado!$B$2:$B$433,"Set",Acerto_Detalhado!$C$2:$C$433,"Fibra")),2)</f>
        <v>0</v>
      </c>
    </row>
    <row r="3455" customFormat="false" ht="15" hidden="false" customHeight="false" outlineLevel="0" collapsed="false">
      <c r="A3455" s="27" t="s">
        <v>119</v>
      </c>
      <c r="B3455" s="27" t="s">
        <v>111</v>
      </c>
      <c r="C3455" s="27" t="s">
        <v>40</v>
      </c>
      <c r="D3455" s="27" t="s">
        <v>47</v>
      </c>
      <c r="E3455" s="28" t="n">
        <f aca="false">ROUND((SUMIFS(Acerto_Detalhado!$F$2:$F$433,Acerto_Detalhado!$A$2:$A$433,$C3455,Acerto_Detalhado!$B$2:$B$433,"Set",Acerto_Detalhado!$C$2:$C$433,"Fibra"))*(SUMIFS(Acerto_Detalhado!$I$2:$I$433,Acerto_Detalhado!$A$2:$A$433,$D3455,Acerto_Detalhado!$B$2:$B$433,"Set",Acerto_Detalhado!$C$2:$C$433,"Fibra")),2)</f>
        <v>0</v>
      </c>
    </row>
    <row r="3456" customFormat="false" ht="15" hidden="false" customHeight="false" outlineLevel="0" collapsed="false">
      <c r="A3456" s="27" t="s">
        <v>119</v>
      </c>
      <c r="B3456" s="27" t="s">
        <v>111</v>
      </c>
      <c r="C3456" s="27" t="s">
        <v>40</v>
      </c>
      <c r="D3456" s="27" t="s">
        <v>48</v>
      </c>
      <c r="E3456" s="28" t="n">
        <f aca="false">ROUND((SUMIFS(Acerto_Detalhado!$F$2:$F$433,Acerto_Detalhado!$A$2:$A$433,$C3456,Acerto_Detalhado!$B$2:$B$433,"Set",Acerto_Detalhado!$C$2:$C$433,"Fibra"))*(SUMIFS(Acerto_Detalhado!$I$2:$I$433,Acerto_Detalhado!$A$2:$A$433,$D3456,Acerto_Detalhado!$B$2:$B$433,"Set",Acerto_Detalhado!$C$2:$C$433,"Fibra")),2)</f>
        <v>0</v>
      </c>
    </row>
    <row r="3457" customFormat="false" ht="15" hidden="false" customHeight="false" outlineLevel="0" collapsed="false">
      <c r="A3457" s="27" t="s">
        <v>119</v>
      </c>
      <c r="B3457" s="27" t="s">
        <v>111</v>
      </c>
      <c r="C3457" s="27" t="s">
        <v>40</v>
      </c>
      <c r="D3457" s="27" t="s">
        <v>49</v>
      </c>
      <c r="E3457" s="28" t="n">
        <f aca="false">ROUND((SUMIFS(Acerto_Detalhado!$F$2:$F$433,Acerto_Detalhado!$A$2:$A$433,$C3457,Acerto_Detalhado!$B$2:$B$433,"Set",Acerto_Detalhado!$C$2:$C$433,"Fibra"))*(SUMIFS(Acerto_Detalhado!$I$2:$I$433,Acerto_Detalhado!$A$2:$A$433,$D3457,Acerto_Detalhado!$B$2:$B$433,"Set",Acerto_Detalhado!$C$2:$C$433,"Fibra")),2)</f>
        <v>0</v>
      </c>
    </row>
    <row r="3458" customFormat="false" ht="15" hidden="false" customHeight="false" outlineLevel="0" collapsed="false">
      <c r="A3458" s="27" t="s">
        <v>119</v>
      </c>
      <c r="B3458" s="27" t="s">
        <v>111</v>
      </c>
      <c r="C3458" s="27" t="s">
        <v>40</v>
      </c>
      <c r="D3458" s="27" t="s">
        <v>50</v>
      </c>
      <c r="E3458" s="28" t="n">
        <f aca="false">ROUND((SUMIFS(Acerto_Detalhado!$F$2:$F$433,Acerto_Detalhado!$A$2:$A$433,$C3458,Acerto_Detalhado!$B$2:$B$433,"Set",Acerto_Detalhado!$C$2:$C$433,"Fibra"))*(SUMIFS(Acerto_Detalhado!$I$2:$I$433,Acerto_Detalhado!$A$2:$A$433,$D3458,Acerto_Detalhado!$B$2:$B$433,"Set",Acerto_Detalhado!$C$2:$C$433,"Fibra")),2)</f>
        <v>0</v>
      </c>
    </row>
    <row r="3459" customFormat="false" ht="15" hidden="false" customHeight="false" outlineLevel="0" collapsed="false">
      <c r="A3459" s="27" t="s">
        <v>119</v>
      </c>
      <c r="B3459" s="27" t="s">
        <v>111</v>
      </c>
      <c r="C3459" s="27" t="s">
        <v>41</v>
      </c>
      <c r="D3459" s="27" t="s">
        <v>39</v>
      </c>
      <c r="E3459" s="28" t="n">
        <f aca="false">ROUND((SUMIFS(Acerto_Detalhado!$F$2:$F$433,Acerto_Detalhado!$A$2:$A$433,$C3459,Acerto_Detalhado!$B$2:$B$433,"Set",Acerto_Detalhado!$C$2:$C$433,"Fibra"))*(SUMIFS(Acerto_Detalhado!$I$2:$I$433,Acerto_Detalhado!$A$2:$A$433,$D3459,Acerto_Detalhado!$B$2:$B$433,"Set",Acerto_Detalhado!$C$2:$C$433,"Fibra")),2)</f>
        <v>0</v>
      </c>
    </row>
    <row r="3460" customFormat="false" ht="15" hidden="false" customHeight="false" outlineLevel="0" collapsed="false">
      <c r="A3460" s="27" t="s">
        <v>119</v>
      </c>
      <c r="B3460" s="27" t="s">
        <v>111</v>
      </c>
      <c r="C3460" s="27" t="s">
        <v>41</v>
      </c>
      <c r="D3460" s="27" t="s">
        <v>40</v>
      </c>
      <c r="E3460" s="28" t="n">
        <f aca="false">ROUND((SUMIFS(Acerto_Detalhado!$F$2:$F$433,Acerto_Detalhado!$A$2:$A$433,$C3460,Acerto_Detalhado!$B$2:$B$433,"Set",Acerto_Detalhado!$C$2:$C$433,"Fibra"))*(SUMIFS(Acerto_Detalhado!$I$2:$I$433,Acerto_Detalhado!$A$2:$A$433,$D3460,Acerto_Detalhado!$B$2:$B$433,"Set",Acerto_Detalhado!$C$2:$C$433,"Fibra")),2)</f>
        <v>0</v>
      </c>
    </row>
    <row r="3461" customFormat="false" ht="15" hidden="false" customHeight="false" outlineLevel="0" collapsed="false">
      <c r="A3461" s="27" t="s">
        <v>119</v>
      </c>
      <c r="B3461" s="27" t="s">
        <v>111</v>
      </c>
      <c r="C3461" s="27" t="s">
        <v>41</v>
      </c>
      <c r="D3461" s="27" t="s">
        <v>42</v>
      </c>
      <c r="E3461" s="28" t="n">
        <f aca="false">ROUND((SUMIFS(Acerto_Detalhado!$F$2:$F$433,Acerto_Detalhado!$A$2:$A$433,$C3461,Acerto_Detalhado!$B$2:$B$433,"Set",Acerto_Detalhado!$C$2:$C$433,"Fibra"))*(SUMIFS(Acerto_Detalhado!$I$2:$I$433,Acerto_Detalhado!$A$2:$A$433,$D3461,Acerto_Detalhado!$B$2:$B$433,"Set",Acerto_Detalhado!$C$2:$C$433,"Fibra")),2)</f>
        <v>0</v>
      </c>
    </row>
    <row r="3462" customFormat="false" ht="15" hidden="false" customHeight="false" outlineLevel="0" collapsed="false">
      <c r="A3462" s="27" t="s">
        <v>119</v>
      </c>
      <c r="B3462" s="27" t="s">
        <v>111</v>
      </c>
      <c r="C3462" s="27" t="s">
        <v>41</v>
      </c>
      <c r="D3462" s="27" t="s">
        <v>43</v>
      </c>
      <c r="E3462" s="28" t="n">
        <f aca="false">ROUND((SUMIFS(Acerto_Detalhado!$F$2:$F$433,Acerto_Detalhado!$A$2:$A$433,$C3462,Acerto_Detalhado!$B$2:$B$433,"Set",Acerto_Detalhado!$C$2:$C$433,"Fibra"))*(SUMIFS(Acerto_Detalhado!$I$2:$I$433,Acerto_Detalhado!$A$2:$A$433,$D3462,Acerto_Detalhado!$B$2:$B$433,"Set",Acerto_Detalhado!$C$2:$C$433,"Fibra")),2)</f>
        <v>0</v>
      </c>
    </row>
    <row r="3463" customFormat="false" ht="15" hidden="false" customHeight="false" outlineLevel="0" collapsed="false">
      <c r="A3463" s="27" t="s">
        <v>119</v>
      </c>
      <c r="B3463" s="27" t="s">
        <v>111</v>
      </c>
      <c r="C3463" s="27" t="s">
        <v>41</v>
      </c>
      <c r="D3463" s="27" t="s">
        <v>44</v>
      </c>
      <c r="E3463" s="28" t="n">
        <f aca="false">ROUND((SUMIFS(Acerto_Detalhado!$F$2:$F$433,Acerto_Detalhado!$A$2:$A$433,$C3463,Acerto_Detalhado!$B$2:$B$433,"Set",Acerto_Detalhado!$C$2:$C$433,"Fibra"))*(SUMIFS(Acerto_Detalhado!$I$2:$I$433,Acerto_Detalhado!$A$2:$A$433,$D3463,Acerto_Detalhado!$B$2:$B$433,"Set",Acerto_Detalhado!$C$2:$C$433,"Fibra")),2)</f>
        <v>0</v>
      </c>
    </row>
    <row r="3464" customFormat="false" ht="15" hidden="false" customHeight="false" outlineLevel="0" collapsed="false">
      <c r="A3464" s="27" t="s">
        <v>119</v>
      </c>
      <c r="B3464" s="27" t="s">
        <v>111</v>
      </c>
      <c r="C3464" s="27" t="s">
        <v>41</v>
      </c>
      <c r="D3464" s="27" t="s">
        <v>45</v>
      </c>
      <c r="E3464" s="28" t="n">
        <f aca="false">ROUND((SUMIFS(Acerto_Detalhado!$F$2:$F$433,Acerto_Detalhado!$A$2:$A$433,$C3464,Acerto_Detalhado!$B$2:$B$433,"Set",Acerto_Detalhado!$C$2:$C$433,"Fibra"))*(SUMIFS(Acerto_Detalhado!$I$2:$I$433,Acerto_Detalhado!$A$2:$A$433,$D3464,Acerto_Detalhado!$B$2:$B$433,"Set",Acerto_Detalhado!$C$2:$C$433,"Fibra")),2)</f>
        <v>0</v>
      </c>
    </row>
    <row r="3465" customFormat="false" ht="15" hidden="false" customHeight="false" outlineLevel="0" collapsed="false">
      <c r="A3465" s="27" t="s">
        <v>119</v>
      </c>
      <c r="B3465" s="27" t="s">
        <v>111</v>
      </c>
      <c r="C3465" s="27" t="s">
        <v>41</v>
      </c>
      <c r="D3465" s="27" t="s">
        <v>46</v>
      </c>
      <c r="E3465" s="28" t="n">
        <f aca="false">ROUND((SUMIFS(Acerto_Detalhado!$F$2:$F$433,Acerto_Detalhado!$A$2:$A$433,$C3465,Acerto_Detalhado!$B$2:$B$433,"Set",Acerto_Detalhado!$C$2:$C$433,"Fibra"))*(SUMIFS(Acerto_Detalhado!$I$2:$I$433,Acerto_Detalhado!$A$2:$A$433,$D3465,Acerto_Detalhado!$B$2:$B$433,"Set",Acerto_Detalhado!$C$2:$C$433,"Fibra")),2)</f>
        <v>0</v>
      </c>
    </row>
    <row r="3466" customFormat="false" ht="15" hidden="false" customHeight="false" outlineLevel="0" collapsed="false">
      <c r="A3466" s="27" t="s">
        <v>119</v>
      </c>
      <c r="B3466" s="27" t="s">
        <v>111</v>
      </c>
      <c r="C3466" s="27" t="s">
        <v>41</v>
      </c>
      <c r="D3466" s="27" t="s">
        <v>47</v>
      </c>
      <c r="E3466" s="28" t="n">
        <f aca="false">ROUND((SUMIFS(Acerto_Detalhado!$F$2:$F$433,Acerto_Detalhado!$A$2:$A$433,$C3466,Acerto_Detalhado!$B$2:$B$433,"Set",Acerto_Detalhado!$C$2:$C$433,"Fibra"))*(SUMIFS(Acerto_Detalhado!$I$2:$I$433,Acerto_Detalhado!$A$2:$A$433,$D3466,Acerto_Detalhado!$B$2:$B$433,"Set",Acerto_Detalhado!$C$2:$C$433,"Fibra")),2)</f>
        <v>0</v>
      </c>
    </row>
    <row r="3467" customFormat="false" ht="15" hidden="false" customHeight="false" outlineLevel="0" collapsed="false">
      <c r="A3467" s="27" t="s">
        <v>119</v>
      </c>
      <c r="B3467" s="27" t="s">
        <v>111</v>
      </c>
      <c r="C3467" s="27" t="s">
        <v>41</v>
      </c>
      <c r="D3467" s="27" t="s">
        <v>48</v>
      </c>
      <c r="E3467" s="28" t="n">
        <f aca="false">ROUND((SUMIFS(Acerto_Detalhado!$F$2:$F$433,Acerto_Detalhado!$A$2:$A$433,$C3467,Acerto_Detalhado!$B$2:$B$433,"Set",Acerto_Detalhado!$C$2:$C$433,"Fibra"))*(SUMIFS(Acerto_Detalhado!$I$2:$I$433,Acerto_Detalhado!$A$2:$A$433,$D3467,Acerto_Detalhado!$B$2:$B$433,"Set",Acerto_Detalhado!$C$2:$C$433,"Fibra")),2)</f>
        <v>0</v>
      </c>
    </row>
    <row r="3468" customFormat="false" ht="15" hidden="false" customHeight="false" outlineLevel="0" collapsed="false">
      <c r="A3468" s="27" t="s">
        <v>119</v>
      </c>
      <c r="B3468" s="27" t="s">
        <v>111</v>
      </c>
      <c r="C3468" s="27" t="s">
        <v>41</v>
      </c>
      <c r="D3468" s="27" t="s">
        <v>49</v>
      </c>
      <c r="E3468" s="28" t="n">
        <f aca="false">ROUND((SUMIFS(Acerto_Detalhado!$F$2:$F$433,Acerto_Detalhado!$A$2:$A$433,$C3468,Acerto_Detalhado!$B$2:$B$433,"Set",Acerto_Detalhado!$C$2:$C$433,"Fibra"))*(SUMIFS(Acerto_Detalhado!$I$2:$I$433,Acerto_Detalhado!$A$2:$A$433,$D3468,Acerto_Detalhado!$B$2:$B$433,"Set",Acerto_Detalhado!$C$2:$C$433,"Fibra")),2)</f>
        <v>0</v>
      </c>
    </row>
    <row r="3469" customFormat="false" ht="15" hidden="false" customHeight="false" outlineLevel="0" collapsed="false">
      <c r="A3469" s="27" t="s">
        <v>119</v>
      </c>
      <c r="B3469" s="27" t="s">
        <v>111</v>
      </c>
      <c r="C3469" s="27" t="s">
        <v>41</v>
      </c>
      <c r="D3469" s="27" t="s">
        <v>50</v>
      </c>
      <c r="E3469" s="28" t="n">
        <f aca="false">ROUND((SUMIFS(Acerto_Detalhado!$F$2:$F$433,Acerto_Detalhado!$A$2:$A$433,$C3469,Acerto_Detalhado!$B$2:$B$433,"Set",Acerto_Detalhado!$C$2:$C$433,"Fibra"))*(SUMIFS(Acerto_Detalhado!$I$2:$I$433,Acerto_Detalhado!$A$2:$A$433,$D3469,Acerto_Detalhado!$B$2:$B$433,"Set",Acerto_Detalhado!$C$2:$C$433,"Fibra")),2)</f>
        <v>0</v>
      </c>
    </row>
    <row r="3470" customFormat="false" ht="15" hidden="false" customHeight="false" outlineLevel="0" collapsed="false">
      <c r="A3470" s="27" t="s">
        <v>119</v>
      </c>
      <c r="B3470" s="27" t="s">
        <v>111</v>
      </c>
      <c r="C3470" s="27" t="s">
        <v>42</v>
      </c>
      <c r="D3470" s="27" t="s">
        <v>39</v>
      </c>
      <c r="E3470" s="28" t="n">
        <f aca="false">ROUND((SUMIFS(Acerto_Detalhado!$F$2:$F$433,Acerto_Detalhado!$A$2:$A$433,$C3470,Acerto_Detalhado!$B$2:$B$433,"Set",Acerto_Detalhado!$C$2:$C$433,"Fibra"))*(SUMIFS(Acerto_Detalhado!$I$2:$I$433,Acerto_Detalhado!$A$2:$A$433,$D3470,Acerto_Detalhado!$B$2:$B$433,"Set",Acerto_Detalhado!$C$2:$C$433,"Fibra")),2)</f>
        <v>0</v>
      </c>
    </row>
    <row r="3471" customFormat="false" ht="15" hidden="false" customHeight="false" outlineLevel="0" collapsed="false">
      <c r="A3471" s="27" t="s">
        <v>119</v>
      </c>
      <c r="B3471" s="27" t="s">
        <v>111</v>
      </c>
      <c r="C3471" s="27" t="s">
        <v>42</v>
      </c>
      <c r="D3471" s="27" t="s">
        <v>40</v>
      </c>
      <c r="E3471" s="28" t="n">
        <f aca="false">ROUND((SUMIFS(Acerto_Detalhado!$F$2:$F$433,Acerto_Detalhado!$A$2:$A$433,$C3471,Acerto_Detalhado!$B$2:$B$433,"Set",Acerto_Detalhado!$C$2:$C$433,"Fibra"))*(SUMIFS(Acerto_Detalhado!$I$2:$I$433,Acerto_Detalhado!$A$2:$A$433,$D3471,Acerto_Detalhado!$B$2:$B$433,"Set",Acerto_Detalhado!$C$2:$C$433,"Fibra")),2)</f>
        <v>32.74</v>
      </c>
    </row>
    <row r="3472" customFormat="false" ht="15" hidden="false" customHeight="false" outlineLevel="0" collapsed="false">
      <c r="A3472" s="27" t="s">
        <v>119</v>
      </c>
      <c r="B3472" s="27" t="s">
        <v>111</v>
      </c>
      <c r="C3472" s="27" t="s">
        <v>42</v>
      </c>
      <c r="D3472" s="27" t="s">
        <v>41</v>
      </c>
      <c r="E3472" s="28" t="n">
        <f aca="false">ROUND((SUMIFS(Acerto_Detalhado!$F$2:$F$433,Acerto_Detalhado!$A$2:$A$433,$C3472,Acerto_Detalhado!$B$2:$B$433,"Set",Acerto_Detalhado!$C$2:$C$433,"Fibra"))*(SUMIFS(Acerto_Detalhado!$I$2:$I$433,Acerto_Detalhado!$A$2:$A$433,$D3472,Acerto_Detalhado!$B$2:$B$433,"Set",Acerto_Detalhado!$C$2:$C$433,"Fibra")),2)</f>
        <v>14.82</v>
      </c>
    </row>
    <row r="3473" customFormat="false" ht="15" hidden="false" customHeight="false" outlineLevel="0" collapsed="false">
      <c r="A3473" s="27" t="s">
        <v>119</v>
      </c>
      <c r="B3473" s="27" t="s">
        <v>111</v>
      </c>
      <c r="C3473" s="27" t="s">
        <v>42</v>
      </c>
      <c r="D3473" s="27" t="s">
        <v>43</v>
      </c>
      <c r="E3473" s="28" t="n">
        <f aca="false">ROUND((SUMIFS(Acerto_Detalhado!$F$2:$F$433,Acerto_Detalhado!$A$2:$A$433,$C3473,Acerto_Detalhado!$B$2:$B$433,"Set",Acerto_Detalhado!$C$2:$C$433,"Fibra"))*(SUMIFS(Acerto_Detalhado!$I$2:$I$433,Acerto_Detalhado!$A$2:$A$433,$D3473,Acerto_Detalhado!$B$2:$B$433,"Set",Acerto_Detalhado!$C$2:$C$433,"Fibra")),2)</f>
        <v>59.09</v>
      </c>
    </row>
    <row r="3474" customFormat="false" ht="15" hidden="false" customHeight="false" outlineLevel="0" collapsed="false">
      <c r="A3474" s="27" t="s">
        <v>119</v>
      </c>
      <c r="B3474" s="27" t="s">
        <v>111</v>
      </c>
      <c r="C3474" s="27" t="s">
        <v>42</v>
      </c>
      <c r="D3474" s="27" t="s">
        <v>44</v>
      </c>
      <c r="E3474" s="28" t="n">
        <f aca="false">ROUND((SUMIFS(Acerto_Detalhado!$F$2:$F$433,Acerto_Detalhado!$A$2:$A$433,$C3474,Acerto_Detalhado!$B$2:$B$433,"Set",Acerto_Detalhado!$C$2:$C$433,"Fibra"))*(SUMIFS(Acerto_Detalhado!$I$2:$I$433,Acerto_Detalhado!$A$2:$A$433,$D3474,Acerto_Detalhado!$B$2:$B$433,"Set",Acerto_Detalhado!$C$2:$C$433,"Fibra")),2)</f>
        <v>18.24</v>
      </c>
    </row>
    <row r="3475" customFormat="false" ht="15" hidden="false" customHeight="false" outlineLevel="0" collapsed="false">
      <c r="A3475" s="27" t="s">
        <v>119</v>
      </c>
      <c r="B3475" s="27" t="s">
        <v>111</v>
      </c>
      <c r="C3475" s="27" t="s">
        <v>42</v>
      </c>
      <c r="D3475" s="27" t="s">
        <v>45</v>
      </c>
      <c r="E3475" s="28" t="n">
        <f aca="false">ROUND((SUMIFS(Acerto_Detalhado!$F$2:$F$433,Acerto_Detalhado!$A$2:$A$433,$C3475,Acerto_Detalhado!$B$2:$B$433,"Set",Acerto_Detalhado!$C$2:$C$433,"Fibra"))*(SUMIFS(Acerto_Detalhado!$I$2:$I$433,Acerto_Detalhado!$A$2:$A$433,$D3475,Acerto_Detalhado!$B$2:$B$433,"Set",Acerto_Detalhado!$C$2:$C$433,"Fibra")),2)</f>
        <v>0</v>
      </c>
    </row>
    <row r="3476" customFormat="false" ht="15" hidden="false" customHeight="false" outlineLevel="0" collapsed="false">
      <c r="A3476" s="27" t="s">
        <v>119</v>
      </c>
      <c r="B3476" s="27" t="s">
        <v>111</v>
      </c>
      <c r="C3476" s="27" t="s">
        <v>42</v>
      </c>
      <c r="D3476" s="27" t="s">
        <v>46</v>
      </c>
      <c r="E3476" s="28" t="n">
        <f aca="false">ROUND((SUMIFS(Acerto_Detalhado!$F$2:$F$433,Acerto_Detalhado!$A$2:$A$433,$C3476,Acerto_Detalhado!$B$2:$B$433,"Set",Acerto_Detalhado!$C$2:$C$433,"Fibra"))*(SUMIFS(Acerto_Detalhado!$I$2:$I$433,Acerto_Detalhado!$A$2:$A$433,$D3476,Acerto_Detalhado!$B$2:$B$433,"Set",Acerto_Detalhado!$C$2:$C$433,"Fibra")),2)</f>
        <v>0</v>
      </c>
    </row>
    <row r="3477" customFormat="false" ht="15" hidden="false" customHeight="false" outlineLevel="0" collapsed="false">
      <c r="A3477" s="27" t="s">
        <v>119</v>
      </c>
      <c r="B3477" s="27" t="s">
        <v>111</v>
      </c>
      <c r="C3477" s="27" t="s">
        <v>42</v>
      </c>
      <c r="D3477" s="27" t="s">
        <v>47</v>
      </c>
      <c r="E3477" s="28" t="n">
        <f aca="false">ROUND((SUMIFS(Acerto_Detalhado!$F$2:$F$433,Acerto_Detalhado!$A$2:$A$433,$C3477,Acerto_Detalhado!$B$2:$B$433,"Set",Acerto_Detalhado!$C$2:$C$433,"Fibra"))*(SUMIFS(Acerto_Detalhado!$I$2:$I$433,Acerto_Detalhado!$A$2:$A$433,$D3477,Acerto_Detalhado!$B$2:$B$433,"Set",Acerto_Detalhado!$C$2:$C$433,"Fibra")),2)</f>
        <v>0</v>
      </c>
    </row>
    <row r="3478" customFormat="false" ht="15" hidden="false" customHeight="false" outlineLevel="0" collapsed="false">
      <c r="A3478" s="27" t="s">
        <v>119</v>
      </c>
      <c r="B3478" s="27" t="s">
        <v>111</v>
      </c>
      <c r="C3478" s="27" t="s">
        <v>42</v>
      </c>
      <c r="D3478" s="27" t="s">
        <v>48</v>
      </c>
      <c r="E3478" s="28" t="n">
        <f aca="false">ROUND((SUMIFS(Acerto_Detalhado!$F$2:$F$433,Acerto_Detalhado!$A$2:$A$433,$C3478,Acerto_Detalhado!$B$2:$B$433,"Set",Acerto_Detalhado!$C$2:$C$433,"Fibra"))*(SUMIFS(Acerto_Detalhado!$I$2:$I$433,Acerto_Detalhado!$A$2:$A$433,$D3478,Acerto_Detalhado!$B$2:$B$433,"Set",Acerto_Detalhado!$C$2:$C$433,"Fibra")),2)</f>
        <v>24.1</v>
      </c>
    </row>
    <row r="3479" customFormat="false" ht="15" hidden="false" customHeight="false" outlineLevel="0" collapsed="false">
      <c r="A3479" s="27" t="s">
        <v>119</v>
      </c>
      <c r="B3479" s="27" t="s">
        <v>111</v>
      </c>
      <c r="C3479" s="27" t="s">
        <v>42</v>
      </c>
      <c r="D3479" s="27" t="s">
        <v>49</v>
      </c>
      <c r="E3479" s="28" t="n">
        <f aca="false">ROUND((SUMIFS(Acerto_Detalhado!$F$2:$F$433,Acerto_Detalhado!$A$2:$A$433,$C3479,Acerto_Detalhado!$B$2:$B$433,"Set",Acerto_Detalhado!$C$2:$C$433,"Fibra"))*(SUMIFS(Acerto_Detalhado!$I$2:$I$433,Acerto_Detalhado!$A$2:$A$433,$D3479,Acerto_Detalhado!$B$2:$B$433,"Set",Acerto_Detalhado!$C$2:$C$433,"Fibra")),2)</f>
        <v>0</v>
      </c>
    </row>
    <row r="3480" customFormat="false" ht="15" hidden="false" customHeight="false" outlineLevel="0" collapsed="false">
      <c r="A3480" s="27" t="s">
        <v>119</v>
      </c>
      <c r="B3480" s="27" t="s">
        <v>111</v>
      </c>
      <c r="C3480" s="27" t="s">
        <v>42</v>
      </c>
      <c r="D3480" s="27" t="s">
        <v>50</v>
      </c>
      <c r="E3480" s="28" t="n">
        <f aca="false">ROUND((SUMIFS(Acerto_Detalhado!$F$2:$F$433,Acerto_Detalhado!$A$2:$A$433,$C3480,Acerto_Detalhado!$B$2:$B$433,"Set",Acerto_Detalhado!$C$2:$C$433,"Fibra"))*(SUMIFS(Acerto_Detalhado!$I$2:$I$433,Acerto_Detalhado!$A$2:$A$433,$D3480,Acerto_Detalhado!$B$2:$B$433,"Set",Acerto_Detalhado!$C$2:$C$433,"Fibra")),2)</f>
        <v>0</v>
      </c>
    </row>
    <row r="3481" customFormat="false" ht="15" hidden="false" customHeight="false" outlineLevel="0" collapsed="false">
      <c r="A3481" s="27" t="s">
        <v>119</v>
      </c>
      <c r="B3481" s="27" t="s">
        <v>111</v>
      </c>
      <c r="C3481" s="27" t="s">
        <v>43</v>
      </c>
      <c r="D3481" s="27" t="s">
        <v>39</v>
      </c>
      <c r="E3481" s="28" t="n">
        <f aca="false">ROUND((SUMIFS(Acerto_Detalhado!$F$2:$F$433,Acerto_Detalhado!$A$2:$A$433,$C3481,Acerto_Detalhado!$B$2:$B$433,"Set",Acerto_Detalhado!$C$2:$C$433,"Fibra"))*(SUMIFS(Acerto_Detalhado!$I$2:$I$433,Acerto_Detalhado!$A$2:$A$433,$D3481,Acerto_Detalhado!$B$2:$B$433,"Set",Acerto_Detalhado!$C$2:$C$433,"Fibra")),2)</f>
        <v>0</v>
      </c>
    </row>
    <row r="3482" customFormat="false" ht="15" hidden="false" customHeight="false" outlineLevel="0" collapsed="false">
      <c r="A3482" s="27" t="s">
        <v>119</v>
      </c>
      <c r="B3482" s="27" t="s">
        <v>111</v>
      </c>
      <c r="C3482" s="27" t="s">
        <v>43</v>
      </c>
      <c r="D3482" s="27" t="s">
        <v>40</v>
      </c>
      <c r="E3482" s="28" t="n">
        <f aca="false">ROUND((SUMIFS(Acerto_Detalhado!$F$2:$F$433,Acerto_Detalhado!$A$2:$A$433,$C3482,Acerto_Detalhado!$B$2:$B$433,"Set",Acerto_Detalhado!$C$2:$C$433,"Fibra"))*(SUMIFS(Acerto_Detalhado!$I$2:$I$433,Acerto_Detalhado!$A$2:$A$433,$D3482,Acerto_Detalhado!$B$2:$B$433,"Set",Acerto_Detalhado!$C$2:$C$433,"Fibra")),2)</f>
        <v>0</v>
      </c>
    </row>
    <row r="3483" customFormat="false" ht="15" hidden="false" customHeight="false" outlineLevel="0" collapsed="false">
      <c r="A3483" s="27" t="s">
        <v>119</v>
      </c>
      <c r="B3483" s="27" t="s">
        <v>111</v>
      </c>
      <c r="C3483" s="27" t="s">
        <v>43</v>
      </c>
      <c r="D3483" s="27" t="s">
        <v>41</v>
      </c>
      <c r="E3483" s="28" t="n">
        <f aca="false">ROUND((SUMIFS(Acerto_Detalhado!$F$2:$F$433,Acerto_Detalhado!$A$2:$A$433,$C3483,Acerto_Detalhado!$B$2:$B$433,"Set",Acerto_Detalhado!$C$2:$C$433,"Fibra"))*(SUMIFS(Acerto_Detalhado!$I$2:$I$433,Acerto_Detalhado!$A$2:$A$433,$D3483,Acerto_Detalhado!$B$2:$B$433,"Set",Acerto_Detalhado!$C$2:$C$433,"Fibra")),2)</f>
        <v>0</v>
      </c>
    </row>
    <row r="3484" customFormat="false" ht="15" hidden="false" customHeight="false" outlineLevel="0" collapsed="false">
      <c r="A3484" s="27" t="s">
        <v>119</v>
      </c>
      <c r="B3484" s="27" t="s">
        <v>111</v>
      </c>
      <c r="C3484" s="27" t="s">
        <v>43</v>
      </c>
      <c r="D3484" s="27" t="s">
        <v>42</v>
      </c>
      <c r="E3484" s="28" t="n">
        <f aca="false">ROUND((SUMIFS(Acerto_Detalhado!$F$2:$F$433,Acerto_Detalhado!$A$2:$A$433,$C3484,Acerto_Detalhado!$B$2:$B$433,"Set",Acerto_Detalhado!$C$2:$C$433,"Fibra"))*(SUMIFS(Acerto_Detalhado!$I$2:$I$433,Acerto_Detalhado!$A$2:$A$433,$D3484,Acerto_Detalhado!$B$2:$B$433,"Set",Acerto_Detalhado!$C$2:$C$433,"Fibra")),2)</f>
        <v>0</v>
      </c>
    </row>
    <row r="3485" customFormat="false" ht="15" hidden="false" customHeight="false" outlineLevel="0" collapsed="false">
      <c r="A3485" s="27" t="s">
        <v>119</v>
      </c>
      <c r="B3485" s="27" t="s">
        <v>111</v>
      </c>
      <c r="C3485" s="27" t="s">
        <v>43</v>
      </c>
      <c r="D3485" s="27" t="s">
        <v>44</v>
      </c>
      <c r="E3485" s="28" t="n">
        <f aca="false">ROUND((SUMIFS(Acerto_Detalhado!$F$2:$F$433,Acerto_Detalhado!$A$2:$A$433,$C3485,Acerto_Detalhado!$B$2:$B$433,"Set",Acerto_Detalhado!$C$2:$C$433,"Fibra"))*(SUMIFS(Acerto_Detalhado!$I$2:$I$433,Acerto_Detalhado!$A$2:$A$433,$D3485,Acerto_Detalhado!$B$2:$B$433,"Set",Acerto_Detalhado!$C$2:$C$433,"Fibra")),2)</f>
        <v>0</v>
      </c>
    </row>
    <row r="3486" customFormat="false" ht="15" hidden="false" customHeight="false" outlineLevel="0" collapsed="false">
      <c r="A3486" s="27" t="s">
        <v>119</v>
      </c>
      <c r="B3486" s="27" t="s">
        <v>111</v>
      </c>
      <c r="C3486" s="27" t="s">
        <v>43</v>
      </c>
      <c r="D3486" s="27" t="s">
        <v>45</v>
      </c>
      <c r="E3486" s="28" t="n">
        <f aca="false">ROUND((SUMIFS(Acerto_Detalhado!$F$2:$F$433,Acerto_Detalhado!$A$2:$A$433,$C3486,Acerto_Detalhado!$B$2:$B$433,"Set",Acerto_Detalhado!$C$2:$C$433,"Fibra"))*(SUMIFS(Acerto_Detalhado!$I$2:$I$433,Acerto_Detalhado!$A$2:$A$433,$D3486,Acerto_Detalhado!$B$2:$B$433,"Set",Acerto_Detalhado!$C$2:$C$433,"Fibra")),2)</f>
        <v>0</v>
      </c>
    </row>
    <row r="3487" customFormat="false" ht="15" hidden="false" customHeight="false" outlineLevel="0" collapsed="false">
      <c r="A3487" s="27" t="s">
        <v>119</v>
      </c>
      <c r="B3487" s="27" t="s">
        <v>111</v>
      </c>
      <c r="C3487" s="27" t="s">
        <v>43</v>
      </c>
      <c r="D3487" s="27" t="s">
        <v>46</v>
      </c>
      <c r="E3487" s="28" t="n">
        <f aca="false">ROUND((SUMIFS(Acerto_Detalhado!$F$2:$F$433,Acerto_Detalhado!$A$2:$A$433,$C3487,Acerto_Detalhado!$B$2:$B$433,"Set",Acerto_Detalhado!$C$2:$C$433,"Fibra"))*(SUMIFS(Acerto_Detalhado!$I$2:$I$433,Acerto_Detalhado!$A$2:$A$433,$D3487,Acerto_Detalhado!$B$2:$B$433,"Set",Acerto_Detalhado!$C$2:$C$433,"Fibra")),2)</f>
        <v>0</v>
      </c>
    </row>
    <row r="3488" customFormat="false" ht="15" hidden="false" customHeight="false" outlineLevel="0" collapsed="false">
      <c r="A3488" s="27" t="s">
        <v>119</v>
      </c>
      <c r="B3488" s="27" t="s">
        <v>111</v>
      </c>
      <c r="C3488" s="27" t="s">
        <v>43</v>
      </c>
      <c r="D3488" s="27" t="s">
        <v>47</v>
      </c>
      <c r="E3488" s="28" t="n">
        <f aca="false">ROUND((SUMIFS(Acerto_Detalhado!$F$2:$F$433,Acerto_Detalhado!$A$2:$A$433,$C3488,Acerto_Detalhado!$B$2:$B$433,"Set",Acerto_Detalhado!$C$2:$C$433,"Fibra"))*(SUMIFS(Acerto_Detalhado!$I$2:$I$433,Acerto_Detalhado!$A$2:$A$433,$D3488,Acerto_Detalhado!$B$2:$B$433,"Set",Acerto_Detalhado!$C$2:$C$433,"Fibra")),2)</f>
        <v>0</v>
      </c>
    </row>
    <row r="3489" customFormat="false" ht="15" hidden="false" customHeight="false" outlineLevel="0" collapsed="false">
      <c r="A3489" s="27" t="s">
        <v>119</v>
      </c>
      <c r="B3489" s="27" t="s">
        <v>111</v>
      </c>
      <c r="C3489" s="27" t="s">
        <v>43</v>
      </c>
      <c r="D3489" s="27" t="s">
        <v>48</v>
      </c>
      <c r="E3489" s="28" t="n">
        <f aca="false">ROUND((SUMIFS(Acerto_Detalhado!$F$2:$F$433,Acerto_Detalhado!$A$2:$A$433,$C3489,Acerto_Detalhado!$B$2:$B$433,"Set",Acerto_Detalhado!$C$2:$C$433,"Fibra"))*(SUMIFS(Acerto_Detalhado!$I$2:$I$433,Acerto_Detalhado!$A$2:$A$433,$D3489,Acerto_Detalhado!$B$2:$B$433,"Set",Acerto_Detalhado!$C$2:$C$433,"Fibra")),2)</f>
        <v>0</v>
      </c>
    </row>
    <row r="3490" customFormat="false" ht="15" hidden="false" customHeight="false" outlineLevel="0" collapsed="false">
      <c r="A3490" s="27" t="s">
        <v>119</v>
      </c>
      <c r="B3490" s="27" t="s">
        <v>111</v>
      </c>
      <c r="C3490" s="27" t="s">
        <v>43</v>
      </c>
      <c r="D3490" s="27" t="s">
        <v>49</v>
      </c>
      <c r="E3490" s="28" t="n">
        <f aca="false">ROUND((SUMIFS(Acerto_Detalhado!$F$2:$F$433,Acerto_Detalhado!$A$2:$A$433,$C3490,Acerto_Detalhado!$B$2:$B$433,"Set",Acerto_Detalhado!$C$2:$C$433,"Fibra"))*(SUMIFS(Acerto_Detalhado!$I$2:$I$433,Acerto_Detalhado!$A$2:$A$433,$D3490,Acerto_Detalhado!$B$2:$B$433,"Set",Acerto_Detalhado!$C$2:$C$433,"Fibra")),2)</f>
        <v>0</v>
      </c>
    </row>
    <row r="3491" customFormat="false" ht="15" hidden="false" customHeight="false" outlineLevel="0" collapsed="false">
      <c r="A3491" s="27" t="s">
        <v>119</v>
      </c>
      <c r="B3491" s="27" t="s">
        <v>111</v>
      </c>
      <c r="C3491" s="27" t="s">
        <v>43</v>
      </c>
      <c r="D3491" s="27" t="s">
        <v>50</v>
      </c>
      <c r="E3491" s="28" t="n">
        <f aca="false">ROUND((SUMIFS(Acerto_Detalhado!$F$2:$F$433,Acerto_Detalhado!$A$2:$A$433,$C3491,Acerto_Detalhado!$B$2:$B$433,"Set",Acerto_Detalhado!$C$2:$C$433,"Fibra"))*(SUMIFS(Acerto_Detalhado!$I$2:$I$433,Acerto_Detalhado!$A$2:$A$433,$D3491,Acerto_Detalhado!$B$2:$B$433,"Set",Acerto_Detalhado!$C$2:$C$433,"Fibra")),2)</f>
        <v>0</v>
      </c>
    </row>
    <row r="3492" customFormat="false" ht="15" hidden="false" customHeight="false" outlineLevel="0" collapsed="false">
      <c r="A3492" s="27" t="s">
        <v>119</v>
      </c>
      <c r="B3492" s="27" t="s">
        <v>111</v>
      </c>
      <c r="C3492" s="27" t="s">
        <v>44</v>
      </c>
      <c r="D3492" s="27" t="s">
        <v>39</v>
      </c>
      <c r="E3492" s="28" t="n">
        <f aca="false">ROUND((SUMIFS(Acerto_Detalhado!$F$2:$F$433,Acerto_Detalhado!$A$2:$A$433,$C3492,Acerto_Detalhado!$B$2:$B$433,"Set",Acerto_Detalhado!$C$2:$C$433,"Fibra"))*(SUMIFS(Acerto_Detalhado!$I$2:$I$433,Acerto_Detalhado!$A$2:$A$433,$D3492,Acerto_Detalhado!$B$2:$B$433,"Set",Acerto_Detalhado!$C$2:$C$433,"Fibra")),2)</f>
        <v>0</v>
      </c>
    </row>
    <row r="3493" customFormat="false" ht="15" hidden="false" customHeight="false" outlineLevel="0" collapsed="false">
      <c r="A3493" s="27" t="s">
        <v>119</v>
      </c>
      <c r="B3493" s="27" t="s">
        <v>111</v>
      </c>
      <c r="C3493" s="27" t="s">
        <v>44</v>
      </c>
      <c r="D3493" s="27" t="s">
        <v>40</v>
      </c>
      <c r="E3493" s="28" t="n">
        <f aca="false">ROUND((SUMIFS(Acerto_Detalhado!$F$2:$F$433,Acerto_Detalhado!$A$2:$A$433,$C3493,Acerto_Detalhado!$B$2:$B$433,"Set",Acerto_Detalhado!$C$2:$C$433,"Fibra"))*(SUMIFS(Acerto_Detalhado!$I$2:$I$433,Acerto_Detalhado!$A$2:$A$433,$D3493,Acerto_Detalhado!$B$2:$B$433,"Set",Acerto_Detalhado!$C$2:$C$433,"Fibra")),2)</f>
        <v>0</v>
      </c>
    </row>
    <row r="3494" customFormat="false" ht="15" hidden="false" customHeight="false" outlineLevel="0" collapsed="false">
      <c r="A3494" s="27" t="s">
        <v>119</v>
      </c>
      <c r="B3494" s="27" t="s">
        <v>111</v>
      </c>
      <c r="C3494" s="27" t="s">
        <v>44</v>
      </c>
      <c r="D3494" s="27" t="s">
        <v>41</v>
      </c>
      <c r="E3494" s="28" t="n">
        <f aca="false">ROUND((SUMIFS(Acerto_Detalhado!$F$2:$F$433,Acerto_Detalhado!$A$2:$A$433,$C3494,Acerto_Detalhado!$B$2:$B$433,"Set",Acerto_Detalhado!$C$2:$C$433,"Fibra"))*(SUMIFS(Acerto_Detalhado!$I$2:$I$433,Acerto_Detalhado!$A$2:$A$433,$D3494,Acerto_Detalhado!$B$2:$B$433,"Set",Acerto_Detalhado!$C$2:$C$433,"Fibra")),2)</f>
        <v>0</v>
      </c>
    </row>
    <row r="3495" customFormat="false" ht="15" hidden="false" customHeight="false" outlineLevel="0" collapsed="false">
      <c r="A3495" s="27" t="s">
        <v>119</v>
      </c>
      <c r="B3495" s="27" t="s">
        <v>111</v>
      </c>
      <c r="C3495" s="27" t="s">
        <v>44</v>
      </c>
      <c r="D3495" s="27" t="s">
        <v>42</v>
      </c>
      <c r="E3495" s="28" t="n">
        <f aca="false">ROUND((SUMIFS(Acerto_Detalhado!$F$2:$F$433,Acerto_Detalhado!$A$2:$A$433,$C3495,Acerto_Detalhado!$B$2:$B$433,"Set",Acerto_Detalhado!$C$2:$C$433,"Fibra"))*(SUMIFS(Acerto_Detalhado!$I$2:$I$433,Acerto_Detalhado!$A$2:$A$433,$D3495,Acerto_Detalhado!$B$2:$B$433,"Set",Acerto_Detalhado!$C$2:$C$433,"Fibra")),2)</f>
        <v>0</v>
      </c>
    </row>
    <row r="3496" customFormat="false" ht="15" hidden="false" customHeight="false" outlineLevel="0" collapsed="false">
      <c r="A3496" s="27" t="s">
        <v>119</v>
      </c>
      <c r="B3496" s="27" t="s">
        <v>111</v>
      </c>
      <c r="C3496" s="27" t="s">
        <v>44</v>
      </c>
      <c r="D3496" s="27" t="s">
        <v>43</v>
      </c>
      <c r="E3496" s="28" t="n">
        <f aca="false">ROUND((SUMIFS(Acerto_Detalhado!$F$2:$F$433,Acerto_Detalhado!$A$2:$A$433,$C3496,Acerto_Detalhado!$B$2:$B$433,"Set",Acerto_Detalhado!$C$2:$C$433,"Fibra"))*(SUMIFS(Acerto_Detalhado!$I$2:$I$433,Acerto_Detalhado!$A$2:$A$433,$D3496,Acerto_Detalhado!$B$2:$B$433,"Set",Acerto_Detalhado!$C$2:$C$433,"Fibra")),2)</f>
        <v>0</v>
      </c>
    </row>
    <row r="3497" customFormat="false" ht="15" hidden="false" customHeight="false" outlineLevel="0" collapsed="false">
      <c r="A3497" s="27" t="s">
        <v>119</v>
      </c>
      <c r="B3497" s="27" t="s">
        <v>111</v>
      </c>
      <c r="C3497" s="27" t="s">
        <v>44</v>
      </c>
      <c r="D3497" s="27" t="s">
        <v>45</v>
      </c>
      <c r="E3497" s="28" t="n">
        <f aca="false">ROUND((SUMIFS(Acerto_Detalhado!$F$2:$F$433,Acerto_Detalhado!$A$2:$A$433,$C3497,Acerto_Detalhado!$B$2:$B$433,"Set",Acerto_Detalhado!$C$2:$C$433,"Fibra"))*(SUMIFS(Acerto_Detalhado!$I$2:$I$433,Acerto_Detalhado!$A$2:$A$433,$D3497,Acerto_Detalhado!$B$2:$B$433,"Set",Acerto_Detalhado!$C$2:$C$433,"Fibra")),2)</f>
        <v>0</v>
      </c>
    </row>
    <row r="3498" customFormat="false" ht="15" hidden="false" customHeight="false" outlineLevel="0" collapsed="false">
      <c r="A3498" s="27" t="s">
        <v>119</v>
      </c>
      <c r="B3498" s="27" t="s">
        <v>111</v>
      </c>
      <c r="C3498" s="27" t="s">
        <v>44</v>
      </c>
      <c r="D3498" s="27" t="s">
        <v>46</v>
      </c>
      <c r="E3498" s="28" t="n">
        <f aca="false">ROUND((SUMIFS(Acerto_Detalhado!$F$2:$F$433,Acerto_Detalhado!$A$2:$A$433,$C3498,Acerto_Detalhado!$B$2:$B$433,"Set",Acerto_Detalhado!$C$2:$C$433,"Fibra"))*(SUMIFS(Acerto_Detalhado!$I$2:$I$433,Acerto_Detalhado!$A$2:$A$433,$D3498,Acerto_Detalhado!$B$2:$B$433,"Set",Acerto_Detalhado!$C$2:$C$433,"Fibra")),2)</f>
        <v>0</v>
      </c>
    </row>
    <row r="3499" customFormat="false" ht="15" hidden="false" customHeight="false" outlineLevel="0" collapsed="false">
      <c r="A3499" s="27" t="s">
        <v>119</v>
      </c>
      <c r="B3499" s="27" t="s">
        <v>111</v>
      </c>
      <c r="C3499" s="27" t="s">
        <v>44</v>
      </c>
      <c r="D3499" s="27" t="s">
        <v>47</v>
      </c>
      <c r="E3499" s="28" t="n">
        <f aca="false">ROUND((SUMIFS(Acerto_Detalhado!$F$2:$F$433,Acerto_Detalhado!$A$2:$A$433,$C3499,Acerto_Detalhado!$B$2:$B$433,"Set",Acerto_Detalhado!$C$2:$C$433,"Fibra"))*(SUMIFS(Acerto_Detalhado!$I$2:$I$433,Acerto_Detalhado!$A$2:$A$433,$D3499,Acerto_Detalhado!$B$2:$B$433,"Set",Acerto_Detalhado!$C$2:$C$433,"Fibra")),2)</f>
        <v>0</v>
      </c>
    </row>
    <row r="3500" customFormat="false" ht="15" hidden="false" customHeight="false" outlineLevel="0" collapsed="false">
      <c r="A3500" s="27" t="s">
        <v>119</v>
      </c>
      <c r="B3500" s="27" t="s">
        <v>111</v>
      </c>
      <c r="C3500" s="27" t="s">
        <v>44</v>
      </c>
      <c r="D3500" s="27" t="s">
        <v>48</v>
      </c>
      <c r="E3500" s="28" t="n">
        <f aca="false">ROUND((SUMIFS(Acerto_Detalhado!$F$2:$F$433,Acerto_Detalhado!$A$2:$A$433,$C3500,Acerto_Detalhado!$B$2:$B$433,"Set",Acerto_Detalhado!$C$2:$C$433,"Fibra"))*(SUMIFS(Acerto_Detalhado!$I$2:$I$433,Acerto_Detalhado!$A$2:$A$433,$D3500,Acerto_Detalhado!$B$2:$B$433,"Set",Acerto_Detalhado!$C$2:$C$433,"Fibra")),2)</f>
        <v>0</v>
      </c>
    </row>
    <row r="3501" customFormat="false" ht="15" hidden="false" customHeight="false" outlineLevel="0" collapsed="false">
      <c r="A3501" s="27" t="s">
        <v>119</v>
      </c>
      <c r="B3501" s="27" t="s">
        <v>111</v>
      </c>
      <c r="C3501" s="27" t="s">
        <v>44</v>
      </c>
      <c r="D3501" s="27" t="s">
        <v>49</v>
      </c>
      <c r="E3501" s="28" t="n">
        <f aca="false">ROUND((SUMIFS(Acerto_Detalhado!$F$2:$F$433,Acerto_Detalhado!$A$2:$A$433,$C3501,Acerto_Detalhado!$B$2:$B$433,"Set",Acerto_Detalhado!$C$2:$C$433,"Fibra"))*(SUMIFS(Acerto_Detalhado!$I$2:$I$433,Acerto_Detalhado!$A$2:$A$433,$D3501,Acerto_Detalhado!$B$2:$B$433,"Set",Acerto_Detalhado!$C$2:$C$433,"Fibra")),2)</f>
        <v>0</v>
      </c>
    </row>
    <row r="3502" customFormat="false" ht="15" hidden="false" customHeight="false" outlineLevel="0" collapsed="false">
      <c r="A3502" s="27" t="s">
        <v>119</v>
      </c>
      <c r="B3502" s="27" t="s">
        <v>111</v>
      </c>
      <c r="C3502" s="27" t="s">
        <v>44</v>
      </c>
      <c r="D3502" s="27" t="s">
        <v>50</v>
      </c>
      <c r="E3502" s="28" t="n">
        <f aca="false">ROUND((SUMIFS(Acerto_Detalhado!$F$2:$F$433,Acerto_Detalhado!$A$2:$A$433,$C3502,Acerto_Detalhado!$B$2:$B$433,"Set",Acerto_Detalhado!$C$2:$C$433,"Fibra"))*(SUMIFS(Acerto_Detalhado!$I$2:$I$433,Acerto_Detalhado!$A$2:$A$433,$D3502,Acerto_Detalhado!$B$2:$B$433,"Set",Acerto_Detalhado!$C$2:$C$433,"Fibra")),2)</f>
        <v>0</v>
      </c>
    </row>
    <row r="3503" customFormat="false" ht="15" hidden="false" customHeight="false" outlineLevel="0" collapsed="false">
      <c r="A3503" s="27" t="s">
        <v>119</v>
      </c>
      <c r="B3503" s="27" t="s">
        <v>111</v>
      </c>
      <c r="C3503" s="27" t="s">
        <v>45</v>
      </c>
      <c r="D3503" s="27" t="s">
        <v>39</v>
      </c>
      <c r="E3503" s="28" t="n">
        <f aca="false">ROUND((SUMIFS(Acerto_Detalhado!$F$2:$F$433,Acerto_Detalhado!$A$2:$A$433,$C3503,Acerto_Detalhado!$B$2:$B$433,"Set",Acerto_Detalhado!$C$2:$C$433,"Fibra"))*(SUMIFS(Acerto_Detalhado!$I$2:$I$433,Acerto_Detalhado!$A$2:$A$433,$D3503,Acerto_Detalhado!$B$2:$B$433,"Set",Acerto_Detalhado!$C$2:$C$433,"Fibra")),2)</f>
        <v>0</v>
      </c>
    </row>
    <row r="3504" customFormat="false" ht="15" hidden="false" customHeight="false" outlineLevel="0" collapsed="false">
      <c r="A3504" s="27" t="s">
        <v>119</v>
      </c>
      <c r="B3504" s="27" t="s">
        <v>111</v>
      </c>
      <c r="C3504" s="27" t="s">
        <v>45</v>
      </c>
      <c r="D3504" s="27" t="s">
        <v>40</v>
      </c>
      <c r="E3504" s="28" t="n">
        <f aca="false">ROUND((SUMIFS(Acerto_Detalhado!$F$2:$F$433,Acerto_Detalhado!$A$2:$A$433,$C3504,Acerto_Detalhado!$B$2:$B$433,"Set",Acerto_Detalhado!$C$2:$C$433,"Fibra"))*(SUMIFS(Acerto_Detalhado!$I$2:$I$433,Acerto_Detalhado!$A$2:$A$433,$D3504,Acerto_Detalhado!$B$2:$B$433,"Set",Acerto_Detalhado!$C$2:$C$433,"Fibra")),2)</f>
        <v>1906.25</v>
      </c>
    </row>
    <row r="3505" customFormat="false" ht="15" hidden="false" customHeight="false" outlineLevel="0" collapsed="false">
      <c r="A3505" s="27" t="s">
        <v>119</v>
      </c>
      <c r="B3505" s="27" t="s">
        <v>111</v>
      </c>
      <c r="C3505" s="27" t="s">
        <v>45</v>
      </c>
      <c r="D3505" s="27" t="s">
        <v>41</v>
      </c>
      <c r="E3505" s="28" t="n">
        <f aca="false">ROUND((SUMIFS(Acerto_Detalhado!$F$2:$F$433,Acerto_Detalhado!$A$2:$A$433,$C3505,Acerto_Detalhado!$B$2:$B$433,"Set",Acerto_Detalhado!$C$2:$C$433,"Fibra"))*(SUMIFS(Acerto_Detalhado!$I$2:$I$433,Acerto_Detalhado!$A$2:$A$433,$D3505,Acerto_Detalhado!$B$2:$B$433,"Set",Acerto_Detalhado!$C$2:$C$433,"Fibra")),2)</f>
        <v>863.14</v>
      </c>
    </row>
    <row r="3506" customFormat="false" ht="15" hidden="false" customHeight="false" outlineLevel="0" collapsed="false">
      <c r="A3506" s="27" t="s">
        <v>119</v>
      </c>
      <c r="B3506" s="27" t="s">
        <v>111</v>
      </c>
      <c r="C3506" s="27" t="s">
        <v>45</v>
      </c>
      <c r="D3506" s="27" t="s">
        <v>42</v>
      </c>
      <c r="E3506" s="28" t="n">
        <f aca="false">ROUND((SUMIFS(Acerto_Detalhado!$F$2:$F$433,Acerto_Detalhado!$A$2:$A$433,$C3506,Acerto_Detalhado!$B$2:$B$433,"Set",Acerto_Detalhado!$C$2:$C$433,"Fibra"))*(SUMIFS(Acerto_Detalhado!$I$2:$I$433,Acerto_Detalhado!$A$2:$A$433,$D3506,Acerto_Detalhado!$B$2:$B$433,"Set",Acerto_Detalhado!$C$2:$C$433,"Fibra")),2)</f>
        <v>0</v>
      </c>
    </row>
    <row r="3507" customFormat="false" ht="15" hidden="false" customHeight="false" outlineLevel="0" collapsed="false">
      <c r="A3507" s="27" t="s">
        <v>119</v>
      </c>
      <c r="B3507" s="27" t="s">
        <v>111</v>
      </c>
      <c r="C3507" s="27" t="s">
        <v>45</v>
      </c>
      <c r="D3507" s="27" t="s">
        <v>43</v>
      </c>
      <c r="E3507" s="28" t="n">
        <f aca="false">ROUND((SUMIFS(Acerto_Detalhado!$F$2:$F$433,Acerto_Detalhado!$A$2:$A$433,$C3507,Acerto_Detalhado!$B$2:$B$433,"Set",Acerto_Detalhado!$C$2:$C$433,"Fibra"))*(SUMIFS(Acerto_Detalhado!$I$2:$I$433,Acerto_Detalhado!$A$2:$A$433,$D3507,Acerto_Detalhado!$B$2:$B$433,"Set",Acerto_Detalhado!$C$2:$C$433,"Fibra")),2)</f>
        <v>3440.98</v>
      </c>
    </row>
    <row r="3508" customFormat="false" ht="15" hidden="false" customHeight="false" outlineLevel="0" collapsed="false">
      <c r="A3508" s="27" t="s">
        <v>119</v>
      </c>
      <c r="B3508" s="27" t="s">
        <v>111</v>
      </c>
      <c r="C3508" s="27" t="s">
        <v>45</v>
      </c>
      <c r="D3508" s="27" t="s">
        <v>44</v>
      </c>
      <c r="E3508" s="28" t="n">
        <f aca="false">ROUND((SUMIFS(Acerto_Detalhado!$F$2:$F$433,Acerto_Detalhado!$A$2:$A$433,$C3508,Acerto_Detalhado!$B$2:$B$433,"Set",Acerto_Detalhado!$C$2:$C$433,"Fibra"))*(SUMIFS(Acerto_Detalhado!$I$2:$I$433,Acerto_Detalhado!$A$2:$A$433,$D3508,Acerto_Detalhado!$B$2:$B$433,"Set",Acerto_Detalhado!$C$2:$C$433,"Fibra")),2)</f>
        <v>1061.81</v>
      </c>
    </row>
    <row r="3509" customFormat="false" ht="15" hidden="false" customHeight="false" outlineLevel="0" collapsed="false">
      <c r="A3509" s="27" t="s">
        <v>119</v>
      </c>
      <c r="B3509" s="27" t="s">
        <v>111</v>
      </c>
      <c r="C3509" s="27" t="s">
        <v>45</v>
      </c>
      <c r="D3509" s="27" t="s">
        <v>46</v>
      </c>
      <c r="E3509" s="28" t="n">
        <f aca="false">ROUND((SUMIFS(Acerto_Detalhado!$F$2:$F$433,Acerto_Detalhado!$A$2:$A$433,$C3509,Acerto_Detalhado!$B$2:$B$433,"Set",Acerto_Detalhado!$C$2:$C$433,"Fibra"))*(SUMIFS(Acerto_Detalhado!$I$2:$I$433,Acerto_Detalhado!$A$2:$A$433,$D3509,Acerto_Detalhado!$B$2:$B$433,"Set",Acerto_Detalhado!$C$2:$C$433,"Fibra")),2)</f>
        <v>0</v>
      </c>
    </row>
    <row r="3510" customFormat="false" ht="15" hidden="false" customHeight="false" outlineLevel="0" collapsed="false">
      <c r="A3510" s="27" t="s">
        <v>119</v>
      </c>
      <c r="B3510" s="27" t="s">
        <v>111</v>
      </c>
      <c r="C3510" s="27" t="s">
        <v>45</v>
      </c>
      <c r="D3510" s="27" t="s">
        <v>47</v>
      </c>
      <c r="E3510" s="28" t="n">
        <f aca="false">ROUND((SUMIFS(Acerto_Detalhado!$F$2:$F$433,Acerto_Detalhado!$A$2:$A$433,$C3510,Acerto_Detalhado!$B$2:$B$433,"Set",Acerto_Detalhado!$C$2:$C$433,"Fibra"))*(SUMIFS(Acerto_Detalhado!$I$2:$I$433,Acerto_Detalhado!$A$2:$A$433,$D3510,Acerto_Detalhado!$B$2:$B$433,"Set",Acerto_Detalhado!$C$2:$C$433,"Fibra")),2)</f>
        <v>0</v>
      </c>
    </row>
    <row r="3511" customFormat="false" ht="15" hidden="false" customHeight="false" outlineLevel="0" collapsed="false">
      <c r="A3511" s="27" t="s">
        <v>119</v>
      </c>
      <c r="B3511" s="27" t="s">
        <v>111</v>
      </c>
      <c r="C3511" s="27" t="s">
        <v>45</v>
      </c>
      <c r="D3511" s="27" t="s">
        <v>48</v>
      </c>
      <c r="E3511" s="28" t="n">
        <f aca="false">ROUND((SUMIFS(Acerto_Detalhado!$F$2:$F$433,Acerto_Detalhado!$A$2:$A$433,$C3511,Acerto_Detalhado!$B$2:$B$433,"Set",Acerto_Detalhado!$C$2:$C$433,"Fibra"))*(SUMIFS(Acerto_Detalhado!$I$2:$I$433,Acerto_Detalhado!$A$2:$A$433,$D3511,Acerto_Detalhado!$B$2:$B$433,"Set",Acerto_Detalhado!$C$2:$C$433,"Fibra")),2)</f>
        <v>1403.35</v>
      </c>
    </row>
    <row r="3512" customFormat="false" ht="15" hidden="false" customHeight="false" outlineLevel="0" collapsed="false">
      <c r="A3512" s="27" t="s">
        <v>119</v>
      </c>
      <c r="B3512" s="27" t="s">
        <v>111</v>
      </c>
      <c r="C3512" s="27" t="s">
        <v>45</v>
      </c>
      <c r="D3512" s="27" t="s">
        <v>49</v>
      </c>
      <c r="E3512" s="28" t="n">
        <f aca="false">ROUND((SUMIFS(Acerto_Detalhado!$F$2:$F$433,Acerto_Detalhado!$A$2:$A$433,$C3512,Acerto_Detalhado!$B$2:$B$433,"Set",Acerto_Detalhado!$C$2:$C$433,"Fibra"))*(SUMIFS(Acerto_Detalhado!$I$2:$I$433,Acerto_Detalhado!$A$2:$A$433,$D3512,Acerto_Detalhado!$B$2:$B$433,"Set",Acerto_Detalhado!$C$2:$C$433,"Fibra")),2)</f>
        <v>0</v>
      </c>
    </row>
    <row r="3513" customFormat="false" ht="15" hidden="false" customHeight="false" outlineLevel="0" collapsed="false">
      <c r="A3513" s="27" t="s">
        <v>119</v>
      </c>
      <c r="B3513" s="27" t="s">
        <v>111</v>
      </c>
      <c r="C3513" s="27" t="s">
        <v>45</v>
      </c>
      <c r="D3513" s="27" t="s">
        <v>50</v>
      </c>
      <c r="E3513" s="28" t="n">
        <f aca="false">ROUND((SUMIFS(Acerto_Detalhado!$F$2:$F$433,Acerto_Detalhado!$A$2:$A$433,$C3513,Acerto_Detalhado!$B$2:$B$433,"Set",Acerto_Detalhado!$C$2:$C$433,"Fibra"))*(SUMIFS(Acerto_Detalhado!$I$2:$I$433,Acerto_Detalhado!$A$2:$A$433,$D3513,Acerto_Detalhado!$B$2:$B$433,"Set",Acerto_Detalhado!$C$2:$C$433,"Fibra")),2)</f>
        <v>0</v>
      </c>
    </row>
    <row r="3514" customFormat="false" ht="15" hidden="false" customHeight="false" outlineLevel="0" collapsed="false">
      <c r="A3514" s="27" t="s">
        <v>119</v>
      </c>
      <c r="B3514" s="27" t="s">
        <v>111</v>
      </c>
      <c r="C3514" s="27" t="s">
        <v>46</v>
      </c>
      <c r="D3514" s="27" t="s">
        <v>39</v>
      </c>
      <c r="E3514" s="28" t="n">
        <f aca="false">ROUND((SUMIFS(Acerto_Detalhado!$F$2:$F$433,Acerto_Detalhado!$A$2:$A$433,$C3514,Acerto_Detalhado!$B$2:$B$433,"Set",Acerto_Detalhado!$C$2:$C$433,"Fibra"))*(SUMIFS(Acerto_Detalhado!$I$2:$I$433,Acerto_Detalhado!$A$2:$A$433,$D3514,Acerto_Detalhado!$B$2:$B$433,"Set",Acerto_Detalhado!$C$2:$C$433,"Fibra")),2)</f>
        <v>0</v>
      </c>
    </row>
    <row r="3515" customFormat="false" ht="15" hidden="false" customHeight="false" outlineLevel="0" collapsed="false">
      <c r="A3515" s="27" t="s">
        <v>119</v>
      </c>
      <c r="B3515" s="27" t="s">
        <v>111</v>
      </c>
      <c r="C3515" s="27" t="s">
        <v>46</v>
      </c>
      <c r="D3515" s="27" t="s">
        <v>40</v>
      </c>
      <c r="E3515" s="28" t="n">
        <f aca="false">ROUND((SUMIFS(Acerto_Detalhado!$F$2:$F$433,Acerto_Detalhado!$A$2:$A$433,$C3515,Acerto_Detalhado!$B$2:$B$433,"Set",Acerto_Detalhado!$C$2:$C$433,"Fibra"))*(SUMIFS(Acerto_Detalhado!$I$2:$I$433,Acerto_Detalhado!$A$2:$A$433,$D3515,Acerto_Detalhado!$B$2:$B$433,"Set",Acerto_Detalhado!$C$2:$C$433,"Fibra")),2)</f>
        <v>331.03</v>
      </c>
    </row>
    <row r="3516" customFormat="false" ht="15" hidden="false" customHeight="false" outlineLevel="0" collapsed="false">
      <c r="A3516" s="27" t="s">
        <v>119</v>
      </c>
      <c r="B3516" s="27" t="s">
        <v>111</v>
      </c>
      <c r="C3516" s="27" t="s">
        <v>46</v>
      </c>
      <c r="D3516" s="27" t="s">
        <v>41</v>
      </c>
      <c r="E3516" s="28" t="n">
        <f aca="false">ROUND((SUMIFS(Acerto_Detalhado!$F$2:$F$433,Acerto_Detalhado!$A$2:$A$433,$C3516,Acerto_Detalhado!$B$2:$B$433,"Set",Acerto_Detalhado!$C$2:$C$433,"Fibra"))*(SUMIFS(Acerto_Detalhado!$I$2:$I$433,Acerto_Detalhado!$A$2:$A$433,$D3516,Acerto_Detalhado!$B$2:$B$433,"Set",Acerto_Detalhado!$C$2:$C$433,"Fibra")),2)</f>
        <v>149.89</v>
      </c>
    </row>
    <row r="3517" customFormat="false" ht="15" hidden="false" customHeight="false" outlineLevel="0" collapsed="false">
      <c r="A3517" s="27" t="s">
        <v>119</v>
      </c>
      <c r="B3517" s="27" t="s">
        <v>111</v>
      </c>
      <c r="C3517" s="27" t="s">
        <v>46</v>
      </c>
      <c r="D3517" s="27" t="s">
        <v>42</v>
      </c>
      <c r="E3517" s="28" t="n">
        <f aca="false">ROUND((SUMIFS(Acerto_Detalhado!$F$2:$F$433,Acerto_Detalhado!$A$2:$A$433,$C3517,Acerto_Detalhado!$B$2:$B$433,"Set",Acerto_Detalhado!$C$2:$C$433,"Fibra"))*(SUMIFS(Acerto_Detalhado!$I$2:$I$433,Acerto_Detalhado!$A$2:$A$433,$D3517,Acerto_Detalhado!$B$2:$B$433,"Set",Acerto_Detalhado!$C$2:$C$433,"Fibra")),2)</f>
        <v>0</v>
      </c>
    </row>
    <row r="3518" customFormat="false" ht="15" hidden="false" customHeight="false" outlineLevel="0" collapsed="false">
      <c r="A3518" s="27" t="s">
        <v>119</v>
      </c>
      <c r="B3518" s="27" t="s">
        <v>111</v>
      </c>
      <c r="C3518" s="27" t="s">
        <v>46</v>
      </c>
      <c r="D3518" s="27" t="s">
        <v>43</v>
      </c>
      <c r="E3518" s="28" t="n">
        <f aca="false">ROUND((SUMIFS(Acerto_Detalhado!$F$2:$F$433,Acerto_Detalhado!$A$2:$A$433,$C3518,Acerto_Detalhado!$B$2:$B$433,"Set",Acerto_Detalhado!$C$2:$C$433,"Fibra"))*(SUMIFS(Acerto_Detalhado!$I$2:$I$433,Acerto_Detalhado!$A$2:$A$433,$D3518,Acerto_Detalhado!$B$2:$B$433,"Set",Acerto_Detalhado!$C$2:$C$433,"Fibra")),2)</f>
        <v>597.54</v>
      </c>
    </row>
    <row r="3519" customFormat="false" ht="15" hidden="false" customHeight="false" outlineLevel="0" collapsed="false">
      <c r="A3519" s="27" t="s">
        <v>119</v>
      </c>
      <c r="B3519" s="27" t="s">
        <v>111</v>
      </c>
      <c r="C3519" s="27" t="s">
        <v>46</v>
      </c>
      <c r="D3519" s="27" t="s">
        <v>44</v>
      </c>
      <c r="E3519" s="28" t="n">
        <f aca="false">ROUND((SUMIFS(Acerto_Detalhado!$F$2:$F$433,Acerto_Detalhado!$A$2:$A$433,$C3519,Acerto_Detalhado!$B$2:$B$433,"Set",Acerto_Detalhado!$C$2:$C$433,"Fibra"))*(SUMIFS(Acerto_Detalhado!$I$2:$I$433,Acerto_Detalhado!$A$2:$A$433,$D3519,Acerto_Detalhado!$B$2:$B$433,"Set",Acerto_Detalhado!$C$2:$C$433,"Fibra")),2)</f>
        <v>184.39</v>
      </c>
    </row>
    <row r="3520" customFormat="false" ht="15" hidden="false" customHeight="false" outlineLevel="0" collapsed="false">
      <c r="A3520" s="27" t="s">
        <v>119</v>
      </c>
      <c r="B3520" s="27" t="s">
        <v>111</v>
      </c>
      <c r="C3520" s="27" t="s">
        <v>46</v>
      </c>
      <c r="D3520" s="27" t="s">
        <v>45</v>
      </c>
      <c r="E3520" s="28" t="n">
        <f aca="false">ROUND((SUMIFS(Acerto_Detalhado!$F$2:$F$433,Acerto_Detalhado!$A$2:$A$433,$C3520,Acerto_Detalhado!$B$2:$B$433,"Set",Acerto_Detalhado!$C$2:$C$433,"Fibra"))*(SUMIFS(Acerto_Detalhado!$I$2:$I$433,Acerto_Detalhado!$A$2:$A$433,$D3520,Acerto_Detalhado!$B$2:$B$433,"Set",Acerto_Detalhado!$C$2:$C$433,"Fibra")),2)</f>
        <v>0</v>
      </c>
    </row>
    <row r="3521" customFormat="false" ht="15" hidden="false" customHeight="false" outlineLevel="0" collapsed="false">
      <c r="A3521" s="27" t="s">
        <v>119</v>
      </c>
      <c r="B3521" s="27" t="s">
        <v>111</v>
      </c>
      <c r="C3521" s="27" t="s">
        <v>46</v>
      </c>
      <c r="D3521" s="27" t="s">
        <v>47</v>
      </c>
      <c r="E3521" s="28" t="n">
        <f aca="false">ROUND((SUMIFS(Acerto_Detalhado!$F$2:$F$433,Acerto_Detalhado!$A$2:$A$433,$C3521,Acerto_Detalhado!$B$2:$B$433,"Set",Acerto_Detalhado!$C$2:$C$433,"Fibra"))*(SUMIFS(Acerto_Detalhado!$I$2:$I$433,Acerto_Detalhado!$A$2:$A$433,$D3521,Acerto_Detalhado!$B$2:$B$433,"Set",Acerto_Detalhado!$C$2:$C$433,"Fibra")),2)</f>
        <v>0</v>
      </c>
    </row>
    <row r="3522" customFormat="false" ht="15" hidden="false" customHeight="false" outlineLevel="0" collapsed="false">
      <c r="A3522" s="27" t="s">
        <v>119</v>
      </c>
      <c r="B3522" s="27" t="s">
        <v>111</v>
      </c>
      <c r="C3522" s="27" t="s">
        <v>46</v>
      </c>
      <c r="D3522" s="27" t="s">
        <v>48</v>
      </c>
      <c r="E3522" s="28" t="n">
        <f aca="false">ROUND((SUMIFS(Acerto_Detalhado!$F$2:$F$433,Acerto_Detalhado!$A$2:$A$433,$C3522,Acerto_Detalhado!$B$2:$B$433,"Set",Acerto_Detalhado!$C$2:$C$433,"Fibra"))*(SUMIFS(Acerto_Detalhado!$I$2:$I$433,Acerto_Detalhado!$A$2:$A$433,$D3522,Acerto_Detalhado!$B$2:$B$433,"Set",Acerto_Detalhado!$C$2:$C$433,"Fibra")),2)</f>
        <v>243.7</v>
      </c>
    </row>
    <row r="3523" customFormat="false" ht="15" hidden="false" customHeight="false" outlineLevel="0" collapsed="false">
      <c r="A3523" s="27" t="s">
        <v>119</v>
      </c>
      <c r="B3523" s="27" t="s">
        <v>111</v>
      </c>
      <c r="C3523" s="27" t="s">
        <v>46</v>
      </c>
      <c r="D3523" s="27" t="s">
        <v>49</v>
      </c>
      <c r="E3523" s="28" t="n">
        <f aca="false">ROUND((SUMIFS(Acerto_Detalhado!$F$2:$F$433,Acerto_Detalhado!$A$2:$A$433,$C3523,Acerto_Detalhado!$B$2:$B$433,"Set",Acerto_Detalhado!$C$2:$C$433,"Fibra"))*(SUMIFS(Acerto_Detalhado!$I$2:$I$433,Acerto_Detalhado!$A$2:$A$433,$D3523,Acerto_Detalhado!$B$2:$B$433,"Set",Acerto_Detalhado!$C$2:$C$433,"Fibra")),2)</f>
        <v>0</v>
      </c>
    </row>
    <row r="3524" customFormat="false" ht="15" hidden="false" customHeight="false" outlineLevel="0" collapsed="false">
      <c r="A3524" s="27" t="s">
        <v>119</v>
      </c>
      <c r="B3524" s="27" t="s">
        <v>111</v>
      </c>
      <c r="C3524" s="27" t="s">
        <v>46</v>
      </c>
      <c r="D3524" s="27" t="s">
        <v>50</v>
      </c>
      <c r="E3524" s="28" t="n">
        <f aca="false">ROUND((SUMIFS(Acerto_Detalhado!$F$2:$F$433,Acerto_Detalhado!$A$2:$A$433,$C3524,Acerto_Detalhado!$B$2:$B$433,"Set",Acerto_Detalhado!$C$2:$C$433,"Fibra"))*(SUMIFS(Acerto_Detalhado!$I$2:$I$433,Acerto_Detalhado!$A$2:$A$433,$D3524,Acerto_Detalhado!$B$2:$B$433,"Set",Acerto_Detalhado!$C$2:$C$433,"Fibra")),2)</f>
        <v>0</v>
      </c>
    </row>
    <row r="3525" customFormat="false" ht="15" hidden="false" customHeight="false" outlineLevel="0" collapsed="false">
      <c r="A3525" s="27" t="s">
        <v>119</v>
      </c>
      <c r="B3525" s="27" t="s">
        <v>111</v>
      </c>
      <c r="C3525" s="27" t="s">
        <v>47</v>
      </c>
      <c r="D3525" s="27" t="s">
        <v>39</v>
      </c>
      <c r="E3525" s="28" t="n">
        <f aca="false">ROUND((SUMIFS(Acerto_Detalhado!$F$2:$F$433,Acerto_Detalhado!$A$2:$A$433,$C3525,Acerto_Detalhado!$B$2:$B$433,"Set",Acerto_Detalhado!$C$2:$C$433,"Fibra"))*(SUMIFS(Acerto_Detalhado!$I$2:$I$433,Acerto_Detalhado!$A$2:$A$433,$D3525,Acerto_Detalhado!$B$2:$B$433,"Set",Acerto_Detalhado!$C$2:$C$433,"Fibra")),2)</f>
        <v>0</v>
      </c>
    </row>
    <row r="3526" customFormat="false" ht="15" hidden="false" customHeight="false" outlineLevel="0" collapsed="false">
      <c r="A3526" s="27" t="s">
        <v>119</v>
      </c>
      <c r="B3526" s="27" t="s">
        <v>111</v>
      </c>
      <c r="C3526" s="27" t="s">
        <v>47</v>
      </c>
      <c r="D3526" s="27" t="s">
        <v>40</v>
      </c>
      <c r="E3526" s="28" t="n">
        <f aca="false">ROUND((SUMIFS(Acerto_Detalhado!$F$2:$F$433,Acerto_Detalhado!$A$2:$A$433,$C3526,Acerto_Detalhado!$B$2:$B$433,"Set",Acerto_Detalhado!$C$2:$C$433,"Fibra"))*(SUMIFS(Acerto_Detalhado!$I$2:$I$433,Acerto_Detalhado!$A$2:$A$433,$D3526,Acerto_Detalhado!$B$2:$B$433,"Set",Acerto_Detalhado!$C$2:$C$433,"Fibra")),2)</f>
        <v>0</v>
      </c>
    </row>
    <row r="3527" customFormat="false" ht="15" hidden="false" customHeight="false" outlineLevel="0" collapsed="false">
      <c r="A3527" s="27" t="s">
        <v>119</v>
      </c>
      <c r="B3527" s="27" t="s">
        <v>111</v>
      </c>
      <c r="C3527" s="27" t="s">
        <v>47</v>
      </c>
      <c r="D3527" s="27" t="s">
        <v>41</v>
      </c>
      <c r="E3527" s="28" t="n">
        <f aca="false">ROUND((SUMIFS(Acerto_Detalhado!$F$2:$F$433,Acerto_Detalhado!$A$2:$A$433,$C3527,Acerto_Detalhado!$B$2:$B$433,"Set",Acerto_Detalhado!$C$2:$C$433,"Fibra"))*(SUMIFS(Acerto_Detalhado!$I$2:$I$433,Acerto_Detalhado!$A$2:$A$433,$D3527,Acerto_Detalhado!$B$2:$B$433,"Set",Acerto_Detalhado!$C$2:$C$433,"Fibra")),2)</f>
        <v>0</v>
      </c>
    </row>
    <row r="3528" customFormat="false" ht="15" hidden="false" customHeight="false" outlineLevel="0" collapsed="false">
      <c r="A3528" s="27" t="s">
        <v>119</v>
      </c>
      <c r="B3528" s="27" t="s">
        <v>111</v>
      </c>
      <c r="C3528" s="27" t="s">
        <v>47</v>
      </c>
      <c r="D3528" s="27" t="s">
        <v>42</v>
      </c>
      <c r="E3528" s="28" t="n">
        <f aca="false">ROUND((SUMIFS(Acerto_Detalhado!$F$2:$F$433,Acerto_Detalhado!$A$2:$A$433,$C3528,Acerto_Detalhado!$B$2:$B$433,"Set",Acerto_Detalhado!$C$2:$C$433,"Fibra"))*(SUMIFS(Acerto_Detalhado!$I$2:$I$433,Acerto_Detalhado!$A$2:$A$433,$D3528,Acerto_Detalhado!$B$2:$B$433,"Set",Acerto_Detalhado!$C$2:$C$433,"Fibra")),2)</f>
        <v>0</v>
      </c>
    </row>
    <row r="3529" customFormat="false" ht="15" hidden="false" customHeight="false" outlineLevel="0" collapsed="false">
      <c r="A3529" s="27" t="s">
        <v>119</v>
      </c>
      <c r="B3529" s="27" t="s">
        <v>111</v>
      </c>
      <c r="C3529" s="27" t="s">
        <v>47</v>
      </c>
      <c r="D3529" s="27" t="s">
        <v>43</v>
      </c>
      <c r="E3529" s="28" t="n">
        <f aca="false">ROUND((SUMIFS(Acerto_Detalhado!$F$2:$F$433,Acerto_Detalhado!$A$2:$A$433,$C3529,Acerto_Detalhado!$B$2:$B$433,"Set",Acerto_Detalhado!$C$2:$C$433,"Fibra"))*(SUMIFS(Acerto_Detalhado!$I$2:$I$433,Acerto_Detalhado!$A$2:$A$433,$D3529,Acerto_Detalhado!$B$2:$B$433,"Set",Acerto_Detalhado!$C$2:$C$433,"Fibra")),2)</f>
        <v>0</v>
      </c>
    </row>
    <row r="3530" customFormat="false" ht="15" hidden="false" customHeight="false" outlineLevel="0" collapsed="false">
      <c r="A3530" s="27" t="s">
        <v>119</v>
      </c>
      <c r="B3530" s="27" t="s">
        <v>111</v>
      </c>
      <c r="C3530" s="27" t="s">
        <v>47</v>
      </c>
      <c r="D3530" s="27" t="s">
        <v>44</v>
      </c>
      <c r="E3530" s="28" t="n">
        <f aca="false">ROUND((SUMIFS(Acerto_Detalhado!$F$2:$F$433,Acerto_Detalhado!$A$2:$A$433,$C3530,Acerto_Detalhado!$B$2:$B$433,"Set",Acerto_Detalhado!$C$2:$C$433,"Fibra"))*(SUMIFS(Acerto_Detalhado!$I$2:$I$433,Acerto_Detalhado!$A$2:$A$433,$D3530,Acerto_Detalhado!$B$2:$B$433,"Set",Acerto_Detalhado!$C$2:$C$433,"Fibra")),2)</f>
        <v>0</v>
      </c>
    </row>
    <row r="3531" customFormat="false" ht="15" hidden="false" customHeight="false" outlineLevel="0" collapsed="false">
      <c r="A3531" s="27" t="s">
        <v>119</v>
      </c>
      <c r="B3531" s="27" t="s">
        <v>111</v>
      </c>
      <c r="C3531" s="27" t="s">
        <v>47</v>
      </c>
      <c r="D3531" s="27" t="s">
        <v>45</v>
      </c>
      <c r="E3531" s="28" t="n">
        <f aca="false">ROUND((SUMIFS(Acerto_Detalhado!$F$2:$F$433,Acerto_Detalhado!$A$2:$A$433,$C3531,Acerto_Detalhado!$B$2:$B$433,"Set",Acerto_Detalhado!$C$2:$C$433,"Fibra"))*(SUMIFS(Acerto_Detalhado!$I$2:$I$433,Acerto_Detalhado!$A$2:$A$433,$D3531,Acerto_Detalhado!$B$2:$B$433,"Set",Acerto_Detalhado!$C$2:$C$433,"Fibra")),2)</f>
        <v>0</v>
      </c>
    </row>
    <row r="3532" customFormat="false" ht="15" hidden="false" customHeight="false" outlineLevel="0" collapsed="false">
      <c r="A3532" s="27" t="s">
        <v>119</v>
      </c>
      <c r="B3532" s="27" t="s">
        <v>111</v>
      </c>
      <c r="C3532" s="27" t="s">
        <v>47</v>
      </c>
      <c r="D3532" s="27" t="s">
        <v>46</v>
      </c>
      <c r="E3532" s="28" t="n">
        <f aca="false">ROUND((SUMIFS(Acerto_Detalhado!$F$2:$F$433,Acerto_Detalhado!$A$2:$A$433,$C3532,Acerto_Detalhado!$B$2:$B$433,"Set",Acerto_Detalhado!$C$2:$C$433,"Fibra"))*(SUMIFS(Acerto_Detalhado!$I$2:$I$433,Acerto_Detalhado!$A$2:$A$433,$D3532,Acerto_Detalhado!$B$2:$B$433,"Set",Acerto_Detalhado!$C$2:$C$433,"Fibra")),2)</f>
        <v>0</v>
      </c>
    </row>
    <row r="3533" customFormat="false" ht="15" hidden="false" customHeight="false" outlineLevel="0" collapsed="false">
      <c r="A3533" s="27" t="s">
        <v>119</v>
      </c>
      <c r="B3533" s="27" t="s">
        <v>111</v>
      </c>
      <c r="C3533" s="27" t="s">
        <v>47</v>
      </c>
      <c r="D3533" s="27" t="s">
        <v>48</v>
      </c>
      <c r="E3533" s="28" t="n">
        <f aca="false">ROUND((SUMIFS(Acerto_Detalhado!$F$2:$F$433,Acerto_Detalhado!$A$2:$A$433,$C3533,Acerto_Detalhado!$B$2:$B$433,"Set",Acerto_Detalhado!$C$2:$C$433,"Fibra"))*(SUMIFS(Acerto_Detalhado!$I$2:$I$433,Acerto_Detalhado!$A$2:$A$433,$D3533,Acerto_Detalhado!$B$2:$B$433,"Set",Acerto_Detalhado!$C$2:$C$433,"Fibra")),2)</f>
        <v>0</v>
      </c>
    </row>
    <row r="3534" customFormat="false" ht="15" hidden="false" customHeight="false" outlineLevel="0" collapsed="false">
      <c r="A3534" s="27" t="s">
        <v>119</v>
      </c>
      <c r="B3534" s="27" t="s">
        <v>111</v>
      </c>
      <c r="C3534" s="27" t="s">
        <v>47</v>
      </c>
      <c r="D3534" s="27" t="s">
        <v>49</v>
      </c>
      <c r="E3534" s="28" t="n">
        <f aca="false">ROUND((SUMIFS(Acerto_Detalhado!$F$2:$F$433,Acerto_Detalhado!$A$2:$A$433,$C3534,Acerto_Detalhado!$B$2:$B$433,"Set",Acerto_Detalhado!$C$2:$C$433,"Fibra"))*(SUMIFS(Acerto_Detalhado!$I$2:$I$433,Acerto_Detalhado!$A$2:$A$433,$D3534,Acerto_Detalhado!$B$2:$B$433,"Set",Acerto_Detalhado!$C$2:$C$433,"Fibra")),2)</f>
        <v>0</v>
      </c>
    </row>
    <row r="3535" customFormat="false" ht="15" hidden="false" customHeight="false" outlineLevel="0" collapsed="false">
      <c r="A3535" s="27" t="s">
        <v>119</v>
      </c>
      <c r="B3535" s="27" t="s">
        <v>111</v>
      </c>
      <c r="C3535" s="27" t="s">
        <v>47</v>
      </c>
      <c r="D3535" s="27" t="s">
        <v>50</v>
      </c>
      <c r="E3535" s="28" t="n">
        <f aca="false">ROUND((SUMIFS(Acerto_Detalhado!$F$2:$F$433,Acerto_Detalhado!$A$2:$A$433,$C3535,Acerto_Detalhado!$B$2:$B$433,"Set",Acerto_Detalhado!$C$2:$C$433,"Fibra"))*(SUMIFS(Acerto_Detalhado!$I$2:$I$433,Acerto_Detalhado!$A$2:$A$433,$D3535,Acerto_Detalhado!$B$2:$B$433,"Set",Acerto_Detalhado!$C$2:$C$433,"Fibra")),2)</f>
        <v>0</v>
      </c>
    </row>
    <row r="3536" customFormat="false" ht="15" hidden="false" customHeight="false" outlineLevel="0" collapsed="false">
      <c r="A3536" s="27" t="s">
        <v>119</v>
      </c>
      <c r="B3536" s="27" t="s">
        <v>111</v>
      </c>
      <c r="C3536" s="27" t="s">
        <v>48</v>
      </c>
      <c r="D3536" s="27" t="s">
        <v>39</v>
      </c>
      <c r="E3536" s="28" t="n">
        <f aca="false">ROUND((SUMIFS(Acerto_Detalhado!$F$2:$F$433,Acerto_Detalhado!$A$2:$A$433,$C3536,Acerto_Detalhado!$B$2:$B$433,"Set",Acerto_Detalhado!$C$2:$C$433,"Fibra"))*(SUMIFS(Acerto_Detalhado!$I$2:$I$433,Acerto_Detalhado!$A$2:$A$433,$D3536,Acerto_Detalhado!$B$2:$B$433,"Set",Acerto_Detalhado!$C$2:$C$433,"Fibra")),2)</f>
        <v>0</v>
      </c>
    </row>
    <row r="3537" customFormat="false" ht="15" hidden="false" customHeight="false" outlineLevel="0" collapsed="false">
      <c r="A3537" s="27" t="s">
        <v>119</v>
      </c>
      <c r="B3537" s="27" t="s">
        <v>111</v>
      </c>
      <c r="C3537" s="27" t="s">
        <v>48</v>
      </c>
      <c r="D3537" s="27" t="s">
        <v>40</v>
      </c>
      <c r="E3537" s="28" t="n">
        <f aca="false">ROUND((SUMIFS(Acerto_Detalhado!$F$2:$F$433,Acerto_Detalhado!$A$2:$A$433,$C3537,Acerto_Detalhado!$B$2:$B$433,"Set",Acerto_Detalhado!$C$2:$C$433,"Fibra"))*(SUMIFS(Acerto_Detalhado!$I$2:$I$433,Acerto_Detalhado!$A$2:$A$433,$D3537,Acerto_Detalhado!$B$2:$B$433,"Set",Acerto_Detalhado!$C$2:$C$433,"Fibra")),2)</f>
        <v>0</v>
      </c>
    </row>
    <row r="3538" customFormat="false" ht="15" hidden="false" customHeight="false" outlineLevel="0" collapsed="false">
      <c r="A3538" s="27" t="s">
        <v>119</v>
      </c>
      <c r="B3538" s="27" t="s">
        <v>111</v>
      </c>
      <c r="C3538" s="27" t="s">
        <v>48</v>
      </c>
      <c r="D3538" s="27" t="s">
        <v>41</v>
      </c>
      <c r="E3538" s="28" t="n">
        <f aca="false">ROUND((SUMIFS(Acerto_Detalhado!$F$2:$F$433,Acerto_Detalhado!$A$2:$A$433,$C3538,Acerto_Detalhado!$B$2:$B$433,"Set",Acerto_Detalhado!$C$2:$C$433,"Fibra"))*(SUMIFS(Acerto_Detalhado!$I$2:$I$433,Acerto_Detalhado!$A$2:$A$433,$D3538,Acerto_Detalhado!$B$2:$B$433,"Set",Acerto_Detalhado!$C$2:$C$433,"Fibra")),2)</f>
        <v>0</v>
      </c>
    </row>
    <row r="3539" customFormat="false" ht="15" hidden="false" customHeight="false" outlineLevel="0" collapsed="false">
      <c r="A3539" s="27" t="s">
        <v>119</v>
      </c>
      <c r="B3539" s="27" t="s">
        <v>111</v>
      </c>
      <c r="C3539" s="27" t="s">
        <v>48</v>
      </c>
      <c r="D3539" s="27" t="s">
        <v>42</v>
      </c>
      <c r="E3539" s="28" t="n">
        <f aca="false">ROUND((SUMIFS(Acerto_Detalhado!$F$2:$F$433,Acerto_Detalhado!$A$2:$A$433,$C3539,Acerto_Detalhado!$B$2:$B$433,"Set",Acerto_Detalhado!$C$2:$C$433,"Fibra"))*(SUMIFS(Acerto_Detalhado!$I$2:$I$433,Acerto_Detalhado!$A$2:$A$433,$D3539,Acerto_Detalhado!$B$2:$B$433,"Set",Acerto_Detalhado!$C$2:$C$433,"Fibra")),2)</f>
        <v>0</v>
      </c>
    </row>
    <row r="3540" customFormat="false" ht="15" hidden="false" customHeight="false" outlineLevel="0" collapsed="false">
      <c r="A3540" s="27" t="s">
        <v>119</v>
      </c>
      <c r="B3540" s="27" t="s">
        <v>111</v>
      </c>
      <c r="C3540" s="27" t="s">
        <v>48</v>
      </c>
      <c r="D3540" s="27" t="s">
        <v>43</v>
      </c>
      <c r="E3540" s="28" t="n">
        <f aca="false">ROUND((SUMIFS(Acerto_Detalhado!$F$2:$F$433,Acerto_Detalhado!$A$2:$A$433,$C3540,Acerto_Detalhado!$B$2:$B$433,"Set",Acerto_Detalhado!$C$2:$C$433,"Fibra"))*(SUMIFS(Acerto_Detalhado!$I$2:$I$433,Acerto_Detalhado!$A$2:$A$433,$D3540,Acerto_Detalhado!$B$2:$B$433,"Set",Acerto_Detalhado!$C$2:$C$433,"Fibra")),2)</f>
        <v>0</v>
      </c>
    </row>
    <row r="3541" customFormat="false" ht="15" hidden="false" customHeight="false" outlineLevel="0" collapsed="false">
      <c r="A3541" s="27" t="s">
        <v>119</v>
      </c>
      <c r="B3541" s="27" t="s">
        <v>111</v>
      </c>
      <c r="C3541" s="27" t="s">
        <v>48</v>
      </c>
      <c r="D3541" s="27" t="s">
        <v>44</v>
      </c>
      <c r="E3541" s="28" t="n">
        <f aca="false">ROUND((SUMIFS(Acerto_Detalhado!$F$2:$F$433,Acerto_Detalhado!$A$2:$A$433,$C3541,Acerto_Detalhado!$B$2:$B$433,"Set",Acerto_Detalhado!$C$2:$C$433,"Fibra"))*(SUMIFS(Acerto_Detalhado!$I$2:$I$433,Acerto_Detalhado!$A$2:$A$433,$D3541,Acerto_Detalhado!$B$2:$B$433,"Set",Acerto_Detalhado!$C$2:$C$433,"Fibra")),2)</f>
        <v>0</v>
      </c>
    </row>
    <row r="3542" customFormat="false" ht="15" hidden="false" customHeight="false" outlineLevel="0" collapsed="false">
      <c r="A3542" s="27" t="s">
        <v>119</v>
      </c>
      <c r="B3542" s="27" t="s">
        <v>111</v>
      </c>
      <c r="C3542" s="27" t="s">
        <v>48</v>
      </c>
      <c r="D3542" s="27" t="s">
        <v>45</v>
      </c>
      <c r="E3542" s="28" t="n">
        <f aca="false">ROUND((SUMIFS(Acerto_Detalhado!$F$2:$F$433,Acerto_Detalhado!$A$2:$A$433,$C3542,Acerto_Detalhado!$B$2:$B$433,"Set",Acerto_Detalhado!$C$2:$C$433,"Fibra"))*(SUMIFS(Acerto_Detalhado!$I$2:$I$433,Acerto_Detalhado!$A$2:$A$433,$D3542,Acerto_Detalhado!$B$2:$B$433,"Set",Acerto_Detalhado!$C$2:$C$433,"Fibra")),2)</f>
        <v>0</v>
      </c>
    </row>
    <row r="3543" customFormat="false" ht="15" hidden="false" customHeight="false" outlineLevel="0" collapsed="false">
      <c r="A3543" s="27" t="s">
        <v>119</v>
      </c>
      <c r="B3543" s="27" t="s">
        <v>111</v>
      </c>
      <c r="C3543" s="27" t="s">
        <v>48</v>
      </c>
      <c r="D3543" s="27" t="s">
        <v>46</v>
      </c>
      <c r="E3543" s="28" t="n">
        <f aca="false">ROUND((SUMIFS(Acerto_Detalhado!$F$2:$F$433,Acerto_Detalhado!$A$2:$A$433,$C3543,Acerto_Detalhado!$B$2:$B$433,"Set",Acerto_Detalhado!$C$2:$C$433,"Fibra"))*(SUMIFS(Acerto_Detalhado!$I$2:$I$433,Acerto_Detalhado!$A$2:$A$433,$D3543,Acerto_Detalhado!$B$2:$B$433,"Set",Acerto_Detalhado!$C$2:$C$433,"Fibra")),2)</f>
        <v>0</v>
      </c>
    </row>
    <row r="3544" customFormat="false" ht="15" hidden="false" customHeight="false" outlineLevel="0" collapsed="false">
      <c r="A3544" s="27" t="s">
        <v>119</v>
      </c>
      <c r="B3544" s="27" t="s">
        <v>111</v>
      </c>
      <c r="C3544" s="27" t="s">
        <v>48</v>
      </c>
      <c r="D3544" s="27" t="s">
        <v>47</v>
      </c>
      <c r="E3544" s="28" t="n">
        <f aca="false">ROUND((SUMIFS(Acerto_Detalhado!$F$2:$F$433,Acerto_Detalhado!$A$2:$A$433,$C3544,Acerto_Detalhado!$B$2:$B$433,"Set",Acerto_Detalhado!$C$2:$C$433,"Fibra"))*(SUMIFS(Acerto_Detalhado!$I$2:$I$433,Acerto_Detalhado!$A$2:$A$433,$D3544,Acerto_Detalhado!$B$2:$B$433,"Set",Acerto_Detalhado!$C$2:$C$433,"Fibra")),2)</f>
        <v>0</v>
      </c>
    </row>
    <row r="3545" customFormat="false" ht="15" hidden="false" customHeight="false" outlineLevel="0" collapsed="false">
      <c r="A3545" s="27" t="s">
        <v>119</v>
      </c>
      <c r="B3545" s="27" t="s">
        <v>111</v>
      </c>
      <c r="C3545" s="27" t="s">
        <v>48</v>
      </c>
      <c r="D3545" s="27" t="s">
        <v>49</v>
      </c>
      <c r="E3545" s="28" t="n">
        <f aca="false">ROUND((SUMIFS(Acerto_Detalhado!$F$2:$F$433,Acerto_Detalhado!$A$2:$A$433,$C3545,Acerto_Detalhado!$B$2:$B$433,"Set",Acerto_Detalhado!$C$2:$C$433,"Fibra"))*(SUMIFS(Acerto_Detalhado!$I$2:$I$433,Acerto_Detalhado!$A$2:$A$433,$D3545,Acerto_Detalhado!$B$2:$B$433,"Set",Acerto_Detalhado!$C$2:$C$433,"Fibra")),2)</f>
        <v>0</v>
      </c>
    </row>
    <row r="3546" customFormat="false" ht="15" hidden="false" customHeight="false" outlineLevel="0" collapsed="false">
      <c r="A3546" s="27" t="s">
        <v>119</v>
      </c>
      <c r="B3546" s="27" t="s">
        <v>111</v>
      </c>
      <c r="C3546" s="27" t="s">
        <v>48</v>
      </c>
      <c r="D3546" s="27" t="s">
        <v>50</v>
      </c>
      <c r="E3546" s="28" t="n">
        <f aca="false">ROUND((SUMIFS(Acerto_Detalhado!$F$2:$F$433,Acerto_Detalhado!$A$2:$A$433,$C3546,Acerto_Detalhado!$B$2:$B$433,"Set",Acerto_Detalhado!$C$2:$C$433,"Fibra"))*(SUMIFS(Acerto_Detalhado!$I$2:$I$433,Acerto_Detalhado!$A$2:$A$433,$D3546,Acerto_Detalhado!$B$2:$B$433,"Set",Acerto_Detalhado!$C$2:$C$433,"Fibra")),2)</f>
        <v>0</v>
      </c>
    </row>
    <row r="3547" customFormat="false" ht="15" hidden="false" customHeight="false" outlineLevel="0" collapsed="false">
      <c r="A3547" s="27" t="s">
        <v>119</v>
      </c>
      <c r="B3547" s="27" t="s">
        <v>111</v>
      </c>
      <c r="C3547" s="27" t="s">
        <v>49</v>
      </c>
      <c r="D3547" s="27" t="s">
        <v>39</v>
      </c>
      <c r="E3547" s="28" t="n">
        <f aca="false">ROUND((SUMIFS(Acerto_Detalhado!$F$2:$F$433,Acerto_Detalhado!$A$2:$A$433,$C3547,Acerto_Detalhado!$B$2:$B$433,"Set",Acerto_Detalhado!$C$2:$C$433,"Fibra"))*(SUMIFS(Acerto_Detalhado!$I$2:$I$433,Acerto_Detalhado!$A$2:$A$433,$D3547,Acerto_Detalhado!$B$2:$B$433,"Set",Acerto_Detalhado!$C$2:$C$433,"Fibra")),2)</f>
        <v>0</v>
      </c>
    </row>
    <row r="3548" customFormat="false" ht="15" hidden="false" customHeight="false" outlineLevel="0" collapsed="false">
      <c r="A3548" s="27" t="s">
        <v>119</v>
      </c>
      <c r="B3548" s="27" t="s">
        <v>111</v>
      </c>
      <c r="C3548" s="27" t="s">
        <v>49</v>
      </c>
      <c r="D3548" s="27" t="s">
        <v>40</v>
      </c>
      <c r="E3548" s="28" t="n">
        <f aca="false">ROUND((SUMIFS(Acerto_Detalhado!$F$2:$F$433,Acerto_Detalhado!$A$2:$A$433,$C3548,Acerto_Detalhado!$B$2:$B$433,"Set",Acerto_Detalhado!$C$2:$C$433,"Fibra"))*(SUMIFS(Acerto_Detalhado!$I$2:$I$433,Acerto_Detalhado!$A$2:$A$433,$D3548,Acerto_Detalhado!$B$2:$B$433,"Set",Acerto_Detalhado!$C$2:$C$433,"Fibra")),2)</f>
        <v>0</v>
      </c>
    </row>
    <row r="3549" customFormat="false" ht="15" hidden="false" customHeight="false" outlineLevel="0" collapsed="false">
      <c r="A3549" s="27" t="s">
        <v>119</v>
      </c>
      <c r="B3549" s="27" t="s">
        <v>111</v>
      </c>
      <c r="C3549" s="27" t="s">
        <v>49</v>
      </c>
      <c r="D3549" s="27" t="s">
        <v>41</v>
      </c>
      <c r="E3549" s="28" t="n">
        <f aca="false">ROUND((SUMIFS(Acerto_Detalhado!$F$2:$F$433,Acerto_Detalhado!$A$2:$A$433,$C3549,Acerto_Detalhado!$B$2:$B$433,"Set",Acerto_Detalhado!$C$2:$C$433,"Fibra"))*(SUMIFS(Acerto_Detalhado!$I$2:$I$433,Acerto_Detalhado!$A$2:$A$433,$D3549,Acerto_Detalhado!$B$2:$B$433,"Set",Acerto_Detalhado!$C$2:$C$433,"Fibra")),2)</f>
        <v>0</v>
      </c>
    </row>
    <row r="3550" customFormat="false" ht="15" hidden="false" customHeight="false" outlineLevel="0" collapsed="false">
      <c r="A3550" s="27" t="s">
        <v>119</v>
      </c>
      <c r="B3550" s="27" t="s">
        <v>111</v>
      </c>
      <c r="C3550" s="27" t="s">
        <v>49</v>
      </c>
      <c r="D3550" s="27" t="s">
        <v>42</v>
      </c>
      <c r="E3550" s="28" t="n">
        <f aca="false">ROUND((SUMIFS(Acerto_Detalhado!$F$2:$F$433,Acerto_Detalhado!$A$2:$A$433,$C3550,Acerto_Detalhado!$B$2:$B$433,"Set",Acerto_Detalhado!$C$2:$C$433,"Fibra"))*(SUMIFS(Acerto_Detalhado!$I$2:$I$433,Acerto_Detalhado!$A$2:$A$433,$D3550,Acerto_Detalhado!$B$2:$B$433,"Set",Acerto_Detalhado!$C$2:$C$433,"Fibra")),2)</f>
        <v>0</v>
      </c>
    </row>
    <row r="3551" customFormat="false" ht="15" hidden="false" customHeight="false" outlineLevel="0" collapsed="false">
      <c r="A3551" s="27" t="s">
        <v>119</v>
      </c>
      <c r="B3551" s="27" t="s">
        <v>111</v>
      </c>
      <c r="C3551" s="27" t="s">
        <v>49</v>
      </c>
      <c r="D3551" s="27" t="s">
        <v>43</v>
      </c>
      <c r="E3551" s="28" t="n">
        <f aca="false">ROUND((SUMIFS(Acerto_Detalhado!$F$2:$F$433,Acerto_Detalhado!$A$2:$A$433,$C3551,Acerto_Detalhado!$B$2:$B$433,"Set",Acerto_Detalhado!$C$2:$C$433,"Fibra"))*(SUMIFS(Acerto_Detalhado!$I$2:$I$433,Acerto_Detalhado!$A$2:$A$433,$D3551,Acerto_Detalhado!$B$2:$B$433,"Set",Acerto_Detalhado!$C$2:$C$433,"Fibra")),2)</f>
        <v>0</v>
      </c>
    </row>
    <row r="3552" customFormat="false" ht="15" hidden="false" customHeight="false" outlineLevel="0" collapsed="false">
      <c r="A3552" s="27" t="s">
        <v>119</v>
      </c>
      <c r="B3552" s="27" t="s">
        <v>111</v>
      </c>
      <c r="C3552" s="27" t="s">
        <v>49</v>
      </c>
      <c r="D3552" s="27" t="s">
        <v>44</v>
      </c>
      <c r="E3552" s="28" t="n">
        <f aca="false">ROUND((SUMIFS(Acerto_Detalhado!$F$2:$F$433,Acerto_Detalhado!$A$2:$A$433,$C3552,Acerto_Detalhado!$B$2:$B$433,"Set",Acerto_Detalhado!$C$2:$C$433,"Fibra"))*(SUMIFS(Acerto_Detalhado!$I$2:$I$433,Acerto_Detalhado!$A$2:$A$433,$D3552,Acerto_Detalhado!$B$2:$B$433,"Set",Acerto_Detalhado!$C$2:$C$433,"Fibra")),2)</f>
        <v>0</v>
      </c>
    </row>
    <row r="3553" customFormat="false" ht="15" hidden="false" customHeight="false" outlineLevel="0" collapsed="false">
      <c r="A3553" s="27" t="s">
        <v>119</v>
      </c>
      <c r="B3553" s="27" t="s">
        <v>111</v>
      </c>
      <c r="C3553" s="27" t="s">
        <v>49</v>
      </c>
      <c r="D3553" s="27" t="s">
        <v>45</v>
      </c>
      <c r="E3553" s="28" t="n">
        <f aca="false">ROUND((SUMIFS(Acerto_Detalhado!$F$2:$F$433,Acerto_Detalhado!$A$2:$A$433,$C3553,Acerto_Detalhado!$B$2:$B$433,"Set",Acerto_Detalhado!$C$2:$C$433,"Fibra"))*(SUMIFS(Acerto_Detalhado!$I$2:$I$433,Acerto_Detalhado!$A$2:$A$433,$D3553,Acerto_Detalhado!$B$2:$B$433,"Set",Acerto_Detalhado!$C$2:$C$433,"Fibra")),2)</f>
        <v>0</v>
      </c>
    </row>
    <row r="3554" customFormat="false" ht="15" hidden="false" customHeight="false" outlineLevel="0" collapsed="false">
      <c r="A3554" s="27" t="s">
        <v>119</v>
      </c>
      <c r="B3554" s="27" t="s">
        <v>111</v>
      </c>
      <c r="C3554" s="27" t="s">
        <v>49</v>
      </c>
      <c r="D3554" s="27" t="s">
        <v>46</v>
      </c>
      <c r="E3554" s="28" t="n">
        <f aca="false">ROUND((SUMIFS(Acerto_Detalhado!$F$2:$F$433,Acerto_Detalhado!$A$2:$A$433,$C3554,Acerto_Detalhado!$B$2:$B$433,"Set",Acerto_Detalhado!$C$2:$C$433,"Fibra"))*(SUMIFS(Acerto_Detalhado!$I$2:$I$433,Acerto_Detalhado!$A$2:$A$433,$D3554,Acerto_Detalhado!$B$2:$B$433,"Set",Acerto_Detalhado!$C$2:$C$433,"Fibra")),2)</f>
        <v>0</v>
      </c>
    </row>
    <row r="3555" customFormat="false" ht="15" hidden="false" customHeight="false" outlineLevel="0" collapsed="false">
      <c r="A3555" s="27" t="s">
        <v>119</v>
      </c>
      <c r="B3555" s="27" t="s">
        <v>111</v>
      </c>
      <c r="C3555" s="27" t="s">
        <v>49</v>
      </c>
      <c r="D3555" s="27" t="s">
        <v>47</v>
      </c>
      <c r="E3555" s="28" t="n">
        <f aca="false">ROUND((SUMIFS(Acerto_Detalhado!$F$2:$F$433,Acerto_Detalhado!$A$2:$A$433,$C3555,Acerto_Detalhado!$B$2:$B$433,"Set",Acerto_Detalhado!$C$2:$C$433,"Fibra"))*(SUMIFS(Acerto_Detalhado!$I$2:$I$433,Acerto_Detalhado!$A$2:$A$433,$D3555,Acerto_Detalhado!$B$2:$B$433,"Set",Acerto_Detalhado!$C$2:$C$433,"Fibra")),2)</f>
        <v>0</v>
      </c>
    </row>
    <row r="3556" customFormat="false" ht="15" hidden="false" customHeight="false" outlineLevel="0" collapsed="false">
      <c r="A3556" s="27" t="s">
        <v>119</v>
      </c>
      <c r="B3556" s="27" t="s">
        <v>111</v>
      </c>
      <c r="C3556" s="27" t="s">
        <v>49</v>
      </c>
      <c r="D3556" s="27" t="s">
        <v>48</v>
      </c>
      <c r="E3556" s="28" t="n">
        <f aca="false">ROUND((SUMIFS(Acerto_Detalhado!$F$2:$F$433,Acerto_Detalhado!$A$2:$A$433,$C3556,Acerto_Detalhado!$B$2:$B$433,"Set",Acerto_Detalhado!$C$2:$C$433,"Fibra"))*(SUMIFS(Acerto_Detalhado!$I$2:$I$433,Acerto_Detalhado!$A$2:$A$433,$D3556,Acerto_Detalhado!$B$2:$B$433,"Set",Acerto_Detalhado!$C$2:$C$433,"Fibra")),2)</f>
        <v>0</v>
      </c>
    </row>
    <row r="3557" customFormat="false" ht="15" hidden="false" customHeight="false" outlineLevel="0" collapsed="false">
      <c r="A3557" s="27" t="s">
        <v>119</v>
      </c>
      <c r="B3557" s="27" t="s">
        <v>111</v>
      </c>
      <c r="C3557" s="27" t="s">
        <v>49</v>
      </c>
      <c r="D3557" s="27" t="s">
        <v>50</v>
      </c>
      <c r="E3557" s="28" t="n">
        <f aca="false">ROUND((SUMIFS(Acerto_Detalhado!$F$2:$F$433,Acerto_Detalhado!$A$2:$A$433,$C3557,Acerto_Detalhado!$B$2:$B$433,"Set",Acerto_Detalhado!$C$2:$C$433,"Fibra"))*(SUMIFS(Acerto_Detalhado!$I$2:$I$433,Acerto_Detalhado!$A$2:$A$433,$D3557,Acerto_Detalhado!$B$2:$B$433,"Set",Acerto_Detalhado!$C$2:$C$433,"Fibra")),2)</f>
        <v>0</v>
      </c>
    </row>
    <row r="3558" customFormat="false" ht="15" hidden="false" customHeight="false" outlineLevel="0" collapsed="false">
      <c r="A3558" s="27" t="s">
        <v>119</v>
      </c>
      <c r="B3558" s="27" t="s">
        <v>111</v>
      </c>
      <c r="C3558" s="27" t="s">
        <v>50</v>
      </c>
      <c r="D3558" s="27" t="s">
        <v>39</v>
      </c>
      <c r="E3558" s="28" t="n">
        <f aca="false">ROUND((SUMIFS(Acerto_Detalhado!$F$2:$F$433,Acerto_Detalhado!$A$2:$A$433,$C3558,Acerto_Detalhado!$B$2:$B$433,"Set",Acerto_Detalhado!$C$2:$C$433,"Fibra"))*(SUMIFS(Acerto_Detalhado!$I$2:$I$433,Acerto_Detalhado!$A$2:$A$433,$D3558,Acerto_Detalhado!$B$2:$B$433,"Set",Acerto_Detalhado!$C$2:$C$433,"Fibra")),2)</f>
        <v>0</v>
      </c>
    </row>
    <row r="3559" customFormat="false" ht="15" hidden="false" customHeight="false" outlineLevel="0" collapsed="false">
      <c r="A3559" s="27" t="s">
        <v>119</v>
      </c>
      <c r="B3559" s="27" t="s">
        <v>111</v>
      </c>
      <c r="C3559" s="27" t="s">
        <v>50</v>
      </c>
      <c r="D3559" s="27" t="s">
        <v>40</v>
      </c>
      <c r="E3559" s="28" t="n">
        <f aca="false">ROUND((SUMIFS(Acerto_Detalhado!$F$2:$F$433,Acerto_Detalhado!$A$2:$A$433,$C3559,Acerto_Detalhado!$B$2:$B$433,"Set",Acerto_Detalhado!$C$2:$C$433,"Fibra"))*(SUMIFS(Acerto_Detalhado!$I$2:$I$433,Acerto_Detalhado!$A$2:$A$433,$D3559,Acerto_Detalhado!$B$2:$B$433,"Set",Acerto_Detalhado!$C$2:$C$433,"Fibra")),2)</f>
        <v>0</v>
      </c>
    </row>
    <row r="3560" customFormat="false" ht="15" hidden="false" customHeight="false" outlineLevel="0" collapsed="false">
      <c r="A3560" s="27" t="s">
        <v>119</v>
      </c>
      <c r="B3560" s="27" t="s">
        <v>111</v>
      </c>
      <c r="C3560" s="27" t="s">
        <v>50</v>
      </c>
      <c r="D3560" s="27" t="s">
        <v>41</v>
      </c>
      <c r="E3560" s="28" t="n">
        <f aca="false">ROUND((SUMIFS(Acerto_Detalhado!$F$2:$F$433,Acerto_Detalhado!$A$2:$A$433,$C3560,Acerto_Detalhado!$B$2:$B$433,"Set",Acerto_Detalhado!$C$2:$C$433,"Fibra"))*(SUMIFS(Acerto_Detalhado!$I$2:$I$433,Acerto_Detalhado!$A$2:$A$433,$D3560,Acerto_Detalhado!$B$2:$B$433,"Set",Acerto_Detalhado!$C$2:$C$433,"Fibra")),2)</f>
        <v>0</v>
      </c>
    </row>
    <row r="3561" customFormat="false" ht="15" hidden="false" customHeight="false" outlineLevel="0" collapsed="false">
      <c r="A3561" s="27" t="s">
        <v>119</v>
      </c>
      <c r="B3561" s="27" t="s">
        <v>111</v>
      </c>
      <c r="C3561" s="27" t="s">
        <v>50</v>
      </c>
      <c r="D3561" s="27" t="s">
        <v>42</v>
      </c>
      <c r="E3561" s="28" t="n">
        <f aca="false">ROUND((SUMIFS(Acerto_Detalhado!$F$2:$F$433,Acerto_Detalhado!$A$2:$A$433,$C3561,Acerto_Detalhado!$B$2:$B$433,"Set",Acerto_Detalhado!$C$2:$C$433,"Fibra"))*(SUMIFS(Acerto_Detalhado!$I$2:$I$433,Acerto_Detalhado!$A$2:$A$433,$D3561,Acerto_Detalhado!$B$2:$B$433,"Set",Acerto_Detalhado!$C$2:$C$433,"Fibra")),2)</f>
        <v>0</v>
      </c>
    </row>
    <row r="3562" customFormat="false" ht="15" hidden="false" customHeight="false" outlineLevel="0" collapsed="false">
      <c r="A3562" s="27" t="s">
        <v>119</v>
      </c>
      <c r="B3562" s="27" t="s">
        <v>111</v>
      </c>
      <c r="C3562" s="27" t="s">
        <v>50</v>
      </c>
      <c r="D3562" s="27" t="s">
        <v>43</v>
      </c>
      <c r="E3562" s="28" t="n">
        <f aca="false">ROUND((SUMIFS(Acerto_Detalhado!$F$2:$F$433,Acerto_Detalhado!$A$2:$A$433,$C3562,Acerto_Detalhado!$B$2:$B$433,"Set",Acerto_Detalhado!$C$2:$C$433,"Fibra"))*(SUMIFS(Acerto_Detalhado!$I$2:$I$433,Acerto_Detalhado!$A$2:$A$433,$D3562,Acerto_Detalhado!$B$2:$B$433,"Set",Acerto_Detalhado!$C$2:$C$433,"Fibra")),2)</f>
        <v>0</v>
      </c>
    </row>
    <row r="3563" customFormat="false" ht="15" hidden="false" customHeight="false" outlineLevel="0" collapsed="false">
      <c r="A3563" s="27" t="s">
        <v>119</v>
      </c>
      <c r="B3563" s="27" t="s">
        <v>111</v>
      </c>
      <c r="C3563" s="27" t="s">
        <v>50</v>
      </c>
      <c r="D3563" s="27" t="s">
        <v>44</v>
      </c>
      <c r="E3563" s="28" t="n">
        <f aca="false">ROUND((SUMIFS(Acerto_Detalhado!$F$2:$F$433,Acerto_Detalhado!$A$2:$A$433,$C3563,Acerto_Detalhado!$B$2:$B$433,"Set",Acerto_Detalhado!$C$2:$C$433,"Fibra"))*(SUMIFS(Acerto_Detalhado!$I$2:$I$433,Acerto_Detalhado!$A$2:$A$433,$D3563,Acerto_Detalhado!$B$2:$B$433,"Set",Acerto_Detalhado!$C$2:$C$433,"Fibra")),2)</f>
        <v>0</v>
      </c>
    </row>
    <row r="3564" customFormat="false" ht="15" hidden="false" customHeight="false" outlineLevel="0" collapsed="false">
      <c r="A3564" s="27" t="s">
        <v>119</v>
      </c>
      <c r="B3564" s="27" t="s">
        <v>111</v>
      </c>
      <c r="C3564" s="27" t="s">
        <v>50</v>
      </c>
      <c r="D3564" s="27" t="s">
        <v>45</v>
      </c>
      <c r="E3564" s="28" t="n">
        <f aca="false">ROUND((SUMIFS(Acerto_Detalhado!$F$2:$F$433,Acerto_Detalhado!$A$2:$A$433,$C3564,Acerto_Detalhado!$B$2:$B$433,"Set",Acerto_Detalhado!$C$2:$C$433,"Fibra"))*(SUMIFS(Acerto_Detalhado!$I$2:$I$433,Acerto_Detalhado!$A$2:$A$433,$D3564,Acerto_Detalhado!$B$2:$B$433,"Set",Acerto_Detalhado!$C$2:$C$433,"Fibra")),2)</f>
        <v>0</v>
      </c>
    </row>
    <row r="3565" customFormat="false" ht="15" hidden="false" customHeight="false" outlineLevel="0" collapsed="false">
      <c r="A3565" s="27" t="s">
        <v>119</v>
      </c>
      <c r="B3565" s="27" t="s">
        <v>111</v>
      </c>
      <c r="C3565" s="27" t="s">
        <v>50</v>
      </c>
      <c r="D3565" s="27" t="s">
        <v>46</v>
      </c>
      <c r="E3565" s="28" t="n">
        <f aca="false">ROUND((SUMIFS(Acerto_Detalhado!$F$2:$F$433,Acerto_Detalhado!$A$2:$A$433,$C3565,Acerto_Detalhado!$B$2:$B$433,"Set",Acerto_Detalhado!$C$2:$C$433,"Fibra"))*(SUMIFS(Acerto_Detalhado!$I$2:$I$433,Acerto_Detalhado!$A$2:$A$433,$D3565,Acerto_Detalhado!$B$2:$B$433,"Set",Acerto_Detalhado!$C$2:$C$433,"Fibra")),2)</f>
        <v>0</v>
      </c>
    </row>
    <row r="3566" customFormat="false" ht="15" hidden="false" customHeight="false" outlineLevel="0" collapsed="false">
      <c r="A3566" s="27" t="s">
        <v>119</v>
      </c>
      <c r="B3566" s="27" t="s">
        <v>111</v>
      </c>
      <c r="C3566" s="27" t="s">
        <v>50</v>
      </c>
      <c r="D3566" s="27" t="s">
        <v>47</v>
      </c>
      <c r="E3566" s="28" t="n">
        <f aca="false">ROUND((SUMIFS(Acerto_Detalhado!$F$2:$F$433,Acerto_Detalhado!$A$2:$A$433,$C3566,Acerto_Detalhado!$B$2:$B$433,"Set",Acerto_Detalhado!$C$2:$C$433,"Fibra"))*(SUMIFS(Acerto_Detalhado!$I$2:$I$433,Acerto_Detalhado!$A$2:$A$433,$D3566,Acerto_Detalhado!$B$2:$B$433,"Set",Acerto_Detalhado!$C$2:$C$433,"Fibra")),2)</f>
        <v>0</v>
      </c>
    </row>
    <row r="3567" customFormat="false" ht="15" hidden="false" customHeight="false" outlineLevel="0" collapsed="false">
      <c r="A3567" s="27" t="s">
        <v>119</v>
      </c>
      <c r="B3567" s="27" t="s">
        <v>111</v>
      </c>
      <c r="C3567" s="27" t="s">
        <v>50</v>
      </c>
      <c r="D3567" s="27" t="s">
        <v>48</v>
      </c>
      <c r="E3567" s="28" t="n">
        <f aca="false">ROUND((SUMIFS(Acerto_Detalhado!$F$2:$F$433,Acerto_Detalhado!$A$2:$A$433,$C3567,Acerto_Detalhado!$B$2:$B$433,"Set",Acerto_Detalhado!$C$2:$C$433,"Fibra"))*(SUMIFS(Acerto_Detalhado!$I$2:$I$433,Acerto_Detalhado!$A$2:$A$433,$D3567,Acerto_Detalhado!$B$2:$B$433,"Set",Acerto_Detalhado!$C$2:$C$433,"Fibra")),2)</f>
        <v>0</v>
      </c>
    </row>
    <row r="3568" customFormat="false" ht="15" hidden="false" customHeight="false" outlineLevel="0" collapsed="false">
      <c r="A3568" s="27" t="s">
        <v>119</v>
      </c>
      <c r="B3568" s="27" t="s">
        <v>111</v>
      </c>
      <c r="C3568" s="27" t="s">
        <v>50</v>
      </c>
      <c r="D3568" s="27" t="s">
        <v>49</v>
      </c>
      <c r="E3568" s="28" t="n">
        <f aca="false">ROUND((SUMIFS(Acerto_Detalhado!$F$2:$F$433,Acerto_Detalhado!$A$2:$A$433,$C3568,Acerto_Detalhado!$B$2:$B$433,"Set",Acerto_Detalhado!$C$2:$C$433,"Fibra"))*(SUMIFS(Acerto_Detalhado!$I$2:$I$433,Acerto_Detalhado!$A$2:$A$433,$D3568,Acerto_Detalhado!$B$2:$B$433,"Set",Acerto_Detalhado!$C$2:$C$433,"Fibra")),2)</f>
        <v>0</v>
      </c>
    </row>
    <row r="3569" customFormat="false" ht="15" hidden="false" customHeight="false" outlineLevel="0" collapsed="false">
      <c r="A3569" s="27" t="s">
        <v>120</v>
      </c>
      <c r="B3569" s="27" t="s">
        <v>109</v>
      </c>
      <c r="C3569" s="27" t="s">
        <v>39</v>
      </c>
      <c r="D3569" s="27" t="s">
        <v>40</v>
      </c>
      <c r="E3569" s="28" t="n">
        <f aca="false">ROUND((SUMIFS(Acerto_Detalhado!$F$2:$F$433,Acerto_Detalhado!$A$2:$A$433,$C3569,Acerto_Detalhado!$B$2:$B$433,"Out",Acerto_Detalhado!$C$2:$C$433,"Proteina"))*(SUMIFS(Acerto_Detalhado!$I$2:$I$433,Acerto_Detalhado!$A$2:$A$433,$D3569,Acerto_Detalhado!$B$2:$B$433,"Out",Acerto_Detalhado!$C$2:$C$433,"Proteina")),2)</f>
        <v>0</v>
      </c>
    </row>
    <row r="3570" customFormat="false" ht="15" hidden="false" customHeight="false" outlineLevel="0" collapsed="false">
      <c r="A3570" s="27" t="s">
        <v>120</v>
      </c>
      <c r="B3570" s="27" t="s">
        <v>109</v>
      </c>
      <c r="C3570" s="27" t="s">
        <v>39</v>
      </c>
      <c r="D3570" s="27" t="s">
        <v>41</v>
      </c>
      <c r="E3570" s="28" t="n">
        <f aca="false">ROUND((SUMIFS(Acerto_Detalhado!$F$2:$F$433,Acerto_Detalhado!$A$2:$A$433,$C3570,Acerto_Detalhado!$B$2:$B$433,"Out",Acerto_Detalhado!$C$2:$C$433,"Proteina"))*(SUMIFS(Acerto_Detalhado!$I$2:$I$433,Acerto_Detalhado!$A$2:$A$433,$D3570,Acerto_Detalhado!$B$2:$B$433,"Out",Acerto_Detalhado!$C$2:$C$433,"Proteina")),2)</f>
        <v>0</v>
      </c>
    </row>
    <row r="3571" customFormat="false" ht="15" hidden="false" customHeight="false" outlineLevel="0" collapsed="false">
      <c r="A3571" s="27" t="s">
        <v>120</v>
      </c>
      <c r="B3571" s="27" t="s">
        <v>109</v>
      </c>
      <c r="C3571" s="27" t="s">
        <v>39</v>
      </c>
      <c r="D3571" s="27" t="s">
        <v>42</v>
      </c>
      <c r="E3571" s="28" t="n">
        <f aca="false">ROUND((SUMIFS(Acerto_Detalhado!$F$2:$F$433,Acerto_Detalhado!$A$2:$A$433,$C3571,Acerto_Detalhado!$B$2:$B$433,"Out",Acerto_Detalhado!$C$2:$C$433,"Proteina"))*(SUMIFS(Acerto_Detalhado!$I$2:$I$433,Acerto_Detalhado!$A$2:$A$433,$D3571,Acerto_Detalhado!$B$2:$B$433,"Out",Acerto_Detalhado!$C$2:$C$433,"Proteina")),2)</f>
        <v>0</v>
      </c>
    </row>
    <row r="3572" customFormat="false" ht="15" hidden="false" customHeight="false" outlineLevel="0" collapsed="false">
      <c r="A3572" s="27" t="s">
        <v>120</v>
      </c>
      <c r="B3572" s="27" t="s">
        <v>109</v>
      </c>
      <c r="C3572" s="27" t="s">
        <v>39</v>
      </c>
      <c r="D3572" s="27" t="s">
        <v>43</v>
      </c>
      <c r="E3572" s="28" t="n">
        <f aca="false">ROUND((SUMIFS(Acerto_Detalhado!$F$2:$F$433,Acerto_Detalhado!$A$2:$A$433,$C3572,Acerto_Detalhado!$B$2:$B$433,"Out",Acerto_Detalhado!$C$2:$C$433,"Proteina"))*(SUMIFS(Acerto_Detalhado!$I$2:$I$433,Acerto_Detalhado!$A$2:$A$433,$D3572,Acerto_Detalhado!$B$2:$B$433,"Out",Acerto_Detalhado!$C$2:$C$433,"Proteina")),2)</f>
        <v>0</v>
      </c>
    </row>
    <row r="3573" customFormat="false" ht="15" hidden="false" customHeight="false" outlineLevel="0" collapsed="false">
      <c r="A3573" s="27" t="s">
        <v>120</v>
      </c>
      <c r="B3573" s="27" t="s">
        <v>109</v>
      </c>
      <c r="C3573" s="27" t="s">
        <v>39</v>
      </c>
      <c r="D3573" s="27" t="s">
        <v>44</v>
      </c>
      <c r="E3573" s="28" t="n">
        <f aca="false">ROUND((SUMIFS(Acerto_Detalhado!$F$2:$F$433,Acerto_Detalhado!$A$2:$A$433,$C3573,Acerto_Detalhado!$B$2:$B$433,"Out",Acerto_Detalhado!$C$2:$C$433,"Proteina"))*(SUMIFS(Acerto_Detalhado!$I$2:$I$433,Acerto_Detalhado!$A$2:$A$433,$D3573,Acerto_Detalhado!$B$2:$B$433,"Out",Acerto_Detalhado!$C$2:$C$433,"Proteina")),2)</f>
        <v>0</v>
      </c>
    </row>
    <row r="3574" customFormat="false" ht="15" hidden="false" customHeight="false" outlineLevel="0" collapsed="false">
      <c r="A3574" s="27" t="s">
        <v>120</v>
      </c>
      <c r="B3574" s="27" t="s">
        <v>109</v>
      </c>
      <c r="C3574" s="27" t="s">
        <v>39</v>
      </c>
      <c r="D3574" s="27" t="s">
        <v>45</v>
      </c>
      <c r="E3574" s="28" t="n">
        <f aca="false">ROUND((SUMIFS(Acerto_Detalhado!$F$2:$F$433,Acerto_Detalhado!$A$2:$A$433,$C3574,Acerto_Detalhado!$B$2:$B$433,"Out",Acerto_Detalhado!$C$2:$C$433,"Proteina"))*(SUMIFS(Acerto_Detalhado!$I$2:$I$433,Acerto_Detalhado!$A$2:$A$433,$D3574,Acerto_Detalhado!$B$2:$B$433,"Out",Acerto_Detalhado!$C$2:$C$433,"Proteina")),2)</f>
        <v>0</v>
      </c>
    </row>
    <row r="3575" customFormat="false" ht="15" hidden="false" customHeight="false" outlineLevel="0" collapsed="false">
      <c r="A3575" s="27" t="s">
        <v>120</v>
      </c>
      <c r="B3575" s="27" t="s">
        <v>109</v>
      </c>
      <c r="C3575" s="27" t="s">
        <v>39</v>
      </c>
      <c r="D3575" s="27" t="s">
        <v>46</v>
      </c>
      <c r="E3575" s="28" t="n">
        <f aca="false">ROUND((SUMIFS(Acerto_Detalhado!$F$2:$F$433,Acerto_Detalhado!$A$2:$A$433,$C3575,Acerto_Detalhado!$B$2:$B$433,"Out",Acerto_Detalhado!$C$2:$C$433,"Proteina"))*(SUMIFS(Acerto_Detalhado!$I$2:$I$433,Acerto_Detalhado!$A$2:$A$433,$D3575,Acerto_Detalhado!$B$2:$B$433,"Out",Acerto_Detalhado!$C$2:$C$433,"Proteina")),2)</f>
        <v>0</v>
      </c>
    </row>
    <row r="3576" customFormat="false" ht="15" hidden="false" customHeight="false" outlineLevel="0" collapsed="false">
      <c r="A3576" s="27" t="s">
        <v>120</v>
      </c>
      <c r="B3576" s="27" t="s">
        <v>109</v>
      </c>
      <c r="C3576" s="27" t="s">
        <v>39</v>
      </c>
      <c r="D3576" s="27" t="s">
        <v>47</v>
      </c>
      <c r="E3576" s="28" t="n">
        <f aca="false">ROUND((SUMIFS(Acerto_Detalhado!$F$2:$F$433,Acerto_Detalhado!$A$2:$A$433,$C3576,Acerto_Detalhado!$B$2:$B$433,"Out",Acerto_Detalhado!$C$2:$C$433,"Proteina"))*(SUMIFS(Acerto_Detalhado!$I$2:$I$433,Acerto_Detalhado!$A$2:$A$433,$D3576,Acerto_Detalhado!$B$2:$B$433,"Out",Acerto_Detalhado!$C$2:$C$433,"Proteina")),2)</f>
        <v>0</v>
      </c>
    </row>
    <row r="3577" customFormat="false" ht="15" hidden="false" customHeight="false" outlineLevel="0" collapsed="false">
      <c r="A3577" s="27" t="s">
        <v>120</v>
      </c>
      <c r="B3577" s="27" t="s">
        <v>109</v>
      </c>
      <c r="C3577" s="27" t="s">
        <v>39</v>
      </c>
      <c r="D3577" s="27" t="s">
        <v>48</v>
      </c>
      <c r="E3577" s="28" t="n">
        <f aca="false">ROUND((SUMIFS(Acerto_Detalhado!$F$2:$F$433,Acerto_Detalhado!$A$2:$A$433,$C3577,Acerto_Detalhado!$B$2:$B$433,"Out",Acerto_Detalhado!$C$2:$C$433,"Proteina"))*(SUMIFS(Acerto_Detalhado!$I$2:$I$433,Acerto_Detalhado!$A$2:$A$433,$D3577,Acerto_Detalhado!$B$2:$B$433,"Out",Acerto_Detalhado!$C$2:$C$433,"Proteina")),2)</f>
        <v>0</v>
      </c>
    </row>
    <row r="3578" customFormat="false" ht="15" hidden="false" customHeight="false" outlineLevel="0" collapsed="false">
      <c r="A3578" s="27" t="s">
        <v>120</v>
      </c>
      <c r="B3578" s="27" t="s">
        <v>109</v>
      </c>
      <c r="C3578" s="27" t="s">
        <v>39</v>
      </c>
      <c r="D3578" s="27" t="s">
        <v>49</v>
      </c>
      <c r="E3578" s="28" t="n">
        <f aca="false">ROUND((SUMIFS(Acerto_Detalhado!$F$2:$F$433,Acerto_Detalhado!$A$2:$A$433,$C3578,Acerto_Detalhado!$B$2:$B$433,"Out",Acerto_Detalhado!$C$2:$C$433,"Proteina"))*(SUMIFS(Acerto_Detalhado!$I$2:$I$433,Acerto_Detalhado!$A$2:$A$433,$D3578,Acerto_Detalhado!$B$2:$B$433,"Out",Acerto_Detalhado!$C$2:$C$433,"Proteina")),2)</f>
        <v>0</v>
      </c>
    </row>
    <row r="3579" customFormat="false" ht="15" hidden="false" customHeight="false" outlineLevel="0" collapsed="false">
      <c r="A3579" s="27" t="s">
        <v>120</v>
      </c>
      <c r="B3579" s="27" t="s">
        <v>109</v>
      </c>
      <c r="C3579" s="27" t="s">
        <v>39</v>
      </c>
      <c r="D3579" s="27" t="s">
        <v>50</v>
      </c>
      <c r="E3579" s="28" t="n">
        <f aca="false">ROUND((SUMIFS(Acerto_Detalhado!$F$2:$F$433,Acerto_Detalhado!$A$2:$A$433,$C3579,Acerto_Detalhado!$B$2:$B$433,"Out",Acerto_Detalhado!$C$2:$C$433,"Proteina"))*(SUMIFS(Acerto_Detalhado!$I$2:$I$433,Acerto_Detalhado!$A$2:$A$433,$D3579,Acerto_Detalhado!$B$2:$B$433,"Out",Acerto_Detalhado!$C$2:$C$433,"Proteina")),2)</f>
        <v>0</v>
      </c>
    </row>
    <row r="3580" customFormat="false" ht="15" hidden="false" customHeight="false" outlineLevel="0" collapsed="false">
      <c r="A3580" s="27" t="s">
        <v>120</v>
      </c>
      <c r="B3580" s="27" t="s">
        <v>109</v>
      </c>
      <c r="C3580" s="27" t="s">
        <v>40</v>
      </c>
      <c r="D3580" s="27" t="s">
        <v>39</v>
      </c>
      <c r="E3580" s="28" t="n">
        <f aca="false">ROUND((SUMIFS(Acerto_Detalhado!$F$2:$F$433,Acerto_Detalhado!$A$2:$A$433,$C3580,Acerto_Detalhado!$B$2:$B$433,"Out",Acerto_Detalhado!$C$2:$C$433,"Proteina"))*(SUMIFS(Acerto_Detalhado!$I$2:$I$433,Acerto_Detalhado!$A$2:$A$433,$D3580,Acerto_Detalhado!$B$2:$B$433,"Out",Acerto_Detalhado!$C$2:$C$433,"Proteina")),2)</f>
        <v>0</v>
      </c>
    </row>
    <row r="3581" customFormat="false" ht="15" hidden="false" customHeight="false" outlineLevel="0" collapsed="false">
      <c r="A3581" s="27" t="s">
        <v>120</v>
      </c>
      <c r="B3581" s="27" t="s">
        <v>109</v>
      </c>
      <c r="C3581" s="27" t="s">
        <v>40</v>
      </c>
      <c r="D3581" s="27" t="s">
        <v>41</v>
      </c>
      <c r="E3581" s="28" t="n">
        <f aca="false">ROUND((SUMIFS(Acerto_Detalhado!$F$2:$F$433,Acerto_Detalhado!$A$2:$A$433,$C3581,Acerto_Detalhado!$B$2:$B$433,"Out",Acerto_Detalhado!$C$2:$C$433,"Proteina"))*(SUMIFS(Acerto_Detalhado!$I$2:$I$433,Acerto_Detalhado!$A$2:$A$433,$D3581,Acerto_Detalhado!$B$2:$B$433,"Out",Acerto_Detalhado!$C$2:$C$433,"Proteina")),2)</f>
        <v>0</v>
      </c>
    </row>
    <row r="3582" customFormat="false" ht="15" hidden="false" customHeight="false" outlineLevel="0" collapsed="false">
      <c r="A3582" s="27" t="s">
        <v>120</v>
      </c>
      <c r="B3582" s="27" t="s">
        <v>109</v>
      </c>
      <c r="C3582" s="27" t="s">
        <v>40</v>
      </c>
      <c r="D3582" s="27" t="s">
        <v>42</v>
      </c>
      <c r="E3582" s="28" t="n">
        <f aca="false">ROUND((SUMIFS(Acerto_Detalhado!$F$2:$F$433,Acerto_Detalhado!$A$2:$A$433,$C3582,Acerto_Detalhado!$B$2:$B$433,"Out",Acerto_Detalhado!$C$2:$C$433,"Proteina"))*(SUMIFS(Acerto_Detalhado!$I$2:$I$433,Acerto_Detalhado!$A$2:$A$433,$D3582,Acerto_Detalhado!$B$2:$B$433,"Out",Acerto_Detalhado!$C$2:$C$433,"Proteina")),2)</f>
        <v>0</v>
      </c>
    </row>
    <row r="3583" customFormat="false" ht="15" hidden="false" customHeight="false" outlineLevel="0" collapsed="false">
      <c r="A3583" s="27" t="s">
        <v>120</v>
      </c>
      <c r="B3583" s="27" t="s">
        <v>109</v>
      </c>
      <c r="C3583" s="27" t="s">
        <v>40</v>
      </c>
      <c r="D3583" s="27" t="s">
        <v>43</v>
      </c>
      <c r="E3583" s="28" t="n">
        <f aca="false">ROUND((SUMIFS(Acerto_Detalhado!$F$2:$F$433,Acerto_Detalhado!$A$2:$A$433,$C3583,Acerto_Detalhado!$B$2:$B$433,"Out",Acerto_Detalhado!$C$2:$C$433,"Proteina"))*(SUMIFS(Acerto_Detalhado!$I$2:$I$433,Acerto_Detalhado!$A$2:$A$433,$D3583,Acerto_Detalhado!$B$2:$B$433,"Out",Acerto_Detalhado!$C$2:$C$433,"Proteina")),2)</f>
        <v>0</v>
      </c>
    </row>
    <row r="3584" customFormat="false" ht="15" hidden="false" customHeight="false" outlineLevel="0" collapsed="false">
      <c r="A3584" s="27" t="s">
        <v>120</v>
      </c>
      <c r="B3584" s="27" t="s">
        <v>109</v>
      </c>
      <c r="C3584" s="27" t="s">
        <v>40</v>
      </c>
      <c r="D3584" s="27" t="s">
        <v>44</v>
      </c>
      <c r="E3584" s="28" t="n">
        <f aca="false">ROUND((SUMIFS(Acerto_Detalhado!$F$2:$F$433,Acerto_Detalhado!$A$2:$A$433,$C3584,Acerto_Detalhado!$B$2:$B$433,"Out",Acerto_Detalhado!$C$2:$C$433,"Proteina"))*(SUMIFS(Acerto_Detalhado!$I$2:$I$433,Acerto_Detalhado!$A$2:$A$433,$D3584,Acerto_Detalhado!$B$2:$B$433,"Out",Acerto_Detalhado!$C$2:$C$433,"Proteina")),2)</f>
        <v>0</v>
      </c>
    </row>
    <row r="3585" customFormat="false" ht="15" hidden="false" customHeight="false" outlineLevel="0" collapsed="false">
      <c r="A3585" s="27" t="s">
        <v>120</v>
      </c>
      <c r="B3585" s="27" t="s">
        <v>109</v>
      </c>
      <c r="C3585" s="27" t="s">
        <v>40</v>
      </c>
      <c r="D3585" s="27" t="s">
        <v>45</v>
      </c>
      <c r="E3585" s="28" t="n">
        <f aca="false">ROUND((SUMIFS(Acerto_Detalhado!$F$2:$F$433,Acerto_Detalhado!$A$2:$A$433,$C3585,Acerto_Detalhado!$B$2:$B$433,"Out",Acerto_Detalhado!$C$2:$C$433,"Proteina"))*(SUMIFS(Acerto_Detalhado!$I$2:$I$433,Acerto_Detalhado!$A$2:$A$433,$D3585,Acerto_Detalhado!$B$2:$B$433,"Out",Acerto_Detalhado!$C$2:$C$433,"Proteina")),2)</f>
        <v>0</v>
      </c>
    </row>
    <row r="3586" customFormat="false" ht="15" hidden="false" customHeight="false" outlineLevel="0" collapsed="false">
      <c r="A3586" s="27" t="s">
        <v>120</v>
      </c>
      <c r="B3586" s="27" t="s">
        <v>109</v>
      </c>
      <c r="C3586" s="27" t="s">
        <v>40</v>
      </c>
      <c r="D3586" s="27" t="s">
        <v>46</v>
      </c>
      <c r="E3586" s="28" t="n">
        <f aca="false">ROUND((SUMIFS(Acerto_Detalhado!$F$2:$F$433,Acerto_Detalhado!$A$2:$A$433,$C3586,Acerto_Detalhado!$B$2:$B$433,"Out",Acerto_Detalhado!$C$2:$C$433,"Proteina"))*(SUMIFS(Acerto_Detalhado!$I$2:$I$433,Acerto_Detalhado!$A$2:$A$433,$D3586,Acerto_Detalhado!$B$2:$B$433,"Out",Acerto_Detalhado!$C$2:$C$433,"Proteina")),2)</f>
        <v>0</v>
      </c>
    </row>
    <row r="3587" customFormat="false" ht="15" hidden="false" customHeight="false" outlineLevel="0" collapsed="false">
      <c r="A3587" s="27" t="s">
        <v>120</v>
      </c>
      <c r="B3587" s="27" t="s">
        <v>109</v>
      </c>
      <c r="C3587" s="27" t="s">
        <v>40</v>
      </c>
      <c r="D3587" s="27" t="s">
        <v>47</v>
      </c>
      <c r="E3587" s="28" t="n">
        <f aca="false">ROUND((SUMIFS(Acerto_Detalhado!$F$2:$F$433,Acerto_Detalhado!$A$2:$A$433,$C3587,Acerto_Detalhado!$B$2:$B$433,"Out",Acerto_Detalhado!$C$2:$C$433,"Proteina"))*(SUMIFS(Acerto_Detalhado!$I$2:$I$433,Acerto_Detalhado!$A$2:$A$433,$D3587,Acerto_Detalhado!$B$2:$B$433,"Out",Acerto_Detalhado!$C$2:$C$433,"Proteina")),2)</f>
        <v>0</v>
      </c>
    </row>
    <row r="3588" customFormat="false" ht="15" hidden="false" customHeight="false" outlineLevel="0" collapsed="false">
      <c r="A3588" s="27" t="s">
        <v>120</v>
      </c>
      <c r="B3588" s="27" t="s">
        <v>109</v>
      </c>
      <c r="C3588" s="27" t="s">
        <v>40</v>
      </c>
      <c r="D3588" s="27" t="s">
        <v>48</v>
      </c>
      <c r="E3588" s="28" t="n">
        <f aca="false">ROUND((SUMIFS(Acerto_Detalhado!$F$2:$F$433,Acerto_Detalhado!$A$2:$A$433,$C3588,Acerto_Detalhado!$B$2:$B$433,"Out",Acerto_Detalhado!$C$2:$C$433,"Proteina"))*(SUMIFS(Acerto_Detalhado!$I$2:$I$433,Acerto_Detalhado!$A$2:$A$433,$D3588,Acerto_Detalhado!$B$2:$B$433,"Out",Acerto_Detalhado!$C$2:$C$433,"Proteina")),2)</f>
        <v>0</v>
      </c>
    </row>
    <row r="3589" customFormat="false" ht="15" hidden="false" customHeight="false" outlineLevel="0" collapsed="false">
      <c r="A3589" s="27" t="s">
        <v>120</v>
      </c>
      <c r="B3589" s="27" t="s">
        <v>109</v>
      </c>
      <c r="C3589" s="27" t="s">
        <v>40</v>
      </c>
      <c r="D3589" s="27" t="s">
        <v>49</v>
      </c>
      <c r="E3589" s="28" t="n">
        <f aca="false">ROUND((SUMIFS(Acerto_Detalhado!$F$2:$F$433,Acerto_Detalhado!$A$2:$A$433,$C3589,Acerto_Detalhado!$B$2:$B$433,"Out",Acerto_Detalhado!$C$2:$C$433,"Proteina"))*(SUMIFS(Acerto_Detalhado!$I$2:$I$433,Acerto_Detalhado!$A$2:$A$433,$D3589,Acerto_Detalhado!$B$2:$B$433,"Out",Acerto_Detalhado!$C$2:$C$433,"Proteina")),2)</f>
        <v>0</v>
      </c>
    </row>
    <row r="3590" customFormat="false" ht="15" hidden="false" customHeight="false" outlineLevel="0" collapsed="false">
      <c r="A3590" s="27" t="s">
        <v>120</v>
      </c>
      <c r="B3590" s="27" t="s">
        <v>109</v>
      </c>
      <c r="C3590" s="27" t="s">
        <v>40</v>
      </c>
      <c r="D3590" s="27" t="s">
        <v>50</v>
      </c>
      <c r="E3590" s="28" t="n">
        <f aca="false">ROUND((SUMIFS(Acerto_Detalhado!$F$2:$F$433,Acerto_Detalhado!$A$2:$A$433,$C3590,Acerto_Detalhado!$B$2:$B$433,"Out",Acerto_Detalhado!$C$2:$C$433,"Proteina"))*(SUMIFS(Acerto_Detalhado!$I$2:$I$433,Acerto_Detalhado!$A$2:$A$433,$D3590,Acerto_Detalhado!$B$2:$B$433,"Out",Acerto_Detalhado!$C$2:$C$433,"Proteina")),2)</f>
        <v>0</v>
      </c>
    </row>
    <row r="3591" customFormat="false" ht="15" hidden="false" customHeight="false" outlineLevel="0" collapsed="false">
      <c r="A3591" s="27" t="s">
        <v>120</v>
      </c>
      <c r="B3591" s="27" t="s">
        <v>109</v>
      </c>
      <c r="C3591" s="27" t="s">
        <v>41</v>
      </c>
      <c r="D3591" s="27" t="s">
        <v>39</v>
      </c>
      <c r="E3591" s="28" t="n">
        <f aca="false">ROUND((SUMIFS(Acerto_Detalhado!$F$2:$F$433,Acerto_Detalhado!$A$2:$A$433,$C3591,Acerto_Detalhado!$B$2:$B$433,"Out",Acerto_Detalhado!$C$2:$C$433,"Proteina"))*(SUMIFS(Acerto_Detalhado!$I$2:$I$433,Acerto_Detalhado!$A$2:$A$433,$D3591,Acerto_Detalhado!$B$2:$B$433,"Out",Acerto_Detalhado!$C$2:$C$433,"Proteina")),2)</f>
        <v>0</v>
      </c>
    </row>
    <row r="3592" customFormat="false" ht="15" hidden="false" customHeight="false" outlineLevel="0" collapsed="false">
      <c r="A3592" s="27" t="s">
        <v>120</v>
      </c>
      <c r="B3592" s="27" t="s">
        <v>109</v>
      </c>
      <c r="C3592" s="27" t="s">
        <v>41</v>
      </c>
      <c r="D3592" s="27" t="s">
        <v>40</v>
      </c>
      <c r="E3592" s="28" t="n">
        <f aca="false">ROUND((SUMIFS(Acerto_Detalhado!$F$2:$F$433,Acerto_Detalhado!$A$2:$A$433,$C3592,Acerto_Detalhado!$B$2:$B$433,"Out",Acerto_Detalhado!$C$2:$C$433,"Proteina"))*(SUMIFS(Acerto_Detalhado!$I$2:$I$433,Acerto_Detalhado!$A$2:$A$433,$D3592,Acerto_Detalhado!$B$2:$B$433,"Out",Acerto_Detalhado!$C$2:$C$433,"Proteina")),2)</f>
        <v>0</v>
      </c>
    </row>
    <row r="3593" customFormat="false" ht="15" hidden="false" customHeight="false" outlineLevel="0" collapsed="false">
      <c r="A3593" s="27" t="s">
        <v>120</v>
      </c>
      <c r="B3593" s="27" t="s">
        <v>109</v>
      </c>
      <c r="C3593" s="27" t="s">
        <v>41</v>
      </c>
      <c r="D3593" s="27" t="s">
        <v>42</v>
      </c>
      <c r="E3593" s="28" t="n">
        <f aca="false">ROUND((SUMIFS(Acerto_Detalhado!$F$2:$F$433,Acerto_Detalhado!$A$2:$A$433,$C3593,Acerto_Detalhado!$B$2:$B$433,"Out",Acerto_Detalhado!$C$2:$C$433,"Proteina"))*(SUMIFS(Acerto_Detalhado!$I$2:$I$433,Acerto_Detalhado!$A$2:$A$433,$D3593,Acerto_Detalhado!$B$2:$B$433,"Out",Acerto_Detalhado!$C$2:$C$433,"Proteina")),2)</f>
        <v>0</v>
      </c>
    </row>
    <row r="3594" customFormat="false" ht="15" hidden="false" customHeight="false" outlineLevel="0" collapsed="false">
      <c r="A3594" s="27" t="s">
        <v>120</v>
      </c>
      <c r="B3594" s="27" t="s">
        <v>109</v>
      </c>
      <c r="C3594" s="27" t="s">
        <v>41</v>
      </c>
      <c r="D3594" s="27" t="s">
        <v>43</v>
      </c>
      <c r="E3594" s="28" t="n">
        <f aca="false">ROUND((SUMIFS(Acerto_Detalhado!$F$2:$F$433,Acerto_Detalhado!$A$2:$A$433,$C3594,Acerto_Detalhado!$B$2:$B$433,"Out",Acerto_Detalhado!$C$2:$C$433,"Proteina"))*(SUMIFS(Acerto_Detalhado!$I$2:$I$433,Acerto_Detalhado!$A$2:$A$433,$D3594,Acerto_Detalhado!$B$2:$B$433,"Out",Acerto_Detalhado!$C$2:$C$433,"Proteina")),2)</f>
        <v>0</v>
      </c>
    </row>
    <row r="3595" customFormat="false" ht="15" hidden="false" customHeight="false" outlineLevel="0" collapsed="false">
      <c r="A3595" s="27" t="s">
        <v>120</v>
      </c>
      <c r="B3595" s="27" t="s">
        <v>109</v>
      </c>
      <c r="C3595" s="27" t="s">
        <v>41</v>
      </c>
      <c r="D3595" s="27" t="s">
        <v>44</v>
      </c>
      <c r="E3595" s="28" t="n">
        <f aca="false">ROUND((SUMIFS(Acerto_Detalhado!$F$2:$F$433,Acerto_Detalhado!$A$2:$A$433,$C3595,Acerto_Detalhado!$B$2:$B$433,"Out",Acerto_Detalhado!$C$2:$C$433,"Proteina"))*(SUMIFS(Acerto_Detalhado!$I$2:$I$433,Acerto_Detalhado!$A$2:$A$433,$D3595,Acerto_Detalhado!$B$2:$B$433,"Out",Acerto_Detalhado!$C$2:$C$433,"Proteina")),2)</f>
        <v>0</v>
      </c>
    </row>
    <row r="3596" customFormat="false" ht="15" hidden="false" customHeight="false" outlineLevel="0" collapsed="false">
      <c r="A3596" s="27" t="s">
        <v>120</v>
      </c>
      <c r="B3596" s="27" t="s">
        <v>109</v>
      </c>
      <c r="C3596" s="27" t="s">
        <v>41</v>
      </c>
      <c r="D3596" s="27" t="s">
        <v>45</v>
      </c>
      <c r="E3596" s="28" t="n">
        <f aca="false">ROUND((SUMIFS(Acerto_Detalhado!$F$2:$F$433,Acerto_Detalhado!$A$2:$A$433,$C3596,Acerto_Detalhado!$B$2:$B$433,"Out",Acerto_Detalhado!$C$2:$C$433,"Proteina"))*(SUMIFS(Acerto_Detalhado!$I$2:$I$433,Acerto_Detalhado!$A$2:$A$433,$D3596,Acerto_Detalhado!$B$2:$B$433,"Out",Acerto_Detalhado!$C$2:$C$433,"Proteina")),2)</f>
        <v>0</v>
      </c>
    </row>
    <row r="3597" customFormat="false" ht="15" hidden="false" customHeight="false" outlineLevel="0" collapsed="false">
      <c r="A3597" s="27" t="s">
        <v>120</v>
      </c>
      <c r="B3597" s="27" t="s">
        <v>109</v>
      </c>
      <c r="C3597" s="27" t="s">
        <v>41</v>
      </c>
      <c r="D3597" s="27" t="s">
        <v>46</v>
      </c>
      <c r="E3597" s="28" t="n">
        <f aca="false">ROUND((SUMIFS(Acerto_Detalhado!$F$2:$F$433,Acerto_Detalhado!$A$2:$A$433,$C3597,Acerto_Detalhado!$B$2:$B$433,"Out",Acerto_Detalhado!$C$2:$C$433,"Proteina"))*(SUMIFS(Acerto_Detalhado!$I$2:$I$433,Acerto_Detalhado!$A$2:$A$433,$D3597,Acerto_Detalhado!$B$2:$B$433,"Out",Acerto_Detalhado!$C$2:$C$433,"Proteina")),2)</f>
        <v>0</v>
      </c>
    </row>
    <row r="3598" customFormat="false" ht="15" hidden="false" customHeight="false" outlineLevel="0" collapsed="false">
      <c r="A3598" s="27" t="s">
        <v>120</v>
      </c>
      <c r="B3598" s="27" t="s">
        <v>109</v>
      </c>
      <c r="C3598" s="27" t="s">
        <v>41</v>
      </c>
      <c r="D3598" s="27" t="s">
        <v>47</v>
      </c>
      <c r="E3598" s="28" t="n">
        <f aca="false">ROUND((SUMIFS(Acerto_Detalhado!$F$2:$F$433,Acerto_Detalhado!$A$2:$A$433,$C3598,Acerto_Detalhado!$B$2:$B$433,"Out",Acerto_Detalhado!$C$2:$C$433,"Proteina"))*(SUMIFS(Acerto_Detalhado!$I$2:$I$433,Acerto_Detalhado!$A$2:$A$433,$D3598,Acerto_Detalhado!$B$2:$B$433,"Out",Acerto_Detalhado!$C$2:$C$433,"Proteina")),2)</f>
        <v>0</v>
      </c>
    </row>
    <row r="3599" customFormat="false" ht="15" hidden="false" customHeight="false" outlineLevel="0" collapsed="false">
      <c r="A3599" s="27" t="s">
        <v>120</v>
      </c>
      <c r="B3599" s="27" t="s">
        <v>109</v>
      </c>
      <c r="C3599" s="27" t="s">
        <v>41</v>
      </c>
      <c r="D3599" s="27" t="s">
        <v>48</v>
      </c>
      <c r="E3599" s="28" t="n">
        <f aca="false">ROUND((SUMIFS(Acerto_Detalhado!$F$2:$F$433,Acerto_Detalhado!$A$2:$A$433,$C3599,Acerto_Detalhado!$B$2:$B$433,"Out",Acerto_Detalhado!$C$2:$C$433,"Proteina"))*(SUMIFS(Acerto_Detalhado!$I$2:$I$433,Acerto_Detalhado!$A$2:$A$433,$D3599,Acerto_Detalhado!$B$2:$B$433,"Out",Acerto_Detalhado!$C$2:$C$433,"Proteina")),2)</f>
        <v>0</v>
      </c>
    </row>
    <row r="3600" customFormat="false" ht="15" hidden="false" customHeight="false" outlineLevel="0" collapsed="false">
      <c r="A3600" s="27" t="s">
        <v>120</v>
      </c>
      <c r="B3600" s="27" t="s">
        <v>109</v>
      </c>
      <c r="C3600" s="27" t="s">
        <v>41</v>
      </c>
      <c r="D3600" s="27" t="s">
        <v>49</v>
      </c>
      <c r="E3600" s="28" t="n">
        <f aca="false">ROUND((SUMIFS(Acerto_Detalhado!$F$2:$F$433,Acerto_Detalhado!$A$2:$A$433,$C3600,Acerto_Detalhado!$B$2:$B$433,"Out",Acerto_Detalhado!$C$2:$C$433,"Proteina"))*(SUMIFS(Acerto_Detalhado!$I$2:$I$433,Acerto_Detalhado!$A$2:$A$433,$D3600,Acerto_Detalhado!$B$2:$B$433,"Out",Acerto_Detalhado!$C$2:$C$433,"Proteina")),2)</f>
        <v>0</v>
      </c>
    </row>
    <row r="3601" customFormat="false" ht="15" hidden="false" customHeight="false" outlineLevel="0" collapsed="false">
      <c r="A3601" s="27" t="s">
        <v>120</v>
      </c>
      <c r="B3601" s="27" t="s">
        <v>109</v>
      </c>
      <c r="C3601" s="27" t="s">
        <v>41</v>
      </c>
      <c r="D3601" s="27" t="s">
        <v>50</v>
      </c>
      <c r="E3601" s="28" t="n">
        <f aca="false">ROUND((SUMIFS(Acerto_Detalhado!$F$2:$F$433,Acerto_Detalhado!$A$2:$A$433,$C3601,Acerto_Detalhado!$B$2:$B$433,"Out",Acerto_Detalhado!$C$2:$C$433,"Proteina"))*(SUMIFS(Acerto_Detalhado!$I$2:$I$433,Acerto_Detalhado!$A$2:$A$433,$D3601,Acerto_Detalhado!$B$2:$B$433,"Out",Acerto_Detalhado!$C$2:$C$433,"Proteina")),2)</f>
        <v>0</v>
      </c>
    </row>
    <row r="3602" customFormat="false" ht="15" hidden="false" customHeight="false" outlineLevel="0" collapsed="false">
      <c r="A3602" s="27" t="s">
        <v>120</v>
      </c>
      <c r="B3602" s="27" t="s">
        <v>109</v>
      </c>
      <c r="C3602" s="27" t="s">
        <v>42</v>
      </c>
      <c r="D3602" s="27" t="s">
        <v>39</v>
      </c>
      <c r="E3602" s="28" t="n">
        <f aca="false">ROUND((SUMIFS(Acerto_Detalhado!$F$2:$F$433,Acerto_Detalhado!$A$2:$A$433,$C3602,Acerto_Detalhado!$B$2:$B$433,"Out",Acerto_Detalhado!$C$2:$C$433,"Proteina"))*(SUMIFS(Acerto_Detalhado!$I$2:$I$433,Acerto_Detalhado!$A$2:$A$433,$D3602,Acerto_Detalhado!$B$2:$B$433,"Out",Acerto_Detalhado!$C$2:$C$433,"Proteina")),2)</f>
        <v>0</v>
      </c>
    </row>
    <row r="3603" customFormat="false" ht="15" hidden="false" customHeight="false" outlineLevel="0" collapsed="false">
      <c r="A3603" s="27" t="s">
        <v>120</v>
      </c>
      <c r="B3603" s="27" t="s">
        <v>109</v>
      </c>
      <c r="C3603" s="27" t="s">
        <v>42</v>
      </c>
      <c r="D3603" s="27" t="s">
        <v>40</v>
      </c>
      <c r="E3603" s="28" t="n">
        <f aca="false">ROUND((SUMIFS(Acerto_Detalhado!$F$2:$F$433,Acerto_Detalhado!$A$2:$A$433,$C3603,Acerto_Detalhado!$B$2:$B$433,"Out",Acerto_Detalhado!$C$2:$C$433,"Proteina"))*(SUMIFS(Acerto_Detalhado!$I$2:$I$433,Acerto_Detalhado!$A$2:$A$433,$D3603,Acerto_Detalhado!$B$2:$B$433,"Out",Acerto_Detalhado!$C$2:$C$433,"Proteina")),2)</f>
        <v>0</v>
      </c>
    </row>
    <row r="3604" customFormat="false" ht="15" hidden="false" customHeight="false" outlineLevel="0" collapsed="false">
      <c r="A3604" s="27" t="s">
        <v>120</v>
      </c>
      <c r="B3604" s="27" t="s">
        <v>109</v>
      </c>
      <c r="C3604" s="27" t="s">
        <v>42</v>
      </c>
      <c r="D3604" s="27" t="s">
        <v>41</v>
      </c>
      <c r="E3604" s="28" t="n">
        <f aca="false">ROUND((SUMIFS(Acerto_Detalhado!$F$2:$F$433,Acerto_Detalhado!$A$2:$A$433,$C3604,Acerto_Detalhado!$B$2:$B$433,"Out",Acerto_Detalhado!$C$2:$C$433,"Proteina"))*(SUMIFS(Acerto_Detalhado!$I$2:$I$433,Acerto_Detalhado!$A$2:$A$433,$D3604,Acerto_Detalhado!$B$2:$B$433,"Out",Acerto_Detalhado!$C$2:$C$433,"Proteina")),2)</f>
        <v>0</v>
      </c>
    </row>
    <row r="3605" customFormat="false" ht="15" hidden="false" customHeight="false" outlineLevel="0" collapsed="false">
      <c r="A3605" s="27" t="s">
        <v>120</v>
      </c>
      <c r="B3605" s="27" t="s">
        <v>109</v>
      </c>
      <c r="C3605" s="27" t="s">
        <v>42</v>
      </c>
      <c r="D3605" s="27" t="s">
        <v>43</v>
      </c>
      <c r="E3605" s="28" t="n">
        <f aca="false">ROUND((SUMIFS(Acerto_Detalhado!$F$2:$F$433,Acerto_Detalhado!$A$2:$A$433,$C3605,Acerto_Detalhado!$B$2:$B$433,"Out",Acerto_Detalhado!$C$2:$C$433,"Proteina"))*(SUMIFS(Acerto_Detalhado!$I$2:$I$433,Acerto_Detalhado!$A$2:$A$433,$D3605,Acerto_Detalhado!$B$2:$B$433,"Out",Acerto_Detalhado!$C$2:$C$433,"Proteina")),2)</f>
        <v>0</v>
      </c>
    </row>
    <row r="3606" customFormat="false" ht="15" hidden="false" customHeight="false" outlineLevel="0" collapsed="false">
      <c r="A3606" s="27" t="s">
        <v>120</v>
      </c>
      <c r="B3606" s="27" t="s">
        <v>109</v>
      </c>
      <c r="C3606" s="27" t="s">
        <v>42</v>
      </c>
      <c r="D3606" s="27" t="s">
        <v>44</v>
      </c>
      <c r="E3606" s="28" t="n">
        <f aca="false">ROUND((SUMIFS(Acerto_Detalhado!$F$2:$F$433,Acerto_Detalhado!$A$2:$A$433,$C3606,Acerto_Detalhado!$B$2:$B$433,"Out",Acerto_Detalhado!$C$2:$C$433,"Proteina"))*(SUMIFS(Acerto_Detalhado!$I$2:$I$433,Acerto_Detalhado!$A$2:$A$433,$D3606,Acerto_Detalhado!$B$2:$B$433,"Out",Acerto_Detalhado!$C$2:$C$433,"Proteina")),2)</f>
        <v>0</v>
      </c>
    </row>
    <row r="3607" customFormat="false" ht="15" hidden="false" customHeight="false" outlineLevel="0" collapsed="false">
      <c r="A3607" s="27" t="s">
        <v>120</v>
      </c>
      <c r="B3607" s="27" t="s">
        <v>109</v>
      </c>
      <c r="C3607" s="27" t="s">
        <v>42</v>
      </c>
      <c r="D3607" s="27" t="s">
        <v>45</v>
      </c>
      <c r="E3607" s="28" t="n">
        <f aca="false">ROUND((SUMIFS(Acerto_Detalhado!$F$2:$F$433,Acerto_Detalhado!$A$2:$A$433,$C3607,Acerto_Detalhado!$B$2:$B$433,"Out",Acerto_Detalhado!$C$2:$C$433,"Proteina"))*(SUMIFS(Acerto_Detalhado!$I$2:$I$433,Acerto_Detalhado!$A$2:$A$433,$D3607,Acerto_Detalhado!$B$2:$B$433,"Out",Acerto_Detalhado!$C$2:$C$433,"Proteina")),2)</f>
        <v>0</v>
      </c>
    </row>
    <row r="3608" customFormat="false" ht="15" hidden="false" customHeight="false" outlineLevel="0" collapsed="false">
      <c r="A3608" s="27" t="s">
        <v>120</v>
      </c>
      <c r="B3608" s="27" t="s">
        <v>109</v>
      </c>
      <c r="C3608" s="27" t="s">
        <v>42</v>
      </c>
      <c r="D3608" s="27" t="s">
        <v>46</v>
      </c>
      <c r="E3608" s="28" t="n">
        <f aca="false">ROUND((SUMIFS(Acerto_Detalhado!$F$2:$F$433,Acerto_Detalhado!$A$2:$A$433,$C3608,Acerto_Detalhado!$B$2:$B$433,"Out",Acerto_Detalhado!$C$2:$C$433,"Proteina"))*(SUMIFS(Acerto_Detalhado!$I$2:$I$433,Acerto_Detalhado!$A$2:$A$433,$D3608,Acerto_Detalhado!$B$2:$B$433,"Out",Acerto_Detalhado!$C$2:$C$433,"Proteina")),2)</f>
        <v>0</v>
      </c>
    </row>
    <row r="3609" customFormat="false" ht="15" hidden="false" customHeight="false" outlineLevel="0" collapsed="false">
      <c r="A3609" s="27" t="s">
        <v>120</v>
      </c>
      <c r="B3609" s="27" t="s">
        <v>109</v>
      </c>
      <c r="C3609" s="27" t="s">
        <v>42</v>
      </c>
      <c r="D3609" s="27" t="s">
        <v>47</v>
      </c>
      <c r="E3609" s="28" t="n">
        <f aca="false">ROUND((SUMIFS(Acerto_Detalhado!$F$2:$F$433,Acerto_Detalhado!$A$2:$A$433,$C3609,Acerto_Detalhado!$B$2:$B$433,"Out",Acerto_Detalhado!$C$2:$C$433,"Proteina"))*(SUMIFS(Acerto_Detalhado!$I$2:$I$433,Acerto_Detalhado!$A$2:$A$433,$D3609,Acerto_Detalhado!$B$2:$B$433,"Out",Acerto_Detalhado!$C$2:$C$433,"Proteina")),2)</f>
        <v>0</v>
      </c>
    </row>
    <row r="3610" customFormat="false" ht="15" hidden="false" customHeight="false" outlineLevel="0" collapsed="false">
      <c r="A3610" s="27" t="s">
        <v>120</v>
      </c>
      <c r="B3610" s="27" t="s">
        <v>109</v>
      </c>
      <c r="C3610" s="27" t="s">
        <v>42</v>
      </c>
      <c r="D3610" s="27" t="s">
        <v>48</v>
      </c>
      <c r="E3610" s="28" t="n">
        <f aca="false">ROUND((SUMIFS(Acerto_Detalhado!$F$2:$F$433,Acerto_Detalhado!$A$2:$A$433,$C3610,Acerto_Detalhado!$B$2:$B$433,"Out",Acerto_Detalhado!$C$2:$C$433,"Proteina"))*(SUMIFS(Acerto_Detalhado!$I$2:$I$433,Acerto_Detalhado!$A$2:$A$433,$D3610,Acerto_Detalhado!$B$2:$B$433,"Out",Acerto_Detalhado!$C$2:$C$433,"Proteina")),2)</f>
        <v>0</v>
      </c>
    </row>
    <row r="3611" customFormat="false" ht="15" hidden="false" customHeight="false" outlineLevel="0" collapsed="false">
      <c r="A3611" s="27" t="s">
        <v>120</v>
      </c>
      <c r="B3611" s="27" t="s">
        <v>109</v>
      </c>
      <c r="C3611" s="27" t="s">
        <v>42</v>
      </c>
      <c r="D3611" s="27" t="s">
        <v>49</v>
      </c>
      <c r="E3611" s="28" t="n">
        <f aca="false">ROUND((SUMIFS(Acerto_Detalhado!$F$2:$F$433,Acerto_Detalhado!$A$2:$A$433,$C3611,Acerto_Detalhado!$B$2:$B$433,"Out",Acerto_Detalhado!$C$2:$C$433,"Proteina"))*(SUMIFS(Acerto_Detalhado!$I$2:$I$433,Acerto_Detalhado!$A$2:$A$433,$D3611,Acerto_Detalhado!$B$2:$B$433,"Out",Acerto_Detalhado!$C$2:$C$433,"Proteina")),2)</f>
        <v>0</v>
      </c>
    </row>
    <row r="3612" customFormat="false" ht="15" hidden="false" customHeight="false" outlineLevel="0" collapsed="false">
      <c r="A3612" s="27" t="s">
        <v>120</v>
      </c>
      <c r="B3612" s="27" t="s">
        <v>109</v>
      </c>
      <c r="C3612" s="27" t="s">
        <v>42</v>
      </c>
      <c r="D3612" s="27" t="s">
        <v>50</v>
      </c>
      <c r="E3612" s="28" t="n">
        <f aca="false">ROUND((SUMIFS(Acerto_Detalhado!$F$2:$F$433,Acerto_Detalhado!$A$2:$A$433,$C3612,Acerto_Detalhado!$B$2:$B$433,"Out",Acerto_Detalhado!$C$2:$C$433,"Proteina"))*(SUMIFS(Acerto_Detalhado!$I$2:$I$433,Acerto_Detalhado!$A$2:$A$433,$D3612,Acerto_Detalhado!$B$2:$B$433,"Out",Acerto_Detalhado!$C$2:$C$433,"Proteina")),2)</f>
        <v>0</v>
      </c>
    </row>
    <row r="3613" customFormat="false" ht="15" hidden="false" customHeight="false" outlineLevel="0" collapsed="false">
      <c r="A3613" s="27" t="s">
        <v>120</v>
      </c>
      <c r="B3613" s="27" t="s">
        <v>109</v>
      </c>
      <c r="C3613" s="27" t="s">
        <v>43</v>
      </c>
      <c r="D3613" s="27" t="s">
        <v>39</v>
      </c>
      <c r="E3613" s="28" t="n">
        <f aca="false">ROUND((SUMIFS(Acerto_Detalhado!$F$2:$F$433,Acerto_Detalhado!$A$2:$A$433,$C3613,Acerto_Detalhado!$B$2:$B$433,"Out",Acerto_Detalhado!$C$2:$C$433,"Proteina"))*(SUMIFS(Acerto_Detalhado!$I$2:$I$433,Acerto_Detalhado!$A$2:$A$433,$D3613,Acerto_Detalhado!$B$2:$B$433,"Out",Acerto_Detalhado!$C$2:$C$433,"Proteina")),2)</f>
        <v>0</v>
      </c>
    </row>
    <row r="3614" customFormat="false" ht="15" hidden="false" customHeight="false" outlineLevel="0" collapsed="false">
      <c r="A3614" s="27" t="s">
        <v>120</v>
      </c>
      <c r="B3614" s="27" t="s">
        <v>109</v>
      </c>
      <c r="C3614" s="27" t="s">
        <v>43</v>
      </c>
      <c r="D3614" s="27" t="s">
        <v>40</v>
      </c>
      <c r="E3614" s="28" t="n">
        <f aca="false">ROUND((SUMIFS(Acerto_Detalhado!$F$2:$F$433,Acerto_Detalhado!$A$2:$A$433,$C3614,Acerto_Detalhado!$B$2:$B$433,"Out",Acerto_Detalhado!$C$2:$C$433,"Proteina"))*(SUMIFS(Acerto_Detalhado!$I$2:$I$433,Acerto_Detalhado!$A$2:$A$433,$D3614,Acerto_Detalhado!$B$2:$B$433,"Out",Acerto_Detalhado!$C$2:$C$433,"Proteina")),2)</f>
        <v>0</v>
      </c>
    </row>
    <row r="3615" customFormat="false" ht="15" hidden="false" customHeight="false" outlineLevel="0" collapsed="false">
      <c r="A3615" s="27" t="s">
        <v>120</v>
      </c>
      <c r="B3615" s="27" t="s">
        <v>109</v>
      </c>
      <c r="C3615" s="27" t="s">
        <v>43</v>
      </c>
      <c r="D3615" s="27" t="s">
        <v>41</v>
      </c>
      <c r="E3615" s="28" t="n">
        <f aca="false">ROUND((SUMIFS(Acerto_Detalhado!$F$2:$F$433,Acerto_Detalhado!$A$2:$A$433,$C3615,Acerto_Detalhado!$B$2:$B$433,"Out",Acerto_Detalhado!$C$2:$C$433,"Proteina"))*(SUMIFS(Acerto_Detalhado!$I$2:$I$433,Acerto_Detalhado!$A$2:$A$433,$D3615,Acerto_Detalhado!$B$2:$B$433,"Out",Acerto_Detalhado!$C$2:$C$433,"Proteina")),2)</f>
        <v>0</v>
      </c>
    </row>
    <row r="3616" customFormat="false" ht="15" hidden="false" customHeight="false" outlineLevel="0" collapsed="false">
      <c r="A3616" s="27" t="s">
        <v>120</v>
      </c>
      <c r="B3616" s="27" t="s">
        <v>109</v>
      </c>
      <c r="C3616" s="27" t="s">
        <v>43</v>
      </c>
      <c r="D3616" s="27" t="s">
        <v>42</v>
      </c>
      <c r="E3616" s="28" t="n">
        <f aca="false">ROUND((SUMIFS(Acerto_Detalhado!$F$2:$F$433,Acerto_Detalhado!$A$2:$A$433,$C3616,Acerto_Detalhado!$B$2:$B$433,"Out",Acerto_Detalhado!$C$2:$C$433,"Proteina"))*(SUMIFS(Acerto_Detalhado!$I$2:$I$433,Acerto_Detalhado!$A$2:$A$433,$D3616,Acerto_Detalhado!$B$2:$B$433,"Out",Acerto_Detalhado!$C$2:$C$433,"Proteina")),2)</f>
        <v>0</v>
      </c>
    </row>
    <row r="3617" customFormat="false" ht="15" hidden="false" customHeight="false" outlineLevel="0" collapsed="false">
      <c r="A3617" s="27" t="s">
        <v>120</v>
      </c>
      <c r="B3617" s="27" t="s">
        <v>109</v>
      </c>
      <c r="C3617" s="27" t="s">
        <v>43</v>
      </c>
      <c r="D3617" s="27" t="s">
        <v>44</v>
      </c>
      <c r="E3617" s="28" t="n">
        <f aca="false">ROUND((SUMIFS(Acerto_Detalhado!$F$2:$F$433,Acerto_Detalhado!$A$2:$A$433,$C3617,Acerto_Detalhado!$B$2:$B$433,"Out",Acerto_Detalhado!$C$2:$C$433,"Proteina"))*(SUMIFS(Acerto_Detalhado!$I$2:$I$433,Acerto_Detalhado!$A$2:$A$433,$D3617,Acerto_Detalhado!$B$2:$B$433,"Out",Acerto_Detalhado!$C$2:$C$433,"Proteina")),2)</f>
        <v>0</v>
      </c>
    </row>
    <row r="3618" customFormat="false" ht="15" hidden="false" customHeight="false" outlineLevel="0" collapsed="false">
      <c r="A3618" s="27" t="s">
        <v>120</v>
      </c>
      <c r="B3618" s="27" t="s">
        <v>109</v>
      </c>
      <c r="C3618" s="27" t="s">
        <v>43</v>
      </c>
      <c r="D3618" s="27" t="s">
        <v>45</v>
      </c>
      <c r="E3618" s="28" t="n">
        <f aca="false">ROUND((SUMIFS(Acerto_Detalhado!$F$2:$F$433,Acerto_Detalhado!$A$2:$A$433,$C3618,Acerto_Detalhado!$B$2:$B$433,"Out",Acerto_Detalhado!$C$2:$C$433,"Proteina"))*(SUMIFS(Acerto_Detalhado!$I$2:$I$433,Acerto_Detalhado!$A$2:$A$433,$D3618,Acerto_Detalhado!$B$2:$B$433,"Out",Acerto_Detalhado!$C$2:$C$433,"Proteina")),2)</f>
        <v>0</v>
      </c>
    </row>
    <row r="3619" customFormat="false" ht="15" hidden="false" customHeight="false" outlineLevel="0" collapsed="false">
      <c r="A3619" s="27" t="s">
        <v>120</v>
      </c>
      <c r="B3619" s="27" t="s">
        <v>109</v>
      </c>
      <c r="C3619" s="27" t="s">
        <v>43</v>
      </c>
      <c r="D3619" s="27" t="s">
        <v>46</v>
      </c>
      <c r="E3619" s="28" t="n">
        <f aca="false">ROUND((SUMIFS(Acerto_Detalhado!$F$2:$F$433,Acerto_Detalhado!$A$2:$A$433,$C3619,Acerto_Detalhado!$B$2:$B$433,"Out",Acerto_Detalhado!$C$2:$C$433,"Proteina"))*(SUMIFS(Acerto_Detalhado!$I$2:$I$433,Acerto_Detalhado!$A$2:$A$433,$D3619,Acerto_Detalhado!$B$2:$B$433,"Out",Acerto_Detalhado!$C$2:$C$433,"Proteina")),2)</f>
        <v>0</v>
      </c>
    </row>
    <row r="3620" customFormat="false" ht="15" hidden="false" customHeight="false" outlineLevel="0" collapsed="false">
      <c r="A3620" s="27" t="s">
        <v>120</v>
      </c>
      <c r="B3620" s="27" t="s">
        <v>109</v>
      </c>
      <c r="C3620" s="27" t="s">
        <v>43</v>
      </c>
      <c r="D3620" s="27" t="s">
        <v>47</v>
      </c>
      <c r="E3620" s="28" t="n">
        <f aca="false">ROUND((SUMIFS(Acerto_Detalhado!$F$2:$F$433,Acerto_Detalhado!$A$2:$A$433,$C3620,Acerto_Detalhado!$B$2:$B$433,"Out",Acerto_Detalhado!$C$2:$C$433,"Proteina"))*(SUMIFS(Acerto_Detalhado!$I$2:$I$433,Acerto_Detalhado!$A$2:$A$433,$D3620,Acerto_Detalhado!$B$2:$B$433,"Out",Acerto_Detalhado!$C$2:$C$433,"Proteina")),2)</f>
        <v>0</v>
      </c>
    </row>
    <row r="3621" customFormat="false" ht="15" hidden="false" customHeight="false" outlineLevel="0" collapsed="false">
      <c r="A3621" s="27" t="s">
        <v>120</v>
      </c>
      <c r="B3621" s="27" t="s">
        <v>109</v>
      </c>
      <c r="C3621" s="27" t="s">
        <v>43</v>
      </c>
      <c r="D3621" s="27" t="s">
        <v>48</v>
      </c>
      <c r="E3621" s="28" t="n">
        <f aca="false">ROUND((SUMIFS(Acerto_Detalhado!$F$2:$F$433,Acerto_Detalhado!$A$2:$A$433,$C3621,Acerto_Detalhado!$B$2:$B$433,"Out",Acerto_Detalhado!$C$2:$C$433,"Proteina"))*(SUMIFS(Acerto_Detalhado!$I$2:$I$433,Acerto_Detalhado!$A$2:$A$433,$D3621,Acerto_Detalhado!$B$2:$B$433,"Out",Acerto_Detalhado!$C$2:$C$433,"Proteina")),2)</f>
        <v>0</v>
      </c>
    </row>
    <row r="3622" customFormat="false" ht="15" hidden="false" customHeight="false" outlineLevel="0" collapsed="false">
      <c r="A3622" s="27" t="s">
        <v>120</v>
      </c>
      <c r="B3622" s="27" t="s">
        <v>109</v>
      </c>
      <c r="C3622" s="27" t="s">
        <v>43</v>
      </c>
      <c r="D3622" s="27" t="s">
        <v>49</v>
      </c>
      <c r="E3622" s="28" t="n">
        <f aca="false">ROUND((SUMIFS(Acerto_Detalhado!$F$2:$F$433,Acerto_Detalhado!$A$2:$A$433,$C3622,Acerto_Detalhado!$B$2:$B$433,"Out",Acerto_Detalhado!$C$2:$C$433,"Proteina"))*(SUMIFS(Acerto_Detalhado!$I$2:$I$433,Acerto_Detalhado!$A$2:$A$433,$D3622,Acerto_Detalhado!$B$2:$B$433,"Out",Acerto_Detalhado!$C$2:$C$433,"Proteina")),2)</f>
        <v>0</v>
      </c>
    </row>
    <row r="3623" customFormat="false" ht="15" hidden="false" customHeight="false" outlineLevel="0" collapsed="false">
      <c r="A3623" s="27" t="s">
        <v>120</v>
      </c>
      <c r="B3623" s="27" t="s">
        <v>109</v>
      </c>
      <c r="C3623" s="27" t="s">
        <v>43</v>
      </c>
      <c r="D3623" s="27" t="s">
        <v>50</v>
      </c>
      <c r="E3623" s="28" t="n">
        <f aca="false">ROUND((SUMIFS(Acerto_Detalhado!$F$2:$F$433,Acerto_Detalhado!$A$2:$A$433,$C3623,Acerto_Detalhado!$B$2:$B$433,"Out",Acerto_Detalhado!$C$2:$C$433,"Proteina"))*(SUMIFS(Acerto_Detalhado!$I$2:$I$433,Acerto_Detalhado!$A$2:$A$433,$D3623,Acerto_Detalhado!$B$2:$B$433,"Out",Acerto_Detalhado!$C$2:$C$433,"Proteina")),2)</f>
        <v>0</v>
      </c>
    </row>
    <row r="3624" customFormat="false" ht="15" hidden="false" customHeight="false" outlineLevel="0" collapsed="false">
      <c r="A3624" s="27" t="s">
        <v>120</v>
      </c>
      <c r="B3624" s="27" t="s">
        <v>109</v>
      </c>
      <c r="C3624" s="27" t="s">
        <v>44</v>
      </c>
      <c r="D3624" s="27" t="s">
        <v>39</v>
      </c>
      <c r="E3624" s="28" t="n">
        <f aca="false">ROUND((SUMIFS(Acerto_Detalhado!$F$2:$F$433,Acerto_Detalhado!$A$2:$A$433,$C3624,Acerto_Detalhado!$B$2:$B$433,"Out",Acerto_Detalhado!$C$2:$C$433,"Proteina"))*(SUMIFS(Acerto_Detalhado!$I$2:$I$433,Acerto_Detalhado!$A$2:$A$433,$D3624,Acerto_Detalhado!$B$2:$B$433,"Out",Acerto_Detalhado!$C$2:$C$433,"Proteina")),2)</f>
        <v>0</v>
      </c>
    </row>
    <row r="3625" customFormat="false" ht="15" hidden="false" customHeight="false" outlineLevel="0" collapsed="false">
      <c r="A3625" s="27" t="s">
        <v>120</v>
      </c>
      <c r="B3625" s="27" t="s">
        <v>109</v>
      </c>
      <c r="C3625" s="27" t="s">
        <v>44</v>
      </c>
      <c r="D3625" s="27" t="s">
        <v>40</v>
      </c>
      <c r="E3625" s="28" t="n">
        <f aca="false">ROUND((SUMIFS(Acerto_Detalhado!$F$2:$F$433,Acerto_Detalhado!$A$2:$A$433,$C3625,Acerto_Detalhado!$B$2:$B$433,"Out",Acerto_Detalhado!$C$2:$C$433,"Proteina"))*(SUMIFS(Acerto_Detalhado!$I$2:$I$433,Acerto_Detalhado!$A$2:$A$433,$D3625,Acerto_Detalhado!$B$2:$B$433,"Out",Acerto_Detalhado!$C$2:$C$433,"Proteina")),2)</f>
        <v>0</v>
      </c>
    </row>
    <row r="3626" customFormat="false" ht="15" hidden="false" customHeight="false" outlineLevel="0" collapsed="false">
      <c r="A3626" s="27" t="s">
        <v>120</v>
      </c>
      <c r="B3626" s="27" t="s">
        <v>109</v>
      </c>
      <c r="C3626" s="27" t="s">
        <v>44</v>
      </c>
      <c r="D3626" s="27" t="s">
        <v>41</v>
      </c>
      <c r="E3626" s="28" t="n">
        <f aca="false">ROUND((SUMIFS(Acerto_Detalhado!$F$2:$F$433,Acerto_Detalhado!$A$2:$A$433,$C3626,Acerto_Detalhado!$B$2:$B$433,"Out",Acerto_Detalhado!$C$2:$C$433,"Proteina"))*(SUMIFS(Acerto_Detalhado!$I$2:$I$433,Acerto_Detalhado!$A$2:$A$433,$D3626,Acerto_Detalhado!$B$2:$B$433,"Out",Acerto_Detalhado!$C$2:$C$433,"Proteina")),2)</f>
        <v>0</v>
      </c>
    </row>
    <row r="3627" customFormat="false" ht="15" hidden="false" customHeight="false" outlineLevel="0" collapsed="false">
      <c r="A3627" s="27" t="s">
        <v>120</v>
      </c>
      <c r="B3627" s="27" t="s">
        <v>109</v>
      </c>
      <c r="C3627" s="27" t="s">
        <v>44</v>
      </c>
      <c r="D3627" s="27" t="s">
        <v>42</v>
      </c>
      <c r="E3627" s="28" t="n">
        <f aca="false">ROUND((SUMIFS(Acerto_Detalhado!$F$2:$F$433,Acerto_Detalhado!$A$2:$A$433,$C3627,Acerto_Detalhado!$B$2:$B$433,"Out",Acerto_Detalhado!$C$2:$C$433,"Proteina"))*(SUMIFS(Acerto_Detalhado!$I$2:$I$433,Acerto_Detalhado!$A$2:$A$433,$D3627,Acerto_Detalhado!$B$2:$B$433,"Out",Acerto_Detalhado!$C$2:$C$433,"Proteina")),2)</f>
        <v>0</v>
      </c>
    </row>
    <row r="3628" customFormat="false" ht="15" hidden="false" customHeight="false" outlineLevel="0" collapsed="false">
      <c r="A3628" s="27" t="s">
        <v>120</v>
      </c>
      <c r="B3628" s="27" t="s">
        <v>109</v>
      </c>
      <c r="C3628" s="27" t="s">
        <v>44</v>
      </c>
      <c r="D3628" s="27" t="s">
        <v>43</v>
      </c>
      <c r="E3628" s="28" t="n">
        <f aca="false">ROUND((SUMIFS(Acerto_Detalhado!$F$2:$F$433,Acerto_Detalhado!$A$2:$A$433,$C3628,Acerto_Detalhado!$B$2:$B$433,"Out",Acerto_Detalhado!$C$2:$C$433,"Proteina"))*(SUMIFS(Acerto_Detalhado!$I$2:$I$433,Acerto_Detalhado!$A$2:$A$433,$D3628,Acerto_Detalhado!$B$2:$B$433,"Out",Acerto_Detalhado!$C$2:$C$433,"Proteina")),2)</f>
        <v>0</v>
      </c>
    </row>
    <row r="3629" customFormat="false" ht="15" hidden="false" customHeight="false" outlineLevel="0" collapsed="false">
      <c r="A3629" s="27" t="s">
        <v>120</v>
      </c>
      <c r="B3629" s="27" t="s">
        <v>109</v>
      </c>
      <c r="C3629" s="27" t="s">
        <v>44</v>
      </c>
      <c r="D3629" s="27" t="s">
        <v>45</v>
      </c>
      <c r="E3629" s="28" t="n">
        <f aca="false">ROUND((SUMIFS(Acerto_Detalhado!$F$2:$F$433,Acerto_Detalhado!$A$2:$A$433,$C3629,Acerto_Detalhado!$B$2:$B$433,"Out",Acerto_Detalhado!$C$2:$C$433,"Proteina"))*(SUMIFS(Acerto_Detalhado!$I$2:$I$433,Acerto_Detalhado!$A$2:$A$433,$D3629,Acerto_Detalhado!$B$2:$B$433,"Out",Acerto_Detalhado!$C$2:$C$433,"Proteina")),2)</f>
        <v>0</v>
      </c>
    </row>
    <row r="3630" customFormat="false" ht="15" hidden="false" customHeight="false" outlineLevel="0" collapsed="false">
      <c r="A3630" s="27" t="s">
        <v>120</v>
      </c>
      <c r="B3630" s="27" t="s">
        <v>109</v>
      </c>
      <c r="C3630" s="27" t="s">
        <v>44</v>
      </c>
      <c r="D3630" s="27" t="s">
        <v>46</v>
      </c>
      <c r="E3630" s="28" t="n">
        <f aca="false">ROUND((SUMIFS(Acerto_Detalhado!$F$2:$F$433,Acerto_Detalhado!$A$2:$A$433,$C3630,Acerto_Detalhado!$B$2:$B$433,"Out",Acerto_Detalhado!$C$2:$C$433,"Proteina"))*(SUMIFS(Acerto_Detalhado!$I$2:$I$433,Acerto_Detalhado!$A$2:$A$433,$D3630,Acerto_Detalhado!$B$2:$B$433,"Out",Acerto_Detalhado!$C$2:$C$433,"Proteina")),2)</f>
        <v>0</v>
      </c>
    </row>
    <row r="3631" customFormat="false" ht="15" hidden="false" customHeight="false" outlineLevel="0" collapsed="false">
      <c r="A3631" s="27" t="s">
        <v>120</v>
      </c>
      <c r="B3631" s="27" t="s">
        <v>109</v>
      </c>
      <c r="C3631" s="27" t="s">
        <v>44</v>
      </c>
      <c r="D3631" s="27" t="s">
        <v>47</v>
      </c>
      <c r="E3631" s="28" t="n">
        <f aca="false">ROUND((SUMIFS(Acerto_Detalhado!$F$2:$F$433,Acerto_Detalhado!$A$2:$A$433,$C3631,Acerto_Detalhado!$B$2:$B$433,"Out",Acerto_Detalhado!$C$2:$C$433,"Proteina"))*(SUMIFS(Acerto_Detalhado!$I$2:$I$433,Acerto_Detalhado!$A$2:$A$433,$D3631,Acerto_Detalhado!$B$2:$B$433,"Out",Acerto_Detalhado!$C$2:$C$433,"Proteina")),2)</f>
        <v>0</v>
      </c>
    </row>
    <row r="3632" customFormat="false" ht="15" hidden="false" customHeight="false" outlineLevel="0" collapsed="false">
      <c r="A3632" s="27" t="s">
        <v>120</v>
      </c>
      <c r="B3632" s="27" t="s">
        <v>109</v>
      </c>
      <c r="C3632" s="27" t="s">
        <v>44</v>
      </c>
      <c r="D3632" s="27" t="s">
        <v>48</v>
      </c>
      <c r="E3632" s="28" t="n">
        <f aca="false">ROUND((SUMIFS(Acerto_Detalhado!$F$2:$F$433,Acerto_Detalhado!$A$2:$A$433,$C3632,Acerto_Detalhado!$B$2:$B$433,"Out",Acerto_Detalhado!$C$2:$C$433,"Proteina"))*(SUMIFS(Acerto_Detalhado!$I$2:$I$433,Acerto_Detalhado!$A$2:$A$433,$D3632,Acerto_Detalhado!$B$2:$B$433,"Out",Acerto_Detalhado!$C$2:$C$433,"Proteina")),2)</f>
        <v>0</v>
      </c>
    </row>
    <row r="3633" customFormat="false" ht="15" hidden="false" customHeight="false" outlineLevel="0" collapsed="false">
      <c r="A3633" s="27" t="s">
        <v>120</v>
      </c>
      <c r="B3633" s="27" t="s">
        <v>109</v>
      </c>
      <c r="C3633" s="27" t="s">
        <v>44</v>
      </c>
      <c r="D3633" s="27" t="s">
        <v>49</v>
      </c>
      <c r="E3633" s="28" t="n">
        <f aca="false">ROUND((SUMIFS(Acerto_Detalhado!$F$2:$F$433,Acerto_Detalhado!$A$2:$A$433,$C3633,Acerto_Detalhado!$B$2:$B$433,"Out",Acerto_Detalhado!$C$2:$C$433,"Proteina"))*(SUMIFS(Acerto_Detalhado!$I$2:$I$433,Acerto_Detalhado!$A$2:$A$433,$D3633,Acerto_Detalhado!$B$2:$B$433,"Out",Acerto_Detalhado!$C$2:$C$433,"Proteina")),2)</f>
        <v>0</v>
      </c>
    </row>
    <row r="3634" customFormat="false" ht="15" hidden="false" customHeight="false" outlineLevel="0" collapsed="false">
      <c r="A3634" s="27" t="s">
        <v>120</v>
      </c>
      <c r="B3634" s="27" t="s">
        <v>109</v>
      </c>
      <c r="C3634" s="27" t="s">
        <v>44</v>
      </c>
      <c r="D3634" s="27" t="s">
        <v>50</v>
      </c>
      <c r="E3634" s="28" t="n">
        <f aca="false">ROUND((SUMIFS(Acerto_Detalhado!$F$2:$F$433,Acerto_Detalhado!$A$2:$A$433,$C3634,Acerto_Detalhado!$B$2:$B$433,"Out",Acerto_Detalhado!$C$2:$C$433,"Proteina"))*(SUMIFS(Acerto_Detalhado!$I$2:$I$433,Acerto_Detalhado!$A$2:$A$433,$D3634,Acerto_Detalhado!$B$2:$B$433,"Out",Acerto_Detalhado!$C$2:$C$433,"Proteina")),2)</f>
        <v>0</v>
      </c>
    </row>
    <row r="3635" customFormat="false" ht="15" hidden="false" customHeight="false" outlineLevel="0" collapsed="false">
      <c r="A3635" s="27" t="s">
        <v>120</v>
      </c>
      <c r="B3635" s="27" t="s">
        <v>109</v>
      </c>
      <c r="C3635" s="27" t="s">
        <v>45</v>
      </c>
      <c r="D3635" s="27" t="s">
        <v>39</v>
      </c>
      <c r="E3635" s="28" t="n">
        <f aca="false">ROUND((SUMIFS(Acerto_Detalhado!$F$2:$F$433,Acerto_Detalhado!$A$2:$A$433,$C3635,Acerto_Detalhado!$B$2:$B$433,"Out",Acerto_Detalhado!$C$2:$C$433,"Proteina"))*(SUMIFS(Acerto_Detalhado!$I$2:$I$433,Acerto_Detalhado!$A$2:$A$433,$D3635,Acerto_Detalhado!$B$2:$B$433,"Out",Acerto_Detalhado!$C$2:$C$433,"Proteina")),2)</f>
        <v>0</v>
      </c>
    </row>
    <row r="3636" customFormat="false" ht="15" hidden="false" customHeight="false" outlineLevel="0" collapsed="false">
      <c r="A3636" s="27" t="s">
        <v>120</v>
      </c>
      <c r="B3636" s="27" t="s">
        <v>109</v>
      </c>
      <c r="C3636" s="27" t="s">
        <v>45</v>
      </c>
      <c r="D3636" s="27" t="s">
        <v>40</v>
      </c>
      <c r="E3636" s="28" t="n">
        <f aca="false">ROUND((SUMIFS(Acerto_Detalhado!$F$2:$F$433,Acerto_Detalhado!$A$2:$A$433,$C3636,Acerto_Detalhado!$B$2:$B$433,"Out",Acerto_Detalhado!$C$2:$C$433,"Proteina"))*(SUMIFS(Acerto_Detalhado!$I$2:$I$433,Acerto_Detalhado!$A$2:$A$433,$D3636,Acerto_Detalhado!$B$2:$B$433,"Out",Acerto_Detalhado!$C$2:$C$433,"Proteina")),2)</f>
        <v>0</v>
      </c>
    </row>
    <row r="3637" customFormat="false" ht="15" hidden="false" customHeight="false" outlineLevel="0" collapsed="false">
      <c r="A3637" s="27" t="s">
        <v>120</v>
      </c>
      <c r="B3637" s="27" t="s">
        <v>109</v>
      </c>
      <c r="C3637" s="27" t="s">
        <v>45</v>
      </c>
      <c r="D3637" s="27" t="s">
        <v>41</v>
      </c>
      <c r="E3637" s="28" t="n">
        <f aca="false">ROUND((SUMIFS(Acerto_Detalhado!$F$2:$F$433,Acerto_Detalhado!$A$2:$A$433,$C3637,Acerto_Detalhado!$B$2:$B$433,"Out",Acerto_Detalhado!$C$2:$C$433,"Proteina"))*(SUMIFS(Acerto_Detalhado!$I$2:$I$433,Acerto_Detalhado!$A$2:$A$433,$D3637,Acerto_Detalhado!$B$2:$B$433,"Out",Acerto_Detalhado!$C$2:$C$433,"Proteina")),2)</f>
        <v>0</v>
      </c>
    </row>
    <row r="3638" customFormat="false" ht="15" hidden="false" customHeight="false" outlineLevel="0" collapsed="false">
      <c r="A3638" s="27" t="s">
        <v>120</v>
      </c>
      <c r="B3638" s="27" t="s">
        <v>109</v>
      </c>
      <c r="C3638" s="27" t="s">
        <v>45</v>
      </c>
      <c r="D3638" s="27" t="s">
        <v>42</v>
      </c>
      <c r="E3638" s="28" t="n">
        <f aca="false">ROUND((SUMIFS(Acerto_Detalhado!$F$2:$F$433,Acerto_Detalhado!$A$2:$A$433,$C3638,Acerto_Detalhado!$B$2:$B$433,"Out",Acerto_Detalhado!$C$2:$C$433,"Proteina"))*(SUMIFS(Acerto_Detalhado!$I$2:$I$433,Acerto_Detalhado!$A$2:$A$433,$D3638,Acerto_Detalhado!$B$2:$B$433,"Out",Acerto_Detalhado!$C$2:$C$433,"Proteina")),2)</f>
        <v>0</v>
      </c>
    </row>
    <row r="3639" customFormat="false" ht="15" hidden="false" customHeight="false" outlineLevel="0" collapsed="false">
      <c r="A3639" s="27" t="s">
        <v>120</v>
      </c>
      <c r="B3639" s="27" t="s">
        <v>109</v>
      </c>
      <c r="C3639" s="27" t="s">
        <v>45</v>
      </c>
      <c r="D3639" s="27" t="s">
        <v>43</v>
      </c>
      <c r="E3639" s="28" t="n">
        <f aca="false">ROUND((SUMIFS(Acerto_Detalhado!$F$2:$F$433,Acerto_Detalhado!$A$2:$A$433,$C3639,Acerto_Detalhado!$B$2:$B$433,"Out",Acerto_Detalhado!$C$2:$C$433,"Proteina"))*(SUMIFS(Acerto_Detalhado!$I$2:$I$433,Acerto_Detalhado!$A$2:$A$433,$D3639,Acerto_Detalhado!$B$2:$B$433,"Out",Acerto_Detalhado!$C$2:$C$433,"Proteina")),2)</f>
        <v>0</v>
      </c>
    </row>
    <row r="3640" customFormat="false" ht="15" hidden="false" customHeight="false" outlineLevel="0" collapsed="false">
      <c r="A3640" s="27" t="s">
        <v>120</v>
      </c>
      <c r="B3640" s="27" t="s">
        <v>109</v>
      </c>
      <c r="C3640" s="27" t="s">
        <v>45</v>
      </c>
      <c r="D3640" s="27" t="s">
        <v>44</v>
      </c>
      <c r="E3640" s="28" t="n">
        <f aca="false">ROUND((SUMIFS(Acerto_Detalhado!$F$2:$F$433,Acerto_Detalhado!$A$2:$A$433,$C3640,Acerto_Detalhado!$B$2:$B$433,"Out",Acerto_Detalhado!$C$2:$C$433,"Proteina"))*(SUMIFS(Acerto_Detalhado!$I$2:$I$433,Acerto_Detalhado!$A$2:$A$433,$D3640,Acerto_Detalhado!$B$2:$B$433,"Out",Acerto_Detalhado!$C$2:$C$433,"Proteina")),2)</f>
        <v>0</v>
      </c>
    </row>
    <row r="3641" customFormat="false" ht="15" hidden="false" customHeight="false" outlineLevel="0" collapsed="false">
      <c r="A3641" s="27" t="s">
        <v>120</v>
      </c>
      <c r="B3641" s="27" t="s">
        <v>109</v>
      </c>
      <c r="C3641" s="27" t="s">
        <v>45</v>
      </c>
      <c r="D3641" s="27" t="s">
        <v>46</v>
      </c>
      <c r="E3641" s="28" t="n">
        <f aca="false">ROUND((SUMIFS(Acerto_Detalhado!$F$2:$F$433,Acerto_Detalhado!$A$2:$A$433,$C3641,Acerto_Detalhado!$B$2:$B$433,"Out",Acerto_Detalhado!$C$2:$C$433,"Proteina"))*(SUMIFS(Acerto_Detalhado!$I$2:$I$433,Acerto_Detalhado!$A$2:$A$433,$D3641,Acerto_Detalhado!$B$2:$B$433,"Out",Acerto_Detalhado!$C$2:$C$433,"Proteina")),2)</f>
        <v>0</v>
      </c>
    </row>
    <row r="3642" customFormat="false" ht="15" hidden="false" customHeight="false" outlineLevel="0" collapsed="false">
      <c r="A3642" s="27" t="s">
        <v>120</v>
      </c>
      <c r="B3642" s="27" t="s">
        <v>109</v>
      </c>
      <c r="C3642" s="27" t="s">
        <v>45</v>
      </c>
      <c r="D3642" s="27" t="s">
        <v>47</v>
      </c>
      <c r="E3642" s="28" t="n">
        <f aca="false">ROUND((SUMIFS(Acerto_Detalhado!$F$2:$F$433,Acerto_Detalhado!$A$2:$A$433,$C3642,Acerto_Detalhado!$B$2:$B$433,"Out",Acerto_Detalhado!$C$2:$C$433,"Proteina"))*(SUMIFS(Acerto_Detalhado!$I$2:$I$433,Acerto_Detalhado!$A$2:$A$433,$D3642,Acerto_Detalhado!$B$2:$B$433,"Out",Acerto_Detalhado!$C$2:$C$433,"Proteina")),2)</f>
        <v>0</v>
      </c>
    </row>
    <row r="3643" customFormat="false" ht="15" hidden="false" customHeight="false" outlineLevel="0" collapsed="false">
      <c r="A3643" s="27" t="s">
        <v>120</v>
      </c>
      <c r="B3643" s="27" t="s">
        <v>109</v>
      </c>
      <c r="C3643" s="27" t="s">
        <v>45</v>
      </c>
      <c r="D3643" s="27" t="s">
        <v>48</v>
      </c>
      <c r="E3643" s="28" t="n">
        <f aca="false">ROUND((SUMIFS(Acerto_Detalhado!$F$2:$F$433,Acerto_Detalhado!$A$2:$A$433,$C3643,Acerto_Detalhado!$B$2:$B$433,"Out",Acerto_Detalhado!$C$2:$C$433,"Proteina"))*(SUMIFS(Acerto_Detalhado!$I$2:$I$433,Acerto_Detalhado!$A$2:$A$433,$D3643,Acerto_Detalhado!$B$2:$B$433,"Out",Acerto_Detalhado!$C$2:$C$433,"Proteina")),2)</f>
        <v>0</v>
      </c>
    </row>
    <row r="3644" customFormat="false" ht="15" hidden="false" customHeight="false" outlineLevel="0" collapsed="false">
      <c r="A3644" s="27" t="s">
        <v>120</v>
      </c>
      <c r="B3644" s="27" t="s">
        <v>109</v>
      </c>
      <c r="C3644" s="27" t="s">
        <v>45</v>
      </c>
      <c r="D3644" s="27" t="s">
        <v>49</v>
      </c>
      <c r="E3644" s="28" t="n">
        <f aca="false">ROUND((SUMIFS(Acerto_Detalhado!$F$2:$F$433,Acerto_Detalhado!$A$2:$A$433,$C3644,Acerto_Detalhado!$B$2:$B$433,"Out",Acerto_Detalhado!$C$2:$C$433,"Proteina"))*(SUMIFS(Acerto_Detalhado!$I$2:$I$433,Acerto_Detalhado!$A$2:$A$433,$D3644,Acerto_Detalhado!$B$2:$B$433,"Out",Acerto_Detalhado!$C$2:$C$433,"Proteina")),2)</f>
        <v>0</v>
      </c>
    </row>
    <row r="3645" customFormat="false" ht="15" hidden="false" customHeight="false" outlineLevel="0" collapsed="false">
      <c r="A3645" s="27" t="s">
        <v>120</v>
      </c>
      <c r="B3645" s="27" t="s">
        <v>109</v>
      </c>
      <c r="C3645" s="27" t="s">
        <v>45</v>
      </c>
      <c r="D3645" s="27" t="s">
        <v>50</v>
      </c>
      <c r="E3645" s="28" t="n">
        <f aca="false">ROUND((SUMIFS(Acerto_Detalhado!$F$2:$F$433,Acerto_Detalhado!$A$2:$A$433,$C3645,Acerto_Detalhado!$B$2:$B$433,"Out",Acerto_Detalhado!$C$2:$C$433,"Proteina"))*(SUMIFS(Acerto_Detalhado!$I$2:$I$433,Acerto_Detalhado!$A$2:$A$433,$D3645,Acerto_Detalhado!$B$2:$B$433,"Out",Acerto_Detalhado!$C$2:$C$433,"Proteina")),2)</f>
        <v>0</v>
      </c>
    </row>
    <row r="3646" customFormat="false" ht="15" hidden="false" customHeight="false" outlineLevel="0" collapsed="false">
      <c r="A3646" s="27" t="s">
        <v>120</v>
      </c>
      <c r="B3646" s="27" t="s">
        <v>109</v>
      </c>
      <c r="C3646" s="27" t="s">
        <v>46</v>
      </c>
      <c r="D3646" s="27" t="s">
        <v>39</v>
      </c>
      <c r="E3646" s="28" t="n">
        <f aca="false">ROUND((SUMIFS(Acerto_Detalhado!$F$2:$F$433,Acerto_Detalhado!$A$2:$A$433,$C3646,Acerto_Detalhado!$B$2:$B$433,"Out",Acerto_Detalhado!$C$2:$C$433,"Proteina"))*(SUMIFS(Acerto_Detalhado!$I$2:$I$433,Acerto_Detalhado!$A$2:$A$433,$D3646,Acerto_Detalhado!$B$2:$B$433,"Out",Acerto_Detalhado!$C$2:$C$433,"Proteina")),2)</f>
        <v>0</v>
      </c>
    </row>
    <row r="3647" customFormat="false" ht="15" hidden="false" customHeight="false" outlineLevel="0" collapsed="false">
      <c r="A3647" s="27" t="s">
        <v>120</v>
      </c>
      <c r="B3647" s="27" t="s">
        <v>109</v>
      </c>
      <c r="C3647" s="27" t="s">
        <v>46</v>
      </c>
      <c r="D3647" s="27" t="s">
        <v>40</v>
      </c>
      <c r="E3647" s="28" t="n">
        <f aca="false">ROUND((SUMIFS(Acerto_Detalhado!$F$2:$F$433,Acerto_Detalhado!$A$2:$A$433,$C3647,Acerto_Detalhado!$B$2:$B$433,"Out",Acerto_Detalhado!$C$2:$C$433,"Proteina"))*(SUMIFS(Acerto_Detalhado!$I$2:$I$433,Acerto_Detalhado!$A$2:$A$433,$D3647,Acerto_Detalhado!$B$2:$B$433,"Out",Acerto_Detalhado!$C$2:$C$433,"Proteina")),2)</f>
        <v>0</v>
      </c>
    </row>
    <row r="3648" customFormat="false" ht="15" hidden="false" customHeight="false" outlineLevel="0" collapsed="false">
      <c r="A3648" s="27" t="s">
        <v>120</v>
      </c>
      <c r="B3648" s="27" t="s">
        <v>109</v>
      </c>
      <c r="C3648" s="27" t="s">
        <v>46</v>
      </c>
      <c r="D3648" s="27" t="s">
        <v>41</v>
      </c>
      <c r="E3648" s="28" t="n">
        <f aca="false">ROUND((SUMIFS(Acerto_Detalhado!$F$2:$F$433,Acerto_Detalhado!$A$2:$A$433,$C3648,Acerto_Detalhado!$B$2:$B$433,"Out",Acerto_Detalhado!$C$2:$C$433,"Proteina"))*(SUMIFS(Acerto_Detalhado!$I$2:$I$433,Acerto_Detalhado!$A$2:$A$433,$D3648,Acerto_Detalhado!$B$2:$B$433,"Out",Acerto_Detalhado!$C$2:$C$433,"Proteina")),2)</f>
        <v>0</v>
      </c>
    </row>
    <row r="3649" customFormat="false" ht="15" hidden="false" customHeight="false" outlineLevel="0" collapsed="false">
      <c r="A3649" s="27" t="s">
        <v>120</v>
      </c>
      <c r="B3649" s="27" t="s">
        <v>109</v>
      </c>
      <c r="C3649" s="27" t="s">
        <v>46</v>
      </c>
      <c r="D3649" s="27" t="s">
        <v>42</v>
      </c>
      <c r="E3649" s="28" t="n">
        <f aca="false">ROUND((SUMIFS(Acerto_Detalhado!$F$2:$F$433,Acerto_Detalhado!$A$2:$A$433,$C3649,Acerto_Detalhado!$B$2:$B$433,"Out",Acerto_Detalhado!$C$2:$C$433,"Proteina"))*(SUMIFS(Acerto_Detalhado!$I$2:$I$433,Acerto_Detalhado!$A$2:$A$433,$D3649,Acerto_Detalhado!$B$2:$B$433,"Out",Acerto_Detalhado!$C$2:$C$433,"Proteina")),2)</f>
        <v>0</v>
      </c>
    </row>
    <row r="3650" customFormat="false" ht="15" hidden="false" customHeight="false" outlineLevel="0" collapsed="false">
      <c r="A3650" s="27" t="s">
        <v>120</v>
      </c>
      <c r="B3650" s="27" t="s">
        <v>109</v>
      </c>
      <c r="C3650" s="27" t="s">
        <v>46</v>
      </c>
      <c r="D3650" s="27" t="s">
        <v>43</v>
      </c>
      <c r="E3650" s="28" t="n">
        <f aca="false">ROUND((SUMIFS(Acerto_Detalhado!$F$2:$F$433,Acerto_Detalhado!$A$2:$A$433,$C3650,Acerto_Detalhado!$B$2:$B$433,"Out",Acerto_Detalhado!$C$2:$C$433,"Proteina"))*(SUMIFS(Acerto_Detalhado!$I$2:$I$433,Acerto_Detalhado!$A$2:$A$433,$D3650,Acerto_Detalhado!$B$2:$B$433,"Out",Acerto_Detalhado!$C$2:$C$433,"Proteina")),2)</f>
        <v>0</v>
      </c>
    </row>
    <row r="3651" customFormat="false" ht="15" hidden="false" customHeight="false" outlineLevel="0" collapsed="false">
      <c r="A3651" s="27" t="s">
        <v>120</v>
      </c>
      <c r="B3651" s="27" t="s">
        <v>109</v>
      </c>
      <c r="C3651" s="27" t="s">
        <v>46</v>
      </c>
      <c r="D3651" s="27" t="s">
        <v>44</v>
      </c>
      <c r="E3651" s="28" t="n">
        <f aca="false">ROUND((SUMIFS(Acerto_Detalhado!$F$2:$F$433,Acerto_Detalhado!$A$2:$A$433,$C3651,Acerto_Detalhado!$B$2:$B$433,"Out",Acerto_Detalhado!$C$2:$C$433,"Proteina"))*(SUMIFS(Acerto_Detalhado!$I$2:$I$433,Acerto_Detalhado!$A$2:$A$433,$D3651,Acerto_Detalhado!$B$2:$B$433,"Out",Acerto_Detalhado!$C$2:$C$433,"Proteina")),2)</f>
        <v>0</v>
      </c>
    </row>
    <row r="3652" customFormat="false" ht="15" hidden="false" customHeight="false" outlineLevel="0" collapsed="false">
      <c r="A3652" s="27" t="s">
        <v>120</v>
      </c>
      <c r="B3652" s="27" t="s">
        <v>109</v>
      </c>
      <c r="C3652" s="27" t="s">
        <v>46</v>
      </c>
      <c r="D3652" s="27" t="s">
        <v>45</v>
      </c>
      <c r="E3652" s="28" t="n">
        <f aca="false">ROUND((SUMIFS(Acerto_Detalhado!$F$2:$F$433,Acerto_Detalhado!$A$2:$A$433,$C3652,Acerto_Detalhado!$B$2:$B$433,"Out",Acerto_Detalhado!$C$2:$C$433,"Proteina"))*(SUMIFS(Acerto_Detalhado!$I$2:$I$433,Acerto_Detalhado!$A$2:$A$433,$D3652,Acerto_Detalhado!$B$2:$B$433,"Out",Acerto_Detalhado!$C$2:$C$433,"Proteina")),2)</f>
        <v>0</v>
      </c>
    </row>
    <row r="3653" customFormat="false" ht="15" hidden="false" customHeight="false" outlineLevel="0" collapsed="false">
      <c r="A3653" s="27" t="s">
        <v>120</v>
      </c>
      <c r="B3653" s="27" t="s">
        <v>109</v>
      </c>
      <c r="C3653" s="27" t="s">
        <v>46</v>
      </c>
      <c r="D3653" s="27" t="s">
        <v>47</v>
      </c>
      <c r="E3653" s="28" t="n">
        <f aca="false">ROUND((SUMIFS(Acerto_Detalhado!$F$2:$F$433,Acerto_Detalhado!$A$2:$A$433,$C3653,Acerto_Detalhado!$B$2:$B$433,"Out",Acerto_Detalhado!$C$2:$C$433,"Proteina"))*(SUMIFS(Acerto_Detalhado!$I$2:$I$433,Acerto_Detalhado!$A$2:$A$433,$D3653,Acerto_Detalhado!$B$2:$B$433,"Out",Acerto_Detalhado!$C$2:$C$433,"Proteina")),2)</f>
        <v>0</v>
      </c>
    </row>
    <row r="3654" customFormat="false" ht="15" hidden="false" customHeight="false" outlineLevel="0" collapsed="false">
      <c r="A3654" s="27" t="s">
        <v>120</v>
      </c>
      <c r="B3654" s="27" t="s">
        <v>109</v>
      </c>
      <c r="C3654" s="27" t="s">
        <v>46</v>
      </c>
      <c r="D3654" s="27" t="s">
        <v>48</v>
      </c>
      <c r="E3654" s="28" t="n">
        <f aca="false">ROUND((SUMIFS(Acerto_Detalhado!$F$2:$F$433,Acerto_Detalhado!$A$2:$A$433,$C3654,Acerto_Detalhado!$B$2:$B$433,"Out",Acerto_Detalhado!$C$2:$C$433,"Proteina"))*(SUMIFS(Acerto_Detalhado!$I$2:$I$433,Acerto_Detalhado!$A$2:$A$433,$D3654,Acerto_Detalhado!$B$2:$B$433,"Out",Acerto_Detalhado!$C$2:$C$433,"Proteina")),2)</f>
        <v>0</v>
      </c>
    </row>
    <row r="3655" customFormat="false" ht="15" hidden="false" customHeight="false" outlineLevel="0" collapsed="false">
      <c r="A3655" s="27" t="s">
        <v>120</v>
      </c>
      <c r="B3655" s="27" t="s">
        <v>109</v>
      </c>
      <c r="C3655" s="27" t="s">
        <v>46</v>
      </c>
      <c r="D3655" s="27" t="s">
        <v>49</v>
      </c>
      <c r="E3655" s="28" t="n">
        <f aca="false">ROUND((SUMIFS(Acerto_Detalhado!$F$2:$F$433,Acerto_Detalhado!$A$2:$A$433,$C3655,Acerto_Detalhado!$B$2:$B$433,"Out",Acerto_Detalhado!$C$2:$C$433,"Proteina"))*(SUMIFS(Acerto_Detalhado!$I$2:$I$433,Acerto_Detalhado!$A$2:$A$433,$D3655,Acerto_Detalhado!$B$2:$B$433,"Out",Acerto_Detalhado!$C$2:$C$433,"Proteina")),2)</f>
        <v>0</v>
      </c>
    </row>
    <row r="3656" customFormat="false" ht="15" hidden="false" customHeight="false" outlineLevel="0" collapsed="false">
      <c r="A3656" s="27" t="s">
        <v>120</v>
      </c>
      <c r="B3656" s="27" t="s">
        <v>109</v>
      </c>
      <c r="C3656" s="27" t="s">
        <v>46</v>
      </c>
      <c r="D3656" s="27" t="s">
        <v>50</v>
      </c>
      <c r="E3656" s="28" t="n">
        <f aca="false">ROUND((SUMIFS(Acerto_Detalhado!$F$2:$F$433,Acerto_Detalhado!$A$2:$A$433,$C3656,Acerto_Detalhado!$B$2:$B$433,"Out",Acerto_Detalhado!$C$2:$C$433,"Proteina"))*(SUMIFS(Acerto_Detalhado!$I$2:$I$433,Acerto_Detalhado!$A$2:$A$433,$D3656,Acerto_Detalhado!$B$2:$B$433,"Out",Acerto_Detalhado!$C$2:$C$433,"Proteina")),2)</f>
        <v>0</v>
      </c>
    </row>
    <row r="3657" customFormat="false" ht="15" hidden="false" customHeight="false" outlineLevel="0" collapsed="false">
      <c r="A3657" s="27" t="s">
        <v>120</v>
      </c>
      <c r="B3657" s="27" t="s">
        <v>109</v>
      </c>
      <c r="C3657" s="27" t="s">
        <v>47</v>
      </c>
      <c r="D3657" s="27" t="s">
        <v>39</v>
      </c>
      <c r="E3657" s="28" t="n">
        <f aca="false">ROUND((SUMIFS(Acerto_Detalhado!$F$2:$F$433,Acerto_Detalhado!$A$2:$A$433,$C3657,Acerto_Detalhado!$B$2:$B$433,"Out",Acerto_Detalhado!$C$2:$C$433,"Proteina"))*(SUMIFS(Acerto_Detalhado!$I$2:$I$433,Acerto_Detalhado!$A$2:$A$433,$D3657,Acerto_Detalhado!$B$2:$B$433,"Out",Acerto_Detalhado!$C$2:$C$433,"Proteina")),2)</f>
        <v>0</v>
      </c>
    </row>
    <row r="3658" customFormat="false" ht="15" hidden="false" customHeight="false" outlineLevel="0" collapsed="false">
      <c r="A3658" s="27" t="s">
        <v>120</v>
      </c>
      <c r="B3658" s="27" t="s">
        <v>109</v>
      </c>
      <c r="C3658" s="27" t="s">
        <v>47</v>
      </c>
      <c r="D3658" s="27" t="s">
        <v>40</v>
      </c>
      <c r="E3658" s="28" t="n">
        <f aca="false">ROUND((SUMIFS(Acerto_Detalhado!$F$2:$F$433,Acerto_Detalhado!$A$2:$A$433,$C3658,Acerto_Detalhado!$B$2:$B$433,"Out",Acerto_Detalhado!$C$2:$C$433,"Proteina"))*(SUMIFS(Acerto_Detalhado!$I$2:$I$433,Acerto_Detalhado!$A$2:$A$433,$D3658,Acerto_Detalhado!$B$2:$B$433,"Out",Acerto_Detalhado!$C$2:$C$433,"Proteina")),2)</f>
        <v>0</v>
      </c>
    </row>
    <row r="3659" customFormat="false" ht="15" hidden="false" customHeight="false" outlineLevel="0" collapsed="false">
      <c r="A3659" s="27" t="s">
        <v>120</v>
      </c>
      <c r="B3659" s="27" t="s">
        <v>109</v>
      </c>
      <c r="C3659" s="27" t="s">
        <v>47</v>
      </c>
      <c r="D3659" s="27" t="s">
        <v>41</v>
      </c>
      <c r="E3659" s="28" t="n">
        <f aca="false">ROUND((SUMIFS(Acerto_Detalhado!$F$2:$F$433,Acerto_Detalhado!$A$2:$A$433,$C3659,Acerto_Detalhado!$B$2:$B$433,"Out",Acerto_Detalhado!$C$2:$C$433,"Proteina"))*(SUMIFS(Acerto_Detalhado!$I$2:$I$433,Acerto_Detalhado!$A$2:$A$433,$D3659,Acerto_Detalhado!$B$2:$B$433,"Out",Acerto_Detalhado!$C$2:$C$433,"Proteina")),2)</f>
        <v>0</v>
      </c>
    </row>
    <row r="3660" customFormat="false" ht="15" hidden="false" customHeight="false" outlineLevel="0" collapsed="false">
      <c r="A3660" s="27" t="s">
        <v>120</v>
      </c>
      <c r="B3660" s="27" t="s">
        <v>109</v>
      </c>
      <c r="C3660" s="27" t="s">
        <v>47</v>
      </c>
      <c r="D3660" s="27" t="s">
        <v>42</v>
      </c>
      <c r="E3660" s="28" t="n">
        <f aca="false">ROUND((SUMIFS(Acerto_Detalhado!$F$2:$F$433,Acerto_Detalhado!$A$2:$A$433,$C3660,Acerto_Detalhado!$B$2:$B$433,"Out",Acerto_Detalhado!$C$2:$C$433,"Proteina"))*(SUMIFS(Acerto_Detalhado!$I$2:$I$433,Acerto_Detalhado!$A$2:$A$433,$D3660,Acerto_Detalhado!$B$2:$B$433,"Out",Acerto_Detalhado!$C$2:$C$433,"Proteina")),2)</f>
        <v>0</v>
      </c>
    </row>
    <row r="3661" customFormat="false" ht="15" hidden="false" customHeight="false" outlineLevel="0" collapsed="false">
      <c r="A3661" s="27" t="s">
        <v>120</v>
      </c>
      <c r="B3661" s="27" t="s">
        <v>109</v>
      </c>
      <c r="C3661" s="27" t="s">
        <v>47</v>
      </c>
      <c r="D3661" s="27" t="s">
        <v>43</v>
      </c>
      <c r="E3661" s="28" t="n">
        <f aca="false">ROUND((SUMIFS(Acerto_Detalhado!$F$2:$F$433,Acerto_Detalhado!$A$2:$A$433,$C3661,Acerto_Detalhado!$B$2:$B$433,"Out",Acerto_Detalhado!$C$2:$C$433,"Proteina"))*(SUMIFS(Acerto_Detalhado!$I$2:$I$433,Acerto_Detalhado!$A$2:$A$433,$D3661,Acerto_Detalhado!$B$2:$B$433,"Out",Acerto_Detalhado!$C$2:$C$433,"Proteina")),2)</f>
        <v>0</v>
      </c>
    </row>
    <row r="3662" customFormat="false" ht="15" hidden="false" customHeight="false" outlineLevel="0" collapsed="false">
      <c r="A3662" s="27" t="s">
        <v>120</v>
      </c>
      <c r="B3662" s="27" t="s">
        <v>109</v>
      </c>
      <c r="C3662" s="27" t="s">
        <v>47</v>
      </c>
      <c r="D3662" s="27" t="s">
        <v>44</v>
      </c>
      <c r="E3662" s="28" t="n">
        <f aca="false">ROUND((SUMIFS(Acerto_Detalhado!$F$2:$F$433,Acerto_Detalhado!$A$2:$A$433,$C3662,Acerto_Detalhado!$B$2:$B$433,"Out",Acerto_Detalhado!$C$2:$C$433,"Proteina"))*(SUMIFS(Acerto_Detalhado!$I$2:$I$433,Acerto_Detalhado!$A$2:$A$433,$D3662,Acerto_Detalhado!$B$2:$B$433,"Out",Acerto_Detalhado!$C$2:$C$433,"Proteina")),2)</f>
        <v>0</v>
      </c>
    </row>
    <row r="3663" customFormat="false" ht="15" hidden="false" customHeight="false" outlineLevel="0" collapsed="false">
      <c r="A3663" s="27" t="s">
        <v>120</v>
      </c>
      <c r="B3663" s="27" t="s">
        <v>109</v>
      </c>
      <c r="C3663" s="27" t="s">
        <v>47</v>
      </c>
      <c r="D3663" s="27" t="s">
        <v>45</v>
      </c>
      <c r="E3663" s="28" t="n">
        <f aca="false">ROUND((SUMIFS(Acerto_Detalhado!$F$2:$F$433,Acerto_Detalhado!$A$2:$A$433,$C3663,Acerto_Detalhado!$B$2:$B$433,"Out",Acerto_Detalhado!$C$2:$C$433,"Proteina"))*(SUMIFS(Acerto_Detalhado!$I$2:$I$433,Acerto_Detalhado!$A$2:$A$433,$D3663,Acerto_Detalhado!$B$2:$B$433,"Out",Acerto_Detalhado!$C$2:$C$433,"Proteina")),2)</f>
        <v>0</v>
      </c>
    </row>
    <row r="3664" customFormat="false" ht="15" hidden="false" customHeight="false" outlineLevel="0" collapsed="false">
      <c r="A3664" s="27" t="s">
        <v>120</v>
      </c>
      <c r="B3664" s="27" t="s">
        <v>109</v>
      </c>
      <c r="C3664" s="27" t="s">
        <v>47</v>
      </c>
      <c r="D3664" s="27" t="s">
        <v>46</v>
      </c>
      <c r="E3664" s="28" t="n">
        <f aca="false">ROUND((SUMIFS(Acerto_Detalhado!$F$2:$F$433,Acerto_Detalhado!$A$2:$A$433,$C3664,Acerto_Detalhado!$B$2:$B$433,"Out",Acerto_Detalhado!$C$2:$C$433,"Proteina"))*(SUMIFS(Acerto_Detalhado!$I$2:$I$433,Acerto_Detalhado!$A$2:$A$433,$D3664,Acerto_Detalhado!$B$2:$B$433,"Out",Acerto_Detalhado!$C$2:$C$433,"Proteina")),2)</f>
        <v>0</v>
      </c>
    </row>
    <row r="3665" customFormat="false" ht="15" hidden="false" customHeight="false" outlineLevel="0" collapsed="false">
      <c r="A3665" s="27" t="s">
        <v>120</v>
      </c>
      <c r="B3665" s="27" t="s">
        <v>109</v>
      </c>
      <c r="C3665" s="27" t="s">
        <v>47</v>
      </c>
      <c r="D3665" s="27" t="s">
        <v>48</v>
      </c>
      <c r="E3665" s="28" t="n">
        <f aca="false">ROUND((SUMIFS(Acerto_Detalhado!$F$2:$F$433,Acerto_Detalhado!$A$2:$A$433,$C3665,Acerto_Detalhado!$B$2:$B$433,"Out",Acerto_Detalhado!$C$2:$C$433,"Proteina"))*(SUMIFS(Acerto_Detalhado!$I$2:$I$433,Acerto_Detalhado!$A$2:$A$433,$D3665,Acerto_Detalhado!$B$2:$B$433,"Out",Acerto_Detalhado!$C$2:$C$433,"Proteina")),2)</f>
        <v>0</v>
      </c>
    </row>
    <row r="3666" customFormat="false" ht="15" hidden="false" customHeight="false" outlineLevel="0" collapsed="false">
      <c r="A3666" s="27" t="s">
        <v>120</v>
      </c>
      <c r="B3666" s="27" t="s">
        <v>109</v>
      </c>
      <c r="C3666" s="27" t="s">
        <v>47</v>
      </c>
      <c r="D3666" s="27" t="s">
        <v>49</v>
      </c>
      <c r="E3666" s="28" t="n">
        <f aca="false">ROUND((SUMIFS(Acerto_Detalhado!$F$2:$F$433,Acerto_Detalhado!$A$2:$A$433,$C3666,Acerto_Detalhado!$B$2:$B$433,"Out",Acerto_Detalhado!$C$2:$C$433,"Proteina"))*(SUMIFS(Acerto_Detalhado!$I$2:$I$433,Acerto_Detalhado!$A$2:$A$433,$D3666,Acerto_Detalhado!$B$2:$B$433,"Out",Acerto_Detalhado!$C$2:$C$433,"Proteina")),2)</f>
        <v>0</v>
      </c>
    </row>
    <row r="3667" customFormat="false" ht="15" hidden="false" customHeight="false" outlineLevel="0" collapsed="false">
      <c r="A3667" s="27" t="s">
        <v>120</v>
      </c>
      <c r="B3667" s="27" t="s">
        <v>109</v>
      </c>
      <c r="C3667" s="27" t="s">
        <v>47</v>
      </c>
      <c r="D3667" s="27" t="s">
        <v>50</v>
      </c>
      <c r="E3667" s="28" t="n">
        <f aca="false">ROUND((SUMIFS(Acerto_Detalhado!$F$2:$F$433,Acerto_Detalhado!$A$2:$A$433,$C3667,Acerto_Detalhado!$B$2:$B$433,"Out",Acerto_Detalhado!$C$2:$C$433,"Proteina"))*(SUMIFS(Acerto_Detalhado!$I$2:$I$433,Acerto_Detalhado!$A$2:$A$433,$D3667,Acerto_Detalhado!$B$2:$B$433,"Out",Acerto_Detalhado!$C$2:$C$433,"Proteina")),2)</f>
        <v>0</v>
      </c>
    </row>
    <row r="3668" customFormat="false" ht="15" hidden="false" customHeight="false" outlineLevel="0" collapsed="false">
      <c r="A3668" s="27" t="s">
        <v>120</v>
      </c>
      <c r="B3668" s="27" t="s">
        <v>109</v>
      </c>
      <c r="C3668" s="27" t="s">
        <v>48</v>
      </c>
      <c r="D3668" s="27" t="s">
        <v>39</v>
      </c>
      <c r="E3668" s="28" t="n">
        <f aca="false">ROUND((SUMIFS(Acerto_Detalhado!$F$2:$F$433,Acerto_Detalhado!$A$2:$A$433,$C3668,Acerto_Detalhado!$B$2:$B$433,"Out",Acerto_Detalhado!$C$2:$C$433,"Proteina"))*(SUMIFS(Acerto_Detalhado!$I$2:$I$433,Acerto_Detalhado!$A$2:$A$433,$D3668,Acerto_Detalhado!$B$2:$B$433,"Out",Acerto_Detalhado!$C$2:$C$433,"Proteina")),2)</f>
        <v>0</v>
      </c>
    </row>
    <row r="3669" customFormat="false" ht="15" hidden="false" customHeight="false" outlineLevel="0" collapsed="false">
      <c r="A3669" s="27" t="s">
        <v>120</v>
      </c>
      <c r="B3669" s="27" t="s">
        <v>109</v>
      </c>
      <c r="C3669" s="27" t="s">
        <v>48</v>
      </c>
      <c r="D3669" s="27" t="s">
        <v>40</v>
      </c>
      <c r="E3669" s="28" t="n">
        <f aca="false">ROUND((SUMIFS(Acerto_Detalhado!$F$2:$F$433,Acerto_Detalhado!$A$2:$A$433,$C3669,Acerto_Detalhado!$B$2:$B$433,"Out",Acerto_Detalhado!$C$2:$C$433,"Proteina"))*(SUMIFS(Acerto_Detalhado!$I$2:$I$433,Acerto_Detalhado!$A$2:$A$433,$D3669,Acerto_Detalhado!$B$2:$B$433,"Out",Acerto_Detalhado!$C$2:$C$433,"Proteina")),2)</f>
        <v>0</v>
      </c>
    </row>
    <row r="3670" customFormat="false" ht="15" hidden="false" customHeight="false" outlineLevel="0" collapsed="false">
      <c r="A3670" s="27" t="s">
        <v>120</v>
      </c>
      <c r="B3670" s="27" t="s">
        <v>109</v>
      </c>
      <c r="C3670" s="27" t="s">
        <v>48</v>
      </c>
      <c r="D3670" s="27" t="s">
        <v>41</v>
      </c>
      <c r="E3670" s="28" t="n">
        <f aca="false">ROUND((SUMIFS(Acerto_Detalhado!$F$2:$F$433,Acerto_Detalhado!$A$2:$A$433,$C3670,Acerto_Detalhado!$B$2:$B$433,"Out",Acerto_Detalhado!$C$2:$C$433,"Proteina"))*(SUMIFS(Acerto_Detalhado!$I$2:$I$433,Acerto_Detalhado!$A$2:$A$433,$D3670,Acerto_Detalhado!$B$2:$B$433,"Out",Acerto_Detalhado!$C$2:$C$433,"Proteina")),2)</f>
        <v>0</v>
      </c>
    </row>
    <row r="3671" customFormat="false" ht="15" hidden="false" customHeight="false" outlineLevel="0" collapsed="false">
      <c r="A3671" s="27" t="s">
        <v>120</v>
      </c>
      <c r="B3671" s="27" t="s">
        <v>109</v>
      </c>
      <c r="C3671" s="27" t="s">
        <v>48</v>
      </c>
      <c r="D3671" s="27" t="s">
        <v>42</v>
      </c>
      <c r="E3671" s="28" t="n">
        <f aca="false">ROUND((SUMIFS(Acerto_Detalhado!$F$2:$F$433,Acerto_Detalhado!$A$2:$A$433,$C3671,Acerto_Detalhado!$B$2:$B$433,"Out",Acerto_Detalhado!$C$2:$C$433,"Proteina"))*(SUMIFS(Acerto_Detalhado!$I$2:$I$433,Acerto_Detalhado!$A$2:$A$433,$D3671,Acerto_Detalhado!$B$2:$B$433,"Out",Acerto_Detalhado!$C$2:$C$433,"Proteina")),2)</f>
        <v>0</v>
      </c>
    </row>
    <row r="3672" customFormat="false" ht="15" hidden="false" customHeight="false" outlineLevel="0" collapsed="false">
      <c r="A3672" s="27" t="s">
        <v>120</v>
      </c>
      <c r="B3672" s="27" t="s">
        <v>109</v>
      </c>
      <c r="C3672" s="27" t="s">
        <v>48</v>
      </c>
      <c r="D3672" s="27" t="s">
        <v>43</v>
      </c>
      <c r="E3672" s="28" t="n">
        <f aca="false">ROUND((SUMIFS(Acerto_Detalhado!$F$2:$F$433,Acerto_Detalhado!$A$2:$A$433,$C3672,Acerto_Detalhado!$B$2:$B$433,"Out",Acerto_Detalhado!$C$2:$C$433,"Proteina"))*(SUMIFS(Acerto_Detalhado!$I$2:$I$433,Acerto_Detalhado!$A$2:$A$433,$D3672,Acerto_Detalhado!$B$2:$B$433,"Out",Acerto_Detalhado!$C$2:$C$433,"Proteina")),2)</f>
        <v>0</v>
      </c>
    </row>
    <row r="3673" customFormat="false" ht="15" hidden="false" customHeight="false" outlineLevel="0" collapsed="false">
      <c r="A3673" s="27" t="s">
        <v>120</v>
      </c>
      <c r="B3673" s="27" t="s">
        <v>109</v>
      </c>
      <c r="C3673" s="27" t="s">
        <v>48</v>
      </c>
      <c r="D3673" s="27" t="s">
        <v>44</v>
      </c>
      <c r="E3673" s="28" t="n">
        <f aca="false">ROUND((SUMIFS(Acerto_Detalhado!$F$2:$F$433,Acerto_Detalhado!$A$2:$A$433,$C3673,Acerto_Detalhado!$B$2:$B$433,"Out",Acerto_Detalhado!$C$2:$C$433,"Proteina"))*(SUMIFS(Acerto_Detalhado!$I$2:$I$433,Acerto_Detalhado!$A$2:$A$433,$D3673,Acerto_Detalhado!$B$2:$B$433,"Out",Acerto_Detalhado!$C$2:$C$433,"Proteina")),2)</f>
        <v>0</v>
      </c>
    </row>
    <row r="3674" customFormat="false" ht="15" hidden="false" customHeight="false" outlineLevel="0" collapsed="false">
      <c r="A3674" s="27" t="s">
        <v>120</v>
      </c>
      <c r="B3674" s="27" t="s">
        <v>109</v>
      </c>
      <c r="C3674" s="27" t="s">
        <v>48</v>
      </c>
      <c r="D3674" s="27" t="s">
        <v>45</v>
      </c>
      <c r="E3674" s="28" t="n">
        <f aca="false">ROUND((SUMIFS(Acerto_Detalhado!$F$2:$F$433,Acerto_Detalhado!$A$2:$A$433,$C3674,Acerto_Detalhado!$B$2:$B$433,"Out",Acerto_Detalhado!$C$2:$C$433,"Proteina"))*(SUMIFS(Acerto_Detalhado!$I$2:$I$433,Acerto_Detalhado!$A$2:$A$433,$D3674,Acerto_Detalhado!$B$2:$B$433,"Out",Acerto_Detalhado!$C$2:$C$433,"Proteina")),2)</f>
        <v>0</v>
      </c>
    </row>
    <row r="3675" customFormat="false" ht="15" hidden="false" customHeight="false" outlineLevel="0" collapsed="false">
      <c r="A3675" s="27" t="s">
        <v>120</v>
      </c>
      <c r="B3675" s="27" t="s">
        <v>109</v>
      </c>
      <c r="C3675" s="27" t="s">
        <v>48</v>
      </c>
      <c r="D3675" s="27" t="s">
        <v>46</v>
      </c>
      <c r="E3675" s="28" t="n">
        <f aca="false">ROUND((SUMIFS(Acerto_Detalhado!$F$2:$F$433,Acerto_Detalhado!$A$2:$A$433,$C3675,Acerto_Detalhado!$B$2:$B$433,"Out",Acerto_Detalhado!$C$2:$C$433,"Proteina"))*(SUMIFS(Acerto_Detalhado!$I$2:$I$433,Acerto_Detalhado!$A$2:$A$433,$D3675,Acerto_Detalhado!$B$2:$B$433,"Out",Acerto_Detalhado!$C$2:$C$433,"Proteina")),2)</f>
        <v>0</v>
      </c>
    </row>
    <row r="3676" customFormat="false" ht="15" hidden="false" customHeight="false" outlineLevel="0" collapsed="false">
      <c r="A3676" s="27" t="s">
        <v>120</v>
      </c>
      <c r="B3676" s="27" t="s">
        <v>109</v>
      </c>
      <c r="C3676" s="27" t="s">
        <v>48</v>
      </c>
      <c r="D3676" s="27" t="s">
        <v>47</v>
      </c>
      <c r="E3676" s="28" t="n">
        <f aca="false">ROUND((SUMIFS(Acerto_Detalhado!$F$2:$F$433,Acerto_Detalhado!$A$2:$A$433,$C3676,Acerto_Detalhado!$B$2:$B$433,"Out",Acerto_Detalhado!$C$2:$C$433,"Proteina"))*(SUMIFS(Acerto_Detalhado!$I$2:$I$433,Acerto_Detalhado!$A$2:$A$433,$D3676,Acerto_Detalhado!$B$2:$B$433,"Out",Acerto_Detalhado!$C$2:$C$433,"Proteina")),2)</f>
        <v>0</v>
      </c>
    </row>
    <row r="3677" customFormat="false" ht="15" hidden="false" customHeight="false" outlineLevel="0" collapsed="false">
      <c r="A3677" s="27" t="s">
        <v>120</v>
      </c>
      <c r="B3677" s="27" t="s">
        <v>109</v>
      </c>
      <c r="C3677" s="27" t="s">
        <v>48</v>
      </c>
      <c r="D3677" s="27" t="s">
        <v>49</v>
      </c>
      <c r="E3677" s="28" t="n">
        <f aca="false">ROUND((SUMIFS(Acerto_Detalhado!$F$2:$F$433,Acerto_Detalhado!$A$2:$A$433,$C3677,Acerto_Detalhado!$B$2:$B$433,"Out",Acerto_Detalhado!$C$2:$C$433,"Proteina"))*(SUMIFS(Acerto_Detalhado!$I$2:$I$433,Acerto_Detalhado!$A$2:$A$433,$D3677,Acerto_Detalhado!$B$2:$B$433,"Out",Acerto_Detalhado!$C$2:$C$433,"Proteina")),2)</f>
        <v>0</v>
      </c>
    </row>
    <row r="3678" customFormat="false" ht="15" hidden="false" customHeight="false" outlineLevel="0" collapsed="false">
      <c r="A3678" s="27" t="s">
        <v>120</v>
      </c>
      <c r="B3678" s="27" t="s">
        <v>109</v>
      </c>
      <c r="C3678" s="27" t="s">
        <v>48</v>
      </c>
      <c r="D3678" s="27" t="s">
        <v>50</v>
      </c>
      <c r="E3678" s="28" t="n">
        <f aca="false">ROUND((SUMIFS(Acerto_Detalhado!$F$2:$F$433,Acerto_Detalhado!$A$2:$A$433,$C3678,Acerto_Detalhado!$B$2:$B$433,"Out",Acerto_Detalhado!$C$2:$C$433,"Proteina"))*(SUMIFS(Acerto_Detalhado!$I$2:$I$433,Acerto_Detalhado!$A$2:$A$433,$D3678,Acerto_Detalhado!$B$2:$B$433,"Out",Acerto_Detalhado!$C$2:$C$433,"Proteina")),2)</f>
        <v>0</v>
      </c>
    </row>
    <row r="3679" customFormat="false" ht="15" hidden="false" customHeight="false" outlineLevel="0" collapsed="false">
      <c r="A3679" s="27" t="s">
        <v>120</v>
      </c>
      <c r="B3679" s="27" t="s">
        <v>109</v>
      </c>
      <c r="C3679" s="27" t="s">
        <v>49</v>
      </c>
      <c r="D3679" s="27" t="s">
        <v>39</v>
      </c>
      <c r="E3679" s="28" t="n">
        <f aca="false">ROUND((SUMIFS(Acerto_Detalhado!$F$2:$F$433,Acerto_Detalhado!$A$2:$A$433,$C3679,Acerto_Detalhado!$B$2:$B$433,"Out",Acerto_Detalhado!$C$2:$C$433,"Proteina"))*(SUMIFS(Acerto_Detalhado!$I$2:$I$433,Acerto_Detalhado!$A$2:$A$433,$D3679,Acerto_Detalhado!$B$2:$B$433,"Out",Acerto_Detalhado!$C$2:$C$433,"Proteina")),2)</f>
        <v>0</v>
      </c>
    </row>
    <row r="3680" customFormat="false" ht="15" hidden="false" customHeight="false" outlineLevel="0" collapsed="false">
      <c r="A3680" s="27" t="s">
        <v>120</v>
      </c>
      <c r="B3680" s="27" t="s">
        <v>109</v>
      </c>
      <c r="C3680" s="27" t="s">
        <v>49</v>
      </c>
      <c r="D3680" s="27" t="s">
        <v>40</v>
      </c>
      <c r="E3680" s="28" t="n">
        <f aca="false">ROUND((SUMIFS(Acerto_Detalhado!$F$2:$F$433,Acerto_Detalhado!$A$2:$A$433,$C3680,Acerto_Detalhado!$B$2:$B$433,"Out",Acerto_Detalhado!$C$2:$C$433,"Proteina"))*(SUMIFS(Acerto_Detalhado!$I$2:$I$433,Acerto_Detalhado!$A$2:$A$433,$D3680,Acerto_Detalhado!$B$2:$B$433,"Out",Acerto_Detalhado!$C$2:$C$433,"Proteina")),2)</f>
        <v>0</v>
      </c>
    </row>
    <row r="3681" customFormat="false" ht="15" hidden="false" customHeight="false" outlineLevel="0" collapsed="false">
      <c r="A3681" s="27" t="s">
        <v>120</v>
      </c>
      <c r="B3681" s="27" t="s">
        <v>109</v>
      </c>
      <c r="C3681" s="27" t="s">
        <v>49</v>
      </c>
      <c r="D3681" s="27" t="s">
        <v>41</v>
      </c>
      <c r="E3681" s="28" t="n">
        <f aca="false">ROUND((SUMIFS(Acerto_Detalhado!$F$2:$F$433,Acerto_Detalhado!$A$2:$A$433,$C3681,Acerto_Detalhado!$B$2:$B$433,"Out",Acerto_Detalhado!$C$2:$C$433,"Proteina"))*(SUMIFS(Acerto_Detalhado!$I$2:$I$433,Acerto_Detalhado!$A$2:$A$433,$D3681,Acerto_Detalhado!$B$2:$B$433,"Out",Acerto_Detalhado!$C$2:$C$433,"Proteina")),2)</f>
        <v>0</v>
      </c>
    </row>
    <row r="3682" customFormat="false" ht="15" hidden="false" customHeight="false" outlineLevel="0" collapsed="false">
      <c r="A3682" s="27" t="s">
        <v>120</v>
      </c>
      <c r="B3682" s="27" t="s">
        <v>109</v>
      </c>
      <c r="C3682" s="27" t="s">
        <v>49</v>
      </c>
      <c r="D3682" s="27" t="s">
        <v>42</v>
      </c>
      <c r="E3682" s="28" t="n">
        <f aca="false">ROUND((SUMIFS(Acerto_Detalhado!$F$2:$F$433,Acerto_Detalhado!$A$2:$A$433,$C3682,Acerto_Detalhado!$B$2:$B$433,"Out",Acerto_Detalhado!$C$2:$C$433,"Proteina"))*(SUMIFS(Acerto_Detalhado!$I$2:$I$433,Acerto_Detalhado!$A$2:$A$433,$D3682,Acerto_Detalhado!$B$2:$B$433,"Out",Acerto_Detalhado!$C$2:$C$433,"Proteina")),2)</f>
        <v>0</v>
      </c>
    </row>
    <row r="3683" customFormat="false" ht="15" hidden="false" customHeight="false" outlineLevel="0" collapsed="false">
      <c r="A3683" s="27" t="s">
        <v>120</v>
      </c>
      <c r="B3683" s="27" t="s">
        <v>109</v>
      </c>
      <c r="C3683" s="27" t="s">
        <v>49</v>
      </c>
      <c r="D3683" s="27" t="s">
        <v>43</v>
      </c>
      <c r="E3683" s="28" t="n">
        <f aca="false">ROUND((SUMIFS(Acerto_Detalhado!$F$2:$F$433,Acerto_Detalhado!$A$2:$A$433,$C3683,Acerto_Detalhado!$B$2:$B$433,"Out",Acerto_Detalhado!$C$2:$C$433,"Proteina"))*(SUMIFS(Acerto_Detalhado!$I$2:$I$433,Acerto_Detalhado!$A$2:$A$433,$D3683,Acerto_Detalhado!$B$2:$B$433,"Out",Acerto_Detalhado!$C$2:$C$433,"Proteina")),2)</f>
        <v>0</v>
      </c>
    </row>
    <row r="3684" customFormat="false" ht="15" hidden="false" customHeight="false" outlineLevel="0" collapsed="false">
      <c r="A3684" s="27" t="s">
        <v>120</v>
      </c>
      <c r="B3684" s="27" t="s">
        <v>109</v>
      </c>
      <c r="C3684" s="27" t="s">
        <v>49</v>
      </c>
      <c r="D3684" s="27" t="s">
        <v>44</v>
      </c>
      <c r="E3684" s="28" t="n">
        <f aca="false">ROUND((SUMIFS(Acerto_Detalhado!$F$2:$F$433,Acerto_Detalhado!$A$2:$A$433,$C3684,Acerto_Detalhado!$B$2:$B$433,"Out",Acerto_Detalhado!$C$2:$C$433,"Proteina"))*(SUMIFS(Acerto_Detalhado!$I$2:$I$433,Acerto_Detalhado!$A$2:$A$433,$D3684,Acerto_Detalhado!$B$2:$B$433,"Out",Acerto_Detalhado!$C$2:$C$433,"Proteina")),2)</f>
        <v>0</v>
      </c>
    </row>
    <row r="3685" customFormat="false" ht="15" hidden="false" customHeight="false" outlineLevel="0" collapsed="false">
      <c r="A3685" s="27" t="s">
        <v>120</v>
      </c>
      <c r="B3685" s="27" t="s">
        <v>109</v>
      </c>
      <c r="C3685" s="27" t="s">
        <v>49</v>
      </c>
      <c r="D3685" s="27" t="s">
        <v>45</v>
      </c>
      <c r="E3685" s="28" t="n">
        <f aca="false">ROUND((SUMIFS(Acerto_Detalhado!$F$2:$F$433,Acerto_Detalhado!$A$2:$A$433,$C3685,Acerto_Detalhado!$B$2:$B$433,"Out",Acerto_Detalhado!$C$2:$C$433,"Proteina"))*(SUMIFS(Acerto_Detalhado!$I$2:$I$433,Acerto_Detalhado!$A$2:$A$433,$D3685,Acerto_Detalhado!$B$2:$B$433,"Out",Acerto_Detalhado!$C$2:$C$433,"Proteina")),2)</f>
        <v>0</v>
      </c>
    </row>
    <row r="3686" customFormat="false" ht="15" hidden="false" customHeight="false" outlineLevel="0" collapsed="false">
      <c r="A3686" s="27" t="s">
        <v>120</v>
      </c>
      <c r="B3686" s="27" t="s">
        <v>109</v>
      </c>
      <c r="C3686" s="27" t="s">
        <v>49</v>
      </c>
      <c r="D3686" s="27" t="s">
        <v>46</v>
      </c>
      <c r="E3686" s="28" t="n">
        <f aca="false">ROUND((SUMIFS(Acerto_Detalhado!$F$2:$F$433,Acerto_Detalhado!$A$2:$A$433,$C3686,Acerto_Detalhado!$B$2:$B$433,"Out",Acerto_Detalhado!$C$2:$C$433,"Proteina"))*(SUMIFS(Acerto_Detalhado!$I$2:$I$433,Acerto_Detalhado!$A$2:$A$433,$D3686,Acerto_Detalhado!$B$2:$B$433,"Out",Acerto_Detalhado!$C$2:$C$433,"Proteina")),2)</f>
        <v>0</v>
      </c>
    </row>
    <row r="3687" customFormat="false" ht="15" hidden="false" customHeight="false" outlineLevel="0" collapsed="false">
      <c r="A3687" s="27" t="s">
        <v>120</v>
      </c>
      <c r="B3687" s="27" t="s">
        <v>109</v>
      </c>
      <c r="C3687" s="27" t="s">
        <v>49</v>
      </c>
      <c r="D3687" s="27" t="s">
        <v>47</v>
      </c>
      <c r="E3687" s="28" t="n">
        <f aca="false">ROUND((SUMIFS(Acerto_Detalhado!$F$2:$F$433,Acerto_Detalhado!$A$2:$A$433,$C3687,Acerto_Detalhado!$B$2:$B$433,"Out",Acerto_Detalhado!$C$2:$C$433,"Proteina"))*(SUMIFS(Acerto_Detalhado!$I$2:$I$433,Acerto_Detalhado!$A$2:$A$433,$D3687,Acerto_Detalhado!$B$2:$B$433,"Out",Acerto_Detalhado!$C$2:$C$433,"Proteina")),2)</f>
        <v>0</v>
      </c>
    </row>
    <row r="3688" customFormat="false" ht="15" hidden="false" customHeight="false" outlineLevel="0" collapsed="false">
      <c r="A3688" s="27" t="s">
        <v>120</v>
      </c>
      <c r="B3688" s="27" t="s">
        <v>109</v>
      </c>
      <c r="C3688" s="27" t="s">
        <v>49</v>
      </c>
      <c r="D3688" s="27" t="s">
        <v>48</v>
      </c>
      <c r="E3688" s="28" t="n">
        <f aca="false">ROUND((SUMIFS(Acerto_Detalhado!$F$2:$F$433,Acerto_Detalhado!$A$2:$A$433,$C3688,Acerto_Detalhado!$B$2:$B$433,"Out",Acerto_Detalhado!$C$2:$C$433,"Proteina"))*(SUMIFS(Acerto_Detalhado!$I$2:$I$433,Acerto_Detalhado!$A$2:$A$433,$D3688,Acerto_Detalhado!$B$2:$B$433,"Out",Acerto_Detalhado!$C$2:$C$433,"Proteina")),2)</f>
        <v>0</v>
      </c>
    </row>
    <row r="3689" customFormat="false" ht="15" hidden="false" customHeight="false" outlineLevel="0" collapsed="false">
      <c r="A3689" s="27" t="s">
        <v>120</v>
      </c>
      <c r="B3689" s="27" t="s">
        <v>109</v>
      </c>
      <c r="C3689" s="27" t="s">
        <v>49</v>
      </c>
      <c r="D3689" s="27" t="s">
        <v>50</v>
      </c>
      <c r="E3689" s="28" t="n">
        <f aca="false">ROUND((SUMIFS(Acerto_Detalhado!$F$2:$F$433,Acerto_Detalhado!$A$2:$A$433,$C3689,Acerto_Detalhado!$B$2:$B$433,"Out",Acerto_Detalhado!$C$2:$C$433,"Proteina"))*(SUMIFS(Acerto_Detalhado!$I$2:$I$433,Acerto_Detalhado!$A$2:$A$433,$D3689,Acerto_Detalhado!$B$2:$B$433,"Out",Acerto_Detalhado!$C$2:$C$433,"Proteina")),2)</f>
        <v>0</v>
      </c>
    </row>
    <row r="3690" customFormat="false" ht="15" hidden="false" customHeight="false" outlineLevel="0" collapsed="false">
      <c r="A3690" s="27" t="s">
        <v>120</v>
      </c>
      <c r="B3690" s="27" t="s">
        <v>109</v>
      </c>
      <c r="C3690" s="27" t="s">
        <v>50</v>
      </c>
      <c r="D3690" s="27" t="s">
        <v>39</v>
      </c>
      <c r="E3690" s="28" t="n">
        <f aca="false">ROUND((SUMIFS(Acerto_Detalhado!$F$2:$F$433,Acerto_Detalhado!$A$2:$A$433,$C3690,Acerto_Detalhado!$B$2:$B$433,"Out",Acerto_Detalhado!$C$2:$C$433,"Proteina"))*(SUMIFS(Acerto_Detalhado!$I$2:$I$433,Acerto_Detalhado!$A$2:$A$433,$D3690,Acerto_Detalhado!$B$2:$B$433,"Out",Acerto_Detalhado!$C$2:$C$433,"Proteina")),2)</f>
        <v>0</v>
      </c>
    </row>
    <row r="3691" customFormat="false" ht="15" hidden="false" customHeight="false" outlineLevel="0" collapsed="false">
      <c r="A3691" s="27" t="s">
        <v>120</v>
      </c>
      <c r="B3691" s="27" t="s">
        <v>109</v>
      </c>
      <c r="C3691" s="27" t="s">
        <v>50</v>
      </c>
      <c r="D3691" s="27" t="s">
        <v>40</v>
      </c>
      <c r="E3691" s="28" t="n">
        <f aca="false">ROUND((SUMIFS(Acerto_Detalhado!$F$2:$F$433,Acerto_Detalhado!$A$2:$A$433,$C3691,Acerto_Detalhado!$B$2:$B$433,"Out",Acerto_Detalhado!$C$2:$C$433,"Proteina"))*(SUMIFS(Acerto_Detalhado!$I$2:$I$433,Acerto_Detalhado!$A$2:$A$433,$D3691,Acerto_Detalhado!$B$2:$B$433,"Out",Acerto_Detalhado!$C$2:$C$433,"Proteina")),2)</f>
        <v>0</v>
      </c>
    </row>
    <row r="3692" customFormat="false" ht="15" hidden="false" customHeight="false" outlineLevel="0" collapsed="false">
      <c r="A3692" s="27" t="s">
        <v>120</v>
      </c>
      <c r="B3692" s="27" t="s">
        <v>109</v>
      </c>
      <c r="C3692" s="27" t="s">
        <v>50</v>
      </c>
      <c r="D3692" s="27" t="s">
        <v>41</v>
      </c>
      <c r="E3692" s="28" t="n">
        <f aca="false">ROUND((SUMIFS(Acerto_Detalhado!$F$2:$F$433,Acerto_Detalhado!$A$2:$A$433,$C3692,Acerto_Detalhado!$B$2:$B$433,"Out",Acerto_Detalhado!$C$2:$C$433,"Proteina"))*(SUMIFS(Acerto_Detalhado!$I$2:$I$433,Acerto_Detalhado!$A$2:$A$433,$D3692,Acerto_Detalhado!$B$2:$B$433,"Out",Acerto_Detalhado!$C$2:$C$433,"Proteina")),2)</f>
        <v>0</v>
      </c>
    </row>
    <row r="3693" customFormat="false" ht="15" hidden="false" customHeight="false" outlineLevel="0" collapsed="false">
      <c r="A3693" s="27" t="s">
        <v>120</v>
      </c>
      <c r="B3693" s="27" t="s">
        <v>109</v>
      </c>
      <c r="C3693" s="27" t="s">
        <v>50</v>
      </c>
      <c r="D3693" s="27" t="s">
        <v>42</v>
      </c>
      <c r="E3693" s="28" t="n">
        <f aca="false">ROUND((SUMIFS(Acerto_Detalhado!$F$2:$F$433,Acerto_Detalhado!$A$2:$A$433,$C3693,Acerto_Detalhado!$B$2:$B$433,"Out",Acerto_Detalhado!$C$2:$C$433,"Proteina"))*(SUMIFS(Acerto_Detalhado!$I$2:$I$433,Acerto_Detalhado!$A$2:$A$433,$D3693,Acerto_Detalhado!$B$2:$B$433,"Out",Acerto_Detalhado!$C$2:$C$433,"Proteina")),2)</f>
        <v>0</v>
      </c>
    </row>
    <row r="3694" customFormat="false" ht="15" hidden="false" customHeight="false" outlineLevel="0" collapsed="false">
      <c r="A3694" s="27" t="s">
        <v>120</v>
      </c>
      <c r="B3694" s="27" t="s">
        <v>109</v>
      </c>
      <c r="C3694" s="27" t="s">
        <v>50</v>
      </c>
      <c r="D3694" s="27" t="s">
        <v>43</v>
      </c>
      <c r="E3694" s="28" t="n">
        <f aca="false">ROUND((SUMIFS(Acerto_Detalhado!$F$2:$F$433,Acerto_Detalhado!$A$2:$A$433,$C3694,Acerto_Detalhado!$B$2:$B$433,"Out",Acerto_Detalhado!$C$2:$C$433,"Proteina"))*(SUMIFS(Acerto_Detalhado!$I$2:$I$433,Acerto_Detalhado!$A$2:$A$433,$D3694,Acerto_Detalhado!$B$2:$B$433,"Out",Acerto_Detalhado!$C$2:$C$433,"Proteina")),2)</f>
        <v>0</v>
      </c>
    </row>
    <row r="3695" customFormat="false" ht="15" hidden="false" customHeight="false" outlineLevel="0" collapsed="false">
      <c r="A3695" s="27" t="s">
        <v>120</v>
      </c>
      <c r="B3695" s="27" t="s">
        <v>109</v>
      </c>
      <c r="C3695" s="27" t="s">
        <v>50</v>
      </c>
      <c r="D3695" s="27" t="s">
        <v>44</v>
      </c>
      <c r="E3695" s="28" t="n">
        <f aca="false">ROUND((SUMIFS(Acerto_Detalhado!$F$2:$F$433,Acerto_Detalhado!$A$2:$A$433,$C3695,Acerto_Detalhado!$B$2:$B$433,"Out",Acerto_Detalhado!$C$2:$C$433,"Proteina"))*(SUMIFS(Acerto_Detalhado!$I$2:$I$433,Acerto_Detalhado!$A$2:$A$433,$D3695,Acerto_Detalhado!$B$2:$B$433,"Out",Acerto_Detalhado!$C$2:$C$433,"Proteina")),2)</f>
        <v>0</v>
      </c>
    </row>
    <row r="3696" customFormat="false" ht="15" hidden="false" customHeight="false" outlineLevel="0" collapsed="false">
      <c r="A3696" s="27" t="s">
        <v>120</v>
      </c>
      <c r="B3696" s="27" t="s">
        <v>109</v>
      </c>
      <c r="C3696" s="27" t="s">
        <v>50</v>
      </c>
      <c r="D3696" s="27" t="s">
        <v>45</v>
      </c>
      <c r="E3696" s="28" t="n">
        <f aca="false">ROUND((SUMIFS(Acerto_Detalhado!$F$2:$F$433,Acerto_Detalhado!$A$2:$A$433,$C3696,Acerto_Detalhado!$B$2:$B$433,"Out",Acerto_Detalhado!$C$2:$C$433,"Proteina"))*(SUMIFS(Acerto_Detalhado!$I$2:$I$433,Acerto_Detalhado!$A$2:$A$433,$D3696,Acerto_Detalhado!$B$2:$B$433,"Out",Acerto_Detalhado!$C$2:$C$433,"Proteina")),2)</f>
        <v>0</v>
      </c>
    </row>
    <row r="3697" customFormat="false" ht="15" hidden="false" customHeight="false" outlineLevel="0" collapsed="false">
      <c r="A3697" s="27" t="s">
        <v>120</v>
      </c>
      <c r="B3697" s="27" t="s">
        <v>109</v>
      </c>
      <c r="C3697" s="27" t="s">
        <v>50</v>
      </c>
      <c r="D3697" s="27" t="s">
        <v>46</v>
      </c>
      <c r="E3697" s="28" t="n">
        <f aca="false">ROUND((SUMIFS(Acerto_Detalhado!$F$2:$F$433,Acerto_Detalhado!$A$2:$A$433,$C3697,Acerto_Detalhado!$B$2:$B$433,"Out",Acerto_Detalhado!$C$2:$C$433,"Proteina"))*(SUMIFS(Acerto_Detalhado!$I$2:$I$433,Acerto_Detalhado!$A$2:$A$433,$D3697,Acerto_Detalhado!$B$2:$B$433,"Out",Acerto_Detalhado!$C$2:$C$433,"Proteina")),2)</f>
        <v>0</v>
      </c>
    </row>
    <row r="3698" customFormat="false" ht="15" hidden="false" customHeight="false" outlineLevel="0" collapsed="false">
      <c r="A3698" s="27" t="s">
        <v>120</v>
      </c>
      <c r="B3698" s="27" t="s">
        <v>109</v>
      </c>
      <c r="C3698" s="27" t="s">
        <v>50</v>
      </c>
      <c r="D3698" s="27" t="s">
        <v>47</v>
      </c>
      <c r="E3698" s="28" t="n">
        <f aca="false">ROUND((SUMIFS(Acerto_Detalhado!$F$2:$F$433,Acerto_Detalhado!$A$2:$A$433,$C3698,Acerto_Detalhado!$B$2:$B$433,"Out",Acerto_Detalhado!$C$2:$C$433,"Proteina"))*(SUMIFS(Acerto_Detalhado!$I$2:$I$433,Acerto_Detalhado!$A$2:$A$433,$D3698,Acerto_Detalhado!$B$2:$B$433,"Out",Acerto_Detalhado!$C$2:$C$433,"Proteina")),2)</f>
        <v>0</v>
      </c>
    </row>
    <row r="3699" customFormat="false" ht="15" hidden="false" customHeight="false" outlineLevel="0" collapsed="false">
      <c r="A3699" s="27" t="s">
        <v>120</v>
      </c>
      <c r="B3699" s="27" t="s">
        <v>109</v>
      </c>
      <c r="C3699" s="27" t="s">
        <v>50</v>
      </c>
      <c r="D3699" s="27" t="s">
        <v>48</v>
      </c>
      <c r="E3699" s="28" t="n">
        <f aca="false">ROUND((SUMIFS(Acerto_Detalhado!$F$2:$F$433,Acerto_Detalhado!$A$2:$A$433,$C3699,Acerto_Detalhado!$B$2:$B$433,"Out",Acerto_Detalhado!$C$2:$C$433,"Proteina"))*(SUMIFS(Acerto_Detalhado!$I$2:$I$433,Acerto_Detalhado!$A$2:$A$433,$D3699,Acerto_Detalhado!$B$2:$B$433,"Out",Acerto_Detalhado!$C$2:$C$433,"Proteina")),2)</f>
        <v>0</v>
      </c>
    </row>
    <row r="3700" customFormat="false" ht="15" hidden="false" customHeight="false" outlineLevel="0" collapsed="false">
      <c r="A3700" s="27" t="s">
        <v>120</v>
      </c>
      <c r="B3700" s="27" t="s">
        <v>109</v>
      </c>
      <c r="C3700" s="27" t="s">
        <v>50</v>
      </c>
      <c r="D3700" s="27" t="s">
        <v>49</v>
      </c>
      <c r="E3700" s="28" t="n">
        <f aca="false">ROUND((SUMIFS(Acerto_Detalhado!$F$2:$F$433,Acerto_Detalhado!$A$2:$A$433,$C3700,Acerto_Detalhado!$B$2:$B$433,"Out",Acerto_Detalhado!$C$2:$C$433,"Proteina"))*(SUMIFS(Acerto_Detalhado!$I$2:$I$433,Acerto_Detalhado!$A$2:$A$433,$D3700,Acerto_Detalhado!$B$2:$B$433,"Out",Acerto_Detalhado!$C$2:$C$433,"Proteina")),2)</f>
        <v>0</v>
      </c>
    </row>
    <row r="3701" customFormat="false" ht="15" hidden="false" customHeight="false" outlineLevel="0" collapsed="false">
      <c r="A3701" s="27" t="s">
        <v>120</v>
      </c>
      <c r="B3701" s="27" t="s">
        <v>110</v>
      </c>
      <c r="C3701" s="27" t="s">
        <v>39</v>
      </c>
      <c r="D3701" s="27" t="s">
        <v>40</v>
      </c>
      <c r="E3701" s="28" t="n">
        <f aca="false">ROUND((SUMIFS(Acerto_Detalhado!$F$2:$F$433,Acerto_Detalhado!$A$2:$A$433,$C3701,Acerto_Detalhado!$B$2:$B$433,"Out",Acerto_Detalhado!$C$2:$C$433,"Umidade"))*(SUMIFS(Acerto_Detalhado!$I$2:$I$433,Acerto_Detalhado!$A$2:$A$433,$D3701,Acerto_Detalhado!$B$2:$B$433,"Out",Acerto_Detalhado!$C$2:$C$433,"Umidade")),2)</f>
        <v>0</v>
      </c>
    </row>
    <row r="3702" customFormat="false" ht="15" hidden="false" customHeight="false" outlineLevel="0" collapsed="false">
      <c r="A3702" s="27" t="s">
        <v>120</v>
      </c>
      <c r="B3702" s="27" t="s">
        <v>110</v>
      </c>
      <c r="C3702" s="27" t="s">
        <v>39</v>
      </c>
      <c r="D3702" s="27" t="s">
        <v>41</v>
      </c>
      <c r="E3702" s="28" t="n">
        <f aca="false">ROUND((SUMIFS(Acerto_Detalhado!$F$2:$F$433,Acerto_Detalhado!$A$2:$A$433,$C3702,Acerto_Detalhado!$B$2:$B$433,"Out",Acerto_Detalhado!$C$2:$C$433,"Umidade"))*(SUMIFS(Acerto_Detalhado!$I$2:$I$433,Acerto_Detalhado!$A$2:$A$433,$D3702,Acerto_Detalhado!$B$2:$B$433,"Out",Acerto_Detalhado!$C$2:$C$433,"Umidade")),2)</f>
        <v>0</v>
      </c>
    </row>
    <row r="3703" customFormat="false" ht="15" hidden="false" customHeight="false" outlineLevel="0" collapsed="false">
      <c r="A3703" s="27" t="s">
        <v>120</v>
      </c>
      <c r="B3703" s="27" t="s">
        <v>110</v>
      </c>
      <c r="C3703" s="27" t="s">
        <v>39</v>
      </c>
      <c r="D3703" s="27" t="s">
        <v>42</v>
      </c>
      <c r="E3703" s="28" t="n">
        <f aca="false">ROUND((SUMIFS(Acerto_Detalhado!$F$2:$F$433,Acerto_Detalhado!$A$2:$A$433,$C3703,Acerto_Detalhado!$B$2:$B$433,"Out",Acerto_Detalhado!$C$2:$C$433,"Umidade"))*(SUMIFS(Acerto_Detalhado!$I$2:$I$433,Acerto_Detalhado!$A$2:$A$433,$D3703,Acerto_Detalhado!$B$2:$B$433,"Out",Acerto_Detalhado!$C$2:$C$433,"Umidade")),2)</f>
        <v>0</v>
      </c>
    </row>
    <row r="3704" customFormat="false" ht="15" hidden="false" customHeight="false" outlineLevel="0" collapsed="false">
      <c r="A3704" s="27" t="s">
        <v>120</v>
      </c>
      <c r="B3704" s="27" t="s">
        <v>110</v>
      </c>
      <c r="C3704" s="27" t="s">
        <v>39</v>
      </c>
      <c r="D3704" s="27" t="s">
        <v>43</v>
      </c>
      <c r="E3704" s="28" t="n">
        <f aca="false">ROUND((SUMIFS(Acerto_Detalhado!$F$2:$F$433,Acerto_Detalhado!$A$2:$A$433,$C3704,Acerto_Detalhado!$B$2:$B$433,"Out",Acerto_Detalhado!$C$2:$C$433,"Umidade"))*(SUMIFS(Acerto_Detalhado!$I$2:$I$433,Acerto_Detalhado!$A$2:$A$433,$D3704,Acerto_Detalhado!$B$2:$B$433,"Out",Acerto_Detalhado!$C$2:$C$433,"Umidade")),2)</f>
        <v>0</v>
      </c>
    </row>
    <row r="3705" customFormat="false" ht="15" hidden="false" customHeight="false" outlineLevel="0" collapsed="false">
      <c r="A3705" s="27" t="s">
        <v>120</v>
      </c>
      <c r="B3705" s="27" t="s">
        <v>110</v>
      </c>
      <c r="C3705" s="27" t="s">
        <v>39</v>
      </c>
      <c r="D3705" s="27" t="s">
        <v>44</v>
      </c>
      <c r="E3705" s="28" t="n">
        <f aca="false">ROUND((SUMIFS(Acerto_Detalhado!$F$2:$F$433,Acerto_Detalhado!$A$2:$A$433,$C3705,Acerto_Detalhado!$B$2:$B$433,"Out",Acerto_Detalhado!$C$2:$C$433,"Umidade"))*(SUMIFS(Acerto_Detalhado!$I$2:$I$433,Acerto_Detalhado!$A$2:$A$433,$D3705,Acerto_Detalhado!$B$2:$B$433,"Out",Acerto_Detalhado!$C$2:$C$433,"Umidade")),2)</f>
        <v>0</v>
      </c>
    </row>
    <row r="3706" customFormat="false" ht="15" hidden="false" customHeight="false" outlineLevel="0" collapsed="false">
      <c r="A3706" s="27" t="s">
        <v>120</v>
      </c>
      <c r="B3706" s="27" t="s">
        <v>110</v>
      </c>
      <c r="C3706" s="27" t="s">
        <v>39</v>
      </c>
      <c r="D3706" s="27" t="s">
        <v>45</v>
      </c>
      <c r="E3706" s="28" t="n">
        <f aca="false">ROUND((SUMIFS(Acerto_Detalhado!$F$2:$F$433,Acerto_Detalhado!$A$2:$A$433,$C3706,Acerto_Detalhado!$B$2:$B$433,"Out",Acerto_Detalhado!$C$2:$C$433,"Umidade"))*(SUMIFS(Acerto_Detalhado!$I$2:$I$433,Acerto_Detalhado!$A$2:$A$433,$D3706,Acerto_Detalhado!$B$2:$B$433,"Out",Acerto_Detalhado!$C$2:$C$433,"Umidade")),2)</f>
        <v>0</v>
      </c>
    </row>
    <row r="3707" customFormat="false" ht="15" hidden="false" customHeight="false" outlineLevel="0" collapsed="false">
      <c r="A3707" s="27" t="s">
        <v>120</v>
      </c>
      <c r="B3707" s="27" t="s">
        <v>110</v>
      </c>
      <c r="C3707" s="27" t="s">
        <v>39</v>
      </c>
      <c r="D3707" s="27" t="s">
        <v>46</v>
      </c>
      <c r="E3707" s="28" t="n">
        <f aca="false">ROUND((SUMIFS(Acerto_Detalhado!$F$2:$F$433,Acerto_Detalhado!$A$2:$A$433,$C3707,Acerto_Detalhado!$B$2:$B$433,"Out",Acerto_Detalhado!$C$2:$C$433,"Umidade"))*(SUMIFS(Acerto_Detalhado!$I$2:$I$433,Acerto_Detalhado!$A$2:$A$433,$D3707,Acerto_Detalhado!$B$2:$B$433,"Out",Acerto_Detalhado!$C$2:$C$433,"Umidade")),2)</f>
        <v>0</v>
      </c>
    </row>
    <row r="3708" customFormat="false" ht="15" hidden="false" customHeight="false" outlineLevel="0" collapsed="false">
      <c r="A3708" s="27" t="s">
        <v>120</v>
      </c>
      <c r="B3708" s="27" t="s">
        <v>110</v>
      </c>
      <c r="C3708" s="27" t="s">
        <v>39</v>
      </c>
      <c r="D3708" s="27" t="s">
        <v>47</v>
      </c>
      <c r="E3708" s="28" t="n">
        <f aca="false">ROUND((SUMIFS(Acerto_Detalhado!$F$2:$F$433,Acerto_Detalhado!$A$2:$A$433,$C3708,Acerto_Detalhado!$B$2:$B$433,"Out",Acerto_Detalhado!$C$2:$C$433,"Umidade"))*(SUMIFS(Acerto_Detalhado!$I$2:$I$433,Acerto_Detalhado!$A$2:$A$433,$D3708,Acerto_Detalhado!$B$2:$B$433,"Out",Acerto_Detalhado!$C$2:$C$433,"Umidade")),2)</f>
        <v>0</v>
      </c>
    </row>
    <row r="3709" customFormat="false" ht="15" hidden="false" customHeight="false" outlineLevel="0" collapsed="false">
      <c r="A3709" s="27" t="s">
        <v>120</v>
      </c>
      <c r="B3709" s="27" t="s">
        <v>110</v>
      </c>
      <c r="C3709" s="27" t="s">
        <v>39</v>
      </c>
      <c r="D3709" s="27" t="s">
        <v>48</v>
      </c>
      <c r="E3709" s="28" t="n">
        <f aca="false">ROUND((SUMIFS(Acerto_Detalhado!$F$2:$F$433,Acerto_Detalhado!$A$2:$A$433,$C3709,Acerto_Detalhado!$B$2:$B$433,"Out",Acerto_Detalhado!$C$2:$C$433,"Umidade"))*(SUMIFS(Acerto_Detalhado!$I$2:$I$433,Acerto_Detalhado!$A$2:$A$433,$D3709,Acerto_Detalhado!$B$2:$B$433,"Out",Acerto_Detalhado!$C$2:$C$433,"Umidade")),2)</f>
        <v>0</v>
      </c>
    </row>
    <row r="3710" customFormat="false" ht="15" hidden="false" customHeight="false" outlineLevel="0" collapsed="false">
      <c r="A3710" s="27" t="s">
        <v>120</v>
      </c>
      <c r="B3710" s="27" t="s">
        <v>110</v>
      </c>
      <c r="C3710" s="27" t="s">
        <v>39</v>
      </c>
      <c r="D3710" s="27" t="s">
        <v>49</v>
      </c>
      <c r="E3710" s="28" t="n">
        <f aca="false">ROUND((SUMIFS(Acerto_Detalhado!$F$2:$F$433,Acerto_Detalhado!$A$2:$A$433,$C3710,Acerto_Detalhado!$B$2:$B$433,"Out",Acerto_Detalhado!$C$2:$C$433,"Umidade"))*(SUMIFS(Acerto_Detalhado!$I$2:$I$433,Acerto_Detalhado!$A$2:$A$433,$D3710,Acerto_Detalhado!$B$2:$B$433,"Out",Acerto_Detalhado!$C$2:$C$433,"Umidade")),2)</f>
        <v>0</v>
      </c>
    </row>
    <row r="3711" customFormat="false" ht="15" hidden="false" customHeight="false" outlineLevel="0" collapsed="false">
      <c r="A3711" s="27" t="s">
        <v>120</v>
      </c>
      <c r="B3711" s="27" t="s">
        <v>110</v>
      </c>
      <c r="C3711" s="27" t="s">
        <v>39</v>
      </c>
      <c r="D3711" s="27" t="s">
        <v>50</v>
      </c>
      <c r="E3711" s="28" t="n">
        <f aca="false">ROUND((SUMIFS(Acerto_Detalhado!$F$2:$F$433,Acerto_Detalhado!$A$2:$A$433,$C3711,Acerto_Detalhado!$B$2:$B$433,"Out",Acerto_Detalhado!$C$2:$C$433,"Umidade"))*(SUMIFS(Acerto_Detalhado!$I$2:$I$433,Acerto_Detalhado!$A$2:$A$433,$D3711,Acerto_Detalhado!$B$2:$B$433,"Out",Acerto_Detalhado!$C$2:$C$433,"Umidade")),2)</f>
        <v>0</v>
      </c>
    </row>
    <row r="3712" customFormat="false" ht="15" hidden="false" customHeight="false" outlineLevel="0" collapsed="false">
      <c r="A3712" s="27" t="s">
        <v>120</v>
      </c>
      <c r="B3712" s="27" t="s">
        <v>110</v>
      </c>
      <c r="C3712" s="27" t="s">
        <v>40</v>
      </c>
      <c r="D3712" s="27" t="s">
        <v>39</v>
      </c>
      <c r="E3712" s="28" t="n">
        <f aca="false">ROUND((SUMIFS(Acerto_Detalhado!$F$2:$F$433,Acerto_Detalhado!$A$2:$A$433,$C3712,Acerto_Detalhado!$B$2:$B$433,"Out",Acerto_Detalhado!$C$2:$C$433,"Umidade"))*(SUMIFS(Acerto_Detalhado!$I$2:$I$433,Acerto_Detalhado!$A$2:$A$433,$D3712,Acerto_Detalhado!$B$2:$B$433,"Out",Acerto_Detalhado!$C$2:$C$433,"Umidade")),2)</f>
        <v>0</v>
      </c>
    </row>
    <row r="3713" customFormat="false" ht="15" hidden="false" customHeight="false" outlineLevel="0" collapsed="false">
      <c r="A3713" s="27" t="s">
        <v>120</v>
      </c>
      <c r="B3713" s="27" t="s">
        <v>110</v>
      </c>
      <c r="C3713" s="27" t="s">
        <v>40</v>
      </c>
      <c r="D3713" s="27" t="s">
        <v>41</v>
      </c>
      <c r="E3713" s="28" t="n">
        <f aca="false">ROUND((SUMIFS(Acerto_Detalhado!$F$2:$F$433,Acerto_Detalhado!$A$2:$A$433,$C3713,Acerto_Detalhado!$B$2:$B$433,"Out",Acerto_Detalhado!$C$2:$C$433,"Umidade"))*(SUMIFS(Acerto_Detalhado!$I$2:$I$433,Acerto_Detalhado!$A$2:$A$433,$D3713,Acerto_Detalhado!$B$2:$B$433,"Out",Acerto_Detalhado!$C$2:$C$433,"Umidade")),2)</f>
        <v>0</v>
      </c>
    </row>
    <row r="3714" customFormat="false" ht="15" hidden="false" customHeight="false" outlineLevel="0" collapsed="false">
      <c r="A3714" s="27" t="s">
        <v>120</v>
      </c>
      <c r="B3714" s="27" t="s">
        <v>110</v>
      </c>
      <c r="C3714" s="27" t="s">
        <v>40</v>
      </c>
      <c r="D3714" s="27" t="s">
        <v>42</v>
      </c>
      <c r="E3714" s="28" t="n">
        <f aca="false">ROUND((SUMIFS(Acerto_Detalhado!$F$2:$F$433,Acerto_Detalhado!$A$2:$A$433,$C3714,Acerto_Detalhado!$B$2:$B$433,"Out",Acerto_Detalhado!$C$2:$C$433,"Umidade"))*(SUMIFS(Acerto_Detalhado!$I$2:$I$433,Acerto_Detalhado!$A$2:$A$433,$D3714,Acerto_Detalhado!$B$2:$B$433,"Out",Acerto_Detalhado!$C$2:$C$433,"Umidade")),2)</f>
        <v>0</v>
      </c>
    </row>
    <row r="3715" customFormat="false" ht="15" hidden="false" customHeight="false" outlineLevel="0" collapsed="false">
      <c r="A3715" s="27" t="s">
        <v>120</v>
      </c>
      <c r="B3715" s="27" t="s">
        <v>110</v>
      </c>
      <c r="C3715" s="27" t="s">
        <v>40</v>
      </c>
      <c r="D3715" s="27" t="s">
        <v>43</v>
      </c>
      <c r="E3715" s="28" t="n">
        <f aca="false">ROUND((SUMIFS(Acerto_Detalhado!$F$2:$F$433,Acerto_Detalhado!$A$2:$A$433,$C3715,Acerto_Detalhado!$B$2:$B$433,"Out",Acerto_Detalhado!$C$2:$C$433,"Umidade"))*(SUMIFS(Acerto_Detalhado!$I$2:$I$433,Acerto_Detalhado!$A$2:$A$433,$D3715,Acerto_Detalhado!$B$2:$B$433,"Out",Acerto_Detalhado!$C$2:$C$433,"Umidade")),2)</f>
        <v>0</v>
      </c>
    </row>
    <row r="3716" customFormat="false" ht="15" hidden="false" customHeight="false" outlineLevel="0" collapsed="false">
      <c r="A3716" s="27" t="s">
        <v>120</v>
      </c>
      <c r="B3716" s="27" t="s">
        <v>110</v>
      </c>
      <c r="C3716" s="27" t="s">
        <v>40</v>
      </c>
      <c r="D3716" s="27" t="s">
        <v>44</v>
      </c>
      <c r="E3716" s="28" t="n">
        <f aca="false">ROUND((SUMIFS(Acerto_Detalhado!$F$2:$F$433,Acerto_Detalhado!$A$2:$A$433,$C3716,Acerto_Detalhado!$B$2:$B$433,"Out",Acerto_Detalhado!$C$2:$C$433,"Umidade"))*(SUMIFS(Acerto_Detalhado!$I$2:$I$433,Acerto_Detalhado!$A$2:$A$433,$D3716,Acerto_Detalhado!$B$2:$B$433,"Out",Acerto_Detalhado!$C$2:$C$433,"Umidade")),2)</f>
        <v>0</v>
      </c>
    </row>
    <row r="3717" customFormat="false" ht="15" hidden="false" customHeight="false" outlineLevel="0" collapsed="false">
      <c r="A3717" s="27" t="s">
        <v>120</v>
      </c>
      <c r="B3717" s="27" t="s">
        <v>110</v>
      </c>
      <c r="C3717" s="27" t="s">
        <v>40</v>
      </c>
      <c r="D3717" s="27" t="s">
        <v>45</v>
      </c>
      <c r="E3717" s="28" t="n">
        <f aca="false">ROUND((SUMIFS(Acerto_Detalhado!$F$2:$F$433,Acerto_Detalhado!$A$2:$A$433,$C3717,Acerto_Detalhado!$B$2:$B$433,"Out",Acerto_Detalhado!$C$2:$C$433,"Umidade"))*(SUMIFS(Acerto_Detalhado!$I$2:$I$433,Acerto_Detalhado!$A$2:$A$433,$D3717,Acerto_Detalhado!$B$2:$B$433,"Out",Acerto_Detalhado!$C$2:$C$433,"Umidade")),2)</f>
        <v>0</v>
      </c>
    </row>
    <row r="3718" customFormat="false" ht="15" hidden="false" customHeight="false" outlineLevel="0" collapsed="false">
      <c r="A3718" s="27" t="s">
        <v>120</v>
      </c>
      <c r="B3718" s="27" t="s">
        <v>110</v>
      </c>
      <c r="C3718" s="27" t="s">
        <v>40</v>
      </c>
      <c r="D3718" s="27" t="s">
        <v>46</v>
      </c>
      <c r="E3718" s="28" t="n">
        <f aca="false">ROUND((SUMIFS(Acerto_Detalhado!$F$2:$F$433,Acerto_Detalhado!$A$2:$A$433,$C3718,Acerto_Detalhado!$B$2:$B$433,"Out",Acerto_Detalhado!$C$2:$C$433,"Umidade"))*(SUMIFS(Acerto_Detalhado!$I$2:$I$433,Acerto_Detalhado!$A$2:$A$433,$D3718,Acerto_Detalhado!$B$2:$B$433,"Out",Acerto_Detalhado!$C$2:$C$433,"Umidade")),2)</f>
        <v>0</v>
      </c>
    </row>
    <row r="3719" customFormat="false" ht="15" hidden="false" customHeight="false" outlineLevel="0" collapsed="false">
      <c r="A3719" s="27" t="s">
        <v>120</v>
      </c>
      <c r="B3719" s="27" t="s">
        <v>110</v>
      </c>
      <c r="C3719" s="27" t="s">
        <v>40</v>
      </c>
      <c r="D3719" s="27" t="s">
        <v>47</v>
      </c>
      <c r="E3719" s="28" t="n">
        <f aca="false">ROUND((SUMIFS(Acerto_Detalhado!$F$2:$F$433,Acerto_Detalhado!$A$2:$A$433,$C3719,Acerto_Detalhado!$B$2:$B$433,"Out",Acerto_Detalhado!$C$2:$C$433,"Umidade"))*(SUMIFS(Acerto_Detalhado!$I$2:$I$433,Acerto_Detalhado!$A$2:$A$433,$D3719,Acerto_Detalhado!$B$2:$B$433,"Out",Acerto_Detalhado!$C$2:$C$433,"Umidade")),2)</f>
        <v>0</v>
      </c>
    </row>
    <row r="3720" customFormat="false" ht="15" hidden="false" customHeight="false" outlineLevel="0" collapsed="false">
      <c r="A3720" s="27" t="s">
        <v>120</v>
      </c>
      <c r="B3720" s="27" t="s">
        <v>110</v>
      </c>
      <c r="C3720" s="27" t="s">
        <v>40</v>
      </c>
      <c r="D3720" s="27" t="s">
        <v>48</v>
      </c>
      <c r="E3720" s="28" t="n">
        <f aca="false">ROUND((SUMIFS(Acerto_Detalhado!$F$2:$F$433,Acerto_Detalhado!$A$2:$A$433,$C3720,Acerto_Detalhado!$B$2:$B$433,"Out",Acerto_Detalhado!$C$2:$C$433,"Umidade"))*(SUMIFS(Acerto_Detalhado!$I$2:$I$433,Acerto_Detalhado!$A$2:$A$433,$D3720,Acerto_Detalhado!$B$2:$B$433,"Out",Acerto_Detalhado!$C$2:$C$433,"Umidade")),2)</f>
        <v>0</v>
      </c>
    </row>
    <row r="3721" customFormat="false" ht="15" hidden="false" customHeight="false" outlineLevel="0" collapsed="false">
      <c r="A3721" s="27" t="s">
        <v>120</v>
      </c>
      <c r="B3721" s="27" t="s">
        <v>110</v>
      </c>
      <c r="C3721" s="27" t="s">
        <v>40</v>
      </c>
      <c r="D3721" s="27" t="s">
        <v>49</v>
      </c>
      <c r="E3721" s="28" t="n">
        <f aca="false">ROUND((SUMIFS(Acerto_Detalhado!$F$2:$F$433,Acerto_Detalhado!$A$2:$A$433,$C3721,Acerto_Detalhado!$B$2:$B$433,"Out",Acerto_Detalhado!$C$2:$C$433,"Umidade"))*(SUMIFS(Acerto_Detalhado!$I$2:$I$433,Acerto_Detalhado!$A$2:$A$433,$D3721,Acerto_Detalhado!$B$2:$B$433,"Out",Acerto_Detalhado!$C$2:$C$433,"Umidade")),2)</f>
        <v>0</v>
      </c>
    </row>
    <row r="3722" customFormat="false" ht="15" hidden="false" customHeight="false" outlineLevel="0" collapsed="false">
      <c r="A3722" s="27" t="s">
        <v>120</v>
      </c>
      <c r="B3722" s="27" t="s">
        <v>110</v>
      </c>
      <c r="C3722" s="27" t="s">
        <v>40</v>
      </c>
      <c r="D3722" s="27" t="s">
        <v>50</v>
      </c>
      <c r="E3722" s="28" t="n">
        <f aca="false">ROUND((SUMIFS(Acerto_Detalhado!$F$2:$F$433,Acerto_Detalhado!$A$2:$A$433,$C3722,Acerto_Detalhado!$B$2:$B$433,"Out",Acerto_Detalhado!$C$2:$C$433,"Umidade"))*(SUMIFS(Acerto_Detalhado!$I$2:$I$433,Acerto_Detalhado!$A$2:$A$433,$D3722,Acerto_Detalhado!$B$2:$B$433,"Out",Acerto_Detalhado!$C$2:$C$433,"Umidade")),2)</f>
        <v>0</v>
      </c>
    </row>
    <row r="3723" customFormat="false" ht="15" hidden="false" customHeight="false" outlineLevel="0" collapsed="false">
      <c r="A3723" s="27" t="s">
        <v>120</v>
      </c>
      <c r="B3723" s="27" t="s">
        <v>110</v>
      </c>
      <c r="C3723" s="27" t="s">
        <v>41</v>
      </c>
      <c r="D3723" s="27" t="s">
        <v>39</v>
      </c>
      <c r="E3723" s="28" t="n">
        <f aca="false">ROUND((SUMIFS(Acerto_Detalhado!$F$2:$F$433,Acerto_Detalhado!$A$2:$A$433,$C3723,Acerto_Detalhado!$B$2:$B$433,"Out",Acerto_Detalhado!$C$2:$C$433,"Umidade"))*(SUMIFS(Acerto_Detalhado!$I$2:$I$433,Acerto_Detalhado!$A$2:$A$433,$D3723,Acerto_Detalhado!$B$2:$B$433,"Out",Acerto_Detalhado!$C$2:$C$433,"Umidade")),2)</f>
        <v>0</v>
      </c>
    </row>
    <row r="3724" customFormat="false" ht="15" hidden="false" customHeight="false" outlineLevel="0" collapsed="false">
      <c r="A3724" s="27" t="s">
        <v>120</v>
      </c>
      <c r="B3724" s="27" t="s">
        <v>110</v>
      </c>
      <c r="C3724" s="27" t="s">
        <v>41</v>
      </c>
      <c r="D3724" s="27" t="s">
        <v>40</v>
      </c>
      <c r="E3724" s="28" t="n">
        <f aca="false">ROUND((SUMIFS(Acerto_Detalhado!$F$2:$F$433,Acerto_Detalhado!$A$2:$A$433,$C3724,Acerto_Detalhado!$B$2:$B$433,"Out",Acerto_Detalhado!$C$2:$C$433,"Umidade"))*(SUMIFS(Acerto_Detalhado!$I$2:$I$433,Acerto_Detalhado!$A$2:$A$433,$D3724,Acerto_Detalhado!$B$2:$B$433,"Out",Acerto_Detalhado!$C$2:$C$433,"Umidade")),2)</f>
        <v>0</v>
      </c>
    </row>
    <row r="3725" customFormat="false" ht="15" hidden="false" customHeight="false" outlineLevel="0" collapsed="false">
      <c r="A3725" s="27" t="s">
        <v>120</v>
      </c>
      <c r="B3725" s="27" t="s">
        <v>110</v>
      </c>
      <c r="C3725" s="27" t="s">
        <v>41</v>
      </c>
      <c r="D3725" s="27" t="s">
        <v>42</v>
      </c>
      <c r="E3725" s="28" t="n">
        <f aca="false">ROUND((SUMIFS(Acerto_Detalhado!$F$2:$F$433,Acerto_Detalhado!$A$2:$A$433,$C3725,Acerto_Detalhado!$B$2:$B$433,"Out",Acerto_Detalhado!$C$2:$C$433,"Umidade"))*(SUMIFS(Acerto_Detalhado!$I$2:$I$433,Acerto_Detalhado!$A$2:$A$433,$D3725,Acerto_Detalhado!$B$2:$B$433,"Out",Acerto_Detalhado!$C$2:$C$433,"Umidade")),2)</f>
        <v>0</v>
      </c>
    </row>
    <row r="3726" customFormat="false" ht="15" hidden="false" customHeight="false" outlineLevel="0" collapsed="false">
      <c r="A3726" s="27" t="s">
        <v>120</v>
      </c>
      <c r="B3726" s="27" t="s">
        <v>110</v>
      </c>
      <c r="C3726" s="27" t="s">
        <v>41</v>
      </c>
      <c r="D3726" s="27" t="s">
        <v>43</v>
      </c>
      <c r="E3726" s="28" t="n">
        <f aca="false">ROUND((SUMIFS(Acerto_Detalhado!$F$2:$F$433,Acerto_Detalhado!$A$2:$A$433,$C3726,Acerto_Detalhado!$B$2:$B$433,"Out",Acerto_Detalhado!$C$2:$C$433,"Umidade"))*(SUMIFS(Acerto_Detalhado!$I$2:$I$433,Acerto_Detalhado!$A$2:$A$433,$D3726,Acerto_Detalhado!$B$2:$B$433,"Out",Acerto_Detalhado!$C$2:$C$433,"Umidade")),2)</f>
        <v>0</v>
      </c>
    </row>
    <row r="3727" customFormat="false" ht="15" hidden="false" customHeight="false" outlineLevel="0" collapsed="false">
      <c r="A3727" s="27" t="s">
        <v>120</v>
      </c>
      <c r="B3727" s="27" t="s">
        <v>110</v>
      </c>
      <c r="C3727" s="27" t="s">
        <v>41</v>
      </c>
      <c r="D3727" s="27" t="s">
        <v>44</v>
      </c>
      <c r="E3727" s="28" t="n">
        <f aca="false">ROUND((SUMIFS(Acerto_Detalhado!$F$2:$F$433,Acerto_Detalhado!$A$2:$A$433,$C3727,Acerto_Detalhado!$B$2:$B$433,"Out",Acerto_Detalhado!$C$2:$C$433,"Umidade"))*(SUMIFS(Acerto_Detalhado!$I$2:$I$433,Acerto_Detalhado!$A$2:$A$433,$D3727,Acerto_Detalhado!$B$2:$B$433,"Out",Acerto_Detalhado!$C$2:$C$433,"Umidade")),2)</f>
        <v>0</v>
      </c>
    </row>
    <row r="3728" customFormat="false" ht="15" hidden="false" customHeight="false" outlineLevel="0" collapsed="false">
      <c r="A3728" s="27" t="s">
        <v>120</v>
      </c>
      <c r="B3728" s="27" t="s">
        <v>110</v>
      </c>
      <c r="C3728" s="27" t="s">
        <v>41</v>
      </c>
      <c r="D3728" s="27" t="s">
        <v>45</v>
      </c>
      <c r="E3728" s="28" t="n">
        <f aca="false">ROUND((SUMIFS(Acerto_Detalhado!$F$2:$F$433,Acerto_Detalhado!$A$2:$A$433,$C3728,Acerto_Detalhado!$B$2:$B$433,"Out",Acerto_Detalhado!$C$2:$C$433,"Umidade"))*(SUMIFS(Acerto_Detalhado!$I$2:$I$433,Acerto_Detalhado!$A$2:$A$433,$D3728,Acerto_Detalhado!$B$2:$B$433,"Out",Acerto_Detalhado!$C$2:$C$433,"Umidade")),2)</f>
        <v>0</v>
      </c>
    </row>
    <row r="3729" customFormat="false" ht="15" hidden="false" customHeight="false" outlineLevel="0" collapsed="false">
      <c r="A3729" s="27" t="s">
        <v>120</v>
      </c>
      <c r="B3729" s="27" t="s">
        <v>110</v>
      </c>
      <c r="C3729" s="27" t="s">
        <v>41</v>
      </c>
      <c r="D3729" s="27" t="s">
        <v>46</v>
      </c>
      <c r="E3729" s="28" t="n">
        <f aca="false">ROUND((SUMIFS(Acerto_Detalhado!$F$2:$F$433,Acerto_Detalhado!$A$2:$A$433,$C3729,Acerto_Detalhado!$B$2:$B$433,"Out",Acerto_Detalhado!$C$2:$C$433,"Umidade"))*(SUMIFS(Acerto_Detalhado!$I$2:$I$433,Acerto_Detalhado!$A$2:$A$433,$D3729,Acerto_Detalhado!$B$2:$B$433,"Out",Acerto_Detalhado!$C$2:$C$433,"Umidade")),2)</f>
        <v>0</v>
      </c>
    </row>
    <row r="3730" customFormat="false" ht="15" hidden="false" customHeight="false" outlineLevel="0" collapsed="false">
      <c r="A3730" s="27" t="s">
        <v>120</v>
      </c>
      <c r="B3730" s="27" t="s">
        <v>110</v>
      </c>
      <c r="C3730" s="27" t="s">
        <v>41</v>
      </c>
      <c r="D3730" s="27" t="s">
        <v>47</v>
      </c>
      <c r="E3730" s="28" t="n">
        <f aca="false">ROUND((SUMIFS(Acerto_Detalhado!$F$2:$F$433,Acerto_Detalhado!$A$2:$A$433,$C3730,Acerto_Detalhado!$B$2:$B$433,"Out",Acerto_Detalhado!$C$2:$C$433,"Umidade"))*(SUMIFS(Acerto_Detalhado!$I$2:$I$433,Acerto_Detalhado!$A$2:$A$433,$D3730,Acerto_Detalhado!$B$2:$B$433,"Out",Acerto_Detalhado!$C$2:$C$433,"Umidade")),2)</f>
        <v>0</v>
      </c>
    </row>
    <row r="3731" customFormat="false" ht="15" hidden="false" customHeight="false" outlineLevel="0" collapsed="false">
      <c r="A3731" s="27" t="s">
        <v>120</v>
      </c>
      <c r="B3731" s="27" t="s">
        <v>110</v>
      </c>
      <c r="C3731" s="27" t="s">
        <v>41</v>
      </c>
      <c r="D3731" s="27" t="s">
        <v>48</v>
      </c>
      <c r="E3731" s="28" t="n">
        <f aca="false">ROUND((SUMIFS(Acerto_Detalhado!$F$2:$F$433,Acerto_Detalhado!$A$2:$A$433,$C3731,Acerto_Detalhado!$B$2:$B$433,"Out",Acerto_Detalhado!$C$2:$C$433,"Umidade"))*(SUMIFS(Acerto_Detalhado!$I$2:$I$433,Acerto_Detalhado!$A$2:$A$433,$D3731,Acerto_Detalhado!$B$2:$B$433,"Out",Acerto_Detalhado!$C$2:$C$433,"Umidade")),2)</f>
        <v>0</v>
      </c>
    </row>
    <row r="3732" customFormat="false" ht="15" hidden="false" customHeight="false" outlineLevel="0" collapsed="false">
      <c r="A3732" s="27" t="s">
        <v>120</v>
      </c>
      <c r="B3732" s="27" t="s">
        <v>110</v>
      </c>
      <c r="C3732" s="27" t="s">
        <v>41</v>
      </c>
      <c r="D3732" s="27" t="s">
        <v>49</v>
      </c>
      <c r="E3732" s="28" t="n">
        <f aca="false">ROUND((SUMIFS(Acerto_Detalhado!$F$2:$F$433,Acerto_Detalhado!$A$2:$A$433,$C3732,Acerto_Detalhado!$B$2:$B$433,"Out",Acerto_Detalhado!$C$2:$C$433,"Umidade"))*(SUMIFS(Acerto_Detalhado!$I$2:$I$433,Acerto_Detalhado!$A$2:$A$433,$D3732,Acerto_Detalhado!$B$2:$B$433,"Out",Acerto_Detalhado!$C$2:$C$433,"Umidade")),2)</f>
        <v>0</v>
      </c>
    </row>
    <row r="3733" customFormat="false" ht="15" hidden="false" customHeight="false" outlineLevel="0" collapsed="false">
      <c r="A3733" s="27" t="s">
        <v>120</v>
      </c>
      <c r="B3733" s="27" t="s">
        <v>110</v>
      </c>
      <c r="C3733" s="27" t="s">
        <v>41</v>
      </c>
      <c r="D3733" s="27" t="s">
        <v>50</v>
      </c>
      <c r="E3733" s="28" t="n">
        <f aca="false">ROUND((SUMIFS(Acerto_Detalhado!$F$2:$F$433,Acerto_Detalhado!$A$2:$A$433,$C3733,Acerto_Detalhado!$B$2:$B$433,"Out",Acerto_Detalhado!$C$2:$C$433,"Umidade"))*(SUMIFS(Acerto_Detalhado!$I$2:$I$433,Acerto_Detalhado!$A$2:$A$433,$D3733,Acerto_Detalhado!$B$2:$B$433,"Out",Acerto_Detalhado!$C$2:$C$433,"Umidade")),2)</f>
        <v>0</v>
      </c>
    </row>
    <row r="3734" customFormat="false" ht="15" hidden="false" customHeight="false" outlineLevel="0" collapsed="false">
      <c r="A3734" s="27" t="s">
        <v>120</v>
      </c>
      <c r="B3734" s="27" t="s">
        <v>110</v>
      </c>
      <c r="C3734" s="27" t="s">
        <v>42</v>
      </c>
      <c r="D3734" s="27" t="s">
        <v>39</v>
      </c>
      <c r="E3734" s="28" t="n">
        <f aca="false">ROUND((SUMIFS(Acerto_Detalhado!$F$2:$F$433,Acerto_Detalhado!$A$2:$A$433,$C3734,Acerto_Detalhado!$B$2:$B$433,"Out",Acerto_Detalhado!$C$2:$C$433,"Umidade"))*(SUMIFS(Acerto_Detalhado!$I$2:$I$433,Acerto_Detalhado!$A$2:$A$433,$D3734,Acerto_Detalhado!$B$2:$B$433,"Out",Acerto_Detalhado!$C$2:$C$433,"Umidade")),2)</f>
        <v>0</v>
      </c>
    </row>
    <row r="3735" customFormat="false" ht="15" hidden="false" customHeight="false" outlineLevel="0" collapsed="false">
      <c r="A3735" s="27" t="s">
        <v>120</v>
      </c>
      <c r="B3735" s="27" t="s">
        <v>110</v>
      </c>
      <c r="C3735" s="27" t="s">
        <v>42</v>
      </c>
      <c r="D3735" s="27" t="s">
        <v>40</v>
      </c>
      <c r="E3735" s="28" t="n">
        <f aca="false">ROUND((SUMIFS(Acerto_Detalhado!$F$2:$F$433,Acerto_Detalhado!$A$2:$A$433,$C3735,Acerto_Detalhado!$B$2:$B$433,"Out",Acerto_Detalhado!$C$2:$C$433,"Umidade"))*(SUMIFS(Acerto_Detalhado!$I$2:$I$433,Acerto_Detalhado!$A$2:$A$433,$D3735,Acerto_Detalhado!$B$2:$B$433,"Out",Acerto_Detalhado!$C$2:$C$433,"Umidade")),2)</f>
        <v>0</v>
      </c>
    </row>
    <row r="3736" customFormat="false" ht="15" hidden="false" customHeight="false" outlineLevel="0" collapsed="false">
      <c r="A3736" s="27" t="s">
        <v>120</v>
      </c>
      <c r="B3736" s="27" t="s">
        <v>110</v>
      </c>
      <c r="C3736" s="27" t="s">
        <v>42</v>
      </c>
      <c r="D3736" s="27" t="s">
        <v>41</v>
      </c>
      <c r="E3736" s="28" t="n">
        <f aca="false">ROUND((SUMIFS(Acerto_Detalhado!$F$2:$F$433,Acerto_Detalhado!$A$2:$A$433,$C3736,Acerto_Detalhado!$B$2:$B$433,"Out",Acerto_Detalhado!$C$2:$C$433,"Umidade"))*(SUMIFS(Acerto_Detalhado!$I$2:$I$433,Acerto_Detalhado!$A$2:$A$433,$D3736,Acerto_Detalhado!$B$2:$B$433,"Out",Acerto_Detalhado!$C$2:$C$433,"Umidade")),2)</f>
        <v>0</v>
      </c>
    </row>
    <row r="3737" customFormat="false" ht="15" hidden="false" customHeight="false" outlineLevel="0" collapsed="false">
      <c r="A3737" s="27" t="s">
        <v>120</v>
      </c>
      <c r="B3737" s="27" t="s">
        <v>110</v>
      </c>
      <c r="C3737" s="27" t="s">
        <v>42</v>
      </c>
      <c r="D3737" s="27" t="s">
        <v>43</v>
      </c>
      <c r="E3737" s="28" t="n">
        <f aca="false">ROUND((SUMIFS(Acerto_Detalhado!$F$2:$F$433,Acerto_Detalhado!$A$2:$A$433,$C3737,Acerto_Detalhado!$B$2:$B$433,"Out",Acerto_Detalhado!$C$2:$C$433,"Umidade"))*(SUMIFS(Acerto_Detalhado!$I$2:$I$433,Acerto_Detalhado!$A$2:$A$433,$D3737,Acerto_Detalhado!$B$2:$B$433,"Out",Acerto_Detalhado!$C$2:$C$433,"Umidade")),2)</f>
        <v>0</v>
      </c>
    </row>
    <row r="3738" customFormat="false" ht="15" hidden="false" customHeight="false" outlineLevel="0" collapsed="false">
      <c r="A3738" s="27" t="s">
        <v>120</v>
      </c>
      <c r="B3738" s="27" t="s">
        <v>110</v>
      </c>
      <c r="C3738" s="27" t="s">
        <v>42</v>
      </c>
      <c r="D3738" s="27" t="s">
        <v>44</v>
      </c>
      <c r="E3738" s="28" t="n">
        <f aca="false">ROUND((SUMIFS(Acerto_Detalhado!$F$2:$F$433,Acerto_Detalhado!$A$2:$A$433,$C3738,Acerto_Detalhado!$B$2:$B$433,"Out",Acerto_Detalhado!$C$2:$C$433,"Umidade"))*(SUMIFS(Acerto_Detalhado!$I$2:$I$433,Acerto_Detalhado!$A$2:$A$433,$D3738,Acerto_Detalhado!$B$2:$B$433,"Out",Acerto_Detalhado!$C$2:$C$433,"Umidade")),2)</f>
        <v>0</v>
      </c>
    </row>
    <row r="3739" customFormat="false" ht="15" hidden="false" customHeight="false" outlineLevel="0" collapsed="false">
      <c r="A3739" s="27" t="s">
        <v>120</v>
      </c>
      <c r="B3739" s="27" t="s">
        <v>110</v>
      </c>
      <c r="C3739" s="27" t="s">
        <v>42</v>
      </c>
      <c r="D3739" s="27" t="s">
        <v>45</v>
      </c>
      <c r="E3739" s="28" t="n">
        <f aca="false">ROUND((SUMIFS(Acerto_Detalhado!$F$2:$F$433,Acerto_Detalhado!$A$2:$A$433,$C3739,Acerto_Detalhado!$B$2:$B$433,"Out",Acerto_Detalhado!$C$2:$C$433,"Umidade"))*(SUMIFS(Acerto_Detalhado!$I$2:$I$433,Acerto_Detalhado!$A$2:$A$433,$D3739,Acerto_Detalhado!$B$2:$B$433,"Out",Acerto_Detalhado!$C$2:$C$433,"Umidade")),2)</f>
        <v>0</v>
      </c>
    </row>
    <row r="3740" customFormat="false" ht="15" hidden="false" customHeight="false" outlineLevel="0" collapsed="false">
      <c r="A3740" s="27" t="s">
        <v>120</v>
      </c>
      <c r="B3740" s="27" t="s">
        <v>110</v>
      </c>
      <c r="C3740" s="27" t="s">
        <v>42</v>
      </c>
      <c r="D3740" s="27" t="s">
        <v>46</v>
      </c>
      <c r="E3740" s="28" t="n">
        <f aca="false">ROUND((SUMIFS(Acerto_Detalhado!$F$2:$F$433,Acerto_Detalhado!$A$2:$A$433,$C3740,Acerto_Detalhado!$B$2:$B$433,"Out",Acerto_Detalhado!$C$2:$C$433,"Umidade"))*(SUMIFS(Acerto_Detalhado!$I$2:$I$433,Acerto_Detalhado!$A$2:$A$433,$D3740,Acerto_Detalhado!$B$2:$B$433,"Out",Acerto_Detalhado!$C$2:$C$433,"Umidade")),2)</f>
        <v>0</v>
      </c>
    </row>
    <row r="3741" customFormat="false" ht="15" hidden="false" customHeight="false" outlineLevel="0" collapsed="false">
      <c r="A3741" s="27" t="s">
        <v>120</v>
      </c>
      <c r="B3741" s="27" t="s">
        <v>110</v>
      </c>
      <c r="C3741" s="27" t="s">
        <v>42</v>
      </c>
      <c r="D3741" s="27" t="s">
        <v>47</v>
      </c>
      <c r="E3741" s="28" t="n">
        <f aca="false">ROUND((SUMIFS(Acerto_Detalhado!$F$2:$F$433,Acerto_Detalhado!$A$2:$A$433,$C3741,Acerto_Detalhado!$B$2:$B$433,"Out",Acerto_Detalhado!$C$2:$C$433,"Umidade"))*(SUMIFS(Acerto_Detalhado!$I$2:$I$433,Acerto_Detalhado!$A$2:$A$433,$D3741,Acerto_Detalhado!$B$2:$B$433,"Out",Acerto_Detalhado!$C$2:$C$433,"Umidade")),2)</f>
        <v>0</v>
      </c>
    </row>
    <row r="3742" customFormat="false" ht="15" hidden="false" customHeight="false" outlineLevel="0" collapsed="false">
      <c r="A3742" s="27" t="s">
        <v>120</v>
      </c>
      <c r="B3742" s="27" t="s">
        <v>110</v>
      </c>
      <c r="C3742" s="27" t="s">
        <v>42</v>
      </c>
      <c r="D3742" s="27" t="s">
        <v>48</v>
      </c>
      <c r="E3742" s="28" t="n">
        <f aca="false">ROUND((SUMIFS(Acerto_Detalhado!$F$2:$F$433,Acerto_Detalhado!$A$2:$A$433,$C3742,Acerto_Detalhado!$B$2:$B$433,"Out",Acerto_Detalhado!$C$2:$C$433,"Umidade"))*(SUMIFS(Acerto_Detalhado!$I$2:$I$433,Acerto_Detalhado!$A$2:$A$433,$D3742,Acerto_Detalhado!$B$2:$B$433,"Out",Acerto_Detalhado!$C$2:$C$433,"Umidade")),2)</f>
        <v>0</v>
      </c>
    </row>
    <row r="3743" customFormat="false" ht="15" hidden="false" customHeight="false" outlineLevel="0" collapsed="false">
      <c r="A3743" s="27" t="s">
        <v>120</v>
      </c>
      <c r="B3743" s="27" t="s">
        <v>110</v>
      </c>
      <c r="C3743" s="27" t="s">
        <v>42</v>
      </c>
      <c r="D3743" s="27" t="s">
        <v>49</v>
      </c>
      <c r="E3743" s="28" t="n">
        <f aca="false">ROUND((SUMIFS(Acerto_Detalhado!$F$2:$F$433,Acerto_Detalhado!$A$2:$A$433,$C3743,Acerto_Detalhado!$B$2:$B$433,"Out",Acerto_Detalhado!$C$2:$C$433,"Umidade"))*(SUMIFS(Acerto_Detalhado!$I$2:$I$433,Acerto_Detalhado!$A$2:$A$433,$D3743,Acerto_Detalhado!$B$2:$B$433,"Out",Acerto_Detalhado!$C$2:$C$433,"Umidade")),2)</f>
        <v>0</v>
      </c>
    </row>
    <row r="3744" customFormat="false" ht="15" hidden="false" customHeight="false" outlineLevel="0" collapsed="false">
      <c r="A3744" s="27" t="s">
        <v>120</v>
      </c>
      <c r="B3744" s="27" t="s">
        <v>110</v>
      </c>
      <c r="C3744" s="27" t="s">
        <v>42</v>
      </c>
      <c r="D3744" s="27" t="s">
        <v>50</v>
      </c>
      <c r="E3744" s="28" t="n">
        <f aca="false">ROUND((SUMIFS(Acerto_Detalhado!$F$2:$F$433,Acerto_Detalhado!$A$2:$A$433,$C3744,Acerto_Detalhado!$B$2:$B$433,"Out",Acerto_Detalhado!$C$2:$C$433,"Umidade"))*(SUMIFS(Acerto_Detalhado!$I$2:$I$433,Acerto_Detalhado!$A$2:$A$433,$D3744,Acerto_Detalhado!$B$2:$B$433,"Out",Acerto_Detalhado!$C$2:$C$433,"Umidade")),2)</f>
        <v>0</v>
      </c>
    </row>
    <row r="3745" customFormat="false" ht="15" hidden="false" customHeight="false" outlineLevel="0" collapsed="false">
      <c r="A3745" s="27" t="s">
        <v>120</v>
      </c>
      <c r="B3745" s="27" t="s">
        <v>110</v>
      </c>
      <c r="C3745" s="27" t="s">
        <v>43</v>
      </c>
      <c r="D3745" s="27" t="s">
        <v>39</v>
      </c>
      <c r="E3745" s="28" t="n">
        <f aca="false">ROUND((SUMIFS(Acerto_Detalhado!$F$2:$F$433,Acerto_Detalhado!$A$2:$A$433,$C3745,Acerto_Detalhado!$B$2:$B$433,"Out",Acerto_Detalhado!$C$2:$C$433,"Umidade"))*(SUMIFS(Acerto_Detalhado!$I$2:$I$433,Acerto_Detalhado!$A$2:$A$433,$D3745,Acerto_Detalhado!$B$2:$B$433,"Out",Acerto_Detalhado!$C$2:$C$433,"Umidade")),2)</f>
        <v>0</v>
      </c>
    </row>
    <row r="3746" customFormat="false" ht="15" hidden="false" customHeight="false" outlineLevel="0" collapsed="false">
      <c r="A3746" s="27" t="s">
        <v>120</v>
      </c>
      <c r="B3746" s="27" t="s">
        <v>110</v>
      </c>
      <c r="C3746" s="27" t="s">
        <v>43</v>
      </c>
      <c r="D3746" s="27" t="s">
        <v>40</v>
      </c>
      <c r="E3746" s="28" t="n">
        <f aca="false">ROUND((SUMIFS(Acerto_Detalhado!$F$2:$F$433,Acerto_Detalhado!$A$2:$A$433,$C3746,Acerto_Detalhado!$B$2:$B$433,"Out",Acerto_Detalhado!$C$2:$C$433,"Umidade"))*(SUMIFS(Acerto_Detalhado!$I$2:$I$433,Acerto_Detalhado!$A$2:$A$433,$D3746,Acerto_Detalhado!$B$2:$B$433,"Out",Acerto_Detalhado!$C$2:$C$433,"Umidade")),2)</f>
        <v>0</v>
      </c>
    </row>
    <row r="3747" customFormat="false" ht="15" hidden="false" customHeight="false" outlineLevel="0" collapsed="false">
      <c r="A3747" s="27" t="s">
        <v>120</v>
      </c>
      <c r="B3747" s="27" t="s">
        <v>110</v>
      </c>
      <c r="C3747" s="27" t="s">
        <v>43</v>
      </c>
      <c r="D3747" s="27" t="s">
        <v>41</v>
      </c>
      <c r="E3747" s="28" t="n">
        <f aca="false">ROUND((SUMIFS(Acerto_Detalhado!$F$2:$F$433,Acerto_Detalhado!$A$2:$A$433,$C3747,Acerto_Detalhado!$B$2:$B$433,"Out",Acerto_Detalhado!$C$2:$C$433,"Umidade"))*(SUMIFS(Acerto_Detalhado!$I$2:$I$433,Acerto_Detalhado!$A$2:$A$433,$D3747,Acerto_Detalhado!$B$2:$B$433,"Out",Acerto_Detalhado!$C$2:$C$433,"Umidade")),2)</f>
        <v>0</v>
      </c>
    </row>
    <row r="3748" customFormat="false" ht="15" hidden="false" customHeight="false" outlineLevel="0" collapsed="false">
      <c r="A3748" s="27" t="s">
        <v>120</v>
      </c>
      <c r="B3748" s="27" t="s">
        <v>110</v>
      </c>
      <c r="C3748" s="27" t="s">
        <v>43</v>
      </c>
      <c r="D3748" s="27" t="s">
        <v>42</v>
      </c>
      <c r="E3748" s="28" t="n">
        <f aca="false">ROUND((SUMIFS(Acerto_Detalhado!$F$2:$F$433,Acerto_Detalhado!$A$2:$A$433,$C3748,Acerto_Detalhado!$B$2:$B$433,"Out",Acerto_Detalhado!$C$2:$C$433,"Umidade"))*(SUMIFS(Acerto_Detalhado!$I$2:$I$433,Acerto_Detalhado!$A$2:$A$433,$D3748,Acerto_Detalhado!$B$2:$B$433,"Out",Acerto_Detalhado!$C$2:$C$433,"Umidade")),2)</f>
        <v>0</v>
      </c>
    </row>
    <row r="3749" customFormat="false" ht="15" hidden="false" customHeight="false" outlineLevel="0" collapsed="false">
      <c r="A3749" s="27" t="s">
        <v>120</v>
      </c>
      <c r="B3749" s="27" t="s">
        <v>110</v>
      </c>
      <c r="C3749" s="27" t="s">
        <v>43</v>
      </c>
      <c r="D3749" s="27" t="s">
        <v>44</v>
      </c>
      <c r="E3749" s="28" t="n">
        <f aca="false">ROUND((SUMIFS(Acerto_Detalhado!$F$2:$F$433,Acerto_Detalhado!$A$2:$A$433,$C3749,Acerto_Detalhado!$B$2:$B$433,"Out",Acerto_Detalhado!$C$2:$C$433,"Umidade"))*(SUMIFS(Acerto_Detalhado!$I$2:$I$433,Acerto_Detalhado!$A$2:$A$433,$D3749,Acerto_Detalhado!$B$2:$B$433,"Out",Acerto_Detalhado!$C$2:$C$433,"Umidade")),2)</f>
        <v>0</v>
      </c>
    </row>
    <row r="3750" customFormat="false" ht="15" hidden="false" customHeight="false" outlineLevel="0" collapsed="false">
      <c r="A3750" s="27" t="s">
        <v>120</v>
      </c>
      <c r="B3750" s="27" t="s">
        <v>110</v>
      </c>
      <c r="C3750" s="27" t="s">
        <v>43</v>
      </c>
      <c r="D3750" s="27" t="s">
        <v>45</v>
      </c>
      <c r="E3750" s="28" t="n">
        <f aca="false">ROUND((SUMIFS(Acerto_Detalhado!$F$2:$F$433,Acerto_Detalhado!$A$2:$A$433,$C3750,Acerto_Detalhado!$B$2:$B$433,"Out",Acerto_Detalhado!$C$2:$C$433,"Umidade"))*(SUMIFS(Acerto_Detalhado!$I$2:$I$433,Acerto_Detalhado!$A$2:$A$433,$D3750,Acerto_Detalhado!$B$2:$B$433,"Out",Acerto_Detalhado!$C$2:$C$433,"Umidade")),2)</f>
        <v>0</v>
      </c>
    </row>
    <row r="3751" customFormat="false" ht="15" hidden="false" customHeight="false" outlineLevel="0" collapsed="false">
      <c r="A3751" s="27" t="s">
        <v>120</v>
      </c>
      <c r="B3751" s="27" t="s">
        <v>110</v>
      </c>
      <c r="C3751" s="27" t="s">
        <v>43</v>
      </c>
      <c r="D3751" s="27" t="s">
        <v>46</v>
      </c>
      <c r="E3751" s="28" t="n">
        <f aca="false">ROUND((SUMIFS(Acerto_Detalhado!$F$2:$F$433,Acerto_Detalhado!$A$2:$A$433,$C3751,Acerto_Detalhado!$B$2:$B$433,"Out",Acerto_Detalhado!$C$2:$C$433,"Umidade"))*(SUMIFS(Acerto_Detalhado!$I$2:$I$433,Acerto_Detalhado!$A$2:$A$433,$D3751,Acerto_Detalhado!$B$2:$B$433,"Out",Acerto_Detalhado!$C$2:$C$433,"Umidade")),2)</f>
        <v>0</v>
      </c>
    </row>
    <row r="3752" customFormat="false" ht="15" hidden="false" customHeight="false" outlineLevel="0" collapsed="false">
      <c r="A3752" s="27" t="s">
        <v>120</v>
      </c>
      <c r="B3752" s="27" t="s">
        <v>110</v>
      </c>
      <c r="C3752" s="27" t="s">
        <v>43</v>
      </c>
      <c r="D3752" s="27" t="s">
        <v>47</v>
      </c>
      <c r="E3752" s="28" t="n">
        <f aca="false">ROUND((SUMIFS(Acerto_Detalhado!$F$2:$F$433,Acerto_Detalhado!$A$2:$A$433,$C3752,Acerto_Detalhado!$B$2:$B$433,"Out",Acerto_Detalhado!$C$2:$C$433,"Umidade"))*(SUMIFS(Acerto_Detalhado!$I$2:$I$433,Acerto_Detalhado!$A$2:$A$433,$D3752,Acerto_Detalhado!$B$2:$B$433,"Out",Acerto_Detalhado!$C$2:$C$433,"Umidade")),2)</f>
        <v>0</v>
      </c>
    </row>
    <row r="3753" customFormat="false" ht="15" hidden="false" customHeight="false" outlineLevel="0" collapsed="false">
      <c r="A3753" s="27" t="s">
        <v>120</v>
      </c>
      <c r="B3753" s="27" t="s">
        <v>110</v>
      </c>
      <c r="C3753" s="27" t="s">
        <v>43</v>
      </c>
      <c r="D3753" s="27" t="s">
        <v>48</v>
      </c>
      <c r="E3753" s="28" t="n">
        <f aca="false">ROUND((SUMIFS(Acerto_Detalhado!$F$2:$F$433,Acerto_Detalhado!$A$2:$A$433,$C3753,Acerto_Detalhado!$B$2:$B$433,"Out",Acerto_Detalhado!$C$2:$C$433,"Umidade"))*(SUMIFS(Acerto_Detalhado!$I$2:$I$433,Acerto_Detalhado!$A$2:$A$433,$D3753,Acerto_Detalhado!$B$2:$B$433,"Out",Acerto_Detalhado!$C$2:$C$433,"Umidade")),2)</f>
        <v>0</v>
      </c>
    </row>
    <row r="3754" customFormat="false" ht="15" hidden="false" customHeight="false" outlineLevel="0" collapsed="false">
      <c r="A3754" s="27" t="s">
        <v>120</v>
      </c>
      <c r="B3754" s="27" t="s">
        <v>110</v>
      </c>
      <c r="C3754" s="27" t="s">
        <v>43</v>
      </c>
      <c r="D3754" s="27" t="s">
        <v>49</v>
      </c>
      <c r="E3754" s="28" t="n">
        <f aca="false">ROUND((SUMIFS(Acerto_Detalhado!$F$2:$F$433,Acerto_Detalhado!$A$2:$A$433,$C3754,Acerto_Detalhado!$B$2:$B$433,"Out",Acerto_Detalhado!$C$2:$C$433,"Umidade"))*(SUMIFS(Acerto_Detalhado!$I$2:$I$433,Acerto_Detalhado!$A$2:$A$433,$D3754,Acerto_Detalhado!$B$2:$B$433,"Out",Acerto_Detalhado!$C$2:$C$433,"Umidade")),2)</f>
        <v>0</v>
      </c>
    </row>
    <row r="3755" customFormat="false" ht="15" hidden="false" customHeight="false" outlineLevel="0" collapsed="false">
      <c r="A3755" s="27" t="s">
        <v>120</v>
      </c>
      <c r="B3755" s="27" t="s">
        <v>110</v>
      </c>
      <c r="C3755" s="27" t="s">
        <v>43</v>
      </c>
      <c r="D3755" s="27" t="s">
        <v>50</v>
      </c>
      <c r="E3755" s="28" t="n">
        <f aca="false">ROUND((SUMIFS(Acerto_Detalhado!$F$2:$F$433,Acerto_Detalhado!$A$2:$A$433,$C3755,Acerto_Detalhado!$B$2:$B$433,"Out",Acerto_Detalhado!$C$2:$C$433,"Umidade"))*(SUMIFS(Acerto_Detalhado!$I$2:$I$433,Acerto_Detalhado!$A$2:$A$433,$D3755,Acerto_Detalhado!$B$2:$B$433,"Out",Acerto_Detalhado!$C$2:$C$433,"Umidade")),2)</f>
        <v>0</v>
      </c>
    </row>
    <row r="3756" customFormat="false" ht="15" hidden="false" customHeight="false" outlineLevel="0" collapsed="false">
      <c r="A3756" s="27" t="s">
        <v>120</v>
      </c>
      <c r="B3756" s="27" t="s">
        <v>110</v>
      </c>
      <c r="C3756" s="27" t="s">
        <v>44</v>
      </c>
      <c r="D3756" s="27" t="s">
        <v>39</v>
      </c>
      <c r="E3756" s="28" t="n">
        <f aca="false">ROUND((SUMIFS(Acerto_Detalhado!$F$2:$F$433,Acerto_Detalhado!$A$2:$A$433,$C3756,Acerto_Detalhado!$B$2:$B$433,"Out",Acerto_Detalhado!$C$2:$C$433,"Umidade"))*(SUMIFS(Acerto_Detalhado!$I$2:$I$433,Acerto_Detalhado!$A$2:$A$433,$D3756,Acerto_Detalhado!$B$2:$B$433,"Out",Acerto_Detalhado!$C$2:$C$433,"Umidade")),2)</f>
        <v>0</v>
      </c>
    </row>
    <row r="3757" customFormat="false" ht="15" hidden="false" customHeight="false" outlineLevel="0" collapsed="false">
      <c r="A3757" s="27" t="s">
        <v>120</v>
      </c>
      <c r="B3757" s="27" t="s">
        <v>110</v>
      </c>
      <c r="C3757" s="27" t="s">
        <v>44</v>
      </c>
      <c r="D3757" s="27" t="s">
        <v>40</v>
      </c>
      <c r="E3757" s="28" t="n">
        <f aca="false">ROUND((SUMIFS(Acerto_Detalhado!$F$2:$F$433,Acerto_Detalhado!$A$2:$A$433,$C3757,Acerto_Detalhado!$B$2:$B$433,"Out",Acerto_Detalhado!$C$2:$C$433,"Umidade"))*(SUMIFS(Acerto_Detalhado!$I$2:$I$433,Acerto_Detalhado!$A$2:$A$433,$D3757,Acerto_Detalhado!$B$2:$B$433,"Out",Acerto_Detalhado!$C$2:$C$433,"Umidade")),2)</f>
        <v>0</v>
      </c>
    </row>
    <row r="3758" customFormat="false" ht="15" hidden="false" customHeight="false" outlineLevel="0" collapsed="false">
      <c r="A3758" s="27" t="s">
        <v>120</v>
      </c>
      <c r="B3758" s="27" t="s">
        <v>110</v>
      </c>
      <c r="C3758" s="27" t="s">
        <v>44</v>
      </c>
      <c r="D3758" s="27" t="s">
        <v>41</v>
      </c>
      <c r="E3758" s="28" t="n">
        <f aca="false">ROUND((SUMIFS(Acerto_Detalhado!$F$2:$F$433,Acerto_Detalhado!$A$2:$A$433,$C3758,Acerto_Detalhado!$B$2:$B$433,"Out",Acerto_Detalhado!$C$2:$C$433,"Umidade"))*(SUMIFS(Acerto_Detalhado!$I$2:$I$433,Acerto_Detalhado!$A$2:$A$433,$D3758,Acerto_Detalhado!$B$2:$B$433,"Out",Acerto_Detalhado!$C$2:$C$433,"Umidade")),2)</f>
        <v>0</v>
      </c>
    </row>
    <row r="3759" customFormat="false" ht="15" hidden="false" customHeight="false" outlineLevel="0" collapsed="false">
      <c r="A3759" s="27" t="s">
        <v>120</v>
      </c>
      <c r="B3759" s="27" t="s">
        <v>110</v>
      </c>
      <c r="C3759" s="27" t="s">
        <v>44</v>
      </c>
      <c r="D3759" s="27" t="s">
        <v>42</v>
      </c>
      <c r="E3759" s="28" t="n">
        <f aca="false">ROUND((SUMIFS(Acerto_Detalhado!$F$2:$F$433,Acerto_Detalhado!$A$2:$A$433,$C3759,Acerto_Detalhado!$B$2:$B$433,"Out",Acerto_Detalhado!$C$2:$C$433,"Umidade"))*(SUMIFS(Acerto_Detalhado!$I$2:$I$433,Acerto_Detalhado!$A$2:$A$433,$D3759,Acerto_Detalhado!$B$2:$B$433,"Out",Acerto_Detalhado!$C$2:$C$433,"Umidade")),2)</f>
        <v>0</v>
      </c>
    </row>
    <row r="3760" customFormat="false" ht="15" hidden="false" customHeight="false" outlineLevel="0" collapsed="false">
      <c r="A3760" s="27" t="s">
        <v>120</v>
      </c>
      <c r="B3760" s="27" t="s">
        <v>110</v>
      </c>
      <c r="C3760" s="27" t="s">
        <v>44</v>
      </c>
      <c r="D3760" s="27" t="s">
        <v>43</v>
      </c>
      <c r="E3760" s="28" t="n">
        <f aca="false">ROUND((SUMIFS(Acerto_Detalhado!$F$2:$F$433,Acerto_Detalhado!$A$2:$A$433,$C3760,Acerto_Detalhado!$B$2:$B$433,"Out",Acerto_Detalhado!$C$2:$C$433,"Umidade"))*(SUMIFS(Acerto_Detalhado!$I$2:$I$433,Acerto_Detalhado!$A$2:$A$433,$D3760,Acerto_Detalhado!$B$2:$B$433,"Out",Acerto_Detalhado!$C$2:$C$433,"Umidade")),2)</f>
        <v>0</v>
      </c>
    </row>
    <row r="3761" customFormat="false" ht="15" hidden="false" customHeight="false" outlineLevel="0" collapsed="false">
      <c r="A3761" s="27" t="s">
        <v>120</v>
      </c>
      <c r="B3761" s="27" t="s">
        <v>110</v>
      </c>
      <c r="C3761" s="27" t="s">
        <v>44</v>
      </c>
      <c r="D3761" s="27" t="s">
        <v>45</v>
      </c>
      <c r="E3761" s="28" t="n">
        <f aca="false">ROUND((SUMIFS(Acerto_Detalhado!$F$2:$F$433,Acerto_Detalhado!$A$2:$A$433,$C3761,Acerto_Detalhado!$B$2:$B$433,"Out",Acerto_Detalhado!$C$2:$C$433,"Umidade"))*(SUMIFS(Acerto_Detalhado!$I$2:$I$433,Acerto_Detalhado!$A$2:$A$433,$D3761,Acerto_Detalhado!$B$2:$B$433,"Out",Acerto_Detalhado!$C$2:$C$433,"Umidade")),2)</f>
        <v>0</v>
      </c>
    </row>
    <row r="3762" customFormat="false" ht="15" hidden="false" customHeight="false" outlineLevel="0" collapsed="false">
      <c r="A3762" s="27" t="s">
        <v>120</v>
      </c>
      <c r="B3762" s="27" t="s">
        <v>110</v>
      </c>
      <c r="C3762" s="27" t="s">
        <v>44</v>
      </c>
      <c r="D3762" s="27" t="s">
        <v>46</v>
      </c>
      <c r="E3762" s="28" t="n">
        <f aca="false">ROUND((SUMIFS(Acerto_Detalhado!$F$2:$F$433,Acerto_Detalhado!$A$2:$A$433,$C3762,Acerto_Detalhado!$B$2:$B$433,"Out",Acerto_Detalhado!$C$2:$C$433,"Umidade"))*(SUMIFS(Acerto_Detalhado!$I$2:$I$433,Acerto_Detalhado!$A$2:$A$433,$D3762,Acerto_Detalhado!$B$2:$B$433,"Out",Acerto_Detalhado!$C$2:$C$433,"Umidade")),2)</f>
        <v>0</v>
      </c>
    </row>
    <row r="3763" customFormat="false" ht="15" hidden="false" customHeight="false" outlineLevel="0" collapsed="false">
      <c r="A3763" s="27" t="s">
        <v>120</v>
      </c>
      <c r="B3763" s="27" t="s">
        <v>110</v>
      </c>
      <c r="C3763" s="27" t="s">
        <v>44</v>
      </c>
      <c r="D3763" s="27" t="s">
        <v>47</v>
      </c>
      <c r="E3763" s="28" t="n">
        <f aca="false">ROUND((SUMIFS(Acerto_Detalhado!$F$2:$F$433,Acerto_Detalhado!$A$2:$A$433,$C3763,Acerto_Detalhado!$B$2:$B$433,"Out",Acerto_Detalhado!$C$2:$C$433,"Umidade"))*(SUMIFS(Acerto_Detalhado!$I$2:$I$433,Acerto_Detalhado!$A$2:$A$433,$D3763,Acerto_Detalhado!$B$2:$B$433,"Out",Acerto_Detalhado!$C$2:$C$433,"Umidade")),2)</f>
        <v>0</v>
      </c>
    </row>
    <row r="3764" customFormat="false" ht="15" hidden="false" customHeight="false" outlineLevel="0" collapsed="false">
      <c r="A3764" s="27" t="s">
        <v>120</v>
      </c>
      <c r="B3764" s="27" t="s">
        <v>110</v>
      </c>
      <c r="C3764" s="27" t="s">
        <v>44</v>
      </c>
      <c r="D3764" s="27" t="s">
        <v>48</v>
      </c>
      <c r="E3764" s="28" t="n">
        <f aca="false">ROUND((SUMIFS(Acerto_Detalhado!$F$2:$F$433,Acerto_Detalhado!$A$2:$A$433,$C3764,Acerto_Detalhado!$B$2:$B$433,"Out",Acerto_Detalhado!$C$2:$C$433,"Umidade"))*(SUMIFS(Acerto_Detalhado!$I$2:$I$433,Acerto_Detalhado!$A$2:$A$433,$D3764,Acerto_Detalhado!$B$2:$B$433,"Out",Acerto_Detalhado!$C$2:$C$433,"Umidade")),2)</f>
        <v>0</v>
      </c>
    </row>
    <row r="3765" customFormat="false" ht="15" hidden="false" customHeight="false" outlineLevel="0" collapsed="false">
      <c r="A3765" s="27" t="s">
        <v>120</v>
      </c>
      <c r="B3765" s="27" t="s">
        <v>110</v>
      </c>
      <c r="C3765" s="27" t="s">
        <v>44</v>
      </c>
      <c r="D3765" s="27" t="s">
        <v>49</v>
      </c>
      <c r="E3765" s="28" t="n">
        <f aca="false">ROUND((SUMIFS(Acerto_Detalhado!$F$2:$F$433,Acerto_Detalhado!$A$2:$A$433,$C3765,Acerto_Detalhado!$B$2:$B$433,"Out",Acerto_Detalhado!$C$2:$C$433,"Umidade"))*(SUMIFS(Acerto_Detalhado!$I$2:$I$433,Acerto_Detalhado!$A$2:$A$433,$D3765,Acerto_Detalhado!$B$2:$B$433,"Out",Acerto_Detalhado!$C$2:$C$433,"Umidade")),2)</f>
        <v>0</v>
      </c>
    </row>
    <row r="3766" customFormat="false" ht="15" hidden="false" customHeight="false" outlineLevel="0" collapsed="false">
      <c r="A3766" s="27" t="s">
        <v>120</v>
      </c>
      <c r="B3766" s="27" t="s">
        <v>110</v>
      </c>
      <c r="C3766" s="27" t="s">
        <v>44</v>
      </c>
      <c r="D3766" s="27" t="s">
        <v>50</v>
      </c>
      <c r="E3766" s="28" t="n">
        <f aca="false">ROUND((SUMIFS(Acerto_Detalhado!$F$2:$F$433,Acerto_Detalhado!$A$2:$A$433,$C3766,Acerto_Detalhado!$B$2:$B$433,"Out",Acerto_Detalhado!$C$2:$C$433,"Umidade"))*(SUMIFS(Acerto_Detalhado!$I$2:$I$433,Acerto_Detalhado!$A$2:$A$433,$D3766,Acerto_Detalhado!$B$2:$B$433,"Out",Acerto_Detalhado!$C$2:$C$433,"Umidade")),2)</f>
        <v>0</v>
      </c>
    </row>
    <row r="3767" customFormat="false" ht="15" hidden="false" customHeight="false" outlineLevel="0" collapsed="false">
      <c r="A3767" s="27" t="s">
        <v>120</v>
      </c>
      <c r="B3767" s="27" t="s">
        <v>110</v>
      </c>
      <c r="C3767" s="27" t="s">
        <v>45</v>
      </c>
      <c r="D3767" s="27" t="s">
        <v>39</v>
      </c>
      <c r="E3767" s="28" t="n">
        <f aca="false">ROUND((SUMIFS(Acerto_Detalhado!$F$2:$F$433,Acerto_Detalhado!$A$2:$A$433,$C3767,Acerto_Detalhado!$B$2:$B$433,"Out",Acerto_Detalhado!$C$2:$C$433,"Umidade"))*(SUMIFS(Acerto_Detalhado!$I$2:$I$433,Acerto_Detalhado!$A$2:$A$433,$D3767,Acerto_Detalhado!$B$2:$B$433,"Out",Acerto_Detalhado!$C$2:$C$433,"Umidade")),2)</f>
        <v>0</v>
      </c>
    </row>
    <row r="3768" customFormat="false" ht="15" hidden="false" customHeight="false" outlineLevel="0" collapsed="false">
      <c r="A3768" s="27" t="s">
        <v>120</v>
      </c>
      <c r="B3768" s="27" t="s">
        <v>110</v>
      </c>
      <c r="C3768" s="27" t="s">
        <v>45</v>
      </c>
      <c r="D3768" s="27" t="s">
        <v>40</v>
      </c>
      <c r="E3768" s="28" t="n">
        <f aca="false">ROUND((SUMIFS(Acerto_Detalhado!$F$2:$F$433,Acerto_Detalhado!$A$2:$A$433,$C3768,Acerto_Detalhado!$B$2:$B$433,"Out",Acerto_Detalhado!$C$2:$C$433,"Umidade"))*(SUMIFS(Acerto_Detalhado!$I$2:$I$433,Acerto_Detalhado!$A$2:$A$433,$D3768,Acerto_Detalhado!$B$2:$B$433,"Out",Acerto_Detalhado!$C$2:$C$433,"Umidade")),2)</f>
        <v>0</v>
      </c>
    </row>
    <row r="3769" customFormat="false" ht="15" hidden="false" customHeight="false" outlineLevel="0" collapsed="false">
      <c r="A3769" s="27" t="s">
        <v>120</v>
      </c>
      <c r="B3769" s="27" t="s">
        <v>110</v>
      </c>
      <c r="C3769" s="27" t="s">
        <v>45</v>
      </c>
      <c r="D3769" s="27" t="s">
        <v>41</v>
      </c>
      <c r="E3769" s="28" t="n">
        <f aca="false">ROUND((SUMIFS(Acerto_Detalhado!$F$2:$F$433,Acerto_Detalhado!$A$2:$A$433,$C3769,Acerto_Detalhado!$B$2:$B$433,"Out",Acerto_Detalhado!$C$2:$C$433,"Umidade"))*(SUMIFS(Acerto_Detalhado!$I$2:$I$433,Acerto_Detalhado!$A$2:$A$433,$D3769,Acerto_Detalhado!$B$2:$B$433,"Out",Acerto_Detalhado!$C$2:$C$433,"Umidade")),2)</f>
        <v>0</v>
      </c>
    </row>
    <row r="3770" customFormat="false" ht="15" hidden="false" customHeight="false" outlineLevel="0" collapsed="false">
      <c r="A3770" s="27" t="s">
        <v>120</v>
      </c>
      <c r="B3770" s="27" t="s">
        <v>110</v>
      </c>
      <c r="C3770" s="27" t="s">
        <v>45</v>
      </c>
      <c r="D3770" s="27" t="s">
        <v>42</v>
      </c>
      <c r="E3770" s="28" t="n">
        <f aca="false">ROUND((SUMIFS(Acerto_Detalhado!$F$2:$F$433,Acerto_Detalhado!$A$2:$A$433,$C3770,Acerto_Detalhado!$B$2:$B$433,"Out",Acerto_Detalhado!$C$2:$C$433,"Umidade"))*(SUMIFS(Acerto_Detalhado!$I$2:$I$433,Acerto_Detalhado!$A$2:$A$433,$D3770,Acerto_Detalhado!$B$2:$B$433,"Out",Acerto_Detalhado!$C$2:$C$433,"Umidade")),2)</f>
        <v>0</v>
      </c>
    </row>
    <row r="3771" customFormat="false" ht="15" hidden="false" customHeight="false" outlineLevel="0" collapsed="false">
      <c r="A3771" s="27" t="s">
        <v>120</v>
      </c>
      <c r="B3771" s="27" t="s">
        <v>110</v>
      </c>
      <c r="C3771" s="27" t="s">
        <v>45</v>
      </c>
      <c r="D3771" s="27" t="s">
        <v>43</v>
      </c>
      <c r="E3771" s="28" t="n">
        <f aca="false">ROUND((SUMIFS(Acerto_Detalhado!$F$2:$F$433,Acerto_Detalhado!$A$2:$A$433,$C3771,Acerto_Detalhado!$B$2:$B$433,"Out",Acerto_Detalhado!$C$2:$C$433,"Umidade"))*(SUMIFS(Acerto_Detalhado!$I$2:$I$433,Acerto_Detalhado!$A$2:$A$433,$D3771,Acerto_Detalhado!$B$2:$B$433,"Out",Acerto_Detalhado!$C$2:$C$433,"Umidade")),2)</f>
        <v>0</v>
      </c>
    </row>
    <row r="3772" customFormat="false" ht="15" hidden="false" customHeight="false" outlineLevel="0" collapsed="false">
      <c r="A3772" s="27" t="s">
        <v>120</v>
      </c>
      <c r="B3772" s="27" t="s">
        <v>110</v>
      </c>
      <c r="C3772" s="27" t="s">
        <v>45</v>
      </c>
      <c r="D3772" s="27" t="s">
        <v>44</v>
      </c>
      <c r="E3772" s="28" t="n">
        <f aca="false">ROUND((SUMIFS(Acerto_Detalhado!$F$2:$F$433,Acerto_Detalhado!$A$2:$A$433,$C3772,Acerto_Detalhado!$B$2:$B$433,"Out",Acerto_Detalhado!$C$2:$C$433,"Umidade"))*(SUMIFS(Acerto_Detalhado!$I$2:$I$433,Acerto_Detalhado!$A$2:$A$433,$D3772,Acerto_Detalhado!$B$2:$B$433,"Out",Acerto_Detalhado!$C$2:$C$433,"Umidade")),2)</f>
        <v>0</v>
      </c>
    </row>
    <row r="3773" customFormat="false" ht="15" hidden="false" customHeight="false" outlineLevel="0" collapsed="false">
      <c r="A3773" s="27" t="s">
        <v>120</v>
      </c>
      <c r="B3773" s="27" t="s">
        <v>110</v>
      </c>
      <c r="C3773" s="27" t="s">
        <v>45</v>
      </c>
      <c r="D3773" s="27" t="s">
        <v>46</v>
      </c>
      <c r="E3773" s="28" t="n">
        <f aca="false">ROUND((SUMIFS(Acerto_Detalhado!$F$2:$F$433,Acerto_Detalhado!$A$2:$A$433,$C3773,Acerto_Detalhado!$B$2:$B$433,"Out",Acerto_Detalhado!$C$2:$C$433,"Umidade"))*(SUMIFS(Acerto_Detalhado!$I$2:$I$433,Acerto_Detalhado!$A$2:$A$433,$D3773,Acerto_Detalhado!$B$2:$B$433,"Out",Acerto_Detalhado!$C$2:$C$433,"Umidade")),2)</f>
        <v>0</v>
      </c>
    </row>
    <row r="3774" customFormat="false" ht="15" hidden="false" customHeight="false" outlineLevel="0" collapsed="false">
      <c r="A3774" s="27" t="s">
        <v>120</v>
      </c>
      <c r="B3774" s="27" t="s">
        <v>110</v>
      </c>
      <c r="C3774" s="27" t="s">
        <v>45</v>
      </c>
      <c r="D3774" s="27" t="s">
        <v>47</v>
      </c>
      <c r="E3774" s="28" t="n">
        <f aca="false">ROUND((SUMIFS(Acerto_Detalhado!$F$2:$F$433,Acerto_Detalhado!$A$2:$A$433,$C3774,Acerto_Detalhado!$B$2:$B$433,"Out",Acerto_Detalhado!$C$2:$C$433,"Umidade"))*(SUMIFS(Acerto_Detalhado!$I$2:$I$433,Acerto_Detalhado!$A$2:$A$433,$D3774,Acerto_Detalhado!$B$2:$B$433,"Out",Acerto_Detalhado!$C$2:$C$433,"Umidade")),2)</f>
        <v>0</v>
      </c>
    </row>
    <row r="3775" customFormat="false" ht="15" hidden="false" customHeight="false" outlineLevel="0" collapsed="false">
      <c r="A3775" s="27" t="s">
        <v>120</v>
      </c>
      <c r="B3775" s="27" t="s">
        <v>110</v>
      </c>
      <c r="C3775" s="27" t="s">
        <v>45</v>
      </c>
      <c r="D3775" s="27" t="s">
        <v>48</v>
      </c>
      <c r="E3775" s="28" t="n">
        <f aca="false">ROUND((SUMIFS(Acerto_Detalhado!$F$2:$F$433,Acerto_Detalhado!$A$2:$A$433,$C3775,Acerto_Detalhado!$B$2:$B$433,"Out",Acerto_Detalhado!$C$2:$C$433,"Umidade"))*(SUMIFS(Acerto_Detalhado!$I$2:$I$433,Acerto_Detalhado!$A$2:$A$433,$D3775,Acerto_Detalhado!$B$2:$B$433,"Out",Acerto_Detalhado!$C$2:$C$433,"Umidade")),2)</f>
        <v>0</v>
      </c>
    </row>
    <row r="3776" customFormat="false" ht="15" hidden="false" customHeight="false" outlineLevel="0" collapsed="false">
      <c r="A3776" s="27" t="s">
        <v>120</v>
      </c>
      <c r="B3776" s="27" t="s">
        <v>110</v>
      </c>
      <c r="C3776" s="27" t="s">
        <v>45</v>
      </c>
      <c r="D3776" s="27" t="s">
        <v>49</v>
      </c>
      <c r="E3776" s="28" t="n">
        <f aca="false">ROUND((SUMIFS(Acerto_Detalhado!$F$2:$F$433,Acerto_Detalhado!$A$2:$A$433,$C3776,Acerto_Detalhado!$B$2:$B$433,"Out",Acerto_Detalhado!$C$2:$C$433,"Umidade"))*(SUMIFS(Acerto_Detalhado!$I$2:$I$433,Acerto_Detalhado!$A$2:$A$433,$D3776,Acerto_Detalhado!$B$2:$B$433,"Out",Acerto_Detalhado!$C$2:$C$433,"Umidade")),2)</f>
        <v>0</v>
      </c>
    </row>
    <row r="3777" customFormat="false" ht="15" hidden="false" customHeight="false" outlineLevel="0" collapsed="false">
      <c r="A3777" s="27" t="s">
        <v>120</v>
      </c>
      <c r="B3777" s="27" t="s">
        <v>110</v>
      </c>
      <c r="C3777" s="27" t="s">
        <v>45</v>
      </c>
      <c r="D3777" s="27" t="s">
        <v>50</v>
      </c>
      <c r="E3777" s="28" t="n">
        <f aca="false">ROUND((SUMIFS(Acerto_Detalhado!$F$2:$F$433,Acerto_Detalhado!$A$2:$A$433,$C3777,Acerto_Detalhado!$B$2:$B$433,"Out",Acerto_Detalhado!$C$2:$C$433,"Umidade"))*(SUMIFS(Acerto_Detalhado!$I$2:$I$433,Acerto_Detalhado!$A$2:$A$433,$D3777,Acerto_Detalhado!$B$2:$B$433,"Out",Acerto_Detalhado!$C$2:$C$433,"Umidade")),2)</f>
        <v>0</v>
      </c>
    </row>
    <row r="3778" customFormat="false" ht="15" hidden="false" customHeight="false" outlineLevel="0" collapsed="false">
      <c r="A3778" s="27" t="s">
        <v>120</v>
      </c>
      <c r="B3778" s="27" t="s">
        <v>110</v>
      </c>
      <c r="C3778" s="27" t="s">
        <v>46</v>
      </c>
      <c r="D3778" s="27" t="s">
        <v>39</v>
      </c>
      <c r="E3778" s="28" t="n">
        <f aca="false">ROUND((SUMIFS(Acerto_Detalhado!$F$2:$F$433,Acerto_Detalhado!$A$2:$A$433,$C3778,Acerto_Detalhado!$B$2:$B$433,"Out",Acerto_Detalhado!$C$2:$C$433,"Umidade"))*(SUMIFS(Acerto_Detalhado!$I$2:$I$433,Acerto_Detalhado!$A$2:$A$433,$D3778,Acerto_Detalhado!$B$2:$B$433,"Out",Acerto_Detalhado!$C$2:$C$433,"Umidade")),2)</f>
        <v>0</v>
      </c>
    </row>
    <row r="3779" customFormat="false" ht="15" hidden="false" customHeight="false" outlineLevel="0" collapsed="false">
      <c r="A3779" s="27" t="s">
        <v>120</v>
      </c>
      <c r="B3779" s="27" t="s">
        <v>110</v>
      </c>
      <c r="C3779" s="27" t="s">
        <v>46</v>
      </c>
      <c r="D3779" s="27" t="s">
        <v>40</v>
      </c>
      <c r="E3779" s="28" t="n">
        <f aca="false">ROUND((SUMIFS(Acerto_Detalhado!$F$2:$F$433,Acerto_Detalhado!$A$2:$A$433,$C3779,Acerto_Detalhado!$B$2:$B$433,"Out",Acerto_Detalhado!$C$2:$C$433,"Umidade"))*(SUMIFS(Acerto_Detalhado!$I$2:$I$433,Acerto_Detalhado!$A$2:$A$433,$D3779,Acerto_Detalhado!$B$2:$B$433,"Out",Acerto_Detalhado!$C$2:$C$433,"Umidade")),2)</f>
        <v>0</v>
      </c>
    </row>
    <row r="3780" customFormat="false" ht="15" hidden="false" customHeight="false" outlineLevel="0" collapsed="false">
      <c r="A3780" s="27" t="s">
        <v>120</v>
      </c>
      <c r="B3780" s="27" t="s">
        <v>110</v>
      </c>
      <c r="C3780" s="27" t="s">
        <v>46</v>
      </c>
      <c r="D3780" s="27" t="s">
        <v>41</v>
      </c>
      <c r="E3780" s="28" t="n">
        <f aca="false">ROUND((SUMIFS(Acerto_Detalhado!$F$2:$F$433,Acerto_Detalhado!$A$2:$A$433,$C3780,Acerto_Detalhado!$B$2:$B$433,"Out",Acerto_Detalhado!$C$2:$C$433,"Umidade"))*(SUMIFS(Acerto_Detalhado!$I$2:$I$433,Acerto_Detalhado!$A$2:$A$433,$D3780,Acerto_Detalhado!$B$2:$B$433,"Out",Acerto_Detalhado!$C$2:$C$433,"Umidade")),2)</f>
        <v>0</v>
      </c>
    </row>
    <row r="3781" customFormat="false" ht="15" hidden="false" customHeight="false" outlineLevel="0" collapsed="false">
      <c r="A3781" s="27" t="s">
        <v>120</v>
      </c>
      <c r="B3781" s="27" t="s">
        <v>110</v>
      </c>
      <c r="C3781" s="27" t="s">
        <v>46</v>
      </c>
      <c r="D3781" s="27" t="s">
        <v>42</v>
      </c>
      <c r="E3781" s="28" t="n">
        <f aca="false">ROUND((SUMIFS(Acerto_Detalhado!$F$2:$F$433,Acerto_Detalhado!$A$2:$A$433,$C3781,Acerto_Detalhado!$B$2:$B$433,"Out",Acerto_Detalhado!$C$2:$C$433,"Umidade"))*(SUMIFS(Acerto_Detalhado!$I$2:$I$433,Acerto_Detalhado!$A$2:$A$433,$D3781,Acerto_Detalhado!$B$2:$B$433,"Out",Acerto_Detalhado!$C$2:$C$433,"Umidade")),2)</f>
        <v>0</v>
      </c>
    </row>
    <row r="3782" customFormat="false" ht="15" hidden="false" customHeight="false" outlineLevel="0" collapsed="false">
      <c r="A3782" s="27" t="s">
        <v>120</v>
      </c>
      <c r="B3782" s="27" t="s">
        <v>110</v>
      </c>
      <c r="C3782" s="27" t="s">
        <v>46</v>
      </c>
      <c r="D3782" s="27" t="s">
        <v>43</v>
      </c>
      <c r="E3782" s="28" t="n">
        <f aca="false">ROUND((SUMIFS(Acerto_Detalhado!$F$2:$F$433,Acerto_Detalhado!$A$2:$A$433,$C3782,Acerto_Detalhado!$B$2:$B$433,"Out",Acerto_Detalhado!$C$2:$C$433,"Umidade"))*(SUMIFS(Acerto_Detalhado!$I$2:$I$433,Acerto_Detalhado!$A$2:$A$433,$D3782,Acerto_Detalhado!$B$2:$B$433,"Out",Acerto_Detalhado!$C$2:$C$433,"Umidade")),2)</f>
        <v>0</v>
      </c>
    </row>
    <row r="3783" customFormat="false" ht="15" hidden="false" customHeight="false" outlineLevel="0" collapsed="false">
      <c r="A3783" s="27" t="s">
        <v>120</v>
      </c>
      <c r="B3783" s="27" t="s">
        <v>110</v>
      </c>
      <c r="C3783" s="27" t="s">
        <v>46</v>
      </c>
      <c r="D3783" s="27" t="s">
        <v>44</v>
      </c>
      <c r="E3783" s="28" t="n">
        <f aca="false">ROUND((SUMIFS(Acerto_Detalhado!$F$2:$F$433,Acerto_Detalhado!$A$2:$A$433,$C3783,Acerto_Detalhado!$B$2:$B$433,"Out",Acerto_Detalhado!$C$2:$C$433,"Umidade"))*(SUMIFS(Acerto_Detalhado!$I$2:$I$433,Acerto_Detalhado!$A$2:$A$433,$D3783,Acerto_Detalhado!$B$2:$B$433,"Out",Acerto_Detalhado!$C$2:$C$433,"Umidade")),2)</f>
        <v>0</v>
      </c>
    </row>
    <row r="3784" customFormat="false" ht="15" hidden="false" customHeight="false" outlineLevel="0" collapsed="false">
      <c r="A3784" s="27" t="s">
        <v>120</v>
      </c>
      <c r="B3784" s="27" t="s">
        <v>110</v>
      </c>
      <c r="C3784" s="27" t="s">
        <v>46</v>
      </c>
      <c r="D3784" s="27" t="s">
        <v>45</v>
      </c>
      <c r="E3784" s="28" t="n">
        <f aca="false">ROUND((SUMIFS(Acerto_Detalhado!$F$2:$F$433,Acerto_Detalhado!$A$2:$A$433,$C3784,Acerto_Detalhado!$B$2:$B$433,"Out",Acerto_Detalhado!$C$2:$C$433,"Umidade"))*(SUMIFS(Acerto_Detalhado!$I$2:$I$433,Acerto_Detalhado!$A$2:$A$433,$D3784,Acerto_Detalhado!$B$2:$B$433,"Out",Acerto_Detalhado!$C$2:$C$433,"Umidade")),2)</f>
        <v>0</v>
      </c>
    </row>
    <row r="3785" customFormat="false" ht="15" hidden="false" customHeight="false" outlineLevel="0" collapsed="false">
      <c r="A3785" s="27" t="s">
        <v>120</v>
      </c>
      <c r="B3785" s="27" t="s">
        <v>110</v>
      </c>
      <c r="C3785" s="27" t="s">
        <v>46</v>
      </c>
      <c r="D3785" s="27" t="s">
        <v>47</v>
      </c>
      <c r="E3785" s="28" t="n">
        <f aca="false">ROUND((SUMIFS(Acerto_Detalhado!$F$2:$F$433,Acerto_Detalhado!$A$2:$A$433,$C3785,Acerto_Detalhado!$B$2:$B$433,"Out",Acerto_Detalhado!$C$2:$C$433,"Umidade"))*(SUMIFS(Acerto_Detalhado!$I$2:$I$433,Acerto_Detalhado!$A$2:$A$433,$D3785,Acerto_Detalhado!$B$2:$B$433,"Out",Acerto_Detalhado!$C$2:$C$433,"Umidade")),2)</f>
        <v>0</v>
      </c>
    </row>
    <row r="3786" customFormat="false" ht="15" hidden="false" customHeight="false" outlineLevel="0" collapsed="false">
      <c r="A3786" s="27" t="s">
        <v>120</v>
      </c>
      <c r="B3786" s="27" t="s">
        <v>110</v>
      </c>
      <c r="C3786" s="27" t="s">
        <v>46</v>
      </c>
      <c r="D3786" s="27" t="s">
        <v>48</v>
      </c>
      <c r="E3786" s="28" t="n">
        <f aca="false">ROUND((SUMIFS(Acerto_Detalhado!$F$2:$F$433,Acerto_Detalhado!$A$2:$A$433,$C3786,Acerto_Detalhado!$B$2:$B$433,"Out",Acerto_Detalhado!$C$2:$C$433,"Umidade"))*(SUMIFS(Acerto_Detalhado!$I$2:$I$433,Acerto_Detalhado!$A$2:$A$433,$D3786,Acerto_Detalhado!$B$2:$B$433,"Out",Acerto_Detalhado!$C$2:$C$433,"Umidade")),2)</f>
        <v>0</v>
      </c>
    </row>
    <row r="3787" customFormat="false" ht="15" hidden="false" customHeight="false" outlineLevel="0" collapsed="false">
      <c r="A3787" s="27" t="s">
        <v>120</v>
      </c>
      <c r="B3787" s="27" t="s">
        <v>110</v>
      </c>
      <c r="C3787" s="27" t="s">
        <v>46</v>
      </c>
      <c r="D3787" s="27" t="s">
        <v>49</v>
      </c>
      <c r="E3787" s="28" t="n">
        <f aca="false">ROUND((SUMIFS(Acerto_Detalhado!$F$2:$F$433,Acerto_Detalhado!$A$2:$A$433,$C3787,Acerto_Detalhado!$B$2:$B$433,"Out",Acerto_Detalhado!$C$2:$C$433,"Umidade"))*(SUMIFS(Acerto_Detalhado!$I$2:$I$433,Acerto_Detalhado!$A$2:$A$433,$D3787,Acerto_Detalhado!$B$2:$B$433,"Out",Acerto_Detalhado!$C$2:$C$433,"Umidade")),2)</f>
        <v>0</v>
      </c>
    </row>
    <row r="3788" customFormat="false" ht="15" hidden="false" customHeight="false" outlineLevel="0" collapsed="false">
      <c r="A3788" s="27" t="s">
        <v>120</v>
      </c>
      <c r="B3788" s="27" t="s">
        <v>110</v>
      </c>
      <c r="C3788" s="27" t="s">
        <v>46</v>
      </c>
      <c r="D3788" s="27" t="s">
        <v>50</v>
      </c>
      <c r="E3788" s="28" t="n">
        <f aca="false">ROUND((SUMIFS(Acerto_Detalhado!$F$2:$F$433,Acerto_Detalhado!$A$2:$A$433,$C3788,Acerto_Detalhado!$B$2:$B$433,"Out",Acerto_Detalhado!$C$2:$C$433,"Umidade"))*(SUMIFS(Acerto_Detalhado!$I$2:$I$433,Acerto_Detalhado!$A$2:$A$433,$D3788,Acerto_Detalhado!$B$2:$B$433,"Out",Acerto_Detalhado!$C$2:$C$433,"Umidade")),2)</f>
        <v>0</v>
      </c>
    </row>
    <row r="3789" customFormat="false" ht="15" hidden="false" customHeight="false" outlineLevel="0" collapsed="false">
      <c r="A3789" s="27" t="s">
        <v>120</v>
      </c>
      <c r="B3789" s="27" t="s">
        <v>110</v>
      </c>
      <c r="C3789" s="27" t="s">
        <v>47</v>
      </c>
      <c r="D3789" s="27" t="s">
        <v>39</v>
      </c>
      <c r="E3789" s="28" t="n">
        <f aca="false">ROUND((SUMIFS(Acerto_Detalhado!$F$2:$F$433,Acerto_Detalhado!$A$2:$A$433,$C3789,Acerto_Detalhado!$B$2:$B$433,"Out",Acerto_Detalhado!$C$2:$C$433,"Umidade"))*(SUMIFS(Acerto_Detalhado!$I$2:$I$433,Acerto_Detalhado!$A$2:$A$433,$D3789,Acerto_Detalhado!$B$2:$B$433,"Out",Acerto_Detalhado!$C$2:$C$433,"Umidade")),2)</f>
        <v>0</v>
      </c>
    </row>
    <row r="3790" customFormat="false" ht="15" hidden="false" customHeight="false" outlineLevel="0" collapsed="false">
      <c r="A3790" s="27" t="s">
        <v>120</v>
      </c>
      <c r="B3790" s="27" t="s">
        <v>110</v>
      </c>
      <c r="C3790" s="27" t="s">
        <v>47</v>
      </c>
      <c r="D3790" s="27" t="s">
        <v>40</v>
      </c>
      <c r="E3790" s="28" t="n">
        <f aca="false">ROUND((SUMIFS(Acerto_Detalhado!$F$2:$F$433,Acerto_Detalhado!$A$2:$A$433,$C3790,Acerto_Detalhado!$B$2:$B$433,"Out",Acerto_Detalhado!$C$2:$C$433,"Umidade"))*(SUMIFS(Acerto_Detalhado!$I$2:$I$433,Acerto_Detalhado!$A$2:$A$433,$D3790,Acerto_Detalhado!$B$2:$B$433,"Out",Acerto_Detalhado!$C$2:$C$433,"Umidade")),2)</f>
        <v>0</v>
      </c>
    </row>
    <row r="3791" customFormat="false" ht="15" hidden="false" customHeight="false" outlineLevel="0" collapsed="false">
      <c r="A3791" s="27" t="s">
        <v>120</v>
      </c>
      <c r="B3791" s="27" t="s">
        <v>110</v>
      </c>
      <c r="C3791" s="27" t="s">
        <v>47</v>
      </c>
      <c r="D3791" s="27" t="s">
        <v>41</v>
      </c>
      <c r="E3791" s="28" t="n">
        <f aca="false">ROUND((SUMIFS(Acerto_Detalhado!$F$2:$F$433,Acerto_Detalhado!$A$2:$A$433,$C3791,Acerto_Detalhado!$B$2:$B$433,"Out",Acerto_Detalhado!$C$2:$C$433,"Umidade"))*(SUMIFS(Acerto_Detalhado!$I$2:$I$433,Acerto_Detalhado!$A$2:$A$433,$D3791,Acerto_Detalhado!$B$2:$B$433,"Out",Acerto_Detalhado!$C$2:$C$433,"Umidade")),2)</f>
        <v>0</v>
      </c>
    </row>
    <row r="3792" customFormat="false" ht="15" hidden="false" customHeight="false" outlineLevel="0" collapsed="false">
      <c r="A3792" s="27" t="s">
        <v>120</v>
      </c>
      <c r="B3792" s="27" t="s">
        <v>110</v>
      </c>
      <c r="C3792" s="27" t="s">
        <v>47</v>
      </c>
      <c r="D3792" s="27" t="s">
        <v>42</v>
      </c>
      <c r="E3792" s="28" t="n">
        <f aca="false">ROUND((SUMIFS(Acerto_Detalhado!$F$2:$F$433,Acerto_Detalhado!$A$2:$A$433,$C3792,Acerto_Detalhado!$B$2:$B$433,"Out",Acerto_Detalhado!$C$2:$C$433,"Umidade"))*(SUMIFS(Acerto_Detalhado!$I$2:$I$433,Acerto_Detalhado!$A$2:$A$433,$D3792,Acerto_Detalhado!$B$2:$B$433,"Out",Acerto_Detalhado!$C$2:$C$433,"Umidade")),2)</f>
        <v>0</v>
      </c>
    </row>
    <row r="3793" customFormat="false" ht="15" hidden="false" customHeight="false" outlineLevel="0" collapsed="false">
      <c r="A3793" s="27" t="s">
        <v>120</v>
      </c>
      <c r="B3793" s="27" t="s">
        <v>110</v>
      </c>
      <c r="C3793" s="27" t="s">
        <v>47</v>
      </c>
      <c r="D3793" s="27" t="s">
        <v>43</v>
      </c>
      <c r="E3793" s="28" t="n">
        <f aca="false">ROUND((SUMIFS(Acerto_Detalhado!$F$2:$F$433,Acerto_Detalhado!$A$2:$A$433,$C3793,Acerto_Detalhado!$B$2:$B$433,"Out",Acerto_Detalhado!$C$2:$C$433,"Umidade"))*(SUMIFS(Acerto_Detalhado!$I$2:$I$433,Acerto_Detalhado!$A$2:$A$433,$D3793,Acerto_Detalhado!$B$2:$B$433,"Out",Acerto_Detalhado!$C$2:$C$433,"Umidade")),2)</f>
        <v>0</v>
      </c>
    </row>
    <row r="3794" customFormat="false" ht="15" hidden="false" customHeight="false" outlineLevel="0" collapsed="false">
      <c r="A3794" s="27" t="s">
        <v>120</v>
      </c>
      <c r="B3794" s="27" t="s">
        <v>110</v>
      </c>
      <c r="C3794" s="27" t="s">
        <v>47</v>
      </c>
      <c r="D3794" s="27" t="s">
        <v>44</v>
      </c>
      <c r="E3794" s="28" t="n">
        <f aca="false">ROUND((SUMIFS(Acerto_Detalhado!$F$2:$F$433,Acerto_Detalhado!$A$2:$A$433,$C3794,Acerto_Detalhado!$B$2:$B$433,"Out",Acerto_Detalhado!$C$2:$C$433,"Umidade"))*(SUMIFS(Acerto_Detalhado!$I$2:$I$433,Acerto_Detalhado!$A$2:$A$433,$D3794,Acerto_Detalhado!$B$2:$B$433,"Out",Acerto_Detalhado!$C$2:$C$433,"Umidade")),2)</f>
        <v>0</v>
      </c>
    </row>
    <row r="3795" customFormat="false" ht="15" hidden="false" customHeight="false" outlineLevel="0" collapsed="false">
      <c r="A3795" s="27" t="s">
        <v>120</v>
      </c>
      <c r="B3795" s="27" t="s">
        <v>110</v>
      </c>
      <c r="C3795" s="27" t="s">
        <v>47</v>
      </c>
      <c r="D3795" s="27" t="s">
        <v>45</v>
      </c>
      <c r="E3795" s="28" t="n">
        <f aca="false">ROUND((SUMIFS(Acerto_Detalhado!$F$2:$F$433,Acerto_Detalhado!$A$2:$A$433,$C3795,Acerto_Detalhado!$B$2:$B$433,"Out",Acerto_Detalhado!$C$2:$C$433,"Umidade"))*(SUMIFS(Acerto_Detalhado!$I$2:$I$433,Acerto_Detalhado!$A$2:$A$433,$D3795,Acerto_Detalhado!$B$2:$B$433,"Out",Acerto_Detalhado!$C$2:$C$433,"Umidade")),2)</f>
        <v>0</v>
      </c>
    </row>
    <row r="3796" customFormat="false" ht="15" hidden="false" customHeight="false" outlineLevel="0" collapsed="false">
      <c r="A3796" s="27" t="s">
        <v>120</v>
      </c>
      <c r="B3796" s="27" t="s">
        <v>110</v>
      </c>
      <c r="C3796" s="27" t="s">
        <v>47</v>
      </c>
      <c r="D3796" s="27" t="s">
        <v>46</v>
      </c>
      <c r="E3796" s="28" t="n">
        <f aca="false">ROUND((SUMIFS(Acerto_Detalhado!$F$2:$F$433,Acerto_Detalhado!$A$2:$A$433,$C3796,Acerto_Detalhado!$B$2:$B$433,"Out",Acerto_Detalhado!$C$2:$C$433,"Umidade"))*(SUMIFS(Acerto_Detalhado!$I$2:$I$433,Acerto_Detalhado!$A$2:$A$433,$D3796,Acerto_Detalhado!$B$2:$B$433,"Out",Acerto_Detalhado!$C$2:$C$433,"Umidade")),2)</f>
        <v>0</v>
      </c>
    </row>
    <row r="3797" customFormat="false" ht="15" hidden="false" customHeight="false" outlineLevel="0" collapsed="false">
      <c r="A3797" s="27" t="s">
        <v>120</v>
      </c>
      <c r="B3797" s="27" t="s">
        <v>110</v>
      </c>
      <c r="C3797" s="27" t="s">
        <v>47</v>
      </c>
      <c r="D3797" s="27" t="s">
        <v>48</v>
      </c>
      <c r="E3797" s="28" t="n">
        <f aca="false">ROUND((SUMIFS(Acerto_Detalhado!$F$2:$F$433,Acerto_Detalhado!$A$2:$A$433,$C3797,Acerto_Detalhado!$B$2:$B$433,"Out",Acerto_Detalhado!$C$2:$C$433,"Umidade"))*(SUMIFS(Acerto_Detalhado!$I$2:$I$433,Acerto_Detalhado!$A$2:$A$433,$D3797,Acerto_Detalhado!$B$2:$B$433,"Out",Acerto_Detalhado!$C$2:$C$433,"Umidade")),2)</f>
        <v>0</v>
      </c>
    </row>
    <row r="3798" customFormat="false" ht="15" hidden="false" customHeight="false" outlineLevel="0" collapsed="false">
      <c r="A3798" s="27" t="s">
        <v>120</v>
      </c>
      <c r="B3798" s="27" t="s">
        <v>110</v>
      </c>
      <c r="C3798" s="27" t="s">
        <v>47</v>
      </c>
      <c r="D3798" s="27" t="s">
        <v>49</v>
      </c>
      <c r="E3798" s="28" t="n">
        <f aca="false">ROUND((SUMIFS(Acerto_Detalhado!$F$2:$F$433,Acerto_Detalhado!$A$2:$A$433,$C3798,Acerto_Detalhado!$B$2:$B$433,"Out",Acerto_Detalhado!$C$2:$C$433,"Umidade"))*(SUMIFS(Acerto_Detalhado!$I$2:$I$433,Acerto_Detalhado!$A$2:$A$433,$D3798,Acerto_Detalhado!$B$2:$B$433,"Out",Acerto_Detalhado!$C$2:$C$433,"Umidade")),2)</f>
        <v>0</v>
      </c>
    </row>
    <row r="3799" customFormat="false" ht="15" hidden="false" customHeight="false" outlineLevel="0" collapsed="false">
      <c r="A3799" s="27" t="s">
        <v>120</v>
      </c>
      <c r="B3799" s="27" t="s">
        <v>110</v>
      </c>
      <c r="C3799" s="27" t="s">
        <v>47</v>
      </c>
      <c r="D3799" s="27" t="s">
        <v>50</v>
      </c>
      <c r="E3799" s="28" t="n">
        <f aca="false">ROUND((SUMIFS(Acerto_Detalhado!$F$2:$F$433,Acerto_Detalhado!$A$2:$A$433,$C3799,Acerto_Detalhado!$B$2:$B$433,"Out",Acerto_Detalhado!$C$2:$C$433,"Umidade"))*(SUMIFS(Acerto_Detalhado!$I$2:$I$433,Acerto_Detalhado!$A$2:$A$433,$D3799,Acerto_Detalhado!$B$2:$B$433,"Out",Acerto_Detalhado!$C$2:$C$433,"Umidade")),2)</f>
        <v>0</v>
      </c>
    </row>
    <row r="3800" customFormat="false" ht="15" hidden="false" customHeight="false" outlineLevel="0" collapsed="false">
      <c r="A3800" s="27" t="s">
        <v>120</v>
      </c>
      <c r="B3800" s="27" t="s">
        <v>110</v>
      </c>
      <c r="C3800" s="27" t="s">
        <v>48</v>
      </c>
      <c r="D3800" s="27" t="s">
        <v>39</v>
      </c>
      <c r="E3800" s="28" t="n">
        <f aca="false">ROUND((SUMIFS(Acerto_Detalhado!$F$2:$F$433,Acerto_Detalhado!$A$2:$A$433,$C3800,Acerto_Detalhado!$B$2:$B$433,"Out",Acerto_Detalhado!$C$2:$C$433,"Umidade"))*(SUMIFS(Acerto_Detalhado!$I$2:$I$433,Acerto_Detalhado!$A$2:$A$433,$D3800,Acerto_Detalhado!$B$2:$B$433,"Out",Acerto_Detalhado!$C$2:$C$433,"Umidade")),2)</f>
        <v>0</v>
      </c>
    </row>
    <row r="3801" customFormat="false" ht="15" hidden="false" customHeight="false" outlineLevel="0" collapsed="false">
      <c r="A3801" s="27" t="s">
        <v>120</v>
      </c>
      <c r="B3801" s="27" t="s">
        <v>110</v>
      </c>
      <c r="C3801" s="27" t="s">
        <v>48</v>
      </c>
      <c r="D3801" s="27" t="s">
        <v>40</v>
      </c>
      <c r="E3801" s="28" t="n">
        <f aca="false">ROUND((SUMIFS(Acerto_Detalhado!$F$2:$F$433,Acerto_Detalhado!$A$2:$A$433,$C3801,Acerto_Detalhado!$B$2:$B$433,"Out",Acerto_Detalhado!$C$2:$C$433,"Umidade"))*(SUMIFS(Acerto_Detalhado!$I$2:$I$433,Acerto_Detalhado!$A$2:$A$433,$D3801,Acerto_Detalhado!$B$2:$B$433,"Out",Acerto_Detalhado!$C$2:$C$433,"Umidade")),2)</f>
        <v>0</v>
      </c>
    </row>
    <row r="3802" customFormat="false" ht="15" hidden="false" customHeight="false" outlineLevel="0" collapsed="false">
      <c r="A3802" s="27" t="s">
        <v>120</v>
      </c>
      <c r="B3802" s="27" t="s">
        <v>110</v>
      </c>
      <c r="C3802" s="27" t="s">
        <v>48</v>
      </c>
      <c r="D3802" s="27" t="s">
        <v>41</v>
      </c>
      <c r="E3802" s="28" t="n">
        <f aca="false">ROUND((SUMIFS(Acerto_Detalhado!$F$2:$F$433,Acerto_Detalhado!$A$2:$A$433,$C3802,Acerto_Detalhado!$B$2:$B$433,"Out",Acerto_Detalhado!$C$2:$C$433,"Umidade"))*(SUMIFS(Acerto_Detalhado!$I$2:$I$433,Acerto_Detalhado!$A$2:$A$433,$D3802,Acerto_Detalhado!$B$2:$B$433,"Out",Acerto_Detalhado!$C$2:$C$433,"Umidade")),2)</f>
        <v>0</v>
      </c>
    </row>
    <row r="3803" customFormat="false" ht="15" hidden="false" customHeight="false" outlineLevel="0" collapsed="false">
      <c r="A3803" s="27" t="s">
        <v>120</v>
      </c>
      <c r="B3803" s="27" t="s">
        <v>110</v>
      </c>
      <c r="C3803" s="27" t="s">
        <v>48</v>
      </c>
      <c r="D3803" s="27" t="s">
        <v>42</v>
      </c>
      <c r="E3803" s="28" t="n">
        <f aca="false">ROUND((SUMIFS(Acerto_Detalhado!$F$2:$F$433,Acerto_Detalhado!$A$2:$A$433,$C3803,Acerto_Detalhado!$B$2:$B$433,"Out",Acerto_Detalhado!$C$2:$C$433,"Umidade"))*(SUMIFS(Acerto_Detalhado!$I$2:$I$433,Acerto_Detalhado!$A$2:$A$433,$D3803,Acerto_Detalhado!$B$2:$B$433,"Out",Acerto_Detalhado!$C$2:$C$433,"Umidade")),2)</f>
        <v>0</v>
      </c>
    </row>
    <row r="3804" customFormat="false" ht="15" hidden="false" customHeight="false" outlineLevel="0" collapsed="false">
      <c r="A3804" s="27" t="s">
        <v>120</v>
      </c>
      <c r="B3804" s="27" t="s">
        <v>110</v>
      </c>
      <c r="C3804" s="27" t="s">
        <v>48</v>
      </c>
      <c r="D3804" s="27" t="s">
        <v>43</v>
      </c>
      <c r="E3804" s="28" t="n">
        <f aca="false">ROUND((SUMIFS(Acerto_Detalhado!$F$2:$F$433,Acerto_Detalhado!$A$2:$A$433,$C3804,Acerto_Detalhado!$B$2:$B$433,"Out",Acerto_Detalhado!$C$2:$C$433,"Umidade"))*(SUMIFS(Acerto_Detalhado!$I$2:$I$433,Acerto_Detalhado!$A$2:$A$433,$D3804,Acerto_Detalhado!$B$2:$B$433,"Out",Acerto_Detalhado!$C$2:$C$433,"Umidade")),2)</f>
        <v>0</v>
      </c>
    </row>
    <row r="3805" customFormat="false" ht="15" hidden="false" customHeight="false" outlineLevel="0" collapsed="false">
      <c r="A3805" s="27" t="s">
        <v>120</v>
      </c>
      <c r="B3805" s="27" t="s">
        <v>110</v>
      </c>
      <c r="C3805" s="27" t="s">
        <v>48</v>
      </c>
      <c r="D3805" s="27" t="s">
        <v>44</v>
      </c>
      <c r="E3805" s="28" t="n">
        <f aca="false">ROUND((SUMIFS(Acerto_Detalhado!$F$2:$F$433,Acerto_Detalhado!$A$2:$A$433,$C3805,Acerto_Detalhado!$B$2:$B$433,"Out",Acerto_Detalhado!$C$2:$C$433,"Umidade"))*(SUMIFS(Acerto_Detalhado!$I$2:$I$433,Acerto_Detalhado!$A$2:$A$433,$D3805,Acerto_Detalhado!$B$2:$B$433,"Out",Acerto_Detalhado!$C$2:$C$433,"Umidade")),2)</f>
        <v>0</v>
      </c>
    </row>
    <row r="3806" customFormat="false" ht="15" hidden="false" customHeight="false" outlineLevel="0" collapsed="false">
      <c r="A3806" s="27" t="s">
        <v>120</v>
      </c>
      <c r="B3806" s="27" t="s">
        <v>110</v>
      </c>
      <c r="C3806" s="27" t="s">
        <v>48</v>
      </c>
      <c r="D3806" s="27" t="s">
        <v>45</v>
      </c>
      <c r="E3806" s="28" t="n">
        <f aca="false">ROUND((SUMIFS(Acerto_Detalhado!$F$2:$F$433,Acerto_Detalhado!$A$2:$A$433,$C3806,Acerto_Detalhado!$B$2:$B$433,"Out",Acerto_Detalhado!$C$2:$C$433,"Umidade"))*(SUMIFS(Acerto_Detalhado!$I$2:$I$433,Acerto_Detalhado!$A$2:$A$433,$D3806,Acerto_Detalhado!$B$2:$B$433,"Out",Acerto_Detalhado!$C$2:$C$433,"Umidade")),2)</f>
        <v>0</v>
      </c>
    </row>
    <row r="3807" customFormat="false" ht="15" hidden="false" customHeight="false" outlineLevel="0" collapsed="false">
      <c r="A3807" s="27" t="s">
        <v>120</v>
      </c>
      <c r="B3807" s="27" t="s">
        <v>110</v>
      </c>
      <c r="C3807" s="27" t="s">
        <v>48</v>
      </c>
      <c r="D3807" s="27" t="s">
        <v>46</v>
      </c>
      <c r="E3807" s="28" t="n">
        <f aca="false">ROUND((SUMIFS(Acerto_Detalhado!$F$2:$F$433,Acerto_Detalhado!$A$2:$A$433,$C3807,Acerto_Detalhado!$B$2:$B$433,"Out",Acerto_Detalhado!$C$2:$C$433,"Umidade"))*(SUMIFS(Acerto_Detalhado!$I$2:$I$433,Acerto_Detalhado!$A$2:$A$433,$D3807,Acerto_Detalhado!$B$2:$B$433,"Out",Acerto_Detalhado!$C$2:$C$433,"Umidade")),2)</f>
        <v>0</v>
      </c>
    </row>
    <row r="3808" customFormat="false" ht="15" hidden="false" customHeight="false" outlineLevel="0" collapsed="false">
      <c r="A3808" s="27" t="s">
        <v>120</v>
      </c>
      <c r="B3808" s="27" t="s">
        <v>110</v>
      </c>
      <c r="C3808" s="27" t="s">
        <v>48</v>
      </c>
      <c r="D3808" s="27" t="s">
        <v>47</v>
      </c>
      <c r="E3808" s="28" t="n">
        <f aca="false">ROUND((SUMIFS(Acerto_Detalhado!$F$2:$F$433,Acerto_Detalhado!$A$2:$A$433,$C3808,Acerto_Detalhado!$B$2:$B$433,"Out",Acerto_Detalhado!$C$2:$C$433,"Umidade"))*(SUMIFS(Acerto_Detalhado!$I$2:$I$433,Acerto_Detalhado!$A$2:$A$433,$D3808,Acerto_Detalhado!$B$2:$B$433,"Out",Acerto_Detalhado!$C$2:$C$433,"Umidade")),2)</f>
        <v>0</v>
      </c>
    </row>
    <row r="3809" customFormat="false" ht="15" hidden="false" customHeight="false" outlineLevel="0" collapsed="false">
      <c r="A3809" s="27" t="s">
        <v>120</v>
      </c>
      <c r="B3809" s="27" t="s">
        <v>110</v>
      </c>
      <c r="C3809" s="27" t="s">
        <v>48</v>
      </c>
      <c r="D3809" s="27" t="s">
        <v>49</v>
      </c>
      <c r="E3809" s="28" t="n">
        <f aca="false">ROUND((SUMIFS(Acerto_Detalhado!$F$2:$F$433,Acerto_Detalhado!$A$2:$A$433,$C3809,Acerto_Detalhado!$B$2:$B$433,"Out",Acerto_Detalhado!$C$2:$C$433,"Umidade"))*(SUMIFS(Acerto_Detalhado!$I$2:$I$433,Acerto_Detalhado!$A$2:$A$433,$D3809,Acerto_Detalhado!$B$2:$B$433,"Out",Acerto_Detalhado!$C$2:$C$433,"Umidade")),2)</f>
        <v>0</v>
      </c>
    </row>
    <row r="3810" customFormat="false" ht="15" hidden="false" customHeight="false" outlineLevel="0" collapsed="false">
      <c r="A3810" s="27" t="s">
        <v>120</v>
      </c>
      <c r="B3810" s="27" t="s">
        <v>110</v>
      </c>
      <c r="C3810" s="27" t="s">
        <v>48</v>
      </c>
      <c r="D3810" s="27" t="s">
        <v>50</v>
      </c>
      <c r="E3810" s="28" t="n">
        <f aca="false">ROUND((SUMIFS(Acerto_Detalhado!$F$2:$F$433,Acerto_Detalhado!$A$2:$A$433,$C3810,Acerto_Detalhado!$B$2:$B$433,"Out",Acerto_Detalhado!$C$2:$C$433,"Umidade"))*(SUMIFS(Acerto_Detalhado!$I$2:$I$433,Acerto_Detalhado!$A$2:$A$433,$D3810,Acerto_Detalhado!$B$2:$B$433,"Out",Acerto_Detalhado!$C$2:$C$433,"Umidade")),2)</f>
        <v>0</v>
      </c>
    </row>
    <row r="3811" customFormat="false" ht="15" hidden="false" customHeight="false" outlineLevel="0" collapsed="false">
      <c r="A3811" s="27" t="s">
        <v>120</v>
      </c>
      <c r="B3811" s="27" t="s">
        <v>110</v>
      </c>
      <c r="C3811" s="27" t="s">
        <v>49</v>
      </c>
      <c r="D3811" s="27" t="s">
        <v>39</v>
      </c>
      <c r="E3811" s="28" t="n">
        <f aca="false">ROUND((SUMIFS(Acerto_Detalhado!$F$2:$F$433,Acerto_Detalhado!$A$2:$A$433,$C3811,Acerto_Detalhado!$B$2:$B$433,"Out",Acerto_Detalhado!$C$2:$C$433,"Umidade"))*(SUMIFS(Acerto_Detalhado!$I$2:$I$433,Acerto_Detalhado!$A$2:$A$433,$D3811,Acerto_Detalhado!$B$2:$B$433,"Out",Acerto_Detalhado!$C$2:$C$433,"Umidade")),2)</f>
        <v>0</v>
      </c>
    </row>
    <row r="3812" customFormat="false" ht="15" hidden="false" customHeight="false" outlineLevel="0" collapsed="false">
      <c r="A3812" s="27" t="s">
        <v>120</v>
      </c>
      <c r="B3812" s="27" t="s">
        <v>110</v>
      </c>
      <c r="C3812" s="27" t="s">
        <v>49</v>
      </c>
      <c r="D3812" s="27" t="s">
        <v>40</v>
      </c>
      <c r="E3812" s="28" t="n">
        <f aca="false">ROUND((SUMIFS(Acerto_Detalhado!$F$2:$F$433,Acerto_Detalhado!$A$2:$A$433,$C3812,Acerto_Detalhado!$B$2:$B$433,"Out",Acerto_Detalhado!$C$2:$C$433,"Umidade"))*(SUMIFS(Acerto_Detalhado!$I$2:$I$433,Acerto_Detalhado!$A$2:$A$433,$D3812,Acerto_Detalhado!$B$2:$B$433,"Out",Acerto_Detalhado!$C$2:$C$433,"Umidade")),2)</f>
        <v>0</v>
      </c>
    </row>
    <row r="3813" customFormat="false" ht="15" hidden="false" customHeight="false" outlineLevel="0" collapsed="false">
      <c r="A3813" s="27" t="s">
        <v>120</v>
      </c>
      <c r="B3813" s="27" t="s">
        <v>110</v>
      </c>
      <c r="C3813" s="27" t="s">
        <v>49</v>
      </c>
      <c r="D3813" s="27" t="s">
        <v>41</v>
      </c>
      <c r="E3813" s="28" t="n">
        <f aca="false">ROUND((SUMIFS(Acerto_Detalhado!$F$2:$F$433,Acerto_Detalhado!$A$2:$A$433,$C3813,Acerto_Detalhado!$B$2:$B$433,"Out",Acerto_Detalhado!$C$2:$C$433,"Umidade"))*(SUMIFS(Acerto_Detalhado!$I$2:$I$433,Acerto_Detalhado!$A$2:$A$433,$D3813,Acerto_Detalhado!$B$2:$B$433,"Out",Acerto_Detalhado!$C$2:$C$433,"Umidade")),2)</f>
        <v>0</v>
      </c>
    </row>
    <row r="3814" customFormat="false" ht="15" hidden="false" customHeight="false" outlineLevel="0" collapsed="false">
      <c r="A3814" s="27" t="s">
        <v>120</v>
      </c>
      <c r="B3814" s="27" t="s">
        <v>110</v>
      </c>
      <c r="C3814" s="27" t="s">
        <v>49</v>
      </c>
      <c r="D3814" s="27" t="s">
        <v>42</v>
      </c>
      <c r="E3814" s="28" t="n">
        <f aca="false">ROUND((SUMIFS(Acerto_Detalhado!$F$2:$F$433,Acerto_Detalhado!$A$2:$A$433,$C3814,Acerto_Detalhado!$B$2:$B$433,"Out",Acerto_Detalhado!$C$2:$C$433,"Umidade"))*(SUMIFS(Acerto_Detalhado!$I$2:$I$433,Acerto_Detalhado!$A$2:$A$433,$D3814,Acerto_Detalhado!$B$2:$B$433,"Out",Acerto_Detalhado!$C$2:$C$433,"Umidade")),2)</f>
        <v>0</v>
      </c>
    </row>
    <row r="3815" customFormat="false" ht="15" hidden="false" customHeight="false" outlineLevel="0" collapsed="false">
      <c r="A3815" s="27" t="s">
        <v>120</v>
      </c>
      <c r="B3815" s="27" t="s">
        <v>110</v>
      </c>
      <c r="C3815" s="27" t="s">
        <v>49</v>
      </c>
      <c r="D3815" s="27" t="s">
        <v>43</v>
      </c>
      <c r="E3815" s="28" t="n">
        <f aca="false">ROUND((SUMIFS(Acerto_Detalhado!$F$2:$F$433,Acerto_Detalhado!$A$2:$A$433,$C3815,Acerto_Detalhado!$B$2:$B$433,"Out",Acerto_Detalhado!$C$2:$C$433,"Umidade"))*(SUMIFS(Acerto_Detalhado!$I$2:$I$433,Acerto_Detalhado!$A$2:$A$433,$D3815,Acerto_Detalhado!$B$2:$B$433,"Out",Acerto_Detalhado!$C$2:$C$433,"Umidade")),2)</f>
        <v>0</v>
      </c>
    </row>
    <row r="3816" customFormat="false" ht="15" hidden="false" customHeight="false" outlineLevel="0" collapsed="false">
      <c r="A3816" s="27" t="s">
        <v>120</v>
      </c>
      <c r="B3816" s="27" t="s">
        <v>110</v>
      </c>
      <c r="C3816" s="27" t="s">
        <v>49</v>
      </c>
      <c r="D3816" s="27" t="s">
        <v>44</v>
      </c>
      <c r="E3816" s="28" t="n">
        <f aca="false">ROUND((SUMIFS(Acerto_Detalhado!$F$2:$F$433,Acerto_Detalhado!$A$2:$A$433,$C3816,Acerto_Detalhado!$B$2:$B$433,"Out",Acerto_Detalhado!$C$2:$C$433,"Umidade"))*(SUMIFS(Acerto_Detalhado!$I$2:$I$433,Acerto_Detalhado!$A$2:$A$433,$D3816,Acerto_Detalhado!$B$2:$B$433,"Out",Acerto_Detalhado!$C$2:$C$433,"Umidade")),2)</f>
        <v>0</v>
      </c>
    </row>
    <row r="3817" customFormat="false" ht="15" hidden="false" customHeight="false" outlineLevel="0" collapsed="false">
      <c r="A3817" s="27" t="s">
        <v>120</v>
      </c>
      <c r="B3817" s="27" t="s">
        <v>110</v>
      </c>
      <c r="C3817" s="27" t="s">
        <v>49</v>
      </c>
      <c r="D3817" s="27" t="s">
        <v>45</v>
      </c>
      <c r="E3817" s="28" t="n">
        <f aca="false">ROUND((SUMIFS(Acerto_Detalhado!$F$2:$F$433,Acerto_Detalhado!$A$2:$A$433,$C3817,Acerto_Detalhado!$B$2:$B$433,"Out",Acerto_Detalhado!$C$2:$C$433,"Umidade"))*(SUMIFS(Acerto_Detalhado!$I$2:$I$433,Acerto_Detalhado!$A$2:$A$433,$D3817,Acerto_Detalhado!$B$2:$B$433,"Out",Acerto_Detalhado!$C$2:$C$433,"Umidade")),2)</f>
        <v>0</v>
      </c>
    </row>
    <row r="3818" customFormat="false" ht="15" hidden="false" customHeight="false" outlineLevel="0" collapsed="false">
      <c r="A3818" s="27" t="s">
        <v>120</v>
      </c>
      <c r="B3818" s="27" t="s">
        <v>110</v>
      </c>
      <c r="C3818" s="27" t="s">
        <v>49</v>
      </c>
      <c r="D3818" s="27" t="s">
        <v>46</v>
      </c>
      <c r="E3818" s="28" t="n">
        <f aca="false">ROUND((SUMIFS(Acerto_Detalhado!$F$2:$F$433,Acerto_Detalhado!$A$2:$A$433,$C3818,Acerto_Detalhado!$B$2:$B$433,"Out",Acerto_Detalhado!$C$2:$C$433,"Umidade"))*(SUMIFS(Acerto_Detalhado!$I$2:$I$433,Acerto_Detalhado!$A$2:$A$433,$D3818,Acerto_Detalhado!$B$2:$B$433,"Out",Acerto_Detalhado!$C$2:$C$433,"Umidade")),2)</f>
        <v>0</v>
      </c>
    </row>
    <row r="3819" customFormat="false" ht="15" hidden="false" customHeight="false" outlineLevel="0" collapsed="false">
      <c r="A3819" s="27" t="s">
        <v>120</v>
      </c>
      <c r="B3819" s="27" t="s">
        <v>110</v>
      </c>
      <c r="C3819" s="27" t="s">
        <v>49</v>
      </c>
      <c r="D3819" s="27" t="s">
        <v>47</v>
      </c>
      <c r="E3819" s="28" t="n">
        <f aca="false">ROUND((SUMIFS(Acerto_Detalhado!$F$2:$F$433,Acerto_Detalhado!$A$2:$A$433,$C3819,Acerto_Detalhado!$B$2:$B$433,"Out",Acerto_Detalhado!$C$2:$C$433,"Umidade"))*(SUMIFS(Acerto_Detalhado!$I$2:$I$433,Acerto_Detalhado!$A$2:$A$433,$D3819,Acerto_Detalhado!$B$2:$B$433,"Out",Acerto_Detalhado!$C$2:$C$433,"Umidade")),2)</f>
        <v>0</v>
      </c>
    </row>
    <row r="3820" customFormat="false" ht="15" hidden="false" customHeight="false" outlineLevel="0" collapsed="false">
      <c r="A3820" s="27" t="s">
        <v>120</v>
      </c>
      <c r="B3820" s="27" t="s">
        <v>110</v>
      </c>
      <c r="C3820" s="27" t="s">
        <v>49</v>
      </c>
      <c r="D3820" s="27" t="s">
        <v>48</v>
      </c>
      <c r="E3820" s="28" t="n">
        <f aca="false">ROUND((SUMIFS(Acerto_Detalhado!$F$2:$F$433,Acerto_Detalhado!$A$2:$A$433,$C3820,Acerto_Detalhado!$B$2:$B$433,"Out",Acerto_Detalhado!$C$2:$C$433,"Umidade"))*(SUMIFS(Acerto_Detalhado!$I$2:$I$433,Acerto_Detalhado!$A$2:$A$433,$D3820,Acerto_Detalhado!$B$2:$B$433,"Out",Acerto_Detalhado!$C$2:$C$433,"Umidade")),2)</f>
        <v>0</v>
      </c>
    </row>
    <row r="3821" customFormat="false" ht="15" hidden="false" customHeight="false" outlineLevel="0" collapsed="false">
      <c r="A3821" s="27" t="s">
        <v>120</v>
      </c>
      <c r="B3821" s="27" t="s">
        <v>110</v>
      </c>
      <c r="C3821" s="27" t="s">
        <v>49</v>
      </c>
      <c r="D3821" s="27" t="s">
        <v>50</v>
      </c>
      <c r="E3821" s="28" t="n">
        <f aca="false">ROUND((SUMIFS(Acerto_Detalhado!$F$2:$F$433,Acerto_Detalhado!$A$2:$A$433,$C3821,Acerto_Detalhado!$B$2:$B$433,"Out",Acerto_Detalhado!$C$2:$C$433,"Umidade"))*(SUMIFS(Acerto_Detalhado!$I$2:$I$433,Acerto_Detalhado!$A$2:$A$433,$D3821,Acerto_Detalhado!$B$2:$B$433,"Out",Acerto_Detalhado!$C$2:$C$433,"Umidade")),2)</f>
        <v>0</v>
      </c>
    </row>
    <row r="3822" customFormat="false" ht="15" hidden="false" customHeight="false" outlineLevel="0" collapsed="false">
      <c r="A3822" s="27" t="s">
        <v>120</v>
      </c>
      <c r="B3822" s="27" t="s">
        <v>110</v>
      </c>
      <c r="C3822" s="27" t="s">
        <v>50</v>
      </c>
      <c r="D3822" s="27" t="s">
        <v>39</v>
      </c>
      <c r="E3822" s="28" t="n">
        <f aca="false">ROUND((SUMIFS(Acerto_Detalhado!$F$2:$F$433,Acerto_Detalhado!$A$2:$A$433,$C3822,Acerto_Detalhado!$B$2:$B$433,"Out",Acerto_Detalhado!$C$2:$C$433,"Umidade"))*(SUMIFS(Acerto_Detalhado!$I$2:$I$433,Acerto_Detalhado!$A$2:$A$433,$D3822,Acerto_Detalhado!$B$2:$B$433,"Out",Acerto_Detalhado!$C$2:$C$433,"Umidade")),2)</f>
        <v>0</v>
      </c>
    </row>
    <row r="3823" customFormat="false" ht="15" hidden="false" customHeight="false" outlineLevel="0" collapsed="false">
      <c r="A3823" s="27" t="s">
        <v>120</v>
      </c>
      <c r="B3823" s="27" t="s">
        <v>110</v>
      </c>
      <c r="C3823" s="27" t="s">
        <v>50</v>
      </c>
      <c r="D3823" s="27" t="s">
        <v>40</v>
      </c>
      <c r="E3823" s="28" t="n">
        <f aca="false">ROUND((SUMIFS(Acerto_Detalhado!$F$2:$F$433,Acerto_Detalhado!$A$2:$A$433,$C3823,Acerto_Detalhado!$B$2:$B$433,"Out",Acerto_Detalhado!$C$2:$C$433,"Umidade"))*(SUMIFS(Acerto_Detalhado!$I$2:$I$433,Acerto_Detalhado!$A$2:$A$433,$D3823,Acerto_Detalhado!$B$2:$B$433,"Out",Acerto_Detalhado!$C$2:$C$433,"Umidade")),2)</f>
        <v>0</v>
      </c>
    </row>
    <row r="3824" customFormat="false" ht="15" hidden="false" customHeight="false" outlineLevel="0" collapsed="false">
      <c r="A3824" s="27" t="s">
        <v>120</v>
      </c>
      <c r="B3824" s="27" t="s">
        <v>110</v>
      </c>
      <c r="C3824" s="27" t="s">
        <v>50</v>
      </c>
      <c r="D3824" s="27" t="s">
        <v>41</v>
      </c>
      <c r="E3824" s="28" t="n">
        <f aca="false">ROUND((SUMIFS(Acerto_Detalhado!$F$2:$F$433,Acerto_Detalhado!$A$2:$A$433,$C3824,Acerto_Detalhado!$B$2:$B$433,"Out",Acerto_Detalhado!$C$2:$C$433,"Umidade"))*(SUMIFS(Acerto_Detalhado!$I$2:$I$433,Acerto_Detalhado!$A$2:$A$433,$D3824,Acerto_Detalhado!$B$2:$B$433,"Out",Acerto_Detalhado!$C$2:$C$433,"Umidade")),2)</f>
        <v>0</v>
      </c>
    </row>
    <row r="3825" customFormat="false" ht="15" hidden="false" customHeight="false" outlineLevel="0" collapsed="false">
      <c r="A3825" s="27" t="s">
        <v>120</v>
      </c>
      <c r="B3825" s="27" t="s">
        <v>110</v>
      </c>
      <c r="C3825" s="27" t="s">
        <v>50</v>
      </c>
      <c r="D3825" s="27" t="s">
        <v>42</v>
      </c>
      <c r="E3825" s="28" t="n">
        <f aca="false">ROUND((SUMIFS(Acerto_Detalhado!$F$2:$F$433,Acerto_Detalhado!$A$2:$A$433,$C3825,Acerto_Detalhado!$B$2:$B$433,"Out",Acerto_Detalhado!$C$2:$C$433,"Umidade"))*(SUMIFS(Acerto_Detalhado!$I$2:$I$433,Acerto_Detalhado!$A$2:$A$433,$D3825,Acerto_Detalhado!$B$2:$B$433,"Out",Acerto_Detalhado!$C$2:$C$433,"Umidade")),2)</f>
        <v>0</v>
      </c>
    </row>
    <row r="3826" customFormat="false" ht="15" hidden="false" customHeight="false" outlineLevel="0" collapsed="false">
      <c r="A3826" s="27" t="s">
        <v>120</v>
      </c>
      <c r="B3826" s="27" t="s">
        <v>110</v>
      </c>
      <c r="C3826" s="27" t="s">
        <v>50</v>
      </c>
      <c r="D3826" s="27" t="s">
        <v>43</v>
      </c>
      <c r="E3826" s="28" t="n">
        <f aca="false">ROUND((SUMIFS(Acerto_Detalhado!$F$2:$F$433,Acerto_Detalhado!$A$2:$A$433,$C3826,Acerto_Detalhado!$B$2:$B$433,"Out",Acerto_Detalhado!$C$2:$C$433,"Umidade"))*(SUMIFS(Acerto_Detalhado!$I$2:$I$433,Acerto_Detalhado!$A$2:$A$433,$D3826,Acerto_Detalhado!$B$2:$B$433,"Out",Acerto_Detalhado!$C$2:$C$433,"Umidade")),2)</f>
        <v>0</v>
      </c>
    </row>
    <row r="3827" customFormat="false" ht="15" hidden="false" customHeight="false" outlineLevel="0" collapsed="false">
      <c r="A3827" s="27" t="s">
        <v>120</v>
      </c>
      <c r="B3827" s="27" t="s">
        <v>110</v>
      </c>
      <c r="C3827" s="27" t="s">
        <v>50</v>
      </c>
      <c r="D3827" s="27" t="s">
        <v>44</v>
      </c>
      <c r="E3827" s="28" t="n">
        <f aca="false">ROUND((SUMIFS(Acerto_Detalhado!$F$2:$F$433,Acerto_Detalhado!$A$2:$A$433,$C3827,Acerto_Detalhado!$B$2:$B$433,"Out",Acerto_Detalhado!$C$2:$C$433,"Umidade"))*(SUMIFS(Acerto_Detalhado!$I$2:$I$433,Acerto_Detalhado!$A$2:$A$433,$D3827,Acerto_Detalhado!$B$2:$B$433,"Out",Acerto_Detalhado!$C$2:$C$433,"Umidade")),2)</f>
        <v>0</v>
      </c>
    </row>
    <row r="3828" customFormat="false" ht="15" hidden="false" customHeight="false" outlineLevel="0" collapsed="false">
      <c r="A3828" s="27" t="s">
        <v>120</v>
      </c>
      <c r="B3828" s="27" t="s">
        <v>110</v>
      </c>
      <c r="C3828" s="27" t="s">
        <v>50</v>
      </c>
      <c r="D3828" s="27" t="s">
        <v>45</v>
      </c>
      <c r="E3828" s="28" t="n">
        <f aca="false">ROUND((SUMIFS(Acerto_Detalhado!$F$2:$F$433,Acerto_Detalhado!$A$2:$A$433,$C3828,Acerto_Detalhado!$B$2:$B$433,"Out",Acerto_Detalhado!$C$2:$C$433,"Umidade"))*(SUMIFS(Acerto_Detalhado!$I$2:$I$433,Acerto_Detalhado!$A$2:$A$433,$D3828,Acerto_Detalhado!$B$2:$B$433,"Out",Acerto_Detalhado!$C$2:$C$433,"Umidade")),2)</f>
        <v>0</v>
      </c>
    </row>
    <row r="3829" customFormat="false" ht="15" hidden="false" customHeight="false" outlineLevel="0" collapsed="false">
      <c r="A3829" s="27" t="s">
        <v>120</v>
      </c>
      <c r="B3829" s="27" t="s">
        <v>110</v>
      </c>
      <c r="C3829" s="27" t="s">
        <v>50</v>
      </c>
      <c r="D3829" s="27" t="s">
        <v>46</v>
      </c>
      <c r="E3829" s="28" t="n">
        <f aca="false">ROUND((SUMIFS(Acerto_Detalhado!$F$2:$F$433,Acerto_Detalhado!$A$2:$A$433,$C3829,Acerto_Detalhado!$B$2:$B$433,"Out",Acerto_Detalhado!$C$2:$C$433,"Umidade"))*(SUMIFS(Acerto_Detalhado!$I$2:$I$433,Acerto_Detalhado!$A$2:$A$433,$D3829,Acerto_Detalhado!$B$2:$B$433,"Out",Acerto_Detalhado!$C$2:$C$433,"Umidade")),2)</f>
        <v>0</v>
      </c>
    </row>
    <row r="3830" customFormat="false" ht="15" hidden="false" customHeight="false" outlineLevel="0" collapsed="false">
      <c r="A3830" s="27" t="s">
        <v>120</v>
      </c>
      <c r="B3830" s="27" t="s">
        <v>110</v>
      </c>
      <c r="C3830" s="27" t="s">
        <v>50</v>
      </c>
      <c r="D3830" s="27" t="s">
        <v>47</v>
      </c>
      <c r="E3830" s="28" t="n">
        <f aca="false">ROUND((SUMIFS(Acerto_Detalhado!$F$2:$F$433,Acerto_Detalhado!$A$2:$A$433,$C3830,Acerto_Detalhado!$B$2:$B$433,"Out",Acerto_Detalhado!$C$2:$C$433,"Umidade"))*(SUMIFS(Acerto_Detalhado!$I$2:$I$433,Acerto_Detalhado!$A$2:$A$433,$D3830,Acerto_Detalhado!$B$2:$B$433,"Out",Acerto_Detalhado!$C$2:$C$433,"Umidade")),2)</f>
        <v>0</v>
      </c>
    </row>
    <row r="3831" customFormat="false" ht="15" hidden="false" customHeight="false" outlineLevel="0" collapsed="false">
      <c r="A3831" s="27" t="s">
        <v>120</v>
      </c>
      <c r="B3831" s="27" t="s">
        <v>110</v>
      </c>
      <c r="C3831" s="27" t="s">
        <v>50</v>
      </c>
      <c r="D3831" s="27" t="s">
        <v>48</v>
      </c>
      <c r="E3831" s="28" t="n">
        <f aca="false">ROUND((SUMIFS(Acerto_Detalhado!$F$2:$F$433,Acerto_Detalhado!$A$2:$A$433,$C3831,Acerto_Detalhado!$B$2:$B$433,"Out",Acerto_Detalhado!$C$2:$C$433,"Umidade"))*(SUMIFS(Acerto_Detalhado!$I$2:$I$433,Acerto_Detalhado!$A$2:$A$433,$D3831,Acerto_Detalhado!$B$2:$B$433,"Out",Acerto_Detalhado!$C$2:$C$433,"Umidade")),2)</f>
        <v>0</v>
      </c>
    </row>
    <row r="3832" customFormat="false" ht="15" hidden="false" customHeight="false" outlineLevel="0" collapsed="false">
      <c r="A3832" s="27" t="s">
        <v>120</v>
      </c>
      <c r="B3832" s="27" t="s">
        <v>110</v>
      </c>
      <c r="C3832" s="27" t="s">
        <v>50</v>
      </c>
      <c r="D3832" s="27" t="s">
        <v>49</v>
      </c>
      <c r="E3832" s="28" t="n">
        <f aca="false">ROUND((SUMIFS(Acerto_Detalhado!$F$2:$F$433,Acerto_Detalhado!$A$2:$A$433,$C3832,Acerto_Detalhado!$B$2:$B$433,"Out",Acerto_Detalhado!$C$2:$C$433,"Umidade"))*(SUMIFS(Acerto_Detalhado!$I$2:$I$433,Acerto_Detalhado!$A$2:$A$433,$D3832,Acerto_Detalhado!$B$2:$B$433,"Out",Acerto_Detalhado!$C$2:$C$433,"Umidade")),2)</f>
        <v>0</v>
      </c>
    </row>
    <row r="3833" customFormat="false" ht="15" hidden="false" customHeight="false" outlineLevel="0" collapsed="false">
      <c r="A3833" s="27" t="s">
        <v>120</v>
      </c>
      <c r="B3833" s="27" t="s">
        <v>111</v>
      </c>
      <c r="C3833" s="27" t="s">
        <v>39</v>
      </c>
      <c r="D3833" s="27" t="s">
        <v>40</v>
      </c>
      <c r="E3833" s="28" t="n">
        <f aca="false">ROUND((SUMIFS(Acerto_Detalhado!$F$2:$F$433,Acerto_Detalhado!$A$2:$A$433,$C3833,Acerto_Detalhado!$B$2:$B$433,"Out",Acerto_Detalhado!$C$2:$C$433,"Fibra"))*(SUMIFS(Acerto_Detalhado!$I$2:$I$433,Acerto_Detalhado!$A$2:$A$433,$D3833,Acerto_Detalhado!$B$2:$B$433,"Out",Acerto_Detalhado!$C$2:$C$433,"Fibra")),2)</f>
        <v>0</v>
      </c>
    </row>
    <row r="3834" customFormat="false" ht="15" hidden="false" customHeight="false" outlineLevel="0" collapsed="false">
      <c r="A3834" s="27" t="s">
        <v>120</v>
      </c>
      <c r="B3834" s="27" t="s">
        <v>111</v>
      </c>
      <c r="C3834" s="27" t="s">
        <v>39</v>
      </c>
      <c r="D3834" s="27" t="s">
        <v>41</v>
      </c>
      <c r="E3834" s="28" t="n">
        <f aca="false">ROUND((SUMIFS(Acerto_Detalhado!$F$2:$F$433,Acerto_Detalhado!$A$2:$A$433,$C3834,Acerto_Detalhado!$B$2:$B$433,"Out",Acerto_Detalhado!$C$2:$C$433,"Fibra"))*(SUMIFS(Acerto_Detalhado!$I$2:$I$433,Acerto_Detalhado!$A$2:$A$433,$D3834,Acerto_Detalhado!$B$2:$B$433,"Out",Acerto_Detalhado!$C$2:$C$433,"Fibra")),2)</f>
        <v>0</v>
      </c>
    </row>
    <row r="3835" customFormat="false" ht="15" hidden="false" customHeight="false" outlineLevel="0" collapsed="false">
      <c r="A3835" s="27" t="s">
        <v>120</v>
      </c>
      <c r="B3835" s="27" t="s">
        <v>111</v>
      </c>
      <c r="C3835" s="27" t="s">
        <v>39</v>
      </c>
      <c r="D3835" s="27" t="s">
        <v>42</v>
      </c>
      <c r="E3835" s="28" t="n">
        <f aca="false">ROUND((SUMIFS(Acerto_Detalhado!$F$2:$F$433,Acerto_Detalhado!$A$2:$A$433,$C3835,Acerto_Detalhado!$B$2:$B$433,"Out",Acerto_Detalhado!$C$2:$C$433,"Fibra"))*(SUMIFS(Acerto_Detalhado!$I$2:$I$433,Acerto_Detalhado!$A$2:$A$433,$D3835,Acerto_Detalhado!$B$2:$B$433,"Out",Acerto_Detalhado!$C$2:$C$433,"Fibra")),2)</f>
        <v>0</v>
      </c>
    </row>
    <row r="3836" customFormat="false" ht="15" hidden="false" customHeight="false" outlineLevel="0" collapsed="false">
      <c r="A3836" s="27" t="s">
        <v>120</v>
      </c>
      <c r="B3836" s="27" t="s">
        <v>111</v>
      </c>
      <c r="C3836" s="27" t="s">
        <v>39</v>
      </c>
      <c r="D3836" s="27" t="s">
        <v>43</v>
      </c>
      <c r="E3836" s="28" t="n">
        <f aca="false">ROUND((SUMIFS(Acerto_Detalhado!$F$2:$F$433,Acerto_Detalhado!$A$2:$A$433,$C3836,Acerto_Detalhado!$B$2:$B$433,"Out",Acerto_Detalhado!$C$2:$C$433,"Fibra"))*(SUMIFS(Acerto_Detalhado!$I$2:$I$433,Acerto_Detalhado!$A$2:$A$433,$D3836,Acerto_Detalhado!$B$2:$B$433,"Out",Acerto_Detalhado!$C$2:$C$433,"Fibra")),2)</f>
        <v>0</v>
      </c>
    </row>
    <row r="3837" customFormat="false" ht="15" hidden="false" customHeight="false" outlineLevel="0" collapsed="false">
      <c r="A3837" s="27" t="s">
        <v>120</v>
      </c>
      <c r="B3837" s="27" t="s">
        <v>111</v>
      </c>
      <c r="C3837" s="27" t="s">
        <v>39</v>
      </c>
      <c r="D3837" s="27" t="s">
        <v>44</v>
      </c>
      <c r="E3837" s="28" t="n">
        <f aca="false">ROUND((SUMIFS(Acerto_Detalhado!$F$2:$F$433,Acerto_Detalhado!$A$2:$A$433,$C3837,Acerto_Detalhado!$B$2:$B$433,"Out",Acerto_Detalhado!$C$2:$C$433,"Fibra"))*(SUMIFS(Acerto_Detalhado!$I$2:$I$433,Acerto_Detalhado!$A$2:$A$433,$D3837,Acerto_Detalhado!$B$2:$B$433,"Out",Acerto_Detalhado!$C$2:$C$433,"Fibra")),2)</f>
        <v>0</v>
      </c>
    </row>
    <row r="3838" customFormat="false" ht="15" hidden="false" customHeight="false" outlineLevel="0" collapsed="false">
      <c r="A3838" s="27" t="s">
        <v>120</v>
      </c>
      <c r="B3838" s="27" t="s">
        <v>111</v>
      </c>
      <c r="C3838" s="27" t="s">
        <v>39</v>
      </c>
      <c r="D3838" s="27" t="s">
        <v>45</v>
      </c>
      <c r="E3838" s="28" t="n">
        <f aca="false">ROUND((SUMIFS(Acerto_Detalhado!$F$2:$F$433,Acerto_Detalhado!$A$2:$A$433,$C3838,Acerto_Detalhado!$B$2:$B$433,"Out",Acerto_Detalhado!$C$2:$C$433,"Fibra"))*(SUMIFS(Acerto_Detalhado!$I$2:$I$433,Acerto_Detalhado!$A$2:$A$433,$D3838,Acerto_Detalhado!$B$2:$B$433,"Out",Acerto_Detalhado!$C$2:$C$433,"Fibra")),2)</f>
        <v>0</v>
      </c>
    </row>
    <row r="3839" customFormat="false" ht="15" hidden="false" customHeight="false" outlineLevel="0" collapsed="false">
      <c r="A3839" s="27" t="s">
        <v>120</v>
      </c>
      <c r="B3839" s="27" t="s">
        <v>111</v>
      </c>
      <c r="C3839" s="27" t="s">
        <v>39</v>
      </c>
      <c r="D3839" s="27" t="s">
        <v>46</v>
      </c>
      <c r="E3839" s="28" t="n">
        <f aca="false">ROUND((SUMIFS(Acerto_Detalhado!$F$2:$F$433,Acerto_Detalhado!$A$2:$A$433,$C3839,Acerto_Detalhado!$B$2:$B$433,"Out",Acerto_Detalhado!$C$2:$C$433,"Fibra"))*(SUMIFS(Acerto_Detalhado!$I$2:$I$433,Acerto_Detalhado!$A$2:$A$433,$D3839,Acerto_Detalhado!$B$2:$B$433,"Out",Acerto_Detalhado!$C$2:$C$433,"Fibra")),2)</f>
        <v>0</v>
      </c>
    </row>
    <row r="3840" customFormat="false" ht="15" hidden="false" customHeight="false" outlineLevel="0" collapsed="false">
      <c r="A3840" s="27" t="s">
        <v>120</v>
      </c>
      <c r="B3840" s="27" t="s">
        <v>111</v>
      </c>
      <c r="C3840" s="27" t="s">
        <v>39</v>
      </c>
      <c r="D3840" s="27" t="s">
        <v>47</v>
      </c>
      <c r="E3840" s="28" t="n">
        <f aca="false">ROUND((SUMIFS(Acerto_Detalhado!$F$2:$F$433,Acerto_Detalhado!$A$2:$A$433,$C3840,Acerto_Detalhado!$B$2:$B$433,"Out",Acerto_Detalhado!$C$2:$C$433,"Fibra"))*(SUMIFS(Acerto_Detalhado!$I$2:$I$433,Acerto_Detalhado!$A$2:$A$433,$D3840,Acerto_Detalhado!$B$2:$B$433,"Out",Acerto_Detalhado!$C$2:$C$433,"Fibra")),2)</f>
        <v>0</v>
      </c>
    </row>
    <row r="3841" customFormat="false" ht="15" hidden="false" customHeight="false" outlineLevel="0" collapsed="false">
      <c r="A3841" s="27" t="s">
        <v>120</v>
      </c>
      <c r="B3841" s="27" t="s">
        <v>111</v>
      </c>
      <c r="C3841" s="27" t="s">
        <v>39</v>
      </c>
      <c r="D3841" s="27" t="s">
        <v>48</v>
      </c>
      <c r="E3841" s="28" t="n">
        <f aca="false">ROUND((SUMIFS(Acerto_Detalhado!$F$2:$F$433,Acerto_Detalhado!$A$2:$A$433,$C3841,Acerto_Detalhado!$B$2:$B$433,"Out",Acerto_Detalhado!$C$2:$C$433,"Fibra"))*(SUMIFS(Acerto_Detalhado!$I$2:$I$433,Acerto_Detalhado!$A$2:$A$433,$D3841,Acerto_Detalhado!$B$2:$B$433,"Out",Acerto_Detalhado!$C$2:$C$433,"Fibra")),2)</f>
        <v>0</v>
      </c>
    </row>
    <row r="3842" customFormat="false" ht="15" hidden="false" customHeight="false" outlineLevel="0" collapsed="false">
      <c r="A3842" s="27" t="s">
        <v>120</v>
      </c>
      <c r="B3842" s="27" t="s">
        <v>111</v>
      </c>
      <c r="C3842" s="27" t="s">
        <v>39</v>
      </c>
      <c r="D3842" s="27" t="s">
        <v>49</v>
      </c>
      <c r="E3842" s="28" t="n">
        <f aca="false">ROUND((SUMIFS(Acerto_Detalhado!$F$2:$F$433,Acerto_Detalhado!$A$2:$A$433,$C3842,Acerto_Detalhado!$B$2:$B$433,"Out",Acerto_Detalhado!$C$2:$C$433,"Fibra"))*(SUMIFS(Acerto_Detalhado!$I$2:$I$433,Acerto_Detalhado!$A$2:$A$433,$D3842,Acerto_Detalhado!$B$2:$B$433,"Out",Acerto_Detalhado!$C$2:$C$433,"Fibra")),2)</f>
        <v>0</v>
      </c>
    </row>
    <row r="3843" customFormat="false" ht="15" hidden="false" customHeight="false" outlineLevel="0" collapsed="false">
      <c r="A3843" s="27" t="s">
        <v>120</v>
      </c>
      <c r="B3843" s="27" t="s">
        <v>111</v>
      </c>
      <c r="C3843" s="27" t="s">
        <v>39</v>
      </c>
      <c r="D3843" s="27" t="s">
        <v>50</v>
      </c>
      <c r="E3843" s="28" t="n">
        <f aca="false">ROUND((SUMIFS(Acerto_Detalhado!$F$2:$F$433,Acerto_Detalhado!$A$2:$A$433,$C3843,Acerto_Detalhado!$B$2:$B$433,"Out",Acerto_Detalhado!$C$2:$C$433,"Fibra"))*(SUMIFS(Acerto_Detalhado!$I$2:$I$433,Acerto_Detalhado!$A$2:$A$433,$D3843,Acerto_Detalhado!$B$2:$B$433,"Out",Acerto_Detalhado!$C$2:$C$433,"Fibra")),2)</f>
        <v>0</v>
      </c>
    </row>
    <row r="3844" customFormat="false" ht="15" hidden="false" customHeight="false" outlineLevel="0" collapsed="false">
      <c r="A3844" s="27" t="s">
        <v>120</v>
      </c>
      <c r="B3844" s="27" t="s">
        <v>111</v>
      </c>
      <c r="C3844" s="27" t="s">
        <v>40</v>
      </c>
      <c r="D3844" s="27" t="s">
        <v>39</v>
      </c>
      <c r="E3844" s="28" t="n">
        <f aca="false">ROUND((SUMIFS(Acerto_Detalhado!$F$2:$F$433,Acerto_Detalhado!$A$2:$A$433,$C3844,Acerto_Detalhado!$B$2:$B$433,"Out",Acerto_Detalhado!$C$2:$C$433,"Fibra"))*(SUMIFS(Acerto_Detalhado!$I$2:$I$433,Acerto_Detalhado!$A$2:$A$433,$D3844,Acerto_Detalhado!$B$2:$B$433,"Out",Acerto_Detalhado!$C$2:$C$433,"Fibra")),2)</f>
        <v>0</v>
      </c>
    </row>
    <row r="3845" customFormat="false" ht="15" hidden="false" customHeight="false" outlineLevel="0" collapsed="false">
      <c r="A3845" s="27" t="s">
        <v>120</v>
      </c>
      <c r="B3845" s="27" t="s">
        <v>111</v>
      </c>
      <c r="C3845" s="27" t="s">
        <v>40</v>
      </c>
      <c r="D3845" s="27" t="s">
        <v>41</v>
      </c>
      <c r="E3845" s="28" t="n">
        <f aca="false">ROUND((SUMIFS(Acerto_Detalhado!$F$2:$F$433,Acerto_Detalhado!$A$2:$A$433,$C3845,Acerto_Detalhado!$B$2:$B$433,"Out",Acerto_Detalhado!$C$2:$C$433,"Fibra"))*(SUMIFS(Acerto_Detalhado!$I$2:$I$433,Acerto_Detalhado!$A$2:$A$433,$D3845,Acerto_Detalhado!$B$2:$B$433,"Out",Acerto_Detalhado!$C$2:$C$433,"Fibra")),2)</f>
        <v>0</v>
      </c>
    </row>
    <row r="3846" customFormat="false" ht="15" hidden="false" customHeight="false" outlineLevel="0" collapsed="false">
      <c r="A3846" s="27" t="s">
        <v>120</v>
      </c>
      <c r="B3846" s="27" t="s">
        <v>111</v>
      </c>
      <c r="C3846" s="27" t="s">
        <v>40</v>
      </c>
      <c r="D3846" s="27" t="s">
        <v>42</v>
      </c>
      <c r="E3846" s="28" t="n">
        <f aca="false">ROUND((SUMIFS(Acerto_Detalhado!$F$2:$F$433,Acerto_Detalhado!$A$2:$A$433,$C3846,Acerto_Detalhado!$B$2:$B$433,"Out",Acerto_Detalhado!$C$2:$C$433,"Fibra"))*(SUMIFS(Acerto_Detalhado!$I$2:$I$433,Acerto_Detalhado!$A$2:$A$433,$D3846,Acerto_Detalhado!$B$2:$B$433,"Out",Acerto_Detalhado!$C$2:$C$433,"Fibra")),2)</f>
        <v>0</v>
      </c>
    </row>
    <row r="3847" customFormat="false" ht="15" hidden="false" customHeight="false" outlineLevel="0" collapsed="false">
      <c r="A3847" s="27" t="s">
        <v>120</v>
      </c>
      <c r="B3847" s="27" t="s">
        <v>111</v>
      </c>
      <c r="C3847" s="27" t="s">
        <v>40</v>
      </c>
      <c r="D3847" s="27" t="s">
        <v>43</v>
      </c>
      <c r="E3847" s="28" t="n">
        <f aca="false">ROUND((SUMIFS(Acerto_Detalhado!$F$2:$F$433,Acerto_Detalhado!$A$2:$A$433,$C3847,Acerto_Detalhado!$B$2:$B$433,"Out",Acerto_Detalhado!$C$2:$C$433,"Fibra"))*(SUMIFS(Acerto_Detalhado!$I$2:$I$433,Acerto_Detalhado!$A$2:$A$433,$D3847,Acerto_Detalhado!$B$2:$B$433,"Out",Acerto_Detalhado!$C$2:$C$433,"Fibra")),2)</f>
        <v>0</v>
      </c>
    </row>
    <row r="3848" customFormat="false" ht="15" hidden="false" customHeight="false" outlineLevel="0" collapsed="false">
      <c r="A3848" s="27" t="s">
        <v>120</v>
      </c>
      <c r="B3848" s="27" t="s">
        <v>111</v>
      </c>
      <c r="C3848" s="27" t="s">
        <v>40</v>
      </c>
      <c r="D3848" s="27" t="s">
        <v>44</v>
      </c>
      <c r="E3848" s="28" t="n">
        <f aca="false">ROUND((SUMIFS(Acerto_Detalhado!$F$2:$F$433,Acerto_Detalhado!$A$2:$A$433,$C3848,Acerto_Detalhado!$B$2:$B$433,"Out",Acerto_Detalhado!$C$2:$C$433,"Fibra"))*(SUMIFS(Acerto_Detalhado!$I$2:$I$433,Acerto_Detalhado!$A$2:$A$433,$D3848,Acerto_Detalhado!$B$2:$B$433,"Out",Acerto_Detalhado!$C$2:$C$433,"Fibra")),2)</f>
        <v>0</v>
      </c>
    </row>
    <row r="3849" customFormat="false" ht="15" hidden="false" customHeight="false" outlineLevel="0" collapsed="false">
      <c r="A3849" s="27" t="s">
        <v>120</v>
      </c>
      <c r="B3849" s="27" t="s">
        <v>111</v>
      </c>
      <c r="C3849" s="27" t="s">
        <v>40</v>
      </c>
      <c r="D3849" s="27" t="s">
        <v>45</v>
      </c>
      <c r="E3849" s="28" t="n">
        <f aca="false">ROUND((SUMIFS(Acerto_Detalhado!$F$2:$F$433,Acerto_Detalhado!$A$2:$A$433,$C3849,Acerto_Detalhado!$B$2:$B$433,"Out",Acerto_Detalhado!$C$2:$C$433,"Fibra"))*(SUMIFS(Acerto_Detalhado!$I$2:$I$433,Acerto_Detalhado!$A$2:$A$433,$D3849,Acerto_Detalhado!$B$2:$B$433,"Out",Acerto_Detalhado!$C$2:$C$433,"Fibra")),2)</f>
        <v>0</v>
      </c>
    </row>
    <row r="3850" customFormat="false" ht="15" hidden="false" customHeight="false" outlineLevel="0" collapsed="false">
      <c r="A3850" s="27" t="s">
        <v>120</v>
      </c>
      <c r="B3850" s="27" t="s">
        <v>111</v>
      </c>
      <c r="C3850" s="27" t="s">
        <v>40</v>
      </c>
      <c r="D3850" s="27" t="s">
        <v>46</v>
      </c>
      <c r="E3850" s="28" t="n">
        <f aca="false">ROUND((SUMIFS(Acerto_Detalhado!$F$2:$F$433,Acerto_Detalhado!$A$2:$A$433,$C3850,Acerto_Detalhado!$B$2:$B$433,"Out",Acerto_Detalhado!$C$2:$C$433,"Fibra"))*(SUMIFS(Acerto_Detalhado!$I$2:$I$433,Acerto_Detalhado!$A$2:$A$433,$D3850,Acerto_Detalhado!$B$2:$B$433,"Out",Acerto_Detalhado!$C$2:$C$433,"Fibra")),2)</f>
        <v>0</v>
      </c>
    </row>
    <row r="3851" customFormat="false" ht="15" hidden="false" customHeight="false" outlineLevel="0" collapsed="false">
      <c r="A3851" s="27" t="s">
        <v>120</v>
      </c>
      <c r="B3851" s="27" t="s">
        <v>111</v>
      </c>
      <c r="C3851" s="27" t="s">
        <v>40</v>
      </c>
      <c r="D3851" s="27" t="s">
        <v>47</v>
      </c>
      <c r="E3851" s="28" t="n">
        <f aca="false">ROUND((SUMIFS(Acerto_Detalhado!$F$2:$F$433,Acerto_Detalhado!$A$2:$A$433,$C3851,Acerto_Detalhado!$B$2:$B$433,"Out",Acerto_Detalhado!$C$2:$C$433,"Fibra"))*(SUMIFS(Acerto_Detalhado!$I$2:$I$433,Acerto_Detalhado!$A$2:$A$433,$D3851,Acerto_Detalhado!$B$2:$B$433,"Out",Acerto_Detalhado!$C$2:$C$433,"Fibra")),2)</f>
        <v>0</v>
      </c>
    </row>
    <row r="3852" customFormat="false" ht="15" hidden="false" customHeight="false" outlineLevel="0" collapsed="false">
      <c r="A3852" s="27" t="s">
        <v>120</v>
      </c>
      <c r="B3852" s="27" t="s">
        <v>111</v>
      </c>
      <c r="C3852" s="27" t="s">
        <v>40</v>
      </c>
      <c r="D3852" s="27" t="s">
        <v>48</v>
      </c>
      <c r="E3852" s="28" t="n">
        <f aca="false">ROUND((SUMIFS(Acerto_Detalhado!$F$2:$F$433,Acerto_Detalhado!$A$2:$A$433,$C3852,Acerto_Detalhado!$B$2:$B$433,"Out",Acerto_Detalhado!$C$2:$C$433,"Fibra"))*(SUMIFS(Acerto_Detalhado!$I$2:$I$433,Acerto_Detalhado!$A$2:$A$433,$D3852,Acerto_Detalhado!$B$2:$B$433,"Out",Acerto_Detalhado!$C$2:$C$433,"Fibra")),2)</f>
        <v>0</v>
      </c>
    </row>
    <row r="3853" customFormat="false" ht="15" hidden="false" customHeight="false" outlineLevel="0" collapsed="false">
      <c r="A3853" s="27" t="s">
        <v>120</v>
      </c>
      <c r="B3853" s="27" t="s">
        <v>111</v>
      </c>
      <c r="C3853" s="27" t="s">
        <v>40</v>
      </c>
      <c r="D3853" s="27" t="s">
        <v>49</v>
      </c>
      <c r="E3853" s="28" t="n">
        <f aca="false">ROUND((SUMIFS(Acerto_Detalhado!$F$2:$F$433,Acerto_Detalhado!$A$2:$A$433,$C3853,Acerto_Detalhado!$B$2:$B$433,"Out",Acerto_Detalhado!$C$2:$C$433,"Fibra"))*(SUMIFS(Acerto_Detalhado!$I$2:$I$433,Acerto_Detalhado!$A$2:$A$433,$D3853,Acerto_Detalhado!$B$2:$B$433,"Out",Acerto_Detalhado!$C$2:$C$433,"Fibra")),2)</f>
        <v>0</v>
      </c>
    </row>
    <row r="3854" customFormat="false" ht="15" hidden="false" customHeight="false" outlineLevel="0" collapsed="false">
      <c r="A3854" s="27" t="s">
        <v>120</v>
      </c>
      <c r="B3854" s="27" t="s">
        <v>111</v>
      </c>
      <c r="C3854" s="27" t="s">
        <v>40</v>
      </c>
      <c r="D3854" s="27" t="s">
        <v>50</v>
      </c>
      <c r="E3854" s="28" t="n">
        <f aca="false">ROUND((SUMIFS(Acerto_Detalhado!$F$2:$F$433,Acerto_Detalhado!$A$2:$A$433,$C3854,Acerto_Detalhado!$B$2:$B$433,"Out",Acerto_Detalhado!$C$2:$C$433,"Fibra"))*(SUMIFS(Acerto_Detalhado!$I$2:$I$433,Acerto_Detalhado!$A$2:$A$433,$D3854,Acerto_Detalhado!$B$2:$B$433,"Out",Acerto_Detalhado!$C$2:$C$433,"Fibra")),2)</f>
        <v>0</v>
      </c>
    </row>
    <row r="3855" customFormat="false" ht="15" hidden="false" customHeight="false" outlineLevel="0" collapsed="false">
      <c r="A3855" s="27" t="s">
        <v>120</v>
      </c>
      <c r="B3855" s="27" t="s">
        <v>111</v>
      </c>
      <c r="C3855" s="27" t="s">
        <v>41</v>
      </c>
      <c r="D3855" s="27" t="s">
        <v>39</v>
      </c>
      <c r="E3855" s="28" t="n">
        <f aca="false">ROUND((SUMIFS(Acerto_Detalhado!$F$2:$F$433,Acerto_Detalhado!$A$2:$A$433,$C3855,Acerto_Detalhado!$B$2:$B$433,"Out",Acerto_Detalhado!$C$2:$C$433,"Fibra"))*(SUMIFS(Acerto_Detalhado!$I$2:$I$433,Acerto_Detalhado!$A$2:$A$433,$D3855,Acerto_Detalhado!$B$2:$B$433,"Out",Acerto_Detalhado!$C$2:$C$433,"Fibra")),2)</f>
        <v>0</v>
      </c>
    </row>
    <row r="3856" customFormat="false" ht="15" hidden="false" customHeight="false" outlineLevel="0" collapsed="false">
      <c r="A3856" s="27" t="s">
        <v>120</v>
      </c>
      <c r="B3856" s="27" t="s">
        <v>111</v>
      </c>
      <c r="C3856" s="27" t="s">
        <v>41</v>
      </c>
      <c r="D3856" s="27" t="s">
        <v>40</v>
      </c>
      <c r="E3856" s="28" t="n">
        <f aca="false">ROUND((SUMIFS(Acerto_Detalhado!$F$2:$F$433,Acerto_Detalhado!$A$2:$A$433,$C3856,Acerto_Detalhado!$B$2:$B$433,"Out",Acerto_Detalhado!$C$2:$C$433,"Fibra"))*(SUMIFS(Acerto_Detalhado!$I$2:$I$433,Acerto_Detalhado!$A$2:$A$433,$D3856,Acerto_Detalhado!$B$2:$B$433,"Out",Acerto_Detalhado!$C$2:$C$433,"Fibra")),2)</f>
        <v>0</v>
      </c>
    </row>
    <row r="3857" customFormat="false" ht="15" hidden="false" customHeight="false" outlineLevel="0" collapsed="false">
      <c r="A3857" s="27" t="s">
        <v>120</v>
      </c>
      <c r="B3857" s="27" t="s">
        <v>111</v>
      </c>
      <c r="C3857" s="27" t="s">
        <v>41</v>
      </c>
      <c r="D3857" s="27" t="s">
        <v>42</v>
      </c>
      <c r="E3857" s="28" t="n">
        <f aca="false">ROUND((SUMIFS(Acerto_Detalhado!$F$2:$F$433,Acerto_Detalhado!$A$2:$A$433,$C3857,Acerto_Detalhado!$B$2:$B$433,"Out",Acerto_Detalhado!$C$2:$C$433,"Fibra"))*(SUMIFS(Acerto_Detalhado!$I$2:$I$433,Acerto_Detalhado!$A$2:$A$433,$D3857,Acerto_Detalhado!$B$2:$B$433,"Out",Acerto_Detalhado!$C$2:$C$433,"Fibra")),2)</f>
        <v>0</v>
      </c>
    </row>
    <row r="3858" customFormat="false" ht="15" hidden="false" customHeight="false" outlineLevel="0" collapsed="false">
      <c r="A3858" s="27" t="s">
        <v>120</v>
      </c>
      <c r="B3858" s="27" t="s">
        <v>111</v>
      </c>
      <c r="C3858" s="27" t="s">
        <v>41</v>
      </c>
      <c r="D3858" s="27" t="s">
        <v>43</v>
      </c>
      <c r="E3858" s="28" t="n">
        <f aca="false">ROUND((SUMIFS(Acerto_Detalhado!$F$2:$F$433,Acerto_Detalhado!$A$2:$A$433,$C3858,Acerto_Detalhado!$B$2:$B$433,"Out",Acerto_Detalhado!$C$2:$C$433,"Fibra"))*(SUMIFS(Acerto_Detalhado!$I$2:$I$433,Acerto_Detalhado!$A$2:$A$433,$D3858,Acerto_Detalhado!$B$2:$B$433,"Out",Acerto_Detalhado!$C$2:$C$433,"Fibra")),2)</f>
        <v>0</v>
      </c>
    </row>
    <row r="3859" customFormat="false" ht="15" hidden="false" customHeight="false" outlineLevel="0" collapsed="false">
      <c r="A3859" s="27" t="s">
        <v>120</v>
      </c>
      <c r="B3859" s="27" t="s">
        <v>111</v>
      </c>
      <c r="C3859" s="27" t="s">
        <v>41</v>
      </c>
      <c r="D3859" s="27" t="s">
        <v>44</v>
      </c>
      <c r="E3859" s="28" t="n">
        <f aca="false">ROUND((SUMIFS(Acerto_Detalhado!$F$2:$F$433,Acerto_Detalhado!$A$2:$A$433,$C3859,Acerto_Detalhado!$B$2:$B$433,"Out",Acerto_Detalhado!$C$2:$C$433,"Fibra"))*(SUMIFS(Acerto_Detalhado!$I$2:$I$433,Acerto_Detalhado!$A$2:$A$433,$D3859,Acerto_Detalhado!$B$2:$B$433,"Out",Acerto_Detalhado!$C$2:$C$433,"Fibra")),2)</f>
        <v>0</v>
      </c>
    </row>
    <row r="3860" customFormat="false" ht="15" hidden="false" customHeight="false" outlineLevel="0" collapsed="false">
      <c r="A3860" s="27" t="s">
        <v>120</v>
      </c>
      <c r="B3860" s="27" t="s">
        <v>111</v>
      </c>
      <c r="C3860" s="27" t="s">
        <v>41</v>
      </c>
      <c r="D3860" s="27" t="s">
        <v>45</v>
      </c>
      <c r="E3860" s="28" t="n">
        <f aca="false">ROUND((SUMIFS(Acerto_Detalhado!$F$2:$F$433,Acerto_Detalhado!$A$2:$A$433,$C3860,Acerto_Detalhado!$B$2:$B$433,"Out",Acerto_Detalhado!$C$2:$C$433,"Fibra"))*(SUMIFS(Acerto_Detalhado!$I$2:$I$433,Acerto_Detalhado!$A$2:$A$433,$D3860,Acerto_Detalhado!$B$2:$B$433,"Out",Acerto_Detalhado!$C$2:$C$433,"Fibra")),2)</f>
        <v>0</v>
      </c>
    </row>
    <row r="3861" customFormat="false" ht="15" hidden="false" customHeight="false" outlineLevel="0" collapsed="false">
      <c r="A3861" s="27" t="s">
        <v>120</v>
      </c>
      <c r="B3861" s="27" t="s">
        <v>111</v>
      </c>
      <c r="C3861" s="27" t="s">
        <v>41</v>
      </c>
      <c r="D3861" s="27" t="s">
        <v>46</v>
      </c>
      <c r="E3861" s="28" t="n">
        <f aca="false">ROUND((SUMIFS(Acerto_Detalhado!$F$2:$F$433,Acerto_Detalhado!$A$2:$A$433,$C3861,Acerto_Detalhado!$B$2:$B$433,"Out",Acerto_Detalhado!$C$2:$C$433,"Fibra"))*(SUMIFS(Acerto_Detalhado!$I$2:$I$433,Acerto_Detalhado!$A$2:$A$433,$D3861,Acerto_Detalhado!$B$2:$B$433,"Out",Acerto_Detalhado!$C$2:$C$433,"Fibra")),2)</f>
        <v>0</v>
      </c>
    </row>
    <row r="3862" customFormat="false" ht="15" hidden="false" customHeight="false" outlineLevel="0" collapsed="false">
      <c r="A3862" s="27" t="s">
        <v>120</v>
      </c>
      <c r="B3862" s="27" t="s">
        <v>111</v>
      </c>
      <c r="C3862" s="27" t="s">
        <v>41</v>
      </c>
      <c r="D3862" s="27" t="s">
        <v>47</v>
      </c>
      <c r="E3862" s="28" t="n">
        <f aca="false">ROUND((SUMIFS(Acerto_Detalhado!$F$2:$F$433,Acerto_Detalhado!$A$2:$A$433,$C3862,Acerto_Detalhado!$B$2:$B$433,"Out",Acerto_Detalhado!$C$2:$C$433,"Fibra"))*(SUMIFS(Acerto_Detalhado!$I$2:$I$433,Acerto_Detalhado!$A$2:$A$433,$D3862,Acerto_Detalhado!$B$2:$B$433,"Out",Acerto_Detalhado!$C$2:$C$433,"Fibra")),2)</f>
        <v>0</v>
      </c>
    </row>
    <row r="3863" customFormat="false" ht="15" hidden="false" customHeight="false" outlineLevel="0" collapsed="false">
      <c r="A3863" s="27" t="s">
        <v>120</v>
      </c>
      <c r="B3863" s="27" t="s">
        <v>111</v>
      </c>
      <c r="C3863" s="27" t="s">
        <v>41</v>
      </c>
      <c r="D3863" s="27" t="s">
        <v>48</v>
      </c>
      <c r="E3863" s="28" t="n">
        <f aca="false">ROUND((SUMIFS(Acerto_Detalhado!$F$2:$F$433,Acerto_Detalhado!$A$2:$A$433,$C3863,Acerto_Detalhado!$B$2:$B$433,"Out",Acerto_Detalhado!$C$2:$C$433,"Fibra"))*(SUMIFS(Acerto_Detalhado!$I$2:$I$433,Acerto_Detalhado!$A$2:$A$433,$D3863,Acerto_Detalhado!$B$2:$B$433,"Out",Acerto_Detalhado!$C$2:$C$433,"Fibra")),2)</f>
        <v>0</v>
      </c>
    </row>
    <row r="3864" customFormat="false" ht="15" hidden="false" customHeight="false" outlineLevel="0" collapsed="false">
      <c r="A3864" s="27" t="s">
        <v>120</v>
      </c>
      <c r="B3864" s="27" t="s">
        <v>111</v>
      </c>
      <c r="C3864" s="27" t="s">
        <v>41</v>
      </c>
      <c r="D3864" s="27" t="s">
        <v>49</v>
      </c>
      <c r="E3864" s="28" t="n">
        <f aca="false">ROUND((SUMIFS(Acerto_Detalhado!$F$2:$F$433,Acerto_Detalhado!$A$2:$A$433,$C3864,Acerto_Detalhado!$B$2:$B$433,"Out",Acerto_Detalhado!$C$2:$C$433,"Fibra"))*(SUMIFS(Acerto_Detalhado!$I$2:$I$433,Acerto_Detalhado!$A$2:$A$433,$D3864,Acerto_Detalhado!$B$2:$B$433,"Out",Acerto_Detalhado!$C$2:$C$433,"Fibra")),2)</f>
        <v>0</v>
      </c>
    </row>
    <row r="3865" customFormat="false" ht="15" hidden="false" customHeight="false" outlineLevel="0" collapsed="false">
      <c r="A3865" s="27" t="s">
        <v>120</v>
      </c>
      <c r="B3865" s="27" t="s">
        <v>111</v>
      </c>
      <c r="C3865" s="27" t="s">
        <v>41</v>
      </c>
      <c r="D3865" s="27" t="s">
        <v>50</v>
      </c>
      <c r="E3865" s="28" t="n">
        <f aca="false">ROUND((SUMIFS(Acerto_Detalhado!$F$2:$F$433,Acerto_Detalhado!$A$2:$A$433,$C3865,Acerto_Detalhado!$B$2:$B$433,"Out",Acerto_Detalhado!$C$2:$C$433,"Fibra"))*(SUMIFS(Acerto_Detalhado!$I$2:$I$433,Acerto_Detalhado!$A$2:$A$433,$D3865,Acerto_Detalhado!$B$2:$B$433,"Out",Acerto_Detalhado!$C$2:$C$433,"Fibra")),2)</f>
        <v>0</v>
      </c>
    </row>
    <row r="3866" customFormat="false" ht="15" hidden="false" customHeight="false" outlineLevel="0" collapsed="false">
      <c r="A3866" s="27" t="s">
        <v>120</v>
      </c>
      <c r="B3866" s="27" t="s">
        <v>111</v>
      </c>
      <c r="C3866" s="27" t="s">
        <v>42</v>
      </c>
      <c r="D3866" s="27" t="s">
        <v>39</v>
      </c>
      <c r="E3866" s="28" t="n">
        <f aca="false">ROUND((SUMIFS(Acerto_Detalhado!$F$2:$F$433,Acerto_Detalhado!$A$2:$A$433,$C3866,Acerto_Detalhado!$B$2:$B$433,"Out",Acerto_Detalhado!$C$2:$C$433,"Fibra"))*(SUMIFS(Acerto_Detalhado!$I$2:$I$433,Acerto_Detalhado!$A$2:$A$433,$D3866,Acerto_Detalhado!$B$2:$B$433,"Out",Acerto_Detalhado!$C$2:$C$433,"Fibra")),2)</f>
        <v>0</v>
      </c>
    </row>
    <row r="3867" customFormat="false" ht="15" hidden="false" customHeight="false" outlineLevel="0" collapsed="false">
      <c r="A3867" s="27" t="s">
        <v>120</v>
      </c>
      <c r="B3867" s="27" t="s">
        <v>111</v>
      </c>
      <c r="C3867" s="27" t="s">
        <v>42</v>
      </c>
      <c r="D3867" s="27" t="s">
        <v>40</v>
      </c>
      <c r="E3867" s="28" t="n">
        <f aca="false">ROUND((SUMIFS(Acerto_Detalhado!$F$2:$F$433,Acerto_Detalhado!$A$2:$A$433,$C3867,Acerto_Detalhado!$B$2:$B$433,"Out",Acerto_Detalhado!$C$2:$C$433,"Fibra"))*(SUMIFS(Acerto_Detalhado!$I$2:$I$433,Acerto_Detalhado!$A$2:$A$433,$D3867,Acerto_Detalhado!$B$2:$B$433,"Out",Acerto_Detalhado!$C$2:$C$433,"Fibra")),2)</f>
        <v>0</v>
      </c>
    </row>
    <row r="3868" customFormat="false" ht="15" hidden="false" customHeight="false" outlineLevel="0" collapsed="false">
      <c r="A3868" s="27" t="s">
        <v>120</v>
      </c>
      <c r="B3868" s="27" t="s">
        <v>111</v>
      </c>
      <c r="C3868" s="27" t="s">
        <v>42</v>
      </c>
      <c r="D3868" s="27" t="s">
        <v>41</v>
      </c>
      <c r="E3868" s="28" t="n">
        <f aca="false">ROUND((SUMIFS(Acerto_Detalhado!$F$2:$F$433,Acerto_Detalhado!$A$2:$A$433,$C3868,Acerto_Detalhado!$B$2:$B$433,"Out",Acerto_Detalhado!$C$2:$C$433,"Fibra"))*(SUMIFS(Acerto_Detalhado!$I$2:$I$433,Acerto_Detalhado!$A$2:$A$433,$D3868,Acerto_Detalhado!$B$2:$B$433,"Out",Acerto_Detalhado!$C$2:$C$433,"Fibra")),2)</f>
        <v>0</v>
      </c>
    </row>
    <row r="3869" customFormat="false" ht="15" hidden="false" customHeight="false" outlineLevel="0" collapsed="false">
      <c r="A3869" s="27" t="s">
        <v>120</v>
      </c>
      <c r="B3869" s="27" t="s">
        <v>111</v>
      </c>
      <c r="C3869" s="27" t="s">
        <v>42</v>
      </c>
      <c r="D3869" s="27" t="s">
        <v>43</v>
      </c>
      <c r="E3869" s="28" t="n">
        <f aca="false">ROUND((SUMIFS(Acerto_Detalhado!$F$2:$F$433,Acerto_Detalhado!$A$2:$A$433,$C3869,Acerto_Detalhado!$B$2:$B$433,"Out",Acerto_Detalhado!$C$2:$C$433,"Fibra"))*(SUMIFS(Acerto_Detalhado!$I$2:$I$433,Acerto_Detalhado!$A$2:$A$433,$D3869,Acerto_Detalhado!$B$2:$B$433,"Out",Acerto_Detalhado!$C$2:$C$433,"Fibra")),2)</f>
        <v>0</v>
      </c>
    </row>
    <row r="3870" customFormat="false" ht="15" hidden="false" customHeight="false" outlineLevel="0" collapsed="false">
      <c r="A3870" s="27" t="s">
        <v>120</v>
      </c>
      <c r="B3870" s="27" t="s">
        <v>111</v>
      </c>
      <c r="C3870" s="27" t="s">
        <v>42</v>
      </c>
      <c r="D3870" s="27" t="s">
        <v>44</v>
      </c>
      <c r="E3870" s="28" t="n">
        <f aca="false">ROUND((SUMIFS(Acerto_Detalhado!$F$2:$F$433,Acerto_Detalhado!$A$2:$A$433,$C3870,Acerto_Detalhado!$B$2:$B$433,"Out",Acerto_Detalhado!$C$2:$C$433,"Fibra"))*(SUMIFS(Acerto_Detalhado!$I$2:$I$433,Acerto_Detalhado!$A$2:$A$433,$D3870,Acerto_Detalhado!$B$2:$B$433,"Out",Acerto_Detalhado!$C$2:$C$433,"Fibra")),2)</f>
        <v>0</v>
      </c>
    </row>
    <row r="3871" customFormat="false" ht="15" hidden="false" customHeight="false" outlineLevel="0" collapsed="false">
      <c r="A3871" s="27" t="s">
        <v>120</v>
      </c>
      <c r="B3871" s="27" t="s">
        <v>111</v>
      </c>
      <c r="C3871" s="27" t="s">
        <v>42</v>
      </c>
      <c r="D3871" s="27" t="s">
        <v>45</v>
      </c>
      <c r="E3871" s="28" t="n">
        <f aca="false">ROUND((SUMIFS(Acerto_Detalhado!$F$2:$F$433,Acerto_Detalhado!$A$2:$A$433,$C3871,Acerto_Detalhado!$B$2:$B$433,"Out",Acerto_Detalhado!$C$2:$C$433,"Fibra"))*(SUMIFS(Acerto_Detalhado!$I$2:$I$433,Acerto_Detalhado!$A$2:$A$433,$D3871,Acerto_Detalhado!$B$2:$B$433,"Out",Acerto_Detalhado!$C$2:$C$433,"Fibra")),2)</f>
        <v>0</v>
      </c>
    </row>
    <row r="3872" customFormat="false" ht="15" hidden="false" customHeight="false" outlineLevel="0" collapsed="false">
      <c r="A3872" s="27" t="s">
        <v>120</v>
      </c>
      <c r="B3872" s="27" t="s">
        <v>111</v>
      </c>
      <c r="C3872" s="27" t="s">
        <v>42</v>
      </c>
      <c r="D3872" s="27" t="s">
        <v>46</v>
      </c>
      <c r="E3872" s="28" t="n">
        <f aca="false">ROUND((SUMIFS(Acerto_Detalhado!$F$2:$F$433,Acerto_Detalhado!$A$2:$A$433,$C3872,Acerto_Detalhado!$B$2:$B$433,"Out",Acerto_Detalhado!$C$2:$C$433,"Fibra"))*(SUMIFS(Acerto_Detalhado!$I$2:$I$433,Acerto_Detalhado!$A$2:$A$433,$D3872,Acerto_Detalhado!$B$2:$B$433,"Out",Acerto_Detalhado!$C$2:$C$433,"Fibra")),2)</f>
        <v>0</v>
      </c>
    </row>
    <row r="3873" customFormat="false" ht="15" hidden="false" customHeight="false" outlineLevel="0" collapsed="false">
      <c r="A3873" s="27" t="s">
        <v>120</v>
      </c>
      <c r="B3873" s="27" t="s">
        <v>111</v>
      </c>
      <c r="C3873" s="27" t="s">
        <v>42</v>
      </c>
      <c r="D3873" s="27" t="s">
        <v>47</v>
      </c>
      <c r="E3873" s="28" t="n">
        <f aca="false">ROUND((SUMIFS(Acerto_Detalhado!$F$2:$F$433,Acerto_Detalhado!$A$2:$A$433,$C3873,Acerto_Detalhado!$B$2:$B$433,"Out",Acerto_Detalhado!$C$2:$C$433,"Fibra"))*(SUMIFS(Acerto_Detalhado!$I$2:$I$433,Acerto_Detalhado!$A$2:$A$433,$D3873,Acerto_Detalhado!$B$2:$B$433,"Out",Acerto_Detalhado!$C$2:$C$433,"Fibra")),2)</f>
        <v>0</v>
      </c>
    </row>
    <row r="3874" customFormat="false" ht="15" hidden="false" customHeight="false" outlineLevel="0" collapsed="false">
      <c r="A3874" s="27" t="s">
        <v>120</v>
      </c>
      <c r="B3874" s="27" t="s">
        <v>111</v>
      </c>
      <c r="C3874" s="27" t="s">
        <v>42</v>
      </c>
      <c r="D3874" s="27" t="s">
        <v>48</v>
      </c>
      <c r="E3874" s="28" t="n">
        <f aca="false">ROUND((SUMIFS(Acerto_Detalhado!$F$2:$F$433,Acerto_Detalhado!$A$2:$A$433,$C3874,Acerto_Detalhado!$B$2:$B$433,"Out",Acerto_Detalhado!$C$2:$C$433,"Fibra"))*(SUMIFS(Acerto_Detalhado!$I$2:$I$433,Acerto_Detalhado!$A$2:$A$433,$D3874,Acerto_Detalhado!$B$2:$B$433,"Out",Acerto_Detalhado!$C$2:$C$433,"Fibra")),2)</f>
        <v>0</v>
      </c>
    </row>
    <row r="3875" customFormat="false" ht="15" hidden="false" customHeight="false" outlineLevel="0" collapsed="false">
      <c r="A3875" s="27" t="s">
        <v>120</v>
      </c>
      <c r="B3875" s="27" t="s">
        <v>111</v>
      </c>
      <c r="C3875" s="27" t="s">
        <v>42</v>
      </c>
      <c r="D3875" s="27" t="s">
        <v>49</v>
      </c>
      <c r="E3875" s="28" t="n">
        <f aca="false">ROUND((SUMIFS(Acerto_Detalhado!$F$2:$F$433,Acerto_Detalhado!$A$2:$A$433,$C3875,Acerto_Detalhado!$B$2:$B$433,"Out",Acerto_Detalhado!$C$2:$C$433,"Fibra"))*(SUMIFS(Acerto_Detalhado!$I$2:$I$433,Acerto_Detalhado!$A$2:$A$433,$D3875,Acerto_Detalhado!$B$2:$B$433,"Out",Acerto_Detalhado!$C$2:$C$433,"Fibra")),2)</f>
        <v>0</v>
      </c>
    </row>
    <row r="3876" customFormat="false" ht="15" hidden="false" customHeight="false" outlineLevel="0" collapsed="false">
      <c r="A3876" s="27" t="s">
        <v>120</v>
      </c>
      <c r="B3876" s="27" t="s">
        <v>111</v>
      </c>
      <c r="C3876" s="27" t="s">
        <v>42</v>
      </c>
      <c r="D3876" s="27" t="s">
        <v>50</v>
      </c>
      <c r="E3876" s="28" t="n">
        <f aca="false">ROUND((SUMIFS(Acerto_Detalhado!$F$2:$F$433,Acerto_Detalhado!$A$2:$A$433,$C3876,Acerto_Detalhado!$B$2:$B$433,"Out",Acerto_Detalhado!$C$2:$C$433,"Fibra"))*(SUMIFS(Acerto_Detalhado!$I$2:$I$433,Acerto_Detalhado!$A$2:$A$433,$D3876,Acerto_Detalhado!$B$2:$B$433,"Out",Acerto_Detalhado!$C$2:$C$433,"Fibra")),2)</f>
        <v>0</v>
      </c>
    </row>
    <row r="3877" customFormat="false" ht="15" hidden="false" customHeight="false" outlineLevel="0" collapsed="false">
      <c r="A3877" s="27" t="s">
        <v>120</v>
      </c>
      <c r="B3877" s="27" t="s">
        <v>111</v>
      </c>
      <c r="C3877" s="27" t="s">
        <v>43</v>
      </c>
      <c r="D3877" s="27" t="s">
        <v>39</v>
      </c>
      <c r="E3877" s="28" t="n">
        <f aca="false">ROUND((SUMIFS(Acerto_Detalhado!$F$2:$F$433,Acerto_Detalhado!$A$2:$A$433,$C3877,Acerto_Detalhado!$B$2:$B$433,"Out",Acerto_Detalhado!$C$2:$C$433,"Fibra"))*(SUMIFS(Acerto_Detalhado!$I$2:$I$433,Acerto_Detalhado!$A$2:$A$433,$D3877,Acerto_Detalhado!$B$2:$B$433,"Out",Acerto_Detalhado!$C$2:$C$433,"Fibra")),2)</f>
        <v>0</v>
      </c>
    </row>
    <row r="3878" customFormat="false" ht="15" hidden="false" customHeight="false" outlineLevel="0" collapsed="false">
      <c r="A3878" s="27" t="s">
        <v>120</v>
      </c>
      <c r="B3878" s="27" t="s">
        <v>111</v>
      </c>
      <c r="C3878" s="27" t="s">
        <v>43</v>
      </c>
      <c r="D3878" s="27" t="s">
        <v>40</v>
      </c>
      <c r="E3878" s="28" t="n">
        <f aca="false">ROUND((SUMIFS(Acerto_Detalhado!$F$2:$F$433,Acerto_Detalhado!$A$2:$A$433,$C3878,Acerto_Detalhado!$B$2:$B$433,"Out",Acerto_Detalhado!$C$2:$C$433,"Fibra"))*(SUMIFS(Acerto_Detalhado!$I$2:$I$433,Acerto_Detalhado!$A$2:$A$433,$D3878,Acerto_Detalhado!$B$2:$B$433,"Out",Acerto_Detalhado!$C$2:$C$433,"Fibra")),2)</f>
        <v>0</v>
      </c>
    </row>
    <row r="3879" customFormat="false" ht="15" hidden="false" customHeight="false" outlineLevel="0" collapsed="false">
      <c r="A3879" s="27" t="s">
        <v>120</v>
      </c>
      <c r="B3879" s="27" t="s">
        <v>111</v>
      </c>
      <c r="C3879" s="27" t="s">
        <v>43</v>
      </c>
      <c r="D3879" s="27" t="s">
        <v>41</v>
      </c>
      <c r="E3879" s="28" t="n">
        <f aca="false">ROUND((SUMIFS(Acerto_Detalhado!$F$2:$F$433,Acerto_Detalhado!$A$2:$A$433,$C3879,Acerto_Detalhado!$B$2:$B$433,"Out",Acerto_Detalhado!$C$2:$C$433,"Fibra"))*(SUMIFS(Acerto_Detalhado!$I$2:$I$433,Acerto_Detalhado!$A$2:$A$433,$D3879,Acerto_Detalhado!$B$2:$B$433,"Out",Acerto_Detalhado!$C$2:$C$433,"Fibra")),2)</f>
        <v>0</v>
      </c>
    </row>
    <row r="3880" customFormat="false" ht="15" hidden="false" customHeight="false" outlineLevel="0" collapsed="false">
      <c r="A3880" s="27" t="s">
        <v>120</v>
      </c>
      <c r="B3880" s="27" t="s">
        <v>111</v>
      </c>
      <c r="C3880" s="27" t="s">
        <v>43</v>
      </c>
      <c r="D3880" s="27" t="s">
        <v>42</v>
      </c>
      <c r="E3880" s="28" t="n">
        <f aca="false">ROUND((SUMIFS(Acerto_Detalhado!$F$2:$F$433,Acerto_Detalhado!$A$2:$A$433,$C3880,Acerto_Detalhado!$B$2:$B$433,"Out",Acerto_Detalhado!$C$2:$C$433,"Fibra"))*(SUMIFS(Acerto_Detalhado!$I$2:$I$433,Acerto_Detalhado!$A$2:$A$433,$D3880,Acerto_Detalhado!$B$2:$B$433,"Out",Acerto_Detalhado!$C$2:$C$433,"Fibra")),2)</f>
        <v>0</v>
      </c>
    </row>
    <row r="3881" customFormat="false" ht="15" hidden="false" customHeight="false" outlineLevel="0" collapsed="false">
      <c r="A3881" s="27" t="s">
        <v>120</v>
      </c>
      <c r="B3881" s="27" t="s">
        <v>111</v>
      </c>
      <c r="C3881" s="27" t="s">
        <v>43</v>
      </c>
      <c r="D3881" s="27" t="s">
        <v>44</v>
      </c>
      <c r="E3881" s="28" t="n">
        <f aca="false">ROUND((SUMIFS(Acerto_Detalhado!$F$2:$F$433,Acerto_Detalhado!$A$2:$A$433,$C3881,Acerto_Detalhado!$B$2:$B$433,"Out",Acerto_Detalhado!$C$2:$C$433,"Fibra"))*(SUMIFS(Acerto_Detalhado!$I$2:$I$433,Acerto_Detalhado!$A$2:$A$433,$D3881,Acerto_Detalhado!$B$2:$B$433,"Out",Acerto_Detalhado!$C$2:$C$433,"Fibra")),2)</f>
        <v>0</v>
      </c>
    </row>
    <row r="3882" customFormat="false" ht="15" hidden="false" customHeight="false" outlineLevel="0" collapsed="false">
      <c r="A3882" s="27" t="s">
        <v>120</v>
      </c>
      <c r="B3882" s="27" t="s">
        <v>111</v>
      </c>
      <c r="C3882" s="27" t="s">
        <v>43</v>
      </c>
      <c r="D3882" s="27" t="s">
        <v>45</v>
      </c>
      <c r="E3882" s="28" t="n">
        <f aca="false">ROUND((SUMIFS(Acerto_Detalhado!$F$2:$F$433,Acerto_Detalhado!$A$2:$A$433,$C3882,Acerto_Detalhado!$B$2:$B$433,"Out",Acerto_Detalhado!$C$2:$C$433,"Fibra"))*(SUMIFS(Acerto_Detalhado!$I$2:$I$433,Acerto_Detalhado!$A$2:$A$433,$D3882,Acerto_Detalhado!$B$2:$B$433,"Out",Acerto_Detalhado!$C$2:$C$433,"Fibra")),2)</f>
        <v>0</v>
      </c>
    </row>
    <row r="3883" customFormat="false" ht="15" hidden="false" customHeight="false" outlineLevel="0" collapsed="false">
      <c r="A3883" s="27" t="s">
        <v>120</v>
      </c>
      <c r="B3883" s="27" t="s">
        <v>111</v>
      </c>
      <c r="C3883" s="27" t="s">
        <v>43</v>
      </c>
      <c r="D3883" s="27" t="s">
        <v>46</v>
      </c>
      <c r="E3883" s="28" t="n">
        <f aca="false">ROUND((SUMIFS(Acerto_Detalhado!$F$2:$F$433,Acerto_Detalhado!$A$2:$A$433,$C3883,Acerto_Detalhado!$B$2:$B$433,"Out",Acerto_Detalhado!$C$2:$C$433,"Fibra"))*(SUMIFS(Acerto_Detalhado!$I$2:$I$433,Acerto_Detalhado!$A$2:$A$433,$D3883,Acerto_Detalhado!$B$2:$B$433,"Out",Acerto_Detalhado!$C$2:$C$433,"Fibra")),2)</f>
        <v>0</v>
      </c>
    </row>
    <row r="3884" customFormat="false" ht="15" hidden="false" customHeight="false" outlineLevel="0" collapsed="false">
      <c r="A3884" s="27" t="s">
        <v>120</v>
      </c>
      <c r="B3884" s="27" t="s">
        <v>111</v>
      </c>
      <c r="C3884" s="27" t="s">
        <v>43</v>
      </c>
      <c r="D3884" s="27" t="s">
        <v>47</v>
      </c>
      <c r="E3884" s="28" t="n">
        <f aca="false">ROUND((SUMIFS(Acerto_Detalhado!$F$2:$F$433,Acerto_Detalhado!$A$2:$A$433,$C3884,Acerto_Detalhado!$B$2:$B$433,"Out",Acerto_Detalhado!$C$2:$C$433,"Fibra"))*(SUMIFS(Acerto_Detalhado!$I$2:$I$433,Acerto_Detalhado!$A$2:$A$433,$D3884,Acerto_Detalhado!$B$2:$B$433,"Out",Acerto_Detalhado!$C$2:$C$433,"Fibra")),2)</f>
        <v>0</v>
      </c>
    </row>
    <row r="3885" customFormat="false" ht="15" hidden="false" customHeight="false" outlineLevel="0" collapsed="false">
      <c r="A3885" s="27" t="s">
        <v>120</v>
      </c>
      <c r="B3885" s="27" t="s">
        <v>111</v>
      </c>
      <c r="C3885" s="27" t="s">
        <v>43</v>
      </c>
      <c r="D3885" s="27" t="s">
        <v>48</v>
      </c>
      <c r="E3885" s="28" t="n">
        <f aca="false">ROUND((SUMIFS(Acerto_Detalhado!$F$2:$F$433,Acerto_Detalhado!$A$2:$A$433,$C3885,Acerto_Detalhado!$B$2:$B$433,"Out",Acerto_Detalhado!$C$2:$C$433,"Fibra"))*(SUMIFS(Acerto_Detalhado!$I$2:$I$433,Acerto_Detalhado!$A$2:$A$433,$D3885,Acerto_Detalhado!$B$2:$B$433,"Out",Acerto_Detalhado!$C$2:$C$433,"Fibra")),2)</f>
        <v>0</v>
      </c>
    </row>
    <row r="3886" customFormat="false" ht="15" hidden="false" customHeight="false" outlineLevel="0" collapsed="false">
      <c r="A3886" s="27" t="s">
        <v>120</v>
      </c>
      <c r="B3886" s="27" t="s">
        <v>111</v>
      </c>
      <c r="C3886" s="27" t="s">
        <v>43</v>
      </c>
      <c r="D3886" s="27" t="s">
        <v>49</v>
      </c>
      <c r="E3886" s="28" t="n">
        <f aca="false">ROUND((SUMIFS(Acerto_Detalhado!$F$2:$F$433,Acerto_Detalhado!$A$2:$A$433,$C3886,Acerto_Detalhado!$B$2:$B$433,"Out",Acerto_Detalhado!$C$2:$C$433,"Fibra"))*(SUMIFS(Acerto_Detalhado!$I$2:$I$433,Acerto_Detalhado!$A$2:$A$433,$D3886,Acerto_Detalhado!$B$2:$B$433,"Out",Acerto_Detalhado!$C$2:$C$433,"Fibra")),2)</f>
        <v>0</v>
      </c>
    </row>
    <row r="3887" customFormat="false" ht="15" hidden="false" customHeight="false" outlineLevel="0" collapsed="false">
      <c r="A3887" s="27" t="s">
        <v>120</v>
      </c>
      <c r="B3887" s="27" t="s">
        <v>111</v>
      </c>
      <c r="C3887" s="27" t="s">
        <v>43</v>
      </c>
      <c r="D3887" s="27" t="s">
        <v>50</v>
      </c>
      <c r="E3887" s="28" t="n">
        <f aca="false">ROUND((SUMIFS(Acerto_Detalhado!$F$2:$F$433,Acerto_Detalhado!$A$2:$A$433,$C3887,Acerto_Detalhado!$B$2:$B$433,"Out",Acerto_Detalhado!$C$2:$C$433,"Fibra"))*(SUMIFS(Acerto_Detalhado!$I$2:$I$433,Acerto_Detalhado!$A$2:$A$433,$D3887,Acerto_Detalhado!$B$2:$B$433,"Out",Acerto_Detalhado!$C$2:$C$433,"Fibra")),2)</f>
        <v>0</v>
      </c>
    </row>
    <row r="3888" customFormat="false" ht="15" hidden="false" customHeight="false" outlineLevel="0" collapsed="false">
      <c r="A3888" s="27" t="s">
        <v>120</v>
      </c>
      <c r="B3888" s="27" t="s">
        <v>111</v>
      </c>
      <c r="C3888" s="27" t="s">
        <v>44</v>
      </c>
      <c r="D3888" s="27" t="s">
        <v>39</v>
      </c>
      <c r="E3888" s="28" t="n">
        <f aca="false">ROUND((SUMIFS(Acerto_Detalhado!$F$2:$F$433,Acerto_Detalhado!$A$2:$A$433,$C3888,Acerto_Detalhado!$B$2:$B$433,"Out",Acerto_Detalhado!$C$2:$C$433,"Fibra"))*(SUMIFS(Acerto_Detalhado!$I$2:$I$433,Acerto_Detalhado!$A$2:$A$433,$D3888,Acerto_Detalhado!$B$2:$B$433,"Out",Acerto_Detalhado!$C$2:$C$433,"Fibra")),2)</f>
        <v>0</v>
      </c>
    </row>
    <row r="3889" customFormat="false" ht="15" hidden="false" customHeight="false" outlineLevel="0" collapsed="false">
      <c r="A3889" s="27" t="s">
        <v>120</v>
      </c>
      <c r="B3889" s="27" t="s">
        <v>111</v>
      </c>
      <c r="C3889" s="27" t="s">
        <v>44</v>
      </c>
      <c r="D3889" s="27" t="s">
        <v>40</v>
      </c>
      <c r="E3889" s="28" t="n">
        <f aca="false">ROUND((SUMIFS(Acerto_Detalhado!$F$2:$F$433,Acerto_Detalhado!$A$2:$A$433,$C3889,Acerto_Detalhado!$B$2:$B$433,"Out",Acerto_Detalhado!$C$2:$C$433,"Fibra"))*(SUMIFS(Acerto_Detalhado!$I$2:$I$433,Acerto_Detalhado!$A$2:$A$433,$D3889,Acerto_Detalhado!$B$2:$B$433,"Out",Acerto_Detalhado!$C$2:$C$433,"Fibra")),2)</f>
        <v>0</v>
      </c>
    </row>
    <row r="3890" customFormat="false" ht="15" hidden="false" customHeight="false" outlineLevel="0" collapsed="false">
      <c r="A3890" s="27" t="s">
        <v>120</v>
      </c>
      <c r="B3890" s="27" t="s">
        <v>111</v>
      </c>
      <c r="C3890" s="27" t="s">
        <v>44</v>
      </c>
      <c r="D3890" s="27" t="s">
        <v>41</v>
      </c>
      <c r="E3890" s="28" t="n">
        <f aca="false">ROUND((SUMIFS(Acerto_Detalhado!$F$2:$F$433,Acerto_Detalhado!$A$2:$A$433,$C3890,Acerto_Detalhado!$B$2:$B$433,"Out",Acerto_Detalhado!$C$2:$C$433,"Fibra"))*(SUMIFS(Acerto_Detalhado!$I$2:$I$433,Acerto_Detalhado!$A$2:$A$433,$D3890,Acerto_Detalhado!$B$2:$B$433,"Out",Acerto_Detalhado!$C$2:$C$433,"Fibra")),2)</f>
        <v>0</v>
      </c>
    </row>
    <row r="3891" customFormat="false" ht="15" hidden="false" customHeight="false" outlineLevel="0" collapsed="false">
      <c r="A3891" s="27" t="s">
        <v>120</v>
      </c>
      <c r="B3891" s="27" t="s">
        <v>111</v>
      </c>
      <c r="C3891" s="27" t="s">
        <v>44</v>
      </c>
      <c r="D3891" s="27" t="s">
        <v>42</v>
      </c>
      <c r="E3891" s="28" t="n">
        <f aca="false">ROUND((SUMIFS(Acerto_Detalhado!$F$2:$F$433,Acerto_Detalhado!$A$2:$A$433,$C3891,Acerto_Detalhado!$B$2:$B$433,"Out",Acerto_Detalhado!$C$2:$C$433,"Fibra"))*(SUMIFS(Acerto_Detalhado!$I$2:$I$433,Acerto_Detalhado!$A$2:$A$433,$D3891,Acerto_Detalhado!$B$2:$B$433,"Out",Acerto_Detalhado!$C$2:$C$433,"Fibra")),2)</f>
        <v>0</v>
      </c>
    </row>
    <row r="3892" customFormat="false" ht="15" hidden="false" customHeight="false" outlineLevel="0" collapsed="false">
      <c r="A3892" s="27" t="s">
        <v>120</v>
      </c>
      <c r="B3892" s="27" t="s">
        <v>111</v>
      </c>
      <c r="C3892" s="27" t="s">
        <v>44</v>
      </c>
      <c r="D3892" s="27" t="s">
        <v>43</v>
      </c>
      <c r="E3892" s="28" t="n">
        <f aca="false">ROUND((SUMIFS(Acerto_Detalhado!$F$2:$F$433,Acerto_Detalhado!$A$2:$A$433,$C3892,Acerto_Detalhado!$B$2:$B$433,"Out",Acerto_Detalhado!$C$2:$C$433,"Fibra"))*(SUMIFS(Acerto_Detalhado!$I$2:$I$433,Acerto_Detalhado!$A$2:$A$433,$D3892,Acerto_Detalhado!$B$2:$B$433,"Out",Acerto_Detalhado!$C$2:$C$433,"Fibra")),2)</f>
        <v>0</v>
      </c>
    </row>
    <row r="3893" customFormat="false" ht="15" hidden="false" customHeight="false" outlineLevel="0" collapsed="false">
      <c r="A3893" s="27" t="s">
        <v>120</v>
      </c>
      <c r="B3893" s="27" t="s">
        <v>111</v>
      </c>
      <c r="C3893" s="27" t="s">
        <v>44</v>
      </c>
      <c r="D3893" s="27" t="s">
        <v>45</v>
      </c>
      <c r="E3893" s="28" t="n">
        <f aca="false">ROUND((SUMIFS(Acerto_Detalhado!$F$2:$F$433,Acerto_Detalhado!$A$2:$A$433,$C3893,Acerto_Detalhado!$B$2:$B$433,"Out",Acerto_Detalhado!$C$2:$C$433,"Fibra"))*(SUMIFS(Acerto_Detalhado!$I$2:$I$433,Acerto_Detalhado!$A$2:$A$433,$D3893,Acerto_Detalhado!$B$2:$B$433,"Out",Acerto_Detalhado!$C$2:$C$433,"Fibra")),2)</f>
        <v>0</v>
      </c>
    </row>
    <row r="3894" customFormat="false" ht="15" hidden="false" customHeight="false" outlineLevel="0" collapsed="false">
      <c r="A3894" s="27" t="s">
        <v>120</v>
      </c>
      <c r="B3894" s="27" t="s">
        <v>111</v>
      </c>
      <c r="C3894" s="27" t="s">
        <v>44</v>
      </c>
      <c r="D3894" s="27" t="s">
        <v>46</v>
      </c>
      <c r="E3894" s="28" t="n">
        <f aca="false">ROUND((SUMIFS(Acerto_Detalhado!$F$2:$F$433,Acerto_Detalhado!$A$2:$A$433,$C3894,Acerto_Detalhado!$B$2:$B$433,"Out",Acerto_Detalhado!$C$2:$C$433,"Fibra"))*(SUMIFS(Acerto_Detalhado!$I$2:$I$433,Acerto_Detalhado!$A$2:$A$433,$D3894,Acerto_Detalhado!$B$2:$B$433,"Out",Acerto_Detalhado!$C$2:$C$433,"Fibra")),2)</f>
        <v>0</v>
      </c>
    </row>
    <row r="3895" customFormat="false" ht="15" hidden="false" customHeight="false" outlineLevel="0" collapsed="false">
      <c r="A3895" s="27" t="s">
        <v>120</v>
      </c>
      <c r="B3895" s="27" t="s">
        <v>111</v>
      </c>
      <c r="C3895" s="27" t="s">
        <v>44</v>
      </c>
      <c r="D3895" s="27" t="s">
        <v>47</v>
      </c>
      <c r="E3895" s="28" t="n">
        <f aca="false">ROUND((SUMIFS(Acerto_Detalhado!$F$2:$F$433,Acerto_Detalhado!$A$2:$A$433,$C3895,Acerto_Detalhado!$B$2:$B$433,"Out",Acerto_Detalhado!$C$2:$C$433,"Fibra"))*(SUMIFS(Acerto_Detalhado!$I$2:$I$433,Acerto_Detalhado!$A$2:$A$433,$D3895,Acerto_Detalhado!$B$2:$B$433,"Out",Acerto_Detalhado!$C$2:$C$433,"Fibra")),2)</f>
        <v>0</v>
      </c>
    </row>
    <row r="3896" customFormat="false" ht="15" hidden="false" customHeight="false" outlineLevel="0" collapsed="false">
      <c r="A3896" s="27" t="s">
        <v>120</v>
      </c>
      <c r="B3896" s="27" t="s">
        <v>111</v>
      </c>
      <c r="C3896" s="27" t="s">
        <v>44</v>
      </c>
      <c r="D3896" s="27" t="s">
        <v>48</v>
      </c>
      <c r="E3896" s="28" t="n">
        <f aca="false">ROUND((SUMIFS(Acerto_Detalhado!$F$2:$F$433,Acerto_Detalhado!$A$2:$A$433,$C3896,Acerto_Detalhado!$B$2:$B$433,"Out",Acerto_Detalhado!$C$2:$C$433,"Fibra"))*(SUMIFS(Acerto_Detalhado!$I$2:$I$433,Acerto_Detalhado!$A$2:$A$433,$D3896,Acerto_Detalhado!$B$2:$B$433,"Out",Acerto_Detalhado!$C$2:$C$433,"Fibra")),2)</f>
        <v>0</v>
      </c>
    </row>
    <row r="3897" customFormat="false" ht="15" hidden="false" customHeight="false" outlineLevel="0" collapsed="false">
      <c r="A3897" s="27" t="s">
        <v>120</v>
      </c>
      <c r="B3897" s="27" t="s">
        <v>111</v>
      </c>
      <c r="C3897" s="27" t="s">
        <v>44</v>
      </c>
      <c r="D3897" s="27" t="s">
        <v>49</v>
      </c>
      <c r="E3897" s="28" t="n">
        <f aca="false">ROUND((SUMIFS(Acerto_Detalhado!$F$2:$F$433,Acerto_Detalhado!$A$2:$A$433,$C3897,Acerto_Detalhado!$B$2:$B$433,"Out",Acerto_Detalhado!$C$2:$C$433,"Fibra"))*(SUMIFS(Acerto_Detalhado!$I$2:$I$433,Acerto_Detalhado!$A$2:$A$433,$D3897,Acerto_Detalhado!$B$2:$B$433,"Out",Acerto_Detalhado!$C$2:$C$433,"Fibra")),2)</f>
        <v>0</v>
      </c>
    </row>
    <row r="3898" customFormat="false" ht="15" hidden="false" customHeight="false" outlineLevel="0" collapsed="false">
      <c r="A3898" s="27" t="s">
        <v>120</v>
      </c>
      <c r="B3898" s="27" t="s">
        <v>111</v>
      </c>
      <c r="C3898" s="27" t="s">
        <v>44</v>
      </c>
      <c r="D3898" s="27" t="s">
        <v>50</v>
      </c>
      <c r="E3898" s="28" t="n">
        <f aca="false">ROUND((SUMIFS(Acerto_Detalhado!$F$2:$F$433,Acerto_Detalhado!$A$2:$A$433,$C3898,Acerto_Detalhado!$B$2:$B$433,"Out",Acerto_Detalhado!$C$2:$C$433,"Fibra"))*(SUMIFS(Acerto_Detalhado!$I$2:$I$433,Acerto_Detalhado!$A$2:$A$433,$D3898,Acerto_Detalhado!$B$2:$B$433,"Out",Acerto_Detalhado!$C$2:$C$433,"Fibra")),2)</f>
        <v>0</v>
      </c>
    </row>
    <row r="3899" customFormat="false" ht="15" hidden="false" customHeight="false" outlineLevel="0" collapsed="false">
      <c r="A3899" s="27" t="s">
        <v>120</v>
      </c>
      <c r="B3899" s="27" t="s">
        <v>111</v>
      </c>
      <c r="C3899" s="27" t="s">
        <v>45</v>
      </c>
      <c r="D3899" s="27" t="s">
        <v>39</v>
      </c>
      <c r="E3899" s="28" t="n">
        <f aca="false">ROUND((SUMIFS(Acerto_Detalhado!$F$2:$F$433,Acerto_Detalhado!$A$2:$A$433,$C3899,Acerto_Detalhado!$B$2:$B$433,"Out",Acerto_Detalhado!$C$2:$C$433,"Fibra"))*(SUMIFS(Acerto_Detalhado!$I$2:$I$433,Acerto_Detalhado!$A$2:$A$433,$D3899,Acerto_Detalhado!$B$2:$B$433,"Out",Acerto_Detalhado!$C$2:$C$433,"Fibra")),2)</f>
        <v>0</v>
      </c>
    </row>
    <row r="3900" customFormat="false" ht="15" hidden="false" customHeight="false" outlineLevel="0" collapsed="false">
      <c r="A3900" s="27" t="s">
        <v>120</v>
      </c>
      <c r="B3900" s="27" t="s">
        <v>111</v>
      </c>
      <c r="C3900" s="27" t="s">
        <v>45</v>
      </c>
      <c r="D3900" s="27" t="s">
        <v>40</v>
      </c>
      <c r="E3900" s="28" t="n">
        <f aca="false">ROUND((SUMIFS(Acerto_Detalhado!$F$2:$F$433,Acerto_Detalhado!$A$2:$A$433,$C3900,Acerto_Detalhado!$B$2:$B$433,"Out",Acerto_Detalhado!$C$2:$C$433,"Fibra"))*(SUMIFS(Acerto_Detalhado!$I$2:$I$433,Acerto_Detalhado!$A$2:$A$433,$D3900,Acerto_Detalhado!$B$2:$B$433,"Out",Acerto_Detalhado!$C$2:$C$433,"Fibra")),2)</f>
        <v>0</v>
      </c>
    </row>
    <row r="3901" customFormat="false" ht="15" hidden="false" customHeight="false" outlineLevel="0" collapsed="false">
      <c r="A3901" s="27" t="s">
        <v>120</v>
      </c>
      <c r="B3901" s="27" t="s">
        <v>111</v>
      </c>
      <c r="C3901" s="27" t="s">
        <v>45</v>
      </c>
      <c r="D3901" s="27" t="s">
        <v>41</v>
      </c>
      <c r="E3901" s="28" t="n">
        <f aca="false">ROUND((SUMIFS(Acerto_Detalhado!$F$2:$F$433,Acerto_Detalhado!$A$2:$A$433,$C3901,Acerto_Detalhado!$B$2:$B$433,"Out",Acerto_Detalhado!$C$2:$C$433,"Fibra"))*(SUMIFS(Acerto_Detalhado!$I$2:$I$433,Acerto_Detalhado!$A$2:$A$433,$D3901,Acerto_Detalhado!$B$2:$B$433,"Out",Acerto_Detalhado!$C$2:$C$433,"Fibra")),2)</f>
        <v>0</v>
      </c>
    </row>
    <row r="3902" customFormat="false" ht="15" hidden="false" customHeight="false" outlineLevel="0" collapsed="false">
      <c r="A3902" s="27" t="s">
        <v>120</v>
      </c>
      <c r="B3902" s="27" t="s">
        <v>111</v>
      </c>
      <c r="C3902" s="27" t="s">
        <v>45</v>
      </c>
      <c r="D3902" s="27" t="s">
        <v>42</v>
      </c>
      <c r="E3902" s="28" t="n">
        <f aca="false">ROUND((SUMIFS(Acerto_Detalhado!$F$2:$F$433,Acerto_Detalhado!$A$2:$A$433,$C3902,Acerto_Detalhado!$B$2:$B$433,"Out",Acerto_Detalhado!$C$2:$C$433,"Fibra"))*(SUMIFS(Acerto_Detalhado!$I$2:$I$433,Acerto_Detalhado!$A$2:$A$433,$D3902,Acerto_Detalhado!$B$2:$B$433,"Out",Acerto_Detalhado!$C$2:$C$433,"Fibra")),2)</f>
        <v>0</v>
      </c>
    </row>
    <row r="3903" customFormat="false" ht="15" hidden="false" customHeight="false" outlineLevel="0" collapsed="false">
      <c r="A3903" s="27" t="s">
        <v>120</v>
      </c>
      <c r="B3903" s="27" t="s">
        <v>111</v>
      </c>
      <c r="C3903" s="27" t="s">
        <v>45</v>
      </c>
      <c r="D3903" s="27" t="s">
        <v>43</v>
      </c>
      <c r="E3903" s="28" t="n">
        <f aca="false">ROUND((SUMIFS(Acerto_Detalhado!$F$2:$F$433,Acerto_Detalhado!$A$2:$A$433,$C3903,Acerto_Detalhado!$B$2:$B$433,"Out",Acerto_Detalhado!$C$2:$C$433,"Fibra"))*(SUMIFS(Acerto_Detalhado!$I$2:$I$433,Acerto_Detalhado!$A$2:$A$433,$D3903,Acerto_Detalhado!$B$2:$B$433,"Out",Acerto_Detalhado!$C$2:$C$433,"Fibra")),2)</f>
        <v>0</v>
      </c>
    </row>
    <row r="3904" customFormat="false" ht="15" hidden="false" customHeight="false" outlineLevel="0" collapsed="false">
      <c r="A3904" s="27" t="s">
        <v>120</v>
      </c>
      <c r="B3904" s="27" t="s">
        <v>111</v>
      </c>
      <c r="C3904" s="27" t="s">
        <v>45</v>
      </c>
      <c r="D3904" s="27" t="s">
        <v>44</v>
      </c>
      <c r="E3904" s="28" t="n">
        <f aca="false">ROUND((SUMIFS(Acerto_Detalhado!$F$2:$F$433,Acerto_Detalhado!$A$2:$A$433,$C3904,Acerto_Detalhado!$B$2:$B$433,"Out",Acerto_Detalhado!$C$2:$C$433,"Fibra"))*(SUMIFS(Acerto_Detalhado!$I$2:$I$433,Acerto_Detalhado!$A$2:$A$433,$D3904,Acerto_Detalhado!$B$2:$B$433,"Out",Acerto_Detalhado!$C$2:$C$433,"Fibra")),2)</f>
        <v>0</v>
      </c>
    </row>
    <row r="3905" customFormat="false" ht="15" hidden="false" customHeight="false" outlineLevel="0" collapsed="false">
      <c r="A3905" s="27" t="s">
        <v>120</v>
      </c>
      <c r="B3905" s="27" t="s">
        <v>111</v>
      </c>
      <c r="C3905" s="27" t="s">
        <v>45</v>
      </c>
      <c r="D3905" s="27" t="s">
        <v>46</v>
      </c>
      <c r="E3905" s="28" t="n">
        <f aca="false">ROUND((SUMIFS(Acerto_Detalhado!$F$2:$F$433,Acerto_Detalhado!$A$2:$A$433,$C3905,Acerto_Detalhado!$B$2:$B$433,"Out",Acerto_Detalhado!$C$2:$C$433,"Fibra"))*(SUMIFS(Acerto_Detalhado!$I$2:$I$433,Acerto_Detalhado!$A$2:$A$433,$D3905,Acerto_Detalhado!$B$2:$B$433,"Out",Acerto_Detalhado!$C$2:$C$433,"Fibra")),2)</f>
        <v>0</v>
      </c>
    </row>
    <row r="3906" customFormat="false" ht="15" hidden="false" customHeight="false" outlineLevel="0" collapsed="false">
      <c r="A3906" s="27" t="s">
        <v>120</v>
      </c>
      <c r="B3906" s="27" t="s">
        <v>111</v>
      </c>
      <c r="C3906" s="27" t="s">
        <v>45</v>
      </c>
      <c r="D3906" s="27" t="s">
        <v>47</v>
      </c>
      <c r="E3906" s="28" t="n">
        <f aca="false">ROUND((SUMIFS(Acerto_Detalhado!$F$2:$F$433,Acerto_Detalhado!$A$2:$A$433,$C3906,Acerto_Detalhado!$B$2:$B$433,"Out",Acerto_Detalhado!$C$2:$C$433,"Fibra"))*(SUMIFS(Acerto_Detalhado!$I$2:$I$433,Acerto_Detalhado!$A$2:$A$433,$D3906,Acerto_Detalhado!$B$2:$B$433,"Out",Acerto_Detalhado!$C$2:$C$433,"Fibra")),2)</f>
        <v>0</v>
      </c>
    </row>
    <row r="3907" customFormat="false" ht="15" hidden="false" customHeight="false" outlineLevel="0" collapsed="false">
      <c r="A3907" s="27" t="s">
        <v>120</v>
      </c>
      <c r="B3907" s="27" t="s">
        <v>111</v>
      </c>
      <c r="C3907" s="27" t="s">
        <v>45</v>
      </c>
      <c r="D3907" s="27" t="s">
        <v>48</v>
      </c>
      <c r="E3907" s="28" t="n">
        <f aca="false">ROUND((SUMIFS(Acerto_Detalhado!$F$2:$F$433,Acerto_Detalhado!$A$2:$A$433,$C3907,Acerto_Detalhado!$B$2:$B$433,"Out",Acerto_Detalhado!$C$2:$C$433,"Fibra"))*(SUMIFS(Acerto_Detalhado!$I$2:$I$433,Acerto_Detalhado!$A$2:$A$433,$D3907,Acerto_Detalhado!$B$2:$B$433,"Out",Acerto_Detalhado!$C$2:$C$433,"Fibra")),2)</f>
        <v>0</v>
      </c>
    </row>
    <row r="3908" customFormat="false" ht="15" hidden="false" customHeight="false" outlineLevel="0" collapsed="false">
      <c r="A3908" s="27" t="s">
        <v>120</v>
      </c>
      <c r="B3908" s="27" t="s">
        <v>111</v>
      </c>
      <c r="C3908" s="27" t="s">
        <v>45</v>
      </c>
      <c r="D3908" s="27" t="s">
        <v>49</v>
      </c>
      <c r="E3908" s="28" t="n">
        <f aca="false">ROUND((SUMIFS(Acerto_Detalhado!$F$2:$F$433,Acerto_Detalhado!$A$2:$A$433,$C3908,Acerto_Detalhado!$B$2:$B$433,"Out",Acerto_Detalhado!$C$2:$C$433,"Fibra"))*(SUMIFS(Acerto_Detalhado!$I$2:$I$433,Acerto_Detalhado!$A$2:$A$433,$D3908,Acerto_Detalhado!$B$2:$B$433,"Out",Acerto_Detalhado!$C$2:$C$433,"Fibra")),2)</f>
        <v>0</v>
      </c>
    </row>
    <row r="3909" customFormat="false" ht="15" hidden="false" customHeight="false" outlineLevel="0" collapsed="false">
      <c r="A3909" s="27" t="s">
        <v>120</v>
      </c>
      <c r="B3909" s="27" t="s">
        <v>111</v>
      </c>
      <c r="C3909" s="27" t="s">
        <v>45</v>
      </c>
      <c r="D3909" s="27" t="s">
        <v>50</v>
      </c>
      <c r="E3909" s="28" t="n">
        <f aca="false">ROUND((SUMIFS(Acerto_Detalhado!$F$2:$F$433,Acerto_Detalhado!$A$2:$A$433,$C3909,Acerto_Detalhado!$B$2:$B$433,"Out",Acerto_Detalhado!$C$2:$C$433,"Fibra"))*(SUMIFS(Acerto_Detalhado!$I$2:$I$433,Acerto_Detalhado!$A$2:$A$433,$D3909,Acerto_Detalhado!$B$2:$B$433,"Out",Acerto_Detalhado!$C$2:$C$433,"Fibra")),2)</f>
        <v>0</v>
      </c>
    </row>
    <row r="3910" customFormat="false" ht="15" hidden="false" customHeight="false" outlineLevel="0" collapsed="false">
      <c r="A3910" s="27" t="s">
        <v>120</v>
      </c>
      <c r="B3910" s="27" t="s">
        <v>111</v>
      </c>
      <c r="C3910" s="27" t="s">
        <v>46</v>
      </c>
      <c r="D3910" s="27" t="s">
        <v>39</v>
      </c>
      <c r="E3910" s="28" t="n">
        <f aca="false">ROUND((SUMIFS(Acerto_Detalhado!$F$2:$F$433,Acerto_Detalhado!$A$2:$A$433,$C3910,Acerto_Detalhado!$B$2:$B$433,"Out",Acerto_Detalhado!$C$2:$C$433,"Fibra"))*(SUMIFS(Acerto_Detalhado!$I$2:$I$433,Acerto_Detalhado!$A$2:$A$433,$D3910,Acerto_Detalhado!$B$2:$B$433,"Out",Acerto_Detalhado!$C$2:$C$433,"Fibra")),2)</f>
        <v>0</v>
      </c>
    </row>
    <row r="3911" customFormat="false" ht="15" hidden="false" customHeight="false" outlineLevel="0" collapsed="false">
      <c r="A3911" s="27" t="s">
        <v>120</v>
      </c>
      <c r="B3911" s="27" t="s">
        <v>111</v>
      </c>
      <c r="C3911" s="27" t="s">
        <v>46</v>
      </c>
      <c r="D3911" s="27" t="s">
        <v>40</v>
      </c>
      <c r="E3911" s="28" t="n">
        <f aca="false">ROUND((SUMIFS(Acerto_Detalhado!$F$2:$F$433,Acerto_Detalhado!$A$2:$A$433,$C3911,Acerto_Detalhado!$B$2:$B$433,"Out",Acerto_Detalhado!$C$2:$C$433,"Fibra"))*(SUMIFS(Acerto_Detalhado!$I$2:$I$433,Acerto_Detalhado!$A$2:$A$433,$D3911,Acerto_Detalhado!$B$2:$B$433,"Out",Acerto_Detalhado!$C$2:$C$433,"Fibra")),2)</f>
        <v>0</v>
      </c>
    </row>
    <row r="3912" customFormat="false" ht="15" hidden="false" customHeight="false" outlineLevel="0" collapsed="false">
      <c r="A3912" s="27" t="s">
        <v>120</v>
      </c>
      <c r="B3912" s="27" t="s">
        <v>111</v>
      </c>
      <c r="C3912" s="27" t="s">
        <v>46</v>
      </c>
      <c r="D3912" s="27" t="s">
        <v>41</v>
      </c>
      <c r="E3912" s="28" t="n">
        <f aca="false">ROUND((SUMIFS(Acerto_Detalhado!$F$2:$F$433,Acerto_Detalhado!$A$2:$A$433,$C3912,Acerto_Detalhado!$B$2:$B$433,"Out",Acerto_Detalhado!$C$2:$C$433,"Fibra"))*(SUMIFS(Acerto_Detalhado!$I$2:$I$433,Acerto_Detalhado!$A$2:$A$433,$D3912,Acerto_Detalhado!$B$2:$B$433,"Out",Acerto_Detalhado!$C$2:$C$433,"Fibra")),2)</f>
        <v>0</v>
      </c>
    </row>
    <row r="3913" customFormat="false" ht="15" hidden="false" customHeight="false" outlineLevel="0" collapsed="false">
      <c r="A3913" s="27" t="s">
        <v>120</v>
      </c>
      <c r="B3913" s="27" t="s">
        <v>111</v>
      </c>
      <c r="C3913" s="27" t="s">
        <v>46</v>
      </c>
      <c r="D3913" s="27" t="s">
        <v>42</v>
      </c>
      <c r="E3913" s="28" t="n">
        <f aca="false">ROUND((SUMIFS(Acerto_Detalhado!$F$2:$F$433,Acerto_Detalhado!$A$2:$A$433,$C3913,Acerto_Detalhado!$B$2:$B$433,"Out",Acerto_Detalhado!$C$2:$C$433,"Fibra"))*(SUMIFS(Acerto_Detalhado!$I$2:$I$433,Acerto_Detalhado!$A$2:$A$433,$D3913,Acerto_Detalhado!$B$2:$B$433,"Out",Acerto_Detalhado!$C$2:$C$433,"Fibra")),2)</f>
        <v>0</v>
      </c>
    </row>
    <row r="3914" customFormat="false" ht="15" hidden="false" customHeight="false" outlineLevel="0" collapsed="false">
      <c r="A3914" s="27" t="s">
        <v>120</v>
      </c>
      <c r="B3914" s="27" t="s">
        <v>111</v>
      </c>
      <c r="C3914" s="27" t="s">
        <v>46</v>
      </c>
      <c r="D3914" s="27" t="s">
        <v>43</v>
      </c>
      <c r="E3914" s="28" t="n">
        <f aca="false">ROUND((SUMIFS(Acerto_Detalhado!$F$2:$F$433,Acerto_Detalhado!$A$2:$A$433,$C3914,Acerto_Detalhado!$B$2:$B$433,"Out",Acerto_Detalhado!$C$2:$C$433,"Fibra"))*(SUMIFS(Acerto_Detalhado!$I$2:$I$433,Acerto_Detalhado!$A$2:$A$433,$D3914,Acerto_Detalhado!$B$2:$B$433,"Out",Acerto_Detalhado!$C$2:$C$433,"Fibra")),2)</f>
        <v>0</v>
      </c>
    </row>
    <row r="3915" customFormat="false" ht="15" hidden="false" customHeight="false" outlineLevel="0" collapsed="false">
      <c r="A3915" s="27" t="s">
        <v>120</v>
      </c>
      <c r="B3915" s="27" t="s">
        <v>111</v>
      </c>
      <c r="C3915" s="27" t="s">
        <v>46</v>
      </c>
      <c r="D3915" s="27" t="s">
        <v>44</v>
      </c>
      <c r="E3915" s="28" t="n">
        <f aca="false">ROUND((SUMIFS(Acerto_Detalhado!$F$2:$F$433,Acerto_Detalhado!$A$2:$A$433,$C3915,Acerto_Detalhado!$B$2:$B$433,"Out",Acerto_Detalhado!$C$2:$C$433,"Fibra"))*(SUMIFS(Acerto_Detalhado!$I$2:$I$433,Acerto_Detalhado!$A$2:$A$433,$D3915,Acerto_Detalhado!$B$2:$B$433,"Out",Acerto_Detalhado!$C$2:$C$433,"Fibra")),2)</f>
        <v>0</v>
      </c>
    </row>
    <row r="3916" customFormat="false" ht="15" hidden="false" customHeight="false" outlineLevel="0" collapsed="false">
      <c r="A3916" s="27" t="s">
        <v>120</v>
      </c>
      <c r="B3916" s="27" t="s">
        <v>111</v>
      </c>
      <c r="C3916" s="27" t="s">
        <v>46</v>
      </c>
      <c r="D3916" s="27" t="s">
        <v>45</v>
      </c>
      <c r="E3916" s="28" t="n">
        <f aca="false">ROUND((SUMIFS(Acerto_Detalhado!$F$2:$F$433,Acerto_Detalhado!$A$2:$A$433,$C3916,Acerto_Detalhado!$B$2:$B$433,"Out",Acerto_Detalhado!$C$2:$C$433,"Fibra"))*(SUMIFS(Acerto_Detalhado!$I$2:$I$433,Acerto_Detalhado!$A$2:$A$433,$D3916,Acerto_Detalhado!$B$2:$B$433,"Out",Acerto_Detalhado!$C$2:$C$433,"Fibra")),2)</f>
        <v>0</v>
      </c>
    </row>
    <row r="3917" customFormat="false" ht="15" hidden="false" customHeight="false" outlineLevel="0" collapsed="false">
      <c r="A3917" s="27" t="s">
        <v>120</v>
      </c>
      <c r="B3917" s="27" t="s">
        <v>111</v>
      </c>
      <c r="C3917" s="27" t="s">
        <v>46</v>
      </c>
      <c r="D3917" s="27" t="s">
        <v>47</v>
      </c>
      <c r="E3917" s="28" t="n">
        <f aca="false">ROUND((SUMIFS(Acerto_Detalhado!$F$2:$F$433,Acerto_Detalhado!$A$2:$A$433,$C3917,Acerto_Detalhado!$B$2:$B$433,"Out",Acerto_Detalhado!$C$2:$C$433,"Fibra"))*(SUMIFS(Acerto_Detalhado!$I$2:$I$433,Acerto_Detalhado!$A$2:$A$433,$D3917,Acerto_Detalhado!$B$2:$B$433,"Out",Acerto_Detalhado!$C$2:$C$433,"Fibra")),2)</f>
        <v>0</v>
      </c>
    </row>
    <row r="3918" customFormat="false" ht="15" hidden="false" customHeight="false" outlineLevel="0" collapsed="false">
      <c r="A3918" s="27" t="s">
        <v>120</v>
      </c>
      <c r="B3918" s="27" t="s">
        <v>111</v>
      </c>
      <c r="C3918" s="27" t="s">
        <v>46</v>
      </c>
      <c r="D3918" s="27" t="s">
        <v>48</v>
      </c>
      <c r="E3918" s="28" t="n">
        <f aca="false">ROUND((SUMIFS(Acerto_Detalhado!$F$2:$F$433,Acerto_Detalhado!$A$2:$A$433,$C3918,Acerto_Detalhado!$B$2:$B$433,"Out",Acerto_Detalhado!$C$2:$C$433,"Fibra"))*(SUMIFS(Acerto_Detalhado!$I$2:$I$433,Acerto_Detalhado!$A$2:$A$433,$D3918,Acerto_Detalhado!$B$2:$B$433,"Out",Acerto_Detalhado!$C$2:$C$433,"Fibra")),2)</f>
        <v>0</v>
      </c>
    </row>
    <row r="3919" customFormat="false" ht="15" hidden="false" customHeight="false" outlineLevel="0" collapsed="false">
      <c r="A3919" s="27" t="s">
        <v>120</v>
      </c>
      <c r="B3919" s="27" t="s">
        <v>111</v>
      </c>
      <c r="C3919" s="27" t="s">
        <v>46</v>
      </c>
      <c r="D3919" s="27" t="s">
        <v>49</v>
      </c>
      <c r="E3919" s="28" t="n">
        <f aca="false">ROUND((SUMIFS(Acerto_Detalhado!$F$2:$F$433,Acerto_Detalhado!$A$2:$A$433,$C3919,Acerto_Detalhado!$B$2:$B$433,"Out",Acerto_Detalhado!$C$2:$C$433,"Fibra"))*(SUMIFS(Acerto_Detalhado!$I$2:$I$433,Acerto_Detalhado!$A$2:$A$433,$D3919,Acerto_Detalhado!$B$2:$B$433,"Out",Acerto_Detalhado!$C$2:$C$433,"Fibra")),2)</f>
        <v>0</v>
      </c>
    </row>
    <row r="3920" customFormat="false" ht="15" hidden="false" customHeight="false" outlineLevel="0" collapsed="false">
      <c r="A3920" s="27" t="s">
        <v>120</v>
      </c>
      <c r="B3920" s="27" t="s">
        <v>111</v>
      </c>
      <c r="C3920" s="27" t="s">
        <v>46</v>
      </c>
      <c r="D3920" s="27" t="s">
        <v>50</v>
      </c>
      <c r="E3920" s="28" t="n">
        <f aca="false">ROUND((SUMIFS(Acerto_Detalhado!$F$2:$F$433,Acerto_Detalhado!$A$2:$A$433,$C3920,Acerto_Detalhado!$B$2:$B$433,"Out",Acerto_Detalhado!$C$2:$C$433,"Fibra"))*(SUMIFS(Acerto_Detalhado!$I$2:$I$433,Acerto_Detalhado!$A$2:$A$433,$D3920,Acerto_Detalhado!$B$2:$B$433,"Out",Acerto_Detalhado!$C$2:$C$433,"Fibra")),2)</f>
        <v>0</v>
      </c>
    </row>
    <row r="3921" customFormat="false" ht="15" hidden="false" customHeight="false" outlineLevel="0" collapsed="false">
      <c r="A3921" s="27" t="s">
        <v>120</v>
      </c>
      <c r="B3921" s="27" t="s">
        <v>111</v>
      </c>
      <c r="C3921" s="27" t="s">
        <v>47</v>
      </c>
      <c r="D3921" s="27" t="s">
        <v>39</v>
      </c>
      <c r="E3921" s="28" t="n">
        <f aca="false">ROUND((SUMIFS(Acerto_Detalhado!$F$2:$F$433,Acerto_Detalhado!$A$2:$A$433,$C3921,Acerto_Detalhado!$B$2:$B$433,"Out",Acerto_Detalhado!$C$2:$C$433,"Fibra"))*(SUMIFS(Acerto_Detalhado!$I$2:$I$433,Acerto_Detalhado!$A$2:$A$433,$D3921,Acerto_Detalhado!$B$2:$B$433,"Out",Acerto_Detalhado!$C$2:$C$433,"Fibra")),2)</f>
        <v>0</v>
      </c>
    </row>
    <row r="3922" customFormat="false" ht="15" hidden="false" customHeight="false" outlineLevel="0" collapsed="false">
      <c r="A3922" s="27" t="s">
        <v>120</v>
      </c>
      <c r="B3922" s="27" t="s">
        <v>111</v>
      </c>
      <c r="C3922" s="27" t="s">
        <v>47</v>
      </c>
      <c r="D3922" s="27" t="s">
        <v>40</v>
      </c>
      <c r="E3922" s="28" t="n">
        <f aca="false">ROUND((SUMIFS(Acerto_Detalhado!$F$2:$F$433,Acerto_Detalhado!$A$2:$A$433,$C3922,Acerto_Detalhado!$B$2:$B$433,"Out",Acerto_Detalhado!$C$2:$C$433,"Fibra"))*(SUMIFS(Acerto_Detalhado!$I$2:$I$433,Acerto_Detalhado!$A$2:$A$433,$D3922,Acerto_Detalhado!$B$2:$B$433,"Out",Acerto_Detalhado!$C$2:$C$433,"Fibra")),2)</f>
        <v>0</v>
      </c>
    </row>
    <row r="3923" customFormat="false" ht="15" hidden="false" customHeight="false" outlineLevel="0" collapsed="false">
      <c r="A3923" s="27" t="s">
        <v>120</v>
      </c>
      <c r="B3923" s="27" t="s">
        <v>111</v>
      </c>
      <c r="C3923" s="27" t="s">
        <v>47</v>
      </c>
      <c r="D3923" s="27" t="s">
        <v>41</v>
      </c>
      <c r="E3923" s="28" t="n">
        <f aca="false">ROUND((SUMIFS(Acerto_Detalhado!$F$2:$F$433,Acerto_Detalhado!$A$2:$A$433,$C3923,Acerto_Detalhado!$B$2:$B$433,"Out",Acerto_Detalhado!$C$2:$C$433,"Fibra"))*(SUMIFS(Acerto_Detalhado!$I$2:$I$433,Acerto_Detalhado!$A$2:$A$433,$D3923,Acerto_Detalhado!$B$2:$B$433,"Out",Acerto_Detalhado!$C$2:$C$433,"Fibra")),2)</f>
        <v>0</v>
      </c>
    </row>
    <row r="3924" customFormat="false" ht="15" hidden="false" customHeight="false" outlineLevel="0" collapsed="false">
      <c r="A3924" s="27" t="s">
        <v>120</v>
      </c>
      <c r="B3924" s="27" t="s">
        <v>111</v>
      </c>
      <c r="C3924" s="27" t="s">
        <v>47</v>
      </c>
      <c r="D3924" s="27" t="s">
        <v>42</v>
      </c>
      <c r="E3924" s="28" t="n">
        <f aca="false">ROUND((SUMIFS(Acerto_Detalhado!$F$2:$F$433,Acerto_Detalhado!$A$2:$A$433,$C3924,Acerto_Detalhado!$B$2:$B$433,"Out",Acerto_Detalhado!$C$2:$C$433,"Fibra"))*(SUMIFS(Acerto_Detalhado!$I$2:$I$433,Acerto_Detalhado!$A$2:$A$433,$D3924,Acerto_Detalhado!$B$2:$B$433,"Out",Acerto_Detalhado!$C$2:$C$433,"Fibra")),2)</f>
        <v>0</v>
      </c>
    </row>
    <row r="3925" customFormat="false" ht="15" hidden="false" customHeight="false" outlineLevel="0" collapsed="false">
      <c r="A3925" s="27" t="s">
        <v>120</v>
      </c>
      <c r="B3925" s="27" t="s">
        <v>111</v>
      </c>
      <c r="C3925" s="27" t="s">
        <v>47</v>
      </c>
      <c r="D3925" s="27" t="s">
        <v>43</v>
      </c>
      <c r="E3925" s="28" t="n">
        <f aca="false">ROUND((SUMIFS(Acerto_Detalhado!$F$2:$F$433,Acerto_Detalhado!$A$2:$A$433,$C3925,Acerto_Detalhado!$B$2:$B$433,"Out",Acerto_Detalhado!$C$2:$C$433,"Fibra"))*(SUMIFS(Acerto_Detalhado!$I$2:$I$433,Acerto_Detalhado!$A$2:$A$433,$D3925,Acerto_Detalhado!$B$2:$B$433,"Out",Acerto_Detalhado!$C$2:$C$433,"Fibra")),2)</f>
        <v>0</v>
      </c>
    </row>
    <row r="3926" customFormat="false" ht="15" hidden="false" customHeight="false" outlineLevel="0" collapsed="false">
      <c r="A3926" s="27" t="s">
        <v>120</v>
      </c>
      <c r="B3926" s="27" t="s">
        <v>111</v>
      </c>
      <c r="C3926" s="27" t="s">
        <v>47</v>
      </c>
      <c r="D3926" s="27" t="s">
        <v>44</v>
      </c>
      <c r="E3926" s="28" t="n">
        <f aca="false">ROUND((SUMIFS(Acerto_Detalhado!$F$2:$F$433,Acerto_Detalhado!$A$2:$A$433,$C3926,Acerto_Detalhado!$B$2:$B$433,"Out",Acerto_Detalhado!$C$2:$C$433,"Fibra"))*(SUMIFS(Acerto_Detalhado!$I$2:$I$433,Acerto_Detalhado!$A$2:$A$433,$D3926,Acerto_Detalhado!$B$2:$B$433,"Out",Acerto_Detalhado!$C$2:$C$433,"Fibra")),2)</f>
        <v>0</v>
      </c>
    </row>
    <row r="3927" customFormat="false" ht="15" hidden="false" customHeight="false" outlineLevel="0" collapsed="false">
      <c r="A3927" s="27" t="s">
        <v>120</v>
      </c>
      <c r="B3927" s="27" t="s">
        <v>111</v>
      </c>
      <c r="C3927" s="27" t="s">
        <v>47</v>
      </c>
      <c r="D3927" s="27" t="s">
        <v>45</v>
      </c>
      <c r="E3927" s="28" t="n">
        <f aca="false">ROUND((SUMIFS(Acerto_Detalhado!$F$2:$F$433,Acerto_Detalhado!$A$2:$A$433,$C3927,Acerto_Detalhado!$B$2:$B$433,"Out",Acerto_Detalhado!$C$2:$C$433,"Fibra"))*(SUMIFS(Acerto_Detalhado!$I$2:$I$433,Acerto_Detalhado!$A$2:$A$433,$D3927,Acerto_Detalhado!$B$2:$B$433,"Out",Acerto_Detalhado!$C$2:$C$433,"Fibra")),2)</f>
        <v>0</v>
      </c>
    </row>
    <row r="3928" customFormat="false" ht="15" hidden="false" customHeight="false" outlineLevel="0" collapsed="false">
      <c r="A3928" s="27" t="s">
        <v>120</v>
      </c>
      <c r="B3928" s="27" t="s">
        <v>111</v>
      </c>
      <c r="C3928" s="27" t="s">
        <v>47</v>
      </c>
      <c r="D3928" s="27" t="s">
        <v>46</v>
      </c>
      <c r="E3928" s="28" t="n">
        <f aca="false">ROUND((SUMIFS(Acerto_Detalhado!$F$2:$F$433,Acerto_Detalhado!$A$2:$A$433,$C3928,Acerto_Detalhado!$B$2:$B$433,"Out",Acerto_Detalhado!$C$2:$C$433,"Fibra"))*(SUMIFS(Acerto_Detalhado!$I$2:$I$433,Acerto_Detalhado!$A$2:$A$433,$D3928,Acerto_Detalhado!$B$2:$B$433,"Out",Acerto_Detalhado!$C$2:$C$433,"Fibra")),2)</f>
        <v>0</v>
      </c>
    </row>
    <row r="3929" customFormat="false" ht="15" hidden="false" customHeight="false" outlineLevel="0" collapsed="false">
      <c r="A3929" s="27" t="s">
        <v>120</v>
      </c>
      <c r="B3929" s="27" t="s">
        <v>111</v>
      </c>
      <c r="C3929" s="27" t="s">
        <v>47</v>
      </c>
      <c r="D3929" s="27" t="s">
        <v>48</v>
      </c>
      <c r="E3929" s="28" t="n">
        <f aca="false">ROUND((SUMIFS(Acerto_Detalhado!$F$2:$F$433,Acerto_Detalhado!$A$2:$A$433,$C3929,Acerto_Detalhado!$B$2:$B$433,"Out",Acerto_Detalhado!$C$2:$C$433,"Fibra"))*(SUMIFS(Acerto_Detalhado!$I$2:$I$433,Acerto_Detalhado!$A$2:$A$433,$D3929,Acerto_Detalhado!$B$2:$B$433,"Out",Acerto_Detalhado!$C$2:$C$433,"Fibra")),2)</f>
        <v>0</v>
      </c>
    </row>
    <row r="3930" customFormat="false" ht="15" hidden="false" customHeight="false" outlineLevel="0" collapsed="false">
      <c r="A3930" s="27" t="s">
        <v>120</v>
      </c>
      <c r="B3930" s="27" t="s">
        <v>111</v>
      </c>
      <c r="C3930" s="27" t="s">
        <v>47</v>
      </c>
      <c r="D3930" s="27" t="s">
        <v>49</v>
      </c>
      <c r="E3930" s="28" t="n">
        <f aca="false">ROUND((SUMIFS(Acerto_Detalhado!$F$2:$F$433,Acerto_Detalhado!$A$2:$A$433,$C3930,Acerto_Detalhado!$B$2:$B$433,"Out",Acerto_Detalhado!$C$2:$C$433,"Fibra"))*(SUMIFS(Acerto_Detalhado!$I$2:$I$433,Acerto_Detalhado!$A$2:$A$433,$D3930,Acerto_Detalhado!$B$2:$B$433,"Out",Acerto_Detalhado!$C$2:$C$433,"Fibra")),2)</f>
        <v>0</v>
      </c>
    </row>
    <row r="3931" customFormat="false" ht="15" hidden="false" customHeight="false" outlineLevel="0" collapsed="false">
      <c r="A3931" s="27" t="s">
        <v>120</v>
      </c>
      <c r="B3931" s="27" t="s">
        <v>111</v>
      </c>
      <c r="C3931" s="27" t="s">
        <v>47</v>
      </c>
      <c r="D3931" s="27" t="s">
        <v>50</v>
      </c>
      <c r="E3931" s="28" t="n">
        <f aca="false">ROUND((SUMIFS(Acerto_Detalhado!$F$2:$F$433,Acerto_Detalhado!$A$2:$A$433,$C3931,Acerto_Detalhado!$B$2:$B$433,"Out",Acerto_Detalhado!$C$2:$C$433,"Fibra"))*(SUMIFS(Acerto_Detalhado!$I$2:$I$433,Acerto_Detalhado!$A$2:$A$433,$D3931,Acerto_Detalhado!$B$2:$B$433,"Out",Acerto_Detalhado!$C$2:$C$433,"Fibra")),2)</f>
        <v>0</v>
      </c>
    </row>
    <row r="3932" customFormat="false" ht="15" hidden="false" customHeight="false" outlineLevel="0" collapsed="false">
      <c r="A3932" s="27" t="s">
        <v>120</v>
      </c>
      <c r="B3932" s="27" t="s">
        <v>111</v>
      </c>
      <c r="C3932" s="27" t="s">
        <v>48</v>
      </c>
      <c r="D3932" s="27" t="s">
        <v>39</v>
      </c>
      <c r="E3932" s="28" t="n">
        <f aca="false">ROUND((SUMIFS(Acerto_Detalhado!$F$2:$F$433,Acerto_Detalhado!$A$2:$A$433,$C3932,Acerto_Detalhado!$B$2:$B$433,"Out",Acerto_Detalhado!$C$2:$C$433,"Fibra"))*(SUMIFS(Acerto_Detalhado!$I$2:$I$433,Acerto_Detalhado!$A$2:$A$433,$D3932,Acerto_Detalhado!$B$2:$B$433,"Out",Acerto_Detalhado!$C$2:$C$433,"Fibra")),2)</f>
        <v>0</v>
      </c>
    </row>
    <row r="3933" customFormat="false" ht="15" hidden="false" customHeight="false" outlineLevel="0" collapsed="false">
      <c r="A3933" s="27" t="s">
        <v>120</v>
      </c>
      <c r="B3933" s="27" t="s">
        <v>111</v>
      </c>
      <c r="C3933" s="27" t="s">
        <v>48</v>
      </c>
      <c r="D3933" s="27" t="s">
        <v>40</v>
      </c>
      <c r="E3933" s="28" t="n">
        <f aca="false">ROUND((SUMIFS(Acerto_Detalhado!$F$2:$F$433,Acerto_Detalhado!$A$2:$A$433,$C3933,Acerto_Detalhado!$B$2:$B$433,"Out",Acerto_Detalhado!$C$2:$C$433,"Fibra"))*(SUMIFS(Acerto_Detalhado!$I$2:$I$433,Acerto_Detalhado!$A$2:$A$433,$D3933,Acerto_Detalhado!$B$2:$B$433,"Out",Acerto_Detalhado!$C$2:$C$433,"Fibra")),2)</f>
        <v>0</v>
      </c>
    </row>
    <row r="3934" customFormat="false" ht="15" hidden="false" customHeight="false" outlineLevel="0" collapsed="false">
      <c r="A3934" s="27" t="s">
        <v>120</v>
      </c>
      <c r="B3934" s="27" t="s">
        <v>111</v>
      </c>
      <c r="C3934" s="27" t="s">
        <v>48</v>
      </c>
      <c r="D3934" s="27" t="s">
        <v>41</v>
      </c>
      <c r="E3934" s="28" t="n">
        <f aca="false">ROUND((SUMIFS(Acerto_Detalhado!$F$2:$F$433,Acerto_Detalhado!$A$2:$A$433,$C3934,Acerto_Detalhado!$B$2:$B$433,"Out",Acerto_Detalhado!$C$2:$C$433,"Fibra"))*(SUMIFS(Acerto_Detalhado!$I$2:$I$433,Acerto_Detalhado!$A$2:$A$433,$D3934,Acerto_Detalhado!$B$2:$B$433,"Out",Acerto_Detalhado!$C$2:$C$433,"Fibra")),2)</f>
        <v>0</v>
      </c>
    </row>
    <row r="3935" customFormat="false" ht="15" hidden="false" customHeight="false" outlineLevel="0" collapsed="false">
      <c r="A3935" s="27" t="s">
        <v>120</v>
      </c>
      <c r="B3935" s="27" t="s">
        <v>111</v>
      </c>
      <c r="C3935" s="27" t="s">
        <v>48</v>
      </c>
      <c r="D3935" s="27" t="s">
        <v>42</v>
      </c>
      <c r="E3935" s="28" t="n">
        <f aca="false">ROUND((SUMIFS(Acerto_Detalhado!$F$2:$F$433,Acerto_Detalhado!$A$2:$A$433,$C3935,Acerto_Detalhado!$B$2:$B$433,"Out",Acerto_Detalhado!$C$2:$C$433,"Fibra"))*(SUMIFS(Acerto_Detalhado!$I$2:$I$433,Acerto_Detalhado!$A$2:$A$433,$D3935,Acerto_Detalhado!$B$2:$B$433,"Out",Acerto_Detalhado!$C$2:$C$433,"Fibra")),2)</f>
        <v>0</v>
      </c>
    </row>
    <row r="3936" customFormat="false" ht="15" hidden="false" customHeight="false" outlineLevel="0" collapsed="false">
      <c r="A3936" s="27" t="s">
        <v>120</v>
      </c>
      <c r="B3936" s="27" t="s">
        <v>111</v>
      </c>
      <c r="C3936" s="27" t="s">
        <v>48</v>
      </c>
      <c r="D3936" s="27" t="s">
        <v>43</v>
      </c>
      <c r="E3936" s="28" t="n">
        <f aca="false">ROUND((SUMIFS(Acerto_Detalhado!$F$2:$F$433,Acerto_Detalhado!$A$2:$A$433,$C3936,Acerto_Detalhado!$B$2:$B$433,"Out",Acerto_Detalhado!$C$2:$C$433,"Fibra"))*(SUMIFS(Acerto_Detalhado!$I$2:$I$433,Acerto_Detalhado!$A$2:$A$433,$D3936,Acerto_Detalhado!$B$2:$B$433,"Out",Acerto_Detalhado!$C$2:$C$433,"Fibra")),2)</f>
        <v>0</v>
      </c>
    </row>
    <row r="3937" customFormat="false" ht="15" hidden="false" customHeight="false" outlineLevel="0" collapsed="false">
      <c r="A3937" s="27" t="s">
        <v>120</v>
      </c>
      <c r="B3937" s="27" t="s">
        <v>111</v>
      </c>
      <c r="C3937" s="27" t="s">
        <v>48</v>
      </c>
      <c r="D3937" s="27" t="s">
        <v>44</v>
      </c>
      <c r="E3937" s="28" t="n">
        <f aca="false">ROUND((SUMIFS(Acerto_Detalhado!$F$2:$F$433,Acerto_Detalhado!$A$2:$A$433,$C3937,Acerto_Detalhado!$B$2:$B$433,"Out",Acerto_Detalhado!$C$2:$C$433,"Fibra"))*(SUMIFS(Acerto_Detalhado!$I$2:$I$433,Acerto_Detalhado!$A$2:$A$433,$D3937,Acerto_Detalhado!$B$2:$B$433,"Out",Acerto_Detalhado!$C$2:$C$433,"Fibra")),2)</f>
        <v>0</v>
      </c>
    </row>
    <row r="3938" customFormat="false" ht="15" hidden="false" customHeight="false" outlineLevel="0" collapsed="false">
      <c r="A3938" s="27" t="s">
        <v>120</v>
      </c>
      <c r="B3938" s="27" t="s">
        <v>111</v>
      </c>
      <c r="C3938" s="27" t="s">
        <v>48</v>
      </c>
      <c r="D3938" s="27" t="s">
        <v>45</v>
      </c>
      <c r="E3938" s="28" t="n">
        <f aca="false">ROUND((SUMIFS(Acerto_Detalhado!$F$2:$F$433,Acerto_Detalhado!$A$2:$A$433,$C3938,Acerto_Detalhado!$B$2:$B$433,"Out",Acerto_Detalhado!$C$2:$C$433,"Fibra"))*(SUMIFS(Acerto_Detalhado!$I$2:$I$433,Acerto_Detalhado!$A$2:$A$433,$D3938,Acerto_Detalhado!$B$2:$B$433,"Out",Acerto_Detalhado!$C$2:$C$433,"Fibra")),2)</f>
        <v>0</v>
      </c>
    </row>
    <row r="3939" customFormat="false" ht="15" hidden="false" customHeight="false" outlineLevel="0" collapsed="false">
      <c r="A3939" s="27" t="s">
        <v>120</v>
      </c>
      <c r="B3939" s="27" t="s">
        <v>111</v>
      </c>
      <c r="C3939" s="27" t="s">
        <v>48</v>
      </c>
      <c r="D3939" s="27" t="s">
        <v>46</v>
      </c>
      <c r="E3939" s="28" t="n">
        <f aca="false">ROUND((SUMIFS(Acerto_Detalhado!$F$2:$F$433,Acerto_Detalhado!$A$2:$A$433,$C3939,Acerto_Detalhado!$B$2:$B$433,"Out",Acerto_Detalhado!$C$2:$C$433,"Fibra"))*(SUMIFS(Acerto_Detalhado!$I$2:$I$433,Acerto_Detalhado!$A$2:$A$433,$D3939,Acerto_Detalhado!$B$2:$B$433,"Out",Acerto_Detalhado!$C$2:$C$433,"Fibra")),2)</f>
        <v>0</v>
      </c>
    </row>
    <row r="3940" customFormat="false" ht="15" hidden="false" customHeight="false" outlineLevel="0" collapsed="false">
      <c r="A3940" s="27" t="s">
        <v>120</v>
      </c>
      <c r="B3940" s="27" t="s">
        <v>111</v>
      </c>
      <c r="C3940" s="27" t="s">
        <v>48</v>
      </c>
      <c r="D3940" s="27" t="s">
        <v>47</v>
      </c>
      <c r="E3940" s="28" t="n">
        <f aca="false">ROUND((SUMIFS(Acerto_Detalhado!$F$2:$F$433,Acerto_Detalhado!$A$2:$A$433,$C3940,Acerto_Detalhado!$B$2:$B$433,"Out",Acerto_Detalhado!$C$2:$C$433,"Fibra"))*(SUMIFS(Acerto_Detalhado!$I$2:$I$433,Acerto_Detalhado!$A$2:$A$433,$D3940,Acerto_Detalhado!$B$2:$B$433,"Out",Acerto_Detalhado!$C$2:$C$433,"Fibra")),2)</f>
        <v>0</v>
      </c>
    </row>
    <row r="3941" customFormat="false" ht="15" hidden="false" customHeight="false" outlineLevel="0" collapsed="false">
      <c r="A3941" s="27" t="s">
        <v>120</v>
      </c>
      <c r="B3941" s="27" t="s">
        <v>111</v>
      </c>
      <c r="C3941" s="27" t="s">
        <v>48</v>
      </c>
      <c r="D3941" s="27" t="s">
        <v>49</v>
      </c>
      <c r="E3941" s="28" t="n">
        <f aca="false">ROUND((SUMIFS(Acerto_Detalhado!$F$2:$F$433,Acerto_Detalhado!$A$2:$A$433,$C3941,Acerto_Detalhado!$B$2:$B$433,"Out",Acerto_Detalhado!$C$2:$C$433,"Fibra"))*(SUMIFS(Acerto_Detalhado!$I$2:$I$433,Acerto_Detalhado!$A$2:$A$433,$D3941,Acerto_Detalhado!$B$2:$B$433,"Out",Acerto_Detalhado!$C$2:$C$433,"Fibra")),2)</f>
        <v>0</v>
      </c>
    </row>
    <row r="3942" customFormat="false" ht="15" hidden="false" customHeight="false" outlineLevel="0" collapsed="false">
      <c r="A3942" s="27" t="s">
        <v>120</v>
      </c>
      <c r="B3942" s="27" t="s">
        <v>111</v>
      </c>
      <c r="C3942" s="27" t="s">
        <v>48</v>
      </c>
      <c r="D3942" s="27" t="s">
        <v>50</v>
      </c>
      <c r="E3942" s="28" t="n">
        <f aca="false">ROUND((SUMIFS(Acerto_Detalhado!$F$2:$F$433,Acerto_Detalhado!$A$2:$A$433,$C3942,Acerto_Detalhado!$B$2:$B$433,"Out",Acerto_Detalhado!$C$2:$C$433,"Fibra"))*(SUMIFS(Acerto_Detalhado!$I$2:$I$433,Acerto_Detalhado!$A$2:$A$433,$D3942,Acerto_Detalhado!$B$2:$B$433,"Out",Acerto_Detalhado!$C$2:$C$433,"Fibra")),2)</f>
        <v>0</v>
      </c>
    </row>
    <row r="3943" customFormat="false" ht="15" hidden="false" customHeight="false" outlineLevel="0" collapsed="false">
      <c r="A3943" s="27" t="s">
        <v>120</v>
      </c>
      <c r="B3943" s="27" t="s">
        <v>111</v>
      </c>
      <c r="C3943" s="27" t="s">
        <v>49</v>
      </c>
      <c r="D3943" s="27" t="s">
        <v>39</v>
      </c>
      <c r="E3943" s="28" t="n">
        <f aca="false">ROUND((SUMIFS(Acerto_Detalhado!$F$2:$F$433,Acerto_Detalhado!$A$2:$A$433,$C3943,Acerto_Detalhado!$B$2:$B$433,"Out",Acerto_Detalhado!$C$2:$C$433,"Fibra"))*(SUMIFS(Acerto_Detalhado!$I$2:$I$433,Acerto_Detalhado!$A$2:$A$433,$D3943,Acerto_Detalhado!$B$2:$B$433,"Out",Acerto_Detalhado!$C$2:$C$433,"Fibra")),2)</f>
        <v>0</v>
      </c>
    </row>
    <row r="3944" customFormat="false" ht="15" hidden="false" customHeight="false" outlineLevel="0" collapsed="false">
      <c r="A3944" s="27" t="s">
        <v>120</v>
      </c>
      <c r="B3944" s="27" t="s">
        <v>111</v>
      </c>
      <c r="C3944" s="27" t="s">
        <v>49</v>
      </c>
      <c r="D3944" s="27" t="s">
        <v>40</v>
      </c>
      <c r="E3944" s="28" t="n">
        <f aca="false">ROUND((SUMIFS(Acerto_Detalhado!$F$2:$F$433,Acerto_Detalhado!$A$2:$A$433,$C3944,Acerto_Detalhado!$B$2:$B$433,"Out",Acerto_Detalhado!$C$2:$C$433,"Fibra"))*(SUMIFS(Acerto_Detalhado!$I$2:$I$433,Acerto_Detalhado!$A$2:$A$433,$D3944,Acerto_Detalhado!$B$2:$B$433,"Out",Acerto_Detalhado!$C$2:$C$433,"Fibra")),2)</f>
        <v>0</v>
      </c>
    </row>
    <row r="3945" customFormat="false" ht="15" hidden="false" customHeight="false" outlineLevel="0" collapsed="false">
      <c r="A3945" s="27" t="s">
        <v>120</v>
      </c>
      <c r="B3945" s="27" t="s">
        <v>111</v>
      </c>
      <c r="C3945" s="27" t="s">
        <v>49</v>
      </c>
      <c r="D3945" s="27" t="s">
        <v>41</v>
      </c>
      <c r="E3945" s="28" t="n">
        <f aca="false">ROUND((SUMIFS(Acerto_Detalhado!$F$2:$F$433,Acerto_Detalhado!$A$2:$A$433,$C3945,Acerto_Detalhado!$B$2:$B$433,"Out",Acerto_Detalhado!$C$2:$C$433,"Fibra"))*(SUMIFS(Acerto_Detalhado!$I$2:$I$433,Acerto_Detalhado!$A$2:$A$433,$D3945,Acerto_Detalhado!$B$2:$B$433,"Out",Acerto_Detalhado!$C$2:$C$433,"Fibra")),2)</f>
        <v>0</v>
      </c>
    </row>
    <row r="3946" customFormat="false" ht="15" hidden="false" customHeight="false" outlineLevel="0" collapsed="false">
      <c r="A3946" s="27" t="s">
        <v>120</v>
      </c>
      <c r="B3946" s="27" t="s">
        <v>111</v>
      </c>
      <c r="C3946" s="27" t="s">
        <v>49</v>
      </c>
      <c r="D3946" s="27" t="s">
        <v>42</v>
      </c>
      <c r="E3946" s="28" t="n">
        <f aca="false">ROUND((SUMIFS(Acerto_Detalhado!$F$2:$F$433,Acerto_Detalhado!$A$2:$A$433,$C3946,Acerto_Detalhado!$B$2:$B$433,"Out",Acerto_Detalhado!$C$2:$C$433,"Fibra"))*(SUMIFS(Acerto_Detalhado!$I$2:$I$433,Acerto_Detalhado!$A$2:$A$433,$D3946,Acerto_Detalhado!$B$2:$B$433,"Out",Acerto_Detalhado!$C$2:$C$433,"Fibra")),2)</f>
        <v>0</v>
      </c>
    </row>
    <row r="3947" customFormat="false" ht="15" hidden="false" customHeight="false" outlineLevel="0" collapsed="false">
      <c r="A3947" s="27" t="s">
        <v>120</v>
      </c>
      <c r="B3947" s="27" t="s">
        <v>111</v>
      </c>
      <c r="C3947" s="27" t="s">
        <v>49</v>
      </c>
      <c r="D3947" s="27" t="s">
        <v>43</v>
      </c>
      <c r="E3947" s="28" t="n">
        <f aca="false">ROUND((SUMIFS(Acerto_Detalhado!$F$2:$F$433,Acerto_Detalhado!$A$2:$A$433,$C3947,Acerto_Detalhado!$B$2:$B$433,"Out",Acerto_Detalhado!$C$2:$C$433,"Fibra"))*(SUMIFS(Acerto_Detalhado!$I$2:$I$433,Acerto_Detalhado!$A$2:$A$433,$D3947,Acerto_Detalhado!$B$2:$B$433,"Out",Acerto_Detalhado!$C$2:$C$433,"Fibra")),2)</f>
        <v>0</v>
      </c>
    </row>
    <row r="3948" customFormat="false" ht="15" hidden="false" customHeight="false" outlineLevel="0" collapsed="false">
      <c r="A3948" s="27" t="s">
        <v>120</v>
      </c>
      <c r="B3948" s="27" t="s">
        <v>111</v>
      </c>
      <c r="C3948" s="27" t="s">
        <v>49</v>
      </c>
      <c r="D3948" s="27" t="s">
        <v>44</v>
      </c>
      <c r="E3948" s="28" t="n">
        <f aca="false">ROUND((SUMIFS(Acerto_Detalhado!$F$2:$F$433,Acerto_Detalhado!$A$2:$A$433,$C3948,Acerto_Detalhado!$B$2:$B$433,"Out",Acerto_Detalhado!$C$2:$C$433,"Fibra"))*(SUMIFS(Acerto_Detalhado!$I$2:$I$433,Acerto_Detalhado!$A$2:$A$433,$D3948,Acerto_Detalhado!$B$2:$B$433,"Out",Acerto_Detalhado!$C$2:$C$433,"Fibra")),2)</f>
        <v>0</v>
      </c>
    </row>
    <row r="3949" customFormat="false" ht="15" hidden="false" customHeight="false" outlineLevel="0" collapsed="false">
      <c r="A3949" s="27" t="s">
        <v>120</v>
      </c>
      <c r="B3949" s="27" t="s">
        <v>111</v>
      </c>
      <c r="C3949" s="27" t="s">
        <v>49</v>
      </c>
      <c r="D3949" s="27" t="s">
        <v>45</v>
      </c>
      <c r="E3949" s="28" t="n">
        <f aca="false">ROUND((SUMIFS(Acerto_Detalhado!$F$2:$F$433,Acerto_Detalhado!$A$2:$A$433,$C3949,Acerto_Detalhado!$B$2:$B$433,"Out",Acerto_Detalhado!$C$2:$C$433,"Fibra"))*(SUMIFS(Acerto_Detalhado!$I$2:$I$433,Acerto_Detalhado!$A$2:$A$433,$D3949,Acerto_Detalhado!$B$2:$B$433,"Out",Acerto_Detalhado!$C$2:$C$433,"Fibra")),2)</f>
        <v>0</v>
      </c>
    </row>
    <row r="3950" customFormat="false" ht="15" hidden="false" customHeight="false" outlineLevel="0" collapsed="false">
      <c r="A3950" s="27" t="s">
        <v>120</v>
      </c>
      <c r="B3950" s="27" t="s">
        <v>111</v>
      </c>
      <c r="C3950" s="27" t="s">
        <v>49</v>
      </c>
      <c r="D3950" s="27" t="s">
        <v>46</v>
      </c>
      <c r="E3950" s="28" t="n">
        <f aca="false">ROUND((SUMIFS(Acerto_Detalhado!$F$2:$F$433,Acerto_Detalhado!$A$2:$A$433,$C3950,Acerto_Detalhado!$B$2:$B$433,"Out",Acerto_Detalhado!$C$2:$C$433,"Fibra"))*(SUMIFS(Acerto_Detalhado!$I$2:$I$433,Acerto_Detalhado!$A$2:$A$433,$D3950,Acerto_Detalhado!$B$2:$B$433,"Out",Acerto_Detalhado!$C$2:$C$433,"Fibra")),2)</f>
        <v>0</v>
      </c>
    </row>
    <row r="3951" customFormat="false" ht="15" hidden="false" customHeight="false" outlineLevel="0" collapsed="false">
      <c r="A3951" s="27" t="s">
        <v>120</v>
      </c>
      <c r="B3951" s="27" t="s">
        <v>111</v>
      </c>
      <c r="C3951" s="27" t="s">
        <v>49</v>
      </c>
      <c r="D3951" s="27" t="s">
        <v>47</v>
      </c>
      <c r="E3951" s="28" t="n">
        <f aca="false">ROUND((SUMIFS(Acerto_Detalhado!$F$2:$F$433,Acerto_Detalhado!$A$2:$A$433,$C3951,Acerto_Detalhado!$B$2:$B$433,"Out",Acerto_Detalhado!$C$2:$C$433,"Fibra"))*(SUMIFS(Acerto_Detalhado!$I$2:$I$433,Acerto_Detalhado!$A$2:$A$433,$D3951,Acerto_Detalhado!$B$2:$B$433,"Out",Acerto_Detalhado!$C$2:$C$433,"Fibra")),2)</f>
        <v>0</v>
      </c>
    </row>
    <row r="3952" customFormat="false" ht="15" hidden="false" customHeight="false" outlineLevel="0" collapsed="false">
      <c r="A3952" s="27" t="s">
        <v>120</v>
      </c>
      <c r="B3952" s="27" t="s">
        <v>111</v>
      </c>
      <c r="C3952" s="27" t="s">
        <v>49</v>
      </c>
      <c r="D3952" s="27" t="s">
        <v>48</v>
      </c>
      <c r="E3952" s="28" t="n">
        <f aca="false">ROUND((SUMIFS(Acerto_Detalhado!$F$2:$F$433,Acerto_Detalhado!$A$2:$A$433,$C3952,Acerto_Detalhado!$B$2:$B$433,"Out",Acerto_Detalhado!$C$2:$C$433,"Fibra"))*(SUMIFS(Acerto_Detalhado!$I$2:$I$433,Acerto_Detalhado!$A$2:$A$433,$D3952,Acerto_Detalhado!$B$2:$B$433,"Out",Acerto_Detalhado!$C$2:$C$433,"Fibra")),2)</f>
        <v>0</v>
      </c>
    </row>
    <row r="3953" customFormat="false" ht="15" hidden="false" customHeight="false" outlineLevel="0" collapsed="false">
      <c r="A3953" s="27" t="s">
        <v>120</v>
      </c>
      <c r="B3953" s="27" t="s">
        <v>111</v>
      </c>
      <c r="C3953" s="27" t="s">
        <v>49</v>
      </c>
      <c r="D3953" s="27" t="s">
        <v>50</v>
      </c>
      <c r="E3953" s="28" t="n">
        <f aca="false">ROUND((SUMIFS(Acerto_Detalhado!$F$2:$F$433,Acerto_Detalhado!$A$2:$A$433,$C3953,Acerto_Detalhado!$B$2:$B$433,"Out",Acerto_Detalhado!$C$2:$C$433,"Fibra"))*(SUMIFS(Acerto_Detalhado!$I$2:$I$433,Acerto_Detalhado!$A$2:$A$433,$D3953,Acerto_Detalhado!$B$2:$B$433,"Out",Acerto_Detalhado!$C$2:$C$433,"Fibra")),2)</f>
        <v>0</v>
      </c>
    </row>
    <row r="3954" customFormat="false" ht="15" hidden="false" customHeight="false" outlineLevel="0" collapsed="false">
      <c r="A3954" s="27" t="s">
        <v>120</v>
      </c>
      <c r="B3954" s="27" t="s">
        <v>111</v>
      </c>
      <c r="C3954" s="27" t="s">
        <v>50</v>
      </c>
      <c r="D3954" s="27" t="s">
        <v>39</v>
      </c>
      <c r="E3954" s="28" t="n">
        <f aca="false">ROUND((SUMIFS(Acerto_Detalhado!$F$2:$F$433,Acerto_Detalhado!$A$2:$A$433,$C3954,Acerto_Detalhado!$B$2:$B$433,"Out",Acerto_Detalhado!$C$2:$C$433,"Fibra"))*(SUMIFS(Acerto_Detalhado!$I$2:$I$433,Acerto_Detalhado!$A$2:$A$433,$D3954,Acerto_Detalhado!$B$2:$B$433,"Out",Acerto_Detalhado!$C$2:$C$433,"Fibra")),2)</f>
        <v>0</v>
      </c>
    </row>
    <row r="3955" customFormat="false" ht="15" hidden="false" customHeight="false" outlineLevel="0" collapsed="false">
      <c r="A3955" s="27" t="s">
        <v>120</v>
      </c>
      <c r="B3955" s="27" t="s">
        <v>111</v>
      </c>
      <c r="C3955" s="27" t="s">
        <v>50</v>
      </c>
      <c r="D3955" s="27" t="s">
        <v>40</v>
      </c>
      <c r="E3955" s="28" t="n">
        <f aca="false">ROUND((SUMIFS(Acerto_Detalhado!$F$2:$F$433,Acerto_Detalhado!$A$2:$A$433,$C3955,Acerto_Detalhado!$B$2:$B$433,"Out",Acerto_Detalhado!$C$2:$C$433,"Fibra"))*(SUMIFS(Acerto_Detalhado!$I$2:$I$433,Acerto_Detalhado!$A$2:$A$433,$D3955,Acerto_Detalhado!$B$2:$B$433,"Out",Acerto_Detalhado!$C$2:$C$433,"Fibra")),2)</f>
        <v>0</v>
      </c>
    </row>
    <row r="3956" customFormat="false" ht="15" hidden="false" customHeight="false" outlineLevel="0" collapsed="false">
      <c r="A3956" s="27" t="s">
        <v>120</v>
      </c>
      <c r="B3956" s="27" t="s">
        <v>111</v>
      </c>
      <c r="C3956" s="27" t="s">
        <v>50</v>
      </c>
      <c r="D3956" s="27" t="s">
        <v>41</v>
      </c>
      <c r="E3956" s="28" t="n">
        <f aca="false">ROUND((SUMIFS(Acerto_Detalhado!$F$2:$F$433,Acerto_Detalhado!$A$2:$A$433,$C3956,Acerto_Detalhado!$B$2:$B$433,"Out",Acerto_Detalhado!$C$2:$C$433,"Fibra"))*(SUMIFS(Acerto_Detalhado!$I$2:$I$433,Acerto_Detalhado!$A$2:$A$433,$D3956,Acerto_Detalhado!$B$2:$B$433,"Out",Acerto_Detalhado!$C$2:$C$433,"Fibra")),2)</f>
        <v>0</v>
      </c>
    </row>
    <row r="3957" customFormat="false" ht="15" hidden="false" customHeight="false" outlineLevel="0" collapsed="false">
      <c r="A3957" s="27" t="s">
        <v>120</v>
      </c>
      <c r="B3957" s="27" t="s">
        <v>111</v>
      </c>
      <c r="C3957" s="27" t="s">
        <v>50</v>
      </c>
      <c r="D3957" s="27" t="s">
        <v>42</v>
      </c>
      <c r="E3957" s="28" t="n">
        <f aca="false">ROUND((SUMIFS(Acerto_Detalhado!$F$2:$F$433,Acerto_Detalhado!$A$2:$A$433,$C3957,Acerto_Detalhado!$B$2:$B$433,"Out",Acerto_Detalhado!$C$2:$C$433,"Fibra"))*(SUMIFS(Acerto_Detalhado!$I$2:$I$433,Acerto_Detalhado!$A$2:$A$433,$D3957,Acerto_Detalhado!$B$2:$B$433,"Out",Acerto_Detalhado!$C$2:$C$433,"Fibra")),2)</f>
        <v>0</v>
      </c>
    </row>
    <row r="3958" customFormat="false" ht="15" hidden="false" customHeight="false" outlineLevel="0" collapsed="false">
      <c r="A3958" s="27" t="s">
        <v>120</v>
      </c>
      <c r="B3958" s="27" t="s">
        <v>111</v>
      </c>
      <c r="C3958" s="27" t="s">
        <v>50</v>
      </c>
      <c r="D3958" s="27" t="s">
        <v>43</v>
      </c>
      <c r="E3958" s="28" t="n">
        <f aca="false">ROUND((SUMIFS(Acerto_Detalhado!$F$2:$F$433,Acerto_Detalhado!$A$2:$A$433,$C3958,Acerto_Detalhado!$B$2:$B$433,"Out",Acerto_Detalhado!$C$2:$C$433,"Fibra"))*(SUMIFS(Acerto_Detalhado!$I$2:$I$433,Acerto_Detalhado!$A$2:$A$433,$D3958,Acerto_Detalhado!$B$2:$B$433,"Out",Acerto_Detalhado!$C$2:$C$433,"Fibra")),2)</f>
        <v>0</v>
      </c>
    </row>
    <row r="3959" customFormat="false" ht="15" hidden="false" customHeight="false" outlineLevel="0" collapsed="false">
      <c r="A3959" s="27" t="s">
        <v>120</v>
      </c>
      <c r="B3959" s="27" t="s">
        <v>111</v>
      </c>
      <c r="C3959" s="27" t="s">
        <v>50</v>
      </c>
      <c r="D3959" s="27" t="s">
        <v>44</v>
      </c>
      <c r="E3959" s="28" t="n">
        <f aca="false">ROUND((SUMIFS(Acerto_Detalhado!$F$2:$F$433,Acerto_Detalhado!$A$2:$A$433,$C3959,Acerto_Detalhado!$B$2:$B$433,"Out",Acerto_Detalhado!$C$2:$C$433,"Fibra"))*(SUMIFS(Acerto_Detalhado!$I$2:$I$433,Acerto_Detalhado!$A$2:$A$433,$D3959,Acerto_Detalhado!$B$2:$B$433,"Out",Acerto_Detalhado!$C$2:$C$433,"Fibra")),2)</f>
        <v>0</v>
      </c>
    </row>
    <row r="3960" customFormat="false" ht="15" hidden="false" customHeight="false" outlineLevel="0" collapsed="false">
      <c r="A3960" s="27" t="s">
        <v>120</v>
      </c>
      <c r="B3960" s="27" t="s">
        <v>111</v>
      </c>
      <c r="C3960" s="27" t="s">
        <v>50</v>
      </c>
      <c r="D3960" s="27" t="s">
        <v>45</v>
      </c>
      <c r="E3960" s="28" t="n">
        <f aca="false">ROUND((SUMIFS(Acerto_Detalhado!$F$2:$F$433,Acerto_Detalhado!$A$2:$A$433,$C3960,Acerto_Detalhado!$B$2:$B$433,"Out",Acerto_Detalhado!$C$2:$C$433,"Fibra"))*(SUMIFS(Acerto_Detalhado!$I$2:$I$433,Acerto_Detalhado!$A$2:$A$433,$D3960,Acerto_Detalhado!$B$2:$B$433,"Out",Acerto_Detalhado!$C$2:$C$433,"Fibra")),2)</f>
        <v>0</v>
      </c>
    </row>
    <row r="3961" customFormat="false" ht="15" hidden="false" customHeight="false" outlineLevel="0" collapsed="false">
      <c r="A3961" s="27" t="s">
        <v>120</v>
      </c>
      <c r="B3961" s="27" t="s">
        <v>111</v>
      </c>
      <c r="C3961" s="27" t="s">
        <v>50</v>
      </c>
      <c r="D3961" s="27" t="s">
        <v>46</v>
      </c>
      <c r="E3961" s="28" t="n">
        <f aca="false">ROUND((SUMIFS(Acerto_Detalhado!$F$2:$F$433,Acerto_Detalhado!$A$2:$A$433,$C3961,Acerto_Detalhado!$B$2:$B$433,"Out",Acerto_Detalhado!$C$2:$C$433,"Fibra"))*(SUMIFS(Acerto_Detalhado!$I$2:$I$433,Acerto_Detalhado!$A$2:$A$433,$D3961,Acerto_Detalhado!$B$2:$B$433,"Out",Acerto_Detalhado!$C$2:$C$433,"Fibra")),2)</f>
        <v>0</v>
      </c>
    </row>
    <row r="3962" customFormat="false" ht="15" hidden="false" customHeight="false" outlineLevel="0" collapsed="false">
      <c r="A3962" s="27" t="s">
        <v>120</v>
      </c>
      <c r="B3962" s="27" t="s">
        <v>111</v>
      </c>
      <c r="C3962" s="27" t="s">
        <v>50</v>
      </c>
      <c r="D3962" s="27" t="s">
        <v>47</v>
      </c>
      <c r="E3962" s="28" t="n">
        <f aca="false">ROUND((SUMIFS(Acerto_Detalhado!$F$2:$F$433,Acerto_Detalhado!$A$2:$A$433,$C3962,Acerto_Detalhado!$B$2:$B$433,"Out",Acerto_Detalhado!$C$2:$C$433,"Fibra"))*(SUMIFS(Acerto_Detalhado!$I$2:$I$433,Acerto_Detalhado!$A$2:$A$433,$D3962,Acerto_Detalhado!$B$2:$B$433,"Out",Acerto_Detalhado!$C$2:$C$433,"Fibra")),2)</f>
        <v>0</v>
      </c>
    </row>
    <row r="3963" customFormat="false" ht="15" hidden="false" customHeight="false" outlineLevel="0" collapsed="false">
      <c r="A3963" s="27" t="s">
        <v>120</v>
      </c>
      <c r="B3963" s="27" t="s">
        <v>111</v>
      </c>
      <c r="C3963" s="27" t="s">
        <v>50</v>
      </c>
      <c r="D3963" s="27" t="s">
        <v>48</v>
      </c>
      <c r="E3963" s="28" t="n">
        <f aca="false">ROUND((SUMIFS(Acerto_Detalhado!$F$2:$F$433,Acerto_Detalhado!$A$2:$A$433,$C3963,Acerto_Detalhado!$B$2:$B$433,"Out",Acerto_Detalhado!$C$2:$C$433,"Fibra"))*(SUMIFS(Acerto_Detalhado!$I$2:$I$433,Acerto_Detalhado!$A$2:$A$433,$D3963,Acerto_Detalhado!$B$2:$B$433,"Out",Acerto_Detalhado!$C$2:$C$433,"Fibra")),2)</f>
        <v>0</v>
      </c>
    </row>
    <row r="3964" customFormat="false" ht="15" hidden="false" customHeight="false" outlineLevel="0" collapsed="false">
      <c r="A3964" s="27" t="s">
        <v>120</v>
      </c>
      <c r="B3964" s="27" t="s">
        <v>111</v>
      </c>
      <c r="C3964" s="27" t="s">
        <v>50</v>
      </c>
      <c r="D3964" s="27" t="s">
        <v>49</v>
      </c>
      <c r="E3964" s="28" t="n">
        <f aca="false">ROUND((SUMIFS(Acerto_Detalhado!$F$2:$F$433,Acerto_Detalhado!$A$2:$A$433,$C3964,Acerto_Detalhado!$B$2:$B$433,"Out",Acerto_Detalhado!$C$2:$C$433,"Fibra"))*(SUMIFS(Acerto_Detalhado!$I$2:$I$433,Acerto_Detalhado!$A$2:$A$433,$D3964,Acerto_Detalhado!$B$2:$B$433,"Out",Acerto_Detalhado!$C$2:$C$433,"Fibra")),2)</f>
        <v>0</v>
      </c>
    </row>
    <row r="3965" customFormat="false" ht="15" hidden="false" customHeight="false" outlineLevel="0" collapsed="false">
      <c r="A3965" s="27" t="s">
        <v>121</v>
      </c>
      <c r="B3965" s="27" t="s">
        <v>109</v>
      </c>
      <c r="C3965" s="27" t="s">
        <v>39</v>
      </c>
      <c r="D3965" s="27" t="s">
        <v>40</v>
      </c>
      <c r="E3965" s="28" t="n">
        <f aca="false">ROUND((SUMIFS(Acerto_Detalhado!$F$2:$F$433,Acerto_Detalhado!$A$2:$A$433,$C3965,Acerto_Detalhado!$B$2:$B$433,"Nov",Acerto_Detalhado!$C$2:$C$433,"Proteina"))*(SUMIFS(Acerto_Detalhado!$I$2:$I$433,Acerto_Detalhado!$A$2:$A$433,$D3965,Acerto_Detalhado!$B$2:$B$433,"Nov",Acerto_Detalhado!$C$2:$C$433,"Proteina")),2)</f>
        <v>0</v>
      </c>
    </row>
    <row r="3966" customFormat="false" ht="15" hidden="false" customHeight="false" outlineLevel="0" collapsed="false">
      <c r="A3966" s="27" t="s">
        <v>121</v>
      </c>
      <c r="B3966" s="27" t="s">
        <v>109</v>
      </c>
      <c r="C3966" s="27" t="s">
        <v>39</v>
      </c>
      <c r="D3966" s="27" t="s">
        <v>41</v>
      </c>
      <c r="E3966" s="28" t="n">
        <f aca="false">ROUND((SUMIFS(Acerto_Detalhado!$F$2:$F$433,Acerto_Detalhado!$A$2:$A$433,$C3966,Acerto_Detalhado!$B$2:$B$433,"Nov",Acerto_Detalhado!$C$2:$C$433,"Proteina"))*(SUMIFS(Acerto_Detalhado!$I$2:$I$433,Acerto_Detalhado!$A$2:$A$433,$D3966,Acerto_Detalhado!$B$2:$B$433,"Nov",Acerto_Detalhado!$C$2:$C$433,"Proteina")),2)</f>
        <v>0</v>
      </c>
    </row>
    <row r="3967" customFormat="false" ht="15" hidden="false" customHeight="false" outlineLevel="0" collapsed="false">
      <c r="A3967" s="27" t="s">
        <v>121</v>
      </c>
      <c r="B3967" s="27" t="s">
        <v>109</v>
      </c>
      <c r="C3967" s="27" t="s">
        <v>39</v>
      </c>
      <c r="D3967" s="27" t="s">
        <v>42</v>
      </c>
      <c r="E3967" s="28" t="n">
        <f aca="false">ROUND((SUMIFS(Acerto_Detalhado!$F$2:$F$433,Acerto_Detalhado!$A$2:$A$433,$C3967,Acerto_Detalhado!$B$2:$B$433,"Nov",Acerto_Detalhado!$C$2:$C$433,"Proteina"))*(SUMIFS(Acerto_Detalhado!$I$2:$I$433,Acerto_Detalhado!$A$2:$A$433,$D3967,Acerto_Detalhado!$B$2:$B$433,"Nov",Acerto_Detalhado!$C$2:$C$433,"Proteina")),2)</f>
        <v>0</v>
      </c>
    </row>
    <row r="3968" customFormat="false" ht="15" hidden="false" customHeight="false" outlineLevel="0" collapsed="false">
      <c r="A3968" s="27" t="s">
        <v>121</v>
      </c>
      <c r="B3968" s="27" t="s">
        <v>109</v>
      </c>
      <c r="C3968" s="27" t="s">
        <v>39</v>
      </c>
      <c r="D3968" s="27" t="s">
        <v>43</v>
      </c>
      <c r="E3968" s="28" t="n">
        <f aca="false">ROUND((SUMIFS(Acerto_Detalhado!$F$2:$F$433,Acerto_Detalhado!$A$2:$A$433,$C3968,Acerto_Detalhado!$B$2:$B$433,"Nov",Acerto_Detalhado!$C$2:$C$433,"Proteina"))*(SUMIFS(Acerto_Detalhado!$I$2:$I$433,Acerto_Detalhado!$A$2:$A$433,$D3968,Acerto_Detalhado!$B$2:$B$433,"Nov",Acerto_Detalhado!$C$2:$C$433,"Proteina")),2)</f>
        <v>0</v>
      </c>
    </row>
    <row r="3969" customFormat="false" ht="15" hidden="false" customHeight="false" outlineLevel="0" collapsed="false">
      <c r="A3969" s="27" t="s">
        <v>121</v>
      </c>
      <c r="B3969" s="27" t="s">
        <v>109</v>
      </c>
      <c r="C3969" s="27" t="s">
        <v>39</v>
      </c>
      <c r="D3969" s="27" t="s">
        <v>44</v>
      </c>
      <c r="E3969" s="28" t="n">
        <f aca="false">ROUND((SUMIFS(Acerto_Detalhado!$F$2:$F$433,Acerto_Detalhado!$A$2:$A$433,$C3969,Acerto_Detalhado!$B$2:$B$433,"Nov",Acerto_Detalhado!$C$2:$C$433,"Proteina"))*(SUMIFS(Acerto_Detalhado!$I$2:$I$433,Acerto_Detalhado!$A$2:$A$433,$D3969,Acerto_Detalhado!$B$2:$B$433,"Nov",Acerto_Detalhado!$C$2:$C$433,"Proteina")),2)</f>
        <v>0</v>
      </c>
    </row>
    <row r="3970" customFormat="false" ht="15" hidden="false" customHeight="false" outlineLevel="0" collapsed="false">
      <c r="A3970" s="27" t="s">
        <v>121</v>
      </c>
      <c r="B3970" s="27" t="s">
        <v>109</v>
      </c>
      <c r="C3970" s="27" t="s">
        <v>39</v>
      </c>
      <c r="D3970" s="27" t="s">
        <v>45</v>
      </c>
      <c r="E3970" s="28" t="n">
        <f aca="false">ROUND((SUMIFS(Acerto_Detalhado!$F$2:$F$433,Acerto_Detalhado!$A$2:$A$433,$C3970,Acerto_Detalhado!$B$2:$B$433,"Nov",Acerto_Detalhado!$C$2:$C$433,"Proteina"))*(SUMIFS(Acerto_Detalhado!$I$2:$I$433,Acerto_Detalhado!$A$2:$A$433,$D3970,Acerto_Detalhado!$B$2:$B$433,"Nov",Acerto_Detalhado!$C$2:$C$433,"Proteina")),2)</f>
        <v>0</v>
      </c>
    </row>
    <row r="3971" customFormat="false" ht="15" hidden="false" customHeight="false" outlineLevel="0" collapsed="false">
      <c r="A3971" s="27" t="s">
        <v>121</v>
      </c>
      <c r="B3971" s="27" t="s">
        <v>109</v>
      </c>
      <c r="C3971" s="27" t="s">
        <v>39</v>
      </c>
      <c r="D3971" s="27" t="s">
        <v>46</v>
      </c>
      <c r="E3971" s="28" t="n">
        <f aca="false">ROUND((SUMIFS(Acerto_Detalhado!$F$2:$F$433,Acerto_Detalhado!$A$2:$A$433,$C3971,Acerto_Detalhado!$B$2:$B$433,"Nov",Acerto_Detalhado!$C$2:$C$433,"Proteina"))*(SUMIFS(Acerto_Detalhado!$I$2:$I$433,Acerto_Detalhado!$A$2:$A$433,$D3971,Acerto_Detalhado!$B$2:$B$433,"Nov",Acerto_Detalhado!$C$2:$C$433,"Proteina")),2)</f>
        <v>0</v>
      </c>
    </row>
    <row r="3972" customFormat="false" ht="15" hidden="false" customHeight="false" outlineLevel="0" collapsed="false">
      <c r="A3972" s="27" t="s">
        <v>121</v>
      </c>
      <c r="B3972" s="27" t="s">
        <v>109</v>
      </c>
      <c r="C3972" s="27" t="s">
        <v>39</v>
      </c>
      <c r="D3972" s="27" t="s">
        <v>47</v>
      </c>
      <c r="E3972" s="28" t="n">
        <f aca="false">ROUND((SUMIFS(Acerto_Detalhado!$F$2:$F$433,Acerto_Detalhado!$A$2:$A$433,$C3972,Acerto_Detalhado!$B$2:$B$433,"Nov",Acerto_Detalhado!$C$2:$C$433,"Proteina"))*(SUMIFS(Acerto_Detalhado!$I$2:$I$433,Acerto_Detalhado!$A$2:$A$433,$D3972,Acerto_Detalhado!$B$2:$B$433,"Nov",Acerto_Detalhado!$C$2:$C$433,"Proteina")),2)</f>
        <v>0</v>
      </c>
    </row>
    <row r="3973" customFormat="false" ht="15" hidden="false" customHeight="false" outlineLevel="0" collapsed="false">
      <c r="A3973" s="27" t="s">
        <v>121</v>
      </c>
      <c r="B3973" s="27" t="s">
        <v>109</v>
      </c>
      <c r="C3973" s="27" t="s">
        <v>39</v>
      </c>
      <c r="D3973" s="27" t="s">
        <v>48</v>
      </c>
      <c r="E3973" s="28" t="n">
        <f aca="false">ROUND((SUMIFS(Acerto_Detalhado!$F$2:$F$433,Acerto_Detalhado!$A$2:$A$433,$C3973,Acerto_Detalhado!$B$2:$B$433,"Nov",Acerto_Detalhado!$C$2:$C$433,"Proteina"))*(SUMIFS(Acerto_Detalhado!$I$2:$I$433,Acerto_Detalhado!$A$2:$A$433,$D3973,Acerto_Detalhado!$B$2:$B$433,"Nov",Acerto_Detalhado!$C$2:$C$433,"Proteina")),2)</f>
        <v>0</v>
      </c>
    </row>
    <row r="3974" customFormat="false" ht="15" hidden="false" customHeight="false" outlineLevel="0" collapsed="false">
      <c r="A3974" s="27" t="s">
        <v>121</v>
      </c>
      <c r="B3974" s="27" t="s">
        <v>109</v>
      </c>
      <c r="C3974" s="27" t="s">
        <v>39</v>
      </c>
      <c r="D3974" s="27" t="s">
        <v>49</v>
      </c>
      <c r="E3974" s="28" t="n">
        <f aca="false">ROUND((SUMIFS(Acerto_Detalhado!$F$2:$F$433,Acerto_Detalhado!$A$2:$A$433,$C3974,Acerto_Detalhado!$B$2:$B$433,"Nov",Acerto_Detalhado!$C$2:$C$433,"Proteina"))*(SUMIFS(Acerto_Detalhado!$I$2:$I$433,Acerto_Detalhado!$A$2:$A$433,$D3974,Acerto_Detalhado!$B$2:$B$433,"Nov",Acerto_Detalhado!$C$2:$C$433,"Proteina")),2)</f>
        <v>0</v>
      </c>
    </row>
    <row r="3975" customFormat="false" ht="15" hidden="false" customHeight="false" outlineLevel="0" collapsed="false">
      <c r="A3975" s="27" t="s">
        <v>121</v>
      </c>
      <c r="B3975" s="27" t="s">
        <v>109</v>
      </c>
      <c r="C3975" s="27" t="s">
        <v>39</v>
      </c>
      <c r="D3975" s="27" t="s">
        <v>50</v>
      </c>
      <c r="E3975" s="28" t="n">
        <f aca="false">ROUND((SUMIFS(Acerto_Detalhado!$F$2:$F$433,Acerto_Detalhado!$A$2:$A$433,$C3975,Acerto_Detalhado!$B$2:$B$433,"Nov",Acerto_Detalhado!$C$2:$C$433,"Proteina"))*(SUMIFS(Acerto_Detalhado!$I$2:$I$433,Acerto_Detalhado!$A$2:$A$433,$D3975,Acerto_Detalhado!$B$2:$B$433,"Nov",Acerto_Detalhado!$C$2:$C$433,"Proteina")),2)</f>
        <v>0</v>
      </c>
    </row>
    <row r="3976" customFormat="false" ht="15" hidden="false" customHeight="false" outlineLevel="0" collapsed="false">
      <c r="A3976" s="27" t="s">
        <v>121</v>
      </c>
      <c r="B3976" s="27" t="s">
        <v>109</v>
      </c>
      <c r="C3976" s="27" t="s">
        <v>40</v>
      </c>
      <c r="D3976" s="27" t="s">
        <v>39</v>
      </c>
      <c r="E3976" s="28" t="n">
        <f aca="false">ROUND((SUMIFS(Acerto_Detalhado!$F$2:$F$433,Acerto_Detalhado!$A$2:$A$433,$C3976,Acerto_Detalhado!$B$2:$B$433,"Nov",Acerto_Detalhado!$C$2:$C$433,"Proteina"))*(SUMIFS(Acerto_Detalhado!$I$2:$I$433,Acerto_Detalhado!$A$2:$A$433,$D3976,Acerto_Detalhado!$B$2:$B$433,"Nov",Acerto_Detalhado!$C$2:$C$433,"Proteina")),2)</f>
        <v>0</v>
      </c>
    </row>
    <row r="3977" customFormat="false" ht="15" hidden="false" customHeight="false" outlineLevel="0" collapsed="false">
      <c r="A3977" s="27" t="s">
        <v>121</v>
      </c>
      <c r="B3977" s="27" t="s">
        <v>109</v>
      </c>
      <c r="C3977" s="27" t="s">
        <v>40</v>
      </c>
      <c r="D3977" s="27" t="s">
        <v>41</v>
      </c>
      <c r="E3977" s="28" t="n">
        <f aca="false">ROUND((SUMIFS(Acerto_Detalhado!$F$2:$F$433,Acerto_Detalhado!$A$2:$A$433,$C3977,Acerto_Detalhado!$B$2:$B$433,"Nov",Acerto_Detalhado!$C$2:$C$433,"Proteina"))*(SUMIFS(Acerto_Detalhado!$I$2:$I$433,Acerto_Detalhado!$A$2:$A$433,$D3977,Acerto_Detalhado!$B$2:$B$433,"Nov",Acerto_Detalhado!$C$2:$C$433,"Proteina")),2)</f>
        <v>0</v>
      </c>
    </row>
    <row r="3978" customFormat="false" ht="15" hidden="false" customHeight="false" outlineLevel="0" collapsed="false">
      <c r="A3978" s="27" t="s">
        <v>121</v>
      </c>
      <c r="B3978" s="27" t="s">
        <v>109</v>
      </c>
      <c r="C3978" s="27" t="s">
        <v>40</v>
      </c>
      <c r="D3978" s="27" t="s">
        <v>42</v>
      </c>
      <c r="E3978" s="28" t="n">
        <f aca="false">ROUND((SUMIFS(Acerto_Detalhado!$F$2:$F$433,Acerto_Detalhado!$A$2:$A$433,$C3978,Acerto_Detalhado!$B$2:$B$433,"Nov",Acerto_Detalhado!$C$2:$C$433,"Proteina"))*(SUMIFS(Acerto_Detalhado!$I$2:$I$433,Acerto_Detalhado!$A$2:$A$433,$D3978,Acerto_Detalhado!$B$2:$B$433,"Nov",Acerto_Detalhado!$C$2:$C$433,"Proteina")),2)</f>
        <v>0</v>
      </c>
    </row>
    <row r="3979" customFormat="false" ht="15" hidden="false" customHeight="false" outlineLevel="0" collapsed="false">
      <c r="A3979" s="27" t="s">
        <v>121</v>
      </c>
      <c r="B3979" s="27" t="s">
        <v>109</v>
      </c>
      <c r="C3979" s="27" t="s">
        <v>40</v>
      </c>
      <c r="D3979" s="27" t="s">
        <v>43</v>
      </c>
      <c r="E3979" s="28" t="n">
        <f aca="false">ROUND((SUMIFS(Acerto_Detalhado!$F$2:$F$433,Acerto_Detalhado!$A$2:$A$433,$C3979,Acerto_Detalhado!$B$2:$B$433,"Nov",Acerto_Detalhado!$C$2:$C$433,"Proteina"))*(SUMIFS(Acerto_Detalhado!$I$2:$I$433,Acerto_Detalhado!$A$2:$A$433,$D3979,Acerto_Detalhado!$B$2:$B$433,"Nov",Acerto_Detalhado!$C$2:$C$433,"Proteina")),2)</f>
        <v>0</v>
      </c>
    </row>
    <row r="3980" customFormat="false" ht="15" hidden="false" customHeight="false" outlineLevel="0" collapsed="false">
      <c r="A3980" s="27" t="s">
        <v>121</v>
      </c>
      <c r="B3980" s="27" t="s">
        <v>109</v>
      </c>
      <c r="C3980" s="27" t="s">
        <v>40</v>
      </c>
      <c r="D3980" s="27" t="s">
        <v>44</v>
      </c>
      <c r="E3980" s="28" t="n">
        <f aca="false">ROUND((SUMIFS(Acerto_Detalhado!$F$2:$F$433,Acerto_Detalhado!$A$2:$A$433,$C3980,Acerto_Detalhado!$B$2:$B$433,"Nov",Acerto_Detalhado!$C$2:$C$433,"Proteina"))*(SUMIFS(Acerto_Detalhado!$I$2:$I$433,Acerto_Detalhado!$A$2:$A$433,$D3980,Acerto_Detalhado!$B$2:$B$433,"Nov",Acerto_Detalhado!$C$2:$C$433,"Proteina")),2)</f>
        <v>0</v>
      </c>
    </row>
    <row r="3981" customFormat="false" ht="15" hidden="false" customHeight="false" outlineLevel="0" collapsed="false">
      <c r="A3981" s="27" t="s">
        <v>121</v>
      </c>
      <c r="B3981" s="27" t="s">
        <v>109</v>
      </c>
      <c r="C3981" s="27" t="s">
        <v>40</v>
      </c>
      <c r="D3981" s="27" t="s">
        <v>45</v>
      </c>
      <c r="E3981" s="28" t="n">
        <f aca="false">ROUND((SUMIFS(Acerto_Detalhado!$F$2:$F$433,Acerto_Detalhado!$A$2:$A$433,$C3981,Acerto_Detalhado!$B$2:$B$433,"Nov",Acerto_Detalhado!$C$2:$C$433,"Proteina"))*(SUMIFS(Acerto_Detalhado!$I$2:$I$433,Acerto_Detalhado!$A$2:$A$433,$D3981,Acerto_Detalhado!$B$2:$B$433,"Nov",Acerto_Detalhado!$C$2:$C$433,"Proteina")),2)</f>
        <v>0</v>
      </c>
    </row>
    <row r="3982" customFormat="false" ht="15" hidden="false" customHeight="false" outlineLevel="0" collapsed="false">
      <c r="A3982" s="27" t="s">
        <v>121</v>
      </c>
      <c r="B3982" s="27" t="s">
        <v>109</v>
      </c>
      <c r="C3982" s="27" t="s">
        <v>40</v>
      </c>
      <c r="D3982" s="27" t="s">
        <v>46</v>
      </c>
      <c r="E3982" s="28" t="n">
        <f aca="false">ROUND((SUMIFS(Acerto_Detalhado!$F$2:$F$433,Acerto_Detalhado!$A$2:$A$433,$C3982,Acerto_Detalhado!$B$2:$B$433,"Nov",Acerto_Detalhado!$C$2:$C$433,"Proteina"))*(SUMIFS(Acerto_Detalhado!$I$2:$I$433,Acerto_Detalhado!$A$2:$A$433,$D3982,Acerto_Detalhado!$B$2:$B$433,"Nov",Acerto_Detalhado!$C$2:$C$433,"Proteina")),2)</f>
        <v>0</v>
      </c>
    </row>
    <row r="3983" customFormat="false" ht="15" hidden="false" customHeight="false" outlineLevel="0" collapsed="false">
      <c r="A3983" s="27" t="s">
        <v>121</v>
      </c>
      <c r="B3983" s="27" t="s">
        <v>109</v>
      </c>
      <c r="C3983" s="27" t="s">
        <v>40</v>
      </c>
      <c r="D3983" s="27" t="s">
        <v>47</v>
      </c>
      <c r="E3983" s="28" t="n">
        <f aca="false">ROUND((SUMIFS(Acerto_Detalhado!$F$2:$F$433,Acerto_Detalhado!$A$2:$A$433,$C3983,Acerto_Detalhado!$B$2:$B$433,"Nov",Acerto_Detalhado!$C$2:$C$433,"Proteina"))*(SUMIFS(Acerto_Detalhado!$I$2:$I$433,Acerto_Detalhado!$A$2:$A$433,$D3983,Acerto_Detalhado!$B$2:$B$433,"Nov",Acerto_Detalhado!$C$2:$C$433,"Proteina")),2)</f>
        <v>0</v>
      </c>
    </row>
    <row r="3984" customFormat="false" ht="15" hidden="false" customHeight="false" outlineLevel="0" collapsed="false">
      <c r="A3984" s="27" t="s">
        <v>121</v>
      </c>
      <c r="B3984" s="27" t="s">
        <v>109</v>
      </c>
      <c r="C3984" s="27" t="s">
        <v>40</v>
      </c>
      <c r="D3984" s="27" t="s">
        <v>48</v>
      </c>
      <c r="E3984" s="28" t="n">
        <f aca="false">ROUND((SUMIFS(Acerto_Detalhado!$F$2:$F$433,Acerto_Detalhado!$A$2:$A$433,$C3984,Acerto_Detalhado!$B$2:$B$433,"Nov",Acerto_Detalhado!$C$2:$C$433,"Proteina"))*(SUMIFS(Acerto_Detalhado!$I$2:$I$433,Acerto_Detalhado!$A$2:$A$433,$D3984,Acerto_Detalhado!$B$2:$B$433,"Nov",Acerto_Detalhado!$C$2:$C$433,"Proteina")),2)</f>
        <v>0</v>
      </c>
    </row>
    <row r="3985" customFormat="false" ht="15" hidden="false" customHeight="false" outlineLevel="0" collapsed="false">
      <c r="A3985" s="27" t="s">
        <v>121</v>
      </c>
      <c r="B3985" s="27" t="s">
        <v>109</v>
      </c>
      <c r="C3985" s="27" t="s">
        <v>40</v>
      </c>
      <c r="D3985" s="27" t="s">
        <v>49</v>
      </c>
      <c r="E3985" s="28" t="n">
        <f aca="false">ROUND((SUMIFS(Acerto_Detalhado!$F$2:$F$433,Acerto_Detalhado!$A$2:$A$433,$C3985,Acerto_Detalhado!$B$2:$B$433,"Nov",Acerto_Detalhado!$C$2:$C$433,"Proteina"))*(SUMIFS(Acerto_Detalhado!$I$2:$I$433,Acerto_Detalhado!$A$2:$A$433,$D3985,Acerto_Detalhado!$B$2:$B$433,"Nov",Acerto_Detalhado!$C$2:$C$433,"Proteina")),2)</f>
        <v>0</v>
      </c>
    </row>
    <row r="3986" customFormat="false" ht="15" hidden="false" customHeight="false" outlineLevel="0" collapsed="false">
      <c r="A3986" s="27" t="s">
        <v>121</v>
      </c>
      <c r="B3986" s="27" t="s">
        <v>109</v>
      </c>
      <c r="C3986" s="27" t="s">
        <v>40</v>
      </c>
      <c r="D3986" s="27" t="s">
        <v>50</v>
      </c>
      <c r="E3986" s="28" t="n">
        <f aca="false">ROUND((SUMIFS(Acerto_Detalhado!$F$2:$F$433,Acerto_Detalhado!$A$2:$A$433,$C3986,Acerto_Detalhado!$B$2:$B$433,"Nov",Acerto_Detalhado!$C$2:$C$433,"Proteina"))*(SUMIFS(Acerto_Detalhado!$I$2:$I$433,Acerto_Detalhado!$A$2:$A$433,$D3986,Acerto_Detalhado!$B$2:$B$433,"Nov",Acerto_Detalhado!$C$2:$C$433,"Proteina")),2)</f>
        <v>0</v>
      </c>
    </row>
    <row r="3987" customFormat="false" ht="15" hidden="false" customHeight="false" outlineLevel="0" collapsed="false">
      <c r="A3987" s="27" t="s">
        <v>121</v>
      </c>
      <c r="B3987" s="27" t="s">
        <v>109</v>
      </c>
      <c r="C3987" s="27" t="s">
        <v>41</v>
      </c>
      <c r="D3987" s="27" t="s">
        <v>39</v>
      </c>
      <c r="E3987" s="28" t="n">
        <f aca="false">ROUND((SUMIFS(Acerto_Detalhado!$F$2:$F$433,Acerto_Detalhado!$A$2:$A$433,$C3987,Acerto_Detalhado!$B$2:$B$433,"Nov",Acerto_Detalhado!$C$2:$C$433,"Proteina"))*(SUMIFS(Acerto_Detalhado!$I$2:$I$433,Acerto_Detalhado!$A$2:$A$433,$D3987,Acerto_Detalhado!$B$2:$B$433,"Nov",Acerto_Detalhado!$C$2:$C$433,"Proteina")),2)</f>
        <v>0</v>
      </c>
    </row>
    <row r="3988" customFormat="false" ht="15" hidden="false" customHeight="false" outlineLevel="0" collapsed="false">
      <c r="A3988" s="27" t="s">
        <v>121</v>
      </c>
      <c r="B3988" s="27" t="s">
        <v>109</v>
      </c>
      <c r="C3988" s="27" t="s">
        <v>41</v>
      </c>
      <c r="D3988" s="27" t="s">
        <v>40</v>
      </c>
      <c r="E3988" s="28" t="n">
        <f aca="false">ROUND((SUMIFS(Acerto_Detalhado!$F$2:$F$433,Acerto_Detalhado!$A$2:$A$433,$C3988,Acerto_Detalhado!$B$2:$B$433,"Nov",Acerto_Detalhado!$C$2:$C$433,"Proteina"))*(SUMIFS(Acerto_Detalhado!$I$2:$I$433,Acerto_Detalhado!$A$2:$A$433,$D3988,Acerto_Detalhado!$B$2:$B$433,"Nov",Acerto_Detalhado!$C$2:$C$433,"Proteina")),2)</f>
        <v>0</v>
      </c>
    </row>
    <row r="3989" customFormat="false" ht="15" hidden="false" customHeight="false" outlineLevel="0" collapsed="false">
      <c r="A3989" s="27" t="s">
        <v>121</v>
      </c>
      <c r="B3989" s="27" t="s">
        <v>109</v>
      </c>
      <c r="C3989" s="27" t="s">
        <v>41</v>
      </c>
      <c r="D3989" s="27" t="s">
        <v>42</v>
      </c>
      <c r="E3989" s="28" t="n">
        <f aca="false">ROUND((SUMIFS(Acerto_Detalhado!$F$2:$F$433,Acerto_Detalhado!$A$2:$A$433,$C3989,Acerto_Detalhado!$B$2:$B$433,"Nov",Acerto_Detalhado!$C$2:$C$433,"Proteina"))*(SUMIFS(Acerto_Detalhado!$I$2:$I$433,Acerto_Detalhado!$A$2:$A$433,$D3989,Acerto_Detalhado!$B$2:$B$433,"Nov",Acerto_Detalhado!$C$2:$C$433,"Proteina")),2)</f>
        <v>0</v>
      </c>
    </row>
    <row r="3990" customFormat="false" ht="15" hidden="false" customHeight="false" outlineLevel="0" collapsed="false">
      <c r="A3990" s="27" t="s">
        <v>121</v>
      </c>
      <c r="B3990" s="27" t="s">
        <v>109</v>
      </c>
      <c r="C3990" s="27" t="s">
        <v>41</v>
      </c>
      <c r="D3990" s="27" t="s">
        <v>43</v>
      </c>
      <c r="E3990" s="28" t="n">
        <f aca="false">ROUND((SUMIFS(Acerto_Detalhado!$F$2:$F$433,Acerto_Detalhado!$A$2:$A$433,$C3990,Acerto_Detalhado!$B$2:$B$433,"Nov",Acerto_Detalhado!$C$2:$C$433,"Proteina"))*(SUMIFS(Acerto_Detalhado!$I$2:$I$433,Acerto_Detalhado!$A$2:$A$433,$D3990,Acerto_Detalhado!$B$2:$B$433,"Nov",Acerto_Detalhado!$C$2:$C$433,"Proteina")),2)</f>
        <v>0</v>
      </c>
    </row>
    <row r="3991" customFormat="false" ht="15" hidden="false" customHeight="false" outlineLevel="0" collapsed="false">
      <c r="A3991" s="27" t="s">
        <v>121</v>
      </c>
      <c r="B3991" s="27" t="s">
        <v>109</v>
      </c>
      <c r="C3991" s="27" t="s">
        <v>41</v>
      </c>
      <c r="D3991" s="27" t="s">
        <v>44</v>
      </c>
      <c r="E3991" s="28" t="n">
        <f aca="false">ROUND((SUMIFS(Acerto_Detalhado!$F$2:$F$433,Acerto_Detalhado!$A$2:$A$433,$C3991,Acerto_Detalhado!$B$2:$B$433,"Nov",Acerto_Detalhado!$C$2:$C$433,"Proteina"))*(SUMIFS(Acerto_Detalhado!$I$2:$I$433,Acerto_Detalhado!$A$2:$A$433,$D3991,Acerto_Detalhado!$B$2:$B$433,"Nov",Acerto_Detalhado!$C$2:$C$433,"Proteina")),2)</f>
        <v>0</v>
      </c>
    </row>
    <row r="3992" customFormat="false" ht="15" hidden="false" customHeight="false" outlineLevel="0" collapsed="false">
      <c r="A3992" s="27" t="s">
        <v>121</v>
      </c>
      <c r="B3992" s="27" t="s">
        <v>109</v>
      </c>
      <c r="C3992" s="27" t="s">
        <v>41</v>
      </c>
      <c r="D3992" s="27" t="s">
        <v>45</v>
      </c>
      <c r="E3992" s="28" t="n">
        <f aca="false">ROUND((SUMIFS(Acerto_Detalhado!$F$2:$F$433,Acerto_Detalhado!$A$2:$A$433,$C3992,Acerto_Detalhado!$B$2:$B$433,"Nov",Acerto_Detalhado!$C$2:$C$433,"Proteina"))*(SUMIFS(Acerto_Detalhado!$I$2:$I$433,Acerto_Detalhado!$A$2:$A$433,$D3992,Acerto_Detalhado!$B$2:$B$433,"Nov",Acerto_Detalhado!$C$2:$C$433,"Proteina")),2)</f>
        <v>0</v>
      </c>
    </row>
    <row r="3993" customFormat="false" ht="15" hidden="false" customHeight="false" outlineLevel="0" collapsed="false">
      <c r="A3993" s="27" t="s">
        <v>121</v>
      </c>
      <c r="B3993" s="27" t="s">
        <v>109</v>
      </c>
      <c r="C3993" s="27" t="s">
        <v>41</v>
      </c>
      <c r="D3993" s="27" t="s">
        <v>46</v>
      </c>
      <c r="E3993" s="28" t="n">
        <f aca="false">ROUND((SUMIFS(Acerto_Detalhado!$F$2:$F$433,Acerto_Detalhado!$A$2:$A$433,$C3993,Acerto_Detalhado!$B$2:$B$433,"Nov",Acerto_Detalhado!$C$2:$C$433,"Proteina"))*(SUMIFS(Acerto_Detalhado!$I$2:$I$433,Acerto_Detalhado!$A$2:$A$433,$D3993,Acerto_Detalhado!$B$2:$B$433,"Nov",Acerto_Detalhado!$C$2:$C$433,"Proteina")),2)</f>
        <v>0</v>
      </c>
    </row>
    <row r="3994" customFormat="false" ht="15" hidden="false" customHeight="false" outlineLevel="0" collapsed="false">
      <c r="A3994" s="27" t="s">
        <v>121</v>
      </c>
      <c r="B3994" s="27" t="s">
        <v>109</v>
      </c>
      <c r="C3994" s="27" t="s">
        <v>41</v>
      </c>
      <c r="D3994" s="27" t="s">
        <v>47</v>
      </c>
      <c r="E3994" s="28" t="n">
        <f aca="false">ROUND((SUMIFS(Acerto_Detalhado!$F$2:$F$433,Acerto_Detalhado!$A$2:$A$433,$C3994,Acerto_Detalhado!$B$2:$B$433,"Nov",Acerto_Detalhado!$C$2:$C$433,"Proteina"))*(SUMIFS(Acerto_Detalhado!$I$2:$I$433,Acerto_Detalhado!$A$2:$A$433,$D3994,Acerto_Detalhado!$B$2:$B$433,"Nov",Acerto_Detalhado!$C$2:$C$433,"Proteina")),2)</f>
        <v>0</v>
      </c>
    </row>
    <row r="3995" customFormat="false" ht="15" hidden="false" customHeight="false" outlineLevel="0" collapsed="false">
      <c r="A3995" s="27" t="s">
        <v>121</v>
      </c>
      <c r="B3995" s="27" t="s">
        <v>109</v>
      </c>
      <c r="C3995" s="27" t="s">
        <v>41</v>
      </c>
      <c r="D3995" s="27" t="s">
        <v>48</v>
      </c>
      <c r="E3995" s="28" t="n">
        <f aca="false">ROUND((SUMIFS(Acerto_Detalhado!$F$2:$F$433,Acerto_Detalhado!$A$2:$A$433,$C3995,Acerto_Detalhado!$B$2:$B$433,"Nov",Acerto_Detalhado!$C$2:$C$433,"Proteina"))*(SUMIFS(Acerto_Detalhado!$I$2:$I$433,Acerto_Detalhado!$A$2:$A$433,$D3995,Acerto_Detalhado!$B$2:$B$433,"Nov",Acerto_Detalhado!$C$2:$C$433,"Proteina")),2)</f>
        <v>0</v>
      </c>
    </row>
    <row r="3996" customFormat="false" ht="15" hidden="false" customHeight="false" outlineLevel="0" collapsed="false">
      <c r="A3996" s="27" t="s">
        <v>121</v>
      </c>
      <c r="B3996" s="27" t="s">
        <v>109</v>
      </c>
      <c r="C3996" s="27" t="s">
        <v>41</v>
      </c>
      <c r="D3996" s="27" t="s">
        <v>49</v>
      </c>
      <c r="E3996" s="28" t="n">
        <f aca="false">ROUND((SUMIFS(Acerto_Detalhado!$F$2:$F$433,Acerto_Detalhado!$A$2:$A$433,$C3996,Acerto_Detalhado!$B$2:$B$433,"Nov",Acerto_Detalhado!$C$2:$C$433,"Proteina"))*(SUMIFS(Acerto_Detalhado!$I$2:$I$433,Acerto_Detalhado!$A$2:$A$433,$D3996,Acerto_Detalhado!$B$2:$B$433,"Nov",Acerto_Detalhado!$C$2:$C$433,"Proteina")),2)</f>
        <v>0</v>
      </c>
    </row>
    <row r="3997" customFormat="false" ht="15" hidden="false" customHeight="false" outlineLevel="0" collapsed="false">
      <c r="A3997" s="27" t="s">
        <v>121</v>
      </c>
      <c r="B3997" s="27" t="s">
        <v>109</v>
      </c>
      <c r="C3997" s="27" t="s">
        <v>41</v>
      </c>
      <c r="D3997" s="27" t="s">
        <v>50</v>
      </c>
      <c r="E3997" s="28" t="n">
        <f aca="false">ROUND((SUMIFS(Acerto_Detalhado!$F$2:$F$433,Acerto_Detalhado!$A$2:$A$433,$C3997,Acerto_Detalhado!$B$2:$B$433,"Nov",Acerto_Detalhado!$C$2:$C$433,"Proteina"))*(SUMIFS(Acerto_Detalhado!$I$2:$I$433,Acerto_Detalhado!$A$2:$A$433,$D3997,Acerto_Detalhado!$B$2:$B$433,"Nov",Acerto_Detalhado!$C$2:$C$433,"Proteina")),2)</f>
        <v>0</v>
      </c>
    </row>
    <row r="3998" customFormat="false" ht="15" hidden="false" customHeight="false" outlineLevel="0" collapsed="false">
      <c r="A3998" s="27" t="s">
        <v>121</v>
      </c>
      <c r="B3998" s="27" t="s">
        <v>109</v>
      </c>
      <c r="C3998" s="27" t="s">
        <v>42</v>
      </c>
      <c r="D3998" s="27" t="s">
        <v>39</v>
      </c>
      <c r="E3998" s="28" t="n">
        <f aca="false">ROUND((SUMIFS(Acerto_Detalhado!$F$2:$F$433,Acerto_Detalhado!$A$2:$A$433,$C3998,Acerto_Detalhado!$B$2:$B$433,"Nov",Acerto_Detalhado!$C$2:$C$433,"Proteina"))*(SUMIFS(Acerto_Detalhado!$I$2:$I$433,Acerto_Detalhado!$A$2:$A$433,$D3998,Acerto_Detalhado!$B$2:$B$433,"Nov",Acerto_Detalhado!$C$2:$C$433,"Proteina")),2)</f>
        <v>0</v>
      </c>
    </row>
    <row r="3999" customFormat="false" ht="15" hidden="false" customHeight="false" outlineLevel="0" collapsed="false">
      <c r="A3999" s="27" t="s">
        <v>121</v>
      </c>
      <c r="B3999" s="27" t="s">
        <v>109</v>
      </c>
      <c r="C3999" s="27" t="s">
        <v>42</v>
      </c>
      <c r="D3999" s="27" t="s">
        <v>40</v>
      </c>
      <c r="E3999" s="28" t="n">
        <f aca="false">ROUND((SUMIFS(Acerto_Detalhado!$F$2:$F$433,Acerto_Detalhado!$A$2:$A$433,$C3999,Acerto_Detalhado!$B$2:$B$433,"Nov",Acerto_Detalhado!$C$2:$C$433,"Proteina"))*(SUMIFS(Acerto_Detalhado!$I$2:$I$433,Acerto_Detalhado!$A$2:$A$433,$D3999,Acerto_Detalhado!$B$2:$B$433,"Nov",Acerto_Detalhado!$C$2:$C$433,"Proteina")),2)</f>
        <v>0</v>
      </c>
    </row>
    <row r="4000" customFormat="false" ht="15" hidden="false" customHeight="false" outlineLevel="0" collapsed="false">
      <c r="A4000" s="27" t="s">
        <v>121</v>
      </c>
      <c r="B4000" s="27" t="s">
        <v>109</v>
      </c>
      <c r="C4000" s="27" t="s">
        <v>42</v>
      </c>
      <c r="D4000" s="27" t="s">
        <v>41</v>
      </c>
      <c r="E4000" s="28" t="n">
        <f aca="false">ROUND((SUMIFS(Acerto_Detalhado!$F$2:$F$433,Acerto_Detalhado!$A$2:$A$433,$C4000,Acerto_Detalhado!$B$2:$B$433,"Nov",Acerto_Detalhado!$C$2:$C$433,"Proteina"))*(SUMIFS(Acerto_Detalhado!$I$2:$I$433,Acerto_Detalhado!$A$2:$A$433,$D4000,Acerto_Detalhado!$B$2:$B$433,"Nov",Acerto_Detalhado!$C$2:$C$433,"Proteina")),2)</f>
        <v>0</v>
      </c>
    </row>
    <row r="4001" customFormat="false" ht="15" hidden="false" customHeight="false" outlineLevel="0" collapsed="false">
      <c r="A4001" s="27" t="s">
        <v>121</v>
      </c>
      <c r="B4001" s="27" t="s">
        <v>109</v>
      </c>
      <c r="C4001" s="27" t="s">
        <v>42</v>
      </c>
      <c r="D4001" s="27" t="s">
        <v>43</v>
      </c>
      <c r="E4001" s="28" t="n">
        <f aca="false">ROUND((SUMIFS(Acerto_Detalhado!$F$2:$F$433,Acerto_Detalhado!$A$2:$A$433,$C4001,Acerto_Detalhado!$B$2:$B$433,"Nov",Acerto_Detalhado!$C$2:$C$433,"Proteina"))*(SUMIFS(Acerto_Detalhado!$I$2:$I$433,Acerto_Detalhado!$A$2:$A$433,$D4001,Acerto_Detalhado!$B$2:$B$433,"Nov",Acerto_Detalhado!$C$2:$C$433,"Proteina")),2)</f>
        <v>0</v>
      </c>
    </row>
    <row r="4002" customFormat="false" ht="15" hidden="false" customHeight="false" outlineLevel="0" collapsed="false">
      <c r="A4002" s="27" t="s">
        <v>121</v>
      </c>
      <c r="B4002" s="27" t="s">
        <v>109</v>
      </c>
      <c r="C4002" s="27" t="s">
        <v>42</v>
      </c>
      <c r="D4002" s="27" t="s">
        <v>44</v>
      </c>
      <c r="E4002" s="28" t="n">
        <f aca="false">ROUND((SUMIFS(Acerto_Detalhado!$F$2:$F$433,Acerto_Detalhado!$A$2:$A$433,$C4002,Acerto_Detalhado!$B$2:$B$433,"Nov",Acerto_Detalhado!$C$2:$C$433,"Proteina"))*(SUMIFS(Acerto_Detalhado!$I$2:$I$433,Acerto_Detalhado!$A$2:$A$433,$D4002,Acerto_Detalhado!$B$2:$B$433,"Nov",Acerto_Detalhado!$C$2:$C$433,"Proteina")),2)</f>
        <v>0</v>
      </c>
    </row>
    <row r="4003" customFormat="false" ht="15" hidden="false" customHeight="false" outlineLevel="0" collapsed="false">
      <c r="A4003" s="27" t="s">
        <v>121</v>
      </c>
      <c r="B4003" s="27" t="s">
        <v>109</v>
      </c>
      <c r="C4003" s="27" t="s">
        <v>42</v>
      </c>
      <c r="D4003" s="27" t="s">
        <v>45</v>
      </c>
      <c r="E4003" s="28" t="n">
        <f aca="false">ROUND((SUMIFS(Acerto_Detalhado!$F$2:$F$433,Acerto_Detalhado!$A$2:$A$433,$C4003,Acerto_Detalhado!$B$2:$B$433,"Nov",Acerto_Detalhado!$C$2:$C$433,"Proteina"))*(SUMIFS(Acerto_Detalhado!$I$2:$I$433,Acerto_Detalhado!$A$2:$A$433,$D4003,Acerto_Detalhado!$B$2:$B$433,"Nov",Acerto_Detalhado!$C$2:$C$433,"Proteina")),2)</f>
        <v>0</v>
      </c>
    </row>
    <row r="4004" customFormat="false" ht="15" hidden="false" customHeight="false" outlineLevel="0" collapsed="false">
      <c r="A4004" s="27" t="s">
        <v>121</v>
      </c>
      <c r="B4004" s="27" t="s">
        <v>109</v>
      </c>
      <c r="C4004" s="27" t="s">
        <v>42</v>
      </c>
      <c r="D4004" s="27" t="s">
        <v>46</v>
      </c>
      <c r="E4004" s="28" t="n">
        <f aca="false">ROUND((SUMIFS(Acerto_Detalhado!$F$2:$F$433,Acerto_Detalhado!$A$2:$A$433,$C4004,Acerto_Detalhado!$B$2:$B$433,"Nov",Acerto_Detalhado!$C$2:$C$433,"Proteina"))*(SUMIFS(Acerto_Detalhado!$I$2:$I$433,Acerto_Detalhado!$A$2:$A$433,$D4004,Acerto_Detalhado!$B$2:$B$433,"Nov",Acerto_Detalhado!$C$2:$C$433,"Proteina")),2)</f>
        <v>0</v>
      </c>
    </row>
    <row r="4005" customFormat="false" ht="15" hidden="false" customHeight="false" outlineLevel="0" collapsed="false">
      <c r="A4005" s="27" t="s">
        <v>121</v>
      </c>
      <c r="B4005" s="27" t="s">
        <v>109</v>
      </c>
      <c r="C4005" s="27" t="s">
        <v>42</v>
      </c>
      <c r="D4005" s="27" t="s">
        <v>47</v>
      </c>
      <c r="E4005" s="28" t="n">
        <f aca="false">ROUND((SUMIFS(Acerto_Detalhado!$F$2:$F$433,Acerto_Detalhado!$A$2:$A$433,$C4005,Acerto_Detalhado!$B$2:$B$433,"Nov",Acerto_Detalhado!$C$2:$C$433,"Proteina"))*(SUMIFS(Acerto_Detalhado!$I$2:$I$433,Acerto_Detalhado!$A$2:$A$433,$D4005,Acerto_Detalhado!$B$2:$B$433,"Nov",Acerto_Detalhado!$C$2:$C$433,"Proteina")),2)</f>
        <v>0</v>
      </c>
    </row>
    <row r="4006" customFormat="false" ht="15" hidden="false" customHeight="false" outlineLevel="0" collapsed="false">
      <c r="A4006" s="27" t="s">
        <v>121</v>
      </c>
      <c r="B4006" s="27" t="s">
        <v>109</v>
      </c>
      <c r="C4006" s="27" t="s">
        <v>42</v>
      </c>
      <c r="D4006" s="27" t="s">
        <v>48</v>
      </c>
      <c r="E4006" s="28" t="n">
        <f aca="false">ROUND((SUMIFS(Acerto_Detalhado!$F$2:$F$433,Acerto_Detalhado!$A$2:$A$433,$C4006,Acerto_Detalhado!$B$2:$B$433,"Nov",Acerto_Detalhado!$C$2:$C$433,"Proteina"))*(SUMIFS(Acerto_Detalhado!$I$2:$I$433,Acerto_Detalhado!$A$2:$A$433,$D4006,Acerto_Detalhado!$B$2:$B$433,"Nov",Acerto_Detalhado!$C$2:$C$433,"Proteina")),2)</f>
        <v>0</v>
      </c>
    </row>
    <row r="4007" customFormat="false" ht="15" hidden="false" customHeight="false" outlineLevel="0" collapsed="false">
      <c r="A4007" s="27" t="s">
        <v>121</v>
      </c>
      <c r="B4007" s="27" t="s">
        <v>109</v>
      </c>
      <c r="C4007" s="27" t="s">
        <v>42</v>
      </c>
      <c r="D4007" s="27" t="s">
        <v>49</v>
      </c>
      <c r="E4007" s="28" t="n">
        <f aca="false">ROUND((SUMIFS(Acerto_Detalhado!$F$2:$F$433,Acerto_Detalhado!$A$2:$A$433,$C4007,Acerto_Detalhado!$B$2:$B$433,"Nov",Acerto_Detalhado!$C$2:$C$433,"Proteina"))*(SUMIFS(Acerto_Detalhado!$I$2:$I$433,Acerto_Detalhado!$A$2:$A$433,$D4007,Acerto_Detalhado!$B$2:$B$433,"Nov",Acerto_Detalhado!$C$2:$C$433,"Proteina")),2)</f>
        <v>0</v>
      </c>
    </row>
    <row r="4008" customFormat="false" ht="15" hidden="false" customHeight="false" outlineLevel="0" collapsed="false">
      <c r="A4008" s="27" t="s">
        <v>121</v>
      </c>
      <c r="B4008" s="27" t="s">
        <v>109</v>
      </c>
      <c r="C4008" s="27" t="s">
        <v>42</v>
      </c>
      <c r="D4008" s="27" t="s">
        <v>50</v>
      </c>
      <c r="E4008" s="28" t="n">
        <f aca="false">ROUND((SUMIFS(Acerto_Detalhado!$F$2:$F$433,Acerto_Detalhado!$A$2:$A$433,$C4008,Acerto_Detalhado!$B$2:$B$433,"Nov",Acerto_Detalhado!$C$2:$C$433,"Proteina"))*(SUMIFS(Acerto_Detalhado!$I$2:$I$433,Acerto_Detalhado!$A$2:$A$433,$D4008,Acerto_Detalhado!$B$2:$B$433,"Nov",Acerto_Detalhado!$C$2:$C$433,"Proteina")),2)</f>
        <v>0</v>
      </c>
    </row>
    <row r="4009" customFormat="false" ht="15" hidden="false" customHeight="false" outlineLevel="0" collapsed="false">
      <c r="A4009" s="27" t="s">
        <v>121</v>
      </c>
      <c r="B4009" s="27" t="s">
        <v>109</v>
      </c>
      <c r="C4009" s="27" t="s">
        <v>43</v>
      </c>
      <c r="D4009" s="27" t="s">
        <v>39</v>
      </c>
      <c r="E4009" s="28" t="n">
        <f aca="false">ROUND((SUMIFS(Acerto_Detalhado!$F$2:$F$433,Acerto_Detalhado!$A$2:$A$433,$C4009,Acerto_Detalhado!$B$2:$B$433,"Nov",Acerto_Detalhado!$C$2:$C$433,"Proteina"))*(SUMIFS(Acerto_Detalhado!$I$2:$I$433,Acerto_Detalhado!$A$2:$A$433,$D4009,Acerto_Detalhado!$B$2:$B$433,"Nov",Acerto_Detalhado!$C$2:$C$433,"Proteina")),2)</f>
        <v>0</v>
      </c>
    </row>
    <row r="4010" customFormat="false" ht="15" hidden="false" customHeight="false" outlineLevel="0" collapsed="false">
      <c r="A4010" s="27" t="s">
        <v>121</v>
      </c>
      <c r="B4010" s="27" t="s">
        <v>109</v>
      </c>
      <c r="C4010" s="27" t="s">
        <v>43</v>
      </c>
      <c r="D4010" s="27" t="s">
        <v>40</v>
      </c>
      <c r="E4010" s="28" t="n">
        <f aca="false">ROUND((SUMIFS(Acerto_Detalhado!$F$2:$F$433,Acerto_Detalhado!$A$2:$A$433,$C4010,Acerto_Detalhado!$B$2:$B$433,"Nov",Acerto_Detalhado!$C$2:$C$433,"Proteina"))*(SUMIFS(Acerto_Detalhado!$I$2:$I$433,Acerto_Detalhado!$A$2:$A$433,$D4010,Acerto_Detalhado!$B$2:$B$433,"Nov",Acerto_Detalhado!$C$2:$C$433,"Proteina")),2)</f>
        <v>0</v>
      </c>
    </row>
    <row r="4011" customFormat="false" ht="15" hidden="false" customHeight="false" outlineLevel="0" collapsed="false">
      <c r="A4011" s="27" t="s">
        <v>121</v>
      </c>
      <c r="B4011" s="27" t="s">
        <v>109</v>
      </c>
      <c r="C4011" s="27" t="s">
        <v>43</v>
      </c>
      <c r="D4011" s="27" t="s">
        <v>41</v>
      </c>
      <c r="E4011" s="28" t="n">
        <f aca="false">ROUND((SUMIFS(Acerto_Detalhado!$F$2:$F$433,Acerto_Detalhado!$A$2:$A$433,$C4011,Acerto_Detalhado!$B$2:$B$433,"Nov",Acerto_Detalhado!$C$2:$C$433,"Proteina"))*(SUMIFS(Acerto_Detalhado!$I$2:$I$433,Acerto_Detalhado!$A$2:$A$433,$D4011,Acerto_Detalhado!$B$2:$B$433,"Nov",Acerto_Detalhado!$C$2:$C$433,"Proteina")),2)</f>
        <v>0</v>
      </c>
    </row>
    <row r="4012" customFormat="false" ht="15" hidden="false" customHeight="false" outlineLevel="0" collapsed="false">
      <c r="A4012" s="27" t="s">
        <v>121</v>
      </c>
      <c r="B4012" s="27" t="s">
        <v>109</v>
      </c>
      <c r="C4012" s="27" t="s">
        <v>43</v>
      </c>
      <c r="D4012" s="27" t="s">
        <v>42</v>
      </c>
      <c r="E4012" s="28" t="n">
        <f aca="false">ROUND((SUMIFS(Acerto_Detalhado!$F$2:$F$433,Acerto_Detalhado!$A$2:$A$433,$C4012,Acerto_Detalhado!$B$2:$B$433,"Nov",Acerto_Detalhado!$C$2:$C$433,"Proteina"))*(SUMIFS(Acerto_Detalhado!$I$2:$I$433,Acerto_Detalhado!$A$2:$A$433,$D4012,Acerto_Detalhado!$B$2:$B$433,"Nov",Acerto_Detalhado!$C$2:$C$433,"Proteina")),2)</f>
        <v>0</v>
      </c>
    </row>
    <row r="4013" customFormat="false" ht="15" hidden="false" customHeight="false" outlineLevel="0" collapsed="false">
      <c r="A4013" s="27" t="s">
        <v>121</v>
      </c>
      <c r="B4013" s="27" t="s">
        <v>109</v>
      </c>
      <c r="C4013" s="27" t="s">
        <v>43</v>
      </c>
      <c r="D4013" s="27" t="s">
        <v>44</v>
      </c>
      <c r="E4013" s="28" t="n">
        <f aca="false">ROUND((SUMIFS(Acerto_Detalhado!$F$2:$F$433,Acerto_Detalhado!$A$2:$A$433,$C4013,Acerto_Detalhado!$B$2:$B$433,"Nov",Acerto_Detalhado!$C$2:$C$433,"Proteina"))*(SUMIFS(Acerto_Detalhado!$I$2:$I$433,Acerto_Detalhado!$A$2:$A$433,$D4013,Acerto_Detalhado!$B$2:$B$433,"Nov",Acerto_Detalhado!$C$2:$C$433,"Proteina")),2)</f>
        <v>0</v>
      </c>
    </row>
    <row r="4014" customFormat="false" ht="15" hidden="false" customHeight="false" outlineLevel="0" collapsed="false">
      <c r="A4014" s="27" t="s">
        <v>121</v>
      </c>
      <c r="B4014" s="27" t="s">
        <v>109</v>
      </c>
      <c r="C4014" s="27" t="s">
        <v>43</v>
      </c>
      <c r="D4014" s="27" t="s">
        <v>45</v>
      </c>
      <c r="E4014" s="28" t="n">
        <f aca="false">ROUND((SUMIFS(Acerto_Detalhado!$F$2:$F$433,Acerto_Detalhado!$A$2:$A$433,$C4014,Acerto_Detalhado!$B$2:$B$433,"Nov",Acerto_Detalhado!$C$2:$C$433,"Proteina"))*(SUMIFS(Acerto_Detalhado!$I$2:$I$433,Acerto_Detalhado!$A$2:$A$433,$D4014,Acerto_Detalhado!$B$2:$B$433,"Nov",Acerto_Detalhado!$C$2:$C$433,"Proteina")),2)</f>
        <v>0</v>
      </c>
    </row>
    <row r="4015" customFormat="false" ht="15" hidden="false" customHeight="false" outlineLevel="0" collapsed="false">
      <c r="A4015" s="27" t="s">
        <v>121</v>
      </c>
      <c r="B4015" s="27" t="s">
        <v>109</v>
      </c>
      <c r="C4015" s="27" t="s">
        <v>43</v>
      </c>
      <c r="D4015" s="27" t="s">
        <v>46</v>
      </c>
      <c r="E4015" s="28" t="n">
        <f aca="false">ROUND((SUMIFS(Acerto_Detalhado!$F$2:$F$433,Acerto_Detalhado!$A$2:$A$433,$C4015,Acerto_Detalhado!$B$2:$B$433,"Nov",Acerto_Detalhado!$C$2:$C$433,"Proteina"))*(SUMIFS(Acerto_Detalhado!$I$2:$I$433,Acerto_Detalhado!$A$2:$A$433,$D4015,Acerto_Detalhado!$B$2:$B$433,"Nov",Acerto_Detalhado!$C$2:$C$433,"Proteina")),2)</f>
        <v>0</v>
      </c>
    </row>
    <row r="4016" customFormat="false" ht="15" hidden="false" customHeight="false" outlineLevel="0" collapsed="false">
      <c r="A4016" s="27" t="s">
        <v>121</v>
      </c>
      <c r="B4016" s="27" t="s">
        <v>109</v>
      </c>
      <c r="C4016" s="27" t="s">
        <v>43</v>
      </c>
      <c r="D4016" s="27" t="s">
        <v>47</v>
      </c>
      <c r="E4016" s="28" t="n">
        <f aca="false">ROUND((SUMIFS(Acerto_Detalhado!$F$2:$F$433,Acerto_Detalhado!$A$2:$A$433,$C4016,Acerto_Detalhado!$B$2:$B$433,"Nov",Acerto_Detalhado!$C$2:$C$433,"Proteina"))*(SUMIFS(Acerto_Detalhado!$I$2:$I$433,Acerto_Detalhado!$A$2:$A$433,$D4016,Acerto_Detalhado!$B$2:$B$433,"Nov",Acerto_Detalhado!$C$2:$C$433,"Proteina")),2)</f>
        <v>0</v>
      </c>
    </row>
    <row r="4017" customFormat="false" ht="15" hidden="false" customHeight="false" outlineLevel="0" collapsed="false">
      <c r="A4017" s="27" t="s">
        <v>121</v>
      </c>
      <c r="B4017" s="27" t="s">
        <v>109</v>
      </c>
      <c r="C4017" s="27" t="s">
        <v>43</v>
      </c>
      <c r="D4017" s="27" t="s">
        <v>48</v>
      </c>
      <c r="E4017" s="28" t="n">
        <f aca="false">ROUND((SUMIFS(Acerto_Detalhado!$F$2:$F$433,Acerto_Detalhado!$A$2:$A$433,$C4017,Acerto_Detalhado!$B$2:$B$433,"Nov",Acerto_Detalhado!$C$2:$C$433,"Proteina"))*(SUMIFS(Acerto_Detalhado!$I$2:$I$433,Acerto_Detalhado!$A$2:$A$433,$D4017,Acerto_Detalhado!$B$2:$B$433,"Nov",Acerto_Detalhado!$C$2:$C$433,"Proteina")),2)</f>
        <v>0</v>
      </c>
    </row>
    <row r="4018" customFormat="false" ht="15" hidden="false" customHeight="false" outlineLevel="0" collapsed="false">
      <c r="A4018" s="27" t="s">
        <v>121</v>
      </c>
      <c r="B4018" s="27" t="s">
        <v>109</v>
      </c>
      <c r="C4018" s="27" t="s">
        <v>43</v>
      </c>
      <c r="D4018" s="27" t="s">
        <v>49</v>
      </c>
      <c r="E4018" s="28" t="n">
        <f aca="false">ROUND((SUMIFS(Acerto_Detalhado!$F$2:$F$433,Acerto_Detalhado!$A$2:$A$433,$C4018,Acerto_Detalhado!$B$2:$B$433,"Nov",Acerto_Detalhado!$C$2:$C$433,"Proteina"))*(SUMIFS(Acerto_Detalhado!$I$2:$I$433,Acerto_Detalhado!$A$2:$A$433,$D4018,Acerto_Detalhado!$B$2:$B$433,"Nov",Acerto_Detalhado!$C$2:$C$433,"Proteina")),2)</f>
        <v>0</v>
      </c>
    </row>
    <row r="4019" customFormat="false" ht="15" hidden="false" customHeight="false" outlineLevel="0" collapsed="false">
      <c r="A4019" s="27" t="s">
        <v>121</v>
      </c>
      <c r="B4019" s="27" t="s">
        <v>109</v>
      </c>
      <c r="C4019" s="27" t="s">
        <v>43</v>
      </c>
      <c r="D4019" s="27" t="s">
        <v>50</v>
      </c>
      <c r="E4019" s="28" t="n">
        <f aca="false">ROUND((SUMIFS(Acerto_Detalhado!$F$2:$F$433,Acerto_Detalhado!$A$2:$A$433,$C4019,Acerto_Detalhado!$B$2:$B$433,"Nov",Acerto_Detalhado!$C$2:$C$433,"Proteina"))*(SUMIFS(Acerto_Detalhado!$I$2:$I$433,Acerto_Detalhado!$A$2:$A$433,$D4019,Acerto_Detalhado!$B$2:$B$433,"Nov",Acerto_Detalhado!$C$2:$C$433,"Proteina")),2)</f>
        <v>0</v>
      </c>
    </row>
    <row r="4020" customFormat="false" ht="15" hidden="false" customHeight="false" outlineLevel="0" collapsed="false">
      <c r="A4020" s="27" t="s">
        <v>121</v>
      </c>
      <c r="B4020" s="27" t="s">
        <v>109</v>
      </c>
      <c r="C4020" s="27" t="s">
        <v>44</v>
      </c>
      <c r="D4020" s="27" t="s">
        <v>39</v>
      </c>
      <c r="E4020" s="28" t="n">
        <f aca="false">ROUND((SUMIFS(Acerto_Detalhado!$F$2:$F$433,Acerto_Detalhado!$A$2:$A$433,$C4020,Acerto_Detalhado!$B$2:$B$433,"Nov",Acerto_Detalhado!$C$2:$C$433,"Proteina"))*(SUMIFS(Acerto_Detalhado!$I$2:$I$433,Acerto_Detalhado!$A$2:$A$433,$D4020,Acerto_Detalhado!$B$2:$B$433,"Nov",Acerto_Detalhado!$C$2:$C$433,"Proteina")),2)</f>
        <v>0</v>
      </c>
    </row>
    <row r="4021" customFormat="false" ht="15" hidden="false" customHeight="false" outlineLevel="0" collapsed="false">
      <c r="A4021" s="27" t="s">
        <v>121</v>
      </c>
      <c r="B4021" s="27" t="s">
        <v>109</v>
      </c>
      <c r="C4021" s="27" t="s">
        <v>44</v>
      </c>
      <c r="D4021" s="27" t="s">
        <v>40</v>
      </c>
      <c r="E4021" s="28" t="n">
        <f aca="false">ROUND((SUMIFS(Acerto_Detalhado!$F$2:$F$433,Acerto_Detalhado!$A$2:$A$433,$C4021,Acerto_Detalhado!$B$2:$B$433,"Nov",Acerto_Detalhado!$C$2:$C$433,"Proteina"))*(SUMIFS(Acerto_Detalhado!$I$2:$I$433,Acerto_Detalhado!$A$2:$A$433,$D4021,Acerto_Detalhado!$B$2:$B$433,"Nov",Acerto_Detalhado!$C$2:$C$433,"Proteina")),2)</f>
        <v>0</v>
      </c>
    </row>
    <row r="4022" customFormat="false" ht="15" hidden="false" customHeight="false" outlineLevel="0" collapsed="false">
      <c r="A4022" s="27" t="s">
        <v>121</v>
      </c>
      <c r="B4022" s="27" t="s">
        <v>109</v>
      </c>
      <c r="C4022" s="27" t="s">
        <v>44</v>
      </c>
      <c r="D4022" s="27" t="s">
        <v>41</v>
      </c>
      <c r="E4022" s="28" t="n">
        <f aca="false">ROUND((SUMIFS(Acerto_Detalhado!$F$2:$F$433,Acerto_Detalhado!$A$2:$A$433,$C4022,Acerto_Detalhado!$B$2:$B$433,"Nov",Acerto_Detalhado!$C$2:$C$433,"Proteina"))*(SUMIFS(Acerto_Detalhado!$I$2:$I$433,Acerto_Detalhado!$A$2:$A$433,$D4022,Acerto_Detalhado!$B$2:$B$433,"Nov",Acerto_Detalhado!$C$2:$C$433,"Proteina")),2)</f>
        <v>0</v>
      </c>
    </row>
    <row r="4023" customFormat="false" ht="15" hidden="false" customHeight="false" outlineLevel="0" collapsed="false">
      <c r="A4023" s="27" t="s">
        <v>121</v>
      </c>
      <c r="B4023" s="27" t="s">
        <v>109</v>
      </c>
      <c r="C4023" s="27" t="s">
        <v>44</v>
      </c>
      <c r="D4023" s="27" t="s">
        <v>42</v>
      </c>
      <c r="E4023" s="28" t="n">
        <f aca="false">ROUND((SUMIFS(Acerto_Detalhado!$F$2:$F$433,Acerto_Detalhado!$A$2:$A$433,$C4023,Acerto_Detalhado!$B$2:$B$433,"Nov",Acerto_Detalhado!$C$2:$C$433,"Proteina"))*(SUMIFS(Acerto_Detalhado!$I$2:$I$433,Acerto_Detalhado!$A$2:$A$433,$D4023,Acerto_Detalhado!$B$2:$B$433,"Nov",Acerto_Detalhado!$C$2:$C$433,"Proteina")),2)</f>
        <v>0</v>
      </c>
    </row>
    <row r="4024" customFormat="false" ht="15" hidden="false" customHeight="false" outlineLevel="0" collapsed="false">
      <c r="A4024" s="27" t="s">
        <v>121</v>
      </c>
      <c r="B4024" s="27" t="s">
        <v>109</v>
      </c>
      <c r="C4024" s="27" t="s">
        <v>44</v>
      </c>
      <c r="D4024" s="27" t="s">
        <v>43</v>
      </c>
      <c r="E4024" s="28" t="n">
        <f aca="false">ROUND((SUMIFS(Acerto_Detalhado!$F$2:$F$433,Acerto_Detalhado!$A$2:$A$433,$C4024,Acerto_Detalhado!$B$2:$B$433,"Nov",Acerto_Detalhado!$C$2:$C$433,"Proteina"))*(SUMIFS(Acerto_Detalhado!$I$2:$I$433,Acerto_Detalhado!$A$2:$A$433,$D4024,Acerto_Detalhado!$B$2:$B$433,"Nov",Acerto_Detalhado!$C$2:$C$433,"Proteina")),2)</f>
        <v>0</v>
      </c>
    </row>
    <row r="4025" customFormat="false" ht="15" hidden="false" customHeight="false" outlineLevel="0" collapsed="false">
      <c r="A4025" s="27" t="s">
        <v>121</v>
      </c>
      <c r="B4025" s="27" t="s">
        <v>109</v>
      </c>
      <c r="C4025" s="27" t="s">
        <v>44</v>
      </c>
      <c r="D4025" s="27" t="s">
        <v>45</v>
      </c>
      <c r="E4025" s="28" t="n">
        <f aca="false">ROUND((SUMIFS(Acerto_Detalhado!$F$2:$F$433,Acerto_Detalhado!$A$2:$A$433,$C4025,Acerto_Detalhado!$B$2:$B$433,"Nov",Acerto_Detalhado!$C$2:$C$433,"Proteina"))*(SUMIFS(Acerto_Detalhado!$I$2:$I$433,Acerto_Detalhado!$A$2:$A$433,$D4025,Acerto_Detalhado!$B$2:$B$433,"Nov",Acerto_Detalhado!$C$2:$C$433,"Proteina")),2)</f>
        <v>0</v>
      </c>
    </row>
    <row r="4026" customFormat="false" ht="15" hidden="false" customHeight="false" outlineLevel="0" collapsed="false">
      <c r="A4026" s="27" t="s">
        <v>121</v>
      </c>
      <c r="B4026" s="27" t="s">
        <v>109</v>
      </c>
      <c r="C4026" s="27" t="s">
        <v>44</v>
      </c>
      <c r="D4026" s="27" t="s">
        <v>46</v>
      </c>
      <c r="E4026" s="28" t="n">
        <f aca="false">ROUND((SUMIFS(Acerto_Detalhado!$F$2:$F$433,Acerto_Detalhado!$A$2:$A$433,$C4026,Acerto_Detalhado!$B$2:$B$433,"Nov",Acerto_Detalhado!$C$2:$C$433,"Proteina"))*(SUMIFS(Acerto_Detalhado!$I$2:$I$433,Acerto_Detalhado!$A$2:$A$433,$D4026,Acerto_Detalhado!$B$2:$B$433,"Nov",Acerto_Detalhado!$C$2:$C$433,"Proteina")),2)</f>
        <v>0</v>
      </c>
    </row>
    <row r="4027" customFormat="false" ht="15" hidden="false" customHeight="false" outlineLevel="0" collapsed="false">
      <c r="A4027" s="27" t="s">
        <v>121</v>
      </c>
      <c r="B4027" s="27" t="s">
        <v>109</v>
      </c>
      <c r="C4027" s="27" t="s">
        <v>44</v>
      </c>
      <c r="D4027" s="27" t="s">
        <v>47</v>
      </c>
      <c r="E4027" s="28" t="n">
        <f aca="false">ROUND((SUMIFS(Acerto_Detalhado!$F$2:$F$433,Acerto_Detalhado!$A$2:$A$433,$C4027,Acerto_Detalhado!$B$2:$B$433,"Nov",Acerto_Detalhado!$C$2:$C$433,"Proteina"))*(SUMIFS(Acerto_Detalhado!$I$2:$I$433,Acerto_Detalhado!$A$2:$A$433,$D4027,Acerto_Detalhado!$B$2:$B$433,"Nov",Acerto_Detalhado!$C$2:$C$433,"Proteina")),2)</f>
        <v>0</v>
      </c>
    </row>
    <row r="4028" customFormat="false" ht="15" hidden="false" customHeight="false" outlineLevel="0" collapsed="false">
      <c r="A4028" s="27" t="s">
        <v>121</v>
      </c>
      <c r="B4028" s="27" t="s">
        <v>109</v>
      </c>
      <c r="C4028" s="27" t="s">
        <v>44</v>
      </c>
      <c r="D4028" s="27" t="s">
        <v>48</v>
      </c>
      <c r="E4028" s="28" t="n">
        <f aca="false">ROUND((SUMIFS(Acerto_Detalhado!$F$2:$F$433,Acerto_Detalhado!$A$2:$A$433,$C4028,Acerto_Detalhado!$B$2:$B$433,"Nov",Acerto_Detalhado!$C$2:$C$433,"Proteina"))*(SUMIFS(Acerto_Detalhado!$I$2:$I$433,Acerto_Detalhado!$A$2:$A$433,$D4028,Acerto_Detalhado!$B$2:$B$433,"Nov",Acerto_Detalhado!$C$2:$C$433,"Proteina")),2)</f>
        <v>0</v>
      </c>
    </row>
    <row r="4029" customFormat="false" ht="15" hidden="false" customHeight="false" outlineLevel="0" collapsed="false">
      <c r="A4029" s="27" t="s">
        <v>121</v>
      </c>
      <c r="B4029" s="27" t="s">
        <v>109</v>
      </c>
      <c r="C4029" s="27" t="s">
        <v>44</v>
      </c>
      <c r="D4029" s="27" t="s">
        <v>49</v>
      </c>
      <c r="E4029" s="28" t="n">
        <f aca="false">ROUND((SUMIFS(Acerto_Detalhado!$F$2:$F$433,Acerto_Detalhado!$A$2:$A$433,$C4029,Acerto_Detalhado!$B$2:$B$433,"Nov",Acerto_Detalhado!$C$2:$C$433,"Proteina"))*(SUMIFS(Acerto_Detalhado!$I$2:$I$433,Acerto_Detalhado!$A$2:$A$433,$D4029,Acerto_Detalhado!$B$2:$B$433,"Nov",Acerto_Detalhado!$C$2:$C$433,"Proteina")),2)</f>
        <v>0</v>
      </c>
    </row>
    <row r="4030" customFormat="false" ht="15" hidden="false" customHeight="false" outlineLevel="0" collapsed="false">
      <c r="A4030" s="27" t="s">
        <v>121</v>
      </c>
      <c r="B4030" s="27" t="s">
        <v>109</v>
      </c>
      <c r="C4030" s="27" t="s">
        <v>44</v>
      </c>
      <c r="D4030" s="27" t="s">
        <v>50</v>
      </c>
      <c r="E4030" s="28" t="n">
        <f aca="false">ROUND((SUMIFS(Acerto_Detalhado!$F$2:$F$433,Acerto_Detalhado!$A$2:$A$433,$C4030,Acerto_Detalhado!$B$2:$B$433,"Nov",Acerto_Detalhado!$C$2:$C$433,"Proteina"))*(SUMIFS(Acerto_Detalhado!$I$2:$I$433,Acerto_Detalhado!$A$2:$A$433,$D4030,Acerto_Detalhado!$B$2:$B$433,"Nov",Acerto_Detalhado!$C$2:$C$433,"Proteina")),2)</f>
        <v>0</v>
      </c>
    </row>
    <row r="4031" customFormat="false" ht="15" hidden="false" customHeight="false" outlineLevel="0" collapsed="false">
      <c r="A4031" s="27" t="s">
        <v>121</v>
      </c>
      <c r="B4031" s="27" t="s">
        <v>109</v>
      </c>
      <c r="C4031" s="27" t="s">
        <v>45</v>
      </c>
      <c r="D4031" s="27" t="s">
        <v>39</v>
      </c>
      <c r="E4031" s="28" t="n">
        <f aca="false">ROUND((SUMIFS(Acerto_Detalhado!$F$2:$F$433,Acerto_Detalhado!$A$2:$A$433,$C4031,Acerto_Detalhado!$B$2:$B$433,"Nov",Acerto_Detalhado!$C$2:$C$433,"Proteina"))*(SUMIFS(Acerto_Detalhado!$I$2:$I$433,Acerto_Detalhado!$A$2:$A$433,$D4031,Acerto_Detalhado!$B$2:$B$433,"Nov",Acerto_Detalhado!$C$2:$C$433,"Proteina")),2)</f>
        <v>0</v>
      </c>
    </row>
    <row r="4032" customFormat="false" ht="15" hidden="false" customHeight="false" outlineLevel="0" collapsed="false">
      <c r="A4032" s="27" t="s">
        <v>121</v>
      </c>
      <c r="B4032" s="27" t="s">
        <v>109</v>
      </c>
      <c r="C4032" s="27" t="s">
        <v>45</v>
      </c>
      <c r="D4032" s="27" t="s">
        <v>40</v>
      </c>
      <c r="E4032" s="28" t="n">
        <f aca="false">ROUND((SUMIFS(Acerto_Detalhado!$F$2:$F$433,Acerto_Detalhado!$A$2:$A$433,$C4032,Acerto_Detalhado!$B$2:$B$433,"Nov",Acerto_Detalhado!$C$2:$C$433,"Proteina"))*(SUMIFS(Acerto_Detalhado!$I$2:$I$433,Acerto_Detalhado!$A$2:$A$433,$D4032,Acerto_Detalhado!$B$2:$B$433,"Nov",Acerto_Detalhado!$C$2:$C$433,"Proteina")),2)</f>
        <v>0</v>
      </c>
    </row>
    <row r="4033" customFormat="false" ht="15" hidden="false" customHeight="false" outlineLevel="0" collapsed="false">
      <c r="A4033" s="27" t="s">
        <v>121</v>
      </c>
      <c r="B4033" s="27" t="s">
        <v>109</v>
      </c>
      <c r="C4033" s="27" t="s">
        <v>45</v>
      </c>
      <c r="D4033" s="27" t="s">
        <v>41</v>
      </c>
      <c r="E4033" s="28" t="n">
        <f aca="false">ROUND((SUMIFS(Acerto_Detalhado!$F$2:$F$433,Acerto_Detalhado!$A$2:$A$433,$C4033,Acerto_Detalhado!$B$2:$B$433,"Nov",Acerto_Detalhado!$C$2:$C$433,"Proteina"))*(SUMIFS(Acerto_Detalhado!$I$2:$I$433,Acerto_Detalhado!$A$2:$A$433,$D4033,Acerto_Detalhado!$B$2:$B$433,"Nov",Acerto_Detalhado!$C$2:$C$433,"Proteina")),2)</f>
        <v>0</v>
      </c>
    </row>
    <row r="4034" customFormat="false" ht="15" hidden="false" customHeight="false" outlineLevel="0" collapsed="false">
      <c r="A4034" s="27" t="s">
        <v>121</v>
      </c>
      <c r="B4034" s="27" t="s">
        <v>109</v>
      </c>
      <c r="C4034" s="27" t="s">
        <v>45</v>
      </c>
      <c r="D4034" s="27" t="s">
        <v>42</v>
      </c>
      <c r="E4034" s="28" t="n">
        <f aca="false">ROUND((SUMIFS(Acerto_Detalhado!$F$2:$F$433,Acerto_Detalhado!$A$2:$A$433,$C4034,Acerto_Detalhado!$B$2:$B$433,"Nov",Acerto_Detalhado!$C$2:$C$433,"Proteina"))*(SUMIFS(Acerto_Detalhado!$I$2:$I$433,Acerto_Detalhado!$A$2:$A$433,$D4034,Acerto_Detalhado!$B$2:$B$433,"Nov",Acerto_Detalhado!$C$2:$C$433,"Proteina")),2)</f>
        <v>0</v>
      </c>
    </row>
    <row r="4035" customFormat="false" ht="15" hidden="false" customHeight="false" outlineLevel="0" collapsed="false">
      <c r="A4035" s="27" t="s">
        <v>121</v>
      </c>
      <c r="B4035" s="27" t="s">
        <v>109</v>
      </c>
      <c r="C4035" s="27" t="s">
        <v>45</v>
      </c>
      <c r="D4035" s="27" t="s">
        <v>43</v>
      </c>
      <c r="E4035" s="28" t="n">
        <f aca="false">ROUND((SUMIFS(Acerto_Detalhado!$F$2:$F$433,Acerto_Detalhado!$A$2:$A$433,$C4035,Acerto_Detalhado!$B$2:$B$433,"Nov",Acerto_Detalhado!$C$2:$C$433,"Proteina"))*(SUMIFS(Acerto_Detalhado!$I$2:$I$433,Acerto_Detalhado!$A$2:$A$433,$D4035,Acerto_Detalhado!$B$2:$B$433,"Nov",Acerto_Detalhado!$C$2:$C$433,"Proteina")),2)</f>
        <v>0</v>
      </c>
    </row>
    <row r="4036" customFormat="false" ht="15" hidden="false" customHeight="false" outlineLevel="0" collapsed="false">
      <c r="A4036" s="27" t="s">
        <v>121</v>
      </c>
      <c r="B4036" s="27" t="s">
        <v>109</v>
      </c>
      <c r="C4036" s="27" t="s">
        <v>45</v>
      </c>
      <c r="D4036" s="27" t="s">
        <v>44</v>
      </c>
      <c r="E4036" s="28" t="n">
        <f aca="false">ROUND((SUMIFS(Acerto_Detalhado!$F$2:$F$433,Acerto_Detalhado!$A$2:$A$433,$C4036,Acerto_Detalhado!$B$2:$B$433,"Nov",Acerto_Detalhado!$C$2:$C$433,"Proteina"))*(SUMIFS(Acerto_Detalhado!$I$2:$I$433,Acerto_Detalhado!$A$2:$A$433,$D4036,Acerto_Detalhado!$B$2:$B$433,"Nov",Acerto_Detalhado!$C$2:$C$433,"Proteina")),2)</f>
        <v>0</v>
      </c>
    </row>
    <row r="4037" customFormat="false" ht="15" hidden="false" customHeight="false" outlineLevel="0" collapsed="false">
      <c r="A4037" s="27" t="s">
        <v>121</v>
      </c>
      <c r="B4037" s="27" t="s">
        <v>109</v>
      </c>
      <c r="C4037" s="27" t="s">
        <v>45</v>
      </c>
      <c r="D4037" s="27" t="s">
        <v>46</v>
      </c>
      <c r="E4037" s="28" t="n">
        <f aca="false">ROUND((SUMIFS(Acerto_Detalhado!$F$2:$F$433,Acerto_Detalhado!$A$2:$A$433,$C4037,Acerto_Detalhado!$B$2:$B$433,"Nov",Acerto_Detalhado!$C$2:$C$433,"Proteina"))*(SUMIFS(Acerto_Detalhado!$I$2:$I$433,Acerto_Detalhado!$A$2:$A$433,$D4037,Acerto_Detalhado!$B$2:$B$433,"Nov",Acerto_Detalhado!$C$2:$C$433,"Proteina")),2)</f>
        <v>0</v>
      </c>
    </row>
    <row r="4038" customFormat="false" ht="15" hidden="false" customHeight="false" outlineLevel="0" collapsed="false">
      <c r="A4038" s="27" t="s">
        <v>121</v>
      </c>
      <c r="B4038" s="27" t="s">
        <v>109</v>
      </c>
      <c r="C4038" s="27" t="s">
        <v>45</v>
      </c>
      <c r="D4038" s="27" t="s">
        <v>47</v>
      </c>
      <c r="E4038" s="28" t="n">
        <f aca="false">ROUND((SUMIFS(Acerto_Detalhado!$F$2:$F$433,Acerto_Detalhado!$A$2:$A$433,$C4038,Acerto_Detalhado!$B$2:$B$433,"Nov",Acerto_Detalhado!$C$2:$C$433,"Proteina"))*(SUMIFS(Acerto_Detalhado!$I$2:$I$433,Acerto_Detalhado!$A$2:$A$433,$D4038,Acerto_Detalhado!$B$2:$B$433,"Nov",Acerto_Detalhado!$C$2:$C$433,"Proteina")),2)</f>
        <v>0</v>
      </c>
    </row>
    <row r="4039" customFormat="false" ht="15" hidden="false" customHeight="false" outlineLevel="0" collapsed="false">
      <c r="A4039" s="27" t="s">
        <v>121</v>
      </c>
      <c r="B4039" s="27" t="s">
        <v>109</v>
      </c>
      <c r="C4039" s="27" t="s">
        <v>45</v>
      </c>
      <c r="D4039" s="27" t="s">
        <v>48</v>
      </c>
      <c r="E4039" s="28" t="n">
        <f aca="false">ROUND((SUMIFS(Acerto_Detalhado!$F$2:$F$433,Acerto_Detalhado!$A$2:$A$433,$C4039,Acerto_Detalhado!$B$2:$B$433,"Nov",Acerto_Detalhado!$C$2:$C$433,"Proteina"))*(SUMIFS(Acerto_Detalhado!$I$2:$I$433,Acerto_Detalhado!$A$2:$A$433,$D4039,Acerto_Detalhado!$B$2:$B$433,"Nov",Acerto_Detalhado!$C$2:$C$433,"Proteina")),2)</f>
        <v>0</v>
      </c>
    </row>
    <row r="4040" customFormat="false" ht="15" hidden="false" customHeight="false" outlineLevel="0" collapsed="false">
      <c r="A4040" s="27" t="s">
        <v>121</v>
      </c>
      <c r="B4040" s="27" t="s">
        <v>109</v>
      </c>
      <c r="C4040" s="27" t="s">
        <v>45</v>
      </c>
      <c r="D4040" s="27" t="s">
        <v>49</v>
      </c>
      <c r="E4040" s="28" t="n">
        <f aca="false">ROUND((SUMIFS(Acerto_Detalhado!$F$2:$F$433,Acerto_Detalhado!$A$2:$A$433,$C4040,Acerto_Detalhado!$B$2:$B$433,"Nov",Acerto_Detalhado!$C$2:$C$433,"Proteina"))*(SUMIFS(Acerto_Detalhado!$I$2:$I$433,Acerto_Detalhado!$A$2:$A$433,$D4040,Acerto_Detalhado!$B$2:$B$433,"Nov",Acerto_Detalhado!$C$2:$C$433,"Proteina")),2)</f>
        <v>0</v>
      </c>
    </row>
    <row r="4041" customFormat="false" ht="15" hidden="false" customHeight="false" outlineLevel="0" collapsed="false">
      <c r="A4041" s="27" t="s">
        <v>121</v>
      </c>
      <c r="B4041" s="27" t="s">
        <v>109</v>
      </c>
      <c r="C4041" s="27" t="s">
        <v>45</v>
      </c>
      <c r="D4041" s="27" t="s">
        <v>50</v>
      </c>
      <c r="E4041" s="28" t="n">
        <f aca="false">ROUND((SUMIFS(Acerto_Detalhado!$F$2:$F$433,Acerto_Detalhado!$A$2:$A$433,$C4041,Acerto_Detalhado!$B$2:$B$433,"Nov",Acerto_Detalhado!$C$2:$C$433,"Proteina"))*(SUMIFS(Acerto_Detalhado!$I$2:$I$433,Acerto_Detalhado!$A$2:$A$433,$D4041,Acerto_Detalhado!$B$2:$B$433,"Nov",Acerto_Detalhado!$C$2:$C$433,"Proteina")),2)</f>
        <v>0</v>
      </c>
    </row>
    <row r="4042" customFormat="false" ht="15" hidden="false" customHeight="false" outlineLevel="0" collapsed="false">
      <c r="A4042" s="27" t="s">
        <v>121</v>
      </c>
      <c r="B4042" s="27" t="s">
        <v>109</v>
      </c>
      <c r="C4042" s="27" t="s">
        <v>46</v>
      </c>
      <c r="D4042" s="27" t="s">
        <v>39</v>
      </c>
      <c r="E4042" s="28" t="n">
        <f aca="false">ROUND((SUMIFS(Acerto_Detalhado!$F$2:$F$433,Acerto_Detalhado!$A$2:$A$433,$C4042,Acerto_Detalhado!$B$2:$B$433,"Nov",Acerto_Detalhado!$C$2:$C$433,"Proteina"))*(SUMIFS(Acerto_Detalhado!$I$2:$I$433,Acerto_Detalhado!$A$2:$A$433,$D4042,Acerto_Detalhado!$B$2:$B$433,"Nov",Acerto_Detalhado!$C$2:$C$433,"Proteina")),2)</f>
        <v>0</v>
      </c>
    </row>
    <row r="4043" customFormat="false" ht="15" hidden="false" customHeight="false" outlineLevel="0" collapsed="false">
      <c r="A4043" s="27" t="s">
        <v>121</v>
      </c>
      <c r="B4043" s="27" t="s">
        <v>109</v>
      </c>
      <c r="C4043" s="27" t="s">
        <v>46</v>
      </c>
      <c r="D4043" s="27" t="s">
        <v>40</v>
      </c>
      <c r="E4043" s="28" t="n">
        <f aca="false">ROUND((SUMIFS(Acerto_Detalhado!$F$2:$F$433,Acerto_Detalhado!$A$2:$A$433,$C4043,Acerto_Detalhado!$B$2:$B$433,"Nov",Acerto_Detalhado!$C$2:$C$433,"Proteina"))*(SUMIFS(Acerto_Detalhado!$I$2:$I$433,Acerto_Detalhado!$A$2:$A$433,$D4043,Acerto_Detalhado!$B$2:$B$433,"Nov",Acerto_Detalhado!$C$2:$C$433,"Proteina")),2)</f>
        <v>0</v>
      </c>
    </row>
    <row r="4044" customFormat="false" ht="15" hidden="false" customHeight="false" outlineLevel="0" collapsed="false">
      <c r="A4044" s="27" t="s">
        <v>121</v>
      </c>
      <c r="B4044" s="27" t="s">
        <v>109</v>
      </c>
      <c r="C4044" s="27" t="s">
        <v>46</v>
      </c>
      <c r="D4044" s="27" t="s">
        <v>41</v>
      </c>
      <c r="E4044" s="28" t="n">
        <f aca="false">ROUND((SUMIFS(Acerto_Detalhado!$F$2:$F$433,Acerto_Detalhado!$A$2:$A$433,$C4044,Acerto_Detalhado!$B$2:$B$433,"Nov",Acerto_Detalhado!$C$2:$C$433,"Proteina"))*(SUMIFS(Acerto_Detalhado!$I$2:$I$433,Acerto_Detalhado!$A$2:$A$433,$D4044,Acerto_Detalhado!$B$2:$B$433,"Nov",Acerto_Detalhado!$C$2:$C$433,"Proteina")),2)</f>
        <v>0</v>
      </c>
    </row>
    <row r="4045" customFormat="false" ht="15" hidden="false" customHeight="false" outlineLevel="0" collapsed="false">
      <c r="A4045" s="27" t="s">
        <v>121</v>
      </c>
      <c r="B4045" s="27" t="s">
        <v>109</v>
      </c>
      <c r="C4045" s="27" t="s">
        <v>46</v>
      </c>
      <c r="D4045" s="27" t="s">
        <v>42</v>
      </c>
      <c r="E4045" s="28" t="n">
        <f aca="false">ROUND((SUMIFS(Acerto_Detalhado!$F$2:$F$433,Acerto_Detalhado!$A$2:$A$433,$C4045,Acerto_Detalhado!$B$2:$B$433,"Nov",Acerto_Detalhado!$C$2:$C$433,"Proteina"))*(SUMIFS(Acerto_Detalhado!$I$2:$I$433,Acerto_Detalhado!$A$2:$A$433,$D4045,Acerto_Detalhado!$B$2:$B$433,"Nov",Acerto_Detalhado!$C$2:$C$433,"Proteina")),2)</f>
        <v>0</v>
      </c>
    </row>
    <row r="4046" customFormat="false" ht="15" hidden="false" customHeight="false" outlineLevel="0" collapsed="false">
      <c r="A4046" s="27" t="s">
        <v>121</v>
      </c>
      <c r="B4046" s="27" t="s">
        <v>109</v>
      </c>
      <c r="C4046" s="27" t="s">
        <v>46</v>
      </c>
      <c r="D4046" s="27" t="s">
        <v>43</v>
      </c>
      <c r="E4046" s="28" t="n">
        <f aca="false">ROUND((SUMIFS(Acerto_Detalhado!$F$2:$F$433,Acerto_Detalhado!$A$2:$A$433,$C4046,Acerto_Detalhado!$B$2:$B$433,"Nov",Acerto_Detalhado!$C$2:$C$433,"Proteina"))*(SUMIFS(Acerto_Detalhado!$I$2:$I$433,Acerto_Detalhado!$A$2:$A$433,$D4046,Acerto_Detalhado!$B$2:$B$433,"Nov",Acerto_Detalhado!$C$2:$C$433,"Proteina")),2)</f>
        <v>0</v>
      </c>
    </row>
    <row r="4047" customFormat="false" ht="15" hidden="false" customHeight="false" outlineLevel="0" collapsed="false">
      <c r="A4047" s="27" t="s">
        <v>121</v>
      </c>
      <c r="B4047" s="27" t="s">
        <v>109</v>
      </c>
      <c r="C4047" s="27" t="s">
        <v>46</v>
      </c>
      <c r="D4047" s="27" t="s">
        <v>44</v>
      </c>
      <c r="E4047" s="28" t="n">
        <f aca="false">ROUND((SUMIFS(Acerto_Detalhado!$F$2:$F$433,Acerto_Detalhado!$A$2:$A$433,$C4047,Acerto_Detalhado!$B$2:$B$433,"Nov",Acerto_Detalhado!$C$2:$C$433,"Proteina"))*(SUMIFS(Acerto_Detalhado!$I$2:$I$433,Acerto_Detalhado!$A$2:$A$433,$D4047,Acerto_Detalhado!$B$2:$B$433,"Nov",Acerto_Detalhado!$C$2:$C$433,"Proteina")),2)</f>
        <v>0</v>
      </c>
    </row>
    <row r="4048" customFormat="false" ht="15" hidden="false" customHeight="false" outlineLevel="0" collapsed="false">
      <c r="A4048" s="27" t="s">
        <v>121</v>
      </c>
      <c r="B4048" s="27" t="s">
        <v>109</v>
      </c>
      <c r="C4048" s="27" t="s">
        <v>46</v>
      </c>
      <c r="D4048" s="27" t="s">
        <v>45</v>
      </c>
      <c r="E4048" s="28" t="n">
        <f aca="false">ROUND((SUMIFS(Acerto_Detalhado!$F$2:$F$433,Acerto_Detalhado!$A$2:$A$433,$C4048,Acerto_Detalhado!$B$2:$B$433,"Nov",Acerto_Detalhado!$C$2:$C$433,"Proteina"))*(SUMIFS(Acerto_Detalhado!$I$2:$I$433,Acerto_Detalhado!$A$2:$A$433,$D4048,Acerto_Detalhado!$B$2:$B$433,"Nov",Acerto_Detalhado!$C$2:$C$433,"Proteina")),2)</f>
        <v>0</v>
      </c>
    </row>
    <row r="4049" customFormat="false" ht="15" hidden="false" customHeight="false" outlineLevel="0" collapsed="false">
      <c r="A4049" s="27" t="s">
        <v>121</v>
      </c>
      <c r="B4049" s="27" t="s">
        <v>109</v>
      </c>
      <c r="C4049" s="27" t="s">
        <v>46</v>
      </c>
      <c r="D4049" s="27" t="s">
        <v>47</v>
      </c>
      <c r="E4049" s="28" t="n">
        <f aca="false">ROUND((SUMIFS(Acerto_Detalhado!$F$2:$F$433,Acerto_Detalhado!$A$2:$A$433,$C4049,Acerto_Detalhado!$B$2:$B$433,"Nov",Acerto_Detalhado!$C$2:$C$433,"Proteina"))*(SUMIFS(Acerto_Detalhado!$I$2:$I$433,Acerto_Detalhado!$A$2:$A$433,$D4049,Acerto_Detalhado!$B$2:$B$433,"Nov",Acerto_Detalhado!$C$2:$C$433,"Proteina")),2)</f>
        <v>0</v>
      </c>
    </row>
    <row r="4050" customFormat="false" ht="15" hidden="false" customHeight="false" outlineLevel="0" collapsed="false">
      <c r="A4050" s="27" t="s">
        <v>121</v>
      </c>
      <c r="B4050" s="27" t="s">
        <v>109</v>
      </c>
      <c r="C4050" s="27" t="s">
        <v>46</v>
      </c>
      <c r="D4050" s="27" t="s">
        <v>48</v>
      </c>
      <c r="E4050" s="28" t="n">
        <f aca="false">ROUND((SUMIFS(Acerto_Detalhado!$F$2:$F$433,Acerto_Detalhado!$A$2:$A$433,$C4050,Acerto_Detalhado!$B$2:$B$433,"Nov",Acerto_Detalhado!$C$2:$C$433,"Proteina"))*(SUMIFS(Acerto_Detalhado!$I$2:$I$433,Acerto_Detalhado!$A$2:$A$433,$D4050,Acerto_Detalhado!$B$2:$B$433,"Nov",Acerto_Detalhado!$C$2:$C$433,"Proteina")),2)</f>
        <v>0</v>
      </c>
    </row>
    <row r="4051" customFormat="false" ht="15" hidden="false" customHeight="false" outlineLevel="0" collapsed="false">
      <c r="A4051" s="27" t="s">
        <v>121</v>
      </c>
      <c r="B4051" s="27" t="s">
        <v>109</v>
      </c>
      <c r="C4051" s="27" t="s">
        <v>46</v>
      </c>
      <c r="D4051" s="27" t="s">
        <v>49</v>
      </c>
      <c r="E4051" s="28" t="n">
        <f aca="false">ROUND((SUMIFS(Acerto_Detalhado!$F$2:$F$433,Acerto_Detalhado!$A$2:$A$433,$C4051,Acerto_Detalhado!$B$2:$B$433,"Nov",Acerto_Detalhado!$C$2:$C$433,"Proteina"))*(SUMIFS(Acerto_Detalhado!$I$2:$I$433,Acerto_Detalhado!$A$2:$A$433,$D4051,Acerto_Detalhado!$B$2:$B$433,"Nov",Acerto_Detalhado!$C$2:$C$433,"Proteina")),2)</f>
        <v>0</v>
      </c>
    </row>
    <row r="4052" customFormat="false" ht="15" hidden="false" customHeight="false" outlineLevel="0" collapsed="false">
      <c r="A4052" s="27" t="s">
        <v>121</v>
      </c>
      <c r="B4052" s="27" t="s">
        <v>109</v>
      </c>
      <c r="C4052" s="27" t="s">
        <v>46</v>
      </c>
      <c r="D4052" s="27" t="s">
        <v>50</v>
      </c>
      <c r="E4052" s="28" t="n">
        <f aca="false">ROUND((SUMIFS(Acerto_Detalhado!$F$2:$F$433,Acerto_Detalhado!$A$2:$A$433,$C4052,Acerto_Detalhado!$B$2:$B$433,"Nov",Acerto_Detalhado!$C$2:$C$433,"Proteina"))*(SUMIFS(Acerto_Detalhado!$I$2:$I$433,Acerto_Detalhado!$A$2:$A$433,$D4052,Acerto_Detalhado!$B$2:$B$433,"Nov",Acerto_Detalhado!$C$2:$C$433,"Proteina")),2)</f>
        <v>0</v>
      </c>
    </row>
    <row r="4053" customFormat="false" ht="15" hidden="false" customHeight="false" outlineLevel="0" collapsed="false">
      <c r="A4053" s="27" t="s">
        <v>121</v>
      </c>
      <c r="B4053" s="27" t="s">
        <v>109</v>
      </c>
      <c r="C4053" s="27" t="s">
        <v>47</v>
      </c>
      <c r="D4053" s="27" t="s">
        <v>39</v>
      </c>
      <c r="E4053" s="28" t="n">
        <f aca="false">ROUND((SUMIFS(Acerto_Detalhado!$F$2:$F$433,Acerto_Detalhado!$A$2:$A$433,$C4053,Acerto_Detalhado!$B$2:$B$433,"Nov",Acerto_Detalhado!$C$2:$C$433,"Proteina"))*(SUMIFS(Acerto_Detalhado!$I$2:$I$433,Acerto_Detalhado!$A$2:$A$433,$D4053,Acerto_Detalhado!$B$2:$B$433,"Nov",Acerto_Detalhado!$C$2:$C$433,"Proteina")),2)</f>
        <v>0</v>
      </c>
    </row>
    <row r="4054" customFormat="false" ht="15" hidden="false" customHeight="false" outlineLevel="0" collapsed="false">
      <c r="A4054" s="27" t="s">
        <v>121</v>
      </c>
      <c r="B4054" s="27" t="s">
        <v>109</v>
      </c>
      <c r="C4054" s="27" t="s">
        <v>47</v>
      </c>
      <c r="D4054" s="27" t="s">
        <v>40</v>
      </c>
      <c r="E4054" s="28" t="n">
        <f aca="false">ROUND((SUMIFS(Acerto_Detalhado!$F$2:$F$433,Acerto_Detalhado!$A$2:$A$433,$C4054,Acerto_Detalhado!$B$2:$B$433,"Nov",Acerto_Detalhado!$C$2:$C$433,"Proteina"))*(SUMIFS(Acerto_Detalhado!$I$2:$I$433,Acerto_Detalhado!$A$2:$A$433,$D4054,Acerto_Detalhado!$B$2:$B$433,"Nov",Acerto_Detalhado!$C$2:$C$433,"Proteina")),2)</f>
        <v>0</v>
      </c>
    </row>
    <row r="4055" customFormat="false" ht="15" hidden="false" customHeight="false" outlineLevel="0" collapsed="false">
      <c r="A4055" s="27" t="s">
        <v>121</v>
      </c>
      <c r="B4055" s="27" t="s">
        <v>109</v>
      </c>
      <c r="C4055" s="27" t="s">
        <v>47</v>
      </c>
      <c r="D4055" s="27" t="s">
        <v>41</v>
      </c>
      <c r="E4055" s="28" t="n">
        <f aca="false">ROUND((SUMIFS(Acerto_Detalhado!$F$2:$F$433,Acerto_Detalhado!$A$2:$A$433,$C4055,Acerto_Detalhado!$B$2:$B$433,"Nov",Acerto_Detalhado!$C$2:$C$433,"Proteina"))*(SUMIFS(Acerto_Detalhado!$I$2:$I$433,Acerto_Detalhado!$A$2:$A$433,$D4055,Acerto_Detalhado!$B$2:$B$433,"Nov",Acerto_Detalhado!$C$2:$C$433,"Proteina")),2)</f>
        <v>0</v>
      </c>
    </row>
    <row r="4056" customFormat="false" ht="15" hidden="false" customHeight="false" outlineLevel="0" collapsed="false">
      <c r="A4056" s="27" t="s">
        <v>121</v>
      </c>
      <c r="B4056" s="27" t="s">
        <v>109</v>
      </c>
      <c r="C4056" s="27" t="s">
        <v>47</v>
      </c>
      <c r="D4056" s="27" t="s">
        <v>42</v>
      </c>
      <c r="E4056" s="28" t="n">
        <f aca="false">ROUND((SUMIFS(Acerto_Detalhado!$F$2:$F$433,Acerto_Detalhado!$A$2:$A$433,$C4056,Acerto_Detalhado!$B$2:$B$433,"Nov",Acerto_Detalhado!$C$2:$C$433,"Proteina"))*(SUMIFS(Acerto_Detalhado!$I$2:$I$433,Acerto_Detalhado!$A$2:$A$433,$D4056,Acerto_Detalhado!$B$2:$B$433,"Nov",Acerto_Detalhado!$C$2:$C$433,"Proteina")),2)</f>
        <v>0</v>
      </c>
    </row>
    <row r="4057" customFormat="false" ht="15" hidden="false" customHeight="false" outlineLevel="0" collapsed="false">
      <c r="A4057" s="27" t="s">
        <v>121</v>
      </c>
      <c r="B4057" s="27" t="s">
        <v>109</v>
      </c>
      <c r="C4057" s="27" t="s">
        <v>47</v>
      </c>
      <c r="D4057" s="27" t="s">
        <v>43</v>
      </c>
      <c r="E4057" s="28" t="n">
        <f aca="false">ROUND((SUMIFS(Acerto_Detalhado!$F$2:$F$433,Acerto_Detalhado!$A$2:$A$433,$C4057,Acerto_Detalhado!$B$2:$B$433,"Nov",Acerto_Detalhado!$C$2:$C$433,"Proteina"))*(SUMIFS(Acerto_Detalhado!$I$2:$I$433,Acerto_Detalhado!$A$2:$A$433,$D4057,Acerto_Detalhado!$B$2:$B$433,"Nov",Acerto_Detalhado!$C$2:$C$433,"Proteina")),2)</f>
        <v>0</v>
      </c>
    </row>
    <row r="4058" customFormat="false" ht="15" hidden="false" customHeight="false" outlineLevel="0" collapsed="false">
      <c r="A4058" s="27" t="s">
        <v>121</v>
      </c>
      <c r="B4058" s="27" t="s">
        <v>109</v>
      </c>
      <c r="C4058" s="27" t="s">
        <v>47</v>
      </c>
      <c r="D4058" s="27" t="s">
        <v>44</v>
      </c>
      <c r="E4058" s="28" t="n">
        <f aca="false">ROUND((SUMIFS(Acerto_Detalhado!$F$2:$F$433,Acerto_Detalhado!$A$2:$A$433,$C4058,Acerto_Detalhado!$B$2:$B$433,"Nov",Acerto_Detalhado!$C$2:$C$433,"Proteina"))*(SUMIFS(Acerto_Detalhado!$I$2:$I$433,Acerto_Detalhado!$A$2:$A$433,$D4058,Acerto_Detalhado!$B$2:$B$433,"Nov",Acerto_Detalhado!$C$2:$C$433,"Proteina")),2)</f>
        <v>0</v>
      </c>
    </row>
    <row r="4059" customFormat="false" ht="15" hidden="false" customHeight="false" outlineLevel="0" collapsed="false">
      <c r="A4059" s="27" t="s">
        <v>121</v>
      </c>
      <c r="B4059" s="27" t="s">
        <v>109</v>
      </c>
      <c r="C4059" s="27" t="s">
        <v>47</v>
      </c>
      <c r="D4059" s="27" t="s">
        <v>45</v>
      </c>
      <c r="E4059" s="28" t="n">
        <f aca="false">ROUND((SUMIFS(Acerto_Detalhado!$F$2:$F$433,Acerto_Detalhado!$A$2:$A$433,$C4059,Acerto_Detalhado!$B$2:$B$433,"Nov",Acerto_Detalhado!$C$2:$C$433,"Proteina"))*(SUMIFS(Acerto_Detalhado!$I$2:$I$433,Acerto_Detalhado!$A$2:$A$433,$D4059,Acerto_Detalhado!$B$2:$B$433,"Nov",Acerto_Detalhado!$C$2:$C$433,"Proteina")),2)</f>
        <v>0</v>
      </c>
    </row>
    <row r="4060" customFormat="false" ht="15" hidden="false" customHeight="false" outlineLevel="0" collapsed="false">
      <c r="A4060" s="27" t="s">
        <v>121</v>
      </c>
      <c r="B4060" s="27" t="s">
        <v>109</v>
      </c>
      <c r="C4060" s="27" t="s">
        <v>47</v>
      </c>
      <c r="D4060" s="27" t="s">
        <v>46</v>
      </c>
      <c r="E4060" s="28" t="n">
        <f aca="false">ROUND((SUMIFS(Acerto_Detalhado!$F$2:$F$433,Acerto_Detalhado!$A$2:$A$433,$C4060,Acerto_Detalhado!$B$2:$B$433,"Nov",Acerto_Detalhado!$C$2:$C$433,"Proteina"))*(SUMIFS(Acerto_Detalhado!$I$2:$I$433,Acerto_Detalhado!$A$2:$A$433,$D4060,Acerto_Detalhado!$B$2:$B$433,"Nov",Acerto_Detalhado!$C$2:$C$433,"Proteina")),2)</f>
        <v>0</v>
      </c>
    </row>
    <row r="4061" customFormat="false" ht="15" hidden="false" customHeight="false" outlineLevel="0" collapsed="false">
      <c r="A4061" s="27" t="s">
        <v>121</v>
      </c>
      <c r="B4061" s="27" t="s">
        <v>109</v>
      </c>
      <c r="C4061" s="27" t="s">
        <v>47</v>
      </c>
      <c r="D4061" s="27" t="s">
        <v>48</v>
      </c>
      <c r="E4061" s="28" t="n">
        <f aca="false">ROUND((SUMIFS(Acerto_Detalhado!$F$2:$F$433,Acerto_Detalhado!$A$2:$A$433,$C4061,Acerto_Detalhado!$B$2:$B$433,"Nov",Acerto_Detalhado!$C$2:$C$433,"Proteina"))*(SUMIFS(Acerto_Detalhado!$I$2:$I$433,Acerto_Detalhado!$A$2:$A$433,$D4061,Acerto_Detalhado!$B$2:$B$433,"Nov",Acerto_Detalhado!$C$2:$C$433,"Proteina")),2)</f>
        <v>0</v>
      </c>
    </row>
    <row r="4062" customFormat="false" ht="15" hidden="false" customHeight="false" outlineLevel="0" collapsed="false">
      <c r="A4062" s="27" t="s">
        <v>121</v>
      </c>
      <c r="B4062" s="27" t="s">
        <v>109</v>
      </c>
      <c r="C4062" s="27" t="s">
        <v>47</v>
      </c>
      <c r="D4062" s="27" t="s">
        <v>49</v>
      </c>
      <c r="E4062" s="28" t="n">
        <f aca="false">ROUND((SUMIFS(Acerto_Detalhado!$F$2:$F$433,Acerto_Detalhado!$A$2:$A$433,$C4062,Acerto_Detalhado!$B$2:$B$433,"Nov",Acerto_Detalhado!$C$2:$C$433,"Proteina"))*(SUMIFS(Acerto_Detalhado!$I$2:$I$433,Acerto_Detalhado!$A$2:$A$433,$D4062,Acerto_Detalhado!$B$2:$B$433,"Nov",Acerto_Detalhado!$C$2:$C$433,"Proteina")),2)</f>
        <v>0</v>
      </c>
    </row>
    <row r="4063" customFormat="false" ht="15" hidden="false" customHeight="false" outlineLevel="0" collapsed="false">
      <c r="A4063" s="27" t="s">
        <v>121</v>
      </c>
      <c r="B4063" s="27" t="s">
        <v>109</v>
      </c>
      <c r="C4063" s="27" t="s">
        <v>47</v>
      </c>
      <c r="D4063" s="27" t="s">
        <v>50</v>
      </c>
      <c r="E4063" s="28" t="n">
        <f aca="false">ROUND((SUMIFS(Acerto_Detalhado!$F$2:$F$433,Acerto_Detalhado!$A$2:$A$433,$C4063,Acerto_Detalhado!$B$2:$B$433,"Nov",Acerto_Detalhado!$C$2:$C$433,"Proteina"))*(SUMIFS(Acerto_Detalhado!$I$2:$I$433,Acerto_Detalhado!$A$2:$A$433,$D4063,Acerto_Detalhado!$B$2:$B$433,"Nov",Acerto_Detalhado!$C$2:$C$433,"Proteina")),2)</f>
        <v>0</v>
      </c>
    </row>
    <row r="4064" customFormat="false" ht="15" hidden="false" customHeight="false" outlineLevel="0" collapsed="false">
      <c r="A4064" s="27" t="s">
        <v>121</v>
      </c>
      <c r="B4064" s="27" t="s">
        <v>109</v>
      </c>
      <c r="C4064" s="27" t="s">
        <v>48</v>
      </c>
      <c r="D4064" s="27" t="s">
        <v>39</v>
      </c>
      <c r="E4064" s="28" t="n">
        <f aca="false">ROUND((SUMIFS(Acerto_Detalhado!$F$2:$F$433,Acerto_Detalhado!$A$2:$A$433,$C4064,Acerto_Detalhado!$B$2:$B$433,"Nov",Acerto_Detalhado!$C$2:$C$433,"Proteina"))*(SUMIFS(Acerto_Detalhado!$I$2:$I$433,Acerto_Detalhado!$A$2:$A$433,$D4064,Acerto_Detalhado!$B$2:$B$433,"Nov",Acerto_Detalhado!$C$2:$C$433,"Proteina")),2)</f>
        <v>0</v>
      </c>
    </row>
    <row r="4065" customFormat="false" ht="15" hidden="false" customHeight="false" outlineLevel="0" collapsed="false">
      <c r="A4065" s="27" t="s">
        <v>121</v>
      </c>
      <c r="B4065" s="27" t="s">
        <v>109</v>
      </c>
      <c r="C4065" s="27" t="s">
        <v>48</v>
      </c>
      <c r="D4065" s="27" t="s">
        <v>40</v>
      </c>
      <c r="E4065" s="28" t="n">
        <f aca="false">ROUND((SUMIFS(Acerto_Detalhado!$F$2:$F$433,Acerto_Detalhado!$A$2:$A$433,$C4065,Acerto_Detalhado!$B$2:$B$433,"Nov",Acerto_Detalhado!$C$2:$C$433,"Proteina"))*(SUMIFS(Acerto_Detalhado!$I$2:$I$433,Acerto_Detalhado!$A$2:$A$433,$D4065,Acerto_Detalhado!$B$2:$B$433,"Nov",Acerto_Detalhado!$C$2:$C$433,"Proteina")),2)</f>
        <v>0</v>
      </c>
    </row>
    <row r="4066" customFormat="false" ht="15" hidden="false" customHeight="false" outlineLevel="0" collapsed="false">
      <c r="A4066" s="27" t="s">
        <v>121</v>
      </c>
      <c r="B4066" s="27" t="s">
        <v>109</v>
      </c>
      <c r="C4066" s="27" t="s">
        <v>48</v>
      </c>
      <c r="D4066" s="27" t="s">
        <v>41</v>
      </c>
      <c r="E4066" s="28" t="n">
        <f aca="false">ROUND((SUMIFS(Acerto_Detalhado!$F$2:$F$433,Acerto_Detalhado!$A$2:$A$433,$C4066,Acerto_Detalhado!$B$2:$B$433,"Nov",Acerto_Detalhado!$C$2:$C$433,"Proteina"))*(SUMIFS(Acerto_Detalhado!$I$2:$I$433,Acerto_Detalhado!$A$2:$A$433,$D4066,Acerto_Detalhado!$B$2:$B$433,"Nov",Acerto_Detalhado!$C$2:$C$433,"Proteina")),2)</f>
        <v>0</v>
      </c>
    </row>
    <row r="4067" customFormat="false" ht="15" hidden="false" customHeight="false" outlineLevel="0" collapsed="false">
      <c r="A4067" s="27" t="s">
        <v>121</v>
      </c>
      <c r="B4067" s="27" t="s">
        <v>109</v>
      </c>
      <c r="C4067" s="27" t="s">
        <v>48</v>
      </c>
      <c r="D4067" s="27" t="s">
        <v>42</v>
      </c>
      <c r="E4067" s="28" t="n">
        <f aca="false">ROUND((SUMIFS(Acerto_Detalhado!$F$2:$F$433,Acerto_Detalhado!$A$2:$A$433,$C4067,Acerto_Detalhado!$B$2:$B$433,"Nov",Acerto_Detalhado!$C$2:$C$433,"Proteina"))*(SUMIFS(Acerto_Detalhado!$I$2:$I$433,Acerto_Detalhado!$A$2:$A$433,$D4067,Acerto_Detalhado!$B$2:$B$433,"Nov",Acerto_Detalhado!$C$2:$C$433,"Proteina")),2)</f>
        <v>0</v>
      </c>
    </row>
    <row r="4068" customFormat="false" ht="15" hidden="false" customHeight="false" outlineLevel="0" collapsed="false">
      <c r="A4068" s="27" t="s">
        <v>121</v>
      </c>
      <c r="B4068" s="27" t="s">
        <v>109</v>
      </c>
      <c r="C4068" s="27" t="s">
        <v>48</v>
      </c>
      <c r="D4068" s="27" t="s">
        <v>43</v>
      </c>
      <c r="E4068" s="28" t="n">
        <f aca="false">ROUND((SUMIFS(Acerto_Detalhado!$F$2:$F$433,Acerto_Detalhado!$A$2:$A$433,$C4068,Acerto_Detalhado!$B$2:$B$433,"Nov",Acerto_Detalhado!$C$2:$C$433,"Proteina"))*(SUMIFS(Acerto_Detalhado!$I$2:$I$433,Acerto_Detalhado!$A$2:$A$433,$D4068,Acerto_Detalhado!$B$2:$B$433,"Nov",Acerto_Detalhado!$C$2:$C$433,"Proteina")),2)</f>
        <v>0</v>
      </c>
    </row>
    <row r="4069" customFormat="false" ht="15" hidden="false" customHeight="false" outlineLevel="0" collapsed="false">
      <c r="A4069" s="27" t="s">
        <v>121</v>
      </c>
      <c r="B4069" s="27" t="s">
        <v>109</v>
      </c>
      <c r="C4069" s="27" t="s">
        <v>48</v>
      </c>
      <c r="D4069" s="27" t="s">
        <v>44</v>
      </c>
      <c r="E4069" s="28" t="n">
        <f aca="false">ROUND((SUMIFS(Acerto_Detalhado!$F$2:$F$433,Acerto_Detalhado!$A$2:$A$433,$C4069,Acerto_Detalhado!$B$2:$B$433,"Nov",Acerto_Detalhado!$C$2:$C$433,"Proteina"))*(SUMIFS(Acerto_Detalhado!$I$2:$I$433,Acerto_Detalhado!$A$2:$A$433,$D4069,Acerto_Detalhado!$B$2:$B$433,"Nov",Acerto_Detalhado!$C$2:$C$433,"Proteina")),2)</f>
        <v>0</v>
      </c>
    </row>
    <row r="4070" customFormat="false" ht="15" hidden="false" customHeight="false" outlineLevel="0" collapsed="false">
      <c r="A4070" s="27" t="s">
        <v>121</v>
      </c>
      <c r="B4070" s="27" t="s">
        <v>109</v>
      </c>
      <c r="C4070" s="27" t="s">
        <v>48</v>
      </c>
      <c r="D4070" s="27" t="s">
        <v>45</v>
      </c>
      <c r="E4070" s="28" t="n">
        <f aca="false">ROUND((SUMIFS(Acerto_Detalhado!$F$2:$F$433,Acerto_Detalhado!$A$2:$A$433,$C4070,Acerto_Detalhado!$B$2:$B$433,"Nov",Acerto_Detalhado!$C$2:$C$433,"Proteina"))*(SUMIFS(Acerto_Detalhado!$I$2:$I$433,Acerto_Detalhado!$A$2:$A$433,$D4070,Acerto_Detalhado!$B$2:$B$433,"Nov",Acerto_Detalhado!$C$2:$C$433,"Proteina")),2)</f>
        <v>0</v>
      </c>
    </row>
    <row r="4071" customFormat="false" ht="15" hidden="false" customHeight="false" outlineLevel="0" collapsed="false">
      <c r="A4071" s="27" t="s">
        <v>121</v>
      </c>
      <c r="B4071" s="27" t="s">
        <v>109</v>
      </c>
      <c r="C4071" s="27" t="s">
        <v>48</v>
      </c>
      <c r="D4071" s="27" t="s">
        <v>46</v>
      </c>
      <c r="E4071" s="28" t="n">
        <f aca="false">ROUND((SUMIFS(Acerto_Detalhado!$F$2:$F$433,Acerto_Detalhado!$A$2:$A$433,$C4071,Acerto_Detalhado!$B$2:$B$433,"Nov",Acerto_Detalhado!$C$2:$C$433,"Proteina"))*(SUMIFS(Acerto_Detalhado!$I$2:$I$433,Acerto_Detalhado!$A$2:$A$433,$D4071,Acerto_Detalhado!$B$2:$B$433,"Nov",Acerto_Detalhado!$C$2:$C$433,"Proteina")),2)</f>
        <v>0</v>
      </c>
    </row>
    <row r="4072" customFormat="false" ht="15" hidden="false" customHeight="false" outlineLevel="0" collapsed="false">
      <c r="A4072" s="27" t="s">
        <v>121</v>
      </c>
      <c r="B4072" s="27" t="s">
        <v>109</v>
      </c>
      <c r="C4072" s="27" t="s">
        <v>48</v>
      </c>
      <c r="D4072" s="27" t="s">
        <v>47</v>
      </c>
      <c r="E4072" s="28" t="n">
        <f aca="false">ROUND((SUMIFS(Acerto_Detalhado!$F$2:$F$433,Acerto_Detalhado!$A$2:$A$433,$C4072,Acerto_Detalhado!$B$2:$B$433,"Nov",Acerto_Detalhado!$C$2:$C$433,"Proteina"))*(SUMIFS(Acerto_Detalhado!$I$2:$I$433,Acerto_Detalhado!$A$2:$A$433,$D4072,Acerto_Detalhado!$B$2:$B$433,"Nov",Acerto_Detalhado!$C$2:$C$433,"Proteina")),2)</f>
        <v>0</v>
      </c>
    </row>
    <row r="4073" customFormat="false" ht="15" hidden="false" customHeight="false" outlineLevel="0" collapsed="false">
      <c r="A4073" s="27" t="s">
        <v>121</v>
      </c>
      <c r="B4073" s="27" t="s">
        <v>109</v>
      </c>
      <c r="C4073" s="27" t="s">
        <v>48</v>
      </c>
      <c r="D4073" s="27" t="s">
        <v>49</v>
      </c>
      <c r="E4073" s="28" t="n">
        <f aca="false">ROUND((SUMIFS(Acerto_Detalhado!$F$2:$F$433,Acerto_Detalhado!$A$2:$A$433,$C4073,Acerto_Detalhado!$B$2:$B$433,"Nov",Acerto_Detalhado!$C$2:$C$433,"Proteina"))*(SUMIFS(Acerto_Detalhado!$I$2:$I$433,Acerto_Detalhado!$A$2:$A$433,$D4073,Acerto_Detalhado!$B$2:$B$433,"Nov",Acerto_Detalhado!$C$2:$C$433,"Proteina")),2)</f>
        <v>0</v>
      </c>
    </row>
    <row r="4074" customFormat="false" ht="15" hidden="false" customHeight="false" outlineLevel="0" collapsed="false">
      <c r="A4074" s="27" t="s">
        <v>121</v>
      </c>
      <c r="B4074" s="27" t="s">
        <v>109</v>
      </c>
      <c r="C4074" s="27" t="s">
        <v>48</v>
      </c>
      <c r="D4074" s="27" t="s">
        <v>50</v>
      </c>
      <c r="E4074" s="28" t="n">
        <f aca="false">ROUND((SUMIFS(Acerto_Detalhado!$F$2:$F$433,Acerto_Detalhado!$A$2:$A$433,$C4074,Acerto_Detalhado!$B$2:$B$433,"Nov",Acerto_Detalhado!$C$2:$C$433,"Proteina"))*(SUMIFS(Acerto_Detalhado!$I$2:$I$433,Acerto_Detalhado!$A$2:$A$433,$D4074,Acerto_Detalhado!$B$2:$B$433,"Nov",Acerto_Detalhado!$C$2:$C$433,"Proteina")),2)</f>
        <v>0</v>
      </c>
    </row>
    <row r="4075" customFormat="false" ht="15" hidden="false" customHeight="false" outlineLevel="0" collapsed="false">
      <c r="A4075" s="27" t="s">
        <v>121</v>
      </c>
      <c r="B4075" s="27" t="s">
        <v>109</v>
      </c>
      <c r="C4075" s="27" t="s">
        <v>49</v>
      </c>
      <c r="D4075" s="27" t="s">
        <v>39</v>
      </c>
      <c r="E4075" s="28" t="n">
        <f aca="false">ROUND((SUMIFS(Acerto_Detalhado!$F$2:$F$433,Acerto_Detalhado!$A$2:$A$433,$C4075,Acerto_Detalhado!$B$2:$B$433,"Nov",Acerto_Detalhado!$C$2:$C$433,"Proteina"))*(SUMIFS(Acerto_Detalhado!$I$2:$I$433,Acerto_Detalhado!$A$2:$A$433,$D4075,Acerto_Detalhado!$B$2:$B$433,"Nov",Acerto_Detalhado!$C$2:$C$433,"Proteina")),2)</f>
        <v>0</v>
      </c>
    </row>
    <row r="4076" customFormat="false" ht="15" hidden="false" customHeight="false" outlineLevel="0" collapsed="false">
      <c r="A4076" s="27" t="s">
        <v>121</v>
      </c>
      <c r="B4076" s="27" t="s">
        <v>109</v>
      </c>
      <c r="C4076" s="27" t="s">
        <v>49</v>
      </c>
      <c r="D4076" s="27" t="s">
        <v>40</v>
      </c>
      <c r="E4076" s="28" t="n">
        <f aca="false">ROUND((SUMIFS(Acerto_Detalhado!$F$2:$F$433,Acerto_Detalhado!$A$2:$A$433,$C4076,Acerto_Detalhado!$B$2:$B$433,"Nov",Acerto_Detalhado!$C$2:$C$433,"Proteina"))*(SUMIFS(Acerto_Detalhado!$I$2:$I$433,Acerto_Detalhado!$A$2:$A$433,$D4076,Acerto_Detalhado!$B$2:$B$433,"Nov",Acerto_Detalhado!$C$2:$C$433,"Proteina")),2)</f>
        <v>0</v>
      </c>
    </row>
    <row r="4077" customFormat="false" ht="15" hidden="false" customHeight="false" outlineLevel="0" collapsed="false">
      <c r="A4077" s="27" t="s">
        <v>121</v>
      </c>
      <c r="B4077" s="27" t="s">
        <v>109</v>
      </c>
      <c r="C4077" s="27" t="s">
        <v>49</v>
      </c>
      <c r="D4077" s="27" t="s">
        <v>41</v>
      </c>
      <c r="E4077" s="28" t="n">
        <f aca="false">ROUND((SUMIFS(Acerto_Detalhado!$F$2:$F$433,Acerto_Detalhado!$A$2:$A$433,$C4077,Acerto_Detalhado!$B$2:$B$433,"Nov",Acerto_Detalhado!$C$2:$C$433,"Proteina"))*(SUMIFS(Acerto_Detalhado!$I$2:$I$433,Acerto_Detalhado!$A$2:$A$433,$D4077,Acerto_Detalhado!$B$2:$B$433,"Nov",Acerto_Detalhado!$C$2:$C$433,"Proteina")),2)</f>
        <v>0</v>
      </c>
    </row>
    <row r="4078" customFormat="false" ht="15" hidden="false" customHeight="false" outlineLevel="0" collapsed="false">
      <c r="A4078" s="27" t="s">
        <v>121</v>
      </c>
      <c r="B4078" s="27" t="s">
        <v>109</v>
      </c>
      <c r="C4078" s="27" t="s">
        <v>49</v>
      </c>
      <c r="D4078" s="27" t="s">
        <v>42</v>
      </c>
      <c r="E4078" s="28" t="n">
        <f aca="false">ROUND((SUMIFS(Acerto_Detalhado!$F$2:$F$433,Acerto_Detalhado!$A$2:$A$433,$C4078,Acerto_Detalhado!$B$2:$B$433,"Nov",Acerto_Detalhado!$C$2:$C$433,"Proteina"))*(SUMIFS(Acerto_Detalhado!$I$2:$I$433,Acerto_Detalhado!$A$2:$A$433,$D4078,Acerto_Detalhado!$B$2:$B$433,"Nov",Acerto_Detalhado!$C$2:$C$433,"Proteina")),2)</f>
        <v>0</v>
      </c>
    </row>
    <row r="4079" customFormat="false" ht="15" hidden="false" customHeight="false" outlineLevel="0" collapsed="false">
      <c r="A4079" s="27" t="s">
        <v>121</v>
      </c>
      <c r="B4079" s="27" t="s">
        <v>109</v>
      </c>
      <c r="C4079" s="27" t="s">
        <v>49</v>
      </c>
      <c r="D4079" s="27" t="s">
        <v>43</v>
      </c>
      <c r="E4079" s="28" t="n">
        <f aca="false">ROUND((SUMIFS(Acerto_Detalhado!$F$2:$F$433,Acerto_Detalhado!$A$2:$A$433,$C4079,Acerto_Detalhado!$B$2:$B$433,"Nov",Acerto_Detalhado!$C$2:$C$433,"Proteina"))*(SUMIFS(Acerto_Detalhado!$I$2:$I$433,Acerto_Detalhado!$A$2:$A$433,$D4079,Acerto_Detalhado!$B$2:$B$433,"Nov",Acerto_Detalhado!$C$2:$C$433,"Proteina")),2)</f>
        <v>0</v>
      </c>
    </row>
    <row r="4080" customFormat="false" ht="15" hidden="false" customHeight="false" outlineLevel="0" collapsed="false">
      <c r="A4080" s="27" t="s">
        <v>121</v>
      </c>
      <c r="B4080" s="27" t="s">
        <v>109</v>
      </c>
      <c r="C4080" s="27" t="s">
        <v>49</v>
      </c>
      <c r="D4080" s="27" t="s">
        <v>44</v>
      </c>
      <c r="E4080" s="28" t="n">
        <f aca="false">ROUND((SUMIFS(Acerto_Detalhado!$F$2:$F$433,Acerto_Detalhado!$A$2:$A$433,$C4080,Acerto_Detalhado!$B$2:$B$433,"Nov",Acerto_Detalhado!$C$2:$C$433,"Proteina"))*(SUMIFS(Acerto_Detalhado!$I$2:$I$433,Acerto_Detalhado!$A$2:$A$433,$D4080,Acerto_Detalhado!$B$2:$B$433,"Nov",Acerto_Detalhado!$C$2:$C$433,"Proteina")),2)</f>
        <v>0</v>
      </c>
    </row>
    <row r="4081" customFormat="false" ht="15" hidden="false" customHeight="false" outlineLevel="0" collapsed="false">
      <c r="A4081" s="27" t="s">
        <v>121</v>
      </c>
      <c r="B4081" s="27" t="s">
        <v>109</v>
      </c>
      <c r="C4081" s="27" t="s">
        <v>49</v>
      </c>
      <c r="D4081" s="27" t="s">
        <v>45</v>
      </c>
      <c r="E4081" s="28" t="n">
        <f aca="false">ROUND((SUMIFS(Acerto_Detalhado!$F$2:$F$433,Acerto_Detalhado!$A$2:$A$433,$C4081,Acerto_Detalhado!$B$2:$B$433,"Nov",Acerto_Detalhado!$C$2:$C$433,"Proteina"))*(SUMIFS(Acerto_Detalhado!$I$2:$I$433,Acerto_Detalhado!$A$2:$A$433,$D4081,Acerto_Detalhado!$B$2:$B$433,"Nov",Acerto_Detalhado!$C$2:$C$433,"Proteina")),2)</f>
        <v>0</v>
      </c>
    </row>
    <row r="4082" customFormat="false" ht="15" hidden="false" customHeight="false" outlineLevel="0" collapsed="false">
      <c r="A4082" s="27" t="s">
        <v>121</v>
      </c>
      <c r="B4082" s="27" t="s">
        <v>109</v>
      </c>
      <c r="C4082" s="27" t="s">
        <v>49</v>
      </c>
      <c r="D4082" s="27" t="s">
        <v>46</v>
      </c>
      <c r="E4082" s="28" t="n">
        <f aca="false">ROUND((SUMIFS(Acerto_Detalhado!$F$2:$F$433,Acerto_Detalhado!$A$2:$A$433,$C4082,Acerto_Detalhado!$B$2:$B$433,"Nov",Acerto_Detalhado!$C$2:$C$433,"Proteina"))*(SUMIFS(Acerto_Detalhado!$I$2:$I$433,Acerto_Detalhado!$A$2:$A$433,$D4082,Acerto_Detalhado!$B$2:$B$433,"Nov",Acerto_Detalhado!$C$2:$C$433,"Proteina")),2)</f>
        <v>0</v>
      </c>
    </row>
    <row r="4083" customFormat="false" ht="15" hidden="false" customHeight="false" outlineLevel="0" collapsed="false">
      <c r="A4083" s="27" t="s">
        <v>121</v>
      </c>
      <c r="B4083" s="27" t="s">
        <v>109</v>
      </c>
      <c r="C4083" s="27" t="s">
        <v>49</v>
      </c>
      <c r="D4083" s="27" t="s">
        <v>47</v>
      </c>
      <c r="E4083" s="28" t="n">
        <f aca="false">ROUND((SUMIFS(Acerto_Detalhado!$F$2:$F$433,Acerto_Detalhado!$A$2:$A$433,$C4083,Acerto_Detalhado!$B$2:$B$433,"Nov",Acerto_Detalhado!$C$2:$C$433,"Proteina"))*(SUMIFS(Acerto_Detalhado!$I$2:$I$433,Acerto_Detalhado!$A$2:$A$433,$D4083,Acerto_Detalhado!$B$2:$B$433,"Nov",Acerto_Detalhado!$C$2:$C$433,"Proteina")),2)</f>
        <v>0</v>
      </c>
    </row>
    <row r="4084" customFormat="false" ht="15" hidden="false" customHeight="false" outlineLevel="0" collapsed="false">
      <c r="A4084" s="27" t="s">
        <v>121</v>
      </c>
      <c r="B4084" s="27" t="s">
        <v>109</v>
      </c>
      <c r="C4084" s="27" t="s">
        <v>49</v>
      </c>
      <c r="D4084" s="27" t="s">
        <v>48</v>
      </c>
      <c r="E4084" s="28" t="n">
        <f aca="false">ROUND((SUMIFS(Acerto_Detalhado!$F$2:$F$433,Acerto_Detalhado!$A$2:$A$433,$C4084,Acerto_Detalhado!$B$2:$B$433,"Nov",Acerto_Detalhado!$C$2:$C$433,"Proteina"))*(SUMIFS(Acerto_Detalhado!$I$2:$I$433,Acerto_Detalhado!$A$2:$A$433,$D4084,Acerto_Detalhado!$B$2:$B$433,"Nov",Acerto_Detalhado!$C$2:$C$433,"Proteina")),2)</f>
        <v>0</v>
      </c>
    </row>
    <row r="4085" customFormat="false" ht="15" hidden="false" customHeight="false" outlineLevel="0" collapsed="false">
      <c r="A4085" s="27" t="s">
        <v>121</v>
      </c>
      <c r="B4085" s="27" t="s">
        <v>109</v>
      </c>
      <c r="C4085" s="27" t="s">
        <v>49</v>
      </c>
      <c r="D4085" s="27" t="s">
        <v>50</v>
      </c>
      <c r="E4085" s="28" t="n">
        <f aca="false">ROUND((SUMIFS(Acerto_Detalhado!$F$2:$F$433,Acerto_Detalhado!$A$2:$A$433,$C4085,Acerto_Detalhado!$B$2:$B$433,"Nov",Acerto_Detalhado!$C$2:$C$433,"Proteina"))*(SUMIFS(Acerto_Detalhado!$I$2:$I$433,Acerto_Detalhado!$A$2:$A$433,$D4085,Acerto_Detalhado!$B$2:$B$433,"Nov",Acerto_Detalhado!$C$2:$C$433,"Proteina")),2)</f>
        <v>0</v>
      </c>
    </row>
    <row r="4086" customFormat="false" ht="15" hidden="false" customHeight="false" outlineLevel="0" collapsed="false">
      <c r="A4086" s="27" t="s">
        <v>121</v>
      </c>
      <c r="B4086" s="27" t="s">
        <v>109</v>
      </c>
      <c r="C4086" s="27" t="s">
        <v>50</v>
      </c>
      <c r="D4086" s="27" t="s">
        <v>39</v>
      </c>
      <c r="E4086" s="28" t="n">
        <f aca="false">ROUND((SUMIFS(Acerto_Detalhado!$F$2:$F$433,Acerto_Detalhado!$A$2:$A$433,$C4086,Acerto_Detalhado!$B$2:$B$433,"Nov",Acerto_Detalhado!$C$2:$C$433,"Proteina"))*(SUMIFS(Acerto_Detalhado!$I$2:$I$433,Acerto_Detalhado!$A$2:$A$433,$D4086,Acerto_Detalhado!$B$2:$B$433,"Nov",Acerto_Detalhado!$C$2:$C$433,"Proteina")),2)</f>
        <v>0</v>
      </c>
    </row>
    <row r="4087" customFormat="false" ht="15" hidden="false" customHeight="false" outlineLevel="0" collapsed="false">
      <c r="A4087" s="27" t="s">
        <v>121</v>
      </c>
      <c r="B4087" s="27" t="s">
        <v>109</v>
      </c>
      <c r="C4087" s="27" t="s">
        <v>50</v>
      </c>
      <c r="D4087" s="27" t="s">
        <v>40</v>
      </c>
      <c r="E4087" s="28" t="n">
        <f aca="false">ROUND((SUMIFS(Acerto_Detalhado!$F$2:$F$433,Acerto_Detalhado!$A$2:$A$433,$C4087,Acerto_Detalhado!$B$2:$B$433,"Nov",Acerto_Detalhado!$C$2:$C$433,"Proteina"))*(SUMIFS(Acerto_Detalhado!$I$2:$I$433,Acerto_Detalhado!$A$2:$A$433,$D4087,Acerto_Detalhado!$B$2:$B$433,"Nov",Acerto_Detalhado!$C$2:$C$433,"Proteina")),2)</f>
        <v>0</v>
      </c>
    </row>
    <row r="4088" customFormat="false" ht="15" hidden="false" customHeight="false" outlineLevel="0" collapsed="false">
      <c r="A4088" s="27" t="s">
        <v>121</v>
      </c>
      <c r="B4088" s="27" t="s">
        <v>109</v>
      </c>
      <c r="C4088" s="27" t="s">
        <v>50</v>
      </c>
      <c r="D4088" s="27" t="s">
        <v>41</v>
      </c>
      <c r="E4088" s="28" t="n">
        <f aca="false">ROUND((SUMIFS(Acerto_Detalhado!$F$2:$F$433,Acerto_Detalhado!$A$2:$A$433,$C4088,Acerto_Detalhado!$B$2:$B$433,"Nov",Acerto_Detalhado!$C$2:$C$433,"Proteina"))*(SUMIFS(Acerto_Detalhado!$I$2:$I$433,Acerto_Detalhado!$A$2:$A$433,$D4088,Acerto_Detalhado!$B$2:$B$433,"Nov",Acerto_Detalhado!$C$2:$C$433,"Proteina")),2)</f>
        <v>0</v>
      </c>
    </row>
    <row r="4089" customFormat="false" ht="15" hidden="false" customHeight="false" outlineLevel="0" collapsed="false">
      <c r="A4089" s="27" t="s">
        <v>121</v>
      </c>
      <c r="B4089" s="27" t="s">
        <v>109</v>
      </c>
      <c r="C4089" s="27" t="s">
        <v>50</v>
      </c>
      <c r="D4089" s="27" t="s">
        <v>42</v>
      </c>
      <c r="E4089" s="28" t="n">
        <f aca="false">ROUND((SUMIFS(Acerto_Detalhado!$F$2:$F$433,Acerto_Detalhado!$A$2:$A$433,$C4089,Acerto_Detalhado!$B$2:$B$433,"Nov",Acerto_Detalhado!$C$2:$C$433,"Proteina"))*(SUMIFS(Acerto_Detalhado!$I$2:$I$433,Acerto_Detalhado!$A$2:$A$433,$D4089,Acerto_Detalhado!$B$2:$B$433,"Nov",Acerto_Detalhado!$C$2:$C$433,"Proteina")),2)</f>
        <v>0</v>
      </c>
    </row>
    <row r="4090" customFormat="false" ht="15" hidden="false" customHeight="false" outlineLevel="0" collapsed="false">
      <c r="A4090" s="27" t="s">
        <v>121</v>
      </c>
      <c r="B4090" s="27" t="s">
        <v>109</v>
      </c>
      <c r="C4090" s="27" t="s">
        <v>50</v>
      </c>
      <c r="D4090" s="27" t="s">
        <v>43</v>
      </c>
      <c r="E4090" s="28" t="n">
        <f aca="false">ROUND((SUMIFS(Acerto_Detalhado!$F$2:$F$433,Acerto_Detalhado!$A$2:$A$433,$C4090,Acerto_Detalhado!$B$2:$B$433,"Nov",Acerto_Detalhado!$C$2:$C$433,"Proteina"))*(SUMIFS(Acerto_Detalhado!$I$2:$I$433,Acerto_Detalhado!$A$2:$A$433,$D4090,Acerto_Detalhado!$B$2:$B$433,"Nov",Acerto_Detalhado!$C$2:$C$433,"Proteina")),2)</f>
        <v>0</v>
      </c>
    </row>
    <row r="4091" customFormat="false" ht="15" hidden="false" customHeight="false" outlineLevel="0" collapsed="false">
      <c r="A4091" s="27" t="s">
        <v>121</v>
      </c>
      <c r="B4091" s="27" t="s">
        <v>109</v>
      </c>
      <c r="C4091" s="27" t="s">
        <v>50</v>
      </c>
      <c r="D4091" s="27" t="s">
        <v>44</v>
      </c>
      <c r="E4091" s="28" t="n">
        <f aca="false">ROUND((SUMIFS(Acerto_Detalhado!$F$2:$F$433,Acerto_Detalhado!$A$2:$A$433,$C4091,Acerto_Detalhado!$B$2:$B$433,"Nov",Acerto_Detalhado!$C$2:$C$433,"Proteina"))*(SUMIFS(Acerto_Detalhado!$I$2:$I$433,Acerto_Detalhado!$A$2:$A$433,$D4091,Acerto_Detalhado!$B$2:$B$433,"Nov",Acerto_Detalhado!$C$2:$C$433,"Proteina")),2)</f>
        <v>0</v>
      </c>
    </row>
    <row r="4092" customFormat="false" ht="15" hidden="false" customHeight="false" outlineLevel="0" collapsed="false">
      <c r="A4092" s="27" t="s">
        <v>121</v>
      </c>
      <c r="B4092" s="27" t="s">
        <v>109</v>
      </c>
      <c r="C4092" s="27" t="s">
        <v>50</v>
      </c>
      <c r="D4092" s="27" t="s">
        <v>45</v>
      </c>
      <c r="E4092" s="28" t="n">
        <f aca="false">ROUND((SUMIFS(Acerto_Detalhado!$F$2:$F$433,Acerto_Detalhado!$A$2:$A$433,$C4092,Acerto_Detalhado!$B$2:$B$433,"Nov",Acerto_Detalhado!$C$2:$C$433,"Proteina"))*(SUMIFS(Acerto_Detalhado!$I$2:$I$433,Acerto_Detalhado!$A$2:$A$433,$D4092,Acerto_Detalhado!$B$2:$B$433,"Nov",Acerto_Detalhado!$C$2:$C$433,"Proteina")),2)</f>
        <v>0</v>
      </c>
    </row>
    <row r="4093" customFormat="false" ht="15" hidden="false" customHeight="false" outlineLevel="0" collapsed="false">
      <c r="A4093" s="27" t="s">
        <v>121</v>
      </c>
      <c r="B4093" s="27" t="s">
        <v>109</v>
      </c>
      <c r="C4093" s="27" t="s">
        <v>50</v>
      </c>
      <c r="D4093" s="27" t="s">
        <v>46</v>
      </c>
      <c r="E4093" s="28" t="n">
        <f aca="false">ROUND((SUMIFS(Acerto_Detalhado!$F$2:$F$433,Acerto_Detalhado!$A$2:$A$433,$C4093,Acerto_Detalhado!$B$2:$B$433,"Nov",Acerto_Detalhado!$C$2:$C$433,"Proteina"))*(SUMIFS(Acerto_Detalhado!$I$2:$I$433,Acerto_Detalhado!$A$2:$A$433,$D4093,Acerto_Detalhado!$B$2:$B$433,"Nov",Acerto_Detalhado!$C$2:$C$433,"Proteina")),2)</f>
        <v>0</v>
      </c>
    </row>
    <row r="4094" customFormat="false" ht="15" hidden="false" customHeight="false" outlineLevel="0" collapsed="false">
      <c r="A4094" s="27" t="s">
        <v>121</v>
      </c>
      <c r="B4094" s="27" t="s">
        <v>109</v>
      </c>
      <c r="C4094" s="27" t="s">
        <v>50</v>
      </c>
      <c r="D4094" s="27" t="s">
        <v>47</v>
      </c>
      <c r="E4094" s="28" t="n">
        <f aca="false">ROUND((SUMIFS(Acerto_Detalhado!$F$2:$F$433,Acerto_Detalhado!$A$2:$A$433,$C4094,Acerto_Detalhado!$B$2:$B$433,"Nov",Acerto_Detalhado!$C$2:$C$433,"Proteina"))*(SUMIFS(Acerto_Detalhado!$I$2:$I$433,Acerto_Detalhado!$A$2:$A$433,$D4094,Acerto_Detalhado!$B$2:$B$433,"Nov",Acerto_Detalhado!$C$2:$C$433,"Proteina")),2)</f>
        <v>0</v>
      </c>
    </row>
    <row r="4095" customFormat="false" ht="15" hidden="false" customHeight="false" outlineLevel="0" collapsed="false">
      <c r="A4095" s="27" t="s">
        <v>121</v>
      </c>
      <c r="B4095" s="27" t="s">
        <v>109</v>
      </c>
      <c r="C4095" s="27" t="s">
        <v>50</v>
      </c>
      <c r="D4095" s="27" t="s">
        <v>48</v>
      </c>
      <c r="E4095" s="28" t="n">
        <f aca="false">ROUND((SUMIFS(Acerto_Detalhado!$F$2:$F$433,Acerto_Detalhado!$A$2:$A$433,$C4095,Acerto_Detalhado!$B$2:$B$433,"Nov",Acerto_Detalhado!$C$2:$C$433,"Proteina"))*(SUMIFS(Acerto_Detalhado!$I$2:$I$433,Acerto_Detalhado!$A$2:$A$433,$D4095,Acerto_Detalhado!$B$2:$B$433,"Nov",Acerto_Detalhado!$C$2:$C$433,"Proteina")),2)</f>
        <v>0</v>
      </c>
    </row>
    <row r="4096" customFormat="false" ht="15" hidden="false" customHeight="false" outlineLevel="0" collapsed="false">
      <c r="A4096" s="27" t="s">
        <v>121</v>
      </c>
      <c r="B4096" s="27" t="s">
        <v>109</v>
      </c>
      <c r="C4096" s="27" t="s">
        <v>50</v>
      </c>
      <c r="D4096" s="27" t="s">
        <v>49</v>
      </c>
      <c r="E4096" s="28" t="n">
        <f aca="false">ROUND((SUMIFS(Acerto_Detalhado!$F$2:$F$433,Acerto_Detalhado!$A$2:$A$433,$C4096,Acerto_Detalhado!$B$2:$B$433,"Nov",Acerto_Detalhado!$C$2:$C$433,"Proteina"))*(SUMIFS(Acerto_Detalhado!$I$2:$I$433,Acerto_Detalhado!$A$2:$A$433,$D4096,Acerto_Detalhado!$B$2:$B$433,"Nov",Acerto_Detalhado!$C$2:$C$433,"Proteina")),2)</f>
        <v>0</v>
      </c>
    </row>
    <row r="4097" customFormat="false" ht="15" hidden="false" customHeight="false" outlineLevel="0" collapsed="false">
      <c r="A4097" s="27" t="s">
        <v>121</v>
      </c>
      <c r="B4097" s="27" t="s">
        <v>110</v>
      </c>
      <c r="C4097" s="27" t="s">
        <v>39</v>
      </c>
      <c r="D4097" s="27" t="s">
        <v>40</v>
      </c>
      <c r="E4097" s="28" t="n">
        <f aca="false">ROUND((SUMIFS(Acerto_Detalhado!$F$2:$F$433,Acerto_Detalhado!$A$2:$A$433,$C4097,Acerto_Detalhado!$B$2:$B$433,"Nov",Acerto_Detalhado!$C$2:$C$433,"Umidade"))*(SUMIFS(Acerto_Detalhado!$I$2:$I$433,Acerto_Detalhado!$A$2:$A$433,$D4097,Acerto_Detalhado!$B$2:$B$433,"Nov",Acerto_Detalhado!$C$2:$C$433,"Umidade")),2)</f>
        <v>0</v>
      </c>
    </row>
    <row r="4098" customFormat="false" ht="15" hidden="false" customHeight="false" outlineLevel="0" collapsed="false">
      <c r="A4098" s="27" t="s">
        <v>121</v>
      </c>
      <c r="B4098" s="27" t="s">
        <v>110</v>
      </c>
      <c r="C4098" s="27" t="s">
        <v>39</v>
      </c>
      <c r="D4098" s="27" t="s">
        <v>41</v>
      </c>
      <c r="E4098" s="28" t="n">
        <f aca="false">ROUND((SUMIFS(Acerto_Detalhado!$F$2:$F$433,Acerto_Detalhado!$A$2:$A$433,$C4098,Acerto_Detalhado!$B$2:$B$433,"Nov",Acerto_Detalhado!$C$2:$C$433,"Umidade"))*(SUMIFS(Acerto_Detalhado!$I$2:$I$433,Acerto_Detalhado!$A$2:$A$433,$D4098,Acerto_Detalhado!$B$2:$B$433,"Nov",Acerto_Detalhado!$C$2:$C$433,"Umidade")),2)</f>
        <v>0</v>
      </c>
    </row>
    <row r="4099" customFormat="false" ht="15" hidden="false" customHeight="false" outlineLevel="0" collapsed="false">
      <c r="A4099" s="27" t="s">
        <v>121</v>
      </c>
      <c r="B4099" s="27" t="s">
        <v>110</v>
      </c>
      <c r="C4099" s="27" t="s">
        <v>39</v>
      </c>
      <c r="D4099" s="27" t="s">
        <v>42</v>
      </c>
      <c r="E4099" s="28" t="n">
        <f aca="false">ROUND((SUMIFS(Acerto_Detalhado!$F$2:$F$433,Acerto_Detalhado!$A$2:$A$433,$C4099,Acerto_Detalhado!$B$2:$B$433,"Nov",Acerto_Detalhado!$C$2:$C$433,"Umidade"))*(SUMIFS(Acerto_Detalhado!$I$2:$I$433,Acerto_Detalhado!$A$2:$A$433,$D4099,Acerto_Detalhado!$B$2:$B$433,"Nov",Acerto_Detalhado!$C$2:$C$433,"Umidade")),2)</f>
        <v>0</v>
      </c>
    </row>
    <row r="4100" customFormat="false" ht="15" hidden="false" customHeight="false" outlineLevel="0" collapsed="false">
      <c r="A4100" s="27" t="s">
        <v>121</v>
      </c>
      <c r="B4100" s="27" t="s">
        <v>110</v>
      </c>
      <c r="C4100" s="27" t="s">
        <v>39</v>
      </c>
      <c r="D4100" s="27" t="s">
        <v>43</v>
      </c>
      <c r="E4100" s="28" t="n">
        <f aca="false">ROUND((SUMIFS(Acerto_Detalhado!$F$2:$F$433,Acerto_Detalhado!$A$2:$A$433,$C4100,Acerto_Detalhado!$B$2:$B$433,"Nov",Acerto_Detalhado!$C$2:$C$433,"Umidade"))*(SUMIFS(Acerto_Detalhado!$I$2:$I$433,Acerto_Detalhado!$A$2:$A$433,$D4100,Acerto_Detalhado!$B$2:$B$433,"Nov",Acerto_Detalhado!$C$2:$C$433,"Umidade")),2)</f>
        <v>0</v>
      </c>
    </row>
    <row r="4101" customFormat="false" ht="15" hidden="false" customHeight="false" outlineLevel="0" collapsed="false">
      <c r="A4101" s="27" t="s">
        <v>121</v>
      </c>
      <c r="B4101" s="27" t="s">
        <v>110</v>
      </c>
      <c r="C4101" s="27" t="s">
        <v>39</v>
      </c>
      <c r="D4101" s="27" t="s">
        <v>44</v>
      </c>
      <c r="E4101" s="28" t="n">
        <f aca="false">ROUND((SUMIFS(Acerto_Detalhado!$F$2:$F$433,Acerto_Detalhado!$A$2:$A$433,$C4101,Acerto_Detalhado!$B$2:$B$433,"Nov",Acerto_Detalhado!$C$2:$C$433,"Umidade"))*(SUMIFS(Acerto_Detalhado!$I$2:$I$433,Acerto_Detalhado!$A$2:$A$433,$D4101,Acerto_Detalhado!$B$2:$B$433,"Nov",Acerto_Detalhado!$C$2:$C$433,"Umidade")),2)</f>
        <v>0</v>
      </c>
    </row>
    <row r="4102" customFormat="false" ht="15" hidden="false" customHeight="false" outlineLevel="0" collapsed="false">
      <c r="A4102" s="27" t="s">
        <v>121</v>
      </c>
      <c r="B4102" s="27" t="s">
        <v>110</v>
      </c>
      <c r="C4102" s="27" t="s">
        <v>39</v>
      </c>
      <c r="D4102" s="27" t="s">
        <v>45</v>
      </c>
      <c r="E4102" s="28" t="n">
        <f aca="false">ROUND((SUMIFS(Acerto_Detalhado!$F$2:$F$433,Acerto_Detalhado!$A$2:$A$433,$C4102,Acerto_Detalhado!$B$2:$B$433,"Nov",Acerto_Detalhado!$C$2:$C$433,"Umidade"))*(SUMIFS(Acerto_Detalhado!$I$2:$I$433,Acerto_Detalhado!$A$2:$A$433,$D4102,Acerto_Detalhado!$B$2:$B$433,"Nov",Acerto_Detalhado!$C$2:$C$433,"Umidade")),2)</f>
        <v>0</v>
      </c>
    </row>
    <row r="4103" customFormat="false" ht="15" hidden="false" customHeight="false" outlineLevel="0" collapsed="false">
      <c r="A4103" s="27" t="s">
        <v>121</v>
      </c>
      <c r="B4103" s="27" t="s">
        <v>110</v>
      </c>
      <c r="C4103" s="27" t="s">
        <v>39</v>
      </c>
      <c r="D4103" s="27" t="s">
        <v>46</v>
      </c>
      <c r="E4103" s="28" t="n">
        <f aca="false">ROUND((SUMIFS(Acerto_Detalhado!$F$2:$F$433,Acerto_Detalhado!$A$2:$A$433,$C4103,Acerto_Detalhado!$B$2:$B$433,"Nov",Acerto_Detalhado!$C$2:$C$433,"Umidade"))*(SUMIFS(Acerto_Detalhado!$I$2:$I$433,Acerto_Detalhado!$A$2:$A$433,$D4103,Acerto_Detalhado!$B$2:$B$433,"Nov",Acerto_Detalhado!$C$2:$C$433,"Umidade")),2)</f>
        <v>0</v>
      </c>
    </row>
    <row r="4104" customFormat="false" ht="15" hidden="false" customHeight="false" outlineLevel="0" collapsed="false">
      <c r="A4104" s="27" t="s">
        <v>121</v>
      </c>
      <c r="B4104" s="27" t="s">
        <v>110</v>
      </c>
      <c r="C4104" s="27" t="s">
        <v>39</v>
      </c>
      <c r="D4104" s="27" t="s">
        <v>47</v>
      </c>
      <c r="E4104" s="28" t="n">
        <f aca="false">ROUND((SUMIFS(Acerto_Detalhado!$F$2:$F$433,Acerto_Detalhado!$A$2:$A$433,$C4104,Acerto_Detalhado!$B$2:$B$433,"Nov",Acerto_Detalhado!$C$2:$C$433,"Umidade"))*(SUMIFS(Acerto_Detalhado!$I$2:$I$433,Acerto_Detalhado!$A$2:$A$433,$D4104,Acerto_Detalhado!$B$2:$B$433,"Nov",Acerto_Detalhado!$C$2:$C$433,"Umidade")),2)</f>
        <v>0</v>
      </c>
    </row>
    <row r="4105" customFormat="false" ht="15" hidden="false" customHeight="false" outlineLevel="0" collapsed="false">
      <c r="A4105" s="27" t="s">
        <v>121</v>
      </c>
      <c r="B4105" s="27" t="s">
        <v>110</v>
      </c>
      <c r="C4105" s="27" t="s">
        <v>39</v>
      </c>
      <c r="D4105" s="27" t="s">
        <v>48</v>
      </c>
      <c r="E4105" s="28" t="n">
        <f aca="false">ROUND((SUMIFS(Acerto_Detalhado!$F$2:$F$433,Acerto_Detalhado!$A$2:$A$433,$C4105,Acerto_Detalhado!$B$2:$B$433,"Nov",Acerto_Detalhado!$C$2:$C$433,"Umidade"))*(SUMIFS(Acerto_Detalhado!$I$2:$I$433,Acerto_Detalhado!$A$2:$A$433,$D4105,Acerto_Detalhado!$B$2:$B$433,"Nov",Acerto_Detalhado!$C$2:$C$433,"Umidade")),2)</f>
        <v>0</v>
      </c>
    </row>
    <row r="4106" customFormat="false" ht="15" hidden="false" customHeight="false" outlineLevel="0" collapsed="false">
      <c r="A4106" s="27" t="s">
        <v>121</v>
      </c>
      <c r="B4106" s="27" t="s">
        <v>110</v>
      </c>
      <c r="C4106" s="27" t="s">
        <v>39</v>
      </c>
      <c r="D4106" s="27" t="s">
        <v>49</v>
      </c>
      <c r="E4106" s="28" t="n">
        <f aca="false">ROUND((SUMIFS(Acerto_Detalhado!$F$2:$F$433,Acerto_Detalhado!$A$2:$A$433,$C4106,Acerto_Detalhado!$B$2:$B$433,"Nov",Acerto_Detalhado!$C$2:$C$433,"Umidade"))*(SUMIFS(Acerto_Detalhado!$I$2:$I$433,Acerto_Detalhado!$A$2:$A$433,$D4106,Acerto_Detalhado!$B$2:$B$433,"Nov",Acerto_Detalhado!$C$2:$C$433,"Umidade")),2)</f>
        <v>0</v>
      </c>
    </row>
    <row r="4107" customFormat="false" ht="15" hidden="false" customHeight="false" outlineLevel="0" collapsed="false">
      <c r="A4107" s="27" t="s">
        <v>121</v>
      </c>
      <c r="B4107" s="27" t="s">
        <v>110</v>
      </c>
      <c r="C4107" s="27" t="s">
        <v>39</v>
      </c>
      <c r="D4107" s="27" t="s">
        <v>50</v>
      </c>
      <c r="E4107" s="28" t="n">
        <f aca="false">ROUND((SUMIFS(Acerto_Detalhado!$F$2:$F$433,Acerto_Detalhado!$A$2:$A$433,$C4107,Acerto_Detalhado!$B$2:$B$433,"Nov",Acerto_Detalhado!$C$2:$C$433,"Umidade"))*(SUMIFS(Acerto_Detalhado!$I$2:$I$433,Acerto_Detalhado!$A$2:$A$433,$D4107,Acerto_Detalhado!$B$2:$B$433,"Nov",Acerto_Detalhado!$C$2:$C$433,"Umidade")),2)</f>
        <v>0</v>
      </c>
    </row>
    <row r="4108" customFormat="false" ht="15" hidden="false" customHeight="false" outlineLevel="0" collapsed="false">
      <c r="A4108" s="27" t="s">
        <v>121</v>
      </c>
      <c r="B4108" s="27" t="s">
        <v>110</v>
      </c>
      <c r="C4108" s="27" t="s">
        <v>40</v>
      </c>
      <c r="D4108" s="27" t="s">
        <v>39</v>
      </c>
      <c r="E4108" s="28" t="n">
        <f aca="false">ROUND((SUMIFS(Acerto_Detalhado!$F$2:$F$433,Acerto_Detalhado!$A$2:$A$433,$C4108,Acerto_Detalhado!$B$2:$B$433,"Nov",Acerto_Detalhado!$C$2:$C$433,"Umidade"))*(SUMIFS(Acerto_Detalhado!$I$2:$I$433,Acerto_Detalhado!$A$2:$A$433,$D4108,Acerto_Detalhado!$B$2:$B$433,"Nov",Acerto_Detalhado!$C$2:$C$433,"Umidade")),2)</f>
        <v>0</v>
      </c>
    </row>
    <row r="4109" customFormat="false" ht="15" hidden="false" customHeight="false" outlineLevel="0" collapsed="false">
      <c r="A4109" s="27" t="s">
        <v>121</v>
      </c>
      <c r="B4109" s="27" t="s">
        <v>110</v>
      </c>
      <c r="C4109" s="27" t="s">
        <v>40</v>
      </c>
      <c r="D4109" s="27" t="s">
        <v>41</v>
      </c>
      <c r="E4109" s="28" t="n">
        <f aca="false">ROUND((SUMIFS(Acerto_Detalhado!$F$2:$F$433,Acerto_Detalhado!$A$2:$A$433,$C4109,Acerto_Detalhado!$B$2:$B$433,"Nov",Acerto_Detalhado!$C$2:$C$433,"Umidade"))*(SUMIFS(Acerto_Detalhado!$I$2:$I$433,Acerto_Detalhado!$A$2:$A$433,$D4109,Acerto_Detalhado!$B$2:$B$433,"Nov",Acerto_Detalhado!$C$2:$C$433,"Umidade")),2)</f>
        <v>0</v>
      </c>
    </row>
    <row r="4110" customFormat="false" ht="15" hidden="false" customHeight="false" outlineLevel="0" collapsed="false">
      <c r="A4110" s="27" t="s">
        <v>121</v>
      </c>
      <c r="B4110" s="27" t="s">
        <v>110</v>
      </c>
      <c r="C4110" s="27" t="s">
        <v>40</v>
      </c>
      <c r="D4110" s="27" t="s">
        <v>42</v>
      </c>
      <c r="E4110" s="28" t="n">
        <f aca="false">ROUND((SUMIFS(Acerto_Detalhado!$F$2:$F$433,Acerto_Detalhado!$A$2:$A$433,$C4110,Acerto_Detalhado!$B$2:$B$433,"Nov",Acerto_Detalhado!$C$2:$C$433,"Umidade"))*(SUMIFS(Acerto_Detalhado!$I$2:$I$433,Acerto_Detalhado!$A$2:$A$433,$D4110,Acerto_Detalhado!$B$2:$B$433,"Nov",Acerto_Detalhado!$C$2:$C$433,"Umidade")),2)</f>
        <v>0</v>
      </c>
    </row>
    <row r="4111" customFormat="false" ht="15" hidden="false" customHeight="false" outlineLevel="0" collapsed="false">
      <c r="A4111" s="27" t="s">
        <v>121</v>
      </c>
      <c r="B4111" s="27" t="s">
        <v>110</v>
      </c>
      <c r="C4111" s="27" t="s">
        <v>40</v>
      </c>
      <c r="D4111" s="27" t="s">
        <v>43</v>
      </c>
      <c r="E4111" s="28" t="n">
        <f aca="false">ROUND((SUMIFS(Acerto_Detalhado!$F$2:$F$433,Acerto_Detalhado!$A$2:$A$433,$C4111,Acerto_Detalhado!$B$2:$B$433,"Nov",Acerto_Detalhado!$C$2:$C$433,"Umidade"))*(SUMIFS(Acerto_Detalhado!$I$2:$I$433,Acerto_Detalhado!$A$2:$A$433,$D4111,Acerto_Detalhado!$B$2:$B$433,"Nov",Acerto_Detalhado!$C$2:$C$433,"Umidade")),2)</f>
        <v>0</v>
      </c>
    </row>
    <row r="4112" customFormat="false" ht="15" hidden="false" customHeight="false" outlineLevel="0" collapsed="false">
      <c r="A4112" s="27" t="s">
        <v>121</v>
      </c>
      <c r="B4112" s="27" t="s">
        <v>110</v>
      </c>
      <c r="C4112" s="27" t="s">
        <v>40</v>
      </c>
      <c r="D4112" s="27" t="s">
        <v>44</v>
      </c>
      <c r="E4112" s="28" t="n">
        <f aca="false">ROUND((SUMIFS(Acerto_Detalhado!$F$2:$F$433,Acerto_Detalhado!$A$2:$A$433,$C4112,Acerto_Detalhado!$B$2:$B$433,"Nov",Acerto_Detalhado!$C$2:$C$433,"Umidade"))*(SUMIFS(Acerto_Detalhado!$I$2:$I$433,Acerto_Detalhado!$A$2:$A$433,$D4112,Acerto_Detalhado!$B$2:$B$433,"Nov",Acerto_Detalhado!$C$2:$C$433,"Umidade")),2)</f>
        <v>0</v>
      </c>
    </row>
    <row r="4113" customFormat="false" ht="15" hidden="false" customHeight="false" outlineLevel="0" collapsed="false">
      <c r="A4113" s="27" t="s">
        <v>121</v>
      </c>
      <c r="B4113" s="27" t="s">
        <v>110</v>
      </c>
      <c r="C4113" s="27" t="s">
        <v>40</v>
      </c>
      <c r="D4113" s="27" t="s">
        <v>45</v>
      </c>
      <c r="E4113" s="28" t="n">
        <f aca="false">ROUND((SUMIFS(Acerto_Detalhado!$F$2:$F$433,Acerto_Detalhado!$A$2:$A$433,$C4113,Acerto_Detalhado!$B$2:$B$433,"Nov",Acerto_Detalhado!$C$2:$C$433,"Umidade"))*(SUMIFS(Acerto_Detalhado!$I$2:$I$433,Acerto_Detalhado!$A$2:$A$433,$D4113,Acerto_Detalhado!$B$2:$B$433,"Nov",Acerto_Detalhado!$C$2:$C$433,"Umidade")),2)</f>
        <v>0</v>
      </c>
    </row>
    <row r="4114" customFormat="false" ht="15" hidden="false" customHeight="false" outlineLevel="0" collapsed="false">
      <c r="A4114" s="27" t="s">
        <v>121</v>
      </c>
      <c r="B4114" s="27" t="s">
        <v>110</v>
      </c>
      <c r="C4114" s="27" t="s">
        <v>40</v>
      </c>
      <c r="D4114" s="27" t="s">
        <v>46</v>
      </c>
      <c r="E4114" s="28" t="n">
        <f aca="false">ROUND((SUMIFS(Acerto_Detalhado!$F$2:$F$433,Acerto_Detalhado!$A$2:$A$433,$C4114,Acerto_Detalhado!$B$2:$B$433,"Nov",Acerto_Detalhado!$C$2:$C$433,"Umidade"))*(SUMIFS(Acerto_Detalhado!$I$2:$I$433,Acerto_Detalhado!$A$2:$A$433,$D4114,Acerto_Detalhado!$B$2:$B$433,"Nov",Acerto_Detalhado!$C$2:$C$433,"Umidade")),2)</f>
        <v>0</v>
      </c>
    </row>
    <row r="4115" customFormat="false" ht="15" hidden="false" customHeight="false" outlineLevel="0" collapsed="false">
      <c r="A4115" s="27" t="s">
        <v>121</v>
      </c>
      <c r="B4115" s="27" t="s">
        <v>110</v>
      </c>
      <c r="C4115" s="27" t="s">
        <v>40</v>
      </c>
      <c r="D4115" s="27" t="s">
        <v>47</v>
      </c>
      <c r="E4115" s="28" t="n">
        <f aca="false">ROUND((SUMIFS(Acerto_Detalhado!$F$2:$F$433,Acerto_Detalhado!$A$2:$A$433,$C4115,Acerto_Detalhado!$B$2:$B$433,"Nov",Acerto_Detalhado!$C$2:$C$433,"Umidade"))*(SUMIFS(Acerto_Detalhado!$I$2:$I$433,Acerto_Detalhado!$A$2:$A$433,$D4115,Acerto_Detalhado!$B$2:$B$433,"Nov",Acerto_Detalhado!$C$2:$C$433,"Umidade")),2)</f>
        <v>0</v>
      </c>
    </row>
    <row r="4116" customFormat="false" ht="15" hidden="false" customHeight="false" outlineLevel="0" collapsed="false">
      <c r="A4116" s="27" t="s">
        <v>121</v>
      </c>
      <c r="B4116" s="27" t="s">
        <v>110</v>
      </c>
      <c r="C4116" s="27" t="s">
        <v>40</v>
      </c>
      <c r="D4116" s="27" t="s">
        <v>48</v>
      </c>
      <c r="E4116" s="28" t="n">
        <f aca="false">ROUND((SUMIFS(Acerto_Detalhado!$F$2:$F$433,Acerto_Detalhado!$A$2:$A$433,$C4116,Acerto_Detalhado!$B$2:$B$433,"Nov",Acerto_Detalhado!$C$2:$C$433,"Umidade"))*(SUMIFS(Acerto_Detalhado!$I$2:$I$433,Acerto_Detalhado!$A$2:$A$433,$D4116,Acerto_Detalhado!$B$2:$B$433,"Nov",Acerto_Detalhado!$C$2:$C$433,"Umidade")),2)</f>
        <v>0</v>
      </c>
    </row>
    <row r="4117" customFormat="false" ht="15" hidden="false" customHeight="false" outlineLevel="0" collapsed="false">
      <c r="A4117" s="27" t="s">
        <v>121</v>
      </c>
      <c r="B4117" s="27" t="s">
        <v>110</v>
      </c>
      <c r="C4117" s="27" t="s">
        <v>40</v>
      </c>
      <c r="D4117" s="27" t="s">
        <v>49</v>
      </c>
      <c r="E4117" s="28" t="n">
        <f aca="false">ROUND((SUMIFS(Acerto_Detalhado!$F$2:$F$433,Acerto_Detalhado!$A$2:$A$433,$C4117,Acerto_Detalhado!$B$2:$B$433,"Nov",Acerto_Detalhado!$C$2:$C$433,"Umidade"))*(SUMIFS(Acerto_Detalhado!$I$2:$I$433,Acerto_Detalhado!$A$2:$A$433,$D4117,Acerto_Detalhado!$B$2:$B$433,"Nov",Acerto_Detalhado!$C$2:$C$433,"Umidade")),2)</f>
        <v>0</v>
      </c>
    </row>
    <row r="4118" customFormat="false" ht="15" hidden="false" customHeight="false" outlineLevel="0" collapsed="false">
      <c r="A4118" s="27" t="s">
        <v>121</v>
      </c>
      <c r="B4118" s="27" t="s">
        <v>110</v>
      </c>
      <c r="C4118" s="27" t="s">
        <v>40</v>
      </c>
      <c r="D4118" s="27" t="s">
        <v>50</v>
      </c>
      <c r="E4118" s="28" t="n">
        <f aca="false">ROUND((SUMIFS(Acerto_Detalhado!$F$2:$F$433,Acerto_Detalhado!$A$2:$A$433,$C4118,Acerto_Detalhado!$B$2:$B$433,"Nov",Acerto_Detalhado!$C$2:$C$433,"Umidade"))*(SUMIFS(Acerto_Detalhado!$I$2:$I$433,Acerto_Detalhado!$A$2:$A$433,$D4118,Acerto_Detalhado!$B$2:$B$433,"Nov",Acerto_Detalhado!$C$2:$C$433,"Umidade")),2)</f>
        <v>0</v>
      </c>
    </row>
    <row r="4119" customFormat="false" ht="15" hidden="false" customHeight="false" outlineLevel="0" collapsed="false">
      <c r="A4119" s="27" t="s">
        <v>121</v>
      </c>
      <c r="B4119" s="27" t="s">
        <v>110</v>
      </c>
      <c r="C4119" s="27" t="s">
        <v>41</v>
      </c>
      <c r="D4119" s="27" t="s">
        <v>39</v>
      </c>
      <c r="E4119" s="28" t="n">
        <f aca="false">ROUND((SUMIFS(Acerto_Detalhado!$F$2:$F$433,Acerto_Detalhado!$A$2:$A$433,$C4119,Acerto_Detalhado!$B$2:$B$433,"Nov",Acerto_Detalhado!$C$2:$C$433,"Umidade"))*(SUMIFS(Acerto_Detalhado!$I$2:$I$433,Acerto_Detalhado!$A$2:$A$433,$D4119,Acerto_Detalhado!$B$2:$B$433,"Nov",Acerto_Detalhado!$C$2:$C$433,"Umidade")),2)</f>
        <v>0</v>
      </c>
    </row>
    <row r="4120" customFormat="false" ht="15" hidden="false" customHeight="false" outlineLevel="0" collapsed="false">
      <c r="A4120" s="27" t="s">
        <v>121</v>
      </c>
      <c r="B4120" s="27" t="s">
        <v>110</v>
      </c>
      <c r="C4120" s="27" t="s">
        <v>41</v>
      </c>
      <c r="D4120" s="27" t="s">
        <v>40</v>
      </c>
      <c r="E4120" s="28" t="n">
        <f aca="false">ROUND((SUMIFS(Acerto_Detalhado!$F$2:$F$433,Acerto_Detalhado!$A$2:$A$433,$C4120,Acerto_Detalhado!$B$2:$B$433,"Nov",Acerto_Detalhado!$C$2:$C$433,"Umidade"))*(SUMIFS(Acerto_Detalhado!$I$2:$I$433,Acerto_Detalhado!$A$2:$A$433,$D4120,Acerto_Detalhado!$B$2:$B$433,"Nov",Acerto_Detalhado!$C$2:$C$433,"Umidade")),2)</f>
        <v>0</v>
      </c>
    </row>
    <row r="4121" customFormat="false" ht="15" hidden="false" customHeight="false" outlineLevel="0" collapsed="false">
      <c r="A4121" s="27" t="s">
        <v>121</v>
      </c>
      <c r="B4121" s="27" t="s">
        <v>110</v>
      </c>
      <c r="C4121" s="27" t="s">
        <v>41</v>
      </c>
      <c r="D4121" s="27" t="s">
        <v>42</v>
      </c>
      <c r="E4121" s="28" t="n">
        <f aca="false">ROUND((SUMIFS(Acerto_Detalhado!$F$2:$F$433,Acerto_Detalhado!$A$2:$A$433,$C4121,Acerto_Detalhado!$B$2:$B$433,"Nov",Acerto_Detalhado!$C$2:$C$433,"Umidade"))*(SUMIFS(Acerto_Detalhado!$I$2:$I$433,Acerto_Detalhado!$A$2:$A$433,$D4121,Acerto_Detalhado!$B$2:$B$433,"Nov",Acerto_Detalhado!$C$2:$C$433,"Umidade")),2)</f>
        <v>0</v>
      </c>
    </row>
    <row r="4122" customFormat="false" ht="15" hidden="false" customHeight="false" outlineLevel="0" collapsed="false">
      <c r="A4122" s="27" t="s">
        <v>121</v>
      </c>
      <c r="B4122" s="27" t="s">
        <v>110</v>
      </c>
      <c r="C4122" s="27" t="s">
        <v>41</v>
      </c>
      <c r="D4122" s="27" t="s">
        <v>43</v>
      </c>
      <c r="E4122" s="28" t="n">
        <f aca="false">ROUND((SUMIFS(Acerto_Detalhado!$F$2:$F$433,Acerto_Detalhado!$A$2:$A$433,$C4122,Acerto_Detalhado!$B$2:$B$433,"Nov",Acerto_Detalhado!$C$2:$C$433,"Umidade"))*(SUMIFS(Acerto_Detalhado!$I$2:$I$433,Acerto_Detalhado!$A$2:$A$433,$D4122,Acerto_Detalhado!$B$2:$B$433,"Nov",Acerto_Detalhado!$C$2:$C$433,"Umidade")),2)</f>
        <v>0</v>
      </c>
    </row>
    <row r="4123" customFormat="false" ht="15" hidden="false" customHeight="false" outlineLevel="0" collapsed="false">
      <c r="A4123" s="27" t="s">
        <v>121</v>
      </c>
      <c r="B4123" s="27" t="s">
        <v>110</v>
      </c>
      <c r="C4123" s="27" t="s">
        <v>41</v>
      </c>
      <c r="D4123" s="27" t="s">
        <v>44</v>
      </c>
      <c r="E4123" s="28" t="n">
        <f aca="false">ROUND((SUMIFS(Acerto_Detalhado!$F$2:$F$433,Acerto_Detalhado!$A$2:$A$433,$C4123,Acerto_Detalhado!$B$2:$B$433,"Nov",Acerto_Detalhado!$C$2:$C$433,"Umidade"))*(SUMIFS(Acerto_Detalhado!$I$2:$I$433,Acerto_Detalhado!$A$2:$A$433,$D4123,Acerto_Detalhado!$B$2:$B$433,"Nov",Acerto_Detalhado!$C$2:$C$433,"Umidade")),2)</f>
        <v>0</v>
      </c>
    </row>
    <row r="4124" customFormat="false" ht="15" hidden="false" customHeight="false" outlineLevel="0" collapsed="false">
      <c r="A4124" s="27" t="s">
        <v>121</v>
      </c>
      <c r="B4124" s="27" t="s">
        <v>110</v>
      </c>
      <c r="C4124" s="27" t="s">
        <v>41</v>
      </c>
      <c r="D4124" s="27" t="s">
        <v>45</v>
      </c>
      <c r="E4124" s="28" t="n">
        <f aca="false">ROUND((SUMIFS(Acerto_Detalhado!$F$2:$F$433,Acerto_Detalhado!$A$2:$A$433,$C4124,Acerto_Detalhado!$B$2:$B$433,"Nov",Acerto_Detalhado!$C$2:$C$433,"Umidade"))*(SUMIFS(Acerto_Detalhado!$I$2:$I$433,Acerto_Detalhado!$A$2:$A$433,$D4124,Acerto_Detalhado!$B$2:$B$433,"Nov",Acerto_Detalhado!$C$2:$C$433,"Umidade")),2)</f>
        <v>0</v>
      </c>
    </row>
    <row r="4125" customFormat="false" ht="15" hidden="false" customHeight="false" outlineLevel="0" collapsed="false">
      <c r="A4125" s="27" t="s">
        <v>121</v>
      </c>
      <c r="B4125" s="27" t="s">
        <v>110</v>
      </c>
      <c r="C4125" s="27" t="s">
        <v>41</v>
      </c>
      <c r="D4125" s="27" t="s">
        <v>46</v>
      </c>
      <c r="E4125" s="28" t="n">
        <f aca="false">ROUND((SUMIFS(Acerto_Detalhado!$F$2:$F$433,Acerto_Detalhado!$A$2:$A$433,$C4125,Acerto_Detalhado!$B$2:$B$433,"Nov",Acerto_Detalhado!$C$2:$C$433,"Umidade"))*(SUMIFS(Acerto_Detalhado!$I$2:$I$433,Acerto_Detalhado!$A$2:$A$433,$D4125,Acerto_Detalhado!$B$2:$B$433,"Nov",Acerto_Detalhado!$C$2:$C$433,"Umidade")),2)</f>
        <v>0</v>
      </c>
    </row>
    <row r="4126" customFormat="false" ht="15" hidden="false" customHeight="false" outlineLevel="0" collapsed="false">
      <c r="A4126" s="27" t="s">
        <v>121</v>
      </c>
      <c r="B4126" s="27" t="s">
        <v>110</v>
      </c>
      <c r="C4126" s="27" t="s">
        <v>41</v>
      </c>
      <c r="D4126" s="27" t="s">
        <v>47</v>
      </c>
      <c r="E4126" s="28" t="n">
        <f aca="false">ROUND((SUMIFS(Acerto_Detalhado!$F$2:$F$433,Acerto_Detalhado!$A$2:$A$433,$C4126,Acerto_Detalhado!$B$2:$B$433,"Nov",Acerto_Detalhado!$C$2:$C$433,"Umidade"))*(SUMIFS(Acerto_Detalhado!$I$2:$I$433,Acerto_Detalhado!$A$2:$A$433,$D4126,Acerto_Detalhado!$B$2:$B$433,"Nov",Acerto_Detalhado!$C$2:$C$433,"Umidade")),2)</f>
        <v>0</v>
      </c>
    </row>
    <row r="4127" customFormat="false" ht="15" hidden="false" customHeight="false" outlineLevel="0" collapsed="false">
      <c r="A4127" s="27" t="s">
        <v>121</v>
      </c>
      <c r="B4127" s="27" t="s">
        <v>110</v>
      </c>
      <c r="C4127" s="27" t="s">
        <v>41</v>
      </c>
      <c r="D4127" s="27" t="s">
        <v>48</v>
      </c>
      <c r="E4127" s="28" t="n">
        <f aca="false">ROUND((SUMIFS(Acerto_Detalhado!$F$2:$F$433,Acerto_Detalhado!$A$2:$A$433,$C4127,Acerto_Detalhado!$B$2:$B$433,"Nov",Acerto_Detalhado!$C$2:$C$433,"Umidade"))*(SUMIFS(Acerto_Detalhado!$I$2:$I$433,Acerto_Detalhado!$A$2:$A$433,$D4127,Acerto_Detalhado!$B$2:$B$433,"Nov",Acerto_Detalhado!$C$2:$C$433,"Umidade")),2)</f>
        <v>0</v>
      </c>
    </row>
    <row r="4128" customFormat="false" ht="15" hidden="false" customHeight="false" outlineLevel="0" collapsed="false">
      <c r="A4128" s="27" t="s">
        <v>121</v>
      </c>
      <c r="B4128" s="27" t="s">
        <v>110</v>
      </c>
      <c r="C4128" s="27" t="s">
        <v>41</v>
      </c>
      <c r="D4128" s="27" t="s">
        <v>49</v>
      </c>
      <c r="E4128" s="28" t="n">
        <f aca="false">ROUND((SUMIFS(Acerto_Detalhado!$F$2:$F$433,Acerto_Detalhado!$A$2:$A$433,$C4128,Acerto_Detalhado!$B$2:$B$433,"Nov",Acerto_Detalhado!$C$2:$C$433,"Umidade"))*(SUMIFS(Acerto_Detalhado!$I$2:$I$433,Acerto_Detalhado!$A$2:$A$433,$D4128,Acerto_Detalhado!$B$2:$B$433,"Nov",Acerto_Detalhado!$C$2:$C$433,"Umidade")),2)</f>
        <v>0</v>
      </c>
    </row>
    <row r="4129" customFormat="false" ht="15" hidden="false" customHeight="false" outlineLevel="0" collapsed="false">
      <c r="A4129" s="27" t="s">
        <v>121</v>
      </c>
      <c r="B4129" s="27" t="s">
        <v>110</v>
      </c>
      <c r="C4129" s="27" t="s">
        <v>41</v>
      </c>
      <c r="D4129" s="27" t="s">
        <v>50</v>
      </c>
      <c r="E4129" s="28" t="n">
        <f aca="false">ROUND((SUMIFS(Acerto_Detalhado!$F$2:$F$433,Acerto_Detalhado!$A$2:$A$433,$C4129,Acerto_Detalhado!$B$2:$B$433,"Nov",Acerto_Detalhado!$C$2:$C$433,"Umidade"))*(SUMIFS(Acerto_Detalhado!$I$2:$I$433,Acerto_Detalhado!$A$2:$A$433,$D4129,Acerto_Detalhado!$B$2:$B$433,"Nov",Acerto_Detalhado!$C$2:$C$433,"Umidade")),2)</f>
        <v>0</v>
      </c>
    </row>
    <row r="4130" customFormat="false" ht="15" hidden="false" customHeight="false" outlineLevel="0" collapsed="false">
      <c r="A4130" s="27" t="s">
        <v>121</v>
      </c>
      <c r="B4130" s="27" t="s">
        <v>110</v>
      </c>
      <c r="C4130" s="27" t="s">
        <v>42</v>
      </c>
      <c r="D4130" s="27" t="s">
        <v>39</v>
      </c>
      <c r="E4130" s="28" t="n">
        <f aca="false">ROUND((SUMIFS(Acerto_Detalhado!$F$2:$F$433,Acerto_Detalhado!$A$2:$A$433,$C4130,Acerto_Detalhado!$B$2:$B$433,"Nov",Acerto_Detalhado!$C$2:$C$433,"Umidade"))*(SUMIFS(Acerto_Detalhado!$I$2:$I$433,Acerto_Detalhado!$A$2:$A$433,$D4130,Acerto_Detalhado!$B$2:$B$433,"Nov",Acerto_Detalhado!$C$2:$C$433,"Umidade")),2)</f>
        <v>0</v>
      </c>
    </row>
    <row r="4131" customFormat="false" ht="15" hidden="false" customHeight="false" outlineLevel="0" collapsed="false">
      <c r="A4131" s="27" t="s">
        <v>121</v>
      </c>
      <c r="B4131" s="27" t="s">
        <v>110</v>
      </c>
      <c r="C4131" s="27" t="s">
        <v>42</v>
      </c>
      <c r="D4131" s="27" t="s">
        <v>40</v>
      </c>
      <c r="E4131" s="28" t="n">
        <f aca="false">ROUND((SUMIFS(Acerto_Detalhado!$F$2:$F$433,Acerto_Detalhado!$A$2:$A$433,$C4131,Acerto_Detalhado!$B$2:$B$433,"Nov",Acerto_Detalhado!$C$2:$C$433,"Umidade"))*(SUMIFS(Acerto_Detalhado!$I$2:$I$433,Acerto_Detalhado!$A$2:$A$433,$D4131,Acerto_Detalhado!$B$2:$B$433,"Nov",Acerto_Detalhado!$C$2:$C$433,"Umidade")),2)</f>
        <v>0</v>
      </c>
    </row>
    <row r="4132" customFormat="false" ht="15" hidden="false" customHeight="false" outlineLevel="0" collapsed="false">
      <c r="A4132" s="27" t="s">
        <v>121</v>
      </c>
      <c r="B4132" s="27" t="s">
        <v>110</v>
      </c>
      <c r="C4132" s="27" t="s">
        <v>42</v>
      </c>
      <c r="D4132" s="27" t="s">
        <v>41</v>
      </c>
      <c r="E4132" s="28" t="n">
        <f aca="false">ROUND((SUMIFS(Acerto_Detalhado!$F$2:$F$433,Acerto_Detalhado!$A$2:$A$433,$C4132,Acerto_Detalhado!$B$2:$B$433,"Nov",Acerto_Detalhado!$C$2:$C$433,"Umidade"))*(SUMIFS(Acerto_Detalhado!$I$2:$I$433,Acerto_Detalhado!$A$2:$A$433,$D4132,Acerto_Detalhado!$B$2:$B$433,"Nov",Acerto_Detalhado!$C$2:$C$433,"Umidade")),2)</f>
        <v>0</v>
      </c>
    </row>
    <row r="4133" customFormat="false" ht="15" hidden="false" customHeight="false" outlineLevel="0" collapsed="false">
      <c r="A4133" s="27" t="s">
        <v>121</v>
      </c>
      <c r="B4133" s="27" t="s">
        <v>110</v>
      </c>
      <c r="C4133" s="27" t="s">
        <v>42</v>
      </c>
      <c r="D4133" s="27" t="s">
        <v>43</v>
      </c>
      <c r="E4133" s="28" t="n">
        <f aca="false">ROUND((SUMIFS(Acerto_Detalhado!$F$2:$F$433,Acerto_Detalhado!$A$2:$A$433,$C4133,Acerto_Detalhado!$B$2:$B$433,"Nov",Acerto_Detalhado!$C$2:$C$433,"Umidade"))*(SUMIFS(Acerto_Detalhado!$I$2:$I$433,Acerto_Detalhado!$A$2:$A$433,$D4133,Acerto_Detalhado!$B$2:$B$433,"Nov",Acerto_Detalhado!$C$2:$C$433,"Umidade")),2)</f>
        <v>0</v>
      </c>
    </row>
    <row r="4134" customFormat="false" ht="15" hidden="false" customHeight="false" outlineLevel="0" collapsed="false">
      <c r="A4134" s="27" t="s">
        <v>121</v>
      </c>
      <c r="B4134" s="27" t="s">
        <v>110</v>
      </c>
      <c r="C4134" s="27" t="s">
        <v>42</v>
      </c>
      <c r="D4134" s="27" t="s">
        <v>44</v>
      </c>
      <c r="E4134" s="28" t="n">
        <f aca="false">ROUND((SUMIFS(Acerto_Detalhado!$F$2:$F$433,Acerto_Detalhado!$A$2:$A$433,$C4134,Acerto_Detalhado!$B$2:$B$433,"Nov",Acerto_Detalhado!$C$2:$C$433,"Umidade"))*(SUMIFS(Acerto_Detalhado!$I$2:$I$433,Acerto_Detalhado!$A$2:$A$433,$D4134,Acerto_Detalhado!$B$2:$B$433,"Nov",Acerto_Detalhado!$C$2:$C$433,"Umidade")),2)</f>
        <v>0</v>
      </c>
    </row>
    <row r="4135" customFormat="false" ht="15" hidden="false" customHeight="false" outlineLevel="0" collapsed="false">
      <c r="A4135" s="27" t="s">
        <v>121</v>
      </c>
      <c r="B4135" s="27" t="s">
        <v>110</v>
      </c>
      <c r="C4135" s="27" t="s">
        <v>42</v>
      </c>
      <c r="D4135" s="27" t="s">
        <v>45</v>
      </c>
      <c r="E4135" s="28" t="n">
        <f aca="false">ROUND((SUMIFS(Acerto_Detalhado!$F$2:$F$433,Acerto_Detalhado!$A$2:$A$433,$C4135,Acerto_Detalhado!$B$2:$B$433,"Nov",Acerto_Detalhado!$C$2:$C$433,"Umidade"))*(SUMIFS(Acerto_Detalhado!$I$2:$I$433,Acerto_Detalhado!$A$2:$A$433,$D4135,Acerto_Detalhado!$B$2:$B$433,"Nov",Acerto_Detalhado!$C$2:$C$433,"Umidade")),2)</f>
        <v>0</v>
      </c>
    </row>
    <row r="4136" customFormat="false" ht="15" hidden="false" customHeight="false" outlineLevel="0" collapsed="false">
      <c r="A4136" s="27" t="s">
        <v>121</v>
      </c>
      <c r="B4136" s="27" t="s">
        <v>110</v>
      </c>
      <c r="C4136" s="27" t="s">
        <v>42</v>
      </c>
      <c r="D4136" s="27" t="s">
        <v>46</v>
      </c>
      <c r="E4136" s="28" t="n">
        <f aca="false">ROUND((SUMIFS(Acerto_Detalhado!$F$2:$F$433,Acerto_Detalhado!$A$2:$A$433,$C4136,Acerto_Detalhado!$B$2:$B$433,"Nov",Acerto_Detalhado!$C$2:$C$433,"Umidade"))*(SUMIFS(Acerto_Detalhado!$I$2:$I$433,Acerto_Detalhado!$A$2:$A$433,$D4136,Acerto_Detalhado!$B$2:$B$433,"Nov",Acerto_Detalhado!$C$2:$C$433,"Umidade")),2)</f>
        <v>0</v>
      </c>
    </row>
    <row r="4137" customFormat="false" ht="15" hidden="false" customHeight="false" outlineLevel="0" collapsed="false">
      <c r="A4137" s="27" t="s">
        <v>121</v>
      </c>
      <c r="B4137" s="27" t="s">
        <v>110</v>
      </c>
      <c r="C4137" s="27" t="s">
        <v>42</v>
      </c>
      <c r="D4137" s="27" t="s">
        <v>47</v>
      </c>
      <c r="E4137" s="28" t="n">
        <f aca="false">ROUND((SUMIFS(Acerto_Detalhado!$F$2:$F$433,Acerto_Detalhado!$A$2:$A$433,$C4137,Acerto_Detalhado!$B$2:$B$433,"Nov",Acerto_Detalhado!$C$2:$C$433,"Umidade"))*(SUMIFS(Acerto_Detalhado!$I$2:$I$433,Acerto_Detalhado!$A$2:$A$433,$D4137,Acerto_Detalhado!$B$2:$B$433,"Nov",Acerto_Detalhado!$C$2:$C$433,"Umidade")),2)</f>
        <v>0</v>
      </c>
    </row>
    <row r="4138" customFormat="false" ht="15" hidden="false" customHeight="false" outlineLevel="0" collapsed="false">
      <c r="A4138" s="27" t="s">
        <v>121</v>
      </c>
      <c r="B4138" s="27" t="s">
        <v>110</v>
      </c>
      <c r="C4138" s="27" t="s">
        <v>42</v>
      </c>
      <c r="D4138" s="27" t="s">
        <v>48</v>
      </c>
      <c r="E4138" s="28" t="n">
        <f aca="false">ROUND((SUMIFS(Acerto_Detalhado!$F$2:$F$433,Acerto_Detalhado!$A$2:$A$433,$C4138,Acerto_Detalhado!$B$2:$B$433,"Nov",Acerto_Detalhado!$C$2:$C$433,"Umidade"))*(SUMIFS(Acerto_Detalhado!$I$2:$I$433,Acerto_Detalhado!$A$2:$A$433,$D4138,Acerto_Detalhado!$B$2:$B$433,"Nov",Acerto_Detalhado!$C$2:$C$433,"Umidade")),2)</f>
        <v>0</v>
      </c>
    </row>
    <row r="4139" customFormat="false" ht="15" hidden="false" customHeight="false" outlineLevel="0" collapsed="false">
      <c r="A4139" s="27" t="s">
        <v>121</v>
      </c>
      <c r="B4139" s="27" t="s">
        <v>110</v>
      </c>
      <c r="C4139" s="27" t="s">
        <v>42</v>
      </c>
      <c r="D4139" s="27" t="s">
        <v>49</v>
      </c>
      <c r="E4139" s="28" t="n">
        <f aca="false">ROUND((SUMIFS(Acerto_Detalhado!$F$2:$F$433,Acerto_Detalhado!$A$2:$A$433,$C4139,Acerto_Detalhado!$B$2:$B$433,"Nov",Acerto_Detalhado!$C$2:$C$433,"Umidade"))*(SUMIFS(Acerto_Detalhado!$I$2:$I$433,Acerto_Detalhado!$A$2:$A$433,$D4139,Acerto_Detalhado!$B$2:$B$433,"Nov",Acerto_Detalhado!$C$2:$C$433,"Umidade")),2)</f>
        <v>0</v>
      </c>
    </row>
    <row r="4140" customFormat="false" ht="15" hidden="false" customHeight="false" outlineLevel="0" collapsed="false">
      <c r="A4140" s="27" t="s">
        <v>121</v>
      </c>
      <c r="B4140" s="27" t="s">
        <v>110</v>
      </c>
      <c r="C4140" s="27" t="s">
        <v>42</v>
      </c>
      <c r="D4140" s="27" t="s">
        <v>50</v>
      </c>
      <c r="E4140" s="28" t="n">
        <f aca="false">ROUND((SUMIFS(Acerto_Detalhado!$F$2:$F$433,Acerto_Detalhado!$A$2:$A$433,$C4140,Acerto_Detalhado!$B$2:$B$433,"Nov",Acerto_Detalhado!$C$2:$C$433,"Umidade"))*(SUMIFS(Acerto_Detalhado!$I$2:$I$433,Acerto_Detalhado!$A$2:$A$433,$D4140,Acerto_Detalhado!$B$2:$B$433,"Nov",Acerto_Detalhado!$C$2:$C$433,"Umidade")),2)</f>
        <v>0</v>
      </c>
    </row>
    <row r="4141" customFormat="false" ht="15" hidden="false" customHeight="false" outlineLevel="0" collapsed="false">
      <c r="A4141" s="27" t="s">
        <v>121</v>
      </c>
      <c r="B4141" s="27" t="s">
        <v>110</v>
      </c>
      <c r="C4141" s="27" t="s">
        <v>43</v>
      </c>
      <c r="D4141" s="27" t="s">
        <v>39</v>
      </c>
      <c r="E4141" s="28" t="n">
        <f aca="false">ROUND((SUMIFS(Acerto_Detalhado!$F$2:$F$433,Acerto_Detalhado!$A$2:$A$433,$C4141,Acerto_Detalhado!$B$2:$B$433,"Nov",Acerto_Detalhado!$C$2:$C$433,"Umidade"))*(SUMIFS(Acerto_Detalhado!$I$2:$I$433,Acerto_Detalhado!$A$2:$A$433,$D4141,Acerto_Detalhado!$B$2:$B$433,"Nov",Acerto_Detalhado!$C$2:$C$433,"Umidade")),2)</f>
        <v>0</v>
      </c>
    </row>
    <row r="4142" customFormat="false" ht="15" hidden="false" customHeight="false" outlineLevel="0" collapsed="false">
      <c r="A4142" s="27" t="s">
        <v>121</v>
      </c>
      <c r="B4142" s="27" t="s">
        <v>110</v>
      </c>
      <c r="C4142" s="27" t="s">
        <v>43</v>
      </c>
      <c r="D4142" s="27" t="s">
        <v>40</v>
      </c>
      <c r="E4142" s="28" t="n">
        <f aca="false">ROUND((SUMIFS(Acerto_Detalhado!$F$2:$F$433,Acerto_Detalhado!$A$2:$A$433,$C4142,Acerto_Detalhado!$B$2:$B$433,"Nov",Acerto_Detalhado!$C$2:$C$433,"Umidade"))*(SUMIFS(Acerto_Detalhado!$I$2:$I$433,Acerto_Detalhado!$A$2:$A$433,$D4142,Acerto_Detalhado!$B$2:$B$433,"Nov",Acerto_Detalhado!$C$2:$C$433,"Umidade")),2)</f>
        <v>0</v>
      </c>
    </row>
    <row r="4143" customFormat="false" ht="15" hidden="false" customHeight="false" outlineLevel="0" collapsed="false">
      <c r="A4143" s="27" t="s">
        <v>121</v>
      </c>
      <c r="B4143" s="27" t="s">
        <v>110</v>
      </c>
      <c r="C4143" s="27" t="s">
        <v>43</v>
      </c>
      <c r="D4143" s="27" t="s">
        <v>41</v>
      </c>
      <c r="E4143" s="28" t="n">
        <f aca="false">ROUND((SUMIFS(Acerto_Detalhado!$F$2:$F$433,Acerto_Detalhado!$A$2:$A$433,$C4143,Acerto_Detalhado!$B$2:$B$433,"Nov",Acerto_Detalhado!$C$2:$C$433,"Umidade"))*(SUMIFS(Acerto_Detalhado!$I$2:$I$433,Acerto_Detalhado!$A$2:$A$433,$D4143,Acerto_Detalhado!$B$2:$B$433,"Nov",Acerto_Detalhado!$C$2:$C$433,"Umidade")),2)</f>
        <v>0</v>
      </c>
    </row>
    <row r="4144" customFormat="false" ht="15" hidden="false" customHeight="false" outlineLevel="0" collapsed="false">
      <c r="A4144" s="27" t="s">
        <v>121</v>
      </c>
      <c r="B4144" s="27" t="s">
        <v>110</v>
      </c>
      <c r="C4144" s="27" t="s">
        <v>43</v>
      </c>
      <c r="D4144" s="27" t="s">
        <v>42</v>
      </c>
      <c r="E4144" s="28" t="n">
        <f aca="false">ROUND((SUMIFS(Acerto_Detalhado!$F$2:$F$433,Acerto_Detalhado!$A$2:$A$433,$C4144,Acerto_Detalhado!$B$2:$B$433,"Nov",Acerto_Detalhado!$C$2:$C$433,"Umidade"))*(SUMIFS(Acerto_Detalhado!$I$2:$I$433,Acerto_Detalhado!$A$2:$A$433,$D4144,Acerto_Detalhado!$B$2:$B$433,"Nov",Acerto_Detalhado!$C$2:$C$433,"Umidade")),2)</f>
        <v>0</v>
      </c>
    </row>
    <row r="4145" customFormat="false" ht="15" hidden="false" customHeight="false" outlineLevel="0" collapsed="false">
      <c r="A4145" s="27" t="s">
        <v>121</v>
      </c>
      <c r="B4145" s="27" t="s">
        <v>110</v>
      </c>
      <c r="C4145" s="27" t="s">
        <v>43</v>
      </c>
      <c r="D4145" s="27" t="s">
        <v>44</v>
      </c>
      <c r="E4145" s="28" t="n">
        <f aca="false">ROUND((SUMIFS(Acerto_Detalhado!$F$2:$F$433,Acerto_Detalhado!$A$2:$A$433,$C4145,Acerto_Detalhado!$B$2:$B$433,"Nov",Acerto_Detalhado!$C$2:$C$433,"Umidade"))*(SUMIFS(Acerto_Detalhado!$I$2:$I$433,Acerto_Detalhado!$A$2:$A$433,$D4145,Acerto_Detalhado!$B$2:$B$433,"Nov",Acerto_Detalhado!$C$2:$C$433,"Umidade")),2)</f>
        <v>0</v>
      </c>
    </row>
    <row r="4146" customFormat="false" ht="15" hidden="false" customHeight="false" outlineLevel="0" collapsed="false">
      <c r="A4146" s="27" t="s">
        <v>121</v>
      </c>
      <c r="B4146" s="27" t="s">
        <v>110</v>
      </c>
      <c r="C4146" s="27" t="s">
        <v>43</v>
      </c>
      <c r="D4146" s="27" t="s">
        <v>45</v>
      </c>
      <c r="E4146" s="28" t="n">
        <f aca="false">ROUND((SUMIFS(Acerto_Detalhado!$F$2:$F$433,Acerto_Detalhado!$A$2:$A$433,$C4146,Acerto_Detalhado!$B$2:$B$433,"Nov",Acerto_Detalhado!$C$2:$C$433,"Umidade"))*(SUMIFS(Acerto_Detalhado!$I$2:$I$433,Acerto_Detalhado!$A$2:$A$433,$D4146,Acerto_Detalhado!$B$2:$B$433,"Nov",Acerto_Detalhado!$C$2:$C$433,"Umidade")),2)</f>
        <v>0</v>
      </c>
    </row>
    <row r="4147" customFormat="false" ht="15" hidden="false" customHeight="false" outlineLevel="0" collapsed="false">
      <c r="A4147" s="27" t="s">
        <v>121</v>
      </c>
      <c r="B4147" s="27" t="s">
        <v>110</v>
      </c>
      <c r="C4147" s="27" t="s">
        <v>43</v>
      </c>
      <c r="D4147" s="27" t="s">
        <v>46</v>
      </c>
      <c r="E4147" s="28" t="n">
        <f aca="false">ROUND((SUMIFS(Acerto_Detalhado!$F$2:$F$433,Acerto_Detalhado!$A$2:$A$433,$C4147,Acerto_Detalhado!$B$2:$B$433,"Nov",Acerto_Detalhado!$C$2:$C$433,"Umidade"))*(SUMIFS(Acerto_Detalhado!$I$2:$I$433,Acerto_Detalhado!$A$2:$A$433,$D4147,Acerto_Detalhado!$B$2:$B$433,"Nov",Acerto_Detalhado!$C$2:$C$433,"Umidade")),2)</f>
        <v>0</v>
      </c>
    </row>
    <row r="4148" customFormat="false" ht="15" hidden="false" customHeight="false" outlineLevel="0" collapsed="false">
      <c r="A4148" s="27" t="s">
        <v>121</v>
      </c>
      <c r="B4148" s="27" t="s">
        <v>110</v>
      </c>
      <c r="C4148" s="27" t="s">
        <v>43</v>
      </c>
      <c r="D4148" s="27" t="s">
        <v>47</v>
      </c>
      <c r="E4148" s="28" t="n">
        <f aca="false">ROUND((SUMIFS(Acerto_Detalhado!$F$2:$F$433,Acerto_Detalhado!$A$2:$A$433,$C4148,Acerto_Detalhado!$B$2:$B$433,"Nov",Acerto_Detalhado!$C$2:$C$433,"Umidade"))*(SUMIFS(Acerto_Detalhado!$I$2:$I$433,Acerto_Detalhado!$A$2:$A$433,$D4148,Acerto_Detalhado!$B$2:$B$433,"Nov",Acerto_Detalhado!$C$2:$C$433,"Umidade")),2)</f>
        <v>0</v>
      </c>
    </row>
    <row r="4149" customFormat="false" ht="15" hidden="false" customHeight="false" outlineLevel="0" collapsed="false">
      <c r="A4149" s="27" t="s">
        <v>121</v>
      </c>
      <c r="B4149" s="27" t="s">
        <v>110</v>
      </c>
      <c r="C4149" s="27" t="s">
        <v>43</v>
      </c>
      <c r="D4149" s="27" t="s">
        <v>48</v>
      </c>
      <c r="E4149" s="28" t="n">
        <f aca="false">ROUND((SUMIFS(Acerto_Detalhado!$F$2:$F$433,Acerto_Detalhado!$A$2:$A$433,$C4149,Acerto_Detalhado!$B$2:$B$433,"Nov",Acerto_Detalhado!$C$2:$C$433,"Umidade"))*(SUMIFS(Acerto_Detalhado!$I$2:$I$433,Acerto_Detalhado!$A$2:$A$433,$D4149,Acerto_Detalhado!$B$2:$B$433,"Nov",Acerto_Detalhado!$C$2:$C$433,"Umidade")),2)</f>
        <v>0</v>
      </c>
    </row>
    <row r="4150" customFormat="false" ht="15" hidden="false" customHeight="false" outlineLevel="0" collapsed="false">
      <c r="A4150" s="27" t="s">
        <v>121</v>
      </c>
      <c r="B4150" s="27" t="s">
        <v>110</v>
      </c>
      <c r="C4150" s="27" t="s">
        <v>43</v>
      </c>
      <c r="D4150" s="27" t="s">
        <v>49</v>
      </c>
      <c r="E4150" s="28" t="n">
        <f aca="false">ROUND((SUMIFS(Acerto_Detalhado!$F$2:$F$433,Acerto_Detalhado!$A$2:$A$433,$C4150,Acerto_Detalhado!$B$2:$B$433,"Nov",Acerto_Detalhado!$C$2:$C$433,"Umidade"))*(SUMIFS(Acerto_Detalhado!$I$2:$I$433,Acerto_Detalhado!$A$2:$A$433,$D4150,Acerto_Detalhado!$B$2:$B$433,"Nov",Acerto_Detalhado!$C$2:$C$433,"Umidade")),2)</f>
        <v>0</v>
      </c>
    </row>
    <row r="4151" customFormat="false" ht="15" hidden="false" customHeight="false" outlineLevel="0" collapsed="false">
      <c r="A4151" s="27" t="s">
        <v>121</v>
      </c>
      <c r="B4151" s="27" t="s">
        <v>110</v>
      </c>
      <c r="C4151" s="27" t="s">
        <v>43</v>
      </c>
      <c r="D4151" s="27" t="s">
        <v>50</v>
      </c>
      <c r="E4151" s="28" t="n">
        <f aca="false">ROUND((SUMIFS(Acerto_Detalhado!$F$2:$F$433,Acerto_Detalhado!$A$2:$A$433,$C4151,Acerto_Detalhado!$B$2:$B$433,"Nov",Acerto_Detalhado!$C$2:$C$433,"Umidade"))*(SUMIFS(Acerto_Detalhado!$I$2:$I$433,Acerto_Detalhado!$A$2:$A$433,$D4151,Acerto_Detalhado!$B$2:$B$433,"Nov",Acerto_Detalhado!$C$2:$C$433,"Umidade")),2)</f>
        <v>0</v>
      </c>
    </row>
    <row r="4152" customFormat="false" ht="15" hidden="false" customHeight="false" outlineLevel="0" collapsed="false">
      <c r="A4152" s="27" t="s">
        <v>121</v>
      </c>
      <c r="B4152" s="27" t="s">
        <v>110</v>
      </c>
      <c r="C4152" s="27" t="s">
        <v>44</v>
      </c>
      <c r="D4152" s="27" t="s">
        <v>39</v>
      </c>
      <c r="E4152" s="28" t="n">
        <f aca="false">ROUND((SUMIFS(Acerto_Detalhado!$F$2:$F$433,Acerto_Detalhado!$A$2:$A$433,$C4152,Acerto_Detalhado!$B$2:$B$433,"Nov",Acerto_Detalhado!$C$2:$C$433,"Umidade"))*(SUMIFS(Acerto_Detalhado!$I$2:$I$433,Acerto_Detalhado!$A$2:$A$433,$D4152,Acerto_Detalhado!$B$2:$B$433,"Nov",Acerto_Detalhado!$C$2:$C$433,"Umidade")),2)</f>
        <v>0</v>
      </c>
    </row>
    <row r="4153" customFormat="false" ht="15" hidden="false" customHeight="false" outlineLevel="0" collapsed="false">
      <c r="A4153" s="27" t="s">
        <v>121</v>
      </c>
      <c r="B4153" s="27" t="s">
        <v>110</v>
      </c>
      <c r="C4153" s="27" t="s">
        <v>44</v>
      </c>
      <c r="D4153" s="27" t="s">
        <v>40</v>
      </c>
      <c r="E4153" s="28" t="n">
        <f aca="false">ROUND((SUMIFS(Acerto_Detalhado!$F$2:$F$433,Acerto_Detalhado!$A$2:$A$433,$C4153,Acerto_Detalhado!$B$2:$B$433,"Nov",Acerto_Detalhado!$C$2:$C$433,"Umidade"))*(SUMIFS(Acerto_Detalhado!$I$2:$I$433,Acerto_Detalhado!$A$2:$A$433,$D4153,Acerto_Detalhado!$B$2:$B$433,"Nov",Acerto_Detalhado!$C$2:$C$433,"Umidade")),2)</f>
        <v>0</v>
      </c>
    </row>
    <row r="4154" customFormat="false" ht="15" hidden="false" customHeight="false" outlineLevel="0" collapsed="false">
      <c r="A4154" s="27" t="s">
        <v>121</v>
      </c>
      <c r="B4154" s="27" t="s">
        <v>110</v>
      </c>
      <c r="C4154" s="27" t="s">
        <v>44</v>
      </c>
      <c r="D4154" s="27" t="s">
        <v>41</v>
      </c>
      <c r="E4154" s="28" t="n">
        <f aca="false">ROUND((SUMIFS(Acerto_Detalhado!$F$2:$F$433,Acerto_Detalhado!$A$2:$A$433,$C4154,Acerto_Detalhado!$B$2:$B$433,"Nov",Acerto_Detalhado!$C$2:$C$433,"Umidade"))*(SUMIFS(Acerto_Detalhado!$I$2:$I$433,Acerto_Detalhado!$A$2:$A$433,$D4154,Acerto_Detalhado!$B$2:$B$433,"Nov",Acerto_Detalhado!$C$2:$C$433,"Umidade")),2)</f>
        <v>0</v>
      </c>
    </row>
    <row r="4155" customFormat="false" ht="15" hidden="false" customHeight="false" outlineLevel="0" collapsed="false">
      <c r="A4155" s="27" t="s">
        <v>121</v>
      </c>
      <c r="B4155" s="27" t="s">
        <v>110</v>
      </c>
      <c r="C4155" s="27" t="s">
        <v>44</v>
      </c>
      <c r="D4155" s="27" t="s">
        <v>42</v>
      </c>
      <c r="E4155" s="28" t="n">
        <f aca="false">ROUND((SUMIFS(Acerto_Detalhado!$F$2:$F$433,Acerto_Detalhado!$A$2:$A$433,$C4155,Acerto_Detalhado!$B$2:$B$433,"Nov",Acerto_Detalhado!$C$2:$C$433,"Umidade"))*(SUMIFS(Acerto_Detalhado!$I$2:$I$433,Acerto_Detalhado!$A$2:$A$433,$D4155,Acerto_Detalhado!$B$2:$B$433,"Nov",Acerto_Detalhado!$C$2:$C$433,"Umidade")),2)</f>
        <v>0</v>
      </c>
    </row>
    <row r="4156" customFormat="false" ht="15" hidden="false" customHeight="false" outlineLevel="0" collapsed="false">
      <c r="A4156" s="27" t="s">
        <v>121</v>
      </c>
      <c r="B4156" s="27" t="s">
        <v>110</v>
      </c>
      <c r="C4156" s="27" t="s">
        <v>44</v>
      </c>
      <c r="D4156" s="27" t="s">
        <v>43</v>
      </c>
      <c r="E4156" s="28" t="n">
        <f aca="false">ROUND((SUMIFS(Acerto_Detalhado!$F$2:$F$433,Acerto_Detalhado!$A$2:$A$433,$C4156,Acerto_Detalhado!$B$2:$B$433,"Nov",Acerto_Detalhado!$C$2:$C$433,"Umidade"))*(SUMIFS(Acerto_Detalhado!$I$2:$I$433,Acerto_Detalhado!$A$2:$A$433,$D4156,Acerto_Detalhado!$B$2:$B$433,"Nov",Acerto_Detalhado!$C$2:$C$433,"Umidade")),2)</f>
        <v>0</v>
      </c>
    </row>
    <row r="4157" customFormat="false" ht="15" hidden="false" customHeight="false" outlineLevel="0" collapsed="false">
      <c r="A4157" s="27" t="s">
        <v>121</v>
      </c>
      <c r="B4157" s="27" t="s">
        <v>110</v>
      </c>
      <c r="C4157" s="27" t="s">
        <v>44</v>
      </c>
      <c r="D4157" s="27" t="s">
        <v>45</v>
      </c>
      <c r="E4157" s="28" t="n">
        <f aca="false">ROUND((SUMIFS(Acerto_Detalhado!$F$2:$F$433,Acerto_Detalhado!$A$2:$A$433,$C4157,Acerto_Detalhado!$B$2:$B$433,"Nov",Acerto_Detalhado!$C$2:$C$433,"Umidade"))*(SUMIFS(Acerto_Detalhado!$I$2:$I$433,Acerto_Detalhado!$A$2:$A$433,$D4157,Acerto_Detalhado!$B$2:$B$433,"Nov",Acerto_Detalhado!$C$2:$C$433,"Umidade")),2)</f>
        <v>0</v>
      </c>
    </row>
    <row r="4158" customFormat="false" ht="15" hidden="false" customHeight="false" outlineLevel="0" collapsed="false">
      <c r="A4158" s="27" t="s">
        <v>121</v>
      </c>
      <c r="B4158" s="27" t="s">
        <v>110</v>
      </c>
      <c r="C4158" s="27" t="s">
        <v>44</v>
      </c>
      <c r="D4158" s="27" t="s">
        <v>46</v>
      </c>
      <c r="E4158" s="28" t="n">
        <f aca="false">ROUND((SUMIFS(Acerto_Detalhado!$F$2:$F$433,Acerto_Detalhado!$A$2:$A$433,$C4158,Acerto_Detalhado!$B$2:$B$433,"Nov",Acerto_Detalhado!$C$2:$C$433,"Umidade"))*(SUMIFS(Acerto_Detalhado!$I$2:$I$433,Acerto_Detalhado!$A$2:$A$433,$D4158,Acerto_Detalhado!$B$2:$B$433,"Nov",Acerto_Detalhado!$C$2:$C$433,"Umidade")),2)</f>
        <v>0</v>
      </c>
    </row>
    <row r="4159" customFormat="false" ht="15" hidden="false" customHeight="false" outlineLevel="0" collapsed="false">
      <c r="A4159" s="27" t="s">
        <v>121</v>
      </c>
      <c r="B4159" s="27" t="s">
        <v>110</v>
      </c>
      <c r="C4159" s="27" t="s">
        <v>44</v>
      </c>
      <c r="D4159" s="27" t="s">
        <v>47</v>
      </c>
      <c r="E4159" s="28" t="n">
        <f aca="false">ROUND((SUMIFS(Acerto_Detalhado!$F$2:$F$433,Acerto_Detalhado!$A$2:$A$433,$C4159,Acerto_Detalhado!$B$2:$B$433,"Nov",Acerto_Detalhado!$C$2:$C$433,"Umidade"))*(SUMIFS(Acerto_Detalhado!$I$2:$I$433,Acerto_Detalhado!$A$2:$A$433,$D4159,Acerto_Detalhado!$B$2:$B$433,"Nov",Acerto_Detalhado!$C$2:$C$433,"Umidade")),2)</f>
        <v>0</v>
      </c>
    </row>
    <row r="4160" customFormat="false" ht="15" hidden="false" customHeight="false" outlineLevel="0" collapsed="false">
      <c r="A4160" s="27" t="s">
        <v>121</v>
      </c>
      <c r="B4160" s="27" t="s">
        <v>110</v>
      </c>
      <c r="C4160" s="27" t="s">
        <v>44</v>
      </c>
      <c r="D4160" s="27" t="s">
        <v>48</v>
      </c>
      <c r="E4160" s="28" t="n">
        <f aca="false">ROUND((SUMIFS(Acerto_Detalhado!$F$2:$F$433,Acerto_Detalhado!$A$2:$A$433,$C4160,Acerto_Detalhado!$B$2:$B$433,"Nov",Acerto_Detalhado!$C$2:$C$433,"Umidade"))*(SUMIFS(Acerto_Detalhado!$I$2:$I$433,Acerto_Detalhado!$A$2:$A$433,$D4160,Acerto_Detalhado!$B$2:$B$433,"Nov",Acerto_Detalhado!$C$2:$C$433,"Umidade")),2)</f>
        <v>0</v>
      </c>
    </row>
    <row r="4161" customFormat="false" ht="15" hidden="false" customHeight="false" outlineLevel="0" collapsed="false">
      <c r="A4161" s="27" t="s">
        <v>121</v>
      </c>
      <c r="B4161" s="27" t="s">
        <v>110</v>
      </c>
      <c r="C4161" s="27" t="s">
        <v>44</v>
      </c>
      <c r="D4161" s="27" t="s">
        <v>49</v>
      </c>
      <c r="E4161" s="28" t="n">
        <f aca="false">ROUND((SUMIFS(Acerto_Detalhado!$F$2:$F$433,Acerto_Detalhado!$A$2:$A$433,$C4161,Acerto_Detalhado!$B$2:$B$433,"Nov",Acerto_Detalhado!$C$2:$C$433,"Umidade"))*(SUMIFS(Acerto_Detalhado!$I$2:$I$433,Acerto_Detalhado!$A$2:$A$433,$D4161,Acerto_Detalhado!$B$2:$B$433,"Nov",Acerto_Detalhado!$C$2:$C$433,"Umidade")),2)</f>
        <v>0</v>
      </c>
    </row>
    <row r="4162" customFormat="false" ht="15" hidden="false" customHeight="false" outlineLevel="0" collapsed="false">
      <c r="A4162" s="27" t="s">
        <v>121</v>
      </c>
      <c r="B4162" s="27" t="s">
        <v>110</v>
      </c>
      <c r="C4162" s="27" t="s">
        <v>44</v>
      </c>
      <c r="D4162" s="27" t="s">
        <v>50</v>
      </c>
      <c r="E4162" s="28" t="n">
        <f aca="false">ROUND((SUMIFS(Acerto_Detalhado!$F$2:$F$433,Acerto_Detalhado!$A$2:$A$433,$C4162,Acerto_Detalhado!$B$2:$B$433,"Nov",Acerto_Detalhado!$C$2:$C$433,"Umidade"))*(SUMIFS(Acerto_Detalhado!$I$2:$I$433,Acerto_Detalhado!$A$2:$A$433,$D4162,Acerto_Detalhado!$B$2:$B$433,"Nov",Acerto_Detalhado!$C$2:$C$433,"Umidade")),2)</f>
        <v>0</v>
      </c>
    </row>
    <row r="4163" customFormat="false" ht="15" hidden="false" customHeight="false" outlineLevel="0" collapsed="false">
      <c r="A4163" s="27" t="s">
        <v>121</v>
      </c>
      <c r="B4163" s="27" t="s">
        <v>110</v>
      </c>
      <c r="C4163" s="27" t="s">
        <v>45</v>
      </c>
      <c r="D4163" s="27" t="s">
        <v>39</v>
      </c>
      <c r="E4163" s="28" t="n">
        <f aca="false">ROUND((SUMIFS(Acerto_Detalhado!$F$2:$F$433,Acerto_Detalhado!$A$2:$A$433,$C4163,Acerto_Detalhado!$B$2:$B$433,"Nov",Acerto_Detalhado!$C$2:$C$433,"Umidade"))*(SUMIFS(Acerto_Detalhado!$I$2:$I$433,Acerto_Detalhado!$A$2:$A$433,$D4163,Acerto_Detalhado!$B$2:$B$433,"Nov",Acerto_Detalhado!$C$2:$C$433,"Umidade")),2)</f>
        <v>0</v>
      </c>
    </row>
    <row r="4164" customFormat="false" ht="15" hidden="false" customHeight="false" outlineLevel="0" collapsed="false">
      <c r="A4164" s="27" t="s">
        <v>121</v>
      </c>
      <c r="B4164" s="27" t="s">
        <v>110</v>
      </c>
      <c r="C4164" s="27" t="s">
        <v>45</v>
      </c>
      <c r="D4164" s="27" t="s">
        <v>40</v>
      </c>
      <c r="E4164" s="28" t="n">
        <f aca="false">ROUND((SUMIFS(Acerto_Detalhado!$F$2:$F$433,Acerto_Detalhado!$A$2:$A$433,$C4164,Acerto_Detalhado!$B$2:$B$433,"Nov",Acerto_Detalhado!$C$2:$C$433,"Umidade"))*(SUMIFS(Acerto_Detalhado!$I$2:$I$433,Acerto_Detalhado!$A$2:$A$433,$D4164,Acerto_Detalhado!$B$2:$B$433,"Nov",Acerto_Detalhado!$C$2:$C$433,"Umidade")),2)</f>
        <v>0</v>
      </c>
    </row>
    <row r="4165" customFormat="false" ht="15" hidden="false" customHeight="false" outlineLevel="0" collapsed="false">
      <c r="A4165" s="27" t="s">
        <v>121</v>
      </c>
      <c r="B4165" s="27" t="s">
        <v>110</v>
      </c>
      <c r="C4165" s="27" t="s">
        <v>45</v>
      </c>
      <c r="D4165" s="27" t="s">
        <v>41</v>
      </c>
      <c r="E4165" s="28" t="n">
        <f aca="false">ROUND((SUMIFS(Acerto_Detalhado!$F$2:$F$433,Acerto_Detalhado!$A$2:$A$433,$C4165,Acerto_Detalhado!$B$2:$B$433,"Nov",Acerto_Detalhado!$C$2:$C$433,"Umidade"))*(SUMIFS(Acerto_Detalhado!$I$2:$I$433,Acerto_Detalhado!$A$2:$A$433,$D4165,Acerto_Detalhado!$B$2:$B$433,"Nov",Acerto_Detalhado!$C$2:$C$433,"Umidade")),2)</f>
        <v>0</v>
      </c>
    </row>
    <row r="4166" customFormat="false" ht="15" hidden="false" customHeight="false" outlineLevel="0" collapsed="false">
      <c r="A4166" s="27" t="s">
        <v>121</v>
      </c>
      <c r="B4166" s="27" t="s">
        <v>110</v>
      </c>
      <c r="C4166" s="27" t="s">
        <v>45</v>
      </c>
      <c r="D4166" s="27" t="s">
        <v>42</v>
      </c>
      <c r="E4166" s="28" t="n">
        <f aca="false">ROUND((SUMIFS(Acerto_Detalhado!$F$2:$F$433,Acerto_Detalhado!$A$2:$A$433,$C4166,Acerto_Detalhado!$B$2:$B$433,"Nov",Acerto_Detalhado!$C$2:$C$433,"Umidade"))*(SUMIFS(Acerto_Detalhado!$I$2:$I$433,Acerto_Detalhado!$A$2:$A$433,$D4166,Acerto_Detalhado!$B$2:$B$433,"Nov",Acerto_Detalhado!$C$2:$C$433,"Umidade")),2)</f>
        <v>0</v>
      </c>
    </row>
    <row r="4167" customFormat="false" ht="15" hidden="false" customHeight="false" outlineLevel="0" collapsed="false">
      <c r="A4167" s="27" t="s">
        <v>121</v>
      </c>
      <c r="B4167" s="27" t="s">
        <v>110</v>
      </c>
      <c r="C4167" s="27" t="s">
        <v>45</v>
      </c>
      <c r="D4167" s="27" t="s">
        <v>43</v>
      </c>
      <c r="E4167" s="28" t="n">
        <f aca="false">ROUND((SUMIFS(Acerto_Detalhado!$F$2:$F$433,Acerto_Detalhado!$A$2:$A$433,$C4167,Acerto_Detalhado!$B$2:$B$433,"Nov",Acerto_Detalhado!$C$2:$C$433,"Umidade"))*(SUMIFS(Acerto_Detalhado!$I$2:$I$433,Acerto_Detalhado!$A$2:$A$433,$D4167,Acerto_Detalhado!$B$2:$B$433,"Nov",Acerto_Detalhado!$C$2:$C$433,"Umidade")),2)</f>
        <v>0</v>
      </c>
    </row>
    <row r="4168" customFormat="false" ht="15" hidden="false" customHeight="false" outlineLevel="0" collapsed="false">
      <c r="A4168" s="27" t="s">
        <v>121</v>
      </c>
      <c r="B4168" s="27" t="s">
        <v>110</v>
      </c>
      <c r="C4168" s="27" t="s">
        <v>45</v>
      </c>
      <c r="D4168" s="27" t="s">
        <v>44</v>
      </c>
      <c r="E4168" s="28" t="n">
        <f aca="false">ROUND((SUMIFS(Acerto_Detalhado!$F$2:$F$433,Acerto_Detalhado!$A$2:$A$433,$C4168,Acerto_Detalhado!$B$2:$B$433,"Nov",Acerto_Detalhado!$C$2:$C$433,"Umidade"))*(SUMIFS(Acerto_Detalhado!$I$2:$I$433,Acerto_Detalhado!$A$2:$A$433,$D4168,Acerto_Detalhado!$B$2:$B$433,"Nov",Acerto_Detalhado!$C$2:$C$433,"Umidade")),2)</f>
        <v>0</v>
      </c>
    </row>
    <row r="4169" customFormat="false" ht="15" hidden="false" customHeight="false" outlineLevel="0" collapsed="false">
      <c r="A4169" s="27" t="s">
        <v>121</v>
      </c>
      <c r="B4169" s="27" t="s">
        <v>110</v>
      </c>
      <c r="C4169" s="27" t="s">
        <v>45</v>
      </c>
      <c r="D4169" s="27" t="s">
        <v>46</v>
      </c>
      <c r="E4169" s="28" t="n">
        <f aca="false">ROUND((SUMIFS(Acerto_Detalhado!$F$2:$F$433,Acerto_Detalhado!$A$2:$A$433,$C4169,Acerto_Detalhado!$B$2:$B$433,"Nov",Acerto_Detalhado!$C$2:$C$433,"Umidade"))*(SUMIFS(Acerto_Detalhado!$I$2:$I$433,Acerto_Detalhado!$A$2:$A$433,$D4169,Acerto_Detalhado!$B$2:$B$433,"Nov",Acerto_Detalhado!$C$2:$C$433,"Umidade")),2)</f>
        <v>0</v>
      </c>
    </row>
    <row r="4170" customFormat="false" ht="15" hidden="false" customHeight="false" outlineLevel="0" collapsed="false">
      <c r="A4170" s="27" t="s">
        <v>121</v>
      </c>
      <c r="B4170" s="27" t="s">
        <v>110</v>
      </c>
      <c r="C4170" s="27" t="s">
        <v>45</v>
      </c>
      <c r="D4170" s="27" t="s">
        <v>47</v>
      </c>
      <c r="E4170" s="28" t="n">
        <f aca="false">ROUND((SUMIFS(Acerto_Detalhado!$F$2:$F$433,Acerto_Detalhado!$A$2:$A$433,$C4170,Acerto_Detalhado!$B$2:$B$433,"Nov",Acerto_Detalhado!$C$2:$C$433,"Umidade"))*(SUMIFS(Acerto_Detalhado!$I$2:$I$433,Acerto_Detalhado!$A$2:$A$433,$D4170,Acerto_Detalhado!$B$2:$B$433,"Nov",Acerto_Detalhado!$C$2:$C$433,"Umidade")),2)</f>
        <v>0</v>
      </c>
    </row>
    <row r="4171" customFormat="false" ht="15" hidden="false" customHeight="false" outlineLevel="0" collapsed="false">
      <c r="A4171" s="27" t="s">
        <v>121</v>
      </c>
      <c r="B4171" s="27" t="s">
        <v>110</v>
      </c>
      <c r="C4171" s="27" t="s">
        <v>45</v>
      </c>
      <c r="D4171" s="27" t="s">
        <v>48</v>
      </c>
      <c r="E4171" s="28" t="n">
        <f aca="false">ROUND((SUMIFS(Acerto_Detalhado!$F$2:$F$433,Acerto_Detalhado!$A$2:$A$433,$C4171,Acerto_Detalhado!$B$2:$B$433,"Nov",Acerto_Detalhado!$C$2:$C$433,"Umidade"))*(SUMIFS(Acerto_Detalhado!$I$2:$I$433,Acerto_Detalhado!$A$2:$A$433,$D4171,Acerto_Detalhado!$B$2:$B$433,"Nov",Acerto_Detalhado!$C$2:$C$433,"Umidade")),2)</f>
        <v>0</v>
      </c>
    </row>
    <row r="4172" customFormat="false" ht="15" hidden="false" customHeight="false" outlineLevel="0" collapsed="false">
      <c r="A4172" s="27" t="s">
        <v>121</v>
      </c>
      <c r="B4172" s="27" t="s">
        <v>110</v>
      </c>
      <c r="C4172" s="27" t="s">
        <v>45</v>
      </c>
      <c r="D4172" s="27" t="s">
        <v>49</v>
      </c>
      <c r="E4172" s="28" t="n">
        <f aca="false">ROUND((SUMIFS(Acerto_Detalhado!$F$2:$F$433,Acerto_Detalhado!$A$2:$A$433,$C4172,Acerto_Detalhado!$B$2:$B$433,"Nov",Acerto_Detalhado!$C$2:$C$433,"Umidade"))*(SUMIFS(Acerto_Detalhado!$I$2:$I$433,Acerto_Detalhado!$A$2:$A$433,$D4172,Acerto_Detalhado!$B$2:$B$433,"Nov",Acerto_Detalhado!$C$2:$C$433,"Umidade")),2)</f>
        <v>0</v>
      </c>
    </row>
    <row r="4173" customFormat="false" ht="15" hidden="false" customHeight="false" outlineLevel="0" collapsed="false">
      <c r="A4173" s="27" t="s">
        <v>121</v>
      </c>
      <c r="B4173" s="27" t="s">
        <v>110</v>
      </c>
      <c r="C4173" s="27" t="s">
        <v>45</v>
      </c>
      <c r="D4173" s="27" t="s">
        <v>50</v>
      </c>
      <c r="E4173" s="28" t="n">
        <f aca="false">ROUND((SUMIFS(Acerto_Detalhado!$F$2:$F$433,Acerto_Detalhado!$A$2:$A$433,$C4173,Acerto_Detalhado!$B$2:$B$433,"Nov",Acerto_Detalhado!$C$2:$C$433,"Umidade"))*(SUMIFS(Acerto_Detalhado!$I$2:$I$433,Acerto_Detalhado!$A$2:$A$433,$D4173,Acerto_Detalhado!$B$2:$B$433,"Nov",Acerto_Detalhado!$C$2:$C$433,"Umidade")),2)</f>
        <v>0</v>
      </c>
    </row>
    <row r="4174" customFormat="false" ht="15" hidden="false" customHeight="false" outlineLevel="0" collapsed="false">
      <c r="A4174" s="27" t="s">
        <v>121</v>
      </c>
      <c r="B4174" s="27" t="s">
        <v>110</v>
      </c>
      <c r="C4174" s="27" t="s">
        <v>46</v>
      </c>
      <c r="D4174" s="27" t="s">
        <v>39</v>
      </c>
      <c r="E4174" s="28" t="n">
        <f aca="false">ROUND((SUMIFS(Acerto_Detalhado!$F$2:$F$433,Acerto_Detalhado!$A$2:$A$433,$C4174,Acerto_Detalhado!$B$2:$B$433,"Nov",Acerto_Detalhado!$C$2:$C$433,"Umidade"))*(SUMIFS(Acerto_Detalhado!$I$2:$I$433,Acerto_Detalhado!$A$2:$A$433,$D4174,Acerto_Detalhado!$B$2:$B$433,"Nov",Acerto_Detalhado!$C$2:$C$433,"Umidade")),2)</f>
        <v>0</v>
      </c>
    </row>
    <row r="4175" customFormat="false" ht="15" hidden="false" customHeight="false" outlineLevel="0" collapsed="false">
      <c r="A4175" s="27" t="s">
        <v>121</v>
      </c>
      <c r="B4175" s="27" t="s">
        <v>110</v>
      </c>
      <c r="C4175" s="27" t="s">
        <v>46</v>
      </c>
      <c r="D4175" s="27" t="s">
        <v>40</v>
      </c>
      <c r="E4175" s="28" t="n">
        <f aca="false">ROUND((SUMIFS(Acerto_Detalhado!$F$2:$F$433,Acerto_Detalhado!$A$2:$A$433,$C4175,Acerto_Detalhado!$B$2:$B$433,"Nov",Acerto_Detalhado!$C$2:$C$433,"Umidade"))*(SUMIFS(Acerto_Detalhado!$I$2:$I$433,Acerto_Detalhado!$A$2:$A$433,$D4175,Acerto_Detalhado!$B$2:$B$433,"Nov",Acerto_Detalhado!$C$2:$C$433,"Umidade")),2)</f>
        <v>0</v>
      </c>
    </row>
    <row r="4176" customFormat="false" ht="15" hidden="false" customHeight="false" outlineLevel="0" collapsed="false">
      <c r="A4176" s="27" t="s">
        <v>121</v>
      </c>
      <c r="B4176" s="27" t="s">
        <v>110</v>
      </c>
      <c r="C4176" s="27" t="s">
        <v>46</v>
      </c>
      <c r="D4176" s="27" t="s">
        <v>41</v>
      </c>
      <c r="E4176" s="28" t="n">
        <f aca="false">ROUND((SUMIFS(Acerto_Detalhado!$F$2:$F$433,Acerto_Detalhado!$A$2:$A$433,$C4176,Acerto_Detalhado!$B$2:$B$433,"Nov",Acerto_Detalhado!$C$2:$C$433,"Umidade"))*(SUMIFS(Acerto_Detalhado!$I$2:$I$433,Acerto_Detalhado!$A$2:$A$433,$D4176,Acerto_Detalhado!$B$2:$B$433,"Nov",Acerto_Detalhado!$C$2:$C$433,"Umidade")),2)</f>
        <v>0</v>
      </c>
    </row>
    <row r="4177" customFormat="false" ht="15" hidden="false" customHeight="false" outlineLevel="0" collapsed="false">
      <c r="A4177" s="27" t="s">
        <v>121</v>
      </c>
      <c r="B4177" s="27" t="s">
        <v>110</v>
      </c>
      <c r="C4177" s="27" t="s">
        <v>46</v>
      </c>
      <c r="D4177" s="27" t="s">
        <v>42</v>
      </c>
      <c r="E4177" s="28" t="n">
        <f aca="false">ROUND((SUMIFS(Acerto_Detalhado!$F$2:$F$433,Acerto_Detalhado!$A$2:$A$433,$C4177,Acerto_Detalhado!$B$2:$B$433,"Nov",Acerto_Detalhado!$C$2:$C$433,"Umidade"))*(SUMIFS(Acerto_Detalhado!$I$2:$I$433,Acerto_Detalhado!$A$2:$A$433,$D4177,Acerto_Detalhado!$B$2:$B$433,"Nov",Acerto_Detalhado!$C$2:$C$433,"Umidade")),2)</f>
        <v>0</v>
      </c>
    </row>
    <row r="4178" customFormat="false" ht="15" hidden="false" customHeight="false" outlineLevel="0" collapsed="false">
      <c r="A4178" s="27" t="s">
        <v>121</v>
      </c>
      <c r="B4178" s="27" t="s">
        <v>110</v>
      </c>
      <c r="C4178" s="27" t="s">
        <v>46</v>
      </c>
      <c r="D4178" s="27" t="s">
        <v>43</v>
      </c>
      <c r="E4178" s="28" t="n">
        <f aca="false">ROUND((SUMIFS(Acerto_Detalhado!$F$2:$F$433,Acerto_Detalhado!$A$2:$A$433,$C4178,Acerto_Detalhado!$B$2:$B$433,"Nov",Acerto_Detalhado!$C$2:$C$433,"Umidade"))*(SUMIFS(Acerto_Detalhado!$I$2:$I$433,Acerto_Detalhado!$A$2:$A$433,$D4178,Acerto_Detalhado!$B$2:$B$433,"Nov",Acerto_Detalhado!$C$2:$C$433,"Umidade")),2)</f>
        <v>0</v>
      </c>
    </row>
    <row r="4179" customFormat="false" ht="15" hidden="false" customHeight="false" outlineLevel="0" collapsed="false">
      <c r="A4179" s="27" t="s">
        <v>121</v>
      </c>
      <c r="B4179" s="27" t="s">
        <v>110</v>
      </c>
      <c r="C4179" s="27" t="s">
        <v>46</v>
      </c>
      <c r="D4179" s="27" t="s">
        <v>44</v>
      </c>
      <c r="E4179" s="28" t="n">
        <f aca="false">ROUND((SUMIFS(Acerto_Detalhado!$F$2:$F$433,Acerto_Detalhado!$A$2:$A$433,$C4179,Acerto_Detalhado!$B$2:$B$433,"Nov",Acerto_Detalhado!$C$2:$C$433,"Umidade"))*(SUMIFS(Acerto_Detalhado!$I$2:$I$433,Acerto_Detalhado!$A$2:$A$433,$D4179,Acerto_Detalhado!$B$2:$B$433,"Nov",Acerto_Detalhado!$C$2:$C$433,"Umidade")),2)</f>
        <v>0</v>
      </c>
    </row>
    <row r="4180" customFormat="false" ht="15" hidden="false" customHeight="false" outlineLevel="0" collapsed="false">
      <c r="A4180" s="27" t="s">
        <v>121</v>
      </c>
      <c r="B4180" s="27" t="s">
        <v>110</v>
      </c>
      <c r="C4180" s="27" t="s">
        <v>46</v>
      </c>
      <c r="D4180" s="27" t="s">
        <v>45</v>
      </c>
      <c r="E4180" s="28" t="n">
        <f aca="false">ROUND((SUMIFS(Acerto_Detalhado!$F$2:$F$433,Acerto_Detalhado!$A$2:$A$433,$C4180,Acerto_Detalhado!$B$2:$B$433,"Nov",Acerto_Detalhado!$C$2:$C$433,"Umidade"))*(SUMIFS(Acerto_Detalhado!$I$2:$I$433,Acerto_Detalhado!$A$2:$A$433,$D4180,Acerto_Detalhado!$B$2:$B$433,"Nov",Acerto_Detalhado!$C$2:$C$433,"Umidade")),2)</f>
        <v>0</v>
      </c>
    </row>
    <row r="4181" customFormat="false" ht="15" hidden="false" customHeight="false" outlineLevel="0" collapsed="false">
      <c r="A4181" s="27" t="s">
        <v>121</v>
      </c>
      <c r="B4181" s="27" t="s">
        <v>110</v>
      </c>
      <c r="C4181" s="27" t="s">
        <v>46</v>
      </c>
      <c r="D4181" s="27" t="s">
        <v>47</v>
      </c>
      <c r="E4181" s="28" t="n">
        <f aca="false">ROUND((SUMIFS(Acerto_Detalhado!$F$2:$F$433,Acerto_Detalhado!$A$2:$A$433,$C4181,Acerto_Detalhado!$B$2:$B$433,"Nov",Acerto_Detalhado!$C$2:$C$433,"Umidade"))*(SUMIFS(Acerto_Detalhado!$I$2:$I$433,Acerto_Detalhado!$A$2:$A$433,$D4181,Acerto_Detalhado!$B$2:$B$433,"Nov",Acerto_Detalhado!$C$2:$C$433,"Umidade")),2)</f>
        <v>0</v>
      </c>
    </row>
    <row r="4182" customFormat="false" ht="15" hidden="false" customHeight="false" outlineLevel="0" collapsed="false">
      <c r="A4182" s="27" t="s">
        <v>121</v>
      </c>
      <c r="B4182" s="27" t="s">
        <v>110</v>
      </c>
      <c r="C4182" s="27" t="s">
        <v>46</v>
      </c>
      <c r="D4182" s="27" t="s">
        <v>48</v>
      </c>
      <c r="E4182" s="28" t="n">
        <f aca="false">ROUND((SUMIFS(Acerto_Detalhado!$F$2:$F$433,Acerto_Detalhado!$A$2:$A$433,$C4182,Acerto_Detalhado!$B$2:$B$433,"Nov",Acerto_Detalhado!$C$2:$C$433,"Umidade"))*(SUMIFS(Acerto_Detalhado!$I$2:$I$433,Acerto_Detalhado!$A$2:$A$433,$D4182,Acerto_Detalhado!$B$2:$B$433,"Nov",Acerto_Detalhado!$C$2:$C$433,"Umidade")),2)</f>
        <v>0</v>
      </c>
    </row>
    <row r="4183" customFormat="false" ht="15" hidden="false" customHeight="false" outlineLevel="0" collapsed="false">
      <c r="A4183" s="27" t="s">
        <v>121</v>
      </c>
      <c r="B4183" s="27" t="s">
        <v>110</v>
      </c>
      <c r="C4183" s="27" t="s">
        <v>46</v>
      </c>
      <c r="D4183" s="27" t="s">
        <v>49</v>
      </c>
      <c r="E4183" s="28" t="n">
        <f aca="false">ROUND((SUMIFS(Acerto_Detalhado!$F$2:$F$433,Acerto_Detalhado!$A$2:$A$433,$C4183,Acerto_Detalhado!$B$2:$B$433,"Nov",Acerto_Detalhado!$C$2:$C$433,"Umidade"))*(SUMIFS(Acerto_Detalhado!$I$2:$I$433,Acerto_Detalhado!$A$2:$A$433,$D4183,Acerto_Detalhado!$B$2:$B$433,"Nov",Acerto_Detalhado!$C$2:$C$433,"Umidade")),2)</f>
        <v>0</v>
      </c>
    </row>
    <row r="4184" customFormat="false" ht="15" hidden="false" customHeight="false" outlineLevel="0" collapsed="false">
      <c r="A4184" s="27" t="s">
        <v>121</v>
      </c>
      <c r="B4184" s="27" t="s">
        <v>110</v>
      </c>
      <c r="C4184" s="27" t="s">
        <v>46</v>
      </c>
      <c r="D4184" s="27" t="s">
        <v>50</v>
      </c>
      <c r="E4184" s="28" t="n">
        <f aca="false">ROUND((SUMIFS(Acerto_Detalhado!$F$2:$F$433,Acerto_Detalhado!$A$2:$A$433,$C4184,Acerto_Detalhado!$B$2:$B$433,"Nov",Acerto_Detalhado!$C$2:$C$433,"Umidade"))*(SUMIFS(Acerto_Detalhado!$I$2:$I$433,Acerto_Detalhado!$A$2:$A$433,$D4184,Acerto_Detalhado!$B$2:$B$433,"Nov",Acerto_Detalhado!$C$2:$C$433,"Umidade")),2)</f>
        <v>0</v>
      </c>
    </row>
    <row r="4185" customFormat="false" ht="15" hidden="false" customHeight="false" outlineLevel="0" collapsed="false">
      <c r="A4185" s="27" t="s">
        <v>121</v>
      </c>
      <c r="B4185" s="27" t="s">
        <v>110</v>
      </c>
      <c r="C4185" s="27" t="s">
        <v>47</v>
      </c>
      <c r="D4185" s="27" t="s">
        <v>39</v>
      </c>
      <c r="E4185" s="28" t="n">
        <f aca="false">ROUND((SUMIFS(Acerto_Detalhado!$F$2:$F$433,Acerto_Detalhado!$A$2:$A$433,$C4185,Acerto_Detalhado!$B$2:$B$433,"Nov",Acerto_Detalhado!$C$2:$C$433,"Umidade"))*(SUMIFS(Acerto_Detalhado!$I$2:$I$433,Acerto_Detalhado!$A$2:$A$433,$D4185,Acerto_Detalhado!$B$2:$B$433,"Nov",Acerto_Detalhado!$C$2:$C$433,"Umidade")),2)</f>
        <v>0</v>
      </c>
    </row>
    <row r="4186" customFormat="false" ht="15" hidden="false" customHeight="false" outlineLevel="0" collapsed="false">
      <c r="A4186" s="27" t="s">
        <v>121</v>
      </c>
      <c r="B4186" s="27" t="s">
        <v>110</v>
      </c>
      <c r="C4186" s="27" t="s">
        <v>47</v>
      </c>
      <c r="D4186" s="27" t="s">
        <v>40</v>
      </c>
      <c r="E4186" s="28" t="n">
        <f aca="false">ROUND((SUMIFS(Acerto_Detalhado!$F$2:$F$433,Acerto_Detalhado!$A$2:$A$433,$C4186,Acerto_Detalhado!$B$2:$B$433,"Nov",Acerto_Detalhado!$C$2:$C$433,"Umidade"))*(SUMIFS(Acerto_Detalhado!$I$2:$I$433,Acerto_Detalhado!$A$2:$A$433,$D4186,Acerto_Detalhado!$B$2:$B$433,"Nov",Acerto_Detalhado!$C$2:$C$433,"Umidade")),2)</f>
        <v>0</v>
      </c>
    </row>
    <row r="4187" customFormat="false" ht="15" hidden="false" customHeight="false" outlineLevel="0" collapsed="false">
      <c r="A4187" s="27" t="s">
        <v>121</v>
      </c>
      <c r="B4187" s="27" t="s">
        <v>110</v>
      </c>
      <c r="C4187" s="27" t="s">
        <v>47</v>
      </c>
      <c r="D4187" s="27" t="s">
        <v>41</v>
      </c>
      <c r="E4187" s="28" t="n">
        <f aca="false">ROUND((SUMIFS(Acerto_Detalhado!$F$2:$F$433,Acerto_Detalhado!$A$2:$A$433,$C4187,Acerto_Detalhado!$B$2:$B$433,"Nov",Acerto_Detalhado!$C$2:$C$433,"Umidade"))*(SUMIFS(Acerto_Detalhado!$I$2:$I$433,Acerto_Detalhado!$A$2:$A$433,$D4187,Acerto_Detalhado!$B$2:$B$433,"Nov",Acerto_Detalhado!$C$2:$C$433,"Umidade")),2)</f>
        <v>0</v>
      </c>
    </row>
    <row r="4188" customFormat="false" ht="15" hidden="false" customHeight="false" outlineLevel="0" collapsed="false">
      <c r="A4188" s="27" t="s">
        <v>121</v>
      </c>
      <c r="B4188" s="27" t="s">
        <v>110</v>
      </c>
      <c r="C4188" s="27" t="s">
        <v>47</v>
      </c>
      <c r="D4188" s="27" t="s">
        <v>42</v>
      </c>
      <c r="E4188" s="28" t="n">
        <f aca="false">ROUND((SUMIFS(Acerto_Detalhado!$F$2:$F$433,Acerto_Detalhado!$A$2:$A$433,$C4188,Acerto_Detalhado!$B$2:$B$433,"Nov",Acerto_Detalhado!$C$2:$C$433,"Umidade"))*(SUMIFS(Acerto_Detalhado!$I$2:$I$433,Acerto_Detalhado!$A$2:$A$433,$D4188,Acerto_Detalhado!$B$2:$B$433,"Nov",Acerto_Detalhado!$C$2:$C$433,"Umidade")),2)</f>
        <v>0</v>
      </c>
    </row>
    <row r="4189" customFormat="false" ht="15" hidden="false" customHeight="false" outlineLevel="0" collapsed="false">
      <c r="A4189" s="27" t="s">
        <v>121</v>
      </c>
      <c r="B4189" s="27" t="s">
        <v>110</v>
      </c>
      <c r="C4189" s="27" t="s">
        <v>47</v>
      </c>
      <c r="D4189" s="27" t="s">
        <v>43</v>
      </c>
      <c r="E4189" s="28" t="n">
        <f aca="false">ROUND((SUMIFS(Acerto_Detalhado!$F$2:$F$433,Acerto_Detalhado!$A$2:$A$433,$C4189,Acerto_Detalhado!$B$2:$B$433,"Nov",Acerto_Detalhado!$C$2:$C$433,"Umidade"))*(SUMIFS(Acerto_Detalhado!$I$2:$I$433,Acerto_Detalhado!$A$2:$A$433,$D4189,Acerto_Detalhado!$B$2:$B$433,"Nov",Acerto_Detalhado!$C$2:$C$433,"Umidade")),2)</f>
        <v>0</v>
      </c>
    </row>
    <row r="4190" customFormat="false" ht="15" hidden="false" customHeight="false" outlineLevel="0" collapsed="false">
      <c r="A4190" s="27" t="s">
        <v>121</v>
      </c>
      <c r="B4190" s="27" t="s">
        <v>110</v>
      </c>
      <c r="C4190" s="27" t="s">
        <v>47</v>
      </c>
      <c r="D4190" s="27" t="s">
        <v>44</v>
      </c>
      <c r="E4190" s="28" t="n">
        <f aca="false">ROUND((SUMIFS(Acerto_Detalhado!$F$2:$F$433,Acerto_Detalhado!$A$2:$A$433,$C4190,Acerto_Detalhado!$B$2:$B$433,"Nov",Acerto_Detalhado!$C$2:$C$433,"Umidade"))*(SUMIFS(Acerto_Detalhado!$I$2:$I$433,Acerto_Detalhado!$A$2:$A$433,$D4190,Acerto_Detalhado!$B$2:$B$433,"Nov",Acerto_Detalhado!$C$2:$C$433,"Umidade")),2)</f>
        <v>0</v>
      </c>
    </row>
    <row r="4191" customFormat="false" ht="15" hidden="false" customHeight="false" outlineLevel="0" collapsed="false">
      <c r="A4191" s="27" t="s">
        <v>121</v>
      </c>
      <c r="B4191" s="27" t="s">
        <v>110</v>
      </c>
      <c r="C4191" s="27" t="s">
        <v>47</v>
      </c>
      <c r="D4191" s="27" t="s">
        <v>45</v>
      </c>
      <c r="E4191" s="28" t="n">
        <f aca="false">ROUND((SUMIFS(Acerto_Detalhado!$F$2:$F$433,Acerto_Detalhado!$A$2:$A$433,$C4191,Acerto_Detalhado!$B$2:$B$433,"Nov",Acerto_Detalhado!$C$2:$C$433,"Umidade"))*(SUMIFS(Acerto_Detalhado!$I$2:$I$433,Acerto_Detalhado!$A$2:$A$433,$D4191,Acerto_Detalhado!$B$2:$B$433,"Nov",Acerto_Detalhado!$C$2:$C$433,"Umidade")),2)</f>
        <v>0</v>
      </c>
    </row>
    <row r="4192" customFormat="false" ht="15" hidden="false" customHeight="false" outlineLevel="0" collapsed="false">
      <c r="A4192" s="27" t="s">
        <v>121</v>
      </c>
      <c r="B4192" s="27" t="s">
        <v>110</v>
      </c>
      <c r="C4192" s="27" t="s">
        <v>47</v>
      </c>
      <c r="D4192" s="27" t="s">
        <v>46</v>
      </c>
      <c r="E4192" s="28" t="n">
        <f aca="false">ROUND((SUMIFS(Acerto_Detalhado!$F$2:$F$433,Acerto_Detalhado!$A$2:$A$433,$C4192,Acerto_Detalhado!$B$2:$B$433,"Nov",Acerto_Detalhado!$C$2:$C$433,"Umidade"))*(SUMIFS(Acerto_Detalhado!$I$2:$I$433,Acerto_Detalhado!$A$2:$A$433,$D4192,Acerto_Detalhado!$B$2:$B$433,"Nov",Acerto_Detalhado!$C$2:$C$433,"Umidade")),2)</f>
        <v>0</v>
      </c>
    </row>
    <row r="4193" customFormat="false" ht="15" hidden="false" customHeight="false" outlineLevel="0" collapsed="false">
      <c r="A4193" s="27" t="s">
        <v>121</v>
      </c>
      <c r="B4193" s="27" t="s">
        <v>110</v>
      </c>
      <c r="C4193" s="27" t="s">
        <v>47</v>
      </c>
      <c r="D4193" s="27" t="s">
        <v>48</v>
      </c>
      <c r="E4193" s="28" t="n">
        <f aca="false">ROUND((SUMIFS(Acerto_Detalhado!$F$2:$F$433,Acerto_Detalhado!$A$2:$A$433,$C4193,Acerto_Detalhado!$B$2:$B$433,"Nov",Acerto_Detalhado!$C$2:$C$433,"Umidade"))*(SUMIFS(Acerto_Detalhado!$I$2:$I$433,Acerto_Detalhado!$A$2:$A$433,$D4193,Acerto_Detalhado!$B$2:$B$433,"Nov",Acerto_Detalhado!$C$2:$C$433,"Umidade")),2)</f>
        <v>0</v>
      </c>
    </row>
    <row r="4194" customFormat="false" ht="15" hidden="false" customHeight="false" outlineLevel="0" collapsed="false">
      <c r="A4194" s="27" t="s">
        <v>121</v>
      </c>
      <c r="B4194" s="27" t="s">
        <v>110</v>
      </c>
      <c r="C4194" s="27" t="s">
        <v>47</v>
      </c>
      <c r="D4194" s="27" t="s">
        <v>49</v>
      </c>
      <c r="E4194" s="28" t="n">
        <f aca="false">ROUND((SUMIFS(Acerto_Detalhado!$F$2:$F$433,Acerto_Detalhado!$A$2:$A$433,$C4194,Acerto_Detalhado!$B$2:$B$433,"Nov",Acerto_Detalhado!$C$2:$C$433,"Umidade"))*(SUMIFS(Acerto_Detalhado!$I$2:$I$433,Acerto_Detalhado!$A$2:$A$433,$D4194,Acerto_Detalhado!$B$2:$B$433,"Nov",Acerto_Detalhado!$C$2:$C$433,"Umidade")),2)</f>
        <v>0</v>
      </c>
    </row>
    <row r="4195" customFormat="false" ht="15" hidden="false" customHeight="false" outlineLevel="0" collapsed="false">
      <c r="A4195" s="27" t="s">
        <v>121</v>
      </c>
      <c r="B4195" s="27" t="s">
        <v>110</v>
      </c>
      <c r="C4195" s="27" t="s">
        <v>47</v>
      </c>
      <c r="D4195" s="27" t="s">
        <v>50</v>
      </c>
      <c r="E4195" s="28" t="n">
        <f aca="false">ROUND((SUMIFS(Acerto_Detalhado!$F$2:$F$433,Acerto_Detalhado!$A$2:$A$433,$C4195,Acerto_Detalhado!$B$2:$B$433,"Nov",Acerto_Detalhado!$C$2:$C$433,"Umidade"))*(SUMIFS(Acerto_Detalhado!$I$2:$I$433,Acerto_Detalhado!$A$2:$A$433,$D4195,Acerto_Detalhado!$B$2:$B$433,"Nov",Acerto_Detalhado!$C$2:$C$433,"Umidade")),2)</f>
        <v>0</v>
      </c>
    </row>
    <row r="4196" customFormat="false" ht="15" hidden="false" customHeight="false" outlineLevel="0" collapsed="false">
      <c r="A4196" s="27" t="s">
        <v>121</v>
      </c>
      <c r="B4196" s="27" t="s">
        <v>110</v>
      </c>
      <c r="C4196" s="27" t="s">
        <v>48</v>
      </c>
      <c r="D4196" s="27" t="s">
        <v>39</v>
      </c>
      <c r="E4196" s="28" t="n">
        <f aca="false">ROUND((SUMIFS(Acerto_Detalhado!$F$2:$F$433,Acerto_Detalhado!$A$2:$A$433,$C4196,Acerto_Detalhado!$B$2:$B$433,"Nov",Acerto_Detalhado!$C$2:$C$433,"Umidade"))*(SUMIFS(Acerto_Detalhado!$I$2:$I$433,Acerto_Detalhado!$A$2:$A$433,$D4196,Acerto_Detalhado!$B$2:$B$433,"Nov",Acerto_Detalhado!$C$2:$C$433,"Umidade")),2)</f>
        <v>0</v>
      </c>
    </row>
    <row r="4197" customFormat="false" ht="15" hidden="false" customHeight="false" outlineLevel="0" collapsed="false">
      <c r="A4197" s="27" t="s">
        <v>121</v>
      </c>
      <c r="B4197" s="27" t="s">
        <v>110</v>
      </c>
      <c r="C4197" s="27" t="s">
        <v>48</v>
      </c>
      <c r="D4197" s="27" t="s">
        <v>40</v>
      </c>
      <c r="E4197" s="28" t="n">
        <f aca="false">ROUND((SUMIFS(Acerto_Detalhado!$F$2:$F$433,Acerto_Detalhado!$A$2:$A$433,$C4197,Acerto_Detalhado!$B$2:$B$433,"Nov",Acerto_Detalhado!$C$2:$C$433,"Umidade"))*(SUMIFS(Acerto_Detalhado!$I$2:$I$433,Acerto_Detalhado!$A$2:$A$433,$D4197,Acerto_Detalhado!$B$2:$B$433,"Nov",Acerto_Detalhado!$C$2:$C$433,"Umidade")),2)</f>
        <v>0</v>
      </c>
    </row>
    <row r="4198" customFormat="false" ht="15" hidden="false" customHeight="false" outlineLevel="0" collapsed="false">
      <c r="A4198" s="27" t="s">
        <v>121</v>
      </c>
      <c r="B4198" s="27" t="s">
        <v>110</v>
      </c>
      <c r="C4198" s="27" t="s">
        <v>48</v>
      </c>
      <c r="D4198" s="27" t="s">
        <v>41</v>
      </c>
      <c r="E4198" s="28" t="n">
        <f aca="false">ROUND((SUMIFS(Acerto_Detalhado!$F$2:$F$433,Acerto_Detalhado!$A$2:$A$433,$C4198,Acerto_Detalhado!$B$2:$B$433,"Nov",Acerto_Detalhado!$C$2:$C$433,"Umidade"))*(SUMIFS(Acerto_Detalhado!$I$2:$I$433,Acerto_Detalhado!$A$2:$A$433,$D4198,Acerto_Detalhado!$B$2:$B$433,"Nov",Acerto_Detalhado!$C$2:$C$433,"Umidade")),2)</f>
        <v>0</v>
      </c>
    </row>
    <row r="4199" customFormat="false" ht="15" hidden="false" customHeight="false" outlineLevel="0" collapsed="false">
      <c r="A4199" s="27" t="s">
        <v>121</v>
      </c>
      <c r="B4199" s="27" t="s">
        <v>110</v>
      </c>
      <c r="C4199" s="27" t="s">
        <v>48</v>
      </c>
      <c r="D4199" s="27" t="s">
        <v>42</v>
      </c>
      <c r="E4199" s="28" t="n">
        <f aca="false">ROUND((SUMIFS(Acerto_Detalhado!$F$2:$F$433,Acerto_Detalhado!$A$2:$A$433,$C4199,Acerto_Detalhado!$B$2:$B$433,"Nov",Acerto_Detalhado!$C$2:$C$433,"Umidade"))*(SUMIFS(Acerto_Detalhado!$I$2:$I$433,Acerto_Detalhado!$A$2:$A$433,$D4199,Acerto_Detalhado!$B$2:$B$433,"Nov",Acerto_Detalhado!$C$2:$C$433,"Umidade")),2)</f>
        <v>0</v>
      </c>
    </row>
    <row r="4200" customFormat="false" ht="15" hidden="false" customHeight="false" outlineLevel="0" collapsed="false">
      <c r="A4200" s="27" t="s">
        <v>121</v>
      </c>
      <c r="B4200" s="27" t="s">
        <v>110</v>
      </c>
      <c r="C4200" s="27" t="s">
        <v>48</v>
      </c>
      <c r="D4200" s="27" t="s">
        <v>43</v>
      </c>
      <c r="E4200" s="28" t="n">
        <f aca="false">ROUND((SUMIFS(Acerto_Detalhado!$F$2:$F$433,Acerto_Detalhado!$A$2:$A$433,$C4200,Acerto_Detalhado!$B$2:$B$433,"Nov",Acerto_Detalhado!$C$2:$C$433,"Umidade"))*(SUMIFS(Acerto_Detalhado!$I$2:$I$433,Acerto_Detalhado!$A$2:$A$433,$D4200,Acerto_Detalhado!$B$2:$B$433,"Nov",Acerto_Detalhado!$C$2:$C$433,"Umidade")),2)</f>
        <v>0</v>
      </c>
    </row>
    <row r="4201" customFormat="false" ht="15" hidden="false" customHeight="false" outlineLevel="0" collapsed="false">
      <c r="A4201" s="27" t="s">
        <v>121</v>
      </c>
      <c r="B4201" s="27" t="s">
        <v>110</v>
      </c>
      <c r="C4201" s="27" t="s">
        <v>48</v>
      </c>
      <c r="D4201" s="27" t="s">
        <v>44</v>
      </c>
      <c r="E4201" s="28" t="n">
        <f aca="false">ROUND((SUMIFS(Acerto_Detalhado!$F$2:$F$433,Acerto_Detalhado!$A$2:$A$433,$C4201,Acerto_Detalhado!$B$2:$B$433,"Nov",Acerto_Detalhado!$C$2:$C$433,"Umidade"))*(SUMIFS(Acerto_Detalhado!$I$2:$I$433,Acerto_Detalhado!$A$2:$A$433,$D4201,Acerto_Detalhado!$B$2:$B$433,"Nov",Acerto_Detalhado!$C$2:$C$433,"Umidade")),2)</f>
        <v>0</v>
      </c>
    </row>
    <row r="4202" customFormat="false" ht="15" hidden="false" customHeight="false" outlineLevel="0" collapsed="false">
      <c r="A4202" s="27" t="s">
        <v>121</v>
      </c>
      <c r="B4202" s="27" t="s">
        <v>110</v>
      </c>
      <c r="C4202" s="27" t="s">
        <v>48</v>
      </c>
      <c r="D4202" s="27" t="s">
        <v>45</v>
      </c>
      <c r="E4202" s="28" t="n">
        <f aca="false">ROUND((SUMIFS(Acerto_Detalhado!$F$2:$F$433,Acerto_Detalhado!$A$2:$A$433,$C4202,Acerto_Detalhado!$B$2:$B$433,"Nov",Acerto_Detalhado!$C$2:$C$433,"Umidade"))*(SUMIFS(Acerto_Detalhado!$I$2:$I$433,Acerto_Detalhado!$A$2:$A$433,$D4202,Acerto_Detalhado!$B$2:$B$433,"Nov",Acerto_Detalhado!$C$2:$C$433,"Umidade")),2)</f>
        <v>0</v>
      </c>
    </row>
    <row r="4203" customFormat="false" ht="15" hidden="false" customHeight="false" outlineLevel="0" collapsed="false">
      <c r="A4203" s="27" t="s">
        <v>121</v>
      </c>
      <c r="B4203" s="27" t="s">
        <v>110</v>
      </c>
      <c r="C4203" s="27" t="s">
        <v>48</v>
      </c>
      <c r="D4203" s="27" t="s">
        <v>46</v>
      </c>
      <c r="E4203" s="28" t="n">
        <f aca="false">ROUND((SUMIFS(Acerto_Detalhado!$F$2:$F$433,Acerto_Detalhado!$A$2:$A$433,$C4203,Acerto_Detalhado!$B$2:$B$433,"Nov",Acerto_Detalhado!$C$2:$C$433,"Umidade"))*(SUMIFS(Acerto_Detalhado!$I$2:$I$433,Acerto_Detalhado!$A$2:$A$433,$D4203,Acerto_Detalhado!$B$2:$B$433,"Nov",Acerto_Detalhado!$C$2:$C$433,"Umidade")),2)</f>
        <v>0</v>
      </c>
    </row>
    <row r="4204" customFormat="false" ht="15" hidden="false" customHeight="false" outlineLevel="0" collapsed="false">
      <c r="A4204" s="27" t="s">
        <v>121</v>
      </c>
      <c r="B4204" s="27" t="s">
        <v>110</v>
      </c>
      <c r="C4204" s="27" t="s">
        <v>48</v>
      </c>
      <c r="D4204" s="27" t="s">
        <v>47</v>
      </c>
      <c r="E4204" s="28" t="n">
        <f aca="false">ROUND((SUMIFS(Acerto_Detalhado!$F$2:$F$433,Acerto_Detalhado!$A$2:$A$433,$C4204,Acerto_Detalhado!$B$2:$B$433,"Nov",Acerto_Detalhado!$C$2:$C$433,"Umidade"))*(SUMIFS(Acerto_Detalhado!$I$2:$I$433,Acerto_Detalhado!$A$2:$A$433,$D4204,Acerto_Detalhado!$B$2:$B$433,"Nov",Acerto_Detalhado!$C$2:$C$433,"Umidade")),2)</f>
        <v>0</v>
      </c>
    </row>
    <row r="4205" customFormat="false" ht="15" hidden="false" customHeight="false" outlineLevel="0" collapsed="false">
      <c r="A4205" s="27" t="s">
        <v>121</v>
      </c>
      <c r="B4205" s="27" t="s">
        <v>110</v>
      </c>
      <c r="C4205" s="27" t="s">
        <v>48</v>
      </c>
      <c r="D4205" s="27" t="s">
        <v>49</v>
      </c>
      <c r="E4205" s="28" t="n">
        <f aca="false">ROUND((SUMIFS(Acerto_Detalhado!$F$2:$F$433,Acerto_Detalhado!$A$2:$A$433,$C4205,Acerto_Detalhado!$B$2:$B$433,"Nov",Acerto_Detalhado!$C$2:$C$433,"Umidade"))*(SUMIFS(Acerto_Detalhado!$I$2:$I$433,Acerto_Detalhado!$A$2:$A$433,$D4205,Acerto_Detalhado!$B$2:$B$433,"Nov",Acerto_Detalhado!$C$2:$C$433,"Umidade")),2)</f>
        <v>0</v>
      </c>
    </row>
    <row r="4206" customFormat="false" ht="15" hidden="false" customHeight="false" outlineLevel="0" collapsed="false">
      <c r="A4206" s="27" t="s">
        <v>121</v>
      </c>
      <c r="B4206" s="27" t="s">
        <v>110</v>
      </c>
      <c r="C4206" s="27" t="s">
        <v>48</v>
      </c>
      <c r="D4206" s="27" t="s">
        <v>50</v>
      </c>
      <c r="E4206" s="28" t="n">
        <f aca="false">ROUND((SUMIFS(Acerto_Detalhado!$F$2:$F$433,Acerto_Detalhado!$A$2:$A$433,$C4206,Acerto_Detalhado!$B$2:$B$433,"Nov",Acerto_Detalhado!$C$2:$C$433,"Umidade"))*(SUMIFS(Acerto_Detalhado!$I$2:$I$433,Acerto_Detalhado!$A$2:$A$433,$D4206,Acerto_Detalhado!$B$2:$B$433,"Nov",Acerto_Detalhado!$C$2:$C$433,"Umidade")),2)</f>
        <v>0</v>
      </c>
    </row>
    <row r="4207" customFormat="false" ht="15" hidden="false" customHeight="false" outlineLevel="0" collapsed="false">
      <c r="A4207" s="27" t="s">
        <v>121</v>
      </c>
      <c r="B4207" s="27" t="s">
        <v>110</v>
      </c>
      <c r="C4207" s="27" t="s">
        <v>49</v>
      </c>
      <c r="D4207" s="27" t="s">
        <v>39</v>
      </c>
      <c r="E4207" s="28" t="n">
        <f aca="false">ROUND((SUMIFS(Acerto_Detalhado!$F$2:$F$433,Acerto_Detalhado!$A$2:$A$433,$C4207,Acerto_Detalhado!$B$2:$B$433,"Nov",Acerto_Detalhado!$C$2:$C$433,"Umidade"))*(SUMIFS(Acerto_Detalhado!$I$2:$I$433,Acerto_Detalhado!$A$2:$A$433,$D4207,Acerto_Detalhado!$B$2:$B$433,"Nov",Acerto_Detalhado!$C$2:$C$433,"Umidade")),2)</f>
        <v>0</v>
      </c>
    </row>
    <row r="4208" customFormat="false" ht="15" hidden="false" customHeight="false" outlineLevel="0" collapsed="false">
      <c r="A4208" s="27" t="s">
        <v>121</v>
      </c>
      <c r="B4208" s="27" t="s">
        <v>110</v>
      </c>
      <c r="C4208" s="27" t="s">
        <v>49</v>
      </c>
      <c r="D4208" s="27" t="s">
        <v>40</v>
      </c>
      <c r="E4208" s="28" t="n">
        <f aca="false">ROUND((SUMIFS(Acerto_Detalhado!$F$2:$F$433,Acerto_Detalhado!$A$2:$A$433,$C4208,Acerto_Detalhado!$B$2:$B$433,"Nov",Acerto_Detalhado!$C$2:$C$433,"Umidade"))*(SUMIFS(Acerto_Detalhado!$I$2:$I$433,Acerto_Detalhado!$A$2:$A$433,$D4208,Acerto_Detalhado!$B$2:$B$433,"Nov",Acerto_Detalhado!$C$2:$C$433,"Umidade")),2)</f>
        <v>0</v>
      </c>
    </row>
    <row r="4209" customFormat="false" ht="15" hidden="false" customHeight="false" outlineLevel="0" collapsed="false">
      <c r="A4209" s="27" t="s">
        <v>121</v>
      </c>
      <c r="B4209" s="27" t="s">
        <v>110</v>
      </c>
      <c r="C4209" s="27" t="s">
        <v>49</v>
      </c>
      <c r="D4209" s="27" t="s">
        <v>41</v>
      </c>
      <c r="E4209" s="28" t="n">
        <f aca="false">ROUND((SUMIFS(Acerto_Detalhado!$F$2:$F$433,Acerto_Detalhado!$A$2:$A$433,$C4209,Acerto_Detalhado!$B$2:$B$433,"Nov",Acerto_Detalhado!$C$2:$C$433,"Umidade"))*(SUMIFS(Acerto_Detalhado!$I$2:$I$433,Acerto_Detalhado!$A$2:$A$433,$D4209,Acerto_Detalhado!$B$2:$B$433,"Nov",Acerto_Detalhado!$C$2:$C$433,"Umidade")),2)</f>
        <v>0</v>
      </c>
    </row>
    <row r="4210" customFormat="false" ht="15" hidden="false" customHeight="false" outlineLevel="0" collapsed="false">
      <c r="A4210" s="27" t="s">
        <v>121</v>
      </c>
      <c r="B4210" s="27" t="s">
        <v>110</v>
      </c>
      <c r="C4210" s="27" t="s">
        <v>49</v>
      </c>
      <c r="D4210" s="27" t="s">
        <v>42</v>
      </c>
      <c r="E4210" s="28" t="n">
        <f aca="false">ROUND((SUMIFS(Acerto_Detalhado!$F$2:$F$433,Acerto_Detalhado!$A$2:$A$433,$C4210,Acerto_Detalhado!$B$2:$B$433,"Nov",Acerto_Detalhado!$C$2:$C$433,"Umidade"))*(SUMIFS(Acerto_Detalhado!$I$2:$I$433,Acerto_Detalhado!$A$2:$A$433,$D4210,Acerto_Detalhado!$B$2:$B$433,"Nov",Acerto_Detalhado!$C$2:$C$433,"Umidade")),2)</f>
        <v>0</v>
      </c>
    </row>
    <row r="4211" customFormat="false" ht="15" hidden="false" customHeight="false" outlineLevel="0" collapsed="false">
      <c r="A4211" s="27" t="s">
        <v>121</v>
      </c>
      <c r="B4211" s="27" t="s">
        <v>110</v>
      </c>
      <c r="C4211" s="27" t="s">
        <v>49</v>
      </c>
      <c r="D4211" s="27" t="s">
        <v>43</v>
      </c>
      <c r="E4211" s="28" t="n">
        <f aca="false">ROUND((SUMIFS(Acerto_Detalhado!$F$2:$F$433,Acerto_Detalhado!$A$2:$A$433,$C4211,Acerto_Detalhado!$B$2:$B$433,"Nov",Acerto_Detalhado!$C$2:$C$433,"Umidade"))*(SUMIFS(Acerto_Detalhado!$I$2:$I$433,Acerto_Detalhado!$A$2:$A$433,$D4211,Acerto_Detalhado!$B$2:$B$433,"Nov",Acerto_Detalhado!$C$2:$C$433,"Umidade")),2)</f>
        <v>0</v>
      </c>
    </row>
    <row r="4212" customFormat="false" ht="15" hidden="false" customHeight="false" outlineLevel="0" collapsed="false">
      <c r="A4212" s="27" t="s">
        <v>121</v>
      </c>
      <c r="B4212" s="27" t="s">
        <v>110</v>
      </c>
      <c r="C4212" s="27" t="s">
        <v>49</v>
      </c>
      <c r="D4212" s="27" t="s">
        <v>44</v>
      </c>
      <c r="E4212" s="28" t="n">
        <f aca="false">ROUND((SUMIFS(Acerto_Detalhado!$F$2:$F$433,Acerto_Detalhado!$A$2:$A$433,$C4212,Acerto_Detalhado!$B$2:$B$433,"Nov",Acerto_Detalhado!$C$2:$C$433,"Umidade"))*(SUMIFS(Acerto_Detalhado!$I$2:$I$433,Acerto_Detalhado!$A$2:$A$433,$D4212,Acerto_Detalhado!$B$2:$B$433,"Nov",Acerto_Detalhado!$C$2:$C$433,"Umidade")),2)</f>
        <v>0</v>
      </c>
    </row>
    <row r="4213" customFormat="false" ht="15" hidden="false" customHeight="false" outlineLevel="0" collapsed="false">
      <c r="A4213" s="27" t="s">
        <v>121</v>
      </c>
      <c r="B4213" s="27" t="s">
        <v>110</v>
      </c>
      <c r="C4213" s="27" t="s">
        <v>49</v>
      </c>
      <c r="D4213" s="27" t="s">
        <v>45</v>
      </c>
      <c r="E4213" s="28" t="n">
        <f aca="false">ROUND((SUMIFS(Acerto_Detalhado!$F$2:$F$433,Acerto_Detalhado!$A$2:$A$433,$C4213,Acerto_Detalhado!$B$2:$B$433,"Nov",Acerto_Detalhado!$C$2:$C$433,"Umidade"))*(SUMIFS(Acerto_Detalhado!$I$2:$I$433,Acerto_Detalhado!$A$2:$A$433,$D4213,Acerto_Detalhado!$B$2:$B$433,"Nov",Acerto_Detalhado!$C$2:$C$433,"Umidade")),2)</f>
        <v>0</v>
      </c>
    </row>
    <row r="4214" customFormat="false" ht="15" hidden="false" customHeight="false" outlineLevel="0" collapsed="false">
      <c r="A4214" s="27" t="s">
        <v>121</v>
      </c>
      <c r="B4214" s="27" t="s">
        <v>110</v>
      </c>
      <c r="C4214" s="27" t="s">
        <v>49</v>
      </c>
      <c r="D4214" s="27" t="s">
        <v>46</v>
      </c>
      <c r="E4214" s="28" t="n">
        <f aca="false">ROUND((SUMIFS(Acerto_Detalhado!$F$2:$F$433,Acerto_Detalhado!$A$2:$A$433,$C4214,Acerto_Detalhado!$B$2:$B$433,"Nov",Acerto_Detalhado!$C$2:$C$433,"Umidade"))*(SUMIFS(Acerto_Detalhado!$I$2:$I$433,Acerto_Detalhado!$A$2:$A$433,$D4214,Acerto_Detalhado!$B$2:$B$433,"Nov",Acerto_Detalhado!$C$2:$C$433,"Umidade")),2)</f>
        <v>0</v>
      </c>
    </row>
    <row r="4215" customFormat="false" ht="15" hidden="false" customHeight="false" outlineLevel="0" collapsed="false">
      <c r="A4215" s="27" t="s">
        <v>121</v>
      </c>
      <c r="B4215" s="27" t="s">
        <v>110</v>
      </c>
      <c r="C4215" s="27" t="s">
        <v>49</v>
      </c>
      <c r="D4215" s="27" t="s">
        <v>47</v>
      </c>
      <c r="E4215" s="28" t="n">
        <f aca="false">ROUND((SUMIFS(Acerto_Detalhado!$F$2:$F$433,Acerto_Detalhado!$A$2:$A$433,$C4215,Acerto_Detalhado!$B$2:$B$433,"Nov",Acerto_Detalhado!$C$2:$C$433,"Umidade"))*(SUMIFS(Acerto_Detalhado!$I$2:$I$433,Acerto_Detalhado!$A$2:$A$433,$D4215,Acerto_Detalhado!$B$2:$B$433,"Nov",Acerto_Detalhado!$C$2:$C$433,"Umidade")),2)</f>
        <v>0</v>
      </c>
    </row>
    <row r="4216" customFormat="false" ht="15" hidden="false" customHeight="false" outlineLevel="0" collapsed="false">
      <c r="A4216" s="27" t="s">
        <v>121</v>
      </c>
      <c r="B4216" s="27" t="s">
        <v>110</v>
      </c>
      <c r="C4216" s="27" t="s">
        <v>49</v>
      </c>
      <c r="D4216" s="27" t="s">
        <v>48</v>
      </c>
      <c r="E4216" s="28" t="n">
        <f aca="false">ROUND((SUMIFS(Acerto_Detalhado!$F$2:$F$433,Acerto_Detalhado!$A$2:$A$433,$C4216,Acerto_Detalhado!$B$2:$B$433,"Nov",Acerto_Detalhado!$C$2:$C$433,"Umidade"))*(SUMIFS(Acerto_Detalhado!$I$2:$I$433,Acerto_Detalhado!$A$2:$A$433,$D4216,Acerto_Detalhado!$B$2:$B$433,"Nov",Acerto_Detalhado!$C$2:$C$433,"Umidade")),2)</f>
        <v>0</v>
      </c>
    </row>
    <row r="4217" customFormat="false" ht="15" hidden="false" customHeight="false" outlineLevel="0" collapsed="false">
      <c r="A4217" s="27" t="s">
        <v>121</v>
      </c>
      <c r="B4217" s="27" t="s">
        <v>110</v>
      </c>
      <c r="C4217" s="27" t="s">
        <v>49</v>
      </c>
      <c r="D4217" s="27" t="s">
        <v>50</v>
      </c>
      <c r="E4217" s="28" t="n">
        <f aca="false">ROUND((SUMIFS(Acerto_Detalhado!$F$2:$F$433,Acerto_Detalhado!$A$2:$A$433,$C4217,Acerto_Detalhado!$B$2:$B$433,"Nov",Acerto_Detalhado!$C$2:$C$433,"Umidade"))*(SUMIFS(Acerto_Detalhado!$I$2:$I$433,Acerto_Detalhado!$A$2:$A$433,$D4217,Acerto_Detalhado!$B$2:$B$433,"Nov",Acerto_Detalhado!$C$2:$C$433,"Umidade")),2)</f>
        <v>0</v>
      </c>
    </row>
    <row r="4218" customFormat="false" ht="15" hidden="false" customHeight="false" outlineLevel="0" collapsed="false">
      <c r="A4218" s="27" t="s">
        <v>121</v>
      </c>
      <c r="B4218" s="27" t="s">
        <v>110</v>
      </c>
      <c r="C4218" s="27" t="s">
        <v>50</v>
      </c>
      <c r="D4218" s="27" t="s">
        <v>39</v>
      </c>
      <c r="E4218" s="28" t="n">
        <f aca="false">ROUND((SUMIFS(Acerto_Detalhado!$F$2:$F$433,Acerto_Detalhado!$A$2:$A$433,$C4218,Acerto_Detalhado!$B$2:$B$433,"Nov",Acerto_Detalhado!$C$2:$C$433,"Umidade"))*(SUMIFS(Acerto_Detalhado!$I$2:$I$433,Acerto_Detalhado!$A$2:$A$433,$D4218,Acerto_Detalhado!$B$2:$B$433,"Nov",Acerto_Detalhado!$C$2:$C$433,"Umidade")),2)</f>
        <v>0</v>
      </c>
    </row>
    <row r="4219" customFormat="false" ht="15" hidden="false" customHeight="false" outlineLevel="0" collapsed="false">
      <c r="A4219" s="27" t="s">
        <v>121</v>
      </c>
      <c r="B4219" s="27" t="s">
        <v>110</v>
      </c>
      <c r="C4219" s="27" t="s">
        <v>50</v>
      </c>
      <c r="D4219" s="27" t="s">
        <v>40</v>
      </c>
      <c r="E4219" s="28" t="n">
        <f aca="false">ROUND((SUMIFS(Acerto_Detalhado!$F$2:$F$433,Acerto_Detalhado!$A$2:$A$433,$C4219,Acerto_Detalhado!$B$2:$B$433,"Nov",Acerto_Detalhado!$C$2:$C$433,"Umidade"))*(SUMIFS(Acerto_Detalhado!$I$2:$I$433,Acerto_Detalhado!$A$2:$A$433,$D4219,Acerto_Detalhado!$B$2:$B$433,"Nov",Acerto_Detalhado!$C$2:$C$433,"Umidade")),2)</f>
        <v>0</v>
      </c>
    </row>
    <row r="4220" customFormat="false" ht="15" hidden="false" customHeight="false" outlineLevel="0" collapsed="false">
      <c r="A4220" s="27" t="s">
        <v>121</v>
      </c>
      <c r="B4220" s="27" t="s">
        <v>110</v>
      </c>
      <c r="C4220" s="27" t="s">
        <v>50</v>
      </c>
      <c r="D4220" s="27" t="s">
        <v>41</v>
      </c>
      <c r="E4220" s="28" t="n">
        <f aca="false">ROUND((SUMIFS(Acerto_Detalhado!$F$2:$F$433,Acerto_Detalhado!$A$2:$A$433,$C4220,Acerto_Detalhado!$B$2:$B$433,"Nov",Acerto_Detalhado!$C$2:$C$433,"Umidade"))*(SUMIFS(Acerto_Detalhado!$I$2:$I$433,Acerto_Detalhado!$A$2:$A$433,$D4220,Acerto_Detalhado!$B$2:$B$433,"Nov",Acerto_Detalhado!$C$2:$C$433,"Umidade")),2)</f>
        <v>0</v>
      </c>
    </row>
    <row r="4221" customFormat="false" ht="15" hidden="false" customHeight="false" outlineLevel="0" collapsed="false">
      <c r="A4221" s="27" t="s">
        <v>121</v>
      </c>
      <c r="B4221" s="27" t="s">
        <v>110</v>
      </c>
      <c r="C4221" s="27" t="s">
        <v>50</v>
      </c>
      <c r="D4221" s="27" t="s">
        <v>42</v>
      </c>
      <c r="E4221" s="28" t="n">
        <f aca="false">ROUND((SUMIFS(Acerto_Detalhado!$F$2:$F$433,Acerto_Detalhado!$A$2:$A$433,$C4221,Acerto_Detalhado!$B$2:$B$433,"Nov",Acerto_Detalhado!$C$2:$C$433,"Umidade"))*(SUMIFS(Acerto_Detalhado!$I$2:$I$433,Acerto_Detalhado!$A$2:$A$433,$D4221,Acerto_Detalhado!$B$2:$B$433,"Nov",Acerto_Detalhado!$C$2:$C$433,"Umidade")),2)</f>
        <v>0</v>
      </c>
    </row>
    <row r="4222" customFormat="false" ht="15" hidden="false" customHeight="false" outlineLevel="0" collapsed="false">
      <c r="A4222" s="27" t="s">
        <v>121</v>
      </c>
      <c r="B4222" s="27" t="s">
        <v>110</v>
      </c>
      <c r="C4222" s="27" t="s">
        <v>50</v>
      </c>
      <c r="D4222" s="27" t="s">
        <v>43</v>
      </c>
      <c r="E4222" s="28" t="n">
        <f aca="false">ROUND((SUMIFS(Acerto_Detalhado!$F$2:$F$433,Acerto_Detalhado!$A$2:$A$433,$C4222,Acerto_Detalhado!$B$2:$B$433,"Nov",Acerto_Detalhado!$C$2:$C$433,"Umidade"))*(SUMIFS(Acerto_Detalhado!$I$2:$I$433,Acerto_Detalhado!$A$2:$A$433,$D4222,Acerto_Detalhado!$B$2:$B$433,"Nov",Acerto_Detalhado!$C$2:$C$433,"Umidade")),2)</f>
        <v>0</v>
      </c>
    </row>
    <row r="4223" customFormat="false" ht="15" hidden="false" customHeight="false" outlineLevel="0" collapsed="false">
      <c r="A4223" s="27" t="s">
        <v>121</v>
      </c>
      <c r="B4223" s="27" t="s">
        <v>110</v>
      </c>
      <c r="C4223" s="27" t="s">
        <v>50</v>
      </c>
      <c r="D4223" s="27" t="s">
        <v>44</v>
      </c>
      <c r="E4223" s="28" t="n">
        <f aca="false">ROUND((SUMIFS(Acerto_Detalhado!$F$2:$F$433,Acerto_Detalhado!$A$2:$A$433,$C4223,Acerto_Detalhado!$B$2:$B$433,"Nov",Acerto_Detalhado!$C$2:$C$433,"Umidade"))*(SUMIFS(Acerto_Detalhado!$I$2:$I$433,Acerto_Detalhado!$A$2:$A$433,$D4223,Acerto_Detalhado!$B$2:$B$433,"Nov",Acerto_Detalhado!$C$2:$C$433,"Umidade")),2)</f>
        <v>0</v>
      </c>
    </row>
    <row r="4224" customFormat="false" ht="15" hidden="false" customHeight="false" outlineLevel="0" collapsed="false">
      <c r="A4224" s="27" t="s">
        <v>121</v>
      </c>
      <c r="B4224" s="27" t="s">
        <v>110</v>
      </c>
      <c r="C4224" s="27" t="s">
        <v>50</v>
      </c>
      <c r="D4224" s="27" t="s">
        <v>45</v>
      </c>
      <c r="E4224" s="28" t="n">
        <f aca="false">ROUND((SUMIFS(Acerto_Detalhado!$F$2:$F$433,Acerto_Detalhado!$A$2:$A$433,$C4224,Acerto_Detalhado!$B$2:$B$433,"Nov",Acerto_Detalhado!$C$2:$C$433,"Umidade"))*(SUMIFS(Acerto_Detalhado!$I$2:$I$433,Acerto_Detalhado!$A$2:$A$433,$D4224,Acerto_Detalhado!$B$2:$B$433,"Nov",Acerto_Detalhado!$C$2:$C$433,"Umidade")),2)</f>
        <v>0</v>
      </c>
    </row>
    <row r="4225" customFormat="false" ht="15" hidden="false" customHeight="false" outlineLevel="0" collapsed="false">
      <c r="A4225" s="27" t="s">
        <v>121</v>
      </c>
      <c r="B4225" s="27" t="s">
        <v>110</v>
      </c>
      <c r="C4225" s="27" t="s">
        <v>50</v>
      </c>
      <c r="D4225" s="27" t="s">
        <v>46</v>
      </c>
      <c r="E4225" s="28" t="n">
        <f aca="false">ROUND((SUMIFS(Acerto_Detalhado!$F$2:$F$433,Acerto_Detalhado!$A$2:$A$433,$C4225,Acerto_Detalhado!$B$2:$B$433,"Nov",Acerto_Detalhado!$C$2:$C$433,"Umidade"))*(SUMIFS(Acerto_Detalhado!$I$2:$I$433,Acerto_Detalhado!$A$2:$A$433,$D4225,Acerto_Detalhado!$B$2:$B$433,"Nov",Acerto_Detalhado!$C$2:$C$433,"Umidade")),2)</f>
        <v>0</v>
      </c>
    </row>
    <row r="4226" customFormat="false" ht="15" hidden="false" customHeight="false" outlineLevel="0" collapsed="false">
      <c r="A4226" s="27" t="s">
        <v>121</v>
      </c>
      <c r="B4226" s="27" t="s">
        <v>110</v>
      </c>
      <c r="C4226" s="27" t="s">
        <v>50</v>
      </c>
      <c r="D4226" s="27" t="s">
        <v>47</v>
      </c>
      <c r="E4226" s="28" t="n">
        <f aca="false">ROUND((SUMIFS(Acerto_Detalhado!$F$2:$F$433,Acerto_Detalhado!$A$2:$A$433,$C4226,Acerto_Detalhado!$B$2:$B$433,"Nov",Acerto_Detalhado!$C$2:$C$433,"Umidade"))*(SUMIFS(Acerto_Detalhado!$I$2:$I$433,Acerto_Detalhado!$A$2:$A$433,$D4226,Acerto_Detalhado!$B$2:$B$433,"Nov",Acerto_Detalhado!$C$2:$C$433,"Umidade")),2)</f>
        <v>0</v>
      </c>
    </row>
    <row r="4227" customFormat="false" ht="15" hidden="false" customHeight="false" outlineLevel="0" collapsed="false">
      <c r="A4227" s="27" t="s">
        <v>121</v>
      </c>
      <c r="B4227" s="27" t="s">
        <v>110</v>
      </c>
      <c r="C4227" s="27" t="s">
        <v>50</v>
      </c>
      <c r="D4227" s="27" t="s">
        <v>48</v>
      </c>
      <c r="E4227" s="28" t="n">
        <f aca="false">ROUND((SUMIFS(Acerto_Detalhado!$F$2:$F$433,Acerto_Detalhado!$A$2:$A$433,$C4227,Acerto_Detalhado!$B$2:$B$433,"Nov",Acerto_Detalhado!$C$2:$C$433,"Umidade"))*(SUMIFS(Acerto_Detalhado!$I$2:$I$433,Acerto_Detalhado!$A$2:$A$433,$D4227,Acerto_Detalhado!$B$2:$B$433,"Nov",Acerto_Detalhado!$C$2:$C$433,"Umidade")),2)</f>
        <v>0</v>
      </c>
    </row>
    <row r="4228" customFormat="false" ht="15" hidden="false" customHeight="false" outlineLevel="0" collapsed="false">
      <c r="A4228" s="27" t="s">
        <v>121</v>
      </c>
      <c r="B4228" s="27" t="s">
        <v>110</v>
      </c>
      <c r="C4228" s="27" t="s">
        <v>50</v>
      </c>
      <c r="D4228" s="27" t="s">
        <v>49</v>
      </c>
      <c r="E4228" s="28" t="n">
        <f aca="false">ROUND((SUMIFS(Acerto_Detalhado!$F$2:$F$433,Acerto_Detalhado!$A$2:$A$433,$C4228,Acerto_Detalhado!$B$2:$B$433,"Nov",Acerto_Detalhado!$C$2:$C$433,"Umidade"))*(SUMIFS(Acerto_Detalhado!$I$2:$I$433,Acerto_Detalhado!$A$2:$A$433,$D4228,Acerto_Detalhado!$B$2:$B$433,"Nov",Acerto_Detalhado!$C$2:$C$433,"Umidade")),2)</f>
        <v>0</v>
      </c>
    </row>
    <row r="4229" customFormat="false" ht="15" hidden="false" customHeight="false" outlineLevel="0" collapsed="false">
      <c r="A4229" s="27" t="s">
        <v>121</v>
      </c>
      <c r="B4229" s="27" t="s">
        <v>111</v>
      </c>
      <c r="C4229" s="27" t="s">
        <v>39</v>
      </c>
      <c r="D4229" s="27" t="s">
        <v>40</v>
      </c>
      <c r="E4229" s="28" t="n">
        <f aca="false">ROUND((SUMIFS(Acerto_Detalhado!$F$2:$F$433,Acerto_Detalhado!$A$2:$A$433,$C4229,Acerto_Detalhado!$B$2:$B$433,"Nov",Acerto_Detalhado!$C$2:$C$433,"Fibra"))*(SUMIFS(Acerto_Detalhado!$I$2:$I$433,Acerto_Detalhado!$A$2:$A$433,$D4229,Acerto_Detalhado!$B$2:$B$433,"Nov",Acerto_Detalhado!$C$2:$C$433,"Fibra")),2)</f>
        <v>0</v>
      </c>
    </row>
    <row r="4230" customFormat="false" ht="15" hidden="false" customHeight="false" outlineLevel="0" collapsed="false">
      <c r="A4230" s="27" t="s">
        <v>121</v>
      </c>
      <c r="B4230" s="27" t="s">
        <v>111</v>
      </c>
      <c r="C4230" s="27" t="s">
        <v>39</v>
      </c>
      <c r="D4230" s="27" t="s">
        <v>41</v>
      </c>
      <c r="E4230" s="28" t="n">
        <f aca="false">ROUND((SUMIFS(Acerto_Detalhado!$F$2:$F$433,Acerto_Detalhado!$A$2:$A$433,$C4230,Acerto_Detalhado!$B$2:$B$433,"Nov",Acerto_Detalhado!$C$2:$C$433,"Fibra"))*(SUMIFS(Acerto_Detalhado!$I$2:$I$433,Acerto_Detalhado!$A$2:$A$433,$D4230,Acerto_Detalhado!$B$2:$B$433,"Nov",Acerto_Detalhado!$C$2:$C$433,"Fibra")),2)</f>
        <v>0</v>
      </c>
    </row>
    <row r="4231" customFormat="false" ht="15" hidden="false" customHeight="false" outlineLevel="0" collapsed="false">
      <c r="A4231" s="27" t="s">
        <v>121</v>
      </c>
      <c r="B4231" s="27" t="s">
        <v>111</v>
      </c>
      <c r="C4231" s="27" t="s">
        <v>39</v>
      </c>
      <c r="D4231" s="27" t="s">
        <v>42</v>
      </c>
      <c r="E4231" s="28" t="n">
        <f aca="false">ROUND((SUMIFS(Acerto_Detalhado!$F$2:$F$433,Acerto_Detalhado!$A$2:$A$433,$C4231,Acerto_Detalhado!$B$2:$B$433,"Nov",Acerto_Detalhado!$C$2:$C$433,"Fibra"))*(SUMIFS(Acerto_Detalhado!$I$2:$I$433,Acerto_Detalhado!$A$2:$A$433,$D4231,Acerto_Detalhado!$B$2:$B$433,"Nov",Acerto_Detalhado!$C$2:$C$433,"Fibra")),2)</f>
        <v>0</v>
      </c>
    </row>
    <row r="4232" customFormat="false" ht="15" hidden="false" customHeight="false" outlineLevel="0" collapsed="false">
      <c r="A4232" s="27" t="s">
        <v>121</v>
      </c>
      <c r="B4232" s="27" t="s">
        <v>111</v>
      </c>
      <c r="C4232" s="27" t="s">
        <v>39</v>
      </c>
      <c r="D4232" s="27" t="s">
        <v>43</v>
      </c>
      <c r="E4232" s="28" t="n">
        <f aca="false">ROUND((SUMIFS(Acerto_Detalhado!$F$2:$F$433,Acerto_Detalhado!$A$2:$A$433,$C4232,Acerto_Detalhado!$B$2:$B$433,"Nov",Acerto_Detalhado!$C$2:$C$433,"Fibra"))*(SUMIFS(Acerto_Detalhado!$I$2:$I$433,Acerto_Detalhado!$A$2:$A$433,$D4232,Acerto_Detalhado!$B$2:$B$433,"Nov",Acerto_Detalhado!$C$2:$C$433,"Fibra")),2)</f>
        <v>0</v>
      </c>
    </row>
    <row r="4233" customFormat="false" ht="15" hidden="false" customHeight="false" outlineLevel="0" collapsed="false">
      <c r="A4233" s="27" t="s">
        <v>121</v>
      </c>
      <c r="B4233" s="27" t="s">
        <v>111</v>
      </c>
      <c r="C4233" s="27" t="s">
        <v>39</v>
      </c>
      <c r="D4233" s="27" t="s">
        <v>44</v>
      </c>
      <c r="E4233" s="28" t="n">
        <f aca="false">ROUND((SUMIFS(Acerto_Detalhado!$F$2:$F$433,Acerto_Detalhado!$A$2:$A$433,$C4233,Acerto_Detalhado!$B$2:$B$433,"Nov",Acerto_Detalhado!$C$2:$C$433,"Fibra"))*(SUMIFS(Acerto_Detalhado!$I$2:$I$433,Acerto_Detalhado!$A$2:$A$433,$D4233,Acerto_Detalhado!$B$2:$B$433,"Nov",Acerto_Detalhado!$C$2:$C$433,"Fibra")),2)</f>
        <v>0</v>
      </c>
    </row>
    <row r="4234" customFormat="false" ht="15" hidden="false" customHeight="false" outlineLevel="0" collapsed="false">
      <c r="A4234" s="27" t="s">
        <v>121</v>
      </c>
      <c r="B4234" s="27" t="s">
        <v>111</v>
      </c>
      <c r="C4234" s="27" t="s">
        <v>39</v>
      </c>
      <c r="D4234" s="27" t="s">
        <v>45</v>
      </c>
      <c r="E4234" s="28" t="n">
        <f aca="false">ROUND((SUMIFS(Acerto_Detalhado!$F$2:$F$433,Acerto_Detalhado!$A$2:$A$433,$C4234,Acerto_Detalhado!$B$2:$B$433,"Nov",Acerto_Detalhado!$C$2:$C$433,"Fibra"))*(SUMIFS(Acerto_Detalhado!$I$2:$I$433,Acerto_Detalhado!$A$2:$A$433,$D4234,Acerto_Detalhado!$B$2:$B$433,"Nov",Acerto_Detalhado!$C$2:$C$433,"Fibra")),2)</f>
        <v>0</v>
      </c>
    </row>
    <row r="4235" customFormat="false" ht="15" hidden="false" customHeight="false" outlineLevel="0" collapsed="false">
      <c r="A4235" s="27" t="s">
        <v>121</v>
      </c>
      <c r="B4235" s="27" t="s">
        <v>111</v>
      </c>
      <c r="C4235" s="27" t="s">
        <v>39</v>
      </c>
      <c r="D4235" s="27" t="s">
        <v>46</v>
      </c>
      <c r="E4235" s="28" t="n">
        <f aca="false">ROUND((SUMIFS(Acerto_Detalhado!$F$2:$F$433,Acerto_Detalhado!$A$2:$A$433,$C4235,Acerto_Detalhado!$B$2:$B$433,"Nov",Acerto_Detalhado!$C$2:$C$433,"Fibra"))*(SUMIFS(Acerto_Detalhado!$I$2:$I$433,Acerto_Detalhado!$A$2:$A$433,$D4235,Acerto_Detalhado!$B$2:$B$433,"Nov",Acerto_Detalhado!$C$2:$C$433,"Fibra")),2)</f>
        <v>0</v>
      </c>
    </row>
    <row r="4236" customFormat="false" ht="15" hidden="false" customHeight="false" outlineLevel="0" collapsed="false">
      <c r="A4236" s="27" t="s">
        <v>121</v>
      </c>
      <c r="B4236" s="27" t="s">
        <v>111</v>
      </c>
      <c r="C4236" s="27" t="s">
        <v>39</v>
      </c>
      <c r="D4236" s="27" t="s">
        <v>47</v>
      </c>
      <c r="E4236" s="28" t="n">
        <f aca="false">ROUND((SUMIFS(Acerto_Detalhado!$F$2:$F$433,Acerto_Detalhado!$A$2:$A$433,$C4236,Acerto_Detalhado!$B$2:$B$433,"Nov",Acerto_Detalhado!$C$2:$C$433,"Fibra"))*(SUMIFS(Acerto_Detalhado!$I$2:$I$433,Acerto_Detalhado!$A$2:$A$433,$D4236,Acerto_Detalhado!$B$2:$B$433,"Nov",Acerto_Detalhado!$C$2:$C$433,"Fibra")),2)</f>
        <v>0</v>
      </c>
    </row>
    <row r="4237" customFormat="false" ht="15" hidden="false" customHeight="false" outlineLevel="0" collapsed="false">
      <c r="A4237" s="27" t="s">
        <v>121</v>
      </c>
      <c r="B4237" s="27" t="s">
        <v>111</v>
      </c>
      <c r="C4237" s="27" t="s">
        <v>39</v>
      </c>
      <c r="D4237" s="27" t="s">
        <v>48</v>
      </c>
      <c r="E4237" s="28" t="n">
        <f aca="false">ROUND((SUMIFS(Acerto_Detalhado!$F$2:$F$433,Acerto_Detalhado!$A$2:$A$433,$C4237,Acerto_Detalhado!$B$2:$B$433,"Nov",Acerto_Detalhado!$C$2:$C$433,"Fibra"))*(SUMIFS(Acerto_Detalhado!$I$2:$I$433,Acerto_Detalhado!$A$2:$A$433,$D4237,Acerto_Detalhado!$B$2:$B$433,"Nov",Acerto_Detalhado!$C$2:$C$433,"Fibra")),2)</f>
        <v>0</v>
      </c>
    </row>
    <row r="4238" customFormat="false" ht="15" hidden="false" customHeight="false" outlineLevel="0" collapsed="false">
      <c r="A4238" s="27" t="s">
        <v>121</v>
      </c>
      <c r="B4238" s="27" t="s">
        <v>111</v>
      </c>
      <c r="C4238" s="27" t="s">
        <v>39</v>
      </c>
      <c r="D4238" s="27" t="s">
        <v>49</v>
      </c>
      <c r="E4238" s="28" t="n">
        <f aca="false">ROUND((SUMIFS(Acerto_Detalhado!$F$2:$F$433,Acerto_Detalhado!$A$2:$A$433,$C4238,Acerto_Detalhado!$B$2:$B$433,"Nov",Acerto_Detalhado!$C$2:$C$433,"Fibra"))*(SUMIFS(Acerto_Detalhado!$I$2:$I$433,Acerto_Detalhado!$A$2:$A$433,$D4238,Acerto_Detalhado!$B$2:$B$433,"Nov",Acerto_Detalhado!$C$2:$C$433,"Fibra")),2)</f>
        <v>0</v>
      </c>
    </row>
    <row r="4239" customFormat="false" ht="15" hidden="false" customHeight="false" outlineLevel="0" collapsed="false">
      <c r="A4239" s="27" t="s">
        <v>121</v>
      </c>
      <c r="B4239" s="27" t="s">
        <v>111</v>
      </c>
      <c r="C4239" s="27" t="s">
        <v>39</v>
      </c>
      <c r="D4239" s="27" t="s">
        <v>50</v>
      </c>
      <c r="E4239" s="28" t="n">
        <f aca="false">ROUND((SUMIFS(Acerto_Detalhado!$F$2:$F$433,Acerto_Detalhado!$A$2:$A$433,$C4239,Acerto_Detalhado!$B$2:$B$433,"Nov",Acerto_Detalhado!$C$2:$C$433,"Fibra"))*(SUMIFS(Acerto_Detalhado!$I$2:$I$433,Acerto_Detalhado!$A$2:$A$433,$D4239,Acerto_Detalhado!$B$2:$B$433,"Nov",Acerto_Detalhado!$C$2:$C$433,"Fibra")),2)</f>
        <v>0</v>
      </c>
    </row>
    <row r="4240" customFormat="false" ht="15" hidden="false" customHeight="false" outlineLevel="0" collapsed="false">
      <c r="A4240" s="27" t="s">
        <v>121</v>
      </c>
      <c r="B4240" s="27" t="s">
        <v>111</v>
      </c>
      <c r="C4240" s="27" t="s">
        <v>40</v>
      </c>
      <c r="D4240" s="27" t="s">
        <v>39</v>
      </c>
      <c r="E4240" s="28" t="n">
        <f aca="false">ROUND((SUMIFS(Acerto_Detalhado!$F$2:$F$433,Acerto_Detalhado!$A$2:$A$433,$C4240,Acerto_Detalhado!$B$2:$B$433,"Nov",Acerto_Detalhado!$C$2:$C$433,"Fibra"))*(SUMIFS(Acerto_Detalhado!$I$2:$I$433,Acerto_Detalhado!$A$2:$A$433,$D4240,Acerto_Detalhado!$B$2:$B$433,"Nov",Acerto_Detalhado!$C$2:$C$433,"Fibra")),2)</f>
        <v>0</v>
      </c>
    </row>
    <row r="4241" customFormat="false" ht="15" hidden="false" customHeight="false" outlineLevel="0" collapsed="false">
      <c r="A4241" s="27" t="s">
        <v>121</v>
      </c>
      <c r="B4241" s="27" t="s">
        <v>111</v>
      </c>
      <c r="C4241" s="27" t="s">
        <v>40</v>
      </c>
      <c r="D4241" s="27" t="s">
        <v>41</v>
      </c>
      <c r="E4241" s="28" t="n">
        <f aca="false">ROUND((SUMIFS(Acerto_Detalhado!$F$2:$F$433,Acerto_Detalhado!$A$2:$A$433,$C4241,Acerto_Detalhado!$B$2:$B$433,"Nov",Acerto_Detalhado!$C$2:$C$433,"Fibra"))*(SUMIFS(Acerto_Detalhado!$I$2:$I$433,Acerto_Detalhado!$A$2:$A$433,$D4241,Acerto_Detalhado!$B$2:$B$433,"Nov",Acerto_Detalhado!$C$2:$C$433,"Fibra")),2)</f>
        <v>0</v>
      </c>
    </row>
    <row r="4242" customFormat="false" ht="15" hidden="false" customHeight="false" outlineLevel="0" collapsed="false">
      <c r="A4242" s="27" t="s">
        <v>121</v>
      </c>
      <c r="B4242" s="27" t="s">
        <v>111</v>
      </c>
      <c r="C4242" s="27" t="s">
        <v>40</v>
      </c>
      <c r="D4242" s="27" t="s">
        <v>42</v>
      </c>
      <c r="E4242" s="28" t="n">
        <f aca="false">ROUND((SUMIFS(Acerto_Detalhado!$F$2:$F$433,Acerto_Detalhado!$A$2:$A$433,$C4242,Acerto_Detalhado!$B$2:$B$433,"Nov",Acerto_Detalhado!$C$2:$C$433,"Fibra"))*(SUMIFS(Acerto_Detalhado!$I$2:$I$433,Acerto_Detalhado!$A$2:$A$433,$D4242,Acerto_Detalhado!$B$2:$B$433,"Nov",Acerto_Detalhado!$C$2:$C$433,"Fibra")),2)</f>
        <v>0</v>
      </c>
    </row>
    <row r="4243" customFormat="false" ht="15" hidden="false" customHeight="false" outlineLevel="0" collapsed="false">
      <c r="A4243" s="27" t="s">
        <v>121</v>
      </c>
      <c r="B4243" s="27" t="s">
        <v>111</v>
      </c>
      <c r="C4243" s="27" t="s">
        <v>40</v>
      </c>
      <c r="D4243" s="27" t="s">
        <v>43</v>
      </c>
      <c r="E4243" s="28" t="n">
        <f aca="false">ROUND((SUMIFS(Acerto_Detalhado!$F$2:$F$433,Acerto_Detalhado!$A$2:$A$433,$C4243,Acerto_Detalhado!$B$2:$B$433,"Nov",Acerto_Detalhado!$C$2:$C$433,"Fibra"))*(SUMIFS(Acerto_Detalhado!$I$2:$I$433,Acerto_Detalhado!$A$2:$A$433,$D4243,Acerto_Detalhado!$B$2:$B$433,"Nov",Acerto_Detalhado!$C$2:$C$433,"Fibra")),2)</f>
        <v>0</v>
      </c>
    </row>
    <row r="4244" customFormat="false" ht="15" hidden="false" customHeight="false" outlineLevel="0" collapsed="false">
      <c r="A4244" s="27" t="s">
        <v>121</v>
      </c>
      <c r="B4244" s="27" t="s">
        <v>111</v>
      </c>
      <c r="C4244" s="27" t="s">
        <v>40</v>
      </c>
      <c r="D4244" s="27" t="s">
        <v>44</v>
      </c>
      <c r="E4244" s="28" t="n">
        <f aca="false">ROUND((SUMIFS(Acerto_Detalhado!$F$2:$F$433,Acerto_Detalhado!$A$2:$A$433,$C4244,Acerto_Detalhado!$B$2:$B$433,"Nov",Acerto_Detalhado!$C$2:$C$433,"Fibra"))*(SUMIFS(Acerto_Detalhado!$I$2:$I$433,Acerto_Detalhado!$A$2:$A$433,$D4244,Acerto_Detalhado!$B$2:$B$433,"Nov",Acerto_Detalhado!$C$2:$C$433,"Fibra")),2)</f>
        <v>0</v>
      </c>
    </row>
    <row r="4245" customFormat="false" ht="15" hidden="false" customHeight="false" outlineLevel="0" collapsed="false">
      <c r="A4245" s="27" t="s">
        <v>121</v>
      </c>
      <c r="B4245" s="27" t="s">
        <v>111</v>
      </c>
      <c r="C4245" s="27" t="s">
        <v>40</v>
      </c>
      <c r="D4245" s="27" t="s">
        <v>45</v>
      </c>
      <c r="E4245" s="28" t="n">
        <f aca="false">ROUND((SUMIFS(Acerto_Detalhado!$F$2:$F$433,Acerto_Detalhado!$A$2:$A$433,$C4245,Acerto_Detalhado!$B$2:$B$433,"Nov",Acerto_Detalhado!$C$2:$C$433,"Fibra"))*(SUMIFS(Acerto_Detalhado!$I$2:$I$433,Acerto_Detalhado!$A$2:$A$433,$D4245,Acerto_Detalhado!$B$2:$B$433,"Nov",Acerto_Detalhado!$C$2:$C$433,"Fibra")),2)</f>
        <v>0</v>
      </c>
    </row>
    <row r="4246" customFormat="false" ht="15" hidden="false" customHeight="false" outlineLevel="0" collapsed="false">
      <c r="A4246" s="27" t="s">
        <v>121</v>
      </c>
      <c r="B4246" s="27" t="s">
        <v>111</v>
      </c>
      <c r="C4246" s="27" t="s">
        <v>40</v>
      </c>
      <c r="D4246" s="27" t="s">
        <v>46</v>
      </c>
      <c r="E4246" s="28" t="n">
        <f aca="false">ROUND((SUMIFS(Acerto_Detalhado!$F$2:$F$433,Acerto_Detalhado!$A$2:$A$433,$C4246,Acerto_Detalhado!$B$2:$B$433,"Nov",Acerto_Detalhado!$C$2:$C$433,"Fibra"))*(SUMIFS(Acerto_Detalhado!$I$2:$I$433,Acerto_Detalhado!$A$2:$A$433,$D4246,Acerto_Detalhado!$B$2:$B$433,"Nov",Acerto_Detalhado!$C$2:$C$433,"Fibra")),2)</f>
        <v>0</v>
      </c>
    </row>
    <row r="4247" customFormat="false" ht="15" hidden="false" customHeight="false" outlineLevel="0" collapsed="false">
      <c r="A4247" s="27" t="s">
        <v>121</v>
      </c>
      <c r="B4247" s="27" t="s">
        <v>111</v>
      </c>
      <c r="C4247" s="27" t="s">
        <v>40</v>
      </c>
      <c r="D4247" s="27" t="s">
        <v>47</v>
      </c>
      <c r="E4247" s="28" t="n">
        <f aca="false">ROUND((SUMIFS(Acerto_Detalhado!$F$2:$F$433,Acerto_Detalhado!$A$2:$A$433,$C4247,Acerto_Detalhado!$B$2:$B$433,"Nov",Acerto_Detalhado!$C$2:$C$433,"Fibra"))*(SUMIFS(Acerto_Detalhado!$I$2:$I$433,Acerto_Detalhado!$A$2:$A$433,$D4247,Acerto_Detalhado!$B$2:$B$433,"Nov",Acerto_Detalhado!$C$2:$C$433,"Fibra")),2)</f>
        <v>0</v>
      </c>
    </row>
    <row r="4248" customFormat="false" ht="15" hidden="false" customHeight="false" outlineLevel="0" collapsed="false">
      <c r="A4248" s="27" t="s">
        <v>121</v>
      </c>
      <c r="B4248" s="27" t="s">
        <v>111</v>
      </c>
      <c r="C4248" s="27" t="s">
        <v>40</v>
      </c>
      <c r="D4248" s="27" t="s">
        <v>48</v>
      </c>
      <c r="E4248" s="28" t="n">
        <f aca="false">ROUND((SUMIFS(Acerto_Detalhado!$F$2:$F$433,Acerto_Detalhado!$A$2:$A$433,$C4248,Acerto_Detalhado!$B$2:$B$433,"Nov",Acerto_Detalhado!$C$2:$C$433,"Fibra"))*(SUMIFS(Acerto_Detalhado!$I$2:$I$433,Acerto_Detalhado!$A$2:$A$433,$D4248,Acerto_Detalhado!$B$2:$B$433,"Nov",Acerto_Detalhado!$C$2:$C$433,"Fibra")),2)</f>
        <v>0</v>
      </c>
    </row>
    <row r="4249" customFormat="false" ht="15" hidden="false" customHeight="false" outlineLevel="0" collapsed="false">
      <c r="A4249" s="27" t="s">
        <v>121</v>
      </c>
      <c r="B4249" s="27" t="s">
        <v>111</v>
      </c>
      <c r="C4249" s="27" t="s">
        <v>40</v>
      </c>
      <c r="D4249" s="27" t="s">
        <v>49</v>
      </c>
      <c r="E4249" s="28" t="n">
        <f aca="false">ROUND((SUMIFS(Acerto_Detalhado!$F$2:$F$433,Acerto_Detalhado!$A$2:$A$433,$C4249,Acerto_Detalhado!$B$2:$B$433,"Nov",Acerto_Detalhado!$C$2:$C$433,"Fibra"))*(SUMIFS(Acerto_Detalhado!$I$2:$I$433,Acerto_Detalhado!$A$2:$A$433,$D4249,Acerto_Detalhado!$B$2:$B$433,"Nov",Acerto_Detalhado!$C$2:$C$433,"Fibra")),2)</f>
        <v>0</v>
      </c>
    </row>
    <row r="4250" customFormat="false" ht="15" hidden="false" customHeight="false" outlineLevel="0" collapsed="false">
      <c r="A4250" s="27" t="s">
        <v>121</v>
      </c>
      <c r="B4250" s="27" t="s">
        <v>111</v>
      </c>
      <c r="C4250" s="27" t="s">
        <v>40</v>
      </c>
      <c r="D4250" s="27" t="s">
        <v>50</v>
      </c>
      <c r="E4250" s="28" t="n">
        <f aca="false">ROUND((SUMIFS(Acerto_Detalhado!$F$2:$F$433,Acerto_Detalhado!$A$2:$A$433,$C4250,Acerto_Detalhado!$B$2:$B$433,"Nov",Acerto_Detalhado!$C$2:$C$433,"Fibra"))*(SUMIFS(Acerto_Detalhado!$I$2:$I$433,Acerto_Detalhado!$A$2:$A$433,$D4250,Acerto_Detalhado!$B$2:$B$433,"Nov",Acerto_Detalhado!$C$2:$C$433,"Fibra")),2)</f>
        <v>0</v>
      </c>
    </row>
    <row r="4251" customFormat="false" ht="15" hidden="false" customHeight="false" outlineLevel="0" collapsed="false">
      <c r="A4251" s="27" t="s">
        <v>121</v>
      </c>
      <c r="B4251" s="27" t="s">
        <v>111</v>
      </c>
      <c r="C4251" s="27" t="s">
        <v>41</v>
      </c>
      <c r="D4251" s="27" t="s">
        <v>39</v>
      </c>
      <c r="E4251" s="28" t="n">
        <f aca="false">ROUND((SUMIFS(Acerto_Detalhado!$F$2:$F$433,Acerto_Detalhado!$A$2:$A$433,$C4251,Acerto_Detalhado!$B$2:$B$433,"Nov",Acerto_Detalhado!$C$2:$C$433,"Fibra"))*(SUMIFS(Acerto_Detalhado!$I$2:$I$433,Acerto_Detalhado!$A$2:$A$433,$D4251,Acerto_Detalhado!$B$2:$B$433,"Nov",Acerto_Detalhado!$C$2:$C$433,"Fibra")),2)</f>
        <v>0</v>
      </c>
    </row>
    <row r="4252" customFormat="false" ht="15" hidden="false" customHeight="false" outlineLevel="0" collapsed="false">
      <c r="A4252" s="27" t="s">
        <v>121</v>
      </c>
      <c r="B4252" s="27" t="s">
        <v>111</v>
      </c>
      <c r="C4252" s="27" t="s">
        <v>41</v>
      </c>
      <c r="D4252" s="27" t="s">
        <v>40</v>
      </c>
      <c r="E4252" s="28" t="n">
        <f aca="false">ROUND((SUMIFS(Acerto_Detalhado!$F$2:$F$433,Acerto_Detalhado!$A$2:$A$433,$C4252,Acerto_Detalhado!$B$2:$B$433,"Nov",Acerto_Detalhado!$C$2:$C$433,"Fibra"))*(SUMIFS(Acerto_Detalhado!$I$2:$I$433,Acerto_Detalhado!$A$2:$A$433,$D4252,Acerto_Detalhado!$B$2:$B$433,"Nov",Acerto_Detalhado!$C$2:$C$433,"Fibra")),2)</f>
        <v>0</v>
      </c>
    </row>
    <row r="4253" customFormat="false" ht="15" hidden="false" customHeight="false" outlineLevel="0" collapsed="false">
      <c r="A4253" s="27" t="s">
        <v>121</v>
      </c>
      <c r="B4253" s="27" t="s">
        <v>111</v>
      </c>
      <c r="C4253" s="27" t="s">
        <v>41</v>
      </c>
      <c r="D4253" s="27" t="s">
        <v>42</v>
      </c>
      <c r="E4253" s="28" t="n">
        <f aca="false">ROUND((SUMIFS(Acerto_Detalhado!$F$2:$F$433,Acerto_Detalhado!$A$2:$A$433,$C4253,Acerto_Detalhado!$B$2:$B$433,"Nov",Acerto_Detalhado!$C$2:$C$433,"Fibra"))*(SUMIFS(Acerto_Detalhado!$I$2:$I$433,Acerto_Detalhado!$A$2:$A$433,$D4253,Acerto_Detalhado!$B$2:$B$433,"Nov",Acerto_Detalhado!$C$2:$C$433,"Fibra")),2)</f>
        <v>0</v>
      </c>
    </row>
    <row r="4254" customFormat="false" ht="15" hidden="false" customHeight="false" outlineLevel="0" collapsed="false">
      <c r="A4254" s="27" t="s">
        <v>121</v>
      </c>
      <c r="B4254" s="27" t="s">
        <v>111</v>
      </c>
      <c r="C4254" s="27" t="s">
        <v>41</v>
      </c>
      <c r="D4254" s="27" t="s">
        <v>43</v>
      </c>
      <c r="E4254" s="28" t="n">
        <f aca="false">ROUND((SUMIFS(Acerto_Detalhado!$F$2:$F$433,Acerto_Detalhado!$A$2:$A$433,$C4254,Acerto_Detalhado!$B$2:$B$433,"Nov",Acerto_Detalhado!$C$2:$C$433,"Fibra"))*(SUMIFS(Acerto_Detalhado!$I$2:$I$433,Acerto_Detalhado!$A$2:$A$433,$D4254,Acerto_Detalhado!$B$2:$B$433,"Nov",Acerto_Detalhado!$C$2:$C$433,"Fibra")),2)</f>
        <v>0</v>
      </c>
    </row>
    <row r="4255" customFormat="false" ht="15" hidden="false" customHeight="false" outlineLevel="0" collapsed="false">
      <c r="A4255" s="27" t="s">
        <v>121</v>
      </c>
      <c r="B4255" s="27" t="s">
        <v>111</v>
      </c>
      <c r="C4255" s="27" t="s">
        <v>41</v>
      </c>
      <c r="D4255" s="27" t="s">
        <v>44</v>
      </c>
      <c r="E4255" s="28" t="n">
        <f aca="false">ROUND((SUMIFS(Acerto_Detalhado!$F$2:$F$433,Acerto_Detalhado!$A$2:$A$433,$C4255,Acerto_Detalhado!$B$2:$B$433,"Nov",Acerto_Detalhado!$C$2:$C$433,"Fibra"))*(SUMIFS(Acerto_Detalhado!$I$2:$I$433,Acerto_Detalhado!$A$2:$A$433,$D4255,Acerto_Detalhado!$B$2:$B$433,"Nov",Acerto_Detalhado!$C$2:$C$433,"Fibra")),2)</f>
        <v>0</v>
      </c>
    </row>
    <row r="4256" customFormat="false" ht="15" hidden="false" customHeight="false" outlineLevel="0" collapsed="false">
      <c r="A4256" s="27" t="s">
        <v>121</v>
      </c>
      <c r="B4256" s="27" t="s">
        <v>111</v>
      </c>
      <c r="C4256" s="27" t="s">
        <v>41</v>
      </c>
      <c r="D4256" s="27" t="s">
        <v>45</v>
      </c>
      <c r="E4256" s="28" t="n">
        <f aca="false">ROUND((SUMIFS(Acerto_Detalhado!$F$2:$F$433,Acerto_Detalhado!$A$2:$A$433,$C4256,Acerto_Detalhado!$B$2:$B$433,"Nov",Acerto_Detalhado!$C$2:$C$433,"Fibra"))*(SUMIFS(Acerto_Detalhado!$I$2:$I$433,Acerto_Detalhado!$A$2:$A$433,$D4256,Acerto_Detalhado!$B$2:$B$433,"Nov",Acerto_Detalhado!$C$2:$C$433,"Fibra")),2)</f>
        <v>0</v>
      </c>
    </row>
    <row r="4257" customFormat="false" ht="15" hidden="false" customHeight="false" outlineLevel="0" collapsed="false">
      <c r="A4257" s="27" t="s">
        <v>121</v>
      </c>
      <c r="B4257" s="27" t="s">
        <v>111</v>
      </c>
      <c r="C4257" s="27" t="s">
        <v>41</v>
      </c>
      <c r="D4257" s="27" t="s">
        <v>46</v>
      </c>
      <c r="E4257" s="28" t="n">
        <f aca="false">ROUND((SUMIFS(Acerto_Detalhado!$F$2:$F$433,Acerto_Detalhado!$A$2:$A$433,$C4257,Acerto_Detalhado!$B$2:$B$433,"Nov",Acerto_Detalhado!$C$2:$C$433,"Fibra"))*(SUMIFS(Acerto_Detalhado!$I$2:$I$433,Acerto_Detalhado!$A$2:$A$433,$D4257,Acerto_Detalhado!$B$2:$B$433,"Nov",Acerto_Detalhado!$C$2:$C$433,"Fibra")),2)</f>
        <v>0</v>
      </c>
    </row>
    <row r="4258" customFormat="false" ht="15" hidden="false" customHeight="false" outlineLevel="0" collapsed="false">
      <c r="A4258" s="27" t="s">
        <v>121</v>
      </c>
      <c r="B4258" s="27" t="s">
        <v>111</v>
      </c>
      <c r="C4258" s="27" t="s">
        <v>41</v>
      </c>
      <c r="D4258" s="27" t="s">
        <v>47</v>
      </c>
      <c r="E4258" s="28" t="n">
        <f aca="false">ROUND((SUMIFS(Acerto_Detalhado!$F$2:$F$433,Acerto_Detalhado!$A$2:$A$433,$C4258,Acerto_Detalhado!$B$2:$B$433,"Nov",Acerto_Detalhado!$C$2:$C$433,"Fibra"))*(SUMIFS(Acerto_Detalhado!$I$2:$I$433,Acerto_Detalhado!$A$2:$A$433,$D4258,Acerto_Detalhado!$B$2:$B$433,"Nov",Acerto_Detalhado!$C$2:$C$433,"Fibra")),2)</f>
        <v>0</v>
      </c>
    </row>
    <row r="4259" customFormat="false" ht="15" hidden="false" customHeight="false" outlineLevel="0" collapsed="false">
      <c r="A4259" s="27" t="s">
        <v>121</v>
      </c>
      <c r="B4259" s="27" t="s">
        <v>111</v>
      </c>
      <c r="C4259" s="27" t="s">
        <v>41</v>
      </c>
      <c r="D4259" s="27" t="s">
        <v>48</v>
      </c>
      <c r="E4259" s="28" t="n">
        <f aca="false">ROUND((SUMIFS(Acerto_Detalhado!$F$2:$F$433,Acerto_Detalhado!$A$2:$A$433,$C4259,Acerto_Detalhado!$B$2:$B$433,"Nov",Acerto_Detalhado!$C$2:$C$433,"Fibra"))*(SUMIFS(Acerto_Detalhado!$I$2:$I$433,Acerto_Detalhado!$A$2:$A$433,$D4259,Acerto_Detalhado!$B$2:$B$433,"Nov",Acerto_Detalhado!$C$2:$C$433,"Fibra")),2)</f>
        <v>0</v>
      </c>
    </row>
    <row r="4260" customFormat="false" ht="15" hidden="false" customHeight="false" outlineLevel="0" collapsed="false">
      <c r="A4260" s="27" t="s">
        <v>121</v>
      </c>
      <c r="B4260" s="27" t="s">
        <v>111</v>
      </c>
      <c r="C4260" s="27" t="s">
        <v>41</v>
      </c>
      <c r="D4260" s="27" t="s">
        <v>49</v>
      </c>
      <c r="E4260" s="28" t="n">
        <f aca="false">ROUND((SUMIFS(Acerto_Detalhado!$F$2:$F$433,Acerto_Detalhado!$A$2:$A$433,$C4260,Acerto_Detalhado!$B$2:$B$433,"Nov",Acerto_Detalhado!$C$2:$C$433,"Fibra"))*(SUMIFS(Acerto_Detalhado!$I$2:$I$433,Acerto_Detalhado!$A$2:$A$433,$D4260,Acerto_Detalhado!$B$2:$B$433,"Nov",Acerto_Detalhado!$C$2:$C$433,"Fibra")),2)</f>
        <v>0</v>
      </c>
    </row>
    <row r="4261" customFormat="false" ht="15" hidden="false" customHeight="false" outlineLevel="0" collapsed="false">
      <c r="A4261" s="27" t="s">
        <v>121</v>
      </c>
      <c r="B4261" s="27" t="s">
        <v>111</v>
      </c>
      <c r="C4261" s="27" t="s">
        <v>41</v>
      </c>
      <c r="D4261" s="27" t="s">
        <v>50</v>
      </c>
      <c r="E4261" s="28" t="n">
        <f aca="false">ROUND((SUMIFS(Acerto_Detalhado!$F$2:$F$433,Acerto_Detalhado!$A$2:$A$433,$C4261,Acerto_Detalhado!$B$2:$B$433,"Nov",Acerto_Detalhado!$C$2:$C$433,"Fibra"))*(SUMIFS(Acerto_Detalhado!$I$2:$I$433,Acerto_Detalhado!$A$2:$A$433,$D4261,Acerto_Detalhado!$B$2:$B$433,"Nov",Acerto_Detalhado!$C$2:$C$433,"Fibra")),2)</f>
        <v>0</v>
      </c>
    </row>
    <row r="4262" customFormat="false" ht="15" hidden="false" customHeight="false" outlineLevel="0" collapsed="false">
      <c r="A4262" s="27" t="s">
        <v>121</v>
      </c>
      <c r="B4262" s="27" t="s">
        <v>111</v>
      </c>
      <c r="C4262" s="27" t="s">
        <v>42</v>
      </c>
      <c r="D4262" s="27" t="s">
        <v>39</v>
      </c>
      <c r="E4262" s="28" t="n">
        <f aca="false">ROUND((SUMIFS(Acerto_Detalhado!$F$2:$F$433,Acerto_Detalhado!$A$2:$A$433,$C4262,Acerto_Detalhado!$B$2:$B$433,"Nov",Acerto_Detalhado!$C$2:$C$433,"Fibra"))*(SUMIFS(Acerto_Detalhado!$I$2:$I$433,Acerto_Detalhado!$A$2:$A$433,$D4262,Acerto_Detalhado!$B$2:$B$433,"Nov",Acerto_Detalhado!$C$2:$C$433,"Fibra")),2)</f>
        <v>0</v>
      </c>
    </row>
    <row r="4263" customFormat="false" ht="15" hidden="false" customHeight="false" outlineLevel="0" collapsed="false">
      <c r="A4263" s="27" t="s">
        <v>121</v>
      </c>
      <c r="B4263" s="27" t="s">
        <v>111</v>
      </c>
      <c r="C4263" s="27" t="s">
        <v>42</v>
      </c>
      <c r="D4263" s="27" t="s">
        <v>40</v>
      </c>
      <c r="E4263" s="28" t="n">
        <f aca="false">ROUND((SUMIFS(Acerto_Detalhado!$F$2:$F$433,Acerto_Detalhado!$A$2:$A$433,$C4263,Acerto_Detalhado!$B$2:$B$433,"Nov",Acerto_Detalhado!$C$2:$C$433,"Fibra"))*(SUMIFS(Acerto_Detalhado!$I$2:$I$433,Acerto_Detalhado!$A$2:$A$433,$D4263,Acerto_Detalhado!$B$2:$B$433,"Nov",Acerto_Detalhado!$C$2:$C$433,"Fibra")),2)</f>
        <v>0</v>
      </c>
    </row>
    <row r="4264" customFormat="false" ht="15" hidden="false" customHeight="false" outlineLevel="0" collapsed="false">
      <c r="A4264" s="27" t="s">
        <v>121</v>
      </c>
      <c r="B4264" s="27" t="s">
        <v>111</v>
      </c>
      <c r="C4264" s="27" t="s">
        <v>42</v>
      </c>
      <c r="D4264" s="27" t="s">
        <v>41</v>
      </c>
      <c r="E4264" s="28" t="n">
        <f aca="false">ROUND((SUMIFS(Acerto_Detalhado!$F$2:$F$433,Acerto_Detalhado!$A$2:$A$433,$C4264,Acerto_Detalhado!$B$2:$B$433,"Nov",Acerto_Detalhado!$C$2:$C$433,"Fibra"))*(SUMIFS(Acerto_Detalhado!$I$2:$I$433,Acerto_Detalhado!$A$2:$A$433,$D4264,Acerto_Detalhado!$B$2:$B$433,"Nov",Acerto_Detalhado!$C$2:$C$433,"Fibra")),2)</f>
        <v>0</v>
      </c>
    </row>
    <row r="4265" customFormat="false" ht="15" hidden="false" customHeight="false" outlineLevel="0" collapsed="false">
      <c r="A4265" s="27" t="s">
        <v>121</v>
      </c>
      <c r="B4265" s="27" t="s">
        <v>111</v>
      </c>
      <c r="C4265" s="27" t="s">
        <v>42</v>
      </c>
      <c r="D4265" s="27" t="s">
        <v>43</v>
      </c>
      <c r="E4265" s="28" t="n">
        <f aca="false">ROUND((SUMIFS(Acerto_Detalhado!$F$2:$F$433,Acerto_Detalhado!$A$2:$A$433,$C4265,Acerto_Detalhado!$B$2:$B$433,"Nov",Acerto_Detalhado!$C$2:$C$433,"Fibra"))*(SUMIFS(Acerto_Detalhado!$I$2:$I$433,Acerto_Detalhado!$A$2:$A$433,$D4265,Acerto_Detalhado!$B$2:$B$433,"Nov",Acerto_Detalhado!$C$2:$C$433,"Fibra")),2)</f>
        <v>0</v>
      </c>
    </row>
    <row r="4266" customFormat="false" ht="15" hidden="false" customHeight="false" outlineLevel="0" collapsed="false">
      <c r="A4266" s="27" t="s">
        <v>121</v>
      </c>
      <c r="B4266" s="27" t="s">
        <v>111</v>
      </c>
      <c r="C4266" s="27" t="s">
        <v>42</v>
      </c>
      <c r="D4266" s="27" t="s">
        <v>44</v>
      </c>
      <c r="E4266" s="28" t="n">
        <f aca="false">ROUND((SUMIFS(Acerto_Detalhado!$F$2:$F$433,Acerto_Detalhado!$A$2:$A$433,$C4266,Acerto_Detalhado!$B$2:$B$433,"Nov",Acerto_Detalhado!$C$2:$C$433,"Fibra"))*(SUMIFS(Acerto_Detalhado!$I$2:$I$433,Acerto_Detalhado!$A$2:$A$433,$D4266,Acerto_Detalhado!$B$2:$B$433,"Nov",Acerto_Detalhado!$C$2:$C$433,"Fibra")),2)</f>
        <v>0</v>
      </c>
    </row>
    <row r="4267" customFormat="false" ht="15" hidden="false" customHeight="false" outlineLevel="0" collapsed="false">
      <c r="A4267" s="27" t="s">
        <v>121</v>
      </c>
      <c r="B4267" s="27" t="s">
        <v>111</v>
      </c>
      <c r="C4267" s="27" t="s">
        <v>42</v>
      </c>
      <c r="D4267" s="27" t="s">
        <v>45</v>
      </c>
      <c r="E4267" s="28" t="n">
        <f aca="false">ROUND((SUMIFS(Acerto_Detalhado!$F$2:$F$433,Acerto_Detalhado!$A$2:$A$433,$C4267,Acerto_Detalhado!$B$2:$B$433,"Nov",Acerto_Detalhado!$C$2:$C$433,"Fibra"))*(SUMIFS(Acerto_Detalhado!$I$2:$I$433,Acerto_Detalhado!$A$2:$A$433,$D4267,Acerto_Detalhado!$B$2:$B$433,"Nov",Acerto_Detalhado!$C$2:$C$433,"Fibra")),2)</f>
        <v>0</v>
      </c>
    </row>
    <row r="4268" customFormat="false" ht="15" hidden="false" customHeight="false" outlineLevel="0" collapsed="false">
      <c r="A4268" s="27" t="s">
        <v>121</v>
      </c>
      <c r="B4268" s="27" t="s">
        <v>111</v>
      </c>
      <c r="C4268" s="27" t="s">
        <v>42</v>
      </c>
      <c r="D4268" s="27" t="s">
        <v>46</v>
      </c>
      <c r="E4268" s="28" t="n">
        <f aca="false">ROUND((SUMIFS(Acerto_Detalhado!$F$2:$F$433,Acerto_Detalhado!$A$2:$A$433,$C4268,Acerto_Detalhado!$B$2:$B$433,"Nov",Acerto_Detalhado!$C$2:$C$433,"Fibra"))*(SUMIFS(Acerto_Detalhado!$I$2:$I$433,Acerto_Detalhado!$A$2:$A$433,$D4268,Acerto_Detalhado!$B$2:$B$433,"Nov",Acerto_Detalhado!$C$2:$C$433,"Fibra")),2)</f>
        <v>0</v>
      </c>
    </row>
    <row r="4269" customFormat="false" ht="15" hidden="false" customHeight="false" outlineLevel="0" collapsed="false">
      <c r="A4269" s="27" t="s">
        <v>121</v>
      </c>
      <c r="B4269" s="27" t="s">
        <v>111</v>
      </c>
      <c r="C4269" s="27" t="s">
        <v>42</v>
      </c>
      <c r="D4269" s="27" t="s">
        <v>47</v>
      </c>
      <c r="E4269" s="28" t="n">
        <f aca="false">ROUND((SUMIFS(Acerto_Detalhado!$F$2:$F$433,Acerto_Detalhado!$A$2:$A$433,$C4269,Acerto_Detalhado!$B$2:$B$433,"Nov",Acerto_Detalhado!$C$2:$C$433,"Fibra"))*(SUMIFS(Acerto_Detalhado!$I$2:$I$433,Acerto_Detalhado!$A$2:$A$433,$D4269,Acerto_Detalhado!$B$2:$B$433,"Nov",Acerto_Detalhado!$C$2:$C$433,"Fibra")),2)</f>
        <v>0</v>
      </c>
    </row>
    <row r="4270" customFormat="false" ht="15" hidden="false" customHeight="false" outlineLevel="0" collapsed="false">
      <c r="A4270" s="27" t="s">
        <v>121</v>
      </c>
      <c r="B4270" s="27" t="s">
        <v>111</v>
      </c>
      <c r="C4270" s="27" t="s">
        <v>42</v>
      </c>
      <c r="D4270" s="27" t="s">
        <v>48</v>
      </c>
      <c r="E4270" s="28" t="n">
        <f aca="false">ROUND((SUMIFS(Acerto_Detalhado!$F$2:$F$433,Acerto_Detalhado!$A$2:$A$433,$C4270,Acerto_Detalhado!$B$2:$B$433,"Nov",Acerto_Detalhado!$C$2:$C$433,"Fibra"))*(SUMIFS(Acerto_Detalhado!$I$2:$I$433,Acerto_Detalhado!$A$2:$A$433,$D4270,Acerto_Detalhado!$B$2:$B$433,"Nov",Acerto_Detalhado!$C$2:$C$433,"Fibra")),2)</f>
        <v>0</v>
      </c>
    </row>
    <row r="4271" customFormat="false" ht="15" hidden="false" customHeight="false" outlineLevel="0" collapsed="false">
      <c r="A4271" s="27" t="s">
        <v>121</v>
      </c>
      <c r="B4271" s="27" t="s">
        <v>111</v>
      </c>
      <c r="C4271" s="27" t="s">
        <v>42</v>
      </c>
      <c r="D4271" s="27" t="s">
        <v>49</v>
      </c>
      <c r="E4271" s="28" t="n">
        <f aca="false">ROUND((SUMIFS(Acerto_Detalhado!$F$2:$F$433,Acerto_Detalhado!$A$2:$A$433,$C4271,Acerto_Detalhado!$B$2:$B$433,"Nov",Acerto_Detalhado!$C$2:$C$433,"Fibra"))*(SUMIFS(Acerto_Detalhado!$I$2:$I$433,Acerto_Detalhado!$A$2:$A$433,$D4271,Acerto_Detalhado!$B$2:$B$433,"Nov",Acerto_Detalhado!$C$2:$C$433,"Fibra")),2)</f>
        <v>0</v>
      </c>
    </row>
    <row r="4272" customFormat="false" ht="15" hidden="false" customHeight="false" outlineLevel="0" collapsed="false">
      <c r="A4272" s="27" t="s">
        <v>121</v>
      </c>
      <c r="B4272" s="27" t="s">
        <v>111</v>
      </c>
      <c r="C4272" s="27" t="s">
        <v>42</v>
      </c>
      <c r="D4272" s="27" t="s">
        <v>50</v>
      </c>
      <c r="E4272" s="28" t="n">
        <f aca="false">ROUND((SUMIFS(Acerto_Detalhado!$F$2:$F$433,Acerto_Detalhado!$A$2:$A$433,$C4272,Acerto_Detalhado!$B$2:$B$433,"Nov",Acerto_Detalhado!$C$2:$C$433,"Fibra"))*(SUMIFS(Acerto_Detalhado!$I$2:$I$433,Acerto_Detalhado!$A$2:$A$433,$D4272,Acerto_Detalhado!$B$2:$B$433,"Nov",Acerto_Detalhado!$C$2:$C$433,"Fibra")),2)</f>
        <v>0</v>
      </c>
    </row>
    <row r="4273" customFormat="false" ht="15" hidden="false" customHeight="false" outlineLevel="0" collapsed="false">
      <c r="A4273" s="27" t="s">
        <v>121</v>
      </c>
      <c r="B4273" s="27" t="s">
        <v>111</v>
      </c>
      <c r="C4273" s="27" t="s">
        <v>43</v>
      </c>
      <c r="D4273" s="27" t="s">
        <v>39</v>
      </c>
      <c r="E4273" s="28" t="n">
        <f aca="false">ROUND((SUMIFS(Acerto_Detalhado!$F$2:$F$433,Acerto_Detalhado!$A$2:$A$433,$C4273,Acerto_Detalhado!$B$2:$B$433,"Nov",Acerto_Detalhado!$C$2:$C$433,"Fibra"))*(SUMIFS(Acerto_Detalhado!$I$2:$I$433,Acerto_Detalhado!$A$2:$A$433,$D4273,Acerto_Detalhado!$B$2:$B$433,"Nov",Acerto_Detalhado!$C$2:$C$433,"Fibra")),2)</f>
        <v>0</v>
      </c>
    </row>
    <row r="4274" customFormat="false" ht="15" hidden="false" customHeight="false" outlineLevel="0" collapsed="false">
      <c r="A4274" s="27" t="s">
        <v>121</v>
      </c>
      <c r="B4274" s="27" t="s">
        <v>111</v>
      </c>
      <c r="C4274" s="27" t="s">
        <v>43</v>
      </c>
      <c r="D4274" s="27" t="s">
        <v>40</v>
      </c>
      <c r="E4274" s="28" t="n">
        <f aca="false">ROUND((SUMIFS(Acerto_Detalhado!$F$2:$F$433,Acerto_Detalhado!$A$2:$A$433,$C4274,Acerto_Detalhado!$B$2:$B$433,"Nov",Acerto_Detalhado!$C$2:$C$433,"Fibra"))*(SUMIFS(Acerto_Detalhado!$I$2:$I$433,Acerto_Detalhado!$A$2:$A$433,$D4274,Acerto_Detalhado!$B$2:$B$433,"Nov",Acerto_Detalhado!$C$2:$C$433,"Fibra")),2)</f>
        <v>0</v>
      </c>
    </row>
    <row r="4275" customFormat="false" ht="15" hidden="false" customHeight="false" outlineLevel="0" collapsed="false">
      <c r="A4275" s="27" t="s">
        <v>121</v>
      </c>
      <c r="B4275" s="27" t="s">
        <v>111</v>
      </c>
      <c r="C4275" s="27" t="s">
        <v>43</v>
      </c>
      <c r="D4275" s="27" t="s">
        <v>41</v>
      </c>
      <c r="E4275" s="28" t="n">
        <f aca="false">ROUND((SUMIFS(Acerto_Detalhado!$F$2:$F$433,Acerto_Detalhado!$A$2:$A$433,$C4275,Acerto_Detalhado!$B$2:$B$433,"Nov",Acerto_Detalhado!$C$2:$C$433,"Fibra"))*(SUMIFS(Acerto_Detalhado!$I$2:$I$433,Acerto_Detalhado!$A$2:$A$433,$D4275,Acerto_Detalhado!$B$2:$B$433,"Nov",Acerto_Detalhado!$C$2:$C$433,"Fibra")),2)</f>
        <v>0</v>
      </c>
    </row>
    <row r="4276" customFormat="false" ht="15" hidden="false" customHeight="false" outlineLevel="0" collapsed="false">
      <c r="A4276" s="27" t="s">
        <v>121</v>
      </c>
      <c r="B4276" s="27" t="s">
        <v>111</v>
      </c>
      <c r="C4276" s="27" t="s">
        <v>43</v>
      </c>
      <c r="D4276" s="27" t="s">
        <v>42</v>
      </c>
      <c r="E4276" s="28" t="n">
        <f aca="false">ROUND((SUMIFS(Acerto_Detalhado!$F$2:$F$433,Acerto_Detalhado!$A$2:$A$433,$C4276,Acerto_Detalhado!$B$2:$B$433,"Nov",Acerto_Detalhado!$C$2:$C$433,"Fibra"))*(SUMIFS(Acerto_Detalhado!$I$2:$I$433,Acerto_Detalhado!$A$2:$A$433,$D4276,Acerto_Detalhado!$B$2:$B$433,"Nov",Acerto_Detalhado!$C$2:$C$433,"Fibra")),2)</f>
        <v>0</v>
      </c>
    </row>
    <row r="4277" customFormat="false" ht="15" hidden="false" customHeight="false" outlineLevel="0" collapsed="false">
      <c r="A4277" s="27" t="s">
        <v>121</v>
      </c>
      <c r="B4277" s="27" t="s">
        <v>111</v>
      </c>
      <c r="C4277" s="27" t="s">
        <v>43</v>
      </c>
      <c r="D4277" s="27" t="s">
        <v>44</v>
      </c>
      <c r="E4277" s="28" t="n">
        <f aca="false">ROUND((SUMIFS(Acerto_Detalhado!$F$2:$F$433,Acerto_Detalhado!$A$2:$A$433,$C4277,Acerto_Detalhado!$B$2:$B$433,"Nov",Acerto_Detalhado!$C$2:$C$433,"Fibra"))*(SUMIFS(Acerto_Detalhado!$I$2:$I$433,Acerto_Detalhado!$A$2:$A$433,$D4277,Acerto_Detalhado!$B$2:$B$433,"Nov",Acerto_Detalhado!$C$2:$C$433,"Fibra")),2)</f>
        <v>0</v>
      </c>
    </row>
    <row r="4278" customFormat="false" ht="15" hidden="false" customHeight="false" outlineLevel="0" collapsed="false">
      <c r="A4278" s="27" t="s">
        <v>121</v>
      </c>
      <c r="B4278" s="27" t="s">
        <v>111</v>
      </c>
      <c r="C4278" s="27" t="s">
        <v>43</v>
      </c>
      <c r="D4278" s="27" t="s">
        <v>45</v>
      </c>
      <c r="E4278" s="28" t="n">
        <f aca="false">ROUND((SUMIFS(Acerto_Detalhado!$F$2:$F$433,Acerto_Detalhado!$A$2:$A$433,$C4278,Acerto_Detalhado!$B$2:$B$433,"Nov",Acerto_Detalhado!$C$2:$C$433,"Fibra"))*(SUMIFS(Acerto_Detalhado!$I$2:$I$433,Acerto_Detalhado!$A$2:$A$433,$D4278,Acerto_Detalhado!$B$2:$B$433,"Nov",Acerto_Detalhado!$C$2:$C$433,"Fibra")),2)</f>
        <v>0</v>
      </c>
    </row>
    <row r="4279" customFormat="false" ht="15" hidden="false" customHeight="false" outlineLevel="0" collapsed="false">
      <c r="A4279" s="27" t="s">
        <v>121</v>
      </c>
      <c r="B4279" s="27" t="s">
        <v>111</v>
      </c>
      <c r="C4279" s="27" t="s">
        <v>43</v>
      </c>
      <c r="D4279" s="27" t="s">
        <v>46</v>
      </c>
      <c r="E4279" s="28" t="n">
        <f aca="false">ROUND((SUMIFS(Acerto_Detalhado!$F$2:$F$433,Acerto_Detalhado!$A$2:$A$433,$C4279,Acerto_Detalhado!$B$2:$B$433,"Nov",Acerto_Detalhado!$C$2:$C$433,"Fibra"))*(SUMIFS(Acerto_Detalhado!$I$2:$I$433,Acerto_Detalhado!$A$2:$A$433,$D4279,Acerto_Detalhado!$B$2:$B$433,"Nov",Acerto_Detalhado!$C$2:$C$433,"Fibra")),2)</f>
        <v>0</v>
      </c>
    </row>
    <row r="4280" customFormat="false" ht="15" hidden="false" customHeight="false" outlineLevel="0" collapsed="false">
      <c r="A4280" s="27" t="s">
        <v>121</v>
      </c>
      <c r="B4280" s="27" t="s">
        <v>111</v>
      </c>
      <c r="C4280" s="27" t="s">
        <v>43</v>
      </c>
      <c r="D4280" s="27" t="s">
        <v>47</v>
      </c>
      <c r="E4280" s="28" t="n">
        <f aca="false">ROUND((SUMIFS(Acerto_Detalhado!$F$2:$F$433,Acerto_Detalhado!$A$2:$A$433,$C4280,Acerto_Detalhado!$B$2:$B$433,"Nov",Acerto_Detalhado!$C$2:$C$433,"Fibra"))*(SUMIFS(Acerto_Detalhado!$I$2:$I$433,Acerto_Detalhado!$A$2:$A$433,$D4280,Acerto_Detalhado!$B$2:$B$433,"Nov",Acerto_Detalhado!$C$2:$C$433,"Fibra")),2)</f>
        <v>0</v>
      </c>
    </row>
    <row r="4281" customFormat="false" ht="15" hidden="false" customHeight="false" outlineLevel="0" collapsed="false">
      <c r="A4281" s="27" t="s">
        <v>121</v>
      </c>
      <c r="B4281" s="27" t="s">
        <v>111</v>
      </c>
      <c r="C4281" s="27" t="s">
        <v>43</v>
      </c>
      <c r="D4281" s="27" t="s">
        <v>48</v>
      </c>
      <c r="E4281" s="28" t="n">
        <f aca="false">ROUND((SUMIFS(Acerto_Detalhado!$F$2:$F$433,Acerto_Detalhado!$A$2:$A$433,$C4281,Acerto_Detalhado!$B$2:$B$433,"Nov",Acerto_Detalhado!$C$2:$C$433,"Fibra"))*(SUMIFS(Acerto_Detalhado!$I$2:$I$433,Acerto_Detalhado!$A$2:$A$433,$D4281,Acerto_Detalhado!$B$2:$B$433,"Nov",Acerto_Detalhado!$C$2:$C$433,"Fibra")),2)</f>
        <v>0</v>
      </c>
    </row>
    <row r="4282" customFormat="false" ht="15" hidden="false" customHeight="false" outlineLevel="0" collapsed="false">
      <c r="A4282" s="27" t="s">
        <v>121</v>
      </c>
      <c r="B4282" s="27" t="s">
        <v>111</v>
      </c>
      <c r="C4282" s="27" t="s">
        <v>43</v>
      </c>
      <c r="D4282" s="27" t="s">
        <v>49</v>
      </c>
      <c r="E4282" s="28" t="n">
        <f aca="false">ROUND((SUMIFS(Acerto_Detalhado!$F$2:$F$433,Acerto_Detalhado!$A$2:$A$433,$C4282,Acerto_Detalhado!$B$2:$B$433,"Nov",Acerto_Detalhado!$C$2:$C$433,"Fibra"))*(SUMIFS(Acerto_Detalhado!$I$2:$I$433,Acerto_Detalhado!$A$2:$A$433,$D4282,Acerto_Detalhado!$B$2:$B$433,"Nov",Acerto_Detalhado!$C$2:$C$433,"Fibra")),2)</f>
        <v>0</v>
      </c>
    </row>
    <row r="4283" customFormat="false" ht="15" hidden="false" customHeight="false" outlineLevel="0" collapsed="false">
      <c r="A4283" s="27" t="s">
        <v>121</v>
      </c>
      <c r="B4283" s="27" t="s">
        <v>111</v>
      </c>
      <c r="C4283" s="27" t="s">
        <v>43</v>
      </c>
      <c r="D4283" s="27" t="s">
        <v>50</v>
      </c>
      <c r="E4283" s="28" t="n">
        <f aca="false">ROUND((SUMIFS(Acerto_Detalhado!$F$2:$F$433,Acerto_Detalhado!$A$2:$A$433,$C4283,Acerto_Detalhado!$B$2:$B$433,"Nov",Acerto_Detalhado!$C$2:$C$433,"Fibra"))*(SUMIFS(Acerto_Detalhado!$I$2:$I$433,Acerto_Detalhado!$A$2:$A$433,$D4283,Acerto_Detalhado!$B$2:$B$433,"Nov",Acerto_Detalhado!$C$2:$C$433,"Fibra")),2)</f>
        <v>0</v>
      </c>
    </row>
    <row r="4284" customFormat="false" ht="15" hidden="false" customHeight="false" outlineLevel="0" collapsed="false">
      <c r="A4284" s="27" t="s">
        <v>121</v>
      </c>
      <c r="B4284" s="27" t="s">
        <v>111</v>
      </c>
      <c r="C4284" s="27" t="s">
        <v>44</v>
      </c>
      <c r="D4284" s="27" t="s">
        <v>39</v>
      </c>
      <c r="E4284" s="28" t="n">
        <f aca="false">ROUND((SUMIFS(Acerto_Detalhado!$F$2:$F$433,Acerto_Detalhado!$A$2:$A$433,$C4284,Acerto_Detalhado!$B$2:$B$433,"Nov",Acerto_Detalhado!$C$2:$C$433,"Fibra"))*(SUMIFS(Acerto_Detalhado!$I$2:$I$433,Acerto_Detalhado!$A$2:$A$433,$D4284,Acerto_Detalhado!$B$2:$B$433,"Nov",Acerto_Detalhado!$C$2:$C$433,"Fibra")),2)</f>
        <v>0</v>
      </c>
    </row>
    <row r="4285" customFormat="false" ht="15" hidden="false" customHeight="false" outlineLevel="0" collapsed="false">
      <c r="A4285" s="27" t="s">
        <v>121</v>
      </c>
      <c r="B4285" s="27" t="s">
        <v>111</v>
      </c>
      <c r="C4285" s="27" t="s">
        <v>44</v>
      </c>
      <c r="D4285" s="27" t="s">
        <v>40</v>
      </c>
      <c r="E4285" s="28" t="n">
        <f aca="false">ROUND((SUMIFS(Acerto_Detalhado!$F$2:$F$433,Acerto_Detalhado!$A$2:$A$433,$C4285,Acerto_Detalhado!$B$2:$B$433,"Nov",Acerto_Detalhado!$C$2:$C$433,"Fibra"))*(SUMIFS(Acerto_Detalhado!$I$2:$I$433,Acerto_Detalhado!$A$2:$A$433,$D4285,Acerto_Detalhado!$B$2:$B$433,"Nov",Acerto_Detalhado!$C$2:$C$433,"Fibra")),2)</f>
        <v>0</v>
      </c>
    </row>
    <row r="4286" customFormat="false" ht="15" hidden="false" customHeight="false" outlineLevel="0" collapsed="false">
      <c r="A4286" s="27" t="s">
        <v>121</v>
      </c>
      <c r="B4286" s="27" t="s">
        <v>111</v>
      </c>
      <c r="C4286" s="27" t="s">
        <v>44</v>
      </c>
      <c r="D4286" s="27" t="s">
        <v>41</v>
      </c>
      <c r="E4286" s="28" t="n">
        <f aca="false">ROUND((SUMIFS(Acerto_Detalhado!$F$2:$F$433,Acerto_Detalhado!$A$2:$A$433,$C4286,Acerto_Detalhado!$B$2:$B$433,"Nov",Acerto_Detalhado!$C$2:$C$433,"Fibra"))*(SUMIFS(Acerto_Detalhado!$I$2:$I$433,Acerto_Detalhado!$A$2:$A$433,$D4286,Acerto_Detalhado!$B$2:$B$433,"Nov",Acerto_Detalhado!$C$2:$C$433,"Fibra")),2)</f>
        <v>0</v>
      </c>
    </row>
    <row r="4287" customFormat="false" ht="15" hidden="false" customHeight="false" outlineLevel="0" collapsed="false">
      <c r="A4287" s="27" t="s">
        <v>121</v>
      </c>
      <c r="B4287" s="27" t="s">
        <v>111</v>
      </c>
      <c r="C4287" s="27" t="s">
        <v>44</v>
      </c>
      <c r="D4287" s="27" t="s">
        <v>42</v>
      </c>
      <c r="E4287" s="28" t="n">
        <f aca="false">ROUND((SUMIFS(Acerto_Detalhado!$F$2:$F$433,Acerto_Detalhado!$A$2:$A$433,$C4287,Acerto_Detalhado!$B$2:$B$433,"Nov",Acerto_Detalhado!$C$2:$C$433,"Fibra"))*(SUMIFS(Acerto_Detalhado!$I$2:$I$433,Acerto_Detalhado!$A$2:$A$433,$D4287,Acerto_Detalhado!$B$2:$B$433,"Nov",Acerto_Detalhado!$C$2:$C$433,"Fibra")),2)</f>
        <v>0</v>
      </c>
    </row>
    <row r="4288" customFormat="false" ht="15" hidden="false" customHeight="false" outlineLevel="0" collapsed="false">
      <c r="A4288" s="27" t="s">
        <v>121</v>
      </c>
      <c r="B4288" s="27" t="s">
        <v>111</v>
      </c>
      <c r="C4288" s="27" t="s">
        <v>44</v>
      </c>
      <c r="D4288" s="27" t="s">
        <v>43</v>
      </c>
      <c r="E4288" s="28" t="n">
        <f aca="false">ROUND((SUMIFS(Acerto_Detalhado!$F$2:$F$433,Acerto_Detalhado!$A$2:$A$433,$C4288,Acerto_Detalhado!$B$2:$B$433,"Nov",Acerto_Detalhado!$C$2:$C$433,"Fibra"))*(SUMIFS(Acerto_Detalhado!$I$2:$I$433,Acerto_Detalhado!$A$2:$A$433,$D4288,Acerto_Detalhado!$B$2:$B$433,"Nov",Acerto_Detalhado!$C$2:$C$433,"Fibra")),2)</f>
        <v>0</v>
      </c>
    </row>
    <row r="4289" customFormat="false" ht="15" hidden="false" customHeight="false" outlineLevel="0" collapsed="false">
      <c r="A4289" s="27" t="s">
        <v>121</v>
      </c>
      <c r="B4289" s="27" t="s">
        <v>111</v>
      </c>
      <c r="C4289" s="27" t="s">
        <v>44</v>
      </c>
      <c r="D4289" s="27" t="s">
        <v>45</v>
      </c>
      <c r="E4289" s="28" t="n">
        <f aca="false">ROUND((SUMIFS(Acerto_Detalhado!$F$2:$F$433,Acerto_Detalhado!$A$2:$A$433,$C4289,Acerto_Detalhado!$B$2:$B$433,"Nov",Acerto_Detalhado!$C$2:$C$433,"Fibra"))*(SUMIFS(Acerto_Detalhado!$I$2:$I$433,Acerto_Detalhado!$A$2:$A$433,$D4289,Acerto_Detalhado!$B$2:$B$433,"Nov",Acerto_Detalhado!$C$2:$C$433,"Fibra")),2)</f>
        <v>0</v>
      </c>
    </row>
    <row r="4290" customFormat="false" ht="15" hidden="false" customHeight="false" outlineLevel="0" collapsed="false">
      <c r="A4290" s="27" t="s">
        <v>121</v>
      </c>
      <c r="B4290" s="27" t="s">
        <v>111</v>
      </c>
      <c r="C4290" s="27" t="s">
        <v>44</v>
      </c>
      <c r="D4290" s="27" t="s">
        <v>46</v>
      </c>
      <c r="E4290" s="28" t="n">
        <f aca="false">ROUND((SUMIFS(Acerto_Detalhado!$F$2:$F$433,Acerto_Detalhado!$A$2:$A$433,$C4290,Acerto_Detalhado!$B$2:$B$433,"Nov",Acerto_Detalhado!$C$2:$C$433,"Fibra"))*(SUMIFS(Acerto_Detalhado!$I$2:$I$433,Acerto_Detalhado!$A$2:$A$433,$D4290,Acerto_Detalhado!$B$2:$B$433,"Nov",Acerto_Detalhado!$C$2:$C$433,"Fibra")),2)</f>
        <v>0</v>
      </c>
    </row>
    <row r="4291" customFormat="false" ht="15" hidden="false" customHeight="false" outlineLevel="0" collapsed="false">
      <c r="A4291" s="27" t="s">
        <v>121</v>
      </c>
      <c r="B4291" s="27" t="s">
        <v>111</v>
      </c>
      <c r="C4291" s="27" t="s">
        <v>44</v>
      </c>
      <c r="D4291" s="27" t="s">
        <v>47</v>
      </c>
      <c r="E4291" s="28" t="n">
        <f aca="false">ROUND((SUMIFS(Acerto_Detalhado!$F$2:$F$433,Acerto_Detalhado!$A$2:$A$433,$C4291,Acerto_Detalhado!$B$2:$B$433,"Nov",Acerto_Detalhado!$C$2:$C$433,"Fibra"))*(SUMIFS(Acerto_Detalhado!$I$2:$I$433,Acerto_Detalhado!$A$2:$A$433,$D4291,Acerto_Detalhado!$B$2:$B$433,"Nov",Acerto_Detalhado!$C$2:$C$433,"Fibra")),2)</f>
        <v>0</v>
      </c>
    </row>
    <row r="4292" customFormat="false" ht="15" hidden="false" customHeight="false" outlineLevel="0" collapsed="false">
      <c r="A4292" s="27" t="s">
        <v>121</v>
      </c>
      <c r="B4292" s="27" t="s">
        <v>111</v>
      </c>
      <c r="C4292" s="27" t="s">
        <v>44</v>
      </c>
      <c r="D4292" s="27" t="s">
        <v>48</v>
      </c>
      <c r="E4292" s="28" t="n">
        <f aca="false">ROUND((SUMIFS(Acerto_Detalhado!$F$2:$F$433,Acerto_Detalhado!$A$2:$A$433,$C4292,Acerto_Detalhado!$B$2:$B$433,"Nov",Acerto_Detalhado!$C$2:$C$433,"Fibra"))*(SUMIFS(Acerto_Detalhado!$I$2:$I$433,Acerto_Detalhado!$A$2:$A$433,$D4292,Acerto_Detalhado!$B$2:$B$433,"Nov",Acerto_Detalhado!$C$2:$C$433,"Fibra")),2)</f>
        <v>0</v>
      </c>
    </row>
    <row r="4293" customFormat="false" ht="15" hidden="false" customHeight="false" outlineLevel="0" collapsed="false">
      <c r="A4293" s="27" t="s">
        <v>121</v>
      </c>
      <c r="B4293" s="27" t="s">
        <v>111</v>
      </c>
      <c r="C4293" s="27" t="s">
        <v>44</v>
      </c>
      <c r="D4293" s="27" t="s">
        <v>49</v>
      </c>
      <c r="E4293" s="28" t="n">
        <f aca="false">ROUND((SUMIFS(Acerto_Detalhado!$F$2:$F$433,Acerto_Detalhado!$A$2:$A$433,$C4293,Acerto_Detalhado!$B$2:$B$433,"Nov",Acerto_Detalhado!$C$2:$C$433,"Fibra"))*(SUMIFS(Acerto_Detalhado!$I$2:$I$433,Acerto_Detalhado!$A$2:$A$433,$D4293,Acerto_Detalhado!$B$2:$B$433,"Nov",Acerto_Detalhado!$C$2:$C$433,"Fibra")),2)</f>
        <v>0</v>
      </c>
    </row>
    <row r="4294" customFormat="false" ht="15" hidden="false" customHeight="false" outlineLevel="0" collapsed="false">
      <c r="A4294" s="27" t="s">
        <v>121</v>
      </c>
      <c r="B4294" s="27" t="s">
        <v>111</v>
      </c>
      <c r="C4294" s="27" t="s">
        <v>44</v>
      </c>
      <c r="D4294" s="27" t="s">
        <v>50</v>
      </c>
      <c r="E4294" s="28" t="n">
        <f aca="false">ROUND((SUMIFS(Acerto_Detalhado!$F$2:$F$433,Acerto_Detalhado!$A$2:$A$433,$C4294,Acerto_Detalhado!$B$2:$B$433,"Nov",Acerto_Detalhado!$C$2:$C$433,"Fibra"))*(SUMIFS(Acerto_Detalhado!$I$2:$I$433,Acerto_Detalhado!$A$2:$A$433,$D4294,Acerto_Detalhado!$B$2:$B$433,"Nov",Acerto_Detalhado!$C$2:$C$433,"Fibra")),2)</f>
        <v>0</v>
      </c>
    </row>
    <row r="4295" customFormat="false" ht="15" hidden="false" customHeight="false" outlineLevel="0" collapsed="false">
      <c r="A4295" s="27" t="s">
        <v>121</v>
      </c>
      <c r="B4295" s="27" t="s">
        <v>111</v>
      </c>
      <c r="C4295" s="27" t="s">
        <v>45</v>
      </c>
      <c r="D4295" s="27" t="s">
        <v>39</v>
      </c>
      <c r="E4295" s="28" t="n">
        <f aca="false">ROUND((SUMIFS(Acerto_Detalhado!$F$2:$F$433,Acerto_Detalhado!$A$2:$A$433,$C4295,Acerto_Detalhado!$B$2:$B$433,"Nov",Acerto_Detalhado!$C$2:$C$433,"Fibra"))*(SUMIFS(Acerto_Detalhado!$I$2:$I$433,Acerto_Detalhado!$A$2:$A$433,$D4295,Acerto_Detalhado!$B$2:$B$433,"Nov",Acerto_Detalhado!$C$2:$C$433,"Fibra")),2)</f>
        <v>0</v>
      </c>
    </row>
    <row r="4296" customFormat="false" ht="15" hidden="false" customHeight="false" outlineLevel="0" collapsed="false">
      <c r="A4296" s="27" t="s">
        <v>121</v>
      </c>
      <c r="B4296" s="27" t="s">
        <v>111</v>
      </c>
      <c r="C4296" s="27" t="s">
        <v>45</v>
      </c>
      <c r="D4296" s="27" t="s">
        <v>40</v>
      </c>
      <c r="E4296" s="28" t="n">
        <f aca="false">ROUND((SUMIFS(Acerto_Detalhado!$F$2:$F$433,Acerto_Detalhado!$A$2:$A$433,$C4296,Acerto_Detalhado!$B$2:$B$433,"Nov",Acerto_Detalhado!$C$2:$C$433,"Fibra"))*(SUMIFS(Acerto_Detalhado!$I$2:$I$433,Acerto_Detalhado!$A$2:$A$433,$D4296,Acerto_Detalhado!$B$2:$B$433,"Nov",Acerto_Detalhado!$C$2:$C$433,"Fibra")),2)</f>
        <v>0</v>
      </c>
    </row>
    <row r="4297" customFormat="false" ht="15" hidden="false" customHeight="false" outlineLevel="0" collapsed="false">
      <c r="A4297" s="27" t="s">
        <v>121</v>
      </c>
      <c r="B4297" s="27" t="s">
        <v>111</v>
      </c>
      <c r="C4297" s="27" t="s">
        <v>45</v>
      </c>
      <c r="D4297" s="27" t="s">
        <v>41</v>
      </c>
      <c r="E4297" s="28" t="n">
        <f aca="false">ROUND((SUMIFS(Acerto_Detalhado!$F$2:$F$433,Acerto_Detalhado!$A$2:$A$433,$C4297,Acerto_Detalhado!$B$2:$B$433,"Nov",Acerto_Detalhado!$C$2:$C$433,"Fibra"))*(SUMIFS(Acerto_Detalhado!$I$2:$I$433,Acerto_Detalhado!$A$2:$A$433,$D4297,Acerto_Detalhado!$B$2:$B$433,"Nov",Acerto_Detalhado!$C$2:$C$433,"Fibra")),2)</f>
        <v>0</v>
      </c>
    </row>
    <row r="4298" customFormat="false" ht="15" hidden="false" customHeight="false" outlineLevel="0" collapsed="false">
      <c r="A4298" s="27" t="s">
        <v>121</v>
      </c>
      <c r="B4298" s="27" t="s">
        <v>111</v>
      </c>
      <c r="C4298" s="27" t="s">
        <v>45</v>
      </c>
      <c r="D4298" s="27" t="s">
        <v>42</v>
      </c>
      <c r="E4298" s="28" t="n">
        <f aca="false">ROUND((SUMIFS(Acerto_Detalhado!$F$2:$F$433,Acerto_Detalhado!$A$2:$A$433,$C4298,Acerto_Detalhado!$B$2:$B$433,"Nov",Acerto_Detalhado!$C$2:$C$433,"Fibra"))*(SUMIFS(Acerto_Detalhado!$I$2:$I$433,Acerto_Detalhado!$A$2:$A$433,$D4298,Acerto_Detalhado!$B$2:$B$433,"Nov",Acerto_Detalhado!$C$2:$C$433,"Fibra")),2)</f>
        <v>0</v>
      </c>
    </row>
    <row r="4299" customFormat="false" ht="15" hidden="false" customHeight="false" outlineLevel="0" collapsed="false">
      <c r="A4299" s="27" t="s">
        <v>121</v>
      </c>
      <c r="B4299" s="27" t="s">
        <v>111</v>
      </c>
      <c r="C4299" s="27" t="s">
        <v>45</v>
      </c>
      <c r="D4299" s="27" t="s">
        <v>43</v>
      </c>
      <c r="E4299" s="28" t="n">
        <f aca="false">ROUND((SUMIFS(Acerto_Detalhado!$F$2:$F$433,Acerto_Detalhado!$A$2:$A$433,$C4299,Acerto_Detalhado!$B$2:$B$433,"Nov",Acerto_Detalhado!$C$2:$C$433,"Fibra"))*(SUMIFS(Acerto_Detalhado!$I$2:$I$433,Acerto_Detalhado!$A$2:$A$433,$D4299,Acerto_Detalhado!$B$2:$B$433,"Nov",Acerto_Detalhado!$C$2:$C$433,"Fibra")),2)</f>
        <v>0</v>
      </c>
    </row>
    <row r="4300" customFormat="false" ht="15" hidden="false" customHeight="false" outlineLevel="0" collapsed="false">
      <c r="A4300" s="27" t="s">
        <v>121</v>
      </c>
      <c r="B4300" s="27" t="s">
        <v>111</v>
      </c>
      <c r="C4300" s="27" t="s">
        <v>45</v>
      </c>
      <c r="D4300" s="27" t="s">
        <v>44</v>
      </c>
      <c r="E4300" s="28" t="n">
        <f aca="false">ROUND((SUMIFS(Acerto_Detalhado!$F$2:$F$433,Acerto_Detalhado!$A$2:$A$433,$C4300,Acerto_Detalhado!$B$2:$B$433,"Nov",Acerto_Detalhado!$C$2:$C$433,"Fibra"))*(SUMIFS(Acerto_Detalhado!$I$2:$I$433,Acerto_Detalhado!$A$2:$A$433,$D4300,Acerto_Detalhado!$B$2:$B$433,"Nov",Acerto_Detalhado!$C$2:$C$433,"Fibra")),2)</f>
        <v>0</v>
      </c>
    </row>
    <row r="4301" customFormat="false" ht="15" hidden="false" customHeight="false" outlineLevel="0" collapsed="false">
      <c r="A4301" s="27" t="s">
        <v>121</v>
      </c>
      <c r="B4301" s="27" t="s">
        <v>111</v>
      </c>
      <c r="C4301" s="27" t="s">
        <v>45</v>
      </c>
      <c r="D4301" s="27" t="s">
        <v>46</v>
      </c>
      <c r="E4301" s="28" t="n">
        <f aca="false">ROUND((SUMIFS(Acerto_Detalhado!$F$2:$F$433,Acerto_Detalhado!$A$2:$A$433,$C4301,Acerto_Detalhado!$B$2:$B$433,"Nov",Acerto_Detalhado!$C$2:$C$433,"Fibra"))*(SUMIFS(Acerto_Detalhado!$I$2:$I$433,Acerto_Detalhado!$A$2:$A$433,$D4301,Acerto_Detalhado!$B$2:$B$433,"Nov",Acerto_Detalhado!$C$2:$C$433,"Fibra")),2)</f>
        <v>0</v>
      </c>
    </row>
    <row r="4302" customFormat="false" ht="15" hidden="false" customHeight="false" outlineLevel="0" collapsed="false">
      <c r="A4302" s="27" t="s">
        <v>121</v>
      </c>
      <c r="B4302" s="27" t="s">
        <v>111</v>
      </c>
      <c r="C4302" s="27" t="s">
        <v>45</v>
      </c>
      <c r="D4302" s="27" t="s">
        <v>47</v>
      </c>
      <c r="E4302" s="28" t="n">
        <f aca="false">ROUND((SUMIFS(Acerto_Detalhado!$F$2:$F$433,Acerto_Detalhado!$A$2:$A$433,$C4302,Acerto_Detalhado!$B$2:$B$433,"Nov",Acerto_Detalhado!$C$2:$C$433,"Fibra"))*(SUMIFS(Acerto_Detalhado!$I$2:$I$433,Acerto_Detalhado!$A$2:$A$433,$D4302,Acerto_Detalhado!$B$2:$B$433,"Nov",Acerto_Detalhado!$C$2:$C$433,"Fibra")),2)</f>
        <v>0</v>
      </c>
    </row>
    <row r="4303" customFormat="false" ht="15" hidden="false" customHeight="false" outlineLevel="0" collapsed="false">
      <c r="A4303" s="27" t="s">
        <v>121</v>
      </c>
      <c r="B4303" s="27" t="s">
        <v>111</v>
      </c>
      <c r="C4303" s="27" t="s">
        <v>45</v>
      </c>
      <c r="D4303" s="27" t="s">
        <v>48</v>
      </c>
      <c r="E4303" s="28" t="n">
        <f aca="false">ROUND((SUMIFS(Acerto_Detalhado!$F$2:$F$433,Acerto_Detalhado!$A$2:$A$433,$C4303,Acerto_Detalhado!$B$2:$B$433,"Nov",Acerto_Detalhado!$C$2:$C$433,"Fibra"))*(SUMIFS(Acerto_Detalhado!$I$2:$I$433,Acerto_Detalhado!$A$2:$A$433,$D4303,Acerto_Detalhado!$B$2:$B$433,"Nov",Acerto_Detalhado!$C$2:$C$433,"Fibra")),2)</f>
        <v>0</v>
      </c>
    </row>
    <row r="4304" customFormat="false" ht="15" hidden="false" customHeight="false" outlineLevel="0" collapsed="false">
      <c r="A4304" s="27" t="s">
        <v>121</v>
      </c>
      <c r="B4304" s="27" t="s">
        <v>111</v>
      </c>
      <c r="C4304" s="27" t="s">
        <v>45</v>
      </c>
      <c r="D4304" s="27" t="s">
        <v>49</v>
      </c>
      <c r="E4304" s="28" t="n">
        <f aca="false">ROUND((SUMIFS(Acerto_Detalhado!$F$2:$F$433,Acerto_Detalhado!$A$2:$A$433,$C4304,Acerto_Detalhado!$B$2:$B$433,"Nov",Acerto_Detalhado!$C$2:$C$433,"Fibra"))*(SUMIFS(Acerto_Detalhado!$I$2:$I$433,Acerto_Detalhado!$A$2:$A$433,$D4304,Acerto_Detalhado!$B$2:$B$433,"Nov",Acerto_Detalhado!$C$2:$C$433,"Fibra")),2)</f>
        <v>0</v>
      </c>
    </row>
    <row r="4305" customFormat="false" ht="15" hidden="false" customHeight="false" outlineLevel="0" collapsed="false">
      <c r="A4305" s="27" t="s">
        <v>121</v>
      </c>
      <c r="B4305" s="27" t="s">
        <v>111</v>
      </c>
      <c r="C4305" s="27" t="s">
        <v>45</v>
      </c>
      <c r="D4305" s="27" t="s">
        <v>50</v>
      </c>
      <c r="E4305" s="28" t="n">
        <f aca="false">ROUND((SUMIFS(Acerto_Detalhado!$F$2:$F$433,Acerto_Detalhado!$A$2:$A$433,$C4305,Acerto_Detalhado!$B$2:$B$433,"Nov",Acerto_Detalhado!$C$2:$C$433,"Fibra"))*(SUMIFS(Acerto_Detalhado!$I$2:$I$433,Acerto_Detalhado!$A$2:$A$433,$D4305,Acerto_Detalhado!$B$2:$B$433,"Nov",Acerto_Detalhado!$C$2:$C$433,"Fibra")),2)</f>
        <v>0</v>
      </c>
    </row>
    <row r="4306" customFormat="false" ht="15" hidden="false" customHeight="false" outlineLevel="0" collapsed="false">
      <c r="A4306" s="27" t="s">
        <v>121</v>
      </c>
      <c r="B4306" s="27" t="s">
        <v>111</v>
      </c>
      <c r="C4306" s="27" t="s">
        <v>46</v>
      </c>
      <c r="D4306" s="27" t="s">
        <v>39</v>
      </c>
      <c r="E4306" s="28" t="n">
        <f aca="false">ROUND((SUMIFS(Acerto_Detalhado!$F$2:$F$433,Acerto_Detalhado!$A$2:$A$433,$C4306,Acerto_Detalhado!$B$2:$B$433,"Nov",Acerto_Detalhado!$C$2:$C$433,"Fibra"))*(SUMIFS(Acerto_Detalhado!$I$2:$I$433,Acerto_Detalhado!$A$2:$A$433,$D4306,Acerto_Detalhado!$B$2:$B$433,"Nov",Acerto_Detalhado!$C$2:$C$433,"Fibra")),2)</f>
        <v>0</v>
      </c>
    </row>
    <row r="4307" customFormat="false" ht="15" hidden="false" customHeight="false" outlineLevel="0" collapsed="false">
      <c r="A4307" s="27" t="s">
        <v>121</v>
      </c>
      <c r="B4307" s="27" t="s">
        <v>111</v>
      </c>
      <c r="C4307" s="27" t="s">
        <v>46</v>
      </c>
      <c r="D4307" s="27" t="s">
        <v>40</v>
      </c>
      <c r="E4307" s="28" t="n">
        <f aca="false">ROUND((SUMIFS(Acerto_Detalhado!$F$2:$F$433,Acerto_Detalhado!$A$2:$A$433,$C4307,Acerto_Detalhado!$B$2:$B$433,"Nov",Acerto_Detalhado!$C$2:$C$433,"Fibra"))*(SUMIFS(Acerto_Detalhado!$I$2:$I$433,Acerto_Detalhado!$A$2:$A$433,$D4307,Acerto_Detalhado!$B$2:$B$433,"Nov",Acerto_Detalhado!$C$2:$C$433,"Fibra")),2)</f>
        <v>0</v>
      </c>
    </row>
    <row r="4308" customFormat="false" ht="15" hidden="false" customHeight="false" outlineLevel="0" collapsed="false">
      <c r="A4308" s="27" t="s">
        <v>121</v>
      </c>
      <c r="B4308" s="27" t="s">
        <v>111</v>
      </c>
      <c r="C4308" s="27" t="s">
        <v>46</v>
      </c>
      <c r="D4308" s="27" t="s">
        <v>41</v>
      </c>
      <c r="E4308" s="28" t="n">
        <f aca="false">ROUND((SUMIFS(Acerto_Detalhado!$F$2:$F$433,Acerto_Detalhado!$A$2:$A$433,$C4308,Acerto_Detalhado!$B$2:$B$433,"Nov",Acerto_Detalhado!$C$2:$C$433,"Fibra"))*(SUMIFS(Acerto_Detalhado!$I$2:$I$433,Acerto_Detalhado!$A$2:$A$433,$D4308,Acerto_Detalhado!$B$2:$B$433,"Nov",Acerto_Detalhado!$C$2:$C$433,"Fibra")),2)</f>
        <v>0</v>
      </c>
    </row>
    <row r="4309" customFormat="false" ht="15" hidden="false" customHeight="false" outlineLevel="0" collapsed="false">
      <c r="A4309" s="27" t="s">
        <v>121</v>
      </c>
      <c r="B4309" s="27" t="s">
        <v>111</v>
      </c>
      <c r="C4309" s="27" t="s">
        <v>46</v>
      </c>
      <c r="D4309" s="27" t="s">
        <v>42</v>
      </c>
      <c r="E4309" s="28" t="n">
        <f aca="false">ROUND((SUMIFS(Acerto_Detalhado!$F$2:$F$433,Acerto_Detalhado!$A$2:$A$433,$C4309,Acerto_Detalhado!$B$2:$B$433,"Nov",Acerto_Detalhado!$C$2:$C$433,"Fibra"))*(SUMIFS(Acerto_Detalhado!$I$2:$I$433,Acerto_Detalhado!$A$2:$A$433,$D4309,Acerto_Detalhado!$B$2:$B$433,"Nov",Acerto_Detalhado!$C$2:$C$433,"Fibra")),2)</f>
        <v>0</v>
      </c>
    </row>
    <row r="4310" customFormat="false" ht="15" hidden="false" customHeight="false" outlineLevel="0" collapsed="false">
      <c r="A4310" s="27" t="s">
        <v>121</v>
      </c>
      <c r="B4310" s="27" t="s">
        <v>111</v>
      </c>
      <c r="C4310" s="27" t="s">
        <v>46</v>
      </c>
      <c r="D4310" s="27" t="s">
        <v>43</v>
      </c>
      <c r="E4310" s="28" t="n">
        <f aca="false">ROUND((SUMIFS(Acerto_Detalhado!$F$2:$F$433,Acerto_Detalhado!$A$2:$A$433,$C4310,Acerto_Detalhado!$B$2:$B$433,"Nov",Acerto_Detalhado!$C$2:$C$433,"Fibra"))*(SUMIFS(Acerto_Detalhado!$I$2:$I$433,Acerto_Detalhado!$A$2:$A$433,$D4310,Acerto_Detalhado!$B$2:$B$433,"Nov",Acerto_Detalhado!$C$2:$C$433,"Fibra")),2)</f>
        <v>0</v>
      </c>
    </row>
    <row r="4311" customFormat="false" ht="15" hidden="false" customHeight="false" outlineLevel="0" collapsed="false">
      <c r="A4311" s="27" t="s">
        <v>121</v>
      </c>
      <c r="B4311" s="27" t="s">
        <v>111</v>
      </c>
      <c r="C4311" s="27" t="s">
        <v>46</v>
      </c>
      <c r="D4311" s="27" t="s">
        <v>44</v>
      </c>
      <c r="E4311" s="28" t="n">
        <f aca="false">ROUND((SUMIFS(Acerto_Detalhado!$F$2:$F$433,Acerto_Detalhado!$A$2:$A$433,$C4311,Acerto_Detalhado!$B$2:$B$433,"Nov",Acerto_Detalhado!$C$2:$C$433,"Fibra"))*(SUMIFS(Acerto_Detalhado!$I$2:$I$433,Acerto_Detalhado!$A$2:$A$433,$D4311,Acerto_Detalhado!$B$2:$B$433,"Nov",Acerto_Detalhado!$C$2:$C$433,"Fibra")),2)</f>
        <v>0</v>
      </c>
    </row>
    <row r="4312" customFormat="false" ht="15" hidden="false" customHeight="false" outlineLevel="0" collapsed="false">
      <c r="A4312" s="27" t="s">
        <v>121</v>
      </c>
      <c r="B4312" s="27" t="s">
        <v>111</v>
      </c>
      <c r="C4312" s="27" t="s">
        <v>46</v>
      </c>
      <c r="D4312" s="27" t="s">
        <v>45</v>
      </c>
      <c r="E4312" s="28" t="n">
        <f aca="false">ROUND((SUMIFS(Acerto_Detalhado!$F$2:$F$433,Acerto_Detalhado!$A$2:$A$433,$C4312,Acerto_Detalhado!$B$2:$B$433,"Nov",Acerto_Detalhado!$C$2:$C$433,"Fibra"))*(SUMIFS(Acerto_Detalhado!$I$2:$I$433,Acerto_Detalhado!$A$2:$A$433,$D4312,Acerto_Detalhado!$B$2:$B$433,"Nov",Acerto_Detalhado!$C$2:$C$433,"Fibra")),2)</f>
        <v>0</v>
      </c>
    </row>
    <row r="4313" customFormat="false" ht="15" hidden="false" customHeight="false" outlineLevel="0" collapsed="false">
      <c r="A4313" s="27" t="s">
        <v>121</v>
      </c>
      <c r="B4313" s="27" t="s">
        <v>111</v>
      </c>
      <c r="C4313" s="27" t="s">
        <v>46</v>
      </c>
      <c r="D4313" s="27" t="s">
        <v>47</v>
      </c>
      <c r="E4313" s="28" t="n">
        <f aca="false">ROUND((SUMIFS(Acerto_Detalhado!$F$2:$F$433,Acerto_Detalhado!$A$2:$A$433,$C4313,Acerto_Detalhado!$B$2:$B$433,"Nov",Acerto_Detalhado!$C$2:$C$433,"Fibra"))*(SUMIFS(Acerto_Detalhado!$I$2:$I$433,Acerto_Detalhado!$A$2:$A$433,$D4313,Acerto_Detalhado!$B$2:$B$433,"Nov",Acerto_Detalhado!$C$2:$C$433,"Fibra")),2)</f>
        <v>0</v>
      </c>
    </row>
    <row r="4314" customFormat="false" ht="15" hidden="false" customHeight="false" outlineLevel="0" collapsed="false">
      <c r="A4314" s="27" t="s">
        <v>121</v>
      </c>
      <c r="B4314" s="27" t="s">
        <v>111</v>
      </c>
      <c r="C4314" s="27" t="s">
        <v>46</v>
      </c>
      <c r="D4314" s="27" t="s">
        <v>48</v>
      </c>
      <c r="E4314" s="28" t="n">
        <f aca="false">ROUND((SUMIFS(Acerto_Detalhado!$F$2:$F$433,Acerto_Detalhado!$A$2:$A$433,$C4314,Acerto_Detalhado!$B$2:$B$433,"Nov",Acerto_Detalhado!$C$2:$C$433,"Fibra"))*(SUMIFS(Acerto_Detalhado!$I$2:$I$433,Acerto_Detalhado!$A$2:$A$433,$D4314,Acerto_Detalhado!$B$2:$B$433,"Nov",Acerto_Detalhado!$C$2:$C$433,"Fibra")),2)</f>
        <v>0</v>
      </c>
    </row>
    <row r="4315" customFormat="false" ht="15" hidden="false" customHeight="false" outlineLevel="0" collapsed="false">
      <c r="A4315" s="27" t="s">
        <v>121</v>
      </c>
      <c r="B4315" s="27" t="s">
        <v>111</v>
      </c>
      <c r="C4315" s="27" t="s">
        <v>46</v>
      </c>
      <c r="D4315" s="27" t="s">
        <v>49</v>
      </c>
      <c r="E4315" s="28" t="n">
        <f aca="false">ROUND((SUMIFS(Acerto_Detalhado!$F$2:$F$433,Acerto_Detalhado!$A$2:$A$433,$C4315,Acerto_Detalhado!$B$2:$B$433,"Nov",Acerto_Detalhado!$C$2:$C$433,"Fibra"))*(SUMIFS(Acerto_Detalhado!$I$2:$I$433,Acerto_Detalhado!$A$2:$A$433,$D4315,Acerto_Detalhado!$B$2:$B$433,"Nov",Acerto_Detalhado!$C$2:$C$433,"Fibra")),2)</f>
        <v>0</v>
      </c>
    </row>
    <row r="4316" customFormat="false" ht="15" hidden="false" customHeight="false" outlineLevel="0" collapsed="false">
      <c r="A4316" s="27" t="s">
        <v>121</v>
      </c>
      <c r="B4316" s="27" t="s">
        <v>111</v>
      </c>
      <c r="C4316" s="27" t="s">
        <v>46</v>
      </c>
      <c r="D4316" s="27" t="s">
        <v>50</v>
      </c>
      <c r="E4316" s="28" t="n">
        <f aca="false">ROUND((SUMIFS(Acerto_Detalhado!$F$2:$F$433,Acerto_Detalhado!$A$2:$A$433,$C4316,Acerto_Detalhado!$B$2:$B$433,"Nov",Acerto_Detalhado!$C$2:$C$433,"Fibra"))*(SUMIFS(Acerto_Detalhado!$I$2:$I$433,Acerto_Detalhado!$A$2:$A$433,$D4316,Acerto_Detalhado!$B$2:$B$433,"Nov",Acerto_Detalhado!$C$2:$C$433,"Fibra")),2)</f>
        <v>0</v>
      </c>
    </row>
    <row r="4317" customFormat="false" ht="15" hidden="false" customHeight="false" outlineLevel="0" collapsed="false">
      <c r="A4317" s="27" t="s">
        <v>121</v>
      </c>
      <c r="B4317" s="27" t="s">
        <v>111</v>
      </c>
      <c r="C4317" s="27" t="s">
        <v>47</v>
      </c>
      <c r="D4317" s="27" t="s">
        <v>39</v>
      </c>
      <c r="E4317" s="28" t="n">
        <f aca="false">ROUND((SUMIFS(Acerto_Detalhado!$F$2:$F$433,Acerto_Detalhado!$A$2:$A$433,$C4317,Acerto_Detalhado!$B$2:$B$433,"Nov",Acerto_Detalhado!$C$2:$C$433,"Fibra"))*(SUMIFS(Acerto_Detalhado!$I$2:$I$433,Acerto_Detalhado!$A$2:$A$433,$D4317,Acerto_Detalhado!$B$2:$B$433,"Nov",Acerto_Detalhado!$C$2:$C$433,"Fibra")),2)</f>
        <v>0</v>
      </c>
    </row>
    <row r="4318" customFormat="false" ht="15" hidden="false" customHeight="false" outlineLevel="0" collapsed="false">
      <c r="A4318" s="27" t="s">
        <v>121</v>
      </c>
      <c r="B4318" s="27" t="s">
        <v>111</v>
      </c>
      <c r="C4318" s="27" t="s">
        <v>47</v>
      </c>
      <c r="D4318" s="27" t="s">
        <v>40</v>
      </c>
      <c r="E4318" s="28" t="n">
        <f aca="false">ROUND((SUMIFS(Acerto_Detalhado!$F$2:$F$433,Acerto_Detalhado!$A$2:$A$433,$C4318,Acerto_Detalhado!$B$2:$B$433,"Nov",Acerto_Detalhado!$C$2:$C$433,"Fibra"))*(SUMIFS(Acerto_Detalhado!$I$2:$I$433,Acerto_Detalhado!$A$2:$A$433,$D4318,Acerto_Detalhado!$B$2:$B$433,"Nov",Acerto_Detalhado!$C$2:$C$433,"Fibra")),2)</f>
        <v>0</v>
      </c>
    </row>
    <row r="4319" customFormat="false" ht="15" hidden="false" customHeight="false" outlineLevel="0" collapsed="false">
      <c r="A4319" s="27" t="s">
        <v>121</v>
      </c>
      <c r="B4319" s="27" t="s">
        <v>111</v>
      </c>
      <c r="C4319" s="27" t="s">
        <v>47</v>
      </c>
      <c r="D4319" s="27" t="s">
        <v>41</v>
      </c>
      <c r="E4319" s="28" t="n">
        <f aca="false">ROUND((SUMIFS(Acerto_Detalhado!$F$2:$F$433,Acerto_Detalhado!$A$2:$A$433,$C4319,Acerto_Detalhado!$B$2:$B$433,"Nov",Acerto_Detalhado!$C$2:$C$433,"Fibra"))*(SUMIFS(Acerto_Detalhado!$I$2:$I$433,Acerto_Detalhado!$A$2:$A$433,$D4319,Acerto_Detalhado!$B$2:$B$433,"Nov",Acerto_Detalhado!$C$2:$C$433,"Fibra")),2)</f>
        <v>0</v>
      </c>
    </row>
    <row r="4320" customFormat="false" ht="15" hidden="false" customHeight="false" outlineLevel="0" collapsed="false">
      <c r="A4320" s="27" t="s">
        <v>121</v>
      </c>
      <c r="B4320" s="27" t="s">
        <v>111</v>
      </c>
      <c r="C4320" s="27" t="s">
        <v>47</v>
      </c>
      <c r="D4320" s="27" t="s">
        <v>42</v>
      </c>
      <c r="E4320" s="28" t="n">
        <f aca="false">ROUND((SUMIFS(Acerto_Detalhado!$F$2:$F$433,Acerto_Detalhado!$A$2:$A$433,$C4320,Acerto_Detalhado!$B$2:$B$433,"Nov",Acerto_Detalhado!$C$2:$C$433,"Fibra"))*(SUMIFS(Acerto_Detalhado!$I$2:$I$433,Acerto_Detalhado!$A$2:$A$433,$D4320,Acerto_Detalhado!$B$2:$B$433,"Nov",Acerto_Detalhado!$C$2:$C$433,"Fibra")),2)</f>
        <v>0</v>
      </c>
    </row>
    <row r="4321" customFormat="false" ht="15" hidden="false" customHeight="false" outlineLevel="0" collapsed="false">
      <c r="A4321" s="27" t="s">
        <v>121</v>
      </c>
      <c r="B4321" s="27" t="s">
        <v>111</v>
      </c>
      <c r="C4321" s="27" t="s">
        <v>47</v>
      </c>
      <c r="D4321" s="27" t="s">
        <v>43</v>
      </c>
      <c r="E4321" s="28" t="n">
        <f aca="false">ROUND((SUMIFS(Acerto_Detalhado!$F$2:$F$433,Acerto_Detalhado!$A$2:$A$433,$C4321,Acerto_Detalhado!$B$2:$B$433,"Nov",Acerto_Detalhado!$C$2:$C$433,"Fibra"))*(SUMIFS(Acerto_Detalhado!$I$2:$I$433,Acerto_Detalhado!$A$2:$A$433,$D4321,Acerto_Detalhado!$B$2:$B$433,"Nov",Acerto_Detalhado!$C$2:$C$433,"Fibra")),2)</f>
        <v>0</v>
      </c>
    </row>
    <row r="4322" customFormat="false" ht="15" hidden="false" customHeight="false" outlineLevel="0" collapsed="false">
      <c r="A4322" s="27" t="s">
        <v>121</v>
      </c>
      <c r="B4322" s="27" t="s">
        <v>111</v>
      </c>
      <c r="C4322" s="27" t="s">
        <v>47</v>
      </c>
      <c r="D4322" s="27" t="s">
        <v>44</v>
      </c>
      <c r="E4322" s="28" t="n">
        <f aca="false">ROUND((SUMIFS(Acerto_Detalhado!$F$2:$F$433,Acerto_Detalhado!$A$2:$A$433,$C4322,Acerto_Detalhado!$B$2:$B$433,"Nov",Acerto_Detalhado!$C$2:$C$433,"Fibra"))*(SUMIFS(Acerto_Detalhado!$I$2:$I$433,Acerto_Detalhado!$A$2:$A$433,$D4322,Acerto_Detalhado!$B$2:$B$433,"Nov",Acerto_Detalhado!$C$2:$C$433,"Fibra")),2)</f>
        <v>0</v>
      </c>
    </row>
    <row r="4323" customFormat="false" ht="15" hidden="false" customHeight="false" outlineLevel="0" collapsed="false">
      <c r="A4323" s="27" t="s">
        <v>121</v>
      </c>
      <c r="B4323" s="27" t="s">
        <v>111</v>
      </c>
      <c r="C4323" s="27" t="s">
        <v>47</v>
      </c>
      <c r="D4323" s="27" t="s">
        <v>45</v>
      </c>
      <c r="E4323" s="28" t="n">
        <f aca="false">ROUND((SUMIFS(Acerto_Detalhado!$F$2:$F$433,Acerto_Detalhado!$A$2:$A$433,$C4323,Acerto_Detalhado!$B$2:$B$433,"Nov",Acerto_Detalhado!$C$2:$C$433,"Fibra"))*(SUMIFS(Acerto_Detalhado!$I$2:$I$433,Acerto_Detalhado!$A$2:$A$433,$D4323,Acerto_Detalhado!$B$2:$B$433,"Nov",Acerto_Detalhado!$C$2:$C$433,"Fibra")),2)</f>
        <v>0</v>
      </c>
    </row>
    <row r="4324" customFormat="false" ht="15" hidden="false" customHeight="false" outlineLevel="0" collapsed="false">
      <c r="A4324" s="27" t="s">
        <v>121</v>
      </c>
      <c r="B4324" s="27" t="s">
        <v>111</v>
      </c>
      <c r="C4324" s="27" t="s">
        <v>47</v>
      </c>
      <c r="D4324" s="27" t="s">
        <v>46</v>
      </c>
      <c r="E4324" s="28" t="n">
        <f aca="false">ROUND((SUMIFS(Acerto_Detalhado!$F$2:$F$433,Acerto_Detalhado!$A$2:$A$433,$C4324,Acerto_Detalhado!$B$2:$B$433,"Nov",Acerto_Detalhado!$C$2:$C$433,"Fibra"))*(SUMIFS(Acerto_Detalhado!$I$2:$I$433,Acerto_Detalhado!$A$2:$A$433,$D4324,Acerto_Detalhado!$B$2:$B$433,"Nov",Acerto_Detalhado!$C$2:$C$433,"Fibra")),2)</f>
        <v>0</v>
      </c>
    </row>
    <row r="4325" customFormat="false" ht="15" hidden="false" customHeight="false" outlineLevel="0" collapsed="false">
      <c r="A4325" s="27" t="s">
        <v>121</v>
      </c>
      <c r="B4325" s="27" t="s">
        <v>111</v>
      </c>
      <c r="C4325" s="27" t="s">
        <v>47</v>
      </c>
      <c r="D4325" s="27" t="s">
        <v>48</v>
      </c>
      <c r="E4325" s="28" t="n">
        <f aca="false">ROUND((SUMIFS(Acerto_Detalhado!$F$2:$F$433,Acerto_Detalhado!$A$2:$A$433,$C4325,Acerto_Detalhado!$B$2:$B$433,"Nov",Acerto_Detalhado!$C$2:$C$433,"Fibra"))*(SUMIFS(Acerto_Detalhado!$I$2:$I$433,Acerto_Detalhado!$A$2:$A$433,$D4325,Acerto_Detalhado!$B$2:$B$433,"Nov",Acerto_Detalhado!$C$2:$C$433,"Fibra")),2)</f>
        <v>0</v>
      </c>
    </row>
    <row r="4326" customFormat="false" ht="15" hidden="false" customHeight="false" outlineLevel="0" collapsed="false">
      <c r="A4326" s="27" t="s">
        <v>121</v>
      </c>
      <c r="B4326" s="27" t="s">
        <v>111</v>
      </c>
      <c r="C4326" s="27" t="s">
        <v>47</v>
      </c>
      <c r="D4326" s="27" t="s">
        <v>49</v>
      </c>
      <c r="E4326" s="28" t="n">
        <f aca="false">ROUND((SUMIFS(Acerto_Detalhado!$F$2:$F$433,Acerto_Detalhado!$A$2:$A$433,$C4326,Acerto_Detalhado!$B$2:$B$433,"Nov",Acerto_Detalhado!$C$2:$C$433,"Fibra"))*(SUMIFS(Acerto_Detalhado!$I$2:$I$433,Acerto_Detalhado!$A$2:$A$433,$D4326,Acerto_Detalhado!$B$2:$B$433,"Nov",Acerto_Detalhado!$C$2:$C$433,"Fibra")),2)</f>
        <v>0</v>
      </c>
    </row>
    <row r="4327" customFormat="false" ht="15" hidden="false" customHeight="false" outlineLevel="0" collapsed="false">
      <c r="A4327" s="27" t="s">
        <v>121</v>
      </c>
      <c r="B4327" s="27" t="s">
        <v>111</v>
      </c>
      <c r="C4327" s="27" t="s">
        <v>47</v>
      </c>
      <c r="D4327" s="27" t="s">
        <v>50</v>
      </c>
      <c r="E4327" s="28" t="n">
        <f aca="false">ROUND((SUMIFS(Acerto_Detalhado!$F$2:$F$433,Acerto_Detalhado!$A$2:$A$433,$C4327,Acerto_Detalhado!$B$2:$B$433,"Nov",Acerto_Detalhado!$C$2:$C$433,"Fibra"))*(SUMIFS(Acerto_Detalhado!$I$2:$I$433,Acerto_Detalhado!$A$2:$A$433,$D4327,Acerto_Detalhado!$B$2:$B$433,"Nov",Acerto_Detalhado!$C$2:$C$433,"Fibra")),2)</f>
        <v>0</v>
      </c>
    </row>
    <row r="4328" customFormat="false" ht="15" hidden="false" customHeight="false" outlineLevel="0" collapsed="false">
      <c r="A4328" s="27" t="s">
        <v>121</v>
      </c>
      <c r="B4328" s="27" t="s">
        <v>111</v>
      </c>
      <c r="C4328" s="27" t="s">
        <v>48</v>
      </c>
      <c r="D4328" s="27" t="s">
        <v>39</v>
      </c>
      <c r="E4328" s="28" t="n">
        <f aca="false">ROUND((SUMIFS(Acerto_Detalhado!$F$2:$F$433,Acerto_Detalhado!$A$2:$A$433,$C4328,Acerto_Detalhado!$B$2:$B$433,"Nov",Acerto_Detalhado!$C$2:$C$433,"Fibra"))*(SUMIFS(Acerto_Detalhado!$I$2:$I$433,Acerto_Detalhado!$A$2:$A$433,$D4328,Acerto_Detalhado!$B$2:$B$433,"Nov",Acerto_Detalhado!$C$2:$C$433,"Fibra")),2)</f>
        <v>0</v>
      </c>
    </row>
    <row r="4329" customFormat="false" ht="15" hidden="false" customHeight="false" outlineLevel="0" collapsed="false">
      <c r="A4329" s="27" t="s">
        <v>121</v>
      </c>
      <c r="B4329" s="27" t="s">
        <v>111</v>
      </c>
      <c r="C4329" s="27" t="s">
        <v>48</v>
      </c>
      <c r="D4329" s="27" t="s">
        <v>40</v>
      </c>
      <c r="E4329" s="28" t="n">
        <f aca="false">ROUND((SUMIFS(Acerto_Detalhado!$F$2:$F$433,Acerto_Detalhado!$A$2:$A$433,$C4329,Acerto_Detalhado!$B$2:$B$433,"Nov",Acerto_Detalhado!$C$2:$C$433,"Fibra"))*(SUMIFS(Acerto_Detalhado!$I$2:$I$433,Acerto_Detalhado!$A$2:$A$433,$D4329,Acerto_Detalhado!$B$2:$B$433,"Nov",Acerto_Detalhado!$C$2:$C$433,"Fibra")),2)</f>
        <v>0</v>
      </c>
    </row>
    <row r="4330" customFormat="false" ht="15" hidden="false" customHeight="false" outlineLevel="0" collapsed="false">
      <c r="A4330" s="27" t="s">
        <v>121</v>
      </c>
      <c r="B4330" s="27" t="s">
        <v>111</v>
      </c>
      <c r="C4330" s="27" t="s">
        <v>48</v>
      </c>
      <c r="D4330" s="27" t="s">
        <v>41</v>
      </c>
      <c r="E4330" s="28" t="n">
        <f aca="false">ROUND((SUMIFS(Acerto_Detalhado!$F$2:$F$433,Acerto_Detalhado!$A$2:$A$433,$C4330,Acerto_Detalhado!$B$2:$B$433,"Nov",Acerto_Detalhado!$C$2:$C$433,"Fibra"))*(SUMIFS(Acerto_Detalhado!$I$2:$I$433,Acerto_Detalhado!$A$2:$A$433,$D4330,Acerto_Detalhado!$B$2:$B$433,"Nov",Acerto_Detalhado!$C$2:$C$433,"Fibra")),2)</f>
        <v>0</v>
      </c>
    </row>
    <row r="4331" customFormat="false" ht="15" hidden="false" customHeight="false" outlineLevel="0" collapsed="false">
      <c r="A4331" s="27" t="s">
        <v>121</v>
      </c>
      <c r="B4331" s="27" t="s">
        <v>111</v>
      </c>
      <c r="C4331" s="27" t="s">
        <v>48</v>
      </c>
      <c r="D4331" s="27" t="s">
        <v>42</v>
      </c>
      <c r="E4331" s="28" t="n">
        <f aca="false">ROUND((SUMIFS(Acerto_Detalhado!$F$2:$F$433,Acerto_Detalhado!$A$2:$A$433,$C4331,Acerto_Detalhado!$B$2:$B$433,"Nov",Acerto_Detalhado!$C$2:$C$433,"Fibra"))*(SUMIFS(Acerto_Detalhado!$I$2:$I$433,Acerto_Detalhado!$A$2:$A$433,$D4331,Acerto_Detalhado!$B$2:$B$433,"Nov",Acerto_Detalhado!$C$2:$C$433,"Fibra")),2)</f>
        <v>0</v>
      </c>
    </row>
    <row r="4332" customFormat="false" ht="15" hidden="false" customHeight="false" outlineLevel="0" collapsed="false">
      <c r="A4332" s="27" t="s">
        <v>121</v>
      </c>
      <c r="B4332" s="27" t="s">
        <v>111</v>
      </c>
      <c r="C4332" s="27" t="s">
        <v>48</v>
      </c>
      <c r="D4332" s="27" t="s">
        <v>43</v>
      </c>
      <c r="E4332" s="28" t="n">
        <f aca="false">ROUND((SUMIFS(Acerto_Detalhado!$F$2:$F$433,Acerto_Detalhado!$A$2:$A$433,$C4332,Acerto_Detalhado!$B$2:$B$433,"Nov",Acerto_Detalhado!$C$2:$C$433,"Fibra"))*(SUMIFS(Acerto_Detalhado!$I$2:$I$433,Acerto_Detalhado!$A$2:$A$433,$D4332,Acerto_Detalhado!$B$2:$B$433,"Nov",Acerto_Detalhado!$C$2:$C$433,"Fibra")),2)</f>
        <v>0</v>
      </c>
    </row>
    <row r="4333" customFormat="false" ht="15" hidden="false" customHeight="false" outlineLevel="0" collapsed="false">
      <c r="A4333" s="27" t="s">
        <v>121</v>
      </c>
      <c r="B4333" s="27" t="s">
        <v>111</v>
      </c>
      <c r="C4333" s="27" t="s">
        <v>48</v>
      </c>
      <c r="D4333" s="27" t="s">
        <v>44</v>
      </c>
      <c r="E4333" s="28" t="n">
        <f aca="false">ROUND((SUMIFS(Acerto_Detalhado!$F$2:$F$433,Acerto_Detalhado!$A$2:$A$433,$C4333,Acerto_Detalhado!$B$2:$B$433,"Nov",Acerto_Detalhado!$C$2:$C$433,"Fibra"))*(SUMIFS(Acerto_Detalhado!$I$2:$I$433,Acerto_Detalhado!$A$2:$A$433,$D4333,Acerto_Detalhado!$B$2:$B$433,"Nov",Acerto_Detalhado!$C$2:$C$433,"Fibra")),2)</f>
        <v>0</v>
      </c>
    </row>
    <row r="4334" customFormat="false" ht="15" hidden="false" customHeight="false" outlineLevel="0" collapsed="false">
      <c r="A4334" s="27" t="s">
        <v>121</v>
      </c>
      <c r="B4334" s="27" t="s">
        <v>111</v>
      </c>
      <c r="C4334" s="27" t="s">
        <v>48</v>
      </c>
      <c r="D4334" s="27" t="s">
        <v>45</v>
      </c>
      <c r="E4334" s="28" t="n">
        <f aca="false">ROUND((SUMIFS(Acerto_Detalhado!$F$2:$F$433,Acerto_Detalhado!$A$2:$A$433,$C4334,Acerto_Detalhado!$B$2:$B$433,"Nov",Acerto_Detalhado!$C$2:$C$433,"Fibra"))*(SUMIFS(Acerto_Detalhado!$I$2:$I$433,Acerto_Detalhado!$A$2:$A$433,$D4334,Acerto_Detalhado!$B$2:$B$433,"Nov",Acerto_Detalhado!$C$2:$C$433,"Fibra")),2)</f>
        <v>0</v>
      </c>
    </row>
    <row r="4335" customFormat="false" ht="15" hidden="false" customHeight="false" outlineLevel="0" collapsed="false">
      <c r="A4335" s="27" t="s">
        <v>121</v>
      </c>
      <c r="B4335" s="27" t="s">
        <v>111</v>
      </c>
      <c r="C4335" s="27" t="s">
        <v>48</v>
      </c>
      <c r="D4335" s="27" t="s">
        <v>46</v>
      </c>
      <c r="E4335" s="28" t="n">
        <f aca="false">ROUND((SUMIFS(Acerto_Detalhado!$F$2:$F$433,Acerto_Detalhado!$A$2:$A$433,$C4335,Acerto_Detalhado!$B$2:$B$433,"Nov",Acerto_Detalhado!$C$2:$C$433,"Fibra"))*(SUMIFS(Acerto_Detalhado!$I$2:$I$433,Acerto_Detalhado!$A$2:$A$433,$D4335,Acerto_Detalhado!$B$2:$B$433,"Nov",Acerto_Detalhado!$C$2:$C$433,"Fibra")),2)</f>
        <v>0</v>
      </c>
    </row>
    <row r="4336" customFormat="false" ht="15" hidden="false" customHeight="false" outlineLevel="0" collapsed="false">
      <c r="A4336" s="27" t="s">
        <v>121</v>
      </c>
      <c r="B4336" s="27" t="s">
        <v>111</v>
      </c>
      <c r="C4336" s="27" t="s">
        <v>48</v>
      </c>
      <c r="D4336" s="27" t="s">
        <v>47</v>
      </c>
      <c r="E4336" s="28" t="n">
        <f aca="false">ROUND((SUMIFS(Acerto_Detalhado!$F$2:$F$433,Acerto_Detalhado!$A$2:$A$433,$C4336,Acerto_Detalhado!$B$2:$B$433,"Nov",Acerto_Detalhado!$C$2:$C$433,"Fibra"))*(SUMIFS(Acerto_Detalhado!$I$2:$I$433,Acerto_Detalhado!$A$2:$A$433,$D4336,Acerto_Detalhado!$B$2:$B$433,"Nov",Acerto_Detalhado!$C$2:$C$433,"Fibra")),2)</f>
        <v>0</v>
      </c>
    </row>
    <row r="4337" customFormat="false" ht="15" hidden="false" customHeight="false" outlineLevel="0" collapsed="false">
      <c r="A4337" s="27" t="s">
        <v>121</v>
      </c>
      <c r="B4337" s="27" t="s">
        <v>111</v>
      </c>
      <c r="C4337" s="27" t="s">
        <v>48</v>
      </c>
      <c r="D4337" s="27" t="s">
        <v>49</v>
      </c>
      <c r="E4337" s="28" t="n">
        <f aca="false">ROUND((SUMIFS(Acerto_Detalhado!$F$2:$F$433,Acerto_Detalhado!$A$2:$A$433,$C4337,Acerto_Detalhado!$B$2:$B$433,"Nov",Acerto_Detalhado!$C$2:$C$433,"Fibra"))*(SUMIFS(Acerto_Detalhado!$I$2:$I$433,Acerto_Detalhado!$A$2:$A$433,$D4337,Acerto_Detalhado!$B$2:$B$433,"Nov",Acerto_Detalhado!$C$2:$C$433,"Fibra")),2)</f>
        <v>0</v>
      </c>
    </row>
    <row r="4338" customFormat="false" ht="15" hidden="false" customHeight="false" outlineLevel="0" collapsed="false">
      <c r="A4338" s="27" t="s">
        <v>121</v>
      </c>
      <c r="B4338" s="27" t="s">
        <v>111</v>
      </c>
      <c r="C4338" s="27" t="s">
        <v>48</v>
      </c>
      <c r="D4338" s="27" t="s">
        <v>50</v>
      </c>
      <c r="E4338" s="28" t="n">
        <f aca="false">ROUND((SUMIFS(Acerto_Detalhado!$F$2:$F$433,Acerto_Detalhado!$A$2:$A$433,$C4338,Acerto_Detalhado!$B$2:$B$433,"Nov",Acerto_Detalhado!$C$2:$C$433,"Fibra"))*(SUMIFS(Acerto_Detalhado!$I$2:$I$433,Acerto_Detalhado!$A$2:$A$433,$D4338,Acerto_Detalhado!$B$2:$B$433,"Nov",Acerto_Detalhado!$C$2:$C$433,"Fibra")),2)</f>
        <v>0</v>
      </c>
    </row>
    <row r="4339" customFormat="false" ht="15" hidden="false" customHeight="false" outlineLevel="0" collapsed="false">
      <c r="A4339" s="27" t="s">
        <v>121</v>
      </c>
      <c r="B4339" s="27" t="s">
        <v>111</v>
      </c>
      <c r="C4339" s="27" t="s">
        <v>49</v>
      </c>
      <c r="D4339" s="27" t="s">
        <v>39</v>
      </c>
      <c r="E4339" s="28" t="n">
        <f aca="false">ROUND((SUMIFS(Acerto_Detalhado!$F$2:$F$433,Acerto_Detalhado!$A$2:$A$433,$C4339,Acerto_Detalhado!$B$2:$B$433,"Nov",Acerto_Detalhado!$C$2:$C$433,"Fibra"))*(SUMIFS(Acerto_Detalhado!$I$2:$I$433,Acerto_Detalhado!$A$2:$A$433,$D4339,Acerto_Detalhado!$B$2:$B$433,"Nov",Acerto_Detalhado!$C$2:$C$433,"Fibra")),2)</f>
        <v>0</v>
      </c>
    </row>
    <row r="4340" customFormat="false" ht="15" hidden="false" customHeight="false" outlineLevel="0" collapsed="false">
      <c r="A4340" s="27" t="s">
        <v>121</v>
      </c>
      <c r="B4340" s="27" t="s">
        <v>111</v>
      </c>
      <c r="C4340" s="27" t="s">
        <v>49</v>
      </c>
      <c r="D4340" s="27" t="s">
        <v>40</v>
      </c>
      <c r="E4340" s="28" t="n">
        <f aca="false">ROUND((SUMIFS(Acerto_Detalhado!$F$2:$F$433,Acerto_Detalhado!$A$2:$A$433,$C4340,Acerto_Detalhado!$B$2:$B$433,"Nov",Acerto_Detalhado!$C$2:$C$433,"Fibra"))*(SUMIFS(Acerto_Detalhado!$I$2:$I$433,Acerto_Detalhado!$A$2:$A$433,$D4340,Acerto_Detalhado!$B$2:$B$433,"Nov",Acerto_Detalhado!$C$2:$C$433,"Fibra")),2)</f>
        <v>0</v>
      </c>
    </row>
    <row r="4341" customFormat="false" ht="15" hidden="false" customHeight="false" outlineLevel="0" collapsed="false">
      <c r="A4341" s="27" t="s">
        <v>121</v>
      </c>
      <c r="B4341" s="27" t="s">
        <v>111</v>
      </c>
      <c r="C4341" s="27" t="s">
        <v>49</v>
      </c>
      <c r="D4341" s="27" t="s">
        <v>41</v>
      </c>
      <c r="E4341" s="28" t="n">
        <f aca="false">ROUND((SUMIFS(Acerto_Detalhado!$F$2:$F$433,Acerto_Detalhado!$A$2:$A$433,$C4341,Acerto_Detalhado!$B$2:$B$433,"Nov",Acerto_Detalhado!$C$2:$C$433,"Fibra"))*(SUMIFS(Acerto_Detalhado!$I$2:$I$433,Acerto_Detalhado!$A$2:$A$433,$D4341,Acerto_Detalhado!$B$2:$B$433,"Nov",Acerto_Detalhado!$C$2:$C$433,"Fibra")),2)</f>
        <v>0</v>
      </c>
    </row>
    <row r="4342" customFormat="false" ht="15" hidden="false" customHeight="false" outlineLevel="0" collapsed="false">
      <c r="A4342" s="27" t="s">
        <v>121</v>
      </c>
      <c r="B4342" s="27" t="s">
        <v>111</v>
      </c>
      <c r="C4342" s="27" t="s">
        <v>49</v>
      </c>
      <c r="D4342" s="27" t="s">
        <v>42</v>
      </c>
      <c r="E4342" s="28" t="n">
        <f aca="false">ROUND((SUMIFS(Acerto_Detalhado!$F$2:$F$433,Acerto_Detalhado!$A$2:$A$433,$C4342,Acerto_Detalhado!$B$2:$B$433,"Nov",Acerto_Detalhado!$C$2:$C$433,"Fibra"))*(SUMIFS(Acerto_Detalhado!$I$2:$I$433,Acerto_Detalhado!$A$2:$A$433,$D4342,Acerto_Detalhado!$B$2:$B$433,"Nov",Acerto_Detalhado!$C$2:$C$433,"Fibra")),2)</f>
        <v>0</v>
      </c>
    </row>
    <row r="4343" customFormat="false" ht="15" hidden="false" customHeight="false" outlineLevel="0" collapsed="false">
      <c r="A4343" s="27" t="s">
        <v>121</v>
      </c>
      <c r="B4343" s="27" t="s">
        <v>111</v>
      </c>
      <c r="C4343" s="27" t="s">
        <v>49</v>
      </c>
      <c r="D4343" s="27" t="s">
        <v>43</v>
      </c>
      <c r="E4343" s="28" t="n">
        <f aca="false">ROUND((SUMIFS(Acerto_Detalhado!$F$2:$F$433,Acerto_Detalhado!$A$2:$A$433,$C4343,Acerto_Detalhado!$B$2:$B$433,"Nov",Acerto_Detalhado!$C$2:$C$433,"Fibra"))*(SUMIFS(Acerto_Detalhado!$I$2:$I$433,Acerto_Detalhado!$A$2:$A$433,$D4343,Acerto_Detalhado!$B$2:$B$433,"Nov",Acerto_Detalhado!$C$2:$C$433,"Fibra")),2)</f>
        <v>0</v>
      </c>
    </row>
    <row r="4344" customFormat="false" ht="15" hidden="false" customHeight="false" outlineLevel="0" collapsed="false">
      <c r="A4344" s="27" t="s">
        <v>121</v>
      </c>
      <c r="B4344" s="27" t="s">
        <v>111</v>
      </c>
      <c r="C4344" s="27" t="s">
        <v>49</v>
      </c>
      <c r="D4344" s="27" t="s">
        <v>44</v>
      </c>
      <c r="E4344" s="28" t="n">
        <f aca="false">ROUND((SUMIFS(Acerto_Detalhado!$F$2:$F$433,Acerto_Detalhado!$A$2:$A$433,$C4344,Acerto_Detalhado!$B$2:$B$433,"Nov",Acerto_Detalhado!$C$2:$C$433,"Fibra"))*(SUMIFS(Acerto_Detalhado!$I$2:$I$433,Acerto_Detalhado!$A$2:$A$433,$D4344,Acerto_Detalhado!$B$2:$B$433,"Nov",Acerto_Detalhado!$C$2:$C$433,"Fibra")),2)</f>
        <v>0</v>
      </c>
    </row>
    <row r="4345" customFormat="false" ht="15" hidden="false" customHeight="false" outlineLevel="0" collapsed="false">
      <c r="A4345" s="27" t="s">
        <v>121</v>
      </c>
      <c r="B4345" s="27" t="s">
        <v>111</v>
      </c>
      <c r="C4345" s="27" t="s">
        <v>49</v>
      </c>
      <c r="D4345" s="27" t="s">
        <v>45</v>
      </c>
      <c r="E4345" s="28" t="n">
        <f aca="false">ROUND((SUMIFS(Acerto_Detalhado!$F$2:$F$433,Acerto_Detalhado!$A$2:$A$433,$C4345,Acerto_Detalhado!$B$2:$B$433,"Nov",Acerto_Detalhado!$C$2:$C$433,"Fibra"))*(SUMIFS(Acerto_Detalhado!$I$2:$I$433,Acerto_Detalhado!$A$2:$A$433,$D4345,Acerto_Detalhado!$B$2:$B$433,"Nov",Acerto_Detalhado!$C$2:$C$433,"Fibra")),2)</f>
        <v>0</v>
      </c>
    </row>
    <row r="4346" customFormat="false" ht="15" hidden="false" customHeight="false" outlineLevel="0" collapsed="false">
      <c r="A4346" s="27" t="s">
        <v>121</v>
      </c>
      <c r="B4346" s="27" t="s">
        <v>111</v>
      </c>
      <c r="C4346" s="27" t="s">
        <v>49</v>
      </c>
      <c r="D4346" s="27" t="s">
        <v>46</v>
      </c>
      <c r="E4346" s="28" t="n">
        <f aca="false">ROUND((SUMIFS(Acerto_Detalhado!$F$2:$F$433,Acerto_Detalhado!$A$2:$A$433,$C4346,Acerto_Detalhado!$B$2:$B$433,"Nov",Acerto_Detalhado!$C$2:$C$433,"Fibra"))*(SUMIFS(Acerto_Detalhado!$I$2:$I$433,Acerto_Detalhado!$A$2:$A$433,$D4346,Acerto_Detalhado!$B$2:$B$433,"Nov",Acerto_Detalhado!$C$2:$C$433,"Fibra")),2)</f>
        <v>0</v>
      </c>
    </row>
    <row r="4347" customFormat="false" ht="15" hidden="false" customHeight="false" outlineLevel="0" collapsed="false">
      <c r="A4347" s="27" t="s">
        <v>121</v>
      </c>
      <c r="B4347" s="27" t="s">
        <v>111</v>
      </c>
      <c r="C4347" s="27" t="s">
        <v>49</v>
      </c>
      <c r="D4347" s="27" t="s">
        <v>47</v>
      </c>
      <c r="E4347" s="28" t="n">
        <f aca="false">ROUND((SUMIFS(Acerto_Detalhado!$F$2:$F$433,Acerto_Detalhado!$A$2:$A$433,$C4347,Acerto_Detalhado!$B$2:$B$433,"Nov",Acerto_Detalhado!$C$2:$C$433,"Fibra"))*(SUMIFS(Acerto_Detalhado!$I$2:$I$433,Acerto_Detalhado!$A$2:$A$433,$D4347,Acerto_Detalhado!$B$2:$B$433,"Nov",Acerto_Detalhado!$C$2:$C$433,"Fibra")),2)</f>
        <v>0</v>
      </c>
    </row>
    <row r="4348" customFormat="false" ht="15" hidden="false" customHeight="false" outlineLevel="0" collapsed="false">
      <c r="A4348" s="27" t="s">
        <v>121</v>
      </c>
      <c r="B4348" s="27" t="s">
        <v>111</v>
      </c>
      <c r="C4348" s="27" t="s">
        <v>49</v>
      </c>
      <c r="D4348" s="27" t="s">
        <v>48</v>
      </c>
      <c r="E4348" s="28" t="n">
        <f aca="false">ROUND((SUMIFS(Acerto_Detalhado!$F$2:$F$433,Acerto_Detalhado!$A$2:$A$433,$C4348,Acerto_Detalhado!$B$2:$B$433,"Nov",Acerto_Detalhado!$C$2:$C$433,"Fibra"))*(SUMIFS(Acerto_Detalhado!$I$2:$I$433,Acerto_Detalhado!$A$2:$A$433,$D4348,Acerto_Detalhado!$B$2:$B$433,"Nov",Acerto_Detalhado!$C$2:$C$433,"Fibra")),2)</f>
        <v>0</v>
      </c>
    </row>
    <row r="4349" customFormat="false" ht="15" hidden="false" customHeight="false" outlineLevel="0" collapsed="false">
      <c r="A4349" s="27" t="s">
        <v>121</v>
      </c>
      <c r="B4349" s="27" t="s">
        <v>111</v>
      </c>
      <c r="C4349" s="27" t="s">
        <v>49</v>
      </c>
      <c r="D4349" s="27" t="s">
        <v>50</v>
      </c>
      <c r="E4349" s="28" t="n">
        <f aca="false">ROUND((SUMIFS(Acerto_Detalhado!$F$2:$F$433,Acerto_Detalhado!$A$2:$A$433,$C4349,Acerto_Detalhado!$B$2:$B$433,"Nov",Acerto_Detalhado!$C$2:$C$433,"Fibra"))*(SUMIFS(Acerto_Detalhado!$I$2:$I$433,Acerto_Detalhado!$A$2:$A$433,$D4349,Acerto_Detalhado!$B$2:$B$433,"Nov",Acerto_Detalhado!$C$2:$C$433,"Fibra")),2)</f>
        <v>0</v>
      </c>
    </row>
    <row r="4350" customFormat="false" ht="15" hidden="false" customHeight="false" outlineLevel="0" collapsed="false">
      <c r="A4350" s="27" t="s">
        <v>121</v>
      </c>
      <c r="B4350" s="27" t="s">
        <v>111</v>
      </c>
      <c r="C4350" s="27" t="s">
        <v>50</v>
      </c>
      <c r="D4350" s="27" t="s">
        <v>39</v>
      </c>
      <c r="E4350" s="28" t="n">
        <f aca="false">ROUND((SUMIFS(Acerto_Detalhado!$F$2:$F$433,Acerto_Detalhado!$A$2:$A$433,$C4350,Acerto_Detalhado!$B$2:$B$433,"Nov",Acerto_Detalhado!$C$2:$C$433,"Fibra"))*(SUMIFS(Acerto_Detalhado!$I$2:$I$433,Acerto_Detalhado!$A$2:$A$433,$D4350,Acerto_Detalhado!$B$2:$B$433,"Nov",Acerto_Detalhado!$C$2:$C$433,"Fibra")),2)</f>
        <v>0</v>
      </c>
    </row>
    <row r="4351" customFormat="false" ht="15" hidden="false" customHeight="false" outlineLevel="0" collapsed="false">
      <c r="A4351" s="27" t="s">
        <v>121</v>
      </c>
      <c r="B4351" s="27" t="s">
        <v>111</v>
      </c>
      <c r="C4351" s="27" t="s">
        <v>50</v>
      </c>
      <c r="D4351" s="27" t="s">
        <v>40</v>
      </c>
      <c r="E4351" s="28" t="n">
        <f aca="false">ROUND((SUMIFS(Acerto_Detalhado!$F$2:$F$433,Acerto_Detalhado!$A$2:$A$433,$C4351,Acerto_Detalhado!$B$2:$B$433,"Nov",Acerto_Detalhado!$C$2:$C$433,"Fibra"))*(SUMIFS(Acerto_Detalhado!$I$2:$I$433,Acerto_Detalhado!$A$2:$A$433,$D4351,Acerto_Detalhado!$B$2:$B$433,"Nov",Acerto_Detalhado!$C$2:$C$433,"Fibra")),2)</f>
        <v>0</v>
      </c>
    </row>
    <row r="4352" customFormat="false" ht="15" hidden="false" customHeight="false" outlineLevel="0" collapsed="false">
      <c r="A4352" s="27" t="s">
        <v>121</v>
      </c>
      <c r="B4352" s="27" t="s">
        <v>111</v>
      </c>
      <c r="C4352" s="27" t="s">
        <v>50</v>
      </c>
      <c r="D4352" s="27" t="s">
        <v>41</v>
      </c>
      <c r="E4352" s="28" t="n">
        <f aca="false">ROUND((SUMIFS(Acerto_Detalhado!$F$2:$F$433,Acerto_Detalhado!$A$2:$A$433,$C4352,Acerto_Detalhado!$B$2:$B$433,"Nov",Acerto_Detalhado!$C$2:$C$433,"Fibra"))*(SUMIFS(Acerto_Detalhado!$I$2:$I$433,Acerto_Detalhado!$A$2:$A$433,$D4352,Acerto_Detalhado!$B$2:$B$433,"Nov",Acerto_Detalhado!$C$2:$C$433,"Fibra")),2)</f>
        <v>0</v>
      </c>
    </row>
    <row r="4353" customFormat="false" ht="15" hidden="false" customHeight="false" outlineLevel="0" collapsed="false">
      <c r="A4353" s="27" t="s">
        <v>121</v>
      </c>
      <c r="B4353" s="27" t="s">
        <v>111</v>
      </c>
      <c r="C4353" s="27" t="s">
        <v>50</v>
      </c>
      <c r="D4353" s="27" t="s">
        <v>42</v>
      </c>
      <c r="E4353" s="28" t="n">
        <f aca="false">ROUND((SUMIFS(Acerto_Detalhado!$F$2:$F$433,Acerto_Detalhado!$A$2:$A$433,$C4353,Acerto_Detalhado!$B$2:$B$433,"Nov",Acerto_Detalhado!$C$2:$C$433,"Fibra"))*(SUMIFS(Acerto_Detalhado!$I$2:$I$433,Acerto_Detalhado!$A$2:$A$433,$D4353,Acerto_Detalhado!$B$2:$B$433,"Nov",Acerto_Detalhado!$C$2:$C$433,"Fibra")),2)</f>
        <v>0</v>
      </c>
    </row>
    <row r="4354" customFormat="false" ht="15" hidden="false" customHeight="false" outlineLevel="0" collapsed="false">
      <c r="A4354" s="27" t="s">
        <v>121</v>
      </c>
      <c r="B4354" s="27" t="s">
        <v>111</v>
      </c>
      <c r="C4354" s="27" t="s">
        <v>50</v>
      </c>
      <c r="D4354" s="27" t="s">
        <v>43</v>
      </c>
      <c r="E4354" s="28" t="n">
        <f aca="false">ROUND((SUMIFS(Acerto_Detalhado!$F$2:$F$433,Acerto_Detalhado!$A$2:$A$433,$C4354,Acerto_Detalhado!$B$2:$B$433,"Nov",Acerto_Detalhado!$C$2:$C$433,"Fibra"))*(SUMIFS(Acerto_Detalhado!$I$2:$I$433,Acerto_Detalhado!$A$2:$A$433,$D4354,Acerto_Detalhado!$B$2:$B$433,"Nov",Acerto_Detalhado!$C$2:$C$433,"Fibra")),2)</f>
        <v>0</v>
      </c>
    </row>
    <row r="4355" customFormat="false" ht="15" hidden="false" customHeight="false" outlineLevel="0" collapsed="false">
      <c r="A4355" s="27" t="s">
        <v>121</v>
      </c>
      <c r="B4355" s="27" t="s">
        <v>111</v>
      </c>
      <c r="C4355" s="27" t="s">
        <v>50</v>
      </c>
      <c r="D4355" s="27" t="s">
        <v>44</v>
      </c>
      <c r="E4355" s="28" t="n">
        <f aca="false">ROUND((SUMIFS(Acerto_Detalhado!$F$2:$F$433,Acerto_Detalhado!$A$2:$A$433,$C4355,Acerto_Detalhado!$B$2:$B$433,"Nov",Acerto_Detalhado!$C$2:$C$433,"Fibra"))*(SUMIFS(Acerto_Detalhado!$I$2:$I$433,Acerto_Detalhado!$A$2:$A$433,$D4355,Acerto_Detalhado!$B$2:$B$433,"Nov",Acerto_Detalhado!$C$2:$C$433,"Fibra")),2)</f>
        <v>0</v>
      </c>
    </row>
    <row r="4356" customFormat="false" ht="15" hidden="false" customHeight="false" outlineLevel="0" collapsed="false">
      <c r="A4356" s="27" t="s">
        <v>121</v>
      </c>
      <c r="B4356" s="27" t="s">
        <v>111</v>
      </c>
      <c r="C4356" s="27" t="s">
        <v>50</v>
      </c>
      <c r="D4356" s="27" t="s">
        <v>45</v>
      </c>
      <c r="E4356" s="28" t="n">
        <f aca="false">ROUND((SUMIFS(Acerto_Detalhado!$F$2:$F$433,Acerto_Detalhado!$A$2:$A$433,$C4356,Acerto_Detalhado!$B$2:$B$433,"Nov",Acerto_Detalhado!$C$2:$C$433,"Fibra"))*(SUMIFS(Acerto_Detalhado!$I$2:$I$433,Acerto_Detalhado!$A$2:$A$433,$D4356,Acerto_Detalhado!$B$2:$B$433,"Nov",Acerto_Detalhado!$C$2:$C$433,"Fibra")),2)</f>
        <v>0</v>
      </c>
    </row>
    <row r="4357" customFormat="false" ht="15" hidden="false" customHeight="false" outlineLevel="0" collapsed="false">
      <c r="A4357" s="27" t="s">
        <v>121</v>
      </c>
      <c r="B4357" s="27" t="s">
        <v>111</v>
      </c>
      <c r="C4357" s="27" t="s">
        <v>50</v>
      </c>
      <c r="D4357" s="27" t="s">
        <v>46</v>
      </c>
      <c r="E4357" s="28" t="n">
        <f aca="false">ROUND((SUMIFS(Acerto_Detalhado!$F$2:$F$433,Acerto_Detalhado!$A$2:$A$433,$C4357,Acerto_Detalhado!$B$2:$B$433,"Nov",Acerto_Detalhado!$C$2:$C$433,"Fibra"))*(SUMIFS(Acerto_Detalhado!$I$2:$I$433,Acerto_Detalhado!$A$2:$A$433,$D4357,Acerto_Detalhado!$B$2:$B$433,"Nov",Acerto_Detalhado!$C$2:$C$433,"Fibra")),2)</f>
        <v>0</v>
      </c>
    </row>
    <row r="4358" customFormat="false" ht="15" hidden="false" customHeight="false" outlineLevel="0" collapsed="false">
      <c r="A4358" s="27" t="s">
        <v>121</v>
      </c>
      <c r="B4358" s="27" t="s">
        <v>111</v>
      </c>
      <c r="C4358" s="27" t="s">
        <v>50</v>
      </c>
      <c r="D4358" s="27" t="s">
        <v>47</v>
      </c>
      <c r="E4358" s="28" t="n">
        <f aca="false">ROUND((SUMIFS(Acerto_Detalhado!$F$2:$F$433,Acerto_Detalhado!$A$2:$A$433,$C4358,Acerto_Detalhado!$B$2:$B$433,"Nov",Acerto_Detalhado!$C$2:$C$433,"Fibra"))*(SUMIFS(Acerto_Detalhado!$I$2:$I$433,Acerto_Detalhado!$A$2:$A$433,$D4358,Acerto_Detalhado!$B$2:$B$433,"Nov",Acerto_Detalhado!$C$2:$C$433,"Fibra")),2)</f>
        <v>0</v>
      </c>
    </row>
    <row r="4359" customFormat="false" ht="15" hidden="false" customHeight="false" outlineLevel="0" collapsed="false">
      <c r="A4359" s="27" t="s">
        <v>121</v>
      </c>
      <c r="B4359" s="27" t="s">
        <v>111</v>
      </c>
      <c r="C4359" s="27" t="s">
        <v>50</v>
      </c>
      <c r="D4359" s="27" t="s">
        <v>48</v>
      </c>
      <c r="E4359" s="28" t="n">
        <f aca="false">ROUND((SUMIFS(Acerto_Detalhado!$F$2:$F$433,Acerto_Detalhado!$A$2:$A$433,$C4359,Acerto_Detalhado!$B$2:$B$433,"Nov",Acerto_Detalhado!$C$2:$C$433,"Fibra"))*(SUMIFS(Acerto_Detalhado!$I$2:$I$433,Acerto_Detalhado!$A$2:$A$433,$D4359,Acerto_Detalhado!$B$2:$B$433,"Nov",Acerto_Detalhado!$C$2:$C$433,"Fibra")),2)</f>
        <v>0</v>
      </c>
    </row>
    <row r="4360" customFormat="false" ht="15" hidden="false" customHeight="false" outlineLevel="0" collapsed="false">
      <c r="A4360" s="27" t="s">
        <v>121</v>
      </c>
      <c r="B4360" s="27" t="s">
        <v>111</v>
      </c>
      <c r="C4360" s="27" t="s">
        <v>50</v>
      </c>
      <c r="D4360" s="27" t="s">
        <v>49</v>
      </c>
      <c r="E4360" s="28" t="n">
        <f aca="false">ROUND((SUMIFS(Acerto_Detalhado!$F$2:$F$433,Acerto_Detalhado!$A$2:$A$433,$C4360,Acerto_Detalhado!$B$2:$B$433,"Nov",Acerto_Detalhado!$C$2:$C$433,"Fibra"))*(SUMIFS(Acerto_Detalhado!$I$2:$I$433,Acerto_Detalhado!$A$2:$A$433,$D4360,Acerto_Detalhado!$B$2:$B$433,"Nov",Acerto_Detalhado!$C$2:$C$433,"Fibra")),2)</f>
        <v>0</v>
      </c>
    </row>
    <row r="4361" customFormat="false" ht="15" hidden="false" customHeight="false" outlineLevel="0" collapsed="false">
      <c r="A4361" s="27" t="s">
        <v>122</v>
      </c>
      <c r="B4361" s="27" t="s">
        <v>109</v>
      </c>
      <c r="C4361" s="27" t="s">
        <v>39</v>
      </c>
      <c r="D4361" s="27" t="s">
        <v>40</v>
      </c>
      <c r="E4361" s="28" t="n">
        <f aca="false">ROUND((SUMIFS(Acerto_Detalhado!$F$2:$F$433,Acerto_Detalhado!$A$2:$A$433,$C4361,Acerto_Detalhado!$B$2:$B$433,"Dez",Acerto_Detalhado!$C$2:$C$433,"Proteina"))*(SUMIFS(Acerto_Detalhado!$I$2:$I$433,Acerto_Detalhado!$A$2:$A$433,$D4361,Acerto_Detalhado!$B$2:$B$433,"Dez",Acerto_Detalhado!$C$2:$C$433,"Proteina")),2)</f>
        <v>0</v>
      </c>
    </row>
    <row r="4362" customFormat="false" ht="15" hidden="false" customHeight="false" outlineLevel="0" collapsed="false">
      <c r="A4362" s="27" t="s">
        <v>122</v>
      </c>
      <c r="B4362" s="27" t="s">
        <v>109</v>
      </c>
      <c r="C4362" s="27" t="s">
        <v>39</v>
      </c>
      <c r="D4362" s="27" t="s">
        <v>41</v>
      </c>
      <c r="E4362" s="28" t="n">
        <f aca="false">ROUND((SUMIFS(Acerto_Detalhado!$F$2:$F$433,Acerto_Detalhado!$A$2:$A$433,$C4362,Acerto_Detalhado!$B$2:$B$433,"Dez",Acerto_Detalhado!$C$2:$C$433,"Proteina"))*(SUMIFS(Acerto_Detalhado!$I$2:$I$433,Acerto_Detalhado!$A$2:$A$433,$D4362,Acerto_Detalhado!$B$2:$B$433,"Dez",Acerto_Detalhado!$C$2:$C$433,"Proteina")),2)</f>
        <v>0</v>
      </c>
    </row>
    <row r="4363" customFormat="false" ht="15" hidden="false" customHeight="false" outlineLevel="0" collapsed="false">
      <c r="A4363" s="27" t="s">
        <v>122</v>
      </c>
      <c r="B4363" s="27" t="s">
        <v>109</v>
      </c>
      <c r="C4363" s="27" t="s">
        <v>39</v>
      </c>
      <c r="D4363" s="27" t="s">
        <v>42</v>
      </c>
      <c r="E4363" s="28" t="n">
        <f aca="false">ROUND((SUMIFS(Acerto_Detalhado!$F$2:$F$433,Acerto_Detalhado!$A$2:$A$433,$C4363,Acerto_Detalhado!$B$2:$B$433,"Dez",Acerto_Detalhado!$C$2:$C$433,"Proteina"))*(SUMIFS(Acerto_Detalhado!$I$2:$I$433,Acerto_Detalhado!$A$2:$A$433,$D4363,Acerto_Detalhado!$B$2:$B$433,"Dez",Acerto_Detalhado!$C$2:$C$433,"Proteina")),2)</f>
        <v>0</v>
      </c>
    </row>
    <row r="4364" customFormat="false" ht="15" hidden="false" customHeight="false" outlineLevel="0" collapsed="false">
      <c r="A4364" s="27" t="s">
        <v>122</v>
      </c>
      <c r="B4364" s="27" t="s">
        <v>109</v>
      </c>
      <c r="C4364" s="27" t="s">
        <v>39</v>
      </c>
      <c r="D4364" s="27" t="s">
        <v>43</v>
      </c>
      <c r="E4364" s="28" t="n">
        <f aca="false">ROUND((SUMIFS(Acerto_Detalhado!$F$2:$F$433,Acerto_Detalhado!$A$2:$A$433,$C4364,Acerto_Detalhado!$B$2:$B$433,"Dez",Acerto_Detalhado!$C$2:$C$433,"Proteina"))*(SUMIFS(Acerto_Detalhado!$I$2:$I$433,Acerto_Detalhado!$A$2:$A$433,$D4364,Acerto_Detalhado!$B$2:$B$433,"Dez",Acerto_Detalhado!$C$2:$C$433,"Proteina")),2)</f>
        <v>0</v>
      </c>
    </row>
    <row r="4365" customFormat="false" ht="15" hidden="false" customHeight="false" outlineLevel="0" collapsed="false">
      <c r="A4365" s="27" t="s">
        <v>122</v>
      </c>
      <c r="B4365" s="27" t="s">
        <v>109</v>
      </c>
      <c r="C4365" s="27" t="s">
        <v>39</v>
      </c>
      <c r="D4365" s="27" t="s">
        <v>44</v>
      </c>
      <c r="E4365" s="28" t="n">
        <f aca="false">ROUND((SUMIFS(Acerto_Detalhado!$F$2:$F$433,Acerto_Detalhado!$A$2:$A$433,$C4365,Acerto_Detalhado!$B$2:$B$433,"Dez",Acerto_Detalhado!$C$2:$C$433,"Proteina"))*(SUMIFS(Acerto_Detalhado!$I$2:$I$433,Acerto_Detalhado!$A$2:$A$433,$D4365,Acerto_Detalhado!$B$2:$B$433,"Dez",Acerto_Detalhado!$C$2:$C$433,"Proteina")),2)</f>
        <v>0</v>
      </c>
    </row>
    <row r="4366" customFormat="false" ht="15" hidden="false" customHeight="false" outlineLevel="0" collapsed="false">
      <c r="A4366" s="27" t="s">
        <v>122</v>
      </c>
      <c r="B4366" s="27" t="s">
        <v>109</v>
      </c>
      <c r="C4366" s="27" t="s">
        <v>39</v>
      </c>
      <c r="D4366" s="27" t="s">
        <v>45</v>
      </c>
      <c r="E4366" s="28" t="n">
        <f aca="false">ROUND((SUMIFS(Acerto_Detalhado!$F$2:$F$433,Acerto_Detalhado!$A$2:$A$433,$C4366,Acerto_Detalhado!$B$2:$B$433,"Dez",Acerto_Detalhado!$C$2:$C$433,"Proteina"))*(SUMIFS(Acerto_Detalhado!$I$2:$I$433,Acerto_Detalhado!$A$2:$A$433,$D4366,Acerto_Detalhado!$B$2:$B$433,"Dez",Acerto_Detalhado!$C$2:$C$433,"Proteina")),2)</f>
        <v>0</v>
      </c>
    </row>
    <row r="4367" customFormat="false" ht="15" hidden="false" customHeight="false" outlineLevel="0" collapsed="false">
      <c r="A4367" s="27" t="s">
        <v>122</v>
      </c>
      <c r="B4367" s="27" t="s">
        <v>109</v>
      </c>
      <c r="C4367" s="27" t="s">
        <v>39</v>
      </c>
      <c r="D4367" s="27" t="s">
        <v>46</v>
      </c>
      <c r="E4367" s="28" t="n">
        <f aca="false">ROUND((SUMIFS(Acerto_Detalhado!$F$2:$F$433,Acerto_Detalhado!$A$2:$A$433,$C4367,Acerto_Detalhado!$B$2:$B$433,"Dez",Acerto_Detalhado!$C$2:$C$433,"Proteina"))*(SUMIFS(Acerto_Detalhado!$I$2:$I$433,Acerto_Detalhado!$A$2:$A$433,$D4367,Acerto_Detalhado!$B$2:$B$433,"Dez",Acerto_Detalhado!$C$2:$C$433,"Proteina")),2)</f>
        <v>0</v>
      </c>
    </row>
    <row r="4368" customFormat="false" ht="15" hidden="false" customHeight="false" outlineLevel="0" collapsed="false">
      <c r="A4368" s="27" t="s">
        <v>122</v>
      </c>
      <c r="B4368" s="27" t="s">
        <v>109</v>
      </c>
      <c r="C4368" s="27" t="s">
        <v>39</v>
      </c>
      <c r="D4368" s="27" t="s">
        <v>47</v>
      </c>
      <c r="E4368" s="28" t="n">
        <f aca="false">ROUND((SUMIFS(Acerto_Detalhado!$F$2:$F$433,Acerto_Detalhado!$A$2:$A$433,$C4368,Acerto_Detalhado!$B$2:$B$433,"Dez",Acerto_Detalhado!$C$2:$C$433,"Proteina"))*(SUMIFS(Acerto_Detalhado!$I$2:$I$433,Acerto_Detalhado!$A$2:$A$433,$D4368,Acerto_Detalhado!$B$2:$B$433,"Dez",Acerto_Detalhado!$C$2:$C$433,"Proteina")),2)</f>
        <v>0</v>
      </c>
    </row>
    <row r="4369" customFormat="false" ht="15" hidden="false" customHeight="false" outlineLevel="0" collapsed="false">
      <c r="A4369" s="27" t="s">
        <v>122</v>
      </c>
      <c r="B4369" s="27" t="s">
        <v>109</v>
      </c>
      <c r="C4369" s="27" t="s">
        <v>39</v>
      </c>
      <c r="D4369" s="27" t="s">
        <v>48</v>
      </c>
      <c r="E4369" s="28" t="n">
        <f aca="false">ROUND((SUMIFS(Acerto_Detalhado!$F$2:$F$433,Acerto_Detalhado!$A$2:$A$433,$C4369,Acerto_Detalhado!$B$2:$B$433,"Dez",Acerto_Detalhado!$C$2:$C$433,"Proteina"))*(SUMIFS(Acerto_Detalhado!$I$2:$I$433,Acerto_Detalhado!$A$2:$A$433,$D4369,Acerto_Detalhado!$B$2:$B$433,"Dez",Acerto_Detalhado!$C$2:$C$433,"Proteina")),2)</f>
        <v>0</v>
      </c>
    </row>
    <row r="4370" customFormat="false" ht="15" hidden="false" customHeight="false" outlineLevel="0" collapsed="false">
      <c r="A4370" s="27" t="s">
        <v>122</v>
      </c>
      <c r="B4370" s="27" t="s">
        <v>109</v>
      </c>
      <c r="C4370" s="27" t="s">
        <v>39</v>
      </c>
      <c r="D4370" s="27" t="s">
        <v>49</v>
      </c>
      <c r="E4370" s="28" t="n">
        <f aca="false">ROUND((SUMIFS(Acerto_Detalhado!$F$2:$F$433,Acerto_Detalhado!$A$2:$A$433,$C4370,Acerto_Detalhado!$B$2:$B$433,"Dez",Acerto_Detalhado!$C$2:$C$433,"Proteina"))*(SUMIFS(Acerto_Detalhado!$I$2:$I$433,Acerto_Detalhado!$A$2:$A$433,$D4370,Acerto_Detalhado!$B$2:$B$433,"Dez",Acerto_Detalhado!$C$2:$C$433,"Proteina")),2)</f>
        <v>0</v>
      </c>
    </row>
    <row r="4371" customFormat="false" ht="15" hidden="false" customHeight="false" outlineLevel="0" collapsed="false">
      <c r="A4371" s="27" t="s">
        <v>122</v>
      </c>
      <c r="B4371" s="27" t="s">
        <v>109</v>
      </c>
      <c r="C4371" s="27" t="s">
        <v>39</v>
      </c>
      <c r="D4371" s="27" t="s">
        <v>50</v>
      </c>
      <c r="E4371" s="28" t="n">
        <f aca="false">ROUND((SUMIFS(Acerto_Detalhado!$F$2:$F$433,Acerto_Detalhado!$A$2:$A$433,$C4371,Acerto_Detalhado!$B$2:$B$433,"Dez",Acerto_Detalhado!$C$2:$C$433,"Proteina"))*(SUMIFS(Acerto_Detalhado!$I$2:$I$433,Acerto_Detalhado!$A$2:$A$433,$D4371,Acerto_Detalhado!$B$2:$B$433,"Dez",Acerto_Detalhado!$C$2:$C$433,"Proteina")),2)</f>
        <v>0</v>
      </c>
    </row>
    <row r="4372" customFormat="false" ht="15" hidden="false" customHeight="false" outlineLevel="0" collapsed="false">
      <c r="A4372" s="27" t="s">
        <v>122</v>
      </c>
      <c r="B4372" s="27" t="s">
        <v>109</v>
      </c>
      <c r="C4372" s="27" t="s">
        <v>40</v>
      </c>
      <c r="D4372" s="27" t="s">
        <v>39</v>
      </c>
      <c r="E4372" s="28" t="n">
        <f aca="false">ROUND((SUMIFS(Acerto_Detalhado!$F$2:$F$433,Acerto_Detalhado!$A$2:$A$433,$C4372,Acerto_Detalhado!$B$2:$B$433,"Dez",Acerto_Detalhado!$C$2:$C$433,"Proteina"))*(SUMIFS(Acerto_Detalhado!$I$2:$I$433,Acerto_Detalhado!$A$2:$A$433,$D4372,Acerto_Detalhado!$B$2:$B$433,"Dez",Acerto_Detalhado!$C$2:$C$433,"Proteina")),2)</f>
        <v>0</v>
      </c>
    </row>
    <row r="4373" customFormat="false" ht="15" hidden="false" customHeight="false" outlineLevel="0" collapsed="false">
      <c r="A4373" s="27" t="s">
        <v>122</v>
      </c>
      <c r="B4373" s="27" t="s">
        <v>109</v>
      </c>
      <c r="C4373" s="27" t="s">
        <v>40</v>
      </c>
      <c r="D4373" s="27" t="s">
        <v>41</v>
      </c>
      <c r="E4373" s="28" t="n">
        <f aca="false">ROUND((SUMIFS(Acerto_Detalhado!$F$2:$F$433,Acerto_Detalhado!$A$2:$A$433,$C4373,Acerto_Detalhado!$B$2:$B$433,"Dez",Acerto_Detalhado!$C$2:$C$433,"Proteina"))*(SUMIFS(Acerto_Detalhado!$I$2:$I$433,Acerto_Detalhado!$A$2:$A$433,$D4373,Acerto_Detalhado!$B$2:$B$433,"Dez",Acerto_Detalhado!$C$2:$C$433,"Proteina")),2)</f>
        <v>0</v>
      </c>
    </row>
    <row r="4374" customFormat="false" ht="15" hidden="false" customHeight="false" outlineLevel="0" collapsed="false">
      <c r="A4374" s="27" t="s">
        <v>122</v>
      </c>
      <c r="B4374" s="27" t="s">
        <v>109</v>
      </c>
      <c r="C4374" s="27" t="s">
        <v>40</v>
      </c>
      <c r="D4374" s="27" t="s">
        <v>42</v>
      </c>
      <c r="E4374" s="28" t="n">
        <f aca="false">ROUND((SUMIFS(Acerto_Detalhado!$F$2:$F$433,Acerto_Detalhado!$A$2:$A$433,$C4374,Acerto_Detalhado!$B$2:$B$433,"Dez",Acerto_Detalhado!$C$2:$C$433,"Proteina"))*(SUMIFS(Acerto_Detalhado!$I$2:$I$433,Acerto_Detalhado!$A$2:$A$433,$D4374,Acerto_Detalhado!$B$2:$B$433,"Dez",Acerto_Detalhado!$C$2:$C$433,"Proteina")),2)</f>
        <v>0</v>
      </c>
    </row>
    <row r="4375" customFormat="false" ht="15" hidden="false" customHeight="false" outlineLevel="0" collapsed="false">
      <c r="A4375" s="27" t="s">
        <v>122</v>
      </c>
      <c r="B4375" s="27" t="s">
        <v>109</v>
      </c>
      <c r="C4375" s="27" t="s">
        <v>40</v>
      </c>
      <c r="D4375" s="27" t="s">
        <v>43</v>
      </c>
      <c r="E4375" s="28" t="n">
        <f aca="false">ROUND((SUMIFS(Acerto_Detalhado!$F$2:$F$433,Acerto_Detalhado!$A$2:$A$433,$C4375,Acerto_Detalhado!$B$2:$B$433,"Dez",Acerto_Detalhado!$C$2:$C$433,"Proteina"))*(SUMIFS(Acerto_Detalhado!$I$2:$I$433,Acerto_Detalhado!$A$2:$A$433,$D4375,Acerto_Detalhado!$B$2:$B$433,"Dez",Acerto_Detalhado!$C$2:$C$433,"Proteina")),2)</f>
        <v>0</v>
      </c>
    </row>
    <row r="4376" customFormat="false" ht="15" hidden="false" customHeight="false" outlineLevel="0" collapsed="false">
      <c r="A4376" s="27" t="s">
        <v>122</v>
      </c>
      <c r="B4376" s="27" t="s">
        <v>109</v>
      </c>
      <c r="C4376" s="27" t="s">
        <v>40</v>
      </c>
      <c r="D4376" s="27" t="s">
        <v>44</v>
      </c>
      <c r="E4376" s="28" t="n">
        <f aca="false">ROUND((SUMIFS(Acerto_Detalhado!$F$2:$F$433,Acerto_Detalhado!$A$2:$A$433,$C4376,Acerto_Detalhado!$B$2:$B$433,"Dez",Acerto_Detalhado!$C$2:$C$433,"Proteina"))*(SUMIFS(Acerto_Detalhado!$I$2:$I$433,Acerto_Detalhado!$A$2:$A$433,$D4376,Acerto_Detalhado!$B$2:$B$433,"Dez",Acerto_Detalhado!$C$2:$C$433,"Proteina")),2)</f>
        <v>0</v>
      </c>
    </row>
    <row r="4377" customFormat="false" ht="15" hidden="false" customHeight="false" outlineLevel="0" collapsed="false">
      <c r="A4377" s="27" t="s">
        <v>122</v>
      </c>
      <c r="B4377" s="27" t="s">
        <v>109</v>
      </c>
      <c r="C4377" s="27" t="s">
        <v>40</v>
      </c>
      <c r="D4377" s="27" t="s">
        <v>45</v>
      </c>
      <c r="E4377" s="28" t="n">
        <f aca="false">ROUND((SUMIFS(Acerto_Detalhado!$F$2:$F$433,Acerto_Detalhado!$A$2:$A$433,$C4377,Acerto_Detalhado!$B$2:$B$433,"Dez",Acerto_Detalhado!$C$2:$C$433,"Proteina"))*(SUMIFS(Acerto_Detalhado!$I$2:$I$433,Acerto_Detalhado!$A$2:$A$433,$D4377,Acerto_Detalhado!$B$2:$B$433,"Dez",Acerto_Detalhado!$C$2:$C$433,"Proteina")),2)</f>
        <v>0</v>
      </c>
    </row>
    <row r="4378" customFormat="false" ht="15" hidden="false" customHeight="false" outlineLevel="0" collapsed="false">
      <c r="A4378" s="27" t="s">
        <v>122</v>
      </c>
      <c r="B4378" s="27" t="s">
        <v>109</v>
      </c>
      <c r="C4378" s="27" t="s">
        <v>40</v>
      </c>
      <c r="D4378" s="27" t="s">
        <v>46</v>
      </c>
      <c r="E4378" s="28" t="n">
        <f aca="false">ROUND((SUMIFS(Acerto_Detalhado!$F$2:$F$433,Acerto_Detalhado!$A$2:$A$433,$C4378,Acerto_Detalhado!$B$2:$B$433,"Dez",Acerto_Detalhado!$C$2:$C$433,"Proteina"))*(SUMIFS(Acerto_Detalhado!$I$2:$I$433,Acerto_Detalhado!$A$2:$A$433,$D4378,Acerto_Detalhado!$B$2:$B$433,"Dez",Acerto_Detalhado!$C$2:$C$433,"Proteina")),2)</f>
        <v>0</v>
      </c>
    </row>
    <row r="4379" customFormat="false" ht="15" hidden="false" customHeight="false" outlineLevel="0" collapsed="false">
      <c r="A4379" s="27" t="s">
        <v>122</v>
      </c>
      <c r="B4379" s="27" t="s">
        <v>109</v>
      </c>
      <c r="C4379" s="27" t="s">
        <v>40</v>
      </c>
      <c r="D4379" s="27" t="s">
        <v>47</v>
      </c>
      <c r="E4379" s="28" t="n">
        <f aca="false">ROUND((SUMIFS(Acerto_Detalhado!$F$2:$F$433,Acerto_Detalhado!$A$2:$A$433,$C4379,Acerto_Detalhado!$B$2:$B$433,"Dez",Acerto_Detalhado!$C$2:$C$433,"Proteina"))*(SUMIFS(Acerto_Detalhado!$I$2:$I$433,Acerto_Detalhado!$A$2:$A$433,$D4379,Acerto_Detalhado!$B$2:$B$433,"Dez",Acerto_Detalhado!$C$2:$C$433,"Proteina")),2)</f>
        <v>0</v>
      </c>
    </row>
    <row r="4380" customFormat="false" ht="15" hidden="false" customHeight="false" outlineLevel="0" collapsed="false">
      <c r="A4380" s="27" t="s">
        <v>122</v>
      </c>
      <c r="B4380" s="27" t="s">
        <v>109</v>
      </c>
      <c r="C4380" s="27" t="s">
        <v>40</v>
      </c>
      <c r="D4380" s="27" t="s">
        <v>48</v>
      </c>
      <c r="E4380" s="28" t="n">
        <f aca="false">ROUND((SUMIFS(Acerto_Detalhado!$F$2:$F$433,Acerto_Detalhado!$A$2:$A$433,$C4380,Acerto_Detalhado!$B$2:$B$433,"Dez",Acerto_Detalhado!$C$2:$C$433,"Proteina"))*(SUMIFS(Acerto_Detalhado!$I$2:$I$433,Acerto_Detalhado!$A$2:$A$433,$D4380,Acerto_Detalhado!$B$2:$B$433,"Dez",Acerto_Detalhado!$C$2:$C$433,"Proteina")),2)</f>
        <v>0</v>
      </c>
    </row>
    <row r="4381" customFormat="false" ht="15" hidden="false" customHeight="false" outlineLevel="0" collapsed="false">
      <c r="A4381" s="27" t="s">
        <v>122</v>
      </c>
      <c r="B4381" s="27" t="s">
        <v>109</v>
      </c>
      <c r="C4381" s="27" t="s">
        <v>40</v>
      </c>
      <c r="D4381" s="27" t="s">
        <v>49</v>
      </c>
      <c r="E4381" s="28" t="n">
        <f aca="false">ROUND((SUMIFS(Acerto_Detalhado!$F$2:$F$433,Acerto_Detalhado!$A$2:$A$433,$C4381,Acerto_Detalhado!$B$2:$B$433,"Dez",Acerto_Detalhado!$C$2:$C$433,"Proteina"))*(SUMIFS(Acerto_Detalhado!$I$2:$I$433,Acerto_Detalhado!$A$2:$A$433,$D4381,Acerto_Detalhado!$B$2:$B$433,"Dez",Acerto_Detalhado!$C$2:$C$433,"Proteina")),2)</f>
        <v>0</v>
      </c>
    </row>
    <row r="4382" customFormat="false" ht="15" hidden="false" customHeight="false" outlineLevel="0" collapsed="false">
      <c r="A4382" s="27" t="s">
        <v>122</v>
      </c>
      <c r="B4382" s="27" t="s">
        <v>109</v>
      </c>
      <c r="C4382" s="27" t="s">
        <v>40</v>
      </c>
      <c r="D4382" s="27" t="s">
        <v>50</v>
      </c>
      <c r="E4382" s="28" t="n">
        <f aca="false">ROUND((SUMIFS(Acerto_Detalhado!$F$2:$F$433,Acerto_Detalhado!$A$2:$A$433,$C4382,Acerto_Detalhado!$B$2:$B$433,"Dez",Acerto_Detalhado!$C$2:$C$433,"Proteina"))*(SUMIFS(Acerto_Detalhado!$I$2:$I$433,Acerto_Detalhado!$A$2:$A$433,$D4382,Acerto_Detalhado!$B$2:$B$433,"Dez",Acerto_Detalhado!$C$2:$C$433,"Proteina")),2)</f>
        <v>0</v>
      </c>
    </row>
    <row r="4383" customFormat="false" ht="15" hidden="false" customHeight="false" outlineLevel="0" collapsed="false">
      <c r="A4383" s="27" t="s">
        <v>122</v>
      </c>
      <c r="B4383" s="27" t="s">
        <v>109</v>
      </c>
      <c r="C4383" s="27" t="s">
        <v>41</v>
      </c>
      <c r="D4383" s="27" t="s">
        <v>39</v>
      </c>
      <c r="E4383" s="28" t="n">
        <f aca="false">ROUND((SUMIFS(Acerto_Detalhado!$F$2:$F$433,Acerto_Detalhado!$A$2:$A$433,$C4383,Acerto_Detalhado!$B$2:$B$433,"Dez",Acerto_Detalhado!$C$2:$C$433,"Proteina"))*(SUMIFS(Acerto_Detalhado!$I$2:$I$433,Acerto_Detalhado!$A$2:$A$433,$D4383,Acerto_Detalhado!$B$2:$B$433,"Dez",Acerto_Detalhado!$C$2:$C$433,"Proteina")),2)</f>
        <v>0</v>
      </c>
    </row>
    <row r="4384" customFormat="false" ht="15" hidden="false" customHeight="false" outlineLevel="0" collapsed="false">
      <c r="A4384" s="27" t="s">
        <v>122</v>
      </c>
      <c r="B4384" s="27" t="s">
        <v>109</v>
      </c>
      <c r="C4384" s="27" t="s">
        <v>41</v>
      </c>
      <c r="D4384" s="27" t="s">
        <v>40</v>
      </c>
      <c r="E4384" s="28" t="n">
        <f aca="false">ROUND((SUMIFS(Acerto_Detalhado!$F$2:$F$433,Acerto_Detalhado!$A$2:$A$433,$C4384,Acerto_Detalhado!$B$2:$B$433,"Dez",Acerto_Detalhado!$C$2:$C$433,"Proteina"))*(SUMIFS(Acerto_Detalhado!$I$2:$I$433,Acerto_Detalhado!$A$2:$A$433,$D4384,Acerto_Detalhado!$B$2:$B$433,"Dez",Acerto_Detalhado!$C$2:$C$433,"Proteina")),2)</f>
        <v>0</v>
      </c>
    </row>
    <row r="4385" customFormat="false" ht="15" hidden="false" customHeight="false" outlineLevel="0" collapsed="false">
      <c r="A4385" s="27" t="s">
        <v>122</v>
      </c>
      <c r="B4385" s="27" t="s">
        <v>109</v>
      </c>
      <c r="C4385" s="27" t="s">
        <v>41</v>
      </c>
      <c r="D4385" s="27" t="s">
        <v>42</v>
      </c>
      <c r="E4385" s="28" t="n">
        <f aca="false">ROUND((SUMIFS(Acerto_Detalhado!$F$2:$F$433,Acerto_Detalhado!$A$2:$A$433,$C4385,Acerto_Detalhado!$B$2:$B$433,"Dez",Acerto_Detalhado!$C$2:$C$433,"Proteina"))*(SUMIFS(Acerto_Detalhado!$I$2:$I$433,Acerto_Detalhado!$A$2:$A$433,$D4385,Acerto_Detalhado!$B$2:$B$433,"Dez",Acerto_Detalhado!$C$2:$C$433,"Proteina")),2)</f>
        <v>0</v>
      </c>
    </row>
    <row r="4386" customFormat="false" ht="15" hidden="false" customHeight="false" outlineLevel="0" collapsed="false">
      <c r="A4386" s="27" t="s">
        <v>122</v>
      </c>
      <c r="B4386" s="27" t="s">
        <v>109</v>
      </c>
      <c r="C4386" s="27" t="s">
        <v>41</v>
      </c>
      <c r="D4386" s="27" t="s">
        <v>43</v>
      </c>
      <c r="E4386" s="28" t="n">
        <f aca="false">ROUND((SUMIFS(Acerto_Detalhado!$F$2:$F$433,Acerto_Detalhado!$A$2:$A$433,$C4386,Acerto_Detalhado!$B$2:$B$433,"Dez",Acerto_Detalhado!$C$2:$C$433,"Proteina"))*(SUMIFS(Acerto_Detalhado!$I$2:$I$433,Acerto_Detalhado!$A$2:$A$433,$D4386,Acerto_Detalhado!$B$2:$B$433,"Dez",Acerto_Detalhado!$C$2:$C$433,"Proteina")),2)</f>
        <v>0</v>
      </c>
    </row>
    <row r="4387" customFormat="false" ht="15" hidden="false" customHeight="false" outlineLevel="0" collapsed="false">
      <c r="A4387" s="27" t="s">
        <v>122</v>
      </c>
      <c r="B4387" s="27" t="s">
        <v>109</v>
      </c>
      <c r="C4387" s="27" t="s">
        <v>41</v>
      </c>
      <c r="D4387" s="27" t="s">
        <v>44</v>
      </c>
      <c r="E4387" s="28" t="n">
        <f aca="false">ROUND((SUMIFS(Acerto_Detalhado!$F$2:$F$433,Acerto_Detalhado!$A$2:$A$433,$C4387,Acerto_Detalhado!$B$2:$B$433,"Dez",Acerto_Detalhado!$C$2:$C$433,"Proteina"))*(SUMIFS(Acerto_Detalhado!$I$2:$I$433,Acerto_Detalhado!$A$2:$A$433,$D4387,Acerto_Detalhado!$B$2:$B$433,"Dez",Acerto_Detalhado!$C$2:$C$433,"Proteina")),2)</f>
        <v>0</v>
      </c>
    </row>
    <row r="4388" customFormat="false" ht="15" hidden="false" customHeight="false" outlineLevel="0" collapsed="false">
      <c r="A4388" s="27" t="s">
        <v>122</v>
      </c>
      <c r="B4388" s="27" t="s">
        <v>109</v>
      </c>
      <c r="C4388" s="27" t="s">
        <v>41</v>
      </c>
      <c r="D4388" s="27" t="s">
        <v>45</v>
      </c>
      <c r="E4388" s="28" t="n">
        <f aca="false">ROUND((SUMIFS(Acerto_Detalhado!$F$2:$F$433,Acerto_Detalhado!$A$2:$A$433,$C4388,Acerto_Detalhado!$B$2:$B$433,"Dez",Acerto_Detalhado!$C$2:$C$433,"Proteina"))*(SUMIFS(Acerto_Detalhado!$I$2:$I$433,Acerto_Detalhado!$A$2:$A$433,$D4388,Acerto_Detalhado!$B$2:$B$433,"Dez",Acerto_Detalhado!$C$2:$C$433,"Proteina")),2)</f>
        <v>0</v>
      </c>
    </row>
    <row r="4389" customFormat="false" ht="15" hidden="false" customHeight="false" outlineLevel="0" collapsed="false">
      <c r="A4389" s="27" t="s">
        <v>122</v>
      </c>
      <c r="B4389" s="27" t="s">
        <v>109</v>
      </c>
      <c r="C4389" s="27" t="s">
        <v>41</v>
      </c>
      <c r="D4389" s="27" t="s">
        <v>46</v>
      </c>
      <c r="E4389" s="28" t="n">
        <f aca="false">ROUND((SUMIFS(Acerto_Detalhado!$F$2:$F$433,Acerto_Detalhado!$A$2:$A$433,$C4389,Acerto_Detalhado!$B$2:$B$433,"Dez",Acerto_Detalhado!$C$2:$C$433,"Proteina"))*(SUMIFS(Acerto_Detalhado!$I$2:$I$433,Acerto_Detalhado!$A$2:$A$433,$D4389,Acerto_Detalhado!$B$2:$B$433,"Dez",Acerto_Detalhado!$C$2:$C$433,"Proteina")),2)</f>
        <v>0</v>
      </c>
    </row>
    <row r="4390" customFormat="false" ht="15" hidden="false" customHeight="false" outlineLevel="0" collapsed="false">
      <c r="A4390" s="27" t="s">
        <v>122</v>
      </c>
      <c r="B4390" s="27" t="s">
        <v>109</v>
      </c>
      <c r="C4390" s="27" t="s">
        <v>41</v>
      </c>
      <c r="D4390" s="27" t="s">
        <v>47</v>
      </c>
      <c r="E4390" s="28" t="n">
        <f aca="false">ROUND((SUMIFS(Acerto_Detalhado!$F$2:$F$433,Acerto_Detalhado!$A$2:$A$433,$C4390,Acerto_Detalhado!$B$2:$B$433,"Dez",Acerto_Detalhado!$C$2:$C$433,"Proteina"))*(SUMIFS(Acerto_Detalhado!$I$2:$I$433,Acerto_Detalhado!$A$2:$A$433,$D4390,Acerto_Detalhado!$B$2:$B$433,"Dez",Acerto_Detalhado!$C$2:$C$433,"Proteina")),2)</f>
        <v>0</v>
      </c>
    </row>
    <row r="4391" customFormat="false" ht="15" hidden="false" customHeight="false" outlineLevel="0" collapsed="false">
      <c r="A4391" s="27" t="s">
        <v>122</v>
      </c>
      <c r="B4391" s="27" t="s">
        <v>109</v>
      </c>
      <c r="C4391" s="27" t="s">
        <v>41</v>
      </c>
      <c r="D4391" s="27" t="s">
        <v>48</v>
      </c>
      <c r="E4391" s="28" t="n">
        <f aca="false">ROUND((SUMIFS(Acerto_Detalhado!$F$2:$F$433,Acerto_Detalhado!$A$2:$A$433,$C4391,Acerto_Detalhado!$B$2:$B$433,"Dez",Acerto_Detalhado!$C$2:$C$433,"Proteina"))*(SUMIFS(Acerto_Detalhado!$I$2:$I$433,Acerto_Detalhado!$A$2:$A$433,$D4391,Acerto_Detalhado!$B$2:$B$433,"Dez",Acerto_Detalhado!$C$2:$C$433,"Proteina")),2)</f>
        <v>0</v>
      </c>
    </row>
    <row r="4392" customFormat="false" ht="15" hidden="false" customHeight="false" outlineLevel="0" collapsed="false">
      <c r="A4392" s="27" t="s">
        <v>122</v>
      </c>
      <c r="B4392" s="27" t="s">
        <v>109</v>
      </c>
      <c r="C4392" s="27" t="s">
        <v>41</v>
      </c>
      <c r="D4392" s="27" t="s">
        <v>49</v>
      </c>
      <c r="E4392" s="28" t="n">
        <f aca="false">ROUND((SUMIFS(Acerto_Detalhado!$F$2:$F$433,Acerto_Detalhado!$A$2:$A$433,$C4392,Acerto_Detalhado!$B$2:$B$433,"Dez",Acerto_Detalhado!$C$2:$C$433,"Proteina"))*(SUMIFS(Acerto_Detalhado!$I$2:$I$433,Acerto_Detalhado!$A$2:$A$433,$D4392,Acerto_Detalhado!$B$2:$B$433,"Dez",Acerto_Detalhado!$C$2:$C$433,"Proteina")),2)</f>
        <v>0</v>
      </c>
    </row>
    <row r="4393" customFormat="false" ht="15" hidden="false" customHeight="false" outlineLevel="0" collapsed="false">
      <c r="A4393" s="27" t="s">
        <v>122</v>
      </c>
      <c r="B4393" s="27" t="s">
        <v>109</v>
      </c>
      <c r="C4393" s="27" t="s">
        <v>41</v>
      </c>
      <c r="D4393" s="27" t="s">
        <v>50</v>
      </c>
      <c r="E4393" s="28" t="n">
        <f aca="false">ROUND((SUMIFS(Acerto_Detalhado!$F$2:$F$433,Acerto_Detalhado!$A$2:$A$433,$C4393,Acerto_Detalhado!$B$2:$B$433,"Dez",Acerto_Detalhado!$C$2:$C$433,"Proteina"))*(SUMIFS(Acerto_Detalhado!$I$2:$I$433,Acerto_Detalhado!$A$2:$A$433,$D4393,Acerto_Detalhado!$B$2:$B$433,"Dez",Acerto_Detalhado!$C$2:$C$433,"Proteina")),2)</f>
        <v>0</v>
      </c>
    </row>
    <row r="4394" customFormat="false" ht="15" hidden="false" customHeight="false" outlineLevel="0" collapsed="false">
      <c r="A4394" s="27" t="s">
        <v>122</v>
      </c>
      <c r="B4394" s="27" t="s">
        <v>109</v>
      </c>
      <c r="C4394" s="27" t="s">
        <v>42</v>
      </c>
      <c r="D4394" s="27" t="s">
        <v>39</v>
      </c>
      <c r="E4394" s="28" t="n">
        <f aca="false">ROUND((SUMIFS(Acerto_Detalhado!$F$2:$F$433,Acerto_Detalhado!$A$2:$A$433,$C4394,Acerto_Detalhado!$B$2:$B$433,"Dez",Acerto_Detalhado!$C$2:$C$433,"Proteina"))*(SUMIFS(Acerto_Detalhado!$I$2:$I$433,Acerto_Detalhado!$A$2:$A$433,$D4394,Acerto_Detalhado!$B$2:$B$433,"Dez",Acerto_Detalhado!$C$2:$C$433,"Proteina")),2)</f>
        <v>0</v>
      </c>
    </row>
    <row r="4395" customFormat="false" ht="15" hidden="false" customHeight="false" outlineLevel="0" collapsed="false">
      <c r="A4395" s="27" t="s">
        <v>122</v>
      </c>
      <c r="B4395" s="27" t="s">
        <v>109</v>
      </c>
      <c r="C4395" s="27" t="s">
        <v>42</v>
      </c>
      <c r="D4395" s="27" t="s">
        <v>40</v>
      </c>
      <c r="E4395" s="28" t="n">
        <f aca="false">ROUND((SUMIFS(Acerto_Detalhado!$F$2:$F$433,Acerto_Detalhado!$A$2:$A$433,$C4395,Acerto_Detalhado!$B$2:$B$433,"Dez",Acerto_Detalhado!$C$2:$C$433,"Proteina"))*(SUMIFS(Acerto_Detalhado!$I$2:$I$433,Acerto_Detalhado!$A$2:$A$433,$D4395,Acerto_Detalhado!$B$2:$B$433,"Dez",Acerto_Detalhado!$C$2:$C$433,"Proteina")),2)</f>
        <v>0</v>
      </c>
    </row>
    <row r="4396" customFormat="false" ht="15" hidden="false" customHeight="false" outlineLevel="0" collapsed="false">
      <c r="A4396" s="27" t="s">
        <v>122</v>
      </c>
      <c r="B4396" s="27" t="s">
        <v>109</v>
      </c>
      <c r="C4396" s="27" t="s">
        <v>42</v>
      </c>
      <c r="D4396" s="27" t="s">
        <v>41</v>
      </c>
      <c r="E4396" s="28" t="n">
        <f aca="false">ROUND((SUMIFS(Acerto_Detalhado!$F$2:$F$433,Acerto_Detalhado!$A$2:$A$433,$C4396,Acerto_Detalhado!$B$2:$B$433,"Dez",Acerto_Detalhado!$C$2:$C$433,"Proteina"))*(SUMIFS(Acerto_Detalhado!$I$2:$I$433,Acerto_Detalhado!$A$2:$A$433,$D4396,Acerto_Detalhado!$B$2:$B$433,"Dez",Acerto_Detalhado!$C$2:$C$433,"Proteina")),2)</f>
        <v>0</v>
      </c>
    </row>
    <row r="4397" customFormat="false" ht="15" hidden="false" customHeight="false" outlineLevel="0" collapsed="false">
      <c r="A4397" s="27" t="s">
        <v>122</v>
      </c>
      <c r="B4397" s="27" t="s">
        <v>109</v>
      </c>
      <c r="C4397" s="27" t="s">
        <v>42</v>
      </c>
      <c r="D4397" s="27" t="s">
        <v>43</v>
      </c>
      <c r="E4397" s="28" t="n">
        <f aca="false">ROUND((SUMIFS(Acerto_Detalhado!$F$2:$F$433,Acerto_Detalhado!$A$2:$A$433,$C4397,Acerto_Detalhado!$B$2:$B$433,"Dez",Acerto_Detalhado!$C$2:$C$433,"Proteina"))*(SUMIFS(Acerto_Detalhado!$I$2:$I$433,Acerto_Detalhado!$A$2:$A$433,$D4397,Acerto_Detalhado!$B$2:$B$433,"Dez",Acerto_Detalhado!$C$2:$C$433,"Proteina")),2)</f>
        <v>0</v>
      </c>
    </row>
    <row r="4398" customFormat="false" ht="15" hidden="false" customHeight="false" outlineLevel="0" collapsed="false">
      <c r="A4398" s="27" t="s">
        <v>122</v>
      </c>
      <c r="B4398" s="27" t="s">
        <v>109</v>
      </c>
      <c r="C4398" s="27" t="s">
        <v>42</v>
      </c>
      <c r="D4398" s="27" t="s">
        <v>44</v>
      </c>
      <c r="E4398" s="28" t="n">
        <f aca="false">ROUND((SUMIFS(Acerto_Detalhado!$F$2:$F$433,Acerto_Detalhado!$A$2:$A$433,$C4398,Acerto_Detalhado!$B$2:$B$433,"Dez",Acerto_Detalhado!$C$2:$C$433,"Proteina"))*(SUMIFS(Acerto_Detalhado!$I$2:$I$433,Acerto_Detalhado!$A$2:$A$433,$D4398,Acerto_Detalhado!$B$2:$B$433,"Dez",Acerto_Detalhado!$C$2:$C$433,"Proteina")),2)</f>
        <v>0</v>
      </c>
    </row>
    <row r="4399" customFormat="false" ht="15" hidden="false" customHeight="false" outlineLevel="0" collapsed="false">
      <c r="A4399" s="27" t="s">
        <v>122</v>
      </c>
      <c r="B4399" s="27" t="s">
        <v>109</v>
      </c>
      <c r="C4399" s="27" t="s">
        <v>42</v>
      </c>
      <c r="D4399" s="27" t="s">
        <v>45</v>
      </c>
      <c r="E4399" s="28" t="n">
        <f aca="false">ROUND((SUMIFS(Acerto_Detalhado!$F$2:$F$433,Acerto_Detalhado!$A$2:$A$433,$C4399,Acerto_Detalhado!$B$2:$B$433,"Dez",Acerto_Detalhado!$C$2:$C$433,"Proteina"))*(SUMIFS(Acerto_Detalhado!$I$2:$I$433,Acerto_Detalhado!$A$2:$A$433,$D4399,Acerto_Detalhado!$B$2:$B$433,"Dez",Acerto_Detalhado!$C$2:$C$433,"Proteina")),2)</f>
        <v>0</v>
      </c>
    </row>
    <row r="4400" customFormat="false" ht="15" hidden="false" customHeight="false" outlineLevel="0" collapsed="false">
      <c r="A4400" s="27" t="s">
        <v>122</v>
      </c>
      <c r="B4400" s="27" t="s">
        <v>109</v>
      </c>
      <c r="C4400" s="27" t="s">
        <v>42</v>
      </c>
      <c r="D4400" s="27" t="s">
        <v>46</v>
      </c>
      <c r="E4400" s="28" t="n">
        <f aca="false">ROUND((SUMIFS(Acerto_Detalhado!$F$2:$F$433,Acerto_Detalhado!$A$2:$A$433,$C4400,Acerto_Detalhado!$B$2:$B$433,"Dez",Acerto_Detalhado!$C$2:$C$433,"Proteina"))*(SUMIFS(Acerto_Detalhado!$I$2:$I$433,Acerto_Detalhado!$A$2:$A$433,$D4400,Acerto_Detalhado!$B$2:$B$433,"Dez",Acerto_Detalhado!$C$2:$C$433,"Proteina")),2)</f>
        <v>0</v>
      </c>
    </row>
    <row r="4401" customFormat="false" ht="15" hidden="false" customHeight="false" outlineLevel="0" collapsed="false">
      <c r="A4401" s="27" t="s">
        <v>122</v>
      </c>
      <c r="B4401" s="27" t="s">
        <v>109</v>
      </c>
      <c r="C4401" s="27" t="s">
        <v>42</v>
      </c>
      <c r="D4401" s="27" t="s">
        <v>47</v>
      </c>
      <c r="E4401" s="28" t="n">
        <f aca="false">ROUND((SUMIFS(Acerto_Detalhado!$F$2:$F$433,Acerto_Detalhado!$A$2:$A$433,$C4401,Acerto_Detalhado!$B$2:$B$433,"Dez",Acerto_Detalhado!$C$2:$C$433,"Proteina"))*(SUMIFS(Acerto_Detalhado!$I$2:$I$433,Acerto_Detalhado!$A$2:$A$433,$D4401,Acerto_Detalhado!$B$2:$B$433,"Dez",Acerto_Detalhado!$C$2:$C$433,"Proteina")),2)</f>
        <v>0</v>
      </c>
    </row>
    <row r="4402" customFormat="false" ht="15" hidden="false" customHeight="false" outlineLevel="0" collapsed="false">
      <c r="A4402" s="27" t="s">
        <v>122</v>
      </c>
      <c r="B4402" s="27" t="s">
        <v>109</v>
      </c>
      <c r="C4402" s="27" t="s">
        <v>42</v>
      </c>
      <c r="D4402" s="27" t="s">
        <v>48</v>
      </c>
      <c r="E4402" s="28" t="n">
        <f aca="false">ROUND((SUMIFS(Acerto_Detalhado!$F$2:$F$433,Acerto_Detalhado!$A$2:$A$433,$C4402,Acerto_Detalhado!$B$2:$B$433,"Dez",Acerto_Detalhado!$C$2:$C$433,"Proteina"))*(SUMIFS(Acerto_Detalhado!$I$2:$I$433,Acerto_Detalhado!$A$2:$A$433,$D4402,Acerto_Detalhado!$B$2:$B$433,"Dez",Acerto_Detalhado!$C$2:$C$433,"Proteina")),2)</f>
        <v>0</v>
      </c>
    </row>
    <row r="4403" customFormat="false" ht="15" hidden="false" customHeight="false" outlineLevel="0" collapsed="false">
      <c r="A4403" s="27" t="s">
        <v>122</v>
      </c>
      <c r="B4403" s="27" t="s">
        <v>109</v>
      </c>
      <c r="C4403" s="27" t="s">
        <v>42</v>
      </c>
      <c r="D4403" s="27" t="s">
        <v>49</v>
      </c>
      <c r="E4403" s="28" t="n">
        <f aca="false">ROUND((SUMIFS(Acerto_Detalhado!$F$2:$F$433,Acerto_Detalhado!$A$2:$A$433,$C4403,Acerto_Detalhado!$B$2:$B$433,"Dez",Acerto_Detalhado!$C$2:$C$433,"Proteina"))*(SUMIFS(Acerto_Detalhado!$I$2:$I$433,Acerto_Detalhado!$A$2:$A$433,$D4403,Acerto_Detalhado!$B$2:$B$433,"Dez",Acerto_Detalhado!$C$2:$C$433,"Proteina")),2)</f>
        <v>0</v>
      </c>
    </row>
    <row r="4404" customFormat="false" ht="15" hidden="false" customHeight="false" outlineLevel="0" collapsed="false">
      <c r="A4404" s="27" t="s">
        <v>122</v>
      </c>
      <c r="B4404" s="27" t="s">
        <v>109</v>
      </c>
      <c r="C4404" s="27" t="s">
        <v>42</v>
      </c>
      <c r="D4404" s="27" t="s">
        <v>50</v>
      </c>
      <c r="E4404" s="28" t="n">
        <f aca="false">ROUND((SUMIFS(Acerto_Detalhado!$F$2:$F$433,Acerto_Detalhado!$A$2:$A$433,$C4404,Acerto_Detalhado!$B$2:$B$433,"Dez",Acerto_Detalhado!$C$2:$C$433,"Proteina"))*(SUMIFS(Acerto_Detalhado!$I$2:$I$433,Acerto_Detalhado!$A$2:$A$433,$D4404,Acerto_Detalhado!$B$2:$B$433,"Dez",Acerto_Detalhado!$C$2:$C$433,"Proteina")),2)</f>
        <v>0</v>
      </c>
    </row>
    <row r="4405" customFormat="false" ht="15" hidden="false" customHeight="false" outlineLevel="0" collapsed="false">
      <c r="A4405" s="27" t="s">
        <v>122</v>
      </c>
      <c r="B4405" s="27" t="s">
        <v>109</v>
      </c>
      <c r="C4405" s="27" t="s">
        <v>43</v>
      </c>
      <c r="D4405" s="27" t="s">
        <v>39</v>
      </c>
      <c r="E4405" s="28" t="n">
        <f aca="false">ROUND((SUMIFS(Acerto_Detalhado!$F$2:$F$433,Acerto_Detalhado!$A$2:$A$433,$C4405,Acerto_Detalhado!$B$2:$B$433,"Dez",Acerto_Detalhado!$C$2:$C$433,"Proteina"))*(SUMIFS(Acerto_Detalhado!$I$2:$I$433,Acerto_Detalhado!$A$2:$A$433,$D4405,Acerto_Detalhado!$B$2:$B$433,"Dez",Acerto_Detalhado!$C$2:$C$433,"Proteina")),2)</f>
        <v>0</v>
      </c>
    </row>
    <row r="4406" customFormat="false" ht="15" hidden="false" customHeight="false" outlineLevel="0" collapsed="false">
      <c r="A4406" s="27" t="s">
        <v>122</v>
      </c>
      <c r="B4406" s="27" t="s">
        <v>109</v>
      </c>
      <c r="C4406" s="27" t="s">
        <v>43</v>
      </c>
      <c r="D4406" s="27" t="s">
        <v>40</v>
      </c>
      <c r="E4406" s="28" t="n">
        <f aca="false">ROUND((SUMIFS(Acerto_Detalhado!$F$2:$F$433,Acerto_Detalhado!$A$2:$A$433,$C4406,Acerto_Detalhado!$B$2:$B$433,"Dez",Acerto_Detalhado!$C$2:$C$433,"Proteina"))*(SUMIFS(Acerto_Detalhado!$I$2:$I$433,Acerto_Detalhado!$A$2:$A$433,$D4406,Acerto_Detalhado!$B$2:$B$433,"Dez",Acerto_Detalhado!$C$2:$C$433,"Proteina")),2)</f>
        <v>0</v>
      </c>
    </row>
    <row r="4407" customFormat="false" ht="15" hidden="false" customHeight="false" outlineLevel="0" collapsed="false">
      <c r="A4407" s="27" t="s">
        <v>122</v>
      </c>
      <c r="B4407" s="27" t="s">
        <v>109</v>
      </c>
      <c r="C4407" s="27" t="s">
        <v>43</v>
      </c>
      <c r="D4407" s="27" t="s">
        <v>41</v>
      </c>
      <c r="E4407" s="28" t="n">
        <f aca="false">ROUND((SUMIFS(Acerto_Detalhado!$F$2:$F$433,Acerto_Detalhado!$A$2:$A$433,$C4407,Acerto_Detalhado!$B$2:$B$433,"Dez",Acerto_Detalhado!$C$2:$C$433,"Proteina"))*(SUMIFS(Acerto_Detalhado!$I$2:$I$433,Acerto_Detalhado!$A$2:$A$433,$D4407,Acerto_Detalhado!$B$2:$B$433,"Dez",Acerto_Detalhado!$C$2:$C$433,"Proteina")),2)</f>
        <v>0</v>
      </c>
    </row>
    <row r="4408" customFormat="false" ht="15" hidden="false" customHeight="false" outlineLevel="0" collapsed="false">
      <c r="A4408" s="27" t="s">
        <v>122</v>
      </c>
      <c r="B4408" s="27" t="s">
        <v>109</v>
      </c>
      <c r="C4408" s="27" t="s">
        <v>43</v>
      </c>
      <c r="D4408" s="27" t="s">
        <v>42</v>
      </c>
      <c r="E4408" s="28" t="n">
        <f aca="false">ROUND((SUMIFS(Acerto_Detalhado!$F$2:$F$433,Acerto_Detalhado!$A$2:$A$433,$C4408,Acerto_Detalhado!$B$2:$B$433,"Dez",Acerto_Detalhado!$C$2:$C$433,"Proteina"))*(SUMIFS(Acerto_Detalhado!$I$2:$I$433,Acerto_Detalhado!$A$2:$A$433,$D4408,Acerto_Detalhado!$B$2:$B$433,"Dez",Acerto_Detalhado!$C$2:$C$433,"Proteina")),2)</f>
        <v>0</v>
      </c>
    </row>
    <row r="4409" customFormat="false" ht="15" hidden="false" customHeight="false" outlineLevel="0" collapsed="false">
      <c r="A4409" s="27" t="s">
        <v>122</v>
      </c>
      <c r="B4409" s="27" t="s">
        <v>109</v>
      </c>
      <c r="C4409" s="27" t="s">
        <v>43</v>
      </c>
      <c r="D4409" s="27" t="s">
        <v>44</v>
      </c>
      <c r="E4409" s="28" t="n">
        <f aca="false">ROUND((SUMIFS(Acerto_Detalhado!$F$2:$F$433,Acerto_Detalhado!$A$2:$A$433,$C4409,Acerto_Detalhado!$B$2:$B$433,"Dez",Acerto_Detalhado!$C$2:$C$433,"Proteina"))*(SUMIFS(Acerto_Detalhado!$I$2:$I$433,Acerto_Detalhado!$A$2:$A$433,$D4409,Acerto_Detalhado!$B$2:$B$433,"Dez",Acerto_Detalhado!$C$2:$C$433,"Proteina")),2)</f>
        <v>0</v>
      </c>
    </row>
    <row r="4410" customFormat="false" ht="15" hidden="false" customHeight="false" outlineLevel="0" collapsed="false">
      <c r="A4410" s="27" t="s">
        <v>122</v>
      </c>
      <c r="B4410" s="27" t="s">
        <v>109</v>
      </c>
      <c r="C4410" s="27" t="s">
        <v>43</v>
      </c>
      <c r="D4410" s="27" t="s">
        <v>45</v>
      </c>
      <c r="E4410" s="28" t="n">
        <f aca="false">ROUND((SUMIFS(Acerto_Detalhado!$F$2:$F$433,Acerto_Detalhado!$A$2:$A$433,$C4410,Acerto_Detalhado!$B$2:$B$433,"Dez",Acerto_Detalhado!$C$2:$C$433,"Proteina"))*(SUMIFS(Acerto_Detalhado!$I$2:$I$433,Acerto_Detalhado!$A$2:$A$433,$D4410,Acerto_Detalhado!$B$2:$B$433,"Dez",Acerto_Detalhado!$C$2:$C$433,"Proteina")),2)</f>
        <v>0</v>
      </c>
    </row>
    <row r="4411" customFormat="false" ht="15" hidden="false" customHeight="false" outlineLevel="0" collapsed="false">
      <c r="A4411" s="27" t="s">
        <v>122</v>
      </c>
      <c r="B4411" s="27" t="s">
        <v>109</v>
      </c>
      <c r="C4411" s="27" t="s">
        <v>43</v>
      </c>
      <c r="D4411" s="27" t="s">
        <v>46</v>
      </c>
      <c r="E4411" s="28" t="n">
        <f aca="false">ROUND((SUMIFS(Acerto_Detalhado!$F$2:$F$433,Acerto_Detalhado!$A$2:$A$433,$C4411,Acerto_Detalhado!$B$2:$B$433,"Dez",Acerto_Detalhado!$C$2:$C$433,"Proteina"))*(SUMIFS(Acerto_Detalhado!$I$2:$I$433,Acerto_Detalhado!$A$2:$A$433,$D4411,Acerto_Detalhado!$B$2:$B$433,"Dez",Acerto_Detalhado!$C$2:$C$433,"Proteina")),2)</f>
        <v>0</v>
      </c>
    </row>
    <row r="4412" customFormat="false" ht="15" hidden="false" customHeight="false" outlineLevel="0" collapsed="false">
      <c r="A4412" s="27" t="s">
        <v>122</v>
      </c>
      <c r="B4412" s="27" t="s">
        <v>109</v>
      </c>
      <c r="C4412" s="27" t="s">
        <v>43</v>
      </c>
      <c r="D4412" s="27" t="s">
        <v>47</v>
      </c>
      <c r="E4412" s="28" t="n">
        <f aca="false">ROUND((SUMIFS(Acerto_Detalhado!$F$2:$F$433,Acerto_Detalhado!$A$2:$A$433,$C4412,Acerto_Detalhado!$B$2:$B$433,"Dez",Acerto_Detalhado!$C$2:$C$433,"Proteina"))*(SUMIFS(Acerto_Detalhado!$I$2:$I$433,Acerto_Detalhado!$A$2:$A$433,$D4412,Acerto_Detalhado!$B$2:$B$433,"Dez",Acerto_Detalhado!$C$2:$C$433,"Proteina")),2)</f>
        <v>0</v>
      </c>
    </row>
    <row r="4413" customFormat="false" ht="15" hidden="false" customHeight="false" outlineLevel="0" collapsed="false">
      <c r="A4413" s="27" t="s">
        <v>122</v>
      </c>
      <c r="B4413" s="27" t="s">
        <v>109</v>
      </c>
      <c r="C4413" s="27" t="s">
        <v>43</v>
      </c>
      <c r="D4413" s="27" t="s">
        <v>48</v>
      </c>
      <c r="E4413" s="28" t="n">
        <f aca="false">ROUND((SUMIFS(Acerto_Detalhado!$F$2:$F$433,Acerto_Detalhado!$A$2:$A$433,$C4413,Acerto_Detalhado!$B$2:$B$433,"Dez",Acerto_Detalhado!$C$2:$C$433,"Proteina"))*(SUMIFS(Acerto_Detalhado!$I$2:$I$433,Acerto_Detalhado!$A$2:$A$433,$D4413,Acerto_Detalhado!$B$2:$B$433,"Dez",Acerto_Detalhado!$C$2:$C$433,"Proteina")),2)</f>
        <v>0</v>
      </c>
    </row>
    <row r="4414" customFormat="false" ht="15" hidden="false" customHeight="false" outlineLevel="0" collapsed="false">
      <c r="A4414" s="27" t="s">
        <v>122</v>
      </c>
      <c r="B4414" s="27" t="s">
        <v>109</v>
      </c>
      <c r="C4414" s="27" t="s">
        <v>43</v>
      </c>
      <c r="D4414" s="27" t="s">
        <v>49</v>
      </c>
      <c r="E4414" s="28" t="n">
        <f aca="false">ROUND((SUMIFS(Acerto_Detalhado!$F$2:$F$433,Acerto_Detalhado!$A$2:$A$433,$C4414,Acerto_Detalhado!$B$2:$B$433,"Dez",Acerto_Detalhado!$C$2:$C$433,"Proteina"))*(SUMIFS(Acerto_Detalhado!$I$2:$I$433,Acerto_Detalhado!$A$2:$A$433,$D4414,Acerto_Detalhado!$B$2:$B$433,"Dez",Acerto_Detalhado!$C$2:$C$433,"Proteina")),2)</f>
        <v>0</v>
      </c>
    </row>
    <row r="4415" customFormat="false" ht="15" hidden="false" customHeight="false" outlineLevel="0" collapsed="false">
      <c r="A4415" s="27" t="s">
        <v>122</v>
      </c>
      <c r="B4415" s="27" t="s">
        <v>109</v>
      </c>
      <c r="C4415" s="27" t="s">
        <v>43</v>
      </c>
      <c r="D4415" s="27" t="s">
        <v>50</v>
      </c>
      <c r="E4415" s="28" t="n">
        <f aca="false">ROUND((SUMIFS(Acerto_Detalhado!$F$2:$F$433,Acerto_Detalhado!$A$2:$A$433,$C4415,Acerto_Detalhado!$B$2:$B$433,"Dez",Acerto_Detalhado!$C$2:$C$433,"Proteina"))*(SUMIFS(Acerto_Detalhado!$I$2:$I$433,Acerto_Detalhado!$A$2:$A$433,$D4415,Acerto_Detalhado!$B$2:$B$433,"Dez",Acerto_Detalhado!$C$2:$C$433,"Proteina")),2)</f>
        <v>0</v>
      </c>
    </row>
    <row r="4416" customFormat="false" ht="15" hidden="false" customHeight="false" outlineLevel="0" collapsed="false">
      <c r="A4416" s="27" t="s">
        <v>122</v>
      </c>
      <c r="B4416" s="27" t="s">
        <v>109</v>
      </c>
      <c r="C4416" s="27" t="s">
        <v>44</v>
      </c>
      <c r="D4416" s="27" t="s">
        <v>39</v>
      </c>
      <c r="E4416" s="28" t="n">
        <f aca="false">ROUND((SUMIFS(Acerto_Detalhado!$F$2:$F$433,Acerto_Detalhado!$A$2:$A$433,$C4416,Acerto_Detalhado!$B$2:$B$433,"Dez",Acerto_Detalhado!$C$2:$C$433,"Proteina"))*(SUMIFS(Acerto_Detalhado!$I$2:$I$433,Acerto_Detalhado!$A$2:$A$433,$D4416,Acerto_Detalhado!$B$2:$B$433,"Dez",Acerto_Detalhado!$C$2:$C$433,"Proteina")),2)</f>
        <v>0</v>
      </c>
    </row>
    <row r="4417" customFormat="false" ht="15" hidden="false" customHeight="false" outlineLevel="0" collapsed="false">
      <c r="A4417" s="27" t="s">
        <v>122</v>
      </c>
      <c r="B4417" s="27" t="s">
        <v>109</v>
      </c>
      <c r="C4417" s="27" t="s">
        <v>44</v>
      </c>
      <c r="D4417" s="27" t="s">
        <v>40</v>
      </c>
      <c r="E4417" s="28" t="n">
        <f aca="false">ROUND((SUMIFS(Acerto_Detalhado!$F$2:$F$433,Acerto_Detalhado!$A$2:$A$433,$C4417,Acerto_Detalhado!$B$2:$B$433,"Dez",Acerto_Detalhado!$C$2:$C$433,"Proteina"))*(SUMIFS(Acerto_Detalhado!$I$2:$I$433,Acerto_Detalhado!$A$2:$A$433,$D4417,Acerto_Detalhado!$B$2:$B$433,"Dez",Acerto_Detalhado!$C$2:$C$433,"Proteina")),2)</f>
        <v>0</v>
      </c>
    </row>
    <row r="4418" customFormat="false" ht="15" hidden="false" customHeight="false" outlineLevel="0" collapsed="false">
      <c r="A4418" s="27" t="s">
        <v>122</v>
      </c>
      <c r="B4418" s="27" t="s">
        <v>109</v>
      </c>
      <c r="C4418" s="27" t="s">
        <v>44</v>
      </c>
      <c r="D4418" s="27" t="s">
        <v>41</v>
      </c>
      <c r="E4418" s="28" t="n">
        <f aca="false">ROUND((SUMIFS(Acerto_Detalhado!$F$2:$F$433,Acerto_Detalhado!$A$2:$A$433,$C4418,Acerto_Detalhado!$B$2:$B$433,"Dez",Acerto_Detalhado!$C$2:$C$433,"Proteina"))*(SUMIFS(Acerto_Detalhado!$I$2:$I$433,Acerto_Detalhado!$A$2:$A$433,$D4418,Acerto_Detalhado!$B$2:$B$433,"Dez",Acerto_Detalhado!$C$2:$C$433,"Proteina")),2)</f>
        <v>0</v>
      </c>
    </row>
    <row r="4419" customFormat="false" ht="15" hidden="false" customHeight="false" outlineLevel="0" collapsed="false">
      <c r="A4419" s="27" t="s">
        <v>122</v>
      </c>
      <c r="B4419" s="27" t="s">
        <v>109</v>
      </c>
      <c r="C4419" s="27" t="s">
        <v>44</v>
      </c>
      <c r="D4419" s="27" t="s">
        <v>42</v>
      </c>
      <c r="E4419" s="28" t="n">
        <f aca="false">ROUND((SUMIFS(Acerto_Detalhado!$F$2:$F$433,Acerto_Detalhado!$A$2:$A$433,$C4419,Acerto_Detalhado!$B$2:$B$433,"Dez",Acerto_Detalhado!$C$2:$C$433,"Proteina"))*(SUMIFS(Acerto_Detalhado!$I$2:$I$433,Acerto_Detalhado!$A$2:$A$433,$D4419,Acerto_Detalhado!$B$2:$B$433,"Dez",Acerto_Detalhado!$C$2:$C$433,"Proteina")),2)</f>
        <v>0</v>
      </c>
    </row>
    <row r="4420" customFormat="false" ht="15" hidden="false" customHeight="false" outlineLevel="0" collapsed="false">
      <c r="A4420" s="27" t="s">
        <v>122</v>
      </c>
      <c r="B4420" s="27" t="s">
        <v>109</v>
      </c>
      <c r="C4420" s="27" t="s">
        <v>44</v>
      </c>
      <c r="D4420" s="27" t="s">
        <v>43</v>
      </c>
      <c r="E4420" s="28" t="n">
        <f aca="false">ROUND((SUMIFS(Acerto_Detalhado!$F$2:$F$433,Acerto_Detalhado!$A$2:$A$433,$C4420,Acerto_Detalhado!$B$2:$B$433,"Dez",Acerto_Detalhado!$C$2:$C$433,"Proteina"))*(SUMIFS(Acerto_Detalhado!$I$2:$I$433,Acerto_Detalhado!$A$2:$A$433,$D4420,Acerto_Detalhado!$B$2:$B$433,"Dez",Acerto_Detalhado!$C$2:$C$433,"Proteina")),2)</f>
        <v>0</v>
      </c>
    </row>
    <row r="4421" customFormat="false" ht="15" hidden="false" customHeight="false" outlineLevel="0" collapsed="false">
      <c r="A4421" s="27" t="s">
        <v>122</v>
      </c>
      <c r="B4421" s="27" t="s">
        <v>109</v>
      </c>
      <c r="C4421" s="27" t="s">
        <v>44</v>
      </c>
      <c r="D4421" s="27" t="s">
        <v>45</v>
      </c>
      <c r="E4421" s="28" t="n">
        <f aca="false">ROUND((SUMIFS(Acerto_Detalhado!$F$2:$F$433,Acerto_Detalhado!$A$2:$A$433,$C4421,Acerto_Detalhado!$B$2:$B$433,"Dez",Acerto_Detalhado!$C$2:$C$433,"Proteina"))*(SUMIFS(Acerto_Detalhado!$I$2:$I$433,Acerto_Detalhado!$A$2:$A$433,$D4421,Acerto_Detalhado!$B$2:$B$433,"Dez",Acerto_Detalhado!$C$2:$C$433,"Proteina")),2)</f>
        <v>0</v>
      </c>
    </row>
    <row r="4422" customFormat="false" ht="15" hidden="false" customHeight="false" outlineLevel="0" collapsed="false">
      <c r="A4422" s="27" t="s">
        <v>122</v>
      </c>
      <c r="B4422" s="27" t="s">
        <v>109</v>
      </c>
      <c r="C4422" s="27" t="s">
        <v>44</v>
      </c>
      <c r="D4422" s="27" t="s">
        <v>46</v>
      </c>
      <c r="E4422" s="28" t="n">
        <f aca="false">ROUND((SUMIFS(Acerto_Detalhado!$F$2:$F$433,Acerto_Detalhado!$A$2:$A$433,$C4422,Acerto_Detalhado!$B$2:$B$433,"Dez",Acerto_Detalhado!$C$2:$C$433,"Proteina"))*(SUMIFS(Acerto_Detalhado!$I$2:$I$433,Acerto_Detalhado!$A$2:$A$433,$D4422,Acerto_Detalhado!$B$2:$B$433,"Dez",Acerto_Detalhado!$C$2:$C$433,"Proteina")),2)</f>
        <v>0</v>
      </c>
    </row>
    <row r="4423" customFormat="false" ht="15" hidden="false" customHeight="false" outlineLevel="0" collapsed="false">
      <c r="A4423" s="27" t="s">
        <v>122</v>
      </c>
      <c r="B4423" s="27" t="s">
        <v>109</v>
      </c>
      <c r="C4423" s="27" t="s">
        <v>44</v>
      </c>
      <c r="D4423" s="27" t="s">
        <v>47</v>
      </c>
      <c r="E4423" s="28" t="n">
        <f aca="false">ROUND((SUMIFS(Acerto_Detalhado!$F$2:$F$433,Acerto_Detalhado!$A$2:$A$433,$C4423,Acerto_Detalhado!$B$2:$B$433,"Dez",Acerto_Detalhado!$C$2:$C$433,"Proteina"))*(SUMIFS(Acerto_Detalhado!$I$2:$I$433,Acerto_Detalhado!$A$2:$A$433,$D4423,Acerto_Detalhado!$B$2:$B$433,"Dez",Acerto_Detalhado!$C$2:$C$433,"Proteina")),2)</f>
        <v>0</v>
      </c>
    </row>
    <row r="4424" customFormat="false" ht="15" hidden="false" customHeight="false" outlineLevel="0" collapsed="false">
      <c r="A4424" s="27" t="s">
        <v>122</v>
      </c>
      <c r="B4424" s="27" t="s">
        <v>109</v>
      </c>
      <c r="C4424" s="27" t="s">
        <v>44</v>
      </c>
      <c r="D4424" s="27" t="s">
        <v>48</v>
      </c>
      <c r="E4424" s="28" t="n">
        <f aca="false">ROUND((SUMIFS(Acerto_Detalhado!$F$2:$F$433,Acerto_Detalhado!$A$2:$A$433,$C4424,Acerto_Detalhado!$B$2:$B$433,"Dez",Acerto_Detalhado!$C$2:$C$433,"Proteina"))*(SUMIFS(Acerto_Detalhado!$I$2:$I$433,Acerto_Detalhado!$A$2:$A$433,$D4424,Acerto_Detalhado!$B$2:$B$433,"Dez",Acerto_Detalhado!$C$2:$C$433,"Proteina")),2)</f>
        <v>0</v>
      </c>
    </row>
    <row r="4425" customFormat="false" ht="15" hidden="false" customHeight="false" outlineLevel="0" collapsed="false">
      <c r="A4425" s="27" t="s">
        <v>122</v>
      </c>
      <c r="B4425" s="27" t="s">
        <v>109</v>
      </c>
      <c r="C4425" s="27" t="s">
        <v>44</v>
      </c>
      <c r="D4425" s="27" t="s">
        <v>49</v>
      </c>
      <c r="E4425" s="28" t="n">
        <f aca="false">ROUND((SUMIFS(Acerto_Detalhado!$F$2:$F$433,Acerto_Detalhado!$A$2:$A$433,$C4425,Acerto_Detalhado!$B$2:$B$433,"Dez",Acerto_Detalhado!$C$2:$C$433,"Proteina"))*(SUMIFS(Acerto_Detalhado!$I$2:$I$433,Acerto_Detalhado!$A$2:$A$433,$D4425,Acerto_Detalhado!$B$2:$B$433,"Dez",Acerto_Detalhado!$C$2:$C$433,"Proteina")),2)</f>
        <v>0</v>
      </c>
    </row>
    <row r="4426" customFormat="false" ht="15" hidden="false" customHeight="false" outlineLevel="0" collapsed="false">
      <c r="A4426" s="27" t="s">
        <v>122</v>
      </c>
      <c r="B4426" s="27" t="s">
        <v>109</v>
      </c>
      <c r="C4426" s="27" t="s">
        <v>44</v>
      </c>
      <c r="D4426" s="27" t="s">
        <v>50</v>
      </c>
      <c r="E4426" s="28" t="n">
        <f aca="false">ROUND((SUMIFS(Acerto_Detalhado!$F$2:$F$433,Acerto_Detalhado!$A$2:$A$433,$C4426,Acerto_Detalhado!$B$2:$B$433,"Dez",Acerto_Detalhado!$C$2:$C$433,"Proteina"))*(SUMIFS(Acerto_Detalhado!$I$2:$I$433,Acerto_Detalhado!$A$2:$A$433,$D4426,Acerto_Detalhado!$B$2:$B$433,"Dez",Acerto_Detalhado!$C$2:$C$433,"Proteina")),2)</f>
        <v>0</v>
      </c>
    </row>
    <row r="4427" customFormat="false" ht="15" hidden="false" customHeight="false" outlineLevel="0" collapsed="false">
      <c r="A4427" s="27" t="s">
        <v>122</v>
      </c>
      <c r="B4427" s="27" t="s">
        <v>109</v>
      </c>
      <c r="C4427" s="27" t="s">
        <v>45</v>
      </c>
      <c r="D4427" s="27" t="s">
        <v>39</v>
      </c>
      <c r="E4427" s="28" t="n">
        <f aca="false">ROUND((SUMIFS(Acerto_Detalhado!$F$2:$F$433,Acerto_Detalhado!$A$2:$A$433,$C4427,Acerto_Detalhado!$B$2:$B$433,"Dez",Acerto_Detalhado!$C$2:$C$433,"Proteina"))*(SUMIFS(Acerto_Detalhado!$I$2:$I$433,Acerto_Detalhado!$A$2:$A$433,$D4427,Acerto_Detalhado!$B$2:$B$433,"Dez",Acerto_Detalhado!$C$2:$C$433,"Proteina")),2)</f>
        <v>0</v>
      </c>
    </row>
    <row r="4428" customFormat="false" ht="15" hidden="false" customHeight="false" outlineLevel="0" collapsed="false">
      <c r="A4428" s="27" t="s">
        <v>122</v>
      </c>
      <c r="B4428" s="27" t="s">
        <v>109</v>
      </c>
      <c r="C4428" s="27" t="s">
        <v>45</v>
      </c>
      <c r="D4428" s="27" t="s">
        <v>40</v>
      </c>
      <c r="E4428" s="28" t="n">
        <f aca="false">ROUND((SUMIFS(Acerto_Detalhado!$F$2:$F$433,Acerto_Detalhado!$A$2:$A$433,$C4428,Acerto_Detalhado!$B$2:$B$433,"Dez",Acerto_Detalhado!$C$2:$C$433,"Proteina"))*(SUMIFS(Acerto_Detalhado!$I$2:$I$433,Acerto_Detalhado!$A$2:$A$433,$D4428,Acerto_Detalhado!$B$2:$B$433,"Dez",Acerto_Detalhado!$C$2:$C$433,"Proteina")),2)</f>
        <v>0</v>
      </c>
    </row>
    <row r="4429" customFormat="false" ht="15" hidden="false" customHeight="false" outlineLevel="0" collapsed="false">
      <c r="A4429" s="27" t="s">
        <v>122</v>
      </c>
      <c r="B4429" s="27" t="s">
        <v>109</v>
      </c>
      <c r="C4429" s="27" t="s">
        <v>45</v>
      </c>
      <c r="D4429" s="27" t="s">
        <v>41</v>
      </c>
      <c r="E4429" s="28" t="n">
        <f aca="false">ROUND((SUMIFS(Acerto_Detalhado!$F$2:$F$433,Acerto_Detalhado!$A$2:$A$433,$C4429,Acerto_Detalhado!$B$2:$B$433,"Dez",Acerto_Detalhado!$C$2:$C$433,"Proteina"))*(SUMIFS(Acerto_Detalhado!$I$2:$I$433,Acerto_Detalhado!$A$2:$A$433,$D4429,Acerto_Detalhado!$B$2:$B$433,"Dez",Acerto_Detalhado!$C$2:$C$433,"Proteina")),2)</f>
        <v>0</v>
      </c>
    </row>
    <row r="4430" customFormat="false" ht="15" hidden="false" customHeight="false" outlineLevel="0" collapsed="false">
      <c r="A4430" s="27" t="s">
        <v>122</v>
      </c>
      <c r="B4430" s="27" t="s">
        <v>109</v>
      </c>
      <c r="C4430" s="27" t="s">
        <v>45</v>
      </c>
      <c r="D4430" s="27" t="s">
        <v>42</v>
      </c>
      <c r="E4430" s="28" t="n">
        <f aca="false">ROUND((SUMIFS(Acerto_Detalhado!$F$2:$F$433,Acerto_Detalhado!$A$2:$A$433,$C4430,Acerto_Detalhado!$B$2:$B$433,"Dez",Acerto_Detalhado!$C$2:$C$433,"Proteina"))*(SUMIFS(Acerto_Detalhado!$I$2:$I$433,Acerto_Detalhado!$A$2:$A$433,$D4430,Acerto_Detalhado!$B$2:$B$433,"Dez",Acerto_Detalhado!$C$2:$C$433,"Proteina")),2)</f>
        <v>0</v>
      </c>
    </row>
    <row r="4431" customFormat="false" ht="15" hidden="false" customHeight="false" outlineLevel="0" collapsed="false">
      <c r="A4431" s="27" t="s">
        <v>122</v>
      </c>
      <c r="B4431" s="27" t="s">
        <v>109</v>
      </c>
      <c r="C4431" s="27" t="s">
        <v>45</v>
      </c>
      <c r="D4431" s="27" t="s">
        <v>43</v>
      </c>
      <c r="E4431" s="28" t="n">
        <f aca="false">ROUND((SUMIFS(Acerto_Detalhado!$F$2:$F$433,Acerto_Detalhado!$A$2:$A$433,$C4431,Acerto_Detalhado!$B$2:$B$433,"Dez",Acerto_Detalhado!$C$2:$C$433,"Proteina"))*(SUMIFS(Acerto_Detalhado!$I$2:$I$433,Acerto_Detalhado!$A$2:$A$433,$D4431,Acerto_Detalhado!$B$2:$B$433,"Dez",Acerto_Detalhado!$C$2:$C$433,"Proteina")),2)</f>
        <v>0</v>
      </c>
    </row>
    <row r="4432" customFormat="false" ht="15" hidden="false" customHeight="false" outlineLevel="0" collapsed="false">
      <c r="A4432" s="27" t="s">
        <v>122</v>
      </c>
      <c r="B4432" s="27" t="s">
        <v>109</v>
      </c>
      <c r="C4432" s="27" t="s">
        <v>45</v>
      </c>
      <c r="D4432" s="27" t="s">
        <v>44</v>
      </c>
      <c r="E4432" s="28" t="n">
        <f aca="false">ROUND((SUMIFS(Acerto_Detalhado!$F$2:$F$433,Acerto_Detalhado!$A$2:$A$433,$C4432,Acerto_Detalhado!$B$2:$B$433,"Dez",Acerto_Detalhado!$C$2:$C$433,"Proteina"))*(SUMIFS(Acerto_Detalhado!$I$2:$I$433,Acerto_Detalhado!$A$2:$A$433,$D4432,Acerto_Detalhado!$B$2:$B$433,"Dez",Acerto_Detalhado!$C$2:$C$433,"Proteina")),2)</f>
        <v>0</v>
      </c>
    </row>
    <row r="4433" customFormat="false" ht="15" hidden="false" customHeight="false" outlineLevel="0" collapsed="false">
      <c r="A4433" s="27" t="s">
        <v>122</v>
      </c>
      <c r="B4433" s="27" t="s">
        <v>109</v>
      </c>
      <c r="C4433" s="27" t="s">
        <v>45</v>
      </c>
      <c r="D4433" s="27" t="s">
        <v>46</v>
      </c>
      <c r="E4433" s="28" t="n">
        <f aca="false">ROUND((SUMIFS(Acerto_Detalhado!$F$2:$F$433,Acerto_Detalhado!$A$2:$A$433,$C4433,Acerto_Detalhado!$B$2:$B$433,"Dez",Acerto_Detalhado!$C$2:$C$433,"Proteina"))*(SUMIFS(Acerto_Detalhado!$I$2:$I$433,Acerto_Detalhado!$A$2:$A$433,$D4433,Acerto_Detalhado!$B$2:$B$433,"Dez",Acerto_Detalhado!$C$2:$C$433,"Proteina")),2)</f>
        <v>0</v>
      </c>
    </row>
    <row r="4434" customFormat="false" ht="15" hidden="false" customHeight="false" outlineLevel="0" collapsed="false">
      <c r="A4434" s="27" t="s">
        <v>122</v>
      </c>
      <c r="B4434" s="27" t="s">
        <v>109</v>
      </c>
      <c r="C4434" s="27" t="s">
        <v>45</v>
      </c>
      <c r="D4434" s="27" t="s">
        <v>47</v>
      </c>
      <c r="E4434" s="28" t="n">
        <f aca="false">ROUND((SUMIFS(Acerto_Detalhado!$F$2:$F$433,Acerto_Detalhado!$A$2:$A$433,$C4434,Acerto_Detalhado!$B$2:$B$433,"Dez",Acerto_Detalhado!$C$2:$C$433,"Proteina"))*(SUMIFS(Acerto_Detalhado!$I$2:$I$433,Acerto_Detalhado!$A$2:$A$433,$D4434,Acerto_Detalhado!$B$2:$B$433,"Dez",Acerto_Detalhado!$C$2:$C$433,"Proteina")),2)</f>
        <v>0</v>
      </c>
    </row>
    <row r="4435" customFormat="false" ht="15" hidden="false" customHeight="false" outlineLevel="0" collapsed="false">
      <c r="A4435" s="27" t="s">
        <v>122</v>
      </c>
      <c r="B4435" s="27" t="s">
        <v>109</v>
      </c>
      <c r="C4435" s="27" t="s">
        <v>45</v>
      </c>
      <c r="D4435" s="27" t="s">
        <v>48</v>
      </c>
      <c r="E4435" s="28" t="n">
        <f aca="false">ROUND((SUMIFS(Acerto_Detalhado!$F$2:$F$433,Acerto_Detalhado!$A$2:$A$433,$C4435,Acerto_Detalhado!$B$2:$B$433,"Dez",Acerto_Detalhado!$C$2:$C$433,"Proteina"))*(SUMIFS(Acerto_Detalhado!$I$2:$I$433,Acerto_Detalhado!$A$2:$A$433,$D4435,Acerto_Detalhado!$B$2:$B$433,"Dez",Acerto_Detalhado!$C$2:$C$433,"Proteina")),2)</f>
        <v>0</v>
      </c>
    </row>
    <row r="4436" customFormat="false" ht="15" hidden="false" customHeight="false" outlineLevel="0" collapsed="false">
      <c r="A4436" s="27" t="s">
        <v>122</v>
      </c>
      <c r="B4436" s="27" t="s">
        <v>109</v>
      </c>
      <c r="C4436" s="27" t="s">
        <v>45</v>
      </c>
      <c r="D4436" s="27" t="s">
        <v>49</v>
      </c>
      <c r="E4436" s="28" t="n">
        <f aca="false">ROUND((SUMIFS(Acerto_Detalhado!$F$2:$F$433,Acerto_Detalhado!$A$2:$A$433,$C4436,Acerto_Detalhado!$B$2:$B$433,"Dez",Acerto_Detalhado!$C$2:$C$433,"Proteina"))*(SUMIFS(Acerto_Detalhado!$I$2:$I$433,Acerto_Detalhado!$A$2:$A$433,$D4436,Acerto_Detalhado!$B$2:$B$433,"Dez",Acerto_Detalhado!$C$2:$C$433,"Proteina")),2)</f>
        <v>0</v>
      </c>
    </row>
    <row r="4437" customFormat="false" ht="15" hidden="false" customHeight="false" outlineLevel="0" collapsed="false">
      <c r="A4437" s="27" t="s">
        <v>122</v>
      </c>
      <c r="B4437" s="27" t="s">
        <v>109</v>
      </c>
      <c r="C4437" s="27" t="s">
        <v>45</v>
      </c>
      <c r="D4437" s="27" t="s">
        <v>50</v>
      </c>
      <c r="E4437" s="28" t="n">
        <f aca="false">ROUND((SUMIFS(Acerto_Detalhado!$F$2:$F$433,Acerto_Detalhado!$A$2:$A$433,$C4437,Acerto_Detalhado!$B$2:$B$433,"Dez",Acerto_Detalhado!$C$2:$C$433,"Proteina"))*(SUMIFS(Acerto_Detalhado!$I$2:$I$433,Acerto_Detalhado!$A$2:$A$433,$D4437,Acerto_Detalhado!$B$2:$B$433,"Dez",Acerto_Detalhado!$C$2:$C$433,"Proteina")),2)</f>
        <v>0</v>
      </c>
    </row>
    <row r="4438" customFormat="false" ht="15" hidden="false" customHeight="false" outlineLevel="0" collapsed="false">
      <c r="A4438" s="27" t="s">
        <v>122</v>
      </c>
      <c r="B4438" s="27" t="s">
        <v>109</v>
      </c>
      <c r="C4438" s="27" t="s">
        <v>46</v>
      </c>
      <c r="D4438" s="27" t="s">
        <v>39</v>
      </c>
      <c r="E4438" s="28" t="n">
        <f aca="false">ROUND((SUMIFS(Acerto_Detalhado!$F$2:$F$433,Acerto_Detalhado!$A$2:$A$433,$C4438,Acerto_Detalhado!$B$2:$B$433,"Dez",Acerto_Detalhado!$C$2:$C$433,"Proteina"))*(SUMIFS(Acerto_Detalhado!$I$2:$I$433,Acerto_Detalhado!$A$2:$A$433,$D4438,Acerto_Detalhado!$B$2:$B$433,"Dez",Acerto_Detalhado!$C$2:$C$433,"Proteina")),2)</f>
        <v>0</v>
      </c>
    </row>
    <row r="4439" customFormat="false" ht="15" hidden="false" customHeight="false" outlineLevel="0" collapsed="false">
      <c r="A4439" s="27" t="s">
        <v>122</v>
      </c>
      <c r="B4439" s="27" t="s">
        <v>109</v>
      </c>
      <c r="C4439" s="27" t="s">
        <v>46</v>
      </c>
      <c r="D4439" s="27" t="s">
        <v>40</v>
      </c>
      <c r="E4439" s="28" t="n">
        <f aca="false">ROUND((SUMIFS(Acerto_Detalhado!$F$2:$F$433,Acerto_Detalhado!$A$2:$A$433,$C4439,Acerto_Detalhado!$B$2:$B$433,"Dez",Acerto_Detalhado!$C$2:$C$433,"Proteina"))*(SUMIFS(Acerto_Detalhado!$I$2:$I$433,Acerto_Detalhado!$A$2:$A$433,$D4439,Acerto_Detalhado!$B$2:$B$433,"Dez",Acerto_Detalhado!$C$2:$C$433,"Proteina")),2)</f>
        <v>0</v>
      </c>
    </row>
    <row r="4440" customFormat="false" ht="15" hidden="false" customHeight="false" outlineLevel="0" collapsed="false">
      <c r="A4440" s="27" t="s">
        <v>122</v>
      </c>
      <c r="B4440" s="27" t="s">
        <v>109</v>
      </c>
      <c r="C4440" s="27" t="s">
        <v>46</v>
      </c>
      <c r="D4440" s="27" t="s">
        <v>41</v>
      </c>
      <c r="E4440" s="28" t="n">
        <f aca="false">ROUND((SUMIFS(Acerto_Detalhado!$F$2:$F$433,Acerto_Detalhado!$A$2:$A$433,$C4440,Acerto_Detalhado!$B$2:$B$433,"Dez",Acerto_Detalhado!$C$2:$C$433,"Proteina"))*(SUMIFS(Acerto_Detalhado!$I$2:$I$433,Acerto_Detalhado!$A$2:$A$433,$D4440,Acerto_Detalhado!$B$2:$B$433,"Dez",Acerto_Detalhado!$C$2:$C$433,"Proteina")),2)</f>
        <v>0</v>
      </c>
    </row>
    <row r="4441" customFormat="false" ht="15" hidden="false" customHeight="false" outlineLevel="0" collapsed="false">
      <c r="A4441" s="27" t="s">
        <v>122</v>
      </c>
      <c r="B4441" s="27" t="s">
        <v>109</v>
      </c>
      <c r="C4441" s="27" t="s">
        <v>46</v>
      </c>
      <c r="D4441" s="27" t="s">
        <v>42</v>
      </c>
      <c r="E4441" s="28" t="n">
        <f aca="false">ROUND((SUMIFS(Acerto_Detalhado!$F$2:$F$433,Acerto_Detalhado!$A$2:$A$433,$C4441,Acerto_Detalhado!$B$2:$B$433,"Dez",Acerto_Detalhado!$C$2:$C$433,"Proteina"))*(SUMIFS(Acerto_Detalhado!$I$2:$I$433,Acerto_Detalhado!$A$2:$A$433,$D4441,Acerto_Detalhado!$B$2:$B$433,"Dez",Acerto_Detalhado!$C$2:$C$433,"Proteina")),2)</f>
        <v>0</v>
      </c>
    </row>
    <row r="4442" customFormat="false" ht="15" hidden="false" customHeight="false" outlineLevel="0" collapsed="false">
      <c r="A4442" s="27" t="s">
        <v>122</v>
      </c>
      <c r="B4442" s="27" t="s">
        <v>109</v>
      </c>
      <c r="C4442" s="27" t="s">
        <v>46</v>
      </c>
      <c r="D4442" s="27" t="s">
        <v>43</v>
      </c>
      <c r="E4442" s="28" t="n">
        <f aca="false">ROUND((SUMIFS(Acerto_Detalhado!$F$2:$F$433,Acerto_Detalhado!$A$2:$A$433,$C4442,Acerto_Detalhado!$B$2:$B$433,"Dez",Acerto_Detalhado!$C$2:$C$433,"Proteina"))*(SUMIFS(Acerto_Detalhado!$I$2:$I$433,Acerto_Detalhado!$A$2:$A$433,$D4442,Acerto_Detalhado!$B$2:$B$433,"Dez",Acerto_Detalhado!$C$2:$C$433,"Proteina")),2)</f>
        <v>0</v>
      </c>
    </row>
    <row r="4443" customFormat="false" ht="15" hidden="false" customHeight="false" outlineLevel="0" collapsed="false">
      <c r="A4443" s="27" t="s">
        <v>122</v>
      </c>
      <c r="B4443" s="27" t="s">
        <v>109</v>
      </c>
      <c r="C4443" s="27" t="s">
        <v>46</v>
      </c>
      <c r="D4443" s="27" t="s">
        <v>44</v>
      </c>
      <c r="E4443" s="28" t="n">
        <f aca="false">ROUND((SUMIFS(Acerto_Detalhado!$F$2:$F$433,Acerto_Detalhado!$A$2:$A$433,$C4443,Acerto_Detalhado!$B$2:$B$433,"Dez",Acerto_Detalhado!$C$2:$C$433,"Proteina"))*(SUMIFS(Acerto_Detalhado!$I$2:$I$433,Acerto_Detalhado!$A$2:$A$433,$D4443,Acerto_Detalhado!$B$2:$B$433,"Dez",Acerto_Detalhado!$C$2:$C$433,"Proteina")),2)</f>
        <v>0</v>
      </c>
    </row>
    <row r="4444" customFormat="false" ht="15" hidden="false" customHeight="false" outlineLevel="0" collapsed="false">
      <c r="A4444" s="27" t="s">
        <v>122</v>
      </c>
      <c r="B4444" s="27" t="s">
        <v>109</v>
      </c>
      <c r="C4444" s="27" t="s">
        <v>46</v>
      </c>
      <c r="D4444" s="27" t="s">
        <v>45</v>
      </c>
      <c r="E4444" s="28" t="n">
        <f aca="false">ROUND((SUMIFS(Acerto_Detalhado!$F$2:$F$433,Acerto_Detalhado!$A$2:$A$433,$C4444,Acerto_Detalhado!$B$2:$B$433,"Dez",Acerto_Detalhado!$C$2:$C$433,"Proteina"))*(SUMIFS(Acerto_Detalhado!$I$2:$I$433,Acerto_Detalhado!$A$2:$A$433,$D4444,Acerto_Detalhado!$B$2:$B$433,"Dez",Acerto_Detalhado!$C$2:$C$433,"Proteina")),2)</f>
        <v>0</v>
      </c>
    </row>
    <row r="4445" customFormat="false" ht="15" hidden="false" customHeight="false" outlineLevel="0" collapsed="false">
      <c r="A4445" s="27" t="s">
        <v>122</v>
      </c>
      <c r="B4445" s="27" t="s">
        <v>109</v>
      </c>
      <c r="C4445" s="27" t="s">
        <v>46</v>
      </c>
      <c r="D4445" s="27" t="s">
        <v>47</v>
      </c>
      <c r="E4445" s="28" t="n">
        <f aca="false">ROUND((SUMIFS(Acerto_Detalhado!$F$2:$F$433,Acerto_Detalhado!$A$2:$A$433,$C4445,Acerto_Detalhado!$B$2:$B$433,"Dez",Acerto_Detalhado!$C$2:$C$433,"Proteina"))*(SUMIFS(Acerto_Detalhado!$I$2:$I$433,Acerto_Detalhado!$A$2:$A$433,$D4445,Acerto_Detalhado!$B$2:$B$433,"Dez",Acerto_Detalhado!$C$2:$C$433,"Proteina")),2)</f>
        <v>0</v>
      </c>
    </row>
    <row r="4446" customFormat="false" ht="15" hidden="false" customHeight="false" outlineLevel="0" collapsed="false">
      <c r="A4446" s="27" t="s">
        <v>122</v>
      </c>
      <c r="B4446" s="27" t="s">
        <v>109</v>
      </c>
      <c r="C4446" s="27" t="s">
        <v>46</v>
      </c>
      <c r="D4446" s="27" t="s">
        <v>48</v>
      </c>
      <c r="E4446" s="28" t="n">
        <f aca="false">ROUND((SUMIFS(Acerto_Detalhado!$F$2:$F$433,Acerto_Detalhado!$A$2:$A$433,$C4446,Acerto_Detalhado!$B$2:$B$433,"Dez",Acerto_Detalhado!$C$2:$C$433,"Proteina"))*(SUMIFS(Acerto_Detalhado!$I$2:$I$433,Acerto_Detalhado!$A$2:$A$433,$D4446,Acerto_Detalhado!$B$2:$B$433,"Dez",Acerto_Detalhado!$C$2:$C$433,"Proteina")),2)</f>
        <v>0</v>
      </c>
    </row>
    <row r="4447" customFormat="false" ht="15" hidden="false" customHeight="false" outlineLevel="0" collapsed="false">
      <c r="A4447" s="27" t="s">
        <v>122</v>
      </c>
      <c r="B4447" s="27" t="s">
        <v>109</v>
      </c>
      <c r="C4447" s="27" t="s">
        <v>46</v>
      </c>
      <c r="D4447" s="27" t="s">
        <v>49</v>
      </c>
      <c r="E4447" s="28" t="n">
        <f aca="false">ROUND((SUMIFS(Acerto_Detalhado!$F$2:$F$433,Acerto_Detalhado!$A$2:$A$433,$C4447,Acerto_Detalhado!$B$2:$B$433,"Dez",Acerto_Detalhado!$C$2:$C$433,"Proteina"))*(SUMIFS(Acerto_Detalhado!$I$2:$I$433,Acerto_Detalhado!$A$2:$A$433,$D4447,Acerto_Detalhado!$B$2:$B$433,"Dez",Acerto_Detalhado!$C$2:$C$433,"Proteina")),2)</f>
        <v>0</v>
      </c>
    </row>
    <row r="4448" customFormat="false" ht="15" hidden="false" customHeight="false" outlineLevel="0" collapsed="false">
      <c r="A4448" s="27" t="s">
        <v>122</v>
      </c>
      <c r="B4448" s="27" t="s">
        <v>109</v>
      </c>
      <c r="C4448" s="27" t="s">
        <v>46</v>
      </c>
      <c r="D4448" s="27" t="s">
        <v>50</v>
      </c>
      <c r="E4448" s="28" t="n">
        <f aca="false">ROUND((SUMIFS(Acerto_Detalhado!$F$2:$F$433,Acerto_Detalhado!$A$2:$A$433,$C4448,Acerto_Detalhado!$B$2:$B$433,"Dez",Acerto_Detalhado!$C$2:$C$433,"Proteina"))*(SUMIFS(Acerto_Detalhado!$I$2:$I$433,Acerto_Detalhado!$A$2:$A$433,$D4448,Acerto_Detalhado!$B$2:$B$433,"Dez",Acerto_Detalhado!$C$2:$C$433,"Proteina")),2)</f>
        <v>0</v>
      </c>
    </row>
    <row r="4449" customFormat="false" ht="15" hidden="false" customHeight="false" outlineLevel="0" collapsed="false">
      <c r="A4449" s="27" t="s">
        <v>122</v>
      </c>
      <c r="B4449" s="27" t="s">
        <v>109</v>
      </c>
      <c r="C4449" s="27" t="s">
        <v>47</v>
      </c>
      <c r="D4449" s="27" t="s">
        <v>39</v>
      </c>
      <c r="E4449" s="28" t="n">
        <f aca="false">ROUND((SUMIFS(Acerto_Detalhado!$F$2:$F$433,Acerto_Detalhado!$A$2:$A$433,$C4449,Acerto_Detalhado!$B$2:$B$433,"Dez",Acerto_Detalhado!$C$2:$C$433,"Proteina"))*(SUMIFS(Acerto_Detalhado!$I$2:$I$433,Acerto_Detalhado!$A$2:$A$433,$D4449,Acerto_Detalhado!$B$2:$B$433,"Dez",Acerto_Detalhado!$C$2:$C$433,"Proteina")),2)</f>
        <v>0</v>
      </c>
    </row>
    <row r="4450" customFormat="false" ht="15" hidden="false" customHeight="false" outlineLevel="0" collapsed="false">
      <c r="A4450" s="27" t="s">
        <v>122</v>
      </c>
      <c r="B4450" s="27" t="s">
        <v>109</v>
      </c>
      <c r="C4450" s="27" t="s">
        <v>47</v>
      </c>
      <c r="D4450" s="27" t="s">
        <v>40</v>
      </c>
      <c r="E4450" s="28" t="n">
        <f aca="false">ROUND((SUMIFS(Acerto_Detalhado!$F$2:$F$433,Acerto_Detalhado!$A$2:$A$433,$C4450,Acerto_Detalhado!$B$2:$B$433,"Dez",Acerto_Detalhado!$C$2:$C$433,"Proteina"))*(SUMIFS(Acerto_Detalhado!$I$2:$I$433,Acerto_Detalhado!$A$2:$A$433,$D4450,Acerto_Detalhado!$B$2:$B$433,"Dez",Acerto_Detalhado!$C$2:$C$433,"Proteina")),2)</f>
        <v>0</v>
      </c>
    </row>
    <row r="4451" customFormat="false" ht="15" hidden="false" customHeight="false" outlineLevel="0" collapsed="false">
      <c r="A4451" s="27" t="s">
        <v>122</v>
      </c>
      <c r="B4451" s="27" t="s">
        <v>109</v>
      </c>
      <c r="C4451" s="27" t="s">
        <v>47</v>
      </c>
      <c r="D4451" s="27" t="s">
        <v>41</v>
      </c>
      <c r="E4451" s="28" t="n">
        <f aca="false">ROUND((SUMIFS(Acerto_Detalhado!$F$2:$F$433,Acerto_Detalhado!$A$2:$A$433,$C4451,Acerto_Detalhado!$B$2:$B$433,"Dez",Acerto_Detalhado!$C$2:$C$433,"Proteina"))*(SUMIFS(Acerto_Detalhado!$I$2:$I$433,Acerto_Detalhado!$A$2:$A$433,$D4451,Acerto_Detalhado!$B$2:$B$433,"Dez",Acerto_Detalhado!$C$2:$C$433,"Proteina")),2)</f>
        <v>0</v>
      </c>
    </row>
    <row r="4452" customFormat="false" ht="15" hidden="false" customHeight="false" outlineLevel="0" collapsed="false">
      <c r="A4452" s="27" t="s">
        <v>122</v>
      </c>
      <c r="B4452" s="27" t="s">
        <v>109</v>
      </c>
      <c r="C4452" s="27" t="s">
        <v>47</v>
      </c>
      <c r="D4452" s="27" t="s">
        <v>42</v>
      </c>
      <c r="E4452" s="28" t="n">
        <f aca="false">ROUND((SUMIFS(Acerto_Detalhado!$F$2:$F$433,Acerto_Detalhado!$A$2:$A$433,$C4452,Acerto_Detalhado!$B$2:$B$433,"Dez",Acerto_Detalhado!$C$2:$C$433,"Proteina"))*(SUMIFS(Acerto_Detalhado!$I$2:$I$433,Acerto_Detalhado!$A$2:$A$433,$D4452,Acerto_Detalhado!$B$2:$B$433,"Dez",Acerto_Detalhado!$C$2:$C$433,"Proteina")),2)</f>
        <v>0</v>
      </c>
    </row>
    <row r="4453" customFormat="false" ht="15" hidden="false" customHeight="false" outlineLevel="0" collapsed="false">
      <c r="A4453" s="27" t="s">
        <v>122</v>
      </c>
      <c r="B4453" s="27" t="s">
        <v>109</v>
      </c>
      <c r="C4453" s="27" t="s">
        <v>47</v>
      </c>
      <c r="D4453" s="27" t="s">
        <v>43</v>
      </c>
      <c r="E4453" s="28" t="n">
        <f aca="false">ROUND((SUMIFS(Acerto_Detalhado!$F$2:$F$433,Acerto_Detalhado!$A$2:$A$433,$C4453,Acerto_Detalhado!$B$2:$B$433,"Dez",Acerto_Detalhado!$C$2:$C$433,"Proteina"))*(SUMIFS(Acerto_Detalhado!$I$2:$I$433,Acerto_Detalhado!$A$2:$A$433,$D4453,Acerto_Detalhado!$B$2:$B$433,"Dez",Acerto_Detalhado!$C$2:$C$433,"Proteina")),2)</f>
        <v>0</v>
      </c>
    </row>
    <row r="4454" customFormat="false" ht="15" hidden="false" customHeight="false" outlineLevel="0" collapsed="false">
      <c r="A4454" s="27" t="s">
        <v>122</v>
      </c>
      <c r="B4454" s="27" t="s">
        <v>109</v>
      </c>
      <c r="C4454" s="27" t="s">
        <v>47</v>
      </c>
      <c r="D4454" s="27" t="s">
        <v>44</v>
      </c>
      <c r="E4454" s="28" t="n">
        <f aca="false">ROUND((SUMIFS(Acerto_Detalhado!$F$2:$F$433,Acerto_Detalhado!$A$2:$A$433,$C4454,Acerto_Detalhado!$B$2:$B$433,"Dez",Acerto_Detalhado!$C$2:$C$433,"Proteina"))*(SUMIFS(Acerto_Detalhado!$I$2:$I$433,Acerto_Detalhado!$A$2:$A$433,$D4454,Acerto_Detalhado!$B$2:$B$433,"Dez",Acerto_Detalhado!$C$2:$C$433,"Proteina")),2)</f>
        <v>0</v>
      </c>
    </row>
    <row r="4455" customFormat="false" ht="15" hidden="false" customHeight="false" outlineLevel="0" collapsed="false">
      <c r="A4455" s="27" t="s">
        <v>122</v>
      </c>
      <c r="B4455" s="27" t="s">
        <v>109</v>
      </c>
      <c r="C4455" s="27" t="s">
        <v>47</v>
      </c>
      <c r="D4455" s="27" t="s">
        <v>45</v>
      </c>
      <c r="E4455" s="28" t="n">
        <f aca="false">ROUND((SUMIFS(Acerto_Detalhado!$F$2:$F$433,Acerto_Detalhado!$A$2:$A$433,$C4455,Acerto_Detalhado!$B$2:$B$433,"Dez",Acerto_Detalhado!$C$2:$C$433,"Proteina"))*(SUMIFS(Acerto_Detalhado!$I$2:$I$433,Acerto_Detalhado!$A$2:$A$433,$D4455,Acerto_Detalhado!$B$2:$B$433,"Dez",Acerto_Detalhado!$C$2:$C$433,"Proteina")),2)</f>
        <v>0</v>
      </c>
    </row>
    <row r="4456" customFormat="false" ht="15" hidden="false" customHeight="false" outlineLevel="0" collapsed="false">
      <c r="A4456" s="27" t="s">
        <v>122</v>
      </c>
      <c r="B4456" s="27" t="s">
        <v>109</v>
      </c>
      <c r="C4456" s="27" t="s">
        <v>47</v>
      </c>
      <c r="D4456" s="27" t="s">
        <v>46</v>
      </c>
      <c r="E4456" s="28" t="n">
        <f aca="false">ROUND((SUMIFS(Acerto_Detalhado!$F$2:$F$433,Acerto_Detalhado!$A$2:$A$433,$C4456,Acerto_Detalhado!$B$2:$B$433,"Dez",Acerto_Detalhado!$C$2:$C$433,"Proteina"))*(SUMIFS(Acerto_Detalhado!$I$2:$I$433,Acerto_Detalhado!$A$2:$A$433,$D4456,Acerto_Detalhado!$B$2:$B$433,"Dez",Acerto_Detalhado!$C$2:$C$433,"Proteina")),2)</f>
        <v>0</v>
      </c>
    </row>
    <row r="4457" customFormat="false" ht="15" hidden="false" customHeight="false" outlineLevel="0" collapsed="false">
      <c r="A4457" s="27" t="s">
        <v>122</v>
      </c>
      <c r="B4457" s="27" t="s">
        <v>109</v>
      </c>
      <c r="C4457" s="27" t="s">
        <v>47</v>
      </c>
      <c r="D4457" s="27" t="s">
        <v>48</v>
      </c>
      <c r="E4457" s="28" t="n">
        <f aca="false">ROUND((SUMIFS(Acerto_Detalhado!$F$2:$F$433,Acerto_Detalhado!$A$2:$A$433,$C4457,Acerto_Detalhado!$B$2:$B$433,"Dez",Acerto_Detalhado!$C$2:$C$433,"Proteina"))*(SUMIFS(Acerto_Detalhado!$I$2:$I$433,Acerto_Detalhado!$A$2:$A$433,$D4457,Acerto_Detalhado!$B$2:$B$433,"Dez",Acerto_Detalhado!$C$2:$C$433,"Proteina")),2)</f>
        <v>0</v>
      </c>
    </row>
    <row r="4458" customFormat="false" ht="15" hidden="false" customHeight="false" outlineLevel="0" collapsed="false">
      <c r="A4458" s="27" t="s">
        <v>122</v>
      </c>
      <c r="B4458" s="27" t="s">
        <v>109</v>
      </c>
      <c r="C4458" s="27" t="s">
        <v>47</v>
      </c>
      <c r="D4458" s="27" t="s">
        <v>49</v>
      </c>
      <c r="E4458" s="28" t="n">
        <f aca="false">ROUND((SUMIFS(Acerto_Detalhado!$F$2:$F$433,Acerto_Detalhado!$A$2:$A$433,$C4458,Acerto_Detalhado!$B$2:$B$433,"Dez",Acerto_Detalhado!$C$2:$C$433,"Proteina"))*(SUMIFS(Acerto_Detalhado!$I$2:$I$433,Acerto_Detalhado!$A$2:$A$433,$D4458,Acerto_Detalhado!$B$2:$B$433,"Dez",Acerto_Detalhado!$C$2:$C$433,"Proteina")),2)</f>
        <v>0</v>
      </c>
    </row>
    <row r="4459" customFormat="false" ht="15" hidden="false" customHeight="false" outlineLevel="0" collapsed="false">
      <c r="A4459" s="27" t="s">
        <v>122</v>
      </c>
      <c r="B4459" s="27" t="s">
        <v>109</v>
      </c>
      <c r="C4459" s="27" t="s">
        <v>47</v>
      </c>
      <c r="D4459" s="27" t="s">
        <v>50</v>
      </c>
      <c r="E4459" s="28" t="n">
        <f aca="false">ROUND((SUMIFS(Acerto_Detalhado!$F$2:$F$433,Acerto_Detalhado!$A$2:$A$433,$C4459,Acerto_Detalhado!$B$2:$B$433,"Dez",Acerto_Detalhado!$C$2:$C$433,"Proteina"))*(SUMIFS(Acerto_Detalhado!$I$2:$I$433,Acerto_Detalhado!$A$2:$A$433,$D4459,Acerto_Detalhado!$B$2:$B$433,"Dez",Acerto_Detalhado!$C$2:$C$433,"Proteina")),2)</f>
        <v>0</v>
      </c>
    </row>
    <row r="4460" customFormat="false" ht="15" hidden="false" customHeight="false" outlineLevel="0" collapsed="false">
      <c r="A4460" s="27" t="s">
        <v>122</v>
      </c>
      <c r="B4460" s="27" t="s">
        <v>109</v>
      </c>
      <c r="C4460" s="27" t="s">
        <v>48</v>
      </c>
      <c r="D4460" s="27" t="s">
        <v>39</v>
      </c>
      <c r="E4460" s="28" t="n">
        <f aca="false">ROUND((SUMIFS(Acerto_Detalhado!$F$2:$F$433,Acerto_Detalhado!$A$2:$A$433,$C4460,Acerto_Detalhado!$B$2:$B$433,"Dez",Acerto_Detalhado!$C$2:$C$433,"Proteina"))*(SUMIFS(Acerto_Detalhado!$I$2:$I$433,Acerto_Detalhado!$A$2:$A$433,$D4460,Acerto_Detalhado!$B$2:$B$433,"Dez",Acerto_Detalhado!$C$2:$C$433,"Proteina")),2)</f>
        <v>0</v>
      </c>
    </row>
    <row r="4461" customFormat="false" ht="15" hidden="false" customHeight="false" outlineLevel="0" collapsed="false">
      <c r="A4461" s="27" t="s">
        <v>122</v>
      </c>
      <c r="B4461" s="27" t="s">
        <v>109</v>
      </c>
      <c r="C4461" s="27" t="s">
        <v>48</v>
      </c>
      <c r="D4461" s="27" t="s">
        <v>40</v>
      </c>
      <c r="E4461" s="28" t="n">
        <f aca="false">ROUND((SUMIFS(Acerto_Detalhado!$F$2:$F$433,Acerto_Detalhado!$A$2:$A$433,$C4461,Acerto_Detalhado!$B$2:$B$433,"Dez",Acerto_Detalhado!$C$2:$C$433,"Proteina"))*(SUMIFS(Acerto_Detalhado!$I$2:$I$433,Acerto_Detalhado!$A$2:$A$433,$D4461,Acerto_Detalhado!$B$2:$B$433,"Dez",Acerto_Detalhado!$C$2:$C$433,"Proteina")),2)</f>
        <v>0</v>
      </c>
    </row>
    <row r="4462" customFormat="false" ht="15" hidden="false" customHeight="false" outlineLevel="0" collapsed="false">
      <c r="A4462" s="27" t="s">
        <v>122</v>
      </c>
      <c r="B4462" s="27" t="s">
        <v>109</v>
      </c>
      <c r="C4462" s="27" t="s">
        <v>48</v>
      </c>
      <c r="D4462" s="27" t="s">
        <v>41</v>
      </c>
      <c r="E4462" s="28" t="n">
        <f aca="false">ROUND((SUMIFS(Acerto_Detalhado!$F$2:$F$433,Acerto_Detalhado!$A$2:$A$433,$C4462,Acerto_Detalhado!$B$2:$B$433,"Dez",Acerto_Detalhado!$C$2:$C$433,"Proteina"))*(SUMIFS(Acerto_Detalhado!$I$2:$I$433,Acerto_Detalhado!$A$2:$A$433,$D4462,Acerto_Detalhado!$B$2:$B$433,"Dez",Acerto_Detalhado!$C$2:$C$433,"Proteina")),2)</f>
        <v>0</v>
      </c>
    </row>
    <row r="4463" customFormat="false" ht="15" hidden="false" customHeight="false" outlineLevel="0" collapsed="false">
      <c r="A4463" s="27" t="s">
        <v>122</v>
      </c>
      <c r="B4463" s="27" t="s">
        <v>109</v>
      </c>
      <c r="C4463" s="27" t="s">
        <v>48</v>
      </c>
      <c r="D4463" s="27" t="s">
        <v>42</v>
      </c>
      <c r="E4463" s="28" t="n">
        <f aca="false">ROUND((SUMIFS(Acerto_Detalhado!$F$2:$F$433,Acerto_Detalhado!$A$2:$A$433,$C4463,Acerto_Detalhado!$B$2:$B$433,"Dez",Acerto_Detalhado!$C$2:$C$433,"Proteina"))*(SUMIFS(Acerto_Detalhado!$I$2:$I$433,Acerto_Detalhado!$A$2:$A$433,$D4463,Acerto_Detalhado!$B$2:$B$433,"Dez",Acerto_Detalhado!$C$2:$C$433,"Proteina")),2)</f>
        <v>0</v>
      </c>
    </row>
    <row r="4464" customFormat="false" ht="15" hidden="false" customHeight="false" outlineLevel="0" collapsed="false">
      <c r="A4464" s="27" t="s">
        <v>122</v>
      </c>
      <c r="B4464" s="27" t="s">
        <v>109</v>
      </c>
      <c r="C4464" s="27" t="s">
        <v>48</v>
      </c>
      <c r="D4464" s="27" t="s">
        <v>43</v>
      </c>
      <c r="E4464" s="28" t="n">
        <f aca="false">ROUND((SUMIFS(Acerto_Detalhado!$F$2:$F$433,Acerto_Detalhado!$A$2:$A$433,$C4464,Acerto_Detalhado!$B$2:$B$433,"Dez",Acerto_Detalhado!$C$2:$C$433,"Proteina"))*(SUMIFS(Acerto_Detalhado!$I$2:$I$433,Acerto_Detalhado!$A$2:$A$433,$D4464,Acerto_Detalhado!$B$2:$B$433,"Dez",Acerto_Detalhado!$C$2:$C$433,"Proteina")),2)</f>
        <v>0</v>
      </c>
    </row>
    <row r="4465" customFormat="false" ht="15" hidden="false" customHeight="false" outlineLevel="0" collapsed="false">
      <c r="A4465" s="27" t="s">
        <v>122</v>
      </c>
      <c r="B4465" s="27" t="s">
        <v>109</v>
      </c>
      <c r="C4465" s="27" t="s">
        <v>48</v>
      </c>
      <c r="D4465" s="27" t="s">
        <v>44</v>
      </c>
      <c r="E4465" s="28" t="n">
        <f aca="false">ROUND((SUMIFS(Acerto_Detalhado!$F$2:$F$433,Acerto_Detalhado!$A$2:$A$433,$C4465,Acerto_Detalhado!$B$2:$B$433,"Dez",Acerto_Detalhado!$C$2:$C$433,"Proteina"))*(SUMIFS(Acerto_Detalhado!$I$2:$I$433,Acerto_Detalhado!$A$2:$A$433,$D4465,Acerto_Detalhado!$B$2:$B$433,"Dez",Acerto_Detalhado!$C$2:$C$433,"Proteina")),2)</f>
        <v>0</v>
      </c>
    </row>
    <row r="4466" customFormat="false" ht="15" hidden="false" customHeight="false" outlineLevel="0" collapsed="false">
      <c r="A4466" s="27" t="s">
        <v>122</v>
      </c>
      <c r="B4466" s="27" t="s">
        <v>109</v>
      </c>
      <c r="C4466" s="27" t="s">
        <v>48</v>
      </c>
      <c r="D4466" s="27" t="s">
        <v>45</v>
      </c>
      <c r="E4466" s="28" t="n">
        <f aca="false">ROUND((SUMIFS(Acerto_Detalhado!$F$2:$F$433,Acerto_Detalhado!$A$2:$A$433,$C4466,Acerto_Detalhado!$B$2:$B$433,"Dez",Acerto_Detalhado!$C$2:$C$433,"Proteina"))*(SUMIFS(Acerto_Detalhado!$I$2:$I$433,Acerto_Detalhado!$A$2:$A$433,$D4466,Acerto_Detalhado!$B$2:$B$433,"Dez",Acerto_Detalhado!$C$2:$C$433,"Proteina")),2)</f>
        <v>0</v>
      </c>
    </row>
    <row r="4467" customFormat="false" ht="15" hidden="false" customHeight="false" outlineLevel="0" collapsed="false">
      <c r="A4467" s="27" t="s">
        <v>122</v>
      </c>
      <c r="B4467" s="27" t="s">
        <v>109</v>
      </c>
      <c r="C4467" s="27" t="s">
        <v>48</v>
      </c>
      <c r="D4467" s="27" t="s">
        <v>46</v>
      </c>
      <c r="E4467" s="28" t="n">
        <f aca="false">ROUND((SUMIFS(Acerto_Detalhado!$F$2:$F$433,Acerto_Detalhado!$A$2:$A$433,$C4467,Acerto_Detalhado!$B$2:$B$433,"Dez",Acerto_Detalhado!$C$2:$C$433,"Proteina"))*(SUMIFS(Acerto_Detalhado!$I$2:$I$433,Acerto_Detalhado!$A$2:$A$433,$D4467,Acerto_Detalhado!$B$2:$B$433,"Dez",Acerto_Detalhado!$C$2:$C$433,"Proteina")),2)</f>
        <v>0</v>
      </c>
    </row>
    <row r="4468" customFormat="false" ht="15" hidden="false" customHeight="false" outlineLevel="0" collapsed="false">
      <c r="A4468" s="27" t="s">
        <v>122</v>
      </c>
      <c r="B4468" s="27" t="s">
        <v>109</v>
      </c>
      <c r="C4468" s="27" t="s">
        <v>48</v>
      </c>
      <c r="D4468" s="27" t="s">
        <v>47</v>
      </c>
      <c r="E4468" s="28" t="n">
        <f aca="false">ROUND((SUMIFS(Acerto_Detalhado!$F$2:$F$433,Acerto_Detalhado!$A$2:$A$433,$C4468,Acerto_Detalhado!$B$2:$B$433,"Dez",Acerto_Detalhado!$C$2:$C$433,"Proteina"))*(SUMIFS(Acerto_Detalhado!$I$2:$I$433,Acerto_Detalhado!$A$2:$A$433,$D4468,Acerto_Detalhado!$B$2:$B$433,"Dez",Acerto_Detalhado!$C$2:$C$433,"Proteina")),2)</f>
        <v>0</v>
      </c>
    </row>
    <row r="4469" customFormat="false" ht="15" hidden="false" customHeight="false" outlineLevel="0" collapsed="false">
      <c r="A4469" s="27" t="s">
        <v>122</v>
      </c>
      <c r="B4469" s="27" t="s">
        <v>109</v>
      </c>
      <c r="C4469" s="27" t="s">
        <v>48</v>
      </c>
      <c r="D4469" s="27" t="s">
        <v>49</v>
      </c>
      <c r="E4469" s="28" t="n">
        <f aca="false">ROUND((SUMIFS(Acerto_Detalhado!$F$2:$F$433,Acerto_Detalhado!$A$2:$A$433,$C4469,Acerto_Detalhado!$B$2:$B$433,"Dez",Acerto_Detalhado!$C$2:$C$433,"Proteina"))*(SUMIFS(Acerto_Detalhado!$I$2:$I$433,Acerto_Detalhado!$A$2:$A$433,$D4469,Acerto_Detalhado!$B$2:$B$433,"Dez",Acerto_Detalhado!$C$2:$C$433,"Proteina")),2)</f>
        <v>0</v>
      </c>
    </row>
    <row r="4470" customFormat="false" ht="15" hidden="false" customHeight="false" outlineLevel="0" collapsed="false">
      <c r="A4470" s="27" t="s">
        <v>122</v>
      </c>
      <c r="B4470" s="27" t="s">
        <v>109</v>
      </c>
      <c r="C4470" s="27" t="s">
        <v>48</v>
      </c>
      <c r="D4470" s="27" t="s">
        <v>50</v>
      </c>
      <c r="E4470" s="28" t="n">
        <f aca="false">ROUND((SUMIFS(Acerto_Detalhado!$F$2:$F$433,Acerto_Detalhado!$A$2:$A$433,$C4470,Acerto_Detalhado!$B$2:$B$433,"Dez",Acerto_Detalhado!$C$2:$C$433,"Proteina"))*(SUMIFS(Acerto_Detalhado!$I$2:$I$433,Acerto_Detalhado!$A$2:$A$433,$D4470,Acerto_Detalhado!$B$2:$B$433,"Dez",Acerto_Detalhado!$C$2:$C$433,"Proteina")),2)</f>
        <v>0</v>
      </c>
    </row>
    <row r="4471" customFormat="false" ht="15" hidden="false" customHeight="false" outlineLevel="0" collapsed="false">
      <c r="A4471" s="27" t="s">
        <v>122</v>
      </c>
      <c r="B4471" s="27" t="s">
        <v>109</v>
      </c>
      <c r="C4471" s="27" t="s">
        <v>49</v>
      </c>
      <c r="D4471" s="27" t="s">
        <v>39</v>
      </c>
      <c r="E4471" s="28" t="n">
        <f aca="false">ROUND((SUMIFS(Acerto_Detalhado!$F$2:$F$433,Acerto_Detalhado!$A$2:$A$433,$C4471,Acerto_Detalhado!$B$2:$B$433,"Dez",Acerto_Detalhado!$C$2:$C$433,"Proteina"))*(SUMIFS(Acerto_Detalhado!$I$2:$I$433,Acerto_Detalhado!$A$2:$A$433,$D4471,Acerto_Detalhado!$B$2:$B$433,"Dez",Acerto_Detalhado!$C$2:$C$433,"Proteina")),2)</f>
        <v>0</v>
      </c>
    </row>
    <row r="4472" customFormat="false" ht="15" hidden="false" customHeight="false" outlineLevel="0" collapsed="false">
      <c r="A4472" s="27" t="s">
        <v>122</v>
      </c>
      <c r="B4472" s="27" t="s">
        <v>109</v>
      </c>
      <c r="C4472" s="27" t="s">
        <v>49</v>
      </c>
      <c r="D4472" s="27" t="s">
        <v>40</v>
      </c>
      <c r="E4472" s="28" t="n">
        <f aca="false">ROUND((SUMIFS(Acerto_Detalhado!$F$2:$F$433,Acerto_Detalhado!$A$2:$A$433,$C4472,Acerto_Detalhado!$B$2:$B$433,"Dez",Acerto_Detalhado!$C$2:$C$433,"Proteina"))*(SUMIFS(Acerto_Detalhado!$I$2:$I$433,Acerto_Detalhado!$A$2:$A$433,$D4472,Acerto_Detalhado!$B$2:$B$433,"Dez",Acerto_Detalhado!$C$2:$C$433,"Proteina")),2)</f>
        <v>0</v>
      </c>
    </row>
    <row r="4473" customFormat="false" ht="15" hidden="false" customHeight="false" outlineLevel="0" collapsed="false">
      <c r="A4473" s="27" t="s">
        <v>122</v>
      </c>
      <c r="B4473" s="27" t="s">
        <v>109</v>
      </c>
      <c r="C4473" s="27" t="s">
        <v>49</v>
      </c>
      <c r="D4473" s="27" t="s">
        <v>41</v>
      </c>
      <c r="E4473" s="28" t="n">
        <f aca="false">ROUND((SUMIFS(Acerto_Detalhado!$F$2:$F$433,Acerto_Detalhado!$A$2:$A$433,$C4473,Acerto_Detalhado!$B$2:$B$433,"Dez",Acerto_Detalhado!$C$2:$C$433,"Proteina"))*(SUMIFS(Acerto_Detalhado!$I$2:$I$433,Acerto_Detalhado!$A$2:$A$433,$D4473,Acerto_Detalhado!$B$2:$B$433,"Dez",Acerto_Detalhado!$C$2:$C$433,"Proteina")),2)</f>
        <v>0</v>
      </c>
    </row>
    <row r="4474" customFormat="false" ht="15" hidden="false" customHeight="false" outlineLevel="0" collapsed="false">
      <c r="A4474" s="27" t="s">
        <v>122</v>
      </c>
      <c r="B4474" s="27" t="s">
        <v>109</v>
      </c>
      <c r="C4474" s="27" t="s">
        <v>49</v>
      </c>
      <c r="D4474" s="27" t="s">
        <v>42</v>
      </c>
      <c r="E4474" s="28" t="n">
        <f aca="false">ROUND((SUMIFS(Acerto_Detalhado!$F$2:$F$433,Acerto_Detalhado!$A$2:$A$433,$C4474,Acerto_Detalhado!$B$2:$B$433,"Dez",Acerto_Detalhado!$C$2:$C$433,"Proteina"))*(SUMIFS(Acerto_Detalhado!$I$2:$I$433,Acerto_Detalhado!$A$2:$A$433,$D4474,Acerto_Detalhado!$B$2:$B$433,"Dez",Acerto_Detalhado!$C$2:$C$433,"Proteina")),2)</f>
        <v>0</v>
      </c>
    </row>
    <row r="4475" customFormat="false" ht="15" hidden="false" customHeight="false" outlineLevel="0" collapsed="false">
      <c r="A4475" s="27" t="s">
        <v>122</v>
      </c>
      <c r="B4475" s="27" t="s">
        <v>109</v>
      </c>
      <c r="C4475" s="27" t="s">
        <v>49</v>
      </c>
      <c r="D4475" s="27" t="s">
        <v>43</v>
      </c>
      <c r="E4475" s="28" t="n">
        <f aca="false">ROUND((SUMIFS(Acerto_Detalhado!$F$2:$F$433,Acerto_Detalhado!$A$2:$A$433,$C4475,Acerto_Detalhado!$B$2:$B$433,"Dez",Acerto_Detalhado!$C$2:$C$433,"Proteina"))*(SUMIFS(Acerto_Detalhado!$I$2:$I$433,Acerto_Detalhado!$A$2:$A$433,$D4475,Acerto_Detalhado!$B$2:$B$433,"Dez",Acerto_Detalhado!$C$2:$C$433,"Proteina")),2)</f>
        <v>0</v>
      </c>
    </row>
    <row r="4476" customFormat="false" ht="15" hidden="false" customHeight="false" outlineLevel="0" collapsed="false">
      <c r="A4476" s="27" t="s">
        <v>122</v>
      </c>
      <c r="B4476" s="27" t="s">
        <v>109</v>
      </c>
      <c r="C4476" s="27" t="s">
        <v>49</v>
      </c>
      <c r="D4476" s="27" t="s">
        <v>44</v>
      </c>
      <c r="E4476" s="28" t="n">
        <f aca="false">ROUND((SUMIFS(Acerto_Detalhado!$F$2:$F$433,Acerto_Detalhado!$A$2:$A$433,$C4476,Acerto_Detalhado!$B$2:$B$433,"Dez",Acerto_Detalhado!$C$2:$C$433,"Proteina"))*(SUMIFS(Acerto_Detalhado!$I$2:$I$433,Acerto_Detalhado!$A$2:$A$433,$D4476,Acerto_Detalhado!$B$2:$B$433,"Dez",Acerto_Detalhado!$C$2:$C$433,"Proteina")),2)</f>
        <v>0</v>
      </c>
    </row>
    <row r="4477" customFormat="false" ht="15" hidden="false" customHeight="false" outlineLevel="0" collapsed="false">
      <c r="A4477" s="27" t="s">
        <v>122</v>
      </c>
      <c r="B4477" s="27" t="s">
        <v>109</v>
      </c>
      <c r="C4477" s="27" t="s">
        <v>49</v>
      </c>
      <c r="D4477" s="27" t="s">
        <v>45</v>
      </c>
      <c r="E4477" s="28" t="n">
        <f aca="false">ROUND((SUMIFS(Acerto_Detalhado!$F$2:$F$433,Acerto_Detalhado!$A$2:$A$433,$C4477,Acerto_Detalhado!$B$2:$B$433,"Dez",Acerto_Detalhado!$C$2:$C$433,"Proteina"))*(SUMIFS(Acerto_Detalhado!$I$2:$I$433,Acerto_Detalhado!$A$2:$A$433,$D4477,Acerto_Detalhado!$B$2:$B$433,"Dez",Acerto_Detalhado!$C$2:$C$433,"Proteina")),2)</f>
        <v>0</v>
      </c>
    </row>
    <row r="4478" customFormat="false" ht="15" hidden="false" customHeight="false" outlineLevel="0" collapsed="false">
      <c r="A4478" s="27" t="s">
        <v>122</v>
      </c>
      <c r="B4478" s="27" t="s">
        <v>109</v>
      </c>
      <c r="C4478" s="27" t="s">
        <v>49</v>
      </c>
      <c r="D4478" s="27" t="s">
        <v>46</v>
      </c>
      <c r="E4478" s="28" t="n">
        <f aca="false">ROUND((SUMIFS(Acerto_Detalhado!$F$2:$F$433,Acerto_Detalhado!$A$2:$A$433,$C4478,Acerto_Detalhado!$B$2:$B$433,"Dez",Acerto_Detalhado!$C$2:$C$433,"Proteina"))*(SUMIFS(Acerto_Detalhado!$I$2:$I$433,Acerto_Detalhado!$A$2:$A$433,$D4478,Acerto_Detalhado!$B$2:$B$433,"Dez",Acerto_Detalhado!$C$2:$C$433,"Proteina")),2)</f>
        <v>0</v>
      </c>
    </row>
    <row r="4479" customFormat="false" ht="15" hidden="false" customHeight="false" outlineLevel="0" collapsed="false">
      <c r="A4479" s="27" t="s">
        <v>122</v>
      </c>
      <c r="B4479" s="27" t="s">
        <v>109</v>
      </c>
      <c r="C4479" s="27" t="s">
        <v>49</v>
      </c>
      <c r="D4479" s="27" t="s">
        <v>47</v>
      </c>
      <c r="E4479" s="28" t="n">
        <f aca="false">ROUND((SUMIFS(Acerto_Detalhado!$F$2:$F$433,Acerto_Detalhado!$A$2:$A$433,$C4479,Acerto_Detalhado!$B$2:$B$433,"Dez",Acerto_Detalhado!$C$2:$C$433,"Proteina"))*(SUMIFS(Acerto_Detalhado!$I$2:$I$433,Acerto_Detalhado!$A$2:$A$433,$D4479,Acerto_Detalhado!$B$2:$B$433,"Dez",Acerto_Detalhado!$C$2:$C$433,"Proteina")),2)</f>
        <v>0</v>
      </c>
    </row>
    <row r="4480" customFormat="false" ht="15" hidden="false" customHeight="false" outlineLevel="0" collapsed="false">
      <c r="A4480" s="27" t="s">
        <v>122</v>
      </c>
      <c r="B4480" s="27" t="s">
        <v>109</v>
      </c>
      <c r="C4480" s="27" t="s">
        <v>49</v>
      </c>
      <c r="D4480" s="27" t="s">
        <v>48</v>
      </c>
      <c r="E4480" s="28" t="n">
        <f aca="false">ROUND((SUMIFS(Acerto_Detalhado!$F$2:$F$433,Acerto_Detalhado!$A$2:$A$433,$C4480,Acerto_Detalhado!$B$2:$B$433,"Dez",Acerto_Detalhado!$C$2:$C$433,"Proteina"))*(SUMIFS(Acerto_Detalhado!$I$2:$I$433,Acerto_Detalhado!$A$2:$A$433,$D4480,Acerto_Detalhado!$B$2:$B$433,"Dez",Acerto_Detalhado!$C$2:$C$433,"Proteina")),2)</f>
        <v>0</v>
      </c>
    </row>
    <row r="4481" customFormat="false" ht="15" hidden="false" customHeight="false" outlineLevel="0" collapsed="false">
      <c r="A4481" s="27" t="s">
        <v>122</v>
      </c>
      <c r="B4481" s="27" t="s">
        <v>109</v>
      </c>
      <c r="C4481" s="27" t="s">
        <v>49</v>
      </c>
      <c r="D4481" s="27" t="s">
        <v>50</v>
      </c>
      <c r="E4481" s="28" t="n">
        <f aca="false">ROUND((SUMIFS(Acerto_Detalhado!$F$2:$F$433,Acerto_Detalhado!$A$2:$A$433,$C4481,Acerto_Detalhado!$B$2:$B$433,"Dez",Acerto_Detalhado!$C$2:$C$433,"Proteina"))*(SUMIFS(Acerto_Detalhado!$I$2:$I$433,Acerto_Detalhado!$A$2:$A$433,$D4481,Acerto_Detalhado!$B$2:$B$433,"Dez",Acerto_Detalhado!$C$2:$C$433,"Proteina")),2)</f>
        <v>0</v>
      </c>
    </row>
    <row r="4482" customFormat="false" ht="15" hidden="false" customHeight="false" outlineLevel="0" collapsed="false">
      <c r="A4482" s="27" t="s">
        <v>122</v>
      </c>
      <c r="B4482" s="27" t="s">
        <v>109</v>
      </c>
      <c r="C4482" s="27" t="s">
        <v>50</v>
      </c>
      <c r="D4482" s="27" t="s">
        <v>39</v>
      </c>
      <c r="E4482" s="28" t="n">
        <f aca="false">ROUND((SUMIFS(Acerto_Detalhado!$F$2:$F$433,Acerto_Detalhado!$A$2:$A$433,$C4482,Acerto_Detalhado!$B$2:$B$433,"Dez",Acerto_Detalhado!$C$2:$C$433,"Proteina"))*(SUMIFS(Acerto_Detalhado!$I$2:$I$433,Acerto_Detalhado!$A$2:$A$433,$D4482,Acerto_Detalhado!$B$2:$B$433,"Dez",Acerto_Detalhado!$C$2:$C$433,"Proteina")),2)</f>
        <v>0</v>
      </c>
    </row>
    <row r="4483" customFormat="false" ht="15" hidden="false" customHeight="false" outlineLevel="0" collapsed="false">
      <c r="A4483" s="27" t="s">
        <v>122</v>
      </c>
      <c r="B4483" s="27" t="s">
        <v>109</v>
      </c>
      <c r="C4483" s="27" t="s">
        <v>50</v>
      </c>
      <c r="D4483" s="27" t="s">
        <v>40</v>
      </c>
      <c r="E4483" s="28" t="n">
        <f aca="false">ROUND((SUMIFS(Acerto_Detalhado!$F$2:$F$433,Acerto_Detalhado!$A$2:$A$433,$C4483,Acerto_Detalhado!$B$2:$B$433,"Dez",Acerto_Detalhado!$C$2:$C$433,"Proteina"))*(SUMIFS(Acerto_Detalhado!$I$2:$I$433,Acerto_Detalhado!$A$2:$A$433,$D4483,Acerto_Detalhado!$B$2:$B$433,"Dez",Acerto_Detalhado!$C$2:$C$433,"Proteina")),2)</f>
        <v>0</v>
      </c>
    </row>
    <row r="4484" customFormat="false" ht="15" hidden="false" customHeight="false" outlineLevel="0" collapsed="false">
      <c r="A4484" s="27" t="s">
        <v>122</v>
      </c>
      <c r="B4484" s="27" t="s">
        <v>109</v>
      </c>
      <c r="C4484" s="27" t="s">
        <v>50</v>
      </c>
      <c r="D4484" s="27" t="s">
        <v>41</v>
      </c>
      <c r="E4484" s="28" t="n">
        <f aca="false">ROUND((SUMIFS(Acerto_Detalhado!$F$2:$F$433,Acerto_Detalhado!$A$2:$A$433,$C4484,Acerto_Detalhado!$B$2:$B$433,"Dez",Acerto_Detalhado!$C$2:$C$433,"Proteina"))*(SUMIFS(Acerto_Detalhado!$I$2:$I$433,Acerto_Detalhado!$A$2:$A$433,$D4484,Acerto_Detalhado!$B$2:$B$433,"Dez",Acerto_Detalhado!$C$2:$C$433,"Proteina")),2)</f>
        <v>0</v>
      </c>
    </row>
    <row r="4485" customFormat="false" ht="15" hidden="false" customHeight="false" outlineLevel="0" collapsed="false">
      <c r="A4485" s="27" t="s">
        <v>122</v>
      </c>
      <c r="B4485" s="27" t="s">
        <v>109</v>
      </c>
      <c r="C4485" s="27" t="s">
        <v>50</v>
      </c>
      <c r="D4485" s="27" t="s">
        <v>42</v>
      </c>
      <c r="E4485" s="28" t="n">
        <f aca="false">ROUND((SUMIFS(Acerto_Detalhado!$F$2:$F$433,Acerto_Detalhado!$A$2:$A$433,$C4485,Acerto_Detalhado!$B$2:$B$433,"Dez",Acerto_Detalhado!$C$2:$C$433,"Proteina"))*(SUMIFS(Acerto_Detalhado!$I$2:$I$433,Acerto_Detalhado!$A$2:$A$433,$D4485,Acerto_Detalhado!$B$2:$B$433,"Dez",Acerto_Detalhado!$C$2:$C$433,"Proteina")),2)</f>
        <v>0</v>
      </c>
    </row>
    <row r="4486" customFormat="false" ht="15" hidden="false" customHeight="false" outlineLevel="0" collapsed="false">
      <c r="A4486" s="27" t="s">
        <v>122</v>
      </c>
      <c r="B4486" s="27" t="s">
        <v>109</v>
      </c>
      <c r="C4486" s="27" t="s">
        <v>50</v>
      </c>
      <c r="D4486" s="27" t="s">
        <v>43</v>
      </c>
      <c r="E4486" s="28" t="n">
        <f aca="false">ROUND((SUMIFS(Acerto_Detalhado!$F$2:$F$433,Acerto_Detalhado!$A$2:$A$433,$C4486,Acerto_Detalhado!$B$2:$B$433,"Dez",Acerto_Detalhado!$C$2:$C$433,"Proteina"))*(SUMIFS(Acerto_Detalhado!$I$2:$I$433,Acerto_Detalhado!$A$2:$A$433,$D4486,Acerto_Detalhado!$B$2:$B$433,"Dez",Acerto_Detalhado!$C$2:$C$433,"Proteina")),2)</f>
        <v>0</v>
      </c>
    </row>
    <row r="4487" customFormat="false" ht="15" hidden="false" customHeight="false" outlineLevel="0" collapsed="false">
      <c r="A4487" s="27" t="s">
        <v>122</v>
      </c>
      <c r="B4487" s="27" t="s">
        <v>109</v>
      </c>
      <c r="C4487" s="27" t="s">
        <v>50</v>
      </c>
      <c r="D4487" s="27" t="s">
        <v>44</v>
      </c>
      <c r="E4487" s="28" t="n">
        <f aca="false">ROUND((SUMIFS(Acerto_Detalhado!$F$2:$F$433,Acerto_Detalhado!$A$2:$A$433,$C4487,Acerto_Detalhado!$B$2:$B$433,"Dez",Acerto_Detalhado!$C$2:$C$433,"Proteina"))*(SUMIFS(Acerto_Detalhado!$I$2:$I$433,Acerto_Detalhado!$A$2:$A$433,$D4487,Acerto_Detalhado!$B$2:$B$433,"Dez",Acerto_Detalhado!$C$2:$C$433,"Proteina")),2)</f>
        <v>0</v>
      </c>
    </row>
    <row r="4488" customFormat="false" ht="15" hidden="false" customHeight="false" outlineLevel="0" collapsed="false">
      <c r="A4488" s="27" t="s">
        <v>122</v>
      </c>
      <c r="B4488" s="27" t="s">
        <v>109</v>
      </c>
      <c r="C4488" s="27" t="s">
        <v>50</v>
      </c>
      <c r="D4488" s="27" t="s">
        <v>45</v>
      </c>
      <c r="E4488" s="28" t="n">
        <f aca="false">ROUND((SUMIFS(Acerto_Detalhado!$F$2:$F$433,Acerto_Detalhado!$A$2:$A$433,$C4488,Acerto_Detalhado!$B$2:$B$433,"Dez",Acerto_Detalhado!$C$2:$C$433,"Proteina"))*(SUMIFS(Acerto_Detalhado!$I$2:$I$433,Acerto_Detalhado!$A$2:$A$433,$D4488,Acerto_Detalhado!$B$2:$B$433,"Dez",Acerto_Detalhado!$C$2:$C$433,"Proteina")),2)</f>
        <v>0</v>
      </c>
    </row>
    <row r="4489" customFormat="false" ht="15" hidden="false" customHeight="false" outlineLevel="0" collapsed="false">
      <c r="A4489" s="27" t="s">
        <v>122</v>
      </c>
      <c r="B4489" s="27" t="s">
        <v>109</v>
      </c>
      <c r="C4489" s="27" t="s">
        <v>50</v>
      </c>
      <c r="D4489" s="27" t="s">
        <v>46</v>
      </c>
      <c r="E4489" s="28" t="n">
        <f aca="false">ROUND((SUMIFS(Acerto_Detalhado!$F$2:$F$433,Acerto_Detalhado!$A$2:$A$433,$C4489,Acerto_Detalhado!$B$2:$B$433,"Dez",Acerto_Detalhado!$C$2:$C$433,"Proteina"))*(SUMIFS(Acerto_Detalhado!$I$2:$I$433,Acerto_Detalhado!$A$2:$A$433,$D4489,Acerto_Detalhado!$B$2:$B$433,"Dez",Acerto_Detalhado!$C$2:$C$433,"Proteina")),2)</f>
        <v>0</v>
      </c>
    </row>
    <row r="4490" customFormat="false" ht="15" hidden="false" customHeight="false" outlineLevel="0" collapsed="false">
      <c r="A4490" s="27" t="s">
        <v>122</v>
      </c>
      <c r="B4490" s="27" t="s">
        <v>109</v>
      </c>
      <c r="C4490" s="27" t="s">
        <v>50</v>
      </c>
      <c r="D4490" s="27" t="s">
        <v>47</v>
      </c>
      <c r="E4490" s="28" t="n">
        <f aca="false">ROUND((SUMIFS(Acerto_Detalhado!$F$2:$F$433,Acerto_Detalhado!$A$2:$A$433,$C4490,Acerto_Detalhado!$B$2:$B$433,"Dez",Acerto_Detalhado!$C$2:$C$433,"Proteina"))*(SUMIFS(Acerto_Detalhado!$I$2:$I$433,Acerto_Detalhado!$A$2:$A$433,$D4490,Acerto_Detalhado!$B$2:$B$433,"Dez",Acerto_Detalhado!$C$2:$C$433,"Proteina")),2)</f>
        <v>0</v>
      </c>
    </row>
    <row r="4491" customFormat="false" ht="15" hidden="false" customHeight="false" outlineLevel="0" collapsed="false">
      <c r="A4491" s="27" t="s">
        <v>122</v>
      </c>
      <c r="B4491" s="27" t="s">
        <v>109</v>
      </c>
      <c r="C4491" s="27" t="s">
        <v>50</v>
      </c>
      <c r="D4491" s="27" t="s">
        <v>48</v>
      </c>
      <c r="E4491" s="28" t="n">
        <f aca="false">ROUND((SUMIFS(Acerto_Detalhado!$F$2:$F$433,Acerto_Detalhado!$A$2:$A$433,$C4491,Acerto_Detalhado!$B$2:$B$433,"Dez",Acerto_Detalhado!$C$2:$C$433,"Proteina"))*(SUMIFS(Acerto_Detalhado!$I$2:$I$433,Acerto_Detalhado!$A$2:$A$433,$D4491,Acerto_Detalhado!$B$2:$B$433,"Dez",Acerto_Detalhado!$C$2:$C$433,"Proteina")),2)</f>
        <v>0</v>
      </c>
    </row>
    <row r="4492" customFormat="false" ht="15" hidden="false" customHeight="false" outlineLevel="0" collapsed="false">
      <c r="A4492" s="27" t="s">
        <v>122</v>
      </c>
      <c r="B4492" s="27" t="s">
        <v>109</v>
      </c>
      <c r="C4492" s="27" t="s">
        <v>50</v>
      </c>
      <c r="D4492" s="27" t="s">
        <v>49</v>
      </c>
      <c r="E4492" s="28" t="n">
        <f aca="false">ROUND((SUMIFS(Acerto_Detalhado!$F$2:$F$433,Acerto_Detalhado!$A$2:$A$433,$C4492,Acerto_Detalhado!$B$2:$B$433,"Dez",Acerto_Detalhado!$C$2:$C$433,"Proteina"))*(SUMIFS(Acerto_Detalhado!$I$2:$I$433,Acerto_Detalhado!$A$2:$A$433,$D4492,Acerto_Detalhado!$B$2:$B$433,"Dez",Acerto_Detalhado!$C$2:$C$433,"Proteina")),2)</f>
        <v>0</v>
      </c>
    </row>
    <row r="4493" customFormat="false" ht="15" hidden="false" customHeight="false" outlineLevel="0" collapsed="false">
      <c r="A4493" s="27" t="s">
        <v>122</v>
      </c>
      <c r="B4493" s="27" t="s">
        <v>110</v>
      </c>
      <c r="C4493" s="27" t="s">
        <v>39</v>
      </c>
      <c r="D4493" s="27" t="s">
        <v>40</v>
      </c>
      <c r="E4493" s="28" t="n">
        <f aca="false">ROUND((SUMIFS(Acerto_Detalhado!$F$2:$F$433,Acerto_Detalhado!$A$2:$A$433,$C4493,Acerto_Detalhado!$B$2:$B$433,"Dez",Acerto_Detalhado!$C$2:$C$433,"Umidade"))*(SUMIFS(Acerto_Detalhado!$I$2:$I$433,Acerto_Detalhado!$A$2:$A$433,$D4493,Acerto_Detalhado!$B$2:$B$433,"Dez",Acerto_Detalhado!$C$2:$C$433,"Umidade")),2)</f>
        <v>0</v>
      </c>
    </row>
    <row r="4494" customFormat="false" ht="15" hidden="false" customHeight="false" outlineLevel="0" collapsed="false">
      <c r="A4494" s="27" t="s">
        <v>122</v>
      </c>
      <c r="B4494" s="27" t="s">
        <v>110</v>
      </c>
      <c r="C4494" s="27" t="s">
        <v>39</v>
      </c>
      <c r="D4494" s="27" t="s">
        <v>41</v>
      </c>
      <c r="E4494" s="28" t="n">
        <f aca="false">ROUND((SUMIFS(Acerto_Detalhado!$F$2:$F$433,Acerto_Detalhado!$A$2:$A$433,$C4494,Acerto_Detalhado!$B$2:$B$433,"Dez",Acerto_Detalhado!$C$2:$C$433,"Umidade"))*(SUMIFS(Acerto_Detalhado!$I$2:$I$433,Acerto_Detalhado!$A$2:$A$433,$D4494,Acerto_Detalhado!$B$2:$B$433,"Dez",Acerto_Detalhado!$C$2:$C$433,"Umidade")),2)</f>
        <v>0</v>
      </c>
    </row>
    <row r="4495" customFormat="false" ht="15" hidden="false" customHeight="false" outlineLevel="0" collapsed="false">
      <c r="A4495" s="27" t="s">
        <v>122</v>
      </c>
      <c r="B4495" s="27" t="s">
        <v>110</v>
      </c>
      <c r="C4495" s="27" t="s">
        <v>39</v>
      </c>
      <c r="D4495" s="27" t="s">
        <v>42</v>
      </c>
      <c r="E4495" s="28" t="n">
        <f aca="false">ROUND((SUMIFS(Acerto_Detalhado!$F$2:$F$433,Acerto_Detalhado!$A$2:$A$433,$C4495,Acerto_Detalhado!$B$2:$B$433,"Dez",Acerto_Detalhado!$C$2:$C$433,"Umidade"))*(SUMIFS(Acerto_Detalhado!$I$2:$I$433,Acerto_Detalhado!$A$2:$A$433,$D4495,Acerto_Detalhado!$B$2:$B$433,"Dez",Acerto_Detalhado!$C$2:$C$433,"Umidade")),2)</f>
        <v>0</v>
      </c>
    </row>
    <row r="4496" customFormat="false" ht="15" hidden="false" customHeight="false" outlineLevel="0" collapsed="false">
      <c r="A4496" s="27" t="s">
        <v>122</v>
      </c>
      <c r="B4496" s="27" t="s">
        <v>110</v>
      </c>
      <c r="C4496" s="27" t="s">
        <v>39</v>
      </c>
      <c r="D4496" s="27" t="s">
        <v>43</v>
      </c>
      <c r="E4496" s="28" t="n">
        <f aca="false">ROUND((SUMIFS(Acerto_Detalhado!$F$2:$F$433,Acerto_Detalhado!$A$2:$A$433,$C4496,Acerto_Detalhado!$B$2:$B$433,"Dez",Acerto_Detalhado!$C$2:$C$433,"Umidade"))*(SUMIFS(Acerto_Detalhado!$I$2:$I$433,Acerto_Detalhado!$A$2:$A$433,$D4496,Acerto_Detalhado!$B$2:$B$433,"Dez",Acerto_Detalhado!$C$2:$C$433,"Umidade")),2)</f>
        <v>0</v>
      </c>
    </row>
    <row r="4497" customFormat="false" ht="15" hidden="false" customHeight="false" outlineLevel="0" collapsed="false">
      <c r="A4497" s="27" t="s">
        <v>122</v>
      </c>
      <c r="B4497" s="27" t="s">
        <v>110</v>
      </c>
      <c r="C4497" s="27" t="s">
        <v>39</v>
      </c>
      <c r="D4497" s="27" t="s">
        <v>44</v>
      </c>
      <c r="E4497" s="28" t="n">
        <f aca="false">ROUND((SUMIFS(Acerto_Detalhado!$F$2:$F$433,Acerto_Detalhado!$A$2:$A$433,$C4497,Acerto_Detalhado!$B$2:$B$433,"Dez",Acerto_Detalhado!$C$2:$C$433,"Umidade"))*(SUMIFS(Acerto_Detalhado!$I$2:$I$433,Acerto_Detalhado!$A$2:$A$433,$D4497,Acerto_Detalhado!$B$2:$B$433,"Dez",Acerto_Detalhado!$C$2:$C$433,"Umidade")),2)</f>
        <v>0</v>
      </c>
    </row>
    <row r="4498" customFormat="false" ht="15" hidden="false" customHeight="false" outlineLevel="0" collapsed="false">
      <c r="A4498" s="27" t="s">
        <v>122</v>
      </c>
      <c r="B4498" s="27" t="s">
        <v>110</v>
      </c>
      <c r="C4498" s="27" t="s">
        <v>39</v>
      </c>
      <c r="D4498" s="27" t="s">
        <v>45</v>
      </c>
      <c r="E4498" s="28" t="n">
        <f aca="false">ROUND((SUMIFS(Acerto_Detalhado!$F$2:$F$433,Acerto_Detalhado!$A$2:$A$433,$C4498,Acerto_Detalhado!$B$2:$B$433,"Dez",Acerto_Detalhado!$C$2:$C$433,"Umidade"))*(SUMIFS(Acerto_Detalhado!$I$2:$I$433,Acerto_Detalhado!$A$2:$A$433,$D4498,Acerto_Detalhado!$B$2:$B$433,"Dez",Acerto_Detalhado!$C$2:$C$433,"Umidade")),2)</f>
        <v>0</v>
      </c>
    </row>
    <row r="4499" customFormat="false" ht="15" hidden="false" customHeight="false" outlineLevel="0" collapsed="false">
      <c r="A4499" s="27" t="s">
        <v>122</v>
      </c>
      <c r="B4499" s="27" t="s">
        <v>110</v>
      </c>
      <c r="C4499" s="27" t="s">
        <v>39</v>
      </c>
      <c r="D4499" s="27" t="s">
        <v>46</v>
      </c>
      <c r="E4499" s="28" t="n">
        <f aca="false">ROUND((SUMIFS(Acerto_Detalhado!$F$2:$F$433,Acerto_Detalhado!$A$2:$A$433,$C4499,Acerto_Detalhado!$B$2:$B$433,"Dez",Acerto_Detalhado!$C$2:$C$433,"Umidade"))*(SUMIFS(Acerto_Detalhado!$I$2:$I$433,Acerto_Detalhado!$A$2:$A$433,$D4499,Acerto_Detalhado!$B$2:$B$433,"Dez",Acerto_Detalhado!$C$2:$C$433,"Umidade")),2)</f>
        <v>0</v>
      </c>
    </row>
    <row r="4500" customFormat="false" ht="15" hidden="false" customHeight="false" outlineLevel="0" collapsed="false">
      <c r="A4500" s="27" t="s">
        <v>122</v>
      </c>
      <c r="B4500" s="27" t="s">
        <v>110</v>
      </c>
      <c r="C4500" s="27" t="s">
        <v>39</v>
      </c>
      <c r="D4500" s="27" t="s">
        <v>47</v>
      </c>
      <c r="E4500" s="28" t="n">
        <f aca="false">ROUND((SUMIFS(Acerto_Detalhado!$F$2:$F$433,Acerto_Detalhado!$A$2:$A$433,$C4500,Acerto_Detalhado!$B$2:$B$433,"Dez",Acerto_Detalhado!$C$2:$C$433,"Umidade"))*(SUMIFS(Acerto_Detalhado!$I$2:$I$433,Acerto_Detalhado!$A$2:$A$433,$D4500,Acerto_Detalhado!$B$2:$B$433,"Dez",Acerto_Detalhado!$C$2:$C$433,"Umidade")),2)</f>
        <v>0</v>
      </c>
    </row>
    <row r="4501" customFormat="false" ht="15" hidden="false" customHeight="false" outlineLevel="0" collapsed="false">
      <c r="A4501" s="27" t="s">
        <v>122</v>
      </c>
      <c r="B4501" s="27" t="s">
        <v>110</v>
      </c>
      <c r="C4501" s="27" t="s">
        <v>39</v>
      </c>
      <c r="D4501" s="27" t="s">
        <v>48</v>
      </c>
      <c r="E4501" s="28" t="n">
        <f aca="false">ROUND((SUMIFS(Acerto_Detalhado!$F$2:$F$433,Acerto_Detalhado!$A$2:$A$433,$C4501,Acerto_Detalhado!$B$2:$B$433,"Dez",Acerto_Detalhado!$C$2:$C$433,"Umidade"))*(SUMIFS(Acerto_Detalhado!$I$2:$I$433,Acerto_Detalhado!$A$2:$A$433,$D4501,Acerto_Detalhado!$B$2:$B$433,"Dez",Acerto_Detalhado!$C$2:$C$433,"Umidade")),2)</f>
        <v>0</v>
      </c>
    </row>
    <row r="4502" customFormat="false" ht="15" hidden="false" customHeight="false" outlineLevel="0" collapsed="false">
      <c r="A4502" s="27" t="s">
        <v>122</v>
      </c>
      <c r="B4502" s="27" t="s">
        <v>110</v>
      </c>
      <c r="C4502" s="27" t="s">
        <v>39</v>
      </c>
      <c r="D4502" s="27" t="s">
        <v>49</v>
      </c>
      <c r="E4502" s="28" t="n">
        <f aca="false">ROUND((SUMIFS(Acerto_Detalhado!$F$2:$F$433,Acerto_Detalhado!$A$2:$A$433,$C4502,Acerto_Detalhado!$B$2:$B$433,"Dez",Acerto_Detalhado!$C$2:$C$433,"Umidade"))*(SUMIFS(Acerto_Detalhado!$I$2:$I$433,Acerto_Detalhado!$A$2:$A$433,$D4502,Acerto_Detalhado!$B$2:$B$433,"Dez",Acerto_Detalhado!$C$2:$C$433,"Umidade")),2)</f>
        <v>0</v>
      </c>
    </row>
    <row r="4503" customFormat="false" ht="15" hidden="false" customHeight="false" outlineLevel="0" collapsed="false">
      <c r="A4503" s="27" t="s">
        <v>122</v>
      </c>
      <c r="B4503" s="27" t="s">
        <v>110</v>
      </c>
      <c r="C4503" s="27" t="s">
        <v>39</v>
      </c>
      <c r="D4503" s="27" t="s">
        <v>50</v>
      </c>
      <c r="E4503" s="28" t="n">
        <f aca="false">ROUND((SUMIFS(Acerto_Detalhado!$F$2:$F$433,Acerto_Detalhado!$A$2:$A$433,$C4503,Acerto_Detalhado!$B$2:$B$433,"Dez",Acerto_Detalhado!$C$2:$C$433,"Umidade"))*(SUMIFS(Acerto_Detalhado!$I$2:$I$433,Acerto_Detalhado!$A$2:$A$433,$D4503,Acerto_Detalhado!$B$2:$B$433,"Dez",Acerto_Detalhado!$C$2:$C$433,"Umidade")),2)</f>
        <v>0</v>
      </c>
    </row>
    <row r="4504" customFormat="false" ht="15" hidden="false" customHeight="false" outlineLevel="0" collapsed="false">
      <c r="A4504" s="27" t="s">
        <v>122</v>
      </c>
      <c r="B4504" s="27" t="s">
        <v>110</v>
      </c>
      <c r="C4504" s="27" t="s">
        <v>40</v>
      </c>
      <c r="D4504" s="27" t="s">
        <v>39</v>
      </c>
      <c r="E4504" s="28" t="n">
        <f aca="false">ROUND((SUMIFS(Acerto_Detalhado!$F$2:$F$433,Acerto_Detalhado!$A$2:$A$433,$C4504,Acerto_Detalhado!$B$2:$B$433,"Dez",Acerto_Detalhado!$C$2:$C$433,"Umidade"))*(SUMIFS(Acerto_Detalhado!$I$2:$I$433,Acerto_Detalhado!$A$2:$A$433,$D4504,Acerto_Detalhado!$B$2:$B$433,"Dez",Acerto_Detalhado!$C$2:$C$433,"Umidade")),2)</f>
        <v>0</v>
      </c>
    </row>
    <row r="4505" customFormat="false" ht="15" hidden="false" customHeight="false" outlineLevel="0" collapsed="false">
      <c r="A4505" s="27" t="s">
        <v>122</v>
      </c>
      <c r="B4505" s="27" t="s">
        <v>110</v>
      </c>
      <c r="C4505" s="27" t="s">
        <v>40</v>
      </c>
      <c r="D4505" s="27" t="s">
        <v>41</v>
      </c>
      <c r="E4505" s="28" t="n">
        <f aca="false">ROUND((SUMIFS(Acerto_Detalhado!$F$2:$F$433,Acerto_Detalhado!$A$2:$A$433,$C4505,Acerto_Detalhado!$B$2:$B$433,"Dez",Acerto_Detalhado!$C$2:$C$433,"Umidade"))*(SUMIFS(Acerto_Detalhado!$I$2:$I$433,Acerto_Detalhado!$A$2:$A$433,$D4505,Acerto_Detalhado!$B$2:$B$433,"Dez",Acerto_Detalhado!$C$2:$C$433,"Umidade")),2)</f>
        <v>0</v>
      </c>
    </row>
    <row r="4506" customFormat="false" ht="15" hidden="false" customHeight="false" outlineLevel="0" collapsed="false">
      <c r="A4506" s="27" t="s">
        <v>122</v>
      </c>
      <c r="B4506" s="27" t="s">
        <v>110</v>
      </c>
      <c r="C4506" s="27" t="s">
        <v>40</v>
      </c>
      <c r="D4506" s="27" t="s">
        <v>42</v>
      </c>
      <c r="E4506" s="28" t="n">
        <f aca="false">ROUND((SUMIFS(Acerto_Detalhado!$F$2:$F$433,Acerto_Detalhado!$A$2:$A$433,$C4506,Acerto_Detalhado!$B$2:$B$433,"Dez",Acerto_Detalhado!$C$2:$C$433,"Umidade"))*(SUMIFS(Acerto_Detalhado!$I$2:$I$433,Acerto_Detalhado!$A$2:$A$433,$D4506,Acerto_Detalhado!$B$2:$B$433,"Dez",Acerto_Detalhado!$C$2:$C$433,"Umidade")),2)</f>
        <v>0</v>
      </c>
    </row>
    <row r="4507" customFormat="false" ht="15" hidden="false" customHeight="false" outlineLevel="0" collapsed="false">
      <c r="A4507" s="27" t="s">
        <v>122</v>
      </c>
      <c r="B4507" s="27" t="s">
        <v>110</v>
      </c>
      <c r="C4507" s="27" t="s">
        <v>40</v>
      </c>
      <c r="D4507" s="27" t="s">
        <v>43</v>
      </c>
      <c r="E4507" s="28" t="n">
        <f aca="false">ROUND((SUMIFS(Acerto_Detalhado!$F$2:$F$433,Acerto_Detalhado!$A$2:$A$433,$C4507,Acerto_Detalhado!$B$2:$B$433,"Dez",Acerto_Detalhado!$C$2:$C$433,"Umidade"))*(SUMIFS(Acerto_Detalhado!$I$2:$I$433,Acerto_Detalhado!$A$2:$A$433,$D4507,Acerto_Detalhado!$B$2:$B$433,"Dez",Acerto_Detalhado!$C$2:$C$433,"Umidade")),2)</f>
        <v>0</v>
      </c>
    </row>
    <row r="4508" customFormat="false" ht="15" hidden="false" customHeight="false" outlineLevel="0" collapsed="false">
      <c r="A4508" s="27" t="s">
        <v>122</v>
      </c>
      <c r="B4508" s="27" t="s">
        <v>110</v>
      </c>
      <c r="C4508" s="27" t="s">
        <v>40</v>
      </c>
      <c r="D4508" s="27" t="s">
        <v>44</v>
      </c>
      <c r="E4508" s="28" t="n">
        <f aca="false">ROUND((SUMIFS(Acerto_Detalhado!$F$2:$F$433,Acerto_Detalhado!$A$2:$A$433,$C4508,Acerto_Detalhado!$B$2:$B$433,"Dez",Acerto_Detalhado!$C$2:$C$433,"Umidade"))*(SUMIFS(Acerto_Detalhado!$I$2:$I$433,Acerto_Detalhado!$A$2:$A$433,$D4508,Acerto_Detalhado!$B$2:$B$433,"Dez",Acerto_Detalhado!$C$2:$C$433,"Umidade")),2)</f>
        <v>0</v>
      </c>
    </row>
    <row r="4509" customFormat="false" ht="15" hidden="false" customHeight="false" outlineLevel="0" collapsed="false">
      <c r="A4509" s="27" t="s">
        <v>122</v>
      </c>
      <c r="B4509" s="27" t="s">
        <v>110</v>
      </c>
      <c r="C4509" s="27" t="s">
        <v>40</v>
      </c>
      <c r="D4509" s="27" t="s">
        <v>45</v>
      </c>
      <c r="E4509" s="28" t="n">
        <f aca="false">ROUND((SUMIFS(Acerto_Detalhado!$F$2:$F$433,Acerto_Detalhado!$A$2:$A$433,$C4509,Acerto_Detalhado!$B$2:$B$433,"Dez",Acerto_Detalhado!$C$2:$C$433,"Umidade"))*(SUMIFS(Acerto_Detalhado!$I$2:$I$433,Acerto_Detalhado!$A$2:$A$433,$D4509,Acerto_Detalhado!$B$2:$B$433,"Dez",Acerto_Detalhado!$C$2:$C$433,"Umidade")),2)</f>
        <v>0</v>
      </c>
    </row>
    <row r="4510" customFormat="false" ht="15" hidden="false" customHeight="false" outlineLevel="0" collapsed="false">
      <c r="A4510" s="27" t="s">
        <v>122</v>
      </c>
      <c r="B4510" s="27" t="s">
        <v>110</v>
      </c>
      <c r="C4510" s="27" t="s">
        <v>40</v>
      </c>
      <c r="D4510" s="27" t="s">
        <v>46</v>
      </c>
      <c r="E4510" s="28" t="n">
        <f aca="false">ROUND((SUMIFS(Acerto_Detalhado!$F$2:$F$433,Acerto_Detalhado!$A$2:$A$433,$C4510,Acerto_Detalhado!$B$2:$B$433,"Dez",Acerto_Detalhado!$C$2:$C$433,"Umidade"))*(SUMIFS(Acerto_Detalhado!$I$2:$I$433,Acerto_Detalhado!$A$2:$A$433,$D4510,Acerto_Detalhado!$B$2:$B$433,"Dez",Acerto_Detalhado!$C$2:$C$433,"Umidade")),2)</f>
        <v>0</v>
      </c>
    </row>
    <row r="4511" customFormat="false" ht="15" hidden="false" customHeight="false" outlineLevel="0" collapsed="false">
      <c r="A4511" s="27" t="s">
        <v>122</v>
      </c>
      <c r="B4511" s="27" t="s">
        <v>110</v>
      </c>
      <c r="C4511" s="27" t="s">
        <v>40</v>
      </c>
      <c r="D4511" s="27" t="s">
        <v>47</v>
      </c>
      <c r="E4511" s="28" t="n">
        <f aca="false">ROUND((SUMIFS(Acerto_Detalhado!$F$2:$F$433,Acerto_Detalhado!$A$2:$A$433,$C4511,Acerto_Detalhado!$B$2:$B$433,"Dez",Acerto_Detalhado!$C$2:$C$433,"Umidade"))*(SUMIFS(Acerto_Detalhado!$I$2:$I$433,Acerto_Detalhado!$A$2:$A$433,$D4511,Acerto_Detalhado!$B$2:$B$433,"Dez",Acerto_Detalhado!$C$2:$C$433,"Umidade")),2)</f>
        <v>0</v>
      </c>
    </row>
    <row r="4512" customFormat="false" ht="15" hidden="false" customHeight="false" outlineLevel="0" collapsed="false">
      <c r="A4512" s="27" t="s">
        <v>122</v>
      </c>
      <c r="B4512" s="27" t="s">
        <v>110</v>
      </c>
      <c r="C4512" s="27" t="s">
        <v>40</v>
      </c>
      <c r="D4512" s="27" t="s">
        <v>48</v>
      </c>
      <c r="E4512" s="28" t="n">
        <f aca="false">ROUND((SUMIFS(Acerto_Detalhado!$F$2:$F$433,Acerto_Detalhado!$A$2:$A$433,$C4512,Acerto_Detalhado!$B$2:$B$433,"Dez",Acerto_Detalhado!$C$2:$C$433,"Umidade"))*(SUMIFS(Acerto_Detalhado!$I$2:$I$433,Acerto_Detalhado!$A$2:$A$433,$D4512,Acerto_Detalhado!$B$2:$B$433,"Dez",Acerto_Detalhado!$C$2:$C$433,"Umidade")),2)</f>
        <v>0</v>
      </c>
    </row>
    <row r="4513" customFormat="false" ht="15" hidden="false" customHeight="false" outlineLevel="0" collapsed="false">
      <c r="A4513" s="27" t="s">
        <v>122</v>
      </c>
      <c r="B4513" s="27" t="s">
        <v>110</v>
      </c>
      <c r="C4513" s="27" t="s">
        <v>40</v>
      </c>
      <c r="D4513" s="27" t="s">
        <v>49</v>
      </c>
      <c r="E4513" s="28" t="n">
        <f aca="false">ROUND((SUMIFS(Acerto_Detalhado!$F$2:$F$433,Acerto_Detalhado!$A$2:$A$433,$C4513,Acerto_Detalhado!$B$2:$B$433,"Dez",Acerto_Detalhado!$C$2:$C$433,"Umidade"))*(SUMIFS(Acerto_Detalhado!$I$2:$I$433,Acerto_Detalhado!$A$2:$A$433,$D4513,Acerto_Detalhado!$B$2:$B$433,"Dez",Acerto_Detalhado!$C$2:$C$433,"Umidade")),2)</f>
        <v>0</v>
      </c>
    </row>
    <row r="4514" customFormat="false" ht="15" hidden="false" customHeight="false" outlineLevel="0" collapsed="false">
      <c r="A4514" s="27" t="s">
        <v>122</v>
      </c>
      <c r="B4514" s="27" t="s">
        <v>110</v>
      </c>
      <c r="C4514" s="27" t="s">
        <v>40</v>
      </c>
      <c r="D4514" s="27" t="s">
        <v>50</v>
      </c>
      <c r="E4514" s="28" t="n">
        <f aca="false">ROUND((SUMIFS(Acerto_Detalhado!$F$2:$F$433,Acerto_Detalhado!$A$2:$A$433,$C4514,Acerto_Detalhado!$B$2:$B$433,"Dez",Acerto_Detalhado!$C$2:$C$433,"Umidade"))*(SUMIFS(Acerto_Detalhado!$I$2:$I$433,Acerto_Detalhado!$A$2:$A$433,$D4514,Acerto_Detalhado!$B$2:$B$433,"Dez",Acerto_Detalhado!$C$2:$C$433,"Umidade")),2)</f>
        <v>0</v>
      </c>
    </row>
    <row r="4515" customFormat="false" ht="15" hidden="false" customHeight="false" outlineLevel="0" collapsed="false">
      <c r="A4515" s="27" t="s">
        <v>122</v>
      </c>
      <c r="B4515" s="27" t="s">
        <v>110</v>
      </c>
      <c r="C4515" s="27" t="s">
        <v>41</v>
      </c>
      <c r="D4515" s="27" t="s">
        <v>39</v>
      </c>
      <c r="E4515" s="28" t="n">
        <f aca="false">ROUND((SUMIFS(Acerto_Detalhado!$F$2:$F$433,Acerto_Detalhado!$A$2:$A$433,$C4515,Acerto_Detalhado!$B$2:$B$433,"Dez",Acerto_Detalhado!$C$2:$C$433,"Umidade"))*(SUMIFS(Acerto_Detalhado!$I$2:$I$433,Acerto_Detalhado!$A$2:$A$433,$D4515,Acerto_Detalhado!$B$2:$B$433,"Dez",Acerto_Detalhado!$C$2:$C$433,"Umidade")),2)</f>
        <v>0</v>
      </c>
    </row>
    <row r="4516" customFormat="false" ht="15" hidden="false" customHeight="false" outlineLevel="0" collapsed="false">
      <c r="A4516" s="27" t="s">
        <v>122</v>
      </c>
      <c r="B4516" s="27" t="s">
        <v>110</v>
      </c>
      <c r="C4516" s="27" t="s">
        <v>41</v>
      </c>
      <c r="D4516" s="27" t="s">
        <v>40</v>
      </c>
      <c r="E4516" s="28" t="n">
        <f aca="false">ROUND((SUMIFS(Acerto_Detalhado!$F$2:$F$433,Acerto_Detalhado!$A$2:$A$433,$C4516,Acerto_Detalhado!$B$2:$B$433,"Dez",Acerto_Detalhado!$C$2:$C$433,"Umidade"))*(SUMIFS(Acerto_Detalhado!$I$2:$I$433,Acerto_Detalhado!$A$2:$A$433,$D4516,Acerto_Detalhado!$B$2:$B$433,"Dez",Acerto_Detalhado!$C$2:$C$433,"Umidade")),2)</f>
        <v>0</v>
      </c>
    </row>
    <row r="4517" customFormat="false" ht="15" hidden="false" customHeight="false" outlineLevel="0" collapsed="false">
      <c r="A4517" s="27" t="s">
        <v>122</v>
      </c>
      <c r="B4517" s="27" t="s">
        <v>110</v>
      </c>
      <c r="C4517" s="27" t="s">
        <v>41</v>
      </c>
      <c r="D4517" s="27" t="s">
        <v>42</v>
      </c>
      <c r="E4517" s="28" t="n">
        <f aca="false">ROUND((SUMIFS(Acerto_Detalhado!$F$2:$F$433,Acerto_Detalhado!$A$2:$A$433,$C4517,Acerto_Detalhado!$B$2:$B$433,"Dez",Acerto_Detalhado!$C$2:$C$433,"Umidade"))*(SUMIFS(Acerto_Detalhado!$I$2:$I$433,Acerto_Detalhado!$A$2:$A$433,$D4517,Acerto_Detalhado!$B$2:$B$433,"Dez",Acerto_Detalhado!$C$2:$C$433,"Umidade")),2)</f>
        <v>0</v>
      </c>
    </row>
    <row r="4518" customFormat="false" ht="15" hidden="false" customHeight="false" outlineLevel="0" collapsed="false">
      <c r="A4518" s="27" t="s">
        <v>122</v>
      </c>
      <c r="B4518" s="27" t="s">
        <v>110</v>
      </c>
      <c r="C4518" s="27" t="s">
        <v>41</v>
      </c>
      <c r="D4518" s="27" t="s">
        <v>43</v>
      </c>
      <c r="E4518" s="28" t="n">
        <f aca="false">ROUND((SUMIFS(Acerto_Detalhado!$F$2:$F$433,Acerto_Detalhado!$A$2:$A$433,$C4518,Acerto_Detalhado!$B$2:$B$433,"Dez",Acerto_Detalhado!$C$2:$C$433,"Umidade"))*(SUMIFS(Acerto_Detalhado!$I$2:$I$433,Acerto_Detalhado!$A$2:$A$433,$D4518,Acerto_Detalhado!$B$2:$B$433,"Dez",Acerto_Detalhado!$C$2:$C$433,"Umidade")),2)</f>
        <v>0</v>
      </c>
    </row>
    <row r="4519" customFormat="false" ht="15" hidden="false" customHeight="false" outlineLevel="0" collapsed="false">
      <c r="A4519" s="27" t="s">
        <v>122</v>
      </c>
      <c r="B4519" s="27" t="s">
        <v>110</v>
      </c>
      <c r="C4519" s="27" t="s">
        <v>41</v>
      </c>
      <c r="D4519" s="27" t="s">
        <v>44</v>
      </c>
      <c r="E4519" s="28" t="n">
        <f aca="false">ROUND((SUMIFS(Acerto_Detalhado!$F$2:$F$433,Acerto_Detalhado!$A$2:$A$433,$C4519,Acerto_Detalhado!$B$2:$B$433,"Dez",Acerto_Detalhado!$C$2:$C$433,"Umidade"))*(SUMIFS(Acerto_Detalhado!$I$2:$I$433,Acerto_Detalhado!$A$2:$A$433,$D4519,Acerto_Detalhado!$B$2:$B$433,"Dez",Acerto_Detalhado!$C$2:$C$433,"Umidade")),2)</f>
        <v>0</v>
      </c>
    </row>
    <row r="4520" customFormat="false" ht="15" hidden="false" customHeight="false" outlineLevel="0" collapsed="false">
      <c r="A4520" s="27" t="s">
        <v>122</v>
      </c>
      <c r="B4520" s="27" t="s">
        <v>110</v>
      </c>
      <c r="C4520" s="27" t="s">
        <v>41</v>
      </c>
      <c r="D4520" s="27" t="s">
        <v>45</v>
      </c>
      <c r="E4520" s="28" t="n">
        <f aca="false">ROUND((SUMIFS(Acerto_Detalhado!$F$2:$F$433,Acerto_Detalhado!$A$2:$A$433,$C4520,Acerto_Detalhado!$B$2:$B$433,"Dez",Acerto_Detalhado!$C$2:$C$433,"Umidade"))*(SUMIFS(Acerto_Detalhado!$I$2:$I$433,Acerto_Detalhado!$A$2:$A$433,$D4520,Acerto_Detalhado!$B$2:$B$433,"Dez",Acerto_Detalhado!$C$2:$C$433,"Umidade")),2)</f>
        <v>0</v>
      </c>
    </row>
    <row r="4521" customFormat="false" ht="15" hidden="false" customHeight="false" outlineLevel="0" collapsed="false">
      <c r="A4521" s="27" t="s">
        <v>122</v>
      </c>
      <c r="B4521" s="27" t="s">
        <v>110</v>
      </c>
      <c r="C4521" s="27" t="s">
        <v>41</v>
      </c>
      <c r="D4521" s="27" t="s">
        <v>46</v>
      </c>
      <c r="E4521" s="28" t="n">
        <f aca="false">ROUND((SUMIFS(Acerto_Detalhado!$F$2:$F$433,Acerto_Detalhado!$A$2:$A$433,$C4521,Acerto_Detalhado!$B$2:$B$433,"Dez",Acerto_Detalhado!$C$2:$C$433,"Umidade"))*(SUMIFS(Acerto_Detalhado!$I$2:$I$433,Acerto_Detalhado!$A$2:$A$433,$D4521,Acerto_Detalhado!$B$2:$B$433,"Dez",Acerto_Detalhado!$C$2:$C$433,"Umidade")),2)</f>
        <v>0</v>
      </c>
    </row>
    <row r="4522" customFormat="false" ht="15" hidden="false" customHeight="false" outlineLevel="0" collapsed="false">
      <c r="A4522" s="27" t="s">
        <v>122</v>
      </c>
      <c r="B4522" s="27" t="s">
        <v>110</v>
      </c>
      <c r="C4522" s="27" t="s">
        <v>41</v>
      </c>
      <c r="D4522" s="27" t="s">
        <v>47</v>
      </c>
      <c r="E4522" s="28" t="n">
        <f aca="false">ROUND((SUMIFS(Acerto_Detalhado!$F$2:$F$433,Acerto_Detalhado!$A$2:$A$433,$C4522,Acerto_Detalhado!$B$2:$B$433,"Dez",Acerto_Detalhado!$C$2:$C$433,"Umidade"))*(SUMIFS(Acerto_Detalhado!$I$2:$I$433,Acerto_Detalhado!$A$2:$A$433,$D4522,Acerto_Detalhado!$B$2:$B$433,"Dez",Acerto_Detalhado!$C$2:$C$433,"Umidade")),2)</f>
        <v>0</v>
      </c>
    </row>
    <row r="4523" customFormat="false" ht="15" hidden="false" customHeight="false" outlineLevel="0" collapsed="false">
      <c r="A4523" s="27" t="s">
        <v>122</v>
      </c>
      <c r="B4523" s="27" t="s">
        <v>110</v>
      </c>
      <c r="C4523" s="27" t="s">
        <v>41</v>
      </c>
      <c r="D4523" s="27" t="s">
        <v>48</v>
      </c>
      <c r="E4523" s="28" t="n">
        <f aca="false">ROUND((SUMIFS(Acerto_Detalhado!$F$2:$F$433,Acerto_Detalhado!$A$2:$A$433,$C4523,Acerto_Detalhado!$B$2:$B$433,"Dez",Acerto_Detalhado!$C$2:$C$433,"Umidade"))*(SUMIFS(Acerto_Detalhado!$I$2:$I$433,Acerto_Detalhado!$A$2:$A$433,$D4523,Acerto_Detalhado!$B$2:$B$433,"Dez",Acerto_Detalhado!$C$2:$C$433,"Umidade")),2)</f>
        <v>0</v>
      </c>
    </row>
    <row r="4524" customFormat="false" ht="15" hidden="false" customHeight="false" outlineLevel="0" collapsed="false">
      <c r="A4524" s="27" t="s">
        <v>122</v>
      </c>
      <c r="B4524" s="27" t="s">
        <v>110</v>
      </c>
      <c r="C4524" s="27" t="s">
        <v>41</v>
      </c>
      <c r="D4524" s="27" t="s">
        <v>49</v>
      </c>
      <c r="E4524" s="28" t="n">
        <f aca="false">ROUND((SUMIFS(Acerto_Detalhado!$F$2:$F$433,Acerto_Detalhado!$A$2:$A$433,$C4524,Acerto_Detalhado!$B$2:$B$433,"Dez",Acerto_Detalhado!$C$2:$C$433,"Umidade"))*(SUMIFS(Acerto_Detalhado!$I$2:$I$433,Acerto_Detalhado!$A$2:$A$433,$D4524,Acerto_Detalhado!$B$2:$B$433,"Dez",Acerto_Detalhado!$C$2:$C$433,"Umidade")),2)</f>
        <v>0</v>
      </c>
    </row>
    <row r="4525" customFormat="false" ht="15" hidden="false" customHeight="false" outlineLevel="0" collapsed="false">
      <c r="A4525" s="27" t="s">
        <v>122</v>
      </c>
      <c r="B4525" s="27" t="s">
        <v>110</v>
      </c>
      <c r="C4525" s="27" t="s">
        <v>41</v>
      </c>
      <c r="D4525" s="27" t="s">
        <v>50</v>
      </c>
      <c r="E4525" s="28" t="n">
        <f aca="false">ROUND((SUMIFS(Acerto_Detalhado!$F$2:$F$433,Acerto_Detalhado!$A$2:$A$433,$C4525,Acerto_Detalhado!$B$2:$B$433,"Dez",Acerto_Detalhado!$C$2:$C$433,"Umidade"))*(SUMIFS(Acerto_Detalhado!$I$2:$I$433,Acerto_Detalhado!$A$2:$A$433,$D4525,Acerto_Detalhado!$B$2:$B$433,"Dez",Acerto_Detalhado!$C$2:$C$433,"Umidade")),2)</f>
        <v>0</v>
      </c>
    </row>
    <row r="4526" customFormat="false" ht="15" hidden="false" customHeight="false" outlineLevel="0" collapsed="false">
      <c r="A4526" s="27" t="s">
        <v>122</v>
      </c>
      <c r="B4526" s="27" t="s">
        <v>110</v>
      </c>
      <c r="C4526" s="27" t="s">
        <v>42</v>
      </c>
      <c r="D4526" s="27" t="s">
        <v>39</v>
      </c>
      <c r="E4526" s="28" t="n">
        <f aca="false">ROUND((SUMIFS(Acerto_Detalhado!$F$2:$F$433,Acerto_Detalhado!$A$2:$A$433,$C4526,Acerto_Detalhado!$B$2:$B$433,"Dez",Acerto_Detalhado!$C$2:$C$433,"Umidade"))*(SUMIFS(Acerto_Detalhado!$I$2:$I$433,Acerto_Detalhado!$A$2:$A$433,$D4526,Acerto_Detalhado!$B$2:$B$433,"Dez",Acerto_Detalhado!$C$2:$C$433,"Umidade")),2)</f>
        <v>0</v>
      </c>
    </row>
    <row r="4527" customFormat="false" ht="15" hidden="false" customHeight="false" outlineLevel="0" collapsed="false">
      <c r="A4527" s="27" t="s">
        <v>122</v>
      </c>
      <c r="B4527" s="27" t="s">
        <v>110</v>
      </c>
      <c r="C4527" s="27" t="s">
        <v>42</v>
      </c>
      <c r="D4527" s="27" t="s">
        <v>40</v>
      </c>
      <c r="E4527" s="28" t="n">
        <f aca="false">ROUND((SUMIFS(Acerto_Detalhado!$F$2:$F$433,Acerto_Detalhado!$A$2:$A$433,$C4527,Acerto_Detalhado!$B$2:$B$433,"Dez",Acerto_Detalhado!$C$2:$C$433,"Umidade"))*(SUMIFS(Acerto_Detalhado!$I$2:$I$433,Acerto_Detalhado!$A$2:$A$433,$D4527,Acerto_Detalhado!$B$2:$B$433,"Dez",Acerto_Detalhado!$C$2:$C$433,"Umidade")),2)</f>
        <v>0</v>
      </c>
    </row>
    <row r="4528" customFormat="false" ht="15" hidden="false" customHeight="false" outlineLevel="0" collapsed="false">
      <c r="A4528" s="27" t="s">
        <v>122</v>
      </c>
      <c r="B4528" s="27" t="s">
        <v>110</v>
      </c>
      <c r="C4528" s="27" t="s">
        <v>42</v>
      </c>
      <c r="D4528" s="27" t="s">
        <v>41</v>
      </c>
      <c r="E4528" s="28" t="n">
        <f aca="false">ROUND((SUMIFS(Acerto_Detalhado!$F$2:$F$433,Acerto_Detalhado!$A$2:$A$433,$C4528,Acerto_Detalhado!$B$2:$B$433,"Dez",Acerto_Detalhado!$C$2:$C$433,"Umidade"))*(SUMIFS(Acerto_Detalhado!$I$2:$I$433,Acerto_Detalhado!$A$2:$A$433,$D4528,Acerto_Detalhado!$B$2:$B$433,"Dez",Acerto_Detalhado!$C$2:$C$433,"Umidade")),2)</f>
        <v>0</v>
      </c>
    </row>
    <row r="4529" customFormat="false" ht="15" hidden="false" customHeight="false" outlineLevel="0" collapsed="false">
      <c r="A4529" s="27" t="s">
        <v>122</v>
      </c>
      <c r="B4529" s="27" t="s">
        <v>110</v>
      </c>
      <c r="C4529" s="27" t="s">
        <v>42</v>
      </c>
      <c r="D4529" s="27" t="s">
        <v>43</v>
      </c>
      <c r="E4529" s="28" t="n">
        <f aca="false">ROUND((SUMIFS(Acerto_Detalhado!$F$2:$F$433,Acerto_Detalhado!$A$2:$A$433,$C4529,Acerto_Detalhado!$B$2:$B$433,"Dez",Acerto_Detalhado!$C$2:$C$433,"Umidade"))*(SUMIFS(Acerto_Detalhado!$I$2:$I$433,Acerto_Detalhado!$A$2:$A$433,$D4529,Acerto_Detalhado!$B$2:$B$433,"Dez",Acerto_Detalhado!$C$2:$C$433,"Umidade")),2)</f>
        <v>0</v>
      </c>
    </row>
    <row r="4530" customFormat="false" ht="15" hidden="false" customHeight="false" outlineLevel="0" collapsed="false">
      <c r="A4530" s="27" t="s">
        <v>122</v>
      </c>
      <c r="B4530" s="27" t="s">
        <v>110</v>
      </c>
      <c r="C4530" s="27" t="s">
        <v>42</v>
      </c>
      <c r="D4530" s="27" t="s">
        <v>44</v>
      </c>
      <c r="E4530" s="28" t="n">
        <f aca="false">ROUND((SUMIFS(Acerto_Detalhado!$F$2:$F$433,Acerto_Detalhado!$A$2:$A$433,$C4530,Acerto_Detalhado!$B$2:$B$433,"Dez",Acerto_Detalhado!$C$2:$C$433,"Umidade"))*(SUMIFS(Acerto_Detalhado!$I$2:$I$433,Acerto_Detalhado!$A$2:$A$433,$D4530,Acerto_Detalhado!$B$2:$B$433,"Dez",Acerto_Detalhado!$C$2:$C$433,"Umidade")),2)</f>
        <v>0</v>
      </c>
    </row>
    <row r="4531" customFormat="false" ht="15" hidden="false" customHeight="false" outlineLevel="0" collapsed="false">
      <c r="A4531" s="27" t="s">
        <v>122</v>
      </c>
      <c r="B4531" s="27" t="s">
        <v>110</v>
      </c>
      <c r="C4531" s="27" t="s">
        <v>42</v>
      </c>
      <c r="D4531" s="27" t="s">
        <v>45</v>
      </c>
      <c r="E4531" s="28" t="n">
        <f aca="false">ROUND((SUMIFS(Acerto_Detalhado!$F$2:$F$433,Acerto_Detalhado!$A$2:$A$433,$C4531,Acerto_Detalhado!$B$2:$B$433,"Dez",Acerto_Detalhado!$C$2:$C$433,"Umidade"))*(SUMIFS(Acerto_Detalhado!$I$2:$I$433,Acerto_Detalhado!$A$2:$A$433,$D4531,Acerto_Detalhado!$B$2:$B$433,"Dez",Acerto_Detalhado!$C$2:$C$433,"Umidade")),2)</f>
        <v>0</v>
      </c>
    </row>
    <row r="4532" customFormat="false" ht="15" hidden="false" customHeight="false" outlineLevel="0" collapsed="false">
      <c r="A4532" s="27" t="s">
        <v>122</v>
      </c>
      <c r="B4532" s="27" t="s">
        <v>110</v>
      </c>
      <c r="C4532" s="27" t="s">
        <v>42</v>
      </c>
      <c r="D4532" s="27" t="s">
        <v>46</v>
      </c>
      <c r="E4532" s="28" t="n">
        <f aca="false">ROUND((SUMIFS(Acerto_Detalhado!$F$2:$F$433,Acerto_Detalhado!$A$2:$A$433,$C4532,Acerto_Detalhado!$B$2:$B$433,"Dez",Acerto_Detalhado!$C$2:$C$433,"Umidade"))*(SUMIFS(Acerto_Detalhado!$I$2:$I$433,Acerto_Detalhado!$A$2:$A$433,$D4532,Acerto_Detalhado!$B$2:$B$433,"Dez",Acerto_Detalhado!$C$2:$C$433,"Umidade")),2)</f>
        <v>0</v>
      </c>
    </row>
    <row r="4533" customFormat="false" ht="15" hidden="false" customHeight="false" outlineLevel="0" collapsed="false">
      <c r="A4533" s="27" t="s">
        <v>122</v>
      </c>
      <c r="B4533" s="27" t="s">
        <v>110</v>
      </c>
      <c r="C4533" s="27" t="s">
        <v>42</v>
      </c>
      <c r="D4533" s="27" t="s">
        <v>47</v>
      </c>
      <c r="E4533" s="28" t="n">
        <f aca="false">ROUND((SUMIFS(Acerto_Detalhado!$F$2:$F$433,Acerto_Detalhado!$A$2:$A$433,$C4533,Acerto_Detalhado!$B$2:$B$433,"Dez",Acerto_Detalhado!$C$2:$C$433,"Umidade"))*(SUMIFS(Acerto_Detalhado!$I$2:$I$433,Acerto_Detalhado!$A$2:$A$433,$D4533,Acerto_Detalhado!$B$2:$B$433,"Dez",Acerto_Detalhado!$C$2:$C$433,"Umidade")),2)</f>
        <v>0</v>
      </c>
    </row>
    <row r="4534" customFormat="false" ht="15" hidden="false" customHeight="false" outlineLevel="0" collapsed="false">
      <c r="A4534" s="27" t="s">
        <v>122</v>
      </c>
      <c r="B4534" s="27" t="s">
        <v>110</v>
      </c>
      <c r="C4534" s="27" t="s">
        <v>42</v>
      </c>
      <c r="D4534" s="27" t="s">
        <v>48</v>
      </c>
      <c r="E4534" s="28" t="n">
        <f aca="false">ROUND((SUMIFS(Acerto_Detalhado!$F$2:$F$433,Acerto_Detalhado!$A$2:$A$433,$C4534,Acerto_Detalhado!$B$2:$B$433,"Dez",Acerto_Detalhado!$C$2:$C$433,"Umidade"))*(SUMIFS(Acerto_Detalhado!$I$2:$I$433,Acerto_Detalhado!$A$2:$A$433,$D4534,Acerto_Detalhado!$B$2:$B$433,"Dez",Acerto_Detalhado!$C$2:$C$433,"Umidade")),2)</f>
        <v>0</v>
      </c>
    </row>
    <row r="4535" customFormat="false" ht="15" hidden="false" customHeight="false" outlineLevel="0" collapsed="false">
      <c r="A4535" s="27" t="s">
        <v>122</v>
      </c>
      <c r="B4535" s="27" t="s">
        <v>110</v>
      </c>
      <c r="C4535" s="27" t="s">
        <v>42</v>
      </c>
      <c r="D4535" s="27" t="s">
        <v>49</v>
      </c>
      <c r="E4535" s="28" t="n">
        <f aca="false">ROUND((SUMIFS(Acerto_Detalhado!$F$2:$F$433,Acerto_Detalhado!$A$2:$A$433,$C4535,Acerto_Detalhado!$B$2:$B$433,"Dez",Acerto_Detalhado!$C$2:$C$433,"Umidade"))*(SUMIFS(Acerto_Detalhado!$I$2:$I$433,Acerto_Detalhado!$A$2:$A$433,$D4535,Acerto_Detalhado!$B$2:$B$433,"Dez",Acerto_Detalhado!$C$2:$C$433,"Umidade")),2)</f>
        <v>0</v>
      </c>
    </row>
    <row r="4536" customFormat="false" ht="15" hidden="false" customHeight="false" outlineLevel="0" collapsed="false">
      <c r="A4536" s="27" t="s">
        <v>122</v>
      </c>
      <c r="B4536" s="27" t="s">
        <v>110</v>
      </c>
      <c r="C4536" s="27" t="s">
        <v>42</v>
      </c>
      <c r="D4536" s="27" t="s">
        <v>50</v>
      </c>
      <c r="E4536" s="28" t="n">
        <f aca="false">ROUND((SUMIFS(Acerto_Detalhado!$F$2:$F$433,Acerto_Detalhado!$A$2:$A$433,$C4536,Acerto_Detalhado!$B$2:$B$433,"Dez",Acerto_Detalhado!$C$2:$C$433,"Umidade"))*(SUMIFS(Acerto_Detalhado!$I$2:$I$433,Acerto_Detalhado!$A$2:$A$433,$D4536,Acerto_Detalhado!$B$2:$B$433,"Dez",Acerto_Detalhado!$C$2:$C$433,"Umidade")),2)</f>
        <v>0</v>
      </c>
    </row>
    <row r="4537" customFormat="false" ht="15" hidden="false" customHeight="false" outlineLevel="0" collapsed="false">
      <c r="A4537" s="27" t="s">
        <v>122</v>
      </c>
      <c r="B4537" s="27" t="s">
        <v>110</v>
      </c>
      <c r="C4537" s="27" t="s">
        <v>43</v>
      </c>
      <c r="D4537" s="27" t="s">
        <v>39</v>
      </c>
      <c r="E4537" s="28" t="n">
        <f aca="false">ROUND((SUMIFS(Acerto_Detalhado!$F$2:$F$433,Acerto_Detalhado!$A$2:$A$433,$C4537,Acerto_Detalhado!$B$2:$B$433,"Dez",Acerto_Detalhado!$C$2:$C$433,"Umidade"))*(SUMIFS(Acerto_Detalhado!$I$2:$I$433,Acerto_Detalhado!$A$2:$A$433,$D4537,Acerto_Detalhado!$B$2:$B$433,"Dez",Acerto_Detalhado!$C$2:$C$433,"Umidade")),2)</f>
        <v>0</v>
      </c>
    </row>
    <row r="4538" customFormat="false" ht="15" hidden="false" customHeight="false" outlineLevel="0" collapsed="false">
      <c r="A4538" s="27" t="s">
        <v>122</v>
      </c>
      <c r="B4538" s="27" t="s">
        <v>110</v>
      </c>
      <c r="C4538" s="27" t="s">
        <v>43</v>
      </c>
      <c r="D4538" s="27" t="s">
        <v>40</v>
      </c>
      <c r="E4538" s="28" t="n">
        <f aca="false">ROUND((SUMIFS(Acerto_Detalhado!$F$2:$F$433,Acerto_Detalhado!$A$2:$A$433,$C4538,Acerto_Detalhado!$B$2:$B$433,"Dez",Acerto_Detalhado!$C$2:$C$433,"Umidade"))*(SUMIFS(Acerto_Detalhado!$I$2:$I$433,Acerto_Detalhado!$A$2:$A$433,$D4538,Acerto_Detalhado!$B$2:$B$433,"Dez",Acerto_Detalhado!$C$2:$C$433,"Umidade")),2)</f>
        <v>0</v>
      </c>
    </row>
    <row r="4539" customFormat="false" ht="15" hidden="false" customHeight="false" outlineLevel="0" collapsed="false">
      <c r="A4539" s="27" t="s">
        <v>122</v>
      </c>
      <c r="B4539" s="27" t="s">
        <v>110</v>
      </c>
      <c r="C4539" s="27" t="s">
        <v>43</v>
      </c>
      <c r="D4539" s="27" t="s">
        <v>41</v>
      </c>
      <c r="E4539" s="28" t="n">
        <f aca="false">ROUND((SUMIFS(Acerto_Detalhado!$F$2:$F$433,Acerto_Detalhado!$A$2:$A$433,$C4539,Acerto_Detalhado!$B$2:$B$433,"Dez",Acerto_Detalhado!$C$2:$C$433,"Umidade"))*(SUMIFS(Acerto_Detalhado!$I$2:$I$433,Acerto_Detalhado!$A$2:$A$433,$D4539,Acerto_Detalhado!$B$2:$B$433,"Dez",Acerto_Detalhado!$C$2:$C$433,"Umidade")),2)</f>
        <v>0</v>
      </c>
    </row>
    <row r="4540" customFormat="false" ht="15" hidden="false" customHeight="false" outlineLevel="0" collapsed="false">
      <c r="A4540" s="27" t="s">
        <v>122</v>
      </c>
      <c r="B4540" s="27" t="s">
        <v>110</v>
      </c>
      <c r="C4540" s="27" t="s">
        <v>43</v>
      </c>
      <c r="D4540" s="27" t="s">
        <v>42</v>
      </c>
      <c r="E4540" s="28" t="n">
        <f aca="false">ROUND((SUMIFS(Acerto_Detalhado!$F$2:$F$433,Acerto_Detalhado!$A$2:$A$433,$C4540,Acerto_Detalhado!$B$2:$B$433,"Dez",Acerto_Detalhado!$C$2:$C$433,"Umidade"))*(SUMIFS(Acerto_Detalhado!$I$2:$I$433,Acerto_Detalhado!$A$2:$A$433,$D4540,Acerto_Detalhado!$B$2:$B$433,"Dez",Acerto_Detalhado!$C$2:$C$433,"Umidade")),2)</f>
        <v>0</v>
      </c>
    </row>
    <row r="4541" customFormat="false" ht="15" hidden="false" customHeight="false" outlineLevel="0" collapsed="false">
      <c r="A4541" s="27" t="s">
        <v>122</v>
      </c>
      <c r="B4541" s="27" t="s">
        <v>110</v>
      </c>
      <c r="C4541" s="27" t="s">
        <v>43</v>
      </c>
      <c r="D4541" s="27" t="s">
        <v>44</v>
      </c>
      <c r="E4541" s="28" t="n">
        <f aca="false">ROUND((SUMIFS(Acerto_Detalhado!$F$2:$F$433,Acerto_Detalhado!$A$2:$A$433,$C4541,Acerto_Detalhado!$B$2:$B$433,"Dez",Acerto_Detalhado!$C$2:$C$433,"Umidade"))*(SUMIFS(Acerto_Detalhado!$I$2:$I$433,Acerto_Detalhado!$A$2:$A$433,$D4541,Acerto_Detalhado!$B$2:$B$433,"Dez",Acerto_Detalhado!$C$2:$C$433,"Umidade")),2)</f>
        <v>0</v>
      </c>
    </row>
    <row r="4542" customFormat="false" ht="15" hidden="false" customHeight="false" outlineLevel="0" collapsed="false">
      <c r="A4542" s="27" t="s">
        <v>122</v>
      </c>
      <c r="B4542" s="27" t="s">
        <v>110</v>
      </c>
      <c r="C4542" s="27" t="s">
        <v>43</v>
      </c>
      <c r="D4542" s="27" t="s">
        <v>45</v>
      </c>
      <c r="E4542" s="28" t="n">
        <f aca="false">ROUND((SUMIFS(Acerto_Detalhado!$F$2:$F$433,Acerto_Detalhado!$A$2:$A$433,$C4542,Acerto_Detalhado!$B$2:$B$433,"Dez",Acerto_Detalhado!$C$2:$C$433,"Umidade"))*(SUMIFS(Acerto_Detalhado!$I$2:$I$433,Acerto_Detalhado!$A$2:$A$433,$D4542,Acerto_Detalhado!$B$2:$B$433,"Dez",Acerto_Detalhado!$C$2:$C$433,"Umidade")),2)</f>
        <v>0</v>
      </c>
    </row>
    <row r="4543" customFormat="false" ht="15" hidden="false" customHeight="false" outlineLevel="0" collapsed="false">
      <c r="A4543" s="27" t="s">
        <v>122</v>
      </c>
      <c r="B4543" s="27" t="s">
        <v>110</v>
      </c>
      <c r="C4543" s="27" t="s">
        <v>43</v>
      </c>
      <c r="D4543" s="27" t="s">
        <v>46</v>
      </c>
      <c r="E4543" s="28" t="n">
        <f aca="false">ROUND((SUMIFS(Acerto_Detalhado!$F$2:$F$433,Acerto_Detalhado!$A$2:$A$433,$C4543,Acerto_Detalhado!$B$2:$B$433,"Dez",Acerto_Detalhado!$C$2:$C$433,"Umidade"))*(SUMIFS(Acerto_Detalhado!$I$2:$I$433,Acerto_Detalhado!$A$2:$A$433,$D4543,Acerto_Detalhado!$B$2:$B$433,"Dez",Acerto_Detalhado!$C$2:$C$433,"Umidade")),2)</f>
        <v>0</v>
      </c>
    </row>
    <row r="4544" customFormat="false" ht="15" hidden="false" customHeight="false" outlineLevel="0" collapsed="false">
      <c r="A4544" s="27" t="s">
        <v>122</v>
      </c>
      <c r="B4544" s="27" t="s">
        <v>110</v>
      </c>
      <c r="C4544" s="27" t="s">
        <v>43</v>
      </c>
      <c r="D4544" s="27" t="s">
        <v>47</v>
      </c>
      <c r="E4544" s="28" t="n">
        <f aca="false">ROUND((SUMIFS(Acerto_Detalhado!$F$2:$F$433,Acerto_Detalhado!$A$2:$A$433,$C4544,Acerto_Detalhado!$B$2:$B$433,"Dez",Acerto_Detalhado!$C$2:$C$433,"Umidade"))*(SUMIFS(Acerto_Detalhado!$I$2:$I$433,Acerto_Detalhado!$A$2:$A$433,$D4544,Acerto_Detalhado!$B$2:$B$433,"Dez",Acerto_Detalhado!$C$2:$C$433,"Umidade")),2)</f>
        <v>0</v>
      </c>
    </row>
    <row r="4545" customFormat="false" ht="15" hidden="false" customHeight="false" outlineLevel="0" collapsed="false">
      <c r="A4545" s="27" t="s">
        <v>122</v>
      </c>
      <c r="B4545" s="27" t="s">
        <v>110</v>
      </c>
      <c r="C4545" s="27" t="s">
        <v>43</v>
      </c>
      <c r="D4545" s="27" t="s">
        <v>48</v>
      </c>
      <c r="E4545" s="28" t="n">
        <f aca="false">ROUND((SUMIFS(Acerto_Detalhado!$F$2:$F$433,Acerto_Detalhado!$A$2:$A$433,$C4545,Acerto_Detalhado!$B$2:$B$433,"Dez",Acerto_Detalhado!$C$2:$C$433,"Umidade"))*(SUMIFS(Acerto_Detalhado!$I$2:$I$433,Acerto_Detalhado!$A$2:$A$433,$D4545,Acerto_Detalhado!$B$2:$B$433,"Dez",Acerto_Detalhado!$C$2:$C$433,"Umidade")),2)</f>
        <v>0</v>
      </c>
    </row>
    <row r="4546" customFormat="false" ht="15" hidden="false" customHeight="false" outlineLevel="0" collapsed="false">
      <c r="A4546" s="27" t="s">
        <v>122</v>
      </c>
      <c r="B4546" s="27" t="s">
        <v>110</v>
      </c>
      <c r="C4546" s="27" t="s">
        <v>43</v>
      </c>
      <c r="D4546" s="27" t="s">
        <v>49</v>
      </c>
      <c r="E4546" s="28" t="n">
        <f aca="false">ROUND((SUMIFS(Acerto_Detalhado!$F$2:$F$433,Acerto_Detalhado!$A$2:$A$433,$C4546,Acerto_Detalhado!$B$2:$B$433,"Dez",Acerto_Detalhado!$C$2:$C$433,"Umidade"))*(SUMIFS(Acerto_Detalhado!$I$2:$I$433,Acerto_Detalhado!$A$2:$A$433,$D4546,Acerto_Detalhado!$B$2:$B$433,"Dez",Acerto_Detalhado!$C$2:$C$433,"Umidade")),2)</f>
        <v>0</v>
      </c>
    </row>
    <row r="4547" customFormat="false" ht="15" hidden="false" customHeight="false" outlineLevel="0" collapsed="false">
      <c r="A4547" s="27" t="s">
        <v>122</v>
      </c>
      <c r="B4547" s="27" t="s">
        <v>110</v>
      </c>
      <c r="C4547" s="27" t="s">
        <v>43</v>
      </c>
      <c r="D4547" s="27" t="s">
        <v>50</v>
      </c>
      <c r="E4547" s="28" t="n">
        <f aca="false">ROUND((SUMIFS(Acerto_Detalhado!$F$2:$F$433,Acerto_Detalhado!$A$2:$A$433,$C4547,Acerto_Detalhado!$B$2:$B$433,"Dez",Acerto_Detalhado!$C$2:$C$433,"Umidade"))*(SUMIFS(Acerto_Detalhado!$I$2:$I$433,Acerto_Detalhado!$A$2:$A$433,$D4547,Acerto_Detalhado!$B$2:$B$433,"Dez",Acerto_Detalhado!$C$2:$C$433,"Umidade")),2)</f>
        <v>0</v>
      </c>
    </row>
    <row r="4548" customFormat="false" ht="15" hidden="false" customHeight="false" outlineLevel="0" collapsed="false">
      <c r="A4548" s="27" t="s">
        <v>122</v>
      </c>
      <c r="B4548" s="27" t="s">
        <v>110</v>
      </c>
      <c r="C4548" s="27" t="s">
        <v>44</v>
      </c>
      <c r="D4548" s="27" t="s">
        <v>39</v>
      </c>
      <c r="E4548" s="28" t="n">
        <f aca="false">ROUND((SUMIFS(Acerto_Detalhado!$F$2:$F$433,Acerto_Detalhado!$A$2:$A$433,$C4548,Acerto_Detalhado!$B$2:$B$433,"Dez",Acerto_Detalhado!$C$2:$C$433,"Umidade"))*(SUMIFS(Acerto_Detalhado!$I$2:$I$433,Acerto_Detalhado!$A$2:$A$433,$D4548,Acerto_Detalhado!$B$2:$B$433,"Dez",Acerto_Detalhado!$C$2:$C$433,"Umidade")),2)</f>
        <v>0</v>
      </c>
    </row>
    <row r="4549" customFormat="false" ht="15" hidden="false" customHeight="false" outlineLevel="0" collapsed="false">
      <c r="A4549" s="27" t="s">
        <v>122</v>
      </c>
      <c r="B4549" s="27" t="s">
        <v>110</v>
      </c>
      <c r="C4549" s="27" t="s">
        <v>44</v>
      </c>
      <c r="D4549" s="27" t="s">
        <v>40</v>
      </c>
      <c r="E4549" s="28" t="n">
        <f aca="false">ROUND((SUMIFS(Acerto_Detalhado!$F$2:$F$433,Acerto_Detalhado!$A$2:$A$433,$C4549,Acerto_Detalhado!$B$2:$B$433,"Dez",Acerto_Detalhado!$C$2:$C$433,"Umidade"))*(SUMIFS(Acerto_Detalhado!$I$2:$I$433,Acerto_Detalhado!$A$2:$A$433,$D4549,Acerto_Detalhado!$B$2:$B$433,"Dez",Acerto_Detalhado!$C$2:$C$433,"Umidade")),2)</f>
        <v>0</v>
      </c>
    </row>
    <row r="4550" customFormat="false" ht="15" hidden="false" customHeight="false" outlineLevel="0" collapsed="false">
      <c r="A4550" s="27" t="s">
        <v>122</v>
      </c>
      <c r="B4550" s="27" t="s">
        <v>110</v>
      </c>
      <c r="C4550" s="27" t="s">
        <v>44</v>
      </c>
      <c r="D4550" s="27" t="s">
        <v>41</v>
      </c>
      <c r="E4550" s="28" t="n">
        <f aca="false">ROUND((SUMIFS(Acerto_Detalhado!$F$2:$F$433,Acerto_Detalhado!$A$2:$A$433,$C4550,Acerto_Detalhado!$B$2:$B$433,"Dez",Acerto_Detalhado!$C$2:$C$433,"Umidade"))*(SUMIFS(Acerto_Detalhado!$I$2:$I$433,Acerto_Detalhado!$A$2:$A$433,$D4550,Acerto_Detalhado!$B$2:$B$433,"Dez",Acerto_Detalhado!$C$2:$C$433,"Umidade")),2)</f>
        <v>0</v>
      </c>
    </row>
    <row r="4551" customFormat="false" ht="15" hidden="false" customHeight="false" outlineLevel="0" collapsed="false">
      <c r="A4551" s="27" t="s">
        <v>122</v>
      </c>
      <c r="B4551" s="27" t="s">
        <v>110</v>
      </c>
      <c r="C4551" s="27" t="s">
        <v>44</v>
      </c>
      <c r="D4551" s="27" t="s">
        <v>42</v>
      </c>
      <c r="E4551" s="28" t="n">
        <f aca="false">ROUND((SUMIFS(Acerto_Detalhado!$F$2:$F$433,Acerto_Detalhado!$A$2:$A$433,$C4551,Acerto_Detalhado!$B$2:$B$433,"Dez",Acerto_Detalhado!$C$2:$C$433,"Umidade"))*(SUMIFS(Acerto_Detalhado!$I$2:$I$433,Acerto_Detalhado!$A$2:$A$433,$D4551,Acerto_Detalhado!$B$2:$B$433,"Dez",Acerto_Detalhado!$C$2:$C$433,"Umidade")),2)</f>
        <v>0</v>
      </c>
    </row>
    <row r="4552" customFormat="false" ht="15" hidden="false" customHeight="false" outlineLevel="0" collapsed="false">
      <c r="A4552" s="27" t="s">
        <v>122</v>
      </c>
      <c r="B4552" s="27" t="s">
        <v>110</v>
      </c>
      <c r="C4552" s="27" t="s">
        <v>44</v>
      </c>
      <c r="D4552" s="27" t="s">
        <v>43</v>
      </c>
      <c r="E4552" s="28" t="n">
        <f aca="false">ROUND((SUMIFS(Acerto_Detalhado!$F$2:$F$433,Acerto_Detalhado!$A$2:$A$433,$C4552,Acerto_Detalhado!$B$2:$B$433,"Dez",Acerto_Detalhado!$C$2:$C$433,"Umidade"))*(SUMIFS(Acerto_Detalhado!$I$2:$I$433,Acerto_Detalhado!$A$2:$A$433,$D4552,Acerto_Detalhado!$B$2:$B$433,"Dez",Acerto_Detalhado!$C$2:$C$433,"Umidade")),2)</f>
        <v>0</v>
      </c>
    </row>
    <row r="4553" customFormat="false" ht="15" hidden="false" customHeight="false" outlineLevel="0" collapsed="false">
      <c r="A4553" s="27" t="s">
        <v>122</v>
      </c>
      <c r="B4553" s="27" t="s">
        <v>110</v>
      </c>
      <c r="C4553" s="27" t="s">
        <v>44</v>
      </c>
      <c r="D4553" s="27" t="s">
        <v>45</v>
      </c>
      <c r="E4553" s="28" t="n">
        <f aca="false">ROUND((SUMIFS(Acerto_Detalhado!$F$2:$F$433,Acerto_Detalhado!$A$2:$A$433,$C4553,Acerto_Detalhado!$B$2:$B$433,"Dez",Acerto_Detalhado!$C$2:$C$433,"Umidade"))*(SUMIFS(Acerto_Detalhado!$I$2:$I$433,Acerto_Detalhado!$A$2:$A$433,$D4553,Acerto_Detalhado!$B$2:$B$433,"Dez",Acerto_Detalhado!$C$2:$C$433,"Umidade")),2)</f>
        <v>0</v>
      </c>
    </row>
    <row r="4554" customFormat="false" ht="15" hidden="false" customHeight="false" outlineLevel="0" collapsed="false">
      <c r="A4554" s="27" t="s">
        <v>122</v>
      </c>
      <c r="B4554" s="27" t="s">
        <v>110</v>
      </c>
      <c r="C4554" s="27" t="s">
        <v>44</v>
      </c>
      <c r="D4554" s="27" t="s">
        <v>46</v>
      </c>
      <c r="E4554" s="28" t="n">
        <f aca="false">ROUND((SUMIFS(Acerto_Detalhado!$F$2:$F$433,Acerto_Detalhado!$A$2:$A$433,$C4554,Acerto_Detalhado!$B$2:$B$433,"Dez",Acerto_Detalhado!$C$2:$C$433,"Umidade"))*(SUMIFS(Acerto_Detalhado!$I$2:$I$433,Acerto_Detalhado!$A$2:$A$433,$D4554,Acerto_Detalhado!$B$2:$B$433,"Dez",Acerto_Detalhado!$C$2:$C$433,"Umidade")),2)</f>
        <v>0</v>
      </c>
    </row>
    <row r="4555" customFormat="false" ht="15" hidden="false" customHeight="false" outlineLevel="0" collapsed="false">
      <c r="A4555" s="27" t="s">
        <v>122</v>
      </c>
      <c r="B4555" s="27" t="s">
        <v>110</v>
      </c>
      <c r="C4555" s="27" t="s">
        <v>44</v>
      </c>
      <c r="D4555" s="27" t="s">
        <v>47</v>
      </c>
      <c r="E4555" s="28" t="n">
        <f aca="false">ROUND((SUMIFS(Acerto_Detalhado!$F$2:$F$433,Acerto_Detalhado!$A$2:$A$433,$C4555,Acerto_Detalhado!$B$2:$B$433,"Dez",Acerto_Detalhado!$C$2:$C$433,"Umidade"))*(SUMIFS(Acerto_Detalhado!$I$2:$I$433,Acerto_Detalhado!$A$2:$A$433,$D4555,Acerto_Detalhado!$B$2:$B$433,"Dez",Acerto_Detalhado!$C$2:$C$433,"Umidade")),2)</f>
        <v>0</v>
      </c>
    </row>
    <row r="4556" customFormat="false" ht="15" hidden="false" customHeight="false" outlineLevel="0" collapsed="false">
      <c r="A4556" s="27" t="s">
        <v>122</v>
      </c>
      <c r="B4556" s="27" t="s">
        <v>110</v>
      </c>
      <c r="C4556" s="27" t="s">
        <v>44</v>
      </c>
      <c r="D4556" s="27" t="s">
        <v>48</v>
      </c>
      <c r="E4556" s="28" t="n">
        <f aca="false">ROUND((SUMIFS(Acerto_Detalhado!$F$2:$F$433,Acerto_Detalhado!$A$2:$A$433,$C4556,Acerto_Detalhado!$B$2:$B$433,"Dez",Acerto_Detalhado!$C$2:$C$433,"Umidade"))*(SUMIFS(Acerto_Detalhado!$I$2:$I$433,Acerto_Detalhado!$A$2:$A$433,$D4556,Acerto_Detalhado!$B$2:$B$433,"Dez",Acerto_Detalhado!$C$2:$C$433,"Umidade")),2)</f>
        <v>0</v>
      </c>
    </row>
    <row r="4557" customFormat="false" ht="15" hidden="false" customHeight="false" outlineLevel="0" collapsed="false">
      <c r="A4557" s="27" t="s">
        <v>122</v>
      </c>
      <c r="B4557" s="27" t="s">
        <v>110</v>
      </c>
      <c r="C4557" s="27" t="s">
        <v>44</v>
      </c>
      <c r="D4557" s="27" t="s">
        <v>49</v>
      </c>
      <c r="E4557" s="28" t="n">
        <f aca="false">ROUND((SUMIFS(Acerto_Detalhado!$F$2:$F$433,Acerto_Detalhado!$A$2:$A$433,$C4557,Acerto_Detalhado!$B$2:$B$433,"Dez",Acerto_Detalhado!$C$2:$C$433,"Umidade"))*(SUMIFS(Acerto_Detalhado!$I$2:$I$433,Acerto_Detalhado!$A$2:$A$433,$D4557,Acerto_Detalhado!$B$2:$B$433,"Dez",Acerto_Detalhado!$C$2:$C$433,"Umidade")),2)</f>
        <v>0</v>
      </c>
    </row>
    <row r="4558" customFormat="false" ht="15" hidden="false" customHeight="false" outlineLevel="0" collapsed="false">
      <c r="A4558" s="27" t="s">
        <v>122</v>
      </c>
      <c r="B4558" s="27" t="s">
        <v>110</v>
      </c>
      <c r="C4558" s="27" t="s">
        <v>44</v>
      </c>
      <c r="D4558" s="27" t="s">
        <v>50</v>
      </c>
      <c r="E4558" s="28" t="n">
        <f aca="false">ROUND((SUMIFS(Acerto_Detalhado!$F$2:$F$433,Acerto_Detalhado!$A$2:$A$433,$C4558,Acerto_Detalhado!$B$2:$B$433,"Dez",Acerto_Detalhado!$C$2:$C$433,"Umidade"))*(SUMIFS(Acerto_Detalhado!$I$2:$I$433,Acerto_Detalhado!$A$2:$A$433,$D4558,Acerto_Detalhado!$B$2:$B$433,"Dez",Acerto_Detalhado!$C$2:$C$433,"Umidade")),2)</f>
        <v>0</v>
      </c>
    </row>
    <row r="4559" customFormat="false" ht="15" hidden="false" customHeight="false" outlineLevel="0" collapsed="false">
      <c r="A4559" s="27" t="s">
        <v>122</v>
      </c>
      <c r="B4559" s="27" t="s">
        <v>110</v>
      </c>
      <c r="C4559" s="27" t="s">
        <v>45</v>
      </c>
      <c r="D4559" s="27" t="s">
        <v>39</v>
      </c>
      <c r="E4559" s="28" t="n">
        <f aca="false">ROUND((SUMIFS(Acerto_Detalhado!$F$2:$F$433,Acerto_Detalhado!$A$2:$A$433,$C4559,Acerto_Detalhado!$B$2:$B$433,"Dez",Acerto_Detalhado!$C$2:$C$433,"Umidade"))*(SUMIFS(Acerto_Detalhado!$I$2:$I$433,Acerto_Detalhado!$A$2:$A$433,$D4559,Acerto_Detalhado!$B$2:$B$433,"Dez",Acerto_Detalhado!$C$2:$C$433,"Umidade")),2)</f>
        <v>0</v>
      </c>
    </row>
    <row r="4560" customFormat="false" ht="15" hidden="false" customHeight="false" outlineLevel="0" collapsed="false">
      <c r="A4560" s="27" t="s">
        <v>122</v>
      </c>
      <c r="B4560" s="27" t="s">
        <v>110</v>
      </c>
      <c r="C4560" s="27" t="s">
        <v>45</v>
      </c>
      <c r="D4560" s="27" t="s">
        <v>40</v>
      </c>
      <c r="E4560" s="28" t="n">
        <f aca="false">ROUND((SUMIFS(Acerto_Detalhado!$F$2:$F$433,Acerto_Detalhado!$A$2:$A$433,$C4560,Acerto_Detalhado!$B$2:$B$433,"Dez",Acerto_Detalhado!$C$2:$C$433,"Umidade"))*(SUMIFS(Acerto_Detalhado!$I$2:$I$433,Acerto_Detalhado!$A$2:$A$433,$D4560,Acerto_Detalhado!$B$2:$B$433,"Dez",Acerto_Detalhado!$C$2:$C$433,"Umidade")),2)</f>
        <v>0</v>
      </c>
    </row>
    <row r="4561" customFormat="false" ht="15" hidden="false" customHeight="false" outlineLevel="0" collapsed="false">
      <c r="A4561" s="27" t="s">
        <v>122</v>
      </c>
      <c r="B4561" s="27" t="s">
        <v>110</v>
      </c>
      <c r="C4561" s="27" t="s">
        <v>45</v>
      </c>
      <c r="D4561" s="27" t="s">
        <v>41</v>
      </c>
      <c r="E4561" s="28" t="n">
        <f aca="false">ROUND((SUMIFS(Acerto_Detalhado!$F$2:$F$433,Acerto_Detalhado!$A$2:$A$433,$C4561,Acerto_Detalhado!$B$2:$B$433,"Dez",Acerto_Detalhado!$C$2:$C$433,"Umidade"))*(SUMIFS(Acerto_Detalhado!$I$2:$I$433,Acerto_Detalhado!$A$2:$A$433,$D4561,Acerto_Detalhado!$B$2:$B$433,"Dez",Acerto_Detalhado!$C$2:$C$433,"Umidade")),2)</f>
        <v>0</v>
      </c>
    </row>
    <row r="4562" customFormat="false" ht="15" hidden="false" customHeight="false" outlineLevel="0" collapsed="false">
      <c r="A4562" s="27" t="s">
        <v>122</v>
      </c>
      <c r="B4562" s="27" t="s">
        <v>110</v>
      </c>
      <c r="C4562" s="27" t="s">
        <v>45</v>
      </c>
      <c r="D4562" s="27" t="s">
        <v>42</v>
      </c>
      <c r="E4562" s="28" t="n">
        <f aca="false">ROUND((SUMIFS(Acerto_Detalhado!$F$2:$F$433,Acerto_Detalhado!$A$2:$A$433,$C4562,Acerto_Detalhado!$B$2:$B$433,"Dez",Acerto_Detalhado!$C$2:$C$433,"Umidade"))*(SUMIFS(Acerto_Detalhado!$I$2:$I$433,Acerto_Detalhado!$A$2:$A$433,$D4562,Acerto_Detalhado!$B$2:$B$433,"Dez",Acerto_Detalhado!$C$2:$C$433,"Umidade")),2)</f>
        <v>0</v>
      </c>
    </row>
    <row r="4563" customFormat="false" ht="15" hidden="false" customHeight="false" outlineLevel="0" collapsed="false">
      <c r="A4563" s="27" t="s">
        <v>122</v>
      </c>
      <c r="B4563" s="27" t="s">
        <v>110</v>
      </c>
      <c r="C4563" s="27" t="s">
        <v>45</v>
      </c>
      <c r="D4563" s="27" t="s">
        <v>43</v>
      </c>
      <c r="E4563" s="28" t="n">
        <f aca="false">ROUND((SUMIFS(Acerto_Detalhado!$F$2:$F$433,Acerto_Detalhado!$A$2:$A$433,$C4563,Acerto_Detalhado!$B$2:$B$433,"Dez",Acerto_Detalhado!$C$2:$C$433,"Umidade"))*(SUMIFS(Acerto_Detalhado!$I$2:$I$433,Acerto_Detalhado!$A$2:$A$433,$D4563,Acerto_Detalhado!$B$2:$B$433,"Dez",Acerto_Detalhado!$C$2:$C$433,"Umidade")),2)</f>
        <v>0</v>
      </c>
    </row>
    <row r="4564" customFormat="false" ht="15" hidden="false" customHeight="false" outlineLevel="0" collapsed="false">
      <c r="A4564" s="27" t="s">
        <v>122</v>
      </c>
      <c r="B4564" s="27" t="s">
        <v>110</v>
      </c>
      <c r="C4564" s="27" t="s">
        <v>45</v>
      </c>
      <c r="D4564" s="27" t="s">
        <v>44</v>
      </c>
      <c r="E4564" s="28" t="n">
        <f aca="false">ROUND((SUMIFS(Acerto_Detalhado!$F$2:$F$433,Acerto_Detalhado!$A$2:$A$433,$C4564,Acerto_Detalhado!$B$2:$B$433,"Dez",Acerto_Detalhado!$C$2:$C$433,"Umidade"))*(SUMIFS(Acerto_Detalhado!$I$2:$I$433,Acerto_Detalhado!$A$2:$A$433,$D4564,Acerto_Detalhado!$B$2:$B$433,"Dez",Acerto_Detalhado!$C$2:$C$433,"Umidade")),2)</f>
        <v>0</v>
      </c>
    </row>
    <row r="4565" customFormat="false" ht="15" hidden="false" customHeight="false" outlineLevel="0" collapsed="false">
      <c r="A4565" s="27" t="s">
        <v>122</v>
      </c>
      <c r="B4565" s="27" t="s">
        <v>110</v>
      </c>
      <c r="C4565" s="27" t="s">
        <v>45</v>
      </c>
      <c r="D4565" s="27" t="s">
        <v>46</v>
      </c>
      <c r="E4565" s="28" t="n">
        <f aca="false">ROUND((SUMIFS(Acerto_Detalhado!$F$2:$F$433,Acerto_Detalhado!$A$2:$A$433,$C4565,Acerto_Detalhado!$B$2:$B$433,"Dez",Acerto_Detalhado!$C$2:$C$433,"Umidade"))*(SUMIFS(Acerto_Detalhado!$I$2:$I$433,Acerto_Detalhado!$A$2:$A$433,$D4565,Acerto_Detalhado!$B$2:$B$433,"Dez",Acerto_Detalhado!$C$2:$C$433,"Umidade")),2)</f>
        <v>0</v>
      </c>
    </row>
    <row r="4566" customFormat="false" ht="15" hidden="false" customHeight="false" outlineLevel="0" collapsed="false">
      <c r="A4566" s="27" t="s">
        <v>122</v>
      </c>
      <c r="B4566" s="27" t="s">
        <v>110</v>
      </c>
      <c r="C4566" s="27" t="s">
        <v>45</v>
      </c>
      <c r="D4566" s="27" t="s">
        <v>47</v>
      </c>
      <c r="E4566" s="28" t="n">
        <f aca="false">ROUND((SUMIFS(Acerto_Detalhado!$F$2:$F$433,Acerto_Detalhado!$A$2:$A$433,$C4566,Acerto_Detalhado!$B$2:$B$433,"Dez",Acerto_Detalhado!$C$2:$C$433,"Umidade"))*(SUMIFS(Acerto_Detalhado!$I$2:$I$433,Acerto_Detalhado!$A$2:$A$433,$D4566,Acerto_Detalhado!$B$2:$B$433,"Dez",Acerto_Detalhado!$C$2:$C$433,"Umidade")),2)</f>
        <v>0</v>
      </c>
    </row>
    <row r="4567" customFormat="false" ht="15" hidden="false" customHeight="false" outlineLevel="0" collapsed="false">
      <c r="A4567" s="27" t="s">
        <v>122</v>
      </c>
      <c r="B4567" s="27" t="s">
        <v>110</v>
      </c>
      <c r="C4567" s="27" t="s">
        <v>45</v>
      </c>
      <c r="D4567" s="27" t="s">
        <v>48</v>
      </c>
      <c r="E4567" s="28" t="n">
        <f aca="false">ROUND((SUMIFS(Acerto_Detalhado!$F$2:$F$433,Acerto_Detalhado!$A$2:$A$433,$C4567,Acerto_Detalhado!$B$2:$B$433,"Dez",Acerto_Detalhado!$C$2:$C$433,"Umidade"))*(SUMIFS(Acerto_Detalhado!$I$2:$I$433,Acerto_Detalhado!$A$2:$A$433,$D4567,Acerto_Detalhado!$B$2:$B$433,"Dez",Acerto_Detalhado!$C$2:$C$433,"Umidade")),2)</f>
        <v>0</v>
      </c>
    </row>
    <row r="4568" customFormat="false" ht="15" hidden="false" customHeight="false" outlineLevel="0" collapsed="false">
      <c r="A4568" s="27" t="s">
        <v>122</v>
      </c>
      <c r="B4568" s="27" t="s">
        <v>110</v>
      </c>
      <c r="C4568" s="27" t="s">
        <v>45</v>
      </c>
      <c r="D4568" s="27" t="s">
        <v>49</v>
      </c>
      <c r="E4568" s="28" t="n">
        <f aca="false">ROUND((SUMIFS(Acerto_Detalhado!$F$2:$F$433,Acerto_Detalhado!$A$2:$A$433,$C4568,Acerto_Detalhado!$B$2:$B$433,"Dez",Acerto_Detalhado!$C$2:$C$433,"Umidade"))*(SUMIFS(Acerto_Detalhado!$I$2:$I$433,Acerto_Detalhado!$A$2:$A$433,$D4568,Acerto_Detalhado!$B$2:$B$433,"Dez",Acerto_Detalhado!$C$2:$C$433,"Umidade")),2)</f>
        <v>0</v>
      </c>
    </row>
    <row r="4569" customFormat="false" ht="15" hidden="false" customHeight="false" outlineLevel="0" collapsed="false">
      <c r="A4569" s="27" t="s">
        <v>122</v>
      </c>
      <c r="B4569" s="27" t="s">
        <v>110</v>
      </c>
      <c r="C4569" s="27" t="s">
        <v>45</v>
      </c>
      <c r="D4569" s="27" t="s">
        <v>50</v>
      </c>
      <c r="E4569" s="28" t="n">
        <f aca="false">ROUND((SUMIFS(Acerto_Detalhado!$F$2:$F$433,Acerto_Detalhado!$A$2:$A$433,$C4569,Acerto_Detalhado!$B$2:$B$433,"Dez",Acerto_Detalhado!$C$2:$C$433,"Umidade"))*(SUMIFS(Acerto_Detalhado!$I$2:$I$433,Acerto_Detalhado!$A$2:$A$433,$D4569,Acerto_Detalhado!$B$2:$B$433,"Dez",Acerto_Detalhado!$C$2:$C$433,"Umidade")),2)</f>
        <v>0</v>
      </c>
    </row>
    <row r="4570" customFormat="false" ht="15" hidden="false" customHeight="false" outlineLevel="0" collapsed="false">
      <c r="A4570" s="27" t="s">
        <v>122</v>
      </c>
      <c r="B4570" s="27" t="s">
        <v>110</v>
      </c>
      <c r="C4570" s="27" t="s">
        <v>46</v>
      </c>
      <c r="D4570" s="27" t="s">
        <v>39</v>
      </c>
      <c r="E4570" s="28" t="n">
        <f aca="false">ROUND((SUMIFS(Acerto_Detalhado!$F$2:$F$433,Acerto_Detalhado!$A$2:$A$433,$C4570,Acerto_Detalhado!$B$2:$B$433,"Dez",Acerto_Detalhado!$C$2:$C$433,"Umidade"))*(SUMIFS(Acerto_Detalhado!$I$2:$I$433,Acerto_Detalhado!$A$2:$A$433,$D4570,Acerto_Detalhado!$B$2:$B$433,"Dez",Acerto_Detalhado!$C$2:$C$433,"Umidade")),2)</f>
        <v>0</v>
      </c>
    </row>
    <row r="4571" customFormat="false" ht="15" hidden="false" customHeight="false" outlineLevel="0" collapsed="false">
      <c r="A4571" s="27" t="s">
        <v>122</v>
      </c>
      <c r="B4571" s="27" t="s">
        <v>110</v>
      </c>
      <c r="C4571" s="27" t="s">
        <v>46</v>
      </c>
      <c r="D4571" s="27" t="s">
        <v>40</v>
      </c>
      <c r="E4571" s="28" t="n">
        <f aca="false">ROUND((SUMIFS(Acerto_Detalhado!$F$2:$F$433,Acerto_Detalhado!$A$2:$A$433,$C4571,Acerto_Detalhado!$B$2:$B$433,"Dez",Acerto_Detalhado!$C$2:$C$433,"Umidade"))*(SUMIFS(Acerto_Detalhado!$I$2:$I$433,Acerto_Detalhado!$A$2:$A$433,$D4571,Acerto_Detalhado!$B$2:$B$433,"Dez",Acerto_Detalhado!$C$2:$C$433,"Umidade")),2)</f>
        <v>0</v>
      </c>
    </row>
    <row r="4572" customFormat="false" ht="15" hidden="false" customHeight="false" outlineLevel="0" collapsed="false">
      <c r="A4572" s="27" t="s">
        <v>122</v>
      </c>
      <c r="B4572" s="27" t="s">
        <v>110</v>
      </c>
      <c r="C4572" s="27" t="s">
        <v>46</v>
      </c>
      <c r="D4572" s="27" t="s">
        <v>41</v>
      </c>
      <c r="E4572" s="28" t="n">
        <f aca="false">ROUND((SUMIFS(Acerto_Detalhado!$F$2:$F$433,Acerto_Detalhado!$A$2:$A$433,$C4572,Acerto_Detalhado!$B$2:$B$433,"Dez",Acerto_Detalhado!$C$2:$C$433,"Umidade"))*(SUMIFS(Acerto_Detalhado!$I$2:$I$433,Acerto_Detalhado!$A$2:$A$433,$D4572,Acerto_Detalhado!$B$2:$B$433,"Dez",Acerto_Detalhado!$C$2:$C$433,"Umidade")),2)</f>
        <v>0</v>
      </c>
    </row>
    <row r="4573" customFormat="false" ht="15" hidden="false" customHeight="false" outlineLevel="0" collapsed="false">
      <c r="A4573" s="27" t="s">
        <v>122</v>
      </c>
      <c r="B4573" s="27" t="s">
        <v>110</v>
      </c>
      <c r="C4573" s="27" t="s">
        <v>46</v>
      </c>
      <c r="D4573" s="27" t="s">
        <v>42</v>
      </c>
      <c r="E4573" s="28" t="n">
        <f aca="false">ROUND((SUMIFS(Acerto_Detalhado!$F$2:$F$433,Acerto_Detalhado!$A$2:$A$433,$C4573,Acerto_Detalhado!$B$2:$B$433,"Dez",Acerto_Detalhado!$C$2:$C$433,"Umidade"))*(SUMIFS(Acerto_Detalhado!$I$2:$I$433,Acerto_Detalhado!$A$2:$A$433,$D4573,Acerto_Detalhado!$B$2:$B$433,"Dez",Acerto_Detalhado!$C$2:$C$433,"Umidade")),2)</f>
        <v>0</v>
      </c>
    </row>
    <row r="4574" customFormat="false" ht="15" hidden="false" customHeight="false" outlineLevel="0" collapsed="false">
      <c r="A4574" s="27" t="s">
        <v>122</v>
      </c>
      <c r="B4574" s="27" t="s">
        <v>110</v>
      </c>
      <c r="C4574" s="27" t="s">
        <v>46</v>
      </c>
      <c r="D4574" s="27" t="s">
        <v>43</v>
      </c>
      <c r="E4574" s="28" t="n">
        <f aca="false">ROUND((SUMIFS(Acerto_Detalhado!$F$2:$F$433,Acerto_Detalhado!$A$2:$A$433,$C4574,Acerto_Detalhado!$B$2:$B$433,"Dez",Acerto_Detalhado!$C$2:$C$433,"Umidade"))*(SUMIFS(Acerto_Detalhado!$I$2:$I$433,Acerto_Detalhado!$A$2:$A$433,$D4574,Acerto_Detalhado!$B$2:$B$433,"Dez",Acerto_Detalhado!$C$2:$C$433,"Umidade")),2)</f>
        <v>0</v>
      </c>
    </row>
    <row r="4575" customFormat="false" ht="15" hidden="false" customHeight="false" outlineLevel="0" collapsed="false">
      <c r="A4575" s="27" t="s">
        <v>122</v>
      </c>
      <c r="B4575" s="27" t="s">
        <v>110</v>
      </c>
      <c r="C4575" s="27" t="s">
        <v>46</v>
      </c>
      <c r="D4575" s="27" t="s">
        <v>44</v>
      </c>
      <c r="E4575" s="28" t="n">
        <f aca="false">ROUND((SUMIFS(Acerto_Detalhado!$F$2:$F$433,Acerto_Detalhado!$A$2:$A$433,$C4575,Acerto_Detalhado!$B$2:$B$433,"Dez",Acerto_Detalhado!$C$2:$C$433,"Umidade"))*(SUMIFS(Acerto_Detalhado!$I$2:$I$433,Acerto_Detalhado!$A$2:$A$433,$D4575,Acerto_Detalhado!$B$2:$B$433,"Dez",Acerto_Detalhado!$C$2:$C$433,"Umidade")),2)</f>
        <v>0</v>
      </c>
    </row>
    <row r="4576" customFormat="false" ht="15" hidden="false" customHeight="false" outlineLevel="0" collapsed="false">
      <c r="A4576" s="27" t="s">
        <v>122</v>
      </c>
      <c r="B4576" s="27" t="s">
        <v>110</v>
      </c>
      <c r="C4576" s="27" t="s">
        <v>46</v>
      </c>
      <c r="D4576" s="27" t="s">
        <v>45</v>
      </c>
      <c r="E4576" s="28" t="n">
        <f aca="false">ROUND((SUMIFS(Acerto_Detalhado!$F$2:$F$433,Acerto_Detalhado!$A$2:$A$433,$C4576,Acerto_Detalhado!$B$2:$B$433,"Dez",Acerto_Detalhado!$C$2:$C$433,"Umidade"))*(SUMIFS(Acerto_Detalhado!$I$2:$I$433,Acerto_Detalhado!$A$2:$A$433,$D4576,Acerto_Detalhado!$B$2:$B$433,"Dez",Acerto_Detalhado!$C$2:$C$433,"Umidade")),2)</f>
        <v>0</v>
      </c>
    </row>
    <row r="4577" customFormat="false" ht="15" hidden="false" customHeight="false" outlineLevel="0" collapsed="false">
      <c r="A4577" s="27" t="s">
        <v>122</v>
      </c>
      <c r="B4577" s="27" t="s">
        <v>110</v>
      </c>
      <c r="C4577" s="27" t="s">
        <v>46</v>
      </c>
      <c r="D4577" s="27" t="s">
        <v>47</v>
      </c>
      <c r="E4577" s="28" t="n">
        <f aca="false">ROUND((SUMIFS(Acerto_Detalhado!$F$2:$F$433,Acerto_Detalhado!$A$2:$A$433,$C4577,Acerto_Detalhado!$B$2:$B$433,"Dez",Acerto_Detalhado!$C$2:$C$433,"Umidade"))*(SUMIFS(Acerto_Detalhado!$I$2:$I$433,Acerto_Detalhado!$A$2:$A$433,$D4577,Acerto_Detalhado!$B$2:$B$433,"Dez",Acerto_Detalhado!$C$2:$C$433,"Umidade")),2)</f>
        <v>0</v>
      </c>
    </row>
    <row r="4578" customFormat="false" ht="15" hidden="false" customHeight="false" outlineLevel="0" collapsed="false">
      <c r="A4578" s="27" t="s">
        <v>122</v>
      </c>
      <c r="B4578" s="27" t="s">
        <v>110</v>
      </c>
      <c r="C4578" s="27" t="s">
        <v>46</v>
      </c>
      <c r="D4578" s="27" t="s">
        <v>48</v>
      </c>
      <c r="E4578" s="28" t="n">
        <f aca="false">ROUND((SUMIFS(Acerto_Detalhado!$F$2:$F$433,Acerto_Detalhado!$A$2:$A$433,$C4578,Acerto_Detalhado!$B$2:$B$433,"Dez",Acerto_Detalhado!$C$2:$C$433,"Umidade"))*(SUMIFS(Acerto_Detalhado!$I$2:$I$433,Acerto_Detalhado!$A$2:$A$433,$D4578,Acerto_Detalhado!$B$2:$B$433,"Dez",Acerto_Detalhado!$C$2:$C$433,"Umidade")),2)</f>
        <v>0</v>
      </c>
    </row>
    <row r="4579" customFormat="false" ht="15" hidden="false" customHeight="false" outlineLevel="0" collapsed="false">
      <c r="A4579" s="27" t="s">
        <v>122</v>
      </c>
      <c r="B4579" s="27" t="s">
        <v>110</v>
      </c>
      <c r="C4579" s="27" t="s">
        <v>46</v>
      </c>
      <c r="D4579" s="27" t="s">
        <v>49</v>
      </c>
      <c r="E4579" s="28" t="n">
        <f aca="false">ROUND((SUMIFS(Acerto_Detalhado!$F$2:$F$433,Acerto_Detalhado!$A$2:$A$433,$C4579,Acerto_Detalhado!$B$2:$B$433,"Dez",Acerto_Detalhado!$C$2:$C$433,"Umidade"))*(SUMIFS(Acerto_Detalhado!$I$2:$I$433,Acerto_Detalhado!$A$2:$A$433,$D4579,Acerto_Detalhado!$B$2:$B$433,"Dez",Acerto_Detalhado!$C$2:$C$433,"Umidade")),2)</f>
        <v>0</v>
      </c>
    </row>
    <row r="4580" customFormat="false" ht="15" hidden="false" customHeight="false" outlineLevel="0" collapsed="false">
      <c r="A4580" s="27" t="s">
        <v>122</v>
      </c>
      <c r="B4580" s="27" t="s">
        <v>110</v>
      </c>
      <c r="C4580" s="27" t="s">
        <v>46</v>
      </c>
      <c r="D4580" s="27" t="s">
        <v>50</v>
      </c>
      <c r="E4580" s="28" t="n">
        <f aca="false">ROUND((SUMIFS(Acerto_Detalhado!$F$2:$F$433,Acerto_Detalhado!$A$2:$A$433,$C4580,Acerto_Detalhado!$B$2:$B$433,"Dez",Acerto_Detalhado!$C$2:$C$433,"Umidade"))*(SUMIFS(Acerto_Detalhado!$I$2:$I$433,Acerto_Detalhado!$A$2:$A$433,$D4580,Acerto_Detalhado!$B$2:$B$433,"Dez",Acerto_Detalhado!$C$2:$C$433,"Umidade")),2)</f>
        <v>0</v>
      </c>
    </row>
    <row r="4581" customFormat="false" ht="15" hidden="false" customHeight="false" outlineLevel="0" collapsed="false">
      <c r="A4581" s="27" t="s">
        <v>122</v>
      </c>
      <c r="B4581" s="27" t="s">
        <v>110</v>
      </c>
      <c r="C4581" s="27" t="s">
        <v>47</v>
      </c>
      <c r="D4581" s="27" t="s">
        <v>39</v>
      </c>
      <c r="E4581" s="28" t="n">
        <f aca="false">ROUND((SUMIFS(Acerto_Detalhado!$F$2:$F$433,Acerto_Detalhado!$A$2:$A$433,$C4581,Acerto_Detalhado!$B$2:$B$433,"Dez",Acerto_Detalhado!$C$2:$C$433,"Umidade"))*(SUMIFS(Acerto_Detalhado!$I$2:$I$433,Acerto_Detalhado!$A$2:$A$433,$D4581,Acerto_Detalhado!$B$2:$B$433,"Dez",Acerto_Detalhado!$C$2:$C$433,"Umidade")),2)</f>
        <v>0</v>
      </c>
    </row>
    <row r="4582" customFormat="false" ht="15" hidden="false" customHeight="false" outlineLevel="0" collapsed="false">
      <c r="A4582" s="27" t="s">
        <v>122</v>
      </c>
      <c r="B4582" s="27" t="s">
        <v>110</v>
      </c>
      <c r="C4582" s="27" t="s">
        <v>47</v>
      </c>
      <c r="D4582" s="27" t="s">
        <v>40</v>
      </c>
      <c r="E4582" s="28" t="n">
        <f aca="false">ROUND((SUMIFS(Acerto_Detalhado!$F$2:$F$433,Acerto_Detalhado!$A$2:$A$433,$C4582,Acerto_Detalhado!$B$2:$B$433,"Dez",Acerto_Detalhado!$C$2:$C$433,"Umidade"))*(SUMIFS(Acerto_Detalhado!$I$2:$I$433,Acerto_Detalhado!$A$2:$A$433,$D4582,Acerto_Detalhado!$B$2:$B$433,"Dez",Acerto_Detalhado!$C$2:$C$433,"Umidade")),2)</f>
        <v>0</v>
      </c>
    </row>
    <row r="4583" customFormat="false" ht="15" hidden="false" customHeight="false" outlineLevel="0" collapsed="false">
      <c r="A4583" s="27" t="s">
        <v>122</v>
      </c>
      <c r="B4583" s="27" t="s">
        <v>110</v>
      </c>
      <c r="C4583" s="27" t="s">
        <v>47</v>
      </c>
      <c r="D4583" s="27" t="s">
        <v>41</v>
      </c>
      <c r="E4583" s="28" t="n">
        <f aca="false">ROUND((SUMIFS(Acerto_Detalhado!$F$2:$F$433,Acerto_Detalhado!$A$2:$A$433,$C4583,Acerto_Detalhado!$B$2:$B$433,"Dez",Acerto_Detalhado!$C$2:$C$433,"Umidade"))*(SUMIFS(Acerto_Detalhado!$I$2:$I$433,Acerto_Detalhado!$A$2:$A$433,$D4583,Acerto_Detalhado!$B$2:$B$433,"Dez",Acerto_Detalhado!$C$2:$C$433,"Umidade")),2)</f>
        <v>0</v>
      </c>
    </row>
    <row r="4584" customFormat="false" ht="15" hidden="false" customHeight="false" outlineLevel="0" collapsed="false">
      <c r="A4584" s="27" t="s">
        <v>122</v>
      </c>
      <c r="B4584" s="27" t="s">
        <v>110</v>
      </c>
      <c r="C4584" s="27" t="s">
        <v>47</v>
      </c>
      <c r="D4584" s="27" t="s">
        <v>42</v>
      </c>
      <c r="E4584" s="28" t="n">
        <f aca="false">ROUND((SUMIFS(Acerto_Detalhado!$F$2:$F$433,Acerto_Detalhado!$A$2:$A$433,$C4584,Acerto_Detalhado!$B$2:$B$433,"Dez",Acerto_Detalhado!$C$2:$C$433,"Umidade"))*(SUMIFS(Acerto_Detalhado!$I$2:$I$433,Acerto_Detalhado!$A$2:$A$433,$D4584,Acerto_Detalhado!$B$2:$B$433,"Dez",Acerto_Detalhado!$C$2:$C$433,"Umidade")),2)</f>
        <v>0</v>
      </c>
    </row>
    <row r="4585" customFormat="false" ht="15" hidden="false" customHeight="false" outlineLevel="0" collapsed="false">
      <c r="A4585" s="27" t="s">
        <v>122</v>
      </c>
      <c r="B4585" s="27" t="s">
        <v>110</v>
      </c>
      <c r="C4585" s="27" t="s">
        <v>47</v>
      </c>
      <c r="D4585" s="27" t="s">
        <v>43</v>
      </c>
      <c r="E4585" s="28" t="n">
        <f aca="false">ROUND((SUMIFS(Acerto_Detalhado!$F$2:$F$433,Acerto_Detalhado!$A$2:$A$433,$C4585,Acerto_Detalhado!$B$2:$B$433,"Dez",Acerto_Detalhado!$C$2:$C$433,"Umidade"))*(SUMIFS(Acerto_Detalhado!$I$2:$I$433,Acerto_Detalhado!$A$2:$A$433,$D4585,Acerto_Detalhado!$B$2:$B$433,"Dez",Acerto_Detalhado!$C$2:$C$433,"Umidade")),2)</f>
        <v>0</v>
      </c>
    </row>
    <row r="4586" customFormat="false" ht="15" hidden="false" customHeight="false" outlineLevel="0" collapsed="false">
      <c r="A4586" s="27" t="s">
        <v>122</v>
      </c>
      <c r="B4586" s="27" t="s">
        <v>110</v>
      </c>
      <c r="C4586" s="27" t="s">
        <v>47</v>
      </c>
      <c r="D4586" s="27" t="s">
        <v>44</v>
      </c>
      <c r="E4586" s="28" t="n">
        <f aca="false">ROUND((SUMIFS(Acerto_Detalhado!$F$2:$F$433,Acerto_Detalhado!$A$2:$A$433,$C4586,Acerto_Detalhado!$B$2:$B$433,"Dez",Acerto_Detalhado!$C$2:$C$433,"Umidade"))*(SUMIFS(Acerto_Detalhado!$I$2:$I$433,Acerto_Detalhado!$A$2:$A$433,$D4586,Acerto_Detalhado!$B$2:$B$433,"Dez",Acerto_Detalhado!$C$2:$C$433,"Umidade")),2)</f>
        <v>0</v>
      </c>
    </row>
    <row r="4587" customFormat="false" ht="15" hidden="false" customHeight="false" outlineLevel="0" collapsed="false">
      <c r="A4587" s="27" t="s">
        <v>122</v>
      </c>
      <c r="B4587" s="27" t="s">
        <v>110</v>
      </c>
      <c r="C4587" s="27" t="s">
        <v>47</v>
      </c>
      <c r="D4587" s="27" t="s">
        <v>45</v>
      </c>
      <c r="E4587" s="28" t="n">
        <f aca="false">ROUND((SUMIFS(Acerto_Detalhado!$F$2:$F$433,Acerto_Detalhado!$A$2:$A$433,$C4587,Acerto_Detalhado!$B$2:$B$433,"Dez",Acerto_Detalhado!$C$2:$C$433,"Umidade"))*(SUMIFS(Acerto_Detalhado!$I$2:$I$433,Acerto_Detalhado!$A$2:$A$433,$D4587,Acerto_Detalhado!$B$2:$B$433,"Dez",Acerto_Detalhado!$C$2:$C$433,"Umidade")),2)</f>
        <v>0</v>
      </c>
    </row>
    <row r="4588" customFormat="false" ht="15" hidden="false" customHeight="false" outlineLevel="0" collapsed="false">
      <c r="A4588" s="27" t="s">
        <v>122</v>
      </c>
      <c r="B4588" s="27" t="s">
        <v>110</v>
      </c>
      <c r="C4588" s="27" t="s">
        <v>47</v>
      </c>
      <c r="D4588" s="27" t="s">
        <v>46</v>
      </c>
      <c r="E4588" s="28" t="n">
        <f aca="false">ROUND((SUMIFS(Acerto_Detalhado!$F$2:$F$433,Acerto_Detalhado!$A$2:$A$433,$C4588,Acerto_Detalhado!$B$2:$B$433,"Dez",Acerto_Detalhado!$C$2:$C$433,"Umidade"))*(SUMIFS(Acerto_Detalhado!$I$2:$I$433,Acerto_Detalhado!$A$2:$A$433,$D4588,Acerto_Detalhado!$B$2:$B$433,"Dez",Acerto_Detalhado!$C$2:$C$433,"Umidade")),2)</f>
        <v>0</v>
      </c>
    </row>
    <row r="4589" customFormat="false" ht="15" hidden="false" customHeight="false" outlineLevel="0" collapsed="false">
      <c r="A4589" s="27" t="s">
        <v>122</v>
      </c>
      <c r="B4589" s="27" t="s">
        <v>110</v>
      </c>
      <c r="C4589" s="27" t="s">
        <v>47</v>
      </c>
      <c r="D4589" s="27" t="s">
        <v>48</v>
      </c>
      <c r="E4589" s="28" t="n">
        <f aca="false">ROUND((SUMIFS(Acerto_Detalhado!$F$2:$F$433,Acerto_Detalhado!$A$2:$A$433,$C4589,Acerto_Detalhado!$B$2:$B$433,"Dez",Acerto_Detalhado!$C$2:$C$433,"Umidade"))*(SUMIFS(Acerto_Detalhado!$I$2:$I$433,Acerto_Detalhado!$A$2:$A$433,$D4589,Acerto_Detalhado!$B$2:$B$433,"Dez",Acerto_Detalhado!$C$2:$C$433,"Umidade")),2)</f>
        <v>0</v>
      </c>
    </row>
    <row r="4590" customFormat="false" ht="15" hidden="false" customHeight="false" outlineLevel="0" collapsed="false">
      <c r="A4590" s="27" t="s">
        <v>122</v>
      </c>
      <c r="B4590" s="27" t="s">
        <v>110</v>
      </c>
      <c r="C4590" s="27" t="s">
        <v>47</v>
      </c>
      <c r="D4590" s="27" t="s">
        <v>49</v>
      </c>
      <c r="E4590" s="28" t="n">
        <f aca="false">ROUND((SUMIFS(Acerto_Detalhado!$F$2:$F$433,Acerto_Detalhado!$A$2:$A$433,$C4590,Acerto_Detalhado!$B$2:$B$433,"Dez",Acerto_Detalhado!$C$2:$C$433,"Umidade"))*(SUMIFS(Acerto_Detalhado!$I$2:$I$433,Acerto_Detalhado!$A$2:$A$433,$D4590,Acerto_Detalhado!$B$2:$B$433,"Dez",Acerto_Detalhado!$C$2:$C$433,"Umidade")),2)</f>
        <v>0</v>
      </c>
    </row>
    <row r="4591" customFormat="false" ht="15" hidden="false" customHeight="false" outlineLevel="0" collapsed="false">
      <c r="A4591" s="27" t="s">
        <v>122</v>
      </c>
      <c r="B4591" s="27" t="s">
        <v>110</v>
      </c>
      <c r="C4591" s="27" t="s">
        <v>47</v>
      </c>
      <c r="D4591" s="27" t="s">
        <v>50</v>
      </c>
      <c r="E4591" s="28" t="n">
        <f aca="false">ROUND((SUMIFS(Acerto_Detalhado!$F$2:$F$433,Acerto_Detalhado!$A$2:$A$433,$C4591,Acerto_Detalhado!$B$2:$B$433,"Dez",Acerto_Detalhado!$C$2:$C$433,"Umidade"))*(SUMIFS(Acerto_Detalhado!$I$2:$I$433,Acerto_Detalhado!$A$2:$A$433,$D4591,Acerto_Detalhado!$B$2:$B$433,"Dez",Acerto_Detalhado!$C$2:$C$433,"Umidade")),2)</f>
        <v>0</v>
      </c>
    </row>
    <row r="4592" customFormat="false" ht="15" hidden="false" customHeight="false" outlineLevel="0" collapsed="false">
      <c r="A4592" s="27" t="s">
        <v>122</v>
      </c>
      <c r="B4592" s="27" t="s">
        <v>110</v>
      </c>
      <c r="C4592" s="27" t="s">
        <v>48</v>
      </c>
      <c r="D4592" s="27" t="s">
        <v>39</v>
      </c>
      <c r="E4592" s="28" t="n">
        <f aca="false">ROUND((SUMIFS(Acerto_Detalhado!$F$2:$F$433,Acerto_Detalhado!$A$2:$A$433,$C4592,Acerto_Detalhado!$B$2:$B$433,"Dez",Acerto_Detalhado!$C$2:$C$433,"Umidade"))*(SUMIFS(Acerto_Detalhado!$I$2:$I$433,Acerto_Detalhado!$A$2:$A$433,$D4592,Acerto_Detalhado!$B$2:$B$433,"Dez",Acerto_Detalhado!$C$2:$C$433,"Umidade")),2)</f>
        <v>0</v>
      </c>
    </row>
    <row r="4593" customFormat="false" ht="15" hidden="false" customHeight="false" outlineLevel="0" collapsed="false">
      <c r="A4593" s="27" t="s">
        <v>122</v>
      </c>
      <c r="B4593" s="27" t="s">
        <v>110</v>
      </c>
      <c r="C4593" s="27" t="s">
        <v>48</v>
      </c>
      <c r="D4593" s="27" t="s">
        <v>40</v>
      </c>
      <c r="E4593" s="28" t="n">
        <f aca="false">ROUND((SUMIFS(Acerto_Detalhado!$F$2:$F$433,Acerto_Detalhado!$A$2:$A$433,$C4593,Acerto_Detalhado!$B$2:$B$433,"Dez",Acerto_Detalhado!$C$2:$C$433,"Umidade"))*(SUMIFS(Acerto_Detalhado!$I$2:$I$433,Acerto_Detalhado!$A$2:$A$433,$D4593,Acerto_Detalhado!$B$2:$B$433,"Dez",Acerto_Detalhado!$C$2:$C$433,"Umidade")),2)</f>
        <v>0</v>
      </c>
    </row>
    <row r="4594" customFormat="false" ht="15" hidden="false" customHeight="false" outlineLevel="0" collapsed="false">
      <c r="A4594" s="27" t="s">
        <v>122</v>
      </c>
      <c r="B4594" s="27" t="s">
        <v>110</v>
      </c>
      <c r="C4594" s="27" t="s">
        <v>48</v>
      </c>
      <c r="D4594" s="27" t="s">
        <v>41</v>
      </c>
      <c r="E4594" s="28" t="n">
        <f aca="false">ROUND((SUMIFS(Acerto_Detalhado!$F$2:$F$433,Acerto_Detalhado!$A$2:$A$433,$C4594,Acerto_Detalhado!$B$2:$B$433,"Dez",Acerto_Detalhado!$C$2:$C$433,"Umidade"))*(SUMIFS(Acerto_Detalhado!$I$2:$I$433,Acerto_Detalhado!$A$2:$A$433,$D4594,Acerto_Detalhado!$B$2:$B$433,"Dez",Acerto_Detalhado!$C$2:$C$433,"Umidade")),2)</f>
        <v>0</v>
      </c>
    </row>
    <row r="4595" customFormat="false" ht="15" hidden="false" customHeight="false" outlineLevel="0" collapsed="false">
      <c r="A4595" s="27" t="s">
        <v>122</v>
      </c>
      <c r="B4595" s="27" t="s">
        <v>110</v>
      </c>
      <c r="C4595" s="27" t="s">
        <v>48</v>
      </c>
      <c r="D4595" s="27" t="s">
        <v>42</v>
      </c>
      <c r="E4595" s="28" t="n">
        <f aca="false">ROUND((SUMIFS(Acerto_Detalhado!$F$2:$F$433,Acerto_Detalhado!$A$2:$A$433,$C4595,Acerto_Detalhado!$B$2:$B$433,"Dez",Acerto_Detalhado!$C$2:$C$433,"Umidade"))*(SUMIFS(Acerto_Detalhado!$I$2:$I$433,Acerto_Detalhado!$A$2:$A$433,$D4595,Acerto_Detalhado!$B$2:$B$433,"Dez",Acerto_Detalhado!$C$2:$C$433,"Umidade")),2)</f>
        <v>0</v>
      </c>
    </row>
    <row r="4596" customFormat="false" ht="15" hidden="false" customHeight="false" outlineLevel="0" collapsed="false">
      <c r="A4596" s="27" t="s">
        <v>122</v>
      </c>
      <c r="B4596" s="27" t="s">
        <v>110</v>
      </c>
      <c r="C4596" s="27" t="s">
        <v>48</v>
      </c>
      <c r="D4596" s="27" t="s">
        <v>43</v>
      </c>
      <c r="E4596" s="28" t="n">
        <f aca="false">ROUND((SUMIFS(Acerto_Detalhado!$F$2:$F$433,Acerto_Detalhado!$A$2:$A$433,$C4596,Acerto_Detalhado!$B$2:$B$433,"Dez",Acerto_Detalhado!$C$2:$C$433,"Umidade"))*(SUMIFS(Acerto_Detalhado!$I$2:$I$433,Acerto_Detalhado!$A$2:$A$433,$D4596,Acerto_Detalhado!$B$2:$B$433,"Dez",Acerto_Detalhado!$C$2:$C$433,"Umidade")),2)</f>
        <v>0</v>
      </c>
    </row>
    <row r="4597" customFormat="false" ht="15" hidden="false" customHeight="false" outlineLevel="0" collapsed="false">
      <c r="A4597" s="27" t="s">
        <v>122</v>
      </c>
      <c r="B4597" s="27" t="s">
        <v>110</v>
      </c>
      <c r="C4597" s="27" t="s">
        <v>48</v>
      </c>
      <c r="D4597" s="27" t="s">
        <v>44</v>
      </c>
      <c r="E4597" s="28" t="n">
        <f aca="false">ROUND((SUMIFS(Acerto_Detalhado!$F$2:$F$433,Acerto_Detalhado!$A$2:$A$433,$C4597,Acerto_Detalhado!$B$2:$B$433,"Dez",Acerto_Detalhado!$C$2:$C$433,"Umidade"))*(SUMIFS(Acerto_Detalhado!$I$2:$I$433,Acerto_Detalhado!$A$2:$A$433,$D4597,Acerto_Detalhado!$B$2:$B$433,"Dez",Acerto_Detalhado!$C$2:$C$433,"Umidade")),2)</f>
        <v>0</v>
      </c>
    </row>
    <row r="4598" customFormat="false" ht="15" hidden="false" customHeight="false" outlineLevel="0" collapsed="false">
      <c r="A4598" s="27" t="s">
        <v>122</v>
      </c>
      <c r="B4598" s="27" t="s">
        <v>110</v>
      </c>
      <c r="C4598" s="27" t="s">
        <v>48</v>
      </c>
      <c r="D4598" s="27" t="s">
        <v>45</v>
      </c>
      <c r="E4598" s="28" t="n">
        <f aca="false">ROUND((SUMIFS(Acerto_Detalhado!$F$2:$F$433,Acerto_Detalhado!$A$2:$A$433,$C4598,Acerto_Detalhado!$B$2:$B$433,"Dez",Acerto_Detalhado!$C$2:$C$433,"Umidade"))*(SUMIFS(Acerto_Detalhado!$I$2:$I$433,Acerto_Detalhado!$A$2:$A$433,$D4598,Acerto_Detalhado!$B$2:$B$433,"Dez",Acerto_Detalhado!$C$2:$C$433,"Umidade")),2)</f>
        <v>0</v>
      </c>
    </row>
    <row r="4599" customFormat="false" ht="15" hidden="false" customHeight="false" outlineLevel="0" collapsed="false">
      <c r="A4599" s="27" t="s">
        <v>122</v>
      </c>
      <c r="B4599" s="27" t="s">
        <v>110</v>
      </c>
      <c r="C4599" s="27" t="s">
        <v>48</v>
      </c>
      <c r="D4599" s="27" t="s">
        <v>46</v>
      </c>
      <c r="E4599" s="28" t="n">
        <f aca="false">ROUND((SUMIFS(Acerto_Detalhado!$F$2:$F$433,Acerto_Detalhado!$A$2:$A$433,$C4599,Acerto_Detalhado!$B$2:$B$433,"Dez",Acerto_Detalhado!$C$2:$C$433,"Umidade"))*(SUMIFS(Acerto_Detalhado!$I$2:$I$433,Acerto_Detalhado!$A$2:$A$433,$D4599,Acerto_Detalhado!$B$2:$B$433,"Dez",Acerto_Detalhado!$C$2:$C$433,"Umidade")),2)</f>
        <v>0</v>
      </c>
    </row>
    <row r="4600" customFormat="false" ht="15" hidden="false" customHeight="false" outlineLevel="0" collapsed="false">
      <c r="A4600" s="27" t="s">
        <v>122</v>
      </c>
      <c r="B4600" s="27" t="s">
        <v>110</v>
      </c>
      <c r="C4600" s="27" t="s">
        <v>48</v>
      </c>
      <c r="D4600" s="27" t="s">
        <v>47</v>
      </c>
      <c r="E4600" s="28" t="n">
        <f aca="false">ROUND((SUMIFS(Acerto_Detalhado!$F$2:$F$433,Acerto_Detalhado!$A$2:$A$433,$C4600,Acerto_Detalhado!$B$2:$B$433,"Dez",Acerto_Detalhado!$C$2:$C$433,"Umidade"))*(SUMIFS(Acerto_Detalhado!$I$2:$I$433,Acerto_Detalhado!$A$2:$A$433,$D4600,Acerto_Detalhado!$B$2:$B$433,"Dez",Acerto_Detalhado!$C$2:$C$433,"Umidade")),2)</f>
        <v>0</v>
      </c>
    </row>
    <row r="4601" customFormat="false" ht="15" hidden="false" customHeight="false" outlineLevel="0" collapsed="false">
      <c r="A4601" s="27" t="s">
        <v>122</v>
      </c>
      <c r="B4601" s="27" t="s">
        <v>110</v>
      </c>
      <c r="C4601" s="27" t="s">
        <v>48</v>
      </c>
      <c r="D4601" s="27" t="s">
        <v>49</v>
      </c>
      <c r="E4601" s="28" t="n">
        <f aca="false">ROUND((SUMIFS(Acerto_Detalhado!$F$2:$F$433,Acerto_Detalhado!$A$2:$A$433,$C4601,Acerto_Detalhado!$B$2:$B$433,"Dez",Acerto_Detalhado!$C$2:$C$433,"Umidade"))*(SUMIFS(Acerto_Detalhado!$I$2:$I$433,Acerto_Detalhado!$A$2:$A$433,$D4601,Acerto_Detalhado!$B$2:$B$433,"Dez",Acerto_Detalhado!$C$2:$C$433,"Umidade")),2)</f>
        <v>0</v>
      </c>
    </row>
    <row r="4602" customFormat="false" ht="15" hidden="false" customHeight="false" outlineLevel="0" collapsed="false">
      <c r="A4602" s="27" t="s">
        <v>122</v>
      </c>
      <c r="B4602" s="27" t="s">
        <v>110</v>
      </c>
      <c r="C4602" s="27" t="s">
        <v>48</v>
      </c>
      <c r="D4602" s="27" t="s">
        <v>50</v>
      </c>
      <c r="E4602" s="28" t="n">
        <f aca="false">ROUND((SUMIFS(Acerto_Detalhado!$F$2:$F$433,Acerto_Detalhado!$A$2:$A$433,$C4602,Acerto_Detalhado!$B$2:$B$433,"Dez",Acerto_Detalhado!$C$2:$C$433,"Umidade"))*(SUMIFS(Acerto_Detalhado!$I$2:$I$433,Acerto_Detalhado!$A$2:$A$433,$D4602,Acerto_Detalhado!$B$2:$B$433,"Dez",Acerto_Detalhado!$C$2:$C$433,"Umidade")),2)</f>
        <v>0</v>
      </c>
    </row>
    <row r="4603" customFormat="false" ht="15" hidden="false" customHeight="false" outlineLevel="0" collapsed="false">
      <c r="A4603" s="27" t="s">
        <v>122</v>
      </c>
      <c r="B4603" s="27" t="s">
        <v>110</v>
      </c>
      <c r="C4603" s="27" t="s">
        <v>49</v>
      </c>
      <c r="D4603" s="27" t="s">
        <v>39</v>
      </c>
      <c r="E4603" s="28" t="n">
        <f aca="false">ROUND((SUMIFS(Acerto_Detalhado!$F$2:$F$433,Acerto_Detalhado!$A$2:$A$433,$C4603,Acerto_Detalhado!$B$2:$B$433,"Dez",Acerto_Detalhado!$C$2:$C$433,"Umidade"))*(SUMIFS(Acerto_Detalhado!$I$2:$I$433,Acerto_Detalhado!$A$2:$A$433,$D4603,Acerto_Detalhado!$B$2:$B$433,"Dez",Acerto_Detalhado!$C$2:$C$433,"Umidade")),2)</f>
        <v>0</v>
      </c>
    </row>
    <row r="4604" customFormat="false" ht="15" hidden="false" customHeight="false" outlineLevel="0" collapsed="false">
      <c r="A4604" s="27" t="s">
        <v>122</v>
      </c>
      <c r="B4604" s="27" t="s">
        <v>110</v>
      </c>
      <c r="C4604" s="27" t="s">
        <v>49</v>
      </c>
      <c r="D4604" s="27" t="s">
        <v>40</v>
      </c>
      <c r="E4604" s="28" t="n">
        <f aca="false">ROUND((SUMIFS(Acerto_Detalhado!$F$2:$F$433,Acerto_Detalhado!$A$2:$A$433,$C4604,Acerto_Detalhado!$B$2:$B$433,"Dez",Acerto_Detalhado!$C$2:$C$433,"Umidade"))*(SUMIFS(Acerto_Detalhado!$I$2:$I$433,Acerto_Detalhado!$A$2:$A$433,$D4604,Acerto_Detalhado!$B$2:$B$433,"Dez",Acerto_Detalhado!$C$2:$C$433,"Umidade")),2)</f>
        <v>0</v>
      </c>
    </row>
    <row r="4605" customFormat="false" ht="15" hidden="false" customHeight="false" outlineLevel="0" collapsed="false">
      <c r="A4605" s="27" t="s">
        <v>122</v>
      </c>
      <c r="B4605" s="27" t="s">
        <v>110</v>
      </c>
      <c r="C4605" s="27" t="s">
        <v>49</v>
      </c>
      <c r="D4605" s="27" t="s">
        <v>41</v>
      </c>
      <c r="E4605" s="28" t="n">
        <f aca="false">ROUND((SUMIFS(Acerto_Detalhado!$F$2:$F$433,Acerto_Detalhado!$A$2:$A$433,$C4605,Acerto_Detalhado!$B$2:$B$433,"Dez",Acerto_Detalhado!$C$2:$C$433,"Umidade"))*(SUMIFS(Acerto_Detalhado!$I$2:$I$433,Acerto_Detalhado!$A$2:$A$433,$D4605,Acerto_Detalhado!$B$2:$B$433,"Dez",Acerto_Detalhado!$C$2:$C$433,"Umidade")),2)</f>
        <v>0</v>
      </c>
    </row>
    <row r="4606" customFormat="false" ht="15" hidden="false" customHeight="false" outlineLevel="0" collapsed="false">
      <c r="A4606" s="27" t="s">
        <v>122</v>
      </c>
      <c r="B4606" s="27" t="s">
        <v>110</v>
      </c>
      <c r="C4606" s="27" t="s">
        <v>49</v>
      </c>
      <c r="D4606" s="27" t="s">
        <v>42</v>
      </c>
      <c r="E4606" s="28" t="n">
        <f aca="false">ROUND((SUMIFS(Acerto_Detalhado!$F$2:$F$433,Acerto_Detalhado!$A$2:$A$433,$C4606,Acerto_Detalhado!$B$2:$B$433,"Dez",Acerto_Detalhado!$C$2:$C$433,"Umidade"))*(SUMIFS(Acerto_Detalhado!$I$2:$I$433,Acerto_Detalhado!$A$2:$A$433,$D4606,Acerto_Detalhado!$B$2:$B$433,"Dez",Acerto_Detalhado!$C$2:$C$433,"Umidade")),2)</f>
        <v>0</v>
      </c>
    </row>
    <row r="4607" customFormat="false" ht="15" hidden="false" customHeight="false" outlineLevel="0" collapsed="false">
      <c r="A4607" s="27" t="s">
        <v>122</v>
      </c>
      <c r="B4607" s="27" t="s">
        <v>110</v>
      </c>
      <c r="C4607" s="27" t="s">
        <v>49</v>
      </c>
      <c r="D4607" s="27" t="s">
        <v>43</v>
      </c>
      <c r="E4607" s="28" t="n">
        <f aca="false">ROUND((SUMIFS(Acerto_Detalhado!$F$2:$F$433,Acerto_Detalhado!$A$2:$A$433,$C4607,Acerto_Detalhado!$B$2:$B$433,"Dez",Acerto_Detalhado!$C$2:$C$433,"Umidade"))*(SUMIFS(Acerto_Detalhado!$I$2:$I$433,Acerto_Detalhado!$A$2:$A$433,$D4607,Acerto_Detalhado!$B$2:$B$433,"Dez",Acerto_Detalhado!$C$2:$C$433,"Umidade")),2)</f>
        <v>0</v>
      </c>
    </row>
    <row r="4608" customFormat="false" ht="15" hidden="false" customHeight="false" outlineLevel="0" collapsed="false">
      <c r="A4608" s="27" t="s">
        <v>122</v>
      </c>
      <c r="B4608" s="27" t="s">
        <v>110</v>
      </c>
      <c r="C4608" s="27" t="s">
        <v>49</v>
      </c>
      <c r="D4608" s="27" t="s">
        <v>44</v>
      </c>
      <c r="E4608" s="28" t="n">
        <f aca="false">ROUND((SUMIFS(Acerto_Detalhado!$F$2:$F$433,Acerto_Detalhado!$A$2:$A$433,$C4608,Acerto_Detalhado!$B$2:$B$433,"Dez",Acerto_Detalhado!$C$2:$C$433,"Umidade"))*(SUMIFS(Acerto_Detalhado!$I$2:$I$433,Acerto_Detalhado!$A$2:$A$433,$D4608,Acerto_Detalhado!$B$2:$B$433,"Dez",Acerto_Detalhado!$C$2:$C$433,"Umidade")),2)</f>
        <v>0</v>
      </c>
    </row>
    <row r="4609" customFormat="false" ht="15" hidden="false" customHeight="false" outlineLevel="0" collapsed="false">
      <c r="A4609" s="27" t="s">
        <v>122</v>
      </c>
      <c r="B4609" s="27" t="s">
        <v>110</v>
      </c>
      <c r="C4609" s="27" t="s">
        <v>49</v>
      </c>
      <c r="D4609" s="27" t="s">
        <v>45</v>
      </c>
      <c r="E4609" s="28" t="n">
        <f aca="false">ROUND((SUMIFS(Acerto_Detalhado!$F$2:$F$433,Acerto_Detalhado!$A$2:$A$433,$C4609,Acerto_Detalhado!$B$2:$B$433,"Dez",Acerto_Detalhado!$C$2:$C$433,"Umidade"))*(SUMIFS(Acerto_Detalhado!$I$2:$I$433,Acerto_Detalhado!$A$2:$A$433,$D4609,Acerto_Detalhado!$B$2:$B$433,"Dez",Acerto_Detalhado!$C$2:$C$433,"Umidade")),2)</f>
        <v>0</v>
      </c>
    </row>
    <row r="4610" customFormat="false" ht="15" hidden="false" customHeight="false" outlineLevel="0" collapsed="false">
      <c r="A4610" s="27" t="s">
        <v>122</v>
      </c>
      <c r="B4610" s="27" t="s">
        <v>110</v>
      </c>
      <c r="C4610" s="27" t="s">
        <v>49</v>
      </c>
      <c r="D4610" s="27" t="s">
        <v>46</v>
      </c>
      <c r="E4610" s="28" t="n">
        <f aca="false">ROUND((SUMIFS(Acerto_Detalhado!$F$2:$F$433,Acerto_Detalhado!$A$2:$A$433,$C4610,Acerto_Detalhado!$B$2:$B$433,"Dez",Acerto_Detalhado!$C$2:$C$433,"Umidade"))*(SUMIFS(Acerto_Detalhado!$I$2:$I$433,Acerto_Detalhado!$A$2:$A$433,$D4610,Acerto_Detalhado!$B$2:$B$433,"Dez",Acerto_Detalhado!$C$2:$C$433,"Umidade")),2)</f>
        <v>0</v>
      </c>
    </row>
    <row r="4611" customFormat="false" ht="15" hidden="false" customHeight="false" outlineLevel="0" collapsed="false">
      <c r="A4611" s="27" t="s">
        <v>122</v>
      </c>
      <c r="B4611" s="27" t="s">
        <v>110</v>
      </c>
      <c r="C4611" s="27" t="s">
        <v>49</v>
      </c>
      <c r="D4611" s="27" t="s">
        <v>47</v>
      </c>
      <c r="E4611" s="28" t="n">
        <f aca="false">ROUND((SUMIFS(Acerto_Detalhado!$F$2:$F$433,Acerto_Detalhado!$A$2:$A$433,$C4611,Acerto_Detalhado!$B$2:$B$433,"Dez",Acerto_Detalhado!$C$2:$C$433,"Umidade"))*(SUMIFS(Acerto_Detalhado!$I$2:$I$433,Acerto_Detalhado!$A$2:$A$433,$D4611,Acerto_Detalhado!$B$2:$B$433,"Dez",Acerto_Detalhado!$C$2:$C$433,"Umidade")),2)</f>
        <v>0</v>
      </c>
    </row>
    <row r="4612" customFormat="false" ht="15" hidden="false" customHeight="false" outlineLevel="0" collapsed="false">
      <c r="A4612" s="27" t="s">
        <v>122</v>
      </c>
      <c r="B4612" s="27" t="s">
        <v>110</v>
      </c>
      <c r="C4612" s="27" t="s">
        <v>49</v>
      </c>
      <c r="D4612" s="27" t="s">
        <v>48</v>
      </c>
      <c r="E4612" s="28" t="n">
        <f aca="false">ROUND((SUMIFS(Acerto_Detalhado!$F$2:$F$433,Acerto_Detalhado!$A$2:$A$433,$C4612,Acerto_Detalhado!$B$2:$B$433,"Dez",Acerto_Detalhado!$C$2:$C$433,"Umidade"))*(SUMIFS(Acerto_Detalhado!$I$2:$I$433,Acerto_Detalhado!$A$2:$A$433,$D4612,Acerto_Detalhado!$B$2:$B$433,"Dez",Acerto_Detalhado!$C$2:$C$433,"Umidade")),2)</f>
        <v>0</v>
      </c>
    </row>
    <row r="4613" customFormat="false" ht="15" hidden="false" customHeight="false" outlineLevel="0" collapsed="false">
      <c r="A4613" s="27" t="s">
        <v>122</v>
      </c>
      <c r="B4613" s="27" t="s">
        <v>110</v>
      </c>
      <c r="C4613" s="27" t="s">
        <v>49</v>
      </c>
      <c r="D4613" s="27" t="s">
        <v>50</v>
      </c>
      <c r="E4613" s="28" t="n">
        <f aca="false">ROUND((SUMIFS(Acerto_Detalhado!$F$2:$F$433,Acerto_Detalhado!$A$2:$A$433,$C4613,Acerto_Detalhado!$B$2:$B$433,"Dez",Acerto_Detalhado!$C$2:$C$433,"Umidade"))*(SUMIFS(Acerto_Detalhado!$I$2:$I$433,Acerto_Detalhado!$A$2:$A$433,$D4613,Acerto_Detalhado!$B$2:$B$433,"Dez",Acerto_Detalhado!$C$2:$C$433,"Umidade")),2)</f>
        <v>0</v>
      </c>
    </row>
    <row r="4614" customFormat="false" ht="15" hidden="false" customHeight="false" outlineLevel="0" collapsed="false">
      <c r="A4614" s="27" t="s">
        <v>122</v>
      </c>
      <c r="B4614" s="27" t="s">
        <v>110</v>
      </c>
      <c r="C4614" s="27" t="s">
        <v>50</v>
      </c>
      <c r="D4614" s="27" t="s">
        <v>39</v>
      </c>
      <c r="E4614" s="28" t="n">
        <f aca="false">ROUND((SUMIFS(Acerto_Detalhado!$F$2:$F$433,Acerto_Detalhado!$A$2:$A$433,$C4614,Acerto_Detalhado!$B$2:$B$433,"Dez",Acerto_Detalhado!$C$2:$C$433,"Umidade"))*(SUMIFS(Acerto_Detalhado!$I$2:$I$433,Acerto_Detalhado!$A$2:$A$433,$D4614,Acerto_Detalhado!$B$2:$B$433,"Dez",Acerto_Detalhado!$C$2:$C$433,"Umidade")),2)</f>
        <v>0</v>
      </c>
    </row>
    <row r="4615" customFormat="false" ht="15" hidden="false" customHeight="false" outlineLevel="0" collapsed="false">
      <c r="A4615" s="27" t="s">
        <v>122</v>
      </c>
      <c r="B4615" s="27" t="s">
        <v>110</v>
      </c>
      <c r="C4615" s="27" t="s">
        <v>50</v>
      </c>
      <c r="D4615" s="27" t="s">
        <v>40</v>
      </c>
      <c r="E4615" s="28" t="n">
        <f aca="false">ROUND((SUMIFS(Acerto_Detalhado!$F$2:$F$433,Acerto_Detalhado!$A$2:$A$433,$C4615,Acerto_Detalhado!$B$2:$B$433,"Dez",Acerto_Detalhado!$C$2:$C$433,"Umidade"))*(SUMIFS(Acerto_Detalhado!$I$2:$I$433,Acerto_Detalhado!$A$2:$A$433,$D4615,Acerto_Detalhado!$B$2:$B$433,"Dez",Acerto_Detalhado!$C$2:$C$433,"Umidade")),2)</f>
        <v>0</v>
      </c>
    </row>
    <row r="4616" customFormat="false" ht="15" hidden="false" customHeight="false" outlineLevel="0" collapsed="false">
      <c r="A4616" s="27" t="s">
        <v>122</v>
      </c>
      <c r="B4616" s="27" t="s">
        <v>110</v>
      </c>
      <c r="C4616" s="27" t="s">
        <v>50</v>
      </c>
      <c r="D4616" s="27" t="s">
        <v>41</v>
      </c>
      <c r="E4616" s="28" t="n">
        <f aca="false">ROUND((SUMIFS(Acerto_Detalhado!$F$2:$F$433,Acerto_Detalhado!$A$2:$A$433,$C4616,Acerto_Detalhado!$B$2:$B$433,"Dez",Acerto_Detalhado!$C$2:$C$433,"Umidade"))*(SUMIFS(Acerto_Detalhado!$I$2:$I$433,Acerto_Detalhado!$A$2:$A$433,$D4616,Acerto_Detalhado!$B$2:$B$433,"Dez",Acerto_Detalhado!$C$2:$C$433,"Umidade")),2)</f>
        <v>0</v>
      </c>
    </row>
    <row r="4617" customFormat="false" ht="15" hidden="false" customHeight="false" outlineLevel="0" collapsed="false">
      <c r="A4617" s="27" t="s">
        <v>122</v>
      </c>
      <c r="B4617" s="27" t="s">
        <v>110</v>
      </c>
      <c r="C4617" s="27" t="s">
        <v>50</v>
      </c>
      <c r="D4617" s="27" t="s">
        <v>42</v>
      </c>
      <c r="E4617" s="28" t="n">
        <f aca="false">ROUND((SUMIFS(Acerto_Detalhado!$F$2:$F$433,Acerto_Detalhado!$A$2:$A$433,$C4617,Acerto_Detalhado!$B$2:$B$433,"Dez",Acerto_Detalhado!$C$2:$C$433,"Umidade"))*(SUMIFS(Acerto_Detalhado!$I$2:$I$433,Acerto_Detalhado!$A$2:$A$433,$D4617,Acerto_Detalhado!$B$2:$B$433,"Dez",Acerto_Detalhado!$C$2:$C$433,"Umidade")),2)</f>
        <v>0</v>
      </c>
    </row>
    <row r="4618" customFormat="false" ht="15" hidden="false" customHeight="false" outlineLevel="0" collapsed="false">
      <c r="A4618" s="27" t="s">
        <v>122</v>
      </c>
      <c r="B4618" s="27" t="s">
        <v>110</v>
      </c>
      <c r="C4618" s="27" t="s">
        <v>50</v>
      </c>
      <c r="D4618" s="27" t="s">
        <v>43</v>
      </c>
      <c r="E4618" s="28" t="n">
        <f aca="false">ROUND((SUMIFS(Acerto_Detalhado!$F$2:$F$433,Acerto_Detalhado!$A$2:$A$433,$C4618,Acerto_Detalhado!$B$2:$B$433,"Dez",Acerto_Detalhado!$C$2:$C$433,"Umidade"))*(SUMIFS(Acerto_Detalhado!$I$2:$I$433,Acerto_Detalhado!$A$2:$A$433,$D4618,Acerto_Detalhado!$B$2:$B$433,"Dez",Acerto_Detalhado!$C$2:$C$433,"Umidade")),2)</f>
        <v>0</v>
      </c>
    </row>
    <row r="4619" customFormat="false" ht="15" hidden="false" customHeight="false" outlineLevel="0" collapsed="false">
      <c r="A4619" s="27" t="s">
        <v>122</v>
      </c>
      <c r="B4619" s="27" t="s">
        <v>110</v>
      </c>
      <c r="C4619" s="27" t="s">
        <v>50</v>
      </c>
      <c r="D4619" s="27" t="s">
        <v>44</v>
      </c>
      <c r="E4619" s="28" t="n">
        <f aca="false">ROUND((SUMIFS(Acerto_Detalhado!$F$2:$F$433,Acerto_Detalhado!$A$2:$A$433,$C4619,Acerto_Detalhado!$B$2:$B$433,"Dez",Acerto_Detalhado!$C$2:$C$433,"Umidade"))*(SUMIFS(Acerto_Detalhado!$I$2:$I$433,Acerto_Detalhado!$A$2:$A$433,$D4619,Acerto_Detalhado!$B$2:$B$433,"Dez",Acerto_Detalhado!$C$2:$C$433,"Umidade")),2)</f>
        <v>0</v>
      </c>
    </row>
    <row r="4620" customFormat="false" ht="15" hidden="false" customHeight="false" outlineLevel="0" collapsed="false">
      <c r="A4620" s="27" t="s">
        <v>122</v>
      </c>
      <c r="B4620" s="27" t="s">
        <v>110</v>
      </c>
      <c r="C4620" s="27" t="s">
        <v>50</v>
      </c>
      <c r="D4620" s="27" t="s">
        <v>45</v>
      </c>
      <c r="E4620" s="28" t="n">
        <f aca="false">ROUND((SUMIFS(Acerto_Detalhado!$F$2:$F$433,Acerto_Detalhado!$A$2:$A$433,$C4620,Acerto_Detalhado!$B$2:$B$433,"Dez",Acerto_Detalhado!$C$2:$C$433,"Umidade"))*(SUMIFS(Acerto_Detalhado!$I$2:$I$433,Acerto_Detalhado!$A$2:$A$433,$D4620,Acerto_Detalhado!$B$2:$B$433,"Dez",Acerto_Detalhado!$C$2:$C$433,"Umidade")),2)</f>
        <v>0</v>
      </c>
    </row>
    <row r="4621" customFormat="false" ht="15" hidden="false" customHeight="false" outlineLevel="0" collapsed="false">
      <c r="A4621" s="27" t="s">
        <v>122</v>
      </c>
      <c r="B4621" s="27" t="s">
        <v>110</v>
      </c>
      <c r="C4621" s="27" t="s">
        <v>50</v>
      </c>
      <c r="D4621" s="27" t="s">
        <v>46</v>
      </c>
      <c r="E4621" s="28" t="n">
        <f aca="false">ROUND((SUMIFS(Acerto_Detalhado!$F$2:$F$433,Acerto_Detalhado!$A$2:$A$433,$C4621,Acerto_Detalhado!$B$2:$B$433,"Dez",Acerto_Detalhado!$C$2:$C$433,"Umidade"))*(SUMIFS(Acerto_Detalhado!$I$2:$I$433,Acerto_Detalhado!$A$2:$A$433,$D4621,Acerto_Detalhado!$B$2:$B$433,"Dez",Acerto_Detalhado!$C$2:$C$433,"Umidade")),2)</f>
        <v>0</v>
      </c>
    </row>
    <row r="4622" customFormat="false" ht="15" hidden="false" customHeight="false" outlineLevel="0" collapsed="false">
      <c r="A4622" s="27" t="s">
        <v>122</v>
      </c>
      <c r="B4622" s="27" t="s">
        <v>110</v>
      </c>
      <c r="C4622" s="27" t="s">
        <v>50</v>
      </c>
      <c r="D4622" s="27" t="s">
        <v>47</v>
      </c>
      <c r="E4622" s="28" t="n">
        <f aca="false">ROUND((SUMIFS(Acerto_Detalhado!$F$2:$F$433,Acerto_Detalhado!$A$2:$A$433,$C4622,Acerto_Detalhado!$B$2:$B$433,"Dez",Acerto_Detalhado!$C$2:$C$433,"Umidade"))*(SUMIFS(Acerto_Detalhado!$I$2:$I$433,Acerto_Detalhado!$A$2:$A$433,$D4622,Acerto_Detalhado!$B$2:$B$433,"Dez",Acerto_Detalhado!$C$2:$C$433,"Umidade")),2)</f>
        <v>0</v>
      </c>
    </row>
    <row r="4623" customFormat="false" ht="15" hidden="false" customHeight="false" outlineLevel="0" collapsed="false">
      <c r="A4623" s="27" t="s">
        <v>122</v>
      </c>
      <c r="B4623" s="27" t="s">
        <v>110</v>
      </c>
      <c r="C4623" s="27" t="s">
        <v>50</v>
      </c>
      <c r="D4623" s="27" t="s">
        <v>48</v>
      </c>
      <c r="E4623" s="28" t="n">
        <f aca="false">ROUND((SUMIFS(Acerto_Detalhado!$F$2:$F$433,Acerto_Detalhado!$A$2:$A$433,$C4623,Acerto_Detalhado!$B$2:$B$433,"Dez",Acerto_Detalhado!$C$2:$C$433,"Umidade"))*(SUMIFS(Acerto_Detalhado!$I$2:$I$433,Acerto_Detalhado!$A$2:$A$433,$D4623,Acerto_Detalhado!$B$2:$B$433,"Dez",Acerto_Detalhado!$C$2:$C$433,"Umidade")),2)</f>
        <v>0</v>
      </c>
    </row>
    <row r="4624" customFormat="false" ht="15" hidden="false" customHeight="false" outlineLevel="0" collapsed="false">
      <c r="A4624" s="27" t="s">
        <v>122</v>
      </c>
      <c r="B4624" s="27" t="s">
        <v>110</v>
      </c>
      <c r="C4624" s="27" t="s">
        <v>50</v>
      </c>
      <c r="D4624" s="27" t="s">
        <v>49</v>
      </c>
      <c r="E4624" s="28" t="n">
        <f aca="false">ROUND((SUMIFS(Acerto_Detalhado!$F$2:$F$433,Acerto_Detalhado!$A$2:$A$433,$C4624,Acerto_Detalhado!$B$2:$B$433,"Dez",Acerto_Detalhado!$C$2:$C$433,"Umidade"))*(SUMIFS(Acerto_Detalhado!$I$2:$I$433,Acerto_Detalhado!$A$2:$A$433,$D4624,Acerto_Detalhado!$B$2:$B$433,"Dez",Acerto_Detalhado!$C$2:$C$433,"Umidade")),2)</f>
        <v>0</v>
      </c>
    </row>
    <row r="4625" customFormat="false" ht="15" hidden="false" customHeight="false" outlineLevel="0" collapsed="false">
      <c r="A4625" s="27" t="s">
        <v>122</v>
      </c>
      <c r="B4625" s="27" t="s">
        <v>111</v>
      </c>
      <c r="C4625" s="27" t="s">
        <v>39</v>
      </c>
      <c r="D4625" s="27" t="s">
        <v>40</v>
      </c>
      <c r="E4625" s="28" t="n">
        <f aca="false">ROUND((SUMIFS(Acerto_Detalhado!$F$2:$F$433,Acerto_Detalhado!$A$2:$A$433,$C4625,Acerto_Detalhado!$B$2:$B$433,"Dez",Acerto_Detalhado!$C$2:$C$433,"Fibra"))*(SUMIFS(Acerto_Detalhado!$I$2:$I$433,Acerto_Detalhado!$A$2:$A$433,$D4625,Acerto_Detalhado!$B$2:$B$433,"Dez",Acerto_Detalhado!$C$2:$C$433,"Fibra")),2)</f>
        <v>0</v>
      </c>
    </row>
    <row r="4626" customFormat="false" ht="15" hidden="false" customHeight="false" outlineLevel="0" collapsed="false">
      <c r="A4626" s="27" t="s">
        <v>122</v>
      </c>
      <c r="B4626" s="27" t="s">
        <v>111</v>
      </c>
      <c r="C4626" s="27" t="s">
        <v>39</v>
      </c>
      <c r="D4626" s="27" t="s">
        <v>41</v>
      </c>
      <c r="E4626" s="28" t="n">
        <f aca="false">ROUND((SUMIFS(Acerto_Detalhado!$F$2:$F$433,Acerto_Detalhado!$A$2:$A$433,$C4626,Acerto_Detalhado!$B$2:$B$433,"Dez",Acerto_Detalhado!$C$2:$C$433,"Fibra"))*(SUMIFS(Acerto_Detalhado!$I$2:$I$433,Acerto_Detalhado!$A$2:$A$433,$D4626,Acerto_Detalhado!$B$2:$B$433,"Dez",Acerto_Detalhado!$C$2:$C$433,"Fibra")),2)</f>
        <v>0</v>
      </c>
    </row>
    <row r="4627" customFormat="false" ht="15" hidden="false" customHeight="false" outlineLevel="0" collapsed="false">
      <c r="A4627" s="27" t="s">
        <v>122</v>
      </c>
      <c r="B4627" s="27" t="s">
        <v>111</v>
      </c>
      <c r="C4627" s="27" t="s">
        <v>39</v>
      </c>
      <c r="D4627" s="27" t="s">
        <v>42</v>
      </c>
      <c r="E4627" s="28" t="n">
        <f aca="false">ROUND((SUMIFS(Acerto_Detalhado!$F$2:$F$433,Acerto_Detalhado!$A$2:$A$433,$C4627,Acerto_Detalhado!$B$2:$B$433,"Dez",Acerto_Detalhado!$C$2:$C$433,"Fibra"))*(SUMIFS(Acerto_Detalhado!$I$2:$I$433,Acerto_Detalhado!$A$2:$A$433,$D4627,Acerto_Detalhado!$B$2:$B$433,"Dez",Acerto_Detalhado!$C$2:$C$433,"Fibra")),2)</f>
        <v>0</v>
      </c>
    </row>
    <row r="4628" customFormat="false" ht="15" hidden="false" customHeight="false" outlineLevel="0" collapsed="false">
      <c r="A4628" s="27" t="s">
        <v>122</v>
      </c>
      <c r="B4628" s="27" t="s">
        <v>111</v>
      </c>
      <c r="C4628" s="27" t="s">
        <v>39</v>
      </c>
      <c r="D4628" s="27" t="s">
        <v>43</v>
      </c>
      <c r="E4628" s="28" t="n">
        <f aca="false">ROUND((SUMIFS(Acerto_Detalhado!$F$2:$F$433,Acerto_Detalhado!$A$2:$A$433,$C4628,Acerto_Detalhado!$B$2:$B$433,"Dez",Acerto_Detalhado!$C$2:$C$433,"Fibra"))*(SUMIFS(Acerto_Detalhado!$I$2:$I$433,Acerto_Detalhado!$A$2:$A$433,$D4628,Acerto_Detalhado!$B$2:$B$433,"Dez",Acerto_Detalhado!$C$2:$C$433,"Fibra")),2)</f>
        <v>0</v>
      </c>
    </row>
    <row r="4629" customFormat="false" ht="15" hidden="false" customHeight="false" outlineLevel="0" collapsed="false">
      <c r="A4629" s="27" t="s">
        <v>122</v>
      </c>
      <c r="B4629" s="27" t="s">
        <v>111</v>
      </c>
      <c r="C4629" s="27" t="s">
        <v>39</v>
      </c>
      <c r="D4629" s="27" t="s">
        <v>44</v>
      </c>
      <c r="E4629" s="28" t="n">
        <f aca="false">ROUND((SUMIFS(Acerto_Detalhado!$F$2:$F$433,Acerto_Detalhado!$A$2:$A$433,$C4629,Acerto_Detalhado!$B$2:$B$433,"Dez",Acerto_Detalhado!$C$2:$C$433,"Fibra"))*(SUMIFS(Acerto_Detalhado!$I$2:$I$433,Acerto_Detalhado!$A$2:$A$433,$D4629,Acerto_Detalhado!$B$2:$B$433,"Dez",Acerto_Detalhado!$C$2:$C$433,"Fibra")),2)</f>
        <v>0</v>
      </c>
    </row>
    <row r="4630" customFormat="false" ht="15" hidden="false" customHeight="false" outlineLevel="0" collapsed="false">
      <c r="A4630" s="27" t="s">
        <v>122</v>
      </c>
      <c r="B4630" s="27" t="s">
        <v>111</v>
      </c>
      <c r="C4630" s="27" t="s">
        <v>39</v>
      </c>
      <c r="D4630" s="27" t="s">
        <v>45</v>
      </c>
      <c r="E4630" s="28" t="n">
        <f aca="false">ROUND((SUMIFS(Acerto_Detalhado!$F$2:$F$433,Acerto_Detalhado!$A$2:$A$433,$C4630,Acerto_Detalhado!$B$2:$B$433,"Dez",Acerto_Detalhado!$C$2:$C$433,"Fibra"))*(SUMIFS(Acerto_Detalhado!$I$2:$I$433,Acerto_Detalhado!$A$2:$A$433,$D4630,Acerto_Detalhado!$B$2:$B$433,"Dez",Acerto_Detalhado!$C$2:$C$433,"Fibra")),2)</f>
        <v>0</v>
      </c>
    </row>
    <row r="4631" customFormat="false" ht="15" hidden="false" customHeight="false" outlineLevel="0" collapsed="false">
      <c r="A4631" s="27" t="s">
        <v>122</v>
      </c>
      <c r="B4631" s="27" t="s">
        <v>111</v>
      </c>
      <c r="C4631" s="27" t="s">
        <v>39</v>
      </c>
      <c r="D4631" s="27" t="s">
        <v>46</v>
      </c>
      <c r="E4631" s="28" t="n">
        <f aca="false">ROUND((SUMIFS(Acerto_Detalhado!$F$2:$F$433,Acerto_Detalhado!$A$2:$A$433,$C4631,Acerto_Detalhado!$B$2:$B$433,"Dez",Acerto_Detalhado!$C$2:$C$433,"Fibra"))*(SUMIFS(Acerto_Detalhado!$I$2:$I$433,Acerto_Detalhado!$A$2:$A$433,$D4631,Acerto_Detalhado!$B$2:$B$433,"Dez",Acerto_Detalhado!$C$2:$C$433,"Fibra")),2)</f>
        <v>0</v>
      </c>
    </row>
    <row r="4632" customFormat="false" ht="15" hidden="false" customHeight="false" outlineLevel="0" collapsed="false">
      <c r="A4632" s="27" t="s">
        <v>122</v>
      </c>
      <c r="B4632" s="27" t="s">
        <v>111</v>
      </c>
      <c r="C4632" s="27" t="s">
        <v>39</v>
      </c>
      <c r="D4632" s="27" t="s">
        <v>47</v>
      </c>
      <c r="E4632" s="28" t="n">
        <f aca="false">ROUND((SUMIFS(Acerto_Detalhado!$F$2:$F$433,Acerto_Detalhado!$A$2:$A$433,$C4632,Acerto_Detalhado!$B$2:$B$433,"Dez",Acerto_Detalhado!$C$2:$C$433,"Fibra"))*(SUMIFS(Acerto_Detalhado!$I$2:$I$433,Acerto_Detalhado!$A$2:$A$433,$D4632,Acerto_Detalhado!$B$2:$B$433,"Dez",Acerto_Detalhado!$C$2:$C$433,"Fibra")),2)</f>
        <v>0</v>
      </c>
    </row>
    <row r="4633" customFormat="false" ht="15" hidden="false" customHeight="false" outlineLevel="0" collapsed="false">
      <c r="A4633" s="27" t="s">
        <v>122</v>
      </c>
      <c r="B4633" s="27" t="s">
        <v>111</v>
      </c>
      <c r="C4633" s="27" t="s">
        <v>39</v>
      </c>
      <c r="D4633" s="27" t="s">
        <v>48</v>
      </c>
      <c r="E4633" s="28" t="n">
        <f aca="false">ROUND((SUMIFS(Acerto_Detalhado!$F$2:$F$433,Acerto_Detalhado!$A$2:$A$433,$C4633,Acerto_Detalhado!$B$2:$B$433,"Dez",Acerto_Detalhado!$C$2:$C$433,"Fibra"))*(SUMIFS(Acerto_Detalhado!$I$2:$I$433,Acerto_Detalhado!$A$2:$A$433,$D4633,Acerto_Detalhado!$B$2:$B$433,"Dez",Acerto_Detalhado!$C$2:$C$433,"Fibra")),2)</f>
        <v>0</v>
      </c>
    </row>
    <row r="4634" customFormat="false" ht="15" hidden="false" customHeight="false" outlineLevel="0" collapsed="false">
      <c r="A4634" s="27" t="s">
        <v>122</v>
      </c>
      <c r="B4634" s="27" t="s">
        <v>111</v>
      </c>
      <c r="C4634" s="27" t="s">
        <v>39</v>
      </c>
      <c r="D4634" s="27" t="s">
        <v>49</v>
      </c>
      <c r="E4634" s="28" t="n">
        <f aca="false">ROUND((SUMIFS(Acerto_Detalhado!$F$2:$F$433,Acerto_Detalhado!$A$2:$A$433,$C4634,Acerto_Detalhado!$B$2:$B$433,"Dez",Acerto_Detalhado!$C$2:$C$433,"Fibra"))*(SUMIFS(Acerto_Detalhado!$I$2:$I$433,Acerto_Detalhado!$A$2:$A$433,$D4634,Acerto_Detalhado!$B$2:$B$433,"Dez",Acerto_Detalhado!$C$2:$C$433,"Fibra")),2)</f>
        <v>0</v>
      </c>
    </row>
    <row r="4635" customFormat="false" ht="15" hidden="false" customHeight="false" outlineLevel="0" collapsed="false">
      <c r="A4635" s="27" t="s">
        <v>122</v>
      </c>
      <c r="B4635" s="27" t="s">
        <v>111</v>
      </c>
      <c r="C4635" s="27" t="s">
        <v>39</v>
      </c>
      <c r="D4635" s="27" t="s">
        <v>50</v>
      </c>
      <c r="E4635" s="28" t="n">
        <f aca="false">ROUND((SUMIFS(Acerto_Detalhado!$F$2:$F$433,Acerto_Detalhado!$A$2:$A$433,$C4635,Acerto_Detalhado!$B$2:$B$433,"Dez",Acerto_Detalhado!$C$2:$C$433,"Fibra"))*(SUMIFS(Acerto_Detalhado!$I$2:$I$433,Acerto_Detalhado!$A$2:$A$433,$D4635,Acerto_Detalhado!$B$2:$B$433,"Dez",Acerto_Detalhado!$C$2:$C$433,"Fibra")),2)</f>
        <v>0</v>
      </c>
    </row>
    <row r="4636" customFormat="false" ht="15" hidden="false" customHeight="false" outlineLevel="0" collapsed="false">
      <c r="A4636" s="27" t="s">
        <v>122</v>
      </c>
      <c r="B4636" s="27" t="s">
        <v>111</v>
      </c>
      <c r="C4636" s="27" t="s">
        <v>40</v>
      </c>
      <c r="D4636" s="27" t="s">
        <v>39</v>
      </c>
      <c r="E4636" s="28" t="n">
        <f aca="false">ROUND((SUMIFS(Acerto_Detalhado!$F$2:$F$433,Acerto_Detalhado!$A$2:$A$433,$C4636,Acerto_Detalhado!$B$2:$B$433,"Dez",Acerto_Detalhado!$C$2:$C$433,"Fibra"))*(SUMIFS(Acerto_Detalhado!$I$2:$I$433,Acerto_Detalhado!$A$2:$A$433,$D4636,Acerto_Detalhado!$B$2:$B$433,"Dez",Acerto_Detalhado!$C$2:$C$433,"Fibra")),2)</f>
        <v>0</v>
      </c>
    </row>
    <row r="4637" customFormat="false" ht="15" hidden="false" customHeight="false" outlineLevel="0" collapsed="false">
      <c r="A4637" s="27" t="s">
        <v>122</v>
      </c>
      <c r="B4637" s="27" t="s">
        <v>111</v>
      </c>
      <c r="C4637" s="27" t="s">
        <v>40</v>
      </c>
      <c r="D4637" s="27" t="s">
        <v>41</v>
      </c>
      <c r="E4637" s="28" t="n">
        <f aca="false">ROUND((SUMIFS(Acerto_Detalhado!$F$2:$F$433,Acerto_Detalhado!$A$2:$A$433,$C4637,Acerto_Detalhado!$B$2:$B$433,"Dez",Acerto_Detalhado!$C$2:$C$433,"Fibra"))*(SUMIFS(Acerto_Detalhado!$I$2:$I$433,Acerto_Detalhado!$A$2:$A$433,$D4637,Acerto_Detalhado!$B$2:$B$433,"Dez",Acerto_Detalhado!$C$2:$C$433,"Fibra")),2)</f>
        <v>0</v>
      </c>
    </row>
    <row r="4638" customFormat="false" ht="15" hidden="false" customHeight="false" outlineLevel="0" collapsed="false">
      <c r="A4638" s="27" t="s">
        <v>122</v>
      </c>
      <c r="B4638" s="27" t="s">
        <v>111</v>
      </c>
      <c r="C4638" s="27" t="s">
        <v>40</v>
      </c>
      <c r="D4638" s="27" t="s">
        <v>42</v>
      </c>
      <c r="E4638" s="28" t="n">
        <f aca="false">ROUND((SUMIFS(Acerto_Detalhado!$F$2:$F$433,Acerto_Detalhado!$A$2:$A$433,$C4638,Acerto_Detalhado!$B$2:$B$433,"Dez",Acerto_Detalhado!$C$2:$C$433,"Fibra"))*(SUMIFS(Acerto_Detalhado!$I$2:$I$433,Acerto_Detalhado!$A$2:$A$433,$D4638,Acerto_Detalhado!$B$2:$B$433,"Dez",Acerto_Detalhado!$C$2:$C$433,"Fibra")),2)</f>
        <v>0</v>
      </c>
    </row>
    <row r="4639" customFormat="false" ht="15" hidden="false" customHeight="false" outlineLevel="0" collapsed="false">
      <c r="A4639" s="27" t="s">
        <v>122</v>
      </c>
      <c r="B4639" s="27" t="s">
        <v>111</v>
      </c>
      <c r="C4639" s="27" t="s">
        <v>40</v>
      </c>
      <c r="D4639" s="27" t="s">
        <v>43</v>
      </c>
      <c r="E4639" s="28" t="n">
        <f aca="false">ROUND((SUMIFS(Acerto_Detalhado!$F$2:$F$433,Acerto_Detalhado!$A$2:$A$433,$C4639,Acerto_Detalhado!$B$2:$B$433,"Dez",Acerto_Detalhado!$C$2:$C$433,"Fibra"))*(SUMIFS(Acerto_Detalhado!$I$2:$I$433,Acerto_Detalhado!$A$2:$A$433,$D4639,Acerto_Detalhado!$B$2:$B$433,"Dez",Acerto_Detalhado!$C$2:$C$433,"Fibra")),2)</f>
        <v>0</v>
      </c>
    </row>
    <row r="4640" customFormat="false" ht="15" hidden="false" customHeight="false" outlineLevel="0" collapsed="false">
      <c r="A4640" s="27" t="s">
        <v>122</v>
      </c>
      <c r="B4640" s="27" t="s">
        <v>111</v>
      </c>
      <c r="C4640" s="27" t="s">
        <v>40</v>
      </c>
      <c r="D4640" s="27" t="s">
        <v>44</v>
      </c>
      <c r="E4640" s="28" t="n">
        <f aca="false">ROUND((SUMIFS(Acerto_Detalhado!$F$2:$F$433,Acerto_Detalhado!$A$2:$A$433,$C4640,Acerto_Detalhado!$B$2:$B$433,"Dez",Acerto_Detalhado!$C$2:$C$433,"Fibra"))*(SUMIFS(Acerto_Detalhado!$I$2:$I$433,Acerto_Detalhado!$A$2:$A$433,$D4640,Acerto_Detalhado!$B$2:$B$433,"Dez",Acerto_Detalhado!$C$2:$C$433,"Fibra")),2)</f>
        <v>0</v>
      </c>
    </row>
    <row r="4641" customFormat="false" ht="15" hidden="false" customHeight="false" outlineLevel="0" collapsed="false">
      <c r="A4641" s="27" t="s">
        <v>122</v>
      </c>
      <c r="B4641" s="27" t="s">
        <v>111</v>
      </c>
      <c r="C4641" s="27" t="s">
        <v>40</v>
      </c>
      <c r="D4641" s="27" t="s">
        <v>45</v>
      </c>
      <c r="E4641" s="28" t="n">
        <f aca="false">ROUND((SUMIFS(Acerto_Detalhado!$F$2:$F$433,Acerto_Detalhado!$A$2:$A$433,$C4641,Acerto_Detalhado!$B$2:$B$433,"Dez",Acerto_Detalhado!$C$2:$C$433,"Fibra"))*(SUMIFS(Acerto_Detalhado!$I$2:$I$433,Acerto_Detalhado!$A$2:$A$433,$D4641,Acerto_Detalhado!$B$2:$B$433,"Dez",Acerto_Detalhado!$C$2:$C$433,"Fibra")),2)</f>
        <v>0</v>
      </c>
    </row>
    <row r="4642" customFormat="false" ht="15" hidden="false" customHeight="false" outlineLevel="0" collapsed="false">
      <c r="A4642" s="27" t="s">
        <v>122</v>
      </c>
      <c r="B4642" s="27" t="s">
        <v>111</v>
      </c>
      <c r="C4642" s="27" t="s">
        <v>40</v>
      </c>
      <c r="D4642" s="27" t="s">
        <v>46</v>
      </c>
      <c r="E4642" s="28" t="n">
        <f aca="false">ROUND((SUMIFS(Acerto_Detalhado!$F$2:$F$433,Acerto_Detalhado!$A$2:$A$433,$C4642,Acerto_Detalhado!$B$2:$B$433,"Dez",Acerto_Detalhado!$C$2:$C$433,"Fibra"))*(SUMIFS(Acerto_Detalhado!$I$2:$I$433,Acerto_Detalhado!$A$2:$A$433,$D4642,Acerto_Detalhado!$B$2:$B$433,"Dez",Acerto_Detalhado!$C$2:$C$433,"Fibra")),2)</f>
        <v>0</v>
      </c>
    </row>
    <row r="4643" customFormat="false" ht="15" hidden="false" customHeight="false" outlineLevel="0" collapsed="false">
      <c r="A4643" s="27" t="s">
        <v>122</v>
      </c>
      <c r="B4643" s="27" t="s">
        <v>111</v>
      </c>
      <c r="C4643" s="27" t="s">
        <v>40</v>
      </c>
      <c r="D4643" s="27" t="s">
        <v>47</v>
      </c>
      <c r="E4643" s="28" t="n">
        <f aca="false">ROUND((SUMIFS(Acerto_Detalhado!$F$2:$F$433,Acerto_Detalhado!$A$2:$A$433,$C4643,Acerto_Detalhado!$B$2:$B$433,"Dez",Acerto_Detalhado!$C$2:$C$433,"Fibra"))*(SUMIFS(Acerto_Detalhado!$I$2:$I$433,Acerto_Detalhado!$A$2:$A$433,$D4643,Acerto_Detalhado!$B$2:$B$433,"Dez",Acerto_Detalhado!$C$2:$C$433,"Fibra")),2)</f>
        <v>0</v>
      </c>
    </row>
    <row r="4644" customFormat="false" ht="15" hidden="false" customHeight="false" outlineLevel="0" collapsed="false">
      <c r="A4644" s="27" t="s">
        <v>122</v>
      </c>
      <c r="B4644" s="27" t="s">
        <v>111</v>
      </c>
      <c r="C4644" s="27" t="s">
        <v>40</v>
      </c>
      <c r="D4644" s="27" t="s">
        <v>48</v>
      </c>
      <c r="E4644" s="28" t="n">
        <f aca="false">ROUND((SUMIFS(Acerto_Detalhado!$F$2:$F$433,Acerto_Detalhado!$A$2:$A$433,$C4644,Acerto_Detalhado!$B$2:$B$433,"Dez",Acerto_Detalhado!$C$2:$C$433,"Fibra"))*(SUMIFS(Acerto_Detalhado!$I$2:$I$433,Acerto_Detalhado!$A$2:$A$433,$D4644,Acerto_Detalhado!$B$2:$B$433,"Dez",Acerto_Detalhado!$C$2:$C$433,"Fibra")),2)</f>
        <v>0</v>
      </c>
    </row>
    <row r="4645" customFormat="false" ht="15" hidden="false" customHeight="false" outlineLevel="0" collapsed="false">
      <c r="A4645" s="27" t="s">
        <v>122</v>
      </c>
      <c r="B4645" s="27" t="s">
        <v>111</v>
      </c>
      <c r="C4645" s="27" t="s">
        <v>40</v>
      </c>
      <c r="D4645" s="27" t="s">
        <v>49</v>
      </c>
      <c r="E4645" s="28" t="n">
        <f aca="false">ROUND((SUMIFS(Acerto_Detalhado!$F$2:$F$433,Acerto_Detalhado!$A$2:$A$433,$C4645,Acerto_Detalhado!$B$2:$B$433,"Dez",Acerto_Detalhado!$C$2:$C$433,"Fibra"))*(SUMIFS(Acerto_Detalhado!$I$2:$I$433,Acerto_Detalhado!$A$2:$A$433,$D4645,Acerto_Detalhado!$B$2:$B$433,"Dez",Acerto_Detalhado!$C$2:$C$433,"Fibra")),2)</f>
        <v>0</v>
      </c>
    </row>
    <row r="4646" customFormat="false" ht="15" hidden="false" customHeight="false" outlineLevel="0" collapsed="false">
      <c r="A4646" s="27" t="s">
        <v>122</v>
      </c>
      <c r="B4646" s="27" t="s">
        <v>111</v>
      </c>
      <c r="C4646" s="27" t="s">
        <v>40</v>
      </c>
      <c r="D4646" s="27" t="s">
        <v>50</v>
      </c>
      <c r="E4646" s="28" t="n">
        <f aca="false">ROUND((SUMIFS(Acerto_Detalhado!$F$2:$F$433,Acerto_Detalhado!$A$2:$A$433,$C4646,Acerto_Detalhado!$B$2:$B$433,"Dez",Acerto_Detalhado!$C$2:$C$433,"Fibra"))*(SUMIFS(Acerto_Detalhado!$I$2:$I$433,Acerto_Detalhado!$A$2:$A$433,$D4646,Acerto_Detalhado!$B$2:$B$433,"Dez",Acerto_Detalhado!$C$2:$C$433,"Fibra")),2)</f>
        <v>0</v>
      </c>
    </row>
    <row r="4647" customFormat="false" ht="15" hidden="false" customHeight="false" outlineLevel="0" collapsed="false">
      <c r="A4647" s="27" t="s">
        <v>122</v>
      </c>
      <c r="B4647" s="27" t="s">
        <v>111</v>
      </c>
      <c r="C4647" s="27" t="s">
        <v>41</v>
      </c>
      <c r="D4647" s="27" t="s">
        <v>39</v>
      </c>
      <c r="E4647" s="28" t="n">
        <f aca="false">ROUND((SUMIFS(Acerto_Detalhado!$F$2:$F$433,Acerto_Detalhado!$A$2:$A$433,$C4647,Acerto_Detalhado!$B$2:$B$433,"Dez",Acerto_Detalhado!$C$2:$C$433,"Fibra"))*(SUMIFS(Acerto_Detalhado!$I$2:$I$433,Acerto_Detalhado!$A$2:$A$433,$D4647,Acerto_Detalhado!$B$2:$B$433,"Dez",Acerto_Detalhado!$C$2:$C$433,"Fibra")),2)</f>
        <v>0</v>
      </c>
    </row>
    <row r="4648" customFormat="false" ht="15" hidden="false" customHeight="false" outlineLevel="0" collapsed="false">
      <c r="A4648" s="27" t="s">
        <v>122</v>
      </c>
      <c r="B4648" s="27" t="s">
        <v>111</v>
      </c>
      <c r="C4648" s="27" t="s">
        <v>41</v>
      </c>
      <c r="D4648" s="27" t="s">
        <v>40</v>
      </c>
      <c r="E4648" s="28" t="n">
        <f aca="false">ROUND((SUMIFS(Acerto_Detalhado!$F$2:$F$433,Acerto_Detalhado!$A$2:$A$433,$C4648,Acerto_Detalhado!$B$2:$B$433,"Dez",Acerto_Detalhado!$C$2:$C$433,"Fibra"))*(SUMIFS(Acerto_Detalhado!$I$2:$I$433,Acerto_Detalhado!$A$2:$A$433,$D4648,Acerto_Detalhado!$B$2:$B$433,"Dez",Acerto_Detalhado!$C$2:$C$433,"Fibra")),2)</f>
        <v>0</v>
      </c>
    </row>
    <row r="4649" customFormat="false" ht="15" hidden="false" customHeight="false" outlineLevel="0" collapsed="false">
      <c r="A4649" s="27" t="s">
        <v>122</v>
      </c>
      <c r="B4649" s="27" t="s">
        <v>111</v>
      </c>
      <c r="C4649" s="27" t="s">
        <v>41</v>
      </c>
      <c r="D4649" s="27" t="s">
        <v>42</v>
      </c>
      <c r="E4649" s="28" t="n">
        <f aca="false">ROUND((SUMIFS(Acerto_Detalhado!$F$2:$F$433,Acerto_Detalhado!$A$2:$A$433,$C4649,Acerto_Detalhado!$B$2:$B$433,"Dez",Acerto_Detalhado!$C$2:$C$433,"Fibra"))*(SUMIFS(Acerto_Detalhado!$I$2:$I$433,Acerto_Detalhado!$A$2:$A$433,$D4649,Acerto_Detalhado!$B$2:$B$433,"Dez",Acerto_Detalhado!$C$2:$C$433,"Fibra")),2)</f>
        <v>0</v>
      </c>
    </row>
    <row r="4650" customFormat="false" ht="15" hidden="false" customHeight="false" outlineLevel="0" collapsed="false">
      <c r="A4650" s="27" t="s">
        <v>122</v>
      </c>
      <c r="B4650" s="27" t="s">
        <v>111</v>
      </c>
      <c r="C4650" s="27" t="s">
        <v>41</v>
      </c>
      <c r="D4650" s="27" t="s">
        <v>43</v>
      </c>
      <c r="E4650" s="28" t="n">
        <f aca="false">ROUND((SUMIFS(Acerto_Detalhado!$F$2:$F$433,Acerto_Detalhado!$A$2:$A$433,$C4650,Acerto_Detalhado!$B$2:$B$433,"Dez",Acerto_Detalhado!$C$2:$C$433,"Fibra"))*(SUMIFS(Acerto_Detalhado!$I$2:$I$433,Acerto_Detalhado!$A$2:$A$433,$D4650,Acerto_Detalhado!$B$2:$B$433,"Dez",Acerto_Detalhado!$C$2:$C$433,"Fibra")),2)</f>
        <v>0</v>
      </c>
    </row>
    <row r="4651" customFormat="false" ht="15" hidden="false" customHeight="false" outlineLevel="0" collapsed="false">
      <c r="A4651" s="27" t="s">
        <v>122</v>
      </c>
      <c r="B4651" s="27" t="s">
        <v>111</v>
      </c>
      <c r="C4651" s="27" t="s">
        <v>41</v>
      </c>
      <c r="D4651" s="27" t="s">
        <v>44</v>
      </c>
      <c r="E4651" s="28" t="n">
        <f aca="false">ROUND((SUMIFS(Acerto_Detalhado!$F$2:$F$433,Acerto_Detalhado!$A$2:$A$433,$C4651,Acerto_Detalhado!$B$2:$B$433,"Dez",Acerto_Detalhado!$C$2:$C$433,"Fibra"))*(SUMIFS(Acerto_Detalhado!$I$2:$I$433,Acerto_Detalhado!$A$2:$A$433,$D4651,Acerto_Detalhado!$B$2:$B$433,"Dez",Acerto_Detalhado!$C$2:$C$433,"Fibra")),2)</f>
        <v>0</v>
      </c>
    </row>
    <row r="4652" customFormat="false" ht="15" hidden="false" customHeight="false" outlineLevel="0" collapsed="false">
      <c r="A4652" s="27" t="s">
        <v>122</v>
      </c>
      <c r="B4652" s="27" t="s">
        <v>111</v>
      </c>
      <c r="C4652" s="27" t="s">
        <v>41</v>
      </c>
      <c r="D4652" s="27" t="s">
        <v>45</v>
      </c>
      <c r="E4652" s="28" t="n">
        <f aca="false">ROUND((SUMIFS(Acerto_Detalhado!$F$2:$F$433,Acerto_Detalhado!$A$2:$A$433,$C4652,Acerto_Detalhado!$B$2:$B$433,"Dez",Acerto_Detalhado!$C$2:$C$433,"Fibra"))*(SUMIFS(Acerto_Detalhado!$I$2:$I$433,Acerto_Detalhado!$A$2:$A$433,$D4652,Acerto_Detalhado!$B$2:$B$433,"Dez",Acerto_Detalhado!$C$2:$C$433,"Fibra")),2)</f>
        <v>0</v>
      </c>
    </row>
    <row r="4653" customFormat="false" ht="15" hidden="false" customHeight="false" outlineLevel="0" collapsed="false">
      <c r="A4653" s="27" t="s">
        <v>122</v>
      </c>
      <c r="B4653" s="27" t="s">
        <v>111</v>
      </c>
      <c r="C4653" s="27" t="s">
        <v>41</v>
      </c>
      <c r="D4653" s="27" t="s">
        <v>46</v>
      </c>
      <c r="E4653" s="28" t="n">
        <f aca="false">ROUND((SUMIFS(Acerto_Detalhado!$F$2:$F$433,Acerto_Detalhado!$A$2:$A$433,$C4653,Acerto_Detalhado!$B$2:$B$433,"Dez",Acerto_Detalhado!$C$2:$C$433,"Fibra"))*(SUMIFS(Acerto_Detalhado!$I$2:$I$433,Acerto_Detalhado!$A$2:$A$433,$D4653,Acerto_Detalhado!$B$2:$B$433,"Dez",Acerto_Detalhado!$C$2:$C$433,"Fibra")),2)</f>
        <v>0</v>
      </c>
    </row>
    <row r="4654" customFormat="false" ht="15" hidden="false" customHeight="false" outlineLevel="0" collapsed="false">
      <c r="A4654" s="27" t="s">
        <v>122</v>
      </c>
      <c r="B4654" s="27" t="s">
        <v>111</v>
      </c>
      <c r="C4654" s="27" t="s">
        <v>41</v>
      </c>
      <c r="D4654" s="27" t="s">
        <v>47</v>
      </c>
      <c r="E4654" s="28" t="n">
        <f aca="false">ROUND((SUMIFS(Acerto_Detalhado!$F$2:$F$433,Acerto_Detalhado!$A$2:$A$433,$C4654,Acerto_Detalhado!$B$2:$B$433,"Dez",Acerto_Detalhado!$C$2:$C$433,"Fibra"))*(SUMIFS(Acerto_Detalhado!$I$2:$I$433,Acerto_Detalhado!$A$2:$A$433,$D4654,Acerto_Detalhado!$B$2:$B$433,"Dez",Acerto_Detalhado!$C$2:$C$433,"Fibra")),2)</f>
        <v>0</v>
      </c>
    </row>
    <row r="4655" customFormat="false" ht="15" hidden="false" customHeight="false" outlineLevel="0" collapsed="false">
      <c r="A4655" s="27" t="s">
        <v>122</v>
      </c>
      <c r="B4655" s="27" t="s">
        <v>111</v>
      </c>
      <c r="C4655" s="27" t="s">
        <v>41</v>
      </c>
      <c r="D4655" s="27" t="s">
        <v>48</v>
      </c>
      <c r="E4655" s="28" t="n">
        <f aca="false">ROUND((SUMIFS(Acerto_Detalhado!$F$2:$F$433,Acerto_Detalhado!$A$2:$A$433,$C4655,Acerto_Detalhado!$B$2:$B$433,"Dez",Acerto_Detalhado!$C$2:$C$433,"Fibra"))*(SUMIFS(Acerto_Detalhado!$I$2:$I$433,Acerto_Detalhado!$A$2:$A$433,$D4655,Acerto_Detalhado!$B$2:$B$433,"Dez",Acerto_Detalhado!$C$2:$C$433,"Fibra")),2)</f>
        <v>0</v>
      </c>
    </row>
    <row r="4656" customFormat="false" ht="15" hidden="false" customHeight="false" outlineLevel="0" collapsed="false">
      <c r="A4656" s="27" t="s">
        <v>122</v>
      </c>
      <c r="B4656" s="27" t="s">
        <v>111</v>
      </c>
      <c r="C4656" s="27" t="s">
        <v>41</v>
      </c>
      <c r="D4656" s="27" t="s">
        <v>49</v>
      </c>
      <c r="E4656" s="28" t="n">
        <f aca="false">ROUND((SUMIFS(Acerto_Detalhado!$F$2:$F$433,Acerto_Detalhado!$A$2:$A$433,$C4656,Acerto_Detalhado!$B$2:$B$433,"Dez",Acerto_Detalhado!$C$2:$C$433,"Fibra"))*(SUMIFS(Acerto_Detalhado!$I$2:$I$433,Acerto_Detalhado!$A$2:$A$433,$D4656,Acerto_Detalhado!$B$2:$B$433,"Dez",Acerto_Detalhado!$C$2:$C$433,"Fibra")),2)</f>
        <v>0</v>
      </c>
    </row>
    <row r="4657" customFormat="false" ht="15" hidden="false" customHeight="false" outlineLevel="0" collapsed="false">
      <c r="A4657" s="27" t="s">
        <v>122</v>
      </c>
      <c r="B4657" s="27" t="s">
        <v>111</v>
      </c>
      <c r="C4657" s="27" t="s">
        <v>41</v>
      </c>
      <c r="D4657" s="27" t="s">
        <v>50</v>
      </c>
      <c r="E4657" s="28" t="n">
        <f aca="false">ROUND((SUMIFS(Acerto_Detalhado!$F$2:$F$433,Acerto_Detalhado!$A$2:$A$433,$C4657,Acerto_Detalhado!$B$2:$B$433,"Dez",Acerto_Detalhado!$C$2:$C$433,"Fibra"))*(SUMIFS(Acerto_Detalhado!$I$2:$I$433,Acerto_Detalhado!$A$2:$A$433,$D4657,Acerto_Detalhado!$B$2:$B$433,"Dez",Acerto_Detalhado!$C$2:$C$433,"Fibra")),2)</f>
        <v>0</v>
      </c>
    </row>
    <row r="4658" customFormat="false" ht="15" hidden="false" customHeight="false" outlineLevel="0" collapsed="false">
      <c r="A4658" s="27" t="s">
        <v>122</v>
      </c>
      <c r="B4658" s="27" t="s">
        <v>111</v>
      </c>
      <c r="C4658" s="27" t="s">
        <v>42</v>
      </c>
      <c r="D4658" s="27" t="s">
        <v>39</v>
      </c>
      <c r="E4658" s="28" t="n">
        <f aca="false">ROUND((SUMIFS(Acerto_Detalhado!$F$2:$F$433,Acerto_Detalhado!$A$2:$A$433,$C4658,Acerto_Detalhado!$B$2:$B$433,"Dez",Acerto_Detalhado!$C$2:$C$433,"Fibra"))*(SUMIFS(Acerto_Detalhado!$I$2:$I$433,Acerto_Detalhado!$A$2:$A$433,$D4658,Acerto_Detalhado!$B$2:$B$433,"Dez",Acerto_Detalhado!$C$2:$C$433,"Fibra")),2)</f>
        <v>0</v>
      </c>
    </row>
    <row r="4659" customFormat="false" ht="15" hidden="false" customHeight="false" outlineLevel="0" collapsed="false">
      <c r="A4659" s="27" t="s">
        <v>122</v>
      </c>
      <c r="B4659" s="27" t="s">
        <v>111</v>
      </c>
      <c r="C4659" s="27" t="s">
        <v>42</v>
      </c>
      <c r="D4659" s="27" t="s">
        <v>40</v>
      </c>
      <c r="E4659" s="28" t="n">
        <f aca="false">ROUND((SUMIFS(Acerto_Detalhado!$F$2:$F$433,Acerto_Detalhado!$A$2:$A$433,$C4659,Acerto_Detalhado!$B$2:$B$433,"Dez",Acerto_Detalhado!$C$2:$C$433,"Fibra"))*(SUMIFS(Acerto_Detalhado!$I$2:$I$433,Acerto_Detalhado!$A$2:$A$433,$D4659,Acerto_Detalhado!$B$2:$B$433,"Dez",Acerto_Detalhado!$C$2:$C$433,"Fibra")),2)</f>
        <v>0</v>
      </c>
    </row>
    <row r="4660" customFormat="false" ht="15" hidden="false" customHeight="false" outlineLevel="0" collapsed="false">
      <c r="A4660" s="27" t="s">
        <v>122</v>
      </c>
      <c r="B4660" s="27" t="s">
        <v>111</v>
      </c>
      <c r="C4660" s="27" t="s">
        <v>42</v>
      </c>
      <c r="D4660" s="27" t="s">
        <v>41</v>
      </c>
      <c r="E4660" s="28" t="n">
        <f aca="false">ROUND((SUMIFS(Acerto_Detalhado!$F$2:$F$433,Acerto_Detalhado!$A$2:$A$433,$C4660,Acerto_Detalhado!$B$2:$B$433,"Dez",Acerto_Detalhado!$C$2:$C$433,"Fibra"))*(SUMIFS(Acerto_Detalhado!$I$2:$I$433,Acerto_Detalhado!$A$2:$A$433,$D4660,Acerto_Detalhado!$B$2:$B$433,"Dez",Acerto_Detalhado!$C$2:$C$433,"Fibra")),2)</f>
        <v>0</v>
      </c>
    </row>
    <row r="4661" customFormat="false" ht="15" hidden="false" customHeight="false" outlineLevel="0" collapsed="false">
      <c r="A4661" s="27" t="s">
        <v>122</v>
      </c>
      <c r="B4661" s="27" t="s">
        <v>111</v>
      </c>
      <c r="C4661" s="27" t="s">
        <v>42</v>
      </c>
      <c r="D4661" s="27" t="s">
        <v>43</v>
      </c>
      <c r="E4661" s="28" t="n">
        <f aca="false">ROUND((SUMIFS(Acerto_Detalhado!$F$2:$F$433,Acerto_Detalhado!$A$2:$A$433,$C4661,Acerto_Detalhado!$B$2:$B$433,"Dez",Acerto_Detalhado!$C$2:$C$433,"Fibra"))*(SUMIFS(Acerto_Detalhado!$I$2:$I$433,Acerto_Detalhado!$A$2:$A$433,$D4661,Acerto_Detalhado!$B$2:$B$433,"Dez",Acerto_Detalhado!$C$2:$C$433,"Fibra")),2)</f>
        <v>0</v>
      </c>
    </row>
    <row r="4662" customFormat="false" ht="15" hidden="false" customHeight="false" outlineLevel="0" collapsed="false">
      <c r="A4662" s="27" t="s">
        <v>122</v>
      </c>
      <c r="B4662" s="27" t="s">
        <v>111</v>
      </c>
      <c r="C4662" s="27" t="s">
        <v>42</v>
      </c>
      <c r="D4662" s="27" t="s">
        <v>44</v>
      </c>
      <c r="E4662" s="28" t="n">
        <f aca="false">ROUND((SUMIFS(Acerto_Detalhado!$F$2:$F$433,Acerto_Detalhado!$A$2:$A$433,$C4662,Acerto_Detalhado!$B$2:$B$433,"Dez",Acerto_Detalhado!$C$2:$C$433,"Fibra"))*(SUMIFS(Acerto_Detalhado!$I$2:$I$433,Acerto_Detalhado!$A$2:$A$433,$D4662,Acerto_Detalhado!$B$2:$B$433,"Dez",Acerto_Detalhado!$C$2:$C$433,"Fibra")),2)</f>
        <v>0</v>
      </c>
    </row>
    <row r="4663" customFormat="false" ht="15" hidden="false" customHeight="false" outlineLevel="0" collapsed="false">
      <c r="A4663" s="27" t="s">
        <v>122</v>
      </c>
      <c r="B4663" s="27" t="s">
        <v>111</v>
      </c>
      <c r="C4663" s="27" t="s">
        <v>42</v>
      </c>
      <c r="D4663" s="27" t="s">
        <v>45</v>
      </c>
      <c r="E4663" s="28" t="n">
        <f aca="false">ROUND((SUMIFS(Acerto_Detalhado!$F$2:$F$433,Acerto_Detalhado!$A$2:$A$433,$C4663,Acerto_Detalhado!$B$2:$B$433,"Dez",Acerto_Detalhado!$C$2:$C$433,"Fibra"))*(SUMIFS(Acerto_Detalhado!$I$2:$I$433,Acerto_Detalhado!$A$2:$A$433,$D4663,Acerto_Detalhado!$B$2:$B$433,"Dez",Acerto_Detalhado!$C$2:$C$433,"Fibra")),2)</f>
        <v>0</v>
      </c>
    </row>
    <row r="4664" customFormat="false" ht="15" hidden="false" customHeight="false" outlineLevel="0" collapsed="false">
      <c r="A4664" s="27" t="s">
        <v>122</v>
      </c>
      <c r="B4664" s="27" t="s">
        <v>111</v>
      </c>
      <c r="C4664" s="27" t="s">
        <v>42</v>
      </c>
      <c r="D4664" s="27" t="s">
        <v>46</v>
      </c>
      <c r="E4664" s="28" t="n">
        <f aca="false">ROUND((SUMIFS(Acerto_Detalhado!$F$2:$F$433,Acerto_Detalhado!$A$2:$A$433,$C4664,Acerto_Detalhado!$B$2:$B$433,"Dez",Acerto_Detalhado!$C$2:$C$433,"Fibra"))*(SUMIFS(Acerto_Detalhado!$I$2:$I$433,Acerto_Detalhado!$A$2:$A$433,$D4664,Acerto_Detalhado!$B$2:$B$433,"Dez",Acerto_Detalhado!$C$2:$C$433,"Fibra")),2)</f>
        <v>0</v>
      </c>
    </row>
    <row r="4665" customFormat="false" ht="15" hidden="false" customHeight="false" outlineLevel="0" collapsed="false">
      <c r="A4665" s="27" t="s">
        <v>122</v>
      </c>
      <c r="B4665" s="27" t="s">
        <v>111</v>
      </c>
      <c r="C4665" s="27" t="s">
        <v>42</v>
      </c>
      <c r="D4665" s="27" t="s">
        <v>47</v>
      </c>
      <c r="E4665" s="28" t="n">
        <f aca="false">ROUND((SUMIFS(Acerto_Detalhado!$F$2:$F$433,Acerto_Detalhado!$A$2:$A$433,$C4665,Acerto_Detalhado!$B$2:$B$433,"Dez",Acerto_Detalhado!$C$2:$C$433,"Fibra"))*(SUMIFS(Acerto_Detalhado!$I$2:$I$433,Acerto_Detalhado!$A$2:$A$433,$D4665,Acerto_Detalhado!$B$2:$B$433,"Dez",Acerto_Detalhado!$C$2:$C$433,"Fibra")),2)</f>
        <v>0</v>
      </c>
    </row>
    <row r="4666" customFormat="false" ht="15" hidden="false" customHeight="false" outlineLevel="0" collapsed="false">
      <c r="A4666" s="27" t="s">
        <v>122</v>
      </c>
      <c r="B4666" s="27" t="s">
        <v>111</v>
      </c>
      <c r="C4666" s="27" t="s">
        <v>42</v>
      </c>
      <c r="D4666" s="27" t="s">
        <v>48</v>
      </c>
      <c r="E4666" s="28" t="n">
        <f aca="false">ROUND((SUMIFS(Acerto_Detalhado!$F$2:$F$433,Acerto_Detalhado!$A$2:$A$433,$C4666,Acerto_Detalhado!$B$2:$B$433,"Dez",Acerto_Detalhado!$C$2:$C$433,"Fibra"))*(SUMIFS(Acerto_Detalhado!$I$2:$I$433,Acerto_Detalhado!$A$2:$A$433,$D4666,Acerto_Detalhado!$B$2:$B$433,"Dez",Acerto_Detalhado!$C$2:$C$433,"Fibra")),2)</f>
        <v>0</v>
      </c>
    </row>
    <row r="4667" customFormat="false" ht="15" hidden="false" customHeight="false" outlineLevel="0" collapsed="false">
      <c r="A4667" s="27" t="s">
        <v>122</v>
      </c>
      <c r="B4667" s="27" t="s">
        <v>111</v>
      </c>
      <c r="C4667" s="27" t="s">
        <v>42</v>
      </c>
      <c r="D4667" s="27" t="s">
        <v>49</v>
      </c>
      <c r="E4667" s="28" t="n">
        <f aca="false">ROUND((SUMIFS(Acerto_Detalhado!$F$2:$F$433,Acerto_Detalhado!$A$2:$A$433,$C4667,Acerto_Detalhado!$B$2:$B$433,"Dez",Acerto_Detalhado!$C$2:$C$433,"Fibra"))*(SUMIFS(Acerto_Detalhado!$I$2:$I$433,Acerto_Detalhado!$A$2:$A$433,$D4667,Acerto_Detalhado!$B$2:$B$433,"Dez",Acerto_Detalhado!$C$2:$C$433,"Fibra")),2)</f>
        <v>0</v>
      </c>
    </row>
    <row r="4668" customFormat="false" ht="15" hidden="false" customHeight="false" outlineLevel="0" collapsed="false">
      <c r="A4668" s="27" t="s">
        <v>122</v>
      </c>
      <c r="B4668" s="27" t="s">
        <v>111</v>
      </c>
      <c r="C4668" s="27" t="s">
        <v>42</v>
      </c>
      <c r="D4668" s="27" t="s">
        <v>50</v>
      </c>
      <c r="E4668" s="28" t="n">
        <f aca="false">ROUND((SUMIFS(Acerto_Detalhado!$F$2:$F$433,Acerto_Detalhado!$A$2:$A$433,$C4668,Acerto_Detalhado!$B$2:$B$433,"Dez",Acerto_Detalhado!$C$2:$C$433,"Fibra"))*(SUMIFS(Acerto_Detalhado!$I$2:$I$433,Acerto_Detalhado!$A$2:$A$433,$D4668,Acerto_Detalhado!$B$2:$B$433,"Dez",Acerto_Detalhado!$C$2:$C$433,"Fibra")),2)</f>
        <v>0</v>
      </c>
    </row>
    <row r="4669" customFormat="false" ht="15" hidden="false" customHeight="false" outlineLevel="0" collapsed="false">
      <c r="A4669" s="27" t="s">
        <v>122</v>
      </c>
      <c r="B4669" s="27" t="s">
        <v>111</v>
      </c>
      <c r="C4669" s="27" t="s">
        <v>43</v>
      </c>
      <c r="D4669" s="27" t="s">
        <v>39</v>
      </c>
      <c r="E4669" s="28" t="n">
        <f aca="false">ROUND((SUMIFS(Acerto_Detalhado!$F$2:$F$433,Acerto_Detalhado!$A$2:$A$433,$C4669,Acerto_Detalhado!$B$2:$B$433,"Dez",Acerto_Detalhado!$C$2:$C$433,"Fibra"))*(SUMIFS(Acerto_Detalhado!$I$2:$I$433,Acerto_Detalhado!$A$2:$A$433,$D4669,Acerto_Detalhado!$B$2:$B$433,"Dez",Acerto_Detalhado!$C$2:$C$433,"Fibra")),2)</f>
        <v>0</v>
      </c>
    </row>
    <row r="4670" customFormat="false" ht="15" hidden="false" customHeight="false" outlineLevel="0" collapsed="false">
      <c r="A4670" s="27" t="s">
        <v>122</v>
      </c>
      <c r="B4670" s="27" t="s">
        <v>111</v>
      </c>
      <c r="C4670" s="27" t="s">
        <v>43</v>
      </c>
      <c r="D4670" s="27" t="s">
        <v>40</v>
      </c>
      <c r="E4670" s="28" t="n">
        <f aca="false">ROUND((SUMIFS(Acerto_Detalhado!$F$2:$F$433,Acerto_Detalhado!$A$2:$A$433,$C4670,Acerto_Detalhado!$B$2:$B$433,"Dez",Acerto_Detalhado!$C$2:$C$433,"Fibra"))*(SUMIFS(Acerto_Detalhado!$I$2:$I$433,Acerto_Detalhado!$A$2:$A$433,$D4670,Acerto_Detalhado!$B$2:$B$433,"Dez",Acerto_Detalhado!$C$2:$C$433,"Fibra")),2)</f>
        <v>0</v>
      </c>
    </row>
    <row r="4671" customFormat="false" ht="15" hidden="false" customHeight="false" outlineLevel="0" collapsed="false">
      <c r="A4671" s="27" t="s">
        <v>122</v>
      </c>
      <c r="B4671" s="27" t="s">
        <v>111</v>
      </c>
      <c r="C4671" s="27" t="s">
        <v>43</v>
      </c>
      <c r="D4671" s="27" t="s">
        <v>41</v>
      </c>
      <c r="E4671" s="28" t="n">
        <f aca="false">ROUND((SUMIFS(Acerto_Detalhado!$F$2:$F$433,Acerto_Detalhado!$A$2:$A$433,$C4671,Acerto_Detalhado!$B$2:$B$433,"Dez",Acerto_Detalhado!$C$2:$C$433,"Fibra"))*(SUMIFS(Acerto_Detalhado!$I$2:$I$433,Acerto_Detalhado!$A$2:$A$433,$D4671,Acerto_Detalhado!$B$2:$B$433,"Dez",Acerto_Detalhado!$C$2:$C$433,"Fibra")),2)</f>
        <v>0</v>
      </c>
    </row>
    <row r="4672" customFormat="false" ht="15" hidden="false" customHeight="false" outlineLevel="0" collapsed="false">
      <c r="A4672" s="27" t="s">
        <v>122</v>
      </c>
      <c r="B4672" s="27" t="s">
        <v>111</v>
      </c>
      <c r="C4672" s="27" t="s">
        <v>43</v>
      </c>
      <c r="D4672" s="27" t="s">
        <v>42</v>
      </c>
      <c r="E4672" s="28" t="n">
        <f aca="false">ROUND((SUMIFS(Acerto_Detalhado!$F$2:$F$433,Acerto_Detalhado!$A$2:$A$433,$C4672,Acerto_Detalhado!$B$2:$B$433,"Dez",Acerto_Detalhado!$C$2:$C$433,"Fibra"))*(SUMIFS(Acerto_Detalhado!$I$2:$I$433,Acerto_Detalhado!$A$2:$A$433,$D4672,Acerto_Detalhado!$B$2:$B$433,"Dez",Acerto_Detalhado!$C$2:$C$433,"Fibra")),2)</f>
        <v>0</v>
      </c>
    </row>
    <row r="4673" customFormat="false" ht="15" hidden="false" customHeight="false" outlineLevel="0" collapsed="false">
      <c r="A4673" s="27" t="s">
        <v>122</v>
      </c>
      <c r="B4673" s="27" t="s">
        <v>111</v>
      </c>
      <c r="C4673" s="27" t="s">
        <v>43</v>
      </c>
      <c r="D4673" s="27" t="s">
        <v>44</v>
      </c>
      <c r="E4673" s="28" t="n">
        <f aca="false">ROUND((SUMIFS(Acerto_Detalhado!$F$2:$F$433,Acerto_Detalhado!$A$2:$A$433,$C4673,Acerto_Detalhado!$B$2:$B$433,"Dez",Acerto_Detalhado!$C$2:$C$433,"Fibra"))*(SUMIFS(Acerto_Detalhado!$I$2:$I$433,Acerto_Detalhado!$A$2:$A$433,$D4673,Acerto_Detalhado!$B$2:$B$433,"Dez",Acerto_Detalhado!$C$2:$C$433,"Fibra")),2)</f>
        <v>0</v>
      </c>
    </row>
    <row r="4674" customFormat="false" ht="15" hidden="false" customHeight="false" outlineLevel="0" collapsed="false">
      <c r="A4674" s="27" t="s">
        <v>122</v>
      </c>
      <c r="B4674" s="27" t="s">
        <v>111</v>
      </c>
      <c r="C4674" s="27" t="s">
        <v>43</v>
      </c>
      <c r="D4674" s="27" t="s">
        <v>45</v>
      </c>
      <c r="E4674" s="28" t="n">
        <f aca="false">ROUND((SUMIFS(Acerto_Detalhado!$F$2:$F$433,Acerto_Detalhado!$A$2:$A$433,$C4674,Acerto_Detalhado!$B$2:$B$433,"Dez",Acerto_Detalhado!$C$2:$C$433,"Fibra"))*(SUMIFS(Acerto_Detalhado!$I$2:$I$433,Acerto_Detalhado!$A$2:$A$433,$D4674,Acerto_Detalhado!$B$2:$B$433,"Dez",Acerto_Detalhado!$C$2:$C$433,"Fibra")),2)</f>
        <v>0</v>
      </c>
    </row>
    <row r="4675" customFormat="false" ht="15" hidden="false" customHeight="false" outlineLevel="0" collapsed="false">
      <c r="A4675" s="27" t="s">
        <v>122</v>
      </c>
      <c r="B4675" s="27" t="s">
        <v>111</v>
      </c>
      <c r="C4675" s="27" t="s">
        <v>43</v>
      </c>
      <c r="D4675" s="27" t="s">
        <v>46</v>
      </c>
      <c r="E4675" s="28" t="n">
        <f aca="false">ROUND((SUMIFS(Acerto_Detalhado!$F$2:$F$433,Acerto_Detalhado!$A$2:$A$433,$C4675,Acerto_Detalhado!$B$2:$B$433,"Dez",Acerto_Detalhado!$C$2:$C$433,"Fibra"))*(SUMIFS(Acerto_Detalhado!$I$2:$I$433,Acerto_Detalhado!$A$2:$A$433,$D4675,Acerto_Detalhado!$B$2:$B$433,"Dez",Acerto_Detalhado!$C$2:$C$433,"Fibra")),2)</f>
        <v>0</v>
      </c>
    </row>
    <row r="4676" customFormat="false" ht="15" hidden="false" customHeight="false" outlineLevel="0" collapsed="false">
      <c r="A4676" s="27" t="s">
        <v>122</v>
      </c>
      <c r="B4676" s="27" t="s">
        <v>111</v>
      </c>
      <c r="C4676" s="27" t="s">
        <v>43</v>
      </c>
      <c r="D4676" s="27" t="s">
        <v>47</v>
      </c>
      <c r="E4676" s="28" t="n">
        <f aca="false">ROUND((SUMIFS(Acerto_Detalhado!$F$2:$F$433,Acerto_Detalhado!$A$2:$A$433,$C4676,Acerto_Detalhado!$B$2:$B$433,"Dez",Acerto_Detalhado!$C$2:$C$433,"Fibra"))*(SUMIFS(Acerto_Detalhado!$I$2:$I$433,Acerto_Detalhado!$A$2:$A$433,$D4676,Acerto_Detalhado!$B$2:$B$433,"Dez",Acerto_Detalhado!$C$2:$C$433,"Fibra")),2)</f>
        <v>0</v>
      </c>
    </row>
    <row r="4677" customFormat="false" ht="15" hidden="false" customHeight="false" outlineLevel="0" collapsed="false">
      <c r="A4677" s="27" t="s">
        <v>122</v>
      </c>
      <c r="B4677" s="27" t="s">
        <v>111</v>
      </c>
      <c r="C4677" s="27" t="s">
        <v>43</v>
      </c>
      <c r="D4677" s="27" t="s">
        <v>48</v>
      </c>
      <c r="E4677" s="28" t="n">
        <f aca="false">ROUND((SUMIFS(Acerto_Detalhado!$F$2:$F$433,Acerto_Detalhado!$A$2:$A$433,$C4677,Acerto_Detalhado!$B$2:$B$433,"Dez",Acerto_Detalhado!$C$2:$C$433,"Fibra"))*(SUMIFS(Acerto_Detalhado!$I$2:$I$433,Acerto_Detalhado!$A$2:$A$433,$D4677,Acerto_Detalhado!$B$2:$B$433,"Dez",Acerto_Detalhado!$C$2:$C$433,"Fibra")),2)</f>
        <v>0</v>
      </c>
    </row>
    <row r="4678" customFormat="false" ht="15" hidden="false" customHeight="false" outlineLevel="0" collapsed="false">
      <c r="A4678" s="27" t="s">
        <v>122</v>
      </c>
      <c r="B4678" s="27" t="s">
        <v>111</v>
      </c>
      <c r="C4678" s="27" t="s">
        <v>43</v>
      </c>
      <c r="D4678" s="27" t="s">
        <v>49</v>
      </c>
      <c r="E4678" s="28" t="n">
        <f aca="false">ROUND((SUMIFS(Acerto_Detalhado!$F$2:$F$433,Acerto_Detalhado!$A$2:$A$433,$C4678,Acerto_Detalhado!$B$2:$B$433,"Dez",Acerto_Detalhado!$C$2:$C$433,"Fibra"))*(SUMIFS(Acerto_Detalhado!$I$2:$I$433,Acerto_Detalhado!$A$2:$A$433,$D4678,Acerto_Detalhado!$B$2:$B$433,"Dez",Acerto_Detalhado!$C$2:$C$433,"Fibra")),2)</f>
        <v>0</v>
      </c>
    </row>
    <row r="4679" customFormat="false" ht="15" hidden="false" customHeight="false" outlineLevel="0" collapsed="false">
      <c r="A4679" s="27" t="s">
        <v>122</v>
      </c>
      <c r="B4679" s="27" t="s">
        <v>111</v>
      </c>
      <c r="C4679" s="27" t="s">
        <v>43</v>
      </c>
      <c r="D4679" s="27" t="s">
        <v>50</v>
      </c>
      <c r="E4679" s="28" t="n">
        <f aca="false">ROUND((SUMIFS(Acerto_Detalhado!$F$2:$F$433,Acerto_Detalhado!$A$2:$A$433,$C4679,Acerto_Detalhado!$B$2:$B$433,"Dez",Acerto_Detalhado!$C$2:$C$433,"Fibra"))*(SUMIFS(Acerto_Detalhado!$I$2:$I$433,Acerto_Detalhado!$A$2:$A$433,$D4679,Acerto_Detalhado!$B$2:$B$433,"Dez",Acerto_Detalhado!$C$2:$C$433,"Fibra")),2)</f>
        <v>0</v>
      </c>
    </row>
    <row r="4680" customFormat="false" ht="15" hidden="false" customHeight="false" outlineLevel="0" collapsed="false">
      <c r="A4680" s="27" t="s">
        <v>122</v>
      </c>
      <c r="B4680" s="27" t="s">
        <v>111</v>
      </c>
      <c r="C4680" s="27" t="s">
        <v>44</v>
      </c>
      <c r="D4680" s="27" t="s">
        <v>39</v>
      </c>
      <c r="E4680" s="28" t="n">
        <f aca="false">ROUND((SUMIFS(Acerto_Detalhado!$F$2:$F$433,Acerto_Detalhado!$A$2:$A$433,$C4680,Acerto_Detalhado!$B$2:$B$433,"Dez",Acerto_Detalhado!$C$2:$C$433,"Fibra"))*(SUMIFS(Acerto_Detalhado!$I$2:$I$433,Acerto_Detalhado!$A$2:$A$433,$D4680,Acerto_Detalhado!$B$2:$B$433,"Dez",Acerto_Detalhado!$C$2:$C$433,"Fibra")),2)</f>
        <v>0</v>
      </c>
    </row>
    <row r="4681" customFormat="false" ht="15" hidden="false" customHeight="false" outlineLevel="0" collapsed="false">
      <c r="A4681" s="27" t="s">
        <v>122</v>
      </c>
      <c r="B4681" s="27" t="s">
        <v>111</v>
      </c>
      <c r="C4681" s="27" t="s">
        <v>44</v>
      </c>
      <c r="D4681" s="27" t="s">
        <v>40</v>
      </c>
      <c r="E4681" s="28" t="n">
        <f aca="false">ROUND((SUMIFS(Acerto_Detalhado!$F$2:$F$433,Acerto_Detalhado!$A$2:$A$433,$C4681,Acerto_Detalhado!$B$2:$B$433,"Dez",Acerto_Detalhado!$C$2:$C$433,"Fibra"))*(SUMIFS(Acerto_Detalhado!$I$2:$I$433,Acerto_Detalhado!$A$2:$A$433,$D4681,Acerto_Detalhado!$B$2:$B$433,"Dez",Acerto_Detalhado!$C$2:$C$433,"Fibra")),2)</f>
        <v>0</v>
      </c>
    </row>
    <row r="4682" customFormat="false" ht="15" hidden="false" customHeight="false" outlineLevel="0" collapsed="false">
      <c r="A4682" s="27" t="s">
        <v>122</v>
      </c>
      <c r="B4682" s="27" t="s">
        <v>111</v>
      </c>
      <c r="C4682" s="27" t="s">
        <v>44</v>
      </c>
      <c r="D4682" s="27" t="s">
        <v>41</v>
      </c>
      <c r="E4682" s="28" t="n">
        <f aca="false">ROUND((SUMIFS(Acerto_Detalhado!$F$2:$F$433,Acerto_Detalhado!$A$2:$A$433,$C4682,Acerto_Detalhado!$B$2:$B$433,"Dez",Acerto_Detalhado!$C$2:$C$433,"Fibra"))*(SUMIFS(Acerto_Detalhado!$I$2:$I$433,Acerto_Detalhado!$A$2:$A$433,$D4682,Acerto_Detalhado!$B$2:$B$433,"Dez",Acerto_Detalhado!$C$2:$C$433,"Fibra")),2)</f>
        <v>0</v>
      </c>
    </row>
    <row r="4683" customFormat="false" ht="15" hidden="false" customHeight="false" outlineLevel="0" collapsed="false">
      <c r="A4683" s="27" t="s">
        <v>122</v>
      </c>
      <c r="B4683" s="27" t="s">
        <v>111</v>
      </c>
      <c r="C4683" s="27" t="s">
        <v>44</v>
      </c>
      <c r="D4683" s="27" t="s">
        <v>42</v>
      </c>
      <c r="E4683" s="28" t="n">
        <f aca="false">ROUND((SUMIFS(Acerto_Detalhado!$F$2:$F$433,Acerto_Detalhado!$A$2:$A$433,$C4683,Acerto_Detalhado!$B$2:$B$433,"Dez",Acerto_Detalhado!$C$2:$C$433,"Fibra"))*(SUMIFS(Acerto_Detalhado!$I$2:$I$433,Acerto_Detalhado!$A$2:$A$433,$D4683,Acerto_Detalhado!$B$2:$B$433,"Dez",Acerto_Detalhado!$C$2:$C$433,"Fibra")),2)</f>
        <v>0</v>
      </c>
    </row>
    <row r="4684" customFormat="false" ht="15" hidden="false" customHeight="false" outlineLevel="0" collapsed="false">
      <c r="A4684" s="27" t="s">
        <v>122</v>
      </c>
      <c r="B4684" s="27" t="s">
        <v>111</v>
      </c>
      <c r="C4684" s="27" t="s">
        <v>44</v>
      </c>
      <c r="D4684" s="27" t="s">
        <v>43</v>
      </c>
      <c r="E4684" s="28" t="n">
        <f aca="false">ROUND((SUMIFS(Acerto_Detalhado!$F$2:$F$433,Acerto_Detalhado!$A$2:$A$433,$C4684,Acerto_Detalhado!$B$2:$B$433,"Dez",Acerto_Detalhado!$C$2:$C$433,"Fibra"))*(SUMIFS(Acerto_Detalhado!$I$2:$I$433,Acerto_Detalhado!$A$2:$A$433,$D4684,Acerto_Detalhado!$B$2:$B$433,"Dez",Acerto_Detalhado!$C$2:$C$433,"Fibra")),2)</f>
        <v>0</v>
      </c>
    </row>
    <row r="4685" customFormat="false" ht="15" hidden="false" customHeight="false" outlineLevel="0" collapsed="false">
      <c r="A4685" s="27" t="s">
        <v>122</v>
      </c>
      <c r="B4685" s="27" t="s">
        <v>111</v>
      </c>
      <c r="C4685" s="27" t="s">
        <v>44</v>
      </c>
      <c r="D4685" s="27" t="s">
        <v>45</v>
      </c>
      <c r="E4685" s="28" t="n">
        <f aca="false">ROUND((SUMIFS(Acerto_Detalhado!$F$2:$F$433,Acerto_Detalhado!$A$2:$A$433,$C4685,Acerto_Detalhado!$B$2:$B$433,"Dez",Acerto_Detalhado!$C$2:$C$433,"Fibra"))*(SUMIFS(Acerto_Detalhado!$I$2:$I$433,Acerto_Detalhado!$A$2:$A$433,$D4685,Acerto_Detalhado!$B$2:$B$433,"Dez",Acerto_Detalhado!$C$2:$C$433,"Fibra")),2)</f>
        <v>0</v>
      </c>
    </row>
    <row r="4686" customFormat="false" ht="15" hidden="false" customHeight="false" outlineLevel="0" collapsed="false">
      <c r="A4686" s="27" t="s">
        <v>122</v>
      </c>
      <c r="B4686" s="27" t="s">
        <v>111</v>
      </c>
      <c r="C4686" s="27" t="s">
        <v>44</v>
      </c>
      <c r="D4686" s="27" t="s">
        <v>46</v>
      </c>
      <c r="E4686" s="28" t="n">
        <f aca="false">ROUND((SUMIFS(Acerto_Detalhado!$F$2:$F$433,Acerto_Detalhado!$A$2:$A$433,$C4686,Acerto_Detalhado!$B$2:$B$433,"Dez",Acerto_Detalhado!$C$2:$C$433,"Fibra"))*(SUMIFS(Acerto_Detalhado!$I$2:$I$433,Acerto_Detalhado!$A$2:$A$433,$D4686,Acerto_Detalhado!$B$2:$B$433,"Dez",Acerto_Detalhado!$C$2:$C$433,"Fibra")),2)</f>
        <v>0</v>
      </c>
    </row>
    <row r="4687" customFormat="false" ht="15" hidden="false" customHeight="false" outlineLevel="0" collapsed="false">
      <c r="A4687" s="27" t="s">
        <v>122</v>
      </c>
      <c r="B4687" s="27" t="s">
        <v>111</v>
      </c>
      <c r="C4687" s="27" t="s">
        <v>44</v>
      </c>
      <c r="D4687" s="27" t="s">
        <v>47</v>
      </c>
      <c r="E4687" s="28" t="n">
        <f aca="false">ROUND((SUMIFS(Acerto_Detalhado!$F$2:$F$433,Acerto_Detalhado!$A$2:$A$433,$C4687,Acerto_Detalhado!$B$2:$B$433,"Dez",Acerto_Detalhado!$C$2:$C$433,"Fibra"))*(SUMIFS(Acerto_Detalhado!$I$2:$I$433,Acerto_Detalhado!$A$2:$A$433,$D4687,Acerto_Detalhado!$B$2:$B$433,"Dez",Acerto_Detalhado!$C$2:$C$433,"Fibra")),2)</f>
        <v>0</v>
      </c>
    </row>
    <row r="4688" customFormat="false" ht="15" hidden="false" customHeight="false" outlineLevel="0" collapsed="false">
      <c r="A4688" s="27" t="s">
        <v>122</v>
      </c>
      <c r="B4688" s="27" t="s">
        <v>111</v>
      </c>
      <c r="C4688" s="27" t="s">
        <v>44</v>
      </c>
      <c r="D4688" s="27" t="s">
        <v>48</v>
      </c>
      <c r="E4688" s="28" t="n">
        <f aca="false">ROUND((SUMIFS(Acerto_Detalhado!$F$2:$F$433,Acerto_Detalhado!$A$2:$A$433,$C4688,Acerto_Detalhado!$B$2:$B$433,"Dez",Acerto_Detalhado!$C$2:$C$433,"Fibra"))*(SUMIFS(Acerto_Detalhado!$I$2:$I$433,Acerto_Detalhado!$A$2:$A$433,$D4688,Acerto_Detalhado!$B$2:$B$433,"Dez",Acerto_Detalhado!$C$2:$C$433,"Fibra")),2)</f>
        <v>0</v>
      </c>
    </row>
    <row r="4689" customFormat="false" ht="15" hidden="false" customHeight="false" outlineLevel="0" collapsed="false">
      <c r="A4689" s="27" t="s">
        <v>122</v>
      </c>
      <c r="B4689" s="27" t="s">
        <v>111</v>
      </c>
      <c r="C4689" s="27" t="s">
        <v>44</v>
      </c>
      <c r="D4689" s="27" t="s">
        <v>49</v>
      </c>
      <c r="E4689" s="28" t="n">
        <f aca="false">ROUND((SUMIFS(Acerto_Detalhado!$F$2:$F$433,Acerto_Detalhado!$A$2:$A$433,$C4689,Acerto_Detalhado!$B$2:$B$433,"Dez",Acerto_Detalhado!$C$2:$C$433,"Fibra"))*(SUMIFS(Acerto_Detalhado!$I$2:$I$433,Acerto_Detalhado!$A$2:$A$433,$D4689,Acerto_Detalhado!$B$2:$B$433,"Dez",Acerto_Detalhado!$C$2:$C$433,"Fibra")),2)</f>
        <v>0</v>
      </c>
    </row>
    <row r="4690" customFormat="false" ht="15" hidden="false" customHeight="false" outlineLevel="0" collapsed="false">
      <c r="A4690" s="27" t="s">
        <v>122</v>
      </c>
      <c r="B4690" s="27" t="s">
        <v>111</v>
      </c>
      <c r="C4690" s="27" t="s">
        <v>44</v>
      </c>
      <c r="D4690" s="27" t="s">
        <v>50</v>
      </c>
      <c r="E4690" s="28" t="n">
        <f aca="false">ROUND((SUMIFS(Acerto_Detalhado!$F$2:$F$433,Acerto_Detalhado!$A$2:$A$433,$C4690,Acerto_Detalhado!$B$2:$B$433,"Dez",Acerto_Detalhado!$C$2:$C$433,"Fibra"))*(SUMIFS(Acerto_Detalhado!$I$2:$I$433,Acerto_Detalhado!$A$2:$A$433,$D4690,Acerto_Detalhado!$B$2:$B$433,"Dez",Acerto_Detalhado!$C$2:$C$433,"Fibra")),2)</f>
        <v>0</v>
      </c>
    </row>
    <row r="4691" customFormat="false" ht="15" hidden="false" customHeight="false" outlineLevel="0" collapsed="false">
      <c r="A4691" s="27" t="s">
        <v>122</v>
      </c>
      <c r="B4691" s="27" t="s">
        <v>111</v>
      </c>
      <c r="C4691" s="27" t="s">
        <v>45</v>
      </c>
      <c r="D4691" s="27" t="s">
        <v>39</v>
      </c>
      <c r="E4691" s="28" t="n">
        <f aca="false">ROUND((SUMIFS(Acerto_Detalhado!$F$2:$F$433,Acerto_Detalhado!$A$2:$A$433,$C4691,Acerto_Detalhado!$B$2:$B$433,"Dez",Acerto_Detalhado!$C$2:$C$433,"Fibra"))*(SUMIFS(Acerto_Detalhado!$I$2:$I$433,Acerto_Detalhado!$A$2:$A$433,$D4691,Acerto_Detalhado!$B$2:$B$433,"Dez",Acerto_Detalhado!$C$2:$C$433,"Fibra")),2)</f>
        <v>0</v>
      </c>
    </row>
    <row r="4692" customFormat="false" ht="15" hidden="false" customHeight="false" outlineLevel="0" collapsed="false">
      <c r="A4692" s="27" t="s">
        <v>122</v>
      </c>
      <c r="B4692" s="27" t="s">
        <v>111</v>
      </c>
      <c r="C4692" s="27" t="s">
        <v>45</v>
      </c>
      <c r="D4692" s="27" t="s">
        <v>40</v>
      </c>
      <c r="E4692" s="28" t="n">
        <f aca="false">ROUND((SUMIFS(Acerto_Detalhado!$F$2:$F$433,Acerto_Detalhado!$A$2:$A$433,$C4692,Acerto_Detalhado!$B$2:$B$433,"Dez",Acerto_Detalhado!$C$2:$C$433,"Fibra"))*(SUMIFS(Acerto_Detalhado!$I$2:$I$433,Acerto_Detalhado!$A$2:$A$433,$D4692,Acerto_Detalhado!$B$2:$B$433,"Dez",Acerto_Detalhado!$C$2:$C$433,"Fibra")),2)</f>
        <v>0</v>
      </c>
    </row>
    <row r="4693" customFormat="false" ht="15" hidden="false" customHeight="false" outlineLevel="0" collapsed="false">
      <c r="A4693" s="27" t="s">
        <v>122</v>
      </c>
      <c r="B4693" s="27" t="s">
        <v>111</v>
      </c>
      <c r="C4693" s="27" t="s">
        <v>45</v>
      </c>
      <c r="D4693" s="27" t="s">
        <v>41</v>
      </c>
      <c r="E4693" s="28" t="n">
        <f aca="false">ROUND((SUMIFS(Acerto_Detalhado!$F$2:$F$433,Acerto_Detalhado!$A$2:$A$433,$C4693,Acerto_Detalhado!$B$2:$B$433,"Dez",Acerto_Detalhado!$C$2:$C$433,"Fibra"))*(SUMIFS(Acerto_Detalhado!$I$2:$I$433,Acerto_Detalhado!$A$2:$A$433,$D4693,Acerto_Detalhado!$B$2:$B$433,"Dez",Acerto_Detalhado!$C$2:$C$433,"Fibra")),2)</f>
        <v>0</v>
      </c>
    </row>
    <row r="4694" customFormat="false" ht="15" hidden="false" customHeight="false" outlineLevel="0" collapsed="false">
      <c r="A4694" s="27" t="s">
        <v>122</v>
      </c>
      <c r="B4694" s="27" t="s">
        <v>111</v>
      </c>
      <c r="C4694" s="27" t="s">
        <v>45</v>
      </c>
      <c r="D4694" s="27" t="s">
        <v>42</v>
      </c>
      <c r="E4694" s="28" t="n">
        <f aca="false">ROUND((SUMIFS(Acerto_Detalhado!$F$2:$F$433,Acerto_Detalhado!$A$2:$A$433,$C4694,Acerto_Detalhado!$B$2:$B$433,"Dez",Acerto_Detalhado!$C$2:$C$433,"Fibra"))*(SUMIFS(Acerto_Detalhado!$I$2:$I$433,Acerto_Detalhado!$A$2:$A$433,$D4694,Acerto_Detalhado!$B$2:$B$433,"Dez",Acerto_Detalhado!$C$2:$C$433,"Fibra")),2)</f>
        <v>0</v>
      </c>
    </row>
    <row r="4695" customFormat="false" ht="15" hidden="false" customHeight="false" outlineLevel="0" collapsed="false">
      <c r="A4695" s="27" t="s">
        <v>122</v>
      </c>
      <c r="B4695" s="27" t="s">
        <v>111</v>
      </c>
      <c r="C4695" s="27" t="s">
        <v>45</v>
      </c>
      <c r="D4695" s="27" t="s">
        <v>43</v>
      </c>
      <c r="E4695" s="28" t="n">
        <f aca="false">ROUND((SUMIFS(Acerto_Detalhado!$F$2:$F$433,Acerto_Detalhado!$A$2:$A$433,$C4695,Acerto_Detalhado!$B$2:$B$433,"Dez",Acerto_Detalhado!$C$2:$C$433,"Fibra"))*(SUMIFS(Acerto_Detalhado!$I$2:$I$433,Acerto_Detalhado!$A$2:$A$433,$D4695,Acerto_Detalhado!$B$2:$B$433,"Dez",Acerto_Detalhado!$C$2:$C$433,"Fibra")),2)</f>
        <v>0</v>
      </c>
    </row>
    <row r="4696" customFormat="false" ht="15" hidden="false" customHeight="false" outlineLevel="0" collapsed="false">
      <c r="A4696" s="27" t="s">
        <v>122</v>
      </c>
      <c r="B4696" s="27" t="s">
        <v>111</v>
      </c>
      <c r="C4696" s="27" t="s">
        <v>45</v>
      </c>
      <c r="D4696" s="27" t="s">
        <v>44</v>
      </c>
      <c r="E4696" s="28" t="n">
        <f aca="false">ROUND((SUMIFS(Acerto_Detalhado!$F$2:$F$433,Acerto_Detalhado!$A$2:$A$433,$C4696,Acerto_Detalhado!$B$2:$B$433,"Dez",Acerto_Detalhado!$C$2:$C$433,"Fibra"))*(SUMIFS(Acerto_Detalhado!$I$2:$I$433,Acerto_Detalhado!$A$2:$A$433,$D4696,Acerto_Detalhado!$B$2:$B$433,"Dez",Acerto_Detalhado!$C$2:$C$433,"Fibra")),2)</f>
        <v>0</v>
      </c>
    </row>
    <row r="4697" customFormat="false" ht="15" hidden="false" customHeight="false" outlineLevel="0" collapsed="false">
      <c r="A4697" s="27" t="s">
        <v>122</v>
      </c>
      <c r="B4697" s="27" t="s">
        <v>111</v>
      </c>
      <c r="C4697" s="27" t="s">
        <v>45</v>
      </c>
      <c r="D4697" s="27" t="s">
        <v>46</v>
      </c>
      <c r="E4697" s="28" t="n">
        <f aca="false">ROUND((SUMIFS(Acerto_Detalhado!$F$2:$F$433,Acerto_Detalhado!$A$2:$A$433,$C4697,Acerto_Detalhado!$B$2:$B$433,"Dez",Acerto_Detalhado!$C$2:$C$433,"Fibra"))*(SUMIFS(Acerto_Detalhado!$I$2:$I$433,Acerto_Detalhado!$A$2:$A$433,$D4697,Acerto_Detalhado!$B$2:$B$433,"Dez",Acerto_Detalhado!$C$2:$C$433,"Fibra")),2)</f>
        <v>0</v>
      </c>
    </row>
    <row r="4698" customFormat="false" ht="15" hidden="false" customHeight="false" outlineLevel="0" collapsed="false">
      <c r="A4698" s="27" t="s">
        <v>122</v>
      </c>
      <c r="B4698" s="27" t="s">
        <v>111</v>
      </c>
      <c r="C4698" s="27" t="s">
        <v>45</v>
      </c>
      <c r="D4698" s="27" t="s">
        <v>47</v>
      </c>
      <c r="E4698" s="28" t="n">
        <f aca="false">ROUND((SUMIFS(Acerto_Detalhado!$F$2:$F$433,Acerto_Detalhado!$A$2:$A$433,$C4698,Acerto_Detalhado!$B$2:$B$433,"Dez",Acerto_Detalhado!$C$2:$C$433,"Fibra"))*(SUMIFS(Acerto_Detalhado!$I$2:$I$433,Acerto_Detalhado!$A$2:$A$433,$D4698,Acerto_Detalhado!$B$2:$B$433,"Dez",Acerto_Detalhado!$C$2:$C$433,"Fibra")),2)</f>
        <v>0</v>
      </c>
    </row>
    <row r="4699" customFormat="false" ht="15" hidden="false" customHeight="false" outlineLevel="0" collapsed="false">
      <c r="A4699" s="27" t="s">
        <v>122</v>
      </c>
      <c r="B4699" s="27" t="s">
        <v>111</v>
      </c>
      <c r="C4699" s="27" t="s">
        <v>45</v>
      </c>
      <c r="D4699" s="27" t="s">
        <v>48</v>
      </c>
      <c r="E4699" s="28" t="n">
        <f aca="false">ROUND((SUMIFS(Acerto_Detalhado!$F$2:$F$433,Acerto_Detalhado!$A$2:$A$433,$C4699,Acerto_Detalhado!$B$2:$B$433,"Dez",Acerto_Detalhado!$C$2:$C$433,"Fibra"))*(SUMIFS(Acerto_Detalhado!$I$2:$I$433,Acerto_Detalhado!$A$2:$A$433,$D4699,Acerto_Detalhado!$B$2:$B$433,"Dez",Acerto_Detalhado!$C$2:$C$433,"Fibra")),2)</f>
        <v>0</v>
      </c>
    </row>
    <row r="4700" customFormat="false" ht="15" hidden="false" customHeight="false" outlineLevel="0" collapsed="false">
      <c r="A4700" s="27" t="s">
        <v>122</v>
      </c>
      <c r="B4700" s="27" t="s">
        <v>111</v>
      </c>
      <c r="C4700" s="27" t="s">
        <v>45</v>
      </c>
      <c r="D4700" s="27" t="s">
        <v>49</v>
      </c>
      <c r="E4700" s="28" t="n">
        <f aca="false">ROUND((SUMIFS(Acerto_Detalhado!$F$2:$F$433,Acerto_Detalhado!$A$2:$A$433,$C4700,Acerto_Detalhado!$B$2:$B$433,"Dez",Acerto_Detalhado!$C$2:$C$433,"Fibra"))*(SUMIFS(Acerto_Detalhado!$I$2:$I$433,Acerto_Detalhado!$A$2:$A$433,$D4700,Acerto_Detalhado!$B$2:$B$433,"Dez",Acerto_Detalhado!$C$2:$C$433,"Fibra")),2)</f>
        <v>0</v>
      </c>
    </row>
    <row r="4701" customFormat="false" ht="15" hidden="false" customHeight="false" outlineLevel="0" collapsed="false">
      <c r="A4701" s="27" t="s">
        <v>122</v>
      </c>
      <c r="B4701" s="27" t="s">
        <v>111</v>
      </c>
      <c r="C4701" s="27" t="s">
        <v>45</v>
      </c>
      <c r="D4701" s="27" t="s">
        <v>50</v>
      </c>
      <c r="E4701" s="28" t="n">
        <f aca="false">ROUND((SUMIFS(Acerto_Detalhado!$F$2:$F$433,Acerto_Detalhado!$A$2:$A$433,$C4701,Acerto_Detalhado!$B$2:$B$433,"Dez",Acerto_Detalhado!$C$2:$C$433,"Fibra"))*(SUMIFS(Acerto_Detalhado!$I$2:$I$433,Acerto_Detalhado!$A$2:$A$433,$D4701,Acerto_Detalhado!$B$2:$B$433,"Dez",Acerto_Detalhado!$C$2:$C$433,"Fibra")),2)</f>
        <v>0</v>
      </c>
    </row>
    <row r="4702" customFormat="false" ht="15" hidden="false" customHeight="false" outlineLevel="0" collapsed="false">
      <c r="A4702" s="27" t="s">
        <v>122</v>
      </c>
      <c r="B4702" s="27" t="s">
        <v>111</v>
      </c>
      <c r="C4702" s="27" t="s">
        <v>46</v>
      </c>
      <c r="D4702" s="27" t="s">
        <v>39</v>
      </c>
      <c r="E4702" s="28" t="n">
        <f aca="false">ROUND((SUMIFS(Acerto_Detalhado!$F$2:$F$433,Acerto_Detalhado!$A$2:$A$433,$C4702,Acerto_Detalhado!$B$2:$B$433,"Dez",Acerto_Detalhado!$C$2:$C$433,"Fibra"))*(SUMIFS(Acerto_Detalhado!$I$2:$I$433,Acerto_Detalhado!$A$2:$A$433,$D4702,Acerto_Detalhado!$B$2:$B$433,"Dez",Acerto_Detalhado!$C$2:$C$433,"Fibra")),2)</f>
        <v>0</v>
      </c>
    </row>
    <row r="4703" customFormat="false" ht="15" hidden="false" customHeight="false" outlineLevel="0" collapsed="false">
      <c r="A4703" s="27" t="s">
        <v>122</v>
      </c>
      <c r="B4703" s="27" t="s">
        <v>111</v>
      </c>
      <c r="C4703" s="27" t="s">
        <v>46</v>
      </c>
      <c r="D4703" s="27" t="s">
        <v>40</v>
      </c>
      <c r="E4703" s="28" t="n">
        <f aca="false">ROUND((SUMIFS(Acerto_Detalhado!$F$2:$F$433,Acerto_Detalhado!$A$2:$A$433,$C4703,Acerto_Detalhado!$B$2:$B$433,"Dez",Acerto_Detalhado!$C$2:$C$433,"Fibra"))*(SUMIFS(Acerto_Detalhado!$I$2:$I$433,Acerto_Detalhado!$A$2:$A$433,$D4703,Acerto_Detalhado!$B$2:$B$433,"Dez",Acerto_Detalhado!$C$2:$C$433,"Fibra")),2)</f>
        <v>0</v>
      </c>
    </row>
    <row r="4704" customFormat="false" ht="15" hidden="false" customHeight="false" outlineLevel="0" collapsed="false">
      <c r="A4704" s="27" t="s">
        <v>122</v>
      </c>
      <c r="B4704" s="27" t="s">
        <v>111</v>
      </c>
      <c r="C4704" s="27" t="s">
        <v>46</v>
      </c>
      <c r="D4704" s="27" t="s">
        <v>41</v>
      </c>
      <c r="E4704" s="28" t="n">
        <f aca="false">ROUND((SUMIFS(Acerto_Detalhado!$F$2:$F$433,Acerto_Detalhado!$A$2:$A$433,$C4704,Acerto_Detalhado!$B$2:$B$433,"Dez",Acerto_Detalhado!$C$2:$C$433,"Fibra"))*(SUMIFS(Acerto_Detalhado!$I$2:$I$433,Acerto_Detalhado!$A$2:$A$433,$D4704,Acerto_Detalhado!$B$2:$B$433,"Dez",Acerto_Detalhado!$C$2:$C$433,"Fibra")),2)</f>
        <v>0</v>
      </c>
    </row>
    <row r="4705" customFormat="false" ht="15" hidden="false" customHeight="false" outlineLevel="0" collapsed="false">
      <c r="A4705" s="27" t="s">
        <v>122</v>
      </c>
      <c r="B4705" s="27" t="s">
        <v>111</v>
      </c>
      <c r="C4705" s="27" t="s">
        <v>46</v>
      </c>
      <c r="D4705" s="27" t="s">
        <v>42</v>
      </c>
      <c r="E4705" s="28" t="n">
        <f aca="false">ROUND((SUMIFS(Acerto_Detalhado!$F$2:$F$433,Acerto_Detalhado!$A$2:$A$433,$C4705,Acerto_Detalhado!$B$2:$B$433,"Dez",Acerto_Detalhado!$C$2:$C$433,"Fibra"))*(SUMIFS(Acerto_Detalhado!$I$2:$I$433,Acerto_Detalhado!$A$2:$A$433,$D4705,Acerto_Detalhado!$B$2:$B$433,"Dez",Acerto_Detalhado!$C$2:$C$433,"Fibra")),2)</f>
        <v>0</v>
      </c>
    </row>
    <row r="4706" customFormat="false" ht="15" hidden="false" customHeight="false" outlineLevel="0" collapsed="false">
      <c r="A4706" s="27" t="s">
        <v>122</v>
      </c>
      <c r="B4706" s="27" t="s">
        <v>111</v>
      </c>
      <c r="C4706" s="27" t="s">
        <v>46</v>
      </c>
      <c r="D4706" s="27" t="s">
        <v>43</v>
      </c>
      <c r="E4706" s="28" t="n">
        <f aca="false">ROUND((SUMIFS(Acerto_Detalhado!$F$2:$F$433,Acerto_Detalhado!$A$2:$A$433,$C4706,Acerto_Detalhado!$B$2:$B$433,"Dez",Acerto_Detalhado!$C$2:$C$433,"Fibra"))*(SUMIFS(Acerto_Detalhado!$I$2:$I$433,Acerto_Detalhado!$A$2:$A$433,$D4706,Acerto_Detalhado!$B$2:$B$433,"Dez",Acerto_Detalhado!$C$2:$C$433,"Fibra")),2)</f>
        <v>0</v>
      </c>
    </row>
    <row r="4707" customFormat="false" ht="15" hidden="false" customHeight="false" outlineLevel="0" collapsed="false">
      <c r="A4707" s="27" t="s">
        <v>122</v>
      </c>
      <c r="B4707" s="27" t="s">
        <v>111</v>
      </c>
      <c r="C4707" s="27" t="s">
        <v>46</v>
      </c>
      <c r="D4707" s="27" t="s">
        <v>44</v>
      </c>
      <c r="E4707" s="28" t="n">
        <f aca="false">ROUND((SUMIFS(Acerto_Detalhado!$F$2:$F$433,Acerto_Detalhado!$A$2:$A$433,$C4707,Acerto_Detalhado!$B$2:$B$433,"Dez",Acerto_Detalhado!$C$2:$C$433,"Fibra"))*(SUMIFS(Acerto_Detalhado!$I$2:$I$433,Acerto_Detalhado!$A$2:$A$433,$D4707,Acerto_Detalhado!$B$2:$B$433,"Dez",Acerto_Detalhado!$C$2:$C$433,"Fibra")),2)</f>
        <v>0</v>
      </c>
    </row>
    <row r="4708" customFormat="false" ht="15" hidden="false" customHeight="false" outlineLevel="0" collapsed="false">
      <c r="A4708" s="27" t="s">
        <v>122</v>
      </c>
      <c r="B4708" s="27" t="s">
        <v>111</v>
      </c>
      <c r="C4708" s="27" t="s">
        <v>46</v>
      </c>
      <c r="D4708" s="27" t="s">
        <v>45</v>
      </c>
      <c r="E4708" s="28" t="n">
        <f aca="false">ROUND((SUMIFS(Acerto_Detalhado!$F$2:$F$433,Acerto_Detalhado!$A$2:$A$433,$C4708,Acerto_Detalhado!$B$2:$B$433,"Dez",Acerto_Detalhado!$C$2:$C$433,"Fibra"))*(SUMIFS(Acerto_Detalhado!$I$2:$I$433,Acerto_Detalhado!$A$2:$A$433,$D4708,Acerto_Detalhado!$B$2:$B$433,"Dez",Acerto_Detalhado!$C$2:$C$433,"Fibra")),2)</f>
        <v>0</v>
      </c>
    </row>
    <row r="4709" customFormat="false" ht="15" hidden="false" customHeight="false" outlineLevel="0" collapsed="false">
      <c r="A4709" s="27" t="s">
        <v>122</v>
      </c>
      <c r="B4709" s="27" t="s">
        <v>111</v>
      </c>
      <c r="C4709" s="27" t="s">
        <v>46</v>
      </c>
      <c r="D4709" s="27" t="s">
        <v>47</v>
      </c>
      <c r="E4709" s="28" t="n">
        <f aca="false">ROUND((SUMIFS(Acerto_Detalhado!$F$2:$F$433,Acerto_Detalhado!$A$2:$A$433,$C4709,Acerto_Detalhado!$B$2:$B$433,"Dez",Acerto_Detalhado!$C$2:$C$433,"Fibra"))*(SUMIFS(Acerto_Detalhado!$I$2:$I$433,Acerto_Detalhado!$A$2:$A$433,$D4709,Acerto_Detalhado!$B$2:$B$433,"Dez",Acerto_Detalhado!$C$2:$C$433,"Fibra")),2)</f>
        <v>0</v>
      </c>
    </row>
    <row r="4710" customFormat="false" ht="15" hidden="false" customHeight="false" outlineLevel="0" collapsed="false">
      <c r="A4710" s="27" t="s">
        <v>122</v>
      </c>
      <c r="B4710" s="27" t="s">
        <v>111</v>
      </c>
      <c r="C4710" s="27" t="s">
        <v>46</v>
      </c>
      <c r="D4710" s="27" t="s">
        <v>48</v>
      </c>
      <c r="E4710" s="28" t="n">
        <f aca="false">ROUND((SUMIFS(Acerto_Detalhado!$F$2:$F$433,Acerto_Detalhado!$A$2:$A$433,$C4710,Acerto_Detalhado!$B$2:$B$433,"Dez",Acerto_Detalhado!$C$2:$C$433,"Fibra"))*(SUMIFS(Acerto_Detalhado!$I$2:$I$433,Acerto_Detalhado!$A$2:$A$433,$D4710,Acerto_Detalhado!$B$2:$B$433,"Dez",Acerto_Detalhado!$C$2:$C$433,"Fibra")),2)</f>
        <v>0</v>
      </c>
    </row>
    <row r="4711" customFormat="false" ht="15" hidden="false" customHeight="false" outlineLevel="0" collapsed="false">
      <c r="A4711" s="27" t="s">
        <v>122</v>
      </c>
      <c r="B4711" s="27" t="s">
        <v>111</v>
      </c>
      <c r="C4711" s="27" t="s">
        <v>46</v>
      </c>
      <c r="D4711" s="27" t="s">
        <v>49</v>
      </c>
      <c r="E4711" s="28" t="n">
        <f aca="false">ROUND((SUMIFS(Acerto_Detalhado!$F$2:$F$433,Acerto_Detalhado!$A$2:$A$433,$C4711,Acerto_Detalhado!$B$2:$B$433,"Dez",Acerto_Detalhado!$C$2:$C$433,"Fibra"))*(SUMIFS(Acerto_Detalhado!$I$2:$I$433,Acerto_Detalhado!$A$2:$A$433,$D4711,Acerto_Detalhado!$B$2:$B$433,"Dez",Acerto_Detalhado!$C$2:$C$433,"Fibra")),2)</f>
        <v>0</v>
      </c>
    </row>
    <row r="4712" customFormat="false" ht="15" hidden="false" customHeight="false" outlineLevel="0" collapsed="false">
      <c r="A4712" s="27" t="s">
        <v>122</v>
      </c>
      <c r="B4712" s="27" t="s">
        <v>111</v>
      </c>
      <c r="C4712" s="27" t="s">
        <v>46</v>
      </c>
      <c r="D4712" s="27" t="s">
        <v>50</v>
      </c>
      <c r="E4712" s="28" t="n">
        <f aca="false">ROUND((SUMIFS(Acerto_Detalhado!$F$2:$F$433,Acerto_Detalhado!$A$2:$A$433,$C4712,Acerto_Detalhado!$B$2:$B$433,"Dez",Acerto_Detalhado!$C$2:$C$433,"Fibra"))*(SUMIFS(Acerto_Detalhado!$I$2:$I$433,Acerto_Detalhado!$A$2:$A$433,$D4712,Acerto_Detalhado!$B$2:$B$433,"Dez",Acerto_Detalhado!$C$2:$C$433,"Fibra")),2)</f>
        <v>0</v>
      </c>
    </row>
    <row r="4713" customFormat="false" ht="15" hidden="false" customHeight="false" outlineLevel="0" collapsed="false">
      <c r="A4713" s="27" t="s">
        <v>122</v>
      </c>
      <c r="B4713" s="27" t="s">
        <v>111</v>
      </c>
      <c r="C4713" s="27" t="s">
        <v>47</v>
      </c>
      <c r="D4713" s="27" t="s">
        <v>39</v>
      </c>
      <c r="E4713" s="28" t="n">
        <f aca="false">ROUND((SUMIFS(Acerto_Detalhado!$F$2:$F$433,Acerto_Detalhado!$A$2:$A$433,$C4713,Acerto_Detalhado!$B$2:$B$433,"Dez",Acerto_Detalhado!$C$2:$C$433,"Fibra"))*(SUMIFS(Acerto_Detalhado!$I$2:$I$433,Acerto_Detalhado!$A$2:$A$433,$D4713,Acerto_Detalhado!$B$2:$B$433,"Dez",Acerto_Detalhado!$C$2:$C$433,"Fibra")),2)</f>
        <v>0</v>
      </c>
    </row>
    <row r="4714" customFormat="false" ht="15" hidden="false" customHeight="false" outlineLevel="0" collapsed="false">
      <c r="A4714" s="27" t="s">
        <v>122</v>
      </c>
      <c r="B4714" s="27" t="s">
        <v>111</v>
      </c>
      <c r="C4714" s="27" t="s">
        <v>47</v>
      </c>
      <c r="D4714" s="27" t="s">
        <v>40</v>
      </c>
      <c r="E4714" s="28" t="n">
        <f aca="false">ROUND((SUMIFS(Acerto_Detalhado!$F$2:$F$433,Acerto_Detalhado!$A$2:$A$433,$C4714,Acerto_Detalhado!$B$2:$B$433,"Dez",Acerto_Detalhado!$C$2:$C$433,"Fibra"))*(SUMIFS(Acerto_Detalhado!$I$2:$I$433,Acerto_Detalhado!$A$2:$A$433,$D4714,Acerto_Detalhado!$B$2:$B$433,"Dez",Acerto_Detalhado!$C$2:$C$433,"Fibra")),2)</f>
        <v>0</v>
      </c>
    </row>
    <row r="4715" customFormat="false" ht="15" hidden="false" customHeight="false" outlineLevel="0" collapsed="false">
      <c r="A4715" s="27" t="s">
        <v>122</v>
      </c>
      <c r="B4715" s="27" t="s">
        <v>111</v>
      </c>
      <c r="C4715" s="27" t="s">
        <v>47</v>
      </c>
      <c r="D4715" s="27" t="s">
        <v>41</v>
      </c>
      <c r="E4715" s="28" t="n">
        <f aca="false">ROUND((SUMIFS(Acerto_Detalhado!$F$2:$F$433,Acerto_Detalhado!$A$2:$A$433,$C4715,Acerto_Detalhado!$B$2:$B$433,"Dez",Acerto_Detalhado!$C$2:$C$433,"Fibra"))*(SUMIFS(Acerto_Detalhado!$I$2:$I$433,Acerto_Detalhado!$A$2:$A$433,$D4715,Acerto_Detalhado!$B$2:$B$433,"Dez",Acerto_Detalhado!$C$2:$C$433,"Fibra")),2)</f>
        <v>0</v>
      </c>
    </row>
    <row r="4716" customFormat="false" ht="15" hidden="false" customHeight="false" outlineLevel="0" collapsed="false">
      <c r="A4716" s="27" t="s">
        <v>122</v>
      </c>
      <c r="B4716" s="27" t="s">
        <v>111</v>
      </c>
      <c r="C4716" s="27" t="s">
        <v>47</v>
      </c>
      <c r="D4716" s="27" t="s">
        <v>42</v>
      </c>
      <c r="E4716" s="28" t="n">
        <f aca="false">ROUND((SUMIFS(Acerto_Detalhado!$F$2:$F$433,Acerto_Detalhado!$A$2:$A$433,$C4716,Acerto_Detalhado!$B$2:$B$433,"Dez",Acerto_Detalhado!$C$2:$C$433,"Fibra"))*(SUMIFS(Acerto_Detalhado!$I$2:$I$433,Acerto_Detalhado!$A$2:$A$433,$D4716,Acerto_Detalhado!$B$2:$B$433,"Dez",Acerto_Detalhado!$C$2:$C$433,"Fibra")),2)</f>
        <v>0</v>
      </c>
    </row>
    <row r="4717" customFormat="false" ht="15" hidden="false" customHeight="false" outlineLevel="0" collapsed="false">
      <c r="A4717" s="27" t="s">
        <v>122</v>
      </c>
      <c r="B4717" s="27" t="s">
        <v>111</v>
      </c>
      <c r="C4717" s="27" t="s">
        <v>47</v>
      </c>
      <c r="D4717" s="27" t="s">
        <v>43</v>
      </c>
      <c r="E4717" s="28" t="n">
        <f aca="false">ROUND((SUMIFS(Acerto_Detalhado!$F$2:$F$433,Acerto_Detalhado!$A$2:$A$433,$C4717,Acerto_Detalhado!$B$2:$B$433,"Dez",Acerto_Detalhado!$C$2:$C$433,"Fibra"))*(SUMIFS(Acerto_Detalhado!$I$2:$I$433,Acerto_Detalhado!$A$2:$A$433,$D4717,Acerto_Detalhado!$B$2:$B$433,"Dez",Acerto_Detalhado!$C$2:$C$433,"Fibra")),2)</f>
        <v>0</v>
      </c>
    </row>
    <row r="4718" customFormat="false" ht="15" hidden="false" customHeight="false" outlineLevel="0" collapsed="false">
      <c r="A4718" s="27" t="s">
        <v>122</v>
      </c>
      <c r="B4718" s="27" t="s">
        <v>111</v>
      </c>
      <c r="C4718" s="27" t="s">
        <v>47</v>
      </c>
      <c r="D4718" s="27" t="s">
        <v>44</v>
      </c>
      <c r="E4718" s="28" t="n">
        <f aca="false">ROUND((SUMIFS(Acerto_Detalhado!$F$2:$F$433,Acerto_Detalhado!$A$2:$A$433,$C4718,Acerto_Detalhado!$B$2:$B$433,"Dez",Acerto_Detalhado!$C$2:$C$433,"Fibra"))*(SUMIFS(Acerto_Detalhado!$I$2:$I$433,Acerto_Detalhado!$A$2:$A$433,$D4718,Acerto_Detalhado!$B$2:$B$433,"Dez",Acerto_Detalhado!$C$2:$C$433,"Fibra")),2)</f>
        <v>0</v>
      </c>
    </row>
    <row r="4719" customFormat="false" ht="15" hidden="false" customHeight="false" outlineLevel="0" collapsed="false">
      <c r="A4719" s="27" t="s">
        <v>122</v>
      </c>
      <c r="B4719" s="27" t="s">
        <v>111</v>
      </c>
      <c r="C4719" s="27" t="s">
        <v>47</v>
      </c>
      <c r="D4719" s="27" t="s">
        <v>45</v>
      </c>
      <c r="E4719" s="28" t="n">
        <f aca="false">ROUND((SUMIFS(Acerto_Detalhado!$F$2:$F$433,Acerto_Detalhado!$A$2:$A$433,$C4719,Acerto_Detalhado!$B$2:$B$433,"Dez",Acerto_Detalhado!$C$2:$C$433,"Fibra"))*(SUMIFS(Acerto_Detalhado!$I$2:$I$433,Acerto_Detalhado!$A$2:$A$433,$D4719,Acerto_Detalhado!$B$2:$B$433,"Dez",Acerto_Detalhado!$C$2:$C$433,"Fibra")),2)</f>
        <v>0</v>
      </c>
    </row>
    <row r="4720" customFormat="false" ht="15" hidden="false" customHeight="false" outlineLevel="0" collapsed="false">
      <c r="A4720" s="27" t="s">
        <v>122</v>
      </c>
      <c r="B4720" s="27" t="s">
        <v>111</v>
      </c>
      <c r="C4720" s="27" t="s">
        <v>47</v>
      </c>
      <c r="D4720" s="27" t="s">
        <v>46</v>
      </c>
      <c r="E4720" s="28" t="n">
        <f aca="false">ROUND((SUMIFS(Acerto_Detalhado!$F$2:$F$433,Acerto_Detalhado!$A$2:$A$433,$C4720,Acerto_Detalhado!$B$2:$B$433,"Dez",Acerto_Detalhado!$C$2:$C$433,"Fibra"))*(SUMIFS(Acerto_Detalhado!$I$2:$I$433,Acerto_Detalhado!$A$2:$A$433,$D4720,Acerto_Detalhado!$B$2:$B$433,"Dez",Acerto_Detalhado!$C$2:$C$433,"Fibra")),2)</f>
        <v>0</v>
      </c>
    </row>
    <row r="4721" customFormat="false" ht="15" hidden="false" customHeight="false" outlineLevel="0" collapsed="false">
      <c r="A4721" s="27" t="s">
        <v>122</v>
      </c>
      <c r="B4721" s="27" t="s">
        <v>111</v>
      </c>
      <c r="C4721" s="27" t="s">
        <v>47</v>
      </c>
      <c r="D4721" s="27" t="s">
        <v>48</v>
      </c>
      <c r="E4721" s="28" t="n">
        <f aca="false">ROUND((SUMIFS(Acerto_Detalhado!$F$2:$F$433,Acerto_Detalhado!$A$2:$A$433,$C4721,Acerto_Detalhado!$B$2:$B$433,"Dez",Acerto_Detalhado!$C$2:$C$433,"Fibra"))*(SUMIFS(Acerto_Detalhado!$I$2:$I$433,Acerto_Detalhado!$A$2:$A$433,$D4721,Acerto_Detalhado!$B$2:$B$433,"Dez",Acerto_Detalhado!$C$2:$C$433,"Fibra")),2)</f>
        <v>0</v>
      </c>
    </row>
    <row r="4722" customFormat="false" ht="15" hidden="false" customHeight="false" outlineLevel="0" collapsed="false">
      <c r="A4722" s="27" t="s">
        <v>122</v>
      </c>
      <c r="B4722" s="27" t="s">
        <v>111</v>
      </c>
      <c r="C4722" s="27" t="s">
        <v>47</v>
      </c>
      <c r="D4722" s="27" t="s">
        <v>49</v>
      </c>
      <c r="E4722" s="28" t="n">
        <f aca="false">ROUND((SUMIFS(Acerto_Detalhado!$F$2:$F$433,Acerto_Detalhado!$A$2:$A$433,$C4722,Acerto_Detalhado!$B$2:$B$433,"Dez",Acerto_Detalhado!$C$2:$C$433,"Fibra"))*(SUMIFS(Acerto_Detalhado!$I$2:$I$433,Acerto_Detalhado!$A$2:$A$433,$D4722,Acerto_Detalhado!$B$2:$B$433,"Dez",Acerto_Detalhado!$C$2:$C$433,"Fibra")),2)</f>
        <v>0</v>
      </c>
    </row>
    <row r="4723" customFormat="false" ht="15" hidden="false" customHeight="false" outlineLevel="0" collapsed="false">
      <c r="A4723" s="27" t="s">
        <v>122</v>
      </c>
      <c r="B4723" s="27" t="s">
        <v>111</v>
      </c>
      <c r="C4723" s="27" t="s">
        <v>47</v>
      </c>
      <c r="D4723" s="27" t="s">
        <v>50</v>
      </c>
      <c r="E4723" s="28" t="n">
        <f aca="false">ROUND((SUMIFS(Acerto_Detalhado!$F$2:$F$433,Acerto_Detalhado!$A$2:$A$433,$C4723,Acerto_Detalhado!$B$2:$B$433,"Dez",Acerto_Detalhado!$C$2:$C$433,"Fibra"))*(SUMIFS(Acerto_Detalhado!$I$2:$I$433,Acerto_Detalhado!$A$2:$A$433,$D4723,Acerto_Detalhado!$B$2:$B$433,"Dez",Acerto_Detalhado!$C$2:$C$433,"Fibra")),2)</f>
        <v>0</v>
      </c>
    </row>
    <row r="4724" customFormat="false" ht="15" hidden="false" customHeight="false" outlineLevel="0" collapsed="false">
      <c r="A4724" s="27" t="s">
        <v>122</v>
      </c>
      <c r="B4724" s="27" t="s">
        <v>111</v>
      </c>
      <c r="C4724" s="27" t="s">
        <v>48</v>
      </c>
      <c r="D4724" s="27" t="s">
        <v>39</v>
      </c>
      <c r="E4724" s="28" t="n">
        <f aca="false">ROUND((SUMIFS(Acerto_Detalhado!$F$2:$F$433,Acerto_Detalhado!$A$2:$A$433,$C4724,Acerto_Detalhado!$B$2:$B$433,"Dez",Acerto_Detalhado!$C$2:$C$433,"Fibra"))*(SUMIFS(Acerto_Detalhado!$I$2:$I$433,Acerto_Detalhado!$A$2:$A$433,$D4724,Acerto_Detalhado!$B$2:$B$433,"Dez",Acerto_Detalhado!$C$2:$C$433,"Fibra")),2)</f>
        <v>0</v>
      </c>
    </row>
    <row r="4725" customFormat="false" ht="15" hidden="false" customHeight="false" outlineLevel="0" collapsed="false">
      <c r="A4725" s="27" t="s">
        <v>122</v>
      </c>
      <c r="B4725" s="27" t="s">
        <v>111</v>
      </c>
      <c r="C4725" s="27" t="s">
        <v>48</v>
      </c>
      <c r="D4725" s="27" t="s">
        <v>40</v>
      </c>
      <c r="E4725" s="28" t="n">
        <f aca="false">ROUND((SUMIFS(Acerto_Detalhado!$F$2:$F$433,Acerto_Detalhado!$A$2:$A$433,$C4725,Acerto_Detalhado!$B$2:$B$433,"Dez",Acerto_Detalhado!$C$2:$C$433,"Fibra"))*(SUMIFS(Acerto_Detalhado!$I$2:$I$433,Acerto_Detalhado!$A$2:$A$433,$D4725,Acerto_Detalhado!$B$2:$B$433,"Dez",Acerto_Detalhado!$C$2:$C$433,"Fibra")),2)</f>
        <v>0</v>
      </c>
    </row>
    <row r="4726" customFormat="false" ht="15" hidden="false" customHeight="false" outlineLevel="0" collapsed="false">
      <c r="A4726" s="27" t="s">
        <v>122</v>
      </c>
      <c r="B4726" s="27" t="s">
        <v>111</v>
      </c>
      <c r="C4726" s="27" t="s">
        <v>48</v>
      </c>
      <c r="D4726" s="27" t="s">
        <v>41</v>
      </c>
      <c r="E4726" s="28" t="n">
        <f aca="false">ROUND((SUMIFS(Acerto_Detalhado!$F$2:$F$433,Acerto_Detalhado!$A$2:$A$433,$C4726,Acerto_Detalhado!$B$2:$B$433,"Dez",Acerto_Detalhado!$C$2:$C$433,"Fibra"))*(SUMIFS(Acerto_Detalhado!$I$2:$I$433,Acerto_Detalhado!$A$2:$A$433,$D4726,Acerto_Detalhado!$B$2:$B$433,"Dez",Acerto_Detalhado!$C$2:$C$433,"Fibra")),2)</f>
        <v>0</v>
      </c>
    </row>
    <row r="4727" customFormat="false" ht="15" hidden="false" customHeight="false" outlineLevel="0" collapsed="false">
      <c r="A4727" s="27" t="s">
        <v>122</v>
      </c>
      <c r="B4727" s="27" t="s">
        <v>111</v>
      </c>
      <c r="C4727" s="27" t="s">
        <v>48</v>
      </c>
      <c r="D4727" s="27" t="s">
        <v>42</v>
      </c>
      <c r="E4727" s="28" t="n">
        <f aca="false">ROUND((SUMIFS(Acerto_Detalhado!$F$2:$F$433,Acerto_Detalhado!$A$2:$A$433,$C4727,Acerto_Detalhado!$B$2:$B$433,"Dez",Acerto_Detalhado!$C$2:$C$433,"Fibra"))*(SUMIFS(Acerto_Detalhado!$I$2:$I$433,Acerto_Detalhado!$A$2:$A$433,$D4727,Acerto_Detalhado!$B$2:$B$433,"Dez",Acerto_Detalhado!$C$2:$C$433,"Fibra")),2)</f>
        <v>0</v>
      </c>
    </row>
    <row r="4728" customFormat="false" ht="15" hidden="false" customHeight="false" outlineLevel="0" collapsed="false">
      <c r="A4728" s="27" t="s">
        <v>122</v>
      </c>
      <c r="B4728" s="27" t="s">
        <v>111</v>
      </c>
      <c r="C4728" s="27" t="s">
        <v>48</v>
      </c>
      <c r="D4728" s="27" t="s">
        <v>43</v>
      </c>
      <c r="E4728" s="28" t="n">
        <f aca="false">ROUND((SUMIFS(Acerto_Detalhado!$F$2:$F$433,Acerto_Detalhado!$A$2:$A$433,$C4728,Acerto_Detalhado!$B$2:$B$433,"Dez",Acerto_Detalhado!$C$2:$C$433,"Fibra"))*(SUMIFS(Acerto_Detalhado!$I$2:$I$433,Acerto_Detalhado!$A$2:$A$433,$D4728,Acerto_Detalhado!$B$2:$B$433,"Dez",Acerto_Detalhado!$C$2:$C$433,"Fibra")),2)</f>
        <v>0</v>
      </c>
    </row>
    <row r="4729" customFormat="false" ht="15" hidden="false" customHeight="false" outlineLevel="0" collapsed="false">
      <c r="A4729" s="27" t="s">
        <v>122</v>
      </c>
      <c r="B4729" s="27" t="s">
        <v>111</v>
      </c>
      <c r="C4729" s="27" t="s">
        <v>48</v>
      </c>
      <c r="D4729" s="27" t="s">
        <v>44</v>
      </c>
      <c r="E4729" s="28" t="n">
        <f aca="false">ROUND((SUMIFS(Acerto_Detalhado!$F$2:$F$433,Acerto_Detalhado!$A$2:$A$433,$C4729,Acerto_Detalhado!$B$2:$B$433,"Dez",Acerto_Detalhado!$C$2:$C$433,"Fibra"))*(SUMIFS(Acerto_Detalhado!$I$2:$I$433,Acerto_Detalhado!$A$2:$A$433,$D4729,Acerto_Detalhado!$B$2:$B$433,"Dez",Acerto_Detalhado!$C$2:$C$433,"Fibra")),2)</f>
        <v>0</v>
      </c>
    </row>
    <row r="4730" customFormat="false" ht="15" hidden="false" customHeight="false" outlineLevel="0" collapsed="false">
      <c r="A4730" s="27" t="s">
        <v>122</v>
      </c>
      <c r="B4730" s="27" t="s">
        <v>111</v>
      </c>
      <c r="C4730" s="27" t="s">
        <v>48</v>
      </c>
      <c r="D4730" s="27" t="s">
        <v>45</v>
      </c>
      <c r="E4730" s="28" t="n">
        <f aca="false">ROUND((SUMIFS(Acerto_Detalhado!$F$2:$F$433,Acerto_Detalhado!$A$2:$A$433,$C4730,Acerto_Detalhado!$B$2:$B$433,"Dez",Acerto_Detalhado!$C$2:$C$433,"Fibra"))*(SUMIFS(Acerto_Detalhado!$I$2:$I$433,Acerto_Detalhado!$A$2:$A$433,$D4730,Acerto_Detalhado!$B$2:$B$433,"Dez",Acerto_Detalhado!$C$2:$C$433,"Fibra")),2)</f>
        <v>0</v>
      </c>
    </row>
    <row r="4731" customFormat="false" ht="15" hidden="false" customHeight="false" outlineLevel="0" collapsed="false">
      <c r="A4731" s="27" t="s">
        <v>122</v>
      </c>
      <c r="B4731" s="27" t="s">
        <v>111</v>
      </c>
      <c r="C4731" s="27" t="s">
        <v>48</v>
      </c>
      <c r="D4731" s="27" t="s">
        <v>46</v>
      </c>
      <c r="E4731" s="28" t="n">
        <f aca="false">ROUND((SUMIFS(Acerto_Detalhado!$F$2:$F$433,Acerto_Detalhado!$A$2:$A$433,$C4731,Acerto_Detalhado!$B$2:$B$433,"Dez",Acerto_Detalhado!$C$2:$C$433,"Fibra"))*(SUMIFS(Acerto_Detalhado!$I$2:$I$433,Acerto_Detalhado!$A$2:$A$433,$D4731,Acerto_Detalhado!$B$2:$B$433,"Dez",Acerto_Detalhado!$C$2:$C$433,"Fibra")),2)</f>
        <v>0</v>
      </c>
    </row>
    <row r="4732" customFormat="false" ht="15" hidden="false" customHeight="false" outlineLevel="0" collapsed="false">
      <c r="A4732" s="27" t="s">
        <v>122</v>
      </c>
      <c r="B4732" s="27" t="s">
        <v>111</v>
      </c>
      <c r="C4732" s="27" t="s">
        <v>48</v>
      </c>
      <c r="D4732" s="27" t="s">
        <v>47</v>
      </c>
      <c r="E4732" s="28" t="n">
        <f aca="false">ROUND((SUMIFS(Acerto_Detalhado!$F$2:$F$433,Acerto_Detalhado!$A$2:$A$433,$C4732,Acerto_Detalhado!$B$2:$B$433,"Dez",Acerto_Detalhado!$C$2:$C$433,"Fibra"))*(SUMIFS(Acerto_Detalhado!$I$2:$I$433,Acerto_Detalhado!$A$2:$A$433,$D4732,Acerto_Detalhado!$B$2:$B$433,"Dez",Acerto_Detalhado!$C$2:$C$433,"Fibra")),2)</f>
        <v>0</v>
      </c>
    </row>
    <row r="4733" customFormat="false" ht="15" hidden="false" customHeight="false" outlineLevel="0" collapsed="false">
      <c r="A4733" s="27" t="s">
        <v>122</v>
      </c>
      <c r="B4733" s="27" t="s">
        <v>111</v>
      </c>
      <c r="C4733" s="27" t="s">
        <v>48</v>
      </c>
      <c r="D4733" s="27" t="s">
        <v>49</v>
      </c>
      <c r="E4733" s="28" t="n">
        <f aca="false">ROUND((SUMIFS(Acerto_Detalhado!$F$2:$F$433,Acerto_Detalhado!$A$2:$A$433,$C4733,Acerto_Detalhado!$B$2:$B$433,"Dez",Acerto_Detalhado!$C$2:$C$433,"Fibra"))*(SUMIFS(Acerto_Detalhado!$I$2:$I$433,Acerto_Detalhado!$A$2:$A$433,$D4733,Acerto_Detalhado!$B$2:$B$433,"Dez",Acerto_Detalhado!$C$2:$C$433,"Fibra")),2)</f>
        <v>0</v>
      </c>
    </row>
    <row r="4734" customFormat="false" ht="15" hidden="false" customHeight="false" outlineLevel="0" collapsed="false">
      <c r="A4734" s="27" t="s">
        <v>122</v>
      </c>
      <c r="B4734" s="27" t="s">
        <v>111</v>
      </c>
      <c r="C4734" s="27" t="s">
        <v>48</v>
      </c>
      <c r="D4734" s="27" t="s">
        <v>50</v>
      </c>
      <c r="E4734" s="28" t="n">
        <f aca="false">ROUND((SUMIFS(Acerto_Detalhado!$F$2:$F$433,Acerto_Detalhado!$A$2:$A$433,$C4734,Acerto_Detalhado!$B$2:$B$433,"Dez",Acerto_Detalhado!$C$2:$C$433,"Fibra"))*(SUMIFS(Acerto_Detalhado!$I$2:$I$433,Acerto_Detalhado!$A$2:$A$433,$D4734,Acerto_Detalhado!$B$2:$B$433,"Dez",Acerto_Detalhado!$C$2:$C$433,"Fibra")),2)</f>
        <v>0</v>
      </c>
    </row>
    <row r="4735" customFormat="false" ht="15" hidden="false" customHeight="false" outlineLevel="0" collapsed="false">
      <c r="A4735" s="27" t="s">
        <v>122</v>
      </c>
      <c r="B4735" s="27" t="s">
        <v>111</v>
      </c>
      <c r="C4735" s="27" t="s">
        <v>49</v>
      </c>
      <c r="D4735" s="27" t="s">
        <v>39</v>
      </c>
      <c r="E4735" s="28" t="n">
        <f aca="false">ROUND((SUMIFS(Acerto_Detalhado!$F$2:$F$433,Acerto_Detalhado!$A$2:$A$433,$C4735,Acerto_Detalhado!$B$2:$B$433,"Dez",Acerto_Detalhado!$C$2:$C$433,"Fibra"))*(SUMIFS(Acerto_Detalhado!$I$2:$I$433,Acerto_Detalhado!$A$2:$A$433,$D4735,Acerto_Detalhado!$B$2:$B$433,"Dez",Acerto_Detalhado!$C$2:$C$433,"Fibra")),2)</f>
        <v>0</v>
      </c>
    </row>
    <row r="4736" customFormat="false" ht="15" hidden="false" customHeight="false" outlineLevel="0" collapsed="false">
      <c r="A4736" s="27" t="s">
        <v>122</v>
      </c>
      <c r="B4736" s="27" t="s">
        <v>111</v>
      </c>
      <c r="C4736" s="27" t="s">
        <v>49</v>
      </c>
      <c r="D4736" s="27" t="s">
        <v>40</v>
      </c>
      <c r="E4736" s="28" t="n">
        <f aca="false">ROUND((SUMIFS(Acerto_Detalhado!$F$2:$F$433,Acerto_Detalhado!$A$2:$A$433,$C4736,Acerto_Detalhado!$B$2:$B$433,"Dez",Acerto_Detalhado!$C$2:$C$433,"Fibra"))*(SUMIFS(Acerto_Detalhado!$I$2:$I$433,Acerto_Detalhado!$A$2:$A$433,$D4736,Acerto_Detalhado!$B$2:$B$433,"Dez",Acerto_Detalhado!$C$2:$C$433,"Fibra")),2)</f>
        <v>0</v>
      </c>
    </row>
    <row r="4737" customFormat="false" ht="15" hidden="false" customHeight="false" outlineLevel="0" collapsed="false">
      <c r="A4737" s="27" t="s">
        <v>122</v>
      </c>
      <c r="B4737" s="27" t="s">
        <v>111</v>
      </c>
      <c r="C4737" s="27" t="s">
        <v>49</v>
      </c>
      <c r="D4737" s="27" t="s">
        <v>41</v>
      </c>
      <c r="E4737" s="28" t="n">
        <f aca="false">ROUND((SUMIFS(Acerto_Detalhado!$F$2:$F$433,Acerto_Detalhado!$A$2:$A$433,$C4737,Acerto_Detalhado!$B$2:$B$433,"Dez",Acerto_Detalhado!$C$2:$C$433,"Fibra"))*(SUMIFS(Acerto_Detalhado!$I$2:$I$433,Acerto_Detalhado!$A$2:$A$433,$D4737,Acerto_Detalhado!$B$2:$B$433,"Dez",Acerto_Detalhado!$C$2:$C$433,"Fibra")),2)</f>
        <v>0</v>
      </c>
    </row>
    <row r="4738" customFormat="false" ht="15" hidden="false" customHeight="false" outlineLevel="0" collapsed="false">
      <c r="A4738" s="27" t="s">
        <v>122</v>
      </c>
      <c r="B4738" s="27" t="s">
        <v>111</v>
      </c>
      <c r="C4738" s="27" t="s">
        <v>49</v>
      </c>
      <c r="D4738" s="27" t="s">
        <v>42</v>
      </c>
      <c r="E4738" s="28" t="n">
        <f aca="false">ROUND((SUMIFS(Acerto_Detalhado!$F$2:$F$433,Acerto_Detalhado!$A$2:$A$433,$C4738,Acerto_Detalhado!$B$2:$B$433,"Dez",Acerto_Detalhado!$C$2:$C$433,"Fibra"))*(SUMIFS(Acerto_Detalhado!$I$2:$I$433,Acerto_Detalhado!$A$2:$A$433,$D4738,Acerto_Detalhado!$B$2:$B$433,"Dez",Acerto_Detalhado!$C$2:$C$433,"Fibra")),2)</f>
        <v>0</v>
      </c>
    </row>
    <row r="4739" customFormat="false" ht="15" hidden="false" customHeight="false" outlineLevel="0" collapsed="false">
      <c r="A4739" s="27" t="s">
        <v>122</v>
      </c>
      <c r="B4739" s="27" t="s">
        <v>111</v>
      </c>
      <c r="C4739" s="27" t="s">
        <v>49</v>
      </c>
      <c r="D4739" s="27" t="s">
        <v>43</v>
      </c>
      <c r="E4739" s="28" t="n">
        <f aca="false">ROUND((SUMIFS(Acerto_Detalhado!$F$2:$F$433,Acerto_Detalhado!$A$2:$A$433,$C4739,Acerto_Detalhado!$B$2:$B$433,"Dez",Acerto_Detalhado!$C$2:$C$433,"Fibra"))*(SUMIFS(Acerto_Detalhado!$I$2:$I$433,Acerto_Detalhado!$A$2:$A$433,$D4739,Acerto_Detalhado!$B$2:$B$433,"Dez",Acerto_Detalhado!$C$2:$C$433,"Fibra")),2)</f>
        <v>0</v>
      </c>
    </row>
    <row r="4740" customFormat="false" ht="15" hidden="false" customHeight="false" outlineLevel="0" collapsed="false">
      <c r="A4740" s="27" t="s">
        <v>122</v>
      </c>
      <c r="B4740" s="27" t="s">
        <v>111</v>
      </c>
      <c r="C4740" s="27" t="s">
        <v>49</v>
      </c>
      <c r="D4740" s="27" t="s">
        <v>44</v>
      </c>
      <c r="E4740" s="28" t="n">
        <f aca="false">ROUND((SUMIFS(Acerto_Detalhado!$F$2:$F$433,Acerto_Detalhado!$A$2:$A$433,$C4740,Acerto_Detalhado!$B$2:$B$433,"Dez",Acerto_Detalhado!$C$2:$C$433,"Fibra"))*(SUMIFS(Acerto_Detalhado!$I$2:$I$433,Acerto_Detalhado!$A$2:$A$433,$D4740,Acerto_Detalhado!$B$2:$B$433,"Dez",Acerto_Detalhado!$C$2:$C$433,"Fibra")),2)</f>
        <v>0</v>
      </c>
    </row>
    <row r="4741" customFormat="false" ht="15" hidden="false" customHeight="false" outlineLevel="0" collapsed="false">
      <c r="A4741" s="27" t="s">
        <v>122</v>
      </c>
      <c r="B4741" s="27" t="s">
        <v>111</v>
      </c>
      <c r="C4741" s="27" t="s">
        <v>49</v>
      </c>
      <c r="D4741" s="27" t="s">
        <v>45</v>
      </c>
      <c r="E4741" s="28" t="n">
        <f aca="false">ROUND((SUMIFS(Acerto_Detalhado!$F$2:$F$433,Acerto_Detalhado!$A$2:$A$433,$C4741,Acerto_Detalhado!$B$2:$B$433,"Dez",Acerto_Detalhado!$C$2:$C$433,"Fibra"))*(SUMIFS(Acerto_Detalhado!$I$2:$I$433,Acerto_Detalhado!$A$2:$A$433,$D4741,Acerto_Detalhado!$B$2:$B$433,"Dez",Acerto_Detalhado!$C$2:$C$433,"Fibra")),2)</f>
        <v>0</v>
      </c>
    </row>
    <row r="4742" customFormat="false" ht="15" hidden="false" customHeight="false" outlineLevel="0" collapsed="false">
      <c r="A4742" s="27" t="s">
        <v>122</v>
      </c>
      <c r="B4742" s="27" t="s">
        <v>111</v>
      </c>
      <c r="C4742" s="27" t="s">
        <v>49</v>
      </c>
      <c r="D4742" s="27" t="s">
        <v>46</v>
      </c>
      <c r="E4742" s="28" t="n">
        <f aca="false">ROUND((SUMIFS(Acerto_Detalhado!$F$2:$F$433,Acerto_Detalhado!$A$2:$A$433,$C4742,Acerto_Detalhado!$B$2:$B$433,"Dez",Acerto_Detalhado!$C$2:$C$433,"Fibra"))*(SUMIFS(Acerto_Detalhado!$I$2:$I$433,Acerto_Detalhado!$A$2:$A$433,$D4742,Acerto_Detalhado!$B$2:$B$433,"Dez",Acerto_Detalhado!$C$2:$C$433,"Fibra")),2)</f>
        <v>0</v>
      </c>
    </row>
    <row r="4743" customFormat="false" ht="15" hidden="false" customHeight="false" outlineLevel="0" collapsed="false">
      <c r="A4743" s="27" t="s">
        <v>122</v>
      </c>
      <c r="B4743" s="27" t="s">
        <v>111</v>
      </c>
      <c r="C4743" s="27" t="s">
        <v>49</v>
      </c>
      <c r="D4743" s="27" t="s">
        <v>47</v>
      </c>
      <c r="E4743" s="28" t="n">
        <f aca="false">ROUND((SUMIFS(Acerto_Detalhado!$F$2:$F$433,Acerto_Detalhado!$A$2:$A$433,$C4743,Acerto_Detalhado!$B$2:$B$433,"Dez",Acerto_Detalhado!$C$2:$C$433,"Fibra"))*(SUMIFS(Acerto_Detalhado!$I$2:$I$433,Acerto_Detalhado!$A$2:$A$433,$D4743,Acerto_Detalhado!$B$2:$B$433,"Dez",Acerto_Detalhado!$C$2:$C$433,"Fibra")),2)</f>
        <v>0</v>
      </c>
    </row>
    <row r="4744" customFormat="false" ht="15" hidden="false" customHeight="false" outlineLevel="0" collapsed="false">
      <c r="A4744" s="27" t="s">
        <v>122</v>
      </c>
      <c r="B4744" s="27" t="s">
        <v>111</v>
      </c>
      <c r="C4744" s="27" t="s">
        <v>49</v>
      </c>
      <c r="D4744" s="27" t="s">
        <v>48</v>
      </c>
      <c r="E4744" s="28" t="n">
        <f aca="false">ROUND((SUMIFS(Acerto_Detalhado!$F$2:$F$433,Acerto_Detalhado!$A$2:$A$433,$C4744,Acerto_Detalhado!$B$2:$B$433,"Dez",Acerto_Detalhado!$C$2:$C$433,"Fibra"))*(SUMIFS(Acerto_Detalhado!$I$2:$I$433,Acerto_Detalhado!$A$2:$A$433,$D4744,Acerto_Detalhado!$B$2:$B$433,"Dez",Acerto_Detalhado!$C$2:$C$433,"Fibra")),2)</f>
        <v>0</v>
      </c>
    </row>
    <row r="4745" customFormat="false" ht="15" hidden="false" customHeight="false" outlineLevel="0" collapsed="false">
      <c r="A4745" s="27" t="s">
        <v>122</v>
      </c>
      <c r="B4745" s="27" t="s">
        <v>111</v>
      </c>
      <c r="C4745" s="27" t="s">
        <v>49</v>
      </c>
      <c r="D4745" s="27" t="s">
        <v>50</v>
      </c>
      <c r="E4745" s="28" t="n">
        <f aca="false">ROUND((SUMIFS(Acerto_Detalhado!$F$2:$F$433,Acerto_Detalhado!$A$2:$A$433,$C4745,Acerto_Detalhado!$B$2:$B$433,"Dez",Acerto_Detalhado!$C$2:$C$433,"Fibra"))*(SUMIFS(Acerto_Detalhado!$I$2:$I$433,Acerto_Detalhado!$A$2:$A$433,$D4745,Acerto_Detalhado!$B$2:$B$433,"Dez",Acerto_Detalhado!$C$2:$C$433,"Fibra")),2)</f>
        <v>0</v>
      </c>
    </row>
    <row r="4746" customFormat="false" ht="15" hidden="false" customHeight="false" outlineLevel="0" collapsed="false">
      <c r="A4746" s="27" t="s">
        <v>122</v>
      </c>
      <c r="B4746" s="27" t="s">
        <v>111</v>
      </c>
      <c r="C4746" s="27" t="s">
        <v>50</v>
      </c>
      <c r="D4746" s="27" t="s">
        <v>39</v>
      </c>
      <c r="E4746" s="28" t="n">
        <f aca="false">ROUND((SUMIFS(Acerto_Detalhado!$F$2:$F$433,Acerto_Detalhado!$A$2:$A$433,$C4746,Acerto_Detalhado!$B$2:$B$433,"Dez",Acerto_Detalhado!$C$2:$C$433,"Fibra"))*(SUMIFS(Acerto_Detalhado!$I$2:$I$433,Acerto_Detalhado!$A$2:$A$433,$D4746,Acerto_Detalhado!$B$2:$B$433,"Dez",Acerto_Detalhado!$C$2:$C$433,"Fibra")),2)</f>
        <v>0</v>
      </c>
    </row>
    <row r="4747" customFormat="false" ht="15" hidden="false" customHeight="false" outlineLevel="0" collapsed="false">
      <c r="A4747" s="27" t="s">
        <v>122</v>
      </c>
      <c r="B4747" s="27" t="s">
        <v>111</v>
      </c>
      <c r="C4747" s="27" t="s">
        <v>50</v>
      </c>
      <c r="D4747" s="27" t="s">
        <v>40</v>
      </c>
      <c r="E4747" s="28" t="n">
        <f aca="false">ROUND((SUMIFS(Acerto_Detalhado!$F$2:$F$433,Acerto_Detalhado!$A$2:$A$433,$C4747,Acerto_Detalhado!$B$2:$B$433,"Dez",Acerto_Detalhado!$C$2:$C$433,"Fibra"))*(SUMIFS(Acerto_Detalhado!$I$2:$I$433,Acerto_Detalhado!$A$2:$A$433,$D4747,Acerto_Detalhado!$B$2:$B$433,"Dez",Acerto_Detalhado!$C$2:$C$433,"Fibra")),2)</f>
        <v>0</v>
      </c>
    </row>
    <row r="4748" customFormat="false" ht="15" hidden="false" customHeight="false" outlineLevel="0" collapsed="false">
      <c r="A4748" s="27" t="s">
        <v>122</v>
      </c>
      <c r="B4748" s="27" t="s">
        <v>111</v>
      </c>
      <c r="C4748" s="27" t="s">
        <v>50</v>
      </c>
      <c r="D4748" s="27" t="s">
        <v>41</v>
      </c>
      <c r="E4748" s="28" t="n">
        <f aca="false">ROUND((SUMIFS(Acerto_Detalhado!$F$2:$F$433,Acerto_Detalhado!$A$2:$A$433,$C4748,Acerto_Detalhado!$B$2:$B$433,"Dez",Acerto_Detalhado!$C$2:$C$433,"Fibra"))*(SUMIFS(Acerto_Detalhado!$I$2:$I$433,Acerto_Detalhado!$A$2:$A$433,$D4748,Acerto_Detalhado!$B$2:$B$433,"Dez",Acerto_Detalhado!$C$2:$C$433,"Fibra")),2)</f>
        <v>0</v>
      </c>
    </row>
    <row r="4749" customFormat="false" ht="15" hidden="false" customHeight="false" outlineLevel="0" collapsed="false">
      <c r="A4749" s="27" t="s">
        <v>122</v>
      </c>
      <c r="B4749" s="27" t="s">
        <v>111</v>
      </c>
      <c r="C4749" s="27" t="s">
        <v>50</v>
      </c>
      <c r="D4749" s="27" t="s">
        <v>42</v>
      </c>
      <c r="E4749" s="28" t="n">
        <f aca="false">ROUND((SUMIFS(Acerto_Detalhado!$F$2:$F$433,Acerto_Detalhado!$A$2:$A$433,$C4749,Acerto_Detalhado!$B$2:$B$433,"Dez",Acerto_Detalhado!$C$2:$C$433,"Fibra"))*(SUMIFS(Acerto_Detalhado!$I$2:$I$433,Acerto_Detalhado!$A$2:$A$433,$D4749,Acerto_Detalhado!$B$2:$B$433,"Dez",Acerto_Detalhado!$C$2:$C$433,"Fibra")),2)</f>
        <v>0</v>
      </c>
    </row>
    <row r="4750" customFormat="false" ht="15" hidden="false" customHeight="false" outlineLevel="0" collapsed="false">
      <c r="A4750" s="27" t="s">
        <v>122</v>
      </c>
      <c r="B4750" s="27" t="s">
        <v>111</v>
      </c>
      <c r="C4750" s="27" t="s">
        <v>50</v>
      </c>
      <c r="D4750" s="27" t="s">
        <v>43</v>
      </c>
      <c r="E4750" s="28" t="n">
        <f aca="false">ROUND((SUMIFS(Acerto_Detalhado!$F$2:$F$433,Acerto_Detalhado!$A$2:$A$433,$C4750,Acerto_Detalhado!$B$2:$B$433,"Dez",Acerto_Detalhado!$C$2:$C$433,"Fibra"))*(SUMIFS(Acerto_Detalhado!$I$2:$I$433,Acerto_Detalhado!$A$2:$A$433,$D4750,Acerto_Detalhado!$B$2:$B$433,"Dez",Acerto_Detalhado!$C$2:$C$433,"Fibra")),2)</f>
        <v>0</v>
      </c>
    </row>
    <row r="4751" customFormat="false" ht="15" hidden="false" customHeight="false" outlineLevel="0" collapsed="false">
      <c r="A4751" s="27" t="s">
        <v>122</v>
      </c>
      <c r="B4751" s="27" t="s">
        <v>111</v>
      </c>
      <c r="C4751" s="27" t="s">
        <v>50</v>
      </c>
      <c r="D4751" s="27" t="s">
        <v>44</v>
      </c>
      <c r="E4751" s="28" t="n">
        <f aca="false">ROUND((SUMIFS(Acerto_Detalhado!$F$2:$F$433,Acerto_Detalhado!$A$2:$A$433,$C4751,Acerto_Detalhado!$B$2:$B$433,"Dez",Acerto_Detalhado!$C$2:$C$433,"Fibra"))*(SUMIFS(Acerto_Detalhado!$I$2:$I$433,Acerto_Detalhado!$A$2:$A$433,$D4751,Acerto_Detalhado!$B$2:$B$433,"Dez",Acerto_Detalhado!$C$2:$C$433,"Fibra")),2)</f>
        <v>0</v>
      </c>
    </row>
    <row r="4752" customFormat="false" ht="15" hidden="false" customHeight="false" outlineLevel="0" collapsed="false">
      <c r="A4752" s="27" t="s">
        <v>122</v>
      </c>
      <c r="B4752" s="27" t="s">
        <v>111</v>
      </c>
      <c r="C4752" s="27" t="s">
        <v>50</v>
      </c>
      <c r="D4752" s="27" t="s">
        <v>45</v>
      </c>
      <c r="E4752" s="28" t="n">
        <f aca="false">ROUND((SUMIFS(Acerto_Detalhado!$F$2:$F$433,Acerto_Detalhado!$A$2:$A$433,$C4752,Acerto_Detalhado!$B$2:$B$433,"Dez",Acerto_Detalhado!$C$2:$C$433,"Fibra"))*(SUMIFS(Acerto_Detalhado!$I$2:$I$433,Acerto_Detalhado!$A$2:$A$433,$D4752,Acerto_Detalhado!$B$2:$B$433,"Dez",Acerto_Detalhado!$C$2:$C$433,"Fibra")),2)</f>
        <v>0</v>
      </c>
    </row>
    <row r="4753" customFormat="false" ht="15" hidden="false" customHeight="false" outlineLevel="0" collapsed="false">
      <c r="A4753" s="27" t="s">
        <v>122</v>
      </c>
      <c r="B4753" s="27" t="s">
        <v>111</v>
      </c>
      <c r="C4753" s="27" t="s">
        <v>50</v>
      </c>
      <c r="D4753" s="27" t="s">
        <v>46</v>
      </c>
      <c r="E4753" s="28" t="n">
        <f aca="false">ROUND((SUMIFS(Acerto_Detalhado!$F$2:$F$433,Acerto_Detalhado!$A$2:$A$433,$C4753,Acerto_Detalhado!$B$2:$B$433,"Dez",Acerto_Detalhado!$C$2:$C$433,"Fibra"))*(SUMIFS(Acerto_Detalhado!$I$2:$I$433,Acerto_Detalhado!$A$2:$A$433,$D4753,Acerto_Detalhado!$B$2:$B$433,"Dez",Acerto_Detalhado!$C$2:$C$433,"Fibra")),2)</f>
        <v>0</v>
      </c>
    </row>
    <row r="4754" customFormat="false" ht="15" hidden="false" customHeight="false" outlineLevel="0" collapsed="false">
      <c r="A4754" s="27" t="s">
        <v>122</v>
      </c>
      <c r="B4754" s="27" t="s">
        <v>111</v>
      </c>
      <c r="C4754" s="27" t="s">
        <v>50</v>
      </c>
      <c r="D4754" s="27" t="s">
        <v>47</v>
      </c>
      <c r="E4754" s="28" t="n">
        <f aca="false">ROUND((SUMIFS(Acerto_Detalhado!$F$2:$F$433,Acerto_Detalhado!$A$2:$A$433,$C4754,Acerto_Detalhado!$B$2:$B$433,"Dez",Acerto_Detalhado!$C$2:$C$433,"Fibra"))*(SUMIFS(Acerto_Detalhado!$I$2:$I$433,Acerto_Detalhado!$A$2:$A$433,$D4754,Acerto_Detalhado!$B$2:$B$433,"Dez",Acerto_Detalhado!$C$2:$C$433,"Fibra")),2)</f>
        <v>0</v>
      </c>
    </row>
    <row r="4755" customFormat="false" ht="15" hidden="false" customHeight="false" outlineLevel="0" collapsed="false">
      <c r="A4755" s="27" t="s">
        <v>122</v>
      </c>
      <c r="B4755" s="27" t="s">
        <v>111</v>
      </c>
      <c r="C4755" s="27" t="s">
        <v>50</v>
      </c>
      <c r="D4755" s="27" t="s">
        <v>48</v>
      </c>
      <c r="E4755" s="28" t="n">
        <f aca="false">ROUND((SUMIFS(Acerto_Detalhado!$F$2:$F$433,Acerto_Detalhado!$A$2:$A$433,$C4755,Acerto_Detalhado!$B$2:$B$433,"Dez",Acerto_Detalhado!$C$2:$C$433,"Fibra"))*(SUMIFS(Acerto_Detalhado!$I$2:$I$433,Acerto_Detalhado!$A$2:$A$433,$D4755,Acerto_Detalhado!$B$2:$B$433,"Dez",Acerto_Detalhado!$C$2:$C$433,"Fibra")),2)</f>
        <v>0</v>
      </c>
    </row>
    <row r="4756" customFormat="false" ht="15" hidden="false" customHeight="false" outlineLevel="0" collapsed="false">
      <c r="A4756" s="27" t="s">
        <v>122</v>
      </c>
      <c r="B4756" s="27" t="s">
        <v>111</v>
      </c>
      <c r="C4756" s="27" t="s">
        <v>50</v>
      </c>
      <c r="D4756" s="27" t="s">
        <v>49</v>
      </c>
      <c r="E4756" s="28" t="n">
        <f aca="false">ROUND((SUMIFS(Acerto_Detalhado!$F$2:$F$433,Acerto_Detalhado!$A$2:$A$433,$C4756,Acerto_Detalhado!$B$2:$B$433,"Dez",Acerto_Detalhado!$C$2:$C$433,"Fibra"))*(SUMIFS(Acerto_Detalhado!$I$2:$I$433,Acerto_Detalhado!$A$2:$A$433,$D4756,Acerto_Detalhado!$B$2:$B$433,"Dez",Acerto_Detalhado!$C$2:$C$433,"Fibra")),2)</f>
        <v>0</v>
      </c>
    </row>
  </sheetData>
  <autoFilter ref="A4:E47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26" t="s">
        <v>123</v>
      </c>
    </row>
    <row r="2" customFormat="false" ht="15" hidden="false" customHeight="false" outlineLevel="0" collapsed="false">
      <c r="A2" s="29" t="s">
        <v>39</v>
      </c>
    </row>
    <row r="3" customFormat="false" ht="15" hidden="false" customHeight="false" outlineLevel="0" collapsed="false">
      <c r="A3" s="29" t="s">
        <v>40</v>
      </c>
    </row>
    <row r="4" customFormat="false" ht="15" hidden="false" customHeight="false" outlineLevel="0" collapsed="false">
      <c r="A4" s="29" t="s">
        <v>41</v>
      </c>
    </row>
    <row r="5" customFormat="false" ht="15" hidden="false" customHeight="false" outlineLevel="0" collapsed="false">
      <c r="A5" s="29" t="s">
        <v>42</v>
      </c>
    </row>
    <row r="6" customFormat="false" ht="15" hidden="false" customHeight="false" outlineLevel="0" collapsed="false">
      <c r="A6" s="29" t="s">
        <v>43</v>
      </c>
    </row>
    <row r="7" customFormat="false" ht="15" hidden="false" customHeight="false" outlineLevel="0" collapsed="false">
      <c r="A7" s="29" t="s">
        <v>44</v>
      </c>
    </row>
    <row r="8" customFormat="false" ht="15" hidden="false" customHeight="false" outlineLevel="0" collapsed="false">
      <c r="A8" s="29" t="s">
        <v>45</v>
      </c>
    </row>
    <row r="9" customFormat="false" ht="15" hidden="false" customHeight="false" outlineLevel="0" collapsed="false">
      <c r="A9" s="29" t="s">
        <v>46</v>
      </c>
    </row>
    <row r="10" customFormat="false" ht="15" hidden="false" customHeight="false" outlineLevel="0" collapsed="false">
      <c r="A10" s="29" t="s">
        <v>47</v>
      </c>
    </row>
    <row r="11" customFormat="false" ht="15" hidden="false" customHeight="false" outlineLevel="0" collapsed="false">
      <c r="A11" s="29" t="s">
        <v>48</v>
      </c>
    </row>
    <row r="12" customFormat="false" ht="15" hidden="false" customHeight="false" outlineLevel="0" collapsed="false">
      <c r="A12" s="29" t="s">
        <v>49</v>
      </c>
    </row>
    <row r="13" customFormat="false" ht="15" hidden="false" customHeight="false" outlineLevel="0" collapsed="false">
      <c r="A13" s="2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1" min="10" style="0" width="9"/>
    <col collapsed="false" customWidth="true" hidden="false" outlineLevel="0" max="12" min="12" style="0" width="14"/>
  </cols>
  <sheetData>
    <row r="1" customFormat="false" ht="23.85" hidden="false" customHeight="false" outlineLevel="0" collapsed="false">
      <c r="A1" s="26" t="s">
        <v>124</v>
      </c>
      <c r="B1" s="26" t="s">
        <v>125</v>
      </c>
      <c r="C1" s="26" t="s">
        <v>86</v>
      </c>
      <c r="D1" s="26" t="s">
        <v>123</v>
      </c>
      <c r="E1" s="26" t="s">
        <v>126</v>
      </c>
      <c r="F1" s="26" t="s">
        <v>127</v>
      </c>
      <c r="G1" s="26" t="s">
        <v>75</v>
      </c>
      <c r="H1" s="26" t="s">
        <v>128</v>
      </c>
      <c r="I1" s="26" t="s">
        <v>54</v>
      </c>
      <c r="J1" s="26" t="s">
        <v>55</v>
      </c>
      <c r="K1" s="26" t="s">
        <v>56</v>
      </c>
      <c r="L1" s="26" t="s">
        <v>129</v>
      </c>
    </row>
    <row r="2" customFormat="false" ht="15" hidden="false" customHeight="false" outlineLevel="0" collapsed="false">
      <c r="A2" s="29" t="s">
        <v>130</v>
      </c>
      <c r="B2" s="29" t="s">
        <v>131</v>
      </c>
      <c r="C2" s="29" t="s">
        <v>38</v>
      </c>
      <c r="D2" s="29" t="s">
        <v>41</v>
      </c>
      <c r="E2" s="29" t="s">
        <v>132</v>
      </c>
      <c r="F2" s="29" t="s">
        <v>133</v>
      </c>
      <c r="G2" s="30" t="n">
        <v>628.24</v>
      </c>
      <c r="H2" s="31" t="n">
        <v>48.56</v>
      </c>
      <c r="I2" s="31" t="n">
        <v>11.71</v>
      </c>
      <c r="J2" s="31" t="n">
        <v>3.02</v>
      </c>
      <c r="K2" s="31" t="n">
        <v>0.71</v>
      </c>
      <c r="L2" s="29" t="s">
        <v>134</v>
      </c>
    </row>
    <row r="3" customFormat="false" ht="15" hidden="false" customHeight="false" outlineLevel="0" collapsed="false">
      <c r="A3" s="29" t="s">
        <v>130</v>
      </c>
      <c r="B3" s="29" t="s">
        <v>131</v>
      </c>
      <c r="C3" s="29" t="s">
        <v>38</v>
      </c>
      <c r="D3" s="29" t="s">
        <v>41</v>
      </c>
      <c r="E3" s="29" t="s">
        <v>135</v>
      </c>
      <c r="F3" s="29" t="s">
        <v>133</v>
      </c>
      <c r="G3" s="30" t="n">
        <v>5892.66</v>
      </c>
      <c r="H3" s="31" t="n">
        <v>48.65</v>
      </c>
      <c r="I3" s="31" t="n">
        <v>11.74</v>
      </c>
      <c r="J3" s="31" t="n">
        <v>2.96</v>
      </c>
      <c r="K3" s="31" t="n">
        <v>0.43</v>
      </c>
      <c r="L3" s="29" t="s">
        <v>134</v>
      </c>
    </row>
    <row r="4" customFormat="false" ht="15" hidden="false" customHeight="false" outlineLevel="0" collapsed="false">
      <c r="A4" s="29" t="s">
        <v>130</v>
      </c>
      <c r="B4" s="29" t="s">
        <v>131</v>
      </c>
      <c r="C4" s="29" t="s">
        <v>38</v>
      </c>
      <c r="D4" s="29" t="s">
        <v>40</v>
      </c>
      <c r="E4" s="29" t="s">
        <v>132</v>
      </c>
      <c r="F4" s="29" t="s">
        <v>133</v>
      </c>
      <c r="G4" s="30" t="n">
        <v>7310.99</v>
      </c>
      <c r="H4" s="31" t="n">
        <v>48.3</v>
      </c>
      <c r="I4" s="31" t="n">
        <v>11.45</v>
      </c>
      <c r="J4" s="31" t="n">
        <v>3.15</v>
      </c>
      <c r="K4" s="31" t="n">
        <v>1.87</v>
      </c>
      <c r="L4" s="29" t="s">
        <v>136</v>
      </c>
    </row>
    <row r="5" customFormat="false" ht="15" hidden="false" customHeight="false" outlineLevel="0" collapsed="false">
      <c r="A5" s="29" t="s">
        <v>130</v>
      </c>
      <c r="B5" s="29" t="s">
        <v>131</v>
      </c>
      <c r="C5" s="29" t="s">
        <v>38</v>
      </c>
      <c r="D5" s="29" t="s">
        <v>40</v>
      </c>
      <c r="E5" s="29" t="s">
        <v>132</v>
      </c>
      <c r="F5" s="29" t="s">
        <v>133</v>
      </c>
      <c r="G5" s="30" t="n">
        <v>3052.71</v>
      </c>
      <c r="H5" s="31" t="n">
        <v>48.21</v>
      </c>
      <c r="I5" s="31" t="n">
        <v>11.95</v>
      </c>
      <c r="J5" s="31" t="n">
        <v>3.17</v>
      </c>
      <c r="K5" s="31" t="n">
        <v>1.75</v>
      </c>
      <c r="L5" s="29" t="s">
        <v>137</v>
      </c>
    </row>
    <row r="6" customFormat="false" ht="15" hidden="false" customHeight="false" outlineLevel="0" collapsed="false">
      <c r="A6" s="29" t="s">
        <v>130</v>
      </c>
      <c r="B6" s="29" t="s">
        <v>131</v>
      </c>
      <c r="C6" s="29" t="s">
        <v>38</v>
      </c>
      <c r="D6" s="29" t="s">
        <v>42</v>
      </c>
      <c r="E6" s="29" t="s">
        <v>132</v>
      </c>
      <c r="F6" s="29" t="s">
        <v>133</v>
      </c>
      <c r="G6" s="30" t="n">
        <v>2339.4</v>
      </c>
      <c r="H6" s="31" t="n">
        <v>47.65</v>
      </c>
      <c r="I6" s="31" t="n">
        <v>12.29</v>
      </c>
      <c r="J6" s="31" t="n">
        <v>3.64</v>
      </c>
      <c r="K6" s="31" t="n">
        <v>1.99</v>
      </c>
      <c r="L6" s="29" t="s">
        <v>138</v>
      </c>
    </row>
    <row r="7" customFormat="false" ht="15" hidden="false" customHeight="false" outlineLevel="0" collapsed="false">
      <c r="A7" s="29" t="s">
        <v>130</v>
      </c>
      <c r="B7" s="29" t="s">
        <v>131</v>
      </c>
      <c r="C7" s="29" t="s">
        <v>38</v>
      </c>
      <c r="D7" s="29" t="s">
        <v>42</v>
      </c>
      <c r="E7" s="29" t="s">
        <v>132</v>
      </c>
      <c r="F7" s="29" t="s">
        <v>133</v>
      </c>
      <c r="G7" s="30" t="n">
        <v>11894.11</v>
      </c>
      <c r="H7" s="31" t="n">
        <v>48.02</v>
      </c>
      <c r="I7" s="31" t="n">
        <v>12.05</v>
      </c>
      <c r="J7" s="31" t="n">
        <v>3.46</v>
      </c>
      <c r="K7" s="31" t="n">
        <v>1.73</v>
      </c>
      <c r="L7" s="29" t="s">
        <v>139</v>
      </c>
    </row>
    <row r="8" customFormat="false" ht="15" hidden="false" customHeight="false" outlineLevel="0" collapsed="false">
      <c r="A8" s="29" t="s">
        <v>130</v>
      </c>
      <c r="B8" s="29" t="s">
        <v>131</v>
      </c>
      <c r="C8" s="29" t="s">
        <v>38</v>
      </c>
      <c r="D8" s="29" t="s">
        <v>42</v>
      </c>
      <c r="E8" s="29" t="s">
        <v>135</v>
      </c>
      <c r="F8" s="29" t="s">
        <v>133</v>
      </c>
      <c r="G8" s="30" t="n">
        <v>588.55</v>
      </c>
      <c r="H8" s="31" t="n">
        <v>48.08</v>
      </c>
      <c r="I8" s="31" t="n">
        <v>12.29</v>
      </c>
      <c r="J8" s="31" t="n">
        <v>3.45</v>
      </c>
      <c r="K8" s="31" t="n">
        <v>1.41</v>
      </c>
      <c r="L8" s="29" t="s">
        <v>138</v>
      </c>
    </row>
    <row r="9" customFormat="false" ht="15" hidden="false" customHeight="false" outlineLevel="0" collapsed="false">
      <c r="A9" s="29" t="s">
        <v>130</v>
      </c>
      <c r="B9" s="29" t="s">
        <v>131</v>
      </c>
      <c r="C9" s="29" t="s">
        <v>38</v>
      </c>
      <c r="D9" s="29" t="s">
        <v>43</v>
      </c>
      <c r="E9" s="29" t="s">
        <v>132</v>
      </c>
      <c r="F9" s="29" t="s">
        <v>133</v>
      </c>
      <c r="G9" s="30" t="n">
        <v>1014.24</v>
      </c>
      <c r="H9" s="31" t="n">
        <v>47.67</v>
      </c>
      <c r="I9" s="31" t="n">
        <v>11.87</v>
      </c>
      <c r="J9" s="31" t="n">
        <v>3.81</v>
      </c>
      <c r="K9" s="31" t="n">
        <v>1.94</v>
      </c>
      <c r="L9" s="29" t="s">
        <v>140</v>
      </c>
    </row>
    <row r="10" customFormat="false" ht="15" hidden="false" customHeight="false" outlineLevel="0" collapsed="false">
      <c r="A10" s="29" t="s">
        <v>130</v>
      </c>
      <c r="B10" s="29" t="s">
        <v>131</v>
      </c>
      <c r="C10" s="29" t="s">
        <v>38</v>
      </c>
      <c r="D10" s="29" t="s">
        <v>43</v>
      </c>
      <c r="E10" s="29" t="s">
        <v>132</v>
      </c>
      <c r="F10" s="29" t="s">
        <v>133</v>
      </c>
      <c r="G10" s="30" t="n">
        <v>3955.73</v>
      </c>
      <c r="H10" s="31" t="n">
        <v>48.61</v>
      </c>
      <c r="I10" s="31" t="n">
        <v>11.59</v>
      </c>
      <c r="J10" s="31" t="n">
        <v>3.01</v>
      </c>
      <c r="K10" s="31" t="n">
        <v>1.37</v>
      </c>
      <c r="L10" s="29" t="s">
        <v>141</v>
      </c>
    </row>
    <row r="11" customFormat="false" ht="15" hidden="false" customHeight="false" outlineLevel="0" collapsed="false">
      <c r="A11" s="29" t="s">
        <v>130</v>
      </c>
      <c r="B11" s="29" t="s">
        <v>131</v>
      </c>
      <c r="C11" s="29" t="s">
        <v>38</v>
      </c>
      <c r="D11" s="29" t="s">
        <v>43</v>
      </c>
      <c r="E11" s="29" t="s">
        <v>135</v>
      </c>
      <c r="F11" s="29" t="s">
        <v>133</v>
      </c>
      <c r="G11" s="30" t="n">
        <v>21225.96</v>
      </c>
      <c r="H11" s="31" t="n">
        <v>48.01</v>
      </c>
      <c r="I11" s="31" t="n">
        <v>12.21</v>
      </c>
      <c r="J11" s="31" t="n">
        <v>3.4</v>
      </c>
      <c r="K11" s="31" t="n">
        <v>1.46</v>
      </c>
      <c r="L11" s="29" t="s">
        <v>142</v>
      </c>
    </row>
    <row r="12" customFormat="false" ht="15" hidden="false" customHeight="false" outlineLevel="0" collapsed="false">
      <c r="A12" s="29" t="s">
        <v>143</v>
      </c>
      <c r="B12" s="29" t="s">
        <v>144</v>
      </c>
      <c r="C12" s="29" t="s">
        <v>38</v>
      </c>
      <c r="D12" s="29" t="s">
        <v>43</v>
      </c>
      <c r="E12" s="29" t="s">
        <v>132</v>
      </c>
      <c r="F12" s="29" t="s">
        <v>133</v>
      </c>
      <c r="G12" s="30" t="n">
        <v>10.8</v>
      </c>
      <c r="H12" s="31" t="n">
        <v>47.01</v>
      </c>
      <c r="I12" s="31" t="n">
        <v>12.18</v>
      </c>
      <c r="J12" s="31" t="n">
        <v>3.83</v>
      </c>
      <c r="K12" s="31" t="n">
        <v>1.31</v>
      </c>
      <c r="L12" s="29" t="s">
        <v>140</v>
      </c>
    </row>
    <row r="13" customFormat="false" ht="15" hidden="false" customHeight="false" outlineLevel="0" collapsed="false">
      <c r="A13" s="29" t="s">
        <v>130</v>
      </c>
      <c r="B13" s="29" t="s">
        <v>131</v>
      </c>
      <c r="C13" s="29" t="s">
        <v>38</v>
      </c>
      <c r="D13" s="29" t="s">
        <v>45</v>
      </c>
      <c r="E13" s="29" t="s">
        <v>132</v>
      </c>
      <c r="F13" s="29" t="s">
        <v>133</v>
      </c>
      <c r="G13" s="30" t="n">
        <v>2322.24</v>
      </c>
      <c r="H13" s="31" t="n">
        <v>48.04</v>
      </c>
      <c r="I13" s="31" t="n">
        <v>12.14</v>
      </c>
      <c r="J13" s="31" t="n">
        <v>3.46</v>
      </c>
      <c r="K13" s="31" t="n">
        <v>1.49</v>
      </c>
      <c r="L13" s="29" t="s">
        <v>142</v>
      </c>
    </row>
    <row r="14" customFormat="false" ht="15" hidden="false" customHeight="false" outlineLevel="0" collapsed="false">
      <c r="A14" s="29" t="s">
        <v>130</v>
      </c>
      <c r="B14" s="29" t="s">
        <v>131</v>
      </c>
      <c r="C14" s="29" t="s">
        <v>38</v>
      </c>
      <c r="D14" s="29" t="s">
        <v>45</v>
      </c>
      <c r="E14" s="29" t="s">
        <v>132</v>
      </c>
      <c r="F14" s="29" t="s">
        <v>133</v>
      </c>
      <c r="G14" s="30" t="n">
        <v>25699.98</v>
      </c>
      <c r="H14" s="31" t="n">
        <v>47.7</v>
      </c>
      <c r="I14" s="31" t="n">
        <v>12.19</v>
      </c>
      <c r="J14" s="31" t="n">
        <v>3.78</v>
      </c>
      <c r="K14" s="31" t="n">
        <v>1.71</v>
      </c>
      <c r="L14" s="29" t="s">
        <v>145</v>
      </c>
    </row>
    <row r="15" customFormat="false" ht="15" hidden="false" customHeight="false" outlineLevel="0" collapsed="false">
      <c r="A15" s="29" t="s">
        <v>130</v>
      </c>
      <c r="B15" s="29" t="s">
        <v>131</v>
      </c>
      <c r="C15" s="29" t="s">
        <v>38</v>
      </c>
      <c r="D15" s="29" t="s">
        <v>45</v>
      </c>
      <c r="E15" s="29" t="s">
        <v>135</v>
      </c>
      <c r="F15" s="29" t="s">
        <v>133</v>
      </c>
      <c r="G15" s="30" t="n">
        <v>16080</v>
      </c>
      <c r="H15" s="31" t="n">
        <v>48.16</v>
      </c>
      <c r="I15" s="31" t="n">
        <v>12.1</v>
      </c>
      <c r="J15" s="31" t="n">
        <v>3.26</v>
      </c>
      <c r="K15" s="31" t="n">
        <v>1.49</v>
      </c>
      <c r="L15" s="29" t="s">
        <v>142</v>
      </c>
    </row>
    <row r="16" customFormat="false" ht="15" hidden="false" customHeight="false" outlineLevel="0" collapsed="false">
      <c r="A16" s="29" t="s">
        <v>130</v>
      </c>
      <c r="B16" s="29" t="s">
        <v>131</v>
      </c>
      <c r="C16" s="29" t="s">
        <v>38</v>
      </c>
      <c r="D16" s="29" t="s">
        <v>44</v>
      </c>
      <c r="E16" s="29" t="s">
        <v>132</v>
      </c>
      <c r="F16" s="29" t="s">
        <v>133</v>
      </c>
      <c r="G16" s="30" t="n">
        <v>47.73</v>
      </c>
      <c r="H16" s="31" t="n">
        <v>47.76</v>
      </c>
      <c r="I16" s="31" t="n">
        <v>12.36</v>
      </c>
      <c r="J16" s="31" t="n">
        <v>3.7</v>
      </c>
      <c r="K16" s="31" t="n">
        <v>1.65</v>
      </c>
      <c r="L16" s="29" t="s">
        <v>146</v>
      </c>
    </row>
    <row r="17" customFormat="false" ht="15" hidden="false" customHeight="false" outlineLevel="0" collapsed="false">
      <c r="A17" s="29" t="s">
        <v>130</v>
      </c>
      <c r="B17" s="29" t="s">
        <v>131</v>
      </c>
      <c r="C17" s="29" t="s">
        <v>38</v>
      </c>
      <c r="D17" s="29" t="s">
        <v>44</v>
      </c>
      <c r="E17" s="29" t="s">
        <v>135</v>
      </c>
      <c r="F17" s="29" t="s">
        <v>133</v>
      </c>
      <c r="G17" s="30" t="n">
        <v>14655.05</v>
      </c>
      <c r="H17" s="31" t="n">
        <v>48.19</v>
      </c>
      <c r="I17" s="31" t="n">
        <v>12.24</v>
      </c>
      <c r="J17" s="31" t="n">
        <v>3.29</v>
      </c>
      <c r="K17" s="31" t="n">
        <v>1.47</v>
      </c>
      <c r="L17" s="29" t="s">
        <v>147</v>
      </c>
    </row>
    <row r="18" customFormat="false" ht="15" hidden="false" customHeight="false" outlineLevel="0" collapsed="false">
      <c r="A18" s="29" t="s">
        <v>130</v>
      </c>
      <c r="B18" s="29" t="s">
        <v>131</v>
      </c>
      <c r="C18" s="29" t="s">
        <v>38</v>
      </c>
      <c r="D18" s="29" t="s">
        <v>44</v>
      </c>
      <c r="E18" s="29" t="s">
        <v>135</v>
      </c>
      <c r="F18" s="29" t="s">
        <v>133</v>
      </c>
      <c r="G18" s="30" t="n">
        <v>246.58</v>
      </c>
      <c r="H18" s="31" t="n">
        <v>47.64</v>
      </c>
      <c r="I18" s="31" t="n">
        <v>12.52</v>
      </c>
      <c r="J18" s="31" t="n">
        <v>3.73</v>
      </c>
      <c r="K18" s="31" t="n">
        <v>1.92</v>
      </c>
      <c r="L18" s="29" t="s">
        <v>146</v>
      </c>
    </row>
    <row r="19" customFormat="false" ht="15" hidden="false" customHeight="false" outlineLevel="0" collapsed="false">
      <c r="A19" s="29" t="s">
        <v>131</v>
      </c>
      <c r="B19" s="29" t="s">
        <v>148</v>
      </c>
      <c r="C19" s="29" t="s">
        <v>38</v>
      </c>
      <c r="D19" s="29" t="s">
        <v>41</v>
      </c>
      <c r="E19" s="29" t="s">
        <v>135</v>
      </c>
      <c r="F19" s="29" t="s">
        <v>133</v>
      </c>
      <c r="G19" s="30" t="n">
        <v>8275.16</v>
      </c>
      <c r="H19" s="31" t="n">
        <v>47.67</v>
      </c>
      <c r="I19" s="31" t="n">
        <v>12.48</v>
      </c>
      <c r="J19" s="31" t="n">
        <v>3.64</v>
      </c>
      <c r="K19" s="31" t="n">
        <v>1.81</v>
      </c>
      <c r="L19" s="29" t="s">
        <v>149</v>
      </c>
    </row>
    <row r="20" customFormat="false" ht="15" hidden="false" customHeight="false" outlineLevel="0" collapsed="false">
      <c r="A20" s="29" t="s">
        <v>131</v>
      </c>
      <c r="B20" s="29" t="s">
        <v>148</v>
      </c>
      <c r="C20" s="29" t="s">
        <v>38</v>
      </c>
      <c r="D20" s="29" t="s">
        <v>40</v>
      </c>
      <c r="E20" s="29" t="s">
        <v>132</v>
      </c>
      <c r="F20" s="29" t="s">
        <v>133</v>
      </c>
      <c r="G20" s="30" t="n">
        <v>6945.77</v>
      </c>
      <c r="H20" s="31" t="n">
        <v>48.44</v>
      </c>
      <c r="I20" s="31" t="n">
        <v>11.56</v>
      </c>
      <c r="J20" s="31" t="n">
        <v>3.09</v>
      </c>
      <c r="K20" s="31" t="n">
        <v>1.51</v>
      </c>
      <c r="L20" s="29" t="s">
        <v>136</v>
      </c>
    </row>
    <row r="21" customFormat="false" ht="15" hidden="false" customHeight="false" outlineLevel="0" collapsed="false">
      <c r="A21" s="29" t="s">
        <v>131</v>
      </c>
      <c r="B21" s="29" t="s">
        <v>148</v>
      </c>
      <c r="C21" s="29" t="s">
        <v>38</v>
      </c>
      <c r="D21" s="29" t="s">
        <v>40</v>
      </c>
      <c r="E21" s="29" t="s">
        <v>132</v>
      </c>
      <c r="F21" s="29" t="s">
        <v>133</v>
      </c>
      <c r="G21" s="30" t="n">
        <v>6945.77</v>
      </c>
      <c r="H21" s="31" t="n">
        <v>48.44</v>
      </c>
      <c r="I21" s="31" t="n">
        <v>11.56</v>
      </c>
      <c r="J21" s="31" t="n">
        <v>3.09</v>
      </c>
      <c r="K21" s="31" t="n">
        <v>1.51</v>
      </c>
      <c r="L21" s="29" t="s">
        <v>136</v>
      </c>
    </row>
    <row r="22" customFormat="false" ht="15" hidden="false" customHeight="false" outlineLevel="0" collapsed="false">
      <c r="A22" s="29" t="s">
        <v>131</v>
      </c>
      <c r="B22" s="29" t="s">
        <v>148</v>
      </c>
      <c r="C22" s="29" t="s">
        <v>38</v>
      </c>
      <c r="D22" s="29" t="s">
        <v>40</v>
      </c>
      <c r="E22" s="29" t="s">
        <v>132</v>
      </c>
      <c r="F22" s="29" t="s">
        <v>133</v>
      </c>
      <c r="G22" s="30" t="n">
        <v>2730.69</v>
      </c>
      <c r="H22" s="31" t="n">
        <v>48.68</v>
      </c>
      <c r="I22" s="31" t="n">
        <v>10.99</v>
      </c>
      <c r="J22" s="31" t="n">
        <v>3</v>
      </c>
      <c r="K22" s="31" t="n">
        <v>0.99</v>
      </c>
      <c r="L22" s="29" t="s">
        <v>137</v>
      </c>
    </row>
    <row r="23" customFormat="false" ht="15" hidden="false" customHeight="false" outlineLevel="0" collapsed="false">
      <c r="A23" s="29" t="s">
        <v>131</v>
      </c>
      <c r="B23" s="29" t="s">
        <v>148</v>
      </c>
      <c r="C23" s="29" t="s">
        <v>38</v>
      </c>
      <c r="D23" s="29" t="s">
        <v>42</v>
      </c>
      <c r="E23" s="29" t="s">
        <v>132</v>
      </c>
      <c r="F23" s="29" t="s">
        <v>133</v>
      </c>
      <c r="G23" s="30" t="n">
        <v>4086.25</v>
      </c>
      <c r="H23" s="31" t="n">
        <v>47.6</v>
      </c>
      <c r="I23" s="31" t="n">
        <v>12.18</v>
      </c>
      <c r="J23" s="31" t="n">
        <v>3.78</v>
      </c>
      <c r="K23" s="31" t="n">
        <v>1.75</v>
      </c>
      <c r="L23" s="29" t="s">
        <v>138</v>
      </c>
    </row>
    <row r="24" customFormat="false" ht="15" hidden="false" customHeight="false" outlineLevel="0" collapsed="false">
      <c r="A24" s="29" t="s">
        <v>131</v>
      </c>
      <c r="B24" s="29" t="s">
        <v>148</v>
      </c>
      <c r="C24" s="29" t="s">
        <v>38</v>
      </c>
      <c r="D24" s="29" t="s">
        <v>42</v>
      </c>
      <c r="E24" s="29" t="s">
        <v>132</v>
      </c>
      <c r="F24" s="29" t="s">
        <v>133</v>
      </c>
      <c r="G24" s="30" t="n">
        <v>3764.59</v>
      </c>
      <c r="H24" s="31" t="n">
        <v>47.72</v>
      </c>
      <c r="I24" s="31" t="n">
        <v>12.03</v>
      </c>
      <c r="J24" s="31" t="n">
        <v>3.71</v>
      </c>
      <c r="K24" s="31" t="n">
        <v>1.81</v>
      </c>
      <c r="L24" s="29" t="s">
        <v>139</v>
      </c>
    </row>
    <row r="25" customFormat="false" ht="15" hidden="false" customHeight="false" outlineLevel="0" collapsed="false">
      <c r="A25" s="29" t="s">
        <v>131</v>
      </c>
      <c r="B25" s="29" t="s">
        <v>148</v>
      </c>
      <c r="C25" s="29" t="s">
        <v>38</v>
      </c>
      <c r="D25" s="29" t="s">
        <v>42</v>
      </c>
      <c r="E25" s="29" t="s">
        <v>135</v>
      </c>
      <c r="F25" s="29" t="s">
        <v>133</v>
      </c>
      <c r="G25" s="30" t="n">
        <v>461.14</v>
      </c>
      <c r="H25" s="31" t="n">
        <v>47.58</v>
      </c>
      <c r="I25" s="31" t="n">
        <v>12.46</v>
      </c>
      <c r="J25" s="31" t="n">
        <v>3.85</v>
      </c>
      <c r="K25" s="31" t="n">
        <v>1.71</v>
      </c>
      <c r="L25" s="29" t="s">
        <v>138</v>
      </c>
    </row>
    <row r="26" customFormat="false" ht="15" hidden="false" customHeight="false" outlineLevel="0" collapsed="false">
      <c r="A26" s="29" t="s">
        <v>131</v>
      </c>
      <c r="B26" s="29" t="s">
        <v>148</v>
      </c>
      <c r="C26" s="29" t="s">
        <v>38</v>
      </c>
      <c r="D26" s="29" t="s">
        <v>43</v>
      </c>
      <c r="E26" s="29" t="s">
        <v>132</v>
      </c>
      <c r="F26" s="29" t="s">
        <v>133</v>
      </c>
      <c r="G26" s="30" t="n">
        <v>5510.75</v>
      </c>
      <c r="H26" s="31" t="n">
        <v>48.56</v>
      </c>
      <c r="I26" s="31" t="n">
        <v>11.64</v>
      </c>
      <c r="J26" s="31" t="n">
        <v>3.1</v>
      </c>
      <c r="K26" s="31" t="n">
        <v>1.56</v>
      </c>
      <c r="L26" s="29" t="s">
        <v>141</v>
      </c>
    </row>
    <row r="27" customFormat="false" ht="15" hidden="false" customHeight="false" outlineLevel="0" collapsed="false">
      <c r="A27" s="29" t="s">
        <v>131</v>
      </c>
      <c r="B27" s="29" t="s">
        <v>148</v>
      </c>
      <c r="C27" s="29" t="s">
        <v>38</v>
      </c>
      <c r="D27" s="29" t="s">
        <v>43</v>
      </c>
      <c r="E27" s="29" t="s">
        <v>132</v>
      </c>
      <c r="F27" s="29" t="s">
        <v>133</v>
      </c>
      <c r="G27" s="30" t="n">
        <v>10.8</v>
      </c>
      <c r="H27" s="31" t="n">
        <v>47.71</v>
      </c>
      <c r="I27" s="31" t="n">
        <v>11.83</v>
      </c>
      <c r="J27" s="31" t="n">
        <v>3.74</v>
      </c>
      <c r="K27" s="31" t="n">
        <v>1.9</v>
      </c>
      <c r="L27" s="29" t="s">
        <v>140</v>
      </c>
    </row>
    <row r="28" customFormat="false" ht="15" hidden="false" customHeight="false" outlineLevel="0" collapsed="false">
      <c r="A28" s="29" t="s">
        <v>131</v>
      </c>
      <c r="B28" s="29" t="s">
        <v>148</v>
      </c>
      <c r="C28" s="29" t="s">
        <v>38</v>
      </c>
      <c r="D28" s="29" t="s">
        <v>43</v>
      </c>
      <c r="E28" s="29" t="s">
        <v>135</v>
      </c>
      <c r="F28" s="29" t="s">
        <v>133</v>
      </c>
      <c r="G28" s="30" t="n">
        <v>7943.69</v>
      </c>
      <c r="H28" s="31" t="n">
        <v>47.56</v>
      </c>
      <c r="I28" s="31" t="n">
        <v>12.17</v>
      </c>
      <c r="J28" s="31" t="n">
        <v>3.68</v>
      </c>
      <c r="K28" s="31" t="n">
        <v>1.65</v>
      </c>
      <c r="L28" s="29" t="s">
        <v>141</v>
      </c>
    </row>
    <row r="29" customFormat="false" ht="15" hidden="false" customHeight="false" outlineLevel="0" collapsed="false">
      <c r="A29" s="29" t="s">
        <v>131</v>
      </c>
      <c r="B29" s="29" t="s">
        <v>148</v>
      </c>
      <c r="C29" s="29" t="s">
        <v>38</v>
      </c>
      <c r="D29" s="29" t="s">
        <v>45</v>
      </c>
      <c r="E29" s="29" t="s">
        <v>132</v>
      </c>
      <c r="F29" s="29" t="s">
        <v>133</v>
      </c>
      <c r="G29" s="30" t="n">
        <v>5814.84</v>
      </c>
      <c r="H29" s="31" t="n">
        <v>47.63</v>
      </c>
      <c r="I29" s="31" t="n">
        <v>12.04</v>
      </c>
      <c r="J29" s="31" t="n">
        <v>3.76</v>
      </c>
      <c r="K29" s="31" t="n">
        <v>1.84</v>
      </c>
      <c r="L29" s="29" t="s">
        <v>141</v>
      </c>
    </row>
    <row r="30" customFormat="false" ht="15" hidden="false" customHeight="false" outlineLevel="0" collapsed="false">
      <c r="A30" s="29" t="s">
        <v>131</v>
      </c>
      <c r="B30" s="29" t="s">
        <v>148</v>
      </c>
      <c r="C30" s="29" t="s">
        <v>38</v>
      </c>
      <c r="D30" s="29" t="s">
        <v>45</v>
      </c>
      <c r="E30" s="29" t="s">
        <v>135</v>
      </c>
      <c r="F30" s="29" t="s">
        <v>133</v>
      </c>
      <c r="G30" s="30" t="n">
        <v>8491.08</v>
      </c>
      <c r="H30" s="31" t="n">
        <v>47.85</v>
      </c>
      <c r="I30" s="31" t="n">
        <v>11.99</v>
      </c>
      <c r="J30" s="31" t="n">
        <v>3.62</v>
      </c>
      <c r="K30" s="31" t="n">
        <v>1.7</v>
      </c>
      <c r="L30" s="29" t="s">
        <v>145</v>
      </c>
    </row>
    <row r="31" customFormat="false" ht="15" hidden="false" customHeight="false" outlineLevel="0" collapsed="false">
      <c r="A31" s="29" t="s">
        <v>131</v>
      </c>
      <c r="B31" s="29" t="s">
        <v>148</v>
      </c>
      <c r="C31" s="29" t="s">
        <v>38</v>
      </c>
      <c r="D31" s="29" t="s">
        <v>45</v>
      </c>
      <c r="E31" s="29" t="s">
        <v>135</v>
      </c>
      <c r="F31" s="29" t="s">
        <v>133</v>
      </c>
      <c r="G31" s="30" t="n">
        <v>1144.45</v>
      </c>
      <c r="H31" s="31" t="n">
        <v>47.84</v>
      </c>
      <c r="I31" s="31" t="n">
        <v>11.94</v>
      </c>
      <c r="J31" s="31" t="n">
        <v>3.68</v>
      </c>
      <c r="K31" s="31" t="n">
        <v>1.52</v>
      </c>
      <c r="L31" s="29" t="s">
        <v>141</v>
      </c>
    </row>
    <row r="32" customFormat="false" ht="15" hidden="false" customHeight="false" outlineLevel="0" collapsed="false">
      <c r="A32" s="29" t="s">
        <v>131</v>
      </c>
      <c r="B32" s="29" t="s">
        <v>148</v>
      </c>
      <c r="C32" s="29" t="s">
        <v>38</v>
      </c>
      <c r="D32" s="29" t="s">
        <v>44</v>
      </c>
      <c r="E32" s="29" t="s">
        <v>135</v>
      </c>
      <c r="F32" s="29" t="s">
        <v>133</v>
      </c>
      <c r="G32" s="30" t="n">
        <v>4493.94</v>
      </c>
      <c r="H32" s="31" t="n">
        <v>47.7</v>
      </c>
      <c r="I32" s="31" t="n">
        <v>11.97</v>
      </c>
      <c r="J32" s="31" t="n">
        <v>3.6</v>
      </c>
      <c r="K32" s="31" t="n">
        <v>1.66</v>
      </c>
      <c r="L32" s="29" t="s">
        <v>147</v>
      </c>
    </row>
    <row r="33" customFormat="false" ht="15" hidden="false" customHeight="false" outlineLevel="0" collapsed="false">
      <c r="A33" s="29" t="s">
        <v>131</v>
      </c>
      <c r="B33" s="29" t="s">
        <v>148</v>
      </c>
      <c r="C33" s="29" t="s">
        <v>38</v>
      </c>
      <c r="D33" s="29" t="s">
        <v>44</v>
      </c>
      <c r="E33" s="29" t="s">
        <v>135</v>
      </c>
      <c r="F33" s="29" t="s">
        <v>133</v>
      </c>
      <c r="G33" s="30" t="n">
        <v>1850.99</v>
      </c>
      <c r="H33" s="31" t="n">
        <v>47.62</v>
      </c>
      <c r="I33" s="31" t="n">
        <v>12.23</v>
      </c>
      <c r="J33" s="31" t="n">
        <v>3.78</v>
      </c>
      <c r="K33" s="31" t="n">
        <v>1.6</v>
      </c>
      <c r="L33" s="29" t="s">
        <v>146</v>
      </c>
    </row>
    <row r="34" customFormat="false" ht="15" hidden="false" customHeight="false" outlineLevel="0" collapsed="false">
      <c r="A34" s="29" t="s">
        <v>148</v>
      </c>
      <c r="B34" s="29" t="s">
        <v>150</v>
      </c>
      <c r="C34" s="29" t="s">
        <v>38</v>
      </c>
      <c r="D34" s="29" t="s">
        <v>41</v>
      </c>
      <c r="E34" s="29" t="s">
        <v>132</v>
      </c>
      <c r="F34" s="29" t="s">
        <v>133</v>
      </c>
      <c r="G34" s="30" t="n">
        <v>36.48</v>
      </c>
      <c r="H34" s="31" t="n">
        <v>47.67</v>
      </c>
      <c r="I34" s="31" t="n">
        <v>13.34</v>
      </c>
      <c r="J34" s="31" t="n">
        <v>3.3</v>
      </c>
      <c r="K34" s="31" t="n">
        <v>1.22</v>
      </c>
      <c r="L34" s="29" t="s">
        <v>149</v>
      </c>
    </row>
    <row r="35" customFormat="false" ht="15" hidden="false" customHeight="false" outlineLevel="0" collapsed="false">
      <c r="A35" s="29" t="s">
        <v>148</v>
      </c>
      <c r="B35" s="29" t="s">
        <v>150</v>
      </c>
      <c r="C35" s="29" t="s">
        <v>38</v>
      </c>
      <c r="D35" s="29" t="s">
        <v>41</v>
      </c>
      <c r="E35" s="29" t="s">
        <v>135</v>
      </c>
      <c r="F35" s="29" t="s">
        <v>133</v>
      </c>
      <c r="G35" s="30" t="n">
        <v>4059.2</v>
      </c>
      <c r="H35" s="31" t="n">
        <v>47.58</v>
      </c>
      <c r="I35" s="31" t="n">
        <v>13.37</v>
      </c>
      <c r="J35" s="31" t="n">
        <v>3.5</v>
      </c>
      <c r="K35" s="31" t="n">
        <v>1.17</v>
      </c>
      <c r="L35" s="29" t="s">
        <v>149</v>
      </c>
    </row>
    <row r="36" customFormat="false" ht="15" hidden="false" customHeight="false" outlineLevel="0" collapsed="false">
      <c r="A36" s="29" t="s">
        <v>148</v>
      </c>
      <c r="B36" s="29" t="s">
        <v>150</v>
      </c>
      <c r="C36" s="29" t="s">
        <v>38</v>
      </c>
      <c r="D36" s="29" t="s">
        <v>40</v>
      </c>
      <c r="E36" s="29" t="s">
        <v>132</v>
      </c>
      <c r="F36" s="29" t="s">
        <v>133</v>
      </c>
      <c r="G36" s="30" t="n">
        <v>4302.95</v>
      </c>
      <c r="H36" s="31" t="n">
        <v>47.98</v>
      </c>
      <c r="I36" s="31" t="n">
        <v>12.15</v>
      </c>
      <c r="J36" s="31" t="n">
        <v>3.21</v>
      </c>
      <c r="K36" s="31" t="n">
        <v>1.08</v>
      </c>
      <c r="L36" s="29" t="s">
        <v>136</v>
      </c>
    </row>
    <row r="37" customFormat="false" ht="15" hidden="false" customHeight="false" outlineLevel="0" collapsed="false">
      <c r="A37" s="29" t="s">
        <v>148</v>
      </c>
      <c r="B37" s="29" t="s">
        <v>150</v>
      </c>
      <c r="C37" s="29" t="s">
        <v>38</v>
      </c>
      <c r="D37" s="29" t="s">
        <v>40</v>
      </c>
      <c r="E37" s="29" t="s">
        <v>132</v>
      </c>
      <c r="F37" s="29" t="s">
        <v>133</v>
      </c>
      <c r="G37" s="30" t="n">
        <v>3783.51</v>
      </c>
      <c r="H37" s="31" t="n">
        <v>48.19</v>
      </c>
      <c r="I37" s="31" t="n">
        <v>11.45</v>
      </c>
      <c r="J37" s="31" t="n">
        <v>3.14</v>
      </c>
      <c r="K37" s="31" t="n">
        <v>1.11</v>
      </c>
      <c r="L37" s="29" t="s">
        <v>137</v>
      </c>
    </row>
    <row r="38" customFormat="false" ht="15" hidden="false" customHeight="false" outlineLevel="0" collapsed="false">
      <c r="A38" s="29" t="s">
        <v>148</v>
      </c>
      <c r="B38" s="29" t="s">
        <v>150</v>
      </c>
      <c r="C38" s="29" t="s">
        <v>38</v>
      </c>
      <c r="D38" s="29" t="s">
        <v>43</v>
      </c>
      <c r="E38" s="29" t="s">
        <v>135</v>
      </c>
      <c r="F38" s="29" t="s">
        <v>133</v>
      </c>
      <c r="G38" s="30" t="n">
        <v>9679.64</v>
      </c>
      <c r="H38" s="31" t="n">
        <v>47.06</v>
      </c>
      <c r="I38" s="31" t="n">
        <v>12.19</v>
      </c>
      <c r="J38" s="31" t="n">
        <v>3.75</v>
      </c>
      <c r="K38" s="31" t="n">
        <v>1.85</v>
      </c>
      <c r="L38" s="29" t="s">
        <v>142</v>
      </c>
    </row>
    <row r="39" customFormat="false" ht="15" hidden="false" customHeight="false" outlineLevel="0" collapsed="false">
      <c r="A39" s="29" t="s">
        <v>148</v>
      </c>
      <c r="B39" s="29" t="s">
        <v>150</v>
      </c>
      <c r="C39" s="29" t="s">
        <v>38</v>
      </c>
      <c r="D39" s="29" t="s">
        <v>44</v>
      </c>
      <c r="E39" s="29" t="s">
        <v>135</v>
      </c>
      <c r="F39" s="29" t="s">
        <v>133</v>
      </c>
      <c r="G39" s="30" t="n">
        <v>4725.57</v>
      </c>
      <c r="H39" s="31" t="n">
        <v>46.8</v>
      </c>
      <c r="I39" s="31" t="n">
        <v>12.31</v>
      </c>
      <c r="J39" s="31" t="n">
        <v>3.92</v>
      </c>
      <c r="K39" s="31" t="n">
        <v>1.91</v>
      </c>
      <c r="L39" s="29" t="s">
        <v>147</v>
      </c>
    </row>
    <row r="40" customFormat="false" ht="15" hidden="false" customHeight="false" outlineLevel="0" collapsed="false">
      <c r="A40" s="29" t="s">
        <v>148</v>
      </c>
      <c r="B40" s="29" t="s">
        <v>150</v>
      </c>
      <c r="C40" s="29" t="s">
        <v>38</v>
      </c>
      <c r="D40" s="29" t="s">
        <v>44</v>
      </c>
      <c r="E40" s="29" t="s">
        <v>135</v>
      </c>
      <c r="F40" s="29" t="s">
        <v>133</v>
      </c>
      <c r="G40" s="30" t="n">
        <v>1500.55</v>
      </c>
      <c r="H40" s="31" t="n">
        <v>47.11</v>
      </c>
      <c r="I40" s="31" t="n">
        <v>12.22</v>
      </c>
      <c r="J40" s="31" t="n">
        <v>3.7</v>
      </c>
      <c r="K40" s="31" t="n">
        <v>1.87</v>
      </c>
      <c r="L40" s="29" t="s">
        <v>146</v>
      </c>
    </row>
    <row r="41" customFormat="false" ht="15" hidden="false" customHeight="false" outlineLevel="0" collapsed="false">
      <c r="A41" s="29" t="s">
        <v>150</v>
      </c>
      <c r="B41" s="29" t="s">
        <v>151</v>
      </c>
      <c r="C41" s="29" t="s">
        <v>38</v>
      </c>
      <c r="D41" s="29" t="s">
        <v>40</v>
      </c>
      <c r="E41" s="29" t="s">
        <v>132</v>
      </c>
      <c r="F41" s="29" t="s">
        <v>133</v>
      </c>
      <c r="G41" s="30" t="n">
        <v>2129.36</v>
      </c>
      <c r="H41" s="31" t="n">
        <v>48.21</v>
      </c>
      <c r="I41" s="31" t="n">
        <v>12.1</v>
      </c>
      <c r="J41" s="31" t="n">
        <v>3.224</v>
      </c>
      <c r="K41" s="31" t="n">
        <v>0.879</v>
      </c>
      <c r="L41" s="29" t="s">
        <v>136</v>
      </c>
    </row>
    <row r="42" customFormat="false" ht="15" hidden="false" customHeight="false" outlineLevel="0" collapsed="false">
      <c r="A42" s="29" t="s">
        <v>150</v>
      </c>
      <c r="B42" s="29" t="s">
        <v>151</v>
      </c>
      <c r="C42" s="29" t="s">
        <v>38</v>
      </c>
      <c r="D42" s="29" t="s">
        <v>40</v>
      </c>
      <c r="E42" s="29" t="s">
        <v>132</v>
      </c>
      <c r="F42" s="29" t="s">
        <v>133</v>
      </c>
      <c r="G42" s="30" t="n">
        <v>2640.85</v>
      </c>
      <c r="H42" s="31" t="n">
        <v>48.46</v>
      </c>
      <c r="I42" s="31" t="n">
        <v>11.64</v>
      </c>
      <c r="J42" s="31" t="n">
        <v>3.07</v>
      </c>
      <c r="K42" s="31" t="n">
        <v>0.95</v>
      </c>
      <c r="L42" s="29" t="s">
        <v>137</v>
      </c>
    </row>
    <row r="43" customFormat="false" ht="15" hidden="false" customHeight="false" outlineLevel="0" collapsed="false">
      <c r="A43" s="29" t="s">
        <v>150</v>
      </c>
      <c r="B43" s="29" t="s">
        <v>151</v>
      </c>
      <c r="C43" s="29" t="s">
        <v>38</v>
      </c>
      <c r="D43" s="29" t="s">
        <v>42</v>
      </c>
      <c r="E43" s="29" t="s">
        <v>132</v>
      </c>
      <c r="F43" s="29" t="s">
        <v>133</v>
      </c>
      <c r="G43" s="30" t="n">
        <v>3200.29</v>
      </c>
      <c r="H43" s="31" t="n">
        <v>47.47</v>
      </c>
      <c r="I43" s="31" t="n">
        <v>12.13</v>
      </c>
      <c r="J43" s="31" t="n">
        <v>3.71</v>
      </c>
      <c r="K43" s="31" t="n">
        <v>1.62</v>
      </c>
      <c r="L43" s="29" t="s">
        <v>139</v>
      </c>
    </row>
    <row r="44" customFormat="false" ht="15" hidden="false" customHeight="false" outlineLevel="0" collapsed="false">
      <c r="A44" s="29" t="s">
        <v>150</v>
      </c>
      <c r="B44" s="29" t="s">
        <v>151</v>
      </c>
      <c r="C44" s="29" t="s">
        <v>38</v>
      </c>
      <c r="D44" s="29" t="s">
        <v>43</v>
      </c>
      <c r="E44" s="29" t="s">
        <v>135</v>
      </c>
      <c r="F44" s="29" t="s">
        <v>133</v>
      </c>
      <c r="G44" s="30" t="n">
        <v>8781.67</v>
      </c>
      <c r="H44" s="31" t="n">
        <v>47.24</v>
      </c>
      <c r="I44" s="31" t="n">
        <v>12.14</v>
      </c>
      <c r="J44" s="31" t="n">
        <v>3.84</v>
      </c>
      <c r="K44" s="31" t="n">
        <v>1.66</v>
      </c>
      <c r="L44" s="29" t="s">
        <v>142</v>
      </c>
    </row>
    <row r="45" customFormat="false" ht="15" hidden="false" customHeight="false" outlineLevel="0" collapsed="false">
      <c r="A45" s="29" t="s">
        <v>150</v>
      </c>
      <c r="B45" s="29" t="s">
        <v>151</v>
      </c>
      <c r="C45" s="29" t="s">
        <v>38</v>
      </c>
      <c r="D45" s="29" t="s">
        <v>45</v>
      </c>
      <c r="E45" s="29" t="s">
        <v>135</v>
      </c>
      <c r="F45" s="29" t="s">
        <v>133</v>
      </c>
      <c r="G45" s="30" t="n">
        <v>8596.33</v>
      </c>
      <c r="H45" s="31" t="n">
        <v>47.05</v>
      </c>
      <c r="I45" s="31" t="n">
        <v>12.18</v>
      </c>
      <c r="J45" s="31" t="n">
        <v>3.94</v>
      </c>
      <c r="K45" s="31" t="n">
        <v>1.6</v>
      </c>
      <c r="L45" s="29" t="s">
        <v>145</v>
      </c>
    </row>
    <row r="46" customFormat="false" ht="15" hidden="false" customHeight="false" outlineLevel="0" collapsed="false">
      <c r="A46" s="29" t="s">
        <v>150</v>
      </c>
      <c r="B46" s="29" t="s">
        <v>151</v>
      </c>
      <c r="C46" s="29" t="s">
        <v>38</v>
      </c>
      <c r="D46" s="29" t="s">
        <v>45</v>
      </c>
      <c r="E46" s="29" t="s">
        <v>135</v>
      </c>
      <c r="F46" s="29" t="s">
        <v>133</v>
      </c>
      <c r="G46" s="30" t="n">
        <v>3904.77</v>
      </c>
      <c r="H46" s="31" t="n">
        <v>46.79</v>
      </c>
      <c r="I46" s="31" t="n">
        <v>12.26</v>
      </c>
      <c r="J46" s="31" t="n">
        <v>4.18</v>
      </c>
      <c r="K46" s="31" t="n">
        <v>1.59</v>
      </c>
      <c r="L46" s="29" t="s">
        <v>142</v>
      </c>
    </row>
    <row r="47" customFormat="false" ht="15" hidden="false" customHeight="false" outlineLevel="0" collapsed="false">
      <c r="A47" s="29" t="s">
        <v>150</v>
      </c>
      <c r="B47" s="29" t="s">
        <v>151</v>
      </c>
      <c r="C47" s="29" t="s">
        <v>38</v>
      </c>
      <c r="D47" s="29" t="s">
        <v>44</v>
      </c>
      <c r="E47" s="29" t="s">
        <v>135</v>
      </c>
      <c r="F47" s="29" t="s">
        <v>133</v>
      </c>
      <c r="G47" s="30" t="n">
        <v>18685.13</v>
      </c>
      <c r="H47" s="31" t="n">
        <v>47.31</v>
      </c>
      <c r="I47" s="31" t="n">
        <v>12.2</v>
      </c>
      <c r="J47" s="31" t="n">
        <v>3.77</v>
      </c>
      <c r="K47" s="31" t="n">
        <v>1.61</v>
      </c>
      <c r="L47" s="29" t="s">
        <v>147</v>
      </c>
    </row>
    <row r="48" customFormat="false" ht="15" hidden="false" customHeight="false" outlineLevel="0" collapsed="false">
      <c r="A48" s="29" t="s">
        <v>150</v>
      </c>
      <c r="B48" s="29" t="s">
        <v>151</v>
      </c>
      <c r="C48" s="29" t="s">
        <v>38</v>
      </c>
      <c r="D48" s="29" t="s">
        <v>44</v>
      </c>
      <c r="E48" s="29" t="s">
        <v>135</v>
      </c>
      <c r="F48" s="29" t="s">
        <v>133</v>
      </c>
      <c r="G48" s="30" t="n">
        <v>2355.09</v>
      </c>
      <c r="H48" s="31" t="n">
        <v>47.28</v>
      </c>
      <c r="I48" s="31" t="n">
        <v>12.25</v>
      </c>
      <c r="J48" s="31" t="n">
        <v>3.81</v>
      </c>
      <c r="K48" s="31" t="n">
        <v>1.74</v>
      </c>
      <c r="L48" s="29" t="s">
        <v>146</v>
      </c>
    </row>
    <row r="49" customFormat="false" ht="15" hidden="false" customHeight="false" outlineLevel="0" collapsed="false">
      <c r="A49" s="29" t="s">
        <v>151</v>
      </c>
      <c r="B49" s="29" t="s">
        <v>152</v>
      </c>
      <c r="C49" s="29" t="s">
        <v>59</v>
      </c>
      <c r="D49" s="29" t="s">
        <v>40</v>
      </c>
      <c r="E49" s="29" t="s">
        <v>132</v>
      </c>
      <c r="F49" s="29" t="s">
        <v>133</v>
      </c>
      <c r="G49" s="30" t="n">
        <v>1297.91</v>
      </c>
      <c r="H49" s="31" t="n">
        <v>47.92</v>
      </c>
      <c r="I49" s="31" t="n">
        <v>12.6</v>
      </c>
      <c r="J49" s="31" t="n">
        <v>3.51</v>
      </c>
      <c r="K49" s="31" t="n">
        <v>1.12</v>
      </c>
      <c r="L49" s="29" t="s">
        <v>136</v>
      </c>
    </row>
    <row r="50" customFormat="false" ht="15" hidden="false" customHeight="false" outlineLevel="0" collapsed="false">
      <c r="A50" s="29" t="s">
        <v>151</v>
      </c>
      <c r="B50" s="29" t="s">
        <v>152</v>
      </c>
      <c r="C50" s="29" t="s">
        <v>59</v>
      </c>
      <c r="D50" s="29" t="s">
        <v>40</v>
      </c>
      <c r="E50" s="29" t="s">
        <v>132</v>
      </c>
      <c r="F50" s="29" t="s">
        <v>133</v>
      </c>
      <c r="G50" s="30" t="n">
        <v>4085.41</v>
      </c>
      <c r="H50" s="31" t="n">
        <v>48.43</v>
      </c>
      <c r="I50" s="31" t="n">
        <v>11.85</v>
      </c>
      <c r="J50" s="31" t="n">
        <v>3.16</v>
      </c>
      <c r="K50" s="31" t="n">
        <v>1.27</v>
      </c>
      <c r="L50" s="29" t="s">
        <v>137</v>
      </c>
    </row>
    <row r="51" customFormat="false" ht="15" hidden="false" customHeight="false" outlineLevel="0" collapsed="false">
      <c r="A51" s="29" t="s">
        <v>151</v>
      </c>
      <c r="B51" s="29" t="s">
        <v>152</v>
      </c>
      <c r="C51" s="29" t="s">
        <v>59</v>
      </c>
      <c r="D51" s="29" t="s">
        <v>42</v>
      </c>
      <c r="E51" s="29" t="s">
        <v>132</v>
      </c>
      <c r="F51" s="29" t="s">
        <v>133</v>
      </c>
      <c r="G51" s="30" t="n">
        <v>267.3</v>
      </c>
      <c r="H51" s="31" t="n">
        <v>47.64</v>
      </c>
      <c r="I51" s="31" t="n">
        <v>12.05</v>
      </c>
      <c r="J51" s="31" t="n">
        <v>3.48</v>
      </c>
      <c r="K51" s="31" t="n">
        <v>1.99</v>
      </c>
      <c r="L51" s="29" t="s">
        <v>138</v>
      </c>
    </row>
    <row r="52" customFormat="false" ht="15" hidden="false" customHeight="false" outlineLevel="0" collapsed="false">
      <c r="A52" s="29" t="s">
        <v>151</v>
      </c>
      <c r="B52" s="29" t="s">
        <v>152</v>
      </c>
      <c r="C52" s="29" t="s">
        <v>59</v>
      </c>
      <c r="D52" s="29" t="s">
        <v>42</v>
      </c>
      <c r="E52" s="29" t="s">
        <v>135</v>
      </c>
      <c r="F52" s="29" t="s">
        <v>133</v>
      </c>
      <c r="G52" s="30" t="n">
        <v>19028.16</v>
      </c>
      <c r="H52" s="31" t="n">
        <v>46.82</v>
      </c>
      <c r="I52" s="31" t="n">
        <v>12.4</v>
      </c>
      <c r="J52" s="31" t="n">
        <v>3.76</v>
      </c>
      <c r="K52" s="31" t="n">
        <v>1.84</v>
      </c>
      <c r="L52" s="29" t="s">
        <v>138</v>
      </c>
    </row>
    <row r="53" customFormat="false" ht="15" hidden="false" customHeight="false" outlineLevel="0" collapsed="false">
      <c r="A53" s="29" t="s">
        <v>151</v>
      </c>
      <c r="B53" s="29" t="s">
        <v>152</v>
      </c>
      <c r="C53" s="29" t="s">
        <v>59</v>
      </c>
      <c r="D53" s="29" t="s">
        <v>43</v>
      </c>
      <c r="E53" s="29" t="s">
        <v>135</v>
      </c>
      <c r="F53" s="29" t="s">
        <v>133</v>
      </c>
      <c r="G53" s="30" t="n">
        <v>7450.48</v>
      </c>
      <c r="H53" s="31" t="n">
        <v>47.33</v>
      </c>
      <c r="I53" s="31" t="n">
        <v>12.15</v>
      </c>
      <c r="J53" s="31" t="n">
        <v>3.74</v>
      </c>
      <c r="K53" s="31" t="n">
        <v>1.78</v>
      </c>
      <c r="L53" s="29" t="s">
        <v>142</v>
      </c>
    </row>
    <row r="54" customFormat="false" ht="15" hidden="false" customHeight="false" outlineLevel="0" collapsed="false">
      <c r="A54" s="29" t="s">
        <v>151</v>
      </c>
      <c r="B54" s="29" t="s">
        <v>152</v>
      </c>
      <c r="C54" s="29" t="s">
        <v>59</v>
      </c>
      <c r="D54" s="29" t="s">
        <v>45</v>
      </c>
      <c r="E54" s="29" t="s">
        <v>135</v>
      </c>
      <c r="F54" s="29" t="s">
        <v>133</v>
      </c>
      <c r="G54" s="30" t="n">
        <v>20520.79</v>
      </c>
      <c r="H54" s="31" t="n">
        <v>47.17</v>
      </c>
      <c r="I54" s="31" t="n">
        <v>12.36</v>
      </c>
      <c r="J54" s="31" t="n">
        <v>3.55</v>
      </c>
      <c r="K54" s="31" t="n">
        <v>1.71</v>
      </c>
      <c r="L54" s="29" t="s">
        <v>145</v>
      </c>
    </row>
    <row r="55" customFormat="false" ht="15" hidden="false" customHeight="false" outlineLevel="0" collapsed="false">
      <c r="A55" s="29" t="s">
        <v>151</v>
      </c>
      <c r="B55" s="29" t="s">
        <v>152</v>
      </c>
      <c r="C55" s="29" t="s">
        <v>59</v>
      </c>
      <c r="D55" s="29" t="s">
        <v>45</v>
      </c>
      <c r="E55" s="29" t="s">
        <v>135</v>
      </c>
      <c r="F55" s="29" t="s">
        <v>133</v>
      </c>
      <c r="G55" s="30" t="n">
        <v>14927.63</v>
      </c>
      <c r="H55" s="31" t="n">
        <v>47.04</v>
      </c>
      <c r="I55" s="31" t="n">
        <v>12.33</v>
      </c>
      <c r="J55" s="31" t="n">
        <v>3.69</v>
      </c>
      <c r="K55" s="31" t="n">
        <v>1.69</v>
      </c>
      <c r="L55" s="29" t="s">
        <v>142</v>
      </c>
    </row>
    <row r="56" customFormat="false" ht="15" hidden="false" customHeight="false" outlineLevel="0" collapsed="false">
      <c r="A56" s="29" t="s">
        <v>151</v>
      </c>
      <c r="B56" s="29" t="s">
        <v>152</v>
      </c>
      <c r="C56" s="29" t="s">
        <v>59</v>
      </c>
      <c r="D56" s="29" t="s">
        <v>44</v>
      </c>
      <c r="E56" s="29" t="s">
        <v>135</v>
      </c>
      <c r="F56" s="29" t="s">
        <v>133</v>
      </c>
      <c r="G56" s="30" t="n">
        <v>10421.12</v>
      </c>
      <c r="H56" s="31" t="n">
        <v>46.92</v>
      </c>
      <c r="I56" s="31" t="n">
        <v>12.33</v>
      </c>
      <c r="J56" s="31" t="n">
        <v>3.76</v>
      </c>
      <c r="K56" s="31" t="n">
        <v>1.77</v>
      </c>
      <c r="L56" s="29" t="s">
        <v>147</v>
      </c>
    </row>
    <row r="57" customFormat="false" ht="15" hidden="false" customHeight="false" outlineLevel="0" collapsed="false">
      <c r="A57" s="29" t="s">
        <v>151</v>
      </c>
      <c r="B57" s="29" t="s">
        <v>152</v>
      </c>
      <c r="C57" s="29" t="s">
        <v>59</v>
      </c>
      <c r="D57" s="29" t="s">
        <v>44</v>
      </c>
      <c r="E57" s="29" t="s">
        <v>135</v>
      </c>
      <c r="F57" s="29" t="s">
        <v>133</v>
      </c>
      <c r="G57" s="30" t="n">
        <v>3024.54</v>
      </c>
      <c r="H57" s="31" t="n">
        <v>47.14</v>
      </c>
      <c r="I57" s="31" t="n">
        <v>12.43</v>
      </c>
      <c r="J57" s="31" t="n">
        <v>3.73</v>
      </c>
      <c r="K57" s="31" t="n">
        <v>1.69</v>
      </c>
      <c r="L57" s="29" t="s">
        <v>146</v>
      </c>
    </row>
    <row r="58" customFormat="false" ht="15" hidden="false" customHeight="false" outlineLevel="0" collapsed="false">
      <c r="A58" s="29" t="s">
        <v>152</v>
      </c>
      <c r="B58" s="29" t="s">
        <v>153</v>
      </c>
      <c r="C58" s="29" t="s">
        <v>59</v>
      </c>
      <c r="D58" s="29" t="s">
        <v>41</v>
      </c>
      <c r="E58" s="29" t="s">
        <v>135</v>
      </c>
      <c r="F58" s="29" t="s">
        <v>133</v>
      </c>
      <c r="G58" s="30" t="n">
        <v>5302.91</v>
      </c>
      <c r="H58" s="31" t="n">
        <v>47.73</v>
      </c>
      <c r="I58" s="31" t="n">
        <v>12.89</v>
      </c>
      <c r="J58" s="31" t="n">
        <v>3.5</v>
      </c>
      <c r="K58" s="31" t="n">
        <v>0.92</v>
      </c>
      <c r="L58" s="29" t="s">
        <v>134</v>
      </c>
    </row>
    <row r="59" customFormat="false" ht="15" hidden="false" customHeight="false" outlineLevel="0" collapsed="false">
      <c r="A59" s="29" t="s">
        <v>152</v>
      </c>
      <c r="B59" s="29" t="s">
        <v>153</v>
      </c>
      <c r="C59" s="29" t="s">
        <v>59</v>
      </c>
      <c r="D59" s="29" t="s">
        <v>41</v>
      </c>
      <c r="E59" s="29" t="s">
        <v>135</v>
      </c>
      <c r="F59" s="29" t="s">
        <v>133</v>
      </c>
      <c r="G59" s="30" t="n">
        <v>86.43</v>
      </c>
      <c r="H59" s="31" t="n">
        <v>47.86</v>
      </c>
      <c r="I59" s="31" t="n">
        <v>13.11</v>
      </c>
      <c r="J59" s="31" t="n">
        <v>3.3</v>
      </c>
      <c r="K59" s="31" t="n">
        <v>1.18</v>
      </c>
      <c r="L59" s="29" t="s">
        <v>149</v>
      </c>
    </row>
    <row r="60" customFormat="false" ht="15" hidden="false" customHeight="false" outlineLevel="0" collapsed="false">
      <c r="A60" s="29" t="s">
        <v>152</v>
      </c>
      <c r="B60" s="29" t="s">
        <v>153</v>
      </c>
      <c r="C60" s="29" t="s">
        <v>59</v>
      </c>
      <c r="D60" s="29" t="s">
        <v>40</v>
      </c>
      <c r="E60" s="29" t="s">
        <v>132</v>
      </c>
      <c r="F60" s="29" t="s">
        <v>133</v>
      </c>
      <c r="G60" s="30" t="n">
        <v>2807.1</v>
      </c>
      <c r="H60" s="31" t="n">
        <v>48.4</v>
      </c>
      <c r="I60" s="31" t="n">
        <v>11.28</v>
      </c>
      <c r="J60" s="31" t="n">
        <v>3.15</v>
      </c>
      <c r="K60" s="31" t="n">
        <v>1.38</v>
      </c>
      <c r="L60" s="29" t="s">
        <v>136</v>
      </c>
    </row>
    <row r="61" customFormat="false" ht="15" hidden="false" customHeight="false" outlineLevel="0" collapsed="false">
      <c r="A61" s="29" t="s">
        <v>152</v>
      </c>
      <c r="B61" s="29" t="s">
        <v>153</v>
      </c>
      <c r="C61" s="29" t="s">
        <v>59</v>
      </c>
      <c r="D61" s="29" t="s">
        <v>40</v>
      </c>
      <c r="E61" s="29" t="s">
        <v>132</v>
      </c>
      <c r="F61" s="29" t="s">
        <v>133</v>
      </c>
      <c r="G61" s="30" t="n">
        <v>1687.7</v>
      </c>
      <c r="H61" s="31" t="n">
        <v>47.73</v>
      </c>
      <c r="I61" s="31" t="n">
        <v>10.46</v>
      </c>
      <c r="J61" s="31" t="n">
        <v>3.52</v>
      </c>
      <c r="K61" s="31" t="n">
        <v>2.48</v>
      </c>
      <c r="L61" s="29" t="s">
        <v>137</v>
      </c>
    </row>
    <row r="62" customFormat="false" ht="15" hidden="false" customHeight="false" outlineLevel="0" collapsed="false">
      <c r="A62" s="29" t="s">
        <v>152</v>
      </c>
      <c r="B62" s="29" t="s">
        <v>153</v>
      </c>
      <c r="C62" s="29" t="s">
        <v>59</v>
      </c>
      <c r="D62" s="29" t="s">
        <v>42</v>
      </c>
      <c r="E62" s="29" t="s">
        <v>132</v>
      </c>
      <c r="F62" s="29" t="s">
        <v>133</v>
      </c>
      <c r="G62" s="30" t="n">
        <v>3444.65</v>
      </c>
      <c r="H62" s="31" t="n">
        <v>47.01</v>
      </c>
      <c r="I62" s="31" t="n">
        <v>12.34</v>
      </c>
      <c r="J62" s="31" t="n">
        <v>3.53</v>
      </c>
      <c r="K62" s="31" t="n">
        <v>1.89</v>
      </c>
      <c r="L62" s="29" t="s">
        <v>138</v>
      </c>
    </row>
    <row r="63" customFormat="false" ht="15" hidden="false" customHeight="false" outlineLevel="0" collapsed="false">
      <c r="A63" s="29" t="s">
        <v>152</v>
      </c>
      <c r="B63" s="29" t="s">
        <v>153</v>
      </c>
      <c r="C63" s="29" t="s">
        <v>59</v>
      </c>
      <c r="D63" s="29" t="s">
        <v>42</v>
      </c>
      <c r="E63" s="29" t="s">
        <v>135</v>
      </c>
      <c r="F63" s="29" t="s">
        <v>133</v>
      </c>
      <c r="G63" s="30" t="n">
        <v>10336.53</v>
      </c>
      <c r="H63" s="31" t="n">
        <v>46.96</v>
      </c>
      <c r="I63" s="31" t="n">
        <v>12.4</v>
      </c>
      <c r="J63" s="31" t="n">
        <v>3.57</v>
      </c>
      <c r="K63" s="31" t="n">
        <v>1.67</v>
      </c>
      <c r="L63" s="29" t="s">
        <v>138</v>
      </c>
    </row>
    <row r="64" customFormat="false" ht="15" hidden="false" customHeight="false" outlineLevel="0" collapsed="false">
      <c r="A64" s="29" t="s">
        <v>152</v>
      </c>
      <c r="B64" s="29" t="s">
        <v>153</v>
      </c>
      <c r="C64" s="29" t="s">
        <v>59</v>
      </c>
      <c r="D64" s="29" t="s">
        <v>43</v>
      </c>
      <c r="E64" s="29" t="s">
        <v>135</v>
      </c>
      <c r="F64" s="29" t="s">
        <v>133</v>
      </c>
      <c r="G64" s="30" t="n">
        <v>14840.71</v>
      </c>
      <c r="H64" s="31" t="n">
        <v>47.66</v>
      </c>
      <c r="I64" s="31" t="n">
        <v>12.3</v>
      </c>
      <c r="J64" s="31" t="n">
        <v>3.49</v>
      </c>
      <c r="K64" s="31" t="n">
        <v>1.78</v>
      </c>
      <c r="L64" s="29" t="s">
        <v>142</v>
      </c>
    </row>
    <row r="65" customFormat="false" ht="15" hidden="false" customHeight="false" outlineLevel="0" collapsed="false">
      <c r="A65" s="29" t="s">
        <v>152</v>
      </c>
      <c r="B65" s="29" t="s">
        <v>153</v>
      </c>
      <c r="C65" s="29" t="s">
        <v>59</v>
      </c>
      <c r="D65" s="29" t="s">
        <v>45</v>
      </c>
      <c r="E65" s="29" t="s">
        <v>135</v>
      </c>
      <c r="F65" s="29" t="s">
        <v>133</v>
      </c>
      <c r="G65" s="30" t="n">
        <v>14930.89</v>
      </c>
      <c r="H65" s="31" t="n">
        <v>46.95</v>
      </c>
      <c r="I65" s="31" t="n">
        <v>12.4</v>
      </c>
      <c r="J65" s="31" t="n">
        <v>3.65</v>
      </c>
      <c r="K65" s="31" t="n">
        <v>1.75</v>
      </c>
      <c r="L65" s="29" t="s">
        <v>145</v>
      </c>
    </row>
    <row r="66" customFormat="false" ht="15" hidden="false" customHeight="false" outlineLevel="0" collapsed="false">
      <c r="A66" s="29" t="s">
        <v>152</v>
      </c>
      <c r="B66" s="29" t="s">
        <v>153</v>
      </c>
      <c r="C66" s="29" t="s">
        <v>59</v>
      </c>
      <c r="D66" s="29" t="s">
        <v>45</v>
      </c>
      <c r="E66" s="29" t="s">
        <v>135</v>
      </c>
      <c r="F66" s="29" t="s">
        <v>133</v>
      </c>
      <c r="G66" s="30" t="n">
        <v>15535.08</v>
      </c>
      <c r="H66" s="31" t="n">
        <v>47.09</v>
      </c>
      <c r="I66" s="31" t="n">
        <v>12.51</v>
      </c>
      <c r="J66" s="31" t="n">
        <v>3.55</v>
      </c>
      <c r="K66" s="31" t="n">
        <v>1.76</v>
      </c>
      <c r="L66" s="29" t="s">
        <v>142</v>
      </c>
    </row>
    <row r="67" customFormat="false" ht="15" hidden="false" customHeight="false" outlineLevel="0" collapsed="false">
      <c r="A67" s="29" t="s">
        <v>152</v>
      </c>
      <c r="B67" s="29" t="s">
        <v>153</v>
      </c>
      <c r="C67" s="29" t="s">
        <v>59</v>
      </c>
      <c r="D67" s="29" t="s">
        <v>44</v>
      </c>
      <c r="E67" s="29" t="s">
        <v>135</v>
      </c>
      <c r="F67" s="29" t="s">
        <v>133</v>
      </c>
      <c r="G67" s="30" t="n">
        <v>1984.9</v>
      </c>
      <c r="H67" s="31" t="n">
        <v>46.79</v>
      </c>
      <c r="I67" s="31" t="n">
        <v>12.39</v>
      </c>
      <c r="J67" s="31" t="n">
        <v>3.75</v>
      </c>
      <c r="K67" s="31" t="n">
        <v>1.73</v>
      </c>
      <c r="L67" s="29" t="s">
        <v>147</v>
      </c>
    </row>
    <row r="68" customFormat="false" ht="15" hidden="false" customHeight="false" outlineLevel="0" collapsed="false">
      <c r="A68" s="29" t="s">
        <v>152</v>
      </c>
      <c r="B68" s="29" t="s">
        <v>153</v>
      </c>
      <c r="C68" s="29" t="s">
        <v>59</v>
      </c>
      <c r="D68" s="29" t="s">
        <v>44</v>
      </c>
      <c r="E68" s="29" t="s">
        <v>135</v>
      </c>
      <c r="F68" s="29" t="s">
        <v>133</v>
      </c>
      <c r="G68" s="30" t="n">
        <v>325.47</v>
      </c>
      <c r="H68" s="31" t="n">
        <v>47.67</v>
      </c>
      <c r="I68" s="31" t="n">
        <v>12.5</v>
      </c>
      <c r="J68" s="31" t="n">
        <v>3.51</v>
      </c>
      <c r="K68" s="31" t="n">
        <v>1.85</v>
      </c>
      <c r="L68" s="29" t="s">
        <v>146</v>
      </c>
    </row>
    <row r="69" customFormat="false" ht="15" hidden="false" customHeight="false" outlineLevel="0" collapsed="false">
      <c r="A69" s="29" t="s">
        <v>153</v>
      </c>
      <c r="B69" s="29" t="s">
        <v>154</v>
      </c>
      <c r="C69" s="29" t="s">
        <v>59</v>
      </c>
      <c r="D69" s="29" t="s">
        <v>40</v>
      </c>
      <c r="E69" s="29" t="s">
        <v>132</v>
      </c>
      <c r="F69" s="29" t="s">
        <v>133</v>
      </c>
      <c r="G69" s="30" t="n">
        <v>5950.59</v>
      </c>
      <c r="H69" s="31" t="n">
        <v>47.96</v>
      </c>
      <c r="I69" s="31" t="n">
        <v>11.41</v>
      </c>
      <c r="J69" s="31" t="n">
        <v>3.53</v>
      </c>
      <c r="K69" s="31" t="n">
        <v>1.04</v>
      </c>
      <c r="L69" s="29" t="s">
        <v>136</v>
      </c>
    </row>
    <row r="70" customFormat="false" ht="15" hidden="false" customHeight="false" outlineLevel="0" collapsed="false">
      <c r="A70" s="29" t="s">
        <v>153</v>
      </c>
      <c r="B70" s="29" t="s">
        <v>154</v>
      </c>
      <c r="C70" s="29" t="s">
        <v>59</v>
      </c>
      <c r="D70" s="29" t="s">
        <v>40</v>
      </c>
      <c r="E70" s="29" t="s">
        <v>132</v>
      </c>
      <c r="F70" s="29" t="s">
        <v>133</v>
      </c>
      <c r="G70" s="30" t="n">
        <v>3160.58</v>
      </c>
      <c r="H70" s="31" t="n">
        <v>48.06</v>
      </c>
      <c r="I70" s="31" t="n">
        <v>11.44</v>
      </c>
      <c r="J70" s="31" t="n">
        <v>3.46</v>
      </c>
      <c r="K70" s="31" t="n">
        <v>0.81</v>
      </c>
      <c r="L70" s="29" t="s">
        <v>137</v>
      </c>
    </row>
    <row r="71" customFormat="false" ht="15" hidden="false" customHeight="false" outlineLevel="0" collapsed="false">
      <c r="A71" s="29" t="s">
        <v>153</v>
      </c>
      <c r="B71" s="29" t="s">
        <v>154</v>
      </c>
      <c r="C71" s="29" t="s">
        <v>59</v>
      </c>
      <c r="D71" s="29" t="s">
        <v>42</v>
      </c>
      <c r="E71" s="29" t="s">
        <v>132</v>
      </c>
      <c r="F71" s="29" t="s">
        <v>133</v>
      </c>
      <c r="G71" s="30" t="n">
        <v>46.83</v>
      </c>
      <c r="H71" s="31" t="n">
        <v>47.23</v>
      </c>
      <c r="I71" s="31" t="n">
        <v>12.09</v>
      </c>
      <c r="J71" s="31" t="n">
        <v>3.63</v>
      </c>
      <c r="K71" s="31" t="n">
        <v>1.9</v>
      </c>
      <c r="L71" s="29" t="s">
        <v>138</v>
      </c>
    </row>
    <row r="72" customFormat="false" ht="15" hidden="false" customHeight="false" outlineLevel="0" collapsed="false">
      <c r="A72" s="29" t="s">
        <v>153</v>
      </c>
      <c r="B72" s="29" t="s">
        <v>154</v>
      </c>
      <c r="C72" s="29" t="s">
        <v>59</v>
      </c>
      <c r="D72" s="29" t="s">
        <v>42</v>
      </c>
      <c r="E72" s="29" t="s">
        <v>132</v>
      </c>
      <c r="F72" s="29" t="s">
        <v>133</v>
      </c>
      <c r="G72" s="30" t="n">
        <v>1755.86</v>
      </c>
      <c r="H72" s="31" t="n">
        <v>47.27</v>
      </c>
      <c r="I72" s="31" t="n">
        <v>12.22</v>
      </c>
      <c r="J72" s="31" t="n">
        <v>3.68</v>
      </c>
      <c r="K72" s="31" t="n">
        <v>1.73</v>
      </c>
      <c r="L72" s="29" t="s">
        <v>139</v>
      </c>
    </row>
    <row r="73" customFormat="false" ht="15" hidden="false" customHeight="false" outlineLevel="0" collapsed="false">
      <c r="A73" s="29" t="s">
        <v>153</v>
      </c>
      <c r="B73" s="29" t="s">
        <v>154</v>
      </c>
      <c r="C73" s="29" t="s">
        <v>59</v>
      </c>
      <c r="D73" s="29" t="s">
        <v>42</v>
      </c>
      <c r="E73" s="29" t="s">
        <v>135</v>
      </c>
      <c r="F73" s="29" t="s">
        <v>133</v>
      </c>
      <c r="G73" s="30" t="n">
        <v>17769.43</v>
      </c>
      <c r="H73" s="31" t="n">
        <v>47</v>
      </c>
      <c r="I73" s="31" t="n">
        <v>12.25</v>
      </c>
      <c r="J73" s="31" t="n">
        <v>3.77</v>
      </c>
      <c r="K73" s="31" t="n">
        <v>1.55</v>
      </c>
      <c r="L73" s="29" t="s">
        <v>138</v>
      </c>
    </row>
    <row r="74" customFormat="false" ht="15" hidden="false" customHeight="false" outlineLevel="0" collapsed="false">
      <c r="A74" s="29" t="s">
        <v>153</v>
      </c>
      <c r="B74" s="29" t="s">
        <v>154</v>
      </c>
      <c r="C74" s="29" t="s">
        <v>59</v>
      </c>
      <c r="D74" s="29" t="s">
        <v>43</v>
      </c>
      <c r="E74" s="29" t="s">
        <v>135</v>
      </c>
      <c r="F74" s="29" t="s">
        <v>133</v>
      </c>
      <c r="G74" s="30" t="n">
        <v>21045.84</v>
      </c>
      <c r="H74" s="31" t="n">
        <v>47.93</v>
      </c>
      <c r="I74" s="31" t="n">
        <v>12.23</v>
      </c>
      <c r="J74" s="31" t="n">
        <v>3.41</v>
      </c>
      <c r="K74" s="31" t="n">
        <v>1.69</v>
      </c>
      <c r="L74" s="29" t="s">
        <v>142</v>
      </c>
    </row>
    <row r="75" customFormat="false" ht="15" hidden="false" customHeight="false" outlineLevel="0" collapsed="false">
      <c r="A75" s="29" t="s">
        <v>153</v>
      </c>
      <c r="B75" s="29" t="s">
        <v>154</v>
      </c>
      <c r="C75" s="29" t="s">
        <v>59</v>
      </c>
      <c r="D75" s="29" t="s">
        <v>45</v>
      </c>
      <c r="E75" s="29" t="s">
        <v>135</v>
      </c>
      <c r="F75" s="29" t="s">
        <v>133</v>
      </c>
      <c r="G75" s="30" t="n">
        <v>10764.04</v>
      </c>
      <c r="H75" s="31" t="n">
        <v>47.6</v>
      </c>
      <c r="I75" s="31" t="n">
        <v>12.12</v>
      </c>
      <c r="J75" s="31" t="n">
        <v>3.67</v>
      </c>
      <c r="K75" s="31" t="n">
        <v>1.47</v>
      </c>
      <c r="L75" s="29" t="s">
        <v>145</v>
      </c>
    </row>
    <row r="76" customFormat="false" ht="15" hidden="false" customHeight="false" outlineLevel="0" collapsed="false">
      <c r="A76" s="29" t="s">
        <v>153</v>
      </c>
      <c r="B76" s="29" t="s">
        <v>154</v>
      </c>
      <c r="C76" s="29" t="s">
        <v>59</v>
      </c>
      <c r="D76" s="29" t="s">
        <v>45</v>
      </c>
      <c r="E76" s="29" t="s">
        <v>135</v>
      </c>
      <c r="F76" s="29" t="s">
        <v>133</v>
      </c>
      <c r="G76" s="30" t="n">
        <v>5077.57</v>
      </c>
      <c r="H76" s="31" t="n">
        <v>47.22</v>
      </c>
      <c r="I76" s="31" t="n">
        <v>12.21</v>
      </c>
      <c r="J76" s="31" t="n">
        <v>3.83</v>
      </c>
      <c r="K76" s="31" t="n">
        <v>1.67</v>
      </c>
      <c r="L76" s="29" t="s">
        <v>142</v>
      </c>
    </row>
    <row r="77" customFormat="false" ht="15" hidden="false" customHeight="false" outlineLevel="0" collapsed="false">
      <c r="A77" s="29" t="s">
        <v>153</v>
      </c>
      <c r="B77" s="29" t="s">
        <v>154</v>
      </c>
      <c r="C77" s="29" t="s">
        <v>59</v>
      </c>
      <c r="D77" s="29" t="s">
        <v>44</v>
      </c>
      <c r="E77" s="29" t="s">
        <v>132</v>
      </c>
      <c r="F77" s="29" t="s">
        <v>133</v>
      </c>
      <c r="G77" s="30" t="n">
        <v>39.21</v>
      </c>
      <c r="H77" s="31" t="n">
        <v>48.01</v>
      </c>
      <c r="I77" s="31" t="n">
        <v>12.05</v>
      </c>
      <c r="J77" s="31" t="n">
        <v>3.45</v>
      </c>
      <c r="K77" s="31" t="n">
        <v>1.37</v>
      </c>
      <c r="L77" s="29" t="s">
        <v>147</v>
      </c>
    </row>
    <row r="78" customFormat="false" ht="15" hidden="false" customHeight="false" outlineLevel="0" collapsed="false">
      <c r="A78" s="29" t="s">
        <v>153</v>
      </c>
      <c r="B78" s="29" t="s">
        <v>154</v>
      </c>
      <c r="C78" s="29" t="s">
        <v>59</v>
      </c>
      <c r="D78" s="29" t="s">
        <v>44</v>
      </c>
      <c r="E78" s="29" t="s">
        <v>135</v>
      </c>
      <c r="F78" s="29" t="s">
        <v>133</v>
      </c>
      <c r="G78" s="30" t="n">
        <v>11508.98</v>
      </c>
      <c r="H78" s="31" t="n">
        <v>47.09</v>
      </c>
      <c r="I78" s="31" t="n">
        <v>12.11</v>
      </c>
      <c r="J78" s="31" t="n">
        <v>3.74</v>
      </c>
      <c r="K78" s="31" t="n">
        <v>1.34</v>
      </c>
      <c r="L78" s="29" t="s">
        <v>147</v>
      </c>
    </row>
    <row r="79" customFormat="false" ht="15" hidden="false" customHeight="false" outlineLevel="0" collapsed="false">
      <c r="A79" s="29" t="s">
        <v>153</v>
      </c>
      <c r="B79" s="29" t="s">
        <v>154</v>
      </c>
      <c r="C79" s="29" t="s">
        <v>59</v>
      </c>
      <c r="D79" s="29" t="s">
        <v>44</v>
      </c>
      <c r="E79" s="29" t="s">
        <v>135</v>
      </c>
      <c r="F79" s="29" t="s">
        <v>133</v>
      </c>
      <c r="G79" s="30" t="n">
        <v>4250.47</v>
      </c>
      <c r="H79" s="31" t="n">
        <v>47.05</v>
      </c>
      <c r="I79" s="31" t="n">
        <v>12.16</v>
      </c>
      <c r="J79" s="31" t="n">
        <v>3.7</v>
      </c>
      <c r="K79" s="31" t="n">
        <v>1.39</v>
      </c>
      <c r="L79" s="29" t="s">
        <v>146</v>
      </c>
    </row>
    <row r="80" customFormat="false" ht="15" hidden="false" customHeight="false" outlineLevel="0" collapsed="false">
      <c r="A80" s="29" t="s">
        <v>154</v>
      </c>
      <c r="B80" s="29" t="s">
        <v>155</v>
      </c>
      <c r="C80" s="29" t="s">
        <v>59</v>
      </c>
      <c r="D80" s="29" t="s">
        <v>41</v>
      </c>
      <c r="E80" s="29" t="s">
        <v>135</v>
      </c>
      <c r="F80" s="29" t="s">
        <v>133</v>
      </c>
      <c r="G80" s="30" t="n">
        <v>4096.14</v>
      </c>
      <c r="H80" s="31" t="n">
        <v>46.52</v>
      </c>
      <c r="I80" s="31" t="n">
        <v>12.49</v>
      </c>
      <c r="J80" s="31" t="n">
        <v>4.04</v>
      </c>
      <c r="K80" s="31" t="n">
        <v>1.49</v>
      </c>
      <c r="L80" s="29" t="s">
        <v>134</v>
      </c>
    </row>
    <row r="81" customFormat="false" ht="15" hidden="false" customHeight="false" outlineLevel="0" collapsed="false">
      <c r="A81" s="29" t="s">
        <v>154</v>
      </c>
      <c r="B81" s="29" t="s">
        <v>155</v>
      </c>
      <c r="C81" s="29" t="s">
        <v>59</v>
      </c>
      <c r="D81" s="29" t="s">
        <v>40</v>
      </c>
      <c r="E81" s="29" t="s">
        <v>132</v>
      </c>
      <c r="F81" s="29" t="s">
        <v>133</v>
      </c>
      <c r="G81" s="30" t="n">
        <v>7023.35</v>
      </c>
      <c r="H81" s="31" t="n">
        <v>48.04</v>
      </c>
      <c r="I81" s="31" t="n">
        <v>11.57</v>
      </c>
      <c r="J81" s="31" t="n">
        <v>3.45</v>
      </c>
      <c r="K81" s="31" t="n">
        <v>1.34</v>
      </c>
      <c r="L81" s="29" t="s">
        <v>136</v>
      </c>
    </row>
    <row r="82" customFormat="false" ht="15" hidden="false" customHeight="false" outlineLevel="0" collapsed="false">
      <c r="A82" s="29" t="s">
        <v>154</v>
      </c>
      <c r="B82" s="29" t="s">
        <v>155</v>
      </c>
      <c r="C82" s="29" t="s">
        <v>59</v>
      </c>
      <c r="D82" s="29" t="s">
        <v>40</v>
      </c>
      <c r="E82" s="29" t="s">
        <v>132</v>
      </c>
      <c r="F82" s="29" t="s">
        <v>133</v>
      </c>
      <c r="G82" s="30" t="n">
        <v>4357.69</v>
      </c>
      <c r="H82" s="31" t="n">
        <v>47.28</v>
      </c>
      <c r="I82" s="31" t="n">
        <v>11.85</v>
      </c>
      <c r="J82" s="31" t="n">
        <v>3.83</v>
      </c>
      <c r="K82" s="31" t="n">
        <v>1.6</v>
      </c>
      <c r="L82" s="29" t="s">
        <v>137</v>
      </c>
    </row>
    <row r="83" customFormat="false" ht="15" hidden="false" customHeight="false" outlineLevel="0" collapsed="false">
      <c r="A83" s="29" t="s">
        <v>154</v>
      </c>
      <c r="B83" s="29" t="s">
        <v>155</v>
      </c>
      <c r="C83" s="29" t="s">
        <v>59</v>
      </c>
      <c r="D83" s="29" t="s">
        <v>42</v>
      </c>
      <c r="E83" s="29" t="s">
        <v>132</v>
      </c>
      <c r="F83" s="29" t="s">
        <v>133</v>
      </c>
      <c r="G83" s="30" t="n">
        <v>786.05</v>
      </c>
      <c r="H83" s="31" t="n">
        <v>47.03</v>
      </c>
      <c r="I83" s="31" t="n">
        <v>11.17</v>
      </c>
      <c r="J83" s="31" t="n">
        <v>3.65</v>
      </c>
      <c r="K83" s="31" t="n">
        <v>1.78</v>
      </c>
      <c r="L83" s="29" t="s">
        <v>138</v>
      </c>
    </row>
    <row r="84" customFormat="false" ht="15" hidden="false" customHeight="false" outlineLevel="0" collapsed="false">
      <c r="A84" s="29" t="s">
        <v>154</v>
      </c>
      <c r="B84" s="29" t="s">
        <v>155</v>
      </c>
      <c r="C84" s="29" t="s">
        <v>59</v>
      </c>
      <c r="D84" s="29" t="s">
        <v>42</v>
      </c>
      <c r="E84" s="29" t="s">
        <v>132</v>
      </c>
      <c r="F84" s="29" t="s">
        <v>133</v>
      </c>
      <c r="G84" s="30" t="n">
        <v>5553.14</v>
      </c>
      <c r="H84" s="31" t="n">
        <v>47.01</v>
      </c>
      <c r="I84" s="31" t="n">
        <v>12.31</v>
      </c>
      <c r="J84" s="31" t="n">
        <v>3.64</v>
      </c>
      <c r="K84" s="31" t="n">
        <v>1.98</v>
      </c>
      <c r="L84" s="29" t="s">
        <v>139</v>
      </c>
    </row>
    <row r="85" customFormat="false" ht="15" hidden="false" customHeight="false" outlineLevel="0" collapsed="false">
      <c r="A85" s="29" t="s">
        <v>154</v>
      </c>
      <c r="B85" s="29" t="s">
        <v>155</v>
      </c>
      <c r="C85" s="29" t="s">
        <v>59</v>
      </c>
      <c r="D85" s="29" t="s">
        <v>42</v>
      </c>
      <c r="E85" s="29" t="s">
        <v>135</v>
      </c>
      <c r="F85" s="29" t="s">
        <v>133</v>
      </c>
      <c r="G85" s="30" t="n">
        <v>3590.15</v>
      </c>
      <c r="H85" s="31" t="n">
        <v>47.32</v>
      </c>
      <c r="I85" s="31" t="n">
        <v>12.67</v>
      </c>
      <c r="J85" s="31" t="n">
        <v>3.85</v>
      </c>
      <c r="K85" s="31" t="n">
        <v>1.67</v>
      </c>
      <c r="L85" s="29" t="s">
        <v>138</v>
      </c>
    </row>
    <row r="86" customFormat="false" ht="15" hidden="false" customHeight="false" outlineLevel="0" collapsed="false">
      <c r="A86" s="29" t="s">
        <v>154</v>
      </c>
      <c r="B86" s="29" t="s">
        <v>155</v>
      </c>
      <c r="C86" s="29" t="s">
        <v>59</v>
      </c>
      <c r="D86" s="29" t="s">
        <v>43</v>
      </c>
      <c r="E86" s="29" t="s">
        <v>135</v>
      </c>
      <c r="F86" s="29" t="s">
        <v>133</v>
      </c>
      <c r="G86" s="30" t="n">
        <v>9887.25</v>
      </c>
      <c r="H86" s="31" t="n">
        <v>47.77</v>
      </c>
      <c r="I86" s="31" t="n">
        <v>12.22</v>
      </c>
      <c r="J86" s="31" t="n">
        <v>3.51</v>
      </c>
      <c r="K86" s="31" t="n">
        <v>1.94</v>
      </c>
      <c r="L86" s="29" t="s">
        <v>142</v>
      </c>
    </row>
    <row r="87" customFormat="false" ht="15" hidden="false" customHeight="false" outlineLevel="0" collapsed="false">
      <c r="A87" s="29" t="s">
        <v>154</v>
      </c>
      <c r="B87" s="29" t="s">
        <v>155</v>
      </c>
      <c r="C87" s="29" t="s">
        <v>59</v>
      </c>
      <c r="D87" s="29" t="s">
        <v>45</v>
      </c>
      <c r="E87" s="29" t="s">
        <v>135</v>
      </c>
      <c r="F87" s="29" t="s">
        <v>133</v>
      </c>
      <c r="G87" s="30" t="n">
        <v>16057.18</v>
      </c>
      <c r="H87" s="31" t="n">
        <v>47.75</v>
      </c>
      <c r="I87" s="31" t="n">
        <v>12.43</v>
      </c>
      <c r="J87" s="31" t="n">
        <v>3.51</v>
      </c>
      <c r="K87" s="31" t="n">
        <v>1.65</v>
      </c>
      <c r="L87" s="29" t="s">
        <v>145</v>
      </c>
    </row>
    <row r="88" customFormat="false" ht="15" hidden="false" customHeight="false" outlineLevel="0" collapsed="false">
      <c r="A88" s="29" t="s">
        <v>154</v>
      </c>
      <c r="B88" s="29" t="s">
        <v>155</v>
      </c>
      <c r="C88" s="29" t="s">
        <v>59</v>
      </c>
      <c r="D88" s="29" t="s">
        <v>45</v>
      </c>
      <c r="E88" s="29" t="s">
        <v>135</v>
      </c>
      <c r="F88" s="29" t="s">
        <v>133</v>
      </c>
      <c r="G88" s="30" t="n">
        <v>3860.45</v>
      </c>
      <c r="H88" s="31" t="n">
        <v>47.53</v>
      </c>
      <c r="I88" s="31" t="n">
        <v>12.22</v>
      </c>
      <c r="J88" s="31" t="n">
        <v>3.64</v>
      </c>
      <c r="K88" s="31" t="n">
        <v>1.92</v>
      </c>
      <c r="L88" s="29" t="s">
        <v>142</v>
      </c>
    </row>
    <row r="89" customFormat="false" ht="15" hidden="false" customHeight="false" outlineLevel="0" collapsed="false">
      <c r="A89" s="29" t="s">
        <v>154</v>
      </c>
      <c r="B89" s="29" t="s">
        <v>155</v>
      </c>
      <c r="C89" s="29" t="s">
        <v>59</v>
      </c>
      <c r="D89" s="29" t="s">
        <v>44</v>
      </c>
      <c r="E89" s="29" t="s">
        <v>135</v>
      </c>
      <c r="F89" s="29" t="s">
        <v>133</v>
      </c>
      <c r="G89" s="30" t="n">
        <v>8216.57</v>
      </c>
      <c r="H89" s="31" t="n">
        <v>47.52</v>
      </c>
      <c r="I89" s="31" t="n">
        <v>12.23</v>
      </c>
      <c r="J89" s="31" t="n">
        <v>3.81</v>
      </c>
      <c r="K89" s="31" t="n">
        <v>1.66</v>
      </c>
      <c r="L89" s="29" t="s">
        <v>147</v>
      </c>
    </row>
    <row r="90" customFormat="false" ht="15" hidden="false" customHeight="false" outlineLevel="0" collapsed="false">
      <c r="A90" s="29" t="s">
        <v>154</v>
      </c>
      <c r="B90" s="29" t="s">
        <v>155</v>
      </c>
      <c r="C90" s="29" t="s">
        <v>59</v>
      </c>
      <c r="D90" s="29" t="s">
        <v>44</v>
      </c>
      <c r="E90" s="29" t="s">
        <v>135</v>
      </c>
      <c r="F90" s="29" t="s">
        <v>133</v>
      </c>
      <c r="G90" s="30" t="n">
        <v>2112.92</v>
      </c>
      <c r="H90" s="31" t="n">
        <v>47.6</v>
      </c>
      <c r="I90" s="31" t="n">
        <v>12.18</v>
      </c>
      <c r="J90" s="31" t="n">
        <v>3.69</v>
      </c>
      <c r="K90" s="31" t="n">
        <v>1.81</v>
      </c>
      <c r="L90" s="29" t="s">
        <v>146</v>
      </c>
    </row>
    <row r="91" customFormat="false" ht="15" hidden="false" customHeight="false" outlineLevel="0" collapsed="false">
      <c r="A91" s="29" t="s">
        <v>155</v>
      </c>
      <c r="B91" s="29" t="s">
        <v>156</v>
      </c>
      <c r="C91" s="29" t="s">
        <v>60</v>
      </c>
      <c r="D91" s="29" t="s">
        <v>42</v>
      </c>
      <c r="E91" s="29" t="s">
        <v>132</v>
      </c>
      <c r="F91" s="29" t="s">
        <v>133</v>
      </c>
      <c r="G91" s="30" t="n">
        <v>122.12</v>
      </c>
      <c r="H91" s="31" t="n">
        <v>46.22</v>
      </c>
      <c r="I91" s="31" t="n">
        <v>12.37</v>
      </c>
      <c r="J91" s="31" t="n">
        <v>3.99</v>
      </c>
      <c r="K91" s="31" t="n">
        <v>1.24</v>
      </c>
      <c r="L91" s="29" t="s">
        <v>138</v>
      </c>
    </row>
    <row r="92" customFormat="false" ht="15" hidden="false" customHeight="false" outlineLevel="0" collapsed="false">
      <c r="A92" s="29" t="s">
        <v>155</v>
      </c>
      <c r="B92" s="29" t="s">
        <v>156</v>
      </c>
      <c r="C92" s="29" t="s">
        <v>60</v>
      </c>
      <c r="D92" s="29" t="s">
        <v>42</v>
      </c>
      <c r="E92" s="29" t="s">
        <v>132</v>
      </c>
      <c r="F92" s="29" t="s">
        <v>133</v>
      </c>
      <c r="G92" s="30" t="n">
        <v>75.45</v>
      </c>
      <c r="H92" s="31" t="n">
        <v>46.36</v>
      </c>
      <c r="I92" s="31" t="n">
        <v>12.06</v>
      </c>
      <c r="J92" s="31" t="n">
        <v>3.89</v>
      </c>
      <c r="K92" s="31" t="n">
        <v>1.39</v>
      </c>
      <c r="L92" s="29" t="s">
        <v>139</v>
      </c>
    </row>
    <row r="93" customFormat="false" ht="15" hidden="false" customHeight="false" outlineLevel="0" collapsed="false">
      <c r="A93" s="29" t="s">
        <v>155</v>
      </c>
      <c r="B93" s="29" t="s">
        <v>156</v>
      </c>
      <c r="C93" s="29" t="s">
        <v>60</v>
      </c>
      <c r="D93" s="29" t="s">
        <v>42</v>
      </c>
      <c r="E93" s="29" t="s">
        <v>135</v>
      </c>
      <c r="F93" s="29" t="s">
        <v>133</v>
      </c>
      <c r="G93" s="30" t="n">
        <v>13414.31</v>
      </c>
      <c r="H93" s="31" t="n">
        <v>47.42</v>
      </c>
      <c r="I93" s="31" t="n">
        <v>12.43</v>
      </c>
      <c r="J93" s="31" t="n">
        <v>3.8</v>
      </c>
      <c r="K93" s="31" t="n">
        <v>1.1</v>
      </c>
      <c r="L93" s="29" t="s">
        <v>138</v>
      </c>
    </row>
    <row r="94" customFormat="false" ht="15" hidden="false" customHeight="false" outlineLevel="0" collapsed="false">
      <c r="A94" s="29" t="s">
        <v>155</v>
      </c>
      <c r="B94" s="29" t="s">
        <v>156</v>
      </c>
      <c r="C94" s="29" t="s">
        <v>60</v>
      </c>
      <c r="D94" s="29" t="s">
        <v>43</v>
      </c>
      <c r="E94" s="29" t="s">
        <v>135</v>
      </c>
      <c r="F94" s="29" t="s">
        <v>133</v>
      </c>
      <c r="G94" s="30" t="n">
        <v>26413.13</v>
      </c>
      <c r="H94" s="31" t="n">
        <v>47.4</v>
      </c>
      <c r="I94" s="31" t="n">
        <v>12.4</v>
      </c>
      <c r="J94" s="31" t="n">
        <v>3.79</v>
      </c>
      <c r="K94" s="31" t="n">
        <v>1.54</v>
      </c>
      <c r="L94" s="29" t="s">
        <v>142</v>
      </c>
    </row>
    <row r="95" customFormat="false" ht="15" hidden="false" customHeight="false" outlineLevel="0" collapsed="false">
      <c r="A95" s="29" t="s">
        <v>155</v>
      </c>
      <c r="B95" s="29" t="s">
        <v>156</v>
      </c>
      <c r="C95" s="29" t="s">
        <v>60</v>
      </c>
      <c r="D95" s="29" t="s">
        <v>45</v>
      </c>
      <c r="E95" s="29" t="s">
        <v>135</v>
      </c>
      <c r="F95" s="29" t="s">
        <v>133</v>
      </c>
      <c r="G95" s="30" t="n">
        <v>141.56</v>
      </c>
      <c r="H95" s="31" t="n">
        <v>47.67</v>
      </c>
      <c r="I95" s="31" t="n">
        <v>12.33</v>
      </c>
      <c r="J95" s="31" t="n">
        <v>3.52</v>
      </c>
      <c r="K95" s="31" t="n">
        <v>1.23</v>
      </c>
      <c r="L95" s="29" t="s">
        <v>145</v>
      </c>
    </row>
    <row r="96" customFormat="false" ht="15" hidden="false" customHeight="false" outlineLevel="0" collapsed="false">
      <c r="A96" s="29" t="s">
        <v>155</v>
      </c>
      <c r="B96" s="29" t="s">
        <v>156</v>
      </c>
      <c r="C96" s="29" t="s">
        <v>60</v>
      </c>
      <c r="D96" s="29" t="s">
        <v>44</v>
      </c>
      <c r="E96" s="29" t="s">
        <v>135</v>
      </c>
      <c r="F96" s="29" t="s">
        <v>133</v>
      </c>
      <c r="G96" s="30" t="n">
        <v>11783.96</v>
      </c>
      <c r="H96" s="31" t="n">
        <v>47.2</v>
      </c>
      <c r="I96" s="31" t="n">
        <v>12.43</v>
      </c>
      <c r="J96" s="31" t="n">
        <v>3.81</v>
      </c>
      <c r="K96" s="31" t="n">
        <v>1.39</v>
      </c>
      <c r="L96" s="29" t="s">
        <v>147</v>
      </c>
    </row>
    <row r="97" customFormat="false" ht="15" hidden="false" customHeight="false" outlineLevel="0" collapsed="false">
      <c r="A97" s="29" t="s">
        <v>155</v>
      </c>
      <c r="B97" s="29" t="s">
        <v>156</v>
      </c>
      <c r="C97" s="29" t="s">
        <v>60</v>
      </c>
      <c r="D97" s="29" t="s">
        <v>44</v>
      </c>
      <c r="E97" s="29" t="s">
        <v>135</v>
      </c>
      <c r="F97" s="29" t="s">
        <v>133</v>
      </c>
      <c r="G97" s="30" t="n">
        <v>1294.99</v>
      </c>
      <c r="H97" s="31" t="n">
        <v>47.27</v>
      </c>
      <c r="I97" s="31" t="n">
        <v>12.37</v>
      </c>
      <c r="J97" s="31" t="n">
        <v>3.82</v>
      </c>
      <c r="K97" s="31" t="n">
        <v>1.43</v>
      </c>
      <c r="L97" s="29" t="s">
        <v>146</v>
      </c>
    </row>
    <row r="98" customFormat="false" ht="15" hidden="false" customHeight="false" outlineLevel="0" collapsed="false">
      <c r="A98" s="29" t="s">
        <v>155</v>
      </c>
      <c r="B98" s="29" t="s">
        <v>156</v>
      </c>
      <c r="C98" s="29" t="s">
        <v>60</v>
      </c>
      <c r="D98" s="29" t="s">
        <v>40</v>
      </c>
      <c r="E98" s="29" t="s">
        <v>132</v>
      </c>
      <c r="F98" s="29" t="s">
        <v>133</v>
      </c>
      <c r="G98" s="30" t="n">
        <v>8329.3</v>
      </c>
      <c r="H98" s="31" t="n">
        <v>47.91</v>
      </c>
      <c r="I98" s="31" t="n">
        <v>11.16</v>
      </c>
      <c r="J98" s="31" t="n">
        <v>3.48</v>
      </c>
      <c r="K98" s="31" t="n">
        <v>1.01</v>
      </c>
      <c r="L98" s="29" t="s">
        <v>136</v>
      </c>
    </row>
    <row r="99" customFormat="false" ht="15" hidden="false" customHeight="false" outlineLevel="0" collapsed="false">
      <c r="A99" s="29" t="s">
        <v>155</v>
      </c>
      <c r="B99" s="29" t="s">
        <v>156</v>
      </c>
      <c r="C99" s="29" t="s">
        <v>60</v>
      </c>
      <c r="D99" s="29" t="s">
        <v>40</v>
      </c>
      <c r="E99" s="29" t="s">
        <v>132</v>
      </c>
      <c r="F99" s="29" t="s">
        <v>133</v>
      </c>
      <c r="G99" s="30" t="n">
        <v>3235.31</v>
      </c>
      <c r="H99" s="31" t="n">
        <v>47.28</v>
      </c>
      <c r="I99" s="31" t="n">
        <v>11.95</v>
      </c>
      <c r="J99" s="31" t="n">
        <v>3.6</v>
      </c>
      <c r="K99" s="31" t="n">
        <v>1.6</v>
      </c>
      <c r="L99" s="29" t="s">
        <v>137</v>
      </c>
    </row>
    <row r="100" customFormat="false" ht="15" hidden="false" customHeight="false" outlineLevel="0" collapsed="false">
      <c r="A100" s="29" t="s">
        <v>156</v>
      </c>
      <c r="B100" s="29" t="s">
        <v>157</v>
      </c>
      <c r="C100" s="29" t="s">
        <v>60</v>
      </c>
      <c r="D100" s="29" t="s">
        <v>40</v>
      </c>
      <c r="E100" s="29" t="s">
        <v>132</v>
      </c>
      <c r="F100" s="29" t="s">
        <v>133</v>
      </c>
      <c r="G100" s="30" t="n">
        <v>4559.64</v>
      </c>
      <c r="H100" s="31" t="n">
        <v>47.71</v>
      </c>
      <c r="I100" s="31" t="n">
        <v>11.61</v>
      </c>
      <c r="J100" s="31" t="n">
        <v>3.54</v>
      </c>
      <c r="K100" s="31" t="n">
        <v>1.02</v>
      </c>
      <c r="L100" s="29" t="s">
        <v>136</v>
      </c>
    </row>
    <row r="101" customFormat="false" ht="15" hidden="false" customHeight="false" outlineLevel="0" collapsed="false">
      <c r="A101" s="29" t="s">
        <v>156</v>
      </c>
      <c r="B101" s="29" t="s">
        <v>157</v>
      </c>
      <c r="C101" s="29" t="s">
        <v>60</v>
      </c>
      <c r="D101" s="29" t="s">
        <v>40</v>
      </c>
      <c r="E101" s="29" t="s">
        <v>132</v>
      </c>
      <c r="F101" s="29" t="s">
        <v>133</v>
      </c>
      <c r="G101" s="30" t="n">
        <v>2914.33</v>
      </c>
      <c r="H101" s="31" t="n">
        <v>47.77</v>
      </c>
      <c r="I101" s="31" t="n">
        <v>11.98</v>
      </c>
      <c r="J101" s="31" t="n">
        <v>3.49</v>
      </c>
      <c r="K101" s="31" t="n">
        <v>1.7</v>
      </c>
      <c r="L101" s="29" t="s">
        <v>137</v>
      </c>
    </row>
    <row r="102" customFormat="false" ht="15" hidden="false" customHeight="false" outlineLevel="0" collapsed="false">
      <c r="A102" s="29" t="s">
        <v>156</v>
      </c>
      <c r="B102" s="29" t="s">
        <v>157</v>
      </c>
      <c r="C102" s="29" t="s">
        <v>60</v>
      </c>
      <c r="D102" s="29" t="s">
        <v>42</v>
      </c>
      <c r="E102" s="29" t="s">
        <v>132</v>
      </c>
      <c r="F102" s="29" t="s">
        <v>133</v>
      </c>
      <c r="G102" s="30" t="n">
        <v>3020.55</v>
      </c>
      <c r="H102" s="31" t="n">
        <v>46.6</v>
      </c>
      <c r="I102" s="31" t="n">
        <v>12.25</v>
      </c>
      <c r="J102" s="31" t="n">
        <v>3.89</v>
      </c>
      <c r="K102" s="31" t="n">
        <v>0.84</v>
      </c>
      <c r="L102" s="29" t="s">
        <v>138</v>
      </c>
    </row>
    <row r="103" customFormat="false" ht="15" hidden="false" customHeight="false" outlineLevel="0" collapsed="false">
      <c r="A103" s="29" t="s">
        <v>156</v>
      </c>
      <c r="B103" s="29" t="s">
        <v>157</v>
      </c>
      <c r="C103" s="29" t="s">
        <v>60</v>
      </c>
      <c r="D103" s="29" t="s">
        <v>42</v>
      </c>
      <c r="E103" s="29" t="s">
        <v>132</v>
      </c>
      <c r="F103" s="29" t="s">
        <v>133</v>
      </c>
      <c r="G103" s="30" t="n">
        <v>3533.32</v>
      </c>
      <c r="H103" s="31" t="n">
        <v>47.19</v>
      </c>
      <c r="I103" s="31" t="n">
        <v>11.73</v>
      </c>
      <c r="J103" s="31" t="n">
        <v>3.5</v>
      </c>
      <c r="K103" s="31" t="n">
        <v>1.97</v>
      </c>
      <c r="L103" s="29" t="s">
        <v>139</v>
      </c>
    </row>
    <row r="104" customFormat="false" ht="15" hidden="false" customHeight="false" outlineLevel="0" collapsed="false">
      <c r="A104" s="29" t="s">
        <v>156</v>
      </c>
      <c r="B104" s="29" t="s">
        <v>157</v>
      </c>
      <c r="C104" s="29" t="s">
        <v>60</v>
      </c>
      <c r="D104" s="29" t="s">
        <v>42</v>
      </c>
      <c r="E104" s="29" t="s">
        <v>135</v>
      </c>
      <c r="F104" s="29" t="s">
        <v>133</v>
      </c>
      <c r="G104" s="30" t="n">
        <v>17248.32</v>
      </c>
      <c r="H104" s="31" t="n">
        <v>47.23</v>
      </c>
      <c r="I104" s="31" t="n">
        <v>12.23</v>
      </c>
      <c r="J104" s="31" t="n">
        <v>3.9</v>
      </c>
      <c r="K104" s="31" t="n">
        <v>1.5</v>
      </c>
      <c r="L104" s="29" t="s">
        <v>138</v>
      </c>
    </row>
    <row r="105" customFormat="false" ht="15" hidden="false" customHeight="false" outlineLevel="0" collapsed="false">
      <c r="A105" s="29" t="s">
        <v>156</v>
      </c>
      <c r="B105" s="29" t="s">
        <v>157</v>
      </c>
      <c r="C105" s="29" t="s">
        <v>60</v>
      </c>
      <c r="D105" s="29" t="s">
        <v>44</v>
      </c>
      <c r="E105" s="29" t="s">
        <v>135</v>
      </c>
      <c r="F105" s="29" t="s">
        <v>133</v>
      </c>
      <c r="G105" s="30" t="n">
        <v>23744.05</v>
      </c>
      <c r="H105" s="31" t="n">
        <v>47.34</v>
      </c>
      <c r="I105" s="31" t="n">
        <v>12.41</v>
      </c>
      <c r="J105" s="31" t="n">
        <v>3.65</v>
      </c>
      <c r="K105" s="31" t="n">
        <v>1.79</v>
      </c>
      <c r="L105" s="29" t="s">
        <v>147</v>
      </c>
    </row>
    <row r="106" customFormat="false" ht="15" hidden="false" customHeight="false" outlineLevel="0" collapsed="false">
      <c r="A106" s="29" t="s">
        <v>156</v>
      </c>
      <c r="B106" s="29" t="s">
        <v>157</v>
      </c>
      <c r="C106" s="29" t="s">
        <v>60</v>
      </c>
      <c r="D106" s="29" t="s">
        <v>44</v>
      </c>
      <c r="E106" s="29" t="s">
        <v>135</v>
      </c>
      <c r="F106" s="29" t="s">
        <v>133</v>
      </c>
      <c r="G106" s="30" t="n">
        <v>2652.39</v>
      </c>
      <c r="H106" s="31" t="n">
        <v>47.24</v>
      </c>
      <c r="I106" s="31" t="n">
        <v>12.54</v>
      </c>
      <c r="J106" s="31" t="n">
        <v>3.77</v>
      </c>
      <c r="K106" s="31" t="n">
        <v>0.66</v>
      </c>
      <c r="L106" s="29" t="s">
        <v>146</v>
      </c>
    </row>
    <row r="107" customFormat="false" ht="15" hidden="false" customHeight="false" outlineLevel="0" collapsed="false">
      <c r="A107" s="29" t="s">
        <v>157</v>
      </c>
      <c r="B107" s="29" t="s">
        <v>158</v>
      </c>
      <c r="C107" s="29" t="s">
        <v>60</v>
      </c>
      <c r="D107" s="29" t="s">
        <v>41</v>
      </c>
      <c r="E107" s="29" t="s">
        <v>132</v>
      </c>
      <c r="F107" s="29" t="s">
        <v>133</v>
      </c>
      <c r="G107" s="30" t="n">
        <v>509.89</v>
      </c>
      <c r="H107" s="31" t="n">
        <v>48.13</v>
      </c>
      <c r="I107" s="31" t="n">
        <v>12.49</v>
      </c>
      <c r="J107" s="31" t="n">
        <v>3.17</v>
      </c>
      <c r="K107" s="31" t="n">
        <v>1.56</v>
      </c>
      <c r="L107" s="29" t="s">
        <v>134</v>
      </c>
    </row>
    <row r="108" customFormat="false" ht="15" hidden="false" customHeight="false" outlineLevel="0" collapsed="false">
      <c r="A108" s="29" t="s">
        <v>157</v>
      </c>
      <c r="B108" s="29" t="s">
        <v>158</v>
      </c>
      <c r="C108" s="29" t="s">
        <v>60</v>
      </c>
      <c r="D108" s="29" t="s">
        <v>41</v>
      </c>
      <c r="E108" s="29" t="s">
        <v>135</v>
      </c>
      <c r="F108" s="29" t="s">
        <v>133</v>
      </c>
      <c r="G108" s="30" t="n">
        <v>4915.32</v>
      </c>
      <c r="H108" s="31" t="n">
        <v>48.26</v>
      </c>
      <c r="I108" s="31" t="n">
        <v>12.65</v>
      </c>
      <c r="J108" s="31" t="n">
        <v>3.25</v>
      </c>
      <c r="K108" s="31" t="n">
        <v>1.21</v>
      </c>
      <c r="L108" s="29" t="s">
        <v>134</v>
      </c>
    </row>
    <row r="109" customFormat="false" ht="15" hidden="false" customHeight="false" outlineLevel="0" collapsed="false">
      <c r="A109" s="29" t="s">
        <v>157</v>
      </c>
      <c r="B109" s="29" t="s">
        <v>158</v>
      </c>
      <c r="C109" s="29" t="s">
        <v>60</v>
      </c>
      <c r="D109" s="29" t="s">
        <v>40</v>
      </c>
      <c r="E109" s="29" t="s">
        <v>132</v>
      </c>
      <c r="F109" s="29" t="s">
        <v>133</v>
      </c>
      <c r="G109" s="30" t="n">
        <v>9480.38</v>
      </c>
      <c r="H109" s="31" t="n">
        <v>47.2</v>
      </c>
      <c r="I109" s="31" t="n">
        <v>11.61</v>
      </c>
      <c r="J109" s="31" t="n">
        <v>3.72</v>
      </c>
      <c r="K109" s="31" t="n">
        <v>1.37</v>
      </c>
      <c r="L109" s="29" t="s">
        <v>136</v>
      </c>
    </row>
    <row r="110" customFormat="false" ht="15" hidden="false" customHeight="false" outlineLevel="0" collapsed="false">
      <c r="A110" s="29" t="s">
        <v>157</v>
      </c>
      <c r="B110" s="29" t="s">
        <v>158</v>
      </c>
      <c r="C110" s="29" t="s">
        <v>60</v>
      </c>
      <c r="D110" s="29" t="s">
        <v>40</v>
      </c>
      <c r="E110" s="29" t="s">
        <v>132</v>
      </c>
      <c r="F110" s="29" t="s">
        <v>133</v>
      </c>
      <c r="G110" s="30" t="n">
        <v>2412.81</v>
      </c>
      <c r="H110" s="31" t="n">
        <v>47.05</v>
      </c>
      <c r="I110" s="31" t="n">
        <v>11.8</v>
      </c>
      <c r="J110" s="31" t="n">
        <v>3.92</v>
      </c>
      <c r="K110" s="31" t="n">
        <v>1.21</v>
      </c>
      <c r="L110" s="29" t="s">
        <v>137</v>
      </c>
    </row>
    <row r="111" customFormat="false" ht="15" hidden="false" customHeight="false" outlineLevel="0" collapsed="false">
      <c r="A111" s="29" t="s">
        <v>157</v>
      </c>
      <c r="B111" s="29" t="s">
        <v>158</v>
      </c>
      <c r="C111" s="29" t="s">
        <v>60</v>
      </c>
      <c r="D111" s="29" t="s">
        <v>42</v>
      </c>
      <c r="E111" s="29" t="s">
        <v>132</v>
      </c>
      <c r="F111" s="29" t="s">
        <v>133</v>
      </c>
      <c r="G111" s="30" t="n">
        <v>3574.2</v>
      </c>
      <c r="H111" s="31" t="n">
        <v>46.83</v>
      </c>
      <c r="I111" s="31" t="n">
        <v>12.04</v>
      </c>
      <c r="J111" s="31" t="n">
        <v>3.87</v>
      </c>
      <c r="K111" s="31" t="n">
        <v>1.93</v>
      </c>
      <c r="L111" s="29" t="s">
        <v>138</v>
      </c>
    </row>
    <row r="112" customFormat="false" ht="15" hidden="false" customHeight="false" outlineLevel="0" collapsed="false">
      <c r="A112" s="29" t="s">
        <v>157</v>
      </c>
      <c r="B112" s="29" t="s">
        <v>158</v>
      </c>
      <c r="C112" s="29" t="s">
        <v>60</v>
      </c>
      <c r="D112" s="29" t="s">
        <v>42</v>
      </c>
      <c r="E112" s="29" t="s">
        <v>132</v>
      </c>
      <c r="F112" s="29" t="s">
        <v>133</v>
      </c>
      <c r="G112" s="30" t="n">
        <v>8394.09</v>
      </c>
      <c r="H112" s="31" t="n">
        <v>47.51</v>
      </c>
      <c r="I112" s="31" t="n">
        <v>11.56</v>
      </c>
      <c r="J112" s="31" t="n">
        <v>3.36</v>
      </c>
      <c r="K112" s="31" t="n">
        <v>1.99</v>
      </c>
      <c r="L112" s="29" t="s">
        <v>139</v>
      </c>
    </row>
    <row r="113" customFormat="false" ht="15" hidden="false" customHeight="false" outlineLevel="0" collapsed="false">
      <c r="A113" s="29" t="s">
        <v>157</v>
      </c>
      <c r="B113" s="29" t="s">
        <v>158</v>
      </c>
      <c r="C113" s="29" t="s">
        <v>60</v>
      </c>
      <c r="D113" s="29" t="s">
        <v>42</v>
      </c>
      <c r="E113" s="29" t="s">
        <v>135</v>
      </c>
      <c r="F113" s="29" t="s">
        <v>133</v>
      </c>
      <c r="G113" s="30" t="n">
        <v>5314.29</v>
      </c>
      <c r="H113" s="31" t="n">
        <v>47.21</v>
      </c>
      <c r="I113" s="31" t="n">
        <v>12.28</v>
      </c>
      <c r="J113" s="31" t="n">
        <v>3.5</v>
      </c>
      <c r="K113" s="31" t="n">
        <v>1.65</v>
      </c>
      <c r="L113" s="29" t="s">
        <v>138</v>
      </c>
    </row>
    <row r="114" customFormat="false" ht="15" hidden="false" customHeight="false" outlineLevel="0" collapsed="false">
      <c r="A114" s="29" t="s">
        <v>157</v>
      </c>
      <c r="B114" s="29" t="s">
        <v>158</v>
      </c>
      <c r="C114" s="29" t="s">
        <v>60</v>
      </c>
      <c r="D114" s="29" t="s">
        <v>43</v>
      </c>
      <c r="E114" s="29" t="s">
        <v>135</v>
      </c>
      <c r="F114" s="29" t="s">
        <v>133</v>
      </c>
      <c r="G114" s="30" t="n">
        <v>18379.02</v>
      </c>
      <c r="H114" s="31" t="n">
        <v>47.23</v>
      </c>
      <c r="I114" s="31" t="n">
        <v>12.3</v>
      </c>
      <c r="J114" s="31" t="n">
        <v>3.51</v>
      </c>
      <c r="K114" s="31" t="n">
        <v>1.65</v>
      </c>
      <c r="L114" s="29" t="s">
        <v>142</v>
      </c>
    </row>
    <row r="115" customFormat="false" ht="15" hidden="false" customHeight="false" outlineLevel="0" collapsed="false">
      <c r="A115" s="29" t="s">
        <v>157</v>
      </c>
      <c r="B115" s="29" t="s">
        <v>158</v>
      </c>
      <c r="C115" s="29" t="s">
        <v>60</v>
      </c>
      <c r="D115" s="29" t="s">
        <v>44</v>
      </c>
      <c r="E115" s="29" t="s">
        <v>132</v>
      </c>
      <c r="F115" s="29" t="s">
        <v>133</v>
      </c>
      <c r="G115" s="30" t="n">
        <v>162.1</v>
      </c>
      <c r="H115" s="31" t="n">
        <v>46.99</v>
      </c>
      <c r="I115" s="31" t="n">
        <v>12.13</v>
      </c>
      <c r="J115" s="31" t="n">
        <v>3.75</v>
      </c>
      <c r="K115" s="31" t="n">
        <v>1.6</v>
      </c>
      <c r="L115" s="29" t="s">
        <v>147</v>
      </c>
    </row>
    <row r="116" customFormat="false" ht="15" hidden="false" customHeight="false" outlineLevel="0" collapsed="false">
      <c r="A116" s="29" t="s">
        <v>157</v>
      </c>
      <c r="B116" s="29" t="s">
        <v>158</v>
      </c>
      <c r="C116" s="29" t="s">
        <v>60</v>
      </c>
      <c r="D116" s="29" t="s">
        <v>44</v>
      </c>
      <c r="E116" s="29" t="s">
        <v>135</v>
      </c>
      <c r="F116" s="29" t="s">
        <v>133</v>
      </c>
      <c r="G116" s="30" t="n">
        <v>5532.38</v>
      </c>
      <c r="H116" s="31" t="n">
        <v>47.27</v>
      </c>
      <c r="I116" s="31" t="n">
        <v>12.08</v>
      </c>
      <c r="J116" s="31" t="n">
        <v>3.69</v>
      </c>
      <c r="K116" s="31" t="n">
        <v>1.64</v>
      </c>
      <c r="L116" s="29" t="s">
        <v>147</v>
      </c>
    </row>
    <row r="117" customFormat="false" ht="15" hidden="false" customHeight="false" outlineLevel="0" collapsed="false">
      <c r="A117" s="29" t="s">
        <v>157</v>
      </c>
      <c r="B117" s="29" t="s">
        <v>158</v>
      </c>
      <c r="C117" s="29" t="s">
        <v>60</v>
      </c>
      <c r="D117" s="29" t="s">
        <v>44</v>
      </c>
      <c r="E117" s="29" t="s">
        <v>135</v>
      </c>
      <c r="F117" s="29" t="s">
        <v>133</v>
      </c>
      <c r="G117" s="30" t="n">
        <v>647.63</v>
      </c>
      <c r="H117" s="31" t="n">
        <v>47.08</v>
      </c>
      <c r="I117" s="31" t="n">
        <v>12.16</v>
      </c>
      <c r="J117" s="31" t="n">
        <v>3.63</v>
      </c>
      <c r="K117" s="31" t="n">
        <v>1.54</v>
      </c>
      <c r="L117" s="29" t="s">
        <v>146</v>
      </c>
    </row>
    <row r="118" customFormat="false" ht="15" hidden="false" customHeight="false" outlineLevel="0" collapsed="false">
      <c r="A118" s="29" t="s">
        <v>158</v>
      </c>
      <c r="B118" s="29" t="s">
        <v>159</v>
      </c>
      <c r="C118" s="29" t="s">
        <v>60</v>
      </c>
      <c r="D118" s="29" t="s">
        <v>41</v>
      </c>
      <c r="E118" s="29" t="s">
        <v>132</v>
      </c>
      <c r="F118" s="29" t="s">
        <v>133</v>
      </c>
      <c r="G118" s="30" t="n">
        <v>6853.1</v>
      </c>
      <c r="H118" s="31" t="n">
        <v>47.81</v>
      </c>
      <c r="I118" s="31" t="n">
        <v>12.21</v>
      </c>
      <c r="J118" s="31" t="n">
        <v>3.78</v>
      </c>
      <c r="K118" s="31" t="n">
        <v>1.5</v>
      </c>
      <c r="L118" s="29" t="s">
        <v>134</v>
      </c>
    </row>
    <row r="119" customFormat="false" ht="15" hidden="false" customHeight="false" outlineLevel="0" collapsed="false">
      <c r="A119" s="29" t="s">
        <v>158</v>
      </c>
      <c r="B119" s="29" t="s">
        <v>159</v>
      </c>
      <c r="C119" s="29" t="s">
        <v>60</v>
      </c>
      <c r="D119" s="29" t="s">
        <v>40</v>
      </c>
      <c r="E119" s="29" t="s">
        <v>132</v>
      </c>
      <c r="F119" s="29" t="s">
        <v>133</v>
      </c>
      <c r="G119" s="30" t="n">
        <v>8273.67</v>
      </c>
      <c r="H119" s="31" t="n">
        <v>47.7</v>
      </c>
      <c r="I119" s="31" t="n">
        <v>11.81</v>
      </c>
      <c r="J119" s="31" t="n">
        <v>3.75</v>
      </c>
      <c r="K119" s="31" t="n">
        <v>1.18</v>
      </c>
      <c r="L119" s="29" t="s">
        <v>136</v>
      </c>
    </row>
    <row r="120" customFormat="false" ht="15" hidden="false" customHeight="false" outlineLevel="0" collapsed="false">
      <c r="A120" s="29" t="s">
        <v>158</v>
      </c>
      <c r="B120" s="29" t="s">
        <v>159</v>
      </c>
      <c r="C120" s="29" t="s">
        <v>60</v>
      </c>
      <c r="D120" s="29" t="s">
        <v>40</v>
      </c>
      <c r="E120" s="29" t="s">
        <v>132</v>
      </c>
      <c r="F120" s="29" t="s">
        <v>133</v>
      </c>
      <c r="G120" s="30" t="n">
        <v>4125.09</v>
      </c>
      <c r="H120" s="31" t="n">
        <v>47.74</v>
      </c>
      <c r="I120" s="31" t="n">
        <v>11.4</v>
      </c>
      <c r="J120" s="31" t="n">
        <v>3.87</v>
      </c>
      <c r="K120" s="31" t="n">
        <v>1.32</v>
      </c>
      <c r="L120" s="29" t="s">
        <v>137</v>
      </c>
    </row>
    <row r="121" customFormat="false" ht="15" hidden="false" customHeight="false" outlineLevel="0" collapsed="false">
      <c r="A121" s="29" t="s">
        <v>158</v>
      </c>
      <c r="B121" s="29" t="s">
        <v>159</v>
      </c>
      <c r="C121" s="29" t="s">
        <v>60</v>
      </c>
      <c r="D121" s="29" t="s">
        <v>42</v>
      </c>
      <c r="E121" s="29" t="s">
        <v>132</v>
      </c>
      <c r="F121" s="29" t="s">
        <v>133</v>
      </c>
      <c r="G121" s="30" t="n">
        <v>1469.18</v>
      </c>
      <c r="H121" s="31" t="n">
        <v>46.98</v>
      </c>
      <c r="I121" s="31" t="n">
        <v>12.21</v>
      </c>
      <c r="J121" s="31" t="n">
        <v>3.92</v>
      </c>
      <c r="K121" s="31" t="n">
        <v>1.89</v>
      </c>
      <c r="L121" s="29" t="s">
        <v>138</v>
      </c>
    </row>
    <row r="122" customFormat="false" ht="15" hidden="false" customHeight="false" outlineLevel="0" collapsed="false">
      <c r="A122" s="29" t="s">
        <v>158</v>
      </c>
      <c r="B122" s="29" t="s">
        <v>159</v>
      </c>
      <c r="C122" s="29" t="s">
        <v>60</v>
      </c>
      <c r="D122" s="29" t="s">
        <v>42</v>
      </c>
      <c r="E122" s="29" t="s">
        <v>132</v>
      </c>
      <c r="F122" s="29" t="s">
        <v>133</v>
      </c>
      <c r="G122" s="30" t="n">
        <v>2012.61</v>
      </c>
      <c r="H122" s="31" t="n">
        <v>47.24</v>
      </c>
      <c r="I122" s="31" t="n">
        <v>11.91</v>
      </c>
      <c r="J122" s="31" t="n">
        <v>3.81</v>
      </c>
      <c r="K122" s="31" t="n">
        <v>1.76</v>
      </c>
      <c r="L122" s="29" t="s">
        <v>139</v>
      </c>
    </row>
    <row r="123" customFormat="false" ht="15" hidden="false" customHeight="false" outlineLevel="0" collapsed="false">
      <c r="A123" s="29" t="s">
        <v>158</v>
      </c>
      <c r="B123" s="29" t="s">
        <v>159</v>
      </c>
      <c r="C123" s="29" t="s">
        <v>60</v>
      </c>
      <c r="D123" s="29" t="s">
        <v>42</v>
      </c>
      <c r="E123" s="29" t="s">
        <v>135</v>
      </c>
      <c r="F123" s="29" t="s">
        <v>133</v>
      </c>
      <c r="G123" s="30" t="n">
        <v>1958.93</v>
      </c>
      <c r="H123" s="31" t="n">
        <v>46.74</v>
      </c>
      <c r="I123" s="31" t="n">
        <v>12.43</v>
      </c>
      <c r="J123" s="31" t="n">
        <v>3.72</v>
      </c>
      <c r="K123" s="31" t="n">
        <v>1.49</v>
      </c>
      <c r="L123" s="29" t="s">
        <v>138</v>
      </c>
    </row>
    <row r="124" customFormat="false" ht="15" hidden="false" customHeight="false" outlineLevel="0" collapsed="false">
      <c r="A124" s="29" t="s">
        <v>158</v>
      </c>
      <c r="B124" s="29" t="s">
        <v>159</v>
      </c>
      <c r="C124" s="29" t="s">
        <v>60</v>
      </c>
      <c r="D124" s="29" t="s">
        <v>43</v>
      </c>
      <c r="E124" s="29" t="s">
        <v>135</v>
      </c>
      <c r="F124" s="29" t="s">
        <v>133</v>
      </c>
      <c r="G124" s="30" t="n">
        <v>21573.56</v>
      </c>
      <c r="H124" s="31" t="n">
        <v>47.27</v>
      </c>
      <c r="I124" s="31" t="n">
        <v>12.38</v>
      </c>
      <c r="J124" s="31" t="n">
        <v>3.82</v>
      </c>
      <c r="K124" s="31" t="n">
        <v>1.45</v>
      </c>
      <c r="L124" s="29" t="s">
        <v>142</v>
      </c>
    </row>
    <row r="125" customFormat="false" ht="15" hidden="false" customHeight="false" outlineLevel="0" collapsed="false">
      <c r="A125" s="29" t="s">
        <v>158</v>
      </c>
      <c r="B125" s="29" t="s">
        <v>159</v>
      </c>
      <c r="C125" s="29" t="s">
        <v>60</v>
      </c>
      <c r="D125" s="29" t="s">
        <v>44</v>
      </c>
      <c r="E125" s="29" t="s">
        <v>132</v>
      </c>
      <c r="F125" s="29" t="s">
        <v>133</v>
      </c>
      <c r="G125" s="30" t="n">
        <v>1178.41</v>
      </c>
      <c r="H125" s="31" t="n">
        <v>47.31</v>
      </c>
      <c r="I125" s="31" t="n">
        <v>12.11</v>
      </c>
      <c r="J125" s="31" t="n">
        <v>3.78</v>
      </c>
      <c r="K125" s="31" t="n">
        <v>1.99</v>
      </c>
      <c r="L125" s="29" t="s">
        <v>147</v>
      </c>
    </row>
    <row r="126" customFormat="false" ht="15" hidden="false" customHeight="false" outlineLevel="0" collapsed="false">
      <c r="A126" s="29" t="s">
        <v>158</v>
      </c>
      <c r="B126" s="29" t="s">
        <v>159</v>
      </c>
      <c r="C126" s="29" t="s">
        <v>60</v>
      </c>
      <c r="D126" s="29" t="s">
        <v>44</v>
      </c>
      <c r="E126" s="29" t="s">
        <v>135</v>
      </c>
      <c r="F126" s="29" t="s">
        <v>133</v>
      </c>
      <c r="G126" s="30" t="n">
        <v>9450.69</v>
      </c>
      <c r="H126" s="31" t="n">
        <v>46.58</v>
      </c>
      <c r="I126" s="31" t="n">
        <v>12.35</v>
      </c>
      <c r="J126" s="31" t="n">
        <v>3.8</v>
      </c>
      <c r="K126" s="31" t="n">
        <v>1.64</v>
      </c>
      <c r="L126" s="29" t="s">
        <v>147</v>
      </c>
    </row>
    <row r="127" customFormat="false" ht="15" hidden="false" customHeight="false" outlineLevel="0" collapsed="false">
      <c r="A127" s="29" t="s">
        <v>158</v>
      </c>
      <c r="B127" s="29" t="s">
        <v>159</v>
      </c>
      <c r="C127" s="29" t="s">
        <v>60</v>
      </c>
      <c r="D127" s="29" t="s">
        <v>44</v>
      </c>
      <c r="E127" s="29" t="s">
        <v>135</v>
      </c>
      <c r="F127" s="29" t="s">
        <v>133</v>
      </c>
      <c r="G127" s="30" t="n">
        <v>2029.14</v>
      </c>
      <c r="H127" s="31" t="n">
        <v>46.56</v>
      </c>
      <c r="I127" s="31" t="n">
        <v>12.35</v>
      </c>
      <c r="J127" s="31" t="n">
        <v>3.8</v>
      </c>
      <c r="K127" s="31" t="n">
        <v>1.64</v>
      </c>
      <c r="L127" s="29" t="s">
        <v>146</v>
      </c>
    </row>
    <row r="128" customFormat="false" ht="15" hidden="false" customHeight="false" outlineLevel="0" collapsed="false">
      <c r="A128" s="29" t="s">
        <v>159</v>
      </c>
      <c r="B128" s="29" t="s">
        <v>160</v>
      </c>
      <c r="C128" s="29" t="s">
        <v>61</v>
      </c>
      <c r="D128" s="29" t="s">
        <v>41</v>
      </c>
      <c r="E128" s="29" t="s">
        <v>132</v>
      </c>
      <c r="F128" s="29" t="s">
        <v>133</v>
      </c>
      <c r="G128" s="30" t="n">
        <v>2106.39</v>
      </c>
      <c r="H128" s="31" t="n">
        <v>48</v>
      </c>
      <c r="I128" s="31" t="n">
        <v>12.37</v>
      </c>
      <c r="J128" s="31" t="n">
        <v>3.11</v>
      </c>
      <c r="K128" s="31" t="n">
        <v>1.64</v>
      </c>
      <c r="L128" s="29" t="s">
        <v>134</v>
      </c>
    </row>
    <row r="129" customFormat="false" ht="15" hidden="false" customHeight="false" outlineLevel="0" collapsed="false">
      <c r="A129" s="29" t="s">
        <v>159</v>
      </c>
      <c r="B129" s="29" t="s">
        <v>160</v>
      </c>
      <c r="C129" s="29" t="s">
        <v>61</v>
      </c>
      <c r="D129" s="29" t="s">
        <v>41</v>
      </c>
      <c r="E129" s="29" t="s">
        <v>135</v>
      </c>
      <c r="F129" s="29" t="s">
        <v>133</v>
      </c>
      <c r="G129" s="30" t="n">
        <v>9390.61</v>
      </c>
      <c r="H129" s="31" t="n">
        <v>47.92</v>
      </c>
      <c r="I129" s="31" t="n">
        <v>12.77</v>
      </c>
      <c r="J129" s="31" t="n">
        <v>3.21</v>
      </c>
      <c r="K129" s="31" t="n">
        <v>1.74</v>
      </c>
      <c r="L129" s="29" t="s">
        <v>134</v>
      </c>
    </row>
    <row r="130" customFormat="false" ht="15" hidden="false" customHeight="false" outlineLevel="0" collapsed="false">
      <c r="A130" s="29" t="s">
        <v>159</v>
      </c>
      <c r="B130" s="29" t="s">
        <v>160</v>
      </c>
      <c r="C130" s="29" t="s">
        <v>61</v>
      </c>
      <c r="D130" s="29" t="s">
        <v>41</v>
      </c>
      <c r="E130" s="29" t="s">
        <v>132</v>
      </c>
      <c r="F130" s="29" t="s">
        <v>133</v>
      </c>
      <c r="G130" s="30" t="n">
        <v>374.61</v>
      </c>
      <c r="H130" s="31" t="n">
        <v>47.69</v>
      </c>
      <c r="I130" s="31" t="n">
        <v>12.18</v>
      </c>
      <c r="J130" s="31" t="n">
        <v>3.54</v>
      </c>
      <c r="K130" s="31" t="n">
        <v>0.89</v>
      </c>
      <c r="L130" s="29" t="s">
        <v>161</v>
      </c>
    </row>
    <row r="131" customFormat="false" ht="15" hidden="false" customHeight="false" outlineLevel="0" collapsed="false">
      <c r="A131" s="29" t="s">
        <v>159</v>
      </c>
      <c r="B131" s="29" t="s">
        <v>160</v>
      </c>
      <c r="C131" s="29" t="s">
        <v>61</v>
      </c>
      <c r="D131" s="29" t="s">
        <v>40</v>
      </c>
      <c r="E131" s="29" t="s">
        <v>132</v>
      </c>
      <c r="F131" s="29" t="s">
        <v>133</v>
      </c>
      <c r="G131" s="30" t="n">
        <v>7180.29</v>
      </c>
      <c r="H131" s="31" t="n">
        <v>47.92</v>
      </c>
      <c r="I131" s="31" t="n">
        <v>11.75</v>
      </c>
      <c r="J131" s="31" t="n">
        <v>3.45</v>
      </c>
      <c r="K131" s="31" t="n">
        <v>1.39</v>
      </c>
      <c r="L131" s="29" t="s">
        <v>136</v>
      </c>
    </row>
    <row r="132" customFormat="false" ht="15" hidden="false" customHeight="false" outlineLevel="0" collapsed="false">
      <c r="A132" s="29" t="s">
        <v>159</v>
      </c>
      <c r="B132" s="29" t="s">
        <v>160</v>
      </c>
      <c r="C132" s="29" t="s">
        <v>61</v>
      </c>
      <c r="D132" s="29" t="s">
        <v>40</v>
      </c>
      <c r="E132" s="29" t="s">
        <v>132</v>
      </c>
      <c r="F132" s="29" t="s">
        <v>133</v>
      </c>
      <c r="G132" s="30" t="n">
        <v>3437.56</v>
      </c>
      <c r="H132" s="31" t="n">
        <v>47.55</v>
      </c>
      <c r="I132" s="31" t="n">
        <v>11.17</v>
      </c>
      <c r="J132" s="31" t="n">
        <v>3.6</v>
      </c>
      <c r="K132" s="31" t="n">
        <v>1.29</v>
      </c>
      <c r="L132" s="29" t="s">
        <v>137</v>
      </c>
    </row>
    <row r="133" customFormat="false" ht="15" hidden="false" customHeight="false" outlineLevel="0" collapsed="false">
      <c r="A133" s="29" t="s">
        <v>159</v>
      </c>
      <c r="B133" s="29" t="s">
        <v>160</v>
      </c>
      <c r="C133" s="29" t="s">
        <v>61</v>
      </c>
      <c r="D133" s="29" t="s">
        <v>42</v>
      </c>
      <c r="E133" s="29" t="s">
        <v>132</v>
      </c>
      <c r="F133" s="29" t="s">
        <v>133</v>
      </c>
      <c r="G133" s="30" t="n">
        <v>4822.94</v>
      </c>
      <c r="H133" s="31" t="n">
        <v>47.81</v>
      </c>
      <c r="I133" s="31" t="n">
        <v>11.8</v>
      </c>
      <c r="J133" s="31" t="n">
        <v>3.51</v>
      </c>
      <c r="K133" s="31" t="n">
        <v>1.69</v>
      </c>
      <c r="L133" s="29" t="s">
        <v>139</v>
      </c>
    </row>
    <row r="134" customFormat="false" ht="15" hidden="false" customHeight="false" outlineLevel="0" collapsed="false">
      <c r="A134" s="29" t="s">
        <v>159</v>
      </c>
      <c r="B134" s="29" t="s">
        <v>160</v>
      </c>
      <c r="C134" s="29" t="s">
        <v>61</v>
      </c>
      <c r="D134" s="29" t="s">
        <v>42</v>
      </c>
      <c r="E134" s="29" t="s">
        <v>135</v>
      </c>
      <c r="F134" s="29" t="s">
        <v>133</v>
      </c>
      <c r="G134" s="30" t="n">
        <v>7385.88</v>
      </c>
      <c r="H134" s="31" t="n">
        <v>47.01</v>
      </c>
      <c r="I134" s="31" t="n">
        <v>12.35</v>
      </c>
      <c r="J134" s="31" t="n">
        <v>3.89</v>
      </c>
      <c r="K134" s="31" t="n">
        <v>1.51</v>
      </c>
      <c r="L134" s="29" t="s">
        <v>138</v>
      </c>
    </row>
    <row r="135" customFormat="false" ht="15" hidden="false" customHeight="false" outlineLevel="0" collapsed="false">
      <c r="A135" s="29" t="s">
        <v>159</v>
      </c>
      <c r="B135" s="29" t="s">
        <v>160</v>
      </c>
      <c r="C135" s="29" t="s">
        <v>61</v>
      </c>
      <c r="D135" s="29" t="s">
        <v>43</v>
      </c>
      <c r="E135" s="29" t="s">
        <v>135</v>
      </c>
      <c r="F135" s="29" t="s">
        <v>133</v>
      </c>
      <c r="G135" s="30" t="n">
        <v>11734.55</v>
      </c>
      <c r="H135" s="31" t="n">
        <v>47.4</v>
      </c>
      <c r="I135" s="31" t="n">
        <v>12.59</v>
      </c>
      <c r="J135" s="31" t="n">
        <v>3.65</v>
      </c>
      <c r="K135" s="31" t="n">
        <v>1.17</v>
      </c>
      <c r="L135" s="29" t="s">
        <v>142</v>
      </c>
    </row>
    <row r="136" customFormat="false" ht="15" hidden="false" customHeight="false" outlineLevel="0" collapsed="false">
      <c r="A136" s="29" t="s">
        <v>159</v>
      </c>
      <c r="B136" s="29" t="s">
        <v>160</v>
      </c>
      <c r="C136" s="29" t="s">
        <v>61</v>
      </c>
      <c r="D136" s="29" t="s">
        <v>44</v>
      </c>
      <c r="E136" s="29" t="s">
        <v>132</v>
      </c>
      <c r="F136" s="29" t="s">
        <v>133</v>
      </c>
      <c r="G136" s="30" t="n">
        <v>2625.25</v>
      </c>
      <c r="H136" s="31" t="n">
        <v>47.78</v>
      </c>
      <c r="I136" s="31" t="n">
        <v>12.33</v>
      </c>
      <c r="J136" s="31" t="n">
        <v>3.41</v>
      </c>
      <c r="K136" s="31" t="n">
        <v>0.8</v>
      </c>
      <c r="L136" s="29" t="s">
        <v>147</v>
      </c>
    </row>
    <row r="137" customFormat="false" ht="15" hidden="false" customHeight="false" outlineLevel="0" collapsed="false">
      <c r="A137" s="29" t="s">
        <v>159</v>
      </c>
      <c r="B137" s="29" t="s">
        <v>160</v>
      </c>
      <c r="C137" s="29" t="s">
        <v>61</v>
      </c>
      <c r="D137" s="29" t="s">
        <v>44</v>
      </c>
      <c r="E137" s="29" t="s">
        <v>135</v>
      </c>
      <c r="F137" s="29" t="s">
        <v>133</v>
      </c>
      <c r="G137" s="30" t="n">
        <v>8606.24</v>
      </c>
      <c r="H137" s="31" t="n">
        <v>47.53</v>
      </c>
      <c r="I137" s="31" t="n">
        <v>12.65</v>
      </c>
      <c r="J137" s="31" t="n">
        <v>3.6</v>
      </c>
      <c r="K137" s="31" t="n">
        <v>1.24</v>
      </c>
      <c r="L137" s="29" t="s">
        <v>147</v>
      </c>
    </row>
    <row r="138" customFormat="false" ht="15" hidden="false" customHeight="false" outlineLevel="0" collapsed="false">
      <c r="A138" s="29" t="s">
        <v>159</v>
      </c>
      <c r="B138" s="29" t="s">
        <v>160</v>
      </c>
      <c r="C138" s="29" t="s">
        <v>61</v>
      </c>
      <c r="D138" s="29" t="s">
        <v>44</v>
      </c>
      <c r="E138" s="29" t="s">
        <v>135</v>
      </c>
      <c r="F138" s="29" t="s">
        <v>133</v>
      </c>
      <c r="G138" s="30" t="n">
        <v>1691.35</v>
      </c>
      <c r="H138" s="31" t="n">
        <v>46.77</v>
      </c>
      <c r="I138" s="31" t="n">
        <v>12.27</v>
      </c>
      <c r="J138" s="31" t="n">
        <v>4.22</v>
      </c>
      <c r="K138" s="31" t="n">
        <v>1.84</v>
      </c>
      <c r="L138" s="29" t="s">
        <v>146</v>
      </c>
    </row>
    <row r="139" customFormat="false" ht="15" hidden="false" customHeight="false" outlineLevel="0" collapsed="false">
      <c r="A139" s="29" t="s">
        <v>160</v>
      </c>
      <c r="B139" s="29" t="s">
        <v>162</v>
      </c>
      <c r="C139" s="29" t="s">
        <v>61</v>
      </c>
      <c r="D139" s="29" t="s">
        <v>41</v>
      </c>
      <c r="E139" s="29" t="s">
        <v>132</v>
      </c>
      <c r="F139" s="29" t="s">
        <v>133</v>
      </c>
      <c r="G139" s="30" t="n">
        <v>276.51</v>
      </c>
      <c r="H139" s="31" t="n">
        <v>46.73</v>
      </c>
      <c r="I139" s="31" t="n">
        <v>13.4</v>
      </c>
      <c r="J139" s="31" t="n">
        <v>3.99</v>
      </c>
      <c r="K139" s="31" t="n">
        <v>1.51</v>
      </c>
      <c r="L139" s="29" t="s">
        <v>134</v>
      </c>
    </row>
    <row r="140" customFormat="false" ht="15" hidden="false" customHeight="false" outlineLevel="0" collapsed="false">
      <c r="A140" s="29" t="s">
        <v>160</v>
      </c>
      <c r="B140" s="29" t="s">
        <v>162</v>
      </c>
      <c r="C140" s="29" t="s">
        <v>61</v>
      </c>
      <c r="D140" s="29" t="s">
        <v>41</v>
      </c>
      <c r="E140" s="29" t="s">
        <v>135</v>
      </c>
      <c r="F140" s="29" t="s">
        <v>133</v>
      </c>
      <c r="G140" s="30" t="n">
        <v>9843.72</v>
      </c>
      <c r="H140" s="31" t="n">
        <v>47.72</v>
      </c>
      <c r="I140" s="31" t="n">
        <v>12.98</v>
      </c>
      <c r="J140" s="31" t="n">
        <v>3.56</v>
      </c>
      <c r="K140" s="31" t="n">
        <v>1.47</v>
      </c>
      <c r="L140" s="29" t="s">
        <v>134</v>
      </c>
    </row>
    <row r="141" customFormat="false" ht="15" hidden="false" customHeight="false" outlineLevel="0" collapsed="false">
      <c r="A141" s="29" t="s">
        <v>160</v>
      </c>
      <c r="B141" s="29" t="s">
        <v>162</v>
      </c>
      <c r="C141" s="29" t="s">
        <v>61</v>
      </c>
      <c r="D141" s="29" t="s">
        <v>41</v>
      </c>
      <c r="E141" s="29" t="s">
        <v>132</v>
      </c>
      <c r="F141" s="29" t="s">
        <v>133</v>
      </c>
      <c r="G141" s="30" t="n">
        <v>1317.17</v>
      </c>
      <c r="H141" s="31" t="n">
        <v>46.79</v>
      </c>
      <c r="I141" s="31" t="n">
        <v>12.43</v>
      </c>
      <c r="J141" s="31" t="n">
        <v>3.9</v>
      </c>
      <c r="K141" s="31" t="n">
        <v>1.03</v>
      </c>
      <c r="L141" s="29" t="s">
        <v>161</v>
      </c>
    </row>
    <row r="142" customFormat="false" ht="15" hidden="false" customHeight="false" outlineLevel="0" collapsed="false">
      <c r="A142" s="29" t="s">
        <v>160</v>
      </c>
      <c r="B142" s="29" t="s">
        <v>162</v>
      </c>
      <c r="C142" s="29" t="s">
        <v>61</v>
      </c>
      <c r="D142" s="29" t="s">
        <v>40</v>
      </c>
      <c r="E142" s="29" t="s">
        <v>132</v>
      </c>
      <c r="F142" s="29" t="s">
        <v>133</v>
      </c>
      <c r="G142" s="30" t="n">
        <v>6713.34</v>
      </c>
      <c r="H142" s="31" t="n">
        <v>47.61</v>
      </c>
      <c r="I142" s="31" t="n">
        <v>11.49</v>
      </c>
      <c r="J142" s="31" t="n">
        <v>3.69</v>
      </c>
      <c r="K142" s="31" t="n">
        <v>1.59</v>
      </c>
      <c r="L142" s="29" t="s">
        <v>136</v>
      </c>
    </row>
    <row r="143" customFormat="false" ht="15" hidden="false" customHeight="false" outlineLevel="0" collapsed="false">
      <c r="A143" s="29" t="s">
        <v>160</v>
      </c>
      <c r="B143" s="29" t="s">
        <v>162</v>
      </c>
      <c r="C143" s="29" t="s">
        <v>61</v>
      </c>
      <c r="D143" s="29" t="s">
        <v>40</v>
      </c>
      <c r="E143" s="29" t="s">
        <v>132</v>
      </c>
      <c r="F143" s="29" t="s">
        <v>133</v>
      </c>
      <c r="G143" s="30" t="n">
        <v>2979.25</v>
      </c>
      <c r="H143" s="31" t="n">
        <v>47.35</v>
      </c>
      <c r="I143" s="31" t="n">
        <v>11.64</v>
      </c>
      <c r="J143" s="31" t="n">
        <v>3.67</v>
      </c>
      <c r="K143" s="31" t="n">
        <v>1.53</v>
      </c>
      <c r="L143" s="29" t="s">
        <v>137</v>
      </c>
    </row>
    <row r="144" customFormat="false" ht="15" hidden="false" customHeight="false" outlineLevel="0" collapsed="false">
      <c r="A144" s="29" t="s">
        <v>160</v>
      </c>
      <c r="B144" s="29" t="s">
        <v>162</v>
      </c>
      <c r="C144" s="29" t="s">
        <v>61</v>
      </c>
      <c r="D144" s="29" t="s">
        <v>42</v>
      </c>
      <c r="E144" s="29" t="s">
        <v>132</v>
      </c>
      <c r="F144" s="29" t="s">
        <v>133</v>
      </c>
      <c r="G144" s="30" t="n">
        <v>166.93</v>
      </c>
      <c r="H144" s="31" t="n">
        <v>47.5</v>
      </c>
      <c r="I144" s="31" t="n">
        <v>12.86</v>
      </c>
      <c r="J144" s="31" t="n">
        <v>3.7</v>
      </c>
      <c r="K144" s="31" t="n">
        <v>1.96</v>
      </c>
      <c r="L144" s="29" t="s">
        <v>138</v>
      </c>
    </row>
    <row r="145" customFormat="false" ht="15" hidden="false" customHeight="false" outlineLevel="0" collapsed="false">
      <c r="A145" s="29" t="s">
        <v>160</v>
      </c>
      <c r="B145" s="29" t="s">
        <v>162</v>
      </c>
      <c r="C145" s="29" t="s">
        <v>61</v>
      </c>
      <c r="D145" s="29" t="s">
        <v>42</v>
      </c>
      <c r="E145" s="29" t="s">
        <v>132</v>
      </c>
      <c r="F145" s="29" t="s">
        <v>133</v>
      </c>
      <c r="G145" s="30" t="n">
        <v>6379.74</v>
      </c>
      <c r="H145" s="31" t="n">
        <v>47.63</v>
      </c>
      <c r="I145" s="31" t="n">
        <v>12.2</v>
      </c>
      <c r="J145" s="31" t="n">
        <v>3.58</v>
      </c>
      <c r="K145" s="31" t="n">
        <v>1.88</v>
      </c>
      <c r="L145" s="29" t="s">
        <v>139</v>
      </c>
    </row>
    <row r="146" customFormat="false" ht="15" hidden="false" customHeight="false" outlineLevel="0" collapsed="false">
      <c r="A146" s="29" t="s">
        <v>160</v>
      </c>
      <c r="B146" s="29" t="s">
        <v>162</v>
      </c>
      <c r="C146" s="29" t="s">
        <v>61</v>
      </c>
      <c r="D146" s="29" t="s">
        <v>42</v>
      </c>
      <c r="E146" s="29" t="s">
        <v>135</v>
      </c>
      <c r="F146" s="29" t="s">
        <v>133</v>
      </c>
      <c r="G146" s="30" t="n">
        <v>4404.69</v>
      </c>
      <c r="H146" s="31" t="n">
        <v>47.16</v>
      </c>
      <c r="I146" s="31" t="n">
        <v>12.26</v>
      </c>
      <c r="J146" s="31" t="n">
        <v>3.9</v>
      </c>
      <c r="K146" s="31" t="n">
        <v>1.78</v>
      </c>
      <c r="L146" s="29" t="s">
        <v>138</v>
      </c>
    </row>
    <row r="147" customFormat="false" ht="15" hidden="false" customHeight="false" outlineLevel="0" collapsed="false">
      <c r="A147" s="29" t="s">
        <v>160</v>
      </c>
      <c r="B147" s="29" t="s">
        <v>162</v>
      </c>
      <c r="C147" s="29" t="s">
        <v>61</v>
      </c>
      <c r="D147" s="29" t="s">
        <v>43</v>
      </c>
      <c r="E147" s="29" t="s">
        <v>135</v>
      </c>
      <c r="F147" s="29" t="s">
        <v>133</v>
      </c>
      <c r="G147" s="30" t="n">
        <v>17503.1</v>
      </c>
      <c r="H147" s="31" t="n">
        <v>47.1</v>
      </c>
      <c r="I147" s="31" t="n">
        <v>12.47</v>
      </c>
      <c r="J147" s="31" t="n">
        <v>3.83</v>
      </c>
      <c r="K147" s="31" t="n">
        <v>1.74</v>
      </c>
      <c r="L147" s="29" t="s">
        <v>142</v>
      </c>
    </row>
    <row r="148" customFormat="false" ht="15" hidden="false" customHeight="false" outlineLevel="0" collapsed="false">
      <c r="A148" s="29" t="s">
        <v>160</v>
      </c>
      <c r="B148" s="29" t="s">
        <v>162</v>
      </c>
      <c r="C148" s="29" t="s">
        <v>61</v>
      </c>
      <c r="D148" s="29" t="s">
        <v>45</v>
      </c>
      <c r="E148" s="29" t="s">
        <v>135</v>
      </c>
      <c r="F148" s="29" t="s">
        <v>133</v>
      </c>
      <c r="G148" s="30" t="n">
        <v>6526.41</v>
      </c>
      <c r="H148" s="31" t="n">
        <v>47.52</v>
      </c>
      <c r="I148" s="31" t="n">
        <v>12.39</v>
      </c>
      <c r="J148" s="31" t="n">
        <v>3.6</v>
      </c>
      <c r="K148" s="31" t="n">
        <v>1.95</v>
      </c>
      <c r="L148" s="29" t="s">
        <v>145</v>
      </c>
    </row>
    <row r="149" customFormat="false" ht="15" hidden="false" customHeight="false" outlineLevel="0" collapsed="false">
      <c r="A149" s="29" t="s">
        <v>160</v>
      </c>
      <c r="B149" s="29" t="s">
        <v>162</v>
      </c>
      <c r="C149" s="29" t="s">
        <v>61</v>
      </c>
      <c r="D149" s="29" t="s">
        <v>45</v>
      </c>
      <c r="E149" s="29" t="s">
        <v>135</v>
      </c>
      <c r="F149" s="29" t="s">
        <v>133</v>
      </c>
      <c r="G149" s="30" t="n">
        <v>405.45</v>
      </c>
      <c r="H149" s="31" t="n">
        <v>47.06</v>
      </c>
      <c r="I149" s="31" t="n">
        <v>12.3</v>
      </c>
      <c r="J149" s="31" t="n">
        <v>3.71</v>
      </c>
      <c r="K149" s="31" t="n">
        <v>1.82</v>
      </c>
      <c r="L149" s="29" t="s">
        <v>142</v>
      </c>
    </row>
    <row r="150" customFormat="false" ht="15" hidden="false" customHeight="false" outlineLevel="0" collapsed="false">
      <c r="A150" s="29" t="s">
        <v>160</v>
      </c>
      <c r="B150" s="29" t="s">
        <v>162</v>
      </c>
      <c r="C150" s="29" t="s">
        <v>61</v>
      </c>
      <c r="D150" s="29" t="s">
        <v>44</v>
      </c>
      <c r="E150" s="29" t="s">
        <v>132</v>
      </c>
      <c r="F150" s="29" t="s">
        <v>133</v>
      </c>
      <c r="G150" s="30" t="n">
        <v>5989.04</v>
      </c>
      <c r="H150" s="31" t="n">
        <v>47.46</v>
      </c>
      <c r="I150" s="31" t="n">
        <v>12.27</v>
      </c>
      <c r="J150" s="31" t="n">
        <v>3.58</v>
      </c>
      <c r="K150" s="31" t="n">
        <v>1.88</v>
      </c>
      <c r="L150" s="29" t="s">
        <v>147</v>
      </c>
    </row>
    <row r="151" customFormat="false" ht="15" hidden="false" customHeight="false" outlineLevel="0" collapsed="false">
      <c r="A151" s="29" t="s">
        <v>160</v>
      </c>
      <c r="B151" s="29" t="s">
        <v>162</v>
      </c>
      <c r="C151" s="29" t="s">
        <v>61</v>
      </c>
      <c r="D151" s="29" t="s">
        <v>44</v>
      </c>
      <c r="E151" s="29" t="s">
        <v>135</v>
      </c>
      <c r="F151" s="29" t="s">
        <v>133</v>
      </c>
      <c r="G151" s="30" t="n">
        <v>3934.75</v>
      </c>
      <c r="H151" s="31" t="n">
        <v>47.3</v>
      </c>
      <c r="I151" s="31" t="n">
        <v>12.28</v>
      </c>
      <c r="J151" s="31" t="n">
        <v>3.71</v>
      </c>
      <c r="K151" s="31" t="n">
        <v>1.74</v>
      </c>
      <c r="L151" s="29" t="s">
        <v>147</v>
      </c>
    </row>
    <row r="152" customFormat="false" ht="15" hidden="false" customHeight="false" outlineLevel="0" collapsed="false">
      <c r="A152" s="29" t="s">
        <v>160</v>
      </c>
      <c r="B152" s="29" t="s">
        <v>162</v>
      </c>
      <c r="C152" s="29" t="s">
        <v>61</v>
      </c>
      <c r="D152" s="29" t="s">
        <v>44</v>
      </c>
      <c r="E152" s="29" t="s">
        <v>135</v>
      </c>
      <c r="F152" s="29" t="s">
        <v>133</v>
      </c>
      <c r="G152" s="30" t="n">
        <v>655.14</v>
      </c>
      <c r="H152" s="31" t="n">
        <v>46.89</v>
      </c>
      <c r="I152" s="31" t="n">
        <v>12.47</v>
      </c>
      <c r="J152" s="31" t="n">
        <v>3.9</v>
      </c>
      <c r="K152" s="31" t="n">
        <v>1.72</v>
      </c>
      <c r="L152" s="29" t="s">
        <v>146</v>
      </c>
    </row>
    <row r="153" customFormat="false" ht="15" hidden="false" customHeight="false" outlineLevel="0" collapsed="false">
      <c r="A153" s="29" t="s">
        <v>162</v>
      </c>
      <c r="B153" s="29" t="s">
        <v>163</v>
      </c>
      <c r="C153" s="29" t="s">
        <v>61</v>
      </c>
      <c r="D153" s="29" t="s">
        <v>41</v>
      </c>
      <c r="E153" s="29" t="s">
        <v>132</v>
      </c>
      <c r="F153" s="29" t="s">
        <v>133</v>
      </c>
      <c r="G153" s="30" t="n">
        <v>278.42</v>
      </c>
      <c r="H153" s="31" t="n">
        <v>47.41</v>
      </c>
      <c r="I153" s="31" t="n">
        <v>12.91</v>
      </c>
      <c r="J153" s="31" t="n">
        <v>3.8</v>
      </c>
      <c r="K153" s="31" t="n">
        <v>1.5</v>
      </c>
      <c r="L153" s="29" t="s">
        <v>134</v>
      </c>
    </row>
    <row r="154" customFormat="false" ht="15" hidden="false" customHeight="false" outlineLevel="0" collapsed="false">
      <c r="A154" s="29" t="s">
        <v>162</v>
      </c>
      <c r="B154" s="29" t="s">
        <v>163</v>
      </c>
      <c r="C154" s="29" t="s">
        <v>61</v>
      </c>
      <c r="D154" s="29" t="s">
        <v>41</v>
      </c>
      <c r="E154" s="29" t="s">
        <v>132</v>
      </c>
      <c r="F154" s="29" t="s">
        <v>133</v>
      </c>
      <c r="G154" s="30" t="n">
        <v>31</v>
      </c>
      <c r="H154" s="31" t="n">
        <v>47.59</v>
      </c>
      <c r="I154" s="31" t="n">
        <v>12.1</v>
      </c>
      <c r="J154" s="31" t="n">
        <v>3.78</v>
      </c>
      <c r="K154" s="31" t="n">
        <v>1.94</v>
      </c>
      <c r="L154" s="29" t="s">
        <v>161</v>
      </c>
    </row>
    <row r="155" customFormat="false" ht="15" hidden="false" customHeight="false" outlineLevel="0" collapsed="false">
      <c r="A155" s="29" t="s">
        <v>162</v>
      </c>
      <c r="B155" s="29" t="s">
        <v>163</v>
      </c>
      <c r="C155" s="29" t="s">
        <v>61</v>
      </c>
      <c r="D155" s="29" t="s">
        <v>40</v>
      </c>
      <c r="E155" s="29" t="s">
        <v>132</v>
      </c>
      <c r="F155" s="29" t="s">
        <v>133</v>
      </c>
      <c r="G155" s="30" t="n">
        <v>9058.48</v>
      </c>
      <c r="H155" s="31" t="n">
        <v>47.79</v>
      </c>
      <c r="I155" s="31" t="n">
        <v>11.81</v>
      </c>
      <c r="J155" s="31" t="n">
        <v>3.85</v>
      </c>
      <c r="K155" s="31" t="n">
        <v>1.93</v>
      </c>
      <c r="L155" s="29" t="s">
        <v>136</v>
      </c>
    </row>
    <row r="156" customFormat="false" ht="15" hidden="false" customHeight="false" outlineLevel="0" collapsed="false">
      <c r="A156" s="29" t="s">
        <v>162</v>
      </c>
      <c r="B156" s="29" t="s">
        <v>163</v>
      </c>
      <c r="C156" s="29" t="s">
        <v>61</v>
      </c>
      <c r="D156" s="29" t="s">
        <v>40</v>
      </c>
      <c r="E156" s="29" t="s">
        <v>132</v>
      </c>
      <c r="F156" s="29" t="s">
        <v>133</v>
      </c>
      <c r="G156" s="30" t="n">
        <v>2915.07</v>
      </c>
      <c r="H156" s="31" t="n">
        <v>48.01</v>
      </c>
      <c r="I156" s="31" t="n">
        <v>11.59</v>
      </c>
      <c r="J156" s="31" t="n">
        <v>3.49</v>
      </c>
      <c r="K156" s="31" t="n">
        <v>1.79</v>
      </c>
      <c r="L156" s="29" t="s">
        <v>137</v>
      </c>
    </row>
    <row r="157" customFormat="false" ht="15" hidden="false" customHeight="false" outlineLevel="0" collapsed="false">
      <c r="A157" s="29" t="s">
        <v>162</v>
      </c>
      <c r="B157" s="29" t="s">
        <v>163</v>
      </c>
      <c r="C157" s="29" t="s">
        <v>61</v>
      </c>
      <c r="D157" s="29" t="s">
        <v>42</v>
      </c>
      <c r="E157" s="29" t="s">
        <v>132</v>
      </c>
      <c r="F157" s="29" t="s">
        <v>133</v>
      </c>
      <c r="G157" s="30" t="n">
        <v>4813.66</v>
      </c>
      <c r="H157" s="31" t="n">
        <v>47.85</v>
      </c>
      <c r="I157" s="31" t="n">
        <v>12.52</v>
      </c>
      <c r="J157" s="31" t="n">
        <v>3.82</v>
      </c>
      <c r="K157" s="31" t="n">
        <v>1.79</v>
      </c>
      <c r="L157" s="29" t="s">
        <v>139</v>
      </c>
    </row>
    <row r="158" customFormat="false" ht="15" hidden="false" customHeight="false" outlineLevel="0" collapsed="false">
      <c r="A158" s="29" t="s">
        <v>162</v>
      </c>
      <c r="B158" s="29" t="s">
        <v>163</v>
      </c>
      <c r="C158" s="29" t="s">
        <v>61</v>
      </c>
      <c r="D158" s="29" t="s">
        <v>42</v>
      </c>
      <c r="E158" s="29" t="s">
        <v>135</v>
      </c>
      <c r="F158" s="29" t="s">
        <v>133</v>
      </c>
      <c r="G158" s="30" t="n">
        <v>2593.1</v>
      </c>
      <c r="H158" s="31" t="n">
        <v>47.86</v>
      </c>
      <c r="I158" s="31" t="n">
        <v>12.53</v>
      </c>
      <c r="J158" s="31" t="n">
        <v>3.63</v>
      </c>
      <c r="K158" s="31" t="n">
        <v>1.75</v>
      </c>
      <c r="L158" s="29" t="s">
        <v>138</v>
      </c>
    </row>
    <row r="159" customFormat="false" ht="15" hidden="false" customHeight="false" outlineLevel="0" collapsed="false">
      <c r="A159" s="29" t="s">
        <v>162</v>
      </c>
      <c r="B159" s="29" t="s">
        <v>163</v>
      </c>
      <c r="C159" s="29" t="s">
        <v>61</v>
      </c>
      <c r="D159" s="29" t="s">
        <v>43</v>
      </c>
      <c r="E159" s="29" t="s">
        <v>135</v>
      </c>
      <c r="F159" s="29" t="s">
        <v>133</v>
      </c>
      <c r="G159" s="30" t="n">
        <v>23977.38</v>
      </c>
      <c r="H159" s="31" t="n">
        <v>47.74</v>
      </c>
      <c r="I159" s="31" t="n">
        <v>12.4</v>
      </c>
      <c r="J159" s="31" t="n">
        <v>3.72</v>
      </c>
      <c r="K159" s="31" t="n">
        <v>1.41</v>
      </c>
      <c r="L159" s="29" t="s">
        <v>142</v>
      </c>
    </row>
    <row r="160" customFormat="false" ht="15" hidden="false" customHeight="false" outlineLevel="0" collapsed="false">
      <c r="A160" s="29" t="s">
        <v>162</v>
      </c>
      <c r="B160" s="29" t="s">
        <v>163</v>
      </c>
      <c r="C160" s="29" t="s">
        <v>61</v>
      </c>
      <c r="D160" s="29" t="s">
        <v>45</v>
      </c>
      <c r="E160" s="29" t="s">
        <v>135</v>
      </c>
      <c r="F160" s="29" t="s">
        <v>133</v>
      </c>
      <c r="G160" s="30" t="n">
        <v>3244.93</v>
      </c>
      <c r="H160" s="31" t="n">
        <v>47.34</v>
      </c>
      <c r="I160" s="31" t="n">
        <v>12.62</v>
      </c>
      <c r="J160" s="31" t="n">
        <v>3.89</v>
      </c>
      <c r="K160" s="31" t="n">
        <v>1.63</v>
      </c>
      <c r="L160" s="29" t="s">
        <v>145</v>
      </c>
    </row>
    <row r="161" customFormat="false" ht="15" hidden="false" customHeight="false" outlineLevel="0" collapsed="false">
      <c r="A161" s="29" t="s">
        <v>162</v>
      </c>
      <c r="B161" s="29" t="s">
        <v>163</v>
      </c>
      <c r="C161" s="29" t="s">
        <v>61</v>
      </c>
      <c r="D161" s="29" t="s">
        <v>44</v>
      </c>
      <c r="E161" s="29" t="s">
        <v>132</v>
      </c>
      <c r="F161" s="29" t="s">
        <v>133</v>
      </c>
      <c r="G161" s="30" t="n">
        <v>4416.12</v>
      </c>
      <c r="H161" s="31" t="n">
        <v>48.14</v>
      </c>
      <c r="I161" s="31" t="n">
        <v>12.36</v>
      </c>
      <c r="J161" s="31" t="n">
        <v>3.38</v>
      </c>
      <c r="K161" s="31" t="n">
        <v>1.96</v>
      </c>
      <c r="L161" s="29" t="s">
        <v>147</v>
      </c>
    </row>
    <row r="162" customFormat="false" ht="15" hidden="false" customHeight="false" outlineLevel="0" collapsed="false">
      <c r="A162" s="29" t="s">
        <v>162</v>
      </c>
      <c r="B162" s="29" t="s">
        <v>163</v>
      </c>
      <c r="C162" s="29" t="s">
        <v>61</v>
      </c>
      <c r="D162" s="29" t="s">
        <v>44</v>
      </c>
      <c r="E162" s="29" t="s">
        <v>135</v>
      </c>
      <c r="F162" s="29" t="s">
        <v>133</v>
      </c>
      <c r="G162" s="30" t="n">
        <v>9914.38</v>
      </c>
      <c r="H162" s="31" t="n">
        <v>48</v>
      </c>
      <c r="I162" s="31" t="n">
        <v>12.52</v>
      </c>
      <c r="J162" s="31" t="n">
        <v>3.5</v>
      </c>
      <c r="K162" s="31" t="n">
        <v>1.61</v>
      </c>
      <c r="L162" s="29" t="s">
        <v>147</v>
      </c>
    </row>
    <row r="163" customFormat="false" ht="15" hidden="false" customHeight="false" outlineLevel="0" collapsed="false">
      <c r="A163" s="29" t="s">
        <v>162</v>
      </c>
      <c r="B163" s="29" t="s">
        <v>163</v>
      </c>
      <c r="C163" s="29" t="s">
        <v>61</v>
      </c>
      <c r="D163" s="29" t="s">
        <v>44</v>
      </c>
      <c r="E163" s="29" t="s">
        <v>135</v>
      </c>
      <c r="F163" s="29" t="s">
        <v>133</v>
      </c>
      <c r="G163" s="30" t="n">
        <v>2242.69</v>
      </c>
      <c r="H163" s="31" t="n">
        <v>47.81</v>
      </c>
      <c r="I163" s="31" t="n">
        <v>12.49</v>
      </c>
      <c r="J163" s="31" t="n">
        <v>3.82</v>
      </c>
      <c r="K163" s="31" t="n">
        <v>1.72</v>
      </c>
      <c r="L163" s="29" t="s">
        <v>146</v>
      </c>
    </row>
    <row r="164" customFormat="false" ht="15" hidden="false" customHeight="false" outlineLevel="0" collapsed="false">
      <c r="A164" s="29" t="s">
        <v>163</v>
      </c>
      <c r="B164" s="29" t="s">
        <v>164</v>
      </c>
      <c r="C164" s="29" t="s">
        <v>61</v>
      </c>
      <c r="D164" s="29" t="s">
        <v>41</v>
      </c>
      <c r="E164" s="29" t="s">
        <v>132</v>
      </c>
      <c r="F164" s="29" t="s">
        <v>133</v>
      </c>
      <c r="G164" s="30" t="n">
        <v>475.03</v>
      </c>
      <c r="H164" s="31" t="n">
        <v>47.3</v>
      </c>
      <c r="I164" s="31" t="n">
        <v>12.99</v>
      </c>
      <c r="J164" s="31" t="n">
        <v>3.78</v>
      </c>
      <c r="K164" s="31" t="n">
        <v>0.76</v>
      </c>
      <c r="L164" s="29" t="s">
        <v>134</v>
      </c>
    </row>
    <row r="165" customFormat="false" ht="15" hidden="false" customHeight="false" outlineLevel="0" collapsed="false">
      <c r="A165" s="29" t="s">
        <v>163</v>
      </c>
      <c r="B165" s="29" t="s">
        <v>164</v>
      </c>
      <c r="C165" s="29" t="s">
        <v>61</v>
      </c>
      <c r="D165" s="29" t="s">
        <v>41</v>
      </c>
      <c r="E165" s="29" t="s">
        <v>135</v>
      </c>
      <c r="F165" s="29" t="s">
        <v>133</v>
      </c>
      <c r="G165" s="30" t="n">
        <v>9704.24</v>
      </c>
      <c r="H165" s="31" t="n">
        <v>47.09</v>
      </c>
      <c r="I165" s="31" t="n">
        <v>13.55</v>
      </c>
      <c r="J165" s="31" t="n">
        <v>3.86</v>
      </c>
      <c r="K165" s="31" t="n">
        <v>0.73</v>
      </c>
      <c r="L165" s="29" t="s">
        <v>134</v>
      </c>
    </row>
    <row r="166" customFormat="false" ht="15" hidden="false" customHeight="false" outlineLevel="0" collapsed="false">
      <c r="A166" s="29" t="s">
        <v>163</v>
      </c>
      <c r="B166" s="29" t="s">
        <v>164</v>
      </c>
      <c r="C166" s="29" t="s">
        <v>61</v>
      </c>
      <c r="D166" s="29" t="s">
        <v>40</v>
      </c>
      <c r="E166" s="29" t="s">
        <v>132</v>
      </c>
      <c r="F166" s="29" t="s">
        <v>133</v>
      </c>
      <c r="G166" s="30" t="n">
        <v>8714.72</v>
      </c>
      <c r="H166" s="31" t="n">
        <v>48.01</v>
      </c>
      <c r="I166" s="31" t="n">
        <v>11.75</v>
      </c>
      <c r="J166" s="31" t="n">
        <v>3.45</v>
      </c>
      <c r="K166" s="31" t="n">
        <v>0.68</v>
      </c>
      <c r="L166" s="29" t="s">
        <v>136</v>
      </c>
    </row>
    <row r="167" customFormat="false" ht="15" hidden="false" customHeight="false" outlineLevel="0" collapsed="false">
      <c r="A167" s="29" t="s">
        <v>163</v>
      </c>
      <c r="B167" s="29" t="s">
        <v>164</v>
      </c>
      <c r="C167" s="29" t="s">
        <v>61</v>
      </c>
      <c r="D167" s="29" t="s">
        <v>40</v>
      </c>
      <c r="E167" s="29" t="s">
        <v>132</v>
      </c>
      <c r="F167" s="29" t="s">
        <v>133</v>
      </c>
      <c r="G167" s="30" t="n">
        <v>2487.68</v>
      </c>
      <c r="H167" s="31" t="n">
        <v>48.19</v>
      </c>
      <c r="I167" s="31" t="n">
        <v>11.7</v>
      </c>
      <c r="J167" s="31" t="n">
        <v>3.3</v>
      </c>
      <c r="K167" s="31" t="n">
        <v>0.74</v>
      </c>
      <c r="L167" s="29" t="s">
        <v>137</v>
      </c>
    </row>
    <row r="168" customFormat="false" ht="15" hidden="false" customHeight="false" outlineLevel="0" collapsed="false">
      <c r="A168" s="29" t="s">
        <v>163</v>
      </c>
      <c r="B168" s="29" t="s">
        <v>164</v>
      </c>
      <c r="C168" s="29" t="s">
        <v>61</v>
      </c>
      <c r="D168" s="29" t="s">
        <v>42</v>
      </c>
      <c r="E168" s="29" t="s">
        <v>132</v>
      </c>
      <c r="F168" s="29" t="s">
        <v>133</v>
      </c>
      <c r="G168" s="30" t="n">
        <v>1560.85</v>
      </c>
      <c r="H168" s="31" t="n">
        <v>47.25</v>
      </c>
      <c r="I168" s="31" t="n">
        <v>12.44</v>
      </c>
      <c r="J168" s="31" t="n">
        <v>3.73</v>
      </c>
      <c r="K168" s="31" t="n">
        <v>1.61</v>
      </c>
      <c r="L168" s="29" t="s">
        <v>137</v>
      </c>
    </row>
    <row r="169" customFormat="false" ht="15" hidden="false" customHeight="false" outlineLevel="0" collapsed="false">
      <c r="A169" s="29" t="s">
        <v>163</v>
      </c>
      <c r="B169" s="29" t="s">
        <v>164</v>
      </c>
      <c r="C169" s="29" t="s">
        <v>61</v>
      </c>
      <c r="D169" s="29" t="s">
        <v>42</v>
      </c>
      <c r="E169" s="29" t="s">
        <v>132</v>
      </c>
      <c r="F169" s="29" t="s">
        <v>133</v>
      </c>
      <c r="G169" s="30" t="n">
        <v>2218.58</v>
      </c>
      <c r="H169" s="31" t="n">
        <v>47.82</v>
      </c>
      <c r="I169" s="31" t="n">
        <v>12.23</v>
      </c>
      <c r="J169" s="31" t="n">
        <v>3.5</v>
      </c>
      <c r="K169" s="31" t="n">
        <v>1.24</v>
      </c>
      <c r="L169" s="29" t="s">
        <v>139</v>
      </c>
    </row>
    <row r="170" customFormat="false" ht="15" hidden="false" customHeight="false" outlineLevel="0" collapsed="false">
      <c r="A170" s="29" t="s">
        <v>163</v>
      </c>
      <c r="B170" s="29" t="s">
        <v>164</v>
      </c>
      <c r="C170" s="29" t="s">
        <v>61</v>
      </c>
      <c r="D170" s="29" t="s">
        <v>42</v>
      </c>
      <c r="E170" s="29" t="s">
        <v>135</v>
      </c>
      <c r="F170" s="29" t="s">
        <v>133</v>
      </c>
      <c r="G170" s="30" t="n">
        <v>3860.12</v>
      </c>
      <c r="H170" s="31" t="n">
        <v>47.04</v>
      </c>
      <c r="I170" s="31" t="n">
        <v>12.5</v>
      </c>
      <c r="J170" s="31" t="n">
        <v>3.62</v>
      </c>
      <c r="K170" s="31" t="n">
        <v>1.74</v>
      </c>
      <c r="L170" s="29" t="s">
        <v>138</v>
      </c>
    </row>
    <row r="171" customFormat="false" ht="15" hidden="false" customHeight="false" outlineLevel="0" collapsed="false">
      <c r="A171" s="29" t="s">
        <v>163</v>
      </c>
      <c r="B171" s="29" t="s">
        <v>164</v>
      </c>
      <c r="C171" s="29" t="s">
        <v>61</v>
      </c>
      <c r="D171" s="29" t="s">
        <v>39</v>
      </c>
      <c r="E171" s="29" t="s">
        <v>135</v>
      </c>
      <c r="F171" s="29" t="s">
        <v>133</v>
      </c>
      <c r="G171" s="30" t="n">
        <v>420.2</v>
      </c>
      <c r="H171" s="31" t="n">
        <v>47.35</v>
      </c>
      <c r="I171" s="31" t="n">
        <v>12.48</v>
      </c>
      <c r="J171" s="31" t="n">
        <v>3.75</v>
      </c>
      <c r="K171" s="31" t="n">
        <v>1.57</v>
      </c>
      <c r="L171" s="29" t="s">
        <v>165</v>
      </c>
    </row>
    <row r="172" customFormat="false" ht="15" hidden="false" customHeight="false" outlineLevel="0" collapsed="false">
      <c r="A172" s="29" t="s">
        <v>163</v>
      </c>
      <c r="B172" s="29" t="s">
        <v>164</v>
      </c>
      <c r="C172" s="29" t="s">
        <v>61</v>
      </c>
      <c r="D172" s="29" t="s">
        <v>43</v>
      </c>
      <c r="E172" s="29" t="s">
        <v>135</v>
      </c>
      <c r="F172" s="29" t="s">
        <v>133</v>
      </c>
      <c r="G172" s="30" t="n">
        <v>20051.37</v>
      </c>
      <c r="H172" s="31" t="n">
        <v>47.32</v>
      </c>
      <c r="I172" s="31" t="n">
        <v>12.48</v>
      </c>
      <c r="J172" s="31" t="n">
        <v>3.67</v>
      </c>
      <c r="K172" s="31" t="n">
        <v>1.6</v>
      </c>
      <c r="L172" s="29" t="s">
        <v>142</v>
      </c>
    </row>
    <row r="173" customFormat="false" ht="15" hidden="false" customHeight="false" outlineLevel="0" collapsed="false">
      <c r="A173" s="29" t="s">
        <v>163</v>
      </c>
      <c r="B173" s="29" t="s">
        <v>164</v>
      </c>
      <c r="C173" s="29" t="s">
        <v>61</v>
      </c>
      <c r="D173" s="29" t="s">
        <v>44</v>
      </c>
      <c r="E173" s="29" t="s">
        <v>132</v>
      </c>
      <c r="F173" s="29" t="s">
        <v>133</v>
      </c>
      <c r="G173" s="30" t="n">
        <v>1605.78</v>
      </c>
      <c r="H173" s="31" t="n">
        <v>47.09</v>
      </c>
      <c r="I173" s="31" t="n">
        <v>12.24</v>
      </c>
      <c r="J173" s="31" t="n">
        <v>3.82</v>
      </c>
      <c r="K173" s="31" t="n">
        <v>1.29</v>
      </c>
      <c r="L173" s="29" t="s">
        <v>146</v>
      </c>
    </row>
    <row r="174" customFormat="false" ht="15" hidden="false" customHeight="false" outlineLevel="0" collapsed="false">
      <c r="A174" s="29" t="s">
        <v>163</v>
      </c>
      <c r="B174" s="29" t="s">
        <v>164</v>
      </c>
      <c r="C174" s="29" t="s">
        <v>61</v>
      </c>
      <c r="D174" s="29" t="s">
        <v>44</v>
      </c>
      <c r="E174" s="29" t="s">
        <v>132</v>
      </c>
      <c r="F174" s="29" t="s">
        <v>133</v>
      </c>
      <c r="G174" s="30" t="n">
        <v>5252.52</v>
      </c>
      <c r="H174" s="31" t="n">
        <v>47.27</v>
      </c>
      <c r="I174" s="31" t="n">
        <v>12.39</v>
      </c>
      <c r="J174" s="31" t="n">
        <v>3.8</v>
      </c>
      <c r="K174" s="31" t="n">
        <v>1.62</v>
      </c>
      <c r="L174" s="29" t="s">
        <v>147</v>
      </c>
    </row>
    <row r="175" customFormat="false" ht="15" hidden="false" customHeight="false" outlineLevel="0" collapsed="false">
      <c r="A175" s="29" t="s">
        <v>163</v>
      </c>
      <c r="B175" s="29" t="s">
        <v>164</v>
      </c>
      <c r="C175" s="29" t="s">
        <v>61</v>
      </c>
      <c r="D175" s="29" t="s">
        <v>44</v>
      </c>
      <c r="E175" s="29" t="s">
        <v>135</v>
      </c>
      <c r="F175" s="29" t="s">
        <v>133</v>
      </c>
      <c r="G175" s="30" t="n">
        <v>10493.21</v>
      </c>
      <c r="H175" s="31" t="n">
        <v>48.06</v>
      </c>
      <c r="I175" s="31" t="n">
        <v>12.5</v>
      </c>
      <c r="J175" s="31" t="n">
        <v>3.4</v>
      </c>
      <c r="K175" s="31" t="n">
        <v>1.8</v>
      </c>
      <c r="L175" s="29" t="s">
        <v>147</v>
      </c>
    </row>
    <row r="176" customFormat="false" ht="15" hidden="false" customHeight="false" outlineLevel="0" collapsed="false">
      <c r="A176" s="29" t="s">
        <v>163</v>
      </c>
      <c r="B176" s="29" t="s">
        <v>164</v>
      </c>
      <c r="C176" s="29" t="s">
        <v>61</v>
      </c>
      <c r="D176" s="29" t="s">
        <v>44</v>
      </c>
      <c r="E176" s="29" t="s">
        <v>135</v>
      </c>
      <c r="F176" s="29" t="s">
        <v>133</v>
      </c>
      <c r="G176" s="30" t="n">
        <v>2512.74</v>
      </c>
      <c r="H176" s="31" t="n">
        <v>47.82</v>
      </c>
      <c r="I176" s="31" t="n">
        <v>12.49</v>
      </c>
      <c r="J176" s="31" t="n">
        <v>3.45</v>
      </c>
      <c r="K176" s="31" t="n">
        <v>1.48</v>
      </c>
      <c r="L176" s="29" t="s">
        <v>146</v>
      </c>
    </row>
    <row r="177" customFormat="false" ht="15" hidden="false" customHeight="false" outlineLevel="0" collapsed="false">
      <c r="A177" s="29" t="s">
        <v>164</v>
      </c>
      <c r="B177" s="29" t="s">
        <v>166</v>
      </c>
      <c r="C177" s="29" t="s">
        <v>61</v>
      </c>
      <c r="D177" s="29" t="s">
        <v>41</v>
      </c>
      <c r="E177" s="29" t="s">
        <v>132</v>
      </c>
      <c r="F177" s="29" t="s">
        <v>133</v>
      </c>
      <c r="G177" s="30" t="n">
        <v>4162.92</v>
      </c>
      <c r="H177" s="31" t="n">
        <v>47.74</v>
      </c>
      <c r="I177" s="31" t="n">
        <v>12.94</v>
      </c>
      <c r="J177" s="31" t="n">
        <v>3.78</v>
      </c>
      <c r="K177" s="31" t="n">
        <v>1.18</v>
      </c>
      <c r="L177" s="29" t="s">
        <v>134</v>
      </c>
    </row>
    <row r="178" customFormat="false" ht="15" hidden="false" customHeight="false" outlineLevel="0" collapsed="false">
      <c r="A178" s="29" t="s">
        <v>164</v>
      </c>
      <c r="B178" s="29" t="s">
        <v>166</v>
      </c>
      <c r="C178" s="29" t="s">
        <v>61</v>
      </c>
      <c r="D178" s="29" t="s">
        <v>41</v>
      </c>
      <c r="E178" s="29" t="s">
        <v>135</v>
      </c>
      <c r="F178" s="29" t="s">
        <v>133</v>
      </c>
      <c r="G178" s="30" t="n">
        <v>4912.07</v>
      </c>
      <c r="H178" s="31" t="n">
        <v>47.22</v>
      </c>
      <c r="I178" s="31" t="n">
        <v>12.94</v>
      </c>
      <c r="J178" s="31" t="n">
        <v>3.89</v>
      </c>
      <c r="K178" s="31" t="n">
        <v>1.26</v>
      </c>
      <c r="L178" s="29" t="s">
        <v>134</v>
      </c>
    </row>
    <row r="179" customFormat="false" ht="15" hidden="false" customHeight="false" outlineLevel="0" collapsed="false">
      <c r="A179" s="29" t="s">
        <v>164</v>
      </c>
      <c r="B179" s="29" t="s">
        <v>166</v>
      </c>
      <c r="C179" s="29" t="s">
        <v>61</v>
      </c>
      <c r="D179" s="29" t="s">
        <v>40</v>
      </c>
      <c r="E179" s="29" t="s">
        <v>132</v>
      </c>
      <c r="F179" s="29" t="s">
        <v>133</v>
      </c>
      <c r="G179" s="30" t="n">
        <v>7721.06</v>
      </c>
      <c r="H179" s="31" t="n">
        <v>48.01</v>
      </c>
      <c r="I179" s="31" t="n">
        <v>11.6</v>
      </c>
      <c r="J179" s="31" t="n">
        <v>3.51</v>
      </c>
      <c r="K179" s="31" t="n">
        <v>1.29</v>
      </c>
      <c r="L179" s="29" t="s">
        <v>136</v>
      </c>
    </row>
    <row r="180" customFormat="false" ht="15" hidden="false" customHeight="false" outlineLevel="0" collapsed="false">
      <c r="A180" s="29" t="s">
        <v>164</v>
      </c>
      <c r="B180" s="29" t="s">
        <v>166</v>
      </c>
      <c r="C180" s="29" t="s">
        <v>61</v>
      </c>
      <c r="D180" s="29" t="s">
        <v>40</v>
      </c>
      <c r="E180" s="29" t="s">
        <v>132</v>
      </c>
      <c r="F180" s="29" t="s">
        <v>133</v>
      </c>
      <c r="G180" s="30" t="n">
        <v>2112.47</v>
      </c>
      <c r="H180" s="31" t="n">
        <v>47.83</v>
      </c>
      <c r="I180" s="31" t="n">
        <v>11.57</v>
      </c>
      <c r="J180" s="31" t="n">
        <v>3.66</v>
      </c>
      <c r="K180" s="31" t="n">
        <v>1.22</v>
      </c>
      <c r="L180" s="29" t="s">
        <v>137</v>
      </c>
    </row>
    <row r="181" customFormat="false" ht="15" hidden="false" customHeight="false" outlineLevel="0" collapsed="false">
      <c r="A181" s="29" t="s">
        <v>164</v>
      </c>
      <c r="B181" s="29" t="s">
        <v>166</v>
      </c>
      <c r="C181" s="29" t="s">
        <v>61</v>
      </c>
      <c r="D181" s="29" t="s">
        <v>42</v>
      </c>
      <c r="E181" s="29" t="s">
        <v>132</v>
      </c>
      <c r="F181" s="29" t="s">
        <v>133</v>
      </c>
      <c r="G181" s="30" t="n">
        <v>579.59</v>
      </c>
      <c r="H181" s="31" t="n">
        <v>47.7</v>
      </c>
      <c r="I181" s="31" t="n">
        <v>12.34</v>
      </c>
      <c r="J181" s="31" t="n">
        <v>3.5</v>
      </c>
      <c r="K181" s="31" t="n">
        <v>1.59</v>
      </c>
      <c r="L181" s="29" t="s">
        <v>138</v>
      </c>
    </row>
    <row r="182" customFormat="false" ht="15" hidden="false" customHeight="false" outlineLevel="0" collapsed="false">
      <c r="A182" s="29" t="s">
        <v>164</v>
      </c>
      <c r="B182" s="29" t="s">
        <v>166</v>
      </c>
      <c r="C182" s="29" t="s">
        <v>61</v>
      </c>
      <c r="D182" s="29" t="s">
        <v>42</v>
      </c>
      <c r="E182" s="29" t="s">
        <v>132</v>
      </c>
      <c r="F182" s="29" t="s">
        <v>133</v>
      </c>
      <c r="G182" s="30" t="n">
        <v>10693.84</v>
      </c>
      <c r="H182" s="31" t="n">
        <v>48.1</v>
      </c>
      <c r="I182" s="31" t="n">
        <v>12.09</v>
      </c>
      <c r="J182" s="31" t="n">
        <v>3.48</v>
      </c>
      <c r="K182" s="31" t="n">
        <v>1.77</v>
      </c>
      <c r="L182" s="29" t="s">
        <v>138</v>
      </c>
    </row>
    <row r="183" customFormat="false" ht="15" hidden="false" customHeight="false" outlineLevel="0" collapsed="false">
      <c r="A183" s="29" t="s">
        <v>164</v>
      </c>
      <c r="B183" s="29" t="s">
        <v>166</v>
      </c>
      <c r="C183" s="29" t="s">
        <v>61</v>
      </c>
      <c r="D183" s="29" t="s">
        <v>42</v>
      </c>
      <c r="E183" s="29" t="s">
        <v>135</v>
      </c>
      <c r="F183" s="29" t="s">
        <v>133</v>
      </c>
      <c r="G183" s="30" t="n">
        <v>4234.97</v>
      </c>
      <c r="H183" s="31" t="n">
        <v>47.44</v>
      </c>
      <c r="I183" s="31" t="n">
        <v>12.32</v>
      </c>
      <c r="J183" s="31" t="n">
        <v>3.68</v>
      </c>
      <c r="K183" s="31" t="n">
        <v>1.66</v>
      </c>
      <c r="L183" s="29" t="s">
        <v>138</v>
      </c>
    </row>
    <row r="184" customFormat="false" ht="15" hidden="false" customHeight="false" outlineLevel="0" collapsed="false">
      <c r="A184" s="29" t="s">
        <v>164</v>
      </c>
      <c r="B184" s="29" t="s">
        <v>166</v>
      </c>
      <c r="C184" s="29" t="s">
        <v>61</v>
      </c>
      <c r="D184" s="29" t="s">
        <v>43</v>
      </c>
      <c r="E184" s="29" t="s">
        <v>135</v>
      </c>
      <c r="F184" s="29" t="s">
        <v>133</v>
      </c>
      <c r="G184" s="30" t="n">
        <v>19498.01</v>
      </c>
      <c r="H184" s="31" t="n">
        <v>46.94</v>
      </c>
      <c r="I184" s="31" t="n">
        <v>12.37</v>
      </c>
      <c r="J184" s="31" t="n">
        <v>3.91</v>
      </c>
      <c r="K184" s="31" t="n">
        <v>1.55</v>
      </c>
      <c r="L184" s="29" t="s">
        <v>142</v>
      </c>
    </row>
    <row r="185" customFormat="false" ht="15" hidden="false" customHeight="false" outlineLevel="0" collapsed="false">
      <c r="A185" s="29" t="s">
        <v>164</v>
      </c>
      <c r="B185" s="29" t="s">
        <v>166</v>
      </c>
      <c r="C185" s="29" t="s">
        <v>61</v>
      </c>
      <c r="D185" s="29" t="s">
        <v>39</v>
      </c>
      <c r="E185" s="29" t="s">
        <v>135</v>
      </c>
      <c r="F185" s="29" t="s">
        <v>133</v>
      </c>
      <c r="G185" s="30" t="n">
        <v>16366.4</v>
      </c>
      <c r="H185" s="31" t="n">
        <v>47.38</v>
      </c>
      <c r="I185" s="31" t="n">
        <v>12.27</v>
      </c>
      <c r="J185" s="31" t="n">
        <v>3.75</v>
      </c>
      <c r="K185" s="31" t="n">
        <v>1.64</v>
      </c>
      <c r="L185" s="29" t="s">
        <v>165</v>
      </c>
    </row>
    <row r="186" customFormat="false" ht="15" hidden="false" customHeight="false" outlineLevel="0" collapsed="false">
      <c r="A186" s="29" t="s">
        <v>164</v>
      </c>
      <c r="B186" s="29" t="s">
        <v>166</v>
      </c>
      <c r="C186" s="29" t="s">
        <v>61</v>
      </c>
      <c r="D186" s="29" t="s">
        <v>44</v>
      </c>
      <c r="E186" s="29" t="s">
        <v>132</v>
      </c>
      <c r="F186" s="29" t="s">
        <v>133</v>
      </c>
      <c r="G186" s="30" t="n">
        <v>6457.69</v>
      </c>
      <c r="H186" s="31" t="n">
        <v>47.52</v>
      </c>
      <c r="I186" s="31" t="n">
        <v>12.36</v>
      </c>
      <c r="J186" s="31" t="n">
        <v>3.55</v>
      </c>
      <c r="K186" s="31" t="n">
        <v>1.66</v>
      </c>
      <c r="L186" s="29" t="s">
        <v>147</v>
      </c>
    </row>
    <row r="187" customFormat="false" ht="15" hidden="false" customHeight="false" outlineLevel="0" collapsed="false">
      <c r="A187" s="29" t="s">
        <v>164</v>
      </c>
      <c r="B187" s="29" t="s">
        <v>166</v>
      </c>
      <c r="C187" s="29" t="s">
        <v>61</v>
      </c>
      <c r="D187" s="29" t="s">
        <v>44</v>
      </c>
      <c r="E187" s="29" t="s">
        <v>132</v>
      </c>
      <c r="F187" s="29" t="s">
        <v>133</v>
      </c>
      <c r="G187" s="30" t="n">
        <v>2284.02</v>
      </c>
      <c r="H187" s="31" t="n">
        <v>47.98</v>
      </c>
      <c r="I187" s="31" t="n">
        <v>12.26</v>
      </c>
      <c r="J187" s="31" t="n">
        <v>3.51</v>
      </c>
      <c r="K187" s="31" t="n">
        <v>1.57</v>
      </c>
      <c r="L187" s="29" t="s">
        <v>146</v>
      </c>
    </row>
    <row r="188" customFormat="false" ht="15" hidden="false" customHeight="false" outlineLevel="0" collapsed="false">
      <c r="A188" s="29" t="s">
        <v>164</v>
      </c>
      <c r="B188" s="29" t="s">
        <v>166</v>
      </c>
      <c r="C188" s="29" t="s">
        <v>61</v>
      </c>
      <c r="D188" s="29" t="s">
        <v>44</v>
      </c>
      <c r="E188" s="29" t="s">
        <v>135</v>
      </c>
      <c r="F188" s="29" t="s">
        <v>133</v>
      </c>
      <c r="G188" s="30" t="n">
        <v>16139.92</v>
      </c>
      <c r="H188" s="31" t="n">
        <v>47.24</v>
      </c>
      <c r="I188" s="31" t="n">
        <v>12.53</v>
      </c>
      <c r="J188" s="31" t="n">
        <v>3.8</v>
      </c>
      <c r="K188" s="31" t="n">
        <v>1.72</v>
      </c>
      <c r="L188" s="29" t="s">
        <v>147</v>
      </c>
    </row>
    <row r="189" customFormat="false" ht="15" hidden="false" customHeight="false" outlineLevel="0" collapsed="false">
      <c r="A189" s="29" t="s">
        <v>164</v>
      </c>
      <c r="B189" s="29" t="s">
        <v>166</v>
      </c>
      <c r="C189" s="29" t="s">
        <v>61</v>
      </c>
      <c r="D189" s="29" t="s">
        <v>44</v>
      </c>
      <c r="E189" s="29" t="s">
        <v>135</v>
      </c>
      <c r="F189" s="29" t="s">
        <v>133</v>
      </c>
      <c r="G189" s="30" t="n">
        <v>3977.82</v>
      </c>
      <c r="H189" s="31" t="n">
        <v>47.6</v>
      </c>
      <c r="I189" s="31" t="n">
        <v>12.63</v>
      </c>
      <c r="J189" s="31" t="n">
        <v>3.6</v>
      </c>
      <c r="K189" s="31" t="n">
        <v>1.56</v>
      </c>
      <c r="L189" s="29" t="s">
        <v>146</v>
      </c>
    </row>
    <row r="190" customFormat="false" ht="15" hidden="false" customHeight="false" outlineLevel="0" collapsed="false">
      <c r="A190" s="29" t="s">
        <v>166</v>
      </c>
      <c r="B190" s="29" t="s">
        <v>167</v>
      </c>
      <c r="C190" s="29" t="s">
        <v>62</v>
      </c>
      <c r="D190" s="29" t="s">
        <v>41</v>
      </c>
      <c r="E190" s="29" t="s">
        <v>132</v>
      </c>
      <c r="F190" s="29" t="s">
        <v>133</v>
      </c>
      <c r="G190" s="30" t="n">
        <v>747.66</v>
      </c>
      <c r="H190" s="31" t="n">
        <v>47.03</v>
      </c>
      <c r="I190" s="31" t="n">
        <v>12.15</v>
      </c>
      <c r="J190" s="31" t="n">
        <v>3.9</v>
      </c>
      <c r="K190" s="31" t="n">
        <v>1.03</v>
      </c>
      <c r="L190" s="29" t="s">
        <v>134</v>
      </c>
    </row>
    <row r="191" customFormat="false" ht="15" hidden="false" customHeight="false" outlineLevel="0" collapsed="false">
      <c r="A191" s="29" t="s">
        <v>166</v>
      </c>
      <c r="B191" s="29" t="s">
        <v>167</v>
      </c>
      <c r="C191" s="29" t="s">
        <v>62</v>
      </c>
      <c r="D191" s="29" t="s">
        <v>41</v>
      </c>
      <c r="E191" s="29" t="s">
        <v>135</v>
      </c>
      <c r="F191" s="29" t="s">
        <v>133</v>
      </c>
      <c r="G191" s="30" t="n">
        <v>5037.99</v>
      </c>
      <c r="H191" s="31" t="n">
        <v>47.03</v>
      </c>
      <c r="I191" s="31" t="n">
        <v>12.55</v>
      </c>
      <c r="J191" s="31" t="n">
        <v>3.88</v>
      </c>
      <c r="K191" s="31" t="n">
        <v>1.86</v>
      </c>
      <c r="L191" s="29" t="s">
        <v>134</v>
      </c>
    </row>
    <row r="192" customFormat="false" ht="15" hidden="false" customHeight="false" outlineLevel="0" collapsed="false">
      <c r="A192" s="29" t="s">
        <v>166</v>
      </c>
      <c r="B192" s="29" t="s">
        <v>167</v>
      </c>
      <c r="C192" s="29" t="s">
        <v>62</v>
      </c>
      <c r="D192" s="29" t="s">
        <v>40</v>
      </c>
      <c r="E192" s="29" t="s">
        <v>132</v>
      </c>
      <c r="F192" s="29" t="s">
        <v>133</v>
      </c>
      <c r="G192" s="30" t="n">
        <v>5853.12</v>
      </c>
      <c r="H192" s="31" t="n">
        <v>48.05</v>
      </c>
      <c r="I192" s="31" t="n">
        <v>11.36</v>
      </c>
      <c r="J192" s="31" t="n">
        <v>3.5</v>
      </c>
      <c r="K192" s="31" t="n">
        <v>0.15</v>
      </c>
      <c r="L192" s="29" t="s">
        <v>136</v>
      </c>
    </row>
    <row r="193" customFormat="false" ht="15" hidden="false" customHeight="false" outlineLevel="0" collapsed="false">
      <c r="A193" s="29" t="s">
        <v>166</v>
      </c>
      <c r="B193" s="29" t="s">
        <v>167</v>
      </c>
      <c r="C193" s="29" t="s">
        <v>62</v>
      </c>
      <c r="D193" s="29" t="s">
        <v>40</v>
      </c>
      <c r="E193" s="29" t="s">
        <v>132</v>
      </c>
      <c r="F193" s="29" t="s">
        <v>133</v>
      </c>
      <c r="G193" s="30" t="n">
        <v>3042.49</v>
      </c>
      <c r="H193" s="31" t="n">
        <v>47.06</v>
      </c>
      <c r="I193" s="31" t="n">
        <v>12</v>
      </c>
      <c r="J193" s="31" t="n">
        <v>3.95</v>
      </c>
      <c r="K193" s="31" t="n">
        <v>1.29</v>
      </c>
      <c r="L193" s="29" t="s">
        <v>137</v>
      </c>
    </row>
    <row r="194" customFormat="false" ht="15" hidden="false" customHeight="false" outlineLevel="0" collapsed="false">
      <c r="A194" s="29" t="s">
        <v>166</v>
      </c>
      <c r="B194" s="29" t="s">
        <v>167</v>
      </c>
      <c r="C194" s="29" t="s">
        <v>62</v>
      </c>
      <c r="D194" s="29" t="s">
        <v>42</v>
      </c>
      <c r="E194" s="29" t="s">
        <v>132</v>
      </c>
      <c r="F194" s="29" t="s">
        <v>133</v>
      </c>
      <c r="G194" s="30" t="n">
        <v>1886.65</v>
      </c>
      <c r="H194" s="31" t="n">
        <v>47.19</v>
      </c>
      <c r="I194" s="31" t="n">
        <v>12.71</v>
      </c>
      <c r="J194" s="31" t="n">
        <v>3.83</v>
      </c>
      <c r="K194" s="31" t="n">
        <v>1.62</v>
      </c>
      <c r="L194" s="29" t="s">
        <v>138</v>
      </c>
    </row>
    <row r="195" customFormat="false" ht="15" hidden="false" customHeight="false" outlineLevel="0" collapsed="false">
      <c r="A195" s="29" t="s">
        <v>166</v>
      </c>
      <c r="B195" s="29" t="s">
        <v>167</v>
      </c>
      <c r="C195" s="29" t="s">
        <v>62</v>
      </c>
      <c r="D195" s="29" t="s">
        <v>42</v>
      </c>
      <c r="E195" s="29" t="s">
        <v>132</v>
      </c>
      <c r="F195" s="29" t="s">
        <v>133</v>
      </c>
      <c r="G195" s="30" t="n">
        <v>6231.97</v>
      </c>
      <c r="H195" s="31" t="n">
        <v>47.39</v>
      </c>
      <c r="I195" s="31" t="n">
        <v>12.04</v>
      </c>
      <c r="J195" s="31" t="n">
        <v>3.77</v>
      </c>
      <c r="K195" s="31" t="n">
        <v>1.71</v>
      </c>
      <c r="L195" s="29" t="s">
        <v>139</v>
      </c>
    </row>
    <row r="196" customFormat="false" ht="15" hidden="false" customHeight="false" outlineLevel="0" collapsed="false">
      <c r="A196" s="29" t="s">
        <v>166</v>
      </c>
      <c r="B196" s="29" t="s">
        <v>167</v>
      </c>
      <c r="C196" s="29" t="s">
        <v>62</v>
      </c>
      <c r="D196" s="29" t="s">
        <v>42</v>
      </c>
      <c r="E196" s="29" t="s">
        <v>135</v>
      </c>
      <c r="F196" s="29" t="s">
        <v>133</v>
      </c>
      <c r="G196" s="30" t="n">
        <v>4375.64</v>
      </c>
      <c r="H196" s="31" t="n">
        <v>48.09</v>
      </c>
      <c r="I196" s="31" t="n">
        <v>12.38</v>
      </c>
      <c r="J196" s="31" t="n">
        <v>3.48</v>
      </c>
      <c r="K196" s="31" t="n">
        <v>1.76</v>
      </c>
      <c r="L196" s="29" t="s">
        <v>138</v>
      </c>
    </row>
    <row r="197" customFormat="false" ht="15" hidden="false" customHeight="false" outlineLevel="0" collapsed="false">
      <c r="A197" s="29" t="s">
        <v>166</v>
      </c>
      <c r="B197" s="29" t="s">
        <v>167</v>
      </c>
      <c r="C197" s="29" t="s">
        <v>62</v>
      </c>
      <c r="D197" s="29" t="s">
        <v>43</v>
      </c>
      <c r="E197" s="29" t="s">
        <v>135</v>
      </c>
      <c r="F197" s="29" t="s">
        <v>133</v>
      </c>
      <c r="G197" s="30" t="n">
        <v>11514.18</v>
      </c>
      <c r="H197" s="31" t="n">
        <v>47.34</v>
      </c>
      <c r="I197" s="31" t="n">
        <v>12.42</v>
      </c>
      <c r="J197" s="31" t="n">
        <v>3.8</v>
      </c>
      <c r="K197" s="31" t="n">
        <v>1.4</v>
      </c>
      <c r="L197" s="29" t="s">
        <v>142</v>
      </c>
    </row>
    <row r="198" customFormat="false" ht="15" hidden="false" customHeight="false" outlineLevel="0" collapsed="false">
      <c r="A198" s="29" t="s">
        <v>166</v>
      </c>
      <c r="B198" s="29" t="s">
        <v>167</v>
      </c>
      <c r="C198" s="29" t="s">
        <v>62</v>
      </c>
      <c r="D198" s="29" t="s">
        <v>39</v>
      </c>
      <c r="E198" s="29" t="s">
        <v>135</v>
      </c>
      <c r="F198" s="29" t="s">
        <v>133</v>
      </c>
      <c r="G198" s="30" t="n">
        <v>10904.82</v>
      </c>
      <c r="H198" s="31" t="n">
        <v>47.41</v>
      </c>
      <c r="I198" s="31" t="n">
        <v>12.24</v>
      </c>
      <c r="J198" s="31" t="n">
        <v>3.74</v>
      </c>
      <c r="K198" s="31" t="n">
        <v>1.68</v>
      </c>
      <c r="L198" s="29" t="s">
        <v>165</v>
      </c>
    </row>
    <row r="199" customFormat="false" ht="15" hidden="false" customHeight="false" outlineLevel="0" collapsed="false">
      <c r="A199" s="29" t="s">
        <v>166</v>
      </c>
      <c r="B199" s="29" t="s">
        <v>167</v>
      </c>
      <c r="C199" s="29" t="s">
        <v>62</v>
      </c>
      <c r="D199" s="29" t="s">
        <v>44</v>
      </c>
      <c r="E199" s="29" t="s">
        <v>132</v>
      </c>
      <c r="F199" s="29" t="s">
        <v>133</v>
      </c>
      <c r="G199" s="30" t="n">
        <v>4111.27</v>
      </c>
      <c r="H199" s="31" t="n">
        <v>47.98</v>
      </c>
      <c r="I199" s="31" t="n">
        <v>12.27</v>
      </c>
      <c r="J199" s="31" t="n">
        <v>3.56</v>
      </c>
      <c r="K199" s="31" t="n">
        <v>1.59</v>
      </c>
      <c r="L199" s="29" t="s">
        <v>147</v>
      </c>
    </row>
    <row r="200" customFormat="false" ht="15" hidden="false" customHeight="false" outlineLevel="0" collapsed="false">
      <c r="A200" s="29" t="s">
        <v>166</v>
      </c>
      <c r="B200" s="29" t="s">
        <v>167</v>
      </c>
      <c r="C200" s="29" t="s">
        <v>62</v>
      </c>
      <c r="D200" s="29" t="s">
        <v>44</v>
      </c>
      <c r="E200" s="29" t="s">
        <v>132</v>
      </c>
      <c r="F200" s="29" t="s">
        <v>133</v>
      </c>
      <c r="G200" s="30" t="n">
        <v>758.35</v>
      </c>
      <c r="H200" s="31" t="n">
        <v>47.02</v>
      </c>
      <c r="I200" s="31" t="n">
        <v>12.62</v>
      </c>
      <c r="J200" s="31" t="n">
        <v>3.97</v>
      </c>
      <c r="K200" s="31" t="n">
        <v>0.79</v>
      </c>
      <c r="L200" s="29" t="s">
        <v>146</v>
      </c>
    </row>
    <row r="201" customFormat="false" ht="15" hidden="false" customHeight="false" outlineLevel="0" collapsed="false">
      <c r="A201" s="29" t="s">
        <v>166</v>
      </c>
      <c r="B201" s="29" t="s">
        <v>167</v>
      </c>
      <c r="C201" s="29" t="s">
        <v>62</v>
      </c>
      <c r="D201" s="29" t="s">
        <v>44</v>
      </c>
      <c r="E201" s="29" t="s">
        <v>135</v>
      </c>
      <c r="F201" s="29" t="s">
        <v>133</v>
      </c>
      <c r="G201" s="30" t="n">
        <v>8949.08</v>
      </c>
      <c r="H201" s="31" t="n">
        <v>47.59</v>
      </c>
      <c r="I201" s="31" t="n">
        <v>12.38</v>
      </c>
      <c r="J201" s="31" t="n">
        <v>3.62</v>
      </c>
      <c r="K201" s="31" t="n">
        <v>1.77</v>
      </c>
      <c r="L201" s="29" t="s">
        <v>147</v>
      </c>
    </row>
    <row r="202" customFormat="false" ht="15" hidden="false" customHeight="false" outlineLevel="0" collapsed="false">
      <c r="A202" s="29" t="s">
        <v>166</v>
      </c>
      <c r="B202" s="29" t="s">
        <v>167</v>
      </c>
      <c r="C202" s="29" t="s">
        <v>62</v>
      </c>
      <c r="D202" s="29" t="s">
        <v>44</v>
      </c>
      <c r="E202" s="29" t="s">
        <v>135</v>
      </c>
      <c r="F202" s="29" t="s">
        <v>133</v>
      </c>
      <c r="G202" s="30" t="n">
        <v>1767.2</v>
      </c>
      <c r="H202" s="31" t="n">
        <v>47.42</v>
      </c>
      <c r="I202" s="31" t="n">
        <v>12.29</v>
      </c>
      <c r="J202" s="31" t="n">
        <v>3.73</v>
      </c>
      <c r="K202" s="31" t="n">
        <v>1.95</v>
      </c>
      <c r="L202" s="29" t="s">
        <v>146</v>
      </c>
    </row>
    <row r="203" customFormat="false" ht="15" hidden="false" customHeight="false" outlineLevel="0" collapsed="false">
      <c r="A203" s="29" t="s">
        <v>167</v>
      </c>
      <c r="B203" s="29" t="s">
        <v>168</v>
      </c>
      <c r="C203" s="29" t="s">
        <v>62</v>
      </c>
      <c r="D203" s="29" t="s">
        <v>41</v>
      </c>
      <c r="E203" s="29" t="s">
        <v>132</v>
      </c>
      <c r="F203" s="29" t="s">
        <v>133</v>
      </c>
      <c r="G203" s="30" t="n">
        <v>556.69</v>
      </c>
      <c r="H203" s="31" t="n">
        <v>47.95</v>
      </c>
      <c r="I203" s="31" t="n">
        <v>12.67</v>
      </c>
      <c r="J203" s="31" t="n">
        <v>3.54</v>
      </c>
      <c r="K203" s="31" t="n">
        <v>0.91</v>
      </c>
      <c r="L203" s="29" t="s">
        <v>134</v>
      </c>
    </row>
    <row r="204" customFormat="false" ht="15" hidden="false" customHeight="false" outlineLevel="0" collapsed="false">
      <c r="A204" s="29" t="s">
        <v>167</v>
      </c>
      <c r="B204" s="29" t="s">
        <v>168</v>
      </c>
      <c r="C204" s="29" t="s">
        <v>62</v>
      </c>
      <c r="D204" s="29" t="s">
        <v>41</v>
      </c>
      <c r="E204" s="29" t="s">
        <v>135</v>
      </c>
      <c r="F204" s="29" t="s">
        <v>133</v>
      </c>
      <c r="G204" s="30" t="n">
        <v>4531.99</v>
      </c>
      <c r="H204" s="31" t="n">
        <v>47.18</v>
      </c>
      <c r="I204" s="31" t="n">
        <v>13.41</v>
      </c>
      <c r="J204" s="31" t="n">
        <v>3.82</v>
      </c>
      <c r="K204" s="31" t="n">
        <v>1.53</v>
      </c>
      <c r="L204" s="29" t="s">
        <v>134</v>
      </c>
    </row>
    <row r="205" customFormat="false" ht="15" hidden="false" customHeight="false" outlineLevel="0" collapsed="false">
      <c r="A205" s="29" t="s">
        <v>167</v>
      </c>
      <c r="B205" s="29" t="s">
        <v>168</v>
      </c>
      <c r="C205" s="29" t="s">
        <v>62</v>
      </c>
      <c r="D205" s="29" t="s">
        <v>40</v>
      </c>
      <c r="E205" s="29" t="s">
        <v>132</v>
      </c>
      <c r="F205" s="29" t="s">
        <v>133</v>
      </c>
      <c r="G205" s="30" t="n">
        <v>9606.14</v>
      </c>
      <c r="H205" s="31" t="n">
        <v>48.59</v>
      </c>
      <c r="I205" s="31" t="n">
        <v>11.24</v>
      </c>
      <c r="J205" s="31" t="n">
        <v>3.38</v>
      </c>
      <c r="K205" s="31" t="n">
        <v>1.18</v>
      </c>
      <c r="L205" s="29" t="s">
        <v>136</v>
      </c>
    </row>
    <row r="206" customFormat="false" ht="15" hidden="false" customHeight="false" outlineLevel="0" collapsed="false">
      <c r="A206" s="29" t="s">
        <v>167</v>
      </c>
      <c r="B206" s="29" t="s">
        <v>168</v>
      </c>
      <c r="C206" s="29" t="s">
        <v>62</v>
      </c>
      <c r="D206" s="29" t="s">
        <v>40</v>
      </c>
      <c r="E206" s="29" t="s">
        <v>132</v>
      </c>
      <c r="F206" s="29" t="s">
        <v>133</v>
      </c>
      <c r="G206" s="30" t="n">
        <v>2298.8</v>
      </c>
      <c r="H206" s="31" t="n">
        <v>46.95</v>
      </c>
      <c r="I206" s="31" t="n">
        <v>12.23</v>
      </c>
      <c r="J206" s="31" t="n">
        <v>4.06</v>
      </c>
      <c r="K206" s="31" t="n">
        <v>1.37</v>
      </c>
      <c r="L206" s="29" t="s">
        <v>137</v>
      </c>
    </row>
    <row r="207" customFormat="false" ht="15" hidden="false" customHeight="false" outlineLevel="0" collapsed="false">
      <c r="A207" s="29" t="s">
        <v>167</v>
      </c>
      <c r="B207" s="29" t="s">
        <v>168</v>
      </c>
      <c r="C207" s="29" t="s">
        <v>62</v>
      </c>
      <c r="D207" s="29" t="s">
        <v>42</v>
      </c>
      <c r="E207" s="29" t="s">
        <v>132</v>
      </c>
      <c r="F207" s="29" t="s">
        <v>133</v>
      </c>
      <c r="G207" s="30" t="n">
        <v>2189.92</v>
      </c>
      <c r="H207" s="31" t="n">
        <v>46.94</v>
      </c>
      <c r="I207" s="31" t="n">
        <v>12.59</v>
      </c>
      <c r="J207" s="31" t="n">
        <v>3.9</v>
      </c>
      <c r="K207" s="31" t="n">
        <v>1.14</v>
      </c>
      <c r="L207" s="29" t="s">
        <v>138</v>
      </c>
    </row>
    <row r="208" customFormat="false" ht="15" hidden="false" customHeight="false" outlineLevel="0" collapsed="false">
      <c r="A208" s="29" t="s">
        <v>167</v>
      </c>
      <c r="B208" s="29" t="s">
        <v>168</v>
      </c>
      <c r="C208" s="29" t="s">
        <v>62</v>
      </c>
      <c r="D208" s="29" t="s">
        <v>42</v>
      </c>
      <c r="E208" s="29" t="s">
        <v>132</v>
      </c>
      <c r="F208" s="29" t="s">
        <v>133</v>
      </c>
      <c r="G208" s="30" t="n">
        <v>5940.55</v>
      </c>
      <c r="H208" s="31" t="n">
        <v>48.01</v>
      </c>
      <c r="I208" s="31" t="n">
        <v>12.29</v>
      </c>
      <c r="J208" s="31" t="n">
        <v>3.46</v>
      </c>
      <c r="K208" s="31" t="n">
        <v>1.57</v>
      </c>
      <c r="L208" s="29" t="s">
        <v>139</v>
      </c>
    </row>
    <row r="209" customFormat="false" ht="15" hidden="false" customHeight="false" outlineLevel="0" collapsed="false">
      <c r="A209" s="29" t="s">
        <v>167</v>
      </c>
      <c r="B209" s="29" t="s">
        <v>168</v>
      </c>
      <c r="C209" s="29" t="s">
        <v>62</v>
      </c>
      <c r="D209" s="29" t="s">
        <v>42</v>
      </c>
      <c r="E209" s="29" t="s">
        <v>135</v>
      </c>
      <c r="F209" s="29" t="s">
        <v>133</v>
      </c>
      <c r="G209" s="30" t="n">
        <v>8015.69</v>
      </c>
      <c r="H209" s="31" t="n">
        <v>47.04</v>
      </c>
      <c r="I209" s="31" t="n">
        <v>12.16</v>
      </c>
      <c r="J209" s="31" t="n">
        <v>3.95</v>
      </c>
      <c r="K209" s="31" t="n">
        <v>1.54</v>
      </c>
      <c r="L209" s="29" t="s">
        <v>138</v>
      </c>
    </row>
    <row r="210" customFormat="false" ht="15" hidden="false" customHeight="false" outlineLevel="0" collapsed="false">
      <c r="A210" s="29" t="s">
        <v>167</v>
      </c>
      <c r="B210" s="29" t="s">
        <v>168</v>
      </c>
      <c r="C210" s="29" t="s">
        <v>62</v>
      </c>
      <c r="D210" s="29" t="s">
        <v>43</v>
      </c>
      <c r="E210" s="29" t="s">
        <v>135</v>
      </c>
      <c r="F210" s="29" t="s">
        <v>133</v>
      </c>
      <c r="G210" s="30" t="n">
        <v>9589.66</v>
      </c>
      <c r="H210" s="31" t="n">
        <v>47.63</v>
      </c>
      <c r="I210" s="31" t="n">
        <v>12.3</v>
      </c>
      <c r="J210" s="31" t="n">
        <v>3.81</v>
      </c>
      <c r="K210" s="31" t="n">
        <v>0.89</v>
      </c>
      <c r="L210" s="29" t="s">
        <v>142</v>
      </c>
    </row>
    <row r="211" customFormat="false" ht="15" hidden="false" customHeight="false" outlineLevel="0" collapsed="false">
      <c r="A211" s="29" t="s">
        <v>167</v>
      </c>
      <c r="B211" s="29" t="s">
        <v>168</v>
      </c>
      <c r="C211" s="29" t="s">
        <v>62</v>
      </c>
      <c r="D211" s="29" t="s">
        <v>39</v>
      </c>
      <c r="E211" s="29" t="s">
        <v>135</v>
      </c>
      <c r="F211" s="29" t="s">
        <v>133</v>
      </c>
      <c r="G211" s="30" t="n">
        <v>1600.08</v>
      </c>
      <c r="H211" s="31" t="n">
        <v>48.05</v>
      </c>
      <c r="I211" s="31" t="n">
        <v>12.46</v>
      </c>
      <c r="J211" s="31" t="n">
        <v>3.47</v>
      </c>
      <c r="K211" s="31" t="n">
        <v>1.34</v>
      </c>
      <c r="L211" s="29" t="s">
        <v>165</v>
      </c>
    </row>
    <row r="212" customFormat="false" ht="15" hidden="false" customHeight="false" outlineLevel="0" collapsed="false">
      <c r="A212" s="29" t="s">
        <v>167</v>
      </c>
      <c r="B212" s="29" t="s">
        <v>168</v>
      </c>
      <c r="C212" s="29" t="s">
        <v>62</v>
      </c>
      <c r="D212" s="29" t="s">
        <v>44</v>
      </c>
      <c r="E212" s="29" t="s">
        <v>132</v>
      </c>
      <c r="F212" s="29" t="s">
        <v>133</v>
      </c>
      <c r="G212" s="30" t="n">
        <v>5494.42</v>
      </c>
      <c r="H212" s="31" t="n">
        <v>47.14</v>
      </c>
      <c r="I212" s="31" t="n">
        <v>12.54</v>
      </c>
      <c r="J212" s="31" t="n">
        <v>3.89</v>
      </c>
      <c r="K212" s="31" t="n">
        <v>1.32</v>
      </c>
      <c r="L212" s="29" t="s">
        <v>147</v>
      </c>
    </row>
    <row r="213" customFormat="false" ht="15" hidden="false" customHeight="false" outlineLevel="0" collapsed="false">
      <c r="A213" s="29" t="s">
        <v>167</v>
      </c>
      <c r="B213" s="29" t="s">
        <v>168</v>
      </c>
      <c r="C213" s="29" t="s">
        <v>62</v>
      </c>
      <c r="D213" s="29" t="s">
        <v>44</v>
      </c>
      <c r="E213" s="29" t="s">
        <v>132</v>
      </c>
      <c r="F213" s="29" t="s">
        <v>133</v>
      </c>
      <c r="G213" s="30" t="n">
        <v>273.33</v>
      </c>
      <c r="H213" s="31" t="n">
        <v>47.93</v>
      </c>
      <c r="I213" s="31" t="n">
        <v>12.22</v>
      </c>
      <c r="J213" s="31" t="n">
        <v>3.52</v>
      </c>
      <c r="K213" s="31" t="n">
        <v>0.83</v>
      </c>
      <c r="L213" s="29" t="s">
        <v>146</v>
      </c>
    </row>
    <row r="214" customFormat="false" ht="15" hidden="false" customHeight="false" outlineLevel="0" collapsed="false">
      <c r="A214" s="29" t="s">
        <v>167</v>
      </c>
      <c r="B214" s="29" t="s">
        <v>168</v>
      </c>
      <c r="C214" s="29" t="s">
        <v>62</v>
      </c>
      <c r="D214" s="29" t="s">
        <v>44</v>
      </c>
      <c r="E214" s="29" t="s">
        <v>135</v>
      </c>
      <c r="F214" s="29" t="s">
        <v>133</v>
      </c>
      <c r="G214" s="30" t="n">
        <v>2645.22</v>
      </c>
      <c r="H214" s="31" t="n">
        <v>47.71</v>
      </c>
      <c r="I214" s="31" t="n">
        <v>12.54</v>
      </c>
      <c r="J214" s="31" t="n">
        <v>3.68</v>
      </c>
      <c r="K214" s="31" t="n">
        <v>0.65</v>
      </c>
      <c r="L214" s="29" t="s">
        <v>147</v>
      </c>
    </row>
    <row r="215" customFormat="false" ht="15" hidden="false" customHeight="false" outlineLevel="0" collapsed="false">
      <c r="A215" s="29" t="s">
        <v>167</v>
      </c>
      <c r="B215" s="29" t="s">
        <v>168</v>
      </c>
      <c r="C215" s="29" t="s">
        <v>62</v>
      </c>
      <c r="D215" s="29" t="s">
        <v>44</v>
      </c>
      <c r="E215" s="29" t="s">
        <v>135</v>
      </c>
      <c r="F215" s="29" t="s">
        <v>133</v>
      </c>
      <c r="G215" s="30" t="n">
        <v>401.84</v>
      </c>
      <c r="H215" s="31" t="n">
        <v>47.11</v>
      </c>
      <c r="I215" s="31" t="n">
        <v>12.28</v>
      </c>
      <c r="J215" s="31" t="n">
        <v>3.82</v>
      </c>
      <c r="K215" s="31" t="n">
        <v>0.78</v>
      </c>
      <c r="L215" s="29" t="s">
        <v>146</v>
      </c>
    </row>
    <row r="216" customFormat="false" ht="15" hidden="false" customHeight="false" outlineLevel="0" collapsed="false">
      <c r="A216" s="29" t="s">
        <v>168</v>
      </c>
      <c r="B216" s="29" t="s">
        <v>169</v>
      </c>
      <c r="C216" s="29" t="s">
        <v>62</v>
      </c>
      <c r="D216" s="29" t="s">
        <v>41</v>
      </c>
      <c r="E216" s="29" t="s">
        <v>132</v>
      </c>
      <c r="F216" s="29" t="s">
        <v>133</v>
      </c>
      <c r="G216" s="30" t="n">
        <v>423.45</v>
      </c>
      <c r="H216" s="31" t="n">
        <v>46.63</v>
      </c>
      <c r="I216" s="31" t="n">
        <v>13.14</v>
      </c>
      <c r="J216" s="31" t="n">
        <v>4.08</v>
      </c>
      <c r="K216" s="31" t="n">
        <v>1.77</v>
      </c>
      <c r="L216" s="29" t="s">
        <v>161</v>
      </c>
    </row>
    <row r="217" customFormat="false" ht="15" hidden="false" customHeight="false" outlineLevel="0" collapsed="false">
      <c r="A217" s="29" t="s">
        <v>168</v>
      </c>
      <c r="B217" s="29" t="s">
        <v>169</v>
      </c>
      <c r="C217" s="29" t="s">
        <v>62</v>
      </c>
      <c r="D217" s="29" t="s">
        <v>41</v>
      </c>
      <c r="E217" s="29" t="s">
        <v>132</v>
      </c>
      <c r="F217" s="29" t="s">
        <v>133</v>
      </c>
      <c r="G217" s="30" t="n">
        <v>420.72</v>
      </c>
      <c r="H217" s="31" t="n">
        <v>48.24</v>
      </c>
      <c r="I217" s="31" t="n">
        <v>12.62</v>
      </c>
      <c r="J217" s="31" t="n">
        <v>3.27</v>
      </c>
      <c r="K217" s="31" t="n">
        <v>1.11</v>
      </c>
      <c r="L217" s="29" t="s">
        <v>134</v>
      </c>
    </row>
    <row r="218" customFormat="false" ht="15" hidden="false" customHeight="false" outlineLevel="0" collapsed="false">
      <c r="A218" s="29" t="s">
        <v>168</v>
      </c>
      <c r="B218" s="29" t="s">
        <v>169</v>
      </c>
      <c r="C218" s="29" t="s">
        <v>62</v>
      </c>
      <c r="D218" s="29" t="s">
        <v>41</v>
      </c>
      <c r="E218" s="29" t="s">
        <v>135</v>
      </c>
      <c r="F218" s="29" t="s">
        <v>133</v>
      </c>
      <c r="G218" s="30" t="n">
        <v>47.51</v>
      </c>
      <c r="H218" s="31" t="n">
        <v>47.51</v>
      </c>
      <c r="I218" s="31" t="n">
        <v>12.67</v>
      </c>
      <c r="J218" s="31" t="n">
        <v>3.63</v>
      </c>
      <c r="K218" s="31" t="n">
        <v>1.3</v>
      </c>
      <c r="L218" s="29" t="s">
        <v>134</v>
      </c>
    </row>
    <row r="219" customFormat="false" ht="15" hidden="false" customHeight="false" outlineLevel="0" collapsed="false">
      <c r="A219" s="29" t="s">
        <v>168</v>
      </c>
      <c r="B219" s="29" t="s">
        <v>169</v>
      </c>
      <c r="C219" s="29" t="s">
        <v>62</v>
      </c>
      <c r="D219" s="29" t="s">
        <v>40</v>
      </c>
      <c r="E219" s="29" t="s">
        <v>132</v>
      </c>
      <c r="F219" s="29" t="s">
        <v>133</v>
      </c>
      <c r="G219" s="30" t="n">
        <v>12960.24</v>
      </c>
      <c r="H219" s="31" t="n">
        <v>48.15</v>
      </c>
      <c r="I219" s="31" t="n">
        <v>11.88</v>
      </c>
      <c r="J219" s="31" t="n">
        <v>3.48</v>
      </c>
      <c r="K219" s="31" t="n">
        <v>1.12</v>
      </c>
      <c r="L219" s="29" t="s">
        <v>136</v>
      </c>
    </row>
    <row r="220" customFormat="false" ht="15" hidden="false" customHeight="false" outlineLevel="0" collapsed="false">
      <c r="A220" s="29" t="s">
        <v>168</v>
      </c>
      <c r="B220" s="29" t="s">
        <v>169</v>
      </c>
      <c r="C220" s="29" t="s">
        <v>62</v>
      </c>
      <c r="D220" s="29" t="s">
        <v>40</v>
      </c>
      <c r="E220" s="29" t="s">
        <v>132</v>
      </c>
      <c r="F220" s="29" t="s">
        <v>133</v>
      </c>
      <c r="G220" s="30" t="n">
        <v>2046.53</v>
      </c>
      <c r="H220" s="31" t="n">
        <v>47.88</v>
      </c>
      <c r="I220" s="31" t="n">
        <v>12.76</v>
      </c>
      <c r="J220" s="31" t="n">
        <v>3.6</v>
      </c>
      <c r="K220" s="31" t="n">
        <v>0.94</v>
      </c>
      <c r="L220" s="29" t="s">
        <v>137</v>
      </c>
    </row>
    <row r="221" customFormat="false" ht="15" hidden="false" customHeight="false" outlineLevel="0" collapsed="false">
      <c r="A221" s="29" t="s">
        <v>168</v>
      </c>
      <c r="B221" s="29" t="s">
        <v>169</v>
      </c>
      <c r="C221" s="29" t="s">
        <v>62</v>
      </c>
      <c r="D221" s="29" t="s">
        <v>42</v>
      </c>
      <c r="E221" s="29" t="s">
        <v>132</v>
      </c>
      <c r="F221" s="29" t="s">
        <v>133</v>
      </c>
      <c r="G221" s="30" t="n">
        <v>1866.91</v>
      </c>
      <c r="H221" s="31" t="n">
        <v>47.35</v>
      </c>
      <c r="I221" s="31" t="n">
        <v>12.91</v>
      </c>
      <c r="J221" s="31" t="n">
        <v>3.83</v>
      </c>
      <c r="K221" s="31" t="n">
        <v>1.54</v>
      </c>
      <c r="L221" s="29" t="s">
        <v>138</v>
      </c>
    </row>
    <row r="222" customFormat="false" ht="15" hidden="false" customHeight="false" outlineLevel="0" collapsed="false">
      <c r="A222" s="29" t="s">
        <v>168</v>
      </c>
      <c r="B222" s="29" t="s">
        <v>169</v>
      </c>
      <c r="C222" s="29" t="s">
        <v>62</v>
      </c>
      <c r="D222" s="29" t="s">
        <v>42</v>
      </c>
      <c r="E222" s="29" t="s">
        <v>132</v>
      </c>
      <c r="F222" s="29" t="s">
        <v>133</v>
      </c>
      <c r="G222" s="30" t="n">
        <v>1514.17</v>
      </c>
      <c r="H222" s="31" t="n">
        <v>47.15</v>
      </c>
      <c r="I222" s="31" t="n">
        <v>12.55</v>
      </c>
      <c r="J222" s="31" t="n">
        <v>3.93</v>
      </c>
      <c r="K222" s="31" t="n">
        <v>1.54</v>
      </c>
      <c r="L222" s="29" t="s">
        <v>139</v>
      </c>
    </row>
    <row r="223" customFormat="false" ht="15" hidden="false" customHeight="false" outlineLevel="0" collapsed="false">
      <c r="A223" s="29" t="s">
        <v>168</v>
      </c>
      <c r="B223" s="29" t="s">
        <v>169</v>
      </c>
      <c r="C223" s="29" t="s">
        <v>62</v>
      </c>
      <c r="D223" s="29" t="s">
        <v>42</v>
      </c>
      <c r="E223" s="29" t="s">
        <v>135</v>
      </c>
      <c r="F223" s="29" t="s">
        <v>133</v>
      </c>
      <c r="G223" s="30" t="n">
        <v>3740.52</v>
      </c>
      <c r="H223" s="31" t="n">
        <v>47.37</v>
      </c>
      <c r="I223" s="31" t="n">
        <v>12.63</v>
      </c>
      <c r="J223" s="31" t="n">
        <v>3.79</v>
      </c>
      <c r="K223" s="31" t="n">
        <v>1.74</v>
      </c>
      <c r="L223" s="29" t="s">
        <v>138</v>
      </c>
    </row>
    <row r="224" customFormat="false" ht="15" hidden="false" customHeight="false" outlineLevel="0" collapsed="false">
      <c r="A224" s="29" t="s">
        <v>168</v>
      </c>
      <c r="B224" s="29" t="s">
        <v>169</v>
      </c>
      <c r="C224" s="29" t="s">
        <v>62</v>
      </c>
      <c r="D224" s="29" t="s">
        <v>43</v>
      </c>
      <c r="E224" s="29" t="s">
        <v>132</v>
      </c>
      <c r="F224" s="29" t="s">
        <v>133</v>
      </c>
      <c r="G224" s="30" t="n">
        <v>987.69</v>
      </c>
      <c r="H224" s="31" t="n">
        <v>47.22</v>
      </c>
      <c r="I224" s="31" t="n">
        <v>12.75</v>
      </c>
      <c r="J224" s="31" t="n">
        <v>3.85</v>
      </c>
      <c r="K224" s="31" t="n">
        <v>1.44</v>
      </c>
      <c r="L224" s="29" t="s">
        <v>142</v>
      </c>
    </row>
    <row r="225" customFormat="false" ht="15" hidden="false" customHeight="false" outlineLevel="0" collapsed="false">
      <c r="A225" s="29" t="s">
        <v>168</v>
      </c>
      <c r="B225" s="29" t="s">
        <v>169</v>
      </c>
      <c r="C225" s="29" t="s">
        <v>62</v>
      </c>
      <c r="D225" s="29" t="s">
        <v>43</v>
      </c>
      <c r="E225" s="29" t="s">
        <v>135</v>
      </c>
      <c r="F225" s="29" t="s">
        <v>133</v>
      </c>
      <c r="G225" s="30" t="n">
        <v>21825.68</v>
      </c>
      <c r="H225" s="31" t="n">
        <v>47.93</v>
      </c>
      <c r="I225" s="31" t="n">
        <v>12.78</v>
      </c>
      <c r="J225" s="31" t="n">
        <v>3.45</v>
      </c>
      <c r="K225" s="31" t="n">
        <v>1.61</v>
      </c>
      <c r="L225" s="29" t="s">
        <v>142</v>
      </c>
    </row>
    <row r="226" customFormat="false" ht="15" hidden="false" customHeight="false" outlineLevel="0" collapsed="false">
      <c r="A226" s="29" t="s">
        <v>168</v>
      </c>
      <c r="B226" s="29" t="s">
        <v>169</v>
      </c>
      <c r="C226" s="29" t="s">
        <v>62</v>
      </c>
      <c r="D226" s="29" t="s">
        <v>39</v>
      </c>
      <c r="E226" s="29" t="s">
        <v>135</v>
      </c>
      <c r="F226" s="29" t="s">
        <v>133</v>
      </c>
      <c r="G226" s="30" t="n">
        <v>17452.49</v>
      </c>
      <c r="H226" s="31" t="n">
        <v>47.77</v>
      </c>
      <c r="I226" s="31" t="n">
        <v>12.57</v>
      </c>
      <c r="J226" s="31" t="n">
        <v>3.5</v>
      </c>
      <c r="K226" s="31" t="n">
        <v>1.84</v>
      </c>
      <c r="L226" s="29" t="s">
        <v>165</v>
      </c>
    </row>
    <row r="227" customFormat="false" ht="15" hidden="false" customHeight="false" outlineLevel="0" collapsed="false">
      <c r="A227" s="29" t="s">
        <v>168</v>
      </c>
      <c r="B227" s="29" t="s">
        <v>169</v>
      </c>
      <c r="C227" s="29" t="s">
        <v>62</v>
      </c>
      <c r="D227" s="29" t="s">
        <v>44</v>
      </c>
      <c r="E227" s="29" t="s">
        <v>132</v>
      </c>
      <c r="F227" s="29" t="s">
        <v>133</v>
      </c>
      <c r="G227" s="30" t="n">
        <v>4878.75</v>
      </c>
      <c r="H227" s="31" t="n">
        <v>47.48</v>
      </c>
      <c r="I227" s="31" t="n">
        <v>12.67</v>
      </c>
      <c r="J227" s="31" t="n">
        <v>3.82</v>
      </c>
      <c r="K227" s="31" t="n">
        <v>1.92</v>
      </c>
      <c r="L227" s="29" t="s">
        <v>147</v>
      </c>
    </row>
    <row r="228" customFormat="false" ht="15" hidden="false" customHeight="false" outlineLevel="0" collapsed="false">
      <c r="A228" s="29" t="s">
        <v>168</v>
      </c>
      <c r="B228" s="29" t="s">
        <v>169</v>
      </c>
      <c r="C228" s="29" t="s">
        <v>62</v>
      </c>
      <c r="D228" s="29" t="s">
        <v>44</v>
      </c>
      <c r="E228" s="29" t="s">
        <v>135</v>
      </c>
      <c r="F228" s="29" t="s">
        <v>133</v>
      </c>
      <c r="G228" s="30" t="n">
        <v>14942.9</v>
      </c>
      <c r="H228" s="31" t="n">
        <v>47.48</v>
      </c>
      <c r="I228" s="31" t="n">
        <v>12.46</v>
      </c>
      <c r="J228" s="31" t="n">
        <v>3.82</v>
      </c>
      <c r="K228" s="31" t="n">
        <v>1.77</v>
      </c>
      <c r="L228" s="29" t="s">
        <v>147</v>
      </c>
    </row>
    <row r="229" customFormat="false" ht="15" hidden="false" customHeight="false" outlineLevel="0" collapsed="false">
      <c r="A229" s="29" t="s">
        <v>168</v>
      </c>
      <c r="B229" s="29" t="s">
        <v>169</v>
      </c>
      <c r="C229" s="29" t="s">
        <v>62</v>
      </c>
      <c r="D229" s="29" t="s">
        <v>44</v>
      </c>
      <c r="E229" s="29" t="s">
        <v>135</v>
      </c>
      <c r="F229" s="29" t="s">
        <v>133</v>
      </c>
      <c r="G229" s="30" t="n">
        <v>1390.08</v>
      </c>
      <c r="H229" s="31" t="n">
        <v>47.44</v>
      </c>
      <c r="I229" s="31" t="n">
        <v>12.58</v>
      </c>
      <c r="J229" s="31" t="n">
        <v>3.88</v>
      </c>
      <c r="K229" s="31" t="n">
        <v>1.85</v>
      </c>
      <c r="L229" s="29" t="s">
        <v>146</v>
      </c>
    </row>
    <row r="230" customFormat="false" ht="15" hidden="false" customHeight="false" outlineLevel="0" collapsed="false">
      <c r="A230" s="29" t="s">
        <v>169</v>
      </c>
      <c r="B230" s="29" t="s">
        <v>170</v>
      </c>
      <c r="C230" s="29" t="s">
        <v>62</v>
      </c>
      <c r="D230" s="29" t="s">
        <v>41</v>
      </c>
      <c r="E230" s="29" t="s">
        <v>132</v>
      </c>
      <c r="F230" s="29" t="s">
        <v>133</v>
      </c>
      <c r="G230" s="30" t="n">
        <v>798.43</v>
      </c>
      <c r="H230" s="31" t="n">
        <v>47.21</v>
      </c>
      <c r="I230" s="31" t="n">
        <v>12.79</v>
      </c>
      <c r="J230" s="31" t="n">
        <v>3.8</v>
      </c>
      <c r="K230" s="31" t="n">
        <v>1.86</v>
      </c>
      <c r="L230" s="29" t="s">
        <v>161</v>
      </c>
    </row>
    <row r="231" customFormat="false" ht="15" hidden="false" customHeight="false" outlineLevel="0" collapsed="false">
      <c r="A231" s="29" t="s">
        <v>169</v>
      </c>
      <c r="B231" s="29" t="s">
        <v>170</v>
      </c>
      <c r="C231" s="29" t="s">
        <v>62</v>
      </c>
      <c r="D231" s="29" t="s">
        <v>41</v>
      </c>
      <c r="E231" s="29" t="s">
        <v>135</v>
      </c>
      <c r="F231" s="29" t="s">
        <v>133</v>
      </c>
      <c r="G231" s="30" t="n">
        <v>5055.19</v>
      </c>
      <c r="H231" s="31" t="n">
        <v>48.16</v>
      </c>
      <c r="I231" s="31" t="n">
        <v>12.54</v>
      </c>
      <c r="J231" s="31" t="n">
        <v>3.38</v>
      </c>
      <c r="K231" s="31" t="n">
        <v>0.76</v>
      </c>
      <c r="L231" s="29" t="s">
        <v>134</v>
      </c>
    </row>
    <row r="232" customFormat="false" ht="15" hidden="false" customHeight="false" outlineLevel="0" collapsed="false">
      <c r="A232" s="29" t="s">
        <v>169</v>
      </c>
      <c r="B232" s="29" t="s">
        <v>170</v>
      </c>
      <c r="C232" s="29" t="s">
        <v>62</v>
      </c>
      <c r="D232" s="29" t="s">
        <v>40</v>
      </c>
      <c r="E232" s="29" t="s">
        <v>132</v>
      </c>
      <c r="F232" s="29" t="s">
        <v>133</v>
      </c>
      <c r="G232" s="30" t="n">
        <v>11625.19</v>
      </c>
      <c r="H232" s="31" t="n">
        <v>47.95</v>
      </c>
      <c r="I232" s="31" t="n">
        <v>11.58</v>
      </c>
      <c r="J232" s="31" t="n">
        <v>3.48</v>
      </c>
      <c r="K232" s="31" t="n">
        <v>1.27</v>
      </c>
      <c r="L232" s="29" t="s">
        <v>136</v>
      </c>
    </row>
    <row r="233" customFormat="false" ht="15" hidden="false" customHeight="false" outlineLevel="0" collapsed="false">
      <c r="A233" s="29" t="s">
        <v>169</v>
      </c>
      <c r="B233" s="29" t="s">
        <v>170</v>
      </c>
      <c r="C233" s="29" t="s">
        <v>62</v>
      </c>
      <c r="D233" s="29" t="s">
        <v>40</v>
      </c>
      <c r="E233" s="29" t="s">
        <v>132</v>
      </c>
      <c r="F233" s="29" t="s">
        <v>133</v>
      </c>
      <c r="G233" s="30" t="n">
        <v>2165.61</v>
      </c>
      <c r="H233" s="31" t="n">
        <v>48.32</v>
      </c>
      <c r="I233" s="31" t="n">
        <v>11.53</v>
      </c>
      <c r="J233" s="31" t="n">
        <v>3.17</v>
      </c>
      <c r="K233" s="31" t="n">
        <v>0.9</v>
      </c>
      <c r="L233" s="29" t="s">
        <v>137</v>
      </c>
    </row>
    <row r="234" customFormat="false" ht="15" hidden="false" customHeight="false" outlineLevel="0" collapsed="false">
      <c r="A234" s="29" t="s">
        <v>169</v>
      </c>
      <c r="B234" s="29" t="s">
        <v>170</v>
      </c>
      <c r="C234" s="29" t="s">
        <v>62</v>
      </c>
      <c r="D234" s="29" t="s">
        <v>42</v>
      </c>
      <c r="E234" s="29" t="s">
        <v>132</v>
      </c>
      <c r="F234" s="29" t="s">
        <v>133</v>
      </c>
      <c r="G234" s="30" t="n">
        <v>3321.85</v>
      </c>
      <c r="H234" s="31" t="n">
        <v>47.91</v>
      </c>
      <c r="I234" s="31" t="n">
        <v>12.09</v>
      </c>
      <c r="J234" s="31" t="n">
        <v>3.45</v>
      </c>
      <c r="K234" s="31" t="n">
        <v>1.57</v>
      </c>
      <c r="L234" s="29" t="s">
        <v>138</v>
      </c>
    </row>
    <row r="235" customFormat="false" ht="15" hidden="false" customHeight="false" outlineLevel="0" collapsed="false">
      <c r="A235" s="29" t="s">
        <v>169</v>
      </c>
      <c r="B235" s="29" t="s">
        <v>170</v>
      </c>
      <c r="C235" s="29" t="s">
        <v>62</v>
      </c>
      <c r="D235" s="29" t="s">
        <v>42</v>
      </c>
      <c r="E235" s="29" t="s">
        <v>132</v>
      </c>
      <c r="F235" s="29" t="s">
        <v>133</v>
      </c>
      <c r="G235" s="30" t="n">
        <v>5124.9</v>
      </c>
      <c r="H235" s="31" t="n">
        <v>47.06</v>
      </c>
      <c r="I235" s="31" t="n">
        <v>12.72</v>
      </c>
      <c r="J235" s="31" t="n">
        <v>3.78</v>
      </c>
      <c r="K235" s="31" t="n">
        <v>1.29</v>
      </c>
      <c r="L235" s="29" t="s">
        <v>139</v>
      </c>
    </row>
    <row r="236" customFormat="false" ht="15" hidden="false" customHeight="false" outlineLevel="0" collapsed="false">
      <c r="A236" s="29" t="s">
        <v>169</v>
      </c>
      <c r="B236" s="29" t="s">
        <v>170</v>
      </c>
      <c r="C236" s="29" t="s">
        <v>62</v>
      </c>
      <c r="D236" s="29" t="s">
        <v>42</v>
      </c>
      <c r="E236" s="29" t="s">
        <v>135</v>
      </c>
      <c r="F236" s="29" t="s">
        <v>133</v>
      </c>
      <c r="G236" s="30" t="n">
        <v>8912.13</v>
      </c>
      <c r="H236" s="31" t="n">
        <v>47.51</v>
      </c>
      <c r="I236" s="31" t="n">
        <v>12.28</v>
      </c>
      <c r="J236" s="31" t="n">
        <v>3.52</v>
      </c>
      <c r="K236" s="31" t="n">
        <v>1.58</v>
      </c>
      <c r="L236" s="29" t="s">
        <v>138</v>
      </c>
    </row>
    <row r="237" customFormat="false" ht="15" hidden="false" customHeight="false" outlineLevel="0" collapsed="false">
      <c r="A237" s="29" t="s">
        <v>169</v>
      </c>
      <c r="B237" s="29" t="s">
        <v>170</v>
      </c>
      <c r="C237" s="29" t="s">
        <v>62</v>
      </c>
      <c r="D237" s="29" t="s">
        <v>43</v>
      </c>
      <c r="E237" s="29" t="s">
        <v>132</v>
      </c>
      <c r="F237" s="29" t="s">
        <v>133</v>
      </c>
      <c r="G237" s="30" t="n">
        <v>3762.89</v>
      </c>
      <c r="H237" s="31" t="n">
        <v>47.66</v>
      </c>
      <c r="I237" s="31" t="n">
        <v>12.93</v>
      </c>
      <c r="J237" s="31" t="n">
        <v>3.55</v>
      </c>
      <c r="K237" s="31" t="n">
        <v>1.08</v>
      </c>
      <c r="L237" s="29" t="s">
        <v>142</v>
      </c>
    </row>
    <row r="238" customFormat="false" ht="15" hidden="false" customHeight="false" outlineLevel="0" collapsed="false">
      <c r="A238" s="29" t="s">
        <v>169</v>
      </c>
      <c r="B238" s="29" t="s">
        <v>170</v>
      </c>
      <c r="C238" s="29" t="s">
        <v>62</v>
      </c>
      <c r="D238" s="29" t="s">
        <v>43</v>
      </c>
      <c r="E238" s="29" t="s">
        <v>135</v>
      </c>
      <c r="F238" s="29" t="s">
        <v>133</v>
      </c>
      <c r="G238" s="30" t="n">
        <v>16064.62</v>
      </c>
      <c r="H238" s="31" t="n">
        <v>47.67</v>
      </c>
      <c r="I238" s="31" t="n">
        <v>12.21</v>
      </c>
      <c r="J238" s="31" t="n">
        <v>3.52</v>
      </c>
      <c r="K238" s="31" t="n">
        <v>1.94</v>
      </c>
      <c r="L238" s="29" t="s">
        <v>142</v>
      </c>
    </row>
    <row r="239" customFormat="false" ht="15" hidden="false" customHeight="false" outlineLevel="0" collapsed="false">
      <c r="A239" s="29" t="s">
        <v>169</v>
      </c>
      <c r="B239" s="29" t="s">
        <v>170</v>
      </c>
      <c r="C239" s="29" t="s">
        <v>62</v>
      </c>
      <c r="D239" s="29" t="s">
        <v>39</v>
      </c>
      <c r="E239" s="29" t="s">
        <v>135</v>
      </c>
      <c r="F239" s="29" t="s">
        <v>133</v>
      </c>
      <c r="G239" s="30" t="n">
        <v>13862.98</v>
      </c>
      <c r="H239" s="31" t="n">
        <v>47.43</v>
      </c>
      <c r="I239" s="31" t="n">
        <v>12.27</v>
      </c>
      <c r="J239" s="31" t="n">
        <v>3.75</v>
      </c>
      <c r="K239" s="31" t="n">
        <v>1.71</v>
      </c>
      <c r="L239" s="29" t="s">
        <v>165</v>
      </c>
    </row>
    <row r="240" customFormat="false" ht="15" hidden="false" customHeight="false" outlineLevel="0" collapsed="false">
      <c r="A240" s="29" t="s">
        <v>169</v>
      </c>
      <c r="B240" s="29" t="s">
        <v>170</v>
      </c>
      <c r="C240" s="29" t="s">
        <v>62</v>
      </c>
      <c r="D240" s="29" t="s">
        <v>44</v>
      </c>
      <c r="E240" s="29" t="s">
        <v>132</v>
      </c>
      <c r="F240" s="29" t="s">
        <v>133</v>
      </c>
      <c r="G240" s="30" t="n">
        <v>2363.9</v>
      </c>
      <c r="H240" s="31" t="n">
        <v>47.32</v>
      </c>
      <c r="I240" s="31" t="n">
        <v>12.5</v>
      </c>
      <c r="J240" s="31" t="n">
        <v>3.85</v>
      </c>
      <c r="K240" s="31" t="n">
        <v>1.71</v>
      </c>
      <c r="L240" s="29" t="s">
        <v>147</v>
      </c>
    </row>
    <row r="241" customFormat="false" ht="15" hidden="false" customHeight="false" outlineLevel="0" collapsed="false">
      <c r="A241" s="29" t="s">
        <v>169</v>
      </c>
      <c r="B241" s="29" t="s">
        <v>170</v>
      </c>
      <c r="C241" s="29" t="s">
        <v>62</v>
      </c>
      <c r="D241" s="29" t="s">
        <v>44</v>
      </c>
      <c r="E241" s="29" t="s">
        <v>135</v>
      </c>
      <c r="F241" s="29" t="s">
        <v>133</v>
      </c>
      <c r="G241" s="30" t="n">
        <v>12931.16</v>
      </c>
      <c r="H241" s="31" t="n">
        <v>47.5</v>
      </c>
      <c r="I241" s="31" t="n">
        <v>12.21</v>
      </c>
      <c r="J241" s="31" t="n">
        <v>3.7</v>
      </c>
      <c r="K241" s="31" t="n">
        <v>1.87</v>
      </c>
      <c r="L241" s="29" t="s">
        <v>147</v>
      </c>
    </row>
    <row r="242" customFormat="false" ht="15" hidden="false" customHeight="false" outlineLevel="0" collapsed="false">
      <c r="A242" s="29" t="s">
        <v>169</v>
      </c>
      <c r="B242" s="29" t="s">
        <v>170</v>
      </c>
      <c r="C242" s="29" t="s">
        <v>62</v>
      </c>
      <c r="D242" s="29" t="s">
        <v>44</v>
      </c>
      <c r="E242" s="29" t="s">
        <v>135</v>
      </c>
      <c r="F242" s="29" t="s">
        <v>133</v>
      </c>
      <c r="G242" s="30" t="n">
        <v>1697.24</v>
      </c>
      <c r="H242" s="31" t="n">
        <v>47.28</v>
      </c>
      <c r="I242" s="31" t="n">
        <v>12.06</v>
      </c>
      <c r="J242" s="31" t="n">
        <v>3.86</v>
      </c>
      <c r="K242" s="31" t="n">
        <v>1.72</v>
      </c>
      <c r="L242" s="29" t="s">
        <v>146</v>
      </c>
    </row>
    <row r="243" customFormat="false" ht="15" hidden="false" customHeight="false" outlineLevel="0" collapsed="false">
      <c r="A243" s="29" t="s">
        <v>170</v>
      </c>
      <c r="B243" s="29" t="s">
        <v>171</v>
      </c>
      <c r="C243" s="29" t="s">
        <v>63</v>
      </c>
      <c r="D243" s="29" t="s">
        <v>41</v>
      </c>
      <c r="E243" s="29" t="s">
        <v>132</v>
      </c>
      <c r="F243" s="29" t="s">
        <v>133</v>
      </c>
      <c r="G243" s="30" t="n">
        <v>46.69</v>
      </c>
      <c r="H243" s="31" t="n">
        <v>48.04</v>
      </c>
      <c r="I243" s="31" t="n">
        <v>12.32</v>
      </c>
      <c r="J243" s="31" t="n">
        <v>3.45</v>
      </c>
      <c r="K243" s="31" t="n">
        <v>1.53</v>
      </c>
      <c r="L243" s="29" t="s">
        <v>149</v>
      </c>
    </row>
    <row r="244" customFormat="false" ht="15" hidden="false" customHeight="false" outlineLevel="0" collapsed="false">
      <c r="A244" s="29" t="s">
        <v>170</v>
      </c>
      <c r="B244" s="29" t="s">
        <v>171</v>
      </c>
      <c r="C244" s="29" t="s">
        <v>63</v>
      </c>
      <c r="D244" s="29" t="s">
        <v>41</v>
      </c>
      <c r="E244" s="29" t="s">
        <v>132</v>
      </c>
      <c r="F244" s="29" t="s">
        <v>133</v>
      </c>
      <c r="G244" s="30" t="n">
        <v>675.22</v>
      </c>
      <c r="H244" s="31" t="n">
        <v>47.58</v>
      </c>
      <c r="I244" s="31" t="n">
        <v>13.03</v>
      </c>
      <c r="J244" s="31" t="n">
        <v>3.75</v>
      </c>
      <c r="K244" s="31" t="n">
        <v>1.24</v>
      </c>
      <c r="L244" s="29" t="s">
        <v>161</v>
      </c>
    </row>
    <row r="245" customFormat="false" ht="15" hidden="false" customHeight="false" outlineLevel="0" collapsed="false">
      <c r="A245" s="29" t="s">
        <v>170</v>
      </c>
      <c r="B245" s="29" t="s">
        <v>171</v>
      </c>
      <c r="C245" s="29" t="s">
        <v>63</v>
      </c>
      <c r="D245" s="29" t="s">
        <v>41</v>
      </c>
      <c r="E245" s="29" t="s">
        <v>135</v>
      </c>
      <c r="F245" s="29" t="s">
        <v>133</v>
      </c>
      <c r="G245" s="30" t="n">
        <v>5203.85</v>
      </c>
      <c r="H245" s="31" t="n">
        <v>47.75</v>
      </c>
      <c r="I245" s="31" t="n">
        <v>13.18</v>
      </c>
      <c r="J245" s="31" t="n">
        <v>3.64</v>
      </c>
      <c r="K245" s="31" t="n">
        <v>1</v>
      </c>
      <c r="L245" s="29" t="s">
        <v>134</v>
      </c>
    </row>
    <row r="246" customFormat="false" ht="15" hidden="false" customHeight="false" outlineLevel="0" collapsed="false">
      <c r="A246" s="29" t="s">
        <v>170</v>
      </c>
      <c r="B246" s="29" t="s">
        <v>171</v>
      </c>
      <c r="C246" s="29" t="s">
        <v>63</v>
      </c>
      <c r="D246" s="29" t="s">
        <v>40</v>
      </c>
      <c r="E246" s="29" t="s">
        <v>132</v>
      </c>
      <c r="F246" s="29" t="s">
        <v>133</v>
      </c>
      <c r="G246" s="30" t="n">
        <v>6941.07</v>
      </c>
      <c r="H246" s="31" t="n">
        <v>48.1</v>
      </c>
      <c r="I246" s="31" t="n">
        <v>11.68</v>
      </c>
      <c r="J246" s="31" t="n">
        <v>3.4</v>
      </c>
      <c r="K246" s="31" t="n">
        <v>1.18</v>
      </c>
      <c r="L246" s="29" t="s">
        <v>136</v>
      </c>
    </row>
    <row r="247" customFormat="false" ht="15" hidden="false" customHeight="false" outlineLevel="0" collapsed="false">
      <c r="A247" s="29" t="s">
        <v>170</v>
      </c>
      <c r="B247" s="29" t="s">
        <v>171</v>
      </c>
      <c r="C247" s="29" t="s">
        <v>63</v>
      </c>
      <c r="D247" s="29" t="s">
        <v>40</v>
      </c>
      <c r="E247" s="29" t="s">
        <v>132</v>
      </c>
      <c r="F247" s="29" t="s">
        <v>133</v>
      </c>
      <c r="G247" s="30" t="n">
        <v>1506.36</v>
      </c>
      <c r="H247" s="31" t="n">
        <v>47.43</v>
      </c>
      <c r="I247" s="31" t="n">
        <v>13.15</v>
      </c>
      <c r="J247" s="31" t="n">
        <v>3.74</v>
      </c>
      <c r="K247" s="31" t="n">
        <v>0.83</v>
      </c>
      <c r="L247" s="29" t="s">
        <v>137</v>
      </c>
    </row>
    <row r="248" customFormat="false" ht="15" hidden="false" customHeight="false" outlineLevel="0" collapsed="false">
      <c r="A248" s="29" t="s">
        <v>170</v>
      </c>
      <c r="B248" s="29" t="s">
        <v>171</v>
      </c>
      <c r="C248" s="29" t="s">
        <v>63</v>
      </c>
      <c r="D248" s="29" t="s">
        <v>42</v>
      </c>
      <c r="E248" s="29" t="s">
        <v>132</v>
      </c>
      <c r="F248" s="29" t="s">
        <v>133</v>
      </c>
      <c r="G248" s="30" t="n">
        <v>5029.46</v>
      </c>
      <c r="H248" s="31" t="n">
        <v>47.62</v>
      </c>
      <c r="I248" s="31" t="n">
        <v>13.09</v>
      </c>
      <c r="J248" s="31" t="n">
        <v>3.63</v>
      </c>
      <c r="K248" s="31" t="n">
        <v>1.56</v>
      </c>
      <c r="L248" s="29" t="s">
        <v>138</v>
      </c>
    </row>
    <row r="249" customFormat="false" ht="15" hidden="false" customHeight="false" outlineLevel="0" collapsed="false">
      <c r="A249" s="29" t="s">
        <v>170</v>
      </c>
      <c r="B249" s="29" t="s">
        <v>171</v>
      </c>
      <c r="C249" s="29" t="s">
        <v>63</v>
      </c>
      <c r="D249" s="29" t="s">
        <v>42</v>
      </c>
      <c r="E249" s="29" t="s">
        <v>132</v>
      </c>
      <c r="F249" s="29" t="s">
        <v>133</v>
      </c>
      <c r="G249" s="30" t="n">
        <v>9763.03</v>
      </c>
      <c r="H249" s="31" t="n">
        <v>47.7</v>
      </c>
      <c r="I249" s="31" t="n">
        <v>12.63</v>
      </c>
      <c r="J249" s="31" t="n">
        <v>3.58</v>
      </c>
      <c r="K249" s="31" t="n">
        <v>1.81</v>
      </c>
      <c r="L249" s="29" t="s">
        <v>139</v>
      </c>
    </row>
    <row r="250" customFormat="false" ht="15" hidden="false" customHeight="false" outlineLevel="0" collapsed="false">
      <c r="A250" s="29" t="s">
        <v>170</v>
      </c>
      <c r="B250" s="29" t="s">
        <v>171</v>
      </c>
      <c r="C250" s="29" t="s">
        <v>63</v>
      </c>
      <c r="D250" s="29" t="s">
        <v>42</v>
      </c>
      <c r="E250" s="29" t="s">
        <v>135</v>
      </c>
      <c r="F250" s="29" t="s">
        <v>133</v>
      </c>
      <c r="G250" s="30" t="n">
        <v>10922.39</v>
      </c>
      <c r="H250" s="31" t="n">
        <v>47.48</v>
      </c>
      <c r="I250" s="31" t="n">
        <v>12.3</v>
      </c>
      <c r="J250" s="31" t="n">
        <v>3.89</v>
      </c>
      <c r="K250" s="31" t="n">
        <v>1.67</v>
      </c>
      <c r="L250" s="29" t="s">
        <v>138</v>
      </c>
    </row>
    <row r="251" customFormat="false" ht="15" hidden="false" customHeight="false" outlineLevel="0" collapsed="false">
      <c r="A251" s="29" t="s">
        <v>170</v>
      </c>
      <c r="B251" s="29" t="s">
        <v>171</v>
      </c>
      <c r="C251" s="29" t="s">
        <v>63</v>
      </c>
      <c r="D251" s="29" t="s">
        <v>43</v>
      </c>
      <c r="E251" s="29" t="s">
        <v>132</v>
      </c>
      <c r="F251" s="29" t="s">
        <v>133</v>
      </c>
      <c r="G251" s="30" t="n">
        <v>5281.97</v>
      </c>
      <c r="H251" s="31" t="n">
        <v>48.03</v>
      </c>
      <c r="I251" s="31" t="n">
        <v>13.16</v>
      </c>
      <c r="J251" s="31" t="n">
        <v>3.42</v>
      </c>
      <c r="K251" s="31" t="n">
        <v>0.57</v>
      </c>
      <c r="L251" s="29" t="s">
        <v>142</v>
      </c>
    </row>
    <row r="252" customFormat="false" ht="15" hidden="false" customHeight="false" outlineLevel="0" collapsed="false">
      <c r="A252" s="29" t="s">
        <v>170</v>
      </c>
      <c r="B252" s="29" t="s">
        <v>171</v>
      </c>
      <c r="C252" s="29" t="s">
        <v>63</v>
      </c>
      <c r="D252" s="29" t="s">
        <v>43</v>
      </c>
      <c r="E252" s="29" t="s">
        <v>135</v>
      </c>
      <c r="F252" s="29" t="s">
        <v>133</v>
      </c>
      <c r="G252" s="30" t="n">
        <v>15413.87</v>
      </c>
      <c r="H252" s="31" t="n">
        <v>47.75</v>
      </c>
      <c r="I252" s="31" t="n">
        <v>12.22</v>
      </c>
      <c r="J252" s="31" t="n">
        <v>3.87</v>
      </c>
      <c r="K252" s="31" t="n">
        <v>1.74</v>
      </c>
      <c r="L252" s="29" t="s">
        <v>142</v>
      </c>
    </row>
    <row r="253" customFormat="false" ht="15" hidden="false" customHeight="false" outlineLevel="0" collapsed="false">
      <c r="A253" s="29" t="s">
        <v>170</v>
      </c>
      <c r="B253" s="29" t="s">
        <v>171</v>
      </c>
      <c r="C253" s="29" t="s">
        <v>63</v>
      </c>
      <c r="D253" s="29" t="s">
        <v>39</v>
      </c>
      <c r="E253" s="29" t="s">
        <v>135</v>
      </c>
      <c r="F253" s="29" t="s">
        <v>133</v>
      </c>
      <c r="G253" s="30" t="n">
        <v>14936.34</v>
      </c>
      <c r="H253" s="31" t="n">
        <v>47.69</v>
      </c>
      <c r="I253" s="31" t="n">
        <v>12.17</v>
      </c>
      <c r="J253" s="31" t="n">
        <v>3.63</v>
      </c>
      <c r="K253" s="31" t="n">
        <v>1.13</v>
      </c>
      <c r="L253" s="29" t="s">
        <v>165</v>
      </c>
    </row>
    <row r="254" customFormat="false" ht="15" hidden="false" customHeight="false" outlineLevel="0" collapsed="false">
      <c r="A254" s="29" t="s">
        <v>170</v>
      </c>
      <c r="B254" s="29" t="s">
        <v>171</v>
      </c>
      <c r="C254" s="29" t="s">
        <v>63</v>
      </c>
      <c r="D254" s="29" t="s">
        <v>44</v>
      </c>
      <c r="E254" s="29" t="s">
        <v>132</v>
      </c>
      <c r="F254" s="29" t="s">
        <v>133</v>
      </c>
      <c r="G254" s="30" t="n">
        <v>139.51</v>
      </c>
      <c r="H254" s="31" t="n">
        <v>46.67</v>
      </c>
      <c r="I254" s="31" t="n">
        <v>13.89</v>
      </c>
      <c r="J254" s="31" t="n">
        <v>3.71</v>
      </c>
      <c r="K254" s="31" t="n">
        <v>1.11</v>
      </c>
      <c r="L254" s="29" t="s">
        <v>147</v>
      </c>
    </row>
    <row r="255" customFormat="false" ht="15" hidden="false" customHeight="false" outlineLevel="0" collapsed="false">
      <c r="A255" s="29" t="s">
        <v>170</v>
      </c>
      <c r="B255" s="29" t="s">
        <v>171</v>
      </c>
      <c r="C255" s="29" t="s">
        <v>63</v>
      </c>
      <c r="D255" s="29" t="s">
        <v>44</v>
      </c>
      <c r="E255" s="29" t="s">
        <v>135</v>
      </c>
      <c r="F255" s="29" t="s">
        <v>133</v>
      </c>
      <c r="G255" s="30" t="n">
        <v>13293.14</v>
      </c>
      <c r="H255" s="31" t="n">
        <v>47.48</v>
      </c>
      <c r="I255" s="31" t="n">
        <v>12.44</v>
      </c>
      <c r="J255" s="31" t="n">
        <v>3.83</v>
      </c>
      <c r="K255" s="31" t="n">
        <v>1.81</v>
      </c>
      <c r="L255" s="29" t="s">
        <v>147</v>
      </c>
    </row>
    <row r="256" customFormat="false" ht="15" hidden="false" customHeight="false" outlineLevel="0" collapsed="false">
      <c r="A256" s="29" t="s">
        <v>170</v>
      </c>
      <c r="B256" s="29" t="s">
        <v>171</v>
      </c>
      <c r="C256" s="29" t="s">
        <v>63</v>
      </c>
      <c r="D256" s="29" t="s">
        <v>44</v>
      </c>
      <c r="E256" s="29" t="s">
        <v>135</v>
      </c>
      <c r="F256" s="29" t="s">
        <v>133</v>
      </c>
      <c r="G256" s="30" t="n">
        <v>1319.96</v>
      </c>
      <c r="H256" s="31" t="n">
        <v>47.54</v>
      </c>
      <c r="I256" s="31" t="n">
        <v>12.27</v>
      </c>
      <c r="J256" s="31" t="n">
        <v>3.84</v>
      </c>
      <c r="K256" s="31" t="n">
        <v>1.88</v>
      </c>
      <c r="L256" s="29" t="s">
        <v>146</v>
      </c>
    </row>
    <row r="257" customFormat="false" ht="15" hidden="false" customHeight="false" outlineLevel="0" collapsed="false">
      <c r="A257" s="29" t="s">
        <v>171</v>
      </c>
      <c r="B257" s="29" t="s">
        <v>172</v>
      </c>
      <c r="C257" s="29" t="s">
        <v>63</v>
      </c>
      <c r="D257" s="29" t="s">
        <v>41</v>
      </c>
      <c r="E257" s="29" t="s">
        <v>132</v>
      </c>
      <c r="F257" s="29" t="s">
        <v>133</v>
      </c>
      <c r="G257" s="30" t="n">
        <v>1277.69</v>
      </c>
      <c r="H257" s="31" t="n">
        <v>46.16</v>
      </c>
      <c r="I257" s="31" t="n">
        <v>13.8</v>
      </c>
      <c r="J257" s="31" t="n">
        <v>4.42</v>
      </c>
      <c r="K257" s="31" t="n">
        <v>2.21</v>
      </c>
      <c r="L257" s="29" t="s">
        <v>149</v>
      </c>
    </row>
    <row r="258" customFormat="false" ht="15" hidden="false" customHeight="false" outlineLevel="0" collapsed="false">
      <c r="A258" s="29" t="s">
        <v>171</v>
      </c>
      <c r="B258" s="29" t="s">
        <v>172</v>
      </c>
      <c r="C258" s="29" t="s">
        <v>63</v>
      </c>
      <c r="D258" s="29" t="s">
        <v>41</v>
      </c>
      <c r="E258" s="29" t="s">
        <v>135</v>
      </c>
      <c r="F258" s="29" t="s">
        <v>133</v>
      </c>
      <c r="G258" s="30" t="n">
        <v>4361.83</v>
      </c>
      <c r="H258" s="31" t="n">
        <v>46.44</v>
      </c>
      <c r="I258" s="31" t="n">
        <v>14.07</v>
      </c>
      <c r="J258" s="31" t="n">
        <v>4.31</v>
      </c>
      <c r="K258" s="31" t="n">
        <v>2.84</v>
      </c>
      <c r="L258" s="29" t="s">
        <v>149</v>
      </c>
    </row>
    <row r="259" customFormat="false" ht="15" hidden="false" customHeight="false" outlineLevel="0" collapsed="false">
      <c r="A259" s="29" t="s">
        <v>171</v>
      </c>
      <c r="B259" s="29" t="s">
        <v>172</v>
      </c>
      <c r="C259" s="29" t="s">
        <v>63</v>
      </c>
      <c r="D259" s="29" t="s">
        <v>40</v>
      </c>
      <c r="E259" s="29" t="s">
        <v>132</v>
      </c>
      <c r="F259" s="29" t="s">
        <v>133</v>
      </c>
      <c r="G259" s="30" t="n">
        <v>10497.52</v>
      </c>
      <c r="H259" s="31" t="n">
        <v>47.65</v>
      </c>
      <c r="I259" s="31" t="n">
        <v>12.39</v>
      </c>
      <c r="J259" s="31" t="n">
        <v>3.84</v>
      </c>
      <c r="K259" s="31" t="n">
        <v>1.28</v>
      </c>
      <c r="L259" s="29" t="s">
        <v>136</v>
      </c>
    </row>
    <row r="260" customFormat="false" ht="15" hidden="false" customHeight="false" outlineLevel="0" collapsed="false">
      <c r="A260" s="29" t="s">
        <v>171</v>
      </c>
      <c r="B260" s="29" t="s">
        <v>172</v>
      </c>
      <c r="C260" s="29" t="s">
        <v>63</v>
      </c>
      <c r="D260" s="29" t="s">
        <v>40</v>
      </c>
      <c r="E260" s="29" t="s">
        <v>132</v>
      </c>
      <c r="F260" s="29" t="s">
        <v>133</v>
      </c>
      <c r="G260" s="30" t="n">
        <v>3007.54</v>
      </c>
      <c r="H260" s="31" t="n">
        <v>47.83</v>
      </c>
      <c r="I260" s="31" t="n">
        <v>12.42</v>
      </c>
      <c r="J260" s="31" t="n">
        <v>3.64</v>
      </c>
      <c r="K260" s="31" t="n">
        <v>0.91</v>
      </c>
      <c r="L260" s="29" t="s">
        <v>137</v>
      </c>
    </row>
    <row r="261" customFormat="false" ht="15" hidden="false" customHeight="false" outlineLevel="0" collapsed="false">
      <c r="A261" s="29" t="s">
        <v>171</v>
      </c>
      <c r="B261" s="29" t="s">
        <v>172</v>
      </c>
      <c r="C261" s="29" t="s">
        <v>63</v>
      </c>
      <c r="D261" s="29" t="s">
        <v>42</v>
      </c>
      <c r="E261" s="29" t="s">
        <v>132</v>
      </c>
      <c r="F261" s="29" t="s">
        <v>133</v>
      </c>
      <c r="G261" s="30" t="n">
        <v>3070.26</v>
      </c>
      <c r="H261" s="31" t="n">
        <v>47.06</v>
      </c>
      <c r="I261" s="31" t="n">
        <v>13.12</v>
      </c>
      <c r="J261" s="31" t="n">
        <v>3.98</v>
      </c>
      <c r="K261" s="31" t="n">
        <v>1.57</v>
      </c>
      <c r="L261" s="29" t="s">
        <v>138</v>
      </c>
    </row>
    <row r="262" customFormat="false" ht="15" hidden="false" customHeight="false" outlineLevel="0" collapsed="false">
      <c r="A262" s="29" t="s">
        <v>171</v>
      </c>
      <c r="B262" s="29" t="s">
        <v>172</v>
      </c>
      <c r="C262" s="29" t="s">
        <v>63</v>
      </c>
      <c r="D262" s="29" t="s">
        <v>42</v>
      </c>
      <c r="E262" s="29" t="s">
        <v>132</v>
      </c>
      <c r="F262" s="29" t="s">
        <v>133</v>
      </c>
      <c r="G262" s="30" t="n">
        <v>8745.68</v>
      </c>
      <c r="H262" s="31" t="n">
        <v>47.17</v>
      </c>
      <c r="I262" s="31" t="n">
        <v>13.16</v>
      </c>
      <c r="J262" s="31" t="n">
        <v>3.83</v>
      </c>
      <c r="K262" s="31" t="n">
        <v>1.61</v>
      </c>
      <c r="L262" s="29" t="s">
        <v>139</v>
      </c>
    </row>
    <row r="263" customFormat="false" ht="15" hidden="false" customHeight="false" outlineLevel="0" collapsed="false">
      <c r="A263" s="29" t="s">
        <v>171</v>
      </c>
      <c r="B263" s="29" t="s">
        <v>172</v>
      </c>
      <c r="C263" s="29" t="s">
        <v>63</v>
      </c>
      <c r="D263" s="29" t="s">
        <v>42</v>
      </c>
      <c r="E263" s="29" t="s">
        <v>135</v>
      </c>
      <c r="F263" s="29" t="s">
        <v>133</v>
      </c>
      <c r="G263" s="30" t="n">
        <v>424.17</v>
      </c>
      <c r="H263" s="31" t="n">
        <v>47.39</v>
      </c>
      <c r="I263" s="31" t="n">
        <v>12.57</v>
      </c>
      <c r="J263" s="31" t="n">
        <v>3.8</v>
      </c>
      <c r="K263" s="31" t="n">
        <v>1.16</v>
      </c>
      <c r="L263" s="29" t="s">
        <v>138</v>
      </c>
    </row>
    <row r="264" customFormat="false" ht="15" hidden="false" customHeight="false" outlineLevel="0" collapsed="false">
      <c r="A264" s="29" t="s">
        <v>171</v>
      </c>
      <c r="B264" s="29" t="s">
        <v>172</v>
      </c>
      <c r="C264" s="29" t="s">
        <v>63</v>
      </c>
      <c r="D264" s="29" t="s">
        <v>43</v>
      </c>
      <c r="E264" s="29" t="s">
        <v>132</v>
      </c>
      <c r="F264" s="29" t="s">
        <v>133</v>
      </c>
      <c r="G264" s="30" t="n">
        <v>5926.72</v>
      </c>
      <c r="H264" s="31" t="n">
        <v>47.41</v>
      </c>
      <c r="I264" s="31" t="n">
        <v>12.66</v>
      </c>
      <c r="J264" s="31" t="n">
        <v>3.88</v>
      </c>
      <c r="K264" s="31" t="n">
        <v>1.24</v>
      </c>
      <c r="L264" s="29" t="s">
        <v>142</v>
      </c>
    </row>
    <row r="265" customFormat="false" ht="15" hidden="false" customHeight="false" outlineLevel="0" collapsed="false">
      <c r="A265" s="29" t="s">
        <v>171</v>
      </c>
      <c r="B265" s="29" t="s">
        <v>172</v>
      </c>
      <c r="C265" s="29" t="s">
        <v>63</v>
      </c>
      <c r="D265" s="29" t="s">
        <v>43</v>
      </c>
      <c r="E265" s="29" t="s">
        <v>135</v>
      </c>
      <c r="F265" s="29" t="s">
        <v>133</v>
      </c>
      <c r="G265" s="30" t="n">
        <v>22066.74</v>
      </c>
      <c r="H265" s="31" t="n">
        <v>47.68</v>
      </c>
      <c r="I265" s="31" t="n">
        <v>12.14</v>
      </c>
      <c r="J265" s="31" t="n">
        <v>3.68</v>
      </c>
      <c r="K265" s="31" t="n">
        <v>1.7</v>
      </c>
      <c r="L265" s="29" t="s">
        <v>142</v>
      </c>
    </row>
    <row r="266" customFormat="false" ht="15" hidden="false" customHeight="false" outlineLevel="0" collapsed="false">
      <c r="A266" s="29" t="s">
        <v>171</v>
      </c>
      <c r="B266" s="29" t="s">
        <v>172</v>
      </c>
      <c r="C266" s="29" t="s">
        <v>63</v>
      </c>
      <c r="D266" s="29" t="s">
        <v>39</v>
      </c>
      <c r="E266" s="29" t="s">
        <v>135</v>
      </c>
      <c r="F266" s="29" t="s">
        <v>133</v>
      </c>
      <c r="G266" s="30" t="n">
        <v>1913.42</v>
      </c>
      <c r="H266" s="31" t="n">
        <v>47.08</v>
      </c>
      <c r="I266" s="31" t="n">
        <v>12.16</v>
      </c>
      <c r="J266" s="31" t="n">
        <v>3.9</v>
      </c>
      <c r="K266" s="31" t="n">
        <v>1.65</v>
      </c>
      <c r="L266" s="29" t="s">
        <v>165</v>
      </c>
    </row>
    <row r="267" customFormat="false" ht="15" hidden="false" customHeight="false" outlineLevel="0" collapsed="false">
      <c r="A267" s="29" t="s">
        <v>171</v>
      </c>
      <c r="B267" s="29" t="s">
        <v>172</v>
      </c>
      <c r="C267" s="29" t="s">
        <v>63</v>
      </c>
      <c r="D267" s="29" t="s">
        <v>45</v>
      </c>
      <c r="E267" s="29" t="s">
        <v>135</v>
      </c>
      <c r="F267" s="29" t="s">
        <v>133</v>
      </c>
      <c r="G267" s="30" t="n">
        <v>2163.62</v>
      </c>
      <c r="H267" s="31" t="n">
        <v>48.07</v>
      </c>
      <c r="I267" s="31" t="n">
        <v>12.13</v>
      </c>
      <c r="J267" s="31" t="n">
        <v>3.51</v>
      </c>
      <c r="K267" s="31" t="n">
        <v>1.64</v>
      </c>
      <c r="L267" s="29" t="s">
        <v>145</v>
      </c>
    </row>
    <row r="268" customFormat="false" ht="15" hidden="false" customHeight="false" outlineLevel="0" collapsed="false">
      <c r="A268" s="29" t="s">
        <v>171</v>
      </c>
      <c r="B268" s="29" t="s">
        <v>172</v>
      </c>
      <c r="C268" s="29" t="s">
        <v>63</v>
      </c>
      <c r="D268" s="29" t="s">
        <v>44</v>
      </c>
      <c r="E268" s="29" t="s">
        <v>135</v>
      </c>
      <c r="F268" s="29" t="s">
        <v>133</v>
      </c>
      <c r="G268" s="30" t="n">
        <v>10222.64</v>
      </c>
      <c r="H268" s="31" t="n">
        <v>47.69</v>
      </c>
      <c r="I268" s="31" t="n">
        <v>12.33</v>
      </c>
      <c r="J268" s="31" t="n">
        <v>3.89</v>
      </c>
      <c r="K268" s="31" t="n">
        <v>1.51</v>
      </c>
      <c r="L268" s="29" t="s">
        <v>147</v>
      </c>
    </row>
    <row r="269" customFormat="false" ht="15" hidden="false" customHeight="false" outlineLevel="0" collapsed="false">
      <c r="A269" s="29" t="s">
        <v>171</v>
      </c>
      <c r="B269" s="29" t="s">
        <v>172</v>
      </c>
      <c r="C269" s="29" t="s">
        <v>63</v>
      </c>
      <c r="D269" s="29" t="s">
        <v>44</v>
      </c>
      <c r="E269" s="29" t="s">
        <v>135</v>
      </c>
      <c r="F269" s="29" t="s">
        <v>133</v>
      </c>
      <c r="G269" s="30" t="n">
        <v>86.94</v>
      </c>
      <c r="H269" s="31" t="n">
        <v>47.43</v>
      </c>
      <c r="I269" s="31" t="n">
        <v>12.21</v>
      </c>
      <c r="J269" s="31" t="n">
        <v>3.83</v>
      </c>
      <c r="K269" s="31" t="n">
        <v>1.42</v>
      </c>
      <c r="L269" s="29" t="s">
        <v>146</v>
      </c>
    </row>
    <row r="270" customFormat="false" ht="15" hidden="false" customHeight="false" outlineLevel="0" collapsed="false">
      <c r="A270" s="29" t="s">
        <v>172</v>
      </c>
      <c r="B270" s="29" t="s">
        <v>173</v>
      </c>
      <c r="C270" s="29" t="s">
        <v>63</v>
      </c>
      <c r="D270" s="29" t="s">
        <v>41</v>
      </c>
      <c r="E270" s="29" t="s">
        <v>135</v>
      </c>
      <c r="F270" s="29" t="s">
        <v>133</v>
      </c>
      <c r="G270" s="30" t="n">
        <v>6487.16</v>
      </c>
      <c r="H270" s="31" t="n">
        <v>47.02</v>
      </c>
      <c r="I270" s="31" t="n">
        <v>14.36</v>
      </c>
      <c r="J270" s="31" t="n">
        <v>3.87</v>
      </c>
      <c r="K270" s="31" t="n">
        <v>1.2</v>
      </c>
      <c r="L270" s="29" t="s">
        <v>149</v>
      </c>
    </row>
    <row r="271" customFormat="false" ht="15" hidden="false" customHeight="false" outlineLevel="0" collapsed="false">
      <c r="A271" s="29" t="s">
        <v>172</v>
      </c>
      <c r="B271" s="29" t="s">
        <v>173</v>
      </c>
      <c r="C271" s="29" t="s">
        <v>63</v>
      </c>
      <c r="D271" s="29" t="s">
        <v>40</v>
      </c>
      <c r="E271" s="29" t="s">
        <v>132</v>
      </c>
      <c r="F271" s="29" t="s">
        <v>133</v>
      </c>
      <c r="G271" s="30" t="n">
        <v>11001</v>
      </c>
      <c r="H271" s="31" t="n">
        <v>47.75</v>
      </c>
      <c r="I271" s="31" t="n">
        <v>12.3</v>
      </c>
      <c r="J271" s="31" t="n">
        <v>3.55</v>
      </c>
      <c r="K271" s="31" t="n">
        <v>1.02</v>
      </c>
      <c r="L271" s="29" t="s">
        <v>136</v>
      </c>
    </row>
    <row r="272" customFormat="false" ht="15" hidden="false" customHeight="false" outlineLevel="0" collapsed="false">
      <c r="A272" s="29" t="s">
        <v>172</v>
      </c>
      <c r="B272" s="29" t="s">
        <v>173</v>
      </c>
      <c r="C272" s="29" t="s">
        <v>63</v>
      </c>
      <c r="D272" s="29" t="s">
        <v>40</v>
      </c>
      <c r="E272" s="29" t="s">
        <v>132</v>
      </c>
      <c r="F272" s="29" t="s">
        <v>133</v>
      </c>
      <c r="G272" s="30" t="n">
        <v>206.34</v>
      </c>
      <c r="H272" s="31" t="n">
        <v>48.13</v>
      </c>
      <c r="I272" s="31" t="n">
        <v>13.06</v>
      </c>
      <c r="J272" s="31" t="n">
        <v>3.24</v>
      </c>
      <c r="K272" s="31" t="n">
        <v>0.96</v>
      </c>
      <c r="L272" s="29" t="s">
        <v>137</v>
      </c>
    </row>
    <row r="273" customFormat="false" ht="15" hidden="false" customHeight="false" outlineLevel="0" collapsed="false">
      <c r="A273" s="29" t="s">
        <v>172</v>
      </c>
      <c r="B273" s="29" t="s">
        <v>173</v>
      </c>
      <c r="C273" s="29" t="s">
        <v>63</v>
      </c>
      <c r="D273" s="29" t="s">
        <v>42</v>
      </c>
      <c r="E273" s="29" t="s">
        <v>132</v>
      </c>
      <c r="F273" s="29" t="s">
        <v>133</v>
      </c>
      <c r="G273" s="30" t="n">
        <v>1621.81</v>
      </c>
      <c r="H273" s="31" t="n">
        <v>47.55</v>
      </c>
      <c r="I273" s="31" t="n">
        <v>12.74</v>
      </c>
      <c r="J273" s="31" t="n">
        <v>3.71</v>
      </c>
      <c r="K273" s="31" t="n">
        <v>1.62</v>
      </c>
      <c r="L273" s="29" t="s">
        <v>139</v>
      </c>
    </row>
    <row r="274" customFormat="false" ht="15" hidden="false" customHeight="false" outlineLevel="0" collapsed="false">
      <c r="A274" s="29" t="s">
        <v>172</v>
      </c>
      <c r="B274" s="29" t="s">
        <v>173</v>
      </c>
      <c r="C274" s="29" t="s">
        <v>63</v>
      </c>
      <c r="D274" s="29" t="s">
        <v>42</v>
      </c>
      <c r="E274" s="29" t="s">
        <v>135</v>
      </c>
      <c r="F274" s="29" t="s">
        <v>133</v>
      </c>
      <c r="G274" s="30" t="n">
        <v>722.71</v>
      </c>
      <c r="H274" s="31" t="n">
        <v>46.96</v>
      </c>
      <c r="I274" s="31" t="n">
        <v>12.54</v>
      </c>
      <c r="J274" s="31" t="n">
        <v>3.95</v>
      </c>
      <c r="K274" s="31" t="n">
        <v>1.6</v>
      </c>
      <c r="L274" s="29" t="s">
        <v>138</v>
      </c>
    </row>
    <row r="275" customFormat="false" ht="15" hidden="false" customHeight="false" outlineLevel="0" collapsed="false">
      <c r="A275" s="29" t="s">
        <v>172</v>
      </c>
      <c r="B275" s="29" t="s">
        <v>173</v>
      </c>
      <c r="C275" s="29" t="s">
        <v>63</v>
      </c>
      <c r="D275" s="29" t="s">
        <v>43</v>
      </c>
      <c r="E275" s="29" t="s">
        <v>132</v>
      </c>
      <c r="F275" s="29" t="s">
        <v>133</v>
      </c>
      <c r="G275" s="30" t="n">
        <v>1976.64</v>
      </c>
      <c r="H275" s="31" t="n">
        <v>47.08</v>
      </c>
      <c r="I275" s="31" t="n">
        <v>12.67</v>
      </c>
      <c r="J275" s="31" t="n">
        <v>3.8</v>
      </c>
      <c r="K275" s="31" t="n">
        <v>0.96</v>
      </c>
      <c r="L275" s="29" t="s">
        <v>141</v>
      </c>
    </row>
    <row r="276" customFormat="false" ht="15" hidden="false" customHeight="false" outlineLevel="0" collapsed="false">
      <c r="A276" s="29" t="s">
        <v>172</v>
      </c>
      <c r="B276" s="29" t="s">
        <v>173</v>
      </c>
      <c r="C276" s="29" t="s">
        <v>63</v>
      </c>
      <c r="D276" s="29" t="s">
        <v>43</v>
      </c>
      <c r="E276" s="29" t="s">
        <v>135</v>
      </c>
      <c r="F276" s="29" t="s">
        <v>133</v>
      </c>
      <c r="G276" s="30" t="n">
        <v>23788.49</v>
      </c>
      <c r="H276" s="31" t="n">
        <v>47.11</v>
      </c>
      <c r="I276" s="31" t="n">
        <v>12.57</v>
      </c>
      <c r="J276" s="31" t="n">
        <v>3.85</v>
      </c>
      <c r="K276" s="31" t="n">
        <v>1.92</v>
      </c>
      <c r="L276" s="29" t="s">
        <v>142</v>
      </c>
    </row>
    <row r="277" customFormat="false" ht="15" hidden="false" customHeight="false" outlineLevel="0" collapsed="false">
      <c r="A277" s="29" t="s">
        <v>172</v>
      </c>
      <c r="B277" s="29" t="s">
        <v>173</v>
      </c>
      <c r="C277" s="29" t="s">
        <v>63</v>
      </c>
      <c r="D277" s="29" t="s">
        <v>39</v>
      </c>
      <c r="E277" s="29" t="s">
        <v>135</v>
      </c>
      <c r="F277" s="29" t="s">
        <v>133</v>
      </c>
      <c r="G277" s="30" t="n">
        <v>9871.59</v>
      </c>
      <c r="H277" s="31" t="n">
        <v>47.43</v>
      </c>
      <c r="I277" s="31" t="n">
        <v>12.6</v>
      </c>
      <c r="J277" s="31" t="n">
        <v>3.67</v>
      </c>
      <c r="K277" s="31" t="n">
        <v>1.58</v>
      </c>
      <c r="L277" s="29" t="s">
        <v>165</v>
      </c>
    </row>
    <row r="278" customFormat="false" ht="15" hidden="false" customHeight="false" outlineLevel="0" collapsed="false">
      <c r="A278" s="29" t="s">
        <v>172</v>
      </c>
      <c r="B278" s="29" t="s">
        <v>173</v>
      </c>
      <c r="C278" s="29" t="s">
        <v>63</v>
      </c>
      <c r="D278" s="29" t="s">
        <v>45</v>
      </c>
      <c r="E278" s="29" t="s">
        <v>135</v>
      </c>
      <c r="F278" s="29" t="s">
        <v>133</v>
      </c>
      <c r="G278" s="30" t="n">
        <v>2933.19</v>
      </c>
      <c r="H278" s="31" t="n">
        <v>47.66</v>
      </c>
      <c r="I278" s="31" t="n">
        <v>12.65</v>
      </c>
      <c r="J278" s="31" t="n">
        <v>3.6</v>
      </c>
      <c r="K278" s="31" t="n">
        <v>1.12</v>
      </c>
      <c r="L278" s="29" t="s">
        <v>145</v>
      </c>
    </row>
    <row r="279" customFormat="false" ht="15" hidden="false" customHeight="false" outlineLevel="0" collapsed="false">
      <c r="A279" s="29" t="s">
        <v>172</v>
      </c>
      <c r="B279" s="29" t="s">
        <v>173</v>
      </c>
      <c r="C279" s="29" t="s">
        <v>63</v>
      </c>
      <c r="D279" s="29" t="s">
        <v>45</v>
      </c>
      <c r="E279" s="29" t="s">
        <v>135</v>
      </c>
      <c r="F279" s="29" t="s">
        <v>133</v>
      </c>
      <c r="G279" s="30" t="n">
        <v>7056.21</v>
      </c>
      <c r="H279" s="31" t="n">
        <v>47.35</v>
      </c>
      <c r="I279" s="31" t="n">
        <v>12.91</v>
      </c>
      <c r="J279" s="31" t="n">
        <v>3.7</v>
      </c>
      <c r="K279" s="31" t="n">
        <v>1.3</v>
      </c>
      <c r="L279" s="29" t="s">
        <v>142</v>
      </c>
    </row>
    <row r="280" customFormat="false" ht="15" hidden="false" customHeight="false" outlineLevel="0" collapsed="false">
      <c r="A280" s="29" t="s">
        <v>172</v>
      </c>
      <c r="B280" s="29" t="s">
        <v>173</v>
      </c>
      <c r="C280" s="29" t="s">
        <v>63</v>
      </c>
      <c r="D280" s="29" t="s">
        <v>44</v>
      </c>
      <c r="E280" s="29" t="s">
        <v>135</v>
      </c>
      <c r="F280" s="29" t="s">
        <v>133</v>
      </c>
      <c r="G280" s="30" t="n">
        <v>12773.6</v>
      </c>
      <c r="H280" s="31" t="n">
        <v>47.33</v>
      </c>
      <c r="I280" s="31" t="n">
        <v>12.63</v>
      </c>
      <c r="J280" s="31" t="n">
        <v>3.55</v>
      </c>
      <c r="K280" s="31" t="n">
        <v>1.46</v>
      </c>
      <c r="L280" s="29" t="s">
        <v>147</v>
      </c>
    </row>
    <row r="281" customFormat="false" ht="15" hidden="false" customHeight="false" outlineLevel="0" collapsed="false">
      <c r="A281" s="29" t="s">
        <v>173</v>
      </c>
      <c r="B281" s="29" t="s">
        <v>174</v>
      </c>
      <c r="C281" s="29" t="s">
        <v>63</v>
      </c>
      <c r="D281" s="29" t="s">
        <v>41</v>
      </c>
      <c r="E281" s="29" t="s">
        <v>135</v>
      </c>
      <c r="F281" s="29" t="s">
        <v>133</v>
      </c>
      <c r="G281" s="30" t="n">
        <v>8314.03</v>
      </c>
      <c r="H281" s="31" t="n">
        <v>47.16</v>
      </c>
      <c r="I281" s="31" t="n">
        <v>13.8</v>
      </c>
      <c r="J281" s="31" t="n">
        <v>3.87</v>
      </c>
      <c r="K281" s="31" t="n">
        <v>1.54</v>
      </c>
      <c r="L281" s="29" t="s">
        <v>149</v>
      </c>
    </row>
    <row r="282" customFormat="false" ht="15" hidden="false" customHeight="false" outlineLevel="0" collapsed="false">
      <c r="A282" s="29" t="s">
        <v>173</v>
      </c>
      <c r="B282" s="29" t="s">
        <v>174</v>
      </c>
      <c r="C282" s="29" t="s">
        <v>63</v>
      </c>
      <c r="D282" s="29" t="s">
        <v>41</v>
      </c>
      <c r="E282" s="29" t="s">
        <v>135</v>
      </c>
      <c r="F282" s="29" t="s">
        <v>133</v>
      </c>
      <c r="G282" s="30" t="n">
        <v>15130.67</v>
      </c>
      <c r="H282" s="31" t="n">
        <v>48.28</v>
      </c>
      <c r="I282" s="31" t="n">
        <v>13.01</v>
      </c>
      <c r="J282" s="31" t="n">
        <v>3.18</v>
      </c>
      <c r="K282" s="31" t="n">
        <v>0.8</v>
      </c>
      <c r="L282" s="29" t="s">
        <v>134</v>
      </c>
    </row>
    <row r="283" customFormat="false" ht="15" hidden="false" customHeight="false" outlineLevel="0" collapsed="false">
      <c r="A283" s="29" t="s">
        <v>173</v>
      </c>
      <c r="B283" s="29" t="s">
        <v>174</v>
      </c>
      <c r="C283" s="29" t="s">
        <v>63</v>
      </c>
      <c r="D283" s="29" t="s">
        <v>40</v>
      </c>
      <c r="E283" s="29" t="s">
        <v>132</v>
      </c>
      <c r="F283" s="29" t="s">
        <v>133</v>
      </c>
      <c r="G283" s="30" t="n">
        <v>11860.52</v>
      </c>
      <c r="H283" s="31" t="n">
        <v>47.69</v>
      </c>
      <c r="I283" s="31" t="n">
        <v>12.35</v>
      </c>
      <c r="J283" s="31" t="n">
        <v>3.57</v>
      </c>
      <c r="K283" s="31" t="n">
        <v>1.32</v>
      </c>
      <c r="L283" s="29" t="s">
        <v>136</v>
      </c>
    </row>
    <row r="284" customFormat="false" ht="15" hidden="false" customHeight="false" outlineLevel="0" collapsed="false">
      <c r="A284" s="29" t="s">
        <v>173</v>
      </c>
      <c r="B284" s="29" t="s">
        <v>174</v>
      </c>
      <c r="C284" s="29" t="s">
        <v>63</v>
      </c>
      <c r="D284" s="29" t="s">
        <v>42</v>
      </c>
      <c r="E284" s="29" t="s">
        <v>132</v>
      </c>
      <c r="F284" s="29" t="s">
        <v>133</v>
      </c>
      <c r="G284" s="30" t="n">
        <v>37.32</v>
      </c>
      <c r="H284" s="31" t="n">
        <v>47.43</v>
      </c>
      <c r="I284" s="31" t="n">
        <v>12.74</v>
      </c>
      <c r="J284" s="31" t="n">
        <v>3.7</v>
      </c>
      <c r="K284" s="31" t="n">
        <v>1.57</v>
      </c>
      <c r="L284" s="29" t="s">
        <v>139</v>
      </c>
    </row>
    <row r="285" customFormat="false" ht="15" hidden="false" customHeight="false" outlineLevel="0" collapsed="false">
      <c r="A285" s="29" t="s">
        <v>173</v>
      </c>
      <c r="B285" s="29" t="s">
        <v>174</v>
      </c>
      <c r="C285" s="29" t="s">
        <v>63</v>
      </c>
      <c r="D285" s="29" t="s">
        <v>43</v>
      </c>
      <c r="E285" s="29" t="s">
        <v>132</v>
      </c>
      <c r="F285" s="29" t="s">
        <v>133</v>
      </c>
      <c r="G285" s="30" t="n">
        <v>39.07</v>
      </c>
      <c r="H285" s="31" t="n">
        <v>47.2</v>
      </c>
      <c r="I285" s="31" t="n">
        <v>12.85</v>
      </c>
      <c r="J285" s="31" t="n">
        <v>3.83</v>
      </c>
      <c r="K285" s="31" t="n">
        <v>1.18</v>
      </c>
      <c r="L285" s="29" t="s">
        <v>142</v>
      </c>
    </row>
    <row r="286" customFormat="false" ht="15" hidden="false" customHeight="false" outlineLevel="0" collapsed="false">
      <c r="A286" s="29" t="s">
        <v>173</v>
      </c>
      <c r="B286" s="29" t="s">
        <v>174</v>
      </c>
      <c r="C286" s="29" t="s">
        <v>63</v>
      </c>
      <c r="D286" s="29" t="s">
        <v>43</v>
      </c>
      <c r="E286" s="29" t="s">
        <v>135</v>
      </c>
      <c r="F286" s="29" t="s">
        <v>133</v>
      </c>
      <c r="G286" s="30" t="n">
        <v>20250.33</v>
      </c>
      <c r="H286" s="31" t="n">
        <v>47.24</v>
      </c>
      <c r="I286" s="31" t="n">
        <v>12.63</v>
      </c>
      <c r="J286" s="31" t="n">
        <v>3.79</v>
      </c>
      <c r="K286" s="31" t="n">
        <v>1.44</v>
      </c>
      <c r="L286" s="29" t="s">
        <v>142</v>
      </c>
    </row>
    <row r="287" customFormat="false" ht="15" hidden="false" customHeight="false" outlineLevel="0" collapsed="false">
      <c r="A287" s="29" t="s">
        <v>173</v>
      </c>
      <c r="B287" s="29" t="s">
        <v>174</v>
      </c>
      <c r="C287" s="29" t="s">
        <v>63</v>
      </c>
      <c r="D287" s="29" t="s">
        <v>39</v>
      </c>
      <c r="E287" s="29" t="s">
        <v>135</v>
      </c>
      <c r="F287" s="29" t="s">
        <v>133</v>
      </c>
      <c r="G287" s="30" t="n">
        <v>14632.56</v>
      </c>
      <c r="H287" s="31" t="n">
        <v>47.4</v>
      </c>
      <c r="I287" s="31" t="n">
        <v>12.57</v>
      </c>
      <c r="J287" s="31" t="n">
        <v>3.75</v>
      </c>
      <c r="K287" s="31" t="n">
        <v>1.64</v>
      </c>
      <c r="L287" s="29" t="s">
        <v>165</v>
      </c>
    </row>
    <row r="288" customFormat="false" ht="15" hidden="false" customHeight="false" outlineLevel="0" collapsed="false">
      <c r="A288" s="29" t="s">
        <v>173</v>
      </c>
      <c r="B288" s="29" t="s">
        <v>174</v>
      </c>
      <c r="C288" s="29" t="s">
        <v>63</v>
      </c>
      <c r="D288" s="29" t="s">
        <v>45</v>
      </c>
      <c r="E288" s="29" t="s">
        <v>132</v>
      </c>
      <c r="F288" s="29" t="s">
        <v>133</v>
      </c>
      <c r="G288" s="30" t="n">
        <v>634.24</v>
      </c>
      <c r="H288" s="31" t="n">
        <v>47.03</v>
      </c>
      <c r="I288" s="31" t="n">
        <v>12.83</v>
      </c>
      <c r="J288" s="31" t="n">
        <v>3.93</v>
      </c>
      <c r="K288" s="31" t="n">
        <v>1.2</v>
      </c>
      <c r="L288" s="29" t="s">
        <v>142</v>
      </c>
    </row>
    <row r="289" customFormat="false" ht="15" hidden="false" customHeight="false" outlineLevel="0" collapsed="false">
      <c r="A289" s="29" t="s">
        <v>173</v>
      </c>
      <c r="B289" s="29" t="s">
        <v>174</v>
      </c>
      <c r="C289" s="29" t="s">
        <v>63</v>
      </c>
      <c r="D289" s="29" t="s">
        <v>45</v>
      </c>
      <c r="E289" s="29" t="s">
        <v>135</v>
      </c>
      <c r="F289" s="29" t="s">
        <v>133</v>
      </c>
      <c r="G289" s="30" t="n">
        <v>9512.4</v>
      </c>
      <c r="H289" s="31" t="n">
        <v>47.61</v>
      </c>
      <c r="I289" s="31" t="n">
        <v>12.67</v>
      </c>
      <c r="J289" s="31" t="n">
        <v>3.62</v>
      </c>
      <c r="K289" s="31" t="n">
        <v>1.49</v>
      </c>
      <c r="L289" s="29" t="s">
        <v>145</v>
      </c>
    </row>
    <row r="290" customFormat="false" ht="15" hidden="false" customHeight="false" outlineLevel="0" collapsed="false">
      <c r="A290" s="29" t="s">
        <v>173</v>
      </c>
      <c r="B290" s="29" t="s">
        <v>174</v>
      </c>
      <c r="C290" s="29" t="s">
        <v>63</v>
      </c>
      <c r="D290" s="29" t="s">
        <v>45</v>
      </c>
      <c r="E290" s="29" t="s">
        <v>135</v>
      </c>
      <c r="F290" s="29" t="s">
        <v>133</v>
      </c>
      <c r="G290" s="30" t="n">
        <v>10880.22</v>
      </c>
      <c r="H290" s="31" t="n">
        <v>46.8</v>
      </c>
      <c r="I290" s="31" t="n">
        <v>12.67</v>
      </c>
      <c r="J290" s="31" t="n">
        <v>3.99</v>
      </c>
      <c r="K290" s="31" t="n">
        <v>1.63</v>
      </c>
      <c r="L290" s="29" t="s">
        <v>142</v>
      </c>
    </row>
    <row r="291" customFormat="false" ht="15" hidden="false" customHeight="false" outlineLevel="0" collapsed="false">
      <c r="A291" s="29" t="s">
        <v>173</v>
      </c>
      <c r="B291" s="29" t="s">
        <v>174</v>
      </c>
      <c r="C291" s="29" t="s">
        <v>63</v>
      </c>
      <c r="D291" s="29" t="s">
        <v>44</v>
      </c>
      <c r="E291" s="29" t="s">
        <v>132</v>
      </c>
      <c r="F291" s="29" t="s">
        <v>133</v>
      </c>
      <c r="G291" s="30" t="n">
        <v>3983.26</v>
      </c>
      <c r="H291" s="31" t="n">
        <v>46.43</v>
      </c>
      <c r="I291" s="31" t="n">
        <v>12.76</v>
      </c>
      <c r="J291" s="31" t="n">
        <v>4.1</v>
      </c>
      <c r="K291" s="31" t="n">
        <v>1.82</v>
      </c>
      <c r="L291" s="29" t="s">
        <v>147</v>
      </c>
    </row>
    <row r="292" customFormat="false" ht="15" hidden="false" customHeight="false" outlineLevel="0" collapsed="false">
      <c r="A292" s="29" t="s">
        <v>173</v>
      </c>
      <c r="B292" s="29" t="s">
        <v>174</v>
      </c>
      <c r="C292" s="29" t="s">
        <v>63</v>
      </c>
      <c r="D292" s="29" t="s">
        <v>44</v>
      </c>
      <c r="E292" s="29" t="s">
        <v>135</v>
      </c>
      <c r="F292" s="29" t="s">
        <v>133</v>
      </c>
      <c r="G292" s="30" t="n">
        <v>9713.98</v>
      </c>
      <c r="H292" s="31" t="n">
        <v>47.53</v>
      </c>
      <c r="I292" s="31" t="n">
        <v>12.49</v>
      </c>
      <c r="J292" s="31" t="n">
        <v>3.7</v>
      </c>
      <c r="K292" s="31" t="n">
        <v>1.48</v>
      </c>
      <c r="L292" s="29" t="s">
        <v>147</v>
      </c>
    </row>
    <row r="293" customFormat="false" ht="15" hidden="false" customHeight="false" outlineLevel="0" collapsed="false">
      <c r="A293" s="29" t="s">
        <v>174</v>
      </c>
      <c r="B293" s="29" t="s">
        <v>175</v>
      </c>
      <c r="C293" s="29" t="s">
        <v>64</v>
      </c>
      <c r="D293" s="29" t="s">
        <v>41</v>
      </c>
      <c r="E293" s="29" t="s">
        <v>135</v>
      </c>
      <c r="F293" s="29" t="s">
        <v>133</v>
      </c>
      <c r="G293" s="30" t="n">
        <v>4660.92</v>
      </c>
      <c r="H293" s="31" t="n">
        <v>48.19</v>
      </c>
      <c r="I293" s="31" t="n">
        <v>13.38</v>
      </c>
      <c r="J293" s="31" t="n">
        <v>3.38</v>
      </c>
      <c r="K293" s="31" t="n">
        <v>0.71</v>
      </c>
      <c r="L293" s="29" t="s">
        <v>134</v>
      </c>
    </row>
    <row r="294" customFormat="false" ht="15" hidden="false" customHeight="false" outlineLevel="0" collapsed="false">
      <c r="A294" s="29" t="s">
        <v>174</v>
      </c>
      <c r="B294" s="29" t="s">
        <v>175</v>
      </c>
      <c r="C294" s="29" t="s">
        <v>64</v>
      </c>
      <c r="D294" s="29" t="s">
        <v>41</v>
      </c>
      <c r="E294" s="29" t="s">
        <v>135</v>
      </c>
      <c r="F294" s="29" t="s">
        <v>133</v>
      </c>
      <c r="G294" s="30" t="n">
        <v>18693.39</v>
      </c>
      <c r="H294" s="31" t="n">
        <v>47.54</v>
      </c>
      <c r="I294" s="31" t="n">
        <v>12.95</v>
      </c>
      <c r="J294" s="31" t="n">
        <v>3.71</v>
      </c>
      <c r="K294" s="31" t="n">
        <v>1.14</v>
      </c>
      <c r="L294" s="29" t="s">
        <v>149</v>
      </c>
    </row>
    <row r="295" customFormat="false" ht="15" hidden="false" customHeight="false" outlineLevel="0" collapsed="false">
      <c r="A295" s="29" t="s">
        <v>174</v>
      </c>
      <c r="B295" s="29" t="s">
        <v>175</v>
      </c>
      <c r="C295" s="29" t="s">
        <v>64</v>
      </c>
      <c r="D295" s="29" t="s">
        <v>40</v>
      </c>
      <c r="E295" s="29" t="s">
        <v>132</v>
      </c>
      <c r="F295" s="29" t="s">
        <v>133</v>
      </c>
      <c r="G295" s="30" t="n">
        <v>7307.14</v>
      </c>
      <c r="H295" s="31" t="n">
        <v>48.04</v>
      </c>
      <c r="I295" s="31" t="n">
        <v>12.31</v>
      </c>
      <c r="J295" s="31" t="n">
        <v>3.35</v>
      </c>
      <c r="K295" s="31" t="n">
        <v>1.11</v>
      </c>
      <c r="L295" s="29" t="s">
        <v>136</v>
      </c>
    </row>
    <row r="296" customFormat="false" ht="15" hidden="false" customHeight="false" outlineLevel="0" collapsed="false">
      <c r="A296" s="29" t="s">
        <v>174</v>
      </c>
      <c r="B296" s="29" t="s">
        <v>175</v>
      </c>
      <c r="C296" s="29" t="s">
        <v>64</v>
      </c>
      <c r="D296" s="29" t="s">
        <v>48</v>
      </c>
      <c r="E296" s="29" t="s">
        <v>135</v>
      </c>
      <c r="F296" s="29" t="s">
        <v>133</v>
      </c>
      <c r="G296" s="30" t="n">
        <v>6760.63</v>
      </c>
      <c r="H296" s="31" t="n">
        <v>48.15</v>
      </c>
      <c r="I296" s="31" t="n">
        <v>10.91</v>
      </c>
      <c r="J296" s="31" t="n">
        <v>3.3</v>
      </c>
      <c r="K296" s="31" t="n">
        <v>1.48</v>
      </c>
      <c r="L296" s="29" t="s">
        <v>176</v>
      </c>
    </row>
    <row r="297" customFormat="false" ht="15" hidden="false" customHeight="false" outlineLevel="0" collapsed="false">
      <c r="A297" s="29" t="s">
        <v>174</v>
      </c>
      <c r="B297" s="29" t="s">
        <v>175</v>
      </c>
      <c r="C297" s="29" t="s">
        <v>64</v>
      </c>
      <c r="D297" s="29" t="s">
        <v>43</v>
      </c>
      <c r="E297" s="29" t="s">
        <v>135</v>
      </c>
      <c r="F297" s="29" t="s">
        <v>133</v>
      </c>
      <c r="G297" s="30" t="n">
        <v>20376.63</v>
      </c>
      <c r="H297" s="31" t="n">
        <v>47.59</v>
      </c>
      <c r="I297" s="31" t="n">
        <v>12.25</v>
      </c>
      <c r="J297" s="31" t="n">
        <v>3.44</v>
      </c>
      <c r="K297" s="31" t="n">
        <v>1.79</v>
      </c>
      <c r="L297" s="29" t="s">
        <v>141</v>
      </c>
    </row>
    <row r="298" customFormat="false" ht="15" hidden="false" customHeight="false" outlineLevel="0" collapsed="false">
      <c r="A298" s="29" t="s">
        <v>174</v>
      </c>
      <c r="B298" s="29" t="s">
        <v>175</v>
      </c>
      <c r="C298" s="29" t="s">
        <v>64</v>
      </c>
      <c r="D298" s="29" t="s">
        <v>39</v>
      </c>
      <c r="E298" s="29" t="s">
        <v>135</v>
      </c>
      <c r="F298" s="29" t="s">
        <v>133</v>
      </c>
      <c r="G298" s="30" t="n">
        <v>12303.96</v>
      </c>
      <c r="H298" s="31" t="n">
        <v>47.21</v>
      </c>
      <c r="I298" s="31" t="n">
        <v>12.48</v>
      </c>
      <c r="J298" s="31" t="n">
        <v>3.77</v>
      </c>
      <c r="K298" s="31" t="n">
        <v>1.6</v>
      </c>
      <c r="L298" s="29" t="s">
        <v>177</v>
      </c>
    </row>
    <row r="299" customFormat="false" ht="15" hidden="false" customHeight="false" outlineLevel="0" collapsed="false">
      <c r="A299" s="29" t="s">
        <v>174</v>
      </c>
      <c r="B299" s="29" t="s">
        <v>175</v>
      </c>
      <c r="C299" s="29" t="s">
        <v>64</v>
      </c>
      <c r="D299" s="29" t="s">
        <v>45</v>
      </c>
      <c r="E299" s="29" t="s">
        <v>132</v>
      </c>
      <c r="F299" s="29" t="s">
        <v>133</v>
      </c>
      <c r="G299" s="30" t="n">
        <v>154.54</v>
      </c>
      <c r="H299" s="31" t="n">
        <v>46.81</v>
      </c>
      <c r="I299" s="31" t="n">
        <v>12.6</v>
      </c>
      <c r="J299" s="31" t="n">
        <v>4.17</v>
      </c>
      <c r="K299" s="31" t="n">
        <v>1.65</v>
      </c>
      <c r="L299" s="29" t="s">
        <v>141</v>
      </c>
    </row>
    <row r="300" customFormat="false" ht="15" hidden="false" customHeight="false" outlineLevel="0" collapsed="false">
      <c r="A300" s="29" t="s">
        <v>174</v>
      </c>
      <c r="B300" s="29" t="s">
        <v>175</v>
      </c>
      <c r="C300" s="29" t="s">
        <v>64</v>
      </c>
      <c r="D300" s="29" t="s">
        <v>45</v>
      </c>
      <c r="E300" s="29" t="s">
        <v>135</v>
      </c>
      <c r="F300" s="29" t="s">
        <v>133</v>
      </c>
      <c r="G300" s="30" t="n">
        <v>10596.76</v>
      </c>
      <c r="H300" s="31" t="n">
        <v>47.41</v>
      </c>
      <c r="I300" s="31" t="n">
        <v>12.52</v>
      </c>
      <c r="J300" s="31" t="n">
        <v>3.7</v>
      </c>
      <c r="K300" s="31" t="n">
        <v>1.19</v>
      </c>
      <c r="L300" s="29" t="s">
        <v>145</v>
      </c>
    </row>
    <row r="301" customFormat="false" ht="15" hidden="false" customHeight="false" outlineLevel="0" collapsed="false">
      <c r="A301" s="29" t="s">
        <v>174</v>
      </c>
      <c r="B301" s="29" t="s">
        <v>175</v>
      </c>
      <c r="C301" s="29" t="s">
        <v>64</v>
      </c>
      <c r="D301" s="29" t="s">
        <v>45</v>
      </c>
      <c r="E301" s="29" t="s">
        <v>135</v>
      </c>
      <c r="F301" s="29" t="s">
        <v>133</v>
      </c>
      <c r="G301" s="30" t="n">
        <v>8636.58</v>
      </c>
      <c r="H301" s="31" t="n">
        <v>47.1</v>
      </c>
      <c r="I301" s="31" t="n">
        <v>12.56</v>
      </c>
      <c r="J301" s="31" t="n">
        <v>3.85</v>
      </c>
      <c r="K301" s="31" t="n">
        <v>1.78</v>
      </c>
      <c r="L301" s="29" t="s">
        <v>141</v>
      </c>
    </row>
    <row r="302" customFormat="false" ht="15" hidden="false" customHeight="false" outlineLevel="0" collapsed="false">
      <c r="A302" s="29" t="s">
        <v>174</v>
      </c>
      <c r="B302" s="29" t="s">
        <v>175</v>
      </c>
      <c r="C302" s="29" t="s">
        <v>64</v>
      </c>
      <c r="D302" s="29" t="s">
        <v>45</v>
      </c>
      <c r="E302" s="29" t="s">
        <v>135</v>
      </c>
      <c r="F302" s="29" t="s">
        <v>133</v>
      </c>
      <c r="G302" s="30" t="n">
        <v>2621.06</v>
      </c>
      <c r="H302" s="31" t="n">
        <v>46.83</v>
      </c>
      <c r="I302" s="31" t="n">
        <v>12.4</v>
      </c>
      <c r="J302" s="31" t="n">
        <v>3.93</v>
      </c>
      <c r="K302" s="31" t="n">
        <v>1.65</v>
      </c>
      <c r="L302" s="29" t="s">
        <v>178</v>
      </c>
    </row>
    <row r="303" customFormat="false" ht="15" hidden="false" customHeight="false" outlineLevel="0" collapsed="false">
      <c r="A303" s="29" t="s">
        <v>174</v>
      </c>
      <c r="B303" s="29" t="s">
        <v>175</v>
      </c>
      <c r="C303" s="29" t="s">
        <v>64</v>
      </c>
      <c r="D303" s="29" t="s">
        <v>44</v>
      </c>
      <c r="E303" s="29" t="s">
        <v>132</v>
      </c>
      <c r="F303" s="29" t="s">
        <v>133</v>
      </c>
      <c r="G303" s="30" t="n">
        <v>6231.34</v>
      </c>
      <c r="H303" s="31" t="n">
        <v>47.18</v>
      </c>
      <c r="I303" s="31" t="n">
        <v>12.32</v>
      </c>
      <c r="J303" s="31" t="n">
        <v>3.84</v>
      </c>
      <c r="K303" s="31" t="n">
        <v>1.84</v>
      </c>
      <c r="L303" s="29" t="s">
        <v>147</v>
      </c>
    </row>
    <row r="304" customFormat="false" ht="15" hidden="false" customHeight="false" outlineLevel="0" collapsed="false">
      <c r="A304" s="29" t="s">
        <v>174</v>
      </c>
      <c r="B304" s="29" t="s">
        <v>175</v>
      </c>
      <c r="C304" s="29" t="s">
        <v>64</v>
      </c>
      <c r="D304" s="29" t="s">
        <v>44</v>
      </c>
      <c r="E304" s="29" t="s">
        <v>135</v>
      </c>
      <c r="F304" s="29" t="s">
        <v>133</v>
      </c>
      <c r="G304" s="30" t="n">
        <v>6529.74</v>
      </c>
      <c r="H304" s="31" t="n">
        <v>47.09</v>
      </c>
      <c r="I304" s="31" t="n">
        <v>12.56</v>
      </c>
      <c r="J304" s="31" t="n">
        <v>3.86</v>
      </c>
      <c r="K304" s="31" t="n">
        <v>1.66</v>
      </c>
      <c r="L304" s="29" t="s">
        <v>147</v>
      </c>
    </row>
    <row r="305" customFormat="false" ht="15" hidden="false" customHeight="false" outlineLevel="0" collapsed="false">
      <c r="A305" s="29" t="s">
        <v>175</v>
      </c>
      <c r="B305" s="29" t="s">
        <v>179</v>
      </c>
      <c r="C305" s="29" t="s">
        <v>64</v>
      </c>
      <c r="D305" s="29" t="s">
        <v>41</v>
      </c>
      <c r="E305" s="29" t="s">
        <v>135</v>
      </c>
      <c r="F305" s="29" t="s">
        <v>133</v>
      </c>
      <c r="G305" s="30" t="n">
        <v>3883.89</v>
      </c>
      <c r="H305" s="31" t="n">
        <v>48.08</v>
      </c>
      <c r="I305" s="31" t="n">
        <v>12.33</v>
      </c>
      <c r="J305" s="31" t="n">
        <v>3.19</v>
      </c>
      <c r="K305" s="31" t="n">
        <v>1.16</v>
      </c>
      <c r="L305" s="29" t="s">
        <v>134</v>
      </c>
    </row>
    <row r="306" customFormat="false" ht="15" hidden="false" customHeight="false" outlineLevel="0" collapsed="false">
      <c r="A306" s="29" t="s">
        <v>175</v>
      </c>
      <c r="B306" s="29" t="s">
        <v>179</v>
      </c>
      <c r="C306" s="29" t="s">
        <v>64</v>
      </c>
      <c r="D306" s="29" t="s">
        <v>41</v>
      </c>
      <c r="E306" s="29" t="s">
        <v>135</v>
      </c>
      <c r="F306" s="29" t="s">
        <v>133</v>
      </c>
      <c r="G306" s="30" t="n">
        <v>11891.32</v>
      </c>
      <c r="H306" s="31" t="n">
        <v>47.37</v>
      </c>
      <c r="I306" s="31" t="n">
        <v>13.31</v>
      </c>
      <c r="J306" s="31" t="n">
        <v>3.26</v>
      </c>
      <c r="K306" s="31" t="n">
        <v>1.24</v>
      </c>
      <c r="L306" s="29" t="s">
        <v>149</v>
      </c>
    </row>
    <row r="307" customFormat="false" ht="15" hidden="false" customHeight="false" outlineLevel="0" collapsed="false">
      <c r="A307" s="29" t="s">
        <v>175</v>
      </c>
      <c r="B307" s="29" t="s">
        <v>179</v>
      </c>
      <c r="C307" s="29" t="s">
        <v>64</v>
      </c>
      <c r="D307" s="29" t="s">
        <v>40</v>
      </c>
      <c r="E307" s="29" t="s">
        <v>132</v>
      </c>
      <c r="F307" s="29" t="s">
        <v>133</v>
      </c>
      <c r="G307" s="30" t="n">
        <v>10004.01</v>
      </c>
      <c r="H307" s="31" t="n">
        <v>47.87</v>
      </c>
      <c r="I307" s="31" t="n">
        <v>12.1</v>
      </c>
      <c r="J307" s="31" t="n">
        <v>3.37</v>
      </c>
      <c r="K307" s="31" t="n">
        <v>1.61</v>
      </c>
      <c r="L307" s="29" t="s">
        <v>136</v>
      </c>
    </row>
    <row r="308" customFormat="false" ht="15" hidden="false" customHeight="false" outlineLevel="0" collapsed="false">
      <c r="A308" s="29" t="s">
        <v>175</v>
      </c>
      <c r="B308" s="29" t="s">
        <v>179</v>
      </c>
      <c r="C308" s="29" t="s">
        <v>64</v>
      </c>
      <c r="D308" s="29" t="s">
        <v>48</v>
      </c>
      <c r="E308" s="29" t="s">
        <v>135</v>
      </c>
      <c r="F308" s="29" t="s">
        <v>133</v>
      </c>
      <c r="G308" s="30" t="n">
        <v>14330.86</v>
      </c>
      <c r="H308" s="31" t="n">
        <v>48.28</v>
      </c>
      <c r="I308" s="31" t="n">
        <v>10.37</v>
      </c>
      <c r="J308" s="31" t="n">
        <v>3.09</v>
      </c>
      <c r="K308" s="31" t="n">
        <v>1.61</v>
      </c>
      <c r="L308" s="29" t="s">
        <v>176</v>
      </c>
    </row>
    <row r="309" customFormat="false" ht="15" hidden="false" customHeight="false" outlineLevel="0" collapsed="false">
      <c r="A309" s="29" t="s">
        <v>175</v>
      </c>
      <c r="B309" s="29" t="s">
        <v>179</v>
      </c>
      <c r="C309" s="29" t="s">
        <v>64</v>
      </c>
      <c r="D309" s="29" t="s">
        <v>43</v>
      </c>
      <c r="E309" s="29" t="s">
        <v>135</v>
      </c>
      <c r="F309" s="29" t="s">
        <v>133</v>
      </c>
      <c r="G309" s="30" t="n">
        <v>18814.9</v>
      </c>
      <c r="H309" s="31" t="n">
        <v>47.29</v>
      </c>
      <c r="I309" s="31" t="n">
        <v>12.69</v>
      </c>
      <c r="J309" s="31" t="n">
        <v>3.1</v>
      </c>
      <c r="K309" s="31" t="n">
        <v>1.52</v>
      </c>
      <c r="L309" s="29" t="s">
        <v>141</v>
      </c>
    </row>
    <row r="310" customFormat="false" ht="15" hidden="false" customHeight="false" outlineLevel="0" collapsed="false">
      <c r="A310" s="29" t="s">
        <v>175</v>
      </c>
      <c r="B310" s="29" t="s">
        <v>179</v>
      </c>
      <c r="C310" s="29" t="s">
        <v>64</v>
      </c>
      <c r="D310" s="29" t="s">
        <v>39</v>
      </c>
      <c r="E310" s="29" t="s">
        <v>135</v>
      </c>
      <c r="F310" s="29" t="s">
        <v>133</v>
      </c>
      <c r="G310" s="30" t="n">
        <v>11340.21</v>
      </c>
      <c r="H310" s="31" t="n">
        <v>47.15</v>
      </c>
      <c r="I310" s="31" t="n">
        <v>12.4</v>
      </c>
      <c r="J310" s="31" t="n">
        <v>3.21</v>
      </c>
      <c r="K310" s="31" t="n">
        <v>1.76</v>
      </c>
      <c r="L310" s="29" t="s">
        <v>177</v>
      </c>
    </row>
    <row r="311" customFormat="false" ht="15" hidden="false" customHeight="false" outlineLevel="0" collapsed="false">
      <c r="A311" s="29" t="s">
        <v>175</v>
      </c>
      <c r="B311" s="29" t="s">
        <v>179</v>
      </c>
      <c r="C311" s="29" t="s">
        <v>64</v>
      </c>
      <c r="D311" s="29" t="s">
        <v>45</v>
      </c>
      <c r="E311" s="29" t="s">
        <v>135</v>
      </c>
      <c r="F311" s="29" t="s">
        <v>133</v>
      </c>
      <c r="G311" s="30" t="n">
        <v>24960.06</v>
      </c>
      <c r="H311" s="31" t="n">
        <v>47.91</v>
      </c>
      <c r="I311" s="31" t="n">
        <v>12.29</v>
      </c>
      <c r="J311" s="31" t="n">
        <v>3.15</v>
      </c>
      <c r="K311" s="31" t="n">
        <v>1.64</v>
      </c>
      <c r="L311" s="29" t="s">
        <v>145</v>
      </c>
    </row>
    <row r="312" customFormat="false" ht="15" hidden="false" customHeight="false" outlineLevel="0" collapsed="false">
      <c r="A312" s="29" t="s">
        <v>175</v>
      </c>
      <c r="B312" s="29" t="s">
        <v>179</v>
      </c>
      <c r="C312" s="29" t="s">
        <v>64</v>
      </c>
      <c r="D312" s="29" t="s">
        <v>45</v>
      </c>
      <c r="E312" s="29" t="s">
        <v>135</v>
      </c>
      <c r="F312" s="29" t="s">
        <v>133</v>
      </c>
      <c r="G312" s="30" t="n">
        <v>12353.66</v>
      </c>
      <c r="H312" s="31" t="n">
        <v>47.94</v>
      </c>
      <c r="I312" s="31" t="n">
        <v>12.27</v>
      </c>
      <c r="J312" s="31" t="n">
        <v>3.17</v>
      </c>
      <c r="K312" s="31" t="n">
        <v>1.74</v>
      </c>
      <c r="L312" s="29" t="s">
        <v>141</v>
      </c>
    </row>
    <row r="313" customFormat="false" ht="15" hidden="false" customHeight="false" outlineLevel="0" collapsed="false">
      <c r="A313" s="29" t="s">
        <v>175</v>
      </c>
      <c r="B313" s="29" t="s">
        <v>179</v>
      </c>
      <c r="C313" s="29" t="s">
        <v>64</v>
      </c>
      <c r="D313" s="29" t="s">
        <v>45</v>
      </c>
      <c r="E313" s="29" t="s">
        <v>135</v>
      </c>
      <c r="F313" s="29" t="s">
        <v>133</v>
      </c>
      <c r="G313" s="30" t="n">
        <v>5443.69</v>
      </c>
      <c r="H313" s="31" t="n">
        <v>47.91</v>
      </c>
      <c r="I313" s="31" t="n">
        <v>12.46</v>
      </c>
      <c r="J313" s="31" t="n">
        <v>3.28</v>
      </c>
      <c r="K313" s="31" t="n">
        <v>1.51</v>
      </c>
      <c r="L313" s="29" t="s">
        <v>178</v>
      </c>
    </row>
    <row r="314" customFormat="false" ht="15" hidden="false" customHeight="false" outlineLevel="0" collapsed="false">
      <c r="A314" s="29" t="s">
        <v>175</v>
      </c>
      <c r="B314" s="29" t="s">
        <v>179</v>
      </c>
      <c r="C314" s="29" t="s">
        <v>64</v>
      </c>
      <c r="D314" s="29" t="s">
        <v>44</v>
      </c>
      <c r="E314" s="29" t="s">
        <v>132</v>
      </c>
      <c r="F314" s="29" t="s">
        <v>133</v>
      </c>
      <c r="G314" s="30" t="n">
        <v>781.12</v>
      </c>
      <c r="H314" s="31" t="n">
        <v>47.16</v>
      </c>
      <c r="I314" s="31" t="n">
        <v>12.45</v>
      </c>
      <c r="J314" s="31" t="n">
        <v>3.27</v>
      </c>
      <c r="K314" s="31" t="n">
        <v>1.84</v>
      </c>
      <c r="L314" s="29" t="s">
        <v>147</v>
      </c>
    </row>
    <row r="315" customFormat="false" ht="15" hidden="false" customHeight="false" outlineLevel="0" collapsed="false">
      <c r="A315" s="29" t="s">
        <v>175</v>
      </c>
      <c r="B315" s="29" t="s">
        <v>179</v>
      </c>
      <c r="C315" s="29" t="s">
        <v>64</v>
      </c>
      <c r="D315" s="29" t="s">
        <v>44</v>
      </c>
      <c r="E315" s="29" t="s">
        <v>135</v>
      </c>
      <c r="F315" s="29" t="s">
        <v>133</v>
      </c>
      <c r="G315" s="30" t="n">
        <v>2313.65</v>
      </c>
      <c r="H315" s="31" t="n">
        <v>48.15</v>
      </c>
      <c r="I315" s="31" t="n">
        <v>11.87</v>
      </c>
      <c r="J315" s="31" t="n">
        <v>3.28</v>
      </c>
      <c r="K315" s="31" t="n">
        <v>1.96</v>
      </c>
      <c r="L315" s="29" t="s">
        <v>147</v>
      </c>
    </row>
    <row r="316" customFormat="false" ht="15" hidden="false" customHeight="false" outlineLevel="0" collapsed="false">
      <c r="A316" s="29" t="s">
        <v>179</v>
      </c>
      <c r="B316" s="29" t="s">
        <v>180</v>
      </c>
      <c r="C316" s="29" t="s">
        <v>64</v>
      </c>
      <c r="D316" s="29" t="s">
        <v>41</v>
      </c>
      <c r="E316" s="29" t="s">
        <v>135</v>
      </c>
      <c r="F316" s="29" t="s">
        <v>133</v>
      </c>
      <c r="G316" s="30" t="n">
        <v>9222.91</v>
      </c>
      <c r="H316" s="31" t="n">
        <v>48.39</v>
      </c>
      <c r="I316" s="31" t="n">
        <v>12.29</v>
      </c>
      <c r="J316" s="31" t="n">
        <v>3.25</v>
      </c>
      <c r="K316" s="31" t="n">
        <v>0.96</v>
      </c>
      <c r="L316" s="29" t="s">
        <v>134</v>
      </c>
    </row>
    <row r="317" customFormat="false" ht="15" hidden="false" customHeight="false" outlineLevel="0" collapsed="false">
      <c r="A317" s="29" t="s">
        <v>179</v>
      </c>
      <c r="B317" s="29" t="s">
        <v>180</v>
      </c>
      <c r="C317" s="29" t="s">
        <v>64</v>
      </c>
      <c r="D317" s="29" t="s">
        <v>41</v>
      </c>
      <c r="E317" s="29" t="s">
        <v>135</v>
      </c>
      <c r="F317" s="29" t="s">
        <v>133</v>
      </c>
      <c r="G317" s="30" t="n">
        <v>3553.62</v>
      </c>
      <c r="H317" s="31" t="n">
        <v>47.02</v>
      </c>
      <c r="I317" s="31" t="n">
        <v>13.36</v>
      </c>
      <c r="J317" s="31" t="n">
        <v>3.93</v>
      </c>
      <c r="K317" s="31" t="n">
        <v>1.3</v>
      </c>
      <c r="L317" s="29" t="s">
        <v>149</v>
      </c>
    </row>
    <row r="318" customFormat="false" ht="15" hidden="false" customHeight="false" outlineLevel="0" collapsed="false">
      <c r="A318" s="29" t="s">
        <v>179</v>
      </c>
      <c r="B318" s="29" t="s">
        <v>180</v>
      </c>
      <c r="C318" s="29" t="s">
        <v>64</v>
      </c>
      <c r="D318" s="29" t="s">
        <v>40</v>
      </c>
      <c r="E318" s="29" t="s">
        <v>132</v>
      </c>
      <c r="F318" s="29" t="s">
        <v>133</v>
      </c>
      <c r="G318" s="30" t="n">
        <v>10039.15</v>
      </c>
      <c r="H318" s="31" t="n">
        <v>48</v>
      </c>
      <c r="I318" s="31" t="n">
        <v>12.09</v>
      </c>
      <c r="J318" s="31" t="n">
        <v>3.44</v>
      </c>
      <c r="K318" s="31" t="n">
        <v>1.43</v>
      </c>
      <c r="L318" s="29" t="s">
        <v>136</v>
      </c>
    </row>
    <row r="319" customFormat="false" ht="15" hidden="false" customHeight="false" outlineLevel="0" collapsed="false">
      <c r="A319" s="29" t="s">
        <v>179</v>
      </c>
      <c r="B319" s="29" t="s">
        <v>180</v>
      </c>
      <c r="C319" s="29" t="s">
        <v>64</v>
      </c>
      <c r="D319" s="29" t="s">
        <v>42</v>
      </c>
      <c r="E319" s="29" t="s">
        <v>132</v>
      </c>
      <c r="F319" s="29" t="s">
        <v>133</v>
      </c>
      <c r="G319" s="30" t="n">
        <v>3028.97</v>
      </c>
      <c r="H319" s="31" t="n">
        <v>46.91</v>
      </c>
      <c r="I319" s="31" t="n">
        <v>12.96</v>
      </c>
      <c r="J319" s="31" t="n">
        <v>3.96</v>
      </c>
      <c r="K319" s="31" t="n">
        <v>1.99</v>
      </c>
      <c r="L319" s="29" t="s">
        <v>181</v>
      </c>
    </row>
    <row r="320" customFormat="false" ht="15" hidden="false" customHeight="false" outlineLevel="0" collapsed="false">
      <c r="A320" s="29" t="s">
        <v>179</v>
      </c>
      <c r="B320" s="29" t="s">
        <v>180</v>
      </c>
      <c r="C320" s="29" t="s">
        <v>64</v>
      </c>
      <c r="D320" s="29" t="s">
        <v>48</v>
      </c>
      <c r="E320" s="29" t="s">
        <v>135</v>
      </c>
      <c r="F320" s="29" t="s">
        <v>133</v>
      </c>
      <c r="G320" s="30" t="n">
        <v>20776.77</v>
      </c>
      <c r="H320" s="31" t="n">
        <v>48.43</v>
      </c>
      <c r="I320" s="31" t="n">
        <v>11.08</v>
      </c>
      <c r="J320" s="31" t="n">
        <v>3.14</v>
      </c>
      <c r="K320" s="31" t="n">
        <v>1.32</v>
      </c>
      <c r="L320" s="29" t="s">
        <v>176</v>
      </c>
    </row>
    <row r="321" customFormat="false" ht="15" hidden="false" customHeight="false" outlineLevel="0" collapsed="false">
      <c r="A321" s="29" t="s">
        <v>179</v>
      </c>
      <c r="B321" s="29" t="s">
        <v>180</v>
      </c>
      <c r="C321" s="29" t="s">
        <v>64</v>
      </c>
      <c r="D321" s="29" t="s">
        <v>43</v>
      </c>
      <c r="E321" s="29" t="s">
        <v>135</v>
      </c>
      <c r="F321" s="29" t="s">
        <v>133</v>
      </c>
      <c r="G321" s="30" t="n">
        <v>13597.51</v>
      </c>
      <c r="H321" s="31" t="n">
        <v>47.23</v>
      </c>
      <c r="I321" s="31" t="n">
        <v>12.21</v>
      </c>
      <c r="J321" s="31" t="n">
        <v>3.9</v>
      </c>
      <c r="K321" s="31" t="n">
        <v>1.64</v>
      </c>
      <c r="L321" s="29" t="s">
        <v>141</v>
      </c>
    </row>
    <row r="322" customFormat="false" ht="15" hidden="false" customHeight="false" outlineLevel="0" collapsed="false">
      <c r="A322" s="29" t="s">
        <v>179</v>
      </c>
      <c r="B322" s="29" t="s">
        <v>180</v>
      </c>
      <c r="C322" s="29" t="s">
        <v>64</v>
      </c>
      <c r="D322" s="29" t="s">
        <v>39</v>
      </c>
      <c r="E322" s="29" t="s">
        <v>135</v>
      </c>
      <c r="F322" s="29" t="s">
        <v>133</v>
      </c>
      <c r="G322" s="30" t="n">
        <v>12057.51</v>
      </c>
      <c r="H322" s="31" t="n">
        <v>47.34</v>
      </c>
      <c r="I322" s="31" t="n">
        <v>12.3</v>
      </c>
      <c r="J322" s="31" t="n">
        <v>3.8</v>
      </c>
      <c r="K322" s="31" t="n">
        <v>1.59</v>
      </c>
      <c r="L322" s="29" t="s">
        <v>177</v>
      </c>
    </row>
    <row r="323" customFormat="false" ht="15" hidden="false" customHeight="false" outlineLevel="0" collapsed="false">
      <c r="A323" s="29" t="s">
        <v>179</v>
      </c>
      <c r="B323" s="29" t="s">
        <v>180</v>
      </c>
      <c r="C323" s="29" t="s">
        <v>64</v>
      </c>
      <c r="D323" s="29" t="s">
        <v>45</v>
      </c>
      <c r="E323" s="29" t="s">
        <v>135</v>
      </c>
      <c r="F323" s="29" t="s">
        <v>133</v>
      </c>
      <c r="G323" s="30" t="n">
        <v>4524.13</v>
      </c>
      <c r="H323" s="31" t="n">
        <v>47.31</v>
      </c>
      <c r="I323" s="31" t="n">
        <v>12.29</v>
      </c>
      <c r="J323" s="31" t="n">
        <v>3.82</v>
      </c>
      <c r="K323" s="31" t="n">
        <v>1.63</v>
      </c>
      <c r="L323" s="29" t="s">
        <v>145</v>
      </c>
    </row>
    <row r="324" customFormat="false" ht="15" hidden="false" customHeight="false" outlineLevel="0" collapsed="false">
      <c r="A324" s="29" t="s">
        <v>179</v>
      </c>
      <c r="B324" s="29" t="s">
        <v>180</v>
      </c>
      <c r="C324" s="29" t="s">
        <v>64</v>
      </c>
      <c r="D324" s="29" t="s">
        <v>45</v>
      </c>
      <c r="E324" s="29" t="s">
        <v>135</v>
      </c>
      <c r="F324" s="29" t="s">
        <v>133</v>
      </c>
      <c r="G324" s="30" t="n">
        <v>4487.47</v>
      </c>
      <c r="H324" s="31" t="n">
        <v>47.36</v>
      </c>
      <c r="I324" s="31" t="n">
        <v>12.22</v>
      </c>
      <c r="J324" s="31" t="n">
        <v>3.79</v>
      </c>
      <c r="K324" s="31" t="n">
        <v>1.52</v>
      </c>
      <c r="L324" s="29" t="s">
        <v>141</v>
      </c>
    </row>
    <row r="325" customFormat="false" ht="15" hidden="false" customHeight="false" outlineLevel="0" collapsed="false">
      <c r="A325" s="29" t="s">
        <v>179</v>
      </c>
      <c r="B325" s="29" t="s">
        <v>180</v>
      </c>
      <c r="C325" s="29" t="s">
        <v>64</v>
      </c>
      <c r="D325" s="29" t="s">
        <v>45</v>
      </c>
      <c r="E325" s="29" t="s">
        <v>135</v>
      </c>
      <c r="F325" s="29" t="s">
        <v>133</v>
      </c>
      <c r="G325" s="30" t="n">
        <v>2445.37</v>
      </c>
      <c r="H325" s="31" t="n">
        <v>47.19</v>
      </c>
      <c r="I325" s="31" t="n">
        <v>12.21</v>
      </c>
      <c r="J325" s="31" t="n">
        <v>3.87</v>
      </c>
      <c r="K325" s="31" t="n">
        <v>1.73</v>
      </c>
      <c r="L325" s="29" t="s">
        <v>178</v>
      </c>
    </row>
    <row r="326" customFormat="false" ht="15" hidden="false" customHeight="false" outlineLevel="0" collapsed="false">
      <c r="A326" s="29" t="s">
        <v>179</v>
      </c>
      <c r="B326" s="29" t="s">
        <v>180</v>
      </c>
      <c r="C326" s="29" t="s">
        <v>64</v>
      </c>
      <c r="D326" s="29" t="s">
        <v>44</v>
      </c>
      <c r="E326" s="29" t="s">
        <v>135</v>
      </c>
      <c r="F326" s="29" t="s">
        <v>133</v>
      </c>
      <c r="G326" s="30" t="n">
        <v>8302.23</v>
      </c>
      <c r="H326" s="31" t="n">
        <v>48.11</v>
      </c>
      <c r="I326" s="31" t="n">
        <v>12.29</v>
      </c>
      <c r="J326" s="31" t="n">
        <v>3.39</v>
      </c>
      <c r="K326" s="31" t="n">
        <v>1.62</v>
      </c>
      <c r="L326" s="29" t="s">
        <v>147</v>
      </c>
    </row>
    <row r="327" customFormat="false" ht="15" hidden="false" customHeight="false" outlineLevel="0" collapsed="false">
      <c r="A327" s="29" t="s">
        <v>180</v>
      </c>
      <c r="B327" s="29" t="s">
        <v>182</v>
      </c>
      <c r="C327" s="29" t="s">
        <v>64</v>
      </c>
      <c r="D327" s="29" t="s">
        <v>41</v>
      </c>
      <c r="E327" s="29" t="s">
        <v>135</v>
      </c>
      <c r="F327" s="29" t="s">
        <v>133</v>
      </c>
      <c r="G327" s="30" t="n">
        <v>10024.24</v>
      </c>
      <c r="H327" s="31" t="n">
        <v>48.48</v>
      </c>
      <c r="I327" s="31" t="n">
        <v>12.1</v>
      </c>
      <c r="J327" s="31" t="n">
        <v>3.05</v>
      </c>
      <c r="K327" s="31" t="n">
        <v>0.9</v>
      </c>
      <c r="L327" s="29" t="s">
        <v>134</v>
      </c>
    </row>
    <row r="328" customFormat="false" ht="15" hidden="false" customHeight="false" outlineLevel="0" collapsed="false">
      <c r="A328" s="29" t="s">
        <v>180</v>
      </c>
      <c r="B328" s="29" t="s">
        <v>182</v>
      </c>
      <c r="C328" s="29" t="s">
        <v>64</v>
      </c>
      <c r="D328" s="29" t="s">
        <v>41</v>
      </c>
      <c r="E328" s="29" t="s">
        <v>135</v>
      </c>
      <c r="F328" s="29" t="s">
        <v>133</v>
      </c>
      <c r="G328" s="30" t="n">
        <v>7671.387</v>
      </c>
      <c r="H328" s="31" t="n">
        <v>48</v>
      </c>
      <c r="I328" s="31" t="n">
        <v>12.97</v>
      </c>
      <c r="J328" s="31" t="n">
        <v>3.44</v>
      </c>
      <c r="K328" s="31" t="n">
        <v>1.25</v>
      </c>
      <c r="L328" s="29" t="s">
        <v>149</v>
      </c>
    </row>
    <row r="329" customFormat="false" ht="15" hidden="false" customHeight="false" outlineLevel="0" collapsed="false">
      <c r="A329" s="29" t="s">
        <v>180</v>
      </c>
      <c r="B329" s="29" t="s">
        <v>182</v>
      </c>
      <c r="C329" s="29" t="s">
        <v>64</v>
      </c>
      <c r="D329" s="29" t="s">
        <v>40</v>
      </c>
      <c r="E329" s="29" t="s">
        <v>132</v>
      </c>
      <c r="F329" s="29" t="s">
        <v>133</v>
      </c>
      <c r="G329" s="30" t="n">
        <v>10957.65</v>
      </c>
      <c r="H329" s="31" t="n">
        <v>48.18</v>
      </c>
      <c r="I329" s="31" t="n">
        <v>11.87</v>
      </c>
      <c r="J329" s="31" t="n">
        <v>3.44</v>
      </c>
      <c r="K329" s="31" t="n">
        <v>1.57</v>
      </c>
      <c r="L329" s="29" t="s">
        <v>136</v>
      </c>
    </row>
    <row r="330" customFormat="false" ht="15" hidden="false" customHeight="false" outlineLevel="0" collapsed="false">
      <c r="A330" s="29" t="s">
        <v>180</v>
      </c>
      <c r="B330" s="29" t="s">
        <v>182</v>
      </c>
      <c r="C330" s="29" t="s">
        <v>64</v>
      </c>
      <c r="D330" s="29" t="s">
        <v>42</v>
      </c>
      <c r="E330" s="29" t="s">
        <v>132</v>
      </c>
      <c r="F330" s="29" t="s">
        <v>133</v>
      </c>
      <c r="G330" s="30" t="n">
        <v>645.92</v>
      </c>
      <c r="H330" s="31" t="n">
        <v>47.79</v>
      </c>
      <c r="I330" s="31" t="n">
        <v>11.78</v>
      </c>
      <c r="J330" s="31" t="n">
        <v>3.67</v>
      </c>
      <c r="K330" s="31" t="n">
        <v>1.9</v>
      </c>
      <c r="L330" s="29" t="s">
        <v>181</v>
      </c>
    </row>
    <row r="331" customFormat="false" ht="15" hidden="false" customHeight="false" outlineLevel="0" collapsed="false">
      <c r="A331" s="29" t="s">
        <v>180</v>
      </c>
      <c r="B331" s="29" t="s">
        <v>182</v>
      </c>
      <c r="C331" s="29" t="s">
        <v>64</v>
      </c>
      <c r="D331" s="29" t="s">
        <v>48</v>
      </c>
      <c r="E331" s="29" t="s">
        <v>135</v>
      </c>
      <c r="F331" s="29" t="s">
        <v>133</v>
      </c>
      <c r="G331" s="30" t="n">
        <v>6888.83</v>
      </c>
      <c r="H331" s="31" t="n">
        <v>48.11</v>
      </c>
      <c r="I331" s="31" t="n">
        <v>12.49</v>
      </c>
      <c r="J331" s="31" t="n">
        <v>3.33</v>
      </c>
      <c r="K331" s="31" t="n">
        <v>1.1</v>
      </c>
      <c r="L331" s="29" t="s">
        <v>176</v>
      </c>
    </row>
    <row r="332" customFormat="false" ht="15" hidden="false" customHeight="false" outlineLevel="0" collapsed="false">
      <c r="A332" s="29" t="s">
        <v>180</v>
      </c>
      <c r="B332" s="29" t="s">
        <v>182</v>
      </c>
      <c r="C332" s="29" t="s">
        <v>64</v>
      </c>
      <c r="D332" s="29" t="s">
        <v>43</v>
      </c>
      <c r="E332" s="29" t="s">
        <v>135</v>
      </c>
      <c r="F332" s="29" t="s">
        <v>133</v>
      </c>
      <c r="G332" s="30" t="n">
        <v>16452.36</v>
      </c>
      <c r="H332" s="31" t="n">
        <v>47.46</v>
      </c>
      <c r="I332" s="31" t="n">
        <v>12.02</v>
      </c>
      <c r="J332" s="31" t="n">
        <v>3.62</v>
      </c>
      <c r="K332" s="31" t="n">
        <v>1.64</v>
      </c>
      <c r="L332" s="29" t="s">
        <v>141</v>
      </c>
    </row>
    <row r="333" customFormat="false" ht="15" hidden="false" customHeight="false" outlineLevel="0" collapsed="false">
      <c r="A333" s="29" t="s">
        <v>180</v>
      </c>
      <c r="B333" s="29" t="s">
        <v>182</v>
      </c>
      <c r="C333" s="29" t="s">
        <v>64</v>
      </c>
      <c r="D333" s="29" t="s">
        <v>39</v>
      </c>
      <c r="E333" s="29" t="s">
        <v>135</v>
      </c>
      <c r="F333" s="29" t="s">
        <v>133</v>
      </c>
      <c r="G333" s="30" t="n">
        <v>6768.89</v>
      </c>
      <c r="H333" s="31" t="n">
        <v>47.91</v>
      </c>
      <c r="I333" s="31" t="n">
        <v>12.08</v>
      </c>
      <c r="J333" s="31" t="n">
        <v>3.58</v>
      </c>
      <c r="K333" s="31" t="n">
        <v>1.74</v>
      </c>
      <c r="L333" s="29" t="s">
        <v>177</v>
      </c>
    </row>
    <row r="334" customFormat="false" ht="15" hidden="false" customHeight="false" outlineLevel="0" collapsed="false">
      <c r="A334" s="29" t="s">
        <v>180</v>
      </c>
      <c r="B334" s="29" t="s">
        <v>182</v>
      </c>
      <c r="C334" s="29" t="s">
        <v>64</v>
      </c>
      <c r="D334" s="29" t="s">
        <v>45</v>
      </c>
      <c r="E334" s="29" t="s">
        <v>132</v>
      </c>
      <c r="F334" s="29" t="s">
        <v>133</v>
      </c>
      <c r="G334" s="30" t="n">
        <v>2101.23</v>
      </c>
      <c r="H334" s="31" t="n">
        <v>47.68</v>
      </c>
      <c r="I334" s="31" t="n">
        <v>12.26</v>
      </c>
      <c r="J334" s="31" t="n">
        <v>3.75</v>
      </c>
      <c r="K334" s="31" t="n">
        <v>0.81</v>
      </c>
      <c r="L334" s="29" t="s">
        <v>145</v>
      </c>
    </row>
    <row r="335" customFormat="false" ht="15" hidden="false" customHeight="false" outlineLevel="0" collapsed="false">
      <c r="A335" s="29" t="s">
        <v>180</v>
      </c>
      <c r="B335" s="29" t="s">
        <v>182</v>
      </c>
      <c r="C335" s="29" t="s">
        <v>64</v>
      </c>
      <c r="D335" s="29" t="s">
        <v>45</v>
      </c>
      <c r="E335" s="29" t="s">
        <v>135</v>
      </c>
      <c r="F335" s="29" t="s">
        <v>133</v>
      </c>
      <c r="G335" s="30" t="n">
        <v>1386.03</v>
      </c>
      <c r="H335" s="31" t="n">
        <v>48.42</v>
      </c>
      <c r="I335" s="31" t="n">
        <v>12.43</v>
      </c>
      <c r="J335" s="31" t="n">
        <v>3.06</v>
      </c>
      <c r="K335" s="31" t="n">
        <v>1.36</v>
      </c>
      <c r="L335" s="29" t="s">
        <v>145</v>
      </c>
    </row>
    <row r="336" customFormat="false" ht="15" hidden="false" customHeight="false" outlineLevel="0" collapsed="false">
      <c r="A336" s="29" t="s">
        <v>180</v>
      </c>
      <c r="B336" s="29" t="s">
        <v>182</v>
      </c>
      <c r="C336" s="29" t="s">
        <v>64</v>
      </c>
      <c r="D336" s="29" t="s">
        <v>45</v>
      </c>
      <c r="E336" s="29" t="s">
        <v>135</v>
      </c>
      <c r="F336" s="29" t="s">
        <v>133</v>
      </c>
      <c r="G336" s="30" t="n">
        <v>2243.32</v>
      </c>
      <c r="H336" s="31" t="n">
        <v>47.68</v>
      </c>
      <c r="I336" s="31" t="n">
        <v>12.12</v>
      </c>
      <c r="J336" s="31" t="n">
        <v>3.66</v>
      </c>
      <c r="K336" s="31" t="n">
        <v>1.66</v>
      </c>
      <c r="L336" s="29" t="s">
        <v>141</v>
      </c>
    </row>
    <row r="337" customFormat="false" ht="15" hidden="false" customHeight="false" outlineLevel="0" collapsed="false">
      <c r="A337" s="29" t="s">
        <v>180</v>
      </c>
      <c r="B337" s="29" t="s">
        <v>182</v>
      </c>
      <c r="C337" s="29" t="s">
        <v>64</v>
      </c>
      <c r="D337" s="29" t="s">
        <v>44</v>
      </c>
      <c r="E337" s="29" t="s">
        <v>132</v>
      </c>
      <c r="F337" s="29" t="s">
        <v>133</v>
      </c>
      <c r="G337" s="30" t="n">
        <v>3579.53</v>
      </c>
      <c r="H337" s="31" t="n">
        <v>47.87</v>
      </c>
      <c r="I337" s="31" t="n">
        <v>12.19</v>
      </c>
      <c r="J337" s="31" t="n">
        <v>3.61</v>
      </c>
      <c r="K337" s="31" t="n">
        <v>1.92</v>
      </c>
      <c r="L337" s="29" t="s">
        <v>147</v>
      </c>
    </row>
    <row r="338" customFormat="false" ht="15" hidden="false" customHeight="false" outlineLevel="0" collapsed="false">
      <c r="A338" s="29" t="s">
        <v>180</v>
      </c>
      <c r="B338" s="29" t="s">
        <v>182</v>
      </c>
      <c r="C338" s="29" t="s">
        <v>64</v>
      </c>
      <c r="D338" s="29" t="s">
        <v>44</v>
      </c>
      <c r="E338" s="29" t="s">
        <v>135</v>
      </c>
      <c r="F338" s="29" t="s">
        <v>133</v>
      </c>
      <c r="G338" s="30" t="n">
        <v>15127.65</v>
      </c>
      <c r="H338" s="31" t="n">
        <v>48.02</v>
      </c>
      <c r="I338" s="31" t="n">
        <v>12.07</v>
      </c>
      <c r="J338" s="31" t="n">
        <v>3.48</v>
      </c>
      <c r="K338" s="31" t="n">
        <v>1.56</v>
      </c>
      <c r="L338" s="29" t="s">
        <v>147</v>
      </c>
    </row>
    <row r="339" customFormat="false" ht="15" hidden="false" customHeight="false" outlineLevel="0" collapsed="false">
      <c r="A339" s="29" t="s">
        <v>182</v>
      </c>
      <c r="B339" s="29" t="s">
        <v>183</v>
      </c>
      <c r="C339" s="29" t="s">
        <v>64</v>
      </c>
      <c r="D339" s="29" t="s">
        <v>41</v>
      </c>
      <c r="E339" s="29" t="s">
        <v>135</v>
      </c>
      <c r="F339" s="29" t="s">
        <v>133</v>
      </c>
      <c r="G339" s="30" t="n">
        <v>5064.31</v>
      </c>
      <c r="H339" s="31" t="n">
        <v>48.2</v>
      </c>
      <c r="I339" s="31" t="n">
        <v>12.3</v>
      </c>
      <c r="J339" s="31" t="n">
        <v>3.12</v>
      </c>
      <c r="K339" s="31" t="n">
        <v>0.96</v>
      </c>
      <c r="L339" s="29" t="s">
        <v>134</v>
      </c>
    </row>
    <row r="340" customFormat="false" ht="15" hidden="false" customHeight="false" outlineLevel="0" collapsed="false">
      <c r="A340" s="29" t="s">
        <v>182</v>
      </c>
      <c r="B340" s="29" t="s">
        <v>183</v>
      </c>
      <c r="C340" s="29" t="s">
        <v>64</v>
      </c>
      <c r="D340" s="29" t="s">
        <v>41</v>
      </c>
      <c r="E340" s="29" t="s">
        <v>135</v>
      </c>
      <c r="F340" s="29" t="s">
        <v>133</v>
      </c>
      <c r="G340" s="30" t="n">
        <v>3597.3</v>
      </c>
      <c r="H340" s="31" t="n">
        <v>47.39</v>
      </c>
      <c r="I340" s="31" t="n">
        <v>12.92</v>
      </c>
      <c r="J340" s="31" t="n">
        <v>3.8</v>
      </c>
      <c r="K340" s="31" t="n">
        <v>1.21</v>
      </c>
      <c r="L340" s="29" t="s">
        <v>149</v>
      </c>
    </row>
    <row r="341" customFormat="false" ht="15" hidden="false" customHeight="false" outlineLevel="0" collapsed="false">
      <c r="A341" s="29" t="s">
        <v>182</v>
      </c>
      <c r="B341" s="29" t="s">
        <v>183</v>
      </c>
      <c r="C341" s="29" t="s">
        <v>64</v>
      </c>
      <c r="D341" s="29" t="s">
        <v>40</v>
      </c>
      <c r="E341" s="29" t="s">
        <v>132</v>
      </c>
      <c r="F341" s="29" t="s">
        <v>133</v>
      </c>
      <c r="G341" s="30" t="n">
        <v>5150.25</v>
      </c>
      <c r="H341" s="31" t="n">
        <v>47.46</v>
      </c>
      <c r="I341" s="31" t="n">
        <v>11.79</v>
      </c>
      <c r="J341" s="31" t="n">
        <v>3.75</v>
      </c>
      <c r="K341" s="31" t="n">
        <v>1.98</v>
      </c>
      <c r="L341" s="29" t="s">
        <v>136</v>
      </c>
    </row>
    <row r="342" customFormat="false" ht="15" hidden="false" customHeight="false" outlineLevel="0" collapsed="false">
      <c r="A342" s="29" t="s">
        <v>182</v>
      </c>
      <c r="B342" s="29" t="s">
        <v>183</v>
      </c>
      <c r="C342" s="29" t="s">
        <v>64</v>
      </c>
      <c r="D342" s="29" t="s">
        <v>40</v>
      </c>
      <c r="E342" s="29" t="s">
        <v>135</v>
      </c>
      <c r="F342" s="29" t="s">
        <v>133</v>
      </c>
      <c r="G342" s="30" t="n">
        <v>786.24</v>
      </c>
      <c r="H342" s="31" t="n">
        <v>48.45</v>
      </c>
      <c r="I342" s="31" t="n">
        <v>11.42</v>
      </c>
      <c r="J342" s="31" t="n">
        <v>3.1</v>
      </c>
      <c r="K342" s="31" t="n">
        <v>1.08</v>
      </c>
      <c r="L342" s="29" t="s">
        <v>137</v>
      </c>
    </row>
    <row r="343" customFormat="false" ht="15" hidden="false" customHeight="false" outlineLevel="0" collapsed="false">
      <c r="A343" s="29" t="s">
        <v>182</v>
      </c>
      <c r="B343" s="29" t="s">
        <v>183</v>
      </c>
      <c r="C343" s="29" t="s">
        <v>64</v>
      </c>
      <c r="D343" s="29" t="s">
        <v>42</v>
      </c>
      <c r="E343" s="29" t="s">
        <v>132</v>
      </c>
      <c r="F343" s="29" t="s">
        <v>133</v>
      </c>
      <c r="G343" s="30" t="n">
        <v>2030.2</v>
      </c>
      <c r="H343" s="31" t="n">
        <v>47.14</v>
      </c>
      <c r="I343" s="31" t="n">
        <v>12.67</v>
      </c>
      <c r="J343" s="31" t="n">
        <v>3.88</v>
      </c>
      <c r="K343" s="31" t="n">
        <v>1.56</v>
      </c>
      <c r="L343" s="29" t="s">
        <v>181</v>
      </c>
    </row>
    <row r="344" customFormat="false" ht="15" hidden="false" customHeight="false" outlineLevel="0" collapsed="false">
      <c r="A344" s="29" t="s">
        <v>182</v>
      </c>
      <c r="B344" s="29" t="s">
        <v>183</v>
      </c>
      <c r="C344" s="29" t="s">
        <v>64</v>
      </c>
      <c r="D344" s="29" t="s">
        <v>48</v>
      </c>
      <c r="E344" s="29" t="s">
        <v>135</v>
      </c>
      <c r="F344" s="29" t="s">
        <v>133</v>
      </c>
      <c r="G344" s="30" t="n">
        <v>6332.47</v>
      </c>
      <c r="H344" s="31" t="n">
        <v>47.09</v>
      </c>
      <c r="I344" s="31" t="n">
        <v>12.46</v>
      </c>
      <c r="J344" s="31" t="n">
        <v>3.94</v>
      </c>
      <c r="K344" s="31" t="n">
        <v>1.31</v>
      </c>
      <c r="L344" s="29" t="s">
        <v>176</v>
      </c>
    </row>
    <row r="345" customFormat="false" ht="15" hidden="false" customHeight="false" outlineLevel="0" collapsed="false">
      <c r="A345" s="29" t="s">
        <v>182</v>
      </c>
      <c r="B345" s="29" t="s">
        <v>183</v>
      </c>
      <c r="C345" s="29" t="s">
        <v>64</v>
      </c>
      <c r="D345" s="29" t="s">
        <v>43</v>
      </c>
      <c r="E345" s="29" t="s">
        <v>135</v>
      </c>
      <c r="F345" s="29" t="s">
        <v>133</v>
      </c>
      <c r="G345" s="30" t="n">
        <v>3629.18</v>
      </c>
      <c r="H345" s="31" t="n">
        <v>47.22</v>
      </c>
      <c r="I345" s="31" t="n">
        <v>12.26</v>
      </c>
      <c r="J345" s="31" t="n">
        <v>3.83</v>
      </c>
      <c r="K345" s="31" t="n">
        <v>1.82</v>
      </c>
      <c r="L345" s="29" t="s">
        <v>141</v>
      </c>
    </row>
    <row r="346" customFormat="false" ht="15" hidden="false" customHeight="false" outlineLevel="0" collapsed="false">
      <c r="A346" s="29" t="s">
        <v>182</v>
      </c>
      <c r="B346" s="29" t="s">
        <v>183</v>
      </c>
      <c r="C346" s="29" t="s">
        <v>64</v>
      </c>
      <c r="D346" s="29" t="s">
        <v>39</v>
      </c>
      <c r="E346" s="29" t="s">
        <v>135</v>
      </c>
      <c r="F346" s="29" t="s">
        <v>133</v>
      </c>
      <c r="G346" s="30" t="n">
        <v>3696.89</v>
      </c>
      <c r="H346" s="31" t="n">
        <v>46.97</v>
      </c>
      <c r="I346" s="31" t="n">
        <v>12.03</v>
      </c>
      <c r="J346" s="31" t="n">
        <v>4.05</v>
      </c>
      <c r="K346" s="31" t="n">
        <v>1.71</v>
      </c>
      <c r="L346" s="29" t="s">
        <v>177</v>
      </c>
    </row>
    <row r="347" customFormat="false" ht="15" hidden="false" customHeight="false" outlineLevel="0" collapsed="false">
      <c r="A347" s="29" t="s">
        <v>182</v>
      </c>
      <c r="B347" s="29" t="s">
        <v>183</v>
      </c>
      <c r="C347" s="29" t="s">
        <v>64</v>
      </c>
      <c r="D347" s="29" t="s">
        <v>45</v>
      </c>
      <c r="E347" s="29" t="s">
        <v>132</v>
      </c>
      <c r="F347" s="29" t="s">
        <v>133</v>
      </c>
      <c r="G347" s="30" t="n">
        <v>810.46</v>
      </c>
      <c r="H347" s="31" t="n">
        <v>47.69</v>
      </c>
      <c r="I347" s="31" t="n">
        <v>12.01</v>
      </c>
      <c r="J347" s="31" t="n">
        <v>3.56</v>
      </c>
      <c r="K347" s="31" t="n">
        <v>1.41</v>
      </c>
      <c r="L347" s="29" t="s">
        <v>145</v>
      </c>
    </row>
    <row r="348" customFormat="false" ht="15" hidden="false" customHeight="false" outlineLevel="0" collapsed="false">
      <c r="A348" s="29" t="s">
        <v>182</v>
      </c>
      <c r="B348" s="29" t="s">
        <v>183</v>
      </c>
      <c r="C348" s="29" t="s">
        <v>64</v>
      </c>
      <c r="D348" s="29" t="s">
        <v>45</v>
      </c>
      <c r="E348" s="29" t="s">
        <v>135</v>
      </c>
      <c r="F348" s="29" t="s">
        <v>133</v>
      </c>
      <c r="G348" s="30" t="n">
        <v>8381.4</v>
      </c>
      <c r="H348" s="31" t="n">
        <v>47.14</v>
      </c>
      <c r="I348" s="31" t="n">
        <v>12.35</v>
      </c>
      <c r="J348" s="31" t="n">
        <v>3.85</v>
      </c>
      <c r="K348" s="31" t="n">
        <v>1.72</v>
      </c>
      <c r="L348" s="29" t="s">
        <v>145</v>
      </c>
    </row>
    <row r="349" customFormat="false" ht="15" hidden="false" customHeight="false" outlineLevel="0" collapsed="false">
      <c r="A349" s="29" t="s">
        <v>182</v>
      </c>
      <c r="B349" s="29" t="s">
        <v>183</v>
      </c>
      <c r="C349" s="29" t="s">
        <v>64</v>
      </c>
      <c r="D349" s="29" t="s">
        <v>45</v>
      </c>
      <c r="E349" s="29" t="s">
        <v>135</v>
      </c>
      <c r="F349" s="29" t="s">
        <v>133</v>
      </c>
      <c r="G349" s="30" t="n">
        <v>7196.24</v>
      </c>
      <c r="H349" s="31" t="n">
        <v>47.02</v>
      </c>
      <c r="I349" s="31" t="n">
        <v>12.28</v>
      </c>
      <c r="J349" s="31" t="n">
        <v>3.94</v>
      </c>
      <c r="K349" s="31" t="n">
        <v>1.57</v>
      </c>
      <c r="L349" s="29" t="s">
        <v>141</v>
      </c>
    </row>
    <row r="350" customFormat="false" ht="15" hidden="false" customHeight="false" outlineLevel="0" collapsed="false">
      <c r="A350" s="29" t="s">
        <v>182</v>
      </c>
      <c r="B350" s="29" t="s">
        <v>183</v>
      </c>
      <c r="C350" s="29" t="s">
        <v>64</v>
      </c>
      <c r="D350" s="29" t="s">
        <v>45</v>
      </c>
      <c r="E350" s="29" t="s">
        <v>135</v>
      </c>
      <c r="F350" s="29" t="s">
        <v>133</v>
      </c>
      <c r="G350" s="30" t="n">
        <v>1130.54</v>
      </c>
      <c r="H350" s="31" t="n">
        <v>47.31</v>
      </c>
      <c r="I350" s="31" t="n">
        <v>12.18</v>
      </c>
      <c r="J350" s="31" t="n">
        <v>3.88</v>
      </c>
      <c r="K350" s="31" t="n">
        <v>1.56</v>
      </c>
      <c r="L350" s="29" t="s">
        <v>178</v>
      </c>
    </row>
    <row r="351" customFormat="false" ht="15" hidden="false" customHeight="false" outlineLevel="0" collapsed="false">
      <c r="A351" s="29" t="s">
        <v>182</v>
      </c>
      <c r="B351" s="29" t="s">
        <v>183</v>
      </c>
      <c r="C351" s="29" t="s">
        <v>64</v>
      </c>
      <c r="D351" s="29" t="s">
        <v>44</v>
      </c>
      <c r="E351" s="29" t="s">
        <v>132</v>
      </c>
      <c r="F351" s="29" t="s">
        <v>133</v>
      </c>
      <c r="G351" s="30" t="n">
        <v>999.04</v>
      </c>
      <c r="H351" s="31" t="n">
        <v>47.63</v>
      </c>
      <c r="I351" s="31" t="n">
        <v>11.94</v>
      </c>
      <c r="J351" s="31" t="n">
        <v>3.58</v>
      </c>
      <c r="K351" s="31" t="n">
        <v>1.49</v>
      </c>
      <c r="L351" s="29" t="s">
        <v>147</v>
      </c>
    </row>
    <row r="352" customFormat="false" ht="15" hidden="false" customHeight="false" outlineLevel="0" collapsed="false">
      <c r="A352" s="29" t="s">
        <v>182</v>
      </c>
      <c r="B352" s="29" t="s">
        <v>183</v>
      </c>
      <c r="C352" s="29" t="s">
        <v>64</v>
      </c>
      <c r="D352" s="29" t="s">
        <v>44</v>
      </c>
      <c r="E352" s="29" t="s">
        <v>135</v>
      </c>
      <c r="F352" s="29" t="s">
        <v>133</v>
      </c>
      <c r="G352" s="30" t="n">
        <v>5657.64</v>
      </c>
      <c r="H352" s="31" t="n">
        <v>47.4</v>
      </c>
      <c r="I352" s="31" t="n">
        <v>12.37</v>
      </c>
      <c r="J352" s="31" t="n">
        <v>3.79</v>
      </c>
      <c r="K352" s="31" t="n">
        <v>1.65</v>
      </c>
      <c r="L352" s="29" t="s">
        <v>147</v>
      </c>
    </row>
    <row r="353" customFormat="false" ht="15" hidden="false" customHeight="false" outlineLevel="0" collapsed="false">
      <c r="A353" s="29" t="s">
        <v>183</v>
      </c>
      <c r="B353" s="29" t="s">
        <v>184</v>
      </c>
      <c r="C353" s="29" t="s">
        <v>65</v>
      </c>
      <c r="D353" s="29" t="s">
        <v>41</v>
      </c>
      <c r="E353" s="29" t="s">
        <v>135</v>
      </c>
      <c r="F353" s="29" t="s">
        <v>133</v>
      </c>
      <c r="G353" s="30" t="n">
        <v>10821.6</v>
      </c>
      <c r="H353" s="31" t="n">
        <v>47.86</v>
      </c>
      <c r="I353" s="31" t="n">
        <v>12.51</v>
      </c>
      <c r="J353" s="31" t="n">
        <v>3.45</v>
      </c>
      <c r="K353" s="31" t="n">
        <v>0.73</v>
      </c>
      <c r="L353" s="29" t="s">
        <v>134</v>
      </c>
    </row>
    <row r="354" customFormat="false" ht="15" hidden="false" customHeight="false" outlineLevel="0" collapsed="false">
      <c r="A354" s="29" t="s">
        <v>183</v>
      </c>
      <c r="B354" s="29" t="s">
        <v>184</v>
      </c>
      <c r="C354" s="29" t="s">
        <v>65</v>
      </c>
      <c r="D354" s="29" t="s">
        <v>41</v>
      </c>
      <c r="E354" s="29" t="s">
        <v>132</v>
      </c>
      <c r="F354" s="29" t="s">
        <v>133</v>
      </c>
      <c r="G354" s="30" t="n">
        <v>789.3</v>
      </c>
      <c r="H354" s="31" t="n">
        <v>47.62</v>
      </c>
      <c r="I354" s="31" t="n">
        <v>12.45</v>
      </c>
      <c r="J354" s="31" t="n">
        <v>3.65</v>
      </c>
      <c r="K354" s="31" t="n">
        <v>1.45</v>
      </c>
      <c r="L354" s="29" t="s">
        <v>149</v>
      </c>
    </row>
    <row r="355" customFormat="false" ht="15" hidden="false" customHeight="false" outlineLevel="0" collapsed="false">
      <c r="A355" s="29" t="s">
        <v>183</v>
      </c>
      <c r="B355" s="29" t="s">
        <v>184</v>
      </c>
      <c r="C355" s="29" t="s">
        <v>65</v>
      </c>
      <c r="D355" s="29" t="s">
        <v>41</v>
      </c>
      <c r="E355" s="29" t="s">
        <v>135</v>
      </c>
      <c r="F355" s="29" t="s">
        <v>133</v>
      </c>
      <c r="G355" s="30" t="n">
        <v>3473.07</v>
      </c>
      <c r="H355" s="31" t="n">
        <v>48.31</v>
      </c>
      <c r="I355" s="31" t="n">
        <v>12.28</v>
      </c>
      <c r="J355" s="31" t="n">
        <v>3.27</v>
      </c>
      <c r="K355" s="31" t="n">
        <v>0.78</v>
      </c>
      <c r="L355" s="29" t="s">
        <v>149</v>
      </c>
    </row>
    <row r="356" customFormat="false" ht="15" hidden="false" customHeight="false" outlineLevel="0" collapsed="false">
      <c r="A356" s="29" t="s">
        <v>183</v>
      </c>
      <c r="B356" s="29" t="s">
        <v>184</v>
      </c>
      <c r="C356" s="29" t="s">
        <v>65</v>
      </c>
      <c r="D356" s="29" t="s">
        <v>40</v>
      </c>
      <c r="E356" s="29" t="s">
        <v>132</v>
      </c>
      <c r="F356" s="29" t="s">
        <v>133</v>
      </c>
      <c r="G356" s="30" t="n">
        <v>5193.12</v>
      </c>
      <c r="H356" s="31" t="n">
        <v>47.35</v>
      </c>
      <c r="I356" s="31" t="n">
        <v>11.7</v>
      </c>
      <c r="J356" s="31" t="n">
        <v>3.81</v>
      </c>
      <c r="K356" s="31" t="n">
        <v>1.32</v>
      </c>
      <c r="L356" s="29" t="s">
        <v>136</v>
      </c>
    </row>
    <row r="357" customFormat="false" ht="15" hidden="false" customHeight="false" outlineLevel="0" collapsed="false">
      <c r="A357" s="29" t="s">
        <v>183</v>
      </c>
      <c r="B357" s="29" t="s">
        <v>184</v>
      </c>
      <c r="C357" s="29" t="s">
        <v>65</v>
      </c>
      <c r="D357" s="29" t="s">
        <v>40</v>
      </c>
      <c r="E357" s="29" t="s">
        <v>132</v>
      </c>
      <c r="F357" s="29" t="s">
        <v>133</v>
      </c>
      <c r="G357" s="30" t="n">
        <v>2182.21</v>
      </c>
      <c r="H357" s="31" t="n">
        <v>48.09</v>
      </c>
      <c r="I357" s="31" t="n">
        <v>11.73</v>
      </c>
      <c r="J357" s="31" t="n">
        <v>3.21</v>
      </c>
      <c r="K357" s="31" t="n">
        <v>1.31</v>
      </c>
      <c r="L357" s="29" t="s">
        <v>137</v>
      </c>
    </row>
    <row r="358" customFormat="false" ht="15" hidden="false" customHeight="false" outlineLevel="0" collapsed="false">
      <c r="A358" s="29" t="s">
        <v>183</v>
      </c>
      <c r="B358" s="29" t="s">
        <v>184</v>
      </c>
      <c r="C358" s="29" t="s">
        <v>65</v>
      </c>
      <c r="D358" s="29" t="s">
        <v>42</v>
      </c>
      <c r="E358" s="29" t="s">
        <v>132</v>
      </c>
      <c r="F358" s="29" t="s">
        <v>133</v>
      </c>
      <c r="G358" s="30" t="n">
        <v>1096.71</v>
      </c>
      <c r="H358" s="31" t="n">
        <v>47.29</v>
      </c>
      <c r="I358" s="31" t="n">
        <v>12.28</v>
      </c>
      <c r="J358" s="31" t="n">
        <v>3.89</v>
      </c>
      <c r="K358" s="31" t="n">
        <v>1.25</v>
      </c>
      <c r="L358" s="29" t="s">
        <v>185</v>
      </c>
    </row>
    <row r="359" customFormat="false" ht="15" hidden="false" customHeight="false" outlineLevel="0" collapsed="false">
      <c r="A359" s="29" t="s">
        <v>183</v>
      </c>
      <c r="B359" s="29" t="s">
        <v>184</v>
      </c>
      <c r="C359" s="29" t="s">
        <v>65</v>
      </c>
      <c r="D359" s="29" t="s">
        <v>42</v>
      </c>
      <c r="E359" s="29" t="s">
        <v>132</v>
      </c>
      <c r="F359" s="29" t="s">
        <v>133</v>
      </c>
      <c r="G359" s="30" t="n">
        <v>335.52</v>
      </c>
      <c r="H359" s="31" t="n">
        <v>47.49</v>
      </c>
      <c r="I359" s="31" t="n">
        <v>12.35</v>
      </c>
      <c r="J359" s="31" t="n">
        <v>3.7</v>
      </c>
      <c r="K359" s="31" t="n">
        <v>1.45</v>
      </c>
      <c r="L359" s="29" t="s">
        <v>181</v>
      </c>
    </row>
    <row r="360" customFormat="false" ht="15" hidden="false" customHeight="false" outlineLevel="0" collapsed="false">
      <c r="A360" s="29" t="s">
        <v>183</v>
      </c>
      <c r="B360" s="29" t="s">
        <v>184</v>
      </c>
      <c r="C360" s="29" t="s">
        <v>65</v>
      </c>
      <c r="D360" s="29" t="s">
        <v>48</v>
      </c>
      <c r="E360" s="29" t="s">
        <v>135</v>
      </c>
      <c r="F360" s="29" t="s">
        <v>133</v>
      </c>
      <c r="G360" s="30" t="n">
        <v>6694.98</v>
      </c>
      <c r="H360" s="31" t="n">
        <v>47.05</v>
      </c>
      <c r="I360" s="31" t="n">
        <v>13.46</v>
      </c>
      <c r="J360" s="31" t="n">
        <v>3.98</v>
      </c>
      <c r="K360" s="31" t="n">
        <v>0.94</v>
      </c>
      <c r="L360" s="29" t="s">
        <v>176</v>
      </c>
    </row>
    <row r="361" customFormat="false" ht="15" hidden="false" customHeight="false" outlineLevel="0" collapsed="false">
      <c r="A361" s="29" t="s">
        <v>183</v>
      </c>
      <c r="B361" s="29" t="s">
        <v>184</v>
      </c>
      <c r="C361" s="29" t="s">
        <v>65</v>
      </c>
      <c r="D361" s="29" t="s">
        <v>46</v>
      </c>
      <c r="E361" s="29" t="s">
        <v>135</v>
      </c>
      <c r="F361" s="29" t="s">
        <v>133</v>
      </c>
      <c r="G361" s="30" t="n">
        <v>1498.85</v>
      </c>
      <c r="H361" s="31" t="n">
        <v>47.84</v>
      </c>
      <c r="I361" s="31" t="n">
        <v>12.2</v>
      </c>
      <c r="J361" s="31" t="n">
        <v>3.5</v>
      </c>
      <c r="K361" s="31" t="n">
        <v>1.22</v>
      </c>
      <c r="L361" s="29" t="s">
        <v>141</v>
      </c>
    </row>
    <row r="362" customFormat="false" ht="15" hidden="false" customHeight="false" outlineLevel="0" collapsed="false">
      <c r="A362" s="29" t="s">
        <v>183</v>
      </c>
      <c r="B362" s="29" t="s">
        <v>184</v>
      </c>
      <c r="C362" s="29" t="s">
        <v>65</v>
      </c>
      <c r="D362" s="29" t="s">
        <v>43</v>
      </c>
      <c r="E362" s="29" t="s">
        <v>132</v>
      </c>
      <c r="F362" s="29" t="s">
        <v>133</v>
      </c>
      <c r="G362" s="30" t="n">
        <v>2759.2</v>
      </c>
      <c r="H362" s="31" t="n">
        <v>47.33</v>
      </c>
      <c r="I362" s="31" t="n">
        <v>12.09</v>
      </c>
      <c r="J362" s="31" t="n">
        <v>3.8</v>
      </c>
      <c r="K362" s="31" t="n">
        <v>1.23</v>
      </c>
      <c r="L362" s="29" t="s">
        <v>141</v>
      </c>
    </row>
    <row r="363" customFormat="false" ht="15" hidden="false" customHeight="false" outlineLevel="0" collapsed="false">
      <c r="A363" s="29" t="s">
        <v>183</v>
      </c>
      <c r="B363" s="29" t="s">
        <v>184</v>
      </c>
      <c r="C363" s="29" t="s">
        <v>65</v>
      </c>
      <c r="D363" s="29" t="s">
        <v>43</v>
      </c>
      <c r="E363" s="29" t="s">
        <v>135</v>
      </c>
      <c r="F363" s="29" t="s">
        <v>133</v>
      </c>
      <c r="G363" s="30" t="n">
        <v>21062.12</v>
      </c>
      <c r="H363" s="31" t="n">
        <v>46.75</v>
      </c>
      <c r="I363" s="31" t="n">
        <v>11.93</v>
      </c>
      <c r="J363" s="31" t="n">
        <v>4.1</v>
      </c>
      <c r="K363" s="31" t="n">
        <v>1.56</v>
      </c>
      <c r="L363" s="29" t="s">
        <v>141</v>
      </c>
    </row>
    <row r="364" customFormat="false" ht="15" hidden="false" customHeight="false" outlineLevel="0" collapsed="false">
      <c r="A364" s="29" t="s">
        <v>183</v>
      </c>
      <c r="B364" s="29" t="s">
        <v>184</v>
      </c>
      <c r="C364" s="29" t="s">
        <v>65</v>
      </c>
      <c r="D364" s="29" t="s">
        <v>39</v>
      </c>
      <c r="E364" s="29" t="s">
        <v>135</v>
      </c>
      <c r="F364" s="29" t="s">
        <v>133</v>
      </c>
      <c r="G364" s="30" t="n">
        <v>12160.7</v>
      </c>
      <c r="H364" s="31" t="n">
        <v>45.97</v>
      </c>
      <c r="I364" s="31" t="n">
        <v>12.15</v>
      </c>
      <c r="J364" s="31" t="n">
        <v>3.98</v>
      </c>
      <c r="K364" s="31" t="n">
        <v>1.49</v>
      </c>
      <c r="L364" s="29" t="s">
        <v>177</v>
      </c>
    </row>
    <row r="365" customFormat="false" ht="15" hidden="false" customHeight="false" outlineLevel="0" collapsed="false">
      <c r="A365" s="29" t="s">
        <v>183</v>
      </c>
      <c r="B365" s="29" t="s">
        <v>184</v>
      </c>
      <c r="C365" s="29" t="s">
        <v>65</v>
      </c>
      <c r="D365" s="29" t="s">
        <v>45</v>
      </c>
      <c r="E365" s="29" t="s">
        <v>132</v>
      </c>
      <c r="F365" s="29" t="s">
        <v>133</v>
      </c>
      <c r="G365" s="30" t="n">
        <v>37.21</v>
      </c>
      <c r="H365" s="31" t="n">
        <v>47.05</v>
      </c>
      <c r="I365" s="31" t="n">
        <v>12.36</v>
      </c>
      <c r="J365" s="31" t="n">
        <v>3.98</v>
      </c>
      <c r="K365" s="31" t="n">
        <v>1.49</v>
      </c>
      <c r="L365" s="29" t="s">
        <v>145</v>
      </c>
    </row>
    <row r="366" customFormat="false" ht="15" hidden="false" customHeight="false" outlineLevel="0" collapsed="false">
      <c r="A366" s="29" t="s">
        <v>183</v>
      </c>
      <c r="B366" s="29" t="s">
        <v>184</v>
      </c>
      <c r="C366" s="29" t="s">
        <v>65</v>
      </c>
      <c r="D366" s="29" t="s">
        <v>45</v>
      </c>
      <c r="E366" s="29" t="s">
        <v>135</v>
      </c>
      <c r="F366" s="29" t="s">
        <v>133</v>
      </c>
      <c r="G366" s="30" t="n">
        <v>13924.03</v>
      </c>
      <c r="H366" s="31" t="n">
        <v>47.25</v>
      </c>
      <c r="I366" s="31" t="n">
        <v>12.18</v>
      </c>
      <c r="J366" s="31" t="n">
        <v>3.83</v>
      </c>
      <c r="K366" s="31" t="n">
        <v>1.31</v>
      </c>
      <c r="L366" s="29" t="s">
        <v>145</v>
      </c>
    </row>
    <row r="367" customFormat="false" ht="15" hidden="false" customHeight="false" outlineLevel="0" collapsed="false">
      <c r="A367" s="29" t="s">
        <v>183</v>
      </c>
      <c r="B367" s="29" t="s">
        <v>184</v>
      </c>
      <c r="C367" s="29" t="s">
        <v>65</v>
      </c>
      <c r="D367" s="29" t="s">
        <v>45</v>
      </c>
      <c r="E367" s="29" t="s">
        <v>135</v>
      </c>
      <c r="F367" s="29" t="s">
        <v>133</v>
      </c>
      <c r="G367" s="30" t="n">
        <v>5975.61</v>
      </c>
      <c r="H367" s="31" t="n">
        <v>47.33</v>
      </c>
      <c r="I367" s="31" t="n">
        <v>12.12</v>
      </c>
      <c r="J367" s="31" t="n">
        <v>3.79</v>
      </c>
      <c r="K367" s="31" t="n">
        <v>1.52</v>
      </c>
      <c r="L367" s="29" t="s">
        <v>141</v>
      </c>
    </row>
    <row r="368" customFormat="false" ht="15" hidden="false" customHeight="false" outlineLevel="0" collapsed="false">
      <c r="A368" s="29" t="s">
        <v>183</v>
      </c>
      <c r="B368" s="29" t="s">
        <v>184</v>
      </c>
      <c r="C368" s="29" t="s">
        <v>65</v>
      </c>
      <c r="D368" s="29" t="s">
        <v>45</v>
      </c>
      <c r="E368" s="29" t="s">
        <v>135</v>
      </c>
      <c r="F368" s="29" t="s">
        <v>133</v>
      </c>
      <c r="G368" s="30" t="n">
        <v>3010.98</v>
      </c>
      <c r="H368" s="31" t="n">
        <v>46.94</v>
      </c>
      <c r="I368" s="31" t="n">
        <v>12.19</v>
      </c>
      <c r="J368" s="31" t="n">
        <v>3.95</v>
      </c>
      <c r="K368" s="31" t="n">
        <v>1.49</v>
      </c>
      <c r="L368" s="29" t="s">
        <v>178</v>
      </c>
    </row>
    <row r="369" customFormat="false" ht="15" hidden="false" customHeight="false" outlineLevel="0" collapsed="false">
      <c r="A369" s="29" t="s">
        <v>183</v>
      </c>
      <c r="B369" s="29" t="s">
        <v>184</v>
      </c>
      <c r="C369" s="29" t="s">
        <v>65</v>
      </c>
      <c r="D369" s="29" t="s">
        <v>44</v>
      </c>
      <c r="E369" s="29" t="s">
        <v>132</v>
      </c>
      <c r="F369" s="29" t="s">
        <v>133</v>
      </c>
      <c r="G369" s="30" t="n">
        <v>1068.77</v>
      </c>
      <c r="H369" s="31" t="n">
        <v>47.66</v>
      </c>
      <c r="I369" s="31" t="n">
        <v>12.11</v>
      </c>
      <c r="J369" s="31" t="n">
        <v>3.6</v>
      </c>
      <c r="K369" s="31" t="n">
        <v>1.51</v>
      </c>
      <c r="L369" s="29" t="s">
        <v>147</v>
      </c>
    </row>
    <row r="370" customFormat="false" ht="15" hidden="false" customHeight="false" outlineLevel="0" collapsed="false">
      <c r="A370" s="29" t="s">
        <v>183</v>
      </c>
      <c r="B370" s="29" t="s">
        <v>184</v>
      </c>
      <c r="C370" s="29" t="s">
        <v>65</v>
      </c>
      <c r="D370" s="29" t="s">
        <v>44</v>
      </c>
      <c r="E370" s="29" t="s">
        <v>135</v>
      </c>
      <c r="F370" s="29" t="s">
        <v>133</v>
      </c>
      <c r="G370" s="30" t="n">
        <v>11006.87</v>
      </c>
      <c r="H370" s="31" t="n">
        <v>47.44</v>
      </c>
      <c r="I370" s="31" t="n">
        <v>12.01</v>
      </c>
      <c r="J370" s="31" t="n">
        <v>3.85</v>
      </c>
      <c r="K370" s="31" t="n">
        <v>1.42</v>
      </c>
      <c r="L370" s="29" t="s">
        <v>147</v>
      </c>
    </row>
    <row r="371" customFormat="false" ht="15" hidden="false" customHeight="false" outlineLevel="0" collapsed="false">
      <c r="A371" s="29" t="s">
        <v>184</v>
      </c>
      <c r="B371" s="29" t="s">
        <v>186</v>
      </c>
      <c r="C371" s="29" t="s">
        <v>65</v>
      </c>
      <c r="D371" s="29" t="s">
        <v>41</v>
      </c>
      <c r="E371" s="29" t="s">
        <v>135</v>
      </c>
      <c r="F371" s="29" t="s">
        <v>133</v>
      </c>
      <c r="G371" s="30" t="n">
        <v>4098</v>
      </c>
      <c r="H371" s="31" t="n">
        <v>48.07</v>
      </c>
      <c r="I371" s="31" t="n">
        <v>12.64</v>
      </c>
      <c r="J371" s="31" t="n">
        <v>3.43</v>
      </c>
      <c r="K371" s="31" t="n">
        <v>0.89</v>
      </c>
      <c r="L371" s="29" t="s">
        <v>134</v>
      </c>
    </row>
    <row r="372" customFormat="false" ht="15" hidden="false" customHeight="false" outlineLevel="0" collapsed="false">
      <c r="A372" s="29" t="s">
        <v>184</v>
      </c>
      <c r="B372" s="29" t="s">
        <v>186</v>
      </c>
      <c r="C372" s="29" t="s">
        <v>65</v>
      </c>
      <c r="D372" s="29" t="s">
        <v>41</v>
      </c>
      <c r="E372" s="29" t="s">
        <v>132</v>
      </c>
      <c r="F372" s="29" t="s">
        <v>133</v>
      </c>
      <c r="G372" s="30" t="n">
        <v>1186.95</v>
      </c>
      <c r="H372" s="31" t="n">
        <v>47.17</v>
      </c>
      <c r="I372" s="31" t="n">
        <v>12.89</v>
      </c>
      <c r="J372" s="31" t="n">
        <v>3.9</v>
      </c>
      <c r="K372" s="31" t="n">
        <v>0.95</v>
      </c>
      <c r="L372" s="29" t="s">
        <v>149</v>
      </c>
    </row>
    <row r="373" customFormat="false" ht="15" hidden="false" customHeight="false" outlineLevel="0" collapsed="false">
      <c r="A373" s="29" t="s">
        <v>184</v>
      </c>
      <c r="B373" s="29" t="s">
        <v>186</v>
      </c>
      <c r="C373" s="29" t="s">
        <v>65</v>
      </c>
      <c r="D373" s="29" t="s">
        <v>41</v>
      </c>
      <c r="E373" s="29" t="s">
        <v>135</v>
      </c>
      <c r="F373" s="29" t="s">
        <v>133</v>
      </c>
      <c r="G373" s="30" t="n">
        <v>4469.73</v>
      </c>
      <c r="H373" s="31" t="n">
        <v>48.49</v>
      </c>
      <c r="I373" s="31" t="n">
        <v>12.16</v>
      </c>
      <c r="J373" s="31" t="n">
        <v>3.06</v>
      </c>
      <c r="K373" s="31" t="n">
        <v>1.01</v>
      </c>
      <c r="L373" s="29" t="s">
        <v>149</v>
      </c>
    </row>
    <row r="374" customFormat="false" ht="15" hidden="false" customHeight="false" outlineLevel="0" collapsed="false">
      <c r="A374" s="29" t="s">
        <v>184</v>
      </c>
      <c r="B374" s="29" t="s">
        <v>186</v>
      </c>
      <c r="C374" s="29" t="s">
        <v>65</v>
      </c>
      <c r="D374" s="29" t="s">
        <v>40</v>
      </c>
      <c r="E374" s="29" t="s">
        <v>132</v>
      </c>
      <c r="F374" s="29" t="s">
        <v>133</v>
      </c>
      <c r="G374" s="30" t="n">
        <v>4836.42</v>
      </c>
      <c r="H374" s="31" t="n">
        <v>47.38</v>
      </c>
      <c r="I374" s="31" t="n">
        <v>12.24</v>
      </c>
      <c r="J374" s="31" t="n">
        <v>3.8</v>
      </c>
      <c r="K374" s="31" t="n">
        <v>1.04</v>
      </c>
      <c r="L374" s="29" t="s">
        <v>136</v>
      </c>
    </row>
    <row r="375" customFormat="false" ht="15" hidden="false" customHeight="false" outlineLevel="0" collapsed="false">
      <c r="A375" s="29" t="s">
        <v>184</v>
      </c>
      <c r="B375" s="29" t="s">
        <v>186</v>
      </c>
      <c r="C375" s="29" t="s">
        <v>65</v>
      </c>
      <c r="D375" s="29" t="s">
        <v>40</v>
      </c>
      <c r="E375" s="29" t="s">
        <v>132</v>
      </c>
      <c r="F375" s="29" t="s">
        <v>133</v>
      </c>
      <c r="G375" s="30" t="n">
        <v>3635.37</v>
      </c>
      <c r="H375" s="31" t="n">
        <v>47.7</v>
      </c>
      <c r="I375" s="31" t="n">
        <v>11.87</v>
      </c>
      <c r="J375" s="31" t="n">
        <v>3.51</v>
      </c>
      <c r="K375" s="31" t="n">
        <v>1.55</v>
      </c>
      <c r="L375" s="29" t="s">
        <v>137</v>
      </c>
    </row>
    <row r="376" customFormat="false" ht="15" hidden="false" customHeight="false" outlineLevel="0" collapsed="false">
      <c r="A376" s="29" t="s">
        <v>184</v>
      </c>
      <c r="B376" s="29" t="s">
        <v>186</v>
      </c>
      <c r="C376" s="29" t="s">
        <v>65</v>
      </c>
      <c r="D376" s="29" t="s">
        <v>42</v>
      </c>
      <c r="E376" s="29" t="s">
        <v>132</v>
      </c>
      <c r="F376" s="29" t="s">
        <v>133</v>
      </c>
      <c r="G376" s="30" t="n">
        <v>3268.51</v>
      </c>
      <c r="H376" s="31" t="n">
        <v>47.09</v>
      </c>
      <c r="I376" s="31" t="n">
        <v>12.41</v>
      </c>
      <c r="J376" s="31" t="n">
        <v>3.94</v>
      </c>
      <c r="K376" s="31" t="n">
        <v>1.34</v>
      </c>
      <c r="L376" s="29" t="s">
        <v>185</v>
      </c>
    </row>
    <row r="377" customFormat="false" ht="15" hidden="false" customHeight="false" outlineLevel="0" collapsed="false">
      <c r="A377" s="29" t="s">
        <v>184</v>
      </c>
      <c r="B377" s="29" t="s">
        <v>186</v>
      </c>
      <c r="C377" s="29" t="s">
        <v>65</v>
      </c>
      <c r="D377" s="29" t="s">
        <v>42</v>
      </c>
      <c r="E377" s="29" t="s">
        <v>132</v>
      </c>
      <c r="F377" s="29" t="s">
        <v>133</v>
      </c>
      <c r="G377" s="30" t="n">
        <v>74.64</v>
      </c>
      <c r="H377" s="31" t="n">
        <v>46.35</v>
      </c>
      <c r="I377" s="31" t="n">
        <v>12.59</v>
      </c>
      <c r="J377" s="31" t="n">
        <v>4.76</v>
      </c>
      <c r="K377" s="31" t="n">
        <v>1.35</v>
      </c>
      <c r="L377" s="29" t="s">
        <v>181</v>
      </c>
    </row>
    <row r="378" customFormat="false" ht="15" hidden="false" customHeight="false" outlineLevel="0" collapsed="false">
      <c r="A378" s="29" t="s">
        <v>184</v>
      </c>
      <c r="B378" s="29" t="s">
        <v>186</v>
      </c>
      <c r="C378" s="29" t="s">
        <v>65</v>
      </c>
      <c r="D378" s="29" t="s">
        <v>48</v>
      </c>
      <c r="E378" s="29" t="s">
        <v>135</v>
      </c>
      <c r="F378" s="29" t="s">
        <v>133</v>
      </c>
      <c r="G378" s="30" t="n">
        <v>6938.12</v>
      </c>
      <c r="H378" s="31" t="n">
        <v>47.28</v>
      </c>
      <c r="I378" s="31" t="n">
        <v>13.43</v>
      </c>
      <c r="J378" s="31" t="n">
        <v>3.87</v>
      </c>
      <c r="K378" s="31" t="n">
        <v>0.86</v>
      </c>
      <c r="L378" s="29" t="s">
        <v>176</v>
      </c>
    </row>
    <row r="379" customFormat="false" ht="15" hidden="false" customHeight="false" outlineLevel="0" collapsed="false">
      <c r="A379" s="29" t="s">
        <v>184</v>
      </c>
      <c r="B379" s="29" t="s">
        <v>186</v>
      </c>
      <c r="C379" s="29" t="s">
        <v>65</v>
      </c>
      <c r="D379" s="29" t="s">
        <v>43</v>
      </c>
      <c r="E379" s="29" t="s">
        <v>132</v>
      </c>
      <c r="F379" s="29" t="s">
        <v>133</v>
      </c>
      <c r="G379" s="30" t="n">
        <v>1894.97</v>
      </c>
      <c r="H379" s="31" t="n">
        <v>47.13</v>
      </c>
      <c r="I379" s="31" t="n">
        <v>12.13</v>
      </c>
      <c r="J379" s="31" t="n">
        <v>3.87</v>
      </c>
      <c r="K379" s="31" t="n">
        <v>1.06</v>
      </c>
      <c r="L379" s="29" t="s">
        <v>141</v>
      </c>
    </row>
    <row r="380" customFormat="false" ht="15" hidden="false" customHeight="false" outlineLevel="0" collapsed="false">
      <c r="A380" s="29" t="s">
        <v>184</v>
      </c>
      <c r="B380" s="29" t="s">
        <v>186</v>
      </c>
      <c r="C380" s="29" t="s">
        <v>65</v>
      </c>
      <c r="D380" s="29" t="s">
        <v>43</v>
      </c>
      <c r="E380" s="29" t="s">
        <v>135</v>
      </c>
      <c r="F380" s="29" t="s">
        <v>133</v>
      </c>
      <c r="G380" s="30" t="n">
        <v>11309.86</v>
      </c>
      <c r="H380" s="31" t="n">
        <v>47.56</v>
      </c>
      <c r="I380" s="31" t="n">
        <v>12.1</v>
      </c>
      <c r="J380" s="31" t="n">
        <v>3.7</v>
      </c>
      <c r="K380" s="31" t="n">
        <v>1.42</v>
      </c>
      <c r="L380" s="29" t="s">
        <v>141</v>
      </c>
    </row>
    <row r="381" customFormat="false" ht="15" hidden="false" customHeight="false" outlineLevel="0" collapsed="false">
      <c r="A381" s="29" t="s">
        <v>184</v>
      </c>
      <c r="B381" s="29" t="s">
        <v>186</v>
      </c>
      <c r="C381" s="29" t="s">
        <v>65</v>
      </c>
      <c r="D381" s="29" t="s">
        <v>39</v>
      </c>
      <c r="E381" s="29" t="s">
        <v>135</v>
      </c>
      <c r="F381" s="29" t="s">
        <v>133</v>
      </c>
      <c r="G381" s="30" t="n">
        <v>6917.56</v>
      </c>
      <c r="H381" s="31" t="n">
        <v>45.34</v>
      </c>
      <c r="I381" s="31" t="n">
        <v>11.86</v>
      </c>
      <c r="J381" s="31" t="n">
        <v>4.8</v>
      </c>
      <c r="K381" s="31" t="n">
        <v>1.33</v>
      </c>
      <c r="L381" s="29" t="s">
        <v>177</v>
      </c>
    </row>
    <row r="382" customFormat="false" ht="15" hidden="false" customHeight="false" outlineLevel="0" collapsed="false">
      <c r="A382" s="29" t="s">
        <v>184</v>
      </c>
      <c r="B382" s="29" t="s">
        <v>186</v>
      </c>
      <c r="C382" s="29" t="s">
        <v>65</v>
      </c>
      <c r="D382" s="29" t="s">
        <v>45</v>
      </c>
      <c r="E382" s="29" t="s">
        <v>135</v>
      </c>
      <c r="F382" s="29" t="s">
        <v>133</v>
      </c>
      <c r="G382" s="30" t="n">
        <v>1071.6</v>
      </c>
      <c r="H382" s="31" t="n">
        <v>45.1</v>
      </c>
      <c r="I382" s="31" t="n">
        <v>11.99</v>
      </c>
      <c r="J382" s="31" t="n">
        <v>4.01</v>
      </c>
      <c r="K382" s="31" t="n">
        <v>1.29</v>
      </c>
      <c r="L382" s="29" t="s">
        <v>178</v>
      </c>
    </row>
    <row r="383" customFormat="false" ht="15" hidden="false" customHeight="false" outlineLevel="0" collapsed="false">
      <c r="A383" s="29" t="s">
        <v>184</v>
      </c>
      <c r="B383" s="29" t="s">
        <v>186</v>
      </c>
      <c r="C383" s="29" t="s">
        <v>65</v>
      </c>
      <c r="D383" s="29" t="s">
        <v>44</v>
      </c>
      <c r="E383" s="29" t="s">
        <v>132</v>
      </c>
      <c r="F383" s="29" t="s">
        <v>133</v>
      </c>
      <c r="G383" s="30" t="n">
        <v>5767.21</v>
      </c>
      <c r="H383" s="31" t="n">
        <v>47.04</v>
      </c>
      <c r="I383" s="31" t="n">
        <v>11.94</v>
      </c>
      <c r="J383" s="31" t="n">
        <v>3.99</v>
      </c>
      <c r="K383" s="31" t="n">
        <v>1.58</v>
      </c>
      <c r="L383" s="29" t="s">
        <v>147</v>
      </c>
    </row>
    <row r="384" customFormat="false" ht="15" hidden="false" customHeight="false" outlineLevel="0" collapsed="false">
      <c r="A384" s="29" t="s">
        <v>184</v>
      </c>
      <c r="B384" s="29" t="s">
        <v>186</v>
      </c>
      <c r="C384" s="29" t="s">
        <v>65</v>
      </c>
      <c r="D384" s="29" t="s">
        <v>44</v>
      </c>
      <c r="E384" s="29" t="s">
        <v>135</v>
      </c>
      <c r="F384" s="29" t="s">
        <v>133</v>
      </c>
      <c r="G384" s="30" t="n">
        <v>8484.49</v>
      </c>
      <c r="H384" s="31" t="n">
        <v>47.05</v>
      </c>
      <c r="I384" s="31" t="n">
        <v>11.93</v>
      </c>
      <c r="J384" s="31" t="n">
        <v>3.96</v>
      </c>
      <c r="K384" s="31" t="n">
        <v>1.49</v>
      </c>
      <c r="L384" s="29" t="s">
        <v>147</v>
      </c>
    </row>
    <row r="385" customFormat="false" ht="15" hidden="false" customHeight="false" outlineLevel="0" collapsed="false">
      <c r="A385" s="29" t="s">
        <v>186</v>
      </c>
      <c r="B385" s="29" t="s">
        <v>187</v>
      </c>
      <c r="C385" s="29" t="s">
        <v>65</v>
      </c>
      <c r="D385" s="29" t="s">
        <v>41</v>
      </c>
      <c r="E385" s="29" t="s">
        <v>135</v>
      </c>
      <c r="F385" s="29" t="s">
        <v>133</v>
      </c>
      <c r="G385" s="30" t="n">
        <v>15736.95</v>
      </c>
      <c r="H385" s="31" t="n">
        <v>48.01</v>
      </c>
      <c r="I385" s="31" t="n">
        <v>12.23</v>
      </c>
      <c r="J385" s="31" t="n">
        <v>3.48</v>
      </c>
      <c r="K385" s="31" t="n">
        <v>1.14</v>
      </c>
      <c r="L385" s="29" t="s">
        <v>134</v>
      </c>
    </row>
    <row r="386" customFormat="false" ht="15" hidden="false" customHeight="false" outlineLevel="0" collapsed="false">
      <c r="A386" s="29" t="s">
        <v>186</v>
      </c>
      <c r="B386" s="29" t="s">
        <v>187</v>
      </c>
      <c r="C386" s="29" t="s">
        <v>65</v>
      </c>
      <c r="D386" s="29" t="s">
        <v>41</v>
      </c>
      <c r="E386" s="29" t="s">
        <v>135</v>
      </c>
      <c r="F386" s="29" t="s">
        <v>133</v>
      </c>
      <c r="G386" s="30" t="n">
        <v>16497.8</v>
      </c>
      <c r="H386" s="31" t="n">
        <v>47.77</v>
      </c>
      <c r="I386" s="31" t="n">
        <v>12.2</v>
      </c>
      <c r="J386" s="31" t="n">
        <v>3.62</v>
      </c>
      <c r="K386" s="31" t="n">
        <v>1.44</v>
      </c>
      <c r="L386" s="29" t="s">
        <v>149</v>
      </c>
    </row>
    <row r="387" customFormat="false" ht="15" hidden="false" customHeight="false" outlineLevel="0" collapsed="false">
      <c r="A387" s="29" t="s">
        <v>186</v>
      </c>
      <c r="B387" s="29" t="s">
        <v>187</v>
      </c>
      <c r="C387" s="29" t="s">
        <v>65</v>
      </c>
      <c r="D387" s="29" t="s">
        <v>40</v>
      </c>
      <c r="E387" s="29" t="s">
        <v>132</v>
      </c>
      <c r="F387" s="29" t="s">
        <v>133</v>
      </c>
      <c r="G387" s="30" t="n">
        <v>12589.41</v>
      </c>
      <c r="H387" s="31" t="n">
        <v>47.44</v>
      </c>
      <c r="I387" s="31" t="n">
        <v>12.4</v>
      </c>
      <c r="J387" s="31" t="n">
        <v>3.72</v>
      </c>
      <c r="K387" s="31" t="n">
        <v>1.83</v>
      </c>
      <c r="L387" s="29" t="s">
        <v>136</v>
      </c>
    </row>
    <row r="388" customFormat="false" ht="15" hidden="false" customHeight="false" outlineLevel="0" collapsed="false">
      <c r="A388" s="29" t="s">
        <v>186</v>
      </c>
      <c r="B388" s="29" t="s">
        <v>187</v>
      </c>
      <c r="C388" s="29" t="s">
        <v>65</v>
      </c>
      <c r="D388" s="29" t="s">
        <v>40</v>
      </c>
      <c r="E388" s="29" t="s">
        <v>132</v>
      </c>
      <c r="F388" s="29" t="s">
        <v>133</v>
      </c>
      <c r="G388" s="30" t="n">
        <v>3271.13</v>
      </c>
      <c r="H388" s="31" t="n">
        <v>47.6</v>
      </c>
      <c r="I388" s="31" t="n">
        <v>12.56</v>
      </c>
      <c r="J388" s="31" t="n">
        <v>3.58</v>
      </c>
      <c r="K388" s="31" t="n">
        <v>1.88</v>
      </c>
      <c r="L388" s="29" t="s">
        <v>137</v>
      </c>
    </row>
    <row r="389" customFormat="false" ht="15" hidden="false" customHeight="false" outlineLevel="0" collapsed="false">
      <c r="A389" s="29" t="s">
        <v>186</v>
      </c>
      <c r="B389" s="29" t="s">
        <v>187</v>
      </c>
      <c r="C389" s="29" t="s">
        <v>65</v>
      </c>
      <c r="D389" s="29" t="s">
        <v>42</v>
      </c>
      <c r="E389" s="29" t="s">
        <v>132</v>
      </c>
      <c r="F389" s="29" t="s">
        <v>133</v>
      </c>
      <c r="G389" s="30" t="n">
        <v>229.82</v>
      </c>
      <c r="H389" s="31" t="n">
        <v>47.26</v>
      </c>
      <c r="I389" s="31" t="n">
        <v>11.78</v>
      </c>
      <c r="J389" s="31" t="n">
        <v>3.87</v>
      </c>
      <c r="K389" s="31" t="n">
        <v>1.65</v>
      </c>
      <c r="L389" s="29" t="s">
        <v>185</v>
      </c>
    </row>
    <row r="390" customFormat="false" ht="15" hidden="false" customHeight="false" outlineLevel="0" collapsed="false">
      <c r="A390" s="29" t="s">
        <v>186</v>
      </c>
      <c r="B390" s="29" t="s">
        <v>187</v>
      </c>
      <c r="C390" s="29" t="s">
        <v>65</v>
      </c>
      <c r="D390" s="29" t="s">
        <v>48</v>
      </c>
      <c r="E390" s="29" t="s">
        <v>135</v>
      </c>
      <c r="F390" s="29" t="s">
        <v>133</v>
      </c>
      <c r="G390" s="30" t="n">
        <v>6685.9</v>
      </c>
      <c r="H390" s="31" t="n">
        <v>47.38</v>
      </c>
      <c r="I390" s="31" t="n">
        <v>12.75</v>
      </c>
      <c r="J390" s="31" t="n">
        <v>3.9</v>
      </c>
      <c r="K390" s="31" t="n">
        <v>1.4</v>
      </c>
      <c r="L390" s="29" t="s">
        <v>176</v>
      </c>
    </row>
    <row r="391" customFormat="false" ht="15" hidden="false" customHeight="false" outlineLevel="0" collapsed="false">
      <c r="A391" s="29" t="s">
        <v>186</v>
      </c>
      <c r="B391" s="29" t="s">
        <v>187</v>
      </c>
      <c r="C391" s="29" t="s">
        <v>65</v>
      </c>
      <c r="D391" s="29" t="s">
        <v>43</v>
      </c>
      <c r="E391" s="29" t="s">
        <v>132</v>
      </c>
      <c r="F391" s="29" t="s">
        <v>133</v>
      </c>
      <c r="G391" s="30" t="n">
        <v>212.01</v>
      </c>
      <c r="H391" s="31" t="n">
        <v>47.49</v>
      </c>
      <c r="I391" s="31" t="n">
        <v>11.91</v>
      </c>
      <c r="J391" s="31" t="n">
        <v>3.68</v>
      </c>
      <c r="K391" s="31" t="n">
        <v>1.52</v>
      </c>
      <c r="L391" s="29" t="s">
        <v>141</v>
      </c>
    </row>
    <row r="392" customFormat="false" ht="15" hidden="false" customHeight="false" outlineLevel="0" collapsed="false">
      <c r="A392" s="29" t="s">
        <v>186</v>
      </c>
      <c r="B392" s="29" t="s">
        <v>187</v>
      </c>
      <c r="C392" s="29" t="s">
        <v>65</v>
      </c>
      <c r="D392" s="29" t="s">
        <v>43</v>
      </c>
      <c r="E392" s="29" t="s">
        <v>135</v>
      </c>
      <c r="F392" s="29" t="s">
        <v>133</v>
      </c>
      <c r="G392" s="30" t="n">
        <v>31313.41</v>
      </c>
      <c r="H392" s="31" t="n">
        <v>46.94</v>
      </c>
      <c r="I392" s="31" t="n">
        <v>11.82</v>
      </c>
      <c r="J392" s="31" t="n">
        <v>3.86</v>
      </c>
      <c r="K392" s="31" t="n">
        <v>1.87</v>
      </c>
      <c r="L392" s="29" t="s">
        <v>141</v>
      </c>
    </row>
    <row r="393" customFormat="false" ht="15" hidden="false" customHeight="false" outlineLevel="0" collapsed="false">
      <c r="A393" s="29" t="s">
        <v>186</v>
      </c>
      <c r="B393" s="29" t="s">
        <v>187</v>
      </c>
      <c r="C393" s="29" t="s">
        <v>65</v>
      </c>
      <c r="D393" s="29" t="s">
        <v>39</v>
      </c>
      <c r="E393" s="29" t="s">
        <v>135</v>
      </c>
      <c r="F393" s="29" t="s">
        <v>133</v>
      </c>
      <c r="G393" s="30" t="n">
        <v>18445.96</v>
      </c>
      <c r="H393" s="31" t="n">
        <v>47.41</v>
      </c>
      <c r="I393" s="31" t="n">
        <v>12.07</v>
      </c>
      <c r="J393" s="31" t="n">
        <v>3.75</v>
      </c>
      <c r="K393" s="31" t="n">
        <v>1.72</v>
      </c>
      <c r="L393" s="29" t="s">
        <v>177</v>
      </c>
    </row>
    <row r="394" customFormat="false" ht="15" hidden="false" customHeight="false" outlineLevel="0" collapsed="false">
      <c r="A394" s="29" t="s">
        <v>186</v>
      </c>
      <c r="B394" s="29" t="s">
        <v>187</v>
      </c>
      <c r="C394" s="29" t="s">
        <v>65</v>
      </c>
      <c r="D394" s="29" t="s">
        <v>45</v>
      </c>
      <c r="E394" s="29" t="s">
        <v>135</v>
      </c>
      <c r="F394" s="29" t="s">
        <v>133</v>
      </c>
      <c r="G394" s="30" t="n">
        <v>9716.42</v>
      </c>
      <c r="H394" s="31" t="n">
        <v>46.64</v>
      </c>
      <c r="I394" s="31" t="n">
        <v>11.84</v>
      </c>
      <c r="J394" s="31" t="n">
        <v>3.65</v>
      </c>
      <c r="K394" s="31" t="n">
        <v>1.78</v>
      </c>
      <c r="L394" s="29" t="s">
        <v>145</v>
      </c>
    </row>
    <row r="395" customFormat="false" ht="15" hidden="false" customHeight="false" outlineLevel="0" collapsed="false">
      <c r="A395" s="29" t="s">
        <v>186</v>
      </c>
      <c r="B395" s="29" t="s">
        <v>187</v>
      </c>
      <c r="C395" s="29" t="s">
        <v>65</v>
      </c>
      <c r="D395" s="29" t="s">
        <v>45</v>
      </c>
      <c r="E395" s="29" t="s">
        <v>135</v>
      </c>
      <c r="F395" s="29" t="s">
        <v>133</v>
      </c>
      <c r="G395" s="30" t="n">
        <v>5516.1</v>
      </c>
      <c r="H395" s="31" t="n">
        <v>47.64</v>
      </c>
      <c r="I395" s="31" t="n">
        <v>11.96</v>
      </c>
      <c r="J395" s="31" t="n">
        <v>3.69</v>
      </c>
      <c r="K395" s="31" t="n">
        <v>1.78</v>
      </c>
      <c r="L395" s="29" t="s">
        <v>141</v>
      </c>
    </row>
    <row r="396" customFormat="false" ht="15" hidden="false" customHeight="false" outlineLevel="0" collapsed="false">
      <c r="A396" s="29" t="s">
        <v>186</v>
      </c>
      <c r="B396" s="29" t="s">
        <v>187</v>
      </c>
      <c r="C396" s="29" t="s">
        <v>65</v>
      </c>
      <c r="D396" s="29" t="s">
        <v>45</v>
      </c>
      <c r="E396" s="29" t="s">
        <v>135</v>
      </c>
      <c r="F396" s="29" t="s">
        <v>133</v>
      </c>
      <c r="G396" s="30" t="n">
        <v>2897.92</v>
      </c>
      <c r="H396" s="31" t="n">
        <v>47.52</v>
      </c>
      <c r="I396" s="31" t="n">
        <v>12.06</v>
      </c>
      <c r="J396" s="31" t="n">
        <v>3.78</v>
      </c>
      <c r="K396" s="31" t="n">
        <v>1.72</v>
      </c>
      <c r="L396" s="29" t="s">
        <v>178</v>
      </c>
    </row>
    <row r="397" customFormat="false" ht="15" hidden="false" customHeight="false" outlineLevel="0" collapsed="false">
      <c r="A397" s="29" t="s">
        <v>186</v>
      </c>
      <c r="B397" s="29" t="s">
        <v>187</v>
      </c>
      <c r="C397" s="29" t="s">
        <v>65</v>
      </c>
      <c r="D397" s="29" t="s">
        <v>44</v>
      </c>
      <c r="E397" s="29" t="s">
        <v>132</v>
      </c>
      <c r="F397" s="29" t="s">
        <v>133</v>
      </c>
      <c r="G397" s="30" t="n">
        <v>3999.03</v>
      </c>
      <c r="H397" s="31" t="n">
        <v>46.63</v>
      </c>
      <c r="I397" s="31" t="n">
        <v>11.85</v>
      </c>
      <c r="J397" s="31" t="n">
        <v>3.68</v>
      </c>
      <c r="K397" s="31" t="n">
        <v>1.92</v>
      </c>
      <c r="L397" s="29" t="s">
        <v>147</v>
      </c>
    </row>
    <row r="398" customFormat="false" ht="15" hidden="false" customHeight="false" outlineLevel="0" collapsed="false">
      <c r="A398" s="29" t="s">
        <v>186</v>
      </c>
      <c r="B398" s="29" t="s">
        <v>187</v>
      </c>
      <c r="C398" s="29" t="s">
        <v>65</v>
      </c>
      <c r="D398" s="29" t="s">
        <v>44</v>
      </c>
      <c r="E398" s="29" t="s">
        <v>135</v>
      </c>
      <c r="F398" s="29" t="s">
        <v>133</v>
      </c>
      <c r="G398" s="30" t="n">
        <v>10667.47</v>
      </c>
      <c r="H398" s="31" t="n">
        <v>47.08</v>
      </c>
      <c r="I398" s="31" t="n">
        <v>11.75</v>
      </c>
      <c r="J398" s="31" t="n">
        <v>3.96</v>
      </c>
      <c r="K398" s="31" t="n">
        <v>1.79</v>
      </c>
      <c r="L398" s="29" t="s">
        <v>147</v>
      </c>
    </row>
    <row r="399" customFormat="false" ht="15" hidden="false" customHeight="false" outlineLevel="0" collapsed="false">
      <c r="A399" s="29" t="s">
        <v>187</v>
      </c>
      <c r="B399" s="29" t="s">
        <v>188</v>
      </c>
      <c r="C399" s="29" t="s">
        <v>65</v>
      </c>
      <c r="D399" s="29" t="s">
        <v>41</v>
      </c>
      <c r="E399" s="29" t="s">
        <v>135</v>
      </c>
      <c r="F399" s="29" t="s">
        <v>133</v>
      </c>
      <c r="G399" s="30" t="n">
        <v>10244.05</v>
      </c>
      <c r="H399" s="31" t="n">
        <v>48.58</v>
      </c>
      <c r="I399" s="31" t="n">
        <v>12.56</v>
      </c>
      <c r="J399" s="31" t="n">
        <v>3.03</v>
      </c>
      <c r="K399" s="31" t="n">
        <v>0.74</v>
      </c>
      <c r="L399" s="29" t="s">
        <v>134</v>
      </c>
    </row>
    <row r="400" customFormat="false" ht="15" hidden="false" customHeight="false" outlineLevel="0" collapsed="false">
      <c r="A400" s="29" t="s">
        <v>187</v>
      </c>
      <c r="B400" s="29" t="s">
        <v>188</v>
      </c>
      <c r="C400" s="29" t="s">
        <v>65</v>
      </c>
      <c r="D400" s="29" t="s">
        <v>41</v>
      </c>
      <c r="E400" s="29" t="s">
        <v>135</v>
      </c>
      <c r="F400" s="29" t="s">
        <v>133</v>
      </c>
      <c r="G400" s="30" t="n">
        <v>10458.44</v>
      </c>
      <c r="H400" s="31" t="n">
        <v>48.12</v>
      </c>
      <c r="I400" s="31" t="n">
        <v>12.66</v>
      </c>
      <c r="J400" s="31" t="n">
        <v>3.44</v>
      </c>
      <c r="K400" s="31" t="n">
        <v>1.11</v>
      </c>
      <c r="L400" s="29" t="s">
        <v>149</v>
      </c>
    </row>
    <row r="401" customFormat="false" ht="15" hidden="false" customHeight="false" outlineLevel="0" collapsed="false">
      <c r="A401" s="29" t="s">
        <v>187</v>
      </c>
      <c r="B401" s="29" t="s">
        <v>188</v>
      </c>
      <c r="C401" s="29" t="s">
        <v>65</v>
      </c>
      <c r="D401" s="29" t="s">
        <v>40</v>
      </c>
      <c r="E401" s="29" t="s">
        <v>132</v>
      </c>
      <c r="F401" s="29" t="s">
        <v>133</v>
      </c>
      <c r="G401" s="30" t="n">
        <v>7499.24</v>
      </c>
      <c r="H401" s="31" t="n">
        <v>47.12</v>
      </c>
      <c r="I401" s="31" t="n">
        <v>12.15</v>
      </c>
      <c r="J401" s="31" t="n">
        <v>3.93</v>
      </c>
      <c r="K401" s="31" t="n">
        <v>1.27</v>
      </c>
      <c r="L401" s="29" t="s">
        <v>136</v>
      </c>
    </row>
    <row r="402" customFormat="false" ht="15" hidden="false" customHeight="false" outlineLevel="0" collapsed="false">
      <c r="A402" s="29" t="s">
        <v>187</v>
      </c>
      <c r="B402" s="29" t="s">
        <v>188</v>
      </c>
      <c r="C402" s="29" t="s">
        <v>65</v>
      </c>
      <c r="D402" s="29" t="s">
        <v>40</v>
      </c>
      <c r="E402" s="29" t="s">
        <v>132</v>
      </c>
      <c r="F402" s="29" t="s">
        <v>133</v>
      </c>
      <c r="G402" s="30" t="n">
        <v>2331.89</v>
      </c>
      <c r="H402" s="31" t="n">
        <v>47.55</v>
      </c>
      <c r="I402" s="31" t="n">
        <v>12.79</v>
      </c>
      <c r="J402" s="31" t="n">
        <v>3.74</v>
      </c>
      <c r="K402" s="31" t="n">
        <v>1.58</v>
      </c>
      <c r="L402" s="29" t="s">
        <v>137</v>
      </c>
    </row>
    <row r="403" customFormat="false" ht="15" hidden="false" customHeight="false" outlineLevel="0" collapsed="false">
      <c r="A403" s="29" t="s">
        <v>187</v>
      </c>
      <c r="B403" s="29" t="s">
        <v>188</v>
      </c>
      <c r="C403" s="29" t="s">
        <v>65</v>
      </c>
      <c r="D403" s="29" t="s">
        <v>40</v>
      </c>
      <c r="E403" s="29" t="s">
        <v>135</v>
      </c>
      <c r="F403" s="29" t="s">
        <v>133</v>
      </c>
      <c r="G403" s="30" t="n">
        <v>1796.62</v>
      </c>
      <c r="H403" s="31" t="n">
        <v>47.69</v>
      </c>
      <c r="I403" s="31" t="n">
        <v>12.54</v>
      </c>
      <c r="J403" s="31" t="n">
        <v>3.75</v>
      </c>
      <c r="K403" s="31" t="n">
        <v>1.44</v>
      </c>
      <c r="L403" s="29" t="s">
        <v>189</v>
      </c>
    </row>
    <row r="404" customFormat="false" ht="15" hidden="false" customHeight="false" outlineLevel="0" collapsed="false">
      <c r="A404" s="29" t="s">
        <v>187</v>
      </c>
      <c r="B404" s="29" t="s">
        <v>188</v>
      </c>
      <c r="C404" s="29" t="s">
        <v>65</v>
      </c>
      <c r="D404" s="29" t="s">
        <v>48</v>
      </c>
      <c r="E404" s="29" t="s">
        <v>135</v>
      </c>
      <c r="F404" s="29" t="s">
        <v>133</v>
      </c>
      <c r="G404" s="30" t="n">
        <v>13543.86</v>
      </c>
      <c r="H404" s="31" t="n">
        <v>47.69</v>
      </c>
      <c r="I404" s="31" t="n">
        <v>12.67</v>
      </c>
      <c r="J404" s="31" t="n">
        <v>3.78</v>
      </c>
      <c r="K404" s="31" t="n">
        <v>1.12</v>
      </c>
      <c r="L404" s="29" t="s">
        <v>176</v>
      </c>
    </row>
    <row r="405" customFormat="false" ht="15" hidden="false" customHeight="false" outlineLevel="0" collapsed="false">
      <c r="A405" s="29" t="s">
        <v>187</v>
      </c>
      <c r="B405" s="29" t="s">
        <v>188</v>
      </c>
      <c r="C405" s="29" t="s">
        <v>65</v>
      </c>
      <c r="D405" s="29" t="s">
        <v>46</v>
      </c>
      <c r="E405" s="29" t="s">
        <v>135</v>
      </c>
      <c r="F405" s="29" t="s">
        <v>133</v>
      </c>
      <c r="G405" s="30" t="n">
        <v>10083.64</v>
      </c>
      <c r="H405" s="31" t="n">
        <v>47.34</v>
      </c>
      <c r="I405" s="31" t="n">
        <v>12.38</v>
      </c>
      <c r="J405" s="31" t="n">
        <v>3.79</v>
      </c>
      <c r="K405" s="31" t="n">
        <v>1.6</v>
      </c>
      <c r="L405" s="29" t="s">
        <v>141</v>
      </c>
    </row>
    <row r="406" customFormat="false" ht="15" hidden="false" customHeight="false" outlineLevel="0" collapsed="false">
      <c r="A406" s="29" t="s">
        <v>187</v>
      </c>
      <c r="B406" s="29" t="s">
        <v>188</v>
      </c>
      <c r="C406" s="29" t="s">
        <v>65</v>
      </c>
      <c r="D406" s="29" t="s">
        <v>43</v>
      </c>
      <c r="E406" s="29" t="s">
        <v>135</v>
      </c>
      <c r="F406" s="29" t="s">
        <v>133</v>
      </c>
      <c r="G406" s="30" t="n">
        <v>1476.5</v>
      </c>
      <c r="H406" s="31" t="n">
        <v>47.05</v>
      </c>
      <c r="I406" s="31" t="n">
        <v>12.12</v>
      </c>
      <c r="J406" s="31" t="n">
        <v>3.7</v>
      </c>
      <c r="K406" s="31" t="n">
        <v>1.75</v>
      </c>
      <c r="L406" s="29" t="s">
        <v>141</v>
      </c>
    </row>
    <row r="407" customFormat="false" ht="15" hidden="false" customHeight="false" outlineLevel="0" collapsed="false">
      <c r="A407" s="29" t="s">
        <v>187</v>
      </c>
      <c r="B407" s="29" t="s">
        <v>188</v>
      </c>
      <c r="C407" s="29" t="s">
        <v>65</v>
      </c>
      <c r="D407" s="29" t="s">
        <v>39</v>
      </c>
      <c r="E407" s="29" t="s">
        <v>135</v>
      </c>
      <c r="F407" s="29" t="s">
        <v>133</v>
      </c>
      <c r="G407" s="30" t="n">
        <v>6739</v>
      </c>
      <c r="H407" s="31" t="n">
        <v>47.37</v>
      </c>
      <c r="I407" s="31" t="n">
        <v>12.29</v>
      </c>
      <c r="J407" s="31" t="n">
        <v>3.83</v>
      </c>
      <c r="K407" s="31" t="n">
        <v>1.51</v>
      </c>
      <c r="L407" s="29" t="s">
        <v>177</v>
      </c>
    </row>
    <row r="408" customFormat="false" ht="15" hidden="false" customHeight="false" outlineLevel="0" collapsed="false">
      <c r="A408" s="29" t="s">
        <v>187</v>
      </c>
      <c r="B408" s="29" t="s">
        <v>188</v>
      </c>
      <c r="C408" s="29" t="s">
        <v>65</v>
      </c>
      <c r="D408" s="29" t="s">
        <v>45</v>
      </c>
      <c r="E408" s="29" t="s">
        <v>135</v>
      </c>
      <c r="F408" s="29" t="s">
        <v>133</v>
      </c>
      <c r="G408" s="30" t="n">
        <v>20129.4</v>
      </c>
      <c r="H408" s="31" t="n">
        <v>47.24</v>
      </c>
      <c r="I408" s="31" t="n">
        <v>12.31</v>
      </c>
      <c r="J408" s="31" t="n">
        <v>3.86</v>
      </c>
      <c r="K408" s="31" t="n">
        <v>1.7</v>
      </c>
      <c r="L408" s="29" t="s">
        <v>145</v>
      </c>
    </row>
    <row r="409" customFormat="false" ht="15" hidden="false" customHeight="false" outlineLevel="0" collapsed="false">
      <c r="A409" s="29" t="s">
        <v>187</v>
      </c>
      <c r="B409" s="29" t="s">
        <v>188</v>
      </c>
      <c r="C409" s="29" t="s">
        <v>65</v>
      </c>
      <c r="D409" s="29" t="s">
        <v>45</v>
      </c>
      <c r="E409" s="29" t="s">
        <v>135</v>
      </c>
      <c r="F409" s="29" t="s">
        <v>133</v>
      </c>
      <c r="G409" s="30" t="n">
        <v>16136.15</v>
      </c>
      <c r="H409" s="31" t="n">
        <v>47.44</v>
      </c>
      <c r="I409" s="31" t="n">
        <v>12.08</v>
      </c>
      <c r="J409" s="31" t="n">
        <v>3.83</v>
      </c>
      <c r="K409" s="31" t="n">
        <v>1.7</v>
      </c>
      <c r="L409" s="29" t="s">
        <v>141</v>
      </c>
    </row>
    <row r="410" customFormat="false" ht="15" hidden="false" customHeight="false" outlineLevel="0" collapsed="false">
      <c r="A410" s="29" t="s">
        <v>187</v>
      </c>
      <c r="B410" s="29" t="s">
        <v>188</v>
      </c>
      <c r="C410" s="29" t="s">
        <v>65</v>
      </c>
      <c r="D410" s="29" t="s">
        <v>45</v>
      </c>
      <c r="E410" s="29" t="s">
        <v>135</v>
      </c>
      <c r="F410" s="29" t="s">
        <v>133</v>
      </c>
      <c r="G410" s="30" t="n">
        <v>86.26</v>
      </c>
      <c r="H410" s="31" t="n">
        <v>47.33</v>
      </c>
      <c r="I410" s="31" t="n">
        <v>12.23</v>
      </c>
      <c r="J410" s="31" t="n">
        <v>3.83</v>
      </c>
      <c r="K410" s="31" t="n">
        <v>1.58</v>
      </c>
      <c r="L410" s="29" t="s">
        <v>178</v>
      </c>
    </row>
    <row r="411" customFormat="false" ht="15" hidden="false" customHeight="false" outlineLevel="0" collapsed="false">
      <c r="A411" s="29" t="s">
        <v>187</v>
      </c>
      <c r="B411" s="29" t="s">
        <v>188</v>
      </c>
      <c r="C411" s="29" t="s">
        <v>65</v>
      </c>
      <c r="D411" s="29" t="s">
        <v>44</v>
      </c>
      <c r="E411" s="29" t="s">
        <v>132</v>
      </c>
      <c r="F411" s="29" t="s">
        <v>133</v>
      </c>
      <c r="G411" s="30" t="n">
        <v>5898.39</v>
      </c>
      <c r="H411" s="31" t="n">
        <v>47.28</v>
      </c>
      <c r="I411" s="31" t="n">
        <v>12.13</v>
      </c>
      <c r="J411" s="31" t="n">
        <v>3.54</v>
      </c>
      <c r="K411" s="31" t="n">
        <v>1.44</v>
      </c>
      <c r="L411" s="29" t="s">
        <v>147</v>
      </c>
    </row>
    <row r="412" customFormat="false" ht="15" hidden="false" customHeight="false" outlineLevel="0" collapsed="false">
      <c r="A412" s="29" t="s">
        <v>187</v>
      </c>
      <c r="B412" s="29" t="s">
        <v>188</v>
      </c>
      <c r="C412" s="29" t="s">
        <v>65</v>
      </c>
      <c r="D412" s="29" t="s">
        <v>44</v>
      </c>
      <c r="E412" s="29" t="s">
        <v>135</v>
      </c>
      <c r="F412" s="29" t="s">
        <v>133</v>
      </c>
      <c r="G412" s="30" t="n">
        <v>776.51</v>
      </c>
      <c r="H412" s="31" t="n">
        <v>47.08</v>
      </c>
      <c r="I412" s="31" t="n">
        <v>12.12</v>
      </c>
      <c r="J412" s="31" t="n">
        <v>3.88</v>
      </c>
      <c r="K412" s="31" t="n">
        <v>1.62</v>
      </c>
      <c r="L412" s="29" t="s">
        <v>147</v>
      </c>
    </row>
    <row r="413" customFormat="false" ht="15" hidden="false" customHeight="false" outlineLevel="0" collapsed="false">
      <c r="A413" s="29" t="s">
        <v>188</v>
      </c>
      <c r="B413" s="29" t="s">
        <v>190</v>
      </c>
      <c r="C413" s="29" t="s">
        <v>66</v>
      </c>
      <c r="D413" s="29" t="s">
        <v>41</v>
      </c>
      <c r="E413" s="29" t="s">
        <v>135</v>
      </c>
      <c r="F413" s="29" t="s">
        <v>133</v>
      </c>
      <c r="G413" s="30" t="n">
        <v>4163.45</v>
      </c>
      <c r="H413" s="31" t="n">
        <v>47.91</v>
      </c>
      <c r="I413" s="31" t="n">
        <v>12.62</v>
      </c>
      <c r="J413" s="31" t="n">
        <v>3.56</v>
      </c>
      <c r="K413" s="31" t="n">
        <v>1.42</v>
      </c>
      <c r="L413" s="29" t="s">
        <v>149</v>
      </c>
    </row>
    <row r="414" customFormat="false" ht="15" hidden="false" customHeight="false" outlineLevel="0" collapsed="false">
      <c r="A414" s="29" t="s">
        <v>188</v>
      </c>
      <c r="B414" s="29" t="s">
        <v>190</v>
      </c>
      <c r="C414" s="29" t="s">
        <v>66</v>
      </c>
      <c r="D414" s="29" t="s">
        <v>40</v>
      </c>
      <c r="E414" s="29" t="s">
        <v>132</v>
      </c>
      <c r="F414" s="29" t="s">
        <v>133</v>
      </c>
      <c r="G414" s="30" t="n">
        <v>7067.8</v>
      </c>
      <c r="H414" s="31" t="n">
        <v>47.9</v>
      </c>
      <c r="I414" s="31" t="n">
        <v>12.22</v>
      </c>
      <c r="J414" s="31" t="n">
        <v>3.57</v>
      </c>
      <c r="K414" s="31" t="n">
        <v>1.2</v>
      </c>
      <c r="L414" s="29" t="s">
        <v>136</v>
      </c>
    </row>
    <row r="415" customFormat="false" ht="15" hidden="false" customHeight="false" outlineLevel="0" collapsed="false">
      <c r="A415" s="29" t="s">
        <v>188</v>
      </c>
      <c r="B415" s="29" t="s">
        <v>190</v>
      </c>
      <c r="C415" s="29" t="s">
        <v>66</v>
      </c>
      <c r="D415" s="29" t="s">
        <v>40</v>
      </c>
      <c r="E415" s="29" t="s">
        <v>132</v>
      </c>
      <c r="F415" s="29" t="s">
        <v>133</v>
      </c>
      <c r="G415" s="30" t="n">
        <v>1948.89</v>
      </c>
      <c r="H415" s="31" t="n">
        <v>47.79</v>
      </c>
      <c r="I415" s="31" t="n">
        <v>12.52</v>
      </c>
      <c r="J415" s="31" t="n">
        <v>3.74</v>
      </c>
      <c r="K415" s="31" t="n">
        <v>1.15</v>
      </c>
      <c r="L415" s="29" t="s">
        <v>137</v>
      </c>
    </row>
    <row r="416" customFormat="false" ht="15" hidden="false" customHeight="false" outlineLevel="0" collapsed="false">
      <c r="A416" s="29" t="s">
        <v>188</v>
      </c>
      <c r="B416" s="29" t="s">
        <v>190</v>
      </c>
      <c r="C416" s="29" t="s">
        <v>66</v>
      </c>
      <c r="D416" s="29" t="s">
        <v>40</v>
      </c>
      <c r="E416" s="29" t="s">
        <v>135</v>
      </c>
      <c r="F416" s="29" t="s">
        <v>133</v>
      </c>
      <c r="G416" s="30" t="n">
        <v>178.36</v>
      </c>
      <c r="H416" s="31" t="n">
        <v>47.57</v>
      </c>
      <c r="I416" s="31" t="n">
        <v>13.03</v>
      </c>
      <c r="J416" s="31" t="n">
        <v>3.81</v>
      </c>
      <c r="K416" s="31" t="n">
        <v>1.43</v>
      </c>
      <c r="L416" s="29" t="s">
        <v>189</v>
      </c>
    </row>
    <row r="417" customFormat="false" ht="15" hidden="false" customHeight="false" outlineLevel="0" collapsed="false">
      <c r="A417" s="29" t="s">
        <v>188</v>
      </c>
      <c r="B417" s="29" t="s">
        <v>190</v>
      </c>
      <c r="C417" s="29" t="s">
        <v>66</v>
      </c>
      <c r="D417" s="29" t="s">
        <v>42</v>
      </c>
      <c r="E417" s="29" t="s">
        <v>132</v>
      </c>
      <c r="F417" s="29" t="s">
        <v>133</v>
      </c>
      <c r="G417" s="30" t="n">
        <v>229.82</v>
      </c>
      <c r="H417" s="31" t="n">
        <v>47.26</v>
      </c>
      <c r="I417" s="31" t="n">
        <v>11.78</v>
      </c>
      <c r="J417" s="31" t="n">
        <v>3.87</v>
      </c>
      <c r="K417" s="31" t="n">
        <v>1.65</v>
      </c>
      <c r="L417" s="29" t="s">
        <v>185</v>
      </c>
    </row>
    <row r="418" customFormat="false" ht="15" hidden="false" customHeight="false" outlineLevel="0" collapsed="false">
      <c r="A418" s="29" t="s">
        <v>188</v>
      </c>
      <c r="B418" s="29" t="s">
        <v>190</v>
      </c>
      <c r="C418" s="29" t="s">
        <v>66</v>
      </c>
      <c r="D418" s="29" t="s">
        <v>48</v>
      </c>
      <c r="E418" s="29" t="s">
        <v>135</v>
      </c>
      <c r="F418" s="29" t="s">
        <v>133</v>
      </c>
      <c r="G418" s="30" t="n">
        <v>6769.23</v>
      </c>
      <c r="H418" s="31" t="n">
        <v>47.87</v>
      </c>
      <c r="I418" s="31" t="n">
        <v>12.71</v>
      </c>
      <c r="J418" s="31" t="n">
        <v>3.61</v>
      </c>
      <c r="K418" s="31" t="n">
        <v>1.08</v>
      </c>
      <c r="L418" s="29" t="s">
        <v>176</v>
      </c>
    </row>
    <row r="419" customFormat="false" ht="15" hidden="false" customHeight="false" outlineLevel="0" collapsed="false">
      <c r="A419" s="29" t="s">
        <v>188</v>
      </c>
      <c r="B419" s="29" t="s">
        <v>190</v>
      </c>
      <c r="C419" s="29" t="s">
        <v>66</v>
      </c>
      <c r="D419" s="29" t="s">
        <v>46</v>
      </c>
      <c r="E419" s="29" t="s">
        <v>135</v>
      </c>
      <c r="F419" s="29" t="s">
        <v>133</v>
      </c>
      <c r="G419" s="30" t="n">
        <v>3730.96</v>
      </c>
      <c r="H419" s="31" t="n">
        <v>47.3</v>
      </c>
      <c r="I419" s="31" t="n">
        <v>12.52</v>
      </c>
      <c r="J419" s="31" t="n">
        <v>3.82</v>
      </c>
      <c r="K419" s="31" t="n">
        <v>1.65</v>
      </c>
      <c r="L419" s="29" t="s">
        <v>141</v>
      </c>
    </row>
    <row r="420" customFormat="false" ht="15" hidden="false" customHeight="false" outlineLevel="0" collapsed="false">
      <c r="A420" s="29" t="s">
        <v>188</v>
      </c>
      <c r="B420" s="29" t="s">
        <v>190</v>
      </c>
      <c r="C420" s="29" t="s">
        <v>66</v>
      </c>
      <c r="D420" s="29" t="s">
        <v>43</v>
      </c>
      <c r="E420" s="29" t="s">
        <v>135</v>
      </c>
      <c r="F420" s="29" t="s">
        <v>133</v>
      </c>
      <c r="G420" s="30" t="n">
        <v>16598.01</v>
      </c>
      <c r="H420" s="31" t="n">
        <v>47.51</v>
      </c>
      <c r="I420" s="31" t="n">
        <v>12.76</v>
      </c>
      <c r="J420" s="31" t="n">
        <v>3.64</v>
      </c>
      <c r="K420" s="31" t="n">
        <v>1.57</v>
      </c>
      <c r="L420" s="29" t="s">
        <v>141</v>
      </c>
    </row>
    <row r="421" customFormat="false" ht="15" hidden="false" customHeight="false" outlineLevel="0" collapsed="false">
      <c r="A421" s="29" t="s">
        <v>188</v>
      </c>
      <c r="B421" s="29" t="s">
        <v>190</v>
      </c>
      <c r="C421" s="29" t="s">
        <v>66</v>
      </c>
      <c r="D421" s="29" t="s">
        <v>39</v>
      </c>
      <c r="E421" s="29" t="s">
        <v>135</v>
      </c>
      <c r="F421" s="29" t="s">
        <v>133</v>
      </c>
      <c r="G421" s="30" t="n">
        <v>2244.02</v>
      </c>
      <c r="H421" s="31" t="n">
        <v>47.12</v>
      </c>
      <c r="I421" s="31" t="n">
        <v>12.28</v>
      </c>
      <c r="J421" s="31" t="n">
        <v>3.91</v>
      </c>
      <c r="K421" s="31" t="n">
        <v>1.65</v>
      </c>
      <c r="L421" s="29" t="s">
        <v>177</v>
      </c>
    </row>
    <row r="422" customFormat="false" ht="15" hidden="false" customHeight="false" outlineLevel="0" collapsed="false">
      <c r="A422" s="29" t="s">
        <v>188</v>
      </c>
      <c r="B422" s="29" t="s">
        <v>190</v>
      </c>
      <c r="C422" s="29" t="s">
        <v>66</v>
      </c>
      <c r="D422" s="29" t="s">
        <v>45</v>
      </c>
      <c r="E422" s="29" t="s">
        <v>135</v>
      </c>
      <c r="F422" s="29" t="s">
        <v>133</v>
      </c>
      <c r="G422" s="30" t="n">
        <v>9074.11</v>
      </c>
      <c r="H422" s="31" t="n">
        <v>47.05</v>
      </c>
      <c r="I422" s="31" t="n">
        <v>12.16</v>
      </c>
      <c r="J422" s="31" t="n">
        <v>3.91</v>
      </c>
      <c r="K422" s="31" t="n">
        <v>1.76</v>
      </c>
      <c r="L422" s="29" t="s">
        <v>145</v>
      </c>
    </row>
    <row r="423" customFormat="false" ht="15" hidden="false" customHeight="false" outlineLevel="0" collapsed="false">
      <c r="A423" s="29" t="s">
        <v>188</v>
      </c>
      <c r="B423" s="29" t="s">
        <v>190</v>
      </c>
      <c r="C423" s="29" t="s">
        <v>66</v>
      </c>
      <c r="D423" s="29" t="s">
        <v>45</v>
      </c>
      <c r="E423" s="29" t="s">
        <v>135</v>
      </c>
      <c r="F423" s="29" t="s">
        <v>133</v>
      </c>
      <c r="G423" s="30" t="n">
        <v>6641</v>
      </c>
      <c r="H423" s="31" t="n">
        <v>47.24</v>
      </c>
      <c r="I423" s="31" t="n">
        <v>12.29</v>
      </c>
      <c r="J423" s="31" t="n">
        <v>3.78</v>
      </c>
      <c r="K423" s="31" t="n">
        <v>1.69</v>
      </c>
      <c r="L423" s="29" t="s">
        <v>141</v>
      </c>
    </row>
    <row r="424" customFormat="false" ht="15" hidden="false" customHeight="false" outlineLevel="0" collapsed="false">
      <c r="A424" s="29" t="s">
        <v>188</v>
      </c>
      <c r="B424" s="29" t="s">
        <v>190</v>
      </c>
      <c r="C424" s="29" t="s">
        <v>66</v>
      </c>
      <c r="D424" s="29" t="s">
        <v>45</v>
      </c>
      <c r="E424" s="29" t="s">
        <v>135</v>
      </c>
      <c r="F424" s="29" t="s">
        <v>133</v>
      </c>
      <c r="G424" s="30" t="n">
        <v>4279.57</v>
      </c>
      <c r="H424" s="31" t="n">
        <v>47.7</v>
      </c>
      <c r="I424" s="31" t="n">
        <v>12.45</v>
      </c>
      <c r="J424" s="31" t="n">
        <v>3.72</v>
      </c>
      <c r="K424" s="31" t="n">
        <v>1.8</v>
      </c>
      <c r="L424" s="29" t="s">
        <v>178</v>
      </c>
    </row>
    <row r="425" customFormat="false" ht="15" hidden="false" customHeight="false" outlineLevel="0" collapsed="false">
      <c r="A425" s="29" t="s">
        <v>188</v>
      </c>
      <c r="B425" s="29" t="s">
        <v>190</v>
      </c>
      <c r="C425" s="29" t="s">
        <v>66</v>
      </c>
      <c r="D425" s="29" t="s">
        <v>44</v>
      </c>
      <c r="E425" s="29" t="s">
        <v>132</v>
      </c>
      <c r="F425" s="29" t="s">
        <v>133</v>
      </c>
      <c r="G425" s="30" t="n">
        <v>1905.71</v>
      </c>
      <c r="H425" s="31" t="n">
        <v>47.66</v>
      </c>
      <c r="I425" s="31" t="n">
        <v>12.38</v>
      </c>
      <c r="J425" s="31" t="n">
        <v>3.79</v>
      </c>
      <c r="K425" s="31" t="n">
        <v>1.76</v>
      </c>
      <c r="L425" s="29" t="s">
        <v>147</v>
      </c>
    </row>
    <row r="426" customFormat="false" ht="15" hidden="false" customHeight="false" outlineLevel="0" collapsed="false">
      <c r="A426" s="29" t="s">
        <v>188</v>
      </c>
      <c r="B426" s="29" t="s">
        <v>190</v>
      </c>
      <c r="C426" s="29" t="s">
        <v>66</v>
      </c>
      <c r="D426" s="29" t="s">
        <v>44</v>
      </c>
      <c r="E426" s="29" t="s">
        <v>135</v>
      </c>
      <c r="F426" s="29" t="s">
        <v>133</v>
      </c>
      <c r="G426" s="30" t="n">
        <v>3216.07</v>
      </c>
      <c r="H426" s="31" t="n">
        <v>47.86</v>
      </c>
      <c r="I426" s="31" t="n">
        <v>12.37</v>
      </c>
      <c r="J426" s="31" t="n">
        <v>3.63</v>
      </c>
      <c r="K426" s="31" t="n">
        <v>1.63</v>
      </c>
      <c r="L426" s="29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1" min="10" style="0" width="12"/>
    <col collapsed="false" customWidth="true" hidden="false" outlineLevel="0" max="12" min="12" style="0" width="8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32" t="s">
        <v>191</v>
      </c>
    </row>
    <row r="3" customFormat="false" ht="23.85" hidden="false" customHeight="false" outlineLevel="0" collapsed="false">
      <c r="A3" s="26" t="s">
        <v>104</v>
      </c>
      <c r="B3" s="26" t="s">
        <v>192</v>
      </c>
      <c r="C3" s="26" t="s">
        <v>71</v>
      </c>
      <c r="D3" s="26" t="s">
        <v>193</v>
      </c>
      <c r="E3" s="26" t="s">
        <v>194</v>
      </c>
      <c r="F3" s="26" t="s">
        <v>195</v>
      </c>
      <c r="G3" s="26" t="s">
        <v>196</v>
      </c>
      <c r="H3" s="26" t="s">
        <v>197</v>
      </c>
      <c r="I3" s="26" t="s">
        <v>198</v>
      </c>
      <c r="J3" s="26" t="s">
        <v>199</v>
      </c>
      <c r="K3" s="26" t="s">
        <v>200</v>
      </c>
      <c r="L3" s="26" t="s">
        <v>201</v>
      </c>
      <c r="M3" s="26" t="s">
        <v>202</v>
      </c>
    </row>
    <row r="4" customFormat="false" ht="15" hidden="false" customHeight="false" outlineLevel="0" collapsed="false">
      <c r="A4" s="29" t="s">
        <v>109</v>
      </c>
      <c r="B4" s="29" t="n">
        <v>-1</v>
      </c>
      <c r="C4" s="31" t="n">
        <v>48</v>
      </c>
      <c r="D4" s="31" t="n">
        <v>47.5</v>
      </c>
      <c r="E4" s="31" t="n">
        <v>47.99</v>
      </c>
      <c r="F4" s="29" t="n">
        <v>1</v>
      </c>
      <c r="G4" s="31" t="n">
        <v>47</v>
      </c>
      <c r="H4" s="31" t="n">
        <v>47.49</v>
      </c>
      <c r="I4" s="29" t="n">
        <v>2</v>
      </c>
      <c r="J4" s="31"/>
      <c r="K4" s="31"/>
      <c r="L4" s="29"/>
      <c r="M4" s="31" t="n">
        <v>47</v>
      </c>
    </row>
    <row r="5" customFormat="false" ht="15" hidden="false" customHeight="false" outlineLevel="0" collapsed="false">
      <c r="A5" s="29" t="s">
        <v>110</v>
      </c>
      <c r="B5" s="29" t="n">
        <v>1</v>
      </c>
      <c r="C5" s="31" t="n">
        <v>12.5</v>
      </c>
      <c r="D5" s="31" t="n">
        <v>12.51</v>
      </c>
      <c r="E5" s="31" t="n">
        <v>13</v>
      </c>
      <c r="F5" s="29" t="n">
        <v>1</v>
      </c>
      <c r="G5" s="31"/>
      <c r="H5" s="31"/>
      <c r="I5" s="29"/>
      <c r="J5" s="31"/>
      <c r="K5" s="31"/>
      <c r="L5" s="29"/>
      <c r="M5" s="31" t="n">
        <v>13</v>
      </c>
    </row>
    <row r="6" customFormat="false" ht="15" hidden="false" customHeight="false" outlineLevel="0" collapsed="false">
      <c r="A6" s="29" t="s">
        <v>111</v>
      </c>
      <c r="B6" s="29" t="n">
        <v>1</v>
      </c>
      <c r="C6" s="31" t="n">
        <v>3.5</v>
      </c>
      <c r="D6" s="31" t="n">
        <v>3.51</v>
      </c>
      <c r="E6" s="31" t="n">
        <v>3.79</v>
      </c>
      <c r="F6" s="29" t="n">
        <v>1</v>
      </c>
      <c r="G6" s="31" t="n">
        <v>3.8</v>
      </c>
      <c r="H6" s="31" t="n">
        <v>3.99</v>
      </c>
      <c r="I6" s="29" t="n">
        <v>1.5</v>
      </c>
      <c r="J6" s="31" t="n">
        <v>4</v>
      </c>
      <c r="K6" s="31" t="n">
        <v>4.5</v>
      </c>
      <c r="L6" s="29" t="n">
        <v>2</v>
      </c>
      <c r="M6" s="31" t="n">
        <v>4.5</v>
      </c>
    </row>
    <row r="8" customFormat="false" ht="15" hidden="false" customHeight="false" outlineLevel="0" collapsed="false">
      <c r="A8" s="25" t="s">
        <v>203</v>
      </c>
    </row>
    <row r="9" customFormat="false" ht="15" hidden="false" customHeight="false" outlineLevel="0" collapsed="false">
      <c r="A9" s="25" t="s">
        <v>204</v>
      </c>
    </row>
    <row r="12" customFormat="false" ht="15" hidden="false" customHeight="false" outlineLevel="0" collapsed="false">
      <c r="A12" s="32" t="s">
        <v>205</v>
      </c>
    </row>
    <row r="13" customFormat="false" ht="15" hidden="false" customHeight="false" outlineLevel="0" collapsed="false">
      <c r="A13" s="26" t="s">
        <v>86</v>
      </c>
      <c r="B13" s="26" t="s">
        <v>206</v>
      </c>
    </row>
    <row r="14" customFormat="false" ht="15" hidden="false" customHeight="false" outlineLevel="0" collapsed="false">
      <c r="A14" s="29" t="s">
        <v>38</v>
      </c>
      <c r="B14" s="33" t="n">
        <v>386</v>
      </c>
    </row>
    <row r="15" customFormat="false" ht="15" hidden="false" customHeight="false" outlineLevel="0" collapsed="false">
      <c r="A15" s="29" t="s">
        <v>59</v>
      </c>
      <c r="B15" s="33" t="n">
        <v>391</v>
      </c>
    </row>
    <row r="16" customFormat="false" ht="15" hidden="false" customHeight="false" outlineLevel="0" collapsed="false">
      <c r="A16" s="29" t="s">
        <v>60</v>
      </c>
      <c r="B16" s="33" t="n">
        <v>404</v>
      </c>
    </row>
    <row r="17" customFormat="false" ht="15" hidden="false" customHeight="false" outlineLevel="0" collapsed="false">
      <c r="A17" s="29" t="s">
        <v>61</v>
      </c>
      <c r="B17" s="33" t="n">
        <v>415</v>
      </c>
    </row>
    <row r="18" customFormat="false" ht="15" hidden="false" customHeight="false" outlineLevel="0" collapsed="false">
      <c r="A18" s="29" t="s">
        <v>62</v>
      </c>
      <c r="B18" s="33" t="n">
        <v>343</v>
      </c>
    </row>
    <row r="19" customFormat="false" ht="15" hidden="false" customHeight="false" outlineLevel="0" collapsed="false">
      <c r="A19" s="29" t="s">
        <v>63</v>
      </c>
      <c r="B19" s="33" t="n">
        <v>326</v>
      </c>
    </row>
    <row r="20" customFormat="false" ht="15" hidden="false" customHeight="false" outlineLevel="0" collapsed="false">
      <c r="A20" s="29" t="s">
        <v>64</v>
      </c>
      <c r="B20" s="33" t="n">
        <v>326</v>
      </c>
    </row>
    <row r="21" customFormat="false" ht="15" hidden="false" customHeight="false" outlineLevel="0" collapsed="false">
      <c r="A21" s="29" t="s">
        <v>65</v>
      </c>
      <c r="B21" s="33" t="n">
        <v>326</v>
      </c>
    </row>
    <row r="22" customFormat="false" ht="15" hidden="false" customHeight="false" outlineLevel="0" collapsed="false">
      <c r="A22" s="29" t="s">
        <v>66</v>
      </c>
      <c r="B22" s="33" t="n">
        <v>326</v>
      </c>
    </row>
    <row r="23" customFormat="false" ht="15" hidden="false" customHeight="false" outlineLevel="0" collapsed="false">
      <c r="A23" s="29" t="s">
        <v>67</v>
      </c>
      <c r="B23" s="33" t="n">
        <v>0</v>
      </c>
    </row>
    <row r="24" customFormat="false" ht="15" hidden="false" customHeight="false" outlineLevel="0" collapsed="false">
      <c r="A24" s="29" t="s">
        <v>68</v>
      </c>
      <c r="B24" s="33" t="n">
        <v>0</v>
      </c>
    </row>
    <row r="25" customFormat="false" ht="15" hidden="false" customHeight="false" outlineLevel="0" collapsed="false">
      <c r="A25" s="29" t="s">
        <v>69</v>
      </c>
      <c r="B25" s="33" t="n">
        <v>0</v>
      </c>
    </row>
    <row r="27" customFormat="false" ht="15" hidden="false" customHeight="false" outlineLevel="0" collapsed="false">
      <c r="A27" s="2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9" min="7" style="0" width="13"/>
  </cols>
  <sheetData>
    <row r="1" customFormat="false" ht="23.85" hidden="false" customHeight="false" outlineLevel="0" collapsed="false">
      <c r="A1" s="26" t="s">
        <v>123</v>
      </c>
      <c r="B1" s="26" t="s">
        <v>86</v>
      </c>
      <c r="C1" s="26" t="s">
        <v>75</v>
      </c>
      <c r="D1" s="26" t="s">
        <v>208</v>
      </c>
      <c r="E1" s="26" t="s">
        <v>209</v>
      </c>
      <c r="F1" s="26" t="s">
        <v>210</v>
      </c>
      <c r="G1" s="26" t="s">
        <v>211</v>
      </c>
      <c r="H1" s="26" t="s">
        <v>57</v>
      </c>
      <c r="I1" s="26" t="s">
        <v>58</v>
      </c>
    </row>
    <row r="2" customFormat="false" ht="15" hidden="false" customHeight="false" outlineLevel="0" collapsed="false">
      <c r="A2" s="27" t="s">
        <v>39</v>
      </c>
      <c r="B2" s="27" t="s">
        <v>38</v>
      </c>
      <c r="C2" s="34" t="n">
        <f aca="false">SUMIFS(DADOS!$G$2:$G$426,DADOS!$D$2:$D$426,$A2,DADOS!$C$2:$C$426,$B2)</f>
        <v>0</v>
      </c>
      <c r="D2" s="35" t="n">
        <f aca="false">IFERROR(SUMPRODUCT((DADOS!$D$2:$D$426=$A2)*(DADOS!$C$2:$C$426=$B2)*DADOS!$G$2:$G$426*DADOS!$H$2:$H$426)/$C2,0)</f>
        <v>0</v>
      </c>
      <c r="E2" s="35" t="n">
        <f aca="false">IFERROR(SUMPRODUCT((DADOS!$D$2:$D$426=$A2)*(DADOS!$C$2:$C$426=$B2)*DADOS!$G$2:$G$426*DADOS!$I$2:$I$426)/$C2,0)</f>
        <v>0</v>
      </c>
      <c r="F2" s="35" t="n">
        <f aca="false">IFERROR(SUMPRODUCT((DADOS!$D$2:$D$426=$A2)*(DADOS!$C$2:$C$426=$B2)*DADOS!$G$2:$G$426*DADOS!$J$2:$J$426)/$C2,0)</f>
        <v>0</v>
      </c>
      <c r="G2" s="35" t="n">
        <f aca="false">IFERROR(SUMPRODUCT((DADOS!$D$2:$D$426=$A2)*(DADOS!$C$2:$C$426=$B2)*DADOS!$G$2:$G$426*DADOS!$K$2:$K$426)/$C2,0)</f>
        <v>0</v>
      </c>
      <c r="H2" s="34" t="n">
        <f aca="false">SUMIFS(DADOS!$G$2:$G$426,DADOS!$D$2:$D$426,$A2,DADOS!$C$2:$C$426,$B2,DADOS!$E$2:$E$426,"Rodo")</f>
        <v>0</v>
      </c>
      <c r="I2" s="34" t="n">
        <f aca="false">SUMIFS(DADOS!$G$2:$G$426,DADOS!$D$2:$D$426,$A2,DADOS!$C$2:$C$426,$B2,DADOS!$E$2:$E$426,"Ferro")</f>
        <v>0</v>
      </c>
    </row>
    <row r="3" customFormat="false" ht="15" hidden="false" customHeight="false" outlineLevel="0" collapsed="false">
      <c r="A3" s="27" t="s">
        <v>39</v>
      </c>
      <c r="B3" s="27" t="s">
        <v>59</v>
      </c>
      <c r="C3" s="34" t="n">
        <f aca="false">SUMIFS(DADOS!$G$2:$G$426,DADOS!$D$2:$D$426,$A3,DADOS!$C$2:$C$426,$B3)</f>
        <v>0</v>
      </c>
      <c r="D3" s="35" t="n">
        <f aca="false">IFERROR(SUMPRODUCT((DADOS!$D$2:$D$426=$A3)*(DADOS!$C$2:$C$426=$B3)*DADOS!$G$2:$G$426*DADOS!$H$2:$H$426)/$C3,0)</f>
        <v>0</v>
      </c>
      <c r="E3" s="35" t="n">
        <f aca="false">IFERROR(SUMPRODUCT((DADOS!$D$2:$D$426=$A3)*(DADOS!$C$2:$C$426=$B3)*DADOS!$G$2:$G$426*DADOS!$I$2:$I$426)/$C3,0)</f>
        <v>0</v>
      </c>
      <c r="F3" s="35" t="n">
        <f aca="false">IFERROR(SUMPRODUCT((DADOS!$D$2:$D$426=$A3)*(DADOS!$C$2:$C$426=$B3)*DADOS!$G$2:$G$426*DADOS!$J$2:$J$426)/$C3,0)</f>
        <v>0</v>
      </c>
      <c r="G3" s="35" t="n">
        <f aca="false">IFERROR(SUMPRODUCT((DADOS!$D$2:$D$426=$A3)*(DADOS!$C$2:$C$426=$B3)*DADOS!$G$2:$G$426*DADOS!$K$2:$K$426)/$C3,0)</f>
        <v>0</v>
      </c>
      <c r="H3" s="34" t="n">
        <f aca="false">SUMIFS(DADOS!$G$2:$G$426,DADOS!$D$2:$D$426,$A3,DADOS!$C$2:$C$426,$B3,DADOS!$E$2:$E$426,"Rodo")</f>
        <v>0</v>
      </c>
      <c r="I3" s="34" t="n">
        <f aca="false">SUMIFS(DADOS!$G$2:$G$426,DADOS!$D$2:$D$426,$A3,DADOS!$C$2:$C$426,$B3,DADOS!$E$2:$E$426,"Ferro")</f>
        <v>0</v>
      </c>
    </row>
    <row r="4" customFormat="false" ht="15" hidden="false" customHeight="false" outlineLevel="0" collapsed="false">
      <c r="A4" s="27" t="s">
        <v>39</v>
      </c>
      <c r="B4" s="27" t="s">
        <v>60</v>
      </c>
      <c r="C4" s="34" t="n">
        <f aca="false">SUMIFS(DADOS!$G$2:$G$426,DADOS!$D$2:$D$426,$A4,DADOS!$C$2:$C$426,$B4)</f>
        <v>0</v>
      </c>
      <c r="D4" s="35" t="n">
        <f aca="false">IFERROR(SUMPRODUCT((DADOS!$D$2:$D$426=$A4)*(DADOS!$C$2:$C$426=$B4)*DADOS!$G$2:$G$426*DADOS!$H$2:$H$426)/$C4,0)</f>
        <v>0</v>
      </c>
      <c r="E4" s="35" t="n">
        <f aca="false">IFERROR(SUMPRODUCT((DADOS!$D$2:$D$426=$A4)*(DADOS!$C$2:$C$426=$B4)*DADOS!$G$2:$G$426*DADOS!$I$2:$I$426)/$C4,0)</f>
        <v>0</v>
      </c>
      <c r="F4" s="35" t="n">
        <f aca="false">IFERROR(SUMPRODUCT((DADOS!$D$2:$D$426=$A4)*(DADOS!$C$2:$C$426=$B4)*DADOS!$G$2:$G$426*DADOS!$J$2:$J$426)/$C4,0)</f>
        <v>0</v>
      </c>
      <c r="G4" s="35" t="n">
        <f aca="false">IFERROR(SUMPRODUCT((DADOS!$D$2:$D$426=$A4)*(DADOS!$C$2:$C$426=$B4)*DADOS!$G$2:$G$426*DADOS!$K$2:$K$426)/$C4,0)</f>
        <v>0</v>
      </c>
      <c r="H4" s="34" t="n">
        <f aca="false">SUMIFS(DADOS!$G$2:$G$426,DADOS!$D$2:$D$426,$A4,DADOS!$C$2:$C$426,$B4,DADOS!$E$2:$E$426,"Rodo")</f>
        <v>0</v>
      </c>
      <c r="I4" s="34" t="n">
        <f aca="false">SUMIFS(DADOS!$G$2:$G$426,DADOS!$D$2:$D$426,$A4,DADOS!$C$2:$C$426,$B4,DADOS!$E$2:$E$426,"Ferro")</f>
        <v>0</v>
      </c>
    </row>
    <row r="5" customFormat="false" ht="15" hidden="false" customHeight="false" outlineLevel="0" collapsed="false">
      <c r="A5" s="27" t="s">
        <v>39</v>
      </c>
      <c r="B5" s="27" t="s">
        <v>61</v>
      </c>
      <c r="C5" s="34" t="n">
        <f aca="false">SUMIFS(DADOS!$G$2:$G$426,DADOS!$D$2:$D$426,$A5,DADOS!$C$2:$C$426,$B5)</f>
        <v>16786.6</v>
      </c>
      <c r="D5" s="35" t="n">
        <f aca="false">IFERROR(SUMPRODUCT((DADOS!$D$2:$D$426=$A5)*(DADOS!$C$2:$C$426=$B5)*DADOS!$G$2:$G$426*DADOS!$H$2:$H$426)/$C5,0)</f>
        <v>47.3792490438802</v>
      </c>
      <c r="E5" s="35" t="n">
        <f aca="false">IFERROR(SUMPRODUCT((DADOS!$D$2:$D$426=$A5)*(DADOS!$C$2:$C$426=$B5)*DADOS!$G$2:$G$426*DADOS!$I$2:$I$426)/$C5,0)</f>
        <v>12.2752566928383</v>
      </c>
      <c r="F5" s="35" t="n">
        <f aca="false">IFERROR(SUMPRODUCT((DADOS!$D$2:$D$426=$A5)*(DADOS!$C$2:$C$426=$B5)*DADOS!$G$2:$G$426*DADOS!$J$2:$J$426)/$C5,0)</f>
        <v>3.75</v>
      </c>
      <c r="G5" s="35" t="n">
        <f aca="false">IFERROR(SUMPRODUCT((DADOS!$D$2:$D$426=$A5)*(DADOS!$C$2:$C$426=$B5)*DADOS!$G$2:$G$426*DADOS!$K$2:$K$426)/$C5,0)</f>
        <v>1.63824776905389</v>
      </c>
      <c r="H5" s="34" t="n">
        <f aca="false">SUMIFS(DADOS!$G$2:$G$426,DADOS!$D$2:$D$426,$A5,DADOS!$C$2:$C$426,$B5,DADOS!$E$2:$E$426,"Rodo")</f>
        <v>0</v>
      </c>
      <c r="I5" s="34" t="n">
        <f aca="false">SUMIFS(DADOS!$G$2:$G$426,DADOS!$D$2:$D$426,$A5,DADOS!$C$2:$C$426,$B5,DADOS!$E$2:$E$426,"Ferro")</f>
        <v>16786.6</v>
      </c>
    </row>
    <row r="6" customFormat="false" ht="15" hidden="false" customHeight="false" outlineLevel="0" collapsed="false">
      <c r="A6" s="27" t="s">
        <v>39</v>
      </c>
      <c r="B6" s="27" t="s">
        <v>62</v>
      </c>
      <c r="C6" s="34" t="n">
        <f aca="false">SUMIFS(DADOS!$G$2:$G$426,DADOS!$D$2:$D$426,$A6,DADOS!$C$2:$C$426,$B6)</f>
        <v>43820.37</v>
      </c>
      <c r="D6" s="35" t="n">
        <f aca="false">IFERROR(SUMPRODUCT((DADOS!$D$2:$D$426=$A6)*(DADOS!$C$2:$C$426=$B6)*DADOS!$G$2:$G$426*DADOS!$H$2:$H$426)/$C6,0)</f>
        <v>47.5830749238311</v>
      </c>
      <c r="E6" s="35" t="n">
        <f aca="false">IFERROR(SUMPRODUCT((DADOS!$D$2:$D$426=$A6)*(DADOS!$C$2:$C$426=$B6)*DADOS!$G$2:$G$426*DADOS!$I$2:$I$426)/$C6,0)</f>
        <v>12.3889542123903</v>
      </c>
      <c r="F6" s="35" t="n">
        <f aca="false">IFERROR(SUMPRODUCT((DADOS!$D$2:$D$426=$A6)*(DADOS!$C$2:$C$426=$B6)*DADOS!$G$2:$G$426*DADOS!$J$2:$J$426)/$C6,0)</f>
        <v>3.63771904253661</v>
      </c>
      <c r="G6" s="35" t="n">
        <f aca="false">IFERROR(SUMPRODUCT((DADOS!$D$2:$D$426=$A6)*(DADOS!$C$2:$C$426=$B6)*DADOS!$G$2:$G$426*DADOS!$K$2:$K$426)/$C6,0)</f>
        <v>1.74079959160546</v>
      </c>
      <c r="H6" s="34" t="n">
        <f aca="false">SUMIFS(DADOS!$G$2:$G$426,DADOS!$D$2:$D$426,$A6,DADOS!$C$2:$C$426,$B6,DADOS!$E$2:$E$426,"Rodo")</f>
        <v>0</v>
      </c>
      <c r="I6" s="34" t="n">
        <f aca="false">SUMIFS(DADOS!$G$2:$G$426,DADOS!$D$2:$D$426,$A6,DADOS!$C$2:$C$426,$B6,DADOS!$E$2:$E$426,"Ferro")</f>
        <v>43820.37</v>
      </c>
    </row>
    <row r="7" customFormat="false" ht="15" hidden="false" customHeight="false" outlineLevel="0" collapsed="false">
      <c r="A7" s="27" t="s">
        <v>39</v>
      </c>
      <c r="B7" s="27" t="s">
        <v>63</v>
      </c>
      <c r="C7" s="34" t="n">
        <f aca="false">SUMIFS(DADOS!$G$2:$G$426,DADOS!$D$2:$D$426,$A7,DADOS!$C$2:$C$426,$B7)</f>
        <v>41353.91</v>
      </c>
      <c r="D7" s="35" t="n">
        <f aca="false">IFERROR(SUMPRODUCT((DADOS!$D$2:$D$426=$A7)*(DADOS!$C$2:$C$426=$B7)*DADOS!$G$2:$G$426*DADOS!$H$2:$H$426)/$C7,0)</f>
        <v>47.4970982405291</v>
      </c>
      <c r="E7" s="35" t="n">
        <f aca="false">IFERROR(SUMPRODUCT((DADOS!$D$2:$D$426=$A7)*(DADOS!$C$2:$C$426=$B7)*DADOS!$G$2:$G$426*DADOS!$I$2:$I$426)/$C7,0)</f>
        <v>12.4137175469019</v>
      </c>
      <c r="F7" s="35" t="n">
        <f aca="false">IFERROR(SUMPRODUCT((DADOS!$D$2:$D$426=$A7)*(DADOS!$C$2:$C$426=$B7)*DADOS!$G$2:$G$426*DADOS!$J$2:$J$426)/$C7,0)</f>
        <v>3.6945016202821</v>
      </c>
      <c r="G7" s="35" t="n">
        <f aca="false">IFERROR(SUMPRODUCT((DADOS!$D$2:$D$426=$A7)*(DADOS!$C$2:$C$426=$B7)*DADOS!$G$2:$G$426*DADOS!$K$2:$K$426)/$C7,0)</f>
        <v>1.44193663428682</v>
      </c>
      <c r="H7" s="34" t="n">
        <f aca="false">SUMIFS(DADOS!$G$2:$G$426,DADOS!$D$2:$D$426,$A7,DADOS!$C$2:$C$426,$B7,DADOS!$E$2:$E$426,"Rodo")</f>
        <v>0</v>
      </c>
      <c r="I7" s="34" t="n">
        <f aca="false">SUMIFS(DADOS!$G$2:$G$426,DADOS!$D$2:$D$426,$A7,DADOS!$C$2:$C$426,$B7,DADOS!$E$2:$E$426,"Ferro")</f>
        <v>41353.91</v>
      </c>
    </row>
    <row r="8" customFormat="false" ht="15" hidden="false" customHeight="false" outlineLevel="0" collapsed="false">
      <c r="A8" s="27" t="s">
        <v>39</v>
      </c>
      <c r="B8" s="27" t="s">
        <v>64</v>
      </c>
      <c r="C8" s="34" t="n">
        <f aca="false">SUMIFS(DADOS!$G$2:$G$426,DADOS!$D$2:$D$426,$A8,DADOS!$C$2:$C$426,$B8)</f>
        <v>46167.46</v>
      </c>
      <c r="D8" s="35" t="n">
        <f aca="false">IFERROR(SUMPRODUCT((DADOS!$D$2:$D$426=$A8)*(DADOS!$C$2:$C$426=$B8)*DADOS!$G$2:$G$426*DADOS!$H$2:$H$426)/$C8,0)</f>
        <v>47.3126271122561</v>
      </c>
      <c r="E8" s="35" t="n">
        <f aca="false">IFERROR(SUMPRODUCT((DADOS!$D$2:$D$426=$A8)*(DADOS!$C$2:$C$426=$B8)*DADOS!$G$2:$G$426*DADOS!$I$2:$I$426)/$C8,0)</f>
        <v>12.3186585465174</v>
      </c>
      <c r="F8" s="35" t="n">
        <f aca="false">IFERROR(SUMPRODUCT((DADOS!$D$2:$D$426=$A8)*(DADOS!$C$2:$C$426=$B8)*DADOS!$G$2:$G$426*DADOS!$J$2:$J$426)/$C8,0)</f>
        <v>3.63484523515047</v>
      </c>
      <c r="G8" s="35" t="n">
        <f aca="false">IFERROR(SUMPRODUCT((DADOS!$D$2:$D$426=$A8)*(DADOS!$C$2:$C$426=$B8)*DADOS!$G$2:$G$426*DADOS!$K$2:$K$426)/$C8,0)</f>
        <v>1.66602401345017</v>
      </c>
      <c r="H8" s="34" t="n">
        <f aca="false">SUMIFS(DADOS!$G$2:$G$426,DADOS!$D$2:$D$426,$A8,DADOS!$C$2:$C$426,$B8,DADOS!$E$2:$E$426,"Rodo")</f>
        <v>0</v>
      </c>
      <c r="I8" s="34" t="n">
        <f aca="false">SUMIFS(DADOS!$G$2:$G$426,DADOS!$D$2:$D$426,$A8,DADOS!$C$2:$C$426,$B8,DADOS!$E$2:$E$426,"Ferro")</f>
        <v>46167.46</v>
      </c>
    </row>
    <row r="9" customFormat="false" ht="15" hidden="false" customHeight="false" outlineLevel="0" collapsed="false">
      <c r="A9" s="27" t="s">
        <v>39</v>
      </c>
      <c r="B9" s="27" t="s">
        <v>65</v>
      </c>
      <c r="C9" s="34" t="n">
        <f aca="false">SUMIFS(DADOS!$G$2:$G$426,DADOS!$D$2:$D$426,$A9,DADOS!$C$2:$C$426,$B9)</f>
        <v>44263.22</v>
      </c>
      <c r="D9" s="35" t="n">
        <f aca="false">IFERROR(SUMPRODUCT((DADOS!$D$2:$D$426=$A9)*(DADOS!$C$2:$C$426=$B9)*DADOS!$G$2:$G$426*DADOS!$H$2:$H$426)/$C9,0)</f>
        <v>46.6847857656989</v>
      </c>
      <c r="E9" s="35" t="n">
        <f aca="false">IFERROR(SUMPRODUCT((DADOS!$D$2:$D$426=$A9)*(DADOS!$C$2:$C$426=$B9)*DADOS!$G$2:$G$426*DADOS!$I$2:$I$426)/$C9,0)</f>
        <v>12.0926542126849</v>
      </c>
      <c r="F9" s="35" t="n">
        <f aca="false">IFERROR(SUMPRODUCT((DADOS!$D$2:$D$426=$A9)*(DADOS!$C$2:$C$426=$B9)*DADOS!$G$2:$G$426*DADOS!$J$2:$J$426)/$C9,0)</f>
        <v>3.98946561050009</v>
      </c>
      <c r="G9" s="35" t="n">
        <f aca="false">IFERROR(SUMPRODUCT((DADOS!$D$2:$D$426=$A9)*(DADOS!$C$2:$C$426=$B9)*DADOS!$G$2:$G$426*DADOS!$K$2:$K$426)/$C9,0)</f>
        <v>1.56388846089372</v>
      </c>
      <c r="H9" s="34" t="n">
        <f aca="false">SUMIFS(DADOS!$G$2:$G$426,DADOS!$D$2:$D$426,$A9,DADOS!$C$2:$C$426,$B9,DADOS!$E$2:$E$426,"Rodo")</f>
        <v>0</v>
      </c>
      <c r="I9" s="34" t="n">
        <f aca="false">SUMIFS(DADOS!$G$2:$G$426,DADOS!$D$2:$D$426,$A9,DADOS!$C$2:$C$426,$B9,DADOS!$E$2:$E$426,"Ferro")</f>
        <v>44263.22</v>
      </c>
    </row>
    <row r="10" customFormat="false" ht="15" hidden="false" customHeight="false" outlineLevel="0" collapsed="false">
      <c r="A10" s="27" t="s">
        <v>39</v>
      </c>
      <c r="B10" s="27" t="s">
        <v>66</v>
      </c>
      <c r="C10" s="34" t="n">
        <f aca="false">SUMIFS(DADOS!$G$2:$G$426,DADOS!$D$2:$D$426,$A10,DADOS!$C$2:$C$426,$B10)</f>
        <v>2244.02</v>
      </c>
      <c r="D10" s="35" t="n">
        <f aca="false">IFERROR(SUMPRODUCT((DADOS!$D$2:$D$426=$A10)*(DADOS!$C$2:$C$426=$B10)*DADOS!$G$2:$G$426*DADOS!$H$2:$H$426)/$C10,0)</f>
        <v>47.12</v>
      </c>
      <c r="E10" s="35" t="n">
        <f aca="false">IFERROR(SUMPRODUCT((DADOS!$D$2:$D$426=$A10)*(DADOS!$C$2:$C$426=$B10)*DADOS!$G$2:$G$426*DADOS!$I$2:$I$426)/$C10,0)</f>
        <v>12.28</v>
      </c>
      <c r="F10" s="35" t="n">
        <f aca="false">IFERROR(SUMPRODUCT((DADOS!$D$2:$D$426=$A10)*(DADOS!$C$2:$C$426=$B10)*DADOS!$G$2:$G$426*DADOS!$J$2:$J$426)/$C10,0)</f>
        <v>3.91</v>
      </c>
      <c r="G10" s="35" t="n">
        <f aca="false">IFERROR(SUMPRODUCT((DADOS!$D$2:$D$426=$A10)*(DADOS!$C$2:$C$426=$B10)*DADOS!$G$2:$G$426*DADOS!$K$2:$K$426)/$C10,0)</f>
        <v>1.65</v>
      </c>
      <c r="H10" s="34" t="n">
        <f aca="false">SUMIFS(DADOS!$G$2:$G$426,DADOS!$D$2:$D$426,$A10,DADOS!$C$2:$C$426,$B10,DADOS!$E$2:$E$426,"Rodo")</f>
        <v>0</v>
      </c>
      <c r="I10" s="34" t="n">
        <f aca="false">SUMIFS(DADOS!$G$2:$G$426,DADOS!$D$2:$D$426,$A10,DADOS!$C$2:$C$426,$B10,DADOS!$E$2:$E$426,"Ferro")</f>
        <v>2244.02</v>
      </c>
    </row>
    <row r="11" customFormat="false" ht="15" hidden="false" customHeight="false" outlineLevel="0" collapsed="false">
      <c r="A11" s="27" t="s">
        <v>39</v>
      </c>
      <c r="B11" s="27" t="s">
        <v>67</v>
      </c>
      <c r="C11" s="34" t="n">
        <f aca="false">SUMIFS(DADOS!$G$2:$G$426,DADOS!$D$2:$D$426,$A11,DADOS!$C$2:$C$426,$B11)</f>
        <v>0</v>
      </c>
      <c r="D11" s="35" t="n">
        <f aca="false">IFERROR(SUMPRODUCT((DADOS!$D$2:$D$426=$A11)*(DADOS!$C$2:$C$426=$B11)*DADOS!$G$2:$G$426*DADOS!$H$2:$H$426)/$C11,0)</f>
        <v>0</v>
      </c>
      <c r="E11" s="35" t="n">
        <f aca="false">IFERROR(SUMPRODUCT((DADOS!$D$2:$D$426=$A11)*(DADOS!$C$2:$C$426=$B11)*DADOS!$G$2:$G$426*DADOS!$I$2:$I$426)/$C11,0)</f>
        <v>0</v>
      </c>
      <c r="F11" s="35" t="n">
        <f aca="false">IFERROR(SUMPRODUCT((DADOS!$D$2:$D$426=$A11)*(DADOS!$C$2:$C$426=$B11)*DADOS!$G$2:$G$426*DADOS!$J$2:$J$426)/$C11,0)</f>
        <v>0</v>
      </c>
      <c r="G11" s="35" t="n">
        <f aca="false">IFERROR(SUMPRODUCT((DADOS!$D$2:$D$426=$A11)*(DADOS!$C$2:$C$426=$B11)*DADOS!$G$2:$G$426*DADOS!$K$2:$K$426)/$C11,0)</f>
        <v>0</v>
      </c>
      <c r="H11" s="34" t="n">
        <f aca="false">SUMIFS(DADOS!$G$2:$G$426,DADOS!$D$2:$D$426,$A11,DADOS!$C$2:$C$426,$B11,DADOS!$E$2:$E$426,"Rodo")</f>
        <v>0</v>
      </c>
      <c r="I11" s="34" t="n">
        <f aca="false">SUMIFS(DADOS!$G$2:$G$426,DADOS!$D$2:$D$426,$A11,DADOS!$C$2:$C$426,$B11,DADOS!$E$2:$E$426,"Ferro")</f>
        <v>0</v>
      </c>
    </row>
    <row r="12" customFormat="false" ht="15" hidden="false" customHeight="false" outlineLevel="0" collapsed="false">
      <c r="A12" s="27" t="s">
        <v>39</v>
      </c>
      <c r="B12" s="27" t="s">
        <v>68</v>
      </c>
      <c r="C12" s="34" t="n">
        <f aca="false">SUMIFS(DADOS!$G$2:$G$426,DADOS!$D$2:$D$426,$A12,DADOS!$C$2:$C$426,$B12)</f>
        <v>0</v>
      </c>
      <c r="D12" s="35" t="n">
        <f aca="false">IFERROR(SUMPRODUCT((DADOS!$D$2:$D$426=$A12)*(DADOS!$C$2:$C$426=$B12)*DADOS!$G$2:$G$426*DADOS!$H$2:$H$426)/$C12,0)</f>
        <v>0</v>
      </c>
      <c r="E12" s="35" t="n">
        <f aca="false">IFERROR(SUMPRODUCT((DADOS!$D$2:$D$426=$A12)*(DADOS!$C$2:$C$426=$B12)*DADOS!$G$2:$G$426*DADOS!$I$2:$I$426)/$C12,0)</f>
        <v>0</v>
      </c>
      <c r="F12" s="35" t="n">
        <f aca="false">IFERROR(SUMPRODUCT((DADOS!$D$2:$D$426=$A12)*(DADOS!$C$2:$C$426=$B12)*DADOS!$G$2:$G$426*DADOS!$J$2:$J$426)/$C12,0)</f>
        <v>0</v>
      </c>
      <c r="G12" s="35" t="n">
        <f aca="false">IFERROR(SUMPRODUCT((DADOS!$D$2:$D$426=$A12)*(DADOS!$C$2:$C$426=$B12)*DADOS!$G$2:$G$426*DADOS!$K$2:$K$426)/$C12,0)</f>
        <v>0</v>
      </c>
      <c r="H12" s="34" t="n">
        <f aca="false">SUMIFS(DADOS!$G$2:$G$426,DADOS!$D$2:$D$426,$A12,DADOS!$C$2:$C$426,$B12,DADOS!$E$2:$E$426,"Rodo")</f>
        <v>0</v>
      </c>
      <c r="I12" s="34" t="n">
        <f aca="false">SUMIFS(DADOS!$G$2:$G$426,DADOS!$D$2:$D$426,$A12,DADOS!$C$2:$C$426,$B12,DADOS!$E$2:$E$426,"Ferro")</f>
        <v>0</v>
      </c>
    </row>
    <row r="13" customFormat="false" ht="15" hidden="false" customHeight="false" outlineLevel="0" collapsed="false">
      <c r="A13" s="27" t="s">
        <v>39</v>
      </c>
      <c r="B13" s="27" t="s">
        <v>69</v>
      </c>
      <c r="C13" s="34" t="n">
        <f aca="false">SUMIFS(DADOS!$G$2:$G$426,DADOS!$D$2:$D$426,$A13,DADOS!$C$2:$C$426,$B13)</f>
        <v>0</v>
      </c>
      <c r="D13" s="35" t="n">
        <f aca="false">IFERROR(SUMPRODUCT((DADOS!$D$2:$D$426=$A13)*(DADOS!$C$2:$C$426=$B13)*DADOS!$G$2:$G$426*DADOS!$H$2:$H$426)/$C13,0)</f>
        <v>0</v>
      </c>
      <c r="E13" s="35" t="n">
        <f aca="false">IFERROR(SUMPRODUCT((DADOS!$D$2:$D$426=$A13)*(DADOS!$C$2:$C$426=$B13)*DADOS!$G$2:$G$426*DADOS!$I$2:$I$426)/$C13,0)</f>
        <v>0</v>
      </c>
      <c r="F13" s="35" t="n">
        <f aca="false">IFERROR(SUMPRODUCT((DADOS!$D$2:$D$426=$A13)*(DADOS!$C$2:$C$426=$B13)*DADOS!$G$2:$G$426*DADOS!$J$2:$J$426)/$C13,0)</f>
        <v>0</v>
      </c>
      <c r="G13" s="35" t="n">
        <f aca="false">IFERROR(SUMPRODUCT((DADOS!$D$2:$D$426=$A13)*(DADOS!$C$2:$C$426=$B13)*DADOS!$G$2:$G$426*DADOS!$K$2:$K$426)/$C13,0)</f>
        <v>0</v>
      </c>
      <c r="H13" s="34" t="n">
        <f aca="false">SUMIFS(DADOS!$G$2:$G$426,DADOS!$D$2:$D$426,$A13,DADOS!$C$2:$C$426,$B13,DADOS!$E$2:$E$426,"Rodo")</f>
        <v>0</v>
      </c>
      <c r="I13" s="34" t="n">
        <f aca="false">SUMIFS(DADOS!$G$2:$G$426,DADOS!$D$2:$D$426,$A13,DADOS!$C$2:$C$426,$B13,DADOS!$E$2:$E$426,"Ferro")</f>
        <v>0</v>
      </c>
    </row>
    <row r="14" customFormat="false" ht="15" hidden="false" customHeight="false" outlineLevel="0" collapsed="false">
      <c r="A14" s="27" t="s">
        <v>40</v>
      </c>
      <c r="B14" s="27" t="s">
        <v>38</v>
      </c>
      <c r="C14" s="34" t="n">
        <f aca="false">SUMIFS(DADOS!$G$2:$G$426,DADOS!$D$2:$D$426,$A14,DADOS!$C$2:$C$426,$B14)</f>
        <v>39842.6</v>
      </c>
      <c r="D14" s="35" t="n">
        <f aca="false">IFERROR(SUMPRODUCT((DADOS!$D$2:$D$426=$A14)*(DADOS!$C$2:$C$426=$B14)*DADOS!$G$2:$G$426*DADOS!$H$2:$H$426)/$C14,0)</f>
        <v>48.328750568487</v>
      </c>
      <c r="E14" s="35" t="n">
        <f aca="false">IFERROR(SUMPRODUCT((DADOS!$D$2:$D$426=$A14)*(DADOS!$C$2:$C$426=$B14)*DADOS!$G$2:$G$426*DADOS!$I$2:$I$426)/$C14,0)</f>
        <v>11.6180667802804</v>
      </c>
      <c r="F14" s="35" t="n">
        <f aca="false">IFERROR(SUMPRODUCT((DADOS!$D$2:$D$426=$A14)*(DADOS!$C$2:$C$426=$B14)*DADOS!$G$2:$G$426*DADOS!$J$2:$J$426)/$C14,0)</f>
        <v>3.12451483688314</v>
      </c>
      <c r="G14" s="35" t="n">
        <f aca="false">IFERROR(SUMPRODUCT((DADOS!$D$2:$D$426=$A14)*(DADOS!$C$2:$C$426=$B14)*DADOS!$G$2:$G$426*DADOS!$K$2:$K$426)/$C14,0)</f>
        <v>1.40354292490952</v>
      </c>
      <c r="H14" s="34" t="n">
        <f aca="false">SUMIFS(DADOS!$G$2:$G$426,DADOS!$D$2:$D$426,$A14,DADOS!$C$2:$C$426,$B14,DADOS!$E$2:$E$426,"Rodo")</f>
        <v>39842.6</v>
      </c>
      <c r="I14" s="34" t="n">
        <f aca="false">SUMIFS(DADOS!$G$2:$G$426,DADOS!$D$2:$D$426,$A14,DADOS!$C$2:$C$426,$B14,DADOS!$E$2:$E$426,"Ferro")</f>
        <v>0</v>
      </c>
    </row>
    <row r="15" customFormat="false" ht="15" hidden="false" customHeight="false" outlineLevel="0" collapsed="false">
      <c r="A15" s="27" t="s">
        <v>40</v>
      </c>
      <c r="B15" s="27" t="s">
        <v>59</v>
      </c>
      <c r="C15" s="34" t="n">
        <f aca="false">SUMIFS(DADOS!$G$2:$G$426,DADOS!$D$2:$D$426,$A15,DADOS!$C$2:$C$426,$B15)</f>
        <v>30370.33</v>
      </c>
      <c r="D15" s="35" t="n">
        <f aca="false">IFERROR(SUMPRODUCT((DADOS!$D$2:$D$426=$A15)*(DADOS!$C$2:$C$426=$B15)*DADOS!$G$2:$G$426*DADOS!$H$2:$H$426)/$C15,0)</f>
        <v>47.9807398503737</v>
      </c>
      <c r="E15" s="35" t="n">
        <f aca="false">IFERROR(SUMPRODUCT((DADOS!$D$2:$D$426=$A15)*(DADOS!$C$2:$C$426=$B15)*DADOS!$G$2:$G$426*DADOS!$I$2:$I$426)/$C15,0)</f>
        <v>11.5584933584851</v>
      </c>
      <c r="F15" s="35" t="n">
        <f aca="false">IFERROR(SUMPRODUCT((DADOS!$D$2:$D$426=$A15)*(DADOS!$C$2:$C$426=$B15)*DADOS!$G$2:$G$426*DADOS!$J$2:$J$426)/$C15,0)</f>
        <v>3.46095443809797</v>
      </c>
      <c r="G15" s="35" t="n">
        <f aca="false">IFERROR(SUMPRODUCT((DADOS!$D$2:$D$426=$A15)*(DADOS!$C$2:$C$426=$B15)*DADOS!$G$2:$G$426*DADOS!$K$2:$K$426)/$C15,0)</f>
        <v>1.31159919236966</v>
      </c>
      <c r="H15" s="34" t="n">
        <f aca="false">SUMIFS(DADOS!$G$2:$G$426,DADOS!$D$2:$D$426,$A15,DADOS!$C$2:$C$426,$B15,DADOS!$E$2:$E$426,"Rodo")</f>
        <v>30370.33</v>
      </c>
      <c r="I15" s="34" t="n">
        <f aca="false">SUMIFS(DADOS!$G$2:$G$426,DADOS!$D$2:$D$426,$A15,DADOS!$C$2:$C$426,$B15,DADOS!$E$2:$E$426,"Ferro")</f>
        <v>0</v>
      </c>
    </row>
    <row r="16" customFormat="false" ht="15" hidden="false" customHeight="false" outlineLevel="0" collapsed="false">
      <c r="A16" s="27" t="s">
        <v>40</v>
      </c>
      <c r="B16" s="27" t="s">
        <v>60</v>
      </c>
      <c r="C16" s="34" t="n">
        <f aca="false">SUMIFS(DADOS!$G$2:$G$426,DADOS!$D$2:$D$426,$A16,DADOS!$C$2:$C$426,$B16)</f>
        <v>43330.53</v>
      </c>
      <c r="D16" s="35" t="n">
        <f aca="false">IFERROR(SUMPRODUCT((DADOS!$D$2:$D$426=$A16)*(DADOS!$C$2:$C$426=$B16)*DADOS!$G$2:$G$426*DADOS!$H$2:$H$426)/$C16,0)</f>
        <v>47.5729858462382</v>
      </c>
      <c r="E16" s="35" t="n">
        <f aca="false">IFERROR(SUMPRODUCT((DADOS!$D$2:$D$426=$A16)*(DADOS!$C$2:$C$426=$B16)*DADOS!$G$2:$G$426*DADOS!$I$2:$I$426)/$C16,0)</f>
        <v>11.6025461677944</v>
      </c>
      <c r="F16" s="35" t="n">
        <f aca="false">IFERROR(SUMPRODUCT((DADOS!$D$2:$D$426=$A16)*(DADOS!$C$2:$C$426=$B16)*DADOS!$G$2:$G$426*DADOS!$J$2:$J$426)/$C16,0)</f>
        <v>3.6616401161029</v>
      </c>
      <c r="G16" s="35" t="n">
        <f aca="false">IFERROR(SUMPRODUCT((DADOS!$D$2:$D$426=$A16)*(DADOS!$C$2:$C$426=$B16)*DADOS!$G$2:$G$426*DADOS!$K$2:$K$426)/$C16,0)</f>
        <v>1.25338768992671</v>
      </c>
      <c r="H16" s="34" t="n">
        <f aca="false">SUMIFS(DADOS!$G$2:$G$426,DADOS!$D$2:$D$426,$A16,DADOS!$C$2:$C$426,$B16,DADOS!$E$2:$E$426,"Rodo")</f>
        <v>43330.53</v>
      </c>
      <c r="I16" s="34" t="n">
        <f aca="false">SUMIFS(DADOS!$G$2:$G$426,DADOS!$D$2:$D$426,$A16,DADOS!$C$2:$C$426,$B16,DADOS!$E$2:$E$426,"Ferro")</f>
        <v>0</v>
      </c>
    </row>
    <row r="17" customFormat="false" ht="15" hidden="false" customHeight="false" outlineLevel="0" collapsed="false">
      <c r="A17" s="27" t="s">
        <v>40</v>
      </c>
      <c r="B17" s="27" t="s">
        <v>61</v>
      </c>
      <c r="C17" s="34" t="n">
        <f aca="false">SUMIFS(DADOS!$G$2:$G$426,DADOS!$D$2:$D$426,$A17,DADOS!$C$2:$C$426,$B17)</f>
        <v>53319.92</v>
      </c>
      <c r="D17" s="35" t="n">
        <f aca="false">IFERROR(SUMPRODUCT((DADOS!$D$2:$D$426=$A17)*(DADOS!$C$2:$C$426=$B17)*DADOS!$G$2:$G$426*DADOS!$H$2:$H$426)/$C17,0)</f>
        <v>47.8448746115898</v>
      </c>
      <c r="E17" s="35" t="n">
        <f aca="false">IFERROR(SUMPRODUCT((DADOS!$D$2:$D$426=$A17)*(DADOS!$C$2:$C$426=$B17)*DADOS!$G$2:$G$426*DADOS!$I$2:$I$426)/$C17,0)</f>
        <v>11.6439859493413</v>
      </c>
      <c r="F17" s="35" t="n">
        <f aca="false">IFERROR(SUMPRODUCT((DADOS!$D$2:$D$426=$A17)*(DADOS!$C$2:$C$426=$B17)*DADOS!$G$2:$G$426*DADOS!$J$2:$J$426)/$C17,0)</f>
        <v>3.5823332011751</v>
      </c>
      <c r="G17" s="35" t="n">
        <f aca="false">IFERROR(SUMPRODUCT((DADOS!$D$2:$D$426=$A17)*(DADOS!$C$2:$C$426=$B17)*DADOS!$G$2:$G$426*DADOS!$K$2:$K$426)/$C17,0)</f>
        <v>1.36257957438796</v>
      </c>
      <c r="H17" s="34" t="n">
        <f aca="false">SUMIFS(DADOS!$G$2:$G$426,DADOS!$D$2:$D$426,$A17,DADOS!$C$2:$C$426,$B17,DADOS!$E$2:$E$426,"Rodo")</f>
        <v>53319.92</v>
      </c>
      <c r="I17" s="34" t="n">
        <f aca="false">SUMIFS(DADOS!$G$2:$G$426,DADOS!$D$2:$D$426,$A17,DADOS!$C$2:$C$426,$B17,DADOS!$E$2:$E$426,"Ferro")</f>
        <v>0</v>
      </c>
    </row>
    <row r="18" customFormat="false" ht="15" hidden="false" customHeight="false" outlineLevel="0" collapsed="false">
      <c r="A18" s="27" t="s">
        <v>40</v>
      </c>
      <c r="B18" s="27" t="s">
        <v>62</v>
      </c>
      <c r="C18" s="34" t="n">
        <f aca="false">SUMIFS(DADOS!$G$2:$G$426,DADOS!$D$2:$D$426,$A18,DADOS!$C$2:$C$426,$B18)</f>
        <v>49598.12</v>
      </c>
      <c r="D18" s="35" t="n">
        <f aca="false">IFERROR(SUMPRODUCT((DADOS!$D$2:$D$426=$A18)*(DADOS!$C$2:$C$426=$B18)*DADOS!$G$2:$G$426*DADOS!$H$2:$H$426)/$C18,0)</f>
        <v>48.0503403374967</v>
      </c>
      <c r="E18" s="35" t="n">
        <f aca="false">IFERROR(SUMPRODUCT((DADOS!$D$2:$D$426=$A18)*(DADOS!$C$2:$C$426=$B18)*DADOS!$G$2:$G$426*DADOS!$I$2:$I$426)/$C18,0)</f>
        <v>11.6689749188074</v>
      </c>
      <c r="F18" s="35" t="n">
        <f aca="false">IFERROR(SUMPRODUCT((DADOS!$D$2:$D$426=$A18)*(DADOS!$C$2:$C$426=$B18)*DADOS!$G$2:$G$426*DADOS!$J$2:$J$426)/$C18,0)</f>
        <v>3.51012144815166</v>
      </c>
      <c r="G18" s="35" t="n">
        <f aca="false">IFERROR(SUMPRODUCT((DADOS!$D$2:$D$426=$A18)*(DADOS!$C$2:$C$426=$B18)*DADOS!$G$2:$G$426*DADOS!$K$2:$K$426)/$C18,0)</f>
        <v>1.0572906513392</v>
      </c>
      <c r="H18" s="34" t="n">
        <f aca="false">SUMIFS(DADOS!$G$2:$G$426,DADOS!$D$2:$D$426,$A18,DADOS!$C$2:$C$426,$B18,DADOS!$E$2:$E$426,"Rodo")</f>
        <v>49598.12</v>
      </c>
      <c r="I18" s="34" t="n">
        <f aca="false">SUMIFS(DADOS!$G$2:$G$426,DADOS!$D$2:$D$426,$A18,DADOS!$C$2:$C$426,$B18,DADOS!$E$2:$E$426,"Ferro")</f>
        <v>0</v>
      </c>
    </row>
    <row r="19" customFormat="false" ht="15" hidden="false" customHeight="false" outlineLevel="0" collapsed="false">
      <c r="A19" s="27" t="s">
        <v>40</v>
      </c>
      <c r="B19" s="27" t="s">
        <v>63</v>
      </c>
      <c r="C19" s="34" t="n">
        <f aca="false">SUMIFS(DADOS!$G$2:$G$426,DADOS!$D$2:$D$426,$A19,DADOS!$C$2:$C$426,$B19)</f>
        <v>45020.35</v>
      </c>
      <c r="D19" s="35" t="n">
        <f aca="false">IFERROR(SUMPRODUCT((DADOS!$D$2:$D$426=$A19)*(DADOS!$C$2:$C$426=$B19)*DADOS!$G$2:$G$426*DADOS!$H$2:$H$426)/$C19,0)</f>
        <v>47.7612164498943</v>
      </c>
      <c r="E19" s="35" t="n">
        <f aca="false">IFERROR(SUMPRODUCT((DADOS!$D$2:$D$426=$A19)*(DADOS!$C$2:$C$426=$B19)*DADOS!$G$2:$G$426*DADOS!$I$2:$I$426)/$C19,0)</f>
        <v>12.2785090209205</v>
      </c>
      <c r="F19" s="35" t="n">
        <f aca="false">IFERROR(SUMPRODUCT((DADOS!$D$2:$D$426=$A19)*(DADOS!$C$2:$C$426=$B19)*DADOS!$G$2:$G$426*DADOS!$J$2:$J$426)/$C19,0)</f>
        <v>3.61071148491738</v>
      </c>
      <c r="G19" s="35" t="n">
        <f aca="false">IFERROR(SUMPRODUCT((DADOS!$D$2:$D$426=$A19)*(DADOS!$C$2:$C$426=$B19)*DADOS!$G$2:$G$426*DADOS!$K$2:$K$426)/$C19,0)</f>
        <v>1.17034676984963</v>
      </c>
      <c r="H19" s="34" t="n">
        <f aca="false">SUMIFS(DADOS!$G$2:$G$426,DADOS!$D$2:$D$426,$A19,DADOS!$C$2:$C$426,$B19,DADOS!$E$2:$E$426,"Rodo")</f>
        <v>45020.35</v>
      </c>
      <c r="I19" s="34" t="n">
        <f aca="false">SUMIFS(DADOS!$G$2:$G$426,DADOS!$D$2:$D$426,$A19,DADOS!$C$2:$C$426,$B19,DADOS!$E$2:$E$426,"Ferro")</f>
        <v>0</v>
      </c>
    </row>
    <row r="20" customFormat="false" ht="15" hidden="false" customHeight="false" outlineLevel="0" collapsed="false">
      <c r="A20" s="27" t="s">
        <v>40</v>
      </c>
      <c r="B20" s="27" t="s">
        <v>64</v>
      </c>
      <c r="C20" s="34" t="n">
        <f aca="false">SUMIFS(DADOS!$G$2:$G$426,DADOS!$D$2:$D$426,$A20,DADOS!$C$2:$C$426,$B20)</f>
        <v>44244.44</v>
      </c>
      <c r="D20" s="35" t="n">
        <f aca="false">IFERROR(SUMPRODUCT((DADOS!$D$2:$D$426=$A20)*(DADOS!$C$2:$C$426=$B20)*DADOS!$G$2:$G$426*DADOS!$H$2:$H$426)/$C20,0)</f>
        <v>47.9669295011983</v>
      </c>
      <c r="E20" s="35" t="n">
        <f aca="false">IFERROR(SUMPRODUCT((DADOS!$D$2:$D$426=$A20)*(DADOS!$C$2:$C$426=$B20)*DADOS!$G$2:$G$426*DADOS!$I$2:$I$426)/$C20,0)</f>
        <v>12.0272818844583</v>
      </c>
      <c r="F20" s="35" t="n">
        <f aca="false">IFERROR(SUMPRODUCT((DADOS!$D$2:$D$426=$A20)*(DADOS!$C$2:$C$426=$B20)*DADOS!$G$2:$G$426*DADOS!$J$2:$J$426)/$C20,0)</f>
        <v>3.43935206774004</v>
      </c>
      <c r="G20" s="35" t="n">
        <f aca="false">IFERROR(SUMPRODUCT((DADOS!$D$2:$D$426=$A20)*(DADOS!$C$2:$C$426=$B20)*DADOS!$G$2:$G$426*DADOS!$K$2:$K$426)/$C20,0)</f>
        <v>1.51032560701412</v>
      </c>
      <c r="H20" s="34" t="n">
        <f aca="false">SUMIFS(DADOS!$G$2:$G$426,DADOS!$D$2:$D$426,$A20,DADOS!$C$2:$C$426,$B20,DADOS!$E$2:$E$426,"Rodo")</f>
        <v>43458.2</v>
      </c>
      <c r="I20" s="34" t="n">
        <f aca="false">SUMIFS(DADOS!$G$2:$G$426,DADOS!$D$2:$D$426,$A20,DADOS!$C$2:$C$426,$B20,DADOS!$E$2:$E$426,"Ferro")</f>
        <v>786.24</v>
      </c>
    </row>
    <row r="21" customFormat="false" ht="15" hidden="false" customHeight="false" outlineLevel="0" collapsed="false">
      <c r="A21" s="27" t="s">
        <v>40</v>
      </c>
      <c r="B21" s="27" t="s">
        <v>65</v>
      </c>
      <c r="C21" s="34" t="n">
        <f aca="false">SUMIFS(DADOS!$G$2:$G$426,DADOS!$D$2:$D$426,$A21,DADOS!$C$2:$C$426,$B21)</f>
        <v>43335.41</v>
      </c>
      <c r="D21" s="35" t="n">
        <f aca="false">IFERROR(SUMPRODUCT((DADOS!$D$2:$D$426=$A21)*(DADOS!$C$2:$C$426=$B21)*DADOS!$G$2:$G$426*DADOS!$H$2:$H$426)/$C21,0)</f>
        <v>47.4500461400965</v>
      </c>
      <c r="E21" s="35" t="n">
        <f aca="false">IFERROR(SUMPRODUCT((DADOS!$D$2:$D$426=$A21)*(DADOS!$C$2:$C$426=$B21)*DADOS!$G$2:$G$426*DADOS!$I$2:$I$426)/$C21,0)</f>
        <v>12.2156633732091</v>
      </c>
      <c r="F21" s="35" t="n">
        <f aca="false">IFERROR(SUMPRODUCT((DADOS!$D$2:$D$426=$A21)*(DADOS!$C$2:$C$426=$B21)*DADOS!$G$2:$G$426*DADOS!$J$2:$J$426)/$C21,0)</f>
        <v>3.72450805011421</v>
      </c>
      <c r="G21" s="35" t="n">
        <f aca="false">IFERROR(SUMPRODUCT((DADOS!$D$2:$D$426=$A21)*(DADOS!$C$2:$C$426=$B21)*DADOS!$G$2:$G$426*DADOS!$K$2:$K$426)/$C21,0)</f>
        <v>1.5082864636564</v>
      </c>
      <c r="H21" s="34" t="n">
        <f aca="false">SUMIFS(DADOS!$G$2:$G$426,DADOS!$D$2:$D$426,$A21,DADOS!$C$2:$C$426,$B21,DADOS!$E$2:$E$426,"Rodo")</f>
        <v>41538.79</v>
      </c>
      <c r="I21" s="34" t="n">
        <f aca="false">SUMIFS(DADOS!$G$2:$G$426,DADOS!$D$2:$D$426,$A21,DADOS!$C$2:$C$426,$B21,DADOS!$E$2:$E$426,"Ferro")</f>
        <v>1796.62</v>
      </c>
    </row>
    <row r="22" customFormat="false" ht="15" hidden="false" customHeight="false" outlineLevel="0" collapsed="false">
      <c r="A22" s="27" t="s">
        <v>40</v>
      </c>
      <c r="B22" s="27" t="s">
        <v>66</v>
      </c>
      <c r="C22" s="34" t="n">
        <f aca="false">SUMIFS(DADOS!$G$2:$G$426,DADOS!$D$2:$D$426,$A22,DADOS!$C$2:$C$426,$B22)</f>
        <v>9195.05</v>
      </c>
      <c r="D22" s="35" t="n">
        <f aca="false">IFERROR(SUMPRODUCT((DADOS!$D$2:$D$426=$A22)*(DADOS!$C$2:$C$426=$B22)*DADOS!$G$2:$G$426*DADOS!$H$2:$H$426)/$C22,0)</f>
        <v>47.8702843703949</v>
      </c>
      <c r="E22" s="35" t="n">
        <f aca="false">IFERROR(SUMPRODUCT((DADOS!$D$2:$D$426=$A22)*(DADOS!$C$2:$C$426=$B22)*DADOS!$G$2:$G$426*DADOS!$I$2:$I$426)/$C22,0)</f>
        <v>12.299296860811</v>
      </c>
      <c r="F22" s="35" t="n">
        <f aca="false">IFERROR(SUMPRODUCT((DADOS!$D$2:$D$426=$A22)*(DADOS!$C$2:$C$426=$B22)*DADOS!$G$2:$G$426*DADOS!$J$2:$J$426)/$C22,0)</f>
        <v>3.61068685869027</v>
      </c>
      <c r="G22" s="35" t="n">
        <f aca="false">IFERROR(SUMPRODUCT((DADOS!$D$2:$D$426=$A22)*(DADOS!$C$2:$C$426=$B22)*DADOS!$G$2:$G$426*DADOS!$K$2:$K$426)/$C22,0)</f>
        <v>1.19386390503586</v>
      </c>
      <c r="H22" s="34" t="n">
        <f aca="false">SUMIFS(DADOS!$G$2:$G$426,DADOS!$D$2:$D$426,$A22,DADOS!$C$2:$C$426,$B22,DADOS!$E$2:$E$426,"Rodo")</f>
        <v>9016.69</v>
      </c>
      <c r="I22" s="34" t="n">
        <f aca="false">SUMIFS(DADOS!$G$2:$G$426,DADOS!$D$2:$D$426,$A22,DADOS!$C$2:$C$426,$B22,DADOS!$E$2:$E$426,"Ferro")</f>
        <v>178.36</v>
      </c>
    </row>
    <row r="23" customFormat="false" ht="15" hidden="false" customHeight="false" outlineLevel="0" collapsed="false">
      <c r="A23" s="27" t="s">
        <v>40</v>
      </c>
      <c r="B23" s="27" t="s">
        <v>67</v>
      </c>
      <c r="C23" s="34" t="n">
        <f aca="false">SUMIFS(DADOS!$G$2:$G$426,DADOS!$D$2:$D$426,$A23,DADOS!$C$2:$C$426,$B23)</f>
        <v>0</v>
      </c>
      <c r="D23" s="35" t="n">
        <f aca="false">IFERROR(SUMPRODUCT((DADOS!$D$2:$D$426=$A23)*(DADOS!$C$2:$C$426=$B23)*DADOS!$G$2:$G$426*DADOS!$H$2:$H$426)/$C23,0)</f>
        <v>0</v>
      </c>
      <c r="E23" s="35" t="n">
        <f aca="false">IFERROR(SUMPRODUCT((DADOS!$D$2:$D$426=$A23)*(DADOS!$C$2:$C$426=$B23)*DADOS!$G$2:$G$426*DADOS!$I$2:$I$426)/$C23,0)</f>
        <v>0</v>
      </c>
      <c r="F23" s="35" t="n">
        <f aca="false">IFERROR(SUMPRODUCT((DADOS!$D$2:$D$426=$A23)*(DADOS!$C$2:$C$426=$B23)*DADOS!$G$2:$G$426*DADOS!$J$2:$J$426)/$C23,0)</f>
        <v>0</v>
      </c>
      <c r="G23" s="35" t="n">
        <f aca="false">IFERROR(SUMPRODUCT((DADOS!$D$2:$D$426=$A23)*(DADOS!$C$2:$C$426=$B23)*DADOS!$G$2:$G$426*DADOS!$K$2:$K$426)/$C23,0)</f>
        <v>0</v>
      </c>
      <c r="H23" s="34" t="n">
        <f aca="false">SUMIFS(DADOS!$G$2:$G$426,DADOS!$D$2:$D$426,$A23,DADOS!$C$2:$C$426,$B23,DADOS!$E$2:$E$426,"Rodo")</f>
        <v>0</v>
      </c>
      <c r="I23" s="34" t="n">
        <f aca="false">SUMIFS(DADOS!$G$2:$G$426,DADOS!$D$2:$D$426,$A23,DADOS!$C$2:$C$426,$B23,DADOS!$E$2:$E$426,"Ferro")</f>
        <v>0</v>
      </c>
    </row>
    <row r="24" customFormat="false" ht="15" hidden="false" customHeight="false" outlineLevel="0" collapsed="false">
      <c r="A24" s="27" t="s">
        <v>40</v>
      </c>
      <c r="B24" s="27" t="s">
        <v>68</v>
      </c>
      <c r="C24" s="34" t="n">
        <f aca="false">SUMIFS(DADOS!$G$2:$G$426,DADOS!$D$2:$D$426,$A24,DADOS!$C$2:$C$426,$B24)</f>
        <v>0</v>
      </c>
      <c r="D24" s="35" t="n">
        <f aca="false">IFERROR(SUMPRODUCT((DADOS!$D$2:$D$426=$A24)*(DADOS!$C$2:$C$426=$B24)*DADOS!$G$2:$G$426*DADOS!$H$2:$H$426)/$C24,0)</f>
        <v>0</v>
      </c>
      <c r="E24" s="35" t="n">
        <f aca="false">IFERROR(SUMPRODUCT((DADOS!$D$2:$D$426=$A24)*(DADOS!$C$2:$C$426=$B24)*DADOS!$G$2:$G$426*DADOS!$I$2:$I$426)/$C24,0)</f>
        <v>0</v>
      </c>
      <c r="F24" s="35" t="n">
        <f aca="false">IFERROR(SUMPRODUCT((DADOS!$D$2:$D$426=$A24)*(DADOS!$C$2:$C$426=$B24)*DADOS!$G$2:$G$426*DADOS!$J$2:$J$426)/$C24,0)</f>
        <v>0</v>
      </c>
      <c r="G24" s="35" t="n">
        <f aca="false">IFERROR(SUMPRODUCT((DADOS!$D$2:$D$426=$A24)*(DADOS!$C$2:$C$426=$B24)*DADOS!$G$2:$G$426*DADOS!$K$2:$K$426)/$C24,0)</f>
        <v>0</v>
      </c>
      <c r="H24" s="34" t="n">
        <f aca="false">SUMIFS(DADOS!$G$2:$G$426,DADOS!$D$2:$D$426,$A24,DADOS!$C$2:$C$426,$B24,DADOS!$E$2:$E$426,"Rodo")</f>
        <v>0</v>
      </c>
      <c r="I24" s="34" t="n">
        <f aca="false">SUMIFS(DADOS!$G$2:$G$426,DADOS!$D$2:$D$426,$A24,DADOS!$C$2:$C$426,$B24,DADOS!$E$2:$E$426,"Ferro")</f>
        <v>0</v>
      </c>
    </row>
    <row r="25" customFormat="false" ht="15" hidden="false" customHeight="false" outlineLevel="0" collapsed="false">
      <c r="A25" s="27" t="s">
        <v>40</v>
      </c>
      <c r="B25" s="27" t="s">
        <v>69</v>
      </c>
      <c r="C25" s="34" t="n">
        <f aca="false">SUMIFS(DADOS!$G$2:$G$426,DADOS!$D$2:$D$426,$A25,DADOS!$C$2:$C$426,$B25)</f>
        <v>0</v>
      </c>
      <c r="D25" s="35" t="n">
        <f aca="false">IFERROR(SUMPRODUCT((DADOS!$D$2:$D$426=$A25)*(DADOS!$C$2:$C$426=$B25)*DADOS!$G$2:$G$426*DADOS!$H$2:$H$426)/$C25,0)</f>
        <v>0</v>
      </c>
      <c r="E25" s="35" t="n">
        <f aca="false">IFERROR(SUMPRODUCT((DADOS!$D$2:$D$426=$A25)*(DADOS!$C$2:$C$426=$B25)*DADOS!$G$2:$G$426*DADOS!$I$2:$I$426)/$C25,0)</f>
        <v>0</v>
      </c>
      <c r="F25" s="35" t="n">
        <f aca="false">IFERROR(SUMPRODUCT((DADOS!$D$2:$D$426=$A25)*(DADOS!$C$2:$C$426=$B25)*DADOS!$G$2:$G$426*DADOS!$J$2:$J$426)/$C25,0)</f>
        <v>0</v>
      </c>
      <c r="G25" s="35" t="n">
        <f aca="false">IFERROR(SUMPRODUCT((DADOS!$D$2:$D$426=$A25)*(DADOS!$C$2:$C$426=$B25)*DADOS!$G$2:$G$426*DADOS!$K$2:$K$426)/$C25,0)</f>
        <v>0</v>
      </c>
      <c r="H25" s="34" t="n">
        <f aca="false">SUMIFS(DADOS!$G$2:$G$426,DADOS!$D$2:$D$426,$A25,DADOS!$C$2:$C$426,$B25,DADOS!$E$2:$E$426,"Rodo")</f>
        <v>0</v>
      </c>
      <c r="I25" s="34" t="n">
        <f aca="false">SUMIFS(DADOS!$G$2:$G$426,DADOS!$D$2:$D$426,$A25,DADOS!$C$2:$C$426,$B25,DADOS!$E$2:$E$426,"Ferro")</f>
        <v>0</v>
      </c>
    </row>
    <row r="26" customFormat="false" ht="15" hidden="false" customHeight="false" outlineLevel="0" collapsed="false">
      <c r="A26" s="27" t="s">
        <v>41</v>
      </c>
      <c r="B26" s="27" t="s">
        <v>38</v>
      </c>
      <c r="C26" s="34" t="n">
        <f aca="false">SUMIFS(DADOS!$G$2:$G$426,DADOS!$D$2:$D$426,$A26,DADOS!$C$2:$C$426,$B26)</f>
        <v>18891.74</v>
      </c>
      <c r="D26" s="35" t="n">
        <f aca="false">IFERROR(SUMPRODUCT((DADOS!$D$2:$D$426=$A26)*(DADOS!$C$2:$C$426=$B26)*DADOS!$G$2:$G$426*DADOS!$H$2:$H$426)/$C26,0)</f>
        <v>47.9859376743487</v>
      </c>
      <c r="E26" s="35" t="n">
        <f aca="false">IFERROR(SUMPRODUCT((DADOS!$D$2:$D$426=$A26)*(DADOS!$C$2:$C$426=$B26)*DADOS!$G$2:$G$426*DADOS!$I$2:$I$426)/$C26,0)</f>
        <v>12.4164668156559</v>
      </c>
      <c r="F26" s="35" t="n">
        <f aca="false">IFERROR(SUMPRODUCT((DADOS!$D$2:$D$426=$A26)*(DADOS!$C$2:$C$426=$B26)*DADOS!$G$2:$G$426*DADOS!$J$2:$J$426)/$C26,0)</f>
        <v>3.37654047747852</v>
      </c>
      <c r="G26" s="35" t="n">
        <f aca="false">IFERROR(SUMPRODUCT((DADOS!$D$2:$D$426=$A26)*(DADOS!$C$2:$C$426=$B26)*DADOS!$G$2:$G$426*DADOS!$K$2:$K$426)/$C26,0)</f>
        <v>1.2043201632036</v>
      </c>
      <c r="H26" s="34" t="n">
        <f aca="false">SUMIFS(DADOS!$G$2:$G$426,DADOS!$D$2:$D$426,$A26,DADOS!$C$2:$C$426,$B26,DADOS!$E$2:$E$426,"Rodo")</f>
        <v>664.72</v>
      </c>
      <c r="I26" s="34" t="n">
        <f aca="false">SUMIFS(DADOS!$G$2:$G$426,DADOS!$D$2:$D$426,$A26,DADOS!$C$2:$C$426,$B26,DADOS!$E$2:$E$426,"Ferro")</f>
        <v>18227.02</v>
      </c>
    </row>
    <row r="27" customFormat="false" ht="15" hidden="false" customHeight="false" outlineLevel="0" collapsed="false">
      <c r="A27" s="27" t="s">
        <v>41</v>
      </c>
      <c r="B27" s="27" t="s">
        <v>59</v>
      </c>
      <c r="C27" s="34" t="n">
        <f aca="false">SUMIFS(DADOS!$G$2:$G$426,DADOS!$D$2:$D$426,$A27,DADOS!$C$2:$C$426,$B27)</f>
        <v>9485.48</v>
      </c>
      <c r="D27" s="35" t="n">
        <f aca="false">IFERROR(SUMPRODUCT((DADOS!$D$2:$D$426=$A27)*(DADOS!$C$2:$C$426=$B27)*DADOS!$G$2:$G$426*DADOS!$H$2:$H$426)/$C27,0)</f>
        <v>47.2086670258121</v>
      </c>
      <c r="E27" s="35" t="n">
        <f aca="false">IFERROR(SUMPRODUCT((DADOS!$D$2:$D$426=$A27)*(DADOS!$C$2:$C$426=$B27)*DADOS!$G$2:$G$426*DADOS!$I$2:$I$426)/$C27,0)</f>
        <v>12.7192715392368</v>
      </c>
      <c r="F27" s="35" t="n">
        <f aca="false">IFERROR(SUMPRODUCT((DADOS!$D$2:$D$426=$A27)*(DADOS!$C$2:$C$426=$B27)*DADOS!$G$2:$G$426*DADOS!$J$2:$J$426)/$C27,0)</f>
        <v>3.73136726870965</v>
      </c>
      <c r="G27" s="35" t="n">
        <f aca="false">IFERROR(SUMPRODUCT((DADOS!$D$2:$D$426=$A27)*(DADOS!$C$2:$C$426=$B27)*DADOS!$G$2:$G$426*DADOS!$K$2:$K$426)/$C27,0)</f>
        <v>1.16851368618141</v>
      </c>
      <c r="H27" s="34" t="n">
        <f aca="false">SUMIFS(DADOS!$G$2:$G$426,DADOS!$D$2:$D$426,$A27,DADOS!$C$2:$C$426,$B27,DADOS!$E$2:$E$426,"Rodo")</f>
        <v>0</v>
      </c>
      <c r="I27" s="34" t="n">
        <f aca="false">SUMIFS(DADOS!$G$2:$G$426,DADOS!$D$2:$D$426,$A27,DADOS!$C$2:$C$426,$B27,DADOS!$E$2:$E$426,"Ferro")</f>
        <v>9485.48</v>
      </c>
    </row>
    <row r="28" customFormat="false" ht="15" hidden="false" customHeight="false" outlineLevel="0" collapsed="false">
      <c r="A28" s="27" t="s">
        <v>41</v>
      </c>
      <c r="B28" s="27" t="s">
        <v>60</v>
      </c>
      <c r="C28" s="34" t="n">
        <f aca="false">SUMIFS(DADOS!$G$2:$G$426,DADOS!$D$2:$D$426,$A28,DADOS!$C$2:$C$426,$B28)</f>
        <v>12278.31</v>
      </c>
      <c r="D28" s="35" t="n">
        <f aca="false">IFERROR(SUMPRODUCT((DADOS!$D$2:$D$426=$A28)*(DADOS!$C$2:$C$426=$B28)*DADOS!$G$2:$G$426*DADOS!$H$2:$H$426)/$C28,0)</f>
        <v>48.0034353180527</v>
      </c>
      <c r="E28" s="35" t="n">
        <f aca="false">IFERROR(SUMPRODUCT((DADOS!$D$2:$D$426=$A28)*(DADOS!$C$2:$C$426=$B28)*DADOS!$G$2:$G$426*DADOS!$I$2:$I$426)/$C28,0)</f>
        <v>12.3977709554491</v>
      </c>
      <c r="F28" s="35" t="n">
        <f aca="false">IFERROR(SUMPRODUCT((DADOS!$D$2:$D$426=$A28)*(DADOS!$C$2:$C$426=$B28)*DADOS!$G$2:$G$426*DADOS!$J$2:$J$426)/$C28,0)</f>
        <v>3.54249561218116</v>
      </c>
      <c r="G28" s="35" t="n">
        <f aca="false">IFERROR(SUMPRODUCT((DADOS!$D$2:$D$426=$A28)*(DADOS!$C$2:$C$426=$B28)*DADOS!$G$2:$G$426*DADOS!$K$2:$K$426)/$C28,0)</f>
        <v>1.38639728105904</v>
      </c>
      <c r="H28" s="34" t="n">
        <f aca="false">SUMIFS(DADOS!$G$2:$G$426,DADOS!$D$2:$D$426,$A28,DADOS!$C$2:$C$426,$B28,DADOS!$E$2:$E$426,"Rodo")</f>
        <v>7362.99</v>
      </c>
      <c r="I28" s="34" t="n">
        <f aca="false">SUMIFS(DADOS!$G$2:$G$426,DADOS!$D$2:$D$426,$A28,DADOS!$C$2:$C$426,$B28,DADOS!$E$2:$E$426,"Ferro")</f>
        <v>4915.32</v>
      </c>
    </row>
    <row r="29" customFormat="false" ht="15" hidden="false" customHeight="false" outlineLevel="0" collapsed="false">
      <c r="A29" s="27" t="s">
        <v>41</v>
      </c>
      <c r="B29" s="27" t="s">
        <v>61</v>
      </c>
      <c r="C29" s="34" t="n">
        <f aca="false">SUMIFS(DADOS!$G$2:$G$426,DADOS!$D$2:$D$426,$A29,DADOS!$C$2:$C$426,$B29)</f>
        <v>42872.69</v>
      </c>
      <c r="D29" s="35" t="n">
        <f aca="false">IFERROR(SUMPRODUCT((DADOS!$D$2:$D$426=$A29)*(DADOS!$C$2:$C$426=$B29)*DADOS!$G$2:$G$426*DADOS!$H$2:$H$426)/$C29,0)</f>
        <v>47.5376382051138</v>
      </c>
      <c r="E29" s="35" t="n">
        <f aca="false">IFERROR(SUMPRODUCT((DADOS!$D$2:$D$426=$A29)*(DADOS!$C$2:$C$426=$B29)*DADOS!$G$2:$G$426*DADOS!$I$2:$I$426)/$C29,0)</f>
        <v>13.0024262764944</v>
      </c>
      <c r="F29" s="35" t="n">
        <f aca="false">IFERROR(SUMPRODUCT((DADOS!$D$2:$D$426=$A29)*(DADOS!$C$2:$C$426=$B29)*DADOS!$G$2:$G$426*DADOS!$J$2:$J$426)/$C29,0)</f>
        <v>3.60550451114684</v>
      </c>
      <c r="G29" s="35" t="n">
        <f aca="false">IFERROR(SUMPRODUCT((DADOS!$D$2:$D$426=$A29)*(DADOS!$C$2:$C$426=$B29)*DADOS!$G$2:$G$426*DADOS!$K$2:$K$426)/$C29,0)</f>
        <v>1.29211321472947</v>
      </c>
      <c r="H29" s="34" t="n">
        <f aca="false">SUMIFS(DADOS!$G$2:$G$426,DADOS!$D$2:$D$426,$A29,DADOS!$C$2:$C$426,$B29,DADOS!$E$2:$E$426,"Rodo")</f>
        <v>9022.05</v>
      </c>
      <c r="I29" s="34" t="n">
        <f aca="false">SUMIFS(DADOS!$G$2:$G$426,DADOS!$D$2:$D$426,$A29,DADOS!$C$2:$C$426,$B29,DADOS!$E$2:$E$426,"Ferro")</f>
        <v>33850.64</v>
      </c>
    </row>
    <row r="30" customFormat="false" ht="15" hidden="false" customHeight="false" outlineLevel="0" collapsed="false">
      <c r="A30" s="27" t="s">
        <v>41</v>
      </c>
      <c r="B30" s="27" t="s">
        <v>62</v>
      </c>
      <c r="C30" s="34" t="n">
        <f aca="false">SUMIFS(DADOS!$G$2:$G$426,DADOS!$D$2:$D$426,$A30,DADOS!$C$2:$C$426,$B30)</f>
        <v>17619.63</v>
      </c>
      <c r="D30" s="35" t="n">
        <f aca="false">IFERROR(SUMPRODUCT((DADOS!$D$2:$D$426=$A30)*(DADOS!$C$2:$C$426=$B30)*DADOS!$G$2:$G$426*DADOS!$H$2:$H$426)/$C30,0)</f>
        <v>47.4505838261076</v>
      </c>
      <c r="E30" s="35" t="n">
        <f aca="false">IFERROR(SUMPRODUCT((DADOS!$D$2:$D$426=$A30)*(DADOS!$C$2:$C$426=$B30)*DADOS!$G$2:$G$426*DADOS!$I$2:$I$426)/$C30,0)</f>
        <v>12.7822017318184</v>
      </c>
      <c r="F30" s="35" t="n">
        <f aca="false">IFERROR(SUMPRODUCT((DADOS!$D$2:$D$426=$A30)*(DADOS!$C$2:$C$426=$B30)*DADOS!$G$2:$G$426*DADOS!$J$2:$J$426)/$C30,0)</f>
        <v>3.69716205731903</v>
      </c>
      <c r="G30" s="35" t="n">
        <f aca="false">IFERROR(SUMPRODUCT((DADOS!$D$2:$D$426=$A30)*(DADOS!$C$2:$C$426=$B30)*DADOS!$G$2:$G$426*DADOS!$K$2:$K$426)/$C30,0)</f>
        <v>1.37270627703306</v>
      </c>
      <c r="H30" s="34" t="n">
        <f aca="false">SUMIFS(DADOS!$G$2:$G$426,DADOS!$D$2:$D$426,$A30,DADOS!$C$2:$C$426,$B30,DADOS!$E$2:$E$426,"Rodo")</f>
        <v>2946.95</v>
      </c>
      <c r="I30" s="34" t="n">
        <f aca="false">SUMIFS(DADOS!$G$2:$G$426,DADOS!$D$2:$D$426,$A30,DADOS!$C$2:$C$426,$B30,DADOS!$E$2:$E$426,"Ferro")</f>
        <v>14672.68</v>
      </c>
    </row>
    <row r="31" customFormat="false" ht="15" hidden="false" customHeight="false" outlineLevel="0" collapsed="false">
      <c r="A31" s="27" t="s">
        <v>41</v>
      </c>
      <c r="B31" s="27" t="s">
        <v>63</v>
      </c>
      <c r="C31" s="34" t="n">
        <f aca="false">SUMIFS(DADOS!$G$2:$G$426,DADOS!$D$2:$D$426,$A31,DADOS!$C$2:$C$426,$B31)</f>
        <v>41497.14</v>
      </c>
      <c r="D31" s="35" t="n">
        <f aca="false">IFERROR(SUMPRODUCT((DADOS!$D$2:$D$426=$A31)*(DADOS!$C$2:$C$426=$B31)*DADOS!$G$2:$G$426*DADOS!$H$2:$H$426)/$C31,0)</f>
        <v>47.521829550181</v>
      </c>
      <c r="E31" s="35" t="n">
        <f aca="false">IFERROR(SUMPRODUCT((DADOS!$D$2:$D$426=$A31)*(DADOS!$C$2:$C$426=$B31)*DADOS!$G$2:$G$426*DADOS!$I$2:$I$426)/$C31,0)</f>
        <v>13.5359303990588</v>
      </c>
      <c r="F31" s="35" t="n">
        <f aca="false">IFERROR(SUMPRODUCT((DADOS!$D$2:$D$426=$A31)*(DADOS!$C$2:$C$426=$B31)*DADOS!$G$2:$G$426*DADOS!$J$2:$J$426)/$C31,0)</f>
        <v>3.65032825153734</v>
      </c>
      <c r="G31" s="35" t="n">
        <f aca="false">IFERROR(SUMPRODUCT((DADOS!$D$2:$D$426=$A31)*(DADOS!$C$2:$C$426=$B31)*DADOS!$G$2:$G$426*DADOS!$K$2:$K$426)/$C31,0)</f>
        <v>1.30169416012766</v>
      </c>
      <c r="H31" s="34" t="n">
        <f aca="false">SUMIFS(DADOS!$G$2:$G$426,DADOS!$D$2:$D$426,$A31,DADOS!$C$2:$C$426,$B31,DADOS!$E$2:$E$426,"Rodo")</f>
        <v>1999.6</v>
      </c>
      <c r="I31" s="34" t="n">
        <f aca="false">SUMIFS(DADOS!$G$2:$G$426,DADOS!$D$2:$D$426,$A31,DADOS!$C$2:$C$426,$B31,DADOS!$E$2:$E$426,"Ferro")</f>
        <v>39497.54</v>
      </c>
    </row>
    <row r="32" customFormat="false" ht="15" hidden="false" customHeight="false" outlineLevel="0" collapsed="false">
      <c r="A32" s="27" t="s">
        <v>41</v>
      </c>
      <c r="B32" s="27" t="s">
        <v>64</v>
      </c>
      <c r="C32" s="34" t="n">
        <f aca="false">SUMIFS(DADOS!$G$2:$G$426,DADOS!$D$2:$D$426,$A32,DADOS!$C$2:$C$426,$B32)</f>
        <v>78263.287</v>
      </c>
      <c r="D32" s="35" t="n">
        <f aca="false">IFERROR(SUMPRODUCT((DADOS!$D$2:$D$426=$A32)*(DADOS!$C$2:$C$426=$B32)*DADOS!$G$2:$G$426*DADOS!$H$2:$H$426)/$C32,0)</f>
        <v>47.8575363503452</v>
      </c>
      <c r="E32" s="35" t="n">
        <f aca="false">IFERROR(SUMPRODUCT((DADOS!$D$2:$D$426=$A32)*(DADOS!$C$2:$C$426=$B32)*DADOS!$G$2:$G$426*DADOS!$I$2:$I$426)/$C32,0)</f>
        <v>12.7900274938618</v>
      </c>
      <c r="F32" s="35" t="n">
        <f aca="false">IFERROR(SUMPRODUCT((DADOS!$D$2:$D$426=$A32)*(DADOS!$C$2:$C$426=$B32)*DADOS!$G$2:$G$426*DADOS!$J$2:$J$426)/$C32,0)</f>
        <v>3.406907422378</v>
      </c>
      <c r="G32" s="35" t="n">
        <f aca="false">IFERROR(SUMPRODUCT((DADOS!$D$2:$D$426=$A32)*(DADOS!$C$2:$C$426=$B32)*DADOS!$G$2:$G$426*DADOS!$K$2:$K$426)/$C32,0)</f>
        <v>1.08824316246774</v>
      </c>
      <c r="H32" s="34" t="n">
        <f aca="false">SUMIFS(DADOS!$G$2:$G$426,DADOS!$D$2:$D$426,$A32,DADOS!$C$2:$C$426,$B32,DADOS!$E$2:$E$426,"Rodo")</f>
        <v>0</v>
      </c>
      <c r="I32" s="34" t="n">
        <f aca="false">SUMIFS(DADOS!$G$2:$G$426,DADOS!$D$2:$D$426,$A32,DADOS!$C$2:$C$426,$B32,DADOS!$E$2:$E$426,"Ferro")</f>
        <v>78263.287</v>
      </c>
    </row>
    <row r="33" customFormat="false" ht="15" hidden="false" customHeight="false" outlineLevel="0" collapsed="false">
      <c r="A33" s="27" t="s">
        <v>41</v>
      </c>
      <c r="B33" s="27" t="s">
        <v>65</v>
      </c>
      <c r="C33" s="34" t="n">
        <f aca="false">SUMIFS(DADOS!$G$2:$G$426,DADOS!$D$2:$D$426,$A33,DADOS!$C$2:$C$426,$B33)</f>
        <v>77775.89</v>
      </c>
      <c r="D33" s="35" t="n">
        <f aca="false">IFERROR(SUMPRODUCT((DADOS!$D$2:$D$426=$A33)*(DADOS!$C$2:$C$426=$B33)*DADOS!$G$2:$G$426*DADOS!$H$2:$H$426)/$C33,0)</f>
        <v>48.0554540770925</v>
      </c>
      <c r="E33" s="35" t="n">
        <f aca="false">IFERROR(SUMPRODUCT((DADOS!$D$2:$D$426=$A33)*(DADOS!$C$2:$C$426=$B33)*DADOS!$G$2:$G$426*DADOS!$I$2:$I$426)/$C33,0)</f>
        <v>12.3959995803327</v>
      </c>
      <c r="F33" s="35" t="n">
        <f aca="false">IFERROR(SUMPRODUCT((DADOS!$D$2:$D$426=$A33)*(DADOS!$C$2:$C$426=$B33)*DADOS!$G$2:$G$426*DADOS!$J$2:$J$426)/$C33,0)</f>
        <v>3.41285904667886</v>
      </c>
      <c r="G33" s="35" t="n">
        <f aca="false">IFERROR(SUMPRODUCT((DADOS!$D$2:$D$426=$A33)*(DADOS!$C$2:$C$426=$B33)*DADOS!$G$2:$G$426*DADOS!$K$2:$K$426)/$C33,0)</f>
        <v>1.05339736774468</v>
      </c>
      <c r="H33" s="34" t="n">
        <f aca="false">SUMIFS(DADOS!$G$2:$G$426,DADOS!$D$2:$D$426,$A33,DADOS!$C$2:$C$426,$B33,DADOS!$E$2:$E$426,"Rodo")</f>
        <v>1976.25</v>
      </c>
      <c r="I33" s="34" t="n">
        <f aca="false">SUMIFS(DADOS!$G$2:$G$426,DADOS!$D$2:$D$426,$A33,DADOS!$C$2:$C$426,$B33,DADOS!$E$2:$E$426,"Ferro")</f>
        <v>75799.64</v>
      </c>
    </row>
    <row r="34" customFormat="false" ht="15" hidden="false" customHeight="false" outlineLevel="0" collapsed="false">
      <c r="A34" s="27" t="s">
        <v>41</v>
      </c>
      <c r="B34" s="27" t="s">
        <v>66</v>
      </c>
      <c r="C34" s="34" t="n">
        <f aca="false">SUMIFS(DADOS!$G$2:$G$426,DADOS!$D$2:$D$426,$A34,DADOS!$C$2:$C$426,$B34)</f>
        <v>4163.45</v>
      </c>
      <c r="D34" s="35" t="n">
        <f aca="false">IFERROR(SUMPRODUCT((DADOS!$D$2:$D$426=$A34)*(DADOS!$C$2:$C$426=$B34)*DADOS!$G$2:$G$426*DADOS!$H$2:$H$426)/$C34,0)</f>
        <v>47.91</v>
      </c>
      <c r="E34" s="35" t="n">
        <f aca="false">IFERROR(SUMPRODUCT((DADOS!$D$2:$D$426=$A34)*(DADOS!$C$2:$C$426=$B34)*DADOS!$G$2:$G$426*DADOS!$I$2:$I$426)/$C34,0)</f>
        <v>12.62</v>
      </c>
      <c r="F34" s="35" t="n">
        <f aca="false">IFERROR(SUMPRODUCT((DADOS!$D$2:$D$426=$A34)*(DADOS!$C$2:$C$426=$B34)*DADOS!$G$2:$G$426*DADOS!$J$2:$J$426)/$C34,0)</f>
        <v>3.56</v>
      </c>
      <c r="G34" s="35" t="n">
        <f aca="false">IFERROR(SUMPRODUCT((DADOS!$D$2:$D$426=$A34)*(DADOS!$C$2:$C$426=$B34)*DADOS!$G$2:$G$426*DADOS!$K$2:$K$426)/$C34,0)</f>
        <v>1.42</v>
      </c>
      <c r="H34" s="34" t="n">
        <f aca="false">SUMIFS(DADOS!$G$2:$G$426,DADOS!$D$2:$D$426,$A34,DADOS!$C$2:$C$426,$B34,DADOS!$E$2:$E$426,"Rodo")</f>
        <v>0</v>
      </c>
      <c r="I34" s="34" t="n">
        <f aca="false">SUMIFS(DADOS!$G$2:$G$426,DADOS!$D$2:$D$426,$A34,DADOS!$C$2:$C$426,$B34,DADOS!$E$2:$E$426,"Ferro")</f>
        <v>4163.45</v>
      </c>
    </row>
    <row r="35" customFormat="false" ht="15" hidden="false" customHeight="false" outlineLevel="0" collapsed="false">
      <c r="A35" s="27" t="s">
        <v>41</v>
      </c>
      <c r="B35" s="27" t="s">
        <v>67</v>
      </c>
      <c r="C35" s="34" t="n">
        <f aca="false">SUMIFS(DADOS!$G$2:$G$426,DADOS!$D$2:$D$426,$A35,DADOS!$C$2:$C$426,$B35)</f>
        <v>0</v>
      </c>
      <c r="D35" s="35" t="n">
        <f aca="false">IFERROR(SUMPRODUCT((DADOS!$D$2:$D$426=$A35)*(DADOS!$C$2:$C$426=$B35)*DADOS!$G$2:$G$426*DADOS!$H$2:$H$426)/$C35,0)</f>
        <v>0</v>
      </c>
      <c r="E35" s="35" t="n">
        <f aca="false">IFERROR(SUMPRODUCT((DADOS!$D$2:$D$426=$A35)*(DADOS!$C$2:$C$426=$B35)*DADOS!$G$2:$G$426*DADOS!$I$2:$I$426)/$C35,0)</f>
        <v>0</v>
      </c>
      <c r="F35" s="35" t="n">
        <f aca="false">IFERROR(SUMPRODUCT((DADOS!$D$2:$D$426=$A35)*(DADOS!$C$2:$C$426=$B35)*DADOS!$G$2:$G$426*DADOS!$J$2:$J$426)/$C35,0)</f>
        <v>0</v>
      </c>
      <c r="G35" s="35" t="n">
        <f aca="false">IFERROR(SUMPRODUCT((DADOS!$D$2:$D$426=$A35)*(DADOS!$C$2:$C$426=$B35)*DADOS!$G$2:$G$426*DADOS!$K$2:$K$426)/$C35,0)</f>
        <v>0</v>
      </c>
      <c r="H35" s="34" t="n">
        <f aca="false">SUMIFS(DADOS!$G$2:$G$426,DADOS!$D$2:$D$426,$A35,DADOS!$C$2:$C$426,$B35,DADOS!$E$2:$E$426,"Rodo")</f>
        <v>0</v>
      </c>
      <c r="I35" s="34" t="n">
        <f aca="false">SUMIFS(DADOS!$G$2:$G$426,DADOS!$D$2:$D$426,$A35,DADOS!$C$2:$C$426,$B35,DADOS!$E$2:$E$426,"Ferro")</f>
        <v>0</v>
      </c>
    </row>
    <row r="36" customFormat="false" ht="15" hidden="false" customHeight="false" outlineLevel="0" collapsed="false">
      <c r="A36" s="27" t="s">
        <v>41</v>
      </c>
      <c r="B36" s="27" t="s">
        <v>68</v>
      </c>
      <c r="C36" s="34" t="n">
        <f aca="false">SUMIFS(DADOS!$G$2:$G$426,DADOS!$D$2:$D$426,$A36,DADOS!$C$2:$C$426,$B36)</f>
        <v>0</v>
      </c>
      <c r="D36" s="35" t="n">
        <f aca="false">IFERROR(SUMPRODUCT((DADOS!$D$2:$D$426=$A36)*(DADOS!$C$2:$C$426=$B36)*DADOS!$G$2:$G$426*DADOS!$H$2:$H$426)/$C36,0)</f>
        <v>0</v>
      </c>
      <c r="E36" s="35" t="n">
        <f aca="false">IFERROR(SUMPRODUCT((DADOS!$D$2:$D$426=$A36)*(DADOS!$C$2:$C$426=$B36)*DADOS!$G$2:$G$426*DADOS!$I$2:$I$426)/$C36,0)</f>
        <v>0</v>
      </c>
      <c r="F36" s="35" t="n">
        <f aca="false">IFERROR(SUMPRODUCT((DADOS!$D$2:$D$426=$A36)*(DADOS!$C$2:$C$426=$B36)*DADOS!$G$2:$G$426*DADOS!$J$2:$J$426)/$C36,0)</f>
        <v>0</v>
      </c>
      <c r="G36" s="35" t="n">
        <f aca="false">IFERROR(SUMPRODUCT((DADOS!$D$2:$D$426=$A36)*(DADOS!$C$2:$C$426=$B36)*DADOS!$G$2:$G$426*DADOS!$K$2:$K$426)/$C36,0)</f>
        <v>0</v>
      </c>
      <c r="H36" s="34" t="n">
        <f aca="false">SUMIFS(DADOS!$G$2:$G$426,DADOS!$D$2:$D$426,$A36,DADOS!$C$2:$C$426,$B36,DADOS!$E$2:$E$426,"Rodo")</f>
        <v>0</v>
      </c>
      <c r="I36" s="34" t="n">
        <f aca="false">SUMIFS(DADOS!$G$2:$G$426,DADOS!$D$2:$D$426,$A36,DADOS!$C$2:$C$426,$B36,DADOS!$E$2:$E$426,"Ferro")</f>
        <v>0</v>
      </c>
    </row>
    <row r="37" customFormat="false" ht="15" hidden="false" customHeight="false" outlineLevel="0" collapsed="false">
      <c r="A37" s="27" t="s">
        <v>41</v>
      </c>
      <c r="B37" s="27" t="s">
        <v>69</v>
      </c>
      <c r="C37" s="34" t="n">
        <f aca="false">SUMIFS(DADOS!$G$2:$G$426,DADOS!$D$2:$D$426,$A37,DADOS!$C$2:$C$426,$B37)</f>
        <v>0</v>
      </c>
      <c r="D37" s="35" t="n">
        <f aca="false">IFERROR(SUMPRODUCT((DADOS!$D$2:$D$426=$A37)*(DADOS!$C$2:$C$426=$B37)*DADOS!$G$2:$G$426*DADOS!$H$2:$H$426)/$C37,0)</f>
        <v>0</v>
      </c>
      <c r="E37" s="35" t="n">
        <f aca="false">IFERROR(SUMPRODUCT((DADOS!$D$2:$D$426=$A37)*(DADOS!$C$2:$C$426=$B37)*DADOS!$G$2:$G$426*DADOS!$I$2:$I$426)/$C37,0)</f>
        <v>0</v>
      </c>
      <c r="F37" s="35" t="n">
        <f aca="false">IFERROR(SUMPRODUCT((DADOS!$D$2:$D$426=$A37)*(DADOS!$C$2:$C$426=$B37)*DADOS!$G$2:$G$426*DADOS!$J$2:$J$426)/$C37,0)</f>
        <v>0</v>
      </c>
      <c r="G37" s="35" t="n">
        <f aca="false">IFERROR(SUMPRODUCT((DADOS!$D$2:$D$426=$A37)*(DADOS!$C$2:$C$426=$B37)*DADOS!$G$2:$G$426*DADOS!$K$2:$K$426)/$C37,0)</f>
        <v>0</v>
      </c>
      <c r="H37" s="34" t="n">
        <f aca="false">SUMIFS(DADOS!$G$2:$G$426,DADOS!$D$2:$D$426,$A37,DADOS!$C$2:$C$426,$B37,DADOS!$E$2:$E$426,"Rodo")</f>
        <v>0</v>
      </c>
      <c r="I37" s="34" t="n">
        <f aca="false">SUMIFS(DADOS!$G$2:$G$426,DADOS!$D$2:$D$426,$A37,DADOS!$C$2:$C$426,$B37,DADOS!$E$2:$E$426,"Ferro")</f>
        <v>0</v>
      </c>
    </row>
    <row r="38" customFormat="false" ht="15" hidden="false" customHeight="false" outlineLevel="0" collapsed="false">
      <c r="A38" s="27" t="s">
        <v>42</v>
      </c>
      <c r="B38" s="27" t="s">
        <v>38</v>
      </c>
      <c r="C38" s="34" t="n">
        <f aca="false">SUMIFS(DADOS!$G$2:$G$426,DADOS!$D$2:$D$426,$A38,DADOS!$C$2:$C$426,$B38)</f>
        <v>26334.33</v>
      </c>
      <c r="D38" s="35" t="n">
        <f aca="false">IFERROR(SUMPRODUCT((DADOS!$D$2:$D$426=$A38)*(DADOS!$C$2:$C$426=$B38)*DADOS!$G$2:$G$426*DADOS!$H$2:$H$426)/$C38,0)</f>
        <v>47.805871594227</v>
      </c>
      <c r="E38" s="35" t="n">
        <f aca="false">IFERROR(SUMPRODUCT((DADOS!$D$2:$D$426=$A38)*(DADOS!$C$2:$C$426=$B38)*DADOS!$G$2:$G$426*DADOS!$I$2:$I$426)/$C38,0)</f>
        <v>12.1108984280215</v>
      </c>
      <c r="F38" s="35" t="n">
        <f aca="false">IFERROR(SUMPRODUCT((DADOS!$D$2:$D$426=$A38)*(DADOS!$C$2:$C$426=$B38)*DADOS!$G$2:$G$426*DADOS!$J$2:$J$426)/$C38,0)</f>
        <v>3.59836961487154</v>
      </c>
      <c r="G38" s="35" t="n">
        <f aca="false">IFERROR(SUMPRODUCT((DADOS!$D$2:$D$426=$A38)*(DADOS!$C$2:$C$426=$B38)*DADOS!$G$2:$G$426*DADOS!$K$2:$K$426)/$C38,0)</f>
        <v>1.74676691603698</v>
      </c>
      <c r="H38" s="34" t="n">
        <f aca="false">SUMIFS(DADOS!$G$2:$G$426,DADOS!$D$2:$D$426,$A38,DADOS!$C$2:$C$426,$B38,DADOS!$E$2:$E$426,"Rodo")</f>
        <v>25284.64</v>
      </c>
      <c r="I38" s="34" t="n">
        <f aca="false">SUMIFS(DADOS!$G$2:$G$426,DADOS!$D$2:$D$426,$A38,DADOS!$C$2:$C$426,$B38,DADOS!$E$2:$E$426,"Ferro")</f>
        <v>1049.69</v>
      </c>
    </row>
    <row r="39" customFormat="false" ht="15" hidden="false" customHeight="false" outlineLevel="0" collapsed="false">
      <c r="A39" s="27" t="s">
        <v>42</v>
      </c>
      <c r="B39" s="27" t="s">
        <v>59</v>
      </c>
      <c r="C39" s="34" t="n">
        <f aca="false">SUMIFS(DADOS!$G$2:$G$426,DADOS!$D$2:$D$426,$A39,DADOS!$C$2:$C$426,$B39)</f>
        <v>62578.1</v>
      </c>
      <c r="D39" s="35" t="n">
        <f aca="false">IFERROR(SUMPRODUCT((DADOS!$D$2:$D$426=$A39)*(DADOS!$C$2:$C$426=$B39)*DADOS!$G$2:$G$426*DADOS!$H$2:$H$426)/$C39,0)</f>
        <v>46.9693151837464</v>
      </c>
      <c r="E39" s="35" t="n">
        <f aca="false">IFERROR(SUMPRODUCT((DADOS!$D$2:$D$426=$A39)*(DADOS!$C$2:$C$426=$B39)*DADOS!$G$2:$G$426*DADOS!$I$2:$I$426)/$C39,0)</f>
        <v>12.3393796839469</v>
      </c>
      <c r="F39" s="35" t="n">
        <f aca="false">IFERROR(SUMPRODUCT((DADOS!$D$2:$D$426=$A39)*(DADOS!$C$2:$C$426=$B39)*DADOS!$G$2:$G$426*DADOS!$J$2:$J$426)/$C39,0)</f>
        <v>3.7083901652495</v>
      </c>
      <c r="G39" s="35" t="n">
        <f aca="false">IFERROR(SUMPRODUCT((DADOS!$D$2:$D$426=$A39)*(DADOS!$C$2:$C$426=$B39)*DADOS!$G$2:$G$426*DADOS!$K$2:$K$426)/$C39,0)</f>
        <v>1.73184073981153</v>
      </c>
      <c r="H39" s="34" t="n">
        <f aca="false">SUMIFS(DADOS!$G$2:$G$426,DADOS!$D$2:$D$426,$A39,DADOS!$C$2:$C$426,$B39,DADOS!$E$2:$E$426,"Rodo")</f>
        <v>11853.83</v>
      </c>
      <c r="I39" s="34" t="n">
        <f aca="false">SUMIFS(DADOS!$G$2:$G$426,DADOS!$D$2:$D$426,$A39,DADOS!$C$2:$C$426,$B39,DADOS!$E$2:$E$426,"Ferro")</f>
        <v>50724.27</v>
      </c>
    </row>
    <row r="40" customFormat="false" ht="15" hidden="false" customHeight="false" outlineLevel="0" collapsed="false">
      <c r="A40" s="27" t="s">
        <v>42</v>
      </c>
      <c r="B40" s="27" t="s">
        <v>60</v>
      </c>
      <c r="C40" s="34" t="n">
        <f aca="false">SUMIFS(DADOS!$G$2:$G$426,DADOS!$D$2:$D$426,$A40,DADOS!$C$2:$C$426,$B40)</f>
        <v>60137.37</v>
      </c>
      <c r="D40" s="35" t="n">
        <f aca="false">IFERROR(SUMPRODUCT((DADOS!$D$2:$D$426=$A40)*(DADOS!$C$2:$C$426=$B40)*DADOS!$G$2:$G$426*DADOS!$H$2:$H$426)/$C40,0)</f>
        <v>47.2270532748605</v>
      </c>
      <c r="E40" s="35" t="n">
        <f aca="false">IFERROR(SUMPRODUCT((DADOS!$D$2:$D$426=$A40)*(DADOS!$C$2:$C$426=$B40)*DADOS!$G$2:$G$426*DADOS!$I$2:$I$426)/$C40,0)</f>
        <v>12.1412336754999</v>
      </c>
      <c r="F40" s="35" t="n">
        <f aca="false">IFERROR(SUMPRODUCT((DADOS!$D$2:$D$426=$A40)*(DADOS!$C$2:$C$426=$B40)*DADOS!$G$2:$G$426*DADOS!$J$2:$J$426)/$C40,0)</f>
        <v>3.73296846037663</v>
      </c>
      <c r="G40" s="35" t="n">
        <f aca="false">IFERROR(SUMPRODUCT((DADOS!$D$2:$D$426=$A40)*(DADOS!$C$2:$C$426=$B40)*DADOS!$G$2:$G$426*DADOS!$K$2:$K$426)/$C40,0)</f>
        <v>1.52968446741186</v>
      </c>
      <c r="H40" s="34" t="n">
        <f aca="false">SUMIFS(DADOS!$G$2:$G$426,DADOS!$D$2:$D$426,$A40,DADOS!$C$2:$C$426,$B40,DADOS!$E$2:$E$426,"Rodo")</f>
        <v>22201.52</v>
      </c>
      <c r="I40" s="34" t="n">
        <f aca="false">SUMIFS(DADOS!$G$2:$G$426,DADOS!$D$2:$D$426,$A40,DADOS!$C$2:$C$426,$B40,DADOS!$E$2:$E$426,"Ferro")</f>
        <v>37935.85</v>
      </c>
    </row>
    <row r="41" customFormat="false" ht="15" hidden="false" customHeight="false" outlineLevel="0" collapsed="false">
      <c r="A41" s="27" t="s">
        <v>42</v>
      </c>
      <c r="B41" s="27" t="s">
        <v>61</v>
      </c>
      <c r="C41" s="34" t="n">
        <f aca="false">SUMIFS(DADOS!$G$2:$G$426,DADOS!$D$2:$D$426,$A41,DADOS!$C$2:$C$426,$B41)</f>
        <v>53714.89</v>
      </c>
      <c r="D41" s="35" t="n">
        <f aca="false">IFERROR(SUMPRODUCT((DADOS!$D$2:$D$426=$A41)*(DADOS!$C$2:$C$426=$B41)*DADOS!$G$2:$G$426*DADOS!$H$2:$H$426)/$C41,0)</f>
        <v>47.5865365357725</v>
      </c>
      <c r="E41" s="35" t="n">
        <f aca="false">IFERROR(SUMPRODUCT((DADOS!$D$2:$D$426=$A41)*(DADOS!$C$2:$C$426=$B41)*DADOS!$G$2:$G$426*DADOS!$I$2:$I$426)/$C41,0)</f>
        <v>12.2551331185822</v>
      </c>
      <c r="F41" s="35" t="n">
        <f aca="false">IFERROR(SUMPRODUCT((DADOS!$D$2:$D$426=$A41)*(DADOS!$C$2:$C$426=$B41)*DADOS!$G$2:$G$426*DADOS!$J$2:$J$426)/$C41,0)</f>
        <v>3.65791646785463</v>
      </c>
      <c r="G41" s="35" t="n">
        <f aca="false">IFERROR(SUMPRODUCT((DADOS!$D$2:$D$426=$A41)*(DADOS!$C$2:$C$426=$B41)*DADOS!$G$2:$G$426*DADOS!$K$2:$K$426)/$C41,0)</f>
        <v>1.70305808314976</v>
      </c>
      <c r="H41" s="34" t="n">
        <f aca="false">SUMIFS(DADOS!$G$2:$G$426,DADOS!$D$2:$D$426,$A41,DADOS!$C$2:$C$426,$B41,DADOS!$E$2:$E$426,"Rodo")</f>
        <v>31236.13</v>
      </c>
      <c r="I41" s="34" t="n">
        <f aca="false">SUMIFS(DADOS!$G$2:$G$426,DADOS!$D$2:$D$426,$A41,DADOS!$C$2:$C$426,$B41,DADOS!$E$2:$E$426,"Ferro")</f>
        <v>22478.76</v>
      </c>
    </row>
    <row r="42" customFormat="false" ht="15" hidden="false" customHeight="false" outlineLevel="0" collapsed="false">
      <c r="A42" s="27" t="s">
        <v>42</v>
      </c>
      <c r="B42" s="27" t="s">
        <v>62</v>
      </c>
      <c r="C42" s="34" t="n">
        <f aca="false">SUMIFS(DADOS!$G$2:$G$426,DADOS!$D$2:$D$426,$A42,DADOS!$C$2:$C$426,$B42)</f>
        <v>53120.9</v>
      </c>
      <c r="D42" s="35" t="n">
        <f aca="false">IFERROR(SUMPRODUCT((DADOS!$D$2:$D$426=$A42)*(DADOS!$C$2:$C$426=$B42)*DADOS!$G$2:$G$426*DADOS!$H$2:$H$426)/$C42,0)</f>
        <v>47.4496849168595</v>
      </c>
      <c r="E42" s="35" t="n">
        <f aca="false">IFERROR(SUMPRODUCT((DADOS!$D$2:$D$426=$A42)*(DADOS!$C$2:$C$426=$B42)*DADOS!$G$2:$G$426*DADOS!$I$2:$I$426)/$C42,0)</f>
        <v>12.3561943848843</v>
      </c>
      <c r="F42" s="35" t="n">
        <f aca="false">IFERROR(SUMPRODUCT((DADOS!$D$2:$D$426=$A42)*(DADOS!$C$2:$C$426=$B42)*DADOS!$G$2:$G$426*DADOS!$J$2:$J$426)/$C42,0)</f>
        <v>3.69318510040304</v>
      </c>
      <c r="G42" s="35" t="n">
        <f aca="false">IFERROR(SUMPRODUCT((DADOS!$D$2:$D$426=$A42)*(DADOS!$C$2:$C$426=$B42)*DADOS!$G$2:$G$426*DADOS!$K$2:$K$426)/$C42,0)</f>
        <v>1.56632251900853</v>
      </c>
      <c r="H42" s="34" t="n">
        <f aca="false">SUMIFS(DADOS!$G$2:$G$426,DADOS!$D$2:$D$426,$A42,DADOS!$C$2:$C$426,$B42,DADOS!$E$2:$E$426,"Rodo")</f>
        <v>28076.92</v>
      </c>
      <c r="I42" s="34" t="n">
        <f aca="false">SUMIFS(DADOS!$G$2:$G$426,DADOS!$D$2:$D$426,$A42,DADOS!$C$2:$C$426,$B42,DADOS!$E$2:$E$426,"Ferro")</f>
        <v>25043.98</v>
      </c>
    </row>
    <row r="43" customFormat="false" ht="15" hidden="false" customHeight="false" outlineLevel="0" collapsed="false">
      <c r="A43" s="27" t="s">
        <v>42</v>
      </c>
      <c r="B43" s="27" t="s">
        <v>63</v>
      </c>
      <c r="C43" s="34" t="n">
        <f aca="false">SUMIFS(DADOS!$G$2:$G$426,DADOS!$D$2:$D$426,$A43,DADOS!$C$2:$C$426,$B43)</f>
        <v>40336.83</v>
      </c>
      <c r="D43" s="35" t="n">
        <f aca="false">IFERROR(SUMPRODUCT((DADOS!$D$2:$D$426=$A43)*(DADOS!$C$2:$C$426=$B43)*DADOS!$G$2:$G$426*DADOS!$H$2:$H$426)/$C43,0)</f>
        <v>47.4440278425449</v>
      </c>
      <c r="E43" s="35" t="n">
        <f aca="false">IFERROR(SUMPRODUCT((DADOS!$D$2:$D$426=$A43)*(DADOS!$C$2:$C$426=$B43)*DADOS!$G$2:$G$426*DADOS!$I$2:$I$426)/$C43,0)</f>
        <v>12.7524888247292</v>
      </c>
      <c r="F43" s="35" t="n">
        <f aca="false">IFERROR(SUMPRODUCT((DADOS!$D$2:$D$426=$A43)*(DADOS!$C$2:$C$426=$B43)*DADOS!$G$2:$G$426*DADOS!$J$2:$J$426)/$C43,0)</f>
        <v>3.76910687081756</v>
      </c>
      <c r="G43" s="35" t="n">
        <f aca="false">IFERROR(SUMPRODUCT((DADOS!$D$2:$D$426=$A43)*(DADOS!$C$2:$C$426=$B43)*DADOS!$G$2:$G$426*DADOS!$K$2:$K$426)/$C43,0)</f>
        <v>1.66082917274362</v>
      </c>
      <c r="H43" s="34" t="n">
        <f aca="false">SUMIFS(DADOS!$G$2:$G$426,DADOS!$D$2:$D$426,$A43,DADOS!$C$2:$C$426,$B43,DADOS!$E$2:$E$426,"Rodo")</f>
        <v>28267.56</v>
      </c>
      <c r="I43" s="34" t="n">
        <f aca="false">SUMIFS(DADOS!$G$2:$G$426,DADOS!$D$2:$D$426,$A43,DADOS!$C$2:$C$426,$B43,DADOS!$E$2:$E$426,"Ferro")</f>
        <v>12069.27</v>
      </c>
    </row>
    <row r="44" customFormat="false" ht="15" hidden="false" customHeight="false" outlineLevel="0" collapsed="false">
      <c r="A44" s="27" t="s">
        <v>42</v>
      </c>
      <c r="B44" s="27" t="s">
        <v>64</v>
      </c>
      <c r="C44" s="34" t="n">
        <f aca="false">SUMIFS(DADOS!$G$2:$G$426,DADOS!$D$2:$D$426,$A44,DADOS!$C$2:$C$426,$B44)</f>
        <v>5705.09</v>
      </c>
      <c r="D44" s="35" t="n">
        <f aca="false">IFERROR(SUMPRODUCT((DADOS!$D$2:$D$426=$A44)*(DADOS!$C$2:$C$426=$B44)*DADOS!$G$2:$G$426*DADOS!$H$2:$H$426)/$C44,0)</f>
        <v>47.0914792755241</v>
      </c>
      <c r="E44" s="35" t="n">
        <f aca="false">IFERROR(SUMPRODUCT((DADOS!$D$2:$D$426=$A44)*(DADOS!$C$2:$C$426=$B44)*DADOS!$G$2:$G$426*DADOS!$I$2:$I$426)/$C44,0)</f>
        <v>12.7232038057244</v>
      </c>
      <c r="F44" s="35" t="n">
        <f aca="false">IFERROR(SUMPRODUCT((DADOS!$D$2:$D$426=$A44)*(DADOS!$C$2:$C$426=$B44)*DADOS!$G$2:$G$426*DADOS!$J$2:$J$426)/$C44,0)</f>
        <v>3.89869810993341</v>
      </c>
      <c r="G44" s="35" t="n">
        <f aca="false">IFERROR(SUMPRODUCT((DADOS!$D$2:$D$426=$A44)*(DADOS!$C$2:$C$426=$B44)*DADOS!$G$2:$G$426*DADOS!$K$2:$K$426)/$C44,0)</f>
        <v>1.82679156682892</v>
      </c>
      <c r="H44" s="34" t="n">
        <f aca="false">SUMIFS(DADOS!$G$2:$G$426,DADOS!$D$2:$D$426,$A44,DADOS!$C$2:$C$426,$B44,DADOS!$E$2:$E$426,"Rodo")</f>
        <v>5705.09</v>
      </c>
      <c r="I44" s="34" t="n">
        <f aca="false">SUMIFS(DADOS!$G$2:$G$426,DADOS!$D$2:$D$426,$A44,DADOS!$C$2:$C$426,$B44,DADOS!$E$2:$E$426,"Ferro")</f>
        <v>0</v>
      </c>
    </row>
    <row r="45" customFormat="false" ht="15" hidden="false" customHeight="false" outlineLevel="0" collapsed="false">
      <c r="A45" s="27" t="s">
        <v>42</v>
      </c>
      <c r="B45" s="27" t="s">
        <v>65</v>
      </c>
      <c r="C45" s="34" t="n">
        <f aca="false">SUMIFS(DADOS!$G$2:$G$426,DADOS!$D$2:$D$426,$A45,DADOS!$C$2:$C$426,$B45)</f>
        <v>5005.2</v>
      </c>
      <c r="D45" s="35" t="n">
        <f aca="false">IFERROR(SUMPRODUCT((DADOS!$D$2:$D$426=$A45)*(DADOS!$C$2:$C$426=$B45)*DADOS!$G$2:$G$426*DADOS!$H$2:$H$426)/$C45,0)</f>
        <v>47.1574070566611</v>
      </c>
      <c r="E45" s="35" t="n">
        <f aca="false">IFERROR(SUMPRODUCT((DADOS!$D$2:$D$426=$A45)*(DADOS!$C$2:$C$426=$B45)*DADOS!$G$2:$G$426*DADOS!$I$2:$I$426)/$C45,0)</f>
        <v>12.3512501198753</v>
      </c>
      <c r="F45" s="35" t="n">
        <f aca="false">IFERROR(SUMPRODUCT((DADOS!$D$2:$D$426=$A45)*(DADOS!$C$2:$C$426=$B45)*DADOS!$G$2:$G$426*DADOS!$J$2:$J$426)/$C45,0)</f>
        <v>3.92197017102214</v>
      </c>
      <c r="G45" s="35" t="n">
        <f aca="false">IFERROR(SUMPRODUCT((DADOS!$D$2:$D$426=$A45)*(DADOS!$C$2:$C$426=$B45)*DADOS!$G$2:$G$426*DADOS!$K$2:$K$426)/$C45,0)</f>
        <v>1.34203666187165</v>
      </c>
      <c r="H45" s="34" t="n">
        <f aca="false">SUMIFS(DADOS!$G$2:$G$426,DADOS!$D$2:$D$426,$A45,DADOS!$C$2:$C$426,$B45,DADOS!$E$2:$E$426,"Rodo")</f>
        <v>5005.2</v>
      </c>
      <c r="I45" s="34" t="n">
        <f aca="false">SUMIFS(DADOS!$G$2:$G$426,DADOS!$D$2:$D$426,$A45,DADOS!$C$2:$C$426,$B45,DADOS!$E$2:$E$426,"Ferro")</f>
        <v>0</v>
      </c>
    </row>
    <row r="46" customFormat="false" ht="15" hidden="false" customHeight="false" outlineLevel="0" collapsed="false">
      <c r="A46" s="27" t="s">
        <v>42</v>
      </c>
      <c r="B46" s="27" t="s">
        <v>66</v>
      </c>
      <c r="C46" s="34" t="n">
        <f aca="false">SUMIFS(DADOS!$G$2:$G$426,DADOS!$D$2:$D$426,$A46,DADOS!$C$2:$C$426,$B46)</f>
        <v>229.82</v>
      </c>
      <c r="D46" s="35" t="n">
        <f aca="false">IFERROR(SUMPRODUCT((DADOS!$D$2:$D$426=$A46)*(DADOS!$C$2:$C$426=$B46)*DADOS!$G$2:$G$426*DADOS!$H$2:$H$426)/$C46,0)</f>
        <v>47.26</v>
      </c>
      <c r="E46" s="35" t="n">
        <f aca="false">IFERROR(SUMPRODUCT((DADOS!$D$2:$D$426=$A46)*(DADOS!$C$2:$C$426=$B46)*DADOS!$G$2:$G$426*DADOS!$I$2:$I$426)/$C46,0)</f>
        <v>11.78</v>
      </c>
      <c r="F46" s="35" t="n">
        <f aca="false">IFERROR(SUMPRODUCT((DADOS!$D$2:$D$426=$A46)*(DADOS!$C$2:$C$426=$B46)*DADOS!$G$2:$G$426*DADOS!$J$2:$J$426)/$C46,0)</f>
        <v>3.87</v>
      </c>
      <c r="G46" s="35" t="n">
        <f aca="false">IFERROR(SUMPRODUCT((DADOS!$D$2:$D$426=$A46)*(DADOS!$C$2:$C$426=$B46)*DADOS!$G$2:$G$426*DADOS!$K$2:$K$426)/$C46,0)</f>
        <v>1.65</v>
      </c>
      <c r="H46" s="34" t="n">
        <f aca="false">SUMIFS(DADOS!$G$2:$G$426,DADOS!$D$2:$D$426,$A46,DADOS!$C$2:$C$426,$B46,DADOS!$E$2:$E$426,"Rodo")</f>
        <v>229.82</v>
      </c>
      <c r="I46" s="34" t="n">
        <f aca="false">SUMIFS(DADOS!$G$2:$G$426,DADOS!$D$2:$D$426,$A46,DADOS!$C$2:$C$426,$B46,DADOS!$E$2:$E$426,"Ferro")</f>
        <v>0</v>
      </c>
    </row>
    <row r="47" customFormat="false" ht="15" hidden="false" customHeight="false" outlineLevel="0" collapsed="false">
      <c r="A47" s="27" t="s">
        <v>42</v>
      </c>
      <c r="B47" s="27" t="s">
        <v>67</v>
      </c>
      <c r="C47" s="34" t="n">
        <f aca="false">SUMIFS(DADOS!$G$2:$G$426,DADOS!$D$2:$D$426,$A47,DADOS!$C$2:$C$426,$B47)</f>
        <v>0</v>
      </c>
      <c r="D47" s="35" t="n">
        <f aca="false">IFERROR(SUMPRODUCT((DADOS!$D$2:$D$426=$A47)*(DADOS!$C$2:$C$426=$B47)*DADOS!$G$2:$G$426*DADOS!$H$2:$H$426)/$C47,0)</f>
        <v>0</v>
      </c>
      <c r="E47" s="35" t="n">
        <f aca="false">IFERROR(SUMPRODUCT((DADOS!$D$2:$D$426=$A47)*(DADOS!$C$2:$C$426=$B47)*DADOS!$G$2:$G$426*DADOS!$I$2:$I$426)/$C47,0)</f>
        <v>0</v>
      </c>
      <c r="F47" s="35" t="n">
        <f aca="false">IFERROR(SUMPRODUCT((DADOS!$D$2:$D$426=$A47)*(DADOS!$C$2:$C$426=$B47)*DADOS!$G$2:$G$426*DADOS!$J$2:$J$426)/$C47,0)</f>
        <v>0</v>
      </c>
      <c r="G47" s="35" t="n">
        <f aca="false">IFERROR(SUMPRODUCT((DADOS!$D$2:$D$426=$A47)*(DADOS!$C$2:$C$426=$B47)*DADOS!$G$2:$G$426*DADOS!$K$2:$K$426)/$C47,0)</f>
        <v>0</v>
      </c>
      <c r="H47" s="34" t="n">
        <f aca="false">SUMIFS(DADOS!$G$2:$G$426,DADOS!$D$2:$D$426,$A47,DADOS!$C$2:$C$426,$B47,DADOS!$E$2:$E$426,"Rodo")</f>
        <v>0</v>
      </c>
      <c r="I47" s="34" t="n">
        <f aca="false">SUMIFS(DADOS!$G$2:$G$426,DADOS!$D$2:$D$426,$A47,DADOS!$C$2:$C$426,$B47,DADOS!$E$2:$E$426,"Ferro")</f>
        <v>0</v>
      </c>
    </row>
    <row r="48" customFormat="false" ht="15" hidden="false" customHeight="false" outlineLevel="0" collapsed="false">
      <c r="A48" s="27" t="s">
        <v>42</v>
      </c>
      <c r="B48" s="27" t="s">
        <v>68</v>
      </c>
      <c r="C48" s="34" t="n">
        <f aca="false">SUMIFS(DADOS!$G$2:$G$426,DADOS!$D$2:$D$426,$A48,DADOS!$C$2:$C$426,$B48)</f>
        <v>0</v>
      </c>
      <c r="D48" s="35" t="n">
        <f aca="false">IFERROR(SUMPRODUCT((DADOS!$D$2:$D$426=$A48)*(DADOS!$C$2:$C$426=$B48)*DADOS!$G$2:$G$426*DADOS!$H$2:$H$426)/$C48,0)</f>
        <v>0</v>
      </c>
      <c r="E48" s="35" t="n">
        <f aca="false">IFERROR(SUMPRODUCT((DADOS!$D$2:$D$426=$A48)*(DADOS!$C$2:$C$426=$B48)*DADOS!$G$2:$G$426*DADOS!$I$2:$I$426)/$C48,0)</f>
        <v>0</v>
      </c>
      <c r="F48" s="35" t="n">
        <f aca="false">IFERROR(SUMPRODUCT((DADOS!$D$2:$D$426=$A48)*(DADOS!$C$2:$C$426=$B48)*DADOS!$G$2:$G$426*DADOS!$J$2:$J$426)/$C48,0)</f>
        <v>0</v>
      </c>
      <c r="G48" s="35" t="n">
        <f aca="false">IFERROR(SUMPRODUCT((DADOS!$D$2:$D$426=$A48)*(DADOS!$C$2:$C$426=$B48)*DADOS!$G$2:$G$426*DADOS!$K$2:$K$426)/$C48,0)</f>
        <v>0</v>
      </c>
      <c r="H48" s="34" t="n">
        <f aca="false">SUMIFS(DADOS!$G$2:$G$426,DADOS!$D$2:$D$426,$A48,DADOS!$C$2:$C$426,$B48,DADOS!$E$2:$E$426,"Rodo")</f>
        <v>0</v>
      </c>
      <c r="I48" s="34" t="n">
        <f aca="false">SUMIFS(DADOS!$G$2:$G$426,DADOS!$D$2:$D$426,$A48,DADOS!$C$2:$C$426,$B48,DADOS!$E$2:$E$426,"Ferro")</f>
        <v>0</v>
      </c>
    </row>
    <row r="49" customFormat="false" ht="15" hidden="false" customHeight="false" outlineLevel="0" collapsed="false">
      <c r="A49" s="27" t="s">
        <v>42</v>
      </c>
      <c r="B49" s="27" t="s">
        <v>69</v>
      </c>
      <c r="C49" s="34" t="n">
        <f aca="false">SUMIFS(DADOS!$G$2:$G$426,DADOS!$D$2:$D$426,$A49,DADOS!$C$2:$C$426,$B49)</f>
        <v>0</v>
      </c>
      <c r="D49" s="35" t="n">
        <f aca="false">IFERROR(SUMPRODUCT((DADOS!$D$2:$D$426=$A49)*(DADOS!$C$2:$C$426=$B49)*DADOS!$G$2:$G$426*DADOS!$H$2:$H$426)/$C49,0)</f>
        <v>0</v>
      </c>
      <c r="E49" s="35" t="n">
        <f aca="false">IFERROR(SUMPRODUCT((DADOS!$D$2:$D$426=$A49)*(DADOS!$C$2:$C$426=$B49)*DADOS!$G$2:$G$426*DADOS!$I$2:$I$426)/$C49,0)</f>
        <v>0</v>
      </c>
      <c r="F49" s="35" t="n">
        <f aca="false">IFERROR(SUMPRODUCT((DADOS!$D$2:$D$426=$A49)*(DADOS!$C$2:$C$426=$B49)*DADOS!$G$2:$G$426*DADOS!$J$2:$J$426)/$C49,0)</f>
        <v>0</v>
      </c>
      <c r="G49" s="35" t="n">
        <f aca="false">IFERROR(SUMPRODUCT((DADOS!$D$2:$D$426=$A49)*(DADOS!$C$2:$C$426=$B49)*DADOS!$G$2:$G$426*DADOS!$K$2:$K$426)/$C49,0)</f>
        <v>0</v>
      </c>
      <c r="H49" s="34" t="n">
        <f aca="false">SUMIFS(DADOS!$G$2:$G$426,DADOS!$D$2:$D$426,$A49,DADOS!$C$2:$C$426,$B49,DADOS!$E$2:$E$426,"Rodo")</f>
        <v>0</v>
      </c>
      <c r="I49" s="34" t="n">
        <f aca="false">SUMIFS(DADOS!$G$2:$G$426,DADOS!$D$2:$D$426,$A49,DADOS!$C$2:$C$426,$B49,DADOS!$E$2:$E$426,"Ferro")</f>
        <v>0</v>
      </c>
    </row>
    <row r="50" customFormat="false" ht="15" hidden="false" customHeight="false" outlineLevel="0" collapsed="false">
      <c r="A50" s="27" t="s">
        <v>43</v>
      </c>
      <c r="B50" s="27" t="s">
        <v>38</v>
      </c>
      <c r="C50" s="34" t="n">
        <f aca="false">SUMIFS(DADOS!$G$2:$G$426,DADOS!$D$2:$D$426,$A50,DADOS!$C$2:$C$426,$B50)</f>
        <v>58133.28</v>
      </c>
      <c r="D50" s="35" t="n">
        <f aca="false">IFERROR(SUMPRODUCT((DADOS!$D$2:$D$426=$A50)*(DADOS!$C$2:$C$426=$B50)*DADOS!$G$2:$G$426*DADOS!$H$2:$H$426)/$C50,0)</f>
        <v>47.7608013396113</v>
      </c>
      <c r="E50" s="35" t="n">
        <f aca="false">IFERROR(SUMPRODUCT((DADOS!$D$2:$D$426=$A50)*(DADOS!$C$2:$C$426=$B50)*DADOS!$G$2:$G$426*DADOS!$I$2:$I$426)/$C50,0)</f>
        <v>12.0883999973853</v>
      </c>
      <c r="F50" s="35" t="n">
        <f aca="false">IFERROR(SUMPRODUCT((DADOS!$D$2:$D$426=$A50)*(DADOS!$C$2:$C$426=$B50)*DADOS!$G$2:$G$426*DADOS!$J$2:$J$426)/$C50,0)</f>
        <v>3.51532527839475</v>
      </c>
      <c r="G50" s="35" t="n">
        <f aca="false">IFERROR(SUMPRODUCT((DADOS!$D$2:$D$426=$A50)*(DADOS!$C$2:$C$426=$B50)*DADOS!$G$2:$G$426*DADOS!$K$2:$K$426)/$C50,0)</f>
        <v>1.59289670219881</v>
      </c>
      <c r="H50" s="34" t="n">
        <f aca="false">SUMIFS(DADOS!$G$2:$G$426,DADOS!$D$2:$D$426,$A50,DADOS!$C$2:$C$426,$B50,DADOS!$E$2:$E$426,"Rodo")</f>
        <v>10502.32</v>
      </c>
      <c r="I50" s="34" t="n">
        <f aca="false">SUMIFS(DADOS!$G$2:$G$426,DADOS!$D$2:$D$426,$A50,DADOS!$C$2:$C$426,$B50,DADOS!$E$2:$E$426,"Ferro")</f>
        <v>47630.96</v>
      </c>
    </row>
    <row r="51" customFormat="false" ht="15" hidden="false" customHeight="false" outlineLevel="0" collapsed="false">
      <c r="A51" s="27" t="s">
        <v>43</v>
      </c>
      <c r="B51" s="27" t="s">
        <v>59</v>
      </c>
      <c r="C51" s="34" t="n">
        <f aca="false">SUMIFS(DADOS!$G$2:$G$426,DADOS!$D$2:$D$426,$A51,DADOS!$C$2:$C$426,$B51)</f>
        <v>53224.28</v>
      </c>
      <c r="D51" s="35" t="n">
        <f aca="false">IFERROR(SUMPRODUCT((DADOS!$D$2:$D$426=$A51)*(DADOS!$C$2:$C$426=$B51)*DADOS!$G$2:$G$426*DADOS!$H$2:$H$426)/$C51,0)</f>
        <v>47.7410028036077</v>
      </c>
      <c r="E51" s="35" t="n">
        <f aca="false">IFERROR(SUMPRODUCT((DADOS!$D$2:$D$426=$A51)*(DADOS!$C$2:$C$426=$B51)*DADOS!$G$2:$G$426*DADOS!$I$2:$I$426)/$C51,0)</f>
        <v>12.2364620658091</v>
      </c>
      <c r="F51" s="35" t="n">
        <f aca="false">IFERROR(SUMPRODUCT((DADOS!$D$2:$D$426=$A51)*(DADOS!$C$2:$C$426=$B51)*DADOS!$G$2:$G$426*DADOS!$J$2:$J$426)/$C51,0)</f>
        <v>3.49707755558178</v>
      </c>
      <c r="G51" s="35" t="n">
        <f aca="false">IFERROR(SUMPRODUCT((DADOS!$D$2:$D$426=$A51)*(DADOS!$C$2:$C$426=$B51)*DADOS!$G$2:$G$426*DADOS!$K$2:$K$426)/$C51,0)</f>
        <v>1.77413490234156</v>
      </c>
      <c r="H51" s="34" t="n">
        <f aca="false">SUMIFS(DADOS!$G$2:$G$426,DADOS!$D$2:$D$426,$A51,DADOS!$C$2:$C$426,$B51,DADOS!$E$2:$E$426,"Rodo")</f>
        <v>0</v>
      </c>
      <c r="I51" s="34" t="n">
        <f aca="false">SUMIFS(DADOS!$G$2:$G$426,DADOS!$D$2:$D$426,$A51,DADOS!$C$2:$C$426,$B51,DADOS!$E$2:$E$426,"Ferro")</f>
        <v>53224.28</v>
      </c>
    </row>
    <row r="52" customFormat="false" ht="15" hidden="false" customHeight="false" outlineLevel="0" collapsed="false">
      <c r="A52" s="27" t="s">
        <v>43</v>
      </c>
      <c r="B52" s="27" t="s">
        <v>60</v>
      </c>
      <c r="C52" s="34" t="n">
        <f aca="false">SUMIFS(DADOS!$G$2:$G$426,DADOS!$D$2:$D$426,$A52,DADOS!$C$2:$C$426,$B52)</f>
        <v>66365.71</v>
      </c>
      <c r="D52" s="35" t="n">
        <f aca="false">IFERROR(SUMPRODUCT((DADOS!$D$2:$D$426=$A52)*(DADOS!$C$2:$C$426=$B52)*DADOS!$G$2:$G$426*DADOS!$H$2:$H$426)/$C52,0)</f>
        <v>47.3106617528841</v>
      </c>
      <c r="E52" s="35" t="n">
        <f aca="false">IFERROR(SUMPRODUCT((DADOS!$D$2:$D$426=$A52)*(DADOS!$C$2:$C$426=$B52)*DADOS!$G$2:$G$426*DADOS!$I$2:$I$426)/$C52,0)</f>
        <v>12.365805033955</v>
      </c>
      <c r="F52" s="35" t="n">
        <f aca="false">IFERROR(SUMPRODUCT((DADOS!$D$2:$D$426=$A52)*(DADOS!$C$2:$C$426=$B52)*DADOS!$G$2:$G$426*DADOS!$J$2:$J$426)/$C52,0)</f>
        <v>3.72221019107608</v>
      </c>
      <c r="G52" s="35" t="n">
        <f aca="false">IFERROR(SUMPRODUCT((DADOS!$D$2:$D$426=$A52)*(DADOS!$C$2:$C$426=$B52)*DADOS!$G$2:$G$426*DADOS!$K$2:$K$426)/$C52,0)</f>
        <v>1.54120652367013</v>
      </c>
      <c r="H52" s="34" t="n">
        <f aca="false">SUMIFS(DADOS!$G$2:$G$426,DADOS!$D$2:$D$426,$A52,DADOS!$C$2:$C$426,$B52,DADOS!$E$2:$E$426,"Rodo")</f>
        <v>0</v>
      </c>
      <c r="I52" s="34" t="n">
        <f aca="false">SUMIFS(DADOS!$G$2:$G$426,DADOS!$D$2:$D$426,$A52,DADOS!$C$2:$C$426,$B52,DADOS!$E$2:$E$426,"Ferro")</f>
        <v>66365.71</v>
      </c>
    </row>
    <row r="53" customFormat="false" ht="15" hidden="false" customHeight="false" outlineLevel="0" collapsed="false">
      <c r="A53" s="27" t="s">
        <v>43</v>
      </c>
      <c r="B53" s="27" t="s">
        <v>61</v>
      </c>
      <c r="C53" s="34" t="n">
        <f aca="false">SUMIFS(DADOS!$G$2:$G$426,DADOS!$D$2:$D$426,$A53,DADOS!$C$2:$C$426,$B53)</f>
        <v>92764.41</v>
      </c>
      <c r="D53" s="35" t="n">
        <f aca="false">IFERROR(SUMPRODUCT((DADOS!$D$2:$D$426=$A53)*(DADOS!$C$2:$C$426=$B53)*DADOS!$G$2:$G$426*DADOS!$H$2:$H$426)/$C53,0)</f>
        <v>47.3172978624022</v>
      </c>
      <c r="E53" s="35" t="n">
        <f aca="false">IFERROR(SUMPRODUCT((DADOS!$D$2:$D$426=$A53)*(DADOS!$C$2:$C$426=$B53)*DADOS!$G$2:$G$426*DADOS!$I$2:$I$426)/$C53,0)</f>
        <v>12.4482291732357</v>
      </c>
      <c r="F53" s="35" t="n">
        <f aca="false">IFERROR(SUMPRODUCT((DADOS!$D$2:$D$426=$A53)*(DADOS!$C$2:$C$426=$B53)*DADOS!$G$2:$G$426*DADOS!$J$2:$J$426)/$C53,0)</f>
        <v>3.76102840626055</v>
      </c>
      <c r="G53" s="35" t="n">
        <f aca="false">IFERROR(SUMPRODUCT((DADOS!$D$2:$D$426=$A53)*(DADOS!$C$2:$C$426=$B53)*DADOS!$G$2:$G$426*DADOS!$K$2:$K$426)/$C53,0)</f>
        <v>1.51240147810998</v>
      </c>
      <c r="H53" s="34" t="n">
        <f aca="false">SUMIFS(DADOS!$G$2:$G$426,DADOS!$D$2:$D$426,$A53,DADOS!$C$2:$C$426,$B53,DADOS!$E$2:$E$426,"Rodo")</f>
        <v>0</v>
      </c>
      <c r="I53" s="34" t="n">
        <f aca="false">SUMIFS(DADOS!$G$2:$G$426,DADOS!$D$2:$D$426,$A53,DADOS!$C$2:$C$426,$B53,DADOS!$E$2:$E$426,"Ferro")</f>
        <v>92764.41</v>
      </c>
    </row>
    <row r="54" customFormat="false" ht="15" hidden="false" customHeight="false" outlineLevel="0" collapsed="false">
      <c r="A54" s="27" t="s">
        <v>43</v>
      </c>
      <c r="B54" s="27" t="s">
        <v>62</v>
      </c>
      <c r="C54" s="34" t="n">
        <f aca="false">SUMIFS(DADOS!$G$2:$G$426,DADOS!$D$2:$D$426,$A54,DADOS!$C$2:$C$426,$B54)</f>
        <v>63744.72</v>
      </c>
      <c r="D54" s="35" t="n">
        <f aca="false">IFERROR(SUMPRODUCT((DADOS!$D$2:$D$426=$A54)*(DADOS!$C$2:$C$426=$B54)*DADOS!$G$2:$G$426*DADOS!$H$2:$H$426)/$C54,0)</f>
        <v>47.6858338070981</v>
      </c>
      <c r="E54" s="35" t="n">
        <f aca="false">IFERROR(SUMPRODUCT((DADOS!$D$2:$D$426=$A54)*(DADOS!$C$2:$C$426=$B54)*DADOS!$G$2:$G$426*DADOS!$I$2:$I$426)/$C54,0)</f>
        <v>12.5075041415195</v>
      </c>
      <c r="F54" s="35" t="n">
        <f aca="false">IFERROR(SUMPRODUCT((DADOS!$D$2:$D$426=$A54)*(DADOS!$C$2:$C$426=$B54)*DADOS!$G$2:$G$426*DADOS!$J$2:$J$426)/$C54,0)</f>
        <v>3.59712009088753</v>
      </c>
      <c r="G54" s="35" t="n">
        <f aca="false">IFERROR(SUMPRODUCT((DADOS!$D$2:$D$426=$A54)*(DADOS!$C$2:$C$426=$B54)*DADOS!$G$2:$G$426*DADOS!$K$2:$K$426)/$C54,0)</f>
        <v>1.51299671251203</v>
      </c>
      <c r="H54" s="34" t="n">
        <f aca="false">SUMIFS(DADOS!$G$2:$G$426,DADOS!$D$2:$D$426,$A54,DADOS!$C$2:$C$426,$B54,DADOS!$E$2:$E$426,"Rodo")</f>
        <v>4750.58</v>
      </c>
      <c r="I54" s="34" t="n">
        <f aca="false">SUMIFS(DADOS!$G$2:$G$426,DADOS!$D$2:$D$426,$A54,DADOS!$C$2:$C$426,$B54,DADOS!$E$2:$E$426,"Ferro")</f>
        <v>58994.14</v>
      </c>
    </row>
    <row r="55" customFormat="false" ht="15" hidden="false" customHeight="false" outlineLevel="0" collapsed="false">
      <c r="A55" s="27" t="s">
        <v>43</v>
      </c>
      <c r="B55" s="27" t="s">
        <v>63</v>
      </c>
      <c r="C55" s="34" t="n">
        <f aca="false">SUMIFS(DADOS!$G$2:$G$426,DADOS!$D$2:$D$426,$A55,DADOS!$C$2:$C$426,$B55)</f>
        <v>94743.83</v>
      </c>
      <c r="D55" s="35" t="n">
        <f aca="false">IFERROR(SUMPRODUCT((DADOS!$D$2:$D$426=$A55)*(DADOS!$C$2:$C$426=$B55)*DADOS!$G$2:$G$426*DADOS!$H$2:$H$426)/$C55,0)</f>
        <v>47.4441337055933</v>
      </c>
      <c r="E55" s="35" t="n">
        <f aca="false">IFERROR(SUMPRODUCT((DADOS!$D$2:$D$426=$A55)*(DADOS!$C$2:$C$426=$B55)*DADOS!$G$2:$G$426*DADOS!$I$2:$I$426)/$C55,0)</f>
        <v>12.4664559254149</v>
      </c>
      <c r="F55" s="35" t="n">
        <f aca="false">IFERROR(SUMPRODUCT((DADOS!$D$2:$D$426=$A55)*(DADOS!$C$2:$C$426=$B55)*DADOS!$G$2:$G$426*DADOS!$J$2:$J$426)/$C55,0)</f>
        <v>3.77768767000447</v>
      </c>
      <c r="G55" s="35" t="n">
        <f aca="false">IFERROR(SUMPRODUCT((DADOS!$D$2:$D$426=$A55)*(DADOS!$C$2:$C$426=$B55)*DADOS!$G$2:$G$426*DADOS!$K$2:$K$426)/$C55,0)</f>
        <v>1.59874791318865</v>
      </c>
      <c r="H55" s="34" t="n">
        <f aca="false">SUMIFS(DADOS!$G$2:$G$426,DADOS!$D$2:$D$426,$A55,DADOS!$C$2:$C$426,$B55,DADOS!$E$2:$E$426,"Rodo")</f>
        <v>13224.4</v>
      </c>
      <c r="I55" s="34" t="n">
        <f aca="false">SUMIFS(DADOS!$G$2:$G$426,DADOS!$D$2:$D$426,$A55,DADOS!$C$2:$C$426,$B55,DADOS!$E$2:$E$426,"Ferro")</f>
        <v>81519.43</v>
      </c>
    </row>
    <row r="56" customFormat="false" ht="15" hidden="false" customHeight="false" outlineLevel="0" collapsed="false">
      <c r="A56" s="27" t="s">
        <v>43</v>
      </c>
      <c r="B56" s="27" t="s">
        <v>64</v>
      </c>
      <c r="C56" s="34" t="n">
        <f aca="false">SUMIFS(DADOS!$G$2:$G$426,DADOS!$D$2:$D$426,$A56,DADOS!$C$2:$C$426,$B56)</f>
        <v>72870.58</v>
      </c>
      <c r="D56" s="35" t="n">
        <f aca="false">IFERROR(SUMPRODUCT((DADOS!$D$2:$D$426=$A56)*(DADOS!$C$2:$C$426=$B56)*DADOS!$G$2:$G$426*DADOS!$H$2:$H$426)/$C56,0)</f>
        <v>47.3975879593658</v>
      </c>
      <c r="E56" s="35" t="n">
        <f aca="false">IFERROR(SUMPRODUCT((DADOS!$D$2:$D$426=$A56)*(DADOS!$C$2:$C$426=$B56)*DADOS!$G$2:$G$426*DADOS!$I$2:$I$426)/$C56,0)</f>
        <v>12.3047121293669</v>
      </c>
      <c r="F56" s="35" t="n">
        <f aca="false">IFERROR(SUMPRODUCT((DADOS!$D$2:$D$426=$A56)*(DADOS!$C$2:$C$426=$B56)*DADOS!$G$2:$G$426*DADOS!$J$2:$J$426)/$C56,0)</f>
        <v>3.49811115542102</v>
      </c>
      <c r="G56" s="35" t="n">
        <f aca="false">IFERROR(SUMPRODUCT((DADOS!$D$2:$D$426=$A56)*(DADOS!$C$2:$C$426=$B56)*DADOS!$G$2:$G$426*DADOS!$K$2:$K$426)/$C56,0)</f>
        <v>1.65992517282009</v>
      </c>
      <c r="H56" s="34" t="n">
        <f aca="false">SUMIFS(DADOS!$G$2:$G$426,DADOS!$D$2:$D$426,$A56,DADOS!$C$2:$C$426,$B56,DADOS!$E$2:$E$426,"Rodo")</f>
        <v>0</v>
      </c>
      <c r="I56" s="34" t="n">
        <f aca="false">SUMIFS(DADOS!$G$2:$G$426,DADOS!$D$2:$D$426,$A56,DADOS!$C$2:$C$426,$B56,DADOS!$E$2:$E$426,"Ferro")</f>
        <v>72870.58</v>
      </c>
    </row>
    <row r="57" customFormat="false" ht="15" hidden="false" customHeight="false" outlineLevel="0" collapsed="false">
      <c r="A57" s="27" t="s">
        <v>43</v>
      </c>
      <c r="B57" s="27" t="s">
        <v>65</v>
      </c>
      <c r="C57" s="34" t="n">
        <f aca="false">SUMIFS(DADOS!$G$2:$G$426,DADOS!$D$2:$D$426,$A57,DADOS!$C$2:$C$426,$B57)</f>
        <v>70028.07</v>
      </c>
      <c r="D57" s="35" t="n">
        <f aca="false">IFERROR(SUMPRODUCT((DADOS!$D$2:$D$426=$A57)*(DADOS!$C$2:$C$426=$B57)*DADOS!$G$2:$G$426*DADOS!$H$2:$H$426)/$C57,0)</f>
        <v>47.0074795578402</v>
      </c>
      <c r="E57" s="35" t="n">
        <f aca="false">IFERROR(SUMPRODUCT((DADOS!$D$2:$D$426=$A57)*(DADOS!$C$2:$C$426=$B57)*DADOS!$G$2:$G$426*DADOS!$I$2:$I$426)/$C57,0)</f>
        <v>11.923930461028</v>
      </c>
      <c r="F57" s="35" t="n">
        <f aca="false">IFERROR(SUMPRODUCT((DADOS!$D$2:$D$426=$A57)*(DADOS!$C$2:$C$426=$B57)*DADOS!$G$2:$G$426*DADOS!$J$2:$J$426)/$C57,0)</f>
        <v>3.90033135712579</v>
      </c>
      <c r="G57" s="35" t="n">
        <f aca="false">IFERROR(SUMPRODUCT((DADOS!$D$2:$D$426=$A57)*(DADOS!$C$2:$C$426=$B57)*DADOS!$G$2:$G$426*DADOS!$K$2:$K$426)/$C57,0)</f>
        <v>1.65335985269907</v>
      </c>
      <c r="H57" s="34" t="n">
        <f aca="false">SUMIFS(DADOS!$G$2:$G$426,DADOS!$D$2:$D$426,$A57,DADOS!$C$2:$C$426,$B57,DADOS!$E$2:$E$426,"Rodo")</f>
        <v>4866.18</v>
      </c>
      <c r="I57" s="34" t="n">
        <f aca="false">SUMIFS(DADOS!$G$2:$G$426,DADOS!$D$2:$D$426,$A57,DADOS!$C$2:$C$426,$B57,DADOS!$E$2:$E$426,"Ferro")</f>
        <v>65161.89</v>
      </c>
    </row>
    <row r="58" customFormat="false" ht="15" hidden="false" customHeight="false" outlineLevel="0" collapsed="false">
      <c r="A58" s="27" t="s">
        <v>43</v>
      </c>
      <c r="B58" s="27" t="s">
        <v>66</v>
      </c>
      <c r="C58" s="34" t="n">
        <f aca="false">SUMIFS(DADOS!$G$2:$G$426,DADOS!$D$2:$D$426,$A58,DADOS!$C$2:$C$426,$B58)</f>
        <v>16598.01</v>
      </c>
      <c r="D58" s="35" t="n">
        <f aca="false">IFERROR(SUMPRODUCT((DADOS!$D$2:$D$426=$A58)*(DADOS!$C$2:$C$426=$B58)*DADOS!$G$2:$G$426*DADOS!$H$2:$H$426)/$C58,0)</f>
        <v>47.51</v>
      </c>
      <c r="E58" s="35" t="n">
        <f aca="false">IFERROR(SUMPRODUCT((DADOS!$D$2:$D$426=$A58)*(DADOS!$C$2:$C$426=$B58)*DADOS!$G$2:$G$426*DADOS!$I$2:$I$426)/$C58,0)</f>
        <v>12.76</v>
      </c>
      <c r="F58" s="35" t="n">
        <f aca="false">IFERROR(SUMPRODUCT((DADOS!$D$2:$D$426=$A58)*(DADOS!$C$2:$C$426=$B58)*DADOS!$G$2:$G$426*DADOS!$J$2:$J$426)/$C58,0)</f>
        <v>3.64</v>
      </c>
      <c r="G58" s="35" t="n">
        <f aca="false">IFERROR(SUMPRODUCT((DADOS!$D$2:$D$426=$A58)*(DADOS!$C$2:$C$426=$B58)*DADOS!$G$2:$G$426*DADOS!$K$2:$K$426)/$C58,0)</f>
        <v>1.57</v>
      </c>
      <c r="H58" s="34" t="n">
        <f aca="false">SUMIFS(DADOS!$G$2:$G$426,DADOS!$D$2:$D$426,$A58,DADOS!$C$2:$C$426,$B58,DADOS!$E$2:$E$426,"Rodo")</f>
        <v>0</v>
      </c>
      <c r="I58" s="34" t="n">
        <f aca="false">SUMIFS(DADOS!$G$2:$G$426,DADOS!$D$2:$D$426,$A58,DADOS!$C$2:$C$426,$B58,DADOS!$E$2:$E$426,"Ferro")</f>
        <v>16598.01</v>
      </c>
    </row>
    <row r="59" customFormat="false" ht="15" hidden="false" customHeight="false" outlineLevel="0" collapsed="false">
      <c r="A59" s="27" t="s">
        <v>43</v>
      </c>
      <c r="B59" s="27" t="s">
        <v>67</v>
      </c>
      <c r="C59" s="34" t="n">
        <f aca="false">SUMIFS(DADOS!$G$2:$G$426,DADOS!$D$2:$D$426,$A59,DADOS!$C$2:$C$426,$B59)</f>
        <v>0</v>
      </c>
      <c r="D59" s="35" t="n">
        <f aca="false">IFERROR(SUMPRODUCT((DADOS!$D$2:$D$426=$A59)*(DADOS!$C$2:$C$426=$B59)*DADOS!$G$2:$G$426*DADOS!$H$2:$H$426)/$C59,0)</f>
        <v>0</v>
      </c>
      <c r="E59" s="35" t="n">
        <f aca="false">IFERROR(SUMPRODUCT((DADOS!$D$2:$D$426=$A59)*(DADOS!$C$2:$C$426=$B59)*DADOS!$G$2:$G$426*DADOS!$I$2:$I$426)/$C59,0)</f>
        <v>0</v>
      </c>
      <c r="F59" s="35" t="n">
        <f aca="false">IFERROR(SUMPRODUCT((DADOS!$D$2:$D$426=$A59)*(DADOS!$C$2:$C$426=$B59)*DADOS!$G$2:$G$426*DADOS!$J$2:$J$426)/$C59,0)</f>
        <v>0</v>
      </c>
      <c r="G59" s="35" t="n">
        <f aca="false">IFERROR(SUMPRODUCT((DADOS!$D$2:$D$426=$A59)*(DADOS!$C$2:$C$426=$B59)*DADOS!$G$2:$G$426*DADOS!$K$2:$K$426)/$C59,0)</f>
        <v>0</v>
      </c>
      <c r="H59" s="34" t="n">
        <f aca="false">SUMIFS(DADOS!$G$2:$G$426,DADOS!$D$2:$D$426,$A59,DADOS!$C$2:$C$426,$B59,DADOS!$E$2:$E$426,"Rodo")</f>
        <v>0</v>
      </c>
      <c r="I59" s="34" t="n">
        <f aca="false">SUMIFS(DADOS!$G$2:$G$426,DADOS!$D$2:$D$426,$A59,DADOS!$C$2:$C$426,$B59,DADOS!$E$2:$E$426,"Ferro")</f>
        <v>0</v>
      </c>
    </row>
    <row r="60" customFormat="false" ht="15" hidden="false" customHeight="false" outlineLevel="0" collapsed="false">
      <c r="A60" s="27" t="s">
        <v>43</v>
      </c>
      <c r="B60" s="27" t="s">
        <v>68</v>
      </c>
      <c r="C60" s="34" t="n">
        <f aca="false">SUMIFS(DADOS!$G$2:$G$426,DADOS!$D$2:$D$426,$A60,DADOS!$C$2:$C$426,$B60)</f>
        <v>0</v>
      </c>
      <c r="D60" s="35" t="n">
        <f aca="false">IFERROR(SUMPRODUCT((DADOS!$D$2:$D$426=$A60)*(DADOS!$C$2:$C$426=$B60)*DADOS!$G$2:$G$426*DADOS!$H$2:$H$426)/$C60,0)</f>
        <v>0</v>
      </c>
      <c r="E60" s="35" t="n">
        <f aca="false">IFERROR(SUMPRODUCT((DADOS!$D$2:$D$426=$A60)*(DADOS!$C$2:$C$426=$B60)*DADOS!$G$2:$G$426*DADOS!$I$2:$I$426)/$C60,0)</f>
        <v>0</v>
      </c>
      <c r="F60" s="35" t="n">
        <f aca="false">IFERROR(SUMPRODUCT((DADOS!$D$2:$D$426=$A60)*(DADOS!$C$2:$C$426=$B60)*DADOS!$G$2:$G$426*DADOS!$J$2:$J$426)/$C60,0)</f>
        <v>0</v>
      </c>
      <c r="G60" s="35" t="n">
        <f aca="false">IFERROR(SUMPRODUCT((DADOS!$D$2:$D$426=$A60)*(DADOS!$C$2:$C$426=$B60)*DADOS!$G$2:$G$426*DADOS!$K$2:$K$426)/$C60,0)</f>
        <v>0</v>
      </c>
      <c r="H60" s="34" t="n">
        <f aca="false">SUMIFS(DADOS!$G$2:$G$426,DADOS!$D$2:$D$426,$A60,DADOS!$C$2:$C$426,$B60,DADOS!$E$2:$E$426,"Rodo")</f>
        <v>0</v>
      </c>
      <c r="I60" s="34" t="n">
        <f aca="false">SUMIFS(DADOS!$G$2:$G$426,DADOS!$D$2:$D$426,$A60,DADOS!$C$2:$C$426,$B60,DADOS!$E$2:$E$426,"Ferro")</f>
        <v>0</v>
      </c>
    </row>
    <row r="61" customFormat="false" ht="15" hidden="false" customHeight="false" outlineLevel="0" collapsed="false">
      <c r="A61" s="27" t="s">
        <v>43</v>
      </c>
      <c r="B61" s="27" t="s">
        <v>69</v>
      </c>
      <c r="C61" s="34" t="n">
        <f aca="false">SUMIFS(DADOS!$G$2:$G$426,DADOS!$D$2:$D$426,$A61,DADOS!$C$2:$C$426,$B61)</f>
        <v>0</v>
      </c>
      <c r="D61" s="35" t="n">
        <f aca="false">IFERROR(SUMPRODUCT((DADOS!$D$2:$D$426=$A61)*(DADOS!$C$2:$C$426=$B61)*DADOS!$G$2:$G$426*DADOS!$H$2:$H$426)/$C61,0)</f>
        <v>0</v>
      </c>
      <c r="E61" s="35" t="n">
        <f aca="false">IFERROR(SUMPRODUCT((DADOS!$D$2:$D$426=$A61)*(DADOS!$C$2:$C$426=$B61)*DADOS!$G$2:$G$426*DADOS!$I$2:$I$426)/$C61,0)</f>
        <v>0</v>
      </c>
      <c r="F61" s="35" t="n">
        <f aca="false">IFERROR(SUMPRODUCT((DADOS!$D$2:$D$426=$A61)*(DADOS!$C$2:$C$426=$B61)*DADOS!$G$2:$G$426*DADOS!$J$2:$J$426)/$C61,0)</f>
        <v>0</v>
      </c>
      <c r="G61" s="35" t="n">
        <f aca="false">IFERROR(SUMPRODUCT((DADOS!$D$2:$D$426=$A61)*(DADOS!$C$2:$C$426=$B61)*DADOS!$G$2:$G$426*DADOS!$K$2:$K$426)/$C61,0)</f>
        <v>0</v>
      </c>
      <c r="H61" s="34" t="n">
        <f aca="false">SUMIFS(DADOS!$G$2:$G$426,DADOS!$D$2:$D$426,$A61,DADOS!$C$2:$C$426,$B61,DADOS!$E$2:$E$426,"Rodo")</f>
        <v>0</v>
      </c>
      <c r="I61" s="34" t="n">
        <f aca="false">SUMIFS(DADOS!$G$2:$G$426,DADOS!$D$2:$D$426,$A61,DADOS!$C$2:$C$426,$B61,DADOS!$E$2:$E$426,"Ferro")</f>
        <v>0</v>
      </c>
    </row>
    <row r="62" customFormat="false" ht="15" hidden="false" customHeight="false" outlineLevel="0" collapsed="false">
      <c r="A62" s="27" t="s">
        <v>44</v>
      </c>
      <c r="B62" s="27" t="s">
        <v>38</v>
      </c>
      <c r="C62" s="34" t="n">
        <f aca="false">SUMIFS(DADOS!$G$2:$G$426,DADOS!$D$2:$D$426,$A62,DADOS!$C$2:$C$426,$B62)</f>
        <v>48560.63</v>
      </c>
      <c r="D62" s="35" t="n">
        <f aca="false">IFERROR(SUMPRODUCT((DADOS!$D$2:$D$426=$A62)*(DADOS!$C$2:$C$426=$B62)*DADOS!$G$2:$G$426*DADOS!$H$2:$H$426)/$C62,0)</f>
        <v>47.5683354869984</v>
      </c>
      <c r="E62" s="35" t="n">
        <f aca="false">IFERROR(SUMPRODUCT((DADOS!$D$2:$D$426=$A62)*(DADOS!$C$2:$C$426=$B62)*DADOS!$G$2:$G$426*DADOS!$I$2:$I$426)/$C62,0)</f>
        <v>12.2074596664005</v>
      </c>
      <c r="F62" s="35" t="n">
        <f aca="false">IFERROR(SUMPRODUCT((DADOS!$D$2:$D$426=$A62)*(DADOS!$C$2:$C$426=$B62)*DADOS!$G$2:$G$426*DADOS!$J$2:$J$426)/$C62,0)</f>
        <v>3.62389218385346</v>
      </c>
      <c r="G62" s="35" t="n">
        <f aca="false">IFERROR(SUMPRODUCT((DADOS!$D$2:$D$426=$A62)*(DADOS!$C$2:$C$426=$B62)*DADOS!$G$2:$G$426*DADOS!$K$2:$K$426)/$C62,0)</f>
        <v>1.6171416865885</v>
      </c>
      <c r="H62" s="34" t="n">
        <f aca="false">SUMIFS(DADOS!$G$2:$G$426,DADOS!$D$2:$D$426,$A62,DADOS!$C$2:$C$426,$B62,DADOS!$E$2:$E$426,"Rodo")</f>
        <v>47.73</v>
      </c>
      <c r="I62" s="34" t="n">
        <f aca="false">SUMIFS(DADOS!$G$2:$G$426,DADOS!$D$2:$D$426,$A62,DADOS!$C$2:$C$426,$B62,DADOS!$E$2:$E$426,"Ferro")</f>
        <v>48512.9</v>
      </c>
    </row>
    <row r="63" customFormat="false" ht="15" hidden="false" customHeight="false" outlineLevel="0" collapsed="false">
      <c r="A63" s="27" t="s">
        <v>44</v>
      </c>
      <c r="B63" s="27" t="s">
        <v>59</v>
      </c>
      <c r="C63" s="34" t="n">
        <f aca="false">SUMIFS(DADOS!$G$2:$G$426,DADOS!$D$2:$D$426,$A63,DADOS!$C$2:$C$426,$B63)</f>
        <v>41884.18</v>
      </c>
      <c r="D63" s="35" t="n">
        <f aca="false">IFERROR(SUMPRODUCT((DADOS!$D$2:$D$426=$A63)*(DADOS!$C$2:$C$426=$B63)*DADOS!$G$2:$G$426*DADOS!$H$2:$H$426)/$C63,0)</f>
        <v>47.1484876652712</v>
      </c>
      <c r="E63" s="35" t="n">
        <f aca="false">IFERROR(SUMPRODUCT((DADOS!$D$2:$D$426=$A63)*(DADOS!$C$2:$C$426=$B63)*DADOS!$G$2:$G$426*DADOS!$I$2:$I$426)/$C63,0)</f>
        <v>12.2362354473694</v>
      </c>
      <c r="F63" s="35" t="n">
        <f aca="false">IFERROR(SUMPRODUCT((DADOS!$D$2:$D$426=$A63)*(DADOS!$C$2:$C$426=$B63)*DADOS!$G$2:$G$426*DADOS!$J$2:$J$426)/$C63,0)</f>
        <v>3.74981974817222</v>
      </c>
      <c r="G63" s="35" t="n">
        <f aca="false">IFERROR(SUMPRODUCT((DADOS!$D$2:$D$426=$A63)*(DADOS!$C$2:$C$426=$B63)*DADOS!$G$2:$G$426*DADOS!$K$2:$K$426)/$C63,0)</f>
        <v>1.58629456515563</v>
      </c>
      <c r="H63" s="34" t="n">
        <f aca="false">SUMIFS(DADOS!$G$2:$G$426,DADOS!$D$2:$D$426,$A63,DADOS!$C$2:$C$426,$B63,DADOS!$E$2:$E$426,"Rodo")</f>
        <v>39.21</v>
      </c>
      <c r="I63" s="34" t="n">
        <f aca="false">SUMIFS(DADOS!$G$2:$G$426,DADOS!$D$2:$D$426,$A63,DADOS!$C$2:$C$426,$B63,DADOS!$E$2:$E$426,"Ferro")</f>
        <v>41844.97</v>
      </c>
    </row>
    <row r="64" customFormat="false" ht="15" hidden="false" customHeight="false" outlineLevel="0" collapsed="false">
      <c r="A64" s="27" t="s">
        <v>44</v>
      </c>
      <c r="B64" s="27" t="s">
        <v>60</v>
      </c>
      <c r="C64" s="34" t="n">
        <f aca="false">SUMIFS(DADOS!$G$2:$G$426,DADOS!$D$2:$D$426,$A64,DADOS!$C$2:$C$426,$B64)</f>
        <v>58475.74</v>
      </c>
      <c r="D64" s="35" t="n">
        <f aca="false">IFERROR(SUMPRODUCT((DADOS!$D$2:$D$426=$A64)*(DADOS!$C$2:$C$426=$B64)*DADOS!$G$2:$G$426*DADOS!$H$2:$H$426)/$C64,0)</f>
        <v>47.144728696037</v>
      </c>
      <c r="E64" s="35" t="n">
        <f aca="false">IFERROR(SUMPRODUCT((DADOS!$D$2:$D$426=$A64)*(DADOS!$C$2:$C$426=$B64)*DADOS!$G$2:$G$426*DADOS!$I$2:$I$426)/$C64,0)</f>
        <v>12.3664502578334</v>
      </c>
      <c r="F64" s="35" t="n">
        <f aca="false">IFERROR(SUMPRODUCT((DADOS!$D$2:$D$426=$A64)*(DADOS!$C$2:$C$426=$B64)*DADOS!$G$2:$G$426*DADOS!$J$2:$J$426)/$C64,0)</f>
        <v>3.72735838999216</v>
      </c>
      <c r="G64" s="35" t="n">
        <f aca="false">IFERROR(SUMPRODUCT((DADOS!$D$2:$D$426=$A64)*(DADOS!$C$2:$C$426=$B64)*DADOS!$G$2:$G$426*DADOS!$K$2:$K$426)/$C64,0)</f>
        <v>1.60726033565373</v>
      </c>
      <c r="H64" s="34" t="n">
        <f aca="false">SUMIFS(DADOS!$G$2:$G$426,DADOS!$D$2:$D$426,$A64,DADOS!$C$2:$C$426,$B64,DADOS!$E$2:$E$426,"Rodo")</f>
        <v>1340.51</v>
      </c>
      <c r="I64" s="34" t="n">
        <f aca="false">SUMIFS(DADOS!$G$2:$G$426,DADOS!$D$2:$D$426,$A64,DADOS!$C$2:$C$426,$B64,DADOS!$E$2:$E$426,"Ferro")</f>
        <v>57135.23</v>
      </c>
    </row>
    <row r="65" customFormat="false" ht="15" hidden="false" customHeight="false" outlineLevel="0" collapsed="false">
      <c r="A65" s="27" t="s">
        <v>44</v>
      </c>
      <c r="B65" s="27" t="s">
        <v>61</v>
      </c>
      <c r="C65" s="34" t="n">
        <f aca="false">SUMIFS(DADOS!$G$2:$G$426,DADOS!$D$2:$D$426,$A65,DADOS!$C$2:$C$426,$B65)</f>
        <v>88798.66</v>
      </c>
      <c r="D65" s="35" t="n">
        <f aca="false">IFERROR(SUMPRODUCT((DADOS!$D$2:$D$426=$A65)*(DADOS!$C$2:$C$426=$B65)*DADOS!$G$2:$G$426*DADOS!$H$2:$H$426)/$C65,0)</f>
        <v>47.6019370855371</v>
      </c>
      <c r="E65" s="35" t="n">
        <f aca="false">IFERROR(SUMPRODUCT((DADOS!$D$2:$D$426=$A65)*(DADOS!$C$2:$C$426=$B65)*DADOS!$G$2:$G$426*DADOS!$I$2:$I$426)/$C65,0)</f>
        <v>12.4580976098063</v>
      </c>
      <c r="F65" s="35" t="n">
        <f aca="false">IFERROR(SUMPRODUCT((DADOS!$D$2:$D$426=$A65)*(DADOS!$C$2:$C$426=$B65)*DADOS!$G$2:$G$426*DADOS!$J$2:$J$426)/$C65,0)</f>
        <v>3.61371181614678</v>
      </c>
      <c r="G65" s="35" t="n">
        <f aca="false">IFERROR(SUMPRODUCT((DADOS!$D$2:$D$426=$A65)*(DADOS!$C$2:$C$426=$B65)*DADOS!$G$2:$G$426*DADOS!$K$2:$K$426)/$C65,0)</f>
        <v>1.63347967863479</v>
      </c>
      <c r="H65" s="34" t="n">
        <f aca="false">SUMIFS(DADOS!$G$2:$G$426,DADOS!$D$2:$D$426,$A65,DADOS!$C$2:$C$426,$B65,DADOS!$E$2:$E$426,"Rodo")</f>
        <v>28630.42</v>
      </c>
      <c r="I65" s="34" t="n">
        <f aca="false">SUMIFS(DADOS!$G$2:$G$426,DADOS!$D$2:$D$426,$A65,DADOS!$C$2:$C$426,$B65,DADOS!$E$2:$E$426,"Ferro")</f>
        <v>60168.24</v>
      </c>
    </row>
    <row r="66" customFormat="false" ht="15" hidden="false" customHeight="false" outlineLevel="0" collapsed="false">
      <c r="A66" s="27" t="s">
        <v>44</v>
      </c>
      <c r="B66" s="27" t="s">
        <v>62</v>
      </c>
      <c r="C66" s="34" t="n">
        <f aca="false">SUMIFS(DADOS!$G$2:$G$426,DADOS!$D$2:$D$426,$A66,DADOS!$C$2:$C$426,$B66)</f>
        <v>62604.74</v>
      </c>
      <c r="D66" s="35" t="n">
        <f aca="false">IFERROR(SUMPRODUCT((DADOS!$D$2:$D$426=$A66)*(DADOS!$C$2:$C$426=$B66)*DADOS!$G$2:$G$426*DADOS!$H$2:$H$426)/$C66,0)</f>
        <v>47.4925409721373</v>
      </c>
      <c r="E66" s="35" t="n">
        <f aca="false">IFERROR(SUMPRODUCT((DADOS!$D$2:$D$426=$A66)*(DADOS!$C$2:$C$426=$B66)*DADOS!$G$2:$G$426*DADOS!$I$2:$I$426)/$C66,0)</f>
        <v>12.3994822532607</v>
      </c>
      <c r="F66" s="35" t="n">
        <f aca="false">IFERROR(SUMPRODUCT((DADOS!$D$2:$D$426=$A66)*(DADOS!$C$2:$C$426=$B66)*DADOS!$G$2:$G$426*DADOS!$J$2:$J$426)/$C66,0)</f>
        <v>3.75129450102341</v>
      </c>
      <c r="G66" s="35" t="n">
        <f aca="false">IFERROR(SUMPRODUCT((DADOS!$D$2:$D$426=$A66)*(DADOS!$C$2:$C$426=$B66)*DADOS!$G$2:$G$426*DADOS!$K$2:$K$426)/$C66,0)</f>
        <v>1.68461407075567</v>
      </c>
      <c r="H66" s="34" t="n">
        <f aca="false">SUMIFS(DADOS!$G$2:$G$426,DADOS!$D$2:$D$426,$A66,DADOS!$C$2:$C$426,$B66,DADOS!$E$2:$E$426,"Rodo")</f>
        <v>17880.02</v>
      </c>
      <c r="I66" s="34" t="n">
        <f aca="false">SUMIFS(DADOS!$G$2:$G$426,DADOS!$D$2:$D$426,$A66,DADOS!$C$2:$C$426,$B66,DADOS!$E$2:$E$426,"Ferro")</f>
        <v>44724.72</v>
      </c>
    </row>
    <row r="67" customFormat="false" ht="15" hidden="false" customHeight="false" outlineLevel="0" collapsed="false">
      <c r="A67" s="27" t="s">
        <v>44</v>
      </c>
      <c r="B67" s="27" t="s">
        <v>63</v>
      </c>
      <c r="C67" s="34" t="n">
        <f aca="false">SUMIFS(DADOS!$G$2:$G$426,DADOS!$D$2:$D$426,$A67,DADOS!$C$2:$C$426,$B67)</f>
        <v>51533.03</v>
      </c>
      <c r="D67" s="35" t="n">
        <f aca="false">IFERROR(SUMPRODUCT((DADOS!$D$2:$D$426=$A67)*(DADOS!$C$2:$C$426=$B67)*DADOS!$G$2:$G$426*DADOS!$H$2:$H$426)/$C67,0)</f>
        <v>47.4120016288582</v>
      </c>
      <c r="E67" s="35" t="n">
        <f aca="false">IFERROR(SUMPRODUCT((DADOS!$D$2:$D$426=$A67)*(DADOS!$C$2:$C$426=$B67)*DADOS!$G$2:$G$426*DADOS!$I$2:$I$426)/$C67,0)</f>
        <v>12.4986174711636</v>
      </c>
      <c r="F67" s="35" t="n">
        <f aca="false">IFERROR(SUMPRODUCT((DADOS!$D$2:$D$426=$A67)*(DADOS!$C$2:$C$426=$B67)*DADOS!$G$2:$G$426*DADOS!$J$2:$J$426)/$C67,0)</f>
        <v>3.76879404335433</v>
      </c>
      <c r="G67" s="35" t="n">
        <f aca="false">IFERROR(SUMPRODUCT((DADOS!$D$2:$D$426=$A67)*(DADOS!$C$2:$C$426=$B67)*DADOS!$G$2:$G$426*DADOS!$K$2:$K$426)/$C67,0)</f>
        <v>1.60154147931919</v>
      </c>
      <c r="H67" s="34" t="n">
        <f aca="false">SUMIFS(DADOS!$G$2:$G$426,DADOS!$D$2:$D$426,$A67,DADOS!$C$2:$C$426,$B67,DADOS!$E$2:$E$426,"Rodo")</f>
        <v>4122.77</v>
      </c>
      <c r="I67" s="34" t="n">
        <f aca="false">SUMIFS(DADOS!$G$2:$G$426,DADOS!$D$2:$D$426,$A67,DADOS!$C$2:$C$426,$B67,DADOS!$E$2:$E$426,"Ferro")</f>
        <v>47410.26</v>
      </c>
    </row>
    <row r="68" customFormat="false" ht="15" hidden="false" customHeight="false" outlineLevel="0" collapsed="false">
      <c r="A68" s="27" t="s">
        <v>44</v>
      </c>
      <c r="B68" s="27" t="s">
        <v>64</v>
      </c>
      <c r="C68" s="34" t="n">
        <f aca="false">SUMIFS(DADOS!$G$2:$G$426,DADOS!$D$2:$D$426,$A68,DADOS!$C$2:$C$426,$B68)</f>
        <v>49521.94</v>
      </c>
      <c r="D68" s="35" t="n">
        <f aca="false">IFERROR(SUMPRODUCT((DADOS!$D$2:$D$426=$A68)*(DADOS!$C$2:$C$426=$B68)*DADOS!$G$2:$G$426*DADOS!$H$2:$H$426)/$C68,0)</f>
        <v>47.709732193448</v>
      </c>
      <c r="E68" s="35" t="n">
        <f aca="false">IFERROR(SUMPRODUCT((DADOS!$D$2:$D$426=$A68)*(DADOS!$C$2:$C$426=$B68)*DADOS!$G$2:$G$426*DADOS!$I$2:$I$426)/$C68,0)</f>
        <v>12.239923759045</v>
      </c>
      <c r="F68" s="35" t="n">
        <f aca="false">IFERROR(SUMPRODUCT((DADOS!$D$2:$D$426=$A68)*(DADOS!$C$2:$C$426=$B68)*DADOS!$G$2:$G$426*DADOS!$J$2:$J$426)/$C68,0)</f>
        <v>3.5944892344686</v>
      </c>
      <c r="G68" s="35" t="n">
        <f aca="false">IFERROR(SUMPRODUCT((DADOS!$D$2:$D$426=$A68)*(DADOS!$C$2:$C$426=$B68)*DADOS!$G$2:$G$426*DADOS!$K$2:$K$426)/$C68,0)</f>
        <v>1.67647246048923</v>
      </c>
      <c r="H68" s="34" t="n">
        <f aca="false">SUMIFS(DADOS!$G$2:$G$426,DADOS!$D$2:$D$426,$A68,DADOS!$C$2:$C$426,$B68,DADOS!$E$2:$E$426,"Rodo")</f>
        <v>11591.03</v>
      </c>
      <c r="I68" s="34" t="n">
        <f aca="false">SUMIFS(DADOS!$G$2:$G$426,DADOS!$D$2:$D$426,$A68,DADOS!$C$2:$C$426,$B68,DADOS!$E$2:$E$426,"Ferro")</f>
        <v>37930.91</v>
      </c>
    </row>
    <row r="69" customFormat="false" ht="15" hidden="false" customHeight="false" outlineLevel="0" collapsed="false">
      <c r="A69" s="27" t="s">
        <v>44</v>
      </c>
      <c r="B69" s="27" t="s">
        <v>65</v>
      </c>
      <c r="C69" s="34" t="n">
        <f aca="false">SUMIFS(DADOS!$G$2:$G$426,DADOS!$D$2:$D$426,$A69,DADOS!$C$2:$C$426,$B69)</f>
        <v>47668.74</v>
      </c>
      <c r="D69" s="35" t="n">
        <f aca="false">IFERROR(SUMPRODUCT((DADOS!$D$2:$D$426=$A69)*(DADOS!$C$2:$C$426=$B69)*DADOS!$G$2:$G$426*DADOS!$H$2:$H$426)/$C69,0)</f>
        <v>47.1529461529715</v>
      </c>
      <c r="E69" s="35" t="n">
        <f aca="false">IFERROR(SUMPRODUCT((DADOS!$D$2:$D$426=$A69)*(DADOS!$C$2:$C$426=$B69)*DADOS!$G$2:$G$426*DADOS!$I$2:$I$426)/$C69,0)</f>
        <v>11.9345679453663</v>
      </c>
      <c r="F69" s="35" t="n">
        <f aca="false">IFERROR(SUMPRODUCT((DADOS!$D$2:$D$426=$A69)*(DADOS!$C$2:$C$426=$B69)*DADOS!$G$2:$G$426*DADOS!$J$2:$J$426)/$C69,0)</f>
        <v>3.85339618374641</v>
      </c>
      <c r="G69" s="35" t="n">
        <f aca="false">IFERROR(SUMPRODUCT((DADOS!$D$2:$D$426=$A69)*(DADOS!$C$2:$C$426=$B69)*DADOS!$G$2:$G$426*DADOS!$K$2:$K$426)/$C69,0)</f>
        <v>1.58431325644437</v>
      </c>
      <c r="H69" s="34" t="n">
        <f aca="false">SUMIFS(DADOS!$G$2:$G$426,DADOS!$D$2:$D$426,$A69,DADOS!$C$2:$C$426,$B69,DADOS!$E$2:$E$426,"Rodo")</f>
        <v>16733.4</v>
      </c>
      <c r="I69" s="34" t="n">
        <f aca="false">SUMIFS(DADOS!$G$2:$G$426,DADOS!$D$2:$D$426,$A69,DADOS!$C$2:$C$426,$B69,DADOS!$E$2:$E$426,"Ferro")</f>
        <v>30935.34</v>
      </c>
    </row>
    <row r="70" customFormat="false" ht="15" hidden="false" customHeight="false" outlineLevel="0" collapsed="false">
      <c r="A70" s="27" t="s">
        <v>44</v>
      </c>
      <c r="B70" s="27" t="s">
        <v>66</v>
      </c>
      <c r="C70" s="34" t="n">
        <f aca="false">SUMIFS(DADOS!$G$2:$G$426,DADOS!$D$2:$D$426,$A70,DADOS!$C$2:$C$426,$B70)</f>
        <v>5121.78</v>
      </c>
      <c r="D70" s="35" t="n">
        <f aca="false">IFERROR(SUMPRODUCT((DADOS!$D$2:$D$426=$A70)*(DADOS!$C$2:$C$426=$B70)*DADOS!$G$2:$G$426*DADOS!$H$2:$H$426)/$C70,0)</f>
        <v>47.7855840742867</v>
      </c>
      <c r="E70" s="35" t="n">
        <f aca="false">IFERROR(SUMPRODUCT((DADOS!$D$2:$D$426=$A70)*(DADOS!$C$2:$C$426=$B70)*DADOS!$G$2:$G$426*DADOS!$I$2:$I$426)/$C70,0)</f>
        <v>12.3737207962857</v>
      </c>
      <c r="F70" s="35" t="n">
        <f aca="false">IFERROR(SUMPRODUCT((DADOS!$D$2:$D$426=$A70)*(DADOS!$C$2:$C$426=$B70)*DADOS!$G$2:$G$426*DADOS!$J$2:$J$426)/$C70,0)</f>
        <v>3.68953274057066</v>
      </c>
      <c r="G70" s="35" t="n">
        <f aca="false">IFERROR(SUMPRODUCT((DADOS!$D$2:$D$426=$A70)*(DADOS!$C$2:$C$426=$B70)*DADOS!$G$2:$G$426*DADOS!$K$2:$K$426)/$C70,0)</f>
        <v>1.67837035171366</v>
      </c>
      <c r="H70" s="34" t="n">
        <f aca="false">SUMIFS(DADOS!$G$2:$G$426,DADOS!$D$2:$D$426,$A70,DADOS!$C$2:$C$426,$B70,DADOS!$E$2:$E$426,"Rodo")</f>
        <v>1905.71</v>
      </c>
      <c r="I70" s="34" t="n">
        <f aca="false">SUMIFS(DADOS!$G$2:$G$426,DADOS!$D$2:$D$426,$A70,DADOS!$C$2:$C$426,$B70,DADOS!$E$2:$E$426,"Ferro")</f>
        <v>3216.07</v>
      </c>
    </row>
    <row r="71" customFormat="false" ht="15" hidden="false" customHeight="false" outlineLevel="0" collapsed="false">
      <c r="A71" s="27" t="s">
        <v>44</v>
      </c>
      <c r="B71" s="27" t="s">
        <v>67</v>
      </c>
      <c r="C71" s="34" t="n">
        <f aca="false">SUMIFS(DADOS!$G$2:$G$426,DADOS!$D$2:$D$426,$A71,DADOS!$C$2:$C$426,$B71)</f>
        <v>0</v>
      </c>
      <c r="D71" s="35" t="n">
        <f aca="false">IFERROR(SUMPRODUCT((DADOS!$D$2:$D$426=$A71)*(DADOS!$C$2:$C$426=$B71)*DADOS!$G$2:$G$426*DADOS!$H$2:$H$426)/$C71,0)</f>
        <v>0</v>
      </c>
      <c r="E71" s="35" t="n">
        <f aca="false">IFERROR(SUMPRODUCT((DADOS!$D$2:$D$426=$A71)*(DADOS!$C$2:$C$426=$B71)*DADOS!$G$2:$G$426*DADOS!$I$2:$I$426)/$C71,0)</f>
        <v>0</v>
      </c>
      <c r="F71" s="35" t="n">
        <f aca="false">IFERROR(SUMPRODUCT((DADOS!$D$2:$D$426=$A71)*(DADOS!$C$2:$C$426=$B71)*DADOS!$G$2:$G$426*DADOS!$J$2:$J$426)/$C71,0)</f>
        <v>0</v>
      </c>
      <c r="G71" s="35" t="n">
        <f aca="false">IFERROR(SUMPRODUCT((DADOS!$D$2:$D$426=$A71)*(DADOS!$C$2:$C$426=$B71)*DADOS!$G$2:$G$426*DADOS!$K$2:$K$426)/$C71,0)</f>
        <v>0</v>
      </c>
      <c r="H71" s="34" t="n">
        <f aca="false">SUMIFS(DADOS!$G$2:$G$426,DADOS!$D$2:$D$426,$A71,DADOS!$C$2:$C$426,$B71,DADOS!$E$2:$E$426,"Rodo")</f>
        <v>0</v>
      </c>
      <c r="I71" s="34" t="n">
        <f aca="false">SUMIFS(DADOS!$G$2:$G$426,DADOS!$D$2:$D$426,$A71,DADOS!$C$2:$C$426,$B71,DADOS!$E$2:$E$426,"Ferro")</f>
        <v>0</v>
      </c>
    </row>
    <row r="72" customFormat="false" ht="15" hidden="false" customHeight="false" outlineLevel="0" collapsed="false">
      <c r="A72" s="27" t="s">
        <v>44</v>
      </c>
      <c r="B72" s="27" t="s">
        <v>68</v>
      </c>
      <c r="C72" s="34" t="n">
        <f aca="false">SUMIFS(DADOS!$G$2:$G$426,DADOS!$D$2:$D$426,$A72,DADOS!$C$2:$C$426,$B72)</f>
        <v>0</v>
      </c>
      <c r="D72" s="35" t="n">
        <f aca="false">IFERROR(SUMPRODUCT((DADOS!$D$2:$D$426=$A72)*(DADOS!$C$2:$C$426=$B72)*DADOS!$G$2:$G$426*DADOS!$H$2:$H$426)/$C72,0)</f>
        <v>0</v>
      </c>
      <c r="E72" s="35" t="n">
        <f aca="false">IFERROR(SUMPRODUCT((DADOS!$D$2:$D$426=$A72)*(DADOS!$C$2:$C$426=$B72)*DADOS!$G$2:$G$426*DADOS!$I$2:$I$426)/$C72,0)</f>
        <v>0</v>
      </c>
      <c r="F72" s="35" t="n">
        <f aca="false">IFERROR(SUMPRODUCT((DADOS!$D$2:$D$426=$A72)*(DADOS!$C$2:$C$426=$B72)*DADOS!$G$2:$G$426*DADOS!$J$2:$J$426)/$C72,0)</f>
        <v>0</v>
      </c>
      <c r="G72" s="35" t="n">
        <f aca="false">IFERROR(SUMPRODUCT((DADOS!$D$2:$D$426=$A72)*(DADOS!$C$2:$C$426=$B72)*DADOS!$G$2:$G$426*DADOS!$K$2:$K$426)/$C72,0)</f>
        <v>0</v>
      </c>
      <c r="H72" s="34" t="n">
        <f aca="false">SUMIFS(DADOS!$G$2:$G$426,DADOS!$D$2:$D$426,$A72,DADOS!$C$2:$C$426,$B72,DADOS!$E$2:$E$426,"Rodo")</f>
        <v>0</v>
      </c>
      <c r="I72" s="34" t="n">
        <f aca="false">SUMIFS(DADOS!$G$2:$G$426,DADOS!$D$2:$D$426,$A72,DADOS!$C$2:$C$426,$B72,DADOS!$E$2:$E$426,"Ferro")</f>
        <v>0</v>
      </c>
    </row>
    <row r="73" customFormat="false" ht="15" hidden="false" customHeight="false" outlineLevel="0" collapsed="false">
      <c r="A73" s="27" t="s">
        <v>44</v>
      </c>
      <c r="B73" s="27" t="s">
        <v>69</v>
      </c>
      <c r="C73" s="34" t="n">
        <f aca="false">SUMIFS(DADOS!$G$2:$G$426,DADOS!$D$2:$D$426,$A73,DADOS!$C$2:$C$426,$B73)</f>
        <v>0</v>
      </c>
      <c r="D73" s="35" t="n">
        <f aca="false">IFERROR(SUMPRODUCT((DADOS!$D$2:$D$426=$A73)*(DADOS!$C$2:$C$426=$B73)*DADOS!$G$2:$G$426*DADOS!$H$2:$H$426)/$C73,0)</f>
        <v>0</v>
      </c>
      <c r="E73" s="35" t="n">
        <f aca="false">IFERROR(SUMPRODUCT((DADOS!$D$2:$D$426=$A73)*(DADOS!$C$2:$C$426=$B73)*DADOS!$G$2:$G$426*DADOS!$I$2:$I$426)/$C73,0)</f>
        <v>0</v>
      </c>
      <c r="F73" s="35" t="n">
        <f aca="false">IFERROR(SUMPRODUCT((DADOS!$D$2:$D$426=$A73)*(DADOS!$C$2:$C$426=$B73)*DADOS!$G$2:$G$426*DADOS!$J$2:$J$426)/$C73,0)</f>
        <v>0</v>
      </c>
      <c r="G73" s="35" t="n">
        <f aca="false">IFERROR(SUMPRODUCT((DADOS!$D$2:$D$426=$A73)*(DADOS!$C$2:$C$426=$B73)*DADOS!$G$2:$G$426*DADOS!$K$2:$K$426)/$C73,0)</f>
        <v>0</v>
      </c>
      <c r="H73" s="34" t="n">
        <f aca="false">SUMIFS(DADOS!$G$2:$G$426,DADOS!$D$2:$D$426,$A73,DADOS!$C$2:$C$426,$B73,DADOS!$E$2:$E$426,"Rodo")</f>
        <v>0</v>
      </c>
      <c r="I73" s="34" t="n">
        <f aca="false">SUMIFS(DADOS!$G$2:$G$426,DADOS!$D$2:$D$426,$A73,DADOS!$C$2:$C$426,$B73,DADOS!$E$2:$E$426,"Ferro")</f>
        <v>0</v>
      </c>
    </row>
    <row r="74" customFormat="false" ht="15" hidden="false" customHeight="false" outlineLevel="0" collapsed="false">
      <c r="A74" s="27" t="s">
        <v>45</v>
      </c>
      <c r="B74" s="27" t="s">
        <v>38</v>
      </c>
      <c r="C74" s="34" t="n">
        <f aca="false">SUMIFS(DADOS!$G$2:$G$426,DADOS!$D$2:$D$426,$A74,DADOS!$C$2:$C$426,$B74)</f>
        <v>72053.69</v>
      </c>
      <c r="D74" s="35" t="n">
        <f aca="false">IFERROR(SUMPRODUCT((DADOS!$D$2:$D$426=$A74)*(DADOS!$C$2:$C$426=$B74)*DADOS!$G$2:$G$426*DADOS!$H$2:$H$426)/$C74,0)</f>
        <v>47.7010027605803</v>
      </c>
      <c r="E74" s="35" t="n">
        <f aca="false">IFERROR(SUMPRODUCT((DADOS!$D$2:$D$426=$A74)*(DADOS!$C$2:$C$426=$B74)*DADOS!$G$2:$G$426*DADOS!$I$2:$I$426)/$C74,0)</f>
        <v>12.1312591374571</v>
      </c>
      <c r="F74" s="35" t="n">
        <f aca="false">IFERROR(SUMPRODUCT((DADOS!$D$2:$D$426=$A74)*(DADOS!$C$2:$C$426=$B74)*DADOS!$G$2:$G$426*DADOS!$J$2:$J$426)/$C74,0)</f>
        <v>3.67234818369469</v>
      </c>
      <c r="G74" s="35" t="n">
        <f aca="false">IFERROR(SUMPRODUCT((DADOS!$D$2:$D$426=$A74)*(DADOS!$C$2:$C$426=$B74)*DADOS!$G$2:$G$426*DADOS!$K$2:$K$426)/$C74,0)</f>
        <v>1.64048116480919</v>
      </c>
      <c r="H74" s="34" t="n">
        <f aca="false">SUMIFS(DADOS!$G$2:$G$426,DADOS!$D$2:$D$426,$A74,DADOS!$C$2:$C$426,$B74,DADOS!$E$2:$E$426,"Rodo")</f>
        <v>33837.06</v>
      </c>
      <c r="I74" s="34" t="n">
        <f aca="false">SUMIFS(DADOS!$G$2:$G$426,DADOS!$D$2:$D$426,$A74,DADOS!$C$2:$C$426,$B74,DADOS!$E$2:$E$426,"Ferro")</f>
        <v>38216.63</v>
      </c>
    </row>
    <row r="75" customFormat="false" ht="15" hidden="false" customHeight="false" outlineLevel="0" collapsed="false">
      <c r="A75" s="27" t="s">
        <v>45</v>
      </c>
      <c r="B75" s="27" t="s">
        <v>59</v>
      </c>
      <c r="C75" s="34" t="n">
        <f aca="false">SUMIFS(DADOS!$G$2:$G$426,DADOS!$D$2:$D$426,$A75,DADOS!$C$2:$C$426,$B75)</f>
        <v>101673.63</v>
      </c>
      <c r="D75" s="35" t="n">
        <f aca="false">IFERROR(SUMPRODUCT((DADOS!$D$2:$D$426=$A75)*(DADOS!$C$2:$C$426=$B75)*DADOS!$G$2:$G$426*DADOS!$H$2:$H$426)/$C75,0)</f>
        <v>47.2596707238642</v>
      </c>
      <c r="E75" s="35" t="n">
        <f aca="false">IFERROR(SUMPRODUCT((DADOS!$D$2:$D$426=$A75)*(DADOS!$C$2:$C$426=$B75)*DADOS!$G$2:$G$426*DADOS!$I$2:$I$426)/$C75,0)</f>
        <v>12.3572284180274</v>
      </c>
      <c r="F75" s="35" t="n">
        <f aca="false">IFERROR(SUMPRODUCT((DADOS!$D$2:$D$426=$A75)*(DADOS!$C$2:$C$426=$B75)*DADOS!$G$2:$G$426*DADOS!$J$2:$J$426)/$C75,0)</f>
        <v>3.60902725121548</v>
      </c>
      <c r="G75" s="35" t="n">
        <f aca="false">IFERROR(SUMPRODUCT((DADOS!$D$2:$D$426=$A75)*(DADOS!$C$2:$C$426=$B75)*DADOS!$G$2:$G$426*DADOS!$K$2:$K$426)/$C75,0)</f>
        <v>1.69166907486238</v>
      </c>
      <c r="H75" s="34" t="n">
        <f aca="false">SUMIFS(DADOS!$G$2:$G$426,DADOS!$D$2:$D$426,$A75,DADOS!$C$2:$C$426,$B75,DADOS!$E$2:$E$426,"Rodo")</f>
        <v>0</v>
      </c>
      <c r="I75" s="34" t="n">
        <f aca="false">SUMIFS(DADOS!$G$2:$G$426,DADOS!$D$2:$D$426,$A75,DADOS!$C$2:$C$426,$B75,DADOS!$E$2:$E$426,"Ferro")</f>
        <v>101673.63</v>
      </c>
    </row>
    <row r="76" customFormat="false" ht="15" hidden="false" customHeight="false" outlineLevel="0" collapsed="false">
      <c r="A76" s="27" t="s">
        <v>45</v>
      </c>
      <c r="B76" s="27" t="s">
        <v>60</v>
      </c>
      <c r="C76" s="34" t="n">
        <f aca="false">SUMIFS(DADOS!$G$2:$G$426,DADOS!$D$2:$D$426,$A76,DADOS!$C$2:$C$426,$B76)</f>
        <v>141.56</v>
      </c>
      <c r="D76" s="35" t="n">
        <f aca="false">IFERROR(SUMPRODUCT((DADOS!$D$2:$D$426=$A76)*(DADOS!$C$2:$C$426=$B76)*DADOS!$G$2:$G$426*DADOS!$H$2:$H$426)/$C76,0)</f>
        <v>47.67</v>
      </c>
      <c r="E76" s="35" t="n">
        <f aca="false">IFERROR(SUMPRODUCT((DADOS!$D$2:$D$426=$A76)*(DADOS!$C$2:$C$426=$B76)*DADOS!$G$2:$G$426*DADOS!$I$2:$I$426)/$C76,0)</f>
        <v>12.33</v>
      </c>
      <c r="F76" s="35" t="n">
        <f aca="false">IFERROR(SUMPRODUCT((DADOS!$D$2:$D$426=$A76)*(DADOS!$C$2:$C$426=$B76)*DADOS!$G$2:$G$426*DADOS!$J$2:$J$426)/$C76,0)</f>
        <v>3.52</v>
      </c>
      <c r="G76" s="35" t="n">
        <f aca="false">IFERROR(SUMPRODUCT((DADOS!$D$2:$D$426=$A76)*(DADOS!$C$2:$C$426=$B76)*DADOS!$G$2:$G$426*DADOS!$K$2:$K$426)/$C76,0)</f>
        <v>1.23</v>
      </c>
      <c r="H76" s="34" t="n">
        <f aca="false">SUMIFS(DADOS!$G$2:$G$426,DADOS!$D$2:$D$426,$A76,DADOS!$C$2:$C$426,$B76,DADOS!$E$2:$E$426,"Rodo")</f>
        <v>0</v>
      </c>
      <c r="I76" s="34" t="n">
        <f aca="false">SUMIFS(DADOS!$G$2:$G$426,DADOS!$D$2:$D$426,$A76,DADOS!$C$2:$C$426,$B76,DADOS!$E$2:$E$426,"Ferro")</f>
        <v>141.56</v>
      </c>
    </row>
    <row r="77" customFormat="false" ht="15" hidden="false" customHeight="false" outlineLevel="0" collapsed="false">
      <c r="A77" s="27" t="s">
        <v>45</v>
      </c>
      <c r="B77" s="27" t="s">
        <v>61</v>
      </c>
      <c r="C77" s="34" t="n">
        <f aca="false">SUMIFS(DADOS!$G$2:$G$426,DADOS!$D$2:$D$426,$A77,DADOS!$C$2:$C$426,$B77)</f>
        <v>10176.79</v>
      </c>
      <c r="D77" s="35" t="n">
        <f aca="false">IFERROR(SUMPRODUCT((DADOS!$D$2:$D$426=$A77)*(DADOS!$C$2:$C$426=$B77)*DADOS!$G$2:$G$426*DADOS!$H$2:$H$426)/$C77,0)</f>
        <v>47.4442792275364</v>
      </c>
      <c r="E77" s="35" t="n">
        <f aca="false">IFERROR(SUMPRODUCT((DADOS!$D$2:$D$426=$A77)*(DADOS!$C$2:$C$426=$B77)*DADOS!$G$2:$G$426*DADOS!$I$2:$I$426)/$C77,0)</f>
        <v>12.4597512083869</v>
      </c>
      <c r="F77" s="35" t="n">
        <f aca="false">IFERROR(SUMPRODUCT((DADOS!$D$2:$D$426=$A77)*(DADOS!$C$2:$C$426=$B77)*DADOS!$G$2:$G$426*DADOS!$J$2:$J$426)/$C77,0)</f>
        <v>3.69685069653594</v>
      </c>
      <c r="G77" s="35" t="n">
        <f aca="false">IFERROR(SUMPRODUCT((DADOS!$D$2:$D$426=$A77)*(DADOS!$C$2:$C$426=$B77)*DADOS!$G$2:$G$426*DADOS!$K$2:$K$426)/$C77,0)</f>
        <v>1.84278681195151</v>
      </c>
      <c r="H77" s="34" t="n">
        <f aca="false">SUMIFS(DADOS!$G$2:$G$426,DADOS!$D$2:$D$426,$A77,DADOS!$C$2:$C$426,$B77,DADOS!$E$2:$E$426,"Rodo")</f>
        <v>0</v>
      </c>
      <c r="I77" s="34" t="n">
        <f aca="false">SUMIFS(DADOS!$G$2:$G$426,DADOS!$D$2:$D$426,$A77,DADOS!$C$2:$C$426,$B77,DADOS!$E$2:$E$426,"Ferro")</f>
        <v>10176.79</v>
      </c>
    </row>
    <row r="78" customFormat="false" ht="15" hidden="false" customHeight="false" outlineLevel="0" collapsed="false">
      <c r="A78" s="27" t="s">
        <v>45</v>
      </c>
      <c r="B78" s="27" t="s">
        <v>62</v>
      </c>
      <c r="C78" s="34" t="n">
        <f aca="false">SUMIFS(DADOS!$G$2:$G$426,DADOS!$D$2:$D$426,$A78,DADOS!$C$2:$C$426,$B78)</f>
        <v>0</v>
      </c>
      <c r="D78" s="35" t="n">
        <f aca="false">IFERROR(SUMPRODUCT((DADOS!$D$2:$D$426=$A78)*(DADOS!$C$2:$C$426=$B78)*DADOS!$G$2:$G$426*DADOS!$H$2:$H$426)/$C78,0)</f>
        <v>0</v>
      </c>
      <c r="E78" s="35" t="n">
        <f aca="false">IFERROR(SUMPRODUCT((DADOS!$D$2:$D$426=$A78)*(DADOS!$C$2:$C$426=$B78)*DADOS!$G$2:$G$426*DADOS!$I$2:$I$426)/$C78,0)</f>
        <v>0</v>
      </c>
      <c r="F78" s="35" t="n">
        <f aca="false">IFERROR(SUMPRODUCT((DADOS!$D$2:$D$426=$A78)*(DADOS!$C$2:$C$426=$B78)*DADOS!$G$2:$G$426*DADOS!$J$2:$J$426)/$C78,0)</f>
        <v>0</v>
      </c>
      <c r="G78" s="35" t="n">
        <f aca="false">IFERROR(SUMPRODUCT((DADOS!$D$2:$D$426=$A78)*(DADOS!$C$2:$C$426=$B78)*DADOS!$G$2:$G$426*DADOS!$K$2:$K$426)/$C78,0)</f>
        <v>0</v>
      </c>
      <c r="H78" s="34" t="n">
        <f aca="false">SUMIFS(DADOS!$G$2:$G$426,DADOS!$D$2:$D$426,$A78,DADOS!$C$2:$C$426,$B78,DADOS!$E$2:$E$426,"Rodo")</f>
        <v>0</v>
      </c>
      <c r="I78" s="34" t="n">
        <f aca="false">SUMIFS(DADOS!$G$2:$G$426,DADOS!$D$2:$D$426,$A78,DADOS!$C$2:$C$426,$B78,DADOS!$E$2:$E$426,"Ferro")</f>
        <v>0</v>
      </c>
    </row>
    <row r="79" customFormat="false" ht="15" hidden="false" customHeight="false" outlineLevel="0" collapsed="false">
      <c r="A79" s="27" t="s">
        <v>45</v>
      </c>
      <c r="B79" s="27" t="s">
        <v>63</v>
      </c>
      <c r="C79" s="34" t="n">
        <f aca="false">SUMIFS(DADOS!$G$2:$G$426,DADOS!$D$2:$D$426,$A79,DADOS!$C$2:$C$426,$B79)</f>
        <v>33179.88</v>
      </c>
      <c r="D79" s="35" t="n">
        <f aca="false">IFERROR(SUMPRODUCT((DADOS!$D$2:$D$426=$A79)*(DADOS!$C$2:$C$426=$B79)*DADOS!$G$2:$G$426*DADOS!$H$2:$H$426)/$C79,0)</f>
        <v>47.3124242613295</v>
      </c>
      <c r="E79" s="35" t="n">
        <f aca="false">IFERROR(SUMPRODUCT((DADOS!$D$2:$D$426=$A79)*(DADOS!$C$2:$C$426=$B79)*DADOS!$G$2:$G$426*DADOS!$I$2:$I$426)/$C79,0)</f>
        <v>12.6871173072356</v>
      </c>
      <c r="F79" s="35" t="n">
        <f aca="false">IFERROR(SUMPRODUCT((DADOS!$D$2:$D$426=$A79)*(DADOS!$C$2:$C$426=$B79)*DADOS!$G$2:$G$426*DADOS!$J$2:$J$426)/$C79,0)</f>
        <v>3.75532690895808</v>
      </c>
      <c r="G79" s="35" t="n">
        <f aca="false">IFERROR(SUMPRODUCT((DADOS!$D$2:$D$426=$A79)*(DADOS!$C$2:$C$426=$B79)*DADOS!$G$2:$G$426*DADOS!$K$2:$K$426)/$C79,0)</f>
        <v>1.46703077889372</v>
      </c>
      <c r="H79" s="34" t="n">
        <f aca="false">SUMIFS(DADOS!$G$2:$G$426,DADOS!$D$2:$D$426,$A79,DADOS!$C$2:$C$426,$B79,DADOS!$E$2:$E$426,"Rodo")</f>
        <v>634.24</v>
      </c>
      <c r="I79" s="34" t="n">
        <f aca="false">SUMIFS(DADOS!$G$2:$G$426,DADOS!$D$2:$D$426,$A79,DADOS!$C$2:$C$426,$B79,DADOS!$E$2:$E$426,"Ferro")</f>
        <v>32545.64</v>
      </c>
    </row>
    <row r="80" customFormat="false" ht="15" hidden="false" customHeight="false" outlineLevel="0" collapsed="false">
      <c r="A80" s="27" t="s">
        <v>45</v>
      </c>
      <c r="B80" s="27" t="s">
        <v>64</v>
      </c>
      <c r="C80" s="34" t="n">
        <f aca="false">SUMIFS(DADOS!$G$2:$G$426,DADOS!$D$2:$D$426,$A80,DADOS!$C$2:$C$426,$B80)</f>
        <v>99472.54</v>
      </c>
      <c r="D80" s="35" t="n">
        <f aca="false">IFERROR(SUMPRODUCT((DADOS!$D$2:$D$426=$A80)*(DADOS!$C$2:$C$426=$B80)*DADOS!$G$2:$G$426*DADOS!$H$2:$H$426)/$C80,0)</f>
        <v>47.5493505212594</v>
      </c>
      <c r="E80" s="35" t="n">
        <f aca="false">IFERROR(SUMPRODUCT((DADOS!$D$2:$D$426=$A80)*(DADOS!$C$2:$C$426=$B80)*DADOS!$G$2:$G$426*DADOS!$I$2:$I$426)/$C80,0)</f>
        <v>12.3413029354634</v>
      </c>
      <c r="F80" s="35" t="n">
        <f aca="false">IFERROR(SUMPRODUCT((DADOS!$D$2:$D$426=$A80)*(DADOS!$C$2:$C$426=$B80)*DADOS!$G$2:$G$426*DADOS!$J$2:$J$426)/$C80,0)</f>
        <v>3.52883952395304</v>
      </c>
      <c r="G80" s="35" t="n">
        <f aca="false">IFERROR(SUMPRODUCT((DADOS!$D$2:$D$426=$A80)*(DADOS!$C$2:$C$426=$B80)*DADOS!$G$2:$G$426*DADOS!$K$2:$K$426)/$C80,0)</f>
        <v>1.58405541871154</v>
      </c>
      <c r="H80" s="34" t="n">
        <f aca="false">SUMIFS(DADOS!$G$2:$G$426,DADOS!$D$2:$D$426,$A80,DADOS!$C$2:$C$426,$B80,DADOS!$E$2:$E$426,"Rodo")</f>
        <v>3066.23</v>
      </c>
      <c r="I80" s="34" t="n">
        <f aca="false">SUMIFS(DADOS!$G$2:$G$426,DADOS!$D$2:$D$426,$A80,DADOS!$C$2:$C$426,$B80,DADOS!$E$2:$E$426,"Ferro")</f>
        <v>96406.31</v>
      </c>
    </row>
    <row r="81" customFormat="false" ht="15" hidden="false" customHeight="false" outlineLevel="0" collapsed="false">
      <c r="A81" s="27" t="s">
        <v>45</v>
      </c>
      <c r="B81" s="27" t="s">
        <v>65</v>
      </c>
      <c r="C81" s="34" t="n">
        <f aca="false">SUMIFS(DADOS!$G$2:$G$426,DADOS!$D$2:$D$426,$A81,DADOS!$C$2:$C$426,$B81)</f>
        <v>78501.68</v>
      </c>
      <c r="D81" s="35" t="n">
        <f aca="false">IFERROR(SUMPRODUCT((DADOS!$D$2:$D$426=$A81)*(DADOS!$C$2:$C$426=$B81)*DADOS!$G$2:$G$426*DADOS!$H$2:$H$426)/$C81,0)</f>
        <v>47.2132038384401</v>
      </c>
      <c r="E81" s="35" t="n">
        <f aca="false">IFERROR(SUMPRODUCT((DADOS!$D$2:$D$426=$A81)*(DADOS!$C$2:$C$426=$B81)*DADOS!$G$2:$G$426*DADOS!$I$2:$I$426)/$C81,0)</f>
        <v>12.1241707718867</v>
      </c>
      <c r="F81" s="35" t="n">
        <f aca="false">IFERROR(SUMPRODUCT((DADOS!$D$2:$D$426=$A81)*(DADOS!$C$2:$C$426=$B81)*DADOS!$G$2:$G$426*DADOS!$J$2:$J$426)/$C81,0)</f>
        <v>3.80781625947368</v>
      </c>
      <c r="G81" s="35" t="n">
        <f aca="false">IFERROR(SUMPRODUCT((DADOS!$D$2:$D$426=$A81)*(DADOS!$C$2:$C$426=$B81)*DADOS!$G$2:$G$426*DADOS!$K$2:$K$426)/$C81,0)</f>
        <v>1.61950174059969</v>
      </c>
      <c r="H81" s="34" t="n">
        <f aca="false">SUMIFS(DADOS!$G$2:$G$426,DADOS!$D$2:$D$426,$A81,DADOS!$C$2:$C$426,$B81,DADOS!$E$2:$E$426,"Rodo")</f>
        <v>37.21</v>
      </c>
      <c r="I81" s="34" t="n">
        <f aca="false">SUMIFS(DADOS!$G$2:$G$426,DADOS!$D$2:$D$426,$A81,DADOS!$C$2:$C$426,$B81,DADOS!$E$2:$E$426,"Ferro")</f>
        <v>78464.47</v>
      </c>
    </row>
    <row r="82" customFormat="false" ht="15" hidden="false" customHeight="false" outlineLevel="0" collapsed="false">
      <c r="A82" s="27" t="s">
        <v>45</v>
      </c>
      <c r="B82" s="27" t="s">
        <v>66</v>
      </c>
      <c r="C82" s="34" t="n">
        <f aca="false">SUMIFS(DADOS!$G$2:$G$426,DADOS!$D$2:$D$426,$A82,DADOS!$C$2:$C$426,$B82)</f>
        <v>19994.68</v>
      </c>
      <c r="D82" s="35" t="n">
        <f aca="false">IFERROR(SUMPRODUCT((DADOS!$D$2:$D$426=$A82)*(DADOS!$C$2:$C$426=$B82)*DADOS!$G$2:$G$426*DADOS!$H$2:$H$426)/$C82,0)</f>
        <v>47.2522293179986</v>
      </c>
      <c r="E82" s="35" t="n">
        <f aca="false">IFERROR(SUMPRODUCT((DADOS!$D$2:$D$426=$A82)*(DADOS!$C$2:$C$426=$B82)*DADOS!$G$2:$G$426*DADOS!$I$2:$I$426)/$C82,0)</f>
        <v>12.2652482610374</v>
      </c>
      <c r="F82" s="35" t="n">
        <f aca="false">IFERROR(SUMPRODUCT((DADOS!$D$2:$D$426=$A82)*(DADOS!$C$2:$C$426=$B82)*DADOS!$G$2:$G$426*DADOS!$J$2:$J$426)/$C82,0)</f>
        <v>3.82615528230509</v>
      </c>
      <c r="G82" s="35" t="n">
        <f aca="false">IFERROR(SUMPRODUCT((DADOS!$D$2:$D$426=$A82)*(DADOS!$C$2:$C$426=$B82)*DADOS!$G$2:$G$426*DADOS!$K$2:$K$426)/$C82,0)</f>
        <v>1.74531173292096</v>
      </c>
      <c r="H82" s="34" t="n">
        <f aca="false">SUMIFS(DADOS!$G$2:$G$426,DADOS!$D$2:$D$426,$A82,DADOS!$C$2:$C$426,$B82,DADOS!$E$2:$E$426,"Rodo")</f>
        <v>0</v>
      </c>
      <c r="I82" s="34" t="n">
        <f aca="false">SUMIFS(DADOS!$G$2:$G$426,DADOS!$D$2:$D$426,$A82,DADOS!$C$2:$C$426,$B82,DADOS!$E$2:$E$426,"Ferro")</f>
        <v>19994.68</v>
      </c>
    </row>
    <row r="83" customFormat="false" ht="15" hidden="false" customHeight="false" outlineLevel="0" collapsed="false">
      <c r="A83" s="27" t="s">
        <v>45</v>
      </c>
      <c r="B83" s="27" t="s">
        <v>67</v>
      </c>
      <c r="C83" s="34" t="n">
        <f aca="false">SUMIFS(DADOS!$G$2:$G$426,DADOS!$D$2:$D$426,$A83,DADOS!$C$2:$C$426,$B83)</f>
        <v>0</v>
      </c>
      <c r="D83" s="35" t="n">
        <f aca="false">IFERROR(SUMPRODUCT((DADOS!$D$2:$D$426=$A83)*(DADOS!$C$2:$C$426=$B83)*DADOS!$G$2:$G$426*DADOS!$H$2:$H$426)/$C83,0)</f>
        <v>0</v>
      </c>
      <c r="E83" s="35" t="n">
        <f aca="false">IFERROR(SUMPRODUCT((DADOS!$D$2:$D$426=$A83)*(DADOS!$C$2:$C$426=$B83)*DADOS!$G$2:$G$426*DADOS!$I$2:$I$426)/$C83,0)</f>
        <v>0</v>
      </c>
      <c r="F83" s="35" t="n">
        <f aca="false">IFERROR(SUMPRODUCT((DADOS!$D$2:$D$426=$A83)*(DADOS!$C$2:$C$426=$B83)*DADOS!$G$2:$G$426*DADOS!$J$2:$J$426)/$C83,0)</f>
        <v>0</v>
      </c>
      <c r="G83" s="35" t="n">
        <f aca="false">IFERROR(SUMPRODUCT((DADOS!$D$2:$D$426=$A83)*(DADOS!$C$2:$C$426=$B83)*DADOS!$G$2:$G$426*DADOS!$K$2:$K$426)/$C83,0)</f>
        <v>0</v>
      </c>
      <c r="H83" s="34" t="n">
        <f aca="false">SUMIFS(DADOS!$G$2:$G$426,DADOS!$D$2:$D$426,$A83,DADOS!$C$2:$C$426,$B83,DADOS!$E$2:$E$426,"Rodo")</f>
        <v>0</v>
      </c>
      <c r="I83" s="34" t="n">
        <f aca="false">SUMIFS(DADOS!$G$2:$G$426,DADOS!$D$2:$D$426,$A83,DADOS!$C$2:$C$426,$B83,DADOS!$E$2:$E$426,"Ferro")</f>
        <v>0</v>
      </c>
    </row>
    <row r="84" customFormat="false" ht="15" hidden="false" customHeight="false" outlineLevel="0" collapsed="false">
      <c r="A84" s="27" t="s">
        <v>45</v>
      </c>
      <c r="B84" s="27" t="s">
        <v>68</v>
      </c>
      <c r="C84" s="34" t="n">
        <f aca="false">SUMIFS(DADOS!$G$2:$G$426,DADOS!$D$2:$D$426,$A84,DADOS!$C$2:$C$426,$B84)</f>
        <v>0</v>
      </c>
      <c r="D84" s="35" t="n">
        <f aca="false">IFERROR(SUMPRODUCT((DADOS!$D$2:$D$426=$A84)*(DADOS!$C$2:$C$426=$B84)*DADOS!$G$2:$G$426*DADOS!$H$2:$H$426)/$C84,0)</f>
        <v>0</v>
      </c>
      <c r="E84" s="35" t="n">
        <f aca="false">IFERROR(SUMPRODUCT((DADOS!$D$2:$D$426=$A84)*(DADOS!$C$2:$C$426=$B84)*DADOS!$G$2:$G$426*DADOS!$I$2:$I$426)/$C84,0)</f>
        <v>0</v>
      </c>
      <c r="F84" s="35" t="n">
        <f aca="false">IFERROR(SUMPRODUCT((DADOS!$D$2:$D$426=$A84)*(DADOS!$C$2:$C$426=$B84)*DADOS!$G$2:$G$426*DADOS!$J$2:$J$426)/$C84,0)</f>
        <v>0</v>
      </c>
      <c r="G84" s="35" t="n">
        <f aca="false">IFERROR(SUMPRODUCT((DADOS!$D$2:$D$426=$A84)*(DADOS!$C$2:$C$426=$B84)*DADOS!$G$2:$G$426*DADOS!$K$2:$K$426)/$C84,0)</f>
        <v>0</v>
      </c>
      <c r="H84" s="34" t="n">
        <f aca="false">SUMIFS(DADOS!$G$2:$G$426,DADOS!$D$2:$D$426,$A84,DADOS!$C$2:$C$426,$B84,DADOS!$E$2:$E$426,"Rodo")</f>
        <v>0</v>
      </c>
      <c r="I84" s="34" t="n">
        <f aca="false">SUMIFS(DADOS!$G$2:$G$426,DADOS!$D$2:$D$426,$A84,DADOS!$C$2:$C$426,$B84,DADOS!$E$2:$E$426,"Ferro")</f>
        <v>0</v>
      </c>
    </row>
    <row r="85" customFormat="false" ht="15" hidden="false" customHeight="false" outlineLevel="0" collapsed="false">
      <c r="A85" s="27" t="s">
        <v>45</v>
      </c>
      <c r="B85" s="27" t="s">
        <v>69</v>
      </c>
      <c r="C85" s="34" t="n">
        <f aca="false">SUMIFS(DADOS!$G$2:$G$426,DADOS!$D$2:$D$426,$A85,DADOS!$C$2:$C$426,$B85)</f>
        <v>0</v>
      </c>
      <c r="D85" s="35" t="n">
        <f aca="false">IFERROR(SUMPRODUCT((DADOS!$D$2:$D$426=$A85)*(DADOS!$C$2:$C$426=$B85)*DADOS!$G$2:$G$426*DADOS!$H$2:$H$426)/$C85,0)</f>
        <v>0</v>
      </c>
      <c r="E85" s="35" t="n">
        <f aca="false">IFERROR(SUMPRODUCT((DADOS!$D$2:$D$426=$A85)*(DADOS!$C$2:$C$426=$B85)*DADOS!$G$2:$G$426*DADOS!$I$2:$I$426)/$C85,0)</f>
        <v>0</v>
      </c>
      <c r="F85" s="35" t="n">
        <f aca="false">IFERROR(SUMPRODUCT((DADOS!$D$2:$D$426=$A85)*(DADOS!$C$2:$C$426=$B85)*DADOS!$G$2:$G$426*DADOS!$J$2:$J$426)/$C85,0)</f>
        <v>0</v>
      </c>
      <c r="G85" s="35" t="n">
        <f aca="false">IFERROR(SUMPRODUCT((DADOS!$D$2:$D$426=$A85)*(DADOS!$C$2:$C$426=$B85)*DADOS!$G$2:$G$426*DADOS!$K$2:$K$426)/$C85,0)</f>
        <v>0</v>
      </c>
      <c r="H85" s="34" t="n">
        <f aca="false">SUMIFS(DADOS!$G$2:$G$426,DADOS!$D$2:$D$426,$A85,DADOS!$C$2:$C$426,$B85,DADOS!$E$2:$E$426,"Rodo")</f>
        <v>0</v>
      </c>
      <c r="I85" s="34" t="n">
        <f aca="false">SUMIFS(DADOS!$G$2:$G$426,DADOS!$D$2:$D$426,$A85,DADOS!$C$2:$C$426,$B85,DADOS!$E$2:$E$426,"Ferro")</f>
        <v>0</v>
      </c>
    </row>
    <row r="86" customFormat="false" ht="15" hidden="false" customHeight="false" outlineLevel="0" collapsed="false">
      <c r="A86" s="27" t="s">
        <v>46</v>
      </c>
      <c r="B86" s="27" t="s">
        <v>38</v>
      </c>
      <c r="C86" s="34" t="n">
        <f aca="false">SUMIFS(DADOS!$G$2:$G$426,DADOS!$D$2:$D$426,$A86,DADOS!$C$2:$C$426,$B86)</f>
        <v>0</v>
      </c>
      <c r="D86" s="35" t="n">
        <f aca="false">IFERROR(SUMPRODUCT((DADOS!$D$2:$D$426=$A86)*(DADOS!$C$2:$C$426=$B86)*DADOS!$G$2:$G$426*DADOS!$H$2:$H$426)/$C86,0)</f>
        <v>0</v>
      </c>
      <c r="E86" s="35" t="n">
        <f aca="false">IFERROR(SUMPRODUCT((DADOS!$D$2:$D$426=$A86)*(DADOS!$C$2:$C$426=$B86)*DADOS!$G$2:$G$426*DADOS!$I$2:$I$426)/$C86,0)</f>
        <v>0</v>
      </c>
      <c r="F86" s="35" t="n">
        <f aca="false">IFERROR(SUMPRODUCT((DADOS!$D$2:$D$426=$A86)*(DADOS!$C$2:$C$426=$B86)*DADOS!$G$2:$G$426*DADOS!$J$2:$J$426)/$C86,0)</f>
        <v>0</v>
      </c>
      <c r="G86" s="35" t="n">
        <f aca="false">IFERROR(SUMPRODUCT((DADOS!$D$2:$D$426=$A86)*(DADOS!$C$2:$C$426=$B86)*DADOS!$G$2:$G$426*DADOS!$K$2:$K$426)/$C86,0)</f>
        <v>0</v>
      </c>
      <c r="H86" s="34" t="n">
        <f aca="false">SUMIFS(DADOS!$G$2:$G$426,DADOS!$D$2:$D$426,$A86,DADOS!$C$2:$C$426,$B86,DADOS!$E$2:$E$426,"Rodo")</f>
        <v>0</v>
      </c>
      <c r="I86" s="34" t="n">
        <f aca="false">SUMIFS(DADOS!$G$2:$G$426,DADOS!$D$2:$D$426,$A86,DADOS!$C$2:$C$426,$B86,DADOS!$E$2:$E$426,"Ferro")</f>
        <v>0</v>
      </c>
    </row>
    <row r="87" customFormat="false" ht="15" hidden="false" customHeight="false" outlineLevel="0" collapsed="false">
      <c r="A87" s="27" t="s">
        <v>46</v>
      </c>
      <c r="B87" s="27" t="s">
        <v>59</v>
      </c>
      <c r="C87" s="34" t="n">
        <f aca="false">SUMIFS(DADOS!$G$2:$G$426,DADOS!$D$2:$D$426,$A87,DADOS!$C$2:$C$426,$B87)</f>
        <v>0</v>
      </c>
      <c r="D87" s="35" t="n">
        <f aca="false">IFERROR(SUMPRODUCT((DADOS!$D$2:$D$426=$A87)*(DADOS!$C$2:$C$426=$B87)*DADOS!$G$2:$G$426*DADOS!$H$2:$H$426)/$C87,0)</f>
        <v>0</v>
      </c>
      <c r="E87" s="35" t="n">
        <f aca="false">IFERROR(SUMPRODUCT((DADOS!$D$2:$D$426=$A87)*(DADOS!$C$2:$C$426=$B87)*DADOS!$G$2:$G$426*DADOS!$I$2:$I$426)/$C87,0)</f>
        <v>0</v>
      </c>
      <c r="F87" s="35" t="n">
        <f aca="false">IFERROR(SUMPRODUCT((DADOS!$D$2:$D$426=$A87)*(DADOS!$C$2:$C$426=$B87)*DADOS!$G$2:$G$426*DADOS!$J$2:$J$426)/$C87,0)</f>
        <v>0</v>
      </c>
      <c r="G87" s="35" t="n">
        <f aca="false">IFERROR(SUMPRODUCT((DADOS!$D$2:$D$426=$A87)*(DADOS!$C$2:$C$426=$B87)*DADOS!$G$2:$G$426*DADOS!$K$2:$K$426)/$C87,0)</f>
        <v>0</v>
      </c>
      <c r="H87" s="34" t="n">
        <f aca="false">SUMIFS(DADOS!$G$2:$G$426,DADOS!$D$2:$D$426,$A87,DADOS!$C$2:$C$426,$B87,DADOS!$E$2:$E$426,"Rodo")</f>
        <v>0</v>
      </c>
      <c r="I87" s="34" t="n">
        <f aca="false">SUMIFS(DADOS!$G$2:$G$426,DADOS!$D$2:$D$426,$A87,DADOS!$C$2:$C$426,$B87,DADOS!$E$2:$E$426,"Ferro")</f>
        <v>0</v>
      </c>
    </row>
    <row r="88" customFormat="false" ht="15" hidden="false" customHeight="false" outlineLevel="0" collapsed="false">
      <c r="A88" s="27" t="s">
        <v>46</v>
      </c>
      <c r="B88" s="27" t="s">
        <v>60</v>
      </c>
      <c r="C88" s="34" t="n">
        <f aca="false">SUMIFS(DADOS!$G$2:$G$426,DADOS!$D$2:$D$426,$A88,DADOS!$C$2:$C$426,$B88)</f>
        <v>0</v>
      </c>
      <c r="D88" s="35" t="n">
        <f aca="false">IFERROR(SUMPRODUCT((DADOS!$D$2:$D$426=$A88)*(DADOS!$C$2:$C$426=$B88)*DADOS!$G$2:$G$426*DADOS!$H$2:$H$426)/$C88,0)</f>
        <v>0</v>
      </c>
      <c r="E88" s="35" t="n">
        <f aca="false">IFERROR(SUMPRODUCT((DADOS!$D$2:$D$426=$A88)*(DADOS!$C$2:$C$426=$B88)*DADOS!$G$2:$G$426*DADOS!$I$2:$I$426)/$C88,0)</f>
        <v>0</v>
      </c>
      <c r="F88" s="35" t="n">
        <f aca="false">IFERROR(SUMPRODUCT((DADOS!$D$2:$D$426=$A88)*(DADOS!$C$2:$C$426=$B88)*DADOS!$G$2:$G$426*DADOS!$J$2:$J$426)/$C88,0)</f>
        <v>0</v>
      </c>
      <c r="G88" s="35" t="n">
        <f aca="false">IFERROR(SUMPRODUCT((DADOS!$D$2:$D$426=$A88)*(DADOS!$C$2:$C$426=$B88)*DADOS!$G$2:$G$426*DADOS!$K$2:$K$426)/$C88,0)</f>
        <v>0</v>
      </c>
      <c r="H88" s="34" t="n">
        <f aca="false">SUMIFS(DADOS!$G$2:$G$426,DADOS!$D$2:$D$426,$A88,DADOS!$C$2:$C$426,$B88,DADOS!$E$2:$E$426,"Rodo")</f>
        <v>0</v>
      </c>
      <c r="I88" s="34" t="n">
        <f aca="false">SUMIFS(DADOS!$G$2:$G$426,DADOS!$D$2:$D$426,$A88,DADOS!$C$2:$C$426,$B88,DADOS!$E$2:$E$426,"Ferro")</f>
        <v>0</v>
      </c>
    </row>
    <row r="89" customFormat="false" ht="15" hidden="false" customHeight="false" outlineLevel="0" collapsed="false">
      <c r="A89" s="27" t="s">
        <v>46</v>
      </c>
      <c r="B89" s="27" t="s">
        <v>61</v>
      </c>
      <c r="C89" s="34" t="n">
        <f aca="false">SUMIFS(DADOS!$G$2:$G$426,DADOS!$D$2:$D$426,$A89,DADOS!$C$2:$C$426,$B89)</f>
        <v>0</v>
      </c>
      <c r="D89" s="35" t="n">
        <f aca="false">IFERROR(SUMPRODUCT((DADOS!$D$2:$D$426=$A89)*(DADOS!$C$2:$C$426=$B89)*DADOS!$G$2:$G$426*DADOS!$H$2:$H$426)/$C89,0)</f>
        <v>0</v>
      </c>
      <c r="E89" s="35" t="n">
        <f aca="false">IFERROR(SUMPRODUCT((DADOS!$D$2:$D$426=$A89)*(DADOS!$C$2:$C$426=$B89)*DADOS!$G$2:$G$426*DADOS!$I$2:$I$426)/$C89,0)</f>
        <v>0</v>
      </c>
      <c r="F89" s="35" t="n">
        <f aca="false">IFERROR(SUMPRODUCT((DADOS!$D$2:$D$426=$A89)*(DADOS!$C$2:$C$426=$B89)*DADOS!$G$2:$G$426*DADOS!$J$2:$J$426)/$C89,0)</f>
        <v>0</v>
      </c>
      <c r="G89" s="35" t="n">
        <f aca="false">IFERROR(SUMPRODUCT((DADOS!$D$2:$D$426=$A89)*(DADOS!$C$2:$C$426=$B89)*DADOS!$G$2:$G$426*DADOS!$K$2:$K$426)/$C89,0)</f>
        <v>0</v>
      </c>
      <c r="H89" s="34" t="n">
        <f aca="false">SUMIFS(DADOS!$G$2:$G$426,DADOS!$D$2:$D$426,$A89,DADOS!$C$2:$C$426,$B89,DADOS!$E$2:$E$426,"Rodo")</f>
        <v>0</v>
      </c>
      <c r="I89" s="34" t="n">
        <f aca="false">SUMIFS(DADOS!$G$2:$G$426,DADOS!$D$2:$D$426,$A89,DADOS!$C$2:$C$426,$B89,DADOS!$E$2:$E$426,"Ferro")</f>
        <v>0</v>
      </c>
    </row>
    <row r="90" customFormat="false" ht="15" hidden="false" customHeight="false" outlineLevel="0" collapsed="false">
      <c r="A90" s="27" t="s">
        <v>46</v>
      </c>
      <c r="B90" s="27" t="s">
        <v>62</v>
      </c>
      <c r="C90" s="34" t="n">
        <f aca="false">SUMIFS(DADOS!$G$2:$G$426,DADOS!$D$2:$D$426,$A90,DADOS!$C$2:$C$426,$B90)</f>
        <v>0</v>
      </c>
      <c r="D90" s="35" t="n">
        <f aca="false">IFERROR(SUMPRODUCT((DADOS!$D$2:$D$426=$A90)*(DADOS!$C$2:$C$426=$B90)*DADOS!$G$2:$G$426*DADOS!$H$2:$H$426)/$C90,0)</f>
        <v>0</v>
      </c>
      <c r="E90" s="35" t="n">
        <f aca="false">IFERROR(SUMPRODUCT((DADOS!$D$2:$D$426=$A90)*(DADOS!$C$2:$C$426=$B90)*DADOS!$G$2:$G$426*DADOS!$I$2:$I$426)/$C90,0)</f>
        <v>0</v>
      </c>
      <c r="F90" s="35" t="n">
        <f aca="false">IFERROR(SUMPRODUCT((DADOS!$D$2:$D$426=$A90)*(DADOS!$C$2:$C$426=$B90)*DADOS!$G$2:$G$426*DADOS!$J$2:$J$426)/$C90,0)</f>
        <v>0</v>
      </c>
      <c r="G90" s="35" t="n">
        <f aca="false">IFERROR(SUMPRODUCT((DADOS!$D$2:$D$426=$A90)*(DADOS!$C$2:$C$426=$B90)*DADOS!$G$2:$G$426*DADOS!$K$2:$K$426)/$C90,0)</f>
        <v>0</v>
      </c>
      <c r="H90" s="34" t="n">
        <f aca="false">SUMIFS(DADOS!$G$2:$G$426,DADOS!$D$2:$D$426,$A90,DADOS!$C$2:$C$426,$B90,DADOS!$E$2:$E$426,"Rodo")</f>
        <v>0</v>
      </c>
      <c r="I90" s="34" t="n">
        <f aca="false">SUMIFS(DADOS!$G$2:$G$426,DADOS!$D$2:$D$426,$A90,DADOS!$C$2:$C$426,$B90,DADOS!$E$2:$E$426,"Ferro")</f>
        <v>0</v>
      </c>
    </row>
    <row r="91" customFormat="false" ht="15" hidden="false" customHeight="false" outlineLevel="0" collapsed="false">
      <c r="A91" s="27" t="s">
        <v>46</v>
      </c>
      <c r="B91" s="27" t="s">
        <v>63</v>
      </c>
      <c r="C91" s="34" t="n">
        <f aca="false">SUMIFS(DADOS!$G$2:$G$426,DADOS!$D$2:$D$426,$A91,DADOS!$C$2:$C$426,$B91)</f>
        <v>0</v>
      </c>
      <c r="D91" s="35" t="n">
        <f aca="false">IFERROR(SUMPRODUCT((DADOS!$D$2:$D$426=$A91)*(DADOS!$C$2:$C$426=$B91)*DADOS!$G$2:$G$426*DADOS!$H$2:$H$426)/$C91,0)</f>
        <v>0</v>
      </c>
      <c r="E91" s="35" t="n">
        <f aca="false">IFERROR(SUMPRODUCT((DADOS!$D$2:$D$426=$A91)*(DADOS!$C$2:$C$426=$B91)*DADOS!$G$2:$G$426*DADOS!$I$2:$I$426)/$C91,0)</f>
        <v>0</v>
      </c>
      <c r="F91" s="35" t="n">
        <f aca="false">IFERROR(SUMPRODUCT((DADOS!$D$2:$D$426=$A91)*(DADOS!$C$2:$C$426=$B91)*DADOS!$G$2:$G$426*DADOS!$J$2:$J$426)/$C91,0)</f>
        <v>0</v>
      </c>
      <c r="G91" s="35" t="n">
        <f aca="false">IFERROR(SUMPRODUCT((DADOS!$D$2:$D$426=$A91)*(DADOS!$C$2:$C$426=$B91)*DADOS!$G$2:$G$426*DADOS!$K$2:$K$426)/$C91,0)</f>
        <v>0</v>
      </c>
      <c r="H91" s="34" t="n">
        <f aca="false">SUMIFS(DADOS!$G$2:$G$426,DADOS!$D$2:$D$426,$A91,DADOS!$C$2:$C$426,$B91,DADOS!$E$2:$E$426,"Rodo")</f>
        <v>0</v>
      </c>
      <c r="I91" s="34" t="n">
        <f aca="false">SUMIFS(DADOS!$G$2:$G$426,DADOS!$D$2:$D$426,$A91,DADOS!$C$2:$C$426,$B91,DADOS!$E$2:$E$426,"Ferro")</f>
        <v>0</v>
      </c>
    </row>
    <row r="92" customFormat="false" ht="15" hidden="false" customHeight="false" outlineLevel="0" collapsed="false">
      <c r="A92" s="27" t="s">
        <v>46</v>
      </c>
      <c r="B92" s="27" t="s">
        <v>64</v>
      </c>
      <c r="C92" s="34" t="n">
        <f aca="false">SUMIFS(DADOS!$G$2:$G$426,DADOS!$D$2:$D$426,$A92,DADOS!$C$2:$C$426,$B92)</f>
        <v>0</v>
      </c>
      <c r="D92" s="35" t="n">
        <f aca="false">IFERROR(SUMPRODUCT((DADOS!$D$2:$D$426=$A92)*(DADOS!$C$2:$C$426=$B92)*DADOS!$G$2:$G$426*DADOS!$H$2:$H$426)/$C92,0)</f>
        <v>0</v>
      </c>
      <c r="E92" s="35" t="n">
        <f aca="false">IFERROR(SUMPRODUCT((DADOS!$D$2:$D$426=$A92)*(DADOS!$C$2:$C$426=$B92)*DADOS!$G$2:$G$426*DADOS!$I$2:$I$426)/$C92,0)</f>
        <v>0</v>
      </c>
      <c r="F92" s="35" t="n">
        <f aca="false">IFERROR(SUMPRODUCT((DADOS!$D$2:$D$426=$A92)*(DADOS!$C$2:$C$426=$B92)*DADOS!$G$2:$G$426*DADOS!$J$2:$J$426)/$C92,0)</f>
        <v>0</v>
      </c>
      <c r="G92" s="35" t="n">
        <f aca="false">IFERROR(SUMPRODUCT((DADOS!$D$2:$D$426=$A92)*(DADOS!$C$2:$C$426=$B92)*DADOS!$G$2:$G$426*DADOS!$K$2:$K$426)/$C92,0)</f>
        <v>0</v>
      </c>
      <c r="H92" s="34" t="n">
        <f aca="false">SUMIFS(DADOS!$G$2:$G$426,DADOS!$D$2:$D$426,$A92,DADOS!$C$2:$C$426,$B92,DADOS!$E$2:$E$426,"Rodo")</f>
        <v>0</v>
      </c>
      <c r="I92" s="34" t="n">
        <f aca="false">SUMIFS(DADOS!$G$2:$G$426,DADOS!$D$2:$D$426,$A92,DADOS!$C$2:$C$426,$B92,DADOS!$E$2:$E$426,"Ferro")</f>
        <v>0</v>
      </c>
    </row>
    <row r="93" customFormat="false" ht="15" hidden="false" customHeight="false" outlineLevel="0" collapsed="false">
      <c r="A93" s="27" t="s">
        <v>46</v>
      </c>
      <c r="B93" s="27" t="s">
        <v>65</v>
      </c>
      <c r="C93" s="34" t="n">
        <f aca="false">SUMIFS(DADOS!$G$2:$G$426,DADOS!$D$2:$D$426,$A93,DADOS!$C$2:$C$426,$B93)</f>
        <v>11582.49</v>
      </c>
      <c r="D93" s="35" t="n">
        <f aca="false">IFERROR(SUMPRODUCT((DADOS!$D$2:$D$426=$A93)*(DADOS!$C$2:$C$426=$B93)*DADOS!$G$2:$G$426*DADOS!$H$2:$H$426)/$C93,0)</f>
        <v>47.4047032719217</v>
      </c>
      <c r="E93" s="35" t="n">
        <f aca="false">IFERROR(SUMPRODUCT((DADOS!$D$2:$D$426=$A93)*(DADOS!$C$2:$C$426=$B93)*DADOS!$G$2:$G$426*DADOS!$I$2:$I$426)/$C93,0)</f>
        <v>12.3567068221082</v>
      </c>
      <c r="F93" s="35" t="n">
        <f aca="false">IFERROR(SUMPRODUCT((DADOS!$D$2:$D$426=$A93)*(DADOS!$C$2:$C$426=$B93)*DADOS!$G$2:$G$426*DADOS!$J$2:$J$426)/$C93,0)</f>
        <v>3.75247210228543</v>
      </c>
      <c r="G93" s="35" t="n">
        <f aca="false">IFERROR(SUMPRODUCT((DADOS!$D$2:$D$426=$A93)*(DADOS!$C$2:$C$426=$B93)*DADOS!$G$2:$G$426*DADOS!$K$2:$K$426)/$C93,0)</f>
        <v>1.55082551333953</v>
      </c>
      <c r="H93" s="34" t="n">
        <f aca="false">SUMIFS(DADOS!$G$2:$G$426,DADOS!$D$2:$D$426,$A93,DADOS!$C$2:$C$426,$B93,DADOS!$E$2:$E$426,"Rodo")</f>
        <v>0</v>
      </c>
      <c r="I93" s="34" t="n">
        <f aca="false">SUMIFS(DADOS!$G$2:$G$426,DADOS!$D$2:$D$426,$A93,DADOS!$C$2:$C$426,$B93,DADOS!$E$2:$E$426,"Ferro")</f>
        <v>11582.49</v>
      </c>
    </row>
    <row r="94" customFormat="false" ht="15" hidden="false" customHeight="false" outlineLevel="0" collapsed="false">
      <c r="A94" s="27" t="s">
        <v>46</v>
      </c>
      <c r="B94" s="27" t="s">
        <v>66</v>
      </c>
      <c r="C94" s="34" t="n">
        <f aca="false">SUMIFS(DADOS!$G$2:$G$426,DADOS!$D$2:$D$426,$A94,DADOS!$C$2:$C$426,$B94)</f>
        <v>3730.96</v>
      </c>
      <c r="D94" s="35" t="n">
        <f aca="false">IFERROR(SUMPRODUCT((DADOS!$D$2:$D$426=$A94)*(DADOS!$C$2:$C$426=$B94)*DADOS!$G$2:$G$426*DADOS!$H$2:$H$426)/$C94,0)</f>
        <v>47.3</v>
      </c>
      <c r="E94" s="35" t="n">
        <f aca="false">IFERROR(SUMPRODUCT((DADOS!$D$2:$D$426=$A94)*(DADOS!$C$2:$C$426=$B94)*DADOS!$G$2:$G$426*DADOS!$I$2:$I$426)/$C94,0)</f>
        <v>12.52</v>
      </c>
      <c r="F94" s="35" t="n">
        <f aca="false">IFERROR(SUMPRODUCT((DADOS!$D$2:$D$426=$A94)*(DADOS!$C$2:$C$426=$B94)*DADOS!$G$2:$G$426*DADOS!$J$2:$J$426)/$C94,0)</f>
        <v>3.82</v>
      </c>
      <c r="G94" s="35" t="n">
        <f aca="false">IFERROR(SUMPRODUCT((DADOS!$D$2:$D$426=$A94)*(DADOS!$C$2:$C$426=$B94)*DADOS!$G$2:$G$426*DADOS!$K$2:$K$426)/$C94,0)</f>
        <v>1.65</v>
      </c>
      <c r="H94" s="34" t="n">
        <f aca="false">SUMIFS(DADOS!$G$2:$G$426,DADOS!$D$2:$D$426,$A94,DADOS!$C$2:$C$426,$B94,DADOS!$E$2:$E$426,"Rodo")</f>
        <v>0</v>
      </c>
      <c r="I94" s="34" t="n">
        <f aca="false">SUMIFS(DADOS!$G$2:$G$426,DADOS!$D$2:$D$426,$A94,DADOS!$C$2:$C$426,$B94,DADOS!$E$2:$E$426,"Ferro")</f>
        <v>3730.96</v>
      </c>
    </row>
    <row r="95" customFormat="false" ht="15" hidden="false" customHeight="false" outlineLevel="0" collapsed="false">
      <c r="A95" s="27" t="s">
        <v>46</v>
      </c>
      <c r="B95" s="27" t="s">
        <v>67</v>
      </c>
      <c r="C95" s="34" t="n">
        <f aca="false">SUMIFS(DADOS!$G$2:$G$426,DADOS!$D$2:$D$426,$A95,DADOS!$C$2:$C$426,$B95)</f>
        <v>0</v>
      </c>
      <c r="D95" s="35" t="n">
        <f aca="false">IFERROR(SUMPRODUCT((DADOS!$D$2:$D$426=$A95)*(DADOS!$C$2:$C$426=$B95)*DADOS!$G$2:$G$426*DADOS!$H$2:$H$426)/$C95,0)</f>
        <v>0</v>
      </c>
      <c r="E95" s="35" t="n">
        <f aca="false">IFERROR(SUMPRODUCT((DADOS!$D$2:$D$426=$A95)*(DADOS!$C$2:$C$426=$B95)*DADOS!$G$2:$G$426*DADOS!$I$2:$I$426)/$C95,0)</f>
        <v>0</v>
      </c>
      <c r="F95" s="35" t="n">
        <f aca="false">IFERROR(SUMPRODUCT((DADOS!$D$2:$D$426=$A95)*(DADOS!$C$2:$C$426=$B95)*DADOS!$G$2:$G$426*DADOS!$J$2:$J$426)/$C95,0)</f>
        <v>0</v>
      </c>
      <c r="G95" s="35" t="n">
        <f aca="false">IFERROR(SUMPRODUCT((DADOS!$D$2:$D$426=$A95)*(DADOS!$C$2:$C$426=$B95)*DADOS!$G$2:$G$426*DADOS!$K$2:$K$426)/$C95,0)</f>
        <v>0</v>
      </c>
      <c r="H95" s="34" t="n">
        <f aca="false">SUMIFS(DADOS!$G$2:$G$426,DADOS!$D$2:$D$426,$A95,DADOS!$C$2:$C$426,$B95,DADOS!$E$2:$E$426,"Rodo")</f>
        <v>0</v>
      </c>
      <c r="I95" s="34" t="n">
        <f aca="false">SUMIFS(DADOS!$G$2:$G$426,DADOS!$D$2:$D$426,$A95,DADOS!$C$2:$C$426,$B95,DADOS!$E$2:$E$426,"Ferro")</f>
        <v>0</v>
      </c>
    </row>
    <row r="96" customFormat="false" ht="15" hidden="false" customHeight="false" outlineLevel="0" collapsed="false">
      <c r="A96" s="27" t="s">
        <v>46</v>
      </c>
      <c r="B96" s="27" t="s">
        <v>68</v>
      </c>
      <c r="C96" s="34" t="n">
        <f aca="false">SUMIFS(DADOS!$G$2:$G$426,DADOS!$D$2:$D$426,$A96,DADOS!$C$2:$C$426,$B96)</f>
        <v>0</v>
      </c>
      <c r="D96" s="35" t="n">
        <f aca="false">IFERROR(SUMPRODUCT((DADOS!$D$2:$D$426=$A96)*(DADOS!$C$2:$C$426=$B96)*DADOS!$G$2:$G$426*DADOS!$H$2:$H$426)/$C96,0)</f>
        <v>0</v>
      </c>
      <c r="E96" s="35" t="n">
        <f aca="false">IFERROR(SUMPRODUCT((DADOS!$D$2:$D$426=$A96)*(DADOS!$C$2:$C$426=$B96)*DADOS!$G$2:$G$426*DADOS!$I$2:$I$426)/$C96,0)</f>
        <v>0</v>
      </c>
      <c r="F96" s="35" t="n">
        <f aca="false">IFERROR(SUMPRODUCT((DADOS!$D$2:$D$426=$A96)*(DADOS!$C$2:$C$426=$B96)*DADOS!$G$2:$G$426*DADOS!$J$2:$J$426)/$C96,0)</f>
        <v>0</v>
      </c>
      <c r="G96" s="35" t="n">
        <f aca="false">IFERROR(SUMPRODUCT((DADOS!$D$2:$D$426=$A96)*(DADOS!$C$2:$C$426=$B96)*DADOS!$G$2:$G$426*DADOS!$K$2:$K$426)/$C96,0)</f>
        <v>0</v>
      </c>
      <c r="H96" s="34" t="n">
        <f aca="false">SUMIFS(DADOS!$G$2:$G$426,DADOS!$D$2:$D$426,$A96,DADOS!$C$2:$C$426,$B96,DADOS!$E$2:$E$426,"Rodo")</f>
        <v>0</v>
      </c>
      <c r="I96" s="34" t="n">
        <f aca="false">SUMIFS(DADOS!$G$2:$G$426,DADOS!$D$2:$D$426,$A96,DADOS!$C$2:$C$426,$B96,DADOS!$E$2:$E$426,"Ferro")</f>
        <v>0</v>
      </c>
    </row>
    <row r="97" customFormat="false" ht="15" hidden="false" customHeight="false" outlineLevel="0" collapsed="false">
      <c r="A97" s="27" t="s">
        <v>46</v>
      </c>
      <c r="B97" s="27" t="s">
        <v>69</v>
      </c>
      <c r="C97" s="34" t="n">
        <f aca="false">SUMIFS(DADOS!$G$2:$G$426,DADOS!$D$2:$D$426,$A97,DADOS!$C$2:$C$426,$B97)</f>
        <v>0</v>
      </c>
      <c r="D97" s="35" t="n">
        <f aca="false">IFERROR(SUMPRODUCT((DADOS!$D$2:$D$426=$A97)*(DADOS!$C$2:$C$426=$B97)*DADOS!$G$2:$G$426*DADOS!$H$2:$H$426)/$C97,0)</f>
        <v>0</v>
      </c>
      <c r="E97" s="35" t="n">
        <f aca="false">IFERROR(SUMPRODUCT((DADOS!$D$2:$D$426=$A97)*(DADOS!$C$2:$C$426=$B97)*DADOS!$G$2:$G$426*DADOS!$I$2:$I$426)/$C97,0)</f>
        <v>0</v>
      </c>
      <c r="F97" s="35" t="n">
        <f aca="false">IFERROR(SUMPRODUCT((DADOS!$D$2:$D$426=$A97)*(DADOS!$C$2:$C$426=$B97)*DADOS!$G$2:$G$426*DADOS!$J$2:$J$426)/$C97,0)</f>
        <v>0</v>
      </c>
      <c r="G97" s="35" t="n">
        <f aca="false">IFERROR(SUMPRODUCT((DADOS!$D$2:$D$426=$A97)*(DADOS!$C$2:$C$426=$B97)*DADOS!$G$2:$G$426*DADOS!$K$2:$K$426)/$C97,0)</f>
        <v>0</v>
      </c>
      <c r="H97" s="34" t="n">
        <f aca="false">SUMIFS(DADOS!$G$2:$G$426,DADOS!$D$2:$D$426,$A97,DADOS!$C$2:$C$426,$B97,DADOS!$E$2:$E$426,"Rodo")</f>
        <v>0</v>
      </c>
      <c r="I97" s="34" t="n">
        <f aca="false">SUMIFS(DADOS!$G$2:$G$426,DADOS!$D$2:$D$426,$A97,DADOS!$C$2:$C$426,$B97,DADOS!$E$2:$E$426,"Ferro")</f>
        <v>0</v>
      </c>
    </row>
    <row r="98" customFormat="false" ht="15" hidden="false" customHeight="false" outlineLevel="0" collapsed="false">
      <c r="A98" s="27" t="s">
        <v>47</v>
      </c>
      <c r="B98" s="27" t="s">
        <v>38</v>
      </c>
      <c r="C98" s="34" t="n">
        <f aca="false">SUMIFS(DADOS!$G$2:$G$426,DADOS!$D$2:$D$426,$A98,DADOS!$C$2:$C$426,$B98)</f>
        <v>0</v>
      </c>
      <c r="D98" s="35" t="n">
        <f aca="false">IFERROR(SUMPRODUCT((DADOS!$D$2:$D$426=$A98)*(DADOS!$C$2:$C$426=$B98)*DADOS!$G$2:$G$426*DADOS!$H$2:$H$426)/$C98,0)</f>
        <v>0</v>
      </c>
      <c r="E98" s="35" t="n">
        <f aca="false">IFERROR(SUMPRODUCT((DADOS!$D$2:$D$426=$A98)*(DADOS!$C$2:$C$426=$B98)*DADOS!$G$2:$G$426*DADOS!$I$2:$I$426)/$C98,0)</f>
        <v>0</v>
      </c>
      <c r="F98" s="35" t="n">
        <f aca="false">IFERROR(SUMPRODUCT((DADOS!$D$2:$D$426=$A98)*(DADOS!$C$2:$C$426=$B98)*DADOS!$G$2:$G$426*DADOS!$J$2:$J$426)/$C98,0)</f>
        <v>0</v>
      </c>
      <c r="G98" s="35" t="n">
        <f aca="false">IFERROR(SUMPRODUCT((DADOS!$D$2:$D$426=$A98)*(DADOS!$C$2:$C$426=$B98)*DADOS!$G$2:$G$426*DADOS!$K$2:$K$426)/$C98,0)</f>
        <v>0</v>
      </c>
      <c r="H98" s="34" t="n">
        <f aca="false">SUMIFS(DADOS!$G$2:$G$426,DADOS!$D$2:$D$426,$A98,DADOS!$C$2:$C$426,$B98,DADOS!$E$2:$E$426,"Rodo")</f>
        <v>0</v>
      </c>
      <c r="I98" s="34" t="n">
        <f aca="false">SUMIFS(DADOS!$G$2:$G$426,DADOS!$D$2:$D$426,$A98,DADOS!$C$2:$C$426,$B98,DADOS!$E$2:$E$426,"Ferro")</f>
        <v>0</v>
      </c>
    </row>
    <row r="99" customFormat="false" ht="15" hidden="false" customHeight="false" outlineLevel="0" collapsed="false">
      <c r="A99" s="27" t="s">
        <v>47</v>
      </c>
      <c r="B99" s="27" t="s">
        <v>59</v>
      </c>
      <c r="C99" s="34" t="n">
        <f aca="false">SUMIFS(DADOS!$G$2:$G$426,DADOS!$D$2:$D$426,$A99,DADOS!$C$2:$C$426,$B99)</f>
        <v>0</v>
      </c>
      <c r="D99" s="35" t="n">
        <f aca="false">IFERROR(SUMPRODUCT((DADOS!$D$2:$D$426=$A99)*(DADOS!$C$2:$C$426=$B99)*DADOS!$G$2:$G$426*DADOS!$H$2:$H$426)/$C99,0)</f>
        <v>0</v>
      </c>
      <c r="E99" s="35" t="n">
        <f aca="false">IFERROR(SUMPRODUCT((DADOS!$D$2:$D$426=$A99)*(DADOS!$C$2:$C$426=$B99)*DADOS!$G$2:$G$426*DADOS!$I$2:$I$426)/$C99,0)</f>
        <v>0</v>
      </c>
      <c r="F99" s="35" t="n">
        <f aca="false">IFERROR(SUMPRODUCT((DADOS!$D$2:$D$426=$A99)*(DADOS!$C$2:$C$426=$B99)*DADOS!$G$2:$G$426*DADOS!$J$2:$J$426)/$C99,0)</f>
        <v>0</v>
      </c>
      <c r="G99" s="35" t="n">
        <f aca="false">IFERROR(SUMPRODUCT((DADOS!$D$2:$D$426=$A99)*(DADOS!$C$2:$C$426=$B99)*DADOS!$G$2:$G$426*DADOS!$K$2:$K$426)/$C99,0)</f>
        <v>0</v>
      </c>
      <c r="H99" s="34" t="n">
        <f aca="false">SUMIFS(DADOS!$G$2:$G$426,DADOS!$D$2:$D$426,$A99,DADOS!$C$2:$C$426,$B99,DADOS!$E$2:$E$426,"Rodo")</f>
        <v>0</v>
      </c>
      <c r="I99" s="34" t="n">
        <f aca="false">SUMIFS(DADOS!$G$2:$G$426,DADOS!$D$2:$D$426,$A99,DADOS!$C$2:$C$426,$B99,DADOS!$E$2:$E$426,"Ferro")</f>
        <v>0</v>
      </c>
    </row>
    <row r="100" customFormat="false" ht="15" hidden="false" customHeight="false" outlineLevel="0" collapsed="false">
      <c r="A100" s="27" t="s">
        <v>47</v>
      </c>
      <c r="B100" s="27" t="s">
        <v>60</v>
      </c>
      <c r="C100" s="34" t="n">
        <f aca="false">SUMIFS(DADOS!$G$2:$G$426,DADOS!$D$2:$D$426,$A100,DADOS!$C$2:$C$426,$B100)</f>
        <v>0</v>
      </c>
      <c r="D100" s="35" t="n">
        <f aca="false">IFERROR(SUMPRODUCT((DADOS!$D$2:$D$426=$A100)*(DADOS!$C$2:$C$426=$B100)*DADOS!$G$2:$G$426*DADOS!$H$2:$H$426)/$C100,0)</f>
        <v>0</v>
      </c>
      <c r="E100" s="35" t="n">
        <f aca="false">IFERROR(SUMPRODUCT((DADOS!$D$2:$D$426=$A100)*(DADOS!$C$2:$C$426=$B100)*DADOS!$G$2:$G$426*DADOS!$I$2:$I$426)/$C100,0)</f>
        <v>0</v>
      </c>
      <c r="F100" s="35" t="n">
        <f aca="false">IFERROR(SUMPRODUCT((DADOS!$D$2:$D$426=$A100)*(DADOS!$C$2:$C$426=$B100)*DADOS!$G$2:$G$426*DADOS!$J$2:$J$426)/$C100,0)</f>
        <v>0</v>
      </c>
      <c r="G100" s="35" t="n">
        <f aca="false">IFERROR(SUMPRODUCT((DADOS!$D$2:$D$426=$A100)*(DADOS!$C$2:$C$426=$B100)*DADOS!$G$2:$G$426*DADOS!$K$2:$K$426)/$C100,0)</f>
        <v>0</v>
      </c>
      <c r="H100" s="34" t="n">
        <f aca="false">SUMIFS(DADOS!$G$2:$G$426,DADOS!$D$2:$D$426,$A100,DADOS!$C$2:$C$426,$B100,DADOS!$E$2:$E$426,"Rodo")</f>
        <v>0</v>
      </c>
      <c r="I100" s="34" t="n">
        <f aca="false">SUMIFS(DADOS!$G$2:$G$426,DADOS!$D$2:$D$426,$A100,DADOS!$C$2:$C$426,$B100,DADOS!$E$2:$E$426,"Ferro")</f>
        <v>0</v>
      </c>
    </row>
    <row r="101" customFormat="false" ht="15" hidden="false" customHeight="false" outlineLevel="0" collapsed="false">
      <c r="A101" s="27" t="s">
        <v>47</v>
      </c>
      <c r="B101" s="27" t="s">
        <v>61</v>
      </c>
      <c r="C101" s="34" t="n">
        <f aca="false">SUMIFS(DADOS!$G$2:$G$426,DADOS!$D$2:$D$426,$A101,DADOS!$C$2:$C$426,$B101)</f>
        <v>0</v>
      </c>
      <c r="D101" s="35" t="n">
        <f aca="false">IFERROR(SUMPRODUCT((DADOS!$D$2:$D$426=$A101)*(DADOS!$C$2:$C$426=$B101)*DADOS!$G$2:$G$426*DADOS!$H$2:$H$426)/$C101,0)</f>
        <v>0</v>
      </c>
      <c r="E101" s="35" t="n">
        <f aca="false">IFERROR(SUMPRODUCT((DADOS!$D$2:$D$426=$A101)*(DADOS!$C$2:$C$426=$B101)*DADOS!$G$2:$G$426*DADOS!$I$2:$I$426)/$C101,0)</f>
        <v>0</v>
      </c>
      <c r="F101" s="35" t="n">
        <f aca="false">IFERROR(SUMPRODUCT((DADOS!$D$2:$D$426=$A101)*(DADOS!$C$2:$C$426=$B101)*DADOS!$G$2:$G$426*DADOS!$J$2:$J$426)/$C101,0)</f>
        <v>0</v>
      </c>
      <c r="G101" s="35" t="n">
        <f aca="false">IFERROR(SUMPRODUCT((DADOS!$D$2:$D$426=$A101)*(DADOS!$C$2:$C$426=$B101)*DADOS!$G$2:$G$426*DADOS!$K$2:$K$426)/$C101,0)</f>
        <v>0</v>
      </c>
      <c r="H101" s="34" t="n">
        <f aca="false">SUMIFS(DADOS!$G$2:$G$426,DADOS!$D$2:$D$426,$A101,DADOS!$C$2:$C$426,$B101,DADOS!$E$2:$E$426,"Rodo")</f>
        <v>0</v>
      </c>
      <c r="I101" s="34" t="n">
        <f aca="false">SUMIFS(DADOS!$G$2:$G$426,DADOS!$D$2:$D$426,$A101,DADOS!$C$2:$C$426,$B101,DADOS!$E$2:$E$426,"Ferro")</f>
        <v>0</v>
      </c>
    </row>
    <row r="102" customFormat="false" ht="15" hidden="false" customHeight="false" outlineLevel="0" collapsed="false">
      <c r="A102" s="27" t="s">
        <v>47</v>
      </c>
      <c r="B102" s="27" t="s">
        <v>62</v>
      </c>
      <c r="C102" s="34" t="n">
        <f aca="false">SUMIFS(DADOS!$G$2:$G$426,DADOS!$D$2:$D$426,$A102,DADOS!$C$2:$C$426,$B102)</f>
        <v>0</v>
      </c>
      <c r="D102" s="35" t="n">
        <f aca="false">IFERROR(SUMPRODUCT((DADOS!$D$2:$D$426=$A102)*(DADOS!$C$2:$C$426=$B102)*DADOS!$G$2:$G$426*DADOS!$H$2:$H$426)/$C102,0)</f>
        <v>0</v>
      </c>
      <c r="E102" s="35" t="n">
        <f aca="false">IFERROR(SUMPRODUCT((DADOS!$D$2:$D$426=$A102)*(DADOS!$C$2:$C$426=$B102)*DADOS!$G$2:$G$426*DADOS!$I$2:$I$426)/$C102,0)</f>
        <v>0</v>
      </c>
      <c r="F102" s="35" t="n">
        <f aca="false">IFERROR(SUMPRODUCT((DADOS!$D$2:$D$426=$A102)*(DADOS!$C$2:$C$426=$B102)*DADOS!$G$2:$G$426*DADOS!$J$2:$J$426)/$C102,0)</f>
        <v>0</v>
      </c>
      <c r="G102" s="35" t="n">
        <f aca="false">IFERROR(SUMPRODUCT((DADOS!$D$2:$D$426=$A102)*(DADOS!$C$2:$C$426=$B102)*DADOS!$G$2:$G$426*DADOS!$K$2:$K$426)/$C102,0)</f>
        <v>0</v>
      </c>
      <c r="H102" s="34" t="n">
        <f aca="false">SUMIFS(DADOS!$G$2:$G$426,DADOS!$D$2:$D$426,$A102,DADOS!$C$2:$C$426,$B102,DADOS!$E$2:$E$426,"Rodo")</f>
        <v>0</v>
      </c>
      <c r="I102" s="34" t="n">
        <f aca="false">SUMIFS(DADOS!$G$2:$G$426,DADOS!$D$2:$D$426,$A102,DADOS!$C$2:$C$426,$B102,DADOS!$E$2:$E$426,"Ferro")</f>
        <v>0</v>
      </c>
    </row>
    <row r="103" customFormat="false" ht="15" hidden="false" customHeight="false" outlineLevel="0" collapsed="false">
      <c r="A103" s="27" t="s">
        <v>47</v>
      </c>
      <c r="B103" s="27" t="s">
        <v>63</v>
      </c>
      <c r="C103" s="34" t="n">
        <f aca="false">SUMIFS(DADOS!$G$2:$G$426,DADOS!$D$2:$D$426,$A103,DADOS!$C$2:$C$426,$B103)</f>
        <v>0</v>
      </c>
      <c r="D103" s="35" t="n">
        <f aca="false">IFERROR(SUMPRODUCT((DADOS!$D$2:$D$426=$A103)*(DADOS!$C$2:$C$426=$B103)*DADOS!$G$2:$G$426*DADOS!$H$2:$H$426)/$C103,0)</f>
        <v>0</v>
      </c>
      <c r="E103" s="35" t="n">
        <f aca="false">IFERROR(SUMPRODUCT((DADOS!$D$2:$D$426=$A103)*(DADOS!$C$2:$C$426=$B103)*DADOS!$G$2:$G$426*DADOS!$I$2:$I$426)/$C103,0)</f>
        <v>0</v>
      </c>
      <c r="F103" s="35" t="n">
        <f aca="false">IFERROR(SUMPRODUCT((DADOS!$D$2:$D$426=$A103)*(DADOS!$C$2:$C$426=$B103)*DADOS!$G$2:$G$426*DADOS!$J$2:$J$426)/$C103,0)</f>
        <v>0</v>
      </c>
      <c r="G103" s="35" t="n">
        <f aca="false">IFERROR(SUMPRODUCT((DADOS!$D$2:$D$426=$A103)*(DADOS!$C$2:$C$426=$B103)*DADOS!$G$2:$G$426*DADOS!$K$2:$K$426)/$C103,0)</f>
        <v>0</v>
      </c>
      <c r="H103" s="34" t="n">
        <f aca="false">SUMIFS(DADOS!$G$2:$G$426,DADOS!$D$2:$D$426,$A103,DADOS!$C$2:$C$426,$B103,DADOS!$E$2:$E$426,"Rodo")</f>
        <v>0</v>
      </c>
      <c r="I103" s="34" t="n">
        <f aca="false">SUMIFS(DADOS!$G$2:$G$426,DADOS!$D$2:$D$426,$A103,DADOS!$C$2:$C$426,$B103,DADOS!$E$2:$E$426,"Ferro")</f>
        <v>0</v>
      </c>
    </row>
    <row r="104" customFormat="false" ht="15" hidden="false" customHeight="false" outlineLevel="0" collapsed="false">
      <c r="A104" s="27" t="s">
        <v>47</v>
      </c>
      <c r="B104" s="27" t="s">
        <v>64</v>
      </c>
      <c r="C104" s="34" t="n">
        <f aca="false">SUMIFS(DADOS!$G$2:$G$426,DADOS!$D$2:$D$426,$A104,DADOS!$C$2:$C$426,$B104)</f>
        <v>0</v>
      </c>
      <c r="D104" s="35" t="n">
        <f aca="false">IFERROR(SUMPRODUCT((DADOS!$D$2:$D$426=$A104)*(DADOS!$C$2:$C$426=$B104)*DADOS!$G$2:$G$426*DADOS!$H$2:$H$426)/$C104,0)</f>
        <v>0</v>
      </c>
      <c r="E104" s="35" t="n">
        <f aca="false">IFERROR(SUMPRODUCT((DADOS!$D$2:$D$426=$A104)*(DADOS!$C$2:$C$426=$B104)*DADOS!$G$2:$G$426*DADOS!$I$2:$I$426)/$C104,0)</f>
        <v>0</v>
      </c>
      <c r="F104" s="35" t="n">
        <f aca="false">IFERROR(SUMPRODUCT((DADOS!$D$2:$D$426=$A104)*(DADOS!$C$2:$C$426=$B104)*DADOS!$G$2:$G$426*DADOS!$J$2:$J$426)/$C104,0)</f>
        <v>0</v>
      </c>
      <c r="G104" s="35" t="n">
        <f aca="false">IFERROR(SUMPRODUCT((DADOS!$D$2:$D$426=$A104)*(DADOS!$C$2:$C$426=$B104)*DADOS!$G$2:$G$426*DADOS!$K$2:$K$426)/$C104,0)</f>
        <v>0</v>
      </c>
      <c r="H104" s="34" t="n">
        <f aca="false">SUMIFS(DADOS!$G$2:$G$426,DADOS!$D$2:$D$426,$A104,DADOS!$C$2:$C$426,$B104,DADOS!$E$2:$E$426,"Rodo")</f>
        <v>0</v>
      </c>
      <c r="I104" s="34" t="n">
        <f aca="false">SUMIFS(DADOS!$G$2:$G$426,DADOS!$D$2:$D$426,$A104,DADOS!$C$2:$C$426,$B104,DADOS!$E$2:$E$426,"Ferro")</f>
        <v>0</v>
      </c>
    </row>
    <row r="105" customFormat="false" ht="15" hidden="false" customHeight="false" outlineLevel="0" collapsed="false">
      <c r="A105" s="27" t="s">
        <v>47</v>
      </c>
      <c r="B105" s="27" t="s">
        <v>65</v>
      </c>
      <c r="C105" s="34" t="n">
        <f aca="false">SUMIFS(DADOS!$G$2:$G$426,DADOS!$D$2:$D$426,$A105,DADOS!$C$2:$C$426,$B105)</f>
        <v>0</v>
      </c>
      <c r="D105" s="35" t="n">
        <f aca="false">IFERROR(SUMPRODUCT((DADOS!$D$2:$D$426=$A105)*(DADOS!$C$2:$C$426=$B105)*DADOS!$G$2:$G$426*DADOS!$H$2:$H$426)/$C105,0)</f>
        <v>0</v>
      </c>
      <c r="E105" s="35" t="n">
        <f aca="false">IFERROR(SUMPRODUCT((DADOS!$D$2:$D$426=$A105)*(DADOS!$C$2:$C$426=$B105)*DADOS!$G$2:$G$426*DADOS!$I$2:$I$426)/$C105,0)</f>
        <v>0</v>
      </c>
      <c r="F105" s="35" t="n">
        <f aca="false">IFERROR(SUMPRODUCT((DADOS!$D$2:$D$426=$A105)*(DADOS!$C$2:$C$426=$B105)*DADOS!$G$2:$G$426*DADOS!$J$2:$J$426)/$C105,0)</f>
        <v>0</v>
      </c>
      <c r="G105" s="35" t="n">
        <f aca="false">IFERROR(SUMPRODUCT((DADOS!$D$2:$D$426=$A105)*(DADOS!$C$2:$C$426=$B105)*DADOS!$G$2:$G$426*DADOS!$K$2:$K$426)/$C105,0)</f>
        <v>0</v>
      </c>
      <c r="H105" s="34" t="n">
        <f aca="false">SUMIFS(DADOS!$G$2:$G$426,DADOS!$D$2:$D$426,$A105,DADOS!$C$2:$C$426,$B105,DADOS!$E$2:$E$426,"Rodo")</f>
        <v>0</v>
      </c>
      <c r="I105" s="34" t="n">
        <f aca="false">SUMIFS(DADOS!$G$2:$G$426,DADOS!$D$2:$D$426,$A105,DADOS!$C$2:$C$426,$B105,DADOS!$E$2:$E$426,"Ferro")</f>
        <v>0</v>
      </c>
    </row>
    <row r="106" customFormat="false" ht="15" hidden="false" customHeight="false" outlineLevel="0" collapsed="false">
      <c r="A106" s="27" t="s">
        <v>47</v>
      </c>
      <c r="B106" s="27" t="s">
        <v>66</v>
      </c>
      <c r="C106" s="34" t="n">
        <f aca="false">SUMIFS(DADOS!$G$2:$G$426,DADOS!$D$2:$D$426,$A106,DADOS!$C$2:$C$426,$B106)</f>
        <v>0</v>
      </c>
      <c r="D106" s="35" t="n">
        <f aca="false">IFERROR(SUMPRODUCT((DADOS!$D$2:$D$426=$A106)*(DADOS!$C$2:$C$426=$B106)*DADOS!$G$2:$G$426*DADOS!$H$2:$H$426)/$C106,0)</f>
        <v>0</v>
      </c>
      <c r="E106" s="35" t="n">
        <f aca="false">IFERROR(SUMPRODUCT((DADOS!$D$2:$D$426=$A106)*(DADOS!$C$2:$C$426=$B106)*DADOS!$G$2:$G$426*DADOS!$I$2:$I$426)/$C106,0)</f>
        <v>0</v>
      </c>
      <c r="F106" s="35" t="n">
        <f aca="false">IFERROR(SUMPRODUCT((DADOS!$D$2:$D$426=$A106)*(DADOS!$C$2:$C$426=$B106)*DADOS!$G$2:$G$426*DADOS!$J$2:$J$426)/$C106,0)</f>
        <v>0</v>
      </c>
      <c r="G106" s="35" t="n">
        <f aca="false">IFERROR(SUMPRODUCT((DADOS!$D$2:$D$426=$A106)*(DADOS!$C$2:$C$426=$B106)*DADOS!$G$2:$G$426*DADOS!$K$2:$K$426)/$C106,0)</f>
        <v>0</v>
      </c>
      <c r="H106" s="34" t="n">
        <f aca="false">SUMIFS(DADOS!$G$2:$G$426,DADOS!$D$2:$D$426,$A106,DADOS!$C$2:$C$426,$B106,DADOS!$E$2:$E$426,"Rodo")</f>
        <v>0</v>
      </c>
      <c r="I106" s="34" t="n">
        <f aca="false">SUMIFS(DADOS!$G$2:$G$426,DADOS!$D$2:$D$426,$A106,DADOS!$C$2:$C$426,$B106,DADOS!$E$2:$E$426,"Ferro")</f>
        <v>0</v>
      </c>
    </row>
    <row r="107" customFormat="false" ht="15" hidden="false" customHeight="false" outlineLevel="0" collapsed="false">
      <c r="A107" s="27" t="s">
        <v>47</v>
      </c>
      <c r="B107" s="27" t="s">
        <v>67</v>
      </c>
      <c r="C107" s="34" t="n">
        <f aca="false">SUMIFS(DADOS!$G$2:$G$426,DADOS!$D$2:$D$426,$A107,DADOS!$C$2:$C$426,$B107)</f>
        <v>0</v>
      </c>
      <c r="D107" s="35" t="n">
        <f aca="false">IFERROR(SUMPRODUCT((DADOS!$D$2:$D$426=$A107)*(DADOS!$C$2:$C$426=$B107)*DADOS!$G$2:$G$426*DADOS!$H$2:$H$426)/$C107,0)</f>
        <v>0</v>
      </c>
      <c r="E107" s="35" t="n">
        <f aca="false">IFERROR(SUMPRODUCT((DADOS!$D$2:$D$426=$A107)*(DADOS!$C$2:$C$426=$B107)*DADOS!$G$2:$G$426*DADOS!$I$2:$I$426)/$C107,0)</f>
        <v>0</v>
      </c>
      <c r="F107" s="35" t="n">
        <f aca="false">IFERROR(SUMPRODUCT((DADOS!$D$2:$D$426=$A107)*(DADOS!$C$2:$C$426=$B107)*DADOS!$G$2:$G$426*DADOS!$J$2:$J$426)/$C107,0)</f>
        <v>0</v>
      </c>
      <c r="G107" s="35" t="n">
        <f aca="false">IFERROR(SUMPRODUCT((DADOS!$D$2:$D$426=$A107)*(DADOS!$C$2:$C$426=$B107)*DADOS!$G$2:$G$426*DADOS!$K$2:$K$426)/$C107,0)</f>
        <v>0</v>
      </c>
      <c r="H107" s="34" t="n">
        <f aca="false">SUMIFS(DADOS!$G$2:$G$426,DADOS!$D$2:$D$426,$A107,DADOS!$C$2:$C$426,$B107,DADOS!$E$2:$E$426,"Rodo")</f>
        <v>0</v>
      </c>
      <c r="I107" s="34" t="n">
        <f aca="false">SUMIFS(DADOS!$G$2:$G$426,DADOS!$D$2:$D$426,$A107,DADOS!$C$2:$C$426,$B107,DADOS!$E$2:$E$426,"Ferro")</f>
        <v>0</v>
      </c>
    </row>
    <row r="108" customFormat="false" ht="15" hidden="false" customHeight="false" outlineLevel="0" collapsed="false">
      <c r="A108" s="27" t="s">
        <v>47</v>
      </c>
      <c r="B108" s="27" t="s">
        <v>68</v>
      </c>
      <c r="C108" s="34" t="n">
        <f aca="false">SUMIFS(DADOS!$G$2:$G$426,DADOS!$D$2:$D$426,$A108,DADOS!$C$2:$C$426,$B108)</f>
        <v>0</v>
      </c>
      <c r="D108" s="35" t="n">
        <f aca="false">IFERROR(SUMPRODUCT((DADOS!$D$2:$D$426=$A108)*(DADOS!$C$2:$C$426=$B108)*DADOS!$G$2:$G$426*DADOS!$H$2:$H$426)/$C108,0)</f>
        <v>0</v>
      </c>
      <c r="E108" s="35" t="n">
        <f aca="false">IFERROR(SUMPRODUCT((DADOS!$D$2:$D$426=$A108)*(DADOS!$C$2:$C$426=$B108)*DADOS!$G$2:$G$426*DADOS!$I$2:$I$426)/$C108,0)</f>
        <v>0</v>
      </c>
      <c r="F108" s="35" t="n">
        <f aca="false">IFERROR(SUMPRODUCT((DADOS!$D$2:$D$426=$A108)*(DADOS!$C$2:$C$426=$B108)*DADOS!$G$2:$G$426*DADOS!$J$2:$J$426)/$C108,0)</f>
        <v>0</v>
      </c>
      <c r="G108" s="35" t="n">
        <f aca="false">IFERROR(SUMPRODUCT((DADOS!$D$2:$D$426=$A108)*(DADOS!$C$2:$C$426=$B108)*DADOS!$G$2:$G$426*DADOS!$K$2:$K$426)/$C108,0)</f>
        <v>0</v>
      </c>
      <c r="H108" s="34" t="n">
        <f aca="false">SUMIFS(DADOS!$G$2:$G$426,DADOS!$D$2:$D$426,$A108,DADOS!$C$2:$C$426,$B108,DADOS!$E$2:$E$426,"Rodo")</f>
        <v>0</v>
      </c>
      <c r="I108" s="34" t="n">
        <f aca="false">SUMIFS(DADOS!$G$2:$G$426,DADOS!$D$2:$D$426,$A108,DADOS!$C$2:$C$426,$B108,DADOS!$E$2:$E$426,"Ferro")</f>
        <v>0</v>
      </c>
    </row>
    <row r="109" customFormat="false" ht="15" hidden="false" customHeight="false" outlineLevel="0" collapsed="false">
      <c r="A109" s="27" t="s">
        <v>47</v>
      </c>
      <c r="B109" s="27" t="s">
        <v>69</v>
      </c>
      <c r="C109" s="34" t="n">
        <f aca="false">SUMIFS(DADOS!$G$2:$G$426,DADOS!$D$2:$D$426,$A109,DADOS!$C$2:$C$426,$B109)</f>
        <v>0</v>
      </c>
      <c r="D109" s="35" t="n">
        <f aca="false">IFERROR(SUMPRODUCT((DADOS!$D$2:$D$426=$A109)*(DADOS!$C$2:$C$426=$B109)*DADOS!$G$2:$G$426*DADOS!$H$2:$H$426)/$C109,0)</f>
        <v>0</v>
      </c>
      <c r="E109" s="35" t="n">
        <f aca="false">IFERROR(SUMPRODUCT((DADOS!$D$2:$D$426=$A109)*(DADOS!$C$2:$C$426=$B109)*DADOS!$G$2:$G$426*DADOS!$I$2:$I$426)/$C109,0)</f>
        <v>0</v>
      </c>
      <c r="F109" s="35" t="n">
        <f aca="false">IFERROR(SUMPRODUCT((DADOS!$D$2:$D$426=$A109)*(DADOS!$C$2:$C$426=$B109)*DADOS!$G$2:$G$426*DADOS!$J$2:$J$426)/$C109,0)</f>
        <v>0</v>
      </c>
      <c r="G109" s="35" t="n">
        <f aca="false">IFERROR(SUMPRODUCT((DADOS!$D$2:$D$426=$A109)*(DADOS!$C$2:$C$426=$B109)*DADOS!$G$2:$G$426*DADOS!$K$2:$K$426)/$C109,0)</f>
        <v>0</v>
      </c>
      <c r="H109" s="34" t="n">
        <f aca="false">SUMIFS(DADOS!$G$2:$G$426,DADOS!$D$2:$D$426,$A109,DADOS!$C$2:$C$426,$B109,DADOS!$E$2:$E$426,"Rodo")</f>
        <v>0</v>
      </c>
      <c r="I109" s="34" t="n">
        <f aca="false">SUMIFS(DADOS!$G$2:$G$426,DADOS!$D$2:$D$426,$A109,DADOS!$C$2:$C$426,$B109,DADOS!$E$2:$E$426,"Ferro")</f>
        <v>0</v>
      </c>
    </row>
    <row r="110" customFormat="false" ht="15" hidden="false" customHeight="false" outlineLevel="0" collapsed="false">
      <c r="A110" s="27" t="s">
        <v>48</v>
      </c>
      <c r="B110" s="27" t="s">
        <v>38</v>
      </c>
      <c r="C110" s="34" t="n">
        <f aca="false">SUMIFS(DADOS!$G$2:$G$426,DADOS!$D$2:$D$426,$A110,DADOS!$C$2:$C$426,$B110)</f>
        <v>0</v>
      </c>
      <c r="D110" s="35" t="n">
        <f aca="false">IFERROR(SUMPRODUCT((DADOS!$D$2:$D$426=$A110)*(DADOS!$C$2:$C$426=$B110)*DADOS!$G$2:$G$426*DADOS!$H$2:$H$426)/$C110,0)</f>
        <v>0</v>
      </c>
      <c r="E110" s="35" t="n">
        <f aca="false">IFERROR(SUMPRODUCT((DADOS!$D$2:$D$426=$A110)*(DADOS!$C$2:$C$426=$B110)*DADOS!$G$2:$G$426*DADOS!$I$2:$I$426)/$C110,0)</f>
        <v>0</v>
      </c>
      <c r="F110" s="35" t="n">
        <f aca="false">IFERROR(SUMPRODUCT((DADOS!$D$2:$D$426=$A110)*(DADOS!$C$2:$C$426=$B110)*DADOS!$G$2:$G$426*DADOS!$J$2:$J$426)/$C110,0)</f>
        <v>0</v>
      </c>
      <c r="G110" s="35" t="n">
        <f aca="false">IFERROR(SUMPRODUCT((DADOS!$D$2:$D$426=$A110)*(DADOS!$C$2:$C$426=$B110)*DADOS!$G$2:$G$426*DADOS!$K$2:$K$426)/$C110,0)</f>
        <v>0</v>
      </c>
      <c r="H110" s="34" t="n">
        <f aca="false">SUMIFS(DADOS!$G$2:$G$426,DADOS!$D$2:$D$426,$A110,DADOS!$C$2:$C$426,$B110,DADOS!$E$2:$E$426,"Rodo")</f>
        <v>0</v>
      </c>
      <c r="I110" s="34" t="n">
        <f aca="false">SUMIFS(DADOS!$G$2:$G$426,DADOS!$D$2:$D$426,$A110,DADOS!$C$2:$C$426,$B110,DADOS!$E$2:$E$426,"Ferro")</f>
        <v>0</v>
      </c>
    </row>
    <row r="111" customFormat="false" ht="15" hidden="false" customHeight="false" outlineLevel="0" collapsed="false">
      <c r="A111" s="27" t="s">
        <v>48</v>
      </c>
      <c r="B111" s="27" t="s">
        <v>59</v>
      </c>
      <c r="C111" s="34" t="n">
        <f aca="false">SUMIFS(DADOS!$G$2:$G$426,DADOS!$D$2:$D$426,$A111,DADOS!$C$2:$C$426,$B111)</f>
        <v>0</v>
      </c>
      <c r="D111" s="35" t="n">
        <f aca="false">IFERROR(SUMPRODUCT((DADOS!$D$2:$D$426=$A111)*(DADOS!$C$2:$C$426=$B111)*DADOS!$G$2:$G$426*DADOS!$H$2:$H$426)/$C111,0)</f>
        <v>0</v>
      </c>
      <c r="E111" s="35" t="n">
        <f aca="false">IFERROR(SUMPRODUCT((DADOS!$D$2:$D$426=$A111)*(DADOS!$C$2:$C$426=$B111)*DADOS!$G$2:$G$426*DADOS!$I$2:$I$426)/$C111,0)</f>
        <v>0</v>
      </c>
      <c r="F111" s="35" t="n">
        <f aca="false">IFERROR(SUMPRODUCT((DADOS!$D$2:$D$426=$A111)*(DADOS!$C$2:$C$426=$B111)*DADOS!$G$2:$G$426*DADOS!$J$2:$J$426)/$C111,0)</f>
        <v>0</v>
      </c>
      <c r="G111" s="35" t="n">
        <f aca="false">IFERROR(SUMPRODUCT((DADOS!$D$2:$D$426=$A111)*(DADOS!$C$2:$C$426=$B111)*DADOS!$G$2:$G$426*DADOS!$K$2:$K$426)/$C111,0)</f>
        <v>0</v>
      </c>
      <c r="H111" s="34" t="n">
        <f aca="false">SUMIFS(DADOS!$G$2:$G$426,DADOS!$D$2:$D$426,$A111,DADOS!$C$2:$C$426,$B111,DADOS!$E$2:$E$426,"Rodo")</f>
        <v>0</v>
      </c>
      <c r="I111" s="34" t="n">
        <f aca="false">SUMIFS(DADOS!$G$2:$G$426,DADOS!$D$2:$D$426,$A111,DADOS!$C$2:$C$426,$B111,DADOS!$E$2:$E$426,"Ferro")</f>
        <v>0</v>
      </c>
    </row>
    <row r="112" customFormat="false" ht="15" hidden="false" customHeight="false" outlineLevel="0" collapsed="false">
      <c r="A112" s="27" t="s">
        <v>48</v>
      </c>
      <c r="B112" s="27" t="s">
        <v>60</v>
      </c>
      <c r="C112" s="34" t="n">
        <f aca="false">SUMIFS(DADOS!$G$2:$G$426,DADOS!$D$2:$D$426,$A112,DADOS!$C$2:$C$426,$B112)</f>
        <v>0</v>
      </c>
      <c r="D112" s="35" t="n">
        <f aca="false">IFERROR(SUMPRODUCT((DADOS!$D$2:$D$426=$A112)*(DADOS!$C$2:$C$426=$B112)*DADOS!$G$2:$G$426*DADOS!$H$2:$H$426)/$C112,0)</f>
        <v>0</v>
      </c>
      <c r="E112" s="35" t="n">
        <f aca="false">IFERROR(SUMPRODUCT((DADOS!$D$2:$D$426=$A112)*(DADOS!$C$2:$C$426=$B112)*DADOS!$G$2:$G$426*DADOS!$I$2:$I$426)/$C112,0)</f>
        <v>0</v>
      </c>
      <c r="F112" s="35" t="n">
        <f aca="false">IFERROR(SUMPRODUCT((DADOS!$D$2:$D$426=$A112)*(DADOS!$C$2:$C$426=$B112)*DADOS!$G$2:$G$426*DADOS!$J$2:$J$426)/$C112,0)</f>
        <v>0</v>
      </c>
      <c r="G112" s="35" t="n">
        <f aca="false">IFERROR(SUMPRODUCT((DADOS!$D$2:$D$426=$A112)*(DADOS!$C$2:$C$426=$B112)*DADOS!$G$2:$G$426*DADOS!$K$2:$K$426)/$C112,0)</f>
        <v>0</v>
      </c>
      <c r="H112" s="34" t="n">
        <f aca="false">SUMIFS(DADOS!$G$2:$G$426,DADOS!$D$2:$D$426,$A112,DADOS!$C$2:$C$426,$B112,DADOS!$E$2:$E$426,"Rodo")</f>
        <v>0</v>
      </c>
      <c r="I112" s="34" t="n">
        <f aca="false">SUMIFS(DADOS!$G$2:$G$426,DADOS!$D$2:$D$426,$A112,DADOS!$C$2:$C$426,$B112,DADOS!$E$2:$E$426,"Ferro")</f>
        <v>0</v>
      </c>
    </row>
    <row r="113" customFormat="false" ht="15" hidden="false" customHeight="false" outlineLevel="0" collapsed="false">
      <c r="A113" s="27" t="s">
        <v>48</v>
      </c>
      <c r="B113" s="27" t="s">
        <v>61</v>
      </c>
      <c r="C113" s="34" t="n">
        <f aca="false">SUMIFS(DADOS!$G$2:$G$426,DADOS!$D$2:$D$426,$A113,DADOS!$C$2:$C$426,$B113)</f>
        <v>0</v>
      </c>
      <c r="D113" s="35" t="n">
        <f aca="false">IFERROR(SUMPRODUCT((DADOS!$D$2:$D$426=$A113)*(DADOS!$C$2:$C$426=$B113)*DADOS!$G$2:$G$426*DADOS!$H$2:$H$426)/$C113,0)</f>
        <v>0</v>
      </c>
      <c r="E113" s="35" t="n">
        <f aca="false">IFERROR(SUMPRODUCT((DADOS!$D$2:$D$426=$A113)*(DADOS!$C$2:$C$426=$B113)*DADOS!$G$2:$G$426*DADOS!$I$2:$I$426)/$C113,0)</f>
        <v>0</v>
      </c>
      <c r="F113" s="35" t="n">
        <f aca="false">IFERROR(SUMPRODUCT((DADOS!$D$2:$D$426=$A113)*(DADOS!$C$2:$C$426=$B113)*DADOS!$G$2:$G$426*DADOS!$J$2:$J$426)/$C113,0)</f>
        <v>0</v>
      </c>
      <c r="G113" s="35" t="n">
        <f aca="false">IFERROR(SUMPRODUCT((DADOS!$D$2:$D$426=$A113)*(DADOS!$C$2:$C$426=$B113)*DADOS!$G$2:$G$426*DADOS!$K$2:$K$426)/$C113,0)</f>
        <v>0</v>
      </c>
      <c r="H113" s="34" t="n">
        <f aca="false">SUMIFS(DADOS!$G$2:$G$426,DADOS!$D$2:$D$426,$A113,DADOS!$C$2:$C$426,$B113,DADOS!$E$2:$E$426,"Rodo")</f>
        <v>0</v>
      </c>
      <c r="I113" s="34" t="n">
        <f aca="false">SUMIFS(DADOS!$G$2:$G$426,DADOS!$D$2:$D$426,$A113,DADOS!$C$2:$C$426,$B113,DADOS!$E$2:$E$426,"Ferro")</f>
        <v>0</v>
      </c>
    </row>
    <row r="114" customFormat="false" ht="15" hidden="false" customHeight="false" outlineLevel="0" collapsed="false">
      <c r="A114" s="27" t="s">
        <v>48</v>
      </c>
      <c r="B114" s="27" t="s">
        <v>62</v>
      </c>
      <c r="C114" s="34" t="n">
        <f aca="false">SUMIFS(DADOS!$G$2:$G$426,DADOS!$D$2:$D$426,$A114,DADOS!$C$2:$C$426,$B114)</f>
        <v>0</v>
      </c>
      <c r="D114" s="35" t="n">
        <f aca="false">IFERROR(SUMPRODUCT((DADOS!$D$2:$D$426=$A114)*(DADOS!$C$2:$C$426=$B114)*DADOS!$G$2:$G$426*DADOS!$H$2:$H$426)/$C114,0)</f>
        <v>0</v>
      </c>
      <c r="E114" s="35" t="n">
        <f aca="false">IFERROR(SUMPRODUCT((DADOS!$D$2:$D$426=$A114)*(DADOS!$C$2:$C$426=$B114)*DADOS!$G$2:$G$426*DADOS!$I$2:$I$426)/$C114,0)</f>
        <v>0</v>
      </c>
      <c r="F114" s="35" t="n">
        <f aca="false">IFERROR(SUMPRODUCT((DADOS!$D$2:$D$426=$A114)*(DADOS!$C$2:$C$426=$B114)*DADOS!$G$2:$G$426*DADOS!$J$2:$J$426)/$C114,0)</f>
        <v>0</v>
      </c>
      <c r="G114" s="35" t="n">
        <f aca="false">IFERROR(SUMPRODUCT((DADOS!$D$2:$D$426=$A114)*(DADOS!$C$2:$C$426=$B114)*DADOS!$G$2:$G$426*DADOS!$K$2:$K$426)/$C114,0)</f>
        <v>0</v>
      </c>
      <c r="H114" s="34" t="n">
        <f aca="false">SUMIFS(DADOS!$G$2:$G$426,DADOS!$D$2:$D$426,$A114,DADOS!$C$2:$C$426,$B114,DADOS!$E$2:$E$426,"Rodo")</f>
        <v>0</v>
      </c>
      <c r="I114" s="34" t="n">
        <f aca="false">SUMIFS(DADOS!$G$2:$G$426,DADOS!$D$2:$D$426,$A114,DADOS!$C$2:$C$426,$B114,DADOS!$E$2:$E$426,"Ferro")</f>
        <v>0</v>
      </c>
    </row>
    <row r="115" customFormat="false" ht="15" hidden="false" customHeight="false" outlineLevel="0" collapsed="false">
      <c r="A115" s="27" t="s">
        <v>48</v>
      </c>
      <c r="B115" s="27" t="s">
        <v>63</v>
      </c>
      <c r="C115" s="34" t="n">
        <f aca="false">SUMIFS(DADOS!$G$2:$G$426,DADOS!$D$2:$D$426,$A115,DADOS!$C$2:$C$426,$B115)</f>
        <v>0</v>
      </c>
      <c r="D115" s="35" t="n">
        <f aca="false">IFERROR(SUMPRODUCT((DADOS!$D$2:$D$426=$A115)*(DADOS!$C$2:$C$426=$B115)*DADOS!$G$2:$G$426*DADOS!$H$2:$H$426)/$C115,0)</f>
        <v>0</v>
      </c>
      <c r="E115" s="35" t="n">
        <f aca="false">IFERROR(SUMPRODUCT((DADOS!$D$2:$D$426=$A115)*(DADOS!$C$2:$C$426=$B115)*DADOS!$G$2:$G$426*DADOS!$I$2:$I$426)/$C115,0)</f>
        <v>0</v>
      </c>
      <c r="F115" s="35" t="n">
        <f aca="false">IFERROR(SUMPRODUCT((DADOS!$D$2:$D$426=$A115)*(DADOS!$C$2:$C$426=$B115)*DADOS!$G$2:$G$426*DADOS!$J$2:$J$426)/$C115,0)</f>
        <v>0</v>
      </c>
      <c r="G115" s="35" t="n">
        <f aca="false">IFERROR(SUMPRODUCT((DADOS!$D$2:$D$426=$A115)*(DADOS!$C$2:$C$426=$B115)*DADOS!$G$2:$G$426*DADOS!$K$2:$K$426)/$C115,0)</f>
        <v>0</v>
      </c>
      <c r="H115" s="34" t="n">
        <f aca="false">SUMIFS(DADOS!$G$2:$G$426,DADOS!$D$2:$D$426,$A115,DADOS!$C$2:$C$426,$B115,DADOS!$E$2:$E$426,"Rodo")</f>
        <v>0</v>
      </c>
      <c r="I115" s="34" t="n">
        <f aca="false">SUMIFS(DADOS!$G$2:$G$426,DADOS!$D$2:$D$426,$A115,DADOS!$C$2:$C$426,$B115,DADOS!$E$2:$E$426,"Ferro")</f>
        <v>0</v>
      </c>
    </row>
    <row r="116" customFormat="false" ht="15" hidden="false" customHeight="false" outlineLevel="0" collapsed="false">
      <c r="A116" s="27" t="s">
        <v>48</v>
      </c>
      <c r="B116" s="27" t="s">
        <v>64</v>
      </c>
      <c r="C116" s="34" t="n">
        <f aca="false">SUMIFS(DADOS!$G$2:$G$426,DADOS!$D$2:$D$426,$A116,DADOS!$C$2:$C$426,$B116)</f>
        <v>55089.56</v>
      </c>
      <c r="D116" s="35" t="n">
        <f aca="false">IFERROR(SUMPRODUCT((DADOS!$D$2:$D$426=$A116)*(DADOS!$C$2:$C$426=$B116)*DADOS!$G$2:$G$426*DADOS!$H$2:$H$426)/$C116,0)</f>
        <v>48.1625710933251</v>
      </c>
      <c r="E116" s="35" t="n">
        <f aca="false">IFERROR(SUMPRODUCT((DADOS!$D$2:$D$426=$A116)*(DADOS!$C$2:$C$426=$B116)*DADOS!$G$2:$G$426*DADOS!$I$2:$I$426)/$C116,0)</f>
        <v>11.2093864245785</v>
      </c>
      <c r="F116" s="35" t="n">
        <f aca="false">IFERROR(SUMPRODUCT((DADOS!$D$2:$D$426=$A116)*(DADOS!$C$2:$C$426=$B116)*DADOS!$G$2:$G$426*DADOS!$J$2:$J$426)/$C116,0)</f>
        <v>3.26234643914382</v>
      </c>
      <c r="G116" s="35" t="n">
        <f aca="false">IFERROR(SUMPRODUCT((DADOS!$D$2:$D$426=$A116)*(DADOS!$C$2:$C$426=$B116)*DADOS!$G$2:$G$426*DADOS!$K$2:$K$426)/$C116,0)</f>
        <v>1.38641517739477</v>
      </c>
      <c r="H116" s="34" t="n">
        <f aca="false">SUMIFS(DADOS!$G$2:$G$426,DADOS!$D$2:$D$426,$A116,DADOS!$C$2:$C$426,$B116,DADOS!$E$2:$E$426,"Rodo")</f>
        <v>0</v>
      </c>
      <c r="I116" s="34" t="n">
        <f aca="false">SUMIFS(DADOS!$G$2:$G$426,DADOS!$D$2:$D$426,$A116,DADOS!$C$2:$C$426,$B116,DADOS!$E$2:$E$426,"Ferro")</f>
        <v>55089.56</v>
      </c>
    </row>
    <row r="117" customFormat="false" ht="15" hidden="false" customHeight="false" outlineLevel="0" collapsed="false">
      <c r="A117" s="27" t="s">
        <v>48</v>
      </c>
      <c r="B117" s="27" t="s">
        <v>65</v>
      </c>
      <c r="C117" s="34" t="n">
        <f aca="false">SUMIFS(DADOS!$G$2:$G$426,DADOS!$D$2:$D$426,$A117,DADOS!$C$2:$C$426,$B117)</f>
        <v>33862.86</v>
      </c>
      <c r="D117" s="35" t="n">
        <f aca="false">IFERROR(SUMPRODUCT((DADOS!$D$2:$D$426=$A117)*(DADOS!$C$2:$C$426=$B117)*DADOS!$G$2:$G$426*DADOS!$H$2:$H$426)/$C117,0)</f>
        <v>47.4182555165157</v>
      </c>
      <c r="E117" s="35" t="n">
        <f aca="false">IFERROR(SUMPRODUCT((DADOS!$D$2:$D$426=$A117)*(DADOS!$C$2:$C$426=$B117)*DADOS!$G$2:$G$426*DADOS!$I$2:$I$426)/$C117,0)</f>
        <v>12.9977005368123</v>
      </c>
      <c r="F117" s="35" t="n">
        <f aca="false">IFERROR(SUMPRODUCT((DADOS!$D$2:$D$426=$A117)*(DADOS!$C$2:$C$426=$B117)*DADOS!$G$2:$G$426*DADOS!$J$2:$J$426)/$C117,0)</f>
        <v>3.86167457798898</v>
      </c>
      <c r="G117" s="35" t="n">
        <f aca="false">IFERROR(SUMPRODUCT((DADOS!$D$2:$D$426=$A117)*(DADOS!$C$2:$C$426=$B117)*DADOS!$G$2:$G$426*DADOS!$K$2:$K$426)/$C117,0)</f>
        <v>1.08642470246164</v>
      </c>
      <c r="H117" s="34" t="n">
        <f aca="false">SUMIFS(DADOS!$G$2:$G$426,DADOS!$D$2:$D$426,$A117,DADOS!$C$2:$C$426,$B117,DADOS!$E$2:$E$426,"Rodo")</f>
        <v>0</v>
      </c>
      <c r="I117" s="34" t="n">
        <f aca="false">SUMIFS(DADOS!$G$2:$G$426,DADOS!$D$2:$D$426,$A117,DADOS!$C$2:$C$426,$B117,DADOS!$E$2:$E$426,"Ferro")</f>
        <v>33862.86</v>
      </c>
    </row>
    <row r="118" customFormat="false" ht="15" hidden="false" customHeight="false" outlineLevel="0" collapsed="false">
      <c r="A118" s="27" t="s">
        <v>48</v>
      </c>
      <c r="B118" s="27" t="s">
        <v>66</v>
      </c>
      <c r="C118" s="34" t="n">
        <f aca="false">SUMIFS(DADOS!$G$2:$G$426,DADOS!$D$2:$D$426,$A118,DADOS!$C$2:$C$426,$B118)</f>
        <v>6769.23</v>
      </c>
      <c r="D118" s="35" t="n">
        <f aca="false">IFERROR(SUMPRODUCT((DADOS!$D$2:$D$426=$A118)*(DADOS!$C$2:$C$426=$B118)*DADOS!$G$2:$G$426*DADOS!$H$2:$H$426)/$C118,0)</f>
        <v>47.87</v>
      </c>
      <c r="E118" s="35" t="n">
        <f aca="false">IFERROR(SUMPRODUCT((DADOS!$D$2:$D$426=$A118)*(DADOS!$C$2:$C$426=$B118)*DADOS!$G$2:$G$426*DADOS!$I$2:$I$426)/$C118,0)</f>
        <v>12.71</v>
      </c>
      <c r="F118" s="35" t="n">
        <f aca="false">IFERROR(SUMPRODUCT((DADOS!$D$2:$D$426=$A118)*(DADOS!$C$2:$C$426=$B118)*DADOS!$G$2:$G$426*DADOS!$J$2:$J$426)/$C118,0)</f>
        <v>3.61</v>
      </c>
      <c r="G118" s="35" t="n">
        <f aca="false">IFERROR(SUMPRODUCT((DADOS!$D$2:$D$426=$A118)*(DADOS!$C$2:$C$426=$B118)*DADOS!$G$2:$G$426*DADOS!$K$2:$K$426)/$C118,0)</f>
        <v>1.08</v>
      </c>
      <c r="H118" s="34" t="n">
        <f aca="false">SUMIFS(DADOS!$G$2:$G$426,DADOS!$D$2:$D$426,$A118,DADOS!$C$2:$C$426,$B118,DADOS!$E$2:$E$426,"Rodo")</f>
        <v>0</v>
      </c>
      <c r="I118" s="34" t="n">
        <f aca="false">SUMIFS(DADOS!$G$2:$G$426,DADOS!$D$2:$D$426,$A118,DADOS!$C$2:$C$426,$B118,DADOS!$E$2:$E$426,"Ferro")</f>
        <v>6769.23</v>
      </c>
    </row>
    <row r="119" customFormat="false" ht="15" hidden="false" customHeight="false" outlineLevel="0" collapsed="false">
      <c r="A119" s="27" t="s">
        <v>48</v>
      </c>
      <c r="B119" s="27" t="s">
        <v>67</v>
      </c>
      <c r="C119" s="34" t="n">
        <f aca="false">SUMIFS(DADOS!$G$2:$G$426,DADOS!$D$2:$D$426,$A119,DADOS!$C$2:$C$426,$B119)</f>
        <v>0</v>
      </c>
      <c r="D119" s="35" t="n">
        <f aca="false">IFERROR(SUMPRODUCT((DADOS!$D$2:$D$426=$A119)*(DADOS!$C$2:$C$426=$B119)*DADOS!$G$2:$G$426*DADOS!$H$2:$H$426)/$C119,0)</f>
        <v>0</v>
      </c>
      <c r="E119" s="35" t="n">
        <f aca="false">IFERROR(SUMPRODUCT((DADOS!$D$2:$D$426=$A119)*(DADOS!$C$2:$C$426=$B119)*DADOS!$G$2:$G$426*DADOS!$I$2:$I$426)/$C119,0)</f>
        <v>0</v>
      </c>
      <c r="F119" s="35" t="n">
        <f aca="false">IFERROR(SUMPRODUCT((DADOS!$D$2:$D$426=$A119)*(DADOS!$C$2:$C$426=$B119)*DADOS!$G$2:$G$426*DADOS!$J$2:$J$426)/$C119,0)</f>
        <v>0</v>
      </c>
      <c r="G119" s="35" t="n">
        <f aca="false">IFERROR(SUMPRODUCT((DADOS!$D$2:$D$426=$A119)*(DADOS!$C$2:$C$426=$B119)*DADOS!$G$2:$G$426*DADOS!$K$2:$K$426)/$C119,0)</f>
        <v>0</v>
      </c>
      <c r="H119" s="34" t="n">
        <f aca="false">SUMIFS(DADOS!$G$2:$G$426,DADOS!$D$2:$D$426,$A119,DADOS!$C$2:$C$426,$B119,DADOS!$E$2:$E$426,"Rodo")</f>
        <v>0</v>
      </c>
      <c r="I119" s="34" t="n">
        <f aca="false">SUMIFS(DADOS!$G$2:$G$426,DADOS!$D$2:$D$426,$A119,DADOS!$C$2:$C$426,$B119,DADOS!$E$2:$E$426,"Ferro")</f>
        <v>0</v>
      </c>
    </row>
    <row r="120" customFormat="false" ht="15" hidden="false" customHeight="false" outlineLevel="0" collapsed="false">
      <c r="A120" s="27" t="s">
        <v>48</v>
      </c>
      <c r="B120" s="27" t="s">
        <v>68</v>
      </c>
      <c r="C120" s="34" t="n">
        <f aca="false">SUMIFS(DADOS!$G$2:$G$426,DADOS!$D$2:$D$426,$A120,DADOS!$C$2:$C$426,$B120)</f>
        <v>0</v>
      </c>
      <c r="D120" s="35" t="n">
        <f aca="false">IFERROR(SUMPRODUCT((DADOS!$D$2:$D$426=$A120)*(DADOS!$C$2:$C$426=$B120)*DADOS!$G$2:$G$426*DADOS!$H$2:$H$426)/$C120,0)</f>
        <v>0</v>
      </c>
      <c r="E120" s="35" t="n">
        <f aca="false">IFERROR(SUMPRODUCT((DADOS!$D$2:$D$426=$A120)*(DADOS!$C$2:$C$426=$B120)*DADOS!$G$2:$G$426*DADOS!$I$2:$I$426)/$C120,0)</f>
        <v>0</v>
      </c>
      <c r="F120" s="35" t="n">
        <f aca="false">IFERROR(SUMPRODUCT((DADOS!$D$2:$D$426=$A120)*(DADOS!$C$2:$C$426=$B120)*DADOS!$G$2:$G$426*DADOS!$J$2:$J$426)/$C120,0)</f>
        <v>0</v>
      </c>
      <c r="G120" s="35" t="n">
        <f aca="false">IFERROR(SUMPRODUCT((DADOS!$D$2:$D$426=$A120)*(DADOS!$C$2:$C$426=$B120)*DADOS!$G$2:$G$426*DADOS!$K$2:$K$426)/$C120,0)</f>
        <v>0</v>
      </c>
      <c r="H120" s="34" t="n">
        <f aca="false">SUMIFS(DADOS!$G$2:$G$426,DADOS!$D$2:$D$426,$A120,DADOS!$C$2:$C$426,$B120,DADOS!$E$2:$E$426,"Rodo")</f>
        <v>0</v>
      </c>
      <c r="I120" s="34" t="n">
        <f aca="false">SUMIFS(DADOS!$G$2:$G$426,DADOS!$D$2:$D$426,$A120,DADOS!$C$2:$C$426,$B120,DADOS!$E$2:$E$426,"Ferro")</f>
        <v>0</v>
      </c>
    </row>
    <row r="121" customFormat="false" ht="15" hidden="false" customHeight="false" outlineLevel="0" collapsed="false">
      <c r="A121" s="27" t="s">
        <v>48</v>
      </c>
      <c r="B121" s="27" t="s">
        <v>69</v>
      </c>
      <c r="C121" s="34" t="n">
        <f aca="false">SUMIFS(DADOS!$G$2:$G$426,DADOS!$D$2:$D$426,$A121,DADOS!$C$2:$C$426,$B121)</f>
        <v>0</v>
      </c>
      <c r="D121" s="35" t="n">
        <f aca="false">IFERROR(SUMPRODUCT((DADOS!$D$2:$D$426=$A121)*(DADOS!$C$2:$C$426=$B121)*DADOS!$G$2:$G$426*DADOS!$H$2:$H$426)/$C121,0)</f>
        <v>0</v>
      </c>
      <c r="E121" s="35" t="n">
        <f aca="false">IFERROR(SUMPRODUCT((DADOS!$D$2:$D$426=$A121)*(DADOS!$C$2:$C$426=$B121)*DADOS!$G$2:$G$426*DADOS!$I$2:$I$426)/$C121,0)</f>
        <v>0</v>
      </c>
      <c r="F121" s="35" t="n">
        <f aca="false">IFERROR(SUMPRODUCT((DADOS!$D$2:$D$426=$A121)*(DADOS!$C$2:$C$426=$B121)*DADOS!$G$2:$G$426*DADOS!$J$2:$J$426)/$C121,0)</f>
        <v>0</v>
      </c>
      <c r="G121" s="35" t="n">
        <f aca="false">IFERROR(SUMPRODUCT((DADOS!$D$2:$D$426=$A121)*(DADOS!$C$2:$C$426=$B121)*DADOS!$G$2:$G$426*DADOS!$K$2:$K$426)/$C121,0)</f>
        <v>0</v>
      </c>
      <c r="H121" s="34" t="n">
        <f aca="false">SUMIFS(DADOS!$G$2:$G$426,DADOS!$D$2:$D$426,$A121,DADOS!$C$2:$C$426,$B121,DADOS!$E$2:$E$426,"Rodo")</f>
        <v>0</v>
      </c>
      <c r="I121" s="34" t="n">
        <f aca="false">SUMIFS(DADOS!$G$2:$G$426,DADOS!$D$2:$D$426,$A121,DADOS!$C$2:$C$426,$B121,DADOS!$E$2:$E$426,"Ferro")</f>
        <v>0</v>
      </c>
    </row>
    <row r="122" customFormat="false" ht="15" hidden="false" customHeight="false" outlineLevel="0" collapsed="false">
      <c r="A122" s="27" t="s">
        <v>49</v>
      </c>
      <c r="B122" s="27" t="s">
        <v>38</v>
      </c>
      <c r="C122" s="34" t="n">
        <f aca="false">SUMIFS(DADOS!$G$2:$G$426,DADOS!$D$2:$D$426,$A122,DADOS!$C$2:$C$426,$B122)</f>
        <v>0</v>
      </c>
      <c r="D122" s="35" t="n">
        <f aca="false">IFERROR(SUMPRODUCT((DADOS!$D$2:$D$426=$A122)*(DADOS!$C$2:$C$426=$B122)*DADOS!$G$2:$G$426*DADOS!$H$2:$H$426)/$C122,0)</f>
        <v>0</v>
      </c>
      <c r="E122" s="35" t="n">
        <f aca="false">IFERROR(SUMPRODUCT((DADOS!$D$2:$D$426=$A122)*(DADOS!$C$2:$C$426=$B122)*DADOS!$G$2:$G$426*DADOS!$I$2:$I$426)/$C122,0)</f>
        <v>0</v>
      </c>
      <c r="F122" s="35" t="n">
        <f aca="false">IFERROR(SUMPRODUCT((DADOS!$D$2:$D$426=$A122)*(DADOS!$C$2:$C$426=$B122)*DADOS!$G$2:$G$426*DADOS!$J$2:$J$426)/$C122,0)</f>
        <v>0</v>
      </c>
      <c r="G122" s="35" t="n">
        <f aca="false">IFERROR(SUMPRODUCT((DADOS!$D$2:$D$426=$A122)*(DADOS!$C$2:$C$426=$B122)*DADOS!$G$2:$G$426*DADOS!$K$2:$K$426)/$C122,0)</f>
        <v>0</v>
      </c>
      <c r="H122" s="34" t="n">
        <f aca="false">SUMIFS(DADOS!$G$2:$G$426,DADOS!$D$2:$D$426,$A122,DADOS!$C$2:$C$426,$B122,DADOS!$E$2:$E$426,"Rodo")</f>
        <v>0</v>
      </c>
      <c r="I122" s="34" t="n">
        <f aca="false">SUMIFS(DADOS!$G$2:$G$426,DADOS!$D$2:$D$426,$A122,DADOS!$C$2:$C$426,$B122,DADOS!$E$2:$E$426,"Ferro")</f>
        <v>0</v>
      </c>
    </row>
    <row r="123" customFormat="false" ht="15" hidden="false" customHeight="false" outlineLevel="0" collapsed="false">
      <c r="A123" s="27" t="s">
        <v>49</v>
      </c>
      <c r="B123" s="27" t="s">
        <v>59</v>
      </c>
      <c r="C123" s="34" t="n">
        <f aca="false">SUMIFS(DADOS!$G$2:$G$426,DADOS!$D$2:$D$426,$A123,DADOS!$C$2:$C$426,$B123)</f>
        <v>0</v>
      </c>
      <c r="D123" s="35" t="n">
        <f aca="false">IFERROR(SUMPRODUCT((DADOS!$D$2:$D$426=$A123)*(DADOS!$C$2:$C$426=$B123)*DADOS!$G$2:$G$426*DADOS!$H$2:$H$426)/$C123,0)</f>
        <v>0</v>
      </c>
      <c r="E123" s="35" t="n">
        <f aca="false">IFERROR(SUMPRODUCT((DADOS!$D$2:$D$426=$A123)*(DADOS!$C$2:$C$426=$B123)*DADOS!$G$2:$G$426*DADOS!$I$2:$I$426)/$C123,0)</f>
        <v>0</v>
      </c>
      <c r="F123" s="35" t="n">
        <f aca="false">IFERROR(SUMPRODUCT((DADOS!$D$2:$D$426=$A123)*(DADOS!$C$2:$C$426=$B123)*DADOS!$G$2:$G$426*DADOS!$J$2:$J$426)/$C123,0)</f>
        <v>0</v>
      </c>
      <c r="G123" s="35" t="n">
        <f aca="false">IFERROR(SUMPRODUCT((DADOS!$D$2:$D$426=$A123)*(DADOS!$C$2:$C$426=$B123)*DADOS!$G$2:$G$426*DADOS!$K$2:$K$426)/$C123,0)</f>
        <v>0</v>
      </c>
      <c r="H123" s="34" t="n">
        <f aca="false">SUMIFS(DADOS!$G$2:$G$426,DADOS!$D$2:$D$426,$A123,DADOS!$C$2:$C$426,$B123,DADOS!$E$2:$E$426,"Rodo")</f>
        <v>0</v>
      </c>
      <c r="I123" s="34" t="n">
        <f aca="false">SUMIFS(DADOS!$G$2:$G$426,DADOS!$D$2:$D$426,$A123,DADOS!$C$2:$C$426,$B123,DADOS!$E$2:$E$426,"Ferro")</f>
        <v>0</v>
      </c>
    </row>
    <row r="124" customFormat="false" ht="15" hidden="false" customHeight="false" outlineLevel="0" collapsed="false">
      <c r="A124" s="27" t="s">
        <v>49</v>
      </c>
      <c r="B124" s="27" t="s">
        <v>60</v>
      </c>
      <c r="C124" s="34" t="n">
        <f aca="false">SUMIFS(DADOS!$G$2:$G$426,DADOS!$D$2:$D$426,$A124,DADOS!$C$2:$C$426,$B124)</f>
        <v>0</v>
      </c>
      <c r="D124" s="35" t="n">
        <f aca="false">IFERROR(SUMPRODUCT((DADOS!$D$2:$D$426=$A124)*(DADOS!$C$2:$C$426=$B124)*DADOS!$G$2:$G$426*DADOS!$H$2:$H$426)/$C124,0)</f>
        <v>0</v>
      </c>
      <c r="E124" s="35" t="n">
        <f aca="false">IFERROR(SUMPRODUCT((DADOS!$D$2:$D$426=$A124)*(DADOS!$C$2:$C$426=$B124)*DADOS!$G$2:$G$426*DADOS!$I$2:$I$426)/$C124,0)</f>
        <v>0</v>
      </c>
      <c r="F124" s="35" t="n">
        <f aca="false">IFERROR(SUMPRODUCT((DADOS!$D$2:$D$426=$A124)*(DADOS!$C$2:$C$426=$B124)*DADOS!$G$2:$G$426*DADOS!$J$2:$J$426)/$C124,0)</f>
        <v>0</v>
      </c>
      <c r="G124" s="35" t="n">
        <f aca="false">IFERROR(SUMPRODUCT((DADOS!$D$2:$D$426=$A124)*(DADOS!$C$2:$C$426=$B124)*DADOS!$G$2:$G$426*DADOS!$K$2:$K$426)/$C124,0)</f>
        <v>0</v>
      </c>
      <c r="H124" s="34" t="n">
        <f aca="false">SUMIFS(DADOS!$G$2:$G$426,DADOS!$D$2:$D$426,$A124,DADOS!$C$2:$C$426,$B124,DADOS!$E$2:$E$426,"Rodo")</f>
        <v>0</v>
      </c>
      <c r="I124" s="34" t="n">
        <f aca="false">SUMIFS(DADOS!$G$2:$G$426,DADOS!$D$2:$D$426,$A124,DADOS!$C$2:$C$426,$B124,DADOS!$E$2:$E$426,"Ferro")</f>
        <v>0</v>
      </c>
    </row>
    <row r="125" customFormat="false" ht="15" hidden="false" customHeight="false" outlineLevel="0" collapsed="false">
      <c r="A125" s="27" t="s">
        <v>49</v>
      </c>
      <c r="B125" s="27" t="s">
        <v>61</v>
      </c>
      <c r="C125" s="34" t="n">
        <f aca="false">SUMIFS(DADOS!$G$2:$G$426,DADOS!$D$2:$D$426,$A125,DADOS!$C$2:$C$426,$B125)</f>
        <v>0</v>
      </c>
      <c r="D125" s="35" t="n">
        <f aca="false">IFERROR(SUMPRODUCT((DADOS!$D$2:$D$426=$A125)*(DADOS!$C$2:$C$426=$B125)*DADOS!$G$2:$G$426*DADOS!$H$2:$H$426)/$C125,0)</f>
        <v>0</v>
      </c>
      <c r="E125" s="35" t="n">
        <f aca="false">IFERROR(SUMPRODUCT((DADOS!$D$2:$D$426=$A125)*(DADOS!$C$2:$C$426=$B125)*DADOS!$G$2:$G$426*DADOS!$I$2:$I$426)/$C125,0)</f>
        <v>0</v>
      </c>
      <c r="F125" s="35" t="n">
        <f aca="false">IFERROR(SUMPRODUCT((DADOS!$D$2:$D$426=$A125)*(DADOS!$C$2:$C$426=$B125)*DADOS!$G$2:$G$426*DADOS!$J$2:$J$426)/$C125,0)</f>
        <v>0</v>
      </c>
      <c r="G125" s="35" t="n">
        <f aca="false">IFERROR(SUMPRODUCT((DADOS!$D$2:$D$426=$A125)*(DADOS!$C$2:$C$426=$B125)*DADOS!$G$2:$G$426*DADOS!$K$2:$K$426)/$C125,0)</f>
        <v>0</v>
      </c>
      <c r="H125" s="34" t="n">
        <f aca="false">SUMIFS(DADOS!$G$2:$G$426,DADOS!$D$2:$D$426,$A125,DADOS!$C$2:$C$426,$B125,DADOS!$E$2:$E$426,"Rodo")</f>
        <v>0</v>
      </c>
      <c r="I125" s="34" t="n">
        <f aca="false">SUMIFS(DADOS!$G$2:$G$426,DADOS!$D$2:$D$426,$A125,DADOS!$C$2:$C$426,$B125,DADOS!$E$2:$E$426,"Ferro")</f>
        <v>0</v>
      </c>
    </row>
    <row r="126" customFormat="false" ht="15" hidden="false" customHeight="false" outlineLevel="0" collapsed="false">
      <c r="A126" s="27" t="s">
        <v>49</v>
      </c>
      <c r="B126" s="27" t="s">
        <v>62</v>
      </c>
      <c r="C126" s="34" t="n">
        <f aca="false">SUMIFS(DADOS!$G$2:$G$426,DADOS!$D$2:$D$426,$A126,DADOS!$C$2:$C$426,$B126)</f>
        <v>0</v>
      </c>
      <c r="D126" s="35" t="n">
        <f aca="false">IFERROR(SUMPRODUCT((DADOS!$D$2:$D$426=$A126)*(DADOS!$C$2:$C$426=$B126)*DADOS!$G$2:$G$426*DADOS!$H$2:$H$426)/$C126,0)</f>
        <v>0</v>
      </c>
      <c r="E126" s="35" t="n">
        <f aca="false">IFERROR(SUMPRODUCT((DADOS!$D$2:$D$426=$A126)*(DADOS!$C$2:$C$426=$B126)*DADOS!$G$2:$G$426*DADOS!$I$2:$I$426)/$C126,0)</f>
        <v>0</v>
      </c>
      <c r="F126" s="35" t="n">
        <f aca="false">IFERROR(SUMPRODUCT((DADOS!$D$2:$D$426=$A126)*(DADOS!$C$2:$C$426=$B126)*DADOS!$G$2:$G$426*DADOS!$J$2:$J$426)/$C126,0)</f>
        <v>0</v>
      </c>
      <c r="G126" s="35" t="n">
        <f aca="false">IFERROR(SUMPRODUCT((DADOS!$D$2:$D$426=$A126)*(DADOS!$C$2:$C$426=$B126)*DADOS!$G$2:$G$426*DADOS!$K$2:$K$426)/$C126,0)</f>
        <v>0</v>
      </c>
      <c r="H126" s="34" t="n">
        <f aca="false">SUMIFS(DADOS!$G$2:$G$426,DADOS!$D$2:$D$426,$A126,DADOS!$C$2:$C$426,$B126,DADOS!$E$2:$E$426,"Rodo")</f>
        <v>0</v>
      </c>
      <c r="I126" s="34" t="n">
        <f aca="false">SUMIFS(DADOS!$G$2:$G$426,DADOS!$D$2:$D$426,$A126,DADOS!$C$2:$C$426,$B126,DADOS!$E$2:$E$426,"Ferro")</f>
        <v>0</v>
      </c>
    </row>
    <row r="127" customFormat="false" ht="15" hidden="false" customHeight="false" outlineLevel="0" collapsed="false">
      <c r="A127" s="27" t="s">
        <v>49</v>
      </c>
      <c r="B127" s="27" t="s">
        <v>63</v>
      </c>
      <c r="C127" s="34" t="n">
        <f aca="false">SUMIFS(DADOS!$G$2:$G$426,DADOS!$D$2:$D$426,$A127,DADOS!$C$2:$C$426,$B127)</f>
        <v>0</v>
      </c>
      <c r="D127" s="35" t="n">
        <f aca="false">IFERROR(SUMPRODUCT((DADOS!$D$2:$D$426=$A127)*(DADOS!$C$2:$C$426=$B127)*DADOS!$G$2:$G$426*DADOS!$H$2:$H$426)/$C127,0)</f>
        <v>0</v>
      </c>
      <c r="E127" s="35" t="n">
        <f aca="false">IFERROR(SUMPRODUCT((DADOS!$D$2:$D$426=$A127)*(DADOS!$C$2:$C$426=$B127)*DADOS!$G$2:$G$426*DADOS!$I$2:$I$426)/$C127,0)</f>
        <v>0</v>
      </c>
      <c r="F127" s="35" t="n">
        <f aca="false">IFERROR(SUMPRODUCT((DADOS!$D$2:$D$426=$A127)*(DADOS!$C$2:$C$426=$B127)*DADOS!$G$2:$G$426*DADOS!$J$2:$J$426)/$C127,0)</f>
        <v>0</v>
      </c>
      <c r="G127" s="35" t="n">
        <f aca="false">IFERROR(SUMPRODUCT((DADOS!$D$2:$D$426=$A127)*(DADOS!$C$2:$C$426=$B127)*DADOS!$G$2:$G$426*DADOS!$K$2:$K$426)/$C127,0)</f>
        <v>0</v>
      </c>
      <c r="H127" s="34" t="n">
        <f aca="false">SUMIFS(DADOS!$G$2:$G$426,DADOS!$D$2:$D$426,$A127,DADOS!$C$2:$C$426,$B127,DADOS!$E$2:$E$426,"Rodo")</f>
        <v>0</v>
      </c>
      <c r="I127" s="34" t="n">
        <f aca="false">SUMIFS(DADOS!$G$2:$G$426,DADOS!$D$2:$D$426,$A127,DADOS!$C$2:$C$426,$B127,DADOS!$E$2:$E$426,"Ferro")</f>
        <v>0</v>
      </c>
    </row>
    <row r="128" customFormat="false" ht="15" hidden="false" customHeight="false" outlineLevel="0" collapsed="false">
      <c r="A128" s="27" t="s">
        <v>49</v>
      </c>
      <c r="B128" s="27" t="s">
        <v>64</v>
      </c>
      <c r="C128" s="34" t="n">
        <f aca="false">SUMIFS(DADOS!$G$2:$G$426,DADOS!$D$2:$D$426,$A128,DADOS!$C$2:$C$426,$B128)</f>
        <v>0</v>
      </c>
      <c r="D128" s="35" t="n">
        <f aca="false">IFERROR(SUMPRODUCT((DADOS!$D$2:$D$426=$A128)*(DADOS!$C$2:$C$426=$B128)*DADOS!$G$2:$G$426*DADOS!$H$2:$H$426)/$C128,0)</f>
        <v>0</v>
      </c>
      <c r="E128" s="35" t="n">
        <f aca="false">IFERROR(SUMPRODUCT((DADOS!$D$2:$D$426=$A128)*(DADOS!$C$2:$C$426=$B128)*DADOS!$G$2:$G$426*DADOS!$I$2:$I$426)/$C128,0)</f>
        <v>0</v>
      </c>
      <c r="F128" s="35" t="n">
        <f aca="false">IFERROR(SUMPRODUCT((DADOS!$D$2:$D$426=$A128)*(DADOS!$C$2:$C$426=$B128)*DADOS!$G$2:$G$426*DADOS!$J$2:$J$426)/$C128,0)</f>
        <v>0</v>
      </c>
      <c r="G128" s="35" t="n">
        <f aca="false">IFERROR(SUMPRODUCT((DADOS!$D$2:$D$426=$A128)*(DADOS!$C$2:$C$426=$B128)*DADOS!$G$2:$G$426*DADOS!$K$2:$K$426)/$C128,0)</f>
        <v>0</v>
      </c>
      <c r="H128" s="34" t="n">
        <f aca="false">SUMIFS(DADOS!$G$2:$G$426,DADOS!$D$2:$D$426,$A128,DADOS!$C$2:$C$426,$B128,DADOS!$E$2:$E$426,"Rodo")</f>
        <v>0</v>
      </c>
      <c r="I128" s="34" t="n">
        <f aca="false">SUMIFS(DADOS!$G$2:$G$426,DADOS!$D$2:$D$426,$A128,DADOS!$C$2:$C$426,$B128,DADOS!$E$2:$E$426,"Ferro")</f>
        <v>0</v>
      </c>
    </row>
    <row r="129" customFormat="false" ht="15" hidden="false" customHeight="false" outlineLevel="0" collapsed="false">
      <c r="A129" s="27" t="s">
        <v>49</v>
      </c>
      <c r="B129" s="27" t="s">
        <v>65</v>
      </c>
      <c r="C129" s="34" t="n">
        <f aca="false">SUMIFS(DADOS!$G$2:$G$426,DADOS!$D$2:$D$426,$A129,DADOS!$C$2:$C$426,$B129)</f>
        <v>0</v>
      </c>
      <c r="D129" s="35" t="n">
        <f aca="false">IFERROR(SUMPRODUCT((DADOS!$D$2:$D$426=$A129)*(DADOS!$C$2:$C$426=$B129)*DADOS!$G$2:$G$426*DADOS!$H$2:$H$426)/$C129,0)</f>
        <v>0</v>
      </c>
      <c r="E129" s="35" t="n">
        <f aca="false">IFERROR(SUMPRODUCT((DADOS!$D$2:$D$426=$A129)*(DADOS!$C$2:$C$426=$B129)*DADOS!$G$2:$G$426*DADOS!$I$2:$I$426)/$C129,0)</f>
        <v>0</v>
      </c>
      <c r="F129" s="35" t="n">
        <f aca="false">IFERROR(SUMPRODUCT((DADOS!$D$2:$D$426=$A129)*(DADOS!$C$2:$C$426=$B129)*DADOS!$G$2:$G$426*DADOS!$J$2:$J$426)/$C129,0)</f>
        <v>0</v>
      </c>
      <c r="G129" s="35" t="n">
        <f aca="false">IFERROR(SUMPRODUCT((DADOS!$D$2:$D$426=$A129)*(DADOS!$C$2:$C$426=$B129)*DADOS!$G$2:$G$426*DADOS!$K$2:$K$426)/$C129,0)</f>
        <v>0</v>
      </c>
      <c r="H129" s="34" t="n">
        <f aca="false">SUMIFS(DADOS!$G$2:$G$426,DADOS!$D$2:$D$426,$A129,DADOS!$C$2:$C$426,$B129,DADOS!$E$2:$E$426,"Rodo")</f>
        <v>0</v>
      </c>
      <c r="I129" s="34" t="n">
        <f aca="false">SUMIFS(DADOS!$G$2:$G$426,DADOS!$D$2:$D$426,$A129,DADOS!$C$2:$C$426,$B129,DADOS!$E$2:$E$426,"Ferro")</f>
        <v>0</v>
      </c>
    </row>
    <row r="130" customFormat="false" ht="15" hidden="false" customHeight="false" outlineLevel="0" collapsed="false">
      <c r="A130" s="27" t="s">
        <v>49</v>
      </c>
      <c r="B130" s="27" t="s">
        <v>66</v>
      </c>
      <c r="C130" s="34" t="n">
        <f aca="false">SUMIFS(DADOS!$G$2:$G$426,DADOS!$D$2:$D$426,$A130,DADOS!$C$2:$C$426,$B130)</f>
        <v>0</v>
      </c>
      <c r="D130" s="35" t="n">
        <f aca="false">IFERROR(SUMPRODUCT((DADOS!$D$2:$D$426=$A130)*(DADOS!$C$2:$C$426=$B130)*DADOS!$G$2:$G$426*DADOS!$H$2:$H$426)/$C130,0)</f>
        <v>0</v>
      </c>
      <c r="E130" s="35" t="n">
        <f aca="false">IFERROR(SUMPRODUCT((DADOS!$D$2:$D$426=$A130)*(DADOS!$C$2:$C$426=$B130)*DADOS!$G$2:$G$426*DADOS!$I$2:$I$426)/$C130,0)</f>
        <v>0</v>
      </c>
      <c r="F130" s="35" t="n">
        <f aca="false">IFERROR(SUMPRODUCT((DADOS!$D$2:$D$426=$A130)*(DADOS!$C$2:$C$426=$B130)*DADOS!$G$2:$G$426*DADOS!$J$2:$J$426)/$C130,0)</f>
        <v>0</v>
      </c>
      <c r="G130" s="35" t="n">
        <f aca="false">IFERROR(SUMPRODUCT((DADOS!$D$2:$D$426=$A130)*(DADOS!$C$2:$C$426=$B130)*DADOS!$G$2:$G$426*DADOS!$K$2:$K$426)/$C130,0)</f>
        <v>0</v>
      </c>
      <c r="H130" s="34" t="n">
        <f aca="false">SUMIFS(DADOS!$G$2:$G$426,DADOS!$D$2:$D$426,$A130,DADOS!$C$2:$C$426,$B130,DADOS!$E$2:$E$426,"Rodo")</f>
        <v>0</v>
      </c>
      <c r="I130" s="34" t="n">
        <f aca="false">SUMIFS(DADOS!$G$2:$G$426,DADOS!$D$2:$D$426,$A130,DADOS!$C$2:$C$426,$B130,DADOS!$E$2:$E$426,"Ferro")</f>
        <v>0</v>
      </c>
    </row>
    <row r="131" customFormat="false" ht="15" hidden="false" customHeight="false" outlineLevel="0" collapsed="false">
      <c r="A131" s="27" t="s">
        <v>49</v>
      </c>
      <c r="B131" s="27" t="s">
        <v>67</v>
      </c>
      <c r="C131" s="34" t="n">
        <f aca="false">SUMIFS(DADOS!$G$2:$G$426,DADOS!$D$2:$D$426,$A131,DADOS!$C$2:$C$426,$B131)</f>
        <v>0</v>
      </c>
      <c r="D131" s="35" t="n">
        <f aca="false">IFERROR(SUMPRODUCT((DADOS!$D$2:$D$426=$A131)*(DADOS!$C$2:$C$426=$B131)*DADOS!$G$2:$G$426*DADOS!$H$2:$H$426)/$C131,0)</f>
        <v>0</v>
      </c>
      <c r="E131" s="35" t="n">
        <f aca="false">IFERROR(SUMPRODUCT((DADOS!$D$2:$D$426=$A131)*(DADOS!$C$2:$C$426=$B131)*DADOS!$G$2:$G$426*DADOS!$I$2:$I$426)/$C131,0)</f>
        <v>0</v>
      </c>
      <c r="F131" s="35" t="n">
        <f aca="false">IFERROR(SUMPRODUCT((DADOS!$D$2:$D$426=$A131)*(DADOS!$C$2:$C$426=$B131)*DADOS!$G$2:$G$426*DADOS!$J$2:$J$426)/$C131,0)</f>
        <v>0</v>
      </c>
      <c r="G131" s="35" t="n">
        <f aca="false">IFERROR(SUMPRODUCT((DADOS!$D$2:$D$426=$A131)*(DADOS!$C$2:$C$426=$B131)*DADOS!$G$2:$G$426*DADOS!$K$2:$K$426)/$C131,0)</f>
        <v>0</v>
      </c>
      <c r="H131" s="34" t="n">
        <f aca="false">SUMIFS(DADOS!$G$2:$G$426,DADOS!$D$2:$D$426,$A131,DADOS!$C$2:$C$426,$B131,DADOS!$E$2:$E$426,"Rodo")</f>
        <v>0</v>
      </c>
      <c r="I131" s="34" t="n">
        <f aca="false">SUMIFS(DADOS!$G$2:$G$426,DADOS!$D$2:$D$426,$A131,DADOS!$C$2:$C$426,$B131,DADOS!$E$2:$E$426,"Ferro")</f>
        <v>0</v>
      </c>
    </row>
    <row r="132" customFormat="false" ht="15" hidden="false" customHeight="false" outlineLevel="0" collapsed="false">
      <c r="A132" s="27" t="s">
        <v>49</v>
      </c>
      <c r="B132" s="27" t="s">
        <v>68</v>
      </c>
      <c r="C132" s="34" t="n">
        <f aca="false">SUMIFS(DADOS!$G$2:$G$426,DADOS!$D$2:$D$426,$A132,DADOS!$C$2:$C$426,$B132)</f>
        <v>0</v>
      </c>
      <c r="D132" s="35" t="n">
        <f aca="false">IFERROR(SUMPRODUCT((DADOS!$D$2:$D$426=$A132)*(DADOS!$C$2:$C$426=$B132)*DADOS!$G$2:$G$426*DADOS!$H$2:$H$426)/$C132,0)</f>
        <v>0</v>
      </c>
      <c r="E132" s="35" t="n">
        <f aca="false">IFERROR(SUMPRODUCT((DADOS!$D$2:$D$426=$A132)*(DADOS!$C$2:$C$426=$B132)*DADOS!$G$2:$G$426*DADOS!$I$2:$I$426)/$C132,0)</f>
        <v>0</v>
      </c>
      <c r="F132" s="35" t="n">
        <f aca="false">IFERROR(SUMPRODUCT((DADOS!$D$2:$D$426=$A132)*(DADOS!$C$2:$C$426=$B132)*DADOS!$G$2:$G$426*DADOS!$J$2:$J$426)/$C132,0)</f>
        <v>0</v>
      </c>
      <c r="G132" s="35" t="n">
        <f aca="false">IFERROR(SUMPRODUCT((DADOS!$D$2:$D$426=$A132)*(DADOS!$C$2:$C$426=$B132)*DADOS!$G$2:$G$426*DADOS!$K$2:$K$426)/$C132,0)</f>
        <v>0</v>
      </c>
      <c r="H132" s="34" t="n">
        <f aca="false">SUMIFS(DADOS!$G$2:$G$426,DADOS!$D$2:$D$426,$A132,DADOS!$C$2:$C$426,$B132,DADOS!$E$2:$E$426,"Rodo")</f>
        <v>0</v>
      </c>
      <c r="I132" s="34" t="n">
        <f aca="false">SUMIFS(DADOS!$G$2:$G$426,DADOS!$D$2:$D$426,$A132,DADOS!$C$2:$C$426,$B132,DADOS!$E$2:$E$426,"Ferro")</f>
        <v>0</v>
      </c>
    </row>
    <row r="133" customFormat="false" ht="15" hidden="false" customHeight="false" outlineLevel="0" collapsed="false">
      <c r="A133" s="27" t="s">
        <v>49</v>
      </c>
      <c r="B133" s="27" t="s">
        <v>69</v>
      </c>
      <c r="C133" s="34" t="n">
        <f aca="false">SUMIFS(DADOS!$G$2:$G$426,DADOS!$D$2:$D$426,$A133,DADOS!$C$2:$C$426,$B133)</f>
        <v>0</v>
      </c>
      <c r="D133" s="35" t="n">
        <f aca="false">IFERROR(SUMPRODUCT((DADOS!$D$2:$D$426=$A133)*(DADOS!$C$2:$C$426=$B133)*DADOS!$G$2:$G$426*DADOS!$H$2:$H$426)/$C133,0)</f>
        <v>0</v>
      </c>
      <c r="E133" s="35" t="n">
        <f aca="false">IFERROR(SUMPRODUCT((DADOS!$D$2:$D$426=$A133)*(DADOS!$C$2:$C$426=$B133)*DADOS!$G$2:$G$426*DADOS!$I$2:$I$426)/$C133,0)</f>
        <v>0</v>
      </c>
      <c r="F133" s="35" t="n">
        <f aca="false">IFERROR(SUMPRODUCT((DADOS!$D$2:$D$426=$A133)*(DADOS!$C$2:$C$426=$B133)*DADOS!$G$2:$G$426*DADOS!$J$2:$J$426)/$C133,0)</f>
        <v>0</v>
      </c>
      <c r="G133" s="35" t="n">
        <f aca="false">IFERROR(SUMPRODUCT((DADOS!$D$2:$D$426=$A133)*(DADOS!$C$2:$C$426=$B133)*DADOS!$G$2:$G$426*DADOS!$K$2:$K$426)/$C133,0)</f>
        <v>0</v>
      </c>
      <c r="H133" s="34" t="n">
        <f aca="false">SUMIFS(DADOS!$G$2:$G$426,DADOS!$D$2:$D$426,$A133,DADOS!$C$2:$C$426,$B133,DADOS!$E$2:$E$426,"Rodo")</f>
        <v>0</v>
      </c>
      <c r="I133" s="34" t="n">
        <f aca="false">SUMIFS(DADOS!$G$2:$G$426,DADOS!$D$2:$D$426,$A133,DADOS!$C$2:$C$426,$B133,DADOS!$E$2:$E$426,"Ferro")</f>
        <v>0</v>
      </c>
    </row>
    <row r="134" customFormat="false" ht="15" hidden="false" customHeight="false" outlineLevel="0" collapsed="false">
      <c r="A134" s="27" t="s">
        <v>50</v>
      </c>
      <c r="B134" s="27" t="s">
        <v>38</v>
      </c>
      <c r="C134" s="34" t="n">
        <f aca="false">SUMIFS(DADOS!$G$2:$G$426,DADOS!$D$2:$D$426,$A134,DADOS!$C$2:$C$426,$B134)</f>
        <v>0</v>
      </c>
      <c r="D134" s="35" t="n">
        <f aca="false">IFERROR(SUMPRODUCT((DADOS!$D$2:$D$426=$A134)*(DADOS!$C$2:$C$426=$B134)*DADOS!$G$2:$G$426*DADOS!$H$2:$H$426)/$C134,0)</f>
        <v>0</v>
      </c>
      <c r="E134" s="35" t="n">
        <f aca="false">IFERROR(SUMPRODUCT((DADOS!$D$2:$D$426=$A134)*(DADOS!$C$2:$C$426=$B134)*DADOS!$G$2:$G$426*DADOS!$I$2:$I$426)/$C134,0)</f>
        <v>0</v>
      </c>
      <c r="F134" s="35" t="n">
        <f aca="false">IFERROR(SUMPRODUCT((DADOS!$D$2:$D$426=$A134)*(DADOS!$C$2:$C$426=$B134)*DADOS!$G$2:$G$426*DADOS!$J$2:$J$426)/$C134,0)</f>
        <v>0</v>
      </c>
      <c r="G134" s="35" t="n">
        <f aca="false">IFERROR(SUMPRODUCT((DADOS!$D$2:$D$426=$A134)*(DADOS!$C$2:$C$426=$B134)*DADOS!$G$2:$G$426*DADOS!$K$2:$K$426)/$C134,0)</f>
        <v>0</v>
      </c>
      <c r="H134" s="34" t="n">
        <f aca="false">SUMIFS(DADOS!$G$2:$G$426,DADOS!$D$2:$D$426,$A134,DADOS!$C$2:$C$426,$B134,DADOS!$E$2:$E$426,"Rodo")</f>
        <v>0</v>
      </c>
      <c r="I134" s="34" t="n">
        <f aca="false">SUMIFS(DADOS!$G$2:$G$426,DADOS!$D$2:$D$426,$A134,DADOS!$C$2:$C$426,$B134,DADOS!$E$2:$E$426,"Ferro")</f>
        <v>0</v>
      </c>
    </row>
    <row r="135" customFormat="false" ht="15" hidden="false" customHeight="false" outlineLevel="0" collapsed="false">
      <c r="A135" s="27" t="s">
        <v>50</v>
      </c>
      <c r="B135" s="27" t="s">
        <v>59</v>
      </c>
      <c r="C135" s="34" t="n">
        <f aca="false">SUMIFS(DADOS!$G$2:$G$426,DADOS!$D$2:$D$426,$A135,DADOS!$C$2:$C$426,$B135)</f>
        <v>0</v>
      </c>
      <c r="D135" s="35" t="n">
        <f aca="false">IFERROR(SUMPRODUCT((DADOS!$D$2:$D$426=$A135)*(DADOS!$C$2:$C$426=$B135)*DADOS!$G$2:$G$426*DADOS!$H$2:$H$426)/$C135,0)</f>
        <v>0</v>
      </c>
      <c r="E135" s="35" t="n">
        <f aca="false">IFERROR(SUMPRODUCT((DADOS!$D$2:$D$426=$A135)*(DADOS!$C$2:$C$426=$B135)*DADOS!$G$2:$G$426*DADOS!$I$2:$I$426)/$C135,0)</f>
        <v>0</v>
      </c>
      <c r="F135" s="35" t="n">
        <f aca="false">IFERROR(SUMPRODUCT((DADOS!$D$2:$D$426=$A135)*(DADOS!$C$2:$C$426=$B135)*DADOS!$G$2:$G$426*DADOS!$J$2:$J$426)/$C135,0)</f>
        <v>0</v>
      </c>
      <c r="G135" s="35" t="n">
        <f aca="false">IFERROR(SUMPRODUCT((DADOS!$D$2:$D$426=$A135)*(DADOS!$C$2:$C$426=$B135)*DADOS!$G$2:$G$426*DADOS!$K$2:$K$426)/$C135,0)</f>
        <v>0</v>
      </c>
      <c r="H135" s="34" t="n">
        <f aca="false">SUMIFS(DADOS!$G$2:$G$426,DADOS!$D$2:$D$426,$A135,DADOS!$C$2:$C$426,$B135,DADOS!$E$2:$E$426,"Rodo")</f>
        <v>0</v>
      </c>
      <c r="I135" s="34" t="n">
        <f aca="false">SUMIFS(DADOS!$G$2:$G$426,DADOS!$D$2:$D$426,$A135,DADOS!$C$2:$C$426,$B135,DADOS!$E$2:$E$426,"Ferro")</f>
        <v>0</v>
      </c>
    </row>
    <row r="136" customFormat="false" ht="15" hidden="false" customHeight="false" outlineLevel="0" collapsed="false">
      <c r="A136" s="27" t="s">
        <v>50</v>
      </c>
      <c r="B136" s="27" t="s">
        <v>60</v>
      </c>
      <c r="C136" s="34" t="n">
        <f aca="false">SUMIFS(DADOS!$G$2:$G$426,DADOS!$D$2:$D$426,$A136,DADOS!$C$2:$C$426,$B136)</f>
        <v>0</v>
      </c>
      <c r="D136" s="35" t="n">
        <f aca="false">IFERROR(SUMPRODUCT((DADOS!$D$2:$D$426=$A136)*(DADOS!$C$2:$C$426=$B136)*DADOS!$G$2:$G$426*DADOS!$H$2:$H$426)/$C136,0)</f>
        <v>0</v>
      </c>
      <c r="E136" s="35" t="n">
        <f aca="false">IFERROR(SUMPRODUCT((DADOS!$D$2:$D$426=$A136)*(DADOS!$C$2:$C$426=$B136)*DADOS!$G$2:$G$426*DADOS!$I$2:$I$426)/$C136,0)</f>
        <v>0</v>
      </c>
      <c r="F136" s="35" t="n">
        <f aca="false">IFERROR(SUMPRODUCT((DADOS!$D$2:$D$426=$A136)*(DADOS!$C$2:$C$426=$B136)*DADOS!$G$2:$G$426*DADOS!$J$2:$J$426)/$C136,0)</f>
        <v>0</v>
      </c>
      <c r="G136" s="35" t="n">
        <f aca="false">IFERROR(SUMPRODUCT((DADOS!$D$2:$D$426=$A136)*(DADOS!$C$2:$C$426=$B136)*DADOS!$G$2:$G$426*DADOS!$K$2:$K$426)/$C136,0)</f>
        <v>0</v>
      </c>
      <c r="H136" s="34" t="n">
        <f aca="false">SUMIFS(DADOS!$G$2:$G$426,DADOS!$D$2:$D$426,$A136,DADOS!$C$2:$C$426,$B136,DADOS!$E$2:$E$426,"Rodo")</f>
        <v>0</v>
      </c>
      <c r="I136" s="34" t="n">
        <f aca="false">SUMIFS(DADOS!$G$2:$G$426,DADOS!$D$2:$D$426,$A136,DADOS!$C$2:$C$426,$B136,DADOS!$E$2:$E$426,"Ferro")</f>
        <v>0</v>
      </c>
    </row>
    <row r="137" customFormat="false" ht="15" hidden="false" customHeight="false" outlineLevel="0" collapsed="false">
      <c r="A137" s="27" t="s">
        <v>50</v>
      </c>
      <c r="B137" s="27" t="s">
        <v>61</v>
      </c>
      <c r="C137" s="34" t="n">
        <f aca="false">SUMIFS(DADOS!$G$2:$G$426,DADOS!$D$2:$D$426,$A137,DADOS!$C$2:$C$426,$B137)</f>
        <v>0</v>
      </c>
      <c r="D137" s="35" t="n">
        <f aca="false">IFERROR(SUMPRODUCT((DADOS!$D$2:$D$426=$A137)*(DADOS!$C$2:$C$426=$B137)*DADOS!$G$2:$G$426*DADOS!$H$2:$H$426)/$C137,0)</f>
        <v>0</v>
      </c>
      <c r="E137" s="35" t="n">
        <f aca="false">IFERROR(SUMPRODUCT((DADOS!$D$2:$D$426=$A137)*(DADOS!$C$2:$C$426=$B137)*DADOS!$G$2:$G$426*DADOS!$I$2:$I$426)/$C137,0)</f>
        <v>0</v>
      </c>
      <c r="F137" s="35" t="n">
        <f aca="false">IFERROR(SUMPRODUCT((DADOS!$D$2:$D$426=$A137)*(DADOS!$C$2:$C$426=$B137)*DADOS!$G$2:$G$426*DADOS!$J$2:$J$426)/$C137,0)</f>
        <v>0</v>
      </c>
      <c r="G137" s="35" t="n">
        <f aca="false">IFERROR(SUMPRODUCT((DADOS!$D$2:$D$426=$A137)*(DADOS!$C$2:$C$426=$B137)*DADOS!$G$2:$G$426*DADOS!$K$2:$K$426)/$C137,0)</f>
        <v>0</v>
      </c>
      <c r="H137" s="34" t="n">
        <f aca="false">SUMIFS(DADOS!$G$2:$G$426,DADOS!$D$2:$D$426,$A137,DADOS!$C$2:$C$426,$B137,DADOS!$E$2:$E$426,"Rodo")</f>
        <v>0</v>
      </c>
      <c r="I137" s="34" t="n">
        <f aca="false">SUMIFS(DADOS!$G$2:$G$426,DADOS!$D$2:$D$426,$A137,DADOS!$C$2:$C$426,$B137,DADOS!$E$2:$E$426,"Ferro")</f>
        <v>0</v>
      </c>
    </row>
    <row r="138" customFormat="false" ht="15" hidden="false" customHeight="false" outlineLevel="0" collapsed="false">
      <c r="A138" s="27" t="s">
        <v>50</v>
      </c>
      <c r="B138" s="27" t="s">
        <v>62</v>
      </c>
      <c r="C138" s="34" t="n">
        <f aca="false">SUMIFS(DADOS!$G$2:$G$426,DADOS!$D$2:$D$426,$A138,DADOS!$C$2:$C$426,$B138)</f>
        <v>0</v>
      </c>
      <c r="D138" s="35" t="n">
        <f aca="false">IFERROR(SUMPRODUCT((DADOS!$D$2:$D$426=$A138)*(DADOS!$C$2:$C$426=$B138)*DADOS!$G$2:$G$426*DADOS!$H$2:$H$426)/$C138,0)</f>
        <v>0</v>
      </c>
      <c r="E138" s="35" t="n">
        <f aca="false">IFERROR(SUMPRODUCT((DADOS!$D$2:$D$426=$A138)*(DADOS!$C$2:$C$426=$B138)*DADOS!$G$2:$G$426*DADOS!$I$2:$I$426)/$C138,0)</f>
        <v>0</v>
      </c>
      <c r="F138" s="35" t="n">
        <f aca="false">IFERROR(SUMPRODUCT((DADOS!$D$2:$D$426=$A138)*(DADOS!$C$2:$C$426=$B138)*DADOS!$G$2:$G$426*DADOS!$J$2:$J$426)/$C138,0)</f>
        <v>0</v>
      </c>
      <c r="G138" s="35" t="n">
        <f aca="false">IFERROR(SUMPRODUCT((DADOS!$D$2:$D$426=$A138)*(DADOS!$C$2:$C$426=$B138)*DADOS!$G$2:$G$426*DADOS!$K$2:$K$426)/$C138,0)</f>
        <v>0</v>
      </c>
      <c r="H138" s="34" t="n">
        <f aca="false">SUMIFS(DADOS!$G$2:$G$426,DADOS!$D$2:$D$426,$A138,DADOS!$C$2:$C$426,$B138,DADOS!$E$2:$E$426,"Rodo")</f>
        <v>0</v>
      </c>
      <c r="I138" s="34" t="n">
        <f aca="false">SUMIFS(DADOS!$G$2:$G$426,DADOS!$D$2:$D$426,$A138,DADOS!$C$2:$C$426,$B138,DADOS!$E$2:$E$426,"Ferro")</f>
        <v>0</v>
      </c>
    </row>
    <row r="139" customFormat="false" ht="15" hidden="false" customHeight="false" outlineLevel="0" collapsed="false">
      <c r="A139" s="27" t="s">
        <v>50</v>
      </c>
      <c r="B139" s="27" t="s">
        <v>63</v>
      </c>
      <c r="C139" s="34" t="n">
        <f aca="false">SUMIFS(DADOS!$G$2:$G$426,DADOS!$D$2:$D$426,$A139,DADOS!$C$2:$C$426,$B139)</f>
        <v>0</v>
      </c>
      <c r="D139" s="35" t="n">
        <f aca="false">IFERROR(SUMPRODUCT((DADOS!$D$2:$D$426=$A139)*(DADOS!$C$2:$C$426=$B139)*DADOS!$G$2:$G$426*DADOS!$H$2:$H$426)/$C139,0)</f>
        <v>0</v>
      </c>
      <c r="E139" s="35" t="n">
        <f aca="false">IFERROR(SUMPRODUCT((DADOS!$D$2:$D$426=$A139)*(DADOS!$C$2:$C$426=$B139)*DADOS!$G$2:$G$426*DADOS!$I$2:$I$426)/$C139,0)</f>
        <v>0</v>
      </c>
      <c r="F139" s="35" t="n">
        <f aca="false">IFERROR(SUMPRODUCT((DADOS!$D$2:$D$426=$A139)*(DADOS!$C$2:$C$426=$B139)*DADOS!$G$2:$G$426*DADOS!$J$2:$J$426)/$C139,0)</f>
        <v>0</v>
      </c>
      <c r="G139" s="35" t="n">
        <f aca="false">IFERROR(SUMPRODUCT((DADOS!$D$2:$D$426=$A139)*(DADOS!$C$2:$C$426=$B139)*DADOS!$G$2:$G$426*DADOS!$K$2:$K$426)/$C139,0)</f>
        <v>0</v>
      </c>
      <c r="H139" s="34" t="n">
        <f aca="false">SUMIFS(DADOS!$G$2:$G$426,DADOS!$D$2:$D$426,$A139,DADOS!$C$2:$C$426,$B139,DADOS!$E$2:$E$426,"Rodo")</f>
        <v>0</v>
      </c>
      <c r="I139" s="34" t="n">
        <f aca="false">SUMIFS(DADOS!$G$2:$G$426,DADOS!$D$2:$D$426,$A139,DADOS!$C$2:$C$426,$B139,DADOS!$E$2:$E$426,"Ferro")</f>
        <v>0</v>
      </c>
    </row>
    <row r="140" customFormat="false" ht="15" hidden="false" customHeight="false" outlineLevel="0" collapsed="false">
      <c r="A140" s="27" t="s">
        <v>50</v>
      </c>
      <c r="B140" s="27" t="s">
        <v>64</v>
      </c>
      <c r="C140" s="34" t="n">
        <f aca="false">SUMIFS(DADOS!$G$2:$G$426,DADOS!$D$2:$D$426,$A140,DADOS!$C$2:$C$426,$B140)</f>
        <v>0</v>
      </c>
      <c r="D140" s="35" t="n">
        <f aca="false">IFERROR(SUMPRODUCT((DADOS!$D$2:$D$426=$A140)*(DADOS!$C$2:$C$426=$B140)*DADOS!$G$2:$G$426*DADOS!$H$2:$H$426)/$C140,0)</f>
        <v>0</v>
      </c>
      <c r="E140" s="35" t="n">
        <f aca="false">IFERROR(SUMPRODUCT((DADOS!$D$2:$D$426=$A140)*(DADOS!$C$2:$C$426=$B140)*DADOS!$G$2:$G$426*DADOS!$I$2:$I$426)/$C140,0)</f>
        <v>0</v>
      </c>
      <c r="F140" s="35" t="n">
        <f aca="false">IFERROR(SUMPRODUCT((DADOS!$D$2:$D$426=$A140)*(DADOS!$C$2:$C$426=$B140)*DADOS!$G$2:$G$426*DADOS!$J$2:$J$426)/$C140,0)</f>
        <v>0</v>
      </c>
      <c r="G140" s="35" t="n">
        <f aca="false">IFERROR(SUMPRODUCT((DADOS!$D$2:$D$426=$A140)*(DADOS!$C$2:$C$426=$B140)*DADOS!$G$2:$G$426*DADOS!$K$2:$K$426)/$C140,0)</f>
        <v>0</v>
      </c>
      <c r="H140" s="34" t="n">
        <f aca="false">SUMIFS(DADOS!$G$2:$G$426,DADOS!$D$2:$D$426,$A140,DADOS!$C$2:$C$426,$B140,DADOS!$E$2:$E$426,"Rodo")</f>
        <v>0</v>
      </c>
      <c r="I140" s="34" t="n">
        <f aca="false">SUMIFS(DADOS!$G$2:$G$426,DADOS!$D$2:$D$426,$A140,DADOS!$C$2:$C$426,$B140,DADOS!$E$2:$E$426,"Ferro")</f>
        <v>0</v>
      </c>
    </row>
    <row r="141" customFormat="false" ht="15" hidden="false" customHeight="false" outlineLevel="0" collapsed="false">
      <c r="A141" s="27" t="s">
        <v>50</v>
      </c>
      <c r="B141" s="27" t="s">
        <v>65</v>
      </c>
      <c r="C141" s="34" t="n">
        <f aca="false">SUMIFS(DADOS!$G$2:$G$426,DADOS!$D$2:$D$426,$A141,DADOS!$C$2:$C$426,$B141)</f>
        <v>0</v>
      </c>
      <c r="D141" s="35" t="n">
        <f aca="false">IFERROR(SUMPRODUCT((DADOS!$D$2:$D$426=$A141)*(DADOS!$C$2:$C$426=$B141)*DADOS!$G$2:$G$426*DADOS!$H$2:$H$426)/$C141,0)</f>
        <v>0</v>
      </c>
      <c r="E141" s="35" t="n">
        <f aca="false">IFERROR(SUMPRODUCT((DADOS!$D$2:$D$426=$A141)*(DADOS!$C$2:$C$426=$B141)*DADOS!$G$2:$G$426*DADOS!$I$2:$I$426)/$C141,0)</f>
        <v>0</v>
      </c>
      <c r="F141" s="35" t="n">
        <f aca="false">IFERROR(SUMPRODUCT((DADOS!$D$2:$D$426=$A141)*(DADOS!$C$2:$C$426=$B141)*DADOS!$G$2:$G$426*DADOS!$J$2:$J$426)/$C141,0)</f>
        <v>0</v>
      </c>
      <c r="G141" s="35" t="n">
        <f aca="false">IFERROR(SUMPRODUCT((DADOS!$D$2:$D$426=$A141)*(DADOS!$C$2:$C$426=$B141)*DADOS!$G$2:$G$426*DADOS!$K$2:$K$426)/$C141,0)</f>
        <v>0</v>
      </c>
      <c r="H141" s="34" t="n">
        <f aca="false">SUMIFS(DADOS!$G$2:$G$426,DADOS!$D$2:$D$426,$A141,DADOS!$C$2:$C$426,$B141,DADOS!$E$2:$E$426,"Rodo")</f>
        <v>0</v>
      </c>
      <c r="I141" s="34" t="n">
        <f aca="false">SUMIFS(DADOS!$G$2:$G$426,DADOS!$D$2:$D$426,$A141,DADOS!$C$2:$C$426,$B141,DADOS!$E$2:$E$426,"Ferro")</f>
        <v>0</v>
      </c>
    </row>
    <row r="142" customFormat="false" ht="15" hidden="false" customHeight="false" outlineLevel="0" collapsed="false">
      <c r="A142" s="27" t="s">
        <v>50</v>
      </c>
      <c r="B142" s="27" t="s">
        <v>66</v>
      </c>
      <c r="C142" s="34" t="n">
        <f aca="false">SUMIFS(DADOS!$G$2:$G$426,DADOS!$D$2:$D$426,$A142,DADOS!$C$2:$C$426,$B142)</f>
        <v>0</v>
      </c>
      <c r="D142" s="35" t="n">
        <f aca="false">IFERROR(SUMPRODUCT((DADOS!$D$2:$D$426=$A142)*(DADOS!$C$2:$C$426=$B142)*DADOS!$G$2:$G$426*DADOS!$H$2:$H$426)/$C142,0)</f>
        <v>0</v>
      </c>
      <c r="E142" s="35" t="n">
        <f aca="false">IFERROR(SUMPRODUCT((DADOS!$D$2:$D$426=$A142)*(DADOS!$C$2:$C$426=$B142)*DADOS!$G$2:$G$426*DADOS!$I$2:$I$426)/$C142,0)</f>
        <v>0</v>
      </c>
      <c r="F142" s="35" t="n">
        <f aca="false">IFERROR(SUMPRODUCT((DADOS!$D$2:$D$426=$A142)*(DADOS!$C$2:$C$426=$B142)*DADOS!$G$2:$G$426*DADOS!$J$2:$J$426)/$C142,0)</f>
        <v>0</v>
      </c>
      <c r="G142" s="35" t="n">
        <f aca="false">IFERROR(SUMPRODUCT((DADOS!$D$2:$D$426=$A142)*(DADOS!$C$2:$C$426=$B142)*DADOS!$G$2:$G$426*DADOS!$K$2:$K$426)/$C142,0)</f>
        <v>0</v>
      </c>
      <c r="H142" s="34" t="n">
        <f aca="false">SUMIFS(DADOS!$G$2:$G$426,DADOS!$D$2:$D$426,$A142,DADOS!$C$2:$C$426,$B142,DADOS!$E$2:$E$426,"Rodo")</f>
        <v>0</v>
      </c>
      <c r="I142" s="34" t="n">
        <f aca="false">SUMIFS(DADOS!$G$2:$G$426,DADOS!$D$2:$D$426,$A142,DADOS!$C$2:$C$426,$B142,DADOS!$E$2:$E$426,"Ferro")</f>
        <v>0</v>
      </c>
    </row>
    <row r="143" customFormat="false" ht="15" hidden="false" customHeight="false" outlineLevel="0" collapsed="false">
      <c r="A143" s="27" t="s">
        <v>50</v>
      </c>
      <c r="B143" s="27" t="s">
        <v>67</v>
      </c>
      <c r="C143" s="34" t="n">
        <f aca="false">SUMIFS(DADOS!$G$2:$G$426,DADOS!$D$2:$D$426,$A143,DADOS!$C$2:$C$426,$B143)</f>
        <v>0</v>
      </c>
      <c r="D143" s="35" t="n">
        <f aca="false">IFERROR(SUMPRODUCT((DADOS!$D$2:$D$426=$A143)*(DADOS!$C$2:$C$426=$B143)*DADOS!$G$2:$G$426*DADOS!$H$2:$H$426)/$C143,0)</f>
        <v>0</v>
      </c>
      <c r="E143" s="35" t="n">
        <f aca="false">IFERROR(SUMPRODUCT((DADOS!$D$2:$D$426=$A143)*(DADOS!$C$2:$C$426=$B143)*DADOS!$G$2:$G$426*DADOS!$I$2:$I$426)/$C143,0)</f>
        <v>0</v>
      </c>
      <c r="F143" s="35" t="n">
        <f aca="false">IFERROR(SUMPRODUCT((DADOS!$D$2:$D$426=$A143)*(DADOS!$C$2:$C$426=$B143)*DADOS!$G$2:$G$426*DADOS!$J$2:$J$426)/$C143,0)</f>
        <v>0</v>
      </c>
      <c r="G143" s="35" t="n">
        <f aca="false">IFERROR(SUMPRODUCT((DADOS!$D$2:$D$426=$A143)*(DADOS!$C$2:$C$426=$B143)*DADOS!$G$2:$G$426*DADOS!$K$2:$K$426)/$C143,0)</f>
        <v>0</v>
      </c>
      <c r="H143" s="34" t="n">
        <f aca="false">SUMIFS(DADOS!$G$2:$G$426,DADOS!$D$2:$D$426,$A143,DADOS!$C$2:$C$426,$B143,DADOS!$E$2:$E$426,"Rodo")</f>
        <v>0</v>
      </c>
      <c r="I143" s="34" t="n">
        <f aca="false">SUMIFS(DADOS!$G$2:$G$426,DADOS!$D$2:$D$426,$A143,DADOS!$C$2:$C$426,$B143,DADOS!$E$2:$E$426,"Ferro")</f>
        <v>0</v>
      </c>
    </row>
    <row r="144" customFormat="false" ht="15" hidden="false" customHeight="false" outlineLevel="0" collapsed="false">
      <c r="A144" s="27" t="s">
        <v>50</v>
      </c>
      <c r="B144" s="27" t="s">
        <v>68</v>
      </c>
      <c r="C144" s="34" t="n">
        <f aca="false">SUMIFS(DADOS!$G$2:$G$426,DADOS!$D$2:$D$426,$A144,DADOS!$C$2:$C$426,$B144)</f>
        <v>0</v>
      </c>
      <c r="D144" s="35" t="n">
        <f aca="false">IFERROR(SUMPRODUCT((DADOS!$D$2:$D$426=$A144)*(DADOS!$C$2:$C$426=$B144)*DADOS!$G$2:$G$426*DADOS!$H$2:$H$426)/$C144,0)</f>
        <v>0</v>
      </c>
      <c r="E144" s="35" t="n">
        <f aca="false">IFERROR(SUMPRODUCT((DADOS!$D$2:$D$426=$A144)*(DADOS!$C$2:$C$426=$B144)*DADOS!$G$2:$G$426*DADOS!$I$2:$I$426)/$C144,0)</f>
        <v>0</v>
      </c>
      <c r="F144" s="35" t="n">
        <f aca="false">IFERROR(SUMPRODUCT((DADOS!$D$2:$D$426=$A144)*(DADOS!$C$2:$C$426=$B144)*DADOS!$G$2:$G$426*DADOS!$J$2:$J$426)/$C144,0)</f>
        <v>0</v>
      </c>
      <c r="G144" s="35" t="n">
        <f aca="false">IFERROR(SUMPRODUCT((DADOS!$D$2:$D$426=$A144)*(DADOS!$C$2:$C$426=$B144)*DADOS!$G$2:$G$426*DADOS!$K$2:$K$426)/$C144,0)</f>
        <v>0</v>
      </c>
      <c r="H144" s="34" t="n">
        <f aca="false">SUMIFS(DADOS!$G$2:$G$426,DADOS!$D$2:$D$426,$A144,DADOS!$C$2:$C$426,$B144,DADOS!$E$2:$E$426,"Rodo")</f>
        <v>0</v>
      </c>
      <c r="I144" s="34" t="n">
        <f aca="false">SUMIFS(DADOS!$G$2:$G$426,DADOS!$D$2:$D$426,$A144,DADOS!$C$2:$C$426,$B144,DADOS!$E$2:$E$426,"Ferro")</f>
        <v>0</v>
      </c>
    </row>
    <row r="145" customFormat="false" ht="15" hidden="false" customHeight="false" outlineLevel="0" collapsed="false">
      <c r="A145" s="27" t="s">
        <v>50</v>
      </c>
      <c r="B145" s="27" t="s">
        <v>69</v>
      </c>
      <c r="C145" s="34" t="n">
        <f aca="false">SUMIFS(DADOS!$G$2:$G$426,DADOS!$D$2:$D$426,$A145,DADOS!$C$2:$C$426,$B145)</f>
        <v>0</v>
      </c>
      <c r="D145" s="35" t="n">
        <f aca="false">IFERROR(SUMPRODUCT((DADOS!$D$2:$D$426=$A145)*(DADOS!$C$2:$C$426=$B145)*DADOS!$G$2:$G$426*DADOS!$H$2:$H$426)/$C145,0)</f>
        <v>0</v>
      </c>
      <c r="E145" s="35" t="n">
        <f aca="false">IFERROR(SUMPRODUCT((DADOS!$D$2:$D$426=$A145)*(DADOS!$C$2:$C$426=$B145)*DADOS!$G$2:$G$426*DADOS!$I$2:$I$426)/$C145,0)</f>
        <v>0</v>
      </c>
      <c r="F145" s="35" t="n">
        <f aca="false">IFERROR(SUMPRODUCT((DADOS!$D$2:$D$426=$A145)*(DADOS!$C$2:$C$426=$B145)*DADOS!$G$2:$G$426*DADOS!$J$2:$J$426)/$C145,0)</f>
        <v>0</v>
      </c>
      <c r="G145" s="35" t="n">
        <f aca="false">IFERROR(SUMPRODUCT((DADOS!$D$2:$D$426=$A145)*(DADOS!$C$2:$C$426=$B145)*DADOS!$G$2:$G$426*DADOS!$K$2:$K$426)/$C145,0)</f>
        <v>0</v>
      </c>
      <c r="H145" s="34" t="n">
        <f aca="false">SUMIFS(DADOS!$G$2:$G$426,DADOS!$D$2:$D$426,$A145,DADOS!$C$2:$C$426,$B145,DADOS!$E$2:$E$426,"Rodo")</f>
        <v>0</v>
      </c>
      <c r="I145" s="34" t="n">
        <f aca="false">SUMIFS(DADOS!$G$2:$G$426,DADOS!$D$2:$D$426,$A145,DADOS!$C$2:$C$426,$B145,DADOS!$E$2:$E$426,"Ferro")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6" t="s">
        <v>86</v>
      </c>
      <c r="B1" s="26" t="s">
        <v>212</v>
      </c>
      <c r="C1" s="26" t="s">
        <v>213</v>
      </c>
      <c r="D1" s="26" t="s">
        <v>214</v>
      </c>
      <c r="E1" s="26" t="s">
        <v>215</v>
      </c>
    </row>
    <row r="2" customFormat="false" ht="15" hidden="false" customHeight="false" outlineLevel="0" collapsed="false">
      <c r="A2" s="27" t="s">
        <v>38</v>
      </c>
      <c r="B2" s="34" t="n">
        <f aca="false">SUMIF(Media_Cliente_Mes!$B$2:$B$145,$A2,Media_Cliente_Mes!$C$2:$C$145)</f>
        <v>263816.27</v>
      </c>
      <c r="C2" s="35" t="n">
        <f aca="false">IFERROR(SUMPRODUCT((Media_Cliente_Mes!$B$2:$B$145=$A2)*Media_Cliente_Mes!$C$2:$C$145*Media_Cliente_Mes!$D$2:$D$145)/$B2,"")</f>
        <v>47.8154367670349</v>
      </c>
      <c r="D2" s="35" t="n">
        <f aca="false">IFERROR(SUMPRODUCT((Media_Cliente_Mes!$B$2:$B$145=$A2)*Media_Cliente_Mes!$C$2:$C$145*Media_Cliente_Mes!$E$2:$E$145)/$B2,"")</f>
        <v>12.076727887935</v>
      </c>
      <c r="E2" s="35" t="n">
        <f aca="false">IFERROR(SUMPRODUCT((Media_Cliente_Mes!$B$2:$B$145=$A2)*Media_Cliente_Mes!$C$2:$C$145*Media_Cliente_Mes!$F$2:$F$145)/$B2,"")</f>
        <v>3.51752485295922</v>
      </c>
    </row>
    <row r="3" customFormat="false" ht="15" hidden="false" customHeight="false" outlineLevel="0" collapsed="false">
      <c r="A3" s="27" t="s">
        <v>59</v>
      </c>
      <c r="B3" s="34" t="n">
        <f aca="false">SUMIF(Media_Cliente_Mes!$B$2:$B$145,$A3,Media_Cliente_Mes!$C$2:$C$145)</f>
        <v>299216</v>
      </c>
      <c r="C3" s="35" t="n">
        <f aca="false">IFERROR(SUMPRODUCT((Media_Cliente_Mes!$B$2:$B$145=$A3)*Media_Cliente_Mes!$C$2:$C$145*Media_Cliente_Mes!$D$2:$D$145)/$B3,"")</f>
        <v>47.3405726705791</v>
      </c>
      <c r="D3" s="35" t="n">
        <f aca="false">IFERROR(SUMPRODUCT((Media_Cliente_Mes!$B$2:$B$145=$A3)*Media_Cliente_Mes!$C$2:$C$145*Media_Cliente_Mes!$E$2:$E$145)/$B3,"")</f>
        <v>12.2454829634779</v>
      </c>
      <c r="E3" s="35" t="n">
        <f aca="false">IFERROR(SUMPRODUCT((Media_Cliente_Mes!$B$2:$B$145=$A3)*Media_Cliente_Mes!$C$2:$C$145*Media_Cliente_Mes!$F$2:$F$145)/$B3,"")</f>
        <v>3.61845158781616</v>
      </c>
    </row>
    <row r="4" customFormat="false" ht="15" hidden="false" customHeight="false" outlineLevel="0" collapsed="false">
      <c r="A4" s="27" t="s">
        <v>60</v>
      </c>
      <c r="B4" s="34" t="n">
        <f aca="false">SUMIF(Media_Cliente_Mes!$B$2:$B$145,$A4,Media_Cliente_Mes!$C$2:$C$145)</f>
        <v>240729.22</v>
      </c>
      <c r="C4" s="35" t="n">
        <f aca="false">IFERROR(SUMPRODUCT((Media_Cliente_Mes!$B$2:$B$145=$A4)*Media_Cliente_Mes!$C$2:$C$145*Media_Cliente_Mes!$D$2:$D$145)/$B4,"")</f>
        <v>47.332231823374</v>
      </c>
      <c r="D4" s="35" t="n">
        <f aca="false">IFERROR(SUMPRODUCT((Media_Cliente_Mes!$B$2:$B$145=$A4)*Media_Cliente_Mes!$C$2:$C$145*Media_Cliente_Mes!$E$2:$E$145)/$B4,"")</f>
        <v>12.1740859181947</v>
      </c>
      <c r="E4" s="35" t="n">
        <f aca="false">IFERROR(SUMPRODUCT((Media_Cliente_Mes!$B$2:$B$145=$A4)*Media_Cliente_Mes!$C$2:$C$145*Media_Cliente_Mes!$F$2:$F$145)/$B4,"")</f>
        <v>3.70596068520473</v>
      </c>
    </row>
    <row r="5" customFormat="false" ht="15" hidden="false" customHeight="false" outlineLevel="0" collapsed="false">
      <c r="A5" s="27" t="s">
        <v>61</v>
      </c>
      <c r="B5" s="34" t="n">
        <f aca="false">SUMIF(Media_Cliente_Mes!$B$2:$B$145,$A5,Media_Cliente_Mes!$C$2:$C$145)</f>
        <v>358433.96</v>
      </c>
      <c r="C5" s="35" t="n">
        <f aca="false">IFERROR(SUMPRODUCT((Media_Cliente_Mes!$B$2:$B$145=$A5)*Media_Cliente_Mes!$C$2:$C$145*Media_Cliente_Mes!$D$2:$D$145)/$B5,"")</f>
        <v>47.5395057496784</v>
      </c>
      <c r="D5" s="35" t="n">
        <f aca="false">IFERROR(SUMPRODUCT((Media_Cliente_Mes!$B$2:$B$145=$A5)*Media_Cliente_Mes!$C$2:$C$145*Media_Cliente_Mes!$E$2:$E$145)/$B5,"")</f>
        <v>12.3606134360148</v>
      </c>
      <c r="E5" s="35" t="n">
        <f aca="false">IFERROR(SUMPRODUCT((Media_Cliente_Mes!$B$2:$B$145=$A5)*Media_Cliente_Mes!$C$2:$C$145*Media_Cliente_Mes!$F$2:$F$145)/$B5,"")</f>
        <v>3.66155636815217</v>
      </c>
    </row>
    <row r="6" customFormat="false" ht="15" hidden="false" customHeight="false" outlineLevel="0" collapsed="false">
      <c r="A6" s="27" t="s">
        <v>62</v>
      </c>
      <c r="B6" s="34" t="n">
        <f aca="false">SUMIF(Media_Cliente_Mes!$B$2:$B$145,$A6,Media_Cliente_Mes!$C$2:$C$145)</f>
        <v>290508.48</v>
      </c>
      <c r="C6" s="35" t="n">
        <f aca="false">IFERROR(SUMPRODUCT((Media_Cliente_Mes!$B$2:$B$145=$A6)*Media_Cliente_Mes!$C$2:$C$145*Media_Cliente_Mes!$D$2:$D$145)/$B6,"")</f>
        <v>47.6334614958572</v>
      </c>
      <c r="D6" s="35" t="n">
        <f aca="false">IFERROR(SUMPRODUCT((Media_Cliente_Mes!$B$2:$B$145=$A6)*Media_Cliente_Mes!$C$2:$C$145*Media_Cliente_Mes!$E$2:$E$145)/$B6,"")</f>
        <v>12.3121752562954</v>
      </c>
      <c r="E6" s="35" t="n">
        <f aca="false">IFERROR(SUMPRODUCT((Media_Cliente_Mes!$B$2:$B$145=$A6)*Media_Cliente_Mes!$C$2:$C$145*Media_Cliente_Mes!$F$2:$F$145)/$B6,"")</f>
        <v>3.64524916105719</v>
      </c>
    </row>
    <row r="7" customFormat="false" ht="15" hidden="false" customHeight="false" outlineLevel="0" collapsed="false">
      <c r="A7" s="27" t="s">
        <v>63</v>
      </c>
      <c r="B7" s="34" t="n">
        <f aca="false">SUMIF(Media_Cliente_Mes!$B$2:$B$145,$A7,Media_Cliente_Mes!$C$2:$C$145)</f>
        <v>347664.97</v>
      </c>
      <c r="C7" s="35" t="n">
        <f aca="false">IFERROR(SUMPRODUCT((Media_Cliente_Mes!$B$2:$B$145=$A7)*Media_Cliente_Mes!$C$2:$C$145*Media_Cliente_Mes!$D$2:$D$145)/$B7,"")</f>
        <v>47.4834226367413</v>
      </c>
      <c r="D7" s="35" t="n">
        <f aca="false">IFERROR(SUMPRODUCT((Media_Cliente_Mes!$B$2:$B$145=$A7)*Media_Cliente_Mes!$C$2:$C$145*Media_Cliente_Mes!$E$2:$E$145)/$B7,"")</f>
        <v>12.6225093779221</v>
      </c>
      <c r="E7" s="35" t="n">
        <f aca="false">IFERROR(SUMPRODUCT((Media_Cliente_Mes!$B$2:$B$145=$A7)*Media_Cliente_Mes!$C$2:$C$145*Media_Cliente_Mes!$F$2:$F$145)/$B7,"")</f>
        <v>3.72652113613862</v>
      </c>
    </row>
    <row r="8" customFormat="false" ht="15" hidden="false" customHeight="false" outlineLevel="0" collapsed="false">
      <c r="A8" s="27" t="s">
        <v>64</v>
      </c>
      <c r="B8" s="34" t="n">
        <f aca="false">SUMIF(Media_Cliente_Mes!$B$2:$B$145,$A8,Media_Cliente_Mes!$C$2:$C$145)</f>
        <v>451334.897</v>
      </c>
      <c r="C8" s="35" t="n">
        <f aca="false">IFERROR(SUMPRODUCT((Media_Cliente_Mes!$B$2:$B$145=$A8)*Media_Cliente_Mes!$C$2:$C$145*Media_Cliente_Mes!$D$2:$D$145)/$B8,"")</f>
        <v>47.6816680231132</v>
      </c>
      <c r="D8" s="35" t="n">
        <f aca="false">IFERROR(SUMPRODUCT((Media_Cliente_Mes!$B$2:$B$145=$A8)*Media_Cliente_Mes!$C$2:$C$145*Media_Cliente_Mes!$E$2:$E$145)/$B8,"")</f>
        <v>12.2356489048309</v>
      </c>
      <c r="E8" s="35" t="n">
        <f aca="false">IFERROR(SUMPRODUCT((Media_Cliente_Mes!$B$2:$B$145=$A8)*Media_Cliente_Mes!$C$2:$C$145*Media_Cliente_Mes!$F$2:$F$145)/$B8,"")</f>
        <v>3.48415625565953</v>
      </c>
    </row>
    <row r="9" customFormat="false" ht="15" hidden="false" customHeight="false" outlineLevel="0" collapsed="false">
      <c r="A9" s="27" t="s">
        <v>65</v>
      </c>
      <c r="B9" s="34" t="n">
        <f aca="false">SUMIF(Media_Cliente_Mes!$B$2:$B$145,$A9,Media_Cliente_Mes!$C$2:$C$145)</f>
        <v>412023.56</v>
      </c>
      <c r="C9" s="35" t="n">
        <f aca="false">IFERROR(SUMPRODUCT((Media_Cliente_Mes!$B$2:$B$145=$A9)*Media_Cliente_Mes!$C$2:$C$145*Media_Cliente_Mes!$D$2:$D$145)/$B9,"")</f>
        <v>47.3199561197423</v>
      </c>
      <c r="D9" s="35" t="n">
        <f aca="false">IFERROR(SUMPRODUCT((Media_Cliente_Mes!$B$2:$B$145=$A9)*Media_Cliente_Mes!$C$2:$C$145*Media_Cliente_Mes!$E$2:$E$145)/$B9,"")</f>
        <v>12.2068387200965</v>
      </c>
      <c r="E9" s="35" t="n">
        <f aca="false">IFERROR(SUMPRODUCT((Media_Cliente_Mes!$B$2:$B$145=$A9)*Media_Cliente_Mes!$C$2:$C$145*Media_Cliente_Mes!$F$2:$F$145)/$B9,"")</f>
        <v>3.7692688740906</v>
      </c>
    </row>
    <row r="10" customFormat="false" ht="15" hidden="false" customHeight="false" outlineLevel="0" collapsed="false">
      <c r="A10" s="27" t="s">
        <v>66</v>
      </c>
      <c r="B10" s="34" t="n">
        <f aca="false">SUMIF(Media_Cliente_Mes!$B$2:$B$145,$A10,Media_Cliente_Mes!$C$2:$C$145)</f>
        <v>68047</v>
      </c>
      <c r="C10" s="35" t="n">
        <f aca="false">IFERROR(SUMPRODUCT((Media_Cliente_Mes!$B$2:$B$145=$A10)*Media_Cliente_Mes!$C$2:$C$145*Media_Cliente_Mes!$D$2:$D$145)/$B10,"")</f>
        <v>47.5387514497333</v>
      </c>
      <c r="D10" s="35" t="n">
        <f aca="false">IFERROR(SUMPRODUCT((Media_Cliente_Mes!$B$2:$B$145=$A10)*Media_Cliente_Mes!$C$2:$C$145*Media_Cliente_Mes!$E$2:$E$145)/$B10,"")</f>
        <v>12.4774576939468</v>
      </c>
      <c r="E10" s="35" t="n">
        <f aca="false">IFERROR(SUMPRODUCT((Media_Cliente_Mes!$B$2:$B$145=$A10)*Media_Cliente_Mes!$C$2:$C$145*Media_Cliente_Mes!$F$2:$F$145)/$B10,"")</f>
        <v>3.7061372169236</v>
      </c>
    </row>
    <row r="11" customFormat="false" ht="15" hidden="false" customHeight="false" outlineLevel="0" collapsed="false">
      <c r="A11" s="27" t="s">
        <v>67</v>
      </c>
      <c r="B11" s="34" t="n">
        <f aca="false">SUMIF(Media_Cliente_Mes!$B$2:$B$145,$A11,Media_Cliente_Mes!$C$2:$C$145)</f>
        <v>0</v>
      </c>
      <c r="C11" s="35" t="str">
        <f aca="false">IFERROR(SUMPRODUCT((Media_Cliente_Mes!$B$2:$B$145=$A11)*Media_Cliente_Mes!$C$2:$C$145*Media_Cliente_Mes!$D$2:$D$145)/$B11,"")</f>
        <v/>
      </c>
      <c r="D11" s="35" t="str">
        <f aca="false">IFERROR(SUMPRODUCT((Media_Cliente_Mes!$B$2:$B$145=$A11)*Media_Cliente_Mes!$C$2:$C$145*Media_Cliente_Mes!$E$2:$E$145)/$B11,"")</f>
        <v/>
      </c>
      <c r="E11" s="35" t="str">
        <f aca="false">IFERROR(SUMPRODUCT((Media_Cliente_Mes!$B$2:$B$145=$A11)*Media_Cliente_Mes!$C$2:$C$145*Media_Cliente_Mes!$F$2:$F$145)/$B11,"")</f>
        <v/>
      </c>
    </row>
    <row r="12" customFormat="false" ht="15" hidden="false" customHeight="false" outlineLevel="0" collapsed="false">
      <c r="A12" s="27" t="s">
        <v>68</v>
      </c>
      <c r="B12" s="34" t="n">
        <f aca="false">SUMIF(Media_Cliente_Mes!$B$2:$B$145,$A12,Media_Cliente_Mes!$C$2:$C$145)</f>
        <v>0</v>
      </c>
      <c r="C12" s="35" t="str">
        <f aca="false">IFERROR(SUMPRODUCT((Media_Cliente_Mes!$B$2:$B$145=$A12)*Media_Cliente_Mes!$C$2:$C$145*Media_Cliente_Mes!$D$2:$D$145)/$B12,"")</f>
        <v/>
      </c>
      <c r="D12" s="35" t="str">
        <f aca="false">IFERROR(SUMPRODUCT((Media_Cliente_Mes!$B$2:$B$145=$A12)*Media_Cliente_Mes!$C$2:$C$145*Media_Cliente_Mes!$E$2:$E$145)/$B12,"")</f>
        <v/>
      </c>
      <c r="E12" s="35" t="str">
        <f aca="false">IFERROR(SUMPRODUCT((Media_Cliente_Mes!$B$2:$B$145=$A12)*Media_Cliente_Mes!$C$2:$C$145*Media_Cliente_Mes!$F$2:$F$145)/$B12,"")</f>
        <v/>
      </c>
    </row>
    <row r="13" customFormat="false" ht="15" hidden="false" customHeight="false" outlineLevel="0" collapsed="false">
      <c r="A13" s="27" t="s">
        <v>69</v>
      </c>
      <c r="B13" s="34" t="n">
        <f aca="false">SUMIF(Media_Cliente_Mes!$B$2:$B$145,$A13,Media_Cliente_Mes!$C$2:$C$145)</f>
        <v>0</v>
      </c>
      <c r="C13" s="35" t="str">
        <f aca="false">IFERROR(SUMPRODUCT((Media_Cliente_Mes!$B$2:$B$145=$A13)*Media_Cliente_Mes!$C$2:$C$145*Media_Cliente_Mes!$D$2:$D$145)/$B13,"")</f>
        <v/>
      </c>
      <c r="D13" s="35" t="str">
        <f aca="false">IFERROR(SUMPRODUCT((Media_Cliente_Mes!$B$2:$B$145=$A13)*Media_Cliente_Mes!$C$2:$C$145*Media_Cliente_Mes!$E$2:$E$145)/$B13,"")</f>
        <v/>
      </c>
      <c r="E13" s="35" t="str">
        <f aca="false">IFERROR(SUMPRODUCT((Media_Cliente_Mes!$B$2:$B$145=$A13)*Media_Cliente_Mes!$C$2:$C$145*Media_Cliente_Mes!$F$2:$F$145)/$B13,"")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W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9" min="17" style="0" width="7"/>
    <col collapsed="false" customWidth="true" hidden="false" outlineLevel="0" max="20" min="20" style="0" width="11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20"/>
  </cols>
  <sheetData>
    <row r="1" customFormat="false" ht="22.35" hidden="false" customHeight="false" outlineLevel="0" collapsed="false">
      <c r="A1" s="36" t="s">
        <v>123</v>
      </c>
      <c r="B1" s="36" t="s">
        <v>86</v>
      </c>
      <c r="C1" s="36" t="s">
        <v>104</v>
      </c>
      <c r="D1" s="36" t="s">
        <v>75</v>
      </c>
      <c r="E1" s="36" t="s">
        <v>74</v>
      </c>
      <c r="F1" s="36" t="s">
        <v>71</v>
      </c>
      <c r="G1" s="36" t="s">
        <v>216</v>
      </c>
      <c r="H1" s="36" t="s">
        <v>192</v>
      </c>
      <c r="I1" s="36" t="s">
        <v>217</v>
      </c>
      <c r="J1" s="36" t="s">
        <v>218</v>
      </c>
      <c r="K1" s="36" t="s">
        <v>219</v>
      </c>
      <c r="L1" s="36" t="s">
        <v>220</v>
      </c>
      <c r="M1" s="36" t="s">
        <v>221</v>
      </c>
      <c r="N1" s="36" t="s">
        <v>222</v>
      </c>
      <c r="O1" s="36" t="s">
        <v>223</v>
      </c>
      <c r="P1" s="36" t="s">
        <v>224</v>
      </c>
      <c r="Q1" s="36" t="s">
        <v>195</v>
      </c>
      <c r="R1" s="36" t="s">
        <v>198</v>
      </c>
      <c r="S1" s="36" t="s">
        <v>201</v>
      </c>
      <c r="T1" s="36" t="s">
        <v>225</v>
      </c>
      <c r="U1" s="36" t="s">
        <v>226</v>
      </c>
      <c r="V1" s="36" t="s">
        <v>227</v>
      </c>
      <c r="W1" s="36" t="s">
        <v>228</v>
      </c>
    </row>
    <row r="2" customFormat="false" ht="15" hidden="false" customHeight="false" outlineLevel="0" collapsed="false">
      <c r="A2" s="27" t="s">
        <v>39</v>
      </c>
      <c r="B2" s="27" t="s">
        <v>38</v>
      </c>
      <c r="C2" s="27" t="s">
        <v>109</v>
      </c>
      <c r="D2" s="34" t="n">
        <f aca="false">SUMIFS(Media_Cliente_Mes!$C$2:$C$145,Media_Cliente_Mes!$A$2:$A$145,$A2,Media_Cliente_Mes!$B$2:$B$145,$B2)</f>
        <v>0</v>
      </c>
      <c r="E2" s="35" t="str">
        <f aca="false">IF($D2=0,"",IF($C2="Proteina",SUMIFS(Media_Cliente_Mes!$D$2:$D$145,Media_Cliente_Mes!$A$2:$A$145,$A2,Media_Cliente_Mes!$B$2:$B$145,$B2),IF($C2="Umidade",SUMIFS(Media_Cliente_Mes!$E$2:$E$145,Media_Cliente_Mes!$A$2:$A$145,$A2,Media_Cliente_Mes!$B$2:$B$145,$B2),SUMIFS(Media_Cliente_Mes!$F$2:$F$145,Media_Cliente_Mes!$A$2:$A$145,$A2,Media_Cliente_Mes!$B$2:$B$145,$B2))))</f>
        <v/>
      </c>
      <c r="F2" s="35" t="n">
        <f aca="false">INDEX(Parametros_ANEC73!$C$4:$C$6,MATCH($C2,Parametros_ANEC73!$A$4:$A$6,0))</f>
        <v>48</v>
      </c>
      <c r="G2" s="35" t="n">
        <f aca="false">IF($C2="Proteina",INDEX(Media_Pool_Mes!$C$2:$C$13,MATCH($B2,Media_Pool_Mes!$A$2:$A$13,0)),IF($C2="Umidade",INDEX(Media_Pool_Mes!$D$2:$D$13,MATCH($B2,Media_Pool_Mes!$A$2:$A$13,0)),INDEX(Media_Pool_Mes!$E$2:$E$13,MATCH($B2,Media_Pool_Mes!$A$2:$A$13,0))))</f>
        <v>47.8154367670349</v>
      </c>
      <c r="H2" s="37" t="n">
        <f aca="false">INDEX(Parametros_ANEC73!$B$4:$B$6,MATCH($C2,Parametros_ANEC73!$A$4:$A$6,0))</f>
        <v>-1</v>
      </c>
      <c r="I2" s="38" t="str">
        <f aca="false">IF(OR($D2=0,$G2=""),"",IF($H2*($G2-$F2)&gt;0,$G2,$F2))</f>
        <v/>
      </c>
      <c r="J2" s="27" t="str">
        <f aca="false">IF(OR($D2=0,$G2=""),"",IF($H2*($G2-$F2)&gt;0,"Sim","Nao"))</f>
        <v/>
      </c>
      <c r="K2" s="27" t="str">
        <f aca="false">IF(OR($D2=0,$G2=""),"",IF(AND($H2*($E2-$F2)&gt;0,$H2*($E2-$G2)&gt;0),"Sim","Nao"))</f>
        <v/>
      </c>
      <c r="L2" s="38" t="n">
        <f aca="false">IF(OR($D2=0,$G2=""),0,IF($K2="Sim",MAX(0,$H2*($E2-$I2)),0))</f>
        <v>0</v>
      </c>
      <c r="M2" s="35" t="n">
        <f aca="false">INDEX(Parametros_ANEC73!$G$4:$G$6,MATCH($C2,Parametros_ANEC73!$A$4:$A$6,0))</f>
        <v>47</v>
      </c>
      <c r="N2" s="38" t="n">
        <f aca="false">IF(OR($D2=0,$G2=""),0,IF(AND($K2="Sim",$M2&lt;&gt;""),MAX(0,$H2*($E2-$M2)),0))</f>
        <v>0</v>
      </c>
      <c r="O2" s="35" t="n">
        <f aca="false">INDEX(Parametros_ANEC73!$J$4:$J$6,MATCH($C2,Parametros_ANEC73!$A$4:$A$6,0))</f>
        <v>0</v>
      </c>
      <c r="P2" s="38" t="n">
        <f aca="false">IF(OR($D2=0,$G2=""),0,IF(AND($K2="Sim",$O2&lt;&gt;""),MAX(0,$H2*($E2-$O2)),0))</f>
        <v>0</v>
      </c>
      <c r="Q2" s="35" t="n">
        <f aca="false">INDEX(Parametros_ANEC73!$F$4:$F$6,MATCH($C2,Parametros_ANEC73!$A$4:$A$6,0))</f>
        <v>1</v>
      </c>
      <c r="R2" s="35" t="n">
        <f aca="false">INDEX(Parametros_ANEC73!$I$4:$I$6,MATCH($C2,Parametros_ANEC73!$A$4:$A$6,0))</f>
        <v>2</v>
      </c>
      <c r="S2" s="35" t="n">
        <f aca="false">INDEX(Parametros_ANEC73!$L$4:$L$6,MATCH($C2,Parametros_ANEC73!$A$4:$A$6,0))</f>
        <v>0</v>
      </c>
      <c r="T2" s="39" t="n">
        <f aca="false">INDEX(Parametros_ANEC73!$B$14:$B$25,MATCH($B2,Parametros_ANEC73!$A$14:$A$25,0))</f>
        <v>386</v>
      </c>
      <c r="U2" s="40" t="n">
        <f aca="false">IF(OR($D2=0,$G2=""),0,$D2*($T2/100)*($L2*$Q2+$N2*(IF($R2="",$Q2,$R2)-$Q2)+$P2*(IF($S2="",IF($R2="",$Q2,$R2),$S2)-IF($R2="",$Q2,$R2))))</f>
        <v>0</v>
      </c>
      <c r="V2" s="41" t="str">
        <f aca="false">IF(OR($D2=0,$G2=""),"",IF($H2*($E2-INDEX(Parametros_ANEC73!$M$4:$M$6,MATCH($C2,Parametros_ANEC73!$A$4:$A$6,0)))&gt;0,"Sim","Nao"))</f>
        <v/>
      </c>
      <c r="W2" s="27" t="str">
        <f aca="false">$A2&amp;"|"&amp;$B2&amp;"|"&amp;$C2</f>
        <v>Amaggi|Jan|Proteina</v>
      </c>
    </row>
    <row r="3" customFormat="false" ht="15" hidden="false" customHeight="false" outlineLevel="0" collapsed="false">
      <c r="A3" s="27" t="s">
        <v>39</v>
      </c>
      <c r="B3" s="27" t="s">
        <v>38</v>
      </c>
      <c r="C3" s="27" t="s">
        <v>110</v>
      </c>
      <c r="D3" s="34" t="n">
        <f aca="false">SUMIFS(Media_Cliente_Mes!$C$2:$C$145,Media_Cliente_Mes!$A$2:$A$145,$A3,Media_Cliente_Mes!$B$2:$B$145,$B3)</f>
        <v>0</v>
      </c>
      <c r="E3" s="35" t="str">
        <f aca="false">IF($D3=0,"",IF($C3="Proteina",SUMIFS(Media_Cliente_Mes!$D$2:$D$145,Media_Cliente_Mes!$A$2:$A$145,$A3,Media_Cliente_Mes!$B$2:$B$145,$B3),IF($C3="Umidade",SUMIFS(Media_Cliente_Mes!$E$2:$E$145,Media_Cliente_Mes!$A$2:$A$145,$A3,Media_Cliente_Mes!$B$2:$B$145,$B3),SUMIFS(Media_Cliente_Mes!$F$2:$F$145,Media_Cliente_Mes!$A$2:$A$145,$A3,Media_Cliente_Mes!$B$2:$B$145,$B3))))</f>
        <v/>
      </c>
      <c r="F3" s="35" t="n">
        <f aca="false">INDEX(Parametros_ANEC73!$C$4:$C$6,MATCH($C3,Parametros_ANEC73!$A$4:$A$6,0))</f>
        <v>12.5</v>
      </c>
      <c r="G3" s="35" t="n">
        <f aca="false">IF($C3="Proteina",INDEX(Media_Pool_Mes!$C$2:$C$13,MATCH($B3,Media_Pool_Mes!$A$2:$A$13,0)),IF($C3="Umidade",INDEX(Media_Pool_Mes!$D$2:$D$13,MATCH($B3,Media_Pool_Mes!$A$2:$A$13,0)),INDEX(Media_Pool_Mes!$E$2:$E$13,MATCH($B3,Media_Pool_Mes!$A$2:$A$13,0))))</f>
        <v>12.076727887935</v>
      </c>
      <c r="H3" s="37" t="n">
        <f aca="false">INDEX(Parametros_ANEC73!$B$4:$B$6,MATCH($C3,Parametros_ANEC73!$A$4:$A$6,0))</f>
        <v>1</v>
      </c>
      <c r="I3" s="38" t="str">
        <f aca="false">IF(OR($D3=0,$G3=""),"",IF($H3*($G3-$F3)&gt;0,$G3,$F3))</f>
        <v/>
      </c>
      <c r="J3" s="27" t="str">
        <f aca="false">IF(OR($D3=0,$G3=""),"",IF($H3*($G3-$F3)&gt;0,"Sim","Nao"))</f>
        <v/>
      </c>
      <c r="K3" s="27" t="str">
        <f aca="false">IF(OR($D3=0,$G3=""),"",IF(AND($H3*($E3-$F3)&gt;0,$H3*($E3-$G3)&gt;0),"Sim","Nao"))</f>
        <v/>
      </c>
      <c r="L3" s="38" t="n">
        <f aca="false">IF(OR($D3=0,$G3=""),0,IF($K3="Sim",MAX(0,$H3*($E3-$I3)),0))</f>
        <v>0</v>
      </c>
      <c r="M3" s="35" t="n">
        <f aca="false">INDEX(Parametros_ANEC73!$G$4:$G$6,MATCH($C3,Parametros_ANEC73!$A$4:$A$6,0))</f>
        <v>0</v>
      </c>
      <c r="N3" s="38" t="n">
        <f aca="false">IF(OR($D3=0,$G3=""),0,IF(AND($K3="Sim",$M3&lt;&gt;""),MAX(0,$H3*($E3-$M3)),0))</f>
        <v>0</v>
      </c>
      <c r="O3" s="35" t="n">
        <f aca="false">INDEX(Parametros_ANEC73!$J$4:$J$6,MATCH($C3,Parametros_ANEC73!$A$4:$A$6,0))</f>
        <v>0</v>
      </c>
      <c r="P3" s="38" t="n">
        <f aca="false">IF(OR($D3=0,$G3=""),0,IF(AND($K3="Sim",$O3&lt;&gt;""),MAX(0,$H3*($E3-$O3)),0))</f>
        <v>0</v>
      </c>
      <c r="Q3" s="35" t="n">
        <f aca="false">INDEX(Parametros_ANEC73!$F$4:$F$6,MATCH($C3,Parametros_ANEC73!$A$4:$A$6,0))</f>
        <v>1</v>
      </c>
      <c r="R3" s="35" t="n">
        <f aca="false">INDEX(Parametros_ANEC73!$I$4:$I$6,MATCH($C3,Parametros_ANEC73!$A$4:$A$6,0))</f>
        <v>0</v>
      </c>
      <c r="S3" s="35" t="n">
        <f aca="false">INDEX(Parametros_ANEC73!$L$4:$L$6,MATCH($C3,Parametros_ANEC73!$A$4:$A$6,0))</f>
        <v>0</v>
      </c>
      <c r="T3" s="39" t="n">
        <f aca="false">INDEX(Parametros_ANEC73!$B$14:$B$25,MATCH($B3,Parametros_ANEC73!$A$14:$A$25,0))</f>
        <v>386</v>
      </c>
      <c r="U3" s="40" t="n">
        <f aca="false">IF(OR($D3=0,$G3=""),0,$D3*($T3/100)*($L3*$Q3+$N3*(IF($R3="",$Q3,$R3)-$Q3)+$P3*(IF($S3="",IF($R3="",$Q3,$R3),$S3)-IF($R3="",$Q3,$R3))))</f>
        <v>0</v>
      </c>
      <c r="V3" s="41" t="str">
        <f aca="false">IF(OR($D3=0,$G3=""),"",IF($H3*($E3-INDEX(Parametros_ANEC73!$M$4:$M$6,MATCH($C3,Parametros_ANEC73!$A$4:$A$6,0)))&gt;0,"Sim","Nao"))</f>
        <v/>
      </c>
      <c r="W3" s="27" t="str">
        <f aca="false">$A3&amp;"|"&amp;$B3&amp;"|"&amp;$C3</f>
        <v>Amaggi|Jan|Umidade</v>
      </c>
    </row>
    <row r="4" customFormat="false" ht="15" hidden="false" customHeight="false" outlineLevel="0" collapsed="false">
      <c r="A4" s="27" t="s">
        <v>39</v>
      </c>
      <c r="B4" s="27" t="s">
        <v>38</v>
      </c>
      <c r="C4" s="27" t="s">
        <v>111</v>
      </c>
      <c r="D4" s="34" t="n">
        <f aca="false">SUMIFS(Media_Cliente_Mes!$C$2:$C$145,Media_Cliente_Mes!$A$2:$A$145,$A4,Media_Cliente_Mes!$B$2:$B$145,$B4)</f>
        <v>0</v>
      </c>
      <c r="E4" s="35" t="str">
        <f aca="false">IF($D4=0,"",IF($C4="Proteina",SUMIFS(Media_Cliente_Mes!$D$2:$D$145,Media_Cliente_Mes!$A$2:$A$145,$A4,Media_Cliente_Mes!$B$2:$B$145,$B4),IF($C4="Umidade",SUMIFS(Media_Cliente_Mes!$E$2:$E$145,Media_Cliente_Mes!$A$2:$A$145,$A4,Media_Cliente_Mes!$B$2:$B$145,$B4),SUMIFS(Media_Cliente_Mes!$F$2:$F$145,Media_Cliente_Mes!$A$2:$A$145,$A4,Media_Cliente_Mes!$B$2:$B$145,$B4))))</f>
        <v/>
      </c>
      <c r="F4" s="35" t="n">
        <f aca="false">INDEX(Parametros_ANEC73!$C$4:$C$6,MATCH($C4,Parametros_ANEC73!$A$4:$A$6,0))</f>
        <v>3.5</v>
      </c>
      <c r="G4" s="35" t="n">
        <f aca="false">IF($C4="Proteina",INDEX(Media_Pool_Mes!$C$2:$C$13,MATCH($B4,Media_Pool_Mes!$A$2:$A$13,0)),IF($C4="Umidade",INDEX(Media_Pool_Mes!$D$2:$D$13,MATCH($B4,Media_Pool_Mes!$A$2:$A$13,0)),INDEX(Media_Pool_Mes!$E$2:$E$13,MATCH($B4,Media_Pool_Mes!$A$2:$A$13,0))))</f>
        <v>3.51752485295922</v>
      </c>
      <c r="H4" s="37" t="n">
        <f aca="false">INDEX(Parametros_ANEC73!$B$4:$B$6,MATCH($C4,Parametros_ANEC73!$A$4:$A$6,0))</f>
        <v>1</v>
      </c>
      <c r="I4" s="38" t="str">
        <f aca="false">IF(OR($D4=0,$G4=""),"",IF($H4*($G4-$F4)&gt;0,$G4,$F4))</f>
        <v/>
      </c>
      <c r="J4" s="27" t="str">
        <f aca="false">IF(OR($D4=0,$G4=""),"",IF($H4*($G4-$F4)&gt;0,"Sim","Nao"))</f>
        <v/>
      </c>
      <c r="K4" s="27" t="str">
        <f aca="false">IF(OR($D4=0,$G4=""),"",IF(AND($H4*($E4-$F4)&gt;0,$H4*($E4-$G4)&gt;0),"Sim","Nao"))</f>
        <v/>
      </c>
      <c r="L4" s="38" t="n">
        <f aca="false">IF(OR($D4=0,$G4=""),0,IF($K4="Sim",MAX(0,$H4*($E4-$I4)),0))</f>
        <v>0</v>
      </c>
      <c r="M4" s="35" t="n">
        <f aca="false">INDEX(Parametros_ANEC73!$G$4:$G$6,MATCH($C4,Parametros_ANEC73!$A$4:$A$6,0))</f>
        <v>3.8</v>
      </c>
      <c r="N4" s="38" t="n">
        <f aca="false">IF(OR($D4=0,$G4=""),0,IF(AND($K4="Sim",$M4&lt;&gt;""),MAX(0,$H4*($E4-$M4)),0))</f>
        <v>0</v>
      </c>
      <c r="O4" s="35" t="n">
        <f aca="false">INDEX(Parametros_ANEC73!$J$4:$J$6,MATCH($C4,Parametros_ANEC73!$A$4:$A$6,0))</f>
        <v>4</v>
      </c>
      <c r="P4" s="38" t="n">
        <f aca="false">IF(OR($D4=0,$G4=""),0,IF(AND($K4="Sim",$O4&lt;&gt;""),MAX(0,$H4*($E4-$O4)),0))</f>
        <v>0</v>
      </c>
      <c r="Q4" s="35" t="n">
        <f aca="false">INDEX(Parametros_ANEC73!$F$4:$F$6,MATCH($C4,Parametros_ANEC73!$A$4:$A$6,0))</f>
        <v>1</v>
      </c>
      <c r="R4" s="35" t="n">
        <f aca="false">INDEX(Parametros_ANEC73!$I$4:$I$6,MATCH($C4,Parametros_ANEC73!$A$4:$A$6,0))</f>
        <v>1.5</v>
      </c>
      <c r="S4" s="35" t="n">
        <f aca="false">INDEX(Parametros_ANEC73!$L$4:$L$6,MATCH($C4,Parametros_ANEC73!$A$4:$A$6,0))</f>
        <v>2</v>
      </c>
      <c r="T4" s="39" t="n">
        <f aca="false">INDEX(Parametros_ANEC73!$B$14:$B$25,MATCH($B4,Parametros_ANEC73!$A$14:$A$25,0))</f>
        <v>386</v>
      </c>
      <c r="U4" s="40" t="n">
        <f aca="false">IF(OR($D4=0,$G4=""),0,$D4*($T4/100)*($L4*$Q4+$N4*(IF($R4="",$Q4,$R4)-$Q4)+$P4*(IF($S4="",IF($R4="",$Q4,$R4),$S4)-IF($R4="",$Q4,$R4))))</f>
        <v>0</v>
      </c>
      <c r="V4" s="41" t="str">
        <f aca="false">IF(OR($D4=0,$G4=""),"",IF($H4*($E4-INDEX(Parametros_ANEC73!$M$4:$M$6,MATCH($C4,Parametros_ANEC73!$A$4:$A$6,0)))&gt;0,"Sim","Nao"))</f>
        <v/>
      </c>
      <c r="W4" s="27" t="str">
        <f aca="false">$A4&amp;"|"&amp;$B4&amp;"|"&amp;$C4</f>
        <v>Amaggi|Jan|Fibra</v>
      </c>
    </row>
    <row r="5" customFormat="false" ht="15" hidden="false" customHeight="false" outlineLevel="0" collapsed="false">
      <c r="A5" s="27" t="s">
        <v>39</v>
      </c>
      <c r="B5" s="27" t="s">
        <v>59</v>
      </c>
      <c r="C5" s="27" t="s">
        <v>109</v>
      </c>
      <c r="D5" s="34" t="n">
        <f aca="false">SUMIFS(Media_Cliente_Mes!$C$2:$C$145,Media_Cliente_Mes!$A$2:$A$145,$A5,Media_Cliente_Mes!$B$2:$B$145,$B5)</f>
        <v>0</v>
      </c>
      <c r="E5" s="35" t="str">
        <f aca="false">IF($D5=0,"",IF($C5="Proteina",SUMIFS(Media_Cliente_Mes!$D$2:$D$145,Media_Cliente_Mes!$A$2:$A$145,$A5,Media_Cliente_Mes!$B$2:$B$145,$B5),IF($C5="Umidade",SUMIFS(Media_Cliente_Mes!$E$2:$E$145,Media_Cliente_Mes!$A$2:$A$145,$A5,Media_Cliente_Mes!$B$2:$B$145,$B5),SUMIFS(Media_Cliente_Mes!$F$2:$F$145,Media_Cliente_Mes!$A$2:$A$145,$A5,Media_Cliente_Mes!$B$2:$B$145,$B5))))</f>
        <v/>
      </c>
      <c r="F5" s="35" t="n">
        <f aca="false">INDEX(Parametros_ANEC73!$C$4:$C$6,MATCH($C5,Parametros_ANEC73!$A$4:$A$6,0))</f>
        <v>48</v>
      </c>
      <c r="G5" s="35" t="n">
        <f aca="false">IF($C5="Proteina",INDEX(Media_Pool_Mes!$C$2:$C$13,MATCH($B5,Media_Pool_Mes!$A$2:$A$13,0)),IF($C5="Umidade",INDEX(Media_Pool_Mes!$D$2:$D$13,MATCH($B5,Media_Pool_Mes!$A$2:$A$13,0)),INDEX(Media_Pool_Mes!$E$2:$E$13,MATCH($B5,Media_Pool_Mes!$A$2:$A$13,0))))</f>
        <v>47.3405726705791</v>
      </c>
      <c r="H5" s="37" t="n">
        <f aca="false">INDEX(Parametros_ANEC73!$B$4:$B$6,MATCH($C5,Parametros_ANEC73!$A$4:$A$6,0))</f>
        <v>-1</v>
      </c>
      <c r="I5" s="38" t="str">
        <f aca="false">IF(OR($D5=0,$G5=""),"",IF($H5*($G5-$F5)&gt;0,$G5,$F5))</f>
        <v/>
      </c>
      <c r="J5" s="27" t="str">
        <f aca="false">IF(OR($D5=0,$G5=""),"",IF($H5*($G5-$F5)&gt;0,"Sim","Nao"))</f>
        <v/>
      </c>
      <c r="K5" s="27" t="str">
        <f aca="false">IF(OR($D5=0,$G5=""),"",IF(AND($H5*($E5-$F5)&gt;0,$H5*($E5-$G5)&gt;0),"Sim","Nao"))</f>
        <v/>
      </c>
      <c r="L5" s="38" t="n">
        <f aca="false">IF(OR($D5=0,$G5=""),0,IF($K5="Sim",MAX(0,$H5*($E5-$I5)),0))</f>
        <v>0</v>
      </c>
      <c r="M5" s="35" t="n">
        <f aca="false">INDEX(Parametros_ANEC73!$G$4:$G$6,MATCH($C5,Parametros_ANEC73!$A$4:$A$6,0))</f>
        <v>47</v>
      </c>
      <c r="N5" s="38" t="n">
        <f aca="false">IF(OR($D5=0,$G5=""),0,IF(AND($K5="Sim",$M5&lt;&gt;""),MAX(0,$H5*($E5-$M5)),0))</f>
        <v>0</v>
      </c>
      <c r="O5" s="35" t="n">
        <f aca="false">INDEX(Parametros_ANEC73!$J$4:$J$6,MATCH($C5,Parametros_ANEC73!$A$4:$A$6,0))</f>
        <v>0</v>
      </c>
      <c r="P5" s="38" t="n">
        <f aca="false">IF(OR($D5=0,$G5=""),0,IF(AND($K5="Sim",$O5&lt;&gt;""),MAX(0,$H5*($E5-$O5)),0))</f>
        <v>0</v>
      </c>
      <c r="Q5" s="35" t="n">
        <f aca="false">INDEX(Parametros_ANEC73!$F$4:$F$6,MATCH($C5,Parametros_ANEC73!$A$4:$A$6,0))</f>
        <v>1</v>
      </c>
      <c r="R5" s="35" t="n">
        <f aca="false">INDEX(Parametros_ANEC73!$I$4:$I$6,MATCH($C5,Parametros_ANEC73!$A$4:$A$6,0))</f>
        <v>2</v>
      </c>
      <c r="S5" s="35" t="n">
        <f aca="false">INDEX(Parametros_ANEC73!$L$4:$L$6,MATCH($C5,Parametros_ANEC73!$A$4:$A$6,0))</f>
        <v>0</v>
      </c>
      <c r="T5" s="39" t="n">
        <f aca="false">INDEX(Parametros_ANEC73!$B$14:$B$25,MATCH($B5,Parametros_ANEC73!$A$14:$A$25,0))</f>
        <v>391</v>
      </c>
      <c r="U5" s="40" t="n">
        <f aca="false">IF(OR($D5=0,$G5=""),0,$D5*($T5/100)*($L5*$Q5+$N5*(IF($R5="",$Q5,$R5)-$Q5)+$P5*(IF($S5="",IF($R5="",$Q5,$R5),$S5)-IF($R5="",$Q5,$R5))))</f>
        <v>0</v>
      </c>
      <c r="V5" s="41" t="str">
        <f aca="false">IF(OR($D5=0,$G5=""),"",IF($H5*($E5-INDEX(Parametros_ANEC73!$M$4:$M$6,MATCH($C5,Parametros_ANEC73!$A$4:$A$6,0)))&gt;0,"Sim","Nao"))</f>
        <v/>
      </c>
      <c r="W5" s="27" t="str">
        <f aca="false">$A5&amp;"|"&amp;$B5&amp;"|"&amp;$C5</f>
        <v>Amaggi|Fev|Proteina</v>
      </c>
    </row>
    <row r="6" customFormat="false" ht="15" hidden="false" customHeight="false" outlineLevel="0" collapsed="false">
      <c r="A6" s="27" t="s">
        <v>39</v>
      </c>
      <c r="B6" s="27" t="s">
        <v>59</v>
      </c>
      <c r="C6" s="27" t="s">
        <v>110</v>
      </c>
      <c r="D6" s="34" t="n">
        <f aca="false">SUMIFS(Media_Cliente_Mes!$C$2:$C$145,Media_Cliente_Mes!$A$2:$A$145,$A6,Media_Cliente_Mes!$B$2:$B$145,$B6)</f>
        <v>0</v>
      </c>
      <c r="E6" s="35" t="str">
        <f aca="false">IF($D6=0,"",IF($C6="Proteina",SUMIFS(Media_Cliente_Mes!$D$2:$D$145,Media_Cliente_Mes!$A$2:$A$145,$A6,Media_Cliente_Mes!$B$2:$B$145,$B6),IF($C6="Umidade",SUMIFS(Media_Cliente_Mes!$E$2:$E$145,Media_Cliente_Mes!$A$2:$A$145,$A6,Media_Cliente_Mes!$B$2:$B$145,$B6),SUMIFS(Media_Cliente_Mes!$F$2:$F$145,Media_Cliente_Mes!$A$2:$A$145,$A6,Media_Cliente_Mes!$B$2:$B$145,$B6))))</f>
        <v/>
      </c>
      <c r="F6" s="35" t="n">
        <f aca="false">INDEX(Parametros_ANEC73!$C$4:$C$6,MATCH($C6,Parametros_ANEC73!$A$4:$A$6,0))</f>
        <v>12.5</v>
      </c>
      <c r="G6" s="35" t="n">
        <f aca="false">IF($C6="Proteina",INDEX(Media_Pool_Mes!$C$2:$C$13,MATCH($B6,Media_Pool_Mes!$A$2:$A$13,0)),IF($C6="Umidade",INDEX(Media_Pool_Mes!$D$2:$D$13,MATCH($B6,Media_Pool_Mes!$A$2:$A$13,0)),INDEX(Media_Pool_Mes!$E$2:$E$13,MATCH($B6,Media_Pool_Mes!$A$2:$A$13,0))))</f>
        <v>12.2454829634779</v>
      </c>
      <c r="H6" s="37" t="n">
        <f aca="false">INDEX(Parametros_ANEC73!$B$4:$B$6,MATCH($C6,Parametros_ANEC73!$A$4:$A$6,0))</f>
        <v>1</v>
      </c>
      <c r="I6" s="38" t="str">
        <f aca="false">IF(OR($D6=0,$G6=""),"",IF($H6*($G6-$F6)&gt;0,$G6,$F6))</f>
        <v/>
      </c>
      <c r="J6" s="27" t="str">
        <f aca="false">IF(OR($D6=0,$G6=""),"",IF($H6*($G6-$F6)&gt;0,"Sim","Nao"))</f>
        <v/>
      </c>
      <c r="K6" s="27" t="str">
        <f aca="false">IF(OR($D6=0,$G6=""),"",IF(AND($H6*($E6-$F6)&gt;0,$H6*($E6-$G6)&gt;0),"Sim","Nao"))</f>
        <v/>
      </c>
      <c r="L6" s="38" t="n">
        <f aca="false">IF(OR($D6=0,$G6=""),0,IF($K6="Sim",MAX(0,$H6*($E6-$I6)),0))</f>
        <v>0</v>
      </c>
      <c r="M6" s="35" t="n">
        <f aca="false">INDEX(Parametros_ANEC73!$G$4:$G$6,MATCH($C6,Parametros_ANEC73!$A$4:$A$6,0))</f>
        <v>0</v>
      </c>
      <c r="N6" s="38" t="n">
        <f aca="false">IF(OR($D6=0,$G6=""),0,IF(AND($K6="Sim",$M6&lt;&gt;""),MAX(0,$H6*($E6-$M6)),0))</f>
        <v>0</v>
      </c>
      <c r="O6" s="35" t="n">
        <f aca="false">INDEX(Parametros_ANEC73!$J$4:$J$6,MATCH($C6,Parametros_ANEC73!$A$4:$A$6,0))</f>
        <v>0</v>
      </c>
      <c r="P6" s="38" t="n">
        <f aca="false">IF(OR($D6=0,$G6=""),0,IF(AND($K6="Sim",$O6&lt;&gt;""),MAX(0,$H6*($E6-$O6)),0))</f>
        <v>0</v>
      </c>
      <c r="Q6" s="35" t="n">
        <f aca="false">INDEX(Parametros_ANEC73!$F$4:$F$6,MATCH($C6,Parametros_ANEC73!$A$4:$A$6,0))</f>
        <v>1</v>
      </c>
      <c r="R6" s="35" t="n">
        <f aca="false">INDEX(Parametros_ANEC73!$I$4:$I$6,MATCH($C6,Parametros_ANEC73!$A$4:$A$6,0))</f>
        <v>0</v>
      </c>
      <c r="S6" s="35" t="n">
        <f aca="false">INDEX(Parametros_ANEC73!$L$4:$L$6,MATCH($C6,Parametros_ANEC73!$A$4:$A$6,0))</f>
        <v>0</v>
      </c>
      <c r="T6" s="39" t="n">
        <f aca="false">INDEX(Parametros_ANEC73!$B$14:$B$25,MATCH($B6,Parametros_ANEC73!$A$14:$A$25,0))</f>
        <v>391</v>
      </c>
      <c r="U6" s="40" t="n">
        <f aca="false">IF(OR($D6=0,$G6=""),0,$D6*($T6/100)*($L6*$Q6+$N6*(IF($R6="",$Q6,$R6)-$Q6)+$P6*(IF($S6="",IF($R6="",$Q6,$R6),$S6)-IF($R6="",$Q6,$R6))))</f>
        <v>0</v>
      </c>
      <c r="V6" s="41" t="str">
        <f aca="false">IF(OR($D6=0,$G6=""),"",IF($H6*($E6-INDEX(Parametros_ANEC73!$M$4:$M$6,MATCH($C6,Parametros_ANEC73!$A$4:$A$6,0)))&gt;0,"Sim","Nao"))</f>
        <v/>
      </c>
      <c r="W6" s="27" t="str">
        <f aca="false">$A6&amp;"|"&amp;$B6&amp;"|"&amp;$C6</f>
        <v>Amaggi|Fev|Umidade</v>
      </c>
    </row>
    <row r="7" customFormat="false" ht="15" hidden="false" customHeight="false" outlineLevel="0" collapsed="false">
      <c r="A7" s="27" t="s">
        <v>39</v>
      </c>
      <c r="B7" s="27" t="s">
        <v>59</v>
      </c>
      <c r="C7" s="27" t="s">
        <v>111</v>
      </c>
      <c r="D7" s="34" t="n">
        <f aca="false">SUMIFS(Media_Cliente_Mes!$C$2:$C$145,Media_Cliente_Mes!$A$2:$A$145,$A7,Media_Cliente_Mes!$B$2:$B$145,$B7)</f>
        <v>0</v>
      </c>
      <c r="E7" s="35" t="str">
        <f aca="false">IF($D7=0,"",IF($C7="Proteina",SUMIFS(Media_Cliente_Mes!$D$2:$D$145,Media_Cliente_Mes!$A$2:$A$145,$A7,Media_Cliente_Mes!$B$2:$B$145,$B7),IF($C7="Umidade",SUMIFS(Media_Cliente_Mes!$E$2:$E$145,Media_Cliente_Mes!$A$2:$A$145,$A7,Media_Cliente_Mes!$B$2:$B$145,$B7),SUMIFS(Media_Cliente_Mes!$F$2:$F$145,Media_Cliente_Mes!$A$2:$A$145,$A7,Media_Cliente_Mes!$B$2:$B$145,$B7))))</f>
        <v/>
      </c>
      <c r="F7" s="35" t="n">
        <f aca="false">INDEX(Parametros_ANEC73!$C$4:$C$6,MATCH($C7,Parametros_ANEC73!$A$4:$A$6,0))</f>
        <v>3.5</v>
      </c>
      <c r="G7" s="35" t="n">
        <f aca="false">IF($C7="Proteina",INDEX(Media_Pool_Mes!$C$2:$C$13,MATCH($B7,Media_Pool_Mes!$A$2:$A$13,0)),IF($C7="Umidade",INDEX(Media_Pool_Mes!$D$2:$D$13,MATCH($B7,Media_Pool_Mes!$A$2:$A$13,0)),INDEX(Media_Pool_Mes!$E$2:$E$13,MATCH($B7,Media_Pool_Mes!$A$2:$A$13,0))))</f>
        <v>3.61845158781616</v>
      </c>
      <c r="H7" s="37" t="n">
        <f aca="false">INDEX(Parametros_ANEC73!$B$4:$B$6,MATCH($C7,Parametros_ANEC73!$A$4:$A$6,0))</f>
        <v>1</v>
      </c>
      <c r="I7" s="38" t="str">
        <f aca="false">IF(OR($D7=0,$G7=""),"",IF($H7*($G7-$F7)&gt;0,$G7,$F7))</f>
        <v/>
      </c>
      <c r="J7" s="27" t="str">
        <f aca="false">IF(OR($D7=0,$G7=""),"",IF($H7*($G7-$F7)&gt;0,"Sim","Nao"))</f>
        <v/>
      </c>
      <c r="K7" s="27" t="str">
        <f aca="false">IF(OR($D7=0,$G7=""),"",IF(AND($H7*($E7-$F7)&gt;0,$H7*($E7-$G7)&gt;0),"Sim","Nao"))</f>
        <v/>
      </c>
      <c r="L7" s="38" t="n">
        <f aca="false">IF(OR($D7=0,$G7=""),0,IF($K7="Sim",MAX(0,$H7*($E7-$I7)),0))</f>
        <v>0</v>
      </c>
      <c r="M7" s="35" t="n">
        <f aca="false">INDEX(Parametros_ANEC73!$G$4:$G$6,MATCH($C7,Parametros_ANEC73!$A$4:$A$6,0))</f>
        <v>3.8</v>
      </c>
      <c r="N7" s="38" t="n">
        <f aca="false">IF(OR($D7=0,$G7=""),0,IF(AND($K7="Sim",$M7&lt;&gt;""),MAX(0,$H7*($E7-$M7)),0))</f>
        <v>0</v>
      </c>
      <c r="O7" s="35" t="n">
        <f aca="false">INDEX(Parametros_ANEC73!$J$4:$J$6,MATCH($C7,Parametros_ANEC73!$A$4:$A$6,0))</f>
        <v>4</v>
      </c>
      <c r="P7" s="38" t="n">
        <f aca="false">IF(OR($D7=0,$G7=""),0,IF(AND($K7="Sim",$O7&lt;&gt;""),MAX(0,$H7*($E7-$O7)),0))</f>
        <v>0</v>
      </c>
      <c r="Q7" s="35" t="n">
        <f aca="false">INDEX(Parametros_ANEC73!$F$4:$F$6,MATCH($C7,Parametros_ANEC73!$A$4:$A$6,0))</f>
        <v>1</v>
      </c>
      <c r="R7" s="35" t="n">
        <f aca="false">INDEX(Parametros_ANEC73!$I$4:$I$6,MATCH($C7,Parametros_ANEC73!$A$4:$A$6,0))</f>
        <v>1.5</v>
      </c>
      <c r="S7" s="35" t="n">
        <f aca="false">INDEX(Parametros_ANEC73!$L$4:$L$6,MATCH($C7,Parametros_ANEC73!$A$4:$A$6,0))</f>
        <v>2</v>
      </c>
      <c r="T7" s="39" t="n">
        <f aca="false">INDEX(Parametros_ANEC73!$B$14:$B$25,MATCH($B7,Parametros_ANEC73!$A$14:$A$25,0))</f>
        <v>391</v>
      </c>
      <c r="U7" s="40" t="n">
        <f aca="false">IF(OR($D7=0,$G7=""),0,$D7*($T7/100)*($L7*$Q7+$N7*(IF($R7="",$Q7,$R7)-$Q7)+$P7*(IF($S7="",IF($R7="",$Q7,$R7),$S7)-IF($R7="",$Q7,$R7))))</f>
        <v>0</v>
      </c>
      <c r="V7" s="41" t="str">
        <f aca="false">IF(OR($D7=0,$G7=""),"",IF($H7*($E7-INDEX(Parametros_ANEC73!$M$4:$M$6,MATCH($C7,Parametros_ANEC73!$A$4:$A$6,0)))&gt;0,"Sim","Nao"))</f>
        <v/>
      </c>
      <c r="W7" s="27" t="str">
        <f aca="false">$A7&amp;"|"&amp;$B7&amp;"|"&amp;$C7</f>
        <v>Amaggi|Fev|Fibra</v>
      </c>
    </row>
    <row r="8" customFormat="false" ht="15" hidden="false" customHeight="false" outlineLevel="0" collapsed="false">
      <c r="A8" s="27" t="s">
        <v>39</v>
      </c>
      <c r="B8" s="27" t="s">
        <v>60</v>
      </c>
      <c r="C8" s="27" t="s">
        <v>109</v>
      </c>
      <c r="D8" s="34" t="n">
        <f aca="false">SUMIFS(Media_Cliente_Mes!$C$2:$C$145,Media_Cliente_Mes!$A$2:$A$145,$A8,Media_Cliente_Mes!$B$2:$B$145,$B8)</f>
        <v>0</v>
      </c>
      <c r="E8" s="35" t="str">
        <f aca="false">IF($D8=0,"",IF($C8="Proteina",SUMIFS(Media_Cliente_Mes!$D$2:$D$145,Media_Cliente_Mes!$A$2:$A$145,$A8,Media_Cliente_Mes!$B$2:$B$145,$B8),IF($C8="Umidade",SUMIFS(Media_Cliente_Mes!$E$2:$E$145,Media_Cliente_Mes!$A$2:$A$145,$A8,Media_Cliente_Mes!$B$2:$B$145,$B8),SUMIFS(Media_Cliente_Mes!$F$2:$F$145,Media_Cliente_Mes!$A$2:$A$145,$A8,Media_Cliente_Mes!$B$2:$B$145,$B8))))</f>
        <v/>
      </c>
      <c r="F8" s="35" t="n">
        <f aca="false">INDEX(Parametros_ANEC73!$C$4:$C$6,MATCH($C8,Parametros_ANEC73!$A$4:$A$6,0))</f>
        <v>48</v>
      </c>
      <c r="G8" s="35" t="n">
        <f aca="false">IF($C8="Proteina",INDEX(Media_Pool_Mes!$C$2:$C$13,MATCH($B8,Media_Pool_Mes!$A$2:$A$13,0)),IF($C8="Umidade",INDEX(Media_Pool_Mes!$D$2:$D$13,MATCH($B8,Media_Pool_Mes!$A$2:$A$13,0)),INDEX(Media_Pool_Mes!$E$2:$E$13,MATCH($B8,Media_Pool_Mes!$A$2:$A$13,0))))</f>
        <v>47.332231823374</v>
      </c>
      <c r="H8" s="37" t="n">
        <f aca="false">INDEX(Parametros_ANEC73!$B$4:$B$6,MATCH($C8,Parametros_ANEC73!$A$4:$A$6,0))</f>
        <v>-1</v>
      </c>
      <c r="I8" s="38" t="str">
        <f aca="false">IF(OR($D8=0,$G8=""),"",IF($H8*($G8-$F8)&gt;0,$G8,$F8))</f>
        <v/>
      </c>
      <c r="J8" s="27" t="str">
        <f aca="false">IF(OR($D8=0,$G8=""),"",IF($H8*($G8-$F8)&gt;0,"Sim","Nao"))</f>
        <v/>
      </c>
      <c r="K8" s="27" t="str">
        <f aca="false">IF(OR($D8=0,$G8=""),"",IF(AND($H8*($E8-$F8)&gt;0,$H8*($E8-$G8)&gt;0),"Sim","Nao"))</f>
        <v/>
      </c>
      <c r="L8" s="38" t="n">
        <f aca="false">IF(OR($D8=0,$G8=""),0,IF($K8="Sim",MAX(0,$H8*($E8-$I8)),0))</f>
        <v>0</v>
      </c>
      <c r="M8" s="35" t="n">
        <f aca="false">INDEX(Parametros_ANEC73!$G$4:$G$6,MATCH($C8,Parametros_ANEC73!$A$4:$A$6,0))</f>
        <v>47</v>
      </c>
      <c r="N8" s="38" t="n">
        <f aca="false">IF(OR($D8=0,$G8=""),0,IF(AND($K8="Sim",$M8&lt;&gt;""),MAX(0,$H8*($E8-$M8)),0))</f>
        <v>0</v>
      </c>
      <c r="O8" s="35" t="n">
        <f aca="false">INDEX(Parametros_ANEC73!$J$4:$J$6,MATCH($C8,Parametros_ANEC73!$A$4:$A$6,0))</f>
        <v>0</v>
      </c>
      <c r="P8" s="38" t="n">
        <f aca="false">IF(OR($D8=0,$G8=""),0,IF(AND($K8="Sim",$O8&lt;&gt;""),MAX(0,$H8*($E8-$O8)),0))</f>
        <v>0</v>
      </c>
      <c r="Q8" s="35" t="n">
        <f aca="false">INDEX(Parametros_ANEC73!$F$4:$F$6,MATCH($C8,Parametros_ANEC73!$A$4:$A$6,0))</f>
        <v>1</v>
      </c>
      <c r="R8" s="35" t="n">
        <f aca="false">INDEX(Parametros_ANEC73!$I$4:$I$6,MATCH($C8,Parametros_ANEC73!$A$4:$A$6,0))</f>
        <v>2</v>
      </c>
      <c r="S8" s="35" t="n">
        <f aca="false">INDEX(Parametros_ANEC73!$L$4:$L$6,MATCH($C8,Parametros_ANEC73!$A$4:$A$6,0))</f>
        <v>0</v>
      </c>
      <c r="T8" s="39" t="n">
        <f aca="false">INDEX(Parametros_ANEC73!$B$14:$B$25,MATCH($B8,Parametros_ANEC73!$A$14:$A$25,0))</f>
        <v>404</v>
      </c>
      <c r="U8" s="40" t="n">
        <f aca="false">IF(OR($D8=0,$G8=""),0,$D8*($T8/100)*($L8*$Q8+$N8*(IF($R8="",$Q8,$R8)-$Q8)+$P8*(IF($S8="",IF($R8="",$Q8,$R8),$S8)-IF($R8="",$Q8,$R8))))</f>
        <v>0</v>
      </c>
      <c r="V8" s="41" t="str">
        <f aca="false">IF(OR($D8=0,$G8=""),"",IF($H8*($E8-INDEX(Parametros_ANEC73!$M$4:$M$6,MATCH($C8,Parametros_ANEC73!$A$4:$A$6,0)))&gt;0,"Sim","Nao"))</f>
        <v/>
      </c>
      <c r="W8" s="27" t="str">
        <f aca="false">$A8&amp;"|"&amp;$B8&amp;"|"&amp;$C8</f>
        <v>Amaggi|Mar|Proteina</v>
      </c>
    </row>
    <row r="9" customFormat="false" ht="15" hidden="false" customHeight="false" outlineLevel="0" collapsed="false">
      <c r="A9" s="27" t="s">
        <v>39</v>
      </c>
      <c r="B9" s="27" t="s">
        <v>60</v>
      </c>
      <c r="C9" s="27" t="s">
        <v>110</v>
      </c>
      <c r="D9" s="34" t="n">
        <f aca="false">SUMIFS(Media_Cliente_Mes!$C$2:$C$145,Media_Cliente_Mes!$A$2:$A$145,$A9,Media_Cliente_Mes!$B$2:$B$145,$B9)</f>
        <v>0</v>
      </c>
      <c r="E9" s="35" t="str">
        <f aca="false">IF($D9=0,"",IF($C9="Proteina",SUMIFS(Media_Cliente_Mes!$D$2:$D$145,Media_Cliente_Mes!$A$2:$A$145,$A9,Media_Cliente_Mes!$B$2:$B$145,$B9),IF($C9="Umidade",SUMIFS(Media_Cliente_Mes!$E$2:$E$145,Media_Cliente_Mes!$A$2:$A$145,$A9,Media_Cliente_Mes!$B$2:$B$145,$B9),SUMIFS(Media_Cliente_Mes!$F$2:$F$145,Media_Cliente_Mes!$A$2:$A$145,$A9,Media_Cliente_Mes!$B$2:$B$145,$B9))))</f>
        <v/>
      </c>
      <c r="F9" s="35" t="n">
        <f aca="false">INDEX(Parametros_ANEC73!$C$4:$C$6,MATCH($C9,Parametros_ANEC73!$A$4:$A$6,0))</f>
        <v>12.5</v>
      </c>
      <c r="G9" s="35" t="n">
        <f aca="false">IF($C9="Proteina",INDEX(Media_Pool_Mes!$C$2:$C$13,MATCH($B9,Media_Pool_Mes!$A$2:$A$13,0)),IF($C9="Umidade",INDEX(Media_Pool_Mes!$D$2:$D$13,MATCH($B9,Media_Pool_Mes!$A$2:$A$13,0)),INDEX(Media_Pool_Mes!$E$2:$E$13,MATCH($B9,Media_Pool_Mes!$A$2:$A$13,0))))</f>
        <v>12.1740859181947</v>
      </c>
      <c r="H9" s="37" t="n">
        <f aca="false">INDEX(Parametros_ANEC73!$B$4:$B$6,MATCH($C9,Parametros_ANEC73!$A$4:$A$6,0))</f>
        <v>1</v>
      </c>
      <c r="I9" s="38" t="str">
        <f aca="false">IF(OR($D9=0,$G9=""),"",IF($H9*($G9-$F9)&gt;0,$G9,$F9))</f>
        <v/>
      </c>
      <c r="J9" s="27" t="str">
        <f aca="false">IF(OR($D9=0,$G9=""),"",IF($H9*($G9-$F9)&gt;0,"Sim","Nao"))</f>
        <v/>
      </c>
      <c r="K9" s="27" t="str">
        <f aca="false">IF(OR($D9=0,$G9=""),"",IF(AND($H9*($E9-$F9)&gt;0,$H9*($E9-$G9)&gt;0),"Sim","Nao"))</f>
        <v/>
      </c>
      <c r="L9" s="38" t="n">
        <f aca="false">IF(OR($D9=0,$G9=""),0,IF($K9="Sim",MAX(0,$H9*($E9-$I9)),0))</f>
        <v>0</v>
      </c>
      <c r="M9" s="35" t="n">
        <f aca="false">INDEX(Parametros_ANEC73!$G$4:$G$6,MATCH($C9,Parametros_ANEC73!$A$4:$A$6,0))</f>
        <v>0</v>
      </c>
      <c r="N9" s="38" t="n">
        <f aca="false">IF(OR($D9=0,$G9=""),0,IF(AND($K9="Sim",$M9&lt;&gt;""),MAX(0,$H9*($E9-$M9)),0))</f>
        <v>0</v>
      </c>
      <c r="O9" s="35" t="n">
        <f aca="false">INDEX(Parametros_ANEC73!$J$4:$J$6,MATCH($C9,Parametros_ANEC73!$A$4:$A$6,0))</f>
        <v>0</v>
      </c>
      <c r="P9" s="38" t="n">
        <f aca="false">IF(OR($D9=0,$G9=""),0,IF(AND($K9="Sim",$O9&lt;&gt;""),MAX(0,$H9*($E9-$O9)),0))</f>
        <v>0</v>
      </c>
      <c r="Q9" s="35" t="n">
        <f aca="false">INDEX(Parametros_ANEC73!$F$4:$F$6,MATCH($C9,Parametros_ANEC73!$A$4:$A$6,0))</f>
        <v>1</v>
      </c>
      <c r="R9" s="35" t="n">
        <f aca="false">INDEX(Parametros_ANEC73!$I$4:$I$6,MATCH($C9,Parametros_ANEC73!$A$4:$A$6,0))</f>
        <v>0</v>
      </c>
      <c r="S9" s="35" t="n">
        <f aca="false">INDEX(Parametros_ANEC73!$L$4:$L$6,MATCH($C9,Parametros_ANEC73!$A$4:$A$6,0))</f>
        <v>0</v>
      </c>
      <c r="T9" s="39" t="n">
        <f aca="false">INDEX(Parametros_ANEC73!$B$14:$B$25,MATCH($B9,Parametros_ANEC73!$A$14:$A$25,0))</f>
        <v>404</v>
      </c>
      <c r="U9" s="40" t="n">
        <f aca="false">IF(OR($D9=0,$G9=""),0,$D9*($T9/100)*($L9*$Q9+$N9*(IF($R9="",$Q9,$R9)-$Q9)+$P9*(IF($S9="",IF($R9="",$Q9,$R9),$S9)-IF($R9="",$Q9,$R9))))</f>
        <v>0</v>
      </c>
      <c r="V9" s="41" t="str">
        <f aca="false">IF(OR($D9=0,$G9=""),"",IF($H9*($E9-INDEX(Parametros_ANEC73!$M$4:$M$6,MATCH($C9,Parametros_ANEC73!$A$4:$A$6,0)))&gt;0,"Sim","Nao"))</f>
        <v/>
      </c>
      <c r="W9" s="27" t="str">
        <f aca="false">$A9&amp;"|"&amp;$B9&amp;"|"&amp;$C9</f>
        <v>Amaggi|Mar|Umidade</v>
      </c>
    </row>
    <row r="10" customFormat="false" ht="15" hidden="false" customHeight="false" outlineLevel="0" collapsed="false">
      <c r="A10" s="27" t="s">
        <v>39</v>
      </c>
      <c r="B10" s="27" t="s">
        <v>60</v>
      </c>
      <c r="C10" s="27" t="s">
        <v>111</v>
      </c>
      <c r="D10" s="34" t="n">
        <f aca="false">SUMIFS(Media_Cliente_Mes!$C$2:$C$145,Media_Cliente_Mes!$A$2:$A$145,$A10,Media_Cliente_Mes!$B$2:$B$145,$B10)</f>
        <v>0</v>
      </c>
      <c r="E10" s="35" t="str">
        <f aca="false">IF($D10=0,"",IF($C10="Proteina",SUMIFS(Media_Cliente_Mes!$D$2:$D$145,Media_Cliente_Mes!$A$2:$A$145,$A10,Media_Cliente_Mes!$B$2:$B$145,$B10),IF($C10="Umidade",SUMIFS(Media_Cliente_Mes!$E$2:$E$145,Media_Cliente_Mes!$A$2:$A$145,$A10,Media_Cliente_Mes!$B$2:$B$145,$B10),SUMIFS(Media_Cliente_Mes!$F$2:$F$145,Media_Cliente_Mes!$A$2:$A$145,$A10,Media_Cliente_Mes!$B$2:$B$145,$B10))))</f>
        <v/>
      </c>
      <c r="F10" s="35" t="n">
        <f aca="false">INDEX(Parametros_ANEC73!$C$4:$C$6,MATCH($C10,Parametros_ANEC73!$A$4:$A$6,0))</f>
        <v>3.5</v>
      </c>
      <c r="G10" s="35" t="n">
        <f aca="false">IF($C10="Proteina",INDEX(Media_Pool_Mes!$C$2:$C$13,MATCH($B10,Media_Pool_Mes!$A$2:$A$13,0)),IF($C10="Umidade",INDEX(Media_Pool_Mes!$D$2:$D$13,MATCH($B10,Media_Pool_Mes!$A$2:$A$13,0)),INDEX(Media_Pool_Mes!$E$2:$E$13,MATCH($B10,Media_Pool_Mes!$A$2:$A$13,0))))</f>
        <v>3.70596068520473</v>
      </c>
      <c r="H10" s="37" t="n">
        <f aca="false">INDEX(Parametros_ANEC73!$B$4:$B$6,MATCH($C10,Parametros_ANEC73!$A$4:$A$6,0))</f>
        <v>1</v>
      </c>
      <c r="I10" s="38" t="str">
        <f aca="false">IF(OR($D10=0,$G10=""),"",IF($H10*($G10-$F10)&gt;0,$G10,$F10))</f>
        <v/>
      </c>
      <c r="J10" s="27" t="str">
        <f aca="false">IF(OR($D10=0,$G10=""),"",IF($H10*($G10-$F10)&gt;0,"Sim","Nao"))</f>
        <v/>
      </c>
      <c r="K10" s="27" t="str">
        <f aca="false">IF(OR($D10=0,$G10=""),"",IF(AND($H10*($E10-$F10)&gt;0,$H10*($E10-$G10)&gt;0),"Sim","Nao"))</f>
        <v/>
      </c>
      <c r="L10" s="38" t="n">
        <f aca="false">IF(OR($D10=0,$G10=""),0,IF($K10="Sim",MAX(0,$H10*($E10-$I10)),0))</f>
        <v>0</v>
      </c>
      <c r="M10" s="35" t="n">
        <f aca="false">INDEX(Parametros_ANEC73!$G$4:$G$6,MATCH($C10,Parametros_ANEC73!$A$4:$A$6,0))</f>
        <v>3.8</v>
      </c>
      <c r="N10" s="38" t="n">
        <f aca="false">IF(OR($D10=0,$G10=""),0,IF(AND($K10="Sim",$M10&lt;&gt;""),MAX(0,$H10*($E10-$M10)),0))</f>
        <v>0</v>
      </c>
      <c r="O10" s="35" t="n">
        <f aca="false">INDEX(Parametros_ANEC73!$J$4:$J$6,MATCH($C10,Parametros_ANEC73!$A$4:$A$6,0))</f>
        <v>4</v>
      </c>
      <c r="P10" s="38" t="n">
        <f aca="false">IF(OR($D10=0,$G10=""),0,IF(AND($K10="Sim",$O10&lt;&gt;""),MAX(0,$H10*($E10-$O10)),0))</f>
        <v>0</v>
      </c>
      <c r="Q10" s="35" t="n">
        <f aca="false">INDEX(Parametros_ANEC73!$F$4:$F$6,MATCH($C10,Parametros_ANEC73!$A$4:$A$6,0))</f>
        <v>1</v>
      </c>
      <c r="R10" s="35" t="n">
        <f aca="false">INDEX(Parametros_ANEC73!$I$4:$I$6,MATCH($C10,Parametros_ANEC73!$A$4:$A$6,0))</f>
        <v>1.5</v>
      </c>
      <c r="S10" s="35" t="n">
        <f aca="false">INDEX(Parametros_ANEC73!$L$4:$L$6,MATCH($C10,Parametros_ANEC73!$A$4:$A$6,0))</f>
        <v>2</v>
      </c>
      <c r="T10" s="39" t="n">
        <f aca="false">INDEX(Parametros_ANEC73!$B$14:$B$25,MATCH($B10,Parametros_ANEC73!$A$14:$A$25,0))</f>
        <v>404</v>
      </c>
      <c r="U10" s="40" t="n">
        <f aca="false">IF(OR($D10=0,$G10=""),0,$D10*($T10/100)*($L10*$Q10+$N10*(IF($R10="",$Q10,$R10)-$Q10)+$P10*(IF($S10="",IF($R10="",$Q10,$R10),$S10)-IF($R10="",$Q10,$R10))))</f>
        <v>0</v>
      </c>
      <c r="V10" s="41" t="str">
        <f aca="false">IF(OR($D10=0,$G10=""),"",IF($H10*($E10-INDEX(Parametros_ANEC73!$M$4:$M$6,MATCH($C10,Parametros_ANEC73!$A$4:$A$6,0)))&gt;0,"Sim","Nao"))</f>
        <v/>
      </c>
      <c r="W10" s="27" t="str">
        <f aca="false">$A10&amp;"|"&amp;$B10&amp;"|"&amp;$C10</f>
        <v>Amaggi|Mar|Fibra</v>
      </c>
    </row>
    <row r="11" customFormat="false" ht="15" hidden="false" customHeight="false" outlineLevel="0" collapsed="false">
      <c r="A11" s="27" t="s">
        <v>39</v>
      </c>
      <c r="B11" s="27" t="s">
        <v>61</v>
      </c>
      <c r="C11" s="27" t="s">
        <v>109</v>
      </c>
      <c r="D11" s="34" t="n">
        <f aca="false">SUMIFS(Media_Cliente_Mes!$C$2:$C$145,Media_Cliente_Mes!$A$2:$A$145,$A11,Media_Cliente_Mes!$B$2:$B$145,$B11)</f>
        <v>16786.6</v>
      </c>
      <c r="E11" s="35" t="n">
        <f aca="false">IF($D11=0,"",IF($C11="Proteina",SUMIFS(Media_Cliente_Mes!$D$2:$D$145,Media_Cliente_Mes!$A$2:$A$145,$A11,Media_Cliente_Mes!$B$2:$B$145,$B11),IF($C11="Umidade",SUMIFS(Media_Cliente_Mes!$E$2:$E$145,Media_Cliente_Mes!$A$2:$A$145,$A11,Media_Cliente_Mes!$B$2:$B$145,$B11),SUMIFS(Media_Cliente_Mes!$F$2:$F$145,Media_Cliente_Mes!$A$2:$A$145,$A11,Media_Cliente_Mes!$B$2:$B$145,$B11))))</f>
        <v>47.3792490438802</v>
      </c>
      <c r="F11" s="35" t="n">
        <f aca="false">INDEX(Parametros_ANEC73!$C$4:$C$6,MATCH($C11,Parametros_ANEC73!$A$4:$A$6,0))</f>
        <v>48</v>
      </c>
      <c r="G11" s="35" t="n">
        <f aca="false">IF($C11="Proteina",INDEX(Media_Pool_Mes!$C$2:$C$13,MATCH($B11,Media_Pool_Mes!$A$2:$A$13,0)),IF($C11="Umidade",INDEX(Media_Pool_Mes!$D$2:$D$13,MATCH($B11,Media_Pool_Mes!$A$2:$A$13,0)),INDEX(Media_Pool_Mes!$E$2:$E$13,MATCH($B11,Media_Pool_Mes!$A$2:$A$13,0))))</f>
        <v>47.5395057496784</v>
      </c>
      <c r="H11" s="37" t="n">
        <f aca="false">INDEX(Parametros_ANEC73!$B$4:$B$6,MATCH($C11,Parametros_ANEC73!$A$4:$A$6,0))</f>
        <v>-1</v>
      </c>
      <c r="I11" s="38" t="n">
        <f aca="false">IF(OR($D11=0,$G11=""),"",IF($H11*($G11-$F11)&gt;0,$G11,$F11))</f>
        <v>47.5395057496784</v>
      </c>
      <c r="J11" s="27" t="str">
        <f aca="false">IF(OR($D11=0,$G11=""),"",IF($H11*($G11-$F11)&gt;0,"Sim","Nao"))</f>
        <v>Sim</v>
      </c>
      <c r="K11" s="27" t="str">
        <f aca="false">IF(OR($D11=0,$G11=""),"",IF(AND($H11*($E11-$F11)&gt;0,$H11*($E11-$G11)&gt;0),"Sim","Nao"))</f>
        <v>Sim</v>
      </c>
      <c r="L11" s="38" t="n">
        <f aca="false">IF(OR($D11=0,$G11=""),0,IF($K11="Sim",MAX(0,$H11*($E11-$I11)),0))</f>
        <v>0.160256705798155</v>
      </c>
      <c r="M11" s="35" t="n">
        <f aca="false">INDEX(Parametros_ANEC73!$G$4:$G$6,MATCH($C11,Parametros_ANEC73!$A$4:$A$6,0))</f>
        <v>47</v>
      </c>
      <c r="N11" s="38" t="n">
        <f aca="false">IF(OR($D11=0,$G11=""),0,IF(AND($K11="Sim",$M11&lt;&gt;""),MAX(0,$H11*($E11-$M11)),0))</f>
        <v>0</v>
      </c>
      <c r="O11" s="35" t="n">
        <f aca="false">INDEX(Parametros_ANEC73!$J$4:$J$6,MATCH($C11,Parametros_ANEC73!$A$4:$A$6,0))</f>
        <v>0</v>
      </c>
      <c r="P11" s="38" t="n">
        <f aca="false">IF(OR($D11=0,$G11=""),0,IF(AND($K11="Sim",$O11&lt;&gt;""),MAX(0,$H11*($E11-$O11)),0))</f>
        <v>0</v>
      </c>
      <c r="Q11" s="35" t="n">
        <f aca="false">INDEX(Parametros_ANEC73!$F$4:$F$6,MATCH($C11,Parametros_ANEC73!$A$4:$A$6,0))</f>
        <v>1</v>
      </c>
      <c r="R11" s="35" t="n">
        <f aca="false">INDEX(Parametros_ANEC73!$I$4:$I$6,MATCH($C11,Parametros_ANEC73!$A$4:$A$6,0))</f>
        <v>2</v>
      </c>
      <c r="S11" s="35" t="n">
        <f aca="false">INDEX(Parametros_ANEC73!$L$4:$L$6,MATCH($C11,Parametros_ANEC73!$A$4:$A$6,0))</f>
        <v>0</v>
      </c>
      <c r="T11" s="39" t="n">
        <f aca="false">INDEX(Parametros_ANEC73!$B$14:$B$25,MATCH($B11,Parametros_ANEC73!$A$14:$A$25,0))</f>
        <v>415</v>
      </c>
      <c r="U11" s="40" t="n">
        <f aca="false">IF(OR($D11=0,$G11=""),0,$D11*($T11/100)*($L11*$Q11+$N11*(IF($R11="",$Q11,$R11)-$Q11)+$P11*(IF($S11="",IF($R11="",$Q11,$R11),$S11)-IF($R11="",$Q11,$R11))))</f>
        <v>11164.1856528379</v>
      </c>
      <c r="V11" s="41" t="str">
        <f aca="false">IF(OR($D11=0,$G11=""),"",IF($H11*($E11-INDEX(Parametros_ANEC73!$M$4:$M$6,MATCH($C11,Parametros_ANEC73!$A$4:$A$6,0)))&gt;0,"Sim","Nao"))</f>
        <v>Nao</v>
      </c>
      <c r="W11" s="27" t="str">
        <f aca="false">$A11&amp;"|"&amp;$B11&amp;"|"&amp;$C11</f>
        <v>Amaggi|Abr|Proteina</v>
      </c>
    </row>
    <row r="12" customFormat="false" ht="15" hidden="false" customHeight="false" outlineLevel="0" collapsed="false">
      <c r="A12" s="27" t="s">
        <v>39</v>
      </c>
      <c r="B12" s="27" t="s">
        <v>61</v>
      </c>
      <c r="C12" s="27" t="s">
        <v>110</v>
      </c>
      <c r="D12" s="34" t="n">
        <f aca="false">SUMIFS(Media_Cliente_Mes!$C$2:$C$145,Media_Cliente_Mes!$A$2:$A$145,$A12,Media_Cliente_Mes!$B$2:$B$145,$B12)</f>
        <v>16786.6</v>
      </c>
      <c r="E12" s="35" t="n">
        <f aca="false">IF($D12=0,"",IF($C12="Proteina",SUMIFS(Media_Cliente_Mes!$D$2:$D$145,Media_Cliente_Mes!$A$2:$A$145,$A12,Media_Cliente_Mes!$B$2:$B$145,$B12),IF($C12="Umidade",SUMIFS(Media_Cliente_Mes!$E$2:$E$145,Media_Cliente_Mes!$A$2:$A$145,$A12,Media_Cliente_Mes!$B$2:$B$145,$B12),SUMIFS(Media_Cliente_Mes!$F$2:$F$145,Media_Cliente_Mes!$A$2:$A$145,$A12,Media_Cliente_Mes!$B$2:$B$145,$B12))))</f>
        <v>12.2752566928383</v>
      </c>
      <c r="F12" s="35" t="n">
        <f aca="false">INDEX(Parametros_ANEC73!$C$4:$C$6,MATCH($C12,Parametros_ANEC73!$A$4:$A$6,0))</f>
        <v>12.5</v>
      </c>
      <c r="G12" s="35" t="n">
        <f aca="false">IF($C12="Proteina",INDEX(Media_Pool_Mes!$C$2:$C$13,MATCH($B12,Media_Pool_Mes!$A$2:$A$13,0)),IF($C12="Umidade",INDEX(Media_Pool_Mes!$D$2:$D$13,MATCH($B12,Media_Pool_Mes!$A$2:$A$13,0)),INDEX(Media_Pool_Mes!$E$2:$E$13,MATCH($B12,Media_Pool_Mes!$A$2:$A$13,0))))</f>
        <v>12.3606134360148</v>
      </c>
      <c r="H12" s="37" t="n">
        <f aca="false">INDEX(Parametros_ANEC73!$B$4:$B$6,MATCH($C12,Parametros_ANEC73!$A$4:$A$6,0))</f>
        <v>1</v>
      </c>
      <c r="I12" s="38" t="n">
        <f aca="false">IF(OR($D12=0,$G12=""),"",IF($H12*($G12-$F12)&gt;0,$G12,$F12))</f>
        <v>12.5</v>
      </c>
      <c r="J12" s="27" t="str">
        <f aca="false">IF(OR($D12=0,$G12=""),"",IF($H12*($G12-$F12)&gt;0,"Sim","Nao"))</f>
        <v>Nao</v>
      </c>
      <c r="K12" s="27" t="str">
        <f aca="false">IF(OR($D12=0,$G12=""),"",IF(AND($H12*($E12-$F12)&gt;0,$H12*($E12-$G12)&gt;0),"Sim","Nao"))</f>
        <v>Nao</v>
      </c>
      <c r="L12" s="38" t="n">
        <f aca="false">IF(OR($D12=0,$G12=""),0,IF($K12="Sim",MAX(0,$H12*($E12-$I12)),0))</f>
        <v>0</v>
      </c>
      <c r="M12" s="35" t="n">
        <f aca="false">INDEX(Parametros_ANEC73!$G$4:$G$6,MATCH($C12,Parametros_ANEC73!$A$4:$A$6,0))</f>
        <v>0</v>
      </c>
      <c r="N12" s="38" t="n">
        <f aca="false">IF(OR($D12=0,$G12=""),0,IF(AND($K12="Sim",$M12&lt;&gt;""),MAX(0,$H12*($E12-$M12)),0))</f>
        <v>0</v>
      </c>
      <c r="O12" s="35" t="n">
        <f aca="false">INDEX(Parametros_ANEC73!$J$4:$J$6,MATCH($C12,Parametros_ANEC73!$A$4:$A$6,0))</f>
        <v>0</v>
      </c>
      <c r="P12" s="38" t="n">
        <f aca="false">IF(OR($D12=0,$G12=""),0,IF(AND($K12="Sim",$O12&lt;&gt;""),MAX(0,$H12*($E12-$O12)),0))</f>
        <v>0</v>
      </c>
      <c r="Q12" s="35" t="n">
        <f aca="false">INDEX(Parametros_ANEC73!$F$4:$F$6,MATCH($C12,Parametros_ANEC73!$A$4:$A$6,0))</f>
        <v>1</v>
      </c>
      <c r="R12" s="35" t="n">
        <f aca="false">INDEX(Parametros_ANEC73!$I$4:$I$6,MATCH($C12,Parametros_ANEC73!$A$4:$A$6,0))</f>
        <v>0</v>
      </c>
      <c r="S12" s="35" t="n">
        <f aca="false">INDEX(Parametros_ANEC73!$L$4:$L$6,MATCH($C12,Parametros_ANEC73!$A$4:$A$6,0))</f>
        <v>0</v>
      </c>
      <c r="T12" s="39" t="n">
        <f aca="false">INDEX(Parametros_ANEC73!$B$14:$B$25,MATCH($B12,Parametros_ANEC73!$A$14:$A$25,0))</f>
        <v>415</v>
      </c>
      <c r="U12" s="40" t="n">
        <f aca="false">IF(OR($D12=0,$G12=""),0,$D12*($T12/100)*($L12*$Q12+$N12*(IF($R12="",$Q12,$R12)-$Q12)+$P12*(IF($S12="",IF($R12="",$Q12,$R12),$S12)-IF($R12="",$Q12,$R12))))</f>
        <v>0</v>
      </c>
      <c r="V12" s="41" t="str">
        <f aca="false">IF(OR($D12=0,$G12=""),"",IF($H12*($E12-INDEX(Parametros_ANEC73!$M$4:$M$6,MATCH($C12,Parametros_ANEC73!$A$4:$A$6,0)))&gt;0,"Sim","Nao"))</f>
        <v>Nao</v>
      </c>
      <c r="W12" s="27" t="str">
        <f aca="false">$A12&amp;"|"&amp;$B12&amp;"|"&amp;$C12</f>
        <v>Amaggi|Abr|Umidade</v>
      </c>
    </row>
    <row r="13" customFormat="false" ht="15" hidden="false" customHeight="false" outlineLevel="0" collapsed="false">
      <c r="A13" s="27" t="s">
        <v>39</v>
      </c>
      <c r="B13" s="27" t="s">
        <v>61</v>
      </c>
      <c r="C13" s="27" t="s">
        <v>111</v>
      </c>
      <c r="D13" s="34" t="n">
        <f aca="false">SUMIFS(Media_Cliente_Mes!$C$2:$C$145,Media_Cliente_Mes!$A$2:$A$145,$A13,Media_Cliente_Mes!$B$2:$B$145,$B13)</f>
        <v>16786.6</v>
      </c>
      <c r="E13" s="35" t="n">
        <f aca="false">IF($D13=0,"",IF($C13="Proteina",SUMIFS(Media_Cliente_Mes!$D$2:$D$145,Media_Cliente_Mes!$A$2:$A$145,$A13,Media_Cliente_Mes!$B$2:$B$145,$B13),IF($C13="Umidade",SUMIFS(Media_Cliente_Mes!$E$2:$E$145,Media_Cliente_Mes!$A$2:$A$145,$A13,Media_Cliente_Mes!$B$2:$B$145,$B13),SUMIFS(Media_Cliente_Mes!$F$2:$F$145,Media_Cliente_Mes!$A$2:$A$145,$A13,Media_Cliente_Mes!$B$2:$B$145,$B13))))</f>
        <v>3.75</v>
      </c>
      <c r="F13" s="35" t="n">
        <f aca="false">INDEX(Parametros_ANEC73!$C$4:$C$6,MATCH($C13,Parametros_ANEC73!$A$4:$A$6,0))</f>
        <v>3.5</v>
      </c>
      <c r="G13" s="35" t="n">
        <f aca="false">IF($C13="Proteina",INDEX(Media_Pool_Mes!$C$2:$C$13,MATCH($B13,Media_Pool_Mes!$A$2:$A$13,0)),IF($C13="Umidade",INDEX(Media_Pool_Mes!$D$2:$D$13,MATCH($B13,Media_Pool_Mes!$A$2:$A$13,0)),INDEX(Media_Pool_Mes!$E$2:$E$13,MATCH($B13,Media_Pool_Mes!$A$2:$A$13,0))))</f>
        <v>3.66155636815217</v>
      </c>
      <c r="H13" s="37" t="n">
        <f aca="false">INDEX(Parametros_ANEC73!$B$4:$B$6,MATCH($C13,Parametros_ANEC73!$A$4:$A$6,0))</f>
        <v>1</v>
      </c>
      <c r="I13" s="38" t="n">
        <f aca="false">IF(OR($D13=0,$G13=""),"",IF($H13*($G13-$F13)&gt;0,$G13,$F13))</f>
        <v>3.66155636815217</v>
      </c>
      <c r="J13" s="27" t="str">
        <f aca="false">IF(OR($D13=0,$G13=""),"",IF($H13*($G13-$F13)&gt;0,"Sim","Nao"))</f>
        <v>Sim</v>
      </c>
      <c r="K13" s="27" t="str">
        <f aca="false">IF(OR($D13=0,$G13=""),"",IF(AND($H13*($E13-$F13)&gt;0,$H13*($E13-$G13)&gt;0),"Sim","Nao"))</f>
        <v>Sim</v>
      </c>
      <c r="L13" s="38" t="n">
        <f aca="false">IF(OR($D13=0,$G13=""),0,IF($K13="Sim",MAX(0,$H13*($E13-$I13)),0))</f>
        <v>0.0884436318478308</v>
      </c>
      <c r="M13" s="35" t="n">
        <f aca="false">INDEX(Parametros_ANEC73!$G$4:$G$6,MATCH($C13,Parametros_ANEC73!$A$4:$A$6,0))</f>
        <v>3.8</v>
      </c>
      <c r="N13" s="38" t="n">
        <f aca="false">IF(OR($D13=0,$G13=""),0,IF(AND($K13="Sim",$M13&lt;&gt;""),MAX(0,$H13*($E13-$M13)),0))</f>
        <v>0</v>
      </c>
      <c r="O13" s="35" t="n">
        <f aca="false">INDEX(Parametros_ANEC73!$J$4:$J$6,MATCH($C13,Parametros_ANEC73!$A$4:$A$6,0))</f>
        <v>4</v>
      </c>
      <c r="P13" s="38" t="n">
        <f aca="false">IF(OR($D13=0,$G13=""),0,IF(AND($K13="Sim",$O13&lt;&gt;""),MAX(0,$H13*($E13-$O13)),0))</f>
        <v>0</v>
      </c>
      <c r="Q13" s="35" t="n">
        <f aca="false">INDEX(Parametros_ANEC73!$F$4:$F$6,MATCH($C13,Parametros_ANEC73!$A$4:$A$6,0))</f>
        <v>1</v>
      </c>
      <c r="R13" s="35" t="n">
        <f aca="false">INDEX(Parametros_ANEC73!$I$4:$I$6,MATCH($C13,Parametros_ANEC73!$A$4:$A$6,0))</f>
        <v>1.5</v>
      </c>
      <c r="S13" s="35" t="n">
        <f aca="false">INDEX(Parametros_ANEC73!$L$4:$L$6,MATCH($C13,Parametros_ANEC73!$A$4:$A$6,0))</f>
        <v>2</v>
      </c>
      <c r="T13" s="39" t="n">
        <f aca="false">INDEX(Parametros_ANEC73!$B$14:$B$25,MATCH($B13,Parametros_ANEC73!$A$14:$A$25,0))</f>
        <v>415</v>
      </c>
      <c r="U13" s="40" t="n">
        <f aca="false">IF(OR($D13=0,$G13=""),0,$D13*($T13/100)*($L13*$Q13+$N13*(IF($R13="",$Q13,$R13)-$Q13)+$P13*(IF($S13="",IF($R13="",$Q13,$R13),$S13)-IF($R13="",$Q13,$R13))))</f>
        <v>6161.3716620637</v>
      </c>
      <c r="V13" s="41" t="str">
        <f aca="false">IF(OR($D13=0,$G13=""),"",IF($H13*($E13-INDEX(Parametros_ANEC73!$M$4:$M$6,MATCH($C13,Parametros_ANEC73!$A$4:$A$6,0)))&gt;0,"Sim","Nao"))</f>
        <v>Nao</v>
      </c>
      <c r="W13" s="27" t="str">
        <f aca="false">$A13&amp;"|"&amp;$B13&amp;"|"&amp;$C13</f>
        <v>Amaggi|Abr|Fibra</v>
      </c>
    </row>
    <row r="14" customFormat="false" ht="15" hidden="false" customHeight="false" outlineLevel="0" collapsed="false">
      <c r="A14" s="27" t="s">
        <v>39</v>
      </c>
      <c r="B14" s="27" t="s">
        <v>62</v>
      </c>
      <c r="C14" s="27" t="s">
        <v>109</v>
      </c>
      <c r="D14" s="34" t="n">
        <f aca="false">SUMIFS(Media_Cliente_Mes!$C$2:$C$145,Media_Cliente_Mes!$A$2:$A$145,$A14,Media_Cliente_Mes!$B$2:$B$145,$B14)</f>
        <v>43820.37</v>
      </c>
      <c r="E14" s="35" t="n">
        <f aca="false">IF($D14=0,"",IF($C14="Proteina",SUMIFS(Media_Cliente_Mes!$D$2:$D$145,Media_Cliente_Mes!$A$2:$A$145,$A14,Media_Cliente_Mes!$B$2:$B$145,$B14),IF($C14="Umidade",SUMIFS(Media_Cliente_Mes!$E$2:$E$145,Media_Cliente_Mes!$A$2:$A$145,$A14,Media_Cliente_Mes!$B$2:$B$145,$B14),SUMIFS(Media_Cliente_Mes!$F$2:$F$145,Media_Cliente_Mes!$A$2:$A$145,$A14,Media_Cliente_Mes!$B$2:$B$145,$B14))))</f>
        <v>47.5830749238311</v>
      </c>
      <c r="F14" s="35" t="n">
        <f aca="false">INDEX(Parametros_ANEC73!$C$4:$C$6,MATCH($C14,Parametros_ANEC73!$A$4:$A$6,0))</f>
        <v>48</v>
      </c>
      <c r="G14" s="35" t="n">
        <f aca="false">IF($C14="Proteina",INDEX(Media_Pool_Mes!$C$2:$C$13,MATCH($B14,Media_Pool_Mes!$A$2:$A$13,0)),IF($C14="Umidade",INDEX(Media_Pool_Mes!$D$2:$D$13,MATCH($B14,Media_Pool_Mes!$A$2:$A$13,0)),INDEX(Media_Pool_Mes!$E$2:$E$13,MATCH($B14,Media_Pool_Mes!$A$2:$A$13,0))))</f>
        <v>47.6334614958572</v>
      </c>
      <c r="H14" s="37" t="n">
        <f aca="false">INDEX(Parametros_ANEC73!$B$4:$B$6,MATCH($C14,Parametros_ANEC73!$A$4:$A$6,0))</f>
        <v>-1</v>
      </c>
      <c r="I14" s="38" t="n">
        <f aca="false">IF(OR($D14=0,$G14=""),"",IF($H14*($G14-$F14)&gt;0,$G14,$F14))</f>
        <v>47.6334614958572</v>
      </c>
      <c r="J14" s="27" t="str">
        <f aca="false">IF(OR($D14=0,$G14=""),"",IF($H14*($G14-$F14)&gt;0,"Sim","Nao"))</f>
        <v>Sim</v>
      </c>
      <c r="K14" s="27" t="str">
        <f aca="false">IF(OR($D14=0,$G14=""),"",IF(AND($H14*($E14-$F14)&gt;0,$H14*($E14-$G14)&gt;0),"Sim","Nao"))</f>
        <v>Sim</v>
      </c>
      <c r="L14" s="38" t="n">
        <f aca="false">IF(OR($D14=0,$G14=""),0,IF($K14="Sim",MAX(0,$H14*($E14-$I14)),0))</f>
        <v>0.0503865720261132</v>
      </c>
      <c r="M14" s="35" t="n">
        <f aca="false">INDEX(Parametros_ANEC73!$G$4:$G$6,MATCH($C14,Parametros_ANEC73!$A$4:$A$6,0))</f>
        <v>47</v>
      </c>
      <c r="N14" s="38" t="n">
        <f aca="false">IF(OR($D14=0,$G14=""),0,IF(AND($K14="Sim",$M14&lt;&gt;""),MAX(0,$H14*($E14-$M14)),0))</f>
        <v>0</v>
      </c>
      <c r="O14" s="35" t="n">
        <f aca="false">INDEX(Parametros_ANEC73!$J$4:$J$6,MATCH($C14,Parametros_ANEC73!$A$4:$A$6,0))</f>
        <v>0</v>
      </c>
      <c r="P14" s="38" t="n">
        <f aca="false">IF(OR($D14=0,$G14=""),0,IF(AND($K14="Sim",$O14&lt;&gt;""),MAX(0,$H14*($E14-$O14)),0))</f>
        <v>0</v>
      </c>
      <c r="Q14" s="35" t="n">
        <f aca="false">INDEX(Parametros_ANEC73!$F$4:$F$6,MATCH($C14,Parametros_ANEC73!$A$4:$A$6,0))</f>
        <v>1</v>
      </c>
      <c r="R14" s="35" t="n">
        <f aca="false">INDEX(Parametros_ANEC73!$I$4:$I$6,MATCH($C14,Parametros_ANEC73!$A$4:$A$6,0))</f>
        <v>2</v>
      </c>
      <c r="S14" s="35" t="n">
        <f aca="false">INDEX(Parametros_ANEC73!$L$4:$L$6,MATCH($C14,Parametros_ANEC73!$A$4:$A$6,0))</f>
        <v>0</v>
      </c>
      <c r="T14" s="39" t="n">
        <f aca="false">INDEX(Parametros_ANEC73!$B$14:$B$25,MATCH($B14,Parametros_ANEC73!$A$14:$A$25,0))</f>
        <v>343</v>
      </c>
      <c r="U14" s="40" t="n">
        <f aca="false">IF(OR($D14=0,$G14=""),0,$D14*($T14/100)*($L14*$Q14+$N14*(IF($R14="",$Q14,$R14)-$Q14)+$P14*(IF($S14="",IF($R14="",$Q14,$R14),$S14)-IF($R14="",$Q14,$R14))))</f>
        <v>7573.29672621064</v>
      </c>
      <c r="V14" s="41" t="str">
        <f aca="false">IF(OR($D14=0,$G14=""),"",IF($H14*($E14-INDEX(Parametros_ANEC73!$M$4:$M$6,MATCH($C14,Parametros_ANEC73!$A$4:$A$6,0)))&gt;0,"Sim","Nao"))</f>
        <v>Nao</v>
      </c>
      <c r="W14" s="27" t="str">
        <f aca="false">$A14&amp;"|"&amp;$B14&amp;"|"&amp;$C14</f>
        <v>Amaggi|Mai|Proteina</v>
      </c>
    </row>
    <row r="15" customFormat="false" ht="15" hidden="false" customHeight="false" outlineLevel="0" collapsed="false">
      <c r="A15" s="27" t="s">
        <v>39</v>
      </c>
      <c r="B15" s="27" t="s">
        <v>62</v>
      </c>
      <c r="C15" s="27" t="s">
        <v>110</v>
      </c>
      <c r="D15" s="34" t="n">
        <f aca="false">SUMIFS(Media_Cliente_Mes!$C$2:$C$145,Media_Cliente_Mes!$A$2:$A$145,$A15,Media_Cliente_Mes!$B$2:$B$145,$B15)</f>
        <v>43820.37</v>
      </c>
      <c r="E15" s="35" t="n">
        <f aca="false">IF($D15=0,"",IF($C15="Proteina",SUMIFS(Media_Cliente_Mes!$D$2:$D$145,Media_Cliente_Mes!$A$2:$A$145,$A15,Media_Cliente_Mes!$B$2:$B$145,$B15),IF($C15="Umidade",SUMIFS(Media_Cliente_Mes!$E$2:$E$145,Media_Cliente_Mes!$A$2:$A$145,$A15,Media_Cliente_Mes!$B$2:$B$145,$B15),SUMIFS(Media_Cliente_Mes!$F$2:$F$145,Media_Cliente_Mes!$A$2:$A$145,$A15,Media_Cliente_Mes!$B$2:$B$145,$B15))))</f>
        <v>12.3889542123903</v>
      </c>
      <c r="F15" s="35" t="n">
        <f aca="false">INDEX(Parametros_ANEC73!$C$4:$C$6,MATCH($C15,Parametros_ANEC73!$A$4:$A$6,0))</f>
        <v>12.5</v>
      </c>
      <c r="G15" s="35" t="n">
        <f aca="false">IF($C15="Proteina",INDEX(Media_Pool_Mes!$C$2:$C$13,MATCH($B15,Media_Pool_Mes!$A$2:$A$13,0)),IF($C15="Umidade",INDEX(Media_Pool_Mes!$D$2:$D$13,MATCH($B15,Media_Pool_Mes!$A$2:$A$13,0)),INDEX(Media_Pool_Mes!$E$2:$E$13,MATCH($B15,Media_Pool_Mes!$A$2:$A$13,0))))</f>
        <v>12.3121752562954</v>
      </c>
      <c r="H15" s="37" t="n">
        <f aca="false">INDEX(Parametros_ANEC73!$B$4:$B$6,MATCH($C15,Parametros_ANEC73!$A$4:$A$6,0))</f>
        <v>1</v>
      </c>
      <c r="I15" s="38" t="n">
        <f aca="false">IF(OR($D15=0,$G15=""),"",IF($H15*($G15-$F15)&gt;0,$G15,$F15))</f>
        <v>12.5</v>
      </c>
      <c r="J15" s="27" t="str">
        <f aca="false">IF(OR($D15=0,$G15=""),"",IF($H15*($G15-$F15)&gt;0,"Sim","Nao"))</f>
        <v>Nao</v>
      </c>
      <c r="K15" s="27" t="str">
        <f aca="false">IF(OR($D15=0,$G15=""),"",IF(AND($H15*($E15-$F15)&gt;0,$H15*($E15-$G15)&gt;0),"Sim","Nao"))</f>
        <v>Nao</v>
      </c>
      <c r="L15" s="38" t="n">
        <f aca="false">IF(OR($D15=0,$G15=""),0,IF($K15="Sim",MAX(0,$H15*($E15-$I15)),0))</f>
        <v>0</v>
      </c>
      <c r="M15" s="35" t="n">
        <f aca="false">INDEX(Parametros_ANEC73!$G$4:$G$6,MATCH($C15,Parametros_ANEC73!$A$4:$A$6,0))</f>
        <v>0</v>
      </c>
      <c r="N15" s="38" t="n">
        <f aca="false">IF(OR($D15=0,$G15=""),0,IF(AND($K15="Sim",$M15&lt;&gt;""),MAX(0,$H15*($E15-$M15)),0))</f>
        <v>0</v>
      </c>
      <c r="O15" s="35" t="n">
        <f aca="false">INDEX(Parametros_ANEC73!$J$4:$J$6,MATCH($C15,Parametros_ANEC73!$A$4:$A$6,0))</f>
        <v>0</v>
      </c>
      <c r="P15" s="38" t="n">
        <f aca="false">IF(OR($D15=0,$G15=""),0,IF(AND($K15="Sim",$O15&lt;&gt;""),MAX(0,$H15*($E15-$O15)),0))</f>
        <v>0</v>
      </c>
      <c r="Q15" s="35" t="n">
        <f aca="false">INDEX(Parametros_ANEC73!$F$4:$F$6,MATCH($C15,Parametros_ANEC73!$A$4:$A$6,0))</f>
        <v>1</v>
      </c>
      <c r="R15" s="35" t="n">
        <f aca="false">INDEX(Parametros_ANEC73!$I$4:$I$6,MATCH($C15,Parametros_ANEC73!$A$4:$A$6,0))</f>
        <v>0</v>
      </c>
      <c r="S15" s="35" t="n">
        <f aca="false">INDEX(Parametros_ANEC73!$L$4:$L$6,MATCH($C15,Parametros_ANEC73!$A$4:$A$6,0))</f>
        <v>0</v>
      </c>
      <c r="T15" s="39" t="n">
        <f aca="false">INDEX(Parametros_ANEC73!$B$14:$B$25,MATCH($B15,Parametros_ANEC73!$A$14:$A$25,0))</f>
        <v>343</v>
      </c>
      <c r="U15" s="40" t="n">
        <f aca="false">IF(OR($D15=0,$G15=""),0,$D15*($T15/100)*($L15*$Q15+$N15*(IF($R15="",$Q15,$R15)-$Q15)+$P15*(IF($S15="",IF($R15="",$Q15,$R15),$S15)-IF($R15="",$Q15,$R15))))</f>
        <v>0</v>
      </c>
      <c r="V15" s="41" t="str">
        <f aca="false">IF(OR($D15=0,$G15=""),"",IF($H15*($E15-INDEX(Parametros_ANEC73!$M$4:$M$6,MATCH($C15,Parametros_ANEC73!$A$4:$A$6,0)))&gt;0,"Sim","Nao"))</f>
        <v>Nao</v>
      </c>
      <c r="W15" s="27" t="str">
        <f aca="false">$A15&amp;"|"&amp;$B15&amp;"|"&amp;$C15</f>
        <v>Amaggi|Mai|Umidade</v>
      </c>
    </row>
    <row r="16" customFormat="false" ht="15" hidden="false" customHeight="false" outlineLevel="0" collapsed="false">
      <c r="A16" s="27" t="s">
        <v>39</v>
      </c>
      <c r="B16" s="27" t="s">
        <v>62</v>
      </c>
      <c r="C16" s="27" t="s">
        <v>111</v>
      </c>
      <c r="D16" s="34" t="n">
        <f aca="false">SUMIFS(Media_Cliente_Mes!$C$2:$C$145,Media_Cliente_Mes!$A$2:$A$145,$A16,Media_Cliente_Mes!$B$2:$B$145,$B16)</f>
        <v>43820.37</v>
      </c>
      <c r="E16" s="35" t="n">
        <f aca="false">IF($D16=0,"",IF($C16="Proteina",SUMIFS(Media_Cliente_Mes!$D$2:$D$145,Media_Cliente_Mes!$A$2:$A$145,$A16,Media_Cliente_Mes!$B$2:$B$145,$B16),IF($C16="Umidade",SUMIFS(Media_Cliente_Mes!$E$2:$E$145,Media_Cliente_Mes!$A$2:$A$145,$A16,Media_Cliente_Mes!$B$2:$B$145,$B16),SUMIFS(Media_Cliente_Mes!$F$2:$F$145,Media_Cliente_Mes!$A$2:$A$145,$A16,Media_Cliente_Mes!$B$2:$B$145,$B16))))</f>
        <v>3.63771904253661</v>
      </c>
      <c r="F16" s="35" t="n">
        <f aca="false">INDEX(Parametros_ANEC73!$C$4:$C$6,MATCH($C16,Parametros_ANEC73!$A$4:$A$6,0))</f>
        <v>3.5</v>
      </c>
      <c r="G16" s="35" t="n">
        <f aca="false">IF($C16="Proteina",INDEX(Media_Pool_Mes!$C$2:$C$13,MATCH($B16,Media_Pool_Mes!$A$2:$A$13,0)),IF($C16="Umidade",INDEX(Media_Pool_Mes!$D$2:$D$13,MATCH($B16,Media_Pool_Mes!$A$2:$A$13,0)),INDEX(Media_Pool_Mes!$E$2:$E$13,MATCH($B16,Media_Pool_Mes!$A$2:$A$13,0))))</f>
        <v>3.64524916105719</v>
      </c>
      <c r="H16" s="37" t="n">
        <f aca="false">INDEX(Parametros_ANEC73!$B$4:$B$6,MATCH($C16,Parametros_ANEC73!$A$4:$A$6,0))</f>
        <v>1</v>
      </c>
      <c r="I16" s="38" t="n">
        <f aca="false">IF(OR($D16=0,$G16=""),"",IF($H16*($G16-$F16)&gt;0,$G16,$F16))</f>
        <v>3.64524916105719</v>
      </c>
      <c r="J16" s="27" t="str">
        <f aca="false">IF(OR($D16=0,$G16=""),"",IF($H16*($G16-$F16)&gt;0,"Sim","Nao"))</f>
        <v>Sim</v>
      </c>
      <c r="K16" s="27" t="str">
        <f aca="false">IF(OR($D16=0,$G16=""),"",IF(AND($H16*($E16-$F16)&gt;0,$H16*($E16-$G16)&gt;0),"Sim","Nao"))</f>
        <v>Nao</v>
      </c>
      <c r="L16" s="38" t="n">
        <f aca="false">IF(OR($D16=0,$G16=""),0,IF($K16="Sim",MAX(0,$H16*($E16-$I16)),0))</f>
        <v>0</v>
      </c>
      <c r="M16" s="35" t="n">
        <f aca="false">INDEX(Parametros_ANEC73!$G$4:$G$6,MATCH($C16,Parametros_ANEC73!$A$4:$A$6,0))</f>
        <v>3.8</v>
      </c>
      <c r="N16" s="38" t="n">
        <f aca="false">IF(OR($D16=0,$G16=""),0,IF(AND($K16="Sim",$M16&lt;&gt;""),MAX(0,$H16*($E16-$M16)),0))</f>
        <v>0</v>
      </c>
      <c r="O16" s="35" t="n">
        <f aca="false">INDEX(Parametros_ANEC73!$J$4:$J$6,MATCH($C16,Parametros_ANEC73!$A$4:$A$6,0))</f>
        <v>4</v>
      </c>
      <c r="P16" s="38" t="n">
        <f aca="false">IF(OR($D16=0,$G16=""),0,IF(AND($K16="Sim",$O16&lt;&gt;""),MAX(0,$H16*($E16-$O16)),0))</f>
        <v>0</v>
      </c>
      <c r="Q16" s="35" t="n">
        <f aca="false">INDEX(Parametros_ANEC73!$F$4:$F$6,MATCH($C16,Parametros_ANEC73!$A$4:$A$6,0))</f>
        <v>1</v>
      </c>
      <c r="R16" s="35" t="n">
        <f aca="false">INDEX(Parametros_ANEC73!$I$4:$I$6,MATCH($C16,Parametros_ANEC73!$A$4:$A$6,0))</f>
        <v>1.5</v>
      </c>
      <c r="S16" s="35" t="n">
        <f aca="false">INDEX(Parametros_ANEC73!$L$4:$L$6,MATCH($C16,Parametros_ANEC73!$A$4:$A$6,0))</f>
        <v>2</v>
      </c>
      <c r="T16" s="39" t="n">
        <f aca="false">INDEX(Parametros_ANEC73!$B$14:$B$25,MATCH($B16,Parametros_ANEC73!$A$14:$A$25,0))</f>
        <v>343</v>
      </c>
      <c r="U16" s="40" t="n">
        <f aca="false">IF(OR($D16=0,$G16=""),0,$D16*($T16/100)*($L16*$Q16+$N16*(IF($R16="",$Q16,$R16)-$Q16)+$P16*(IF($S16="",IF($R16="",$Q16,$R16),$S16)-IF($R16="",$Q16,$R16))))</f>
        <v>0</v>
      </c>
      <c r="V16" s="41" t="str">
        <f aca="false">IF(OR($D16=0,$G16=""),"",IF($H16*($E16-INDEX(Parametros_ANEC73!$M$4:$M$6,MATCH($C16,Parametros_ANEC73!$A$4:$A$6,0)))&gt;0,"Sim","Nao"))</f>
        <v>Nao</v>
      </c>
      <c r="W16" s="27" t="str">
        <f aca="false">$A16&amp;"|"&amp;$B16&amp;"|"&amp;$C16</f>
        <v>Amaggi|Mai|Fibra</v>
      </c>
    </row>
    <row r="17" customFormat="false" ht="15" hidden="false" customHeight="false" outlineLevel="0" collapsed="false">
      <c r="A17" s="27" t="s">
        <v>39</v>
      </c>
      <c r="B17" s="27" t="s">
        <v>63</v>
      </c>
      <c r="C17" s="27" t="s">
        <v>109</v>
      </c>
      <c r="D17" s="34" t="n">
        <f aca="false">SUMIFS(Media_Cliente_Mes!$C$2:$C$145,Media_Cliente_Mes!$A$2:$A$145,$A17,Media_Cliente_Mes!$B$2:$B$145,$B17)</f>
        <v>41353.91</v>
      </c>
      <c r="E17" s="35" t="n">
        <f aca="false">IF($D17=0,"",IF($C17="Proteina",SUMIFS(Media_Cliente_Mes!$D$2:$D$145,Media_Cliente_Mes!$A$2:$A$145,$A17,Media_Cliente_Mes!$B$2:$B$145,$B17),IF($C17="Umidade",SUMIFS(Media_Cliente_Mes!$E$2:$E$145,Media_Cliente_Mes!$A$2:$A$145,$A17,Media_Cliente_Mes!$B$2:$B$145,$B17),SUMIFS(Media_Cliente_Mes!$F$2:$F$145,Media_Cliente_Mes!$A$2:$A$145,$A17,Media_Cliente_Mes!$B$2:$B$145,$B17))))</f>
        <v>47.4970982405291</v>
      </c>
      <c r="F17" s="35" t="n">
        <f aca="false">INDEX(Parametros_ANEC73!$C$4:$C$6,MATCH($C17,Parametros_ANEC73!$A$4:$A$6,0))</f>
        <v>48</v>
      </c>
      <c r="G17" s="35" t="n">
        <f aca="false">IF($C17="Proteina",INDEX(Media_Pool_Mes!$C$2:$C$13,MATCH($B17,Media_Pool_Mes!$A$2:$A$13,0)),IF($C17="Umidade",INDEX(Media_Pool_Mes!$D$2:$D$13,MATCH($B17,Media_Pool_Mes!$A$2:$A$13,0)),INDEX(Media_Pool_Mes!$E$2:$E$13,MATCH($B17,Media_Pool_Mes!$A$2:$A$13,0))))</f>
        <v>47.4834226367413</v>
      </c>
      <c r="H17" s="37" t="n">
        <f aca="false">INDEX(Parametros_ANEC73!$B$4:$B$6,MATCH($C17,Parametros_ANEC73!$A$4:$A$6,0))</f>
        <v>-1</v>
      </c>
      <c r="I17" s="38" t="n">
        <f aca="false">IF(OR($D17=0,$G17=""),"",IF($H17*($G17-$F17)&gt;0,$G17,$F17))</f>
        <v>47.4834226367413</v>
      </c>
      <c r="J17" s="27" t="str">
        <f aca="false">IF(OR($D17=0,$G17=""),"",IF($H17*($G17-$F17)&gt;0,"Sim","Nao"))</f>
        <v>Sim</v>
      </c>
      <c r="K17" s="27" t="str">
        <f aca="false">IF(OR($D17=0,$G17=""),"",IF(AND($H17*($E17-$F17)&gt;0,$H17*($E17-$G17)&gt;0),"Sim","Nao"))</f>
        <v>Nao</v>
      </c>
      <c r="L17" s="38" t="n">
        <f aca="false">IF(OR($D17=0,$G17=""),0,IF($K17="Sim",MAX(0,$H17*($E17-$I17)),0))</f>
        <v>0</v>
      </c>
      <c r="M17" s="35" t="n">
        <f aca="false">INDEX(Parametros_ANEC73!$G$4:$G$6,MATCH($C17,Parametros_ANEC73!$A$4:$A$6,0))</f>
        <v>47</v>
      </c>
      <c r="N17" s="38" t="n">
        <f aca="false">IF(OR($D17=0,$G17=""),0,IF(AND($K17="Sim",$M17&lt;&gt;""),MAX(0,$H17*($E17-$M17)),0))</f>
        <v>0</v>
      </c>
      <c r="O17" s="35" t="n">
        <f aca="false">INDEX(Parametros_ANEC73!$J$4:$J$6,MATCH($C17,Parametros_ANEC73!$A$4:$A$6,0))</f>
        <v>0</v>
      </c>
      <c r="P17" s="38" t="n">
        <f aca="false">IF(OR($D17=0,$G17=""),0,IF(AND($K17="Sim",$O17&lt;&gt;""),MAX(0,$H17*($E17-$O17)),0))</f>
        <v>0</v>
      </c>
      <c r="Q17" s="35" t="n">
        <f aca="false">INDEX(Parametros_ANEC73!$F$4:$F$6,MATCH($C17,Parametros_ANEC73!$A$4:$A$6,0))</f>
        <v>1</v>
      </c>
      <c r="R17" s="35" t="n">
        <f aca="false">INDEX(Parametros_ANEC73!$I$4:$I$6,MATCH($C17,Parametros_ANEC73!$A$4:$A$6,0))</f>
        <v>2</v>
      </c>
      <c r="S17" s="35" t="n">
        <f aca="false">INDEX(Parametros_ANEC73!$L$4:$L$6,MATCH($C17,Parametros_ANEC73!$A$4:$A$6,0))</f>
        <v>0</v>
      </c>
      <c r="T17" s="39" t="n">
        <f aca="false">INDEX(Parametros_ANEC73!$B$14:$B$25,MATCH($B17,Parametros_ANEC73!$A$14:$A$25,0))</f>
        <v>326</v>
      </c>
      <c r="U17" s="40" t="n">
        <f aca="false">IF(OR($D17=0,$G17=""),0,$D17*($T17/100)*($L17*$Q17+$N17*(IF($R17="",$Q17,$R17)-$Q17)+$P17*(IF($S17="",IF($R17="",$Q17,$R17),$S17)-IF($R17="",$Q17,$R17))))</f>
        <v>0</v>
      </c>
      <c r="V17" s="41" t="str">
        <f aca="false">IF(OR($D17=0,$G17=""),"",IF($H17*($E17-INDEX(Parametros_ANEC73!$M$4:$M$6,MATCH($C17,Parametros_ANEC73!$A$4:$A$6,0)))&gt;0,"Sim","Nao"))</f>
        <v>Nao</v>
      </c>
      <c r="W17" s="27" t="str">
        <f aca="false">$A17&amp;"|"&amp;$B17&amp;"|"&amp;$C17</f>
        <v>Amaggi|Jun|Proteina</v>
      </c>
    </row>
    <row r="18" customFormat="false" ht="15" hidden="false" customHeight="false" outlineLevel="0" collapsed="false">
      <c r="A18" s="27" t="s">
        <v>39</v>
      </c>
      <c r="B18" s="27" t="s">
        <v>63</v>
      </c>
      <c r="C18" s="27" t="s">
        <v>110</v>
      </c>
      <c r="D18" s="34" t="n">
        <f aca="false">SUMIFS(Media_Cliente_Mes!$C$2:$C$145,Media_Cliente_Mes!$A$2:$A$145,$A18,Media_Cliente_Mes!$B$2:$B$145,$B18)</f>
        <v>41353.91</v>
      </c>
      <c r="E18" s="35" t="n">
        <f aca="false">IF($D18=0,"",IF($C18="Proteina",SUMIFS(Media_Cliente_Mes!$D$2:$D$145,Media_Cliente_Mes!$A$2:$A$145,$A18,Media_Cliente_Mes!$B$2:$B$145,$B18),IF($C18="Umidade",SUMIFS(Media_Cliente_Mes!$E$2:$E$145,Media_Cliente_Mes!$A$2:$A$145,$A18,Media_Cliente_Mes!$B$2:$B$145,$B18),SUMIFS(Media_Cliente_Mes!$F$2:$F$145,Media_Cliente_Mes!$A$2:$A$145,$A18,Media_Cliente_Mes!$B$2:$B$145,$B18))))</f>
        <v>12.4137175469019</v>
      </c>
      <c r="F18" s="35" t="n">
        <f aca="false">INDEX(Parametros_ANEC73!$C$4:$C$6,MATCH($C18,Parametros_ANEC73!$A$4:$A$6,0))</f>
        <v>12.5</v>
      </c>
      <c r="G18" s="35" t="n">
        <f aca="false">IF($C18="Proteina",INDEX(Media_Pool_Mes!$C$2:$C$13,MATCH($B18,Media_Pool_Mes!$A$2:$A$13,0)),IF($C18="Umidade",INDEX(Media_Pool_Mes!$D$2:$D$13,MATCH($B18,Media_Pool_Mes!$A$2:$A$13,0)),INDEX(Media_Pool_Mes!$E$2:$E$13,MATCH($B18,Media_Pool_Mes!$A$2:$A$13,0))))</f>
        <v>12.6225093779221</v>
      </c>
      <c r="H18" s="37" t="n">
        <f aca="false">INDEX(Parametros_ANEC73!$B$4:$B$6,MATCH($C18,Parametros_ANEC73!$A$4:$A$6,0))</f>
        <v>1</v>
      </c>
      <c r="I18" s="38" t="n">
        <f aca="false">IF(OR($D18=0,$G18=""),"",IF($H18*($G18-$F18)&gt;0,$G18,$F18))</f>
        <v>12.6225093779221</v>
      </c>
      <c r="J18" s="27" t="str">
        <f aca="false">IF(OR($D18=0,$G18=""),"",IF($H18*($G18-$F18)&gt;0,"Sim","Nao"))</f>
        <v>Sim</v>
      </c>
      <c r="K18" s="27" t="str">
        <f aca="false">IF(OR($D18=0,$G18=""),"",IF(AND($H18*($E18-$F18)&gt;0,$H18*($E18-$G18)&gt;0),"Sim","Nao"))</f>
        <v>Nao</v>
      </c>
      <c r="L18" s="38" t="n">
        <f aca="false">IF(OR($D18=0,$G18=""),0,IF($K18="Sim",MAX(0,$H18*($E18-$I18)),0))</f>
        <v>0</v>
      </c>
      <c r="M18" s="35" t="n">
        <f aca="false">INDEX(Parametros_ANEC73!$G$4:$G$6,MATCH($C18,Parametros_ANEC73!$A$4:$A$6,0))</f>
        <v>0</v>
      </c>
      <c r="N18" s="38" t="n">
        <f aca="false">IF(OR($D18=0,$G18=""),0,IF(AND($K18="Sim",$M18&lt;&gt;""),MAX(0,$H18*($E18-$M18)),0))</f>
        <v>0</v>
      </c>
      <c r="O18" s="35" t="n">
        <f aca="false">INDEX(Parametros_ANEC73!$J$4:$J$6,MATCH($C18,Parametros_ANEC73!$A$4:$A$6,0))</f>
        <v>0</v>
      </c>
      <c r="P18" s="38" t="n">
        <f aca="false">IF(OR($D18=0,$G18=""),0,IF(AND($K18="Sim",$O18&lt;&gt;""),MAX(0,$H18*($E18-$O18)),0))</f>
        <v>0</v>
      </c>
      <c r="Q18" s="35" t="n">
        <f aca="false">INDEX(Parametros_ANEC73!$F$4:$F$6,MATCH($C18,Parametros_ANEC73!$A$4:$A$6,0))</f>
        <v>1</v>
      </c>
      <c r="R18" s="35" t="n">
        <f aca="false">INDEX(Parametros_ANEC73!$I$4:$I$6,MATCH($C18,Parametros_ANEC73!$A$4:$A$6,0))</f>
        <v>0</v>
      </c>
      <c r="S18" s="35" t="n">
        <f aca="false">INDEX(Parametros_ANEC73!$L$4:$L$6,MATCH($C18,Parametros_ANEC73!$A$4:$A$6,0))</f>
        <v>0</v>
      </c>
      <c r="T18" s="39" t="n">
        <f aca="false">INDEX(Parametros_ANEC73!$B$14:$B$25,MATCH($B18,Parametros_ANEC73!$A$14:$A$25,0))</f>
        <v>326</v>
      </c>
      <c r="U18" s="40" t="n">
        <f aca="false">IF(OR($D18=0,$G18=""),0,$D18*($T18/100)*($L18*$Q18+$N18*(IF($R18="",$Q18,$R18)-$Q18)+$P18*(IF($S18="",IF($R18="",$Q18,$R18),$S18)-IF($R18="",$Q18,$R18))))</f>
        <v>0</v>
      </c>
      <c r="V18" s="41" t="str">
        <f aca="false">IF(OR($D18=0,$G18=""),"",IF($H18*($E18-INDEX(Parametros_ANEC73!$M$4:$M$6,MATCH($C18,Parametros_ANEC73!$A$4:$A$6,0)))&gt;0,"Sim","Nao"))</f>
        <v>Nao</v>
      </c>
      <c r="W18" s="27" t="str">
        <f aca="false">$A18&amp;"|"&amp;$B18&amp;"|"&amp;$C18</f>
        <v>Amaggi|Jun|Umidade</v>
      </c>
    </row>
    <row r="19" customFormat="false" ht="15" hidden="false" customHeight="false" outlineLevel="0" collapsed="false">
      <c r="A19" s="27" t="s">
        <v>39</v>
      </c>
      <c r="B19" s="27" t="s">
        <v>63</v>
      </c>
      <c r="C19" s="27" t="s">
        <v>111</v>
      </c>
      <c r="D19" s="34" t="n">
        <f aca="false">SUMIFS(Media_Cliente_Mes!$C$2:$C$145,Media_Cliente_Mes!$A$2:$A$145,$A19,Media_Cliente_Mes!$B$2:$B$145,$B19)</f>
        <v>41353.91</v>
      </c>
      <c r="E19" s="35" t="n">
        <f aca="false">IF($D19=0,"",IF($C19="Proteina",SUMIFS(Media_Cliente_Mes!$D$2:$D$145,Media_Cliente_Mes!$A$2:$A$145,$A19,Media_Cliente_Mes!$B$2:$B$145,$B19),IF($C19="Umidade",SUMIFS(Media_Cliente_Mes!$E$2:$E$145,Media_Cliente_Mes!$A$2:$A$145,$A19,Media_Cliente_Mes!$B$2:$B$145,$B19),SUMIFS(Media_Cliente_Mes!$F$2:$F$145,Media_Cliente_Mes!$A$2:$A$145,$A19,Media_Cliente_Mes!$B$2:$B$145,$B19))))</f>
        <v>3.6945016202821</v>
      </c>
      <c r="F19" s="35" t="n">
        <f aca="false">INDEX(Parametros_ANEC73!$C$4:$C$6,MATCH($C19,Parametros_ANEC73!$A$4:$A$6,0))</f>
        <v>3.5</v>
      </c>
      <c r="G19" s="35" t="n">
        <f aca="false">IF($C19="Proteina",INDEX(Media_Pool_Mes!$C$2:$C$13,MATCH($B19,Media_Pool_Mes!$A$2:$A$13,0)),IF($C19="Umidade",INDEX(Media_Pool_Mes!$D$2:$D$13,MATCH($B19,Media_Pool_Mes!$A$2:$A$13,0)),INDEX(Media_Pool_Mes!$E$2:$E$13,MATCH($B19,Media_Pool_Mes!$A$2:$A$13,0))))</f>
        <v>3.72652113613862</v>
      </c>
      <c r="H19" s="37" t="n">
        <f aca="false">INDEX(Parametros_ANEC73!$B$4:$B$6,MATCH($C19,Parametros_ANEC73!$A$4:$A$6,0))</f>
        <v>1</v>
      </c>
      <c r="I19" s="38" t="n">
        <f aca="false">IF(OR($D19=0,$G19=""),"",IF($H19*($G19-$F19)&gt;0,$G19,$F19))</f>
        <v>3.72652113613862</v>
      </c>
      <c r="J19" s="27" t="str">
        <f aca="false">IF(OR($D19=0,$G19=""),"",IF($H19*($G19-$F19)&gt;0,"Sim","Nao"))</f>
        <v>Sim</v>
      </c>
      <c r="K19" s="27" t="str">
        <f aca="false">IF(OR($D19=0,$G19=""),"",IF(AND($H19*($E19-$F19)&gt;0,$H19*($E19-$G19)&gt;0),"Sim","Nao"))</f>
        <v>Nao</v>
      </c>
      <c r="L19" s="38" t="n">
        <f aca="false">IF(OR($D19=0,$G19=""),0,IF($K19="Sim",MAX(0,$H19*($E19-$I19)),0))</f>
        <v>0</v>
      </c>
      <c r="M19" s="35" t="n">
        <f aca="false">INDEX(Parametros_ANEC73!$G$4:$G$6,MATCH($C19,Parametros_ANEC73!$A$4:$A$6,0))</f>
        <v>3.8</v>
      </c>
      <c r="N19" s="38" t="n">
        <f aca="false">IF(OR($D19=0,$G19=""),0,IF(AND($K19="Sim",$M19&lt;&gt;""),MAX(0,$H19*($E19-$M19)),0))</f>
        <v>0</v>
      </c>
      <c r="O19" s="35" t="n">
        <f aca="false">INDEX(Parametros_ANEC73!$J$4:$J$6,MATCH($C19,Parametros_ANEC73!$A$4:$A$6,0))</f>
        <v>4</v>
      </c>
      <c r="P19" s="38" t="n">
        <f aca="false">IF(OR($D19=0,$G19=""),0,IF(AND($K19="Sim",$O19&lt;&gt;""),MAX(0,$H19*($E19-$O19)),0))</f>
        <v>0</v>
      </c>
      <c r="Q19" s="35" t="n">
        <f aca="false">INDEX(Parametros_ANEC73!$F$4:$F$6,MATCH($C19,Parametros_ANEC73!$A$4:$A$6,0))</f>
        <v>1</v>
      </c>
      <c r="R19" s="35" t="n">
        <f aca="false">INDEX(Parametros_ANEC73!$I$4:$I$6,MATCH($C19,Parametros_ANEC73!$A$4:$A$6,0))</f>
        <v>1.5</v>
      </c>
      <c r="S19" s="35" t="n">
        <f aca="false">INDEX(Parametros_ANEC73!$L$4:$L$6,MATCH($C19,Parametros_ANEC73!$A$4:$A$6,0))</f>
        <v>2</v>
      </c>
      <c r="T19" s="39" t="n">
        <f aca="false">INDEX(Parametros_ANEC73!$B$14:$B$25,MATCH($B19,Parametros_ANEC73!$A$14:$A$25,0))</f>
        <v>326</v>
      </c>
      <c r="U19" s="40" t="n">
        <f aca="false">IF(OR($D19=0,$G19=""),0,$D19*($T19/100)*($L19*$Q19+$N19*(IF($R19="",$Q19,$R19)-$Q19)+$P19*(IF($S19="",IF($R19="",$Q19,$R19),$S19)-IF($R19="",$Q19,$R19))))</f>
        <v>0</v>
      </c>
      <c r="V19" s="41" t="str">
        <f aca="false">IF(OR($D19=0,$G19=""),"",IF($H19*($E19-INDEX(Parametros_ANEC73!$M$4:$M$6,MATCH($C19,Parametros_ANEC73!$A$4:$A$6,0)))&gt;0,"Sim","Nao"))</f>
        <v>Nao</v>
      </c>
      <c r="W19" s="27" t="str">
        <f aca="false">$A19&amp;"|"&amp;$B19&amp;"|"&amp;$C19</f>
        <v>Amaggi|Jun|Fibra</v>
      </c>
    </row>
    <row r="20" customFormat="false" ht="15" hidden="false" customHeight="false" outlineLevel="0" collapsed="false">
      <c r="A20" s="27" t="s">
        <v>39</v>
      </c>
      <c r="B20" s="27" t="s">
        <v>64</v>
      </c>
      <c r="C20" s="27" t="s">
        <v>109</v>
      </c>
      <c r="D20" s="34" t="n">
        <f aca="false">SUMIFS(Media_Cliente_Mes!$C$2:$C$145,Media_Cliente_Mes!$A$2:$A$145,$A20,Media_Cliente_Mes!$B$2:$B$145,$B20)</f>
        <v>46167.46</v>
      </c>
      <c r="E20" s="35" t="n">
        <f aca="false">IF($D20=0,"",IF($C20="Proteina",SUMIFS(Media_Cliente_Mes!$D$2:$D$145,Media_Cliente_Mes!$A$2:$A$145,$A20,Media_Cliente_Mes!$B$2:$B$145,$B20),IF($C20="Umidade",SUMIFS(Media_Cliente_Mes!$E$2:$E$145,Media_Cliente_Mes!$A$2:$A$145,$A20,Media_Cliente_Mes!$B$2:$B$145,$B20),SUMIFS(Media_Cliente_Mes!$F$2:$F$145,Media_Cliente_Mes!$A$2:$A$145,$A20,Media_Cliente_Mes!$B$2:$B$145,$B20))))</f>
        <v>47.3126271122561</v>
      </c>
      <c r="F20" s="35" t="n">
        <f aca="false">INDEX(Parametros_ANEC73!$C$4:$C$6,MATCH($C20,Parametros_ANEC73!$A$4:$A$6,0))</f>
        <v>48</v>
      </c>
      <c r="G20" s="35" t="n">
        <f aca="false">IF($C20="Proteina",INDEX(Media_Pool_Mes!$C$2:$C$13,MATCH($B20,Media_Pool_Mes!$A$2:$A$13,0)),IF($C20="Umidade",INDEX(Media_Pool_Mes!$D$2:$D$13,MATCH($B20,Media_Pool_Mes!$A$2:$A$13,0)),INDEX(Media_Pool_Mes!$E$2:$E$13,MATCH($B20,Media_Pool_Mes!$A$2:$A$13,0))))</f>
        <v>47.6816680231132</v>
      </c>
      <c r="H20" s="37" t="n">
        <f aca="false">INDEX(Parametros_ANEC73!$B$4:$B$6,MATCH($C20,Parametros_ANEC73!$A$4:$A$6,0))</f>
        <v>-1</v>
      </c>
      <c r="I20" s="38" t="n">
        <f aca="false">IF(OR($D20=0,$G20=""),"",IF($H20*($G20-$F20)&gt;0,$G20,$F20))</f>
        <v>47.6816680231132</v>
      </c>
      <c r="J20" s="27" t="str">
        <f aca="false">IF(OR($D20=0,$G20=""),"",IF($H20*($G20-$F20)&gt;0,"Sim","Nao"))</f>
        <v>Sim</v>
      </c>
      <c r="K20" s="27" t="str">
        <f aca="false">IF(OR($D20=0,$G20=""),"",IF(AND($H20*($E20-$F20)&gt;0,$H20*($E20-$G20)&gt;0),"Sim","Nao"))</f>
        <v>Sim</v>
      </c>
      <c r="L20" s="38" t="n">
        <f aca="false">IF(OR($D20=0,$G20=""),0,IF($K20="Sim",MAX(0,$H20*($E20-$I20)),0))</f>
        <v>0.369040910857109</v>
      </c>
      <c r="M20" s="35" t="n">
        <f aca="false">INDEX(Parametros_ANEC73!$G$4:$G$6,MATCH($C20,Parametros_ANEC73!$A$4:$A$6,0))</f>
        <v>47</v>
      </c>
      <c r="N20" s="38" t="n">
        <f aca="false">IF(OR($D20=0,$G20=""),0,IF(AND($K20="Sim",$M20&lt;&gt;""),MAX(0,$H20*($E20-$M20)),0))</f>
        <v>0</v>
      </c>
      <c r="O20" s="35" t="n">
        <f aca="false">INDEX(Parametros_ANEC73!$J$4:$J$6,MATCH($C20,Parametros_ANEC73!$A$4:$A$6,0))</f>
        <v>0</v>
      </c>
      <c r="P20" s="38" t="n">
        <f aca="false">IF(OR($D20=0,$G20=""),0,IF(AND($K20="Sim",$O20&lt;&gt;""),MAX(0,$H20*($E20-$O20)),0))</f>
        <v>0</v>
      </c>
      <c r="Q20" s="35" t="n">
        <f aca="false">INDEX(Parametros_ANEC73!$F$4:$F$6,MATCH($C20,Parametros_ANEC73!$A$4:$A$6,0))</f>
        <v>1</v>
      </c>
      <c r="R20" s="35" t="n">
        <f aca="false">INDEX(Parametros_ANEC73!$I$4:$I$6,MATCH($C20,Parametros_ANEC73!$A$4:$A$6,0))</f>
        <v>2</v>
      </c>
      <c r="S20" s="35" t="n">
        <f aca="false">INDEX(Parametros_ANEC73!$L$4:$L$6,MATCH($C20,Parametros_ANEC73!$A$4:$A$6,0))</f>
        <v>0</v>
      </c>
      <c r="T20" s="39" t="n">
        <f aca="false">INDEX(Parametros_ANEC73!$B$14:$B$25,MATCH($B20,Parametros_ANEC73!$A$14:$A$25,0))</f>
        <v>326</v>
      </c>
      <c r="U20" s="40" t="n">
        <f aca="false">IF(OR($D20=0,$G20=""),0,$D20*($T20/100)*($L20*$Q20+$N20*(IF($R20="",$Q20,$R20)-$Q20)+$P20*(IF($S20="",IF($R20="",$Q20,$R20),$S20)-IF($R20="",$Q20,$R20))))</f>
        <v>55542.8416585708</v>
      </c>
      <c r="V20" s="41" t="str">
        <f aca="false">IF(OR($D20=0,$G20=""),"",IF($H20*($E20-INDEX(Parametros_ANEC73!$M$4:$M$6,MATCH($C20,Parametros_ANEC73!$A$4:$A$6,0)))&gt;0,"Sim","Nao"))</f>
        <v>Nao</v>
      </c>
      <c r="W20" s="27" t="str">
        <f aca="false">$A20&amp;"|"&amp;$B20&amp;"|"&amp;$C20</f>
        <v>Amaggi|Jul|Proteina</v>
      </c>
    </row>
    <row r="21" customFormat="false" ht="15" hidden="false" customHeight="false" outlineLevel="0" collapsed="false">
      <c r="A21" s="27" t="s">
        <v>39</v>
      </c>
      <c r="B21" s="27" t="s">
        <v>64</v>
      </c>
      <c r="C21" s="27" t="s">
        <v>110</v>
      </c>
      <c r="D21" s="34" t="n">
        <f aca="false">SUMIFS(Media_Cliente_Mes!$C$2:$C$145,Media_Cliente_Mes!$A$2:$A$145,$A21,Media_Cliente_Mes!$B$2:$B$145,$B21)</f>
        <v>46167.46</v>
      </c>
      <c r="E21" s="35" t="n">
        <f aca="false">IF($D21=0,"",IF($C21="Proteina",SUMIFS(Media_Cliente_Mes!$D$2:$D$145,Media_Cliente_Mes!$A$2:$A$145,$A21,Media_Cliente_Mes!$B$2:$B$145,$B21),IF($C21="Umidade",SUMIFS(Media_Cliente_Mes!$E$2:$E$145,Media_Cliente_Mes!$A$2:$A$145,$A21,Media_Cliente_Mes!$B$2:$B$145,$B21),SUMIFS(Media_Cliente_Mes!$F$2:$F$145,Media_Cliente_Mes!$A$2:$A$145,$A21,Media_Cliente_Mes!$B$2:$B$145,$B21))))</f>
        <v>12.3186585465174</v>
      </c>
      <c r="F21" s="35" t="n">
        <f aca="false">INDEX(Parametros_ANEC73!$C$4:$C$6,MATCH($C21,Parametros_ANEC73!$A$4:$A$6,0))</f>
        <v>12.5</v>
      </c>
      <c r="G21" s="35" t="n">
        <f aca="false">IF($C21="Proteina",INDEX(Media_Pool_Mes!$C$2:$C$13,MATCH($B21,Media_Pool_Mes!$A$2:$A$13,0)),IF($C21="Umidade",INDEX(Media_Pool_Mes!$D$2:$D$13,MATCH($B21,Media_Pool_Mes!$A$2:$A$13,0)),INDEX(Media_Pool_Mes!$E$2:$E$13,MATCH($B21,Media_Pool_Mes!$A$2:$A$13,0))))</f>
        <v>12.2356489048309</v>
      </c>
      <c r="H21" s="37" t="n">
        <f aca="false">INDEX(Parametros_ANEC73!$B$4:$B$6,MATCH($C21,Parametros_ANEC73!$A$4:$A$6,0))</f>
        <v>1</v>
      </c>
      <c r="I21" s="38" t="n">
        <f aca="false">IF(OR($D21=0,$G21=""),"",IF($H21*($G21-$F21)&gt;0,$G21,$F21))</f>
        <v>12.5</v>
      </c>
      <c r="J21" s="27" t="str">
        <f aca="false">IF(OR($D21=0,$G21=""),"",IF($H21*($G21-$F21)&gt;0,"Sim","Nao"))</f>
        <v>Nao</v>
      </c>
      <c r="K21" s="27" t="str">
        <f aca="false">IF(OR($D21=0,$G21=""),"",IF(AND($H21*($E21-$F21)&gt;0,$H21*($E21-$G21)&gt;0),"Sim","Nao"))</f>
        <v>Nao</v>
      </c>
      <c r="L21" s="38" t="n">
        <f aca="false">IF(OR($D21=0,$G21=""),0,IF($K21="Sim",MAX(0,$H21*($E21-$I21)),0))</f>
        <v>0</v>
      </c>
      <c r="M21" s="35" t="n">
        <f aca="false">INDEX(Parametros_ANEC73!$G$4:$G$6,MATCH($C21,Parametros_ANEC73!$A$4:$A$6,0))</f>
        <v>0</v>
      </c>
      <c r="N21" s="38" t="n">
        <f aca="false">IF(OR($D21=0,$G21=""),0,IF(AND($K21="Sim",$M21&lt;&gt;""),MAX(0,$H21*($E21-$M21)),0))</f>
        <v>0</v>
      </c>
      <c r="O21" s="35" t="n">
        <f aca="false">INDEX(Parametros_ANEC73!$J$4:$J$6,MATCH($C21,Parametros_ANEC73!$A$4:$A$6,0))</f>
        <v>0</v>
      </c>
      <c r="P21" s="38" t="n">
        <f aca="false">IF(OR($D21=0,$G21=""),0,IF(AND($K21="Sim",$O21&lt;&gt;""),MAX(0,$H21*($E21-$O21)),0))</f>
        <v>0</v>
      </c>
      <c r="Q21" s="35" t="n">
        <f aca="false">INDEX(Parametros_ANEC73!$F$4:$F$6,MATCH($C21,Parametros_ANEC73!$A$4:$A$6,0))</f>
        <v>1</v>
      </c>
      <c r="R21" s="35" t="n">
        <f aca="false">INDEX(Parametros_ANEC73!$I$4:$I$6,MATCH($C21,Parametros_ANEC73!$A$4:$A$6,0))</f>
        <v>0</v>
      </c>
      <c r="S21" s="35" t="n">
        <f aca="false">INDEX(Parametros_ANEC73!$L$4:$L$6,MATCH($C21,Parametros_ANEC73!$A$4:$A$6,0))</f>
        <v>0</v>
      </c>
      <c r="T21" s="39" t="n">
        <f aca="false">INDEX(Parametros_ANEC73!$B$14:$B$25,MATCH($B21,Parametros_ANEC73!$A$14:$A$25,0))</f>
        <v>326</v>
      </c>
      <c r="U21" s="40" t="n">
        <f aca="false">IF(OR($D21=0,$G21=""),0,$D21*($T21/100)*($L21*$Q21+$N21*(IF($R21="",$Q21,$R21)-$Q21)+$P21*(IF($S21="",IF($R21="",$Q21,$R21),$S21)-IF($R21="",$Q21,$R21))))</f>
        <v>0</v>
      </c>
      <c r="V21" s="41" t="str">
        <f aca="false">IF(OR($D21=0,$G21=""),"",IF($H21*($E21-INDEX(Parametros_ANEC73!$M$4:$M$6,MATCH($C21,Parametros_ANEC73!$A$4:$A$6,0)))&gt;0,"Sim","Nao"))</f>
        <v>Nao</v>
      </c>
      <c r="W21" s="27" t="str">
        <f aca="false">$A21&amp;"|"&amp;$B21&amp;"|"&amp;$C21</f>
        <v>Amaggi|Jul|Umidade</v>
      </c>
    </row>
    <row r="22" customFormat="false" ht="15" hidden="false" customHeight="false" outlineLevel="0" collapsed="false">
      <c r="A22" s="27" t="s">
        <v>39</v>
      </c>
      <c r="B22" s="27" t="s">
        <v>64</v>
      </c>
      <c r="C22" s="27" t="s">
        <v>111</v>
      </c>
      <c r="D22" s="34" t="n">
        <f aca="false">SUMIFS(Media_Cliente_Mes!$C$2:$C$145,Media_Cliente_Mes!$A$2:$A$145,$A22,Media_Cliente_Mes!$B$2:$B$145,$B22)</f>
        <v>46167.46</v>
      </c>
      <c r="E22" s="35" t="n">
        <f aca="false">IF($D22=0,"",IF($C22="Proteina",SUMIFS(Media_Cliente_Mes!$D$2:$D$145,Media_Cliente_Mes!$A$2:$A$145,$A22,Media_Cliente_Mes!$B$2:$B$145,$B22),IF($C22="Umidade",SUMIFS(Media_Cliente_Mes!$E$2:$E$145,Media_Cliente_Mes!$A$2:$A$145,$A22,Media_Cliente_Mes!$B$2:$B$145,$B22),SUMIFS(Media_Cliente_Mes!$F$2:$F$145,Media_Cliente_Mes!$A$2:$A$145,$A22,Media_Cliente_Mes!$B$2:$B$145,$B22))))</f>
        <v>3.63484523515047</v>
      </c>
      <c r="F22" s="35" t="n">
        <f aca="false">INDEX(Parametros_ANEC73!$C$4:$C$6,MATCH($C22,Parametros_ANEC73!$A$4:$A$6,0))</f>
        <v>3.5</v>
      </c>
      <c r="G22" s="35" t="n">
        <f aca="false">IF($C22="Proteina",INDEX(Media_Pool_Mes!$C$2:$C$13,MATCH($B22,Media_Pool_Mes!$A$2:$A$13,0)),IF($C22="Umidade",INDEX(Media_Pool_Mes!$D$2:$D$13,MATCH($B22,Media_Pool_Mes!$A$2:$A$13,0)),INDEX(Media_Pool_Mes!$E$2:$E$13,MATCH($B22,Media_Pool_Mes!$A$2:$A$13,0))))</f>
        <v>3.48415625565953</v>
      </c>
      <c r="H22" s="37" t="n">
        <f aca="false">INDEX(Parametros_ANEC73!$B$4:$B$6,MATCH($C22,Parametros_ANEC73!$A$4:$A$6,0))</f>
        <v>1</v>
      </c>
      <c r="I22" s="38" t="n">
        <f aca="false">IF(OR($D22=0,$G22=""),"",IF($H22*($G22-$F22)&gt;0,$G22,$F22))</f>
        <v>3.5</v>
      </c>
      <c r="J22" s="27" t="str">
        <f aca="false">IF(OR($D22=0,$G22=""),"",IF($H22*($G22-$F22)&gt;0,"Sim","Nao"))</f>
        <v>Nao</v>
      </c>
      <c r="K22" s="27" t="str">
        <f aca="false">IF(OR($D22=0,$G22=""),"",IF(AND($H22*($E22-$F22)&gt;0,$H22*($E22-$G22)&gt;0),"Sim","Nao"))</f>
        <v>Sim</v>
      </c>
      <c r="L22" s="38" t="n">
        <f aca="false">IF(OR($D22=0,$G22=""),0,IF($K22="Sim",MAX(0,$H22*($E22-$I22)),0))</f>
        <v>0.134845235150471</v>
      </c>
      <c r="M22" s="35" t="n">
        <f aca="false">INDEX(Parametros_ANEC73!$G$4:$G$6,MATCH($C22,Parametros_ANEC73!$A$4:$A$6,0))</f>
        <v>3.8</v>
      </c>
      <c r="N22" s="38" t="n">
        <f aca="false">IF(OR($D22=0,$G22=""),0,IF(AND($K22="Sim",$M22&lt;&gt;""),MAX(0,$H22*($E22-$M22)),0))</f>
        <v>0</v>
      </c>
      <c r="O22" s="35" t="n">
        <f aca="false">INDEX(Parametros_ANEC73!$J$4:$J$6,MATCH($C22,Parametros_ANEC73!$A$4:$A$6,0))</f>
        <v>4</v>
      </c>
      <c r="P22" s="38" t="n">
        <f aca="false">IF(OR($D22=0,$G22=""),0,IF(AND($K22="Sim",$O22&lt;&gt;""),MAX(0,$H22*($E22-$O22)),0))</f>
        <v>0</v>
      </c>
      <c r="Q22" s="35" t="n">
        <f aca="false">INDEX(Parametros_ANEC73!$F$4:$F$6,MATCH($C22,Parametros_ANEC73!$A$4:$A$6,0))</f>
        <v>1</v>
      </c>
      <c r="R22" s="35" t="n">
        <f aca="false">INDEX(Parametros_ANEC73!$I$4:$I$6,MATCH($C22,Parametros_ANEC73!$A$4:$A$6,0))</f>
        <v>1.5</v>
      </c>
      <c r="S22" s="35" t="n">
        <f aca="false">INDEX(Parametros_ANEC73!$L$4:$L$6,MATCH($C22,Parametros_ANEC73!$A$4:$A$6,0))</f>
        <v>2</v>
      </c>
      <c r="T22" s="39" t="n">
        <f aca="false">INDEX(Parametros_ANEC73!$B$14:$B$25,MATCH($B22,Parametros_ANEC73!$A$14:$A$25,0))</f>
        <v>326</v>
      </c>
      <c r="U22" s="40" t="n">
        <f aca="false">IF(OR($D22=0,$G22=""),0,$D22*($T22/100)*($L22*$Q22+$N22*(IF($R22="",$Q22,$R22)-$Q22)+$P22*(IF($S22="",IF($R22="",$Q22,$R22),$S22)-IF($R22="",$Q22,$R22))))</f>
        <v>20295.0061199999</v>
      </c>
      <c r="V22" s="41" t="str">
        <f aca="false">IF(OR($D22=0,$G22=""),"",IF($H22*($E22-INDEX(Parametros_ANEC73!$M$4:$M$6,MATCH($C22,Parametros_ANEC73!$A$4:$A$6,0)))&gt;0,"Sim","Nao"))</f>
        <v>Nao</v>
      </c>
      <c r="W22" s="27" t="str">
        <f aca="false">$A22&amp;"|"&amp;$B22&amp;"|"&amp;$C22</f>
        <v>Amaggi|Jul|Fibra</v>
      </c>
    </row>
    <row r="23" customFormat="false" ht="15" hidden="false" customHeight="false" outlineLevel="0" collapsed="false">
      <c r="A23" s="27" t="s">
        <v>39</v>
      </c>
      <c r="B23" s="27" t="s">
        <v>65</v>
      </c>
      <c r="C23" s="27" t="s">
        <v>109</v>
      </c>
      <c r="D23" s="34" t="n">
        <f aca="false">SUMIFS(Media_Cliente_Mes!$C$2:$C$145,Media_Cliente_Mes!$A$2:$A$145,$A23,Media_Cliente_Mes!$B$2:$B$145,$B23)</f>
        <v>44263.22</v>
      </c>
      <c r="E23" s="35" t="n">
        <f aca="false">IF($D23=0,"",IF($C23="Proteina",SUMIFS(Media_Cliente_Mes!$D$2:$D$145,Media_Cliente_Mes!$A$2:$A$145,$A23,Media_Cliente_Mes!$B$2:$B$145,$B23),IF($C23="Umidade",SUMIFS(Media_Cliente_Mes!$E$2:$E$145,Media_Cliente_Mes!$A$2:$A$145,$A23,Media_Cliente_Mes!$B$2:$B$145,$B23),SUMIFS(Media_Cliente_Mes!$F$2:$F$145,Media_Cliente_Mes!$A$2:$A$145,$A23,Media_Cliente_Mes!$B$2:$B$145,$B23))))</f>
        <v>46.6847857656989</v>
      </c>
      <c r="F23" s="35" t="n">
        <f aca="false">INDEX(Parametros_ANEC73!$C$4:$C$6,MATCH($C23,Parametros_ANEC73!$A$4:$A$6,0))</f>
        <v>48</v>
      </c>
      <c r="G23" s="35" t="n">
        <f aca="false">IF($C23="Proteina",INDEX(Media_Pool_Mes!$C$2:$C$13,MATCH($B23,Media_Pool_Mes!$A$2:$A$13,0)),IF($C23="Umidade",INDEX(Media_Pool_Mes!$D$2:$D$13,MATCH($B23,Media_Pool_Mes!$A$2:$A$13,0)),INDEX(Media_Pool_Mes!$E$2:$E$13,MATCH($B23,Media_Pool_Mes!$A$2:$A$13,0))))</f>
        <v>47.3199561197423</v>
      </c>
      <c r="H23" s="37" t="n">
        <f aca="false">INDEX(Parametros_ANEC73!$B$4:$B$6,MATCH($C23,Parametros_ANEC73!$A$4:$A$6,0))</f>
        <v>-1</v>
      </c>
      <c r="I23" s="38" t="n">
        <f aca="false">IF(OR($D23=0,$G23=""),"",IF($H23*($G23-$F23)&gt;0,$G23,$F23))</f>
        <v>47.3199561197423</v>
      </c>
      <c r="J23" s="27" t="str">
        <f aca="false">IF(OR($D23=0,$G23=""),"",IF($H23*($G23-$F23)&gt;0,"Sim","Nao"))</f>
        <v>Sim</v>
      </c>
      <c r="K23" s="27" t="str">
        <f aca="false">IF(OR($D23=0,$G23=""),"",IF(AND($H23*($E23-$F23)&gt;0,$H23*($E23-$G23)&gt;0),"Sim","Nao"))</f>
        <v>Sim</v>
      </c>
      <c r="L23" s="38" t="n">
        <f aca="false">IF(OR($D23=0,$G23=""),0,IF($K23="Sim",MAX(0,$H23*($E23-$I23)),0))</f>
        <v>0.635170354043353</v>
      </c>
      <c r="M23" s="35" t="n">
        <f aca="false">INDEX(Parametros_ANEC73!$G$4:$G$6,MATCH($C23,Parametros_ANEC73!$A$4:$A$6,0))</f>
        <v>47</v>
      </c>
      <c r="N23" s="38" t="n">
        <f aca="false">IF(OR($D23=0,$G23=""),0,IF(AND($K23="Sim",$M23&lt;&gt;""),MAX(0,$H23*($E23-$M23)),0))</f>
        <v>0.315214234301074</v>
      </c>
      <c r="O23" s="35" t="n">
        <f aca="false">INDEX(Parametros_ANEC73!$J$4:$J$6,MATCH($C23,Parametros_ANEC73!$A$4:$A$6,0))</f>
        <v>0</v>
      </c>
      <c r="P23" s="38" t="n">
        <f aca="false">IF(OR($D23=0,$G23=""),0,IF(AND($K23="Sim",$O23&lt;&gt;""),MAX(0,$H23*($E23-$O23)),0))</f>
        <v>0</v>
      </c>
      <c r="Q23" s="35" t="n">
        <f aca="false">INDEX(Parametros_ANEC73!$F$4:$F$6,MATCH($C23,Parametros_ANEC73!$A$4:$A$6,0))</f>
        <v>1</v>
      </c>
      <c r="R23" s="35" t="n">
        <f aca="false">INDEX(Parametros_ANEC73!$I$4:$I$6,MATCH($C23,Parametros_ANEC73!$A$4:$A$6,0))</f>
        <v>2</v>
      </c>
      <c r="S23" s="35" t="n">
        <f aca="false">INDEX(Parametros_ANEC73!$L$4:$L$6,MATCH($C23,Parametros_ANEC73!$A$4:$A$6,0))</f>
        <v>0</v>
      </c>
      <c r="T23" s="39" t="n">
        <f aca="false">INDEX(Parametros_ANEC73!$B$14:$B$25,MATCH($B23,Parametros_ANEC73!$A$14:$A$25,0))</f>
        <v>326</v>
      </c>
      <c r="U23" s="40" t="n">
        <f aca="false">IF(OR($D23=0,$G23=""),0,$D23*($T23/100)*($L23*$Q23+$N23*(IF($R23="",$Q23,$R23)-$Q23)+$P23*(IF($S23="",IF($R23="",$Q23,$R23),$S23)-IF($R23="",$Q23,$R23))))</f>
        <v>137138.687706306</v>
      </c>
      <c r="V23" s="41" t="str">
        <f aca="false">IF(OR($D23=0,$G23=""),"",IF($H23*($E23-INDEX(Parametros_ANEC73!$M$4:$M$6,MATCH($C23,Parametros_ANEC73!$A$4:$A$6,0)))&gt;0,"Sim","Nao"))</f>
        <v>Sim</v>
      </c>
      <c r="W23" s="27" t="str">
        <f aca="false">$A23&amp;"|"&amp;$B23&amp;"|"&amp;$C23</f>
        <v>Amaggi|Ago|Proteina</v>
      </c>
    </row>
    <row r="24" customFormat="false" ht="15" hidden="false" customHeight="false" outlineLevel="0" collapsed="false">
      <c r="A24" s="27" t="s">
        <v>39</v>
      </c>
      <c r="B24" s="27" t="s">
        <v>65</v>
      </c>
      <c r="C24" s="27" t="s">
        <v>110</v>
      </c>
      <c r="D24" s="34" t="n">
        <f aca="false">SUMIFS(Media_Cliente_Mes!$C$2:$C$145,Media_Cliente_Mes!$A$2:$A$145,$A24,Media_Cliente_Mes!$B$2:$B$145,$B24)</f>
        <v>44263.22</v>
      </c>
      <c r="E24" s="35" t="n">
        <f aca="false">IF($D24=0,"",IF($C24="Proteina",SUMIFS(Media_Cliente_Mes!$D$2:$D$145,Media_Cliente_Mes!$A$2:$A$145,$A24,Media_Cliente_Mes!$B$2:$B$145,$B24),IF($C24="Umidade",SUMIFS(Media_Cliente_Mes!$E$2:$E$145,Media_Cliente_Mes!$A$2:$A$145,$A24,Media_Cliente_Mes!$B$2:$B$145,$B24),SUMIFS(Media_Cliente_Mes!$F$2:$F$145,Media_Cliente_Mes!$A$2:$A$145,$A24,Media_Cliente_Mes!$B$2:$B$145,$B24))))</f>
        <v>12.0926542126849</v>
      </c>
      <c r="F24" s="35" t="n">
        <f aca="false">INDEX(Parametros_ANEC73!$C$4:$C$6,MATCH($C24,Parametros_ANEC73!$A$4:$A$6,0))</f>
        <v>12.5</v>
      </c>
      <c r="G24" s="35" t="n">
        <f aca="false">IF($C24="Proteina",INDEX(Media_Pool_Mes!$C$2:$C$13,MATCH($B24,Media_Pool_Mes!$A$2:$A$13,0)),IF($C24="Umidade",INDEX(Media_Pool_Mes!$D$2:$D$13,MATCH($B24,Media_Pool_Mes!$A$2:$A$13,0)),INDEX(Media_Pool_Mes!$E$2:$E$13,MATCH($B24,Media_Pool_Mes!$A$2:$A$13,0))))</f>
        <v>12.2068387200965</v>
      </c>
      <c r="H24" s="37" t="n">
        <f aca="false">INDEX(Parametros_ANEC73!$B$4:$B$6,MATCH($C24,Parametros_ANEC73!$A$4:$A$6,0))</f>
        <v>1</v>
      </c>
      <c r="I24" s="38" t="n">
        <f aca="false">IF(OR($D24=0,$G24=""),"",IF($H24*($G24-$F24)&gt;0,$G24,$F24))</f>
        <v>12.5</v>
      </c>
      <c r="J24" s="27" t="str">
        <f aca="false">IF(OR($D24=0,$G24=""),"",IF($H24*($G24-$F24)&gt;0,"Sim","Nao"))</f>
        <v>Nao</v>
      </c>
      <c r="K24" s="27" t="str">
        <f aca="false">IF(OR($D24=0,$G24=""),"",IF(AND($H24*($E24-$F24)&gt;0,$H24*($E24-$G24)&gt;0),"Sim","Nao"))</f>
        <v>Nao</v>
      </c>
      <c r="L24" s="38" t="n">
        <f aca="false">IF(OR($D24=0,$G24=""),0,IF($K24="Sim",MAX(0,$H24*($E24-$I24)),0))</f>
        <v>0</v>
      </c>
      <c r="M24" s="35" t="n">
        <f aca="false">INDEX(Parametros_ANEC73!$G$4:$G$6,MATCH($C24,Parametros_ANEC73!$A$4:$A$6,0))</f>
        <v>0</v>
      </c>
      <c r="N24" s="38" t="n">
        <f aca="false">IF(OR($D24=0,$G24=""),0,IF(AND($K24="Sim",$M24&lt;&gt;""),MAX(0,$H24*($E24-$M24)),0))</f>
        <v>0</v>
      </c>
      <c r="O24" s="35" t="n">
        <f aca="false">INDEX(Parametros_ANEC73!$J$4:$J$6,MATCH($C24,Parametros_ANEC73!$A$4:$A$6,0))</f>
        <v>0</v>
      </c>
      <c r="P24" s="38" t="n">
        <f aca="false">IF(OR($D24=0,$G24=""),0,IF(AND($K24="Sim",$O24&lt;&gt;""),MAX(0,$H24*($E24-$O24)),0))</f>
        <v>0</v>
      </c>
      <c r="Q24" s="35" t="n">
        <f aca="false">INDEX(Parametros_ANEC73!$F$4:$F$6,MATCH($C24,Parametros_ANEC73!$A$4:$A$6,0))</f>
        <v>1</v>
      </c>
      <c r="R24" s="35" t="n">
        <f aca="false">INDEX(Parametros_ANEC73!$I$4:$I$6,MATCH($C24,Parametros_ANEC73!$A$4:$A$6,0))</f>
        <v>0</v>
      </c>
      <c r="S24" s="35" t="n">
        <f aca="false">INDEX(Parametros_ANEC73!$L$4:$L$6,MATCH($C24,Parametros_ANEC73!$A$4:$A$6,0))</f>
        <v>0</v>
      </c>
      <c r="T24" s="39" t="n">
        <f aca="false">INDEX(Parametros_ANEC73!$B$14:$B$25,MATCH($B24,Parametros_ANEC73!$A$14:$A$25,0))</f>
        <v>326</v>
      </c>
      <c r="U24" s="40" t="n">
        <f aca="false">IF(OR($D24=0,$G24=""),0,$D24*($T24/100)*($L24*$Q24+$N24*(IF($R24="",$Q24,$R24)-$Q24)+$P24*(IF($S24="",IF($R24="",$Q24,$R24),$S24)-IF($R24="",$Q24,$R24))))</f>
        <v>0</v>
      </c>
      <c r="V24" s="41" t="str">
        <f aca="false">IF(OR($D24=0,$G24=""),"",IF($H24*($E24-INDEX(Parametros_ANEC73!$M$4:$M$6,MATCH($C24,Parametros_ANEC73!$A$4:$A$6,0)))&gt;0,"Sim","Nao"))</f>
        <v>Nao</v>
      </c>
      <c r="W24" s="27" t="str">
        <f aca="false">$A24&amp;"|"&amp;$B24&amp;"|"&amp;$C24</f>
        <v>Amaggi|Ago|Umidade</v>
      </c>
    </row>
    <row r="25" customFormat="false" ht="15" hidden="false" customHeight="false" outlineLevel="0" collapsed="false">
      <c r="A25" s="27" t="s">
        <v>39</v>
      </c>
      <c r="B25" s="27" t="s">
        <v>65</v>
      </c>
      <c r="C25" s="27" t="s">
        <v>111</v>
      </c>
      <c r="D25" s="34" t="n">
        <f aca="false">SUMIFS(Media_Cliente_Mes!$C$2:$C$145,Media_Cliente_Mes!$A$2:$A$145,$A25,Media_Cliente_Mes!$B$2:$B$145,$B25)</f>
        <v>44263.22</v>
      </c>
      <c r="E25" s="35" t="n">
        <f aca="false">IF($D25=0,"",IF($C25="Proteina",SUMIFS(Media_Cliente_Mes!$D$2:$D$145,Media_Cliente_Mes!$A$2:$A$145,$A25,Media_Cliente_Mes!$B$2:$B$145,$B25),IF($C25="Umidade",SUMIFS(Media_Cliente_Mes!$E$2:$E$145,Media_Cliente_Mes!$A$2:$A$145,$A25,Media_Cliente_Mes!$B$2:$B$145,$B25),SUMIFS(Media_Cliente_Mes!$F$2:$F$145,Media_Cliente_Mes!$A$2:$A$145,$A25,Media_Cliente_Mes!$B$2:$B$145,$B25))))</f>
        <v>3.98946561050009</v>
      </c>
      <c r="F25" s="35" t="n">
        <f aca="false">INDEX(Parametros_ANEC73!$C$4:$C$6,MATCH($C25,Parametros_ANEC73!$A$4:$A$6,0))</f>
        <v>3.5</v>
      </c>
      <c r="G25" s="35" t="n">
        <f aca="false">IF($C25="Proteina",INDEX(Media_Pool_Mes!$C$2:$C$13,MATCH($B25,Media_Pool_Mes!$A$2:$A$13,0)),IF($C25="Umidade",INDEX(Media_Pool_Mes!$D$2:$D$13,MATCH($B25,Media_Pool_Mes!$A$2:$A$13,0)),INDEX(Media_Pool_Mes!$E$2:$E$13,MATCH($B25,Media_Pool_Mes!$A$2:$A$13,0))))</f>
        <v>3.7692688740906</v>
      </c>
      <c r="H25" s="37" t="n">
        <f aca="false">INDEX(Parametros_ANEC73!$B$4:$B$6,MATCH($C25,Parametros_ANEC73!$A$4:$A$6,0))</f>
        <v>1</v>
      </c>
      <c r="I25" s="38" t="n">
        <f aca="false">IF(OR($D25=0,$G25=""),"",IF($H25*($G25-$F25)&gt;0,$G25,$F25))</f>
        <v>3.7692688740906</v>
      </c>
      <c r="J25" s="27" t="str">
        <f aca="false">IF(OR($D25=0,$G25=""),"",IF($H25*($G25-$F25)&gt;0,"Sim","Nao"))</f>
        <v>Sim</v>
      </c>
      <c r="K25" s="27" t="str">
        <f aca="false">IF(OR($D25=0,$G25=""),"",IF(AND($H25*($E25-$F25)&gt;0,$H25*($E25-$G25)&gt;0),"Sim","Nao"))</f>
        <v>Sim</v>
      </c>
      <c r="L25" s="38" t="n">
        <f aca="false">IF(OR($D25=0,$G25=""),0,IF($K25="Sim",MAX(0,$H25*($E25-$I25)),0))</f>
        <v>0.220196736409496</v>
      </c>
      <c r="M25" s="35" t="n">
        <f aca="false">INDEX(Parametros_ANEC73!$G$4:$G$6,MATCH($C25,Parametros_ANEC73!$A$4:$A$6,0))</f>
        <v>3.8</v>
      </c>
      <c r="N25" s="38" t="n">
        <f aca="false">IF(OR($D25=0,$G25=""),0,IF(AND($K25="Sim",$M25&lt;&gt;""),MAX(0,$H25*($E25-$M25)),0))</f>
        <v>0.189465610500094</v>
      </c>
      <c r="O25" s="35" t="n">
        <f aca="false">INDEX(Parametros_ANEC73!$J$4:$J$6,MATCH($C25,Parametros_ANEC73!$A$4:$A$6,0))</f>
        <v>4</v>
      </c>
      <c r="P25" s="38" t="n">
        <f aca="false">IF(OR($D25=0,$G25=""),0,IF(AND($K25="Sim",$O25&lt;&gt;""),MAX(0,$H25*($E25-$O25)),0))</f>
        <v>0</v>
      </c>
      <c r="Q25" s="35" t="n">
        <f aca="false">INDEX(Parametros_ANEC73!$F$4:$F$6,MATCH($C25,Parametros_ANEC73!$A$4:$A$6,0))</f>
        <v>1</v>
      </c>
      <c r="R25" s="35" t="n">
        <f aca="false">INDEX(Parametros_ANEC73!$I$4:$I$6,MATCH($C25,Parametros_ANEC73!$A$4:$A$6,0))</f>
        <v>1.5</v>
      </c>
      <c r="S25" s="35" t="n">
        <f aca="false">INDEX(Parametros_ANEC73!$L$4:$L$6,MATCH($C25,Parametros_ANEC73!$A$4:$A$6,0))</f>
        <v>2</v>
      </c>
      <c r="T25" s="39" t="n">
        <f aca="false">INDEX(Parametros_ANEC73!$B$14:$B$25,MATCH($B25,Parametros_ANEC73!$A$14:$A$25,0))</f>
        <v>326</v>
      </c>
      <c r="U25" s="40" t="n">
        <f aca="false">IF(OR($D25=0,$G25=""),0,$D25*($T25/100)*($L25*$Q25+$N25*(IF($R25="",$Q25,$R25)-$Q25)+$P25*(IF($S25="",IF($R25="",$Q25,$R25),$S25)-IF($R25="",$Q25,$R25))))</f>
        <v>45443.7336135402</v>
      </c>
      <c r="V25" s="41" t="str">
        <f aca="false">IF(OR($D25=0,$G25=""),"",IF($H25*($E25-INDEX(Parametros_ANEC73!$M$4:$M$6,MATCH($C25,Parametros_ANEC73!$A$4:$A$6,0)))&gt;0,"Sim","Nao"))</f>
        <v>Nao</v>
      </c>
      <c r="W25" s="27" t="str">
        <f aca="false">$A25&amp;"|"&amp;$B25&amp;"|"&amp;$C25</f>
        <v>Amaggi|Ago|Fibra</v>
      </c>
    </row>
    <row r="26" customFormat="false" ht="15" hidden="false" customHeight="false" outlineLevel="0" collapsed="false">
      <c r="A26" s="27" t="s">
        <v>39</v>
      </c>
      <c r="B26" s="27" t="s">
        <v>66</v>
      </c>
      <c r="C26" s="27" t="s">
        <v>109</v>
      </c>
      <c r="D26" s="34" t="n">
        <f aca="false">SUMIFS(Media_Cliente_Mes!$C$2:$C$145,Media_Cliente_Mes!$A$2:$A$145,$A26,Media_Cliente_Mes!$B$2:$B$145,$B26)</f>
        <v>2244.02</v>
      </c>
      <c r="E26" s="35" t="n">
        <f aca="false">IF($D26=0,"",IF($C26="Proteina",SUMIFS(Media_Cliente_Mes!$D$2:$D$145,Media_Cliente_Mes!$A$2:$A$145,$A26,Media_Cliente_Mes!$B$2:$B$145,$B26),IF($C26="Umidade",SUMIFS(Media_Cliente_Mes!$E$2:$E$145,Media_Cliente_Mes!$A$2:$A$145,$A26,Media_Cliente_Mes!$B$2:$B$145,$B26),SUMIFS(Media_Cliente_Mes!$F$2:$F$145,Media_Cliente_Mes!$A$2:$A$145,$A26,Media_Cliente_Mes!$B$2:$B$145,$B26))))</f>
        <v>47.12</v>
      </c>
      <c r="F26" s="35" t="n">
        <f aca="false">INDEX(Parametros_ANEC73!$C$4:$C$6,MATCH($C26,Parametros_ANEC73!$A$4:$A$6,0))</f>
        <v>48</v>
      </c>
      <c r="G26" s="35" t="n">
        <f aca="false">IF($C26="Proteina",INDEX(Media_Pool_Mes!$C$2:$C$13,MATCH($B26,Media_Pool_Mes!$A$2:$A$13,0)),IF($C26="Umidade",INDEX(Media_Pool_Mes!$D$2:$D$13,MATCH($B26,Media_Pool_Mes!$A$2:$A$13,0)),INDEX(Media_Pool_Mes!$E$2:$E$13,MATCH($B26,Media_Pool_Mes!$A$2:$A$13,0))))</f>
        <v>47.5387514497333</v>
      </c>
      <c r="H26" s="37" t="n">
        <f aca="false">INDEX(Parametros_ANEC73!$B$4:$B$6,MATCH($C26,Parametros_ANEC73!$A$4:$A$6,0))</f>
        <v>-1</v>
      </c>
      <c r="I26" s="38" t="n">
        <f aca="false">IF(OR($D26=0,$G26=""),"",IF($H26*($G26-$F26)&gt;0,$G26,$F26))</f>
        <v>47.5387514497333</v>
      </c>
      <c r="J26" s="27" t="str">
        <f aca="false">IF(OR($D26=0,$G26=""),"",IF($H26*($G26-$F26)&gt;0,"Sim","Nao"))</f>
        <v>Sim</v>
      </c>
      <c r="K26" s="27" t="str">
        <f aca="false">IF(OR($D26=0,$G26=""),"",IF(AND($H26*($E26-$F26)&gt;0,$H26*($E26-$G26)&gt;0),"Sim","Nao"))</f>
        <v>Sim</v>
      </c>
      <c r="L26" s="38" t="n">
        <f aca="false">IF(OR($D26=0,$G26=""),0,IF($K26="Sim",MAX(0,$H26*($E26-$I26)),0))</f>
        <v>0.418751449733279</v>
      </c>
      <c r="M26" s="35" t="n">
        <f aca="false">INDEX(Parametros_ANEC73!$G$4:$G$6,MATCH($C26,Parametros_ANEC73!$A$4:$A$6,0))</f>
        <v>47</v>
      </c>
      <c r="N26" s="38" t="n">
        <f aca="false">IF(OR($D26=0,$G26=""),0,IF(AND($K26="Sim",$M26&lt;&gt;""),MAX(0,$H26*($E26-$M26)),0))</f>
        <v>0</v>
      </c>
      <c r="O26" s="35" t="n">
        <f aca="false">INDEX(Parametros_ANEC73!$J$4:$J$6,MATCH($C26,Parametros_ANEC73!$A$4:$A$6,0))</f>
        <v>0</v>
      </c>
      <c r="P26" s="38" t="n">
        <f aca="false">IF(OR($D26=0,$G26=""),0,IF(AND($K26="Sim",$O26&lt;&gt;""),MAX(0,$H26*($E26-$O26)),0))</f>
        <v>0</v>
      </c>
      <c r="Q26" s="35" t="n">
        <f aca="false">INDEX(Parametros_ANEC73!$F$4:$F$6,MATCH($C26,Parametros_ANEC73!$A$4:$A$6,0))</f>
        <v>1</v>
      </c>
      <c r="R26" s="35" t="n">
        <f aca="false">INDEX(Parametros_ANEC73!$I$4:$I$6,MATCH($C26,Parametros_ANEC73!$A$4:$A$6,0))</f>
        <v>2</v>
      </c>
      <c r="S26" s="35" t="n">
        <f aca="false">INDEX(Parametros_ANEC73!$L$4:$L$6,MATCH($C26,Parametros_ANEC73!$A$4:$A$6,0))</f>
        <v>0</v>
      </c>
      <c r="T26" s="39" t="n">
        <f aca="false">INDEX(Parametros_ANEC73!$B$14:$B$25,MATCH($B26,Parametros_ANEC73!$A$14:$A$25,0))</f>
        <v>326</v>
      </c>
      <c r="U26" s="40" t="n">
        <f aca="false">IF(OR($D26=0,$G26=""),0,$D26*($T26/100)*($L26*$Q26+$N26*(IF($R26="",$Q26,$R26)-$Q26)+$P26*(IF($S26="",IF($R26="",$Q26,$R26),$S26)-IF($R26="",$Q26,$R26))))</f>
        <v>3063.37840803134</v>
      </c>
      <c r="V26" s="41" t="str">
        <f aca="false">IF(OR($D26=0,$G26=""),"",IF($H26*($E26-INDEX(Parametros_ANEC73!$M$4:$M$6,MATCH($C26,Parametros_ANEC73!$A$4:$A$6,0)))&gt;0,"Sim","Nao"))</f>
        <v>Nao</v>
      </c>
      <c r="W26" s="27" t="str">
        <f aca="false">$A26&amp;"|"&amp;$B26&amp;"|"&amp;$C26</f>
        <v>Amaggi|Set|Proteina</v>
      </c>
    </row>
    <row r="27" customFormat="false" ht="15" hidden="false" customHeight="false" outlineLevel="0" collapsed="false">
      <c r="A27" s="27" t="s">
        <v>39</v>
      </c>
      <c r="B27" s="27" t="s">
        <v>66</v>
      </c>
      <c r="C27" s="27" t="s">
        <v>110</v>
      </c>
      <c r="D27" s="34" t="n">
        <f aca="false">SUMIFS(Media_Cliente_Mes!$C$2:$C$145,Media_Cliente_Mes!$A$2:$A$145,$A27,Media_Cliente_Mes!$B$2:$B$145,$B27)</f>
        <v>2244.02</v>
      </c>
      <c r="E27" s="35" t="n">
        <f aca="false">IF($D27=0,"",IF($C27="Proteina",SUMIFS(Media_Cliente_Mes!$D$2:$D$145,Media_Cliente_Mes!$A$2:$A$145,$A27,Media_Cliente_Mes!$B$2:$B$145,$B27),IF($C27="Umidade",SUMIFS(Media_Cliente_Mes!$E$2:$E$145,Media_Cliente_Mes!$A$2:$A$145,$A27,Media_Cliente_Mes!$B$2:$B$145,$B27),SUMIFS(Media_Cliente_Mes!$F$2:$F$145,Media_Cliente_Mes!$A$2:$A$145,$A27,Media_Cliente_Mes!$B$2:$B$145,$B27))))</f>
        <v>12.28</v>
      </c>
      <c r="F27" s="35" t="n">
        <f aca="false">INDEX(Parametros_ANEC73!$C$4:$C$6,MATCH($C27,Parametros_ANEC73!$A$4:$A$6,0))</f>
        <v>12.5</v>
      </c>
      <c r="G27" s="35" t="n">
        <f aca="false">IF($C27="Proteina",INDEX(Media_Pool_Mes!$C$2:$C$13,MATCH($B27,Media_Pool_Mes!$A$2:$A$13,0)),IF($C27="Umidade",INDEX(Media_Pool_Mes!$D$2:$D$13,MATCH($B27,Media_Pool_Mes!$A$2:$A$13,0)),INDEX(Media_Pool_Mes!$E$2:$E$13,MATCH($B27,Media_Pool_Mes!$A$2:$A$13,0))))</f>
        <v>12.4774576939468</v>
      </c>
      <c r="H27" s="37" t="n">
        <f aca="false">INDEX(Parametros_ANEC73!$B$4:$B$6,MATCH($C27,Parametros_ANEC73!$A$4:$A$6,0))</f>
        <v>1</v>
      </c>
      <c r="I27" s="38" t="n">
        <f aca="false">IF(OR($D27=0,$G27=""),"",IF($H27*($G27-$F27)&gt;0,$G27,$F27))</f>
        <v>12.5</v>
      </c>
      <c r="J27" s="27" t="str">
        <f aca="false">IF(OR($D27=0,$G27=""),"",IF($H27*($G27-$F27)&gt;0,"Sim","Nao"))</f>
        <v>Nao</v>
      </c>
      <c r="K27" s="27" t="str">
        <f aca="false">IF(OR($D27=0,$G27=""),"",IF(AND($H27*($E27-$F27)&gt;0,$H27*($E27-$G27)&gt;0),"Sim","Nao"))</f>
        <v>Nao</v>
      </c>
      <c r="L27" s="38" t="n">
        <f aca="false">IF(OR($D27=0,$G27=""),0,IF($K27="Sim",MAX(0,$H27*($E27-$I27)),0))</f>
        <v>0</v>
      </c>
      <c r="M27" s="35" t="n">
        <f aca="false">INDEX(Parametros_ANEC73!$G$4:$G$6,MATCH($C27,Parametros_ANEC73!$A$4:$A$6,0))</f>
        <v>0</v>
      </c>
      <c r="N27" s="38" t="n">
        <f aca="false">IF(OR($D27=0,$G27=""),0,IF(AND($K27="Sim",$M27&lt;&gt;""),MAX(0,$H27*($E27-$M27)),0))</f>
        <v>0</v>
      </c>
      <c r="O27" s="35" t="n">
        <f aca="false">INDEX(Parametros_ANEC73!$J$4:$J$6,MATCH($C27,Parametros_ANEC73!$A$4:$A$6,0))</f>
        <v>0</v>
      </c>
      <c r="P27" s="38" t="n">
        <f aca="false">IF(OR($D27=0,$G27=""),0,IF(AND($K27="Sim",$O27&lt;&gt;""),MAX(0,$H27*($E27-$O27)),0))</f>
        <v>0</v>
      </c>
      <c r="Q27" s="35" t="n">
        <f aca="false">INDEX(Parametros_ANEC73!$F$4:$F$6,MATCH($C27,Parametros_ANEC73!$A$4:$A$6,0))</f>
        <v>1</v>
      </c>
      <c r="R27" s="35" t="n">
        <f aca="false">INDEX(Parametros_ANEC73!$I$4:$I$6,MATCH($C27,Parametros_ANEC73!$A$4:$A$6,0))</f>
        <v>0</v>
      </c>
      <c r="S27" s="35" t="n">
        <f aca="false">INDEX(Parametros_ANEC73!$L$4:$L$6,MATCH($C27,Parametros_ANEC73!$A$4:$A$6,0))</f>
        <v>0</v>
      </c>
      <c r="T27" s="39" t="n">
        <f aca="false">INDEX(Parametros_ANEC73!$B$14:$B$25,MATCH($B27,Parametros_ANEC73!$A$14:$A$25,0))</f>
        <v>326</v>
      </c>
      <c r="U27" s="40" t="n">
        <f aca="false">IF(OR($D27=0,$G27=""),0,$D27*($T27/100)*($L27*$Q27+$N27*(IF($R27="",$Q27,$R27)-$Q27)+$P27*(IF($S27="",IF($R27="",$Q27,$R27),$S27)-IF($R27="",$Q27,$R27))))</f>
        <v>0</v>
      </c>
      <c r="V27" s="41" t="str">
        <f aca="false">IF(OR($D27=0,$G27=""),"",IF($H27*($E27-INDEX(Parametros_ANEC73!$M$4:$M$6,MATCH($C27,Parametros_ANEC73!$A$4:$A$6,0)))&gt;0,"Sim","Nao"))</f>
        <v>Nao</v>
      </c>
      <c r="W27" s="27" t="str">
        <f aca="false">$A27&amp;"|"&amp;$B27&amp;"|"&amp;$C27</f>
        <v>Amaggi|Set|Umidade</v>
      </c>
    </row>
    <row r="28" customFormat="false" ht="15" hidden="false" customHeight="false" outlineLevel="0" collapsed="false">
      <c r="A28" s="27" t="s">
        <v>39</v>
      </c>
      <c r="B28" s="27" t="s">
        <v>66</v>
      </c>
      <c r="C28" s="27" t="s">
        <v>111</v>
      </c>
      <c r="D28" s="34" t="n">
        <f aca="false">SUMIFS(Media_Cliente_Mes!$C$2:$C$145,Media_Cliente_Mes!$A$2:$A$145,$A28,Media_Cliente_Mes!$B$2:$B$145,$B28)</f>
        <v>2244.02</v>
      </c>
      <c r="E28" s="35" t="n">
        <f aca="false">IF($D28=0,"",IF($C28="Proteina",SUMIFS(Media_Cliente_Mes!$D$2:$D$145,Media_Cliente_Mes!$A$2:$A$145,$A28,Media_Cliente_Mes!$B$2:$B$145,$B28),IF($C28="Umidade",SUMIFS(Media_Cliente_Mes!$E$2:$E$145,Media_Cliente_Mes!$A$2:$A$145,$A28,Media_Cliente_Mes!$B$2:$B$145,$B28),SUMIFS(Media_Cliente_Mes!$F$2:$F$145,Media_Cliente_Mes!$A$2:$A$145,$A28,Media_Cliente_Mes!$B$2:$B$145,$B28))))</f>
        <v>3.91</v>
      </c>
      <c r="F28" s="35" t="n">
        <f aca="false">INDEX(Parametros_ANEC73!$C$4:$C$6,MATCH($C28,Parametros_ANEC73!$A$4:$A$6,0))</f>
        <v>3.5</v>
      </c>
      <c r="G28" s="35" t="n">
        <f aca="false">IF($C28="Proteina",INDEX(Media_Pool_Mes!$C$2:$C$13,MATCH($B28,Media_Pool_Mes!$A$2:$A$13,0)),IF($C28="Umidade",INDEX(Media_Pool_Mes!$D$2:$D$13,MATCH($B28,Media_Pool_Mes!$A$2:$A$13,0)),INDEX(Media_Pool_Mes!$E$2:$E$13,MATCH($B28,Media_Pool_Mes!$A$2:$A$13,0))))</f>
        <v>3.7061372169236</v>
      </c>
      <c r="H28" s="37" t="n">
        <f aca="false">INDEX(Parametros_ANEC73!$B$4:$B$6,MATCH($C28,Parametros_ANEC73!$A$4:$A$6,0))</f>
        <v>1</v>
      </c>
      <c r="I28" s="38" t="n">
        <f aca="false">IF(OR($D28=0,$G28=""),"",IF($H28*($G28-$F28)&gt;0,$G28,$F28))</f>
        <v>3.7061372169236</v>
      </c>
      <c r="J28" s="27" t="str">
        <f aca="false">IF(OR($D28=0,$G28=""),"",IF($H28*($G28-$F28)&gt;0,"Sim","Nao"))</f>
        <v>Sim</v>
      </c>
      <c r="K28" s="27" t="str">
        <f aca="false">IF(OR($D28=0,$G28=""),"",IF(AND($H28*($E28-$F28)&gt;0,$H28*($E28-$G28)&gt;0),"Sim","Nao"))</f>
        <v>Sim</v>
      </c>
      <c r="L28" s="38" t="n">
        <f aca="false">IF(OR($D28=0,$G28=""),0,IF($K28="Sim",MAX(0,$H28*($E28-$I28)),0))</f>
        <v>0.203862783076404</v>
      </c>
      <c r="M28" s="35" t="n">
        <f aca="false">INDEX(Parametros_ANEC73!$G$4:$G$6,MATCH($C28,Parametros_ANEC73!$A$4:$A$6,0))</f>
        <v>3.8</v>
      </c>
      <c r="N28" s="38" t="n">
        <f aca="false">IF(OR($D28=0,$G28=""),0,IF(AND($K28="Sim",$M28&lt;&gt;""),MAX(0,$H28*($E28-$M28)),0))</f>
        <v>0.110000000000001</v>
      </c>
      <c r="O28" s="35" t="n">
        <f aca="false">INDEX(Parametros_ANEC73!$J$4:$J$6,MATCH($C28,Parametros_ANEC73!$A$4:$A$6,0))</f>
        <v>4</v>
      </c>
      <c r="P28" s="38" t="n">
        <f aca="false">IF(OR($D28=0,$G28=""),0,IF(AND($K28="Sim",$O28&lt;&gt;""),MAX(0,$H28*($E28-$O28)),0))</f>
        <v>0</v>
      </c>
      <c r="Q28" s="35" t="n">
        <f aca="false">INDEX(Parametros_ANEC73!$F$4:$F$6,MATCH($C28,Parametros_ANEC73!$A$4:$A$6,0))</f>
        <v>1</v>
      </c>
      <c r="R28" s="35" t="n">
        <f aca="false">INDEX(Parametros_ANEC73!$I$4:$I$6,MATCH($C28,Parametros_ANEC73!$A$4:$A$6,0))</f>
        <v>1.5</v>
      </c>
      <c r="S28" s="35" t="n">
        <f aca="false">INDEX(Parametros_ANEC73!$L$4:$L$6,MATCH($C28,Parametros_ANEC73!$A$4:$A$6,0))</f>
        <v>2</v>
      </c>
      <c r="T28" s="39" t="n">
        <f aca="false">INDEX(Parametros_ANEC73!$B$14:$B$25,MATCH($B28,Parametros_ANEC73!$A$14:$A$25,0))</f>
        <v>326</v>
      </c>
      <c r="U28" s="40" t="n">
        <f aca="false">IF(OR($D28=0,$G28=""),0,$D28*($T28/100)*($L28*$Q28+$N28*(IF($R28="",$Q28,$R28)-$Q28)+$P28*(IF($S28="",IF($R28="",$Q28,$R28),$S28)-IF($R28="",$Q28,$R28))))</f>
        <v>1893.71203568191</v>
      </c>
      <c r="V28" s="41" t="str">
        <f aca="false">IF(OR($D28=0,$G28=""),"",IF($H28*($E28-INDEX(Parametros_ANEC73!$M$4:$M$6,MATCH($C28,Parametros_ANEC73!$A$4:$A$6,0)))&gt;0,"Sim","Nao"))</f>
        <v>Nao</v>
      </c>
      <c r="W28" s="27" t="str">
        <f aca="false">$A28&amp;"|"&amp;$B28&amp;"|"&amp;$C28</f>
        <v>Amaggi|Set|Fibra</v>
      </c>
    </row>
    <row r="29" customFormat="false" ht="15" hidden="false" customHeight="false" outlineLevel="0" collapsed="false">
      <c r="A29" s="27" t="s">
        <v>39</v>
      </c>
      <c r="B29" s="27" t="s">
        <v>67</v>
      </c>
      <c r="C29" s="27" t="s">
        <v>109</v>
      </c>
      <c r="D29" s="34" t="n">
        <f aca="false">SUMIFS(Media_Cliente_Mes!$C$2:$C$145,Media_Cliente_Mes!$A$2:$A$145,$A29,Media_Cliente_Mes!$B$2:$B$145,$B29)</f>
        <v>0</v>
      </c>
      <c r="E29" s="35" t="str">
        <f aca="false">IF($D29=0,"",IF($C29="Proteina",SUMIFS(Media_Cliente_Mes!$D$2:$D$145,Media_Cliente_Mes!$A$2:$A$145,$A29,Media_Cliente_Mes!$B$2:$B$145,$B29),IF($C29="Umidade",SUMIFS(Media_Cliente_Mes!$E$2:$E$145,Media_Cliente_Mes!$A$2:$A$145,$A29,Media_Cliente_Mes!$B$2:$B$145,$B29),SUMIFS(Media_Cliente_Mes!$F$2:$F$145,Media_Cliente_Mes!$A$2:$A$145,$A29,Media_Cliente_Mes!$B$2:$B$145,$B29))))</f>
        <v/>
      </c>
      <c r="F29" s="35" t="n">
        <f aca="false">INDEX(Parametros_ANEC73!$C$4:$C$6,MATCH($C29,Parametros_ANEC73!$A$4:$A$6,0))</f>
        <v>48</v>
      </c>
      <c r="G29" s="35" t="str">
        <f aca="false">IF($C29="Proteina",INDEX(Media_Pool_Mes!$C$2:$C$13,MATCH($B29,Media_Pool_Mes!$A$2:$A$13,0)),IF($C29="Umidade",INDEX(Media_Pool_Mes!$D$2:$D$13,MATCH($B29,Media_Pool_Mes!$A$2:$A$13,0)),INDEX(Media_Pool_Mes!$E$2:$E$13,MATCH($B29,Media_Pool_Mes!$A$2:$A$13,0))))</f>
        <v/>
      </c>
      <c r="H29" s="37" t="n">
        <f aca="false">INDEX(Parametros_ANEC73!$B$4:$B$6,MATCH($C29,Parametros_ANEC73!$A$4:$A$6,0))</f>
        <v>-1</v>
      </c>
      <c r="I29" s="38" t="str">
        <f aca="false">IF(OR($D29=0,$G29=""),"",IF($H29*($G29-$F29)&gt;0,$G29,$F29))</f>
        <v/>
      </c>
      <c r="J29" s="27" t="str">
        <f aca="false">IF(OR($D29=0,$G29=""),"",IF($H29*($G29-$F29)&gt;0,"Sim","Nao"))</f>
        <v/>
      </c>
      <c r="K29" s="27" t="str">
        <f aca="false">IF(OR($D29=0,$G29=""),"",IF(AND($H29*($E29-$F29)&gt;0,$H29*($E29-$G29)&gt;0),"Sim","Nao"))</f>
        <v/>
      </c>
      <c r="L29" s="38" t="n">
        <f aca="false">IF(OR($D29=0,$G29=""),0,IF($K29="Sim",MAX(0,$H29*($E29-$I29)),0))</f>
        <v>0</v>
      </c>
      <c r="M29" s="35" t="n">
        <f aca="false">INDEX(Parametros_ANEC73!$G$4:$G$6,MATCH($C29,Parametros_ANEC73!$A$4:$A$6,0))</f>
        <v>47</v>
      </c>
      <c r="N29" s="38" t="n">
        <f aca="false">IF(OR($D29=0,$G29=""),0,IF(AND($K29="Sim",$M29&lt;&gt;""),MAX(0,$H29*($E29-$M29)),0))</f>
        <v>0</v>
      </c>
      <c r="O29" s="35" t="n">
        <f aca="false">INDEX(Parametros_ANEC73!$J$4:$J$6,MATCH($C29,Parametros_ANEC73!$A$4:$A$6,0))</f>
        <v>0</v>
      </c>
      <c r="P29" s="38" t="n">
        <f aca="false">IF(OR($D29=0,$G29=""),0,IF(AND($K29="Sim",$O29&lt;&gt;""),MAX(0,$H29*($E29-$O29)),0))</f>
        <v>0</v>
      </c>
      <c r="Q29" s="35" t="n">
        <f aca="false">INDEX(Parametros_ANEC73!$F$4:$F$6,MATCH($C29,Parametros_ANEC73!$A$4:$A$6,0))</f>
        <v>1</v>
      </c>
      <c r="R29" s="35" t="n">
        <f aca="false">INDEX(Parametros_ANEC73!$I$4:$I$6,MATCH($C29,Parametros_ANEC73!$A$4:$A$6,0))</f>
        <v>2</v>
      </c>
      <c r="S29" s="35" t="n">
        <f aca="false">INDEX(Parametros_ANEC73!$L$4:$L$6,MATCH($C29,Parametros_ANEC73!$A$4:$A$6,0))</f>
        <v>0</v>
      </c>
      <c r="T29" s="39" t="n">
        <f aca="false">INDEX(Parametros_ANEC73!$B$14:$B$25,MATCH($B29,Parametros_ANEC73!$A$14:$A$25,0))</f>
        <v>0</v>
      </c>
      <c r="U29" s="40" t="n">
        <f aca="false">IF(OR($D29=0,$G29=""),0,$D29*($T29/100)*($L29*$Q29+$N29*(IF($R29="",$Q29,$R29)-$Q29)+$P29*(IF($S29="",IF($R29="",$Q29,$R29),$S29)-IF($R29="",$Q29,$R29))))</f>
        <v>0</v>
      </c>
      <c r="V29" s="41" t="str">
        <f aca="false">IF(OR($D29=0,$G29=""),"",IF($H29*($E29-INDEX(Parametros_ANEC73!$M$4:$M$6,MATCH($C29,Parametros_ANEC73!$A$4:$A$6,0)))&gt;0,"Sim","Nao"))</f>
        <v/>
      </c>
      <c r="W29" s="27" t="str">
        <f aca="false">$A29&amp;"|"&amp;$B29&amp;"|"&amp;$C29</f>
        <v>Amaggi|Out|Proteina</v>
      </c>
    </row>
    <row r="30" customFormat="false" ht="15" hidden="false" customHeight="false" outlineLevel="0" collapsed="false">
      <c r="A30" s="27" t="s">
        <v>39</v>
      </c>
      <c r="B30" s="27" t="s">
        <v>67</v>
      </c>
      <c r="C30" s="27" t="s">
        <v>110</v>
      </c>
      <c r="D30" s="34" t="n">
        <f aca="false">SUMIFS(Media_Cliente_Mes!$C$2:$C$145,Media_Cliente_Mes!$A$2:$A$145,$A30,Media_Cliente_Mes!$B$2:$B$145,$B30)</f>
        <v>0</v>
      </c>
      <c r="E30" s="35" t="str">
        <f aca="false">IF($D30=0,"",IF($C30="Proteina",SUMIFS(Media_Cliente_Mes!$D$2:$D$145,Media_Cliente_Mes!$A$2:$A$145,$A30,Media_Cliente_Mes!$B$2:$B$145,$B30),IF($C30="Umidade",SUMIFS(Media_Cliente_Mes!$E$2:$E$145,Media_Cliente_Mes!$A$2:$A$145,$A30,Media_Cliente_Mes!$B$2:$B$145,$B30),SUMIFS(Media_Cliente_Mes!$F$2:$F$145,Media_Cliente_Mes!$A$2:$A$145,$A30,Media_Cliente_Mes!$B$2:$B$145,$B30))))</f>
        <v/>
      </c>
      <c r="F30" s="35" t="n">
        <f aca="false">INDEX(Parametros_ANEC73!$C$4:$C$6,MATCH($C30,Parametros_ANEC73!$A$4:$A$6,0))</f>
        <v>12.5</v>
      </c>
      <c r="G30" s="35" t="str">
        <f aca="false">IF($C30="Proteina",INDEX(Media_Pool_Mes!$C$2:$C$13,MATCH($B30,Media_Pool_Mes!$A$2:$A$13,0)),IF($C30="Umidade",INDEX(Media_Pool_Mes!$D$2:$D$13,MATCH($B30,Media_Pool_Mes!$A$2:$A$13,0)),INDEX(Media_Pool_Mes!$E$2:$E$13,MATCH($B30,Media_Pool_Mes!$A$2:$A$13,0))))</f>
        <v/>
      </c>
      <c r="H30" s="37" t="n">
        <f aca="false">INDEX(Parametros_ANEC73!$B$4:$B$6,MATCH($C30,Parametros_ANEC73!$A$4:$A$6,0))</f>
        <v>1</v>
      </c>
      <c r="I30" s="38" t="str">
        <f aca="false">IF(OR($D30=0,$G30=""),"",IF($H30*($G30-$F30)&gt;0,$G30,$F30))</f>
        <v/>
      </c>
      <c r="J30" s="27" t="str">
        <f aca="false">IF(OR($D30=0,$G30=""),"",IF($H30*($G30-$F30)&gt;0,"Sim","Nao"))</f>
        <v/>
      </c>
      <c r="K30" s="27" t="str">
        <f aca="false">IF(OR($D30=0,$G30=""),"",IF(AND($H30*($E30-$F30)&gt;0,$H30*($E30-$G30)&gt;0),"Sim","Nao"))</f>
        <v/>
      </c>
      <c r="L30" s="38" t="n">
        <f aca="false">IF(OR($D30=0,$G30=""),0,IF($K30="Sim",MAX(0,$H30*($E30-$I30)),0))</f>
        <v>0</v>
      </c>
      <c r="M30" s="35" t="n">
        <f aca="false">INDEX(Parametros_ANEC73!$G$4:$G$6,MATCH($C30,Parametros_ANEC73!$A$4:$A$6,0))</f>
        <v>0</v>
      </c>
      <c r="N30" s="38" t="n">
        <f aca="false">IF(OR($D30=0,$G30=""),0,IF(AND($K30="Sim",$M30&lt;&gt;""),MAX(0,$H30*($E30-$M30)),0))</f>
        <v>0</v>
      </c>
      <c r="O30" s="35" t="n">
        <f aca="false">INDEX(Parametros_ANEC73!$J$4:$J$6,MATCH($C30,Parametros_ANEC73!$A$4:$A$6,0))</f>
        <v>0</v>
      </c>
      <c r="P30" s="38" t="n">
        <f aca="false">IF(OR($D30=0,$G30=""),0,IF(AND($K30="Sim",$O30&lt;&gt;""),MAX(0,$H30*($E30-$O30)),0))</f>
        <v>0</v>
      </c>
      <c r="Q30" s="35" t="n">
        <f aca="false">INDEX(Parametros_ANEC73!$F$4:$F$6,MATCH($C30,Parametros_ANEC73!$A$4:$A$6,0))</f>
        <v>1</v>
      </c>
      <c r="R30" s="35" t="n">
        <f aca="false">INDEX(Parametros_ANEC73!$I$4:$I$6,MATCH($C30,Parametros_ANEC73!$A$4:$A$6,0))</f>
        <v>0</v>
      </c>
      <c r="S30" s="35" t="n">
        <f aca="false">INDEX(Parametros_ANEC73!$L$4:$L$6,MATCH($C30,Parametros_ANEC73!$A$4:$A$6,0))</f>
        <v>0</v>
      </c>
      <c r="T30" s="39" t="n">
        <f aca="false">INDEX(Parametros_ANEC73!$B$14:$B$25,MATCH($B30,Parametros_ANEC73!$A$14:$A$25,0))</f>
        <v>0</v>
      </c>
      <c r="U30" s="40" t="n">
        <f aca="false">IF(OR($D30=0,$G30=""),0,$D30*($T30/100)*($L30*$Q30+$N30*(IF($R30="",$Q30,$R30)-$Q30)+$P30*(IF($S30="",IF($R30="",$Q30,$R30),$S30)-IF($R30="",$Q30,$R30))))</f>
        <v>0</v>
      </c>
      <c r="V30" s="41" t="str">
        <f aca="false">IF(OR($D30=0,$G30=""),"",IF($H30*($E30-INDEX(Parametros_ANEC73!$M$4:$M$6,MATCH($C30,Parametros_ANEC73!$A$4:$A$6,0)))&gt;0,"Sim","Nao"))</f>
        <v/>
      </c>
      <c r="W30" s="27" t="str">
        <f aca="false">$A30&amp;"|"&amp;$B30&amp;"|"&amp;$C30</f>
        <v>Amaggi|Out|Umidade</v>
      </c>
    </row>
    <row r="31" customFormat="false" ht="15" hidden="false" customHeight="false" outlineLevel="0" collapsed="false">
      <c r="A31" s="27" t="s">
        <v>39</v>
      </c>
      <c r="B31" s="27" t="s">
        <v>67</v>
      </c>
      <c r="C31" s="27" t="s">
        <v>111</v>
      </c>
      <c r="D31" s="34" t="n">
        <f aca="false">SUMIFS(Media_Cliente_Mes!$C$2:$C$145,Media_Cliente_Mes!$A$2:$A$145,$A31,Media_Cliente_Mes!$B$2:$B$145,$B31)</f>
        <v>0</v>
      </c>
      <c r="E31" s="35" t="str">
        <f aca="false">IF($D31=0,"",IF($C31="Proteina",SUMIFS(Media_Cliente_Mes!$D$2:$D$145,Media_Cliente_Mes!$A$2:$A$145,$A31,Media_Cliente_Mes!$B$2:$B$145,$B31),IF($C31="Umidade",SUMIFS(Media_Cliente_Mes!$E$2:$E$145,Media_Cliente_Mes!$A$2:$A$145,$A31,Media_Cliente_Mes!$B$2:$B$145,$B31),SUMIFS(Media_Cliente_Mes!$F$2:$F$145,Media_Cliente_Mes!$A$2:$A$145,$A31,Media_Cliente_Mes!$B$2:$B$145,$B31))))</f>
        <v/>
      </c>
      <c r="F31" s="35" t="n">
        <f aca="false">INDEX(Parametros_ANEC73!$C$4:$C$6,MATCH($C31,Parametros_ANEC73!$A$4:$A$6,0))</f>
        <v>3.5</v>
      </c>
      <c r="G31" s="35" t="str">
        <f aca="false">IF($C31="Proteina",INDEX(Media_Pool_Mes!$C$2:$C$13,MATCH($B31,Media_Pool_Mes!$A$2:$A$13,0)),IF($C31="Umidade",INDEX(Media_Pool_Mes!$D$2:$D$13,MATCH($B31,Media_Pool_Mes!$A$2:$A$13,0)),INDEX(Media_Pool_Mes!$E$2:$E$13,MATCH($B31,Media_Pool_Mes!$A$2:$A$13,0))))</f>
        <v/>
      </c>
      <c r="H31" s="37" t="n">
        <f aca="false">INDEX(Parametros_ANEC73!$B$4:$B$6,MATCH($C31,Parametros_ANEC73!$A$4:$A$6,0))</f>
        <v>1</v>
      </c>
      <c r="I31" s="38" t="str">
        <f aca="false">IF(OR($D31=0,$G31=""),"",IF($H31*($G31-$F31)&gt;0,$G31,$F31))</f>
        <v/>
      </c>
      <c r="J31" s="27" t="str">
        <f aca="false">IF(OR($D31=0,$G31=""),"",IF($H31*($G31-$F31)&gt;0,"Sim","Nao"))</f>
        <v/>
      </c>
      <c r="K31" s="27" t="str">
        <f aca="false">IF(OR($D31=0,$G31=""),"",IF(AND($H31*($E31-$F31)&gt;0,$H31*($E31-$G31)&gt;0),"Sim","Nao"))</f>
        <v/>
      </c>
      <c r="L31" s="38" t="n">
        <f aca="false">IF(OR($D31=0,$G31=""),0,IF($K31="Sim",MAX(0,$H31*($E31-$I31)),0))</f>
        <v>0</v>
      </c>
      <c r="M31" s="35" t="n">
        <f aca="false">INDEX(Parametros_ANEC73!$G$4:$G$6,MATCH($C31,Parametros_ANEC73!$A$4:$A$6,0))</f>
        <v>3.8</v>
      </c>
      <c r="N31" s="38" t="n">
        <f aca="false">IF(OR($D31=0,$G31=""),0,IF(AND($K31="Sim",$M31&lt;&gt;""),MAX(0,$H31*($E31-$M31)),0))</f>
        <v>0</v>
      </c>
      <c r="O31" s="35" t="n">
        <f aca="false">INDEX(Parametros_ANEC73!$J$4:$J$6,MATCH($C31,Parametros_ANEC73!$A$4:$A$6,0))</f>
        <v>4</v>
      </c>
      <c r="P31" s="38" t="n">
        <f aca="false">IF(OR($D31=0,$G31=""),0,IF(AND($K31="Sim",$O31&lt;&gt;""),MAX(0,$H31*($E31-$O31)),0))</f>
        <v>0</v>
      </c>
      <c r="Q31" s="35" t="n">
        <f aca="false">INDEX(Parametros_ANEC73!$F$4:$F$6,MATCH($C31,Parametros_ANEC73!$A$4:$A$6,0))</f>
        <v>1</v>
      </c>
      <c r="R31" s="35" t="n">
        <f aca="false">INDEX(Parametros_ANEC73!$I$4:$I$6,MATCH($C31,Parametros_ANEC73!$A$4:$A$6,0))</f>
        <v>1.5</v>
      </c>
      <c r="S31" s="35" t="n">
        <f aca="false">INDEX(Parametros_ANEC73!$L$4:$L$6,MATCH($C31,Parametros_ANEC73!$A$4:$A$6,0))</f>
        <v>2</v>
      </c>
      <c r="T31" s="39" t="n">
        <f aca="false">INDEX(Parametros_ANEC73!$B$14:$B$25,MATCH($B31,Parametros_ANEC73!$A$14:$A$25,0))</f>
        <v>0</v>
      </c>
      <c r="U31" s="40" t="n">
        <f aca="false">IF(OR($D31=0,$G31=""),0,$D31*($T31/100)*($L31*$Q31+$N31*(IF($R31="",$Q31,$R31)-$Q31)+$P31*(IF($S31="",IF($R31="",$Q31,$R31),$S31)-IF($R31="",$Q31,$R31))))</f>
        <v>0</v>
      </c>
      <c r="V31" s="41" t="str">
        <f aca="false">IF(OR($D31=0,$G31=""),"",IF($H31*($E31-INDEX(Parametros_ANEC73!$M$4:$M$6,MATCH($C31,Parametros_ANEC73!$A$4:$A$6,0)))&gt;0,"Sim","Nao"))</f>
        <v/>
      </c>
      <c r="W31" s="27" t="str">
        <f aca="false">$A31&amp;"|"&amp;$B31&amp;"|"&amp;$C31</f>
        <v>Amaggi|Out|Fibra</v>
      </c>
    </row>
    <row r="32" customFormat="false" ht="15" hidden="false" customHeight="false" outlineLevel="0" collapsed="false">
      <c r="A32" s="27" t="s">
        <v>39</v>
      </c>
      <c r="B32" s="27" t="s">
        <v>68</v>
      </c>
      <c r="C32" s="27" t="s">
        <v>109</v>
      </c>
      <c r="D32" s="34" t="n">
        <f aca="false">SUMIFS(Media_Cliente_Mes!$C$2:$C$145,Media_Cliente_Mes!$A$2:$A$145,$A32,Media_Cliente_Mes!$B$2:$B$145,$B32)</f>
        <v>0</v>
      </c>
      <c r="E32" s="35" t="str">
        <f aca="false">IF($D32=0,"",IF($C32="Proteina",SUMIFS(Media_Cliente_Mes!$D$2:$D$145,Media_Cliente_Mes!$A$2:$A$145,$A32,Media_Cliente_Mes!$B$2:$B$145,$B32),IF($C32="Umidade",SUMIFS(Media_Cliente_Mes!$E$2:$E$145,Media_Cliente_Mes!$A$2:$A$145,$A32,Media_Cliente_Mes!$B$2:$B$145,$B32),SUMIFS(Media_Cliente_Mes!$F$2:$F$145,Media_Cliente_Mes!$A$2:$A$145,$A32,Media_Cliente_Mes!$B$2:$B$145,$B32))))</f>
        <v/>
      </c>
      <c r="F32" s="35" t="n">
        <f aca="false">INDEX(Parametros_ANEC73!$C$4:$C$6,MATCH($C32,Parametros_ANEC73!$A$4:$A$6,0))</f>
        <v>48</v>
      </c>
      <c r="G32" s="35" t="str">
        <f aca="false">IF($C32="Proteina",INDEX(Media_Pool_Mes!$C$2:$C$13,MATCH($B32,Media_Pool_Mes!$A$2:$A$13,0)),IF($C32="Umidade",INDEX(Media_Pool_Mes!$D$2:$D$13,MATCH($B32,Media_Pool_Mes!$A$2:$A$13,0)),INDEX(Media_Pool_Mes!$E$2:$E$13,MATCH($B32,Media_Pool_Mes!$A$2:$A$13,0))))</f>
        <v/>
      </c>
      <c r="H32" s="37" t="n">
        <f aca="false">INDEX(Parametros_ANEC73!$B$4:$B$6,MATCH($C32,Parametros_ANEC73!$A$4:$A$6,0))</f>
        <v>-1</v>
      </c>
      <c r="I32" s="38" t="str">
        <f aca="false">IF(OR($D32=0,$G32=""),"",IF($H32*($G32-$F32)&gt;0,$G32,$F32))</f>
        <v/>
      </c>
      <c r="J32" s="27" t="str">
        <f aca="false">IF(OR($D32=0,$G32=""),"",IF($H32*($G32-$F32)&gt;0,"Sim","Nao"))</f>
        <v/>
      </c>
      <c r="K32" s="27" t="str">
        <f aca="false">IF(OR($D32=0,$G32=""),"",IF(AND($H32*($E32-$F32)&gt;0,$H32*($E32-$G32)&gt;0),"Sim","Nao"))</f>
        <v/>
      </c>
      <c r="L32" s="38" t="n">
        <f aca="false">IF(OR($D32=0,$G32=""),0,IF($K32="Sim",MAX(0,$H32*($E32-$I32)),0))</f>
        <v>0</v>
      </c>
      <c r="M32" s="35" t="n">
        <f aca="false">INDEX(Parametros_ANEC73!$G$4:$G$6,MATCH($C32,Parametros_ANEC73!$A$4:$A$6,0))</f>
        <v>47</v>
      </c>
      <c r="N32" s="38" t="n">
        <f aca="false">IF(OR($D32=0,$G32=""),0,IF(AND($K32="Sim",$M32&lt;&gt;""),MAX(0,$H32*($E32-$M32)),0))</f>
        <v>0</v>
      </c>
      <c r="O32" s="35" t="n">
        <f aca="false">INDEX(Parametros_ANEC73!$J$4:$J$6,MATCH($C32,Parametros_ANEC73!$A$4:$A$6,0))</f>
        <v>0</v>
      </c>
      <c r="P32" s="38" t="n">
        <f aca="false">IF(OR($D32=0,$G32=""),0,IF(AND($K32="Sim",$O32&lt;&gt;""),MAX(0,$H32*($E32-$O32)),0))</f>
        <v>0</v>
      </c>
      <c r="Q32" s="35" t="n">
        <f aca="false">INDEX(Parametros_ANEC73!$F$4:$F$6,MATCH($C32,Parametros_ANEC73!$A$4:$A$6,0))</f>
        <v>1</v>
      </c>
      <c r="R32" s="35" t="n">
        <f aca="false">INDEX(Parametros_ANEC73!$I$4:$I$6,MATCH($C32,Parametros_ANEC73!$A$4:$A$6,0))</f>
        <v>2</v>
      </c>
      <c r="S32" s="35" t="n">
        <f aca="false">INDEX(Parametros_ANEC73!$L$4:$L$6,MATCH($C32,Parametros_ANEC73!$A$4:$A$6,0))</f>
        <v>0</v>
      </c>
      <c r="T32" s="39" t="n">
        <f aca="false">INDEX(Parametros_ANEC73!$B$14:$B$25,MATCH($B32,Parametros_ANEC73!$A$14:$A$25,0))</f>
        <v>0</v>
      </c>
      <c r="U32" s="40" t="n">
        <f aca="false">IF(OR($D32=0,$G32=""),0,$D32*($T32/100)*($L32*$Q32+$N32*(IF($R32="",$Q32,$R32)-$Q32)+$P32*(IF($S32="",IF($R32="",$Q32,$R32),$S32)-IF($R32="",$Q32,$R32))))</f>
        <v>0</v>
      </c>
      <c r="V32" s="41" t="str">
        <f aca="false">IF(OR($D32=0,$G32=""),"",IF($H32*($E32-INDEX(Parametros_ANEC73!$M$4:$M$6,MATCH($C32,Parametros_ANEC73!$A$4:$A$6,0)))&gt;0,"Sim","Nao"))</f>
        <v/>
      </c>
      <c r="W32" s="27" t="str">
        <f aca="false">$A32&amp;"|"&amp;$B32&amp;"|"&amp;$C32</f>
        <v>Amaggi|Nov|Proteina</v>
      </c>
    </row>
    <row r="33" customFormat="false" ht="15" hidden="false" customHeight="false" outlineLevel="0" collapsed="false">
      <c r="A33" s="27" t="s">
        <v>39</v>
      </c>
      <c r="B33" s="27" t="s">
        <v>68</v>
      </c>
      <c r="C33" s="27" t="s">
        <v>110</v>
      </c>
      <c r="D33" s="34" t="n">
        <f aca="false">SUMIFS(Media_Cliente_Mes!$C$2:$C$145,Media_Cliente_Mes!$A$2:$A$145,$A33,Media_Cliente_Mes!$B$2:$B$145,$B33)</f>
        <v>0</v>
      </c>
      <c r="E33" s="35" t="str">
        <f aca="false">IF($D33=0,"",IF($C33="Proteina",SUMIFS(Media_Cliente_Mes!$D$2:$D$145,Media_Cliente_Mes!$A$2:$A$145,$A33,Media_Cliente_Mes!$B$2:$B$145,$B33),IF($C33="Umidade",SUMIFS(Media_Cliente_Mes!$E$2:$E$145,Media_Cliente_Mes!$A$2:$A$145,$A33,Media_Cliente_Mes!$B$2:$B$145,$B33),SUMIFS(Media_Cliente_Mes!$F$2:$F$145,Media_Cliente_Mes!$A$2:$A$145,$A33,Media_Cliente_Mes!$B$2:$B$145,$B33))))</f>
        <v/>
      </c>
      <c r="F33" s="35" t="n">
        <f aca="false">INDEX(Parametros_ANEC73!$C$4:$C$6,MATCH($C33,Parametros_ANEC73!$A$4:$A$6,0))</f>
        <v>12.5</v>
      </c>
      <c r="G33" s="35" t="str">
        <f aca="false">IF($C33="Proteina",INDEX(Media_Pool_Mes!$C$2:$C$13,MATCH($B33,Media_Pool_Mes!$A$2:$A$13,0)),IF($C33="Umidade",INDEX(Media_Pool_Mes!$D$2:$D$13,MATCH($B33,Media_Pool_Mes!$A$2:$A$13,0)),INDEX(Media_Pool_Mes!$E$2:$E$13,MATCH($B33,Media_Pool_Mes!$A$2:$A$13,0))))</f>
        <v/>
      </c>
      <c r="H33" s="37" t="n">
        <f aca="false">INDEX(Parametros_ANEC73!$B$4:$B$6,MATCH($C33,Parametros_ANEC73!$A$4:$A$6,0))</f>
        <v>1</v>
      </c>
      <c r="I33" s="38" t="str">
        <f aca="false">IF(OR($D33=0,$G33=""),"",IF($H33*($G33-$F33)&gt;0,$G33,$F33))</f>
        <v/>
      </c>
      <c r="J33" s="27" t="str">
        <f aca="false">IF(OR($D33=0,$G33=""),"",IF($H33*($G33-$F33)&gt;0,"Sim","Nao"))</f>
        <v/>
      </c>
      <c r="K33" s="27" t="str">
        <f aca="false">IF(OR($D33=0,$G33=""),"",IF(AND($H33*($E33-$F33)&gt;0,$H33*($E33-$G33)&gt;0),"Sim","Nao"))</f>
        <v/>
      </c>
      <c r="L33" s="38" t="n">
        <f aca="false">IF(OR($D33=0,$G33=""),0,IF($K33="Sim",MAX(0,$H33*($E33-$I33)),0))</f>
        <v>0</v>
      </c>
      <c r="M33" s="35" t="n">
        <f aca="false">INDEX(Parametros_ANEC73!$G$4:$G$6,MATCH($C33,Parametros_ANEC73!$A$4:$A$6,0))</f>
        <v>0</v>
      </c>
      <c r="N33" s="38" t="n">
        <f aca="false">IF(OR($D33=0,$G33=""),0,IF(AND($K33="Sim",$M33&lt;&gt;""),MAX(0,$H33*($E33-$M33)),0))</f>
        <v>0</v>
      </c>
      <c r="O33" s="35" t="n">
        <f aca="false">INDEX(Parametros_ANEC73!$J$4:$J$6,MATCH($C33,Parametros_ANEC73!$A$4:$A$6,0))</f>
        <v>0</v>
      </c>
      <c r="P33" s="38" t="n">
        <f aca="false">IF(OR($D33=0,$G33=""),0,IF(AND($K33="Sim",$O33&lt;&gt;""),MAX(0,$H33*($E33-$O33)),0))</f>
        <v>0</v>
      </c>
      <c r="Q33" s="35" t="n">
        <f aca="false">INDEX(Parametros_ANEC73!$F$4:$F$6,MATCH($C33,Parametros_ANEC73!$A$4:$A$6,0))</f>
        <v>1</v>
      </c>
      <c r="R33" s="35" t="n">
        <f aca="false">INDEX(Parametros_ANEC73!$I$4:$I$6,MATCH($C33,Parametros_ANEC73!$A$4:$A$6,0))</f>
        <v>0</v>
      </c>
      <c r="S33" s="35" t="n">
        <f aca="false">INDEX(Parametros_ANEC73!$L$4:$L$6,MATCH($C33,Parametros_ANEC73!$A$4:$A$6,0))</f>
        <v>0</v>
      </c>
      <c r="T33" s="39" t="n">
        <f aca="false">INDEX(Parametros_ANEC73!$B$14:$B$25,MATCH($B33,Parametros_ANEC73!$A$14:$A$25,0))</f>
        <v>0</v>
      </c>
      <c r="U33" s="40" t="n">
        <f aca="false">IF(OR($D33=0,$G33=""),0,$D33*($T33/100)*($L33*$Q33+$N33*(IF($R33="",$Q33,$R33)-$Q33)+$P33*(IF($S33="",IF($R33="",$Q33,$R33),$S33)-IF($R33="",$Q33,$R33))))</f>
        <v>0</v>
      </c>
      <c r="V33" s="41" t="str">
        <f aca="false">IF(OR($D33=0,$G33=""),"",IF($H33*($E33-INDEX(Parametros_ANEC73!$M$4:$M$6,MATCH($C33,Parametros_ANEC73!$A$4:$A$6,0)))&gt;0,"Sim","Nao"))</f>
        <v/>
      </c>
      <c r="W33" s="27" t="str">
        <f aca="false">$A33&amp;"|"&amp;$B33&amp;"|"&amp;$C33</f>
        <v>Amaggi|Nov|Umidade</v>
      </c>
    </row>
    <row r="34" customFormat="false" ht="15" hidden="false" customHeight="false" outlineLevel="0" collapsed="false">
      <c r="A34" s="27" t="s">
        <v>39</v>
      </c>
      <c r="B34" s="27" t="s">
        <v>68</v>
      </c>
      <c r="C34" s="27" t="s">
        <v>111</v>
      </c>
      <c r="D34" s="34" t="n">
        <f aca="false">SUMIFS(Media_Cliente_Mes!$C$2:$C$145,Media_Cliente_Mes!$A$2:$A$145,$A34,Media_Cliente_Mes!$B$2:$B$145,$B34)</f>
        <v>0</v>
      </c>
      <c r="E34" s="35" t="str">
        <f aca="false">IF($D34=0,"",IF($C34="Proteina",SUMIFS(Media_Cliente_Mes!$D$2:$D$145,Media_Cliente_Mes!$A$2:$A$145,$A34,Media_Cliente_Mes!$B$2:$B$145,$B34),IF($C34="Umidade",SUMIFS(Media_Cliente_Mes!$E$2:$E$145,Media_Cliente_Mes!$A$2:$A$145,$A34,Media_Cliente_Mes!$B$2:$B$145,$B34),SUMIFS(Media_Cliente_Mes!$F$2:$F$145,Media_Cliente_Mes!$A$2:$A$145,$A34,Media_Cliente_Mes!$B$2:$B$145,$B34))))</f>
        <v/>
      </c>
      <c r="F34" s="35" t="n">
        <f aca="false">INDEX(Parametros_ANEC73!$C$4:$C$6,MATCH($C34,Parametros_ANEC73!$A$4:$A$6,0))</f>
        <v>3.5</v>
      </c>
      <c r="G34" s="35" t="str">
        <f aca="false">IF($C34="Proteina",INDEX(Media_Pool_Mes!$C$2:$C$13,MATCH($B34,Media_Pool_Mes!$A$2:$A$13,0)),IF($C34="Umidade",INDEX(Media_Pool_Mes!$D$2:$D$13,MATCH($B34,Media_Pool_Mes!$A$2:$A$13,0)),INDEX(Media_Pool_Mes!$E$2:$E$13,MATCH($B34,Media_Pool_Mes!$A$2:$A$13,0))))</f>
        <v/>
      </c>
      <c r="H34" s="37" t="n">
        <f aca="false">INDEX(Parametros_ANEC73!$B$4:$B$6,MATCH($C34,Parametros_ANEC73!$A$4:$A$6,0))</f>
        <v>1</v>
      </c>
      <c r="I34" s="38" t="str">
        <f aca="false">IF(OR($D34=0,$G34=""),"",IF($H34*($G34-$F34)&gt;0,$G34,$F34))</f>
        <v/>
      </c>
      <c r="J34" s="27" t="str">
        <f aca="false">IF(OR($D34=0,$G34=""),"",IF($H34*($G34-$F34)&gt;0,"Sim","Nao"))</f>
        <v/>
      </c>
      <c r="K34" s="27" t="str">
        <f aca="false">IF(OR($D34=0,$G34=""),"",IF(AND($H34*($E34-$F34)&gt;0,$H34*($E34-$G34)&gt;0),"Sim","Nao"))</f>
        <v/>
      </c>
      <c r="L34" s="38" t="n">
        <f aca="false">IF(OR($D34=0,$G34=""),0,IF($K34="Sim",MAX(0,$H34*($E34-$I34)),0))</f>
        <v>0</v>
      </c>
      <c r="M34" s="35" t="n">
        <f aca="false">INDEX(Parametros_ANEC73!$G$4:$G$6,MATCH($C34,Parametros_ANEC73!$A$4:$A$6,0))</f>
        <v>3.8</v>
      </c>
      <c r="N34" s="38" t="n">
        <f aca="false">IF(OR($D34=0,$G34=""),0,IF(AND($K34="Sim",$M34&lt;&gt;""),MAX(0,$H34*($E34-$M34)),0))</f>
        <v>0</v>
      </c>
      <c r="O34" s="35" t="n">
        <f aca="false">INDEX(Parametros_ANEC73!$J$4:$J$6,MATCH($C34,Parametros_ANEC73!$A$4:$A$6,0))</f>
        <v>4</v>
      </c>
      <c r="P34" s="38" t="n">
        <f aca="false">IF(OR($D34=0,$G34=""),0,IF(AND($K34="Sim",$O34&lt;&gt;""),MAX(0,$H34*($E34-$O34)),0))</f>
        <v>0</v>
      </c>
      <c r="Q34" s="35" t="n">
        <f aca="false">INDEX(Parametros_ANEC73!$F$4:$F$6,MATCH($C34,Parametros_ANEC73!$A$4:$A$6,0))</f>
        <v>1</v>
      </c>
      <c r="R34" s="35" t="n">
        <f aca="false">INDEX(Parametros_ANEC73!$I$4:$I$6,MATCH($C34,Parametros_ANEC73!$A$4:$A$6,0))</f>
        <v>1.5</v>
      </c>
      <c r="S34" s="35" t="n">
        <f aca="false">INDEX(Parametros_ANEC73!$L$4:$L$6,MATCH($C34,Parametros_ANEC73!$A$4:$A$6,0))</f>
        <v>2</v>
      </c>
      <c r="T34" s="39" t="n">
        <f aca="false">INDEX(Parametros_ANEC73!$B$14:$B$25,MATCH($B34,Parametros_ANEC73!$A$14:$A$25,0))</f>
        <v>0</v>
      </c>
      <c r="U34" s="40" t="n">
        <f aca="false">IF(OR($D34=0,$G34=""),0,$D34*($T34/100)*($L34*$Q34+$N34*(IF($R34="",$Q34,$R34)-$Q34)+$P34*(IF($S34="",IF($R34="",$Q34,$R34),$S34)-IF($R34="",$Q34,$R34))))</f>
        <v>0</v>
      </c>
      <c r="V34" s="41" t="str">
        <f aca="false">IF(OR($D34=0,$G34=""),"",IF($H34*($E34-INDEX(Parametros_ANEC73!$M$4:$M$6,MATCH($C34,Parametros_ANEC73!$A$4:$A$6,0)))&gt;0,"Sim","Nao"))</f>
        <v/>
      </c>
      <c r="W34" s="27" t="str">
        <f aca="false">$A34&amp;"|"&amp;$B34&amp;"|"&amp;$C34</f>
        <v>Amaggi|Nov|Fibra</v>
      </c>
    </row>
    <row r="35" customFormat="false" ht="15" hidden="false" customHeight="false" outlineLevel="0" collapsed="false">
      <c r="A35" s="27" t="s">
        <v>39</v>
      </c>
      <c r="B35" s="27" t="s">
        <v>69</v>
      </c>
      <c r="C35" s="27" t="s">
        <v>109</v>
      </c>
      <c r="D35" s="34" t="n">
        <f aca="false">SUMIFS(Media_Cliente_Mes!$C$2:$C$145,Media_Cliente_Mes!$A$2:$A$145,$A35,Media_Cliente_Mes!$B$2:$B$145,$B35)</f>
        <v>0</v>
      </c>
      <c r="E35" s="35" t="str">
        <f aca="false">IF($D35=0,"",IF($C35="Proteina",SUMIFS(Media_Cliente_Mes!$D$2:$D$145,Media_Cliente_Mes!$A$2:$A$145,$A35,Media_Cliente_Mes!$B$2:$B$145,$B35),IF($C35="Umidade",SUMIFS(Media_Cliente_Mes!$E$2:$E$145,Media_Cliente_Mes!$A$2:$A$145,$A35,Media_Cliente_Mes!$B$2:$B$145,$B35),SUMIFS(Media_Cliente_Mes!$F$2:$F$145,Media_Cliente_Mes!$A$2:$A$145,$A35,Media_Cliente_Mes!$B$2:$B$145,$B35))))</f>
        <v/>
      </c>
      <c r="F35" s="35" t="n">
        <f aca="false">INDEX(Parametros_ANEC73!$C$4:$C$6,MATCH($C35,Parametros_ANEC73!$A$4:$A$6,0))</f>
        <v>48</v>
      </c>
      <c r="G35" s="35" t="str">
        <f aca="false">IF($C35="Proteina",INDEX(Media_Pool_Mes!$C$2:$C$13,MATCH($B35,Media_Pool_Mes!$A$2:$A$13,0)),IF($C35="Umidade",INDEX(Media_Pool_Mes!$D$2:$D$13,MATCH($B35,Media_Pool_Mes!$A$2:$A$13,0)),INDEX(Media_Pool_Mes!$E$2:$E$13,MATCH($B35,Media_Pool_Mes!$A$2:$A$13,0))))</f>
        <v/>
      </c>
      <c r="H35" s="37" t="n">
        <f aca="false">INDEX(Parametros_ANEC73!$B$4:$B$6,MATCH($C35,Parametros_ANEC73!$A$4:$A$6,0))</f>
        <v>-1</v>
      </c>
      <c r="I35" s="38" t="str">
        <f aca="false">IF(OR($D35=0,$G35=""),"",IF($H35*($G35-$F35)&gt;0,$G35,$F35))</f>
        <v/>
      </c>
      <c r="J35" s="27" t="str">
        <f aca="false">IF(OR($D35=0,$G35=""),"",IF($H35*($G35-$F35)&gt;0,"Sim","Nao"))</f>
        <v/>
      </c>
      <c r="K35" s="27" t="str">
        <f aca="false">IF(OR($D35=0,$G35=""),"",IF(AND($H35*($E35-$F35)&gt;0,$H35*($E35-$G35)&gt;0),"Sim","Nao"))</f>
        <v/>
      </c>
      <c r="L35" s="38" t="n">
        <f aca="false">IF(OR($D35=0,$G35=""),0,IF($K35="Sim",MAX(0,$H35*($E35-$I35)),0))</f>
        <v>0</v>
      </c>
      <c r="M35" s="35" t="n">
        <f aca="false">INDEX(Parametros_ANEC73!$G$4:$G$6,MATCH($C35,Parametros_ANEC73!$A$4:$A$6,0))</f>
        <v>47</v>
      </c>
      <c r="N35" s="38" t="n">
        <f aca="false">IF(OR($D35=0,$G35=""),0,IF(AND($K35="Sim",$M35&lt;&gt;""),MAX(0,$H35*($E35-$M35)),0))</f>
        <v>0</v>
      </c>
      <c r="O35" s="35" t="n">
        <f aca="false">INDEX(Parametros_ANEC73!$J$4:$J$6,MATCH($C35,Parametros_ANEC73!$A$4:$A$6,0))</f>
        <v>0</v>
      </c>
      <c r="P35" s="38" t="n">
        <f aca="false">IF(OR($D35=0,$G35=""),0,IF(AND($K35="Sim",$O35&lt;&gt;""),MAX(0,$H35*($E35-$O35)),0))</f>
        <v>0</v>
      </c>
      <c r="Q35" s="35" t="n">
        <f aca="false">INDEX(Parametros_ANEC73!$F$4:$F$6,MATCH($C35,Parametros_ANEC73!$A$4:$A$6,0))</f>
        <v>1</v>
      </c>
      <c r="R35" s="35" t="n">
        <f aca="false">INDEX(Parametros_ANEC73!$I$4:$I$6,MATCH($C35,Parametros_ANEC73!$A$4:$A$6,0))</f>
        <v>2</v>
      </c>
      <c r="S35" s="35" t="n">
        <f aca="false">INDEX(Parametros_ANEC73!$L$4:$L$6,MATCH($C35,Parametros_ANEC73!$A$4:$A$6,0))</f>
        <v>0</v>
      </c>
      <c r="T35" s="39" t="n">
        <f aca="false">INDEX(Parametros_ANEC73!$B$14:$B$25,MATCH($B35,Parametros_ANEC73!$A$14:$A$25,0))</f>
        <v>0</v>
      </c>
      <c r="U35" s="40" t="n">
        <f aca="false">IF(OR($D35=0,$G35=""),0,$D35*($T35/100)*($L35*$Q35+$N35*(IF($R35="",$Q35,$R35)-$Q35)+$P35*(IF($S35="",IF($R35="",$Q35,$R35),$S35)-IF($R35="",$Q35,$R35))))</f>
        <v>0</v>
      </c>
      <c r="V35" s="41" t="str">
        <f aca="false">IF(OR($D35=0,$G35=""),"",IF($H35*($E35-INDEX(Parametros_ANEC73!$M$4:$M$6,MATCH($C35,Parametros_ANEC73!$A$4:$A$6,0)))&gt;0,"Sim","Nao"))</f>
        <v/>
      </c>
      <c r="W35" s="27" t="str">
        <f aca="false">$A35&amp;"|"&amp;$B35&amp;"|"&amp;$C35</f>
        <v>Amaggi|Dez|Proteina</v>
      </c>
    </row>
    <row r="36" customFormat="false" ht="15" hidden="false" customHeight="false" outlineLevel="0" collapsed="false">
      <c r="A36" s="27" t="s">
        <v>39</v>
      </c>
      <c r="B36" s="27" t="s">
        <v>69</v>
      </c>
      <c r="C36" s="27" t="s">
        <v>110</v>
      </c>
      <c r="D36" s="34" t="n">
        <f aca="false">SUMIFS(Media_Cliente_Mes!$C$2:$C$145,Media_Cliente_Mes!$A$2:$A$145,$A36,Media_Cliente_Mes!$B$2:$B$145,$B36)</f>
        <v>0</v>
      </c>
      <c r="E36" s="35" t="str">
        <f aca="false">IF($D36=0,"",IF($C36="Proteina",SUMIFS(Media_Cliente_Mes!$D$2:$D$145,Media_Cliente_Mes!$A$2:$A$145,$A36,Media_Cliente_Mes!$B$2:$B$145,$B36),IF($C36="Umidade",SUMIFS(Media_Cliente_Mes!$E$2:$E$145,Media_Cliente_Mes!$A$2:$A$145,$A36,Media_Cliente_Mes!$B$2:$B$145,$B36),SUMIFS(Media_Cliente_Mes!$F$2:$F$145,Media_Cliente_Mes!$A$2:$A$145,$A36,Media_Cliente_Mes!$B$2:$B$145,$B36))))</f>
        <v/>
      </c>
      <c r="F36" s="35" t="n">
        <f aca="false">INDEX(Parametros_ANEC73!$C$4:$C$6,MATCH($C36,Parametros_ANEC73!$A$4:$A$6,0))</f>
        <v>12.5</v>
      </c>
      <c r="G36" s="35" t="str">
        <f aca="false">IF($C36="Proteina",INDEX(Media_Pool_Mes!$C$2:$C$13,MATCH($B36,Media_Pool_Mes!$A$2:$A$13,0)),IF($C36="Umidade",INDEX(Media_Pool_Mes!$D$2:$D$13,MATCH($B36,Media_Pool_Mes!$A$2:$A$13,0)),INDEX(Media_Pool_Mes!$E$2:$E$13,MATCH($B36,Media_Pool_Mes!$A$2:$A$13,0))))</f>
        <v/>
      </c>
      <c r="H36" s="37" t="n">
        <f aca="false">INDEX(Parametros_ANEC73!$B$4:$B$6,MATCH($C36,Parametros_ANEC73!$A$4:$A$6,0))</f>
        <v>1</v>
      </c>
      <c r="I36" s="38" t="str">
        <f aca="false">IF(OR($D36=0,$G36=""),"",IF($H36*($G36-$F36)&gt;0,$G36,$F36))</f>
        <v/>
      </c>
      <c r="J36" s="27" t="str">
        <f aca="false">IF(OR($D36=0,$G36=""),"",IF($H36*($G36-$F36)&gt;0,"Sim","Nao"))</f>
        <v/>
      </c>
      <c r="K36" s="27" t="str">
        <f aca="false">IF(OR($D36=0,$G36=""),"",IF(AND($H36*($E36-$F36)&gt;0,$H36*($E36-$G36)&gt;0),"Sim","Nao"))</f>
        <v/>
      </c>
      <c r="L36" s="38" t="n">
        <f aca="false">IF(OR($D36=0,$G36=""),0,IF($K36="Sim",MAX(0,$H36*($E36-$I36)),0))</f>
        <v>0</v>
      </c>
      <c r="M36" s="35" t="n">
        <f aca="false">INDEX(Parametros_ANEC73!$G$4:$G$6,MATCH($C36,Parametros_ANEC73!$A$4:$A$6,0))</f>
        <v>0</v>
      </c>
      <c r="N36" s="38" t="n">
        <f aca="false">IF(OR($D36=0,$G36=""),0,IF(AND($K36="Sim",$M36&lt;&gt;""),MAX(0,$H36*($E36-$M36)),0))</f>
        <v>0</v>
      </c>
      <c r="O36" s="35" t="n">
        <f aca="false">INDEX(Parametros_ANEC73!$J$4:$J$6,MATCH($C36,Parametros_ANEC73!$A$4:$A$6,0))</f>
        <v>0</v>
      </c>
      <c r="P36" s="38" t="n">
        <f aca="false">IF(OR($D36=0,$G36=""),0,IF(AND($K36="Sim",$O36&lt;&gt;""),MAX(0,$H36*($E36-$O36)),0))</f>
        <v>0</v>
      </c>
      <c r="Q36" s="35" t="n">
        <f aca="false">INDEX(Parametros_ANEC73!$F$4:$F$6,MATCH($C36,Parametros_ANEC73!$A$4:$A$6,0))</f>
        <v>1</v>
      </c>
      <c r="R36" s="35" t="n">
        <f aca="false">INDEX(Parametros_ANEC73!$I$4:$I$6,MATCH($C36,Parametros_ANEC73!$A$4:$A$6,0))</f>
        <v>0</v>
      </c>
      <c r="S36" s="35" t="n">
        <f aca="false">INDEX(Parametros_ANEC73!$L$4:$L$6,MATCH($C36,Parametros_ANEC73!$A$4:$A$6,0))</f>
        <v>0</v>
      </c>
      <c r="T36" s="39" t="n">
        <f aca="false">INDEX(Parametros_ANEC73!$B$14:$B$25,MATCH($B36,Parametros_ANEC73!$A$14:$A$25,0))</f>
        <v>0</v>
      </c>
      <c r="U36" s="40" t="n">
        <f aca="false">IF(OR($D36=0,$G36=""),0,$D36*($T36/100)*($L36*$Q36+$N36*(IF($R36="",$Q36,$R36)-$Q36)+$P36*(IF($S36="",IF($R36="",$Q36,$R36),$S36)-IF($R36="",$Q36,$R36))))</f>
        <v>0</v>
      </c>
      <c r="V36" s="41" t="str">
        <f aca="false">IF(OR($D36=0,$G36=""),"",IF($H36*($E36-INDEX(Parametros_ANEC73!$M$4:$M$6,MATCH($C36,Parametros_ANEC73!$A$4:$A$6,0)))&gt;0,"Sim","Nao"))</f>
        <v/>
      </c>
      <c r="W36" s="27" t="str">
        <f aca="false">$A36&amp;"|"&amp;$B36&amp;"|"&amp;$C36</f>
        <v>Amaggi|Dez|Umidade</v>
      </c>
    </row>
    <row r="37" customFormat="false" ht="15" hidden="false" customHeight="false" outlineLevel="0" collapsed="false">
      <c r="A37" s="27" t="s">
        <v>39</v>
      </c>
      <c r="B37" s="27" t="s">
        <v>69</v>
      </c>
      <c r="C37" s="27" t="s">
        <v>111</v>
      </c>
      <c r="D37" s="34" t="n">
        <f aca="false">SUMIFS(Media_Cliente_Mes!$C$2:$C$145,Media_Cliente_Mes!$A$2:$A$145,$A37,Media_Cliente_Mes!$B$2:$B$145,$B37)</f>
        <v>0</v>
      </c>
      <c r="E37" s="35" t="str">
        <f aca="false">IF($D37=0,"",IF($C37="Proteina",SUMIFS(Media_Cliente_Mes!$D$2:$D$145,Media_Cliente_Mes!$A$2:$A$145,$A37,Media_Cliente_Mes!$B$2:$B$145,$B37),IF($C37="Umidade",SUMIFS(Media_Cliente_Mes!$E$2:$E$145,Media_Cliente_Mes!$A$2:$A$145,$A37,Media_Cliente_Mes!$B$2:$B$145,$B37),SUMIFS(Media_Cliente_Mes!$F$2:$F$145,Media_Cliente_Mes!$A$2:$A$145,$A37,Media_Cliente_Mes!$B$2:$B$145,$B37))))</f>
        <v/>
      </c>
      <c r="F37" s="35" t="n">
        <f aca="false">INDEX(Parametros_ANEC73!$C$4:$C$6,MATCH($C37,Parametros_ANEC73!$A$4:$A$6,0))</f>
        <v>3.5</v>
      </c>
      <c r="G37" s="35" t="str">
        <f aca="false">IF($C37="Proteina",INDEX(Media_Pool_Mes!$C$2:$C$13,MATCH($B37,Media_Pool_Mes!$A$2:$A$13,0)),IF($C37="Umidade",INDEX(Media_Pool_Mes!$D$2:$D$13,MATCH($B37,Media_Pool_Mes!$A$2:$A$13,0)),INDEX(Media_Pool_Mes!$E$2:$E$13,MATCH($B37,Media_Pool_Mes!$A$2:$A$13,0))))</f>
        <v/>
      </c>
      <c r="H37" s="37" t="n">
        <f aca="false">INDEX(Parametros_ANEC73!$B$4:$B$6,MATCH($C37,Parametros_ANEC73!$A$4:$A$6,0))</f>
        <v>1</v>
      </c>
      <c r="I37" s="38" t="str">
        <f aca="false">IF(OR($D37=0,$G37=""),"",IF($H37*($G37-$F37)&gt;0,$G37,$F37))</f>
        <v/>
      </c>
      <c r="J37" s="27" t="str">
        <f aca="false">IF(OR($D37=0,$G37=""),"",IF($H37*($G37-$F37)&gt;0,"Sim","Nao"))</f>
        <v/>
      </c>
      <c r="K37" s="27" t="str">
        <f aca="false">IF(OR($D37=0,$G37=""),"",IF(AND($H37*($E37-$F37)&gt;0,$H37*($E37-$G37)&gt;0),"Sim","Nao"))</f>
        <v/>
      </c>
      <c r="L37" s="38" t="n">
        <f aca="false">IF(OR($D37=0,$G37=""),0,IF($K37="Sim",MAX(0,$H37*($E37-$I37)),0))</f>
        <v>0</v>
      </c>
      <c r="M37" s="35" t="n">
        <f aca="false">INDEX(Parametros_ANEC73!$G$4:$G$6,MATCH($C37,Parametros_ANEC73!$A$4:$A$6,0))</f>
        <v>3.8</v>
      </c>
      <c r="N37" s="38" t="n">
        <f aca="false">IF(OR($D37=0,$G37=""),0,IF(AND($K37="Sim",$M37&lt;&gt;""),MAX(0,$H37*($E37-$M37)),0))</f>
        <v>0</v>
      </c>
      <c r="O37" s="35" t="n">
        <f aca="false">INDEX(Parametros_ANEC73!$J$4:$J$6,MATCH($C37,Parametros_ANEC73!$A$4:$A$6,0))</f>
        <v>4</v>
      </c>
      <c r="P37" s="38" t="n">
        <f aca="false">IF(OR($D37=0,$G37=""),0,IF(AND($K37="Sim",$O37&lt;&gt;""),MAX(0,$H37*($E37-$O37)),0))</f>
        <v>0</v>
      </c>
      <c r="Q37" s="35" t="n">
        <f aca="false">INDEX(Parametros_ANEC73!$F$4:$F$6,MATCH($C37,Parametros_ANEC73!$A$4:$A$6,0))</f>
        <v>1</v>
      </c>
      <c r="R37" s="35" t="n">
        <f aca="false">INDEX(Parametros_ANEC73!$I$4:$I$6,MATCH($C37,Parametros_ANEC73!$A$4:$A$6,0))</f>
        <v>1.5</v>
      </c>
      <c r="S37" s="35" t="n">
        <f aca="false">INDEX(Parametros_ANEC73!$L$4:$L$6,MATCH($C37,Parametros_ANEC73!$A$4:$A$6,0))</f>
        <v>2</v>
      </c>
      <c r="T37" s="39" t="n">
        <f aca="false">INDEX(Parametros_ANEC73!$B$14:$B$25,MATCH($B37,Parametros_ANEC73!$A$14:$A$25,0))</f>
        <v>0</v>
      </c>
      <c r="U37" s="40" t="n">
        <f aca="false">IF(OR($D37=0,$G37=""),0,$D37*($T37/100)*($L37*$Q37+$N37*(IF($R37="",$Q37,$R37)-$Q37)+$P37*(IF($S37="",IF($R37="",$Q37,$R37),$S37)-IF($R37="",$Q37,$R37))))</f>
        <v>0</v>
      </c>
      <c r="V37" s="41" t="str">
        <f aca="false">IF(OR($D37=0,$G37=""),"",IF($H37*($E37-INDEX(Parametros_ANEC73!$M$4:$M$6,MATCH($C37,Parametros_ANEC73!$A$4:$A$6,0)))&gt;0,"Sim","Nao"))</f>
        <v/>
      </c>
      <c r="W37" s="27" t="str">
        <f aca="false">$A37&amp;"|"&amp;$B37&amp;"|"&amp;$C37</f>
        <v>Amaggi|Dez|Fibra</v>
      </c>
    </row>
    <row r="38" customFormat="false" ht="15" hidden="false" customHeight="false" outlineLevel="0" collapsed="false">
      <c r="A38" s="27" t="s">
        <v>40</v>
      </c>
      <c r="B38" s="27" t="s">
        <v>38</v>
      </c>
      <c r="C38" s="27" t="s">
        <v>109</v>
      </c>
      <c r="D38" s="34" t="n">
        <f aca="false">SUMIFS(Media_Cliente_Mes!$C$2:$C$145,Media_Cliente_Mes!$A$2:$A$145,$A38,Media_Cliente_Mes!$B$2:$B$145,$B38)</f>
        <v>39842.6</v>
      </c>
      <c r="E38" s="35" t="n">
        <f aca="false">IF($D38=0,"",IF($C38="Proteina",SUMIFS(Media_Cliente_Mes!$D$2:$D$145,Media_Cliente_Mes!$A$2:$A$145,$A38,Media_Cliente_Mes!$B$2:$B$145,$B38),IF($C38="Umidade",SUMIFS(Media_Cliente_Mes!$E$2:$E$145,Media_Cliente_Mes!$A$2:$A$145,$A38,Media_Cliente_Mes!$B$2:$B$145,$B38),SUMIFS(Media_Cliente_Mes!$F$2:$F$145,Media_Cliente_Mes!$A$2:$A$145,$A38,Media_Cliente_Mes!$B$2:$B$145,$B38))))</f>
        <v>48.328750568487</v>
      </c>
      <c r="F38" s="35" t="n">
        <f aca="false">INDEX(Parametros_ANEC73!$C$4:$C$6,MATCH($C38,Parametros_ANEC73!$A$4:$A$6,0))</f>
        <v>48</v>
      </c>
      <c r="G38" s="35" t="n">
        <f aca="false">IF($C38="Proteina",INDEX(Media_Pool_Mes!$C$2:$C$13,MATCH($B38,Media_Pool_Mes!$A$2:$A$13,0)),IF($C38="Umidade",INDEX(Media_Pool_Mes!$D$2:$D$13,MATCH($B38,Media_Pool_Mes!$A$2:$A$13,0)),INDEX(Media_Pool_Mes!$E$2:$E$13,MATCH($B38,Media_Pool_Mes!$A$2:$A$13,0))))</f>
        <v>47.8154367670349</v>
      </c>
      <c r="H38" s="37" t="n">
        <f aca="false">INDEX(Parametros_ANEC73!$B$4:$B$6,MATCH($C38,Parametros_ANEC73!$A$4:$A$6,0))</f>
        <v>-1</v>
      </c>
      <c r="I38" s="38" t="n">
        <f aca="false">IF(OR($D38=0,$G38=""),"",IF($H38*($G38-$F38)&gt;0,$G38,$F38))</f>
        <v>47.8154367670349</v>
      </c>
      <c r="J38" s="27" t="str">
        <f aca="false">IF(OR($D38=0,$G38=""),"",IF($H38*($G38-$F38)&gt;0,"Sim","Nao"))</f>
        <v>Sim</v>
      </c>
      <c r="K38" s="27" t="str">
        <f aca="false">IF(OR($D38=0,$G38=""),"",IF(AND($H38*($E38-$F38)&gt;0,$H38*($E38-$G38)&gt;0),"Sim","Nao"))</f>
        <v>Nao</v>
      </c>
      <c r="L38" s="38" t="n">
        <f aca="false">IF(OR($D38=0,$G38=""),0,IF($K38="Sim",MAX(0,$H38*($E38-$I38)),0))</f>
        <v>0</v>
      </c>
      <c r="M38" s="35" t="n">
        <f aca="false">INDEX(Parametros_ANEC73!$G$4:$G$6,MATCH($C38,Parametros_ANEC73!$A$4:$A$6,0))</f>
        <v>47</v>
      </c>
      <c r="N38" s="38" t="n">
        <f aca="false">IF(OR($D38=0,$G38=""),0,IF(AND($K38="Sim",$M38&lt;&gt;""),MAX(0,$H38*($E38-$M38)),0))</f>
        <v>0</v>
      </c>
      <c r="O38" s="35" t="n">
        <f aca="false">INDEX(Parametros_ANEC73!$J$4:$J$6,MATCH($C38,Parametros_ANEC73!$A$4:$A$6,0))</f>
        <v>0</v>
      </c>
      <c r="P38" s="38" t="n">
        <f aca="false">IF(OR($D38=0,$G38=""),0,IF(AND($K38="Sim",$O38&lt;&gt;""),MAX(0,$H38*($E38-$O38)),0))</f>
        <v>0</v>
      </c>
      <c r="Q38" s="35" t="n">
        <f aca="false">INDEX(Parametros_ANEC73!$F$4:$F$6,MATCH($C38,Parametros_ANEC73!$A$4:$A$6,0))</f>
        <v>1</v>
      </c>
      <c r="R38" s="35" t="n">
        <f aca="false">INDEX(Parametros_ANEC73!$I$4:$I$6,MATCH($C38,Parametros_ANEC73!$A$4:$A$6,0))</f>
        <v>2</v>
      </c>
      <c r="S38" s="35" t="n">
        <f aca="false">INDEX(Parametros_ANEC73!$L$4:$L$6,MATCH($C38,Parametros_ANEC73!$A$4:$A$6,0))</f>
        <v>0</v>
      </c>
      <c r="T38" s="39" t="n">
        <f aca="false">INDEX(Parametros_ANEC73!$B$14:$B$25,MATCH($B38,Parametros_ANEC73!$A$14:$A$25,0))</f>
        <v>386</v>
      </c>
      <c r="U38" s="40" t="n">
        <f aca="false">IF(OR($D38=0,$G38=""),0,$D38*($T38/100)*($L38*$Q38+$N38*(IF($R38="",$Q38,$R38)-$Q38)+$P38*(IF($S38="",IF($R38="",$Q38,$R38),$S38)-IF($R38="",$Q38,$R38))))</f>
        <v>0</v>
      </c>
      <c r="V38" s="41" t="str">
        <f aca="false">IF(OR($D38=0,$G38=""),"",IF($H38*($E38-INDEX(Parametros_ANEC73!$M$4:$M$6,MATCH($C38,Parametros_ANEC73!$A$4:$A$6,0)))&gt;0,"Sim","Nao"))</f>
        <v>Nao</v>
      </c>
      <c r="W38" s="27" t="str">
        <f aca="false">$A38&amp;"|"&amp;$B38&amp;"|"&amp;$C38</f>
        <v>Brejeiro|Jan|Proteina</v>
      </c>
    </row>
    <row r="39" customFormat="false" ht="15" hidden="false" customHeight="false" outlineLevel="0" collapsed="false">
      <c r="A39" s="27" t="s">
        <v>40</v>
      </c>
      <c r="B39" s="27" t="s">
        <v>38</v>
      </c>
      <c r="C39" s="27" t="s">
        <v>110</v>
      </c>
      <c r="D39" s="34" t="n">
        <f aca="false">SUMIFS(Media_Cliente_Mes!$C$2:$C$145,Media_Cliente_Mes!$A$2:$A$145,$A39,Media_Cliente_Mes!$B$2:$B$145,$B39)</f>
        <v>39842.6</v>
      </c>
      <c r="E39" s="35" t="n">
        <f aca="false">IF($D39=0,"",IF($C39="Proteina",SUMIFS(Media_Cliente_Mes!$D$2:$D$145,Media_Cliente_Mes!$A$2:$A$145,$A39,Media_Cliente_Mes!$B$2:$B$145,$B39),IF($C39="Umidade",SUMIFS(Media_Cliente_Mes!$E$2:$E$145,Media_Cliente_Mes!$A$2:$A$145,$A39,Media_Cliente_Mes!$B$2:$B$145,$B39),SUMIFS(Media_Cliente_Mes!$F$2:$F$145,Media_Cliente_Mes!$A$2:$A$145,$A39,Media_Cliente_Mes!$B$2:$B$145,$B39))))</f>
        <v>11.6180667802804</v>
      </c>
      <c r="F39" s="35" t="n">
        <f aca="false">INDEX(Parametros_ANEC73!$C$4:$C$6,MATCH($C39,Parametros_ANEC73!$A$4:$A$6,0))</f>
        <v>12.5</v>
      </c>
      <c r="G39" s="35" t="n">
        <f aca="false">IF($C39="Proteina",INDEX(Media_Pool_Mes!$C$2:$C$13,MATCH($B39,Media_Pool_Mes!$A$2:$A$13,0)),IF($C39="Umidade",INDEX(Media_Pool_Mes!$D$2:$D$13,MATCH($B39,Media_Pool_Mes!$A$2:$A$13,0)),INDEX(Media_Pool_Mes!$E$2:$E$13,MATCH($B39,Media_Pool_Mes!$A$2:$A$13,0))))</f>
        <v>12.076727887935</v>
      </c>
      <c r="H39" s="37" t="n">
        <f aca="false">INDEX(Parametros_ANEC73!$B$4:$B$6,MATCH($C39,Parametros_ANEC73!$A$4:$A$6,0))</f>
        <v>1</v>
      </c>
      <c r="I39" s="38" t="n">
        <f aca="false">IF(OR($D39=0,$G39=""),"",IF($H39*($G39-$F39)&gt;0,$G39,$F39))</f>
        <v>12.5</v>
      </c>
      <c r="J39" s="27" t="str">
        <f aca="false">IF(OR($D39=0,$G39=""),"",IF($H39*($G39-$F39)&gt;0,"Sim","Nao"))</f>
        <v>Nao</v>
      </c>
      <c r="K39" s="27" t="str">
        <f aca="false">IF(OR($D39=0,$G39=""),"",IF(AND($H39*($E39-$F39)&gt;0,$H39*($E39-$G39)&gt;0),"Sim","Nao"))</f>
        <v>Nao</v>
      </c>
      <c r="L39" s="38" t="n">
        <f aca="false">IF(OR($D39=0,$G39=""),0,IF($K39="Sim",MAX(0,$H39*($E39-$I39)),0))</f>
        <v>0</v>
      </c>
      <c r="M39" s="35" t="n">
        <f aca="false">INDEX(Parametros_ANEC73!$G$4:$G$6,MATCH($C39,Parametros_ANEC73!$A$4:$A$6,0))</f>
        <v>0</v>
      </c>
      <c r="N39" s="38" t="n">
        <f aca="false">IF(OR($D39=0,$G39=""),0,IF(AND($K39="Sim",$M39&lt;&gt;""),MAX(0,$H39*($E39-$M39)),0))</f>
        <v>0</v>
      </c>
      <c r="O39" s="35" t="n">
        <f aca="false">INDEX(Parametros_ANEC73!$J$4:$J$6,MATCH($C39,Parametros_ANEC73!$A$4:$A$6,0))</f>
        <v>0</v>
      </c>
      <c r="P39" s="38" t="n">
        <f aca="false">IF(OR($D39=0,$G39=""),0,IF(AND($K39="Sim",$O39&lt;&gt;""),MAX(0,$H39*($E39-$O39)),0))</f>
        <v>0</v>
      </c>
      <c r="Q39" s="35" t="n">
        <f aca="false">INDEX(Parametros_ANEC73!$F$4:$F$6,MATCH($C39,Parametros_ANEC73!$A$4:$A$6,0))</f>
        <v>1</v>
      </c>
      <c r="R39" s="35" t="n">
        <f aca="false">INDEX(Parametros_ANEC73!$I$4:$I$6,MATCH($C39,Parametros_ANEC73!$A$4:$A$6,0))</f>
        <v>0</v>
      </c>
      <c r="S39" s="35" t="n">
        <f aca="false">INDEX(Parametros_ANEC73!$L$4:$L$6,MATCH($C39,Parametros_ANEC73!$A$4:$A$6,0))</f>
        <v>0</v>
      </c>
      <c r="T39" s="39" t="n">
        <f aca="false">INDEX(Parametros_ANEC73!$B$14:$B$25,MATCH($B39,Parametros_ANEC73!$A$14:$A$25,0))</f>
        <v>386</v>
      </c>
      <c r="U39" s="40" t="n">
        <f aca="false">IF(OR($D39=0,$G39=""),0,$D39*($T39/100)*($L39*$Q39+$N39*(IF($R39="",$Q39,$R39)-$Q39)+$P39*(IF($S39="",IF($R39="",$Q39,$R39),$S39)-IF($R39="",$Q39,$R39))))</f>
        <v>0</v>
      </c>
      <c r="V39" s="41" t="str">
        <f aca="false">IF(OR($D39=0,$G39=""),"",IF($H39*($E39-INDEX(Parametros_ANEC73!$M$4:$M$6,MATCH($C39,Parametros_ANEC73!$A$4:$A$6,0)))&gt;0,"Sim","Nao"))</f>
        <v>Nao</v>
      </c>
      <c r="W39" s="27" t="str">
        <f aca="false">$A39&amp;"|"&amp;$B39&amp;"|"&amp;$C39</f>
        <v>Brejeiro|Jan|Umidade</v>
      </c>
    </row>
    <row r="40" customFormat="false" ht="15" hidden="false" customHeight="false" outlineLevel="0" collapsed="false">
      <c r="A40" s="27" t="s">
        <v>40</v>
      </c>
      <c r="B40" s="27" t="s">
        <v>38</v>
      </c>
      <c r="C40" s="27" t="s">
        <v>111</v>
      </c>
      <c r="D40" s="34" t="n">
        <f aca="false">SUMIFS(Media_Cliente_Mes!$C$2:$C$145,Media_Cliente_Mes!$A$2:$A$145,$A40,Media_Cliente_Mes!$B$2:$B$145,$B40)</f>
        <v>39842.6</v>
      </c>
      <c r="E40" s="35" t="n">
        <f aca="false">IF($D40=0,"",IF($C40="Proteina",SUMIFS(Media_Cliente_Mes!$D$2:$D$145,Media_Cliente_Mes!$A$2:$A$145,$A40,Media_Cliente_Mes!$B$2:$B$145,$B40),IF($C40="Umidade",SUMIFS(Media_Cliente_Mes!$E$2:$E$145,Media_Cliente_Mes!$A$2:$A$145,$A40,Media_Cliente_Mes!$B$2:$B$145,$B40),SUMIFS(Media_Cliente_Mes!$F$2:$F$145,Media_Cliente_Mes!$A$2:$A$145,$A40,Media_Cliente_Mes!$B$2:$B$145,$B40))))</f>
        <v>3.12451483688314</v>
      </c>
      <c r="F40" s="35" t="n">
        <f aca="false">INDEX(Parametros_ANEC73!$C$4:$C$6,MATCH($C40,Parametros_ANEC73!$A$4:$A$6,0))</f>
        <v>3.5</v>
      </c>
      <c r="G40" s="35" t="n">
        <f aca="false">IF($C40="Proteina",INDEX(Media_Pool_Mes!$C$2:$C$13,MATCH($B40,Media_Pool_Mes!$A$2:$A$13,0)),IF($C40="Umidade",INDEX(Media_Pool_Mes!$D$2:$D$13,MATCH($B40,Media_Pool_Mes!$A$2:$A$13,0)),INDEX(Media_Pool_Mes!$E$2:$E$13,MATCH($B40,Media_Pool_Mes!$A$2:$A$13,0))))</f>
        <v>3.51752485295922</v>
      </c>
      <c r="H40" s="37" t="n">
        <f aca="false">INDEX(Parametros_ANEC73!$B$4:$B$6,MATCH($C40,Parametros_ANEC73!$A$4:$A$6,0))</f>
        <v>1</v>
      </c>
      <c r="I40" s="38" t="n">
        <f aca="false">IF(OR($D40=0,$G40=""),"",IF($H40*($G40-$F40)&gt;0,$G40,$F40))</f>
        <v>3.51752485295922</v>
      </c>
      <c r="J40" s="27" t="str">
        <f aca="false">IF(OR($D40=0,$G40=""),"",IF($H40*($G40-$F40)&gt;0,"Sim","Nao"))</f>
        <v>Sim</v>
      </c>
      <c r="K40" s="27" t="str">
        <f aca="false">IF(OR($D40=0,$G40=""),"",IF(AND($H40*($E40-$F40)&gt;0,$H40*($E40-$G40)&gt;0),"Sim","Nao"))</f>
        <v>Nao</v>
      </c>
      <c r="L40" s="38" t="n">
        <f aca="false">IF(OR($D40=0,$G40=""),0,IF($K40="Sim",MAX(0,$H40*($E40-$I40)),0))</f>
        <v>0</v>
      </c>
      <c r="M40" s="35" t="n">
        <f aca="false">INDEX(Parametros_ANEC73!$G$4:$G$6,MATCH($C40,Parametros_ANEC73!$A$4:$A$6,0))</f>
        <v>3.8</v>
      </c>
      <c r="N40" s="38" t="n">
        <f aca="false">IF(OR($D40=0,$G40=""),0,IF(AND($K40="Sim",$M40&lt;&gt;""),MAX(0,$H40*($E40-$M40)),0))</f>
        <v>0</v>
      </c>
      <c r="O40" s="35" t="n">
        <f aca="false">INDEX(Parametros_ANEC73!$J$4:$J$6,MATCH($C40,Parametros_ANEC73!$A$4:$A$6,0))</f>
        <v>4</v>
      </c>
      <c r="P40" s="38" t="n">
        <f aca="false">IF(OR($D40=0,$G40=""),0,IF(AND($K40="Sim",$O40&lt;&gt;""),MAX(0,$H40*($E40-$O40)),0))</f>
        <v>0</v>
      </c>
      <c r="Q40" s="35" t="n">
        <f aca="false">INDEX(Parametros_ANEC73!$F$4:$F$6,MATCH($C40,Parametros_ANEC73!$A$4:$A$6,0))</f>
        <v>1</v>
      </c>
      <c r="R40" s="35" t="n">
        <f aca="false">INDEX(Parametros_ANEC73!$I$4:$I$6,MATCH($C40,Parametros_ANEC73!$A$4:$A$6,0))</f>
        <v>1.5</v>
      </c>
      <c r="S40" s="35" t="n">
        <f aca="false">INDEX(Parametros_ANEC73!$L$4:$L$6,MATCH($C40,Parametros_ANEC73!$A$4:$A$6,0))</f>
        <v>2</v>
      </c>
      <c r="T40" s="39" t="n">
        <f aca="false">INDEX(Parametros_ANEC73!$B$14:$B$25,MATCH($B40,Parametros_ANEC73!$A$14:$A$25,0))</f>
        <v>386</v>
      </c>
      <c r="U40" s="40" t="n">
        <f aca="false">IF(OR($D40=0,$G40=""),0,$D40*($T40/100)*($L40*$Q40+$N40*(IF($R40="",$Q40,$R40)-$Q40)+$P40*(IF($S40="",IF($R40="",$Q40,$R40),$S40)-IF($R40="",$Q40,$R40))))</f>
        <v>0</v>
      </c>
      <c r="V40" s="41" t="str">
        <f aca="false">IF(OR($D40=0,$G40=""),"",IF($H40*($E40-INDEX(Parametros_ANEC73!$M$4:$M$6,MATCH($C40,Parametros_ANEC73!$A$4:$A$6,0)))&gt;0,"Sim","Nao"))</f>
        <v>Nao</v>
      </c>
      <c r="W40" s="27" t="str">
        <f aca="false">$A40&amp;"|"&amp;$B40&amp;"|"&amp;$C40</f>
        <v>Brejeiro|Jan|Fibra</v>
      </c>
    </row>
    <row r="41" customFormat="false" ht="15" hidden="false" customHeight="false" outlineLevel="0" collapsed="false">
      <c r="A41" s="27" t="s">
        <v>40</v>
      </c>
      <c r="B41" s="27" t="s">
        <v>59</v>
      </c>
      <c r="C41" s="27" t="s">
        <v>109</v>
      </c>
      <c r="D41" s="34" t="n">
        <f aca="false">SUMIFS(Media_Cliente_Mes!$C$2:$C$145,Media_Cliente_Mes!$A$2:$A$145,$A41,Media_Cliente_Mes!$B$2:$B$145,$B41)</f>
        <v>30370.33</v>
      </c>
      <c r="E41" s="35" t="n">
        <f aca="false">IF($D41=0,"",IF($C41="Proteina",SUMIFS(Media_Cliente_Mes!$D$2:$D$145,Media_Cliente_Mes!$A$2:$A$145,$A41,Media_Cliente_Mes!$B$2:$B$145,$B41),IF($C41="Umidade",SUMIFS(Media_Cliente_Mes!$E$2:$E$145,Media_Cliente_Mes!$A$2:$A$145,$A41,Media_Cliente_Mes!$B$2:$B$145,$B41),SUMIFS(Media_Cliente_Mes!$F$2:$F$145,Media_Cliente_Mes!$A$2:$A$145,$A41,Media_Cliente_Mes!$B$2:$B$145,$B41))))</f>
        <v>47.9807398503737</v>
      </c>
      <c r="F41" s="35" t="n">
        <f aca="false">INDEX(Parametros_ANEC73!$C$4:$C$6,MATCH($C41,Parametros_ANEC73!$A$4:$A$6,0))</f>
        <v>48</v>
      </c>
      <c r="G41" s="35" t="n">
        <f aca="false">IF($C41="Proteina",INDEX(Media_Pool_Mes!$C$2:$C$13,MATCH($B41,Media_Pool_Mes!$A$2:$A$13,0)),IF($C41="Umidade",INDEX(Media_Pool_Mes!$D$2:$D$13,MATCH($B41,Media_Pool_Mes!$A$2:$A$13,0)),INDEX(Media_Pool_Mes!$E$2:$E$13,MATCH($B41,Media_Pool_Mes!$A$2:$A$13,0))))</f>
        <v>47.3405726705791</v>
      </c>
      <c r="H41" s="37" t="n">
        <f aca="false">INDEX(Parametros_ANEC73!$B$4:$B$6,MATCH($C41,Parametros_ANEC73!$A$4:$A$6,0))</f>
        <v>-1</v>
      </c>
      <c r="I41" s="38" t="n">
        <f aca="false">IF(OR($D41=0,$G41=""),"",IF($H41*($G41-$F41)&gt;0,$G41,$F41))</f>
        <v>47.3405726705791</v>
      </c>
      <c r="J41" s="27" t="str">
        <f aca="false">IF(OR($D41=0,$G41=""),"",IF($H41*($G41-$F41)&gt;0,"Sim","Nao"))</f>
        <v>Sim</v>
      </c>
      <c r="K41" s="27" t="str">
        <f aca="false">IF(OR($D41=0,$G41=""),"",IF(AND($H41*($E41-$F41)&gt;0,$H41*($E41-$G41)&gt;0),"Sim","Nao"))</f>
        <v>Nao</v>
      </c>
      <c r="L41" s="38" t="n">
        <f aca="false">IF(OR($D41=0,$G41=""),0,IF($K41="Sim",MAX(0,$H41*($E41-$I41)),0))</f>
        <v>0</v>
      </c>
      <c r="M41" s="35" t="n">
        <f aca="false">INDEX(Parametros_ANEC73!$G$4:$G$6,MATCH($C41,Parametros_ANEC73!$A$4:$A$6,0))</f>
        <v>47</v>
      </c>
      <c r="N41" s="38" t="n">
        <f aca="false">IF(OR($D41=0,$G41=""),0,IF(AND($K41="Sim",$M41&lt;&gt;""),MAX(0,$H41*($E41-$M41)),0))</f>
        <v>0</v>
      </c>
      <c r="O41" s="35" t="n">
        <f aca="false">INDEX(Parametros_ANEC73!$J$4:$J$6,MATCH($C41,Parametros_ANEC73!$A$4:$A$6,0))</f>
        <v>0</v>
      </c>
      <c r="P41" s="38" t="n">
        <f aca="false">IF(OR($D41=0,$G41=""),0,IF(AND($K41="Sim",$O41&lt;&gt;""),MAX(0,$H41*($E41-$O41)),0))</f>
        <v>0</v>
      </c>
      <c r="Q41" s="35" t="n">
        <f aca="false">INDEX(Parametros_ANEC73!$F$4:$F$6,MATCH($C41,Parametros_ANEC73!$A$4:$A$6,0))</f>
        <v>1</v>
      </c>
      <c r="R41" s="35" t="n">
        <f aca="false">INDEX(Parametros_ANEC73!$I$4:$I$6,MATCH($C41,Parametros_ANEC73!$A$4:$A$6,0))</f>
        <v>2</v>
      </c>
      <c r="S41" s="35" t="n">
        <f aca="false">INDEX(Parametros_ANEC73!$L$4:$L$6,MATCH($C41,Parametros_ANEC73!$A$4:$A$6,0))</f>
        <v>0</v>
      </c>
      <c r="T41" s="39" t="n">
        <f aca="false">INDEX(Parametros_ANEC73!$B$14:$B$25,MATCH($B41,Parametros_ANEC73!$A$14:$A$25,0))</f>
        <v>391</v>
      </c>
      <c r="U41" s="40" t="n">
        <f aca="false">IF(OR($D41=0,$G41=""),0,$D41*($T41/100)*($L41*$Q41+$N41*(IF($R41="",$Q41,$R41)-$Q41)+$P41*(IF($S41="",IF($R41="",$Q41,$R41),$S41)-IF($R41="",$Q41,$R41))))</f>
        <v>0</v>
      </c>
      <c r="V41" s="41" t="str">
        <f aca="false">IF(OR($D41=0,$G41=""),"",IF($H41*($E41-INDEX(Parametros_ANEC73!$M$4:$M$6,MATCH($C41,Parametros_ANEC73!$A$4:$A$6,0)))&gt;0,"Sim","Nao"))</f>
        <v>Nao</v>
      </c>
      <c r="W41" s="27" t="str">
        <f aca="false">$A41&amp;"|"&amp;$B41&amp;"|"&amp;$C41</f>
        <v>Brejeiro|Fev|Proteina</v>
      </c>
    </row>
    <row r="42" customFormat="false" ht="15" hidden="false" customHeight="false" outlineLevel="0" collapsed="false">
      <c r="A42" s="27" t="s">
        <v>40</v>
      </c>
      <c r="B42" s="27" t="s">
        <v>59</v>
      </c>
      <c r="C42" s="27" t="s">
        <v>110</v>
      </c>
      <c r="D42" s="34" t="n">
        <f aca="false">SUMIFS(Media_Cliente_Mes!$C$2:$C$145,Media_Cliente_Mes!$A$2:$A$145,$A42,Media_Cliente_Mes!$B$2:$B$145,$B42)</f>
        <v>30370.33</v>
      </c>
      <c r="E42" s="35" t="n">
        <f aca="false">IF($D42=0,"",IF($C42="Proteina",SUMIFS(Media_Cliente_Mes!$D$2:$D$145,Media_Cliente_Mes!$A$2:$A$145,$A42,Media_Cliente_Mes!$B$2:$B$145,$B42),IF($C42="Umidade",SUMIFS(Media_Cliente_Mes!$E$2:$E$145,Media_Cliente_Mes!$A$2:$A$145,$A42,Media_Cliente_Mes!$B$2:$B$145,$B42),SUMIFS(Media_Cliente_Mes!$F$2:$F$145,Media_Cliente_Mes!$A$2:$A$145,$A42,Media_Cliente_Mes!$B$2:$B$145,$B42))))</f>
        <v>11.5584933584851</v>
      </c>
      <c r="F42" s="35" t="n">
        <f aca="false">INDEX(Parametros_ANEC73!$C$4:$C$6,MATCH($C42,Parametros_ANEC73!$A$4:$A$6,0))</f>
        <v>12.5</v>
      </c>
      <c r="G42" s="35" t="n">
        <f aca="false">IF($C42="Proteina",INDEX(Media_Pool_Mes!$C$2:$C$13,MATCH($B42,Media_Pool_Mes!$A$2:$A$13,0)),IF($C42="Umidade",INDEX(Media_Pool_Mes!$D$2:$D$13,MATCH($B42,Media_Pool_Mes!$A$2:$A$13,0)),INDEX(Media_Pool_Mes!$E$2:$E$13,MATCH($B42,Media_Pool_Mes!$A$2:$A$13,0))))</f>
        <v>12.2454829634779</v>
      </c>
      <c r="H42" s="37" t="n">
        <f aca="false">INDEX(Parametros_ANEC73!$B$4:$B$6,MATCH($C42,Parametros_ANEC73!$A$4:$A$6,0))</f>
        <v>1</v>
      </c>
      <c r="I42" s="38" t="n">
        <f aca="false">IF(OR($D42=0,$G42=""),"",IF($H42*($G42-$F42)&gt;0,$G42,$F42))</f>
        <v>12.5</v>
      </c>
      <c r="J42" s="27" t="str">
        <f aca="false">IF(OR($D42=0,$G42=""),"",IF($H42*($G42-$F42)&gt;0,"Sim","Nao"))</f>
        <v>Nao</v>
      </c>
      <c r="K42" s="27" t="str">
        <f aca="false">IF(OR($D42=0,$G42=""),"",IF(AND($H42*($E42-$F42)&gt;0,$H42*($E42-$G42)&gt;0),"Sim","Nao"))</f>
        <v>Nao</v>
      </c>
      <c r="L42" s="38" t="n">
        <f aca="false">IF(OR($D42=0,$G42=""),0,IF($K42="Sim",MAX(0,$H42*($E42-$I42)),0))</f>
        <v>0</v>
      </c>
      <c r="M42" s="35" t="n">
        <f aca="false">INDEX(Parametros_ANEC73!$G$4:$G$6,MATCH($C42,Parametros_ANEC73!$A$4:$A$6,0))</f>
        <v>0</v>
      </c>
      <c r="N42" s="38" t="n">
        <f aca="false">IF(OR($D42=0,$G42=""),0,IF(AND($K42="Sim",$M42&lt;&gt;""),MAX(0,$H42*($E42-$M42)),0))</f>
        <v>0</v>
      </c>
      <c r="O42" s="35" t="n">
        <f aca="false">INDEX(Parametros_ANEC73!$J$4:$J$6,MATCH($C42,Parametros_ANEC73!$A$4:$A$6,0))</f>
        <v>0</v>
      </c>
      <c r="P42" s="38" t="n">
        <f aca="false">IF(OR($D42=0,$G42=""),0,IF(AND($K42="Sim",$O42&lt;&gt;""),MAX(0,$H42*($E42-$O42)),0))</f>
        <v>0</v>
      </c>
      <c r="Q42" s="35" t="n">
        <f aca="false">INDEX(Parametros_ANEC73!$F$4:$F$6,MATCH($C42,Parametros_ANEC73!$A$4:$A$6,0))</f>
        <v>1</v>
      </c>
      <c r="R42" s="35" t="n">
        <f aca="false">INDEX(Parametros_ANEC73!$I$4:$I$6,MATCH($C42,Parametros_ANEC73!$A$4:$A$6,0))</f>
        <v>0</v>
      </c>
      <c r="S42" s="35" t="n">
        <f aca="false">INDEX(Parametros_ANEC73!$L$4:$L$6,MATCH($C42,Parametros_ANEC73!$A$4:$A$6,0))</f>
        <v>0</v>
      </c>
      <c r="T42" s="39" t="n">
        <f aca="false">INDEX(Parametros_ANEC73!$B$14:$B$25,MATCH($B42,Parametros_ANEC73!$A$14:$A$25,0))</f>
        <v>391</v>
      </c>
      <c r="U42" s="40" t="n">
        <f aca="false">IF(OR($D42=0,$G42=""),0,$D42*($T42/100)*($L42*$Q42+$N42*(IF($R42="",$Q42,$R42)-$Q42)+$P42*(IF($S42="",IF($R42="",$Q42,$R42),$S42)-IF($R42="",$Q42,$R42))))</f>
        <v>0</v>
      </c>
      <c r="V42" s="41" t="str">
        <f aca="false">IF(OR($D42=0,$G42=""),"",IF($H42*($E42-INDEX(Parametros_ANEC73!$M$4:$M$6,MATCH($C42,Parametros_ANEC73!$A$4:$A$6,0)))&gt;0,"Sim","Nao"))</f>
        <v>Nao</v>
      </c>
      <c r="W42" s="27" t="str">
        <f aca="false">$A42&amp;"|"&amp;$B42&amp;"|"&amp;$C42</f>
        <v>Brejeiro|Fev|Umidade</v>
      </c>
    </row>
    <row r="43" customFormat="false" ht="15" hidden="false" customHeight="false" outlineLevel="0" collapsed="false">
      <c r="A43" s="27" t="s">
        <v>40</v>
      </c>
      <c r="B43" s="27" t="s">
        <v>59</v>
      </c>
      <c r="C43" s="27" t="s">
        <v>111</v>
      </c>
      <c r="D43" s="34" t="n">
        <f aca="false">SUMIFS(Media_Cliente_Mes!$C$2:$C$145,Media_Cliente_Mes!$A$2:$A$145,$A43,Media_Cliente_Mes!$B$2:$B$145,$B43)</f>
        <v>30370.33</v>
      </c>
      <c r="E43" s="35" t="n">
        <f aca="false">IF($D43=0,"",IF($C43="Proteina",SUMIFS(Media_Cliente_Mes!$D$2:$D$145,Media_Cliente_Mes!$A$2:$A$145,$A43,Media_Cliente_Mes!$B$2:$B$145,$B43),IF($C43="Umidade",SUMIFS(Media_Cliente_Mes!$E$2:$E$145,Media_Cliente_Mes!$A$2:$A$145,$A43,Media_Cliente_Mes!$B$2:$B$145,$B43),SUMIFS(Media_Cliente_Mes!$F$2:$F$145,Media_Cliente_Mes!$A$2:$A$145,$A43,Media_Cliente_Mes!$B$2:$B$145,$B43))))</f>
        <v>3.46095443809797</v>
      </c>
      <c r="F43" s="35" t="n">
        <f aca="false">INDEX(Parametros_ANEC73!$C$4:$C$6,MATCH($C43,Parametros_ANEC73!$A$4:$A$6,0))</f>
        <v>3.5</v>
      </c>
      <c r="G43" s="35" t="n">
        <f aca="false">IF($C43="Proteina",INDEX(Media_Pool_Mes!$C$2:$C$13,MATCH($B43,Media_Pool_Mes!$A$2:$A$13,0)),IF($C43="Umidade",INDEX(Media_Pool_Mes!$D$2:$D$13,MATCH($B43,Media_Pool_Mes!$A$2:$A$13,0)),INDEX(Media_Pool_Mes!$E$2:$E$13,MATCH($B43,Media_Pool_Mes!$A$2:$A$13,0))))</f>
        <v>3.61845158781616</v>
      </c>
      <c r="H43" s="37" t="n">
        <f aca="false">INDEX(Parametros_ANEC73!$B$4:$B$6,MATCH($C43,Parametros_ANEC73!$A$4:$A$6,0))</f>
        <v>1</v>
      </c>
      <c r="I43" s="38" t="n">
        <f aca="false">IF(OR($D43=0,$G43=""),"",IF($H43*($G43-$F43)&gt;0,$G43,$F43))</f>
        <v>3.61845158781616</v>
      </c>
      <c r="J43" s="27" t="str">
        <f aca="false">IF(OR($D43=0,$G43=""),"",IF($H43*($G43-$F43)&gt;0,"Sim","Nao"))</f>
        <v>Sim</v>
      </c>
      <c r="K43" s="27" t="str">
        <f aca="false">IF(OR($D43=0,$G43=""),"",IF(AND($H43*($E43-$F43)&gt;0,$H43*($E43-$G43)&gt;0),"Sim","Nao"))</f>
        <v>Nao</v>
      </c>
      <c r="L43" s="38" t="n">
        <f aca="false">IF(OR($D43=0,$G43=""),0,IF($K43="Sim",MAX(0,$H43*($E43-$I43)),0))</f>
        <v>0</v>
      </c>
      <c r="M43" s="35" t="n">
        <f aca="false">INDEX(Parametros_ANEC73!$G$4:$G$6,MATCH($C43,Parametros_ANEC73!$A$4:$A$6,0))</f>
        <v>3.8</v>
      </c>
      <c r="N43" s="38" t="n">
        <f aca="false">IF(OR($D43=0,$G43=""),0,IF(AND($K43="Sim",$M43&lt;&gt;""),MAX(0,$H43*($E43-$M43)),0))</f>
        <v>0</v>
      </c>
      <c r="O43" s="35" t="n">
        <f aca="false">INDEX(Parametros_ANEC73!$J$4:$J$6,MATCH($C43,Parametros_ANEC73!$A$4:$A$6,0))</f>
        <v>4</v>
      </c>
      <c r="P43" s="38" t="n">
        <f aca="false">IF(OR($D43=0,$G43=""),0,IF(AND($K43="Sim",$O43&lt;&gt;""),MAX(0,$H43*($E43-$O43)),0))</f>
        <v>0</v>
      </c>
      <c r="Q43" s="35" t="n">
        <f aca="false">INDEX(Parametros_ANEC73!$F$4:$F$6,MATCH($C43,Parametros_ANEC73!$A$4:$A$6,0))</f>
        <v>1</v>
      </c>
      <c r="R43" s="35" t="n">
        <f aca="false">INDEX(Parametros_ANEC73!$I$4:$I$6,MATCH($C43,Parametros_ANEC73!$A$4:$A$6,0))</f>
        <v>1.5</v>
      </c>
      <c r="S43" s="35" t="n">
        <f aca="false">INDEX(Parametros_ANEC73!$L$4:$L$6,MATCH($C43,Parametros_ANEC73!$A$4:$A$6,0))</f>
        <v>2</v>
      </c>
      <c r="T43" s="39" t="n">
        <f aca="false">INDEX(Parametros_ANEC73!$B$14:$B$25,MATCH($B43,Parametros_ANEC73!$A$14:$A$25,0))</f>
        <v>391</v>
      </c>
      <c r="U43" s="40" t="n">
        <f aca="false">IF(OR($D43=0,$G43=""),0,$D43*($T43/100)*($L43*$Q43+$N43*(IF($R43="",$Q43,$R43)-$Q43)+$P43*(IF($S43="",IF($R43="",$Q43,$R43),$S43)-IF($R43="",$Q43,$R43))))</f>
        <v>0</v>
      </c>
      <c r="V43" s="41" t="str">
        <f aca="false">IF(OR($D43=0,$G43=""),"",IF($H43*($E43-INDEX(Parametros_ANEC73!$M$4:$M$6,MATCH($C43,Parametros_ANEC73!$A$4:$A$6,0)))&gt;0,"Sim","Nao"))</f>
        <v>Nao</v>
      </c>
      <c r="W43" s="27" t="str">
        <f aca="false">$A43&amp;"|"&amp;$B43&amp;"|"&amp;$C43</f>
        <v>Brejeiro|Fev|Fibra</v>
      </c>
    </row>
    <row r="44" customFormat="false" ht="15" hidden="false" customHeight="false" outlineLevel="0" collapsed="false">
      <c r="A44" s="27" t="s">
        <v>40</v>
      </c>
      <c r="B44" s="27" t="s">
        <v>60</v>
      </c>
      <c r="C44" s="27" t="s">
        <v>109</v>
      </c>
      <c r="D44" s="34" t="n">
        <f aca="false">SUMIFS(Media_Cliente_Mes!$C$2:$C$145,Media_Cliente_Mes!$A$2:$A$145,$A44,Media_Cliente_Mes!$B$2:$B$145,$B44)</f>
        <v>43330.53</v>
      </c>
      <c r="E44" s="35" t="n">
        <f aca="false">IF($D44=0,"",IF($C44="Proteina",SUMIFS(Media_Cliente_Mes!$D$2:$D$145,Media_Cliente_Mes!$A$2:$A$145,$A44,Media_Cliente_Mes!$B$2:$B$145,$B44),IF($C44="Umidade",SUMIFS(Media_Cliente_Mes!$E$2:$E$145,Media_Cliente_Mes!$A$2:$A$145,$A44,Media_Cliente_Mes!$B$2:$B$145,$B44),SUMIFS(Media_Cliente_Mes!$F$2:$F$145,Media_Cliente_Mes!$A$2:$A$145,$A44,Media_Cliente_Mes!$B$2:$B$145,$B44))))</f>
        <v>47.5729858462382</v>
      </c>
      <c r="F44" s="35" t="n">
        <f aca="false">INDEX(Parametros_ANEC73!$C$4:$C$6,MATCH($C44,Parametros_ANEC73!$A$4:$A$6,0))</f>
        <v>48</v>
      </c>
      <c r="G44" s="35" t="n">
        <f aca="false">IF($C44="Proteina",INDEX(Media_Pool_Mes!$C$2:$C$13,MATCH($B44,Media_Pool_Mes!$A$2:$A$13,0)),IF($C44="Umidade",INDEX(Media_Pool_Mes!$D$2:$D$13,MATCH($B44,Media_Pool_Mes!$A$2:$A$13,0)),INDEX(Media_Pool_Mes!$E$2:$E$13,MATCH($B44,Media_Pool_Mes!$A$2:$A$13,0))))</f>
        <v>47.332231823374</v>
      </c>
      <c r="H44" s="37" t="n">
        <f aca="false">INDEX(Parametros_ANEC73!$B$4:$B$6,MATCH($C44,Parametros_ANEC73!$A$4:$A$6,0))</f>
        <v>-1</v>
      </c>
      <c r="I44" s="38" t="n">
        <f aca="false">IF(OR($D44=0,$G44=""),"",IF($H44*($G44-$F44)&gt;0,$G44,$F44))</f>
        <v>47.332231823374</v>
      </c>
      <c r="J44" s="27" t="str">
        <f aca="false">IF(OR($D44=0,$G44=""),"",IF($H44*($G44-$F44)&gt;0,"Sim","Nao"))</f>
        <v>Sim</v>
      </c>
      <c r="K44" s="27" t="str">
        <f aca="false">IF(OR($D44=0,$G44=""),"",IF(AND($H44*($E44-$F44)&gt;0,$H44*($E44-$G44)&gt;0),"Sim","Nao"))</f>
        <v>Nao</v>
      </c>
      <c r="L44" s="38" t="n">
        <f aca="false">IF(OR($D44=0,$G44=""),0,IF($K44="Sim",MAX(0,$H44*($E44-$I44)),0))</f>
        <v>0</v>
      </c>
      <c r="M44" s="35" t="n">
        <f aca="false">INDEX(Parametros_ANEC73!$G$4:$G$6,MATCH($C44,Parametros_ANEC73!$A$4:$A$6,0))</f>
        <v>47</v>
      </c>
      <c r="N44" s="38" t="n">
        <f aca="false">IF(OR($D44=0,$G44=""),0,IF(AND($K44="Sim",$M44&lt;&gt;""),MAX(0,$H44*($E44-$M44)),0))</f>
        <v>0</v>
      </c>
      <c r="O44" s="35" t="n">
        <f aca="false">INDEX(Parametros_ANEC73!$J$4:$J$6,MATCH($C44,Parametros_ANEC73!$A$4:$A$6,0))</f>
        <v>0</v>
      </c>
      <c r="P44" s="38" t="n">
        <f aca="false">IF(OR($D44=0,$G44=""),0,IF(AND($K44="Sim",$O44&lt;&gt;""),MAX(0,$H44*($E44-$O44)),0))</f>
        <v>0</v>
      </c>
      <c r="Q44" s="35" t="n">
        <f aca="false">INDEX(Parametros_ANEC73!$F$4:$F$6,MATCH($C44,Parametros_ANEC73!$A$4:$A$6,0))</f>
        <v>1</v>
      </c>
      <c r="R44" s="35" t="n">
        <f aca="false">INDEX(Parametros_ANEC73!$I$4:$I$6,MATCH($C44,Parametros_ANEC73!$A$4:$A$6,0))</f>
        <v>2</v>
      </c>
      <c r="S44" s="35" t="n">
        <f aca="false">INDEX(Parametros_ANEC73!$L$4:$L$6,MATCH($C44,Parametros_ANEC73!$A$4:$A$6,0))</f>
        <v>0</v>
      </c>
      <c r="T44" s="39" t="n">
        <f aca="false">INDEX(Parametros_ANEC73!$B$14:$B$25,MATCH($B44,Parametros_ANEC73!$A$14:$A$25,0))</f>
        <v>404</v>
      </c>
      <c r="U44" s="40" t="n">
        <f aca="false">IF(OR($D44=0,$G44=""),0,$D44*($T44/100)*($L44*$Q44+$N44*(IF($R44="",$Q44,$R44)-$Q44)+$P44*(IF($S44="",IF($R44="",$Q44,$R44),$S44)-IF($R44="",$Q44,$R44))))</f>
        <v>0</v>
      </c>
      <c r="V44" s="41" t="str">
        <f aca="false">IF(OR($D44=0,$G44=""),"",IF($H44*($E44-INDEX(Parametros_ANEC73!$M$4:$M$6,MATCH($C44,Parametros_ANEC73!$A$4:$A$6,0)))&gt;0,"Sim","Nao"))</f>
        <v>Nao</v>
      </c>
      <c r="W44" s="27" t="str">
        <f aca="false">$A44&amp;"|"&amp;$B44&amp;"|"&amp;$C44</f>
        <v>Brejeiro|Mar|Proteina</v>
      </c>
    </row>
    <row r="45" customFormat="false" ht="15" hidden="false" customHeight="false" outlineLevel="0" collapsed="false">
      <c r="A45" s="27" t="s">
        <v>40</v>
      </c>
      <c r="B45" s="27" t="s">
        <v>60</v>
      </c>
      <c r="C45" s="27" t="s">
        <v>110</v>
      </c>
      <c r="D45" s="34" t="n">
        <f aca="false">SUMIFS(Media_Cliente_Mes!$C$2:$C$145,Media_Cliente_Mes!$A$2:$A$145,$A45,Media_Cliente_Mes!$B$2:$B$145,$B45)</f>
        <v>43330.53</v>
      </c>
      <c r="E45" s="35" t="n">
        <f aca="false">IF($D45=0,"",IF($C45="Proteina",SUMIFS(Media_Cliente_Mes!$D$2:$D$145,Media_Cliente_Mes!$A$2:$A$145,$A45,Media_Cliente_Mes!$B$2:$B$145,$B45),IF($C45="Umidade",SUMIFS(Media_Cliente_Mes!$E$2:$E$145,Media_Cliente_Mes!$A$2:$A$145,$A45,Media_Cliente_Mes!$B$2:$B$145,$B45),SUMIFS(Media_Cliente_Mes!$F$2:$F$145,Media_Cliente_Mes!$A$2:$A$145,$A45,Media_Cliente_Mes!$B$2:$B$145,$B45))))</f>
        <v>11.6025461677944</v>
      </c>
      <c r="F45" s="35" t="n">
        <f aca="false">INDEX(Parametros_ANEC73!$C$4:$C$6,MATCH($C45,Parametros_ANEC73!$A$4:$A$6,0))</f>
        <v>12.5</v>
      </c>
      <c r="G45" s="35" t="n">
        <f aca="false">IF($C45="Proteina",INDEX(Media_Pool_Mes!$C$2:$C$13,MATCH($B45,Media_Pool_Mes!$A$2:$A$13,0)),IF($C45="Umidade",INDEX(Media_Pool_Mes!$D$2:$D$13,MATCH($B45,Media_Pool_Mes!$A$2:$A$13,0)),INDEX(Media_Pool_Mes!$E$2:$E$13,MATCH($B45,Media_Pool_Mes!$A$2:$A$13,0))))</f>
        <v>12.1740859181947</v>
      </c>
      <c r="H45" s="37" t="n">
        <f aca="false">INDEX(Parametros_ANEC73!$B$4:$B$6,MATCH($C45,Parametros_ANEC73!$A$4:$A$6,0))</f>
        <v>1</v>
      </c>
      <c r="I45" s="38" t="n">
        <f aca="false">IF(OR($D45=0,$G45=""),"",IF($H45*($G45-$F45)&gt;0,$G45,$F45))</f>
        <v>12.5</v>
      </c>
      <c r="J45" s="27" t="str">
        <f aca="false">IF(OR($D45=0,$G45=""),"",IF($H45*($G45-$F45)&gt;0,"Sim","Nao"))</f>
        <v>Nao</v>
      </c>
      <c r="K45" s="27" t="str">
        <f aca="false">IF(OR($D45=0,$G45=""),"",IF(AND($H45*($E45-$F45)&gt;0,$H45*($E45-$G45)&gt;0),"Sim","Nao"))</f>
        <v>Nao</v>
      </c>
      <c r="L45" s="38" t="n">
        <f aca="false">IF(OR($D45=0,$G45=""),0,IF($K45="Sim",MAX(0,$H45*($E45-$I45)),0))</f>
        <v>0</v>
      </c>
      <c r="M45" s="35" t="n">
        <f aca="false">INDEX(Parametros_ANEC73!$G$4:$G$6,MATCH($C45,Parametros_ANEC73!$A$4:$A$6,0))</f>
        <v>0</v>
      </c>
      <c r="N45" s="38" t="n">
        <f aca="false">IF(OR($D45=0,$G45=""),0,IF(AND($K45="Sim",$M45&lt;&gt;""),MAX(0,$H45*($E45-$M45)),0))</f>
        <v>0</v>
      </c>
      <c r="O45" s="35" t="n">
        <f aca="false">INDEX(Parametros_ANEC73!$J$4:$J$6,MATCH($C45,Parametros_ANEC73!$A$4:$A$6,0))</f>
        <v>0</v>
      </c>
      <c r="P45" s="38" t="n">
        <f aca="false">IF(OR($D45=0,$G45=""),0,IF(AND($K45="Sim",$O45&lt;&gt;""),MAX(0,$H45*($E45-$O45)),0))</f>
        <v>0</v>
      </c>
      <c r="Q45" s="35" t="n">
        <f aca="false">INDEX(Parametros_ANEC73!$F$4:$F$6,MATCH($C45,Parametros_ANEC73!$A$4:$A$6,0))</f>
        <v>1</v>
      </c>
      <c r="R45" s="35" t="n">
        <f aca="false">INDEX(Parametros_ANEC73!$I$4:$I$6,MATCH($C45,Parametros_ANEC73!$A$4:$A$6,0))</f>
        <v>0</v>
      </c>
      <c r="S45" s="35" t="n">
        <f aca="false">INDEX(Parametros_ANEC73!$L$4:$L$6,MATCH($C45,Parametros_ANEC73!$A$4:$A$6,0))</f>
        <v>0</v>
      </c>
      <c r="T45" s="39" t="n">
        <f aca="false">INDEX(Parametros_ANEC73!$B$14:$B$25,MATCH($B45,Parametros_ANEC73!$A$14:$A$25,0))</f>
        <v>404</v>
      </c>
      <c r="U45" s="40" t="n">
        <f aca="false">IF(OR($D45=0,$G45=""),0,$D45*($T45/100)*($L45*$Q45+$N45*(IF($R45="",$Q45,$R45)-$Q45)+$P45*(IF($S45="",IF($R45="",$Q45,$R45),$S45)-IF($R45="",$Q45,$R45))))</f>
        <v>0</v>
      </c>
      <c r="V45" s="41" t="str">
        <f aca="false">IF(OR($D45=0,$G45=""),"",IF($H45*($E45-INDEX(Parametros_ANEC73!$M$4:$M$6,MATCH($C45,Parametros_ANEC73!$A$4:$A$6,0)))&gt;0,"Sim","Nao"))</f>
        <v>Nao</v>
      </c>
      <c r="W45" s="27" t="str">
        <f aca="false">$A45&amp;"|"&amp;$B45&amp;"|"&amp;$C45</f>
        <v>Brejeiro|Mar|Umidade</v>
      </c>
    </row>
    <row r="46" customFormat="false" ht="15" hidden="false" customHeight="false" outlineLevel="0" collapsed="false">
      <c r="A46" s="27" t="s">
        <v>40</v>
      </c>
      <c r="B46" s="27" t="s">
        <v>60</v>
      </c>
      <c r="C46" s="27" t="s">
        <v>111</v>
      </c>
      <c r="D46" s="34" t="n">
        <f aca="false">SUMIFS(Media_Cliente_Mes!$C$2:$C$145,Media_Cliente_Mes!$A$2:$A$145,$A46,Media_Cliente_Mes!$B$2:$B$145,$B46)</f>
        <v>43330.53</v>
      </c>
      <c r="E46" s="35" t="n">
        <f aca="false">IF($D46=0,"",IF($C46="Proteina",SUMIFS(Media_Cliente_Mes!$D$2:$D$145,Media_Cliente_Mes!$A$2:$A$145,$A46,Media_Cliente_Mes!$B$2:$B$145,$B46),IF($C46="Umidade",SUMIFS(Media_Cliente_Mes!$E$2:$E$145,Media_Cliente_Mes!$A$2:$A$145,$A46,Media_Cliente_Mes!$B$2:$B$145,$B46),SUMIFS(Media_Cliente_Mes!$F$2:$F$145,Media_Cliente_Mes!$A$2:$A$145,$A46,Media_Cliente_Mes!$B$2:$B$145,$B46))))</f>
        <v>3.6616401161029</v>
      </c>
      <c r="F46" s="35" t="n">
        <f aca="false">INDEX(Parametros_ANEC73!$C$4:$C$6,MATCH($C46,Parametros_ANEC73!$A$4:$A$6,0))</f>
        <v>3.5</v>
      </c>
      <c r="G46" s="35" t="n">
        <f aca="false">IF($C46="Proteina",INDEX(Media_Pool_Mes!$C$2:$C$13,MATCH($B46,Media_Pool_Mes!$A$2:$A$13,0)),IF($C46="Umidade",INDEX(Media_Pool_Mes!$D$2:$D$13,MATCH($B46,Media_Pool_Mes!$A$2:$A$13,0)),INDEX(Media_Pool_Mes!$E$2:$E$13,MATCH($B46,Media_Pool_Mes!$A$2:$A$13,0))))</f>
        <v>3.70596068520473</v>
      </c>
      <c r="H46" s="37" t="n">
        <f aca="false">INDEX(Parametros_ANEC73!$B$4:$B$6,MATCH($C46,Parametros_ANEC73!$A$4:$A$6,0))</f>
        <v>1</v>
      </c>
      <c r="I46" s="38" t="n">
        <f aca="false">IF(OR($D46=0,$G46=""),"",IF($H46*($G46-$F46)&gt;0,$G46,$F46))</f>
        <v>3.70596068520473</v>
      </c>
      <c r="J46" s="27" t="str">
        <f aca="false">IF(OR($D46=0,$G46=""),"",IF($H46*($G46-$F46)&gt;0,"Sim","Nao"))</f>
        <v>Sim</v>
      </c>
      <c r="K46" s="27" t="str">
        <f aca="false">IF(OR($D46=0,$G46=""),"",IF(AND($H46*($E46-$F46)&gt;0,$H46*($E46-$G46)&gt;0),"Sim","Nao"))</f>
        <v>Nao</v>
      </c>
      <c r="L46" s="38" t="n">
        <f aca="false">IF(OR($D46=0,$G46=""),0,IF($K46="Sim",MAX(0,$H46*($E46-$I46)),0))</f>
        <v>0</v>
      </c>
      <c r="M46" s="35" t="n">
        <f aca="false">INDEX(Parametros_ANEC73!$G$4:$G$6,MATCH($C46,Parametros_ANEC73!$A$4:$A$6,0))</f>
        <v>3.8</v>
      </c>
      <c r="N46" s="38" t="n">
        <f aca="false">IF(OR($D46=0,$G46=""),0,IF(AND($K46="Sim",$M46&lt;&gt;""),MAX(0,$H46*($E46-$M46)),0))</f>
        <v>0</v>
      </c>
      <c r="O46" s="35" t="n">
        <f aca="false">INDEX(Parametros_ANEC73!$J$4:$J$6,MATCH($C46,Parametros_ANEC73!$A$4:$A$6,0))</f>
        <v>4</v>
      </c>
      <c r="P46" s="38" t="n">
        <f aca="false">IF(OR($D46=0,$G46=""),0,IF(AND($K46="Sim",$O46&lt;&gt;""),MAX(0,$H46*($E46-$O46)),0))</f>
        <v>0</v>
      </c>
      <c r="Q46" s="35" t="n">
        <f aca="false">INDEX(Parametros_ANEC73!$F$4:$F$6,MATCH($C46,Parametros_ANEC73!$A$4:$A$6,0))</f>
        <v>1</v>
      </c>
      <c r="R46" s="35" t="n">
        <f aca="false">INDEX(Parametros_ANEC73!$I$4:$I$6,MATCH($C46,Parametros_ANEC73!$A$4:$A$6,0))</f>
        <v>1.5</v>
      </c>
      <c r="S46" s="35" t="n">
        <f aca="false">INDEX(Parametros_ANEC73!$L$4:$L$6,MATCH($C46,Parametros_ANEC73!$A$4:$A$6,0))</f>
        <v>2</v>
      </c>
      <c r="T46" s="39" t="n">
        <f aca="false">INDEX(Parametros_ANEC73!$B$14:$B$25,MATCH($B46,Parametros_ANEC73!$A$14:$A$25,0))</f>
        <v>404</v>
      </c>
      <c r="U46" s="40" t="n">
        <f aca="false">IF(OR($D46=0,$G46=""),0,$D46*($T46/100)*($L46*$Q46+$N46*(IF($R46="",$Q46,$R46)-$Q46)+$P46*(IF($S46="",IF($R46="",$Q46,$R46),$S46)-IF($R46="",$Q46,$R46))))</f>
        <v>0</v>
      </c>
      <c r="V46" s="41" t="str">
        <f aca="false">IF(OR($D46=0,$G46=""),"",IF($H46*($E46-INDEX(Parametros_ANEC73!$M$4:$M$6,MATCH($C46,Parametros_ANEC73!$A$4:$A$6,0)))&gt;0,"Sim","Nao"))</f>
        <v>Nao</v>
      </c>
      <c r="W46" s="27" t="str">
        <f aca="false">$A46&amp;"|"&amp;$B46&amp;"|"&amp;$C46</f>
        <v>Brejeiro|Mar|Fibra</v>
      </c>
    </row>
    <row r="47" customFormat="false" ht="15" hidden="false" customHeight="false" outlineLevel="0" collapsed="false">
      <c r="A47" s="27" t="s">
        <v>40</v>
      </c>
      <c r="B47" s="27" t="s">
        <v>61</v>
      </c>
      <c r="C47" s="27" t="s">
        <v>109</v>
      </c>
      <c r="D47" s="34" t="n">
        <f aca="false">SUMIFS(Media_Cliente_Mes!$C$2:$C$145,Media_Cliente_Mes!$A$2:$A$145,$A47,Media_Cliente_Mes!$B$2:$B$145,$B47)</f>
        <v>53319.92</v>
      </c>
      <c r="E47" s="35" t="n">
        <f aca="false">IF($D47=0,"",IF($C47="Proteina",SUMIFS(Media_Cliente_Mes!$D$2:$D$145,Media_Cliente_Mes!$A$2:$A$145,$A47,Media_Cliente_Mes!$B$2:$B$145,$B47),IF($C47="Umidade",SUMIFS(Media_Cliente_Mes!$E$2:$E$145,Media_Cliente_Mes!$A$2:$A$145,$A47,Media_Cliente_Mes!$B$2:$B$145,$B47),SUMIFS(Media_Cliente_Mes!$F$2:$F$145,Media_Cliente_Mes!$A$2:$A$145,$A47,Media_Cliente_Mes!$B$2:$B$145,$B47))))</f>
        <v>47.8448746115898</v>
      </c>
      <c r="F47" s="35" t="n">
        <f aca="false">INDEX(Parametros_ANEC73!$C$4:$C$6,MATCH($C47,Parametros_ANEC73!$A$4:$A$6,0))</f>
        <v>48</v>
      </c>
      <c r="G47" s="35" t="n">
        <f aca="false">IF($C47="Proteina",INDEX(Media_Pool_Mes!$C$2:$C$13,MATCH($B47,Media_Pool_Mes!$A$2:$A$13,0)),IF($C47="Umidade",INDEX(Media_Pool_Mes!$D$2:$D$13,MATCH($B47,Media_Pool_Mes!$A$2:$A$13,0)),INDEX(Media_Pool_Mes!$E$2:$E$13,MATCH($B47,Media_Pool_Mes!$A$2:$A$13,0))))</f>
        <v>47.5395057496784</v>
      </c>
      <c r="H47" s="37" t="n">
        <f aca="false">INDEX(Parametros_ANEC73!$B$4:$B$6,MATCH($C47,Parametros_ANEC73!$A$4:$A$6,0))</f>
        <v>-1</v>
      </c>
      <c r="I47" s="38" t="n">
        <f aca="false">IF(OR($D47=0,$G47=""),"",IF($H47*($G47-$F47)&gt;0,$G47,$F47))</f>
        <v>47.5395057496784</v>
      </c>
      <c r="J47" s="27" t="str">
        <f aca="false">IF(OR($D47=0,$G47=""),"",IF($H47*($G47-$F47)&gt;0,"Sim","Nao"))</f>
        <v>Sim</v>
      </c>
      <c r="K47" s="27" t="str">
        <f aca="false">IF(OR($D47=0,$G47=""),"",IF(AND($H47*($E47-$F47)&gt;0,$H47*($E47-$G47)&gt;0),"Sim","Nao"))</f>
        <v>Nao</v>
      </c>
      <c r="L47" s="38" t="n">
        <f aca="false">IF(OR($D47=0,$G47=""),0,IF($K47="Sim",MAX(0,$H47*($E47-$I47)),0))</f>
        <v>0</v>
      </c>
      <c r="M47" s="35" t="n">
        <f aca="false">INDEX(Parametros_ANEC73!$G$4:$G$6,MATCH($C47,Parametros_ANEC73!$A$4:$A$6,0))</f>
        <v>47</v>
      </c>
      <c r="N47" s="38" t="n">
        <f aca="false">IF(OR($D47=0,$G47=""),0,IF(AND($K47="Sim",$M47&lt;&gt;""),MAX(0,$H47*($E47-$M47)),0))</f>
        <v>0</v>
      </c>
      <c r="O47" s="35" t="n">
        <f aca="false">INDEX(Parametros_ANEC73!$J$4:$J$6,MATCH($C47,Parametros_ANEC73!$A$4:$A$6,0))</f>
        <v>0</v>
      </c>
      <c r="P47" s="38" t="n">
        <f aca="false">IF(OR($D47=0,$G47=""),0,IF(AND($K47="Sim",$O47&lt;&gt;""),MAX(0,$H47*($E47-$O47)),0))</f>
        <v>0</v>
      </c>
      <c r="Q47" s="35" t="n">
        <f aca="false">INDEX(Parametros_ANEC73!$F$4:$F$6,MATCH($C47,Parametros_ANEC73!$A$4:$A$6,0))</f>
        <v>1</v>
      </c>
      <c r="R47" s="35" t="n">
        <f aca="false">INDEX(Parametros_ANEC73!$I$4:$I$6,MATCH($C47,Parametros_ANEC73!$A$4:$A$6,0))</f>
        <v>2</v>
      </c>
      <c r="S47" s="35" t="n">
        <f aca="false">INDEX(Parametros_ANEC73!$L$4:$L$6,MATCH($C47,Parametros_ANEC73!$A$4:$A$6,0))</f>
        <v>0</v>
      </c>
      <c r="T47" s="39" t="n">
        <f aca="false">INDEX(Parametros_ANEC73!$B$14:$B$25,MATCH($B47,Parametros_ANEC73!$A$14:$A$25,0))</f>
        <v>415</v>
      </c>
      <c r="U47" s="40" t="n">
        <f aca="false">IF(OR($D47=0,$G47=""),0,$D47*($T47/100)*($L47*$Q47+$N47*(IF($R47="",$Q47,$R47)-$Q47)+$P47*(IF($S47="",IF($R47="",$Q47,$R47),$S47)-IF($R47="",$Q47,$R47))))</f>
        <v>0</v>
      </c>
      <c r="V47" s="41" t="str">
        <f aca="false">IF(OR($D47=0,$G47=""),"",IF($H47*($E47-INDEX(Parametros_ANEC73!$M$4:$M$6,MATCH($C47,Parametros_ANEC73!$A$4:$A$6,0)))&gt;0,"Sim","Nao"))</f>
        <v>Nao</v>
      </c>
      <c r="W47" s="27" t="str">
        <f aca="false">$A47&amp;"|"&amp;$B47&amp;"|"&amp;$C47</f>
        <v>Brejeiro|Abr|Proteina</v>
      </c>
    </row>
    <row r="48" customFormat="false" ht="15" hidden="false" customHeight="false" outlineLevel="0" collapsed="false">
      <c r="A48" s="27" t="s">
        <v>40</v>
      </c>
      <c r="B48" s="27" t="s">
        <v>61</v>
      </c>
      <c r="C48" s="27" t="s">
        <v>110</v>
      </c>
      <c r="D48" s="34" t="n">
        <f aca="false">SUMIFS(Media_Cliente_Mes!$C$2:$C$145,Media_Cliente_Mes!$A$2:$A$145,$A48,Media_Cliente_Mes!$B$2:$B$145,$B48)</f>
        <v>53319.92</v>
      </c>
      <c r="E48" s="35" t="n">
        <f aca="false">IF($D48=0,"",IF($C48="Proteina",SUMIFS(Media_Cliente_Mes!$D$2:$D$145,Media_Cliente_Mes!$A$2:$A$145,$A48,Media_Cliente_Mes!$B$2:$B$145,$B48),IF($C48="Umidade",SUMIFS(Media_Cliente_Mes!$E$2:$E$145,Media_Cliente_Mes!$A$2:$A$145,$A48,Media_Cliente_Mes!$B$2:$B$145,$B48),SUMIFS(Media_Cliente_Mes!$F$2:$F$145,Media_Cliente_Mes!$A$2:$A$145,$A48,Media_Cliente_Mes!$B$2:$B$145,$B48))))</f>
        <v>11.6439859493413</v>
      </c>
      <c r="F48" s="35" t="n">
        <f aca="false">INDEX(Parametros_ANEC73!$C$4:$C$6,MATCH($C48,Parametros_ANEC73!$A$4:$A$6,0))</f>
        <v>12.5</v>
      </c>
      <c r="G48" s="35" t="n">
        <f aca="false">IF($C48="Proteina",INDEX(Media_Pool_Mes!$C$2:$C$13,MATCH($B48,Media_Pool_Mes!$A$2:$A$13,0)),IF($C48="Umidade",INDEX(Media_Pool_Mes!$D$2:$D$13,MATCH($B48,Media_Pool_Mes!$A$2:$A$13,0)),INDEX(Media_Pool_Mes!$E$2:$E$13,MATCH($B48,Media_Pool_Mes!$A$2:$A$13,0))))</f>
        <v>12.3606134360148</v>
      </c>
      <c r="H48" s="37" t="n">
        <f aca="false">INDEX(Parametros_ANEC73!$B$4:$B$6,MATCH($C48,Parametros_ANEC73!$A$4:$A$6,0))</f>
        <v>1</v>
      </c>
      <c r="I48" s="38" t="n">
        <f aca="false">IF(OR($D48=0,$G48=""),"",IF($H48*($G48-$F48)&gt;0,$G48,$F48))</f>
        <v>12.5</v>
      </c>
      <c r="J48" s="27" t="str">
        <f aca="false">IF(OR($D48=0,$G48=""),"",IF($H48*($G48-$F48)&gt;0,"Sim","Nao"))</f>
        <v>Nao</v>
      </c>
      <c r="K48" s="27" t="str">
        <f aca="false">IF(OR($D48=0,$G48=""),"",IF(AND($H48*($E48-$F48)&gt;0,$H48*($E48-$G48)&gt;0),"Sim","Nao"))</f>
        <v>Nao</v>
      </c>
      <c r="L48" s="38" t="n">
        <f aca="false">IF(OR($D48=0,$G48=""),0,IF($K48="Sim",MAX(0,$H48*($E48-$I48)),0))</f>
        <v>0</v>
      </c>
      <c r="M48" s="35" t="n">
        <f aca="false">INDEX(Parametros_ANEC73!$G$4:$G$6,MATCH($C48,Parametros_ANEC73!$A$4:$A$6,0))</f>
        <v>0</v>
      </c>
      <c r="N48" s="38" t="n">
        <f aca="false">IF(OR($D48=0,$G48=""),0,IF(AND($K48="Sim",$M48&lt;&gt;""),MAX(0,$H48*($E48-$M48)),0))</f>
        <v>0</v>
      </c>
      <c r="O48" s="35" t="n">
        <f aca="false">INDEX(Parametros_ANEC73!$J$4:$J$6,MATCH($C48,Parametros_ANEC73!$A$4:$A$6,0))</f>
        <v>0</v>
      </c>
      <c r="P48" s="38" t="n">
        <f aca="false">IF(OR($D48=0,$G48=""),0,IF(AND($K48="Sim",$O48&lt;&gt;""),MAX(0,$H48*($E48-$O48)),0))</f>
        <v>0</v>
      </c>
      <c r="Q48" s="35" t="n">
        <f aca="false">INDEX(Parametros_ANEC73!$F$4:$F$6,MATCH($C48,Parametros_ANEC73!$A$4:$A$6,0))</f>
        <v>1</v>
      </c>
      <c r="R48" s="35" t="n">
        <f aca="false">INDEX(Parametros_ANEC73!$I$4:$I$6,MATCH($C48,Parametros_ANEC73!$A$4:$A$6,0))</f>
        <v>0</v>
      </c>
      <c r="S48" s="35" t="n">
        <f aca="false">INDEX(Parametros_ANEC73!$L$4:$L$6,MATCH($C48,Parametros_ANEC73!$A$4:$A$6,0))</f>
        <v>0</v>
      </c>
      <c r="T48" s="39" t="n">
        <f aca="false">INDEX(Parametros_ANEC73!$B$14:$B$25,MATCH($B48,Parametros_ANEC73!$A$14:$A$25,0))</f>
        <v>415</v>
      </c>
      <c r="U48" s="40" t="n">
        <f aca="false">IF(OR($D48=0,$G48=""),0,$D48*($T48/100)*($L48*$Q48+$N48*(IF($R48="",$Q48,$R48)-$Q48)+$P48*(IF($S48="",IF($R48="",$Q48,$R48),$S48)-IF($R48="",$Q48,$R48))))</f>
        <v>0</v>
      </c>
      <c r="V48" s="41" t="str">
        <f aca="false">IF(OR($D48=0,$G48=""),"",IF($H48*($E48-INDEX(Parametros_ANEC73!$M$4:$M$6,MATCH($C48,Parametros_ANEC73!$A$4:$A$6,0)))&gt;0,"Sim","Nao"))</f>
        <v>Nao</v>
      </c>
      <c r="W48" s="27" t="str">
        <f aca="false">$A48&amp;"|"&amp;$B48&amp;"|"&amp;$C48</f>
        <v>Brejeiro|Abr|Umidade</v>
      </c>
    </row>
    <row r="49" customFormat="false" ht="15" hidden="false" customHeight="false" outlineLevel="0" collapsed="false">
      <c r="A49" s="27" t="s">
        <v>40</v>
      </c>
      <c r="B49" s="27" t="s">
        <v>61</v>
      </c>
      <c r="C49" s="27" t="s">
        <v>111</v>
      </c>
      <c r="D49" s="34" t="n">
        <f aca="false">SUMIFS(Media_Cliente_Mes!$C$2:$C$145,Media_Cliente_Mes!$A$2:$A$145,$A49,Media_Cliente_Mes!$B$2:$B$145,$B49)</f>
        <v>53319.92</v>
      </c>
      <c r="E49" s="35" t="n">
        <f aca="false">IF($D49=0,"",IF($C49="Proteina",SUMIFS(Media_Cliente_Mes!$D$2:$D$145,Media_Cliente_Mes!$A$2:$A$145,$A49,Media_Cliente_Mes!$B$2:$B$145,$B49),IF($C49="Umidade",SUMIFS(Media_Cliente_Mes!$E$2:$E$145,Media_Cliente_Mes!$A$2:$A$145,$A49,Media_Cliente_Mes!$B$2:$B$145,$B49),SUMIFS(Media_Cliente_Mes!$F$2:$F$145,Media_Cliente_Mes!$A$2:$A$145,$A49,Media_Cliente_Mes!$B$2:$B$145,$B49))))</f>
        <v>3.5823332011751</v>
      </c>
      <c r="F49" s="35" t="n">
        <f aca="false">INDEX(Parametros_ANEC73!$C$4:$C$6,MATCH($C49,Parametros_ANEC73!$A$4:$A$6,0))</f>
        <v>3.5</v>
      </c>
      <c r="G49" s="35" t="n">
        <f aca="false">IF($C49="Proteina",INDEX(Media_Pool_Mes!$C$2:$C$13,MATCH($B49,Media_Pool_Mes!$A$2:$A$13,0)),IF($C49="Umidade",INDEX(Media_Pool_Mes!$D$2:$D$13,MATCH($B49,Media_Pool_Mes!$A$2:$A$13,0)),INDEX(Media_Pool_Mes!$E$2:$E$13,MATCH($B49,Media_Pool_Mes!$A$2:$A$13,0))))</f>
        <v>3.66155636815217</v>
      </c>
      <c r="H49" s="37" t="n">
        <f aca="false">INDEX(Parametros_ANEC73!$B$4:$B$6,MATCH($C49,Parametros_ANEC73!$A$4:$A$6,0))</f>
        <v>1</v>
      </c>
      <c r="I49" s="38" t="n">
        <f aca="false">IF(OR($D49=0,$G49=""),"",IF($H49*($G49-$F49)&gt;0,$G49,$F49))</f>
        <v>3.66155636815217</v>
      </c>
      <c r="J49" s="27" t="str">
        <f aca="false">IF(OR($D49=0,$G49=""),"",IF($H49*($G49-$F49)&gt;0,"Sim","Nao"))</f>
        <v>Sim</v>
      </c>
      <c r="K49" s="27" t="str">
        <f aca="false">IF(OR($D49=0,$G49=""),"",IF(AND($H49*($E49-$F49)&gt;0,$H49*($E49-$G49)&gt;0),"Sim","Nao"))</f>
        <v>Nao</v>
      </c>
      <c r="L49" s="38" t="n">
        <f aca="false">IF(OR($D49=0,$G49=""),0,IF($K49="Sim",MAX(0,$H49*($E49-$I49)),0))</f>
        <v>0</v>
      </c>
      <c r="M49" s="35" t="n">
        <f aca="false">INDEX(Parametros_ANEC73!$G$4:$G$6,MATCH($C49,Parametros_ANEC73!$A$4:$A$6,0))</f>
        <v>3.8</v>
      </c>
      <c r="N49" s="38" t="n">
        <f aca="false">IF(OR($D49=0,$G49=""),0,IF(AND($K49="Sim",$M49&lt;&gt;""),MAX(0,$H49*($E49-$M49)),0))</f>
        <v>0</v>
      </c>
      <c r="O49" s="35" t="n">
        <f aca="false">INDEX(Parametros_ANEC73!$J$4:$J$6,MATCH($C49,Parametros_ANEC73!$A$4:$A$6,0))</f>
        <v>4</v>
      </c>
      <c r="P49" s="38" t="n">
        <f aca="false">IF(OR($D49=0,$G49=""),0,IF(AND($K49="Sim",$O49&lt;&gt;""),MAX(0,$H49*($E49-$O49)),0))</f>
        <v>0</v>
      </c>
      <c r="Q49" s="35" t="n">
        <f aca="false">INDEX(Parametros_ANEC73!$F$4:$F$6,MATCH($C49,Parametros_ANEC73!$A$4:$A$6,0))</f>
        <v>1</v>
      </c>
      <c r="R49" s="35" t="n">
        <f aca="false">INDEX(Parametros_ANEC73!$I$4:$I$6,MATCH($C49,Parametros_ANEC73!$A$4:$A$6,0))</f>
        <v>1.5</v>
      </c>
      <c r="S49" s="35" t="n">
        <f aca="false">INDEX(Parametros_ANEC73!$L$4:$L$6,MATCH($C49,Parametros_ANEC73!$A$4:$A$6,0))</f>
        <v>2</v>
      </c>
      <c r="T49" s="39" t="n">
        <f aca="false">INDEX(Parametros_ANEC73!$B$14:$B$25,MATCH($B49,Parametros_ANEC73!$A$14:$A$25,0))</f>
        <v>415</v>
      </c>
      <c r="U49" s="40" t="n">
        <f aca="false">IF(OR($D49=0,$G49=""),0,$D49*($T49/100)*($L49*$Q49+$N49*(IF($R49="",$Q49,$R49)-$Q49)+$P49*(IF($S49="",IF($R49="",$Q49,$R49),$S49)-IF($R49="",$Q49,$R49))))</f>
        <v>0</v>
      </c>
      <c r="V49" s="41" t="str">
        <f aca="false">IF(OR($D49=0,$G49=""),"",IF($H49*($E49-INDEX(Parametros_ANEC73!$M$4:$M$6,MATCH($C49,Parametros_ANEC73!$A$4:$A$6,0)))&gt;0,"Sim","Nao"))</f>
        <v>Nao</v>
      </c>
      <c r="W49" s="27" t="str">
        <f aca="false">$A49&amp;"|"&amp;$B49&amp;"|"&amp;$C49</f>
        <v>Brejeiro|Abr|Fibra</v>
      </c>
    </row>
    <row r="50" customFormat="false" ht="15" hidden="false" customHeight="false" outlineLevel="0" collapsed="false">
      <c r="A50" s="27" t="s">
        <v>40</v>
      </c>
      <c r="B50" s="27" t="s">
        <v>62</v>
      </c>
      <c r="C50" s="27" t="s">
        <v>109</v>
      </c>
      <c r="D50" s="34" t="n">
        <f aca="false">SUMIFS(Media_Cliente_Mes!$C$2:$C$145,Media_Cliente_Mes!$A$2:$A$145,$A50,Media_Cliente_Mes!$B$2:$B$145,$B50)</f>
        <v>49598.12</v>
      </c>
      <c r="E50" s="35" t="n">
        <f aca="false">IF($D50=0,"",IF($C50="Proteina",SUMIFS(Media_Cliente_Mes!$D$2:$D$145,Media_Cliente_Mes!$A$2:$A$145,$A50,Media_Cliente_Mes!$B$2:$B$145,$B50),IF($C50="Umidade",SUMIFS(Media_Cliente_Mes!$E$2:$E$145,Media_Cliente_Mes!$A$2:$A$145,$A50,Media_Cliente_Mes!$B$2:$B$145,$B50),SUMIFS(Media_Cliente_Mes!$F$2:$F$145,Media_Cliente_Mes!$A$2:$A$145,$A50,Media_Cliente_Mes!$B$2:$B$145,$B50))))</f>
        <v>48.0503403374967</v>
      </c>
      <c r="F50" s="35" t="n">
        <f aca="false">INDEX(Parametros_ANEC73!$C$4:$C$6,MATCH($C50,Parametros_ANEC73!$A$4:$A$6,0))</f>
        <v>48</v>
      </c>
      <c r="G50" s="35" t="n">
        <f aca="false">IF($C50="Proteina",INDEX(Media_Pool_Mes!$C$2:$C$13,MATCH($B50,Media_Pool_Mes!$A$2:$A$13,0)),IF($C50="Umidade",INDEX(Media_Pool_Mes!$D$2:$D$13,MATCH($B50,Media_Pool_Mes!$A$2:$A$13,0)),INDEX(Media_Pool_Mes!$E$2:$E$13,MATCH($B50,Media_Pool_Mes!$A$2:$A$13,0))))</f>
        <v>47.6334614958572</v>
      </c>
      <c r="H50" s="37" t="n">
        <f aca="false">INDEX(Parametros_ANEC73!$B$4:$B$6,MATCH($C50,Parametros_ANEC73!$A$4:$A$6,0))</f>
        <v>-1</v>
      </c>
      <c r="I50" s="38" t="n">
        <f aca="false">IF(OR($D50=0,$G50=""),"",IF($H50*($G50-$F50)&gt;0,$G50,$F50))</f>
        <v>47.6334614958572</v>
      </c>
      <c r="J50" s="27" t="str">
        <f aca="false">IF(OR($D50=0,$G50=""),"",IF($H50*($G50-$F50)&gt;0,"Sim","Nao"))</f>
        <v>Sim</v>
      </c>
      <c r="K50" s="27" t="str">
        <f aca="false">IF(OR($D50=0,$G50=""),"",IF(AND($H50*($E50-$F50)&gt;0,$H50*($E50-$G50)&gt;0),"Sim","Nao"))</f>
        <v>Nao</v>
      </c>
      <c r="L50" s="38" t="n">
        <f aca="false">IF(OR($D50=0,$G50=""),0,IF($K50="Sim",MAX(0,$H50*($E50-$I50)),0))</f>
        <v>0</v>
      </c>
      <c r="M50" s="35" t="n">
        <f aca="false">INDEX(Parametros_ANEC73!$G$4:$G$6,MATCH($C50,Parametros_ANEC73!$A$4:$A$6,0))</f>
        <v>47</v>
      </c>
      <c r="N50" s="38" t="n">
        <f aca="false">IF(OR($D50=0,$G50=""),0,IF(AND($K50="Sim",$M50&lt;&gt;""),MAX(0,$H50*($E50-$M50)),0))</f>
        <v>0</v>
      </c>
      <c r="O50" s="35" t="n">
        <f aca="false">INDEX(Parametros_ANEC73!$J$4:$J$6,MATCH($C50,Parametros_ANEC73!$A$4:$A$6,0))</f>
        <v>0</v>
      </c>
      <c r="P50" s="38" t="n">
        <f aca="false">IF(OR($D50=0,$G50=""),0,IF(AND($K50="Sim",$O50&lt;&gt;""),MAX(0,$H50*($E50-$O50)),0))</f>
        <v>0</v>
      </c>
      <c r="Q50" s="35" t="n">
        <f aca="false">INDEX(Parametros_ANEC73!$F$4:$F$6,MATCH($C50,Parametros_ANEC73!$A$4:$A$6,0))</f>
        <v>1</v>
      </c>
      <c r="R50" s="35" t="n">
        <f aca="false">INDEX(Parametros_ANEC73!$I$4:$I$6,MATCH($C50,Parametros_ANEC73!$A$4:$A$6,0))</f>
        <v>2</v>
      </c>
      <c r="S50" s="35" t="n">
        <f aca="false">INDEX(Parametros_ANEC73!$L$4:$L$6,MATCH($C50,Parametros_ANEC73!$A$4:$A$6,0))</f>
        <v>0</v>
      </c>
      <c r="T50" s="39" t="n">
        <f aca="false">INDEX(Parametros_ANEC73!$B$14:$B$25,MATCH($B50,Parametros_ANEC73!$A$14:$A$25,0))</f>
        <v>343</v>
      </c>
      <c r="U50" s="40" t="n">
        <f aca="false">IF(OR($D50=0,$G50=""),0,$D50*($T50/100)*($L50*$Q50+$N50*(IF($R50="",$Q50,$R50)-$Q50)+$P50*(IF($S50="",IF($R50="",$Q50,$R50),$S50)-IF($R50="",$Q50,$R50))))</f>
        <v>0</v>
      </c>
      <c r="V50" s="41" t="str">
        <f aca="false">IF(OR($D50=0,$G50=""),"",IF($H50*($E50-INDEX(Parametros_ANEC73!$M$4:$M$6,MATCH($C50,Parametros_ANEC73!$A$4:$A$6,0)))&gt;0,"Sim","Nao"))</f>
        <v>Nao</v>
      </c>
      <c r="W50" s="27" t="str">
        <f aca="false">$A50&amp;"|"&amp;$B50&amp;"|"&amp;$C50</f>
        <v>Brejeiro|Mai|Proteina</v>
      </c>
    </row>
    <row r="51" customFormat="false" ht="15" hidden="false" customHeight="false" outlineLevel="0" collapsed="false">
      <c r="A51" s="27" t="s">
        <v>40</v>
      </c>
      <c r="B51" s="27" t="s">
        <v>62</v>
      </c>
      <c r="C51" s="27" t="s">
        <v>110</v>
      </c>
      <c r="D51" s="34" t="n">
        <f aca="false">SUMIFS(Media_Cliente_Mes!$C$2:$C$145,Media_Cliente_Mes!$A$2:$A$145,$A51,Media_Cliente_Mes!$B$2:$B$145,$B51)</f>
        <v>49598.12</v>
      </c>
      <c r="E51" s="35" t="n">
        <f aca="false">IF($D51=0,"",IF($C51="Proteina",SUMIFS(Media_Cliente_Mes!$D$2:$D$145,Media_Cliente_Mes!$A$2:$A$145,$A51,Media_Cliente_Mes!$B$2:$B$145,$B51),IF($C51="Umidade",SUMIFS(Media_Cliente_Mes!$E$2:$E$145,Media_Cliente_Mes!$A$2:$A$145,$A51,Media_Cliente_Mes!$B$2:$B$145,$B51),SUMIFS(Media_Cliente_Mes!$F$2:$F$145,Media_Cliente_Mes!$A$2:$A$145,$A51,Media_Cliente_Mes!$B$2:$B$145,$B51))))</f>
        <v>11.6689749188074</v>
      </c>
      <c r="F51" s="35" t="n">
        <f aca="false">INDEX(Parametros_ANEC73!$C$4:$C$6,MATCH($C51,Parametros_ANEC73!$A$4:$A$6,0))</f>
        <v>12.5</v>
      </c>
      <c r="G51" s="35" t="n">
        <f aca="false">IF($C51="Proteina",INDEX(Media_Pool_Mes!$C$2:$C$13,MATCH($B51,Media_Pool_Mes!$A$2:$A$13,0)),IF($C51="Umidade",INDEX(Media_Pool_Mes!$D$2:$D$13,MATCH($B51,Media_Pool_Mes!$A$2:$A$13,0)),INDEX(Media_Pool_Mes!$E$2:$E$13,MATCH($B51,Media_Pool_Mes!$A$2:$A$13,0))))</f>
        <v>12.3121752562954</v>
      </c>
      <c r="H51" s="37" t="n">
        <f aca="false">INDEX(Parametros_ANEC73!$B$4:$B$6,MATCH($C51,Parametros_ANEC73!$A$4:$A$6,0))</f>
        <v>1</v>
      </c>
      <c r="I51" s="38" t="n">
        <f aca="false">IF(OR($D51=0,$G51=""),"",IF($H51*($G51-$F51)&gt;0,$G51,$F51))</f>
        <v>12.5</v>
      </c>
      <c r="J51" s="27" t="str">
        <f aca="false">IF(OR($D51=0,$G51=""),"",IF($H51*($G51-$F51)&gt;0,"Sim","Nao"))</f>
        <v>Nao</v>
      </c>
      <c r="K51" s="27" t="str">
        <f aca="false">IF(OR($D51=0,$G51=""),"",IF(AND($H51*($E51-$F51)&gt;0,$H51*($E51-$G51)&gt;0),"Sim","Nao"))</f>
        <v>Nao</v>
      </c>
      <c r="L51" s="38" t="n">
        <f aca="false">IF(OR($D51=0,$G51=""),0,IF($K51="Sim",MAX(0,$H51*($E51-$I51)),0))</f>
        <v>0</v>
      </c>
      <c r="M51" s="35" t="n">
        <f aca="false">INDEX(Parametros_ANEC73!$G$4:$G$6,MATCH($C51,Parametros_ANEC73!$A$4:$A$6,0))</f>
        <v>0</v>
      </c>
      <c r="N51" s="38" t="n">
        <f aca="false">IF(OR($D51=0,$G51=""),0,IF(AND($K51="Sim",$M51&lt;&gt;""),MAX(0,$H51*($E51-$M51)),0))</f>
        <v>0</v>
      </c>
      <c r="O51" s="35" t="n">
        <f aca="false">INDEX(Parametros_ANEC73!$J$4:$J$6,MATCH($C51,Parametros_ANEC73!$A$4:$A$6,0))</f>
        <v>0</v>
      </c>
      <c r="P51" s="38" t="n">
        <f aca="false">IF(OR($D51=0,$G51=""),0,IF(AND($K51="Sim",$O51&lt;&gt;""),MAX(0,$H51*($E51-$O51)),0))</f>
        <v>0</v>
      </c>
      <c r="Q51" s="35" t="n">
        <f aca="false">INDEX(Parametros_ANEC73!$F$4:$F$6,MATCH($C51,Parametros_ANEC73!$A$4:$A$6,0))</f>
        <v>1</v>
      </c>
      <c r="R51" s="35" t="n">
        <f aca="false">INDEX(Parametros_ANEC73!$I$4:$I$6,MATCH($C51,Parametros_ANEC73!$A$4:$A$6,0))</f>
        <v>0</v>
      </c>
      <c r="S51" s="35" t="n">
        <f aca="false">INDEX(Parametros_ANEC73!$L$4:$L$6,MATCH($C51,Parametros_ANEC73!$A$4:$A$6,0))</f>
        <v>0</v>
      </c>
      <c r="T51" s="39" t="n">
        <f aca="false">INDEX(Parametros_ANEC73!$B$14:$B$25,MATCH($B51,Parametros_ANEC73!$A$14:$A$25,0))</f>
        <v>343</v>
      </c>
      <c r="U51" s="40" t="n">
        <f aca="false">IF(OR($D51=0,$G51=""),0,$D51*($T51/100)*($L51*$Q51+$N51*(IF($R51="",$Q51,$R51)-$Q51)+$P51*(IF($S51="",IF($R51="",$Q51,$R51),$S51)-IF($R51="",$Q51,$R51))))</f>
        <v>0</v>
      </c>
      <c r="V51" s="41" t="str">
        <f aca="false">IF(OR($D51=0,$G51=""),"",IF($H51*($E51-INDEX(Parametros_ANEC73!$M$4:$M$6,MATCH($C51,Parametros_ANEC73!$A$4:$A$6,0)))&gt;0,"Sim","Nao"))</f>
        <v>Nao</v>
      </c>
      <c r="W51" s="27" t="str">
        <f aca="false">$A51&amp;"|"&amp;$B51&amp;"|"&amp;$C51</f>
        <v>Brejeiro|Mai|Umidade</v>
      </c>
    </row>
    <row r="52" customFormat="false" ht="15" hidden="false" customHeight="false" outlineLevel="0" collapsed="false">
      <c r="A52" s="27" t="s">
        <v>40</v>
      </c>
      <c r="B52" s="27" t="s">
        <v>62</v>
      </c>
      <c r="C52" s="27" t="s">
        <v>111</v>
      </c>
      <c r="D52" s="34" t="n">
        <f aca="false">SUMIFS(Media_Cliente_Mes!$C$2:$C$145,Media_Cliente_Mes!$A$2:$A$145,$A52,Media_Cliente_Mes!$B$2:$B$145,$B52)</f>
        <v>49598.12</v>
      </c>
      <c r="E52" s="35" t="n">
        <f aca="false">IF($D52=0,"",IF($C52="Proteina",SUMIFS(Media_Cliente_Mes!$D$2:$D$145,Media_Cliente_Mes!$A$2:$A$145,$A52,Media_Cliente_Mes!$B$2:$B$145,$B52),IF($C52="Umidade",SUMIFS(Media_Cliente_Mes!$E$2:$E$145,Media_Cliente_Mes!$A$2:$A$145,$A52,Media_Cliente_Mes!$B$2:$B$145,$B52),SUMIFS(Media_Cliente_Mes!$F$2:$F$145,Media_Cliente_Mes!$A$2:$A$145,$A52,Media_Cliente_Mes!$B$2:$B$145,$B52))))</f>
        <v>3.51012144815166</v>
      </c>
      <c r="F52" s="35" t="n">
        <f aca="false">INDEX(Parametros_ANEC73!$C$4:$C$6,MATCH($C52,Parametros_ANEC73!$A$4:$A$6,0))</f>
        <v>3.5</v>
      </c>
      <c r="G52" s="35" t="n">
        <f aca="false">IF($C52="Proteina",INDEX(Media_Pool_Mes!$C$2:$C$13,MATCH($B52,Media_Pool_Mes!$A$2:$A$13,0)),IF($C52="Umidade",INDEX(Media_Pool_Mes!$D$2:$D$13,MATCH($B52,Media_Pool_Mes!$A$2:$A$13,0)),INDEX(Media_Pool_Mes!$E$2:$E$13,MATCH($B52,Media_Pool_Mes!$A$2:$A$13,0))))</f>
        <v>3.64524916105719</v>
      </c>
      <c r="H52" s="37" t="n">
        <f aca="false">INDEX(Parametros_ANEC73!$B$4:$B$6,MATCH($C52,Parametros_ANEC73!$A$4:$A$6,0))</f>
        <v>1</v>
      </c>
      <c r="I52" s="38" t="n">
        <f aca="false">IF(OR($D52=0,$G52=""),"",IF($H52*($G52-$F52)&gt;0,$G52,$F52))</f>
        <v>3.64524916105719</v>
      </c>
      <c r="J52" s="27" t="str">
        <f aca="false">IF(OR($D52=0,$G52=""),"",IF($H52*($G52-$F52)&gt;0,"Sim","Nao"))</f>
        <v>Sim</v>
      </c>
      <c r="K52" s="27" t="str">
        <f aca="false">IF(OR($D52=0,$G52=""),"",IF(AND($H52*($E52-$F52)&gt;0,$H52*($E52-$G52)&gt;0),"Sim","Nao"))</f>
        <v>Nao</v>
      </c>
      <c r="L52" s="38" t="n">
        <f aca="false">IF(OR($D52=0,$G52=""),0,IF($K52="Sim",MAX(0,$H52*($E52-$I52)),0))</f>
        <v>0</v>
      </c>
      <c r="M52" s="35" t="n">
        <f aca="false">INDEX(Parametros_ANEC73!$G$4:$G$6,MATCH($C52,Parametros_ANEC73!$A$4:$A$6,0))</f>
        <v>3.8</v>
      </c>
      <c r="N52" s="38" t="n">
        <f aca="false">IF(OR($D52=0,$G52=""),0,IF(AND($K52="Sim",$M52&lt;&gt;""),MAX(0,$H52*($E52-$M52)),0))</f>
        <v>0</v>
      </c>
      <c r="O52" s="35" t="n">
        <f aca="false">INDEX(Parametros_ANEC73!$J$4:$J$6,MATCH($C52,Parametros_ANEC73!$A$4:$A$6,0))</f>
        <v>4</v>
      </c>
      <c r="P52" s="38" t="n">
        <f aca="false">IF(OR($D52=0,$G52=""),0,IF(AND($K52="Sim",$O52&lt;&gt;""),MAX(0,$H52*($E52-$O52)),0))</f>
        <v>0</v>
      </c>
      <c r="Q52" s="35" t="n">
        <f aca="false">INDEX(Parametros_ANEC73!$F$4:$F$6,MATCH($C52,Parametros_ANEC73!$A$4:$A$6,0))</f>
        <v>1</v>
      </c>
      <c r="R52" s="35" t="n">
        <f aca="false">INDEX(Parametros_ANEC73!$I$4:$I$6,MATCH($C52,Parametros_ANEC73!$A$4:$A$6,0))</f>
        <v>1.5</v>
      </c>
      <c r="S52" s="35" t="n">
        <f aca="false">INDEX(Parametros_ANEC73!$L$4:$L$6,MATCH($C52,Parametros_ANEC73!$A$4:$A$6,0))</f>
        <v>2</v>
      </c>
      <c r="T52" s="39" t="n">
        <f aca="false">INDEX(Parametros_ANEC73!$B$14:$B$25,MATCH($B52,Parametros_ANEC73!$A$14:$A$25,0))</f>
        <v>343</v>
      </c>
      <c r="U52" s="40" t="n">
        <f aca="false">IF(OR($D52=0,$G52=""),0,$D52*($T52/100)*($L52*$Q52+$N52*(IF($R52="",$Q52,$R52)-$Q52)+$P52*(IF($S52="",IF($R52="",$Q52,$R52),$S52)-IF($R52="",$Q52,$R52))))</f>
        <v>0</v>
      </c>
      <c r="V52" s="41" t="str">
        <f aca="false">IF(OR($D52=0,$G52=""),"",IF($H52*($E52-INDEX(Parametros_ANEC73!$M$4:$M$6,MATCH($C52,Parametros_ANEC73!$A$4:$A$6,0)))&gt;0,"Sim","Nao"))</f>
        <v>Nao</v>
      </c>
      <c r="W52" s="27" t="str">
        <f aca="false">$A52&amp;"|"&amp;$B52&amp;"|"&amp;$C52</f>
        <v>Brejeiro|Mai|Fibra</v>
      </c>
    </row>
    <row r="53" customFormat="false" ht="15" hidden="false" customHeight="false" outlineLevel="0" collapsed="false">
      <c r="A53" s="27" t="s">
        <v>40</v>
      </c>
      <c r="B53" s="27" t="s">
        <v>63</v>
      </c>
      <c r="C53" s="27" t="s">
        <v>109</v>
      </c>
      <c r="D53" s="34" t="n">
        <f aca="false">SUMIFS(Media_Cliente_Mes!$C$2:$C$145,Media_Cliente_Mes!$A$2:$A$145,$A53,Media_Cliente_Mes!$B$2:$B$145,$B53)</f>
        <v>45020.35</v>
      </c>
      <c r="E53" s="35" t="n">
        <f aca="false">IF($D53=0,"",IF($C53="Proteina",SUMIFS(Media_Cliente_Mes!$D$2:$D$145,Media_Cliente_Mes!$A$2:$A$145,$A53,Media_Cliente_Mes!$B$2:$B$145,$B53),IF($C53="Umidade",SUMIFS(Media_Cliente_Mes!$E$2:$E$145,Media_Cliente_Mes!$A$2:$A$145,$A53,Media_Cliente_Mes!$B$2:$B$145,$B53),SUMIFS(Media_Cliente_Mes!$F$2:$F$145,Media_Cliente_Mes!$A$2:$A$145,$A53,Media_Cliente_Mes!$B$2:$B$145,$B53))))</f>
        <v>47.7612164498943</v>
      </c>
      <c r="F53" s="35" t="n">
        <f aca="false">INDEX(Parametros_ANEC73!$C$4:$C$6,MATCH($C53,Parametros_ANEC73!$A$4:$A$6,0))</f>
        <v>48</v>
      </c>
      <c r="G53" s="35" t="n">
        <f aca="false">IF($C53="Proteina",INDEX(Media_Pool_Mes!$C$2:$C$13,MATCH($B53,Media_Pool_Mes!$A$2:$A$13,0)),IF($C53="Umidade",INDEX(Media_Pool_Mes!$D$2:$D$13,MATCH($B53,Media_Pool_Mes!$A$2:$A$13,0)),INDEX(Media_Pool_Mes!$E$2:$E$13,MATCH($B53,Media_Pool_Mes!$A$2:$A$13,0))))</f>
        <v>47.4834226367413</v>
      </c>
      <c r="H53" s="37" t="n">
        <f aca="false">INDEX(Parametros_ANEC73!$B$4:$B$6,MATCH($C53,Parametros_ANEC73!$A$4:$A$6,0))</f>
        <v>-1</v>
      </c>
      <c r="I53" s="38" t="n">
        <f aca="false">IF(OR($D53=0,$G53=""),"",IF($H53*($G53-$F53)&gt;0,$G53,$F53))</f>
        <v>47.4834226367413</v>
      </c>
      <c r="J53" s="27" t="str">
        <f aca="false">IF(OR($D53=0,$G53=""),"",IF($H53*($G53-$F53)&gt;0,"Sim","Nao"))</f>
        <v>Sim</v>
      </c>
      <c r="K53" s="27" t="str">
        <f aca="false">IF(OR($D53=0,$G53=""),"",IF(AND($H53*($E53-$F53)&gt;0,$H53*($E53-$G53)&gt;0),"Sim","Nao"))</f>
        <v>Nao</v>
      </c>
      <c r="L53" s="38" t="n">
        <f aca="false">IF(OR($D53=0,$G53=""),0,IF($K53="Sim",MAX(0,$H53*($E53-$I53)),0))</f>
        <v>0</v>
      </c>
      <c r="M53" s="35" t="n">
        <f aca="false">INDEX(Parametros_ANEC73!$G$4:$G$6,MATCH($C53,Parametros_ANEC73!$A$4:$A$6,0))</f>
        <v>47</v>
      </c>
      <c r="N53" s="38" t="n">
        <f aca="false">IF(OR($D53=0,$G53=""),0,IF(AND($K53="Sim",$M53&lt;&gt;""),MAX(0,$H53*($E53-$M53)),0))</f>
        <v>0</v>
      </c>
      <c r="O53" s="35" t="n">
        <f aca="false">INDEX(Parametros_ANEC73!$J$4:$J$6,MATCH($C53,Parametros_ANEC73!$A$4:$A$6,0))</f>
        <v>0</v>
      </c>
      <c r="P53" s="38" t="n">
        <f aca="false">IF(OR($D53=0,$G53=""),0,IF(AND($K53="Sim",$O53&lt;&gt;""),MAX(0,$H53*($E53-$O53)),0))</f>
        <v>0</v>
      </c>
      <c r="Q53" s="35" t="n">
        <f aca="false">INDEX(Parametros_ANEC73!$F$4:$F$6,MATCH($C53,Parametros_ANEC73!$A$4:$A$6,0))</f>
        <v>1</v>
      </c>
      <c r="R53" s="35" t="n">
        <f aca="false">INDEX(Parametros_ANEC73!$I$4:$I$6,MATCH($C53,Parametros_ANEC73!$A$4:$A$6,0))</f>
        <v>2</v>
      </c>
      <c r="S53" s="35" t="n">
        <f aca="false">INDEX(Parametros_ANEC73!$L$4:$L$6,MATCH($C53,Parametros_ANEC73!$A$4:$A$6,0))</f>
        <v>0</v>
      </c>
      <c r="T53" s="39" t="n">
        <f aca="false">INDEX(Parametros_ANEC73!$B$14:$B$25,MATCH($B53,Parametros_ANEC73!$A$14:$A$25,0))</f>
        <v>326</v>
      </c>
      <c r="U53" s="40" t="n">
        <f aca="false">IF(OR($D53=0,$G53=""),0,$D53*($T53/100)*($L53*$Q53+$N53*(IF($R53="",$Q53,$R53)-$Q53)+$P53*(IF($S53="",IF($R53="",$Q53,$R53),$S53)-IF($R53="",$Q53,$R53))))</f>
        <v>0</v>
      </c>
      <c r="V53" s="41" t="str">
        <f aca="false">IF(OR($D53=0,$G53=""),"",IF($H53*($E53-INDEX(Parametros_ANEC73!$M$4:$M$6,MATCH($C53,Parametros_ANEC73!$A$4:$A$6,0)))&gt;0,"Sim","Nao"))</f>
        <v>Nao</v>
      </c>
      <c r="W53" s="27" t="str">
        <f aca="false">$A53&amp;"|"&amp;$B53&amp;"|"&amp;$C53</f>
        <v>Brejeiro|Jun|Proteina</v>
      </c>
    </row>
    <row r="54" customFormat="false" ht="15" hidden="false" customHeight="false" outlineLevel="0" collapsed="false">
      <c r="A54" s="27" t="s">
        <v>40</v>
      </c>
      <c r="B54" s="27" t="s">
        <v>63</v>
      </c>
      <c r="C54" s="27" t="s">
        <v>110</v>
      </c>
      <c r="D54" s="34" t="n">
        <f aca="false">SUMIFS(Media_Cliente_Mes!$C$2:$C$145,Media_Cliente_Mes!$A$2:$A$145,$A54,Media_Cliente_Mes!$B$2:$B$145,$B54)</f>
        <v>45020.35</v>
      </c>
      <c r="E54" s="35" t="n">
        <f aca="false">IF($D54=0,"",IF($C54="Proteina",SUMIFS(Media_Cliente_Mes!$D$2:$D$145,Media_Cliente_Mes!$A$2:$A$145,$A54,Media_Cliente_Mes!$B$2:$B$145,$B54),IF($C54="Umidade",SUMIFS(Media_Cliente_Mes!$E$2:$E$145,Media_Cliente_Mes!$A$2:$A$145,$A54,Media_Cliente_Mes!$B$2:$B$145,$B54),SUMIFS(Media_Cliente_Mes!$F$2:$F$145,Media_Cliente_Mes!$A$2:$A$145,$A54,Media_Cliente_Mes!$B$2:$B$145,$B54))))</f>
        <v>12.2785090209205</v>
      </c>
      <c r="F54" s="35" t="n">
        <f aca="false">INDEX(Parametros_ANEC73!$C$4:$C$6,MATCH($C54,Parametros_ANEC73!$A$4:$A$6,0))</f>
        <v>12.5</v>
      </c>
      <c r="G54" s="35" t="n">
        <f aca="false">IF($C54="Proteina",INDEX(Media_Pool_Mes!$C$2:$C$13,MATCH($B54,Media_Pool_Mes!$A$2:$A$13,0)),IF($C54="Umidade",INDEX(Media_Pool_Mes!$D$2:$D$13,MATCH($B54,Media_Pool_Mes!$A$2:$A$13,0)),INDEX(Media_Pool_Mes!$E$2:$E$13,MATCH($B54,Media_Pool_Mes!$A$2:$A$13,0))))</f>
        <v>12.6225093779221</v>
      </c>
      <c r="H54" s="37" t="n">
        <f aca="false">INDEX(Parametros_ANEC73!$B$4:$B$6,MATCH($C54,Parametros_ANEC73!$A$4:$A$6,0))</f>
        <v>1</v>
      </c>
      <c r="I54" s="38" t="n">
        <f aca="false">IF(OR($D54=0,$G54=""),"",IF($H54*($G54-$F54)&gt;0,$G54,$F54))</f>
        <v>12.6225093779221</v>
      </c>
      <c r="J54" s="27" t="str">
        <f aca="false">IF(OR($D54=0,$G54=""),"",IF($H54*($G54-$F54)&gt;0,"Sim","Nao"))</f>
        <v>Sim</v>
      </c>
      <c r="K54" s="27" t="str">
        <f aca="false">IF(OR($D54=0,$G54=""),"",IF(AND($H54*($E54-$F54)&gt;0,$H54*($E54-$G54)&gt;0),"Sim","Nao"))</f>
        <v>Nao</v>
      </c>
      <c r="L54" s="38" t="n">
        <f aca="false">IF(OR($D54=0,$G54=""),0,IF($K54="Sim",MAX(0,$H54*($E54-$I54)),0))</f>
        <v>0</v>
      </c>
      <c r="M54" s="35" t="n">
        <f aca="false">INDEX(Parametros_ANEC73!$G$4:$G$6,MATCH($C54,Parametros_ANEC73!$A$4:$A$6,0))</f>
        <v>0</v>
      </c>
      <c r="N54" s="38" t="n">
        <f aca="false">IF(OR($D54=0,$G54=""),0,IF(AND($K54="Sim",$M54&lt;&gt;""),MAX(0,$H54*($E54-$M54)),0))</f>
        <v>0</v>
      </c>
      <c r="O54" s="35" t="n">
        <f aca="false">INDEX(Parametros_ANEC73!$J$4:$J$6,MATCH($C54,Parametros_ANEC73!$A$4:$A$6,0))</f>
        <v>0</v>
      </c>
      <c r="P54" s="38" t="n">
        <f aca="false">IF(OR($D54=0,$G54=""),0,IF(AND($K54="Sim",$O54&lt;&gt;""),MAX(0,$H54*($E54-$O54)),0))</f>
        <v>0</v>
      </c>
      <c r="Q54" s="35" t="n">
        <f aca="false">INDEX(Parametros_ANEC73!$F$4:$F$6,MATCH($C54,Parametros_ANEC73!$A$4:$A$6,0))</f>
        <v>1</v>
      </c>
      <c r="R54" s="35" t="n">
        <f aca="false">INDEX(Parametros_ANEC73!$I$4:$I$6,MATCH($C54,Parametros_ANEC73!$A$4:$A$6,0))</f>
        <v>0</v>
      </c>
      <c r="S54" s="35" t="n">
        <f aca="false">INDEX(Parametros_ANEC73!$L$4:$L$6,MATCH($C54,Parametros_ANEC73!$A$4:$A$6,0))</f>
        <v>0</v>
      </c>
      <c r="T54" s="39" t="n">
        <f aca="false">INDEX(Parametros_ANEC73!$B$14:$B$25,MATCH($B54,Parametros_ANEC73!$A$14:$A$25,0))</f>
        <v>326</v>
      </c>
      <c r="U54" s="40" t="n">
        <f aca="false">IF(OR($D54=0,$G54=""),0,$D54*($T54/100)*($L54*$Q54+$N54*(IF($R54="",$Q54,$R54)-$Q54)+$P54*(IF($S54="",IF($R54="",$Q54,$R54),$S54)-IF($R54="",$Q54,$R54))))</f>
        <v>0</v>
      </c>
      <c r="V54" s="41" t="str">
        <f aca="false">IF(OR($D54=0,$G54=""),"",IF($H54*($E54-INDEX(Parametros_ANEC73!$M$4:$M$6,MATCH($C54,Parametros_ANEC73!$A$4:$A$6,0)))&gt;0,"Sim","Nao"))</f>
        <v>Nao</v>
      </c>
      <c r="W54" s="27" t="str">
        <f aca="false">$A54&amp;"|"&amp;$B54&amp;"|"&amp;$C54</f>
        <v>Brejeiro|Jun|Umidade</v>
      </c>
    </row>
    <row r="55" customFormat="false" ht="15" hidden="false" customHeight="false" outlineLevel="0" collapsed="false">
      <c r="A55" s="27" t="s">
        <v>40</v>
      </c>
      <c r="B55" s="27" t="s">
        <v>63</v>
      </c>
      <c r="C55" s="27" t="s">
        <v>111</v>
      </c>
      <c r="D55" s="34" t="n">
        <f aca="false">SUMIFS(Media_Cliente_Mes!$C$2:$C$145,Media_Cliente_Mes!$A$2:$A$145,$A55,Media_Cliente_Mes!$B$2:$B$145,$B55)</f>
        <v>45020.35</v>
      </c>
      <c r="E55" s="35" t="n">
        <f aca="false">IF($D55=0,"",IF($C55="Proteina",SUMIFS(Media_Cliente_Mes!$D$2:$D$145,Media_Cliente_Mes!$A$2:$A$145,$A55,Media_Cliente_Mes!$B$2:$B$145,$B55),IF($C55="Umidade",SUMIFS(Media_Cliente_Mes!$E$2:$E$145,Media_Cliente_Mes!$A$2:$A$145,$A55,Media_Cliente_Mes!$B$2:$B$145,$B55),SUMIFS(Media_Cliente_Mes!$F$2:$F$145,Media_Cliente_Mes!$A$2:$A$145,$A55,Media_Cliente_Mes!$B$2:$B$145,$B55))))</f>
        <v>3.61071148491738</v>
      </c>
      <c r="F55" s="35" t="n">
        <f aca="false">INDEX(Parametros_ANEC73!$C$4:$C$6,MATCH($C55,Parametros_ANEC73!$A$4:$A$6,0))</f>
        <v>3.5</v>
      </c>
      <c r="G55" s="35" t="n">
        <f aca="false">IF($C55="Proteina",INDEX(Media_Pool_Mes!$C$2:$C$13,MATCH($B55,Media_Pool_Mes!$A$2:$A$13,0)),IF($C55="Umidade",INDEX(Media_Pool_Mes!$D$2:$D$13,MATCH($B55,Media_Pool_Mes!$A$2:$A$13,0)),INDEX(Media_Pool_Mes!$E$2:$E$13,MATCH($B55,Media_Pool_Mes!$A$2:$A$13,0))))</f>
        <v>3.72652113613862</v>
      </c>
      <c r="H55" s="37" t="n">
        <f aca="false">INDEX(Parametros_ANEC73!$B$4:$B$6,MATCH($C55,Parametros_ANEC73!$A$4:$A$6,0))</f>
        <v>1</v>
      </c>
      <c r="I55" s="38" t="n">
        <f aca="false">IF(OR($D55=0,$G55=""),"",IF($H55*($G55-$F55)&gt;0,$G55,$F55))</f>
        <v>3.72652113613862</v>
      </c>
      <c r="J55" s="27" t="str">
        <f aca="false">IF(OR($D55=0,$G55=""),"",IF($H55*($G55-$F55)&gt;0,"Sim","Nao"))</f>
        <v>Sim</v>
      </c>
      <c r="K55" s="27" t="str">
        <f aca="false">IF(OR($D55=0,$G55=""),"",IF(AND($H55*($E55-$F55)&gt;0,$H55*($E55-$G55)&gt;0),"Sim","Nao"))</f>
        <v>Nao</v>
      </c>
      <c r="L55" s="38" t="n">
        <f aca="false">IF(OR($D55=0,$G55=""),0,IF($K55="Sim",MAX(0,$H55*($E55-$I55)),0))</f>
        <v>0</v>
      </c>
      <c r="M55" s="35" t="n">
        <f aca="false">INDEX(Parametros_ANEC73!$G$4:$G$6,MATCH($C55,Parametros_ANEC73!$A$4:$A$6,0))</f>
        <v>3.8</v>
      </c>
      <c r="N55" s="38" t="n">
        <f aca="false">IF(OR($D55=0,$G55=""),0,IF(AND($K55="Sim",$M55&lt;&gt;""),MAX(0,$H55*($E55-$M55)),0))</f>
        <v>0</v>
      </c>
      <c r="O55" s="35" t="n">
        <f aca="false">INDEX(Parametros_ANEC73!$J$4:$J$6,MATCH($C55,Parametros_ANEC73!$A$4:$A$6,0))</f>
        <v>4</v>
      </c>
      <c r="P55" s="38" t="n">
        <f aca="false">IF(OR($D55=0,$G55=""),0,IF(AND($K55="Sim",$O55&lt;&gt;""),MAX(0,$H55*($E55-$O55)),0))</f>
        <v>0</v>
      </c>
      <c r="Q55" s="35" t="n">
        <f aca="false">INDEX(Parametros_ANEC73!$F$4:$F$6,MATCH($C55,Parametros_ANEC73!$A$4:$A$6,0))</f>
        <v>1</v>
      </c>
      <c r="R55" s="35" t="n">
        <f aca="false">INDEX(Parametros_ANEC73!$I$4:$I$6,MATCH($C55,Parametros_ANEC73!$A$4:$A$6,0))</f>
        <v>1.5</v>
      </c>
      <c r="S55" s="35" t="n">
        <f aca="false">INDEX(Parametros_ANEC73!$L$4:$L$6,MATCH($C55,Parametros_ANEC73!$A$4:$A$6,0))</f>
        <v>2</v>
      </c>
      <c r="T55" s="39" t="n">
        <f aca="false">INDEX(Parametros_ANEC73!$B$14:$B$25,MATCH($B55,Parametros_ANEC73!$A$14:$A$25,0))</f>
        <v>326</v>
      </c>
      <c r="U55" s="40" t="n">
        <f aca="false">IF(OR($D55=0,$G55=""),0,$D55*($T55/100)*($L55*$Q55+$N55*(IF($R55="",$Q55,$R55)-$Q55)+$P55*(IF($S55="",IF($R55="",$Q55,$R55),$S55)-IF($R55="",$Q55,$R55))))</f>
        <v>0</v>
      </c>
      <c r="V55" s="41" t="str">
        <f aca="false">IF(OR($D55=0,$G55=""),"",IF($H55*($E55-INDEX(Parametros_ANEC73!$M$4:$M$6,MATCH($C55,Parametros_ANEC73!$A$4:$A$6,0)))&gt;0,"Sim","Nao"))</f>
        <v>Nao</v>
      </c>
      <c r="W55" s="27" t="str">
        <f aca="false">$A55&amp;"|"&amp;$B55&amp;"|"&amp;$C55</f>
        <v>Brejeiro|Jun|Fibra</v>
      </c>
    </row>
    <row r="56" customFormat="false" ht="15" hidden="false" customHeight="false" outlineLevel="0" collapsed="false">
      <c r="A56" s="27" t="s">
        <v>40</v>
      </c>
      <c r="B56" s="27" t="s">
        <v>64</v>
      </c>
      <c r="C56" s="27" t="s">
        <v>109</v>
      </c>
      <c r="D56" s="34" t="n">
        <f aca="false">SUMIFS(Media_Cliente_Mes!$C$2:$C$145,Media_Cliente_Mes!$A$2:$A$145,$A56,Media_Cliente_Mes!$B$2:$B$145,$B56)</f>
        <v>44244.44</v>
      </c>
      <c r="E56" s="35" t="n">
        <f aca="false">IF($D56=0,"",IF($C56="Proteina",SUMIFS(Media_Cliente_Mes!$D$2:$D$145,Media_Cliente_Mes!$A$2:$A$145,$A56,Media_Cliente_Mes!$B$2:$B$145,$B56),IF($C56="Umidade",SUMIFS(Media_Cliente_Mes!$E$2:$E$145,Media_Cliente_Mes!$A$2:$A$145,$A56,Media_Cliente_Mes!$B$2:$B$145,$B56),SUMIFS(Media_Cliente_Mes!$F$2:$F$145,Media_Cliente_Mes!$A$2:$A$145,$A56,Media_Cliente_Mes!$B$2:$B$145,$B56))))</f>
        <v>47.9669295011983</v>
      </c>
      <c r="F56" s="35" t="n">
        <f aca="false">INDEX(Parametros_ANEC73!$C$4:$C$6,MATCH($C56,Parametros_ANEC73!$A$4:$A$6,0))</f>
        <v>48</v>
      </c>
      <c r="G56" s="35" t="n">
        <f aca="false">IF($C56="Proteina",INDEX(Media_Pool_Mes!$C$2:$C$13,MATCH($B56,Media_Pool_Mes!$A$2:$A$13,0)),IF($C56="Umidade",INDEX(Media_Pool_Mes!$D$2:$D$13,MATCH($B56,Media_Pool_Mes!$A$2:$A$13,0)),INDEX(Media_Pool_Mes!$E$2:$E$13,MATCH($B56,Media_Pool_Mes!$A$2:$A$13,0))))</f>
        <v>47.6816680231132</v>
      </c>
      <c r="H56" s="37" t="n">
        <f aca="false">INDEX(Parametros_ANEC73!$B$4:$B$6,MATCH($C56,Parametros_ANEC73!$A$4:$A$6,0))</f>
        <v>-1</v>
      </c>
      <c r="I56" s="38" t="n">
        <f aca="false">IF(OR($D56=0,$G56=""),"",IF($H56*($G56-$F56)&gt;0,$G56,$F56))</f>
        <v>47.6816680231132</v>
      </c>
      <c r="J56" s="27" t="str">
        <f aca="false">IF(OR($D56=0,$G56=""),"",IF($H56*($G56-$F56)&gt;0,"Sim","Nao"))</f>
        <v>Sim</v>
      </c>
      <c r="K56" s="27" t="str">
        <f aca="false">IF(OR($D56=0,$G56=""),"",IF(AND($H56*($E56-$F56)&gt;0,$H56*($E56-$G56)&gt;0),"Sim","Nao"))</f>
        <v>Nao</v>
      </c>
      <c r="L56" s="38" t="n">
        <f aca="false">IF(OR($D56=0,$G56=""),0,IF($K56="Sim",MAX(0,$H56*($E56-$I56)),0))</f>
        <v>0</v>
      </c>
      <c r="M56" s="35" t="n">
        <f aca="false">INDEX(Parametros_ANEC73!$G$4:$G$6,MATCH($C56,Parametros_ANEC73!$A$4:$A$6,0))</f>
        <v>47</v>
      </c>
      <c r="N56" s="38" t="n">
        <f aca="false">IF(OR($D56=0,$G56=""),0,IF(AND($K56="Sim",$M56&lt;&gt;""),MAX(0,$H56*($E56-$M56)),0))</f>
        <v>0</v>
      </c>
      <c r="O56" s="35" t="n">
        <f aca="false">INDEX(Parametros_ANEC73!$J$4:$J$6,MATCH($C56,Parametros_ANEC73!$A$4:$A$6,0))</f>
        <v>0</v>
      </c>
      <c r="P56" s="38" t="n">
        <f aca="false">IF(OR($D56=0,$G56=""),0,IF(AND($K56="Sim",$O56&lt;&gt;""),MAX(0,$H56*($E56-$O56)),0))</f>
        <v>0</v>
      </c>
      <c r="Q56" s="35" t="n">
        <f aca="false">INDEX(Parametros_ANEC73!$F$4:$F$6,MATCH($C56,Parametros_ANEC73!$A$4:$A$6,0))</f>
        <v>1</v>
      </c>
      <c r="R56" s="35" t="n">
        <f aca="false">INDEX(Parametros_ANEC73!$I$4:$I$6,MATCH($C56,Parametros_ANEC73!$A$4:$A$6,0))</f>
        <v>2</v>
      </c>
      <c r="S56" s="35" t="n">
        <f aca="false">INDEX(Parametros_ANEC73!$L$4:$L$6,MATCH($C56,Parametros_ANEC73!$A$4:$A$6,0))</f>
        <v>0</v>
      </c>
      <c r="T56" s="39" t="n">
        <f aca="false">INDEX(Parametros_ANEC73!$B$14:$B$25,MATCH($B56,Parametros_ANEC73!$A$14:$A$25,0))</f>
        <v>326</v>
      </c>
      <c r="U56" s="40" t="n">
        <f aca="false">IF(OR($D56=0,$G56=""),0,$D56*($T56/100)*($L56*$Q56+$N56*(IF($R56="",$Q56,$R56)-$Q56)+$P56*(IF($S56="",IF($R56="",$Q56,$R56),$S56)-IF($R56="",$Q56,$R56))))</f>
        <v>0</v>
      </c>
      <c r="V56" s="41" t="str">
        <f aca="false">IF(OR($D56=0,$G56=""),"",IF($H56*($E56-INDEX(Parametros_ANEC73!$M$4:$M$6,MATCH($C56,Parametros_ANEC73!$A$4:$A$6,0)))&gt;0,"Sim","Nao"))</f>
        <v>Nao</v>
      </c>
      <c r="W56" s="27" t="str">
        <f aca="false">$A56&amp;"|"&amp;$B56&amp;"|"&amp;$C56</f>
        <v>Brejeiro|Jul|Proteina</v>
      </c>
    </row>
    <row r="57" customFormat="false" ht="15" hidden="false" customHeight="false" outlineLevel="0" collapsed="false">
      <c r="A57" s="27" t="s">
        <v>40</v>
      </c>
      <c r="B57" s="27" t="s">
        <v>64</v>
      </c>
      <c r="C57" s="27" t="s">
        <v>110</v>
      </c>
      <c r="D57" s="34" t="n">
        <f aca="false">SUMIFS(Media_Cliente_Mes!$C$2:$C$145,Media_Cliente_Mes!$A$2:$A$145,$A57,Media_Cliente_Mes!$B$2:$B$145,$B57)</f>
        <v>44244.44</v>
      </c>
      <c r="E57" s="35" t="n">
        <f aca="false">IF($D57=0,"",IF($C57="Proteina",SUMIFS(Media_Cliente_Mes!$D$2:$D$145,Media_Cliente_Mes!$A$2:$A$145,$A57,Media_Cliente_Mes!$B$2:$B$145,$B57),IF($C57="Umidade",SUMIFS(Media_Cliente_Mes!$E$2:$E$145,Media_Cliente_Mes!$A$2:$A$145,$A57,Media_Cliente_Mes!$B$2:$B$145,$B57),SUMIFS(Media_Cliente_Mes!$F$2:$F$145,Media_Cliente_Mes!$A$2:$A$145,$A57,Media_Cliente_Mes!$B$2:$B$145,$B57))))</f>
        <v>12.0272818844583</v>
      </c>
      <c r="F57" s="35" t="n">
        <f aca="false">INDEX(Parametros_ANEC73!$C$4:$C$6,MATCH($C57,Parametros_ANEC73!$A$4:$A$6,0))</f>
        <v>12.5</v>
      </c>
      <c r="G57" s="35" t="n">
        <f aca="false">IF($C57="Proteina",INDEX(Media_Pool_Mes!$C$2:$C$13,MATCH($B57,Media_Pool_Mes!$A$2:$A$13,0)),IF($C57="Umidade",INDEX(Media_Pool_Mes!$D$2:$D$13,MATCH($B57,Media_Pool_Mes!$A$2:$A$13,0)),INDEX(Media_Pool_Mes!$E$2:$E$13,MATCH($B57,Media_Pool_Mes!$A$2:$A$13,0))))</f>
        <v>12.2356489048309</v>
      </c>
      <c r="H57" s="37" t="n">
        <f aca="false">INDEX(Parametros_ANEC73!$B$4:$B$6,MATCH($C57,Parametros_ANEC73!$A$4:$A$6,0))</f>
        <v>1</v>
      </c>
      <c r="I57" s="38" t="n">
        <f aca="false">IF(OR($D57=0,$G57=""),"",IF($H57*($G57-$F57)&gt;0,$G57,$F57))</f>
        <v>12.5</v>
      </c>
      <c r="J57" s="27" t="str">
        <f aca="false">IF(OR($D57=0,$G57=""),"",IF($H57*($G57-$F57)&gt;0,"Sim","Nao"))</f>
        <v>Nao</v>
      </c>
      <c r="K57" s="27" t="str">
        <f aca="false">IF(OR($D57=0,$G57=""),"",IF(AND($H57*($E57-$F57)&gt;0,$H57*($E57-$G57)&gt;0),"Sim","Nao"))</f>
        <v>Nao</v>
      </c>
      <c r="L57" s="38" t="n">
        <f aca="false">IF(OR($D57=0,$G57=""),0,IF($K57="Sim",MAX(0,$H57*($E57-$I57)),0))</f>
        <v>0</v>
      </c>
      <c r="M57" s="35" t="n">
        <f aca="false">INDEX(Parametros_ANEC73!$G$4:$G$6,MATCH($C57,Parametros_ANEC73!$A$4:$A$6,0))</f>
        <v>0</v>
      </c>
      <c r="N57" s="38" t="n">
        <f aca="false">IF(OR($D57=0,$G57=""),0,IF(AND($K57="Sim",$M57&lt;&gt;""),MAX(0,$H57*($E57-$M57)),0))</f>
        <v>0</v>
      </c>
      <c r="O57" s="35" t="n">
        <f aca="false">INDEX(Parametros_ANEC73!$J$4:$J$6,MATCH($C57,Parametros_ANEC73!$A$4:$A$6,0))</f>
        <v>0</v>
      </c>
      <c r="P57" s="38" t="n">
        <f aca="false">IF(OR($D57=0,$G57=""),0,IF(AND($K57="Sim",$O57&lt;&gt;""),MAX(0,$H57*($E57-$O57)),0))</f>
        <v>0</v>
      </c>
      <c r="Q57" s="35" t="n">
        <f aca="false">INDEX(Parametros_ANEC73!$F$4:$F$6,MATCH($C57,Parametros_ANEC73!$A$4:$A$6,0))</f>
        <v>1</v>
      </c>
      <c r="R57" s="35" t="n">
        <f aca="false">INDEX(Parametros_ANEC73!$I$4:$I$6,MATCH($C57,Parametros_ANEC73!$A$4:$A$6,0))</f>
        <v>0</v>
      </c>
      <c r="S57" s="35" t="n">
        <f aca="false">INDEX(Parametros_ANEC73!$L$4:$L$6,MATCH($C57,Parametros_ANEC73!$A$4:$A$6,0))</f>
        <v>0</v>
      </c>
      <c r="T57" s="39" t="n">
        <f aca="false">INDEX(Parametros_ANEC73!$B$14:$B$25,MATCH($B57,Parametros_ANEC73!$A$14:$A$25,0))</f>
        <v>326</v>
      </c>
      <c r="U57" s="40" t="n">
        <f aca="false">IF(OR($D57=0,$G57=""),0,$D57*($T57/100)*($L57*$Q57+$N57*(IF($R57="",$Q57,$R57)-$Q57)+$P57*(IF($S57="",IF($R57="",$Q57,$R57),$S57)-IF($R57="",$Q57,$R57))))</f>
        <v>0</v>
      </c>
      <c r="V57" s="41" t="str">
        <f aca="false">IF(OR($D57=0,$G57=""),"",IF($H57*($E57-INDEX(Parametros_ANEC73!$M$4:$M$6,MATCH($C57,Parametros_ANEC73!$A$4:$A$6,0)))&gt;0,"Sim","Nao"))</f>
        <v>Nao</v>
      </c>
      <c r="W57" s="27" t="str">
        <f aca="false">$A57&amp;"|"&amp;$B57&amp;"|"&amp;$C57</f>
        <v>Brejeiro|Jul|Umidade</v>
      </c>
    </row>
    <row r="58" customFormat="false" ht="15" hidden="false" customHeight="false" outlineLevel="0" collapsed="false">
      <c r="A58" s="27" t="s">
        <v>40</v>
      </c>
      <c r="B58" s="27" t="s">
        <v>64</v>
      </c>
      <c r="C58" s="27" t="s">
        <v>111</v>
      </c>
      <c r="D58" s="34" t="n">
        <f aca="false">SUMIFS(Media_Cliente_Mes!$C$2:$C$145,Media_Cliente_Mes!$A$2:$A$145,$A58,Media_Cliente_Mes!$B$2:$B$145,$B58)</f>
        <v>44244.44</v>
      </c>
      <c r="E58" s="35" t="n">
        <f aca="false">IF($D58=0,"",IF($C58="Proteina",SUMIFS(Media_Cliente_Mes!$D$2:$D$145,Media_Cliente_Mes!$A$2:$A$145,$A58,Media_Cliente_Mes!$B$2:$B$145,$B58),IF($C58="Umidade",SUMIFS(Media_Cliente_Mes!$E$2:$E$145,Media_Cliente_Mes!$A$2:$A$145,$A58,Media_Cliente_Mes!$B$2:$B$145,$B58),SUMIFS(Media_Cliente_Mes!$F$2:$F$145,Media_Cliente_Mes!$A$2:$A$145,$A58,Media_Cliente_Mes!$B$2:$B$145,$B58))))</f>
        <v>3.43935206774004</v>
      </c>
      <c r="F58" s="35" t="n">
        <f aca="false">INDEX(Parametros_ANEC73!$C$4:$C$6,MATCH($C58,Parametros_ANEC73!$A$4:$A$6,0))</f>
        <v>3.5</v>
      </c>
      <c r="G58" s="35" t="n">
        <f aca="false">IF($C58="Proteina",INDEX(Media_Pool_Mes!$C$2:$C$13,MATCH($B58,Media_Pool_Mes!$A$2:$A$13,0)),IF($C58="Umidade",INDEX(Media_Pool_Mes!$D$2:$D$13,MATCH($B58,Media_Pool_Mes!$A$2:$A$13,0)),INDEX(Media_Pool_Mes!$E$2:$E$13,MATCH($B58,Media_Pool_Mes!$A$2:$A$13,0))))</f>
        <v>3.48415625565953</v>
      </c>
      <c r="H58" s="37" t="n">
        <f aca="false">INDEX(Parametros_ANEC73!$B$4:$B$6,MATCH($C58,Parametros_ANEC73!$A$4:$A$6,0))</f>
        <v>1</v>
      </c>
      <c r="I58" s="38" t="n">
        <f aca="false">IF(OR($D58=0,$G58=""),"",IF($H58*($G58-$F58)&gt;0,$G58,$F58))</f>
        <v>3.5</v>
      </c>
      <c r="J58" s="27" t="str">
        <f aca="false">IF(OR($D58=0,$G58=""),"",IF($H58*($G58-$F58)&gt;0,"Sim","Nao"))</f>
        <v>Nao</v>
      </c>
      <c r="K58" s="27" t="str">
        <f aca="false">IF(OR($D58=0,$G58=""),"",IF(AND($H58*($E58-$F58)&gt;0,$H58*($E58-$G58)&gt;0),"Sim","Nao"))</f>
        <v>Nao</v>
      </c>
      <c r="L58" s="38" t="n">
        <f aca="false">IF(OR($D58=0,$G58=""),0,IF($K58="Sim",MAX(0,$H58*($E58-$I58)),0))</f>
        <v>0</v>
      </c>
      <c r="M58" s="35" t="n">
        <f aca="false">INDEX(Parametros_ANEC73!$G$4:$G$6,MATCH($C58,Parametros_ANEC73!$A$4:$A$6,0))</f>
        <v>3.8</v>
      </c>
      <c r="N58" s="38" t="n">
        <f aca="false">IF(OR($D58=0,$G58=""),0,IF(AND($K58="Sim",$M58&lt;&gt;""),MAX(0,$H58*($E58-$M58)),0))</f>
        <v>0</v>
      </c>
      <c r="O58" s="35" t="n">
        <f aca="false">INDEX(Parametros_ANEC73!$J$4:$J$6,MATCH($C58,Parametros_ANEC73!$A$4:$A$6,0))</f>
        <v>4</v>
      </c>
      <c r="P58" s="38" t="n">
        <f aca="false">IF(OR($D58=0,$G58=""),0,IF(AND($K58="Sim",$O58&lt;&gt;""),MAX(0,$H58*($E58-$O58)),0))</f>
        <v>0</v>
      </c>
      <c r="Q58" s="35" t="n">
        <f aca="false">INDEX(Parametros_ANEC73!$F$4:$F$6,MATCH($C58,Parametros_ANEC73!$A$4:$A$6,0))</f>
        <v>1</v>
      </c>
      <c r="R58" s="35" t="n">
        <f aca="false">INDEX(Parametros_ANEC73!$I$4:$I$6,MATCH($C58,Parametros_ANEC73!$A$4:$A$6,0))</f>
        <v>1.5</v>
      </c>
      <c r="S58" s="35" t="n">
        <f aca="false">INDEX(Parametros_ANEC73!$L$4:$L$6,MATCH($C58,Parametros_ANEC73!$A$4:$A$6,0))</f>
        <v>2</v>
      </c>
      <c r="T58" s="39" t="n">
        <f aca="false">INDEX(Parametros_ANEC73!$B$14:$B$25,MATCH($B58,Parametros_ANEC73!$A$14:$A$25,0))</f>
        <v>326</v>
      </c>
      <c r="U58" s="40" t="n">
        <f aca="false">IF(OR($D58=0,$G58=""),0,$D58*($T58/100)*($L58*$Q58+$N58*(IF($R58="",$Q58,$R58)-$Q58)+$P58*(IF($S58="",IF($R58="",$Q58,$R58),$S58)-IF($R58="",$Q58,$R58))))</f>
        <v>0</v>
      </c>
      <c r="V58" s="41" t="str">
        <f aca="false">IF(OR($D58=0,$G58=""),"",IF($H58*($E58-INDEX(Parametros_ANEC73!$M$4:$M$6,MATCH($C58,Parametros_ANEC73!$A$4:$A$6,0)))&gt;0,"Sim","Nao"))</f>
        <v>Nao</v>
      </c>
      <c r="W58" s="27" t="str">
        <f aca="false">$A58&amp;"|"&amp;$B58&amp;"|"&amp;$C58</f>
        <v>Brejeiro|Jul|Fibra</v>
      </c>
    </row>
    <row r="59" customFormat="false" ht="15" hidden="false" customHeight="false" outlineLevel="0" collapsed="false">
      <c r="A59" s="27" t="s">
        <v>40</v>
      </c>
      <c r="B59" s="27" t="s">
        <v>65</v>
      </c>
      <c r="C59" s="27" t="s">
        <v>109</v>
      </c>
      <c r="D59" s="34" t="n">
        <f aca="false">SUMIFS(Media_Cliente_Mes!$C$2:$C$145,Media_Cliente_Mes!$A$2:$A$145,$A59,Media_Cliente_Mes!$B$2:$B$145,$B59)</f>
        <v>43335.41</v>
      </c>
      <c r="E59" s="35" t="n">
        <f aca="false">IF($D59=0,"",IF($C59="Proteina",SUMIFS(Media_Cliente_Mes!$D$2:$D$145,Media_Cliente_Mes!$A$2:$A$145,$A59,Media_Cliente_Mes!$B$2:$B$145,$B59),IF($C59="Umidade",SUMIFS(Media_Cliente_Mes!$E$2:$E$145,Media_Cliente_Mes!$A$2:$A$145,$A59,Media_Cliente_Mes!$B$2:$B$145,$B59),SUMIFS(Media_Cliente_Mes!$F$2:$F$145,Media_Cliente_Mes!$A$2:$A$145,$A59,Media_Cliente_Mes!$B$2:$B$145,$B59))))</f>
        <v>47.4500461400965</v>
      </c>
      <c r="F59" s="35" t="n">
        <f aca="false">INDEX(Parametros_ANEC73!$C$4:$C$6,MATCH($C59,Parametros_ANEC73!$A$4:$A$6,0))</f>
        <v>48</v>
      </c>
      <c r="G59" s="35" t="n">
        <f aca="false">IF($C59="Proteina",INDEX(Media_Pool_Mes!$C$2:$C$13,MATCH($B59,Media_Pool_Mes!$A$2:$A$13,0)),IF($C59="Umidade",INDEX(Media_Pool_Mes!$D$2:$D$13,MATCH($B59,Media_Pool_Mes!$A$2:$A$13,0)),INDEX(Media_Pool_Mes!$E$2:$E$13,MATCH($B59,Media_Pool_Mes!$A$2:$A$13,0))))</f>
        <v>47.3199561197423</v>
      </c>
      <c r="H59" s="37" t="n">
        <f aca="false">INDEX(Parametros_ANEC73!$B$4:$B$6,MATCH($C59,Parametros_ANEC73!$A$4:$A$6,0))</f>
        <v>-1</v>
      </c>
      <c r="I59" s="38" t="n">
        <f aca="false">IF(OR($D59=0,$G59=""),"",IF($H59*($G59-$F59)&gt;0,$G59,$F59))</f>
        <v>47.3199561197423</v>
      </c>
      <c r="J59" s="27" t="str">
        <f aca="false">IF(OR($D59=0,$G59=""),"",IF($H59*($G59-$F59)&gt;0,"Sim","Nao"))</f>
        <v>Sim</v>
      </c>
      <c r="K59" s="27" t="str">
        <f aca="false">IF(OR($D59=0,$G59=""),"",IF(AND($H59*($E59-$F59)&gt;0,$H59*($E59-$G59)&gt;0),"Sim","Nao"))</f>
        <v>Nao</v>
      </c>
      <c r="L59" s="38" t="n">
        <f aca="false">IF(OR($D59=0,$G59=""),0,IF($K59="Sim",MAX(0,$H59*($E59-$I59)),0))</f>
        <v>0</v>
      </c>
      <c r="M59" s="35" t="n">
        <f aca="false">INDEX(Parametros_ANEC73!$G$4:$G$6,MATCH($C59,Parametros_ANEC73!$A$4:$A$6,0))</f>
        <v>47</v>
      </c>
      <c r="N59" s="38" t="n">
        <f aca="false">IF(OR($D59=0,$G59=""),0,IF(AND($K59="Sim",$M59&lt;&gt;""),MAX(0,$H59*($E59-$M59)),0))</f>
        <v>0</v>
      </c>
      <c r="O59" s="35" t="n">
        <f aca="false">INDEX(Parametros_ANEC73!$J$4:$J$6,MATCH($C59,Parametros_ANEC73!$A$4:$A$6,0))</f>
        <v>0</v>
      </c>
      <c r="P59" s="38" t="n">
        <f aca="false">IF(OR($D59=0,$G59=""),0,IF(AND($K59="Sim",$O59&lt;&gt;""),MAX(0,$H59*($E59-$O59)),0))</f>
        <v>0</v>
      </c>
      <c r="Q59" s="35" t="n">
        <f aca="false">INDEX(Parametros_ANEC73!$F$4:$F$6,MATCH($C59,Parametros_ANEC73!$A$4:$A$6,0))</f>
        <v>1</v>
      </c>
      <c r="R59" s="35" t="n">
        <f aca="false">INDEX(Parametros_ANEC73!$I$4:$I$6,MATCH($C59,Parametros_ANEC73!$A$4:$A$6,0))</f>
        <v>2</v>
      </c>
      <c r="S59" s="35" t="n">
        <f aca="false">INDEX(Parametros_ANEC73!$L$4:$L$6,MATCH($C59,Parametros_ANEC73!$A$4:$A$6,0))</f>
        <v>0</v>
      </c>
      <c r="T59" s="39" t="n">
        <f aca="false">INDEX(Parametros_ANEC73!$B$14:$B$25,MATCH($B59,Parametros_ANEC73!$A$14:$A$25,0))</f>
        <v>326</v>
      </c>
      <c r="U59" s="40" t="n">
        <f aca="false">IF(OR($D59=0,$G59=""),0,$D59*($T59/100)*($L59*$Q59+$N59*(IF($R59="",$Q59,$R59)-$Q59)+$P59*(IF($S59="",IF($R59="",$Q59,$R59),$S59)-IF($R59="",$Q59,$R59))))</f>
        <v>0</v>
      </c>
      <c r="V59" s="41" t="str">
        <f aca="false">IF(OR($D59=0,$G59=""),"",IF($H59*($E59-INDEX(Parametros_ANEC73!$M$4:$M$6,MATCH($C59,Parametros_ANEC73!$A$4:$A$6,0)))&gt;0,"Sim","Nao"))</f>
        <v>Nao</v>
      </c>
      <c r="W59" s="27" t="str">
        <f aca="false">$A59&amp;"|"&amp;$B59&amp;"|"&amp;$C59</f>
        <v>Brejeiro|Ago|Proteina</v>
      </c>
    </row>
    <row r="60" customFormat="false" ht="15" hidden="false" customHeight="false" outlineLevel="0" collapsed="false">
      <c r="A60" s="27" t="s">
        <v>40</v>
      </c>
      <c r="B60" s="27" t="s">
        <v>65</v>
      </c>
      <c r="C60" s="27" t="s">
        <v>110</v>
      </c>
      <c r="D60" s="34" t="n">
        <f aca="false">SUMIFS(Media_Cliente_Mes!$C$2:$C$145,Media_Cliente_Mes!$A$2:$A$145,$A60,Media_Cliente_Mes!$B$2:$B$145,$B60)</f>
        <v>43335.41</v>
      </c>
      <c r="E60" s="35" t="n">
        <f aca="false">IF($D60=0,"",IF($C60="Proteina",SUMIFS(Media_Cliente_Mes!$D$2:$D$145,Media_Cliente_Mes!$A$2:$A$145,$A60,Media_Cliente_Mes!$B$2:$B$145,$B60),IF($C60="Umidade",SUMIFS(Media_Cliente_Mes!$E$2:$E$145,Media_Cliente_Mes!$A$2:$A$145,$A60,Media_Cliente_Mes!$B$2:$B$145,$B60),SUMIFS(Media_Cliente_Mes!$F$2:$F$145,Media_Cliente_Mes!$A$2:$A$145,$A60,Media_Cliente_Mes!$B$2:$B$145,$B60))))</f>
        <v>12.2156633732091</v>
      </c>
      <c r="F60" s="35" t="n">
        <f aca="false">INDEX(Parametros_ANEC73!$C$4:$C$6,MATCH($C60,Parametros_ANEC73!$A$4:$A$6,0))</f>
        <v>12.5</v>
      </c>
      <c r="G60" s="35" t="n">
        <f aca="false">IF($C60="Proteina",INDEX(Media_Pool_Mes!$C$2:$C$13,MATCH($B60,Media_Pool_Mes!$A$2:$A$13,0)),IF($C60="Umidade",INDEX(Media_Pool_Mes!$D$2:$D$13,MATCH($B60,Media_Pool_Mes!$A$2:$A$13,0)),INDEX(Media_Pool_Mes!$E$2:$E$13,MATCH($B60,Media_Pool_Mes!$A$2:$A$13,0))))</f>
        <v>12.2068387200965</v>
      </c>
      <c r="H60" s="37" t="n">
        <f aca="false">INDEX(Parametros_ANEC73!$B$4:$B$6,MATCH($C60,Parametros_ANEC73!$A$4:$A$6,0))</f>
        <v>1</v>
      </c>
      <c r="I60" s="38" t="n">
        <f aca="false">IF(OR($D60=0,$G60=""),"",IF($H60*($G60-$F60)&gt;0,$G60,$F60))</f>
        <v>12.5</v>
      </c>
      <c r="J60" s="27" t="str">
        <f aca="false">IF(OR($D60=0,$G60=""),"",IF($H60*($G60-$F60)&gt;0,"Sim","Nao"))</f>
        <v>Nao</v>
      </c>
      <c r="K60" s="27" t="str">
        <f aca="false">IF(OR($D60=0,$G60=""),"",IF(AND($H60*($E60-$F60)&gt;0,$H60*($E60-$G60)&gt;0),"Sim","Nao"))</f>
        <v>Nao</v>
      </c>
      <c r="L60" s="38" t="n">
        <f aca="false">IF(OR($D60=0,$G60=""),0,IF($K60="Sim",MAX(0,$H60*($E60-$I60)),0))</f>
        <v>0</v>
      </c>
      <c r="M60" s="35" t="n">
        <f aca="false">INDEX(Parametros_ANEC73!$G$4:$G$6,MATCH($C60,Parametros_ANEC73!$A$4:$A$6,0))</f>
        <v>0</v>
      </c>
      <c r="N60" s="38" t="n">
        <f aca="false">IF(OR($D60=0,$G60=""),0,IF(AND($K60="Sim",$M60&lt;&gt;""),MAX(0,$H60*($E60-$M60)),0))</f>
        <v>0</v>
      </c>
      <c r="O60" s="35" t="n">
        <f aca="false">INDEX(Parametros_ANEC73!$J$4:$J$6,MATCH($C60,Parametros_ANEC73!$A$4:$A$6,0))</f>
        <v>0</v>
      </c>
      <c r="P60" s="38" t="n">
        <f aca="false">IF(OR($D60=0,$G60=""),0,IF(AND($K60="Sim",$O60&lt;&gt;""),MAX(0,$H60*($E60-$O60)),0))</f>
        <v>0</v>
      </c>
      <c r="Q60" s="35" t="n">
        <f aca="false">INDEX(Parametros_ANEC73!$F$4:$F$6,MATCH($C60,Parametros_ANEC73!$A$4:$A$6,0))</f>
        <v>1</v>
      </c>
      <c r="R60" s="35" t="n">
        <f aca="false">INDEX(Parametros_ANEC73!$I$4:$I$6,MATCH($C60,Parametros_ANEC73!$A$4:$A$6,0))</f>
        <v>0</v>
      </c>
      <c r="S60" s="35" t="n">
        <f aca="false">INDEX(Parametros_ANEC73!$L$4:$L$6,MATCH($C60,Parametros_ANEC73!$A$4:$A$6,0))</f>
        <v>0</v>
      </c>
      <c r="T60" s="39" t="n">
        <f aca="false">INDEX(Parametros_ANEC73!$B$14:$B$25,MATCH($B60,Parametros_ANEC73!$A$14:$A$25,0))</f>
        <v>326</v>
      </c>
      <c r="U60" s="40" t="n">
        <f aca="false">IF(OR($D60=0,$G60=""),0,$D60*($T60/100)*($L60*$Q60+$N60*(IF($R60="",$Q60,$R60)-$Q60)+$P60*(IF($S60="",IF($R60="",$Q60,$R60),$S60)-IF($R60="",$Q60,$R60))))</f>
        <v>0</v>
      </c>
      <c r="V60" s="41" t="str">
        <f aca="false">IF(OR($D60=0,$G60=""),"",IF($H60*($E60-INDEX(Parametros_ANEC73!$M$4:$M$6,MATCH($C60,Parametros_ANEC73!$A$4:$A$6,0)))&gt;0,"Sim","Nao"))</f>
        <v>Nao</v>
      </c>
      <c r="W60" s="27" t="str">
        <f aca="false">$A60&amp;"|"&amp;$B60&amp;"|"&amp;$C60</f>
        <v>Brejeiro|Ago|Umidade</v>
      </c>
    </row>
    <row r="61" customFormat="false" ht="15" hidden="false" customHeight="false" outlineLevel="0" collapsed="false">
      <c r="A61" s="27" t="s">
        <v>40</v>
      </c>
      <c r="B61" s="27" t="s">
        <v>65</v>
      </c>
      <c r="C61" s="27" t="s">
        <v>111</v>
      </c>
      <c r="D61" s="34" t="n">
        <f aca="false">SUMIFS(Media_Cliente_Mes!$C$2:$C$145,Media_Cliente_Mes!$A$2:$A$145,$A61,Media_Cliente_Mes!$B$2:$B$145,$B61)</f>
        <v>43335.41</v>
      </c>
      <c r="E61" s="35" t="n">
        <f aca="false">IF($D61=0,"",IF($C61="Proteina",SUMIFS(Media_Cliente_Mes!$D$2:$D$145,Media_Cliente_Mes!$A$2:$A$145,$A61,Media_Cliente_Mes!$B$2:$B$145,$B61),IF($C61="Umidade",SUMIFS(Media_Cliente_Mes!$E$2:$E$145,Media_Cliente_Mes!$A$2:$A$145,$A61,Media_Cliente_Mes!$B$2:$B$145,$B61),SUMIFS(Media_Cliente_Mes!$F$2:$F$145,Media_Cliente_Mes!$A$2:$A$145,$A61,Media_Cliente_Mes!$B$2:$B$145,$B61))))</f>
        <v>3.72450805011421</v>
      </c>
      <c r="F61" s="35" t="n">
        <f aca="false">INDEX(Parametros_ANEC73!$C$4:$C$6,MATCH($C61,Parametros_ANEC73!$A$4:$A$6,0))</f>
        <v>3.5</v>
      </c>
      <c r="G61" s="35" t="n">
        <f aca="false">IF($C61="Proteina",INDEX(Media_Pool_Mes!$C$2:$C$13,MATCH($B61,Media_Pool_Mes!$A$2:$A$13,0)),IF($C61="Umidade",INDEX(Media_Pool_Mes!$D$2:$D$13,MATCH($B61,Media_Pool_Mes!$A$2:$A$13,0)),INDEX(Media_Pool_Mes!$E$2:$E$13,MATCH($B61,Media_Pool_Mes!$A$2:$A$13,0))))</f>
        <v>3.7692688740906</v>
      </c>
      <c r="H61" s="37" t="n">
        <f aca="false">INDEX(Parametros_ANEC73!$B$4:$B$6,MATCH($C61,Parametros_ANEC73!$A$4:$A$6,0))</f>
        <v>1</v>
      </c>
      <c r="I61" s="38" t="n">
        <f aca="false">IF(OR($D61=0,$G61=""),"",IF($H61*($G61-$F61)&gt;0,$G61,$F61))</f>
        <v>3.7692688740906</v>
      </c>
      <c r="J61" s="27" t="str">
        <f aca="false">IF(OR($D61=0,$G61=""),"",IF($H61*($G61-$F61)&gt;0,"Sim","Nao"))</f>
        <v>Sim</v>
      </c>
      <c r="K61" s="27" t="str">
        <f aca="false">IF(OR($D61=0,$G61=""),"",IF(AND($H61*($E61-$F61)&gt;0,$H61*($E61-$G61)&gt;0),"Sim","Nao"))</f>
        <v>Nao</v>
      </c>
      <c r="L61" s="38" t="n">
        <f aca="false">IF(OR($D61=0,$G61=""),0,IF($K61="Sim",MAX(0,$H61*($E61-$I61)),0))</f>
        <v>0</v>
      </c>
      <c r="M61" s="35" t="n">
        <f aca="false">INDEX(Parametros_ANEC73!$G$4:$G$6,MATCH($C61,Parametros_ANEC73!$A$4:$A$6,0))</f>
        <v>3.8</v>
      </c>
      <c r="N61" s="38" t="n">
        <f aca="false">IF(OR($D61=0,$G61=""),0,IF(AND($K61="Sim",$M61&lt;&gt;""),MAX(0,$H61*($E61-$M61)),0))</f>
        <v>0</v>
      </c>
      <c r="O61" s="35" t="n">
        <f aca="false">INDEX(Parametros_ANEC73!$J$4:$J$6,MATCH($C61,Parametros_ANEC73!$A$4:$A$6,0))</f>
        <v>4</v>
      </c>
      <c r="P61" s="38" t="n">
        <f aca="false">IF(OR($D61=0,$G61=""),0,IF(AND($K61="Sim",$O61&lt;&gt;""),MAX(0,$H61*($E61-$O61)),0))</f>
        <v>0</v>
      </c>
      <c r="Q61" s="35" t="n">
        <f aca="false">INDEX(Parametros_ANEC73!$F$4:$F$6,MATCH($C61,Parametros_ANEC73!$A$4:$A$6,0))</f>
        <v>1</v>
      </c>
      <c r="R61" s="35" t="n">
        <f aca="false">INDEX(Parametros_ANEC73!$I$4:$I$6,MATCH($C61,Parametros_ANEC73!$A$4:$A$6,0))</f>
        <v>1.5</v>
      </c>
      <c r="S61" s="35" t="n">
        <f aca="false">INDEX(Parametros_ANEC73!$L$4:$L$6,MATCH($C61,Parametros_ANEC73!$A$4:$A$6,0))</f>
        <v>2</v>
      </c>
      <c r="T61" s="39" t="n">
        <f aca="false">INDEX(Parametros_ANEC73!$B$14:$B$25,MATCH($B61,Parametros_ANEC73!$A$14:$A$25,0))</f>
        <v>326</v>
      </c>
      <c r="U61" s="40" t="n">
        <f aca="false">IF(OR($D61=0,$G61=""),0,$D61*($T61/100)*($L61*$Q61+$N61*(IF($R61="",$Q61,$R61)-$Q61)+$P61*(IF($S61="",IF($R61="",$Q61,$R61),$S61)-IF($R61="",$Q61,$R61))))</f>
        <v>0</v>
      </c>
      <c r="V61" s="41" t="str">
        <f aca="false">IF(OR($D61=0,$G61=""),"",IF($H61*($E61-INDEX(Parametros_ANEC73!$M$4:$M$6,MATCH($C61,Parametros_ANEC73!$A$4:$A$6,0)))&gt;0,"Sim","Nao"))</f>
        <v>Nao</v>
      </c>
      <c r="W61" s="27" t="str">
        <f aca="false">$A61&amp;"|"&amp;$B61&amp;"|"&amp;$C61</f>
        <v>Brejeiro|Ago|Fibra</v>
      </c>
    </row>
    <row r="62" customFormat="false" ht="15" hidden="false" customHeight="false" outlineLevel="0" collapsed="false">
      <c r="A62" s="27" t="s">
        <v>40</v>
      </c>
      <c r="B62" s="27" t="s">
        <v>66</v>
      </c>
      <c r="C62" s="27" t="s">
        <v>109</v>
      </c>
      <c r="D62" s="34" t="n">
        <f aca="false">SUMIFS(Media_Cliente_Mes!$C$2:$C$145,Media_Cliente_Mes!$A$2:$A$145,$A62,Media_Cliente_Mes!$B$2:$B$145,$B62)</f>
        <v>9195.05</v>
      </c>
      <c r="E62" s="35" t="n">
        <f aca="false">IF($D62=0,"",IF($C62="Proteina",SUMIFS(Media_Cliente_Mes!$D$2:$D$145,Media_Cliente_Mes!$A$2:$A$145,$A62,Media_Cliente_Mes!$B$2:$B$145,$B62),IF($C62="Umidade",SUMIFS(Media_Cliente_Mes!$E$2:$E$145,Media_Cliente_Mes!$A$2:$A$145,$A62,Media_Cliente_Mes!$B$2:$B$145,$B62),SUMIFS(Media_Cliente_Mes!$F$2:$F$145,Media_Cliente_Mes!$A$2:$A$145,$A62,Media_Cliente_Mes!$B$2:$B$145,$B62))))</f>
        <v>47.8702843703949</v>
      </c>
      <c r="F62" s="35" t="n">
        <f aca="false">INDEX(Parametros_ANEC73!$C$4:$C$6,MATCH($C62,Parametros_ANEC73!$A$4:$A$6,0))</f>
        <v>48</v>
      </c>
      <c r="G62" s="35" t="n">
        <f aca="false">IF($C62="Proteina",INDEX(Media_Pool_Mes!$C$2:$C$13,MATCH($B62,Media_Pool_Mes!$A$2:$A$13,0)),IF($C62="Umidade",INDEX(Media_Pool_Mes!$D$2:$D$13,MATCH($B62,Media_Pool_Mes!$A$2:$A$13,0)),INDEX(Media_Pool_Mes!$E$2:$E$13,MATCH($B62,Media_Pool_Mes!$A$2:$A$13,0))))</f>
        <v>47.5387514497333</v>
      </c>
      <c r="H62" s="37" t="n">
        <f aca="false">INDEX(Parametros_ANEC73!$B$4:$B$6,MATCH($C62,Parametros_ANEC73!$A$4:$A$6,0))</f>
        <v>-1</v>
      </c>
      <c r="I62" s="38" t="n">
        <f aca="false">IF(OR($D62=0,$G62=""),"",IF($H62*($G62-$F62)&gt;0,$G62,$F62))</f>
        <v>47.5387514497333</v>
      </c>
      <c r="J62" s="27" t="str">
        <f aca="false">IF(OR($D62=0,$G62=""),"",IF($H62*($G62-$F62)&gt;0,"Sim","Nao"))</f>
        <v>Sim</v>
      </c>
      <c r="K62" s="27" t="str">
        <f aca="false">IF(OR($D62=0,$G62=""),"",IF(AND($H62*($E62-$F62)&gt;0,$H62*($E62-$G62)&gt;0),"Sim","Nao"))</f>
        <v>Nao</v>
      </c>
      <c r="L62" s="38" t="n">
        <f aca="false">IF(OR($D62=0,$G62=""),0,IF($K62="Sim",MAX(0,$H62*($E62-$I62)),0))</f>
        <v>0</v>
      </c>
      <c r="M62" s="35" t="n">
        <f aca="false">INDEX(Parametros_ANEC73!$G$4:$G$6,MATCH($C62,Parametros_ANEC73!$A$4:$A$6,0))</f>
        <v>47</v>
      </c>
      <c r="N62" s="38" t="n">
        <f aca="false">IF(OR($D62=0,$G62=""),0,IF(AND($K62="Sim",$M62&lt;&gt;""),MAX(0,$H62*($E62-$M62)),0))</f>
        <v>0</v>
      </c>
      <c r="O62" s="35" t="n">
        <f aca="false">INDEX(Parametros_ANEC73!$J$4:$J$6,MATCH($C62,Parametros_ANEC73!$A$4:$A$6,0))</f>
        <v>0</v>
      </c>
      <c r="P62" s="38" t="n">
        <f aca="false">IF(OR($D62=0,$G62=""),0,IF(AND($K62="Sim",$O62&lt;&gt;""),MAX(0,$H62*($E62-$O62)),0))</f>
        <v>0</v>
      </c>
      <c r="Q62" s="35" t="n">
        <f aca="false">INDEX(Parametros_ANEC73!$F$4:$F$6,MATCH($C62,Parametros_ANEC73!$A$4:$A$6,0))</f>
        <v>1</v>
      </c>
      <c r="R62" s="35" t="n">
        <f aca="false">INDEX(Parametros_ANEC73!$I$4:$I$6,MATCH($C62,Parametros_ANEC73!$A$4:$A$6,0))</f>
        <v>2</v>
      </c>
      <c r="S62" s="35" t="n">
        <f aca="false">INDEX(Parametros_ANEC73!$L$4:$L$6,MATCH($C62,Parametros_ANEC73!$A$4:$A$6,0))</f>
        <v>0</v>
      </c>
      <c r="T62" s="39" t="n">
        <f aca="false">INDEX(Parametros_ANEC73!$B$14:$B$25,MATCH($B62,Parametros_ANEC73!$A$14:$A$25,0))</f>
        <v>326</v>
      </c>
      <c r="U62" s="40" t="n">
        <f aca="false">IF(OR($D62=0,$G62=""),0,$D62*($T62/100)*($L62*$Q62+$N62*(IF($R62="",$Q62,$R62)-$Q62)+$P62*(IF($S62="",IF($R62="",$Q62,$R62),$S62)-IF($R62="",$Q62,$R62))))</f>
        <v>0</v>
      </c>
      <c r="V62" s="41" t="str">
        <f aca="false">IF(OR($D62=0,$G62=""),"",IF($H62*($E62-INDEX(Parametros_ANEC73!$M$4:$M$6,MATCH($C62,Parametros_ANEC73!$A$4:$A$6,0)))&gt;0,"Sim","Nao"))</f>
        <v>Nao</v>
      </c>
      <c r="W62" s="27" t="str">
        <f aca="false">$A62&amp;"|"&amp;$B62&amp;"|"&amp;$C62</f>
        <v>Brejeiro|Set|Proteina</v>
      </c>
    </row>
    <row r="63" customFormat="false" ht="15" hidden="false" customHeight="false" outlineLevel="0" collapsed="false">
      <c r="A63" s="27" t="s">
        <v>40</v>
      </c>
      <c r="B63" s="27" t="s">
        <v>66</v>
      </c>
      <c r="C63" s="27" t="s">
        <v>110</v>
      </c>
      <c r="D63" s="34" t="n">
        <f aca="false">SUMIFS(Media_Cliente_Mes!$C$2:$C$145,Media_Cliente_Mes!$A$2:$A$145,$A63,Media_Cliente_Mes!$B$2:$B$145,$B63)</f>
        <v>9195.05</v>
      </c>
      <c r="E63" s="35" t="n">
        <f aca="false">IF($D63=0,"",IF($C63="Proteina",SUMIFS(Media_Cliente_Mes!$D$2:$D$145,Media_Cliente_Mes!$A$2:$A$145,$A63,Media_Cliente_Mes!$B$2:$B$145,$B63),IF($C63="Umidade",SUMIFS(Media_Cliente_Mes!$E$2:$E$145,Media_Cliente_Mes!$A$2:$A$145,$A63,Media_Cliente_Mes!$B$2:$B$145,$B63),SUMIFS(Media_Cliente_Mes!$F$2:$F$145,Media_Cliente_Mes!$A$2:$A$145,$A63,Media_Cliente_Mes!$B$2:$B$145,$B63))))</f>
        <v>12.299296860811</v>
      </c>
      <c r="F63" s="35" t="n">
        <f aca="false">INDEX(Parametros_ANEC73!$C$4:$C$6,MATCH($C63,Parametros_ANEC73!$A$4:$A$6,0))</f>
        <v>12.5</v>
      </c>
      <c r="G63" s="35" t="n">
        <f aca="false">IF($C63="Proteina",INDEX(Media_Pool_Mes!$C$2:$C$13,MATCH($B63,Media_Pool_Mes!$A$2:$A$13,0)),IF($C63="Umidade",INDEX(Media_Pool_Mes!$D$2:$D$13,MATCH($B63,Media_Pool_Mes!$A$2:$A$13,0)),INDEX(Media_Pool_Mes!$E$2:$E$13,MATCH($B63,Media_Pool_Mes!$A$2:$A$13,0))))</f>
        <v>12.4774576939468</v>
      </c>
      <c r="H63" s="37" t="n">
        <f aca="false">INDEX(Parametros_ANEC73!$B$4:$B$6,MATCH($C63,Parametros_ANEC73!$A$4:$A$6,0))</f>
        <v>1</v>
      </c>
      <c r="I63" s="38" t="n">
        <f aca="false">IF(OR($D63=0,$G63=""),"",IF($H63*($G63-$F63)&gt;0,$G63,$F63))</f>
        <v>12.5</v>
      </c>
      <c r="J63" s="27" t="str">
        <f aca="false">IF(OR($D63=0,$G63=""),"",IF($H63*($G63-$F63)&gt;0,"Sim","Nao"))</f>
        <v>Nao</v>
      </c>
      <c r="K63" s="27" t="str">
        <f aca="false">IF(OR($D63=0,$G63=""),"",IF(AND($H63*($E63-$F63)&gt;0,$H63*($E63-$G63)&gt;0),"Sim","Nao"))</f>
        <v>Nao</v>
      </c>
      <c r="L63" s="38" t="n">
        <f aca="false">IF(OR($D63=0,$G63=""),0,IF($K63="Sim",MAX(0,$H63*($E63-$I63)),0))</f>
        <v>0</v>
      </c>
      <c r="M63" s="35" t="n">
        <f aca="false">INDEX(Parametros_ANEC73!$G$4:$G$6,MATCH($C63,Parametros_ANEC73!$A$4:$A$6,0))</f>
        <v>0</v>
      </c>
      <c r="N63" s="38" t="n">
        <f aca="false">IF(OR($D63=0,$G63=""),0,IF(AND($K63="Sim",$M63&lt;&gt;""),MAX(0,$H63*($E63-$M63)),0))</f>
        <v>0</v>
      </c>
      <c r="O63" s="35" t="n">
        <f aca="false">INDEX(Parametros_ANEC73!$J$4:$J$6,MATCH($C63,Parametros_ANEC73!$A$4:$A$6,0))</f>
        <v>0</v>
      </c>
      <c r="P63" s="38" t="n">
        <f aca="false">IF(OR($D63=0,$G63=""),0,IF(AND($K63="Sim",$O63&lt;&gt;""),MAX(0,$H63*($E63-$O63)),0))</f>
        <v>0</v>
      </c>
      <c r="Q63" s="35" t="n">
        <f aca="false">INDEX(Parametros_ANEC73!$F$4:$F$6,MATCH($C63,Parametros_ANEC73!$A$4:$A$6,0))</f>
        <v>1</v>
      </c>
      <c r="R63" s="35" t="n">
        <f aca="false">INDEX(Parametros_ANEC73!$I$4:$I$6,MATCH($C63,Parametros_ANEC73!$A$4:$A$6,0))</f>
        <v>0</v>
      </c>
      <c r="S63" s="35" t="n">
        <f aca="false">INDEX(Parametros_ANEC73!$L$4:$L$6,MATCH($C63,Parametros_ANEC73!$A$4:$A$6,0))</f>
        <v>0</v>
      </c>
      <c r="T63" s="39" t="n">
        <f aca="false">INDEX(Parametros_ANEC73!$B$14:$B$25,MATCH($B63,Parametros_ANEC73!$A$14:$A$25,0))</f>
        <v>326</v>
      </c>
      <c r="U63" s="40" t="n">
        <f aca="false">IF(OR($D63=0,$G63=""),0,$D63*($T63/100)*($L63*$Q63+$N63*(IF($R63="",$Q63,$R63)-$Q63)+$P63*(IF($S63="",IF($R63="",$Q63,$R63),$S63)-IF($R63="",$Q63,$R63))))</f>
        <v>0</v>
      </c>
      <c r="V63" s="41" t="str">
        <f aca="false">IF(OR($D63=0,$G63=""),"",IF($H63*($E63-INDEX(Parametros_ANEC73!$M$4:$M$6,MATCH($C63,Parametros_ANEC73!$A$4:$A$6,0)))&gt;0,"Sim","Nao"))</f>
        <v>Nao</v>
      </c>
      <c r="W63" s="27" t="str">
        <f aca="false">$A63&amp;"|"&amp;$B63&amp;"|"&amp;$C63</f>
        <v>Brejeiro|Set|Umidade</v>
      </c>
    </row>
    <row r="64" customFormat="false" ht="15" hidden="false" customHeight="false" outlineLevel="0" collapsed="false">
      <c r="A64" s="27" t="s">
        <v>40</v>
      </c>
      <c r="B64" s="27" t="s">
        <v>66</v>
      </c>
      <c r="C64" s="27" t="s">
        <v>111</v>
      </c>
      <c r="D64" s="34" t="n">
        <f aca="false">SUMIFS(Media_Cliente_Mes!$C$2:$C$145,Media_Cliente_Mes!$A$2:$A$145,$A64,Media_Cliente_Mes!$B$2:$B$145,$B64)</f>
        <v>9195.05</v>
      </c>
      <c r="E64" s="35" t="n">
        <f aca="false">IF($D64=0,"",IF($C64="Proteina",SUMIFS(Media_Cliente_Mes!$D$2:$D$145,Media_Cliente_Mes!$A$2:$A$145,$A64,Media_Cliente_Mes!$B$2:$B$145,$B64),IF($C64="Umidade",SUMIFS(Media_Cliente_Mes!$E$2:$E$145,Media_Cliente_Mes!$A$2:$A$145,$A64,Media_Cliente_Mes!$B$2:$B$145,$B64),SUMIFS(Media_Cliente_Mes!$F$2:$F$145,Media_Cliente_Mes!$A$2:$A$145,$A64,Media_Cliente_Mes!$B$2:$B$145,$B64))))</f>
        <v>3.61068685869027</v>
      </c>
      <c r="F64" s="35" t="n">
        <f aca="false">INDEX(Parametros_ANEC73!$C$4:$C$6,MATCH($C64,Parametros_ANEC73!$A$4:$A$6,0))</f>
        <v>3.5</v>
      </c>
      <c r="G64" s="35" t="n">
        <f aca="false">IF($C64="Proteina",INDEX(Media_Pool_Mes!$C$2:$C$13,MATCH($B64,Media_Pool_Mes!$A$2:$A$13,0)),IF($C64="Umidade",INDEX(Media_Pool_Mes!$D$2:$D$13,MATCH($B64,Media_Pool_Mes!$A$2:$A$13,0)),INDEX(Media_Pool_Mes!$E$2:$E$13,MATCH($B64,Media_Pool_Mes!$A$2:$A$13,0))))</f>
        <v>3.7061372169236</v>
      </c>
      <c r="H64" s="37" t="n">
        <f aca="false">INDEX(Parametros_ANEC73!$B$4:$B$6,MATCH($C64,Parametros_ANEC73!$A$4:$A$6,0))</f>
        <v>1</v>
      </c>
      <c r="I64" s="38" t="n">
        <f aca="false">IF(OR($D64=0,$G64=""),"",IF($H64*($G64-$F64)&gt;0,$G64,$F64))</f>
        <v>3.7061372169236</v>
      </c>
      <c r="J64" s="27" t="str">
        <f aca="false">IF(OR($D64=0,$G64=""),"",IF($H64*($G64-$F64)&gt;0,"Sim","Nao"))</f>
        <v>Sim</v>
      </c>
      <c r="K64" s="27" t="str">
        <f aca="false">IF(OR($D64=0,$G64=""),"",IF(AND($H64*($E64-$F64)&gt;0,$H64*($E64-$G64)&gt;0),"Sim","Nao"))</f>
        <v>Nao</v>
      </c>
      <c r="L64" s="38" t="n">
        <f aca="false">IF(OR($D64=0,$G64=""),0,IF($K64="Sim",MAX(0,$H64*($E64-$I64)),0))</f>
        <v>0</v>
      </c>
      <c r="M64" s="35" t="n">
        <f aca="false">INDEX(Parametros_ANEC73!$G$4:$G$6,MATCH($C64,Parametros_ANEC73!$A$4:$A$6,0))</f>
        <v>3.8</v>
      </c>
      <c r="N64" s="38" t="n">
        <f aca="false">IF(OR($D64=0,$G64=""),0,IF(AND($K64="Sim",$M64&lt;&gt;""),MAX(0,$H64*($E64-$M64)),0))</f>
        <v>0</v>
      </c>
      <c r="O64" s="35" t="n">
        <f aca="false">INDEX(Parametros_ANEC73!$J$4:$J$6,MATCH($C64,Parametros_ANEC73!$A$4:$A$6,0))</f>
        <v>4</v>
      </c>
      <c r="P64" s="38" t="n">
        <f aca="false">IF(OR($D64=0,$G64=""),0,IF(AND($K64="Sim",$O64&lt;&gt;""),MAX(0,$H64*($E64-$O64)),0))</f>
        <v>0</v>
      </c>
      <c r="Q64" s="35" t="n">
        <f aca="false">INDEX(Parametros_ANEC73!$F$4:$F$6,MATCH($C64,Parametros_ANEC73!$A$4:$A$6,0))</f>
        <v>1</v>
      </c>
      <c r="R64" s="35" t="n">
        <f aca="false">INDEX(Parametros_ANEC73!$I$4:$I$6,MATCH($C64,Parametros_ANEC73!$A$4:$A$6,0))</f>
        <v>1.5</v>
      </c>
      <c r="S64" s="35" t="n">
        <f aca="false">INDEX(Parametros_ANEC73!$L$4:$L$6,MATCH($C64,Parametros_ANEC73!$A$4:$A$6,0))</f>
        <v>2</v>
      </c>
      <c r="T64" s="39" t="n">
        <f aca="false">INDEX(Parametros_ANEC73!$B$14:$B$25,MATCH($B64,Parametros_ANEC73!$A$14:$A$25,0))</f>
        <v>326</v>
      </c>
      <c r="U64" s="40" t="n">
        <f aca="false">IF(OR($D64=0,$G64=""),0,$D64*($T64/100)*($L64*$Q64+$N64*(IF($R64="",$Q64,$R64)-$Q64)+$P64*(IF($S64="",IF($R64="",$Q64,$R64),$S64)-IF($R64="",$Q64,$R64))))</f>
        <v>0</v>
      </c>
      <c r="V64" s="41" t="str">
        <f aca="false">IF(OR($D64=0,$G64=""),"",IF($H64*($E64-INDEX(Parametros_ANEC73!$M$4:$M$6,MATCH($C64,Parametros_ANEC73!$A$4:$A$6,0)))&gt;0,"Sim","Nao"))</f>
        <v>Nao</v>
      </c>
      <c r="W64" s="27" t="str">
        <f aca="false">$A64&amp;"|"&amp;$B64&amp;"|"&amp;$C64</f>
        <v>Brejeiro|Set|Fibra</v>
      </c>
    </row>
    <row r="65" customFormat="false" ht="15" hidden="false" customHeight="false" outlineLevel="0" collapsed="false">
      <c r="A65" s="27" t="s">
        <v>40</v>
      </c>
      <c r="B65" s="27" t="s">
        <v>67</v>
      </c>
      <c r="C65" s="27" t="s">
        <v>109</v>
      </c>
      <c r="D65" s="34" t="n">
        <f aca="false">SUMIFS(Media_Cliente_Mes!$C$2:$C$145,Media_Cliente_Mes!$A$2:$A$145,$A65,Media_Cliente_Mes!$B$2:$B$145,$B65)</f>
        <v>0</v>
      </c>
      <c r="E65" s="35" t="str">
        <f aca="false">IF($D65=0,"",IF($C65="Proteina",SUMIFS(Media_Cliente_Mes!$D$2:$D$145,Media_Cliente_Mes!$A$2:$A$145,$A65,Media_Cliente_Mes!$B$2:$B$145,$B65),IF($C65="Umidade",SUMIFS(Media_Cliente_Mes!$E$2:$E$145,Media_Cliente_Mes!$A$2:$A$145,$A65,Media_Cliente_Mes!$B$2:$B$145,$B65),SUMIFS(Media_Cliente_Mes!$F$2:$F$145,Media_Cliente_Mes!$A$2:$A$145,$A65,Media_Cliente_Mes!$B$2:$B$145,$B65))))</f>
        <v/>
      </c>
      <c r="F65" s="35" t="n">
        <f aca="false">INDEX(Parametros_ANEC73!$C$4:$C$6,MATCH($C65,Parametros_ANEC73!$A$4:$A$6,0))</f>
        <v>48</v>
      </c>
      <c r="G65" s="35" t="str">
        <f aca="false">IF($C65="Proteina",INDEX(Media_Pool_Mes!$C$2:$C$13,MATCH($B65,Media_Pool_Mes!$A$2:$A$13,0)),IF($C65="Umidade",INDEX(Media_Pool_Mes!$D$2:$D$13,MATCH($B65,Media_Pool_Mes!$A$2:$A$13,0)),INDEX(Media_Pool_Mes!$E$2:$E$13,MATCH($B65,Media_Pool_Mes!$A$2:$A$13,0))))</f>
        <v/>
      </c>
      <c r="H65" s="37" t="n">
        <f aca="false">INDEX(Parametros_ANEC73!$B$4:$B$6,MATCH($C65,Parametros_ANEC73!$A$4:$A$6,0))</f>
        <v>-1</v>
      </c>
      <c r="I65" s="38" t="str">
        <f aca="false">IF(OR($D65=0,$G65=""),"",IF($H65*($G65-$F65)&gt;0,$G65,$F65))</f>
        <v/>
      </c>
      <c r="J65" s="27" t="str">
        <f aca="false">IF(OR($D65=0,$G65=""),"",IF($H65*($G65-$F65)&gt;0,"Sim","Nao"))</f>
        <v/>
      </c>
      <c r="K65" s="27" t="str">
        <f aca="false">IF(OR($D65=0,$G65=""),"",IF(AND($H65*($E65-$F65)&gt;0,$H65*($E65-$G65)&gt;0),"Sim","Nao"))</f>
        <v/>
      </c>
      <c r="L65" s="38" t="n">
        <f aca="false">IF(OR($D65=0,$G65=""),0,IF($K65="Sim",MAX(0,$H65*($E65-$I65)),0))</f>
        <v>0</v>
      </c>
      <c r="M65" s="35" t="n">
        <f aca="false">INDEX(Parametros_ANEC73!$G$4:$G$6,MATCH($C65,Parametros_ANEC73!$A$4:$A$6,0))</f>
        <v>47</v>
      </c>
      <c r="N65" s="38" t="n">
        <f aca="false">IF(OR($D65=0,$G65=""),0,IF(AND($K65="Sim",$M65&lt;&gt;""),MAX(0,$H65*($E65-$M65)),0))</f>
        <v>0</v>
      </c>
      <c r="O65" s="35" t="n">
        <f aca="false">INDEX(Parametros_ANEC73!$J$4:$J$6,MATCH($C65,Parametros_ANEC73!$A$4:$A$6,0))</f>
        <v>0</v>
      </c>
      <c r="P65" s="38" t="n">
        <f aca="false">IF(OR($D65=0,$G65=""),0,IF(AND($K65="Sim",$O65&lt;&gt;""),MAX(0,$H65*($E65-$O65)),0))</f>
        <v>0</v>
      </c>
      <c r="Q65" s="35" t="n">
        <f aca="false">INDEX(Parametros_ANEC73!$F$4:$F$6,MATCH($C65,Parametros_ANEC73!$A$4:$A$6,0))</f>
        <v>1</v>
      </c>
      <c r="R65" s="35" t="n">
        <f aca="false">INDEX(Parametros_ANEC73!$I$4:$I$6,MATCH($C65,Parametros_ANEC73!$A$4:$A$6,0))</f>
        <v>2</v>
      </c>
      <c r="S65" s="35" t="n">
        <f aca="false">INDEX(Parametros_ANEC73!$L$4:$L$6,MATCH($C65,Parametros_ANEC73!$A$4:$A$6,0))</f>
        <v>0</v>
      </c>
      <c r="T65" s="39" t="n">
        <f aca="false">INDEX(Parametros_ANEC73!$B$14:$B$25,MATCH($B65,Parametros_ANEC73!$A$14:$A$25,0))</f>
        <v>0</v>
      </c>
      <c r="U65" s="40" t="n">
        <f aca="false">IF(OR($D65=0,$G65=""),0,$D65*($T65/100)*($L65*$Q65+$N65*(IF($R65="",$Q65,$R65)-$Q65)+$P65*(IF($S65="",IF($R65="",$Q65,$R65),$S65)-IF($R65="",$Q65,$R65))))</f>
        <v>0</v>
      </c>
      <c r="V65" s="41" t="str">
        <f aca="false">IF(OR($D65=0,$G65=""),"",IF($H65*($E65-INDEX(Parametros_ANEC73!$M$4:$M$6,MATCH($C65,Parametros_ANEC73!$A$4:$A$6,0)))&gt;0,"Sim","Nao"))</f>
        <v/>
      </c>
      <c r="W65" s="27" t="str">
        <f aca="false">$A65&amp;"|"&amp;$B65&amp;"|"&amp;$C65</f>
        <v>Brejeiro|Out|Proteina</v>
      </c>
    </row>
    <row r="66" customFormat="false" ht="15" hidden="false" customHeight="false" outlineLevel="0" collapsed="false">
      <c r="A66" s="27" t="s">
        <v>40</v>
      </c>
      <c r="B66" s="27" t="s">
        <v>67</v>
      </c>
      <c r="C66" s="27" t="s">
        <v>110</v>
      </c>
      <c r="D66" s="34" t="n">
        <f aca="false">SUMIFS(Media_Cliente_Mes!$C$2:$C$145,Media_Cliente_Mes!$A$2:$A$145,$A66,Media_Cliente_Mes!$B$2:$B$145,$B66)</f>
        <v>0</v>
      </c>
      <c r="E66" s="35" t="str">
        <f aca="false">IF($D66=0,"",IF($C66="Proteina",SUMIFS(Media_Cliente_Mes!$D$2:$D$145,Media_Cliente_Mes!$A$2:$A$145,$A66,Media_Cliente_Mes!$B$2:$B$145,$B66),IF($C66="Umidade",SUMIFS(Media_Cliente_Mes!$E$2:$E$145,Media_Cliente_Mes!$A$2:$A$145,$A66,Media_Cliente_Mes!$B$2:$B$145,$B66),SUMIFS(Media_Cliente_Mes!$F$2:$F$145,Media_Cliente_Mes!$A$2:$A$145,$A66,Media_Cliente_Mes!$B$2:$B$145,$B66))))</f>
        <v/>
      </c>
      <c r="F66" s="35" t="n">
        <f aca="false">INDEX(Parametros_ANEC73!$C$4:$C$6,MATCH($C66,Parametros_ANEC73!$A$4:$A$6,0))</f>
        <v>12.5</v>
      </c>
      <c r="G66" s="35" t="str">
        <f aca="false">IF($C66="Proteina",INDEX(Media_Pool_Mes!$C$2:$C$13,MATCH($B66,Media_Pool_Mes!$A$2:$A$13,0)),IF($C66="Umidade",INDEX(Media_Pool_Mes!$D$2:$D$13,MATCH($B66,Media_Pool_Mes!$A$2:$A$13,0)),INDEX(Media_Pool_Mes!$E$2:$E$13,MATCH($B66,Media_Pool_Mes!$A$2:$A$13,0))))</f>
        <v/>
      </c>
      <c r="H66" s="37" t="n">
        <f aca="false">INDEX(Parametros_ANEC73!$B$4:$B$6,MATCH($C66,Parametros_ANEC73!$A$4:$A$6,0))</f>
        <v>1</v>
      </c>
      <c r="I66" s="38" t="str">
        <f aca="false">IF(OR($D66=0,$G66=""),"",IF($H66*($G66-$F66)&gt;0,$G66,$F66))</f>
        <v/>
      </c>
      <c r="J66" s="27" t="str">
        <f aca="false">IF(OR($D66=0,$G66=""),"",IF($H66*($G66-$F66)&gt;0,"Sim","Nao"))</f>
        <v/>
      </c>
      <c r="K66" s="27" t="str">
        <f aca="false">IF(OR($D66=0,$G66=""),"",IF(AND($H66*($E66-$F66)&gt;0,$H66*($E66-$G66)&gt;0),"Sim","Nao"))</f>
        <v/>
      </c>
      <c r="L66" s="38" t="n">
        <f aca="false">IF(OR($D66=0,$G66=""),0,IF($K66="Sim",MAX(0,$H66*($E66-$I66)),0))</f>
        <v>0</v>
      </c>
      <c r="M66" s="35" t="n">
        <f aca="false">INDEX(Parametros_ANEC73!$G$4:$G$6,MATCH($C66,Parametros_ANEC73!$A$4:$A$6,0))</f>
        <v>0</v>
      </c>
      <c r="N66" s="38" t="n">
        <f aca="false">IF(OR($D66=0,$G66=""),0,IF(AND($K66="Sim",$M66&lt;&gt;""),MAX(0,$H66*($E66-$M66)),0))</f>
        <v>0</v>
      </c>
      <c r="O66" s="35" t="n">
        <f aca="false">INDEX(Parametros_ANEC73!$J$4:$J$6,MATCH($C66,Parametros_ANEC73!$A$4:$A$6,0))</f>
        <v>0</v>
      </c>
      <c r="P66" s="38" t="n">
        <f aca="false">IF(OR($D66=0,$G66=""),0,IF(AND($K66="Sim",$O66&lt;&gt;""),MAX(0,$H66*($E66-$O66)),0))</f>
        <v>0</v>
      </c>
      <c r="Q66" s="35" t="n">
        <f aca="false">INDEX(Parametros_ANEC73!$F$4:$F$6,MATCH($C66,Parametros_ANEC73!$A$4:$A$6,0))</f>
        <v>1</v>
      </c>
      <c r="R66" s="35" t="n">
        <f aca="false">INDEX(Parametros_ANEC73!$I$4:$I$6,MATCH($C66,Parametros_ANEC73!$A$4:$A$6,0))</f>
        <v>0</v>
      </c>
      <c r="S66" s="35" t="n">
        <f aca="false">INDEX(Parametros_ANEC73!$L$4:$L$6,MATCH($C66,Parametros_ANEC73!$A$4:$A$6,0))</f>
        <v>0</v>
      </c>
      <c r="T66" s="39" t="n">
        <f aca="false">INDEX(Parametros_ANEC73!$B$14:$B$25,MATCH($B66,Parametros_ANEC73!$A$14:$A$25,0))</f>
        <v>0</v>
      </c>
      <c r="U66" s="40" t="n">
        <f aca="false">IF(OR($D66=0,$G66=""),0,$D66*($T66/100)*($L66*$Q66+$N66*(IF($R66="",$Q66,$R66)-$Q66)+$P66*(IF($S66="",IF($R66="",$Q66,$R66),$S66)-IF($R66="",$Q66,$R66))))</f>
        <v>0</v>
      </c>
      <c r="V66" s="41" t="str">
        <f aca="false">IF(OR($D66=0,$G66=""),"",IF($H66*($E66-INDEX(Parametros_ANEC73!$M$4:$M$6,MATCH($C66,Parametros_ANEC73!$A$4:$A$6,0)))&gt;0,"Sim","Nao"))</f>
        <v/>
      </c>
      <c r="W66" s="27" t="str">
        <f aca="false">$A66&amp;"|"&amp;$B66&amp;"|"&amp;$C66</f>
        <v>Brejeiro|Out|Umidade</v>
      </c>
    </row>
    <row r="67" customFormat="false" ht="15" hidden="false" customHeight="false" outlineLevel="0" collapsed="false">
      <c r="A67" s="27" t="s">
        <v>40</v>
      </c>
      <c r="B67" s="27" t="s">
        <v>67</v>
      </c>
      <c r="C67" s="27" t="s">
        <v>111</v>
      </c>
      <c r="D67" s="34" t="n">
        <f aca="false">SUMIFS(Media_Cliente_Mes!$C$2:$C$145,Media_Cliente_Mes!$A$2:$A$145,$A67,Media_Cliente_Mes!$B$2:$B$145,$B67)</f>
        <v>0</v>
      </c>
      <c r="E67" s="35" t="str">
        <f aca="false">IF($D67=0,"",IF($C67="Proteina",SUMIFS(Media_Cliente_Mes!$D$2:$D$145,Media_Cliente_Mes!$A$2:$A$145,$A67,Media_Cliente_Mes!$B$2:$B$145,$B67),IF($C67="Umidade",SUMIFS(Media_Cliente_Mes!$E$2:$E$145,Media_Cliente_Mes!$A$2:$A$145,$A67,Media_Cliente_Mes!$B$2:$B$145,$B67),SUMIFS(Media_Cliente_Mes!$F$2:$F$145,Media_Cliente_Mes!$A$2:$A$145,$A67,Media_Cliente_Mes!$B$2:$B$145,$B67))))</f>
        <v/>
      </c>
      <c r="F67" s="35" t="n">
        <f aca="false">INDEX(Parametros_ANEC73!$C$4:$C$6,MATCH($C67,Parametros_ANEC73!$A$4:$A$6,0))</f>
        <v>3.5</v>
      </c>
      <c r="G67" s="35" t="str">
        <f aca="false">IF($C67="Proteina",INDEX(Media_Pool_Mes!$C$2:$C$13,MATCH($B67,Media_Pool_Mes!$A$2:$A$13,0)),IF($C67="Umidade",INDEX(Media_Pool_Mes!$D$2:$D$13,MATCH($B67,Media_Pool_Mes!$A$2:$A$13,0)),INDEX(Media_Pool_Mes!$E$2:$E$13,MATCH($B67,Media_Pool_Mes!$A$2:$A$13,0))))</f>
        <v/>
      </c>
      <c r="H67" s="37" t="n">
        <f aca="false">INDEX(Parametros_ANEC73!$B$4:$B$6,MATCH($C67,Parametros_ANEC73!$A$4:$A$6,0))</f>
        <v>1</v>
      </c>
      <c r="I67" s="38" t="str">
        <f aca="false">IF(OR($D67=0,$G67=""),"",IF($H67*($G67-$F67)&gt;0,$G67,$F67))</f>
        <v/>
      </c>
      <c r="J67" s="27" t="str">
        <f aca="false">IF(OR($D67=0,$G67=""),"",IF($H67*($G67-$F67)&gt;0,"Sim","Nao"))</f>
        <v/>
      </c>
      <c r="K67" s="27" t="str">
        <f aca="false">IF(OR($D67=0,$G67=""),"",IF(AND($H67*($E67-$F67)&gt;0,$H67*($E67-$G67)&gt;0),"Sim","Nao"))</f>
        <v/>
      </c>
      <c r="L67" s="38" t="n">
        <f aca="false">IF(OR($D67=0,$G67=""),0,IF($K67="Sim",MAX(0,$H67*($E67-$I67)),0))</f>
        <v>0</v>
      </c>
      <c r="M67" s="35" t="n">
        <f aca="false">INDEX(Parametros_ANEC73!$G$4:$G$6,MATCH($C67,Parametros_ANEC73!$A$4:$A$6,0))</f>
        <v>3.8</v>
      </c>
      <c r="N67" s="38" t="n">
        <f aca="false">IF(OR($D67=0,$G67=""),0,IF(AND($K67="Sim",$M67&lt;&gt;""),MAX(0,$H67*($E67-$M67)),0))</f>
        <v>0</v>
      </c>
      <c r="O67" s="35" t="n">
        <f aca="false">INDEX(Parametros_ANEC73!$J$4:$J$6,MATCH($C67,Parametros_ANEC73!$A$4:$A$6,0))</f>
        <v>4</v>
      </c>
      <c r="P67" s="38" t="n">
        <f aca="false">IF(OR($D67=0,$G67=""),0,IF(AND($K67="Sim",$O67&lt;&gt;""),MAX(0,$H67*($E67-$O67)),0))</f>
        <v>0</v>
      </c>
      <c r="Q67" s="35" t="n">
        <f aca="false">INDEX(Parametros_ANEC73!$F$4:$F$6,MATCH($C67,Parametros_ANEC73!$A$4:$A$6,0))</f>
        <v>1</v>
      </c>
      <c r="R67" s="35" t="n">
        <f aca="false">INDEX(Parametros_ANEC73!$I$4:$I$6,MATCH($C67,Parametros_ANEC73!$A$4:$A$6,0))</f>
        <v>1.5</v>
      </c>
      <c r="S67" s="35" t="n">
        <f aca="false">INDEX(Parametros_ANEC73!$L$4:$L$6,MATCH($C67,Parametros_ANEC73!$A$4:$A$6,0))</f>
        <v>2</v>
      </c>
      <c r="T67" s="39" t="n">
        <f aca="false">INDEX(Parametros_ANEC73!$B$14:$B$25,MATCH($B67,Parametros_ANEC73!$A$14:$A$25,0))</f>
        <v>0</v>
      </c>
      <c r="U67" s="40" t="n">
        <f aca="false">IF(OR($D67=0,$G67=""),0,$D67*($T67/100)*($L67*$Q67+$N67*(IF($R67="",$Q67,$R67)-$Q67)+$P67*(IF($S67="",IF($R67="",$Q67,$R67),$S67)-IF($R67="",$Q67,$R67))))</f>
        <v>0</v>
      </c>
      <c r="V67" s="41" t="str">
        <f aca="false">IF(OR($D67=0,$G67=""),"",IF($H67*($E67-INDEX(Parametros_ANEC73!$M$4:$M$6,MATCH($C67,Parametros_ANEC73!$A$4:$A$6,0)))&gt;0,"Sim","Nao"))</f>
        <v/>
      </c>
      <c r="W67" s="27" t="str">
        <f aca="false">$A67&amp;"|"&amp;$B67&amp;"|"&amp;$C67</f>
        <v>Brejeiro|Out|Fibra</v>
      </c>
    </row>
    <row r="68" customFormat="false" ht="15" hidden="false" customHeight="false" outlineLevel="0" collapsed="false">
      <c r="A68" s="27" t="s">
        <v>40</v>
      </c>
      <c r="B68" s="27" t="s">
        <v>68</v>
      </c>
      <c r="C68" s="27" t="s">
        <v>109</v>
      </c>
      <c r="D68" s="34" t="n">
        <f aca="false">SUMIFS(Media_Cliente_Mes!$C$2:$C$145,Media_Cliente_Mes!$A$2:$A$145,$A68,Media_Cliente_Mes!$B$2:$B$145,$B68)</f>
        <v>0</v>
      </c>
      <c r="E68" s="35" t="str">
        <f aca="false">IF($D68=0,"",IF($C68="Proteina",SUMIFS(Media_Cliente_Mes!$D$2:$D$145,Media_Cliente_Mes!$A$2:$A$145,$A68,Media_Cliente_Mes!$B$2:$B$145,$B68),IF($C68="Umidade",SUMIFS(Media_Cliente_Mes!$E$2:$E$145,Media_Cliente_Mes!$A$2:$A$145,$A68,Media_Cliente_Mes!$B$2:$B$145,$B68),SUMIFS(Media_Cliente_Mes!$F$2:$F$145,Media_Cliente_Mes!$A$2:$A$145,$A68,Media_Cliente_Mes!$B$2:$B$145,$B68))))</f>
        <v/>
      </c>
      <c r="F68" s="35" t="n">
        <f aca="false">INDEX(Parametros_ANEC73!$C$4:$C$6,MATCH($C68,Parametros_ANEC73!$A$4:$A$6,0))</f>
        <v>48</v>
      </c>
      <c r="G68" s="35" t="str">
        <f aca="false">IF($C68="Proteina",INDEX(Media_Pool_Mes!$C$2:$C$13,MATCH($B68,Media_Pool_Mes!$A$2:$A$13,0)),IF($C68="Umidade",INDEX(Media_Pool_Mes!$D$2:$D$13,MATCH($B68,Media_Pool_Mes!$A$2:$A$13,0)),INDEX(Media_Pool_Mes!$E$2:$E$13,MATCH($B68,Media_Pool_Mes!$A$2:$A$13,0))))</f>
        <v/>
      </c>
      <c r="H68" s="37" t="n">
        <f aca="false">INDEX(Parametros_ANEC73!$B$4:$B$6,MATCH($C68,Parametros_ANEC73!$A$4:$A$6,0))</f>
        <v>-1</v>
      </c>
      <c r="I68" s="38" t="str">
        <f aca="false">IF(OR($D68=0,$G68=""),"",IF($H68*($G68-$F68)&gt;0,$G68,$F68))</f>
        <v/>
      </c>
      <c r="J68" s="27" t="str">
        <f aca="false">IF(OR($D68=0,$G68=""),"",IF($H68*($G68-$F68)&gt;0,"Sim","Nao"))</f>
        <v/>
      </c>
      <c r="K68" s="27" t="str">
        <f aca="false">IF(OR($D68=0,$G68=""),"",IF(AND($H68*($E68-$F68)&gt;0,$H68*($E68-$G68)&gt;0),"Sim","Nao"))</f>
        <v/>
      </c>
      <c r="L68" s="38" t="n">
        <f aca="false">IF(OR($D68=0,$G68=""),0,IF($K68="Sim",MAX(0,$H68*($E68-$I68)),0))</f>
        <v>0</v>
      </c>
      <c r="M68" s="35" t="n">
        <f aca="false">INDEX(Parametros_ANEC73!$G$4:$G$6,MATCH($C68,Parametros_ANEC73!$A$4:$A$6,0))</f>
        <v>47</v>
      </c>
      <c r="N68" s="38" t="n">
        <f aca="false">IF(OR($D68=0,$G68=""),0,IF(AND($K68="Sim",$M68&lt;&gt;""),MAX(0,$H68*($E68-$M68)),0))</f>
        <v>0</v>
      </c>
      <c r="O68" s="35" t="n">
        <f aca="false">INDEX(Parametros_ANEC73!$J$4:$J$6,MATCH($C68,Parametros_ANEC73!$A$4:$A$6,0))</f>
        <v>0</v>
      </c>
      <c r="P68" s="38" t="n">
        <f aca="false">IF(OR($D68=0,$G68=""),0,IF(AND($K68="Sim",$O68&lt;&gt;""),MAX(0,$H68*($E68-$O68)),0))</f>
        <v>0</v>
      </c>
      <c r="Q68" s="35" t="n">
        <f aca="false">INDEX(Parametros_ANEC73!$F$4:$F$6,MATCH($C68,Parametros_ANEC73!$A$4:$A$6,0))</f>
        <v>1</v>
      </c>
      <c r="R68" s="35" t="n">
        <f aca="false">INDEX(Parametros_ANEC73!$I$4:$I$6,MATCH($C68,Parametros_ANEC73!$A$4:$A$6,0))</f>
        <v>2</v>
      </c>
      <c r="S68" s="35" t="n">
        <f aca="false">INDEX(Parametros_ANEC73!$L$4:$L$6,MATCH($C68,Parametros_ANEC73!$A$4:$A$6,0))</f>
        <v>0</v>
      </c>
      <c r="T68" s="39" t="n">
        <f aca="false">INDEX(Parametros_ANEC73!$B$14:$B$25,MATCH($B68,Parametros_ANEC73!$A$14:$A$25,0))</f>
        <v>0</v>
      </c>
      <c r="U68" s="40" t="n">
        <f aca="false">IF(OR($D68=0,$G68=""),0,$D68*($T68/100)*($L68*$Q68+$N68*(IF($R68="",$Q68,$R68)-$Q68)+$P68*(IF($S68="",IF($R68="",$Q68,$R68),$S68)-IF($R68="",$Q68,$R68))))</f>
        <v>0</v>
      </c>
      <c r="V68" s="41" t="str">
        <f aca="false">IF(OR($D68=0,$G68=""),"",IF($H68*($E68-INDEX(Parametros_ANEC73!$M$4:$M$6,MATCH($C68,Parametros_ANEC73!$A$4:$A$6,0)))&gt;0,"Sim","Nao"))</f>
        <v/>
      </c>
      <c r="W68" s="27" t="str">
        <f aca="false">$A68&amp;"|"&amp;$B68&amp;"|"&amp;$C68</f>
        <v>Brejeiro|Nov|Proteina</v>
      </c>
    </row>
    <row r="69" customFormat="false" ht="15" hidden="false" customHeight="false" outlineLevel="0" collapsed="false">
      <c r="A69" s="27" t="s">
        <v>40</v>
      </c>
      <c r="B69" s="27" t="s">
        <v>68</v>
      </c>
      <c r="C69" s="27" t="s">
        <v>110</v>
      </c>
      <c r="D69" s="34" t="n">
        <f aca="false">SUMIFS(Media_Cliente_Mes!$C$2:$C$145,Media_Cliente_Mes!$A$2:$A$145,$A69,Media_Cliente_Mes!$B$2:$B$145,$B69)</f>
        <v>0</v>
      </c>
      <c r="E69" s="35" t="str">
        <f aca="false">IF($D69=0,"",IF($C69="Proteina",SUMIFS(Media_Cliente_Mes!$D$2:$D$145,Media_Cliente_Mes!$A$2:$A$145,$A69,Media_Cliente_Mes!$B$2:$B$145,$B69),IF($C69="Umidade",SUMIFS(Media_Cliente_Mes!$E$2:$E$145,Media_Cliente_Mes!$A$2:$A$145,$A69,Media_Cliente_Mes!$B$2:$B$145,$B69),SUMIFS(Media_Cliente_Mes!$F$2:$F$145,Media_Cliente_Mes!$A$2:$A$145,$A69,Media_Cliente_Mes!$B$2:$B$145,$B69))))</f>
        <v/>
      </c>
      <c r="F69" s="35" t="n">
        <f aca="false">INDEX(Parametros_ANEC73!$C$4:$C$6,MATCH($C69,Parametros_ANEC73!$A$4:$A$6,0))</f>
        <v>12.5</v>
      </c>
      <c r="G69" s="35" t="str">
        <f aca="false">IF($C69="Proteina",INDEX(Media_Pool_Mes!$C$2:$C$13,MATCH($B69,Media_Pool_Mes!$A$2:$A$13,0)),IF($C69="Umidade",INDEX(Media_Pool_Mes!$D$2:$D$13,MATCH($B69,Media_Pool_Mes!$A$2:$A$13,0)),INDEX(Media_Pool_Mes!$E$2:$E$13,MATCH($B69,Media_Pool_Mes!$A$2:$A$13,0))))</f>
        <v/>
      </c>
      <c r="H69" s="37" t="n">
        <f aca="false">INDEX(Parametros_ANEC73!$B$4:$B$6,MATCH($C69,Parametros_ANEC73!$A$4:$A$6,0))</f>
        <v>1</v>
      </c>
      <c r="I69" s="38" t="str">
        <f aca="false">IF(OR($D69=0,$G69=""),"",IF($H69*($G69-$F69)&gt;0,$G69,$F69))</f>
        <v/>
      </c>
      <c r="J69" s="27" t="str">
        <f aca="false">IF(OR($D69=0,$G69=""),"",IF($H69*($G69-$F69)&gt;0,"Sim","Nao"))</f>
        <v/>
      </c>
      <c r="K69" s="27" t="str">
        <f aca="false">IF(OR($D69=0,$G69=""),"",IF(AND($H69*($E69-$F69)&gt;0,$H69*($E69-$G69)&gt;0),"Sim","Nao"))</f>
        <v/>
      </c>
      <c r="L69" s="38" t="n">
        <f aca="false">IF(OR($D69=0,$G69=""),0,IF($K69="Sim",MAX(0,$H69*($E69-$I69)),0))</f>
        <v>0</v>
      </c>
      <c r="M69" s="35" t="n">
        <f aca="false">INDEX(Parametros_ANEC73!$G$4:$G$6,MATCH($C69,Parametros_ANEC73!$A$4:$A$6,0))</f>
        <v>0</v>
      </c>
      <c r="N69" s="38" t="n">
        <f aca="false">IF(OR($D69=0,$G69=""),0,IF(AND($K69="Sim",$M69&lt;&gt;""),MAX(0,$H69*($E69-$M69)),0))</f>
        <v>0</v>
      </c>
      <c r="O69" s="35" t="n">
        <f aca="false">INDEX(Parametros_ANEC73!$J$4:$J$6,MATCH($C69,Parametros_ANEC73!$A$4:$A$6,0))</f>
        <v>0</v>
      </c>
      <c r="P69" s="38" t="n">
        <f aca="false">IF(OR($D69=0,$G69=""),0,IF(AND($K69="Sim",$O69&lt;&gt;""),MAX(0,$H69*($E69-$O69)),0))</f>
        <v>0</v>
      </c>
      <c r="Q69" s="35" t="n">
        <f aca="false">INDEX(Parametros_ANEC73!$F$4:$F$6,MATCH($C69,Parametros_ANEC73!$A$4:$A$6,0))</f>
        <v>1</v>
      </c>
      <c r="R69" s="35" t="n">
        <f aca="false">INDEX(Parametros_ANEC73!$I$4:$I$6,MATCH($C69,Parametros_ANEC73!$A$4:$A$6,0))</f>
        <v>0</v>
      </c>
      <c r="S69" s="35" t="n">
        <f aca="false">INDEX(Parametros_ANEC73!$L$4:$L$6,MATCH($C69,Parametros_ANEC73!$A$4:$A$6,0))</f>
        <v>0</v>
      </c>
      <c r="T69" s="39" t="n">
        <f aca="false">INDEX(Parametros_ANEC73!$B$14:$B$25,MATCH($B69,Parametros_ANEC73!$A$14:$A$25,0))</f>
        <v>0</v>
      </c>
      <c r="U69" s="40" t="n">
        <f aca="false">IF(OR($D69=0,$G69=""),0,$D69*($T69/100)*($L69*$Q69+$N69*(IF($R69="",$Q69,$R69)-$Q69)+$P69*(IF($S69="",IF($R69="",$Q69,$R69),$S69)-IF($R69="",$Q69,$R69))))</f>
        <v>0</v>
      </c>
      <c r="V69" s="41" t="str">
        <f aca="false">IF(OR($D69=0,$G69=""),"",IF($H69*($E69-INDEX(Parametros_ANEC73!$M$4:$M$6,MATCH($C69,Parametros_ANEC73!$A$4:$A$6,0)))&gt;0,"Sim","Nao"))</f>
        <v/>
      </c>
      <c r="W69" s="27" t="str">
        <f aca="false">$A69&amp;"|"&amp;$B69&amp;"|"&amp;$C69</f>
        <v>Brejeiro|Nov|Umidade</v>
      </c>
    </row>
    <row r="70" customFormat="false" ht="15" hidden="false" customHeight="false" outlineLevel="0" collapsed="false">
      <c r="A70" s="27" t="s">
        <v>40</v>
      </c>
      <c r="B70" s="27" t="s">
        <v>68</v>
      </c>
      <c r="C70" s="27" t="s">
        <v>111</v>
      </c>
      <c r="D70" s="34" t="n">
        <f aca="false">SUMIFS(Media_Cliente_Mes!$C$2:$C$145,Media_Cliente_Mes!$A$2:$A$145,$A70,Media_Cliente_Mes!$B$2:$B$145,$B70)</f>
        <v>0</v>
      </c>
      <c r="E70" s="35" t="str">
        <f aca="false">IF($D70=0,"",IF($C70="Proteina",SUMIFS(Media_Cliente_Mes!$D$2:$D$145,Media_Cliente_Mes!$A$2:$A$145,$A70,Media_Cliente_Mes!$B$2:$B$145,$B70),IF($C70="Umidade",SUMIFS(Media_Cliente_Mes!$E$2:$E$145,Media_Cliente_Mes!$A$2:$A$145,$A70,Media_Cliente_Mes!$B$2:$B$145,$B70),SUMIFS(Media_Cliente_Mes!$F$2:$F$145,Media_Cliente_Mes!$A$2:$A$145,$A70,Media_Cliente_Mes!$B$2:$B$145,$B70))))</f>
        <v/>
      </c>
      <c r="F70" s="35" t="n">
        <f aca="false">INDEX(Parametros_ANEC73!$C$4:$C$6,MATCH($C70,Parametros_ANEC73!$A$4:$A$6,0))</f>
        <v>3.5</v>
      </c>
      <c r="G70" s="35" t="str">
        <f aca="false">IF($C70="Proteina",INDEX(Media_Pool_Mes!$C$2:$C$13,MATCH($B70,Media_Pool_Mes!$A$2:$A$13,0)),IF($C70="Umidade",INDEX(Media_Pool_Mes!$D$2:$D$13,MATCH($B70,Media_Pool_Mes!$A$2:$A$13,0)),INDEX(Media_Pool_Mes!$E$2:$E$13,MATCH($B70,Media_Pool_Mes!$A$2:$A$13,0))))</f>
        <v/>
      </c>
      <c r="H70" s="37" t="n">
        <f aca="false">INDEX(Parametros_ANEC73!$B$4:$B$6,MATCH($C70,Parametros_ANEC73!$A$4:$A$6,0))</f>
        <v>1</v>
      </c>
      <c r="I70" s="38" t="str">
        <f aca="false">IF(OR($D70=0,$G70=""),"",IF($H70*($G70-$F70)&gt;0,$G70,$F70))</f>
        <v/>
      </c>
      <c r="J70" s="27" t="str">
        <f aca="false">IF(OR($D70=0,$G70=""),"",IF($H70*($G70-$F70)&gt;0,"Sim","Nao"))</f>
        <v/>
      </c>
      <c r="K70" s="27" t="str">
        <f aca="false">IF(OR($D70=0,$G70=""),"",IF(AND($H70*($E70-$F70)&gt;0,$H70*($E70-$G70)&gt;0),"Sim","Nao"))</f>
        <v/>
      </c>
      <c r="L70" s="38" t="n">
        <f aca="false">IF(OR($D70=0,$G70=""),0,IF($K70="Sim",MAX(0,$H70*($E70-$I70)),0))</f>
        <v>0</v>
      </c>
      <c r="M70" s="35" t="n">
        <f aca="false">INDEX(Parametros_ANEC73!$G$4:$G$6,MATCH($C70,Parametros_ANEC73!$A$4:$A$6,0))</f>
        <v>3.8</v>
      </c>
      <c r="N70" s="38" t="n">
        <f aca="false">IF(OR($D70=0,$G70=""),0,IF(AND($K70="Sim",$M70&lt;&gt;""),MAX(0,$H70*($E70-$M70)),0))</f>
        <v>0</v>
      </c>
      <c r="O70" s="35" t="n">
        <f aca="false">INDEX(Parametros_ANEC73!$J$4:$J$6,MATCH($C70,Parametros_ANEC73!$A$4:$A$6,0))</f>
        <v>4</v>
      </c>
      <c r="P70" s="38" t="n">
        <f aca="false">IF(OR($D70=0,$G70=""),0,IF(AND($K70="Sim",$O70&lt;&gt;""),MAX(0,$H70*($E70-$O70)),0))</f>
        <v>0</v>
      </c>
      <c r="Q70" s="35" t="n">
        <f aca="false">INDEX(Parametros_ANEC73!$F$4:$F$6,MATCH($C70,Parametros_ANEC73!$A$4:$A$6,0))</f>
        <v>1</v>
      </c>
      <c r="R70" s="35" t="n">
        <f aca="false">INDEX(Parametros_ANEC73!$I$4:$I$6,MATCH($C70,Parametros_ANEC73!$A$4:$A$6,0))</f>
        <v>1.5</v>
      </c>
      <c r="S70" s="35" t="n">
        <f aca="false">INDEX(Parametros_ANEC73!$L$4:$L$6,MATCH($C70,Parametros_ANEC73!$A$4:$A$6,0))</f>
        <v>2</v>
      </c>
      <c r="T70" s="39" t="n">
        <f aca="false">INDEX(Parametros_ANEC73!$B$14:$B$25,MATCH($B70,Parametros_ANEC73!$A$14:$A$25,0))</f>
        <v>0</v>
      </c>
      <c r="U70" s="40" t="n">
        <f aca="false">IF(OR($D70=0,$G70=""),0,$D70*($T70/100)*($L70*$Q70+$N70*(IF($R70="",$Q70,$R70)-$Q70)+$P70*(IF($S70="",IF($R70="",$Q70,$R70),$S70)-IF($R70="",$Q70,$R70))))</f>
        <v>0</v>
      </c>
      <c r="V70" s="41" t="str">
        <f aca="false">IF(OR($D70=0,$G70=""),"",IF($H70*($E70-INDEX(Parametros_ANEC73!$M$4:$M$6,MATCH($C70,Parametros_ANEC73!$A$4:$A$6,0)))&gt;0,"Sim","Nao"))</f>
        <v/>
      </c>
      <c r="W70" s="27" t="str">
        <f aca="false">$A70&amp;"|"&amp;$B70&amp;"|"&amp;$C70</f>
        <v>Brejeiro|Nov|Fibra</v>
      </c>
    </row>
    <row r="71" customFormat="false" ht="15" hidden="false" customHeight="false" outlineLevel="0" collapsed="false">
      <c r="A71" s="27" t="s">
        <v>40</v>
      </c>
      <c r="B71" s="27" t="s">
        <v>69</v>
      </c>
      <c r="C71" s="27" t="s">
        <v>109</v>
      </c>
      <c r="D71" s="34" t="n">
        <f aca="false">SUMIFS(Media_Cliente_Mes!$C$2:$C$145,Media_Cliente_Mes!$A$2:$A$145,$A71,Media_Cliente_Mes!$B$2:$B$145,$B71)</f>
        <v>0</v>
      </c>
      <c r="E71" s="35" t="str">
        <f aca="false">IF($D71=0,"",IF($C71="Proteina",SUMIFS(Media_Cliente_Mes!$D$2:$D$145,Media_Cliente_Mes!$A$2:$A$145,$A71,Media_Cliente_Mes!$B$2:$B$145,$B71),IF($C71="Umidade",SUMIFS(Media_Cliente_Mes!$E$2:$E$145,Media_Cliente_Mes!$A$2:$A$145,$A71,Media_Cliente_Mes!$B$2:$B$145,$B71),SUMIFS(Media_Cliente_Mes!$F$2:$F$145,Media_Cliente_Mes!$A$2:$A$145,$A71,Media_Cliente_Mes!$B$2:$B$145,$B71))))</f>
        <v/>
      </c>
      <c r="F71" s="35" t="n">
        <f aca="false">INDEX(Parametros_ANEC73!$C$4:$C$6,MATCH($C71,Parametros_ANEC73!$A$4:$A$6,0))</f>
        <v>48</v>
      </c>
      <c r="G71" s="35" t="str">
        <f aca="false">IF($C71="Proteina",INDEX(Media_Pool_Mes!$C$2:$C$13,MATCH($B71,Media_Pool_Mes!$A$2:$A$13,0)),IF($C71="Umidade",INDEX(Media_Pool_Mes!$D$2:$D$13,MATCH($B71,Media_Pool_Mes!$A$2:$A$13,0)),INDEX(Media_Pool_Mes!$E$2:$E$13,MATCH($B71,Media_Pool_Mes!$A$2:$A$13,0))))</f>
        <v/>
      </c>
      <c r="H71" s="37" t="n">
        <f aca="false">INDEX(Parametros_ANEC73!$B$4:$B$6,MATCH($C71,Parametros_ANEC73!$A$4:$A$6,0))</f>
        <v>-1</v>
      </c>
      <c r="I71" s="38" t="str">
        <f aca="false">IF(OR($D71=0,$G71=""),"",IF($H71*($G71-$F71)&gt;0,$G71,$F71))</f>
        <v/>
      </c>
      <c r="J71" s="27" t="str">
        <f aca="false">IF(OR($D71=0,$G71=""),"",IF($H71*($G71-$F71)&gt;0,"Sim","Nao"))</f>
        <v/>
      </c>
      <c r="K71" s="27" t="str">
        <f aca="false">IF(OR($D71=0,$G71=""),"",IF(AND($H71*($E71-$F71)&gt;0,$H71*($E71-$G71)&gt;0),"Sim","Nao"))</f>
        <v/>
      </c>
      <c r="L71" s="38" t="n">
        <f aca="false">IF(OR($D71=0,$G71=""),0,IF($K71="Sim",MAX(0,$H71*($E71-$I71)),0))</f>
        <v>0</v>
      </c>
      <c r="M71" s="35" t="n">
        <f aca="false">INDEX(Parametros_ANEC73!$G$4:$G$6,MATCH($C71,Parametros_ANEC73!$A$4:$A$6,0))</f>
        <v>47</v>
      </c>
      <c r="N71" s="38" t="n">
        <f aca="false">IF(OR($D71=0,$G71=""),0,IF(AND($K71="Sim",$M71&lt;&gt;""),MAX(0,$H71*($E71-$M71)),0))</f>
        <v>0</v>
      </c>
      <c r="O71" s="35" t="n">
        <f aca="false">INDEX(Parametros_ANEC73!$J$4:$J$6,MATCH($C71,Parametros_ANEC73!$A$4:$A$6,0))</f>
        <v>0</v>
      </c>
      <c r="P71" s="38" t="n">
        <f aca="false">IF(OR($D71=0,$G71=""),0,IF(AND($K71="Sim",$O71&lt;&gt;""),MAX(0,$H71*($E71-$O71)),0))</f>
        <v>0</v>
      </c>
      <c r="Q71" s="35" t="n">
        <f aca="false">INDEX(Parametros_ANEC73!$F$4:$F$6,MATCH($C71,Parametros_ANEC73!$A$4:$A$6,0))</f>
        <v>1</v>
      </c>
      <c r="R71" s="35" t="n">
        <f aca="false">INDEX(Parametros_ANEC73!$I$4:$I$6,MATCH($C71,Parametros_ANEC73!$A$4:$A$6,0))</f>
        <v>2</v>
      </c>
      <c r="S71" s="35" t="n">
        <f aca="false">INDEX(Parametros_ANEC73!$L$4:$L$6,MATCH($C71,Parametros_ANEC73!$A$4:$A$6,0))</f>
        <v>0</v>
      </c>
      <c r="T71" s="39" t="n">
        <f aca="false">INDEX(Parametros_ANEC73!$B$14:$B$25,MATCH($B71,Parametros_ANEC73!$A$14:$A$25,0))</f>
        <v>0</v>
      </c>
      <c r="U71" s="40" t="n">
        <f aca="false">IF(OR($D71=0,$G71=""),0,$D71*($T71/100)*($L71*$Q71+$N71*(IF($R71="",$Q71,$R71)-$Q71)+$P71*(IF($S71="",IF($R71="",$Q71,$R71),$S71)-IF($R71="",$Q71,$R71))))</f>
        <v>0</v>
      </c>
      <c r="V71" s="41" t="str">
        <f aca="false">IF(OR($D71=0,$G71=""),"",IF($H71*($E71-INDEX(Parametros_ANEC73!$M$4:$M$6,MATCH($C71,Parametros_ANEC73!$A$4:$A$6,0)))&gt;0,"Sim","Nao"))</f>
        <v/>
      </c>
      <c r="W71" s="27" t="str">
        <f aca="false">$A71&amp;"|"&amp;$B71&amp;"|"&amp;$C71</f>
        <v>Brejeiro|Dez|Proteina</v>
      </c>
    </row>
    <row r="72" customFormat="false" ht="15" hidden="false" customHeight="false" outlineLevel="0" collapsed="false">
      <c r="A72" s="27" t="s">
        <v>40</v>
      </c>
      <c r="B72" s="27" t="s">
        <v>69</v>
      </c>
      <c r="C72" s="27" t="s">
        <v>110</v>
      </c>
      <c r="D72" s="34" t="n">
        <f aca="false">SUMIFS(Media_Cliente_Mes!$C$2:$C$145,Media_Cliente_Mes!$A$2:$A$145,$A72,Media_Cliente_Mes!$B$2:$B$145,$B72)</f>
        <v>0</v>
      </c>
      <c r="E72" s="35" t="str">
        <f aca="false">IF($D72=0,"",IF($C72="Proteina",SUMIFS(Media_Cliente_Mes!$D$2:$D$145,Media_Cliente_Mes!$A$2:$A$145,$A72,Media_Cliente_Mes!$B$2:$B$145,$B72),IF($C72="Umidade",SUMIFS(Media_Cliente_Mes!$E$2:$E$145,Media_Cliente_Mes!$A$2:$A$145,$A72,Media_Cliente_Mes!$B$2:$B$145,$B72),SUMIFS(Media_Cliente_Mes!$F$2:$F$145,Media_Cliente_Mes!$A$2:$A$145,$A72,Media_Cliente_Mes!$B$2:$B$145,$B72))))</f>
        <v/>
      </c>
      <c r="F72" s="35" t="n">
        <f aca="false">INDEX(Parametros_ANEC73!$C$4:$C$6,MATCH($C72,Parametros_ANEC73!$A$4:$A$6,0))</f>
        <v>12.5</v>
      </c>
      <c r="G72" s="35" t="str">
        <f aca="false">IF($C72="Proteina",INDEX(Media_Pool_Mes!$C$2:$C$13,MATCH($B72,Media_Pool_Mes!$A$2:$A$13,0)),IF($C72="Umidade",INDEX(Media_Pool_Mes!$D$2:$D$13,MATCH($B72,Media_Pool_Mes!$A$2:$A$13,0)),INDEX(Media_Pool_Mes!$E$2:$E$13,MATCH($B72,Media_Pool_Mes!$A$2:$A$13,0))))</f>
        <v/>
      </c>
      <c r="H72" s="37" t="n">
        <f aca="false">INDEX(Parametros_ANEC73!$B$4:$B$6,MATCH($C72,Parametros_ANEC73!$A$4:$A$6,0))</f>
        <v>1</v>
      </c>
      <c r="I72" s="38" t="str">
        <f aca="false">IF(OR($D72=0,$G72=""),"",IF($H72*($G72-$F72)&gt;0,$G72,$F72))</f>
        <v/>
      </c>
      <c r="J72" s="27" t="str">
        <f aca="false">IF(OR($D72=0,$G72=""),"",IF($H72*($G72-$F72)&gt;0,"Sim","Nao"))</f>
        <v/>
      </c>
      <c r="K72" s="27" t="str">
        <f aca="false">IF(OR($D72=0,$G72=""),"",IF(AND($H72*($E72-$F72)&gt;0,$H72*($E72-$G72)&gt;0),"Sim","Nao"))</f>
        <v/>
      </c>
      <c r="L72" s="38" t="n">
        <f aca="false">IF(OR($D72=0,$G72=""),0,IF($K72="Sim",MAX(0,$H72*($E72-$I72)),0))</f>
        <v>0</v>
      </c>
      <c r="M72" s="35" t="n">
        <f aca="false">INDEX(Parametros_ANEC73!$G$4:$G$6,MATCH($C72,Parametros_ANEC73!$A$4:$A$6,0))</f>
        <v>0</v>
      </c>
      <c r="N72" s="38" t="n">
        <f aca="false">IF(OR($D72=0,$G72=""),0,IF(AND($K72="Sim",$M72&lt;&gt;""),MAX(0,$H72*($E72-$M72)),0))</f>
        <v>0</v>
      </c>
      <c r="O72" s="35" t="n">
        <f aca="false">INDEX(Parametros_ANEC73!$J$4:$J$6,MATCH($C72,Parametros_ANEC73!$A$4:$A$6,0))</f>
        <v>0</v>
      </c>
      <c r="P72" s="38" t="n">
        <f aca="false">IF(OR($D72=0,$G72=""),0,IF(AND($K72="Sim",$O72&lt;&gt;""),MAX(0,$H72*($E72-$O72)),0))</f>
        <v>0</v>
      </c>
      <c r="Q72" s="35" t="n">
        <f aca="false">INDEX(Parametros_ANEC73!$F$4:$F$6,MATCH($C72,Parametros_ANEC73!$A$4:$A$6,0))</f>
        <v>1</v>
      </c>
      <c r="R72" s="35" t="n">
        <f aca="false">INDEX(Parametros_ANEC73!$I$4:$I$6,MATCH($C72,Parametros_ANEC73!$A$4:$A$6,0))</f>
        <v>0</v>
      </c>
      <c r="S72" s="35" t="n">
        <f aca="false">INDEX(Parametros_ANEC73!$L$4:$L$6,MATCH($C72,Parametros_ANEC73!$A$4:$A$6,0))</f>
        <v>0</v>
      </c>
      <c r="T72" s="39" t="n">
        <f aca="false">INDEX(Parametros_ANEC73!$B$14:$B$25,MATCH($B72,Parametros_ANEC73!$A$14:$A$25,0))</f>
        <v>0</v>
      </c>
      <c r="U72" s="40" t="n">
        <f aca="false">IF(OR($D72=0,$G72=""),0,$D72*($T72/100)*($L72*$Q72+$N72*(IF($R72="",$Q72,$R72)-$Q72)+$P72*(IF($S72="",IF($R72="",$Q72,$R72),$S72)-IF($R72="",$Q72,$R72))))</f>
        <v>0</v>
      </c>
      <c r="V72" s="41" t="str">
        <f aca="false">IF(OR($D72=0,$G72=""),"",IF($H72*($E72-INDEX(Parametros_ANEC73!$M$4:$M$6,MATCH($C72,Parametros_ANEC73!$A$4:$A$6,0)))&gt;0,"Sim","Nao"))</f>
        <v/>
      </c>
      <c r="W72" s="27" t="str">
        <f aca="false">$A72&amp;"|"&amp;$B72&amp;"|"&amp;$C72</f>
        <v>Brejeiro|Dez|Umidade</v>
      </c>
    </row>
    <row r="73" customFormat="false" ht="15" hidden="false" customHeight="false" outlineLevel="0" collapsed="false">
      <c r="A73" s="27" t="s">
        <v>40</v>
      </c>
      <c r="B73" s="27" t="s">
        <v>69</v>
      </c>
      <c r="C73" s="27" t="s">
        <v>111</v>
      </c>
      <c r="D73" s="34" t="n">
        <f aca="false">SUMIFS(Media_Cliente_Mes!$C$2:$C$145,Media_Cliente_Mes!$A$2:$A$145,$A73,Media_Cliente_Mes!$B$2:$B$145,$B73)</f>
        <v>0</v>
      </c>
      <c r="E73" s="35" t="str">
        <f aca="false">IF($D73=0,"",IF($C73="Proteina",SUMIFS(Media_Cliente_Mes!$D$2:$D$145,Media_Cliente_Mes!$A$2:$A$145,$A73,Media_Cliente_Mes!$B$2:$B$145,$B73),IF($C73="Umidade",SUMIFS(Media_Cliente_Mes!$E$2:$E$145,Media_Cliente_Mes!$A$2:$A$145,$A73,Media_Cliente_Mes!$B$2:$B$145,$B73),SUMIFS(Media_Cliente_Mes!$F$2:$F$145,Media_Cliente_Mes!$A$2:$A$145,$A73,Media_Cliente_Mes!$B$2:$B$145,$B73))))</f>
        <v/>
      </c>
      <c r="F73" s="35" t="n">
        <f aca="false">INDEX(Parametros_ANEC73!$C$4:$C$6,MATCH($C73,Parametros_ANEC73!$A$4:$A$6,0))</f>
        <v>3.5</v>
      </c>
      <c r="G73" s="35" t="str">
        <f aca="false">IF($C73="Proteina",INDEX(Media_Pool_Mes!$C$2:$C$13,MATCH($B73,Media_Pool_Mes!$A$2:$A$13,0)),IF($C73="Umidade",INDEX(Media_Pool_Mes!$D$2:$D$13,MATCH($B73,Media_Pool_Mes!$A$2:$A$13,0)),INDEX(Media_Pool_Mes!$E$2:$E$13,MATCH($B73,Media_Pool_Mes!$A$2:$A$13,0))))</f>
        <v/>
      </c>
      <c r="H73" s="37" t="n">
        <f aca="false">INDEX(Parametros_ANEC73!$B$4:$B$6,MATCH($C73,Parametros_ANEC73!$A$4:$A$6,0))</f>
        <v>1</v>
      </c>
      <c r="I73" s="38" t="str">
        <f aca="false">IF(OR($D73=0,$G73=""),"",IF($H73*($G73-$F73)&gt;0,$G73,$F73))</f>
        <v/>
      </c>
      <c r="J73" s="27" t="str">
        <f aca="false">IF(OR($D73=0,$G73=""),"",IF($H73*($G73-$F73)&gt;0,"Sim","Nao"))</f>
        <v/>
      </c>
      <c r="K73" s="27" t="str">
        <f aca="false">IF(OR($D73=0,$G73=""),"",IF(AND($H73*($E73-$F73)&gt;0,$H73*($E73-$G73)&gt;0),"Sim","Nao"))</f>
        <v/>
      </c>
      <c r="L73" s="38" t="n">
        <f aca="false">IF(OR($D73=0,$G73=""),0,IF($K73="Sim",MAX(0,$H73*($E73-$I73)),0))</f>
        <v>0</v>
      </c>
      <c r="M73" s="35" t="n">
        <f aca="false">INDEX(Parametros_ANEC73!$G$4:$G$6,MATCH($C73,Parametros_ANEC73!$A$4:$A$6,0))</f>
        <v>3.8</v>
      </c>
      <c r="N73" s="38" t="n">
        <f aca="false">IF(OR($D73=0,$G73=""),0,IF(AND($K73="Sim",$M73&lt;&gt;""),MAX(0,$H73*($E73-$M73)),0))</f>
        <v>0</v>
      </c>
      <c r="O73" s="35" t="n">
        <f aca="false">INDEX(Parametros_ANEC73!$J$4:$J$6,MATCH($C73,Parametros_ANEC73!$A$4:$A$6,0))</f>
        <v>4</v>
      </c>
      <c r="P73" s="38" t="n">
        <f aca="false">IF(OR($D73=0,$G73=""),0,IF(AND($K73="Sim",$O73&lt;&gt;""),MAX(0,$H73*($E73-$O73)),0))</f>
        <v>0</v>
      </c>
      <c r="Q73" s="35" t="n">
        <f aca="false">INDEX(Parametros_ANEC73!$F$4:$F$6,MATCH($C73,Parametros_ANEC73!$A$4:$A$6,0))</f>
        <v>1</v>
      </c>
      <c r="R73" s="35" t="n">
        <f aca="false">INDEX(Parametros_ANEC73!$I$4:$I$6,MATCH($C73,Parametros_ANEC73!$A$4:$A$6,0))</f>
        <v>1.5</v>
      </c>
      <c r="S73" s="35" t="n">
        <f aca="false">INDEX(Parametros_ANEC73!$L$4:$L$6,MATCH($C73,Parametros_ANEC73!$A$4:$A$6,0))</f>
        <v>2</v>
      </c>
      <c r="T73" s="39" t="n">
        <f aca="false">INDEX(Parametros_ANEC73!$B$14:$B$25,MATCH($B73,Parametros_ANEC73!$A$14:$A$25,0))</f>
        <v>0</v>
      </c>
      <c r="U73" s="40" t="n">
        <f aca="false">IF(OR($D73=0,$G73=""),0,$D73*($T73/100)*($L73*$Q73+$N73*(IF($R73="",$Q73,$R73)-$Q73)+$P73*(IF($S73="",IF($R73="",$Q73,$R73),$S73)-IF($R73="",$Q73,$R73))))</f>
        <v>0</v>
      </c>
      <c r="V73" s="41" t="str">
        <f aca="false">IF(OR($D73=0,$G73=""),"",IF($H73*($E73-INDEX(Parametros_ANEC73!$M$4:$M$6,MATCH($C73,Parametros_ANEC73!$A$4:$A$6,0)))&gt;0,"Sim","Nao"))</f>
        <v/>
      </c>
      <c r="W73" s="27" t="str">
        <f aca="false">$A73&amp;"|"&amp;$B73&amp;"|"&amp;$C73</f>
        <v>Brejeiro|Dez|Fibra</v>
      </c>
    </row>
    <row r="74" customFormat="false" ht="15" hidden="false" customHeight="false" outlineLevel="0" collapsed="false">
      <c r="A74" s="27" t="s">
        <v>41</v>
      </c>
      <c r="B74" s="27" t="s">
        <v>38</v>
      </c>
      <c r="C74" s="27" t="s">
        <v>109</v>
      </c>
      <c r="D74" s="34" t="n">
        <f aca="false">SUMIFS(Media_Cliente_Mes!$C$2:$C$145,Media_Cliente_Mes!$A$2:$A$145,$A74,Media_Cliente_Mes!$B$2:$B$145,$B74)</f>
        <v>18891.74</v>
      </c>
      <c r="E74" s="35" t="n">
        <f aca="false">IF($D74=0,"",IF($C74="Proteina",SUMIFS(Media_Cliente_Mes!$D$2:$D$145,Media_Cliente_Mes!$A$2:$A$145,$A74,Media_Cliente_Mes!$B$2:$B$145,$B74),IF($C74="Umidade",SUMIFS(Media_Cliente_Mes!$E$2:$E$145,Media_Cliente_Mes!$A$2:$A$145,$A74,Media_Cliente_Mes!$B$2:$B$145,$B74),SUMIFS(Media_Cliente_Mes!$F$2:$F$145,Media_Cliente_Mes!$A$2:$A$145,$A74,Media_Cliente_Mes!$B$2:$B$145,$B74))))</f>
        <v>47.9859376743487</v>
      </c>
      <c r="F74" s="35" t="n">
        <f aca="false">INDEX(Parametros_ANEC73!$C$4:$C$6,MATCH($C74,Parametros_ANEC73!$A$4:$A$6,0))</f>
        <v>48</v>
      </c>
      <c r="G74" s="35" t="n">
        <f aca="false">IF($C74="Proteina",INDEX(Media_Pool_Mes!$C$2:$C$13,MATCH($B74,Media_Pool_Mes!$A$2:$A$13,0)),IF($C74="Umidade",INDEX(Media_Pool_Mes!$D$2:$D$13,MATCH($B74,Media_Pool_Mes!$A$2:$A$13,0)),INDEX(Media_Pool_Mes!$E$2:$E$13,MATCH($B74,Media_Pool_Mes!$A$2:$A$13,0))))</f>
        <v>47.8154367670349</v>
      </c>
      <c r="H74" s="37" t="n">
        <f aca="false">INDEX(Parametros_ANEC73!$B$4:$B$6,MATCH($C74,Parametros_ANEC73!$A$4:$A$6,0))</f>
        <v>-1</v>
      </c>
      <c r="I74" s="38" t="n">
        <f aca="false">IF(OR($D74=0,$G74=""),"",IF($H74*($G74-$F74)&gt;0,$G74,$F74))</f>
        <v>47.8154367670349</v>
      </c>
      <c r="J74" s="27" t="str">
        <f aca="false">IF(OR($D74=0,$G74=""),"",IF($H74*($G74-$F74)&gt;0,"Sim","Nao"))</f>
        <v>Sim</v>
      </c>
      <c r="K74" s="27" t="str">
        <f aca="false">IF(OR($D74=0,$G74=""),"",IF(AND($H74*($E74-$F74)&gt;0,$H74*($E74-$G74)&gt;0),"Sim","Nao"))</f>
        <v>Nao</v>
      </c>
      <c r="L74" s="38" t="n">
        <f aca="false">IF(OR($D74=0,$G74=""),0,IF($K74="Sim",MAX(0,$H74*($E74-$I74)),0))</f>
        <v>0</v>
      </c>
      <c r="M74" s="35" t="n">
        <f aca="false">INDEX(Parametros_ANEC73!$G$4:$G$6,MATCH($C74,Parametros_ANEC73!$A$4:$A$6,0))</f>
        <v>47</v>
      </c>
      <c r="N74" s="38" t="n">
        <f aca="false">IF(OR($D74=0,$G74=""),0,IF(AND($K74="Sim",$M74&lt;&gt;""),MAX(0,$H74*($E74-$M74)),0))</f>
        <v>0</v>
      </c>
      <c r="O74" s="35" t="n">
        <f aca="false">INDEX(Parametros_ANEC73!$J$4:$J$6,MATCH($C74,Parametros_ANEC73!$A$4:$A$6,0))</f>
        <v>0</v>
      </c>
      <c r="P74" s="38" t="n">
        <f aca="false">IF(OR($D74=0,$G74=""),0,IF(AND($K74="Sim",$O74&lt;&gt;""),MAX(0,$H74*($E74-$O74)),0))</f>
        <v>0</v>
      </c>
      <c r="Q74" s="35" t="n">
        <f aca="false">INDEX(Parametros_ANEC73!$F$4:$F$6,MATCH($C74,Parametros_ANEC73!$A$4:$A$6,0))</f>
        <v>1</v>
      </c>
      <c r="R74" s="35" t="n">
        <f aca="false">INDEX(Parametros_ANEC73!$I$4:$I$6,MATCH($C74,Parametros_ANEC73!$A$4:$A$6,0))</f>
        <v>2</v>
      </c>
      <c r="S74" s="35" t="n">
        <f aca="false">INDEX(Parametros_ANEC73!$L$4:$L$6,MATCH($C74,Parametros_ANEC73!$A$4:$A$6,0))</f>
        <v>0</v>
      </c>
      <c r="T74" s="39" t="n">
        <f aca="false">INDEX(Parametros_ANEC73!$B$14:$B$25,MATCH($B74,Parametros_ANEC73!$A$14:$A$25,0))</f>
        <v>386</v>
      </c>
      <c r="U74" s="40" t="n">
        <f aca="false">IF(OR($D74=0,$G74=""),0,$D74*($T74/100)*($L74*$Q74+$N74*(IF($R74="",$Q74,$R74)-$Q74)+$P74*(IF($S74="",IF($R74="",$Q74,$R74),$S74)-IF($R74="",$Q74,$R74))))</f>
        <v>0</v>
      </c>
      <c r="V74" s="41" t="str">
        <f aca="false">IF(OR($D74=0,$G74=""),"",IF($H74*($E74-INDEX(Parametros_ANEC73!$M$4:$M$6,MATCH($C74,Parametros_ANEC73!$A$4:$A$6,0)))&gt;0,"Sim","Nao"))</f>
        <v>Nao</v>
      </c>
      <c r="W74" s="27" t="str">
        <f aca="false">$A74&amp;"|"&amp;$B74&amp;"|"&amp;$C74</f>
        <v>Caramuru|Jan|Proteina</v>
      </c>
    </row>
    <row r="75" customFormat="false" ht="15" hidden="false" customHeight="false" outlineLevel="0" collapsed="false">
      <c r="A75" s="27" t="s">
        <v>41</v>
      </c>
      <c r="B75" s="27" t="s">
        <v>38</v>
      </c>
      <c r="C75" s="27" t="s">
        <v>110</v>
      </c>
      <c r="D75" s="34" t="n">
        <f aca="false">SUMIFS(Media_Cliente_Mes!$C$2:$C$145,Media_Cliente_Mes!$A$2:$A$145,$A75,Media_Cliente_Mes!$B$2:$B$145,$B75)</f>
        <v>18891.74</v>
      </c>
      <c r="E75" s="35" t="n">
        <f aca="false">IF($D75=0,"",IF($C75="Proteina",SUMIFS(Media_Cliente_Mes!$D$2:$D$145,Media_Cliente_Mes!$A$2:$A$145,$A75,Media_Cliente_Mes!$B$2:$B$145,$B75),IF($C75="Umidade",SUMIFS(Media_Cliente_Mes!$E$2:$E$145,Media_Cliente_Mes!$A$2:$A$145,$A75,Media_Cliente_Mes!$B$2:$B$145,$B75),SUMIFS(Media_Cliente_Mes!$F$2:$F$145,Media_Cliente_Mes!$A$2:$A$145,$A75,Media_Cliente_Mes!$B$2:$B$145,$B75))))</f>
        <v>12.4164668156559</v>
      </c>
      <c r="F75" s="35" t="n">
        <f aca="false">INDEX(Parametros_ANEC73!$C$4:$C$6,MATCH($C75,Parametros_ANEC73!$A$4:$A$6,0))</f>
        <v>12.5</v>
      </c>
      <c r="G75" s="35" t="n">
        <f aca="false">IF($C75="Proteina",INDEX(Media_Pool_Mes!$C$2:$C$13,MATCH($B75,Media_Pool_Mes!$A$2:$A$13,0)),IF($C75="Umidade",INDEX(Media_Pool_Mes!$D$2:$D$13,MATCH($B75,Media_Pool_Mes!$A$2:$A$13,0)),INDEX(Media_Pool_Mes!$E$2:$E$13,MATCH($B75,Media_Pool_Mes!$A$2:$A$13,0))))</f>
        <v>12.076727887935</v>
      </c>
      <c r="H75" s="37" t="n">
        <f aca="false">INDEX(Parametros_ANEC73!$B$4:$B$6,MATCH($C75,Parametros_ANEC73!$A$4:$A$6,0))</f>
        <v>1</v>
      </c>
      <c r="I75" s="38" t="n">
        <f aca="false">IF(OR($D75=0,$G75=""),"",IF($H75*($G75-$F75)&gt;0,$G75,$F75))</f>
        <v>12.5</v>
      </c>
      <c r="J75" s="27" t="str">
        <f aca="false">IF(OR($D75=0,$G75=""),"",IF($H75*($G75-$F75)&gt;0,"Sim","Nao"))</f>
        <v>Nao</v>
      </c>
      <c r="K75" s="27" t="str">
        <f aca="false">IF(OR($D75=0,$G75=""),"",IF(AND($H75*($E75-$F75)&gt;0,$H75*($E75-$G75)&gt;0),"Sim","Nao"))</f>
        <v>Nao</v>
      </c>
      <c r="L75" s="38" t="n">
        <f aca="false">IF(OR($D75=0,$G75=""),0,IF($K75="Sim",MAX(0,$H75*($E75-$I75)),0))</f>
        <v>0</v>
      </c>
      <c r="M75" s="35" t="n">
        <f aca="false">INDEX(Parametros_ANEC73!$G$4:$G$6,MATCH($C75,Parametros_ANEC73!$A$4:$A$6,0))</f>
        <v>0</v>
      </c>
      <c r="N75" s="38" t="n">
        <f aca="false">IF(OR($D75=0,$G75=""),0,IF(AND($K75="Sim",$M75&lt;&gt;""),MAX(0,$H75*($E75-$M75)),0))</f>
        <v>0</v>
      </c>
      <c r="O75" s="35" t="n">
        <f aca="false">INDEX(Parametros_ANEC73!$J$4:$J$6,MATCH($C75,Parametros_ANEC73!$A$4:$A$6,0))</f>
        <v>0</v>
      </c>
      <c r="P75" s="38" t="n">
        <f aca="false">IF(OR($D75=0,$G75=""),0,IF(AND($K75="Sim",$O75&lt;&gt;""),MAX(0,$H75*($E75-$O75)),0))</f>
        <v>0</v>
      </c>
      <c r="Q75" s="35" t="n">
        <f aca="false">INDEX(Parametros_ANEC73!$F$4:$F$6,MATCH($C75,Parametros_ANEC73!$A$4:$A$6,0))</f>
        <v>1</v>
      </c>
      <c r="R75" s="35" t="n">
        <f aca="false">INDEX(Parametros_ANEC73!$I$4:$I$6,MATCH($C75,Parametros_ANEC73!$A$4:$A$6,0))</f>
        <v>0</v>
      </c>
      <c r="S75" s="35" t="n">
        <f aca="false">INDEX(Parametros_ANEC73!$L$4:$L$6,MATCH($C75,Parametros_ANEC73!$A$4:$A$6,0))</f>
        <v>0</v>
      </c>
      <c r="T75" s="39" t="n">
        <f aca="false">INDEX(Parametros_ANEC73!$B$14:$B$25,MATCH($B75,Parametros_ANEC73!$A$14:$A$25,0))</f>
        <v>386</v>
      </c>
      <c r="U75" s="40" t="n">
        <f aca="false">IF(OR($D75=0,$G75=""),0,$D75*($T75/100)*($L75*$Q75+$N75*(IF($R75="",$Q75,$R75)-$Q75)+$P75*(IF($S75="",IF($R75="",$Q75,$R75),$S75)-IF($R75="",$Q75,$R75))))</f>
        <v>0</v>
      </c>
      <c r="V75" s="41" t="str">
        <f aca="false">IF(OR($D75=0,$G75=""),"",IF($H75*($E75-INDEX(Parametros_ANEC73!$M$4:$M$6,MATCH($C75,Parametros_ANEC73!$A$4:$A$6,0)))&gt;0,"Sim","Nao"))</f>
        <v>Nao</v>
      </c>
      <c r="W75" s="27" t="str">
        <f aca="false">$A75&amp;"|"&amp;$B75&amp;"|"&amp;$C75</f>
        <v>Caramuru|Jan|Umidade</v>
      </c>
    </row>
    <row r="76" customFormat="false" ht="15" hidden="false" customHeight="false" outlineLevel="0" collapsed="false">
      <c r="A76" s="27" t="s">
        <v>41</v>
      </c>
      <c r="B76" s="27" t="s">
        <v>38</v>
      </c>
      <c r="C76" s="27" t="s">
        <v>111</v>
      </c>
      <c r="D76" s="34" t="n">
        <f aca="false">SUMIFS(Media_Cliente_Mes!$C$2:$C$145,Media_Cliente_Mes!$A$2:$A$145,$A76,Media_Cliente_Mes!$B$2:$B$145,$B76)</f>
        <v>18891.74</v>
      </c>
      <c r="E76" s="35" t="n">
        <f aca="false">IF($D76=0,"",IF($C76="Proteina",SUMIFS(Media_Cliente_Mes!$D$2:$D$145,Media_Cliente_Mes!$A$2:$A$145,$A76,Media_Cliente_Mes!$B$2:$B$145,$B76),IF($C76="Umidade",SUMIFS(Media_Cliente_Mes!$E$2:$E$145,Media_Cliente_Mes!$A$2:$A$145,$A76,Media_Cliente_Mes!$B$2:$B$145,$B76),SUMIFS(Media_Cliente_Mes!$F$2:$F$145,Media_Cliente_Mes!$A$2:$A$145,$A76,Media_Cliente_Mes!$B$2:$B$145,$B76))))</f>
        <v>3.37654047747852</v>
      </c>
      <c r="F76" s="35" t="n">
        <f aca="false">INDEX(Parametros_ANEC73!$C$4:$C$6,MATCH($C76,Parametros_ANEC73!$A$4:$A$6,0))</f>
        <v>3.5</v>
      </c>
      <c r="G76" s="35" t="n">
        <f aca="false">IF($C76="Proteina",INDEX(Media_Pool_Mes!$C$2:$C$13,MATCH($B76,Media_Pool_Mes!$A$2:$A$13,0)),IF($C76="Umidade",INDEX(Media_Pool_Mes!$D$2:$D$13,MATCH($B76,Media_Pool_Mes!$A$2:$A$13,0)),INDEX(Media_Pool_Mes!$E$2:$E$13,MATCH($B76,Media_Pool_Mes!$A$2:$A$13,0))))</f>
        <v>3.51752485295922</v>
      </c>
      <c r="H76" s="37" t="n">
        <f aca="false">INDEX(Parametros_ANEC73!$B$4:$B$6,MATCH($C76,Parametros_ANEC73!$A$4:$A$6,0))</f>
        <v>1</v>
      </c>
      <c r="I76" s="38" t="n">
        <f aca="false">IF(OR($D76=0,$G76=""),"",IF($H76*($G76-$F76)&gt;0,$G76,$F76))</f>
        <v>3.51752485295922</v>
      </c>
      <c r="J76" s="27" t="str">
        <f aca="false">IF(OR($D76=0,$G76=""),"",IF($H76*($G76-$F76)&gt;0,"Sim","Nao"))</f>
        <v>Sim</v>
      </c>
      <c r="K76" s="27" t="str">
        <f aca="false">IF(OR($D76=0,$G76=""),"",IF(AND($H76*($E76-$F76)&gt;0,$H76*($E76-$G76)&gt;0),"Sim","Nao"))</f>
        <v>Nao</v>
      </c>
      <c r="L76" s="38" t="n">
        <f aca="false">IF(OR($D76=0,$G76=""),0,IF($K76="Sim",MAX(0,$H76*($E76-$I76)),0))</f>
        <v>0</v>
      </c>
      <c r="M76" s="35" t="n">
        <f aca="false">INDEX(Parametros_ANEC73!$G$4:$G$6,MATCH($C76,Parametros_ANEC73!$A$4:$A$6,0))</f>
        <v>3.8</v>
      </c>
      <c r="N76" s="38" t="n">
        <f aca="false">IF(OR($D76=0,$G76=""),0,IF(AND($K76="Sim",$M76&lt;&gt;""),MAX(0,$H76*($E76-$M76)),0))</f>
        <v>0</v>
      </c>
      <c r="O76" s="35" t="n">
        <f aca="false">INDEX(Parametros_ANEC73!$J$4:$J$6,MATCH($C76,Parametros_ANEC73!$A$4:$A$6,0))</f>
        <v>4</v>
      </c>
      <c r="P76" s="38" t="n">
        <f aca="false">IF(OR($D76=0,$G76=""),0,IF(AND($K76="Sim",$O76&lt;&gt;""),MAX(0,$H76*($E76-$O76)),0))</f>
        <v>0</v>
      </c>
      <c r="Q76" s="35" t="n">
        <f aca="false">INDEX(Parametros_ANEC73!$F$4:$F$6,MATCH($C76,Parametros_ANEC73!$A$4:$A$6,0))</f>
        <v>1</v>
      </c>
      <c r="R76" s="35" t="n">
        <f aca="false">INDEX(Parametros_ANEC73!$I$4:$I$6,MATCH($C76,Parametros_ANEC73!$A$4:$A$6,0))</f>
        <v>1.5</v>
      </c>
      <c r="S76" s="35" t="n">
        <f aca="false">INDEX(Parametros_ANEC73!$L$4:$L$6,MATCH($C76,Parametros_ANEC73!$A$4:$A$6,0))</f>
        <v>2</v>
      </c>
      <c r="T76" s="39" t="n">
        <f aca="false">INDEX(Parametros_ANEC73!$B$14:$B$25,MATCH($B76,Parametros_ANEC73!$A$14:$A$25,0))</f>
        <v>386</v>
      </c>
      <c r="U76" s="40" t="n">
        <f aca="false">IF(OR($D76=0,$G76=""),0,$D76*($T76/100)*($L76*$Q76+$N76*(IF($R76="",$Q76,$R76)-$Q76)+$P76*(IF($S76="",IF($R76="",$Q76,$R76),$S76)-IF($R76="",$Q76,$R76))))</f>
        <v>0</v>
      </c>
      <c r="V76" s="41" t="str">
        <f aca="false">IF(OR($D76=0,$G76=""),"",IF($H76*($E76-INDEX(Parametros_ANEC73!$M$4:$M$6,MATCH($C76,Parametros_ANEC73!$A$4:$A$6,0)))&gt;0,"Sim","Nao"))</f>
        <v>Nao</v>
      </c>
      <c r="W76" s="27" t="str">
        <f aca="false">$A76&amp;"|"&amp;$B76&amp;"|"&amp;$C76</f>
        <v>Caramuru|Jan|Fibra</v>
      </c>
    </row>
    <row r="77" customFormat="false" ht="15" hidden="false" customHeight="false" outlineLevel="0" collapsed="false">
      <c r="A77" s="27" t="s">
        <v>41</v>
      </c>
      <c r="B77" s="27" t="s">
        <v>59</v>
      </c>
      <c r="C77" s="27" t="s">
        <v>109</v>
      </c>
      <c r="D77" s="34" t="n">
        <f aca="false">SUMIFS(Media_Cliente_Mes!$C$2:$C$145,Media_Cliente_Mes!$A$2:$A$145,$A77,Media_Cliente_Mes!$B$2:$B$145,$B77)</f>
        <v>9485.48</v>
      </c>
      <c r="E77" s="35" t="n">
        <f aca="false">IF($D77=0,"",IF($C77="Proteina",SUMIFS(Media_Cliente_Mes!$D$2:$D$145,Media_Cliente_Mes!$A$2:$A$145,$A77,Media_Cliente_Mes!$B$2:$B$145,$B77),IF($C77="Umidade",SUMIFS(Media_Cliente_Mes!$E$2:$E$145,Media_Cliente_Mes!$A$2:$A$145,$A77,Media_Cliente_Mes!$B$2:$B$145,$B77),SUMIFS(Media_Cliente_Mes!$F$2:$F$145,Media_Cliente_Mes!$A$2:$A$145,$A77,Media_Cliente_Mes!$B$2:$B$145,$B77))))</f>
        <v>47.2086670258121</v>
      </c>
      <c r="F77" s="35" t="n">
        <f aca="false">INDEX(Parametros_ANEC73!$C$4:$C$6,MATCH($C77,Parametros_ANEC73!$A$4:$A$6,0))</f>
        <v>48</v>
      </c>
      <c r="G77" s="35" t="n">
        <f aca="false">IF($C77="Proteina",INDEX(Media_Pool_Mes!$C$2:$C$13,MATCH($B77,Media_Pool_Mes!$A$2:$A$13,0)),IF($C77="Umidade",INDEX(Media_Pool_Mes!$D$2:$D$13,MATCH($B77,Media_Pool_Mes!$A$2:$A$13,0)),INDEX(Media_Pool_Mes!$E$2:$E$13,MATCH($B77,Media_Pool_Mes!$A$2:$A$13,0))))</f>
        <v>47.3405726705791</v>
      </c>
      <c r="H77" s="37" t="n">
        <f aca="false">INDEX(Parametros_ANEC73!$B$4:$B$6,MATCH($C77,Parametros_ANEC73!$A$4:$A$6,0))</f>
        <v>-1</v>
      </c>
      <c r="I77" s="38" t="n">
        <f aca="false">IF(OR($D77=0,$G77=""),"",IF($H77*($G77-$F77)&gt;0,$G77,$F77))</f>
        <v>47.3405726705791</v>
      </c>
      <c r="J77" s="27" t="str">
        <f aca="false">IF(OR($D77=0,$G77=""),"",IF($H77*($G77-$F77)&gt;0,"Sim","Nao"))</f>
        <v>Sim</v>
      </c>
      <c r="K77" s="27" t="str">
        <f aca="false">IF(OR($D77=0,$G77=""),"",IF(AND($H77*($E77-$F77)&gt;0,$H77*($E77-$G77)&gt;0),"Sim","Nao"))</f>
        <v>Sim</v>
      </c>
      <c r="L77" s="38" t="n">
        <f aca="false">IF(OR($D77=0,$G77=""),0,IF($K77="Sim",MAX(0,$H77*($E77-$I77)),0))</f>
        <v>0.131905644767024</v>
      </c>
      <c r="M77" s="35" t="n">
        <f aca="false">INDEX(Parametros_ANEC73!$G$4:$G$6,MATCH($C77,Parametros_ANEC73!$A$4:$A$6,0))</f>
        <v>47</v>
      </c>
      <c r="N77" s="38" t="n">
        <f aca="false">IF(OR($D77=0,$G77=""),0,IF(AND($K77="Sim",$M77&lt;&gt;""),MAX(0,$H77*($E77-$M77)),0))</f>
        <v>0</v>
      </c>
      <c r="O77" s="35" t="n">
        <f aca="false">INDEX(Parametros_ANEC73!$J$4:$J$6,MATCH($C77,Parametros_ANEC73!$A$4:$A$6,0))</f>
        <v>0</v>
      </c>
      <c r="P77" s="38" t="n">
        <f aca="false">IF(OR($D77=0,$G77=""),0,IF(AND($K77="Sim",$O77&lt;&gt;""),MAX(0,$H77*($E77-$O77)),0))</f>
        <v>0</v>
      </c>
      <c r="Q77" s="35" t="n">
        <f aca="false">INDEX(Parametros_ANEC73!$F$4:$F$6,MATCH($C77,Parametros_ANEC73!$A$4:$A$6,0))</f>
        <v>1</v>
      </c>
      <c r="R77" s="35" t="n">
        <f aca="false">INDEX(Parametros_ANEC73!$I$4:$I$6,MATCH($C77,Parametros_ANEC73!$A$4:$A$6,0))</f>
        <v>2</v>
      </c>
      <c r="S77" s="35" t="n">
        <f aca="false">INDEX(Parametros_ANEC73!$L$4:$L$6,MATCH($C77,Parametros_ANEC73!$A$4:$A$6,0))</f>
        <v>0</v>
      </c>
      <c r="T77" s="39" t="n">
        <f aca="false">INDEX(Parametros_ANEC73!$B$14:$B$25,MATCH($B77,Parametros_ANEC73!$A$14:$A$25,0))</f>
        <v>391</v>
      </c>
      <c r="U77" s="40" t="n">
        <f aca="false">IF(OR($D77=0,$G77=""),0,$D77*($T77/100)*($L77*$Q77+$N77*(IF($R77="",$Q77,$R77)-$Q77)+$P77*(IF($S77="",IF($R77="",$Q77,$R77),$S77)-IF($R77="",$Q77,$R77))))</f>
        <v>4892.1464693196</v>
      </c>
      <c r="V77" s="41" t="str">
        <f aca="false">IF(OR($D77=0,$G77=""),"",IF($H77*($E77-INDEX(Parametros_ANEC73!$M$4:$M$6,MATCH($C77,Parametros_ANEC73!$A$4:$A$6,0)))&gt;0,"Sim","Nao"))</f>
        <v>Nao</v>
      </c>
      <c r="W77" s="27" t="str">
        <f aca="false">$A77&amp;"|"&amp;$B77&amp;"|"&amp;$C77</f>
        <v>Caramuru|Fev|Proteina</v>
      </c>
    </row>
    <row r="78" customFormat="false" ht="15" hidden="false" customHeight="false" outlineLevel="0" collapsed="false">
      <c r="A78" s="27" t="s">
        <v>41</v>
      </c>
      <c r="B78" s="27" t="s">
        <v>59</v>
      </c>
      <c r="C78" s="27" t="s">
        <v>110</v>
      </c>
      <c r="D78" s="34" t="n">
        <f aca="false">SUMIFS(Media_Cliente_Mes!$C$2:$C$145,Media_Cliente_Mes!$A$2:$A$145,$A78,Media_Cliente_Mes!$B$2:$B$145,$B78)</f>
        <v>9485.48</v>
      </c>
      <c r="E78" s="35" t="n">
        <f aca="false">IF($D78=0,"",IF($C78="Proteina",SUMIFS(Media_Cliente_Mes!$D$2:$D$145,Media_Cliente_Mes!$A$2:$A$145,$A78,Media_Cliente_Mes!$B$2:$B$145,$B78),IF($C78="Umidade",SUMIFS(Media_Cliente_Mes!$E$2:$E$145,Media_Cliente_Mes!$A$2:$A$145,$A78,Media_Cliente_Mes!$B$2:$B$145,$B78),SUMIFS(Media_Cliente_Mes!$F$2:$F$145,Media_Cliente_Mes!$A$2:$A$145,$A78,Media_Cliente_Mes!$B$2:$B$145,$B78))))</f>
        <v>12.7192715392368</v>
      </c>
      <c r="F78" s="35" t="n">
        <f aca="false">INDEX(Parametros_ANEC73!$C$4:$C$6,MATCH($C78,Parametros_ANEC73!$A$4:$A$6,0))</f>
        <v>12.5</v>
      </c>
      <c r="G78" s="35" t="n">
        <f aca="false">IF($C78="Proteina",INDEX(Media_Pool_Mes!$C$2:$C$13,MATCH($B78,Media_Pool_Mes!$A$2:$A$13,0)),IF($C78="Umidade",INDEX(Media_Pool_Mes!$D$2:$D$13,MATCH($B78,Media_Pool_Mes!$A$2:$A$13,0)),INDEX(Media_Pool_Mes!$E$2:$E$13,MATCH($B78,Media_Pool_Mes!$A$2:$A$13,0))))</f>
        <v>12.2454829634779</v>
      </c>
      <c r="H78" s="37" t="n">
        <f aca="false">INDEX(Parametros_ANEC73!$B$4:$B$6,MATCH($C78,Parametros_ANEC73!$A$4:$A$6,0))</f>
        <v>1</v>
      </c>
      <c r="I78" s="38" t="n">
        <f aca="false">IF(OR($D78=0,$G78=""),"",IF($H78*($G78-$F78)&gt;0,$G78,$F78))</f>
        <v>12.5</v>
      </c>
      <c r="J78" s="27" t="str">
        <f aca="false">IF(OR($D78=0,$G78=""),"",IF($H78*($G78-$F78)&gt;0,"Sim","Nao"))</f>
        <v>Nao</v>
      </c>
      <c r="K78" s="27" t="str">
        <f aca="false">IF(OR($D78=0,$G78=""),"",IF(AND($H78*($E78-$F78)&gt;0,$H78*($E78-$G78)&gt;0),"Sim","Nao"))</f>
        <v>Sim</v>
      </c>
      <c r="L78" s="38" t="n">
        <f aca="false">IF(OR($D78=0,$G78=""),0,IF($K78="Sim",MAX(0,$H78*($E78-$I78)),0))</f>
        <v>0.219271539236814</v>
      </c>
      <c r="M78" s="35" t="n">
        <f aca="false">INDEX(Parametros_ANEC73!$G$4:$G$6,MATCH($C78,Parametros_ANEC73!$A$4:$A$6,0))</f>
        <v>0</v>
      </c>
      <c r="N78" s="38" t="n">
        <f aca="false">IF(OR($D78=0,$G78=""),0,IF(AND($K78="Sim",$M78&lt;&gt;""),MAX(0,$H78*($E78-$M78)),0))</f>
        <v>0</v>
      </c>
      <c r="O78" s="35" t="n">
        <f aca="false">INDEX(Parametros_ANEC73!$J$4:$J$6,MATCH($C78,Parametros_ANEC73!$A$4:$A$6,0))</f>
        <v>0</v>
      </c>
      <c r="P78" s="38" t="n">
        <f aca="false">IF(OR($D78=0,$G78=""),0,IF(AND($K78="Sim",$O78&lt;&gt;""),MAX(0,$H78*($E78-$O78)),0))</f>
        <v>0</v>
      </c>
      <c r="Q78" s="35" t="n">
        <f aca="false">INDEX(Parametros_ANEC73!$F$4:$F$6,MATCH($C78,Parametros_ANEC73!$A$4:$A$6,0))</f>
        <v>1</v>
      </c>
      <c r="R78" s="35" t="n">
        <f aca="false">INDEX(Parametros_ANEC73!$I$4:$I$6,MATCH($C78,Parametros_ANEC73!$A$4:$A$6,0))</f>
        <v>0</v>
      </c>
      <c r="S78" s="35" t="n">
        <f aca="false">INDEX(Parametros_ANEC73!$L$4:$L$6,MATCH($C78,Parametros_ANEC73!$A$4:$A$6,0))</f>
        <v>0</v>
      </c>
      <c r="T78" s="39" t="n">
        <f aca="false">INDEX(Parametros_ANEC73!$B$14:$B$25,MATCH($B78,Parametros_ANEC73!$A$14:$A$25,0))</f>
        <v>391</v>
      </c>
      <c r="U78" s="40" t="n">
        <f aca="false">IF(OR($D78=0,$G78=""),0,$D78*($T78/100)*($L78*$Q78+$N78*(IF($R78="",$Q78,$R78)-$Q78)+$P78*(IF($S78="",IF($R78="",$Q78,$R78),$S78)-IF($R78="",$Q78,$R78))))</f>
        <v>8132.39257800007</v>
      </c>
      <c r="V78" s="41" t="str">
        <f aca="false">IF(OR($D78=0,$G78=""),"",IF($H78*($E78-INDEX(Parametros_ANEC73!$M$4:$M$6,MATCH($C78,Parametros_ANEC73!$A$4:$A$6,0)))&gt;0,"Sim","Nao"))</f>
        <v>Nao</v>
      </c>
      <c r="W78" s="27" t="str">
        <f aca="false">$A78&amp;"|"&amp;$B78&amp;"|"&amp;$C78</f>
        <v>Caramuru|Fev|Umidade</v>
      </c>
    </row>
    <row r="79" customFormat="false" ht="15" hidden="false" customHeight="false" outlineLevel="0" collapsed="false">
      <c r="A79" s="27" t="s">
        <v>41</v>
      </c>
      <c r="B79" s="27" t="s">
        <v>59</v>
      </c>
      <c r="C79" s="27" t="s">
        <v>111</v>
      </c>
      <c r="D79" s="34" t="n">
        <f aca="false">SUMIFS(Media_Cliente_Mes!$C$2:$C$145,Media_Cliente_Mes!$A$2:$A$145,$A79,Media_Cliente_Mes!$B$2:$B$145,$B79)</f>
        <v>9485.48</v>
      </c>
      <c r="E79" s="35" t="n">
        <f aca="false">IF($D79=0,"",IF($C79="Proteina",SUMIFS(Media_Cliente_Mes!$D$2:$D$145,Media_Cliente_Mes!$A$2:$A$145,$A79,Media_Cliente_Mes!$B$2:$B$145,$B79),IF($C79="Umidade",SUMIFS(Media_Cliente_Mes!$E$2:$E$145,Media_Cliente_Mes!$A$2:$A$145,$A79,Media_Cliente_Mes!$B$2:$B$145,$B79),SUMIFS(Media_Cliente_Mes!$F$2:$F$145,Media_Cliente_Mes!$A$2:$A$145,$A79,Media_Cliente_Mes!$B$2:$B$145,$B79))))</f>
        <v>3.73136726870965</v>
      </c>
      <c r="F79" s="35" t="n">
        <f aca="false">INDEX(Parametros_ANEC73!$C$4:$C$6,MATCH($C79,Parametros_ANEC73!$A$4:$A$6,0))</f>
        <v>3.5</v>
      </c>
      <c r="G79" s="35" t="n">
        <f aca="false">IF($C79="Proteina",INDEX(Media_Pool_Mes!$C$2:$C$13,MATCH($B79,Media_Pool_Mes!$A$2:$A$13,0)),IF($C79="Umidade",INDEX(Media_Pool_Mes!$D$2:$D$13,MATCH($B79,Media_Pool_Mes!$A$2:$A$13,0)),INDEX(Media_Pool_Mes!$E$2:$E$13,MATCH($B79,Media_Pool_Mes!$A$2:$A$13,0))))</f>
        <v>3.61845158781616</v>
      </c>
      <c r="H79" s="37" t="n">
        <f aca="false">INDEX(Parametros_ANEC73!$B$4:$B$6,MATCH($C79,Parametros_ANEC73!$A$4:$A$6,0))</f>
        <v>1</v>
      </c>
      <c r="I79" s="38" t="n">
        <f aca="false">IF(OR($D79=0,$G79=""),"",IF($H79*($G79-$F79)&gt;0,$G79,$F79))</f>
        <v>3.61845158781616</v>
      </c>
      <c r="J79" s="27" t="str">
        <f aca="false">IF(OR($D79=0,$G79=""),"",IF($H79*($G79-$F79)&gt;0,"Sim","Nao"))</f>
        <v>Sim</v>
      </c>
      <c r="K79" s="27" t="str">
        <f aca="false">IF(OR($D79=0,$G79=""),"",IF(AND($H79*($E79-$F79)&gt;0,$H79*($E79-$G79)&gt;0),"Sim","Nao"))</f>
        <v>Sim</v>
      </c>
      <c r="L79" s="38" t="n">
        <f aca="false">IF(OR($D79=0,$G79=""),0,IF($K79="Sim",MAX(0,$H79*($E79-$I79)),0))</f>
        <v>0.11291568089349</v>
      </c>
      <c r="M79" s="35" t="n">
        <f aca="false">INDEX(Parametros_ANEC73!$G$4:$G$6,MATCH($C79,Parametros_ANEC73!$A$4:$A$6,0))</f>
        <v>3.8</v>
      </c>
      <c r="N79" s="38" t="n">
        <f aca="false">IF(OR($D79=0,$G79=""),0,IF(AND($K79="Sim",$M79&lt;&gt;""),MAX(0,$H79*($E79-$M79)),0))</f>
        <v>0</v>
      </c>
      <c r="O79" s="35" t="n">
        <f aca="false">INDEX(Parametros_ANEC73!$J$4:$J$6,MATCH($C79,Parametros_ANEC73!$A$4:$A$6,0))</f>
        <v>4</v>
      </c>
      <c r="P79" s="38" t="n">
        <f aca="false">IF(OR($D79=0,$G79=""),0,IF(AND($K79="Sim",$O79&lt;&gt;""),MAX(0,$H79*($E79-$O79)),0))</f>
        <v>0</v>
      </c>
      <c r="Q79" s="35" t="n">
        <f aca="false">INDEX(Parametros_ANEC73!$F$4:$F$6,MATCH($C79,Parametros_ANEC73!$A$4:$A$6,0))</f>
        <v>1</v>
      </c>
      <c r="R79" s="35" t="n">
        <f aca="false">INDEX(Parametros_ANEC73!$I$4:$I$6,MATCH($C79,Parametros_ANEC73!$A$4:$A$6,0))</f>
        <v>1.5</v>
      </c>
      <c r="S79" s="35" t="n">
        <f aca="false">INDEX(Parametros_ANEC73!$L$4:$L$6,MATCH($C79,Parametros_ANEC73!$A$4:$A$6,0))</f>
        <v>2</v>
      </c>
      <c r="T79" s="39" t="n">
        <f aca="false">INDEX(Parametros_ANEC73!$B$14:$B$25,MATCH($B79,Parametros_ANEC73!$A$14:$A$25,0))</f>
        <v>391</v>
      </c>
      <c r="U79" s="40" t="n">
        <f aca="false">IF(OR($D79=0,$G79=""),0,$D79*($T79/100)*($L79*$Q79+$N79*(IF($R79="",$Q79,$R79)-$Q79)+$P79*(IF($S79="",IF($R79="",$Q79,$R79),$S79)-IF($R79="",$Q79,$R79))))</f>
        <v>4187.84238225417</v>
      </c>
      <c r="V79" s="41" t="str">
        <f aca="false">IF(OR($D79=0,$G79=""),"",IF($H79*($E79-INDEX(Parametros_ANEC73!$M$4:$M$6,MATCH($C79,Parametros_ANEC73!$A$4:$A$6,0)))&gt;0,"Sim","Nao"))</f>
        <v>Nao</v>
      </c>
      <c r="W79" s="27" t="str">
        <f aca="false">$A79&amp;"|"&amp;$B79&amp;"|"&amp;$C79</f>
        <v>Caramuru|Fev|Fibra</v>
      </c>
    </row>
    <row r="80" customFormat="false" ht="15" hidden="false" customHeight="false" outlineLevel="0" collapsed="false">
      <c r="A80" s="27" t="s">
        <v>41</v>
      </c>
      <c r="B80" s="27" t="s">
        <v>60</v>
      </c>
      <c r="C80" s="27" t="s">
        <v>109</v>
      </c>
      <c r="D80" s="34" t="n">
        <f aca="false">SUMIFS(Media_Cliente_Mes!$C$2:$C$145,Media_Cliente_Mes!$A$2:$A$145,$A80,Media_Cliente_Mes!$B$2:$B$145,$B80)</f>
        <v>12278.31</v>
      </c>
      <c r="E80" s="35" t="n">
        <f aca="false">IF($D80=0,"",IF($C80="Proteina",SUMIFS(Media_Cliente_Mes!$D$2:$D$145,Media_Cliente_Mes!$A$2:$A$145,$A80,Media_Cliente_Mes!$B$2:$B$145,$B80),IF($C80="Umidade",SUMIFS(Media_Cliente_Mes!$E$2:$E$145,Media_Cliente_Mes!$A$2:$A$145,$A80,Media_Cliente_Mes!$B$2:$B$145,$B80),SUMIFS(Media_Cliente_Mes!$F$2:$F$145,Media_Cliente_Mes!$A$2:$A$145,$A80,Media_Cliente_Mes!$B$2:$B$145,$B80))))</f>
        <v>48.0034353180527</v>
      </c>
      <c r="F80" s="35" t="n">
        <f aca="false">INDEX(Parametros_ANEC73!$C$4:$C$6,MATCH($C80,Parametros_ANEC73!$A$4:$A$6,0))</f>
        <v>48</v>
      </c>
      <c r="G80" s="35" t="n">
        <f aca="false">IF($C80="Proteina",INDEX(Media_Pool_Mes!$C$2:$C$13,MATCH($B80,Media_Pool_Mes!$A$2:$A$13,0)),IF($C80="Umidade",INDEX(Media_Pool_Mes!$D$2:$D$13,MATCH($B80,Media_Pool_Mes!$A$2:$A$13,0)),INDEX(Media_Pool_Mes!$E$2:$E$13,MATCH($B80,Media_Pool_Mes!$A$2:$A$13,0))))</f>
        <v>47.332231823374</v>
      </c>
      <c r="H80" s="37" t="n">
        <f aca="false">INDEX(Parametros_ANEC73!$B$4:$B$6,MATCH($C80,Parametros_ANEC73!$A$4:$A$6,0))</f>
        <v>-1</v>
      </c>
      <c r="I80" s="38" t="n">
        <f aca="false">IF(OR($D80=0,$G80=""),"",IF($H80*($G80-$F80)&gt;0,$G80,$F80))</f>
        <v>47.332231823374</v>
      </c>
      <c r="J80" s="27" t="str">
        <f aca="false">IF(OR($D80=0,$G80=""),"",IF($H80*($G80-$F80)&gt;0,"Sim","Nao"))</f>
        <v>Sim</v>
      </c>
      <c r="K80" s="27" t="str">
        <f aca="false">IF(OR($D80=0,$G80=""),"",IF(AND($H80*($E80-$F80)&gt;0,$H80*($E80-$G80)&gt;0),"Sim","Nao"))</f>
        <v>Nao</v>
      </c>
      <c r="L80" s="38" t="n">
        <f aca="false">IF(OR($D80=0,$G80=""),0,IF($K80="Sim",MAX(0,$H80*($E80-$I80)),0))</f>
        <v>0</v>
      </c>
      <c r="M80" s="35" t="n">
        <f aca="false">INDEX(Parametros_ANEC73!$G$4:$G$6,MATCH($C80,Parametros_ANEC73!$A$4:$A$6,0))</f>
        <v>47</v>
      </c>
      <c r="N80" s="38" t="n">
        <f aca="false">IF(OR($D80=0,$G80=""),0,IF(AND($K80="Sim",$M80&lt;&gt;""),MAX(0,$H80*($E80-$M80)),0))</f>
        <v>0</v>
      </c>
      <c r="O80" s="35" t="n">
        <f aca="false">INDEX(Parametros_ANEC73!$J$4:$J$6,MATCH($C80,Parametros_ANEC73!$A$4:$A$6,0))</f>
        <v>0</v>
      </c>
      <c r="P80" s="38" t="n">
        <f aca="false">IF(OR($D80=0,$G80=""),0,IF(AND($K80="Sim",$O80&lt;&gt;""),MAX(0,$H80*($E80-$O80)),0))</f>
        <v>0</v>
      </c>
      <c r="Q80" s="35" t="n">
        <f aca="false">INDEX(Parametros_ANEC73!$F$4:$F$6,MATCH($C80,Parametros_ANEC73!$A$4:$A$6,0))</f>
        <v>1</v>
      </c>
      <c r="R80" s="35" t="n">
        <f aca="false">INDEX(Parametros_ANEC73!$I$4:$I$6,MATCH($C80,Parametros_ANEC73!$A$4:$A$6,0))</f>
        <v>2</v>
      </c>
      <c r="S80" s="35" t="n">
        <f aca="false">INDEX(Parametros_ANEC73!$L$4:$L$6,MATCH($C80,Parametros_ANEC73!$A$4:$A$6,0))</f>
        <v>0</v>
      </c>
      <c r="T80" s="39" t="n">
        <f aca="false">INDEX(Parametros_ANEC73!$B$14:$B$25,MATCH($B80,Parametros_ANEC73!$A$14:$A$25,0))</f>
        <v>404</v>
      </c>
      <c r="U80" s="40" t="n">
        <f aca="false">IF(OR($D80=0,$G80=""),0,$D80*($T80/100)*($L80*$Q80+$N80*(IF($R80="",$Q80,$R80)-$Q80)+$P80*(IF($S80="",IF($R80="",$Q80,$R80),$S80)-IF($R80="",$Q80,$R80))))</f>
        <v>0</v>
      </c>
      <c r="V80" s="41" t="str">
        <f aca="false">IF(OR($D80=0,$G80=""),"",IF($H80*($E80-INDEX(Parametros_ANEC73!$M$4:$M$6,MATCH($C80,Parametros_ANEC73!$A$4:$A$6,0)))&gt;0,"Sim","Nao"))</f>
        <v>Nao</v>
      </c>
      <c r="W80" s="27" t="str">
        <f aca="false">$A80&amp;"|"&amp;$B80&amp;"|"&amp;$C80</f>
        <v>Caramuru|Mar|Proteina</v>
      </c>
    </row>
    <row r="81" customFormat="false" ht="15" hidden="false" customHeight="false" outlineLevel="0" collapsed="false">
      <c r="A81" s="27" t="s">
        <v>41</v>
      </c>
      <c r="B81" s="27" t="s">
        <v>60</v>
      </c>
      <c r="C81" s="27" t="s">
        <v>110</v>
      </c>
      <c r="D81" s="34" t="n">
        <f aca="false">SUMIFS(Media_Cliente_Mes!$C$2:$C$145,Media_Cliente_Mes!$A$2:$A$145,$A81,Media_Cliente_Mes!$B$2:$B$145,$B81)</f>
        <v>12278.31</v>
      </c>
      <c r="E81" s="35" t="n">
        <f aca="false">IF($D81=0,"",IF($C81="Proteina",SUMIFS(Media_Cliente_Mes!$D$2:$D$145,Media_Cliente_Mes!$A$2:$A$145,$A81,Media_Cliente_Mes!$B$2:$B$145,$B81),IF($C81="Umidade",SUMIFS(Media_Cliente_Mes!$E$2:$E$145,Media_Cliente_Mes!$A$2:$A$145,$A81,Media_Cliente_Mes!$B$2:$B$145,$B81),SUMIFS(Media_Cliente_Mes!$F$2:$F$145,Media_Cliente_Mes!$A$2:$A$145,$A81,Media_Cliente_Mes!$B$2:$B$145,$B81))))</f>
        <v>12.3977709554491</v>
      </c>
      <c r="F81" s="35" t="n">
        <f aca="false">INDEX(Parametros_ANEC73!$C$4:$C$6,MATCH($C81,Parametros_ANEC73!$A$4:$A$6,0))</f>
        <v>12.5</v>
      </c>
      <c r="G81" s="35" t="n">
        <f aca="false">IF($C81="Proteina",INDEX(Media_Pool_Mes!$C$2:$C$13,MATCH($B81,Media_Pool_Mes!$A$2:$A$13,0)),IF($C81="Umidade",INDEX(Media_Pool_Mes!$D$2:$D$13,MATCH($B81,Media_Pool_Mes!$A$2:$A$13,0)),INDEX(Media_Pool_Mes!$E$2:$E$13,MATCH($B81,Media_Pool_Mes!$A$2:$A$13,0))))</f>
        <v>12.1740859181947</v>
      </c>
      <c r="H81" s="37" t="n">
        <f aca="false">INDEX(Parametros_ANEC73!$B$4:$B$6,MATCH($C81,Parametros_ANEC73!$A$4:$A$6,0))</f>
        <v>1</v>
      </c>
      <c r="I81" s="38" t="n">
        <f aca="false">IF(OR($D81=0,$G81=""),"",IF($H81*($G81-$F81)&gt;0,$G81,$F81))</f>
        <v>12.5</v>
      </c>
      <c r="J81" s="27" t="str">
        <f aca="false">IF(OR($D81=0,$G81=""),"",IF($H81*($G81-$F81)&gt;0,"Sim","Nao"))</f>
        <v>Nao</v>
      </c>
      <c r="K81" s="27" t="str">
        <f aca="false">IF(OR($D81=0,$G81=""),"",IF(AND($H81*($E81-$F81)&gt;0,$H81*($E81-$G81)&gt;0),"Sim","Nao"))</f>
        <v>Nao</v>
      </c>
      <c r="L81" s="38" t="n">
        <f aca="false">IF(OR($D81=0,$G81=""),0,IF($K81="Sim",MAX(0,$H81*($E81-$I81)),0))</f>
        <v>0</v>
      </c>
      <c r="M81" s="35" t="n">
        <f aca="false">INDEX(Parametros_ANEC73!$G$4:$G$6,MATCH($C81,Parametros_ANEC73!$A$4:$A$6,0))</f>
        <v>0</v>
      </c>
      <c r="N81" s="38" t="n">
        <f aca="false">IF(OR($D81=0,$G81=""),0,IF(AND($K81="Sim",$M81&lt;&gt;""),MAX(0,$H81*($E81-$M81)),0))</f>
        <v>0</v>
      </c>
      <c r="O81" s="35" t="n">
        <f aca="false">INDEX(Parametros_ANEC73!$J$4:$J$6,MATCH($C81,Parametros_ANEC73!$A$4:$A$6,0))</f>
        <v>0</v>
      </c>
      <c r="P81" s="38" t="n">
        <f aca="false">IF(OR($D81=0,$G81=""),0,IF(AND($K81="Sim",$O81&lt;&gt;""),MAX(0,$H81*($E81-$O81)),0))</f>
        <v>0</v>
      </c>
      <c r="Q81" s="35" t="n">
        <f aca="false">INDEX(Parametros_ANEC73!$F$4:$F$6,MATCH($C81,Parametros_ANEC73!$A$4:$A$6,0))</f>
        <v>1</v>
      </c>
      <c r="R81" s="35" t="n">
        <f aca="false">INDEX(Parametros_ANEC73!$I$4:$I$6,MATCH($C81,Parametros_ANEC73!$A$4:$A$6,0))</f>
        <v>0</v>
      </c>
      <c r="S81" s="35" t="n">
        <f aca="false">INDEX(Parametros_ANEC73!$L$4:$L$6,MATCH($C81,Parametros_ANEC73!$A$4:$A$6,0))</f>
        <v>0</v>
      </c>
      <c r="T81" s="39" t="n">
        <f aca="false">INDEX(Parametros_ANEC73!$B$14:$B$25,MATCH($B81,Parametros_ANEC73!$A$14:$A$25,0))</f>
        <v>404</v>
      </c>
      <c r="U81" s="40" t="n">
        <f aca="false">IF(OR($D81=0,$G81=""),0,$D81*($T81/100)*($L81*$Q81+$N81*(IF($R81="",$Q81,$R81)-$Q81)+$P81*(IF($S81="",IF($R81="",$Q81,$R81),$S81)-IF($R81="",$Q81,$R81))))</f>
        <v>0</v>
      </c>
      <c r="V81" s="41" t="str">
        <f aca="false">IF(OR($D81=0,$G81=""),"",IF($H81*($E81-INDEX(Parametros_ANEC73!$M$4:$M$6,MATCH($C81,Parametros_ANEC73!$A$4:$A$6,0)))&gt;0,"Sim","Nao"))</f>
        <v>Nao</v>
      </c>
      <c r="W81" s="27" t="str">
        <f aca="false">$A81&amp;"|"&amp;$B81&amp;"|"&amp;$C81</f>
        <v>Caramuru|Mar|Umidade</v>
      </c>
    </row>
    <row r="82" customFormat="false" ht="15" hidden="false" customHeight="false" outlineLevel="0" collapsed="false">
      <c r="A82" s="27" t="s">
        <v>41</v>
      </c>
      <c r="B82" s="27" t="s">
        <v>60</v>
      </c>
      <c r="C82" s="27" t="s">
        <v>111</v>
      </c>
      <c r="D82" s="34" t="n">
        <f aca="false">SUMIFS(Media_Cliente_Mes!$C$2:$C$145,Media_Cliente_Mes!$A$2:$A$145,$A82,Media_Cliente_Mes!$B$2:$B$145,$B82)</f>
        <v>12278.31</v>
      </c>
      <c r="E82" s="35" t="n">
        <f aca="false">IF($D82=0,"",IF($C82="Proteina",SUMIFS(Media_Cliente_Mes!$D$2:$D$145,Media_Cliente_Mes!$A$2:$A$145,$A82,Media_Cliente_Mes!$B$2:$B$145,$B82),IF($C82="Umidade",SUMIFS(Media_Cliente_Mes!$E$2:$E$145,Media_Cliente_Mes!$A$2:$A$145,$A82,Media_Cliente_Mes!$B$2:$B$145,$B82),SUMIFS(Media_Cliente_Mes!$F$2:$F$145,Media_Cliente_Mes!$A$2:$A$145,$A82,Media_Cliente_Mes!$B$2:$B$145,$B82))))</f>
        <v>3.54249561218116</v>
      </c>
      <c r="F82" s="35" t="n">
        <f aca="false">INDEX(Parametros_ANEC73!$C$4:$C$6,MATCH($C82,Parametros_ANEC73!$A$4:$A$6,0))</f>
        <v>3.5</v>
      </c>
      <c r="G82" s="35" t="n">
        <f aca="false">IF($C82="Proteina",INDEX(Media_Pool_Mes!$C$2:$C$13,MATCH($B82,Media_Pool_Mes!$A$2:$A$13,0)),IF($C82="Umidade",INDEX(Media_Pool_Mes!$D$2:$D$13,MATCH($B82,Media_Pool_Mes!$A$2:$A$13,0)),INDEX(Media_Pool_Mes!$E$2:$E$13,MATCH($B82,Media_Pool_Mes!$A$2:$A$13,0))))</f>
        <v>3.70596068520473</v>
      </c>
      <c r="H82" s="37" t="n">
        <f aca="false">INDEX(Parametros_ANEC73!$B$4:$B$6,MATCH($C82,Parametros_ANEC73!$A$4:$A$6,0))</f>
        <v>1</v>
      </c>
      <c r="I82" s="38" t="n">
        <f aca="false">IF(OR($D82=0,$G82=""),"",IF($H82*($G82-$F82)&gt;0,$G82,$F82))</f>
        <v>3.70596068520473</v>
      </c>
      <c r="J82" s="27" t="str">
        <f aca="false">IF(OR($D82=0,$G82=""),"",IF($H82*($G82-$F82)&gt;0,"Sim","Nao"))</f>
        <v>Sim</v>
      </c>
      <c r="K82" s="27" t="str">
        <f aca="false">IF(OR($D82=0,$G82=""),"",IF(AND($H82*($E82-$F82)&gt;0,$H82*($E82-$G82)&gt;0),"Sim","Nao"))</f>
        <v>Nao</v>
      </c>
      <c r="L82" s="38" t="n">
        <f aca="false">IF(OR($D82=0,$G82=""),0,IF($K82="Sim",MAX(0,$H82*($E82-$I82)),0))</f>
        <v>0</v>
      </c>
      <c r="M82" s="35" t="n">
        <f aca="false">INDEX(Parametros_ANEC73!$G$4:$G$6,MATCH($C82,Parametros_ANEC73!$A$4:$A$6,0))</f>
        <v>3.8</v>
      </c>
      <c r="N82" s="38" t="n">
        <f aca="false">IF(OR($D82=0,$G82=""),0,IF(AND($K82="Sim",$M82&lt;&gt;""),MAX(0,$H82*($E82-$M82)),0))</f>
        <v>0</v>
      </c>
      <c r="O82" s="35" t="n">
        <f aca="false">INDEX(Parametros_ANEC73!$J$4:$J$6,MATCH($C82,Parametros_ANEC73!$A$4:$A$6,0))</f>
        <v>4</v>
      </c>
      <c r="P82" s="38" t="n">
        <f aca="false">IF(OR($D82=0,$G82=""),0,IF(AND($K82="Sim",$O82&lt;&gt;""),MAX(0,$H82*($E82-$O82)),0))</f>
        <v>0</v>
      </c>
      <c r="Q82" s="35" t="n">
        <f aca="false">INDEX(Parametros_ANEC73!$F$4:$F$6,MATCH($C82,Parametros_ANEC73!$A$4:$A$6,0))</f>
        <v>1</v>
      </c>
      <c r="R82" s="35" t="n">
        <f aca="false">INDEX(Parametros_ANEC73!$I$4:$I$6,MATCH($C82,Parametros_ANEC73!$A$4:$A$6,0))</f>
        <v>1.5</v>
      </c>
      <c r="S82" s="35" t="n">
        <f aca="false">INDEX(Parametros_ANEC73!$L$4:$L$6,MATCH($C82,Parametros_ANEC73!$A$4:$A$6,0))</f>
        <v>2</v>
      </c>
      <c r="T82" s="39" t="n">
        <f aca="false">INDEX(Parametros_ANEC73!$B$14:$B$25,MATCH($B82,Parametros_ANEC73!$A$14:$A$25,0))</f>
        <v>404</v>
      </c>
      <c r="U82" s="40" t="n">
        <f aca="false">IF(OR($D82=0,$G82=""),0,$D82*($T82/100)*($L82*$Q82+$N82*(IF($R82="",$Q82,$R82)-$Q82)+$P82*(IF($S82="",IF($R82="",$Q82,$R82),$S82)-IF($R82="",$Q82,$R82))))</f>
        <v>0</v>
      </c>
      <c r="V82" s="41" t="str">
        <f aca="false">IF(OR($D82=0,$G82=""),"",IF($H82*($E82-INDEX(Parametros_ANEC73!$M$4:$M$6,MATCH($C82,Parametros_ANEC73!$A$4:$A$6,0)))&gt;0,"Sim","Nao"))</f>
        <v>Nao</v>
      </c>
      <c r="W82" s="27" t="str">
        <f aca="false">$A82&amp;"|"&amp;$B82&amp;"|"&amp;$C82</f>
        <v>Caramuru|Mar|Fibra</v>
      </c>
    </row>
    <row r="83" customFormat="false" ht="15" hidden="false" customHeight="false" outlineLevel="0" collapsed="false">
      <c r="A83" s="27" t="s">
        <v>41</v>
      </c>
      <c r="B83" s="27" t="s">
        <v>61</v>
      </c>
      <c r="C83" s="27" t="s">
        <v>109</v>
      </c>
      <c r="D83" s="34" t="n">
        <f aca="false">SUMIFS(Media_Cliente_Mes!$C$2:$C$145,Media_Cliente_Mes!$A$2:$A$145,$A83,Media_Cliente_Mes!$B$2:$B$145,$B83)</f>
        <v>42872.69</v>
      </c>
      <c r="E83" s="35" t="n">
        <f aca="false">IF($D83=0,"",IF($C83="Proteina",SUMIFS(Media_Cliente_Mes!$D$2:$D$145,Media_Cliente_Mes!$A$2:$A$145,$A83,Media_Cliente_Mes!$B$2:$B$145,$B83),IF($C83="Umidade",SUMIFS(Media_Cliente_Mes!$E$2:$E$145,Media_Cliente_Mes!$A$2:$A$145,$A83,Media_Cliente_Mes!$B$2:$B$145,$B83),SUMIFS(Media_Cliente_Mes!$F$2:$F$145,Media_Cliente_Mes!$A$2:$A$145,$A83,Media_Cliente_Mes!$B$2:$B$145,$B83))))</f>
        <v>47.5376382051138</v>
      </c>
      <c r="F83" s="35" t="n">
        <f aca="false">INDEX(Parametros_ANEC73!$C$4:$C$6,MATCH($C83,Parametros_ANEC73!$A$4:$A$6,0))</f>
        <v>48</v>
      </c>
      <c r="G83" s="35" t="n">
        <f aca="false">IF($C83="Proteina",INDEX(Media_Pool_Mes!$C$2:$C$13,MATCH($B83,Media_Pool_Mes!$A$2:$A$13,0)),IF($C83="Umidade",INDEX(Media_Pool_Mes!$D$2:$D$13,MATCH($B83,Media_Pool_Mes!$A$2:$A$13,0)),INDEX(Media_Pool_Mes!$E$2:$E$13,MATCH($B83,Media_Pool_Mes!$A$2:$A$13,0))))</f>
        <v>47.5395057496784</v>
      </c>
      <c r="H83" s="37" t="n">
        <f aca="false">INDEX(Parametros_ANEC73!$B$4:$B$6,MATCH($C83,Parametros_ANEC73!$A$4:$A$6,0))</f>
        <v>-1</v>
      </c>
      <c r="I83" s="38" t="n">
        <f aca="false">IF(OR($D83=0,$G83=""),"",IF($H83*($G83-$F83)&gt;0,$G83,$F83))</f>
        <v>47.5395057496784</v>
      </c>
      <c r="J83" s="27" t="str">
        <f aca="false">IF(OR($D83=0,$G83=""),"",IF($H83*($G83-$F83)&gt;0,"Sim","Nao"))</f>
        <v>Sim</v>
      </c>
      <c r="K83" s="27" t="str">
        <f aca="false">IF(OR($D83=0,$G83=""),"",IF(AND($H83*($E83-$F83)&gt;0,$H83*($E83-$G83)&gt;0),"Sim","Nao"))</f>
        <v>Sim</v>
      </c>
      <c r="L83" s="38" t="n">
        <f aca="false">IF(OR($D83=0,$G83=""),0,IF($K83="Sim",MAX(0,$H83*($E83-$I83)),0))</f>
        <v>0.00186754456461102</v>
      </c>
      <c r="M83" s="35" t="n">
        <f aca="false">INDEX(Parametros_ANEC73!$G$4:$G$6,MATCH($C83,Parametros_ANEC73!$A$4:$A$6,0))</f>
        <v>47</v>
      </c>
      <c r="N83" s="38" t="n">
        <f aca="false">IF(OR($D83=0,$G83=""),0,IF(AND($K83="Sim",$M83&lt;&gt;""),MAX(0,$H83*($E83-$M83)),0))</f>
        <v>0</v>
      </c>
      <c r="O83" s="35" t="n">
        <f aca="false">INDEX(Parametros_ANEC73!$J$4:$J$6,MATCH($C83,Parametros_ANEC73!$A$4:$A$6,0))</f>
        <v>0</v>
      </c>
      <c r="P83" s="38" t="n">
        <f aca="false">IF(OR($D83=0,$G83=""),0,IF(AND($K83="Sim",$O83&lt;&gt;""),MAX(0,$H83*($E83-$O83)),0))</f>
        <v>0</v>
      </c>
      <c r="Q83" s="35" t="n">
        <f aca="false">INDEX(Parametros_ANEC73!$F$4:$F$6,MATCH($C83,Parametros_ANEC73!$A$4:$A$6,0))</f>
        <v>1</v>
      </c>
      <c r="R83" s="35" t="n">
        <f aca="false">INDEX(Parametros_ANEC73!$I$4:$I$6,MATCH($C83,Parametros_ANEC73!$A$4:$A$6,0))</f>
        <v>2</v>
      </c>
      <c r="S83" s="35" t="n">
        <f aca="false">INDEX(Parametros_ANEC73!$L$4:$L$6,MATCH($C83,Parametros_ANEC73!$A$4:$A$6,0))</f>
        <v>0</v>
      </c>
      <c r="T83" s="39" t="n">
        <f aca="false">INDEX(Parametros_ANEC73!$B$14:$B$25,MATCH($B83,Parametros_ANEC73!$A$14:$A$25,0))</f>
        <v>415</v>
      </c>
      <c r="U83" s="40" t="n">
        <f aca="false">IF(OR($D83=0,$G83=""),0,$D83*($T83/100)*($L83*$Q83+$N83*(IF($R83="",$Q83,$R83)-$Q83)+$P83*(IF($S83="",IF($R83="",$Q83,$R83),$S83)-IF($R83="",$Q83,$R83))))</f>
        <v>332.276635595977</v>
      </c>
      <c r="V83" s="41" t="str">
        <f aca="false">IF(OR($D83=0,$G83=""),"",IF($H83*($E83-INDEX(Parametros_ANEC73!$M$4:$M$6,MATCH($C83,Parametros_ANEC73!$A$4:$A$6,0)))&gt;0,"Sim","Nao"))</f>
        <v>Nao</v>
      </c>
      <c r="W83" s="27" t="str">
        <f aca="false">$A83&amp;"|"&amp;$B83&amp;"|"&amp;$C83</f>
        <v>Caramuru|Abr|Proteina</v>
      </c>
    </row>
    <row r="84" customFormat="false" ht="15" hidden="false" customHeight="false" outlineLevel="0" collapsed="false">
      <c r="A84" s="27" t="s">
        <v>41</v>
      </c>
      <c r="B84" s="27" t="s">
        <v>61</v>
      </c>
      <c r="C84" s="27" t="s">
        <v>110</v>
      </c>
      <c r="D84" s="34" t="n">
        <f aca="false">SUMIFS(Media_Cliente_Mes!$C$2:$C$145,Media_Cliente_Mes!$A$2:$A$145,$A84,Media_Cliente_Mes!$B$2:$B$145,$B84)</f>
        <v>42872.69</v>
      </c>
      <c r="E84" s="35" t="n">
        <f aca="false">IF($D84=0,"",IF($C84="Proteina",SUMIFS(Media_Cliente_Mes!$D$2:$D$145,Media_Cliente_Mes!$A$2:$A$145,$A84,Media_Cliente_Mes!$B$2:$B$145,$B84),IF($C84="Umidade",SUMIFS(Media_Cliente_Mes!$E$2:$E$145,Media_Cliente_Mes!$A$2:$A$145,$A84,Media_Cliente_Mes!$B$2:$B$145,$B84),SUMIFS(Media_Cliente_Mes!$F$2:$F$145,Media_Cliente_Mes!$A$2:$A$145,$A84,Media_Cliente_Mes!$B$2:$B$145,$B84))))</f>
        <v>13.0024262764944</v>
      </c>
      <c r="F84" s="35" t="n">
        <f aca="false">INDEX(Parametros_ANEC73!$C$4:$C$6,MATCH($C84,Parametros_ANEC73!$A$4:$A$6,0))</f>
        <v>12.5</v>
      </c>
      <c r="G84" s="35" t="n">
        <f aca="false">IF($C84="Proteina",INDEX(Media_Pool_Mes!$C$2:$C$13,MATCH($B84,Media_Pool_Mes!$A$2:$A$13,0)),IF($C84="Umidade",INDEX(Media_Pool_Mes!$D$2:$D$13,MATCH($B84,Media_Pool_Mes!$A$2:$A$13,0)),INDEX(Media_Pool_Mes!$E$2:$E$13,MATCH($B84,Media_Pool_Mes!$A$2:$A$13,0))))</f>
        <v>12.3606134360148</v>
      </c>
      <c r="H84" s="37" t="n">
        <f aca="false">INDEX(Parametros_ANEC73!$B$4:$B$6,MATCH($C84,Parametros_ANEC73!$A$4:$A$6,0))</f>
        <v>1</v>
      </c>
      <c r="I84" s="38" t="n">
        <f aca="false">IF(OR($D84=0,$G84=""),"",IF($H84*($G84-$F84)&gt;0,$G84,$F84))</f>
        <v>12.5</v>
      </c>
      <c r="J84" s="27" t="str">
        <f aca="false">IF(OR($D84=0,$G84=""),"",IF($H84*($G84-$F84)&gt;0,"Sim","Nao"))</f>
        <v>Nao</v>
      </c>
      <c r="K84" s="27" t="str">
        <f aca="false">IF(OR($D84=0,$G84=""),"",IF(AND($H84*($E84-$F84)&gt;0,$H84*($E84-$G84)&gt;0),"Sim","Nao"))</f>
        <v>Sim</v>
      </c>
      <c r="L84" s="38" t="n">
        <f aca="false">IF(OR($D84=0,$G84=""),0,IF($K84="Sim",MAX(0,$H84*($E84-$I84)),0))</f>
        <v>0.502426276494427</v>
      </c>
      <c r="M84" s="35" t="n">
        <f aca="false">INDEX(Parametros_ANEC73!$G$4:$G$6,MATCH($C84,Parametros_ANEC73!$A$4:$A$6,0))</f>
        <v>0</v>
      </c>
      <c r="N84" s="38" t="n">
        <f aca="false">IF(OR($D84=0,$G84=""),0,IF(AND($K84="Sim",$M84&lt;&gt;""),MAX(0,$H84*($E84-$M84)),0))</f>
        <v>0</v>
      </c>
      <c r="O84" s="35" t="n">
        <f aca="false">INDEX(Parametros_ANEC73!$J$4:$J$6,MATCH($C84,Parametros_ANEC73!$A$4:$A$6,0))</f>
        <v>0</v>
      </c>
      <c r="P84" s="38" t="n">
        <f aca="false">IF(OR($D84=0,$G84=""),0,IF(AND($K84="Sim",$O84&lt;&gt;""),MAX(0,$H84*($E84-$O84)),0))</f>
        <v>0</v>
      </c>
      <c r="Q84" s="35" t="n">
        <f aca="false">INDEX(Parametros_ANEC73!$F$4:$F$6,MATCH($C84,Parametros_ANEC73!$A$4:$A$6,0))</f>
        <v>1</v>
      </c>
      <c r="R84" s="35" t="n">
        <f aca="false">INDEX(Parametros_ANEC73!$I$4:$I$6,MATCH($C84,Parametros_ANEC73!$A$4:$A$6,0))</f>
        <v>0</v>
      </c>
      <c r="S84" s="35" t="n">
        <f aca="false">INDEX(Parametros_ANEC73!$L$4:$L$6,MATCH($C84,Parametros_ANEC73!$A$4:$A$6,0))</f>
        <v>0</v>
      </c>
      <c r="T84" s="39" t="n">
        <f aca="false">INDEX(Parametros_ANEC73!$B$14:$B$25,MATCH($B84,Parametros_ANEC73!$A$14:$A$25,0))</f>
        <v>415</v>
      </c>
      <c r="U84" s="40" t="n">
        <f aca="false">IF(OR($D84=0,$G84=""),0,$D84*($T84/100)*($L84*$Q84+$N84*(IF($R84="",$Q84,$R84)-$Q84)+$P84*(IF($S84="",IF($R84="",$Q84,$R84),$S84)-IF($R84="",$Q84,$R84))))</f>
        <v>89392.5188999994</v>
      </c>
      <c r="V84" s="41" t="str">
        <f aca="false">IF(OR($D84=0,$G84=""),"",IF($H84*($E84-INDEX(Parametros_ANEC73!$M$4:$M$6,MATCH($C84,Parametros_ANEC73!$A$4:$A$6,0)))&gt;0,"Sim","Nao"))</f>
        <v>Sim</v>
      </c>
      <c r="W84" s="27" t="str">
        <f aca="false">$A84&amp;"|"&amp;$B84&amp;"|"&amp;$C84</f>
        <v>Caramuru|Abr|Umidade</v>
      </c>
    </row>
    <row r="85" customFormat="false" ht="15" hidden="false" customHeight="false" outlineLevel="0" collapsed="false">
      <c r="A85" s="27" t="s">
        <v>41</v>
      </c>
      <c r="B85" s="27" t="s">
        <v>61</v>
      </c>
      <c r="C85" s="27" t="s">
        <v>111</v>
      </c>
      <c r="D85" s="34" t="n">
        <f aca="false">SUMIFS(Media_Cliente_Mes!$C$2:$C$145,Media_Cliente_Mes!$A$2:$A$145,$A85,Media_Cliente_Mes!$B$2:$B$145,$B85)</f>
        <v>42872.69</v>
      </c>
      <c r="E85" s="35" t="n">
        <f aca="false">IF($D85=0,"",IF($C85="Proteina",SUMIFS(Media_Cliente_Mes!$D$2:$D$145,Media_Cliente_Mes!$A$2:$A$145,$A85,Media_Cliente_Mes!$B$2:$B$145,$B85),IF($C85="Umidade",SUMIFS(Media_Cliente_Mes!$E$2:$E$145,Media_Cliente_Mes!$A$2:$A$145,$A85,Media_Cliente_Mes!$B$2:$B$145,$B85),SUMIFS(Media_Cliente_Mes!$F$2:$F$145,Media_Cliente_Mes!$A$2:$A$145,$A85,Media_Cliente_Mes!$B$2:$B$145,$B85))))</f>
        <v>3.60550451114684</v>
      </c>
      <c r="F85" s="35" t="n">
        <f aca="false">INDEX(Parametros_ANEC73!$C$4:$C$6,MATCH($C85,Parametros_ANEC73!$A$4:$A$6,0))</f>
        <v>3.5</v>
      </c>
      <c r="G85" s="35" t="n">
        <f aca="false">IF($C85="Proteina",INDEX(Media_Pool_Mes!$C$2:$C$13,MATCH($B85,Media_Pool_Mes!$A$2:$A$13,0)),IF($C85="Umidade",INDEX(Media_Pool_Mes!$D$2:$D$13,MATCH($B85,Media_Pool_Mes!$A$2:$A$13,0)),INDEX(Media_Pool_Mes!$E$2:$E$13,MATCH($B85,Media_Pool_Mes!$A$2:$A$13,0))))</f>
        <v>3.66155636815217</v>
      </c>
      <c r="H85" s="37" t="n">
        <f aca="false">INDEX(Parametros_ANEC73!$B$4:$B$6,MATCH($C85,Parametros_ANEC73!$A$4:$A$6,0))</f>
        <v>1</v>
      </c>
      <c r="I85" s="38" t="n">
        <f aca="false">IF(OR($D85=0,$G85=""),"",IF($H85*($G85-$F85)&gt;0,$G85,$F85))</f>
        <v>3.66155636815217</v>
      </c>
      <c r="J85" s="27" t="str">
        <f aca="false">IF(OR($D85=0,$G85=""),"",IF($H85*($G85-$F85)&gt;0,"Sim","Nao"))</f>
        <v>Sim</v>
      </c>
      <c r="K85" s="27" t="str">
        <f aca="false">IF(OR($D85=0,$G85=""),"",IF(AND($H85*($E85-$F85)&gt;0,$H85*($E85-$G85)&gt;0),"Sim","Nao"))</f>
        <v>Nao</v>
      </c>
      <c r="L85" s="38" t="n">
        <f aca="false">IF(OR($D85=0,$G85=""),0,IF($K85="Sim",MAX(0,$H85*($E85-$I85)),0))</f>
        <v>0</v>
      </c>
      <c r="M85" s="35" t="n">
        <f aca="false">INDEX(Parametros_ANEC73!$G$4:$G$6,MATCH($C85,Parametros_ANEC73!$A$4:$A$6,0))</f>
        <v>3.8</v>
      </c>
      <c r="N85" s="38" t="n">
        <f aca="false">IF(OR($D85=0,$G85=""),0,IF(AND($K85="Sim",$M85&lt;&gt;""),MAX(0,$H85*($E85-$M85)),0))</f>
        <v>0</v>
      </c>
      <c r="O85" s="35" t="n">
        <f aca="false">INDEX(Parametros_ANEC73!$J$4:$J$6,MATCH($C85,Parametros_ANEC73!$A$4:$A$6,0))</f>
        <v>4</v>
      </c>
      <c r="P85" s="38" t="n">
        <f aca="false">IF(OR($D85=0,$G85=""),0,IF(AND($K85="Sim",$O85&lt;&gt;""),MAX(0,$H85*($E85-$O85)),0))</f>
        <v>0</v>
      </c>
      <c r="Q85" s="35" t="n">
        <f aca="false">INDEX(Parametros_ANEC73!$F$4:$F$6,MATCH($C85,Parametros_ANEC73!$A$4:$A$6,0))</f>
        <v>1</v>
      </c>
      <c r="R85" s="35" t="n">
        <f aca="false">INDEX(Parametros_ANEC73!$I$4:$I$6,MATCH($C85,Parametros_ANEC73!$A$4:$A$6,0))</f>
        <v>1.5</v>
      </c>
      <c r="S85" s="35" t="n">
        <f aca="false">INDEX(Parametros_ANEC73!$L$4:$L$6,MATCH($C85,Parametros_ANEC73!$A$4:$A$6,0))</f>
        <v>2</v>
      </c>
      <c r="T85" s="39" t="n">
        <f aca="false">INDEX(Parametros_ANEC73!$B$14:$B$25,MATCH($B85,Parametros_ANEC73!$A$14:$A$25,0))</f>
        <v>415</v>
      </c>
      <c r="U85" s="40" t="n">
        <f aca="false">IF(OR($D85=0,$G85=""),0,$D85*($T85/100)*($L85*$Q85+$N85*(IF($R85="",$Q85,$R85)-$Q85)+$P85*(IF($S85="",IF($R85="",$Q85,$R85),$S85)-IF($R85="",$Q85,$R85))))</f>
        <v>0</v>
      </c>
      <c r="V85" s="41" t="str">
        <f aca="false">IF(OR($D85=0,$G85=""),"",IF($H85*($E85-INDEX(Parametros_ANEC73!$M$4:$M$6,MATCH($C85,Parametros_ANEC73!$A$4:$A$6,0)))&gt;0,"Sim","Nao"))</f>
        <v>Nao</v>
      </c>
      <c r="W85" s="27" t="str">
        <f aca="false">$A85&amp;"|"&amp;$B85&amp;"|"&amp;$C85</f>
        <v>Caramuru|Abr|Fibra</v>
      </c>
    </row>
    <row r="86" customFormat="false" ht="15" hidden="false" customHeight="false" outlineLevel="0" collapsed="false">
      <c r="A86" s="27" t="s">
        <v>41</v>
      </c>
      <c r="B86" s="27" t="s">
        <v>62</v>
      </c>
      <c r="C86" s="27" t="s">
        <v>109</v>
      </c>
      <c r="D86" s="34" t="n">
        <f aca="false">SUMIFS(Media_Cliente_Mes!$C$2:$C$145,Media_Cliente_Mes!$A$2:$A$145,$A86,Media_Cliente_Mes!$B$2:$B$145,$B86)</f>
        <v>17619.63</v>
      </c>
      <c r="E86" s="35" t="n">
        <f aca="false">IF($D86=0,"",IF($C86="Proteina",SUMIFS(Media_Cliente_Mes!$D$2:$D$145,Media_Cliente_Mes!$A$2:$A$145,$A86,Media_Cliente_Mes!$B$2:$B$145,$B86),IF($C86="Umidade",SUMIFS(Media_Cliente_Mes!$E$2:$E$145,Media_Cliente_Mes!$A$2:$A$145,$A86,Media_Cliente_Mes!$B$2:$B$145,$B86),SUMIFS(Media_Cliente_Mes!$F$2:$F$145,Media_Cliente_Mes!$A$2:$A$145,$A86,Media_Cliente_Mes!$B$2:$B$145,$B86))))</f>
        <v>47.4505838261076</v>
      </c>
      <c r="F86" s="35" t="n">
        <f aca="false">INDEX(Parametros_ANEC73!$C$4:$C$6,MATCH($C86,Parametros_ANEC73!$A$4:$A$6,0))</f>
        <v>48</v>
      </c>
      <c r="G86" s="35" t="n">
        <f aca="false">IF($C86="Proteina",INDEX(Media_Pool_Mes!$C$2:$C$13,MATCH($B86,Media_Pool_Mes!$A$2:$A$13,0)),IF($C86="Umidade",INDEX(Media_Pool_Mes!$D$2:$D$13,MATCH($B86,Media_Pool_Mes!$A$2:$A$13,0)),INDEX(Media_Pool_Mes!$E$2:$E$13,MATCH($B86,Media_Pool_Mes!$A$2:$A$13,0))))</f>
        <v>47.6334614958572</v>
      </c>
      <c r="H86" s="37" t="n">
        <f aca="false">INDEX(Parametros_ANEC73!$B$4:$B$6,MATCH($C86,Parametros_ANEC73!$A$4:$A$6,0))</f>
        <v>-1</v>
      </c>
      <c r="I86" s="38" t="n">
        <f aca="false">IF(OR($D86=0,$G86=""),"",IF($H86*($G86-$F86)&gt;0,$G86,$F86))</f>
        <v>47.6334614958572</v>
      </c>
      <c r="J86" s="27" t="str">
        <f aca="false">IF(OR($D86=0,$G86=""),"",IF($H86*($G86-$F86)&gt;0,"Sim","Nao"))</f>
        <v>Sim</v>
      </c>
      <c r="K86" s="27" t="str">
        <f aca="false">IF(OR($D86=0,$G86=""),"",IF(AND($H86*($E86-$F86)&gt;0,$H86*($E86-$G86)&gt;0),"Sim","Nao"))</f>
        <v>Sim</v>
      </c>
      <c r="L86" s="38" t="n">
        <f aca="false">IF(OR($D86=0,$G86=""),0,IF($K86="Sim",MAX(0,$H86*($E86-$I86)),0))</f>
        <v>0.182877669749608</v>
      </c>
      <c r="M86" s="35" t="n">
        <f aca="false">INDEX(Parametros_ANEC73!$G$4:$G$6,MATCH($C86,Parametros_ANEC73!$A$4:$A$6,0))</f>
        <v>47</v>
      </c>
      <c r="N86" s="38" t="n">
        <f aca="false">IF(OR($D86=0,$G86=""),0,IF(AND($K86="Sim",$M86&lt;&gt;""),MAX(0,$H86*($E86-$M86)),0))</f>
        <v>0</v>
      </c>
      <c r="O86" s="35" t="n">
        <f aca="false">INDEX(Parametros_ANEC73!$J$4:$J$6,MATCH($C86,Parametros_ANEC73!$A$4:$A$6,0))</f>
        <v>0</v>
      </c>
      <c r="P86" s="38" t="n">
        <f aca="false">IF(OR($D86=0,$G86=""),0,IF(AND($K86="Sim",$O86&lt;&gt;""),MAX(0,$H86*($E86-$O86)),0))</f>
        <v>0</v>
      </c>
      <c r="Q86" s="35" t="n">
        <f aca="false">INDEX(Parametros_ANEC73!$F$4:$F$6,MATCH($C86,Parametros_ANEC73!$A$4:$A$6,0))</f>
        <v>1</v>
      </c>
      <c r="R86" s="35" t="n">
        <f aca="false">INDEX(Parametros_ANEC73!$I$4:$I$6,MATCH($C86,Parametros_ANEC73!$A$4:$A$6,0))</f>
        <v>2</v>
      </c>
      <c r="S86" s="35" t="n">
        <f aca="false">INDEX(Parametros_ANEC73!$L$4:$L$6,MATCH($C86,Parametros_ANEC73!$A$4:$A$6,0))</f>
        <v>0</v>
      </c>
      <c r="T86" s="39" t="n">
        <f aca="false">INDEX(Parametros_ANEC73!$B$14:$B$25,MATCH($B86,Parametros_ANEC73!$A$14:$A$25,0))</f>
        <v>343</v>
      </c>
      <c r="U86" s="40" t="n">
        <f aca="false">IF(OR($D86=0,$G86=""),0,$D86*($T86/100)*($L86*$Q86+$N86*(IF($R86="",$Q86,$R86)-$Q86)+$P86*(IF($S86="",IF($R86="",$Q86,$R86),$S86)-IF($R86="",$Q86,$R86))))</f>
        <v>11052.2724855385</v>
      </c>
      <c r="V86" s="41" t="str">
        <f aca="false">IF(OR($D86=0,$G86=""),"",IF($H86*($E86-INDEX(Parametros_ANEC73!$M$4:$M$6,MATCH($C86,Parametros_ANEC73!$A$4:$A$6,0)))&gt;0,"Sim","Nao"))</f>
        <v>Nao</v>
      </c>
      <c r="W86" s="27" t="str">
        <f aca="false">$A86&amp;"|"&amp;$B86&amp;"|"&amp;$C86</f>
        <v>Caramuru|Mai|Proteina</v>
      </c>
    </row>
    <row r="87" customFormat="false" ht="15" hidden="false" customHeight="false" outlineLevel="0" collapsed="false">
      <c r="A87" s="27" t="s">
        <v>41</v>
      </c>
      <c r="B87" s="27" t="s">
        <v>62</v>
      </c>
      <c r="C87" s="27" t="s">
        <v>110</v>
      </c>
      <c r="D87" s="34" t="n">
        <f aca="false">SUMIFS(Media_Cliente_Mes!$C$2:$C$145,Media_Cliente_Mes!$A$2:$A$145,$A87,Media_Cliente_Mes!$B$2:$B$145,$B87)</f>
        <v>17619.63</v>
      </c>
      <c r="E87" s="35" t="n">
        <f aca="false">IF($D87=0,"",IF($C87="Proteina",SUMIFS(Media_Cliente_Mes!$D$2:$D$145,Media_Cliente_Mes!$A$2:$A$145,$A87,Media_Cliente_Mes!$B$2:$B$145,$B87),IF($C87="Umidade",SUMIFS(Media_Cliente_Mes!$E$2:$E$145,Media_Cliente_Mes!$A$2:$A$145,$A87,Media_Cliente_Mes!$B$2:$B$145,$B87),SUMIFS(Media_Cliente_Mes!$F$2:$F$145,Media_Cliente_Mes!$A$2:$A$145,$A87,Media_Cliente_Mes!$B$2:$B$145,$B87))))</f>
        <v>12.7822017318184</v>
      </c>
      <c r="F87" s="35" t="n">
        <f aca="false">INDEX(Parametros_ANEC73!$C$4:$C$6,MATCH($C87,Parametros_ANEC73!$A$4:$A$6,0))</f>
        <v>12.5</v>
      </c>
      <c r="G87" s="35" t="n">
        <f aca="false">IF($C87="Proteina",INDEX(Media_Pool_Mes!$C$2:$C$13,MATCH($B87,Media_Pool_Mes!$A$2:$A$13,0)),IF($C87="Umidade",INDEX(Media_Pool_Mes!$D$2:$D$13,MATCH($B87,Media_Pool_Mes!$A$2:$A$13,0)),INDEX(Media_Pool_Mes!$E$2:$E$13,MATCH($B87,Media_Pool_Mes!$A$2:$A$13,0))))</f>
        <v>12.3121752562954</v>
      </c>
      <c r="H87" s="37" t="n">
        <f aca="false">INDEX(Parametros_ANEC73!$B$4:$B$6,MATCH($C87,Parametros_ANEC73!$A$4:$A$6,0))</f>
        <v>1</v>
      </c>
      <c r="I87" s="38" t="n">
        <f aca="false">IF(OR($D87=0,$G87=""),"",IF($H87*($G87-$F87)&gt;0,$G87,$F87))</f>
        <v>12.5</v>
      </c>
      <c r="J87" s="27" t="str">
        <f aca="false">IF(OR($D87=0,$G87=""),"",IF($H87*($G87-$F87)&gt;0,"Sim","Nao"))</f>
        <v>Nao</v>
      </c>
      <c r="K87" s="27" t="str">
        <f aca="false">IF(OR($D87=0,$G87=""),"",IF(AND($H87*($E87-$F87)&gt;0,$H87*($E87-$G87)&gt;0),"Sim","Nao"))</f>
        <v>Sim</v>
      </c>
      <c r="L87" s="38" t="n">
        <f aca="false">IF(OR($D87=0,$G87=""),0,IF($K87="Sim",MAX(0,$H87*($E87-$I87)),0))</f>
        <v>0.282201731818432</v>
      </c>
      <c r="M87" s="35" t="n">
        <f aca="false">INDEX(Parametros_ANEC73!$G$4:$G$6,MATCH($C87,Parametros_ANEC73!$A$4:$A$6,0))</f>
        <v>0</v>
      </c>
      <c r="N87" s="38" t="n">
        <f aca="false">IF(OR($D87=0,$G87=""),0,IF(AND($K87="Sim",$M87&lt;&gt;""),MAX(0,$H87*($E87-$M87)),0))</f>
        <v>0</v>
      </c>
      <c r="O87" s="35" t="n">
        <f aca="false">INDEX(Parametros_ANEC73!$J$4:$J$6,MATCH($C87,Parametros_ANEC73!$A$4:$A$6,0))</f>
        <v>0</v>
      </c>
      <c r="P87" s="38" t="n">
        <f aca="false">IF(OR($D87=0,$G87=""),0,IF(AND($K87="Sim",$O87&lt;&gt;""),MAX(0,$H87*($E87-$O87)),0))</f>
        <v>0</v>
      </c>
      <c r="Q87" s="35" t="n">
        <f aca="false">INDEX(Parametros_ANEC73!$F$4:$F$6,MATCH($C87,Parametros_ANEC73!$A$4:$A$6,0))</f>
        <v>1</v>
      </c>
      <c r="R87" s="35" t="n">
        <f aca="false">INDEX(Parametros_ANEC73!$I$4:$I$6,MATCH($C87,Parametros_ANEC73!$A$4:$A$6,0))</f>
        <v>0</v>
      </c>
      <c r="S87" s="35" t="n">
        <f aca="false">INDEX(Parametros_ANEC73!$L$4:$L$6,MATCH($C87,Parametros_ANEC73!$A$4:$A$6,0))</f>
        <v>0</v>
      </c>
      <c r="T87" s="39" t="n">
        <f aca="false">INDEX(Parametros_ANEC73!$B$14:$B$25,MATCH($B87,Parametros_ANEC73!$A$14:$A$25,0))</f>
        <v>343</v>
      </c>
      <c r="U87" s="40" t="n">
        <f aca="false">IF(OR($D87=0,$G87=""),0,$D87*($T87/100)*($L87*$Q87+$N87*(IF($R87="",$Q87,$R87)-$Q87)+$P87*(IF($S87="",IF($R87="",$Q87,$R87),$S87)-IF($R87="",$Q87,$R87))))</f>
        <v>17054.955043</v>
      </c>
      <c r="V87" s="41" t="str">
        <f aca="false">IF(OR($D87=0,$G87=""),"",IF($H87*($E87-INDEX(Parametros_ANEC73!$M$4:$M$6,MATCH($C87,Parametros_ANEC73!$A$4:$A$6,0)))&gt;0,"Sim","Nao"))</f>
        <v>Nao</v>
      </c>
      <c r="W87" s="27" t="str">
        <f aca="false">$A87&amp;"|"&amp;$B87&amp;"|"&amp;$C87</f>
        <v>Caramuru|Mai|Umidade</v>
      </c>
    </row>
    <row r="88" customFormat="false" ht="15" hidden="false" customHeight="false" outlineLevel="0" collapsed="false">
      <c r="A88" s="27" t="s">
        <v>41</v>
      </c>
      <c r="B88" s="27" t="s">
        <v>62</v>
      </c>
      <c r="C88" s="27" t="s">
        <v>111</v>
      </c>
      <c r="D88" s="34" t="n">
        <f aca="false">SUMIFS(Media_Cliente_Mes!$C$2:$C$145,Media_Cliente_Mes!$A$2:$A$145,$A88,Media_Cliente_Mes!$B$2:$B$145,$B88)</f>
        <v>17619.63</v>
      </c>
      <c r="E88" s="35" t="n">
        <f aca="false">IF($D88=0,"",IF($C88="Proteina",SUMIFS(Media_Cliente_Mes!$D$2:$D$145,Media_Cliente_Mes!$A$2:$A$145,$A88,Media_Cliente_Mes!$B$2:$B$145,$B88),IF($C88="Umidade",SUMIFS(Media_Cliente_Mes!$E$2:$E$145,Media_Cliente_Mes!$A$2:$A$145,$A88,Media_Cliente_Mes!$B$2:$B$145,$B88),SUMIFS(Media_Cliente_Mes!$F$2:$F$145,Media_Cliente_Mes!$A$2:$A$145,$A88,Media_Cliente_Mes!$B$2:$B$145,$B88))))</f>
        <v>3.69716205731903</v>
      </c>
      <c r="F88" s="35" t="n">
        <f aca="false">INDEX(Parametros_ANEC73!$C$4:$C$6,MATCH($C88,Parametros_ANEC73!$A$4:$A$6,0))</f>
        <v>3.5</v>
      </c>
      <c r="G88" s="35" t="n">
        <f aca="false">IF($C88="Proteina",INDEX(Media_Pool_Mes!$C$2:$C$13,MATCH($B88,Media_Pool_Mes!$A$2:$A$13,0)),IF($C88="Umidade",INDEX(Media_Pool_Mes!$D$2:$D$13,MATCH($B88,Media_Pool_Mes!$A$2:$A$13,0)),INDEX(Media_Pool_Mes!$E$2:$E$13,MATCH($B88,Media_Pool_Mes!$A$2:$A$13,0))))</f>
        <v>3.64524916105719</v>
      </c>
      <c r="H88" s="37" t="n">
        <f aca="false">INDEX(Parametros_ANEC73!$B$4:$B$6,MATCH($C88,Parametros_ANEC73!$A$4:$A$6,0))</f>
        <v>1</v>
      </c>
      <c r="I88" s="38" t="n">
        <f aca="false">IF(OR($D88=0,$G88=""),"",IF($H88*($G88-$F88)&gt;0,$G88,$F88))</f>
        <v>3.64524916105719</v>
      </c>
      <c r="J88" s="27" t="str">
        <f aca="false">IF(OR($D88=0,$G88=""),"",IF($H88*($G88-$F88)&gt;0,"Sim","Nao"))</f>
        <v>Sim</v>
      </c>
      <c r="K88" s="27" t="str">
        <f aca="false">IF(OR($D88=0,$G88=""),"",IF(AND($H88*($E88-$F88)&gt;0,$H88*($E88-$G88)&gt;0),"Sim","Nao"))</f>
        <v>Sim</v>
      </c>
      <c r="L88" s="38" t="n">
        <f aca="false">IF(OR($D88=0,$G88=""),0,IF($K88="Sim",MAX(0,$H88*($E88-$I88)),0))</f>
        <v>0.0519128962618329</v>
      </c>
      <c r="M88" s="35" t="n">
        <f aca="false">INDEX(Parametros_ANEC73!$G$4:$G$6,MATCH($C88,Parametros_ANEC73!$A$4:$A$6,0))</f>
        <v>3.8</v>
      </c>
      <c r="N88" s="38" t="n">
        <f aca="false">IF(OR($D88=0,$G88=""),0,IF(AND($K88="Sim",$M88&lt;&gt;""),MAX(0,$H88*($E88-$M88)),0))</f>
        <v>0</v>
      </c>
      <c r="O88" s="35" t="n">
        <f aca="false">INDEX(Parametros_ANEC73!$J$4:$J$6,MATCH($C88,Parametros_ANEC73!$A$4:$A$6,0))</f>
        <v>4</v>
      </c>
      <c r="P88" s="38" t="n">
        <f aca="false">IF(OR($D88=0,$G88=""),0,IF(AND($K88="Sim",$O88&lt;&gt;""),MAX(0,$H88*($E88-$O88)),0))</f>
        <v>0</v>
      </c>
      <c r="Q88" s="35" t="n">
        <f aca="false">INDEX(Parametros_ANEC73!$F$4:$F$6,MATCH($C88,Parametros_ANEC73!$A$4:$A$6,0))</f>
        <v>1</v>
      </c>
      <c r="R88" s="35" t="n">
        <f aca="false">INDEX(Parametros_ANEC73!$I$4:$I$6,MATCH($C88,Parametros_ANEC73!$A$4:$A$6,0))</f>
        <v>1.5</v>
      </c>
      <c r="S88" s="35" t="n">
        <f aca="false">INDEX(Parametros_ANEC73!$L$4:$L$6,MATCH($C88,Parametros_ANEC73!$A$4:$A$6,0))</f>
        <v>2</v>
      </c>
      <c r="T88" s="39" t="n">
        <f aca="false">INDEX(Parametros_ANEC73!$B$14:$B$25,MATCH($B88,Parametros_ANEC73!$A$14:$A$25,0))</f>
        <v>343</v>
      </c>
      <c r="U88" s="40" t="n">
        <f aca="false">IF(OR($D88=0,$G88=""),0,$D88*($T88/100)*($L88*$Q88+$N88*(IF($R88="",$Q88,$R88)-$Q88)+$P88*(IF($S88="",IF($R88="",$Q88,$R88),$S88)-IF($R88="",$Q88,$R88))))</f>
        <v>3137.37306356125</v>
      </c>
      <c r="V88" s="41" t="str">
        <f aca="false">IF(OR($D88=0,$G88=""),"",IF($H88*($E88-INDEX(Parametros_ANEC73!$M$4:$M$6,MATCH($C88,Parametros_ANEC73!$A$4:$A$6,0)))&gt;0,"Sim","Nao"))</f>
        <v>Nao</v>
      </c>
      <c r="W88" s="27" t="str">
        <f aca="false">$A88&amp;"|"&amp;$B88&amp;"|"&amp;$C88</f>
        <v>Caramuru|Mai|Fibra</v>
      </c>
    </row>
    <row r="89" customFormat="false" ht="15" hidden="false" customHeight="false" outlineLevel="0" collapsed="false">
      <c r="A89" s="27" t="s">
        <v>41</v>
      </c>
      <c r="B89" s="27" t="s">
        <v>63</v>
      </c>
      <c r="C89" s="27" t="s">
        <v>109</v>
      </c>
      <c r="D89" s="34" t="n">
        <f aca="false">SUMIFS(Media_Cliente_Mes!$C$2:$C$145,Media_Cliente_Mes!$A$2:$A$145,$A89,Media_Cliente_Mes!$B$2:$B$145,$B89)</f>
        <v>41497.14</v>
      </c>
      <c r="E89" s="35" t="n">
        <f aca="false">IF($D89=0,"",IF($C89="Proteina",SUMIFS(Media_Cliente_Mes!$D$2:$D$145,Media_Cliente_Mes!$A$2:$A$145,$A89,Media_Cliente_Mes!$B$2:$B$145,$B89),IF($C89="Umidade",SUMIFS(Media_Cliente_Mes!$E$2:$E$145,Media_Cliente_Mes!$A$2:$A$145,$A89,Media_Cliente_Mes!$B$2:$B$145,$B89),SUMIFS(Media_Cliente_Mes!$F$2:$F$145,Media_Cliente_Mes!$A$2:$A$145,$A89,Media_Cliente_Mes!$B$2:$B$145,$B89))))</f>
        <v>47.521829550181</v>
      </c>
      <c r="F89" s="35" t="n">
        <f aca="false">INDEX(Parametros_ANEC73!$C$4:$C$6,MATCH($C89,Parametros_ANEC73!$A$4:$A$6,0))</f>
        <v>48</v>
      </c>
      <c r="G89" s="35" t="n">
        <f aca="false">IF($C89="Proteina",INDEX(Media_Pool_Mes!$C$2:$C$13,MATCH($B89,Media_Pool_Mes!$A$2:$A$13,0)),IF($C89="Umidade",INDEX(Media_Pool_Mes!$D$2:$D$13,MATCH($B89,Media_Pool_Mes!$A$2:$A$13,0)),INDEX(Media_Pool_Mes!$E$2:$E$13,MATCH($B89,Media_Pool_Mes!$A$2:$A$13,0))))</f>
        <v>47.4834226367413</v>
      </c>
      <c r="H89" s="37" t="n">
        <f aca="false">INDEX(Parametros_ANEC73!$B$4:$B$6,MATCH($C89,Parametros_ANEC73!$A$4:$A$6,0))</f>
        <v>-1</v>
      </c>
      <c r="I89" s="38" t="n">
        <f aca="false">IF(OR($D89=0,$G89=""),"",IF($H89*($G89-$F89)&gt;0,$G89,$F89))</f>
        <v>47.4834226367413</v>
      </c>
      <c r="J89" s="27" t="str">
        <f aca="false">IF(OR($D89=0,$G89=""),"",IF($H89*($G89-$F89)&gt;0,"Sim","Nao"))</f>
        <v>Sim</v>
      </c>
      <c r="K89" s="27" t="str">
        <f aca="false">IF(OR($D89=0,$G89=""),"",IF(AND($H89*($E89-$F89)&gt;0,$H89*($E89-$G89)&gt;0),"Sim","Nao"))</f>
        <v>Nao</v>
      </c>
      <c r="L89" s="38" t="n">
        <f aca="false">IF(OR($D89=0,$G89=""),0,IF($K89="Sim",MAX(0,$H89*($E89-$I89)),0))</f>
        <v>0</v>
      </c>
      <c r="M89" s="35" t="n">
        <f aca="false">INDEX(Parametros_ANEC73!$G$4:$G$6,MATCH($C89,Parametros_ANEC73!$A$4:$A$6,0))</f>
        <v>47</v>
      </c>
      <c r="N89" s="38" t="n">
        <f aca="false">IF(OR($D89=0,$G89=""),0,IF(AND($K89="Sim",$M89&lt;&gt;""),MAX(0,$H89*($E89-$M89)),0))</f>
        <v>0</v>
      </c>
      <c r="O89" s="35" t="n">
        <f aca="false">INDEX(Parametros_ANEC73!$J$4:$J$6,MATCH($C89,Parametros_ANEC73!$A$4:$A$6,0))</f>
        <v>0</v>
      </c>
      <c r="P89" s="38" t="n">
        <f aca="false">IF(OR($D89=0,$G89=""),0,IF(AND($K89="Sim",$O89&lt;&gt;""),MAX(0,$H89*($E89-$O89)),0))</f>
        <v>0</v>
      </c>
      <c r="Q89" s="35" t="n">
        <f aca="false">INDEX(Parametros_ANEC73!$F$4:$F$6,MATCH($C89,Parametros_ANEC73!$A$4:$A$6,0))</f>
        <v>1</v>
      </c>
      <c r="R89" s="35" t="n">
        <f aca="false">INDEX(Parametros_ANEC73!$I$4:$I$6,MATCH($C89,Parametros_ANEC73!$A$4:$A$6,0))</f>
        <v>2</v>
      </c>
      <c r="S89" s="35" t="n">
        <f aca="false">INDEX(Parametros_ANEC73!$L$4:$L$6,MATCH($C89,Parametros_ANEC73!$A$4:$A$6,0))</f>
        <v>0</v>
      </c>
      <c r="T89" s="39" t="n">
        <f aca="false">INDEX(Parametros_ANEC73!$B$14:$B$25,MATCH($B89,Parametros_ANEC73!$A$14:$A$25,0))</f>
        <v>326</v>
      </c>
      <c r="U89" s="40" t="n">
        <f aca="false">IF(OR($D89=0,$G89=""),0,$D89*($T89/100)*($L89*$Q89+$N89*(IF($R89="",$Q89,$R89)-$Q89)+$P89*(IF($S89="",IF($R89="",$Q89,$R89),$S89)-IF($R89="",$Q89,$R89))))</f>
        <v>0</v>
      </c>
      <c r="V89" s="41" t="str">
        <f aca="false">IF(OR($D89=0,$G89=""),"",IF($H89*($E89-INDEX(Parametros_ANEC73!$M$4:$M$6,MATCH($C89,Parametros_ANEC73!$A$4:$A$6,0)))&gt;0,"Sim","Nao"))</f>
        <v>Nao</v>
      </c>
      <c r="W89" s="27" t="str">
        <f aca="false">$A89&amp;"|"&amp;$B89&amp;"|"&amp;$C89</f>
        <v>Caramuru|Jun|Proteina</v>
      </c>
    </row>
    <row r="90" customFormat="false" ht="15" hidden="false" customHeight="false" outlineLevel="0" collapsed="false">
      <c r="A90" s="27" t="s">
        <v>41</v>
      </c>
      <c r="B90" s="27" t="s">
        <v>63</v>
      </c>
      <c r="C90" s="27" t="s">
        <v>110</v>
      </c>
      <c r="D90" s="34" t="n">
        <f aca="false">SUMIFS(Media_Cliente_Mes!$C$2:$C$145,Media_Cliente_Mes!$A$2:$A$145,$A90,Media_Cliente_Mes!$B$2:$B$145,$B90)</f>
        <v>41497.14</v>
      </c>
      <c r="E90" s="35" t="n">
        <f aca="false">IF($D90=0,"",IF($C90="Proteina",SUMIFS(Media_Cliente_Mes!$D$2:$D$145,Media_Cliente_Mes!$A$2:$A$145,$A90,Media_Cliente_Mes!$B$2:$B$145,$B90),IF($C90="Umidade",SUMIFS(Media_Cliente_Mes!$E$2:$E$145,Media_Cliente_Mes!$A$2:$A$145,$A90,Media_Cliente_Mes!$B$2:$B$145,$B90),SUMIFS(Media_Cliente_Mes!$F$2:$F$145,Media_Cliente_Mes!$A$2:$A$145,$A90,Media_Cliente_Mes!$B$2:$B$145,$B90))))</f>
        <v>13.5359303990588</v>
      </c>
      <c r="F90" s="35" t="n">
        <f aca="false">INDEX(Parametros_ANEC73!$C$4:$C$6,MATCH($C90,Parametros_ANEC73!$A$4:$A$6,0))</f>
        <v>12.5</v>
      </c>
      <c r="G90" s="35" t="n">
        <f aca="false">IF($C90="Proteina",INDEX(Media_Pool_Mes!$C$2:$C$13,MATCH($B90,Media_Pool_Mes!$A$2:$A$13,0)),IF($C90="Umidade",INDEX(Media_Pool_Mes!$D$2:$D$13,MATCH($B90,Media_Pool_Mes!$A$2:$A$13,0)),INDEX(Media_Pool_Mes!$E$2:$E$13,MATCH($B90,Media_Pool_Mes!$A$2:$A$13,0))))</f>
        <v>12.6225093779221</v>
      </c>
      <c r="H90" s="37" t="n">
        <f aca="false">INDEX(Parametros_ANEC73!$B$4:$B$6,MATCH($C90,Parametros_ANEC73!$A$4:$A$6,0))</f>
        <v>1</v>
      </c>
      <c r="I90" s="38" t="n">
        <f aca="false">IF(OR($D90=0,$G90=""),"",IF($H90*($G90-$F90)&gt;0,$G90,$F90))</f>
        <v>12.6225093779221</v>
      </c>
      <c r="J90" s="27" t="str">
        <f aca="false">IF(OR($D90=0,$G90=""),"",IF($H90*($G90-$F90)&gt;0,"Sim","Nao"))</f>
        <v>Sim</v>
      </c>
      <c r="K90" s="27" t="str">
        <f aca="false">IF(OR($D90=0,$G90=""),"",IF(AND($H90*($E90-$F90)&gt;0,$H90*($E90-$G90)&gt;0),"Sim","Nao"))</f>
        <v>Sim</v>
      </c>
      <c r="L90" s="38" t="n">
        <f aca="false">IF(OR($D90=0,$G90=""),0,IF($K90="Sim",MAX(0,$H90*($E90-$I90)),0))</f>
        <v>0.913421021136744</v>
      </c>
      <c r="M90" s="35" t="n">
        <f aca="false">INDEX(Parametros_ANEC73!$G$4:$G$6,MATCH($C90,Parametros_ANEC73!$A$4:$A$6,0))</f>
        <v>0</v>
      </c>
      <c r="N90" s="38" t="n">
        <f aca="false">IF(OR($D90=0,$G90=""),0,IF(AND($K90="Sim",$M90&lt;&gt;""),MAX(0,$H90*($E90-$M90)),0))</f>
        <v>0</v>
      </c>
      <c r="O90" s="35" t="n">
        <f aca="false">INDEX(Parametros_ANEC73!$J$4:$J$6,MATCH($C90,Parametros_ANEC73!$A$4:$A$6,0))</f>
        <v>0</v>
      </c>
      <c r="P90" s="38" t="n">
        <f aca="false">IF(OR($D90=0,$G90=""),0,IF(AND($K90="Sim",$O90&lt;&gt;""),MAX(0,$H90*($E90-$O90)),0))</f>
        <v>0</v>
      </c>
      <c r="Q90" s="35" t="n">
        <f aca="false">INDEX(Parametros_ANEC73!$F$4:$F$6,MATCH($C90,Parametros_ANEC73!$A$4:$A$6,0))</f>
        <v>1</v>
      </c>
      <c r="R90" s="35" t="n">
        <f aca="false">INDEX(Parametros_ANEC73!$I$4:$I$6,MATCH($C90,Parametros_ANEC73!$A$4:$A$6,0))</f>
        <v>0</v>
      </c>
      <c r="S90" s="35" t="n">
        <f aca="false">INDEX(Parametros_ANEC73!$L$4:$L$6,MATCH($C90,Parametros_ANEC73!$A$4:$A$6,0))</f>
        <v>0</v>
      </c>
      <c r="T90" s="39" t="n">
        <f aca="false">INDEX(Parametros_ANEC73!$B$14:$B$25,MATCH($B90,Parametros_ANEC73!$A$14:$A$25,0))</f>
        <v>326</v>
      </c>
      <c r="U90" s="40" t="n">
        <f aca="false">IF(OR($D90=0,$G90=""),0,$D90*($T90/100)*($L90*$Q90+$N90*(IF($R90="",$Q90,$R90)-$Q90)+$P90*(IF($S90="",IF($R90="",$Q90,$R90),$S90)-IF($R90="",$Q90,$R90))))</f>
        <v>123568.213577357</v>
      </c>
      <c r="V90" s="41" t="str">
        <f aca="false">IF(OR($D90=0,$G90=""),"",IF($H90*($E90-INDEX(Parametros_ANEC73!$M$4:$M$6,MATCH($C90,Parametros_ANEC73!$A$4:$A$6,0)))&gt;0,"Sim","Nao"))</f>
        <v>Sim</v>
      </c>
      <c r="W90" s="27" t="str">
        <f aca="false">$A90&amp;"|"&amp;$B90&amp;"|"&amp;$C90</f>
        <v>Caramuru|Jun|Umidade</v>
      </c>
    </row>
    <row r="91" customFormat="false" ht="15" hidden="false" customHeight="false" outlineLevel="0" collapsed="false">
      <c r="A91" s="27" t="s">
        <v>41</v>
      </c>
      <c r="B91" s="27" t="s">
        <v>63</v>
      </c>
      <c r="C91" s="27" t="s">
        <v>111</v>
      </c>
      <c r="D91" s="34" t="n">
        <f aca="false">SUMIFS(Media_Cliente_Mes!$C$2:$C$145,Media_Cliente_Mes!$A$2:$A$145,$A91,Media_Cliente_Mes!$B$2:$B$145,$B91)</f>
        <v>41497.14</v>
      </c>
      <c r="E91" s="35" t="n">
        <f aca="false">IF($D91=0,"",IF($C91="Proteina",SUMIFS(Media_Cliente_Mes!$D$2:$D$145,Media_Cliente_Mes!$A$2:$A$145,$A91,Media_Cliente_Mes!$B$2:$B$145,$B91),IF($C91="Umidade",SUMIFS(Media_Cliente_Mes!$E$2:$E$145,Media_Cliente_Mes!$A$2:$A$145,$A91,Media_Cliente_Mes!$B$2:$B$145,$B91),SUMIFS(Media_Cliente_Mes!$F$2:$F$145,Media_Cliente_Mes!$A$2:$A$145,$A91,Media_Cliente_Mes!$B$2:$B$145,$B91))))</f>
        <v>3.65032825153734</v>
      </c>
      <c r="F91" s="35" t="n">
        <f aca="false">INDEX(Parametros_ANEC73!$C$4:$C$6,MATCH($C91,Parametros_ANEC73!$A$4:$A$6,0))</f>
        <v>3.5</v>
      </c>
      <c r="G91" s="35" t="n">
        <f aca="false">IF($C91="Proteina",INDEX(Media_Pool_Mes!$C$2:$C$13,MATCH($B91,Media_Pool_Mes!$A$2:$A$13,0)),IF($C91="Umidade",INDEX(Media_Pool_Mes!$D$2:$D$13,MATCH($B91,Media_Pool_Mes!$A$2:$A$13,0)),INDEX(Media_Pool_Mes!$E$2:$E$13,MATCH($B91,Media_Pool_Mes!$A$2:$A$13,0))))</f>
        <v>3.72652113613862</v>
      </c>
      <c r="H91" s="37" t="n">
        <f aca="false">INDEX(Parametros_ANEC73!$B$4:$B$6,MATCH($C91,Parametros_ANEC73!$A$4:$A$6,0))</f>
        <v>1</v>
      </c>
      <c r="I91" s="38" t="n">
        <f aca="false">IF(OR($D91=0,$G91=""),"",IF($H91*($G91-$F91)&gt;0,$G91,$F91))</f>
        <v>3.72652113613862</v>
      </c>
      <c r="J91" s="27" t="str">
        <f aca="false">IF(OR($D91=0,$G91=""),"",IF($H91*($G91-$F91)&gt;0,"Sim","Nao"))</f>
        <v>Sim</v>
      </c>
      <c r="K91" s="27" t="str">
        <f aca="false">IF(OR($D91=0,$G91=""),"",IF(AND($H91*($E91-$F91)&gt;0,$H91*($E91-$G91)&gt;0),"Sim","Nao"))</f>
        <v>Nao</v>
      </c>
      <c r="L91" s="38" t="n">
        <f aca="false">IF(OR($D91=0,$G91=""),0,IF($K91="Sim",MAX(0,$H91*($E91-$I91)),0))</f>
        <v>0</v>
      </c>
      <c r="M91" s="35" t="n">
        <f aca="false">INDEX(Parametros_ANEC73!$G$4:$G$6,MATCH($C91,Parametros_ANEC73!$A$4:$A$6,0))</f>
        <v>3.8</v>
      </c>
      <c r="N91" s="38" t="n">
        <f aca="false">IF(OR($D91=0,$G91=""),0,IF(AND($K91="Sim",$M91&lt;&gt;""),MAX(0,$H91*($E91-$M91)),0))</f>
        <v>0</v>
      </c>
      <c r="O91" s="35" t="n">
        <f aca="false">INDEX(Parametros_ANEC73!$J$4:$J$6,MATCH($C91,Parametros_ANEC73!$A$4:$A$6,0))</f>
        <v>4</v>
      </c>
      <c r="P91" s="38" t="n">
        <f aca="false">IF(OR($D91=0,$G91=""),0,IF(AND($K91="Sim",$O91&lt;&gt;""),MAX(0,$H91*($E91-$O91)),0))</f>
        <v>0</v>
      </c>
      <c r="Q91" s="35" t="n">
        <f aca="false">INDEX(Parametros_ANEC73!$F$4:$F$6,MATCH($C91,Parametros_ANEC73!$A$4:$A$6,0))</f>
        <v>1</v>
      </c>
      <c r="R91" s="35" t="n">
        <f aca="false">INDEX(Parametros_ANEC73!$I$4:$I$6,MATCH($C91,Parametros_ANEC73!$A$4:$A$6,0))</f>
        <v>1.5</v>
      </c>
      <c r="S91" s="35" t="n">
        <f aca="false">INDEX(Parametros_ANEC73!$L$4:$L$6,MATCH($C91,Parametros_ANEC73!$A$4:$A$6,0))</f>
        <v>2</v>
      </c>
      <c r="T91" s="39" t="n">
        <f aca="false">INDEX(Parametros_ANEC73!$B$14:$B$25,MATCH($B91,Parametros_ANEC73!$A$14:$A$25,0))</f>
        <v>326</v>
      </c>
      <c r="U91" s="40" t="n">
        <f aca="false">IF(OR($D91=0,$G91=""),0,$D91*($T91/100)*($L91*$Q91+$N91*(IF($R91="",$Q91,$R91)-$Q91)+$P91*(IF($S91="",IF($R91="",$Q91,$R91),$S91)-IF($R91="",$Q91,$R91))))</f>
        <v>0</v>
      </c>
      <c r="V91" s="41" t="str">
        <f aca="false">IF(OR($D91=0,$G91=""),"",IF($H91*($E91-INDEX(Parametros_ANEC73!$M$4:$M$6,MATCH($C91,Parametros_ANEC73!$A$4:$A$6,0)))&gt;0,"Sim","Nao"))</f>
        <v>Nao</v>
      </c>
      <c r="W91" s="27" t="str">
        <f aca="false">$A91&amp;"|"&amp;$B91&amp;"|"&amp;$C91</f>
        <v>Caramuru|Jun|Fibra</v>
      </c>
    </row>
    <row r="92" customFormat="false" ht="15" hidden="false" customHeight="false" outlineLevel="0" collapsed="false">
      <c r="A92" s="27" t="s">
        <v>41</v>
      </c>
      <c r="B92" s="27" t="s">
        <v>64</v>
      </c>
      <c r="C92" s="27" t="s">
        <v>109</v>
      </c>
      <c r="D92" s="34" t="n">
        <f aca="false">SUMIFS(Media_Cliente_Mes!$C$2:$C$145,Media_Cliente_Mes!$A$2:$A$145,$A92,Media_Cliente_Mes!$B$2:$B$145,$B92)</f>
        <v>78263.287</v>
      </c>
      <c r="E92" s="35" t="n">
        <f aca="false">IF($D92=0,"",IF($C92="Proteina",SUMIFS(Media_Cliente_Mes!$D$2:$D$145,Media_Cliente_Mes!$A$2:$A$145,$A92,Media_Cliente_Mes!$B$2:$B$145,$B92),IF($C92="Umidade",SUMIFS(Media_Cliente_Mes!$E$2:$E$145,Media_Cliente_Mes!$A$2:$A$145,$A92,Media_Cliente_Mes!$B$2:$B$145,$B92),SUMIFS(Media_Cliente_Mes!$F$2:$F$145,Media_Cliente_Mes!$A$2:$A$145,$A92,Media_Cliente_Mes!$B$2:$B$145,$B92))))</f>
        <v>47.8575363503452</v>
      </c>
      <c r="F92" s="35" t="n">
        <f aca="false">INDEX(Parametros_ANEC73!$C$4:$C$6,MATCH($C92,Parametros_ANEC73!$A$4:$A$6,0))</f>
        <v>48</v>
      </c>
      <c r="G92" s="35" t="n">
        <f aca="false">IF($C92="Proteina",INDEX(Media_Pool_Mes!$C$2:$C$13,MATCH($B92,Media_Pool_Mes!$A$2:$A$13,0)),IF($C92="Umidade",INDEX(Media_Pool_Mes!$D$2:$D$13,MATCH($B92,Media_Pool_Mes!$A$2:$A$13,0)),INDEX(Media_Pool_Mes!$E$2:$E$13,MATCH($B92,Media_Pool_Mes!$A$2:$A$13,0))))</f>
        <v>47.6816680231132</v>
      </c>
      <c r="H92" s="37" t="n">
        <f aca="false">INDEX(Parametros_ANEC73!$B$4:$B$6,MATCH($C92,Parametros_ANEC73!$A$4:$A$6,0))</f>
        <v>-1</v>
      </c>
      <c r="I92" s="38" t="n">
        <f aca="false">IF(OR($D92=0,$G92=""),"",IF($H92*($G92-$F92)&gt;0,$G92,$F92))</f>
        <v>47.6816680231132</v>
      </c>
      <c r="J92" s="27" t="str">
        <f aca="false">IF(OR($D92=0,$G92=""),"",IF($H92*($G92-$F92)&gt;0,"Sim","Nao"))</f>
        <v>Sim</v>
      </c>
      <c r="K92" s="27" t="str">
        <f aca="false">IF(OR($D92=0,$G92=""),"",IF(AND($H92*($E92-$F92)&gt;0,$H92*($E92-$G92)&gt;0),"Sim","Nao"))</f>
        <v>Nao</v>
      </c>
      <c r="L92" s="38" t="n">
        <f aca="false">IF(OR($D92=0,$G92=""),0,IF($K92="Sim",MAX(0,$H92*($E92-$I92)),0))</f>
        <v>0</v>
      </c>
      <c r="M92" s="35" t="n">
        <f aca="false">INDEX(Parametros_ANEC73!$G$4:$G$6,MATCH($C92,Parametros_ANEC73!$A$4:$A$6,0))</f>
        <v>47</v>
      </c>
      <c r="N92" s="38" t="n">
        <f aca="false">IF(OR($D92=0,$G92=""),0,IF(AND($K92="Sim",$M92&lt;&gt;""),MAX(0,$H92*($E92-$M92)),0))</f>
        <v>0</v>
      </c>
      <c r="O92" s="35" t="n">
        <f aca="false">INDEX(Parametros_ANEC73!$J$4:$J$6,MATCH($C92,Parametros_ANEC73!$A$4:$A$6,0))</f>
        <v>0</v>
      </c>
      <c r="P92" s="38" t="n">
        <f aca="false">IF(OR($D92=0,$G92=""),0,IF(AND($K92="Sim",$O92&lt;&gt;""),MAX(0,$H92*($E92-$O92)),0))</f>
        <v>0</v>
      </c>
      <c r="Q92" s="35" t="n">
        <f aca="false">INDEX(Parametros_ANEC73!$F$4:$F$6,MATCH($C92,Parametros_ANEC73!$A$4:$A$6,0))</f>
        <v>1</v>
      </c>
      <c r="R92" s="35" t="n">
        <f aca="false">INDEX(Parametros_ANEC73!$I$4:$I$6,MATCH($C92,Parametros_ANEC73!$A$4:$A$6,0))</f>
        <v>2</v>
      </c>
      <c r="S92" s="35" t="n">
        <f aca="false">INDEX(Parametros_ANEC73!$L$4:$L$6,MATCH($C92,Parametros_ANEC73!$A$4:$A$6,0))</f>
        <v>0</v>
      </c>
      <c r="T92" s="39" t="n">
        <f aca="false">INDEX(Parametros_ANEC73!$B$14:$B$25,MATCH($B92,Parametros_ANEC73!$A$14:$A$25,0))</f>
        <v>326</v>
      </c>
      <c r="U92" s="40" t="n">
        <f aca="false">IF(OR($D92=0,$G92=""),0,$D92*($T92/100)*($L92*$Q92+$N92*(IF($R92="",$Q92,$R92)-$Q92)+$P92*(IF($S92="",IF($R92="",$Q92,$R92),$S92)-IF($R92="",$Q92,$R92))))</f>
        <v>0</v>
      </c>
      <c r="V92" s="41" t="str">
        <f aca="false">IF(OR($D92=0,$G92=""),"",IF($H92*($E92-INDEX(Parametros_ANEC73!$M$4:$M$6,MATCH($C92,Parametros_ANEC73!$A$4:$A$6,0)))&gt;0,"Sim","Nao"))</f>
        <v>Nao</v>
      </c>
      <c r="W92" s="27" t="str">
        <f aca="false">$A92&amp;"|"&amp;$B92&amp;"|"&amp;$C92</f>
        <v>Caramuru|Jul|Proteina</v>
      </c>
    </row>
    <row r="93" customFormat="false" ht="15" hidden="false" customHeight="false" outlineLevel="0" collapsed="false">
      <c r="A93" s="27" t="s">
        <v>41</v>
      </c>
      <c r="B93" s="27" t="s">
        <v>64</v>
      </c>
      <c r="C93" s="27" t="s">
        <v>110</v>
      </c>
      <c r="D93" s="34" t="n">
        <f aca="false">SUMIFS(Media_Cliente_Mes!$C$2:$C$145,Media_Cliente_Mes!$A$2:$A$145,$A93,Media_Cliente_Mes!$B$2:$B$145,$B93)</f>
        <v>78263.287</v>
      </c>
      <c r="E93" s="35" t="n">
        <f aca="false">IF($D93=0,"",IF($C93="Proteina",SUMIFS(Media_Cliente_Mes!$D$2:$D$145,Media_Cliente_Mes!$A$2:$A$145,$A93,Media_Cliente_Mes!$B$2:$B$145,$B93),IF($C93="Umidade",SUMIFS(Media_Cliente_Mes!$E$2:$E$145,Media_Cliente_Mes!$A$2:$A$145,$A93,Media_Cliente_Mes!$B$2:$B$145,$B93),SUMIFS(Media_Cliente_Mes!$F$2:$F$145,Media_Cliente_Mes!$A$2:$A$145,$A93,Media_Cliente_Mes!$B$2:$B$145,$B93))))</f>
        <v>12.7900274938618</v>
      </c>
      <c r="F93" s="35" t="n">
        <f aca="false">INDEX(Parametros_ANEC73!$C$4:$C$6,MATCH($C93,Parametros_ANEC73!$A$4:$A$6,0))</f>
        <v>12.5</v>
      </c>
      <c r="G93" s="35" t="n">
        <f aca="false">IF($C93="Proteina",INDEX(Media_Pool_Mes!$C$2:$C$13,MATCH($B93,Media_Pool_Mes!$A$2:$A$13,0)),IF($C93="Umidade",INDEX(Media_Pool_Mes!$D$2:$D$13,MATCH($B93,Media_Pool_Mes!$A$2:$A$13,0)),INDEX(Media_Pool_Mes!$E$2:$E$13,MATCH($B93,Media_Pool_Mes!$A$2:$A$13,0))))</f>
        <v>12.2356489048309</v>
      </c>
      <c r="H93" s="37" t="n">
        <f aca="false">INDEX(Parametros_ANEC73!$B$4:$B$6,MATCH($C93,Parametros_ANEC73!$A$4:$A$6,0))</f>
        <v>1</v>
      </c>
      <c r="I93" s="38" t="n">
        <f aca="false">IF(OR($D93=0,$G93=""),"",IF($H93*($G93-$F93)&gt;0,$G93,$F93))</f>
        <v>12.5</v>
      </c>
      <c r="J93" s="27" t="str">
        <f aca="false">IF(OR($D93=0,$G93=""),"",IF($H93*($G93-$F93)&gt;0,"Sim","Nao"))</f>
        <v>Nao</v>
      </c>
      <c r="K93" s="27" t="str">
        <f aca="false">IF(OR($D93=0,$G93=""),"",IF(AND($H93*($E93-$F93)&gt;0,$H93*($E93-$G93)&gt;0),"Sim","Nao"))</f>
        <v>Sim</v>
      </c>
      <c r="L93" s="38" t="n">
        <f aca="false">IF(OR($D93=0,$G93=""),0,IF($K93="Sim",MAX(0,$H93*($E93-$I93)),0))</f>
        <v>0.290027493861841</v>
      </c>
      <c r="M93" s="35" t="n">
        <f aca="false">INDEX(Parametros_ANEC73!$G$4:$G$6,MATCH($C93,Parametros_ANEC73!$A$4:$A$6,0))</f>
        <v>0</v>
      </c>
      <c r="N93" s="38" t="n">
        <f aca="false">IF(OR($D93=0,$G93=""),0,IF(AND($K93="Sim",$M93&lt;&gt;""),MAX(0,$H93*($E93-$M93)),0))</f>
        <v>0</v>
      </c>
      <c r="O93" s="35" t="n">
        <f aca="false">INDEX(Parametros_ANEC73!$J$4:$J$6,MATCH($C93,Parametros_ANEC73!$A$4:$A$6,0))</f>
        <v>0</v>
      </c>
      <c r="P93" s="38" t="n">
        <f aca="false">IF(OR($D93=0,$G93=""),0,IF(AND($K93="Sim",$O93&lt;&gt;""),MAX(0,$H93*($E93-$O93)),0))</f>
        <v>0</v>
      </c>
      <c r="Q93" s="35" t="n">
        <f aca="false">INDEX(Parametros_ANEC73!$F$4:$F$6,MATCH($C93,Parametros_ANEC73!$A$4:$A$6,0))</f>
        <v>1</v>
      </c>
      <c r="R93" s="35" t="n">
        <f aca="false">INDEX(Parametros_ANEC73!$I$4:$I$6,MATCH($C93,Parametros_ANEC73!$A$4:$A$6,0))</f>
        <v>0</v>
      </c>
      <c r="S93" s="35" t="n">
        <f aca="false">INDEX(Parametros_ANEC73!$L$4:$L$6,MATCH($C93,Parametros_ANEC73!$A$4:$A$6,0))</f>
        <v>0</v>
      </c>
      <c r="T93" s="39" t="n">
        <f aca="false">INDEX(Parametros_ANEC73!$B$14:$B$25,MATCH($B93,Parametros_ANEC73!$A$14:$A$25,0))</f>
        <v>326</v>
      </c>
      <c r="U93" s="40" t="n">
        <f aca="false">IF(OR($D93=0,$G93=""),0,$D93*($T93/100)*($L93*$Q93+$N93*(IF($R93="",$Q93,$R93)-$Q93)+$P93*(IF($S93="",IF($R93="",$Q93,$R93),$S93)-IF($R93="",$Q93,$R93))))</f>
        <v>73997.1262673999</v>
      </c>
      <c r="V93" s="41" t="str">
        <f aca="false">IF(OR($D93=0,$G93=""),"",IF($H93*($E93-INDEX(Parametros_ANEC73!$M$4:$M$6,MATCH($C93,Parametros_ANEC73!$A$4:$A$6,0)))&gt;0,"Sim","Nao"))</f>
        <v>Nao</v>
      </c>
      <c r="W93" s="27" t="str">
        <f aca="false">$A93&amp;"|"&amp;$B93&amp;"|"&amp;$C93</f>
        <v>Caramuru|Jul|Umidade</v>
      </c>
    </row>
    <row r="94" customFormat="false" ht="15" hidden="false" customHeight="false" outlineLevel="0" collapsed="false">
      <c r="A94" s="27" t="s">
        <v>41</v>
      </c>
      <c r="B94" s="27" t="s">
        <v>64</v>
      </c>
      <c r="C94" s="27" t="s">
        <v>111</v>
      </c>
      <c r="D94" s="34" t="n">
        <f aca="false">SUMIFS(Media_Cliente_Mes!$C$2:$C$145,Media_Cliente_Mes!$A$2:$A$145,$A94,Media_Cliente_Mes!$B$2:$B$145,$B94)</f>
        <v>78263.287</v>
      </c>
      <c r="E94" s="35" t="n">
        <f aca="false">IF($D94=0,"",IF($C94="Proteina",SUMIFS(Media_Cliente_Mes!$D$2:$D$145,Media_Cliente_Mes!$A$2:$A$145,$A94,Media_Cliente_Mes!$B$2:$B$145,$B94),IF($C94="Umidade",SUMIFS(Media_Cliente_Mes!$E$2:$E$145,Media_Cliente_Mes!$A$2:$A$145,$A94,Media_Cliente_Mes!$B$2:$B$145,$B94),SUMIFS(Media_Cliente_Mes!$F$2:$F$145,Media_Cliente_Mes!$A$2:$A$145,$A94,Media_Cliente_Mes!$B$2:$B$145,$B94))))</f>
        <v>3.406907422378</v>
      </c>
      <c r="F94" s="35" t="n">
        <f aca="false">INDEX(Parametros_ANEC73!$C$4:$C$6,MATCH($C94,Parametros_ANEC73!$A$4:$A$6,0))</f>
        <v>3.5</v>
      </c>
      <c r="G94" s="35" t="n">
        <f aca="false">IF($C94="Proteina",INDEX(Media_Pool_Mes!$C$2:$C$13,MATCH($B94,Media_Pool_Mes!$A$2:$A$13,0)),IF($C94="Umidade",INDEX(Media_Pool_Mes!$D$2:$D$13,MATCH($B94,Media_Pool_Mes!$A$2:$A$13,0)),INDEX(Media_Pool_Mes!$E$2:$E$13,MATCH($B94,Media_Pool_Mes!$A$2:$A$13,0))))</f>
        <v>3.48415625565953</v>
      </c>
      <c r="H94" s="37" t="n">
        <f aca="false">INDEX(Parametros_ANEC73!$B$4:$B$6,MATCH($C94,Parametros_ANEC73!$A$4:$A$6,0))</f>
        <v>1</v>
      </c>
      <c r="I94" s="38" t="n">
        <f aca="false">IF(OR($D94=0,$G94=""),"",IF($H94*($G94-$F94)&gt;0,$G94,$F94))</f>
        <v>3.5</v>
      </c>
      <c r="J94" s="27" t="str">
        <f aca="false">IF(OR($D94=0,$G94=""),"",IF($H94*($G94-$F94)&gt;0,"Sim","Nao"))</f>
        <v>Nao</v>
      </c>
      <c r="K94" s="27" t="str">
        <f aca="false">IF(OR($D94=0,$G94=""),"",IF(AND($H94*($E94-$F94)&gt;0,$H94*($E94-$G94)&gt;0),"Sim","Nao"))</f>
        <v>Nao</v>
      </c>
      <c r="L94" s="38" t="n">
        <f aca="false">IF(OR($D94=0,$G94=""),0,IF($K94="Sim",MAX(0,$H94*($E94-$I94)),0))</f>
        <v>0</v>
      </c>
      <c r="M94" s="35" t="n">
        <f aca="false">INDEX(Parametros_ANEC73!$G$4:$G$6,MATCH($C94,Parametros_ANEC73!$A$4:$A$6,0))</f>
        <v>3.8</v>
      </c>
      <c r="N94" s="38" t="n">
        <f aca="false">IF(OR($D94=0,$G94=""),0,IF(AND($K94="Sim",$M94&lt;&gt;""),MAX(0,$H94*($E94-$M94)),0))</f>
        <v>0</v>
      </c>
      <c r="O94" s="35" t="n">
        <f aca="false">INDEX(Parametros_ANEC73!$J$4:$J$6,MATCH($C94,Parametros_ANEC73!$A$4:$A$6,0))</f>
        <v>4</v>
      </c>
      <c r="P94" s="38" t="n">
        <f aca="false">IF(OR($D94=0,$G94=""),0,IF(AND($K94="Sim",$O94&lt;&gt;""),MAX(0,$H94*($E94-$O94)),0))</f>
        <v>0</v>
      </c>
      <c r="Q94" s="35" t="n">
        <f aca="false">INDEX(Parametros_ANEC73!$F$4:$F$6,MATCH($C94,Parametros_ANEC73!$A$4:$A$6,0))</f>
        <v>1</v>
      </c>
      <c r="R94" s="35" t="n">
        <f aca="false">INDEX(Parametros_ANEC73!$I$4:$I$6,MATCH($C94,Parametros_ANEC73!$A$4:$A$6,0))</f>
        <v>1.5</v>
      </c>
      <c r="S94" s="35" t="n">
        <f aca="false">INDEX(Parametros_ANEC73!$L$4:$L$6,MATCH($C94,Parametros_ANEC73!$A$4:$A$6,0))</f>
        <v>2</v>
      </c>
      <c r="T94" s="39" t="n">
        <f aca="false">INDEX(Parametros_ANEC73!$B$14:$B$25,MATCH($B94,Parametros_ANEC73!$A$14:$A$25,0))</f>
        <v>326</v>
      </c>
      <c r="U94" s="40" t="n">
        <f aca="false">IF(OR($D94=0,$G94=""),0,$D94*($T94/100)*($L94*$Q94+$N94*(IF($R94="",$Q94,$R94)-$Q94)+$P94*(IF($S94="",IF($R94="",$Q94,$R94),$S94)-IF($R94="",$Q94,$R94))))</f>
        <v>0</v>
      </c>
      <c r="V94" s="41" t="str">
        <f aca="false">IF(OR($D94=0,$G94=""),"",IF($H94*($E94-INDEX(Parametros_ANEC73!$M$4:$M$6,MATCH($C94,Parametros_ANEC73!$A$4:$A$6,0)))&gt;0,"Sim","Nao"))</f>
        <v>Nao</v>
      </c>
      <c r="W94" s="27" t="str">
        <f aca="false">$A94&amp;"|"&amp;$B94&amp;"|"&amp;$C94</f>
        <v>Caramuru|Jul|Fibra</v>
      </c>
    </row>
    <row r="95" customFormat="false" ht="15" hidden="false" customHeight="false" outlineLevel="0" collapsed="false">
      <c r="A95" s="27" t="s">
        <v>41</v>
      </c>
      <c r="B95" s="27" t="s">
        <v>65</v>
      </c>
      <c r="C95" s="27" t="s">
        <v>109</v>
      </c>
      <c r="D95" s="34" t="n">
        <f aca="false">SUMIFS(Media_Cliente_Mes!$C$2:$C$145,Media_Cliente_Mes!$A$2:$A$145,$A95,Media_Cliente_Mes!$B$2:$B$145,$B95)</f>
        <v>77775.89</v>
      </c>
      <c r="E95" s="35" t="n">
        <f aca="false">IF($D95=0,"",IF($C95="Proteina",SUMIFS(Media_Cliente_Mes!$D$2:$D$145,Media_Cliente_Mes!$A$2:$A$145,$A95,Media_Cliente_Mes!$B$2:$B$145,$B95),IF($C95="Umidade",SUMIFS(Media_Cliente_Mes!$E$2:$E$145,Media_Cliente_Mes!$A$2:$A$145,$A95,Media_Cliente_Mes!$B$2:$B$145,$B95),SUMIFS(Media_Cliente_Mes!$F$2:$F$145,Media_Cliente_Mes!$A$2:$A$145,$A95,Media_Cliente_Mes!$B$2:$B$145,$B95))))</f>
        <v>48.0554540770925</v>
      </c>
      <c r="F95" s="35" t="n">
        <f aca="false">INDEX(Parametros_ANEC73!$C$4:$C$6,MATCH($C95,Parametros_ANEC73!$A$4:$A$6,0))</f>
        <v>48</v>
      </c>
      <c r="G95" s="35" t="n">
        <f aca="false">IF($C95="Proteina",INDEX(Media_Pool_Mes!$C$2:$C$13,MATCH($B95,Media_Pool_Mes!$A$2:$A$13,0)),IF($C95="Umidade",INDEX(Media_Pool_Mes!$D$2:$D$13,MATCH($B95,Media_Pool_Mes!$A$2:$A$13,0)),INDEX(Media_Pool_Mes!$E$2:$E$13,MATCH($B95,Media_Pool_Mes!$A$2:$A$13,0))))</f>
        <v>47.3199561197423</v>
      </c>
      <c r="H95" s="37" t="n">
        <f aca="false">INDEX(Parametros_ANEC73!$B$4:$B$6,MATCH($C95,Parametros_ANEC73!$A$4:$A$6,0))</f>
        <v>-1</v>
      </c>
      <c r="I95" s="38" t="n">
        <f aca="false">IF(OR($D95=0,$G95=""),"",IF($H95*($G95-$F95)&gt;0,$G95,$F95))</f>
        <v>47.3199561197423</v>
      </c>
      <c r="J95" s="27" t="str">
        <f aca="false">IF(OR($D95=0,$G95=""),"",IF($H95*($G95-$F95)&gt;0,"Sim","Nao"))</f>
        <v>Sim</v>
      </c>
      <c r="K95" s="27" t="str">
        <f aca="false">IF(OR($D95=0,$G95=""),"",IF(AND($H95*($E95-$F95)&gt;0,$H95*($E95-$G95)&gt;0),"Sim","Nao"))</f>
        <v>Nao</v>
      </c>
      <c r="L95" s="38" t="n">
        <f aca="false">IF(OR($D95=0,$G95=""),0,IF($K95="Sim",MAX(0,$H95*($E95-$I95)),0))</f>
        <v>0</v>
      </c>
      <c r="M95" s="35" t="n">
        <f aca="false">INDEX(Parametros_ANEC73!$G$4:$G$6,MATCH($C95,Parametros_ANEC73!$A$4:$A$6,0))</f>
        <v>47</v>
      </c>
      <c r="N95" s="38" t="n">
        <f aca="false">IF(OR($D95=0,$G95=""),0,IF(AND($K95="Sim",$M95&lt;&gt;""),MAX(0,$H95*($E95-$M95)),0))</f>
        <v>0</v>
      </c>
      <c r="O95" s="35" t="n">
        <f aca="false">INDEX(Parametros_ANEC73!$J$4:$J$6,MATCH($C95,Parametros_ANEC73!$A$4:$A$6,0))</f>
        <v>0</v>
      </c>
      <c r="P95" s="38" t="n">
        <f aca="false">IF(OR($D95=0,$G95=""),0,IF(AND($K95="Sim",$O95&lt;&gt;""),MAX(0,$H95*($E95-$O95)),0))</f>
        <v>0</v>
      </c>
      <c r="Q95" s="35" t="n">
        <f aca="false">INDEX(Parametros_ANEC73!$F$4:$F$6,MATCH($C95,Parametros_ANEC73!$A$4:$A$6,0))</f>
        <v>1</v>
      </c>
      <c r="R95" s="35" t="n">
        <f aca="false">INDEX(Parametros_ANEC73!$I$4:$I$6,MATCH($C95,Parametros_ANEC73!$A$4:$A$6,0))</f>
        <v>2</v>
      </c>
      <c r="S95" s="35" t="n">
        <f aca="false">INDEX(Parametros_ANEC73!$L$4:$L$6,MATCH($C95,Parametros_ANEC73!$A$4:$A$6,0))</f>
        <v>0</v>
      </c>
      <c r="T95" s="39" t="n">
        <f aca="false">INDEX(Parametros_ANEC73!$B$14:$B$25,MATCH($B95,Parametros_ANEC73!$A$14:$A$25,0))</f>
        <v>326</v>
      </c>
      <c r="U95" s="40" t="n">
        <f aca="false">IF(OR($D95=0,$G95=""),0,$D95*($T95/100)*($L95*$Q95+$N95*(IF($R95="",$Q95,$R95)-$Q95)+$P95*(IF($S95="",IF($R95="",$Q95,$R95),$S95)-IF($R95="",$Q95,$R95))))</f>
        <v>0</v>
      </c>
      <c r="V95" s="41" t="str">
        <f aca="false">IF(OR($D95=0,$G95=""),"",IF($H95*($E95-INDEX(Parametros_ANEC73!$M$4:$M$6,MATCH($C95,Parametros_ANEC73!$A$4:$A$6,0)))&gt;0,"Sim","Nao"))</f>
        <v>Nao</v>
      </c>
      <c r="W95" s="27" t="str">
        <f aca="false">$A95&amp;"|"&amp;$B95&amp;"|"&amp;$C95</f>
        <v>Caramuru|Ago|Proteina</v>
      </c>
    </row>
    <row r="96" customFormat="false" ht="15" hidden="false" customHeight="false" outlineLevel="0" collapsed="false">
      <c r="A96" s="27" t="s">
        <v>41</v>
      </c>
      <c r="B96" s="27" t="s">
        <v>65</v>
      </c>
      <c r="C96" s="27" t="s">
        <v>110</v>
      </c>
      <c r="D96" s="34" t="n">
        <f aca="false">SUMIFS(Media_Cliente_Mes!$C$2:$C$145,Media_Cliente_Mes!$A$2:$A$145,$A96,Media_Cliente_Mes!$B$2:$B$145,$B96)</f>
        <v>77775.89</v>
      </c>
      <c r="E96" s="35" t="n">
        <f aca="false">IF($D96=0,"",IF($C96="Proteina",SUMIFS(Media_Cliente_Mes!$D$2:$D$145,Media_Cliente_Mes!$A$2:$A$145,$A96,Media_Cliente_Mes!$B$2:$B$145,$B96),IF($C96="Umidade",SUMIFS(Media_Cliente_Mes!$E$2:$E$145,Media_Cliente_Mes!$A$2:$A$145,$A96,Media_Cliente_Mes!$B$2:$B$145,$B96),SUMIFS(Media_Cliente_Mes!$F$2:$F$145,Media_Cliente_Mes!$A$2:$A$145,$A96,Media_Cliente_Mes!$B$2:$B$145,$B96))))</f>
        <v>12.3959995803327</v>
      </c>
      <c r="F96" s="35" t="n">
        <f aca="false">INDEX(Parametros_ANEC73!$C$4:$C$6,MATCH($C96,Parametros_ANEC73!$A$4:$A$6,0))</f>
        <v>12.5</v>
      </c>
      <c r="G96" s="35" t="n">
        <f aca="false">IF($C96="Proteina",INDEX(Media_Pool_Mes!$C$2:$C$13,MATCH($B96,Media_Pool_Mes!$A$2:$A$13,0)),IF($C96="Umidade",INDEX(Media_Pool_Mes!$D$2:$D$13,MATCH($B96,Media_Pool_Mes!$A$2:$A$13,0)),INDEX(Media_Pool_Mes!$E$2:$E$13,MATCH($B96,Media_Pool_Mes!$A$2:$A$13,0))))</f>
        <v>12.2068387200965</v>
      </c>
      <c r="H96" s="37" t="n">
        <f aca="false">INDEX(Parametros_ANEC73!$B$4:$B$6,MATCH($C96,Parametros_ANEC73!$A$4:$A$6,0))</f>
        <v>1</v>
      </c>
      <c r="I96" s="38" t="n">
        <f aca="false">IF(OR($D96=0,$G96=""),"",IF($H96*($G96-$F96)&gt;0,$G96,$F96))</f>
        <v>12.5</v>
      </c>
      <c r="J96" s="27" t="str">
        <f aca="false">IF(OR($D96=0,$G96=""),"",IF($H96*($G96-$F96)&gt;0,"Sim","Nao"))</f>
        <v>Nao</v>
      </c>
      <c r="K96" s="27" t="str">
        <f aca="false">IF(OR($D96=0,$G96=""),"",IF(AND($H96*($E96-$F96)&gt;0,$H96*($E96-$G96)&gt;0),"Sim","Nao"))</f>
        <v>Nao</v>
      </c>
      <c r="L96" s="38" t="n">
        <f aca="false">IF(OR($D96=0,$G96=""),0,IF($K96="Sim",MAX(0,$H96*($E96-$I96)),0))</f>
        <v>0</v>
      </c>
      <c r="M96" s="35" t="n">
        <f aca="false">INDEX(Parametros_ANEC73!$G$4:$G$6,MATCH($C96,Parametros_ANEC73!$A$4:$A$6,0))</f>
        <v>0</v>
      </c>
      <c r="N96" s="38" t="n">
        <f aca="false">IF(OR($D96=0,$G96=""),0,IF(AND($K96="Sim",$M96&lt;&gt;""),MAX(0,$H96*($E96-$M96)),0))</f>
        <v>0</v>
      </c>
      <c r="O96" s="35" t="n">
        <f aca="false">INDEX(Parametros_ANEC73!$J$4:$J$6,MATCH($C96,Parametros_ANEC73!$A$4:$A$6,0))</f>
        <v>0</v>
      </c>
      <c r="P96" s="38" t="n">
        <f aca="false">IF(OR($D96=0,$G96=""),0,IF(AND($K96="Sim",$O96&lt;&gt;""),MAX(0,$H96*($E96-$O96)),0))</f>
        <v>0</v>
      </c>
      <c r="Q96" s="35" t="n">
        <f aca="false">INDEX(Parametros_ANEC73!$F$4:$F$6,MATCH($C96,Parametros_ANEC73!$A$4:$A$6,0))</f>
        <v>1</v>
      </c>
      <c r="R96" s="35" t="n">
        <f aca="false">INDEX(Parametros_ANEC73!$I$4:$I$6,MATCH($C96,Parametros_ANEC73!$A$4:$A$6,0))</f>
        <v>0</v>
      </c>
      <c r="S96" s="35" t="n">
        <f aca="false">INDEX(Parametros_ANEC73!$L$4:$L$6,MATCH($C96,Parametros_ANEC73!$A$4:$A$6,0))</f>
        <v>0</v>
      </c>
      <c r="T96" s="39" t="n">
        <f aca="false">INDEX(Parametros_ANEC73!$B$14:$B$25,MATCH($B96,Parametros_ANEC73!$A$14:$A$25,0))</f>
        <v>326</v>
      </c>
      <c r="U96" s="40" t="n">
        <f aca="false">IF(OR($D96=0,$G96=""),0,$D96*($T96/100)*($L96*$Q96+$N96*(IF($R96="",$Q96,$R96)-$Q96)+$P96*(IF($S96="",IF($R96="",$Q96,$R96),$S96)-IF($R96="",$Q96,$R96))))</f>
        <v>0</v>
      </c>
      <c r="V96" s="41" t="str">
        <f aca="false">IF(OR($D96=0,$G96=""),"",IF($H96*($E96-INDEX(Parametros_ANEC73!$M$4:$M$6,MATCH($C96,Parametros_ANEC73!$A$4:$A$6,0)))&gt;0,"Sim","Nao"))</f>
        <v>Nao</v>
      </c>
      <c r="W96" s="27" t="str">
        <f aca="false">$A96&amp;"|"&amp;$B96&amp;"|"&amp;$C96</f>
        <v>Caramuru|Ago|Umidade</v>
      </c>
    </row>
    <row r="97" customFormat="false" ht="15" hidden="false" customHeight="false" outlineLevel="0" collapsed="false">
      <c r="A97" s="27" t="s">
        <v>41</v>
      </c>
      <c r="B97" s="27" t="s">
        <v>65</v>
      </c>
      <c r="C97" s="27" t="s">
        <v>111</v>
      </c>
      <c r="D97" s="34" t="n">
        <f aca="false">SUMIFS(Media_Cliente_Mes!$C$2:$C$145,Media_Cliente_Mes!$A$2:$A$145,$A97,Media_Cliente_Mes!$B$2:$B$145,$B97)</f>
        <v>77775.89</v>
      </c>
      <c r="E97" s="35" t="n">
        <f aca="false">IF($D97=0,"",IF($C97="Proteina",SUMIFS(Media_Cliente_Mes!$D$2:$D$145,Media_Cliente_Mes!$A$2:$A$145,$A97,Media_Cliente_Mes!$B$2:$B$145,$B97),IF($C97="Umidade",SUMIFS(Media_Cliente_Mes!$E$2:$E$145,Media_Cliente_Mes!$A$2:$A$145,$A97,Media_Cliente_Mes!$B$2:$B$145,$B97),SUMIFS(Media_Cliente_Mes!$F$2:$F$145,Media_Cliente_Mes!$A$2:$A$145,$A97,Media_Cliente_Mes!$B$2:$B$145,$B97))))</f>
        <v>3.41285904667886</v>
      </c>
      <c r="F97" s="35" t="n">
        <f aca="false">INDEX(Parametros_ANEC73!$C$4:$C$6,MATCH($C97,Parametros_ANEC73!$A$4:$A$6,0))</f>
        <v>3.5</v>
      </c>
      <c r="G97" s="35" t="n">
        <f aca="false">IF($C97="Proteina",INDEX(Media_Pool_Mes!$C$2:$C$13,MATCH($B97,Media_Pool_Mes!$A$2:$A$13,0)),IF($C97="Umidade",INDEX(Media_Pool_Mes!$D$2:$D$13,MATCH($B97,Media_Pool_Mes!$A$2:$A$13,0)),INDEX(Media_Pool_Mes!$E$2:$E$13,MATCH($B97,Media_Pool_Mes!$A$2:$A$13,0))))</f>
        <v>3.7692688740906</v>
      </c>
      <c r="H97" s="37" t="n">
        <f aca="false">INDEX(Parametros_ANEC73!$B$4:$B$6,MATCH($C97,Parametros_ANEC73!$A$4:$A$6,0))</f>
        <v>1</v>
      </c>
      <c r="I97" s="38" t="n">
        <f aca="false">IF(OR($D97=0,$G97=""),"",IF($H97*($G97-$F97)&gt;0,$G97,$F97))</f>
        <v>3.7692688740906</v>
      </c>
      <c r="J97" s="27" t="str">
        <f aca="false">IF(OR($D97=0,$G97=""),"",IF($H97*($G97-$F97)&gt;0,"Sim","Nao"))</f>
        <v>Sim</v>
      </c>
      <c r="K97" s="27" t="str">
        <f aca="false">IF(OR($D97=0,$G97=""),"",IF(AND($H97*($E97-$F97)&gt;0,$H97*($E97-$G97)&gt;0),"Sim","Nao"))</f>
        <v>Nao</v>
      </c>
      <c r="L97" s="38" t="n">
        <f aca="false">IF(OR($D97=0,$G97=""),0,IF($K97="Sim",MAX(0,$H97*($E97-$I97)),0))</f>
        <v>0</v>
      </c>
      <c r="M97" s="35" t="n">
        <f aca="false">INDEX(Parametros_ANEC73!$G$4:$G$6,MATCH($C97,Parametros_ANEC73!$A$4:$A$6,0))</f>
        <v>3.8</v>
      </c>
      <c r="N97" s="38" t="n">
        <f aca="false">IF(OR($D97=0,$G97=""),0,IF(AND($K97="Sim",$M97&lt;&gt;""),MAX(0,$H97*($E97-$M97)),0))</f>
        <v>0</v>
      </c>
      <c r="O97" s="35" t="n">
        <f aca="false">INDEX(Parametros_ANEC73!$J$4:$J$6,MATCH($C97,Parametros_ANEC73!$A$4:$A$6,0))</f>
        <v>4</v>
      </c>
      <c r="P97" s="38" t="n">
        <f aca="false">IF(OR($D97=0,$G97=""),0,IF(AND($K97="Sim",$O97&lt;&gt;""),MAX(0,$H97*($E97-$O97)),0))</f>
        <v>0</v>
      </c>
      <c r="Q97" s="35" t="n">
        <f aca="false">INDEX(Parametros_ANEC73!$F$4:$F$6,MATCH($C97,Parametros_ANEC73!$A$4:$A$6,0))</f>
        <v>1</v>
      </c>
      <c r="R97" s="35" t="n">
        <f aca="false">INDEX(Parametros_ANEC73!$I$4:$I$6,MATCH($C97,Parametros_ANEC73!$A$4:$A$6,0))</f>
        <v>1.5</v>
      </c>
      <c r="S97" s="35" t="n">
        <f aca="false">INDEX(Parametros_ANEC73!$L$4:$L$6,MATCH($C97,Parametros_ANEC73!$A$4:$A$6,0))</f>
        <v>2</v>
      </c>
      <c r="T97" s="39" t="n">
        <f aca="false">INDEX(Parametros_ANEC73!$B$14:$B$25,MATCH($B97,Parametros_ANEC73!$A$14:$A$25,0))</f>
        <v>326</v>
      </c>
      <c r="U97" s="40" t="n">
        <f aca="false">IF(OR($D97=0,$G97=""),0,$D97*($T97/100)*($L97*$Q97+$N97*(IF($R97="",$Q97,$R97)-$Q97)+$P97*(IF($S97="",IF($R97="",$Q97,$R97),$S97)-IF($R97="",$Q97,$R97))))</f>
        <v>0</v>
      </c>
      <c r="V97" s="41" t="str">
        <f aca="false">IF(OR($D97=0,$G97=""),"",IF($H97*($E97-INDEX(Parametros_ANEC73!$M$4:$M$6,MATCH($C97,Parametros_ANEC73!$A$4:$A$6,0)))&gt;0,"Sim","Nao"))</f>
        <v>Nao</v>
      </c>
      <c r="W97" s="27" t="str">
        <f aca="false">$A97&amp;"|"&amp;$B97&amp;"|"&amp;$C97</f>
        <v>Caramuru|Ago|Fibra</v>
      </c>
    </row>
    <row r="98" customFormat="false" ht="15" hidden="false" customHeight="false" outlineLevel="0" collapsed="false">
      <c r="A98" s="27" t="s">
        <v>41</v>
      </c>
      <c r="B98" s="27" t="s">
        <v>66</v>
      </c>
      <c r="C98" s="27" t="s">
        <v>109</v>
      </c>
      <c r="D98" s="34" t="n">
        <f aca="false">SUMIFS(Media_Cliente_Mes!$C$2:$C$145,Media_Cliente_Mes!$A$2:$A$145,$A98,Media_Cliente_Mes!$B$2:$B$145,$B98)</f>
        <v>4163.45</v>
      </c>
      <c r="E98" s="35" t="n">
        <f aca="false">IF($D98=0,"",IF($C98="Proteina",SUMIFS(Media_Cliente_Mes!$D$2:$D$145,Media_Cliente_Mes!$A$2:$A$145,$A98,Media_Cliente_Mes!$B$2:$B$145,$B98),IF($C98="Umidade",SUMIFS(Media_Cliente_Mes!$E$2:$E$145,Media_Cliente_Mes!$A$2:$A$145,$A98,Media_Cliente_Mes!$B$2:$B$145,$B98),SUMIFS(Media_Cliente_Mes!$F$2:$F$145,Media_Cliente_Mes!$A$2:$A$145,$A98,Media_Cliente_Mes!$B$2:$B$145,$B98))))</f>
        <v>47.91</v>
      </c>
      <c r="F98" s="35" t="n">
        <f aca="false">INDEX(Parametros_ANEC73!$C$4:$C$6,MATCH($C98,Parametros_ANEC73!$A$4:$A$6,0))</f>
        <v>48</v>
      </c>
      <c r="G98" s="35" t="n">
        <f aca="false">IF($C98="Proteina",INDEX(Media_Pool_Mes!$C$2:$C$13,MATCH($B98,Media_Pool_Mes!$A$2:$A$13,0)),IF($C98="Umidade",INDEX(Media_Pool_Mes!$D$2:$D$13,MATCH($B98,Media_Pool_Mes!$A$2:$A$13,0)),INDEX(Media_Pool_Mes!$E$2:$E$13,MATCH($B98,Media_Pool_Mes!$A$2:$A$13,0))))</f>
        <v>47.5387514497333</v>
      </c>
      <c r="H98" s="37" t="n">
        <f aca="false">INDEX(Parametros_ANEC73!$B$4:$B$6,MATCH($C98,Parametros_ANEC73!$A$4:$A$6,0))</f>
        <v>-1</v>
      </c>
      <c r="I98" s="38" t="n">
        <f aca="false">IF(OR($D98=0,$G98=""),"",IF($H98*($G98-$F98)&gt;0,$G98,$F98))</f>
        <v>47.5387514497333</v>
      </c>
      <c r="J98" s="27" t="str">
        <f aca="false">IF(OR($D98=0,$G98=""),"",IF($H98*($G98-$F98)&gt;0,"Sim","Nao"))</f>
        <v>Sim</v>
      </c>
      <c r="K98" s="27" t="str">
        <f aca="false">IF(OR($D98=0,$G98=""),"",IF(AND($H98*($E98-$F98)&gt;0,$H98*($E98-$G98)&gt;0),"Sim","Nao"))</f>
        <v>Nao</v>
      </c>
      <c r="L98" s="38" t="n">
        <f aca="false">IF(OR($D98=0,$G98=""),0,IF($K98="Sim",MAX(0,$H98*($E98-$I98)),0))</f>
        <v>0</v>
      </c>
      <c r="M98" s="35" t="n">
        <f aca="false">INDEX(Parametros_ANEC73!$G$4:$G$6,MATCH($C98,Parametros_ANEC73!$A$4:$A$6,0))</f>
        <v>47</v>
      </c>
      <c r="N98" s="38" t="n">
        <f aca="false">IF(OR($D98=0,$G98=""),0,IF(AND($K98="Sim",$M98&lt;&gt;""),MAX(0,$H98*($E98-$M98)),0))</f>
        <v>0</v>
      </c>
      <c r="O98" s="35" t="n">
        <f aca="false">INDEX(Parametros_ANEC73!$J$4:$J$6,MATCH($C98,Parametros_ANEC73!$A$4:$A$6,0))</f>
        <v>0</v>
      </c>
      <c r="P98" s="38" t="n">
        <f aca="false">IF(OR($D98=0,$G98=""),0,IF(AND($K98="Sim",$O98&lt;&gt;""),MAX(0,$H98*($E98-$O98)),0))</f>
        <v>0</v>
      </c>
      <c r="Q98" s="35" t="n">
        <f aca="false">INDEX(Parametros_ANEC73!$F$4:$F$6,MATCH($C98,Parametros_ANEC73!$A$4:$A$6,0))</f>
        <v>1</v>
      </c>
      <c r="R98" s="35" t="n">
        <f aca="false">INDEX(Parametros_ANEC73!$I$4:$I$6,MATCH($C98,Parametros_ANEC73!$A$4:$A$6,0))</f>
        <v>2</v>
      </c>
      <c r="S98" s="35" t="n">
        <f aca="false">INDEX(Parametros_ANEC73!$L$4:$L$6,MATCH($C98,Parametros_ANEC73!$A$4:$A$6,0))</f>
        <v>0</v>
      </c>
      <c r="T98" s="39" t="n">
        <f aca="false">INDEX(Parametros_ANEC73!$B$14:$B$25,MATCH($B98,Parametros_ANEC73!$A$14:$A$25,0))</f>
        <v>326</v>
      </c>
      <c r="U98" s="40" t="n">
        <f aca="false">IF(OR($D98=0,$G98=""),0,$D98*($T98/100)*($L98*$Q98+$N98*(IF($R98="",$Q98,$R98)-$Q98)+$P98*(IF($S98="",IF($R98="",$Q98,$R98),$S98)-IF($R98="",$Q98,$R98))))</f>
        <v>0</v>
      </c>
      <c r="V98" s="41" t="str">
        <f aca="false">IF(OR($D98=0,$G98=""),"",IF($H98*($E98-INDEX(Parametros_ANEC73!$M$4:$M$6,MATCH($C98,Parametros_ANEC73!$A$4:$A$6,0)))&gt;0,"Sim","Nao"))</f>
        <v>Nao</v>
      </c>
      <c r="W98" s="27" t="str">
        <f aca="false">$A98&amp;"|"&amp;$B98&amp;"|"&amp;$C98</f>
        <v>Caramuru|Set|Proteina</v>
      </c>
    </row>
    <row r="99" customFormat="false" ht="15" hidden="false" customHeight="false" outlineLevel="0" collapsed="false">
      <c r="A99" s="27" t="s">
        <v>41</v>
      </c>
      <c r="B99" s="27" t="s">
        <v>66</v>
      </c>
      <c r="C99" s="27" t="s">
        <v>110</v>
      </c>
      <c r="D99" s="34" t="n">
        <f aca="false">SUMIFS(Media_Cliente_Mes!$C$2:$C$145,Media_Cliente_Mes!$A$2:$A$145,$A99,Media_Cliente_Mes!$B$2:$B$145,$B99)</f>
        <v>4163.45</v>
      </c>
      <c r="E99" s="35" t="n">
        <f aca="false">IF($D99=0,"",IF($C99="Proteina",SUMIFS(Media_Cliente_Mes!$D$2:$D$145,Media_Cliente_Mes!$A$2:$A$145,$A99,Media_Cliente_Mes!$B$2:$B$145,$B99),IF($C99="Umidade",SUMIFS(Media_Cliente_Mes!$E$2:$E$145,Media_Cliente_Mes!$A$2:$A$145,$A99,Media_Cliente_Mes!$B$2:$B$145,$B99),SUMIFS(Media_Cliente_Mes!$F$2:$F$145,Media_Cliente_Mes!$A$2:$A$145,$A99,Media_Cliente_Mes!$B$2:$B$145,$B99))))</f>
        <v>12.62</v>
      </c>
      <c r="F99" s="35" t="n">
        <f aca="false">INDEX(Parametros_ANEC73!$C$4:$C$6,MATCH($C99,Parametros_ANEC73!$A$4:$A$6,0))</f>
        <v>12.5</v>
      </c>
      <c r="G99" s="35" t="n">
        <f aca="false">IF($C99="Proteina",INDEX(Media_Pool_Mes!$C$2:$C$13,MATCH($B99,Media_Pool_Mes!$A$2:$A$13,0)),IF($C99="Umidade",INDEX(Media_Pool_Mes!$D$2:$D$13,MATCH($B99,Media_Pool_Mes!$A$2:$A$13,0)),INDEX(Media_Pool_Mes!$E$2:$E$13,MATCH($B99,Media_Pool_Mes!$A$2:$A$13,0))))</f>
        <v>12.4774576939468</v>
      </c>
      <c r="H99" s="37" t="n">
        <f aca="false">INDEX(Parametros_ANEC73!$B$4:$B$6,MATCH($C99,Parametros_ANEC73!$A$4:$A$6,0))</f>
        <v>1</v>
      </c>
      <c r="I99" s="38" t="n">
        <f aca="false">IF(OR($D99=0,$G99=""),"",IF($H99*($G99-$F99)&gt;0,$G99,$F99))</f>
        <v>12.5</v>
      </c>
      <c r="J99" s="27" t="str">
        <f aca="false">IF(OR($D99=0,$G99=""),"",IF($H99*($G99-$F99)&gt;0,"Sim","Nao"))</f>
        <v>Nao</v>
      </c>
      <c r="K99" s="27" t="str">
        <f aca="false">IF(OR($D99=0,$G99=""),"",IF(AND($H99*($E99-$F99)&gt;0,$H99*($E99-$G99)&gt;0),"Sim","Nao"))</f>
        <v>Sim</v>
      </c>
      <c r="L99" s="38" t="n">
        <f aca="false">IF(OR($D99=0,$G99=""),0,IF($K99="Sim",MAX(0,$H99*($E99-$I99)),0))</f>
        <v>0.119999999999999</v>
      </c>
      <c r="M99" s="35" t="n">
        <f aca="false">INDEX(Parametros_ANEC73!$G$4:$G$6,MATCH($C99,Parametros_ANEC73!$A$4:$A$6,0))</f>
        <v>0</v>
      </c>
      <c r="N99" s="38" t="n">
        <f aca="false">IF(OR($D99=0,$G99=""),0,IF(AND($K99="Sim",$M99&lt;&gt;""),MAX(0,$H99*($E99-$M99)),0))</f>
        <v>0</v>
      </c>
      <c r="O99" s="35" t="n">
        <f aca="false">INDEX(Parametros_ANEC73!$J$4:$J$6,MATCH($C99,Parametros_ANEC73!$A$4:$A$6,0))</f>
        <v>0</v>
      </c>
      <c r="P99" s="38" t="n">
        <f aca="false">IF(OR($D99=0,$G99=""),0,IF(AND($K99="Sim",$O99&lt;&gt;""),MAX(0,$H99*($E99-$O99)),0))</f>
        <v>0</v>
      </c>
      <c r="Q99" s="35" t="n">
        <f aca="false">INDEX(Parametros_ANEC73!$F$4:$F$6,MATCH($C99,Parametros_ANEC73!$A$4:$A$6,0))</f>
        <v>1</v>
      </c>
      <c r="R99" s="35" t="n">
        <f aca="false">INDEX(Parametros_ANEC73!$I$4:$I$6,MATCH($C99,Parametros_ANEC73!$A$4:$A$6,0))</f>
        <v>0</v>
      </c>
      <c r="S99" s="35" t="n">
        <f aca="false">INDEX(Parametros_ANEC73!$L$4:$L$6,MATCH($C99,Parametros_ANEC73!$A$4:$A$6,0))</f>
        <v>0</v>
      </c>
      <c r="T99" s="39" t="n">
        <f aca="false">INDEX(Parametros_ANEC73!$B$14:$B$25,MATCH($B99,Parametros_ANEC73!$A$14:$A$25,0))</f>
        <v>326</v>
      </c>
      <c r="U99" s="40" t="n">
        <f aca="false">IF(OR($D99=0,$G99=""),0,$D99*($T99/100)*($L99*$Q99+$N99*(IF($R99="",$Q99,$R99)-$Q99)+$P99*(IF($S99="",IF($R99="",$Q99,$R99),$S99)-IF($R99="",$Q99,$R99))))</f>
        <v>1628.74163999999</v>
      </c>
      <c r="V99" s="41" t="str">
        <f aca="false">IF(OR($D99=0,$G99=""),"",IF($H99*($E99-INDEX(Parametros_ANEC73!$M$4:$M$6,MATCH($C99,Parametros_ANEC73!$A$4:$A$6,0)))&gt;0,"Sim","Nao"))</f>
        <v>Nao</v>
      </c>
      <c r="W99" s="27" t="str">
        <f aca="false">$A99&amp;"|"&amp;$B99&amp;"|"&amp;$C99</f>
        <v>Caramuru|Set|Umidade</v>
      </c>
    </row>
    <row r="100" customFormat="false" ht="15" hidden="false" customHeight="false" outlineLevel="0" collapsed="false">
      <c r="A100" s="27" t="s">
        <v>41</v>
      </c>
      <c r="B100" s="27" t="s">
        <v>66</v>
      </c>
      <c r="C100" s="27" t="s">
        <v>111</v>
      </c>
      <c r="D100" s="34" t="n">
        <f aca="false">SUMIFS(Media_Cliente_Mes!$C$2:$C$145,Media_Cliente_Mes!$A$2:$A$145,$A100,Media_Cliente_Mes!$B$2:$B$145,$B100)</f>
        <v>4163.45</v>
      </c>
      <c r="E100" s="35" t="n">
        <f aca="false">IF($D100=0,"",IF($C100="Proteina",SUMIFS(Media_Cliente_Mes!$D$2:$D$145,Media_Cliente_Mes!$A$2:$A$145,$A100,Media_Cliente_Mes!$B$2:$B$145,$B100),IF($C100="Umidade",SUMIFS(Media_Cliente_Mes!$E$2:$E$145,Media_Cliente_Mes!$A$2:$A$145,$A100,Media_Cliente_Mes!$B$2:$B$145,$B100),SUMIFS(Media_Cliente_Mes!$F$2:$F$145,Media_Cliente_Mes!$A$2:$A$145,$A100,Media_Cliente_Mes!$B$2:$B$145,$B100))))</f>
        <v>3.56</v>
      </c>
      <c r="F100" s="35" t="n">
        <f aca="false">INDEX(Parametros_ANEC73!$C$4:$C$6,MATCH($C100,Parametros_ANEC73!$A$4:$A$6,0))</f>
        <v>3.5</v>
      </c>
      <c r="G100" s="35" t="n">
        <f aca="false">IF($C100="Proteina",INDEX(Media_Pool_Mes!$C$2:$C$13,MATCH($B100,Media_Pool_Mes!$A$2:$A$13,0)),IF($C100="Umidade",INDEX(Media_Pool_Mes!$D$2:$D$13,MATCH($B100,Media_Pool_Mes!$A$2:$A$13,0)),INDEX(Media_Pool_Mes!$E$2:$E$13,MATCH($B100,Media_Pool_Mes!$A$2:$A$13,0))))</f>
        <v>3.7061372169236</v>
      </c>
      <c r="H100" s="37" t="n">
        <f aca="false">INDEX(Parametros_ANEC73!$B$4:$B$6,MATCH($C100,Parametros_ANEC73!$A$4:$A$6,0))</f>
        <v>1</v>
      </c>
      <c r="I100" s="38" t="n">
        <f aca="false">IF(OR($D100=0,$G100=""),"",IF($H100*($G100-$F100)&gt;0,$G100,$F100))</f>
        <v>3.7061372169236</v>
      </c>
      <c r="J100" s="27" t="str">
        <f aca="false">IF(OR($D100=0,$G100=""),"",IF($H100*($G100-$F100)&gt;0,"Sim","Nao"))</f>
        <v>Sim</v>
      </c>
      <c r="K100" s="27" t="str">
        <f aca="false">IF(OR($D100=0,$G100=""),"",IF(AND($H100*($E100-$F100)&gt;0,$H100*($E100-$G100)&gt;0),"Sim","Nao"))</f>
        <v>Nao</v>
      </c>
      <c r="L100" s="38" t="n">
        <f aca="false">IF(OR($D100=0,$G100=""),0,IF($K100="Sim",MAX(0,$H100*($E100-$I100)),0))</f>
        <v>0</v>
      </c>
      <c r="M100" s="35" t="n">
        <f aca="false">INDEX(Parametros_ANEC73!$G$4:$G$6,MATCH($C100,Parametros_ANEC73!$A$4:$A$6,0))</f>
        <v>3.8</v>
      </c>
      <c r="N100" s="38" t="n">
        <f aca="false">IF(OR($D100=0,$G100=""),0,IF(AND($K100="Sim",$M100&lt;&gt;""),MAX(0,$H100*($E100-$M100)),0))</f>
        <v>0</v>
      </c>
      <c r="O100" s="35" t="n">
        <f aca="false">INDEX(Parametros_ANEC73!$J$4:$J$6,MATCH($C100,Parametros_ANEC73!$A$4:$A$6,0))</f>
        <v>4</v>
      </c>
      <c r="P100" s="38" t="n">
        <f aca="false">IF(OR($D100=0,$G100=""),0,IF(AND($K100="Sim",$O100&lt;&gt;""),MAX(0,$H100*($E100-$O100)),0))</f>
        <v>0</v>
      </c>
      <c r="Q100" s="35" t="n">
        <f aca="false">INDEX(Parametros_ANEC73!$F$4:$F$6,MATCH($C100,Parametros_ANEC73!$A$4:$A$6,0))</f>
        <v>1</v>
      </c>
      <c r="R100" s="35" t="n">
        <f aca="false">INDEX(Parametros_ANEC73!$I$4:$I$6,MATCH($C100,Parametros_ANEC73!$A$4:$A$6,0))</f>
        <v>1.5</v>
      </c>
      <c r="S100" s="35" t="n">
        <f aca="false">INDEX(Parametros_ANEC73!$L$4:$L$6,MATCH($C100,Parametros_ANEC73!$A$4:$A$6,0))</f>
        <v>2</v>
      </c>
      <c r="T100" s="39" t="n">
        <f aca="false">INDEX(Parametros_ANEC73!$B$14:$B$25,MATCH($B100,Parametros_ANEC73!$A$14:$A$25,0))</f>
        <v>326</v>
      </c>
      <c r="U100" s="40" t="n">
        <f aca="false">IF(OR($D100=0,$G100=""),0,$D100*($T100/100)*($L100*$Q100+$N100*(IF($R100="",$Q100,$R100)-$Q100)+$P100*(IF($S100="",IF($R100="",$Q100,$R100),$S100)-IF($R100="",$Q100,$R100))))</f>
        <v>0</v>
      </c>
      <c r="V100" s="41" t="str">
        <f aca="false">IF(OR($D100=0,$G100=""),"",IF($H100*($E100-INDEX(Parametros_ANEC73!$M$4:$M$6,MATCH($C100,Parametros_ANEC73!$A$4:$A$6,0)))&gt;0,"Sim","Nao"))</f>
        <v>Nao</v>
      </c>
      <c r="W100" s="27" t="str">
        <f aca="false">$A100&amp;"|"&amp;$B100&amp;"|"&amp;$C100</f>
        <v>Caramuru|Set|Fibra</v>
      </c>
    </row>
    <row r="101" customFormat="false" ht="15" hidden="false" customHeight="false" outlineLevel="0" collapsed="false">
      <c r="A101" s="27" t="s">
        <v>41</v>
      </c>
      <c r="B101" s="27" t="s">
        <v>67</v>
      </c>
      <c r="C101" s="27" t="s">
        <v>109</v>
      </c>
      <c r="D101" s="34" t="n">
        <f aca="false">SUMIFS(Media_Cliente_Mes!$C$2:$C$145,Media_Cliente_Mes!$A$2:$A$145,$A101,Media_Cliente_Mes!$B$2:$B$145,$B101)</f>
        <v>0</v>
      </c>
      <c r="E101" s="35" t="str">
        <f aca="false">IF($D101=0,"",IF($C101="Proteina",SUMIFS(Media_Cliente_Mes!$D$2:$D$145,Media_Cliente_Mes!$A$2:$A$145,$A101,Media_Cliente_Mes!$B$2:$B$145,$B101),IF($C101="Umidade",SUMIFS(Media_Cliente_Mes!$E$2:$E$145,Media_Cliente_Mes!$A$2:$A$145,$A101,Media_Cliente_Mes!$B$2:$B$145,$B101),SUMIFS(Media_Cliente_Mes!$F$2:$F$145,Media_Cliente_Mes!$A$2:$A$145,$A101,Media_Cliente_Mes!$B$2:$B$145,$B101))))</f>
        <v/>
      </c>
      <c r="F101" s="35" t="n">
        <f aca="false">INDEX(Parametros_ANEC73!$C$4:$C$6,MATCH($C101,Parametros_ANEC73!$A$4:$A$6,0))</f>
        <v>48</v>
      </c>
      <c r="G101" s="35" t="str">
        <f aca="false">IF($C101="Proteina",INDEX(Media_Pool_Mes!$C$2:$C$13,MATCH($B101,Media_Pool_Mes!$A$2:$A$13,0)),IF($C101="Umidade",INDEX(Media_Pool_Mes!$D$2:$D$13,MATCH($B101,Media_Pool_Mes!$A$2:$A$13,0)),INDEX(Media_Pool_Mes!$E$2:$E$13,MATCH($B101,Media_Pool_Mes!$A$2:$A$13,0))))</f>
        <v/>
      </c>
      <c r="H101" s="37" t="n">
        <f aca="false">INDEX(Parametros_ANEC73!$B$4:$B$6,MATCH($C101,Parametros_ANEC73!$A$4:$A$6,0))</f>
        <v>-1</v>
      </c>
      <c r="I101" s="38" t="str">
        <f aca="false">IF(OR($D101=0,$G101=""),"",IF($H101*($G101-$F101)&gt;0,$G101,$F101))</f>
        <v/>
      </c>
      <c r="J101" s="27" t="str">
        <f aca="false">IF(OR($D101=0,$G101=""),"",IF($H101*($G101-$F101)&gt;0,"Sim","Nao"))</f>
        <v/>
      </c>
      <c r="K101" s="27" t="str">
        <f aca="false">IF(OR($D101=0,$G101=""),"",IF(AND($H101*($E101-$F101)&gt;0,$H101*($E101-$G101)&gt;0),"Sim","Nao"))</f>
        <v/>
      </c>
      <c r="L101" s="38" t="n">
        <f aca="false">IF(OR($D101=0,$G101=""),0,IF($K101="Sim",MAX(0,$H101*($E101-$I101)),0))</f>
        <v>0</v>
      </c>
      <c r="M101" s="35" t="n">
        <f aca="false">INDEX(Parametros_ANEC73!$G$4:$G$6,MATCH($C101,Parametros_ANEC73!$A$4:$A$6,0))</f>
        <v>47</v>
      </c>
      <c r="N101" s="38" t="n">
        <f aca="false">IF(OR($D101=0,$G101=""),0,IF(AND($K101="Sim",$M101&lt;&gt;""),MAX(0,$H101*($E101-$M101)),0))</f>
        <v>0</v>
      </c>
      <c r="O101" s="35" t="n">
        <f aca="false">INDEX(Parametros_ANEC73!$J$4:$J$6,MATCH($C101,Parametros_ANEC73!$A$4:$A$6,0))</f>
        <v>0</v>
      </c>
      <c r="P101" s="38" t="n">
        <f aca="false">IF(OR($D101=0,$G101=""),0,IF(AND($K101="Sim",$O101&lt;&gt;""),MAX(0,$H101*($E101-$O101)),0))</f>
        <v>0</v>
      </c>
      <c r="Q101" s="35" t="n">
        <f aca="false">INDEX(Parametros_ANEC73!$F$4:$F$6,MATCH($C101,Parametros_ANEC73!$A$4:$A$6,0))</f>
        <v>1</v>
      </c>
      <c r="R101" s="35" t="n">
        <f aca="false">INDEX(Parametros_ANEC73!$I$4:$I$6,MATCH($C101,Parametros_ANEC73!$A$4:$A$6,0))</f>
        <v>2</v>
      </c>
      <c r="S101" s="35" t="n">
        <f aca="false">INDEX(Parametros_ANEC73!$L$4:$L$6,MATCH($C101,Parametros_ANEC73!$A$4:$A$6,0))</f>
        <v>0</v>
      </c>
      <c r="T101" s="39" t="n">
        <f aca="false">INDEX(Parametros_ANEC73!$B$14:$B$25,MATCH($B101,Parametros_ANEC73!$A$14:$A$25,0))</f>
        <v>0</v>
      </c>
      <c r="U101" s="40" t="n">
        <f aca="false">IF(OR($D101=0,$G101=""),0,$D101*($T101/100)*($L101*$Q101+$N101*(IF($R101="",$Q101,$R101)-$Q101)+$P101*(IF($S101="",IF($R101="",$Q101,$R101),$S101)-IF($R101="",$Q101,$R101))))</f>
        <v>0</v>
      </c>
      <c r="V101" s="41" t="str">
        <f aca="false">IF(OR($D101=0,$G101=""),"",IF($H101*($E101-INDEX(Parametros_ANEC73!$M$4:$M$6,MATCH($C101,Parametros_ANEC73!$A$4:$A$6,0)))&gt;0,"Sim","Nao"))</f>
        <v/>
      </c>
      <c r="W101" s="27" t="str">
        <f aca="false">$A101&amp;"|"&amp;$B101&amp;"|"&amp;$C101</f>
        <v>Caramuru|Out|Proteina</v>
      </c>
    </row>
    <row r="102" customFormat="false" ht="15" hidden="false" customHeight="false" outlineLevel="0" collapsed="false">
      <c r="A102" s="27" t="s">
        <v>41</v>
      </c>
      <c r="B102" s="27" t="s">
        <v>67</v>
      </c>
      <c r="C102" s="27" t="s">
        <v>110</v>
      </c>
      <c r="D102" s="34" t="n">
        <f aca="false">SUMIFS(Media_Cliente_Mes!$C$2:$C$145,Media_Cliente_Mes!$A$2:$A$145,$A102,Media_Cliente_Mes!$B$2:$B$145,$B102)</f>
        <v>0</v>
      </c>
      <c r="E102" s="35" t="str">
        <f aca="false">IF($D102=0,"",IF($C102="Proteina",SUMIFS(Media_Cliente_Mes!$D$2:$D$145,Media_Cliente_Mes!$A$2:$A$145,$A102,Media_Cliente_Mes!$B$2:$B$145,$B102),IF($C102="Umidade",SUMIFS(Media_Cliente_Mes!$E$2:$E$145,Media_Cliente_Mes!$A$2:$A$145,$A102,Media_Cliente_Mes!$B$2:$B$145,$B102),SUMIFS(Media_Cliente_Mes!$F$2:$F$145,Media_Cliente_Mes!$A$2:$A$145,$A102,Media_Cliente_Mes!$B$2:$B$145,$B102))))</f>
        <v/>
      </c>
      <c r="F102" s="35" t="n">
        <f aca="false">INDEX(Parametros_ANEC73!$C$4:$C$6,MATCH($C102,Parametros_ANEC73!$A$4:$A$6,0))</f>
        <v>12.5</v>
      </c>
      <c r="G102" s="35" t="str">
        <f aca="false">IF($C102="Proteina",INDEX(Media_Pool_Mes!$C$2:$C$13,MATCH($B102,Media_Pool_Mes!$A$2:$A$13,0)),IF($C102="Umidade",INDEX(Media_Pool_Mes!$D$2:$D$13,MATCH($B102,Media_Pool_Mes!$A$2:$A$13,0)),INDEX(Media_Pool_Mes!$E$2:$E$13,MATCH($B102,Media_Pool_Mes!$A$2:$A$13,0))))</f>
        <v/>
      </c>
      <c r="H102" s="37" t="n">
        <f aca="false">INDEX(Parametros_ANEC73!$B$4:$B$6,MATCH($C102,Parametros_ANEC73!$A$4:$A$6,0))</f>
        <v>1</v>
      </c>
      <c r="I102" s="38" t="str">
        <f aca="false">IF(OR($D102=0,$G102=""),"",IF($H102*($G102-$F102)&gt;0,$G102,$F102))</f>
        <v/>
      </c>
      <c r="J102" s="27" t="str">
        <f aca="false">IF(OR($D102=0,$G102=""),"",IF($H102*($G102-$F102)&gt;0,"Sim","Nao"))</f>
        <v/>
      </c>
      <c r="K102" s="27" t="str">
        <f aca="false">IF(OR($D102=0,$G102=""),"",IF(AND($H102*($E102-$F102)&gt;0,$H102*($E102-$G102)&gt;0),"Sim","Nao"))</f>
        <v/>
      </c>
      <c r="L102" s="38" t="n">
        <f aca="false">IF(OR($D102=0,$G102=""),0,IF($K102="Sim",MAX(0,$H102*($E102-$I102)),0))</f>
        <v>0</v>
      </c>
      <c r="M102" s="35" t="n">
        <f aca="false">INDEX(Parametros_ANEC73!$G$4:$G$6,MATCH($C102,Parametros_ANEC73!$A$4:$A$6,0))</f>
        <v>0</v>
      </c>
      <c r="N102" s="38" t="n">
        <f aca="false">IF(OR($D102=0,$G102=""),0,IF(AND($K102="Sim",$M102&lt;&gt;""),MAX(0,$H102*($E102-$M102)),0))</f>
        <v>0</v>
      </c>
      <c r="O102" s="35" t="n">
        <f aca="false">INDEX(Parametros_ANEC73!$J$4:$J$6,MATCH($C102,Parametros_ANEC73!$A$4:$A$6,0))</f>
        <v>0</v>
      </c>
      <c r="P102" s="38" t="n">
        <f aca="false">IF(OR($D102=0,$G102=""),0,IF(AND($K102="Sim",$O102&lt;&gt;""),MAX(0,$H102*($E102-$O102)),0))</f>
        <v>0</v>
      </c>
      <c r="Q102" s="35" t="n">
        <f aca="false">INDEX(Parametros_ANEC73!$F$4:$F$6,MATCH($C102,Parametros_ANEC73!$A$4:$A$6,0))</f>
        <v>1</v>
      </c>
      <c r="R102" s="35" t="n">
        <f aca="false">INDEX(Parametros_ANEC73!$I$4:$I$6,MATCH($C102,Parametros_ANEC73!$A$4:$A$6,0))</f>
        <v>0</v>
      </c>
      <c r="S102" s="35" t="n">
        <f aca="false">INDEX(Parametros_ANEC73!$L$4:$L$6,MATCH($C102,Parametros_ANEC73!$A$4:$A$6,0))</f>
        <v>0</v>
      </c>
      <c r="T102" s="39" t="n">
        <f aca="false">INDEX(Parametros_ANEC73!$B$14:$B$25,MATCH($B102,Parametros_ANEC73!$A$14:$A$25,0))</f>
        <v>0</v>
      </c>
      <c r="U102" s="40" t="n">
        <f aca="false">IF(OR($D102=0,$G102=""),0,$D102*($T102/100)*($L102*$Q102+$N102*(IF($R102="",$Q102,$R102)-$Q102)+$P102*(IF($S102="",IF($R102="",$Q102,$R102),$S102)-IF($R102="",$Q102,$R102))))</f>
        <v>0</v>
      </c>
      <c r="V102" s="41" t="str">
        <f aca="false">IF(OR($D102=0,$G102=""),"",IF($H102*($E102-INDEX(Parametros_ANEC73!$M$4:$M$6,MATCH($C102,Parametros_ANEC73!$A$4:$A$6,0)))&gt;0,"Sim","Nao"))</f>
        <v/>
      </c>
      <c r="W102" s="27" t="str">
        <f aca="false">$A102&amp;"|"&amp;$B102&amp;"|"&amp;$C102</f>
        <v>Caramuru|Out|Umidade</v>
      </c>
    </row>
    <row r="103" customFormat="false" ht="15" hidden="false" customHeight="false" outlineLevel="0" collapsed="false">
      <c r="A103" s="27" t="s">
        <v>41</v>
      </c>
      <c r="B103" s="27" t="s">
        <v>67</v>
      </c>
      <c r="C103" s="27" t="s">
        <v>111</v>
      </c>
      <c r="D103" s="34" t="n">
        <f aca="false">SUMIFS(Media_Cliente_Mes!$C$2:$C$145,Media_Cliente_Mes!$A$2:$A$145,$A103,Media_Cliente_Mes!$B$2:$B$145,$B103)</f>
        <v>0</v>
      </c>
      <c r="E103" s="35" t="str">
        <f aca="false">IF($D103=0,"",IF($C103="Proteina",SUMIFS(Media_Cliente_Mes!$D$2:$D$145,Media_Cliente_Mes!$A$2:$A$145,$A103,Media_Cliente_Mes!$B$2:$B$145,$B103),IF($C103="Umidade",SUMIFS(Media_Cliente_Mes!$E$2:$E$145,Media_Cliente_Mes!$A$2:$A$145,$A103,Media_Cliente_Mes!$B$2:$B$145,$B103),SUMIFS(Media_Cliente_Mes!$F$2:$F$145,Media_Cliente_Mes!$A$2:$A$145,$A103,Media_Cliente_Mes!$B$2:$B$145,$B103))))</f>
        <v/>
      </c>
      <c r="F103" s="35" t="n">
        <f aca="false">INDEX(Parametros_ANEC73!$C$4:$C$6,MATCH($C103,Parametros_ANEC73!$A$4:$A$6,0))</f>
        <v>3.5</v>
      </c>
      <c r="G103" s="35" t="str">
        <f aca="false">IF($C103="Proteina",INDEX(Media_Pool_Mes!$C$2:$C$13,MATCH($B103,Media_Pool_Mes!$A$2:$A$13,0)),IF($C103="Umidade",INDEX(Media_Pool_Mes!$D$2:$D$13,MATCH($B103,Media_Pool_Mes!$A$2:$A$13,0)),INDEX(Media_Pool_Mes!$E$2:$E$13,MATCH($B103,Media_Pool_Mes!$A$2:$A$13,0))))</f>
        <v/>
      </c>
      <c r="H103" s="37" t="n">
        <f aca="false">INDEX(Parametros_ANEC73!$B$4:$B$6,MATCH($C103,Parametros_ANEC73!$A$4:$A$6,0))</f>
        <v>1</v>
      </c>
      <c r="I103" s="38" t="str">
        <f aca="false">IF(OR($D103=0,$G103=""),"",IF($H103*($G103-$F103)&gt;0,$G103,$F103))</f>
        <v/>
      </c>
      <c r="J103" s="27" t="str">
        <f aca="false">IF(OR($D103=0,$G103=""),"",IF($H103*($G103-$F103)&gt;0,"Sim","Nao"))</f>
        <v/>
      </c>
      <c r="K103" s="27" t="str">
        <f aca="false">IF(OR($D103=0,$G103=""),"",IF(AND($H103*($E103-$F103)&gt;0,$H103*($E103-$G103)&gt;0),"Sim","Nao"))</f>
        <v/>
      </c>
      <c r="L103" s="38" t="n">
        <f aca="false">IF(OR($D103=0,$G103=""),0,IF($K103="Sim",MAX(0,$H103*($E103-$I103)),0))</f>
        <v>0</v>
      </c>
      <c r="M103" s="35" t="n">
        <f aca="false">INDEX(Parametros_ANEC73!$G$4:$G$6,MATCH($C103,Parametros_ANEC73!$A$4:$A$6,0))</f>
        <v>3.8</v>
      </c>
      <c r="N103" s="38" t="n">
        <f aca="false">IF(OR($D103=0,$G103=""),0,IF(AND($K103="Sim",$M103&lt;&gt;""),MAX(0,$H103*($E103-$M103)),0))</f>
        <v>0</v>
      </c>
      <c r="O103" s="35" t="n">
        <f aca="false">INDEX(Parametros_ANEC73!$J$4:$J$6,MATCH($C103,Parametros_ANEC73!$A$4:$A$6,0))</f>
        <v>4</v>
      </c>
      <c r="P103" s="38" t="n">
        <f aca="false">IF(OR($D103=0,$G103=""),0,IF(AND($K103="Sim",$O103&lt;&gt;""),MAX(0,$H103*($E103-$O103)),0))</f>
        <v>0</v>
      </c>
      <c r="Q103" s="35" t="n">
        <f aca="false">INDEX(Parametros_ANEC73!$F$4:$F$6,MATCH($C103,Parametros_ANEC73!$A$4:$A$6,0))</f>
        <v>1</v>
      </c>
      <c r="R103" s="35" t="n">
        <f aca="false">INDEX(Parametros_ANEC73!$I$4:$I$6,MATCH($C103,Parametros_ANEC73!$A$4:$A$6,0))</f>
        <v>1.5</v>
      </c>
      <c r="S103" s="35" t="n">
        <f aca="false">INDEX(Parametros_ANEC73!$L$4:$L$6,MATCH($C103,Parametros_ANEC73!$A$4:$A$6,0))</f>
        <v>2</v>
      </c>
      <c r="T103" s="39" t="n">
        <f aca="false">INDEX(Parametros_ANEC73!$B$14:$B$25,MATCH($B103,Parametros_ANEC73!$A$14:$A$25,0))</f>
        <v>0</v>
      </c>
      <c r="U103" s="40" t="n">
        <f aca="false">IF(OR($D103=0,$G103=""),0,$D103*($T103/100)*($L103*$Q103+$N103*(IF($R103="",$Q103,$R103)-$Q103)+$P103*(IF($S103="",IF($R103="",$Q103,$R103),$S103)-IF($R103="",$Q103,$R103))))</f>
        <v>0</v>
      </c>
      <c r="V103" s="41" t="str">
        <f aca="false">IF(OR($D103=0,$G103=""),"",IF($H103*($E103-INDEX(Parametros_ANEC73!$M$4:$M$6,MATCH($C103,Parametros_ANEC73!$A$4:$A$6,0)))&gt;0,"Sim","Nao"))</f>
        <v/>
      </c>
      <c r="W103" s="27" t="str">
        <f aca="false">$A103&amp;"|"&amp;$B103&amp;"|"&amp;$C103</f>
        <v>Caramuru|Out|Fibra</v>
      </c>
    </row>
    <row r="104" customFormat="false" ht="15" hidden="false" customHeight="false" outlineLevel="0" collapsed="false">
      <c r="A104" s="27" t="s">
        <v>41</v>
      </c>
      <c r="B104" s="27" t="s">
        <v>68</v>
      </c>
      <c r="C104" s="27" t="s">
        <v>109</v>
      </c>
      <c r="D104" s="34" t="n">
        <f aca="false">SUMIFS(Media_Cliente_Mes!$C$2:$C$145,Media_Cliente_Mes!$A$2:$A$145,$A104,Media_Cliente_Mes!$B$2:$B$145,$B104)</f>
        <v>0</v>
      </c>
      <c r="E104" s="35" t="str">
        <f aca="false">IF($D104=0,"",IF($C104="Proteina",SUMIFS(Media_Cliente_Mes!$D$2:$D$145,Media_Cliente_Mes!$A$2:$A$145,$A104,Media_Cliente_Mes!$B$2:$B$145,$B104),IF($C104="Umidade",SUMIFS(Media_Cliente_Mes!$E$2:$E$145,Media_Cliente_Mes!$A$2:$A$145,$A104,Media_Cliente_Mes!$B$2:$B$145,$B104),SUMIFS(Media_Cliente_Mes!$F$2:$F$145,Media_Cliente_Mes!$A$2:$A$145,$A104,Media_Cliente_Mes!$B$2:$B$145,$B104))))</f>
        <v/>
      </c>
      <c r="F104" s="35" t="n">
        <f aca="false">INDEX(Parametros_ANEC73!$C$4:$C$6,MATCH($C104,Parametros_ANEC73!$A$4:$A$6,0))</f>
        <v>48</v>
      </c>
      <c r="G104" s="35" t="str">
        <f aca="false">IF($C104="Proteina",INDEX(Media_Pool_Mes!$C$2:$C$13,MATCH($B104,Media_Pool_Mes!$A$2:$A$13,0)),IF($C104="Umidade",INDEX(Media_Pool_Mes!$D$2:$D$13,MATCH($B104,Media_Pool_Mes!$A$2:$A$13,0)),INDEX(Media_Pool_Mes!$E$2:$E$13,MATCH($B104,Media_Pool_Mes!$A$2:$A$13,0))))</f>
        <v/>
      </c>
      <c r="H104" s="37" t="n">
        <f aca="false">INDEX(Parametros_ANEC73!$B$4:$B$6,MATCH($C104,Parametros_ANEC73!$A$4:$A$6,0))</f>
        <v>-1</v>
      </c>
      <c r="I104" s="38" t="str">
        <f aca="false">IF(OR($D104=0,$G104=""),"",IF($H104*($G104-$F104)&gt;0,$G104,$F104))</f>
        <v/>
      </c>
      <c r="J104" s="27" t="str">
        <f aca="false">IF(OR($D104=0,$G104=""),"",IF($H104*($G104-$F104)&gt;0,"Sim","Nao"))</f>
        <v/>
      </c>
      <c r="K104" s="27" t="str">
        <f aca="false">IF(OR($D104=0,$G104=""),"",IF(AND($H104*($E104-$F104)&gt;0,$H104*($E104-$G104)&gt;0),"Sim","Nao"))</f>
        <v/>
      </c>
      <c r="L104" s="38" t="n">
        <f aca="false">IF(OR($D104=0,$G104=""),0,IF($K104="Sim",MAX(0,$H104*($E104-$I104)),0))</f>
        <v>0</v>
      </c>
      <c r="M104" s="35" t="n">
        <f aca="false">INDEX(Parametros_ANEC73!$G$4:$G$6,MATCH($C104,Parametros_ANEC73!$A$4:$A$6,0))</f>
        <v>47</v>
      </c>
      <c r="N104" s="38" t="n">
        <f aca="false">IF(OR($D104=0,$G104=""),0,IF(AND($K104="Sim",$M104&lt;&gt;""),MAX(0,$H104*($E104-$M104)),0))</f>
        <v>0</v>
      </c>
      <c r="O104" s="35" t="n">
        <f aca="false">INDEX(Parametros_ANEC73!$J$4:$J$6,MATCH($C104,Parametros_ANEC73!$A$4:$A$6,0))</f>
        <v>0</v>
      </c>
      <c r="P104" s="38" t="n">
        <f aca="false">IF(OR($D104=0,$G104=""),0,IF(AND($K104="Sim",$O104&lt;&gt;""),MAX(0,$H104*($E104-$O104)),0))</f>
        <v>0</v>
      </c>
      <c r="Q104" s="35" t="n">
        <f aca="false">INDEX(Parametros_ANEC73!$F$4:$F$6,MATCH($C104,Parametros_ANEC73!$A$4:$A$6,0))</f>
        <v>1</v>
      </c>
      <c r="R104" s="35" t="n">
        <f aca="false">INDEX(Parametros_ANEC73!$I$4:$I$6,MATCH($C104,Parametros_ANEC73!$A$4:$A$6,0))</f>
        <v>2</v>
      </c>
      <c r="S104" s="35" t="n">
        <f aca="false">INDEX(Parametros_ANEC73!$L$4:$L$6,MATCH($C104,Parametros_ANEC73!$A$4:$A$6,0))</f>
        <v>0</v>
      </c>
      <c r="T104" s="39" t="n">
        <f aca="false">INDEX(Parametros_ANEC73!$B$14:$B$25,MATCH($B104,Parametros_ANEC73!$A$14:$A$25,0))</f>
        <v>0</v>
      </c>
      <c r="U104" s="40" t="n">
        <f aca="false">IF(OR($D104=0,$G104=""),0,$D104*($T104/100)*($L104*$Q104+$N104*(IF($R104="",$Q104,$R104)-$Q104)+$P104*(IF($S104="",IF($R104="",$Q104,$R104),$S104)-IF($R104="",$Q104,$R104))))</f>
        <v>0</v>
      </c>
      <c r="V104" s="41" t="str">
        <f aca="false">IF(OR($D104=0,$G104=""),"",IF($H104*($E104-INDEX(Parametros_ANEC73!$M$4:$M$6,MATCH($C104,Parametros_ANEC73!$A$4:$A$6,0)))&gt;0,"Sim","Nao"))</f>
        <v/>
      </c>
      <c r="W104" s="27" t="str">
        <f aca="false">$A104&amp;"|"&amp;$B104&amp;"|"&amp;$C104</f>
        <v>Caramuru|Nov|Proteina</v>
      </c>
    </row>
    <row r="105" customFormat="false" ht="15" hidden="false" customHeight="false" outlineLevel="0" collapsed="false">
      <c r="A105" s="27" t="s">
        <v>41</v>
      </c>
      <c r="B105" s="27" t="s">
        <v>68</v>
      </c>
      <c r="C105" s="27" t="s">
        <v>110</v>
      </c>
      <c r="D105" s="34" t="n">
        <f aca="false">SUMIFS(Media_Cliente_Mes!$C$2:$C$145,Media_Cliente_Mes!$A$2:$A$145,$A105,Media_Cliente_Mes!$B$2:$B$145,$B105)</f>
        <v>0</v>
      </c>
      <c r="E105" s="35" t="str">
        <f aca="false">IF($D105=0,"",IF($C105="Proteina",SUMIFS(Media_Cliente_Mes!$D$2:$D$145,Media_Cliente_Mes!$A$2:$A$145,$A105,Media_Cliente_Mes!$B$2:$B$145,$B105),IF($C105="Umidade",SUMIFS(Media_Cliente_Mes!$E$2:$E$145,Media_Cliente_Mes!$A$2:$A$145,$A105,Media_Cliente_Mes!$B$2:$B$145,$B105),SUMIFS(Media_Cliente_Mes!$F$2:$F$145,Media_Cliente_Mes!$A$2:$A$145,$A105,Media_Cliente_Mes!$B$2:$B$145,$B105))))</f>
        <v/>
      </c>
      <c r="F105" s="35" t="n">
        <f aca="false">INDEX(Parametros_ANEC73!$C$4:$C$6,MATCH($C105,Parametros_ANEC73!$A$4:$A$6,0))</f>
        <v>12.5</v>
      </c>
      <c r="G105" s="35" t="str">
        <f aca="false">IF($C105="Proteina",INDEX(Media_Pool_Mes!$C$2:$C$13,MATCH($B105,Media_Pool_Mes!$A$2:$A$13,0)),IF($C105="Umidade",INDEX(Media_Pool_Mes!$D$2:$D$13,MATCH($B105,Media_Pool_Mes!$A$2:$A$13,0)),INDEX(Media_Pool_Mes!$E$2:$E$13,MATCH($B105,Media_Pool_Mes!$A$2:$A$13,0))))</f>
        <v/>
      </c>
      <c r="H105" s="37" t="n">
        <f aca="false">INDEX(Parametros_ANEC73!$B$4:$B$6,MATCH($C105,Parametros_ANEC73!$A$4:$A$6,0))</f>
        <v>1</v>
      </c>
      <c r="I105" s="38" t="str">
        <f aca="false">IF(OR($D105=0,$G105=""),"",IF($H105*($G105-$F105)&gt;0,$G105,$F105))</f>
        <v/>
      </c>
      <c r="J105" s="27" t="str">
        <f aca="false">IF(OR($D105=0,$G105=""),"",IF($H105*($G105-$F105)&gt;0,"Sim","Nao"))</f>
        <v/>
      </c>
      <c r="K105" s="27" t="str">
        <f aca="false">IF(OR($D105=0,$G105=""),"",IF(AND($H105*($E105-$F105)&gt;0,$H105*($E105-$G105)&gt;0),"Sim","Nao"))</f>
        <v/>
      </c>
      <c r="L105" s="38" t="n">
        <f aca="false">IF(OR($D105=0,$G105=""),0,IF($K105="Sim",MAX(0,$H105*($E105-$I105)),0))</f>
        <v>0</v>
      </c>
      <c r="M105" s="35" t="n">
        <f aca="false">INDEX(Parametros_ANEC73!$G$4:$G$6,MATCH($C105,Parametros_ANEC73!$A$4:$A$6,0))</f>
        <v>0</v>
      </c>
      <c r="N105" s="38" t="n">
        <f aca="false">IF(OR($D105=0,$G105=""),0,IF(AND($K105="Sim",$M105&lt;&gt;""),MAX(0,$H105*($E105-$M105)),0))</f>
        <v>0</v>
      </c>
      <c r="O105" s="35" t="n">
        <f aca="false">INDEX(Parametros_ANEC73!$J$4:$J$6,MATCH($C105,Parametros_ANEC73!$A$4:$A$6,0))</f>
        <v>0</v>
      </c>
      <c r="P105" s="38" t="n">
        <f aca="false">IF(OR($D105=0,$G105=""),0,IF(AND($K105="Sim",$O105&lt;&gt;""),MAX(0,$H105*($E105-$O105)),0))</f>
        <v>0</v>
      </c>
      <c r="Q105" s="35" t="n">
        <f aca="false">INDEX(Parametros_ANEC73!$F$4:$F$6,MATCH($C105,Parametros_ANEC73!$A$4:$A$6,0))</f>
        <v>1</v>
      </c>
      <c r="R105" s="35" t="n">
        <f aca="false">INDEX(Parametros_ANEC73!$I$4:$I$6,MATCH($C105,Parametros_ANEC73!$A$4:$A$6,0))</f>
        <v>0</v>
      </c>
      <c r="S105" s="35" t="n">
        <f aca="false">INDEX(Parametros_ANEC73!$L$4:$L$6,MATCH($C105,Parametros_ANEC73!$A$4:$A$6,0))</f>
        <v>0</v>
      </c>
      <c r="T105" s="39" t="n">
        <f aca="false">INDEX(Parametros_ANEC73!$B$14:$B$25,MATCH($B105,Parametros_ANEC73!$A$14:$A$25,0))</f>
        <v>0</v>
      </c>
      <c r="U105" s="40" t="n">
        <f aca="false">IF(OR($D105=0,$G105=""),0,$D105*($T105/100)*($L105*$Q105+$N105*(IF($R105="",$Q105,$R105)-$Q105)+$P105*(IF($S105="",IF($R105="",$Q105,$R105),$S105)-IF($R105="",$Q105,$R105))))</f>
        <v>0</v>
      </c>
      <c r="V105" s="41" t="str">
        <f aca="false">IF(OR($D105=0,$G105=""),"",IF($H105*($E105-INDEX(Parametros_ANEC73!$M$4:$M$6,MATCH($C105,Parametros_ANEC73!$A$4:$A$6,0)))&gt;0,"Sim","Nao"))</f>
        <v/>
      </c>
      <c r="W105" s="27" t="str">
        <f aca="false">$A105&amp;"|"&amp;$B105&amp;"|"&amp;$C105</f>
        <v>Caramuru|Nov|Umidade</v>
      </c>
    </row>
    <row r="106" customFormat="false" ht="15" hidden="false" customHeight="false" outlineLevel="0" collapsed="false">
      <c r="A106" s="27" t="s">
        <v>41</v>
      </c>
      <c r="B106" s="27" t="s">
        <v>68</v>
      </c>
      <c r="C106" s="27" t="s">
        <v>111</v>
      </c>
      <c r="D106" s="34" t="n">
        <f aca="false">SUMIFS(Media_Cliente_Mes!$C$2:$C$145,Media_Cliente_Mes!$A$2:$A$145,$A106,Media_Cliente_Mes!$B$2:$B$145,$B106)</f>
        <v>0</v>
      </c>
      <c r="E106" s="35" t="str">
        <f aca="false">IF($D106=0,"",IF($C106="Proteina",SUMIFS(Media_Cliente_Mes!$D$2:$D$145,Media_Cliente_Mes!$A$2:$A$145,$A106,Media_Cliente_Mes!$B$2:$B$145,$B106),IF($C106="Umidade",SUMIFS(Media_Cliente_Mes!$E$2:$E$145,Media_Cliente_Mes!$A$2:$A$145,$A106,Media_Cliente_Mes!$B$2:$B$145,$B106),SUMIFS(Media_Cliente_Mes!$F$2:$F$145,Media_Cliente_Mes!$A$2:$A$145,$A106,Media_Cliente_Mes!$B$2:$B$145,$B106))))</f>
        <v/>
      </c>
      <c r="F106" s="35" t="n">
        <f aca="false">INDEX(Parametros_ANEC73!$C$4:$C$6,MATCH($C106,Parametros_ANEC73!$A$4:$A$6,0))</f>
        <v>3.5</v>
      </c>
      <c r="G106" s="35" t="str">
        <f aca="false">IF($C106="Proteina",INDEX(Media_Pool_Mes!$C$2:$C$13,MATCH($B106,Media_Pool_Mes!$A$2:$A$13,0)),IF($C106="Umidade",INDEX(Media_Pool_Mes!$D$2:$D$13,MATCH($B106,Media_Pool_Mes!$A$2:$A$13,0)),INDEX(Media_Pool_Mes!$E$2:$E$13,MATCH($B106,Media_Pool_Mes!$A$2:$A$13,0))))</f>
        <v/>
      </c>
      <c r="H106" s="37" t="n">
        <f aca="false">INDEX(Parametros_ANEC73!$B$4:$B$6,MATCH($C106,Parametros_ANEC73!$A$4:$A$6,0))</f>
        <v>1</v>
      </c>
      <c r="I106" s="38" t="str">
        <f aca="false">IF(OR($D106=0,$G106=""),"",IF($H106*($G106-$F106)&gt;0,$G106,$F106))</f>
        <v/>
      </c>
      <c r="J106" s="27" t="str">
        <f aca="false">IF(OR($D106=0,$G106=""),"",IF($H106*($G106-$F106)&gt;0,"Sim","Nao"))</f>
        <v/>
      </c>
      <c r="K106" s="27" t="str">
        <f aca="false">IF(OR($D106=0,$G106=""),"",IF(AND($H106*($E106-$F106)&gt;0,$H106*($E106-$G106)&gt;0),"Sim","Nao"))</f>
        <v/>
      </c>
      <c r="L106" s="38" t="n">
        <f aca="false">IF(OR($D106=0,$G106=""),0,IF($K106="Sim",MAX(0,$H106*($E106-$I106)),0))</f>
        <v>0</v>
      </c>
      <c r="M106" s="35" t="n">
        <f aca="false">INDEX(Parametros_ANEC73!$G$4:$G$6,MATCH($C106,Parametros_ANEC73!$A$4:$A$6,0))</f>
        <v>3.8</v>
      </c>
      <c r="N106" s="38" t="n">
        <f aca="false">IF(OR($D106=0,$G106=""),0,IF(AND($K106="Sim",$M106&lt;&gt;""),MAX(0,$H106*($E106-$M106)),0))</f>
        <v>0</v>
      </c>
      <c r="O106" s="35" t="n">
        <f aca="false">INDEX(Parametros_ANEC73!$J$4:$J$6,MATCH($C106,Parametros_ANEC73!$A$4:$A$6,0))</f>
        <v>4</v>
      </c>
      <c r="P106" s="38" t="n">
        <f aca="false">IF(OR($D106=0,$G106=""),0,IF(AND($K106="Sim",$O106&lt;&gt;""),MAX(0,$H106*($E106-$O106)),0))</f>
        <v>0</v>
      </c>
      <c r="Q106" s="35" t="n">
        <f aca="false">INDEX(Parametros_ANEC73!$F$4:$F$6,MATCH($C106,Parametros_ANEC73!$A$4:$A$6,0))</f>
        <v>1</v>
      </c>
      <c r="R106" s="35" t="n">
        <f aca="false">INDEX(Parametros_ANEC73!$I$4:$I$6,MATCH($C106,Parametros_ANEC73!$A$4:$A$6,0))</f>
        <v>1.5</v>
      </c>
      <c r="S106" s="35" t="n">
        <f aca="false">INDEX(Parametros_ANEC73!$L$4:$L$6,MATCH($C106,Parametros_ANEC73!$A$4:$A$6,0))</f>
        <v>2</v>
      </c>
      <c r="T106" s="39" t="n">
        <f aca="false">INDEX(Parametros_ANEC73!$B$14:$B$25,MATCH($B106,Parametros_ANEC73!$A$14:$A$25,0))</f>
        <v>0</v>
      </c>
      <c r="U106" s="40" t="n">
        <f aca="false">IF(OR($D106=0,$G106=""),0,$D106*($T106/100)*($L106*$Q106+$N106*(IF($R106="",$Q106,$R106)-$Q106)+$P106*(IF($S106="",IF($R106="",$Q106,$R106),$S106)-IF($R106="",$Q106,$R106))))</f>
        <v>0</v>
      </c>
      <c r="V106" s="41" t="str">
        <f aca="false">IF(OR($D106=0,$G106=""),"",IF($H106*($E106-INDEX(Parametros_ANEC73!$M$4:$M$6,MATCH($C106,Parametros_ANEC73!$A$4:$A$6,0)))&gt;0,"Sim","Nao"))</f>
        <v/>
      </c>
      <c r="W106" s="27" t="str">
        <f aca="false">$A106&amp;"|"&amp;$B106&amp;"|"&amp;$C106</f>
        <v>Caramuru|Nov|Fibra</v>
      </c>
    </row>
    <row r="107" customFormat="false" ht="15" hidden="false" customHeight="false" outlineLevel="0" collapsed="false">
      <c r="A107" s="27" t="s">
        <v>41</v>
      </c>
      <c r="B107" s="27" t="s">
        <v>69</v>
      </c>
      <c r="C107" s="27" t="s">
        <v>109</v>
      </c>
      <c r="D107" s="34" t="n">
        <f aca="false">SUMIFS(Media_Cliente_Mes!$C$2:$C$145,Media_Cliente_Mes!$A$2:$A$145,$A107,Media_Cliente_Mes!$B$2:$B$145,$B107)</f>
        <v>0</v>
      </c>
      <c r="E107" s="35" t="str">
        <f aca="false">IF($D107=0,"",IF($C107="Proteina",SUMIFS(Media_Cliente_Mes!$D$2:$D$145,Media_Cliente_Mes!$A$2:$A$145,$A107,Media_Cliente_Mes!$B$2:$B$145,$B107),IF($C107="Umidade",SUMIFS(Media_Cliente_Mes!$E$2:$E$145,Media_Cliente_Mes!$A$2:$A$145,$A107,Media_Cliente_Mes!$B$2:$B$145,$B107),SUMIFS(Media_Cliente_Mes!$F$2:$F$145,Media_Cliente_Mes!$A$2:$A$145,$A107,Media_Cliente_Mes!$B$2:$B$145,$B107))))</f>
        <v/>
      </c>
      <c r="F107" s="35" t="n">
        <f aca="false">INDEX(Parametros_ANEC73!$C$4:$C$6,MATCH($C107,Parametros_ANEC73!$A$4:$A$6,0))</f>
        <v>48</v>
      </c>
      <c r="G107" s="35" t="str">
        <f aca="false">IF($C107="Proteina",INDEX(Media_Pool_Mes!$C$2:$C$13,MATCH($B107,Media_Pool_Mes!$A$2:$A$13,0)),IF($C107="Umidade",INDEX(Media_Pool_Mes!$D$2:$D$13,MATCH($B107,Media_Pool_Mes!$A$2:$A$13,0)),INDEX(Media_Pool_Mes!$E$2:$E$13,MATCH($B107,Media_Pool_Mes!$A$2:$A$13,0))))</f>
        <v/>
      </c>
      <c r="H107" s="37" t="n">
        <f aca="false">INDEX(Parametros_ANEC73!$B$4:$B$6,MATCH($C107,Parametros_ANEC73!$A$4:$A$6,0))</f>
        <v>-1</v>
      </c>
      <c r="I107" s="38" t="str">
        <f aca="false">IF(OR($D107=0,$G107=""),"",IF($H107*($G107-$F107)&gt;0,$G107,$F107))</f>
        <v/>
      </c>
      <c r="J107" s="27" t="str">
        <f aca="false">IF(OR($D107=0,$G107=""),"",IF($H107*($G107-$F107)&gt;0,"Sim","Nao"))</f>
        <v/>
      </c>
      <c r="K107" s="27" t="str">
        <f aca="false">IF(OR($D107=0,$G107=""),"",IF(AND($H107*($E107-$F107)&gt;0,$H107*($E107-$G107)&gt;0),"Sim","Nao"))</f>
        <v/>
      </c>
      <c r="L107" s="38" t="n">
        <f aca="false">IF(OR($D107=0,$G107=""),0,IF($K107="Sim",MAX(0,$H107*($E107-$I107)),0))</f>
        <v>0</v>
      </c>
      <c r="M107" s="35" t="n">
        <f aca="false">INDEX(Parametros_ANEC73!$G$4:$G$6,MATCH($C107,Parametros_ANEC73!$A$4:$A$6,0))</f>
        <v>47</v>
      </c>
      <c r="N107" s="38" t="n">
        <f aca="false">IF(OR($D107=0,$G107=""),0,IF(AND($K107="Sim",$M107&lt;&gt;""),MAX(0,$H107*($E107-$M107)),0))</f>
        <v>0</v>
      </c>
      <c r="O107" s="35" t="n">
        <f aca="false">INDEX(Parametros_ANEC73!$J$4:$J$6,MATCH($C107,Parametros_ANEC73!$A$4:$A$6,0))</f>
        <v>0</v>
      </c>
      <c r="P107" s="38" t="n">
        <f aca="false">IF(OR($D107=0,$G107=""),0,IF(AND($K107="Sim",$O107&lt;&gt;""),MAX(0,$H107*($E107-$O107)),0))</f>
        <v>0</v>
      </c>
      <c r="Q107" s="35" t="n">
        <f aca="false">INDEX(Parametros_ANEC73!$F$4:$F$6,MATCH($C107,Parametros_ANEC73!$A$4:$A$6,0))</f>
        <v>1</v>
      </c>
      <c r="R107" s="35" t="n">
        <f aca="false">INDEX(Parametros_ANEC73!$I$4:$I$6,MATCH($C107,Parametros_ANEC73!$A$4:$A$6,0))</f>
        <v>2</v>
      </c>
      <c r="S107" s="35" t="n">
        <f aca="false">INDEX(Parametros_ANEC73!$L$4:$L$6,MATCH($C107,Parametros_ANEC73!$A$4:$A$6,0))</f>
        <v>0</v>
      </c>
      <c r="T107" s="39" t="n">
        <f aca="false">INDEX(Parametros_ANEC73!$B$14:$B$25,MATCH($B107,Parametros_ANEC73!$A$14:$A$25,0))</f>
        <v>0</v>
      </c>
      <c r="U107" s="40" t="n">
        <f aca="false">IF(OR($D107=0,$G107=""),0,$D107*($T107/100)*($L107*$Q107+$N107*(IF($R107="",$Q107,$R107)-$Q107)+$P107*(IF($S107="",IF($R107="",$Q107,$R107),$S107)-IF($R107="",$Q107,$R107))))</f>
        <v>0</v>
      </c>
      <c r="V107" s="41" t="str">
        <f aca="false">IF(OR($D107=0,$G107=""),"",IF($H107*($E107-INDEX(Parametros_ANEC73!$M$4:$M$6,MATCH($C107,Parametros_ANEC73!$A$4:$A$6,0)))&gt;0,"Sim","Nao"))</f>
        <v/>
      </c>
      <c r="W107" s="27" t="str">
        <f aca="false">$A107&amp;"|"&amp;$B107&amp;"|"&amp;$C107</f>
        <v>Caramuru|Dez|Proteina</v>
      </c>
    </row>
    <row r="108" customFormat="false" ht="15" hidden="false" customHeight="false" outlineLevel="0" collapsed="false">
      <c r="A108" s="27" t="s">
        <v>41</v>
      </c>
      <c r="B108" s="27" t="s">
        <v>69</v>
      </c>
      <c r="C108" s="27" t="s">
        <v>110</v>
      </c>
      <c r="D108" s="34" t="n">
        <f aca="false">SUMIFS(Media_Cliente_Mes!$C$2:$C$145,Media_Cliente_Mes!$A$2:$A$145,$A108,Media_Cliente_Mes!$B$2:$B$145,$B108)</f>
        <v>0</v>
      </c>
      <c r="E108" s="35" t="str">
        <f aca="false">IF($D108=0,"",IF($C108="Proteina",SUMIFS(Media_Cliente_Mes!$D$2:$D$145,Media_Cliente_Mes!$A$2:$A$145,$A108,Media_Cliente_Mes!$B$2:$B$145,$B108),IF($C108="Umidade",SUMIFS(Media_Cliente_Mes!$E$2:$E$145,Media_Cliente_Mes!$A$2:$A$145,$A108,Media_Cliente_Mes!$B$2:$B$145,$B108),SUMIFS(Media_Cliente_Mes!$F$2:$F$145,Media_Cliente_Mes!$A$2:$A$145,$A108,Media_Cliente_Mes!$B$2:$B$145,$B108))))</f>
        <v/>
      </c>
      <c r="F108" s="35" t="n">
        <f aca="false">INDEX(Parametros_ANEC73!$C$4:$C$6,MATCH($C108,Parametros_ANEC73!$A$4:$A$6,0))</f>
        <v>12.5</v>
      </c>
      <c r="G108" s="35" t="str">
        <f aca="false">IF($C108="Proteina",INDEX(Media_Pool_Mes!$C$2:$C$13,MATCH($B108,Media_Pool_Mes!$A$2:$A$13,0)),IF($C108="Umidade",INDEX(Media_Pool_Mes!$D$2:$D$13,MATCH($B108,Media_Pool_Mes!$A$2:$A$13,0)),INDEX(Media_Pool_Mes!$E$2:$E$13,MATCH($B108,Media_Pool_Mes!$A$2:$A$13,0))))</f>
        <v/>
      </c>
      <c r="H108" s="37" t="n">
        <f aca="false">INDEX(Parametros_ANEC73!$B$4:$B$6,MATCH($C108,Parametros_ANEC73!$A$4:$A$6,0))</f>
        <v>1</v>
      </c>
      <c r="I108" s="38" t="str">
        <f aca="false">IF(OR($D108=0,$G108=""),"",IF($H108*($G108-$F108)&gt;0,$G108,$F108))</f>
        <v/>
      </c>
      <c r="J108" s="27" t="str">
        <f aca="false">IF(OR($D108=0,$G108=""),"",IF($H108*($G108-$F108)&gt;0,"Sim","Nao"))</f>
        <v/>
      </c>
      <c r="K108" s="27" t="str">
        <f aca="false">IF(OR($D108=0,$G108=""),"",IF(AND($H108*($E108-$F108)&gt;0,$H108*($E108-$G108)&gt;0),"Sim","Nao"))</f>
        <v/>
      </c>
      <c r="L108" s="38" t="n">
        <f aca="false">IF(OR($D108=0,$G108=""),0,IF($K108="Sim",MAX(0,$H108*($E108-$I108)),0))</f>
        <v>0</v>
      </c>
      <c r="M108" s="35" t="n">
        <f aca="false">INDEX(Parametros_ANEC73!$G$4:$G$6,MATCH($C108,Parametros_ANEC73!$A$4:$A$6,0))</f>
        <v>0</v>
      </c>
      <c r="N108" s="38" t="n">
        <f aca="false">IF(OR($D108=0,$G108=""),0,IF(AND($K108="Sim",$M108&lt;&gt;""),MAX(0,$H108*($E108-$M108)),0))</f>
        <v>0</v>
      </c>
      <c r="O108" s="35" t="n">
        <f aca="false">INDEX(Parametros_ANEC73!$J$4:$J$6,MATCH($C108,Parametros_ANEC73!$A$4:$A$6,0))</f>
        <v>0</v>
      </c>
      <c r="P108" s="38" t="n">
        <f aca="false">IF(OR($D108=0,$G108=""),0,IF(AND($K108="Sim",$O108&lt;&gt;""),MAX(0,$H108*($E108-$O108)),0))</f>
        <v>0</v>
      </c>
      <c r="Q108" s="35" t="n">
        <f aca="false">INDEX(Parametros_ANEC73!$F$4:$F$6,MATCH($C108,Parametros_ANEC73!$A$4:$A$6,0))</f>
        <v>1</v>
      </c>
      <c r="R108" s="35" t="n">
        <f aca="false">INDEX(Parametros_ANEC73!$I$4:$I$6,MATCH($C108,Parametros_ANEC73!$A$4:$A$6,0))</f>
        <v>0</v>
      </c>
      <c r="S108" s="35" t="n">
        <f aca="false">INDEX(Parametros_ANEC73!$L$4:$L$6,MATCH($C108,Parametros_ANEC73!$A$4:$A$6,0))</f>
        <v>0</v>
      </c>
      <c r="T108" s="39" t="n">
        <f aca="false">INDEX(Parametros_ANEC73!$B$14:$B$25,MATCH($B108,Parametros_ANEC73!$A$14:$A$25,0))</f>
        <v>0</v>
      </c>
      <c r="U108" s="40" t="n">
        <f aca="false">IF(OR($D108=0,$G108=""),0,$D108*($T108/100)*($L108*$Q108+$N108*(IF($R108="",$Q108,$R108)-$Q108)+$P108*(IF($S108="",IF($R108="",$Q108,$R108),$S108)-IF($R108="",$Q108,$R108))))</f>
        <v>0</v>
      </c>
      <c r="V108" s="41" t="str">
        <f aca="false">IF(OR($D108=0,$G108=""),"",IF($H108*($E108-INDEX(Parametros_ANEC73!$M$4:$M$6,MATCH($C108,Parametros_ANEC73!$A$4:$A$6,0)))&gt;0,"Sim","Nao"))</f>
        <v/>
      </c>
      <c r="W108" s="27" t="str">
        <f aca="false">$A108&amp;"|"&amp;$B108&amp;"|"&amp;$C108</f>
        <v>Caramuru|Dez|Umidade</v>
      </c>
    </row>
    <row r="109" customFormat="false" ht="15" hidden="false" customHeight="false" outlineLevel="0" collapsed="false">
      <c r="A109" s="27" t="s">
        <v>41</v>
      </c>
      <c r="B109" s="27" t="s">
        <v>69</v>
      </c>
      <c r="C109" s="27" t="s">
        <v>111</v>
      </c>
      <c r="D109" s="34" t="n">
        <f aca="false">SUMIFS(Media_Cliente_Mes!$C$2:$C$145,Media_Cliente_Mes!$A$2:$A$145,$A109,Media_Cliente_Mes!$B$2:$B$145,$B109)</f>
        <v>0</v>
      </c>
      <c r="E109" s="35" t="str">
        <f aca="false">IF($D109=0,"",IF($C109="Proteina",SUMIFS(Media_Cliente_Mes!$D$2:$D$145,Media_Cliente_Mes!$A$2:$A$145,$A109,Media_Cliente_Mes!$B$2:$B$145,$B109),IF($C109="Umidade",SUMIFS(Media_Cliente_Mes!$E$2:$E$145,Media_Cliente_Mes!$A$2:$A$145,$A109,Media_Cliente_Mes!$B$2:$B$145,$B109),SUMIFS(Media_Cliente_Mes!$F$2:$F$145,Media_Cliente_Mes!$A$2:$A$145,$A109,Media_Cliente_Mes!$B$2:$B$145,$B109))))</f>
        <v/>
      </c>
      <c r="F109" s="35" t="n">
        <f aca="false">INDEX(Parametros_ANEC73!$C$4:$C$6,MATCH($C109,Parametros_ANEC73!$A$4:$A$6,0))</f>
        <v>3.5</v>
      </c>
      <c r="G109" s="35" t="str">
        <f aca="false">IF($C109="Proteina",INDEX(Media_Pool_Mes!$C$2:$C$13,MATCH($B109,Media_Pool_Mes!$A$2:$A$13,0)),IF($C109="Umidade",INDEX(Media_Pool_Mes!$D$2:$D$13,MATCH($B109,Media_Pool_Mes!$A$2:$A$13,0)),INDEX(Media_Pool_Mes!$E$2:$E$13,MATCH($B109,Media_Pool_Mes!$A$2:$A$13,0))))</f>
        <v/>
      </c>
      <c r="H109" s="37" t="n">
        <f aca="false">INDEX(Parametros_ANEC73!$B$4:$B$6,MATCH($C109,Parametros_ANEC73!$A$4:$A$6,0))</f>
        <v>1</v>
      </c>
      <c r="I109" s="38" t="str">
        <f aca="false">IF(OR($D109=0,$G109=""),"",IF($H109*($G109-$F109)&gt;0,$G109,$F109))</f>
        <v/>
      </c>
      <c r="J109" s="27" t="str">
        <f aca="false">IF(OR($D109=0,$G109=""),"",IF($H109*($G109-$F109)&gt;0,"Sim","Nao"))</f>
        <v/>
      </c>
      <c r="K109" s="27" t="str">
        <f aca="false">IF(OR($D109=0,$G109=""),"",IF(AND($H109*($E109-$F109)&gt;0,$H109*($E109-$G109)&gt;0),"Sim","Nao"))</f>
        <v/>
      </c>
      <c r="L109" s="38" t="n">
        <f aca="false">IF(OR($D109=0,$G109=""),0,IF($K109="Sim",MAX(0,$H109*($E109-$I109)),0))</f>
        <v>0</v>
      </c>
      <c r="M109" s="35" t="n">
        <f aca="false">INDEX(Parametros_ANEC73!$G$4:$G$6,MATCH($C109,Parametros_ANEC73!$A$4:$A$6,0))</f>
        <v>3.8</v>
      </c>
      <c r="N109" s="38" t="n">
        <f aca="false">IF(OR($D109=0,$G109=""),0,IF(AND($K109="Sim",$M109&lt;&gt;""),MAX(0,$H109*($E109-$M109)),0))</f>
        <v>0</v>
      </c>
      <c r="O109" s="35" t="n">
        <f aca="false">INDEX(Parametros_ANEC73!$J$4:$J$6,MATCH($C109,Parametros_ANEC73!$A$4:$A$6,0))</f>
        <v>4</v>
      </c>
      <c r="P109" s="38" t="n">
        <f aca="false">IF(OR($D109=0,$G109=""),0,IF(AND($K109="Sim",$O109&lt;&gt;""),MAX(0,$H109*($E109-$O109)),0))</f>
        <v>0</v>
      </c>
      <c r="Q109" s="35" t="n">
        <f aca="false">INDEX(Parametros_ANEC73!$F$4:$F$6,MATCH($C109,Parametros_ANEC73!$A$4:$A$6,0))</f>
        <v>1</v>
      </c>
      <c r="R109" s="35" t="n">
        <f aca="false">INDEX(Parametros_ANEC73!$I$4:$I$6,MATCH($C109,Parametros_ANEC73!$A$4:$A$6,0))</f>
        <v>1.5</v>
      </c>
      <c r="S109" s="35" t="n">
        <f aca="false">INDEX(Parametros_ANEC73!$L$4:$L$6,MATCH($C109,Parametros_ANEC73!$A$4:$A$6,0))</f>
        <v>2</v>
      </c>
      <c r="T109" s="39" t="n">
        <f aca="false">INDEX(Parametros_ANEC73!$B$14:$B$25,MATCH($B109,Parametros_ANEC73!$A$14:$A$25,0))</f>
        <v>0</v>
      </c>
      <c r="U109" s="40" t="n">
        <f aca="false">IF(OR($D109=0,$G109=""),0,$D109*($T109/100)*($L109*$Q109+$N109*(IF($R109="",$Q109,$R109)-$Q109)+$P109*(IF($S109="",IF($R109="",$Q109,$R109),$S109)-IF($R109="",$Q109,$R109))))</f>
        <v>0</v>
      </c>
      <c r="V109" s="41" t="str">
        <f aca="false">IF(OR($D109=0,$G109=""),"",IF($H109*($E109-INDEX(Parametros_ANEC73!$M$4:$M$6,MATCH($C109,Parametros_ANEC73!$A$4:$A$6,0)))&gt;0,"Sim","Nao"))</f>
        <v/>
      </c>
      <c r="W109" s="27" t="str">
        <f aca="false">$A109&amp;"|"&amp;$B109&amp;"|"&amp;$C109</f>
        <v>Caramuru|Dez|Fibra</v>
      </c>
    </row>
    <row r="110" customFormat="false" ht="15" hidden="false" customHeight="false" outlineLevel="0" collapsed="false">
      <c r="A110" s="27" t="s">
        <v>42</v>
      </c>
      <c r="B110" s="27" t="s">
        <v>38</v>
      </c>
      <c r="C110" s="27" t="s">
        <v>109</v>
      </c>
      <c r="D110" s="34" t="n">
        <f aca="false">SUMIFS(Media_Cliente_Mes!$C$2:$C$145,Media_Cliente_Mes!$A$2:$A$145,$A110,Media_Cliente_Mes!$B$2:$B$145,$B110)</f>
        <v>26334.33</v>
      </c>
      <c r="E110" s="35" t="n">
        <f aca="false">IF($D110=0,"",IF($C110="Proteina",SUMIFS(Media_Cliente_Mes!$D$2:$D$145,Media_Cliente_Mes!$A$2:$A$145,$A110,Media_Cliente_Mes!$B$2:$B$145,$B110),IF($C110="Umidade",SUMIFS(Media_Cliente_Mes!$E$2:$E$145,Media_Cliente_Mes!$A$2:$A$145,$A110,Media_Cliente_Mes!$B$2:$B$145,$B110),SUMIFS(Media_Cliente_Mes!$F$2:$F$145,Media_Cliente_Mes!$A$2:$A$145,$A110,Media_Cliente_Mes!$B$2:$B$145,$B110))))</f>
        <v>47.805871594227</v>
      </c>
      <c r="F110" s="35" t="n">
        <f aca="false">INDEX(Parametros_ANEC73!$C$4:$C$6,MATCH($C110,Parametros_ANEC73!$A$4:$A$6,0))</f>
        <v>48</v>
      </c>
      <c r="G110" s="35" t="n">
        <f aca="false">IF($C110="Proteina",INDEX(Media_Pool_Mes!$C$2:$C$13,MATCH($B110,Media_Pool_Mes!$A$2:$A$13,0)),IF($C110="Umidade",INDEX(Media_Pool_Mes!$D$2:$D$13,MATCH($B110,Media_Pool_Mes!$A$2:$A$13,0)),INDEX(Media_Pool_Mes!$E$2:$E$13,MATCH($B110,Media_Pool_Mes!$A$2:$A$13,0))))</f>
        <v>47.8154367670349</v>
      </c>
      <c r="H110" s="37" t="n">
        <f aca="false">INDEX(Parametros_ANEC73!$B$4:$B$6,MATCH($C110,Parametros_ANEC73!$A$4:$A$6,0))</f>
        <v>-1</v>
      </c>
      <c r="I110" s="38" t="n">
        <f aca="false">IF(OR($D110=0,$G110=""),"",IF($H110*($G110-$F110)&gt;0,$G110,$F110))</f>
        <v>47.8154367670349</v>
      </c>
      <c r="J110" s="27" t="str">
        <f aca="false">IF(OR($D110=0,$G110=""),"",IF($H110*($G110-$F110)&gt;0,"Sim","Nao"))</f>
        <v>Sim</v>
      </c>
      <c r="K110" s="27" t="str">
        <f aca="false">IF(OR($D110=0,$G110=""),"",IF(AND($H110*($E110-$F110)&gt;0,$H110*($E110-$G110)&gt;0),"Sim","Nao"))</f>
        <v>Sim</v>
      </c>
      <c r="L110" s="38" t="n">
        <f aca="false">IF(OR($D110=0,$G110=""),0,IF($K110="Sim",MAX(0,$H110*($E110-$I110)),0))</f>
        <v>0.00956517280787494</v>
      </c>
      <c r="M110" s="35" t="n">
        <f aca="false">INDEX(Parametros_ANEC73!$G$4:$G$6,MATCH($C110,Parametros_ANEC73!$A$4:$A$6,0))</f>
        <v>47</v>
      </c>
      <c r="N110" s="38" t="n">
        <f aca="false">IF(OR($D110=0,$G110=""),0,IF(AND($K110="Sim",$M110&lt;&gt;""),MAX(0,$H110*($E110-$M110)),0))</f>
        <v>0</v>
      </c>
      <c r="O110" s="35" t="n">
        <f aca="false">INDEX(Parametros_ANEC73!$J$4:$J$6,MATCH($C110,Parametros_ANEC73!$A$4:$A$6,0))</f>
        <v>0</v>
      </c>
      <c r="P110" s="38" t="n">
        <f aca="false">IF(OR($D110=0,$G110=""),0,IF(AND($K110="Sim",$O110&lt;&gt;""),MAX(0,$H110*($E110-$O110)),0))</f>
        <v>0</v>
      </c>
      <c r="Q110" s="35" t="n">
        <f aca="false">INDEX(Parametros_ANEC73!$F$4:$F$6,MATCH($C110,Parametros_ANEC73!$A$4:$A$6,0))</f>
        <v>1</v>
      </c>
      <c r="R110" s="35" t="n">
        <f aca="false">INDEX(Parametros_ANEC73!$I$4:$I$6,MATCH($C110,Parametros_ANEC73!$A$4:$A$6,0))</f>
        <v>2</v>
      </c>
      <c r="S110" s="35" t="n">
        <f aca="false">INDEX(Parametros_ANEC73!$L$4:$L$6,MATCH($C110,Parametros_ANEC73!$A$4:$A$6,0))</f>
        <v>0</v>
      </c>
      <c r="T110" s="39" t="n">
        <f aca="false">INDEX(Parametros_ANEC73!$B$14:$B$25,MATCH($B110,Parametros_ANEC73!$A$14:$A$25,0))</f>
        <v>386</v>
      </c>
      <c r="U110" s="40" t="n">
        <f aca="false">IF(OR($D110=0,$G110=""),0,$D110*($T110/100)*($L110*$Q110+$N110*(IF($R110="",$Q110,$R110)-$Q110)+$P110*(IF($S110="",IF($R110="",$Q110,$R110),$S110)-IF($R110="",$Q110,$R110))))</f>
        <v>972.304730506277</v>
      </c>
      <c r="V110" s="41" t="str">
        <f aca="false">IF(OR($D110=0,$G110=""),"",IF($H110*($E110-INDEX(Parametros_ANEC73!$M$4:$M$6,MATCH($C110,Parametros_ANEC73!$A$4:$A$6,0)))&gt;0,"Sim","Nao"))</f>
        <v>Nao</v>
      </c>
      <c r="W110" s="27" t="str">
        <f aca="false">$A110&amp;"|"&amp;$B110&amp;"|"&amp;$C110</f>
        <v>Cargill|Jan|Proteina</v>
      </c>
    </row>
    <row r="111" customFormat="false" ht="15" hidden="false" customHeight="false" outlineLevel="0" collapsed="false">
      <c r="A111" s="27" t="s">
        <v>42</v>
      </c>
      <c r="B111" s="27" t="s">
        <v>38</v>
      </c>
      <c r="C111" s="27" t="s">
        <v>110</v>
      </c>
      <c r="D111" s="34" t="n">
        <f aca="false">SUMIFS(Media_Cliente_Mes!$C$2:$C$145,Media_Cliente_Mes!$A$2:$A$145,$A111,Media_Cliente_Mes!$B$2:$B$145,$B111)</f>
        <v>26334.33</v>
      </c>
      <c r="E111" s="35" t="n">
        <f aca="false">IF($D111=0,"",IF($C111="Proteina",SUMIFS(Media_Cliente_Mes!$D$2:$D$145,Media_Cliente_Mes!$A$2:$A$145,$A111,Media_Cliente_Mes!$B$2:$B$145,$B111),IF($C111="Umidade",SUMIFS(Media_Cliente_Mes!$E$2:$E$145,Media_Cliente_Mes!$A$2:$A$145,$A111,Media_Cliente_Mes!$B$2:$B$145,$B111),SUMIFS(Media_Cliente_Mes!$F$2:$F$145,Media_Cliente_Mes!$A$2:$A$145,$A111,Media_Cliente_Mes!$B$2:$B$145,$B111))))</f>
        <v>12.1108984280215</v>
      </c>
      <c r="F111" s="35" t="n">
        <f aca="false">INDEX(Parametros_ANEC73!$C$4:$C$6,MATCH($C111,Parametros_ANEC73!$A$4:$A$6,0))</f>
        <v>12.5</v>
      </c>
      <c r="G111" s="35" t="n">
        <f aca="false">IF($C111="Proteina",INDEX(Media_Pool_Mes!$C$2:$C$13,MATCH($B111,Media_Pool_Mes!$A$2:$A$13,0)),IF($C111="Umidade",INDEX(Media_Pool_Mes!$D$2:$D$13,MATCH($B111,Media_Pool_Mes!$A$2:$A$13,0)),INDEX(Media_Pool_Mes!$E$2:$E$13,MATCH($B111,Media_Pool_Mes!$A$2:$A$13,0))))</f>
        <v>12.076727887935</v>
      </c>
      <c r="H111" s="37" t="n">
        <f aca="false">INDEX(Parametros_ANEC73!$B$4:$B$6,MATCH($C111,Parametros_ANEC73!$A$4:$A$6,0))</f>
        <v>1</v>
      </c>
      <c r="I111" s="38" t="n">
        <f aca="false">IF(OR($D111=0,$G111=""),"",IF($H111*($G111-$F111)&gt;0,$G111,$F111))</f>
        <v>12.5</v>
      </c>
      <c r="J111" s="27" t="str">
        <f aca="false">IF(OR($D111=0,$G111=""),"",IF($H111*($G111-$F111)&gt;0,"Sim","Nao"))</f>
        <v>Nao</v>
      </c>
      <c r="K111" s="27" t="str">
        <f aca="false">IF(OR($D111=0,$G111=""),"",IF(AND($H111*($E111-$F111)&gt;0,$H111*($E111-$G111)&gt;0),"Sim","Nao"))</f>
        <v>Nao</v>
      </c>
      <c r="L111" s="38" t="n">
        <f aca="false">IF(OR($D111=0,$G111=""),0,IF($K111="Sim",MAX(0,$H111*($E111-$I111)),0))</f>
        <v>0</v>
      </c>
      <c r="M111" s="35" t="n">
        <f aca="false">INDEX(Parametros_ANEC73!$G$4:$G$6,MATCH($C111,Parametros_ANEC73!$A$4:$A$6,0))</f>
        <v>0</v>
      </c>
      <c r="N111" s="38" t="n">
        <f aca="false">IF(OR($D111=0,$G111=""),0,IF(AND($K111="Sim",$M111&lt;&gt;""),MAX(0,$H111*($E111-$M111)),0))</f>
        <v>0</v>
      </c>
      <c r="O111" s="35" t="n">
        <f aca="false">INDEX(Parametros_ANEC73!$J$4:$J$6,MATCH($C111,Parametros_ANEC73!$A$4:$A$6,0))</f>
        <v>0</v>
      </c>
      <c r="P111" s="38" t="n">
        <f aca="false">IF(OR($D111=0,$G111=""),0,IF(AND($K111="Sim",$O111&lt;&gt;""),MAX(0,$H111*($E111-$O111)),0))</f>
        <v>0</v>
      </c>
      <c r="Q111" s="35" t="n">
        <f aca="false">INDEX(Parametros_ANEC73!$F$4:$F$6,MATCH($C111,Parametros_ANEC73!$A$4:$A$6,0))</f>
        <v>1</v>
      </c>
      <c r="R111" s="35" t="n">
        <f aca="false">INDEX(Parametros_ANEC73!$I$4:$I$6,MATCH($C111,Parametros_ANEC73!$A$4:$A$6,0))</f>
        <v>0</v>
      </c>
      <c r="S111" s="35" t="n">
        <f aca="false">INDEX(Parametros_ANEC73!$L$4:$L$6,MATCH($C111,Parametros_ANEC73!$A$4:$A$6,0))</f>
        <v>0</v>
      </c>
      <c r="T111" s="39" t="n">
        <f aca="false">INDEX(Parametros_ANEC73!$B$14:$B$25,MATCH($B111,Parametros_ANEC73!$A$14:$A$25,0))</f>
        <v>386</v>
      </c>
      <c r="U111" s="40" t="n">
        <f aca="false">IF(OR($D111=0,$G111=""),0,$D111*($T111/100)*($L111*$Q111+$N111*(IF($R111="",$Q111,$R111)-$Q111)+$P111*(IF($S111="",IF($R111="",$Q111,$R111),$S111)-IF($R111="",$Q111,$R111))))</f>
        <v>0</v>
      </c>
      <c r="V111" s="41" t="str">
        <f aca="false">IF(OR($D111=0,$G111=""),"",IF($H111*($E111-INDEX(Parametros_ANEC73!$M$4:$M$6,MATCH($C111,Parametros_ANEC73!$A$4:$A$6,0)))&gt;0,"Sim","Nao"))</f>
        <v>Nao</v>
      </c>
      <c r="W111" s="27" t="str">
        <f aca="false">$A111&amp;"|"&amp;$B111&amp;"|"&amp;$C111</f>
        <v>Cargill|Jan|Umidade</v>
      </c>
    </row>
    <row r="112" customFormat="false" ht="15" hidden="false" customHeight="false" outlineLevel="0" collapsed="false">
      <c r="A112" s="27" t="s">
        <v>42</v>
      </c>
      <c r="B112" s="27" t="s">
        <v>38</v>
      </c>
      <c r="C112" s="27" t="s">
        <v>111</v>
      </c>
      <c r="D112" s="34" t="n">
        <f aca="false">SUMIFS(Media_Cliente_Mes!$C$2:$C$145,Media_Cliente_Mes!$A$2:$A$145,$A112,Media_Cliente_Mes!$B$2:$B$145,$B112)</f>
        <v>26334.33</v>
      </c>
      <c r="E112" s="35" t="n">
        <f aca="false">IF($D112=0,"",IF($C112="Proteina",SUMIFS(Media_Cliente_Mes!$D$2:$D$145,Media_Cliente_Mes!$A$2:$A$145,$A112,Media_Cliente_Mes!$B$2:$B$145,$B112),IF($C112="Umidade",SUMIFS(Media_Cliente_Mes!$E$2:$E$145,Media_Cliente_Mes!$A$2:$A$145,$A112,Media_Cliente_Mes!$B$2:$B$145,$B112),SUMIFS(Media_Cliente_Mes!$F$2:$F$145,Media_Cliente_Mes!$A$2:$A$145,$A112,Media_Cliente_Mes!$B$2:$B$145,$B112))))</f>
        <v>3.59836961487154</v>
      </c>
      <c r="F112" s="35" t="n">
        <f aca="false">INDEX(Parametros_ANEC73!$C$4:$C$6,MATCH($C112,Parametros_ANEC73!$A$4:$A$6,0))</f>
        <v>3.5</v>
      </c>
      <c r="G112" s="35" t="n">
        <f aca="false">IF($C112="Proteina",INDEX(Media_Pool_Mes!$C$2:$C$13,MATCH($B112,Media_Pool_Mes!$A$2:$A$13,0)),IF($C112="Umidade",INDEX(Media_Pool_Mes!$D$2:$D$13,MATCH($B112,Media_Pool_Mes!$A$2:$A$13,0)),INDEX(Media_Pool_Mes!$E$2:$E$13,MATCH($B112,Media_Pool_Mes!$A$2:$A$13,0))))</f>
        <v>3.51752485295922</v>
      </c>
      <c r="H112" s="37" t="n">
        <f aca="false">INDEX(Parametros_ANEC73!$B$4:$B$6,MATCH($C112,Parametros_ANEC73!$A$4:$A$6,0))</f>
        <v>1</v>
      </c>
      <c r="I112" s="38" t="n">
        <f aca="false">IF(OR($D112=0,$G112=""),"",IF($H112*($G112-$F112)&gt;0,$G112,$F112))</f>
        <v>3.51752485295922</v>
      </c>
      <c r="J112" s="27" t="str">
        <f aca="false">IF(OR($D112=0,$G112=""),"",IF($H112*($G112-$F112)&gt;0,"Sim","Nao"))</f>
        <v>Sim</v>
      </c>
      <c r="K112" s="27" t="str">
        <f aca="false">IF(OR($D112=0,$G112=""),"",IF(AND($H112*($E112-$F112)&gt;0,$H112*($E112-$G112)&gt;0),"Sim","Nao"))</f>
        <v>Sim</v>
      </c>
      <c r="L112" s="38" t="n">
        <f aca="false">IF(OR($D112=0,$G112=""),0,IF($K112="Sim",MAX(0,$H112*($E112-$I112)),0))</f>
        <v>0.080844761912318</v>
      </c>
      <c r="M112" s="35" t="n">
        <f aca="false">INDEX(Parametros_ANEC73!$G$4:$G$6,MATCH($C112,Parametros_ANEC73!$A$4:$A$6,0))</f>
        <v>3.8</v>
      </c>
      <c r="N112" s="38" t="n">
        <f aca="false">IF(OR($D112=0,$G112=""),0,IF(AND($K112="Sim",$M112&lt;&gt;""),MAX(0,$H112*($E112-$M112)),0))</f>
        <v>0</v>
      </c>
      <c r="O112" s="35" t="n">
        <f aca="false">INDEX(Parametros_ANEC73!$J$4:$J$6,MATCH($C112,Parametros_ANEC73!$A$4:$A$6,0))</f>
        <v>4</v>
      </c>
      <c r="P112" s="38" t="n">
        <f aca="false">IF(OR($D112=0,$G112=""),0,IF(AND($K112="Sim",$O112&lt;&gt;""),MAX(0,$H112*($E112-$O112)),0))</f>
        <v>0</v>
      </c>
      <c r="Q112" s="35" t="n">
        <f aca="false">INDEX(Parametros_ANEC73!$F$4:$F$6,MATCH($C112,Parametros_ANEC73!$A$4:$A$6,0))</f>
        <v>1</v>
      </c>
      <c r="R112" s="35" t="n">
        <f aca="false">INDEX(Parametros_ANEC73!$I$4:$I$6,MATCH($C112,Parametros_ANEC73!$A$4:$A$6,0))</f>
        <v>1.5</v>
      </c>
      <c r="S112" s="35" t="n">
        <f aca="false">INDEX(Parametros_ANEC73!$L$4:$L$6,MATCH($C112,Parametros_ANEC73!$A$4:$A$6,0))</f>
        <v>2</v>
      </c>
      <c r="T112" s="39" t="n">
        <f aca="false">INDEX(Parametros_ANEC73!$B$14:$B$25,MATCH($B112,Parametros_ANEC73!$A$14:$A$25,0))</f>
        <v>386</v>
      </c>
      <c r="U112" s="40" t="n">
        <f aca="false">IF(OR($D112=0,$G112=""),0,$D112*($T112/100)*($L112*$Q112+$N112*(IF($R112="",$Q112,$R112)-$Q112)+$P112*(IF($S112="",IF($R112="",$Q112,$R112),$S112)-IF($R112="",$Q112,$R112))))</f>
        <v>8217.9115864258</v>
      </c>
      <c r="V112" s="41" t="str">
        <f aca="false">IF(OR($D112=0,$G112=""),"",IF($H112*($E112-INDEX(Parametros_ANEC73!$M$4:$M$6,MATCH($C112,Parametros_ANEC73!$A$4:$A$6,0)))&gt;0,"Sim","Nao"))</f>
        <v>Nao</v>
      </c>
      <c r="W112" s="27" t="str">
        <f aca="false">$A112&amp;"|"&amp;$B112&amp;"|"&amp;$C112</f>
        <v>Cargill|Jan|Fibra</v>
      </c>
    </row>
    <row r="113" customFormat="false" ht="15" hidden="false" customHeight="false" outlineLevel="0" collapsed="false">
      <c r="A113" s="27" t="s">
        <v>42</v>
      </c>
      <c r="B113" s="27" t="s">
        <v>59</v>
      </c>
      <c r="C113" s="27" t="s">
        <v>109</v>
      </c>
      <c r="D113" s="34" t="n">
        <f aca="false">SUMIFS(Media_Cliente_Mes!$C$2:$C$145,Media_Cliente_Mes!$A$2:$A$145,$A113,Media_Cliente_Mes!$B$2:$B$145,$B113)</f>
        <v>62578.1</v>
      </c>
      <c r="E113" s="35" t="n">
        <f aca="false">IF($D113=0,"",IF($C113="Proteina",SUMIFS(Media_Cliente_Mes!$D$2:$D$145,Media_Cliente_Mes!$A$2:$A$145,$A113,Media_Cliente_Mes!$B$2:$B$145,$B113),IF($C113="Umidade",SUMIFS(Media_Cliente_Mes!$E$2:$E$145,Media_Cliente_Mes!$A$2:$A$145,$A113,Media_Cliente_Mes!$B$2:$B$145,$B113),SUMIFS(Media_Cliente_Mes!$F$2:$F$145,Media_Cliente_Mes!$A$2:$A$145,$A113,Media_Cliente_Mes!$B$2:$B$145,$B113))))</f>
        <v>46.9693151837464</v>
      </c>
      <c r="F113" s="35" t="n">
        <f aca="false">INDEX(Parametros_ANEC73!$C$4:$C$6,MATCH($C113,Parametros_ANEC73!$A$4:$A$6,0))</f>
        <v>48</v>
      </c>
      <c r="G113" s="35" t="n">
        <f aca="false">IF($C113="Proteina",INDEX(Media_Pool_Mes!$C$2:$C$13,MATCH($B113,Media_Pool_Mes!$A$2:$A$13,0)),IF($C113="Umidade",INDEX(Media_Pool_Mes!$D$2:$D$13,MATCH($B113,Media_Pool_Mes!$A$2:$A$13,0)),INDEX(Media_Pool_Mes!$E$2:$E$13,MATCH($B113,Media_Pool_Mes!$A$2:$A$13,0))))</f>
        <v>47.3405726705791</v>
      </c>
      <c r="H113" s="37" t="n">
        <f aca="false">INDEX(Parametros_ANEC73!$B$4:$B$6,MATCH($C113,Parametros_ANEC73!$A$4:$A$6,0))</f>
        <v>-1</v>
      </c>
      <c r="I113" s="38" t="n">
        <f aca="false">IF(OR($D113=0,$G113=""),"",IF($H113*($G113-$F113)&gt;0,$G113,$F113))</f>
        <v>47.3405726705791</v>
      </c>
      <c r="J113" s="27" t="str">
        <f aca="false">IF(OR($D113=0,$G113=""),"",IF($H113*($G113-$F113)&gt;0,"Sim","Nao"))</f>
        <v>Sim</v>
      </c>
      <c r="K113" s="27" t="str">
        <f aca="false">IF(OR($D113=0,$G113=""),"",IF(AND($H113*($E113-$F113)&gt;0,$H113*($E113-$G113)&gt;0),"Sim","Nao"))</f>
        <v>Sim</v>
      </c>
      <c r="L113" s="38" t="n">
        <f aca="false">IF(OR($D113=0,$G113=""),0,IF($K113="Sim",MAX(0,$H113*($E113-$I113)),0))</f>
        <v>0.371257486832725</v>
      </c>
      <c r="M113" s="35" t="n">
        <f aca="false">INDEX(Parametros_ANEC73!$G$4:$G$6,MATCH($C113,Parametros_ANEC73!$A$4:$A$6,0))</f>
        <v>47</v>
      </c>
      <c r="N113" s="38" t="n">
        <f aca="false">IF(OR($D113=0,$G113=""),0,IF(AND($K113="Sim",$M113&lt;&gt;""),MAX(0,$H113*($E113-$M113)),0))</f>
        <v>0.0306848162536113</v>
      </c>
      <c r="O113" s="35" t="n">
        <f aca="false">INDEX(Parametros_ANEC73!$J$4:$J$6,MATCH($C113,Parametros_ANEC73!$A$4:$A$6,0))</f>
        <v>0</v>
      </c>
      <c r="P113" s="38" t="n">
        <f aca="false">IF(OR($D113=0,$G113=""),0,IF(AND($K113="Sim",$O113&lt;&gt;""),MAX(0,$H113*($E113-$O113)),0))</f>
        <v>0</v>
      </c>
      <c r="Q113" s="35" t="n">
        <f aca="false">INDEX(Parametros_ANEC73!$F$4:$F$6,MATCH($C113,Parametros_ANEC73!$A$4:$A$6,0))</f>
        <v>1</v>
      </c>
      <c r="R113" s="35" t="n">
        <f aca="false">INDEX(Parametros_ANEC73!$I$4:$I$6,MATCH($C113,Parametros_ANEC73!$A$4:$A$6,0))</f>
        <v>2</v>
      </c>
      <c r="S113" s="35" t="n">
        <f aca="false">INDEX(Parametros_ANEC73!$L$4:$L$6,MATCH($C113,Parametros_ANEC73!$A$4:$A$6,0))</f>
        <v>0</v>
      </c>
      <c r="T113" s="39" t="n">
        <f aca="false">INDEX(Parametros_ANEC73!$B$14:$B$25,MATCH($B113,Parametros_ANEC73!$A$14:$A$25,0))</f>
        <v>391</v>
      </c>
      <c r="U113" s="40" t="n">
        <f aca="false">IF(OR($D113=0,$G113=""),0,$D113*($T113/100)*($L113*$Q113+$N113*(IF($R113="",$Q113,$R113)-$Q113)+$P113*(IF($S113="",IF($R113="",$Q113,$R113),$S113)-IF($R113="",$Q113,$R113))))</f>
        <v>98347.3918397593</v>
      </c>
      <c r="V113" s="41" t="str">
        <f aca="false">IF(OR($D113=0,$G113=""),"",IF($H113*($E113-INDEX(Parametros_ANEC73!$M$4:$M$6,MATCH($C113,Parametros_ANEC73!$A$4:$A$6,0)))&gt;0,"Sim","Nao"))</f>
        <v>Sim</v>
      </c>
      <c r="W113" s="27" t="str">
        <f aca="false">$A113&amp;"|"&amp;$B113&amp;"|"&amp;$C113</f>
        <v>Cargill|Fev|Proteina</v>
      </c>
    </row>
    <row r="114" customFormat="false" ht="15" hidden="false" customHeight="false" outlineLevel="0" collapsed="false">
      <c r="A114" s="27" t="s">
        <v>42</v>
      </c>
      <c r="B114" s="27" t="s">
        <v>59</v>
      </c>
      <c r="C114" s="27" t="s">
        <v>110</v>
      </c>
      <c r="D114" s="34" t="n">
        <f aca="false">SUMIFS(Media_Cliente_Mes!$C$2:$C$145,Media_Cliente_Mes!$A$2:$A$145,$A114,Media_Cliente_Mes!$B$2:$B$145,$B114)</f>
        <v>62578.1</v>
      </c>
      <c r="E114" s="35" t="n">
        <f aca="false">IF($D114=0,"",IF($C114="Proteina",SUMIFS(Media_Cliente_Mes!$D$2:$D$145,Media_Cliente_Mes!$A$2:$A$145,$A114,Media_Cliente_Mes!$B$2:$B$145,$B114),IF($C114="Umidade",SUMIFS(Media_Cliente_Mes!$E$2:$E$145,Media_Cliente_Mes!$A$2:$A$145,$A114,Media_Cliente_Mes!$B$2:$B$145,$B114),SUMIFS(Media_Cliente_Mes!$F$2:$F$145,Media_Cliente_Mes!$A$2:$A$145,$A114,Media_Cliente_Mes!$B$2:$B$145,$B114))))</f>
        <v>12.3393796839469</v>
      </c>
      <c r="F114" s="35" t="n">
        <f aca="false">INDEX(Parametros_ANEC73!$C$4:$C$6,MATCH($C114,Parametros_ANEC73!$A$4:$A$6,0))</f>
        <v>12.5</v>
      </c>
      <c r="G114" s="35" t="n">
        <f aca="false">IF($C114="Proteina",INDEX(Media_Pool_Mes!$C$2:$C$13,MATCH($B114,Media_Pool_Mes!$A$2:$A$13,0)),IF($C114="Umidade",INDEX(Media_Pool_Mes!$D$2:$D$13,MATCH($B114,Media_Pool_Mes!$A$2:$A$13,0)),INDEX(Media_Pool_Mes!$E$2:$E$13,MATCH($B114,Media_Pool_Mes!$A$2:$A$13,0))))</f>
        <v>12.2454829634779</v>
      </c>
      <c r="H114" s="37" t="n">
        <f aca="false">INDEX(Parametros_ANEC73!$B$4:$B$6,MATCH($C114,Parametros_ANEC73!$A$4:$A$6,0))</f>
        <v>1</v>
      </c>
      <c r="I114" s="38" t="n">
        <f aca="false">IF(OR($D114=0,$G114=""),"",IF($H114*($G114-$F114)&gt;0,$G114,$F114))</f>
        <v>12.5</v>
      </c>
      <c r="J114" s="27" t="str">
        <f aca="false">IF(OR($D114=0,$G114=""),"",IF($H114*($G114-$F114)&gt;0,"Sim","Nao"))</f>
        <v>Nao</v>
      </c>
      <c r="K114" s="27" t="str">
        <f aca="false">IF(OR($D114=0,$G114=""),"",IF(AND($H114*($E114-$F114)&gt;0,$H114*($E114-$G114)&gt;0),"Sim","Nao"))</f>
        <v>Nao</v>
      </c>
      <c r="L114" s="38" t="n">
        <f aca="false">IF(OR($D114=0,$G114=""),0,IF($K114="Sim",MAX(0,$H114*($E114-$I114)),0))</f>
        <v>0</v>
      </c>
      <c r="M114" s="35" t="n">
        <f aca="false">INDEX(Parametros_ANEC73!$G$4:$G$6,MATCH($C114,Parametros_ANEC73!$A$4:$A$6,0))</f>
        <v>0</v>
      </c>
      <c r="N114" s="38" t="n">
        <f aca="false">IF(OR($D114=0,$G114=""),0,IF(AND($K114="Sim",$M114&lt;&gt;""),MAX(0,$H114*($E114-$M114)),0))</f>
        <v>0</v>
      </c>
      <c r="O114" s="35" t="n">
        <f aca="false">INDEX(Parametros_ANEC73!$J$4:$J$6,MATCH($C114,Parametros_ANEC73!$A$4:$A$6,0))</f>
        <v>0</v>
      </c>
      <c r="P114" s="38" t="n">
        <f aca="false">IF(OR($D114=0,$G114=""),0,IF(AND($K114="Sim",$O114&lt;&gt;""),MAX(0,$H114*($E114-$O114)),0))</f>
        <v>0</v>
      </c>
      <c r="Q114" s="35" t="n">
        <f aca="false">INDEX(Parametros_ANEC73!$F$4:$F$6,MATCH($C114,Parametros_ANEC73!$A$4:$A$6,0))</f>
        <v>1</v>
      </c>
      <c r="R114" s="35" t="n">
        <f aca="false">INDEX(Parametros_ANEC73!$I$4:$I$6,MATCH($C114,Parametros_ANEC73!$A$4:$A$6,0))</f>
        <v>0</v>
      </c>
      <c r="S114" s="35" t="n">
        <f aca="false">INDEX(Parametros_ANEC73!$L$4:$L$6,MATCH($C114,Parametros_ANEC73!$A$4:$A$6,0))</f>
        <v>0</v>
      </c>
      <c r="T114" s="39" t="n">
        <f aca="false">INDEX(Parametros_ANEC73!$B$14:$B$25,MATCH($B114,Parametros_ANEC73!$A$14:$A$25,0))</f>
        <v>391</v>
      </c>
      <c r="U114" s="40" t="n">
        <f aca="false">IF(OR($D114=0,$G114=""),0,$D114*($T114/100)*($L114*$Q114+$N114*(IF($R114="",$Q114,$R114)-$Q114)+$P114*(IF($S114="",IF($R114="",$Q114,$R114),$S114)-IF($R114="",$Q114,$R114))))</f>
        <v>0</v>
      </c>
      <c r="V114" s="41" t="str">
        <f aca="false">IF(OR($D114=0,$G114=""),"",IF($H114*($E114-INDEX(Parametros_ANEC73!$M$4:$M$6,MATCH($C114,Parametros_ANEC73!$A$4:$A$6,0)))&gt;0,"Sim","Nao"))</f>
        <v>Nao</v>
      </c>
      <c r="W114" s="27" t="str">
        <f aca="false">$A114&amp;"|"&amp;$B114&amp;"|"&amp;$C114</f>
        <v>Cargill|Fev|Umidade</v>
      </c>
    </row>
    <row r="115" customFormat="false" ht="15" hidden="false" customHeight="false" outlineLevel="0" collapsed="false">
      <c r="A115" s="27" t="s">
        <v>42</v>
      </c>
      <c r="B115" s="27" t="s">
        <v>59</v>
      </c>
      <c r="C115" s="27" t="s">
        <v>111</v>
      </c>
      <c r="D115" s="34" t="n">
        <f aca="false">SUMIFS(Media_Cliente_Mes!$C$2:$C$145,Media_Cliente_Mes!$A$2:$A$145,$A115,Media_Cliente_Mes!$B$2:$B$145,$B115)</f>
        <v>62578.1</v>
      </c>
      <c r="E115" s="35" t="n">
        <f aca="false">IF($D115=0,"",IF($C115="Proteina",SUMIFS(Media_Cliente_Mes!$D$2:$D$145,Media_Cliente_Mes!$A$2:$A$145,$A115,Media_Cliente_Mes!$B$2:$B$145,$B115),IF($C115="Umidade",SUMIFS(Media_Cliente_Mes!$E$2:$E$145,Media_Cliente_Mes!$A$2:$A$145,$A115,Media_Cliente_Mes!$B$2:$B$145,$B115),SUMIFS(Media_Cliente_Mes!$F$2:$F$145,Media_Cliente_Mes!$A$2:$A$145,$A115,Media_Cliente_Mes!$B$2:$B$145,$B115))))</f>
        <v>3.7083901652495</v>
      </c>
      <c r="F115" s="35" t="n">
        <f aca="false">INDEX(Parametros_ANEC73!$C$4:$C$6,MATCH($C115,Parametros_ANEC73!$A$4:$A$6,0))</f>
        <v>3.5</v>
      </c>
      <c r="G115" s="35" t="n">
        <f aca="false">IF($C115="Proteina",INDEX(Media_Pool_Mes!$C$2:$C$13,MATCH($B115,Media_Pool_Mes!$A$2:$A$13,0)),IF($C115="Umidade",INDEX(Media_Pool_Mes!$D$2:$D$13,MATCH($B115,Media_Pool_Mes!$A$2:$A$13,0)),INDEX(Media_Pool_Mes!$E$2:$E$13,MATCH($B115,Media_Pool_Mes!$A$2:$A$13,0))))</f>
        <v>3.61845158781616</v>
      </c>
      <c r="H115" s="37" t="n">
        <f aca="false">INDEX(Parametros_ANEC73!$B$4:$B$6,MATCH($C115,Parametros_ANEC73!$A$4:$A$6,0))</f>
        <v>1</v>
      </c>
      <c r="I115" s="38" t="n">
        <f aca="false">IF(OR($D115=0,$G115=""),"",IF($H115*($G115-$F115)&gt;0,$G115,$F115))</f>
        <v>3.61845158781616</v>
      </c>
      <c r="J115" s="27" t="str">
        <f aca="false">IF(OR($D115=0,$G115=""),"",IF($H115*($G115-$F115)&gt;0,"Sim","Nao"))</f>
        <v>Sim</v>
      </c>
      <c r="K115" s="27" t="str">
        <f aca="false">IF(OR($D115=0,$G115=""),"",IF(AND($H115*($E115-$F115)&gt;0,$H115*($E115-$G115)&gt;0),"Sim","Nao"))</f>
        <v>Sim</v>
      </c>
      <c r="L115" s="38" t="n">
        <f aca="false">IF(OR($D115=0,$G115=""),0,IF($K115="Sim",MAX(0,$H115*($E115-$I115)),0))</f>
        <v>0.0899385774333448</v>
      </c>
      <c r="M115" s="35" t="n">
        <f aca="false">INDEX(Parametros_ANEC73!$G$4:$G$6,MATCH($C115,Parametros_ANEC73!$A$4:$A$6,0))</f>
        <v>3.8</v>
      </c>
      <c r="N115" s="38" t="n">
        <f aca="false">IF(OR($D115=0,$G115=""),0,IF(AND($K115="Sim",$M115&lt;&gt;""),MAX(0,$H115*($E115-$M115)),0))</f>
        <v>0</v>
      </c>
      <c r="O115" s="35" t="n">
        <f aca="false">INDEX(Parametros_ANEC73!$J$4:$J$6,MATCH($C115,Parametros_ANEC73!$A$4:$A$6,0))</f>
        <v>4</v>
      </c>
      <c r="P115" s="38" t="n">
        <f aca="false">IF(OR($D115=0,$G115=""),0,IF(AND($K115="Sim",$O115&lt;&gt;""),MAX(0,$H115*($E115-$O115)),0))</f>
        <v>0</v>
      </c>
      <c r="Q115" s="35" t="n">
        <f aca="false">INDEX(Parametros_ANEC73!$F$4:$F$6,MATCH($C115,Parametros_ANEC73!$A$4:$A$6,0))</f>
        <v>1</v>
      </c>
      <c r="R115" s="35" t="n">
        <f aca="false">INDEX(Parametros_ANEC73!$I$4:$I$6,MATCH($C115,Parametros_ANEC73!$A$4:$A$6,0))</f>
        <v>1.5</v>
      </c>
      <c r="S115" s="35" t="n">
        <f aca="false">INDEX(Parametros_ANEC73!$L$4:$L$6,MATCH($C115,Parametros_ANEC73!$A$4:$A$6,0))</f>
        <v>2</v>
      </c>
      <c r="T115" s="39" t="n">
        <f aca="false">INDEX(Parametros_ANEC73!$B$14:$B$25,MATCH($B115,Parametros_ANEC73!$A$14:$A$25,0))</f>
        <v>391</v>
      </c>
      <c r="U115" s="40" t="n">
        <f aca="false">IF(OR($D115=0,$G115=""),0,$D115*($T115/100)*($L115*$Q115+$N115*(IF($R115="",$Q115,$R115)-$Q115)+$P115*(IF($S115="",IF($R115="",$Q115,$R115),$S115)-IF($R115="",$Q115,$R115))))</f>
        <v>22006.204493603</v>
      </c>
      <c r="V115" s="41" t="str">
        <f aca="false">IF(OR($D115=0,$G115=""),"",IF($H115*($E115-INDEX(Parametros_ANEC73!$M$4:$M$6,MATCH($C115,Parametros_ANEC73!$A$4:$A$6,0)))&gt;0,"Sim","Nao"))</f>
        <v>Nao</v>
      </c>
      <c r="W115" s="27" t="str">
        <f aca="false">$A115&amp;"|"&amp;$B115&amp;"|"&amp;$C115</f>
        <v>Cargill|Fev|Fibra</v>
      </c>
    </row>
    <row r="116" customFormat="false" ht="15" hidden="false" customHeight="false" outlineLevel="0" collapsed="false">
      <c r="A116" s="27" t="s">
        <v>42</v>
      </c>
      <c r="B116" s="27" t="s">
        <v>60</v>
      </c>
      <c r="C116" s="27" t="s">
        <v>109</v>
      </c>
      <c r="D116" s="34" t="n">
        <f aca="false">SUMIFS(Media_Cliente_Mes!$C$2:$C$145,Media_Cliente_Mes!$A$2:$A$145,$A116,Media_Cliente_Mes!$B$2:$B$145,$B116)</f>
        <v>60137.37</v>
      </c>
      <c r="E116" s="35" t="n">
        <f aca="false">IF($D116=0,"",IF($C116="Proteina",SUMIFS(Media_Cliente_Mes!$D$2:$D$145,Media_Cliente_Mes!$A$2:$A$145,$A116,Media_Cliente_Mes!$B$2:$B$145,$B116),IF($C116="Umidade",SUMIFS(Media_Cliente_Mes!$E$2:$E$145,Media_Cliente_Mes!$A$2:$A$145,$A116,Media_Cliente_Mes!$B$2:$B$145,$B116),SUMIFS(Media_Cliente_Mes!$F$2:$F$145,Media_Cliente_Mes!$A$2:$A$145,$A116,Media_Cliente_Mes!$B$2:$B$145,$B116))))</f>
        <v>47.2270532748605</v>
      </c>
      <c r="F116" s="35" t="n">
        <f aca="false">INDEX(Parametros_ANEC73!$C$4:$C$6,MATCH($C116,Parametros_ANEC73!$A$4:$A$6,0))</f>
        <v>48</v>
      </c>
      <c r="G116" s="35" t="n">
        <f aca="false">IF($C116="Proteina",INDEX(Media_Pool_Mes!$C$2:$C$13,MATCH($B116,Media_Pool_Mes!$A$2:$A$13,0)),IF($C116="Umidade",INDEX(Media_Pool_Mes!$D$2:$D$13,MATCH($B116,Media_Pool_Mes!$A$2:$A$13,0)),INDEX(Media_Pool_Mes!$E$2:$E$13,MATCH($B116,Media_Pool_Mes!$A$2:$A$13,0))))</f>
        <v>47.332231823374</v>
      </c>
      <c r="H116" s="37" t="n">
        <f aca="false">INDEX(Parametros_ANEC73!$B$4:$B$6,MATCH($C116,Parametros_ANEC73!$A$4:$A$6,0))</f>
        <v>-1</v>
      </c>
      <c r="I116" s="38" t="n">
        <f aca="false">IF(OR($D116=0,$G116=""),"",IF($H116*($G116-$F116)&gt;0,$G116,$F116))</f>
        <v>47.332231823374</v>
      </c>
      <c r="J116" s="27" t="str">
        <f aca="false">IF(OR($D116=0,$G116=""),"",IF($H116*($G116-$F116)&gt;0,"Sim","Nao"))</f>
        <v>Sim</v>
      </c>
      <c r="K116" s="27" t="str">
        <f aca="false">IF(OR($D116=0,$G116=""),"",IF(AND($H116*($E116-$F116)&gt;0,$H116*($E116-$G116)&gt;0),"Sim","Nao"))</f>
        <v>Sim</v>
      </c>
      <c r="L116" s="38" t="n">
        <f aca="false">IF(OR($D116=0,$G116=""),0,IF($K116="Sim",MAX(0,$H116*($E116-$I116)),0))</f>
        <v>0.105178548513457</v>
      </c>
      <c r="M116" s="35" t="n">
        <f aca="false">INDEX(Parametros_ANEC73!$G$4:$G$6,MATCH($C116,Parametros_ANEC73!$A$4:$A$6,0))</f>
        <v>47</v>
      </c>
      <c r="N116" s="38" t="n">
        <f aca="false">IF(OR($D116=0,$G116=""),0,IF(AND($K116="Sim",$M116&lt;&gt;""),MAX(0,$H116*($E116-$M116)),0))</f>
        <v>0</v>
      </c>
      <c r="O116" s="35" t="n">
        <f aca="false">INDEX(Parametros_ANEC73!$J$4:$J$6,MATCH($C116,Parametros_ANEC73!$A$4:$A$6,0))</f>
        <v>0</v>
      </c>
      <c r="P116" s="38" t="n">
        <f aca="false">IF(OR($D116=0,$G116=""),0,IF(AND($K116="Sim",$O116&lt;&gt;""),MAX(0,$H116*($E116-$O116)),0))</f>
        <v>0</v>
      </c>
      <c r="Q116" s="35" t="n">
        <f aca="false">INDEX(Parametros_ANEC73!$F$4:$F$6,MATCH($C116,Parametros_ANEC73!$A$4:$A$6,0))</f>
        <v>1</v>
      </c>
      <c r="R116" s="35" t="n">
        <f aca="false">INDEX(Parametros_ANEC73!$I$4:$I$6,MATCH($C116,Parametros_ANEC73!$A$4:$A$6,0))</f>
        <v>2</v>
      </c>
      <c r="S116" s="35" t="n">
        <f aca="false">INDEX(Parametros_ANEC73!$L$4:$L$6,MATCH($C116,Parametros_ANEC73!$A$4:$A$6,0))</f>
        <v>0</v>
      </c>
      <c r="T116" s="39" t="n">
        <f aca="false">INDEX(Parametros_ANEC73!$B$14:$B$25,MATCH($B116,Parametros_ANEC73!$A$14:$A$25,0))</f>
        <v>404</v>
      </c>
      <c r="U116" s="40" t="n">
        <f aca="false">IF(OR($D116=0,$G116=""),0,$D116*($T116/100)*($L116*$Q116+$N116*(IF($R116="",$Q116,$R116)-$Q116)+$P116*(IF($S116="",IF($R116="",$Q116,$R116),$S116)-IF($R116="",$Q116,$R116))))</f>
        <v>25553.6516035876</v>
      </c>
      <c r="V116" s="41" t="str">
        <f aca="false">IF(OR($D116=0,$G116=""),"",IF($H116*($E116-INDEX(Parametros_ANEC73!$M$4:$M$6,MATCH($C116,Parametros_ANEC73!$A$4:$A$6,0)))&gt;0,"Sim","Nao"))</f>
        <v>Nao</v>
      </c>
      <c r="W116" s="27" t="str">
        <f aca="false">$A116&amp;"|"&amp;$B116&amp;"|"&amp;$C116</f>
        <v>Cargill|Mar|Proteina</v>
      </c>
    </row>
    <row r="117" customFormat="false" ht="15" hidden="false" customHeight="false" outlineLevel="0" collapsed="false">
      <c r="A117" s="27" t="s">
        <v>42</v>
      </c>
      <c r="B117" s="27" t="s">
        <v>60</v>
      </c>
      <c r="C117" s="27" t="s">
        <v>110</v>
      </c>
      <c r="D117" s="34" t="n">
        <f aca="false">SUMIFS(Media_Cliente_Mes!$C$2:$C$145,Media_Cliente_Mes!$A$2:$A$145,$A117,Media_Cliente_Mes!$B$2:$B$145,$B117)</f>
        <v>60137.37</v>
      </c>
      <c r="E117" s="35" t="n">
        <f aca="false">IF($D117=0,"",IF($C117="Proteina",SUMIFS(Media_Cliente_Mes!$D$2:$D$145,Media_Cliente_Mes!$A$2:$A$145,$A117,Media_Cliente_Mes!$B$2:$B$145,$B117),IF($C117="Umidade",SUMIFS(Media_Cliente_Mes!$E$2:$E$145,Media_Cliente_Mes!$A$2:$A$145,$A117,Media_Cliente_Mes!$B$2:$B$145,$B117),SUMIFS(Media_Cliente_Mes!$F$2:$F$145,Media_Cliente_Mes!$A$2:$A$145,$A117,Media_Cliente_Mes!$B$2:$B$145,$B117))))</f>
        <v>12.1412336754999</v>
      </c>
      <c r="F117" s="35" t="n">
        <f aca="false">INDEX(Parametros_ANEC73!$C$4:$C$6,MATCH($C117,Parametros_ANEC73!$A$4:$A$6,0))</f>
        <v>12.5</v>
      </c>
      <c r="G117" s="35" t="n">
        <f aca="false">IF($C117="Proteina",INDEX(Media_Pool_Mes!$C$2:$C$13,MATCH($B117,Media_Pool_Mes!$A$2:$A$13,0)),IF($C117="Umidade",INDEX(Media_Pool_Mes!$D$2:$D$13,MATCH($B117,Media_Pool_Mes!$A$2:$A$13,0)),INDEX(Media_Pool_Mes!$E$2:$E$13,MATCH($B117,Media_Pool_Mes!$A$2:$A$13,0))))</f>
        <v>12.1740859181947</v>
      </c>
      <c r="H117" s="37" t="n">
        <f aca="false">INDEX(Parametros_ANEC73!$B$4:$B$6,MATCH($C117,Parametros_ANEC73!$A$4:$A$6,0))</f>
        <v>1</v>
      </c>
      <c r="I117" s="38" t="n">
        <f aca="false">IF(OR($D117=0,$G117=""),"",IF($H117*($G117-$F117)&gt;0,$G117,$F117))</f>
        <v>12.5</v>
      </c>
      <c r="J117" s="27" t="str">
        <f aca="false">IF(OR($D117=0,$G117=""),"",IF($H117*($G117-$F117)&gt;0,"Sim","Nao"))</f>
        <v>Nao</v>
      </c>
      <c r="K117" s="27" t="str">
        <f aca="false">IF(OR($D117=0,$G117=""),"",IF(AND($H117*($E117-$F117)&gt;0,$H117*($E117-$G117)&gt;0),"Sim","Nao"))</f>
        <v>Nao</v>
      </c>
      <c r="L117" s="38" t="n">
        <f aca="false">IF(OR($D117=0,$G117=""),0,IF($K117="Sim",MAX(0,$H117*($E117-$I117)),0))</f>
        <v>0</v>
      </c>
      <c r="M117" s="35" t="n">
        <f aca="false">INDEX(Parametros_ANEC73!$G$4:$G$6,MATCH($C117,Parametros_ANEC73!$A$4:$A$6,0))</f>
        <v>0</v>
      </c>
      <c r="N117" s="38" t="n">
        <f aca="false">IF(OR($D117=0,$G117=""),0,IF(AND($K117="Sim",$M117&lt;&gt;""),MAX(0,$H117*($E117-$M117)),0))</f>
        <v>0</v>
      </c>
      <c r="O117" s="35" t="n">
        <f aca="false">INDEX(Parametros_ANEC73!$J$4:$J$6,MATCH($C117,Parametros_ANEC73!$A$4:$A$6,0))</f>
        <v>0</v>
      </c>
      <c r="P117" s="38" t="n">
        <f aca="false">IF(OR($D117=0,$G117=""),0,IF(AND($K117="Sim",$O117&lt;&gt;""),MAX(0,$H117*($E117-$O117)),0))</f>
        <v>0</v>
      </c>
      <c r="Q117" s="35" t="n">
        <f aca="false">INDEX(Parametros_ANEC73!$F$4:$F$6,MATCH($C117,Parametros_ANEC73!$A$4:$A$6,0))</f>
        <v>1</v>
      </c>
      <c r="R117" s="35" t="n">
        <f aca="false">INDEX(Parametros_ANEC73!$I$4:$I$6,MATCH($C117,Parametros_ANEC73!$A$4:$A$6,0))</f>
        <v>0</v>
      </c>
      <c r="S117" s="35" t="n">
        <f aca="false">INDEX(Parametros_ANEC73!$L$4:$L$6,MATCH($C117,Parametros_ANEC73!$A$4:$A$6,0))</f>
        <v>0</v>
      </c>
      <c r="T117" s="39" t="n">
        <f aca="false">INDEX(Parametros_ANEC73!$B$14:$B$25,MATCH($B117,Parametros_ANEC73!$A$14:$A$25,0))</f>
        <v>404</v>
      </c>
      <c r="U117" s="40" t="n">
        <f aca="false">IF(OR($D117=0,$G117=""),0,$D117*($T117/100)*($L117*$Q117+$N117*(IF($R117="",$Q117,$R117)-$Q117)+$P117*(IF($S117="",IF($R117="",$Q117,$R117),$S117)-IF($R117="",$Q117,$R117))))</f>
        <v>0</v>
      </c>
      <c r="V117" s="41" t="str">
        <f aca="false">IF(OR($D117=0,$G117=""),"",IF($H117*($E117-INDEX(Parametros_ANEC73!$M$4:$M$6,MATCH($C117,Parametros_ANEC73!$A$4:$A$6,0)))&gt;0,"Sim","Nao"))</f>
        <v>Nao</v>
      </c>
      <c r="W117" s="27" t="str">
        <f aca="false">$A117&amp;"|"&amp;$B117&amp;"|"&amp;$C117</f>
        <v>Cargill|Mar|Umidade</v>
      </c>
    </row>
    <row r="118" customFormat="false" ht="15" hidden="false" customHeight="false" outlineLevel="0" collapsed="false">
      <c r="A118" s="27" t="s">
        <v>42</v>
      </c>
      <c r="B118" s="27" t="s">
        <v>60</v>
      </c>
      <c r="C118" s="27" t="s">
        <v>111</v>
      </c>
      <c r="D118" s="34" t="n">
        <f aca="false">SUMIFS(Media_Cliente_Mes!$C$2:$C$145,Media_Cliente_Mes!$A$2:$A$145,$A118,Media_Cliente_Mes!$B$2:$B$145,$B118)</f>
        <v>60137.37</v>
      </c>
      <c r="E118" s="35" t="n">
        <f aca="false">IF($D118=0,"",IF($C118="Proteina",SUMIFS(Media_Cliente_Mes!$D$2:$D$145,Media_Cliente_Mes!$A$2:$A$145,$A118,Media_Cliente_Mes!$B$2:$B$145,$B118),IF($C118="Umidade",SUMIFS(Media_Cliente_Mes!$E$2:$E$145,Media_Cliente_Mes!$A$2:$A$145,$A118,Media_Cliente_Mes!$B$2:$B$145,$B118),SUMIFS(Media_Cliente_Mes!$F$2:$F$145,Media_Cliente_Mes!$A$2:$A$145,$A118,Media_Cliente_Mes!$B$2:$B$145,$B118))))</f>
        <v>3.73296846037663</v>
      </c>
      <c r="F118" s="35" t="n">
        <f aca="false">INDEX(Parametros_ANEC73!$C$4:$C$6,MATCH($C118,Parametros_ANEC73!$A$4:$A$6,0))</f>
        <v>3.5</v>
      </c>
      <c r="G118" s="35" t="n">
        <f aca="false">IF($C118="Proteina",INDEX(Media_Pool_Mes!$C$2:$C$13,MATCH($B118,Media_Pool_Mes!$A$2:$A$13,0)),IF($C118="Umidade",INDEX(Media_Pool_Mes!$D$2:$D$13,MATCH($B118,Media_Pool_Mes!$A$2:$A$13,0)),INDEX(Media_Pool_Mes!$E$2:$E$13,MATCH($B118,Media_Pool_Mes!$A$2:$A$13,0))))</f>
        <v>3.70596068520473</v>
      </c>
      <c r="H118" s="37" t="n">
        <f aca="false">INDEX(Parametros_ANEC73!$B$4:$B$6,MATCH($C118,Parametros_ANEC73!$A$4:$A$6,0))</f>
        <v>1</v>
      </c>
      <c r="I118" s="38" t="n">
        <f aca="false">IF(OR($D118=0,$G118=""),"",IF($H118*($G118-$F118)&gt;0,$G118,$F118))</f>
        <v>3.70596068520473</v>
      </c>
      <c r="J118" s="27" t="str">
        <f aca="false">IF(OR($D118=0,$G118=""),"",IF($H118*($G118-$F118)&gt;0,"Sim","Nao"))</f>
        <v>Sim</v>
      </c>
      <c r="K118" s="27" t="str">
        <f aca="false">IF(OR($D118=0,$G118=""),"",IF(AND($H118*($E118-$F118)&gt;0,$H118*($E118-$G118)&gt;0),"Sim","Nao"))</f>
        <v>Sim</v>
      </c>
      <c r="L118" s="38" t="n">
        <f aca="false">IF(OR($D118=0,$G118=""),0,IF($K118="Sim",MAX(0,$H118*($E118-$I118)),0))</f>
        <v>0.0270077751719051</v>
      </c>
      <c r="M118" s="35" t="n">
        <f aca="false">INDEX(Parametros_ANEC73!$G$4:$G$6,MATCH($C118,Parametros_ANEC73!$A$4:$A$6,0))</f>
        <v>3.8</v>
      </c>
      <c r="N118" s="38" t="n">
        <f aca="false">IF(OR($D118=0,$G118=""),0,IF(AND($K118="Sim",$M118&lt;&gt;""),MAX(0,$H118*($E118-$M118)),0))</f>
        <v>0</v>
      </c>
      <c r="O118" s="35" t="n">
        <f aca="false">INDEX(Parametros_ANEC73!$J$4:$J$6,MATCH($C118,Parametros_ANEC73!$A$4:$A$6,0))</f>
        <v>4</v>
      </c>
      <c r="P118" s="38" t="n">
        <f aca="false">IF(OR($D118=0,$G118=""),0,IF(AND($K118="Sim",$O118&lt;&gt;""),MAX(0,$H118*($E118-$O118)),0))</f>
        <v>0</v>
      </c>
      <c r="Q118" s="35" t="n">
        <f aca="false">INDEX(Parametros_ANEC73!$F$4:$F$6,MATCH($C118,Parametros_ANEC73!$A$4:$A$6,0))</f>
        <v>1</v>
      </c>
      <c r="R118" s="35" t="n">
        <f aca="false">INDEX(Parametros_ANEC73!$I$4:$I$6,MATCH($C118,Parametros_ANEC73!$A$4:$A$6,0))</f>
        <v>1.5</v>
      </c>
      <c r="S118" s="35" t="n">
        <f aca="false">INDEX(Parametros_ANEC73!$L$4:$L$6,MATCH($C118,Parametros_ANEC73!$A$4:$A$6,0))</f>
        <v>2</v>
      </c>
      <c r="T118" s="39" t="n">
        <f aca="false">INDEX(Parametros_ANEC73!$B$14:$B$25,MATCH($B118,Parametros_ANEC73!$A$14:$A$25,0))</f>
        <v>404</v>
      </c>
      <c r="U118" s="40" t="n">
        <f aca="false">IF(OR($D118=0,$G118=""),0,$D118*($T118/100)*($L118*$Q118+$N118*(IF($R118="",$Q118,$R118)-$Q118)+$P118*(IF($S118="",IF($R118="",$Q118,$R118),$S118)-IF($R118="",$Q118,$R118))))</f>
        <v>6561.67333629427</v>
      </c>
      <c r="V118" s="41" t="str">
        <f aca="false">IF(OR($D118=0,$G118=""),"",IF($H118*($E118-INDEX(Parametros_ANEC73!$M$4:$M$6,MATCH($C118,Parametros_ANEC73!$A$4:$A$6,0)))&gt;0,"Sim","Nao"))</f>
        <v>Nao</v>
      </c>
      <c r="W118" s="27" t="str">
        <f aca="false">$A118&amp;"|"&amp;$B118&amp;"|"&amp;$C118</f>
        <v>Cargill|Mar|Fibra</v>
      </c>
    </row>
    <row r="119" customFormat="false" ht="15" hidden="false" customHeight="false" outlineLevel="0" collapsed="false">
      <c r="A119" s="27" t="s">
        <v>42</v>
      </c>
      <c r="B119" s="27" t="s">
        <v>61</v>
      </c>
      <c r="C119" s="27" t="s">
        <v>109</v>
      </c>
      <c r="D119" s="34" t="n">
        <f aca="false">SUMIFS(Media_Cliente_Mes!$C$2:$C$145,Media_Cliente_Mes!$A$2:$A$145,$A119,Media_Cliente_Mes!$B$2:$B$145,$B119)</f>
        <v>53714.89</v>
      </c>
      <c r="E119" s="35" t="n">
        <f aca="false">IF($D119=0,"",IF($C119="Proteina",SUMIFS(Media_Cliente_Mes!$D$2:$D$145,Media_Cliente_Mes!$A$2:$A$145,$A119,Media_Cliente_Mes!$B$2:$B$145,$B119),IF($C119="Umidade",SUMIFS(Media_Cliente_Mes!$E$2:$E$145,Media_Cliente_Mes!$A$2:$A$145,$A119,Media_Cliente_Mes!$B$2:$B$145,$B119),SUMIFS(Media_Cliente_Mes!$F$2:$F$145,Media_Cliente_Mes!$A$2:$A$145,$A119,Media_Cliente_Mes!$B$2:$B$145,$B119))))</f>
        <v>47.5865365357725</v>
      </c>
      <c r="F119" s="35" t="n">
        <f aca="false">INDEX(Parametros_ANEC73!$C$4:$C$6,MATCH($C119,Parametros_ANEC73!$A$4:$A$6,0))</f>
        <v>48</v>
      </c>
      <c r="G119" s="35" t="n">
        <f aca="false">IF($C119="Proteina",INDEX(Media_Pool_Mes!$C$2:$C$13,MATCH($B119,Media_Pool_Mes!$A$2:$A$13,0)),IF($C119="Umidade",INDEX(Media_Pool_Mes!$D$2:$D$13,MATCH($B119,Media_Pool_Mes!$A$2:$A$13,0)),INDEX(Media_Pool_Mes!$E$2:$E$13,MATCH($B119,Media_Pool_Mes!$A$2:$A$13,0))))</f>
        <v>47.5395057496784</v>
      </c>
      <c r="H119" s="37" t="n">
        <f aca="false">INDEX(Parametros_ANEC73!$B$4:$B$6,MATCH($C119,Parametros_ANEC73!$A$4:$A$6,0))</f>
        <v>-1</v>
      </c>
      <c r="I119" s="38" t="n">
        <f aca="false">IF(OR($D119=0,$G119=""),"",IF($H119*($G119-$F119)&gt;0,$G119,$F119))</f>
        <v>47.5395057496784</v>
      </c>
      <c r="J119" s="27" t="str">
        <f aca="false">IF(OR($D119=0,$G119=""),"",IF($H119*($G119-$F119)&gt;0,"Sim","Nao"))</f>
        <v>Sim</v>
      </c>
      <c r="K119" s="27" t="str">
        <f aca="false">IF(OR($D119=0,$G119=""),"",IF(AND($H119*($E119-$F119)&gt;0,$H119*($E119-$G119)&gt;0),"Sim","Nao"))</f>
        <v>Nao</v>
      </c>
      <c r="L119" s="38" t="n">
        <f aca="false">IF(OR($D119=0,$G119=""),0,IF($K119="Sim",MAX(0,$H119*($E119-$I119)),0))</f>
        <v>0</v>
      </c>
      <c r="M119" s="35" t="n">
        <f aca="false">INDEX(Parametros_ANEC73!$G$4:$G$6,MATCH($C119,Parametros_ANEC73!$A$4:$A$6,0))</f>
        <v>47</v>
      </c>
      <c r="N119" s="38" t="n">
        <f aca="false">IF(OR($D119=0,$G119=""),0,IF(AND($K119="Sim",$M119&lt;&gt;""),MAX(0,$H119*($E119-$M119)),0))</f>
        <v>0</v>
      </c>
      <c r="O119" s="35" t="n">
        <f aca="false">INDEX(Parametros_ANEC73!$J$4:$J$6,MATCH($C119,Parametros_ANEC73!$A$4:$A$6,0))</f>
        <v>0</v>
      </c>
      <c r="P119" s="38" t="n">
        <f aca="false">IF(OR($D119=0,$G119=""),0,IF(AND($K119="Sim",$O119&lt;&gt;""),MAX(0,$H119*($E119-$O119)),0))</f>
        <v>0</v>
      </c>
      <c r="Q119" s="35" t="n">
        <f aca="false">INDEX(Parametros_ANEC73!$F$4:$F$6,MATCH($C119,Parametros_ANEC73!$A$4:$A$6,0))</f>
        <v>1</v>
      </c>
      <c r="R119" s="35" t="n">
        <f aca="false">INDEX(Parametros_ANEC73!$I$4:$I$6,MATCH($C119,Parametros_ANEC73!$A$4:$A$6,0))</f>
        <v>2</v>
      </c>
      <c r="S119" s="35" t="n">
        <f aca="false">INDEX(Parametros_ANEC73!$L$4:$L$6,MATCH($C119,Parametros_ANEC73!$A$4:$A$6,0))</f>
        <v>0</v>
      </c>
      <c r="T119" s="39" t="n">
        <f aca="false">INDEX(Parametros_ANEC73!$B$14:$B$25,MATCH($B119,Parametros_ANEC73!$A$14:$A$25,0))</f>
        <v>415</v>
      </c>
      <c r="U119" s="40" t="n">
        <f aca="false">IF(OR($D119=0,$G119=""),0,$D119*($T119/100)*($L119*$Q119+$N119*(IF($R119="",$Q119,$R119)-$Q119)+$P119*(IF($S119="",IF($R119="",$Q119,$R119),$S119)-IF($R119="",$Q119,$R119))))</f>
        <v>0</v>
      </c>
      <c r="V119" s="41" t="str">
        <f aca="false">IF(OR($D119=0,$G119=""),"",IF($H119*($E119-INDEX(Parametros_ANEC73!$M$4:$M$6,MATCH($C119,Parametros_ANEC73!$A$4:$A$6,0)))&gt;0,"Sim","Nao"))</f>
        <v>Nao</v>
      </c>
      <c r="W119" s="27" t="str">
        <f aca="false">$A119&amp;"|"&amp;$B119&amp;"|"&amp;$C119</f>
        <v>Cargill|Abr|Proteina</v>
      </c>
    </row>
    <row r="120" customFormat="false" ht="15" hidden="false" customHeight="false" outlineLevel="0" collapsed="false">
      <c r="A120" s="27" t="s">
        <v>42</v>
      </c>
      <c r="B120" s="27" t="s">
        <v>61</v>
      </c>
      <c r="C120" s="27" t="s">
        <v>110</v>
      </c>
      <c r="D120" s="34" t="n">
        <f aca="false">SUMIFS(Media_Cliente_Mes!$C$2:$C$145,Media_Cliente_Mes!$A$2:$A$145,$A120,Media_Cliente_Mes!$B$2:$B$145,$B120)</f>
        <v>53714.89</v>
      </c>
      <c r="E120" s="35" t="n">
        <f aca="false">IF($D120=0,"",IF($C120="Proteina",SUMIFS(Media_Cliente_Mes!$D$2:$D$145,Media_Cliente_Mes!$A$2:$A$145,$A120,Media_Cliente_Mes!$B$2:$B$145,$B120),IF($C120="Umidade",SUMIFS(Media_Cliente_Mes!$E$2:$E$145,Media_Cliente_Mes!$A$2:$A$145,$A120,Media_Cliente_Mes!$B$2:$B$145,$B120),SUMIFS(Media_Cliente_Mes!$F$2:$F$145,Media_Cliente_Mes!$A$2:$A$145,$A120,Media_Cliente_Mes!$B$2:$B$145,$B120))))</f>
        <v>12.2551331185822</v>
      </c>
      <c r="F120" s="35" t="n">
        <f aca="false">INDEX(Parametros_ANEC73!$C$4:$C$6,MATCH($C120,Parametros_ANEC73!$A$4:$A$6,0))</f>
        <v>12.5</v>
      </c>
      <c r="G120" s="35" t="n">
        <f aca="false">IF($C120="Proteina",INDEX(Media_Pool_Mes!$C$2:$C$13,MATCH($B120,Media_Pool_Mes!$A$2:$A$13,0)),IF($C120="Umidade",INDEX(Media_Pool_Mes!$D$2:$D$13,MATCH($B120,Media_Pool_Mes!$A$2:$A$13,0)),INDEX(Media_Pool_Mes!$E$2:$E$13,MATCH($B120,Media_Pool_Mes!$A$2:$A$13,0))))</f>
        <v>12.3606134360148</v>
      </c>
      <c r="H120" s="37" t="n">
        <f aca="false">INDEX(Parametros_ANEC73!$B$4:$B$6,MATCH($C120,Parametros_ANEC73!$A$4:$A$6,0))</f>
        <v>1</v>
      </c>
      <c r="I120" s="38" t="n">
        <f aca="false">IF(OR($D120=0,$G120=""),"",IF($H120*($G120-$F120)&gt;0,$G120,$F120))</f>
        <v>12.5</v>
      </c>
      <c r="J120" s="27" t="str">
        <f aca="false">IF(OR($D120=0,$G120=""),"",IF($H120*($G120-$F120)&gt;0,"Sim","Nao"))</f>
        <v>Nao</v>
      </c>
      <c r="K120" s="27" t="str">
        <f aca="false">IF(OR($D120=0,$G120=""),"",IF(AND($H120*($E120-$F120)&gt;0,$H120*($E120-$G120)&gt;0),"Sim","Nao"))</f>
        <v>Nao</v>
      </c>
      <c r="L120" s="38" t="n">
        <f aca="false">IF(OR($D120=0,$G120=""),0,IF($K120="Sim",MAX(0,$H120*($E120-$I120)),0))</f>
        <v>0</v>
      </c>
      <c r="M120" s="35" t="n">
        <f aca="false">INDEX(Parametros_ANEC73!$G$4:$G$6,MATCH($C120,Parametros_ANEC73!$A$4:$A$6,0))</f>
        <v>0</v>
      </c>
      <c r="N120" s="38" t="n">
        <f aca="false">IF(OR($D120=0,$G120=""),0,IF(AND($K120="Sim",$M120&lt;&gt;""),MAX(0,$H120*($E120-$M120)),0))</f>
        <v>0</v>
      </c>
      <c r="O120" s="35" t="n">
        <f aca="false">INDEX(Parametros_ANEC73!$J$4:$J$6,MATCH($C120,Parametros_ANEC73!$A$4:$A$6,0))</f>
        <v>0</v>
      </c>
      <c r="P120" s="38" t="n">
        <f aca="false">IF(OR($D120=0,$G120=""),0,IF(AND($K120="Sim",$O120&lt;&gt;""),MAX(0,$H120*($E120-$O120)),0))</f>
        <v>0</v>
      </c>
      <c r="Q120" s="35" t="n">
        <f aca="false">INDEX(Parametros_ANEC73!$F$4:$F$6,MATCH($C120,Parametros_ANEC73!$A$4:$A$6,0))</f>
        <v>1</v>
      </c>
      <c r="R120" s="35" t="n">
        <f aca="false">INDEX(Parametros_ANEC73!$I$4:$I$6,MATCH($C120,Parametros_ANEC73!$A$4:$A$6,0))</f>
        <v>0</v>
      </c>
      <c r="S120" s="35" t="n">
        <f aca="false">INDEX(Parametros_ANEC73!$L$4:$L$6,MATCH($C120,Parametros_ANEC73!$A$4:$A$6,0))</f>
        <v>0</v>
      </c>
      <c r="T120" s="39" t="n">
        <f aca="false">INDEX(Parametros_ANEC73!$B$14:$B$25,MATCH($B120,Parametros_ANEC73!$A$14:$A$25,0))</f>
        <v>415</v>
      </c>
      <c r="U120" s="40" t="n">
        <f aca="false">IF(OR($D120=0,$G120=""),0,$D120*($T120/100)*($L120*$Q120+$N120*(IF($R120="",$Q120,$R120)-$Q120)+$P120*(IF($S120="",IF($R120="",$Q120,$R120),$S120)-IF($R120="",$Q120,$R120))))</f>
        <v>0</v>
      </c>
      <c r="V120" s="41" t="str">
        <f aca="false">IF(OR($D120=0,$G120=""),"",IF($H120*($E120-INDEX(Parametros_ANEC73!$M$4:$M$6,MATCH($C120,Parametros_ANEC73!$A$4:$A$6,0)))&gt;0,"Sim","Nao"))</f>
        <v>Nao</v>
      </c>
      <c r="W120" s="27" t="str">
        <f aca="false">$A120&amp;"|"&amp;$B120&amp;"|"&amp;$C120</f>
        <v>Cargill|Abr|Umidade</v>
      </c>
    </row>
    <row r="121" customFormat="false" ht="15" hidden="false" customHeight="false" outlineLevel="0" collapsed="false">
      <c r="A121" s="27" t="s">
        <v>42</v>
      </c>
      <c r="B121" s="27" t="s">
        <v>61</v>
      </c>
      <c r="C121" s="27" t="s">
        <v>111</v>
      </c>
      <c r="D121" s="34" t="n">
        <f aca="false">SUMIFS(Media_Cliente_Mes!$C$2:$C$145,Media_Cliente_Mes!$A$2:$A$145,$A121,Media_Cliente_Mes!$B$2:$B$145,$B121)</f>
        <v>53714.89</v>
      </c>
      <c r="E121" s="35" t="n">
        <f aca="false">IF($D121=0,"",IF($C121="Proteina",SUMIFS(Media_Cliente_Mes!$D$2:$D$145,Media_Cliente_Mes!$A$2:$A$145,$A121,Media_Cliente_Mes!$B$2:$B$145,$B121),IF($C121="Umidade",SUMIFS(Media_Cliente_Mes!$E$2:$E$145,Media_Cliente_Mes!$A$2:$A$145,$A121,Media_Cliente_Mes!$B$2:$B$145,$B121),SUMIFS(Media_Cliente_Mes!$F$2:$F$145,Media_Cliente_Mes!$A$2:$A$145,$A121,Media_Cliente_Mes!$B$2:$B$145,$B121))))</f>
        <v>3.65791646785463</v>
      </c>
      <c r="F121" s="35" t="n">
        <f aca="false">INDEX(Parametros_ANEC73!$C$4:$C$6,MATCH($C121,Parametros_ANEC73!$A$4:$A$6,0))</f>
        <v>3.5</v>
      </c>
      <c r="G121" s="35" t="n">
        <f aca="false">IF($C121="Proteina",INDEX(Media_Pool_Mes!$C$2:$C$13,MATCH($B121,Media_Pool_Mes!$A$2:$A$13,0)),IF($C121="Umidade",INDEX(Media_Pool_Mes!$D$2:$D$13,MATCH($B121,Media_Pool_Mes!$A$2:$A$13,0)),INDEX(Media_Pool_Mes!$E$2:$E$13,MATCH($B121,Media_Pool_Mes!$A$2:$A$13,0))))</f>
        <v>3.66155636815217</v>
      </c>
      <c r="H121" s="37" t="n">
        <f aca="false">INDEX(Parametros_ANEC73!$B$4:$B$6,MATCH($C121,Parametros_ANEC73!$A$4:$A$6,0))</f>
        <v>1</v>
      </c>
      <c r="I121" s="38" t="n">
        <f aca="false">IF(OR($D121=0,$G121=""),"",IF($H121*($G121-$F121)&gt;0,$G121,$F121))</f>
        <v>3.66155636815217</v>
      </c>
      <c r="J121" s="27" t="str">
        <f aca="false">IF(OR($D121=0,$G121=""),"",IF($H121*($G121-$F121)&gt;0,"Sim","Nao"))</f>
        <v>Sim</v>
      </c>
      <c r="K121" s="27" t="str">
        <f aca="false">IF(OR($D121=0,$G121=""),"",IF(AND($H121*($E121-$F121)&gt;0,$H121*($E121-$G121)&gt;0),"Sim","Nao"))</f>
        <v>Nao</v>
      </c>
      <c r="L121" s="38" t="n">
        <f aca="false">IF(OR($D121=0,$G121=""),0,IF($K121="Sim",MAX(0,$H121*($E121-$I121)),0))</f>
        <v>0</v>
      </c>
      <c r="M121" s="35" t="n">
        <f aca="false">INDEX(Parametros_ANEC73!$G$4:$G$6,MATCH($C121,Parametros_ANEC73!$A$4:$A$6,0))</f>
        <v>3.8</v>
      </c>
      <c r="N121" s="38" t="n">
        <f aca="false">IF(OR($D121=0,$G121=""),0,IF(AND($K121="Sim",$M121&lt;&gt;""),MAX(0,$H121*($E121-$M121)),0))</f>
        <v>0</v>
      </c>
      <c r="O121" s="35" t="n">
        <f aca="false">INDEX(Parametros_ANEC73!$J$4:$J$6,MATCH($C121,Parametros_ANEC73!$A$4:$A$6,0))</f>
        <v>4</v>
      </c>
      <c r="P121" s="38" t="n">
        <f aca="false">IF(OR($D121=0,$G121=""),0,IF(AND($K121="Sim",$O121&lt;&gt;""),MAX(0,$H121*($E121-$O121)),0))</f>
        <v>0</v>
      </c>
      <c r="Q121" s="35" t="n">
        <f aca="false">INDEX(Parametros_ANEC73!$F$4:$F$6,MATCH($C121,Parametros_ANEC73!$A$4:$A$6,0))</f>
        <v>1</v>
      </c>
      <c r="R121" s="35" t="n">
        <f aca="false">INDEX(Parametros_ANEC73!$I$4:$I$6,MATCH($C121,Parametros_ANEC73!$A$4:$A$6,0))</f>
        <v>1.5</v>
      </c>
      <c r="S121" s="35" t="n">
        <f aca="false">INDEX(Parametros_ANEC73!$L$4:$L$6,MATCH($C121,Parametros_ANEC73!$A$4:$A$6,0))</f>
        <v>2</v>
      </c>
      <c r="T121" s="39" t="n">
        <f aca="false">INDEX(Parametros_ANEC73!$B$14:$B$25,MATCH($B121,Parametros_ANEC73!$A$14:$A$25,0))</f>
        <v>415</v>
      </c>
      <c r="U121" s="40" t="n">
        <f aca="false">IF(OR($D121=0,$G121=""),0,$D121*($T121/100)*($L121*$Q121+$N121*(IF($R121="",$Q121,$R121)-$Q121)+$P121*(IF($S121="",IF($R121="",$Q121,$R121),$S121)-IF($R121="",$Q121,$R121))))</f>
        <v>0</v>
      </c>
      <c r="V121" s="41" t="str">
        <f aca="false">IF(OR($D121=0,$G121=""),"",IF($H121*($E121-INDEX(Parametros_ANEC73!$M$4:$M$6,MATCH($C121,Parametros_ANEC73!$A$4:$A$6,0)))&gt;0,"Sim","Nao"))</f>
        <v>Nao</v>
      </c>
      <c r="W121" s="27" t="str">
        <f aca="false">$A121&amp;"|"&amp;$B121&amp;"|"&amp;$C121</f>
        <v>Cargill|Abr|Fibra</v>
      </c>
    </row>
    <row r="122" customFormat="false" ht="15" hidden="false" customHeight="false" outlineLevel="0" collapsed="false">
      <c r="A122" s="27" t="s">
        <v>42</v>
      </c>
      <c r="B122" s="27" t="s">
        <v>62</v>
      </c>
      <c r="C122" s="27" t="s">
        <v>109</v>
      </c>
      <c r="D122" s="34" t="n">
        <f aca="false">SUMIFS(Media_Cliente_Mes!$C$2:$C$145,Media_Cliente_Mes!$A$2:$A$145,$A122,Media_Cliente_Mes!$B$2:$B$145,$B122)</f>
        <v>53120.9</v>
      </c>
      <c r="E122" s="35" t="n">
        <f aca="false">IF($D122=0,"",IF($C122="Proteina",SUMIFS(Media_Cliente_Mes!$D$2:$D$145,Media_Cliente_Mes!$A$2:$A$145,$A122,Media_Cliente_Mes!$B$2:$B$145,$B122),IF($C122="Umidade",SUMIFS(Media_Cliente_Mes!$E$2:$E$145,Media_Cliente_Mes!$A$2:$A$145,$A122,Media_Cliente_Mes!$B$2:$B$145,$B122),SUMIFS(Media_Cliente_Mes!$F$2:$F$145,Media_Cliente_Mes!$A$2:$A$145,$A122,Media_Cliente_Mes!$B$2:$B$145,$B122))))</f>
        <v>47.4496849168595</v>
      </c>
      <c r="F122" s="35" t="n">
        <f aca="false">INDEX(Parametros_ANEC73!$C$4:$C$6,MATCH($C122,Parametros_ANEC73!$A$4:$A$6,0))</f>
        <v>48</v>
      </c>
      <c r="G122" s="35" t="n">
        <f aca="false">IF($C122="Proteina",INDEX(Media_Pool_Mes!$C$2:$C$13,MATCH($B122,Media_Pool_Mes!$A$2:$A$13,0)),IF($C122="Umidade",INDEX(Media_Pool_Mes!$D$2:$D$13,MATCH($B122,Media_Pool_Mes!$A$2:$A$13,0)),INDEX(Media_Pool_Mes!$E$2:$E$13,MATCH($B122,Media_Pool_Mes!$A$2:$A$13,0))))</f>
        <v>47.6334614958572</v>
      </c>
      <c r="H122" s="37" t="n">
        <f aca="false">INDEX(Parametros_ANEC73!$B$4:$B$6,MATCH($C122,Parametros_ANEC73!$A$4:$A$6,0))</f>
        <v>-1</v>
      </c>
      <c r="I122" s="38" t="n">
        <f aca="false">IF(OR($D122=0,$G122=""),"",IF($H122*($G122-$F122)&gt;0,$G122,$F122))</f>
        <v>47.6334614958572</v>
      </c>
      <c r="J122" s="27" t="str">
        <f aca="false">IF(OR($D122=0,$G122=""),"",IF($H122*($G122-$F122)&gt;0,"Sim","Nao"))</f>
        <v>Sim</v>
      </c>
      <c r="K122" s="27" t="str">
        <f aca="false">IF(OR($D122=0,$G122=""),"",IF(AND($H122*($E122-$F122)&gt;0,$H122*($E122-$G122)&gt;0),"Sim","Nao"))</f>
        <v>Sim</v>
      </c>
      <c r="L122" s="38" t="n">
        <f aca="false">IF(OR($D122=0,$G122=""),0,IF($K122="Sim",MAX(0,$H122*($E122-$I122)),0))</f>
        <v>0.183776578997737</v>
      </c>
      <c r="M122" s="35" t="n">
        <f aca="false">INDEX(Parametros_ANEC73!$G$4:$G$6,MATCH($C122,Parametros_ANEC73!$A$4:$A$6,0))</f>
        <v>47</v>
      </c>
      <c r="N122" s="38" t="n">
        <f aca="false">IF(OR($D122=0,$G122=""),0,IF(AND($K122="Sim",$M122&lt;&gt;""),MAX(0,$H122*($E122-$M122)),0))</f>
        <v>0</v>
      </c>
      <c r="O122" s="35" t="n">
        <f aca="false">INDEX(Parametros_ANEC73!$J$4:$J$6,MATCH($C122,Parametros_ANEC73!$A$4:$A$6,0))</f>
        <v>0</v>
      </c>
      <c r="P122" s="38" t="n">
        <f aca="false">IF(OR($D122=0,$G122=""),0,IF(AND($K122="Sim",$O122&lt;&gt;""),MAX(0,$H122*($E122-$O122)),0))</f>
        <v>0</v>
      </c>
      <c r="Q122" s="35" t="n">
        <f aca="false">INDEX(Parametros_ANEC73!$F$4:$F$6,MATCH($C122,Parametros_ANEC73!$A$4:$A$6,0))</f>
        <v>1</v>
      </c>
      <c r="R122" s="35" t="n">
        <f aca="false">INDEX(Parametros_ANEC73!$I$4:$I$6,MATCH($C122,Parametros_ANEC73!$A$4:$A$6,0))</f>
        <v>2</v>
      </c>
      <c r="S122" s="35" t="n">
        <f aca="false">INDEX(Parametros_ANEC73!$L$4:$L$6,MATCH($C122,Parametros_ANEC73!$A$4:$A$6,0))</f>
        <v>0</v>
      </c>
      <c r="T122" s="39" t="n">
        <f aca="false">INDEX(Parametros_ANEC73!$B$14:$B$25,MATCH($B122,Parametros_ANEC73!$A$14:$A$25,0))</f>
        <v>343</v>
      </c>
      <c r="U122" s="40" t="n">
        <f aca="false">IF(OR($D122=0,$G122=""),0,$D122*($T122/100)*($L122*$Q122+$N122*(IF($R122="",$Q122,$R122)-$Q122)+$P122*(IF($S122="",IF($R122="",$Q122,$R122),$S122)-IF($R122="",$Q122,$R122))))</f>
        <v>33484.9540542134</v>
      </c>
      <c r="V122" s="41" t="str">
        <f aca="false">IF(OR($D122=0,$G122=""),"",IF($H122*($E122-INDEX(Parametros_ANEC73!$M$4:$M$6,MATCH($C122,Parametros_ANEC73!$A$4:$A$6,0)))&gt;0,"Sim","Nao"))</f>
        <v>Nao</v>
      </c>
      <c r="W122" s="27" t="str">
        <f aca="false">$A122&amp;"|"&amp;$B122&amp;"|"&amp;$C122</f>
        <v>Cargill|Mai|Proteina</v>
      </c>
    </row>
    <row r="123" customFormat="false" ht="15" hidden="false" customHeight="false" outlineLevel="0" collapsed="false">
      <c r="A123" s="27" t="s">
        <v>42</v>
      </c>
      <c r="B123" s="27" t="s">
        <v>62</v>
      </c>
      <c r="C123" s="27" t="s">
        <v>110</v>
      </c>
      <c r="D123" s="34" t="n">
        <f aca="false">SUMIFS(Media_Cliente_Mes!$C$2:$C$145,Media_Cliente_Mes!$A$2:$A$145,$A123,Media_Cliente_Mes!$B$2:$B$145,$B123)</f>
        <v>53120.9</v>
      </c>
      <c r="E123" s="35" t="n">
        <f aca="false">IF($D123=0,"",IF($C123="Proteina",SUMIFS(Media_Cliente_Mes!$D$2:$D$145,Media_Cliente_Mes!$A$2:$A$145,$A123,Media_Cliente_Mes!$B$2:$B$145,$B123),IF($C123="Umidade",SUMIFS(Media_Cliente_Mes!$E$2:$E$145,Media_Cliente_Mes!$A$2:$A$145,$A123,Media_Cliente_Mes!$B$2:$B$145,$B123),SUMIFS(Media_Cliente_Mes!$F$2:$F$145,Media_Cliente_Mes!$A$2:$A$145,$A123,Media_Cliente_Mes!$B$2:$B$145,$B123))))</f>
        <v>12.3561943848843</v>
      </c>
      <c r="F123" s="35" t="n">
        <f aca="false">INDEX(Parametros_ANEC73!$C$4:$C$6,MATCH($C123,Parametros_ANEC73!$A$4:$A$6,0))</f>
        <v>12.5</v>
      </c>
      <c r="G123" s="35" t="n">
        <f aca="false">IF($C123="Proteina",INDEX(Media_Pool_Mes!$C$2:$C$13,MATCH($B123,Media_Pool_Mes!$A$2:$A$13,0)),IF($C123="Umidade",INDEX(Media_Pool_Mes!$D$2:$D$13,MATCH($B123,Media_Pool_Mes!$A$2:$A$13,0)),INDEX(Media_Pool_Mes!$E$2:$E$13,MATCH($B123,Media_Pool_Mes!$A$2:$A$13,0))))</f>
        <v>12.3121752562954</v>
      </c>
      <c r="H123" s="37" t="n">
        <f aca="false">INDEX(Parametros_ANEC73!$B$4:$B$6,MATCH($C123,Parametros_ANEC73!$A$4:$A$6,0))</f>
        <v>1</v>
      </c>
      <c r="I123" s="38" t="n">
        <f aca="false">IF(OR($D123=0,$G123=""),"",IF($H123*($G123-$F123)&gt;0,$G123,$F123))</f>
        <v>12.5</v>
      </c>
      <c r="J123" s="27" t="str">
        <f aca="false">IF(OR($D123=0,$G123=""),"",IF($H123*($G123-$F123)&gt;0,"Sim","Nao"))</f>
        <v>Nao</v>
      </c>
      <c r="K123" s="27" t="str">
        <f aca="false">IF(OR($D123=0,$G123=""),"",IF(AND($H123*($E123-$F123)&gt;0,$H123*($E123-$G123)&gt;0),"Sim","Nao"))</f>
        <v>Nao</v>
      </c>
      <c r="L123" s="38" t="n">
        <f aca="false">IF(OR($D123=0,$G123=""),0,IF($K123="Sim",MAX(0,$H123*($E123-$I123)),0))</f>
        <v>0</v>
      </c>
      <c r="M123" s="35" t="n">
        <f aca="false">INDEX(Parametros_ANEC73!$G$4:$G$6,MATCH($C123,Parametros_ANEC73!$A$4:$A$6,0))</f>
        <v>0</v>
      </c>
      <c r="N123" s="38" t="n">
        <f aca="false">IF(OR($D123=0,$G123=""),0,IF(AND($K123="Sim",$M123&lt;&gt;""),MAX(0,$H123*($E123-$M123)),0))</f>
        <v>0</v>
      </c>
      <c r="O123" s="35" t="n">
        <f aca="false">INDEX(Parametros_ANEC73!$J$4:$J$6,MATCH($C123,Parametros_ANEC73!$A$4:$A$6,0))</f>
        <v>0</v>
      </c>
      <c r="P123" s="38" t="n">
        <f aca="false">IF(OR($D123=0,$G123=""),0,IF(AND($K123="Sim",$O123&lt;&gt;""),MAX(0,$H123*($E123-$O123)),0))</f>
        <v>0</v>
      </c>
      <c r="Q123" s="35" t="n">
        <f aca="false">INDEX(Parametros_ANEC73!$F$4:$F$6,MATCH($C123,Parametros_ANEC73!$A$4:$A$6,0))</f>
        <v>1</v>
      </c>
      <c r="R123" s="35" t="n">
        <f aca="false">INDEX(Parametros_ANEC73!$I$4:$I$6,MATCH($C123,Parametros_ANEC73!$A$4:$A$6,0))</f>
        <v>0</v>
      </c>
      <c r="S123" s="35" t="n">
        <f aca="false">INDEX(Parametros_ANEC73!$L$4:$L$6,MATCH($C123,Parametros_ANEC73!$A$4:$A$6,0))</f>
        <v>0</v>
      </c>
      <c r="T123" s="39" t="n">
        <f aca="false">INDEX(Parametros_ANEC73!$B$14:$B$25,MATCH($B123,Parametros_ANEC73!$A$14:$A$25,0))</f>
        <v>343</v>
      </c>
      <c r="U123" s="40" t="n">
        <f aca="false">IF(OR($D123=0,$G123=""),0,$D123*($T123/100)*($L123*$Q123+$N123*(IF($R123="",$Q123,$R123)-$Q123)+$P123*(IF($S123="",IF($R123="",$Q123,$R123),$S123)-IF($R123="",$Q123,$R123))))</f>
        <v>0</v>
      </c>
      <c r="V123" s="41" t="str">
        <f aca="false">IF(OR($D123=0,$G123=""),"",IF($H123*($E123-INDEX(Parametros_ANEC73!$M$4:$M$6,MATCH($C123,Parametros_ANEC73!$A$4:$A$6,0)))&gt;0,"Sim","Nao"))</f>
        <v>Nao</v>
      </c>
      <c r="W123" s="27" t="str">
        <f aca="false">$A123&amp;"|"&amp;$B123&amp;"|"&amp;$C123</f>
        <v>Cargill|Mai|Umidade</v>
      </c>
    </row>
    <row r="124" customFormat="false" ht="15" hidden="false" customHeight="false" outlineLevel="0" collapsed="false">
      <c r="A124" s="27" t="s">
        <v>42</v>
      </c>
      <c r="B124" s="27" t="s">
        <v>62</v>
      </c>
      <c r="C124" s="27" t="s">
        <v>111</v>
      </c>
      <c r="D124" s="34" t="n">
        <f aca="false">SUMIFS(Media_Cliente_Mes!$C$2:$C$145,Media_Cliente_Mes!$A$2:$A$145,$A124,Media_Cliente_Mes!$B$2:$B$145,$B124)</f>
        <v>53120.9</v>
      </c>
      <c r="E124" s="35" t="n">
        <f aca="false">IF($D124=0,"",IF($C124="Proteina",SUMIFS(Media_Cliente_Mes!$D$2:$D$145,Media_Cliente_Mes!$A$2:$A$145,$A124,Media_Cliente_Mes!$B$2:$B$145,$B124),IF($C124="Umidade",SUMIFS(Media_Cliente_Mes!$E$2:$E$145,Media_Cliente_Mes!$A$2:$A$145,$A124,Media_Cliente_Mes!$B$2:$B$145,$B124),SUMIFS(Media_Cliente_Mes!$F$2:$F$145,Media_Cliente_Mes!$A$2:$A$145,$A124,Media_Cliente_Mes!$B$2:$B$145,$B124))))</f>
        <v>3.69318510040304</v>
      </c>
      <c r="F124" s="35" t="n">
        <f aca="false">INDEX(Parametros_ANEC73!$C$4:$C$6,MATCH($C124,Parametros_ANEC73!$A$4:$A$6,0))</f>
        <v>3.5</v>
      </c>
      <c r="G124" s="35" t="n">
        <f aca="false">IF($C124="Proteina",INDEX(Media_Pool_Mes!$C$2:$C$13,MATCH($B124,Media_Pool_Mes!$A$2:$A$13,0)),IF($C124="Umidade",INDEX(Media_Pool_Mes!$D$2:$D$13,MATCH($B124,Media_Pool_Mes!$A$2:$A$13,0)),INDEX(Media_Pool_Mes!$E$2:$E$13,MATCH($B124,Media_Pool_Mes!$A$2:$A$13,0))))</f>
        <v>3.64524916105719</v>
      </c>
      <c r="H124" s="37" t="n">
        <f aca="false">INDEX(Parametros_ANEC73!$B$4:$B$6,MATCH($C124,Parametros_ANEC73!$A$4:$A$6,0))</f>
        <v>1</v>
      </c>
      <c r="I124" s="38" t="n">
        <f aca="false">IF(OR($D124=0,$G124=""),"",IF($H124*($G124-$F124)&gt;0,$G124,$F124))</f>
        <v>3.64524916105719</v>
      </c>
      <c r="J124" s="27" t="str">
        <f aca="false">IF(OR($D124=0,$G124=""),"",IF($H124*($G124-$F124)&gt;0,"Sim","Nao"))</f>
        <v>Sim</v>
      </c>
      <c r="K124" s="27" t="str">
        <f aca="false">IF(OR($D124=0,$G124=""),"",IF(AND($H124*($E124-$F124)&gt;0,$H124*($E124-$G124)&gt;0),"Sim","Nao"))</f>
        <v>Sim</v>
      </c>
      <c r="L124" s="38" t="n">
        <f aca="false">IF(OR($D124=0,$G124=""),0,IF($K124="Sim",MAX(0,$H124*($E124-$I124)),0))</f>
        <v>0.0479359393458507</v>
      </c>
      <c r="M124" s="35" t="n">
        <f aca="false">INDEX(Parametros_ANEC73!$G$4:$G$6,MATCH($C124,Parametros_ANEC73!$A$4:$A$6,0))</f>
        <v>3.8</v>
      </c>
      <c r="N124" s="38" t="n">
        <f aca="false">IF(OR($D124=0,$G124=""),0,IF(AND($K124="Sim",$M124&lt;&gt;""),MAX(0,$H124*($E124-$M124)),0))</f>
        <v>0</v>
      </c>
      <c r="O124" s="35" t="n">
        <f aca="false">INDEX(Parametros_ANEC73!$J$4:$J$6,MATCH($C124,Parametros_ANEC73!$A$4:$A$6,0))</f>
        <v>4</v>
      </c>
      <c r="P124" s="38" t="n">
        <f aca="false">IF(OR($D124=0,$G124=""),0,IF(AND($K124="Sim",$O124&lt;&gt;""),MAX(0,$H124*($E124-$O124)),0))</f>
        <v>0</v>
      </c>
      <c r="Q124" s="35" t="n">
        <f aca="false">INDEX(Parametros_ANEC73!$F$4:$F$6,MATCH($C124,Parametros_ANEC73!$A$4:$A$6,0))</f>
        <v>1</v>
      </c>
      <c r="R124" s="35" t="n">
        <f aca="false">INDEX(Parametros_ANEC73!$I$4:$I$6,MATCH($C124,Parametros_ANEC73!$A$4:$A$6,0))</f>
        <v>1.5</v>
      </c>
      <c r="S124" s="35" t="n">
        <f aca="false">INDEX(Parametros_ANEC73!$L$4:$L$6,MATCH($C124,Parametros_ANEC73!$A$4:$A$6,0))</f>
        <v>2</v>
      </c>
      <c r="T124" s="39" t="n">
        <f aca="false">INDEX(Parametros_ANEC73!$B$14:$B$25,MATCH($B124,Parametros_ANEC73!$A$14:$A$25,0))</f>
        <v>343</v>
      </c>
      <c r="U124" s="40" t="n">
        <f aca="false">IF(OR($D124=0,$G124=""),0,$D124*($T124/100)*($L124*$Q124+$N124*(IF($R124="",$Q124,$R124)-$Q124)+$P124*(IF($S124="",IF($R124="",$Q124,$R124),$S124)-IF($R124="",$Q124,$R124))))</f>
        <v>8734.15282456172</v>
      </c>
      <c r="V124" s="41" t="str">
        <f aca="false">IF(OR($D124=0,$G124=""),"",IF($H124*($E124-INDEX(Parametros_ANEC73!$M$4:$M$6,MATCH($C124,Parametros_ANEC73!$A$4:$A$6,0)))&gt;0,"Sim","Nao"))</f>
        <v>Nao</v>
      </c>
      <c r="W124" s="27" t="str">
        <f aca="false">$A124&amp;"|"&amp;$B124&amp;"|"&amp;$C124</f>
        <v>Cargill|Mai|Fibra</v>
      </c>
    </row>
    <row r="125" customFormat="false" ht="15" hidden="false" customHeight="false" outlineLevel="0" collapsed="false">
      <c r="A125" s="27" t="s">
        <v>42</v>
      </c>
      <c r="B125" s="27" t="s">
        <v>63</v>
      </c>
      <c r="C125" s="27" t="s">
        <v>109</v>
      </c>
      <c r="D125" s="34" t="n">
        <f aca="false">SUMIFS(Media_Cliente_Mes!$C$2:$C$145,Media_Cliente_Mes!$A$2:$A$145,$A125,Media_Cliente_Mes!$B$2:$B$145,$B125)</f>
        <v>40336.83</v>
      </c>
      <c r="E125" s="35" t="n">
        <f aca="false">IF($D125=0,"",IF($C125="Proteina",SUMIFS(Media_Cliente_Mes!$D$2:$D$145,Media_Cliente_Mes!$A$2:$A$145,$A125,Media_Cliente_Mes!$B$2:$B$145,$B125),IF($C125="Umidade",SUMIFS(Media_Cliente_Mes!$E$2:$E$145,Media_Cliente_Mes!$A$2:$A$145,$A125,Media_Cliente_Mes!$B$2:$B$145,$B125),SUMIFS(Media_Cliente_Mes!$F$2:$F$145,Media_Cliente_Mes!$A$2:$A$145,$A125,Media_Cliente_Mes!$B$2:$B$145,$B125))))</f>
        <v>47.4440278425449</v>
      </c>
      <c r="F125" s="35" t="n">
        <f aca="false">INDEX(Parametros_ANEC73!$C$4:$C$6,MATCH($C125,Parametros_ANEC73!$A$4:$A$6,0))</f>
        <v>48</v>
      </c>
      <c r="G125" s="35" t="n">
        <f aca="false">IF($C125="Proteina",INDEX(Media_Pool_Mes!$C$2:$C$13,MATCH($B125,Media_Pool_Mes!$A$2:$A$13,0)),IF($C125="Umidade",INDEX(Media_Pool_Mes!$D$2:$D$13,MATCH($B125,Media_Pool_Mes!$A$2:$A$13,0)),INDEX(Media_Pool_Mes!$E$2:$E$13,MATCH($B125,Media_Pool_Mes!$A$2:$A$13,0))))</f>
        <v>47.4834226367413</v>
      </c>
      <c r="H125" s="37" t="n">
        <f aca="false">INDEX(Parametros_ANEC73!$B$4:$B$6,MATCH($C125,Parametros_ANEC73!$A$4:$A$6,0))</f>
        <v>-1</v>
      </c>
      <c r="I125" s="38" t="n">
        <f aca="false">IF(OR($D125=0,$G125=""),"",IF($H125*($G125-$F125)&gt;0,$G125,$F125))</f>
        <v>47.4834226367413</v>
      </c>
      <c r="J125" s="27" t="str">
        <f aca="false">IF(OR($D125=0,$G125=""),"",IF($H125*($G125-$F125)&gt;0,"Sim","Nao"))</f>
        <v>Sim</v>
      </c>
      <c r="K125" s="27" t="str">
        <f aca="false">IF(OR($D125=0,$G125=""),"",IF(AND($H125*($E125-$F125)&gt;0,$H125*($E125-$G125)&gt;0),"Sim","Nao"))</f>
        <v>Sim</v>
      </c>
      <c r="L125" s="38" t="n">
        <f aca="false">IF(OR($D125=0,$G125=""),0,IF($K125="Sim",MAX(0,$H125*($E125-$I125)),0))</f>
        <v>0.0393947941964612</v>
      </c>
      <c r="M125" s="35" t="n">
        <f aca="false">INDEX(Parametros_ANEC73!$G$4:$G$6,MATCH($C125,Parametros_ANEC73!$A$4:$A$6,0))</f>
        <v>47</v>
      </c>
      <c r="N125" s="38" t="n">
        <f aca="false">IF(OR($D125=0,$G125=""),0,IF(AND($K125="Sim",$M125&lt;&gt;""),MAX(0,$H125*($E125-$M125)),0))</f>
        <v>0</v>
      </c>
      <c r="O125" s="35" t="n">
        <f aca="false">INDEX(Parametros_ANEC73!$J$4:$J$6,MATCH($C125,Parametros_ANEC73!$A$4:$A$6,0))</f>
        <v>0</v>
      </c>
      <c r="P125" s="38" t="n">
        <f aca="false">IF(OR($D125=0,$G125=""),0,IF(AND($K125="Sim",$O125&lt;&gt;""),MAX(0,$H125*($E125-$O125)),0))</f>
        <v>0</v>
      </c>
      <c r="Q125" s="35" t="n">
        <f aca="false">INDEX(Parametros_ANEC73!$F$4:$F$6,MATCH($C125,Parametros_ANEC73!$A$4:$A$6,0))</f>
        <v>1</v>
      </c>
      <c r="R125" s="35" t="n">
        <f aca="false">INDEX(Parametros_ANEC73!$I$4:$I$6,MATCH($C125,Parametros_ANEC73!$A$4:$A$6,0))</f>
        <v>2</v>
      </c>
      <c r="S125" s="35" t="n">
        <f aca="false">INDEX(Parametros_ANEC73!$L$4:$L$6,MATCH($C125,Parametros_ANEC73!$A$4:$A$6,0))</f>
        <v>0</v>
      </c>
      <c r="T125" s="39" t="n">
        <f aca="false">INDEX(Parametros_ANEC73!$B$14:$B$25,MATCH($B125,Parametros_ANEC73!$A$14:$A$25,0))</f>
        <v>326</v>
      </c>
      <c r="U125" s="40" t="n">
        <f aca="false">IF(OR($D125=0,$G125=""),0,$D125*($T125/100)*($L125*$Q125+$N125*(IF($R125="",$Q125,$R125)-$Q125)+$P125*(IF($S125="",IF($R125="",$Q125,$R125),$S125)-IF($R125="",$Q125,$R125))))</f>
        <v>5180.33923942371</v>
      </c>
      <c r="V125" s="41" t="str">
        <f aca="false">IF(OR($D125=0,$G125=""),"",IF($H125*($E125-INDEX(Parametros_ANEC73!$M$4:$M$6,MATCH($C125,Parametros_ANEC73!$A$4:$A$6,0)))&gt;0,"Sim","Nao"))</f>
        <v>Nao</v>
      </c>
      <c r="W125" s="27" t="str">
        <f aca="false">$A125&amp;"|"&amp;$B125&amp;"|"&amp;$C125</f>
        <v>Cargill|Jun|Proteina</v>
      </c>
    </row>
    <row r="126" customFormat="false" ht="15" hidden="false" customHeight="false" outlineLevel="0" collapsed="false">
      <c r="A126" s="27" t="s">
        <v>42</v>
      </c>
      <c r="B126" s="27" t="s">
        <v>63</v>
      </c>
      <c r="C126" s="27" t="s">
        <v>110</v>
      </c>
      <c r="D126" s="34" t="n">
        <f aca="false">SUMIFS(Media_Cliente_Mes!$C$2:$C$145,Media_Cliente_Mes!$A$2:$A$145,$A126,Media_Cliente_Mes!$B$2:$B$145,$B126)</f>
        <v>40336.83</v>
      </c>
      <c r="E126" s="35" t="n">
        <f aca="false">IF($D126=0,"",IF($C126="Proteina",SUMIFS(Media_Cliente_Mes!$D$2:$D$145,Media_Cliente_Mes!$A$2:$A$145,$A126,Media_Cliente_Mes!$B$2:$B$145,$B126),IF($C126="Umidade",SUMIFS(Media_Cliente_Mes!$E$2:$E$145,Media_Cliente_Mes!$A$2:$A$145,$A126,Media_Cliente_Mes!$B$2:$B$145,$B126),SUMIFS(Media_Cliente_Mes!$F$2:$F$145,Media_Cliente_Mes!$A$2:$A$145,$A126,Media_Cliente_Mes!$B$2:$B$145,$B126))))</f>
        <v>12.7524888247292</v>
      </c>
      <c r="F126" s="35" t="n">
        <f aca="false">INDEX(Parametros_ANEC73!$C$4:$C$6,MATCH($C126,Parametros_ANEC73!$A$4:$A$6,0))</f>
        <v>12.5</v>
      </c>
      <c r="G126" s="35" t="n">
        <f aca="false">IF($C126="Proteina",INDEX(Media_Pool_Mes!$C$2:$C$13,MATCH($B126,Media_Pool_Mes!$A$2:$A$13,0)),IF($C126="Umidade",INDEX(Media_Pool_Mes!$D$2:$D$13,MATCH($B126,Media_Pool_Mes!$A$2:$A$13,0)),INDEX(Media_Pool_Mes!$E$2:$E$13,MATCH($B126,Media_Pool_Mes!$A$2:$A$13,0))))</f>
        <v>12.6225093779221</v>
      </c>
      <c r="H126" s="37" t="n">
        <f aca="false">INDEX(Parametros_ANEC73!$B$4:$B$6,MATCH($C126,Parametros_ANEC73!$A$4:$A$6,0))</f>
        <v>1</v>
      </c>
      <c r="I126" s="38" t="n">
        <f aca="false">IF(OR($D126=0,$G126=""),"",IF($H126*($G126-$F126)&gt;0,$G126,$F126))</f>
        <v>12.6225093779221</v>
      </c>
      <c r="J126" s="27" t="str">
        <f aca="false">IF(OR($D126=0,$G126=""),"",IF($H126*($G126-$F126)&gt;0,"Sim","Nao"))</f>
        <v>Sim</v>
      </c>
      <c r="K126" s="27" t="str">
        <f aca="false">IF(OR($D126=0,$G126=""),"",IF(AND($H126*($E126-$F126)&gt;0,$H126*($E126-$G126)&gt;0),"Sim","Nao"))</f>
        <v>Sim</v>
      </c>
      <c r="L126" s="38" t="n">
        <f aca="false">IF(OR($D126=0,$G126=""),0,IF($K126="Sim",MAX(0,$H126*($E126-$I126)),0))</f>
        <v>0.129979446807077</v>
      </c>
      <c r="M126" s="35" t="n">
        <f aca="false">INDEX(Parametros_ANEC73!$G$4:$G$6,MATCH($C126,Parametros_ANEC73!$A$4:$A$6,0))</f>
        <v>0</v>
      </c>
      <c r="N126" s="38" t="n">
        <f aca="false">IF(OR($D126=0,$G126=""),0,IF(AND($K126="Sim",$M126&lt;&gt;""),MAX(0,$H126*($E126-$M126)),0))</f>
        <v>0</v>
      </c>
      <c r="O126" s="35" t="n">
        <f aca="false">INDEX(Parametros_ANEC73!$J$4:$J$6,MATCH($C126,Parametros_ANEC73!$A$4:$A$6,0))</f>
        <v>0</v>
      </c>
      <c r="P126" s="38" t="n">
        <f aca="false">IF(OR($D126=0,$G126=""),0,IF(AND($K126="Sim",$O126&lt;&gt;""),MAX(0,$H126*($E126-$O126)),0))</f>
        <v>0</v>
      </c>
      <c r="Q126" s="35" t="n">
        <f aca="false">INDEX(Parametros_ANEC73!$F$4:$F$6,MATCH($C126,Parametros_ANEC73!$A$4:$A$6,0))</f>
        <v>1</v>
      </c>
      <c r="R126" s="35" t="n">
        <f aca="false">INDEX(Parametros_ANEC73!$I$4:$I$6,MATCH($C126,Parametros_ANEC73!$A$4:$A$6,0))</f>
        <v>0</v>
      </c>
      <c r="S126" s="35" t="n">
        <f aca="false">INDEX(Parametros_ANEC73!$L$4:$L$6,MATCH($C126,Parametros_ANEC73!$A$4:$A$6,0))</f>
        <v>0</v>
      </c>
      <c r="T126" s="39" t="n">
        <f aca="false">INDEX(Parametros_ANEC73!$B$14:$B$25,MATCH($B126,Parametros_ANEC73!$A$14:$A$25,0))</f>
        <v>326</v>
      </c>
      <c r="U126" s="40" t="n">
        <f aca="false">IF(OR($D126=0,$G126=""),0,$D126*($T126/100)*($L126*$Q126+$N126*(IF($R126="",$Q126,$R126)-$Q126)+$P126*(IF($S126="",IF($R126="",$Q126,$R126),$S126)-IF($R126="",$Q126,$R126))))</f>
        <v>17092.0458488846</v>
      </c>
      <c r="V126" s="41" t="str">
        <f aca="false">IF(OR($D126=0,$G126=""),"",IF($H126*($E126-INDEX(Parametros_ANEC73!$M$4:$M$6,MATCH($C126,Parametros_ANEC73!$A$4:$A$6,0)))&gt;0,"Sim","Nao"))</f>
        <v>Nao</v>
      </c>
      <c r="W126" s="27" t="str">
        <f aca="false">$A126&amp;"|"&amp;$B126&amp;"|"&amp;$C126</f>
        <v>Cargill|Jun|Umidade</v>
      </c>
    </row>
    <row r="127" customFormat="false" ht="15" hidden="false" customHeight="false" outlineLevel="0" collapsed="false">
      <c r="A127" s="27" t="s">
        <v>42</v>
      </c>
      <c r="B127" s="27" t="s">
        <v>63</v>
      </c>
      <c r="C127" s="27" t="s">
        <v>111</v>
      </c>
      <c r="D127" s="34" t="n">
        <f aca="false">SUMIFS(Media_Cliente_Mes!$C$2:$C$145,Media_Cliente_Mes!$A$2:$A$145,$A127,Media_Cliente_Mes!$B$2:$B$145,$B127)</f>
        <v>40336.83</v>
      </c>
      <c r="E127" s="35" t="n">
        <f aca="false">IF($D127=0,"",IF($C127="Proteina",SUMIFS(Media_Cliente_Mes!$D$2:$D$145,Media_Cliente_Mes!$A$2:$A$145,$A127,Media_Cliente_Mes!$B$2:$B$145,$B127),IF($C127="Umidade",SUMIFS(Media_Cliente_Mes!$E$2:$E$145,Media_Cliente_Mes!$A$2:$A$145,$A127,Media_Cliente_Mes!$B$2:$B$145,$B127),SUMIFS(Media_Cliente_Mes!$F$2:$F$145,Media_Cliente_Mes!$A$2:$A$145,$A127,Media_Cliente_Mes!$B$2:$B$145,$B127))))</f>
        <v>3.76910687081756</v>
      </c>
      <c r="F127" s="35" t="n">
        <f aca="false">INDEX(Parametros_ANEC73!$C$4:$C$6,MATCH($C127,Parametros_ANEC73!$A$4:$A$6,0))</f>
        <v>3.5</v>
      </c>
      <c r="G127" s="35" t="n">
        <f aca="false">IF($C127="Proteina",INDEX(Media_Pool_Mes!$C$2:$C$13,MATCH($B127,Media_Pool_Mes!$A$2:$A$13,0)),IF($C127="Umidade",INDEX(Media_Pool_Mes!$D$2:$D$13,MATCH($B127,Media_Pool_Mes!$A$2:$A$13,0)),INDEX(Media_Pool_Mes!$E$2:$E$13,MATCH($B127,Media_Pool_Mes!$A$2:$A$13,0))))</f>
        <v>3.72652113613862</v>
      </c>
      <c r="H127" s="37" t="n">
        <f aca="false">INDEX(Parametros_ANEC73!$B$4:$B$6,MATCH($C127,Parametros_ANEC73!$A$4:$A$6,0))</f>
        <v>1</v>
      </c>
      <c r="I127" s="38" t="n">
        <f aca="false">IF(OR($D127=0,$G127=""),"",IF($H127*($G127-$F127)&gt;0,$G127,$F127))</f>
        <v>3.72652113613862</v>
      </c>
      <c r="J127" s="27" t="str">
        <f aca="false">IF(OR($D127=0,$G127=""),"",IF($H127*($G127-$F127)&gt;0,"Sim","Nao"))</f>
        <v>Sim</v>
      </c>
      <c r="K127" s="27" t="str">
        <f aca="false">IF(OR($D127=0,$G127=""),"",IF(AND($H127*($E127-$F127)&gt;0,$H127*($E127-$G127)&gt;0),"Sim","Nao"))</f>
        <v>Sim</v>
      </c>
      <c r="L127" s="38" t="n">
        <f aca="false">IF(OR($D127=0,$G127=""),0,IF($K127="Sim",MAX(0,$H127*($E127-$I127)),0))</f>
        <v>0.0425857346789411</v>
      </c>
      <c r="M127" s="35" t="n">
        <f aca="false">INDEX(Parametros_ANEC73!$G$4:$G$6,MATCH($C127,Parametros_ANEC73!$A$4:$A$6,0))</f>
        <v>3.8</v>
      </c>
      <c r="N127" s="38" t="n">
        <f aca="false">IF(OR($D127=0,$G127=""),0,IF(AND($K127="Sim",$M127&lt;&gt;""),MAX(0,$H127*($E127-$M127)),0))</f>
        <v>0</v>
      </c>
      <c r="O127" s="35" t="n">
        <f aca="false">INDEX(Parametros_ANEC73!$J$4:$J$6,MATCH($C127,Parametros_ANEC73!$A$4:$A$6,0))</f>
        <v>4</v>
      </c>
      <c r="P127" s="38" t="n">
        <f aca="false">IF(OR($D127=0,$G127=""),0,IF(AND($K127="Sim",$O127&lt;&gt;""),MAX(0,$H127*($E127-$O127)),0))</f>
        <v>0</v>
      </c>
      <c r="Q127" s="35" t="n">
        <f aca="false">INDEX(Parametros_ANEC73!$F$4:$F$6,MATCH($C127,Parametros_ANEC73!$A$4:$A$6,0))</f>
        <v>1</v>
      </c>
      <c r="R127" s="35" t="n">
        <f aca="false">INDEX(Parametros_ANEC73!$I$4:$I$6,MATCH($C127,Parametros_ANEC73!$A$4:$A$6,0))</f>
        <v>1.5</v>
      </c>
      <c r="S127" s="35" t="n">
        <f aca="false">INDEX(Parametros_ANEC73!$L$4:$L$6,MATCH($C127,Parametros_ANEC73!$A$4:$A$6,0))</f>
        <v>2</v>
      </c>
      <c r="T127" s="39" t="n">
        <f aca="false">INDEX(Parametros_ANEC73!$B$14:$B$25,MATCH($B127,Parametros_ANEC73!$A$14:$A$25,0))</f>
        <v>326</v>
      </c>
      <c r="U127" s="40" t="n">
        <f aca="false">IF(OR($D127=0,$G127=""),0,$D127*($T127/100)*($L127*$Q127+$N127*(IF($R127="",$Q127,$R127)-$Q127)+$P127*(IF($S127="",IF($R127="",$Q127,$R127),$S127)-IF($R127="",$Q127,$R127))))</f>
        <v>5599.94174095274</v>
      </c>
      <c r="V127" s="41" t="str">
        <f aca="false">IF(OR($D127=0,$G127=""),"",IF($H127*($E127-INDEX(Parametros_ANEC73!$M$4:$M$6,MATCH($C127,Parametros_ANEC73!$A$4:$A$6,0)))&gt;0,"Sim","Nao"))</f>
        <v>Nao</v>
      </c>
      <c r="W127" s="27" t="str">
        <f aca="false">$A127&amp;"|"&amp;$B127&amp;"|"&amp;$C127</f>
        <v>Cargill|Jun|Fibra</v>
      </c>
    </row>
    <row r="128" customFormat="false" ht="15" hidden="false" customHeight="false" outlineLevel="0" collapsed="false">
      <c r="A128" s="27" t="s">
        <v>42</v>
      </c>
      <c r="B128" s="27" t="s">
        <v>64</v>
      </c>
      <c r="C128" s="27" t="s">
        <v>109</v>
      </c>
      <c r="D128" s="34" t="n">
        <f aca="false">SUMIFS(Media_Cliente_Mes!$C$2:$C$145,Media_Cliente_Mes!$A$2:$A$145,$A128,Media_Cliente_Mes!$B$2:$B$145,$B128)</f>
        <v>5705.09</v>
      </c>
      <c r="E128" s="35" t="n">
        <f aca="false">IF($D128=0,"",IF($C128="Proteina",SUMIFS(Media_Cliente_Mes!$D$2:$D$145,Media_Cliente_Mes!$A$2:$A$145,$A128,Media_Cliente_Mes!$B$2:$B$145,$B128),IF($C128="Umidade",SUMIFS(Media_Cliente_Mes!$E$2:$E$145,Media_Cliente_Mes!$A$2:$A$145,$A128,Media_Cliente_Mes!$B$2:$B$145,$B128),SUMIFS(Media_Cliente_Mes!$F$2:$F$145,Media_Cliente_Mes!$A$2:$A$145,$A128,Media_Cliente_Mes!$B$2:$B$145,$B128))))</f>
        <v>47.0914792755241</v>
      </c>
      <c r="F128" s="35" t="n">
        <f aca="false">INDEX(Parametros_ANEC73!$C$4:$C$6,MATCH($C128,Parametros_ANEC73!$A$4:$A$6,0))</f>
        <v>48</v>
      </c>
      <c r="G128" s="35" t="n">
        <f aca="false">IF($C128="Proteina",INDEX(Media_Pool_Mes!$C$2:$C$13,MATCH($B128,Media_Pool_Mes!$A$2:$A$13,0)),IF($C128="Umidade",INDEX(Media_Pool_Mes!$D$2:$D$13,MATCH($B128,Media_Pool_Mes!$A$2:$A$13,0)),INDEX(Media_Pool_Mes!$E$2:$E$13,MATCH($B128,Media_Pool_Mes!$A$2:$A$13,0))))</f>
        <v>47.6816680231132</v>
      </c>
      <c r="H128" s="37" t="n">
        <f aca="false">INDEX(Parametros_ANEC73!$B$4:$B$6,MATCH($C128,Parametros_ANEC73!$A$4:$A$6,0))</f>
        <v>-1</v>
      </c>
      <c r="I128" s="38" t="n">
        <f aca="false">IF(OR($D128=0,$G128=""),"",IF($H128*($G128-$F128)&gt;0,$G128,$F128))</f>
        <v>47.6816680231132</v>
      </c>
      <c r="J128" s="27" t="str">
        <f aca="false">IF(OR($D128=0,$G128=""),"",IF($H128*($G128-$F128)&gt;0,"Sim","Nao"))</f>
        <v>Sim</v>
      </c>
      <c r="K128" s="27" t="str">
        <f aca="false">IF(OR($D128=0,$G128=""),"",IF(AND($H128*($E128-$F128)&gt;0,$H128*($E128-$G128)&gt;0),"Sim","Nao"))</f>
        <v>Sim</v>
      </c>
      <c r="L128" s="38" t="n">
        <f aca="false">IF(OR($D128=0,$G128=""),0,IF($K128="Sim",MAX(0,$H128*($E128-$I128)),0))</f>
        <v>0.590188747589089</v>
      </c>
      <c r="M128" s="35" t="n">
        <f aca="false">INDEX(Parametros_ANEC73!$G$4:$G$6,MATCH($C128,Parametros_ANEC73!$A$4:$A$6,0))</f>
        <v>47</v>
      </c>
      <c r="N128" s="38" t="n">
        <f aca="false">IF(OR($D128=0,$G128=""),0,IF(AND($K128="Sim",$M128&lt;&gt;""),MAX(0,$H128*($E128-$M128)),0))</f>
        <v>0</v>
      </c>
      <c r="O128" s="35" t="n">
        <f aca="false">INDEX(Parametros_ANEC73!$J$4:$J$6,MATCH($C128,Parametros_ANEC73!$A$4:$A$6,0))</f>
        <v>0</v>
      </c>
      <c r="P128" s="38" t="n">
        <f aca="false">IF(OR($D128=0,$G128=""),0,IF(AND($K128="Sim",$O128&lt;&gt;""),MAX(0,$H128*($E128-$O128)),0))</f>
        <v>0</v>
      </c>
      <c r="Q128" s="35" t="n">
        <f aca="false">INDEX(Parametros_ANEC73!$F$4:$F$6,MATCH($C128,Parametros_ANEC73!$A$4:$A$6,0))</f>
        <v>1</v>
      </c>
      <c r="R128" s="35" t="n">
        <f aca="false">INDEX(Parametros_ANEC73!$I$4:$I$6,MATCH($C128,Parametros_ANEC73!$A$4:$A$6,0))</f>
        <v>2</v>
      </c>
      <c r="S128" s="35" t="n">
        <f aca="false">INDEX(Parametros_ANEC73!$L$4:$L$6,MATCH($C128,Parametros_ANEC73!$A$4:$A$6,0))</f>
        <v>0</v>
      </c>
      <c r="T128" s="39" t="n">
        <f aca="false">INDEX(Parametros_ANEC73!$B$14:$B$25,MATCH($B128,Parametros_ANEC73!$A$14:$A$25,0))</f>
        <v>326</v>
      </c>
      <c r="U128" s="40" t="n">
        <f aca="false">IF(OR($D128=0,$G128=""),0,$D128*($T128/100)*($L128*$Q128+$N128*(IF($R128="",$Q128,$R128)-$Q128)+$P128*(IF($S128="",IF($R128="",$Q128,$R128),$S128)-IF($R128="",$Q128,$R128))))</f>
        <v>10976.6805456647</v>
      </c>
      <c r="V128" s="41" t="str">
        <f aca="false">IF(OR($D128=0,$G128=""),"",IF($H128*($E128-INDEX(Parametros_ANEC73!$M$4:$M$6,MATCH($C128,Parametros_ANEC73!$A$4:$A$6,0)))&gt;0,"Sim","Nao"))</f>
        <v>Nao</v>
      </c>
      <c r="W128" s="27" t="str">
        <f aca="false">$A128&amp;"|"&amp;$B128&amp;"|"&amp;$C128</f>
        <v>Cargill|Jul|Proteina</v>
      </c>
    </row>
    <row r="129" customFormat="false" ht="15" hidden="false" customHeight="false" outlineLevel="0" collapsed="false">
      <c r="A129" s="27" t="s">
        <v>42</v>
      </c>
      <c r="B129" s="27" t="s">
        <v>64</v>
      </c>
      <c r="C129" s="27" t="s">
        <v>110</v>
      </c>
      <c r="D129" s="34" t="n">
        <f aca="false">SUMIFS(Media_Cliente_Mes!$C$2:$C$145,Media_Cliente_Mes!$A$2:$A$145,$A129,Media_Cliente_Mes!$B$2:$B$145,$B129)</f>
        <v>5705.09</v>
      </c>
      <c r="E129" s="35" t="n">
        <f aca="false">IF($D129=0,"",IF($C129="Proteina",SUMIFS(Media_Cliente_Mes!$D$2:$D$145,Media_Cliente_Mes!$A$2:$A$145,$A129,Media_Cliente_Mes!$B$2:$B$145,$B129),IF($C129="Umidade",SUMIFS(Media_Cliente_Mes!$E$2:$E$145,Media_Cliente_Mes!$A$2:$A$145,$A129,Media_Cliente_Mes!$B$2:$B$145,$B129),SUMIFS(Media_Cliente_Mes!$F$2:$F$145,Media_Cliente_Mes!$A$2:$A$145,$A129,Media_Cliente_Mes!$B$2:$B$145,$B129))))</f>
        <v>12.7232038057244</v>
      </c>
      <c r="F129" s="35" t="n">
        <f aca="false">INDEX(Parametros_ANEC73!$C$4:$C$6,MATCH($C129,Parametros_ANEC73!$A$4:$A$6,0))</f>
        <v>12.5</v>
      </c>
      <c r="G129" s="35" t="n">
        <f aca="false">IF($C129="Proteina",INDEX(Media_Pool_Mes!$C$2:$C$13,MATCH($B129,Media_Pool_Mes!$A$2:$A$13,0)),IF($C129="Umidade",INDEX(Media_Pool_Mes!$D$2:$D$13,MATCH($B129,Media_Pool_Mes!$A$2:$A$13,0)),INDEX(Media_Pool_Mes!$E$2:$E$13,MATCH($B129,Media_Pool_Mes!$A$2:$A$13,0))))</f>
        <v>12.2356489048309</v>
      </c>
      <c r="H129" s="37" t="n">
        <f aca="false">INDEX(Parametros_ANEC73!$B$4:$B$6,MATCH($C129,Parametros_ANEC73!$A$4:$A$6,0))</f>
        <v>1</v>
      </c>
      <c r="I129" s="38" t="n">
        <f aca="false">IF(OR($D129=0,$G129=""),"",IF($H129*($G129-$F129)&gt;0,$G129,$F129))</f>
        <v>12.5</v>
      </c>
      <c r="J129" s="27" t="str">
        <f aca="false">IF(OR($D129=0,$G129=""),"",IF($H129*($G129-$F129)&gt;0,"Sim","Nao"))</f>
        <v>Nao</v>
      </c>
      <c r="K129" s="27" t="str">
        <f aca="false">IF(OR($D129=0,$G129=""),"",IF(AND($H129*($E129-$F129)&gt;0,$H129*($E129-$G129)&gt;0),"Sim","Nao"))</f>
        <v>Sim</v>
      </c>
      <c r="L129" s="38" t="n">
        <f aca="false">IF(OR($D129=0,$G129=""),0,IF($K129="Sim",MAX(0,$H129*($E129-$I129)),0))</f>
        <v>0.223203805724364</v>
      </c>
      <c r="M129" s="35" t="n">
        <f aca="false">INDEX(Parametros_ANEC73!$G$4:$G$6,MATCH($C129,Parametros_ANEC73!$A$4:$A$6,0))</f>
        <v>0</v>
      </c>
      <c r="N129" s="38" t="n">
        <f aca="false">IF(OR($D129=0,$G129=""),0,IF(AND($K129="Sim",$M129&lt;&gt;""),MAX(0,$H129*($E129-$M129)),0))</f>
        <v>0</v>
      </c>
      <c r="O129" s="35" t="n">
        <f aca="false">INDEX(Parametros_ANEC73!$J$4:$J$6,MATCH($C129,Parametros_ANEC73!$A$4:$A$6,0))</f>
        <v>0</v>
      </c>
      <c r="P129" s="38" t="n">
        <f aca="false">IF(OR($D129=0,$G129=""),0,IF(AND($K129="Sim",$O129&lt;&gt;""),MAX(0,$H129*($E129-$O129)),0))</f>
        <v>0</v>
      </c>
      <c r="Q129" s="35" t="n">
        <f aca="false">INDEX(Parametros_ANEC73!$F$4:$F$6,MATCH($C129,Parametros_ANEC73!$A$4:$A$6,0))</f>
        <v>1</v>
      </c>
      <c r="R129" s="35" t="n">
        <f aca="false">INDEX(Parametros_ANEC73!$I$4:$I$6,MATCH($C129,Parametros_ANEC73!$A$4:$A$6,0))</f>
        <v>0</v>
      </c>
      <c r="S129" s="35" t="n">
        <f aca="false">INDEX(Parametros_ANEC73!$L$4:$L$6,MATCH($C129,Parametros_ANEC73!$A$4:$A$6,0))</f>
        <v>0</v>
      </c>
      <c r="T129" s="39" t="n">
        <f aca="false">INDEX(Parametros_ANEC73!$B$14:$B$25,MATCH($B129,Parametros_ANEC73!$A$14:$A$25,0))</f>
        <v>326</v>
      </c>
      <c r="U129" s="40" t="n">
        <f aca="false">IF(OR($D129=0,$G129=""),0,$D129*($T129/100)*($L129*$Q129+$N129*(IF($R129="",$Q129,$R129)-$Q129)+$P129*(IF($S129="",IF($R129="",$Q129,$R129),$S129)-IF($R129="",$Q129,$R129))))</f>
        <v>4151.27682800003</v>
      </c>
      <c r="V129" s="41" t="str">
        <f aca="false">IF(OR($D129=0,$G129=""),"",IF($H129*($E129-INDEX(Parametros_ANEC73!$M$4:$M$6,MATCH($C129,Parametros_ANEC73!$A$4:$A$6,0)))&gt;0,"Sim","Nao"))</f>
        <v>Nao</v>
      </c>
      <c r="W129" s="27" t="str">
        <f aca="false">$A129&amp;"|"&amp;$B129&amp;"|"&amp;$C129</f>
        <v>Cargill|Jul|Umidade</v>
      </c>
    </row>
    <row r="130" customFormat="false" ht="15" hidden="false" customHeight="false" outlineLevel="0" collapsed="false">
      <c r="A130" s="27" t="s">
        <v>42</v>
      </c>
      <c r="B130" s="27" t="s">
        <v>64</v>
      </c>
      <c r="C130" s="27" t="s">
        <v>111</v>
      </c>
      <c r="D130" s="34" t="n">
        <f aca="false">SUMIFS(Media_Cliente_Mes!$C$2:$C$145,Media_Cliente_Mes!$A$2:$A$145,$A130,Media_Cliente_Mes!$B$2:$B$145,$B130)</f>
        <v>5705.09</v>
      </c>
      <c r="E130" s="35" t="n">
        <f aca="false">IF($D130=0,"",IF($C130="Proteina",SUMIFS(Media_Cliente_Mes!$D$2:$D$145,Media_Cliente_Mes!$A$2:$A$145,$A130,Media_Cliente_Mes!$B$2:$B$145,$B130),IF($C130="Umidade",SUMIFS(Media_Cliente_Mes!$E$2:$E$145,Media_Cliente_Mes!$A$2:$A$145,$A130,Media_Cliente_Mes!$B$2:$B$145,$B130),SUMIFS(Media_Cliente_Mes!$F$2:$F$145,Media_Cliente_Mes!$A$2:$A$145,$A130,Media_Cliente_Mes!$B$2:$B$145,$B130))))</f>
        <v>3.89869810993341</v>
      </c>
      <c r="F130" s="35" t="n">
        <f aca="false">INDEX(Parametros_ANEC73!$C$4:$C$6,MATCH($C130,Parametros_ANEC73!$A$4:$A$6,0))</f>
        <v>3.5</v>
      </c>
      <c r="G130" s="35" t="n">
        <f aca="false">IF($C130="Proteina",INDEX(Media_Pool_Mes!$C$2:$C$13,MATCH($B130,Media_Pool_Mes!$A$2:$A$13,0)),IF($C130="Umidade",INDEX(Media_Pool_Mes!$D$2:$D$13,MATCH($B130,Media_Pool_Mes!$A$2:$A$13,0)),INDEX(Media_Pool_Mes!$E$2:$E$13,MATCH($B130,Media_Pool_Mes!$A$2:$A$13,0))))</f>
        <v>3.48415625565953</v>
      </c>
      <c r="H130" s="37" t="n">
        <f aca="false">INDEX(Parametros_ANEC73!$B$4:$B$6,MATCH($C130,Parametros_ANEC73!$A$4:$A$6,0))</f>
        <v>1</v>
      </c>
      <c r="I130" s="38" t="n">
        <f aca="false">IF(OR($D130=0,$G130=""),"",IF($H130*($G130-$F130)&gt;0,$G130,$F130))</f>
        <v>3.5</v>
      </c>
      <c r="J130" s="27" t="str">
        <f aca="false">IF(OR($D130=0,$G130=""),"",IF($H130*($G130-$F130)&gt;0,"Sim","Nao"))</f>
        <v>Nao</v>
      </c>
      <c r="K130" s="27" t="str">
        <f aca="false">IF(OR($D130=0,$G130=""),"",IF(AND($H130*($E130-$F130)&gt;0,$H130*($E130-$G130)&gt;0),"Sim","Nao"))</f>
        <v>Sim</v>
      </c>
      <c r="L130" s="38" t="n">
        <f aca="false">IF(OR($D130=0,$G130=""),0,IF($K130="Sim",MAX(0,$H130*($E130-$I130)),0))</f>
        <v>0.39869810993341</v>
      </c>
      <c r="M130" s="35" t="n">
        <f aca="false">INDEX(Parametros_ANEC73!$G$4:$G$6,MATCH($C130,Parametros_ANEC73!$A$4:$A$6,0))</f>
        <v>3.8</v>
      </c>
      <c r="N130" s="38" t="n">
        <f aca="false">IF(OR($D130=0,$G130=""),0,IF(AND($K130="Sim",$M130&lt;&gt;""),MAX(0,$H130*($E130-$M130)),0))</f>
        <v>0.0986981099334106</v>
      </c>
      <c r="O130" s="35" t="n">
        <f aca="false">INDEX(Parametros_ANEC73!$J$4:$J$6,MATCH($C130,Parametros_ANEC73!$A$4:$A$6,0))</f>
        <v>4</v>
      </c>
      <c r="P130" s="38" t="n">
        <f aca="false">IF(OR($D130=0,$G130=""),0,IF(AND($K130="Sim",$O130&lt;&gt;""),MAX(0,$H130*($E130-$O130)),0))</f>
        <v>0</v>
      </c>
      <c r="Q130" s="35" t="n">
        <f aca="false">INDEX(Parametros_ANEC73!$F$4:$F$6,MATCH($C130,Parametros_ANEC73!$A$4:$A$6,0))</f>
        <v>1</v>
      </c>
      <c r="R130" s="35" t="n">
        <f aca="false">INDEX(Parametros_ANEC73!$I$4:$I$6,MATCH($C130,Parametros_ANEC73!$A$4:$A$6,0))</f>
        <v>1.5</v>
      </c>
      <c r="S130" s="35" t="n">
        <f aca="false">INDEX(Parametros_ANEC73!$L$4:$L$6,MATCH($C130,Parametros_ANEC73!$A$4:$A$6,0))</f>
        <v>2</v>
      </c>
      <c r="T130" s="39" t="n">
        <f aca="false">INDEX(Parametros_ANEC73!$B$14:$B$25,MATCH($B130,Parametros_ANEC73!$A$14:$A$25,0))</f>
        <v>326</v>
      </c>
      <c r="U130" s="40" t="n">
        <f aca="false">IF(OR($D130=0,$G130=""),0,$D130*($T130/100)*($L130*$Q130+$N130*(IF($R130="",$Q130,$R130)-$Q130)+$P130*(IF($S130="",IF($R130="",$Q130,$R130),$S130)-IF($R130="",$Q130,$R130))))</f>
        <v>8333.047044</v>
      </c>
      <c r="V130" s="41" t="str">
        <f aca="false">IF(OR($D130=0,$G130=""),"",IF($H130*($E130-INDEX(Parametros_ANEC73!$M$4:$M$6,MATCH($C130,Parametros_ANEC73!$A$4:$A$6,0)))&gt;0,"Sim","Nao"))</f>
        <v>Nao</v>
      </c>
      <c r="W130" s="27" t="str">
        <f aca="false">$A130&amp;"|"&amp;$B130&amp;"|"&amp;$C130</f>
        <v>Cargill|Jul|Fibra</v>
      </c>
    </row>
    <row r="131" customFormat="false" ht="15" hidden="false" customHeight="false" outlineLevel="0" collapsed="false">
      <c r="A131" s="27" t="s">
        <v>42</v>
      </c>
      <c r="B131" s="27" t="s">
        <v>65</v>
      </c>
      <c r="C131" s="27" t="s">
        <v>109</v>
      </c>
      <c r="D131" s="34" t="n">
        <f aca="false">SUMIFS(Media_Cliente_Mes!$C$2:$C$145,Media_Cliente_Mes!$A$2:$A$145,$A131,Media_Cliente_Mes!$B$2:$B$145,$B131)</f>
        <v>5005.2</v>
      </c>
      <c r="E131" s="35" t="n">
        <f aca="false">IF($D131=0,"",IF($C131="Proteina",SUMIFS(Media_Cliente_Mes!$D$2:$D$145,Media_Cliente_Mes!$A$2:$A$145,$A131,Media_Cliente_Mes!$B$2:$B$145,$B131),IF($C131="Umidade",SUMIFS(Media_Cliente_Mes!$E$2:$E$145,Media_Cliente_Mes!$A$2:$A$145,$A131,Media_Cliente_Mes!$B$2:$B$145,$B131),SUMIFS(Media_Cliente_Mes!$F$2:$F$145,Media_Cliente_Mes!$A$2:$A$145,$A131,Media_Cliente_Mes!$B$2:$B$145,$B131))))</f>
        <v>47.1574070566611</v>
      </c>
      <c r="F131" s="35" t="n">
        <f aca="false">INDEX(Parametros_ANEC73!$C$4:$C$6,MATCH($C131,Parametros_ANEC73!$A$4:$A$6,0))</f>
        <v>48</v>
      </c>
      <c r="G131" s="35" t="n">
        <f aca="false">IF($C131="Proteina",INDEX(Media_Pool_Mes!$C$2:$C$13,MATCH($B131,Media_Pool_Mes!$A$2:$A$13,0)),IF($C131="Umidade",INDEX(Media_Pool_Mes!$D$2:$D$13,MATCH($B131,Media_Pool_Mes!$A$2:$A$13,0)),INDEX(Media_Pool_Mes!$E$2:$E$13,MATCH($B131,Media_Pool_Mes!$A$2:$A$13,0))))</f>
        <v>47.3199561197423</v>
      </c>
      <c r="H131" s="37" t="n">
        <f aca="false">INDEX(Parametros_ANEC73!$B$4:$B$6,MATCH($C131,Parametros_ANEC73!$A$4:$A$6,0))</f>
        <v>-1</v>
      </c>
      <c r="I131" s="38" t="n">
        <f aca="false">IF(OR($D131=0,$G131=""),"",IF($H131*($G131-$F131)&gt;0,$G131,$F131))</f>
        <v>47.3199561197423</v>
      </c>
      <c r="J131" s="27" t="str">
        <f aca="false">IF(OR($D131=0,$G131=""),"",IF($H131*($G131-$F131)&gt;0,"Sim","Nao"))</f>
        <v>Sim</v>
      </c>
      <c r="K131" s="27" t="str">
        <f aca="false">IF(OR($D131=0,$G131=""),"",IF(AND($H131*($E131-$F131)&gt;0,$H131*($E131-$G131)&gt;0),"Sim","Nao"))</f>
        <v>Sim</v>
      </c>
      <c r="L131" s="38" t="n">
        <f aca="false">IF(OR($D131=0,$G131=""),0,IF($K131="Sim",MAX(0,$H131*($E131-$I131)),0))</f>
        <v>0.162549063081201</v>
      </c>
      <c r="M131" s="35" t="n">
        <f aca="false">INDEX(Parametros_ANEC73!$G$4:$G$6,MATCH($C131,Parametros_ANEC73!$A$4:$A$6,0))</f>
        <v>47</v>
      </c>
      <c r="N131" s="38" t="n">
        <f aca="false">IF(OR($D131=0,$G131=""),0,IF(AND($K131="Sim",$M131&lt;&gt;""),MAX(0,$H131*($E131-$M131)),0))</f>
        <v>0</v>
      </c>
      <c r="O131" s="35" t="n">
        <f aca="false">INDEX(Parametros_ANEC73!$J$4:$J$6,MATCH($C131,Parametros_ANEC73!$A$4:$A$6,0))</f>
        <v>0</v>
      </c>
      <c r="P131" s="38" t="n">
        <f aca="false">IF(OR($D131=0,$G131=""),0,IF(AND($K131="Sim",$O131&lt;&gt;""),MAX(0,$H131*($E131-$O131)),0))</f>
        <v>0</v>
      </c>
      <c r="Q131" s="35" t="n">
        <f aca="false">INDEX(Parametros_ANEC73!$F$4:$F$6,MATCH($C131,Parametros_ANEC73!$A$4:$A$6,0))</f>
        <v>1</v>
      </c>
      <c r="R131" s="35" t="n">
        <f aca="false">INDEX(Parametros_ANEC73!$I$4:$I$6,MATCH($C131,Parametros_ANEC73!$A$4:$A$6,0))</f>
        <v>2</v>
      </c>
      <c r="S131" s="35" t="n">
        <f aca="false">INDEX(Parametros_ANEC73!$L$4:$L$6,MATCH($C131,Parametros_ANEC73!$A$4:$A$6,0))</f>
        <v>0</v>
      </c>
      <c r="T131" s="39" t="n">
        <f aca="false">INDEX(Parametros_ANEC73!$B$14:$B$25,MATCH($B131,Parametros_ANEC73!$A$14:$A$25,0))</f>
        <v>326</v>
      </c>
      <c r="U131" s="40" t="n">
        <f aca="false">IF(OR($D131=0,$G131=""),0,$D131*($T131/100)*($L131*$Q131+$N131*(IF($R131="",$Q131,$R131)-$Q131)+$P131*(IF($S131="",IF($R131="",$Q131,$R131),$S131)-IF($R131="",$Q131,$R131))))</f>
        <v>2652.30525994093</v>
      </c>
      <c r="V131" s="41" t="str">
        <f aca="false">IF(OR($D131=0,$G131=""),"",IF($H131*($E131-INDEX(Parametros_ANEC73!$M$4:$M$6,MATCH($C131,Parametros_ANEC73!$A$4:$A$6,0)))&gt;0,"Sim","Nao"))</f>
        <v>Nao</v>
      </c>
      <c r="W131" s="27" t="str">
        <f aca="false">$A131&amp;"|"&amp;$B131&amp;"|"&amp;$C131</f>
        <v>Cargill|Ago|Proteina</v>
      </c>
    </row>
    <row r="132" customFormat="false" ht="15" hidden="false" customHeight="false" outlineLevel="0" collapsed="false">
      <c r="A132" s="27" t="s">
        <v>42</v>
      </c>
      <c r="B132" s="27" t="s">
        <v>65</v>
      </c>
      <c r="C132" s="27" t="s">
        <v>110</v>
      </c>
      <c r="D132" s="34" t="n">
        <f aca="false">SUMIFS(Media_Cliente_Mes!$C$2:$C$145,Media_Cliente_Mes!$A$2:$A$145,$A132,Media_Cliente_Mes!$B$2:$B$145,$B132)</f>
        <v>5005.2</v>
      </c>
      <c r="E132" s="35" t="n">
        <f aca="false">IF($D132=0,"",IF($C132="Proteina",SUMIFS(Media_Cliente_Mes!$D$2:$D$145,Media_Cliente_Mes!$A$2:$A$145,$A132,Media_Cliente_Mes!$B$2:$B$145,$B132),IF($C132="Umidade",SUMIFS(Media_Cliente_Mes!$E$2:$E$145,Media_Cliente_Mes!$A$2:$A$145,$A132,Media_Cliente_Mes!$B$2:$B$145,$B132),SUMIFS(Media_Cliente_Mes!$F$2:$F$145,Media_Cliente_Mes!$A$2:$A$145,$A132,Media_Cliente_Mes!$B$2:$B$145,$B132))))</f>
        <v>12.3512501198753</v>
      </c>
      <c r="F132" s="35" t="n">
        <f aca="false">INDEX(Parametros_ANEC73!$C$4:$C$6,MATCH($C132,Parametros_ANEC73!$A$4:$A$6,0))</f>
        <v>12.5</v>
      </c>
      <c r="G132" s="35" t="n">
        <f aca="false">IF($C132="Proteina",INDEX(Media_Pool_Mes!$C$2:$C$13,MATCH($B132,Media_Pool_Mes!$A$2:$A$13,0)),IF($C132="Umidade",INDEX(Media_Pool_Mes!$D$2:$D$13,MATCH($B132,Media_Pool_Mes!$A$2:$A$13,0)),INDEX(Media_Pool_Mes!$E$2:$E$13,MATCH($B132,Media_Pool_Mes!$A$2:$A$13,0))))</f>
        <v>12.2068387200965</v>
      </c>
      <c r="H132" s="37" t="n">
        <f aca="false">INDEX(Parametros_ANEC73!$B$4:$B$6,MATCH($C132,Parametros_ANEC73!$A$4:$A$6,0))</f>
        <v>1</v>
      </c>
      <c r="I132" s="38" t="n">
        <f aca="false">IF(OR($D132=0,$G132=""),"",IF($H132*($G132-$F132)&gt;0,$G132,$F132))</f>
        <v>12.5</v>
      </c>
      <c r="J132" s="27" t="str">
        <f aca="false">IF(OR($D132=0,$G132=""),"",IF($H132*($G132-$F132)&gt;0,"Sim","Nao"))</f>
        <v>Nao</v>
      </c>
      <c r="K132" s="27" t="str">
        <f aca="false">IF(OR($D132=0,$G132=""),"",IF(AND($H132*($E132-$F132)&gt;0,$H132*($E132-$G132)&gt;0),"Sim","Nao"))</f>
        <v>Nao</v>
      </c>
      <c r="L132" s="38" t="n">
        <f aca="false">IF(OR($D132=0,$G132=""),0,IF($K132="Sim",MAX(0,$H132*($E132-$I132)),0))</f>
        <v>0</v>
      </c>
      <c r="M132" s="35" t="n">
        <f aca="false">INDEX(Parametros_ANEC73!$G$4:$G$6,MATCH($C132,Parametros_ANEC73!$A$4:$A$6,0))</f>
        <v>0</v>
      </c>
      <c r="N132" s="38" t="n">
        <f aca="false">IF(OR($D132=0,$G132=""),0,IF(AND($K132="Sim",$M132&lt;&gt;""),MAX(0,$H132*($E132-$M132)),0))</f>
        <v>0</v>
      </c>
      <c r="O132" s="35" t="n">
        <f aca="false">INDEX(Parametros_ANEC73!$J$4:$J$6,MATCH($C132,Parametros_ANEC73!$A$4:$A$6,0))</f>
        <v>0</v>
      </c>
      <c r="P132" s="38" t="n">
        <f aca="false">IF(OR($D132=0,$G132=""),0,IF(AND($K132="Sim",$O132&lt;&gt;""),MAX(0,$H132*($E132-$O132)),0))</f>
        <v>0</v>
      </c>
      <c r="Q132" s="35" t="n">
        <f aca="false">INDEX(Parametros_ANEC73!$F$4:$F$6,MATCH($C132,Parametros_ANEC73!$A$4:$A$6,0))</f>
        <v>1</v>
      </c>
      <c r="R132" s="35" t="n">
        <f aca="false">INDEX(Parametros_ANEC73!$I$4:$I$6,MATCH($C132,Parametros_ANEC73!$A$4:$A$6,0))</f>
        <v>0</v>
      </c>
      <c r="S132" s="35" t="n">
        <f aca="false">INDEX(Parametros_ANEC73!$L$4:$L$6,MATCH($C132,Parametros_ANEC73!$A$4:$A$6,0))</f>
        <v>0</v>
      </c>
      <c r="T132" s="39" t="n">
        <f aca="false">INDEX(Parametros_ANEC73!$B$14:$B$25,MATCH($B132,Parametros_ANEC73!$A$14:$A$25,0))</f>
        <v>326</v>
      </c>
      <c r="U132" s="40" t="n">
        <f aca="false">IF(OR($D132=0,$G132=""),0,$D132*($T132/100)*($L132*$Q132+$N132*(IF($R132="",$Q132,$R132)-$Q132)+$P132*(IF($S132="",IF($R132="",$Q132,$R132),$S132)-IF($R132="",$Q132,$R132))))</f>
        <v>0</v>
      </c>
      <c r="V132" s="41" t="str">
        <f aca="false">IF(OR($D132=0,$G132=""),"",IF($H132*($E132-INDEX(Parametros_ANEC73!$M$4:$M$6,MATCH($C132,Parametros_ANEC73!$A$4:$A$6,0)))&gt;0,"Sim","Nao"))</f>
        <v>Nao</v>
      </c>
      <c r="W132" s="27" t="str">
        <f aca="false">$A132&amp;"|"&amp;$B132&amp;"|"&amp;$C132</f>
        <v>Cargill|Ago|Umidade</v>
      </c>
    </row>
    <row r="133" customFormat="false" ht="15" hidden="false" customHeight="false" outlineLevel="0" collapsed="false">
      <c r="A133" s="27" t="s">
        <v>42</v>
      </c>
      <c r="B133" s="27" t="s">
        <v>65</v>
      </c>
      <c r="C133" s="27" t="s">
        <v>111</v>
      </c>
      <c r="D133" s="34" t="n">
        <f aca="false">SUMIFS(Media_Cliente_Mes!$C$2:$C$145,Media_Cliente_Mes!$A$2:$A$145,$A133,Media_Cliente_Mes!$B$2:$B$145,$B133)</f>
        <v>5005.2</v>
      </c>
      <c r="E133" s="35" t="n">
        <f aca="false">IF($D133=0,"",IF($C133="Proteina",SUMIFS(Media_Cliente_Mes!$D$2:$D$145,Media_Cliente_Mes!$A$2:$A$145,$A133,Media_Cliente_Mes!$B$2:$B$145,$B133),IF($C133="Umidade",SUMIFS(Media_Cliente_Mes!$E$2:$E$145,Media_Cliente_Mes!$A$2:$A$145,$A133,Media_Cliente_Mes!$B$2:$B$145,$B133),SUMIFS(Media_Cliente_Mes!$F$2:$F$145,Media_Cliente_Mes!$A$2:$A$145,$A133,Media_Cliente_Mes!$B$2:$B$145,$B133))))</f>
        <v>3.92197017102214</v>
      </c>
      <c r="F133" s="35" t="n">
        <f aca="false">INDEX(Parametros_ANEC73!$C$4:$C$6,MATCH($C133,Parametros_ANEC73!$A$4:$A$6,0))</f>
        <v>3.5</v>
      </c>
      <c r="G133" s="35" t="n">
        <f aca="false">IF($C133="Proteina",INDEX(Media_Pool_Mes!$C$2:$C$13,MATCH($B133,Media_Pool_Mes!$A$2:$A$13,0)),IF($C133="Umidade",INDEX(Media_Pool_Mes!$D$2:$D$13,MATCH($B133,Media_Pool_Mes!$A$2:$A$13,0)),INDEX(Media_Pool_Mes!$E$2:$E$13,MATCH($B133,Media_Pool_Mes!$A$2:$A$13,0))))</f>
        <v>3.7692688740906</v>
      </c>
      <c r="H133" s="37" t="n">
        <f aca="false">INDEX(Parametros_ANEC73!$B$4:$B$6,MATCH($C133,Parametros_ANEC73!$A$4:$A$6,0))</f>
        <v>1</v>
      </c>
      <c r="I133" s="38" t="n">
        <f aca="false">IF(OR($D133=0,$G133=""),"",IF($H133*($G133-$F133)&gt;0,$G133,$F133))</f>
        <v>3.7692688740906</v>
      </c>
      <c r="J133" s="27" t="str">
        <f aca="false">IF(OR($D133=0,$G133=""),"",IF($H133*($G133-$F133)&gt;0,"Sim","Nao"))</f>
        <v>Sim</v>
      </c>
      <c r="K133" s="27" t="str">
        <f aca="false">IF(OR($D133=0,$G133=""),"",IF(AND($H133*($E133-$F133)&gt;0,$H133*($E133-$G133)&gt;0),"Sim","Nao"))</f>
        <v>Sim</v>
      </c>
      <c r="L133" s="38" t="n">
        <f aca="false">IF(OR($D133=0,$G133=""),0,IF($K133="Sim",MAX(0,$H133*($E133-$I133)),0))</f>
        <v>0.152701296931539</v>
      </c>
      <c r="M133" s="35" t="n">
        <f aca="false">INDEX(Parametros_ANEC73!$G$4:$G$6,MATCH($C133,Parametros_ANEC73!$A$4:$A$6,0))</f>
        <v>3.8</v>
      </c>
      <c r="N133" s="38" t="n">
        <f aca="false">IF(OR($D133=0,$G133=""),0,IF(AND($K133="Sim",$M133&lt;&gt;""),MAX(0,$H133*($E133-$M133)),0))</f>
        <v>0.121970171022137</v>
      </c>
      <c r="O133" s="35" t="n">
        <f aca="false">INDEX(Parametros_ANEC73!$J$4:$J$6,MATCH($C133,Parametros_ANEC73!$A$4:$A$6,0))</f>
        <v>4</v>
      </c>
      <c r="P133" s="38" t="n">
        <f aca="false">IF(OR($D133=0,$G133=""),0,IF(AND($K133="Sim",$O133&lt;&gt;""),MAX(0,$H133*($E133-$O133)),0))</f>
        <v>0</v>
      </c>
      <c r="Q133" s="35" t="n">
        <f aca="false">INDEX(Parametros_ANEC73!$F$4:$F$6,MATCH($C133,Parametros_ANEC73!$A$4:$A$6,0))</f>
        <v>1</v>
      </c>
      <c r="R133" s="35" t="n">
        <f aca="false">INDEX(Parametros_ANEC73!$I$4:$I$6,MATCH($C133,Parametros_ANEC73!$A$4:$A$6,0))</f>
        <v>1.5</v>
      </c>
      <c r="S133" s="35" t="n">
        <f aca="false">INDEX(Parametros_ANEC73!$L$4:$L$6,MATCH($C133,Parametros_ANEC73!$A$4:$A$6,0))</f>
        <v>2</v>
      </c>
      <c r="T133" s="39" t="n">
        <f aca="false">INDEX(Parametros_ANEC73!$B$14:$B$25,MATCH($B133,Parametros_ANEC73!$A$14:$A$25,0))</f>
        <v>326</v>
      </c>
      <c r="U133" s="40" t="n">
        <f aca="false">IF(OR($D133=0,$G133=""),0,$D133*($T133/100)*($L133*$Q133+$N133*(IF($R133="",$Q133,$R133)-$Q133)+$P133*(IF($S133="",IF($R133="",$Q133,$R133),$S133)-IF($R133="",$Q133,$R133))))</f>
        <v>3486.71044536968</v>
      </c>
      <c r="V133" s="41" t="str">
        <f aca="false">IF(OR($D133=0,$G133=""),"",IF($H133*($E133-INDEX(Parametros_ANEC73!$M$4:$M$6,MATCH($C133,Parametros_ANEC73!$A$4:$A$6,0)))&gt;0,"Sim","Nao"))</f>
        <v>Nao</v>
      </c>
      <c r="W133" s="27" t="str">
        <f aca="false">$A133&amp;"|"&amp;$B133&amp;"|"&amp;$C133</f>
        <v>Cargill|Ago|Fibra</v>
      </c>
    </row>
    <row r="134" customFormat="false" ht="15" hidden="false" customHeight="false" outlineLevel="0" collapsed="false">
      <c r="A134" s="27" t="s">
        <v>42</v>
      </c>
      <c r="B134" s="27" t="s">
        <v>66</v>
      </c>
      <c r="C134" s="27" t="s">
        <v>109</v>
      </c>
      <c r="D134" s="34" t="n">
        <f aca="false">SUMIFS(Media_Cliente_Mes!$C$2:$C$145,Media_Cliente_Mes!$A$2:$A$145,$A134,Media_Cliente_Mes!$B$2:$B$145,$B134)</f>
        <v>229.82</v>
      </c>
      <c r="E134" s="35" t="n">
        <f aca="false">IF($D134=0,"",IF($C134="Proteina",SUMIFS(Media_Cliente_Mes!$D$2:$D$145,Media_Cliente_Mes!$A$2:$A$145,$A134,Media_Cliente_Mes!$B$2:$B$145,$B134),IF($C134="Umidade",SUMIFS(Media_Cliente_Mes!$E$2:$E$145,Media_Cliente_Mes!$A$2:$A$145,$A134,Media_Cliente_Mes!$B$2:$B$145,$B134),SUMIFS(Media_Cliente_Mes!$F$2:$F$145,Media_Cliente_Mes!$A$2:$A$145,$A134,Media_Cliente_Mes!$B$2:$B$145,$B134))))</f>
        <v>47.26</v>
      </c>
      <c r="F134" s="35" t="n">
        <f aca="false">INDEX(Parametros_ANEC73!$C$4:$C$6,MATCH($C134,Parametros_ANEC73!$A$4:$A$6,0))</f>
        <v>48</v>
      </c>
      <c r="G134" s="35" t="n">
        <f aca="false">IF($C134="Proteina",INDEX(Media_Pool_Mes!$C$2:$C$13,MATCH($B134,Media_Pool_Mes!$A$2:$A$13,0)),IF($C134="Umidade",INDEX(Media_Pool_Mes!$D$2:$D$13,MATCH($B134,Media_Pool_Mes!$A$2:$A$13,0)),INDEX(Media_Pool_Mes!$E$2:$E$13,MATCH($B134,Media_Pool_Mes!$A$2:$A$13,0))))</f>
        <v>47.5387514497333</v>
      </c>
      <c r="H134" s="37" t="n">
        <f aca="false">INDEX(Parametros_ANEC73!$B$4:$B$6,MATCH($C134,Parametros_ANEC73!$A$4:$A$6,0))</f>
        <v>-1</v>
      </c>
      <c r="I134" s="38" t="n">
        <f aca="false">IF(OR($D134=0,$G134=""),"",IF($H134*($G134-$F134)&gt;0,$G134,$F134))</f>
        <v>47.5387514497333</v>
      </c>
      <c r="J134" s="27" t="str">
        <f aca="false">IF(OR($D134=0,$G134=""),"",IF($H134*($G134-$F134)&gt;0,"Sim","Nao"))</f>
        <v>Sim</v>
      </c>
      <c r="K134" s="27" t="str">
        <f aca="false">IF(OR($D134=0,$G134=""),"",IF(AND($H134*($E134-$F134)&gt;0,$H134*($E134-$G134)&gt;0),"Sim","Nao"))</f>
        <v>Sim</v>
      </c>
      <c r="L134" s="38" t="n">
        <f aca="false">IF(OR($D134=0,$G134=""),0,IF($K134="Sim",MAX(0,$H134*($E134-$I134)),0))</f>
        <v>0.278751449733271</v>
      </c>
      <c r="M134" s="35" t="n">
        <f aca="false">INDEX(Parametros_ANEC73!$G$4:$G$6,MATCH($C134,Parametros_ANEC73!$A$4:$A$6,0))</f>
        <v>47</v>
      </c>
      <c r="N134" s="38" t="n">
        <f aca="false">IF(OR($D134=0,$G134=""),0,IF(AND($K134="Sim",$M134&lt;&gt;""),MAX(0,$H134*($E134-$M134)),0))</f>
        <v>0</v>
      </c>
      <c r="O134" s="35" t="n">
        <f aca="false">INDEX(Parametros_ANEC73!$J$4:$J$6,MATCH($C134,Parametros_ANEC73!$A$4:$A$6,0))</f>
        <v>0</v>
      </c>
      <c r="P134" s="38" t="n">
        <f aca="false">IF(OR($D134=0,$G134=""),0,IF(AND($K134="Sim",$O134&lt;&gt;""),MAX(0,$H134*($E134-$O134)),0))</f>
        <v>0</v>
      </c>
      <c r="Q134" s="35" t="n">
        <f aca="false">INDEX(Parametros_ANEC73!$F$4:$F$6,MATCH($C134,Parametros_ANEC73!$A$4:$A$6,0))</f>
        <v>1</v>
      </c>
      <c r="R134" s="35" t="n">
        <f aca="false">INDEX(Parametros_ANEC73!$I$4:$I$6,MATCH($C134,Parametros_ANEC73!$A$4:$A$6,0))</f>
        <v>2</v>
      </c>
      <c r="S134" s="35" t="n">
        <f aca="false">INDEX(Parametros_ANEC73!$L$4:$L$6,MATCH($C134,Parametros_ANEC73!$A$4:$A$6,0))</f>
        <v>0</v>
      </c>
      <c r="T134" s="39" t="n">
        <f aca="false">INDEX(Parametros_ANEC73!$B$14:$B$25,MATCH($B134,Parametros_ANEC73!$A$14:$A$25,0))</f>
        <v>326</v>
      </c>
      <c r="U134" s="40" t="n">
        <f aca="false">IF(OR($D134=0,$G134=""),0,$D134*($T134/100)*($L134*$Q134+$N134*(IF($R134="",$Q134,$R134)-$Q134)+$P134*(IF($S134="",IF($R134="",$Q134,$R134),$S134)-IF($R134="",$Q134,$R134))))</f>
        <v>208.844265659303</v>
      </c>
      <c r="V134" s="41" t="str">
        <f aca="false">IF(OR($D134=0,$G134=""),"",IF($H134*($E134-INDEX(Parametros_ANEC73!$M$4:$M$6,MATCH($C134,Parametros_ANEC73!$A$4:$A$6,0)))&gt;0,"Sim","Nao"))</f>
        <v>Nao</v>
      </c>
      <c r="W134" s="27" t="str">
        <f aca="false">$A134&amp;"|"&amp;$B134&amp;"|"&amp;$C134</f>
        <v>Cargill|Set|Proteina</v>
      </c>
    </row>
    <row r="135" customFormat="false" ht="15" hidden="false" customHeight="false" outlineLevel="0" collapsed="false">
      <c r="A135" s="27" t="s">
        <v>42</v>
      </c>
      <c r="B135" s="27" t="s">
        <v>66</v>
      </c>
      <c r="C135" s="27" t="s">
        <v>110</v>
      </c>
      <c r="D135" s="34" t="n">
        <f aca="false">SUMIFS(Media_Cliente_Mes!$C$2:$C$145,Media_Cliente_Mes!$A$2:$A$145,$A135,Media_Cliente_Mes!$B$2:$B$145,$B135)</f>
        <v>229.82</v>
      </c>
      <c r="E135" s="35" t="n">
        <f aca="false">IF($D135=0,"",IF($C135="Proteina",SUMIFS(Media_Cliente_Mes!$D$2:$D$145,Media_Cliente_Mes!$A$2:$A$145,$A135,Media_Cliente_Mes!$B$2:$B$145,$B135),IF($C135="Umidade",SUMIFS(Media_Cliente_Mes!$E$2:$E$145,Media_Cliente_Mes!$A$2:$A$145,$A135,Media_Cliente_Mes!$B$2:$B$145,$B135),SUMIFS(Media_Cliente_Mes!$F$2:$F$145,Media_Cliente_Mes!$A$2:$A$145,$A135,Media_Cliente_Mes!$B$2:$B$145,$B135))))</f>
        <v>11.78</v>
      </c>
      <c r="F135" s="35" t="n">
        <f aca="false">INDEX(Parametros_ANEC73!$C$4:$C$6,MATCH($C135,Parametros_ANEC73!$A$4:$A$6,0))</f>
        <v>12.5</v>
      </c>
      <c r="G135" s="35" t="n">
        <f aca="false">IF($C135="Proteina",INDEX(Media_Pool_Mes!$C$2:$C$13,MATCH($B135,Media_Pool_Mes!$A$2:$A$13,0)),IF($C135="Umidade",INDEX(Media_Pool_Mes!$D$2:$D$13,MATCH($B135,Media_Pool_Mes!$A$2:$A$13,0)),INDEX(Media_Pool_Mes!$E$2:$E$13,MATCH($B135,Media_Pool_Mes!$A$2:$A$13,0))))</f>
        <v>12.4774576939468</v>
      </c>
      <c r="H135" s="37" t="n">
        <f aca="false">INDEX(Parametros_ANEC73!$B$4:$B$6,MATCH($C135,Parametros_ANEC73!$A$4:$A$6,0))</f>
        <v>1</v>
      </c>
      <c r="I135" s="38" t="n">
        <f aca="false">IF(OR($D135=0,$G135=""),"",IF($H135*($G135-$F135)&gt;0,$G135,$F135))</f>
        <v>12.5</v>
      </c>
      <c r="J135" s="27" t="str">
        <f aca="false">IF(OR($D135=0,$G135=""),"",IF($H135*($G135-$F135)&gt;0,"Sim","Nao"))</f>
        <v>Nao</v>
      </c>
      <c r="K135" s="27" t="str">
        <f aca="false">IF(OR($D135=0,$G135=""),"",IF(AND($H135*($E135-$F135)&gt;0,$H135*($E135-$G135)&gt;0),"Sim","Nao"))</f>
        <v>Nao</v>
      </c>
      <c r="L135" s="38" t="n">
        <f aca="false">IF(OR($D135=0,$G135=""),0,IF($K135="Sim",MAX(0,$H135*($E135-$I135)),0))</f>
        <v>0</v>
      </c>
      <c r="M135" s="35" t="n">
        <f aca="false">INDEX(Parametros_ANEC73!$G$4:$G$6,MATCH($C135,Parametros_ANEC73!$A$4:$A$6,0))</f>
        <v>0</v>
      </c>
      <c r="N135" s="38" t="n">
        <f aca="false">IF(OR($D135=0,$G135=""),0,IF(AND($K135="Sim",$M135&lt;&gt;""),MAX(0,$H135*($E135-$M135)),0))</f>
        <v>0</v>
      </c>
      <c r="O135" s="35" t="n">
        <f aca="false">INDEX(Parametros_ANEC73!$J$4:$J$6,MATCH($C135,Parametros_ANEC73!$A$4:$A$6,0))</f>
        <v>0</v>
      </c>
      <c r="P135" s="38" t="n">
        <f aca="false">IF(OR($D135=0,$G135=""),0,IF(AND($K135="Sim",$O135&lt;&gt;""),MAX(0,$H135*($E135-$O135)),0))</f>
        <v>0</v>
      </c>
      <c r="Q135" s="35" t="n">
        <f aca="false">INDEX(Parametros_ANEC73!$F$4:$F$6,MATCH($C135,Parametros_ANEC73!$A$4:$A$6,0))</f>
        <v>1</v>
      </c>
      <c r="R135" s="35" t="n">
        <f aca="false">INDEX(Parametros_ANEC73!$I$4:$I$6,MATCH($C135,Parametros_ANEC73!$A$4:$A$6,0))</f>
        <v>0</v>
      </c>
      <c r="S135" s="35" t="n">
        <f aca="false">INDEX(Parametros_ANEC73!$L$4:$L$6,MATCH($C135,Parametros_ANEC73!$A$4:$A$6,0))</f>
        <v>0</v>
      </c>
      <c r="T135" s="39" t="n">
        <f aca="false">INDEX(Parametros_ANEC73!$B$14:$B$25,MATCH($B135,Parametros_ANEC73!$A$14:$A$25,0))</f>
        <v>326</v>
      </c>
      <c r="U135" s="40" t="n">
        <f aca="false">IF(OR($D135=0,$G135=""),0,$D135*($T135/100)*($L135*$Q135+$N135*(IF($R135="",$Q135,$R135)-$Q135)+$P135*(IF($S135="",IF($R135="",$Q135,$R135),$S135)-IF($R135="",$Q135,$R135))))</f>
        <v>0</v>
      </c>
      <c r="V135" s="41" t="str">
        <f aca="false">IF(OR($D135=0,$G135=""),"",IF($H135*($E135-INDEX(Parametros_ANEC73!$M$4:$M$6,MATCH($C135,Parametros_ANEC73!$A$4:$A$6,0)))&gt;0,"Sim","Nao"))</f>
        <v>Nao</v>
      </c>
      <c r="W135" s="27" t="str">
        <f aca="false">$A135&amp;"|"&amp;$B135&amp;"|"&amp;$C135</f>
        <v>Cargill|Set|Umidade</v>
      </c>
    </row>
    <row r="136" customFormat="false" ht="15" hidden="false" customHeight="false" outlineLevel="0" collapsed="false">
      <c r="A136" s="27" t="s">
        <v>42</v>
      </c>
      <c r="B136" s="27" t="s">
        <v>66</v>
      </c>
      <c r="C136" s="27" t="s">
        <v>111</v>
      </c>
      <c r="D136" s="34" t="n">
        <f aca="false">SUMIFS(Media_Cliente_Mes!$C$2:$C$145,Media_Cliente_Mes!$A$2:$A$145,$A136,Media_Cliente_Mes!$B$2:$B$145,$B136)</f>
        <v>229.82</v>
      </c>
      <c r="E136" s="35" t="n">
        <f aca="false">IF($D136=0,"",IF($C136="Proteina",SUMIFS(Media_Cliente_Mes!$D$2:$D$145,Media_Cliente_Mes!$A$2:$A$145,$A136,Media_Cliente_Mes!$B$2:$B$145,$B136),IF($C136="Umidade",SUMIFS(Media_Cliente_Mes!$E$2:$E$145,Media_Cliente_Mes!$A$2:$A$145,$A136,Media_Cliente_Mes!$B$2:$B$145,$B136),SUMIFS(Media_Cliente_Mes!$F$2:$F$145,Media_Cliente_Mes!$A$2:$A$145,$A136,Media_Cliente_Mes!$B$2:$B$145,$B136))))</f>
        <v>3.87</v>
      </c>
      <c r="F136" s="35" t="n">
        <f aca="false">INDEX(Parametros_ANEC73!$C$4:$C$6,MATCH($C136,Parametros_ANEC73!$A$4:$A$6,0))</f>
        <v>3.5</v>
      </c>
      <c r="G136" s="35" t="n">
        <f aca="false">IF($C136="Proteina",INDEX(Media_Pool_Mes!$C$2:$C$13,MATCH($B136,Media_Pool_Mes!$A$2:$A$13,0)),IF($C136="Umidade",INDEX(Media_Pool_Mes!$D$2:$D$13,MATCH($B136,Media_Pool_Mes!$A$2:$A$13,0)),INDEX(Media_Pool_Mes!$E$2:$E$13,MATCH($B136,Media_Pool_Mes!$A$2:$A$13,0))))</f>
        <v>3.7061372169236</v>
      </c>
      <c r="H136" s="37" t="n">
        <f aca="false">INDEX(Parametros_ANEC73!$B$4:$B$6,MATCH($C136,Parametros_ANEC73!$A$4:$A$6,0))</f>
        <v>1</v>
      </c>
      <c r="I136" s="38" t="n">
        <f aca="false">IF(OR($D136=0,$G136=""),"",IF($H136*($G136-$F136)&gt;0,$G136,$F136))</f>
        <v>3.7061372169236</v>
      </c>
      <c r="J136" s="27" t="str">
        <f aca="false">IF(OR($D136=0,$G136=""),"",IF($H136*($G136-$F136)&gt;0,"Sim","Nao"))</f>
        <v>Sim</v>
      </c>
      <c r="K136" s="27" t="str">
        <f aca="false">IF(OR($D136=0,$G136=""),"",IF(AND($H136*($E136-$F136)&gt;0,$H136*($E136-$G136)&gt;0),"Sim","Nao"))</f>
        <v>Sim</v>
      </c>
      <c r="L136" s="38" t="n">
        <f aca="false">IF(OR($D136=0,$G136=""),0,IF($K136="Sim",MAX(0,$H136*($E136-$I136)),0))</f>
        <v>0.163862783076404</v>
      </c>
      <c r="M136" s="35" t="n">
        <f aca="false">INDEX(Parametros_ANEC73!$G$4:$G$6,MATCH($C136,Parametros_ANEC73!$A$4:$A$6,0))</f>
        <v>3.8</v>
      </c>
      <c r="N136" s="38" t="n">
        <f aca="false">IF(OR($D136=0,$G136=""),0,IF(AND($K136="Sim",$M136&lt;&gt;""),MAX(0,$H136*($E136-$M136)),0))</f>
        <v>0.0700000000000003</v>
      </c>
      <c r="O136" s="35" t="n">
        <f aca="false">INDEX(Parametros_ANEC73!$J$4:$J$6,MATCH($C136,Parametros_ANEC73!$A$4:$A$6,0))</f>
        <v>4</v>
      </c>
      <c r="P136" s="38" t="n">
        <f aca="false">IF(OR($D136=0,$G136=""),0,IF(AND($K136="Sim",$O136&lt;&gt;""),MAX(0,$H136*($E136-$O136)),0))</f>
        <v>0</v>
      </c>
      <c r="Q136" s="35" t="n">
        <f aca="false">INDEX(Parametros_ANEC73!$F$4:$F$6,MATCH($C136,Parametros_ANEC73!$A$4:$A$6,0))</f>
        <v>1</v>
      </c>
      <c r="R136" s="35" t="n">
        <f aca="false">INDEX(Parametros_ANEC73!$I$4:$I$6,MATCH($C136,Parametros_ANEC73!$A$4:$A$6,0))</f>
        <v>1.5</v>
      </c>
      <c r="S136" s="35" t="n">
        <f aca="false">INDEX(Parametros_ANEC73!$L$4:$L$6,MATCH($C136,Parametros_ANEC73!$A$4:$A$6,0))</f>
        <v>2</v>
      </c>
      <c r="T136" s="39" t="n">
        <f aca="false">INDEX(Parametros_ANEC73!$B$14:$B$25,MATCH($B136,Parametros_ANEC73!$A$14:$A$25,0))</f>
        <v>326</v>
      </c>
      <c r="U136" s="40" t="n">
        <f aca="false">IF(OR($D136=0,$G136=""),0,$D136*($T136/100)*($L136*$Q136+$N136*(IF($R136="",$Q136,$R136)-$Q136)+$P136*(IF($S136="",IF($R136="",$Q136,$R136),$S136)-IF($R136="",$Q136,$R136))))</f>
        <v>148.990622069578</v>
      </c>
      <c r="V136" s="41" t="str">
        <f aca="false">IF(OR($D136=0,$G136=""),"",IF($H136*($E136-INDEX(Parametros_ANEC73!$M$4:$M$6,MATCH($C136,Parametros_ANEC73!$A$4:$A$6,0)))&gt;0,"Sim","Nao"))</f>
        <v>Nao</v>
      </c>
      <c r="W136" s="27" t="str">
        <f aca="false">$A136&amp;"|"&amp;$B136&amp;"|"&amp;$C136</f>
        <v>Cargill|Set|Fibra</v>
      </c>
    </row>
    <row r="137" customFormat="false" ht="15" hidden="false" customHeight="false" outlineLevel="0" collapsed="false">
      <c r="A137" s="27" t="s">
        <v>42</v>
      </c>
      <c r="B137" s="27" t="s">
        <v>67</v>
      </c>
      <c r="C137" s="27" t="s">
        <v>109</v>
      </c>
      <c r="D137" s="34" t="n">
        <f aca="false">SUMIFS(Media_Cliente_Mes!$C$2:$C$145,Media_Cliente_Mes!$A$2:$A$145,$A137,Media_Cliente_Mes!$B$2:$B$145,$B137)</f>
        <v>0</v>
      </c>
      <c r="E137" s="35" t="str">
        <f aca="false">IF($D137=0,"",IF($C137="Proteina",SUMIFS(Media_Cliente_Mes!$D$2:$D$145,Media_Cliente_Mes!$A$2:$A$145,$A137,Media_Cliente_Mes!$B$2:$B$145,$B137),IF($C137="Umidade",SUMIFS(Media_Cliente_Mes!$E$2:$E$145,Media_Cliente_Mes!$A$2:$A$145,$A137,Media_Cliente_Mes!$B$2:$B$145,$B137),SUMIFS(Media_Cliente_Mes!$F$2:$F$145,Media_Cliente_Mes!$A$2:$A$145,$A137,Media_Cliente_Mes!$B$2:$B$145,$B137))))</f>
        <v/>
      </c>
      <c r="F137" s="35" t="n">
        <f aca="false">INDEX(Parametros_ANEC73!$C$4:$C$6,MATCH($C137,Parametros_ANEC73!$A$4:$A$6,0))</f>
        <v>48</v>
      </c>
      <c r="G137" s="35" t="str">
        <f aca="false">IF($C137="Proteina",INDEX(Media_Pool_Mes!$C$2:$C$13,MATCH($B137,Media_Pool_Mes!$A$2:$A$13,0)),IF($C137="Umidade",INDEX(Media_Pool_Mes!$D$2:$D$13,MATCH($B137,Media_Pool_Mes!$A$2:$A$13,0)),INDEX(Media_Pool_Mes!$E$2:$E$13,MATCH($B137,Media_Pool_Mes!$A$2:$A$13,0))))</f>
        <v/>
      </c>
      <c r="H137" s="37" t="n">
        <f aca="false">INDEX(Parametros_ANEC73!$B$4:$B$6,MATCH($C137,Parametros_ANEC73!$A$4:$A$6,0))</f>
        <v>-1</v>
      </c>
      <c r="I137" s="38" t="str">
        <f aca="false">IF(OR($D137=0,$G137=""),"",IF($H137*($G137-$F137)&gt;0,$G137,$F137))</f>
        <v/>
      </c>
      <c r="J137" s="27" t="str">
        <f aca="false">IF(OR($D137=0,$G137=""),"",IF($H137*($G137-$F137)&gt;0,"Sim","Nao"))</f>
        <v/>
      </c>
      <c r="K137" s="27" t="str">
        <f aca="false">IF(OR($D137=0,$G137=""),"",IF(AND($H137*($E137-$F137)&gt;0,$H137*($E137-$G137)&gt;0),"Sim","Nao"))</f>
        <v/>
      </c>
      <c r="L137" s="38" t="n">
        <f aca="false">IF(OR($D137=0,$G137=""),0,IF($K137="Sim",MAX(0,$H137*($E137-$I137)),0))</f>
        <v>0</v>
      </c>
      <c r="M137" s="35" t="n">
        <f aca="false">INDEX(Parametros_ANEC73!$G$4:$G$6,MATCH($C137,Parametros_ANEC73!$A$4:$A$6,0))</f>
        <v>47</v>
      </c>
      <c r="N137" s="38" t="n">
        <f aca="false">IF(OR($D137=0,$G137=""),0,IF(AND($K137="Sim",$M137&lt;&gt;""),MAX(0,$H137*($E137-$M137)),0))</f>
        <v>0</v>
      </c>
      <c r="O137" s="35" t="n">
        <f aca="false">INDEX(Parametros_ANEC73!$J$4:$J$6,MATCH($C137,Parametros_ANEC73!$A$4:$A$6,0))</f>
        <v>0</v>
      </c>
      <c r="P137" s="38" t="n">
        <f aca="false">IF(OR($D137=0,$G137=""),0,IF(AND($K137="Sim",$O137&lt;&gt;""),MAX(0,$H137*($E137-$O137)),0))</f>
        <v>0</v>
      </c>
      <c r="Q137" s="35" t="n">
        <f aca="false">INDEX(Parametros_ANEC73!$F$4:$F$6,MATCH($C137,Parametros_ANEC73!$A$4:$A$6,0))</f>
        <v>1</v>
      </c>
      <c r="R137" s="35" t="n">
        <f aca="false">INDEX(Parametros_ANEC73!$I$4:$I$6,MATCH($C137,Parametros_ANEC73!$A$4:$A$6,0))</f>
        <v>2</v>
      </c>
      <c r="S137" s="35" t="n">
        <f aca="false">INDEX(Parametros_ANEC73!$L$4:$L$6,MATCH($C137,Parametros_ANEC73!$A$4:$A$6,0))</f>
        <v>0</v>
      </c>
      <c r="T137" s="39" t="n">
        <f aca="false">INDEX(Parametros_ANEC73!$B$14:$B$25,MATCH($B137,Parametros_ANEC73!$A$14:$A$25,0))</f>
        <v>0</v>
      </c>
      <c r="U137" s="40" t="n">
        <f aca="false">IF(OR($D137=0,$G137=""),0,$D137*($T137/100)*($L137*$Q137+$N137*(IF($R137="",$Q137,$R137)-$Q137)+$P137*(IF($S137="",IF($R137="",$Q137,$R137),$S137)-IF($R137="",$Q137,$R137))))</f>
        <v>0</v>
      </c>
      <c r="V137" s="41" t="str">
        <f aca="false">IF(OR($D137=0,$G137=""),"",IF($H137*($E137-INDEX(Parametros_ANEC73!$M$4:$M$6,MATCH($C137,Parametros_ANEC73!$A$4:$A$6,0)))&gt;0,"Sim","Nao"))</f>
        <v/>
      </c>
      <c r="W137" s="27" t="str">
        <f aca="false">$A137&amp;"|"&amp;$B137&amp;"|"&amp;$C137</f>
        <v>Cargill|Out|Proteina</v>
      </c>
    </row>
    <row r="138" customFormat="false" ht="15" hidden="false" customHeight="false" outlineLevel="0" collapsed="false">
      <c r="A138" s="27" t="s">
        <v>42</v>
      </c>
      <c r="B138" s="27" t="s">
        <v>67</v>
      </c>
      <c r="C138" s="27" t="s">
        <v>110</v>
      </c>
      <c r="D138" s="34" t="n">
        <f aca="false">SUMIFS(Media_Cliente_Mes!$C$2:$C$145,Media_Cliente_Mes!$A$2:$A$145,$A138,Media_Cliente_Mes!$B$2:$B$145,$B138)</f>
        <v>0</v>
      </c>
      <c r="E138" s="35" t="str">
        <f aca="false">IF($D138=0,"",IF($C138="Proteina",SUMIFS(Media_Cliente_Mes!$D$2:$D$145,Media_Cliente_Mes!$A$2:$A$145,$A138,Media_Cliente_Mes!$B$2:$B$145,$B138),IF($C138="Umidade",SUMIFS(Media_Cliente_Mes!$E$2:$E$145,Media_Cliente_Mes!$A$2:$A$145,$A138,Media_Cliente_Mes!$B$2:$B$145,$B138),SUMIFS(Media_Cliente_Mes!$F$2:$F$145,Media_Cliente_Mes!$A$2:$A$145,$A138,Media_Cliente_Mes!$B$2:$B$145,$B138))))</f>
        <v/>
      </c>
      <c r="F138" s="35" t="n">
        <f aca="false">INDEX(Parametros_ANEC73!$C$4:$C$6,MATCH($C138,Parametros_ANEC73!$A$4:$A$6,0))</f>
        <v>12.5</v>
      </c>
      <c r="G138" s="35" t="str">
        <f aca="false">IF($C138="Proteina",INDEX(Media_Pool_Mes!$C$2:$C$13,MATCH($B138,Media_Pool_Mes!$A$2:$A$13,0)),IF($C138="Umidade",INDEX(Media_Pool_Mes!$D$2:$D$13,MATCH($B138,Media_Pool_Mes!$A$2:$A$13,0)),INDEX(Media_Pool_Mes!$E$2:$E$13,MATCH($B138,Media_Pool_Mes!$A$2:$A$13,0))))</f>
        <v/>
      </c>
      <c r="H138" s="37" t="n">
        <f aca="false">INDEX(Parametros_ANEC73!$B$4:$B$6,MATCH($C138,Parametros_ANEC73!$A$4:$A$6,0))</f>
        <v>1</v>
      </c>
      <c r="I138" s="38" t="str">
        <f aca="false">IF(OR($D138=0,$G138=""),"",IF($H138*($G138-$F138)&gt;0,$G138,$F138))</f>
        <v/>
      </c>
      <c r="J138" s="27" t="str">
        <f aca="false">IF(OR($D138=0,$G138=""),"",IF($H138*($G138-$F138)&gt;0,"Sim","Nao"))</f>
        <v/>
      </c>
      <c r="K138" s="27" t="str">
        <f aca="false">IF(OR($D138=0,$G138=""),"",IF(AND($H138*($E138-$F138)&gt;0,$H138*($E138-$G138)&gt;0),"Sim","Nao"))</f>
        <v/>
      </c>
      <c r="L138" s="38" t="n">
        <f aca="false">IF(OR($D138=0,$G138=""),0,IF($K138="Sim",MAX(0,$H138*($E138-$I138)),0))</f>
        <v>0</v>
      </c>
      <c r="M138" s="35" t="n">
        <f aca="false">INDEX(Parametros_ANEC73!$G$4:$G$6,MATCH($C138,Parametros_ANEC73!$A$4:$A$6,0))</f>
        <v>0</v>
      </c>
      <c r="N138" s="38" t="n">
        <f aca="false">IF(OR($D138=0,$G138=""),0,IF(AND($K138="Sim",$M138&lt;&gt;""),MAX(0,$H138*($E138-$M138)),0))</f>
        <v>0</v>
      </c>
      <c r="O138" s="35" t="n">
        <f aca="false">INDEX(Parametros_ANEC73!$J$4:$J$6,MATCH($C138,Parametros_ANEC73!$A$4:$A$6,0))</f>
        <v>0</v>
      </c>
      <c r="P138" s="38" t="n">
        <f aca="false">IF(OR($D138=0,$G138=""),0,IF(AND($K138="Sim",$O138&lt;&gt;""),MAX(0,$H138*($E138-$O138)),0))</f>
        <v>0</v>
      </c>
      <c r="Q138" s="35" t="n">
        <f aca="false">INDEX(Parametros_ANEC73!$F$4:$F$6,MATCH($C138,Parametros_ANEC73!$A$4:$A$6,0))</f>
        <v>1</v>
      </c>
      <c r="R138" s="35" t="n">
        <f aca="false">INDEX(Parametros_ANEC73!$I$4:$I$6,MATCH($C138,Parametros_ANEC73!$A$4:$A$6,0))</f>
        <v>0</v>
      </c>
      <c r="S138" s="35" t="n">
        <f aca="false">INDEX(Parametros_ANEC73!$L$4:$L$6,MATCH($C138,Parametros_ANEC73!$A$4:$A$6,0))</f>
        <v>0</v>
      </c>
      <c r="T138" s="39" t="n">
        <f aca="false">INDEX(Parametros_ANEC73!$B$14:$B$25,MATCH($B138,Parametros_ANEC73!$A$14:$A$25,0))</f>
        <v>0</v>
      </c>
      <c r="U138" s="40" t="n">
        <f aca="false">IF(OR($D138=0,$G138=""),0,$D138*($T138/100)*($L138*$Q138+$N138*(IF($R138="",$Q138,$R138)-$Q138)+$P138*(IF($S138="",IF($R138="",$Q138,$R138),$S138)-IF($R138="",$Q138,$R138))))</f>
        <v>0</v>
      </c>
      <c r="V138" s="41" t="str">
        <f aca="false">IF(OR($D138=0,$G138=""),"",IF($H138*($E138-INDEX(Parametros_ANEC73!$M$4:$M$6,MATCH($C138,Parametros_ANEC73!$A$4:$A$6,0)))&gt;0,"Sim","Nao"))</f>
        <v/>
      </c>
      <c r="W138" s="27" t="str">
        <f aca="false">$A138&amp;"|"&amp;$B138&amp;"|"&amp;$C138</f>
        <v>Cargill|Out|Umidade</v>
      </c>
    </row>
    <row r="139" customFormat="false" ht="15" hidden="false" customHeight="false" outlineLevel="0" collapsed="false">
      <c r="A139" s="27" t="s">
        <v>42</v>
      </c>
      <c r="B139" s="27" t="s">
        <v>67</v>
      </c>
      <c r="C139" s="27" t="s">
        <v>111</v>
      </c>
      <c r="D139" s="34" t="n">
        <f aca="false">SUMIFS(Media_Cliente_Mes!$C$2:$C$145,Media_Cliente_Mes!$A$2:$A$145,$A139,Media_Cliente_Mes!$B$2:$B$145,$B139)</f>
        <v>0</v>
      </c>
      <c r="E139" s="35" t="str">
        <f aca="false">IF($D139=0,"",IF($C139="Proteina",SUMIFS(Media_Cliente_Mes!$D$2:$D$145,Media_Cliente_Mes!$A$2:$A$145,$A139,Media_Cliente_Mes!$B$2:$B$145,$B139),IF($C139="Umidade",SUMIFS(Media_Cliente_Mes!$E$2:$E$145,Media_Cliente_Mes!$A$2:$A$145,$A139,Media_Cliente_Mes!$B$2:$B$145,$B139),SUMIFS(Media_Cliente_Mes!$F$2:$F$145,Media_Cliente_Mes!$A$2:$A$145,$A139,Media_Cliente_Mes!$B$2:$B$145,$B139))))</f>
        <v/>
      </c>
      <c r="F139" s="35" t="n">
        <f aca="false">INDEX(Parametros_ANEC73!$C$4:$C$6,MATCH($C139,Parametros_ANEC73!$A$4:$A$6,0))</f>
        <v>3.5</v>
      </c>
      <c r="G139" s="35" t="str">
        <f aca="false">IF($C139="Proteina",INDEX(Media_Pool_Mes!$C$2:$C$13,MATCH($B139,Media_Pool_Mes!$A$2:$A$13,0)),IF($C139="Umidade",INDEX(Media_Pool_Mes!$D$2:$D$13,MATCH($B139,Media_Pool_Mes!$A$2:$A$13,0)),INDEX(Media_Pool_Mes!$E$2:$E$13,MATCH($B139,Media_Pool_Mes!$A$2:$A$13,0))))</f>
        <v/>
      </c>
      <c r="H139" s="37" t="n">
        <f aca="false">INDEX(Parametros_ANEC73!$B$4:$B$6,MATCH($C139,Parametros_ANEC73!$A$4:$A$6,0))</f>
        <v>1</v>
      </c>
      <c r="I139" s="38" t="str">
        <f aca="false">IF(OR($D139=0,$G139=""),"",IF($H139*($G139-$F139)&gt;0,$G139,$F139))</f>
        <v/>
      </c>
      <c r="J139" s="27" t="str">
        <f aca="false">IF(OR($D139=0,$G139=""),"",IF($H139*($G139-$F139)&gt;0,"Sim","Nao"))</f>
        <v/>
      </c>
      <c r="K139" s="27" t="str">
        <f aca="false">IF(OR($D139=0,$G139=""),"",IF(AND($H139*($E139-$F139)&gt;0,$H139*($E139-$G139)&gt;0),"Sim","Nao"))</f>
        <v/>
      </c>
      <c r="L139" s="38" t="n">
        <f aca="false">IF(OR($D139=0,$G139=""),0,IF($K139="Sim",MAX(0,$H139*($E139-$I139)),0))</f>
        <v>0</v>
      </c>
      <c r="M139" s="35" t="n">
        <f aca="false">INDEX(Parametros_ANEC73!$G$4:$G$6,MATCH($C139,Parametros_ANEC73!$A$4:$A$6,0))</f>
        <v>3.8</v>
      </c>
      <c r="N139" s="38" t="n">
        <f aca="false">IF(OR($D139=0,$G139=""),0,IF(AND($K139="Sim",$M139&lt;&gt;""),MAX(0,$H139*($E139-$M139)),0))</f>
        <v>0</v>
      </c>
      <c r="O139" s="35" t="n">
        <f aca="false">INDEX(Parametros_ANEC73!$J$4:$J$6,MATCH($C139,Parametros_ANEC73!$A$4:$A$6,0))</f>
        <v>4</v>
      </c>
      <c r="P139" s="38" t="n">
        <f aca="false">IF(OR($D139=0,$G139=""),0,IF(AND($K139="Sim",$O139&lt;&gt;""),MAX(0,$H139*($E139-$O139)),0))</f>
        <v>0</v>
      </c>
      <c r="Q139" s="35" t="n">
        <f aca="false">INDEX(Parametros_ANEC73!$F$4:$F$6,MATCH($C139,Parametros_ANEC73!$A$4:$A$6,0))</f>
        <v>1</v>
      </c>
      <c r="R139" s="35" t="n">
        <f aca="false">INDEX(Parametros_ANEC73!$I$4:$I$6,MATCH($C139,Parametros_ANEC73!$A$4:$A$6,0))</f>
        <v>1.5</v>
      </c>
      <c r="S139" s="35" t="n">
        <f aca="false">INDEX(Parametros_ANEC73!$L$4:$L$6,MATCH($C139,Parametros_ANEC73!$A$4:$A$6,0))</f>
        <v>2</v>
      </c>
      <c r="T139" s="39" t="n">
        <f aca="false">INDEX(Parametros_ANEC73!$B$14:$B$25,MATCH($B139,Parametros_ANEC73!$A$14:$A$25,0))</f>
        <v>0</v>
      </c>
      <c r="U139" s="40" t="n">
        <f aca="false">IF(OR($D139=0,$G139=""),0,$D139*($T139/100)*($L139*$Q139+$N139*(IF($R139="",$Q139,$R139)-$Q139)+$P139*(IF($S139="",IF($R139="",$Q139,$R139),$S139)-IF($R139="",$Q139,$R139))))</f>
        <v>0</v>
      </c>
      <c r="V139" s="41" t="str">
        <f aca="false">IF(OR($D139=0,$G139=""),"",IF($H139*($E139-INDEX(Parametros_ANEC73!$M$4:$M$6,MATCH($C139,Parametros_ANEC73!$A$4:$A$6,0)))&gt;0,"Sim","Nao"))</f>
        <v/>
      </c>
      <c r="W139" s="27" t="str">
        <f aca="false">$A139&amp;"|"&amp;$B139&amp;"|"&amp;$C139</f>
        <v>Cargill|Out|Fibra</v>
      </c>
    </row>
    <row r="140" customFormat="false" ht="15" hidden="false" customHeight="false" outlineLevel="0" collapsed="false">
      <c r="A140" s="27" t="s">
        <v>42</v>
      </c>
      <c r="B140" s="27" t="s">
        <v>68</v>
      </c>
      <c r="C140" s="27" t="s">
        <v>109</v>
      </c>
      <c r="D140" s="34" t="n">
        <f aca="false">SUMIFS(Media_Cliente_Mes!$C$2:$C$145,Media_Cliente_Mes!$A$2:$A$145,$A140,Media_Cliente_Mes!$B$2:$B$145,$B140)</f>
        <v>0</v>
      </c>
      <c r="E140" s="35" t="str">
        <f aca="false">IF($D140=0,"",IF($C140="Proteina",SUMIFS(Media_Cliente_Mes!$D$2:$D$145,Media_Cliente_Mes!$A$2:$A$145,$A140,Media_Cliente_Mes!$B$2:$B$145,$B140),IF($C140="Umidade",SUMIFS(Media_Cliente_Mes!$E$2:$E$145,Media_Cliente_Mes!$A$2:$A$145,$A140,Media_Cliente_Mes!$B$2:$B$145,$B140),SUMIFS(Media_Cliente_Mes!$F$2:$F$145,Media_Cliente_Mes!$A$2:$A$145,$A140,Media_Cliente_Mes!$B$2:$B$145,$B140))))</f>
        <v/>
      </c>
      <c r="F140" s="35" t="n">
        <f aca="false">INDEX(Parametros_ANEC73!$C$4:$C$6,MATCH($C140,Parametros_ANEC73!$A$4:$A$6,0))</f>
        <v>48</v>
      </c>
      <c r="G140" s="35" t="str">
        <f aca="false">IF($C140="Proteina",INDEX(Media_Pool_Mes!$C$2:$C$13,MATCH($B140,Media_Pool_Mes!$A$2:$A$13,0)),IF($C140="Umidade",INDEX(Media_Pool_Mes!$D$2:$D$13,MATCH($B140,Media_Pool_Mes!$A$2:$A$13,0)),INDEX(Media_Pool_Mes!$E$2:$E$13,MATCH($B140,Media_Pool_Mes!$A$2:$A$13,0))))</f>
        <v/>
      </c>
      <c r="H140" s="37" t="n">
        <f aca="false">INDEX(Parametros_ANEC73!$B$4:$B$6,MATCH($C140,Parametros_ANEC73!$A$4:$A$6,0))</f>
        <v>-1</v>
      </c>
      <c r="I140" s="38" t="str">
        <f aca="false">IF(OR($D140=0,$G140=""),"",IF($H140*($G140-$F140)&gt;0,$G140,$F140))</f>
        <v/>
      </c>
      <c r="J140" s="27" t="str">
        <f aca="false">IF(OR($D140=0,$G140=""),"",IF($H140*($G140-$F140)&gt;0,"Sim","Nao"))</f>
        <v/>
      </c>
      <c r="K140" s="27" t="str">
        <f aca="false">IF(OR($D140=0,$G140=""),"",IF(AND($H140*($E140-$F140)&gt;0,$H140*($E140-$G140)&gt;0),"Sim","Nao"))</f>
        <v/>
      </c>
      <c r="L140" s="38" t="n">
        <f aca="false">IF(OR($D140=0,$G140=""),0,IF($K140="Sim",MAX(0,$H140*($E140-$I140)),0))</f>
        <v>0</v>
      </c>
      <c r="M140" s="35" t="n">
        <f aca="false">INDEX(Parametros_ANEC73!$G$4:$G$6,MATCH($C140,Parametros_ANEC73!$A$4:$A$6,0))</f>
        <v>47</v>
      </c>
      <c r="N140" s="38" t="n">
        <f aca="false">IF(OR($D140=0,$G140=""),0,IF(AND($K140="Sim",$M140&lt;&gt;""),MAX(0,$H140*($E140-$M140)),0))</f>
        <v>0</v>
      </c>
      <c r="O140" s="35" t="n">
        <f aca="false">INDEX(Parametros_ANEC73!$J$4:$J$6,MATCH($C140,Parametros_ANEC73!$A$4:$A$6,0))</f>
        <v>0</v>
      </c>
      <c r="P140" s="38" t="n">
        <f aca="false">IF(OR($D140=0,$G140=""),0,IF(AND($K140="Sim",$O140&lt;&gt;""),MAX(0,$H140*($E140-$O140)),0))</f>
        <v>0</v>
      </c>
      <c r="Q140" s="35" t="n">
        <f aca="false">INDEX(Parametros_ANEC73!$F$4:$F$6,MATCH($C140,Parametros_ANEC73!$A$4:$A$6,0))</f>
        <v>1</v>
      </c>
      <c r="R140" s="35" t="n">
        <f aca="false">INDEX(Parametros_ANEC73!$I$4:$I$6,MATCH($C140,Parametros_ANEC73!$A$4:$A$6,0))</f>
        <v>2</v>
      </c>
      <c r="S140" s="35" t="n">
        <f aca="false">INDEX(Parametros_ANEC73!$L$4:$L$6,MATCH($C140,Parametros_ANEC73!$A$4:$A$6,0))</f>
        <v>0</v>
      </c>
      <c r="T140" s="39" t="n">
        <f aca="false">INDEX(Parametros_ANEC73!$B$14:$B$25,MATCH($B140,Parametros_ANEC73!$A$14:$A$25,0))</f>
        <v>0</v>
      </c>
      <c r="U140" s="40" t="n">
        <f aca="false">IF(OR($D140=0,$G140=""),0,$D140*($T140/100)*($L140*$Q140+$N140*(IF($R140="",$Q140,$R140)-$Q140)+$P140*(IF($S140="",IF($R140="",$Q140,$R140),$S140)-IF($R140="",$Q140,$R140))))</f>
        <v>0</v>
      </c>
      <c r="V140" s="41" t="str">
        <f aca="false">IF(OR($D140=0,$G140=""),"",IF($H140*($E140-INDEX(Parametros_ANEC73!$M$4:$M$6,MATCH($C140,Parametros_ANEC73!$A$4:$A$6,0)))&gt;0,"Sim","Nao"))</f>
        <v/>
      </c>
      <c r="W140" s="27" t="str">
        <f aca="false">$A140&amp;"|"&amp;$B140&amp;"|"&amp;$C140</f>
        <v>Cargill|Nov|Proteina</v>
      </c>
    </row>
    <row r="141" customFormat="false" ht="15" hidden="false" customHeight="false" outlineLevel="0" collapsed="false">
      <c r="A141" s="27" t="s">
        <v>42</v>
      </c>
      <c r="B141" s="27" t="s">
        <v>68</v>
      </c>
      <c r="C141" s="27" t="s">
        <v>110</v>
      </c>
      <c r="D141" s="34" t="n">
        <f aca="false">SUMIFS(Media_Cliente_Mes!$C$2:$C$145,Media_Cliente_Mes!$A$2:$A$145,$A141,Media_Cliente_Mes!$B$2:$B$145,$B141)</f>
        <v>0</v>
      </c>
      <c r="E141" s="35" t="str">
        <f aca="false">IF($D141=0,"",IF($C141="Proteina",SUMIFS(Media_Cliente_Mes!$D$2:$D$145,Media_Cliente_Mes!$A$2:$A$145,$A141,Media_Cliente_Mes!$B$2:$B$145,$B141),IF($C141="Umidade",SUMIFS(Media_Cliente_Mes!$E$2:$E$145,Media_Cliente_Mes!$A$2:$A$145,$A141,Media_Cliente_Mes!$B$2:$B$145,$B141),SUMIFS(Media_Cliente_Mes!$F$2:$F$145,Media_Cliente_Mes!$A$2:$A$145,$A141,Media_Cliente_Mes!$B$2:$B$145,$B141))))</f>
        <v/>
      </c>
      <c r="F141" s="35" t="n">
        <f aca="false">INDEX(Parametros_ANEC73!$C$4:$C$6,MATCH($C141,Parametros_ANEC73!$A$4:$A$6,0))</f>
        <v>12.5</v>
      </c>
      <c r="G141" s="35" t="str">
        <f aca="false">IF($C141="Proteina",INDEX(Media_Pool_Mes!$C$2:$C$13,MATCH($B141,Media_Pool_Mes!$A$2:$A$13,0)),IF($C141="Umidade",INDEX(Media_Pool_Mes!$D$2:$D$13,MATCH($B141,Media_Pool_Mes!$A$2:$A$13,0)),INDEX(Media_Pool_Mes!$E$2:$E$13,MATCH($B141,Media_Pool_Mes!$A$2:$A$13,0))))</f>
        <v/>
      </c>
      <c r="H141" s="37" t="n">
        <f aca="false">INDEX(Parametros_ANEC73!$B$4:$B$6,MATCH($C141,Parametros_ANEC73!$A$4:$A$6,0))</f>
        <v>1</v>
      </c>
      <c r="I141" s="38" t="str">
        <f aca="false">IF(OR($D141=0,$G141=""),"",IF($H141*($G141-$F141)&gt;0,$G141,$F141))</f>
        <v/>
      </c>
      <c r="J141" s="27" t="str">
        <f aca="false">IF(OR($D141=0,$G141=""),"",IF($H141*($G141-$F141)&gt;0,"Sim","Nao"))</f>
        <v/>
      </c>
      <c r="K141" s="27" t="str">
        <f aca="false">IF(OR($D141=0,$G141=""),"",IF(AND($H141*($E141-$F141)&gt;0,$H141*($E141-$G141)&gt;0),"Sim","Nao"))</f>
        <v/>
      </c>
      <c r="L141" s="38" t="n">
        <f aca="false">IF(OR($D141=0,$G141=""),0,IF($K141="Sim",MAX(0,$H141*($E141-$I141)),0))</f>
        <v>0</v>
      </c>
      <c r="M141" s="35" t="n">
        <f aca="false">INDEX(Parametros_ANEC73!$G$4:$G$6,MATCH($C141,Parametros_ANEC73!$A$4:$A$6,0))</f>
        <v>0</v>
      </c>
      <c r="N141" s="38" t="n">
        <f aca="false">IF(OR($D141=0,$G141=""),0,IF(AND($K141="Sim",$M141&lt;&gt;""),MAX(0,$H141*($E141-$M141)),0))</f>
        <v>0</v>
      </c>
      <c r="O141" s="35" t="n">
        <f aca="false">INDEX(Parametros_ANEC73!$J$4:$J$6,MATCH($C141,Parametros_ANEC73!$A$4:$A$6,0))</f>
        <v>0</v>
      </c>
      <c r="P141" s="38" t="n">
        <f aca="false">IF(OR($D141=0,$G141=""),0,IF(AND($K141="Sim",$O141&lt;&gt;""),MAX(0,$H141*($E141-$O141)),0))</f>
        <v>0</v>
      </c>
      <c r="Q141" s="35" t="n">
        <f aca="false">INDEX(Parametros_ANEC73!$F$4:$F$6,MATCH($C141,Parametros_ANEC73!$A$4:$A$6,0))</f>
        <v>1</v>
      </c>
      <c r="R141" s="35" t="n">
        <f aca="false">INDEX(Parametros_ANEC73!$I$4:$I$6,MATCH($C141,Parametros_ANEC73!$A$4:$A$6,0))</f>
        <v>0</v>
      </c>
      <c r="S141" s="35" t="n">
        <f aca="false">INDEX(Parametros_ANEC73!$L$4:$L$6,MATCH($C141,Parametros_ANEC73!$A$4:$A$6,0))</f>
        <v>0</v>
      </c>
      <c r="T141" s="39" t="n">
        <f aca="false">INDEX(Parametros_ANEC73!$B$14:$B$25,MATCH($B141,Parametros_ANEC73!$A$14:$A$25,0))</f>
        <v>0</v>
      </c>
      <c r="U141" s="40" t="n">
        <f aca="false">IF(OR($D141=0,$G141=""),0,$D141*($T141/100)*($L141*$Q141+$N141*(IF($R141="",$Q141,$R141)-$Q141)+$P141*(IF($S141="",IF($R141="",$Q141,$R141),$S141)-IF($R141="",$Q141,$R141))))</f>
        <v>0</v>
      </c>
      <c r="V141" s="41" t="str">
        <f aca="false">IF(OR($D141=0,$G141=""),"",IF($H141*($E141-INDEX(Parametros_ANEC73!$M$4:$M$6,MATCH($C141,Parametros_ANEC73!$A$4:$A$6,0)))&gt;0,"Sim","Nao"))</f>
        <v/>
      </c>
      <c r="W141" s="27" t="str">
        <f aca="false">$A141&amp;"|"&amp;$B141&amp;"|"&amp;$C141</f>
        <v>Cargill|Nov|Umidade</v>
      </c>
    </row>
    <row r="142" customFormat="false" ht="15" hidden="false" customHeight="false" outlineLevel="0" collapsed="false">
      <c r="A142" s="27" t="s">
        <v>42</v>
      </c>
      <c r="B142" s="27" t="s">
        <v>68</v>
      </c>
      <c r="C142" s="27" t="s">
        <v>111</v>
      </c>
      <c r="D142" s="34" t="n">
        <f aca="false">SUMIFS(Media_Cliente_Mes!$C$2:$C$145,Media_Cliente_Mes!$A$2:$A$145,$A142,Media_Cliente_Mes!$B$2:$B$145,$B142)</f>
        <v>0</v>
      </c>
      <c r="E142" s="35" t="str">
        <f aca="false">IF($D142=0,"",IF($C142="Proteina",SUMIFS(Media_Cliente_Mes!$D$2:$D$145,Media_Cliente_Mes!$A$2:$A$145,$A142,Media_Cliente_Mes!$B$2:$B$145,$B142),IF($C142="Umidade",SUMIFS(Media_Cliente_Mes!$E$2:$E$145,Media_Cliente_Mes!$A$2:$A$145,$A142,Media_Cliente_Mes!$B$2:$B$145,$B142),SUMIFS(Media_Cliente_Mes!$F$2:$F$145,Media_Cliente_Mes!$A$2:$A$145,$A142,Media_Cliente_Mes!$B$2:$B$145,$B142))))</f>
        <v/>
      </c>
      <c r="F142" s="35" t="n">
        <f aca="false">INDEX(Parametros_ANEC73!$C$4:$C$6,MATCH($C142,Parametros_ANEC73!$A$4:$A$6,0))</f>
        <v>3.5</v>
      </c>
      <c r="G142" s="35" t="str">
        <f aca="false">IF($C142="Proteina",INDEX(Media_Pool_Mes!$C$2:$C$13,MATCH($B142,Media_Pool_Mes!$A$2:$A$13,0)),IF($C142="Umidade",INDEX(Media_Pool_Mes!$D$2:$D$13,MATCH($B142,Media_Pool_Mes!$A$2:$A$13,0)),INDEX(Media_Pool_Mes!$E$2:$E$13,MATCH($B142,Media_Pool_Mes!$A$2:$A$13,0))))</f>
        <v/>
      </c>
      <c r="H142" s="37" t="n">
        <f aca="false">INDEX(Parametros_ANEC73!$B$4:$B$6,MATCH($C142,Parametros_ANEC73!$A$4:$A$6,0))</f>
        <v>1</v>
      </c>
      <c r="I142" s="38" t="str">
        <f aca="false">IF(OR($D142=0,$G142=""),"",IF($H142*($G142-$F142)&gt;0,$G142,$F142))</f>
        <v/>
      </c>
      <c r="J142" s="27" t="str">
        <f aca="false">IF(OR($D142=0,$G142=""),"",IF($H142*($G142-$F142)&gt;0,"Sim","Nao"))</f>
        <v/>
      </c>
      <c r="K142" s="27" t="str">
        <f aca="false">IF(OR($D142=0,$G142=""),"",IF(AND($H142*($E142-$F142)&gt;0,$H142*($E142-$G142)&gt;0),"Sim","Nao"))</f>
        <v/>
      </c>
      <c r="L142" s="38" t="n">
        <f aca="false">IF(OR($D142=0,$G142=""),0,IF($K142="Sim",MAX(0,$H142*($E142-$I142)),0))</f>
        <v>0</v>
      </c>
      <c r="M142" s="35" t="n">
        <f aca="false">INDEX(Parametros_ANEC73!$G$4:$G$6,MATCH($C142,Parametros_ANEC73!$A$4:$A$6,0))</f>
        <v>3.8</v>
      </c>
      <c r="N142" s="38" t="n">
        <f aca="false">IF(OR($D142=0,$G142=""),0,IF(AND($K142="Sim",$M142&lt;&gt;""),MAX(0,$H142*($E142-$M142)),0))</f>
        <v>0</v>
      </c>
      <c r="O142" s="35" t="n">
        <f aca="false">INDEX(Parametros_ANEC73!$J$4:$J$6,MATCH($C142,Parametros_ANEC73!$A$4:$A$6,0))</f>
        <v>4</v>
      </c>
      <c r="P142" s="38" t="n">
        <f aca="false">IF(OR($D142=0,$G142=""),0,IF(AND($K142="Sim",$O142&lt;&gt;""),MAX(0,$H142*($E142-$O142)),0))</f>
        <v>0</v>
      </c>
      <c r="Q142" s="35" t="n">
        <f aca="false">INDEX(Parametros_ANEC73!$F$4:$F$6,MATCH($C142,Parametros_ANEC73!$A$4:$A$6,0))</f>
        <v>1</v>
      </c>
      <c r="R142" s="35" t="n">
        <f aca="false">INDEX(Parametros_ANEC73!$I$4:$I$6,MATCH($C142,Parametros_ANEC73!$A$4:$A$6,0))</f>
        <v>1.5</v>
      </c>
      <c r="S142" s="35" t="n">
        <f aca="false">INDEX(Parametros_ANEC73!$L$4:$L$6,MATCH($C142,Parametros_ANEC73!$A$4:$A$6,0))</f>
        <v>2</v>
      </c>
      <c r="T142" s="39" t="n">
        <f aca="false">INDEX(Parametros_ANEC73!$B$14:$B$25,MATCH($B142,Parametros_ANEC73!$A$14:$A$25,0))</f>
        <v>0</v>
      </c>
      <c r="U142" s="40" t="n">
        <f aca="false">IF(OR($D142=0,$G142=""),0,$D142*($T142/100)*($L142*$Q142+$N142*(IF($R142="",$Q142,$R142)-$Q142)+$P142*(IF($S142="",IF($R142="",$Q142,$R142),$S142)-IF($R142="",$Q142,$R142))))</f>
        <v>0</v>
      </c>
      <c r="V142" s="41" t="str">
        <f aca="false">IF(OR($D142=0,$G142=""),"",IF($H142*($E142-INDEX(Parametros_ANEC73!$M$4:$M$6,MATCH($C142,Parametros_ANEC73!$A$4:$A$6,0)))&gt;0,"Sim","Nao"))</f>
        <v/>
      </c>
      <c r="W142" s="27" t="str">
        <f aca="false">$A142&amp;"|"&amp;$B142&amp;"|"&amp;$C142</f>
        <v>Cargill|Nov|Fibra</v>
      </c>
    </row>
    <row r="143" customFormat="false" ht="15" hidden="false" customHeight="false" outlineLevel="0" collapsed="false">
      <c r="A143" s="27" t="s">
        <v>42</v>
      </c>
      <c r="B143" s="27" t="s">
        <v>69</v>
      </c>
      <c r="C143" s="27" t="s">
        <v>109</v>
      </c>
      <c r="D143" s="34" t="n">
        <f aca="false">SUMIFS(Media_Cliente_Mes!$C$2:$C$145,Media_Cliente_Mes!$A$2:$A$145,$A143,Media_Cliente_Mes!$B$2:$B$145,$B143)</f>
        <v>0</v>
      </c>
      <c r="E143" s="35" t="str">
        <f aca="false">IF($D143=0,"",IF($C143="Proteina",SUMIFS(Media_Cliente_Mes!$D$2:$D$145,Media_Cliente_Mes!$A$2:$A$145,$A143,Media_Cliente_Mes!$B$2:$B$145,$B143),IF($C143="Umidade",SUMIFS(Media_Cliente_Mes!$E$2:$E$145,Media_Cliente_Mes!$A$2:$A$145,$A143,Media_Cliente_Mes!$B$2:$B$145,$B143),SUMIFS(Media_Cliente_Mes!$F$2:$F$145,Media_Cliente_Mes!$A$2:$A$145,$A143,Media_Cliente_Mes!$B$2:$B$145,$B143))))</f>
        <v/>
      </c>
      <c r="F143" s="35" t="n">
        <f aca="false">INDEX(Parametros_ANEC73!$C$4:$C$6,MATCH($C143,Parametros_ANEC73!$A$4:$A$6,0))</f>
        <v>48</v>
      </c>
      <c r="G143" s="35" t="str">
        <f aca="false">IF($C143="Proteina",INDEX(Media_Pool_Mes!$C$2:$C$13,MATCH($B143,Media_Pool_Mes!$A$2:$A$13,0)),IF($C143="Umidade",INDEX(Media_Pool_Mes!$D$2:$D$13,MATCH($B143,Media_Pool_Mes!$A$2:$A$13,0)),INDEX(Media_Pool_Mes!$E$2:$E$13,MATCH($B143,Media_Pool_Mes!$A$2:$A$13,0))))</f>
        <v/>
      </c>
      <c r="H143" s="37" t="n">
        <f aca="false">INDEX(Parametros_ANEC73!$B$4:$B$6,MATCH($C143,Parametros_ANEC73!$A$4:$A$6,0))</f>
        <v>-1</v>
      </c>
      <c r="I143" s="38" t="str">
        <f aca="false">IF(OR($D143=0,$G143=""),"",IF($H143*($G143-$F143)&gt;0,$G143,$F143))</f>
        <v/>
      </c>
      <c r="J143" s="27" t="str">
        <f aca="false">IF(OR($D143=0,$G143=""),"",IF($H143*($G143-$F143)&gt;0,"Sim","Nao"))</f>
        <v/>
      </c>
      <c r="K143" s="27" t="str">
        <f aca="false">IF(OR($D143=0,$G143=""),"",IF(AND($H143*($E143-$F143)&gt;0,$H143*($E143-$G143)&gt;0),"Sim","Nao"))</f>
        <v/>
      </c>
      <c r="L143" s="38" t="n">
        <f aca="false">IF(OR($D143=0,$G143=""),0,IF($K143="Sim",MAX(0,$H143*($E143-$I143)),0))</f>
        <v>0</v>
      </c>
      <c r="M143" s="35" t="n">
        <f aca="false">INDEX(Parametros_ANEC73!$G$4:$G$6,MATCH($C143,Parametros_ANEC73!$A$4:$A$6,0))</f>
        <v>47</v>
      </c>
      <c r="N143" s="38" t="n">
        <f aca="false">IF(OR($D143=0,$G143=""),0,IF(AND($K143="Sim",$M143&lt;&gt;""),MAX(0,$H143*($E143-$M143)),0))</f>
        <v>0</v>
      </c>
      <c r="O143" s="35" t="n">
        <f aca="false">INDEX(Parametros_ANEC73!$J$4:$J$6,MATCH($C143,Parametros_ANEC73!$A$4:$A$6,0))</f>
        <v>0</v>
      </c>
      <c r="P143" s="38" t="n">
        <f aca="false">IF(OR($D143=0,$G143=""),0,IF(AND($K143="Sim",$O143&lt;&gt;""),MAX(0,$H143*($E143-$O143)),0))</f>
        <v>0</v>
      </c>
      <c r="Q143" s="35" t="n">
        <f aca="false">INDEX(Parametros_ANEC73!$F$4:$F$6,MATCH($C143,Parametros_ANEC73!$A$4:$A$6,0))</f>
        <v>1</v>
      </c>
      <c r="R143" s="35" t="n">
        <f aca="false">INDEX(Parametros_ANEC73!$I$4:$I$6,MATCH($C143,Parametros_ANEC73!$A$4:$A$6,0))</f>
        <v>2</v>
      </c>
      <c r="S143" s="35" t="n">
        <f aca="false">INDEX(Parametros_ANEC73!$L$4:$L$6,MATCH($C143,Parametros_ANEC73!$A$4:$A$6,0))</f>
        <v>0</v>
      </c>
      <c r="T143" s="39" t="n">
        <f aca="false">INDEX(Parametros_ANEC73!$B$14:$B$25,MATCH($B143,Parametros_ANEC73!$A$14:$A$25,0))</f>
        <v>0</v>
      </c>
      <c r="U143" s="40" t="n">
        <f aca="false">IF(OR($D143=0,$G143=""),0,$D143*($T143/100)*($L143*$Q143+$N143*(IF($R143="",$Q143,$R143)-$Q143)+$P143*(IF($S143="",IF($R143="",$Q143,$R143),$S143)-IF($R143="",$Q143,$R143))))</f>
        <v>0</v>
      </c>
      <c r="V143" s="41" t="str">
        <f aca="false">IF(OR($D143=0,$G143=""),"",IF($H143*($E143-INDEX(Parametros_ANEC73!$M$4:$M$6,MATCH($C143,Parametros_ANEC73!$A$4:$A$6,0)))&gt;0,"Sim","Nao"))</f>
        <v/>
      </c>
      <c r="W143" s="27" t="str">
        <f aca="false">$A143&amp;"|"&amp;$B143&amp;"|"&amp;$C143</f>
        <v>Cargill|Dez|Proteina</v>
      </c>
    </row>
    <row r="144" customFormat="false" ht="15" hidden="false" customHeight="false" outlineLevel="0" collapsed="false">
      <c r="A144" s="27" t="s">
        <v>42</v>
      </c>
      <c r="B144" s="27" t="s">
        <v>69</v>
      </c>
      <c r="C144" s="27" t="s">
        <v>110</v>
      </c>
      <c r="D144" s="34" t="n">
        <f aca="false">SUMIFS(Media_Cliente_Mes!$C$2:$C$145,Media_Cliente_Mes!$A$2:$A$145,$A144,Media_Cliente_Mes!$B$2:$B$145,$B144)</f>
        <v>0</v>
      </c>
      <c r="E144" s="35" t="str">
        <f aca="false">IF($D144=0,"",IF($C144="Proteina",SUMIFS(Media_Cliente_Mes!$D$2:$D$145,Media_Cliente_Mes!$A$2:$A$145,$A144,Media_Cliente_Mes!$B$2:$B$145,$B144),IF($C144="Umidade",SUMIFS(Media_Cliente_Mes!$E$2:$E$145,Media_Cliente_Mes!$A$2:$A$145,$A144,Media_Cliente_Mes!$B$2:$B$145,$B144),SUMIFS(Media_Cliente_Mes!$F$2:$F$145,Media_Cliente_Mes!$A$2:$A$145,$A144,Media_Cliente_Mes!$B$2:$B$145,$B144))))</f>
        <v/>
      </c>
      <c r="F144" s="35" t="n">
        <f aca="false">INDEX(Parametros_ANEC73!$C$4:$C$6,MATCH($C144,Parametros_ANEC73!$A$4:$A$6,0))</f>
        <v>12.5</v>
      </c>
      <c r="G144" s="35" t="str">
        <f aca="false">IF($C144="Proteina",INDEX(Media_Pool_Mes!$C$2:$C$13,MATCH($B144,Media_Pool_Mes!$A$2:$A$13,0)),IF($C144="Umidade",INDEX(Media_Pool_Mes!$D$2:$D$13,MATCH($B144,Media_Pool_Mes!$A$2:$A$13,0)),INDEX(Media_Pool_Mes!$E$2:$E$13,MATCH($B144,Media_Pool_Mes!$A$2:$A$13,0))))</f>
        <v/>
      </c>
      <c r="H144" s="37" t="n">
        <f aca="false">INDEX(Parametros_ANEC73!$B$4:$B$6,MATCH($C144,Parametros_ANEC73!$A$4:$A$6,0))</f>
        <v>1</v>
      </c>
      <c r="I144" s="38" t="str">
        <f aca="false">IF(OR($D144=0,$G144=""),"",IF($H144*($G144-$F144)&gt;0,$G144,$F144))</f>
        <v/>
      </c>
      <c r="J144" s="27" t="str">
        <f aca="false">IF(OR($D144=0,$G144=""),"",IF($H144*($G144-$F144)&gt;0,"Sim","Nao"))</f>
        <v/>
      </c>
      <c r="K144" s="27" t="str">
        <f aca="false">IF(OR($D144=0,$G144=""),"",IF(AND($H144*($E144-$F144)&gt;0,$H144*($E144-$G144)&gt;0),"Sim","Nao"))</f>
        <v/>
      </c>
      <c r="L144" s="38" t="n">
        <f aca="false">IF(OR($D144=0,$G144=""),0,IF($K144="Sim",MAX(0,$H144*($E144-$I144)),0))</f>
        <v>0</v>
      </c>
      <c r="M144" s="35" t="n">
        <f aca="false">INDEX(Parametros_ANEC73!$G$4:$G$6,MATCH($C144,Parametros_ANEC73!$A$4:$A$6,0))</f>
        <v>0</v>
      </c>
      <c r="N144" s="38" t="n">
        <f aca="false">IF(OR($D144=0,$G144=""),0,IF(AND($K144="Sim",$M144&lt;&gt;""),MAX(0,$H144*($E144-$M144)),0))</f>
        <v>0</v>
      </c>
      <c r="O144" s="35" t="n">
        <f aca="false">INDEX(Parametros_ANEC73!$J$4:$J$6,MATCH($C144,Parametros_ANEC73!$A$4:$A$6,0))</f>
        <v>0</v>
      </c>
      <c r="P144" s="38" t="n">
        <f aca="false">IF(OR($D144=0,$G144=""),0,IF(AND($K144="Sim",$O144&lt;&gt;""),MAX(0,$H144*($E144-$O144)),0))</f>
        <v>0</v>
      </c>
      <c r="Q144" s="35" t="n">
        <f aca="false">INDEX(Parametros_ANEC73!$F$4:$F$6,MATCH($C144,Parametros_ANEC73!$A$4:$A$6,0))</f>
        <v>1</v>
      </c>
      <c r="R144" s="35" t="n">
        <f aca="false">INDEX(Parametros_ANEC73!$I$4:$I$6,MATCH($C144,Parametros_ANEC73!$A$4:$A$6,0))</f>
        <v>0</v>
      </c>
      <c r="S144" s="35" t="n">
        <f aca="false">INDEX(Parametros_ANEC73!$L$4:$L$6,MATCH($C144,Parametros_ANEC73!$A$4:$A$6,0))</f>
        <v>0</v>
      </c>
      <c r="T144" s="39" t="n">
        <f aca="false">INDEX(Parametros_ANEC73!$B$14:$B$25,MATCH($B144,Parametros_ANEC73!$A$14:$A$25,0))</f>
        <v>0</v>
      </c>
      <c r="U144" s="40" t="n">
        <f aca="false">IF(OR($D144=0,$G144=""),0,$D144*($T144/100)*($L144*$Q144+$N144*(IF($R144="",$Q144,$R144)-$Q144)+$P144*(IF($S144="",IF($R144="",$Q144,$R144),$S144)-IF($R144="",$Q144,$R144))))</f>
        <v>0</v>
      </c>
      <c r="V144" s="41" t="str">
        <f aca="false">IF(OR($D144=0,$G144=""),"",IF($H144*($E144-INDEX(Parametros_ANEC73!$M$4:$M$6,MATCH($C144,Parametros_ANEC73!$A$4:$A$6,0)))&gt;0,"Sim","Nao"))</f>
        <v/>
      </c>
      <c r="W144" s="27" t="str">
        <f aca="false">$A144&amp;"|"&amp;$B144&amp;"|"&amp;$C144</f>
        <v>Cargill|Dez|Umidade</v>
      </c>
    </row>
    <row r="145" customFormat="false" ht="15" hidden="false" customHeight="false" outlineLevel="0" collapsed="false">
      <c r="A145" s="27" t="s">
        <v>42</v>
      </c>
      <c r="B145" s="27" t="s">
        <v>69</v>
      </c>
      <c r="C145" s="27" t="s">
        <v>111</v>
      </c>
      <c r="D145" s="34" t="n">
        <f aca="false">SUMIFS(Media_Cliente_Mes!$C$2:$C$145,Media_Cliente_Mes!$A$2:$A$145,$A145,Media_Cliente_Mes!$B$2:$B$145,$B145)</f>
        <v>0</v>
      </c>
      <c r="E145" s="35" t="str">
        <f aca="false">IF($D145=0,"",IF($C145="Proteina",SUMIFS(Media_Cliente_Mes!$D$2:$D$145,Media_Cliente_Mes!$A$2:$A$145,$A145,Media_Cliente_Mes!$B$2:$B$145,$B145),IF($C145="Umidade",SUMIFS(Media_Cliente_Mes!$E$2:$E$145,Media_Cliente_Mes!$A$2:$A$145,$A145,Media_Cliente_Mes!$B$2:$B$145,$B145),SUMIFS(Media_Cliente_Mes!$F$2:$F$145,Media_Cliente_Mes!$A$2:$A$145,$A145,Media_Cliente_Mes!$B$2:$B$145,$B145))))</f>
        <v/>
      </c>
      <c r="F145" s="35" t="n">
        <f aca="false">INDEX(Parametros_ANEC73!$C$4:$C$6,MATCH($C145,Parametros_ANEC73!$A$4:$A$6,0))</f>
        <v>3.5</v>
      </c>
      <c r="G145" s="35" t="str">
        <f aca="false">IF($C145="Proteina",INDEX(Media_Pool_Mes!$C$2:$C$13,MATCH($B145,Media_Pool_Mes!$A$2:$A$13,0)),IF($C145="Umidade",INDEX(Media_Pool_Mes!$D$2:$D$13,MATCH($B145,Media_Pool_Mes!$A$2:$A$13,0)),INDEX(Media_Pool_Mes!$E$2:$E$13,MATCH($B145,Media_Pool_Mes!$A$2:$A$13,0))))</f>
        <v/>
      </c>
      <c r="H145" s="37" t="n">
        <f aca="false">INDEX(Parametros_ANEC73!$B$4:$B$6,MATCH($C145,Parametros_ANEC73!$A$4:$A$6,0))</f>
        <v>1</v>
      </c>
      <c r="I145" s="38" t="str">
        <f aca="false">IF(OR($D145=0,$G145=""),"",IF($H145*($G145-$F145)&gt;0,$G145,$F145))</f>
        <v/>
      </c>
      <c r="J145" s="27" t="str">
        <f aca="false">IF(OR($D145=0,$G145=""),"",IF($H145*($G145-$F145)&gt;0,"Sim","Nao"))</f>
        <v/>
      </c>
      <c r="K145" s="27" t="str">
        <f aca="false">IF(OR($D145=0,$G145=""),"",IF(AND($H145*($E145-$F145)&gt;0,$H145*($E145-$G145)&gt;0),"Sim","Nao"))</f>
        <v/>
      </c>
      <c r="L145" s="38" t="n">
        <f aca="false">IF(OR($D145=0,$G145=""),0,IF($K145="Sim",MAX(0,$H145*($E145-$I145)),0))</f>
        <v>0</v>
      </c>
      <c r="M145" s="35" t="n">
        <f aca="false">INDEX(Parametros_ANEC73!$G$4:$G$6,MATCH($C145,Parametros_ANEC73!$A$4:$A$6,0))</f>
        <v>3.8</v>
      </c>
      <c r="N145" s="38" t="n">
        <f aca="false">IF(OR($D145=0,$G145=""),0,IF(AND($K145="Sim",$M145&lt;&gt;""),MAX(0,$H145*($E145-$M145)),0))</f>
        <v>0</v>
      </c>
      <c r="O145" s="35" t="n">
        <f aca="false">INDEX(Parametros_ANEC73!$J$4:$J$6,MATCH($C145,Parametros_ANEC73!$A$4:$A$6,0))</f>
        <v>4</v>
      </c>
      <c r="P145" s="38" t="n">
        <f aca="false">IF(OR($D145=0,$G145=""),0,IF(AND($K145="Sim",$O145&lt;&gt;""),MAX(0,$H145*($E145-$O145)),0))</f>
        <v>0</v>
      </c>
      <c r="Q145" s="35" t="n">
        <f aca="false">INDEX(Parametros_ANEC73!$F$4:$F$6,MATCH($C145,Parametros_ANEC73!$A$4:$A$6,0))</f>
        <v>1</v>
      </c>
      <c r="R145" s="35" t="n">
        <f aca="false">INDEX(Parametros_ANEC73!$I$4:$I$6,MATCH($C145,Parametros_ANEC73!$A$4:$A$6,0))</f>
        <v>1.5</v>
      </c>
      <c r="S145" s="35" t="n">
        <f aca="false">INDEX(Parametros_ANEC73!$L$4:$L$6,MATCH($C145,Parametros_ANEC73!$A$4:$A$6,0))</f>
        <v>2</v>
      </c>
      <c r="T145" s="39" t="n">
        <f aca="false">INDEX(Parametros_ANEC73!$B$14:$B$25,MATCH($B145,Parametros_ANEC73!$A$14:$A$25,0))</f>
        <v>0</v>
      </c>
      <c r="U145" s="40" t="n">
        <f aca="false">IF(OR($D145=0,$G145=""),0,$D145*($T145/100)*($L145*$Q145+$N145*(IF($R145="",$Q145,$R145)-$Q145)+$P145*(IF($S145="",IF($R145="",$Q145,$R145),$S145)-IF($R145="",$Q145,$R145))))</f>
        <v>0</v>
      </c>
      <c r="V145" s="41" t="str">
        <f aca="false">IF(OR($D145=0,$G145=""),"",IF($H145*($E145-INDEX(Parametros_ANEC73!$M$4:$M$6,MATCH($C145,Parametros_ANEC73!$A$4:$A$6,0)))&gt;0,"Sim","Nao"))</f>
        <v/>
      </c>
      <c r="W145" s="27" t="str">
        <f aca="false">$A145&amp;"|"&amp;$B145&amp;"|"&amp;$C145</f>
        <v>Cargill|Dez|Fibra</v>
      </c>
    </row>
    <row r="146" customFormat="false" ht="15" hidden="false" customHeight="false" outlineLevel="0" collapsed="false">
      <c r="A146" s="27" t="s">
        <v>43</v>
      </c>
      <c r="B146" s="27" t="s">
        <v>38</v>
      </c>
      <c r="C146" s="27" t="s">
        <v>109</v>
      </c>
      <c r="D146" s="34" t="n">
        <f aca="false">SUMIFS(Media_Cliente_Mes!$C$2:$C$145,Media_Cliente_Mes!$A$2:$A$145,$A146,Media_Cliente_Mes!$B$2:$B$145,$B146)</f>
        <v>58133.28</v>
      </c>
      <c r="E146" s="35" t="n">
        <f aca="false">IF($D146=0,"",IF($C146="Proteina",SUMIFS(Media_Cliente_Mes!$D$2:$D$145,Media_Cliente_Mes!$A$2:$A$145,$A146,Media_Cliente_Mes!$B$2:$B$145,$B146),IF($C146="Umidade",SUMIFS(Media_Cliente_Mes!$E$2:$E$145,Media_Cliente_Mes!$A$2:$A$145,$A146,Media_Cliente_Mes!$B$2:$B$145,$B146),SUMIFS(Media_Cliente_Mes!$F$2:$F$145,Media_Cliente_Mes!$A$2:$A$145,$A146,Media_Cliente_Mes!$B$2:$B$145,$B146))))</f>
        <v>47.7608013396113</v>
      </c>
      <c r="F146" s="35" t="n">
        <f aca="false">INDEX(Parametros_ANEC73!$C$4:$C$6,MATCH($C146,Parametros_ANEC73!$A$4:$A$6,0))</f>
        <v>48</v>
      </c>
      <c r="G146" s="35" t="n">
        <f aca="false">IF($C146="Proteina",INDEX(Media_Pool_Mes!$C$2:$C$13,MATCH($B146,Media_Pool_Mes!$A$2:$A$13,0)),IF($C146="Umidade",INDEX(Media_Pool_Mes!$D$2:$D$13,MATCH($B146,Media_Pool_Mes!$A$2:$A$13,0)),INDEX(Media_Pool_Mes!$E$2:$E$13,MATCH($B146,Media_Pool_Mes!$A$2:$A$13,0))))</f>
        <v>47.8154367670349</v>
      </c>
      <c r="H146" s="37" t="n">
        <f aca="false">INDEX(Parametros_ANEC73!$B$4:$B$6,MATCH($C146,Parametros_ANEC73!$A$4:$A$6,0))</f>
        <v>-1</v>
      </c>
      <c r="I146" s="38" t="n">
        <f aca="false">IF(OR($D146=0,$G146=""),"",IF($H146*($G146-$F146)&gt;0,$G146,$F146))</f>
        <v>47.8154367670349</v>
      </c>
      <c r="J146" s="27" t="str">
        <f aca="false">IF(OR($D146=0,$G146=""),"",IF($H146*($G146-$F146)&gt;0,"Sim","Nao"))</f>
        <v>Sim</v>
      </c>
      <c r="K146" s="27" t="str">
        <f aca="false">IF(OR($D146=0,$G146=""),"",IF(AND($H146*($E146-$F146)&gt;0,$H146*($E146-$G146)&gt;0),"Sim","Nao"))</f>
        <v>Sim</v>
      </c>
      <c r="L146" s="38" t="n">
        <f aca="false">IF(OR($D146=0,$G146=""),0,IF($K146="Sim",MAX(0,$H146*($E146-$I146)),0))</f>
        <v>0.0546354274235554</v>
      </c>
      <c r="M146" s="35" t="n">
        <f aca="false">INDEX(Parametros_ANEC73!$G$4:$G$6,MATCH($C146,Parametros_ANEC73!$A$4:$A$6,0))</f>
        <v>47</v>
      </c>
      <c r="N146" s="38" t="n">
        <f aca="false">IF(OR($D146=0,$G146=""),0,IF(AND($K146="Sim",$M146&lt;&gt;""),MAX(0,$H146*($E146-$M146)),0))</f>
        <v>0</v>
      </c>
      <c r="O146" s="35" t="n">
        <f aca="false">INDEX(Parametros_ANEC73!$J$4:$J$6,MATCH($C146,Parametros_ANEC73!$A$4:$A$6,0))</f>
        <v>0</v>
      </c>
      <c r="P146" s="38" t="n">
        <f aca="false">IF(OR($D146=0,$G146=""),0,IF(AND($K146="Sim",$O146&lt;&gt;""),MAX(0,$H146*($E146-$O146)),0))</f>
        <v>0</v>
      </c>
      <c r="Q146" s="35" t="n">
        <f aca="false">INDEX(Parametros_ANEC73!$F$4:$F$6,MATCH($C146,Parametros_ANEC73!$A$4:$A$6,0))</f>
        <v>1</v>
      </c>
      <c r="R146" s="35" t="n">
        <f aca="false">INDEX(Parametros_ANEC73!$I$4:$I$6,MATCH($C146,Parametros_ANEC73!$A$4:$A$6,0))</f>
        <v>2</v>
      </c>
      <c r="S146" s="35" t="n">
        <f aca="false">INDEX(Parametros_ANEC73!$L$4:$L$6,MATCH($C146,Parametros_ANEC73!$A$4:$A$6,0))</f>
        <v>0</v>
      </c>
      <c r="T146" s="39" t="n">
        <f aca="false">INDEX(Parametros_ANEC73!$B$14:$B$25,MATCH($B146,Parametros_ANEC73!$A$14:$A$25,0))</f>
        <v>386</v>
      </c>
      <c r="U146" s="40" t="n">
        <f aca="false">IF(OR($D146=0,$G146=""),0,$D146*($T146/100)*($L146*$Q146+$N146*(IF($R146="",$Q146,$R146)-$Q146)+$P146*(IF($S146="",IF($R146="",$Q146,$R146),$S146)-IF($R146="",$Q146,$R146))))</f>
        <v>12259.8872772863</v>
      </c>
      <c r="V146" s="41" t="str">
        <f aca="false">IF(OR($D146=0,$G146=""),"",IF($H146*($E146-INDEX(Parametros_ANEC73!$M$4:$M$6,MATCH($C146,Parametros_ANEC73!$A$4:$A$6,0)))&gt;0,"Sim","Nao"))</f>
        <v>Nao</v>
      </c>
      <c r="W146" s="27" t="str">
        <f aca="false">$A146&amp;"|"&amp;$B146&amp;"|"&amp;$C146</f>
        <v>Cofco|Jan|Proteina</v>
      </c>
    </row>
    <row r="147" customFormat="false" ht="15" hidden="false" customHeight="false" outlineLevel="0" collapsed="false">
      <c r="A147" s="27" t="s">
        <v>43</v>
      </c>
      <c r="B147" s="27" t="s">
        <v>38</v>
      </c>
      <c r="C147" s="27" t="s">
        <v>110</v>
      </c>
      <c r="D147" s="34" t="n">
        <f aca="false">SUMIFS(Media_Cliente_Mes!$C$2:$C$145,Media_Cliente_Mes!$A$2:$A$145,$A147,Media_Cliente_Mes!$B$2:$B$145,$B147)</f>
        <v>58133.28</v>
      </c>
      <c r="E147" s="35" t="n">
        <f aca="false">IF($D147=0,"",IF($C147="Proteina",SUMIFS(Media_Cliente_Mes!$D$2:$D$145,Media_Cliente_Mes!$A$2:$A$145,$A147,Media_Cliente_Mes!$B$2:$B$145,$B147),IF($C147="Umidade",SUMIFS(Media_Cliente_Mes!$E$2:$E$145,Media_Cliente_Mes!$A$2:$A$145,$A147,Media_Cliente_Mes!$B$2:$B$145,$B147),SUMIFS(Media_Cliente_Mes!$F$2:$F$145,Media_Cliente_Mes!$A$2:$A$145,$A147,Media_Cliente_Mes!$B$2:$B$145,$B147))))</f>
        <v>12.0883999973853</v>
      </c>
      <c r="F147" s="35" t="n">
        <f aca="false">INDEX(Parametros_ANEC73!$C$4:$C$6,MATCH($C147,Parametros_ANEC73!$A$4:$A$6,0))</f>
        <v>12.5</v>
      </c>
      <c r="G147" s="35" t="n">
        <f aca="false">IF($C147="Proteina",INDEX(Media_Pool_Mes!$C$2:$C$13,MATCH($B147,Media_Pool_Mes!$A$2:$A$13,0)),IF($C147="Umidade",INDEX(Media_Pool_Mes!$D$2:$D$13,MATCH($B147,Media_Pool_Mes!$A$2:$A$13,0)),INDEX(Media_Pool_Mes!$E$2:$E$13,MATCH($B147,Media_Pool_Mes!$A$2:$A$13,0))))</f>
        <v>12.076727887935</v>
      </c>
      <c r="H147" s="37" t="n">
        <f aca="false">INDEX(Parametros_ANEC73!$B$4:$B$6,MATCH($C147,Parametros_ANEC73!$A$4:$A$6,0))</f>
        <v>1</v>
      </c>
      <c r="I147" s="38" t="n">
        <f aca="false">IF(OR($D147=0,$G147=""),"",IF($H147*($G147-$F147)&gt;0,$G147,$F147))</f>
        <v>12.5</v>
      </c>
      <c r="J147" s="27" t="str">
        <f aca="false">IF(OR($D147=0,$G147=""),"",IF($H147*($G147-$F147)&gt;0,"Sim","Nao"))</f>
        <v>Nao</v>
      </c>
      <c r="K147" s="27" t="str">
        <f aca="false">IF(OR($D147=0,$G147=""),"",IF(AND($H147*($E147-$F147)&gt;0,$H147*($E147-$G147)&gt;0),"Sim","Nao"))</f>
        <v>Nao</v>
      </c>
      <c r="L147" s="38" t="n">
        <f aca="false">IF(OR($D147=0,$G147=""),0,IF($K147="Sim",MAX(0,$H147*($E147-$I147)),0))</f>
        <v>0</v>
      </c>
      <c r="M147" s="35" t="n">
        <f aca="false">INDEX(Parametros_ANEC73!$G$4:$G$6,MATCH($C147,Parametros_ANEC73!$A$4:$A$6,0))</f>
        <v>0</v>
      </c>
      <c r="N147" s="38" t="n">
        <f aca="false">IF(OR($D147=0,$G147=""),0,IF(AND($K147="Sim",$M147&lt;&gt;""),MAX(0,$H147*($E147-$M147)),0))</f>
        <v>0</v>
      </c>
      <c r="O147" s="35" t="n">
        <f aca="false">INDEX(Parametros_ANEC73!$J$4:$J$6,MATCH($C147,Parametros_ANEC73!$A$4:$A$6,0))</f>
        <v>0</v>
      </c>
      <c r="P147" s="38" t="n">
        <f aca="false">IF(OR($D147=0,$G147=""),0,IF(AND($K147="Sim",$O147&lt;&gt;""),MAX(0,$H147*($E147-$O147)),0))</f>
        <v>0</v>
      </c>
      <c r="Q147" s="35" t="n">
        <f aca="false">INDEX(Parametros_ANEC73!$F$4:$F$6,MATCH($C147,Parametros_ANEC73!$A$4:$A$6,0))</f>
        <v>1</v>
      </c>
      <c r="R147" s="35" t="n">
        <f aca="false">INDEX(Parametros_ANEC73!$I$4:$I$6,MATCH($C147,Parametros_ANEC73!$A$4:$A$6,0))</f>
        <v>0</v>
      </c>
      <c r="S147" s="35" t="n">
        <f aca="false">INDEX(Parametros_ANEC73!$L$4:$L$6,MATCH($C147,Parametros_ANEC73!$A$4:$A$6,0))</f>
        <v>0</v>
      </c>
      <c r="T147" s="39" t="n">
        <f aca="false">INDEX(Parametros_ANEC73!$B$14:$B$25,MATCH($B147,Parametros_ANEC73!$A$14:$A$25,0))</f>
        <v>386</v>
      </c>
      <c r="U147" s="40" t="n">
        <f aca="false">IF(OR($D147=0,$G147=""),0,$D147*($T147/100)*($L147*$Q147+$N147*(IF($R147="",$Q147,$R147)-$Q147)+$P147*(IF($S147="",IF($R147="",$Q147,$R147),$S147)-IF($R147="",$Q147,$R147))))</f>
        <v>0</v>
      </c>
      <c r="V147" s="41" t="str">
        <f aca="false">IF(OR($D147=0,$G147=""),"",IF($H147*($E147-INDEX(Parametros_ANEC73!$M$4:$M$6,MATCH($C147,Parametros_ANEC73!$A$4:$A$6,0)))&gt;0,"Sim","Nao"))</f>
        <v>Nao</v>
      </c>
      <c r="W147" s="27" t="str">
        <f aca="false">$A147&amp;"|"&amp;$B147&amp;"|"&amp;$C147</f>
        <v>Cofco|Jan|Umidade</v>
      </c>
    </row>
    <row r="148" customFormat="false" ht="15" hidden="false" customHeight="false" outlineLevel="0" collapsed="false">
      <c r="A148" s="27" t="s">
        <v>43</v>
      </c>
      <c r="B148" s="27" t="s">
        <v>38</v>
      </c>
      <c r="C148" s="27" t="s">
        <v>111</v>
      </c>
      <c r="D148" s="34" t="n">
        <f aca="false">SUMIFS(Media_Cliente_Mes!$C$2:$C$145,Media_Cliente_Mes!$A$2:$A$145,$A148,Media_Cliente_Mes!$B$2:$B$145,$B148)</f>
        <v>58133.28</v>
      </c>
      <c r="E148" s="35" t="n">
        <f aca="false">IF($D148=0,"",IF($C148="Proteina",SUMIFS(Media_Cliente_Mes!$D$2:$D$145,Media_Cliente_Mes!$A$2:$A$145,$A148,Media_Cliente_Mes!$B$2:$B$145,$B148),IF($C148="Umidade",SUMIFS(Media_Cliente_Mes!$E$2:$E$145,Media_Cliente_Mes!$A$2:$A$145,$A148,Media_Cliente_Mes!$B$2:$B$145,$B148),SUMIFS(Media_Cliente_Mes!$F$2:$F$145,Media_Cliente_Mes!$A$2:$A$145,$A148,Media_Cliente_Mes!$B$2:$B$145,$B148))))</f>
        <v>3.51532527839475</v>
      </c>
      <c r="F148" s="35" t="n">
        <f aca="false">INDEX(Parametros_ANEC73!$C$4:$C$6,MATCH($C148,Parametros_ANEC73!$A$4:$A$6,0))</f>
        <v>3.5</v>
      </c>
      <c r="G148" s="35" t="n">
        <f aca="false">IF($C148="Proteina",INDEX(Media_Pool_Mes!$C$2:$C$13,MATCH($B148,Media_Pool_Mes!$A$2:$A$13,0)),IF($C148="Umidade",INDEX(Media_Pool_Mes!$D$2:$D$13,MATCH($B148,Media_Pool_Mes!$A$2:$A$13,0)),INDEX(Media_Pool_Mes!$E$2:$E$13,MATCH($B148,Media_Pool_Mes!$A$2:$A$13,0))))</f>
        <v>3.51752485295922</v>
      </c>
      <c r="H148" s="37" t="n">
        <f aca="false">INDEX(Parametros_ANEC73!$B$4:$B$6,MATCH($C148,Parametros_ANEC73!$A$4:$A$6,0))</f>
        <v>1</v>
      </c>
      <c r="I148" s="38" t="n">
        <f aca="false">IF(OR($D148=0,$G148=""),"",IF($H148*($G148-$F148)&gt;0,$G148,$F148))</f>
        <v>3.51752485295922</v>
      </c>
      <c r="J148" s="27" t="str">
        <f aca="false">IF(OR($D148=0,$G148=""),"",IF($H148*($G148-$F148)&gt;0,"Sim","Nao"))</f>
        <v>Sim</v>
      </c>
      <c r="K148" s="27" t="str">
        <f aca="false">IF(OR($D148=0,$G148=""),"",IF(AND($H148*($E148-$F148)&gt;0,$H148*($E148-$G148)&gt;0),"Sim","Nao"))</f>
        <v>Nao</v>
      </c>
      <c r="L148" s="38" t="n">
        <f aca="false">IF(OR($D148=0,$G148=""),0,IF($K148="Sim",MAX(0,$H148*($E148-$I148)),0))</f>
        <v>0</v>
      </c>
      <c r="M148" s="35" t="n">
        <f aca="false">INDEX(Parametros_ANEC73!$G$4:$G$6,MATCH($C148,Parametros_ANEC73!$A$4:$A$6,0))</f>
        <v>3.8</v>
      </c>
      <c r="N148" s="38" t="n">
        <f aca="false">IF(OR($D148=0,$G148=""),0,IF(AND($K148="Sim",$M148&lt;&gt;""),MAX(0,$H148*($E148-$M148)),0))</f>
        <v>0</v>
      </c>
      <c r="O148" s="35" t="n">
        <f aca="false">INDEX(Parametros_ANEC73!$J$4:$J$6,MATCH($C148,Parametros_ANEC73!$A$4:$A$6,0))</f>
        <v>4</v>
      </c>
      <c r="P148" s="38" t="n">
        <f aca="false">IF(OR($D148=0,$G148=""),0,IF(AND($K148="Sim",$O148&lt;&gt;""),MAX(0,$H148*($E148-$O148)),0))</f>
        <v>0</v>
      </c>
      <c r="Q148" s="35" t="n">
        <f aca="false">INDEX(Parametros_ANEC73!$F$4:$F$6,MATCH($C148,Parametros_ANEC73!$A$4:$A$6,0))</f>
        <v>1</v>
      </c>
      <c r="R148" s="35" t="n">
        <f aca="false">INDEX(Parametros_ANEC73!$I$4:$I$6,MATCH($C148,Parametros_ANEC73!$A$4:$A$6,0))</f>
        <v>1.5</v>
      </c>
      <c r="S148" s="35" t="n">
        <f aca="false">INDEX(Parametros_ANEC73!$L$4:$L$6,MATCH($C148,Parametros_ANEC73!$A$4:$A$6,0))</f>
        <v>2</v>
      </c>
      <c r="T148" s="39" t="n">
        <f aca="false">INDEX(Parametros_ANEC73!$B$14:$B$25,MATCH($B148,Parametros_ANEC73!$A$14:$A$25,0))</f>
        <v>386</v>
      </c>
      <c r="U148" s="40" t="n">
        <f aca="false">IF(OR($D148=0,$G148=""),0,$D148*($T148/100)*($L148*$Q148+$N148*(IF($R148="",$Q148,$R148)-$Q148)+$P148*(IF($S148="",IF($R148="",$Q148,$R148),$S148)-IF($R148="",$Q148,$R148))))</f>
        <v>0</v>
      </c>
      <c r="V148" s="41" t="str">
        <f aca="false">IF(OR($D148=0,$G148=""),"",IF($H148*($E148-INDEX(Parametros_ANEC73!$M$4:$M$6,MATCH($C148,Parametros_ANEC73!$A$4:$A$6,0)))&gt;0,"Sim","Nao"))</f>
        <v>Nao</v>
      </c>
      <c r="W148" s="27" t="str">
        <f aca="false">$A148&amp;"|"&amp;$B148&amp;"|"&amp;$C148</f>
        <v>Cofco|Jan|Fibra</v>
      </c>
    </row>
    <row r="149" customFormat="false" ht="15" hidden="false" customHeight="false" outlineLevel="0" collapsed="false">
      <c r="A149" s="27" t="s">
        <v>43</v>
      </c>
      <c r="B149" s="27" t="s">
        <v>59</v>
      </c>
      <c r="C149" s="27" t="s">
        <v>109</v>
      </c>
      <c r="D149" s="34" t="n">
        <f aca="false">SUMIFS(Media_Cliente_Mes!$C$2:$C$145,Media_Cliente_Mes!$A$2:$A$145,$A149,Media_Cliente_Mes!$B$2:$B$145,$B149)</f>
        <v>53224.28</v>
      </c>
      <c r="E149" s="35" t="n">
        <f aca="false">IF($D149=0,"",IF($C149="Proteina",SUMIFS(Media_Cliente_Mes!$D$2:$D$145,Media_Cliente_Mes!$A$2:$A$145,$A149,Media_Cliente_Mes!$B$2:$B$145,$B149),IF($C149="Umidade",SUMIFS(Media_Cliente_Mes!$E$2:$E$145,Media_Cliente_Mes!$A$2:$A$145,$A149,Media_Cliente_Mes!$B$2:$B$145,$B149),SUMIFS(Media_Cliente_Mes!$F$2:$F$145,Media_Cliente_Mes!$A$2:$A$145,$A149,Media_Cliente_Mes!$B$2:$B$145,$B149))))</f>
        <v>47.7410028036077</v>
      </c>
      <c r="F149" s="35" t="n">
        <f aca="false">INDEX(Parametros_ANEC73!$C$4:$C$6,MATCH($C149,Parametros_ANEC73!$A$4:$A$6,0))</f>
        <v>48</v>
      </c>
      <c r="G149" s="35" t="n">
        <f aca="false">IF($C149="Proteina",INDEX(Media_Pool_Mes!$C$2:$C$13,MATCH($B149,Media_Pool_Mes!$A$2:$A$13,0)),IF($C149="Umidade",INDEX(Media_Pool_Mes!$D$2:$D$13,MATCH($B149,Media_Pool_Mes!$A$2:$A$13,0)),INDEX(Media_Pool_Mes!$E$2:$E$13,MATCH($B149,Media_Pool_Mes!$A$2:$A$13,0))))</f>
        <v>47.3405726705791</v>
      </c>
      <c r="H149" s="37" t="n">
        <f aca="false">INDEX(Parametros_ANEC73!$B$4:$B$6,MATCH($C149,Parametros_ANEC73!$A$4:$A$6,0))</f>
        <v>-1</v>
      </c>
      <c r="I149" s="38" t="n">
        <f aca="false">IF(OR($D149=0,$G149=""),"",IF($H149*($G149-$F149)&gt;0,$G149,$F149))</f>
        <v>47.3405726705791</v>
      </c>
      <c r="J149" s="27" t="str">
        <f aca="false">IF(OR($D149=0,$G149=""),"",IF($H149*($G149-$F149)&gt;0,"Sim","Nao"))</f>
        <v>Sim</v>
      </c>
      <c r="K149" s="27" t="str">
        <f aca="false">IF(OR($D149=0,$G149=""),"",IF(AND($H149*($E149-$F149)&gt;0,$H149*($E149-$G149)&gt;0),"Sim","Nao"))</f>
        <v>Nao</v>
      </c>
      <c r="L149" s="38" t="n">
        <f aca="false">IF(OR($D149=0,$G149=""),0,IF($K149="Sim",MAX(0,$H149*($E149-$I149)),0))</f>
        <v>0</v>
      </c>
      <c r="M149" s="35" t="n">
        <f aca="false">INDEX(Parametros_ANEC73!$G$4:$G$6,MATCH($C149,Parametros_ANEC73!$A$4:$A$6,0))</f>
        <v>47</v>
      </c>
      <c r="N149" s="38" t="n">
        <f aca="false">IF(OR($D149=0,$G149=""),0,IF(AND($K149="Sim",$M149&lt;&gt;""),MAX(0,$H149*($E149-$M149)),0))</f>
        <v>0</v>
      </c>
      <c r="O149" s="35" t="n">
        <f aca="false">INDEX(Parametros_ANEC73!$J$4:$J$6,MATCH($C149,Parametros_ANEC73!$A$4:$A$6,0))</f>
        <v>0</v>
      </c>
      <c r="P149" s="38" t="n">
        <f aca="false">IF(OR($D149=0,$G149=""),0,IF(AND($K149="Sim",$O149&lt;&gt;""),MAX(0,$H149*($E149-$O149)),0))</f>
        <v>0</v>
      </c>
      <c r="Q149" s="35" t="n">
        <f aca="false">INDEX(Parametros_ANEC73!$F$4:$F$6,MATCH($C149,Parametros_ANEC73!$A$4:$A$6,0))</f>
        <v>1</v>
      </c>
      <c r="R149" s="35" t="n">
        <f aca="false">INDEX(Parametros_ANEC73!$I$4:$I$6,MATCH($C149,Parametros_ANEC73!$A$4:$A$6,0))</f>
        <v>2</v>
      </c>
      <c r="S149" s="35" t="n">
        <f aca="false">INDEX(Parametros_ANEC73!$L$4:$L$6,MATCH($C149,Parametros_ANEC73!$A$4:$A$6,0))</f>
        <v>0</v>
      </c>
      <c r="T149" s="39" t="n">
        <f aca="false">INDEX(Parametros_ANEC73!$B$14:$B$25,MATCH($B149,Parametros_ANEC73!$A$14:$A$25,0))</f>
        <v>391</v>
      </c>
      <c r="U149" s="40" t="n">
        <f aca="false">IF(OR($D149=0,$G149=""),0,$D149*($T149/100)*($L149*$Q149+$N149*(IF($R149="",$Q149,$R149)-$Q149)+$P149*(IF($S149="",IF($R149="",$Q149,$R149),$S149)-IF($R149="",$Q149,$R149))))</f>
        <v>0</v>
      </c>
      <c r="V149" s="41" t="str">
        <f aca="false">IF(OR($D149=0,$G149=""),"",IF($H149*($E149-INDEX(Parametros_ANEC73!$M$4:$M$6,MATCH($C149,Parametros_ANEC73!$A$4:$A$6,0)))&gt;0,"Sim","Nao"))</f>
        <v>Nao</v>
      </c>
      <c r="W149" s="27" t="str">
        <f aca="false">$A149&amp;"|"&amp;$B149&amp;"|"&amp;$C149</f>
        <v>Cofco|Fev|Proteina</v>
      </c>
    </row>
    <row r="150" customFormat="false" ht="15" hidden="false" customHeight="false" outlineLevel="0" collapsed="false">
      <c r="A150" s="27" t="s">
        <v>43</v>
      </c>
      <c r="B150" s="27" t="s">
        <v>59</v>
      </c>
      <c r="C150" s="27" t="s">
        <v>110</v>
      </c>
      <c r="D150" s="34" t="n">
        <f aca="false">SUMIFS(Media_Cliente_Mes!$C$2:$C$145,Media_Cliente_Mes!$A$2:$A$145,$A150,Media_Cliente_Mes!$B$2:$B$145,$B150)</f>
        <v>53224.28</v>
      </c>
      <c r="E150" s="35" t="n">
        <f aca="false">IF($D150=0,"",IF($C150="Proteina",SUMIFS(Media_Cliente_Mes!$D$2:$D$145,Media_Cliente_Mes!$A$2:$A$145,$A150,Media_Cliente_Mes!$B$2:$B$145,$B150),IF($C150="Umidade",SUMIFS(Media_Cliente_Mes!$E$2:$E$145,Media_Cliente_Mes!$A$2:$A$145,$A150,Media_Cliente_Mes!$B$2:$B$145,$B150),SUMIFS(Media_Cliente_Mes!$F$2:$F$145,Media_Cliente_Mes!$A$2:$A$145,$A150,Media_Cliente_Mes!$B$2:$B$145,$B150))))</f>
        <v>12.2364620658091</v>
      </c>
      <c r="F150" s="35" t="n">
        <f aca="false">INDEX(Parametros_ANEC73!$C$4:$C$6,MATCH($C150,Parametros_ANEC73!$A$4:$A$6,0))</f>
        <v>12.5</v>
      </c>
      <c r="G150" s="35" t="n">
        <f aca="false">IF($C150="Proteina",INDEX(Media_Pool_Mes!$C$2:$C$13,MATCH($B150,Media_Pool_Mes!$A$2:$A$13,0)),IF($C150="Umidade",INDEX(Media_Pool_Mes!$D$2:$D$13,MATCH($B150,Media_Pool_Mes!$A$2:$A$13,0)),INDEX(Media_Pool_Mes!$E$2:$E$13,MATCH($B150,Media_Pool_Mes!$A$2:$A$13,0))))</f>
        <v>12.2454829634779</v>
      </c>
      <c r="H150" s="37" t="n">
        <f aca="false">INDEX(Parametros_ANEC73!$B$4:$B$6,MATCH($C150,Parametros_ANEC73!$A$4:$A$6,0))</f>
        <v>1</v>
      </c>
      <c r="I150" s="38" t="n">
        <f aca="false">IF(OR($D150=0,$G150=""),"",IF($H150*($G150-$F150)&gt;0,$G150,$F150))</f>
        <v>12.5</v>
      </c>
      <c r="J150" s="27" t="str">
        <f aca="false">IF(OR($D150=0,$G150=""),"",IF($H150*($G150-$F150)&gt;0,"Sim","Nao"))</f>
        <v>Nao</v>
      </c>
      <c r="K150" s="27" t="str">
        <f aca="false">IF(OR($D150=0,$G150=""),"",IF(AND($H150*($E150-$F150)&gt;0,$H150*($E150-$G150)&gt;0),"Sim","Nao"))</f>
        <v>Nao</v>
      </c>
      <c r="L150" s="38" t="n">
        <f aca="false">IF(OR($D150=0,$G150=""),0,IF($K150="Sim",MAX(0,$H150*($E150-$I150)),0))</f>
        <v>0</v>
      </c>
      <c r="M150" s="35" t="n">
        <f aca="false">INDEX(Parametros_ANEC73!$G$4:$G$6,MATCH($C150,Parametros_ANEC73!$A$4:$A$6,0))</f>
        <v>0</v>
      </c>
      <c r="N150" s="38" t="n">
        <f aca="false">IF(OR($D150=0,$G150=""),0,IF(AND($K150="Sim",$M150&lt;&gt;""),MAX(0,$H150*($E150-$M150)),0))</f>
        <v>0</v>
      </c>
      <c r="O150" s="35" t="n">
        <f aca="false">INDEX(Parametros_ANEC73!$J$4:$J$6,MATCH($C150,Parametros_ANEC73!$A$4:$A$6,0))</f>
        <v>0</v>
      </c>
      <c r="P150" s="38" t="n">
        <f aca="false">IF(OR($D150=0,$G150=""),0,IF(AND($K150="Sim",$O150&lt;&gt;""),MAX(0,$H150*($E150-$O150)),0))</f>
        <v>0</v>
      </c>
      <c r="Q150" s="35" t="n">
        <f aca="false">INDEX(Parametros_ANEC73!$F$4:$F$6,MATCH($C150,Parametros_ANEC73!$A$4:$A$6,0))</f>
        <v>1</v>
      </c>
      <c r="R150" s="35" t="n">
        <f aca="false">INDEX(Parametros_ANEC73!$I$4:$I$6,MATCH($C150,Parametros_ANEC73!$A$4:$A$6,0))</f>
        <v>0</v>
      </c>
      <c r="S150" s="35" t="n">
        <f aca="false">INDEX(Parametros_ANEC73!$L$4:$L$6,MATCH($C150,Parametros_ANEC73!$A$4:$A$6,0))</f>
        <v>0</v>
      </c>
      <c r="T150" s="39" t="n">
        <f aca="false">INDEX(Parametros_ANEC73!$B$14:$B$25,MATCH($B150,Parametros_ANEC73!$A$14:$A$25,0))</f>
        <v>391</v>
      </c>
      <c r="U150" s="40" t="n">
        <f aca="false">IF(OR($D150=0,$G150=""),0,$D150*($T150/100)*($L150*$Q150+$N150*(IF($R150="",$Q150,$R150)-$Q150)+$P150*(IF($S150="",IF($R150="",$Q150,$R150),$S150)-IF($R150="",$Q150,$R150))))</f>
        <v>0</v>
      </c>
      <c r="V150" s="41" t="str">
        <f aca="false">IF(OR($D150=0,$G150=""),"",IF($H150*($E150-INDEX(Parametros_ANEC73!$M$4:$M$6,MATCH($C150,Parametros_ANEC73!$A$4:$A$6,0)))&gt;0,"Sim","Nao"))</f>
        <v>Nao</v>
      </c>
      <c r="W150" s="27" t="str">
        <f aca="false">$A150&amp;"|"&amp;$B150&amp;"|"&amp;$C150</f>
        <v>Cofco|Fev|Umidade</v>
      </c>
    </row>
    <row r="151" customFormat="false" ht="15" hidden="false" customHeight="false" outlineLevel="0" collapsed="false">
      <c r="A151" s="27" t="s">
        <v>43</v>
      </c>
      <c r="B151" s="27" t="s">
        <v>59</v>
      </c>
      <c r="C151" s="27" t="s">
        <v>111</v>
      </c>
      <c r="D151" s="34" t="n">
        <f aca="false">SUMIFS(Media_Cliente_Mes!$C$2:$C$145,Media_Cliente_Mes!$A$2:$A$145,$A151,Media_Cliente_Mes!$B$2:$B$145,$B151)</f>
        <v>53224.28</v>
      </c>
      <c r="E151" s="35" t="n">
        <f aca="false">IF($D151=0,"",IF($C151="Proteina",SUMIFS(Media_Cliente_Mes!$D$2:$D$145,Media_Cliente_Mes!$A$2:$A$145,$A151,Media_Cliente_Mes!$B$2:$B$145,$B151),IF($C151="Umidade",SUMIFS(Media_Cliente_Mes!$E$2:$E$145,Media_Cliente_Mes!$A$2:$A$145,$A151,Media_Cliente_Mes!$B$2:$B$145,$B151),SUMIFS(Media_Cliente_Mes!$F$2:$F$145,Media_Cliente_Mes!$A$2:$A$145,$A151,Media_Cliente_Mes!$B$2:$B$145,$B151))))</f>
        <v>3.49707755558178</v>
      </c>
      <c r="F151" s="35" t="n">
        <f aca="false">INDEX(Parametros_ANEC73!$C$4:$C$6,MATCH($C151,Parametros_ANEC73!$A$4:$A$6,0))</f>
        <v>3.5</v>
      </c>
      <c r="G151" s="35" t="n">
        <f aca="false">IF($C151="Proteina",INDEX(Media_Pool_Mes!$C$2:$C$13,MATCH($B151,Media_Pool_Mes!$A$2:$A$13,0)),IF($C151="Umidade",INDEX(Media_Pool_Mes!$D$2:$D$13,MATCH($B151,Media_Pool_Mes!$A$2:$A$13,0)),INDEX(Media_Pool_Mes!$E$2:$E$13,MATCH($B151,Media_Pool_Mes!$A$2:$A$13,0))))</f>
        <v>3.61845158781616</v>
      </c>
      <c r="H151" s="37" t="n">
        <f aca="false">INDEX(Parametros_ANEC73!$B$4:$B$6,MATCH($C151,Parametros_ANEC73!$A$4:$A$6,0))</f>
        <v>1</v>
      </c>
      <c r="I151" s="38" t="n">
        <f aca="false">IF(OR($D151=0,$G151=""),"",IF($H151*($G151-$F151)&gt;0,$G151,$F151))</f>
        <v>3.61845158781616</v>
      </c>
      <c r="J151" s="27" t="str">
        <f aca="false">IF(OR($D151=0,$G151=""),"",IF($H151*($G151-$F151)&gt;0,"Sim","Nao"))</f>
        <v>Sim</v>
      </c>
      <c r="K151" s="27" t="str">
        <f aca="false">IF(OR($D151=0,$G151=""),"",IF(AND($H151*($E151-$F151)&gt;0,$H151*($E151-$G151)&gt;0),"Sim","Nao"))</f>
        <v>Nao</v>
      </c>
      <c r="L151" s="38" t="n">
        <f aca="false">IF(OR($D151=0,$G151=""),0,IF($K151="Sim",MAX(0,$H151*($E151-$I151)),0))</f>
        <v>0</v>
      </c>
      <c r="M151" s="35" t="n">
        <f aca="false">INDEX(Parametros_ANEC73!$G$4:$G$6,MATCH($C151,Parametros_ANEC73!$A$4:$A$6,0))</f>
        <v>3.8</v>
      </c>
      <c r="N151" s="38" t="n">
        <f aca="false">IF(OR($D151=0,$G151=""),0,IF(AND($K151="Sim",$M151&lt;&gt;""),MAX(0,$H151*($E151-$M151)),0))</f>
        <v>0</v>
      </c>
      <c r="O151" s="35" t="n">
        <f aca="false">INDEX(Parametros_ANEC73!$J$4:$J$6,MATCH($C151,Parametros_ANEC73!$A$4:$A$6,0))</f>
        <v>4</v>
      </c>
      <c r="P151" s="38" t="n">
        <f aca="false">IF(OR($D151=0,$G151=""),0,IF(AND($K151="Sim",$O151&lt;&gt;""),MAX(0,$H151*($E151-$O151)),0))</f>
        <v>0</v>
      </c>
      <c r="Q151" s="35" t="n">
        <f aca="false">INDEX(Parametros_ANEC73!$F$4:$F$6,MATCH($C151,Parametros_ANEC73!$A$4:$A$6,0))</f>
        <v>1</v>
      </c>
      <c r="R151" s="35" t="n">
        <f aca="false">INDEX(Parametros_ANEC73!$I$4:$I$6,MATCH($C151,Parametros_ANEC73!$A$4:$A$6,0))</f>
        <v>1.5</v>
      </c>
      <c r="S151" s="35" t="n">
        <f aca="false">INDEX(Parametros_ANEC73!$L$4:$L$6,MATCH($C151,Parametros_ANEC73!$A$4:$A$6,0))</f>
        <v>2</v>
      </c>
      <c r="T151" s="39" t="n">
        <f aca="false">INDEX(Parametros_ANEC73!$B$14:$B$25,MATCH($B151,Parametros_ANEC73!$A$14:$A$25,0))</f>
        <v>391</v>
      </c>
      <c r="U151" s="40" t="n">
        <f aca="false">IF(OR($D151=0,$G151=""),0,$D151*($T151/100)*($L151*$Q151+$N151*(IF($R151="",$Q151,$R151)-$Q151)+$P151*(IF($S151="",IF($R151="",$Q151,$R151),$S151)-IF($R151="",$Q151,$R151))))</f>
        <v>0</v>
      </c>
      <c r="V151" s="41" t="str">
        <f aca="false">IF(OR($D151=0,$G151=""),"",IF($H151*($E151-INDEX(Parametros_ANEC73!$M$4:$M$6,MATCH($C151,Parametros_ANEC73!$A$4:$A$6,0)))&gt;0,"Sim","Nao"))</f>
        <v>Nao</v>
      </c>
      <c r="W151" s="27" t="str">
        <f aca="false">$A151&amp;"|"&amp;$B151&amp;"|"&amp;$C151</f>
        <v>Cofco|Fev|Fibra</v>
      </c>
    </row>
    <row r="152" customFormat="false" ht="15" hidden="false" customHeight="false" outlineLevel="0" collapsed="false">
      <c r="A152" s="27" t="s">
        <v>43</v>
      </c>
      <c r="B152" s="27" t="s">
        <v>60</v>
      </c>
      <c r="C152" s="27" t="s">
        <v>109</v>
      </c>
      <c r="D152" s="34" t="n">
        <f aca="false">SUMIFS(Media_Cliente_Mes!$C$2:$C$145,Media_Cliente_Mes!$A$2:$A$145,$A152,Media_Cliente_Mes!$B$2:$B$145,$B152)</f>
        <v>66365.71</v>
      </c>
      <c r="E152" s="35" t="n">
        <f aca="false">IF($D152=0,"",IF($C152="Proteina",SUMIFS(Media_Cliente_Mes!$D$2:$D$145,Media_Cliente_Mes!$A$2:$A$145,$A152,Media_Cliente_Mes!$B$2:$B$145,$B152),IF($C152="Umidade",SUMIFS(Media_Cliente_Mes!$E$2:$E$145,Media_Cliente_Mes!$A$2:$A$145,$A152,Media_Cliente_Mes!$B$2:$B$145,$B152),SUMIFS(Media_Cliente_Mes!$F$2:$F$145,Media_Cliente_Mes!$A$2:$A$145,$A152,Media_Cliente_Mes!$B$2:$B$145,$B152))))</f>
        <v>47.3106617528841</v>
      </c>
      <c r="F152" s="35" t="n">
        <f aca="false">INDEX(Parametros_ANEC73!$C$4:$C$6,MATCH($C152,Parametros_ANEC73!$A$4:$A$6,0))</f>
        <v>48</v>
      </c>
      <c r="G152" s="35" t="n">
        <f aca="false">IF($C152="Proteina",INDEX(Media_Pool_Mes!$C$2:$C$13,MATCH($B152,Media_Pool_Mes!$A$2:$A$13,0)),IF($C152="Umidade",INDEX(Media_Pool_Mes!$D$2:$D$13,MATCH($B152,Media_Pool_Mes!$A$2:$A$13,0)),INDEX(Media_Pool_Mes!$E$2:$E$13,MATCH($B152,Media_Pool_Mes!$A$2:$A$13,0))))</f>
        <v>47.332231823374</v>
      </c>
      <c r="H152" s="37" t="n">
        <f aca="false">INDEX(Parametros_ANEC73!$B$4:$B$6,MATCH($C152,Parametros_ANEC73!$A$4:$A$6,0))</f>
        <v>-1</v>
      </c>
      <c r="I152" s="38" t="n">
        <f aca="false">IF(OR($D152=0,$G152=""),"",IF($H152*($G152-$F152)&gt;0,$G152,$F152))</f>
        <v>47.332231823374</v>
      </c>
      <c r="J152" s="27" t="str">
        <f aca="false">IF(OR($D152=0,$G152=""),"",IF($H152*($G152-$F152)&gt;0,"Sim","Nao"))</f>
        <v>Sim</v>
      </c>
      <c r="K152" s="27" t="str">
        <f aca="false">IF(OR($D152=0,$G152=""),"",IF(AND($H152*($E152-$F152)&gt;0,$H152*($E152-$G152)&gt;0),"Sim","Nao"))</f>
        <v>Sim</v>
      </c>
      <c r="L152" s="38" t="n">
        <f aca="false">IF(OR($D152=0,$G152=""),0,IF($K152="Sim",MAX(0,$H152*($E152-$I152)),0))</f>
        <v>0.0215700704898651</v>
      </c>
      <c r="M152" s="35" t="n">
        <f aca="false">INDEX(Parametros_ANEC73!$G$4:$G$6,MATCH($C152,Parametros_ANEC73!$A$4:$A$6,0))</f>
        <v>47</v>
      </c>
      <c r="N152" s="38" t="n">
        <f aca="false">IF(OR($D152=0,$G152=""),0,IF(AND($K152="Sim",$M152&lt;&gt;""),MAX(0,$H152*($E152-$M152)),0))</f>
        <v>0</v>
      </c>
      <c r="O152" s="35" t="n">
        <f aca="false">INDEX(Parametros_ANEC73!$J$4:$J$6,MATCH($C152,Parametros_ANEC73!$A$4:$A$6,0))</f>
        <v>0</v>
      </c>
      <c r="P152" s="38" t="n">
        <f aca="false">IF(OR($D152=0,$G152=""),0,IF(AND($K152="Sim",$O152&lt;&gt;""),MAX(0,$H152*($E152-$O152)),0))</f>
        <v>0</v>
      </c>
      <c r="Q152" s="35" t="n">
        <f aca="false">INDEX(Parametros_ANEC73!$F$4:$F$6,MATCH($C152,Parametros_ANEC73!$A$4:$A$6,0))</f>
        <v>1</v>
      </c>
      <c r="R152" s="35" t="n">
        <f aca="false">INDEX(Parametros_ANEC73!$I$4:$I$6,MATCH($C152,Parametros_ANEC73!$A$4:$A$6,0))</f>
        <v>2</v>
      </c>
      <c r="S152" s="35" t="n">
        <f aca="false">INDEX(Parametros_ANEC73!$L$4:$L$6,MATCH($C152,Parametros_ANEC73!$A$4:$A$6,0))</f>
        <v>0</v>
      </c>
      <c r="T152" s="39" t="n">
        <f aca="false">INDEX(Parametros_ANEC73!$B$14:$B$25,MATCH($B152,Parametros_ANEC73!$A$14:$A$25,0))</f>
        <v>404</v>
      </c>
      <c r="U152" s="40" t="n">
        <f aca="false">IF(OR($D152=0,$G152=""),0,$D152*($T152/100)*($L152*$Q152+$N152*(IF($R152="",$Q152,$R152)-$Q152)+$P152*(IF($S152="",IF($R152="",$Q152,$R152),$S152)-IF($R152="",$Q152,$R152))))</f>
        <v>5783.31269295219</v>
      </c>
      <c r="V152" s="41" t="str">
        <f aca="false">IF(OR($D152=0,$G152=""),"",IF($H152*($E152-INDEX(Parametros_ANEC73!$M$4:$M$6,MATCH($C152,Parametros_ANEC73!$A$4:$A$6,0)))&gt;0,"Sim","Nao"))</f>
        <v>Nao</v>
      </c>
      <c r="W152" s="27" t="str">
        <f aca="false">$A152&amp;"|"&amp;$B152&amp;"|"&amp;$C152</f>
        <v>Cofco|Mar|Proteina</v>
      </c>
    </row>
    <row r="153" customFormat="false" ht="15" hidden="false" customHeight="false" outlineLevel="0" collapsed="false">
      <c r="A153" s="27" t="s">
        <v>43</v>
      </c>
      <c r="B153" s="27" t="s">
        <v>60</v>
      </c>
      <c r="C153" s="27" t="s">
        <v>110</v>
      </c>
      <c r="D153" s="34" t="n">
        <f aca="false">SUMIFS(Media_Cliente_Mes!$C$2:$C$145,Media_Cliente_Mes!$A$2:$A$145,$A153,Media_Cliente_Mes!$B$2:$B$145,$B153)</f>
        <v>66365.71</v>
      </c>
      <c r="E153" s="35" t="n">
        <f aca="false">IF($D153=0,"",IF($C153="Proteina",SUMIFS(Media_Cliente_Mes!$D$2:$D$145,Media_Cliente_Mes!$A$2:$A$145,$A153,Media_Cliente_Mes!$B$2:$B$145,$B153),IF($C153="Umidade",SUMIFS(Media_Cliente_Mes!$E$2:$E$145,Media_Cliente_Mes!$A$2:$A$145,$A153,Media_Cliente_Mes!$B$2:$B$145,$B153),SUMIFS(Media_Cliente_Mes!$F$2:$F$145,Media_Cliente_Mes!$A$2:$A$145,$A153,Media_Cliente_Mes!$B$2:$B$145,$B153))))</f>
        <v>12.365805033955</v>
      </c>
      <c r="F153" s="35" t="n">
        <f aca="false">INDEX(Parametros_ANEC73!$C$4:$C$6,MATCH($C153,Parametros_ANEC73!$A$4:$A$6,0))</f>
        <v>12.5</v>
      </c>
      <c r="G153" s="35" t="n">
        <f aca="false">IF($C153="Proteina",INDEX(Media_Pool_Mes!$C$2:$C$13,MATCH($B153,Media_Pool_Mes!$A$2:$A$13,0)),IF($C153="Umidade",INDEX(Media_Pool_Mes!$D$2:$D$13,MATCH($B153,Media_Pool_Mes!$A$2:$A$13,0)),INDEX(Media_Pool_Mes!$E$2:$E$13,MATCH($B153,Media_Pool_Mes!$A$2:$A$13,0))))</f>
        <v>12.1740859181947</v>
      </c>
      <c r="H153" s="37" t="n">
        <f aca="false">INDEX(Parametros_ANEC73!$B$4:$B$6,MATCH($C153,Parametros_ANEC73!$A$4:$A$6,0))</f>
        <v>1</v>
      </c>
      <c r="I153" s="38" t="n">
        <f aca="false">IF(OR($D153=0,$G153=""),"",IF($H153*($G153-$F153)&gt;0,$G153,$F153))</f>
        <v>12.5</v>
      </c>
      <c r="J153" s="27" t="str">
        <f aca="false">IF(OR($D153=0,$G153=""),"",IF($H153*($G153-$F153)&gt;0,"Sim","Nao"))</f>
        <v>Nao</v>
      </c>
      <c r="K153" s="27" t="str">
        <f aca="false">IF(OR($D153=0,$G153=""),"",IF(AND($H153*($E153-$F153)&gt;0,$H153*($E153-$G153)&gt;0),"Sim","Nao"))</f>
        <v>Nao</v>
      </c>
      <c r="L153" s="38" t="n">
        <f aca="false">IF(OR($D153=0,$G153=""),0,IF($K153="Sim",MAX(0,$H153*($E153-$I153)),0))</f>
        <v>0</v>
      </c>
      <c r="M153" s="35" t="n">
        <f aca="false">INDEX(Parametros_ANEC73!$G$4:$G$6,MATCH($C153,Parametros_ANEC73!$A$4:$A$6,0))</f>
        <v>0</v>
      </c>
      <c r="N153" s="38" t="n">
        <f aca="false">IF(OR($D153=0,$G153=""),0,IF(AND($K153="Sim",$M153&lt;&gt;""),MAX(0,$H153*($E153-$M153)),0))</f>
        <v>0</v>
      </c>
      <c r="O153" s="35" t="n">
        <f aca="false">INDEX(Parametros_ANEC73!$J$4:$J$6,MATCH($C153,Parametros_ANEC73!$A$4:$A$6,0))</f>
        <v>0</v>
      </c>
      <c r="P153" s="38" t="n">
        <f aca="false">IF(OR($D153=0,$G153=""),0,IF(AND($K153="Sim",$O153&lt;&gt;""),MAX(0,$H153*($E153-$O153)),0))</f>
        <v>0</v>
      </c>
      <c r="Q153" s="35" t="n">
        <f aca="false">INDEX(Parametros_ANEC73!$F$4:$F$6,MATCH($C153,Parametros_ANEC73!$A$4:$A$6,0))</f>
        <v>1</v>
      </c>
      <c r="R153" s="35" t="n">
        <f aca="false">INDEX(Parametros_ANEC73!$I$4:$I$6,MATCH($C153,Parametros_ANEC73!$A$4:$A$6,0))</f>
        <v>0</v>
      </c>
      <c r="S153" s="35" t="n">
        <f aca="false">INDEX(Parametros_ANEC73!$L$4:$L$6,MATCH($C153,Parametros_ANEC73!$A$4:$A$6,0))</f>
        <v>0</v>
      </c>
      <c r="T153" s="39" t="n">
        <f aca="false">INDEX(Parametros_ANEC73!$B$14:$B$25,MATCH($B153,Parametros_ANEC73!$A$14:$A$25,0))</f>
        <v>404</v>
      </c>
      <c r="U153" s="40" t="n">
        <f aca="false">IF(OR($D153=0,$G153=""),0,$D153*($T153/100)*($L153*$Q153+$N153*(IF($R153="",$Q153,$R153)-$Q153)+$P153*(IF($S153="",IF($R153="",$Q153,$R153),$S153)-IF($R153="",$Q153,$R153))))</f>
        <v>0</v>
      </c>
      <c r="V153" s="41" t="str">
        <f aca="false">IF(OR($D153=0,$G153=""),"",IF($H153*($E153-INDEX(Parametros_ANEC73!$M$4:$M$6,MATCH($C153,Parametros_ANEC73!$A$4:$A$6,0)))&gt;0,"Sim","Nao"))</f>
        <v>Nao</v>
      </c>
      <c r="W153" s="27" t="str">
        <f aca="false">$A153&amp;"|"&amp;$B153&amp;"|"&amp;$C153</f>
        <v>Cofco|Mar|Umidade</v>
      </c>
    </row>
    <row r="154" customFormat="false" ht="15" hidden="false" customHeight="false" outlineLevel="0" collapsed="false">
      <c r="A154" s="27" t="s">
        <v>43</v>
      </c>
      <c r="B154" s="27" t="s">
        <v>60</v>
      </c>
      <c r="C154" s="27" t="s">
        <v>111</v>
      </c>
      <c r="D154" s="34" t="n">
        <f aca="false">SUMIFS(Media_Cliente_Mes!$C$2:$C$145,Media_Cliente_Mes!$A$2:$A$145,$A154,Media_Cliente_Mes!$B$2:$B$145,$B154)</f>
        <v>66365.71</v>
      </c>
      <c r="E154" s="35" t="n">
        <f aca="false">IF($D154=0,"",IF($C154="Proteina",SUMIFS(Media_Cliente_Mes!$D$2:$D$145,Media_Cliente_Mes!$A$2:$A$145,$A154,Media_Cliente_Mes!$B$2:$B$145,$B154),IF($C154="Umidade",SUMIFS(Media_Cliente_Mes!$E$2:$E$145,Media_Cliente_Mes!$A$2:$A$145,$A154,Media_Cliente_Mes!$B$2:$B$145,$B154),SUMIFS(Media_Cliente_Mes!$F$2:$F$145,Media_Cliente_Mes!$A$2:$A$145,$A154,Media_Cliente_Mes!$B$2:$B$145,$B154))))</f>
        <v>3.72221019107608</v>
      </c>
      <c r="F154" s="35" t="n">
        <f aca="false">INDEX(Parametros_ANEC73!$C$4:$C$6,MATCH($C154,Parametros_ANEC73!$A$4:$A$6,0))</f>
        <v>3.5</v>
      </c>
      <c r="G154" s="35" t="n">
        <f aca="false">IF($C154="Proteina",INDEX(Media_Pool_Mes!$C$2:$C$13,MATCH($B154,Media_Pool_Mes!$A$2:$A$13,0)),IF($C154="Umidade",INDEX(Media_Pool_Mes!$D$2:$D$13,MATCH($B154,Media_Pool_Mes!$A$2:$A$13,0)),INDEX(Media_Pool_Mes!$E$2:$E$13,MATCH($B154,Media_Pool_Mes!$A$2:$A$13,0))))</f>
        <v>3.70596068520473</v>
      </c>
      <c r="H154" s="37" t="n">
        <f aca="false">INDEX(Parametros_ANEC73!$B$4:$B$6,MATCH($C154,Parametros_ANEC73!$A$4:$A$6,0))</f>
        <v>1</v>
      </c>
      <c r="I154" s="38" t="n">
        <f aca="false">IF(OR($D154=0,$G154=""),"",IF($H154*($G154-$F154)&gt;0,$G154,$F154))</f>
        <v>3.70596068520473</v>
      </c>
      <c r="J154" s="27" t="str">
        <f aca="false">IF(OR($D154=0,$G154=""),"",IF($H154*($G154-$F154)&gt;0,"Sim","Nao"))</f>
        <v>Sim</v>
      </c>
      <c r="K154" s="27" t="str">
        <f aca="false">IF(OR($D154=0,$G154=""),"",IF(AND($H154*($E154-$F154)&gt;0,$H154*($E154-$G154)&gt;0),"Sim","Nao"))</f>
        <v>Sim</v>
      </c>
      <c r="L154" s="38" t="n">
        <f aca="false">IF(OR($D154=0,$G154=""),0,IF($K154="Sim",MAX(0,$H154*($E154-$I154)),0))</f>
        <v>0.0162495058713548</v>
      </c>
      <c r="M154" s="35" t="n">
        <f aca="false">INDEX(Parametros_ANEC73!$G$4:$G$6,MATCH($C154,Parametros_ANEC73!$A$4:$A$6,0))</f>
        <v>3.8</v>
      </c>
      <c r="N154" s="38" t="n">
        <f aca="false">IF(OR($D154=0,$G154=""),0,IF(AND($K154="Sim",$M154&lt;&gt;""),MAX(0,$H154*($E154-$M154)),0))</f>
        <v>0</v>
      </c>
      <c r="O154" s="35" t="n">
        <f aca="false">INDEX(Parametros_ANEC73!$J$4:$J$6,MATCH($C154,Parametros_ANEC73!$A$4:$A$6,0))</f>
        <v>4</v>
      </c>
      <c r="P154" s="38" t="n">
        <f aca="false">IF(OR($D154=0,$G154=""),0,IF(AND($K154="Sim",$O154&lt;&gt;""),MAX(0,$H154*($E154-$O154)),0))</f>
        <v>0</v>
      </c>
      <c r="Q154" s="35" t="n">
        <f aca="false">INDEX(Parametros_ANEC73!$F$4:$F$6,MATCH($C154,Parametros_ANEC73!$A$4:$A$6,0))</f>
        <v>1</v>
      </c>
      <c r="R154" s="35" t="n">
        <f aca="false">INDEX(Parametros_ANEC73!$I$4:$I$6,MATCH($C154,Parametros_ANEC73!$A$4:$A$6,0))</f>
        <v>1.5</v>
      </c>
      <c r="S154" s="35" t="n">
        <f aca="false">INDEX(Parametros_ANEC73!$L$4:$L$6,MATCH($C154,Parametros_ANEC73!$A$4:$A$6,0))</f>
        <v>2</v>
      </c>
      <c r="T154" s="39" t="n">
        <f aca="false">INDEX(Parametros_ANEC73!$B$14:$B$25,MATCH($B154,Parametros_ANEC73!$A$14:$A$25,0))</f>
        <v>404</v>
      </c>
      <c r="U154" s="40" t="n">
        <f aca="false">IF(OR($D154=0,$G154=""),0,$D154*($T154/100)*($L154*$Q154+$N154*(IF($R154="",$Q154,$R154)-$Q154)+$P154*(IF($S154="",IF($R154="",$Q154,$R154),$S154)-IF($R154="",$Q154,$R154))))</f>
        <v>4356.77637697858</v>
      </c>
      <c r="V154" s="41" t="str">
        <f aca="false">IF(OR($D154=0,$G154=""),"",IF($H154*($E154-INDEX(Parametros_ANEC73!$M$4:$M$6,MATCH($C154,Parametros_ANEC73!$A$4:$A$6,0)))&gt;0,"Sim","Nao"))</f>
        <v>Nao</v>
      </c>
      <c r="W154" s="27" t="str">
        <f aca="false">$A154&amp;"|"&amp;$B154&amp;"|"&amp;$C154</f>
        <v>Cofco|Mar|Fibra</v>
      </c>
    </row>
    <row r="155" customFormat="false" ht="15" hidden="false" customHeight="false" outlineLevel="0" collapsed="false">
      <c r="A155" s="27" t="s">
        <v>43</v>
      </c>
      <c r="B155" s="27" t="s">
        <v>61</v>
      </c>
      <c r="C155" s="27" t="s">
        <v>109</v>
      </c>
      <c r="D155" s="34" t="n">
        <f aca="false">SUMIFS(Media_Cliente_Mes!$C$2:$C$145,Media_Cliente_Mes!$A$2:$A$145,$A155,Media_Cliente_Mes!$B$2:$B$145,$B155)</f>
        <v>92764.41</v>
      </c>
      <c r="E155" s="35" t="n">
        <f aca="false">IF($D155=0,"",IF($C155="Proteina",SUMIFS(Media_Cliente_Mes!$D$2:$D$145,Media_Cliente_Mes!$A$2:$A$145,$A155,Media_Cliente_Mes!$B$2:$B$145,$B155),IF($C155="Umidade",SUMIFS(Media_Cliente_Mes!$E$2:$E$145,Media_Cliente_Mes!$A$2:$A$145,$A155,Media_Cliente_Mes!$B$2:$B$145,$B155),SUMIFS(Media_Cliente_Mes!$F$2:$F$145,Media_Cliente_Mes!$A$2:$A$145,$A155,Media_Cliente_Mes!$B$2:$B$145,$B155))))</f>
        <v>47.3172978624022</v>
      </c>
      <c r="F155" s="35" t="n">
        <f aca="false">INDEX(Parametros_ANEC73!$C$4:$C$6,MATCH($C155,Parametros_ANEC73!$A$4:$A$6,0))</f>
        <v>48</v>
      </c>
      <c r="G155" s="35" t="n">
        <f aca="false">IF($C155="Proteina",INDEX(Media_Pool_Mes!$C$2:$C$13,MATCH($B155,Media_Pool_Mes!$A$2:$A$13,0)),IF($C155="Umidade",INDEX(Media_Pool_Mes!$D$2:$D$13,MATCH($B155,Media_Pool_Mes!$A$2:$A$13,0)),INDEX(Media_Pool_Mes!$E$2:$E$13,MATCH($B155,Media_Pool_Mes!$A$2:$A$13,0))))</f>
        <v>47.5395057496784</v>
      </c>
      <c r="H155" s="37" t="n">
        <f aca="false">INDEX(Parametros_ANEC73!$B$4:$B$6,MATCH($C155,Parametros_ANEC73!$A$4:$A$6,0))</f>
        <v>-1</v>
      </c>
      <c r="I155" s="38" t="n">
        <f aca="false">IF(OR($D155=0,$G155=""),"",IF($H155*($G155-$F155)&gt;0,$G155,$F155))</f>
        <v>47.5395057496784</v>
      </c>
      <c r="J155" s="27" t="str">
        <f aca="false">IF(OR($D155=0,$G155=""),"",IF($H155*($G155-$F155)&gt;0,"Sim","Nao"))</f>
        <v>Sim</v>
      </c>
      <c r="K155" s="27" t="str">
        <f aca="false">IF(OR($D155=0,$G155=""),"",IF(AND($H155*($E155-$F155)&gt;0,$H155*($E155-$G155)&gt;0),"Sim","Nao"))</f>
        <v>Sim</v>
      </c>
      <c r="L155" s="38" t="n">
        <f aca="false">IF(OR($D155=0,$G155=""),0,IF($K155="Sim",MAX(0,$H155*($E155-$I155)),0))</f>
        <v>0.22220788727622</v>
      </c>
      <c r="M155" s="35" t="n">
        <f aca="false">INDEX(Parametros_ANEC73!$G$4:$G$6,MATCH($C155,Parametros_ANEC73!$A$4:$A$6,0))</f>
        <v>47</v>
      </c>
      <c r="N155" s="38" t="n">
        <f aca="false">IF(OR($D155=0,$G155=""),0,IF(AND($K155="Sim",$M155&lt;&gt;""),MAX(0,$H155*($E155-$M155)),0))</f>
        <v>0</v>
      </c>
      <c r="O155" s="35" t="n">
        <f aca="false">INDEX(Parametros_ANEC73!$J$4:$J$6,MATCH($C155,Parametros_ANEC73!$A$4:$A$6,0))</f>
        <v>0</v>
      </c>
      <c r="P155" s="38" t="n">
        <f aca="false">IF(OR($D155=0,$G155=""),0,IF(AND($K155="Sim",$O155&lt;&gt;""),MAX(0,$H155*($E155-$O155)),0))</f>
        <v>0</v>
      </c>
      <c r="Q155" s="35" t="n">
        <f aca="false">INDEX(Parametros_ANEC73!$F$4:$F$6,MATCH($C155,Parametros_ANEC73!$A$4:$A$6,0))</f>
        <v>1</v>
      </c>
      <c r="R155" s="35" t="n">
        <f aca="false">INDEX(Parametros_ANEC73!$I$4:$I$6,MATCH($C155,Parametros_ANEC73!$A$4:$A$6,0))</f>
        <v>2</v>
      </c>
      <c r="S155" s="35" t="n">
        <f aca="false">INDEX(Parametros_ANEC73!$L$4:$L$6,MATCH($C155,Parametros_ANEC73!$A$4:$A$6,0))</f>
        <v>0</v>
      </c>
      <c r="T155" s="39" t="n">
        <f aca="false">INDEX(Parametros_ANEC73!$B$14:$B$25,MATCH($B155,Parametros_ANEC73!$A$14:$A$25,0))</f>
        <v>415</v>
      </c>
      <c r="U155" s="40" t="n">
        <f aca="false">IF(OR($D155=0,$G155=""),0,$D155*($T155/100)*($L155*$Q155+$N155*(IF($R155="",$Q155,$R155)-$Q155)+$P155*(IF($S155="",IF($R155="",$Q155,$R155),$S155)-IF($R155="",$Q155,$R155))))</f>
        <v>85543.8817761789</v>
      </c>
      <c r="V155" s="41" t="str">
        <f aca="false">IF(OR($D155=0,$G155=""),"",IF($H155*($E155-INDEX(Parametros_ANEC73!$M$4:$M$6,MATCH($C155,Parametros_ANEC73!$A$4:$A$6,0)))&gt;0,"Sim","Nao"))</f>
        <v>Nao</v>
      </c>
      <c r="W155" s="27" t="str">
        <f aca="false">$A155&amp;"|"&amp;$B155&amp;"|"&amp;$C155</f>
        <v>Cofco|Abr|Proteina</v>
      </c>
    </row>
    <row r="156" customFormat="false" ht="15" hidden="false" customHeight="false" outlineLevel="0" collapsed="false">
      <c r="A156" s="27" t="s">
        <v>43</v>
      </c>
      <c r="B156" s="27" t="s">
        <v>61</v>
      </c>
      <c r="C156" s="27" t="s">
        <v>110</v>
      </c>
      <c r="D156" s="34" t="n">
        <f aca="false">SUMIFS(Media_Cliente_Mes!$C$2:$C$145,Media_Cliente_Mes!$A$2:$A$145,$A156,Media_Cliente_Mes!$B$2:$B$145,$B156)</f>
        <v>92764.41</v>
      </c>
      <c r="E156" s="35" t="n">
        <f aca="false">IF($D156=0,"",IF($C156="Proteina",SUMIFS(Media_Cliente_Mes!$D$2:$D$145,Media_Cliente_Mes!$A$2:$A$145,$A156,Media_Cliente_Mes!$B$2:$B$145,$B156),IF($C156="Umidade",SUMIFS(Media_Cliente_Mes!$E$2:$E$145,Media_Cliente_Mes!$A$2:$A$145,$A156,Media_Cliente_Mes!$B$2:$B$145,$B156),SUMIFS(Media_Cliente_Mes!$F$2:$F$145,Media_Cliente_Mes!$A$2:$A$145,$A156,Media_Cliente_Mes!$B$2:$B$145,$B156))))</f>
        <v>12.4482291732357</v>
      </c>
      <c r="F156" s="35" t="n">
        <f aca="false">INDEX(Parametros_ANEC73!$C$4:$C$6,MATCH($C156,Parametros_ANEC73!$A$4:$A$6,0))</f>
        <v>12.5</v>
      </c>
      <c r="G156" s="35" t="n">
        <f aca="false">IF($C156="Proteina",INDEX(Media_Pool_Mes!$C$2:$C$13,MATCH($B156,Media_Pool_Mes!$A$2:$A$13,0)),IF($C156="Umidade",INDEX(Media_Pool_Mes!$D$2:$D$13,MATCH($B156,Media_Pool_Mes!$A$2:$A$13,0)),INDEX(Media_Pool_Mes!$E$2:$E$13,MATCH($B156,Media_Pool_Mes!$A$2:$A$13,0))))</f>
        <v>12.3606134360148</v>
      </c>
      <c r="H156" s="37" t="n">
        <f aca="false">INDEX(Parametros_ANEC73!$B$4:$B$6,MATCH($C156,Parametros_ANEC73!$A$4:$A$6,0))</f>
        <v>1</v>
      </c>
      <c r="I156" s="38" t="n">
        <f aca="false">IF(OR($D156=0,$G156=""),"",IF($H156*($G156-$F156)&gt;0,$G156,$F156))</f>
        <v>12.5</v>
      </c>
      <c r="J156" s="27" t="str">
        <f aca="false">IF(OR($D156=0,$G156=""),"",IF($H156*($G156-$F156)&gt;0,"Sim","Nao"))</f>
        <v>Nao</v>
      </c>
      <c r="K156" s="27" t="str">
        <f aca="false">IF(OR($D156=0,$G156=""),"",IF(AND($H156*($E156-$F156)&gt;0,$H156*($E156-$G156)&gt;0),"Sim","Nao"))</f>
        <v>Nao</v>
      </c>
      <c r="L156" s="38" t="n">
        <f aca="false">IF(OR($D156=0,$G156=""),0,IF($K156="Sim",MAX(0,$H156*($E156-$I156)),0))</f>
        <v>0</v>
      </c>
      <c r="M156" s="35" t="n">
        <f aca="false">INDEX(Parametros_ANEC73!$G$4:$G$6,MATCH($C156,Parametros_ANEC73!$A$4:$A$6,0))</f>
        <v>0</v>
      </c>
      <c r="N156" s="38" t="n">
        <f aca="false">IF(OR($D156=0,$G156=""),0,IF(AND($K156="Sim",$M156&lt;&gt;""),MAX(0,$H156*($E156-$M156)),0))</f>
        <v>0</v>
      </c>
      <c r="O156" s="35" t="n">
        <f aca="false">INDEX(Parametros_ANEC73!$J$4:$J$6,MATCH($C156,Parametros_ANEC73!$A$4:$A$6,0))</f>
        <v>0</v>
      </c>
      <c r="P156" s="38" t="n">
        <f aca="false">IF(OR($D156=0,$G156=""),0,IF(AND($K156="Sim",$O156&lt;&gt;""),MAX(0,$H156*($E156-$O156)),0))</f>
        <v>0</v>
      </c>
      <c r="Q156" s="35" t="n">
        <f aca="false">INDEX(Parametros_ANEC73!$F$4:$F$6,MATCH($C156,Parametros_ANEC73!$A$4:$A$6,0))</f>
        <v>1</v>
      </c>
      <c r="R156" s="35" t="n">
        <f aca="false">INDEX(Parametros_ANEC73!$I$4:$I$6,MATCH($C156,Parametros_ANEC73!$A$4:$A$6,0))</f>
        <v>0</v>
      </c>
      <c r="S156" s="35" t="n">
        <f aca="false">INDEX(Parametros_ANEC73!$L$4:$L$6,MATCH($C156,Parametros_ANEC73!$A$4:$A$6,0))</f>
        <v>0</v>
      </c>
      <c r="T156" s="39" t="n">
        <f aca="false">INDEX(Parametros_ANEC73!$B$14:$B$25,MATCH($B156,Parametros_ANEC73!$A$14:$A$25,0))</f>
        <v>415</v>
      </c>
      <c r="U156" s="40" t="n">
        <f aca="false">IF(OR($D156=0,$G156=""),0,$D156*($T156/100)*($L156*$Q156+$N156*(IF($R156="",$Q156,$R156)-$Q156)+$P156*(IF($S156="",IF($R156="",$Q156,$R156),$S156)-IF($R156="",$Q156,$R156))))</f>
        <v>0</v>
      </c>
      <c r="V156" s="41" t="str">
        <f aca="false">IF(OR($D156=0,$G156=""),"",IF($H156*($E156-INDEX(Parametros_ANEC73!$M$4:$M$6,MATCH($C156,Parametros_ANEC73!$A$4:$A$6,0)))&gt;0,"Sim","Nao"))</f>
        <v>Nao</v>
      </c>
      <c r="W156" s="27" t="str">
        <f aca="false">$A156&amp;"|"&amp;$B156&amp;"|"&amp;$C156</f>
        <v>Cofco|Abr|Umidade</v>
      </c>
    </row>
    <row r="157" customFormat="false" ht="15" hidden="false" customHeight="false" outlineLevel="0" collapsed="false">
      <c r="A157" s="27" t="s">
        <v>43</v>
      </c>
      <c r="B157" s="27" t="s">
        <v>61</v>
      </c>
      <c r="C157" s="27" t="s">
        <v>111</v>
      </c>
      <c r="D157" s="34" t="n">
        <f aca="false">SUMIFS(Media_Cliente_Mes!$C$2:$C$145,Media_Cliente_Mes!$A$2:$A$145,$A157,Media_Cliente_Mes!$B$2:$B$145,$B157)</f>
        <v>92764.41</v>
      </c>
      <c r="E157" s="35" t="n">
        <f aca="false">IF($D157=0,"",IF($C157="Proteina",SUMIFS(Media_Cliente_Mes!$D$2:$D$145,Media_Cliente_Mes!$A$2:$A$145,$A157,Media_Cliente_Mes!$B$2:$B$145,$B157),IF($C157="Umidade",SUMIFS(Media_Cliente_Mes!$E$2:$E$145,Media_Cliente_Mes!$A$2:$A$145,$A157,Media_Cliente_Mes!$B$2:$B$145,$B157),SUMIFS(Media_Cliente_Mes!$F$2:$F$145,Media_Cliente_Mes!$A$2:$A$145,$A157,Media_Cliente_Mes!$B$2:$B$145,$B157))))</f>
        <v>3.76102840626055</v>
      </c>
      <c r="F157" s="35" t="n">
        <f aca="false">INDEX(Parametros_ANEC73!$C$4:$C$6,MATCH($C157,Parametros_ANEC73!$A$4:$A$6,0))</f>
        <v>3.5</v>
      </c>
      <c r="G157" s="35" t="n">
        <f aca="false">IF($C157="Proteina",INDEX(Media_Pool_Mes!$C$2:$C$13,MATCH($B157,Media_Pool_Mes!$A$2:$A$13,0)),IF($C157="Umidade",INDEX(Media_Pool_Mes!$D$2:$D$13,MATCH($B157,Media_Pool_Mes!$A$2:$A$13,0)),INDEX(Media_Pool_Mes!$E$2:$E$13,MATCH($B157,Media_Pool_Mes!$A$2:$A$13,0))))</f>
        <v>3.66155636815217</v>
      </c>
      <c r="H157" s="37" t="n">
        <f aca="false">INDEX(Parametros_ANEC73!$B$4:$B$6,MATCH($C157,Parametros_ANEC73!$A$4:$A$6,0))</f>
        <v>1</v>
      </c>
      <c r="I157" s="38" t="n">
        <f aca="false">IF(OR($D157=0,$G157=""),"",IF($H157*($G157-$F157)&gt;0,$G157,$F157))</f>
        <v>3.66155636815217</v>
      </c>
      <c r="J157" s="27" t="str">
        <f aca="false">IF(OR($D157=0,$G157=""),"",IF($H157*($G157-$F157)&gt;0,"Sim","Nao"))</f>
        <v>Sim</v>
      </c>
      <c r="K157" s="27" t="str">
        <f aca="false">IF(OR($D157=0,$G157=""),"",IF(AND($H157*($E157-$F157)&gt;0,$H157*($E157-$G157)&gt;0),"Sim","Nao"))</f>
        <v>Sim</v>
      </c>
      <c r="L157" s="38" t="n">
        <f aca="false">IF(OR($D157=0,$G157=""),0,IF($K157="Sim",MAX(0,$H157*($E157-$I157)),0))</f>
        <v>0.0994720381083778</v>
      </c>
      <c r="M157" s="35" t="n">
        <f aca="false">INDEX(Parametros_ANEC73!$G$4:$G$6,MATCH($C157,Parametros_ANEC73!$A$4:$A$6,0))</f>
        <v>3.8</v>
      </c>
      <c r="N157" s="38" t="n">
        <f aca="false">IF(OR($D157=0,$G157=""),0,IF(AND($K157="Sim",$M157&lt;&gt;""),MAX(0,$H157*($E157-$M157)),0))</f>
        <v>0</v>
      </c>
      <c r="O157" s="35" t="n">
        <f aca="false">INDEX(Parametros_ANEC73!$J$4:$J$6,MATCH($C157,Parametros_ANEC73!$A$4:$A$6,0))</f>
        <v>4</v>
      </c>
      <c r="P157" s="38" t="n">
        <f aca="false">IF(OR($D157=0,$G157=""),0,IF(AND($K157="Sim",$O157&lt;&gt;""),MAX(0,$H157*($E157-$O157)),0))</f>
        <v>0</v>
      </c>
      <c r="Q157" s="35" t="n">
        <f aca="false">INDEX(Parametros_ANEC73!$F$4:$F$6,MATCH($C157,Parametros_ANEC73!$A$4:$A$6,0))</f>
        <v>1</v>
      </c>
      <c r="R157" s="35" t="n">
        <f aca="false">INDEX(Parametros_ANEC73!$I$4:$I$6,MATCH($C157,Parametros_ANEC73!$A$4:$A$6,0))</f>
        <v>1.5</v>
      </c>
      <c r="S157" s="35" t="n">
        <f aca="false">INDEX(Parametros_ANEC73!$L$4:$L$6,MATCH($C157,Parametros_ANEC73!$A$4:$A$6,0))</f>
        <v>2</v>
      </c>
      <c r="T157" s="39" t="n">
        <f aca="false">INDEX(Parametros_ANEC73!$B$14:$B$25,MATCH($B157,Parametros_ANEC73!$A$14:$A$25,0))</f>
        <v>415</v>
      </c>
      <c r="U157" s="40" t="n">
        <f aca="false">IF(OR($D157=0,$G157=""),0,$D157*($T157/100)*($L157*$Q157+$N157*(IF($R157="",$Q157,$R157)-$Q157)+$P157*(IF($S157="",IF($R157="",$Q157,$R157),$S157)-IF($R157="",$Q157,$R157))))</f>
        <v>38293.9794454779</v>
      </c>
      <c r="V157" s="41" t="str">
        <f aca="false">IF(OR($D157=0,$G157=""),"",IF($H157*($E157-INDEX(Parametros_ANEC73!$M$4:$M$6,MATCH($C157,Parametros_ANEC73!$A$4:$A$6,0)))&gt;0,"Sim","Nao"))</f>
        <v>Nao</v>
      </c>
      <c r="W157" s="27" t="str">
        <f aca="false">$A157&amp;"|"&amp;$B157&amp;"|"&amp;$C157</f>
        <v>Cofco|Abr|Fibra</v>
      </c>
    </row>
    <row r="158" customFormat="false" ht="15" hidden="false" customHeight="false" outlineLevel="0" collapsed="false">
      <c r="A158" s="27" t="s">
        <v>43</v>
      </c>
      <c r="B158" s="27" t="s">
        <v>62</v>
      </c>
      <c r="C158" s="27" t="s">
        <v>109</v>
      </c>
      <c r="D158" s="34" t="n">
        <f aca="false">SUMIFS(Media_Cliente_Mes!$C$2:$C$145,Media_Cliente_Mes!$A$2:$A$145,$A158,Media_Cliente_Mes!$B$2:$B$145,$B158)</f>
        <v>63744.72</v>
      </c>
      <c r="E158" s="35" t="n">
        <f aca="false">IF($D158=0,"",IF($C158="Proteina",SUMIFS(Media_Cliente_Mes!$D$2:$D$145,Media_Cliente_Mes!$A$2:$A$145,$A158,Media_Cliente_Mes!$B$2:$B$145,$B158),IF($C158="Umidade",SUMIFS(Media_Cliente_Mes!$E$2:$E$145,Media_Cliente_Mes!$A$2:$A$145,$A158,Media_Cliente_Mes!$B$2:$B$145,$B158),SUMIFS(Media_Cliente_Mes!$F$2:$F$145,Media_Cliente_Mes!$A$2:$A$145,$A158,Media_Cliente_Mes!$B$2:$B$145,$B158))))</f>
        <v>47.6858338070981</v>
      </c>
      <c r="F158" s="35" t="n">
        <f aca="false">INDEX(Parametros_ANEC73!$C$4:$C$6,MATCH($C158,Parametros_ANEC73!$A$4:$A$6,0))</f>
        <v>48</v>
      </c>
      <c r="G158" s="35" t="n">
        <f aca="false">IF($C158="Proteina",INDEX(Media_Pool_Mes!$C$2:$C$13,MATCH($B158,Media_Pool_Mes!$A$2:$A$13,0)),IF($C158="Umidade",INDEX(Media_Pool_Mes!$D$2:$D$13,MATCH($B158,Media_Pool_Mes!$A$2:$A$13,0)),INDEX(Media_Pool_Mes!$E$2:$E$13,MATCH($B158,Media_Pool_Mes!$A$2:$A$13,0))))</f>
        <v>47.6334614958572</v>
      </c>
      <c r="H158" s="37" t="n">
        <f aca="false">INDEX(Parametros_ANEC73!$B$4:$B$6,MATCH($C158,Parametros_ANEC73!$A$4:$A$6,0))</f>
        <v>-1</v>
      </c>
      <c r="I158" s="38" t="n">
        <f aca="false">IF(OR($D158=0,$G158=""),"",IF($H158*($G158-$F158)&gt;0,$G158,$F158))</f>
        <v>47.6334614958572</v>
      </c>
      <c r="J158" s="27" t="str">
        <f aca="false">IF(OR($D158=0,$G158=""),"",IF($H158*($G158-$F158)&gt;0,"Sim","Nao"))</f>
        <v>Sim</v>
      </c>
      <c r="K158" s="27" t="str">
        <f aca="false">IF(OR($D158=0,$G158=""),"",IF(AND($H158*($E158-$F158)&gt;0,$H158*($E158-$G158)&gt;0),"Sim","Nao"))</f>
        <v>Nao</v>
      </c>
      <c r="L158" s="38" t="n">
        <f aca="false">IF(OR($D158=0,$G158=""),0,IF($K158="Sim",MAX(0,$H158*($E158-$I158)),0))</f>
        <v>0</v>
      </c>
      <c r="M158" s="35" t="n">
        <f aca="false">INDEX(Parametros_ANEC73!$G$4:$G$6,MATCH($C158,Parametros_ANEC73!$A$4:$A$6,0))</f>
        <v>47</v>
      </c>
      <c r="N158" s="38" t="n">
        <f aca="false">IF(OR($D158=0,$G158=""),0,IF(AND($K158="Sim",$M158&lt;&gt;""),MAX(0,$H158*($E158-$M158)),0))</f>
        <v>0</v>
      </c>
      <c r="O158" s="35" t="n">
        <f aca="false">INDEX(Parametros_ANEC73!$J$4:$J$6,MATCH($C158,Parametros_ANEC73!$A$4:$A$6,0))</f>
        <v>0</v>
      </c>
      <c r="P158" s="38" t="n">
        <f aca="false">IF(OR($D158=0,$G158=""),0,IF(AND($K158="Sim",$O158&lt;&gt;""),MAX(0,$H158*($E158-$O158)),0))</f>
        <v>0</v>
      </c>
      <c r="Q158" s="35" t="n">
        <f aca="false">INDEX(Parametros_ANEC73!$F$4:$F$6,MATCH($C158,Parametros_ANEC73!$A$4:$A$6,0))</f>
        <v>1</v>
      </c>
      <c r="R158" s="35" t="n">
        <f aca="false">INDEX(Parametros_ANEC73!$I$4:$I$6,MATCH($C158,Parametros_ANEC73!$A$4:$A$6,0))</f>
        <v>2</v>
      </c>
      <c r="S158" s="35" t="n">
        <f aca="false">INDEX(Parametros_ANEC73!$L$4:$L$6,MATCH($C158,Parametros_ANEC73!$A$4:$A$6,0))</f>
        <v>0</v>
      </c>
      <c r="T158" s="39" t="n">
        <f aca="false">INDEX(Parametros_ANEC73!$B$14:$B$25,MATCH($B158,Parametros_ANEC73!$A$14:$A$25,0))</f>
        <v>343</v>
      </c>
      <c r="U158" s="40" t="n">
        <f aca="false">IF(OR($D158=0,$G158=""),0,$D158*($T158/100)*($L158*$Q158+$N158*(IF($R158="",$Q158,$R158)-$Q158)+$P158*(IF($S158="",IF($R158="",$Q158,$R158),$S158)-IF($R158="",$Q158,$R158))))</f>
        <v>0</v>
      </c>
      <c r="V158" s="41" t="str">
        <f aca="false">IF(OR($D158=0,$G158=""),"",IF($H158*($E158-INDEX(Parametros_ANEC73!$M$4:$M$6,MATCH($C158,Parametros_ANEC73!$A$4:$A$6,0)))&gt;0,"Sim","Nao"))</f>
        <v>Nao</v>
      </c>
      <c r="W158" s="27" t="str">
        <f aca="false">$A158&amp;"|"&amp;$B158&amp;"|"&amp;$C158</f>
        <v>Cofco|Mai|Proteina</v>
      </c>
    </row>
    <row r="159" customFormat="false" ht="15" hidden="false" customHeight="false" outlineLevel="0" collapsed="false">
      <c r="A159" s="27" t="s">
        <v>43</v>
      </c>
      <c r="B159" s="27" t="s">
        <v>62</v>
      </c>
      <c r="C159" s="27" t="s">
        <v>110</v>
      </c>
      <c r="D159" s="34" t="n">
        <f aca="false">SUMIFS(Media_Cliente_Mes!$C$2:$C$145,Media_Cliente_Mes!$A$2:$A$145,$A159,Media_Cliente_Mes!$B$2:$B$145,$B159)</f>
        <v>63744.72</v>
      </c>
      <c r="E159" s="35" t="n">
        <f aca="false">IF($D159=0,"",IF($C159="Proteina",SUMIFS(Media_Cliente_Mes!$D$2:$D$145,Media_Cliente_Mes!$A$2:$A$145,$A159,Media_Cliente_Mes!$B$2:$B$145,$B159),IF($C159="Umidade",SUMIFS(Media_Cliente_Mes!$E$2:$E$145,Media_Cliente_Mes!$A$2:$A$145,$A159,Media_Cliente_Mes!$B$2:$B$145,$B159),SUMIFS(Media_Cliente_Mes!$F$2:$F$145,Media_Cliente_Mes!$A$2:$A$145,$A159,Media_Cliente_Mes!$B$2:$B$145,$B159))))</f>
        <v>12.5075041415195</v>
      </c>
      <c r="F159" s="35" t="n">
        <f aca="false">INDEX(Parametros_ANEC73!$C$4:$C$6,MATCH($C159,Parametros_ANEC73!$A$4:$A$6,0))</f>
        <v>12.5</v>
      </c>
      <c r="G159" s="35" t="n">
        <f aca="false">IF($C159="Proteina",INDEX(Media_Pool_Mes!$C$2:$C$13,MATCH($B159,Media_Pool_Mes!$A$2:$A$13,0)),IF($C159="Umidade",INDEX(Media_Pool_Mes!$D$2:$D$13,MATCH($B159,Media_Pool_Mes!$A$2:$A$13,0)),INDEX(Media_Pool_Mes!$E$2:$E$13,MATCH($B159,Media_Pool_Mes!$A$2:$A$13,0))))</f>
        <v>12.3121752562954</v>
      </c>
      <c r="H159" s="37" t="n">
        <f aca="false">INDEX(Parametros_ANEC73!$B$4:$B$6,MATCH($C159,Parametros_ANEC73!$A$4:$A$6,0))</f>
        <v>1</v>
      </c>
      <c r="I159" s="38" t="n">
        <f aca="false">IF(OR($D159=0,$G159=""),"",IF($H159*($G159-$F159)&gt;0,$G159,$F159))</f>
        <v>12.5</v>
      </c>
      <c r="J159" s="27" t="str">
        <f aca="false">IF(OR($D159=0,$G159=""),"",IF($H159*($G159-$F159)&gt;0,"Sim","Nao"))</f>
        <v>Nao</v>
      </c>
      <c r="K159" s="27" t="str">
        <f aca="false">IF(OR($D159=0,$G159=""),"",IF(AND($H159*($E159-$F159)&gt;0,$H159*($E159-$G159)&gt;0),"Sim","Nao"))</f>
        <v>Sim</v>
      </c>
      <c r="L159" s="38" t="n">
        <f aca="false">IF(OR($D159=0,$G159=""),0,IF($K159="Sim",MAX(0,$H159*($E159-$I159)),0))</f>
        <v>0.00750414151948498</v>
      </c>
      <c r="M159" s="35" t="n">
        <f aca="false">INDEX(Parametros_ANEC73!$G$4:$G$6,MATCH($C159,Parametros_ANEC73!$A$4:$A$6,0))</f>
        <v>0</v>
      </c>
      <c r="N159" s="38" t="n">
        <f aca="false">IF(OR($D159=0,$G159=""),0,IF(AND($K159="Sim",$M159&lt;&gt;""),MAX(0,$H159*($E159-$M159)),0))</f>
        <v>0</v>
      </c>
      <c r="O159" s="35" t="n">
        <f aca="false">INDEX(Parametros_ANEC73!$J$4:$J$6,MATCH($C159,Parametros_ANEC73!$A$4:$A$6,0))</f>
        <v>0</v>
      </c>
      <c r="P159" s="38" t="n">
        <f aca="false">IF(OR($D159=0,$G159=""),0,IF(AND($K159="Sim",$O159&lt;&gt;""),MAX(0,$H159*($E159-$O159)),0))</f>
        <v>0</v>
      </c>
      <c r="Q159" s="35" t="n">
        <f aca="false">INDEX(Parametros_ANEC73!$F$4:$F$6,MATCH($C159,Parametros_ANEC73!$A$4:$A$6,0))</f>
        <v>1</v>
      </c>
      <c r="R159" s="35" t="n">
        <f aca="false">INDEX(Parametros_ANEC73!$I$4:$I$6,MATCH($C159,Parametros_ANEC73!$A$4:$A$6,0))</f>
        <v>0</v>
      </c>
      <c r="S159" s="35" t="n">
        <f aca="false">INDEX(Parametros_ANEC73!$L$4:$L$6,MATCH($C159,Parametros_ANEC73!$A$4:$A$6,0))</f>
        <v>0</v>
      </c>
      <c r="T159" s="39" t="n">
        <f aca="false">INDEX(Parametros_ANEC73!$B$14:$B$25,MATCH($B159,Parametros_ANEC73!$A$14:$A$25,0))</f>
        <v>343</v>
      </c>
      <c r="U159" s="40" t="n">
        <f aca="false">IF(OR($D159=0,$G159=""),0,$D159*($T159/100)*($L159*$Q159+$N159*(IF($R159="",$Q159,$R159)-$Q159)+$P159*(IF($S159="",IF($R159="",$Q159,$R159),$S159)-IF($R159="",$Q159,$R159))))</f>
        <v>1640.73844199981</v>
      </c>
      <c r="V159" s="41" t="str">
        <f aca="false">IF(OR($D159=0,$G159=""),"",IF($H159*($E159-INDEX(Parametros_ANEC73!$M$4:$M$6,MATCH($C159,Parametros_ANEC73!$A$4:$A$6,0)))&gt;0,"Sim","Nao"))</f>
        <v>Nao</v>
      </c>
      <c r="W159" s="27" t="str">
        <f aca="false">$A159&amp;"|"&amp;$B159&amp;"|"&amp;$C159</f>
        <v>Cofco|Mai|Umidade</v>
      </c>
    </row>
    <row r="160" customFormat="false" ht="15" hidden="false" customHeight="false" outlineLevel="0" collapsed="false">
      <c r="A160" s="27" t="s">
        <v>43</v>
      </c>
      <c r="B160" s="27" t="s">
        <v>62</v>
      </c>
      <c r="C160" s="27" t="s">
        <v>111</v>
      </c>
      <c r="D160" s="34" t="n">
        <f aca="false">SUMIFS(Media_Cliente_Mes!$C$2:$C$145,Media_Cliente_Mes!$A$2:$A$145,$A160,Media_Cliente_Mes!$B$2:$B$145,$B160)</f>
        <v>63744.72</v>
      </c>
      <c r="E160" s="35" t="n">
        <f aca="false">IF($D160=0,"",IF($C160="Proteina",SUMIFS(Media_Cliente_Mes!$D$2:$D$145,Media_Cliente_Mes!$A$2:$A$145,$A160,Media_Cliente_Mes!$B$2:$B$145,$B160),IF($C160="Umidade",SUMIFS(Media_Cliente_Mes!$E$2:$E$145,Media_Cliente_Mes!$A$2:$A$145,$A160,Media_Cliente_Mes!$B$2:$B$145,$B160),SUMIFS(Media_Cliente_Mes!$F$2:$F$145,Media_Cliente_Mes!$A$2:$A$145,$A160,Media_Cliente_Mes!$B$2:$B$145,$B160))))</f>
        <v>3.59712009088753</v>
      </c>
      <c r="F160" s="35" t="n">
        <f aca="false">INDEX(Parametros_ANEC73!$C$4:$C$6,MATCH($C160,Parametros_ANEC73!$A$4:$A$6,0))</f>
        <v>3.5</v>
      </c>
      <c r="G160" s="35" t="n">
        <f aca="false">IF($C160="Proteina",INDEX(Media_Pool_Mes!$C$2:$C$13,MATCH($B160,Media_Pool_Mes!$A$2:$A$13,0)),IF($C160="Umidade",INDEX(Media_Pool_Mes!$D$2:$D$13,MATCH($B160,Media_Pool_Mes!$A$2:$A$13,0)),INDEX(Media_Pool_Mes!$E$2:$E$13,MATCH($B160,Media_Pool_Mes!$A$2:$A$13,0))))</f>
        <v>3.64524916105719</v>
      </c>
      <c r="H160" s="37" t="n">
        <f aca="false">INDEX(Parametros_ANEC73!$B$4:$B$6,MATCH($C160,Parametros_ANEC73!$A$4:$A$6,0))</f>
        <v>1</v>
      </c>
      <c r="I160" s="38" t="n">
        <f aca="false">IF(OR($D160=0,$G160=""),"",IF($H160*($G160-$F160)&gt;0,$G160,$F160))</f>
        <v>3.64524916105719</v>
      </c>
      <c r="J160" s="27" t="str">
        <f aca="false">IF(OR($D160=0,$G160=""),"",IF($H160*($G160-$F160)&gt;0,"Sim","Nao"))</f>
        <v>Sim</v>
      </c>
      <c r="K160" s="27" t="str">
        <f aca="false">IF(OR($D160=0,$G160=""),"",IF(AND($H160*($E160-$F160)&gt;0,$H160*($E160-$G160)&gt;0),"Sim","Nao"))</f>
        <v>Nao</v>
      </c>
      <c r="L160" s="38" t="n">
        <f aca="false">IF(OR($D160=0,$G160=""),0,IF($K160="Sim",MAX(0,$H160*($E160-$I160)),0))</f>
        <v>0</v>
      </c>
      <c r="M160" s="35" t="n">
        <f aca="false">INDEX(Parametros_ANEC73!$G$4:$G$6,MATCH($C160,Parametros_ANEC73!$A$4:$A$6,0))</f>
        <v>3.8</v>
      </c>
      <c r="N160" s="38" t="n">
        <f aca="false">IF(OR($D160=0,$G160=""),0,IF(AND($K160="Sim",$M160&lt;&gt;""),MAX(0,$H160*($E160-$M160)),0))</f>
        <v>0</v>
      </c>
      <c r="O160" s="35" t="n">
        <f aca="false">INDEX(Parametros_ANEC73!$J$4:$J$6,MATCH($C160,Parametros_ANEC73!$A$4:$A$6,0))</f>
        <v>4</v>
      </c>
      <c r="P160" s="38" t="n">
        <f aca="false">IF(OR($D160=0,$G160=""),0,IF(AND($K160="Sim",$O160&lt;&gt;""),MAX(0,$H160*($E160-$O160)),0))</f>
        <v>0</v>
      </c>
      <c r="Q160" s="35" t="n">
        <f aca="false">INDEX(Parametros_ANEC73!$F$4:$F$6,MATCH($C160,Parametros_ANEC73!$A$4:$A$6,0))</f>
        <v>1</v>
      </c>
      <c r="R160" s="35" t="n">
        <f aca="false">INDEX(Parametros_ANEC73!$I$4:$I$6,MATCH($C160,Parametros_ANEC73!$A$4:$A$6,0))</f>
        <v>1.5</v>
      </c>
      <c r="S160" s="35" t="n">
        <f aca="false">INDEX(Parametros_ANEC73!$L$4:$L$6,MATCH($C160,Parametros_ANEC73!$A$4:$A$6,0))</f>
        <v>2</v>
      </c>
      <c r="T160" s="39" t="n">
        <f aca="false">INDEX(Parametros_ANEC73!$B$14:$B$25,MATCH($B160,Parametros_ANEC73!$A$14:$A$25,0))</f>
        <v>343</v>
      </c>
      <c r="U160" s="40" t="n">
        <f aca="false">IF(OR($D160=0,$G160=""),0,$D160*($T160/100)*($L160*$Q160+$N160*(IF($R160="",$Q160,$R160)-$Q160)+$P160*(IF($S160="",IF($R160="",$Q160,$R160),$S160)-IF($R160="",$Q160,$R160))))</f>
        <v>0</v>
      </c>
      <c r="V160" s="41" t="str">
        <f aca="false">IF(OR($D160=0,$G160=""),"",IF($H160*($E160-INDEX(Parametros_ANEC73!$M$4:$M$6,MATCH($C160,Parametros_ANEC73!$A$4:$A$6,0)))&gt;0,"Sim","Nao"))</f>
        <v>Nao</v>
      </c>
      <c r="W160" s="27" t="str">
        <f aca="false">$A160&amp;"|"&amp;$B160&amp;"|"&amp;$C160</f>
        <v>Cofco|Mai|Fibra</v>
      </c>
    </row>
    <row r="161" customFormat="false" ht="15" hidden="false" customHeight="false" outlineLevel="0" collapsed="false">
      <c r="A161" s="27" t="s">
        <v>43</v>
      </c>
      <c r="B161" s="27" t="s">
        <v>63</v>
      </c>
      <c r="C161" s="27" t="s">
        <v>109</v>
      </c>
      <c r="D161" s="34" t="n">
        <f aca="false">SUMIFS(Media_Cliente_Mes!$C$2:$C$145,Media_Cliente_Mes!$A$2:$A$145,$A161,Media_Cliente_Mes!$B$2:$B$145,$B161)</f>
        <v>94743.83</v>
      </c>
      <c r="E161" s="35" t="n">
        <f aca="false">IF($D161=0,"",IF($C161="Proteina",SUMIFS(Media_Cliente_Mes!$D$2:$D$145,Media_Cliente_Mes!$A$2:$A$145,$A161,Media_Cliente_Mes!$B$2:$B$145,$B161),IF($C161="Umidade",SUMIFS(Media_Cliente_Mes!$E$2:$E$145,Media_Cliente_Mes!$A$2:$A$145,$A161,Media_Cliente_Mes!$B$2:$B$145,$B161),SUMIFS(Media_Cliente_Mes!$F$2:$F$145,Media_Cliente_Mes!$A$2:$A$145,$A161,Media_Cliente_Mes!$B$2:$B$145,$B161))))</f>
        <v>47.4441337055933</v>
      </c>
      <c r="F161" s="35" t="n">
        <f aca="false">INDEX(Parametros_ANEC73!$C$4:$C$6,MATCH($C161,Parametros_ANEC73!$A$4:$A$6,0))</f>
        <v>48</v>
      </c>
      <c r="G161" s="35" t="n">
        <f aca="false">IF($C161="Proteina",INDEX(Media_Pool_Mes!$C$2:$C$13,MATCH($B161,Media_Pool_Mes!$A$2:$A$13,0)),IF($C161="Umidade",INDEX(Media_Pool_Mes!$D$2:$D$13,MATCH($B161,Media_Pool_Mes!$A$2:$A$13,0)),INDEX(Media_Pool_Mes!$E$2:$E$13,MATCH($B161,Media_Pool_Mes!$A$2:$A$13,0))))</f>
        <v>47.4834226367413</v>
      </c>
      <c r="H161" s="37" t="n">
        <f aca="false">INDEX(Parametros_ANEC73!$B$4:$B$6,MATCH($C161,Parametros_ANEC73!$A$4:$A$6,0))</f>
        <v>-1</v>
      </c>
      <c r="I161" s="38" t="n">
        <f aca="false">IF(OR($D161=0,$G161=""),"",IF($H161*($G161-$F161)&gt;0,$G161,$F161))</f>
        <v>47.4834226367413</v>
      </c>
      <c r="J161" s="27" t="str">
        <f aca="false">IF(OR($D161=0,$G161=""),"",IF($H161*($G161-$F161)&gt;0,"Sim","Nao"))</f>
        <v>Sim</v>
      </c>
      <c r="K161" s="27" t="str">
        <f aca="false">IF(OR($D161=0,$G161=""),"",IF(AND($H161*($E161-$F161)&gt;0,$H161*($E161-$G161)&gt;0),"Sim","Nao"))</f>
        <v>Sim</v>
      </c>
      <c r="L161" s="38" t="n">
        <f aca="false">IF(OR($D161=0,$G161=""),0,IF($K161="Sim",MAX(0,$H161*($E161-$I161)),0))</f>
        <v>0.0392889311480573</v>
      </c>
      <c r="M161" s="35" t="n">
        <f aca="false">INDEX(Parametros_ANEC73!$G$4:$G$6,MATCH($C161,Parametros_ANEC73!$A$4:$A$6,0))</f>
        <v>47</v>
      </c>
      <c r="N161" s="38" t="n">
        <f aca="false">IF(OR($D161=0,$G161=""),0,IF(AND($K161="Sim",$M161&lt;&gt;""),MAX(0,$H161*($E161-$M161)),0))</f>
        <v>0</v>
      </c>
      <c r="O161" s="35" t="n">
        <f aca="false">INDEX(Parametros_ANEC73!$J$4:$J$6,MATCH($C161,Parametros_ANEC73!$A$4:$A$6,0))</f>
        <v>0</v>
      </c>
      <c r="P161" s="38" t="n">
        <f aca="false">IF(OR($D161=0,$G161=""),0,IF(AND($K161="Sim",$O161&lt;&gt;""),MAX(0,$H161*($E161-$O161)),0))</f>
        <v>0</v>
      </c>
      <c r="Q161" s="35" t="n">
        <f aca="false">INDEX(Parametros_ANEC73!$F$4:$F$6,MATCH($C161,Parametros_ANEC73!$A$4:$A$6,0))</f>
        <v>1</v>
      </c>
      <c r="R161" s="35" t="n">
        <f aca="false">INDEX(Parametros_ANEC73!$I$4:$I$6,MATCH($C161,Parametros_ANEC73!$A$4:$A$6,0))</f>
        <v>2</v>
      </c>
      <c r="S161" s="35" t="n">
        <f aca="false">INDEX(Parametros_ANEC73!$L$4:$L$6,MATCH($C161,Parametros_ANEC73!$A$4:$A$6,0))</f>
        <v>0</v>
      </c>
      <c r="T161" s="39" t="n">
        <f aca="false">INDEX(Parametros_ANEC73!$B$14:$B$25,MATCH($B161,Parametros_ANEC73!$A$14:$A$25,0))</f>
        <v>326</v>
      </c>
      <c r="U161" s="40" t="n">
        <f aca="false">IF(OR($D161=0,$G161=""),0,$D161*($T161/100)*($L161*$Q161+$N161*(IF($R161="",$Q161,$R161)-$Q161)+$P161*(IF($S161="",IF($R161="",$Q161,$R161),$S161)-IF($R161="",$Q161,$R161))))</f>
        <v>12134.9712322488</v>
      </c>
      <c r="V161" s="41" t="str">
        <f aca="false">IF(OR($D161=0,$G161=""),"",IF($H161*($E161-INDEX(Parametros_ANEC73!$M$4:$M$6,MATCH($C161,Parametros_ANEC73!$A$4:$A$6,0)))&gt;0,"Sim","Nao"))</f>
        <v>Nao</v>
      </c>
      <c r="W161" s="27" t="str">
        <f aca="false">$A161&amp;"|"&amp;$B161&amp;"|"&amp;$C161</f>
        <v>Cofco|Jun|Proteina</v>
      </c>
    </row>
    <row r="162" customFormat="false" ht="15" hidden="false" customHeight="false" outlineLevel="0" collapsed="false">
      <c r="A162" s="27" t="s">
        <v>43</v>
      </c>
      <c r="B162" s="27" t="s">
        <v>63</v>
      </c>
      <c r="C162" s="27" t="s">
        <v>110</v>
      </c>
      <c r="D162" s="34" t="n">
        <f aca="false">SUMIFS(Media_Cliente_Mes!$C$2:$C$145,Media_Cliente_Mes!$A$2:$A$145,$A162,Media_Cliente_Mes!$B$2:$B$145,$B162)</f>
        <v>94743.83</v>
      </c>
      <c r="E162" s="35" t="n">
        <f aca="false">IF($D162=0,"",IF($C162="Proteina",SUMIFS(Media_Cliente_Mes!$D$2:$D$145,Media_Cliente_Mes!$A$2:$A$145,$A162,Media_Cliente_Mes!$B$2:$B$145,$B162),IF($C162="Umidade",SUMIFS(Media_Cliente_Mes!$E$2:$E$145,Media_Cliente_Mes!$A$2:$A$145,$A162,Media_Cliente_Mes!$B$2:$B$145,$B162),SUMIFS(Media_Cliente_Mes!$F$2:$F$145,Media_Cliente_Mes!$A$2:$A$145,$A162,Media_Cliente_Mes!$B$2:$B$145,$B162))))</f>
        <v>12.4664559254149</v>
      </c>
      <c r="F162" s="35" t="n">
        <f aca="false">INDEX(Parametros_ANEC73!$C$4:$C$6,MATCH($C162,Parametros_ANEC73!$A$4:$A$6,0))</f>
        <v>12.5</v>
      </c>
      <c r="G162" s="35" t="n">
        <f aca="false">IF($C162="Proteina",INDEX(Media_Pool_Mes!$C$2:$C$13,MATCH($B162,Media_Pool_Mes!$A$2:$A$13,0)),IF($C162="Umidade",INDEX(Media_Pool_Mes!$D$2:$D$13,MATCH($B162,Media_Pool_Mes!$A$2:$A$13,0)),INDEX(Media_Pool_Mes!$E$2:$E$13,MATCH($B162,Media_Pool_Mes!$A$2:$A$13,0))))</f>
        <v>12.6225093779221</v>
      </c>
      <c r="H162" s="37" t="n">
        <f aca="false">INDEX(Parametros_ANEC73!$B$4:$B$6,MATCH($C162,Parametros_ANEC73!$A$4:$A$6,0))</f>
        <v>1</v>
      </c>
      <c r="I162" s="38" t="n">
        <f aca="false">IF(OR($D162=0,$G162=""),"",IF($H162*($G162-$F162)&gt;0,$G162,$F162))</f>
        <v>12.6225093779221</v>
      </c>
      <c r="J162" s="27" t="str">
        <f aca="false">IF(OR($D162=0,$G162=""),"",IF($H162*($G162-$F162)&gt;0,"Sim","Nao"))</f>
        <v>Sim</v>
      </c>
      <c r="K162" s="27" t="str">
        <f aca="false">IF(OR($D162=0,$G162=""),"",IF(AND($H162*($E162-$F162)&gt;0,$H162*($E162-$G162)&gt;0),"Sim","Nao"))</f>
        <v>Nao</v>
      </c>
      <c r="L162" s="38" t="n">
        <f aca="false">IF(OR($D162=0,$G162=""),0,IF($K162="Sim",MAX(0,$H162*($E162-$I162)),0))</f>
        <v>0</v>
      </c>
      <c r="M162" s="35" t="n">
        <f aca="false">INDEX(Parametros_ANEC73!$G$4:$G$6,MATCH($C162,Parametros_ANEC73!$A$4:$A$6,0))</f>
        <v>0</v>
      </c>
      <c r="N162" s="38" t="n">
        <f aca="false">IF(OR($D162=0,$G162=""),0,IF(AND($K162="Sim",$M162&lt;&gt;""),MAX(0,$H162*($E162-$M162)),0))</f>
        <v>0</v>
      </c>
      <c r="O162" s="35" t="n">
        <f aca="false">INDEX(Parametros_ANEC73!$J$4:$J$6,MATCH($C162,Parametros_ANEC73!$A$4:$A$6,0))</f>
        <v>0</v>
      </c>
      <c r="P162" s="38" t="n">
        <f aca="false">IF(OR($D162=0,$G162=""),0,IF(AND($K162="Sim",$O162&lt;&gt;""),MAX(0,$H162*($E162-$O162)),0))</f>
        <v>0</v>
      </c>
      <c r="Q162" s="35" t="n">
        <f aca="false">INDEX(Parametros_ANEC73!$F$4:$F$6,MATCH($C162,Parametros_ANEC73!$A$4:$A$6,0))</f>
        <v>1</v>
      </c>
      <c r="R162" s="35" t="n">
        <f aca="false">INDEX(Parametros_ANEC73!$I$4:$I$6,MATCH($C162,Parametros_ANEC73!$A$4:$A$6,0))</f>
        <v>0</v>
      </c>
      <c r="S162" s="35" t="n">
        <f aca="false">INDEX(Parametros_ANEC73!$L$4:$L$6,MATCH($C162,Parametros_ANEC73!$A$4:$A$6,0))</f>
        <v>0</v>
      </c>
      <c r="T162" s="39" t="n">
        <f aca="false">INDEX(Parametros_ANEC73!$B$14:$B$25,MATCH($B162,Parametros_ANEC73!$A$14:$A$25,0))</f>
        <v>326</v>
      </c>
      <c r="U162" s="40" t="n">
        <f aca="false">IF(OR($D162=0,$G162=""),0,$D162*($T162/100)*($L162*$Q162+$N162*(IF($R162="",$Q162,$R162)-$Q162)+$P162*(IF($S162="",IF($R162="",$Q162,$R162),$S162)-IF($R162="",$Q162,$R162))))</f>
        <v>0</v>
      </c>
      <c r="V162" s="41" t="str">
        <f aca="false">IF(OR($D162=0,$G162=""),"",IF($H162*($E162-INDEX(Parametros_ANEC73!$M$4:$M$6,MATCH($C162,Parametros_ANEC73!$A$4:$A$6,0)))&gt;0,"Sim","Nao"))</f>
        <v>Nao</v>
      </c>
      <c r="W162" s="27" t="str">
        <f aca="false">$A162&amp;"|"&amp;$B162&amp;"|"&amp;$C162</f>
        <v>Cofco|Jun|Umidade</v>
      </c>
    </row>
    <row r="163" customFormat="false" ht="15" hidden="false" customHeight="false" outlineLevel="0" collapsed="false">
      <c r="A163" s="27" t="s">
        <v>43</v>
      </c>
      <c r="B163" s="27" t="s">
        <v>63</v>
      </c>
      <c r="C163" s="27" t="s">
        <v>111</v>
      </c>
      <c r="D163" s="34" t="n">
        <f aca="false">SUMIFS(Media_Cliente_Mes!$C$2:$C$145,Media_Cliente_Mes!$A$2:$A$145,$A163,Media_Cliente_Mes!$B$2:$B$145,$B163)</f>
        <v>94743.83</v>
      </c>
      <c r="E163" s="35" t="n">
        <f aca="false">IF($D163=0,"",IF($C163="Proteina",SUMIFS(Media_Cliente_Mes!$D$2:$D$145,Media_Cliente_Mes!$A$2:$A$145,$A163,Media_Cliente_Mes!$B$2:$B$145,$B163),IF($C163="Umidade",SUMIFS(Media_Cliente_Mes!$E$2:$E$145,Media_Cliente_Mes!$A$2:$A$145,$A163,Media_Cliente_Mes!$B$2:$B$145,$B163),SUMIFS(Media_Cliente_Mes!$F$2:$F$145,Media_Cliente_Mes!$A$2:$A$145,$A163,Media_Cliente_Mes!$B$2:$B$145,$B163))))</f>
        <v>3.77768767000447</v>
      </c>
      <c r="F163" s="35" t="n">
        <f aca="false">INDEX(Parametros_ANEC73!$C$4:$C$6,MATCH($C163,Parametros_ANEC73!$A$4:$A$6,0))</f>
        <v>3.5</v>
      </c>
      <c r="G163" s="35" t="n">
        <f aca="false">IF($C163="Proteina",INDEX(Media_Pool_Mes!$C$2:$C$13,MATCH($B163,Media_Pool_Mes!$A$2:$A$13,0)),IF($C163="Umidade",INDEX(Media_Pool_Mes!$D$2:$D$13,MATCH($B163,Media_Pool_Mes!$A$2:$A$13,0)),INDEX(Media_Pool_Mes!$E$2:$E$13,MATCH($B163,Media_Pool_Mes!$A$2:$A$13,0))))</f>
        <v>3.72652113613862</v>
      </c>
      <c r="H163" s="37" t="n">
        <f aca="false">INDEX(Parametros_ANEC73!$B$4:$B$6,MATCH($C163,Parametros_ANEC73!$A$4:$A$6,0))</f>
        <v>1</v>
      </c>
      <c r="I163" s="38" t="n">
        <f aca="false">IF(OR($D163=0,$G163=""),"",IF($H163*($G163-$F163)&gt;0,$G163,$F163))</f>
        <v>3.72652113613862</v>
      </c>
      <c r="J163" s="27" t="str">
        <f aca="false">IF(OR($D163=0,$G163=""),"",IF($H163*($G163-$F163)&gt;0,"Sim","Nao"))</f>
        <v>Sim</v>
      </c>
      <c r="K163" s="27" t="str">
        <f aca="false">IF(OR($D163=0,$G163=""),"",IF(AND($H163*($E163-$F163)&gt;0,$H163*($E163-$G163)&gt;0),"Sim","Nao"))</f>
        <v>Sim</v>
      </c>
      <c r="L163" s="38" t="n">
        <f aca="false">IF(OR($D163=0,$G163=""),0,IF($K163="Sim",MAX(0,$H163*($E163-$I163)),0))</f>
        <v>0.0511665338658522</v>
      </c>
      <c r="M163" s="35" t="n">
        <f aca="false">INDEX(Parametros_ANEC73!$G$4:$G$6,MATCH($C163,Parametros_ANEC73!$A$4:$A$6,0))</f>
        <v>3.8</v>
      </c>
      <c r="N163" s="38" t="n">
        <f aca="false">IF(OR($D163=0,$G163=""),0,IF(AND($K163="Sim",$M163&lt;&gt;""),MAX(0,$H163*($E163-$M163)),0))</f>
        <v>0</v>
      </c>
      <c r="O163" s="35" t="n">
        <f aca="false">INDEX(Parametros_ANEC73!$J$4:$J$6,MATCH($C163,Parametros_ANEC73!$A$4:$A$6,0))</f>
        <v>4</v>
      </c>
      <c r="P163" s="38" t="n">
        <f aca="false">IF(OR($D163=0,$G163=""),0,IF(AND($K163="Sim",$O163&lt;&gt;""),MAX(0,$H163*($E163-$O163)),0))</f>
        <v>0</v>
      </c>
      <c r="Q163" s="35" t="n">
        <f aca="false">INDEX(Parametros_ANEC73!$F$4:$F$6,MATCH($C163,Parametros_ANEC73!$A$4:$A$6,0))</f>
        <v>1</v>
      </c>
      <c r="R163" s="35" t="n">
        <f aca="false">INDEX(Parametros_ANEC73!$I$4:$I$6,MATCH($C163,Parametros_ANEC73!$A$4:$A$6,0))</f>
        <v>1.5</v>
      </c>
      <c r="S163" s="35" t="n">
        <f aca="false">INDEX(Parametros_ANEC73!$L$4:$L$6,MATCH($C163,Parametros_ANEC73!$A$4:$A$6,0))</f>
        <v>2</v>
      </c>
      <c r="T163" s="39" t="n">
        <f aca="false">INDEX(Parametros_ANEC73!$B$14:$B$25,MATCH($B163,Parametros_ANEC73!$A$14:$A$25,0))</f>
        <v>326</v>
      </c>
      <c r="U163" s="40" t="n">
        <f aca="false">IF(OR($D163=0,$G163=""),0,$D163*($T163/100)*($L163*$Q163+$N163*(IF($R163="",$Q163,$R163)-$Q163)+$P163*(IF($S163="",IF($R163="",$Q163,$R163),$S163)-IF($R163="",$Q163,$R163))))</f>
        <v>15803.5456392583</v>
      </c>
      <c r="V163" s="41" t="str">
        <f aca="false">IF(OR($D163=0,$G163=""),"",IF($H163*($E163-INDEX(Parametros_ANEC73!$M$4:$M$6,MATCH($C163,Parametros_ANEC73!$A$4:$A$6,0)))&gt;0,"Sim","Nao"))</f>
        <v>Nao</v>
      </c>
      <c r="W163" s="27" t="str">
        <f aca="false">$A163&amp;"|"&amp;$B163&amp;"|"&amp;$C163</f>
        <v>Cofco|Jun|Fibra</v>
      </c>
    </row>
    <row r="164" customFormat="false" ht="15" hidden="false" customHeight="false" outlineLevel="0" collapsed="false">
      <c r="A164" s="27" t="s">
        <v>43</v>
      </c>
      <c r="B164" s="27" t="s">
        <v>64</v>
      </c>
      <c r="C164" s="27" t="s">
        <v>109</v>
      </c>
      <c r="D164" s="34" t="n">
        <f aca="false">SUMIFS(Media_Cliente_Mes!$C$2:$C$145,Media_Cliente_Mes!$A$2:$A$145,$A164,Media_Cliente_Mes!$B$2:$B$145,$B164)</f>
        <v>72870.58</v>
      </c>
      <c r="E164" s="35" t="n">
        <f aca="false">IF($D164=0,"",IF($C164="Proteina",SUMIFS(Media_Cliente_Mes!$D$2:$D$145,Media_Cliente_Mes!$A$2:$A$145,$A164,Media_Cliente_Mes!$B$2:$B$145,$B164),IF($C164="Umidade",SUMIFS(Media_Cliente_Mes!$E$2:$E$145,Media_Cliente_Mes!$A$2:$A$145,$A164,Media_Cliente_Mes!$B$2:$B$145,$B164),SUMIFS(Media_Cliente_Mes!$F$2:$F$145,Media_Cliente_Mes!$A$2:$A$145,$A164,Media_Cliente_Mes!$B$2:$B$145,$B164))))</f>
        <v>47.3975879593658</v>
      </c>
      <c r="F164" s="35" t="n">
        <f aca="false">INDEX(Parametros_ANEC73!$C$4:$C$6,MATCH($C164,Parametros_ANEC73!$A$4:$A$6,0))</f>
        <v>48</v>
      </c>
      <c r="G164" s="35" t="n">
        <f aca="false">IF($C164="Proteina",INDEX(Media_Pool_Mes!$C$2:$C$13,MATCH($B164,Media_Pool_Mes!$A$2:$A$13,0)),IF($C164="Umidade",INDEX(Media_Pool_Mes!$D$2:$D$13,MATCH($B164,Media_Pool_Mes!$A$2:$A$13,0)),INDEX(Media_Pool_Mes!$E$2:$E$13,MATCH($B164,Media_Pool_Mes!$A$2:$A$13,0))))</f>
        <v>47.6816680231132</v>
      </c>
      <c r="H164" s="37" t="n">
        <f aca="false">INDEX(Parametros_ANEC73!$B$4:$B$6,MATCH($C164,Parametros_ANEC73!$A$4:$A$6,0))</f>
        <v>-1</v>
      </c>
      <c r="I164" s="38" t="n">
        <f aca="false">IF(OR($D164=0,$G164=""),"",IF($H164*($G164-$F164)&gt;0,$G164,$F164))</f>
        <v>47.6816680231132</v>
      </c>
      <c r="J164" s="27" t="str">
        <f aca="false">IF(OR($D164=0,$G164=""),"",IF($H164*($G164-$F164)&gt;0,"Sim","Nao"))</f>
        <v>Sim</v>
      </c>
      <c r="K164" s="27" t="str">
        <f aca="false">IF(OR($D164=0,$G164=""),"",IF(AND($H164*($E164-$F164)&gt;0,$H164*($E164-$G164)&gt;0),"Sim","Nao"))</f>
        <v>Sim</v>
      </c>
      <c r="L164" s="38" t="n">
        <f aca="false">IF(OR($D164=0,$G164=""),0,IF($K164="Sim",MAX(0,$H164*($E164-$I164)),0))</f>
        <v>0.284080063747453</v>
      </c>
      <c r="M164" s="35" t="n">
        <f aca="false">INDEX(Parametros_ANEC73!$G$4:$G$6,MATCH($C164,Parametros_ANEC73!$A$4:$A$6,0))</f>
        <v>47</v>
      </c>
      <c r="N164" s="38" t="n">
        <f aca="false">IF(OR($D164=0,$G164=""),0,IF(AND($K164="Sim",$M164&lt;&gt;""),MAX(0,$H164*($E164-$M164)),0))</f>
        <v>0</v>
      </c>
      <c r="O164" s="35" t="n">
        <f aca="false">INDEX(Parametros_ANEC73!$J$4:$J$6,MATCH($C164,Parametros_ANEC73!$A$4:$A$6,0))</f>
        <v>0</v>
      </c>
      <c r="P164" s="38" t="n">
        <f aca="false">IF(OR($D164=0,$G164=""),0,IF(AND($K164="Sim",$O164&lt;&gt;""),MAX(0,$H164*($E164-$O164)),0))</f>
        <v>0</v>
      </c>
      <c r="Q164" s="35" t="n">
        <f aca="false">INDEX(Parametros_ANEC73!$F$4:$F$6,MATCH($C164,Parametros_ANEC73!$A$4:$A$6,0))</f>
        <v>1</v>
      </c>
      <c r="R164" s="35" t="n">
        <f aca="false">INDEX(Parametros_ANEC73!$I$4:$I$6,MATCH($C164,Parametros_ANEC73!$A$4:$A$6,0))</f>
        <v>2</v>
      </c>
      <c r="S164" s="35" t="n">
        <f aca="false">INDEX(Parametros_ANEC73!$L$4:$L$6,MATCH($C164,Parametros_ANEC73!$A$4:$A$6,0))</f>
        <v>0</v>
      </c>
      <c r="T164" s="39" t="n">
        <f aca="false">INDEX(Parametros_ANEC73!$B$14:$B$25,MATCH($B164,Parametros_ANEC73!$A$14:$A$25,0))</f>
        <v>326</v>
      </c>
      <c r="U164" s="40" t="n">
        <f aca="false">IF(OR($D164=0,$G164=""),0,$D164*($T164/100)*($L164*$Q164+$N164*(IF($R164="",$Q164,$R164)-$Q164)+$P164*(IF($S164="",IF($R164="",$Q164,$R164),$S164)-IF($R164="",$Q164,$R164))))</f>
        <v>67485.5175781872</v>
      </c>
      <c r="V164" s="41" t="str">
        <f aca="false">IF(OR($D164=0,$G164=""),"",IF($H164*($E164-INDEX(Parametros_ANEC73!$M$4:$M$6,MATCH($C164,Parametros_ANEC73!$A$4:$A$6,0)))&gt;0,"Sim","Nao"))</f>
        <v>Nao</v>
      </c>
      <c r="W164" s="27" t="str">
        <f aca="false">$A164&amp;"|"&amp;$B164&amp;"|"&amp;$C164</f>
        <v>Cofco|Jul|Proteina</v>
      </c>
    </row>
    <row r="165" customFormat="false" ht="15" hidden="false" customHeight="false" outlineLevel="0" collapsed="false">
      <c r="A165" s="27" t="s">
        <v>43</v>
      </c>
      <c r="B165" s="27" t="s">
        <v>64</v>
      </c>
      <c r="C165" s="27" t="s">
        <v>110</v>
      </c>
      <c r="D165" s="34" t="n">
        <f aca="false">SUMIFS(Media_Cliente_Mes!$C$2:$C$145,Media_Cliente_Mes!$A$2:$A$145,$A165,Media_Cliente_Mes!$B$2:$B$145,$B165)</f>
        <v>72870.58</v>
      </c>
      <c r="E165" s="35" t="n">
        <f aca="false">IF($D165=0,"",IF($C165="Proteina",SUMIFS(Media_Cliente_Mes!$D$2:$D$145,Media_Cliente_Mes!$A$2:$A$145,$A165,Media_Cliente_Mes!$B$2:$B$145,$B165),IF($C165="Umidade",SUMIFS(Media_Cliente_Mes!$E$2:$E$145,Media_Cliente_Mes!$A$2:$A$145,$A165,Media_Cliente_Mes!$B$2:$B$145,$B165),SUMIFS(Media_Cliente_Mes!$F$2:$F$145,Media_Cliente_Mes!$A$2:$A$145,$A165,Media_Cliente_Mes!$B$2:$B$145,$B165))))</f>
        <v>12.3047121293669</v>
      </c>
      <c r="F165" s="35" t="n">
        <f aca="false">INDEX(Parametros_ANEC73!$C$4:$C$6,MATCH($C165,Parametros_ANEC73!$A$4:$A$6,0))</f>
        <v>12.5</v>
      </c>
      <c r="G165" s="35" t="n">
        <f aca="false">IF($C165="Proteina",INDEX(Media_Pool_Mes!$C$2:$C$13,MATCH($B165,Media_Pool_Mes!$A$2:$A$13,0)),IF($C165="Umidade",INDEX(Media_Pool_Mes!$D$2:$D$13,MATCH($B165,Media_Pool_Mes!$A$2:$A$13,0)),INDEX(Media_Pool_Mes!$E$2:$E$13,MATCH($B165,Media_Pool_Mes!$A$2:$A$13,0))))</f>
        <v>12.2356489048309</v>
      </c>
      <c r="H165" s="37" t="n">
        <f aca="false">INDEX(Parametros_ANEC73!$B$4:$B$6,MATCH($C165,Parametros_ANEC73!$A$4:$A$6,0))</f>
        <v>1</v>
      </c>
      <c r="I165" s="38" t="n">
        <f aca="false">IF(OR($D165=0,$G165=""),"",IF($H165*($G165-$F165)&gt;0,$G165,$F165))</f>
        <v>12.5</v>
      </c>
      <c r="J165" s="27" t="str">
        <f aca="false">IF(OR($D165=0,$G165=""),"",IF($H165*($G165-$F165)&gt;0,"Sim","Nao"))</f>
        <v>Nao</v>
      </c>
      <c r="K165" s="27" t="str">
        <f aca="false">IF(OR($D165=0,$G165=""),"",IF(AND($H165*($E165-$F165)&gt;0,$H165*($E165-$G165)&gt;0),"Sim","Nao"))</f>
        <v>Nao</v>
      </c>
      <c r="L165" s="38" t="n">
        <f aca="false">IF(OR($D165=0,$G165=""),0,IF($K165="Sim",MAX(0,$H165*($E165-$I165)),0))</f>
        <v>0</v>
      </c>
      <c r="M165" s="35" t="n">
        <f aca="false">INDEX(Parametros_ANEC73!$G$4:$G$6,MATCH($C165,Parametros_ANEC73!$A$4:$A$6,0))</f>
        <v>0</v>
      </c>
      <c r="N165" s="38" t="n">
        <f aca="false">IF(OR($D165=0,$G165=""),0,IF(AND($K165="Sim",$M165&lt;&gt;""),MAX(0,$H165*($E165-$M165)),0))</f>
        <v>0</v>
      </c>
      <c r="O165" s="35" t="n">
        <f aca="false">INDEX(Parametros_ANEC73!$J$4:$J$6,MATCH($C165,Parametros_ANEC73!$A$4:$A$6,0))</f>
        <v>0</v>
      </c>
      <c r="P165" s="38" t="n">
        <f aca="false">IF(OR($D165=0,$G165=""),0,IF(AND($K165="Sim",$O165&lt;&gt;""),MAX(0,$H165*($E165-$O165)),0))</f>
        <v>0</v>
      </c>
      <c r="Q165" s="35" t="n">
        <f aca="false">INDEX(Parametros_ANEC73!$F$4:$F$6,MATCH($C165,Parametros_ANEC73!$A$4:$A$6,0))</f>
        <v>1</v>
      </c>
      <c r="R165" s="35" t="n">
        <f aca="false">INDEX(Parametros_ANEC73!$I$4:$I$6,MATCH($C165,Parametros_ANEC73!$A$4:$A$6,0))</f>
        <v>0</v>
      </c>
      <c r="S165" s="35" t="n">
        <f aca="false">INDEX(Parametros_ANEC73!$L$4:$L$6,MATCH($C165,Parametros_ANEC73!$A$4:$A$6,0))</f>
        <v>0</v>
      </c>
      <c r="T165" s="39" t="n">
        <f aca="false">INDEX(Parametros_ANEC73!$B$14:$B$25,MATCH($B165,Parametros_ANEC73!$A$14:$A$25,0))</f>
        <v>326</v>
      </c>
      <c r="U165" s="40" t="n">
        <f aca="false">IF(OR($D165=0,$G165=""),0,$D165*($T165/100)*($L165*$Q165+$N165*(IF($R165="",$Q165,$R165)-$Q165)+$P165*(IF($S165="",IF($R165="",$Q165,$R165),$S165)-IF($R165="",$Q165,$R165))))</f>
        <v>0</v>
      </c>
      <c r="V165" s="41" t="str">
        <f aca="false">IF(OR($D165=0,$G165=""),"",IF($H165*($E165-INDEX(Parametros_ANEC73!$M$4:$M$6,MATCH($C165,Parametros_ANEC73!$A$4:$A$6,0)))&gt;0,"Sim","Nao"))</f>
        <v>Nao</v>
      </c>
      <c r="W165" s="27" t="str">
        <f aca="false">$A165&amp;"|"&amp;$B165&amp;"|"&amp;$C165</f>
        <v>Cofco|Jul|Umidade</v>
      </c>
    </row>
    <row r="166" customFormat="false" ht="15" hidden="false" customHeight="false" outlineLevel="0" collapsed="false">
      <c r="A166" s="27" t="s">
        <v>43</v>
      </c>
      <c r="B166" s="27" t="s">
        <v>64</v>
      </c>
      <c r="C166" s="27" t="s">
        <v>111</v>
      </c>
      <c r="D166" s="34" t="n">
        <f aca="false">SUMIFS(Media_Cliente_Mes!$C$2:$C$145,Media_Cliente_Mes!$A$2:$A$145,$A166,Media_Cliente_Mes!$B$2:$B$145,$B166)</f>
        <v>72870.58</v>
      </c>
      <c r="E166" s="35" t="n">
        <f aca="false">IF($D166=0,"",IF($C166="Proteina",SUMIFS(Media_Cliente_Mes!$D$2:$D$145,Media_Cliente_Mes!$A$2:$A$145,$A166,Media_Cliente_Mes!$B$2:$B$145,$B166),IF($C166="Umidade",SUMIFS(Media_Cliente_Mes!$E$2:$E$145,Media_Cliente_Mes!$A$2:$A$145,$A166,Media_Cliente_Mes!$B$2:$B$145,$B166),SUMIFS(Media_Cliente_Mes!$F$2:$F$145,Media_Cliente_Mes!$A$2:$A$145,$A166,Media_Cliente_Mes!$B$2:$B$145,$B166))))</f>
        <v>3.49811115542102</v>
      </c>
      <c r="F166" s="35" t="n">
        <f aca="false">INDEX(Parametros_ANEC73!$C$4:$C$6,MATCH($C166,Parametros_ANEC73!$A$4:$A$6,0))</f>
        <v>3.5</v>
      </c>
      <c r="G166" s="35" t="n">
        <f aca="false">IF($C166="Proteina",INDEX(Media_Pool_Mes!$C$2:$C$13,MATCH($B166,Media_Pool_Mes!$A$2:$A$13,0)),IF($C166="Umidade",INDEX(Media_Pool_Mes!$D$2:$D$13,MATCH($B166,Media_Pool_Mes!$A$2:$A$13,0)),INDEX(Media_Pool_Mes!$E$2:$E$13,MATCH($B166,Media_Pool_Mes!$A$2:$A$13,0))))</f>
        <v>3.48415625565953</v>
      </c>
      <c r="H166" s="37" t="n">
        <f aca="false">INDEX(Parametros_ANEC73!$B$4:$B$6,MATCH($C166,Parametros_ANEC73!$A$4:$A$6,0))</f>
        <v>1</v>
      </c>
      <c r="I166" s="38" t="n">
        <f aca="false">IF(OR($D166=0,$G166=""),"",IF($H166*($G166-$F166)&gt;0,$G166,$F166))</f>
        <v>3.5</v>
      </c>
      <c r="J166" s="27" t="str">
        <f aca="false">IF(OR($D166=0,$G166=""),"",IF($H166*($G166-$F166)&gt;0,"Sim","Nao"))</f>
        <v>Nao</v>
      </c>
      <c r="K166" s="27" t="str">
        <f aca="false">IF(OR($D166=0,$G166=""),"",IF(AND($H166*($E166-$F166)&gt;0,$H166*($E166-$G166)&gt;0),"Sim","Nao"))</f>
        <v>Nao</v>
      </c>
      <c r="L166" s="38" t="n">
        <f aca="false">IF(OR($D166=0,$G166=""),0,IF($K166="Sim",MAX(0,$H166*($E166-$I166)),0))</f>
        <v>0</v>
      </c>
      <c r="M166" s="35" t="n">
        <f aca="false">INDEX(Parametros_ANEC73!$G$4:$G$6,MATCH($C166,Parametros_ANEC73!$A$4:$A$6,0))</f>
        <v>3.8</v>
      </c>
      <c r="N166" s="38" t="n">
        <f aca="false">IF(OR($D166=0,$G166=""),0,IF(AND($K166="Sim",$M166&lt;&gt;""),MAX(0,$H166*($E166-$M166)),0))</f>
        <v>0</v>
      </c>
      <c r="O166" s="35" t="n">
        <f aca="false">INDEX(Parametros_ANEC73!$J$4:$J$6,MATCH($C166,Parametros_ANEC73!$A$4:$A$6,0))</f>
        <v>4</v>
      </c>
      <c r="P166" s="38" t="n">
        <f aca="false">IF(OR($D166=0,$G166=""),0,IF(AND($K166="Sim",$O166&lt;&gt;""),MAX(0,$H166*($E166-$O166)),0))</f>
        <v>0</v>
      </c>
      <c r="Q166" s="35" t="n">
        <f aca="false">INDEX(Parametros_ANEC73!$F$4:$F$6,MATCH($C166,Parametros_ANEC73!$A$4:$A$6,0))</f>
        <v>1</v>
      </c>
      <c r="R166" s="35" t="n">
        <f aca="false">INDEX(Parametros_ANEC73!$I$4:$I$6,MATCH($C166,Parametros_ANEC73!$A$4:$A$6,0))</f>
        <v>1.5</v>
      </c>
      <c r="S166" s="35" t="n">
        <f aca="false">INDEX(Parametros_ANEC73!$L$4:$L$6,MATCH($C166,Parametros_ANEC73!$A$4:$A$6,0))</f>
        <v>2</v>
      </c>
      <c r="T166" s="39" t="n">
        <f aca="false">INDEX(Parametros_ANEC73!$B$14:$B$25,MATCH($B166,Parametros_ANEC73!$A$14:$A$25,0))</f>
        <v>326</v>
      </c>
      <c r="U166" s="40" t="n">
        <f aca="false">IF(OR($D166=0,$G166=""),0,$D166*($T166/100)*($L166*$Q166+$N166*(IF($R166="",$Q166,$R166)-$Q166)+$P166*(IF($S166="",IF($R166="",$Q166,$R166),$S166)-IF($R166="",$Q166,$R166))))</f>
        <v>0</v>
      </c>
      <c r="V166" s="41" t="str">
        <f aca="false">IF(OR($D166=0,$G166=""),"",IF($H166*($E166-INDEX(Parametros_ANEC73!$M$4:$M$6,MATCH($C166,Parametros_ANEC73!$A$4:$A$6,0)))&gt;0,"Sim","Nao"))</f>
        <v>Nao</v>
      </c>
      <c r="W166" s="27" t="str">
        <f aca="false">$A166&amp;"|"&amp;$B166&amp;"|"&amp;$C166</f>
        <v>Cofco|Jul|Fibra</v>
      </c>
    </row>
    <row r="167" customFormat="false" ht="15" hidden="false" customHeight="false" outlineLevel="0" collapsed="false">
      <c r="A167" s="27" t="s">
        <v>43</v>
      </c>
      <c r="B167" s="27" t="s">
        <v>65</v>
      </c>
      <c r="C167" s="27" t="s">
        <v>109</v>
      </c>
      <c r="D167" s="34" t="n">
        <f aca="false">SUMIFS(Media_Cliente_Mes!$C$2:$C$145,Media_Cliente_Mes!$A$2:$A$145,$A167,Media_Cliente_Mes!$B$2:$B$145,$B167)</f>
        <v>70028.07</v>
      </c>
      <c r="E167" s="35" t="n">
        <f aca="false">IF($D167=0,"",IF($C167="Proteina",SUMIFS(Media_Cliente_Mes!$D$2:$D$145,Media_Cliente_Mes!$A$2:$A$145,$A167,Media_Cliente_Mes!$B$2:$B$145,$B167),IF($C167="Umidade",SUMIFS(Media_Cliente_Mes!$E$2:$E$145,Media_Cliente_Mes!$A$2:$A$145,$A167,Media_Cliente_Mes!$B$2:$B$145,$B167),SUMIFS(Media_Cliente_Mes!$F$2:$F$145,Media_Cliente_Mes!$A$2:$A$145,$A167,Media_Cliente_Mes!$B$2:$B$145,$B167))))</f>
        <v>47.0074795578402</v>
      </c>
      <c r="F167" s="35" t="n">
        <f aca="false">INDEX(Parametros_ANEC73!$C$4:$C$6,MATCH($C167,Parametros_ANEC73!$A$4:$A$6,0))</f>
        <v>48</v>
      </c>
      <c r="G167" s="35" t="n">
        <f aca="false">IF($C167="Proteina",INDEX(Media_Pool_Mes!$C$2:$C$13,MATCH($B167,Media_Pool_Mes!$A$2:$A$13,0)),IF($C167="Umidade",INDEX(Media_Pool_Mes!$D$2:$D$13,MATCH($B167,Media_Pool_Mes!$A$2:$A$13,0)),INDEX(Media_Pool_Mes!$E$2:$E$13,MATCH($B167,Media_Pool_Mes!$A$2:$A$13,0))))</f>
        <v>47.3199561197423</v>
      </c>
      <c r="H167" s="37" t="n">
        <f aca="false">INDEX(Parametros_ANEC73!$B$4:$B$6,MATCH($C167,Parametros_ANEC73!$A$4:$A$6,0))</f>
        <v>-1</v>
      </c>
      <c r="I167" s="38" t="n">
        <f aca="false">IF(OR($D167=0,$G167=""),"",IF($H167*($G167-$F167)&gt;0,$G167,$F167))</f>
        <v>47.3199561197423</v>
      </c>
      <c r="J167" s="27" t="str">
        <f aca="false">IF(OR($D167=0,$G167=""),"",IF($H167*($G167-$F167)&gt;0,"Sim","Nao"))</f>
        <v>Sim</v>
      </c>
      <c r="K167" s="27" t="str">
        <f aca="false">IF(OR($D167=0,$G167=""),"",IF(AND($H167*($E167-$F167)&gt;0,$H167*($E167-$G167)&gt;0),"Sim","Nao"))</f>
        <v>Sim</v>
      </c>
      <c r="L167" s="38" t="n">
        <f aca="false">IF(OR($D167=0,$G167=""),0,IF($K167="Sim",MAX(0,$H167*($E167-$I167)),0))</f>
        <v>0.312476561902116</v>
      </c>
      <c r="M167" s="35" t="n">
        <f aca="false">INDEX(Parametros_ANEC73!$G$4:$G$6,MATCH($C167,Parametros_ANEC73!$A$4:$A$6,0))</f>
        <v>47</v>
      </c>
      <c r="N167" s="38" t="n">
        <f aca="false">IF(OR($D167=0,$G167=""),0,IF(AND($K167="Sim",$M167&lt;&gt;""),MAX(0,$H167*($E167-$M167)),0))</f>
        <v>0</v>
      </c>
      <c r="O167" s="35" t="n">
        <f aca="false">INDEX(Parametros_ANEC73!$J$4:$J$6,MATCH($C167,Parametros_ANEC73!$A$4:$A$6,0))</f>
        <v>0</v>
      </c>
      <c r="P167" s="38" t="n">
        <f aca="false">IF(OR($D167=0,$G167=""),0,IF(AND($K167="Sim",$O167&lt;&gt;""),MAX(0,$H167*($E167-$O167)),0))</f>
        <v>0</v>
      </c>
      <c r="Q167" s="35" t="n">
        <f aca="false">INDEX(Parametros_ANEC73!$F$4:$F$6,MATCH($C167,Parametros_ANEC73!$A$4:$A$6,0))</f>
        <v>1</v>
      </c>
      <c r="R167" s="35" t="n">
        <f aca="false">INDEX(Parametros_ANEC73!$I$4:$I$6,MATCH($C167,Parametros_ANEC73!$A$4:$A$6,0))</f>
        <v>2</v>
      </c>
      <c r="S167" s="35" t="n">
        <f aca="false">INDEX(Parametros_ANEC73!$L$4:$L$6,MATCH($C167,Parametros_ANEC73!$A$4:$A$6,0))</f>
        <v>0</v>
      </c>
      <c r="T167" s="39" t="n">
        <f aca="false">INDEX(Parametros_ANEC73!$B$14:$B$25,MATCH($B167,Parametros_ANEC73!$A$14:$A$25,0))</f>
        <v>326</v>
      </c>
      <c r="U167" s="40" t="n">
        <f aca="false">IF(OR($D167=0,$G167=""),0,$D167*($T167/100)*($L167*$Q167+$N167*(IF($R167="",$Q167,$R167)-$Q167)+$P167*(IF($S167="",IF($R167="",$Q167,$R167),$S167)-IF($R167="",$Q167,$R167))))</f>
        <v>71335.7455937847</v>
      </c>
      <c r="V167" s="41" t="str">
        <f aca="false">IF(OR($D167=0,$G167=""),"",IF($H167*($E167-INDEX(Parametros_ANEC73!$M$4:$M$6,MATCH($C167,Parametros_ANEC73!$A$4:$A$6,0)))&gt;0,"Sim","Nao"))</f>
        <v>Nao</v>
      </c>
      <c r="W167" s="27" t="str">
        <f aca="false">$A167&amp;"|"&amp;$B167&amp;"|"&amp;$C167</f>
        <v>Cofco|Ago|Proteina</v>
      </c>
    </row>
    <row r="168" customFormat="false" ht="15" hidden="false" customHeight="false" outlineLevel="0" collapsed="false">
      <c r="A168" s="27" t="s">
        <v>43</v>
      </c>
      <c r="B168" s="27" t="s">
        <v>65</v>
      </c>
      <c r="C168" s="27" t="s">
        <v>110</v>
      </c>
      <c r="D168" s="34" t="n">
        <f aca="false">SUMIFS(Media_Cliente_Mes!$C$2:$C$145,Media_Cliente_Mes!$A$2:$A$145,$A168,Media_Cliente_Mes!$B$2:$B$145,$B168)</f>
        <v>70028.07</v>
      </c>
      <c r="E168" s="35" t="n">
        <f aca="false">IF($D168=0,"",IF($C168="Proteina",SUMIFS(Media_Cliente_Mes!$D$2:$D$145,Media_Cliente_Mes!$A$2:$A$145,$A168,Media_Cliente_Mes!$B$2:$B$145,$B168),IF($C168="Umidade",SUMIFS(Media_Cliente_Mes!$E$2:$E$145,Media_Cliente_Mes!$A$2:$A$145,$A168,Media_Cliente_Mes!$B$2:$B$145,$B168),SUMIFS(Media_Cliente_Mes!$F$2:$F$145,Media_Cliente_Mes!$A$2:$A$145,$A168,Media_Cliente_Mes!$B$2:$B$145,$B168))))</f>
        <v>11.923930461028</v>
      </c>
      <c r="F168" s="35" t="n">
        <f aca="false">INDEX(Parametros_ANEC73!$C$4:$C$6,MATCH($C168,Parametros_ANEC73!$A$4:$A$6,0))</f>
        <v>12.5</v>
      </c>
      <c r="G168" s="35" t="n">
        <f aca="false">IF($C168="Proteina",INDEX(Media_Pool_Mes!$C$2:$C$13,MATCH($B168,Media_Pool_Mes!$A$2:$A$13,0)),IF($C168="Umidade",INDEX(Media_Pool_Mes!$D$2:$D$13,MATCH($B168,Media_Pool_Mes!$A$2:$A$13,0)),INDEX(Media_Pool_Mes!$E$2:$E$13,MATCH($B168,Media_Pool_Mes!$A$2:$A$13,0))))</f>
        <v>12.2068387200965</v>
      </c>
      <c r="H168" s="37" t="n">
        <f aca="false">INDEX(Parametros_ANEC73!$B$4:$B$6,MATCH($C168,Parametros_ANEC73!$A$4:$A$6,0))</f>
        <v>1</v>
      </c>
      <c r="I168" s="38" t="n">
        <f aca="false">IF(OR($D168=0,$G168=""),"",IF($H168*($G168-$F168)&gt;0,$G168,$F168))</f>
        <v>12.5</v>
      </c>
      <c r="J168" s="27" t="str">
        <f aca="false">IF(OR($D168=0,$G168=""),"",IF($H168*($G168-$F168)&gt;0,"Sim","Nao"))</f>
        <v>Nao</v>
      </c>
      <c r="K168" s="27" t="str">
        <f aca="false">IF(OR($D168=0,$G168=""),"",IF(AND($H168*($E168-$F168)&gt;0,$H168*($E168-$G168)&gt;0),"Sim","Nao"))</f>
        <v>Nao</v>
      </c>
      <c r="L168" s="38" t="n">
        <f aca="false">IF(OR($D168=0,$G168=""),0,IF($K168="Sim",MAX(0,$H168*($E168-$I168)),0))</f>
        <v>0</v>
      </c>
      <c r="M168" s="35" t="n">
        <f aca="false">INDEX(Parametros_ANEC73!$G$4:$G$6,MATCH($C168,Parametros_ANEC73!$A$4:$A$6,0))</f>
        <v>0</v>
      </c>
      <c r="N168" s="38" t="n">
        <f aca="false">IF(OR($D168=0,$G168=""),0,IF(AND($K168="Sim",$M168&lt;&gt;""),MAX(0,$H168*($E168-$M168)),0))</f>
        <v>0</v>
      </c>
      <c r="O168" s="35" t="n">
        <f aca="false">INDEX(Parametros_ANEC73!$J$4:$J$6,MATCH($C168,Parametros_ANEC73!$A$4:$A$6,0))</f>
        <v>0</v>
      </c>
      <c r="P168" s="38" t="n">
        <f aca="false">IF(OR($D168=0,$G168=""),0,IF(AND($K168="Sim",$O168&lt;&gt;""),MAX(0,$H168*($E168-$O168)),0))</f>
        <v>0</v>
      </c>
      <c r="Q168" s="35" t="n">
        <f aca="false">INDEX(Parametros_ANEC73!$F$4:$F$6,MATCH($C168,Parametros_ANEC73!$A$4:$A$6,0))</f>
        <v>1</v>
      </c>
      <c r="R168" s="35" t="n">
        <f aca="false">INDEX(Parametros_ANEC73!$I$4:$I$6,MATCH($C168,Parametros_ANEC73!$A$4:$A$6,0))</f>
        <v>0</v>
      </c>
      <c r="S168" s="35" t="n">
        <f aca="false">INDEX(Parametros_ANEC73!$L$4:$L$6,MATCH($C168,Parametros_ANEC73!$A$4:$A$6,0))</f>
        <v>0</v>
      </c>
      <c r="T168" s="39" t="n">
        <f aca="false">INDEX(Parametros_ANEC73!$B$14:$B$25,MATCH($B168,Parametros_ANEC73!$A$14:$A$25,0))</f>
        <v>326</v>
      </c>
      <c r="U168" s="40" t="n">
        <f aca="false">IF(OR($D168=0,$G168=""),0,$D168*($T168/100)*($L168*$Q168+$N168*(IF($R168="",$Q168,$R168)-$Q168)+$P168*(IF($S168="",IF($R168="",$Q168,$R168),$S168)-IF($R168="",$Q168,$R168))))</f>
        <v>0</v>
      </c>
      <c r="V168" s="41" t="str">
        <f aca="false">IF(OR($D168=0,$G168=""),"",IF($H168*($E168-INDEX(Parametros_ANEC73!$M$4:$M$6,MATCH($C168,Parametros_ANEC73!$A$4:$A$6,0)))&gt;0,"Sim","Nao"))</f>
        <v>Nao</v>
      </c>
      <c r="W168" s="27" t="str">
        <f aca="false">$A168&amp;"|"&amp;$B168&amp;"|"&amp;$C168</f>
        <v>Cofco|Ago|Umidade</v>
      </c>
    </row>
    <row r="169" customFormat="false" ht="15" hidden="false" customHeight="false" outlineLevel="0" collapsed="false">
      <c r="A169" s="27" t="s">
        <v>43</v>
      </c>
      <c r="B169" s="27" t="s">
        <v>65</v>
      </c>
      <c r="C169" s="27" t="s">
        <v>111</v>
      </c>
      <c r="D169" s="34" t="n">
        <f aca="false">SUMIFS(Media_Cliente_Mes!$C$2:$C$145,Media_Cliente_Mes!$A$2:$A$145,$A169,Media_Cliente_Mes!$B$2:$B$145,$B169)</f>
        <v>70028.07</v>
      </c>
      <c r="E169" s="35" t="n">
        <f aca="false">IF($D169=0,"",IF($C169="Proteina",SUMIFS(Media_Cliente_Mes!$D$2:$D$145,Media_Cliente_Mes!$A$2:$A$145,$A169,Media_Cliente_Mes!$B$2:$B$145,$B169),IF($C169="Umidade",SUMIFS(Media_Cliente_Mes!$E$2:$E$145,Media_Cliente_Mes!$A$2:$A$145,$A169,Media_Cliente_Mes!$B$2:$B$145,$B169),SUMIFS(Media_Cliente_Mes!$F$2:$F$145,Media_Cliente_Mes!$A$2:$A$145,$A169,Media_Cliente_Mes!$B$2:$B$145,$B169))))</f>
        <v>3.90033135712579</v>
      </c>
      <c r="F169" s="35" t="n">
        <f aca="false">INDEX(Parametros_ANEC73!$C$4:$C$6,MATCH($C169,Parametros_ANEC73!$A$4:$A$6,0))</f>
        <v>3.5</v>
      </c>
      <c r="G169" s="35" t="n">
        <f aca="false">IF($C169="Proteina",INDEX(Media_Pool_Mes!$C$2:$C$13,MATCH($B169,Media_Pool_Mes!$A$2:$A$13,0)),IF($C169="Umidade",INDEX(Media_Pool_Mes!$D$2:$D$13,MATCH($B169,Media_Pool_Mes!$A$2:$A$13,0)),INDEX(Media_Pool_Mes!$E$2:$E$13,MATCH($B169,Media_Pool_Mes!$A$2:$A$13,0))))</f>
        <v>3.7692688740906</v>
      </c>
      <c r="H169" s="37" t="n">
        <f aca="false">INDEX(Parametros_ANEC73!$B$4:$B$6,MATCH($C169,Parametros_ANEC73!$A$4:$A$6,0))</f>
        <v>1</v>
      </c>
      <c r="I169" s="38" t="n">
        <f aca="false">IF(OR($D169=0,$G169=""),"",IF($H169*($G169-$F169)&gt;0,$G169,$F169))</f>
        <v>3.7692688740906</v>
      </c>
      <c r="J169" s="27" t="str">
        <f aca="false">IF(OR($D169=0,$G169=""),"",IF($H169*($G169-$F169)&gt;0,"Sim","Nao"))</f>
        <v>Sim</v>
      </c>
      <c r="K169" s="27" t="str">
        <f aca="false">IF(OR($D169=0,$G169=""),"",IF(AND($H169*($E169-$F169)&gt;0,$H169*($E169-$G169)&gt;0),"Sim","Nao"))</f>
        <v>Sim</v>
      </c>
      <c r="L169" s="38" t="n">
        <f aca="false">IF(OR($D169=0,$G169=""),0,IF($K169="Sim",MAX(0,$H169*($E169-$I169)),0))</f>
        <v>0.131062483035195</v>
      </c>
      <c r="M169" s="35" t="n">
        <f aca="false">INDEX(Parametros_ANEC73!$G$4:$G$6,MATCH($C169,Parametros_ANEC73!$A$4:$A$6,0))</f>
        <v>3.8</v>
      </c>
      <c r="N169" s="38" t="n">
        <f aca="false">IF(OR($D169=0,$G169=""),0,IF(AND($K169="Sim",$M169&lt;&gt;""),MAX(0,$H169*($E169-$M169)),0))</f>
        <v>0.100331357125793</v>
      </c>
      <c r="O169" s="35" t="n">
        <f aca="false">INDEX(Parametros_ANEC73!$J$4:$J$6,MATCH($C169,Parametros_ANEC73!$A$4:$A$6,0))</f>
        <v>4</v>
      </c>
      <c r="P169" s="38" t="n">
        <f aca="false">IF(OR($D169=0,$G169=""),0,IF(AND($K169="Sim",$O169&lt;&gt;""),MAX(0,$H169*($E169-$O169)),0))</f>
        <v>0</v>
      </c>
      <c r="Q169" s="35" t="n">
        <f aca="false">INDEX(Parametros_ANEC73!$F$4:$F$6,MATCH($C169,Parametros_ANEC73!$A$4:$A$6,0))</f>
        <v>1</v>
      </c>
      <c r="R169" s="35" t="n">
        <f aca="false">INDEX(Parametros_ANEC73!$I$4:$I$6,MATCH($C169,Parametros_ANEC73!$A$4:$A$6,0))</f>
        <v>1.5</v>
      </c>
      <c r="S169" s="35" t="n">
        <f aca="false">INDEX(Parametros_ANEC73!$L$4:$L$6,MATCH($C169,Parametros_ANEC73!$A$4:$A$6,0))</f>
        <v>2</v>
      </c>
      <c r="T169" s="39" t="n">
        <f aca="false">INDEX(Parametros_ANEC73!$B$14:$B$25,MATCH($B169,Parametros_ANEC73!$A$14:$A$25,0))</f>
        <v>326</v>
      </c>
      <c r="U169" s="40" t="n">
        <f aca="false">IF(OR($D169=0,$G169=""),0,$D169*($T169/100)*($L169*$Q169+$N169*(IF($R169="",$Q169,$R169)-$Q169)+$P169*(IF($S169="",IF($R169="",$Q169,$R169),$S169)-IF($R169="",$Q169,$R169))))</f>
        <v>41372.8503395416</v>
      </c>
      <c r="V169" s="41" t="str">
        <f aca="false">IF(OR($D169=0,$G169=""),"",IF($H169*($E169-INDEX(Parametros_ANEC73!$M$4:$M$6,MATCH($C169,Parametros_ANEC73!$A$4:$A$6,0)))&gt;0,"Sim","Nao"))</f>
        <v>Nao</v>
      </c>
      <c r="W169" s="27" t="str">
        <f aca="false">$A169&amp;"|"&amp;$B169&amp;"|"&amp;$C169</f>
        <v>Cofco|Ago|Fibra</v>
      </c>
    </row>
    <row r="170" customFormat="false" ht="15" hidden="false" customHeight="false" outlineLevel="0" collapsed="false">
      <c r="A170" s="27" t="s">
        <v>43</v>
      </c>
      <c r="B170" s="27" t="s">
        <v>66</v>
      </c>
      <c r="C170" s="27" t="s">
        <v>109</v>
      </c>
      <c r="D170" s="34" t="n">
        <f aca="false">SUMIFS(Media_Cliente_Mes!$C$2:$C$145,Media_Cliente_Mes!$A$2:$A$145,$A170,Media_Cliente_Mes!$B$2:$B$145,$B170)</f>
        <v>16598.01</v>
      </c>
      <c r="E170" s="35" t="n">
        <f aca="false">IF($D170=0,"",IF($C170="Proteina",SUMIFS(Media_Cliente_Mes!$D$2:$D$145,Media_Cliente_Mes!$A$2:$A$145,$A170,Media_Cliente_Mes!$B$2:$B$145,$B170),IF($C170="Umidade",SUMIFS(Media_Cliente_Mes!$E$2:$E$145,Media_Cliente_Mes!$A$2:$A$145,$A170,Media_Cliente_Mes!$B$2:$B$145,$B170),SUMIFS(Media_Cliente_Mes!$F$2:$F$145,Media_Cliente_Mes!$A$2:$A$145,$A170,Media_Cliente_Mes!$B$2:$B$145,$B170))))</f>
        <v>47.51</v>
      </c>
      <c r="F170" s="35" t="n">
        <f aca="false">INDEX(Parametros_ANEC73!$C$4:$C$6,MATCH($C170,Parametros_ANEC73!$A$4:$A$6,0))</f>
        <v>48</v>
      </c>
      <c r="G170" s="35" t="n">
        <f aca="false">IF($C170="Proteina",INDEX(Media_Pool_Mes!$C$2:$C$13,MATCH($B170,Media_Pool_Mes!$A$2:$A$13,0)),IF($C170="Umidade",INDEX(Media_Pool_Mes!$D$2:$D$13,MATCH($B170,Media_Pool_Mes!$A$2:$A$13,0)),INDEX(Media_Pool_Mes!$E$2:$E$13,MATCH($B170,Media_Pool_Mes!$A$2:$A$13,0))))</f>
        <v>47.5387514497333</v>
      </c>
      <c r="H170" s="37" t="n">
        <f aca="false">INDEX(Parametros_ANEC73!$B$4:$B$6,MATCH($C170,Parametros_ANEC73!$A$4:$A$6,0))</f>
        <v>-1</v>
      </c>
      <c r="I170" s="38" t="n">
        <f aca="false">IF(OR($D170=0,$G170=""),"",IF($H170*($G170-$F170)&gt;0,$G170,$F170))</f>
        <v>47.5387514497333</v>
      </c>
      <c r="J170" s="27" t="str">
        <f aca="false">IF(OR($D170=0,$G170=""),"",IF($H170*($G170-$F170)&gt;0,"Sim","Nao"))</f>
        <v>Sim</v>
      </c>
      <c r="K170" s="27" t="str">
        <f aca="false">IF(OR($D170=0,$G170=""),"",IF(AND($H170*($E170-$F170)&gt;0,$H170*($E170-$G170)&gt;0),"Sim","Nao"))</f>
        <v>Sim</v>
      </c>
      <c r="L170" s="38" t="n">
        <f aca="false">IF(OR($D170=0,$G170=""),0,IF($K170="Sim",MAX(0,$H170*($E170-$I170)),0))</f>
        <v>0.0287514497332779</v>
      </c>
      <c r="M170" s="35" t="n">
        <f aca="false">INDEX(Parametros_ANEC73!$G$4:$G$6,MATCH($C170,Parametros_ANEC73!$A$4:$A$6,0))</f>
        <v>47</v>
      </c>
      <c r="N170" s="38" t="n">
        <f aca="false">IF(OR($D170=0,$G170=""),0,IF(AND($K170="Sim",$M170&lt;&gt;""),MAX(0,$H170*($E170-$M170)),0))</f>
        <v>0</v>
      </c>
      <c r="O170" s="35" t="n">
        <f aca="false">INDEX(Parametros_ANEC73!$J$4:$J$6,MATCH($C170,Parametros_ANEC73!$A$4:$A$6,0))</f>
        <v>0</v>
      </c>
      <c r="P170" s="38" t="n">
        <f aca="false">IF(OR($D170=0,$G170=""),0,IF(AND($K170="Sim",$O170&lt;&gt;""),MAX(0,$H170*($E170-$O170)),0))</f>
        <v>0</v>
      </c>
      <c r="Q170" s="35" t="n">
        <f aca="false">INDEX(Parametros_ANEC73!$F$4:$F$6,MATCH($C170,Parametros_ANEC73!$A$4:$A$6,0))</f>
        <v>1</v>
      </c>
      <c r="R170" s="35" t="n">
        <f aca="false">INDEX(Parametros_ANEC73!$I$4:$I$6,MATCH($C170,Parametros_ANEC73!$A$4:$A$6,0))</f>
        <v>2</v>
      </c>
      <c r="S170" s="35" t="n">
        <f aca="false">INDEX(Parametros_ANEC73!$L$4:$L$6,MATCH($C170,Parametros_ANEC73!$A$4:$A$6,0))</f>
        <v>0</v>
      </c>
      <c r="T170" s="39" t="n">
        <f aca="false">INDEX(Parametros_ANEC73!$B$14:$B$25,MATCH($B170,Parametros_ANEC73!$A$14:$A$25,0))</f>
        <v>326</v>
      </c>
      <c r="U170" s="40" t="n">
        <f aca="false">IF(OR($D170=0,$G170=""),0,$D170*($T170/100)*($L170*$Q170+$N170*(IF($R170="",$Q170,$R170)-$Q170)+$P170*(IF($S170="",IF($R170="",$Q170,$R170),$S170)-IF($R170="",$Q170,$R170))))</f>
        <v>1555.72693161107</v>
      </c>
      <c r="V170" s="41" t="str">
        <f aca="false">IF(OR($D170=0,$G170=""),"",IF($H170*($E170-INDEX(Parametros_ANEC73!$M$4:$M$6,MATCH($C170,Parametros_ANEC73!$A$4:$A$6,0)))&gt;0,"Sim","Nao"))</f>
        <v>Nao</v>
      </c>
      <c r="W170" s="27" t="str">
        <f aca="false">$A170&amp;"|"&amp;$B170&amp;"|"&amp;$C170</f>
        <v>Cofco|Set|Proteina</v>
      </c>
    </row>
    <row r="171" customFormat="false" ht="15" hidden="false" customHeight="false" outlineLevel="0" collapsed="false">
      <c r="A171" s="27" t="s">
        <v>43</v>
      </c>
      <c r="B171" s="27" t="s">
        <v>66</v>
      </c>
      <c r="C171" s="27" t="s">
        <v>110</v>
      </c>
      <c r="D171" s="34" t="n">
        <f aca="false">SUMIFS(Media_Cliente_Mes!$C$2:$C$145,Media_Cliente_Mes!$A$2:$A$145,$A171,Media_Cliente_Mes!$B$2:$B$145,$B171)</f>
        <v>16598.01</v>
      </c>
      <c r="E171" s="35" t="n">
        <f aca="false">IF($D171=0,"",IF($C171="Proteina",SUMIFS(Media_Cliente_Mes!$D$2:$D$145,Media_Cliente_Mes!$A$2:$A$145,$A171,Media_Cliente_Mes!$B$2:$B$145,$B171),IF($C171="Umidade",SUMIFS(Media_Cliente_Mes!$E$2:$E$145,Media_Cliente_Mes!$A$2:$A$145,$A171,Media_Cliente_Mes!$B$2:$B$145,$B171),SUMIFS(Media_Cliente_Mes!$F$2:$F$145,Media_Cliente_Mes!$A$2:$A$145,$A171,Media_Cliente_Mes!$B$2:$B$145,$B171))))</f>
        <v>12.76</v>
      </c>
      <c r="F171" s="35" t="n">
        <f aca="false">INDEX(Parametros_ANEC73!$C$4:$C$6,MATCH($C171,Parametros_ANEC73!$A$4:$A$6,0))</f>
        <v>12.5</v>
      </c>
      <c r="G171" s="35" t="n">
        <f aca="false">IF($C171="Proteina",INDEX(Media_Pool_Mes!$C$2:$C$13,MATCH($B171,Media_Pool_Mes!$A$2:$A$13,0)),IF($C171="Umidade",INDEX(Media_Pool_Mes!$D$2:$D$13,MATCH($B171,Media_Pool_Mes!$A$2:$A$13,0)),INDEX(Media_Pool_Mes!$E$2:$E$13,MATCH($B171,Media_Pool_Mes!$A$2:$A$13,0))))</f>
        <v>12.4774576939468</v>
      </c>
      <c r="H171" s="37" t="n">
        <f aca="false">INDEX(Parametros_ANEC73!$B$4:$B$6,MATCH($C171,Parametros_ANEC73!$A$4:$A$6,0))</f>
        <v>1</v>
      </c>
      <c r="I171" s="38" t="n">
        <f aca="false">IF(OR($D171=0,$G171=""),"",IF($H171*($G171-$F171)&gt;0,$G171,$F171))</f>
        <v>12.5</v>
      </c>
      <c r="J171" s="27" t="str">
        <f aca="false">IF(OR($D171=0,$G171=""),"",IF($H171*($G171-$F171)&gt;0,"Sim","Nao"))</f>
        <v>Nao</v>
      </c>
      <c r="K171" s="27" t="str">
        <f aca="false">IF(OR($D171=0,$G171=""),"",IF(AND($H171*($E171-$F171)&gt;0,$H171*($E171-$G171)&gt;0),"Sim","Nao"))</f>
        <v>Sim</v>
      </c>
      <c r="L171" s="38" t="n">
        <f aca="false">IF(OR($D171=0,$G171=""),0,IF($K171="Sim",MAX(0,$H171*($E171-$I171)),0))</f>
        <v>0.26</v>
      </c>
      <c r="M171" s="35" t="n">
        <f aca="false">INDEX(Parametros_ANEC73!$G$4:$G$6,MATCH($C171,Parametros_ANEC73!$A$4:$A$6,0))</f>
        <v>0</v>
      </c>
      <c r="N171" s="38" t="n">
        <f aca="false">IF(OR($D171=0,$G171=""),0,IF(AND($K171="Sim",$M171&lt;&gt;""),MAX(0,$H171*($E171-$M171)),0))</f>
        <v>0</v>
      </c>
      <c r="O171" s="35" t="n">
        <f aca="false">INDEX(Parametros_ANEC73!$J$4:$J$6,MATCH($C171,Parametros_ANEC73!$A$4:$A$6,0))</f>
        <v>0</v>
      </c>
      <c r="P171" s="38" t="n">
        <f aca="false">IF(OR($D171=0,$G171=""),0,IF(AND($K171="Sim",$O171&lt;&gt;""),MAX(0,$H171*($E171-$O171)),0))</f>
        <v>0</v>
      </c>
      <c r="Q171" s="35" t="n">
        <f aca="false">INDEX(Parametros_ANEC73!$F$4:$F$6,MATCH($C171,Parametros_ANEC73!$A$4:$A$6,0))</f>
        <v>1</v>
      </c>
      <c r="R171" s="35" t="n">
        <f aca="false">INDEX(Parametros_ANEC73!$I$4:$I$6,MATCH($C171,Parametros_ANEC73!$A$4:$A$6,0))</f>
        <v>0</v>
      </c>
      <c r="S171" s="35" t="n">
        <f aca="false">INDEX(Parametros_ANEC73!$L$4:$L$6,MATCH($C171,Parametros_ANEC73!$A$4:$A$6,0))</f>
        <v>0</v>
      </c>
      <c r="T171" s="39" t="n">
        <f aca="false">INDEX(Parametros_ANEC73!$B$14:$B$25,MATCH($B171,Parametros_ANEC73!$A$14:$A$25,0))</f>
        <v>326</v>
      </c>
      <c r="U171" s="40" t="n">
        <f aca="false">IF(OR($D171=0,$G171=""),0,$D171*($T171/100)*($L171*$Q171+$N171*(IF($R171="",$Q171,$R171)-$Q171)+$P171*(IF($S171="",IF($R171="",$Q171,$R171),$S171)-IF($R171="",$Q171,$R171))))</f>
        <v>14068.473276</v>
      </c>
      <c r="V171" s="41" t="str">
        <f aca="false">IF(OR($D171=0,$G171=""),"",IF($H171*($E171-INDEX(Parametros_ANEC73!$M$4:$M$6,MATCH($C171,Parametros_ANEC73!$A$4:$A$6,0)))&gt;0,"Sim","Nao"))</f>
        <v>Nao</v>
      </c>
      <c r="W171" s="27" t="str">
        <f aca="false">$A171&amp;"|"&amp;$B171&amp;"|"&amp;$C171</f>
        <v>Cofco|Set|Umidade</v>
      </c>
    </row>
    <row r="172" customFormat="false" ht="15" hidden="false" customHeight="false" outlineLevel="0" collapsed="false">
      <c r="A172" s="27" t="s">
        <v>43</v>
      </c>
      <c r="B172" s="27" t="s">
        <v>66</v>
      </c>
      <c r="C172" s="27" t="s">
        <v>111</v>
      </c>
      <c r="D172" s="34" t="n">
        <f aca="false">SUMIFS(Media_Cliente_Mes!$C$2:$C$145,Media_Cliente_Mes!$A$2:$A$145,$A172,Media_Cliente_Mes!$B$2:$B$145,$B172)</f>
        <v>16598.01</v>
      </c>
      <c r="E172" s="35" t="n">
        <f aca="false">IF($D172=0,"",IF($C172="Proteina",SUMIFS(Media_Cliente_Mes!$D$2:$D$145,Media_Cliente_Mes!$A$2:$A$145,$A172,Media_Cliente_Mes!$B$2:$B$145,$B172),IF($C172="Umidade",SUMIFS(Media_Cliente_Mes!$E$2:$E$145,Media_Cliente_Mes!$A$2:$A$145,$A172,Media_Cliente_Mes!$B$2:$B$145,$B172),SUMIFS(Media_Cliente_Mes!$F$2:$F$145,Media_Cliente_Mes!$A$2:$A$145,$A172,Media_Cliente_Mes!$B$2:$B$145,$B172))))</f>
        <v>3.64</v>
      </c>
      <c r="F172" s="35" t="n">
        <f aca="false">INDEX(Parametros_ANEC73!$C$4:$C$6,MATCH($C172,Parametros_ANEC73!$A$4:$A$6,0))</f>
        <v>3.5</v>
      </c>
      <c r="G172" s="35" t="n">
        <f aca="false">IF($C172="Proteina",INDEX(Media_Pool_Mes!$C$2:$C$13,MATCH($B172,Media_Pool_Mes!$A$2:$A$13,0)),IF($C172="Umidade",INDEX(Media_Pool_Mes!$D$2:$D$13,MATCH($B172,Media_Pool_Mes!$A$2:$A$13,0)),INDEX(Media_Pool_Mes!$E$2:$E$13,MATCH($B172,Media_Pool_Mes!$A$2:$A$13,0))))</f>
        <v>3.7061372169236</v>
      </c>
      <c r="H172" s="37" t="n">
        <f aca="false">INDEX(Parametros_ANEC73!$B$4:$B$6,MATCH($C172,Parametros_ANEC73!$A$4:$A$6,0))</f>
        <v>1</v>
      </c>
      <c r="I172" s="38" t="n">
        <f aca="false">IF(OR($D172=0,$G172=""),"",IF($H172*($G172-$F172)&gt;0,$G172,$F172))</f>
        <v>3.7061372169236</v>
      </c>
      <c r="J172" s="27" t="str">
        <f aca="false">IF(OR($D172=0,$G172=""),"",IF($H172*($G172-$F172)&gt;0,"Sim","Nao"))</f>
        <v>Sim</v>
      </c>
      <c r="K172" s="27" t="str">
        <f aca="false">IF(OR($D172=0,$G172=""),"",IF(AND($H172*($E172-$F172)&gt;0,$H172*($E172-$G172)&gt;0),"Sim","Nao"))</f>
        <v>Nao</v>
      </c>
      <c r="L172" s="38" t="n">
        <f aca="false">IF(OR($D172=0,$G172=""),0,IF($K172="Sim",MAX(0,$H172*($E172-$I172)),0))</f>
        <v>0</v>
      </c>
      <c r="M172" s="35" t="n">
        <f aca="false">INDEX(Parametros_ANEC73!$G$4:$G$6,MATCH($C172,Parametros_ANEC73!$A$4:$A$6,0))</f>
        <v>3.8</v>
      </c>
      <c r="N172" s="38" t="n">
        <f aca="false">IF(OR($D172=0,$G172=""),0,IF(AND($K172="Sim",$M172&lt;&gt;""),MAX(0,$H172*($E172-$M172)),0))</f>
        <v>0</v>
      </c>
      <c r="O172" s="35" t="n">
        <f aca="false">INDEX(Parametros_ANEC73!$J$4:$J$6,MATCH($C172,Parametros_ANEC73!$A$4:$A$6,0))</f>
        <v>4</v>
      </c>
      <c r="P172" s="38" t="n">
        <f aca="false">IF(OR($D172=0,$G172=""),0,IF(AND($K172="Sim",$O172&lt;&gt;""),MAX(0,$H172*($E172-$O172)),0))</f>
        <v>0</v>
      </c>
      <c r="Q172" s="35" t="n">
        <f aca="false">INDEX(Parametros_ANEC73!$F$4:$F$6,MATCH($C172,Parametros_ANEC73!$A$4:$A$6,0))</f>
        <v>1</v>
      </c>
      <c r="R172" s="35" t="n">
        <f aca="false">INDEX(Parametros_ANEC73!$I$4:$I$6,MATCH($C172,Parametros_ANEC73!$A$4:$A$6,0))</f>
        <v>1.5</v>
      </c>
      <c r="S172" s="35" t="n">
        <f aca="false">INDEX(Parametros_ANEC73!$L$4:$L$6,MATCH($C172,Parametros_ANEC73!$A$4:$A$6,0))</f>
        <v>2</v>
      </c>
      <c r="T172" s="39" t="n">
        <f aca="false">INDEX(Parametros_ANEC73!$B$14:$B$25,MATCH($B172,Parametros_ANEC73!$A$14:$A$25,0))</f>
        <v>326</v>
      </c>
      <c r="U172" s="40" t="n">
        <f aca="false">IF(OR($D172=0,$G172=""),0,$D172*($T172/100)*($L172*$Q172+$N172*(IF($R172="",$Q172,$R172)-$Q172)+$P172*(IF($S172="",IF($R172="",$Q172,$R172),$S172)-IF($R172="",$Q172,$R172))))</f>
        <v>0</v>
      </c>
      <c r="V172" s="41" t="str">
        <f aca="false">IF(OR($D172=0,$G172=""),"",IF($H172*($E172-INDEX(Parametros_ANEC73!$M$4:$M$6,MATCH($C172,Parametros_ANEC73!$A$4:$A$6,0)))&gt;0,"Sim","Nao"))</f>
        <v>Nao</v>
      </c>
      <c r="W172" s="27" t="str">
        <f aca="false">$A172&amp;"|"&amp;$B172&amp;"|"&amp;$C172</f>
        <v>Cofco|Set|Fibra</v>
      </c>
    </row>
    <row r="173" customFormat="false" ht="15" hidden="false" customHeight="false" outlineLevel="0" collapsed="false">
      <c r="A173" s="27" t="s">
        <v>43</v>
      </c>
      <c r="B173" s="27" t="s">
        <v>67</v>
      </c>
      <c r="C173" s="27" t="s">
        <v>109</v>
      </c>
      <c r="D173" s="34" t="n">
        <f aca="false">SUMIFS(Media_Cliente_Mes!$C$2:$C$145,Media_Cliente_Mes!$A$2:$A$145,$A173,Media_Cliente_Mes!$B$2:$B$145,$B173)</f>
        <v>0</v>
      </c>
      <c r="E173" s="35" t="str">
        <f aca="false">IF($D173=0,"",IF($C173="Proteina",SUMIFS(Media_Cliente_Mes!$D$2:$D$145,Media_Cliente_Mes!$A$2:$A$145,$A173,Media_Cliente_Mes!$B$2:$B$145,$B173),IF($C173="Umidade",SUMIFS(Media_Cliente_Mes!$E$2:$E$145,Media_Cliente_Mes!$A$2:$A$145,$A173,Media_Cliente_Mes!$B$2:$B$145,$B173),SUMIFS(Media_Cliente_Mes!$F$2:$F$145,Media_Cliente_Mes!$A$2:$A$145,$A173,Media_Cliente_Mes!$B$2:$B$145,$B173))))</f>
        <v/>
      </c>
      <c r="F173" s="35" t="n">
        <f aca="false">INDEX(Parametros_ANEC73!$C$4:$C$6,MATCH($C173,Parametros_ANEC73!$A$4:$A$6,0))</f>
        <v>48</v>
      </c>
      <c r="G173" s="35" t="str">
        <f aca="false">IF($C173="Proteina",INDEX(Media_Pool_Mes!$C$2:$C$13,MATCH($B173,Media_Pool_Mes!$A$2:$A$13,0)),IF($C173="Umidade",INDEX(Media_Pool_Mes!$D$2:$D$13,MATCH($B173,Media_Pool_Mes!$A$2:$A$13,0)),INDEX(Media_Pool_Mes!$E$2:$E$13,MATCH($B173,Media_Pool_Mes!$A$2:$A$13,0))))</f>
        <v/>
      </c>
      <c r="H173" s="37" t="n">
        <f aca="false">INDEX(Parametros_ANEC73!$B$4:$B$6,MATCH($C173,Parametros_ANEC73!$A$4:$A$6,0))</f>
        <v>-1</v>
      </c>
      <c r="I173" s="38" t="str">
        <f aca="false">IF(OR($D173=0,$G173=""),"",IF($H173*($G173-$F173)&gt;0,$G173,$F173))</f>
        <v/>
      </c>
      <c r="J173" s="27" t="str">
        <f aca="false">IF(OR($D173=0,$G173=""),"",IF($H173*($G173-$F173)&gt;0,"Sim","Nao"))</f>
        <v/>
      </c>
      <c r="K173" s="27" t="str">
        <f aca="false">IF(OR($D173=0,$G173=""),"",IF(AND($H173*($E173-$F173)&gt;0,$H173*($E173-$G173)&gt;0),"Sim","Nao"))</f>
        <v/>
      </c>
      <c r="L173" s="38" t="n">
        <f aca="false">IF(OR($D173=0,$G173=""),0,IF($K173="Sim",MAX(0,$H173*($E173-$I173)),0))</f>
        <v>0</v>
      </c>
      <c r="M173" s="35" t="n">
        <f aca="false">INDEX(Parametros_ANEC73!$G$4:$G$6,MATCH($C173,Parametros_ANEC73!$A$4:$A$6,0))</f>
        <v>47</v>
      </c>
      <c r="N173" s="38" t="n">
        <f aca="false">IF(OR($D173=0,$G173=""),0,IF(AND($K173="Sim",$M173&lt;&gt;""),MAX(0,$H173*($E173-$M173)),0))</f>
        <v>0</v>
      </c>
      <c r="O173" s="35" t="n">
        <f aca="false">INDEX(Parametros_ANEC73!$J$4:$J$6,MATCH($C173,Parametros_ANEC73!$A$4:$A$6,0))</f>
        <v>0</v>
      </c>
      <c r="P173" s="38" t="n">
        <f aca="false">IF(OR($D173=0,$G173=""),0,IF(AND($K173="Sim",$O173&lt;&gt;""),MAX(0,$H173*($E173-$O173)),0))</f>
        <v>0</v>
      </c>
      <c r="Q173" s="35" t="n">
        <f aca="false">INDEX(Parametros_ANEC73!$F$4:$F$6,MATCH($C173,Parametros_ANEC73!$A$4:$A$6,0))</f>
        <v>1</v>
      </c>
      <c r="R173" s="35" t="n">
        <f aca="false">INDEX(Parametros_ANEC73!$I$4:$I$6,MATCH($C173,Parametros_ANEC73!$A$4:$A$6,0))</f>
        <v>2</v>
      </c>
      <c r="S173" s="35" t="n">
        <f aca="false">INDEX(Parametros_ANEC73!$L$4:$L$6,MATCH($C173,Parametros_ANEC73!$A$4:$A$6,0))</f>
        <v>0</v>
      </c>
      <c r="T173" s="39" t="n">
        <f aca="false">INDEX(Parametros_ANEC73!$B$14:$B$25,MATCH($B173,Parametros_ANEC73!$A$14:$A$25,0))</f>
        <v>0</v>
      </c>
      <c r="U173" s="40" t="n">
        <f aca="false">IF(OR($D173=0,$G173=""),0,$D173*($T173/100)*($L173*$Q173+$N173*(IF($R173="",$Q173,$R173)-$Q173)+$P173*(IF($S173="",IF($R173="",$Q173,$R173),$S173)-IF($R173="",$Q173,$R173))))</f>
        <v>0</v>
      </c>
      <c r="V173" s="41" t="str">
        <f aca="false">IF(OR($D173=0,$G173=""),"",IF($H173*($E173-INDEX(Parametros_ANEC73!$M$4:$M$6,MATCH($C173,Parametros_ANEC73!$A$4:$A$6,0)))&gt;0,"Sim","Nao"))</f>
        <v/>
      </c>
      <c r="W173" s="27" t="str">
        <f aca="false">$A173&amp;"|"&amp;$B173&amp;"|"&amp;$C173</f>
        <v>Cofco|Out|Proteina</v>
      </c>
    </row>
    <row r="174" customFormat="false" ht="15" hidden="false" customHeight="false" outlineLevel="0" collapsed="false">
      <c r="A174" s="27" t="s">
        <v>43</v>
      </c>
      <c r="B174" s="27" t="s">
        <v>67</v>
      </c>
      <c r="C174" s="27" t="s">
        <v>110</v>
      </c>
      <c r="D174" s="34" t="n">
        <f aca="false">SUMIFS(Media_Cliente_Mes!$C$2:$C$145,Media_Cliente_Mes!$A$2:$A$145,$A174,Media_Cliente_Mes!$B$2:$B$145,$B174)</f>
        <v>0</v>
      </c>
      <c r="E174" s="35" t="str">
        <f aca="false">IF($D174=0,"",IF($C174="Proteina",SUMIFS(Media_Cliente_Mes!$D$2:$D$145,Media_Cliente_Mes!$A$2:$A$145,$A174,Media_Cliente_Mes!$B$2:$B$145,$B174),IF($C174="Umidade",SUMIFS(Media_Cliente_Mes!$E$2:$E$145,Media_Cliente_Mes!$A$2:$A$145,$A174,Media_Cliente_Mes!$B$2:$B$145,$B174),SUMIFS(Media_Cliente_Mes!$F$2:$F$145,Media_Cliente_Mes!$A$2:$A$145,$A174,Media_Cliente_Mes!$B$2:$B$145,$B174))))</f>
        <v/>
      </c>
      <c r="F174" s="35" t="n">
        <f aca="false">INDEX(Parametros_ANEC73!$C$4:$C$6,MATCH($C174,Parametros_ANEC73!$A$4:$A$6,0))</f>
        <v>12.5</v>
      </c>
      <c r="G174" s="35" t="str">
        <f aca="false">IF($C174="Proteina",INDEX(Media_Pool_Mes!$C$2:$C$13,MATCH($B174,Media_Pool_Mes!$A$2:$A$13,0)),IF($C174="Umidade",INDEX(Media_Pool_Mes!$D$2:$D$13,MATCH($B174,Media_Pool_Mes!$A$2:$A$13,0)),INDEX(Media_Pool_Mes!$E$2:$E$13,MATCH($B174,Media_Pool_Mes!$A$2:$A$13,0))))</f>
        <v/>
      </c>
      <c r="H174" s="37" t="n">
        <f aca="false">INDEX(Parametros_ANEC73!$B$4:$B$6,MATCH($C174,Parametros_ANEC73!$A$4:$A$6,0))</f>
        <v>1</v>
      </c>
      <c r="I174" s="38" t="str">
        <f aca="false">IF(OR($D174=0,$G174=""),"",IF($H174*($G174-$F174)&gt;0,$G174,$F174))</f>
        <v/>
      </c>
      <c r="J174" s="27" t="str">
        <f aca="false">IF(OR($D174=0,$G174=""),"",IF($H174*($G174-$F174)&gt;0,"Sim","Nao"))</f>
        <v/>
      </c>
      <c r="K174" s="27" t="str">
        <f aca="false">IF(OR($D174=0,$G174=""),"",IF(AND($H174*($E174-$F174)&gt;0,$H174*($E174-$G174)&gt;0),"Sim","Nao"))</f>
        <v/>
      </c>
      <c r="L174" s="38" t="n">
        <f aca="false">IF(OR($D174=0,$G174=""),0,IF($K174="Sim",MAX(0,$H174*($E174-$I174)),0))</f>
        <v>0</v>
      </c>
      <c r="M174" s="35" t="n">
        <f aca="false">INDEX(Parametros_ANEC73!$G$4:$G$6,MATCH($C174,Parametros_ANEC73!$A$4:$A$6,0))</f>
        <v>0</v>
      </c>
      <c r="N174" s="38" t="n">
        <f aca="false">IF(OR($D174=0,$G174=""),0,IF(AND($K174="Sim",$M174&lt;&gt;""),MAX(0,$H174*($E174-$M174)),0))</f>
        <v>0</v>
      </c>
      <c r="O174" s="35" t="n">
        <f aca="false">INDEX(Parametros_ANEC73!$J$4:$J$6,MATCH($C174,Parametros_ANEC73!$A$4:$A$6,0))</f>
        <v>0</v>
      </c>
      <c r="P174" s="38" t="n">
        <f aca="false">IF(OR($D174=0,$G174=""),0,IF(AND($K174="Sim",$O174&lt;&gt;""),MAX(0,$H174*($E174-$O174)),0))</f>
        <v>0</v>
      </c>
      <c r="Q174" s="35" t="n">
        <f aca="false">INDEX(Parametros_ANEC73!$F$4:$F$6,MATCH($C174,Parametros_ANEC73!$A$4:$A$6,0))</f>
        <v>1</v>
      </c>
      <c r="R174" s="35" t="n">
        <f aca="false">INDEX(Parametros_ANEC73!$I$4:$I$6,MATCH($C174,Parametros_ANEC73!$A$4:$A$6,0))</f>
        <v>0</v>
      </c>
      <c r="S174" s="35" t="n">
        <f aca="false">INDEX(Parametros_ANEC73!$L$4:$L$6,MATCH($C174,Parametros_ANEC73!$A$4:$A$6,0))</f>
        <v>0</v>
      </c>
      <c r="T174" s="39" t="n">
        <f aca="false">INDEX(Parametros_ANEC73!$B$14:$B$25,MATCH($B174,Parametros_ANEC73!$A$14:$A$25,0))</f>
        <v>0</v>
      </c>
      <c r="U174" s="40" t="n">
        <f aca="false">IF(OR($D174=0,$G174=""),0,$D174*($T174/100)*($L174*$Q174+$N174*(IF($R174="",$Q174,$R174)-$Q174)+$P174*(IF($S174="",IF($R174="",$Q174,$R174),$S174)-IF($R174="",$Q174,$R174))))</f>
        <v>0</v>
      </c>
      <c r="V174" s="41" t="str">
        <f aca="false">IF(OR($D174=0,$G174=""),"",IF($H174*($E174-INDEX(Parametros_ANEC73!$M$4:$M$6,MATCH($C174,Parametros_ANEC73!$A$4:$A$6,0)))&gt;0,"Sim","Nao"))</f>
        <v/>
      </c>
      <c r="W174" s="27" t="str">
        <f aca="false">$A174&amp;"|"&amp;$B174&amp;"|"&amp;$C174</f>
        <v>Cofco|Out|Umidade</v>
      </c>
    </row>
    <row r="175" customFormat="false" ht="15" hidden="false" customHeight="false" outlineLevel="0" collapsed="false">
      <c r="A175" s="27" t="s">
        <v>43</v>
      </c>
      <c r="B175" s="27" t="s">
        <v>67</v>
      </c>
      <c r="C175" s="27" t="s">
        <v>111</v>
      </c>
      <c r="D175" s="34" t="n">
        <f aca="false">SUMIFS(Media_Cliente_Mes!$C$2:$C$145,Media_Cliente_Mes!$A$2:$A$145,$A175,Media_Cliente_Mes!$B$2:$B$145,$B175)</f>
        <v>0</v>
      </c>
      <c r="E175" s="35" t="str">
        <f aca="false">IF($D175=0,"",IF($C175="Proteina",SUMIFS(Media_Cliente_Mes!$D$2:$D$145,Media_Cliente_Mes!$A$2:$A$145,$A175,Media_Cliente_Mes!$B$2:$B$145,$B175),IF($C175="Umidade",SUMIFS(Media_Cliente_Mes!$E$2:$E$145,Media_Cliente_Mes!$A$2:$A$145,$A175,Media_Cliente_Mes!$B$2:$B$145,$B175),SUMIFS(Media_Cliente_Mes!$F$2:$F$145,Media_Cliente_Mes!$A$2:$A$145,$A175,Media_Cliente_Mes!$B$2:$B$145,$B175))))</f>
        <v/>
      </c>
      <c r="F175" s="35" t="n">
        <f aca="false">INDEX(Parametros_ANEC73!$C$4:$C$6,MATCH($C175,Parametros_ANEC73!$A$4:$A$6,0))</f>
        <v>3.5</v>
      </c>
      <c r="G175" s="35" t="str">
        <f aca="false">IF($C175="Proteina",INDEX(Media_Pool_Mes!$C$2:$C$13,MATCH($B175,Media_Pool_Mes!$A$2:$A$13,0)),IF($C175="Umidade",INDEX(Media_Pool_Mes!$D$2:$D$13,MATCH($B175,Media_Pool_Mes!$A$2:$A$13,0)),INDEX(Media_Pool_Mes!$E$2:$E$13,MATCH($B175,Media_Pool_Mes!$A$2:$A$13,0))))</f>
        <v/>
      </c>
      <c r="H175" s="37" t="n">
        <f aca="false">INDEX(Parametros_ANEC73!$B$4:$B$6,MATCH($C175,Parametros_ANEC73!$A$4:$A$6,0))</f>
        <v>1</v>
      </c>
      <c r="I175" s="38" t="str">
        <f aca="false">IF(OR($D175=0,$G175=""),"",IF($H175*($G175-$F175)&gt;0,$G175,$F175))</f>
        <v/>
      </c>
      <c r="J175" s="27" t="str">
        <f aca="false">IF(OR($D175=0,$G175=""),"",IF($H175*($G175-$F175)&gt;0,"Sim","Nao"))</f>
        <v/>
      </c>
      <c r="K175" s="27" t="str">
        <f aca="false">IF(OR($D175=0,$G175=""),"",IF(AND($H175*($E175-$F175)&gt;0,$H175*($E175-$G175)&gt;0),"Sim","Nao"))</f>
        <v/>
      </c>
      <c r="L175" s="38" t="n">
        <f aca="false">IF(OR($D175=0,$G175=""),0,IF($K175="Sim",MAX(0,$H175*($E175-$I175)),0))</f>
        <v>0</v>
      </c>
      <c r="M175" s="35" t="n">
        <f aca="false">INDEX(Parametros_ANEC73!$G$4:$G$6,MATCH($C175,Parametros_ANEC73!$A$4:$A$6,0))</f>
        <v>3.8</v>
      </c>
      <c r="N175" s="38" t="n">
        <f aca="false">IF(OR($D175=0,$G175=""),0,IF(AND($K175="Sim",$M175&lt;&gt;""),MAX(0,$H175*($E175-$M175)),0))</f>
        <v>0</v>
      </c>
      <c r="O175" s="35" t="n">
        <f aca="false">INDEX(Parametros_ANEC73!$J$4:$J$6,MATCH($C175,Parametros_ANEC73!$A$4:$A$6,0))</f>
        <v>4</v>
      </c>
      <c r="P175" s="38" t="n">
        <f aca="false">IF(OR($D175=0,$G175=""),0,IF(AND($K175="Sim",$O175&lt;&gt;""),MAX(0,$H175*($E175-$O175)),0))</f>
        <v>0</v>
      </c>
      <c r="Q175" s="35" t="n">
        <f aca="false">INDEX(Parametros_ANEC73!$F$4:$F$6,MATCH($C175,Parametros_ANEC73!$A$4:$A$6,0))</f>
        <v>1</v>
      </c>
      <c r="R175" s="35" t="n">
        <f aca="false">INDEX(Parametros_ANEC73!$I$4:$I$6,MATCH($C175,Parametros_ANEC73!$A$4:$A$6,0))</f>
        <v>1.5</v>
      </c>
      <c r="S175" s="35" t="n">
        <f aca="false">INDEX(Parametros_ANEC73!$L$4:$L$6,MATCH($C175,Parametros_ANEC73!$A$4:$A$6,0))</f>
        <v>2</v>
      </c>
      <c r="T175" s="39" t="n">
        <f aca="false">INDEX(Parametros_ANEC73!$B$14:$B$25,MATCH($B175,Parametros_ANEC73!$A$14:$A$25,0))</f>
        <v>0</v>
      </c>
      <c r="U175" s="40" t="n">
        <f aca="false">IF(OR($D175=0,$G175=""),0,$D175*($T175/100)*($L175*$Q175+$N175*(IF($R175="",$Q175,$R175)-$Q175)+$P175*(IF($S175="",IF($R175="",$Q175,$R175),$S175)-IF($R175="",$Q175,$R175))))</f>
        <v>0</v>
      </c>
      <c r="V175" s="41" t="str">
        <f aca="false">IF(OR($D175=0,$G175=""),"",IF($H175*($E175-INDEX(Parametros_ANEC73!$M$4:$M$6,MATCH($C175,Parametros_ANEC73!$A$4:$A$6,0)))&gt;0,"Sim","Nao"))</f>
        <v/>
      </c>
      <c r="W175" s="27" t="str">
        <f aca="false">$A175&amp;"|"&amp;$B175&amp;"|"&amp;$C175</f>
        <v>Cofco|Out|Fibra</v>
      </c>
    </row>
    <row r="176" customFormat="false" ht="15" hidden="false" customHeight="false" outlineLevel="0" collapsed="false">
      <c r="A176" s="27" t="s">
        <v>43</v>
      </c>
      <c r="B176" s="27" t="s">
        <v>68</v>
      </c>
      <c r="C176" s="27" t="s">
        <v>109</v>
      </c>
      <c r="D176" s="34" t="n">
        <f aca="false">SUMIFS(Media_Cliente_Mes!$C$2:$C$145,Media_Cliente_Mes!$A$2:$A$145,$A176,Media_Cliente_Mes!$B$2:$B$145,$B176)</f>
        <v>0</v>
      </c>
      <c r="E176" s="35" t="str">
        <f aca="false">IF($D176=0,"",IF($C176="Proteina",SUMIFS(Media_Cliente_Mes!$D$2:$D$145,Media_Cliente_Mes!$A$2:$A$145,$A176,Media_Cliente_Mes!$B$2:$B$145,$B176),IF($C176="Umidade",SUMIFS(Media_Cliente_Mes!$E$2:$E$145,Media_Cliente_Mes!$A$2:$A$145,$A176,Media_Cliente_Mes!$B$2:$B$145,$B176),SUMIFS(Media_Cliente_Mes!$F$2:$F$145,Media_Cliente_Mes!$A$2:$A$145,$A176,Media_Cliente_Mes!$B$2:$B$145,$B176))))</f>
        <v/>
      </c>
      <c r="F176" s="35" t="n">
        <f aca="false">INDEX(Parametros_ANEC73!$C$4:$C$6,MATCH($C176,Parametros_ANEC73!$A$4:$A$6,0))</f>
        <v>48</v>
      </c>
      <c r="G176" s="35" t="str">
        <f aca="false">IF($C176="Proteina",INDEX(Media_Pool_Mes!$C$2:$C$13,MATCH($B176,Media_Pool_Mes!$A$2:$A$13,0)),IF($C176="Umidade",INDEX(Media_Pool_Mes!$D$2:$D$13,MATCH($B176,Media_Pool_Mes!$A$2:$A$13,0)),INDEX(Media_Pool_Mes!$E$2:$E$13,MATCH($B176,Media_Pool_Mes!$A$2:$A$13,0))))</f>
        <v/>
      </c>
      <c r="H176" s="37" t="n">
        <f aca="false">INDEX(Parametros_ANEC73!$B$4:$B$6,MATCH($C176,Parametros_ANEC73!$A$4:$A$6,0))</f>
        <v>-1</v>
      </c>
      <c r="I176" s="38" t="str">
        <f aca="false">IF(OR($D176=0,$G176=""),"",IF($H176*($G176-$F176)&gt;0,$G176,$F176))</f>
        <v/>
      </c>
      <c r="J176" s="27" t="str">
        <f aca="false">IF(OR($D176=0,$G176=""),"",IF($H176*($G176-$F176)&gt;0,"Sim","Nao"))</f>
        <v/>
      </c>
      <c r="K176" s="27" t="str">
        <f aca="false">IF(OR($D176=0,$G176=""),"",IF(AND($H176*($E176-$F176)&gt;0,$H176*($E176-$G176)&gt;0),"Sim","Nao"))</f>
        <v/>
      </c>
      <c r="L176" s="38" t="n">
        <f aca="false">IF(OR($D176=0,$G176=""),0,IF($K176="Sim",MAX(0,$H176*($E176-$I176)),0))</f>
        <v>0</v>
      </c>
      <c r="M176" s="35" t="n">
        <f aca="false">INDEX(Parametros_ANEC73!$G$4:$G$6,MATCH($C176,Parametros_ANEC73!$A$4:$A$6,0))</f>
        <v>47</v>
      </c>
      <c r="N176" s="38" t="n">
        <f aca="false">IF(OR($D176=0,$G176=""),0,IF(AND($K176="Sim",$M176&lt;&gt;""),MAX(0,$H176*($E176-$M176)),0))</f>
        <v>0</v>
      </c>
      <c r="O176" s="35" t="n">
        <f aca="false">INDEX(Parametros_ANEC73!$J$4:$J$6,MATCH($C176,Parametros_ANEC73!$A$4:$A$6,0))</f>
        <v>0</v>
      </c>
      <c r="P176" s="38" t="n">
        <f aca="false">IF(OR($D176=0,$G176=""),0,IF(AND($K176="Sim",$O176&lt;&gt;""),MAX(0,$H176*($E176-$O176)),0))</f>
        <v>0</v>
      </c>
      <c r="Q176" s="35" t="n">
        <f aca="false">INDEX(Parametros_ANEC73!$F$4:$F$6,MATCH($C176,Parametros_ANEC73!$A$4:$A$6,0))</f>
        <v>1</v>
      </c>
      <c r="R176" s="35" t="n">
        <f aca="false">INDEX(Parametros_ANEC73!$I$4:$I$6,MATCH($C176,Parametros_ANEC73!$A$4:$A$6,0))</f>
        <v>2</v>
      </c>
      <c r="S176" s="35" t="n">
        <f aca="false">INDEX(Parametros_ANEC73!$L$4:$L$6,MATCH($C176,Parametros_ANEC73!$A$4:$A$6,0))</f>
        <v>0</v>
      </c>
      <c r="T176" s="39" t="n">
        <f aca="false">INDEX(Parametros_ANEC73!$B$14:$B$25,MATCH($B176,Parametros_ANEC73!$A$14:$A$25,0))</f>
        <v>0</v>
      </c>
      <c r="U176" s="40" t="n">
        <f aca="false">IF(OR($D176=0,$G176=""),0,$D176*($T176/100)*($L176*$Q176+$N176*(IF($R176="",$Q176,$R176)-$Q176)+$P176*(IF($S176="",IF($R176="",$Q176,$R176),$S176)-IF($R176="",$Q176,$R176))))</f>
        <v>0</v>
      </c>
      <c r="V176" s="41" t="str">
        <f aca="false">IF(OR($D176=0,$G176=""),"",IF($H176*($E176-INDEX(Parametros_ANEC73!$M$4:$M$6,MATCH($C176,Parametros_ANEC73!$A$4:$A$6,0)))&gt;0,"Sim","Nao"))</f>
        <v/>
      </c>
      <c r="W176" s="27" t="str">
        <f aca="false">$A176&amp;"|"&amp;$B176&amp;"|"&amp;$C176</f>
        <v>Cofco|Nov|Proteina</v>
      </c>
    </row>
    <row r="177" customFormat="false" ht="15" hidden="false" customHeight="false" outlineLevel="0" collapsed="false">
      <c r="A177" s="27" t="s">
        <v>43</v>
      </c>
      <c r="B177" s="27" t="s">
        <v>68</v>
      </c>
      <c r="C177" s="27" t="s">
        <v>110</v>
      </c>
      <c r="D177" s="34" t="n">
        <f aca="false">SUMIFS(Media_Cliente_Mes!$C$2:$C$145,Media_Cliente_Mes!$A$2:$A$145,$A177,Media_Cliente_Mes!$B$2:$B$145,$B177)</f>
        <v>0</v>
      </c>
      <c r="E177" s="35" t="str">
        <f aca="false">IF($D177=0,"",IF($C177="Proteina",SUMIFS(Media_Cliente_Mes!$D$2:$D$145,Media_Cliente_Mes!$A$2:$A$145,$A177,Media_Cliente_Mes!$B$2:$B$145,$B177),IF($C177="Umidade",SUMIFS(Media_Cliente_Mes!$E$2:$E$145,Media_Cliente_Mes!$A$2:$A$145,$A177,Media_Cliente_Mes!$B$2:$B$145,$B177),SUMIFS(Media_Cliente_Mes!$F$2:$F$145,Media_Cliente_Mes!$A$2:$A$145,$A177,Media_Cliente_Mes!$B$2:$B$145,$B177))))</f>
        <v/>
      </c>
      <c r="F177" s="35" t="n">
        <f aca="false">INDEX(Parametros_ANEC73!$C$4:$C$6,MATCH($C177,Parametros_ANEC73!$A$4:$A$6,0))</f>
        <v>12.5</v>
      </c>
      <c r="G177" s="35" t="str">
        <f aca="false">IF($C177="Proteina",INDEX(Media_Pool_Mes!$C$2:$C$13,MATCH($B177,Media_Pool_Mes!$A$2:$A$13,0)),IF($C177="Umidade",INDEX(Media_Pool_Mes!$D$2:$D$13,MATCH($B177,Media_Pool_Mes!$A$2:$A$13,0)),INDEX(Media_Pool_Mes!$E$2:$E$13,MATCH($B177,Media_Pool_Mes!$A$2:$A$13,0))))</f>
        <v/>
      </c>
      <c r="H177" s="37" t="n">
        <f aca="false">INDEX(Parametros_ANEC73!$B$4:$B$6,MATCH($C177,Parametros_ANEC73!$A$4:$A$6,0))</f>
        <v>1</v>
      </c>
      <c r="I177" s="38" t="str">
        <f aca="false">IF(OR($D177=0,$G177=""),"",IF($H177*($G177-$F177)&gt;0,$G177,$F177))</f>
        <v/>
      </c>
      <c r="J177" s="27" t="str">
        <f aca="false">IF(OR($D177=0,$G177=""),"",IF($H177*($G177-$F177)&gt;0,"Sim","Nao"))</f>
        <v/>
      </c>
      <c r="K177" s="27" t="str">
        <f aca="false">IF(OR($D177=0,$G177=""),"",IF(AND($H177*($E177-$F177)&gt;0,$H177*($E177-$G177)&gt;0),"Sim","Nao"))</f>
        <v/>
      </c>
      <c r="L177" s="38" t="n">
        <f aca="false">IF(OR($D177=0,$G177=""),0,IF($K177="Sim",MAX(0,$H177*($E177-$I177)),0))</f>
        <v>0</v>
      </c>
      <c r="M177" s="35" t="n">
        <f aca="false">INDEX(Parametros_ANEC73!$G$4:$G$6,MATCH($C177,Parametros_ANEC73!$A$4:$A$6,0))</f>
        <v>0</v>
      </c>
      <c r="N177" s="38" t="n">
        <f aca="false">IF(OR($D177=0,$G177=""),0,IF(AND($K177="Sim",$M177&lt;&gt;""),MAX(0,$H177*($E177-$M177)),0))</f>
        <v>0</v>
      </c>
      <c r="O177" s="35" t="n">
        <f aca="false">INDEX(Parametros_ANEC73!$J$4:$J$6,MATCH($C177,Parametros_ANEC73!$A$4:$A$6,0))</f>
        <v>0</v>
      </c>
      <c r="P177" s="38" t="n">
        <f aca="false">IF(OR($D177=0,$G177=""),0,IF(AND($K177="Sim",$O177&lt;&gt;""),MAX(0,$H177*($E177-$O177)),0))</f>
        <v>0</v>
      </c>
      <c r="Q177" s="35" t="n">
        <f aca="false">INDEX(Parametros_ANEC73!$F$4:$F$6,MATCH($C177,Parametros_ANEC73!$A$4:$A$6,0))</f>
        <v>1</v>
      </c>
      <c r="R177" s="35" t="n">
        <f aca="false">INDEX(Parametros_ANEC73!$I$4:$I$6,MATCH($C177,Parametros_ANEC73!$A$4:$A$6,0))</f>
        <v>0</v>
      </c>
      <c r="S177" s="35" t="n">
        <f aca="false">INDEX(Parametros_ANEC73!$L$4:$L$6,MATCH($C177,Parametros_ANEC73!$A$4:$A$6,0))</f>
        <v>0</v>
      </c>
      <c r="T177" s="39" t="n">
        <f aca="false">INDEX(Parametros_ANEC73!$B$14:$B$25,MATCH($B177,Parametros_ANEC73!$A$14:$A$25,0))</f>
        <v>0</v>
      </c>
      <c r="U177" s="40" t="n">
        <f aca="false">IF(OR($D177=0,$G177=""),0,$D177*($T177/100)*($L177*$Q177+$N177*(IF($R177="",$Q177,$R177)-$Q177)+$P177*(IF($S177="",IF($R177="",$Q177,$R177),$S177)-IF($R177="",$Q177,$R177))))</f>
        <v>0</v>
      </c>
      <c r="V177" s="41" t="str">
        <f aca="false">IF(OR($D177=0,$G177=""),"",IF($H177*($E177-INDEX(Parametros_ANEC73!$M$4:$M$6,MATCH($C177,Parametros_ANEC73!$A$4:$A$6,0)))&gt;0,"Sim","Nao"))</f>
        <v/>
      </c>
      <c r="W177" s="27" t="str">
        <f aca="false">$A177&amp;"|"&amp;$B177&amp;"|"&amp;$C177</f>
        <v>Cofco|Nov|Umidade</v>
      </c>
    </row>
    <row r="178" customFormat="false" ht="15" hidden="false" customHeight="false" outlineLevel="0" collapsed="false">
      <c r="A178" s="27" t="s">
        <v>43</v>
      </c>
      <c r="B178" s="27" t="s">
        <v>68</v>
      </c>
      <c r="C178" s="27" t="s">
        <v>111</v>
      </c>
      <c r="D178" s="34" t="n">
        <f aca="false">SUMIFS(Media_Cliente_Mes!$C$2:$C$145,Media_Cliente_Mes!$A$2:$A$145,$A178,Media_Cliente_Mes!$B$2:$B$145,$B178)</f>
        <v>0</v>
      </c>
      <c r="E178" s="35" t="str">
        <f aca="false">IF($D178=0,"",IF($C178="Proteina",SUMIFS(Media_Cliente_Mes!$D$2:$D$145,Media_Cliente_Mes!$A$2:$A$145,$A178,Media_Cliente_Mes!$B$2:$B$145,$B178),IF($C178="Umidade",SUMIFS(Media_Cliente_Mes!$E$2:$E$145,Media_Cliente_Mes!$A$2:$A$145,$A178,Media_Cliente_Mes!$B$2:$B$145,$B178),SUMIFS(Media_Cliente_Mes!$F$2:$F$145,Media_Cliente_Mes!$A$2:$A$145,$A178,Media_Cliente_Mes!$B$2:$B$145,$B178))))</f>
        <v/>
      </c>
      <c r="F178" s="35" t="n">
        <f aca="false">INDEX(Parametros_ANEC73!$C$4:$C$6,MATCH($C178,Parametros_ANEC73!$A$4:$A$6,0))</f>
        <v>3.5</v>
      </c>
      <c r="G178" s="35" t="str">
        <f aca="false">IF($C178="Proteina",INDEX(Media_Pool_Mes!$C$2:$C$13,MATCH($B178,Media_Pool_Mes!$A$2:$A$13,0)),IF($C178="Umidade",INDEX(Media_Pool_Mes!$D$2:$D$13,MATCH($B178,Media_Pool_Mes!$A$2:$A$13,0)),INDEX(Media_Pool_Mes!$E$2:$E$13,MATCH($B178,Media_Pool_Mes!$A$2:$A$13,0))))</f>
        <v/>
      </c>
      <c r="H178" s="37" t="n">
        <f aca="false">INDEX(Parametros_ANEC73!$B$4:$B$6,MATCH($C178,Parametros_ANEC73!$A$4:$A$6,0))</f>
        <v>1</v>
      </c>
      <c r="I178" s="38" t="str">
        <f aca="false">IF(OR($D178=0,$G178=""),"",IF($H178*($G178-$F178)&gt;0,$G178,$F178))</f>
        <v/>
      </c>
      <c r="J178" s="27" t="str">
        <f aca="false">IF(OR($D178=0,$G178=""),"",IF($H178*($G178-$F178)&gt;0,"Sim","Nao"))</f>
        <v/>
      </c>
      <c r="K178" s="27" t="str">
        <f aca="false">IF(OR($D178=0,$G178=""),"",IF(AND($H178*($E178-$F178)&gt;0,$H178*($E178-$G178)&gt;0),"Sim","Nao"))</f>
        <v/>
      </c>
      <c r="L178" s="38" t="n">
        <f aca="false">IF(OR($D178=0,$G178=""),0,IF($K178="Sim",MAX(0,$H178*($E178-$I178)),0))</f>
        <v>0</v>
      </c>
      <c r="M178" s="35" t="n">
        <f aca="false">INDEX(Parametros_ANEC73!$G$4:$G$6,MATCH($C178,Parametros_ANEC73!$A$4:$A$6,0))</f>
        <v>3.8</v>
      </c>
      <c r="N178" s="38" t="n">
        <f aca="false">IF(OR($D178=0,$G178=""),0,IF(AND($K178="Sim",$M178&lt;&gt;""),MAX(0,$H178*($E178-$M178)),0))</f>
        <v>0</v>
      </c>
      <c r="O178" s="35" t="n">
        <f aca="false">INDEX(Parametros_ANEC73!$J$4:$J$6,MATCH($C178,Parametros_ANEC73!$A$4:$A$6,0))</f>
        <v>4</v>
      </c>
      <c r="P178" s="38" t="n">
        <f aca="false">IF(OR($D178=0,$G178=""),0,IF(AND($K178="Sim",$O178&lt;&gt;""),MAX(0,$H178*($E178-$O178)),0))</f>
        <v>0</v>
      </c>
      <c r="Q178" s="35" t="n">
        <f aca="false">INDEX(Parametros_ANEC73!$F$4:$F$6,MATCH($C178,Parametros_ANEC73!$A$4:$A$6,0))</f>
        <v>1</v>
      </c>
      <c r="R178" s="35" t="n">
        <f aca="false">INDEX(Parametros_ANEC73!$I$4:$I$6,MATCH($C178,Parametros_ANEC73!$A$4:$A$6,0))</f>
        <v>1.5</v>
      </c>
      <c r="S178" s="35" t="n">
        <f aca="false">INDEX(Parametros_ANEC73!$L$4:$L$6,MATCH($C178,Parametros_ANEC73!$A$4:$A$6,0))</f>
        <v>2</v>
      </c>
      <c r="T178" s="39" t="n">
        <f aca="false">INDEX(Parametros_ANEC73!$B$14:$B$25,MATCH($B178,Parametros_ANEC73!$A$14:$A$25,0))</f>
        <v>0</v>
      </c>
      <c r="U178" s="40" t="n">
        <f aca="false">IF(OR($D178=0,$G178=""),0,$D178*($T178/100)*($L178*$Q178+$N178*(IF($R178="",$Q178,$R178)-$Q178)+$P178*(IF($S178="",IF($R178="",$Q178,$R178),$S178)-IF($R178="",$Q178,$R178))))</f>
        <v>0</v>
      </c>
      <c r="V178" s="41" t="str">
        <f aca="false">IF(OR($D178=0,$G178=""),"",IF($H178*($E178-INDEX(Parametros_ANEC73!$M$4:$M$6,MATCH($C178,Parametros_ANEC73!$A$4:$A$6,0)))&gt;0,"Sim","Nao"))</f>
        <v/>
      </c>
      <c r="W178" s="27" t="str">
        <f aca="false">$A178&amp;"|"&amp;$B178&amp;"|"&amp;$C178</f>
        <v>Cofco|Nov|Fibra</v>
      </c>
    </row>
    <row r="179" customFormat="false" ht="15" hidden="false" customHeight="false" outlineLevel="0" collapsed="false">
      <c r="A179" s="27" t="s">
        <v>43</v>
      </c>
      <c r="B179" s="27" t="s">
        <v>69</v>
      </c>
      <c r="C179" s="27" t="s">
        <v>109</v>
      </c>
      <c r="D179" s="34" t="n">
        <f aca="false">SUMIFS(Media_Cliente_Mes!$C$2:$C$145,Media_Cliente_Mes!$A$2:$A$145,$A179,Media_Cliente_Mes!$B$2:$B$145,$B179)</f>
        <v>0</v>
      </c>
      <c r="E179" s="35" t="str">
        <f aca="false">IF($D179=0,"",IF($C179="Proteina",SUMIFS(Media_Cliente_Mes!$D$2:$D$145,Media_Cliente_Mes!$A$2:$A$145,$A179,Media_Cliente_Mes!$B$2:$B$145,$B179),IF($C179="Umidade",SUMIFS(Media_Cliente_Mes!$E$2:$E$145,Media_Cliente_Mes!$A$2:$A$145,$A179,Media_Cliente_Mes!$B$2:$B$145,$B179),SUMIFS(Media_Cliente_Mes!$F$2:$F$145,Media_Cliente_Mes!$A$2:$A$145,$A179,Media_Cliente_Mes!$B$2:$B$145,$B179))))</f>
        <v/>
      </c>
      <c r="F179" s="35" t="n">
        <f aca="false">INDEX(Parametros_ANEC73!$C$4:$C$6,MATCH($C179,Parametros_ANEC73!$A$4:$A$6,0))</f>
        <v>48</v>
      </c>
      <c r="G179" s="35" t="str">
        <f aca="false">IF($C179="Proteina",INDEX(Media_Pool_Mes!$C$2:$C$13,MATCH($B179,Media_Pool_Mes!$A$2:$A$13,0)),IF($C179="Umidade",INDEX(Media_Pool_Mes!$D$2:$D$13,MATCH($B179,Media_Pool_Mes!$A$2:$A$13,0)),INDEX(Media_Pool_Mes!$E$2:$E$13,MATCH($B179,Media_Pool_Mes!$A$2:$A$13,0))))</f>
        <v/>
      </c>
      <c r="H179" s="37" t="n">
        <f aca="false">INDEX(Parametros_ANEC73!$B$4:$B$6,MATCH($C179,Parametros_ANEC73!$A$4:$A$6,0))</f>
        <v>-1</v>
      </c>
      <c r="I179" s="38" t="str">
        <f aca="false">IF(OR($D179=0,$G179=""),"",IF($H179*($G179-$F179)&gt;0,$G179,$F179))</f>
        <v/>
      </c>
      <c r="J179" s="27" t="str">
        <f aca="false">IF(OR($D179=0,$G179=""),"",IF($H179*($G179-$F179)&gt;0,"Sim","Nao"))</f>
        <v/>
      </c>
      <c r="K179" s="27" t="str">
        <f aca="false">IF(OR($D179=0,$G179=""),"",IF(AND($H179*($E179-$F179)&gt;0,$H179*($E179-$G179)&gt;0),"Sim","Nao"))</f>
        <v/>
      </c>
      <c r="L179" s="38" t="n">
        <f aca="false">IF(OR($D179=0,$G179=""),0,IF($K179="Sim",MAX(0,$H179*($E179-$I179)),0))</f>
        <v>0</v>
      </c>
      <c r="M179" s="35" t="n">
        <f aca="false">INDEX(Parametros_ANEC73!$G$4:$G$6,MATCH($C179,Parametros_ANEC73!$A$4:$A$6,0))</f>
        <v>47</v>
      </c>
      <c r="N179" s="38" t="n">
        <f aca="false">IF(OR($D179=0,$G179=""),0,IF(AND($K179="Sim",$M179&lt;&gt;""),MAX(0,$H179*($E179-$M179)),0))</f>
        <v>0</v>
      </c>
      <c r="O179" s="35" t="n">
        <f aca="false">INDEX(Parametros_ANEC73!$J$4:$J$6,MATCH($C179,Parametros_ANEC73!$A$4:$A$6,0))</f>
        <v>0</v>
      </c>
      <c r="P179" s="38" t="n">
        <f aca="false">IF(OR($D179=0,$G179=""),0,IF(AND($K179="Sim",$O179&lt;&gt;""),MAX(0,$H179*($E179-$O179)),0))</f>
        <v>0</v>
      </c>
      <c r="Q179" s="35" t="n">
        <f aca="false">INDEX(Parametros_ANEC73!$F$4:$F$6,MATCH($C179,Parametros_ANEC73!$A$4:$A$6,0))</f>
        <v>1</v>
      </c>
      <c r="R179" s="35" t="n">
        <f aca="false">INDEX(Parametros_ANEC73!$I$4:$I$6,MATCH($C179,Parametros_ANEC73!$A$4:$A$6,0))</f>
        <v>2</v>
      </c>
      <c r="S179" s="35" t="n">
        <f aca="false">INDEX(Parametros_ANEC73!$L$4:$L$6,MATCH($C179,Parametros_ANEC73!$A$4:$A$6,0))</f>
        <v>0</v>
      </c>
      <c r="T179" s="39" t="n">
        <f aca="false">INDEX(Parametros_ANEC73!$B$14:$B$25,MATCH($B179,Parametros_ANEC73!$A$14:$A$25,0))</f>
        <v>0</v>
      </c>
      <c r="U179" s="40" t="n">
        <f aca="false">IF(OR($D179=0,$G179=""),0,$D179*($T179/100)*($L179*$Q179+$N179*(IF($R179="",$Q179,$R179)-$Q179)+$P179*(IF($S179="",IF($R179="",$Q179,$R179),$S179)-IF($R179="",$Q179,$R179))))</f>
        <v>0</v>
      </c>
      <c r="V179" s="41" t="str">
        <f aca="false">IF(OR($D179=0,$G179=""),"",IF($H179*($E179-INDEX(Parametros_ANEC73!$M$4:$M$6,MATCH($C179,Parametros_ANEC73!$A$4:$A$6,0)))&gt;0,"Sim","Nao"))</f>
        <v/>
      </c>
      <c r="W179" s="27" t="str">
        <f aca="false">$A179&amp;"|"&amp;$B179&amp;"|"&amp;$C179</f>
        <v>Cofco|Dez|Proteina</v>
      </c>
    </row>
    <row r="180" customFormat="false" ht="15" hidden="false" customHeight="false" outlineLevel="0" collapsed="false">
      <c r="A180" s="27" t="s">
        <v>43</v>
      </c>
      <c r="B180" s="27" t="s">
        <v>69</v>
      </c>
      <c r="C180" s="27" t="s">
        <v>110</v>
      </c>
      <c r="D180" s="34" t="n">
        <f aca="false">SUMIFS(Media_Cliente_Mes!$C$2:$C$145,Media_Cliente_Mes!$A$2:$A$145,$A180,Media_Cliente_Mes!$B$2:$B$145,$B180)</f>
        <v>0</v>
      </c>
      <c r="E180" s="35" t="str">
        <f aca="false">IF($D180=0,"",IF($C180="Proteina",SUMIFS(Media_Cliente_Mes!$D$2:$D$145,Media_Cliente_Mes!$A$2:$A$145,$A180,Media_Cliente_Mes!$B$2:$B$145,$B180),IF($C180="Umidade",SUMIFS(Media_Cliente_Mes!$E$2:$E$145,Media_Cliente_Mes!$A$2:$A$145,$A180,Media_Cliente_Mes!$B$2:$B$145,$B180),SUMIFS(Media_Cliente_Mes!$F$2:$F$145,Media_Cliente_Mes!$A$2:$A$145,$A180,Media_Cliente_Mes!$B$2:$B$145,$B180))))</f>
        <v/>
      </c>
      <c r="F180" s="35" t="n">
        <f aca="false">INDEX(Parametros_ANEC73!$C$4:$C$6,MATCH($C180,Parametros_ANEC73!$A$4:$A$6,0))</f>
        <v>12.5</v>
      </c>
      <c r="G180" s="35" t="str">
        <f aca="false">IF($C180="Proteina",INDEX(Media_Pool_Mes!$C$2:$C$13,MATCH($B180,Media_Pool_Mes!$A$2:$A$13,0)),IF($C180="Umidade",INDEX(Media_Pool_Mes!$D$2:$D$13,MATCH($B180,Media_Pool_Mes!$A$2:$A$13,0)),INDEX(Media_Pool_Mes!$E$2:$E$13,MATCH($B180,Media_Pool_Mes!$A$2:$A$13,0))))</f>
        <v/>
      </c>
      <c r="H180" s="37" t="n">
        <f aca="false">INDEX(Parametros_ANEC73!$B$4:$B$6,MATCH($C180,Parametros_ANEC73!$A$4:$A$6,0))</f>
        <v>1</v>
      </c>
      <c r="I180" s="38" t="str">
        <f aca="false">IF(OR($D180=0,$G180=""),"",IF($H180*($G180-$F180)&gt;0,$G180,$F180))</f>
        <v/>
      </c>
      <c r="J180" s="27" t="str">
        <f aca="false">IF(OR($D180=0,$G180=""),"",IF($H180*($G180-$F180)&gt;0,"Sim","Nao"))</f>
        <v/>
      </c>
      <c r="K180" s="27" t="str">
        <f aca="false">IF(OR($D180=0,$G180=""),"",IF(AND($H180*($E180-$F180)&gt;0,$H180*($E180-$G180)&gt;0),"Sim","Nao"))</f>
        <v/>
      </c>
      <c r="L180" s="38" t="n">
        <f aca="false">IF(OR($D180=0,$G180=""),0,IF($K180="Sim",MAX(0,$H180*($E180-$I180)),0))</f>
        <v>0</v>
      </c>
      <c r="M180" s="35" t="n">
        <f aca="false">INDEX(Parametros_ANEC73!$G$4:$G$6,MATCH($C180,Parametros_ANEC73!$A$4:$A$6,0))</f>
        <v>0</v>
      </c>
      <c r="N180" s="38" t="n">
        <f aca="false">IF(OR($D180=0,$G180=""),0,IF(AND($K180="Sim",$M180&lt;&gt;""),MAX(0,$H180*($E180-$M180)),0))</f>
        <v>0</v>
      </c>
      <c r="O180" s="35" t="n">
        <f aca="false">INDEX(Parametros_ANEC73!$J$4:$J$6,MATCH($C180,Parametros_ANEC73!$A$4:$A$6,0))</f>
        <v>0</v>
      </c>
      <c r="P180" s="38" t="n">
        <f aca="false">IF(OR($D180=0,$G180=""),0,IF(AND($K180="Sim",$O180&lt;&gt;""),MAX(0,$H180*($E180-$O180)),0))</f>
        <v>0</v>
      </c>
      <c r="Q180" s="35" t="n">
        <f aca="false">INDEX(Parametros_ANEC73!$F$4:$F$6,MATCH($C180,Parametros_ANEC73!$A$4:$A$6,0))</f>
        <v>1</v>
      </c>
      <c r="R180" s="35" t="n">
        <f aca="false">INDEX(Parametros_ANEC73!$I$4:$I$6,MATCH($C180,Parametros_ANEC73!$A$4:$A$6,0))</f>
        <v>0</v>
      </c>
      <c r="S180" s="35" t="n">
        <f aca="false">INDEX(Parametros_ANEC73!$L$4:$L$6,MATCH($C180,Parametros_ANEC73!$A$4:$A$6,0))</f>
        <v>0</v>
      </c>
      <c r="T180" s="39" t="n">
        <f aca="false">INDEX(Parametros_ANEC73!$B$14:$B$25,MATCH($B180,Parametros_ANEC73!$A$14:$A$25,0))</f>
        <v>0</v>
      </c>
      <c r="U180" s="40" t="n">
        <f aca="false">IF(OR($D180=0,$G180=""),0,$D180*($T180/100)*($L180*$Q180+$N180*(IF($R180="",$Q180,$R180)-$Q180)+$P180*(IF($S180="",IF($R180="",$Q180,$R180),$S180)-IF($R180="",$Q180,$R180))))</f>
        <v>0</v>
      </c>
      <c r="V180" s="41" t="str">
        <f aca="false">IF(OR($D180=0,$G180=""),"",IF($H180*($E180-INDEX(Parametros_ANEC73!$M$4:$M$6,MATCH($C180,Parametros_ANEC73!$A$4:$A$6,0)))&gt;0,"Sim","Nao"))</f>
        <v/>
      </c>
      <c r="W180" s="27" t="str">
        <f aca="false">$A180&amp;"|"&amp;$B180&amp;"|"&amp;$C180</f>
        <v>Cofco|Dez|Umidade</v>
      </c>
    </row>
    <row r="181" customFormat="false" ht="15" hidden="false" customHeight="false" outlineLevel="0" collapsed="false">
      <c r="A181" s="27" t="s">
        <v>43</v>
      </c>
      <c r="B181" s="27" t="s">
        <v>69</v>
      </c>
      <c r="C181" s="27" t="s">
        <v>111</v>
      </c>
      <c r="D181" s="34" t="n">
        <f aca="false">SUMIFS(Media_Cliente_Mes!$C$2:$C$145,Media_Cliente_Mes!$A$2:$A$145,$A181,Media_Cliente_Mes!$B$2:$B$145,$B181)</f>
        <v>0</v>
      </c>
      <c r="E181" s="35" t="str">
        <f aca="false">IF($D181=0,"",IF($C181="Proteina",SUMIFS(Media_Cliente_Mes!$D$2:$D$145,Media_Cliente_Mes!$A$2:$A$145,$A181,Media_Cliente_Mes!$B$2:$B$145,$B181),IF($C181="Umidade",SUMIFS(Media_Cliente_Mes!$E$2:$E$145,Media_Cliente_Mes!$A$2:$A$145,$A181,Media_Cliente_Mes!$B$2:$B$145,$B181),SUMIFS(Media_Cliente_Mes!$F$2:$F$145,Media_Cliente_Mes!$A$2:$A$145,$A181,Media_Cliente_Mes!$B$2:$B$145,$B181))))</f>
        <v/>
      </c>
      <c r="F181" s="35" t="n">
        <f aca="false">INDEX(Parametros_ANEC73!$C$4:$C$6,MATCH($C181,Parametros_ANEC73!$A$4:$A$6,0))</f>
        <v>3.5</v>
      </c>
      <c r="G181" s="35" t="str">
        <f aca="false">IF($C181="Proteina",INDEX(Media_Pool_Mes!$C$2:$C$13,MATCH($B181,Media_Pool_Mes!$A$2:$A$13,0)),IF($C181="Umidade",INDEX(Media_Pool_Mes!$D$2:$D$13,MATCH($B181,Media_Pool_Mes!$A$2:$A$13,0)),INDEX(Media_Pool_Mes!$E$2:$E$13,MATCH($B181,Media_Pool_Mes!$A$2:$A$13,0))))</f>
        <v/>
      </c>
      <c r="H181" s="37" t="n">
        <f aca="false">INDEX(Parametros_ANEC73!$B$4:$B$6,MATCH($C181,Parametros_ANEC73!$A$4:$A$6,0))</f>
        <v>1</v>
      </c>
      <c r="I181" s="38" t="str">
        <f aca="false">IF(OR($D181=0,$G181=""),"",IF($H181*($G181-$F181)&gt;0,$G181,$F181))</f>
        <v/>
      </c>
      <c r="J181" s="27" t="str">
        <f aca="false">IF(OR($D181=0,$G181=""),"",IF($H181*($G181-$F181)&gt;0,"Sim","Nao"))</f>
        <v/>
      </c>
      <c r="K181" s="27" t="str">
        <f aca="false">IF(OR($D181=0,$G181=""),"",IF(AND($H181*($E181-$F181)&gt;0,$H181*($E181-$G181)&gt;0),"Sim","Nao"))</f>
        <v/>
      </c>
      <c r="L181" s="38" t="n">
        <f aca="false">IF(OR($D181=0,$G181=""),0,IF($K181="Sim",MAX(0,$H181*($E181-$I181)),0))</f>
        <v>0</v>
      </c>
      <c r="M181" s="35" t="n">
        <f aca="false">INDEX(Parametros_ANEC73!$G$4:$G$6,MATCH($C181,Parametros_ANEC73!$A$4:$A$6,0))</f>
        <v>3.8</v>
      </c>
      <c r="N181" s="38" t="n">
        <f aca="false">IF(OR($D181=0,$G181=""),0,IF(AND($K181="Sim",$M181&lt;&gt;""),MAX(0,$H181*($E181-$M181)),0))</f>
        <v>0</v>
      </c>
      <c r="O181" s="35" t="n">
        <f aca="false">INDEX(Parametros_ANEC73!$J$4:$J$6,MATCH($C181,Parametros_ANEC73!$A$4:$A$6,0))</f>
        <v>4</v>
      </c>
      <c r="P181" s="38" t="n">
        <f aca="false">IF(OR($D181=0,$G181=""),0,IF(AND($K181="Sim",$O181&lt;&gt;""),MAX(0,$H181*($E181-$O181)),0))</f>
        <v>0</v>
      </c>
      <c r="Q181" s="35" t="n">
        <f aca="false">INDEX(Parametros_ANEC73!$F$4:$F$6,MATCH($C181,Parametros_ANEC73!$A$4:$A$6,0))</f>
        <v>1</v>
      </c>
      <c r="R181" s="35" t="n">
        <f aca="false">INDEX(Parametros_ANEC73!$I$4:$I$6,MATCH($C181,Parametros_ANEC73!$A$4:$A$6,0))</f>
        <v>1.5</v>
      </c>
      <c r="S181" s="35" t="n">
        <f aca="false">INDEX(Parametros_ANEC73!$L$4:$L$6,MATCH($C181,Parametros_ANEC73!$A$4:$A$6,0))</f>
        <v>2</v>
      </c>
      <c r="T181" s="39" t="n">
        <f aca="false">INDEX(Parametros_ANEC73!$B$14:$B$25,MATCH($B181,Parametros_ANEC73!$A$14:$A$25,0))</f>
        <v>0</v>
      </c>
      <c r="U181" s="40" t="n">
        <f aca="false">IF(OR($D181=0,$G181=""),0,$D181*($T181/100)*($L181*$Q181+$N181*(IF($R181="",$Q181,$R181)-$Q181)+$P181*(IF($S181="",IF($R181="",$Q181,$R181),$S181)-IF($R181="",$Q181,$R181))))</f>
        <v>0</v>
      </c>
      <c r="V181" s="41" t="str">
        <f aca="false">IF(OR($D181=0,$G181=""),"",IF($H181*($E181-INDEX(Parametros_ANEC73!$M$4:$M$6,MATCH($C181,Parametros_ANEC73!$A$4:$A$6,0)))&gt;0,"Sim","Nao"))</f>
        <v/>
      </c>
      <c r="W181" s="27" t="str">
        <f aca="false">$A181&amp;"|"&amp;$B181&amp;"|"&amp;$C181</f>
        <v>Cofco|Dez|Fibra</v>
      </c>
    </row>
    <row r="182" customFormat="false" ht="15" hidden="false" customHeight="false" outlineLevel="0" collapsed="false">
      <c r="A182" s="27" t="s">
        <v>44</v>
      </c>
      <c r="B182" s="27" t="s">
        <v>38</v>
      </c>
      <c r="C182" s="27" t="s">
        <v>109</v>
      </c>
      <c r="D182" s="34" t="n">
        <f aca="false">SUMIFS(Media_Cliente_Mes!$C$2:$C$145,Media_Cliente_Mes!$A$2:$A$145,$A182,Media_Cliente_Mes!$B$2:$B$145,$B182)</f>
        <v>48560.63</v>
      </c>
      <c r="E182" s="35" t="n">
        <f aca="false">IF($D182=0,"",IF($C182="Proteina",SUMIFS(Media_Cliente_Mes!$D$2:$D$145,Media_Cliente_Mes!$A$2:$A$145,$A182,Media_Cliente_Mes!$B$2:$B$145,$B182),IF($C182="Umidade",SUMIFS(Media_Cliente_Mes!$E$2:$E$145,Media_Cliente_Mes!$A$2:$A$145,$A182,Media_Cliente_Mes!$B$2:$B$145,$B182),SUMIFS(Media_Cliente_Mes!$F$2:$F$145,Media_Cliente_Mes!$A$2:$A$145,$A182,Media_Cliente_Mes!$B$2:$B$145,$B182))))</f>
        <v>47.5683354869984</v>
      </c>
      <c r="F182" s="35" t="n">
        <f aca="false">INDEX(Parametros_ANEC73!$C$4:$C$6,MATCH($C182,Parametros_ANEC73!$A$4:$A$6,0))</f>
        <v>48</v>
      </c>
      <c r="G182" s="35" t="n">
        <f aca="false">IF($C182="Proteina",INDEX(Media_Pool_Mes!$C$2:$C$13,MATCH($B182,Media_Pool_Mes!$A$2:$A$13,0)),IF($C182="Umidade",INDEX(Media_Pool_Mes!$D$2:$D$13,MATCH($B182,Media_Pool_Mes!$A$2:$A$13,0)),INDEX(Media_Pool_Mes!$E$2:$E$13,MATCH($B182,Media_Pool_Mes!$A$2:$A$13,0))))</f>
        <v>47.8154367670349</v>
      </c>
      <c r="H182" s="37" t="n">
        <f aca="false">INDEX(Parametros_ANEC73!$B$4:$B$6,MATCH($C182,Parametros_ANEC73!$A$4:$A$6,0))</f>
        <v>-1</v>
      </c>
      <c r="I182" s="38" t="n">
        <f aca="false">IF(OR($D182=0,$G182=""),"",IF($H182*($G182-$F182)&gt;0,$G182,$F182))</f>
        <v>47.8154367670349</v>
      </c>
      <c r="J182" s="27" t="str">
        <f aca="false">IF(OR($D182=0,$G182=""),"",IF($H182*($G182-$F182)&gt;0,"Sim","Nao"))</f>
        <v>Sim</v>
      </c>
      <c r="K182" s="27" t="str">
        <f aca="false">IF(OR($D182=0,$G182=""),"",IF(AND($H182*($E182-$F182)&gt;0,$H182*($E182-$G182)&gt;0),"Sim","Nao"))</f>
        <v>Sim</v>
      </c>
      <c r="L182" s="38" t="n">
        <f aca="false">IF(OR($D182=0,$G182=""),0,IF($K182="Sim",MAX(0,$H182*($E182-$I182)),0))</f>
        <v>0.247101280036453</v>
      </c>
      <c r="M182" s="35" t="n">
        <f aca="false">INDEX(Parametros_ANEC73!$G$4:$G$6,MATCH($C182,Parametros_ANEC73!$A$4:$A$6,0))</f>
        <v>47</v>
      </c>
      <c r="N182" s="38" t="n">
        <f aca="false">IF(OR($D182=0,$G182=""),0,IF(AND($K182="Sim",$M182&lt;&gt;""),MAX(0,$H182*($E182-$M182)),0))</f>
        <v>0</v>
      </c>
      <c r="O182" s="35" t="n">
        <f aca="false">INDEX(Parametros_ANEC73!$J$4:$J$6,MATCH($C182,Parametros_ANEC73!$A$4:$A$6,0))</f>
        <v>0</v>
      </c>
      <c r="P182" s="38" t="n">
        <f aca="false">IF(OR($D182=0,$G182=""),0,IF(AND($K182="Sim",$O182&lt;&gt;""),MAX(0,$H182*($E182-$O182)),0))</f>
        <v>0</v>
      </c>
      <c r="Q182" s="35" t="n">
        <f aca="false">INDEX(Parametros_ANEC73!$F$4:$F$6,MATCH($C182,Parametros_ANEC73!$A$4:$A$6,0))</f>
        <v>1</v>
      </c>
      <c r="R182" s="35" t="n">
        <f aca="false">INDEX(Parametros_ANEC73!$I$4:$I$6,MATCH($C182,Parametros_ANEC73!$A$4:$A$6,0))</f>
        <v>2</v>
      </c>
      <c r="S182" s="35" t="n">
        <f aca="false">INDEX(Parametros_ANEC73!$L$4:$L$6,MATCH($C182,Parametros_ANEC73!$A$4:$A$6,0))</f>
        <v>0</v>
      </c>
      <c r="T182" s="39" t="n">
        <f aca="false">INDEX(Parametros_ANEC73!$B$14:$B$25,MATCH($B182,Parametros_ANEC73!$A$14:$A$25,0))</f>
        <v>386</v>
      </c>
      <c r="U182" s="40" t="n">
        <f aca="false">IF(OR($D182=0,$G182=""),0,$D182*($T182/100)*($L182*$Q182+$N182*(IF($R182="",$Q182,$R182)-$Q182)+$P182*(IF($S182="",IF($R182="",$Q182,$R182),$S182)-IF($R182="",$Q182,$R182))))</f>
        <v>46317.6601929737</v>
      </c>
      <c r="V182" s="41" t="str">
        <f aca="false">IF(OR($D182=0,$G182=""),"",IF($H182*($E182-INDEX(Parametros_ANEC73!$M$4:$M$6,MATCH($C182,Parametros_ANEC73!$A$4:$A$6,0)))&gt;0,"Sim","Nao"))</f>
        <v>Nao</v>
      </c>
      <c r="W182" s="27" t="str">
        <f aca="false">$A182&amp;"|"&amp;$B182&amp;"|"&amp;$C182</f>
        <v>3Tentos|Jan|Proteina</v>
      </c>
    </row>
    <row r="183" customFormat="false" ht="15" hidden="false" customHeight="false" outlineLevel="0" collapsed="false">
      <c r="A183" s="27" t="s">
        <v>44</v>
      </c>
      <c r="B183" s="27" t="s">
        <v>38</v>
      </c>
      <c r="C183" s="27" t="s">
        <v>110</v>
      </c>
      <c r="D183" s="34" t="n">
        <f aca="false">SUMIFS(Media_Cliente_Mes!$C$2:$C$145,Media_Cliente_Mes!$A$2:$A$145,$A183,Media_Cliente_Mes!$B$2:$B$145,$B183)</f>
        <v>48560.63</v>
      </c>
      <c r="E183" s="35" t="n">
        <f aca="false">IF($D183=0,"",IF($C183="Proteina",SUMIFS(Media_Cliente_Mes!$D$2:$D$145,Media_Cliente_Mes!$A$2:$A$145,$A183,Media_Cliente_Mes!$B$2:$B$145,$B183),IF($C183="Umidade",SUMIFS(Media_Cliente_Mes!$E$2:$E$145,Media_Cliente_Mes!$A$2:$A$145,$A183,Media_Cliente_Mes!$B$2:$B$145,$B183),SUMIFS(Media_Cliente_Mes!$F$2:$F$145,Media_Cliente_Mes!$A$2:$A$145,$A183,Media_Cliente_Mes!$B$2:$B$145,$B183))))</f>
        <v>12.2074596664005</v>
      </c>
      <c r="F183" s="35" t="n">
        <f aca="false">INDEX(Parametros_ANEC73!$C$4:$C$6,MATCH($C183,Parametros_ANEC73!$A$4:$A$6,0))</f>
        <v>12.5</v>
      </c>
      <c r="G183" s="35" t="n">
        <f aca="false">IF($C183="Proteina",INDEX(Media_Pool_Mes!$C$2:$C$13,MATCH($B183,Media_Pool_Mes!$A$2:$A$13,0)),IF($C183="Umidade",INDEX(Media_Pool_Mes!$D$2:$D$13,MATCH($B183,Media_Pool_Mes!$A$2:$A$13,0)),INDEX(Media_Pool_Mes!$E$2:$E$13,MATCH($B183,Media_Pool_Mes!$A$2:$A$13,0))))</f>
        <v>12.076727887935</v>
      </c>
      <c r="H183" s="37" t="n">
        <f aca="false">INDEX(Parametros_ANEC73!$B$4:$B$6,MATCH($C183,Parametros_ANEC73!$A$4:$A$6,0))</f>
        <v>1</v>
      </c>
      <c r="I183" s="38" t="n">
        <f aca="false">IF(OR($D183=0,$G183=""),"",IF($H183*($G183-$F183)&gt;0,$G183,$F183))</f>
        <v>12.5</v>
      </c>
      <c r="J183" s="27" t="str">
        <f aca="false">IF(OR($D183=0,$G183=""),"",IF($H183*($G183-$F183)&gt;0,"Sim","Nao"))</f>
        <v>Nao</v>
      </c>
      <c r="K183" s="27" t="str">
        <f aca="false">IF(OR($D183=0,$G183=""),"",IF(AND($H183*($E183-$F183)&gt;0,$H183*($E183-$G183)&gt;0),"Sim","Nao"))</f>
        <v>Nao</v>
      </c>
      <c r="L183" s="38" t="n">
        <f aca="false">IF(OR($D183=0,$G183=""),0,IF($K183="Sim",MAX(0,$H183*($E183-$I183)),0))</f>
        <v>0</v>
      </c>
      <c r="M183" s="35" t="n">
        <f aca="false">INDEX(Parametros_ANEC73!$G$4:$G$6,MATCH($C183,Parametros_ANEC73!$A$4:$A$6,0))</f>
        <v>0</v>
      </c>
      <c r="N183" s="38" t="n">
        <f aca="false">IF(OR($D183=0,$G183=""),0,IF(AND($K183="Sim",$M183&lt;&gt;""),MAX(0,$H183*($E183-$M183)),0))</f>
        <v>0</v>
      </c>
      <c r="O183" s="35" t="n">
        <f aca="false">INDEX(Parametros_ANEC73!$J$4:$J$6,MATCH($C183,Parametros_ANEC73!$A$4:$A$6,0))</f>
        <v>0</v>
      </c>
      <c r="P183" s="38" t="n">
        <f aca="false">IF(OR($D183=0,$G183=""),0,IF(AND($K183="Sim",$O183&lt;&gt;""),MAX(0,$H183*($E183-$O183)),0))</f>
        <v>0</v>
      </c>
      <c r="Q183" s="35" t="n">
        <f aca="false">INDEX(Parametros_ANEC73!$F$4:$F$6,MATCH($C183,Parametros_ANEC73!$A$4:$A$6,0))</f>
        <v>1</v>
      </c>
      <c r="R183" s="35" t="n">
        <f aca="false">INDEX(Parametros_ANEC73!$I$4:$I$6,MATCH($C183,Parametros_ANEC73!$A$4:$A$6,0))</f>
        <v>0</v>
      </c>
      <c r="S183" s="35" t="n">
        <f aca="false">INDEX(Parametros_ANEC73!$L$4:$L$6,MATCH($C183,Parametros_ANEC73!$A$4:$A$6,0))</f>
        <v>0</v>
      </c>
      <c r="T183" s="39" t="n">
        <f aca="false">INDEX(Parametros_ANEC73!$B$14:$B$25,MATCH($B183,Parametros_ANEC73!$A$14:$A$25,0))</f>
        <v>386</v>
      </c>
      <c r="U183" s="40" t="n">
        <f aca="false">IF(OR($D183=0,$G183=""),0,$D183*($T183/100)*($L183*$Q183+$N183*(IF($R183="",$Q183,$R183)-$Q183)+$P183*(IF($S183="",IF($R183="",$Q183,$R183),$S183)-IF($R183="",$Q183,$R183))))</f>
        <v>0</v>
      </c>
      <c r="V183" s="41" t="str">
        <f aca="false">IF(OR($D183=0,$G183=""),"",IF($H183*($E183-INDEX(Parametros_ANEC73!$M$4:$M$6,MATCH($C183,Parametros_ANEC73!$A$4:$A$6,0)))&gt;0,"Sim","Nao"))</f>
        <v>Nao</v>
      </c>
      <c r="W183" s="27" t="str">
        <f aca="false">$A183&amp;"|"&amp;$B183&amp;"|"&amp;$C183</f>
        <v>3Tentos|Jan|Umidade</v>
      </c>
    </row>
    <row r="184" customFormat="false" ht="15" hidden="false" customHeight="false" outlineLevel="0" collapsed="false">
      <c r="A184" s="27" t="s">
        <v>44</v>
      </c>
      <c r="B184" s="27" t="s">
        <v>38</v>
      </c>
      <c r="C184" s="27" t="s">
        <v>111</v>
      </c>
      <c r="D184" s="34" t="n">
        <f aca="false">SUMIFS(Media_Cliente_Mes!$C$2:$C$145,Media_Cliente_Mes!$A$2:$A$145,$A184,Media_Cliente_Mes!$B$2:$B$145,$B184)</f>
        <v>48560.63</v>
      </c>
      <c r="E184" s="35" t="n">
        <f aca="false">IF($D184=0,"",IF($C184="Proteina",SUMIFS(Media_Cliente_Mes!$D$2:$D$145,Media_Cliente_Mes!$A$2:$A$145,$A184,Media_Cliente_Mes!$B$2:$B$145,$B184),IF($C184="Umidade",SUMIFS(Media_Cliente_Mes!$E$2:$E$145,Media_Cliente_Mes!$A$2:$A$145,$A184,Media_Cliente_Mes!$B$2:$B$145,$B184),SUMIFS(Media_Cliente_Mes!$F$2:$F$145,Media_Cliente_Mes!$A$2:$A$145,$A184,Media_Cliente_Mes!$B$2:$B$145,$B184))))</f>
        <v>3.62389218385346</v>
      </c>
      <c r="F184" s="35" t="n">
        <f aca="false">INDEX(Parametros_ANEC73!$C$4:$C$6,MATCH($C184,Parametros_ANEC73!$A$4:$A$6,0))</f>
        <v>3.5</v>
      </c>
      <c r="G184" s="35" t="n">
        <f aca="false">IF($C184="Proteina",INDEX(Media_Pool_Mes!$C$2:$C$13,MATCH($B184,Media_Pool_Mes!$A$2:$A$13,0)),IF($C184="Umidade",INDEX(Media_Pool_Mes!$D$2:$D$13,MATCH($B184,Media_Pool_Mes!$A$2:$A$13,0)),INDEX(Media_Pool_Mes!$E$2:$E$13,MATCH($B184,Media_Pool_Mes!$A$2:$A$13,0))))</f>
        <v>3.51752485295922</v>
      </c>
      <c r="H184" s="37" t="n">
        <f aca="false">INDEX(Parametros_ANEC73!$B$4:$B$6,MATCH($C184,Parametros_ANEC73!$A$4:$A$6,0))</f>
        <v>1</v>
      </c>
      <c r="I184" s="38" t="n">
        <f aca="false">IF(OR($D184=0,$G184=""),"",IF($H184*($G184-$F184)&gt;0,$G184,$F184))</f>
        <v>3.51752485295922</v>
      </c>
      <c r="J184" s="27" t="str">
        <f aca="false">IF(OR($D184=0,$G184=""),"",IF($H184*($G184-$F184)&gt;0,"Sim","Nao"))</f>
        <v>Sim</v>
      </c>
      <c r="K184" s="27" t="str">
        <f aca="false">IF(OR($D184=0,$G184=""),"",IF(AND($H184*($E184-$F184)&gt;0,$H184*($E184-$G184)&gt;0),"Sim","Nao"))</f>
        <v>Sim</v>
      </c>
      <c r="L184" s="38" t="n">
        <f aca="false">IF(OR($D184=0,$G184=""),0,IF($K184="Sim",MAX(0,$H184*($E184-$I184)),0))</f>
        <v>0.106367330894243</v>
      </c>
      <c r="M184" s="35" t="n">
        <f aca="false">INDEX(Parametros_ANEC73!$G$4:$G$6,MATCH($C184,Parametros_ANEC73!$A$4:$A$6,0))</f>
        <v>3.8</v>
      </c>
      <c r="N184" s="38" t="n">
        <f aca="false">IF(OR($D184=0,$G184=""),0,IF(AND($K184="Sim",$M184&lt;&gt;""),MAX(0,$H184*($E184-$M184)),0))</f>
        <v>0</v>
      </c>
      <c r="O184" s="35" t="n">
        <f aca="false">INDEX(Parametros_ANEC73!$J$4:$J$6,MATCH($C184,Parametros_ANEC73!$A$4:$A$6,0))</f>
        <v>4</v>
      </c>
      <c r="P184" s="38" t="n">
        <f aca="false">IF(OR($D184=0,$G184=""),0,IF(AND($K184="Sim",$O184&lt;&gt;""),MAX(0,$H184*($E184-$O184)),0))</f>
        <v>0</v>
      </c>
      <c r="Q184" s="35" t="n">
        <f aca="false">INDEX(Parametros_ANEC73!$F$4:$F$6,MATCH($C184,Parametros_ANEC73!$A$4:$A$6,0))</f>
        <v>1</v>
      </c>
      <c r="R184" s="35" t="n">
        <f aca="false">INDEX(Parametros_ANEC73!$I$4:$I$6,MATCH($C184,Parametros_ANEC73!$A$4:$A$6,0))</f>
        <v>1.5</v>
      </c>
      <c r="S184" s="35" t="n">
        <f aca="false">INDEX(Parametros_ANEC73!$L$4:$L$6,MATCH($C184,Parametros_ANEC73!$A$4:$A$6,0))</f>
        <v>2</v>
      </c>
      <c r="T184" s="39" t="n">
        <f aca="false">INDEX(Parametros_ANEC73!$B$14:$B$25,MATCH($B184,Parametros_ANEC73!$A$14:$A$25,0))</f>
        <v>386</v>
      </c>
      <c r="U184" s="40" t="n">
        <f aca="false">IF(OR($D184=0,$G184=""),0,$D184*($T184/100)*($L184*$Q184+$N184*(IF($R184="",$Q184,$R184)-$Q184)+$P184*(IF($S184="",IF($R184="",$Q184,$R184),$S184)-IF($R184="",$Q184,$R184))))</f>
        <v>19937.9213546217</v>
      </c>
      <c r="V184" s="41" t="str">
        <f aca="false">IF(OR($D184=0,$G184=""),"",IF($H184*($E184-INDEX(Parametros_ANEC73!$M$4:$M$6,MATCH($C184,Parametros_ANEC73!$A$4:$A$6,0)))&gt;0,"Sim","Nao"))</f>
        <v>Nao</v>
      </c>
      <c r="W184" s="27" t="str">
        <f aca="false">$A184&amp;"|"&amp;$B184&amp;"|"&amp;$C184</f>
        <v>3Tentos|Jan|Fibra</v>
      </c>
    </row>
    <row r="185" customFormat="false" ht="15" hidden="false" customHeight="false" outlineLevel="0" collapsed="false">
      <c r="A185" s="27" t="s">
        <v>44</v>
      </c>
      <c r="B185" s="27" t="s">
        <v>59</v>
      </c>
      <c r="C185" s="27" t="s">
        <v>109</v>
      </c>
      <c r="D185" s="34" t="n">
        <f aca="false">SUMIFS(Media_Cliente_Mes!$C$2:$C$145,Media_Cliente_Mes!$A$2:$A$145,$A185,Media_Cliente_Mes!$B$2:$B$145,$B185)</f>
        <v>41884.18</v>
      </c>
      <c r="E185" s="35" t="n">
        <f aca="false">IF($D185=0,"",IF($C185="Proteina",SUMIFS(Media_Cliente_Mes!$D$2:$D$145,Media_Cliente_Mes!$A$2:$A$145,$A185,Media_Cliente_Mes!$B$2:$B$145,$B185),IF($C185="Umidade",SUMIFS(Media_Cliente_Mes!$E$2:$E$145,Media_Cliente_Mes!$A$2:$A$145,$A185,Media_Cliente_Mes!$B$2:$B$145,$B185),SUMIFS(Media_Cliente_Mes!$F$2:$F$145,Media_Cliente_Mes!$A$2:$A$145,$A185,Media_Cliente_Mes!$B$2:$B$145,$B185))))</f>
        <v>47.1484876652712</v>
      </c>
      <c r="F185" s="35" t="n">
        <f aca="false">INDEX(Parametros_ANEC73!$C$4:$C$6,MATCH($C185,Parametros_ANEC73!$A$4:$A$6,0))</f>
        <v>48</v>
      </c>
      <c r="G185" s="35" t="n">
        <f aca="false">IF($C185="Proteina",INDEX(Media_Pool_Mes!$C$2:$C$13,MATCH($B185,Media_Pool_Mes!$A$2:$A$13,0)),IF($C185="Umidade",INDEX(Media_Pool_Mes!$D$2:$D$13,MATCH($B185,Media_Pool_Mes!$A$2:$A$13,0)),INDEX(Media_Pool_Mes!$E$2:$E$13,MATCH($B185,Media_Pool_Mes!$A$2:$A$13,0))))</f>
        <v>47.3405726705791</v>
      </c>
      <c r="H185" s="37" t="n">
        <f aca="false">INDEX(Parametros_ANEC73!$B$4:$B$6,MATCH($C185,Parametros_ANEC73!$A$4:$A$6,0))</f>
        <v>-1</v>
      </c>
      <c r="I185" s="38" t="n">
        <f aca="false">IF(OR($D185=0,$G185=""),"",IF($H185*($G185-$F185)&gt;0,$G185,$F185))</f>
        <v>47.3405726705791</v>
      </c>
      <c r="J185" s="27" t="str">
        <f aca="false">IF(OR($D185=0,$G185=""),"",IF($H185*($G185-$F185)&gt;0,"Sim","Nao"))</f>
        <v>Sim</v>
      </c>
      <c r="K185" s="27" t="str">
        <f aca="false">IF(OR($D185=0,$G185=""),"",IF(AND($H185*($E185-$F185)&gt;0,$H185*($E185-$G185)&gt;0),"Sim","Nao"))</f>
        <v>Sim</v>
      </c>
      <c r="L185" s="38" t="n">
        <f aca="false">IF(OR($D185=0,$G185=""),0,IF($K185="Sim",MAX(0,$H185*($E185-$I185)),0))</f>
        <v>0.192085005307881</v>
      </c>
      <c r="M185" s="35" t="n">
        <f aca="false">INDEX(Parametros_ANEC73!$G$4:$G$6,MATCH($C185,Parametros_ANEC73!$A$4:$A$6,0))</f>
        <v>47</v>
      </c>
      <c r="N185" s="38" t="n">
        <f aca="false">IF(OR($D185=0,$G185=""),0,IF(AND($K185="Sim",$M185&lt;&gt;""),MAX(0,$H185*($E185-$M185)),0))</f>
        <v>0</v>
      </c>
      <c r="O185" s="35" t="n">
        <f aca="false">INDEX(Parametros_ANEC73!$J$4:$J$6,MATCH($C185,Parametros_ANEC73!$A$4:$A$6,0))</f>
        <v>0</v>
      </c>
      <c r="P185" s="38" t="n">
        <f aca="false">IF(OR($D185=0,$G185=""),0,IF(AND($K185="Sim",$O185&lt;&gt;""),MAX(0,$H185*($E185-$O185)),0))</f>
        <v>0</v>
      </c>
      <c r="Q185" s="35" t="n">
        <f aca="false">INDEX(Parametros_ANEC73!$F$4:$F$6,MATCH($C185,Parametros_ANEC73!$A$4:$A$6,0))</f>
        <v>1</v>
      </c>
      <c r="R185" s="35" t="n">
        <f aca="false">INDEX(Parametros_ANEC73!$I$4:$I$6,MATCH($C185,Parametros_ANEC73!$A$4:$A$6,0))</f>
        <v>2</v>
      </c>
      <c r="S185" s="35" t="n">
        <f aca="false">INDEX(Parametros_ANEC73!$L$4:$L$6,MATCH($C185,Parametros_ANEC73!$A$4:$A$6,0))</f>
        <v>0</v>
      </c>
      <c r="T185" s="39" t="n">
        <f aca="false">INDEX(Parametros_ANEC73!$B$14:$B$25,MATCH($B185,Parametros_ANEC73!$A$14:$A$25,0))</f>
        <v>391</v>
      </c>
      <c r="U185" s="40" t="n">
        <f aca="false">IF(OR($D185=0,$G185=""),0,$D185*($T185/100)*($L185*$Q185+$N185*(IF($R185="",$Q185,$R185)-$Q185)+$P185*(IF($S185="",IF($R185="",$Q185,$R185),$S185)-IF($R185="",$Q185,$R185))))</f>
        <v>31457.2126860795</v>
      </c>
      <c r="V185" s="41" t="str">
        <f aca="false">IF(OR($D185=0,$G185=""),"",IF($H185*($E185-INDEX(Parametros_ANEC73!$M$4:$M$6,MATCH($C185,Parametros_ANEC73!$A$4:$A$6,0)))&gt;0,"Sim","Nao"))</f>
        <v>Nao</v>
      </c>
      <c r="W185" s="27" t="str">
        <f aca="false">$A185&amp;"|"&amp;$B185&amp;"|"&amp;$C185</f>
        <v>3Tentos|Fev|Proteina</v>
      </c>
    </row>
    <row r="186" customFormat="false" ht="15" hidden="false" customHeight="false" outlineLevel="0" collapsed="false">
      <c r="A186" s="27" t="s">
        <v>44</v>
      </c>
      <c r="B186" s="27" t="s">
        <v>59</v>
      </c>
      <c r="C186" s="27" t="s">
        <v>110</v>
      </c>
      <c r="D186" s="34" t="n">
        <f aca="false">SUMIFS(Media_Cliente_Mes!$C$2:$C$145,Media_Cliente_Mes!$A$2:$A$145,$A186,Media_Cliente_Mes!$B$2:$B$145,$B186)</f>
        <v>41884.18</v>
      </c>
      <c r="E186" s="35" t="n">
        <f aca="false">IF($D186=0,"",IF($C186="Proteina",SUMIFS(Media_Cliente_Mes!$D$2:$D$145,Media_Cliente_Mes!$A$2:$A$145,$A186,Media_Cliente_Mes!$B$2:$B$145,$B186),IF($C186="Umidade",SUMIFS(Media_Cliente_Mes!$E$2:$E$145,Media_Cliente_Mes!$A$2:$A$145,$A186,Media_Cliente_Mes!$B$2:$B$145,$B186),SUMIFS(Media_Cliente_Mes!$F$2:$F$145,Media_Cliente_Mes!$A$2:$A$145,$A186,Media_Cliente_Mes!$B$2:$B$145,$B186))))</f>
        <v>12.2362354473694</v>
      </c>
      <c r="F186" s="35" t="n">
        <f aca="false">INDEX(Parametros_ANEC73!$C$4:$C$6,MATCH($C186,Parametros_ANEC73!$A$4:$A$6,0))</f>
        <v>12.5</v>
      </c>
      <c r="G186" s="35" t="n">
        <f aca="false">IF($C186="Proteina",INDEX(Media_Pool_Mes!$C$2:$C$13,MATCH($B186,Media_Pool_Mes!$A$2:$A$13,0)),IF($C186="Umidade",INDEX(Media_Pool_Mes!$D$2:$D$13,MATCH($B186,Media_Pool_Mes!$A$2:$A$13,0)),INDEX(Media_Pool_Mes!$E$2:$E$13,MATCH($B186,Media_Pool_Mes!$A$2:$A$13,0))))</f>
        <v>12.2454829634779</v>
      </c>
      <c r="H186" s="37" t="n">
        <f aca="false">INDEX(Parametros_ANEC73!$B$4:$B$6,MATCH($C186,Parametros_ANEC73!$A$4:$A$6,0))</f>
        <v>1</v>
      </c>
      <c r="I186" s="38" t="n">
        <f aca="false">IF(OR($D186=0,$G186=""),"",IF($H186*($G186-$F186)&gt;0,$G186,$F186))</f>
        <v>12.5</v>
      </c>
      <c r="J186" s="27" t="str">
        <f aca="false">IF(OR($D186=0,$G186=""),"",IF($H186*($G186-$F186)&gt;0,"Sim","Nao"))</f>
        <v>Nao</v>
      </c>
      <c r="K186" s="27" t="str">
        <f aca="false">IF(OR($D186=0,$G186=""),"",IF(AND($H186*($E186-$F186)&gt;0,$H186*($E186-$G186)&gt;0),"Sim","Nao"))</f>
        <v>Nao</v>
      </c>
      <c r="L186" s="38" t="n">
        <f aca="false">IF(OR($D186=0,$G186=""),0,IF($K186="Sim",MAX(0,$H186*($E186-$I186)),0))</f>
        <v>0</v>
      </c>
      <c r="M186" s="35" t="n">
        <f aca="false">INDEX(Parametros_ANEC73!$G$4:$G$6,MATCH($C186,Parametros_ANEC73!$A$4:$A$6,0))</f>
        <v>0</v>
      </c>
      <c r="N186" s="38" t="n">
        <f aca="false">IF(OR($D186=0,$G186=""),0,IF(AND($K186="Sim",$M186&lt;&gt;""),MAX(0,$H186*($E186-$M186)),0))</f>
        <v>0</v>
      </c>
      <c r="O186" s="35" t="n">
        <f aca="false">INDEX(Parametros_ANEC73!$J$4:$J$6,MATCH($C186,Parametros_ANEC73!$A$4:$A$6,0))</f>
        <v>0</v>
      </c>
      <c r="P186" s="38" t="n">
        <f aca="false">IF(OR($D186=0,$G186=""),0,IF(AND($K186="Sim",$O186&lt;&gt;""),MAX(0,$H186*($E186-$O186)),0))</f>
        <v>0</v>
      </c>
      <c r="Q186" s="35" t="n">
        <f aca="false">INDEX(Parametros_ANEC73!$F$4:$F$6,MATCH($C186,Parametros_ANEC73!$A$4:$A$6,0))</f>
        <v>1</v>
      </c>
      <c r="R186" s="35" t="n">
        <f aca="false">INDEX(Parametros_ANEC73!$I$4:$I$6,MATCH($C186,Parametros_ANEC73!$A$4:$A$6,0))</f>
        <v>0</v>
      </c>
      <c r="S186" s="35" t="n">
        <f aca="false">INDEX(Parametros_ANEC73!$L$4:$L$6,MATCH($C186,Parametros_ANEC73!$A$4:$A$6,0))</f>
        <v>0</v>
      </c>
      <c r="T186" s="39" t="n">
        <f aca="false">INDEX(Parametros_ANEC73!$B$14:$B$25,MATCH($B186,Parametros_ANEC73!$A$14:$A$25,0))</f>
        <v>391</v>
      </c>
      <c r="U186" s="40" t="n">
        <f aca="false">IF(OR($D186=0,$G186=""),0,$D186*($T186/100)*($L186*$Q186+$N186*(IF($R186="",$Q186,$R186)-$Q186)+$P186*(IF($S186="",IF($R186="",$Q186,$R186),$S186)-IF($R186="",$Q186,$R186))))</f>
        <v>0</v>
      </c>
      <c r="V186" s="41" t="str">
        <f aca="false">IF(OR($D186=0,$G186=""),"",IF($H186*($E186-INDEX(Parametros_ANEC73!$M$4:$M$6,MATCH($C186,Parametros_ANEC73!$A$4:$A$6,0)))&gt;0,"Sim","Nao"))</f>
        <v>Nao</v>
      </c>
      <c r="W186" s="27" t="str">
        <f aca="false">$A186&amp;"|"&amp;$B186&amp;"|"&amp;$C186</f>
        <v>3Tentos|Fev|Umidade</v>
      </c>
    </row>
    <row r="187" customFormat="false" ht="15" hidden="false" customHeight="false" outlineLevel="0" collapsed="false">
      <c r="A187" s="27" t="s">
        <v>44</v>
      </c>
      <c r="B187" s="27" t="s">
        <v>59</v>
      </c>
      <c r="C187" s="27" t="s">
        <v>111</v>
      </c>
      <c r="D187" s="34" t="n">
        <f aca="false">SUMIFS(Media_Cliente_Mes!$C$2:$C$145,Media_Cliente_Mes!$A$2:$A$145,$A187,Media_Cliente_Mes!$B$2:$B$145,$B187)</f>
        <v>41884.18</v>
      </c>
      <c r="E187" s="35" t="n">
        <f aca="false">IF($D187=0,"",IF($C187="Proteina",SUMIFS(Media_Cliente_Mes!$D$2:$D$145,Media_Cliente_Mes!$A$2:$A$145,$A187,Media_Cliente_Mes!$B$2:$B$145,$B187),IF($C187="Umidade",SUMIFS(Media_Cliente_Mes!$E$2:$E$145,Media_Cliente_Mes!$A$2:$A$145,$A187,Media_Cliente_Mes!$B$2:$B$145,$B187),SUMIFS(Media_Cliente_Mes!$F$2:$F$145,Media_Cliente_Mes!$A$2:$A$145,$A187,Media_Cliente_Mes!$B$2:$B$145,$B187))))</f>
        <v>3.74981974817222</v>
      </c>
      <c r="F187" s="35" t="n">
        <f aca="false">INDEX(Parametros_ANEC73!$C$4:$C$6,MATCH($C187,Parametros_ANEC73!$A$4:$A$6,0))</f>
        <v>3.5</v>
      </c>
      <c r="G187" s="35" t="n">
        <f aca="false">IF($C187="Proteina",INDEX(Media_Pool_Mes!$C$2:$C$13,MATCH($B187,Media_Pool_Mes!$A$2:$A$13,0)),IF($C187="Umidade",INDEX(Media_Pool_Mes!$D$2:$D$13,MATCH($B187,Media_Pool_Mes!$A$2:$A$13,0)),INDEX(Media_Pool_Mes!$E$2:$E$13,MATCH($B187,Media_Pool_Mes!$A$2:$A$13,0))))</f>
        <v>3.61845158781616</v>
      </c>
      <c r="H187" s="37" t="n">
        <f aca="false">INDEX(Parametros_ANEC73!$B$4:$B$6,MATCH($C187,Parametros_ANEC73!$A$4:$A$6,0))</f>
        <v>1</v>
      </c>
      <c r="I187" s="38" t="n">
        <f aca="false">IF(OR($D187=0,$G187=""),"",IF($H187*($G187-$F187)&gt;0,$G187,$F187))</f>
        <v>3.61845158781616</v>
      </c>
      <c r="J187" s="27" t="str">
        <f aca="false">IF(OR($D187=0,$G187=""),"",IF($H187*($G187-$F187)&gt;0,"Sim","Nao"))</f>
        <v>Sim</v>
      </c>
      <c r="K187" s="27" t="str">
        <f aca="false">IF(OR($D187=0,$G187=""),"",IF(AND($H187*($E187-$F187)&gt;0,$H187*($E187-$G187)&gt;0),"Sim","Nao"))</f>
        <v>Sim</v>
      </c>
      <c r="L187" s="38" t="n">
        <f aca="false">IF(OR($D187=0,$G187=""),0,IF($K187="Sim",MAX(0,$H187*($E187-$I187)),0))</f>
        <v>0.131368160356062</v>
      </c>
      <c r="M187" s="35" t="n">
        <f aca="false">INDEX(Parametros_ANEC73!$G$4:$G$6,MATCH($C187,Parametros_ANEC73!$A$4:$A$6,0))</f>
        <v>3.8</v>
      </c>
      <c r="N187" s="38" t="n">
        <f aca="false">IF(OR($D187=0,$G187=""),0,IF(AND($K187="Sim",$M187&lt;&gt;""),MAX(0,$H187*($E187-$M187)),0))</f>
        <v>0</v>
      </c>
      <c r="O187" s="35" t="n">
        <f aca="false">INDEX(Parametros_ANEC73!$J$4:$J$6,MATCH($C187,Parametros_ANEC73!$A$4:$A$6,0))</f>
        <v>4</v>
      </c>
      <c r="P187" s="38" t="n">
        <f aca="false">IF(OR($D187=0,$G187=""),0,IF(AND($K187="Sim",$O187&lt;&gt;""),MAX(0,$H187*($E187-$O187)),0))</f>
        <v>0</v>
      </c>
      <c r="Q187" s="35" t="n">
        <f aca="false">INDEX(Parametros_ANEC73!$F$4:$F$6,MATCH($C187,Parametros_ANEC73!$A$4:$A$6,0))</f>
        <v>1</v>
      </c>
      <c r="R187" s="35" t="n">
        <f aca="false">INDEX(Parametros_ANEC73!$I$4:$I$6,MATCH($C187,Parametros_ANEC73!$A$4:$A$6,0))</f>
        <v>1.5</v>
      </c>
      <c r="S187" s="35" t="n">
        <f aca="false">INDEX(Parametros_ANEC73!$L$4:$L$6,MATCH($C187,Parametros_ANEC73!$A$4:$A$6,0))</f>
        <v>2</v>
      </c>
      <c r="T187" s="39" t="n">
        <f aca="false">INDEX(Parametros_ANEC73!$B$14:$B$25,MATCH($B187,Parametros_ANEC73!$A$14:$A$25,0))</f>
        <v>391</v>
      </c>
      <c r="U187" s="40" t="n">
        <f aca="false">IF(OR($D187=0,$G187=""),0,$D187*($T187/100)*($L187*$Q187+$N187*(IF($R187="",$Q187,$R187)-$Q187)+$P187*(IF($S187="",IF($R187="",$Q187,$R187),$S187)-IF($R187="",$Q187,$R187))))</f>
        <v>21513.7884077727</v>
      </c>
      <c r="V187" s="41" t="str">
        <f aca="false">IF(OR($D187=0,$G187=""),"",IF($H187*($E187-INDEX(Parametros_ANEC73!$M$4:$M$6,MATCH($C187,Parametros_ANEC73!$A$4:$A$6,0)))&gt;0,"Sim","Nao"))</f>
        <v>Nao</v>
      </c>
      <c r="W187" s="27" t="str">
        <f aca="false">$A187&amp;"|"&amp;$B187&amp;"|"&amp;$C187</f>
        <v>3Tentos|Fev|Fibra</v>
      </c>
    </row>
    <row r="188" customFormat="false" ht="15" hidden="false" customHeight="false" outlineLevel="0" collapsed="false">
      <c r="A188" s="27" t="s">
        <v>44</v>
      </c>
      <c r="B188" s="27" t="s">
        <v>60</v>
      </c>
      <c r="C188" s="27" t="s">
        <v>109</v>
      </c>
      <c r="D188" s="34" t="n">
        <f aca="false">SUMIFS(Media_Cliente_Mes!$C$2:$C$145,Media_Cliente_Mes!$A$2:$A$145,$A188,Media_Cliente_Mes!$B$2:$B$145,$B188)</f>
        <v>58475.74</v>
      </c>
      <c r="E188" s="35" t="n">
        <f aca="false">IF($D188=0,"",IF($C188="Proteina",SUMIFS(Media_Cliente_Mes!$D$2:$D$145,Media_Cliente_Mes!$A$2:$A$145,$A188,Media_Cliente_Mes!$B$2:$B$145,$B188),IF($C188="Umidade",SUMIFS(Media_Cliente_Mes!$E$2:$E$145,Media_Cliente_Mes!$A$2:$A$145,$A188,Media_Cliente_Mes!$B$2:$B$145,$B188),SUMIFS(Media_Cliente_Mes!$F$2:$F$145,Media_Cliente_Mes!$A$2:$A$145,$A188,Media_Cliente_Mes!$B$2:$B$145,$B188))))</f>
        <v>47.144728696037</v>
      </c>
      <c r="F188" s="35" t="n">
        <f aca="false">INDEX(Parametros_ANEC73!$C$4:$C$6,MATCH($C188,Parametros_ANEC73!$A$4:$A$6,0))</f>
        <v>48</v>
      </c>
      <c r="G188" s="35" t="n">
        <f aca="false">IF($C188="Proteina",INDEX(Media_Pool_Mes!$C$2:$C$13,MATCH($B188,Media_Pool_Mes!$A$2:$A$13,0)),IF($C188="Umidade",INDEX(Media_Pool_Mes!$D$2:$D$13,MATCH($B188,Media_Pool_Mes!$A$2:$A$13,0)),INDEX(Media_Pool_Mes!$E$2:$E$13,MATCH($B188,Media_Pool_Mes!$A$2:$A$13,0))))</f>
        <v>47.332231823374</v>
      </c>
      <c r="H188" s="37" t="n">
        <f aca="false">INDEX(Parametros_ANEC73!$B$4:$B$6,MATCH($C188,Parametros_ANEC73!$A$4:$A$6,0))</f>
        <v>-1</v>
      </c>
      <c r="I188" s="38" t="n">
        <f aca="false">IF(OR($D188=0,$G188=""),"",IF($H188*($G188-$F188)&gt;0,$G188,$F188))</f>
        <v>47.332231823374</v>
      </c>
      <c r="J188" s="27" t="str">
        <f aca="false">IF(OR($D188=0,$G188=""),"",IF($H188*($G188-$F188)&gt;0,"Sim","Nao"))</f>
        <v>Sim</v>
      </c>
      <c r="K188" s="27" t="str">
        <f aca="false">IF(OR($D188=0,$G188=""),"",IF(AND($H188*($E188-$F188)&gt;0,$H188*($E188-$G188)&gt;0),"Sim","Nao"))</f>
        <v>Sim</v>
      </c>
      <c r="L188" s="38" t="n">
        <f aca="false">IF(OR($D188=0,$G188=""),0,IF($K188="Sim",MAX(0,$H188*($E188-$I188)),0))</f>
        <v>0.187503127336967</v>
      </c>
      <c r="M188" s="35" t="n">
        <f aca="false">INDEX(Parametros_ANEC73!$G$4:$G$6,MATCH($C188,Parametros_ANEC73!$A$4:$A$6,0))</f>
        <v>47</v>
      </c>
      <c r="N188" s="38" t="n">
        <f aca="false">IF(OR($D188=0,$G188=""),0,IF(AND($K188="Sim",$M188&lt;&gt;""),MAX(0,$H188*($E188-$M188)),0))</f>
        <v>0</v>
      </c>
      <c r="O188" s="35" t="n">
        <f aca="false">INDEX(Parametros_ANEC73!$J$4:$J$6,MATCH($C188,Parametros_ANEC73!$A$4:$A$6,0))</f>
        <v>0</v>
      </c>
      <c r="P188" s="38" t="n">
        <f aca="false">IF(OR($D188=0,$G188=""),0,IF(AND($K188="Sim",$O188&lt;&gt;""),MAX(0,$H188*($E188-$O188)),0))</f>
        <v>0</v>
      </c>
      <c r="Q188" s="35" t="n">
        <f aca="false">INDEX(Parametros_ANEC73!$F$4:$F$6,MATCH($C188,Parametros_ANEC73!$A$4:$A$6,0))</f>
        <v>1</v>
      </c>
      <c r="R188" s="35" t="n">
        <f aca="false">INDEX(Parametros_ANEC73!$I$4:$I$6,MATCH($C188,Parametros_ANEC73!$A$4:$A$6,0))</f>
        <v>2</v>
      </c>
      <c r="S188" s="35" t="n">
        <f aca="false">INDEX(Parametros_ANEC73!$L$4:$L$6,MATCH($C188,Parametros_ANEC73!$A$4:$A$6,0))</f>
        <v>0</v>
      </c>
      <c r="T188" s="39" t="n">
        <f aca="false">INDEX(Parametros_ANEC73!$B$14:$B$25,MATCH($B188,Parametros_ANEC73!$A$14:$A$25,0))</f>
        <v>404</v>
      </c>
      <c r="U188" s="40" t="n">
        <f aca="false">IF(OR($D188=0,$G188=""),0,$D188*($T188/100)*($L188*$Q188+$N188*(IF($R188="",$Q188,$R188)-$Q188)+$P188*(IF($S188="",IF($R188="",$Q188,$R188),$S188)-IF($R188="",$Q188,$R188))))</f>
        <v>44296.1118583073</v>
      </c>
      <c r="V188" s="41" t="str">
        <f aca="false">IF(OR($D188=0,$G188=""),"",IF($H188*($E188-INDEX(Parametros_ANEC73!$M$4:$M$6,MATCH($C188,Parametros_ANEC73!$A$4:$A$6,0)))&gt;0,"Sim","Nao"))</f>
        <v>Nao</v>
      </c>
      <c r="W188" s="27" t="str">
        <f aca="false">$A188&amp;"|"&amp;$B188&amp;"|"&amp;$C188</f>
        <v>3Tentos|Mar|Proteina</v>
      </c>
    </row>
    <row r="189" customFormat="false" ht="15" hidden="false" customHeight="false" outlineLevel="0" collapsed="false">
      <c r="A189" s="27" t="s">
        <v>44</v>
      </c>
      <c r="B189" s="27" t="s">
        <v>60</v>
      </c>
      <c r="C189" s="27" t="s">
        <v>110</v>
      </c>
      <c r="D189" s="34" t="n">
        <f aca="false">SUMIFS(Media_Cliente_Mes!$C$2:$C$145,Media_Cliente_Mes!$A$2:$A$145,$A189,Media_Cliente_Mes!$B$2:$B$145,$B189)</f>
        <v>58475.74</v>
      </c>
      <c r="E189" s="35" t="n">
        <f aca="false">IF($D189=0,"",IF($C189="Proteina",SUMIFS(Media_Cliente_Mes!$D$2:$D$145,Media_Cliente_Mes!$A$2:$A$145,$A189,Media_Cliente_Mes!$B$2:$B$145,$B189),IF($C189="Umidade",SUMIFS(Media_Cliente_Mes!$E$2:$E$145,Media_Cliente_Mes!$A$2:$A$145,$A189,Media_Cliente_Mes!$B$2:$B$145,$B189),SUMIFS(Media_Cliente_Mes!$F$2:$F$145,Media_Cliente_Mes!$A$2:$A$145,$A189,Media_Cliente_Mes!$B$2:$B$145,$B189))))</f>
        <v>12.3664502578334</v>
      </c>
      <c r="F189" s="35" t="n">
        <f aca="false">INDEX(Parametros_ANEC73!$C$4:$C$6,MATCH($C189,Parametros_ANEC73!$A$4:$A$6,0))</f>
        <v>12.5</v>
      </c>
      <c r="G189" s="35" t="n">
        <f aca="false">IF($C189="Proteina",INDEX(Media_Pool_Mes!$C$2:$C$13,MATCH($B189,Media_Pool_Mes!$A$2:$A$13,0)),IF($C189="Umidade",INDEX(Media_Pool_Mes!$D$2:$D$13,MATCH($B189,Media_Pool_Mes!$A$2:$A$13,0)),INDEX(Media_Pool_Mes!$E$2:$E$13,MATCH($B189,Media_Pool_Mes!$A$2:$A$13,0))))</f>
        <v>12.1740859181947</v>
      </c>
      <c r="H189" s="37" t="n">
        <f aca="false">INDEX(Parametros_ANEC73!$B$4:$B$6,MATCH($C189,Parametros_ANEC73!$A$4:$A$6,0))</f>
        <v>1</v>
      </c>
      <c r="I189" s="38" t="n">
        <f aca="false">IF(OR($D189=0,$G189=""),"",IF($H189*($G189-$F189)&gt;0,$G189,$F189))</f>
        <v>12.5</v>
      </c>
      <c r="J189" s="27" t="str">
        <f aca="false">IF(OR($D189=0,$G189=""),"",IF($H189*($G189-$F189)&gt;0,"Sim","Nao"))</f>
        <v>Nao</v>
      </c>
      <c r="K189" s="27" t="str">
        <f aca="false">IF(OR($D189=0,$G189=""),"",IF(AND($H189*($E189-$F189)&gt;0,$H189*($E189-$G189)&gt;0),"Sim","Nao"))</f>
        <v>Nao</v>
      </c>
      <c r="L189" s="38" t="n">
        <f aca="false">IF(OR($D189=0,$G189=""),0,IF($K189="Sim",MAX(0,$H189*($E189-$I189)),0))</f>
        <v>0</v>
      </c>
      <c r="M189" s="35" t="n">
        <f aca="false">INDEX(Parametros_ANEC73!$G$4:$G$6,MATCH($C189,Parametros_ANEC73!$A$4:$A$6,0))</f>
        <v>0</v>
      </c>
      <c r="N189" s="38" t="n">
        <f aca="false">IF(OR($D189=0,$G189=""),0,IF(AND($K189="Sim",$M189&lt;&gt;""),MAX(0,$H189*($E189-$M189)),0))</f>
        <v>0</v>
      </c>
      <c r="O189" s="35" t="n">
        <f aca="false">INDEX(Parametros_ANEC73!$J$4:$J$6,MATCH($C189,Parametros_ANEC73!$A$4:$A$6,0))</f>
        <v>0</v>
      </c>
      <c r="P189" s="38" t="n">
        <f aca="false">IF(OR($D189=0,$G189=""),0,IF(AND($K189="Sim",$O189&lt;&gt;""),MAX(0,$H189*($E189-$O189)),0))</f>
        <v>0</v>
      </c>
      <c r="Q189" s="35" t="n">
        <f aca="false">INDEX(Parametros_ANEC73!$F$4:$F$6,MATCH($C189,Parametros_ANEC73!$A$4:$A$6,0))</f>
        <v>1</v>
      </c>
      <c r="R189" s="35" t="n">
        <f aca="false">INDEX(Parametros_ANEC73!$I$4:$I$6,MATCH($C189,Parametros_ANEC73!$A$4:$A$6,0))</f>
        <v>0</v>
      </c>
      <c r="S189" s="35" t="n">
        <f aca="false">INDEX(Parametros_ANEC73!$L$4:$L$6,MATCH($C189,Parametros_ANEC73!$A$4:$A$6,0))</f>
        <v>0</v>
      </c>
      <c r="T189" s="39" t="n">
        <f aca="false">INDEX(Parametros_ANEC73!$B$14:$B$25,MATCH($B189,Parametros_ANEC73!$A$14:$A$25,0))</f>
        <v>404</v>
      </c>
      <c r="U189" s="40" t="n">
        <f aca="false">IF(OR($D189=0,$G189=""),0,$D189*($T189/100)*($L189*$Q189+$N189*(IF($R189="",$Q189,$R189)-$Q189)+$P189*(IF($S189="",IF($R189="",$Q189,$R189),$S189)-IF($R189="",$Q189,$R189))))</f>
        <v>0</v>
      </c>
      <c r="V189" s="41" t="str">
        <f aca="false">IF(OR($D189=0,$G189=""),"",IF($H189*($E189-INDEX(Parametros_ANEC73!$M$4:$M$6,MATCH($C189,Parametros_ANEC73!$A$4:$A$6,0)))&gt;0,"Sim","Nao"))</f>
        <v>Nao</v>
      </c>
      <c r="W189" s="27" t="str">
        <f aca="false">$A189&amp;"|"&amp;$B189&amp;"|"&amp;$C189</f>
        <v>3Tentos|Mar|Umidade</v>
      </c>
    </row>
    <row r="190" customFormat="false" ht="15" hidden="false" customHeight="false" outlineLevel="0" collapsed="false">
      <c r="A190" s="27" t="s">
        <v>44</v>
      </c>
      <c r="B190" s="27" t="s">
        <v>60</v>
      </c>
      <c r="C190" s="27" t="s">
        <v>111</v>
      </c>
      <c r="D190" s="34" t="n">
        <f aca="false">SUMIFS(Media_Cliente_Mes!$C$2:$C$145,Media_Cliente_Mes!$A$2:$A$145,$A190,Media_Cliente_Mes!$B$2:$B$145,$B190)</f>
        <v>58475.74</v>
      </c>
      <c r="E190" s="35" t="n">
        <f aca="false">IF($D190=0,"",IF($C190="Proteina",SUMIFS(Media_Cliente_Mes!$D$2:$D$145,Media_Cliente_Mes!$A$2:$A$145,$A190,Media_Cliente_Mes!$B$2:$B$145,$B190),IF($C190="Umidade",SUMIFS(Media_Cliente_Mes!$E$2:$E$145,Media_Cliente_Mes!$A$2:$A$145,$A190,Media_Cliente_Mes!$B$2:$B$145,$B190),SUMIFS(Media_Cliente_Mes!$F$2:$F$145,Media_Cliente_Mes!$A$2:$A$145,$A190,Media_Cliente_Mes!$B$2:$B$145,$B190))))</f>
        <v>3.72735838999216</v>
      </c>
      <c r="F190" s="35" t="n">
        <f aca="false">INDEX(Parametros_ANEC73!$C$4:$C$6,MATCH($C190,Parametros_ANEC73!$A$4:$A$6,0))</f>
        <v>3.5</v>
      </c>
      <c r="G190" s="35" t="n">
        <f aca="false">IF($C190="Proteina",INDEX(Media_Pool_Mes!$C$2:$C$13,MATCH($B190,Media_Pool_Mes!$A$2:$A$13,0)),IF($C190="Umidade",INDEX(Media_Pool_Mes!$D$2:$D$13,MATCH($B190,Media_Pool_Mes!$A$2:$A$13,0)),INDEX(Media_Pool_Mes!$E$2:$E$13,MATCH($B190,Media_Pool_Mes!$A$2:$A$13,0))))</f>
        <v>3.70596068520473</v>
      </c>
      <c r="H190" s="37" t="n">
        <f aca="false">INDEX(Parametros_ANEC73!$B$4:$B$6,MATCH($C190,Parametros_ANEC73!$A$4:$A$6,0))</f>
        <v>1</v>
      </c>
      <c r="I190" s="38" t="n">
        <f aca="false">IF(OR($D190=0,$G190=""),"",IF($H190*($G190-$F190)&gt;0,$G190,$F190))</f>
        <v>3.70596068520473</v>
      </c>
      <c r="J190" s="27" t="str">
        <f aca="false">IF(OR($D190=0,$G190=""),"",IF($H190*($G190-$F190)&gt;0,"Sim","Nao"))</f>
        <v>Sim</v>
      </c>
      <c r="K190" s="27" t="str">
        <f aca="false">IF(OR($D190=0,$G190=""),"",IF(AND($H190*($E190-$F190)&gt;0,$H190*($E190-$G190)&gt;0),"Sim","Nao"))</f>
        <v>Sim</v>
      </c>
      <c r="L190" s="38" t="n">
        <f aca="false">IF(OR($D190=0,$G190=""),0,IF($K190="Sim",MAX(0,$H190*($E190-$I190)),0))</f>
        <v>0.0213977047874283</v>
      </c>
      <c r="M190" s="35" t="n">
        <f aca="false">INDEX(Parametros_ANEC73!$G$4:$G$6,MATCH($C190,Parametros_ANEC73!$A$4:$A$6,0))</f>
        <v>3.8</v>
      </c>
      <c r="N190" s="38" t="n">
        <f aca="false">IF(OR($D190=0,$G190=""),0,IF(AND($K190="Sim",$M190&lt;&gt;""),MAX(0,$H190*($E190-$M190)),0))</f>
        <v>0</v>
      </c>
      <c r="O190" s="35" t="n">
        <f aca="false">INDEX(Parametros_ANEC73!$J$4:$J$6,MATCH($C190,Parametros_ANEC73!$A$4:$A$6,0))</f>
        <v>4</v>
      </c>
      <c r="P190" s="38" t="n">
        <f aca="false">IF(OR($D190=0,$G190=""),0,IF(AND($K190="Sim",$O190&lt;&gt;""),MAX(0,$H190*($E190-$O190)),0))</f>
        <v>0</v>
      </c>
      <c r="Q190" s="35" t="n">
        <f aca="false">INDEX(Parametros_ANEC73!$F$4:$F$6,MATCH($C190,Parametros_ANEC73!$A$4:$A$6,0))</f>
        <v>1</v>
      </c>
      <c r="R190" s="35" t="n">
        <f aca="false">INDEX(Parametros_ANEC73!$I$4:$I$6,MATCH($C190,Parametros_ANEC73!$A$4:$A$6,0))</f>
        <v>1.5</v>
      </c>
      <c r="S190" s="35" t="n">
        <f aca="false">INDEX(Parametros_ANEC73!$L$4:$L$6,MATCH($C190,Parametros_ANEC73!$A$4:$A$6,0))</f>
        <v>2</v>
      </c>
      <c r="T190" s="39" t="n">
        <f aca="false">INDEX(Parametros_ANEC73!$B$14:$B$25,MATCH($B190,Parametros_ANEC73!$A$14:$A$25,0))</f>
        <v>404</v>
      </c>
      <c r="U190" s="40" t="n">
        <f aca="false">IF(OR($D190=0,$G190=""),0,$D190*($T190/100)*($L190*$Q190+$N190*(IF($R190="",$Q190,$R190)-$Q190)+$P190*(IF($S190="",IF($R190="",$Q190,$R190),$S190)-IF($R190="",$Q190,$R190))))</f>
        <v>5055.03635185551</v>
      </c>
      <c r="V190" s="41" t="str">
        <f aca="false">IF(OR($D190=0,$G190=""),"",IF($H190*($E190-INDEX(Parametros_ANEC73!$M$4:$M$6,MATCH($C190,Parametros_ANEC73!$A$4:$A$6,0)))&gt;0,"Sim","Nao"))</f>
        <v>Nao</v>
      </c>
      <c r="W190" s="27" t="str">
        <f aca="false">$A190&amp;"|"&amp;$B190&amp;"|"&amp;$C190</f>
        <v>3Tentos|Mar|Fibra</v>
      </c>
    </row>
    <row r="191" customFormat="false" ht="15" hidden="false" customHeight="false" outlineLevel="0" collapsed="false">
      <c r="A191" s="27" t="s">
        <v>44</v>
      </c>
      <c r="B191" s="27" t="s">
        <v>61</v>
      </c>
      <c r="C191" s="27" t="s">
        <v>109</v>
      </c>
      <c r="D191" s="34" t="n">
        <f aca="false">SUMIFS(Media_Cliente_Mes!$C$2:$C$145,Media_Cliente_Mes!$A$2:$A$145,$A191,Media_Cliente_Mes!$B$2:$B$145,$B191)</f>
        <v>88798.66</v>
      </c>
      <c r="E191" s="35" t="n">
        <f aca="false">IF($D191=0,"",IF($C191="Proteina",SUMIFS(Media_Cliente_Mes!$D$2:$D$145,Media_Cliente_Mes!$A$2:$A$145,$A191,Media_Cliente_Mes!$B$2:$B$145,$B191),IF($C191="Umidade",SUMIFS(Media_Cliente_Mes!$E$2:$E$145,Media_Cliente_Mes!$A$2:$A$145,$A191,Media_Cliente_Mes!$B$2:$B$145,$B191),SUMIFS(Media_Cliente_Mes!$F$2:$F$145,Media_Cliente_Mes!$A$2:$A$145,$A191,Media_Cliente_Mes!$B$2:$B$145,$B191))))</f>
        <v>47.6019370855371</v>
      </c>
      <c r="F191" s="35" t="n">
        <f aca="false">INDEX(Parametros_ANEC73!$C$4:$C$6,MATCH($C191,Parametros_ANEC73!$A$4:$A$6,0))</f>
        <v>48</v>
      </c>
      <c r="G191" s="35" t="n">
        <f aca="false">IF($C191="Proteina",INDEX(Media_Pool_Mes!$C$2:$C$13,MATCH($B191,Media_Pool_Mes!$A$2:$A$13,0)),IF($C191="Umidade",INDEX(Media_Pool_Mes!$D$2:$D$13,MATCH($B191,Media_Pool_Mes!$A$2:$A$13,0)),INDEX(Media_Pool_Mes!$E$2:$E$13,MATCH($B191,Media_Pool_Mes!$A$2:$A$13,0))))</f>
        <v>47.5395057496784</v>
      </c>
      <c r="H191" s="37" t="n">
        <f aca="false">INDEX(Parametros_ANEC73!$B$4:$B$6,MATCH($C191,Parametros_ANEC73!$A$4:$A$6,0))</f>
        <v>-1</v>
      </c>
      <c r="I191" s="38" t="n">
        <f aca="false">IF(OR($D191=0,$G191=""),"",IF($H191*($G191-$F191)&gt;0,$G191,$F191))</f>
        <v>47.5395057496784</v>
      </c>
      <c r="J191" s="27" t="str">
        <f aca="false">IF(OR($D191=0,$G191=""),"",IF($H191*($G191-$F191)&gt;0,"Sim","Nao"))</f>
        <v>Sim</v>
      </c>
      <c r="K191" s="27" t="str">
        <f aca="false">IF(OR($D191=0,$G191=""),"",IF(AND($H191*($E191-$F191)&gt;0,$H191*($E191-$G191)&gt;0),"Sim","Nao"))</f>
        <v>Nao</v>
      </c>
      <c r="L191" s="38" t="n">
        <f aca="false">IF(OR($D191=0,$G191=""),0,IF($K191="Sim",MAX(0,$H191*($E191-$I191)),0))</f>
        <v>0</v>
      </c>
      <c r="M191" s="35" t="n">
        <f aca="false">INDEX(Parametros_ANEC73!$G$4:$G$6,MATCH($C191,Parametros_ANEC73!$A$4:$A$6,0))</f>
        <v>47</v>
      </c>
      <c r="N191" s="38" t="n">
        <f aca="false">IF(OR($D191=0,$G191=""),0,IF(AND($K191="Sim",$M191&lt;&gt;""),MAX(0,$H191*($E191-$M191)),0))</f>
        <v>0</v>
      </c>
      <c r="O191" s="35" t="n">
        <f aca="false">INDEX(Parametros_ANEC73!$J$4:$J$6,MATCH($C191,Parametros_ANEC73!$A$4:$A$6,0))</f>
        <v>0</v>
      </c>
      <c r="P191" s="38" t="n">
        <f aca="false">IF(OR($D191=0,$G191=""),0,IF(AND($K191="Sim",$O191&lt;&gt;""),MAX(0,$H191*($E191-$O191)),0))</f>
        <v>0</v>
      </c>
      <c r="Q191" s="35" t="n">
        <f aca="false">INDEX(Parametros_ANEC73!$F$4:$F$6,MATCH($C191,Parametros_ANEC73!$A$4:$A$6,0))</f>
        <v>1</v>
      </c>
      <c r="R191" s="35" t="n">
        <f aca="false">INDEX(Parametros_ANEC73!$I$4:$I$6,MATCH($C191,Parametros_ANEC73!$A$4:$A$6,0))</f>
        <v>2</v>
      </c>
      <c r="S191" s="35" t="n">
        <f aca="false">INDEX(Parametros_ANEC73!$L$4:$L$6,MATCH($C191,Parametros_ANEC73!$A$4:$A$6,0))</f>
        <v>0</v>
      </c>
      <c r="T191" s="39" t="n">
        <f aca="false">INDEX(Parametros_ANEC73!$B$14:$B$25,MATCH($B191,Parametros_ANEC73!$A$14:$A$25,0))</f>
        <v>415</v>
      </c>
      <c r="U191" s="40" t="n">
        <f aca="false">IF(OR($D191=0,$G191=""),0,$D191*($T191/100)*($L191*$Q191+$N191*(IF($R191="",$Q191,$R191)-$Q191)+$P191*(IF($S191="",IF($R191="",$Q191,$R191),$S191)-IF($R191="",$Q191,$R191))))</f>
        <v>0</v>
      </c>
      <c r="V191" s="41" t="str">
        <f aca="false">IF(OR($D191=0,$G191=""),"",IF($H191*($E191-INDEX(Parametros_ANEC73!$M$4:$M$6,MATCH($C191,Parametros_ANEC73!$A$4:$A$6,0)))&gt;0,"Sim","Nao"))</f>
        <v>Nao</v>
      </c>
      <c r="W191" s="27" t="str">
        <f aca="false">$A191&amp;"|"&amp;$B191&amp;"|"&amp;$C191</f>
        <v>3Tentos|Abr|Proteina</v>
      </c>
    </row>
    <row r="192" customFormat="false" ht="15" hidden="false" customHeight="false" outlineLevel="0" collapsed="false">
      <c r="A192" s="27" t="s">
        <v>44</v>
      </c>
      <c r="B192" s="27" t="s">
        <v>61</v>
      </c>
      <c r="C192" s="27" t="s">
        <v>110</v>
      </c>
      <c r="D192" s="34" t="n">
        <f aca="false">SUMIFS(Media_Cliente_Mes!$C$2:$C$145,Media_Cliente_Mes!$A$2:$A$145,$A192,Media_Cliente_Mes!$B$2:$B$145,$B192)</f>
        <v>88798.66</v>
      </c>
      <c r="E192" s="35" t="n">
        <f aca="false">IF($D192=0,"",IF($C192="Proteina",SUMIFS(Media_Cliente_Mes!$D$2:$D$145,Media_Cliente_Mes!$A$2:$A$145,$A192,Media_Cliente_Mes!$B$2:$B$145,$B192),IF($C192="Umidade",SUMIFS(Media_Cliente_Mes!$E$2:$E$145,Media_Cliente_Mes!$A$2:$A$145,$A192,Media_Cliente_Mes!$B$2:$B$145,$B192),SUMIFS(Media_Cliente_Mes!$F$2:$F$145,Media_Cliente_Mes!$A$2:$A$145,$A192,Media_Cliente_Mes!$B$2:$B$145,$B192))))</f>
        <v>12.4580976098063</v>
      </c>
      <c r="F192" s="35" t="n">
        <f aca="false">INDEX(Parametros_ANEC73!$C$4:$C$6,MATCH($C192,Parametros_ANEC73!$A$4:$A$6,0))</f>
        <v>12.5</v>
      </c>
      <c r="G192" s="35" t="n">
        <f aca="false">IF($C192="Proteina",INDEX(Media_Pool_Mes!$C$2:$C$13,MATCH($B192,Media_Pool_Mes!$A$2:$A$13,0)),IF($C192="Umidade",INDEX(Media_Pool_Mes!$D$2:$D$13,MATCH($B192,Media_Pool_Mes!$A$2:$A$13,0)),INDEX(Media_Pool_Mes!$E$2:$E$13,MATCH($B192,Media_Pool_Mes!$A$2:$A$13,0))))</f>
        <v>12.3606134360148</v>
      </c>
      <c r="H192" s="37" t="n">
        <f aca="false">INDEX(Parametros_ANEC73!$B$4:$B$6,MATCH($C192,Parametros_ANEC73!$A$4:$A$6,0))</f>
        <v>1</v>
      </c>
      <c r="I192" s="38" t="n">
        <f aca="false">IF(OR($D192=0,$G192=""),"",IF($H192*($G192-$F192)&gt;0,$G192,$F192))</f>
        <v>12.5</v>
      </c>
      <c r="J192" s="27" t="str">
        <f aca="false">IF(OR($D192=0,$G192=""),"",IF($H192*($G192-$F192)&gt;0,"Sim","Nao"))</f>
        <v>Nao</v>
      </c>
      <c r="K192" s="27" t="str">
        <f aca="false">IF(OR($D192=0,$G192=""),"",IF(AND($H192*($E192-$F192)&gt;0,$H192*($E192-$G192)&gt;0),"Sim","Nao"))</f>
        <v>Nao</v>
      </c>
      <c r="L192" s="38" t="n">
        <f aca="false">IF(OR($D192=0,$G192=""),0,IF($K192="Sim",MAX(0,$H192*($E192-$I192)),0))</f>
        <v>0</v>
      </c>
      <c r="M192" s="35" t="n">
        <f aca="false">INDEX(Parametros_ANEC73!$G$4:$G$6,MATCH($C192,Parametros_ANEC73!$A$4:$A$6,0))</f>
        <v>0</v>
      </c>
      <c r="N192" s="38" t="n">
        <f aca="false">IF(OR($D192=0,$G192=""),0,IF(AND($K192="Sim",$M192&lt;&gt;""),MAX(0,$H192*($E192-$M192)),0))</f>
        <v>0</v>
      </c>
      <c r="O192" s="35" t="n">
        <f aca="false">INDEX(Parametros_ANEC73!$J$4:$J$6,MATCH($C192,Parametros_ANEC73!$A$4:$A$6,0))</f>
        <v>0</v>
      </c>
      <c r="P192" s="38" t="n">
        <f aca="false">IF(OR($D192=0,$G192=""),0,IF(AND($K192="Sim",$O192&lt;&gt;""),MAX(0,$H192*($E192-$O192)),0))</f>
        <v>0</v>
      </c>
      <c r="Q192" s="35" t="n">
        <f aca="false">INDEX(Parametros_ANEC73!$F$4:$F$6,MATCH($C192,Parametros_ANEC73!$A$4:$A$6,0))</f>
        <v>1</v>
      </c>
      <c r="R192" s="35" t="n">
        <f aca="false">INDEX(Parametros_ANEC73!$I$4:$I$6,MATCH($C192,Parametros_ANEC73!$A$4:$A$6,0))</f>
        <v>0</v>
      </c>
      <c r="S192" s="35" t="n">
        <f aca="false">INDEX(Parametros_ANEC73!$L$4:$L$6,MATCH($C192,Parametros_ANEC73!$A$4:$A$6,0))</f>
        <v>0</v>
      </c>
      <c r="T192" s="39" t="n">
        <f aca="false">INDEX(Parametros_ANEC73!$B$14:$B$25,MATCH($B192,Parametros_ANEC73!$A$14:$A$25,0))</f>
        <v>415</v>
      </c>
      <c r="U192" s="40" t="n">
        <f aca="false">IF(OR($D192=0,$G192=""),0,$D192*($T192/100)*($L192*$Q192+$N192*(IF($R192="",$Q192,$R192)-$Q192)+$P192*(IF($S192="",IF($R192="",$Q192,$R192),$S192)-IF($R192="",$Q192,$R192))))</f>
        <v>0</v>
      </c>
      <c r="V192" s="41" t="str">
        <f aca="false">IF(OR($D192=0,$G192=""),"",IF($H192*($E192-INDEX(Parametros_ANEC73!$M$4:$M$6,MATCH($C192,Parametros_ANEC73!$A$4:$A$6,0)))&gt;0,"Sim","Nao"))</f>
        <v>Nao</v>
      </c>
      <c r="W192" s="27" t="str">
        <f aca="false">$A192&amp;"|"&amp;$B192&amp;"|"&amp;$C192</f>
        <v>3Tentos|Abr|Umidade</v>
      </c>
    </row>
    <row r="193" customFormat="false" ht="15" hidden="false" customHeight="false" outlineLevel="0" collapsed="false">
      <c r="A193" s="27" t="s">
        <v>44</v>
      </c>
      <c r="B193" s="27" t="s">
        <v>61</v>
      </c>
      <c r="C193" s="27" t="s">
        <v>111</v>
      </c>
      <c r="D193" s="34" t="n">
        <f aca="false">SUMIFS(Media_Cliente_Mes!$C$2:$C$145,Media_Cliente_Mes!$A$2:$A$145,$A193,Media_Cliente_Mes!$B$2:$B$145,$B193)</f>
        <v>88798.66</v>
      </c>
      <c r="E193" s="35" t="n">
        <f aca="false">IF($D193=0,"",IF($C193="Proteina",SUMIFS(Media_Cliente_Mes!$D$2:$D$145,Media_Cliente_Mes!$A$2:$A$145,$A193,Media_Cliente_Mes!$B$2:$B$145,$B193),IF($C193="Umidade",SUMIFS(Media_Cliente_Mes!$E$2:$E$145,Media_Cliente_Mes!$A$2:$A$145,$A193,Media_Cliente_Mes!$B$2:$B$145,$B193),SUMIFS(Media_Cliente_Mes!$F$2:$F$145,Media_Cliente_Mes!$A$2:$A$145,$A193,Media_Cliente_Mes!$B$2:$B$145,$B193))))</f>
        <v>3.61371181614678</v>
      </c>
      <c r="F193" s="35" t="n">
        <f aca="false">INDEX(Parametros_ANEC73!$C$4:$C$6,MATCH($C193,Parametros_ANEC73!$A$4:$A$6,0))</f>
        <v>3.5</v>
      </c>
      <c r="G193" s="35" t="n">
        <f aca="false">IF($C193="Proteina",INDEX(Media_Pool_Mes!$C$2:$C$13,MATCH($B193,Media_Pool_Mes!$A$2:$A$13,0)),IF($C193="Umidade",INDEX(Media_Pool_Mes!$D$2:$D$13,MATCH($B193,Media_Pool_Mes!$A$2:$A$13,0)),INDEX(Media_Pool_Mes!$E$2:$E$13,MATCH($B193,Media_Pool_Mes!$A$2:$A$13,0))))</f>
        <v>3.66155636815217</v>
      </c>
      <c r="H193" s="37" t="n">
        <f aca="false">INDEX(Parametros_ANEC73!$B$4:$B$6,MATCH($C193,Parametros_ANEC73!$A$4:$A$6,0))</f>
        <v>1</v>
      </c>
      <c r="I193" s="38" t="n">
        <f aca="false">IF(OR($D193=0,$G193=""),"",IF($H193*($G193-$F193)&gt;0,$G193,$F193))</f>
        <v>3.66155636815217</v>
      </c>
      <c r="J193" s="27" t="str">
        <f aca="false">IF(OR($D193=0,$G193=""),"",IF($H193*($G193-$F193)&gt;0,"Sim","Nao"))</f>
        <v>Sim</v>
      </c>
      <c r="K193" s="27" t="str">
        <f aca="false">IF(OR($D193=0,$G193=""),"",IF(AND($H193*($E193-$F193)&gt;0,$H193*($E193-$G193)&gt;0),"Sim","Nao"))</f>
        <v>Nao</v>
      </c>
      <c r="L193" s="38" t="n">
        <f aca="false">IF(OR($D193=0,$G193=""),0,IF($K193="Sim",MAX(0,$H193*($E193-$I193)),0))</f>
        <v>0</v>
      </c>
      <c r="M193" s="35" t="n">
        <f aca="false">INDEX(Parametros_ANEC73!$G$4:$G$6,MATCH($C193,Parametros_ANEC73!$A$4:$A$6,0))</f>
        <v>3.8</v>
      </c>
      <c r="N193" s="38" t="n">
        <f aca="false">IF(OR($D193=0,$G193=""),0,IF(AND($K193="Sim",$M193&lt;&gt;""),MAX(0,$H193*($E193-$M193)),0))</f>
        <v>0</v>
      </c>
      <c r="O193" s="35" t="n">
        <f aca="false">INDEX(Parametros_ANEC73!$J$4:$J$6,MATCH($C193,Parametros_ANEC73!$A$4:$A$6,0))</f>
        <v>4</v>
      </c>
      <c r="P193" s="38" t="n">
        <f aca="false">IF(OR($D193=0,$G193=""),0,IF(AND($K193="Sim",$O193&lt;&gt;""),MAX(0,$H193*($E193-$O193)),0))</f>
        <v>0</v>
      </c>
      <c r="Q193" s="35" t="n">
        <f aca="false">INDEX(Parametros_ANEC73!$F$4:$F$6,MATCH($C193,Parametros_ANEC73!$A$4:$A$6,0))</f>
        <v>1</v>
      </c>
      <c r="R193" s="35" t="n">
        <f aca="false">INDEX(Parametros_ANEC73!$I$4:$I$6,MATCH($C193,Parametros_ANEC73!$A$4:$A$6,0))</f>
        <v>1.5</v>
      </c>
      <c r="S193" s="35" t="n">
        <f aca="false">INDEX(Parametros_ANEC73!$L$4:$L$6,MATCH($C193,Parametros_ANEC73!$A$4:$A$6,0))</f>
        <v>2</v>
      </c>
      <c r="T193" s="39" t="n">
        <f aca="false">INDEX(Parametros_ANEC73!$B$14:$B$25,MATCH($B193,Parametros_ANEC73!$A$14:$A$25,0))</f>
        <v>415</v>
      </c>
      <c r="U193" s="40" t="n">
        <f aca="false">IF(OR($D193=0,$G193=""),0,$D193*($T193/100)*($L193*$Q193+$N193*(IF($R193="",$Q193,$R193)-$Q193)+$P193*(IF($S193="",IF($R193="",$Q193,$R193),$S193)-IF($R193="",$Q193,$R193))))</f>
        <v>0</v>
      </c>
      <c r="V193" s="41" t="str">
        <f aca="false">IF(OR($D193=0,$G193=""),"",IF($H193*($E193-INDEX(Parametros_ANEC73!$M$4:$M$6,MATCH($C193,Parametros_ANEC73!$A$4:$A$6,0)))&gt;0,"Sim","Nao"))</f>
        <v>Nao</v>
      </c>
      <c r="W193" s="27" t="str">
        <f aca="false">$A193&amp;"|"&amp;$B193&amp;"|"&amp;$C193</f>
        <v>3Tentos|Abr|Fibra</v>
      </c>
    </row>
    <row r="194" customFormat="false" ht="15" hidden="false" customHeight="false" outlineLevel="0" collapsed="false">
      <c r="A194" s="27" t="s">
        <v>44</v>
      </c>
      <c r="B194" s="27" t="s">
        <v>62</v>
      </c>
      <c r="C194" s="27" t="s">
        <v>109</v>
      </c>
      <c r="D194" s="34" t="n">
        <f aca="false">SUMIFS(Media_Cliente_Mes!$C$2:$C$145,Media_Cliente_Mes!$A$2:$A$145,$A194,Media_Cliente_Mes!$B$2:$B$145,$B194)</f>
        <v>62604.74</v>
      </c>
      <c r="E194" s="35" t="n">
        <f aca="false">IF($D194=0,"",IF($C194="Proteina",SUMIFS(Media_Cliente_Mes!$D$2:$D$145,Media_Cliente_Mes!$A$2:$A$145,$A194,Media_Cliente_Mes!$B$2:$B$145,$B194),IF($C194="Umidade",SUMIFS(Media_Cliente_Mes!$E$2:$E$145,Media_Cliente_Mes!$A$2:$A$145,$A194,Media_Cliente_Mes!$B$2:$B$145,$B194),SUMIFS(Media_Cliente_Mes!$F$2:$F$145,Media_Cliente_Mes!$A$2:$A$145,$A194,Media_Cliente_Mes!$B$2:$B$145,$B194))))</f>
        <v>47.4925409721373</v>
      </c>
      <c r="F194" s="35" t="n">
        <f aca="false">INDEX(Parametros_ANEC73!$C$4:$C$6,MATCH($C194,Parametros_ANEC73!$A$4:$A$6,0))</f>
        <v>48</v>
      </c>
      <c r="G194" s="35" t="n">
        <f aca="false">IF($C194="Proteina",INDEX(Media_Pool_Mes!$C$2:$C$13,MATCH($B194,Media_Pool_Mes!$A$2:$A$13,0)),IF($C194="Umidade",INDEX(Media_Pool_Mes!$D$2:$D$13,MATCH($B194,Media_Pool_Mes!$A$2:$A$13,0)),INDEX(Media_Pool_Mes!$E$2:$E$13,MATCH($B194,Media_Pool_Mes!$A$2:$A$13,0))))</f>
        <v>47.6334614958572</v>
      </c>
      <c r="H194" s="37" t="n">
        <f aca="false">INDEX(Parametros_ANEC73!$B$4:$B$6,MATCH($C194,Parametros_ANEC73!$A$4:$A$6,0))</f>
        <v>-1</v>
      </c>
      <c r="I194" s="38" t="n">
        <f aca="false">IF(OR($D194=0,$G194=""),"",IF($H194*($G194-$F194)&gt;0,$G194,$F194))</f>
        <v>47.6334614958572</v>
      </c>
      <c r="J194" s="27" t="str">
        <f aca="false">IF(OR($D194=0,$G194=""),"",IF($H194*($G194-$F194)&gt;0,"Sim","Nao"))</f>
        <v>Sim</v>
      </c>
      <c r="K194" s="27" t="str">
        <f aca="false">IF(OR($D194=0,$G194=""),"",IF(AND($H194*($E194-$F194)&gt;0,$H194*($E194-$G194)&gt;0),"Sim","Nao"))</f>
        <v>Sim</v>
      </c>
      <c r="L194" s="38" t="n">
        <f aca="false">IF(OR($D194=0,$G194=""),0,IF($K194="Sim",MAX(0,$H194*($E194-$I194)),0))</f>
        <v>0.140920523719942</v>
      </c>
      <c r="M194" s="35" t="n">
        <f aca="false">INDEX(Parametros_ANEC73!$G$4:$G$6,MATCH($C194,Parametros_ANEC73!$A$4:$A$6,0))</f>
        <v>47</v>
      </c>
      <c r="N194" s="38" t="n">
        <f aca="false">IF(OR($D194=0,$G194=""),0,IF(AND($K194="Sim",$M194&lt;&gt;""),MAX(0,$H194*($E194-$M194)),0))</f>
        <v>0</v>
      </c>
      <c r="O194" s="35" t="n">
        <f aca="false">INDEX(Parametros_ANEC73!$J$4:$J$6,MATCH($C194,Parametros_ANEC73!$A$4:$A$6,0))</f>
        <v>0</v>
      </c>
      <c r="P194" s="38" t="n">
        <f aca="false">IF(OR($D194=0,$G194=""),0,IF(AND($K194="Sim",$O194&lt;&gt;""),MAX(0,$H194*($E194-$O194)),0))</f>
        <v>0</v>
      </c>
      <c r="Q194" s="35" t="n">
        <f aca="false">INDEX(Parametros_ANEC73!$F$4:$F$6,MATCH($C194,Parametros_ANEC73!$A$4:$A$6,0))</f>
        <v>1</v>
      </c>
      <c r="R194" s="35" t="n">
        <f aca="false">INDEX(Parametros_ANEC73!$I$4:$I$6,MATCH($C194,Parametros_ANEC73!$A$4:$A$6,0))</f>
        <v>2</v>
      </c>
      <c r="S194" s="35" t="n">
        <f aca="false">INDEX(Parametros_ANEC73!$L$4:$L$6,MATCH($C194,Parametros_ANEC73!$A$4:$A$6,0))</f>
        <v>0</v>
      </c>
      <c r="T194" s="39" t="n">
        <f aca="false">INDEX(Parametros_ANEC73!$B$14:$B$25,MATCH($B194,Parametros_ANEC73!$A$14:$A$25,0))</f>
        <v>343</v>
      </c>
      <c r="U194" s="40" t="n">
        <f aca="false">IF(OR($D194=0,$G194=""),0,$D194*($T194/100)*($L194*$Q194+$N194*(IF($R194="",$Q194,$R194)-$Q194)+$P194*(IF($S194="",IF($R194="",$Q194,$R194),$S194)-IF($R194="",$Q194,$R194))))</f>
        <v>30260.4641261572</v>
      </c>
      <c r="V194" s="41" t="str">
        <f aca="false">IF(OR($D194=0,$G194=""),"",IF($H194*($E194-INDEX(Parametros_ANEC73!$M$4:$M$6,MATCH($C194,Parametros_ANEC73!$A$4:$A$6,0)))&gt;0,"Sim","Nao"))</f>
        <v>Nao</v>
      </c>
      <c r="W194" s="27" t="str">
        <f aca="false">$A194&amp;"|"&amp;$B194&amp;"|"&amp;$C194</f>
        <v>3Tentos|Mai|Proteina</v>
      </c>
    </row>
    <row r="195" customFormat="false" ht="15" hidden="false" customHeight="false" outlineLevel="0" collapsed="false">
      <c r="A195" s="27" t="s">
        <v>44</v>
      </c>
      <c r="B195" s="27" t="s">
        <v>62</v>
      </c>
      <c r="C195" s="27" t="s">
        <v>110</v>
      </c>
      <c r="D195" s="34" t="n">
        <f aca="false">SUMIFS(Media_Cliente_Mes!$C$2:$C$145,Media_Cliente_Mes!$A$2:$A$145,$A195,Media_Cliente_Mes!$B$2:$B$145,$B195)</f>
        <v>62604.74</v>
      </c>
      <c r="E195" s="35" t="n">
        <f aca="false">IF($D195=0,"",IF($C195="Proteina",SUMIFS(Media_Cliente_Mes!$D$2:$D$145,Media_Cliente_Mes!$A$2:$A$145,$A195,Media_Cliente_Mes!$B$2:$B$145,$B195),IF($C195="Umidade",SUMIFS(Media_Cliente_Mes!$E$2:$E$145,Media_Cliente_Mes!$A$2:$A$145,$A195,Media_Cliente_Mes!$B$2:$B$145,$B195),SUMIFS(Media_Cliente_Mes!$F$2:$F$145,Media_Cliente_Mes!$A$2:$A$145,$A195,Media_Cliente_Mes!$B$2:$B$145,$B195))))</f>
        <v>12.3994822532607</v>
      </c>
      <c r="F195" s="35" t="n">
        <f aca="false">INDEX(Parametros_ANEC73!$C$4:$C$6,MATCH($C195,Parametros_ANEC73!$A$4:$A$6,0))</f>
        <v>12.5</v>
      </c>
      <c r="G195" s="35" t="n">
        <f aca="false">IF($C195="Proteina",INDEX(Media_Pool_Mes!$C$2:$C$13,MATCH($B195,Media_Pool_Mes!$A$2:$A$13,0)),IF($C195="Umidade",INDEX(Media_Pool_Mes!$D$2:$D$13,MATCH($B195,Media_Pool_Mes!$A$2:$A$13,0)),INDEX(Media_Pool_Mes!$E$2:$E$13,MATCH($B195,Media_Pool_Mes!$A$2:$A$13,0))))</f>
        <v>12.3121752562954</v>
      </c>
      <c r="H195" s="37" t="n">
        <f aca="false">INDEX(Parametros_ANEC73!$B$4:$B$6,MATCH($C195,Parametros_ANEC73!$A$4:$A$6,0))</f>
        <v>1</v>
      </c>
      <c r="I195" s="38" t="n">
        <f aca="false">IF(OR($D195=0,$G195=""),"",IF($H195*($G195-$F195)&gt;0,$G195,$F195))</f>
        <v>12.5</v>
      </c>
      <c r="J195" s="27" t="str">
        <f aca="false">IF(OR($D195=0,$G195=""),"",IF($H195*($G195-$F195)&gt;0,"Sim","Nao"))</f>
        <v>Nao</v>
      </c>
      <c r="K195" s="27" t="str">
        <f aca="false">IF(OR($D195=0,$G195=""),"",IF(AND($H195*($E195-$F195)&gt;0,$H195*($E195-$G195)&gt;0),"Sim","Nao"))</f>
        <v>Nao</v>
      </c>
      <c r="L195" s="38" t="n">
        <f aca="false">IF(OR($D195=0,$G195=""),0,IF($K195="Sim",MAX(0,$H195*($E195-$I195)),0))</f>
        <v>0</v>
      </c>
      <c r="M195" s="35" t="n">
        <f aca="false">INDEX(Parametros_ANEC73!$G$4:$G$6,MATCH($C195,Parametros_ANEC73!$A$4:$A$6,0))</f>
        <v>0</v>
      </c>
      <c r="N195" s="38" t="n">
        <f aca="false">IF(OR($D195=0,$G195=""),0,IF(AND($K195="Sim",$M195&lt;&gt;""),MAX(0,$H195*($E195-$M195)),0))</f>
        <v>0</v>
      </c>
      <c r="O195" s="35" t="n">
        <f aca="false">INDEX(Parametros_ANEC73!$J$4:$J$6,MATCH($C195,Parametros_ANEC73!$A$4:$A$6,0))</f>
        <v>0</v>
      </c>
      <c r="P195" s="38" t="n">
        <f aca="false">IF(OR($D195=0,$G195=""),0,IF(AND($K195="Sim",$O195&lt;&gt;""),MAX(0,$H195*($E195-$O195)),0))</f>
        <v>0</v>
      </c>
      <c r="Q195" s="35" t="n">
        <f aca="false">INDEX(Parametros_ANEC73!$F$4:$F$6,MATCH($C195,Parametros_ANEC73!$A$4:$A$6,0))</f>
        <v>1</v>
      </c>
      <c r="R195" s="35" t="n">
        <f aca="false">INDEX(Parametros_ANEC73!$I$4:$I$6,MATCH($C195,Parametros_ANEC73!$A$4:$A$6,0))</f>
        <v>0</v>
      </c>
      <c r="S195" s="35" t="n">
        <f aca="false">INDEX(Parametros_ANEC73!$L$4:$L$6,MATCH($C195,Parametros_ANEC73!$A$4:$A$6,0))</f>
        <v>0</v>
      </c>
      <c r="T195" s="39" t="n">
        <f aca="false">INDEX(Parametros_ANEC73!$B$14:$B$25,MATCH($B195,Parametros_ANEC73!$A$14:$A$25,0))</f>
        <v>343</v>
      </c>
      <c r="U195" s="40" t="n">
        <f aca="false">IF(OR($D195=0,$G195=""),0,$D195*($T195/100)*($L195*$Q195+$N195*(IF($R195="",$Q195,$R195)-$Q195)+$P195*(IF($S195="",IF($R195="",$Q195,$R195),$S195)-IF($R195="",$Q195,$R195))))</f>
        <v>0</v>
      </c>
      <c r="V195" s="41" t="str">
        <f aca="false">IF(OR($D195=0,$G195=""),"",IF($H195*($E195-INDEX(Parametros_ANEC73!$M$4:$M$6,MATCH($C195,Parametros_ANEC73!$A$4:$A$6,0)))&gt;0,"Sim","Nao"))</f>
        <v>Nao</v>
      </c>
      <c r="W195" s="27" t="str">
        <f aca="false">$A195&amp;"|"&amp;$B195&amp;"|"&amp;$C195</f>
        <v>3Tentos|Mai|Umidade</v>
      </c>
    </row>
    <row r="196" customFormat="false" ht="15" hidden="false" customHeight="false" outlineLevel="0" collapsed="false">
      <c r="A196" s="27" t="s">
        <v>44</v>
      </c>
      <c r="B196" s="27" t="s">
        <v>62</v>
      </c>
      <c r="C196" s="27" t="s">
        <v>111</v>
      </c>
      <c r="D196" s="34" t="n">
        <f aca="false">SUMIFS(Media_Cliente_Mes!$C$2:$C$145,Media_Cliente_Mes!$A$2:$A$145,$A196,Media_Cliente_Mes!$B$2:$B$145,$B196)</f>
        <v>62604.74</v>
      </c>
      <c r="E196" s="35" t="n">
        <f aca="false">IF($D196=0,"",IF($C196="Proteina",SUMIFS(Media_Cliente_Mes!$D$2:$D$145,Media_Cliente_Mes!$A$2:$A$145,$A196,Media_Cliente_Mes!$B$2:$B$145,$B196),IF($C196="Umidade",SUMIFS(Media_Cliente_Mes!$E$2:$E$145,Media_Cliente_Mes!$A$2:$A$145,$A196,Media_Cliente_Mes!$B$2:$B$145,$B196),SUMIFS(Media_Cliente_Mes!$F$2:$F$145,Media_Cliente_Mes!$A$2:$A$145,$A196,Media_Cliente_Mes!$B$2:$B$145,$B196))))</f>
        <v>3.75129450102341</v>
      </c>
      <c r="F196" s="35" t="n">
        <f aca="false">INDEX(Parametros_ANEC73!$C$4:$C$6,MATCH($C196,Parametros_ANEC73!$A$4:$A$6,0))</f>
        <v>3.5</v>
      </c>
      <c r="G196" s="35" t="n">
        <f aca="false">IF($C196="Proteina",INDEX(Media_Pool_Mes!$C$2:$C$13,MATCH($B196,Media_Pool_Mes!$A$2:$A$13,0)),IF($C196="Umidade",INDEX(Media_Pool_Mes!$D$2:$D$13,MATCH($B196,Media_Pool_Mes!$A$2:$A$13,0)),INDEX(Media_Pool_Mes!$E$2:$E$13,MATCH($B196,Media_Pool_Mes!$A$2:$A$13,0))))</f>
        <v>3.64524916105719</v>
      </c>
      <c r="H196" s="37" t="n">
        <f aca="false">INDEX(Parametros_ANEC73!$B$4:$B$6,MATCH($C196,Parametros_ANEC73!$A$4:$A$6,0))</f>
        <v>1</v>
      </c>
      <c r="I196" s="38" t="n">
        <f aca="false">IF(OR($D196=0,$G196=""),"",IF($H196*($G196-$F196)&gt;0,$G196,$F196))</f>
        <v>3.64524916105719</v>
      </c>
      <c r="J196" s="27" t="str">
        <f aca="false">IF(OR($D196=0,$G196=""),"",IF($H196*($G196-$F196)&gt;0,"Sim","Nao"))</f>
        <v>Sim</v>
      </c>
      <c r="K196" s="27" t="str">
        <f aca="false">IF(OR($D196=0,$G196=""),"",IF(AND($H196*($E196-$F196)&gt;0,$H196*($E196-$G196)&gt;0),"Sim","Nao"))</f>
        <v>Sim</v>
      </c>
      <c r="L196" s="38" t="n">
        <f aca="false">IF(OR($D196=0,$G196=""),0,IF($K196="Sim",MAX(0,$H196*($E196-$I196)),0))</f>
        <v>0.106045339966213</v>
      </c>
      <c r="M196" s="35" t="n">
        <f aca="false">INDEX(Parametros_ANEC73!$G$4:$G$6,MATCH($C196,Parametros_ANEC73!$A$4:$A$6,0))</f>
        <v>3.8</v>
      </c>
      <c r="N196" s="38" t="n">
        <f aca="false">IF(OR($D196=0,$G196=""),0,IF(AND($K196="Sim",$M196&lt;&gt;""),MAX(0,$H196*($E196-$M196)),0))</f>
        <v>0</v>
      </c>
      <c r="O196" s="35" t="n">
        <f aca="false">INDEX(Parametros_ANEC73!$J$4:$J$6,MATCH($C196,Parametros_ANEC73!$A$4:$A$6,0))</f>
        <v>4</v>
      </c>
      <c r="P196" s="38" t="n">
        <f aca="false">IF(OR($D196=0,$G196=""),0,IF(AND($K196="Sim",$O196&lt;&gt;""),MAX(0,$H196*($E196-$O196)),0))</f>
        <v>0</v>
      </c>
      <c r="Q196" s="35" t="n">
        <f aca="false">INDEX(Parametros_ANEC73!$F$4:$F$6,MATCH($C196,Parametros_ANEC73!$A$4:$A$6,0))</f>
        <v>1</v>
      </c>
      <c r="R196" s="35" t="n">
        <f aca="false">INDEX(Parametros_ANEC73!$I$4:$I$6,MATCH($C196,Parametros_ANEC73!$A$4:$A$6,0))</f>
        <v>1.5</v>
      </c>
      <c r="S196" s="35" t="n">
        <f aca="false">INDEX(Parametros_ANEC73!$L$4:$L$6,MATCH($C196,Parametros_ANEC73!$A$4:$A$6,0))</f>
        <v>2</v>
      </c>
      <c r="T196" s="39" t="n">
        <f aca="false">INDEX(Parametros_ANEC73!$B$14:$B$25,MATCH($B196,Parametros_ANEC73!$A$14:$A$25,0))</f>
        <v>343</v>
      </c>
      <c r="U196" s="40" t="n">
        <f aca="false">IF(OR($D196=0,$G196=""),0,$D196*($T196/100)*($L196*$Q196+$N196*(IF($R196="",$Q196,$R196)-$Q196)+$P196*(IF($S196="",IF($R196="",$Q196,$R196),$S196)-IF($R196="",$Q196,$R196))))</f>
        <v>22771.5674132115</v>
      </c>
      <c r="V196" s="41" t="str">
        <f aca="false">IF(OR($D196=0,$G196=""),"",IF($H196*($E196-INDEX(Parametros_ANEC73!$M$4:$M$6,MATCH($C196,Parametros_ANEC73!$A$4:$A$6,0)))&gt;0,"Sim","Nao"))</f>
        <v>Nao</v>
      </c>
      <c r="W196" s="27" t="str">
        <f aca="false">$A196&amp;"|"&amp;$B196&amp;"|"&amp;$C196</f>
        <v>3Tentos|Mai|Fibra</v>
      </c>
    </row>
    <row r="197" customFormat="false" ht="15" hidden="false" customHeight="false" outlineLevel="0" collapsed="false">
      <c r="A197" s="27" t="s">
        <v>44</v>
      </c>
      <c r="B197" s="27" t="s">
        <v>63</v>
      </c>
      <c r="C197" s="27" t="s">
        <v>109</v>
      </c>
      <c r="D197" s="34" t="n">
        <f aca="false">SUMIFS(Media_Cliente_Mes!$C$2:$C$145,Media_Cliente_Mes!$A$2:$A$145,$A197,Media_Cliente_Mes!$B$2:$B$145,$B197)</f>
        <v>51533.03</v>
      </c>
      <c r="E197" s="35" t="n">
        <f aca="false">IF($D197=0,"",IF($C197="Proteina",SUMIFS(Media_Cliente_Mes!$D$2:$D$145,Media_Cliente_Mes!$A$2:$A$145,$A197,Media_Cliente_Mes!$B$2:$B$145,$B197),IF($C197="Umidade",SUMIFS(Media_Cliente_Mes!$E$2:$E$145,Media_Cliente_Mes!$A$2:$A$145,$A197,Media_Cliente_Mes!$B$2:$B$145,$B197),SUMIFS(Media_Cliente_Mes!$F$2:$F$145,Media_Cliente_Mes!$A$2:$A$145,$A197,Media_Cliente_Mes!$B$2:$B$145,$B197))))</f>
        <v>47.4120016288582</v>
      </c>
      <c r="F197" s="35" t="n">
        <f aca="false">INDEX(Parametros_ANEC73!$C$4:$C$6,MATCH($C197,Parametros_ANEC73!$A$4:$A$6,0))</f>
        <v>48</v>
      </c>
      <c r="G197" s="35" t="n">
        <f aca="false">IF($C197="Proteina",INDEX(Media_Pool_Mes!$C$2:$C$13,MATCH($B197,Media_Pool_Mes!$A$2:$A$13,0)),IF($C197="Umidade",INDEX(Media_Pool_Mes!$D$2:$D$13,MATCH($B197,Media_Pool_Mes!$A$2:$A$13,0)),INDEX(Media_Pool_Mes!$E$2:$E$13,MATCH($B197,Media_Pool_Mes!$A$2:$A$13,0))))</f>
        <v>47.4834226367413</v>
      </c>
      <c r="H197" s="37" t="n">
        <f aca="false">INDEX(Parametros_ANEC73!$B$4:$B$6,MATCH($C197,Parametros_ANEC73!$A$4:$A$6,0))</f>
        <v>-1</v>
      </c>
      <c r="I197" s="38" t="n">
        <f aca="false">IF(OR($D197=0,$G197=""),"",IF($H197*($G197-$F197)&gt;0,$G197,$F197))</f>
        <v>47.4834226367413</v>
      </c>
      <c r="J197" s="27" t="str">
        <f aca="false">IF(OR($D197=0,$G197=""),"",IF($H197*($G197-$F197)&gt;0,"Sim","Nao"))</f>
        <v>Sim</v>
      </c>
      <c r="K197" s="27" t="str">
        <f aca="false">IF(OR($D197=0,$G197=""),"",IF(AND($H197*($E197-$F197)&gt;0,$H197*($E197-$G197)&gt;0),"Sim","Nao"))</f>
        <v>Sim</v>
      </c>
      <c r="L197" s="38" t="n">
        <f aca="false">IF(OR($D197=0,$G197=""),0,IF($K197="Sim",MAX(0,$H197*($E197-$I197)),0))</f>
        <v>0.0714210078831172</v>
      </c>
      <c r="M197" s="35" t="n">
        <f aca="false">INDEX(Parametros_ANEC73!$G$4:$G$6,MATCH($C197,Parametros_ANEC73!$A$4:$A$6,0))</f>
        <v>47</v>
      </c>
      <c r="N197" s="38" t="n">
        <f aca="false">IF(OR($D197=0,$G197=""),0,IF(AND($K197="Sim",$M197&lt;&gt;""),MAX(0,$H197*($E197-$M197)),0))</f>
        <v>0</v>
      </c>
      <c r="O197" s="35" t="n">
        <f aca="false">INDEX(Parametros_ANEC73!$J$4:$J$6,MATCH($C197,Parametros_ANEC73!$A$4:$A$6,0))</f>
        <v>0</v>
      </c>
      <c r="P197" s="38" t="n">
        <f aca="false">IF(OR($D197=0,$G197=""),0,IF(AND($K197="Sim",$O197&lt;&gt;""),MAX(0,$H197*($E197-$O197)),0))</f>
        <v>0</v>
      </c>
      <c r="Q197" s="35" t="n">
        <f aca="false">INDEX(Parametros_ANEC73!$F$4:$F$6,MATCH($C197,Parametros_ANEC73!$A$4:$A$6,0))</f>
        <v>1</v>
      </c>
      <c r="R197" s="35" t="n">
        <f aca="false">INDEX(Parametros_ANEC73!$I$4:$I$6,MATCH($C197,Parametros_ANEC73!$A$4:$A$6,0))</f>
        <v>2</v>
      </c>
      <c r="S197" s="35" t="n">
        <f aca="false">INDEX(Parametros_ANEC73!$L$4:$L$6,MATCH($C197,Parametros_ANEC73!$A$4:$A$6,0))</f>
        <v>0</v>
      </c>
      <c r="T197" s="39" t="n">
        <f aca="false">INDEX(Parametros_ANEC73!$B$14:$B$25,MATCH($B197,Parametros_ANEC73!$A$14:$A$25,0))</f>
        <v>326</v>
      </c>
      <c r="U197" s="40" t="n">
        <f aca="false">IF(OR($D197=0,$G197=""),0,$D197*($T197/100)*($L197*$Q197+$N197*(IF($R197="",$Q197,$R197)-$Q197)+$P197*(IF($S197="",IF($R197="",$Q197,$R197),$S197)-IF($R197="",$Q197,$R197))))</f>
        <v>11998.5634704992</v>
      </c>
      <c r="V197" s="41" t="str">
        <f aca="false">IF(OR($D197=0,$G197=""),"",IF($H197*($E197-INDEX(Parametros_ANEC73!$M$4:$M$6,MATCH($C197,Parametros_ANEC73!$A$4:$A$6,0)))&gt;0,"Sim","Nao"))</f>
        <v>Nao</v>
      </c>
      <c r="W197" s="27" t="str">
        <f aca="false">$A197&amp;"|"&amp;$B197&amp;"|"&amp;$C197</f>
        <v>3Tentos|Jun|Proteina</v>
      </c>
    </row>
    <row r="198" customFormat="false" ht="15" hidden="false" customHeight="false" outlineLevel="0" collapsed="false">
      <c r="A198" s="27" t="s">
        <v>44</v>
      </c>
      <c r="B198" s="27" t="s">
        <v>63</v>
      </c>
      <c r="C198" s="27" t="s">
        <v>110</v>
      </c>
      <c r="D198" s="34" t="n">
        <f aca="false">SUMIFS(Media_Cliente_Mes!$C$2:$C$145,Media_Cliente_Mes!$A$2:$A$145,$A198,Media_Cliente_Mes!$B$2:$B$145,$B198)</f>
        <v>51533.03</v>
      </c>
      <c r="E198" s="35" t="n">
        <f aca="false">IF($D198=0,"",IF($C198="Proteina",SUMIFS(Media_Cliente_Mes!$D$2:$D$145,Media_Cliente_Mes!$A$2:$A$145,$A198,Media_Cliente_Mes!$B$2:$B$145,$B198),IF($C198="Umidade",SUMIFS(Media_Cliente_Mes!$E$2:$E$145,Media_Cliente_Mes!$A$2:$A$145,$A198,Media_Cliente_Mes!$B$2:$B$145,$B198),SUMIFS(Media_Cliente_Mes!$F$2:$F$145,Media_Cliente_Mes!$A$2:$A$145,$A198,Media_Cliente_Mes!$B$2:$B$145,$B198))))</f>
        <v>12.4986174711636</v>
      </c>
      <c r="F198" s="35" t="n">
        <f aca="false">INDEX(Parametros_ANEC73!$C$4:$C$6,MATCH($C198,Parametros_ANEC73!$A$4:$A$6,0))</f>
        <v>12.5</v>
      </c>
      <c r="G198" s="35" t="n">
        <f aca="false">IF($C198="Proteina",INDEX(Media_Pool_Mes!$C$2:$C$13,MATCH($B198,Media_Pool_Mes!$A$2:$A$13,0)),IF($C198="Umidade",INDEX(Media_Pool_Mes!$D$2:$D$13,MATCH($B198,Media_Pool_Mes!$A$2:$A$13,0)),INDEX(Media_Pool_Mes!$E$2:$E$13,MATCH($B198,Media_Pool_Mes!$A$2:$A$13,0))))</f>
        <v>12.6225093779221</v>
      </c>
      <c r="H198" s="37" t="n">
        <f aca="false">INDEX(Parametros_ANEC73!$B$4:$B$6,MATCH($C198,Parametros_ANEC73!$A$4:$A$6,0))</f>
        <v>1</v>
      </c>
      <c r="I198" s="38" t="n">
        <f aca="false">IF(OR($D198=0,$G198=""),"",IF($H198*($G198-$F198)&gt;0,$G198,$F198))</f>
        <v>12.6225093779221</v>
      </c>
      <c r="J198" s="27" t="str">
        <f aca="false">IF(OR($D198=0,$G198=""),"",IF($H198*($G198-$F198)&gt;0,"Sim","Nao"))</f>
        <v>Sim</v>
      </c>
      <c r="K198" s="27" t="str">
        <f aca="false">IF(OR($D198=0,$G198=""),"",IF(AND($H198*($E198-$F198)&gt;0,$H198*($E198-$G198)&gt;0),"Sim","Nao"))</f>
        <v>Nao</v>
      </c>
      <c r="L198" s="38" t="n">
        <f aca="false">IF(OR($D198=0,$G198=""),0,IF($K198="Sim",MAX(0,$H198*($E198-$I198)),0))</f>
        <v>0</v>
      </c>
      <c r="M198" s="35" t="n">
        <f aca="false">INDEX(Parametros_ANEC73!$G$4:$G$6,MATCH($C198,Parametros_ANEC73!$A$4:$A$6,0))</f>
        <v>0</v>
      </c>
      <c r="N198" s="38" t="n">
        <f aca="false">IF(OR($D198=0,$G198=""),0,IF(AND($K198="Sim",$M198&lt;&gt;""),MAX(0,$H198*($E198-$M198)),0))</f>
        <v>0</v>
      </c>
      <c r="O198" s="35" t="n">
        <f aca="false">INDEX(Parametros_ANEC73!$J$4:$J$6,MATCH($C198,Parametros_ANEC73!$A$4:$A$6,0))</f>
        <v>0</v>
      </c>
      <c r="P198" s="38" t="n">
        <f aca="false">IF(OR($D198=0,$G198=""),0,IF(AND($K198="Sim",$O198&lt;&gt;""),MAX(0,$H198*($E198-$O198)),0))</f>
        <v>0</v>
      </c>
      <c r="Q198" s="35" t="n">
        <f aca="false">INDEX(Parametros_ANEC73!$F$4:$F$6,MATCH($C198,Parametros_ANEC73!$A$4:$A$6,0))</f>
        <v>1</v>
      </c>
      <c r="R198" s="35" t="n">
        <f aca="false">INDEX(Parametros_ANEC73!$I$4:$I$6,MATCH($C198,Parametros_ANEC73!$A$4:$A$6,0))</f>
        <v>0</v>
      </c>
      <c r="S198" s="35" t="n">
        <f aca="false">INDEX(Parametros_ANEC73!$L$4:$L$6,MATCH($C198,Parametros_ANEC73!$A$4:$A$6,0))</f>
        <v>0</v>
      </c>
      <c r="T198" s="39" t="n">
        <f aca="false">INDEX(Parametros_ANEC73!$B$14:$B$25,MATCH($B198,Parametros_ANEC73!$A$14:$A$25,0))</f>
        <v>326</v>
      </c>
      <c r="U198" s="40" t="n">
        <f aca="false">IF(OR($D198=0,$G198=""),0,$D198*($T198/100)*($L198*$Q198+$N198*(IF($R198="",$Q198,$R198)-$Q198)+$P198*(IF($S198="",IF($R198="",$Q198,$R198),$S198)-IF($R198="",$Q198,$R198))))</f>
        <v>0</v>
      </c>
      <c r="V198" s="41" t="str">
        <f aca="false">IF(OR($D198=0,$G198=""),"",IF($H198*($E198-INDEX(Parametros_ANEC73!$M$4:$M$6,MATCH($C198,Parametros_ANEC73!$A$4:$A$6,0)))&gt;0,"Sim","Nao"))</f>
        <v>Nao</v>
      </c>
      <c r="W198" s="27" t="str">
        <f aca="false">$A198&amp;"|"&amp;$B198&amp;"|"&amp;$C198</f>
        <v>3Tentos|Jun|Umidade</v>
      </c>
    </row>
    <row r="199" customFormat="false" ht="15" hidden="false" customHeight="false" outlineLevel="0" collapsed="false">
      <c r="A199" s="27" t="s">
        <v>44</v>
      </c>
      <c r="B199" s="27" t="s">
        <v>63</v>
      </c>
      <c r="C199" s="27" t="s">
        <v>111</v>
      </c>
      <c r="D199" s="34" t="n">
        <f aca="false">SUMIFS(Media_Cliente_Mes!$C$2:$C$145,Media_Cliente_Mes!$A$2:$A$145,$A199,Media_Cliente_Mes!$B$2:$B$145,$B199)</f>
        <v>51533.03</v>
      </c>
      <c r="E199" s="35" t="n">
        <f aca="false">IF($D199=0,"",IF($C199="Proteina",SUMIFS(Media_Cliente_Mes!$D$2:$D$145,Media_Cliente_Mes!$A$2:$A$145,$A199,Media_Cliente_Mes!$B$2:$B$145,$B199),IF($C199="Umidade",SUMIFS(Media_Cliente_Mes!$E$2:$E$145,Media_Cliente_Mes!$A$2:$A$145,$A199,Media_Cliente_Mes!$B$2:$B$145,$B199),SUMIFS(Media_Cliente_Mes!$F$2:$F$145,Media_Cliente_Mes!$A$2:$A$145,$A199,Media_Cliente_Mes!$B$2:$B$145,$B199))))</f>
        <v>3.76879404335433</v>
      </c>
      <c r="F199" s="35" t="n">
        <f aca="false">INDEX(Parametros_ANEC73!$C$4:$C$6,MATCH($C199,Parametros_ANEC73!$A$4:$A$6,0))</f>
        <v>3.5</v>
      </c>
      <c r="G199" s="35" t="n">
        <f aca="false">IF($C199="Proteina",INDEX(Media_Pool_Mes!$C$2:$C$13,MATCH($B199,Media_Pool_Mes!$A$2:$A$13,0)),IF($C199="Umidade",INDEX(Media_Pool_Mes!$D$2:$D$13,MATCH($B199,Media_Pool_Mes!$A$2:$A$13,0)),INDEX(Media_Pool_Mes!$E$2:$E$13,MATCH($B199,Media_Pool_Mes!$A$2:$A$13,0))))</f>
        <v>3.72652113613862</v>
      </c>
      <c r="H199" s="37" t="n">
        <f aca="false">INDEX(Parametros_ANEC73!$B$4:$B$6,MATCH($C199,Parametros_ANEC73!$A$4:$A$6,0))</f>
        <v>1</v>
      </c>
      <c r="I199" s="38" t="n">
        <f aca="false">IF(OR($D199=0,$G199=""),"",IF($H199*($G199-$F199)&gt;0,$G199,$F199))</f>
        <v>3.72652113613862</v>
      </c>
      <c r="J199" s="27" t="str">
        <f aca="false">IF(OR($D199=0,$G199=""),"",IF($H199*($G199-$F199)&gt;0,"Sim","Nao"))</f>
        <v>Sim</v>
      </c>
      <c r="K199" s="27" t="str">
        <f aca="false">IF(OR($D199=0,$G199=""),"",IF(AND($H199*($E199-$F199)&gt;0,$H199*($E199-$G199)&gt;0),"Sim","Nao"))</f>
        <v>Sim</v>
      </c>
      <c r="L199" s="38" t="n">
        <f aca="false">IF(OR($D199=0,$G199=""),0,IF($K199="Sim",MAX(0,$H199*($E199-$I199)),0))</f>
        <v>0.0422729072157084</v>
      </c>
      <c r="M199" s="35" t="n">
        <f aca="false">INDEX(Parametros_ANEC73!$G$4:$G$6,MATCH($C199,Parametros_ANEC73!$A$4:$A$6,0))</f>
        <v>3.8</v>
      </c>
      <c r="N199" s="38" t="n">
        <f aca="false">IF(OR($D199=0,$G199=""),0,IF(AND($K199="Sim",$M199&lt;&gt;""),MAX(0,$H199*($E199-$M199)),0))</f>
        <v>0</v>
      </c>
      <c r="O199" s="35" t="n">
        <f aca="false">INDEX(Parametros_ANEC73!$J$4:$J$6,MATCH($C199,Parametros_ANEC73!$A$4:$A$6,0))</f>
        <v>4</v>
      </c>
      <c r="P199" s="38" t="n">
        <f aca="false">IF(OR($D199=0,$G199=""),0,IF(AND($K199="Sim",$O199&lt;&gt;""),MAX(0,$H199*($E199-$O199)),0))</f>
        <v>0</v>
      </c>
      <c r="Q199" s="35" t="n">
        <f aca="false">INDEX(Parametros_ANEC73!$F$4:$F$6,MATCH($C199,Parametros_ANEC73!$A$4:$A$6,0))</f>
        <v>1</v>
      </c>
      <c r="R199" s="35" t="n">
        <f aca="false">INDEX(Parametros_ANEC73!$I$4:$I$6,MATCH($C199,Parametros_ANEC73!$A$4:$A$6,0))</f>
        <v>1.5</v>
      </c>
      <c r="S199" s="35" t="n">
        <f aca="false">INDEX(Parametros_ANEC73!$L$4:$L$6,MATCH($C199,Parametros_ANEC73!$A$4:$A$6,0))</f>
        <v>2</v>
      </c>
      <c r="T199" s="39" t="n">
        <f aca="false">INDEX(Parametros_ANEC73!$B$14:$B$25,MATCH($B199,Parametros_ANEC73!$A$14:$A$25,0))</f>
        <v>326</v>
      </c>
      <c r="U199" s="40" t="n">
        <f aca="false">IF(OR($D199=0,$G199=""),0,$D199*($T199/100)*($L199*$Q199+$N199*(IF($R199="",$Q199,$R199)-$Q199)+$P199*(IF($S199="",IF($R199="",$Q199,$R199),$S199)-IF($R199="",$Q199,$R199))))</f>
        <v>7101.75024609388</v>
      </c>
      <c r="V199" s="41" t="str">
        <f aca="false">IF(OR($D199=0,$G199=""),"",IF($H199*($E199-INDEX(Parametros_ANEC73!$M$4:$M$6,MATCH($C199,Parametros_ANEC73!$A$4:$A$6,0)))&gt;0,"Sim","Nao"))</f>
        <v>Nao</v>
      </c>
      <c r="W199" s="27" t="str">
        <f aca="false">$A199&amp;"|"&amp;$B199&amp;"|"&amp;$C199</f>
        <v>3Tentos|Jun|Fibra</v>
      </c>
    </row>
    <row r="200" customFormat="false" ht="15" hidden="false" customHeight="false" outlineLevel="0" collapsed="false">
      <c r="A200" s="27" t="s">
        <v>44</v>
      </c>
      <c r="B200" s="27" t="s">
        <v>64</v>
      </c>
      <c r="C200" s="27" t="s">
        <v>109</v>
      </c>
      <c r="D200" s="34" t="n">
        <f aca="false">SUMIFS(Media_Cliente_Mes!$C$2:$C$145,Media_Cliente_Mes!$A$2:$A$145,$A200,Media_Cliente_Mes!$B$2:$B$145,$B200)</f>
        <v>49521.94</v>
      </c>
      <c r="E200" s="35" t="n">
        <f aca="false">IF($D200=0,"",IF($C200="Proteina",SUMIFS(Media_Cliente_Mes!$D$2:$D$145,Media_Cliente_Mes!$A$2:$A$145,$A200,Media_Cliente_Mes!$B$2:$B$145,$B200),IF($C200="Umidade",SUMIFS(Media_Cliente_Mes!$E$2:$E$145,Media_Cliente_Mes!$A$2:$A$145,$A200,Media_Cliente_Mes!$B$2:$B$145,$B200),SUMIFS(Media_Cliente_Mes!$F$2:$F$145,Media_Cliente_Mes!$A$2:$A$145,$A200,Media_Cliente_Mes!$B$2:$B$145,$B200))))</f>
        <v>47.709732193448</v>
      </c>
      <c r="F200" s="35" t="n">
        <f aca="false">INDEX(Parametros_ANEC73!$C$4:$C$6,MATCH($C200,Parametros_ANEC73!$A$4:$A$6,0))</f>
        <v>48</v>
      </c>
      <c r="G200" s="35" t="n">
        <f aca="false">IF($C200="Proteina",INDEX(Media_Pool_Mes!$C$2:$C$13,MATCH($B200,Media_Pool_Mes!$A$2:$A$13,0)),IF($C200="Umidade",INDEX(Media_Pool_Mes!$D$2:$D$13,MATCH($B200,Media_Pool_Mes!$A$2:$A$13,0)),INDEX(Media_Pool_Mes!$E$2:$E$13,MATCH($B200,Media_Pool_Mes!$A$2:$A$13,0))))</f>
        <v>47.6816680231132</v>
      </c>
      <c r="H200" s="37" t="n">
        <f aca="false">INDEX(Parametros_ANEC73!$B$4:$B$6,MATCH($C200,Parametros_ANEC73!$A$4:$A$6,0))</f>
        <v>-1</v>
      </c>
      <c r="I200" s="38" t="n">
        <f aca="false">IF(OR($D200=0,$G200=""),"",IF($H200*($G200-$F200)&gt;0,$G200,$F200))</f>
        <v>47.6816680231132</v>
      </c>
      <c r="J200" s="27" t="str">
        <f aca="false">IF(OR($D200=0,$G200=""),"",IF($H200*($G200-$F200)&gt;0,"Sim","Nao"))</f>
        <v>Sim</v>
      </c>
      <c r="K200" s="27" t="str">
        <f aca="false">IF(OR($D200=0,$G200=""),"",IF(AND($H200*($E200-$F200)&gt;0,$H200*($E200-$G200)&gt;0),"Sim","Nao"))</f>
        <v>Nao</v>
      </c>
      <c r="L200" s="38" t="n">
        <f aca="false">IF(OR($D200=0,$G200=""),0,IF($K200="Sim",MAX(0,$H200*($E200-$I200)),0))</f>
        <v>0</v>
      </c>
      <c r="M200" s="35" t="n">
        <f aca="false">INDEX(Parametros_ANEC73!$G$4:$G$6,MATCH($C200,Parametros_ANEC73!$A$4:$A$6,0))</f>
        <v>47</v>
      </c>
      <c r="N200" s="38" t="n">
        <f aca="false">IF(OR($D200=0,$G200=""),0,IF(AND($K200="Sim",$M200&lt;&gt;""),MAX(0,$H200*($E200-$M200)),0))</f>
        <v>0</v>
      </c>
      <c r="O200" s="35" t="n">
        <f aca="false">INDEX(Parametros_ANEC73!$J$4:$J$6,MATCH($C200,Parametros_ANEC73!$A$4:$A$6,0))</f>
        <v>0</v>
      </c>
      <c r="P200" s="38" t="n">
        <f aca="false">IF(OR($D200=0,$G200=""),0,IF(AND($K200="Sim",$O200&lt;&gt;""),MAX(0,$H200*($E200-$O200)),0))</f>
        <v>0</v>
      </c>
      <c r="Q200" s="35" t="n">
        <f aca="false">INDEX(Parametros_ANEC73!$F$4:$F$6,MATCH($C200,Parametros_ANEC73!$A$4:$A$6,0))</f>
        <v>1</v>
      </c>
      <c r="R200" s="35" t="n">
        <f aca="false">INDEX(Parametros_ANEC73!$I$4:$I$6,MATCH($C200,Parametros_ANEC73!$A$4:$A$6,0))</f>
        <v>2</v>
      </c>
      <c r="S200" s="35" t="n">
        <f aca="false">INDEX(Parametros_ANEC73!$L$4:$L$6,MATCH($C200,Parametros_ANEC73!$A$4:$A$6,0))</f>
        <v>0</v>
      </c>
      <c r="T200" s="39" t="n">
        <f aca="false">INDEX(Parametros_ANEC73!$B$14:$B$25,MATCH($B200,Parametros_ANEC73!$A$14:$A$25,0))</f>
        <v>326</v>
      </c>
      <c r="U200" s="40" t="n">
        <f aca="false">IF(OR($D200=0,$G200=""),0,$D200*($T200/100)*($L200*$Q200+$N200*(IF($R200="",$Q200,$R200)-$Q200)+$P200*(IF($S200="",IF($R200="",$Q200,$R200),$S200)-IF($R200="",$Q200,$R200))))</f>
        <v>0</v>
      </c>
      <c r="V200" s="41" t="str">
        <f aca="false">IF(OR($D200=0,$G200=""),"",IF($H200*($E200-INDEX(Parametros_ANEC73!$M$4:$M$6,MATCH($C200,Parametros_ANEC73!$A$4:$A$6,0)))&gt;0,"Sim","Nao"))</f>
        <v>Nao</v>
      </c>
      <c r="W200" s="27" t="str">
        <f aca="false">$A200&amp;"|"&amp;$B200&amp;"|"&amp;$C200</f>
        <v>3Tentos|Jul|Proteina</v>
      </c>
    </row>
    <row r="201" customFormat="false" ht="15" hidden="false" customHeight="false" outlineLevel="0" collapsed="false">
      <c r="A201" s="27" t="s">
        <v>44</v>
      </c>
      <c r="B201" s="27" t="s">
        <v>64</v>
      </c>
      <c r="C201" s="27" t="s">
        <v>110</v>
      </c>
      <c r="D201" s="34" t="n">
        <f aca="false">SUMIFS(Media_Cliente_Mes!$C$2:$C$145,Media_Cliente_Mes!$A$2:$A$145,$A201,Media_Cliente_Mes!$B$2:$B$145,$B201)</f>
        <v>49521.94</v>
      </c>
      <c r="E201" s="35" t="n">
        <f aca="false">IF($D201=0,"",IF($C201="Proteina",SUMIFS(Media_Cliente_Mes!$D$2:$D$145,Media_Cliente_Mes!$A$2:$A$145,$A201,Media_Cliente_Mes!$B$2:$B$145,$B201),IF($C201="Umidade",SUMIFS(Media_Cliente_Mes!$E$2:$E$145,Media_Cliente_Mes!$A$2:$A$145,$A201,Media_Cliente_Mes!$B$2:$B$145,$B201),SUMIFS(Media_Cliente_Mes!$F$2:$F$145,Media_Cliente_Mes!$A$2:$A$145,$A201,Media_Cliente_Mes!$B$2:$B$145,$B201))))</f>
        <v>12.239923759045</v>
      </c>
      <c r="F201" s="35" t="n">
        <f aca="false">INDEX(Parametros_ANEC73!$C$4:$C$6,MATCH($C201,Parametros_ANEC73!$A$4:$A$6,0))</f>
        <v>12.5</v>
      </c>
      <c r="G201" s="35" t="n">
        <f aca="false">IF($C201="Proteina",INDEX(Media_Pool_Mes!$C$2:$C$13,MATCH($B201,Media_Pool_Mes!$A$2:$A$13,0)),IF($C201="Umidade",INDEX(Media_Pool_Mes!$D$2:$D$13,MATCH($B201,Media_Pool_Mes!$A$2:$A$13,0)),INDEX(Media_Pool_Mes!$E$2:$E$13,MATCH($B201,Media_Pool_Mes!$A$2:$A$13,0))))</f>
        <v>12.2356489048309</v>
      </c>
      <c r="H201" s="37" t="n">
        <f aca="false">INDEX(Parametros_ANEC73!$B$4:$B$6,MATCH($C201,Parametros_ANEC73!$A$4:$A$6,0))</f>
        <v>1</v>
      </c>
      <c r="I201" s="38" t="n">
        <f aca="false">IF(OR($D201=0,$G201=""),"",IF($H201*($G201-$F201)&gt;0,$G201,$F201))</f>
        <v>12.5</v>
      </c>
      <c r="J201" s="27" t="str">
        <f aca="false">IF(OR($D201=0,$G201=""),"",IF($H201*($G201-$F201)&gt;0,"Sim","Nao"))</f>
        <v>Nao</v>
      </c>
      <c r="K201" s="27" t="str">
        <f aca="false">IF(OR($D201=0,$G201=""),"",IF(AND($H201*($E201-$F201)&gt;0,$H201*($E201-$G201)&gt;0),"Sim","Nao"))</f>
        <v>Nao</v>
      </c>
      <c r="L201" s="38" t="n">
        <f aca="false">IF(OR($D201=0,$G201=""),0,IF($K201="Sim",MAX(0,$H201*($E201-$I201)),0))</f>
        <v>0</v>
      </c>
      <c r="M201" s="35" t="n">
        <f aca="false">INDEX(Parametros_ANEC73!$G$4:$G$6,MATCH($C201,Parametros_ANEC73!$A$4:$A$6,0))</f>
        <v>0</v>
      </c>
      <c r="N201" s="38" t="n">
        <f aca="false">IF(OR($D201=0,$G201=""),0,IF(AND($K201="Sim",$M201&lt;&gt;""),MAX(0,$H201*($E201-$M201)),0))</f>
        <v>0</v>
      </c>
      <c r="O201" s="35" t="n">
        <f aca="false">INDEX(Parametros_ANEC73!$J$4:$J$6,MATCH($C201,Parametros_ANEC73!$A$4:$A$6,0))</f>
        <v>0</v>
      </c>
      <c r="P201" s="38" t="n">
        <f aca="false">IF(OR($D201=0,$G201=""),0,IF(AND($K201="Sim",$O201&lt;&gt;""),MAX(0,$H201*($E201-$O201)),0))</f>
        <v>0</v>
      </c>
      <c r="Q201" s="35" t="n">
        <f aca="false">INDEX(Parametros_ANEC73!$F$4:$F$6,MATCH($C201,Parametros_ANEC73!$A$4:$A$6,0))</f>
        <v>1</v>
      </c>
      <c r="R201" s="35" t="n">
        <f aca="false">INDEX(Parametros_ANEC73!$I$4:$I$6,MATCH($C201,Parametros_ANEC73!$A$4:$A$6,0))</f>
        <v>0</v>
      </c>
      <c r="S201" s="35" t="n">
        <f aca="false">INDEX(Parametros_ANEC73!$L$4:$L$6,MATCH($C201,Parametros_ANEC73!$A$4:$A$6,0))</f>
        <v>0</v>
      </c>
      <c r="T201" s="39" t="n">
        <f aca="false">INDEX(Parametros_ANEC73!$B$14:$B$25,MATCH($B201,Parametros_ANEC73!$A$14:$A$25,0))</f>
        <v>326</v>
      </c>
      <c r="U201" s="40" t="n">
        <f aca="false">IF(OR($D201=0,$G201=""),0,$D201*($T201/100)*($L201*$Q201+$N201*(IF($R201="",$Q201,$R201)-$Q201)+$P201*(IF($S201="",IF($R201="",$Q201,$R201),$S201)-IF($R201="",$Q201,$R201))))</f>
        <v>0</v>
      </c>
      <c r="V201" s="41" t="str">
        <f aca="false">IF(OR($D201=0,$G201=""),"",IF($H201*($E201-INDEX(Parametros_ANEC73!$M$4:$M$6,MATCH($C201,Parametros_ANEC73!$A$4:$A$6,0)))&gt;0,"Sim","Nao"))</f>
        <v>Nao</v>
      </c>
      <c r="W201" s="27" t="str">
        <f aca="false">$A201&amp;"|"&amp;$B201&amp;"|"&amp;$C201</f>
        <v>3Tentos|Jul|Umidade</v>
      </c>
    </row>
    <row r="202" customFormat="false" ht="15" hidden="false" customHeight="false" outlineLevel="0" collapsed="false">
      <c r="A202" s="27" t="s">
        <v>44</v>
      </c>
      <c r="B202" s="27" t="s">
        <v>64</v>
      </c>
      <c r="C202" s="27" t="s">
        <v>111</v>
      </c>
      <c r="D202" s="34" t="n">
        <f aca="false">SUMIFS(Media_Cliente_Mes!$C$2:$C$145,Media_Cliente_Mes!$A$2:$A$145,$A202,Media_Cliente_Mes!$B$2:$B$145,$B202)</f>
        <v>49521.94</v>
      </c>
      <c r="E202" s="35" t="n">
        <f aca="false">IF($D202=0,"",IF($C202="Proteina",SUMIFS(Media_Cliente_Mes!$D$2:$D$145,Media_Cliente_Mes!$A$2:$A$145,$A202,Media_Cliente_Mes!$B$2:$B$145,$B202),IF($C202="Umidade",SUMIFS(Media_Cliente_Mes!$E$2:$E$145,Media_Cliente_Mes!$A$2:$A$145,$A202,Media_Cliente_Mes!$B$2:$B$145,$B202),SUMIFS(Media_Cliente_Mes!$F$2:$F$145,Media_Cliente_Mes!$A$2:$A$145,$A202,Media_Cliente_Mes!$B$2:$B$145,$B202))))</f>
        <v>3.5944892344686</v>
      </c>
      <c r="F202" s="35" t="n">
        <f aca="false">INDEX(Parametros_ANEC73!$C$4:$C$6,MATCH($C202,Parametros_ANEC73!$A$4:$A$6,0))</f>
        <v>3.5</v>
      </c>
      <c r="G202" s="35" t="n">
        <f aca="false">IF($C202="Proteina",INDEX(Media_Pool_Mes!$C$2:$C$13,MATCH($B202,Media_Pool_Mes!$A$2:$A$13,0)),IF($C202="Umidade",INDEX(Media_Pool_Mes!$D$2:$D$13,MATCH($B202,Media_Pool_Mes!$A$2:$A$13,0)),INDEX(Media_Pool_Mes!$E$2:$E$13,MATCH($B202,Media_Pool_Mes!$A$2:$A$13,0))))</f>
        <v>3.48415625565953</v>
      </c>
      <c r="H202" s="37" t="n">
        <f aca="false">INDEX(Parametros_ANEC73!$B$4:$B$6,MATCH($C202,Parametros_ANEC73!$A$4:$A$6,0))</f>
        <v>1</v>
      </c>
      <c r="I202" s="38" t="n">
        <f aca="false">IF(OR($D202=0,$G202=""),"",IF($H202*($G202-$F202)&gt;0,$G202,$F202))</f>
        <v>3.5</v>
      </c>
      <c r="J202" s="27" t="str">
        <f aca="false">IF(OR($D202=0,$G202=""),"",IF($H202*($G202-$F202)&gt;0,"Sim","Nao"))</f>
        <v>Nao</v>
      </c>
      <c r="K202" s="27" t="str">
        <f aca="false">IF(OR($D202=0,$G202=""),"",IF(AND($H202*($E202-$F202)&gt;0,$H202*($E202-$G202)&gt;0),"Sim","Nao"))</f>
        <v>Sim</v>
      </c>
      <c r="L202" s="38" t="n">
        <f aca="false">IF(OR($D202=0,$G202=""),0,IF($K202="Sim",MAX(0,$H202*($E202-$I202)),0))</f>
        <v>0.0944892344686008</v>
      </c>
      <c r="M202" s="35" t="n">
        <f aca="false">INDEX(Parametros_ANEC73!$G$4:$G$6,MATCH($C202,Parametros_ANEC73!$A$4:$A$6,0))</f>
        <v>3.8</v>
      </c>
      <c r="N202" s="38" t="n">
        <f aca="false">IF(OR($D202=0,$G202=""),0,IF(AND($K202="Sim",$M202&lt;&gt;""),MAX(0,$H202*($E202-$M202)),0))</f>
        <v>0</v>
      </c>
      <c r="O202" s="35" t="n">
        <f aca="false">INDEX(Parametros_ANEC73!$J$4:$J$6,MATCH($C202,Parametros_ANEC73!$A$4:$A$6,0))</f>
        <v>4</v>
      </c>
      <c r="P202" s="38" t="n">
        <f aca="false">IF(OR($D202=0,$G202=""),0,IF(AND($K202="Sim",$O202&lt;&gt;""),MAX(0,$H202*($E202-$O202)),0))</f>
        <v>0</v>
      </c>
      <c r="Q202" s="35" t="n">
        <f aca="false">INDEX(Parametros_ANEC73!$F$4:$F$6,MATCH($C202,Parametros_ANEC73!$A$4:$A$6,0))</f>
        <v>1</v>
      </c>
      <c r="R202" s="35" t="n">
        <f aca="false">INDEX(Parametros_ANEC73!$I$4:$I$6,MATCH($C202,Parametros_ANEC73!$A$4:$A$6,0))</f>
        <v>1.5</v>
      </c>
      <c r="S202" s="35" t="n">
        <f aca="false">INDEX(Parametros_ANEC73!$L$4:$L$6,MATCH($C202,Parametros_ANEC73!$A$4:$A$6,0))</f>
        <v>2</v>
      </c>
      <c r="T202" s="39" t="n">
        <f aca="false">INDEX(Parametros_ANEC73!$B$14:$B$25,MATCH($B202,Parametros_ANEC73!$A$14:$A$25,0))</f>
        <v>326</v>
      </c>
      <c r="U202" s="40" t="n">
        <f aca="false">IF(OR($D202=0,$G202=""),0,$D202*($T202/100)*($L202*$Q202+$N202*(IF($R202="",$Q202,$R202)-$Q202)+$P202*(IF($S202="",IF($R202="",$Q202,$R202),$S202)-IF($R202="",$Q202,$R202))))</f>
        <v>15254.4860519999</v>
      </c>
      <c r="V202" s="41" t="str">
        <f aca="false">IF(OR($D202=0,$G202=""),"",IF($H202*($E202-INDEX(Parametros_ANEC73!$M$4:$M$6,MATCH($C202,Parametros_ANEC73!$A$4:$A$6,0)))&gt;0,"Sim","Nao"))</f>
        <v>Nao</v>
      </c>
      <c r="W202" s="27" t="str">
        <f aca="false">$A202&amp;"|"&amp;$B202&amp;"|"&amp;$C202</f>
        <v>3Tentos|Jul|Fibra</v>
      </c>
    </row>
    <row r="203" customFormat="false" ht="15" hidden="false" customHeight="false" outlineLevel="0" collapsed="false">
      <c r="A203" s="27" t="s">
        <v>44</v>
      </c>
      <c r="B203" s="27" t="s">
        <v>65</v>
      </c>
      <c r="C203" s="27" t="s">
        <v>109</v>
      </c>
      <c r="D203" s="34" t="n">
        <f aca="false">SUMIFS(Media_Cliente_Mes!$C$2:$C$145,Media_Cliente_Mes!$A$2:$A$145,$A203,Media_Cliente_Mes!$B$2:$B$145,$B203)</f>
        <v>47668.74</v>
      </c>
      <c r="E203" s="35" t="n">
        <f aca="false">IF($D203=0,"",IF($C203="Proteina",SUMIFS(Media_Cliente_Mes!$D$2:$D$145,Media_Cliente_Mes!$A$2:$A$145,$A203,Media_Cliente_Mes!$B$2:$B$145,$B203),IF($C203="Umidade",SUMIFS(Media_Cliente_Mes!$E$2:$E$145,Media_Cliente_Mes!$A$2:$A$145,$A203,Media_Cliente_Mes!$B$2:$B$145,$B203),SUMIFS(Media_Cliente_Mes!$F$2:$F$145,Media_Cliente_Mes!$A$2:$A$145,$A203,Media_Cliente_Mes!$B$2:$B$145,$B203))))</f>
        <v>47.1529461529715</v>
      </c>
      <c r="F203" s="35" t="n">
        <f aca="false">INDEX(Parametros_ANEC73!$C$4:$C$6,MATCH($C203,Parametros_ANEC73!$A$4:$A$6,0))</f>
        <v>48</v>
      </c>
      <c r="G203" s="35" t="n">
        <f aca="false">IF($C203="Proteina",INDEX(Media_Pool_Mes!$C$2:$C$13,MATCH($B203,Media_Pool_Mes!$A$2:$A$13,0)),IF($C203="Umidade",INDEX(Media_Pool_Mes!$D$2:$D$13,MATCH($B203,Media_Pool_Mes!$A$2:$A$13,0)),INDEX(Media_Pool_Mes!$E$2:$E$13,MATCH($B203,Media_Pool_Mes!$A$2:$A$13,0))))</f>
        <v>47.3199561197423</v>
      </c>
      <c r="H203" s="37" t="n">
        <f aca="false">INDEX(Parametros_ANEC73!$B$4:$B$6,MATCH($C203,Parametros_ANEC73!$A$4:$A$6,0))</f>
        <v>-1</v>
      </c>
      <c r="I203" s="38" t="n">
        <f aca="false">IF(OR($D203=0,$G203=""),"",IF($H203*($G203-$F203)&gt;0,$G203,$F203))</f>
        <v>47.3199561197423</v>
      </c>
      <c r="J203" s="27" t="str">
        <f aca="false">IF(OR($D203=0,$G203=""),"",IF($H203*($G203-$F203)&gt;0,"Sim","Nao"))</f>
        <v>Sim</v>
      </c>
      <c r="K203" s="27" t="str">
        <f aca="false">IF(OR($D203=0,$G203=""),"",IF(AND($H203*($E203-$F203)&gt;0,$H203*($E203-$G203)&gt;0),"Sim","Nao"))</f>
        <v>Sim</v>
      </c>
      <c r="L203" s="38" t="n">
        <f aca="false">IF(OR($D203=0,$G203=""),0,IF($K203="Sim",MAX(0,$H203*($E203-$I203)),0))</f>
        <v>0.167009966770749</v>
      </c>
      <c r="M203" s="35" t="n">
        <f aca="false">INDEX(Parametros_ANEC73!$G$4:$G$6,MATCH($C203,Parametros_ANEC73!$A$4:$A$6,0))</f>
        <v>47</v>
      </c>
      <c r="N203" s="38" t="n">
        <f aca="false">IF(OR($D203=0,$G203=""),0,IF(AND($K203="Sim",$M203&lt;&gt;""),MAX(0,$H203*($E203-$M203)),0))</f>
        <v>0</v>
      </c>
      <c r="O203" s="35" t="n">
        <f aca="false">INDEX(Parametros_ANEC73!$J$4:$J$6,MATCH($C203,Parametros_ANEC73!$A$4:$A$6,0))</f>
        <v>0</v>
      </c>
      <c r="P203" s="38" t="n">
        <f aca="false">IF(OR($D203=0,$G203=""),0,IF(AND($K203="Sim",$O203&lt;&gt;""),MAX(0,$H203*($E203-$O203)),0))</f>
        <v>0</v>
      </c>
      <c r="Q203" s="35" t="n">
        <f aca="false">INDEX(Parametros_ANEC73!$F$4:$F$6,MATCH($C203,Parametros_ANEC73!$A$4:$A$6,0))</f>
        <v>1</v>
      </c>
      <c r="R203" s="35" t="n">
        <f aca="false">INDEX(Parametros_ANEC73!$I$4:$I$6,MATCH($C203,Parametros_ANEC73!$A$4:$A$6,0))</f>
        <v>2</v>
      </c>
      <c r="S203" s="35" t="n">
        <f aca="false">INDEX(Parametros_ANEC73!$L$4:$L$6,MATCH($C203,Parametros_ANEC73!$A$4:$A$6,0))</f>
        <v>0</v>
      </c>
      <c r="T203" s="39" t="n">
        <f aca="false">INDEX(Parametros_ANEC73!$B$14:$B$25,MATCH($B203,Parametros_ANEC73!$A$14:$A$25,0))</f>
        <v>326</v>
      </c>
      <c r="U203" s="40" t="n">
        <f aca="false">IF(OR($D203=0,$G203=""),0,$D203*($T203/100)*($L203*$Q203+$N203*(IF($R203="",$Q203,$R203)-$Q203)+$P203*(IF($S203="",IF($R203="",$Q203,$R203),$S203)-IF($R203="",$Q203,$R203))))</f>
        <v>25953.3642678953</v>
      </c>
      <c r="V203" s="41" t="str">
        <f aca="false">IF(OR($D203=0,$G203=""),"",IF($H203*($E203-INDEX(Parametros_ANEC73!$M$4:$M$6,MATCH($C203,Parametros_ANEC73!$A$4:$A$6,0)))&gt;0,"Sim","Nao"))</f>
        <v>Nao</v>
      </c>
      <c r="W203" s="27" t="str">
        <f aca="false">$A203&amp;"|"&amp;$B203&amp;"|"&amp;$C203</f>
        <v>3Tentos|Ago|Proteina</v>
      </c>
    </row>
    <row r="204" customFormat="false" ht="15" hidden="false" customHeight="false" outlineLevel="0" collapsed="false">
      <c r="A204" s="27" t="s">
        <v>44</v>
      </c>
      <c r="B204" s="27" t="s">
        <v>65</v>
      </c>
      <c r="C204" s="27" t="s">
        <v>110</v>
      </c>
      <c r="D204" s="34" t="n">
        <f aca="false">SUMIFS(Media_Cliente_Mes!$C$2:$C$145,Media_Cliente_Mes!$A$2:$A$145,$A204,Media_Cliente_Mes!$B$2:$B$145,$B204)</f>
        <v>47668.74</v>
      </c>
      <c r="E204" s="35" t="n">
        <f aca="false">IF($D204=0,"",IF($C204="Proteina",SUMIFS(Media_Cliente_Mes!$D$2:$D$145,Media_Cliente_Mes!$A$2:$A$145,$A204,Media_Cliente_Mes!$B$2:$B$145,$B204),IF($C204="Umidade",SUMIFS(Media_Cliente_Mes!$E$2:$E$145,Media_Cliente_Mes!$A$2:$A$145,$A204,Media_Cliente_Mes!$B$2:$B$145,$B204),SUMIFS(Media_Cliente_Mes!$F$2:$F$145,Media_Cliente_Mes!$A$2:$A$145,$A204,Media_Cliente_Mes!$B$2:$B$145,$B204))))</f>
        <v>11.9345679453663</v>
      </c>
      <c r="F204" s="35" t="n">
        <f aca="false">INDEX(Parametros_ANEC73!$C$4:$C$6,MATCH($C204,Parametros_ANEC73!$A$4:$A$6,0))</f>
        <v>12.5</v>
      </c>
      <c r="G204" s="35" t="n">
        <f aca="false">IF($C204="Proteina",INDEX(Media_Pool_Mes!$C$2:$C$13,MATCH($B204,Media_Pool_Mes!$A$2:$A$13,0)),IF($C204="Umidade",INDEX(Media_Pool_Mes!$D$2:$D$13,MATCH($B204,Media_Pool_Mes!$A$2:$A$13,0)),INDEX(Media_Pool_Mes!$E$2:$E$13,MATCH($B204,Media_Pool_Mes!$A$2:$A$13,0))))</f>
        <v>12.2068387200965</v>
      </c>
      <c r="H204" s="37" t="n">
        <f aca="false">INDEX(Parametros_ANEC73!$B$4:$B$6,MATCH($C204,Parametros_ANEC73!$A$4:$A$6,0))</f>
        <v>1</v>
      </c>
      <c r="I204" s="38" t="n">
        <f aca="false">IF(OR($D204=0,$G204=""),"",IF($H204*($G204-$F204)&gt;0,$G204,$F204))</f>
        <v>12.5</v>
      </c>
      <c r="J204" s="27" t="str">
        <f aca="false">IF(OR($D204=0,$G204=""),"",IF($H204*($G204-$F204)&gt;0,"Sim","Nao"))</f>
        <v>Nao</v>
      </c>
      <c r="K204" s="27" t="str">
        <f aca="false">IF(OR($D204=0,$G204=""),"",IF(AND($H204*($E204-$F204)&gt;0,$H204*($E204-$G204)&gt;0),"Sim","Nao"))</f>
        <v>Nao</v>
      </c>
      <c r="L204" s="38" t="n">
        <f aca="false">IF(OR($D204=0,$G204=""),0,IF($K204="Sim",MAX(0,$H204*($E204-$I204)),0))</f>
        <v>0</v>
      </c>
      <c r="M204" s="35" t="n">
        <f aca="false">INDEX(Parametros_ANEC73!$G$4:$G$6,MATCH($C204,Parametros_ANEC73!$A$4:$A$6,0))</f>
        <v>0</v>
      </c>
      <c r="N204" s="38" t="n">
        <f aca="false">IF(OR($D204=0,$G204=""),0,IF(AND($K204="Sim",$M204&lt;&gt;""),MAX(0,$H204*($E204-$M204)),0))</f>
        <v>0</v>
      </c>
      <c r="O204" s="35" t="n">
        <f aca="false">INDEX(Parametros_ANEC73!$J$4:$J$6,MATCH($C204,Parametros_ANEC73!$A$4:$A$6,0))</f>
        <v>0</v>
      </c>
      <c r="P204" s="38" t="n">
        <f aca="false">IF(OR($D204=0,$G204=""),0,IF(AND($K204="Sim",$O204&lt;&gt;""),MAX(0,$H204*($E204-$O204)),0))</f>
        <v>0</v>
      </c>
      <c r="Q204" s="35" t="n">
        <f aca="false">INDEX(Parametros_ANEC73!$F$4:$F$6,MATCH($C204,Parametros_ANEC73!$A$4:$A$6,0))</f>
        <v>1</v>
      </c>
      <c r="R204" s="35" t="n">
        <f aca="false">INDEX(Parametros_ANEC73!$I$4:$I$6,MATCH($C204,Parametros_ANEC73!$A$4:$A$6,0))</f>
        <v>0</v>
      </c>
      <c r="S204" s="35" t="n">
        <f aca="false">INDEX(Parametros_ANEC73!$L$4:$L$6,MATCH($C204,Parametros_ANEC73!$A$4:$A$6,0))</f>
        <v>0</v>
      </c>
      <c r="T204" s="39" t="n">
        <f aca="false">INDEX(Parametros_ANEC73!$B$14:$B$25,MATCH($B204,Parametros_ANEC73!$A$14:$A$25,0))</f>
        <v>326</v>
      </c>
      <c r="U204" s="40" t="n">
        <f aca="false">IF(OR($D204=0,$G204=""),0,$D204*($T204/100)*($L204*$Q204+$N204*(IF($R204="",$Q204,$R204)-$Q204)+$P204*(IF($S204="",IF($R204="",$Q204,$R204),$S204)-IF($R204="",$Q204,$R204))))</f>
        <v>0</v>
      </c>
      <c r="V204" s="41" t="str">
        <f aca="false">IF(OR($D204=0,$G204=""),"",IF($H204*($E204-INDEX(Parametros_ANEC73!$M$4:$M$6,MATCH($C204,Parametros_ANEC73!$A$4:$A$6,0)))&gt;0,"Sim","Nao"))</f>
        <v>Nao</v>
      </c>
      <c r="W204" s="27" t="str">
        <f aca="false">$A204&amp;"|"&amp;$B204&amp;"|"&amp;$C204</f>
        <v>3Tentos|Ago|Umidade</v>
      </c>
    </row>
    <row r="205" customFormat="false" ht="15" hidden="false" customHeight="false" outlineLevel="0" collapsed="false">
      <c r="A205" s="27" t="s">
        <v>44</v>
      </c>
      <c r="B205" s="27" t="s">
        <v>65</v>
      </c>
      <c r="C205" s="27" t="s">
        <v>111</v>
      </c>
      <c r="D205" s="34" t="n">
        <f aca="false">SUMIFS(Media_Cliente_Mes!$C$2:$C$145,Media_Cliente_Mes!$A$2:$A$145,$A205,Media_Cliente_Mes!$B$2:$B$145,$B205)</f>
        <v>47668.74</v>
      </c>
      <c r="E205" s="35" t="n">
        <f aca="false">IF($D205=0,"",IF($C205="Proteina",SUMIFS(Media_Cliente_Mes!$D$2:$D$145,Media_Cliente_Mes!$A$2:$A$145,$A205,Media_Cliente_Mes!$B$2:$B$145,$B205),IF($C205="Umidade",SUMIFS(Media_Cliente_Mes!$E$2:$E$145,Media_Cliente_Mes!$A$2:$A$145,$A205,Media_Cliente_Mes!$B$2:$B$145,$B205),SUMIFS(Media_Cliente_Mes!$F$2:$F$145,Media_Cliente_Mes!$A$2:$A$145,$A205,Media_Cliente_Mes!$B$2:$B$145,$B205))))</f>
        <v>3.85339618374641</v>
      </c>
      <c r="F205" s="35" t="n">
        <f aca="false">INDEX(Parametros_ANEC73!$C$4:$C$6,MATCH($C205,Parametros_ANEC73!$A$4:$A$6,0))</f>
        <v>3.5</v>
      </c>
      <c r="G205" s="35" t="n">
        <f aca="false">IF($C205="Proteina",INDEX(Media_Pool_Mes!$C$2:$C$13,MATCH($B205,Media_Pool_Mes!$A$2:$A$13,0)),IF($C205="Umidade",INDEX(Media_Pool_Mes!$D$2:$D$13,MATCH($B205,Media_Pool_Mes!$A$2:$A$13,0)),INDEX(Media_Pool_Mes!$E$2:$E$13,MATCH($B205,Media_Pool_Mes!$A$2:$A$13,0))))</f>
        <v>3.7692688740906</v>
      </c>
      <c r="H205" s="37" t="n">
        <f aca="false">INDEX(Parametros_ANEC73!$B$4:$B$6,MATCH($C205,Parametros_ANEC73!$A$4:$A$6,0))</f>
        <v>1</v>
      </c>
      <c r="I205" s="38" t="n">
        <f aca="false">IF(OR($D205=0,$G205=""),"",IF($H205*($G205-$F205)&gt;0,$G205,$F205))</f>
        <v>3.7692688740906</v>
      </c>
      <c r="J205" s="27" t="str">
        <f aca="false">IF(OR($D205=0,$G205=""),"",IF($H205*($G205-$F205)&gt;0,"Sim","Nao"))</f>
        <v>Sim</v>
      </c>
      <c r="K205" s="27" t="str">
        <f aca="false">IF(OR($D205=0,$G205=""),"",IF(AND($H205*($E205-$F205)&gt;0,$H205*($E205-$G205)&gt;0),"Sim","Nao"))</f>
        <v>Sim</v>
      </c>
      <c r="L205" s="38" t="n">
        <f aca="false">IF(OR($D205=0,$G205=""),0,IF($K205="Sim",MAX(0,$H205*($E205-$I205)),0))</f>
        <v>0.0841273096558157</v>
      </c>
      <c r="M205" s="35" t="n">
        <f aca="false">INDEX(Parametros_ANEC73!$G$4:$G$6,MATCH($C205,Parametros_ANEC73!$A$4:$A$6,0))</f>
        <v>3.8</v>
      </c>
      <c r="N205" s="38" t="n">
        <f aca="false">IF(OR($D205=0,$G205=""),0,IF(AND($K205="Sim",$M205&lt;&gt;""),MAX(0,$H205*($E205-$M205)),0))</f>
        <v>0.0533961837464139</v>
      </c>
      <c r="O205" s="35" t="n">
        <f aca="false">INDEX(Parametros_ANEC73!$J$4:$J$6,MATCH($C205,Parametros_ANEC73!$A$4:$A$6,0))</f>
        <v>4</v>
      </c>
      <c r="P205" s="38" t="n">
        <f aca="false">IF(OR($D205=0,$G205=""),0,IF(AND($K205="Sim",$O205&lt;&gt;""),MAX(0,$H205*($E205-$O205)),0))</f>
        <v>0</v>
      </c>
      <c r="Q205" s="35" t="n">
        <f aca="false">INDEX(Parametros_ANEC73!$F$4:$F$6,MATCH($C205,Parametros_ANEC73!$A$4:$A$6,0))</f>
        <v>1</v>
      </c>
      <c r="R205" s="35" t="n">
        <f aca="false">INDEX(Parametros_ANEC73!$I$4:$I$6,MATCH($C205,Parametros_ANEC73!$A$4:$A$6,0))</f>
        <v>1.5</v>
      </c>
      <c r="S205" s="35" t="n">
        <f aca="false">INDEX(Parametros_ANEC73!$L$4:$L$6,MATCH($C205,Parametros_ANEC73!$A$4:$A$6,0))</f>
        <v>2</v>
      </c>
      <c r="T205" s="39" t="n">
        <f aca="false">INDEX(Parametros_ANEC73!$B$14:$B$25,MATCH($B205,Parametros_ANEC73!$A$14:$A$25,0))</f>
        <v>326</v>
      </c>
      <c r="U205" s="40" t="n">
        <f aca="false">IF(OR($D205=0,$G205=""),0,$D205*($T205/100)*($L205*$Q205+$N205*(IF($R205="",$Q205,$R205)-$Q205)+$P205*(IF($S205="",IF($R205="",$Q205,$R205),$S205)-IF($R205="",$Q205,$R205))))</f>
        <v>17222.2776378772</v>
      </c>
      <c r="V205" s="41" t="str">
        <f aca="false">IF(OR($D205=0,$G205=""),"",IF($H205*($E205-INDEX(Parametros_ANEC73!$M$4:$M$6,MATCH($C205,Parametros_ANEC73!$A$4:$A$6,0)))&gt;0,"Sim","Nao"))</f>
        <v>Nao</v>
      </c>
      <c r="W205" s="27" t="str">
        <f aca="false">$A205&amp;"|"&amp;$B205&amp;"|"&amp;$C205</f>
        <v>3Tentos|Ago|Fibra</v>
      </c>
    </row>
    <row r="206" customFormat="false" ht="15" hidden="false" customHeight="false" outlineLevel="0" collapsed="false">
      <c r="A206" s="27" t="s">
        <v>44</v>
      </c>
      <c r="B206" s="27" t="s">
        <v>66</v>
      </c>
      <c r="C206" s="27" t="s">
        <v>109</v>
      </c>
      <c r="D206" s="34" t="n">
        <f aca="false">SUMIFS(Media_Cliente_Mes!$C$2:$C$145,Media_Cliente_Mes!$A$2:$A$145,$A206,Media_Cliente_Mes!$B$2:$B$145,$B206)</f>
        <v>5121.78</v>
      </c>
      <c r="E206" s="35" t="n">
        <f aca="false">IF($D206=0,"",IF($C206="Proteina",SUMIFS(Media_Cliente_Mes!$D$2:$D$145,Media_Cliente_Mes!$A$2:$A$145,$A206,Media_Cliente_Mes!$B$2:$B$145,$B206),IF($C206="Umidade",SUMIFS(Media_Cliente_Mes!$E$2:$E$145,Media_Cliente_Mes!$A$2:$A$145,$A206,Media_Cliente_Mes!$B$2:$B$145,$B206),SUMIFS(Media_Cliente_Mes!$F$2:$F$145,Media_Cliente_Mes!$A$2:$A$145,$A206,Media_Cliente_Mes!$B$2:$B$145,$B206))))</f>
        <v>47.7855840742867</v>
      </c>
      <c r="F206" s="35" t="n">
        <f aca="false">INDEX(Parametros_ANEC73!$C$4:$C$6,MATCH($C206,Parametros_ANEC73!$A$4:$A$6,0))</f>
        <v>48</v>
      </c>
      <c r="G206" s="35" t="n">
        <f aca="false">IF($C206="Proteina",INDEX(Media_Pool_Mes!$C$2:$C$13,MATCH($B206,Media_Pool_Mes!$A$2:$A$13,0)),IF($C206="Umidade",INDEX(Media_Pool_Mes!$D$2:$D$13,MATCH($B206,Media_Pool_Mes!$A$2:$A$13,0)),INDEX(Media_Pool_Mes!$E$2:$E$13,MATCH($B206,Media_Pool_Mes!$A$2:$A$13,0))))</f>
        <v>47.5387514497333</v>
      </c>
      <c r="H206" s="37" t="n">
        <f aca="false">INDEX(Parametros_ANEC73!$B$4:$B$6,MATCH($C206,Parametros_ANEC73!$A$4:$A$6,0))</f>
        <v>-1</v>
      </c>
      <c r="I206" s="38" t="n">
        <f aca="false">IF(OR($D206=0,$G206=""),"",IF($H206*($G206-$F206)&gt;0,$G206,$F206))</f>
        <v>47.5387514497333</v>
      </c>
      <c r="J206" s="27" t="str">
        <f aca="false">IF(OR($D206=0,$G206=""),"",IF($H206*($G206-$F206)&gt;0,"Sim","Nao"))</f>
        <v>Sim</v>
      </c>
      <c r="K206" s="27" t="str">
        <f aca="false">IF(OR($D206=0,$G206=""),"",IF(AND($H206*($E206-$F206)&gt;0,$H206*($E206-$G206)&gt;0),"Sim","Nao"))</f>
        <v>Nao</v>
      </c>
      <c r="L206" s="38" t="n">
        <f aca="false">IF(OR($D206=0,$G206=""),0,IF($K206="Sim",MAX(0,$H206*($E206-$I206)),0))</f>
        <v>0</v>
      </c>
      <c r="M206" s="35" t="n">
        <f aca="false">INDEX(Parametros_ANEC73!$G$4:$G$6,MATCH($C206,Parametros_ANEC73!$A$4:$A$6,0))</f>
        <v>47</v>
      </c>
      <c r="N206" s="38" t="n">
        <f aca="false">IF(OR($D206=0,$G206=""),0,IF(AND($K206="Sim",$M206&lt;&gt;""),MAX(0,$H206*($E206-$M206)),0))</f>
        <v>0</v>
      </c>
      <c r="O206" s="35" t="n">
        <f aca="false">INDEX(Parametros_ANEC73!$J$4:$J$6,MATCH($C206,Parametros_ANEC73!$A$4:$A$6,0))</f>
        <v>0</v>
      </c>
      <c r="P206" s="38" t="n">
        <f aca="false">IF(OR($D206=0,$G206=""),0,IF(AND($K206="Sim",$O206&lt;&gt;""),MAX(0,$H206*($E206-$O206)),0))</f>
        <v>0</v>
      </c>
      <c r="Q206" s="35" t="n">
        <f aca="false">INDEX(Parametros_ANEC73!$F$4:$F$6,MATCH($C206,Parametros_ANEC73!$A$4:$A$6,0))</f>
        <v>1</v>
      </c>
      <c r="R206" s="35" t="n">
        <f aca="false">INDEX(Parametros_ANEC73!$I$4:$I$6,MATCH($C206,Parametros_ANEC73!$A$4:$A$6,0))</f>
        <v>2</v>
      </c>
      <c r="S206" s="35" t="n">
        <f aca="false">INDEX(Parametros_ANEC73!$L$4:$L$6,MATCH($C206,Parametros_ANEC73!$A$4:$A$6,0))</f>
        <v>0</v>
      </c>
      <c r="T206" s="39" t="n">
        <f aca="false">INDEX(Parametros_ANEC73!$B$14:$B$25,MATCH($B206,Parametros_ANEC73!$A$14:$A$25,0))</f>
        <v>326</v>
      </c>
      <c r="U206" s="40" t="n">
        <f aca="false">IF(OR($D206=0,$G206=""),0,$D206*($T206/100)*($L206*$Q206+$N206*(IF($R206="",$Q206,$R206)-$Q206)+$P206*(IF($S206="",IF($R206="",$Q206,$R206),$S206)-IF($R206="",$Q206,$R206))))</f>
        <v>0</v>
      </c>
      <c r="V206" s="41" t="str">
        <f aca="false">IF(OR($D206=0,$G206=""),"",IF($H206*($E206-INDEX(Parametros_ANEC73!$M$4:$M$6,MATCH($C206,Parametros_ANEC73!$A$4:$A$6,0)))&gt;0,"Sim","Nao"))</f>
        <v>Nao</v>
      </c>
      <c r="W206" s="27" t="str">
        <f aca="false">$A206&amp;"|"&amp;$B206&amp;"|"&amp;$C206</f>
        <v>3Tentos|Set|Proteina</v>
      </c>
    </row>
    <row r="207" customFormat="false" ht="15" hidden="false" customHeight="false" outlineLevel="0" collapsed="false">
      <c r="A207" s="27" t="s">
        <v>44</v>
      </c>
      <c r="B207" s="27" t="s">
        <v>66</v>
      </c>
      <c r="C207" s="27" t="s">
        <v>110</v>
      </c>
      <c r="D207" s="34" t="n">
        <f aca="false">SUMIFS(Media_Cliente_Mes!$C$2:$C$145,Media_Cliente_Mes!$A$2:$A$145,$A207,Media_Cliente_Mes!$B$2:$B$145,$B207)</f>
        <v>5121.78</v>
      </c>
      <c r="E207" s="35" t="n">
        <f aca="false">IF($D207=0,"",IF($C207="Proteina",SUMIFS(Media_Cliente_Mes!$D$2:$D$145,Media_Cliente_Mes!$A$2:$A$145,$A207,Media_Cliente_Mes!$B$2:$B$145,$B207),IF($C207="Umidade",SUMIFS(Media_Cliente_Mes!$E$2:$E$145,Media_Cliente_Mes!$A$2:$A$145,$A207,Media_Cliente_Mes!$B$2:$B$145,$B207),SUMIFS(Media_Cliente_Mes!$F$2:$F$145,Media_Cliente_Mes!$A$2:$A$145,$A207,Media_Cliente_Mes!$B$2:$B$145,$B207))))</f>
        <v>12.3737207962857</v>
      </c>
      <c r="F207" s="35" t="n">
        <f aca="false">INDEX(Parametros_ANEC73!$C$4:$C$6,MATCH($C207,Parametros_ANEC73!$A$4:$A$6,0))</f>
        <v>12.5</v>
      </c>
      <c r="G207" s="35" t="n">
        <f aca="false">IF($C207="Proteina",INDEX(Media_Pool_Mes!$C$2:$C$13,MATCH($B207,Media_Pool_Mes!$A$2:$A$13,0)),IF($C207="Umidade",INDEX(Media_Pool_Mes!$D$2:$D$13,MATCH($B207,Media_Pool_Mes!$A$2:$A$13,0)),INDEX(Media_Pool_Mes!$E$2:$E$13,MATCH($B207,Media_Pool_Mes!$A$2:$A$13,0))))</f>
        <v>12.4774576939468</v>
      </c>
      <c r="H207" s="37" t="n">
        <f aca="false">INDEX(Parametros_ANEC73!$B$4:$B$6,MATCH($C207,Parametros_ANEC73!$A$4:$A$6,0))</f>
        <v>1</v>
      </c>
      <c r="I207" s="38" t="n">
        <f aca="false">IF(OR($D207=0,$G207=""),"",IF($H207*($G207-$F207)&gt;0,$G207,$F207))</f>
        <v>12.5</v>
      </c>
      <c r="J207" s="27" t="str">
        <f aca="false">IF(OR($D207=0,$G207=""),"",IF($H207*($G207-$F207)&gt;0,"Sim","Nao"))</f>
        <v>Nao</v>
      </c>
      <c r="K207" s="27" t="str">
        <f aca="false">IF(OR($D207=0,$G207=""),"",IF(AND($H207*($E207-$F207)&gt;0,$H207*($E207-$G207)&gt;0),"Sim","Nao"))</f>
        <v>Nao</v>
      </c>
      <c r="L207" s="38" t="n">
        <f aca="false">IF(OR($D207=0,$G207=""),0,IF($K207="Sim",MAX(0,$H207*($E207-$I207)),0))</f>
        <v>0</v>
      </c>
      <c r="M207" s="35" t="n">
        <f aca="false">INDEX(Parametros_ANEC73!$G$4:$G$6,MATCH($C207,Parametros_ANEC73!$A$4:$A$6,0))</f>
        <v>0</v>
      </c>
      <c r="N207" s="38" t="n">
        <f aca="false">IF(OR($D207=0,$G207=""),0,IF(AND($K207="Sim",$M207&lt;&gt;""),MAX(0,$H207*($E207-$M207)),0))</f>
        <v>0</v>
      </c>
      <c r="O207" s="35" t="n">
        <f aca="false">INDEX(Parametros_ANEC73!$J$4:$J$6,MATCH($C207,Parametros_ANEC73!$A$4:$A$6,0))</f>
        <v>0</v>
      </c>
      <c r="P207" s="38" t="n">
        <f aca="false">IF(OR($D207=0,$G207=""),0,IF(AND($K207="Sim",$O207&lt;&gt;""),MAX(0,$H207*($E207-$O207)),0))</f>
        <v>0</v>
      </c>
      <c r="Q207" s="35" t="n">
        <f aca="false">INDEX(Parametros_ANEC73!$F$4:$F$6,MATCH($C207,Parametros_ANEC73!$A$4:$A$6,0))</f>
        <v>1</v>
      </c>
      <c r="R207" s="35" t="n">
        <f aca="false">INDEX(Parametros_ANEC73!$I$4:$I$6,MATCH($C207,Parametros_ANEC73!$A$4:$A$6,0))</f>
        <v>0</v>
      </c>
      <c r="S207" s="35" t="n">
        <f aca="false">INDEX(Parametros_ANEC73!$L$4:$L$6,MATCH($C207,Parametros_ANEC73!$A$4:$A$6,0))</f>
        <v>0</v>
      </c>
      <c r="T207" s="39" t="n">
        <f aca="false">INDEX(Parametros_ANEC73!$B$14:$B$25,MATCH($B207,Parametros_ANEC73!$A$14:$A$25,0))</f>
        <v>326</v>
      </c>
      <c r="U207" s="40" t="n">
        <f aca="false">IF(OR($D207=0,$G207=""),0,$D207*($T207/100)*($L207*$Q207+$N207*(IF($R207="",$Q207,$R207)-$Q207)+$P207*(IF($S207="",IF($R207="",$Q207,$R207),$S207)-IF($R207="",$Q207,$R207))))</f>
        <v>0</v>
      </c>
      <c r="V207" s="41" t="str">
        <f aca="false">IF(OR($D207=0,$G207=""),"",IF($H207*($E207-INDEX(Parametros_ANEC73!$M$4:$M$6,MATCH($C207,Parametros_ANEC73!$A$4:$A$6,0)))&gt;0,"Sim","Nao"))</f>
        <v>Nao</v>
      </c>
      <c r="W207" s="27" t="str">
        <f aca="false">$A207&amp;"|"&amp;$B207&amp;"|"&amp;$C207</f>
        <v>3Tentos|Set|Umidade</v>
      </c>
    </row>
    <row r="208" customFormat="false" ht="15" hidden="false" customHeight="false" outlineLevel="0" collapsed="false">
      <c r="A208" s="27" t="s">
        <v>44</v>
      </c>
      <c r="B208" s="27" t="s">
        <v>66</v>
      </c>
      <c r="C208" s="27" t="s">
        <v>111</v>
      </c>
      <c r="D208" s="34" t="n">
        <f aca="false">SUMIFS(Media_Cliente_Mes!$C$2:$C$145,Media_Cliente_Mes!$A$2:$A$145,$A208,Media_Cliente_Mes!$B$2:$B$145,$B208)</f>
        <v>5121.78</v>
      </c>
      <c r="E208" s="35" t="n">
        <f aca="false">IF($D208=0,"",IF($C208="Proteina",SUMIFS(Media_Cliente_Mes!$D$2:$D$145,Media_Cliente_Mes!$A$2:$A$145,$A208,Media_Cliente_Mes!$B$2:$B$145,$B208),IF($C208="Umidade",SUMIFS(Media_Cliente_Mes!$E$2:$E$145,Media_Cliente_Mes!$A$2:$A$145,$A208,Media_Cliente_Mes!$B$2:$B$145,$B208),SUMIFS(Media_Cliente_Mes!$F$2:$F$145,Media_Cliente_Mes!$A$2:$A$145,$A208,Media_Cliente_Mes!$B$2:$B$145,$B208))))</f>
        <v>3.68953274057066</v>
      </c>
      <c r="F208" s="35" t="n">
        <f aca="false">INDEX(Parametros_ANEC73!$C$4:$C$6,MATCH($C208,Parametros_ANEC73!$A$4:$A$6,0))</f>
        <v>3.5</v>
      </c>
      <c r="G208" s="35" t="n">
        <f aca="false">IF($C208="Proteina",INDEX(Media_Pool_Mes!$C$2:$C$13,MATCH($B208,Media_Pool_Mes!$A$2:$A$13,0)),IF($C208="Umidade",INDEX(Media_Pool_Mes!$D$2:$D$13,MATCH($B208,Media_Pool_Mes!$A$2:$A$13,0)),INDEX(Media_Pool_Mes!$E$2:$E$13,MATCH($B208,Media_Pool_Mes!$A$2:$A$13,0))))</f>
        <v>3.7061372169236</v>
      </c>
      <c r="H208" s="37" t="n">
        <f aca="false">INDEX(Parametros_ANEC73!$B$4:$B$6,MATCH($C208,Parametros_ANEC73!$A$4:$A$6,0))</f>
        <v>1</v>
      </c>
      <c r="I208" s="38" t="n">
        <f aca="false">IF(OR($D208=0,$G208=""),"",IF($H208*($G208-$F208)&gt;0,$G208,$F208))</f>
        <v>3.7061372169236</v>
      </c>
      <c r="J208" s="27" t="str">
        <f aca="false">IF(OR($D208=0,$G208=""),"",IF($H208*($G208-$F208)&gt;0,"Sim","Nao"))</f>
        <v>Sim</v>
      </c>
      <c r="K208" s="27" t="str">
        <f aca="false">IF(OR($D208=0,$G208=""),"",IF(AND($H208*($E208-$F208)&gt;0,$H208*($E208-$G208)&gt;0),"Sim","Nao"))</f>
        <v>Nao</v>
      </c>
      <c r="L208" s="38" t="n">
        <f aca="false">IF(OR($D208=0,$G208=""),0,IF($K208="Sim",MAX(0,$H208*($E208-$I208)),0))</f>
        <v>0</v>
      </c>
      <c r="M208" s="35" t="n">
        <f aca="false">INDEX(Parametros_ANEC73!$G$4:$G$6,MATCH($C208,Parametros_ANEC73!$A$4:$A$6,0))</f>
        <v>3.8</v>
      </c>
      <c r="N208" s="38" t="n">
        <f aca="false">IF(OR($D208=0,$G208=""),0,IF(AND($K208="Sim",$M208&lt;&gt;""),MAX(0,$H208*($E208-$M208)),0))</f>
        <v>0</v>
      </c>
      <c r="O208" s="35" t="n">
        <f aca="false">INDEX(Parametros_ANEC73!$J$4:$J$6,MATCH($C208,Parametros_ANEC73!$A$4:$A$6,0))</f>
        <v>4</v>
      </c>
      <c r="P208" s="38" t="n">
        <f aca="false">IF(OR($D208=0,$G208=""),0,IF(AND($K208="Sim",$O208&lt;&gt;""),MAX(0,$H208*($E208-$O208)),0))</f>
        <v>0</v>
      </c>
      <c r="Q208" s="35" t="n">
        <f aca="false">INDEX(Parametros_ANEC73!$F$4:$F$6,MATCH($C208,Parametros_ANEC73!$A$4:$A$6,0))</f>
        <v>1</v>
      </c>
      <c r="R208" s="35" t="n">
        <f aca="false">INDEX(Parametros_ANEC73!$I$4:$I$6,MATCH($C208,Parametros_ANEC73!$A$4:$A$6,0))</f>
        <v>1.5</v>
      </c>
      <c r="S208" s="35" t="n">
        <f aca="false">INDEX(Parametros_ANEC73!$L$4:$L$6,MATCH($C208,Parametros_ANEC73!$A$4:$A$6,0))</f>
        <v>2</v>
      </c>
      <c r="T208" s="39" t="n">
        <f aca="false">INDEX(Parametros_ANEC73!$B$14:$B$25,MATCH($B208,Parametros_ANEC73!$A$14:$A$25,0))</f>
        <v>326</v>
      </c>
      <c r="U208" s="40" t="n">
        <f aca="false">IF(OR($D208=0,$G208=""),0,$D208*($T208/100)*($L208*$Q208+$N208*(IF($R208="",$Q208,$R208)-$Q208)+$P208*(IF($S208="",IF($R208="",$Q208,$R208),$S208)-IF($R208="",$Q208,$R208))))</f>
        <v>0</v>
      </c>
      <c r="V208" s="41" t="str">
        <f aca="false">IF(OR($D208=0,$G208=""),"",IF($H208*($E208-INDEX(Parametros_ANEC73!$M$4:$M$6,MATCH($C208,Parametros_ANEC73!$A$4:$A$6,0)))&gt;0,"Sim","Nao"))</f>
        <v>Nao</v>
      </c>
      <c r="W208" s="27" t="str">
        <f aca="false">$A208&amp;"|"&amp;$B208&amp;"|"&amp;$C208</f>
        <v>3Tentos|Set|Fibra</v>
      </c>
    </row>
    <row r="209" customFormat="false" ht="15" hidden="false" customHeight="false" outlineLevel="0" collapsed="false">
      <c r="A209" s="27" t="s">
        <v>44</v>
      </c>
      <c r="B209" s="27" t="s">
        <v>67</v>
      </c>
      <c r="C209" s="27" t="s">
        <v>109</v>
      </c>
      <c r="D209" s="34" t="n">
        <f aca="false">SUMIFS(Media_Cliente_Mes!$C$2:$C$145,Media_Cliente_Mes!$A$2:$A$145,$A209,Media_Cliente_Mes!$B$2:$B$145,$B209)</f>
        <v>0</v>
      </c>
      <c r="E209" s="35" t="str">
        <f aca="false">IF($D209=0,"",IF($C209="Proteina",SUMIFS(Media_Cliente_Mes!$D$2:$D$145,Media_Cliente_Mes!$A$2:$A$145,$A209,Media_Cliente_Mes!$B$2:$B$145,$B209),IF($C209="Umidade",SUMIFS(Media_Cliente_Mes!$E$2:$E$145,Media_Cliente_Mes!$A$2:$A$145,$A209,Media_Cliente_Mes!$B$2:$B$145,$B209),SUMIFS(Media_Cliente_Mes!$F$2:$F$145,Media_Cliente_Mes!$A$2:$A$145,$A209,Media_Cliente_Mes!$B$2:$B$145,$B209))))</f>
        <v/>
      </c>
      <c r="F209" s="35" t="n">
        <f aca="false">INDEX(Parametros_ANEC73!$C$4:$C$6,MATCH($C209,Parametros_ANEC73!$A$4:$A$6,0))</f>
        <v>48</v>
      </c>
      <c r="G209" s="35" t="str">
        <f aca="false">IF($C209="Proteina",INDEX(Media_Pool_Mes!$C$2:$C$13,MATCH($B209,Media_Pool_Mes!$A$2:$A$13,0)),IF($C209="Umidade",INDEX(Media_Pool_Mes!$D$2:$D$13,MATCH($B209,Media_Pool_Mes!$A$2:$A$13,0)),INDEX(Media_Pool_Mes!$E$2:$E$13,MATCH($B209,Media_Pool_Mes!$A$2:$A$13,0))))</f>
        <v/>
      </c>
      <c r="H209" s="37" t="n">
        <f aca="false">INDEX(Parametros_ANEC73!$B$4:$B$6,MATCH($C209,Parametros_ANEC73!$A$4:$A$6,0))</f>
        <v>-1</v>
      </c>
      <c r="I209" s="38" t="str">
        <f aca="false">IF(OR($D209=0,$G209=""),"",IF($H209*($G209-$F209)&gt;0,$G209,$F209))</f>
        <v/>
      </c>
      <c r="J209" s="27" t="str">
        <f aca="false">IF(OR($D209=0,$G209=""),"",IF($H209*($G209-$F209)&gt;0,"Sim","Nao"))</f>
        <v/>
      </c>
      <c r="K209" s="27" t="str">
        <f aca="false">IF(OR($D209=0,$G209=""),"",IF(AND($H209*($E209-$F209)&gt;0,$H209*($E209-$G209)&gt;0),"Sim","Nao"))</f>
        <v/>
      </c>
      <c r="L209" s="38" t="n">
        <f aca="false">IF(OR($D209=0,$G209=""),0,IF($K209="Sim",MAX(0,$H209*($E209-$I209)),0))</f>
        <v>0</v>
      </c>
      <c r="M209" s="35" t="n">
        <f aca="false">INDEX(Parametros_ANEC73!$G$4:$G$6,MATCH($C209,Parametros_ANEC73!$A$4:$A$6,0))</f>
        <v>47</v>
      </c>
      <c r="N209" s="38" t="n">
        <f aca="false">IF(OR($D209=0,$G209=""),0,IF(AND($K209="Sim",$M209&lt;&gt;""),MAX(0,$H209*($E209-$M209)),0))</f>
        <v>0</v>
      </c>
      <c r="O209" s="35" t="n">
        <f aca="false">INDEX(Parametros_ANEC73!$J$4:$J$6,MATCH($C209,Parametros_ANEC73!$A$4:$A$6,0))</f>
        <v>0</v>
      </c>
      <c r="P209" s="38" t="n">
        <f aca="false">IF(OR($D209=0,$G209=""),0,IF(AND($K209="Sim",$O209&lt;&gt;""),MAX(0,$H209*($E209-$O209)),0))</f>
        <v>0</v>
      </c>
      <c r="Q209" s="35" t="n">
        <f aca="false">INDEX(Parametros_ANEC73!$F$4:$F$6,MATCH($C209,Parametros_ANEC73!$A$4:$A$6,0))</f>
        <v>1</v>
      </c>
      <c r="R209" s="35" t="n">
        <f aca="false">INDEX(Parametros_ANEC73!$I$4:$I$6,MATCH($C209,Parametros_ANEC73!$A$4:$A$6,0))</f>
        <v>2</v>
      </c>
      <c r="S209" s="35" t="n">
        <f aca="false">INDEX(Parametros_ANEC73!$L$4:$L$6,MATCH($C209,Parametros_ANEC73!$A$4:$A$6,0))</f>
        <v>0</v>
      </c>
      <c r="T209" s="39" t="n">
        <f aca="false">INDEX(Parametros_ANEC73!$B$14:$B$25,MATCH($B209,Parametros_ANEC73!$A$14:$A$25,0))</f>
        <v>0</v>
      </c>
      <c r="U209" s="40" t="n">
        <f aca="false">IF(OR($D209=0,$G209=""),0,$D209*($T209/100)*($L209*$Q209+$N209*(IF($R209="",$Q209,$R209)-$Q209)+$P209*(IF($S209="",IF($R209="",$Q209,$R209),$S209)-IF($R209="",$Q209,$R209))))</f>
        <v>0</v>
      </c>
      <c r="V209" s="41" t="str">
        <f aca="false">IF(OR($D209=0,$G209=""),"",IF($H209*($E209-INDEX(Parametros_ANEC73!$M$4:$M$6,MATCH($C209,Parametros_ANEC73!$A$4:$A$6,0)))&gt;0,"Sim","Nao"))</f>
        <v/>
      </c>
      <c r="W209" s="27" t="str">
        <f aca="false">$A209&amp;"|"&amp;$B209&amp;"|"&amp;$C209</f>
        <v>3Tentos|Out|Proteina</v>
      </c>
    </row>
    <row r="210" customFormat="false" ht="15" hidden="false" customHeight="false" outlineLevel="0" collapsed="false">
      <c r="A210" s="27" t="s">
        <v>44</v>
      </c>
      <c r="B210" s="27" t="s">
        <v>67</v>
      </c>
      <c r="C210" s="27" t="s">
        <v>110</v>
      </c>
      <c r="D210" s="34" t="n">
        <f aca="false">SUMIFS(Media_Cliente_Mes!$C$2:$C$145,Media_Cliente_Mes!$A$2:$A$145,$A210,Media_Cliente_Mes!$B$2:$B$145,$B210)</f>
        <v>0</v>
      </c>
      <c r="E210" s="35" t="str">
        <f aca="false">IF($D210=0,"",IF($C210="Proteina",SUMIFS(Media_Cliente_Mes!$D$2:$D$145,Media_Cliente_Mes!$A$2:$A$145,$A210,Media_Cliente_Mes!$B$2:$B$145,$B210),IF($C210="Umidade",SUMIFS(Media_Cliente_Mes!$E$2:$E$145,Media_Cliente_Mes!$A$2:$A$145,$A210,Media_Cliente_Mes!$B$2:$B$145,$B210),SUMIFS(Media_Cliente_Mes!$F$2:$F$145,Media_Cliente_Mes!$A$2:$A$145,$A210,Media_Cliente_Mes!$B$2:$B$145,$B210))))</f>
        <v/>
      </c>
      <c r="F210" s="35" t="n">
        <f aca="false">INDEX(Parametros_ANEC73!$C$4:$C$6,MATCH($C210,Parametros_ANEC73!$A$4:$A$6,0))</f>
        <v>12.5</v>
      </c>
      <c r="G210" s="35" t="str">
        <f aca="false">IF($C210="Proteina",INDEX(Media_Pool_Mes!$C$2:$C$13,MATCH($B210,Media_Pool_Mes!$A$2:$A$13,0)),IF($C210="Umidade",INDEX(Media_Pool_Mes!$D$2:$D$13,MATCH($B210,Media_Pool_Mes!$A$2:$A$13,0)),INDEX(Media_Pool_Mes!$E$2:$E$13,MATCH($B210,Media_Pool_Mes!$A$2:$A$13,0))))</f>
        <v/>
      </c>
      <c r="H210" s="37" t="n">
        <f aca="false">INDEX(Parametros_ANEC73!$B$4:$B$6,MATCH($C210,Parametros_ANEC73!$A$4:$A$6,0))</f>
        <v>1</v>
      </c>
      <c r="I210" s="38" t="str">
        <f aca="false">IF(OR($D210=0,$G210=""),"",IF($H210*($G210-$F210)&gt;0,$G210,$F210))</f>
        <v/>
      </c>
      <c r="J210" s="27" t="str">
        <f aca="false">IF(OR($D210=0,$G210=""),"",IF($H210*($G210-$F210)&gt;0,"Sim","Nao"))</f>
        <v/>
      </c>
      <c r="K210" s="27" t="str">
        <f aca="false">IF(OR($D210=0,$G210=""),"",IF(AND($H210*($E210-$F210)&gt;0,$H210*($E210-$G210)&gt;0),"Sim","Nao"))</f>
        <v/>
      </c>
      <c r="L210" s="38" t="n">
        <f aca="false">IF(OR($D210=0,$G210=""),0,IF($K210="Sim",MAX(0,$H210*($E210-$I210)),0))</f>
        <v>0</v>
      </c>
      <c r="M210" s="35" t="n">
        <f aca="false">INDEX(Parametros_ANEC73!$G$4:$G$6,MATCH($C210,Parametros_ANEC73!$A$4:$A$6,0))</f>
        <v>0</v>
      </c>
      <c r="N210" s="38" t="n">
        <f aca="false">IF(OR($D210=0,$G210=""),0,IF(AND($K210="Sim",$M210&lt;&gt;""),MAX(0,$H210*($E210-$M210)),0))</f>
        <v>0</v>
      </c>
      <c r="O210" s="35" t="n">
        <f aca="false">INDEX(Parametros_ANEC73!$J$4:$J$6,MATCH($C210,Parametros_ANEC73!$A$4:$A$6,0))</f>
        <v>0</v>
      </c>
      <c r="P210" s="38" t="n">
        <f aca="false">IF(OR($D210=0,$G210=""),0,IF(AND($K210="Sim",$O210&lt;&gt;""),MAX(0,$H210*($E210-$O210)),0))</f>
        <v>0</v>
      </c>
      <c r="Q210" s="35" t="n">
        <f aca="false">INDEX(Parametros_ANEC73!$F$4:$F$6,MATCH($C210,Parametros_ANEC73!$A$4:$A$6,0))</f>
        <v>1</v>
      </c>
      <c r="R210" s="35" t="n">
        <f aca="false">INDEX(Parametros_ANEC73!$I$4:$I$6,MATCH($C210,Parametros_ANEC73!$A$4:$A$6,0))</f>
        <v>0</v>
      </c>
      <c r="S210" s="35" t="n">
        <f aca="false">INDEX(Parametros_ANEC73!$L$4:$L$6,MATCH($C210,Parametros_ANEC73!$A$4:$A$6,0))</f>
        <v>0</v>
      </c>
      <c r="T210" s="39" t="n">
        <f aca="false">INDEX(Parametros_ANEC73!$B$14:$B$25,MATCH($B210,Parametros_ANEC73!$A$14:$A$25,0))</f>
        <v>0</v>
      </c>
      <c r="U210" s="40" t="n">
        <f aca="false">IF(OR($D210=0,$G210=""),0,$D210*($T210/100)*($L210*$Q210+$N210*(IF($R210="",$Q210,$R210)-$Q210)+$P210*(IF($S210="",IF($R210="",$Q210,$R210),$S210)-IF($R210="",$Q210,$R210))))</f>
        <v>0</v>
      </c>
      <c r="V210" s="41" t="str">
        <f aca="false">IF(OR($D210=0,$G210=""),"",IF($H210*($E210-INDEX(Parametros_ANEC73!$M$4:$M$6,MATCH($C210,Parametros_ANEC73!$A$4:$A$6,0)))&gt;0,"Sim","Nao"))</f>
        <v/>
      </c>
      <c r="W210" s="27" t="str">
        <f aca="false">$A210&amp;"|"&amp;$B210&amp;"|"&amp;$C210</f>
        <v>3Tentos|Out|Umidade</v>
      </c>
    </row>
    <row r="211" customFormat="false" ht="15" hidden="false" customHeight="false" outlineLevel="0" collapsed="false">
      <c r="A211" s="27" t="s">
        <v>44</v>
      </c>
      <c r="B211" s="27" t="s">
        <v>67</v>
      </c>
      <c r="C211" s="27" t="s">
        <v>111</v>
      </c>
      <c r="D211" s="34" t="n">
        <f aca="false">SUMIFS(Media_Cliente_Mes!$C$2:$C$145,Media_Cliente_Mes!$A$2:$A$145,$A211,Media_Cliente_Mes!$B$2:$B$145,$B211)</f>
        <v>0</v>
      </c>
      <c r="E211" s="35" t="str">
        <f aca="false">IF($D211=0,"",IF($C211="Proteina",SUMIFS(Media_Cliente_Mes!$D$2:$D$145,Media_Cliente_Mes!$A$2:$A$145,$A211,Media_Cliente_Mes!$B$2:$B$145,$B211),IF($C211="Umidade",SUMIFS(Media_Cliente_Mes!$E$2:$E$145,Media_Cliente_Mes!$A$2:$A$145,$A211,Media_Cliente_Mes!$B$2:$B$145,$B211),SUMIFS(Media_Cliente_Mes!$F$2:$F$145,Media_Cliente_Mes!$A$2:$A$145,$A211,Media_Cliente_Mes!$B$2:$B$145,$B211))))</f>
        <v/>
      </c>
      <c r="F211" s="35" t="n">
        <f aca="false">INDEX(Parametros_ANEC73!$C$4:$C$6,MATCH($C211,Parametros_ANEC73!$A$4:$A$6,0))</f>
        <v>3.5</v>
      </c>
      <c r="G211" s="35" t="str">
        <f aca="false">IF($C211="Proteina",INDEX(Media_Pool_Mes!$C$2:$C$13,MATCH($B211,Media_Pool_Mes!$A$2:$A$13,0)),IF($C211="Umidade",INDEX(Media_Pool_Mes!$D$2:$D$13,MATCH($B211,Media_Pool_Mes!$A$2:$A$13,0)),INDEX(Media_Pool_Mes!$E$2:$E$13,MATCH($B211,Media_Pool_Mes!$A$2:$A$13,0))))</f>
        <v/>
      </c>
      <c r="H211" s="37" t="n">
        <f aca="false">INDEX(Parametros_ANEC73!$B$4:$B$6,MATCH($C211,Parametros_ANEC73!$A$4:$A$6,0))</f>
        <v>1</v>
      </c>
      <c r="I211" s="38" t="str">
        <f aca="false">IF(OR($D211=0,$G211=""),"",IF($H211*($G211-$F211)&gt;0,$G211,$F211))</f>
        <v/>
      </c>
      <c r="J211" s="27" t="str">
        <f aca="false">IF(OR($D211=0,$G211=""),"",IF($H211*($G211-$F211)&gt;0,"Sim","Nao"))</f>
        <v/>
      </c>
      <c r="K211" s="27" t="str">
        <f aca="false">IF(OR($D211=0,$G211=""),"",IF(AND($H211*($E211-$F211)&gt;0,$H211*($E211-$G211)&gt;0),"Sim","Nao"))</f>
        <v/>
      </c>
      <c r="L211" s="38" t="n">
        <f aca="false">IF(OR($D211=0,$G211=""),0,IF($K211="Sim",MAX(0,$H211*($E211-$I211)),0))</f>
        <v>0</v>
      </c>
      <c r="M211" s="35" t="n">
        <f aca="false">INDEX(Parametros_ANEC73!$G$4:$G$6,MATCH($C211,Parametros_ANEC73!$A$4:$A$6,0))</f>
        <v>3.8</v>
      </c>
      <c r="N211" s="38" t="n">
        <f aca="false">IF(OR($D211=0,$G211=""),0,IF(AND($K211="Sim",$M211&lt;&gt;""),MAX(0,$H211*($E211-$M211)),0))</f>
        <v>0</v>
      </c>
      <c r="O211" s="35" t="n">
        <f aca="false">INDEX(Parametros_ANEC73!$J$4:$J$6,MATCH($C211,Parametros_ANEC73!$A$4:$A$6,0))</f>
        <v>4</v>
      </c>
      <c r="P211" s="38" t="n">
        <f aca="false">IF(OR($D211=0,$G211=""),0,IF(AND($K211="Sim",$O211&lt;&gt;""),MAX(0,$H211*($E211-$O211)),0))</f>
        <v>0</v>
      </c>
      <c r="Q211" s="35" t="n">
        <f aca="false">INDEX(Parametros_ANEC73!$F$4:$F$6,MATCH($C211,Parametros_ANEC73!$A$4:$A$6,0))</f>
        <v>1</v>
      </c>
      <c r="R211" s="35" t="n">
        <f aca="false">INDEX(Parametros_ANEC73!$I$4:$I$6,MATCH($C211,Parametros_ANEC73!$A$4:$A$6,0))</f>
        <v>1.5</v>
      </c>
      <c r="S211" s="35" t="n">
        <f aca="false">INDEX(Parametros_ANEC73!$L$4:$L$6,MATCH($C211,Parametros_ANEC73!$A$4:$A$6,0))</f>
        <v>2</v>
      </c>
      <c r="T211" s="39" t="n">
        <f aca="false">INDEX(Parametros_ANEC73!$B$14:$B$25,MATCH($B211,Parametros_ANEC73!$A$14:$A$25,0))</f>
        <v>0</v>
      </c>
      <c r="U211" s="40" t="n">
        <f aca="false">IF(OR($D211=0,$G211=""),0,$D211*($T211/100)*($L211*$Q211+$N211*(IF($R211="",$Q211,$R211)-$Q211)+$P211*(IF($S211="",IF($R211="",$Q211,$R211),$S211)-IF($R211="",$Q211,$R211))))</f>
        <v>0</v>
      </c>
      <c r="V211" s="41" t="str">
        <f aca="false">IF(OR($D211=0,$G211=""),"",IF($H211*($E211-INDEX(Parametros_ANEC73!$M$4:$M$6,MATCH($C211,Parametros_ANEC73!$A$4:$A$6,0)))&gt;0,"Sim","Nao"))</f>
        <v/>
      </c>
      <c r="W211" s="27" t="str">
        <f aca="false">$A211&amp;"|"&amp;$B211&amp;"|"&amp;$C211</f>
        <v>3Tentos|Out|Fibra</v>
      </c>
    </row>
    <row r="212" customFormat="false" ht="15" hidden="false" customHeight="false" outlineLevel="0" collapsed="false">
      <c r="A212" s="27" t="s">
        <v>44</v>
      </c>
      <c r="B212" s="27" t="s">
        <v>68</v>
      </c>
      <c r="C212" s="27" t="s">
        <v>109</v>
      </c>
      <c r="D212" s="34" t="n">
        <f aca="false">SUMIFS(Media_Cliente_Mes!$C$2:$C$145,Media_Cliente_Mes!$A$2:$A$145,$A212,Media_Cliente_Mes!$B$2:$B$145,$B212)</f>
        <v>0</v>
      </c>
      <c r="E212" s="35" t="str">
        <f aca="false">IF($D212=0,"",IF($C212="Proteina",SUMIFS(Media_Cliente_Mes!$D$2:$D$145,Media_Cliente_Mes!$A$2:$A$145,$A212,Media_Cliente_Mes!$B$2:$B$145,$B212),IF($C212="Umidade",SUMIFS(Media_Cliente_Mes!$E$2:$E$145,Media_Cliente_Mes!$A$2:$A$145,$A212,Media_Cliente_Mes!$B$2:$B$145,$B212),SUMIFS(Media_Cliente_Mes!$F$2:$F$145,Media_Cliente_Mes!$A$2:$A$145,$A212,Media_Cliente_Mes!$B$2:$B$145,$B212))))</f>
        <v/>
      </c>
      <c r="F212" s="35" t="n">
        <f aca="false">INDEX(Parametros_ANEC73!$C$4:$C$6,MATCH($C212,Parametros_ANEC73!$A$4:$A$6,0))</f>
        <v>48</v>
      </c>
      <c r="G212" s="35" t="str">
        <f aca="false">IF($C212="Proteina",INDEX(Media_Pool_Mes!$C$2:$C$13,MATCH($B212,Media_Pool_Mes!$A$2:$A$13,0)),IF($C212="Umidade",INDEX(Media_Pool_Mes!$D$2:$D$13,MATCH($B212,Media_Pool_Mes!$A$2:$A$13,0)),INDEX(Media_Pool_Mes!$E$2:$E$13,MATCH($B212,Media_Pool_Mes!$A$2:$A$13,0))))</f>
        <v/>
      </c>
      <c r="H212" s="37" t="n">
        <f aca="false">INDEX(Parametros_ANEC73!$B$4:$B$6,MATCH($C212,Parametros_ANEC73!$A$4:$A$6,0))</f>
        <v>-1</v>
      </c>
      <c r="I212" s="38" t="str">
        <f aca="false">IF(OR($D212=0,$G212=""),"",IF($H212*($G212-$F212)&gt;0,$G212,$F212))</f>
        <v/>
      </c>
      <c r="J212" s="27" t="str">
        <f aca="false">IF(OR($D212=0,$G212=""),"",IF($H212*($G212-$F212)&gt;0,"Sim","Nao"))</f>
        <v/>
      </c>
      <c r="K212" s="27" t="str">
        <f aca="false">IF(OR($D212=0,$G212=""),"",IF(AND($H212*($E212-$F212)&gt;0,$H212*($E212-$G212)&gt;0),"Sim","Nao"))</f>
        <v/>
      </c>
      <c r="L212" s="38" t="n">
        <f aca="false">IF(OR($D212=0,$G212=""),0,IF($K212="Sim",MAX(0,$H212*($E212-$I212)),0))</f>
        <v>0</v>
      </c>
      <c r="M212" s="35" t="n">
        <f aca="false">INDEX(Parametros_ANEC73!$G$4:$G$6,MATCH($C212,Parametros_ANEC73!$A$4:$A$6,0))</f>
        <v>47</v>
      </c>
      <c r="N212" s="38" t="n">
        <f aca="false">IF(OR($D212=0,$G212=""),0,IF(AND($K212="Sim",$M212&lt;&gt;""),MAX(0,$H212*($E212-$M212)),0))</f>
        <v>0</v>
      </c>
      <c r="O212" s="35" t="n">
        <f aca="false">INDEX(Parametros_ANEC73!$J$4:$J$6,MATCH($C212,Parametros_ANEC73!$A$4:$A$6,0))</f>
        <v>0</v>
      </c>
      <c r="P212" s="38" t="n">
        <f aca="false">IF(OR($D212=0,$G212=""),0,IF(AND($K212="Sim",$O212&lt;&gt;""),MAX(0,$H212*($E212-$O212)),0))</f>
        <v>0</v>
      </c>
      <c r="Q212" s="35" t="n">
        <f aca="false">INDEX(Parametros_ANEC73!$F$4:$F$6,MATCH($C212,Parametros_ANEC73!$A$4:$A$6,0))</f>
        <v>1</v>
      </c>
      <c r="R212" s="35" t="n">
        <f aca="false">INDEX(Parametros_ANEC73!$I$4:$I$6,MATCH($C212,Parametros_ANEC73!$A$4:$A$6,0))</f>
        <v>2</v>
      </c>
      <c r="S212" s="35" t="n">
        <f aca="false">INDEX(Parametros_ANEC73!$L$4:$L$6,MATCH($C212,Parametros_ANEC73!$A$4:$A$6,0))</f>
        <v>0</v>
      </c>
      <c r="T212" s="39" t="n">
        <f aca="false">INDEX(Parametros_ANEC73!$B$14:$B$25,MATCH($B212,Parametros_ANEC73!$A$14:$A$25,0))</f>
        <v>0</v>
      </c>
      <c r="U212" s="40" t="n">
        <f aca="false">IF(OR($D212=0,$G212=""),0,$D212*($T212/100)*($L212*$Q212+$N212*(IF($R212="",$Q212,$R212)-$Q212)+$P212*(IF($S212="",IF($R212="",$Q212,$R212),$S212)-IF($R212="",$Q212,$R212))))</f>
        <v>0</v>
      </c>
      <c r="V212" s="41" t="str">
        <f aca="false">IF(OR($D212=0,$G212=""),"",IF($H212*($E212-INDEX(Parametros_ANEC73!$M$4:$M$6,MATCH($C212,Parametros_ANEC73!$A$4:$A$6,0)))&gt;0,"Sim","Nao"))</f>
        <v/>
      </c>
      <c r="W212" s="27" t="str">
        <f aca="false">$A212&amp;"|"&amp;$B212&amp;"|"&amp;$C212</f>
        <v>3Tentos|Nov|Proteina</v>
      </c>
    </row>
    <row r="213" customFormat="false" ht="15" hidden="false" customHeight="false" outlineLevel="0" collapsed="false">
      <c r="A213" s="27" t="s">
        <v>44</v>
      </c>
      <c r="B213" s="27" t="s">
        <v>68</v>
      </c>
      <c r="C213" s="27" t="s">
        <v>110</v>
      </c>
      <c r="D213" s="34" t="n">
        <f aca="false">SUMIFS(Media_Cliente_Mes!$C$2:$C$145,Media_Cliente_Mes!$A$2:$A$145,$A213,Media_Cliente_Mes!$B$2:$B$145,$B213)</f>
        <v>0</v>
      </c>
      <c r="E213" s="35" t="str">
        <f aca="false">IF($D213=0,"",IF($C213="Proteina",SUMIFS(Media_Cliente_Mes!$D$2:$D$145,Media_Cliente_Mes!$A$2:$A$145,$A213,Media_Cliente_Mes!$B$2:$B$145,$B213),IF($C213="Umidade",SUMIFS(Media_Cliente_Mes!$E$2:$E$145,Media_Cliente_Mes!$A$2:$A$145,$A213,Media_Cliente_Mes!$B$2:$B$145,$B213),SUMIFS(Media_Cliente_Mes!$F$2:$F$145,Media_Cliente_Mes!$A$2:$A$145,$A213,Media_Cliente_Mes!$B$2:$B$145,$B213))))</f>
        <v/>
      </c>
      <c r="F213" s="35" t="n">
        <f aca="false">INDEX(Parametros_ANEC73!$C$4:$C$6,MATCH($C213,Parametros_ANEC73!$A$4:$A$6,0))</f>
        <v>12.5</v>
      </c>
      <c r="G213" s="35" t="str">
        <f aca="false">IF($C213="Proteina",INDEX(Media_Pool_Mes!$C$2:$C$13,MATCH($B213,Media_Pool_Mes!$A$2:$A$13,0)),IF($C213="Umidade",INDEX(Media_Pool_Mes!$D$2:$D$13,MATCH($B213,Media_Pool_Mes!$A$2:$A$13,0)),INDEX(Media_Pool_Mes!$E$2:$E$13,MATCH($B213,Media_Pool_Mes!$A$2:$A$13,0))))</f>
        <v/>
      </c>
      <c r="H213" s="37" t="n">
        <f aca="false">INDEX(Parametros_ANEC73!$B$4:$B$6,MATCH($C213,Parametros_ANEC73!$A$4:$A$6,0))</f>
        <v>1</v>
      </c>
      <c r="I213" s="38" t="str">
        <f aca="false">IF(OR($D213=0,$G213=""),"",IF($H213*($G213-$F213)&gt;0,$G213,$F213))</f>
        <v/>
      </c>
      <c r="J213" s="27" t="str">
        <f aca="false">IF(OR($D213=0,$G213=""),"",IF($H213*($G213-$F213)&gt;0,"Sim","Nao"))</f>
        <v/>
      </c>
      <c r="K213" s="27" t="str">
        <f aca="false">IF(OR($D213=0,$G213=""),"",IF(AND($H213*($E213-$F213)&gt;0,$H213*($E213-$G213)&gt;0),"Sim","Nao"))</f>
        <v/>
      </c>
      <c r="L213" s="38" t="n">
        <f aca="false">IF(OR($D213=0,$G213=""),0,IF($K213="Sim",MAX(0,$H213*($E213-$I213)),0))</f>
        <v>0</v>
      </c>
      <c r="M213" s="35" t="n">
        <f aca="false">INDEX(Parametros_ANEC73!$G$4:$G$6,MATCH($C213,Parametros_ANEC73!$A$4:$A$6,0))</f>
        <v>0</v>
      </c>
      <c r="N213" s="38" t="n">
        <f aca="false">IF(OR($D213=0,$G213=""),0,IF(AND($K213="Sim",$M213&lt;&gt;""),MAX(0,$H213*($E213-$M213)),0))</f>
        <v>0</v>
      </c>
      <c r="O213" s="35" t="n">
        <f aca="false">INDEX(Parametros_ANEC73!$J$4:$J$6,MATCH($C213,Parametros_ANEC73!$A$4:$A$6,0))</f>
        <v>0</v>
      </c>
      <c r="P213" s="38" t="n">
        <f aca="false">IF(OR($D213=0,$G213=""),0,IF(AND($K213="Sim",$O213&lt;&gt;""),MAX(0,$H213*($E213-$O213)),0))</f>
        <v>0</v>
      </c>
      <c r="Q213" s="35" t="n">
        <f aca="false">INDEX(Parametros_ANEC73!$F$4:$F$6,MATCH($C213,Parametros_ANEC73!$A$4:$A$6,0))</f>
        <v>1</v>
      </c>
      <c r="R213" s="35" t="n">
        <f aca="false">INDEX(Parametros_ANEC73!$I$4:$I$6,MATCH($C213,Parametros_ANEC73!$A$4:$A$6,0))</f>
        <v>0</v>
      </c>
      <c r="S213" s="35" t="n">
        <f aca="false">INDEX(Parametros_ANEC73!$L$4:$L$6,MATCH($C213,Parametros_ANEC73!$A$4:$A$6,0))</f>
        <v>0</v>
      </c>
      <c r="T213" s="39" t="n">
        <f aca="false">INDEX(Parametros_ANEC73!$B$14:$B$25,MATCH($B213,Parametros_ANEC73!$A$14:$A$25,0))</f>
        <v>0</v>
      </c>
      <c r="U213" s="40" t="n">
        <f aca="false">IF(OR($D213=0,$G213=""),0,$D213*($T213/100)*($L213*$Q213+$N213*(IF($R213="",$Q213,$R213)-$Q213)+$P213*(IF($S213="",IF($R213="",$Q213,$R213),$S213)-IF($R213="",$Q213,$R213))))</f>
        <v>0</v>
      </c>
      <c r="V213" s="41" t="str">
        <f aca="false">IF(OR($D213=0,$G213=""),"",IF($H213*($E213-INDEX(Parametros_ANEC73!$M$4:$M$6,MATCH($C213,Parametros_ANEC73!$A$4:$A$6,0)))&gt;0,"Sim","Nao"))</f>
        <v/>
      </c>
      <c r="W213" s="27" t="str">
        <f aca="false">$A213&amp;"|"&amp;$B213&amp;"|"&amp;$C213</f>
        <v>3Tentos|Nov|Umidade</v>
      </c>
    </row>
    <row r="214" customFormat="false" ht="15" hidden="false" customHeight="false" outlineLevel="0" collapsed="false">
      <c r="A214" s="27" t="s">
        <v>44</v>
      </c>
      <c r="B214" s="27" t="s">
        <v>68</v>
      </c>
      <c r="C214" s="27" t="s">
        <v>111</v>
      </c>
      <c r="D214" s="34" t="n">
        <f aca="false">SUMIFS(Media_Cliente_Mes!$C$2:$C$145,Media_Cliente_Mes!$A$2:$A$145,$A214,Media_Cliente_Mes!$B$2:$B$145,$B214)</f>
        <v>0</v>
      </c>
      <c r="E214" s="35" t="str">
        <f aca="false">IF($D214=0,"",IF($C214="Proteina",SUMIFS(Media_Cliente_Mes!$D$2:$D$145,Media_Cliente_Mes!$A$2:$A$145,$A214,Media_Cliente_Mes!$B$2:$B$145,$B214),IF($C214="Umidade",SUMIFS(Media_Cliente_Mes!$E$2:$E$145,Media_Cliente_Mes!$A$2:$A$145,$A214,Media_Cliente_Mes!$B$2:$B$145,$B214),SUMIFS(Media_Cliente_Mes!$F$2:$F$145,Media_Cliente_Mes!$A$2:$A$145,$A214,Media_Cliente_Mes!$B$2:$B$145,$B214))))</f>
        <v/>
      </c>
      <c r="F214" s="35" t="n">
        <f aca="false">INDEX(Parametros_ANEC73!$C$4:$C$6,MATCH($C214,Parametros_ANEC73!$A$4:$A$6,0))</f>
        <v>3.5</v>
      </c>
      <c r="G214" s="35" t="str">
        <f aca="false">IF($C214="Proteina",INDEX(Media_Pool_Mes!$C$2:$C$13,MATCH($B214,Media_Pool_Mes!$A$2:$A$13,0)),IF($C214="Umidade",INDEX(Media_Pool_Mes!$D$2:$D$13,MATCH($B214,Media_Pool_Mes!$A$2:$A$13,0)),INDEX(Media_Pool_Mes!$E$2:$E$13,MATCH($B214,Media_Pool_Mes!$A$2:$A$13,0))))</f>
        <v/>
      </c>
      <c r="H214" s="37" t="n">
        <f aca="false">INDEX(Parametros_ANEC73!$B$4:$B$6,MATCH($C214,Parametros_ANEC73!$A$4:$A$6,0))</f>
        <v>1</v>
      </c>
      <c r="I214" s="38" t="str">
        <f aca="false">IF(OR($D214=0,$G214=""),"",IF($H214*($G214-$F214)&gt;0,$G214,$F214))</f>
        <v/>
      </c>
      <c r="J214" s="27" t="str">
        <f aca="false">IF(OR($D214=0,$G214=""),"",IF($H214*($G214-$F214)&gt;0,"Sim","Nao"))</f>
        <v/>
      </c>
      <c r="K214" s="27" t="str">
        <f aca="false">IF(OR($D214=0,$G214=""),"",IF(AND($H214*($E214-$F214)&gt;0,$H214*($E214-$G214)&gt;0),"Sim","Nao"))</f>
        <v/>
      </c>
      <c r="L214" s="38" t="n">
        <f aca="false">IF(OR($D214=0,$G214=""),0,IF($K214="Sim",MAX(0,$H214*($E214-$I214)),0))</f>
        <v>0</v>
      </c>
      <c r="M214" s="35" t="n">
        <f aca="false">INDEX(Parametros_ANEC73!$G$4:$G$6,MATCH($C214,Parametros_ANEC73!$A$4:$A$6,0))</f>
        <v>3.8</v>
      </c>
      <c r="N214" s="38" t="n">
        <f aca="false">IF(OR($D214=0,$G214=""),0,IF(AND($K214="Sim",$M214&lt;&gt;""),MAX(0,$H214*($E214-$M214)),0))</f>
        <v>0</v>
      </c>
      <c r="O214" s="35" t="n">
        <f aca="false">INDEX(Parametros_ANEC73!$J$4:$J$6,MATCH($C214,Parametros_ANEC73!$A$4:$A$6,0))</f>
        <v>4</v>
      </c>
      <c r="P214" s="38" t="n">
        <f aca="false">IF(OR($D214=0,$G214=""),0,IF(AND($K214="Sim",$O214&lt;&gt;""),MAX(0,$H214*($E214-$O214)),0))</f>
        <v>0</v>
      </c>
      <c r="Q214" s="35" t="n">
        <f aca="false">INDEX(Parametros_ANEC73!$F$4:$F$6,MATCH($C214,Parametros_ANEC73!$A$4:$A$6,0))</f>
        <v>1</v>
      </c>
      <c r="R214" s="35" t="n">
        <f aca="false">INDEX(Parametros_ANEC73!$I$4:$I$6,MATCH($C214,Parametros_ANEC73!$A$4:$A$6,0))</f>
        <v>1.5</v>
      </c>
      <c r="S214" s="35" t="n">
        <f aca="false">INDEX(Parametros_ANEC73!$L$4:$L$6,MATCH($C214,Parametros_ANEC73!$A$4:$A$6,0))</f>
        <v>2</v>
      </c>
      <c r="T214" s="39" t="n">
        <f aca="false">INDEX(Parametros_ANEC73!$B$14:$B$25,MATCH($B214,Parametros_ANEC73!$A$14:$A$25,0))</f>
        <v>0</v>
      </c>
      <c r="U214" s="40" t="n">
        <f aca="false">IF(OR($D214=0,$G214=""),0,$D214*($T214/100)*($L214*$Q214+$N214*(IF($R214="",$Q214,$R214)-$Q214)+$P214*(IF($S214="",IF($R214="",$Q214,$R214),$S214)-IF($R214="",$Q214,$R214))))</f>
        <v>0</v>
      </c>
      <c r="V214" s="41" t="str">
        <f aca="false">IF(OR($D214=0,$G214=""),"",IF($H214*($E214-INDEX(Parametros_ANEC73!$M$4:$M$6,MATCH($C214,Parametros_ANEC73!$A$4:$A$6,0)))&gt;0,"Sim","Nao"))</f>
        <v/>
      </c>
      <c r="W214" s="27" t="str">
        <f aca="false">$A214&amp;"|"&amp;$B214&amp;"|"&amp;$C214</f>
        <v>3Tentos|Nov|Fibra</v>
      </c>
    </row>
    <row r="215" customFormat="false" ht="15" hidden="false" customHeight="false" outlineLevel="0" collapsed="false">
      <c r="A215" s="27" t="s">
        <v>44</v>
      </c>
      <c r="B215" s="27" t="s">
        <v>69</v>
      </c>
      <c r="C215" s="27" t="s">
        <v>109</v>
      </c>
      <c r="D215" s="34" t="n">
        <f aca="false">SUMIFS(Media_Cliente_Mes!$C$2:$C$145,Media_Cliente_Mes!$A$2:$A$145,$A215,Media_Cliente_Mes!$B$2:$B$145,$B215)</f>
        <v>0</v>
      </c>
      <c r="E215" s="35" t="str">
        <f aca="false">IF($D215=0,"",IF($C215="Proteina",SUMIFS(Media_Cliente_Mes!$D$2:$D$145,Media_Cliente_Mes!$A$2:$A$145,$A215,Media_Cliente_Mes!$B$2:$B$145,$B215),IF($C215="Umidade",SUMIFS(Media_Cliente_Mes!$E$2:$E$145,Media_Cliente_Mes!$A$2:$A$145,$A215,Media_Cliente_Mes!$B$2:$B$145,$B215),SUMIFS(Media_Cliente_Mes!$F$2:$F$145,Media_Cliente_Mes!$A$2:$A$145,$A215,Media_Cliente_Mes!$B$2:$B$145,$B215))))</f>
        <v/>
      </c>
      <c r="F215" s="35" t="n">
        <f aca="false">INDEX(Parametros_ANEC73!$C$4:$C$6,MATCH($C215,Parametros_ANEC73!$A$4:$A$6,0))</f>
        <v>48</v>
      </c>
      <c r="G215" s="35" t="str">
        <f aca="false">IF($C215="Proteina",INDEX(Media_Pool_Mes!$C$2:$C$13,MATCH($B215,Media_Pool_Mes!$A$2:$A$13,0)),IF($C215="Umidade",INDEX(Media_Pool_Mes!$D$2:$D$13,MATCH($B215,Media_Pool_Mes!$A$2:$A$13,0)),INDEX(Media_Pool_Mes!$E$2:$E$13,MATCH($B215,Media_Pool_Mes!$A$2:$A$13,0))))</f>
        <v/>
      </c>
      <c r="H215" s="37" t="n">
        <f aca="false">INDEX(Parametros_ANEC73!$B$4:$B$6,MATCH($C215,Parametros_ANEC73!$A$4:$A$6,0))</f>
        <v>-1</v>
      </c>
      <c r="I215" s="38" t="str">
        <f aca="false">IF(OR($D215=0,$G215=""),"",IF($H215*($G215-$F215)&gt;0,$G215,$F215))</f>
        <v/>
      </c>
      <c r="J215" s="27" t="str">
        <f aca="false">IF(OR($D215=0,$G215=""),"",IF($H215*($G215-$F215)&gt;0,"Sim","Nao"))</f>
        <v/>
      </c>
      <c r="K215" s="27" t="str">
        <f aca="false">IF(OR($D215=0,$G215=""),"",IF(AND($H215*($E215-$F215)&gt;0,$H215*($E215-$G215)&gt;0),"Sim","Nao"))</f>
        <v/>
      </c>
      <c r="L215" s="38" t="n">
        <f aca="false">IF(OR($D215=0,$G215=""),0,IF($K215="Sim",MAX(0,$H215*($E215-$I215)),0))</f>
        <v>0</v>
      </c>
      <c r="M215" s="35" t="n">
        <f aca="false">INDEX(Parametros_ANEC73!$G$4:$G$6,MATCH($C215,Parametros_ANEC73!$A$4:$A$6,0))</f>
        <v>47</v>
      </c>
      <c r="N215" s="38" t="n">
        <f aca="false">IF(OR($D215=0,$G215=""),0,IF(AND($K215="Sim",$M215&lt;&gt;""),MAX(0,$H215*($E215-$M215)),0))</f>
        <v>0</v>
      </c>
      <c r="O215" s="35" t="n">
        <f aca="false">INDEX(Parametros_ANEC73!$J$4:$J$6,MATCH($C215,Parametros_ANEC73!$A$4:$A$6,0))</f>
        <v>0</v>
      </c>
      <c r="P215" s="38" t="n">
        <f aca="false">IF(OR($D215=0,$G215=""),0,IF(AND($K215="Sim",$O215&lt;&gt;""),MAX(0,$H215*($E215-$O215)),0))</f>
        <v>0</v>
      </c>
      <c r="Q215" s="35" t="n">
        <f aca="false">INDEX(Parametros_ANEC73!$F$4:$F$6,MATCH($C215,Parametros_ANEC73!$A$4:$A$6,0))</f>
        <v>1</v>
      </c>
      <c r="R215" s="35" t="n">
        <f aca="false">INDEX(Parametros_ANEC73!$I$4:$I$6,MATCH($C215,Parametros_ANEC73!$A$4:$A$6,0))</f>
        <v>2</v>
      </c>
      <c r="S215" s="35" t="n">
        <f aca="false">INDEX(Parametros_ANEC73!$L$4:$L$6,MATCH($C215,Parametros_ANEC73!$A$4:$A$6,0))</f>
        <v>0</v>
      </c>
      <c r="T215" s="39" t="n">
        <f aca="false">INDEX(Parametros_ANEC73!$B$14:$B$25,MATCH($B215,Parametros_ANEC73!$A$14:$A$25,0))</f>
        <v>0</v>
      </c>
      <c r="U215" s="40" t="n">
        <f aca="false">IF(OR($D215=0,$G215=""),0,$D215*($T215/100)*($L215*$Q215+$N215*(IF($R215="",$Q215,$R215)-$Q215)+$P215*(IF($S215="",IF($R215="",$Q215,$R215),$S215)-IF($R215="",$Q215,$R215))))</f>
        <v>0</v>
      </c>
      <c r="V215" s="41" t="str">
        <f aca="false">IF(OR($D215=0,$G215=""),"",IF($H215*($E215-INDEX(Parametros_ANEC73!$M$4:$M$6,MATCH($C215,Parametros_ANEC73!$A$4:$A$6,0)))&gt;0,"Sim","Nao"))</f>
        <v/>
      </c>
      <c r="W215" s="27" t="str">
        <f aca="false">$A215&amp;"|"&amp;$B215&amp;"|"&amp;$C215</f>
        <v>3Tentos|Dez|Proteina</v>
      </c>
    </row>
    <row r="216" customFormat="false" ht="15" hidden="false" customHeight="false" outlineLevel="0" collapsed="false">
      <c r="A216" s="27" t="s">
        <v>44</v>
      </c>
      <c r="B216" s="27" t="s">
        <v>69</v>
      </c>
      <c r="C216" s="27" t="s">
        <v>110</v>
      </c>
      <c r="D216" s="34" t="n">
        <f aca="false">SUMIFS(Media_Cliente_Mes!$C$2:$C$145,Media_Cliente_Mes!$A$2:$A$145,$A216,Media_Cliente_Mes!$B$2:$B$145,$B216)</f>
        <v>0</v>
      </c>
      <c r="E216" s="35" t="str">
        <f aca="false">IF($D216=0,"",IF($C216="Proteina",SUMIFS(Media_Cliente_Mes!$D$2:$D$145,Media_Cliente_Mes!$A$2:$A$145,$A216,Media_Cliente_Mes!$B$2:$B$145,$B216),IF($C216="Umidade",SUMIFS(Media_Cliente_Mes!$E$2:$E$145,Media_Cliente_Mes!$A$2:$A$145,$A216,Media_Cliente_Mes!$B$2:$B$145,$B216),SUMIFS(Media_Cliente_Mes!$F$2:$F$145,Media_Cliente_Mes!$A$2:$A$145,$A216,Media_Cliente_Mes!$B$2:$B$145,$B216))))</f>
        <v/>
      </c>
      <c r="F216" s="35" t="n">
        <f aca="false">INDEX(Parametros_ANEC73!$C$4:$C$6,MATCH($C216,Parametros_ANEC73!$A$4:$A$6,0))</f>
        <v>12.5</v>
      </c>
      <c r="G216" s="35" t="str">
        <f aca="false">IF($C216="Proteina",INDEX(Media_Pool_Mes!$C$2:$C$13,MATCH($B216,Media_Pool_Mes!$A$2:$A$13,0)),IF($C216="Umidade",INDEX(Media_Pool_Mes!$D$2:$D$13,MATCH($B216,Media_Pool_Mes!$A$2:$A$13,0)),INDEX(Media_Pool_Mes!$E$2:$E$13,MATCH($B216,Media_Pool_Mes!$A$2:$A$13,0))))</f>
        <v/>
      </c>
      <c r="H216" s="37" t="n">
        <f aca="false">INDEX(Parametros_ANEC73!$B$4:$B$6,MATCH($C216,Parametros_ANEC73!$A$4:$A$6,0))</f>
        <v>1</v>
      </c>
      <c r="I216" s="38" t="str">
        <f aca="false">IF(OR($D216=0,$G216=""),"",IF($H216*($G216-$F216)&gt;0,$G216,$F216))</f>
        <v/>
      </c>
      <c r="J216" s="27" t="str">
        <f aca="false">IF(OR($D216=0,$G216=""),"",IF($H216*($G216-$F216)&gt;0,"Sim","Nao"))</f>
        <v/>
      </c>
      <c r="K216" s="27" t="str">
        <f aca="false">IF(OR($D216=0,$G216=""),"",IF(AND($H216*($E216-$F216)&gt;0,$H216*($E216-$G216)&gt;0),"Sim","Nao"))</f>
        <v/>
      </c>
      <c r="L216" s="38" t="n">
        <f aca="false">IF(OR($D216=0,$G216=""),0,IF($K216="Sim",MAX(0,$H216*($E216-$I216)),0))</f>
        <v>0</v>
      </c>
      <c r="M216" s="35" t="n">
        <f aca="false">INDEX(Parametros_ANEC73!$G$4:$G$6,MATCH($C216,Parametros_ANEC73!$A$4:$A$6,0))</f>
        <v>0</v>
      </c>
      <c r="N216" s="38" t="n">
        <f aca="false">IF(OR($D216=0,$G216=""),0,IF(AND($K216="Sim",$M216&lt;&gt;""),MAX(0,$H216*($E216-$M216)),0))</f>
        <v>0</v>
      </c>
      <c r="O216" s="35" t="n">
        <f aca="false">INDEX(Parametros_ANEC73!$J$4:$J$6,MATCH($C216,Parametros_ANEC73!$A$4:$A$6,0))</f>
        <v>0</v>
      </c>
      <c r="P216" s="38" t="n">
        <f aca="false">IF(OR($D216=0,$G216=""),0,IF(AND($K216="Sim",$O216&lt;&gt;""),MAX(0,$H216*($E216-$O216)),0))</f>
        <v>0</v>
      </c>
      <c r="Q216" s="35" t="n">
        <f aca="false">INDEX(Parametros_ANEC73!$F$4:$F$6,MATCH($C216,Parametros_ANEC73!$A$4:$A$6,0))</f>
        <v>1</v>
      </c>
      <c r="R216" s="35" t="n">
        <f aca="false">INDEX(Parametros_ANEC73!$I$4:$I$6,MATCH($C216,Parametros_ANEC73!$A$4:$A$6,0))</f>
        <v>0</v>
      </c>
      <c r="S216" s="35" t="n">
        <f aca="false">INDEX(Parametros_ANEC73!$L$4:$L$6,MATCH($C216,Parametros_ANEC73!$A$4:$A$6,0))</f>
        <v>0</v>
      </c>
      <c r="T216" s="39" t="n">
        <f aca="false">INDEX(Parametros_ANEC73!$B$14:$B$25,MATCH($B216,Parametros_ANEC73!$A$14:$A$25,0))</f>
        <v>0</v>
      </c>
      <c r="U216" s="40" t="n">
        <f aca="false">IF(OR($D216=0,$G216=""),0,$D216*($T216/100)*($L216*$Q216+$N216*(IF($R216="",$Q216,$R216)-$Q216)+$P216*(IF($S216="",IF($R216="",$Q216,$R216),$S216)-IF($R216="",$Q216,$R216))))</f>
        <v>0</v>
      </c>
      <c r="V216" s="41" t="str">
        <f aca="false">IF(OR($D216=0,$G216=""),"",IF($H216*($E216-INDEX(Parametros_ANEC73!$M$4:$M$6,MATCH($C216,Parametros_ANEC73!$A$4:$A$6,0)))&gt;0,"Sim","Nao"))</f>
        <v/>
      </c>
      <c r="W216" s="27" t="str">
        <f aca="false">$A216&amp;"|"&amp;$B216&amp;"|"&amp;$C216</f>
        <v>3Tentos|Dez|Umidade</v>
      </c>
    </row>
    <row r="217" customFormat="false" ht="15" hidden="false" customHeight="false" outlineLevel="0" collapsed="false">
      <c r="A217" s="27" t="s">
        <v>44</v>
      </c>
      <c r="B217" s="27" t="s">
        <v>69</v>
      </c>
      <c r="C217" s="27" t="s">
        <v>111</v>
      </c>
      <c r="D217" s="34" t="n">
        <f aca="false">SUMIFS(Media_Cliente_Mes!$C$2:$C$145,Media_Cliente_Mes!$A$2:$A$145,$A217,Media_Cliente_Mes!$B$2:$B$145,$B217)</f>
        <v>0</v>
      </c>
      <c r="E217" s="35" t="str">
        <f aca="false">IF($D217=0,"",IF($C217="Proteina",SUMIFS(Media_Cliente_Mes!$D$2:$D$145,Media_Cliente_Mes!$A$2:$A$145,$A217,Media_Cliente_Mes!$B$2:$B$145,$B217),IF($C217="Umidade",SUMIFS(Media_Cliente_Mes!$E$2:$E$145,Media_Cliente_Mes!$A$2:$A$145,$A217,Media_Cliente_Mes!$B$2:$B$145,$B217),SUMIFS(Media_Cliente_Mes!$F$2:$F$145,Media_Cliente_Mes!$A$2:$A$145,$A217,Media_Cliente_Mes!$B$2:$B$145,$B217))))</f>
        <v/>
      </c>
      <c r="F217" s="35" t="n">
        <f aca="false">INDEX(Parametros_ANEC73!$C$4:$C$6,MATCH($C217,Parametros_ANEC73!$A$4:$A$6,0))</f>
        <v>3.5</v>
      </c>
      <c r="G217" s="35" t="str">
        <f aca="false">IF($C217="Proteina",INDEX(Media_Pool_Mes!$C$2:$C$13,MATCH($B217,Media_Pool_Mes!$A$2:$A$13,0)),IF($C217="Umidade",INDEX(Media_Pool_Mes!$D$2:$D$13,MATCH($B217,Media_Pool_Mes!$A$2:$A$13,0)),INDEX(Media_Pool_Mes!$E$2:$E$13,MATCH($B217,Media_Pool_Mes!$A$2:$A$13,0))))</f>
        <v/>
      </c>
      <c r="H217" s="37" t="n">
        <f aca="false">INDEX(Parametros_ANEC73!$B$4:$B$6,MATCH($C217,Parametros_ANEC73!$A$4:$A$6,0))</f>
        <v>1</v>
      </c>
      <c r="I217" s="38" t="str">
        <f aca="false">IF(OR($D217=0,$G217=""),"",IF($H217*($G217-$F217)&gt;0,$G217,$F217))</f>
        <v/>
      </c>
      <c r="J217" s="27" t="str">
        <f aca="false">IF(OR($D217=0,$G217=""),"",IF($H217*($G217-$F217)&gt;0,"Sim","Nao"))</f>
        <v/>
      </c>
      <c r="K217" s="27" t="str">
        <f aca="false">IF(OR($D217=0,$G217=""),"",IF(AND($H217*($E217-$F217)&gt;0,$H217*($E217-$G217)&gt;0),"Sim","Nao"))</f>
        <v/>
      </c>
      <c r="L217" s="38" t="n">
        <f aca="false">IF(OR($D217=0,$G217=""),0,IF($K217="Sim",MAX(0,$H217*($E217-$I217)),0))</f>
        <v>0</v>
      </c>
      <c r="M217" s="35" t="n">
        <f aca="false">INDEX(Parametros_ANEC73!$G$4:$G$6,MATCH($C217,Parametros_ANEC73!$A$4:$A$6,0))</f>
        <v>3.8</v>
      </c>
      <c r="N217" s="38" t="n">
        <f aca="false">IF(OR($D217=0,$G217=""),0,IF(AND($K217="Sim",$M217&lt;&gt;""),MAX(0,$H217*($E217-$M217)),0))</f>
        <v>0</v>
      </c>
      <c r="O217" s="35" t="n">
        <f aca="false">INDEX(Parametros_ANEC73!$J$4:$J$6,MATCH($C217,Parametros_ANEC73!$A$4:$A$6,0))</f>
        <v>4</v>
      </c>
      <c r="P217" s="38" t="n">
        <f aca="false">IF(OR($D217=0,$G217=""),0,IF(AND($K217="Sim",$O217&lt;&gt;""),MAX(0,$H217*($E217-$O217)),0))</f>
        <v>0</v>
      </c>
      <c r="Q217" s="35" t="n">
        <f aca="false">INDEX(Parametros_ANEC73!$F$4:$F$6,MATCH($C217,Parametros_ANEC73!$A$4:$A$6,0))</f>
        <v>1</v>
      </c>
      <c r="R217" s="35" t="n">
        <f aca="false">INDEX(Parametros_ANEC73!$I$4:$I$6,MATCH($C217,Parametros_ANEC73!$A$4:$A$6,0))</f>
        <v>1.5</v>
      </c>
      <c r="S217" s="35" t="n">
        <f aca="false">INDEX(Parametros_ANEC73!$L$4:$L$6,MATCH($C217,Parametros_ANEC73!$A$4:$A$6,0))</f>
        <v>2</v>
      </c>
      <c r="T217" s="39" t="n">
        <f aca="false">INDEX(Parametros_ANEC73!$B$14:$B$25,MATCH($B217,Parametros_ANEC73!$A$14:$A$25,0))</f>
        <v>0</v>
      </c>
      <c r="U217" s="40" t="n">
        <f aca="false">IF(OR($D217=0,$G217=""),0,$D217*($T217/100)*($L217*$Q217+$N217*(IF($R217="",$Q217,$R217)-$Q217)+$P217*(IF($S217="",IF($R217="",$Q217,$R217),$S217)-IF($R217="",$Q217,$R217))))</f>
        <v>0</v>
      </c>
      <c r="V217" s="41" t="str">
        <f aca="false">IF(OR($D217=0,$G217=""),"",IF($H217*($E217-INDEX(Parametros_ANEC73!$M$4:$M$6,MATCH($C217,Parametros_ANEC73!$A$4:$A$6,0)))&gt;0,"Sim","Nao"))</f>
        <v/>
      </c>
      <c r="W217" s="27" t="str">
        <f aca="false">$A217&amp;"|"&amp;$B217&amp;"|"&amp;$C217</f>
        <v>3Tentos|Dez|Fibra</v>
      </c>
    </row>
    <row r="218" customFormat="false" ht="15" hidden="false" customHeight="false" outlineLevel="0" collapsed="false">
      <c r="A218" s="27" t="s">
        <v>45</v>
      </c>
      <c r="B218" s="27" t="s">
        <v>38</v>
      </c>
      <c r="C218" s="27" t="s">
        <v>109</v>
      </c>
      <c r="D218" s="34" t="n">
        <f aca="false">SUMIFS(Media_Cliente_Mes!$C$2:$C$145,Media_Cliente_Mes!$A$2:$A$145,$A218,Media_Cliente_Mes!$B$2:$B$145,$B218)</f>
        <v>72053.69</v>
      </c>
      <c r="E218" s="35" t="n">
        <f aca="false">IF($D218=0,"",IF($C218="Proteina",SUMIFS(Media_Cliente_Mes!$D$2:$D$145,Media_Cliente_Mes!$A$2:$A$145,$A218,Media_Cliente_Mes!$B$2:$B$145,$B218),IF($C218="Umidade",SUMIFS(Media_Cliente_Mes!$E$2:$E$145,Media_Cliente_Mes!$A$2:$A$145,$A218,Media_Cliente_Mes!$B$2:$B$145,$B218),SUMIFS(Media_Cliente_Mes!$F$2:$F$145,Media_Cliente_Mes!$A$2:$A$145,$A218,Media_Cliente_Mes!$B$2:$B$145,$B218))))</f>
        <v>47.7010027605803</v>
      </c>
      <c r="F218" s="35" t="n">
        <f aca="false">INDEX(Parametros_ANEC73!$C$4:$C$6,MATCH($C218,Parametros_ANEC73!$A$4:$A$6,0))</f>
        <v>48</v>
      </c>
      <c r="G218" s="35" t="n">
        <f aca="false">IF($C218="Proteina",INDEX(Media_Pool_Mes!$C$2:$C$13,MATCH($B218,Media_Pool_Mes!$A$2:$A$13,0)),IF($C218="Umidade",INDEX(Media_Pool_Mes!$D$2:$D$13,MATCH($B218,Media_Pool_Mes!$A$2:$A$13,0)),INDEX(Media_Pool_Mes!$E$2:$E$13,MATCH($B218,Media_Pool_Mes!$A$2:$A$13,0))))</f>
        <v>47.8154367670349</v>
      </c>
      <c r="H218" s="37" t="n">
        <f aca="false">INDEX(Parametros_ANEC73!$B$4:$B$6,MATCH($C218,Parametros_ANEC73!$A$4:$A$6,0))</f>
        <v>-1</v>
      </c>
      <c r="I218" s="38" t="n">
        <f aca="false">IF(OR($D218=0,$G218=""),"",IF($H218*($G218-$F218)&gt;0,$G218,$F218))</f>
        <v>47.8154367670349</v>
      </c>
      <c r="J218" s="27" t="str">
        <f aca="false">IF(OR($D218=0,$G218=""),"",IF($H218*($G218-$F218)&gt;0,"Sim","Nao"))</f>
        <v>Sim</v>
      </c>
      <c r="K218" s="27" t="str">
        <f aca="false">IF(OR($D218=0,$G218=""),"",IF(AND($H218*($E218-$F218)&gt;0,$H218*($E218-$G218)&gt;0),"Sim","Nao"))</f>
        <v>Sim</v>
      </c>
      <c r="L218" s="38" t="n">
        <f aca="false">IF(OR($D218=0,$G218=""),0,IF($K218="Sim",MAX(0,$H218*($E218-$I218)),0))</f>
        <v>0.114434006454538</v>
      </c>
      <c r="M218" s="35" t="n">
        <f aca="false">INDEX(Parametros_ANEC73!$G$4:$G$6,MATCH($C218,Parametros_ANEC73!$A$4:$A$6,0))</f>
        <v>47</v>
      </c>
      <c r="N218" s="38" t="n">
        <f aca="false">IF(OR($D218=0,$G218=""),0,IF(AND($K218="Sim",$M218&lt;&gt;""),MAX(0,$H218*($E218-$M218)),0))</f>
        <v>0</v>
      </c>
      <c r="O218" s="35" t="n">
        <f aca="false">INDEX(Parametros_ANEC73!$J$4:$J$6,MATCH($C218,Parametros_ANEC73!$A$4:$A$6,0))</f>
        <v>0</v>
      </c>
      <c r="P218" s="38" t="n">
        <f aca="false">IF(OR($D218=0,$G218=""),0,IF(AND($K218="Sim",$O218&lt;&gt;""),MAX(0,$H218*($E218-$O218)),0))</f>
        <v>0</v>
      </c>
      <c r="Q218" s="35" t="n">
        <f aca="false">INDEX(Parametros_ANEC73!$F$4:$F$6,MATCH($C218,Parametros_ANEC73!$A$4:$A$6,0))</f>
        <v>1</v>
      </c>
      <c r="R218" s="35" t="n">
        <f aca="false">INDEX(Parametros_ANEC73!$I$4:$I$6,MATCH($C218,Parametros_ANEC73!$A$4:$A$6,0))</f>
        <v>2</v>
      </c>
      <c r="S218" s="35" t="n">
        <f aca="false">INDEX(Parametros_ANEC73!$L$4:$L$6,MATCH($C218,Parametros_ANEC73!$A$4:$A$6,0))</f>
        <v>0</v>
      </c>
      <c r="T218" s="39" t="n">
        <f aca="false">INDEX(Parametros_ANEC73!$B$14:$B$25,MATCH($B218,Parametros_ANEC73!$A$14:$A$25,0))</f>
        <v>386</v>
      </c>
      <c r="U218" s="40" t="n">
        <f aca="false">IF(OR($D218=0,$G218=""),0,$D218*($T218/100)*($L218*$Q218+$N218*(IF($R218="",$Q218,$R218)-$Q218)+$P218*(IF($S218="",IF($R218="",$Q218,$R218),$S218)-IF($R218="",$Q218,$R218))))</f>
        <v>31827.2147664183</v>
      </c>
      <c r="V218" s="41" t="str">
        <f aca="false">IF(OR($D218=0,$G218=""),"",IF($H218*($E218-INDEX(Parametros_ANEC73!$M$4:$M$6,MATCH($C218,Parametros_ANEC73!$A$4:$A$6,0)))&gt;0,"Sim","Nao"))</f>
        <v>Nao</v>
      </c>
      <c r="W218" s="27" t="str">
        <f aca="false">$A218&amp;"|"&amp;$B218&amp;"|"&amp;$C218</f>
        <v>Bunge|Jan|Proteina</v>
      </c>
    </row>
    <row r="219" customFormat="false" ht="15" hidden="false" customHeight="false" outlineLevel="0" collapsed="false">
      <c r="A219" s="27" t="s">
        <v>45</v>
      </c>
      <c r="B219" s="27" t="s">
        <v>38</v>
      </c>
      <c r="C219" s="27" t="s">
        <v>110</v>
      </c>
      <c r="D219" s="34" t="n">
        <f aca="false">SUMIFS(Media_Cliente_Mes!$C$2:$C$145,Media_Cliente_Mes!$A$2:$A$145,$A219,Media_Cliente_Mes!$B$2:$B$145,$B219)</f>
        <v>72053.69</v>
      </c>
      <c r="E219" s="35" t="n">
        <f aca="false">IF($D219=0,"",IF($C219="Proteina",SUMIFS(Media_Cliente_Mes!$D$2:$D$145,Media_Cliente_Mes!$A$2:$A$145,$A219,Media_Cliente_Mes!$B$2:$B$145,$B219),IF($C219="Umidade",SUMIFS(Media_Cliente_Mes!$E$2:$E$145,Media_Cliente_Mes!$A$2:$A$145,$A219,Media_Cliente_Mes!$B$2:$B$145,$B219),SUMIFS(Media_Cliente_Mes!$F$2:$F$145,Media_Cliente_Mes!$A$2:$A$145,$A219,Media_Cliente_Mes!$B$2:$B$145,$B219))))</f>
        <v>12.1312591374571</v>
      </c>
      <c r="F219" s="35" t="n">
        <f aca="false">INDEX(Parametros_ANEC73!$C$4:$C$6,MATCH($C219,Parametros_ANEC73!$A$4:$A$6,0))</f>
        <v>12.5</v>
      </c>
      <c r="G219" s="35" t="n">
        <f aca="false">IF($C219="Proteina",INDEX(Media_Pool_Mes!$C$2:$C$13,MATCH($B219,Media_Pool_Mes!$A$2:$A$13,0)),IF($C219="Umidade",INDEX(Media_Pool_Mes!$D$2:$D$13,MATCH($B219,Media_Pool_Mes!$A$2:$A$13,0)),INDEX(Media_Pool_Mes!$E$2:$E$13,MATCH($B219,Media_Pool_Mes!$A$2:$A$13,0))))</f>
        <v>12.076727887935</v>
      </c>
      <c r="H219" s="37" t="n">
        <f aca="false">INDEX(Parametros_ANEC73!$B$4:$B$6,MATCH($C219,Parametros_ANEC73!$A$4:$A$6,0))</f>
        <v>1</v>
      </c>
      <c r="I219" s="38" t="n">
        <f aca="false">IF(OR($D219=0,$G219=""),"",IF($H219*($G219-$F219)&gt;0,$G219,$F219))</f>
        <v>12.5</v>
      </c>
      <c r="J219" s="27" t="str">
        <f aca="false">IF(OR($D219=0,$G219=""),"",IF($H219*($G219-$F219)&gt;0,"Sim","Nao"))</f>
        <v>Nao</v>
      </c>
      <c r="K219" s="27" t="str">
        <f aca="false">IF(OR($D219=0,$G219=""),"",IF(AND($H219*($E219-$F219)&gt;0,$H219*($E219-$G219)&gt;0),"Sim","Nao"))</f>
        <v>Nao</v>
      </c>
      <c r="L219" s="38" t="n">
        <f aca="false">IF(OR($D219=0,$G219=""),0,IF($K219="Sim",MAX(0,$H219*($E219-$I219)),0))</f>
        <v>0</v>
      </c>
      <c r="M219" s="35" t="n">
        <f aca="false">INDEX(Parametros_ANEC73!$G$4:$G$6,MATCH($C219,Parametros_ANEC73!$A$4:$A$6,0))</f>
        <v>0</v>
      </c>
      <c r="N219" s="38" t="n">
        <f aca="false">IF(OR($D219=0,$G219=""),0,IF(AND($K219="Sim",$M219&lt;&gt;""),MAX(0,$H219*($E219-$M219)),0))</f>
        <v>0</v>
      </c>
      <c r="O219" s="35" t="n">
        <f aca="false">INDEX(Parametros_ANEC73!$J$4:$J$6,MATCH($C219,Parametros_ANEC73!$A$4:$A$6,0))</f>
        <v>0</v>
      </c>
      <c r="P219" s="38" t="n">
        <f aca="false">IF(OR($D219=0,$G219=""),0,IF(AND($K219="Sim",$O219&lt;&gt;""),MAX(0,$H219*($E219-$O219)),0))</f>
        <v>0</v>
      </c>
      <c r="Q219" s="35" t="n">
        <f aca="false">INDEX(Parametros_ANEC73!$F$4:$F$6,MATCH($C219,Parametros_ANEC73!$A$4:$A$6,0))</f>
        <v>1</v>
      </c>
      <c r="R219" s="35" t="n">
        <f aca="false">INDEX(Parametros_ANEC73!$I$4:$I$6,MATCH($C219,Parametros_ANEC73!$A$4:$A$6,0))</f>
        <v>0</v>
      </c>
      <c r="S219" s="35" t="n">
        <f aca="false">INDEX(Parametros_ANEC73!$L$4:$L$6,MATCH($C219,Parametros_ANEC73!$A$4:$A$6,0))</f>
        <v>0</v>
      </c>
      <c r="T219" s="39" t="n">
        <f aca="false">INDEX(Parametros_ANEC73!$B$14:$B$25,MATCH($B219,Parametros_ANEC73!$A$14:$A$25,0))</f>
        <v>386</v>
      </c>
      <c r="U219" s="40" t="n">
        <f aca="false">IF(OR($D219=0,$G219=""),0,$D219*($T219/100)*($L219*$Q219+$N219*(IF($R219="",$Q219,$R219)-$Q219)+$P219*(IF($S219="",IF($R219="",$Q219,$R219),$S219)-IF($R219="",$Q219,$R219))))</f>
        <v>0</v>
      </c>
      <c r="V219" s="41" t="str">
        <f aca="false">IF(OR($D219=0,$G219=""),"",IF($H219*($E219-INDEX(Parametros_ANEC73!$M$4:$M$6,MATCH($C219,Parametros_ANEC73!$A$4:$A$6,0)))&gt;0,"Sim","Nao"))</f>
        <v>Nao</v>
      </c>
      <c r="W219" s="27" t="str">
        <f aca="false">$A219&amp;"|"&amp;$B219&amp;"|"&amp;$C219</f>
        <v>Bunge|Jan|Umidade</v>
      </c>
    </row>
    <row r="220" customFormat="false" ht="15" hidden="false" customHeight="false" outlineLevel="0" collapsed="false">
      <c r="A220" s="27" t="s">
        <v>45</v>
      </c>
      <c r="B220" s="27" t="s">
        <v>38</v>
      </c>
      <c r="C220" s="27" t="s">
        <v>111</v>
      </c>
      <c r="D220" s="34" t="n">
        <f aca="false">SUMIFS(Media_Cliente_Mes!$C$2:$C$145,Media_Cliente_Mes!$A$2:$A$145,$A220,Media_Cliente_Mes!$B$2:$B$145,$B220)</f>
        <v>72053.69</v>
      </c>
      <c r="E220" s="35" t="n">
        <f aca="false">IF($D220=0,"",IF($C220="Proteina",SUMIFS(Media_Cliente_Mes!$D$2:$D$145,Media_Cliente_Mes!$A$2:$A$145,$A220,Media_Cliente_Mes!$B$2:$B$145,$B220),IF($C220="Umidade",SUMIFS(Media_Cliente_Mes!$E$2:$E$145,Media_Cliente_Mes!$A$2:$A$145,$A220,Media_Cliente_Mes!$B$2:$B$145,$B220),SUMIFS(Media_Cliente_Mes!$F$2:$F$145,Media_Cliente_Mes!$A$2:$A$145,$A220,Media_Cliente_Mes!$B$2:$B$145,$B220))))</f>
        <v>3.67234818369469</v>
      </c>
      <c r="F220" s="35" t="n">
        <f aca="false">INDEX(Parametros_ANEC73!$C$4:$C$6,MATCH($C220,Parametros_ANEC73!$A$4:$A$6,0))</f>
        <v>3.5</v>
      </c>
      <c r="G220" s="35" t="n">
        <f aca="false">IF($C220="Proteina",INDEX(Media_Pool_Mes!$C$2:$C$13,MATCH($B220,Media_Pool_Mes!$A$2:$A$13,0)),IF($C220="Umidade",INDEX(Media_Pool_Mes!$D$2:$D$13,MATCH($B220,Media_Pool_Mes!$A$2:$A$13,0)),INDEX(Media_Pool_Mes!$E$2:$E$13,MATCH($B220,Media_Pool_Mes!$A$2:$A$13,0))))</f>
        <v>3.51752485295922</v>
      </c>
      <c r="H220" s="37" t="n">
        <f aca="false">INDEX(Parametros_ANEC73!$B$4:$B$6,MATCH($C220,Parametros_ANEC73!$A$4:$A$6,0))</f>
        <v>1</v>
      </c>
      <c r="I220" s="38" t="n">
        <f aca="false">IF(OR($D220=0,$G220=""),"",IF($H220*($G220-$F220)&gt;0,$G220,$F220))</f>
        <v>3.51752485295922</v>
      </c>
      <c r="J220" s="27" t="str">
        <f aca="false">IF(OR($D220=0,$G220=""),"",IF($H220*($G220-$F220)&gt;0,"Sim","Nao"))</f>
        <v>Sim</v>
      </c>
      <c r="K220" s="27" t="str">
        <f aca="false">IF(OR($D220=0,$G220=""),"",IF(AND($H220*($E220-$F220)&gt;0,$H220*($E220-$G220)&gt;0),"Sim","Nao"))</f>
        <v>Sim</v>
      </c>
      <c r="L220" s="38" t="n">
        <f aca="false">IF(OR($D220=0,$G220=""),0,IF($K220="Sim",MAX(0,$H220*($E220-$I220)),0))</f>
        <v>0.154823330735467</v>
      </c>
      <c r="M220" s="35" t="n">
        <f aca="false">INDEX(Parametros_ANEC73!$G$4:$G$6,MATCH($C220,Parametros_ANEC73!$A$4:$A$6,0))</f>
        <v>3.8</v>
      </c>
      <c r="N220" s="38" t="n">
        <f aca="false">IF(OR($D220=0,$G220=""),0,IF(AND($K220="Sim",$M220&lt;&gt;""),MAX(0,$H220*($E220-$M220)),0))</f>
        <v>0</v>
      </c>
      <c r="O220" s="35" t="n">
        <f aca="false">INDEX(Parametros_ANEC73!$J$4:$J$6,MATCH($C220,Parametros_ANEC73!$A$4:$A$6,0))</f>
        <v>4</v>
      </c>
      <c r="P220" s="38" t="n">
        <f aca="false">IF(OR($D220=0,$G220=""),0,IF(AND($K220="Sim",$O220&lt;&gt;""),MAX(0,$H220*($E220-$O220)),0))</f>
        <v>0</v>
      </c>
      <c r="Q220" s="35" t="n">
        <f aca="false">INDEX(Parametros_ANEC73!$F$4:$F$6,MATCH($C220,Parametros_ANEC73!$A$4:$A$6,0))</f>
        <v>1</v>
      </c>
      <c r="R220" s="35" t="n">
        <f aca="false">INDEX(Parametros_ANEC73!$I$4:$I$6,MATCH($C220,Parametros_ANEC73!$A$4:$A$6,0))</f>
        <v>1.5</v>
      </c>
      <c r="S220" s="35" t="n">
        <f aca="false">INDEX(Parametros_ANEC73!$L$4:$L$6,MATCH($C220,Parametros_ANEC73!$A$4:$A$6,0))</f>
        <v>2</v>
      </c>
      <c r="T220" s="39" t="n">
        <f aca="false">INDEX(Parametros_ANEC73!$B$14:$B$25,MATCH($B220,Parametros_ANEC73!$A$14:$A$25,0))</f>
        <v>386</v>
      </c>
      <c r="U220" s="40" t="n">
        <f aca="false">IF(OR($D220=0,$G220=""),0,$D220*($T220/100)*($L220*$Q220+$N220*(IF($R220="",$Q220,$R220)-$Q220)+$P220*(IF($S220="",IF($R220="",$Q220,$R220),$S220)-IF($R220="",$Q220,$R220))))</f>
        <v>43060.5861914618</v>
      </c>
      <c r="V220" s="41" t="str">
        <f aca="false">IF(OR($D220=0,$G220=""),"",IF($H220*($E220-INDEX(Parametros_ANEC73!$M$4:$M$6,MATCH($C220,Parametros_ANEC73!$A$4:$A$6,0)))&gt;0,"Sim","Nao"))</f>
        <v>Nao</v>
      </c>
      <c r="W220" s="27" t="str">
        <f aca="false">$A220&amp;"|"&amp;$B220&amp;"|"&amp;$C220</f>
        <v>Bunge|Jan|Fibra</v>
      </c>
    </row>
    <row r="221" customFormat="false" ht="15" hidden="false" customHeight="false" outlineLevel="0" collapsed="false">
      <c r="A221" s="27" t="s">
        <v>45</v>
      </c>
      <c r="B221" s="27" t="s">
        <v>59</v>
      </c>
      <c r="C221" s="27" t="s">
        <v>109</v>
      </c>
      <c r="D221" s="34" t="n">
        <f aca="false">SUMIFS(Media_Cliente_Mes!$C$2:$C$145,Media_Cliente_Mes!$A$2:$A$145,$A221,Media_Cliente_Mes!$B$2:$B$145,$B221)</f>
        <v>101673.63</v>
      </c>
      <c r="E221" s="35" t="n">
        <f aca="false">IF($D221=0,"",IF($C221="Proteina",SUMIFS(Media_Cliente_Mes!$D$2:$D$145,Media_Cliente_Mes!$A$2:$A$145,$A221,Media_Cliente_Mes!$B$2:$B$145,$B221),IF($C221="Umidade",SUMIFS(Media_Cliente_Mes!$E$2:$E$145,Media_Cliente_Mes!$A$2:$A$145,$A221,Media_Cliente_Mes!$B$2:$B$145,$B221),SUMIFS(Media_Cliente_Mes!$F$2:$F$145,Media_Cliente_Mes!$A$2:$A$145,$A221,Media_Cliente_Mes!$B$2:$B$145,$B221))))</f>
        <v>47.2596707238642</v>
      </c>
      <c r="F221" s="35" t="n">
        <f aca="false">INDEX(Parametros_ANEC73!$C$4:$C$6,MATCH($C221,Parametros_ANEC73!$A$4:$A$6,0))</f>
        <v>48</v>
      </c>
      <c r="G221" s="35" t="n">
        <f aca="false">IF($C221="Proteina",INDEX(Media_Pool_Mes!$C$2:$C$13,MATCH($B221,Media_Pool_Mes!$A$2:$A$13,0)),IF($C221="Umidade",INDEX(Media_Pool_Mes!$D$2:$D$13,MATCH($B221,Media_Pool_Mes!$A$2:$A$13,0)),INDEX(Media_Pool_Mes!$E$2:$E$13,MATCH($B221,Media_Pool_Mes!$A$2:$A$13,0))))</f>
        <v>47.3405726705791</v>
      </c>
      <c r="H221" s="37" t="n">
        <f aca="false">INDEX(Parametros_ANEC73!$B$4:$B$6,MATCH($C221,Parametros_ANEC73!$A$4:$A$6,0))</f>
        <v>-1</v>
      </c>
      <c r="I221" s="38" t="n">
        <f aca="false">IF(OR($D221=0,$G221=""),"",IF($H221*($G221-$F221)&gt;0,$G221,$F221))</f>
        <v>47.3405726705791</v>
      </c>
      <c r="J221" s="27" t="str">
        <f aca="false">IF(OR($D221=0,$G221=""),"",IF($H221*($G221-$F221)&gt;0,"Sim","Nao"))</f>
        <v>Sim</v>
      </c>
      <c r="K221" s="27" t="str">
        <f aca="false">IF(OR($D221=0,$G221=""),"",IF(AND($H221*($E221-$F221)&gt;0,$H221*($E221-$G221)&gt;0),"Sim","Nao"))</f>
        <v>Sim</v>
      </c>
      <c r="L221" s="38" t="n">
        <f aca="false">IF(OR($D221=0,$G221=""),0,IF($K221="Sim",MAX(0,$H221*($E221-$I221)),0))</f>
        <v>0.0809019467149241</v>
      </c>
      <c r="M221" s="35" t="n">
        <f aca="false">INDEX(Parametros_ANEC73!$G$4:$G$6,MATCH($C221,Parametros_ANEC73!$A$4:$A$6,0))</f>
        <v>47</v>
      </c>
      <c r="N221" s="38" t="n">
        <f aca="false">IF(OR($D221=0,$G221=""),0,IF(AND($K221="Sim",$M221&lt;&gt;""),MAX(0,$H221*($E221-$M221)),0))</f>
        <v>0</v>
      </c>
      <c r="O221" s="35" t="n">
        <f aca="false">INDEX(Parametros_ANEC73!$J$4:$J$6,MATCH($C221,Parametros_ANEC73!$A$4:$A$6,0))</f>
        <v>0</v>
      </c>
      <c r="P221" s="38" t="n">
        <f aca="false">IF(OR($D221=0,$G221=""),0,IF(AND($K221="Sim",$O221&lt;&gt;""),MAX(0,$H221*($E221-$O221)),0))</f>
        <v>0</v>
      </c>
      <c r="Q221" s="35" t="n">
        <f aca="false">INDEX(Parametros_ANEC73!$F$4:$F$6,MATCH($C221,Parametros_ANEC73!$A$4:$A$6,0))</f>
        <v>1</v>
      </c>
      <c r="R221" s="35" t="n">
        <f aca="false">INDEX(Parametros_ANEC73!$I$4:$I$6,MATCH($C221,Parametros_ANEC73!$A$4:$A$6,0))</f>
        <v>2</v>
      </c>
      <c r="S221" s="35" t="n">
        <f aca="false">INDEX(Parametros_ANEC73!$L$4:$L$6,MATCH($C221,Parametros_ANEC73!$A$4:$A$6,0))</f>
        <v>0</v>
      </c>
      <c r="T221" s="39" t="n">
        <f aca="false">INDEX(Parametros_ANEC73!$B$14:$B$25,MATCH($B221,Parametros_ANEC73!$A$14:$A$25,0))</f>
        <v>391</v>
      </c>
      <c r="U221" s="40" t="n">
        <f aca="false">IF(OR($D221=0,$G221=""),0,$D221*($T221/100)*($L221*$Q221+$N221*(IF($R221="",$Q221,$R221)-$Q221)+$P221*(IF($S221="",IF($R221="",$Q221,$R221),$S221)-IF($R221="",$Q221,$R221))))</f>
        <v>32162.0748726001</v>
      </c>
      <c r="V221" s="41" t="str">
        <f aca="false">IF(OR($D221=0,$G221=""),"",IF($H221*($E221-INDEX(Parametros_ANEC73!$M$4:$M$6,MATCH($C221,Parametros_ANEC73!$A$4:$A$6,0)))&gt;0,"Sim","Nao"))</f>
        <v>Nao</v>
      </c>
      <c r="W221" s="27" t="str">
        <f aca="false">$A221&amp;"|"&amp;$B221&amp;"|"&amp;$C221</f>
        <v>Bunge|Fev|Proteina</v>
      </c>
    </row>
    <row r="222" customFormat="false" ht="15" hidden="false" customHeight="false" outlineLevel="0" collapsed="false">
      <c r="A222" s="27" t="s">
        <v>45</v>
      </c>
      <c r="B222" s="27" t="s">
        <v>59</v>
      </c>
      <c r="C222" s="27" t="s">
        <v>110</v>
      </c>
      <c r="D222" s="34" t="n">
        <f aca="false">SUMIFS(Media_Cliente_Mes!$C$2:$C$145,Media_Cliente_Mes!$A$2:$A$145,$A222,Media_Cliente_Mes!$B$2:$B$145,$B222)</f>
        <v>101673.63</v>
      </c>
      <c r="E222" s="35" t="n">
        <f aca="false">IF($D222=0,"",IF($C222="Proteina",SUMIFS(Media_Cliente_Mes!$D$2:$D$145,Media_Cliente_Mes!$A$2:$A$145,$A222,Media_Cliente_Mes!$B$2:$B$145,$B222),IF($C222="Umidade",SUMIFS(Media_Cliente_Mes!$E$2:$E$145,Media_Cliente_Mes!$A$2:$A$145,$A222,Media_Cliente_Mes!$B$2:$B$145,$B222),SUMIFS(Media_Cliente_Mes!$F$2:$F$145,Media_Cliente_Mes!$A$2:$A$145,$A222,Media_Cliente_Mes!$B$2:$B$145,$B222))))</f>
        <v>12.3572284180274</v>
      </c>
      <c r="F222" s="35" t="n">
        <f aca="false">INDEX(Parametros_ANEC73!$C$4:$C$6,MATCH($C222,Parametros_ANEC73!$A$4:$A$6,0))</f>
        <v>12.5</v>
      </c>
      <c r="G222" s="35" t="n">
        <f aca="false">IF($C222="Proteina",INDEX(Media_Pool_Mes!$C$2:$C$13,MATCH($B222,Media_Pool_Mes!$A$2:$A$13,0)),IF($C222="Umidade",INDEX(Media_Pool_Mes!$D$2:$D$13,MATCH($B222,Media_Pool_Mes!$A$2:$A$13,0)),INDEX(Media_Pool_Mes!$E$2:$E$13,MATCH($B222,Media_Pool_Mes!$A$2:$A$13,0))))</f>
        <v>12.2454829634779</v>
      </c>
      <c r="H222" s="37" t="n">
        <f aca="false">INDEX(Parametros_ANEC73!$B$4:$B$6,MATCH($C222,Parametros_ANEC73!$A$4:$A$6,0))</f>
        <v>1</v>
      </c>
      <c r="I222" s="38" t="n">
        <f aca="false">IF(OR($D222=0,$G222=""),"",IF($H222*($G222-$F222)&gt;0,$G222,$F222))</f>
        <v>12.5</v>
      </c>
      <c r="J222" s="27" t="str">
        <f aca="false">IF(OR($D222=0,$G222=""),"",IF($H222*($G222-$F222)&gt;0,"Sim","Nao"))</f>
        <v>Nao</v>
      </c>
      <c r="K222" s="27" t="str">
        <f aca="false">IF(OR($D222=0,$G222=""),"",IF(AND($H222*($E222-$F222)&gt;0,$H222*($E222-$G222)&gt;0),"Sim","Nao"))</f>
        <v>Nao</v>
      </c>
      <c r="L222" s="38" t="n">
        <f aca="false">IF(OR($D222=0,$G222=""),0,IF($K222="Sim",MAX(0,$H222*($E222-$I222)),0))</f>
        <v>0</v>
      </c>
      <c r="M222" s="35" t="n">
        <f aca="false">INDEX(Parametros_ANEC73!$G$4:$G$6,MATCH($C222,Parametros_ANEC73!$A$4:$A$6,0))</f>
        <v>0</v>
      </c>
      <c r="N222" s="38" t="n">
        <f aca="false">IF(OR($D222=0,$G222=""),0,IF(AND($K222="Sim",$M222&lt;&gt;""),MAX(0,$H222*($E222-$M222)),0))</f>
        <v>0</v>
      </c>
      <c r="O222" s="35" t="n">
        <f aca="false">INDEX(Parametros_ANEC73!$J$4:$J$6,MATCH($C222,Parametros_ANEC73!$A$4:$A$6,0))</f>
        <v>0</v>
      </c>
      <c r="P222" s="38" t="n">
        <f aca="false">IF(OR($D222=0,$G222=""),0,IF(AND($K222="Sim",$O222&lt;&gt;""),MAX(0,$H222*($E222-$O222)),0))</f>
        <v>0</v>
      </c>
      <c r="Q222" s="35" t="n">
        <f aca="false">INDEX(Parametros_ANEC73!$F$4:$F$6,MATCH($C222,Parametros_ANEC73!$A$4:$A$6,0))</f>
        <v>1</v>
      </c>
      <c r="R222" s="35" t="n">
        <f aca="false">INDEX(Parametros_ANEC73!$I$4:$I$6,MATCH($C222,Parametros_ANEC73!$A$4:$A$6,0))</f>
        <v>0</v>
      </c>
      <c r="S222" s="35" t="n">
        <f aca="false">INDEX(Parametros_ANEC73!$L$4:$L$6,MATCH($C222,Parametros_ANEC73!$A$4:$A$6,0))</f>
        <v>0</v>
      </c>
      <c r="T222" s="39" t="n">
        <f aca="false">INDEX(Parametros_ANEC73!$B$14:$B$25,MATCH($B222,Parametros_ANEC73!$A$14:$A$25,0))</f>
        <v>391</v>
      </c>
      <c r="U222" s="40" t="n">
        <f aca="false">IF(OR($D222=0,$G222=""),0,$D222*($T222/100)*($L222*$Q222+$N222*(IF($R222="",$Q222,$R222)-$Q222)+$P222*(IF($S222="",IF($R222="",$Q222,$R222),$S222)-IF($R222="",$Q222,$R222))))</f>
        <v>0</v>
      </c>
      <c r="V222" s="41" t="str">
        <f aca="false">IF(OR($D222=0,$G222=""),"",IF($H222*($E222-INDEX(Parametros_ANEC73!$M$4:$M$6,MATCH($C222,Parametros_ANEC73!$A$4:$A$6,0)))&gt;0,"Sim","Nao"))</f>
        <v>Nao</v>
      </c>
      <c r="W222" s="27" t="str">
        <f aca="false">$A222&amp;"|"&amp;$B222&amp;"|"&amp;$C222</f>
        <v>Bunge|Fev|Umidade</v>
      </c>
    </row>
    <row r="223" customFormat="false" ht="15" hidden="false" customHeight="false" outlineLevel="0" collapsed="false">
      <c r="A223" s="27" t="s">
        <v>45</v>
      </c>
      <c r="B223" s="27" t="s">
        <v>59</v>
      </c>
      <c r="C223" s="27" t="s">
        <v>111</v>
      </c>
      <c r="D223" s="34" t="n">
        <f aca="false">SUMIFS(Media_Cliente_Mes!$C$2:$C$145,Media_Cliente_Mes!$A$2:$A$145,$A223,Media_Cliente_Mes!$B$2:$B$145,$B223)</f>
        <v>101673.63</v>
      </c>
      <c r="E223" s="35" t="n">
        <f aca="false">IF($D223=0,"",IF($C223="Proteina",SUMIFS(Media_Cliente_Mes!$D$2:$D$145,Media_Cliente_Mes!$A$2:$A$145,$A223,Media_Cliente_Mes!$B$2:$B$145,$B223),IF($C223="Umidade",SUMIFS(Media_Cliente_Mes!$E$2:$E$145,Media_Cliente_Mes!$A$2:$A$145,$A223,Media_Cliente_Mes!$B$2:$B$145,$B223),SUMIFS(Media_Cliente_Mes!$F$2:$F$145,Media_Cliente_Mes!$A$2:$A$145,$A223,Media_Cliente_Mes!$B$2:$B$145,$B223))))</f>
        <v>3.60902725121548</v>
      </c>
      <c r="F223" s="35" t="n">
        <f aca="false">INDEX(Parametros_ANEC73!$C$4:$C$6,MATCH($C223,Parametros_ANEC73!$A$4:$A$6,0))</f>
        <v>3.5</v>
      </c>
      <c r="G223" s="35" t="n">
        <f aca="false">IF($C223="Proteina",INDEX(Media_Pool_Mes!$C$2:$C$13,MATCH($B223,Media_Pool_Mes!$A$2:$A$13,0)),IF($C223="Umidade",INDEX(Media_Pool_Mes!$D$2:$D$13,MATCH($B223,Media_Pool_Mes!$A$2:$A$13,0)),INDEX(Media_Pool_Mes!$E$2:$E$13,MATCH($B223,Media_Pool_Mes!$A$2:$A$13,0))))</f>
        <v>3.61845158781616</v>
      </c>
      <c r="H223" s="37" t="n">
        <f aca="false">INDEX(Parametros_ANEC73!$B$4:$B$6,MATCH($C223,Parametros_ANEC73!$A$4:$A$6,0))</f>
        <v>1</v>
      </c>
      <c r="I223" s="38" t="n">
        <f aca="false">IF(OR($D223=0,$G223=""),"",IF($H223*($G223-$F223)&gt;0,$G223,$F223))</f>
        <v>3.61845158781616</v>
      </c>
      <c r="J223" s="27" t="str">
        <f aca="false">IF(OR($D223=0,$G223=""),"",IF($H223*($G223-$F223)&gt;0,"Sim","Nao"))</f>
        <v>Sim</v>
      </c>
      <c r="K223" s="27" t="str">
        <f aca="false">IF(OR($D223=0,$G223=""),"",IF(AND($H223*($E223-$F223)&gt;0,$H223*($E223-$G223)&gt;0),"Sim","Nao"))</f>
        <v>Nao</v>
      </c>
      <c r="L223" s="38" t="n">
        <f aca="false">IF(OR($D223=0,$G223=""),0,IF($K223="Sim",MAX(0,$H223*($E223-$I223)),0))</f>
        <v>0</v>
      </c>
      <c r="M223" s="35" t="n">
        <f aca="false">INDEX(Parametros_ANEC73!$G$4:$G$6,MATCH($C223,Parametros_ANEC73!$A$4:$A$6,0))</f>
        <v>3.8</v>
      </c>
      <c r="N223" s="38" t="n">
        <f aca="false">IF(OR($D223=0,$G223=""),0,IF(AND($K223="Sim",$M223&lt;&gt;""),MAX(0,$H223*($E223-$M223)),0))</f>
        <v>0</v>
      </c>
      <c r="O223" s="35" t="n">
        <f aca="false">INDEX(Parametros_ANEC73!$J$4:$J$6,MATCH($C223,Parametros_ANEC73!$A$4:$A$6,0))</f>
        <v>4</v>
      </c>
      <c r="P223" s="38" t="n">
        <f aca="false">IF(OR($D223=0,$G223=""),0,IF(AND($K223="Sim",$O223&lt;&gt;""),MAX(0,$H223*($E223-$O223)),0))</f>
        <v>0</v>
      </c>
      <c r="Q223" s="35" t="n">
        <f aca="false">INDEX(Parametros_ANEC73!$F$4:$F$6,MATCH($C223,Parametros_ANEC73!$A$4:$A$6,0))</f>
        <v>1</v>
      </c>
      <c r="R223" s="35" t="n">
        <f aca="false">INDEX(Parametros_ANEC73!$I$4:$I$6,MATCH($C223,Parametros_ANEC73!$A$4:$A$6,0))</f>
        <v>1.5</v>
      </c>
      <c r="S223" s="35" t="n">
        <f aca="false">INDEX(Parametros_ANEC73!$L$4:$L$6,MATCH($C223,Parametros_ANEC73!$A$4:$A$6,0))</f>
        <v>2</v>
      </c>
      <c r="T223" s="39" t="n">
        <f aca="false">INDEX(Parametros_ANEC73!$B$14:$B$25,MATCH($B223,Parametros_ANEC73!$A$14:$A$25,0))</f>
        <v>391</v>
      </c>
      <c r="U223" s="40" t="n">
        <f aca="false">IF(OR($D223=0,$G223=""),0,$D223*($T223/100)*($L223*$Q223+$N223*(IF($R223="",$Q223,$R223)-$Q223)+$P223*(IF($S223="",IF($R223="",$Q223,$R223),$S223)-IF($R223="",$Q223,$R223))))</f>
        <v>0</v>
      </c>
      <c r="V223" s="41" t="str">
        <f aca="false">IF(OR($D223=0,$G223=""),"",IF($H223*($E223-INDEX(Parametros_ANEC73!$M$4:$M$6,MATCH($C223,Parametros_ANEC73!$A$4:$A$6,0)))&gt;0,"Sim","Nao"))</f>
        <v>Nao</v>
      </c>
      <c r="W223" s="27" t="str">
        <f aca="false">$A223&amp;"|"&amp;$B223&amp;"|"&amp;$C223</f>
        <v>Bunge|Fev|Fibra</v>
      </c>
    </row>
    <row r="224" customFormat="false" ht="15" hidden="false" customHeight="false" outlineLevel="0" collapsed="false">
      <c r="A224" s="27" t="s">
        <v>45</v>
      </c>
      <c r="B224" s="27" t="s">
        <v>60</v>
      </c>
      <c r="C224" s="27" t="s">
        <v>109</v>
      </c>
      <c r="D224" s="34" t="n">
        <f aca="false">SUMIFS(Media_Cliente_Mes!$C$2:$C$145,Media_Cliente_Mes!$A$2:$A$145,$A224,Media_Cliente_Mes!$B$2:$B$145,$B224)</f>
        <v>141.56</v>
      </c>
      <c r="E224" s="35" t="n">
        <f aca="false">IF($D224=0,"",IF($C224="Proteina",SUMIFS(Media_Cliente_Mes!$D$2:$D$145,Media_Cliente_Mes!$A$2:$A$145,$A224,Media_Cliente_Mes!$B$2:$B$145,$B224),IF($C224="Umidade",SUMIFS(Media_Cliente_Mes!$E$2:$E$145,Media_Cliente_Mes!$A$2:$A$145,$A224,Media_Cliente_Mes!$B$2:$B$145,$B224),SUMIFS(Media_Cliente_Mes!$F$2:$F$145,Media_Cliente_Mes!$A$2:$A$145,$A224,Media_Cliente_Mes!$B$2:$B$145,$B224))))</f>
        <v>47.67</v>
      </c>
      <c r="F224" s="35" t="n">
        <f aca="false">INDEX(Parametros_ANEC73!$C$4:$C$6,MATCH($C224,Parametros_ANEC73!$A$4:$A$6,0))</f>
        <v>48</v>
      </c>
      <c r="G224" s="35" t="n">
        <f aca="false">IF($C224="Proteina",INDEX(Media_Pool_Mes!$C$2:$C$13,MATCH($B224,Media_Pool_Mes!$A$2:$A$13,0)),IF($C224="Umidade",INDEX(Media_Pool_Mes!$D$2:$D$13,MATCH($B224,Media_Pool_Mes!$A$2:$A$13,0)),INDEX(Media_Pool_Mes!$E$2:$E$13,MATCH($B224,Media_Pool_Mes!$A$2:$A$13,0))))</f>
        <v>47.332231823374</v>
      </c>
      <c r="H224" s="37" t="n">
        <f aca="false">INDEX(Parametros_ANEC73!$B$4:$B$6,MATCH($C224,Parametros_ANEC73!$A$4:$A$6,0))</f>
        <v>-1</v>
      </c>
      <c r="I224" s="38" t="n">
        <f aca="false">IF(OR($D224=0,$G224=""),"",IF($H224*($G224-$F224)&gt;0,$G224,$F224))</f>
        <v>47.332231823374</v>
      </c>
      <c r="J224" s="27" t="str">
        <f aca="false">IF(OR($D224=0,$G224=""),"",IF($H224*($G224-$F224)&gt;0,"Sim","Nao"))</f>
        <v>Sim</v>
      </c>
      <c r="K224" s="27" t="str">
        <f aca="false">IF(OR($D224=0,$G224=""),"",IF(AND($H224*($E224-$F224)&gt;0,$H224*($E224-$G224)&gt;0),"Sim","Nao"))</f>
        <v>Nao</v>
      </c>
      <c r="L224" s="38" t="n">
        <f aca="false">IF(OR($D224=0,$G224=""),0,IF($K224="Sim",MAX(0,$H224*($E224-$I224)),0))</f>
        <v>0</v>
      </c>
      <c r="M224" s="35" t="n">
        <f aca="false">INDEX(Parametros_ANEC73!$G$4:$G$6,MATCH($C224,Parametros_ANEC73!$A$4:$A$6,0))</f>
        <v>47</v>
      </c>
      <c r="N224" s="38" t="n">
        <f aca="false">IF(OR($D224=0,$G224=""),0,IF(AND($K224="Sim",$M224&lt;&gt;""),MAX(0,$H224*($E224-$M224)),0))</f>
        <v>0</v>
      </c>
      <c r="O224" s="35" t="n">
        <f aca="false">INDEX(Parametros_ANEC73!$J$4:$J$6,MATCH($C224,Parametros_ANEC73!$A$4:$A$6,0))</f>
        <v>0</v>
      </c>
      <c r="P224" s="38" t="n">
        <f aca="false">IF(OR($D224=0,$G224=""),0,IF(AND($K224="Sim",$O224&lt;&gt;""),MAX(0,$H224*($E224-$O224)),0))</f>
        <v>0</v>
      </c>
      <c r="Q224" s="35" t="n">
        <f aca="false">INDEX(Parametros_ANEC73!$F$4:$F$6,MATCH($C224,Parametros_ANEC73!$A$4:$A$6,0))</f>
        <v>1</v>
      </c>
      <c r="R224" s="35" t="n">
        <f aca="false">INDEX(Parametros_ANEC73!$I$4:$I$6,MATCH($C224,Parametros_ANEC73!$A$4:$A$6,0))</f>
        <v>2</v>
      </c>
      <c r="S224" s="35" t="n">
        <f aca="false">INDEX(Parametros_ANEC73!$L$4:$L$6,MATCH($C224,Parametros_ANEC73!$A$4:$A$6,0))</f>
        <v>0</v>
      </c>
      <c r="T224" s="39" t="n">
        <f aca="false">INDEX(Parametros_ANEC73!$B$14:$B$25,MATCH($B224,Parametros_ANEC73!$A$14:$A$25,0))</f>
        <v>404</v>
      </c>
      <c r="U224" s="40" t="n">
        <f aca="false">IF(OR($D224=0,$G224=""),0,$D224*($T224/100)*($L224*$Q224+$N224*(IF($R224="",$Q224,$R224)-$Q224)+$P224*(IF($S224="",IF($R224="",$Q224,$R224),$S224)-IF($R224="",$Q224,$R224))))</f>
        <v>0</v>
      </c>
      <c r="V224" s="41" t="str">
        <f aca="false">IF(OR($D224=0,$G224=""),"",IF($H224*($E224-INDEX(Parametros_ANEC73!$M$4:$M$6,MATCH($C224,Parametros_ANEC73!$A$4:$A$6,0)))&gt;0,"Sim","Nao"))</f>
        <v>Nao</v>
      </c>
      <c r="W224" s="27" t="str">
        <f aca="false">$A224&amp;"|"&amp;$B224&amp;"|"&amp;$C224</f>
        <v>Bunge|Mar|Proteina</v>
      </c>
    </row>
    <row r="225" customFormat="false" ht="15" hidden="false" customHeight="false" outlineLevel="0" collapsed="false">
      <c r="A225" s="27" t="s">
        <v>45</v>
      </c>
      <c r="B225" s="27" t="s">
        <v>60</v>
      </c>
      <c r="C225" s="27" t="s">
        <v>110</v>
      </c>
      <c r="D225" s="34" t="n">
        <f aca="false">SUMIFS(Media_Cliente_Mes!$C$2:$C$145,Media_Cliente_Mes!$A$2:$A$145,$A225,Media_Cliente_Mes!$B$2:$B$145,$B225)</f>
        <v>141.56</v>
      </c>
      <c r="E225" s="35" t="n">
        <f aca="false">IF($D225=0,"",IF($C225="Proteina",SUMIFS(Media_Cliente_Mes!$D$2:$D$145,Media_Cliente_Mes!$A$2:$A$145,$A225,Media_Cliente_Mes!$B$2:$B$145,$B225),IF($C225="Umidade",SUMIFS(Media_Cliente_Mes!$E$2:$E$145,Media_Cliente_Mes!$A$2:$A$145,$A225,Media_Cliente_Mes!$B$2:$B$145,$B225),SUMIFS(Media_Cliente_Mes!$F$2:$F$145,Media_Cliente_Mes!$A$2:$A$145,$A225,Media_Cliente_Mes!$B$2:$B$145,$B225))))</f>
        <v>12.33</v>
      </c>
      <c r="F225" s="35" t="n">
        <f aca="false">INDEX(Parametros_ANEC73!$C$4:$C$6,MATCH($C225,Parametros_ANEC73!$A$4:$A$6,0))</f>
        <v>12.5</v>
      </c>
      <c r="G225" s="35" t="n">
        <f aca="false">IF($C225="Proteina",INDEX(Media_Pool_Mes!$C$2:$C$13,MATCH($B225,Media_Pool_Mes!$A$2:$A$13,0)),IF($C225="Umidade",INDEX(Media_Pool_Mes!$D$2:$D$13,MATCH($B225,Media_Pool_Mes!$A$2:$A$13,0)),INDEX(Media_Pool_Mes!$E$2:$E$13,MATCH($B225,Media_Pool_Mes!$A$2:$A$13,0))))</f>
        <v>12.1740859181947</v>
      </c>
      <c r="H225" s="37" t="n">
        <f aca="false">INDEX(Parametros_ANEC73!$B$4:$B$6,MATCH($C225,Parametros_ANEC73!$A$4:$A$6,0))</f>
        <v>1</v>
      </c>
      <c r="I225" s="38" t="n">
        <f aca="false">IF(OR($D225=0,$G225=""),"",IF($H225*($G225-$F225)&gt;0,$G225,$F225))</f>
        <v>12.5</v>
      </c>
      <c r="J225" s="27" t="str">
        <f aca="false">IF(OR($D225=0,$G225=""),"",IF($H225*($G225-$F225)&gt;0,"Sim","Nao"))</f>
        <v>Nao</v>
      </c>
      <c r="K225" s="27" t="str">
        <f aca="false">IF(OR($D225=0,$G225=""),"",IF(AND($H225*($E225-$F225)&gt;0,$H225*($E225-$G225)&gt;0),"Sim","Nao"))</f>
        <v>Nao</v>
      </c>
      <c r="L225" s="38" t="n">
        <f aca="false">IF(OR($D225=0,$G225=""),0,IF($K225="Sim",MAX(0,$H225*($E225-$I225)),0))</f>
        <v>0</v>
      </c>
      <c r="M225" s="35" t="n">
        <f aca="false">INDEX(Parametros_ANEC73!$G$4:$G$6,MATCH($C225,Parametros_ANEC73!$A$4:$A$6,0))</f>
        <v>0</v>
      </c>
      <c r="N225" s="38" t="n">
        <f aca="false">IF(OR($D225=0,$G225=""),0,IF(AND($K225="Sim",$M225&lt;&gt;""),MAX(0,$H225*($E225-$M225)),0))</f>
        <v>0</v>
      </c>
      <c r="O225" s="35" t="n">
        <f aca="false">INDEX(Parametros_ANEC73!$J$4:$J$6,MATCH($C225,Parametros_ANEC73!$A$4:$A$6,0))</f>
        <v>0</v>
      </c>
      <c r="P225" s="38" t="n">
        <f aca="false">IF(OR($D225=0,$G225=""),0,IF(AND($K225="Sim",$O225&lt;&gt;""),MAX(0,$H225*($E225-$O225)),0))</f>
        <v>0</v>
      </c>
      <c r="Q225" s="35" t="n">
        <f aca="false">INDEX(Parametros_ANEC73!$F$4:$F$6,MATCH($C225,Parametros_ANEC73!$A$4:$A$6,0))</f>
        <v>1</v>
      </c>
      <c r="R225" s="35" t="n">
        <f aca="false">INDEX(Parametros_ANEC73!$I$4:$I$6,MATCH($C225,Parametros_ANEC73!$A$4:$A$6,0))</f>
        <v>0</v>
      </c>
      <c r="S225" s="35" t="n">
        <f aca="false">INDEX(Parametros_ANEC73!$L$4:$L$6,MATCH($C225,Parametros_ANEC73!$A$4:$A$6,0))</f>
        <v>0</v>
      </c>
      <c r="T225" s="39" t="n">
        <f aca="false">INDEX(Parametros_ANEC73!$B$14:$B$25,MATCH($B225,Parametros_ANEC73!$A$14:$A$25,0))</f>
        <v>404</v>
      </c>
      <c r="U225" s="40" t="n">
        <f aca="false">IF(OR($D225=0,$G225=""),0,$D225*($T225/100)*($L225*$Q225+$N225*(IF($R225="",$Q225,$R225)-$Q225)+$P225*(IF($S225="",IF($R225="",$Q225,$R225),$S225)-IF($R225="",$Q225,$R225))))</f>
        <v>0</v>
      </c>
      <c r="V225" s="41" t="str">
        <f aca="false">IF(OR($D225=0,$G225=""),"",IF($H225*($E225-INDEX(Parametros_ANEC73!$M$4:$M$6,MATCH($C225,Parametros_ANEC73!$A$4:$A$6,0)))&gt;0,"Sim","Nao"))</f>
        <v>Nao</v>
      </c>
      <c r="W225" s="27" t="str">
        <f aca="false">$A225&amp;"|"&amp;$B225&amp;"|"&amp;$C225</f>
        <v>Bunge|Mar|Umidade</v>
      </c>
    </row>
    <row r="226" customFormat="false" ht="15" hidden="false" customHeight="false" outlineLevel="0" collapsed="false">
      <c r="A226" s="27" t="s">
        <v>45</v>
      </c>
      <c r="B226" s="27" t="s">
        <v>60</v>
      </c>
      <c r="C226" s="27" t="s">
        <v>111</v>
      </c>
      <c r="D226" s="34" t="n">
        <f aca="false">SUMIFS(Media_Cliente_Mes!$C$2:$C$145,Media_Cliente_Mes!$A$2:$A$145,$A226,Media_Cliente_Mes!$B$2:$B$145,$B226)</f>
        <v>141.56</v>
      </c>
      <c r="E226" s="35" t="n">
        <f aca="false">IF($D226=0,"",IF($C226="Proteina",SUMIFS(Media_Cliente_Mes!$D$2:$D$145,Media_Cliente_Mes!$A$2:$A$145,$A226,Media_Cliente_Mes!$B$2:$B$145,$B226),IF($C226="Umidade",SUMIFS(Media_Cliente_Mes!$E$2:$E$145,Media_Cliente_Mes!$A$2:$A$145,$A226,Media_Cliente_Mes!$B$2:$B$145,$B226),SUMIFS(Media_Cliente_Mes!$F$2:$F$145,Media_Cliente_Mes!$A$2:$A$145,$A226,Media_Cliente_Mes!$B$2:$B$145,$B226))))</f>
        <v>3.52</v>
      </c>
      <c r="F226" s="35" t="n">
        <f aca="false">INDEX(Parametros_ANEC73!$C$4:$C$6,MATCH($C226,Parametros_ANEC73!$A$4:$A$6,0))</f>
        <v>3.5</v>
      </c>
      <c r="G226" s="35" t="n">
        <f aca="false">IF($C226="Proteina",INDEX(Media_Pool_Mes!$C$2:$C$13,MATCH($B226,Media_Pool_Mes!$A$2:$A$13,0)),IF($C226="Umidade",INDEX(Media_Pool_Mes!$D$2:$D$13,MATCH($B226,Media_Pool_Mes!$A$2:$A$13,0)),INDEX(Media_Pool_Mes!$E$2:$E$13,MATCH($B226,Media_Pool_Mes!$A$2:$A$13,0))))</f>
        <v>3.70596068520473</v>
      </c>
      <c r="H226" s="37" t="n">
        <f aca="false">INDEX(Parametros_ANEC73!$B$4:$B$6,MATCH($C226,Parametros_ANEC73!$A$4:$A$6,0))</f>
        <v>1</v>
      </c>
      <c r="I226" s="38" t="n">
        <f aca="false">IF(OR($D226=0,$G226=""),"",IF($H226*($G226-$F226)&gt;0,$G226,$F226))</f>
        <v>3.70596068520473</v>
      </c>
      <c r="J226" s="27" t="str">
        <f aca="false">IF(OR($D226=0,$G226=""),"",IF($H226*($G226-$F226)&gt;0,"Sim","Nao"))</f>
        <v>Sim</v>
      </c>
      <c r="K226" s="27" t="str">
        <f aca="false">IF(OR($D226=0,$G226=""),"",IF(AND($H226*($E226-$F226)&gt;0,$H226*($E226-$G226)&gt;0),"Sim","Nao"))</f>
        <v>Nao</v>
      </c>
      <c r="L226" s="38" t="n">
        <f aca="false">IF(OR($D226=0,$G226=""),0,IF($K226="Sim",MAX(0,$H226*($E226-$I226)),0))</f>
        <v>0</v>
      </c>
      <c r="M226" s="35" t="n">
        <f aca="false">INDEX(Parametros_ANEC73!$G$4:$G$6,MATCH($C226,Parametros_ANEC73!$A$4:$A$6,0))</f>
        <v>3.8</v>
      </c>
      <c r="N226" s="38" t="n">
        <f aca="false">IF(OR($D226=0,$G226=""),0,IF(AND($K226="Sim",$M226&lt;&gt;""),MAX(0,$H226*($E226-$M226)),0))</f>
        <v>0</v>
      </c>
      <c r="O226" s="35" t="n">
        <f aca="false">INDEX(Parametros_ANEC73!$J$4:$J$6,MATCH($C226,Parametros_ANEC73!$A$4:$A$6,0))</f>
        <v>4</v>
      </c>
      <c r="P226" s="38" t="n">
        <f aca="false">IF(OR($D226=0,$G226=""),0,IF(AND($K226="Sim",$O226&lt;&gt;""),MAX(0,$H226*($E226-$O226)),0))</f>
        <v>0</v>
      </c>
      <c r="Q226" s="35" t="n">
        <f aca="false">INDEX(Parametros_ANEC73!$F$4:$F$6,MATCH($C226,Parametros_ANEC73!$A$4:$A$6,0))</f>
        <v>1</v>
      </c>
      <c r="R226" s="35" t="n">
        <f aca="false">INDEX(Parametros_ANEC73!$I$4:$I$6,MATCH($C226,Parametros_ANEC73!$A$4:$A$6,0))</f>
        <v>1.5</v>
      </c>
      <c r="S226" s="35" t="n">
        <f aca="false">INDEX(Parametros_ANEC73!$L$4:$L$6,MATCH($C226,Parametros_ANEC73!$A$4:$A$6,0))</f>
        <v>2</v>
      </c>
      <c r="T226" s="39" t="n">
        <f aca="false">INDEX(Parametros_ANEC73!$B$14:$B$25,MATCH($B226,Parametros_ANEC73!$A$14:$A$25,0))</f>
        <v>404</v>
      </c>
      <c r="U226" s="40" t="n">
        <f aca="false">IF(OR($D226=0,$G226=""),0,$D226*($T226/100)*($L226*$Q226+$N226*(IF($R226="",$Q226,$R226)-$Q226)+$P226*(IF($S226="",IF($R226="",$Q226,$R226),$S226)-IF($R226="",$Q226,$R226))))</f>
        <v>0</v>
      </c>
      <c r="V226" s="41" t="str">
        <f aca="false">IF(OR($D226=0,$G226=""),"",IF($H226*($E226-INDEX(Parametros_ANEC73!$M$4:$M$6,MATCH($C226,Parametros_ANEC73!$A$4:$A$6,0)))&gt;0,"Sim","Nao"))</f>
        <v>Nao</v>
      </c>
      <c r="W226" s="27" t="str">
        <f aca="false">$A226&amp;"|"&amp;$B226&amp;"|"&amp;$C226</f>
        <v>Bunge|Mar|Fibra</v>
      </c>
    </row>
    <row r="227" customFormat="false" ht="15" hidden="false" customHeight="false" outlineLevel="0" collapsed="false">
      <c r="A227" s="27" t="s">
        <v>45</v>
      </c>
      <c r="B227" s="27" t="s">
        <v>61</v>
      </c>
      <c r="C227" s="27" t="s">
        <v>109</v>
      </c>
      <c r="D227" s="34" t="n">
        <f aca="false">SUMIFS(Media_Cliente_Mes!$C$2:$C$145,Media_Cliente_Mes!$A$2:$A$145,$A227,Media_Cliente_Mes!$B$2:$B$145,$B227)</f>
        <v>10176.79</v>
      </c>
      <c r="E227" s="35" t="n">
        <f aca="false">IF($D227=0,"",IF($C227="Proteina",SUMIFS(Media_Cliente_Mes!$D$2:$D$145,Media_Cliente_Mes!$A$2:$A$145,$A227,Media_Cliente_Mes!$B$2:$B$145,$B227),IF($C227="Umidade",SUMIFS(Media_Cliente_Mes!$E$2:$E$145,Media_Cliente_Mes!$A$2:$A$145,$A227,Media_Cliente_Mes!$B$2:$B$145,$B227),SUMIFS(Media_Cliente_Mes!$F$2:$F$145,Media_Cliente_Mes!$A$2:$A$145,$A227,Media_Cliente_Mes!$B$2:$B$145,$B227))))</f>
        <v>47.4442792275364</v>
      </c>
      <c r="F227" s="35" t="n">
        <f aca="false">INDEX(Parametros_ANEC73!$C$4:$C$6,MATCH($C227,Parametros_ANEC73!$A$4:$A$6,0))</f>
        <v>48</v>
      </c>
      <c r="G227" s="35" t="n">
        <f aca="false">IF($C227="Proteina",INDEX(Media_Pool_Mes!$C$2:$C$13,MATCH($B227,Media_Pool_Mes!$A$2:$A$13,0)),IF($C227="Umidade",INDEX(Media_Pool_Mes!$D$2:$D$13,MATCH($B227,Media_Pool_Mes!$A$2:$A$13,0)),INDEX(Media_Pool_Mes!$E$2:$E$13,MATCH($B227,Media_Pool_Mes!$A$2:$A$13,0))))</f>
        <v>47.5395057496784</v>
      </c>
      <c r="H227" s="37" t="n">
        <f aca="false">INDEX(Parametros_ANEC73!$B$4:$B$6,MATCH($C227,Parametros_ANEC73!$A$4:$A$6,0))</f>
        <v>-1</v>
      </c>
      <c r="I227" s="38" t="n">
        <f aca="false">IF(OR($D227=0,$G227=""),"",IF($H227*($G227-$F227)&gt;0,$G227,$F227))</f>
        <v>47.5395057496784</v>
      </c>
      <c r="J227" s="27" t="str">
        <f aca="false">IF(OR($D227=0,$G227=""),"",IF($H227*($G227-$F227)&gt;0,"Sim","Nao"))</f>
        <v>Sim</v>
      </c>
      <c r="K227" s="27" t="str">
        <f aca="false">IF(OR($D227=0,$G227=""),"",IF(AND($H227*($E227-$F227)&gt;0,$H227*($E227-$G227)&gt;0),"Sim","Nao"))</f>
        <v>Sim</v>
      </c>
      <c r="L227" s="38" t="n">
        <f aca="false">IF(OR($D227=0,$G227=""),0,IF($K227="Sim",MAX(0,$H227*($E227-$I227)),0))</f>
        <v>0.0952265221420063</v>
      </c>
      <c r="M227" s="35" t="n">
        <f aca="false">INDEX(Parametros_ANEC73!$G$4:$G$6,MATCH($C227,Parametros_ANEC73!$A$4:$A$6,0))</f>
        <v>47</v>
      </c>
      <c r="N227" s="38" t="n">
        <f aca="false">IF(OR($D227=0,$G227=""),0,IF(AND($K227="Sim",$M227&lt;&gt;""),MAX(0,$H227*($E227-$M227)),0))</f>
        <v>0</v>
      </c>
      <c r="O227" s="35" t="n">
        <f aca="false">INDEX(Parametros_ANEC73!$J$4:$J$6,MATCH($C227,Parametros_ANEC73!$A$4:$A$6,0))</f>
        <v>0</v>
      </c>
      <c r="P227" s="38" t="n">
        <f aca="false">IF(OR($D227=0,$G227=""),0,IF(AND($K227="Sim",$O227&lt;&gt;""),MAX(0,$H227*($E227-$O227)),0))</f>
        <v>0</v>
      </c>
      <c r="Q227" s="35" t="n">
        <f aca="false">INDEX(Parametros_ANEC73!$F$4:$F$6,MATCH($C227,Parametros_ANEC73!$A$4:$A$6,0))</f>
        <v>1</v>
      </c>
      <c r="R227" s="35" t="n">
        <f aca="false">INDEX(Parametros_ANEC73!$I$4:$I$6,MATCH($C227,Parametros_ANEC73!$A$4:$A$6,0))</f>
        <v>2</v>
      </c>
      <c r="S227" s="35" t="n">
        <f aca="false">INDEX(Parametros_ANEC73!$L$4:$L$6,MATCH($C227,Parametros_ANEC73!$A$4:$A$6,0))</f>
        <v>0</v>
      </c>
      <c r="T227" s="39" t="n">
        <f aca="false">INDEX(Parametros_ANEC73!$B$14:$B$25,MATCH($B227,Parametros_ANEC73!$A$14:$A$25,0))</f>
        <v>415</v>
      </c>
      <c r="U227" s="40" t="n">
        <f aca="false">IF(OR($D227=0,$G227=""),0,$D227*($T227/100)*($L227*$Q227+$N227*(IF($R227="",$Q227,$R227)-$Q227)+$P227*(IF($S227="",IF($R227="",$Q227,$R227),$S227)-IF($R227="",$Q227,$R227))))</f>
        <v>4021.76632081863</v>
      </c>
      <c r="V227" s="41" t="str">
        <f aca="false">IF(OR($D227=0,$G227=""),"",IF($H227*($E227-INDEX(Parametros_ANEC73!$M$4:$M$6,MATCH($C227,Parametros_ANEC73!$A$4:$A$6,0)))&gt;0,"Sim","Nao"))</f>
        <v>Nao</v>
      </c>
      <c r="W227" s="27" t="str">
        <f aca="false">$A227&amp;"|"&amp;$B227&amp;"|"&amp;$C227</f>
        <v>Bunge|Abr|Proteina</v>
      </c>
    </row>
    <row r="228" customFormat="false" ht="15" hidden="false" customHeight="false" outlineLevel="0" collapsed="false">
      <c r="A228" s="27" t="s">
        <v>45</v>
      </c>
      <c r="B228" s="27" t="s">
        <v>61</v>
      </c>
      <c r="C228" s="27" t="s">
        <v>110</v>
      </c>
      <c r="D228" s="34" t="n">
        <f aca="false">SUMIFS(Media_Cliente_Mes!$C$2:$C$145,Media_Cliente_Mes!$A$2:$A$145,$A228,Media_Cliente_Mes!$B$2:$B$145,$B228)</f>
        <v>10176.79</v>
      </c>
      <c r="E228" s="35" t="n">
        <f aca="false">IF($D228=0,"",IF($C228="Proteina",SUMIFS(Media_Cliente_Mes!$D$2:$D$145,Media_Cliente_Mes!$A$2:$A$145,$A228,Media_Cliente_Mes!$B$2:$B$145,$B228),IF($C228="Umidade",SUMIFS(Media_Cliente_Mes!$E$2:$E$145,Media_Cliente_Mes!$A$2:$A$145,$A228,Media_Cliente_Mes!$B$2:$B$145,$B228),SUMIFS(Media_Cliente_Mes!$F$2:$F$145,Media_Cliente_Mes!$A$2:$A$145,$A228,Media_Cliente_Mes!$B$2:$B$145,$B228))))</f>
        <v>12.4597512083869</v>
      </c>
      <c r="F228" s="35" t="n">
        <f aca="false">INDEX(Parametros_ANEC73!$C$4:$C$6,MATCH($C228,Parametros_ANEC73!$A$4:$A$6,0))</f>
        <v>12.5</v>
      </c>
      <c r="G228" s="35" t="n">
        <f aca="false">IF($C228="Proteina",INDEX(Media_Pool_Mes!$C$2:$C$13,MATCH($B228,Media_Pool_Mes!$A$2:$A$13,0)),IF($C228="Umidade",INDEX(Media_Pool_Mes!$D$2:$D$13,MATCH($B228,Media_Pool_Mes!$A$2:$A$13,0)),INDEX(Media_Pool_Mes!$E$2:$E$13,MATCH($B228,Media_Pool_Mes!$A$2:$A$13,0))))</f>
        <v>12.3606134360148</v>
      </c>
      <c r="H228" s="37" t="n">
        <f aca="false">INDEX(Parametros_ANEC73!$B$4:$B$6,MATCH($C228,Parametros_ANEC73!$A$4:$A$6,0))</f>
        <v>1</v>
      </c>
      <c r="I228" s="38" t="n">
        <f aca="false">IF(OR($D228=0,$G228=""),"",IF($H228*($G228-$F228)&gt;0,$G228,$F228))</f>
        <v>12.5</v>
      </c>
      <c r="J228" s="27" t="str">
        <f aca="false">IF(OR($D228=0,$G228=""),"",IF($H228*($G228-$F228)&gt;0,"Sim","Nao"))</f>
        <v>Nao</v>
      </c>
      <c r="K228" s="27" t="str">
        <f aca="false">IF(OR($D228=0,$G228=""),"",IF(AND($H228*($E228-$F228)&gt;0,$H228*($E228-$G228)&gt;0),"Sim","Nao"))</f>
        <v>Nao</v>
      </c>
      <c r="L228" s="38" t="n">
        <f aca="false">IF(OR($D228=0,$G228=""),0,IF($K228="Sim",MAX(0,$H228*($E228-$I228)),0))</f>
        <v>0</v>
      </c>
      <c r="M228" s="35" t="n">
        <f aca="false">INDEX(Parametros_ANEC73!$G$4:$G$6,MATCH($C228,Parametros_ANEC73!$A$4:$A$6,0))</f>
        <v>0</v>
      </c>
      <c r="N228" s="38" t="n">
        <f aca="false">IF(OR($D228=0,$G228=""),0,IF(AND($K228="Sim",$M228&lt;&gt;""),MAX(0,$H228*($E228-$M228)),0))</f>
        <v>0</v>
      </c>
      <c r="O228" s="35" t="n">
        <f aca="false">INDEX(Parametros_ANEC73!$J$4:$J$6,MATCH($C228,Parametros_ANEC73!$A$4:$A$6,0))</f>
        <v>0</v>
      </c>
      <c r="P228" s="38" t="n">
        <f aca="false">IF(OR($D228=0,$G228=""),0,IF(AND($K228="Sim",$O228&lt;&gt;""),MAX(0,$H228*($E228-$O228)),0))</f>
        <v>0</v>
      </c>
      <c r="Q228" s="35" t="n">
        <f aca="false">INDEX(Parametros_ANEC73!$F$4:$F$6,MATCH($C228,Parametros_ANEC73!$A$4:$A$6,0))</f>
        <v>1</v>
      </c>
      <c r="R228" s="35" t="n">
        <f aca="false">INDEX(Parametros_ANEC73!$I$4:$I$6,MATCH($C228,Parametros_ANEC73!$A$4:$A$6,0))</f>
        <v>0</v>
      </c>
      <c r="S228" s="35" t="n">
        <f aca="false">INDEX(Parametros_ANEC73!$L$4:$L$6,MATCH($C228,Parametros_ANEC73!$A$4:$A$6,0))</f>
        <v>0</v>
      </c>
      <c r="T228" s="39" t="n">
        <f aca="false">INDEX(Parametros_ANEC73!$B$14:$B$25,MATCH($B228,Parametros_ANEC73!$A$14:$A$25,0))</f>
        <v>415</v>
      </c>
      <c r="U228" s="40" t="n">
        <f aca="false">IF(OR($D228=0,$G228=""),0,$D228*($T228/100)*($L228*$Q228+$N228*(IF($R228="",$Q228,$R228)-$Q228)+$P228*(IF($S228="",IF($R228="",$Q228,$R228),$S228)-IF($R228="",$Q228,$R228))))</f>
        <v>0</v>
      </c>
      <c r="V228" s="41" t="str">
        <f aca="false">IF(OR($D228=0,$G228=""),"",IF($H228*($E228-INDEX(Parametros_ANEC73!$M$4:$M$6,MATCH($C228,Parametros_ANEC73!$A$4:$A$6,0)))&gt;0,"Sim","Nao"))</f>
        <v>Nao</v>
      </c>
      <c r="W228" s="27" t="str">
        <f aca="false">$A228&amp;"|"&amp;$B228&amp;"|"&amp;$C228</f>
        <v>Bunge|Abr|Umidade</v>
      </c>
    </row>
    <row r="229" customFormat="false" ht="15" hidden="false" customHeight="false" outlineLevel="0" collapsed="false">
      <c r="A229" s="27" t="s">
        <v>45</v>
      </c>
      <c r="B229" s="27" t="s">
        <v>61</v>
      </c>
      <c r="C229" s="27" t="s">
        <v>111</v>
      </c>
      <c r="D229" s="34" t="n">
        <f aca="false">SUMIFS(Media_Cliente_Mes!$C$2:$C$145,Media_Cliente_Mes!$A$2:$A$145,$A229,Media_Cliente_Mes!$B$2:$B$145,$B229)</f>
        <v>10176.79</v>
      </c>
      <c r="E229" s="35" t="n">
        <f aca="false">IF($D229=0,"",IF($C229="Proteina",SUMIFS(Media_Cliente_Mes!$D$2:$D$145,Media_Cliente_Mes!$A$2:$A$145,$A229,Media_Cliente_Mes!$B$2:$B$145,$B229),IF($C229="Umidade",SUMIFS(Media_Cliente_Mes!$E$2:$E$145,Media_Cliente_Mes!$A$2:$A$145,$A229,Media_Cliente_Mes!$B$2:$B$145,$B229),SUMIFS(Media_Cliente_Mes!$F$2:$F$145,Media_Cliente_Mes!$A$2:$A$145,$A229,Media_Cliente_Mes!$B$2:$B$145,$B229))))</f>
        <v>3.69685069653594</v>
      </c>
      <c r="F229" s="35" t="n">
        <f aca="false">INDEX(Parametros_ANEC73!$C$4:$C$6,MATCH($C229,Parametros_ANEC73!$A$4:$A$6,0))</f>
        <v>3.5</v>
      </c>
      <c r="G229" s="35" t="n">
        <f aca="false">IF($C229="Proteina",INDEX(Media_Pool_Mes!$C$2:$C$13,MATCH($B229,Media_Pool_Mes!$A$2:$A$13,0)),IF($C229="Umidade",INDEX(Media_Pool_Mes!$D$2:$D$13,MATCH($B229,Media_Pool_Mes!$A$2:$A$13,0)),INDEX(Media_Pool_Mes!$E$2:$E$13,MATCH($B229,Media_Pool_Mes!$A$2:$A$13,0))))</f>
        <v>3.66155636815217</v>
      </c>
      <c r="H229" s="37" t="n">
        <f aca="false">INDEX(Parametros_ANEC73!$B$4:$B$6,MATCH($C229,Parametros_ANEC73!$A$4:$A$6,0))</f>
        <v>1</v>
      </c>
      <c r="I229" s="38" t="n">
        <f aca="false">IF(OR($D229=0,$G229=""),"",IF($H229*($G229-$F229)&gt;0,$G229,$F229))</f>
        <v>3.66155636815217</v>
      </c>
      <c r="J229" s="27" t="str">
        <f aca="false">IF(OR($D229=0,$G229=""),"",IF($H229*($G229-$F229)&gt;0,"Sim","Nao"))</f>
        <v>Sim</v>
      </c>
      <c r="K229" s="27" t="str">
        <f aca="false">IF(OR($D229=0,$G229=""),"",IF(AND($H229*($E229-$F229)&gt;0,$H229*($E229-$G229)&gt;0),"Sim","Nao"))</f>
        <v>Sim</v>
      </c>
      <c r="L229" s="38" t="n">
        <f aca="false">IF(OR($D229=0,$G229=""),0,IF($K229="Sim",MAX(0,$H229*($E229-$I229)),0))</f>
        <v>0.0352943283837717</v>
      </c>
      <c r="M229" s="35" t="n">
        <f aca="false">INDEX(Parametros_ANEC73!$G$4:$G$6,MATCH($C229,Parametros_ANEC73!$A$4:$A$6,0))</f>
        <v>3.8</v>
      </c>
      <c r="N229" s="38" t="n">
        <f aca="false">IF(OR($D229=0,$G229=""),0,IF(AND($K229="Sim",$M229&lt;&gt;""),MAX(0,$H229*($E229-$M229)),0))</f>
        <v>0</v>
      </c>
      <c r="O229" s="35" t="n">
        <f aca="false">INDEX(Parametros_ANEC73!$J$4:$J$6,MATCH($C229,Parametros_ANEC73!$A$4:$A$6,0))</f>
        <v>4</v>
      </c>
      <c r="P229" s="38" t="n">
        <f aca="false">IF(OR($D229=0,$G229=""),0,IF(AND($K229="Sim",$O229&lt;&gt;""),MAX(0,$H229*($E229-$O229)),0))</f>
        <v>0</v>
      </c>
      <c r="Q229" s="35" t="n">
        <f aca="false">INDEX(Parametros_ANEC73!$F$4:$F$6,MATCH($C229,Parametros_ANEC73!$A$4:$A$6,0))</f>
        <v>1</v>
      </c>
      <c r="R229" s="35" t="n">
        <f aca="false">INDEX(Parametros_ANEC73!$I$4:$I$6,MATCH($C229,Parametros_ANEC73!$A$4:$A$6,0))</f>
        <v>1.5</v>
      </c>
      <c r="S229" s="35" t="n">
        <f aca="false">INDEX(Parametros_ANEC73!$L$4:$L$6,MATCH($C229,Parametros_ANEC73!$A$4:$A$6,0))</f>
        <v>2</v>
      </c>
      <c r="T229" s="39" t="n">
        <f aca="false">INDEX(Parametros_ANEC73!$B$14:$B$25,MATCH($B229,Parametros_ANEC73!$A$14:$A$25,0))</f>
        <v>415</v>
      </c>
      <c r="U229" s="40" t="n">
        <f aca="false">IF(OR($D229=0,$G229=""),0,$D229*($T229/100)*($L229*$Q229+$N229*(IF($R229="",$Q229,$R229)-$Q229)+$P229*(IF($S229="",IF($R229="",$Q229,$R229),$S229)-IF($R229="",$Q229,$R229))))</f>
        <v>1490.60931783364</v>
      </c>
      <c r="V229" s="41" t="str">
        <f aca="false">IF(OR($D229=0,$G229=""),"",IF($H229*($E229-INDEX(Parametros_ANEC73!$M$4:$M$6,MATCH($C229,Parametros_ANEC73!$A$4:$A$6,0)))&gt;0,"Sim","Nao"))</f>
        <v>Nao</v>
      </c>
      <c r="W229" s="27" t="str">
        <f aca="false">$A229&amp;"|"&amp;$B229&amp;"|"&amp;$C229</f>
        <v>Bunge|Abr|Fibra</v>
      </c>
    </row>
    <row r="230" customFormat="false" ht="15" hidden="false" customHeight="false" outlineLevel="0" collapsed="false">
      <c r="A230" s="27" t="s">
        <v>45</v>
      </c>
      <c r="B230" s="27" t="s">
        <v>62</v>
      </c>
      <c r="C230" s="27" t="s">
        <v>109</v>
      </c>
      <c r="D230" s="34" t="n">
        <f aca="false">SUMIFS(Media_Cliente_Mes!$C$2:$C$145,Media_Cliente_Mes!$A$2:$A$145,$A230,Media_Cliente_Mes!$B$2:$B$145,$B230)</f>
        <v>0</v>
      </c>
      <c r="E230" s="35" t="str">
        <f aca="false">IF($D230=0,"",IF($C230="Proteina",SUMIFS(Media_Cliente_Mes!$D$2:$D$145,Media_Cliente_Mes!$A$2:$A$145,$A230,Media_Cliente_Mes!$B$2:$B$145,$B230),IF($C230="Umidade",SUMIFS(Media_Cliente_Mes!$E$2:$E$145,Media_Cliente_Mes!$A$2:$A$145,$A230,Media_Cliente_Mes!$B$2:$B$145,$B230),SUMIFS(Media_Cliente_Mes!$F$2:$F$145,Media_Cliente_Mes!$A$2:$A$145,$A230,Media_Cliente_Mes!$B$2:$B$145,$B230))))</f>
        <v/>
      </c>
      <c r="F230" s="35" t="n">
        <f aca="false">INDEX(Parametros_ANEC73!$C$4:$C$6,MATCH($C230,Parametros_ANEC73!$A$4:$A$6,0))</f>
        <v>48</v>
      </c>
      <c r="G230" s="35" t="n">
        <f aca="false">IF($C230="Proteina",INDEX(Media_Pool_Mes!$C$2:$C$13,MATCH($B230,Media_Pool_Mes!$A$2:$A$13,0)),IF($C230="Umidade",INDEX(Media_Pool_Mes!$D$2:$D$13,MATCH($B230,Media_Pool_Mes!$A$2:$A$13,0)),INDEX(Media_Pool_Mes!$E$2:$E$13,MATCH($B230,Media_Pool_Mes!$A$2:$A$13,0))))</f>
        <v>47.6334614958572</v>
      </c>
      <c r="H230" s="37" t="n">
        <f aca="false">INDEX(Parametros_ANEC73!$B$4:$B$6,MATCH($C230,Parametros_ANEC73!$A$4:$A$6,0))</f>
        <v>-1</v>
      </c>
      <c r="I230" s="38" t="str">
        <f aca="false">IF(OR($D230=0,$G230=""),"",IF($H230*($G230-$F230)&gt;0,$G230,$F230))</f>
        <v/>
      </c>
      <c r="J230" s="27" t="str">
        <f aca="false">IF(OR($D230=0,$G230=""),"",IF($H230*($G230-$F230)&gt;0,"Sim","Nao"))</f>
        <v/>
      </c>
      <c r="K230" s="27" t="str">
        <f aca="false">IF(OR($D230=0,$G230=""),"",IF(AND($H230*($E230-$F230)&gt;0,$H230*($E230-$G230)&gt;0),"Sim","Nao"))</f>
        <v/>
      </c>
      <c r="L230" s="38" t="n">
        <f aca="false">IF(OR($D230=0,$G230=""),0,IF($K230="Sim",MAX(0,$H230*($E230-$I230)),0))</f>
        <v>0</v>
      </c>
      <c r="M230" s="35" t="n">
        <f aca="false">INDEX(Parametros_ANEC73!$G$4:$G$6,MATCH($C230,Parametros_ANEC73!$A$4:$A$6,0))</f>
        <v>47</v>
      </c>
      <c r="N230" s="38" t="n">
        <f aca="false">IF(OR($D230=0,$G230=""),0,IF(AND($K230="Sim",$M230&lt;&gt;""),MAX(0,$H230*($E230-$M230)),0))</f>
        <v>0</v>
      </c>
      <c r="O230" s="35" t="n">
        <f aca="false">INDEX(Parametros_ANEC73!$J$4:$J$6,MATCH($C230,Parametros_ANEC73!$A$4:$A$6,0))</f>
        <v>0</v>
      </c>
      <c r="P230" s="38" t="n">
        <f aca="false">IF(OR($D230=0,$G230=""),0,IF(AND($K230="Sim",$O230&lt;&gt;""),MAX(0,$H230*($E230-$O230)),0))</f>
        <v>0</v>
      </c>
      <c r="Q230" s="35" t="n">
        <f aca="false">INDEX(Parametros_ANEC73!$F$4:$F$6,MATCH($C230,Parametros_ANEC73!$A$4:$A$6,0))</f>
        <v>1</v>
      </c>
      <c r="R230" s="35" t="n">
        <f aca="false">INDEX(Parametros_ANEC73!$I$4:$I$6,MATCH($C230,Parametros_ANEC73!$A$4:$A$6,0))</f>
        <v>2</v>
      </c>
      <c r="S230" s="35" t="n">
        <f aca="false">INDEX(Parametros_ANEC73!$L$4:$L$6,MATCH($C230,Parametros_ANEC73!$A$4:$A$6,0))</f>
        <v>0</v>
      </c>
      <c r="T230" s="39" t="n">
        <f aca="false">INDEX(Parametros_ANEC73!$B$14:$B$25,MATCH($B230,Parametros_ANEC73!$A$14:$A$25,0))</f>
        <v>343</v>
      </c>
      <c r="U230" s="40" t="n">
        <f aca="false">IF(OR($D230=0,$G230=""),0,$D230*($T230/100)*($L230*$Q230+$N230*(IF($R230="",$Q230,$R230)-$Q230)+$P230*(IF($S230="",IF($R230="",$Q230,$R230),$S230)-IF($R230="",$Q230,$R230))))</f>
        <v>0</v>
      </c>
      <c r="V230" s="41" t="str">
        <f aca="false">IF(OR($D230=0,$G230=""),"",IF($H230*($E230-INDEX(Parametros_ANEC73!$M$4:$M$6,MATCH($C230,Parametros_ANEC73!$A$4:$A$6,0)))&gt;0,"Sim","Nao"))</f>
        <v/>
      </c>
      <c r="W230" s="27" t="str">
        <f aca="false">$A230&amp;"|"&amp;$B230&amp;"|"&amp;$C230</f>
        <v>Bunge|Mai|Proteina</v>
      </c>
    </row>
    <row r="231" customFormat="false" ht="15" hidden="false" customHeight="false" outlineLevel="0" collapsed="false">
      <c r="A231" s="27" t="s">
        <v>45</v>
      </c>
      <c r="B231" s="27" t="s">
        <v>62</v>
      </c>
      <c r="C231" s="27" t="s">
        <v>110</v>
      </c>
      <c r="D231" s="34" t="n">
        <f aca="false">SUMIFS(Media_Cliente_Mes!$C$2:$C$145,Media_Cliente_Mes!$A$2:$A$145,$A231,Media_Cliente_Mes!$B$2:$B$145,$B231)</f>
        <v>0</v>
      </c>
      <c r="E231" s="35" t="str">
        <f aca="false">IF($D231=0,"",IF($C231="Proteina",SUMIFS(Media_Cliente_Mes!$D$2:$D$145,Media_Cliente_Mes!$A$2:$A$145,$A231,Media_Cliente_Mes!$B$2:$B$145,$B231),IF($C231="Umidade",SUMIFS(Media_Cliente_Mes!$E$2:$E$145,Media_Cliente_Mes!$A$2:$A$145,$A231,Media_Cliente_Mes!$B$2:$B$145,$B231),SUMIFS(Media_Cliente_Mes!$F$2:$F$145,Media_Cliente_Mes!$A$2:$A$145,$A231,Media_Cliente_Mes!$B$2:$B$145,$B231))))</f>
        <v/>
      </c>
      <c r="F231" s="35" t="n">
        <f aca="false">INDEX(Parametros_ANEC73!$C$4:$C$6,MATCH($C231,Parametros_ANEC73!$A$4:$A$6,0))</f>
        <v>12.5</v>
      </c>
      <c r="G231" s="35" t="n">
        <f aca="false">IF($C231="Proteina",INDEX(Media_Pool_Mes!$C$2:$C$13,MATCH($B231,Media_Pool_Mes!$A$2:$A$13,0)),IF($C231="Umidade",INDEX(Media_Pool_Mes!$D$2:$D$13,MATCH($B231,Media_Pool_Mes!$A$2:$A$13,0)),INDEX(Media_Pool_Mes!$E$2:$E$13,MATCH($B231,Media_Pool_Mes!$A$2:$A$13,0))))</f>
        <v>12.3121752562954</v>
      </c>
      <c r="H231" s="37" t="n">
        <f aca="false">INDEX(Parametros_ANEC73!$B$4:$B$6,MATCH($C231,Parametros_ANEC73!$A$4:$A$6,0))</f>
        <v>1</v>
      </c>
      <c r="I231" s="38" t="str">
        <f aca="false">IF(OR($D231=0,$G231=""),"",IF($H231*($G231-$F231)&gt;0,$G231,$F231))</f>
        <v/>
      </c>
      <c r="J231" s="27" t="str">
        <f aca="false">IF(OR($D231=0,$G231=""),"",IF($H231*($G231-$F231)&gt;0,"Sim","Nao"))</f>
        <v/>
      </c>
      <c r="K231" s="27" t="str">
        <f aca="false">IF(OR($D231=0,$G231=""),"",IF(AND($H231*($E231-$F231)&gt;0,$H231*($E231-$G231)&gt;0),"Sim","Nao"))</f>
        <v/>
      </c>
      <c r="L231" s="38" t="n">
        <f aca="false">IF(OR($D231=0,$G231=""),0,IF($K231="Sim",MAX(0,$H231*($E231-$I231)),0))</f>
        <v>0</v>
      </c>
      <c r="M231" s="35" t="n">
        <f aca="false">INDEX(Parametros_ANEC73!$G$4:$G$6,MATCH($C231,Parametros_ANEC73!$A$4:$A$6,0))</f>
        <v>0</v>
      </c>
      <c r="N231" s="38" t="n">
        <f aca="false">IF(OR($D231=0,$G231=""),0,IF(AND($K231="Sim",$M231&lt;&gt;""),MAX(0,$H231*($E231-$M231)),0))</f>
        <v>0</v>
      </c>
      <c r="O231" s="35" t="n">
        <f aca="false">INDEX(Parametros_ANEC73!$J$4:$J$6,MATCH($C231,Parametros_ANEC73!$A$4:$A$6,0))</f>
        <v>0</v>
      </c>
      <c r="P231" s="38" t="n">
        <f aca="false">IF(OR($D231=0,$G231=""),0,IF(AND($K231="Sim",$O231&lt;&gt;""),MAX(0,$H231*($E231-$O231)),0))</f>
        <v>0</v>
      </c>
      <c r="Q231" s="35" t="n">
        <f aca="false">INDEX(Parametros_ANEC73!$F$4:$F$6,MATCH($C231,Parametros_ANEC73!$A$4:$A$6,0))</f>
        <v>1</v>
      </c>
      <c r="R231" s="35" t="n">
        <f aca="false">INDEX(Parametros_ANEC73!$I$4:$I$6,MATCH($C231,Parametros_ANEC73!$A$4:$A$6,0))</f>
        <v>0</v>
      </c>
      <c r="S231" s="35" t="n">
        <f aca="false">INDEX(Parametros_ANEC73!$L$4:$L$6,MATCH($C231,Parametros_ANEC73!$A$4:$A$6,0))</f>
        <v>0</v>
      </c>
      <c r="T231" s="39" t="n">
        <f aca="false">INDEX(Parametros_ANEC73!$B$14:$B$25,MATCH($B231,Parametros_ANEC73!$A$14:$A$25,0))</f>
        <v>343</v>
      </c>
      <c r="U231" s="40" t="n">
        <f aca="false">IF(OR($D231=0,$G231=""),0,$D231*($T231/100)*($L231*$Q231+$N231*(IF($R231="",$Q231,$R231)-$Q231)+$P231*(IF($S231="",IF($R231="",$Q231,$R231),$S231)-IF($R231="",$Q231,$R231))))</f>
        <v>0</v>
      </c>
      <c r="V231" s="41" t="str">
        <f aca="false">IF(OR($D231=0,$G231=""),"",IF($H231*($E231-INDEX(Parametros_ANEC73!$M$4:$M$6,MATCH($C231,Parametros_ANEC73!$A$4:$A$6,0)))&gt;0,"Sim","Nao"))</f>
        <v/>
      </c>
      <c r="W231" s="27" t="str">
        <f aca="false">$A231&amp;"|"&amp;$B231&amp;"|"&amp;$C231</f>
        <v>Bunge|Mai|Umidade</v>
      </c>
    </row>
    <row r="232" customFormat="false" ht="15" hidden="false" customHeight="false" outlineLevel="0" collapsed="false">
      <c r="A232" s="27" t="s">
        <v>45</v>
      </c>
      <c r="B232" s="27" t="s">
        <v>62</v>
      </c>
      <c r="C232" s="27" t="s">
        <v>111</v>
      </c>
      <c r="D232" s="34" t="n">
        <f aca="false">SUMIFS(Media_Cliente_Mes!$C$2:$C$145,Media_Cliente_Mes!$A$2:$A$145,$A232,Media_Cliente_Mes!$B$2:$B$145,$B232)</f>
        <v>0</v>
      </c>
      <c r="E232" s="35" t="str">
        <f aca="false">IF($D232=0,"",IF($C232="Proteina",SUMIFS(Media_Cliente_Mes!$D$2:$D$145,Media_Cliente_Mes!$A$2:$A$145,$A232,Media_Cliente_Mes!$B$2:$B$145,$B232),IF($C232="Umidade",SUMIFS(Media_Cliente_Mes!$E$2:$E$145,Media_Cliente_Mes!$A$2:$A$145,$A232,Media_Cliente_Mes!$B$2:$B$145,$B232),SUMIFS(Media_Cliente_Mes!$F$2:$F$145,Media_Cliente_Mes!$A$2:$A$145,$A232,Media_Cliente_Mes!$B$2:$B$145,$B232))))</f>
        <v/>
      </c>
      <c r="F232" s="35" t="n">
        <f aca="false">INDEX(Parametros_ANEC73!$C$4:$C$6,MATCH($C232,Parametros_ANEC73!$A$4:$A$6,0))</f>
        <v>3.5</v>
      </c>
      <c r="G232" s="35" t="n">
        <f aca="false">IF($C232="Proteina",INDEX(Media_Pool_Mes!$C$2:$C$13,MATCH($B232,Media_Pool_Mes!$A$2:$A$13,0)),IF($C232="Umidade",INDEX(Media_Pool_Mes!$D$2:$D$13,MATCH($B232,Media_Pool_Mes!$A$2:$A$13,0)),INDEX(Media_Pool_Mes!$E$2:$E$13,MATCH($B232,Media_Pool_Mes!$A$2:$A$13,0))))</f>
        <v>3.64524916105719</v>
      </c>
      <c r="H232" s="37" t="n">
        <f aca="false">INDEX(Parametros_ANEC73!$B$4:$B$6,MATCH($C232,Parametros_ANEC73!$A$4:$A$6,0))</f>
        <v>1</v>
      </c>
      <c r="I232" s="38" t="str">
        <f aca="false">IF(OR($D232=0,$G232=""),"",IF($H232*($G232-$F232)&gt;0,$G232,$F232))</f>
        <v/>
      </c>
      <c r="J232" s="27" t="str">
        <f aca="false">IF(OR($D232=0,$G232=""),"",IF($H232*($G232-$F232)&gt;0,"Sim","Nao"))</f>
        <v/>
      </c>
      <c r="K232" s="27" t="str">
        <f aca="false">IF(OR($D232=0,$G232=""),"",IF(AND($H232*($E232-$F232)&gt;0,$H232*($E232-$G232)&gt;0),"Sim","Nao"))</f>
        <v/>
      </c>
      <c r="L232" s="38" t="n">
        <f aca="false">IF(OR($D232=0,$G232=""),0,IF($K232="Sim",MAX(0,$H232*($E232-$I232)),0))</f>
        <v>0</v>
      </c>
      <c r="M232" s="35" t="n">
        <f aca="false">INDEX(Parametros_ANEC73!$G$4:$G$6,MATCH($C232,Parametros_ANEC73!$A$4:$A$6,0))</f>
        <v>3.8</v>
      </c>
      <c r="N232" s="38" t="n">
        <f aca="false">IF(OR($D232=0,$G232=""),0,IF(AND($K232="Sim",$M232&lt;&gt;""),MAX(0,$H232*($E232-$M232)),0))</f>
        <v>0</v>
      </c>
      <c r="O232" s="35" t="n">
        <f aca="false">INDEX(Parametros_ANEC73!$J$4:$J$6,MATCH($C232,Parametros_ANEC73!$A$4:$A$6,0))</f>
        <v>4</v>
      </c>
      <c r="P232" s="38" t="n">
        <f aca="false">IF(OR($D232=0,$G232=""),0,IF(AND($K232="Sim",$O232&lt;&gt;""),MAX(0,$H232*($E232-$O232)),0))</f>
        <v>0</v>
      </c>
      <c r="Q232" s="35" t="n">
        <f aca="false">INDEX(Parametros_ANEC73!$F$4:$F$6,MATCH($C232,Parametros_ANEC73!$A$4:$A$6,0))</f>
        <v>1</v>
      </c>
      <c r="R232" s="35" t="n">
        <f aca="false">INDEX(Parametros_ANEC73!$I$4:$I$6,MATCH($C232,Parametros_ANEC73!$A$4:$A$6,0))</f>
        <v>1.5</v>
      </c>
      <c r="S232" s="35" t="n">
        <f aca="false">INDEX(Parametros_ANEC73!$L$4:$L$6,MATCH($C232,Parametros_ANEC73!$A$4:$A$6,0))</f>
        <v>2</v>
      </c>
      <c r="T232" s="39" t="n">
        <f aca="false">INDEX(Parametros_ANEC73!$B$14:$B$25,MATCH($B232,Parametros_ANEC73!$A$14:$A$25,0))</f>
        <v>343</v>
      </c>
      <c r="U232" s="40" t="n">
        <f aca="false">IF(OR($D232=0,$G232=""),0,$D232*($T232/100)*($L232*$Q232+$N232*(IF($R232="",$Q232,$R232)-$Q232)+$P232*(IF($S232="",IF($R232="",$Q232,$R232),$S232)-IF($R232="",$Q232,$R232))))</f>
        <v>0</v>
      </c>
      <c r="V232" s="41" t="str">
        <f aca="false">IF(OR($D232=0,$G232=""),"",IF($H232*($E232-INDEX(Parametros_ANEC73!$M$4:$M$6,MATCH($C232,Parametros_ANEC73!$A$4:$A$6,0)))&gt;0,"Sim","Nao"))</f>
        <v/>
      </c>
      <c r="W232" s="27" t="str">
        <f aca="false">$A232&amp;"|"&amp;$B232&amp;"|"&amp;$C232</f>
        <v>Bunge|Mai|Fibra</v>
      </c>
    </row>
    <row r="233" customFormat="false" ht="15" hidden="false" customHeight="false" outlineLevel="0" collapsed="false">
      <c r="A233" s="27" t="s">
        <v>45</v>
      </c>
      <c r="B233" s="27" t="s">
        <v>63</v>
      </c>
      <c r="C233" s="27" t="s">
        <v>109</v>
      </c>
      <c r="D233" s="34" t="n">
        <f aca="false">SUMIFS(Media_Cliente_Mes!$C$2:$C$145,Media_Cliente_Mes!$A$2:$A$145,$A233,Media_Cliente_Mes!$B$2:$B$145,$B233)</f>
        <v>33179.88</v>
      </c>
      <c r="E233" s="35" t="n">
        <f aca="false">IF($D233=0,"",IF($C233="Proteina",SUMIFS(Media_Cliente_Mes!$D$2:$D$145,Media_Cliente_Mes!$A$2:$A$145,$A233,Media_Cliente_Mes!$B$2:$B$145,$B233),IF($C233="Umidade",SUMIFS(Media_Cliente_Mes!$E$2:$E$145,Media_Cliente_Mes!$A$2:$A$145,$A233,Media_Cliente_Mes!$B$2:$B$145,$B233),SUMIFS(Media_Cliente_Mes!$F$2:$F$145,Media_Cliente_Mes!$A$2:$A$145,$A233,Media_Cliente_Mes!$B$2:$B$145,$B233))))</f>
        <v>47.3124242613295</v>
      </c>
      <c r="F233" s="35" t="n">
        <f aca="false">INDEX(Parametros_ANEC73!$C$4:$C$6,MATCH($C233,Parametros_ANEC73!$A$4:$A$6,0))</f>
        <v>48</v>
      </c>
      <c r="G233" s="35" t="n">
        <f aca="false">IF($C233="Proteina",INDEX(Media_Pool_Mes!$C$2:$C$13,MATCH($B233,Media_Pool_Mes!$A$2:$A$13,0)),IF($C233="Umidade",INDEX(Media_Pool_Mes!$D$2:$D$13,MATCH($B233,Media_Pool_Mes!$A$2:$A$13,0)),INDEX(Media_Pool_Mes!$E$2:$E$13,MATCH($B233,Media_Pool_Mes!$A$2:$A$13,0))))</f>
        <v>47.4834226367413</v>
      </c>
      <c r="H233" s="37" t="n">
        <f aca="false">INDEX(Parametros_ANEC73!$B$4:$B$6,MATCH($C233,Parametros_ANEC73!$A$4:$A$6,0))</f>
        <v>-1</v>
      </c>
      <c r="I233" s="38" t="n">
        <f aca="false">IF(OR($D233=0,$G233=""),"",IF($H233*($G233-$F233)&gt;0,$G233,$F233))</f>
        <v>47.4834226367413</v>
      </c>
      <c r="J233" s="27" t="str">
        <f aca="false">IF(OR($D233=0,$G233=""),"",IF($H233*($G233-$F233)&gt;0,"Sim","Nao"))</f>
        <v>Sim</v>
      </c>
      <c r="K233" s="27" t="str">
        <f aca="false">IF(OR($D233=0,$G233=""),"",IF(AND($H233*($E233-$F233)&gt;0,$H233*($E233-$G233)&gt;0),"Sim","Nao"))</f>
        <v>Sim</v>
      </c>
      <c r="L233" s="38" t="n">
        <f aca="false">IF(OR($D233=0,$G233=""),0,IF($K233="Sim",MAX(0,$H233*($E233-$I233)),0))</f>
        <v>0.170998375411884</v>
      </c>
      <c r="M233" s="35" t="n">
        <f aca="false">INDEX(Parametros_ANEC73!$G$4:$G$6,MATCH($C233,Parametros_ANEC73!$A$4:$A$6,0))</f>
        <v>47</v>
      </c>
      <c r="N233" s="38" t="n">
        <f aca="false">IF(OR($D233=0,$G233=""),0,IF(AND($K233="Sim",$M233&lt;&gt;""),MAX(0,$H233*($E233-$M233)),0))</f>
        <v>0</v>
      </c>
      <c r="O233" s="35" t="n">
        <f aca="false">INDEX(Parametros_ANEC73!$J$4:$J$6,MATCH($C233,Parametros_ANEC73!$A$4:$A$6,0))</f>
        <v>0</v>
      </c>
      <c r="P233" s="38" t="n">
        <f aca="false">IF(OR($D233=0,$G233=""),0,IF(AND($K233="Sim",$O233&lt;&gt;""),MAX(0,$H233*($E233-$O233)),0))</f>
        <v>0</v>
      </c>
      <c r="Q233" s="35" t="n">
        <f aca="false">INDEX(Parametros_ANEC73!$F$4:$F$6,MATCH($C233,Parametros_ANEC73!$A$4:$A$6,0))</f>
        <v>1</v>
      </c>
      <c r="R233" s="35" t="n">
        <f aca="false">INDEX(Parametros_ANEC73!$I$4:$I$6,MATCH($C233,Parametros_ANEC73!$A$4:$A$6,0))</f>
        <v>2</v>
      </c>
      <c r="S233" s="35" t="n">
        <f aca="false">INDEX(Parametros_ANEC73!$L$4:$L$6,MATCH($C233,Parametros_ANEC73!$A$4:$A$6,0))</f>
        <v>0</v>
      </c>
      <c r="T233" s="39" t="n">
        <f aca="false">INDEX(Parametros_ANEC73!$B$14:$B$25,MATCH($B233,Parametros_ANEC73!$A$14:$A$25,0))</f>
        <v>326</v>
      </c>
      <c r="U233" s="40" t="n">
        <f aca="false">IF(OR($D233=0,$G233=""),0,$D233*($T233/100)*($L233*$Q233+$N233*(IF($R233="",$Q233,$R233)-$Q233)+$P233*(IF($S233="",IF($R233="",$Q233,$R233),$S233)-IF($R233="",$Q233,$R233))))</f>
        <v>18496.2801789377</v>
      </c>
      <c r="V233" s="41" t="str">
        <f aca="false">IF(OR($D233=0,$G233=""),"",IF($H233*($E233-INDEX(Parametros_ANEC73!$M$4:$M$6,MATCH($C233,Parametros_ANEC73!$A$4:$A$6,0)))&gt;0,"Sim","Nao"))</f>
        <v>Nao</v>
      </c>
      <c r="W233" s="27" t="str">
        <f aca="false">$A233&amp;"|"&amp;$B233&amp;"|"&amp;$C233</f>
        <v>Bunge|Jun|Proteina</v>
      </c>
    </row>
    <row r="234" customFormat="false" ht="15" hidden="false" customHeight="false" outlineLevel="0" collapsed="false">
      <c r="A234" s="27" t="s">
        <v>45</v>
      </c>
      <c r="B234" s="27" t="s">
        <v>63</v>
      </c>
      <c r="C234" s="27" t="s">
        <v>110</v>
      </c>
      <c r="D234" s="34" t="n">
        <f aca="false">SUMIFS(Media_Cliente_Mes!$C$2:$C$145,Media_Cliente_Mes!$A$2:$A$145,$A234,Media_Cliente_Mes!$B$2:$B$145,$B234)</f>
        <v>33179.88</v>
      </c>
      <c r="E234" s="35" t="n">
        <f aca="false">IF($D234=0,"",IF($C234="Proteina",SUMIFS(Media_Cliente_Mes!$D$2:$D$145,Media_Cliente_Mes!$A$2:$A$145,$A234,Media_Cliente_Mes!$B$2:$B$145,$B234),IF($C234="Umidade",SUMIFS(Media_Cliente_Mes!$E$2:$E$145,Media_Cliente_Mes!$A$2:$A$145,$A234,Media_Cliente_Mes!$B$2:$B$145,$B234),SUMIFS(Media_Cliente_Mes!$F$2:$F$145,Media_Cliente_Mes!$A$2:$A$145,$A234,Media_Cliente_Mes!$B$2:$B$145,$B234))))</f>
        <v>12.6871173072356</v>
      </c>
      <c r="F234" s="35" t="n">
        <f aca="false">INDEX(Parametros_ANEC73!$C$4:$C$6,MATCH($C234,Parametros_ANEC73!$A$4:$A$6,0))</f>
        <v>12.5</v>
      </c>
      <c r="G234" s="35" t="n">
        <f aca="false">IF($C234="Proteina",INDEX(Media_Pool_Mes!$C$2:$C$13,MATCH($B234,Media_Pool_Mes!$A$2:$A$13,0)),IF($C234="Umidade",INDEX(Media_Pool_Mes!$D$2:$D$13,MATCH($B234,Media_Pool_Mes!$A$2:$A$13,0)),INDEX(Media_Pool_Mes!$E$2:$E$13,MATCH($B234,Media_Pool_Mes!$A$2:$A$13,0))))</f>
        <v>12.6225093779221</v>
      </c>
      <c r="H234" s="37" t="n">
        <f aca="false">INDEX(Parametros_ANEC73!$B$4:$B$6,MATCH($C234,Parametros_ANEC73!$A$4:$A$6,0))</f>
        <v>1</v>
      </c>
      <c r="I234" s="38" t="n">
        <f aca="false">IF(OR($D234=0,$G234=""),"",IF($H234*($G234-$F234)&gt;0,$G234,$F234))</f>
        <v>12.6225093779221</v>
      </c>
      <c r="J234" s="27" t="str">
        <f aca="false">IF(OR($D234=0,$G234=""),"",IF($H234*($G234-$F234)&gt;0,"Sim","Nao"))</f>
        <v>Sim</v>
      </c>
      <c r="K234" s="27" t="str">
        <f aca="false">IF(OR($D234=0,$G234=""),"",IF(AND($H234*($E234-$F234)&gt;0,$H234*($E234-$G234)&gt;0),"Sim","Nao"))</f>
        <v>Sim</v>
      </c>
      <c r="L234" s="38" t="n">
        <f aca="false">IF(OR($D234=0,$G234=""),0,IF($K234="Sim",MAX(0,$H234*($E234-$I234)),0))</f>
        <v>0.0646079293135031</v>
      </c>
      <c r="M234" s="35" t="n">
        <f aca="false">INDEX(Parametros_ANEC73!$G$4:$G$6,MATCH($C234,Parametros_ANEC73!$A$4:$A$6,0))</f>
        <v>0</v>
      </c>
      <c r="N234" s="38" t="n">
        <f aca="false">IF(OR($D234=0,$G234=""),0,IF(AND($K234="Sim",$M234&lt;&gt;""),MAX(0,$H234*($E234-$M234)),0))</f>
        <v>0</v>
      </c>
      <c r="O234" s="35" t="n">
        <f aca="false">INDEX(Parametros_ANEC73!$J$4:$J$6,MATCH($C234,Parametros_ANEC73!$A$4:$A$6,0))</f>
        <v>0</v>
      </c>
      <c r="P234" s="38" t="n">
        <f aca="false">IF(OR($D234=0,$G234=""),0,IF(AND($K234="Sim",$O234&lt;&gt;""),MAX(0,$H234*($E234-$O234)),0))</f>
        <v>0</v>
      </c>
      <c r="Q234" s="35" t="n">
        <f aca="false">INDEX(Parametros_ANEC73!$F$4:$F$6,MATCH($C234,Parametros_ANEC73!$A$4:$A$6,0))</f>
        <v>1</v>
      </c>
      <c r="R234" s="35" t="n">
        <f aca="false">INDEX(Parametros_ANEC73!$I$4:$I$6,MATCH($C234,Parametros_ANEC73!$A$4:$A$6,0))</f>
        <v>0</v>
      </c>
      <c r="S234" s="35" t="n">
        <f aca="false">INDEX(Parametros_ANEC73!$L$4:$L$6,MATCH($C234,Parametros_ANEC73!$A$4:$A$6,0))</f>
        <v>0</v>
      </c>
      <c r="T234" s="39" t="n">
        <f aca="false">INDEX(Parametros_ANEC73!$B$14:$B$25,MATCH($B234,Parametros_ANEC73!$A$14:$A$25,0))</f>
        <v>326</v>
      </c>
      <c r="U234" s="40" t="n">
        <f aca="false">IF(OR($D234=0,$G234=""),0,$D234*($T234/100)*($L234*$Q234+$N234*(IF($R234="",$Q234,$R234)-$Q234)+$P234*(IF($S234="",IF($R234="",$Q234,$R234),$S234)-IF($R234="",$Q234,$R234))))</f>
        <v>6988.40769384588</v>
      </c>
      <c r="V234" s="41" t="str">
        <f aca="false">IF(OR($D234=0,$G234=""),"",IF($H234*($E234-INDEX(Parametros_ANEC73!$M$4:$M$6,MATCH($C234,Parametros_ANEC73!$A$4:$A$6,0)))&gt;0,"Sim","Nao"))</f>
        <v>Nao</v>
      </c>
      <c r="W234" s="27" t="str">
        <f aca="false">$A234&amp;"|"&amp;$B234&amp;"|"&amp;$C234</f>
        <v>Bunge|Jun|Umidade</v>
      </c>
    </row>
    <row r="235" customFormat="false" ht="15" hidden="false" customHeight="false" outlineLevel="0" collapsed="false">
      <c r="A235" s="27" t="s">
        <v>45</v>
      </c>
      <c r="B235" s="27" t="s">
        <v>63</v>
      </c>
      <c r="C235" s="27" t="s">
        <v>111</v>
      </c>
      <c r="D235" s="34" t="n">
        <f aca="false">SUMIFS(Media_Cliente_Mes!$C$2:$C$145,Media_Cliente_Mes!$A$2:$A$145,$A235,Media_Cliente_Mes!$B$2:$B$145,$B235)</f>
        <v>33179.88</v>
      </c>
      <c r="E235" s="35" t="n">
        <f aca="false">IF($D235=0,"",IF($C235="Proteina",SUMIFS(Media_Cliente_Mes!$D$2:$D$145,Media_Cliente_Mes!$A$2:$A$145,$A235,Media_Cliente_Mes!$B$2:$B$145,$B235),IF($C235="Umidade",SUMIFS(Media_Cliente_Mes!$E$2:$E$145,Media_Cliente_Mes!$A$2:$A$145,$A235,Media_Cliente_Mes!$B$2:$B$145,$B235),SUMIFS(Media_Cliente_Mes!$F$2:$F$145,Media_Cliente_Mes!$A$2:$A$145,$A235,Media_Cliente_Mes!$B$2:$B$145,$B235))))</f>
        <v>3.75532690895808</v>
      </c>
      <c r="F235" s="35" t="n">
        <f aca="false">INDEX(Parametros_ANEC73!$C$4:$C$6,MATCH($C235,Parametros_ANEC73!$A$4:$A$6,0))</f>
        <v>3.5</v>
      </c>
      <c r="G235" s="35" t="n">
        <f aca="false">IF($C235="Proteina",INDEX(Media_Pool_Mes!$C$2:$C$13,MATCH($B235,Media_Pool_Mes!$A$2:$A$13,0)),IF($C235="Umidade",INDEX(Media_Pool_Mes!$D$2:$D$13,MATCH($B235,Media_Pool_Mes!$A$2:$A$13,0)),INDEX(Media_Pool_Mes!$E$2:$E$13,MATCH($B235,Media_Pool_Mes!$A$2:$A$13,0))))</f>
        <v>3.72652113613862</v>
      </c>
      <c r="H235" s="37" t="n">
        <f aca="false">INDEX(Parametros_ANEC73!$B$4:$B$6,MATCH($C235,Parametros_ANEC73!$A$4:$A$6,0))</f>
        <v>1</v>
      </c>
      <c r="I235" s="38" t="n">
        <f aca="false">IF(OR($D235=0,$G235=""),"",IF($H235*($G235-$F235)&gt;0,$G235,$F235))</f>
        <v>3.72652113613862</v>
      </c>
      <c r="J235" s="27" t="str">
        <f aca="false">IF(OR($D235=0,$G235=""),"",IF($H235*($G235-$F235)&gt;0,"Sim","Nao"))</f>
        <v>Sim</v>
      </c>
      <c r="K235" s="27" t="str">
        <f aca="false">IF(OR($D235=0,$G235=""),"",IF(AND($H235*($E235-$F235)&gt;0,$H235*($E235-$G235)&gt;0),"Sim","Nao"))</f>
        <v>Sim</v>
      </c>
      <c r="L235" s="38" t="n">
        <f aca="false">IF(OR($D235=0,$G235=""),0,IF($K235="Sim",MAX(0,$H235*($E235-$I235)),0))</f>
        <v>0.0288057728194575</v>
      </c>
      <c r="M235" s="35" t="n">
        <f aca="false">INDEX(Parametros_ANEC73!$G$4:$G$6,MATCH($C235,Parametros_ANEC73!$A$4:$A$6,0))</f>
        <v>3.8</v>
      </c>
      <c r="N235" s="38" t="n">
        <f aca="false">IF(OR($D235=0,$G235=""),0,IF(AND($K235="Sim",$M235&lt;&gt;""),MAX(0,$H235*($E235-$M235)),0))</f>
        <v>0</v>
      </c>
      <c r="O235" s="35" t="n">
        <f aca="false">INDEX(Parametros_ANEC73!$J$4:$J$6,MATCH($C235,Parametros_ANEC73!$A$4:$A$6,0))</f>
        <v>4</v>
      </c>
      <c r="P235" s="38" t="n">
        <f aca="false">IF(OR($D235=0,$G235=""),0,IF(AND($K235="Sim",$O235&lt;&gt;""),MAX(0,$H235*($E235-$O235)),0))</f>
        <v>0</v>
      </c>
      <c r="Q235" s="35" t="n">
        <f aca="false">INDEX(Parametros_ANEC73!$F$4:$F$6,MATCH($C235,Parametros_ANEC73!$A$4:$A$6,0))</f>
        <v>1</v>
      </c>
      <c r="R235" s="35" t="n">
        <f aca="false">INDEX(Parametros_ANEC73!$I$4:$I$6,MATCH($C235,Parametros_ANEC73!$A$4:$A$6,0))</f>
        <v>1.5</v>
      </c>
      <c r="S235" s="35" t="n">
        <f aca="false">INDEX(Parametros_ANEC73!$L$4:$L$6,MATCH($C235,Parametros_ANEC73!$A$4:$A$6,0))</f>
        <v>2</v>
      </c>
      <c r="T235" s="39" t="n">
        <f aca="false">INDEX(Parametros_ANEC73!$B$14:$B$25,MATCH($B235,Parametros_ANEC73!$A$14:$A$25,0))</f>
        <v>326</v>
      </c>
      <c r="U235" s="40" t="n">
        <f aca="false">IF(OR($D235=0,$G235=""),0,$D235*($T235/100)*($L235*$Q235+$N235*(IF($R235="",$Q235,$R235)-$Q235)+$P235*(IF($S235="",IF($R235="",$Q235,$R235),$S235)-IF($R235="",$Q235,$R235))))</f>
        <v>3115.81699858937</v>
      </c>
      <c r="V235" s="41" t="str">
        <f aca="false">IF(OR($D235=0,$G235=""),"",IF($H235*($E235-INDEX(Parametros_ANEC73!$M$4:$M$6,MATCH($C235,Parametros_ANEC73!$A$4:$A$6,0)))&gt;0,"Sim","Nao"))</f>
        <v>Nao</v>
      </c>
      <c r="W235" s="27" t="str">
        <f aca="false">$A235&amp;"|"&amp;$B235&amp;"|"&amp;$C235</f>
        <v>Bunge|Jun|Fibra</v>
      </c>
    </row>
    <row r="236" customFormat="false" ht="15" hidden="false" customHeight="false" outlineLevel="0" collapsed="false">
      <c r="A236" s="27" t="s">
        <v>45</v>
      </c>
      <c r="B236" s="27" t="s">
        <v>64</v>
      </c>
      <c r="C236" s="27" t="s">
        <v>109</v>
      </c>
      <c r="D236" s="34" t="n">
        <f aca="false">SUMIFS(Media_Cliente_Mes!$C$2:$C$145,Media_Cliente_Mes!$A$2:$A$145,$A236,Media_Cliente_Mes!$B$2:$B$145,$B236)</f>
        <v>99472.54</v>
      </c>
      <c r="E236" s="35" t="n">
        <f aca="false">IF($D236=0,"",IF($C236="Proteina",SUMIFS(Media_Cliente_Mes!$D$2:$D$145,Media_Cliente_Mes!$A$2:$A$145,$A236,Media_Cliente_Mes!$B$2:$B$145,$B236),IF($C236="Umidade",SUMIFS(Media_Cliente_Mes!$E$2:$E$145,Media_Cliente_Mes!$A$2:$A$145,$A236,Media_Cliente_Mes!$B$2:$B$145,$B236),SUMIFS(Media_Cliente_Mes!$F$2:$F$145,Media_Cliente_Mes!$A$2:$A$145,$A236,Media_Cliente_Mes!$B$2:$B$145,$B236))))</f>
        <v>47.5493505212594</v>
      </c>
      <c r="F236" s="35" t="n">
        <f aca="false">INDEX(Parametros_ANEC73!$C$4:$C$6,MATCH($C236,Parametros_ANEC73!$A$4:$A$6,0))</f>
        <v>48</v>
      </c>
      <c r="G236" s="35" t="n">
        <f aca="false">IF($C236="Proteina",INDEX(Media_Pool_Mes!$C$2:$C$13,MATCH($B236,Media_Pool_Mes!$A$2:$A$13,0)),IF($C236="Umidade",INDEX(Media_Pool_Mes!$D$2:$D$13,MATCH($B236,Media_Pool_Mes!$A$2:$A$13,0)),INDEX(Media_Pool_Mes!$E$2:$E$13,MATCH($B236,Media_Pool_Mes!$A$2:$A$13,0))))</f>
        <v>47.6816680231132</v>
      </c>
      <c r="H236" s="37" t="n">
        <f aca="false">INDEX(Parametros_ANEC73!$B$4:$B$6,MATCH($C236,Parametros_ANEC73!$A$4:$A$6,0))</f>
        <v>-1</v>
      </c>
      <c r="I236" s="38" t="n">
        <f aca="false">IF(OR($D236=0,$G236=""),"",IF($H236*($G236-$F236)&gt;0,$G236,$F236))</f>
        <v>47.6816680231132</v>
      </c>
      <c r="J236" s="27" t="str">
        <f aca="false">IF(OR($D236=0,$G236=""),"",IF($H236*($G236-$F236)&gt;0,"Sim","Nao"))</f>
        <v>Sim</v>
      </c>
      <c r="K236" s="27" t="str">
        <f aca="false">IF(OR($D236=0,$G236=""),"",IF(AND($H236*($E236-$F236)&gt;0,$H236*($E236-$G236)&gt;0),"Sim","Nao"))</f>
        <v>Sim</v>
      </c>
      <c r="L236" s="38" t="n">
        <f aca="false">IF(OR($D236=0,$G236=""),0,IF($K236="Sim",MAX(0,$H236*($E236-$I236)),0))</f>
        <v>0.132317501853791</v>
      </c>
      <c r="M236" s="35" t="n">
        <f aca="false">INDEX(Parametros_ANEC73!$G$4:$G$6,MATCH($C236,Parametros_ANEC73!$A$4:$A$6,0))</f>
        <v>47</v>
      </c>
      <c r="N236" s="38" t="n">
        <f aca="false">IF(OR($D236=0,$G236=""),0,IF(AND($K236="Sim",$M236&lt;&gt;""),MAX(0,$H236*($E236-$M236)),0))</f>
        <v>0</v>
      </c>
      <c r="O236" s="35" t="n">
        <f aca="false">INDEX(Parametros_ANEC73!$J$4:$J$6,MATCH($C236,Parametros_ANEC73!$A$4:$A$6,0))</f>
        <v>0</v>
      </c>
      <c r="P236" s="38" t="n">
        <f aca="false">IF(OR($D236=0,$G236=""),0,IF(AND($K236="Sim",$O236&lt;&gt;""),MAX(0,$H236*($E236-$O236)),0))</f>
        <v>0</v>
      </c>
      <c r="Q236" s="35" t="n">
        <f aca="false">INDEX(Parametros_ANEC73!$F$4:$F$6,MATCH($C236,Parametros_ANEC73!$A$4:$A$6,0))</f>
        <v>1</v>
      </c>
      <c r="R236" s="35" t="n">
        <f aca="false">INDEX(Parametros_ANEC73!$I$4:$I$6,MATCH($C236,Parametros_ANEC73!$A$4:$A$6,0))</f>
        <v>2</v>
      </c>
      <c r="S236" s="35" t="n">
        <f aca="false">INDEX(Parametros_ANEC73!$L$4:$L$6,MATCH($C236,Parametros_ANEC73!$A$4:$A$6,0))</f>
        <v>0</v>
      </c>
      <c r="T236" s="39" t="n">
        <f aca="false">INDEX(Parametros_ANEC73!$B$14:$B$25,MATCH($B236,Parametros_ANEC73!$A$14:$A$25,0))</f>
        <v>326</v>
      </c>
      <c r="U236" s="40" t="n">
        <f aca="false">IF(OR($D236=0,$G236=""),0,$D236*($T236/100)*($L236*$Q236+$N236*(IF($R236="",$Q236,$R236)-$Q236)+$P236*(IF($S236="",IF($R236="",$Q236,$R236),$S236)-IF($R236="",$Q236,$R236))))</f>
        <v>42907.9830664752</v>
      </c>
      <c r="V236" s="41" t="str">
        <f aca="false">IF(OR($D236=0,$G236=""),"",IF($H236*($E236-INDEX(Parametros_ANEC73!$M$4:$M$6,MATCH($C236,Parametros_ANEC73!$A$4:$A$6,0)))&gt;0,"Sim","Nao"))</f>
        <v>Nao</v>
      </c>
      <c r="W236" s="27" t="str">
        <f aca="false">$A236&amp;"|"&amp;$B236&amp;"|"&amp;$C236</f>
        <v>Bunge|Jul|Proteina</v>
      </c>
    </row>
    <row r="237" customFormat="false" ht="15" hidden="false" customHeight="false" outlineLevel="0" collapsed="false">
      <c r="A237" s="27" t="s">
        <v>45</v>
      </c>
      <c r="B237" s="27" t="s">
        <v>64</v>
      </c>
      <c r="C237" s="27" t="s">
        <v>110</v>
      </c>
      <c r="D237" s="34" t="n">
        <f aca="false">SUMIFS(Media_Cliente_Mes!$C$2:$C$145,Media_Cliente_Mes!$A$2:$A$145,$A237,Media_Cliente_Mes!$B$2:$B$145,$B237)</f>
        <v>99472.54</v>
      </c>
      <c r="E237" s="35" t="n">
        <f aca="false">IF($D237=0,"",IF($C237="Proteina",SUMIFS(Media_Cliente_Mes!$D$2:$D$145,Media_Cliente_Mes!$A$2:$A$145,$A237,Media_Cliente_Mes!$B$2:$B$145,$B237),IF($C237="Umidade",SUMIFS(Media_Cliente_Mes!$E$2:$E$145,Media_Cliente_Mes!$A$2:$A$145,$A237,Media_Cliente_Mes!$B$2:$B$145,$B237),SUMIFS(Media_Cliente_Mes!$F$2:$F$145,Media_Cliente_Mes!$A$2:$A$145,$A237,Media_Cliente_Mes!$B$2:$B$145,$B237))))</f>
        <v>12.3413029354634</v>
      </c>
      <c r="F237" s="35" t="n">
        <f aca="false">INDEX(Parametros_ANEC73!$C$4:$C$6,MATCH($C237,Parametros_ANEC73!$A$4:$A$6,0))</f>
        <v>12.5</v>
      </c>
      <c r="G237" s="35" t="n">
        <f aca="false">IF($C237="Proteina",INDEX(Media_Pool_Mes!$C$2:$C$13,MATCH($B237,Media_Pool_Mes!$A$2:$A$13,0)),IF($C237="Umidade",INDEX(Media_Pool_Mes!$D$2:$D$13,MATCH($B237,Media_Pool_Mes!$A$2:$A$13,0)),INDEX(Media_Pool_Mes!$E$2:$E$13,MATCH($B237,Media_Pool_Mes!$A$2:$A$13,0))))</f>
        <v>12.2356489048309</v>
      </c>
      <c r="H237" s="37" t="n">
        <f aca="false">INDEX(Parametros_ANEC73!$B$4:$B$6,MATCH($C237,Parametros_ANEC73!$A$4:$A$6,0))</f>
        <v>1</v>
      </c>
      <c r="I237" s="38" t="n">
        <f aca="false">IF(OR($D237=0,$G237=""),"",IF($H237*($G237-$F237)&gt;0,$G237,$F237))</f>
        <v>12.5</v>
      </c>
      <c r="J237" s="27" t="str">
        <f aca="false">IF(OR($D237=0,$G237=""),"",IF($H237*($G237-$F237)&gt;0,"Sim","Nao"))</f>
        <v>Nao</v>
      </c>
      <c r="K237" s="27" t="str">
        <f aca="false">IF(OR($D237=0,$G237=""),"",IF(AND($H237*($E237-$F237)&gt;0,$H237*($E237-$G237)&gt;0),"Sim","Nao"))</f>
        <v>Nao</v>
      </c>
      <c r="L237" s="38" t="n">
        <f aca="false">IF(OR($D237=0,$G237=""),0,IF($K237="Sim",MAX(0,$H237*($E237-$I237)),0))</f>
        <v>0</v>
      </c>
      <c r="M237" s="35" t="n">
        <f aca="false">INDEX(Parametros_ANEC73!$G$4:$G$6,MATCH($C237,Parametros_ANEC73!$A$4:$A$6,0))</f>
        <v>0</v>
      </c>
      <c r="N237" s="38" t="n">
        <f aca="false">IF(OR($D237=0,$G237=""),0,IF(AND($K237="Sim",$M237&lt;&gt;""),MAX(0,$H237*($E237-$M237)),0))</f>
        <v>0</v>
      </c>
      <c r="O237" s="35" t="n">
        <f aca="false">INDEX(Parametros_ANEC73!$J$4:$J$6,MATCH($C237,Parametros_ANEC73!$A$4:$A$6,0))</f>
        <v>0</v>
      </c>
      <c r="P237" s="38" t="n">
        <f aca="false">IF(OR($D237=0,$G237=""),0,IF(AND($K237="Sim",$O237&lt;&gt;""),MAX(0,$H237*($E237-$O237)),0))</f>
        <v>0</v>
      </c>
      <c r="Q237" s="35" t="n">
        <f aca="false">INDEX(Parametros_ANEC73!$F$4:$F$6,MATCH($C237,Parametros_ANEC73!$A$4:$A$6,0))</f>
        <v>1</v>
      </c>
      <c r="R237" s="35" t="n">
        <f aca="false">INDEX(Parametros_ANEC73!$I$4:$I$6,MATCH($C237,Parametros_ANEC73!$A$4:$A$6,0))</f>
        <v>0</v>
      </c>
      <c r="S237" s="35" t="n">
        <f aca="false">INDEX(Parametros_ANEC73!$L$4:$L$6,MATCH($C237,Parametros_ANEC73!$A$4:$A$6,0))</f>
        <v>0</v>
      </c>
      <c r="T237" s="39" t="n">
        <f aca="false">INDEX(Parametros_ANEC73!$B$14:$B$25,MATCH($B237,Parametros_ANEC73!$A$14:$A$25,0))</f>
        <v>326</v>
      </c>
      <c r="U237" s="40" t="n">
        <f aca="false">IF(OR($D237=0,$G237=""),0,$D237*($T237/100)*($L237*$Q237+$N237*(IF($R237="",$Q237,$R237)-$Q237)+$P237*(IF($S237="",IF($R237="",$Q237,$R237),$S237)-IF($R237="",$Q237,$R237))))</f>
        <v>0</v>
      </c>
      <c r="V237" s="41" t="str">
        <f aca="false">IF(OR($D237=0,$G237=""),"",IF($H237*($E237-INDEX(Parametros_ANEC73!$M$4:$M$6,MATCH($C237,Parametros_ANEC73!$A$4:$A$6,0)))&gt;0,"Sim","Nao"))</f>
        <v>Nao</v>
      </c>
      <c r="W237" s="27" t="str">
        <f aca="false">$A237&amp;"|"&amp;$B237&amp;"|"&amp;$C237</f>
        <v>Bunge|Jul|Umidade</v>
      </c>
    </row>
    <row r="238" customFormat="false" ht="15" hidden="false" customHeight="false" outlineLevel="0" collapsed="false">
      <c r="A238" s="27" t="s">
        <v>45</v>
      </c>
      <c r="B238" s="27" t="s">
        <v>64</v>
      </c>
      <c r="C238" s="27" t="s">
        <v>111</v>
      </c>
      <c r="D238" s="34" t="n">
        <f aca="false">SUMIFS(Media_Cliente_Mes!$C$2:$C$145,Media_Cliente_Mes!$A$2:$A$145,$A238,Media_Cliente_Mes!$B$2:$B$145,$B238)</f>
        <v>99472.54</v>
      </c>
      <c r="E238" s="35" t="n">
        <f aca="false">IF($D238=0,"",IF($C238="Proteina",SUMIFS(Media_Cliente_Mes!$D$2:$D$145,Media_Cliente_Mes!$A$2:$A$145,$A238,Media_Cliente_Mes!$B$2:$B$145,$B238),IF($C238="Umidade",SUMIFS(Media_Cliente_Mes!$E$2:$E$145,Media_Cliente_Mes!$A$2:$A$145,$A238,Media_Cliente_Mes!$B$2:$B$145,$B238),SUMIFS(Media_Cliente_Mes!$F$2:$F$145,Media_Cliente_Mes!$A$2:$A$145,$A238,Media_Cliente_Mes!$B$2:$B$145,$B238))))</f>
        <v>3.52883952395304</v>
      </c>
      <c r="F238" s="35" t="n">
        <f aca="false">INDEX(Parametros_ANEC73!$C$4:$C$6,MATCH($C238,Parametros_ANEC73!$A$4:$A$6,0))</f>
        <v>3.5</v>
      </c>
      <c r="G238" s="35" t="n">
        <f aca="false">IF($C238="Proteina",INDEX(Media_Pool_Mes!$C$2:$C$13,MATCH($B238,Media_Pool_Mes!$A$2:$A$13,0)),IF($C238="Umidade",INDEX(Media_Pool_Mes!$D$2:$D$13,MATCH($B238,Media_Pool_Mes!$A$2:$A$13,0)),INDEX(Media_Pool_Mes!$E$2:$E$13,MATCH($B238,Media_Pool_Mes!$A$2:$A$13,0))))</f>
        <v>3.48415625565953</v>
      </c>
      <c r="H238" s="37" t="n">
        <f aca="false">INDEX(Parametros_ANEC73!$B$4:$B$6,MATCH($C238,Parametros_ANEC73!$A$4:$A$6,0))</f>
        <v>1</v>
      </c>
      <c r="I238" s="38" t="n">
        <f aca="false">IF(OR($D238=0,$G238=""),"",IF($H238*($G238-$F238)&gt;0,$G238,$F238))</f>
        <v>3.5</v>
      </c>
      <c r="J238" s="27" t="str">
        <f aca="false">IF(OR($D238=0,$G238=""),"",IF($H238*($G238-$F238)&gt;0,"Sim","Nao"))</f>
        <v>Nao</v>
      </c>
      <c r="K238" s="27" t="str">
        <f aca="false">IF(OR($D238=0,$G238=""),"",IF(AND($H238*($E238-$F238)&gt;0,$H238*($E238-$G238)&gt;0),"Sim","Nao"))</f>
        <v>Sim</v>
      </c>
      <c r="L238" s="38" t="n">
        <f aca="false">IF(OR($D238=0,$G238=""),0,IF($K238="Sim",MAX(0,$H238*($E238-$I238)),0))</f>
        <v>0.0288395239530428</v>
      </c>
      <c r="M238" s="35" t="n">
        <f aca="false">INDEX(Parametros_ANEC73!$G$4:$G$6,MATCH($C238,Parametros_ANEC73!$A$4:$A$6,0))</f>
        <v>3.8</v>
      </c>
      <c r="N238" s="38" t="n">
        <f aca="false">IF(OR($D238=0,$G238=""),0,IF(AND($K238="Sim",$M238&lt;&gt;""),MAX(0,$H238*($E238-$M238)),0))</f>
        <v>0</v>
      </c>
      <c r="O238" s="35" t="n">
        <f aca="false">INDEX(Parametros_ANEC73!$J$4:$J$6,MATCH($C238,Parametros_ANEC73!$A$4:$A$6,0))</f>
        <v>4</v>
      </c>
      <c r="P238" s="38" t="n">
        <f aca="false">IF(OR($D238=0,$G238=""),0,IF(AND($K238="Sim",$O238&lt;&gt;""),MAX(0,$H238*($E238-$O238)),0))</f>
        <v>0</v>
      </c>
      <c r="Q238" s="35" t="n">
        <f aca="false">INDEX(Parametros_ANEC73!$F$4:$F$6,MATCH($C238,Parametros_ANEC73!$A$4:$A$6,0))</f>
        <v>1</v>
      </c>
      <c r="R238" s="35" t="n">
        <f aca="false">INDEX(Parametros_ANEC73!$I$4:$I$6,MATCH($C238,Parametros_ANEC73!$A$4:$A$6,0))</f>
        <v>1.5</v>
      </c>
      <c r="S238" s="35" t="n">
        <f aca="false">INDEX(Parametros_ANEC73!$L$4:$L$6,MATCH($C238,Parametros_ANEC73!$A$4:$A$6,0))</f>
        <v>2</v>
      </c>
      <c r="T238" s="39" t="n">
        <f aca="false">INDEX(Parametros_ANEC73!$B$14:$B$25,MATCH($B238,Parametros_ANEC73!$A$14:$A$25,0))</f>
        <v>326</v>
      </c>
      <c r="U238" s="40" t="n">
        <f aca="false">IF(OR($D238=0,$G238=""),0,$D238*($T238/100)*($L238*$Q238+$N238*(IF($R238="",$Q238,$R238)-$Q238)+$P238*(IF($S238="",IF($R238="",$Q238,$R238),$S238)-IF($R238="",$Q238,$R238))))</f>
        <v>9352.09468200002</v>
      </c>
      <c r="V238" s="41" t="str">
        <f aca="false">IF(OR($D238=0,$G238=""),"",IF($H238*($E238-INDEX(Parametros_ANEC73!$M$4:$M$6,MATCH($C238,Parametros_ANEC73!$A$4:$A$6,0)))&gt;0,"Sim","Nao"))</f>
        <v>Nao</v>
      </c>
      <c r="W238" s="27" t="str">
        <f aca="false">$A238&amp;"|"&amp;$B238&amp;"|"&amp;$C238</f>
        <v>Bunge|Jul|Fibra</v>
      </c>
    </row>
    <row r="239" customFormat="false" ht="15" hidden="false" customHeight="false" outlineLevel="0" collapsed="false">
      <c r="A239" s="27" t="s">
        <v>45</v>
      </c>
      <c r="B239" s="27" t="s">
        <v>65</v>
      </c>
      <c r="C239" s="27" t="s">
        <v>109</v>
      </c>
      <c r="D239" s="34" t="n">
        <f aca="false">SUMIFS(Media_Cliente_Mes!$C$2:$C$145,Media_Cliente_Mes!$A$2:$A$145,$A239,Media_Cliente_Mes!$B$2:$B$145,$B239)</f>
        <v>78501.68</v>
      </c>
      <c r="E239" s="35" t="n">
        <f aca="false">IF($D239=0,"",IF($C239="Proteina",SUMIFS(Media_Cliente_Mes!$D$2:$D$145,Media_Cliente_Mes!$A$2:$A$145,$A239,Media_Cliente_Mes!$B$2:$B$145,$B239),IF($C239="Umidade",SUMIFS(Media_Cliente_Mes!$E$2:$E$145,Media_Cliente_Mes!$A$2:$A$145,$A239,Media_Cliente_Mes!$B$2:$B$145,$B239),SUMIFS(Media_Cliente_Mes!$F$2:$F$145,Media_Cliente_Mes!$A$2:$A$145,$A239,Media_Cliente_Mes!$B$2:$B$145,$B239))))</f>
        <v>47.2132038384401</v>
      </c>
      <c r="F239" s="35" t="n">
        <f aca="false">INDEX(Parametros_ANEC73!$C$4:$C$6,MATCH($C239,Parametros_ANEC73!$A$4:$A$6,0))</f>
        <v>48</v>
      </c>
      <c r="G239" s="35" t="n">
        <f aca="false">IF($C239="Proteina",INDEX(Media_Pool_Mes!$C$2:$C$13,MATCH($B239,Media_Pool_Mes!$A$2:$A$13,0)),IF($C239="Umidade",INDEX(Media_Pool_Mes!$D$2:$D$13,MATCH($B239,Media_Pool_Mes!$A$2:$A$13,0)),INDEX(Media_Pool_Mes!$E$2:$E$13,MATCH($B239,Media_Pool_Mes!$A$2:$A$13,0))))</f>
        <v>47.3199561197423</v>
      </c>
      <c r="H239" s="37" t="n">
        <f aca="false">INDEX(Parametros_ANEC73!$B$4:$B$6,MATCH($C239,Parametros_ANEC73!$A$4:$A$6,0))</f>
        <v>-1</v>
      </c>
      <c r="I239" s="38" t="n">
        <f aca="false">IF(OR($D239=0,$G239=""),"",IF($H239*($G239-$F239)&gt;0,$G239,$F239))</f>
        <v>47.3199561197423</v>
      </c>
      <c r="J239" s="27" t="str">
        <f aca="false">IF(OR($D239=0,$G239=""),"",IF($H239*($G239-$F239)&gt;0,"Sim","Nao"))</f>
        <v>Sim</v>
      </c>
      <c r="K239" s="27" t="str">
        <f aca="false">IF(OR($D239=0,$G239=""),"",IF(AND($H239*($E239-$F239)&gt;0,$H239*($E239-$G239)&gt;0),"Sim","Nao"))</f>
        <v>Sim</v>
      </c>
      <c r="L239" s="38" t="n">
        <f aca="false">IF(OR($D239=0,$G239=""),0,IF($K239="Sim",MAX(0,$H239*($E239-$I239)),0))</f>
        <v>0.106752281302136</v>
      </c>
      <c r="M239" s="35" t="n">
        <f aca="false">INDEX(Parametros_ANEC73!$G$4:$G$6,MATCH($C239,Parametros_ANEC73!$A$4:$A$6,0))</f>
        <v>47</v>
      </c>
      <c r="N239" s="38" t="n">
        <f aca="false">IF(OR($D239=0,$G239=""),0,IF(AND($K239="Sim",$M239&lt;&gt;""),MAX(0,$H239*($E239-$M239)),0))</f>
        <v>0</v>
      </c>
      <c r="O239" s="35" t="n">
        <f aca="false">INDEX(Parametros_ANEC73!$J$4:$J$6,MATCH($C239,Parametros_ANEC73!$A$4:$A$6,0))</f>
        <v>0</v>
      </c>
      <c r="P239" s="38" t="n">
        <f aca="false">IF(OR($D239=0,$G239=""),0,IF(AND($K239="Sim",$O239&lt;&gt;""),MAX(0,$H239*($E239-$O239)),0))</f>
        <v>0</v>
      </c>
      <c r="Q239" s="35" t="n">
        <f aca="false">INDEX(Parametros_ANEC73!$F$4:$F$6,MATCH($C239,Parametros_ANEC73!$A$4:$A$6,0))</f>
        <v>1</v>
      </c>
      <c r="R239" s="35" t="n">
        <f aca="false">INDEX(Parametros_ANEC73!$I$4:$I$6,MATCH($C239,Parametros_ANEC73!$A$4:$A$6,0))</f>
        <v>2</v>
      </c>
      <c r="S239" s="35" t="n">
        <f aca="false">INDEX(Parametros_ANEC73!$L$4:$L$6,MATCH($C239,Parametros_ANEC73!$A$4:$A$6,0))</f>
        <v>0</v>
      </c>
      <c r="T239" s="39" t="n">
        <f aca="false">INDEX(Parametros_ANEC73!$B$14:$B$25,MATCH($B239,Parametros_ANEC73!$A$14:$A$25,0))</f>
        <v>326</v>
      </c>
      <c r="U239" s="40" t="n">
        <f aca="false">IF(OR($D239=0,$G239=""),0,$D239*($T239/100)*($L239*$Q239+$N239*(IF($R239="",$Q239,$R239)-$Q239)+$P239*(IF($S239="",IF($R239="",$Q239,$R239),$S239)-IF($R239="",$Q239,$R239))))</f>
        <v>27319.5609689237</v>
      </c>
      <c r="V239" s="41" t="str">
        <f aca="false">IF(OR($D239=0,$G239=""),"",IF($H239*($E239-INDEX(Parametros_ANEC73!$M$4:$M$6,MATCH($C239,Parametros_ANEC73!$A$4:$A$6,0)))&gt;0,"Sim","Nao"))</f>
        <v>Nao</v>
      </c>
      <c r="W239" s="27" t="str">
        <f aca="false">$A239&amp;"|"&amp;$B239&amp;"|"&amp;$C239</f>
        <v>Bunge|Ago|Proteina</v>
      </c>
    </row>
    <row r="240" customFormat="false" ht="15" hidden="false" customHeight="false" outlineLevel="0" collapsed="false">
      <c r="A240" s="27" t="s">
        <v>45</v>
      </c>
      <c r="B240" s="27" t="s">
        <v>65</v>
      </c>
      <c r="C240" s="27" t="s">
        <v>110</v>
      </c>
      <c r="D240" s="34" t="n">
        <f aca="false">SUMIFS(Media_Cliente_Mes!$C$2:$C$145,Media_Cliente_Mes!$A$2:$A$145,$A240,Media_Cliente_Mes!$B$2:$B$145,$B240)</f>
        <v>78501.68</v>
      </c>
      <c r="E240" s="35" t="n">
        <f aca="false">IF($D240=0,"",IF($C240="Proteina",SUMIFS(Media_Cliente_Mes!$D$2:$D$145,Media_Cliente_Mes!$A$2:$A$145,$A240,Media_Cliente_Mes!$B$2:$B$145,$B240),IF($C240="Umidade",SUMIFS(Media_Cliente_Mes!$E$2:$E$145,Media_Cliente_Mes!$A$2:$A$145,$A240,Media_Cliente_Mes!$B$2:$B$145,$B240),SUMIFS(Media_Cliente_Mes!$F$2:$F$145,Media_Cliente_Mes!$A$2:$A$145,$A240,Media_Cliente_Mes!$B$2:$B$145,$B240))))</f>
        <v>12.1241707718867</v>
      </c>
      <c r="F240" s="35" t="n">
        <f aca="false">INDEX(Parametros_ANEC73!$C$4:$C$6,MATCH($C240,Parametros_ANEC73!$A$4:$A$6,0))</f>
        <v>12.5</v>
      </c>
      <c r="G240" s="35" t="n">
        <f aca="false">IF($C240="Proteina",INDEX(Media_Pool_Mes!$C$2:$C$13,MATCH($B240,Media_Pool_Mes!$A$2:$A$13,0)),IF($C240="Umidade",INDEX(Media_Pool_Mes!$D$2:$D$13,MATCH($B240,Media_Pool_Mes!$A$2:$A$13,0)),INDEX(Media_Pool_Mes!$E$2:$E$13,MATCH($B240,Media_Pool_Mes!$A$2:$A$13,0))))</f>
        <v>12.2068387200965</v>
      </c>
      <c r="H240" s="37" t="n">
        <f aca="false">INDEX(Parametros_ANEC73!$B$4:$B$6,MATCH($C240,Parametros_ANEC73!$A$4:$A$6,0))</f>
        <v>1</v>
      </c>
      <c r="I240" s="38" t="n">
        <f aca="false">IF(OR($D240=0,$G240=""),"",IF($H240*($G240-$F240)&gt;0,$G240,$F240))</f>
        <v>12.5</v>
      </c>
      <c r="J240" s="27" t="str">
        <f aca="false">IF(OR($D240=0,$G240=""),"",IF($H240*($G240-$F240)&gt;0,"Sim","Nao"))</f>
        <v>Nao</v>
      </c>
      <c r="K240" s="27" t="str">
        <f aca="false">IF(OR($D240=0,$G240=""),"",IF(AND($H240*($E240-$F240)&gt;0,$H240*($E240-$G240)&gt;0),"Sim","Nao"))</f>
        <v>Nao</v>
      </c>
      <c r="L240" s="38" t="n">
        <f aca="false">IF(OR($D240=0,$G240=""),0,IF($K240="Sim",MAX(0,$H240*($E240-$I240)),0))</f>
        <v>0</v>
      </c>
      <c r="M240" s="35" t="n">
        <f aca="false">INDEX(Parametros_ANEC73!$G$4:$G$6,MATCH($C240,Parametros_ANEC73!$A$4:$A$6,0))</f>
        <v>0</v>
      </c>
      <c r="N240" s="38" t="n">
        <f aca="false">IF(OR($D240=0,$G240=""),0,IF(AND($K240="Sim",$M240&lt;&gt;""),MAX(0,$H240*($E240-$M240)),0))</f>
        <v>0</v>
      </c>
      <c r="O240" s="35" t="n">
        <f aca="false">INDEX(Parametros_ANEC73!$J$4:$J$6,MATCH($C240,Parametros_ANEC73!$A$4:$A$6,0))</f>
        <v>0</v>
      </c>
      <c r="P240" s="38" t="n">
        <f aca="false">IF(OR($D240=0,$G240=""),0,IF(AND($K240="Sim",$O240&lt;&gt;""),MAX(0,$H240*($E240-$O240)),0))</f>
        <v>0</v>
      </c>
      <c r="Q240" s="35" t="n">
        <f aca="false">INDEX(Parametros_ANEC73!$F$4:$F$6,MATCH($C240,Parametros_ANEC73!$A$4:$A$6,0))</f>
        <v>1</v>
      </c>
      <c r="R240" s="35" t="n">
        <f aca="false">INDEX(Parametros_ANEC73!$I$4:$I$6,MATCH($C240,Parametros_ANEC73!$A$4:$A$6,0))</f>
        <v>0</v>
      </c>
      <c r="S240" s="35" t="n">
        <f aca="false">INDEX(Parametros_ANEC73!$L$4:$L$6,MATCH($C240,Parametros_ANEC73!$A$4:$A$6,0))</f>
        <v>0</v>
      </c>
      <c r="T240" s="39" t="n">
        <f aca="false">INDEX(Parametros_ANEC73!$B$14:$B$25,MATCH($B240,Parametros_ANEC73!$A$14:$A$25,0))</f>
        <v>326</v>
      </c>
      <c r="U240" s="40" t="n">
        <f aca="false">IF(OR($D240=0,$G240=""),0,$D240*($T240/100)*($L240*$Q240+$N240*(IF($R240="",$Q240,$R240)-$Q240)+$P240*(IF($S240="",IF($R240="",$Q240,$R240),$S240)-IF($R240="",$Q240,$R240))))</f>
        <v>0</v>
      </c>
      <c r="V240" s="41" t="str">
        <f aca="false">IF(OR($D240=0,$G240=""),"",IF($H240*($E240-INDEX(Parametros_ANEC73!$M$4:$M$6,MATCH($C240,Parametros_ANEC73!$A$4:$A$6,0)))&gt;0,"Sim","Nao"))</f>
        <v>Nao</v>
      </c>
      <c r="W240" s="27" t="str">
        <f aca="false">$A240&amp;"|"&amp;$B240&amp;"|"&amp;$C240</f>
        <v>Bunge|Ago|Umidade</v>
      </c>
    </row>
    <row r="241" customFormat="false" ht="15" hidden="false" customHeight="false" outlineLevel="0" collapsed="false">
      <c r="A241" s="27" t="s">
        <v>45</v>
      </c>
      <c r="B241" s="27" t="s">
        <v>65</v>
      </c>
      <c r="C241" s="27" t="s">
        <v>111</v>
      </c>
      <c r="D241" s="34" t="n">
        <f aca="false">SUMIFS(Media_Cliente_Mes!$C$2:$C$145,Media_Cliente_Mes!$A$2:$A$145,$A241,Media_Cliente_Mes!$B$2:$B$145,$B241)</f>
        <v>78501.68</v>
      </c>
      <c r="E241" s="35" t="n">
        <f aca="false">IF($D241=0,"",IF($C241="Proteina",SUMIFS(Media_Cliente_Mes!$D$2:$D$145,Media_Cliente_Mes!$A$2:$A$145,$A241,Media_Cliente_Mes!$B$2:$B$145,$B241),IF($C241="Umidade",SUMIFS(Media_Cliente_Mes!$E$2:$E$145,Media_Cliente_Mes!$A$2:$A$145,$A241,Media_Cliente_Mes!$B$2:$B$145,$B241),SUMIFS(Media_Cliente_Mes!$F$2:$F$145,Media_Cliente_Mes!$A$2:$A$145,$A241,Media_Cliente_Mes!$B$2:$B$145,$B241))))</f>
        <v>3.80781625947368</v>
      </c>
      <c r="F241" s="35" t="n">
        <f aca="false">INDEX(Parametros_ANEC73!$C$4:$C$6,MATCH($C241,Parametros_ANEC73!$A$4:$A$6,0))</f>
        <v>3.5</v>
      </c>
      <c r="G241" s="35" t="n">
        <f aca="false">IF($C241="Proteina",INDEX(Media_Pool_Mes!$C$2:$C$13,MATCH($B241,Media_Pool_Mes!$A$2:$A$13,0)),IF($C241="Umidade",INDEX(Media_Pool_Mes!$D$2:$D$13,MATCH($B241,Media_Pool_Mes!$A$2:$A$13,0)),INDEX(Media_Pool_Mes!$E$2:$E$13,MATCH($B241,Media_Pool_Mes!$A$2:$A$13,0))))</f>
        <v>3.7692688740906</v>
      </c>
      <c r="H241" s="37" t="n">
        <f aca="false">INDEX(Parametros_ANEC73!$B$4:$B$6,MATCH($C241,Parametros_ANEC73!$A$4:$A$6,0))</f>
        <v>1</v>
      </c>
      <c r="I241" s="38" t="n">
        <f aca="false">IF(OR($D241=0,$G241=""),"",IF($H241*($G241-$F241)&gt;0,$G241,$F241))</f>
        <v>3.7692688740906</v>
      </c>
      <c r="J241" s="27" t="str">
        <f aca="false">IF(OR($D241=0,$G241=""),"",IF($H241*($G241-$F241)&gt;0,"Sim","Nao"))</f>
        <v>Sim</v>
      </c>
      <c r="K241" s="27" t="str">
        <f aca="false">IF(OR($D241=0,$G241=""),"",IF(AND($H241*($E241-$F241)&gt;0,$H241*($E241-$G241)&gt;0),"Sim","Nao"))</f>
        <v>Sim</v>
      </c>
      <c r="L241" s="38" t="n">
        <f aca="false">IF(OR($D241=0,$G241=""),0,IF($K241="Sim",MAX(0,$H241*($E241-$I241)),0))</f>
        <v>0.0385473853830844</v>
      </c>
      <c r="M241" s="35" t="n">
        <f aca="false">INDEX(Parametros_ANEC73!$G$4:$G$6,MATCH($C241,Parametros_ANEC73!$A$4:$A$6,0))</f>
        <v>3.8</v>
      </c>
      <c r="N241" s="38" t="n">
        <f aca="false">IF(OR($D241=0,$G241=""),0,IF(AND($K241="Sim",$M241&lt;&gt;""),MAX(0,$H241*($E241-$M241)),0))</f>
        <v>0.00781625947368259</v>
      </c>
      <c r="O241" s="35" t="n">
        <f aca="false">INDEX(Parametros_ANEC73!$J$4:$J$6,MATCH($C241,Parametros_ANEC73!$A$4:$A$6,0))</f>
        <v>4</v>
      </c>
      <c r="P241" s="38" t="n">
        <f aca="false">IF(OR($D241=0,$G241=""),0,IF(AND($K241="Sim",$O241&lt;&gt;""),MAX(0,$H241*($E241-$O241)),0))</f>
        <v>0</v>
      </c>
      <c r="Q241" s="35" t="n">
        <f aca="false">INDEX(Parametros_ANEC73!$F$4:$F$6,MATCH($C241,Parametros_ANEC73!$A$4:$A$6,0))</f>
        <v>1</v>
      </c>
      <c r="R241" s="35" t="n">
        <f aca="false">INDEX(Parametros_ANEC73!$I$4:$I$6,MATCH($C241,Parametros_ANEC73!$A$4:$A$6,0))</f>
        <v>1.5</v>
      </c>
      <c r="S241" s="35" t="n">
        <f aca="false">INDEX(Parametros_ANEC73!$L$4:$L$6,MATCH($C241,Parametros_ANEC73!$A$4:$A$6,0))</f>
        <v>2</v>
      </c>
      <c r="T241" s="39" t="n">
        <f aca="false">INDEX(Parametros_ANEC73!$B$14:$B$25,MATCH($B241,Parametros_ANEC73!$A$14:$A$25,0))</f>
        <v>326</v>
      </c>
      <c r="U241" s="40" t="n">
        <f aca="false">IF(OR($D241=0,$G241=""),0,$D241*($T241/100)*($L241*$Q241+$N241*(IF($R241="",$Q241,$R241)-$Q241)+$P241*(IF($S241="",IF($R241="",$Q241,$R241),$S241)-IF($R241="",$Q241,$R241))))</f>
        <v>10865.0233947054</v>
      </c>
      <c r="V241" s="41" t="str">
        <f aca="false">IF(OR($D241=0,$G241=""),"",IF($H241*($E241-INDEX(Parametros_ANEC73!$M$4:$M$6,MATCH($C241,Parametros_ANEC73!$A$4:$A$6,0)))&gt;0,"Sim","Nao"))</f>
        <v>Nao</v>
      </c>
      <c r="W241" s="27" t="str">
        <f aca="false">$A241&amp;"|"&amp;$B241&amp;"|"&amp;$C241</f>
        <v>Bunge|Ago|Fibra</v>
      </c>
    </row>
    <row r="242" customFormat="false" ht="15" hidden="false" customHeight="false" outlineLevel="0" collapsed="false">
      <c r="A242" s="27" t="s">
        <v>45</v>
      </c>
      <c r="B242" s="27" t="s">
        <v>66</v>
      </c>
      <c r="C242" s="27" t="s">
        <v>109</v>
      </c>
      <c r="D242" s="34" t="n">
        <f aca="false">SUMIFS(Media_Cliente_Mes!$C$2:$C$145,Media_Cliente_Mes!$A$2:$A$145,$A242,Media_Cliente_Mes!$B$2:$B$145,$B242)</f>
        <v>19994.68</v>
      </c>
      <c r="E242" s="35" t="n">
        <f aca="false">IF($D242=0,"",IF($C242="Proteina",SUMIFS(Media_Cliente_Mes!$D$2:$D$145,Media_Cliente_Mes!$A$2:$A$145,$A242,Media_Cliente_Mes!$B$2:$B$145,$B242),IF($C242="Umidade",SUMIFS(Media_Cliente_Mes!$E$2:$E$145,Media_Cliente_Mes!$A$2:$A$145,$A242,Media_Cliente_Mes!$B$2:$B$145,$B242),SUMIFS(Media_Cliente_Mes!$F$2:$F$145,Media_Cliente_Mes!$A$2:$A$145,$A242,Media_Cliente_Mes!$B$2:$B$145,$B242))))</f>
        <v>47.2522293179986</v>
      </c>
      <c r="F242" s="35" t="n">
        <f aca="false">INDEX(Parametros_ANEC73!$C$4:$C$6,MATCH($C242,Parametros_ANEC73!$A$4:$A$6,0))</f>
        <v>48</v>
      </c>
      <c r="G242" s="35" t="n">
        <f aca="false">IF($C242="Proteina",INDEX(Media_Pool_Mes!$C$2:$C$13,MATCH($B242,Media_Pool_Mes!$A$2:$A$13,0)),IF($C242="Umidade",INDEX(Media_Pool_Mes!$D$2:$D$13,MATCH($B242,Media_Pool_Mes!$A$2:$A$13,0)),INDEX(Media_Pool_Mes!$E$2:$E$13,MATCH($B242,Media_Pool_Mes!$A$2:$A$13,0))))</f>
        <v>47.5387514497333</v>
      </c>
      <c r="H242" s="37" t="n">
        <f aca="false">INDEX(Parametros_ANEC73!$B$4:$B$6,MATCH($C242,Parametros_ANEC73!$A$4:$A$6,0))</f>
        <v>-1</v>
      </c>
      <c r="I242" s="38" t="n">
        <f aca="false">IF(OR($D242=0,$G242=""),"",IF($H242*($G242-$F242)&gt;0,$G242,$F242))</f>
        <v>47.5387514497333</v>
      </c>
      <c r="J242" s="27" t="str">
        <f aca="false">IF(OR($D242=0,$G242=""),"",IF($H242*($G242-$F242)&gt;0,"Sim","Nao"))</f>
        <v>Sim</v>
      </c>
      <c r="K242" s="27" t="str">
        <f aca="false">IF(OR($D242=0,$G242=""),"",IF(AND($H242*($E242-$F242)&gt;0,$H242*($E242-$G242)&gt;0),"Sim","Nao"))</f>
        <v>Sim</v>
      </c>
      <c r="L242" s="38" t="n">
        <f aca="false">IF(OR($D242=0,$G242=""),0,IF($K242="Sim",MAX(0,$H242*($E242-$I242)),0))</f>
        <v>0.286522131734692</v>
      </c>
      <c r="M242" s="35" t="n">
        <f aca="false">INDEX(Parametros_ANEC73!$G$4:$G$6,MATCH($C242,Parametros_ANEC73!$A$4:$A$6,0))</f>
        <v>47</v>
      </c>
      <c r="N242" s="38" t="n">
        <f aca="false">IF(OR($D242=0,$G242=""),0,IF(AND($K242="Sim",$M242&lt;&gt;""),MAX(0,$H242*($E242-$M242)),0))</f>
        <v>0</v>
      </c>
      <c r="O242" s="35" t="n">
        <f aca="false">INDEX(Parametros_ANEC73!$J$4:$J$6,MATCH($C242,Parametros_ANEC73!$A$4:$A$6,0))</f>
        <v>0</v>
      </c>
      <c r="P242" s="38" t="n">
        <f aca="false">IF(OR($D242=0,$G242=""),0,IF(AND($K242="Sim",$O242&lt;&gt;""),MAX(0,$H242*($E242-$O242)),0))</f>
        <v>0</v>
      </c>
      <c r="Q242" s="35" t="n">
        <f aca="false">INDEX(Parametros_ANEC73!$F$4:$F$6,MATCH($C242,Parametros_ANEC73!$A$4:$A$6,0))</f>
        <v>1</v>
      </c>
      <c r="R242" s="35" t="n">
        <f aca="false">INDEX(Parametros_ANEC73!$I$4:$I$6,MATCH($C242,Parametros_ANEC73!$A$4:$A$6,0))</f>
        <v>2</v>
      </c>
      <c r="S242" s="35" t="n">
        <f aca="false">INDEX(Parametros_ANEC73!$L$4:$L$6,MATCH($C242,Parametros_ANEC73!$A$4:$A$6,0))</f>
        <v>0</v>
      </c>
      <c r="T242" s="39" t="n">
        <f aca="false">INDEX(Parametros_ANEC73!$B$14:$B$25,MATCH($B242,Parametros_ANEC73!$A$14:$A$25,0))</f>
        <v>326</v>
      </c>
      <c r="U242" s="40" t="n">
        <f aca="false">IF(OR($D242=0,$G242=""),0,$D242*($T242/100)*($L242*$Q242+$N242*(IF($R242="",$Q242,$R242)-$Q242)+$P242*(IF($S242="",IF($R242="",$Q242,$R242),$S242)-IF($R242="",$Q242,$R242))))</f>
        <v>18676.2737784668</v>
      </c>
      <c r="V242" s="41" t="str">
        <f aca="false">IF(OR($D242=0,$G242=""),"",IF($H242*($E242-INDEX(Parametros_ANEC73!$M$4:$M$6,MATCH($C242,Parametros_ANEC73!$A$4:$A$6,0)))&gt;0,"Sim","Nao"))</f>
        <v>Nao</v>
      </c>
      <c r="W242" s="27" t="str">
        <f aca="false">$A242&amp;"|"&amp;$B242&amp;"|"&amp;$C242</f>
        <v>Bunge|Set|Proteina</v>
      </c>
    </row>
    <row r="243" customFormat="false" ht="15" hidden="false" customHeight="false" outlineLevel="0" collapsed="false">
      <c r="A243" s="27" t="s">
        <v>45</v>
      </c>
      <c r="B243" s="27" t="s">
        <v>66</v>
      </c>
      <c r="C243" s="27" t="s">
        <v>110</v>
      </c>
      <c r="D243" s="34" t="n">
        <f aca="false">SUMIFS(Media_Cliente_Mes!$C$2:$C$145,Media_Cliente_Mes!$A$2:$A$145,$A243,Media_Cliente_Mes!$B$2:$B$145,$B243)</f>
        <v>19994.68</v>
      </c>
      <c r="E243" s="35" t="n">
        <f aca="false">IF($D243=0,"",IF($C243="Proteina",SUMIFS(Media_Cliente_Mes!$D$2:$D$145,Media_Cliente_Mes!$A$2:$A$145,$A243,Media_Cliente_Mes!$B$2:$B$145,$B243),IF($C243="Umidade",SUMIFS(Media_Cliente_Mes!$E$2:$E$145,Media_Cliente_Mes!$A$2:$A$145,$A243,Media_Cliente_Mes!$B$2:$B$145,$B243),SUMIFS(Media_Cliente_Mes!$F$2:$F$145,Media_Cliente_Mes!$A$2:$A$145,$A243,Media_Cliente_Mes!$B$2:$B$145,$B243))))</f>
        <v>12.2652482610374</v>
      </c>
      <c r="F243" s="35" t="n">
        <f aca="false">INDEX(Parametros_ANEC73!$C$4:$C$6,MATCH($C243,Parametros_ANEC73!$A$4:$A$6,0))</f>
        <v>12.5</v>
      </c>
      <c r="G243" s="35" t="n">
        <f aca="false">IF($C243="Proteina",INDEX(Media_Pool_Mes!$C$2:$C$13,MATCH($B243,Media_Pool_Mes!$A$2:$A$13,0)),IF($C243="Umidade",INDEX(Media_Pool_Mes!$D$2:$D$13,MATCH($B243,Media_Pool_Mes!$A$2:$A$13,0)),INDEX(Media_Pool_Mes!$E$2:$E$13,MATCH($B243,Media_Pool_Mes!$A$2:$A$13,0))))</f>
        <v>12.4774576939468</v>
      </c>
      <c r="H243" s="37" t="n">
        <f aca="false">INDEX(Parametros_ANEC73!$B$4:$B$6,MATCH($C243,Parametros_ANEC73!$A$4:$A$6,0))</f>
        <v>1</v>
      </c>
      <c r="I243" s="38" t="n">
        <f aca="false">IF(OR($D243=0,$G243=""),"",IF($H243*($G243-$F243)&gt;0,$G243,$F243))</f>
        <v>12.5</v>
      </c>
      <c r="J243" s="27" t="str">
        <f aca="false">IF(OR($D243=0,$G243=""),"",IF($H243*($G243-$F243)&gt;0,"Sim","Nao"))</f>
        <v>Nao</v>
      </c>
      <c r="K243" s="27" t="str">
        <f aca="false">IF(OR($D243=0,$G243=""),"",IF(AND($H243*($E243-$F243)&gt;0,$H243*($E243-$G243)&gt;0),"Sim","Nao"))</f>
        <v>Nao</v>
      </c>
      <c r="L243" s="38" t="n">
        <f aca="false">IF(OR($D243=0,$G243=""),0,IF($K243="Sim",MAX(0,$H243*($E243-$I243)),0))</f>
        <v>0</v>
      </c>
      <c r="M243" s="35" t="n">
        <f aca="false">INDEX(Parametros_ANEC73!$G$4:$G$6,MATCH($C243,Parametros_ANEC73!$A$4:$A$6,0))</f>
        <v>0</v>
      </c>
      <c r="N243" s="38" t="n">
        <f aca="false">IF(OR($D243=0,$G243=""),0,IF(AND($K243="Sim",$M243&lt;&gt;""),MAX(0,$H243*($E243-$M243)),0))</f>
        <v>0</v>
      </c>
      <c r="O243" s="35" t="n">
        <f aca="false">INDEX(Parametros_ANEC73!$J$4:$J$6,MATCH($C243,Parametros_ANEC73!$A$4:$A$6,0))</f>
        <v>0</v>
      </c>
      <c r="P243" s="38" t="n">
        <f aca="false">IF(OR($D243=0,$G243=""),0,IF(AND($K243="Sim",$O243&lt;&gt;""),MAX(0,$H243*($E243-$O243)),0))</f>
        <v>0</v>
      </c>
      <c r="Q243" s="35" t="n">
        <f aca="false">INDEX(Parametros_ANEC73!$F$4:$F$6,MATCH($C243,Parametros_ANEC73!$A$4:$A$6,0))</f>
        <v>1</v>
      </c>
      <c r="R243" s="35" t="n">
        <f aca="false">INDEX(Parametros_ANEC73!$I$4:$I$6,MATCH($C243,Parametros_ANEC73!$A$4:$A$6,0))</f>
        <v>0</v>
      </c>
      <c r="S243" s="35" t="n">
        <f aca="false">INDEX(Parametros_ANEC73!$L$4:$L$6,MATCH($C243,Parametros_ANEC73!$A$4:$A$6,0))</f>
        <v>0</v>
      </c>
      <c r="T243" s="39" t="n">
        <f aca="false">INDEX(Parametros_ANEC73!$B$14:$B$25,MATCH($B243,Parametros_ANEC73!$A$14:$A$25,0))</f>
        <v>326</v>
      </c>
      <c r="U243" s="40" t="n">
        <f aca="false">IF(OR($D243=0,$G243=""),0,$D243*($T243/100)*($L243*$Q243+$N243*(IF($R243="",$Q243,$R243)-$Q243)+$P243*(IF($S243="",IF($R243="",$Q243,$R243),$S243)-IF($R243="",$Q243,$R243))))</f>
        <v>0</v>
      </c>
      <c r="V243" s="41" t="str">
        <f aca="false">IF(OR($D243=0,$G243=""),"",IF($H243*($E243-INDEX(Parametros_ANEC73!$M$4:$M$6,MATCH($C243,Parametros_ANEC73!$A$4:$A$6,0)))&gt;0,"Sim","Nao"))</f>
        <v>Nao</v>
      </c>
      <c r="W243" s="27" t="str">
        <f aca="false">$A243&amp;"|"&amp;$B243&amp;"|"&amp;$C243</f>
        <v>Bunge|Set|Umidade</v>
      </c>
    </row>
    <row r="244" customFormat="false" ht="15" hidden="false" customHeight="false" outlineLevel="0" collapsed="false">
      <c r="A244" s="27" t="s">
        <v>45</v>
      </c>
      <c r="B244" s="27" t="s">
        <v>66</v>
      </c>
      <c r="C244" s="27" t="s">
        <v>111</v>
      </c>
      <c r="D244" s="34" t="n">
        <f aca="false">SUMIFS(Media_Cliente_Mes!$C$2:$C$145,Media_Cliente_Mes!$A$2:$A$145,$A244,Media_Cliente_Mes!$B$2:$B$145,$B244)</f>
        <v>19994.68</v>
      </c>
      <c r="E244" s="35" t="n">
        <f aca="false">IF($D244=0,"",IF($C244="Proteina",SUMIFS(Media_Cliente_Mes!$D$2:$D$145,Media_Cliente_Mes!$A$2:$A$145,$A244,Media_Cliente_Mes!$B$2:$B$145,$B244),IF($C244="Umidade",SUMIFS(Media_Cliente_Mes!$E$2:$E$145,Media_Cliente_Mes!$A$2:$A$145,$A244,Media_Cliente_Mes!$B$2:$B$145,$B244),SUMIFS(Media_Cliente_Mes!$F$2:$F$145,Media_Cliente_Mes!$A$2:$A$145,$A244,Media_Cliente_Mes!$B$2:$B$145,$B244))))</f>
        <v>3.82615528230509</v>
      </c>
      <c r="F244" s="35" t="n">
        <f aca="false">INDEX(Parametros_ANEC73!$C$4:$C$6,MATCH($C244,Parametros_ANEC73!$A$4:$A$6,0))</f>
        <v>3.5</v>
      </c>
      <c r="G244" s="35" t="n">
        <f aca="false">IF($C244="Proteina",INDEX(Media_Pool_Mes!$C$2:$C$13,MATCH($B244,Media_Pool_Mes!$A$2:$A$13,0)),IF($C244="Umidade",INDEX(Media_Pool_Mes!$D$2:$D$13,MATCH($B244,Media_Pool_Mes!$A$2:$A$13,0)),INDEX(Media_Pool_Mes!$E$2:$E$13,MATCH($B244,Media_Pool_Mes!$A$2:$A$13,0))))</f>
        <v>3.7061372169236</v>
      </c>
      <c r="H244" s="37" t="n">
        <f aca="false">INDEX(Parametros_ANEC73!$B$4:$B$6,MATCH($C244,Parametros_ANEC73!$A$4:$A$6,0))</f>
        <v>1</v>
      </c>
      <c r="I244" s="38" t="n">
        <f aca="false">IF(OR($D244=0,$G244=""),"",IF($H244*($G244-$F244)&gt;0,$G244,$F244))</f>
        <v>3.7061372169236</v>
      </c>
      <c r="J244" s="27" t="str">
        <f aca="false">IF(OR($D244=0,$G244=""),"",IF($H244*($G244-$F244)&gt;0,"Sim","Nao"))</f>
        <v>Sim</v>
      </c>
      <c r="K244" s="27" t="str">
        <f aca="false">IF(OR($D244=0,$G244=""),"",IF(AND($H244*($E244-$F244)&gt;0,$H244*($E244-$G244)&gt;0),"Sim","Nao"))</f>
        <v>Sim</v>
      </c>
      <c r="L244" s="38" t="n">
        <f aca="false">IF(OR($D244=0,$G244=""),0,IF($K244="Sim",MAX(0,$H244*($E244-$I244)),0))</f>
        <v>0.120018065381497</v>
      </c>
      <c r="M244" s="35" t="n">
        <f aca="false">INDEX(Parametros_ANEC73!$G$4:$G$6,MATCH($C244,Parametros_ANEC73!$A$4:$A$6,0))</f>
        <v>3.8</v>
      </c>
      <c r="N244" s="38" t="n">
        <f aca="false">IF(OR($D244=0,$G244=""),0,IF(AND($K244="Sim",$M244&lt;&gt;""),MAX(0,$H244*($E244-$M244)),0))</f>
        <v>0.0261552823050932</v>
      </c>
      <c r="O244" s="35" t="n">
        <f aca="false">INDEX(Parametros_ANEC73!$J$4:$J$6,MATCH($C244,Parametros_ANEC73!$A$4:$A$6,0))</f>
        <v>4</v>
      </c>
      <c r="P244" s="38" t="n">
        <f aca="false">IF(OR($D244=0,$G244=""),0,IF(AND($K244="Sim",$O244&lt;&gt;""),MAX(0,$H244*($E244-$O244)),0))</f>
        <v>0</v>
      </c>
      <c r="Q244" s="35" t="n">
        <f aca="false">INDEX(Parametros_ANEC73!$F$4:$F$6,MATCH($C244,Parametros_ANEC73!$A$4:$A$6,0))</f>
        <v>1</v>
      </c>
      <c r="R244" s="35" t="n">
        <f aca="false">INDEX(Parametros_ANEC73!$I$4:$I$6,MATCH($C244,Parametros_ANEC73!$A$4:$A$6,0))</f>
        <v>1.5</v>
      </c>
      <c r="S244" s="35" t="n">
        <f aca="false">INDEX(Parametros_ANEC73!$L$4:$L$6,MATCH($C244,Parametros_ANEC73!$A$4:$A$6,0))</f>
        <v>2</v>
      </c>
      <c r="T244" s="39" t="n">
        <f aca="false">INDEX(Parametros_ANEC73!$B$14:$B$25,MATCH($B244,Parametros_ANEC73!$A$14:$A$25,0))</f>
        <v>326</v>
      </c>
      <c r="U244" s="40" t="n">
        <f aca="false">IF(OR($D244=0,$G244=""),0,$D244*($T244/100)*($L244*$Q244+$N244*(IF($R244="",$Q244,$R244)-$Q244)+$P244*(IF($S244="",IF($R244="",$Q244,$R244),$S244)-IF($R244="",$Q244,$R244))))</f>
        <v>8675.53176056206</v>
      </c>
      <c r="V244" s="41" t="str">
        <f aca="false">IF(OR($D244=0,$G244=""),"",IF($H244*($E244-INDEX(Parametros_ANEC73!$M$4:$M$6,MATCH($C244,Parametros_ANEC73!$A$4:$A$6,0)))&gt;0,"Sim","Nao"))</f>
        <v>Nao</v>
      </c>
      <c r="W244" s="27" t="str">
        <f aca="false">$A244&amp;"|"&amp;$B244&amp;"|"&amp;$C244</f>
        <v>Bunge|Set|Fibra</v>
      </c>
    </row>
    <row r="245" customFormat="false" ht="15" hidden="false" customHeight="false" outlineLevel="0" collapsed="false">
      <c r="A245" s="27" t="s">
        <v>45</v>
      </c>
      <c r="B245" s="27" t="s">
        <v>67</v>
      </c>
      <c r="C245" s="27" t="s">
        <v>109</v>
      </c>
      <c r="D245" s="34" t="n">
        <f aca="false">SUMIFS(Media_Cliente_Mes!$C$2:$C$145,Media_Cliente_Mes!$A$2:$A$145,$A245,Media_Cliente_Mes!$B$2:$B$145,$B245)</f>
        <v>0</v>
      </c>
      <c r="E245" s="35" t="str">
        <f aca="false">IF($D245=0,"",IF($C245="Proteina",SUMIFS(Media_Cliente_Mes!$D$2:$D$145,Media_Cliente_Mes!$A$2:$A$145,$A245,Media_Cliente_Mes!$B$2:$B$145,$B245),IF($C245="Umidade",SUMIFS(Media_Cliente_Mes!$E$2:$E$145,Media_Cliente_Mes!$A$2:$A$145,$A245,Media_Cliente_Mes!$B$2:$B$145,$B245),SUMIFS(Media_Cliente_Mes!$F$2:$F$145,Media_Cliente_Mes!$A$2:$A$145,$A245,Media_Cliente_Mes!$B$2:$B$145,$B245))))</f>
        <v/>
      </c>
      <c r="F245" s="35" t="n">
        <f aca="false">INDEX(Parametros_ANEC73!$C$4:$C$6,MATCH($C245,Parametros_ANEC73!$A$4:$A$6,0))</f>
        <v>48</v>
      </c>
      <c r="G245" s="35" t="str">
        <f aca="false">IF($C245="Proteina",INDEX(Media_Pool_Mes!$C$2:$C$13,MATCH($B245,Media_Pool_Mes!$A$2:$A$13,0)),IF($C245="Umidade",INDEX(Media_Pool_Mes!$D$2:$D$13,MATCH($B245,Media_Pool_Mes!$A$2:$A$13,0)),INDEX(Media_Pool_Mes!$E$2:$E$13,MATCH($B245,Media_Pool_Mes!$A$2:$A$13,0))))</f>
        <v/>
      </c>
      <c r="H245" s="37" t="n">
        <f aca="false">INDEX(Parametros_ANEC73!$B$4:$B$6,MATCH($C245,Parametros_ANEC73!$A$4:$A$6,0))</f>
        <v>-1</v>
      </c>
      <c r="I245" s="38" t="str">
        <f aca="false">IF(OR($D245=0,$G245=""),"",IF($H245*($G245-$F245)&gt;0,$G245,$F245))</f>
        <v/>
      </c>
      <c r="J245" s="27" t="str">
        <f aca="false">IF(OR($D245=0,$G245=""),"",IF($H245*($G245-$F245)&gt;0,"Sim","Nao"))</f>
        <v/>
      </c>
      <c r="K245" s="27" t="str">
        <f aca="false">IF(OR($D245=0,$G245=""),"",IF(AND($H245*($E245-$F245)&gt;0,$H245*($E245-$G245)&gt;0),"Sim","Nao"))</f>
        <v/>
      </c>
      <c r="L245" s="38" t="n">
        <f aca="false">IF(OR($D245=0,$G245=""),0,IF($K245="Sim",MAX(0,$H245*($E245-$I245)),0))</f>
        <v>0</v>
      </c>
      <c r="M245" s="35" t="n">
        <f aca="false">INDEX(Parametros_ANEC73!$G$4:$G$6,MATCH($C245,Parametros_ANEC73!$A$4:$A$6,0))</f>
        <v>47</v>
      </c>
      <c r="N245" s="38" t="n">
        <f aca="false">IF(OR($D245=0,$G245=""),0,IF(AND($K245="Sim",$M245&lt;&gt;""),MAX(0,$H245*($E245-$M245)),0))</f>
        <v>0</v>
      </c>
      <c r="O245" s="35" t="n">
        <f aca="false">INDEX(Parametros_ANEC73!$J$4:$J$6,MATCH($C245,Parametros_ANEC73!$A$4:$A$6,0))</f>
        <v>0</v>
      </c>
      <c r="P245" s="38" t="n">
        <f aca="false">IF(OR($D245=0,$G245=""),0,IF(AND($K245="Sim",$O245&lt;&gt;""),MAX(0,$H245*($E245-$O245)),0))</f>
        <v>0</v>
      </c>
      <c r="Q245" s="35" t="n">
        <f aca="false">INDEX(Parametros_ANEC73!$F$4:$F$6,MATCH($C245,Parametros_ANEC73!$A$4:$A$6,0))</f>
        <v>1</v>
      </c>
      <c r="R245" s="35" t="n">
        <f aca="false">INDEX(Parametros_ANEC73!$I$4:$I$6,MATCH($C245,Parametros_ANEC73!$A$4:$A$6,0))</f>
        <v>2</v>
      </c>
      <c r="S245" s="35" t="n">
        <f aca="false">INDEX(Parametros_ANEC73!$L$4:$L$6,MATCH($C245,Parametros_ANEC73!$A$4:$A$6,0))</f>
        <v>0</v>
      </c>
      <c r="T245" s="39" t="n">
        <f aca="false">INDEX(Parametros_ANEC73!$B$14:$B$25,MATCH($B245,Parametros_ANEC73!$A$14:$A$25,0))</f>
        <v>0</v>
      </c>
      <c r="U245" s="40" t="n">
        <f aca="false">IF(OR($D245=0,$G245=""),0,$D245*($T245/100)*($L245*$Q245+$N245*(IF($R245="",$Q245,$R245)-$Q245)+$P245*(IF($S245="",IF($R245="",$Q245,$R245),$S245)-IF($R245="",$Q245,$R245))))</f>
        <v>0</v>
      </c>
      <c r="V245" s="41" t="str">
        <f aca="false">IF(OR($D245=0,$G245=""),"",IF($H245*($E245-INDEX(Parametros_ANEC73!$M$4:$M$6,MATCH($C245,Parametros_ANEC73!$A$4:$A$6,0)))&gt;0,"Sim","Nao"))</f>
        <v/>
      </c>
      <c r="W245" s="27" t="str">
        <f aca="false">$A245&amp;"|"&amp;$B245&amp;"|"&amp;$C245</f>
        <v>Bunge|Out|Proteina</v>
      </c>
    </row>
    <row r="246" customFormat="false" ht="15" hidden="false" customHeight="false" outlineLevel="0" collapsed="false">
      <c r="A246" s="27" t="s">
        <v>45</v>
      </c>
      <c r="B246" s="27" t="s">
        <v>67</v>
      </c>
      <c r="C246" s="27" t="s">
        <v>110</v>
      </c>
      <c r="D246" s="34" t="n">
        <f aca="false">SUMIFS(Media_Cliente_Mes!$C$2:$C$145,Media_Cliente_Mes!$A$2:$A$145,$A246,Media_Cliente_Mes!$B$2:$B$145,$B246)</f>
        <v>0</v>
      </c>
      <c r="E246" s="35" t="str">
        <f aca="false">IF($D246=0,"",IF($C246="Proteina",SUMIFS(Media_Cliente_Mes!$D$2:$D$145,Media_Cliente_Mes!$A$2:$A$145,$A246,Media_Cliente_Mes!$B$2:$B$145,$B246),IF($C246="Umidade",SUMIFS(Media_Cliente_Mes!$E$2:$E$145,Media_Cliente_Mes!$A$2:$A$145,$A246,Media_Cliente_Mes!$B$2:$B$145,$B246),SUMIFS(Media_Cliente_Mes!$F$2:$F$145,Media_Cliente_Mes!$A$2:$A$145,$A246,Media_Cliente_Mes!$B$2:$B$145,$B246))))</f>
        <v/>
      </c>
      <c r="F246" s="35" t="n">
        <f aca="false">INDEX(Parametros_ANEC73!$C$4:$C$6,MATCH($C246,Parametros_ANEC73!$A$4:$A$6,0))</f>
        <v>12.5</v>
      </c>
      <c r="G246" s="35" t="str">
        <f aca="false">IF($C246="Proteina",INDEX(Media_Pool_Mes!$C$2:$C$13,MATCH($B246,Media_Pool_Mes!$A$2:$A$13,0)),IF($C246="Umidade",INDEX(Media_Pool_Mes!$D$2:$D$13,MATCH($B246,Media_Pool_Mes!$A$2:$A$13,0)),INDEX(Media_Pool_Mes!$E$2:$E$13,MATCH($B246,Media_Pool_Mes!$A$2:$A$13,0))))</f>
        <v/>
      </c>
      <c r="H246" s="37" t="n">
        <f aca="false">INDEX(Parametros_ANEC73!$B$4:$B$6,MATCH($C246,Parametros_ANEC73!$A$4:$A$6,0))</f>
        <v>1</v>
      </c>
      <c r="I246" s="38" t="str">
        <f aca="false">IF(OR($D246=0,$G246=""),"",IF($H246*($G246-$F246)&gt;0,$G246,$F246))</f>
        <v/>
      </c>
      <c r="J246" s="27" t="str">
        <f aca="false">IF(OR($D246=0,$G246=""),"",IF($H246*($G246-$F246)&gt;0,"Sim","Nao"))</f>
        <v/>
      </c>
      <c r="K246" s="27" t="str">
        <f aca="false">IF(OR($D246=0,$G246=""),"",IF(AND($H246*($E246-$F246)&gt;0,$H246*($E246-$G246)&gt;0),"Sim","Nao"))</f>
        <v/>
      </c>
      <c r="L246" s="38" t="n">
        <f aca="false">IF(OR($D246=0,$G246=""),0,IF($K246="Sim",MAX(0,$H246*($E246-$I246)),0))</f>
        <v>0</v>
      </c>
      <c r="M246" s="35" t="n">
        <f aca="false">INDEX(Parametros_ANEC73!$G$4:$G$6,MATCH($C246,Parametros_ANEC73!$A$4:$A$6,0))</f>
        <v>0</v>
      </c>
      <c r="N246" s="38" t="n">
        <f aca="false">IF(OR($D246=0,$G246=""),0,IF(AND($K246="Sim",$M246&lt;&gt;""),MAX(0,$H246*($E246-$M246)),0))</f>
        <v>0</v>
      </c>
      <c r="O246" s="35" t="n">
        <f aca="false">INDEX(Parametros_ANEC73!$J$4:$J$6,MATCH($C246,Parametros_ANEC73!$A$4:$A$6,0))</f>
        <v>0</v>
      </c>
      <c r="P246" s="38" t="n">
        <f aca="false">IF(OR($D246=0,$G246=""),0,IF(AND($K246="Sim",$O246&lt;&gt;""),MAX(0,$H246*($E246-$O246)),0))</f>
        <v>0</v>
      </c>
      <c r="Q246" s="35" t="n">
        <f aca="false">INDEX(Parametros_ANEC73!$F$4:$F$6,MATCH($C246,Parametros_ANEC73!$A$4:$A$6,0))</f>
        <v>1</v>
      </c>
      <c r="R246" s="35" t="n">
        <f aca="false">INDEX(Parametros_ANEC73!$I$4:$I$6,MATCH($C246,Parametros_ANEC73!$A$4:$A$6,0))</f>
        <v>0</v>
      </c>
      <c r="S246" s="35" t="n">
        <f aca="false">INDEX(Parametros_ANEC73!$L$4:$L$6,MATCH($C246,Parametros_ANEC73!$A$4:$A$6,0))</f>
        <v>0</v>
      </c>
      <c r="T246" s="39" t="n">
        <f aca="false">INDEX(Parametros_ANEC73!$B$14:$B$25,MATCH($B246,Parametros_ANEC73!$A$14:$A$25,0))</f>
        <v>0</v>
      </c>
      <c r="U246" s="40" t="n">
        <f aca="false">IF(OR($D246=0,$G246=""),0,$D246*($T246/100)*($L246*$Q246+$N246*(IF($R246="",$Q246,$R246)-$Q246)+$P246*(IF($S246="",IF($R246="",$Q246,$R246),$S246)-IF($R246="",$Q246,$R246))))</f>
        <v>0</v>
      </c>
      <c r="V246" s="41" t="str">
        <f aca="false">IF(OR($D246=0,$G246=""),"",IF($H246*($E246-INDEX(Parametros_ANEC73!$M$4:$M$6,MATCH($C246,Parametros_ANEC73!$A$4:$A$6,0)))&gt;0,"Sim","Nao"))</f>
        <v/>
      </c>
      <c r="W246" s="27" t="str">
        <f aca="false">$A246&amp;"|"&amp;$B246&amp;"|"&amp;$C246</f>
        <v>Bunge|Out|Umidade</v>
      </c>
    </row>
    <row r="247" customFormat="false" ht="15" hidden="false" customHeight="false" outlineLevel="0" collapsed="false">
      <c r="A247" s="27" t="s">
        <v>45</v>
      </c>
      <c r="B247" s="27" t="s">
        <v>67</v>
      </c>
      <c r="C247" s="27" t="s">
        <v>111</v>
      </c>
      <c r="D247" s="34" t="n">
        <f aca="false">SUMIFS(Media_Cliente_Mes!$C$2:$C$145,Media_Cliente_Mes!$A$2:$A$145,$A247,Media_Cliente_Mes!$B$2:$B$145,$B247)</f>
        <v>0</v>
      </c>
      <c r="E247" s="35" t="str">
        <f aca="false">IF($D247=0,"",IF($C247="Proteina",SUMIFS(Media_Cliente_Mes!$D$2:$D$145,Media_Cliente_Mes!$A$2:$A$145,$A247,Media_Cliente_Mes!$B$2:$B$145,$B247),IF($C247="Umidade",SUMIFS(Media_Cliente_Mes!$E$2:$E$145,Media_Cliente_Mes!$A$2:$A$145,$A247,Media_Cliente_Mes!$B$2:$B$145,$B247),SUMIFS(Media_Cliente_Mes!$F$2:$F$145,Media_Cliente_Mes!$A$2:$A$145,$A247,Media_Cliente_Mes!$B$2:$B$145,$B247))))</f>
        <v/>
      </c>
      <c r="F247" s="35" t="n">
        <f aca="false">INDEX(Parametros_ANEC73!$C$4:$C$6,MATCH($C247,Parametros_ANEC73!$A$4:$A$6,0))</f>
        <v>3.5</v>
      </c>
      <c r="G247" s="35" t="str">
        <f aca="false">IF($C247="Proteina",INDEX(Media_Pool_Mes!$C$2:$C$13,MATCH($B247,Media_Pool_Mes!$A$2:$A$13,0)),IF($C247="Umidade",INDEX(Media_Pool_Mes!$D$2:$D$13,MATCH($B247,Media_Pool_Mes!$A$2:$A$13,0)),INDEX(Media_Pool_Mes!$E$2:$E$13,MATCH($B247,Media_Pool_Mes!$A$2:$A$13,0))))</f>
        <v/>
      </c>
      <c r="H247" s="37" t="n">
        <f aca="false">INDEX(Parametros_ANEC73!$B$4:$B$6,MATCH($C247,Parametros_ANEC73!$A$4:$A$6,0))</f>
        <v>1</v>
      </c>
      <c r="I247" s="38" t="str">
        <f aca="false">IF(OR($D247=0,$G247=""),"",IF($H247*($G247-$F247)&gt;0,$G247,$F247))</f>
        <v/>
      </c>
      <c r="J247" s="27" t="str">
        <f aca="false">IF(OR($D247=0,$G247=""),"",IF($H247*($G247-$F247)&gt;0,"Sim","Nao"))</f>
        <v/>
      </c>
      <c r="K247" s="27" t="str">
        <f aca="false">IF(OR($D247=0,$G247=""),"",IF(AND($H247*($E247-$F247)&gt;0,$H247*($E247-$G247)&gt;0),"Sim","Nao"))</f>
        <v/>
      </c>
      <c r="L247" s="38" t="n">
        <f aca="false">IF(OR($D247=0,$G247=""),0,IF($K247="Sim",MAX(0,$H247*($E247-$I247)),0))</f>
        <v>0</v>
      </c>
      <c r="M247" s="35" t="n">
        <f aca="false">INDEX(Parametros_ANEC73!$G$4:$G$6,MATCH($C247,Parametros_ANEC73!$A$4:$A$6,0))</f>
        <v>3.8</v>
      </c>
      <c r="N247" s="38" t="n">
        <f aca="false">IF(OR($D247=0,$G247=""),0,IF(AND($K247="Sim",$M247&lt;&gt;""),MAX(0,$H247*($E247-$M247)),0))</f>
        <v>0</v>
      </c>
      <c r="O247" s="35" t="n">
        <f aca="false">INDEX(Parametros_ANEC73!$J$4:$J$6,MATCH($C247,Parametros_ANEC73!$A$4:$A$6,0))</f>
        <v>4</v>
      </c>
      <c r="P247" s="38" t="n">
        <f aca="false">IF(OR($D247=0,$G247=""),0,IF(AND($K247="Sim",$O247&lt;&gt;""),MAX(0,$H247*($E247-$O247)),0))</f>
        <v>0</v>
      </c>
      <c r="Q247" s="35" t="n">
        <f aca="false">INDEX(Parametros_ANEC73!$F$4:$F$6,MATCH($C247,Parametros_ANEC73!$A$4:$A$6,0))</f>
        <v>1</v>
      </c>
      <c r="R247" s="35" t="n">
        <f aca="false">INDEX(Parametros_ANEC73!$I$4:$I$6,MATCH($C247,Parametros_ANEC73!$A$4:$A$6,0))</f>
        <v>1.5</v>
      </c>
      <c r="S247" s="35" t="n">
        <f aca="false">INDEX(Parametros_ANEC73!$L$4:$L$6,MATCH($C247,Parametros_ANEC73!$A$4:$A$6,0))</f>
        <v>2</v>
      </c>
      <c r="T247" s="39" t="n">
        <f aca="false">INDEX(Parametros_ANEC73!$B$14:$B$25,MATCH($B247,Parametros_ANEC73!$A$14:$A$25,0))</f>
        <v>0</v>
      </c>
      <c r="U247" s="40" t="n">
        <f aca="false">IF(OR($D247=0,$G247=""),0,$D247*($T247/100)*($L247*$Q247+$N247*(IF($R247="",$Q247,$R247)-$Q247)+$P247*(IF($S247="",IF($R247="",$Q247,$R247),$S247)-IF($R247="",$Q247,$R247))))</f>
        <v>0</v>
      </c>
      <c r="V247" s="41" t="str">
        <f aca="false">IF(OR($D247=0,$G247=""),"",IF($H247*($E247-INDEX(Parametros_ANEC73!$M$4:$M$6,MATCH($C247,Parametros_ANEC73!$A$4:$A$6,0)))&gt;0,"Sim","Nao"))</f>
        <v/>
      </c>
      <c r="W247" s="27" t="str">
        <f aca="false">$A247&amp;"|"&amp;$B247&amp;"|"&amp;$C247</f>
        <v>Bunge|Out|Fibra</v>
      </c>
    </row>
    <row r="248" customFormat="false" ht="15" hidden="false" customHeight="false" outlineLevel="0" collapsed="false">
      <c r="A248" s="27" t="s">
        <v>45</v>
      </c>
      <c r="B248" s="27" t="s">
        <v>68</v>
      </c>
      <c r="C248" s="27" t="s">
        <v>109</v>
      </c>
      <c r="D248" s="34" t="n">
        <f aca="false">SUMIFS(Media_Cliente_Mes!$C$2:$C$145,Media_Cliente_Mes!$A$2:$A$145,$A248,Media_Cliente_Mes!$B$2:$B$145,$B248)</f>
        <v>0</v>
      </c>
      <c r="E248" s="35" t="str">
        <f aca="false">IF($D248=0,"",IF($C248="Proteina",SUMIFS(Media_Cliente_Mes!$D$2:$D$145,Media_Cliente_Mes!$A$2:$A$145,$A248,Media_Cliente_Mes!$B$2:$B$145,$B248),IF($C248="Umidade",SUMIFS(Media_Cliente_Mes!$E$2:$E$145,Media_Cliente_Mes!$A$2:$A$145,$A248,Media_Cliente_Mes!$B$2:$B$145,$B248),SUMIFS(Media_Cliente_Mes!$F$2:$F$145,Media_Cliente_Mes!$A$2:$A$145,$A248,Media_Cliente_Mes!$B$2:$B$145,$B248))))</f>
        <v/>
      </c>
      <c r="F248" s="35" t="n">
        <f aca="false">INDEX(Parametros_ANEC73!$C$4:$C$6,MATCH($C248,Parametros_ANEC73!$A$4:$A$6,0))</f>
        <v>48</v>
      </c>
      <c r="G248" s="35" t="str">
        <f aca="false">IF($C248="Proteina",INDEX(Media_Pool_Mes!$C$2:$C$13,MATCH($B248,Media_Pool_Mes!$A$2:$A$13,0)),IF($C248="Umidade",INDEX(Media_Pool_Mes!$D$2:$D$13,MATCH($B248,Media_Pool_Mes!$A$2:$A$13,0)),INDEX(Media_Pool_Mes!$E$2:$E$13,MATCH($B248,Media_Pool_Mes!$A$2:$A$13,0))))</f>
        <v/>
      </c>
      <c r="H248" s="37" t="n">
        <f aca="false">INDEX(Parametros_ANEC73!$B$4:$B$6,MATCH($C248,Parametros_ANEC73!$A$4:$A$6,0))</f>
        <v>-1</v>
      </c>
      <c r="I248" s="38" t="str">
        <f aca="false">IF(OR($D248=0,$G248=""),"",IF($H248*($G248-$F248)&gt;0,$G248,$F248))</f>
        <v/>
      </c>
      <c r="J248" s="27" t="str">
        <f aca="false">IF(OR($D248=0,$G248=""),"",IF($H248*($G248-$F248)&gt;0,"Sim","Nao"))</f>
        <v/>
      </c>
      <c r="K248" s="27" t="str">
        <f aca="false">IF(OR($D248=0,$G248=""),"",IF(AND($H248*($E248-$F248)&gt;0,$H248*($E248-$G248)&gt;0),"Sim","Nao"))</f>
        <v/>
      </c>
      <c r="L248" s="38" t="n">
        <f aca="false">IF(OR($D248=0,$G248=""),0,IF($K248="Sim",MAX(0,$H248*($E248-$I248)),0))</f>
        <v>0</v>
      </c>
      <c r="M248" s="35" t="n">
        <f aca="false">INDEX(Parametros_ANEC73!$G$4:$G$6,MATCH($C248,Parametros_ANEC73!$A$4:$A$6,0))</f>
        <v>47</v>
      </c>
      <c r="N248" s="38" t="n">
        <f aca="false">IF(OR($D248=0,$G248=""),0,IF(AND($K248="Sim",$M248&lt;&gt;""),MAX(0,$H248*($E248-$M248)),0))</f>
        <v>0</v>
      </c>
      <c r="O248" s="35" t="n">
        <f aca="false">INDEX(Parametros_ANEC73!$J$4:$J$6,MATCH($C248,Parametros_ANEC73!$A$4:$A$6,0))</f>
        <v>0</v>
      </c>
      <c r="P248" s="38" t="n">
        <f aca="false">IF(OR($D248=0,$G248=""),0,IF(AND($K248="Sim",$O248&lt;&gt;""),MAX(0,$H248*($E248-$O248)),0))</f>
        <v>0</v>
      </c>
      <c r="Q248" s="35" t="n">
        <f aca="false">INDEX(Parametros_ANEC73!$F$4:$F$6,MATCH($C248,Parametros_ANEC73!$A$4:$A$6,0))</f>
        <v>1</v>
      </c>
      <c r="R248" s="35" t="n">
        <f aca="false">INDEX(Parametros_ANEC73!$I$4:$I$6,MATCH($C248,Parametros_ANEC73!$A$4:$A$6,0))</f>
        <v>2</v>
      </c>
      <c r="S248" s="35" t="n">
        <f aca="false">INDEX(Parametros_ANEC73!$L$4:$L$6,MATCH($C248,Parametros_ANEC73!$A$4:$A$6,0))</f>
        <v>0</v>
      </c>
      <c r="T248" s="39" t="n">
        <f aca="false">INDEX(Parametros_ANEC73!$B$14:$B$25,MATCH($B248,Parametros_ANEC73!$A$14:$A$25,0))</f>
        <v>0</v>
      </c>
      <c r="U248" s="40" t="n">
        <f aca="false">IF(OR($D248=0,$G248=""),0,$D248*($T248/100)*($L248*$Q248+$N248*(IF($R248="",$Q248,$R248)-$Q248)+$P248*(IF($S248="",IF($R248="",$Q248,$R248),$S248)-IF($R248="",$Q248,$R248))))</f>
        <v>0</v>
      </c>
      <c r="V248" s="41" t="str">
        <f aca="false">IF(OR($D248=0,$G248=""),"",IF($H248*($E248-INDEX(Parametros_ANEC73!$M$4:$M$6,MATCH($C248,Parametros_ANEC73!$A$4:$A$6,0)))&gt;0,"Sim","Nao"))</f>
        <v/>
      </c>
      <c r="W248" s="27" t="str">
        <f aca="false">$A248&amp;"|"&amp;$B248&amp;"|"&amp;$C248</f>
        <v>Bunge|Nov|Proteina</v>
      </c>
    </row>
    <row r="249" customFormat="false" ht="15" hidden="false" customHeight="false" outlineLevel="0" collapsed="false">
      <c r="A249" s="27" t="s">
        <v>45</v>
      </c>
      <c r="B249" s="27" t="s">
        <v>68</v>
      </c>
      <c r="C249" s="27" t="s">
        <v>110</v>
      </c>
      <c r="D249" s="34" t="n">
        <f aca="false">SUMIFS(Media_Cliente_Mes!$C$2:$C$145,Media_Cliente_Mes!$A$2:$A$145,$A249,Media_Cliente_Mes!$B$2:$B$145,$B249)</f>
        <v>0</v>
      </c>
      <c r="E249" s="35" t="str">
        <f aca="false">IF($D249=0,"",IF($C249="Proteina",SUMIFS(Media_Cliente_Mes!$D$2:$D$145,Media_Cliente_Mes!$A$2:$A$145,$A249,Media_Cliente_Mes!$B$2:$B$145,$B249),IF($C249="Umidade",SUMIFS(Media_Cliente_Mes!$E$2:$E$145,Media_Cliente_Mes!$A$2:$A$145,$A249,Media_Cliente_Mes!$B$2:$B$145,$B249),SUMIFS(Media_Cliente_Mes!$F$2:$F$145,Media_Cliente_Mes!$A$2:$A$145,$A249,Media_Cliente_Mes!$B$2:$B$145,$B249))))</f>
        <v/>
      </c>
      <c r="F249" s="35" t="n">
        <f aca="false">INDEX(Parametros_ANEC73!$C$4:$C$6,MATCH($C249,Parametros_ANEC73!$A$4:$A$6,0))</f>
        <v>12.5</v>
      </c>
      <c r="G249" s="35" t="str">
        <f aca="false">IF($C249="Proteina",INDEX(Media_Pool_Mes!$C$2:$C$13,MATCH($B249,Media_Pool_Mes!$A$2:$A$13,0)),IF($C249="Umidade",INDEX(Media_Pool_Mes!$D$2:$D$13,MATCH($B249,Media_Pool_Mes!$A$2:$A$13,0)),INDEX(Media_Pool_Mes!$E$2:$E$13,MATCH($B249,Media_Pool_Mes!$A$2:$A$13,0))))</f>
        <v/>
      </c>
      <c r="H249" s="37" t="n">
        <f aca="false">INDEX(Parametros_ANEC73!$B$4:$B$6,MATCH($C249,Parametros_ANEC73!$A$4:$A$6,0))</f>
        <v>1</v>
      </c>
      <c r="I249" s="38" t="str">
        <f aca="false">IF(OR($D249=0,$G249=""),"",IF($H249*($G249-$F249)&gt;0,$G249,$F249))</f>
        <v/>
      </c>
      <c r="J249" s="27" t="str">
        <f aca="false">IF(OR($D249=0,$G249=""),"",IF($H249*($G249-$F249)&gt;0,"Sim","Nao"))</f>
        <v/>
      </c>
      <c r="K249" s="27" t="str">
        <f aca="false">IF(OR($D249=0,$G249=""),"",IF(AND($H249*($E249-$F249)&gt;0,$H249*($E249-$G249)&gt;0),"Sim","Nao"))</f>
        <v/>
      </c>
      <c r="L249" s="38" t="n">
        <f aca="false">IF(OR($D249=0,$G249=""),0,IF($K249="Sim",MAX(0,$H249*($E249-$I249)),0))</f>
        <v>0</v>
      </c>
      <c r="M249" s="35" t="n">
        <f aca="false">INDEX(Parametros_ANEC73!$G$4:$G$6,MATCH($C249,Parametros_ANEC73!$A$4:$A$6,0))</f>
        <v>0</v>
      </c>
      <c r="N249" s="38" t="n">
        <f aca="false">IF(OR($D249=0,$G249=""),0,IF(AND($K249="Sim",$M249&lt;&gt;""),MAX(0,$H249*($E249-$M249)),0))</f>
        <v>0</v>
      </c>
      <c r="O249" s="35" t="n">
        <f aca="false">INDEX(Parametros_ANEC73!$J$4:$J$6,MATCH($C249,Parametros_ANEC73!$A$4:$A$6,0))</f>
        <v>0</v>
      </c>
      <c r="P249" s="38" t="n">
        <f aca="false">IF(OR($D249=0,$G249=""),0,IF(AND($K249="Sim",$O249&lt;&gt;""),MAX(0,$H249*($E249-$O249)),0))</f>
        <v>0</v>
      </c>
      <c r="Q249" s="35" t="n">
        <f aca="false">INDEX(Parametros_ANEC73!$F$4:$F$6,MATCH($C249,Parametros_ANEC73!$A$4:$A$6,0))</f>
        <v>1</v>
      </c>
      <c r="R249" s="35" t="n">
        <f aca="false">INDEX(Parametros_ANEC73!$I$4:$I$6,MATCH($C249,Parametros_ANEC73!$A$4:$A$6,0))</f>
        <v>0</v>
      </c>
      <c r="S249" s="35" t="n">
        <f aca="false">INDEX(Parametros_ANEC73!$L$4:$L$6,MATCH($C249,Parametros_ANEC73!$A$4:$A$6,0))</f>
        <v>0</v>
      </c>
      <c r="T249" s="39" t="n">
        <f aca="false">INDEX(Parametros_ANEC73!$B$14:$B$25,MATCH($B249,Parametros_ANEC73!$A$14:$A$25,0))</f>
        <v>0</v>
      </c>
      <c r="U249" s="40" t="n">
        <f aca="false">IF(OR($D249=0,$G249=""),0,$D249*($T249/100)*($L249*$Q249+$N249*(IF($R249="",$Q249,$R249)-$Q249)+$P249*(IF($S249="",IF($R249="",$Q249,$R249),$S249)-IF($R249="",$Q249,$R249))))</f>
        <v>0</v>
      </c>
      <c r="V249" s="41" t="str">
        <f aca="false">IF(OR($D249=0,$G249=""),"",IF($H249*($E249-INDEX(Parametros_ANEC73!$M$4:$M$6,MATCH($C249,Parametros_ANEC73!$A$4:$A$6,0)))&gt;0,"Sim","Nao"))</f>
        <v/>
      </c>
      <c r="W249" s="27" t="str">
        <f aca="false">$A249&amp;"|"&amp;$B249&amp;"|"&amp;$C249</f>
        <v>Bunge|Nov|Umidade</v>
      </c>
    </row>
    <row r="250" customFormat="false" ht="15" hidden="false" customHeight="false" outlineLevel="0" collapsed="false">
      <c r="A250" s="27" t="s">
        <v>45</v>
      </c>
      <c r="B250" s="27" t="s">
        <v>68</v>
      </c>
      <c r="C250" s="27" t="s">
        <v>111</v>
      </c>
      <c r="D250" s="34" t="n">
        <f aca="false">SUMIFS(Media_Cliente_Mes!$C$2:$C$145,Media_Cliente_Mes!$A$2:$A$145,$A250,Media_Cliente_Mes!$B$2:$B$145,$B250)</f>
        <v>0</v>
      </c>
      <c r="E250" s="35" t="str">
        <f aca="false">IF($D250=0,"",IF($C250="Proteina",SUMIFS(Media_Cliente_Mes!$D$2:$D$145,Media_Cliente_Mes!$A$2:$A$145,$A250,Media_Cliente_Mes!$B$2:$B$145,$B250),IF($C250="Umidade",SUMIFS(Media_Cliente_Mes!$E$2:$E$145,Media_Cliente_Mes!$A$2:$A$145,$A250,Media_Cliente_Mes!$B$2:$B$145,$B250),SUMIFS(Media_Cliente_Mes!$F$2:$F$145,Media_Cliente_Mes!$A$2:$A$145,$A250,Media_Cliente_Mes!$B$2:$B$145,$B250))))</f>
        <v/>
      </c>
      <c r="F250" s="35" t="n">
        <f aca="false">INDEX(Parametros_ANEC73!$C$4:$C$6,MATCH($C250,Parametros_ANEC73!$A$4:$A$6,0))</f>
        <v>3.5</v>
      </c>
      <c r="G250" s="35" t="str">
        <f aca="false">IF($C250="Proteina",INDEX(Media_Pool_Mes!$C$2:$C$13,MATCH($B250,Media_Pool_Mes!$A$2:$A$13,0)),IF($C250="Umidade",INDEX(Media_Pool_Mes!$D$2:$D$13,MATCH($B250,Media_Pool_Mes!$A$2:$A$13,0)),INDEX(Media_Pool_Mes!$E$2:$E$13,MATCH($B250,Media_Pool_Mes!$A$2:$A$13,0))))</f>
        <v/>
      </c>
      <c r="H250" s="37" t="n">
        <f aca="false">INDEX(Parametros_ANEC73!$B$4:$B$6,MATCH($C250,Parametros_ANEC73!$A$4:$A$6,0))</f>
        <v>1</v>
      </c>
      <c r="I250" s="38" t="str">
        <f aca="false">IF(OR($D250=0,$G250=""),"",IF($H250*($G250-$F250)&gt;0,$G250,$F250))</f>
        <v/>
      </c>
      <c r="J250" s="27" t="str">
        <f aca="false">IF(OR($D250=0,$G250=""),"",IF($H250*($G250-$F250)&gt;0,"Sim","Nao"))</f>
        <v/>
      </c>
      <c r="K250" s="27" t="str">
        <f aca="false">IF(OR($D250=0,$G250=""),"",IF(AND($H250*($E250-$F250)&gt;0,$H250*($E250-$G250)&gt;0),"Sim","Nao"))</f>
        <v/>
      </c>
      <c r="L250" s="38" t="n">
        <f aca="false">IF(OR($D250=0,$G250=""),0,IF($K250="Sim",MAX(0,$H250*($E250-$I250)),0))</f>
        <v>0</v>
      </c>
      <c r="M250" s="35" t="n">
        <f aca="false">INDEX(Parametros_ANEC73!$G$4:$G$6,MATCH($C250,Parametros_ANEC73!$A$4:$A$6,0))</f>
        <v>3.8</v>
      </c>
      <c r="N250" s="38" t="n">
        <f aca="false">IF(OR($D250=0,$G250=""),0,IF(AND($K250="Sim",$M250&lt;&gt;""),MAX(0,$H250*($E250-$M250)),0))</f>
        <v>0</v>
      </c>
      <c r="O250" s="35" t="n">
        <f aca="false">INDEX(Parametros_ANEC73!$J$4:$J$6,MATCH($C250,Parametros_ANEC73!$A$4:$A$6,0))</f>
        <v>4</v>
      </c>
      <c r="P250" s="38" t="n">
        <f aca="false">IF(OR($D250=0,$G250=""),0,IF(AND($K250="Sim",$O250&lt;&gt;""),MAX(0,$H250*($E250-$O250)),0))</f>
        <v>0</v>
      </c>
      <c r="Q250" s="35" t="n">
        <f aca="false">INDEX(Parametros_ANEC73!$F$4:$F$6,MATCH($C250,Parametros_ANEC73!$A$4:$A$6,0))</f>
        <v>1</v>
      </c>
      <c r="R250" s="35" t="n">
        <f aca="false">INDEX(Parametros_ANEC73!$I$4:$I$6,MATCH($C250,Parametros_ANEC73!$A$4:$A$6,0))</f>
        <v>1.5</v>
      </c>
      <c r="S250" s="35" t="n">
        <f aca="false">INDEX(Parametros_ANEC73!$L$4:$L$6,MATCH($C250,Parametros_ANEC73!$A$4:$A$6,0))</f>
        <v>2</v>
      </c>
      <c r="T250" s="39" t="n">
        <f aca="false">INDEX(Parametros_ANEC73!$B$14:$B$25,MATCH($B250,Parametros_ANEC73!$A$14:$A$25,0))</f>
        <v>0</v>
      </c>
      <c r="U250" s="40" t="n">
        <f aca="false">IF(OR($D250=0,$G250=""),0,$D250*($T250/100)*($L250*$Q250+$N250*(IF($R250="",$Q250,$R250)-$Q250)+$P250*(IF($S250="",IF($R250="",$Q250,$R250),$S250)-IF($R250="",$Q250,$R250))))</f>
        <v>0</v>
      </c>
      <c r="V250" s="41" t="str">
        <f aca="false">IF(OR($D250=0,$G250=""),"",IF($H250*($E250-INDEX(Parametros_ANEC73!$M$4:$M$6,MATCH($C250,Parametros_ANEC73!$A$4:$A$6,0)))&gt;0,"Sim","Nao"))</f>
        <v/>
      </c>
      <c r="W250" s="27" t="str">
        <f aca="false">$A250&amp;"|"&amp;$B250&amp;"|"&amp;$C250</f>
        <v>Bunge|Nov|Fibra</v>
      </c>
    </row>
    <row r="251" customFormat="false" ht="15" hidden="false" customHeight="false" outlineLevel="0" collapsed="false">
      <c r="A251" s="27" t="s">
        <v>45</v>
      </c>
      <c r="B251" s="27" t="s">
        <v>69</v>
      </c>
      <c r="C251" s="27" t="s">
        <v>109</v>
      </c>
      <c r="D251" s="34" t="n">
        <f aca="false">SUMIFS(Media_Cliente_Mes!$C$2:$C$145,Media_Cliente_Mes!$A$2:$A$145,$A251,Media_Cliente_Mes!$B$2:$B$145,$B251)</f>
        <v>0</v>
      </c>
      <c r="E251" s="35" t="str">
        <f aca="false">IF($D251=0,"",IF($C251="Proteina",SUMIFS(Media_Cliente_Mes!$D$2:$D$145,Media_Cliente_Mes!$A$2:$A$145,$A251,Media_Cliente_Mes!$B$2:$B$145,$B251),IF($C251="Umidade",SUMIFS(Media_Cliente_Mes!$E$2:$E$145,Media_Cliente_Mes!$A$2:$A$145,$A251,Media_Cliente_Mes!$B$2:$B$145,$B251),SUMIFS(Media_Cliente_Mes!$F$2:$F$145,Media_Cliente_Mes!$A$2:$A$145,$A251,Media_Cliente_Mes!$B$2:$B$145,$B251))))</f>
        <v/>
      </c>
      <c r="F251" s="35" t="n">
        <f aca="false">INDEX(Parametros_ANEC73!$C$4:$C$6,MATCH($C251,Parametros_ANEC73!$A$4:$A$6,0))</f>
        <v>48</v>
      </c>
      <c r="G251" s="35" t="str">
        <f aca="false">IF($C251="Proteina",INDEX(Media_Pool_Mes!$C$2:$C$13,MATCH($B251,Media_Pool_Mes!$A$2:$A$13,0)),IF($C251="Umidade",INDEX(Media_Pool_Mes!$D$2:$D$13,MATCH($B251,Media_Pool_Mes!$A$2:$A$13,0)),INDEX(Media_Pool_Mes!$E$2:$E$13,MATCH($B251,Media_Pool_Mes!$A$2:$A$13,0))))</f>
        <v/>
      </c>
      <c r="H251" s="37" t="n">
        <f aca="false">INDEX(Parametros_ANEC73!$B$4:$B$6,MATCH($C251,Parametros_ANEC73!$A$4:$A$6,0))</f>
        <v>-1</v>
      </c>
      <c r="I251" s="38" t="str">
        <f aca="false">IF(OR($D251=0,$G251=""),"",IF($H251*($G251-$F251)&gt;0,$G251,$F251))</f>
        <v/>
      </c>
      <c r="J251" s="27" t="str">
        <f aca="false">IF(OR($D251=0,$G251=""),"",IF($H251*($G251-$F251)&gt;0,"Sim","Nao"))</f>
        <v/>
      </c>
      <c r="K251" s="27" t="str">
        <f aca="false">IF(OR($D251=0,$G251=""),"",IF(AND($H251*($E251-$F251)&gt;0,$H251*($E251-$G251)&gt;0),"Sim","Nao"))</f>
        <v/>
      </c>
      <c r="L251" s="38" t="n">
        <f aca="false">IF(OR($D251=0,$G251=""),0,IF($K251="Sim",MAX(0,$H251*($E251-$I251)),0))</f>
        <v>0</v>
      </c>
      <c r="M251" s="35" t="n">
        <f aca="false">INDEX(Parametros_ANEC73!$G$4:$G$6,MATCH($C251,Parametros_ANEC73!$A$4:$A$6,0))</f>
        <v>47</v>
      </c>
      <c r="N251" s="38" t="n">
        <f aca="false">IF(OR($D251=0,$G251=""),0,IF(AND($K251="Sim",$M251&lt;&gt;""),MAX(0,$H251*($E251-$M251)),0))</f>
        <v>0</v>
      </c>
      <c r="O251" s="35" t="n">
        <f aca="false">INDEX(Parametros_ANEC73!$J$4:$J$6,MATCH($C251,Parametros_ANEC73!$A$4:$A$6,0))</f>
        <v>0</v>
      </c>
      <c r="P251" s="38" t="n">
        <f aca="false">IF(OR($D251=0,$G251=""),0,IF(AND($K251="Sim",$O251&lt;&gt;""),MAX(0,$H251*($E251-$O251)),0))</f>
        <v>0</v>
      </c>
      <c r="Q251" s="35" t="n">
        <f aca="false">INDEX(Parametros_ANEC73!$F$4:$F$6,MATCH($C251,Parametros_ANEC73!$A$4:$A$6,0))</f>
        <v>1</v>
      </c>
      <c r="R251" s="35" t="n">
        <f aca="false">INDEX(Parametros_ANEC73!$I$4:$I$6,MATCH($C251,Parametros_ANEC73!$A$4:$A$6,0))</f>
        <v>2</v>
      </c>
      <c r="S251" s="35" t="n">
        <f aca="false">INDEX(Parametros_ANEC73!$L$4:$L$6,MATCH($C251,Parametros_ANEC73!$A$4:$A$6,0))</f>
        <v>0</v>
      </c>
      <c r="T251" s="39" t="n">
        <f aca="false">INDEX(Parametros_ANEC73!$B$14:$B$25,MATCH($B251,Parametros_ANEC73!$A$14:$A$25,0))</f>
        <v>0</v>
      </c>
      <c r="U251" s="40" t="n">
        <f aca="false">IF(OR($D251=0,$G251=""),0,$D251*($T251/100)*($L251*$Q251+$N251*(IF($R251="",$Q251,$R251)-$Q251)+$P251*(IF($S251="",IF($R251="",$Q251,$R251),$S251)-IF($R251="",$Q251,$R251))))</f>
        <v>0</v>
      </c>
      <c r="V251" s="41" t="str">
        <f aca="false">IF(OR($D251=0,$G251=""),"",IF($H251*($E251-INDEX(Parametros_ANEC73!$M$4:$M$6,MATCH($C251,Parametros_ANEC73!$A$4:$A$6,0)))&gt;0,"Sim","Nao"))</f>
        <v/>
      </c>
      <c r="W251" s="27" t="str">
        <f aca="false">$A251&amp;"|"&amp;$B251&amp;"|"&amp;$C251</f>
        <v>Bunge|Dez|Proteina</v>
      </c>
    </row>
    <row r="252" customFormat="false" ht="15" hidden="false" customHeight="false" outlineLevel="0" collapsed="false">
      <c r="A252" s="27" t="s">
        <v>45</v>
      </c>
      <c r="B252" s="27" t="s">
        <v>69</v>
      </c>
      <c r="C252" s="27" t="s">
        <v>110</v>
      </c>
      <c r="D252" s="34" t="n">
        <f aca="false">SUMIFS(Media_Cliente_Mes!$C$2:$C$145,Media_Cliente_Mes!$A$2:$A$145,$A252,Media_Cliente_Mes!$B$2:$B$145,$B252)</f>
        <v>0</v>
      </c>
      <c r="E252" s="35" t="str">
        <f aca="false">IF($D252=0,"",IF($C252="Proteina",SUMIFS(Media_Cliente_Mes!$D$2:$D$145,Media_Cliente_Mes!$A$2:$A$145,$A252,Media_Cliente_Mes!$B$2:$B$145,$B252),IF($C252="Umidade",SUMIFS(Media_Cliente_Mes!$E$2:$E$145,Media_Cliente_Mes!$A$2:$A$145,$A252,Media_Cliente_Mes!$B$2:$B$145,$B252),SUMIFS(Media_Cliente_Mes!$F$2:$F$145,Media_Cliente_Mes!$A$2:$A$145,$A252,Media_Cliente_Mes!$B$2:$B$145,$B252))))</f>
        <v/>
      </c>
      <c r="F252" s="35" t="n">
        <f aca="false">INDEX(Parametros_ANEC73!$C$4:$C$6,MATCH($C252,Parametros_ANEC73!$A$4:$A$6,0))</f>
        <v>12.5</v>
      </c>
      <c r="G252" s="35" t="str">
        <f aca="false">IF($C252="Proteina",INDEX(Media_Pool_Mes!$C$2:$C$13,MATCH($B252,Media_Pool_Mes!$A$2:$A$13,0)),IF($C252="Umidade",INDEX(Media_Pool_Mes!$D$2:$D$13,MATCH($B252,Media_Pool_Mes!$A$2:$A$13,0)),INDEX(Media_Pool_Mes!$E$2:$E$13,MATCH($B252,Media_Pool_Mes!$A$2:$A$13,0))))</f>
        <v/>
      </c>
      <c r="H252" s="37" t="n">
        <f aca="false">INDEX(Parametros_ANEC73!$B$4:$B$6,MATCH($C252,Parametros_ANEC73!$A$4:$A$6,0))</f>
        <v>1</v>
      </c>
      <c r="I252" s="38" t="str">
        <f aca="false">IF(OR($D252=0,$G252=""),"",IF($H252*($G252-$F252)&gt;0,$G252,$F252))</f>
        <v/>
      </c>
      <c r="J252" s="27" t="str">
        <f aca="false">IF(OR($D252=0,$G252=""),"",IF($H252*($G252-$F252)&gt;0,"Sim","Nao"))</f>
        <v/>
      </c>
      <c r="K252" s="27" t="str">
        <f aca="false">IF(OR($D252=0,$G252=""),"",IF(AND($H252*($E252-$F252)&gt;0,$H252*($E252-$G252)&gt;0),"Sim","Nao"))</f>
        <v/>
      </c>
      <c r="L252" s="38" t="n">
        <f aca="false">IF(OR($D252=0,$G252=""),0,IF($K252="Sim",MAX(0,$H252*($E252-$I252)),0))</f>
        <v>0</v>
      </c>
      <c r="M252" s="35" t="n">
        <f aca="false">INDEX(Parametros_ANEC73!$G$4:$G$6,MATCH($C252,Parametros_ANEC73!$A$4:$A$6,0))</f>
        <v>0</v>
      </c>
      <c r="N252" s="38" t="n">
        <f aca="false">IF(OR($D252=0,$G252=""),0,IF(AND($K252="Sim",$M252&lt;&gt;""),MAX(0,$H252*($E252-$M252)),0))</f>
        <v>0</v>
      </c>
      <c r="O252" s="35" t="n">
        <f aca="false">INDEX(Parametros_ANEC73!$J$4:$J$6,MATCH($C252,Parametros_ANEC73!$A$4:$A$6,0))</f>
        <v>0</v>
      </c>
      <c r="P252" s="38" t="n">
        <f aca="false">IF(OR($D252=0,$G252=""),0,IF(AND($K252="Sim",$O252&lt;&gt;""),MAX(0,$H252*($E252-$O252)),0))</f>
        <v>0</v>
      </c>
      <c r="Q252" s="35" t="n">
        <f aca="false">INDEX(Parametros_ANEC73!$F$4:$F$6,MATCH($C252,Parametros_ANEC73!$A$4:$A$6,0))</f>
        <v>1</v>
      </c>
      <c r="R252" s="35" t="n">
        <f aca="false">INDEX(Parametros_ANEC73!$I$4:$I$6,MATCH($C252,Parametros_ANEC73!$A$4:$A$6,0))</f>
        <v>0</v>
      </c>
      <c r="S252" s="35" t="n">
        <f aca="false">INDEX(Parametros_ANEC73!$L$4:$L$6,MATCH($C252,Parametros_ANEC73!$A$4:$A$6,0))</f>
        <v>0</v>
      </c>
      <c r="T252" s="39" t="n">
        <f aca="false">INDEX(Parametros_ANEC73!$B$14:$B$25,MATCH($B252,Parametros_ANEC73!$A$14:$A$25,0))</f>
        <v>0</v>
      </c>
      <c r="U252" s="40" t="n">
        <f aca="false">IF(OR($D252=0,$G252=""),0,$D252*($T252/100)*($L252*$Q252+$N252*(IF($R252="",$Q252,$R252)-$Q252)+$P252*(IF($S252="",IF($R252="",$Q252,$R252),$S252)-IF($R252="",$Q252,$R252))))</f>
        <v>0</v>
      </c>
      <c r="V252" s="41" t="str">
        <f aca="false">IF(OR($D252=0,$G252=""),"",IF($H252*($E252-INDEX(Parametros_ANEC73!$M$4:$M$6,MATCH($C252,Parametros_ANEC73!$A$4:$A$6,0)))&gt;0,"Sim","Nao"))</f>
        <v/>
      </c>
      <c r="W252" s="27" t="str">
        <f aca="false">$A252&amp;"|"&amp;$B252&amp;"|"&amp;$C252</f>
        <v>Bunge|Dez|Umidade</v>
      </c>
    </row>
    <row r="253" customFormat="false" ht="15" hidden="false" customHeight="false" outlineLevel="0" collapsed="false">
      <c r="A253" s="27" t="s">
        <v>45</v>
      </c>
      <c r="B253" s="27" t="s">
        <v>69</v>
      </c>
      <c r="C253" s="27" t="s">
        <v>111</v>
      </c>
      <c r="D253" s="34" t="n">
        <f aca="false">SUMIFS(Media_Cliente_Mes!$C$2:$C$145,Media_Cliente_Mes!$A$2:$A$145,$A253,Media_Cliente_Mes!$B$2:$B$145,$B253)</f>
        <v>0</v>
      </c>
      <c r="E253" s="35" t="str">
        <f aca="false">IF($D253=0,"",IF($C253="Proteina",SUMIFS(Media_Cliente_Mes!$D$2:$D$145,Media_Cliente_Mes!$A$2:$A$145,$A253,Media_Cliente_Mes!$B$2:$B$145,$B253),IF($C253="Umidade",SUMIFS(Media_Cliente_Mes!$E$2:$E$145,Media_Cliente_Mes!$A$2:$A$145,$A253,Media_Cliente_Mes!$B$2:$B$145,$B253),SUMIFS(Media_Cliente_Mes!$F$2:$F$145,Media_Cliente_Mes!$A$2:$A$145,$A253,Media_Cliente_Mes!$B$2:$B$145,$B253))))</f>
        <v/>
      </c>
      <c r="F253" s="35" t="n">
        <f aca="false">INDEX(Parametros_ANEC73!$C$4:$C$6,MATCH($C253,Parametros_ANEC73!$A$4:$A$6,0))</f>
        <v>3.5</v>
      </c>
      <c r="G253" s="35" t="str">
        <f aca="false">IF($C253="Proteina",INDEX(Media_Pool_Mes!$C$2:$C$13,MATCH($B253,Media_Pool_Mes!$A$2:$A$13,0)),IF($C253="Umidade",INDEX(Media_Pool_Mes!$D$2:$D$13,MATCH($B253,Media_Pool_Mes!$A$2:$A$13,0)),INDEX(Media_Pool_Mes!$E$2:$E$13,MATCH($B253,Media_Pool_Mes!$A$2:$A$13,0))))</f>
        <v/>
      </c>
      <c r="H253" s="37" t="n">
        <f aca="false">INDEX(Parametros_ANEC73!$B$4:$B$6,MATCH($C253,Parametros_ANEC73!$A$4:$A$6,0))</f>
        <v>1</v>
      </c>
      <c r="I253" s="38" t="str">
        <f aca="false">IF(OR($D253=0,$G253=""),"",IF($H253*($G253-$F253)&gt;0,$G253,$F253))</f>
        <v/>
      </c>
      <c r="J253" s="27" t="str">
        <f aca="false">IF(OR($D253=0,$G253=""),"",IF($H253*($G253-$F253)&gt;0,"Sim","Nao"))</f>
        <v/>
      </c>
      <c r="K253" s="27" t="str">
        <f aca="false">IF(OR($D253=0,$G253=""),"",IF(AND($H253*($E253-$F253)&gt;0,$H253*($E253-$G253)&gt;0),"Sim","Nao"))</f>
        <v/>
      </c>
      <c r="L253" s="38" t="n">
        <f aca="false">IF(OR($D253=0,$G253=""),0,IF($K253="Sim",MAX(0,$H253*($E253-$I253)),0))</f>
        <v>0</v>
      </c>
      <c r="M253" s="35" t="n">
        <f aca="false">INDEX(Parametros_ANEC73!$G$4:$G$6,MATCH($C253,Parametros_ANEC73!$A$4:$A$6,0))</f>
        <v>3.8</v>
      </c>
      <c r="N253" s="38" t="n">
        <f aca="false">IF(OR($D253=0,$G253=""),0,IF(AND($K253="Sim",$M253&lt;&gt;""),MAX(0,$H253*($E253-$M253)),0))</f>
        <v>0</v>
      </c>
      <c r="O253" s="35" t="n">
        <f aca="false">INDEX(Parametros_ANEC73!$J$4:$J$6,MATCH($C253,Parametros_ANEC73!$A$4:$A$6,0))</f>
        <v>4</v>
      </c>
      <c r="P253" s="38" t="n">
        <f aca="false">IF(OR($D253=0,$G253=""),0,IF(AND($K253="Sim",$O253&lt;&gt;""),MAX(0,$H253*($E253-$O253)),0))</f>
        <v>0</v>
      </c>
      <c r="Q253" s="35" t="n">
        <f aca="false">INDEX(Parametros_ANEC73!$F$4:$F$6,MATCH($C253,Parametros_ANEC73!$A$4:$A$6,0))</f>
        <v>1</v>
      </c>
      <c r="R253" s="35" t="n">
        <f aca="false">INDEX(Parametros_ANEC73!$I$4:$I$6,MATCH($C253,Parametros_ANEC73!$A$4:$A$6,0))</f>
        <v>1.5</v>
      </c>
      <c r="S253" s="35" t="n">
        <f aca="false">INDEX(Parametros_ANEC73!$L$4:$L$6,MATCH($C253,Parametros_ANEC73!$A$4:$A$6,0))</f>
        <v>2</v>
      </c>
      <c r="T253" s="39" t="n">
        <f aca="false">INDEX(Parametros_ANEC73!$B$14:$B$25,MATCH($B253,Parametros_ANEC73!$A$14:$A$25,0))</f>
        <v>0</v>
      </c>
      <c r="U253" s="40" t="n">
        <f aca="false">IF(OR($D253=0,$G253=""),0,$D253*($T253/100)*($L253*$Q253+$N253*(IF($R253="",$Q253,$R253)-$Q253)+$P253*(IF($S253="",IF($R253="",$Q253,$R253),$S253)-IF($R253="",$Q253,$R253))))</f>
        <v>0</v>
      </c>
      <c r="V253" s="41" t="str">
        <f aca="false">IF(OR($D253=0,$G253=""),"",IF($H253*($E253-INDEX(Parametros_ANEC73!$M$4:$M$6,MATCH($C253,Parametros_ANEC73!$A$4:$A$6,0)))&gt;0,"Sim","Nao"))</f>
        <v/>
      </c>
      <c r="W253" s="27" t="str">
        <f aca="false">$A253&amp;"|"&amp;$B253&amp;"|"&amp;$C253</f>
        <v>Bunge|Dez|Fibra</v>
      </c>
    </row>
    <row r="254" customFormat="false" ht="15" hidden="false" customHeight="false" outlineLevel="0" collapsed="false">
      <c r="A254" s="27" t="s">
        <v>46</v>
      </c>
      <c r="B254" s="27" t="s">
        <v>38</v>
      </c>
      <c r="C254" s="27" t="s">
        <v>109</v>
      </c>
      <c r="D254" s="34" t="n">
        <f aca="false">SUMIFS(Media_Cliente_Mes!$C$2:$C$145,Media_Cliente_Mes!$A$2:$A$145,$A254,Media_Cliente_Mes!$B$2:$B$145,$B254)</f>
        <v>0</v>
      </c>
      <c r="E254" s="35" t="str">
        <f aca="false">IF($D254=0,"",IF($C254="Proteina",SUMIFS(Media_Cliente_Mes!$D$2:$D$145,Media_Cliente_Mes!$A$2:$A$145,$A254,Media_Cliente_Mes!$B$2:$B$145,$B254),IF($C254="Umidade",SUMIFS(Media_Cliente_Mes!$E$2:$E$145,Media_Cliente_Mes!$A$2:$A$145,$A254,Media_Cliente_Mes!$B$2:$B$145,$B254),SUMIFS(Media_Cliente_Mes!$F$2:$F$145,Media_Cliente_Mes!$A$2:$A$145,$A254,Media_Cliente_Mes!$B$2:$B$145,$B254))))</f>
        <v/>
      </c>
      <c r="F254" s="35" t="n">
        <f aca="false">INDEX(Parametros_ANEC73!$C$4:$C$6,MATCH($C254,Parametros_ANEC73!$A$4:$A$6,0))</f>
        <v>48</v>
      </c>
      <c r="G254" s="35" t="n">
        <f aca="false">IF($C254="Proteina",INDEX(Media_Pool_Mes!$C$2:$C$13,MATCH($B254,Media_Pool_Mes!$A$2:$A$13,0)),IF($C254="Umidade",INDEX(Media_Pool_Mes!$D$2:$D$13,MATCH($B254,Media_Pool_Mes!$A$2:$A$13,0)),INDEX(Media_Pool_Mes!$E$2:$E$13,MATCH($B254,Media_Pool_Mes!$A$2:$A$13,0))))</f>
        <v>47.8154367670349</v>
      </c>
      <c r="H254" s="37" t="n">
        <f aca="false">INDEX(Parametros_ANEC73!$B$4:$B$6,MATCH($C254,Parametros_ANEC73!$A$4:$A$6,0))</f>
        <v>-1</v>
      </c>
      <c r="I254" s="38" t="str">
        <f aca="false">IF(OR($D254=0,$G254=""),"",IF($H254*($G254-$F254)&gt;0,$G254,$F254))</f>
        <v/>
      </c>
      <c r="J254" s="27" t="str">
        <f aca="false">IF(OR($D254=0,$G254=""),"",IF($H254*($G254-$F254)&gt;0,"Sim","Nao"))</f>
        <v/>
      </c>
      <c r="K254" s="27" t="str">
        <f aca="false">IF(OR($D254=0,$G254=""),"",IF(AND($H254*($E254-$F254)&gt;0,$H254*($E254-$G254)&gt;0),"Sim","Nao"))</f>
        <v/>
      </c>
      <c r="L254" s="38" t="n">
        <f aca="false">IF(OR($D254=0,$G254=""),0,IF($K254="Sim",MAX(0,$H254*($E254-$I254)),0))</f>
        <v>0</v>
      </c>
      <c r="M254" s="35" t="n">
        <f aca="false">INDEX(Parametros_ANEC73!$G$4:$G$6,MATCH($C254,Parametros_ANEC73!$A$4:$A$6,0))</f>
        <v>47</v>
      </c>
      <c r="N254" s="38" t="n">
        <f aca="false">IF(OR($D254=0,$G254=""),0,IF(AND($K254="Sim",$M254&lt;&gt;""),MAX(0,$H254*($E254-$M254)),0))</f>
        <v>0</v>
      </c>
      <c r="O254" s="35" t="n">
        <f aca="false">INDEX(Parametros_ANEC73!$J$4:$J$6,MATCH($C254,Parametros_ANEC73!$A$4:$A$6,0))</f>
        <v>0</v>
      </c>
      <c r="P254" s="38" t="n">
        <f aca="false">IF(OR($D254=0,$G254=""),0,IF(AND($K254="Sim",$O254&lt;&gt;""),MAX(0,$H254*($E254-$O254)),0))</f>
        <v>0</v>
      </c>
      <c r="Q254" s="35" t="n">
        <f aca="false">INDEX(Parametros_ANEC73!$F$4:$F$6,MATCH($C254,Parametros_ANEC73!$A$4:$A$6,0))</f>
        <v>1</v>
      </c>
      <c r="R254" s="35" t="n">
        <f aca="false">INDEX(Parametros_ANEC73!$I$4:$I$6,MATCH($C254,Parametros_ANEC73!$A$4:$A$6,0))</f>
        <v>2</v>
      </c>
      <c r="S254" s="35" t="n">
        <f aca="false">INDEX(Parametros_ANEC73!$L$4:$L$6,MATCH($C254,Parametros_ANEC73!$A$4:$A$6,0))</f>
        <v>0</v>
      </c>
      <c r="T254" s="39" t="n">
        <f aca="false">INDEX(Parametros_ANEC73!$B$14:$B$25,MATCH($B254,Parametros_ANEC73!$A$14:$A$25,0))</f>
        <v>386</v>
      </c>
      <c r="U254" s="40" t="n">
        <f aca="false">IF(OR($D254=0,$G254=""),0,$D254*($T254/100)*($L254*$Q254+$N254*(IF($R254="",$Q254,$R254)-$Q254)+$P254*(IF($S254="",IF($R254="",$Q254,$R254),$S254)-IF($R254="",$Q254,$R254))))</f>
        <v>0</v>
      </c>
      <c r="V254" s="41" t="str">
        <f aca="false">IF(OR($D254=0,$G254=""),"",IF($H254*($E254-INDEX(Parametros_ANEC73!$M$4:$M$6,MATCH($C254,Parametros_ANEC73!$A$4:$A$6,0)))&gt;0,"Sim","Nao"))</f>
        <v/>
      </c>
      <c r="W254" s="27" t="str">
        <f aca="false">$A254&amp;"|"&amp;$B254&amp;"|"&amp;$C254</f>
        <v>ADM|Jan|Proteina</v>
      </c>
    </row>
    <row r="255" customFormat="false" ht="15" hidden="false" customHeight="false" outlineLevel="0" collapsed="false">
      <c r="A255" s="27" t="s">
        <v>46</v>
      </c>
      <c r="B255" s="27" t="s">
        <v>38</v>
      </c>
      <c r="C255" s="27" t="s">
        <v>110</v>
      </c>
      <c r="D255" s="34" t="n">
        <f aca="false">SUMIFS(Media_Cliente_Mes!$C$2:$C$145,Media_Cliente_Mes!$A$2:$A$145,$A255,Media_Cliente_Mes!$B$2:$B$145,$B255)</f>
        <v>0</v>
      </c>
      <c r="E255" s="35" t="str">
        <f aca="false">IF($D255=0,"",IF($C255="Proteina",SUMIFS(Media_Cliente_Mes!$D$2:$D$145,Media_Cliente_Mes!$A$2:$A$145,$A255,Media_Cliente_Mes!$B$2:$B$145,$B255),IF($C255="Umidade",SUMIFS(Media_Cliente_Mes!$E$2:$E$145,Media_Cliente_Mes!$A$2:$A$145,$A255,Media_Cliente_Mes!$B$2:$B$145,$B255),SUMIFS(Media_Cliente_Mes!$F$2:$F$145,Media_Cliente_Mes!$A$2:$A$145,$A255,Media_Cliente_Mes!$B$2:$B$145,$B255))))</f>
        <v/>
      </c>
      <c r="F255" s="35" t="n">
        <f aca="false">INDEX(Parametros_ANEC73!$C$4:$C$6,MATCH($C255,Parametros_ANEC73!$A$4:$A$6,0))</f>
        <v>12.5</v>
      </c>
      <c r="G255" s="35" t="n">
        <f aca="false">IF($C255="Proteina",INDEX(Media_Pool_Mes!$C$2:$C$13,MATCH($B255,Media_Pool_Mes!$A$2:$A$13,0)),IF($C255="Umidade",INDEX(Media_Pool_Mes!$D$2:$D$13,MATCH($B255,Media_Pool_Mes!$A$2:$A$13,0)),INDEX(Media_Pool_Mes!$E$2:$E$13,MATCH($B255,Media_Pool_Mes!$A$2:$A$13,0))))</f>
        <v>12.076727887935</v>
      </c>
      <c r="H255" s="37" t="n">
        <f aca="false">INDEX(Parametros_ANEC73!$B$4:$B$6,MATCH($C255,Parametros_ANEC73!$A$4:$A$6,0))</f>
        <v>1</v>
      </c>
      <c r="I255" s="38" t="str">
        <f aca="false">IF(OR($D255=0,$G255=""),"",IF($H255*($G255-$F255)&gt;0,$G255,$F255))</f>
        <v/>
      </c>
      <c r="J255" s="27" t="str">
        <f aca="false">IF(OR($D255=0,$G255=""),"",IF($H255*($G255-$F255)&gt;0,"Sim","Nao"))</f>
        <v/>
      </c>
      <c r="K255" s="27" t="str">
        <f aca="false">IF(OR($D255=0,$G255=""),"",IF(AND($H255*($E255-$F255)&gt;0,$H255*($E255-$G255)&gt;0),"Sim","Nao"))</f>
        <v/>
      </c>
      <c r="L255" s="38" t="n">
        <f aca="false">IF(OR($D255=0,$G255=""),0,IF($K255="Sim",MAX(0,$H255*($E255-$I255)),0))</f>
        <v>0</v>
      </c>
      <c r="M255" s="35" t="n">
        <f aca="false">INDEX(Parametros_ANEC73!$G$4:$G$6,MATCH($C255,Parametros_ANEC73!$A$4:$A$6,0))</f>
        <v>0</v>
      </c>
      <c r="N255" s="38" t="n">
        <f aca="false">IF(OR($D255=0,$G255=""),0,IF(AND($K255="Sim",$M255&lt;&gt;""),MAX(0,$H255*($E255-$M255)),0))</f>
        <v>0</v>
      </c>
      <c r="O255" s="35" t="n">
        <f aca="false">INDEX(Parametros_ANEC73!$J$4:$J$6,MATCH($C255,Parametros_ANEC73!$A$4:$A$6,0))</f>
        <v>0</v>
      </c>
      <c r="P255" s="38" t="n">
        <f aca="false">IF(OR($D255=0,$G255=""),0,IF(AND($K255="Sim",$O255&lt;&gt;""),MAX(0,$H255*($E255-$O255)),0))</f>
        <v>0</v>
      </c>
      <c r="Q255" s="35" t="n">
        <f aca="false">INDEX(Parametros_ANEC73!$F$4:$F$6,MATCH($C255,Parametros_ANEC73!$A$4:$A$6,0))</f>
        <v>1</v>
      </c>
      <c r="R255" s="35" t="n">
        <f aca="false">INDEX(Parametros_ANEC73!$I$4:$I$6,MATCH($C255,Parametros_ANEC73!$A$4:$A$6,0))</f>
        <v>0</v>
      </c>
      <c r="S255" s="35" t="n">
        <f aca="false">INDEX(Parametros_ANEC73!$L$4:$L$6,MATCH($C255,Parametros_ANEC73!$A$4:$A$6,0))</f>
        <v>0</v>
      </c>
      <c r="T255" s="39" t="n">
        <f aca="false">INDEX(Parametros_ANEC73!$B$14:$B$25,MATCH($B255,Parametros_ANEC73!$A$14:$A$25,0))</f>
        <v>386</v>
      </c>
      <c r="U255" s="40" t="n">
        <f aca="false">IF(OR($D255=0,$G255=""),0,$D255*($T255/100)*($L255*$Q255+$N255*(IF($R255="",$Q255,$R255)-$Q255)+$P255*(IF($S255="",IF($R255="",$Q255,$R255),$S255)-IF($R255="",$Q255,$R255))))</f>
        <v>0</v>
      </c>
      <c r="V255" s="41" t="str">
        <f aca="false">IF(OR($D255=0,$G255=""),"",IF($H255*($E255-INDEX(Parametros_ANEC73!$M$4:$M$6,MATCH($C255,Parametros_ANEC73!$A$4:$A$6,0)))&gt;0,"Sim","Nao"))</f>
        <v/>
      </c>
      <c r="W255" s="27" t="str">
        <f aca="false">$A255&amp;"|"&amp;$B255&amp;"|"&amp;$C255</f>
        <v>ADM|Jan|Umidade</v>
      </c>
    </row>
    <row r="256" customFormat="false" ht="15" hidden="false" customHeight="false" outlineLevel="0" collapsed="false">
      <c r="A256" s="27" t="s">
        <v>46</v>
      </c>
      <c r="B256" s="27" t="s">
        <v>38</v>
      </c>
      <c r="C256" s="27" t="s">
        <v>111</v>
      </c>
      <c r="D256" s="34" t="n">
        <f aca="false">SUMIFS(Media_Cliente_Mes!$C$2:$C$145,Media_Cliente_Mes!$A$2:$A$145,$A256,Media_Cliente_Mes!$B$2:$B$145,$B256)</f>
        <v>0</v>
      </c>
      <c r="E256" s="35" t="str">
        <f aca="false">IF($D256=0,"",IF($C256="Proteina",SUMIFS(Media_Cliente_Mes!$D$2:$D$145,Media_Cliente_Mes!$A$2:$A$145,$A256,Media_Cliente_Mes!$B$2:$B$145,$B256),IF($C256="Umidade",SUMIFS(Media_Cliente_Mes!$E$2:$E$145,Media_Cliente_Mes!$A$2:$A$145,$A256,Media_Cliente_Mes!$B$2:$B$145,$B256),SUMIFS(Media_Cliente_Mes!$F$2:$F$145,Media_Cliente_Mes!$A$2:$A$145,$A256,Media_Cliente_Mes!$B$2:$B$145,$B256))))</f>
        <v/>
      </c>
      <c r="F256" s="35" t="n">
        <f aca="false">INDEX(Parametros_ANEC73!$C$4:$C$6,MATCH($C256,Parametros_ANEC73!$A$4:$A$6,0))</f>
        <v>3.5</v>
      </c>
      <c r="G256" s="35" t="n">
        <f aca="false">IF($C256="Proteina",INDEX(Media_Pool_Mes!$C$2:$C$13,MATCH($B256,Media_Pool_Mes!$A$2:$A$13,0)),IF($C256="Umidade",INDEX(Media_Pool_Mes!$D$2:$D$13,MATCH($B256,Media_Pool_Mes!$A$2:$A$13,0)),INDEX(Media_Pool_Mes!$E$2:$E$13,MATCH($B256,Media_Pool_Mes!$A$2:$A$13,0))))</f>
        <v>3.51752485295922</v>
      </c>
      <c r="H256" s="37" t="n">
        <f aca="false">INDEX(Parametros_ANEC73!$B$4:$B$6,MATCH($C256,Parametros_ANEC73!$A$4:$A$6,0))</f>
        <v>1</v>
      </c>
      <c r="I256" s="38" t="str">
        <f aca="false">IF(OR($D256=0,$G256=""),"",IF($H256*($G256-$F256)&gt;0,$G256,$F256))</f>
        <v/>
      </c>
      <c r="J256" s="27" t="str">
        <f aca="false">IF(OR($D256=0,$G256=""),"",IF($H256*($G256-$F256)&gt;0,"Sim","Nao"))</f>
        <v/>
      </c>
      <c r="K256" s="27" t="str">
        <f aca="false">IF(OR($D256=0,$G256=""),"",IF(AND($H256*($E256-$F256)&gt;0,$H256*($E256-$G256)&gt;0),"Sim","Nao"))</f>
        <v/>
      </c>
      <c r="L256" s="38" t="n">
        <f aca="false">IF(OR($D256=0,$G256=""),0,IF($K256="Sim",MAX(0,$H256*($E256-$I256)),0))</f>
        <v>0</v>
      </c>
      <c r="M256" s="35" t="n">
        <f aca="false">INDEX(Parametros_ANEC73!$G$4:$G$6,MATCH($C256,Parametros_ANEC73!$A$4:$A$6,0))</f>
        <v>3.8</v>
      </c>
      <c r="N256" s="38" t="n">
        <f aca="false">IF(OR($D256=0,$G256=""),0,IF(AND($K256="Sim",$M256&lt;&gt;""),MAX(0,$H256*($E256-$M256)),0))</f>
        <v>0</v>
      </c>
      <c r="O256" s="35" t="n">
        <f aca="false">INDEX(Parametros_ANEC73!$J$4:$J$6,MATCH($C256,Parametros_ANEC73!$A$4:$A$6,0))</f>
        <v>4</v>
      </c>
      <c r="P256" s="38" t="n">
        <f aca="false">IF(OR($D256=0,$G256=""),0,IF(AND($K256="Sim",$O256&lt;&gt;""),MAX(0,$H256*($E256-$O256)),0))</f>
        <v>0</v>
      </c>
      <c r="Q256" s="35" t="n">
        <f aca="false">INDEX(Parametros_ANEC73!$F$4:$F$6,MATCH($C256,Parametros_ANEC73!$A$4:$A$6,0))</f>
        <v>1</v>
      </c>
      <c r="R256" s="35" t="n">
        <f aca="false">INDEX(Parametros_ANEC73!$I$4:$I$6,MATCH($C256,Parametros_ANEC73!$A$4:$A$6,0))</f>
        <v>1.5</v>
      </c>
      <c r="S256" s="35" t="n">
        <f aca="false">INDEX(Parametros_ANEC73!$L$4:$L$6,MATCH($C256,Parametros_ANEC73!$A$4:$A$6,0))</f>
        <v>2</v>
      </c>
      <c r="T256" s="39" t="n">
        <f aca="false">INDEX(Parametros_ANEC73!$B$14:$B$25,MATCH($B256,Parametros_ANEC73!$A$14:$A$25,0))</f>
        <v>386</v>
      </c>
      <c r="U256" s="40" t="n">
        <f aca="false">IF(OR($D256=0,$G256=""),0,$D256*($T256/100)*($L256*$Q256+$N256*(IF($R256="",$Q256,$R256)-$Q256)+$P256*(IF($S256="",IF($R256="",$Q256,$R256),$S256)-IF($R256="",$Q256,$R256))))</f>
        <v>0</v>
      </c>
      <c r="V256" s="41" t="str">
        <f aca="false">IF(OR($D256=0,$G256=""),"",IF($H256*($E256-INDEX(Parametros_ANEC73!$M$4:$M$6,MATCH($C256,Parametros_ANEC73!$A$4:$A$6,0)))&gt;0,"Sim","Nao"))</f>
        <v/>
      </c>
      <c r="W256" s="27" t="str">
        <f aca="false">$A256&amp;"|"&amp;$B256&amp;"|"&amp;$C256</f>
        <v>ADM|Jan|Fibra</v>
      </c>
    </row>
    <row r="257" customFormat="false" ht="15" hidden="false" customHeight="false" outlineLevel="0" collapsed="false">
      <c r="A257" s="27" t="s">
        <v>46</v>
      </c>
      <c r="B257" s="27" t="s">
        <v>59</v>
      </c>
      <c r="C257" s="27" t="s">
        <v>109</v>
      </c>
      <c r="D257" s="34" t="n">
        <f aca="false">SUMIFS(Media_Cliente_Mes!$C$2:$C$145,Media_Cliente_Mes!$A$2:$A$145,$A257,Media_Cliente_Mes!$B$2:$B$145,$B257)</f>
        <v>0</v>
      </c>
      <c r="E257" s="35" t="str">
        <f aca="false">IF($D257=0,"",IF($C257="Proteina",SUMIFS(Media_Cliente_Mes!$D$2:$D$145,Media_Cliente_Mes!$A$2:$A$145,$A257,Media_Cliente_Mes!$B$2:$B$145,$B257),IF($C257="Umidade",SUMIFS(Media_Cliente_Mes!$E$2:$E$145,Media_Cliente_Mes!$A$2:$A$145,$A257,Media_Cliente_Mes!$B$2:$B$145,$B257),SUMIFS(Media_Cliente_Mes!$F$2:$F$145,Media_Cliente_Mes!$A$2:$A$145,$A257,Media_Cliente_Mes!$B$2:$B$145,$B257))))</f>
        <v/>
      </c>
      <c r="F257" s="35" t="n">
        <f aca="false">INDEX(Parametros_ANEC73!$C$4:$C$6,MATCH($C257,Parametros_ANEC73!$A$4:$A$6,0))</f>
        <v>48</v>
      </c>
      <c r="G257" s="35" t="n">
        <f aca="false">IF($C257="Proteina",INDEX(Media_Pool_Mes!$C$2:$C$13,MATCH($B257,Media_Pool_Mes!$A$2:$A$13,0)),IF($C257="Umidade",INDEX(Media_Pool_Mes!$D$2:$D$13,MATCH($B257,Media_Pool_Mes!$A$2:$A$13,0)),INDEX(Media_Pool_Mes!$E$2:$E$13,MATCH($B257,Media_Pool_Mes!$A$2:$A$13,0))))</f>
        <v>47.3405726705791</v>
      </c>
      <c r="H257" s="37" t="n">
        <f aca="false">INDEX(Parametros_ANEC73!$B$4:$B$6,MATCH($C257,Parametros_ANEC73!$A$4:$A$6,0))</f>
        <v>-1</v>
      </c>
      <c r="I257" s="38" t="str">
        <f aca="false">IF(OR($D257=0,$G257=""),"",IF($H257*($G257-$F257)&gt;0,$G257,$F257))</f>
        <v/>
      </c>
      <c r="J257" s="27" t="str">
        <f aca="false">IF(OR($D257=0,$G257=""),"",IF($H257*($G257-$F257)&gt;0,"Sim","Nao"))</f>
        <v/>
      </c>
      <c r="K257" s="27" t="str">
        <f aca="false">IF(OR($D257=0,$G257=""),"",IF(AND($H257*($E257-$F257)&gt;0,$H257*($E257-$G257)&gt;0),"Sim","Nao"))</f>
        <v/>
      </c>
      <c r="L257" s="38" t="n">
        <f aca="false">IF(OR($D257=0,$G257=""),0,IF($K257="Sim",MAX(0,$H257*($E257-$I257)),0))</f>
        <v>0</v>
      </c>
      <c r="M257" s="35" t="n">
        <f aca="false">INDEX(Parametros_ANEC73!$G$4:$G$6,MATCH($C257,Parametros_ANEC73!$A$4:$A$6,0))</f>
        <v>47</v>
      </c>
      <c r="N257" s="38" t="n">
        <f aca="false">IF(OR($D257=0,$G257=""),0,IF(AND($K257="Sim",$M257&lt;&gt;""),MAX(0,$H257*($E257-$M257)),0))</f>
        <v>0</v>
      </c>
      <c r="O257" s="35" t="n">
        <f aca="false">INDEX(Parametros_ANEC73!$J$4:$J$6,MATCH($C257,Parametros_ANEC73!$A$4:$A$6,0))</f>
        <v>0</v>
      </c>
      <c r="P257" s="38" t="n">
        <f aca="false">IF(OR($D257=0,$G257=""),0,IF(AND($K257="Sim",$O257&lt;&gt;""),MAX(0,$H257*($E257-$O257)),0))</f>
        <v>0</v>
      </c>
      <c r="Q257" s="35" t="n">
        <f aca="false">INDEX(Parametros_ANEC73!$F$4:$F$6,MATCH($C257,Parametros_ANEC73!$A$4:$A$6,0))</f>
        <v>1</v>
      </c>
      <c r="R257" s="35" t="n">
        <f aca="false">INDEX(Parametros_ANEC73!$I$4:$I$6,MATCH($C257,Parametros_ANEC73!$A$4:$A$6,0))</f>
        <v>2</v>
      </c>
      <c r="S257" s="35" t="n">
        <f aca="false">INDEX(Parametros_ANEC73!$L$4:$L$6,MATCH($C257,Parametros_ANEC73!$A$4:$A$6,0))</f>
        <v>0</v>
      </c>
      <c r="T257" s="39" t="n">
        <f aca="false">INDEX(Parametros_ANEC73!$B$14:$B$25,MATCH($B257,Parametros_ANEC73!$A$14:$A$25,0))</f>
        <v>391</v>
      </c>
      <c r="U257" s="40" t="n">
        <f aca="false">IF(OR($D257=0,$G257=""),0,$D257*($T257/100)*($L257*$Q257+$N257*(IF($R257="",$Q257,$R257)-$Q257)+$P257*(IF($S257="",IF($R257="",$Q257,$R257),$S257)-IF($R257="",$Q257,$R257))))</f>
        <v>0</v>
      </c>
      <c r="V257" s="41" t="str">
        <f aca="false">IF(OR($D257=0,$G257=""),"",IF($H257*($E257-INDEX(Parametros_ANEC73!$M$4:$M$6,MATCH($C257,Parametros_ANEC73!$A$4:$A$6,0)))&gt;0,"Sim","Nao"))</f>
        <v/>
      </c>
      <c r="W257" s="27" t="str">
        <f aca="false">$A257&amp;"|"&amp;$B257&amp;"|"&amp;$C257</f>
        <v>ADM|Fev|Proteina</v>
      </c>
    </row>
    <row r="258" customFormat="false" ht="15" hidden="false" customHeight="false" outlineLevel="0" collapsed="false">
      <c r="A258" s="27" t="s">
        <v>46</v>
      </c>
      <c r="B258" s="27" t="s">
        <v>59</v>
      </c>
      <c r="C258" s="27" t="s">
        <v>110</v>
      </c>
      <c r="D258" s="34" t="n">
        <f aca="false">SUMIFS(Media_Cliente_Mes!$C$2:$C$145,Media_Cliente_Mes!$A$2:$A$145,$A258,Media_Cliente_Mes!$B$2:$B$145,$B258)</f>
        <v>0</v>
      </c>
      <c r="E258" s="35" t="str">
        <f aca="false">IF($D258=0,"",IF($C258="Proteina",SUMIFS(Media_Cliente_Mes!$D$2:$D$145,Media_Cliente_Mes!$A$2:$A$145,$A258,Media_Cliente_Mes!$B$2:$B$145,$B258),IF($C258="Umidade",SUMIFS(Media_Cliente_Mes!$E$2:$E$145,Media_Cliente_Mes!$A$2:$A$145,$A258,Media_Cliente_Mes!$B$2:$B$145,$B258),SUMIFS(Media_Cliente_Mes!$F$2:$F$145,Media_Cliente_Mes!$A$2:$A$145,$A258,Media_Cliente_Mes!$B$2:$B$145,$B258))))</f>
        <v/>
      </c>
      <c r="F258" s="35" t="n">
        <f aca="false">INDEX(Parametros_ANEC73!$C$4:$C$6,MATCH($C258,Parametros_ANEC73!$A$4:$A$6,0))</f>
        <v>12.5</v>
      </c>
      <c r="G258" s="35" t="n">
        <f aca="false">IF($C258="Proteina",INDEX(Media_Pool_Mes!$C$2:$C$13,MATCH($B258,Media_Pool_Mes!$A$2:$A$13,0)),IF($C258="Umidade",INDEX(Media_Pool_Mes!$D$2:$D$13,MATCH($B258,Media_Pool_Mes!$A$2:$A$13,0)),INDEX(Media_Pool_Mes!$E$2:$E$13,MATCH($B258,Media_Pool_Mes!$A$2:$A$13,0))))</f>
        <v>12.2454829634779</v>
      </c>
      <c r="H258" s="37" t="n">
        <f aca="false">INDEX(Parametros_ANEC73!$B$4:$B$6,MATCH($C258,Parametros_ANEC73!$A$4:$A$6,0))</f>
        <v>1</v>
      </c>
      <c r="I258" s="38" t="str">
        <f aca="false">IF(OR($D258=0,$G258=""),"",IF($H258*($G258-$F258)&gt;0,$G258,$F258))</f>
        <v/>
      </c>
      <c r="J258" s="27" t="str">
        <f aca="false">IF(OR($D258=0,$G258=""),"",IF($H258*($G258-$F258)&gt;0,"Sim","Nao"))</f>
        <v/>
      </c>
      <c r="K258" s="27" t="str">
        <f aca="false">IF(OR($D258=0,$G258=""),"",IF(AND($H258*($E258-$F258)&gt;0,$H258*($E258-$G258)&gt;0),"Sim","Nao"))</f>
        <v/>
      </c>
      <c r="L258" s="38" t="n">
        <f aca="false">IF(OR($D258=0,$G258=""),0,IF($K258="Sim",MAX(0,$H258*($E258-$I258)),0))</f>
        <v>0</v>
      </c>
      <c r="M258" s="35" t="n">
        <f aca="false">INDEX(Parametros_ANEC73!$G$4:$G$6,MATCH($C258,Parametros_ANEC73!$A$4:$A$6,0))</f>
        <v>0</v>
      </c>
      <c r="N258" s="38" t="n">
        <f aca="false">IF(OR($D258=0,$G258=""),0,IF(AND($K258="Sim",$M258&lt;&gt;""),MAX(0,$H258*($E258-$M258)),0))</f>
        <v>0</v>
      </c>
      <c r="O258" s="35" t="n">
        <f aca="false">INDEX(Parametros_ANEC73!$J$4:$J$6,MATCH($C258,Parametros_ANEC73!$A$4:$A$6,0))</f>
        <v>0</v>
      </c>
      <c r="P258" s="38" t="n">
        <f aca="false">IF(OR($D258=0,$G258=""),0,IF(AND($K258="Sim",$O258&lt;&gt;""),MAX(0,$H258*($E258-$O258)),0))</f>
        <v>0</v>
      </c>
      <c r="Q258" s="35" t="n">
        <f aca="false">INDEX(Parametros_ANEC73!$F$4:$F$6,MATCH($C258,Parametros_ANEC73!$A$4:$A$6,0))</f>
        <v>1</v>
      </c>
      <c r="R258" s="35" t="n">
        <f aca="false">INDEX(Parametros_ANEC73!$I$4:$I$6,MATCH($C258,Parametros_ANEC73!$A$4:$A$6,0))</f>
        <v>0</v>
      </c>
      <c r="S258" s="35" t="n">
        <f aca="false">INDEX(Parametros_ANEC73!$L$4:$L$6,MATCH($C258,Parametros_ANEC73!$A$4:$A$6,0))</f>
        <v>0</v>
      </c>
      <c r="T258" s="39" t="n">
        <f aca="false">INDEX(Parametros_ANEC73!$B$14:$B$25,MATCH($B258,Parametros_ANEC73!$A$14:$A$25,0))</f>
        <v>391</v>
      </c>
      <c r="U258" s="40" t="n">
        <f aca="false">IF(OR($D258=0,$G258=""),0,$D258*($T258/100)*($L258*$Q258+$N258*(IF($R258="",$Q258,$R258)-$Q258)+$P258*(IF($S258="",IF($R258="",$Q258,$R258),$S258)-IF($R258="",$Q258,$R258))))</f>
        <v>0</v>
      </c>
      <c r="V258" s="41" t="str">
        <f aca="false">IF(OR($D258=0,$G258=""),"",IF($H258*($E258-INDEX(Parametros_ANEC73!$M$4:$M$6,MATCH($C258,Parametros_ANEC73!$A$4:$A$6,0)))&gt;0,"Sim","Nao"))</f>
        <v/>
      </c>
      <c r="W258" s="27" t="str">
        <f aca="false">$A258&amp;"|"&amp;$B258&amp;"|"&amp;$C258</f>
        <v>ADM|Fev|Umidade</v>
      </c>
    </row>
    <row r="259" customFormat="false" ht="15" hidden="false" customHeight="false" outlineLevel="0" collapsed="false">
      <c r="A259" s="27" t="s">
        <v>46</v>
      </c>
      <c r="B259" s="27" t="s">
        <v>59</v>
      </c>
      <c r="C259" s="27" t="s">
        <v>111</v>
      </c>
      <c r="D259" s="34" t="n">
        <f aca="false">SUMIFS(Media_Cliente_Mes!$C$2:$C$145,Media_Cliente_Mes!$A$2:$A$145,$A259,Media_Cliente_Mes!$B$2:$B$145,$B259)</f>
        <v>0</v>
      </c>
      <c r="E259" s="35" t="str">
        <f aca="false">IF($D259=0,"",IF($C259="Proteina",SUMIFS(Media_Cliente_Mes!$D$2:$D$145,Media_Cliente_Mes!$A$2:$A$145,$A259,Media_Cliente_Mes!$B$2:$B$145,$B259),IF($C259="Umidade",SUMIFS(Media_Cliente_Mes!$E$2:$E$145,Media_Cliente_Mes!$A$2:$A$145,$A259,Media_Cliente_Mes!$B$2:$B$145,$B259),SUMIFS(Media_Cliente_Mes!$F$2:$F$145,Media_Cliente_Mes!$A$2:$A$145,$A259,Media_Cliente_Mes!$B$2:$B$145,$B259))))</f>
        <v/>
      </c>
      <c r="F259" s="35" t="n">
        <f aca="false">INDEX(Parametros_ANEC73!$C$4:$C$6,MATCH($C259,Parametros_ANEC73!$A$4:$A$6,0))</f>
        <v>3.5</v>
      </c>
      <c r="G259" s="35" t="n">
        <f aca="false">IF($C259="Proteina",INDEX(Media_Pool_Mes!$C$2:$C$13,MATCH($B259,Media_Pool_Mes!$A$2:$A$13,0)),IF($C259="Umidade",INDEX(Media_Pool_Mes!$D$2:$D$13,MATCH($B259,Media_Pool_Mes!$A$2:$A$13,0)),INDEX(Media_Pool_Mes!$E$2:$E$13,MATCH($B259,Media_Pool_Mes!$A$2:$A$13,0))))</f>
        <v>3.61845158781616</v>
      </c>
      <c r="H259" s="37" t="n">
        <f aca="false">INDEX(Parametros_ANEC73!$B$4:$B$6,MATCH($C259,Parametros_ANEC73!$A$4:$A$6,0))</f>
        <v>1</v>
      </c>
      <c r="I259" s="38" t="str">
        <f aca="false">IF(OR($D259=0,$G259=""),"",IF($H259*($G259-$F259)&gt;0,$G259,$F259))</f>
        <v/>
      </c>
      <c r="J259" s="27" t="str">
        <f aca="false">IF(OR($D259=0,$G259=""),"",IF($H259*($G259-$F259)&gt;0,"Sim","Nao"))</f>
        <v/>
      </c>
      <c r="K259" s="27" t="str">
        <f aca="false">IF(OR($D259=0,$G259=""),"",IF(AND($H259*($E259-$F259)&gt;0,$H259*($E259-$G259)&gt;0),"Sim","Nao"))</f>
        <v/>
      </c>
      <c r="L259" s="38" t="n">
        <f aca="false">IF(OR($D259=0,$G259=""),0,IF($K259="Sim",MAX(0,$H259*($E259-$I259)),0))</f>
        <v>0</v>
      </c>
      <c r="M259" s="35" t="n">
        <f aca="false">INDEX(Parametros_ANEC73!$G$4:$G$6,MATCH($C259,Parametros_ANEC73!$A$4:$A$6,0))</f>
        <v>3.8</v>
      </c>
      <c r="N259" s="38" t="n">
        <f aca="false">IF(OR($D259=0,$G259=""),0,IF(AND($K259="Sim",$M259&lt;&gt;""),MAX(0,$H259*($E259-$M259)),0))</f>
        <v>0</v>
      </c>
      <c r="O259" s="35" t="n">
        <f aca="false">INDEX(Parametros_ANEC73!$J$4:$J$6,MATCH($C259,Parametros_ANEC73!$A$4:$A$6,0))</f>
        <v>4</v>
      </c>
      <c r="P259" s="38" t="n">
        <f aca="false">IF(OR($D259=0,$G259=""),0,IF(AND($K259="Sim",$O259&lt;&gt;""),MAX(0,$H259*($E259-$O259)),0))</f>
        <v>0</v>
      </c>
      <c r="Q259" s="35" t="n">
        <f aca="false">INDEX(Parametros_ANEC73!$F$4:$F$6,MATCH($C259,Parametros_ANEC73!$A$4:$A$6,0))</f>
        <v>1</v>
      </c>
      <c r="R259" s="35" t="n">
        <f aca="false">INDEX(Parametros_ANEC73!$I$4:$I$6,MATCH($C259,Parametros_ANEC73!$A$4:$A$6,0))</f>
        <v>1.5</v>
      </c>
      <c r="S259" s="35" t="n">
        <f aca="false">INDEX(Parametros_ANEC73!$L$4:$L$6,MATCH($C259,Parametros_ANEC73!$A$4:$A$6,0))</f>
        <v>2</v>
      </c>
      <c r="T259" s="39" t="n">
        <f aca="false">INDEX(Parametros_ANEC73!$B$14:$B$25,MATCH($B259,Parametros_ANEC73!$A$14:$A$25,0))</f>
        <v>391</v>
      </c>
      <c r="U259" s="40" t="n">
        <f aca="false">IF(OR($D259=0,$G259=""),0,$D259*($T259/100)*($L259*$Q259+$N259*(IF($R259="",$Q259,$R259)-$Q259)+$P259*(IF($S259="",IF($R259="",$Q259,$R259),$S259)-IF($R259="",$Q259,$R259))))</f>
        <v>0</v>
      </c>
      <c r="V259" s="41" t="str">
        <f aca="false">IF(OR($D259=0,$G259=""),"",IF($H259*($E259-INDEX(Parametros_ANEC73!$M$4:$M$6,MATCH($C259,Parametros_ANEC73!$A$4:$A$6,0)))&gt;0,"Sim","Nao"))</f>
        <v/>
      </c>
      <c r="W259" s="27" t="str">
        <f aca="false">$A259&amp;"|"&amp;$B259&amp;"|"&amp;$C259</f>
        <v>ADM|Fev|Fibra</v>
      </c>
    </row>
    <row r="260" customFormat="false" ht="15" hidden="false" customHeight="false" outlineLevel="0" collapsed="false">
      <c r="A260" s="27" t="s">
        <v>46</v>
      </c>
      <c r="B260" s="27" t="s">
        <v>60</v>
      </c>
      <c r="C260" s="27" t="s">
        <v>109</v>
      </c>
      <c r="D260" s="34" t="n">
        <f aca="false">SUMIFS(Media_Cliente_Mes!$C$2:$C$145,Media_Cliente_Mes!$A$2:$A$145,$A260,Media_Cliente_Mes!$B$2:$B$145,$B260)</f>
        <v>0</v>
      </c>
      <c r="E260" s="35" t="str">
        <f aca="false">IF($D260=0,"",IF($C260="Proteina",SUMIFS(Media_Cliente_Mes!$D$2:$D$145,Media_Cliente_Mes!$A$2:$A$145,$A260,Media_Cliente_Mes!$B$2:$B$145,$B260),IF($C260="Umidade",SUMIFS(Media_Cliente_Mes!$E$2:$E$145,Media_Cliente_Mes!$A$2:$A$145,$A260,Media_Cliente_Mes!$B$2:$B$145,$B260),SUMIFS(Media_Cliente_Mes!$F$2:$F$145,Media_Cliente_Mes!$A$2:$A$145,$A260,Media_Cliente_Mes!$B$2:$B$145,$B260))))</f>
        <v/>
      </c>
      <c r="F260" s="35" t="n">
        <f aca="false">INDEX(Parametros_ANEC73!$C$4:$C$6,MATCH($C260,Parametros_ANEC73!$A$4:$A$6,0))</f>
        <v>48</v>
      </c>
      <c r="G260" s="35" t="n">
        <f aca="false">IF($C260="Proteina",INDEX(Media_Pool_Mes!$C$2:$C$13,MATCH($B260,Media_Pool_Mes!$A$2:$A$13,0)),IF($C260="Umidade",INDEX(Media_Pool_Mes!$D$2:$D$13,MATCH($B260,Media_Pool_Mes!$A$2:$A$13,0)),INDEX(Media_Pool_Mes!$E$2:$E$13,MATCH($B260,Media_Pool_Mes!$A$2:$A$13,0))))</f>
        <v>47.332231823374</v>
      </c>
      <c r="H260" s="37" t="n">
        <f aca="false">INDEX(Parametros_ANEC73!$B$4:$B$6,MATCH($C260,Parametros_ANEC73!$A$4:$A$6,0))</f>
        <v>-1</v>
      </c>
      <c r="I260" s="38" t="str">
        <f aca="false">IF(OR($D260=0,$G260=""),"",IF($H260*($G260-$F260)&gt;0,$G260,$F260))</f>
        <v/>
      </c>
      <c r="J260" s="27" t="str">
        <f aca="false">IF(OR($D260=0,$G260=""),"",IF($H260*($G260-$F260)&gt;0,"Sim","Nao"))</f>
        <v/>
      </c>
      <c r="K260" s="27" t="str">
        <f aca="false">IF(OR($D260=0,$G260=""),"",IF(AND($H260*($E260-$F260)&gt;0,$H260*($E260-$G260)&gt;0),"Sim","Nao"))</f>
        <v/>
      </c>
      <c r="L260" s="38" t="n">
        <f aca="false">IF(OR($D260=0,$G260=""),0,IF($K260="Sim",MAX(0,$H260*($E260-$I260)),0))</f>
        <v>0</v>
      </c>
      <c r="M260" s="35" t="n">
        <f aca="false">INDEX(Parametros_ANEC73!$G$4:$G$6,MATCH($C260,Parametros_ANEC73!$A$4:$A$6,0))</f>
        <v>47</v>
      </c>
      <c r="N260" s="38" t="n">
        <f aca="false">IF(OR($D260=0,$G260=""),0,IF(AND($K260="Sim",$M260&lt;&gt;""),MAX(0,$H260*($E260-$M260)),0))</f>
        <v>0</v>
      </c>
      <c r="O260" s="35" t="n">
        <f aca="false">INDEX(Parametros_ANEC73!$J$4:$J$6,MATCH($C260,Parametros_ANEC73!$A$4:$A$6,0))</f>
        <v>0</v>
      </c>
      <c r="P260" s="38" t="n">
        <f aca="false">IF(OR($D260=0,$G260=""),0,IF(AND($K260="Sim",$O260&lt;&gt;""),MAX(0,$H260*($E260-$O260)),0))</f>
        <v>0</v>
      </c>
      <c r="Q260" s="35" t="n">
        <f aca="false">INDEX(Parametros_ANEC73!$F$4:$F$6,MATCH($C260,Parametros_ANEC73!$A$4:$A$6,0))</f>
        <v>1</v>
      </c>
      <c r="R260" s="35" t="n">
        <f aca="false">INDEX(Parametros_ANEC73!$I$4:$I$6,MATCH($C260,Parametros_ANEC73!$A$4:$A$6,0))</f>
        <v>2</v>
      </c>
      <c r="S260" s="35" t="n">
        <f aca="false">INDEX(Parametros_ANEC73!$L$4:$L$6,MATCH($C260,Parametros_ANEC73!$A$4:$A$6,0))</f>
        <v>0</v>
      </c>
      <c r="T260" s="39" t="n">
        <f aca="false">INDEX(Parametros_ANEC73!$B$14:$B$25,MATCH($B260,Parametros_ANEC73!$A$14:$A$25,0))</f>
        <v>404</v>
      </c>
      <c r="U260" s="40" t="n">
        <f aca="false">IF(OR($D260=0,$G260=""),0,$D260*($T260/100)*($L260*$Q260+$N260*(IF($R260="",$Q260,$R260)-$Q260)+$P260*(IF($S260="",IF($R260="",$Q260,$R260),$S260)-IF($R260="",$Q260,$R260))))</f>
        <v>0</v>
      </c>
      <c r="V260" s="41" t="str">
        <f aca="false">IF(OR($D260=0,$G260=""),"",IF($H260*($E260-INDEX(Parametros_ANEC73!$M$4:$M$6,MATCH($C260,Parametros_ANEC73!$A$4:$A$6,0)))&gt;0,"Sim","Nao"))</f>
        <v/>
      </c>
      <c r="W260" s="27" t="str">
        <f aca="false">$A260&amp;"|"&amp;$B260&amp;"|"&amp;$C260</f>
        <v>ADM|Mar|Proteina</v>
      </c>
    </row>
    <row r="261" customFormat="false" ht="15" hidden="false" customHeight="false" outlineLevel="0" collapsed="false">
      <c r="A261" s="27" t="s">
        <v>46</v>
      </c>
      <c r="B261" s="27" t="s">
        <v>60</v>
      </c>
      <c r="C261" s="27" t="s">
        <v>110</v>
      </c>
      <c r="D261" s="34" t="n">
        <f aca="false">SUMIFS(Media_Cliente_Mes!$C$2:$C$145,Media_Cliente_Mes!$A$2:$A$145,$A261,Media_Cliente_Mes!$B$2:$B$145,$B261)</f>
        <v>0</v>
      </c>
      <c r="E261" s="35" t="str">
        <f aca="false">IF($D261=0,"",IF($C261="Proteina",SUMIFS(Media_Cliente_Mes!$D$2:$D$145,Media_Cliente_Mes!$A$2:$A$145,$A261,Media_Cliente_Mes!$B$2:$B$145,$B261),IF($C261="Umidade",SUMIFS(Media_Cliente_Mes!$E$2:$E$145,Media_Cliente_Mes!$A$2:$A$145,$A261,Media_Cliente_Mes!$B$2:$B$145,$B261),SUMIFS(Media_Cliente_Mes!$F$2:$F$145,Media_Cliente_Mes!$A$2:$A$145,$A261,Media_Cliente_Mes!$B$2:$B$145,$B261))))</f>
        <v/>
      </c>
      <c r="F261" s="35" t="n">
        <f aca="false">INDEX(Parametros_ANEC73!$C$4:$C$6,MATCH($C261,Parametros_ANEC73!$A$4:$A$6,0))</f>
        <v>12.5</v>
      </c>
      <c r="G261" s="35" t="n">
        <f aca="false">IF($C261="Proteina",INDEX(Media_Pool_Mes!$C$2:$C$13,MATCH($B261,Media_Pool_Mes!$A$2:$A$13,0)),IF($C261="Umidade",INDEX(Media_Pool_Mes!$D$2:$D$13,MATCH($B261,Media_Pool_Mes!$A$2:$A$13,0)),INDEX(Media_Pool_Mes!$E$2:$E$13,MATCH($B261,Media_Pool_Mes!$A$2:$A$13,0))))</f>
        <v>12.1740859181947</v>
      </c>
      <c r="H261" s="37" t="n">
        <f aca="false">INDEX(Parametros_ANEC73!$B$4:$B$6,MATCH($C261,Parametros_ANEC73!$A$4:$A$6,0))</f>
        <v>1</v>
      </c>
      <c r="I261" s="38" t="str">
        <f aca="false">IF(OR($D261=0,$G261=""),"",IF($H261*($G261-$F261)&gt;0,$G261,$F261))</f>
        <v/>
      </c>
      <c r="J261" s="27" t="str">
        <f aca="false">IF(OR($D261=0,$G261=""),"",IF($H261*($G261-$F261)&gt;0,"Sim","Nao"))</f>
        <v/>
      </c>
      <c r="K261" s="27" t="str">
        <f aca="false">IF(OR($D261=0,$G261=""),"",IF(AND($H261*($E261-$F261)&gt;0,$H261*($E261-$G261)&gt;0),"Sim","Nao"))</f>
        <v/>
      </c>
      <c r="L261" s="38" t="n">
        <f aca="false">IF(OR($D261=0,$G261=""),0,IF($K261="Sim",MAX(0,$H261*($E261-$I261)),0))</f>
        <v>0</v>
      </c>
      <c r="M261" s="35" t="n">
        <f aca="false">INDEX(Parametros_ANEC73!$G$4:$G$6,MATCH($C261,Parametros_ANEC73!$A$4:$A$6,0))</f>
        <v>0</v>
      </c>
      <c r="N261" s="38" t="n">
        <f aca="false">IF(OR($D261=0,$G261=""),0,IF(AND($K261="Sim",$M261&lt;&gt;""),MAX(0,$H261*($E261-$M261)),0))</f>
        <v>0</v>
      </c>
      <c r="O261" s="35" t="n">
        <f aca="false">INDEX(Parametros_ANEC73!$J$4:$J$6,MATCH($C261,Parametros_ANEC73!$A$4:$A$6,0))</f>
        <v>0</v>
      </c>
      <c r="P261" s="38" t="n">
        <f aca="false">IF(OR($D261=0,$G261=""),0,IF(AND($K261="Sim",$O261&lt;&gt;""),MAX(0,$H261*($E261-$O261)),0))</f>
        <v>0</v>
      </c>
      <c r="Q261" s="35" t="n">
        <f aca="false">INDEX(Parametros_ANEC73!$F$4:$F$6,MATCH($C261,Parametros_ANEC73!$A$4:$A$6,0))</f>
        <v>1</v>
      </c>
      <c r="R261" s="35" t="n">
        <f aca="false">INDEX(Parametros_ANEC73!$I$4:$I$6,MATCH($C261,Parametros_ANEC73!$A$4:$A$6,0))</f>
        <v>0</v>
      </c>
      <c r="S261" s="35" t="n">
        <f aca="false">INDEX(Parametros_ANEC73!$L$4:$L$6,MATCH($C261,Parametros_ANEC73!$A$4:$A$6,0))</f>
        <v>0</v>
      </c>
      <c r="T261" s="39" t="n">
        <f aca="false">INDEX(Parametros_ANEC73!$B$14:$B$25,MATCH($B261,Parametros_ANEC73!$A$14:$A$25,0))</f>
        <v>404</v>
      </c>
      <c r="U261" s="40" t="n">
        <f aca="false">IF(OR($D261=0,$G261=""),0,$D261*($T261/100)*($L261*$Q261+$N261*(IF($R261="",$Q261,$R261)-$Q261)+$P261*(IF($S261="",IF($R261="",$Q261,$R261),$S261)-IF($R261="",$Q261,$R261))))</f>
        <v>0</v>
      </c>
      <c r="V261" s="41" t="str">
        <f aca="false">IF(OR($D261=0,$G261=""),"",IF($H261*($E261-INDEX(Parametros_ANEC73!$M$4:$M$6,MATCH($C261,Parametros_ANEC73!$A$4:$A$6,0)))&gt;0,"Sim","Nao"))</f>
        <v/>
      </c>
      <c r="W261" s="27" t="str">
        <f aca="false">$A261&amp;"|"&amp;$B261&amp;"|"&amp;$C261</f>
        <v>ADM|Mar|Umidade</v>
      </c>
    </row>
    <row r="262" customFormat="false" ht="15" hidden="false" customHeight="false" outlineLevel="0" collapsed="false">
      <c r="A262" s="27" t="s">
        <v>46</v>
      </c>
      <c r="B262" s="27" t="s">
        <v>60</v>
      </c>
      <c r="C262" s="27" t="s">
        <v>111</v>
      </c>
      <c r="D262" s="34" t="n">
        <f aca="false">SUMIFS(Media_Cliente_Mes!$C$2:$C$145,Media_Cliente_Mes!$A$2:$A$145,$A262,Media_Cliente_Mes!$B$2:$B$145,$B262)</f>
        <v>0</v>
      </c>
      <c r="E262" s="35" t="str">
        <f aca="false">IF($D262=0,"",IF($C262="Proteina",SUMIFS(Media_Cliente_Mes!$D$2:$D$145,Media_Cliente_Mes!$A$2:$A$145,$A262,Media_Cliente_Mes!$B$2:$B$145,$B262),IF($C262="Umidade",SUMIFS(Media_Cliente_Mes!$E$2:$E$145,Media_Cliente_Mes!$A$2:$A$145,$A262,Media_Cliente_Mes!$B$2:$B$145,$B262),SUMIFS(Media_Cliente_Mes!$F$2:$F$145,Media_Cliente_Mes!$A$2:$A$145,$A262,Media_Cliente_Mes!$B$2:$B$145,$B262))))</f>
        <v/>
      </c>
      <c r="F262" s="35" t="n">
        <f aca="false">INDEX(Parametros_ANEC73!$C$4:$C$6,MATCH($C262,Parametros_ANEC73!$A$4:$A$6,0))</f>
        <v>3.5</v>
      </c>
      <c r="G262" s="35" t="n">
        <f aca="false">IF($C262="Proteina",INDEX(Media_Pool_Mes!$C$2:$C$13,MATCH($B262,Media_Pool_Mes!$A$2:$A$13,0)),IF($C262="Umidade",INDEX(Media_Pool_Mes!$D$2:$D$13,MATCH($B262,Media_Pool_Mes!$A$2:$A$13,0)),INDEX(Media_Pool_Mes!$E$2:$E$13,MATCH($B262,Media_Pool_Mes!$A$2:$A$13,0))))</f>
        <v>3.70596068520473</v>
      </c>
      <c r="H262" s="37" t="n">
        <f aca="false">INDEX(Parametros_ANEC73!$B$4:$B$6,MATCH($C262,Parametros_ANEC73!$A$4:$A$6,0))</f>
        <v>1</v>
      </c>
      <c r="I262" s="38" t="str">
        <f aca="false">IF(OR($D262=0,$G262=""),"",IF($H262*($G262-$F262)&gt;0,$G262,$F262))</f>
        <v/>
      </c>
      <c r="J262" s="27" t="str">
        <f aca="false">IF(OR($D262=0,$G262=""),"",IF($H262*($G262-$F262)&gt;0,"Sim","Nao"))</f>
        <v/>
      </c>
      <c r="K262" s="27" t="str">
        <f aca="false">IF(OR($D262=0,$G262=""),"",IF(AND($H262*($E262-$F262)&gt;0,$H262*($E262-$G262)&gt;0),"Sim","Nao"))</f>
        <v/>
      </c>
      <c r="L262" s="38" t="n">
        <f aca="false">IF(OR($D262=0,$G262=""),0,IF($K262="Sim",MAX(0,$H262*($E262-$I262)),0))</f>
        <v>0</v>
      </c>
      <c r="M262" s="35" t="n">
        <f aca="false">INDEX(Parametros_ANEC73!$G$4:$G$6,MATCH($C262,Parametros_ANEC73!$A$4:$A$6,0))</f>
        <v>3.8</v>
      </c>
      <c r="N262" s="38" t="n">
        <f aca="false">IF(OR($D262=0,$G262=""),0,IF(AND($K262="Sim",$M262&lt;&gt;""),MAX(0,$H262*($E262-$M262)),0))</f>
        <v>0</v>
      </c>
      <c r="O262" s="35" t="n">
        <f aca="false">INDEX(Parametros_ANEC73!$J$4:$J$6,MATCH($C262,Parametros_ANEC73!$A$4:$A$6,0))</f>
        <v>4</v>
      </c>
      <c r="P262" s="38" t="n">
        <f aca="false">IF(OR($D262=0,$G262=""),0,IF(AND($K262="Sim",$O262&lt;&gt;""),MAX(0,$H262*($E262-$O262)),0))</f>
        <v>0</v>
      </c>
      <c r="Q262" s="35" t="n">
        <f aca="false">INDEX(Parametros_ANEC73!$F$4:$F$6,MATCH($C262,Parametros_ANEC73!$A$4:$A$6,0))</f>
        <v>1</v>
      </c>
      <c r="R262" s="35" t="n">
        <f aca="false">INDEX(Parametros_ANEC73!$I$4:$I$6,MATCH($C262,Parametros_ANEC73!$A$4:$A$6,0))</f>
        <v>1.5</v>
      </c>
      <c r="S262" s="35" t="n">
        <f aca="false">INDEX(Parametros_ANEC73!$L$4:$L$6,MATCH($C262,Parametros_ANEC73!$A$4:$A$6,0))</f>
        <v>2</v>
      </c>
      <c r="T262" s="39" t="n">
        <f aca="false">INDEX(Parametros_ANEC73!$B$14:$B$25,MATCH($B262,Parametros_ANEC73!$A$14:$A$25,0))</f>
        <v>404</v>
      </c>
      <c r="U262" s="40" t="n">
        <f aca="false">IF(OR($D262=0,$G262=""),0,$D262*($T262/100)*($L262*$Q262+$N262*(IF($R262="",$Q262,$R262)-$Q262)+$P262*(IF($S262="",IF($R262="",$Q262,$R262),$S262)-IF($R262="",$Q262,$R262))))</f>
        <v>0</v>
      </c>
      <c r="V262" s="41" t="str">
        <f aca="false">IF(OR($D262=0,$G262=""),"",IF($H262*($E262-INDEX(Parametros_ANEC73!$M$4:$M$6,MATCH($C262,Parametros_ANEC73!$A$4:$A$6,0)))&gt;0,"Sim","Nao"))</f>
        <v/>
      </c>
      <c r="W262" s="27" t="str">
        <f aca="false">$A262&amp;"|"&amp;$B262&amp;"|"&amp;$C262</f>
        <v>ADM|Mar|Fibra</v>
      </c>
    </row>
    <row r="263" customFormat="false" ht="15" hidden="false" customHeight="false" outlineLevel="0" collapsed="false">
      <c r="A263" s="27" t="s">
        <v>46</v>
      </c>
      <c r="B263" s="27" t="s">
        <v>61</v>
      </c>
      <c r="C263" s="27" t="s">
        <v>109</v>
      </c>
      <c r="D263" s="34" t="n">
        <f aca="false">SUMIFS(Media_Cliente_Mes!$C$2:$C$145,Media_Cliente_Mes!$A$2:$A$145,$A263,Media_Cliente_Mes!$B$2:$B$145,$B263)</f>
        <v>0</v>
      </c>
      <c r="E263" s="35" t="str">
        <f aca="false">IF($D263=0,"",IF($C263="Proteina",SUMIFS(Media_Cliente_Mes!$D$2:$D$145,Media_Cliente_Mes!$A$2:$A$145,$A263,Media_Cliente_Mes!$B$2:$B$145,$B263),IF($C263="Umidade",SUMIFS(Media_Cliente_Mes!$E$2:$E$145,Media_Cliente_Mes!$A$2:$A$145,$A263,Media_Cliente_Mes!$B$2:$B$145,$B263),SUMIFS(Media_Cliente_Mes!$F$2:$F$145,Media_Cliente_Mes!$A$2:$A$145,$A263,Media_Cliente_Mes!$B$2:$B$145,$B263))))</f>
        <v/>
      </c>
      <c r="F263" s="35" t="n">
        <f aca="false">INDEX(Parametros_ANEC73!$C$4:$C$6,MATCH($C263,Parametros_ANEC73!$A$4:$A$6,0))</f>
        <v>48</v>
      </c>
      <c r="G263" s="35" t="n">
        <f aca="false">IF($C263="Proteina",INDEX(Media_Pool_Mes!$C$2:$C$13,MATCH($B263,Media_Pool_Mes!$A$2:$A$13,0)),IF($C263="Umidade",INDEX(Media_Pool_Mes!$D$2:$D$13,MATCH($B263,Media_Pool_Mes!$A$2:$A$13,0)),INDEX(Media_Pool_Mes!$E$2:$E$13,MATCH($B263,Media_Pool_Mes!$A$2:$A$13,0))))</f>
        <v>47.5395057496784</v>
      </c>
      <c r="H263" s="37" t="n">
        <f aca="false">INDEX(Parametros_ANEC73!$B$4:$B$6,MATCH($C263,Parametros_ANEC73!$A$4:$A$6,0))</f>
        <v>-1</v>
      </c>
      <c r="I263" s="38" t="str">
        <f aca="false">IF(OR($D263=0,$G263=""),"",IF($H263*($G263-$F263)&gt;0,$G263,$F263))</f>
        <v/>
      </c>
      <c r="J263" s="27" t="str">
        <f aca="false">IF(OR($D263=0,$G263=""),"",IF($H263*($G263-$F263)&gt;0,"Sim","Nao"))</f>
        <v/>
      </c>
      <c r="K263" s="27" t="str">
        <f aca="false">IF(OR($D263=0,$G263=""),"",IF(AND($H263*($E263-$F263)&gt;0,$H263*($E263-$G263)&gt;0),"Sim","Nao"))</f>
        <v/>
      </c>
      <c r="L263" s="38" t="n">
        <f aca="false">IF(OR($D263=0,$G263=""),0,IF($K263="Sim",MAX(0,$H263*($E263-$I263)),0))</f>
        <v>0</v>
      </c>
      <c r="M263" s="35" t="n">
        <f aca="false">INDEX(Parametros_ANEC73!$G$4:$G$6,MATCH($C263,Parametros_ANEC73!$A$4:$A$6,0))</f>
        <v>47</v>
      </c>
      <c r="N263" s="38" t="n">
        <f aca="false">IF(OR($D263=0,$G263=""),0,IF(AND($K263="Sim",$M263&lt;&gt;""),MAX(0,$H263*($E263-$M263)),0))</f>
        <v>0</v>
      </c>
      <c r="O263" s="35" t="n">
        <f aca="false">INDEX(Parametros_ANEC73!$J$4:$J$6,MATCH($C263,Parametros_ANEC73!$A$4:$A$6,0))</f>
        <v>0</v>
      </c>
      <c r="P263" s="38" t="n">
        <f aca="false">IF(OR($D263=0,$G263=""),0,IF(AND($K263="Sim",$O263&lt;&gt;""),MAX(0,$H263*($E263-$O263)),0))</f>
        <v>0</v>
      </c>
      <c r="Q263" s="35" t="n">
        <f aca="false">INDEX(Parametros_ANEC73!$F$4:$F$6,MATCH($C263,Parametros_ANEC73!$A$4:$A$6,0))</f>
        <v>1</v>
      </c>
      <c r="R263" s="35" t="n">
        <f aca="false">INDEX(Parametros_ANEC73!$I$4:$I$6,MATCH($C263,Parametros_ANEC73!$A$4:$A$6,0))</f>
        <v>2</v>
      </c>
      <c r="S263" s="35" t="n">
        <f aca="false">INDEX(Parametros_ANEC73!$L$4:$L$6,MATCH($C263,Parametros_ANEC73!$A$4:$A$6,0))</f>
        <v>0</v>
      </c>
      <c r="T263" s="39" t="n">
        <f aca="false">INDEX(Parametros_ANEC73!$B$14:$B$25,MATCH($B263,Parametros_ANEC73!$A$14:$A$25,0))</f>
        <v>415</v>
      </c>
      <c r="U263" s="40" t="n">
        <f aca="false">IF(OR($D263=0,$G263=""),0,$D263*($T263/100)*($L263*$Q263+$N263*(IF($R263="",$Q263,$R263)-$Q263)+$P263*(IF($S263="",IF($R263="",$Q263,$R263),$S263)-IF($R263="",$Q263,$R263))))</f>
        <v>0</v>
      </c>
      <c r="V263" s="41" t="str">
        <f aca="false">IF(OR($D263=0,$G263=""),"",IF($H263*($E263-INDEX(Parametros_ANEC73!$M$4:$M$6,MATCH($C263,Parametros_ANEC73!$A$4:$A$6,0)))&gt;0,"Sim","Nao"))</f>
        <v/>
      </c>
      <c r="W263" s="27" t="str">
        <f aca="false">$A263&amp;"|"&amp;$B263&amp;"|"&amp;$C263</f>
        <v>ADM|Abr|Proteina</v>
      </c>
    </row>
    <row r="264" customFormat="false" ht="15" hidden="false" customHeight="false" outlineLevel="0" collapsed="false">
      <c r="A264" s="27" t="s">
        <v>46</v>
      </c>
      <c r="B264" s="27" t="s">
        <v>61</v>
      </c>
      <c r="C264" s="27" t="s">
        <v>110</v>
      </c>
      <c r="D264" s="34" t="n">
        <f aca="false">SUMIFS(Media_Cliente_Mes!$C$2:$C$145,Media_Cliente_Mes!$A$2:$A$145,$A264,Media_Cliente_Mes!$B$2:$B$145,$B264)</f>
        <v>0</v>
      </c>
      <c r="E264" s="35" t="str">
        <f aca="false">IF($D264=0,"",IF($C264="Proteina",SUMIFS(Media_Cliente_Mes!$D$2:$D$145,Media_Cliente_Mes!$A$2:$A$145,$A264,Media_Cliente_Mes!$B$2:$B$145,$B264),IF($C264="Umidade",SUMIFS(Media_Cliente_Mes!$E$2:$E$145,Media_Cliente_Mes!$A$2:$A$145,$A264,Media_Cliente_Mes!$B$2:$B$145,$B264),SUMIFS(Media_Cliente_Mes!$F$2:$F$145,Media_Cliente_Mes!$A$2:$A$145,$A264,Media_Cliente_Mes!$B$2:$B$145,$B264))))</f>
        <v/>
      </c>
      <c r="F264" s="35" t="n">
        <f aca="false">INDEX(Parametros_ANEC73!$C$4:$C$6,MATCH($C264,Parametros_ANEC73!$A$4:$A$6,0))</f>
        <v>12.5</v>
      </c>
      <c r="G264" s="35" t="n">
        <f aca="false">IF($C264="Proteina",INDEX(Media_Pool_Mes!$C$2:$C$13,MATCH($B264,Media_Pool_Mes!$A$2:$A$13,0)),IF($C264="Umidade",INDEX(Media_Pool_Mes!$D$2:$D$13,MATCH($B264,Media_Pool_Mes!$A$2:$A$13,0)),INDEX(Media_Pool_Mes!$E$2:$E$13,MATCH($B264,Media_Pool_Mes!$A$2:$A$13,0))))</f>
        <v>12.3606134360148</v>
      </c>
      <c r="H264" s="37" t="n">
        <f aca="false">INDEX(Parametros_ANEC73!$B$4:$B$6,MATCH($C264,Parametros_ANEC73!$A$4:$A$6,0))</f>
        <v>1</v>
      </c>
      <c r="I264" s="38" t="str">
        <f aca="false">IF(OR($D264=0,$G264=""),"",IF($H264*($G264-$F264)&gt;0,$G264,$F264))</f>
        <v/>
      </c>
      <c r="J264" s="27" t="str">
        <f aca="false">IF(OR($D264=0,$G264=""),"",IF($H264*($G264-$F264)&gt;0,"Sim","Nao"))</f>
        <v/>
      </c>
      <c r="K264" s="27" t="str">
        <f aca="false">IF(OR($D264=0,$G264=""),"",IF(AND($H264*($E264-$F264)&gt;0,$H264*($E264-$G264)&gt;0),"Sim","Nao"))</f>
        <v/>
      </c>
      <c r="L264" s="38" t="n">
        <f aca="false">IF(OR($D264=0,$G264=""),0,IF($K264="Sim",MAX(0,$H264*($E264-$I264)),0))</f>
        <v>0</v>
      </c>
      <c r="M264" s="35" t="n">
        <f aca="false">INDEX(Parametros_ANEC73!$G$4:$G$6,MATCH($C264,Parametros_ANEC73!$A$4:$A$6,0))</f>
        <v>0</v>
      </c>
      <c r="N264" s="38" t="n">
        <f aca="false">IF(OR($D264=0,$G264=""),0,IF(AND($K264="Sim",$M264&lt;&gt;""),MAX(0,$H264*($E264-$M264)),0))</f>
        <v>0</v>
      </c>
      <c r="O264" s="35" t="n">
        <f aca="false">INDEX(Parametros_ANEC73!$J$4:$J$6,MATCH($C264,Parametros_ANEC73!$A$4:$A$6,0))</f>
        <v>0</v>
      </c>
      <c r="P264" s="38" t="n">
        <f aca="false">IF(OR($D264=0,$G264=""),0,IF(AND($K264="Sim",$O264&lt;&gt;""),MAX(0,$H264*($E264-$O264)),0))</f>
        <v>0</v>
      </c>
      <c r="Q264" s="35" t="n">
        <f aca="false">INDEX(Parametros_ANEC73!$F$4:$F$6,MATCH($C264,Parametros_ANEC73!$A$4:$A$6,0))</f>
        <v>1</v>
      </c>
      <c r="R264" s="35" t="n">
        <f aca="false">INDEX(Parametros_ANEC73!$I$4:$I$6,MATCH($C264,Parametros_ANEC73!$A$4:$A$6,0))</f>
        <v>0</v>
      </c>
      <c r="S264" s="35" t="n">
        <f aca="false">INDEX(Parametros_ANEC73!$L$4:$L$6,MATCH($C264,Parametros_ANEC73!$A$4:$A$6,0))</f>
        <v>0</v>
      </c>
      <c r="T264" s="39" t="n">
        <f aca="false">INDEX(Parametros_ANEC73!$B$14:$B$25,MATCH($B264,Parametros_ANEC73!$A$14:$A$25,0))</f>
        <v>415</v>
      </c>
      <c r="U264" s="40" t="n">
        <f aca="false">IF(OR($D264=0,$G264=""),0,$D264*($T264/100)*($L264*$Q264+$N264*(IF($R264="",$Q264,$R264)-$Q264)+$P264*(IF($S264="",IF($R264="",$Q264,$R264),$S264)-IF($R264="",$Q264,$R264))))</f>
        <v>0</v>
      </c>
      <c r="V264" s="41" t="str">
        <f aca="false">IF(OR($D264=0,$G264=""),"",IF($H264*($E264-INDEX(Parametros_ANEC73!$M$4:$M$6,MATCH($C264,Parametros_ANEC73!$A$4:$A$6,0)))&gt;0,"Sim","Nao"))</f>
        <v/>
      </c>
      <c r="W264" s="27" t="str">
        <f aca="false">$A264&amp;"|"&amp;$B264&amp;"|"&amp;$C264</f>
        <v>ADM|Abr|Umidade</v>
      </c>
    </row>
    <row r="265" customFormat="false" ht="15" hidden="false" customHeight="false" outlineLevel="0" collapsed="false">
      <c r="A265" s="27" t="s">
        <v>46</v>
      </c>
      <c r="B265" s="27" t="s">
        <v>61</v>
      </c>
      <c r="C265" s="27" t="s">
        <v>111</v>
      </c>
      <c r="D265" s="34" t="n">
        <f aca="false">SUMIFS(Media_Cliente_Mes!$C$2:$C$145,Media_Cliente_Mes!$A$2:$A$145,$A265,Media_Cliente_Mes!$B$2:$B$145,$B265)</f>
        <v>0</v>
      </c>
      <c r="E265" s="35" t="str">
        <f aca="false">IF($D265=0,"",IF($C265="Proteina",SUMIFS(Media_Cliente_Mes!$D$2:$D$145,Media_Cliente_Mes!$A$2:$A$145,$A265,Media_Cliente_Mes!$B$2:$B$145,$B265),IF($C265="Umidade",SUMIFS(Media_Cliente_Mes!$E$2:$E$145,Media_Cliente_Mes!$A$2:$A$145,$A265,Media_Cliente_Mes!$B$2:$B$145,$B265),SUMIFS(Media_Cliente_Mes!$F$2:$F$145,Media_Cliente_Mes!$A$2:$A$145,$A265,Media_Cliente_Mes!$B$2:$B$145,$B265))))</f>
        <v/>
      </c>
      <c r="F265" s="35" t="n">
        <f aca="false">INDEX(Parametros_ANEC73!$C$4:$C$6,MATCH($C265,Parametros_ANEC73!$A$4:$A$6,0))</f>
        <v>3.5</v>
      </c>
      <c r="G265" s="35" t="n">
        <f aca="false">IF($C265="Proteina",INDEX(Media_Pool_Mes!$C$2:$C$13,MATCH($B265,Media_Pool_Mes!$A$2:$A$13,0)),IF($C265="Umidade",INDEX(Media_Pool_Mes!$D$2:$D$13,MATCH($B265,Media_Pool_Mes!$A$2:$A$13,0)),INDEX(Media_Pool_Mes!$E$2:$E$13,MATCH($B265,Media_Pool_Mes!$A$2:$A$13,0))))</f>
        <v>3.66155636815217</v>
      </c>
      <c r="H265" s="37" t="n">
        <f aca="false">INDEX(Parametros_ANEC73!$B$4:$B$6,MATCH($C265,Parametros_ANEC73!$A$4:$A$6,0))</f>
        <v>1</v>
      </c>
      <c r="I265" s="38" t="str">
        <f aca="false">IF(OR($D265=0,$G265=""),"",IF($H265*($G265-$F265)&gt;0,$G265,$F265))</f>
        <v/>
      </c>
      <c r="J265" s="27" t="str">
        <f aca="false">IF(OR($D265=0,$G265=""),"",IF($H265*($G265-$F265)&gt;0,"Sim","Nao"))</f>
        <v/>
      </c>
      <c r="K265" s="27" t="str">
        <f aca="false">IF(OR($D265=0,$G265=""),"",IF(AND($H265*($E265-$F265)&gt;0,$H265*($E265-$G265)&gt;0),"Sim","Nao"))</f>
        <v/>
      </c>
      <c r="L265" s="38" t="n">
        <f aca="false">IF(OR($D265=0,$G265=""),0,IF($K265="Sim",MAX(0,$H265*($E265-$I265)),0))</f>
        <v>0</v>
      </c>
      <c r="M265" s="35" t="n">
        <f aca="false">INDEX(Parametros_ANEC73!$G$4:$G$6,MATCH($C265,Parametros_ANEC73!$A$4:$A$6,0))</f>
        <v>3.8</v>
      </c>
      <c r="N265" s="38" t="n">
        <f aca="false">IF(OR($D265=0,$G265=""),0,IF(AND($K265="Sim",$M265&lt;&gt;""),MAX(0,$H265*($E265-$M265)),0))</f>
        <v>0</v>
      </c>
      <c r="O265" s="35" t="n">
        <f aca="false">INDEX(Parametros_ANEC73!$J$4:$J$6,MATCH($C265,Parametros_ANEC73!$A$4:$A$6,0))</f>
        <v>4</v>
      </c>
      <c r="P265" s="38" t="n">
        <f aca="false">IF(OR($D265=0,$G265=""),0,IF(AND($K265="Sim",$O265&lt;&gt;""),MAX(0,$H265*($E265-$O265)),0))</f>
        <v>0</v>
      </c>
      <c r="Q265" s="35" t="n">
        <f aca="false">INDEX(Parametros_ANEC73!$F$4:$F$6,MATCH($C265,Parametros_ANEC73!$A$4:$A$6,0))</f>
        <v>1</v>
      </c>
      <c r="R265" s="35" t="n">
        <f aca="false">INDEX(Parametros_ANEC73!$I$4:$I$6,MATCH($C265,Parametros_ANEC73!$A$4:$A$6,0))</f>
        <v>1.5</v>
      </c>
      <c r="S265" s="35" t="n">
        <f aca="false">INDEX(Parametros_ANEC73!$L$4:$L$6,MATCH($C265,Parametros_ANEC73!$A$4:$A$6,0))</f>
        <v>2</v>
      </c>
      <c r="T265" s="39" t="n">
        <f aca="false">INDEX(Parametros_ANEC73!$B$14:$B$25,MATCH($B265,Parametros_ANEC73!$A$14:$A$25,0))</f>
        <v>415</v>
      </c>
      <c r="U265" s="40" t="n">
        <f aca="false">IF(OR($D265=0,$G265=""),0,$D265*($T265/100)*($L265*$Q265+$N265*(IF($R265="",$Q265,$R265)-$Q265)+$P265*(IF($S265="",IF($R265="",$Q265,$R265),$S265)-IF($R265="",$Q265,$R265))))</f>
        <v>0</v>
      </c>
      <c r="V265" s="41" t="str">
        <f aca="false">IF(OR($D265=0,$G265=""),"",IF($H265*($E265-INDEX(Parametros_ANEC73!$M$4:$M$6,MATCH($C265,Parametros_ANEC73!$A$4:$A$6,0)))&gt;0,"Sim","Nao"))</f>
        <v/>
      </c>
      <c r="W265" s="27" t="str">
        <f aca="false">$A265&amp;"|"&amp;$B265&amp;"|"&amp;$C265</f>
        <v>ADM|Abr|Fibra</v>
      </c>
    </row>
    <row r="266" customFormat="false" ht="15" hidden="false" customHeight="false" outlineLevel="0" collapsed="false">
      <c r="A266" s="27" t="s">
        <v>46</v>
      </c>
      <c r="B266" s="27" t="s">
        <v>62</v>
      </c>
      <c r="C266" s="27" t="s">
        <v>109</v>
      </c>
      <c r="D266" s="34" t="n">
        <f aca="false">SUMIFS(Media_Cliente_Mes!$C$2:$C$145,Media_Cliente_Mes!$A$2:$A$145,$A266,Media_Cliente_Mes!$B$2:$B$145,$B266)</f>
        <v>0</v>
      </c>
      <c r="E266" s="35" t="str">
        <f aca="false">IF($D266=0,"",IF($C266="Proteina",SUMIFS(Media_Cliente_Mes!$D$2:$D$145,Media_Cliente_Mes!$A$2:$A$145,$A266,Media_Cliente_Mes!$B$2:$B$145,$B266),IF($C266="Umidade",SUMIFS(Media_Cliente_Mes!$E$2:$E$145,Media_Cliente_Mes!$A$2:$A$145,$A266,Media_Cliente_Mes!$B$2:$B$145,$B266),SUMIFS(Media_Cliente_Mes!$F$2:$F$145,Media_Cliente_Mes!$A$2:$A$145,$A266,Media_Cliente_Mes!$B$2:$B$145,$B266))))</f>
        <v/>
      </c>
      <c r="F266" s="35" t="n">
        <f aca="false">INDEX(Parametros_ANEC73!$C$4:$C$6,MATCH($C266,Parametros_ANEC73!$A$4:$A$6,0))</f>
        <v>48</v>
      </c>
      <c r="G266" s="35" t="n">
        <f aca="false">IF($C266="Proteina",INDEX(Media_Pool_Mes!$C$2:$C$13,MATCH($B266,Media_Pool_Mes!$A$2:$A$13,0)),IF($C266="Umidade",INDEX(Media_Pool_Mes!$D$2:$D$13,MATCH($B266,Media_Pool_Mes!$A$2:$A$13,0)),INDEX(Media_Pool_Mes!$E$2:$E$13,MATCH($B266,Media_Pool_Mes!$A$2:$A$13,0))))</f>
        <v>47.6334614958572</v>
      </c>
      <c r="H266" s="37" t="n">
        <f aca="false">INDEX(Parametros_ANEC73!$B$4:$B$6,MATCH($C266,Parametros_ANEC73!$A$4:$A$6,0))</f>
        <v>-1</v>
      </c>
      <c r="I266" s="38" t="str">
        <f aca="false">IF(OR($D266=0,$G266=""),"",IF($H266*($G266-$F266)&gt;0,$G266,$F266))</f>
        <v/>
      </c>
      <c r="J266" s="27" t="str">
        <f aca="false">IF(OR($D266=0,$G266=""),"",IF($H266*($G266-$F266)&gt;0,"Sim","Nao"))</f>
        <v/>
      </c>
      <c r="K266" s="27" t="str">
        <f aca="false">IF(OR($D266=0,$G266=""),"",IF(AND($H266*($E266-$F266)&gt;0,$H266*($E266-$G266)&gt;0),"Sim","Nao"))</f>
        <v/>
      </c>
      <c r="L266" s="38" t="n">
        <f aca="false">IF(OR($D266=0,$G266=""),0,IF($K266="Sim",MAX(0,$H266*($E266-$I266)),0))</f>
        <v>0</v>
      </c>
      <c r="M266" s="35" t="n">
        <f aca="false">INDEX(Parametros_ANEC73!$G$4:$G$6,MATCH($C266,Parametros_ANEC73!$A$4:$A$6,0))</f>
        <v>47</v>
      </c>
      <c r="N266" s="38" t="n">
        <f aca="false">IF(OR($D266=0,$G266=""),0,IF(AND($K266="Sim",$M266&lt;&gt;""),MAX(0,$H266*($E266-$M266)),0))</f>
        <v>0</v>
      </c>
      <c r="O266" s="35" t="n">
        <f aca="false">INDEX(Parametros_ANEC73!$J$4:$J$6,MATCH($C266,Parametros_ANEC73!$A$4:$A$6,0))</f>
        <v>0</v>
      </c>
      <c r="P266" s="38" t="n">
        <f aca="false">IF(OR($D266=0,$G266=""),0,IF(AND($K266="Sim",$O266&lt;&gt;""),MAX(0,$H266*($E266-$O266)),0))</f>
        <v>0</v>
      </c>
      <c r="Q266" s="35" t="n">
        <f aca="false">INDEX(Parametros_ANEC73!$F$4:$F$6,MATCH($C266,Parametros_ANEC73!$A$4:$A$6,0))</f>
        <v>1</v>
      </c>
      <c r="R266" s="35" t="n">
        <f aca="false">INDEX(Parametros_ANEC73!$I$4:$I$6,MATCH($C266,Parametros_ANEC73!$A$4:$A$6,0))</f>
        <v>2</v>
      </c>
      <c r="S266" s="35" t="n">
        <f aca="false">INDEX(Parametros_ANEC73!$L$4:$L$6,MATCH($C266,Parametros_ANEC73!$A$4:$A$6,0))</f>
        <v>0</v>
      </c>
      <c r="T266" s="39" t="n">
        <f aca="false">INDEX(Parametros_ANEC73!$B$14:$B$25,MATCH($B266,Parametros_ANEC73!$A$14:$A$25,0))</f>
        <v>343</v>
      </c>
      <c r="U266" s="40" t="n">
        <f aca="false">IF(OR($D266=0,$G266=""),0,$D266*($T266/100)*($L266*$Q266+$N266*(IF($R266="",$Q266,$R266)-$Q266)+$P266*(IF($S266="",IF($R266="",$Q266,$R266),$S266)-IF($R266="",$Q266,$R266))))</f>
        <v>0</v>
      </c>
      <c r="V266" s="41" t="str">
        <f aca="false">IF(OR($D266=0,$G266=""),"",IF($H266*($E266-INDEX(Parametros_ANEC73!$M$4:$M$6,MATCH($C266,Parametros_ANEC73!$A$4:$A$6,0)))&gt;0,"Sim","Nao"))</f>
        <v/>
      </c>
      <c r="W266" s="27" t="str">
        <f aca="false">$A266&amp;"|"&amp;$B266&amp;"|"&amp;$C266</f>
        <v>ADM|Mai|Proteina</v>
      </c>
    </row>
    <row r="267" customFormat="false" ht="15" hidden="false" customHeight="false" outlineLevel="0" collapsed="false">
      <c r="A267" s="27" t="s">
        <v>46</v>
      </c>
      <c r="B267" s="27" t="s">
        <v>62</v>
      </c>
      <c r="C267" s="27" t="s">
        <v>110</v>
      </c>
      <c r="D267" s="34" t="n">
        <f aca="false">SUMIFS(Media_Cliente_Mes!$C$2:$C$145,Media_Cliente_Mes!$A$2:$A$145,$A267,Media_Cliente_Mes!$B$2:$B$145,$B267)</f>
        <v>0</v>
      </c>
      <c r="E267" s="35" t="str">
        <f aca="false">IF($D267=0,"",IF($C267="Proteina",SUMIFS(Media_Cliente_Mes!$D$2:$D$145,Media_Cliente_Mes!$A$2:$A$145,$A267,Media_Cliente_Mes!$B$2:$B$145,$B267),IF($C267="Umidade",SUMIFS(Media_Cliente_Mes!$E$2:$E$145,Media_Cliente_Mes!$A$2:$A$145,$A267,Media_Cliente_Mes!$B$2:$B$145,$B267),SUMIFS(Media_Cliente_Mes!$F$2:$F$145,Media_Cliente_Mes!$A$2:$A$145,$A267,Media_Cliente_Mes!$B$2:$B$145,$B267))))</f>
        <v/>
      </c>
      <c r="F267" s="35" t="n">
        <f aca="false">INDEX(Parametros_ANEC73!$C$4:$C$6,MATCH($C267,Parametros_ANEC73!$A$4:$A$6,0))</f>
        <v>12.5</v>
      </c>
      <c r="G267" s="35" t="n">
        <f aca="false">IF($C267="Proteina",INDEX(Media_Pool_Mes!$C$2:$C$13,MATCH($B267,Media_Pool_Mes!$A$2:$A$13,0)),IF($C267="Umidade",INDEX(Media_Pool_Mes!$D$2:$D$13,MATCH($B267,Media_Pool_Mes!$A$2:$A$13,0)),INDEX(Media_Pool_Mes!$E$2:$E$13,MATCH($B267,Media_Pool_Mes!$A$2:$A$13,0))))</f>
        <v>12.3121752562954</v>
      </c>
      <c r="H267" s="37" t="n">
        <f aca="false">INDEX(Parametros_ANEC73!$B$4:$B$6,MATCH($C267,Parametros_ANEC73!$A$4:$A$6,0))</f>
        <v>1</v>
      </c>
      <c r="I267" s="38" t="str">
        <f aca="false">IF(OR($D267=0,$G267=""),"",IF($H267*($G267-$F267)&gt;0,$G267,$F267))</f>
        <v/>
      </c>
      <c r="J267" s="27" t="str">
        <f aca="false">IF(OR($D267=0,$G267=""),"",IF($H267*($G267-$F267)&gt;0,"Sim","Nao"))</f>
        <v/>
      </c>
      <c r="K267" s="27" t="str">
        <f aca="false">IF(OR($D267=0,$G267=""),"",IF(AND($H267*($E267-$F267)&gt;0,$H267*($E267-$G267)&gt;0),"Sim","Nao"))</f>
        <v/>
      </c>
      <c r="L267" s="38" t="n">
        <f aca="false">IF(OR($D267=0,$G267=""),0,IF($K267="Sim",MAX(0,$H267*($E267-$I267)),0))</f>
        <v>0</v>
      </c>
      <c r="M267" s="35" t="n">
        <f aca="false">INDEX(Parametros_ANEC73!$G$4:$G$6,MATCH($C267,Parametros_ANEC73!$A$4:$A$6,0))</f>
        <v>0</v>
      </c>
      <c r="N267" s="38" t="n">
        <f aca="false">IF(OR($D267=0,$G267=""),0,IF(AND($K267="Sim",$M267&lt;&gt;""),MAX(0,$H267*($E267-$M267)),0))</f>
        <v>0</v>
      </c>
      <c r="O267" s="35" t="n">
        <f aca="false">INDEX(Parametros_ANEC73!$J$4:$J$6,MATCH($C267,Parametros_ANEC73!$A$4:$A$6,0))</f>
        <v>0</v>
      </c>
      <c r="P267" s="38" t="n">
        <f aca="false">IF(OR($D267=0,$G267=""),0,IF(AND($K267="Sim",$O267&lt;&gt;""),MAX(0,$H267*($E267-$O267)),0))</f>
        <v>0</v>
      </c>
      <c r="Q267" s="35" t="n">
        <f aca="false">INDEX(Parametros_ANEC73!$F$4:$F$6,MATCH($C267,Parametros_ANEC73!$A$4:$A$6,0))</f>
        <v>1</v>
      </c>
      <c r="R267" s="35" t="n">
        <f aca="false">INDEX(Parametros_ANEC73!$I$4:$I$6,MATCH($C267,Parametros_ANEC73!$A$4:$A$6,0))</f>
        <v>0</v>
      </c>
      <c r="S267" s="35" t="n">
        <f aca="false">INDEX(Parametros_ANEC73!$L$4:$L$6,MATCH($C267,Parametros_ANEC73!$A$4:$A$6,0))</f>
        <v>0</v>
      </c>
      <c r="T267" s="39" t="n">
        <f aca="false">INDEX(Parametros_ANEC73!$B$14:$B$25,MATCH($B267,Parametros_ANEC73!$A$14:$A$25,0))</f>
        <v>343</v>
      </c>
      <c r="U267" s="40" t="n">
        <f aca="false">IF(OR($D267=0,$G267=""),0,$D267*($T267/100)*($L267*$Q267+$N267*(IF($R267="",$Q267,$R267)-$Q267)+$P267*(IF($S267="",IF($R267="",$Q267,$R267),$S267)-IF($R267="",$Q267,$R267))))</f>
        <v>0</v>
      </c>
      <c r="V267" s="41" t="str">
        <f aca="false">IF(OR($D267=0,$G267=""),"",IF($H267*($E267-INDEX(Parametros_ANEC73!$M$4:$M$6,MATCH($C267,Parametros_ANEC73!$A$4:$A$6,0)))&gt;0,"Sim","Nao"))</f>
        <v/>
      </c>
      <c r="W267" s="27" t="str">
        <f aca="false">$A267&amp;"|"&amp;$B267&amp;"|"&amp;$C267</f>
        <v>ADM|Mai|Umidade</v>
      </c>
    </row>
    <row r="268" customFormat="false" ht="15" hidden="false" customHeight="false" outlineLevel="0" collapsed="false">
      <c r="A268" s="27" t="s">
        <v>46</v>
      </c>
      <c r="B268" s="27" t="s">
        <v>62</v>
      </c>
      <c r="C268" s="27" t="s">
        <v>111</v>
      </c>
      <c r="D268" s="34" t="n">
        <f aca="false">SUMIFS(Media_Cliente_Mes!$C$2:$C$145,Media_Cliente_Mes!$A$2:$A$145,$A268,Media_Cliente_Mes!$B$2:$B$145,$B268)</f>
        <v>0</v>
      </c>
      <c r="E268" s="35" t="str">
        <f aca="false">IF($D268=0,"",IF($C268="Proteina",SUMIFS(Media_Cliente_Mes!$D$2:$D$145,Media_Cliente_Mes!$A$2:$A$145,$A268,Media_Cliente_Mes!$B$2:$B$145,$B268),IF($C268="Umidade",SUMIFS(Media_Cliente_Mes!$E$2:$E$145,Media_Cliente_Mes!$A$2:$A$145,$A268,Media_Cliente_Mes!$B$2:$B$145,$B268),SUMIFS(Media_Cliente_Mes!$F$2:$F$145,Media_Cliente_Mes!$A$2:$A$145,$A268,Media_Cliente_Mes!$B$2:$B$145,$B268))))</f>
        <v/>
      </c>
      <c r="F268" s="35" t="n">
        <f aca="false">INDEX(Parametros_ANEC73!$C$4:$C$6,MATCH($C268,Parametros_ANEC73!$A$4:$A$6,0))</f>
        <v>3.5</v>
      </c>
      <c r="G268" s="35" t="n">
        <f aca="false">IF($C268="Proteina",INDEX(Media_Pool_Mes!$C$2:$C$13,MATCH($B268,Media_Pool_Mes!$A$2:$A$13,0)),IF($C268="Umidade",INDEX(Media_Pool_Mes!$D$2:$D$13,MATCH($B268,Media_Pool_Mes!$A$2:$A$13,0)),INDEX(Media_Pool_Mes!$E$2:$E$13,MATCH($B268,Media_Pool_Mes!$A$2:$A$13,0))))</f>
        <v>3.64524916105719</v>
      </c>
      <c r="H268" s="37" t="n">
        <f aca="false">INDEX(Parametros_ANEC73!$B$4:$B$6,MATCH($C268,Parametros_ANEC73!$A$4:$A$6,0))</f>
        <v>1</v>
      </c>
      <c r="I268" s="38" t="str">
        <f aca="false">IF(OR($D268=0,$G268=""),"",IF($H268*($G268-$F268)&gt;0,$G268,$F268))</f>
        <v/>
      </c>
      <c r="J268" s="27" t="str">
        <f aca="false">IF(OR($D268=0,$G268=""),"",IF($H268*($G268-$F268)&gt;0,"Sim","Nao"))</f>
        <v/>
      </c>
      <c r="K268" s="27" t="str">
        <f aca="false">IF(OR($D268=0,$G268=""),"",IF(AND($H268*($E268-$F268)&gt;0,$H268*($E268-$G268)&gt;0),"Sim","Nao"))</f>
        <v/>
      </c>
      <c r="L268" s="38" t="n">
        <f aca="false">IF(OR($D268=0,$G268=""),0,IF($K268="Sim",MAX(0,$H268*($E268-$I268)),0))</f>
        <v>0</v>
      </c>
      <c r="M268" s="35" t="n">
        <f aca="false">INDEX(Parametros_ANEC73!$G$4:$G$6,MATCH($C268,Parametros_ANEC73!$A$4:$A$6,0))</f>
        <v>3.8</v>
      </c>
      <c r="N268" s="38" t="n">
        <f aca="false">IF(OR($D268=0,$G268=""),0,IF(AND($K268="Sim",$M268&lt;&gt;""),MAX(0,$H268*($E268-$M268)),0))</f>
        <v>0</v>
      </c>
      <c r="O268" s="35" t="n">
        <f aca="false">INDEX(Parametros_ANEC73!$J$4:$J$6,MATCH($C268,Parametros_ANEC73!$A$4:$A$6,0))</f>
        <v>4</v>
      </c>
      <c r="P268" s="38" t="n">
        <f aca="false">IF(OR($D268=0,$G268=""),0,IF(AND($K268="Sim",$O268&lt;&gt;""),MAX(0,$H268*($E268-$O268)),0))</f>
        <v>0</v>
      </c>
      <c r="Q268" s="35" t="n">
        <f aca="false">INDEX(Parametros_ANEC73!$F$4:$F$6,MATCH($C268,Parametros_ANEC73!$A$4:$A$6,0))</f>
        <v>1</v>
      </c>
      <c r="R268" s="35" t="n">
        <f aca="false">INDEX(Parametros_ANEC73!$I$4:$I$6,MATCH($C268,Parametros_ANEC73!$A$4:$A$6,0))</f>
        <v>1.5</v>
      </c>
      <c r="S268" s="35" t="n">
        <f aca="false">INDEX(Parametros_ANEC73!$L$4:$L$6,MATCH($C268,Parametros_ANEC73!$A$4:$A$6,0))</f>
        <v>2</v>
      </c>
      <c r="T268" s="39" t="n">
        <f aca="false">INDEX(Parametros_ANEC73!$B$14:$B$25,MATCH($B268,Parametros_ANEC73!$A$14:$A$25,0))</f>
        <v>343</v>
      </c>
      <c r="U268" s="40" t="n">
        <f aca="false">IF(OR($D268=0,$G268=""),0,$D268*($T268/100)*($L268*$Q268+$N268*(IF($R268="",$Q268,$R268)-$Q268)+$P268*(IF($S268="",IF($R268="",$Q268,$R268),$S268)-IF($R268="",$Q268,$R268))))</f>
        <v>0</v>
      </c>
      <c r="V268" s="41" t="str">
        <f aca="false">IF(OR($D268=0,$G268=""),"",IF($H268*($E268-INDEX(Parametros_ANEC73!$M$4:$M$6,MATCH($C268,Parametros_ANEC73!$A$4:$A$6,0)))&gt;0,"Sim","Nao"))</f>
        <v/>
      </c>
      <c r="W268" s="27" t="str">
        <f aca="false">$A268&amp;"|"&amp;$B268&amp;"|"&amp;$C268</f>
        <v>ADM|Mai|Fibra</v>
      </c>
    </row>
    <row r="269" customFormat="false" ht="15" hidden="false" customHeight="false" outlineLevel="0" collapsed="false">
      <c r="A269" s="27" t="s">
        <v>46</v>
      </c>
      <c r="B269" s="27" t="s">
        <v>63</v>
      </c>
      <c r="C269" s="27" t="s">
        <v>109</v>
      </c>
      <c r="D269" s="34" t="n">
        <f aca="false">SUMIFS(Media_Cliente_Mes!$C$2:$C$145,Media_Cliente_Mes!$A$2:$A$145,$A269,Media_Cliente_Mes!$B$2:$B$145,$B269)</f>
        <v>0</v>
      </c>
      <c r="E269" s="35" t="str">
        <f aca="false">IF($D269=0,"",IF($C269="Proteina",SUMIFS(Media_Cliente_Mes!$D$2:$D$145,Media_Cliente_Mes!$A$2:$A$145,$A269,Media_Cliente_Mes!$B$2:$B$145,$B269),IF($C269="Umidade",SUMIFS(Media_Cliente_Mes!$E$2:$E$145,Media_Cliente_Mes!$A$2:$A$145,$A269,Media_Cliente_Mes!$B$2:$B$145,$B269),SUMIFS(Media_Cliente_Mes!$F$2:$F$145,Media_Cliente_Mes!$A$2:$A$145,$A269,Media_Cliente_Mes!$B$2:$B$145,$B269))))</f>
        <v/>
      </c>
      <c r="F269" s="35" t="n">
        <f aca="false">INDEX(Parametros_ANEC73!$C$4:$C$6,MATCH($C269,Parametros_ANEC73!$A$4:$A$6,0))</f>
        <v>48</v>
      </c>
      <c r="G269" s="35" t="n">
        <f aca="false">IF($C269="Proteina",INDEX(Media_Pool_Mes!$C$2:$C$13,MATCH($B269,Media_Pool_Mes!$A$2:$A$13,0)),IF($C269="Umidade",INDEX(Media_Pool_Mes!$D$2:$D$13,MATCH($B269,Media_Pool_Mes!$A$2:$A$13,0)),INDEX(Media_Pool_Mes!$E$2:$E$13,MATCH($B269,Media_Pool_Mes!$A$2:$A$13,0))))</f>
        <v>47.4834226367413</v>
      </c>
      <c r="H269" s="37" t="n">
        <f aca="false">INDEX(Parametros_ANEC73!$B$4:$B$6,MATCH($C269,Parametros_ANEC73!$A$4:$A$6,0))</f>
        <v>-1</v>
      </c>
      <c r="I269" s="38" t="str">
        <f aca="false">IF(OR($D269=0,$G269=""),"",IF($H269*($G269-$F269)&gt;0,$G269,$F269))</f>
        <v/>
      </c>
      <c r="J269" s="27" t="str">
        <f aca="false">IF(OR($D269=0,$G269=""),"",IF($H269*($G269-$F269)&gt;0,"Sim","Nao"))</f>
        <v/>
      </c>
      <c r="K269" s="27" t="str">
        <f aca="false">IF(OR($D269=0,$G269=""),"",IF(AND($H269*($E269-$F269)&gt;0,$H269*($E269-$G269)&gt;0),"Sim","Nao"))</f>
        <v/>
      </c>
      <c r="L269" s="38" t="n">
        <f aca="false">IF(OR($D269=0,$G269=""),0,IF($K269="Sim",MAX(0,$H269*($E269-$I269)),0))</f>
        <v>0</v>
      </c>
      <c r="M269" s="35" t="n">
        <f aca="false">INDEX(Parametros_ANEC73!$G$4:$G$6,MATCH($C269,Parametros_ANEC73!$A$4:$A$6,0))</f>
        <v>47</v>
      </c>
      <c r="N269" s="38" t="n">
        <f aca="false">IF(OR($D269=0,$G269=""),0,IF(AND($K269="Sim",$M269&lt;&gt;""),MAX(0,$H269*($E269-$M269)),0))</f>
        <v>0</v>
      </c>
      <c r="O269" s="35" t="n">
        <f aca="false">INDEX(Parametros_ANEC73!$J$4:$J$6,MATCH($C269,Parametros_ANEC73!$A$4:$A$6,0))</f>
        <v>0</v>
      </c>
      <c r="P269" s="38" t="n">
        <f aca="false">IF(OR($D269=0,$G269=""),0,IF(AND($K269="Sim",$O269&lt;&gt;""),MAX(0,$H269*($E269-$O269)),0))</f>
        <v>0</v>
      </c>
      <c r="Q269" s="35" t="n">
        <f aca="false">INDEX(Parametros_ANEC73!$F$4:$F$6,MATCH($C269,Parametros_ANEC73!$A$4:$A$6,0))</f>
        <v>1</v>
      </c>
      <c r="R269" s="35" t="n">
        <f aca="false">INDEX(Parametros_ANEC73!$I$4:$I$6,MATCH($C269,Parametros_ANEC73!$A$4:$A$6,0))</f>
        <v>2</v>
      </c>
      <c r="S269" s="35" t="n">
        <f aca="false">INDEX(Parametros_ANEC73!$L$4:$L$6,MATCH($C269,Parametros_ANEC73!$A$4:$A$6,0))</f>
        <v>0</v>
      </c>
      <c r="T269" s="39" t="n">
        <f aca="false">INDEX(Parametros_ANEC73!$B$14:$B$25,MATCH($B269,Parametros_ANEC73!$A$14:$A$25,0))</f>
        <v>326</v>
      </c>
      <c r="U269" s="40" t="n">
        <f aca="false">IF(OR($D269=0,$G269=""),0,$D269*($T269/100)*($L269*$Q269+$N269*(IF($R269="",$Q269,$R269)-$Q269)+$P269*(IF($S269="",IF($R269="",$Q269,$R269),$S269)-IF($R269="",$Q269,$R269))))</f>
        <v>0</v>
      </c>
      <c r="V269" s="41" t="str">
        <f aca="false">IF(OR($D269=0,$G269=""),"",IF($H269*($E269-INDEX(Parametros_ANEC73!$M$4:$M$6,MATCH($C269,Parametros_ANEC73!$A$4:$A$6,0)))&gt;0,"Sim","Nao"))</f>
        <v/>
      </c>
      <c r="W269" s="27" t="str">
        <f aca="false">$A269&amp;"|"&amp;$B269&amp;"|"&amp;$C269</f>
        <v>ADM|Jun|Proteina</v>
      </c>
    </row>
    <row r="270" customFormat="false" ht="15" hidden="false" customHeight="false" outlineLevel="0" collapsed="false">
      <c r="A270" s="27" t="s">
        <v>46</v>
      </c>
      <c r="B270" s="27" t="s">
        <v>63</v>
      </c>
      <c r="C270" s="27" t="s">
        <v>110</v>
      </c>
      <c r="D270" s="34" t="n">
        <f aca="false">SUMIFS(Media_Cliente_Mes!$C$2:$C$145,Media_Cliente_Mes!$A$2:$A$145,$A270,Media_Cliente_Mes!$B$2:$B$145,$B270)</f>
        <v>0</v>
      </c>
      <c r="E270" s="35" t="str">
        <f aca="false">IF($D270=0,"",IF($C270="Proteina",SUMIFS(Media_Cliente_Mes!$D$2:$D$145,Media_Cliente_Mes!$A$2:$A$145,$A270,Media_Cliente_Mes!$B$2:$B$145,$B270),IF($C270="Umidade",SUMIFS(Media_Cliente_Mes!$E$2:$E$145,Media_Cliente_Mes!$A$2:$A$145,$A270,Media_Cliente_Mes!$B$2:$B$145,$B270),SUMIFS(Media_Cliente_Mes!$F$2:$F$145,Media_Cliente_Mes!$A$2:$A$145,$A270,Media_Cliente_Mes!$B$2:$B$145,$B270))))</f>
        <v/>
      </c>
      <c r="F270" s="35" t="n">
        <f aca="false">INDEX(Parametros_ANEC73!$C$4:$C$6,MATCH($C270,Parametros_ANEC73!$A$4:$A$6,0))</f>
        <v>12.5</v>
      </c>
      <c r="G270" s="35" t="n">
        <f aca="false">IF($C270="Proteina",INDEX(Media_Pool_Mes!$C$2:$C$13,MATCH($B270,Media_Pool_Mes!$A$2:$A$13,0)),IF($C270="Umidade",INDEX(Media_Pool_Mes!$D$2:$D$13,MATCH($B270,Media_Pool_Mes!$A$2:$A$13,0)),INDEX(Media_Pool_Mes!$E$2:$E$13,MATCH($B270,Media_Pool_Mes!$A$2:$A$13,0))))</f>
        <v>12.6225093779221</v>
      </c>
      <c r="H270" s="37" t="n">
        <f aca="false">INDEX(Parametros_ANEC73!$B$4:$B$6,MATCH($C270,Parametros_ANEC73!$A$4:$A$6,0))</f>
        <v>1</v>
      </c>
      <c r="I270" s="38" t="str">
        <f aca="false">IF(OR($D270=0,$G270=""),"",IF($H270*($G270-$F270)&gt;0,$G270,$F270))</f>
        <v/>
      </c>
      <c r="J270" s="27" t="str">
        <f aca="false">IF(OR($D270=0,$G270=""),"",IF($H270*($G270-$F270)&gt;0,"Sim","Nao"))</f>
        <v/>
      </c>
      <c r="K270" s="27" t="str">
        <f aca="false">IF(OR($D270=0,$G270=""),"",IF(AND($H270*($E270-$F270)&gt;0,$H270*($E270-$G270)&gt;0),"Sim","Nao"))</f>
        <v/>
      </c>
      <c r="L270" s="38" t="n">
        <f aca="false">IF(OR($D270=0,$G270=""),0,IF($K270="Sim",MAX(0,$H270*($E270-$I270)),0))</f>
        <v>0</v>
      </c>
      <c r="M270" s="35" t="n">
        <f aca="false">INDEX(Parametros_ANEC73!$G$4:$G$6,MATCH($C270,Parametros_ANEC73!$A$4:$A$6,0))</f>
        <v>0</v>
      </c>
      <c r="N270" s="38" t="n">
        <f aca="false">IF(OR($D270=0,$G270=""),0,IF(AND($K270="Sim",$M270&lt;&gt;""),MAX(0,$H270*($E270-$M270)),0))</f>
        <v>0</v>
      </c>
      <c r="O270" s="35" t="n">
        <f aca="false">INDEX(Parametros_ANEC73!$J$4:$J$6,MATCH($C270,Parametros_ANEC73!$A$4:$A$6,0))</f>
        <v>0</v>
      </c>
      <c r="P270" s="38" t="n">
        <f aca="false">IF(OR($D270=0,$G270=""),0,IF(AND($K270="Sim",$O270&lt;&gt;""),MAX(0,$H270*($E270-$O270)),0))</f>
        <v>0</v>
      </c>
      <c r="Q270" s="35" t="n">
        <f aca="false">INDEX(Parametros_ANEC73!$F$4:$F$6,MATCH($C270,Parametros_ANEC73!$A$4:$A$6,0))</f>
        <v>1</v>
      </c>
      <c r="R270" s="35" t="n">
        <f aca="false">INDEX(Parametros_ANEC73!$I$4:$I$6,MATCH($C270,Parametros_ANEC73!$A$4:$A$6,0))</f>
        <v>0</v>
      </c>
      <c r="S270" s="35" t="n">
        <f aca="false">INDEX(Parametros_ANEC73!$L$4:$L$6,MATCH($C270,Parametros_ANEC73!$A$4:$A$6,0))</f>
        <v>0</v>
      </c>
      <c r="T270" s="39" t="n">
        <f aca="false">INDEX(Parametros_ANEC73!$B$14:$B$25,MATCH($B270,Parametros_ANEC73!$A$14:$A$25,0))</f>
        <v>326</v>
      </c>
      <c r="U270" s="40" t="n">
        <f aca="false">IF(OR($D270=0,$G270=""),0,$D270*($T270/100)*($L270*$Q270+$N270*(IF($R270="",$Q270,$R270)-$Q270)+$P270*(IF($S270="",IF($R270="",$Q270,$R270),$S270)-IF($R270="",$Q270,$R270))))</f>
        <v>0</v>
      </c>
      <c r="V270" s="41" t="str">
        <f aca="false">IF(OR($D270=0,$G270=""),"",IF($H270*($E270-INDEX(Parametros_ANEC73!$M$4:$M$6,MATCH($C270,Parametros_ANEC73!$A$4:$A$6,0)))&gt;0,"Sim","Nao"))</f>
        <v/>
      </c>
      <c r="W270" s="27" t="str">
        <f aca="false">$A270&amp;"|"&amp;$B270&amp;"|"&amp;$C270</f>
        <v>ADM|Jun|Umidade</v>
      </c>
    </row>
    <row r="271" customFormat="false" ht="15" hidden="false" customHeight="false" outlineLevel="0" collapsed="false">
      <c r="A271" s="27" t="s">
        <v>46</v>
      </c>
      <c r="B271" s="27" t="s">
        <v>63</v>
      </c>
      <c r="C271" s="27" t="s">
        <v>111</v>
      </c>
      <c r="D271" s="34" t="n">
        <f aca="false">SUMIFS(Media_Cliente_Mes!$C$2:$C$145,Media_Cliente_Mes!$A$2:$A$145,$A271,Media_Cliente_Mes!$B$2:$B$145,$B271)</f>
        <v>0</v>
      </c>
      <c r="E271" s="35" t="str">
        <f aca="false">IF($D271=0,"",IF($C271="Proteina",SUMIFS(Media_Cliente_Mes!$D$2:$D$145,Media_Cliente_Mes!$A$2:$A$145,$A271,Media_Cliente_Mes!$B$2:$B$145,$B271),IF($C271="Umidade",SUMIFS(Media_Cliente_Mes!$E$2:$E$145,Media_Cliente_Mes!$A$2:$A$145,$A271,Media_Cliente_Mes!$B$2:$B$145,$B271),SUMIFS(Media_Cliente_Mes!$F$2:$F$145,Media_Cliente_Mes!$A$2:$A$145,$A271,Media_Cliente_Mes!$B$2:$B$145,$B271))))</f>
        <v/>
      </c>
      <c r="F271" s="35" t="n">
        <f aca="false">INDEX(Parametros_ANEC73!$C$4:$C$6,MATCH($C271,Parametros_ANEC73!$A$4:$A$6,0))</f>
        <v>3.5</v>
      </c>
      <c r="G271" s="35" t="n">
        <f aca="false">IF($C271="Proteina",INDEX(Media_Pool_Mes!$C$2:$C$13,MATCH($B271,Media_Pool_Mes!$A$2:$A$13,0)),IF($C271="Umidade",INDEX(Media_Pool_Mes!$D$2:$D$13,MATCH($B271,Media_Pool_Mes!$A$2:$A$13,0)),INDEX(Media_Pool_Mes!$E$2:$E$13,MATCH($B271,Media_Pool_Mes!$A$2:$A$13,0))))</f>
        <v>3.72652113613862</v>
      </c>
      <c r="H271" s="37" t="n">
        <f aca="false">INDEX(Parametros_ANEC73!$B$4:$B$6,MATCH($C271,Parametros_ANEC73!$A$4:$A$6,0))</f>
        <v>1</v>
      </c>
      <c r="I271" s="38" t="str">
        <f aca="false">IF(OR($D271=0,$G271=""),"",IF($H271*($G271-$F271)&gt;0,$G271,$F271))</f>
        <v/>
      </c>
      <c r="J271" s="27" t="str">
        <f aca="false">IF(OR($D271=0,$G271=""),"",IF($H271*($G271-$F271)&gt;0,"Sim","Nao"))</f>
        <v/>
      </c>
      <c r="K271" s="27" t="str">
        <f aca="false">IF(OR($D271=0,$G271=""),"",IF(AND($H271*($E271-$F271)&gt;0,$H271*($E271-$G271)&gt;0),"Sim","Nao"))</f>
        <v/>
      </c>
      <c r="L271" s="38" t="n">
        <f aca="false">IF(OR($D271=0,$G271=""),0,IF($K271="Sim",MAX(0,$H271*($E271-$I271)),0))</f>
        <v>0</v>
      </c>
      <c r="M271" s="35" t="n">
        <f aca="false">INDEX(Parametros_ANEC73!$G$4:$G$6,MATCH($C271,Parametros_ANEC73!$A$4:$A$6,0))</f>
        <v>3.8</v>
      </c>
      <c r="N271" s="38" t="n">
        <f aca="false">IF(OR($D271=0,$G271=""),0,IF(AND($K271="Sim",$M271&lt;&gt;""),MAX(0,$H271*($E271-$M271)),0))</f>
        <v>0</v>
      </c>
      <c r="O271" s="35" t="n">
        <f aca="false">INDEX(Parametros_ANEC73!$J$4:$J$6,MATCH($C271,Parametros_ANEC73!$A$4:$A$6,0))</f>
        <v>4</v>
      </c>
      <c r="P271" s="38" t="n">
        <f aca="false">IF(OR($D271=0,$G271=""),0,IF(AND($K271="Sim",$O271&lt;&gt;""),MAX(0,$H271*($E271-$O271)),0))</f>
        <v>0</v>
      </c>
      <c r="Q271" s="35" t="n">
        <f aca="false">INDEX(Parametros_ANEC73!$F$4:$F$6,MATCH($C271,Parametros_ANEC73!$A$4:$A$6,0))</f>
        <v>1</v>
      </c>
      <c r="R271" s="35" t="n">
        <f aca="false">INDEX(Parametros_ANEC73!$I$4:$I$6,MATCH($C271,Parametros_ANEC73!$A$4:$A$6,0))</f>
        <v>1.5</v>
      </c>
      <c r="S271" s="35" t="n">
        <f aca="false">INDEX(Parametros_ANEC73!$L$4:$L$6,MATCH($C271,Parametros_ANEC73!$A$4:$A$6,0))</f>
        <v>2</v>
      </c>
      <c r="T271" s="39" t="n">
        <f aca="false">INDEX(Parametros_ANEC73!$B$14:$B$25,MATCH($B271,Parametros_ANEC73!$A$14:$A$25,0))</f>
        <v>326</v>
      </c>
      <c r="U271" s="40" t="n">
        <f aca="false">IF(OR($D271=0,$G271=""),0,$D271*($T271/100)*($L271*$Q271+$N271*(IF($R271="",$Q271,$R271)-$Q271)+$P271*(IF($S271="",IF($R271="",$Q271,$R271),$S271)-IF($R271="",$Q271,$R271))))</f>
        <v>0</v>
      </c>
      <c r="V271" s="41" t="str">
        <f aca="false">IF(OR($D271=0,$G271=""),"",IF($H271*($E271-INDEX(Parametros_ANEC73!$M$4:$M$6,MATCH($C271,Parametros_ANEC73!$A$4:$A$6,0)))&gt;0,"Sim","Nao"))</f>
        <v/>
      </c>
      <c r="W271" s="27" t="str">
        <f aca="false">$A271&amp;"|"&amp;$B271&amp;"|"&amp;$C271</f>
        <v>ADM|Jun|Fibra</v>
      </c>
    </row>
    <row r="272" customFormat="false" ht="15" hidden="false" customHeight="false" outlineLevel="0" collapsed="false">
      <c r="A272" s="27" t="s">
        <v>46</v>
      </c>
      <c r="B272" s="27" t="s">
        <v>64</v>
      </c>
      <c r="C272" s="27" t="s">
        <v>109</v>
      </c>
      <c r="D272" s="34" t="n">
        <f aca="false">SUMIFS(Media_Cliente_Mes!$C$2:$C$145,Media_Cliente_Mes!$A$2:$A$145,$A272,Media_Cliente_Mes!$B$2:$B$145,$B272)</f>
        <v>0</v>
      </c>
      <c r="E272" s="35" t="str">
        <f aca="false">IF($D272=0,"",IF($C272="Proteina",SUMIFS(Media_Cliente_Mes!$D$2:$D$145,Media_Cliente_Mes!$A$2:$A$145,$A272,Media_Cliente_Mes!$B$2:$B$145,$B272),IF($C272="Umidade",SUMIFS(Media_Cliente_Mes!$E$2:$E$145,Media_Cliente_Mes!$A$2:$A$145,$A272,Media_Cliente_Mes!$B$2:$B$145,$B272),SUMIFS(Media_Cliente_Mes!$F$2:$F$145,Media_Cliente_Mes!$A$2:$A$145,$A272,Media_Cliente_Mes!$B$2:$B$145,$B272))))</f>
        <v/>
      </c>
      <c r="F272" s="35" t="n">
        <f aca="false">INDEX(Parametros_ANEC73!$C$4:$C$6,MATCH($C272,Parametros_ANEC73!$A$4:$A$6,0))</f>
        <v>48</v>
      </c>
      <c r="G272" s="35" t="n">
        <f aca="false">IF($C272="Proteina",INDEX(Media_Pool_Mes!$C$2:$C$13,MATCH($B272,Media_Pool_Mes!$A$2:$A$13,0)),IF($C272="Umidade",INDEX(Media_Pool_Mes!$D$2:$D$13,MATCH($B272,Media_Pool_Mes!$A$2:$A$13,0)),INDEX(Media_Pool_Mes!$E$2:$E$13,MATCH($B272,Media_Pool_Mes!$A$2:$A$13,0))))</f>
        <v>47.6816680231132</v>
      </c>
      <c r="H272" s="37" t="n">
        <f aca="false">INDEX(Parametros_ANEC73!$B$4:$B$6,MATCH($C272,Parametros_ANEC73!$A$4:$A$6,0))</f>
        <v>-1</v>
      </c>
      <c r="I272" s="38" t="str">
        <f aca="false">IF(OR($D272=0,$G272=""),"",IF($H272*($G272-$F272)&gt;0,$G272,$F272))</f>
        <v/>
      </c>
      <c r="J272" s="27" t="str">
        <f aca="false">IF(OR($D272=0,$G272=""),"",IF($H272*($G272-$F272)&gt;0,"Sim","Nao"))</f>
        <v/>
      </c>
      <c r="K272" s="27" t="str">
        <f aca="false">IF(OR($D272=0,$G272=""),"",IF(AND($H272*($E272-$F272)&gt;0,$H272*($E272-$G272)&gt;0),"Sim","Nao"))</f>
        <v/>
      </c>
      <c r="L272" s="38" t="n">
        <f aca="false">IF(OR($D272=0,$G272=""),0,IF($K272="Sim",MAX(0,$H272*($E272-$I272)),0))</f>
        <v>0</v>
      </c>
      <c r="M272" s="35" t="n">
        <f aca="false">INDEX(Parametros_ANEC73!$G$4:$G$6,MATCH($C272,Parametros_ANEC73!$A$4:$A$6,0))</f>
        <v>47</v>
      </c>
      <c r="N272" s="38" t="n">
        <f aca="false">IF(OR($D272=0,$G272=""),0,IF(AND($K272="Sim",$M272&lt;&gt;""),MAX(0,$H272*($E272-$M272)),0))</f>
        <v>0</v>
      </c>
      <c r="O272" s="35" t="n">
        <f aca="false">INDEX(Parametros_ANEC73!$J$4:$J$6,MATCH($C272,Parametros_ANEC73!$A$4:$A$6,0))</f>
        <v>0</v>
      </c>
      <c r="P272" s="38" t="n">
        <f aca="false">IF(OR($D272=0,$G272=""),0,IF(AND($K272="Sim",$O272&lt;&gt;""),MAX(0,$H272*($E272-$O272)),0))</f>
        <v>0</v>
      </c>
      <c r="Q272" s="35" t="n">
        <f aca="false">INDEX(Parametros_ANEC73!$F$4:$F$6,MATCH($C272,Parametros_ANEC73!$A$4:$A$6,0))</f>
        <v>1</v>
      </c>
      <c r="R272" s="35" t="n">
        <f aca="false">INDEX(Parametros_ANEC73!$I$4:$I$6,MATCH($C272,Parametros_ANEC73!$A$4:$A$6,0))</f>
        <v>2</v>
      </c>
      <c r="S272" s="35" t="n">
        <f aca="false">INDEX(Parametros_ANEC73!$L$4:$L$6,MATCH($C272,Parametros_ANEC73!$A$4:$A$6,0))</f>
        <v>0</v>
      </c>
      <c r="T272" s="39" t="n">
        <f aca="false">INDEX(Parametros_ANEC73!$B$14:$B$25,MATCH($B272,Parametros_ANEC73!$A$14:$A$25,0))</f>
        <v>326</v>
      </c>
      <c r="U272" s="40" t="n">
        <f aca="false">IF(OR($D272=0,$G272=""),0,$D272*($T272/100)*($L272*$Q272+$N272*(IF($R272="",$Q272,$R272)-$Q272)+$P272*(IF($S272="",IF($R272="",$Q272,$R272),$S272)-IF($R272="",$Q272,$R272))))</f>
        <v>0</v>
      </c>
      <c r="V272" s="41" t="str">
        <f aca="false">IF(OR($D272=0,$G272=""),"",IF($H272*($E272-INDEX(Parametros_ANEC73!$M$4:$M$6,MATCH($C272,Parametros_ANEC73!$A$4:$A$6,0)))&gt;0,"Sim","Nao"))</f>
        <v/>
      </c>
      <c r="W272" s="27" t="str">
        <f aca="false">$A272&amp;"|"&amp;$B272&amp;"|"&amp;$C272</f>
        <v>ADM|Jul|Proteina</v>
      </c>
    </row>
    <row r="273" customFormat="false" ht="15" hidden="false" customHeight="false" outlineLevel="0" collapsed="false">
      <c r="A273" s="27" t="s">
        <v>46</v>
      </c>
      <c r="B273" s="27" t="s">
        <v>64</v>
      </c>
      <c r="C273" s="27" t="s">
        <v>110</v>
      </c>
      <c r="D273" s="34" t="n">
        <f aca="false">SUMIFS(Media_Cliente_Mes!$C$2:$C$145,Media_Cliente_Mes!$A$2:$A$145,$A273,Media_Cliente_Mes!$B$2:$B$145,$B273)</f>
        <v>0</v>
      </c>
      <c r="E273" s="35" t="str">
        <f aca="false">IF($D273=0,"",IF($C273="Proteina",SUMIFS(Media_Cliente_Mes!$D$2:$D$145,Media_Cliente_Mes!$A$2:$A$145,$A273,Media_Cliente_Mes!$B$2:$B$145,$B273),IF($C273="Umidade",SUMIFS(Media_Cliente_Mes!$E$2:$E$145,Media_Cliente_Mes!$A$2:$A$145,$A273,Media_Cliente_Mes!$B$2:$B$145,$B273),SUMIFS(Media_Cliente_Mes!$F$2:$F$145,Media_Cliente_Mes!$A$2:$A$145,$A273,Media_Cliente_Mes!$B$2:$B$145,$B273))))</f>
        <v/>
      </c>
      <c r="F273" s="35" t="n">
        <f aca="false">INDEX(Parametros_ANEC73!$C$4:$C$6,MATCH($C273,Parametros_ANEC73!$A$4:$A$6,0))</f>
        <v>12.5</v>
      </c>
      <c r="G273" s="35" t="n">
        <f aca="false">IF($C273="Proteina",INDEX(Media_Pool_Mes!$C$2:$C$13,MATCH($B273,Media_Pool_Mes!$A$2:$A$13,0)),IF($C273="Umidade",INDEX(Media_Pool_Mes!$D$2:$D$13,MATCH($B273,Media_Pool_Mes!$A$2:$A$13,0)),INDEX(Media_Pool_Mes!$E$2:$E$13,MATCH($B273,Media_Pool_Mes!$A$2:$A$13,0))))</f>
        <v>12.2356489048309</v>
      </c>
      <c r="H273" s="37" t="n">
        <f aca="false">INDEX(Parametros_ANEC73!$B$4:$B$6,MATCH($C273,Parametros_ANEC73!$A$4:$A$6,0))</f>
        <v>1</v>
      </c>
      <c r="I273" s="38" t="str">
        <f aca="false">IF(OR($D273=0,$G273=""),"",IF($H273*($G273-$F273)&gt;0,$G273,$F273))</f>
        <v/>
      </c>
      <c r="J273" s="27" t="str">
        <f aca="false">IF(OR($D273=0,$G273=""),"",IF($H273*($G273-$F273)&gt;0,"Sim","Nao"))</f>
        <v/>
      </c>
      <c r="K273" s="27" t="str">
        <f aca="false">IF(OR($D273=0,$G273=""),"",IF(AND($H273*($E273-$F273)&gt;0,$H273*($E273-$G273)&gt;0),"Sim","Nao"))</f>
        <v/>
      </c>
      <c r="L273" s="38" t="n">
        <f aca="false">IF(OR($D273=0,$G273=""),0,IF($K273="Sim",MAX(0,$H273*($E273-$I273)),0))</f>
        <v>0</v>
      </c>
      <c r="M273" s="35" t="n">
        <f aca="false">INDEX(Parametros_ANEC73!$G$4:$G$6,MATCH($C273,Parametros_ANEC73!$A$4:$A$6,0))</f>
        <v>0</v>
      </c>
      <c r="N273" s="38" t="n">
        <f aca="false">IF(OR($D273=0,$G273=""),0,IF(AND($K273="Sim",$M273&lt;&gt;""),MAX(0,$H273*($E273-$M273)),0))</f>
        <v>0</v>
      </c>
      <c r="O273" s="35" t="n">
        <f aca="false">INDEX(Parametros_ANEC73!$J$4:$J$6,MATCH($C273,Parametros_ANEC73!$A$4:$A$6,0))</f>
        <v>0</v>
      </c>
      <c r="P273" s="38" t="n">
        <f aca="false">IF(OR($D273=0,$G273=""),0,IF(AND($K273="Sim",$O273&lt;&gt;""),MAX(0,$H273*($E273-$O273)),0))</f>
        <v>0</v>
      </c>
      <c r="Q273" s="35" t="n">
        <f aca="false">INDEX(Parametros_ANEC73!$F$4:$F$6,MATCH($C273,Parametros_ANEC73!$A$4:$A$6,0))</f>
        <v>1</v>
      </c>
      <c r="R273" s="35" t="n">
        <f aca="false">INDEX(Parametros_ANEC73!$I$4:$I$6,MATCH($C273,Parametros_ANEC73!$A$4:$A$6,0))</f>
        <v>0</v>
      </c>
      <c r="S273" s="35" t="n">
        <f aca="false">INDEX(Parametros_ANEC73!$L$4:$L$6,MATCH($C273,Parametros_ANEC73!$A$4:$A$6,0))</f>
        <v>0</v>
      </c>
      <c r="T273" s="39" t="n">
        <f aca="false">INDEX(Parametros_ANEC73!$B$14:$B$25,MATCH($B273,Parametros_ANEC73!$A$14:$A$25,0))</f>
        <v>326</v>
      </c>
      <c r="U273" s="40" t="n">
        <f aca="false">IF(OR($D273=0,$G273=""),0,$D273*($T273/100)*($L273*$Q273+$N273*(IF($R273="",$Q273,$R273)-$Q273)+$P273*(IF($S273="",IF($R273="",$Q273,$R273),$S273)-IF($R273="",$Q273,$R273))))</f>
        <v>0</v>
      </c>
      <c r="V273" s="41" t="str">
        <f aca="false">IF(OR($D273=0,$G273=""),"",IF($H273*($E273-INDEX(Parametros_ANEC73!$M$4:$M$6,MATCH($C273,Parametros_ANEC73!$A$4:$A$6,0)))&gt;0,"Sim","Nao"))</f>
        <v/>
      </c>
      <c r="W273" s="27" t="str">
        <f aca="false">$A273&amp;"|"&amp;$B273&amp;"|"&amp;$C273</f>
        <v>ADM|Jul|Umidade</v>
      </c>
    </row>
    <row r="274" customFormat="false" ht="15" hidden="false" customHeight="false" outlineLevel="0" collapsed="false">
      <c r="A274" s="27" t="s">
        <v>46</v>
      </c>
      <c r="B274" s="27" t="s">
        <v>64</v>
      </c>
      <c r="C274" s="27" t="s">
        <v>111</v>
      </c>
      <c r="D274" s="34" t="n">
        <f aca="false">SUMIFS(Media_Cliente_Mes!$C$2:$C$145,Media_Cliente_Mes!$A$2:$A$145,$A274,Media_Cliente_Mes!$B$2:$B$145,$B274)</f>
        <v>0</v>
      </c>
      <c r="E274" s="35" t="str">
        <f aca="false">IF($D274=0,"",IF($C274="Proteina",SUMIFS(Media_Cliente_Mes!$D$2:$D$145,Media_Cliente_Mes!$A$2:$A$145,$A274,Media_Cliente_Mes!$B$2:$B$145,$B274),IF($C274="Umidade",SUMIFS(Media_Cliente_Mes!$E$2:$E$145,Media_Cliente_Mes!$A$2:$A$145,$A274,Media_Cliente_Mes!$B$2:$B$145,$B274),SUMIFS(Media_Cliente_Mes!$F$2:$F$145,Media_Cliente_Mes!$A$2:$A$145,$A274,Media_Cliente_Mes!$B$2:$B$145,$B274))))</f>
        <v/>
      </c>
      <c r="F274" s="35" t="n">
        <f aca="false">INDEX(Parametros_ANEC73!$C$4:$C$6,MATCH($C274,Parametros_ANEC73!$A$4:$A$6,0))</f>
        <v>3.5</v>
      </c>
      <c r="G274" s="35" t="n">
        <f aca="false">IF($C274="Proteina",INDEX(Media_Pool_Mes!$C$2:$C$13,MATCH($B274,Media_Pool_Mes!$A$2:$A$13,0)),IF($C274="Umidade",INDEX(Media_Pool_Mes!$D$2:$D$13,MATCH($B274,Media_Pool_Mes!$A$2:$A$13,0)),INDEX(Media_Pool_Mes!$E$2:$E$13,MATCH($B274,Media_Pool_Mes!$A$2:$A$13,0))))</f>
        <v>3.48415625565953</v>
      </c>
      <c r="H274" s="37" t="n">
        <f aca="false">INDEX(Parametros_ANEC73!$B$4:$B$6,MATCH($C274,Parametros_ANEC73!$A$4:$A$6,0))</f>
        <v>1</v>
      </c>
      <c r="I274" s="38" t="str">
        <f aca="false">IF(OR($D274=0,$G274=""),"",IF($H274*($G274-$F274)&gt;0,$G274,$F274))</f>
        <v/>
      </c>
      <c r="J274" s="27" t="str">
        <f aca="false">IF(OR($D274=0,$G274=""),"",IF($H274*($G274-$F274)&gt;0,"Sim","Nao"))</f>
        <v/>
      </c>
      <c r="K274" s="27" t="str">
        <f aca="false">IF(OR($D274=0,$G274=""),"",IF(AND($H274*($E274-$F274)&gt;0,$H274*($E274-$G274)&gt;0),"Sim","Nao"))</f>
        <v/>
      </c>
      <c r="L274" s="38" t="n">
        <f aca="false">IF(OR($D274=0,$G274=""),0,IF($K274="Sim",MAX(0,$H274*($E274-$I274)),0))</f>
        <v>0</v>
      </c>
      <c r="M274" s="35" t="n">
        <f aca="false">INDEX(Parametros_ANEC73!$G$4:$G$6,MATCH($C274,Parametros_ANEC73!$A$4:$A$6,0))</f>
        <v>3.8</v>
      </c>
      <c r="N274" s="38" t="n">
        <f aca="false">IF(OR($D274=0,$G274=""),0,IF(AND($K274="Sim",$M274&lt;&gt;""),MAX(0,$H274*($E274-$M274)),0))</f>
        <v>0</v>
      </c>
      <c r="O274" s="35" t="n">
        <f aca="false">INDEX(Parametros_ANEC73!$J$4:$J$6,MATCH($C274,Parametros_ANEC73!$A$4:$A$6,0))</f>
        <v>4</v>
      </c>
      <c r="P274" s="38" t="n">
        <f aca="false">IF(OR($D274=0,$G274=""),0,IF(AND($K274="Sim",$O274&lt;&gt;""),MAX(0,$H274*($E274-$O274)),0))</f>
        <v>0</v>
      </c>
      <c r="Q274" s="35" t="n">
        <f aca="false">INDEX(Parametros_ANEC73!$F$4:$F$6,MATCH($C274,Parametros_ANEC73!$A$4:$A$6,0))</f>
        <v>1</v>
      </c>
      <c r="R274" s="35" t="n">
        <f aca="false">INDEX(Parametros_ANEC73!$I$4:$I$6,MATCH($C274,Parametros_ANEC73!$A$4:$A$6,0))</f>
        <v>1.5</v>
      </c>
      <c r="S274" s="35" t="n">
        <f aca="false">INDEX(Parametros_ANEC73!$L$4:$L$6,MATCH($C274,Parametros_ANEC73!$A$4:$A$6,0))</f>
        <v>2</v>
      </c>
      <c r="T274" s="39" t="n">
        <f aca="false">INDEX(Parametros_ANEC73!$B$14:$B$25,MATCH($B274,Parametros_ANEC73!$A$14:$A$25,0))</f>
        <v>326</v>
      </c>
      <c r="U274" s="40" t="n">
        <f aca="false">IF(OR($D274=0,$G274=""),0,$D274*($T274/100)*($L274*$Q274+$N274*(IF($R274="",$Q274,$R274)-$Q274)+$P274*(IF($S274="",IF($R274="",$Q274,$R274),$S274)-IF($R274="",$Q274,$R274))))</f>
        <v>0</v>
      </c>
      <c r="V274" s="41" t="str">
        <f aca="false">IF(OR($D274=0,$G274=""),"",IF($H274*($E274-INDEX(Parametros_ANEC73!$M$4:$M$6,MATCH($C274,Parametros_ANEC73!$A$4:$A$6,0)))&gt;0,"Sim","Nao"))</f>
        <v/>
      </c>
      <c r="W274" s="27" t="str">
        <f aca="false">$A274&amp;"|"&amp;$B274&amp;"|"&amp;$C274</f>
        <v>ADM|Jul|Fibra</v>
      </c>
    </row>
    <row r="275" customFormat="false" ht="15" hidden="false" customHeight="false" outlineLevel="0" collapsed="false">
      <c r="A275" s="27" t="s">
        <v>46</v>
      </c>
      <c r="B275" s="27" t="s">
        <v>65</v>
      </c>
      <c r="C275" s="27" t="s">
        <v>109</v>
      </c>
      <c r="D275" s="34" t="n">
        <f aca="false">SUMIFS(Media_Cliente_Mes!$C$2:$C$145,Media_Cliente_Mes!$A$2:$A$145,$A275,Media_Cliente_Mes!$B$2:$B$145,$B275)</f>
        <v>11582.49</v>
      </c>
      <c r="E275" s="35" t="n">
        <f aca="false">IF($D275=0,"",IF($C275="Proteina",SUMIFS(Media_Cliente_Mes!$D$2:$D$145,Media_Cliente_Mes!$A$2:$A$145,$A275,Media_Cliente_Mes!$B$2:$B$145,$B275),IF($C275="Umidade",SUMIFS(Media_Cliente_Mes!$E$2:$E$145,Media_Cliente_Mes!$A$2:$A$145,$A275,Media_Cliente_Mes!$B$2:$B$145,$B275),SUMIFS(Media_Cliente_Mes!$F$2:$F$145,Media_Cliente_Mes!$A$2:$A$145,$A275,Media_Cliente_Mes!$B$2:$B$145,$B275))))</f>
        <v>47.4047032719217</v>
      </c>
      <c r="F275" s="35" t="n">
        <f aca="false">INDEX(Parametros_ANEC73!$C$4:$C$6,MATCH($C275,Parametros_ANEC73!$A$4:$A$6,0))</f>
        <v>48</v>
      </c>
      <c r="G275" s="35" t="n">
        <f aca="false">IF($C275="Proteina",INDEX(Media_Pool_Mes!$C$2:$C$13,MATCH($B275,Media_Pool_Mes!$A$2:$A$13,0)),IF($C275="Umidade",INDEX(Media_Pool_Mes!$D$2:$D$13,MATCH($B275,Media_Pool_Mes!$A$2:$A$13,0)),INDEX(Media_Pool_Mes!$E$2:$E$13,MATCH($B275,Media_Pool_Mes!$A$2:$A$13,0))))</f>
        <v>47.3199561197423</v>
      </c>
      <c r="H275" s="37" t="n">
        <f aca="false">INDEX(Parametros_ANEC73!$B$4:$B$6,MATCH($C275,Parametros_ANEC73!$A$4:$A$6,0))</f>
        <v>-1</v>
      </c>
      <c r="I275" s="38" t="n">
        <f aca="false">IF(OR($D275=0,$G275=""),"",IF($H275*($G275-$F275)&gt;0,$G275,$F275))</f>
        <v>47.3199561197423</v>
      </c>
      <c r="J275" s="27" t="str">
        <f aca="false">IF(OR($D275=0,$G275=""),"",IF($H275*($G275-$F275)&gt;0,"Sim","Nao"))</f>
        <v>Sim</v>
      </c>
      <c r="K275" s="27" t="str">
        <f aca="false">IF(OR($D275=0,$G275=""),"",IF(AND($H275*($E275-$F275)&gt;0,$H275*($E275-$G275)&gt;0),"Sim","Nao"))</f>
        <v>Nao</v>
      </c>
      <c r="L275" s="38" t="n">
        <f aca="false">IF(OR($D275=0,$G275=""),0,IF($K275="Sim",MAX(0,$H275*($E275-$I275)),0))</f>
        <v>0</v>
      </c>
      <c r="M275" s="35" t="n">
        <f aca="false">INDEX(Parametros_ANEC73!$G$4:$G$6,MATCH($C275,Parametros_ANEC73!$A$4:$A$6,0))</f>
        <v>47</v>
      </c>
      <c r="N275" s="38" t="n">
        <f aca="false">IF(OR($D275=0,$G275=""),0,IF(AND($K275="Sim",$M275&lt;&gt;""),MAX(0,$H275*($E275-$M275)),0))</f>
        <v>0</v>
      </c>
      <c r="O275" s="35" t="n">
        <f aca="false">INDEX(Parametros_ANEC73!$J$4:$J$6,MATCH($C275,Parametros_ANEC73!$A$4:$A$6,0))</f>
        <v>0</v>
      </c>
      <c r="P275" s="38" t="n">
        <f aca="false">IF(OR($D275=0,$G275=""),0,IF(AND($K275="Sim",$O275&lt;&gt;""),MAX(0,$H275*($E275-$O275)),0))</f>
        <v>0</v>
      </c>
      <c r="Q275" s="35" t="n">
        <f aca="false">INDEX(Parametros_ANEC73!$F$4:$F$6,MATCH($C275,Parametros_ANEC73!$A$4:$A$6,0))</f>
        <v>1</v>
      </c>
      <c r="R275" s="35" t="n">
        <f aca="false">INDEX(Parametros_ANEC73!$I$4:$I$6,MATCH($C275,Parametros_ANEC73!$A$4:$A$6,0))</f>
        <v>2</v>
      </c>
      <c r="S275" s="35" t="n">
        <f aca="false">INDEX(Parametros_ANEC73!$L$4:$L$6,MATCH($C275,Parametros_ANEC73!$A$4:$A$6,0))</f>
        <v>0</v>
      </c>
      <c r="T275" s="39" t="n">
        <f aca="false">INDEX(Parametros_ANEC73!$B$14:$B$25,MATCH($B275,Parametros_ANEC73!$A$14:$A$25,0))</f>
        <v>326</v>
      </c>
      <c r="U275" s="40" t="n">
        <f aca="false">IF(OR($D275=0,$G275=""),0,$D275*($T275/100)*($L275*$Q275+$N275*(IF($R275="",$Q275,$R275)-$Q275)+$P275*(IF($S275="",IF($R275="",$Q275,$R275),$S275)-IF($R275="",$Q275,$R275))))</f>
        <v>0</v>
      </c>
      <c r="V275" s="41" t="str">
        <f aca="false">IF(OR($D275=0,$G275=""),"",IF($H275*($E275-INDEX(Parametros_ANEC73!$M$4:$M$6,MATCH($C275,Parametros_ANEC73!$A$4:$A$6,0)))&gt;0,"Sim","Nao"))</f>
        <v>Nao</v>
      </c>
      <c r="W275" s="27" t="str">
        <f aca="false">$A275&amp;"|"&amp;$B275&amp;"|"&amp;$C275</f>
        <v>ADM|Ago|Proteina</v>
      </c>
    </row>
    <row r="276" customFormat="false" ht="15" hidden="false" customHeight="false" outlineLevel="0" collapsed="false">
      <c r="A276" s="27" t="s">
        <v>46</v>
      </c>
      <c r="B276" s="27" t="s">
        <v>65</v>
      </c>
      <c r="C276" s="27" t="s">
        <v>110</v>
      </c>
      <c r="D276" s="34" t="n">
        <f aca="false">SUMIFS(Media_Cliente_Mes!$C$2:$C$145,Media_Cliente_Mes!$A$2:$A$145,$A276,Media_Cliente_Mes!$B$2:$B$145,$B276)</f>
        <v>11582.49</v>
      </c>
      <c r="E276" s="35" t="n">
        <f aca="false">IF($D276=0,"",IF($C276="Proteina",SUMIFS(Media_Cliente_Mes!$D$2:$D$145,Media_Cliente_Mes!$A$2:$A$145,$A276,Media_Cliente_Mes!$B$2:$B$145,$B276),IF($C276="Umidade",SUMIFS(Media_Cliente_Mes!$E$2:$E$145,Media_Cliente_Mes!$A$2:$A$145,$A276,Media_Cliente_Mes!$B$2:$B$145,$B276),SUMIFS(Media_Cliente_Mes!$F$2:$F$145,Media_Cliente_Mes!$A$2:$A$145,$A276,Media_Cliente_Mes!$B$2:$B$145,$B276))))</f>
        <v>12.3567068221082</v>
      </c>
      <c r="F276" s="35" t="n">
        <f aca="false">INDEX(Parametros_ANEC73!$C$4:$C$6,MATCH($C276,Parametros_ANEC73!$A$4:$A$6,0))</f>
        <v>12.5</v>
      </c>
      <c r="G276" s="35" t="n">
        <f aca="false">IF($C276="Proteina",INDEX(Media_Pool_Mes!$C$2:$C$13,MATCH($B276,Media_Pool_Mes!$A$2:$A$13,0)),IF($C276="Umidade",INDEX(Media_Pool_Mes!$D$2:$D$13,MATCH($B276,Media_Pool_Mes!$A$2:$A$13,0)),INDEX(Media_Pool_Mes!$E$2:$E$13,MATCH($B276,Media_Pool_Mes!$A$2:$A$13,0))))</f>
        <v>12.2068387200965</v>
      </c>
      <c r="H276" s="37" t="n">
        <f aca="false">INDEX(Parametros_ANEC73!$B$4:$B$6,MATCH($C276,Parametros_ANEC73!$A$4:$A$6,0))</f>
        <v>1</v>
      </c>
      <c r="I276" s="38" t="n">
        <f aca="false">IF(OR($D276=0,$G276=""),"",IF($H276*($G276-$F276)&gt;0,$G276,$F276))</f>
        <v>12.5</v>
      </c>
      <c r="J276" s="27" t="str">
        <f aca="false">IF(OR($D276=0,$G276=""),"",IF($H276*($G276-$F276)&gt;0,"Sim","Nao"))</f>
        <v>Nao</v>
      </c>
      <c r="K276" s="27" t="str">
        <f aca="false">IF(OR($D276=0,$G276=""),"",IF(AND($H276*($E276-$F276)&gt;0,$H276*($E276-$G276)&gt;0),"Sim","Nao"))</f>
        <v>Nao</v>
      </c>
      <c r="L276" s="38" t="n">
        <f aca="false">IF(OR($D276=0,$G276=""),0,IF($K276="Sim",MAX(0,$H276*($E276-$I276)),0))</f>
        <v>0</v>
      </c>
      <c r="M276" s="35" t="n">
        <f aca="false">INDEX(Parametros_ANEC73!$G$4:$G$6,MATCH($C276,Parametros_ANEC73!$A$4:$A$6,0))</f>
        <v>0</v>
      </c>
      <c r="N276" s="38" t="n">
        <f aca="false">IF(OR($D276=0,$G276=""),0,IF(AND($K276="Sim",$M276&lt;&gt;""),MAX(0,$H276*($E276-$M276)),0))</f>
        <v>0</v>
      </c>
      <c r="O276" s="35" t="n">
        <f aca="false">INDEX(Parametros_ANEC73!$J$4:$J$6,MATCH($C276,Parametros_ANEC73!$A$4:$A$6,0))</f>
        <v>0</v>
      </c>
      <c r="P276" s="38" t="n">
        <f aca="false">IF(OR($D276=0,$G276=""),0,IF(AND($K276="Sim",$O276&lt;&gt;""),MAX(0,$H276*($E276-$O276)),0))</f>
        <v>0</v>
      </c>
      <c r="Q276" s="35" t="n">
        <f aca="false">INDEX(Parametros_ANEC73!$F$4:$F$6,MATCH($C276,Parametros_ANEC73!$A$4:$A$6,0))</f>
        <v>1</v>
      </c>
      <c r="R276" s="35" t="n">
        <f aca="false">INDEX(Parametros_ANEC73!$I$4:$I$6,MATCH($C276,Parametros_ANEC73!$A$4:$A$6,0))</f>
        <v>0</v>
      </c>
      <c r="S276" s="35" t="n">
        <f aca="false">INDEX(Parametros_ANEC73!$L$4:$L$6,MATCH($C276,Parametros_ANEC73!$A$4:$A$6,0))</f>
        <v>0</v>
      </c>
      <c r="T276" s="39" t="n">
        <f aca="false">INDEX(Parametros_ANEC73!$B$14:$B$25,MATCH($B276,Parametros_ANEC73!$A$14:$A$25,0))</f>
        <v>326</v>
      </c>
      <c r="U276" s="40" t="n">
        <f aca="false">IF(OR($D276=0,$G276=""),0,$D276*($T276/100)*($L276*$Q276+$N276*(IF($R276="",$Q276,$R276)-$Q276)+$P276*(IF($S276="",IF($R276="",$Q276,$R276),$S276)-IF($R276="",$Q276,$R276))))</f>
        <v>0</v>
      </c>
      <c r="V276" s="41" t="str">
        <f aca="false">IF(OR($D276=0,$G276=""),"",IF($H276*($E276-INDEX(Parametros_ANEC73!$M$4:$M$6,MATCH($C276,Parametros_ANEC73!$A$4:$A$6,0)))&gt;0,"Sim","Nao"))</f>
        <v>Nao</v>
      </c>
      <c r="W276" s="27" t="str">
        <f aca="false">$A276&amp;"|"&amp;$B276&amp;"|"&amp;$C276</f>
        <v>ADM|Ago|Umidade</v>
      </c>
    </row>
    <row r="277" customFormat="false" ht="15" hidden="false" customHeight="false" outlineLevel="0" collapsed="false">
      <c r="A277" s="27" t="s">
        <v>46</v>
      </c>
      <c r="B277" s="27" t="s">
        <v>65</v>
      </c>
      <c r="C277" s="27" t="s">
        <v>111</v>
      </c>
      <c r="D277" s="34" t="n">
        <f aca="false">SUMIFS(Media_Cliente_Mes!$C$2:$C$145,Media_Cliente_Mes!$A$2:$A$145,$A277,Media_Cliente_Mes!$B$2:$B$145,$B277)</f>
        <v>11582.49</v>
      </c>
      <c r="E277" s="35" t="n">
        <f aca="false">IF($D277=0,"",IF($C277="Proteina",SUMIFS(Media_Cliente_Mes!$D$2:$D$145,Media_Cliente_Mes!$A$2:$A$145,$A277,Media_Cliente_Mes!$B$2:$B$145,$B277),IF($C277="Umidade",SUMIFS(Media_Cliente_Mes!$E$2:$E$145,Media_Cliente_Mes!$A$2:$A$145,$A277,Media_Cliente_Mes!$B$2:$B$145,$B277),SUMIFS(Media_Cliente_Mes!$F$2:$F$145,Media_Cliente_Mes!$A$2:$A$145,$A277,Media_Cliente_Mes!$B$2:$B$145,$B277))))</f>
        <v>3.75247210228543</v>
      </c>
      <c r="F277" s="35" t="n">
        <f aca="false">INDEX(Parametros_ANEC73!$C$4:$C$6,MATCH($C277,Parametros_ANEC73!$A$4:$A$6,0))</f>
        <v>3.5</v>
      </c>
      <c r="G277" s="35" t="n">
        <f aca="false">IF($C277="Proteina",INDEX(Media_Pool_Mes!$C$2:$C$13,MATCH($B277,Media_Pool_Mes!$A$2:$A$13,0)),IF($C277="Umidade",INDEX(Media_Pool_Mes!$D$2:$D$13,MATCH($B277,Media_Pool_Mes!$A$2:$A$13,0)),INDEX(Media_Pool_Mes!$E$2:$E$13,MATCH($B277,Media_Pool_Mes!$A$2:$A$13,0))))</f>
        <v>3.7692688740906</v>
      </c>
      <c r="H277" s="37" t="n">
        <f aca="false">INDEX(Parametros_ANEC73!$B$4:$B$6,MATCH($C277,Parametros_ANEC73!$A$4:$A$6,0))</f>
        <v>1</v>
      </c>
      <c r="I277" s="38" t="n">
        <f aca="false">IF(OR($D277=0,$G277=""),"",IF($H277*($G277-$F277)&gt;0,$G277,$F277))</f>
        <v>3.7692688740906</v>
      </c>
      <c r="J277" s="27" t="str">
        <f aca="false">IF(OR($D277=0,$G277=""),"",IF($H277*($G277-$F277)&gt;0,"Sim","Nao"))</f>
        <v>Sim</v>
      </c>
      <c r="K277" s="27" t="str">
        <f aca="false">IF(OR($D277=0,$G277=""),"",IF(AND($H277*($E277-$F277)&gt;0,$H277*($E277-$G277)&gt;0),"Sim","Nao"))</f>
        <v>Nao</v>
      </c>
      <c r="L277" s="38" t="n">
        <f aca="false">IF(OR($D277=0,$G277=""),0,IF($K277="Sim",MAX(0,$H277*($E277-$I277)),0))</f>
        <v>0</v>
      </c>
      <c r="M277" s="35" t="n">
        <f aca="false">INDEX(Parametros_ANEC73!$G$4:$G$6,MATCH($C277,Parametros_ANEC73!$A$4:$A$6,0))</f>
        <v>3.8</v>
      </c>
      <c r="N277" s="38" t="n">
        <f aca="false">IF(OR($D277=0,$G277=""),0,IF(AND($K277="Sim",$M277&lt;&gt;""),MAX(0,$H277*($E277-$M277)),0))</f>
        <v>0</v>
      </c>
      <c r="O277" s="35" t="n">
        <f aca="false">INDEX(Parametros_ANEC73!$J$4:$J$6,MATCH($C277,Parametros_ANEC73!$A$4:$A$6,0))</f>
        <v>4</v>
      </c>
      <c r="P277" s="38" t="n">
        <f aca="false">IF(OR($D277=0,$G277=""),0,IF(AND($K277="Sim",$O277&lt;&gt;""),MAX(0,$H277*($E277-$O277)),0))</f>
        <v>0</v>
      </c>
      <c r="Q277" s="35" t="n">
        <f aca="false">INDEX(Parametros_ANEC73!$F$4:$F$6,MATCH($C277,Parametros_ANEC73!$A$4:$A$6,0))</f>
        <v>1</v>
      </c>
      <c r="R277" s="35" t="n">
        <f aca="false">INDEX(Parametros_ANEC73!$I$4:$I$6,MATCH($C277,Parametros_ANEC73!$A$4:$A$6,0))</f>
        <v>1.5</v>
      </c>
      <c r="S277" s="35" t="n">
        <f aca="false">INDEX(Parametros_ANEC73!$L$4:$L$6,MATCH($C277,Parametros_ANEC73!$A$4:$A$6,0))</f>
        <v>2</v>
      </c>
      <c r="T277" s="39" t="n">
        <f aca="false">INDEX(Parametros_ANEC73!$B$14:$B$25,MATCH($B277,Parametros_ANEC73!$A$14:$A$25,0))</f>
        <v>326</v>
      </c>
      <c r="U277" s="40" t="n">
        <f aca="false">IF(OR($D277=0,$G277=""),0,$D277*($T277/100)*($L277*$Q277+$N277*(IF($R277="",$Q277,$R277)-$Q277)+$P277*(IF($S277="",IF($R277="",$Q277,$R277),$S277)-IF($R277="",$Q277,$R277))))</f>
        <v>0</v>
      </c>
      <c r="V277" s="41" t="str">
        <f aca="false">IF(OR($D277=0,$G277=""),"",IF($H277*($E277-INDEX(Parametros_ANEC73!$M$4:$M$6,MATCH($C277,Parametros_ANEC73!$A$4:$A$6,0)))&gt;0,"Sim","Nao"))</f>
        <v>Nao</v>
      </c>
      <c r="W277" s="27" t="str">
        <f aca="false">$A277&amp;"|"&amp;$B277&amp;"|"&amp;$C277</f>
        <v>ADM|Ago|Fibra</v>
      </c>
    </row>
    <row r="278" customFormat="false" ht="15" hidden="false" customHeight="false" outlineLevel="0" collapsed="false">
      <c r="A278" s="27" t="s">
        <v>46</v>
      </c>
      <c r="B278" s="27" t="s">
        <v>66</v>
      </c>
      <c r="C278" s="27" t="s">
        <v>109</v>
      </c>
      <c r="D278" s="34" t="n">
        <f aca="false">SUMIFS(Media_Cliente_Mes!$C$2:$C$145,Media_Cliente_Mes!$A$2:$A$145,$A278,Media_Cliente_Mes!$B$2:$B$145,$B278)</f>
        <v>3730.96</v>
      </c>
      <c r="E278" s="35" t="n">
        <f aca="false">IF($D278=0,"",IF($C278="Proteina",SUMIFS(Media_Cliente_Mes!$D$2:$D$145,Media_Cliente_Mes!$A$2:$A$145,$A278,Media_Cliente_Mes!$B$2:$B$145,$B278),IF($C278="Umidade",SUMIFS(Media_Cliente_Mes!$E$2:$E$145,Media_Cliente_Mes!$A$2:$A$145,$A278,Media_Cliente_Mes!$B$2:$B$145,$B278),SUMIFS(Media_Cliente_Mes!$F$2:$F$145,Media_Cliente_Mes!$A$2:$A$145,$A278,Media_Cliente_Mes!$B$2:$B$145,$B278))))</f>
        <v>47.3</v>
      </c>
      <c r="F278" s="35" t="n">
        <f aca="false">INDEX(Parametros_ANEC73!$C$4:$C$6,MATCH($C278,Parametros_ANEC73!$A$4:$A$6,0))</f>
        <v>48</v>
      </c>
      <c r="G278" s="35" t="n">
        <f aca="false">IF($C278="Proteina",INDEX(Media_Pool_Mes!$C$2:$C$13,MATCH($B278,Media_Pool_Mes!$A$2:$A$13,0)),IF($C278="Umidade",INDEX(Media_Pool_Mes!$D$2:$D$13,MATCH($B278,Media_Pool_Mes!$A$2:$A$13,0)),INDEX(Media_Pool_Mes!$E$2:$E$13,MATCH($B278,Media_Pool_Mes!$A$2:$A$13,0))))</f>
        <v>47.5387514497333</v>
      </c>
      <c r="H278" s="37" t="n">
        <f aca="false">INDEX(Parametros_ANEC73!$B$4:$B$6,MATCH($C278,Parametros_ANEC73!$A$4:$A$6,0))</f>
        <v>-1</v>
      </c>
      <c r="I278" s="38" t="n">
        <f aca="false">IF(OR($D278=0,$G278=""),"",IF($H278*($G278-$F278)&gt;0,$G278,$F278))</f>
        <v>47.5387514497333</v>
      </c>
      <c r="J278" s="27" t="str">
        <f aca="false">IF(OR($D278=0,$G278=""),"",IF($H278*($G278-$F278)&gt;0,"Sim","Nao"))</f>
        <v>Sim</v>
      </c>
      <c r="K278" s="27" t="str">
        <f aca="false">IF(OR($D278=0,$G278=""),"",IF(AND($H278*($E278-$F278)&gt;0,$H278*($E278-$G278)&gt;0),"Sim","Nao"))</f>
        <v>Sim</v>
      </c>
      <c r="L278" s="38" t="n">
        <f aca="false">IF(OR($D278=0,$G278=""),0,IF($K278="Sim",MAX(0,$H278*($E278-$I278)),0))</f>
        <v>0.238751449733279</v>
      </c>
      <c r="M278" s="35" t="n">
        <f aca="false">INDEX(Parametros_ANEC73!$G$4:$G$6,MATCH($C278,Parametros_ANEC73!$A$4:$A$6,0))</f>
        <v>47</v>
      </c>
      <c r="N278" s="38" t="n">
        <f aca="false">IF(OR($D278=0,$G278=""),0,IF(AND($K278="Sim",$M278&lt;&gt;""),MAX(0,$H278*($E278-$M278)),0))</f>
        <v>0</v>
      </c>
      <c r="O278" s="35" t="n">
        <f aca="false">INDEX(Parametros_ANEC73!$J$4:$J$6,MATCH($C278,Parametros_ANEC73!$A$4:$A$6,0))</f>
        <v>0</v>
      </c>
      <c r="P278" s="38" t="n">
        <f aca="false">IF(OR($D278=0,$G278=""),0,IF(AND($K278="Sim",$O278&lt;&gt;""),MAX(0,$H278*($E278-$O278)),0))</f>
        <v>0</v>
      </c>
      <c r="Q278" s="35" t="n">
        <f aca="false">INDEX(Parametros_ANEC73!$F$4:$F$6,MATCH($C278,Parametros_ANEC73!$A$4:$A$6,0))</f>
        <v>1</v>
      </c>
      <c r="R278" s="35" t="n">
        <f aca="false">INDEX(Parametros_ANEC73!$I$4:$I$6,MATCH($C278,Parametros_ANEC73!$A$4:$A$6,0))</f>
        <v>2</v>
      </c>
      <c r="S278" s="35" t="n">
        <f aca="false">INDEX(Parametros_ANEC73!$L$4:$L$6,MATCH($C278,Parametros_ANEC73!$A$4:$A$6,0))</f>
        <v>0</v>
      </c>
      <c r="T278" s="39" t="n">
        <f aca="false">INDEX(Parametros_ANEC73!$B$14:$B$25,MATCH($B278,Parametros_ANEC73!$A$14:$A$25,0))</f>
        <v>326</v>
      </c>
      <c r="U278" s="40" t="n">
        <f aca="false">IF(OR($D278=0,$G278=""),0,$D278*($T278/100)*($L278*$Q278+$N278*(IF($R278="",$Q278,$R278)-$Q278)+$P278*(IF($S278="",IF($R278="",$Q278,$R278),$S278)-IF($R278="",$Q278,$R278))))</f>
        <v>2903.91707500381</v>
      </c>
      <c r="V278" s="41" t="str">
        <f aca="false">IF(OR($D278=0,$G278=""),"",IF($H278*($E278-INDEX(Parametros_ANEC73!$M$4:$M$6,MATCH($C278,Parametros_ANEC73!$A$4:$A$6,0)))&gt;0,"Sim","Nao"))</f>
        <v>Nao</v>
      </c>
      <c r="W278" s="27" t="str">
        <f aca="false">$A278&amp;"|"&amp;$B278&amp;"|"&amp;$C278</f>
        <v>ADM|Set|Proteina</v>
      </c>
    </row>
    <row r="279" customFormat="false" ht="15" hidden="false" customHeight="false" outlineLevel="0" collapsed="false">
      <c r="A279" s="27" t="s">
        <v>46</v>
      </c>
      <c r="B279" s="27" t="s">
        <v>66</v>
      </c>
      <c r="C279" s="27" t="s">
        <v>110</v>
      </c>
      <c r="D279" s="34" t="n">
        <f aca="false">SUMIFS(Media_Cliente_Mes!$C$2:$C$145,Media_Cliente_Mes!$A$2:$A$145,$A279,Media_Cliente_Mes!$B$2:$B$145,$B279)</f>
        <v>3730.96</v>
      </c>
      <c r="E279" s="35" t="n">
        <f aca="false">IF($D279=0,"",IF($C279="Proteina",SUMIFS(Media_Cliente_Mes!$D$2:$D$145,Media_Cliente_Mes!$A$2:$A$145,$A279,Media_Cliente_Mes!$B$2:$B$145,$B279),IF($C279="Umidade",SUMIFS(Media_Cliente_Mes!$E$2:$E$145,Media_Cliente_Mes!$A$2:$A$145,$A279,Media_Cliente_Mes!$B$2:$B$145,$B279),SUMIFS(Media_Cliente_Mes!$F$2:$F$145,Media_Cliente_Mes!$A$2:$A$145,$A279,Media_Cliente_Mes!$B$2:$B$145,$B279))))</f>
        <v>12.52</v>
      </c>
      <c r="F279" s="35" t="n">
        <f aca="false">INDEX(Parametros_ANEC73!$C$4:$C$6,MATCH($C279,Parametros_ANEC73!$A$4:$A$6,0))</f>
        <v>12.5</v>
      </c>
      <c r="G279" s="35" t="n">
        <f aca="false">IF($C279="Proteina",INDEX(Media_Pool_Mes!$C$2:$C$13,MATCH($B279,Media_Pool_Mes!$A$2:$A$13,0)),IF($C279="Umidade",INDEX(Media_Pool_Mes!$D$2:$D$13,MATCH($B279,Media_Pool_Mes!$A$2:$A$13,0)),INDEX(Media_Pool_Mes!$E$2:$E$13,MATCH($B279,Media_Pool_Mes!$A$2:$A$13,0))))</f>
        <v>12.4774576939468</v>
      </c>
      <c r="H279" s="37" t="n">
        <f aca="false">INDEX(Parametros_ANEC73!$B$4:$B$6,MATCH($C279,Parametros_ANEC73!$A$4:$A$6,0))</f>
        <v>1</v>
      </c>
      <c r="I279" s="38" t="n">
        <f aca="false">IF(OR($D279=0,$G279=""),"",IF($H279*($G279-$F279)&gt;0,$G279,$F279))</f>
        <v>12.5</v>
      </c>
      <c r="J279" s="27" t="str">
        <f aca="false">IF(OR($D279=0,$G279=""),"",IF($H279*($G279-$F279)&gt;0,"Sim","Nao"))</f>
        <v>Nao</v>
      </c>
      <c r="K279" s="27" t="str">
        <f aca="false">IF(OR($D279=0,$G279=""),"",IF(AND($H279*($E279-$F279)&gt;0,$H279*($E279-$G279)&gt;0),"Sim","Nao"))</f>
        <v>Sim</v>
      </c>
      <c r="L279" s="38" t="n">
        <f aca="false">IF(OR($D279=0,$G279=""),0,IF($K279="Sim",MAX(0,$H279*($E279-$I279)),0))</f>
        <v>0.0199999999999996</v>
      </c>
      <c r="M279" s="35" t="n">
        <f aca="false">INDEX(Parametros_ANEC73!$G$4:$G$6,MATCH($C279,Parametros_ANEC73!$A$4:$A$6,0))</f>
        <v>0</v>
      </c>
      <c r="N279" s="38" t="n">
        <f aca="false">IF(OR($D279=0,$G279=""),0,IF(AND($K279="Sim",$M279&lt;&gt;""),MAX(0,$H279*($E279-$M279)),0))</f>
        <v>0</v>
      </c>
      <c r="O279" s="35" t="n">
        <f aca="false">INDEX(Parametros_ANEC73!$J$4:$J$6,MATCH($C279,Parametros_ANEC73!$A$4:$A$6,0))</f>
        <v>0</v>
      </c>
      <c r="P279" s="38" t="n">
        <f aca="false">IF(OR($D279=0,$G279=""),0,IF(AND($K279="Sim",$O279&lt;&gt;""),MAX(0,$H279*($E279-$O279)),0))</f>
        <v>0</v>
      </c>
      <c r="Q279" s="35" t="n">
        <f aca="false">INDEX(Parametros_ANEC73!$F$4:$F$6,MATCH($C279,Parametros_ANEC73!$A$4:$A$6,0))</f>
        <v>1</v>
      </c>
      <c r="R279" s="35" t="n">
        <f aca="false">INDEX(Parametros_ANEC73!$I$4:$I$6,MATCH($C279,Parametros_ANEC73!$A$4:$A$6,0))</f>
        <v>0</v>
      </c>
      <c r="S279" s="35" t="n">
        <f aca="false">INDEX(Parametros_ANEC73!$L$4:$L$6,MATCH($C279,Parametros_ANEC73!$A$4:$A$6,0))</f>
        <v>0</v>
      </c>
      <c r="T279" s="39" t="n">
        <f aca="false">INDEX(Parametros_ANEC73!$B$14:$B$25,MATCH($B279,Parametros_ANEC73!$A$14:$A$25,0))</f>
        <v>326</v>
      </c>
      <c r="U279" s="40" t="n">
        <f aca="false">IF(OR($D279=0,$G279=""),0,$D279*($T279/100)*($L279*$Q279+$N279*(IF($R279="",$Q279,$R279)-$Q279)+$P279*(IF($S279="",IF($R279="",$Q279,$R279),$S279)-IF($R279="",$Q279,$R279))))</f>
        <v>243.258591999995</v>
      </c>
      <c r="V279" s="41" t="str">
        <f aca="false">IF(OR($D279=0,$G279=""),"",IF($H279*($E279-INDEX(Parametros_ANEC73!$M$4:$M$6,MATCH($C279,Parametros_ANEC73!$A$4:$A$6,0)))&gt;0,"Sim","Nao"))</f>
        <v>Nao</v>
      </c>
      <c r="W279" s="27" t="str">
        <f aca="false">$A279&amp;"|"&amp;$B279&amp;"|"&amp;$C279</f>
        <v>ADM|Set|Umidade</v>
      </c>
    </row>
    <row r="280" customFormat="false" ht="15" hidden="false" customHeight="false" outlineLevel="0" collapsed="false">
      <c r="A280" s="27" t="s">
        <v>46</v>
      </c>
      <c r="B280" s="27" t="s">
        <v>66</v>
      </c>
      <c r="C280" s="27" t="s">
        <v>111</v>
      </c>
      <c r="D280" s="34" t="n">
        <f aca="false">SUMIFS(Media_Cliente_Mes!$C$2:$C$145,Media_Cliente_Mes!$A$2:$A$145,$A280,Media_Cliente_Mes!$B$2:$B$145,$B280)</f>
        <v>3730.96</v>
      </c>
      <c r="E280" s="35" t="n">
        <f aca="false">IF($D280=0,"",IF($C280="Proteina",SUMIFS(Media_Cliente_Mes!$D$2:$D$145,Media_Cliente_Mes!$A$2:$A$145,$A280,Media_Cliente_Mes!$B$2:$B$145,$B280),IF($C280="Umidade",SUMIFS(Media_Cliente_Mes!$E$2:$E$145,Media_Cliente_Mes!$A$2:$A$145,$A280,Media_Cliente_Mes!$B$2:$B$145,$B280),SUMIFS(Media_Cliente_Mes!$F$2:$F$145,Media_Cliente_Mes!$A$2:$A$145,$A280,Media_Cliente_Mes!$B$2:$B$145,$B280))))</f>
        <v>3.82</v>
      </c>
      <c r="F280" s="35" t="n">
        <f aca="false">INDEX(Parametros_ANEC73!$C$4:$C$6,MATCH($C280,Parametros_ANEC73!$A$4:$A$6,0))</f>
        <v>3.5</v>
      </c>
      <c r="G280" s="35" t="n">
        <f aca="false">IF($C280="Proteina",INDEX(Media_Pool_Mes!$C$2:$C$13,MATCH($B280,Media_Pool_Mes!$A$2:$A$13,0)),IF($C280="Umidade",INDEX(Media_Pool_Mes!$D$2:$D$13,MATCH($B280,Media_Pool_Mes!$A$2:$A$13,0)),INDEX(Media_Pool_Mes!$E$2:$E$13,MATCH($B280,Media_Pool_Mes!$A$2:$A$13,0))))</f>
        <v>3.7061372169236</v>
      </c>
      <c r="H280" s="37" t="n">
        <f aca="false">INDEX(Parametros_ANEC73!$B$4:$B$6,MATCH($C280,Parametros_ANEC73!$A$4:$A$6,0))</f>
        <v>1</v>
      </c>
      <c r="I280" s="38" t="n">
        <f aca="false">IF(OR($D280=0,$G280=""),"",IF($H280*($G280-$F280)&gt;0,$G280,$F280))</f>
        <v>3.7061372169236</v>
      </c>
      <c r="J280" s="27" t="str">
        <f aca="false">IF(OR($D280=0,$G280=""),"",IF($H280*($G280-$F280)&gt;0,"Sim","Nao"))</f>
        <v>Sim</v>
      </c>
      <c r="K280" s="27" t="str">
        <f aca="false">IF(OR($D280=0,$G280=""),"",IF(AND($H280*($E280-$F280)&gt;0,$H280*($E280-$G280)&gt;0),"Sim","Nao"))</f>
        <v>Sim</v>
      </c>
      <c r="L280" s="38" t="n">
        <f aca="false">IF(OR($D280=0,$G280=""),0,IF($K280="Sim",MAX(0,$H280*($E280-$I280)),0))</f>
        <v>0.113862783076403</v>
      </c>
      <c r="M280" s="35" t="n">
        <f aca="false">INDEX(Parametros_ANEC73!$G$4:$G$6,MATCH($C280,Parametros_ANEC73!$A$4:$A$6,0))</f>
        <v>3.8</v>
      </c>
      <c r="N280" s="38" t="n">
        <f aca="false">IF(OR($D280=0,$G280=""),0,IF(AND($K280="Sim",$M280&lt;&gt;""),MAX(0,$H280*($E280-$M280)),0))</f>
        <v>0.02</v>
      </c>
      <c r="O280" s="35" t="n">
        <f aca="false">INDEX(Parametros_ANEC73!$J$4:$J$6,MATCH($C280,Parametros_ANEC73!$A$4:$A$6,0))</f>
        <v>4</v>
      </c>
      <c r="P280" s="38" t="n">
        <f aca="false">IF(OR($D280=0,$G280=""),0,IF(AND($K280="Sim",$O280&lt;&gt;""),MAX(0,$H280*($E280-$O280)),0))</f>
        <v>0</v>
      </c>
      <c r="Q280" s="35" t="n">
        <f aca="false">INDEX(Parametros_ANEC73!$F$4:$F$6,MATCH($C280,Parametros_ANEC73!$A$4:$A$6,0))</f>
        <v>1</v>
      </c>
      <c r="R280" s="35" t="n">
        <f aca="false">INDEX(Parametros_ANEC73!$I$4:$I$6,MATCH($C280,Parametros_ANEC73!$A$4:$A$6,0))</f>
        <v>1.5</v>
      </c>
      <c r="S280" s="35" t="n">
        <f aca="false">INDEX(Parametros_ANEC73!$L$4:$L$6,MATCH($C280,Parametros_ANEC73!$A$4:$A$6,0))</f>
        <v>2</v>
      </c>
      <c r="T280" s="39" t="n">
        <f aca="false">INDEX(Parametros_ANEC73!$B$14:$B$25,MATCH($B280,Parametros_ANEC73!$A$14:$A$25,0))</f>
        <v>326</v>
      </c>
      <c r="U280" s="40" t="n">
        <f aca="false">IF(OR($D280=0,$G280=""),0,$D280*($T280/100)*($L280*$Q280+$N280*(IF($R280="",$Q280,$R280)-$Q280)+$P280*(IF($S280="",IF($R280="",$Q280,$R280),$S280)-IF($R280="",$Q280,$R280))))</f>
        <v>1506.53431061837</v>
      </c>
      <c r="V280" s="41" t="str">
        <f aca="false">IF(OR($D280=0,$G280=""),"",IF($H280*($E280-INDEX(Parametros_ANEC73!$M$4:$M$6,MATCH($C280,Parametros_ANEC73!$A$4:$A$6,0)))&gt;0,"Sim","Nao"))</f>
        <v>Nao</v>
      </c>
      <c r="W280" s="27" t="str">
        <f aca="false">$A280&amp;"|"&amp;$B280&amp;"|"&amp;$C280</f>
        <v>ADM|Set|Fibra</v>
      </c>
    </row>
    <row r="281" customFormat="false" ht="15" hidden="false" customHeight="false" outlineLevel="0" collapsed="false">
      <c r="A281" s="27" t="s">
        <v>46</v>
      </c>
      <c r="B281" s="27" t="s">
        <v>67</v>
      </c>
      <c r="C281" s="27" t="s">
        <v>109</v>
      </c>
      <c r="D281" s="34" t="n">
        <f aca="false">SUMIFS(Media_Cliente_Mes!$C$2:$C$145,Media_Cliente_Mes!$A$2:$A$145,$A281,Media_Cliente_Mes!$B$2:$B$145,$B281)</f>
        <v>0</v>
      </c>
      <c r="E281" s="35" t="str">
        <f aca="false">IF($D281=0,"",IF($C281="Proteina",SUMIFS(Media_Cliente_Mes!$D$2:$D$145,Media_Cliente_Mes!$A$2:$A$145,$A281,Media_Cliente_Mes!$B$2:$B$145,$B281),IF($C281="Umidade",SUMIFS(Media_Cliente_Mes!$E$2:$E$145,Media_Cliente_Mes!$A$2:$A$145,$A281,Media_Cliente_Mes!$B$2:$B$145,$B281),SUMIFS(Media_Cliente_Mes!$F$2:$F$145,Media_Cliente_Mes!$A$2:$A$145,$A281,Media_Cliente_Mes!$B$2:$B$145,$B281))))</f>
        <v/>
      </c>
      <c r="F281" s="35" t="n">
        <f aca="false">INDEX(Parametros_ANEC73!$C$4:$C$6,MATCH($C281,Parametros_ANEC73!$A$4:$A$6,0))</f>
        <v>48</v>
      </c>
      <c r="G281" s="35" t="str">
        <f aca="false">IF($C281="Proteina",INDEX(Media_Pool_Mes!$C$2:$C$13,MATCH($B281,Media_Pool_Mes!$A$2:$A$13,0)),IF($C281="Umidade",INDEX(Media_Pool_Mes!$D$2:$D$13,MATCH($B281,Media_Pool_Mes!$A$2:$A$13,0)),INDEX(Media_Pool_Mes!$E$2:$E$13,MATCH($B281,Media_Pool_Mes!$A$2:$A$13,0))))</f>
        <v/>
      </c>
      <c r="H281" s="37" t="n">
        <f aca="false">INDEX(Parametros_ANEC73!$B$4:$B$6,MATCH($C281,Parametros_ANEC73!$A$4:$A$6,0))</f>
        <v>-1</v>
      </c>
      <c r="I281" s="38" t="str">
        <f aca="false">IF(OR($D281=0,$G281=""),"",IF($H281*($G281-$F281)&gt;0,$G281,$F281))</f>
        <v/>
      </c>
      <c r="J281" s="27" t="str">
        <f aca="false">IF(OR($D281=0,$G281=""),"",IF($H281*($G281-$F281)&gt;0,"Sim","Nao"))</f>
        <v/>
      </c>
      <c r="K281" s="27" t="str">
        <f aca="false">IF(OR($D281=0,$G281=""),"",IF(AND($H281*($E281-$F281)&gt;0,$H281*($E281-$G281)&gt;0),"Sim","Nao"))</f>
        <v/>
      </c>
      <c r="L281" s="38" t="n">
        <f aca="false">IF(OR($D281=0,$G281=""),0,IF($K281="Sim",MAX(0,$H281*($E281-$I281)),0))</f>
        <v>0</v>
      </c>
      <c r="M281" s="35" t="n">
        <f aca="false">INDEX(Parametros_ANEC73!$G$4:$G$6,MATCH($C281,Parametros_ANEC73!$A$4:$A$6,0))</f>
        <v>47</v>
      </c>
      <c r="N281" s="38" t="n">
        <f aca="false">IF(OR($D281=0,$G281=""),0,IF(AND($K281="Sim",$M281&lt;&gt;""),MAX(0,$H281*($E281-$M281)),0))</f>
        <v>0</v>
      </c>
      <c r="O281" s="35" t="n">
        <f aca="false">INDEX(Parametros_ANEC73!$J$4:$J$6,MATCH($C281,Parametros_ANEC73!$A$4:$A$6,0))</f>
        <v>0</v>
      </c>
      <c r="P281" s="38" t="n">
        <f aca="false">IF(OR($D281=0,$G281=""),0,IF(AND($K281="Sim",$O281&lt;&gt;""),MAX(0,$H281*($E281-$O281)),0))</f>
        <v>0</v>
      </c>
      <c r="Q281" s="35" t="n">
        <f aca="false">INDEX(Parametros_ANEC73!$F$4:$F$6,MATCH($C281,Parametros_ANEC73!$A$4:$A$6,0))</f>
        <v>1</v>
      </c>
      <c r="R281" s="35" t="n">
        <f aca="false">INDEX(Parametros_ANEC73!$I$4:$I$6,MATCH($C281,Parametros_ANEC73!$A$4:$A$6,0))</f>
        <v>2</v>
      </c>
      <c r="S281" s="35" t="n">
        <f aca="false">INDEX(Parametros_ANEC73!$L$4:$L$6,MATCH($C281,Parametros_ANEC73!$A$4:$A$6,0))</f>
        <v>0</v>
      </c>
      <c r="T281" s="39" t="n">
        <f aca="false">INDEX(Parametros_ANEC73!$B$14:$B$25,MATCH($B281,Parametros_ANEC73!$A$14:$A$25,0))</f>
        <v>0</v>
      </c>
      <c r="U281" s="40" t="n">
        <f aca="false">IF(OR($D281=0,$G281=""),0,$D281*($T281/100)*($L281*$Q281+$N281*(IF($R281="",$Q281,$R281)-$Q281)+$P281*(IF($S281="",IF($R281="",$Q281,$R281),$S281)-IF($R281="",$Q281,$R281))))</f>
        <v>0</v>
      </c>
      <c r="V281" s="41" t="str">
        <f aca="false">IF(OR($D281=0,$G281=""),"",IF($H281*($E281-INDEX(Parametros_ANEC73!$M$4:$M$6,MATCH($C281,Parametros_ANEC73!$A$4:$A$6,0)))&gt;0,"Sim","Nao"))</f>
        <v/>
      </c>
      <c r="W281" s="27" t="str">
        <f aca="false">$A281&amp;"|"&amp;$B281&amp;"|"&amp;$C281</f>
        <v>ADM|Out|Proteina</v>
      </c>
    </row>
    <row r="282" customFormat="false" ht="15" hidden="false" customHeight="false" outlineLevel="0" collapsed="false">
      <c r="A282" s="27" t="s">
        <v>46</v>
      </c>
      <c r="B282" s="27" t="s">
        <v>67</v>
      </c>
      <c r="C282" s="27" t="s">
        <v>110</v>
      </c>
      <c r="D282" s="34" t="n">
        <f aca="false">SUMIFS(Media_Cliente_Mes!$C$2:$C$145,Media_Cliente_Mes!$A$2:$A$145,$A282,Media_Cliente_Mes!$B$2:$B$145,$B282)</f>
        <v>0</v>
      </c>
      <c r="E282" s="35" t="str">
        <f aca="false">IF($D282=0,"",IF($C282="Proteina",SUMIFS(Media_Cliente_Mes!$D$2:$D$145,Media_Cliente_Mes!$A$2:$A$145,$A282,Media_Cliente_Mes!$B$2:$B$145,$B282),IF($C282="Umidade",SUMIFS(Media_Cliente_Mes!$E$2:$E$145,Media_Cliente_Mes!$A$2:$A$145,$A282,Media_Cliente_Mes!$B$2:$B$145,$B282),SUMIFS(Media_Cliente_Mes!$F$2:$F$145,Media_Cliente_Mes!$A$2:$A$145,$A282,Media_Cliente_Mes!$B$2:$B$145,$B282))))</f>
        <v/>
      </c>
      <c r="F282" s="35" t="n">
        <f aca="false">INDEX(Parametros_ANEC73!$C$4:$C$6,MATCH($C282,Parametros_ANEC73!$A$4:$A$6,0))</f>
        <v>12.5</v>
      </c>
      <c r="G282" s="35" t="str">
        <f aca="false">IF($C282="Proteina",INDEX(Media_Pool_Mes!$C$2:$C$13,MATCH($B282,Media_Pool_Mes!$A$2:$A$13,0)),IF($C282="Umidade",INDEX(Media_Pool_Mes!$D$2:$D$13,MATCH($B282,Media_Pool_Mes!$A$2:$A$13,0)),INDEX(Media_Pool_Mes!$E$2:$E$13,MATCH($B282,Media_Pool_Mes!$A$2:$A$13,0))))</f>
        <v/>
      </c>
      <c r="H282" s="37" t="n">
        <f aca="false">INDEX(Parametros_ANEC73!$B$4:$B$6,MATCH($C282,Parametros_ANEC73!$A$4:$A$6,0))</f>
        <v>1</v>
      </c>
      <c r="I282" s="38" t="str">
        <f aca="false">IF(OR($D282=0,$G282=""),"",IF($H282*($G282-$F282)&gt;0,$G282,$F282))</f>
        <v/>
      </c>
      <c r="J282" s="27" t="str">
        <f aca="false">IF(OR($D282=0,$G282=""),"",IF($H282*($G282-$F282)&gt;0,"Sim","Nao"))</f>
        <v/>
      </c>
      <c r="K282" s="27" t="str">
        <f aca="false">IF(OR($D282=0,$G282=""),"",IF(AND($H282*($E282-$F282)&gt;0,$H282*($E282-$G282)&gt;0),"Sim","Nao"))</f>
        <v/>
      </c>
      <c r="L282" s="38" t="n">
        <f aca="false">IF(OR($D282=0,$G282=""),0,IF($K282="Sim",MAX(0,$H282*($E282-$I282)),0))</f>
        <v>0</v>
      </c>
      <c r="M282" s="35" t="n">
        <f aca="false">INDEX(Parametros_ANEC73!$G$4:$G$6,MATCH($C282,Parametros_ANEC73!$A$4:$A$6,0))</f>
        <v>0</v>
      </c>
      <c r="N282" s="38" t="n">
        <f aca="false">IF(OR($D282=0,$G282=""),0,IF(AND($K282="Sim",$M282&lt;&gt;""),MAX(0,$H282*($E282-$M282)),0))</f>
        <v>0</v>
      </c>
      <c r="O282" s="35" t="n">
        <f aca="false">INDEX(Parametros_ANEC73!$J$4:$J$6,MATCH($C282,Parametros_ANEC73!$A$4:$A$6,0))</f>
        <v>0</v>
      </c>
      <c r="P282" s="38" t="n">
        <f aca="false">IF(OR($D282=0,$G282=""),0,IF(AND($K282="Sim",$O282&lt;&gt;""),MAX(0,$H282*($E282-$O282)),0))</f>
        <v>0</v>
      </c>
      <c r="Q282" s="35" t="n">
        <f aca="false">INDEX(Parametros_ANEC73!$F$4:$F$6,MATCH($C282,Parametros_ANEC73!$A$4:$A$6,0))</f>
        <v>1</v>
      </c>
      <c r="R282" s="35" t="n">
        <f aca="false">INDEX(Parametros_ANEC73!$I$4:$I$6,MATCH($C282,Parametros_ANEC73!$A$4:$A$6,0))</f>
        <v>0</v>
      </c>
      <c r="S282" s="35" t="n">
        <f aca="false">INDEX(Parametros_ANEC73!$L$4:$L$6,MATCH($C282,Parametros_ANEC73!$A$4:$A$6,0))</f>
        <v>0</v>
      </c>
      <c r="T282" s="39" t="n">
        <f aca="false">INDEX(Parametros_ANEC73!$B$14:$B$25,MATCH($B282,Parametros_ANEC73!$A$14:$A$25,0))</f>
        <v>0</v>
      </c>
      <c r="U282" s="40" t="n">
        <f aca="false">IF(OR($D282=0,$G282=""),0,$D282*($T282/100)*($L282*$Q282+$N282*(IF($R282="",$Q282,$R282)-$Q282)+$P282*(IF($S282="",IF($R282="",$Q282,$R282),$S282)-IF($R282="",$Q282,$R282))))</f>
        <v>0</v>
      </c>
      <c r="V282" s="41" t="str">
        <f aca="false">IF(OR($D282=0,$G282=""),"",IF($H282*($E282-INDEX(Parametros_ANEC73!$M$4:$M$6,MATCH($C282,Parametros_ANEC73!$A$4:$A$6,0)))&gt;0,"Sim","Nao"))</f>
        <v/>
      </c>
      <c r="W282" s="27" t="str">
        <f aca="false">$A282&amp;"|"&amp;$B282&amp;"|"&amp;$C282</f>
        <v>ADM|Out|Umidade</v>
      </c>
    </row>
    <row r="283" customFormat="false" ht="15" hidden="false" customHeight="false" outlineLevel="0" collapsed="false">
      <c r="A283" s="27" t="s">
        <v>46</v>
      </c>
      <c r="B283" s="27" t="s">
        <v>67</v>
      </c>
      <c r="C283" s="27" t="s">
        <v>111</v>
      </c>
      <c r="D283" s="34" t="n">
        <f aca="false">SUMIFS(Media_Cliente_Mes!$C$2:$C$145,Media_Cliente_Mes!$A$2:$A$145,$A283,Media_Cliente_Mes!$B$2:$B$145,$B283)</f>
        <v>0</v>
      </c>
      <c r="E283" s="35" t="str">
        <f aca="false">IF($D283=0,"",IF($C283="Proteina",SUMIFS(Media_Cliente_Mes!$D$2:$D$145,Media_Cliente_Mes!$A$2:$A$145,$A283,Media_Cliente_Mes!$B$2:$B$145,$B283),IF($C283="Umidade",SUMIFS(Media_Cliente_Mes!$E$2:$E$145,Media_Cliente_Mes!$A$2:$A$145,$A283,Media_Cliente_Mes!$B$2:$B$145,$B283),SUMIFS(Media_Cliente_Mes!$F$2:$F$145,Media_Cliente_Mes!$A$2:$A$145,$A283,Media_Cliente_Mes!$B$2:$B$145,$B283))))</f>
        <v/>
      </c>
      <c r="F283" s="35" t="n">
        <f aca="false">INDEX(Parametros_ANEC73!$C$4:$C$6,MATCH($C283,Parametros_ANEC73!$A$4:$A$6,0))</f>
        <v>3.5</v>
      </c>
      <c r="G283" s="35" t="str">
        <f aca="false">IF($C283="Proteina",INDEX(Media_Pool_Mes!$C$2:$C$13,MATCH($B283,Media_Pool_Mes!$A$2:$A$13,0)),IF($C283="Umidade",INDEX(Media_Pool_Mes!$D$2:$D$13,MATCH($B283,Media_Pool_Mes!$A$2:$A$13,0)),INDEX(Media_Pool_Mes!$E$2:$E$13,MATCH($B283,Media_Pool_Mes!$A$2:$A$13,0))))</f>
        <v/>
      </c>
      <c r="H283" s="37" t="n">
        <f aca="false">INDEX(Parametros_ANEC73!$B$4:$B$6,MATCH($C283,Parametros_ANEC73!$A$4:$A$6,0))</f>
        <v>1</v>
      </c>
      <c r="I283" s="38" t="str">
        <f aca="false">IF(OR($D283=0,$G283=""),"",IF($H283*($G283-$F283)&gt;0,$G283,$F283))</f>
        <v/>
      </c>
      <c r="J283" s="27" t="str">
        <f aca="false">IF(OR($D283=0,$G283=""),"",IF($H283*($G283-$F283)&gt;0,"Sim","Nao"))</f>
        <v/>
      </c>
      <c r="K283" s="27" t="str">
        <f aca="false">IF(OR($D283=0,$G283=""),"",IF(AND($H283*($E283-$F283)&gt;0,$H283*($E283-$G283)&gt;0),"Sim","Nao"))</f>
        <v/>
      </c>
      <c r="L283" s="38" t="n">
        <f aca="false">IF(OR($D283=0,$G283=""),0,IF($K283="Sim",MAX(0,$H283*($E283-$I283)),0))</f>
        <v>0</v>
      </c>
      <c r="M283" s="35" t="n">
        <f aca="false">INDEX(Parametros_ANEC73!$G$4:$G$6,MATCH($C283,Parametros_ANEC73!$A$4:$A$6,0))</f>
        <v>3.8</v>
      </c>
      <c r="N283" s="38" t="n">
        <f aca="false">IF(OR($D283=0,$G283=""),0,IF(AND($K283="Sim",$M283&lt;&gt;""),MAX(0,$H283*($E283-$M283)),0))</f>
        <v>0</v>
      </c>
      <c r="O283" s="35" t="n">
        <f aca="false">INDEX(Parametros_ANEC73!$J$4:$J$6,MATCH($C283,Parametros_ANEC73!$A$4:$A$6,0))</f>
        <v>4</v>
      </c>
      <c r="P283" s="38" t="n">
        <f aca="false">IF(OR($D283=0,$G283=""),0,IF(AND($K283="Sim",$O283&lt;&gt;""),MAX(0,$H283*($E283-$O283)),0))</f>
        <v>0</v>
      </c>
      <c r="Q283" s="35" t="n">
        <f aca="false">INDEX(Parametros_ANEC73!$F$4:$F$6,MATCH($C283,Parametros_ANEC73!$A$4:$A$6,0))</f>
        <v>1</v>
      </c>
      <c r="R283" s="35" t="n">
        <f aca="false">INDEX(Parametros_ANEC73!$I$4:$I$6,MATCH($C283,Parametros_ANEC73!$A$4:$A$6,0))</f>
        <v>1.5</v>
      </c>
      <c r="S283" s="35" t="n">
        <f aca="false">INDEX(Parametros_ANEC73!$L$4:$L$6,MATCH($C283,Parametros_ANEC73!$A$4:$A$6,0))</f>
        <v>2</v>
      </c>
      <c r="T283" s="39" t="n">
        <f aca="false">INDEX(Parametros_ANEC73!$B$14:$B$25,MATCH($B283,Parametros_ANEC73!$A$14:$A$25,0))</f>
        <v>0</v>
      </c>
      <c r="U283" s="40" t="n">
        <f aca="false">IF(OR($D283=0,$G283=""),0,$D283*($T283/100)*($L283*$Q283+$N283*(IF($R283="",$Q283,$R283)-$Q283)+$P283*(IF($S283="",IF($R283="",$Q283,$R283),$S283)-IF($R283="",$Q283,$R283))))</f>
        <v>0</v>
      </c>
      <c r="V283" s="41" t="str">
        <f aca="false">IF(OR($D283=0,$G283=""),"",IF($H283*($E283-INDEX(Parametros_ANEC73!$M$4:$M$6,MATCH($C283,Parametros_ANEC73!$A$4:$A$6,0)))&gt;0,"Sim","Nao"))</f>
        <v/>
      </c>
      <c r="W283" s="27" t="str">
        <f aca="false">$A283&amp;"|"&amp;$B283&amp;"|"&amp;$C283</f>
        <v>ADM|Out|Fibra</v>
      </c>
    </row>
    <row r="284" customFormat="false" ht="15" hidden="false" customHeight="false" outlineLevel="0" collapsed="false">
      <c r="A284" s="27" t="s">
        <v>46</v>
      </c>
      <c r="B284" s="27" t="s">
        <v>68</v>
      </c>
      <c r="C284" s="27" t="s">
        <v>109</v>
      </c>
      <c r="D284" s="34" t="n">
        <f aca="false">SUMIFS(Media_Cliente_Mes!$C$2:$C$145,Media_Cliente_Mes!$A$2:$A$145,$A284,Media_Cliente_Mes!$B$2:$B$145,$B284)</f>
        <v>0</v>
      </c>
      <c r="E284" s="35" t="str">
        <f aca="false">IF($D284=0,"",IF($C284="Proteina",SUMIFS(Media_Cliente_Mes!$D$2:$D$145,Media_Cliente_Mes!$A$2:$A$145,$A284,Media_Cliente_Mes!$B$2:$B$145,$B284),IF($C284="Umidade",SUMIFS(Media_Cliente_Mes!$E$2:$E$145,Media_Cliente_Mes!$A$2:$A$145,$A284,Media_Cliente_Mes!$B$2:$B$145,$B284),SUMIFS(Media_Cliente_Mes!$F$2:$F$145,Media_Cliente_Mes!$A$2:$A$145,$A284,Media_Cliente_Mes!$B$2:$B$145,$B284))))</f>
        <v/>
      </c>
      <c r="F284" s="35" t="n">
        <f aca="false">INDEX(Parametros_ANEC73!$C$4:$C$6,MATCH($C284,Parametros_ANEC73!$A$4:$A$6,0))</f>
        <v>48</v>
      </c>
      <c r="G284" s="35" t="str">
        <f aca="false">IF($C284="Proteina",INDEX(Media_Pool_Mes!$C$2:$C$13,MATCH($B284,Media_Pool_Mes!$A$2:$A$13,0)),IF($C284="Umidade",INDEX(Media_Pool_Mes!$D$2:$D$13,MATCH($B284,Media_Pool_Mes!$A$2:$A$13,0)),INDEX(Media_Pool_Mes!$E$2:$E$13,MATCH($B284,Media_Pool_Mes!$A$2:$A$13,0))))</f>
        <v/>
      </c>
      <c r="H284" s="37" t="n">
        <f aca="false">INDEX(Parametros_ANEC73!$B$4:$B$6,MATCH($C284,Parametros_ANEC73!$A$4:$A$6,0))</f>
        <v>-1</v>
      </c>
      <c r="I284" s="38" t="str">
        <f aca="false">IF(OR($D284=0,$G284=""),"",IF($H284*($G284-$F284)&gt;0,$G284,$F284))</f>
        <v/>
      </c>
      <c r="J284" s="27" t="str">
        <f aca="false">IF(OR($D284=0,$G284=""),"",IF($H284*($G284-$F284)&gt;0,"Sim","Nao"))</f>
        <v/>
      </c>
      <c r="K284" s="27" t="str">
        <f aca="false">IF(OR($D284=0,$G284=""),"",IF(AND($H284*($E284-$F284)&gt;0,$H284*($E284-$G284)&gt;0),"Sim","Nao"))</f>
        <v/>
      </c>
      <c r="L284" s="38" t="n">
        <f aca="false">IF(OR($D284=0,$G284=""),0,IF($K284="Sim",MAX(0,$H284*($E284-$I284)),0))</f>
        <v>0</v>
      </c>
      <c r="M284" s="35" t="n">
        <f aca="false">INDEX(Parametros_ANEC73!$G$4:$G$6,MATCH($C284,Parametros_ANEC73!$A$4:$A$6,0))</f>
        <v>47</v>
      </c>
      <c r="N284" s="38" t="n">
        <f aca="false">IF(OR($D284=0,$G284=""),0,IF(AND($K284="Sim",$M284&lt;&gt;""),MAX(0,$H284*($E284-$M284)),0))</f>
        <v>0</v>
      </c>
      <c r="O284" s="35" t="n">
        <f aca="false">INDEX(Parametros_ANEC73!$J$4:$J$6,MATCH($C284,Parametros_ANEC73!$A$4:$A$6,0))</f>
        <v>0</v>
      </c>
      <c r="P284" s="38" t="n">
        <f aca="false">IF(OR($D284=0,$G284=""),0,IF(AND($K284="Sim",$O284&lt;&gt;""),MAX(0,$H284*($E284-$O284)),0))</f>
        <v>0</v>
      </c>
      <c r="Q284" s="35" t="n">
        <f aca="false">INDEX(Parametros_ANEC73!$F$4:$F$6,MATCH($C284,Parametros_ANEC73!$A$4:$A$6,0))</f>
        <v>1</v>
      </c>
      <c r="R284" s="35" t="n">
        <f aca="false">INDEX(Parametros_ANEC73!$I$4:$I$6,MATCH($C284,Parametros_ANEC73!$A$4:$A$6,0))</f>
        <v>2</v>
      </c>
      <c r="S284" s="35" t="n">
        <f aca="false">INDEX(Parametros_ANEC73!$L$4:$L$6,MATCH($C284,Parametros_ANEC73!$A$4:$A$6,0))</f>
        <v>0</v>
      </c>
      <c r="T284" s="39" t="n">
        <f aca="false">INDEX(Parametros_ANEC73!$B$14:$B$25,MATCH($B284,Parametros_ANEC73!$A$14:$A$25,0))</f>
        <v>0</v>
      </c>
      <c r="U284" s="40" t="n">
        <f aca="false">IF(OR($D284=0,$G284=""),0,$D284*($T284/100)*($L284*$Q284+$N284*(IF($R284="",$Q284,$R284)-$Q284)+$P284*(IF($S284="",IF($R284="",$Q284,$R284),$S284)-IF($R284="",$Q284,$R284))))</f>
        <v>0</v>
      </c>
      <c r="V284" s="41" t="str">
        <f aca="false">IF(OR($D284=0,$G284=""),"",IF($H284*($E284-INDEX(Parametros_ANEC73!$M$4:$M$6,MATCH($C284,Parametros_ANEC73!$A$4:$A$6,0)))&gt;0,"Sim","Nao"))</f>
        <v/>
      </c>
      <c r="W284" s="27" t="str">
        <f aca="false">$A284&amp;"|"&amp;$B284&amp;"|"&amp;$C284</f>
        <v>ADM|Nov|Proteina</v>
      </c>
    </row>
    <row r="285" customFormat="false" ht="15" hidden="false" customHeight="false" outlineLevel="0" collapsed="false">
      <c r="A285" s="27" t="s">
        <v>46</v>
      </c>
      <c r="B285" s="27" t="s">
        <v>68</v>
      </c>
      <c r="C285" s="27" t="s">
        <v>110</v>
      </c>
      <c r="D285" s="34" t="n">
        <f aca="false">SUMIFS(Media_Cliente_Mes!$C$2:$C$145,Media_Cliente_Mes!$A$2:$A$145,$A285,Media_Cliente_Mes!$B$2:$B$145,$B285)</f>
        <v>0</v>
      </c>
      <c r="E285" s="35" t="str">
        <f aca="false">IF($D285=0,"",IF($C285="Proteina",SUMIFS(Media_Cliente_Mes!$D$2:$D$145,Media_Cliente_Mes!$A$2:$A$145,$A285,Media_Cliente_Mes!$B$2:$B$145,$B285),IF($C285="Umidade",SUMIFS(Media_Cliente_Mes!$E$2:$E$145,Media_Cliente_Mes!$A$2:$A$145,$A285,Media_Cliente_Mes!$B$2:$B$145,$B285),SUMIFS(Media_Cliente_Mes!$F$2:$F$145,Media_Cliente_Mes!$A$2:$A$145,$A285,Media_Cliente_Mes!$B$2:$B$145,$B285))))</f>
        <v/>
      </c>
      <c r="F285" s="35" t="n">
        <f aca="false">INDEX(Parametros_ANEC73!$C$4:$C$6,MATCH($C285,Parametros_ANEC73!$A$4:$A$6,0))</f>
        <v>12.5</v>
      </c>
      <c r="G285" s="35" t="str">
        <f aca="false">IF($C285="Proteina",INDEX(Media_Pool_Mes!$C$2:$C$13,MATCH($B285,Media_Pool_Mes!$A$2:$A$13,0)),IF($C285="Umidade",INDEX(Media_Pool_Mes!$D$2:$D$13,MATCH($B285,Media_Pool_Mes!$A$2:$A$13,0)),INDEX(Media_Pool_Mes!$E$2:$E$13,MATCH($B285,Media_Pool_Mes!$A$2:$A$13,0))))</f>
        <v/>
      </c>
      <c r="H285" s="37" t="n">
        <f aca="false">INDEX(Parametros_ANEC73!$B$4:$B$6,MATCH($C285,Parametros_ANEC73!$A$4:$A$6,0))</f>
        <v>1</v>
      </c>
      <c r="I285" s="38" t="str">
        <f aca="false">IF(OR($D285=0,$G285=""),"",IF($H285*($G285-$F285)&gt;0,$G285,$F285))</f>
        <v/>
      </c>
      <c r="J285" s="27" t="str">
        <f aca="false">IF(OR($D285=0,$G285=""),"",IF($H285*($G285-$F285)&gt;0,"Sim","Nao"))</f>
        <v/>
      </c>
      <c r="K285" s="27" t="str">
        <f aca="false">IF(OR($D285=0,$G285=""),"",IF(AND($H285*($E285-$F285)&gt;0,$H285*($E285-$G285)&gt;0),"Sim","Nao"))</f>
        <v/>
      </c>
      <c r="L285" s="38" t="n">
        <f aca="false">IF(OR($D285=0,$G285=""),0,IF($K285="Sim",MAX(0,$H285*($E285-$I285)),0))</f>
        <v>0</v>
      </c>
      <c r="M285" s="35" t="n">
        <f aca="false">INDEX(Parametros_ANEC73!$G$4:$G$6,MATCH($C285,Parametros_ANEC73!$A$4:$A$6,0))</f>
        <v>0</v>
      </c>
      <c r="N285" s="38" t="n">
        <f aca="false">IF(OR($D285=0,$G285=""),0,IF(AND($K285="Sim",$M285&lt;&gt;""),MAX(0,$H285*($E285-$M285)),0))</f>
        <v>0</v>
      </c>
      <c r="O285" s="35" t="n">
        <f aca="false">INDEX(Parametros_ANEC73!$J$4:$J$6,MATCH($C285,Parametros_ANEC73!$A$4:$A$6,0))</f>
        <v>0</v>
      </c>
      <c r="P285" s="38" t="n">
        <f aca="false">IF(OR($D285=0,$G285=""),0,IF(AND($K285="Sim",$O285&lt;&gt;""),MAX(0,$H285*($E285-$O285)),0))</f>
        <v>0</v>
      </c>
      <c r="Q285" s="35" t="n">
        <f aca="false">INDEX(Parametros_ANEC73!$F$4:$F$6,MATCH($C285,Parametros_ANEC73!$A$4:$A$6,0))</f>
        <v>1</v>
      </c>
      <c r="R285" s="35" t="n">
        <f aca="false">INDEX(Parametros_ANEC73!$I$4:$I$6,MATCH($C285,Parametros_ANEC73!$A$4:$A$6,0))</f>
        <v>0</v>
      </c>
      <c r="S285" s="35" t="n">
        <f aca="false">INDEX(Parametros_ANEC73!$L$4:$L$6,MATCH($C285,Parametros_ANEC73!$A$4:$A$6,0))</f>
        <v>0</v>
      </c>
      <c r="T285" s="39" t="n">
        <f aca="false">INDEX(Parametros_ANEC73!$B$14:$B$25,MATCH($B285,Parametros_ANEC73!$A$14:$A$25,0))</f>
        <v>0</v>
      </c>
      <c r="U285" s="40" t="n">
        <f aca="false">IF(OR($D285=0,$G285=""),0,$D285*($T285/100)*($L285*$Q285+$N285*(IF($R285="",$Q285,$R285)-$Q285)+$P285*(IF($S285="",IF($R285="",$Q285,$R285),$S285)-IF($R285="",$Q285,$R285))))</f>
        <v>0</v>
      </c>
      <c r="V285" s="41" t="str">
        <f aca="false">IF(OR($D285=0,$G285=""),"",IF($H285*($E285-INDEX(Parametros_ANEC73!$M$4:$M$6,MATCH($C285,Parametros_ANEC73!$A$4:$A$6,0)))&gt;0,"Sim","Nao"))</f>
        <v/>
      </c>
      <c r="W285" s="27" t="str">
        <f aca="false">$A285&amp;"|"&amp;$B285&amp;"|"&amp;$C285</f>
        <v>ADM|Nov|Umidade</v>
      </c>
    </row>
    <row r="286" customFormat="false" ht="15" hidden="false" customHeight="false" outlineLevel="0" collapsed="false">
      <c r="A286" s="27" t="s">
        <v>46</v>
      </c>
      <c r="B286" s="27" t="s">
        <v>68</v>
      </c>
      <c r="C286" s="27" t="s">
        <v>111</v>
      </c>
      <c r="D286" s="34" t="n">
        <f aca="false">SUMIFS(Media_Cliente_Mes!$C$2:$C$145,Media_Cliente_Mes!$A$2:$A$145,$A286,Media_Cliente_Mes!$B$2:$B$145,$B286)</f>
        <v>0</v>
      </c>
      <c r="E286" s="35" t="str">
        <f aca="false">IF($D286=0,"",IF($C286="Proteina",SUMIFS(Media_Cliente_Mes!$D$2:$D$145,Media_Cliente_Mes!$A$2:$A$145,$A286,Media_Cliente_Mes!$B$2:$B$145,$B286),IF($C286="Umidade",SUMIFS(Media_Cliente_Mes!$E$2:$E$145,Media_Cliente_Mes!$A$2:$A$145,$A286,Media_Cliente_Mes!$B$2:$B$145,$B286),SUMIFS(Media_Cliente_Mes!$F$2:$F$145,Media_Cliente_Mes!$A$2:$A$145,$A286,Media_Cliente_Mes!$B$2:$B$145,$B286))))</f>
        <v/>
      </c>
      <c r="F286" s="35" t="n">
        <f aca="false">INDEX(Parametros_ANEC73!$C$4:$C$6,MATCH($C286,Parametros_ANEC73!$A$4:$A$6,0))</f>
        <v>3.5</v>
      </c>
      <c r="G286" s="35" t="str">
        <f aca="false">IF($C286="Proteina",INDEX(Media_Pool_Mes!$C$2:$C$13,MATCH($B286,Media_Pool_Mes!$A$2:$A$13,0)),IF($C286="Umidade",INDEX(Media_Pool_Mes!$D$2:$D$13,MATCH($B286,Media_Pool_Mes!$A$2:$A$13,0)),INDEX(Media_Pool_Mes!$E$2:$E$13,MATCH($B286,Media_Pool_Mes!$A$2:$A$13,0))))</f>
        <v/>
      </c>
      <c r="H286" s="37" t="n">
        <f aca="false">INDEX(Parametros_ANEC73!$B$4:$B$6,MATCH($C286,Parametros_ANEC73!$A$4:$A$6,0))</f>
        <v>1</v>
      </c>
      <c r="I286" s="38" t="str">
        <f aca="false">IF(OR($D286=0,$G286=""),"",IF($H286*($G286-$F286)&gt;0,$G286,$F286))</f>
        <v/>
      </c>
      <c r="J286" s="27" t="str">
        <f aca="false">IF(OR($D286=0,$G286=""),"",IF($H286*($G286-$F286)&gt;0,"Sim","Nao"))</f>
        <v/>
      </c>
      <c r="K286" s="27" t="str">
        <f aca="false">IF(OR($D286=0,$G286=""),"",IF(AND($H286*($E286-$F286)&gt;0,$H286*($E286-$G286)&gt;0),"Sim","Nao"))</f>
        <v/>
      </c>
      <c r="L286" s="38" t="n">
        <f aca="false">IF(OR($D286=0,$G286=""),0,IF($K286="Sim",MAX(0,$H286*($E286-$I286)),0))</f>
        <v>0</v>
      </c>
      <c r="M286" s="35" t="n">
        <f aca="false">INDEX(Parametros_ANEC73!$G$4:$G$6,MATCH($C286,Parametros_ANEC73!$A$4:$A$6,0))</f>
        <v>3.8</v>
      </c>
      <c r="N286" s="38" t="n">
        <f aca="false">IF(OR($D286=0,$G286=""),0,IF(AND($K286="Sim",$M286&lt;&gt;""),MAX(0,$H286*($E286-$M286)),0))</f>
        <v>0</v>
      </c>
      <c r="O286" s="35" t="n">
        <f aca="false">INDEX(Parametros_ANEC73!$J$4:$J$6,MATCH($C286,Parametros_ANEC73!$A$4:$A$6,0))</f>
        <v>4</v>
      </c>
      <c r="P286" s="38" t="n">
        <f aca="false">IF(OR($D286=0,$G286=""),0,IF(AND($K286="Sim",$O286&lt;&gt;""),MAX(0,$H286*($E286-$O286)),0))</f>
        <v>0</v>
      </c>
      <c r="Q286" s="35" t="n">
        <f aca="false">INDEX(Parametros_ANEC73!$F$4:$F$6,MATCH($C286,Parametros_ANEC73!$A$4:$A$6,0))</f>
        <v>1</v>
      </c>
      <c r="R286" s="35" t="n">
        <f aca="false">INDEX(Parametros_ANEC73!$I$4:$I$6,MATCH($C286,Parametros_ANEC73!$A$4:$A$6,0))</f>
        <v>1.5</v>
      </c>
      <c r="S286" s="35" t="n">
        <f aca="false">INDEX(Parametros_ANEC73!$L$4:$L$6,MATCH($C286,Parametros_ANEC73!$A$4:$A$6,0))</f>
        <v>2</v>
      </c>
      <c r="T286" s="39" t="n">
        <f aca="false">INDEX(Parametros_ANEC73!$B$14:$B$25,MATCH($B286,Parametros_ANEC73!$A$14:$A$25,0))</f>
        <v>0</v>
      </c>
      <c r="U286" s="40" t="n">
        <f aca="false">IF(OR($D286=0,$G286=""),0,$D286*($T286/100)*($L286*$Q286+$N286*(IF($R286="",$Q286,$R286)-$Q286)+$P286*(IF($S286="",IF($R286="",$Q286,$R286),$S286)-IF($R286="",$Q286,$R286))))</f>
        <v>0</v>
      </c>
      <c r="V286" s="41" t="str">
        <f aca="false">IF(OR($D286=0,$G286=""),"",IF($H286*($E286-INDEX(Parametros_ANEC73!$M$4:$M$6,MATCH($C286,Parametros_ANEC73!$A$4:$A$6,0)))&gt;0,"Sim","Nao"))</f>
        <v/>
      </c>
      <c r="W286" s="27" t="str">
        <f aca="false">$A286&amp;"|"&amp;$B286&amp;"|"&amp;$C286</f>
        <v>ADM|Nov|Fibra</v>
      </c>
    </row>
    <row r="287" customFormat="false" ht="15" hidden="false" customHeight="false" outlineLevel="0" collapsed="false">
      <c r="A287" s="27" t="s">
        <v>46</v>
      </c>
      <c r="B287" s="27" t="s">
        <v>69</v>
      </c>
      <c r="C287" s="27" t="s">
        <v>109</v>
      </c>
      <c r="D287" s="34" t="n">
        <f aca="false">SUMIFS(Media_Cliente_Mes!$C$2:$C$145,Media_Cliente_Mes!$A$2:$A$145,$A287,Media_Cliente_Mes!$B$2:$B$145,$B287)</f>
        <v>0</v>
      </c>
      <c r="E287" s="35" t="str">
        <f aca="false">IF($D287=0,"",IF($C287="Proteina",SUMIFS(Media_Cliente_Mes!$D$2:$D$145,Media_Cliente_Mes!$A$2:$A$145,$A287,Media_Cliente_Mes!$B$2:$B$145,$B287),IF($C287="Umidade",SUMIFS(Media_Cliente_Mes!$E$2:$E$145,Media_Cliente_Mes!$A$2:$A$145,$A287,Media_Cliente_Mes!$B$2:$B$145,$B287),SUMIFS(Media_Cliente_Mes!$F$2:$F$145,Media_Cliente_Mes!$A$2:$A$145,$A287,Media_Cliente_Mes!$B$2:$B$145,$B287))))</f>
        <v/>
      </c>
      <c r="F287" s="35" t="n">
        <f aca="false">INDEX(Parametros_ANEC73!$C$4:$C$6,MATCH($C287,Parametros_ANEC73!$A$4:$A$6,0))</f>
        <v>48</v>
      </c>
      <c r="G287" s="35" t="str">
        <f aca="false">IF($C287="Proteina",INDEX(Media_Pool_Mes!$C$2:$C$13,MATCH($B287,Media_Pool_Mes!$A$2:$A$13,0)),IF($C287="Umidade",INDEX(Media_Pool_Mes!$D$2:$D$13,MATCH($B287,Media_Pool_Mes!$A$2:$A$13,0)),INDEX(Media_Pool_Mes!$E$2:$E$13,MATCH($B287,Media_Pool_Mes!$A$2:$A$13,0))))</f>
        <v/>
      </c>
      <c r="H287" s="37" t="n">
        <f aca="false">INDEX(Parametros_ANEC73!$B$4:$B$6,MATCH($C287,Parametros_ANEC73!$A$4:$A$6,0))</f>
        <v>-1</v>
      </c>
      <c r="I287" s="38" t="str">
        <f aca="false">IF(OR($D287=0,$G287=""),"",IF($H287*($G287-$F287)&gt;0,$G287,$F287))</f>
        <v/>
      </c>
      <c r="J287" s="27" t="str">
        <f aca="false">IF(OR($D287=0,$G287=""),"",IF($H287*($G287-$F287)&gt;0,"Sim","Nao"))</f>
        <v/>
      </c>
      <c r="K287" s="27" t="str">
        <f aca="false">IF(OR($D287=0,$G287=""),"",IF(AND($H287*($E287-$F287)&gt;0,$H287*($E287-$G287)&gt;0),"Sim","Nao"))</f>
        <v/>
      </c>
      <c r="L287" s="38" t="n">
        <f aca="false">IF(OR($D287=0,$G287=""),0,IF($K287="Sim",MAX(0,$H287*($E287-$I287)),0))</f>
        <v>0</v>
      </c>
      <c r="M287" s="35" t="n">
        <f aca="false">INDEX(Parametros_ANEC73!$G$4:$G$6,MATCH($C287,Parametros_ANEC73!$A$4:$A$6,0))</f>
        <v>47</v>
      </c>
      <c r="N287" s="38" t="n">
        <f aca="false">IF(OR($D287=0,$G287=""),0,IF(AND($K287="Sim",$M287&lt;&gt;""),MAX(0,$H287*($E287-$M287)),0))</f>
        <v>0</v>
      </c>
      <c r="O287" s="35" t="n">
        <f aca="false">INDEX(Parametros_ANEC73!$J$4:$J$6,MATCH($C287,Parametros_ANEC73!$A$4:$A$6,0))</f>
        <v>0</v>
      </c>
      <c r="P287" s="38" t="n">
        <f aca="false">IF(OR($D287=0,$G287=""),0,IF(AND($K287="Sim",$O287&lt;&gt;""),MAX(0,$H287*($E287-$O287)),0))</f>
        <v>0</v>
      </c>
      <c r="Q287" s="35" t="n">
        <f aca="false">INDEX(Parametros_ANEC73!$F$4:$F$6,MATCH($C287,Parametros_ANEC73!$A$4:$A$6,0))</f>
        <v>1</v>
      </c>
      <c r="R287" s="35" t="n">
        <f aca="false">INDEX(Parametros_ANEC73!$I$4:$I$6,MATCH($C287,Parametros_ANEC73!$A$4:$A$6,0))</f>
        <v>2</v>
      </c>
      <c r="S287" s="35" t="n">
        <f aca="false">INDEX(Parametros_ANEC73!$L$4:$L$6,MATCH($C287,Parametros_ANEC73!$A$4:$A$6,0))</f>
        <v>0</v>
      </c>
      <c r="T287" s="39" t="n">
        <f aca="false">INDEX(Parametros_ANEC73!$B$14:$B$25,MATCH($B287,Parametros_ANEC73!$A$14:$A$25,0))</f>
        <v>0</v>
      </c>
      <c r="U287" s="40" t="n">
        <f aca="false">IF(OR($D287=0,$G287=""),0,$D287*($T287/100)*($L287*$Q287+$N287*(IF($R287="",$Q287,$R287)-$Q287)+$P287*(IF($S287="",IF($R287="",$Q287,$R287),$S287)-IF($R287="",$Q287,$R287))))</f>
        <v>0</v>
      </c>
      <c r="V287" s="41" t="str">
        <f aca="false">IF(OR($D287=0,$G287=""),"",IF($H287*($E287-INDEX(Parametros_ANEC73!$M$4:$M$6,MATCH($C287,Parametros_ANEC73!$A$4:$A$6,0)))&gt;0,"Sim","Nao"))</f>
        <v/>
      </c>
      <c r="W287" s="27" t="str">
        <f aca="false">$A287&amp;"|"&amp;$B287&amp;"|"&amp;$C287</f>
        <v>ADM|Dez|Proteina</v>
      </c>
    </row>
    <row r="288" customFormat="false" ht="15" hidden="false" customHeight="false" outlineLevel="0" collapsed="false">
      <c r="A288" s="27" t="s">
        <v>46</v>
      </c>
      <c r="B288" s="27" t="s">
        <v>69</v>
      </c>
      <c r="C288" s="27" t="s">
        <v>110</v>
      </c>
      <c r="D288" s="34" t="n">
        <f aca="false">SUMIFS(Media_Cliente_Mes!$C$2:$C$145,Media_Cliente_Mes!$A$2:$A$145,$A288,Media_Cliente_Mes!$B$2:$B$145,$B288)</f>
        <v>0</v>
      </c>
      <c r="E288" s="35" t="str">
        <f aca="false">IF($D288=0,"",IF($C288="Proteina",SUMIFS(Media_Cliente_Mes!$D$2:$D$145,Media_Cliente_Mes!$A$2:$A$145,$A288,Media_Cliente_Mes!$B$2:$B$145,$B288),IF($C288="Umidade",SUMIFS(Media_Cliente_Mes!$E$2:$E$145,Media_Cliente_Mes!$A$2:$A$145,$A288,Media_Cliente_Mes!$B$2:$B$145,$B288),SUMIFS(Media_Cliente_Mes!$F$2:$F$145,Media_Cliente_Mes!$A$2:$A$145,$A288,Media_Cliente_Mes!$B$2:$B$145,$B288))))</f>
        <v/>
      </c>
      <c r="F288" s="35" t="n">
        <f aca="false">INDEX(Parametros_ANEC73!$C$4:$C$6,MATCH($C288,Parametros_ANEC73!$A$4:$A$6,0))</f>
        <v>12.5</v>
      </c>
      <c r="G288" s="35" t="str">
        <f aca="false">IF($C288="Proteina",INDEX(Media_Pool_Mes!$C$2:$C$13,MATCH($B288,Media_Pool_Mes!$A$2:$A$13,0)),IF($C288="Umidade",INDEX(Media_Pool_Mes!$D$2:$D$13,MATCH($B288,Media_Pool_Mes!$A$2:$A$13,0)),INDEX(Media_Pool_Mes!$E$2:$E$13,MATCH($B288,Media_Pool_Mes!$A$2:$A$13,0))))</f>
        <v/>
      </c>
      <c r="H288" s="37" t="n">
        <f aca="false">INDEX(Parametros_ANEC73!$B$4:$B$6,MATCH($C288,Parametros_ANEC73!$A$4:$A$6,0))</f>
        <v>1</v>
      </c>
      <c r="I288" s="38" t="str">
        <f aca="false">IF(OR($D288=0,$G288=""),"",IF($H288*($G288-$F288)&gt;0,$G288,$F288))</f>
        <v/>
      </c>
      <c r="J288" s="27" t="str">
        <f aca="false">IF(OR($D288=0,$G288=""),"",IF($H288*($G288-$F288)&gt;0,"Sim","Nao"))</f>
        <v/>
      </c>
      <c r="K288" s="27" t="str">
        <f aca="false">IF(OR($D288=0,$G288=""),"",IF(AND($H288*($E288-$F288)&gt;0,$H288*($E288-$G288)&gt;0),"Sim","Nao"))</f>
        <v/>
      </c>
      <c r="L288" s="38" t="n">
        <f aca="false">IF(OR($D288=0,$G288=""),0,IF($K288="Sim",MAX(0,$H288*($E288-$I288)),0))</f>
        <v>0</v>
      </c>
      <c r="M288" s="35" t="n">
        <f aca="false">INDEX(Parametros_ANEC73!$G$4:$G$6,MATCH($C288,Parametros_ANEC73!$A$4:$A$6,0))</f>
        <v>0</v>
      </c>
      <c r="N288" s="38" t="n">
        <f aca="false">IF(OR($D288=0,$G288=""),0,IF(AND($K288="Sim",$M288&lt;&gt;""),MAX(0,$H288*($E288-$M288)),0))</f>
        <v>0</v>
      </c>
      <c r="O288" s="35" t="n">
        <f aca="false">INDEX(Parametros_ANEC73!$J$4:$J$6,MATCH($C288,Parametros_ANEC73!$A$4:$A$6,0))</f>
        <v>0</v>
      </c>
      <c r="P288" s="38" t="n">
        <f aca="false">IF(OR($D288=0,$G288=""),0,IF(AND($K288="Sim",$O288&lt;&gt;""),MAX(0,$H288*($E288-$O288)),0))</f>
        <v>0</v>
      </c>
      <c r="Q288" s="35" t="n">
        <f aca="false">INDEX(Parametros_ANEC73!$F$4:$F$6,MATCH($C288,Parametros_ANEC73!$A$4:$A$6,0))</f>
        <v>1</v>
      </c>
      <c r="R288" s="35" t="n">
        <f aca="false">INDEX(Parametros_ANEC73!$I$4:$I$6,MATCH($C288,Parametros_ANEC73!$A$4:$A$6,0))</f>
        <v>0</v>
      </c>
      <c r="S288" s="35" t="n">
        <f aca="false">INDEX(Parametros_ANEC73!$L$4:$L$6,MATCH($C288,Parametros_ANEC73!$A$4:$A$6,0))</f>
        <v>0</v>
      </c>
      <c r="T288" s="39" t="n">
        <f aca="false">INDEX(Parametros_ANEC73!$B$14:$B$25,MATCH($B288,Parametros_ANEC73!$A$14:$A$25,0))</f>
        <v>0</v>
      </c>
      <c r="U288" s="40" t="n">
        <f aca="false">IF(OR($D288=0,$G288=""),0,$D288*($T288/100)*($L288*$Q288+$N288*(IF($R288="",$Q288,$R288)-$Q288)+$P288*(IF($S288="",IF($R288="",$Q288,$R288),$S288)-IF($R288="",$Q288,$R288))))</f>
        <v>0</v>
      </c>
      <c r="V288" s="41" t="str">
        <f aca="false">IF(OR($D288=0,$G288=""),"",IF($H288*($E288-INDEX(Parametros_ANEC73!$M$4:$M$6,MATCH($C288,Parametros_ANEC73!$A$4:$A$6,0)))&gt;0,"Sim","Nao"))</f>
        <v/>
      </c>
      <c r="W288" s="27" t="str">
        <f aca="false">$A288&amp;"|"&amp;$B288&amp;"|"&amp;$C288</f>
        <v>ADM|Dez|Umidade</v>
      </c>
    </row>
    <row r="289" customFormat="false" ht="15" hidden="false" customHeight="false" outlineLevel="0" collapsed="false">
      <c r="A289" s="27" t="s">
        <v>46</v>
      </c>
      <c r="B289" s="27" t="s">
        <v>69</v>
      </c>
      <c r="C289" s="27" t="s">
        <v>111</v>
      </c>
      <c r="D289" s="34" t="n">
        <f aca="false">SUMIFS(Media_Cliente_Mes!$C$2:$C$145,Media_Cliente_Mes!$A$2:$A$145,$A289,Media_Cliente_Mes!$B$2:$B$145,$B289)</f>
        <v>0</v>
      </c>
      <c r="E289" s="35" t="str">
        <f aca="false">IF($D289=0,"",IF($C289="Proteina",SUMIFS(Media_Cliente_Mes!$D$2:$D$145,Media_Cliente_Mes!$A$2:$A$145,$A289,Media_Cliente_Mes!$B$2:$B$145,$B289),IF($C289="Umidade",SUMIFS(Media_Cliente_Mes!$E$2:$E$145,Media_Cliente_Mes!$A$2:$A$145,$A289,Media_Cliente_Mes!$B$2:$B$145,$B289),SUMIFS(Media_Cliente_Mes!$F$2:$F$145,Media_Cliente_Mes!$A$2:$A$145,$A289,Media_Cliente_Mes!$B$2:$B$145,$B289))))</f>
        <v/>
      </c>
      <c r="F289" s="35" t="n">
        <f aca="false">INDEX(Parametros_ANEC73!$C$4:$C$6,MATCH($C289,Parametros_ANEC73!$A$4:$A$6,0))</f>
        <v>3.5</v>
      </c>
      <c r="G289" s="35" t="str">
        <f aca="false">IF($C289="Proteina",INDEX(Media_Pool_Mes!$C$2:$C$13,MATCH($B289,Media_Pool_Mes!$A$2:$A$13,0)),IF($C289="Umidade",INDEX(Media_Pool_Mes!$D$2:$D$13,MATCH($B289,Media_Pool_Mes!$A$2:$A$13,0)),INDEX(Media_Pool_Mes!$E$2:$E$13,MATCH($B289,Media_Pool_Mes!$A$2:$A$13,0))))</f>
        <v/>
      </c>
      <c r="H289" s="37" t="n">
        <f aca="false">INDEX(Parametros_ANEC73!$B$4:$B$6,MATCH($C289,Parametros_ANEC73!$A$4:$A$6,0))</f>
        <v>1</v>
      </c>
      <c r="I289" s="38" t="str">
        <f aca="false">IF(OR($D289=0,$G289=""),"",IF($H289*($G289-$F289)&gt;0,$G289,$F289))</f>
        <v/>
      </c>
      <c r="J289" s="27" t="str">
        <f aca="false">IF(OR($D289=0,$G289=""),"",IF($H289*($G289-$F289)&gt;0,"Sim","Nao"))</f>
        <v/>
      </c>
      <c r="K289" s="27" t="str">
        <f aca="false">IF(OR($D289=0,$G289=""),"",IF(AND($H289*($E289-$F289)&gt;0,$H289*($E289-$G289)&gt;0),"Sim","Nao"))</f>
        <v/>
      </c>
      <c r="L289" s="38" t="n">
        <f aca="false">IF(OR($D289=0,$G289=""),0,IF($K289="Sim",MAX(0,$H289*($E289-$I289)),0))</f>
        <v>0</v>
      </c>
      <c r="M289" s="35" t="n">
        <f aca="false">INDEX(Parametros_ANEC73!$G$4:$G$6,MATCH($C289,Parametros_ANEC73!$A$4:$A$6,0))</f>
        <v>3.8</v>
      </c>
      <c r="N289" s="38" t="n">
        <f aca="false">IF(OR($D289=0,$G289=""),0,IF(AND($K289="Sim",$M289&lt;&gt;""),MAX(0,$H289*($E289-$M289)),0))</f>
        <v>0</v>
      </c>
      <c r="O289" s="35" t="n">
        <f aca="false">INDEX(Parametros_ANEC73!$J$4:$J$6,MATCH($C289,Parametros_ANEC73!$A$4:$A$6,0))</f>
        <v>4</v>
      </c>
      <c r="P289" s="38" t="n">
        <f aca="false">IF(OR($D289=0,$G289=""),0,IF(AND($K289="Sim",$O289&lt;&gt;""),MAX(0,$H289*($E289-$O289)),0))</f>
        <v>0</v>
      </c>
      <c r="Q289" s="35" t="n">
        <f aca="false">INDEX(Parametros_ANEC73!$F$4:$F$6,MATCH($C289,Parametros_ANEC73!$A$4:$A$6,0))</f>
        <v>1</v>
      </c>
      <c r="R289" s="35" t="n">
        <f aca="false">INDEX(Parametros_ANEC73!$I$4:$I$6,MATCH($C289,Parametros_ANEC73!$A$4:$A$6,0))</f>
        <v>1.5</v>
      </c>
      <c r="S289" s="35" t="n">
        <f aca="false">INDEX(Parametros_ANEC73!$L$4:$L$6,MATCH($C289,Parametros_ANEC73!$A$4:$A$6,0))</f>
        <v>2</v>
      </c>
      <c r="T289" s="39" t="n">
        <f aca="false">INDEX(Parametros_ANEC73!$B$14:$B$25,MATCH($B289,Parametros_ANEC73!$A$14:$A$25,0))</f>
        <v>0</v>
      </c>
      <c r="U289" s="40" t="n">
        <f aca="false">IF(OR($D289=0,$G289=""),0,$D289*($T289/100)*($L289*$Q289+$N289*(IF($R289="",$Q289,$R289)-$Q289)+$P289*(IF($S289="",IF($R289="",$Q289,$R289),$S289)-IF($R289="",$Q289,$R289))))</f>
        <v>0</v>
      </c>
      <c r="V289" s="41" t="str">
        <f aca="false">IF(OR($D289=0,$G289=""),"",IF($H289*($E289-INDEX(Parametros_ANEC73!$M$4:$M$6,MATCH($C289,Parametros_ANEC73!$A$4:$A$6,0)))&gt;0,"Sim","Nao"))</f>
        <v/>
      </c>
      <c r="W289" s="27" t="str">
        <f aca="false">$A289&amp;"|"&amp;$B289&amp;"|"&amp;$C289</f>
        <v>ADM|Dez|Fibra</v>
      </c>
    </row>
    <row r="290" customFormat="false" ht="15" hidden="false" customHeight="false" outlineLevel="0" collapsed="false">
      <c r="A290" s="27" t="s">
        <v>47</v>
      </c>
      <c r="B290" s="27" t="s">
        <v>38</v>
      </c>
      <c r="C290" s="27" t="s">
        <v>109</v>
      </c>
      <c r="D290" s="34" t="n">
        <f aca="false">SUMIFS(Media_Cliente_Mes!$C$2:$C$145,Media_Cliente_Mes!$A$2:$A$145,$A290,Media_Cliente_Mes!$B$2:$B$145,$B290)</f>
        <v>0</v>
      </c>
      <c r="E290" s="35" t="str">
        <f aca="false">IF($D290=0,"",IF($C290="Proteina",SUMIFS(Media_Cliente_Mes!$D$2:$D$145,Media_Cliente_Mes!$A$2:$A$145,$A290,Media_Cliente_Mes!$B$2:$B$145,$B290),IF($C290="Umidade",SUMIFS(Media_Cliente_Mes!$E$2:$E$145,Media_Cliente_Mes!$A$2:$A$145,$A290,Media_Cliente_Mes!$B$2:$B$145,$B290),SUMIFS(Media_Cliente_Mes!$F$2:$F$145,Media_Cliente_Mes!$A$2:$A$145,$A290,Media_Cliente_Mes!$B$2:$B$145,$B290))))</f>
        <v/>
      </c>
      <c r="F290" s="35" t="n">
        <f aca="false">INDEX(Parametros_ANEC73!$C$4:$C$6,MATCH($C290,Parametros_ANEC73!$A$4:$A$6,0))</f>
        <v>48</v>
      </c>
      <c r="G290" s="35" t="n">
        <f aca="false">IF($C290="Proteina",INDEX(Media_Pool_Mes!$C$2:$C$13,MATCH($B290,Media_Pool_Mes!$A$2:$A$13,0)),IF($C290="Umidade",INDEX(Media_Pool_Mes!$D$2:$D$13,MATCH($B290,Media_Pool_Mes!$A$2:$A$13,0)),INDEX(Media_Pool_Mes!$E$2:$E$13,MATCH($B290,Media_Pool_Mes!$A$2:$A$13,0))))</f>
        <v>47.8154367670349</v>
      </c>
      <c r="H290" s="37" t="n">
        <f aca="false">INDEX(Parametros_ANEC73!$B$4:$B$6,MATCH($C290,Parametros_ANEC73!$A$4:$A$6,0))</f>
        <v>-1</v>
      </c>
      <c r="I290" s="38" t="str">
        <f aca="false">IF(OR($D290=0,$G290=""),"",IF($H290*($G290-$F290)&gt;0,$G290,$F290))</f>
        <v/>
      </c>
      <c r="J290" s="27" t="str">
        <f aca="false">IF(OR($D290=0,$G290=""),"",IF($H290*($G290-$F290)&gt;0,"Sim","Nao"))</f>
        <v/>
      </c>
      <c r="K290" s="27" t="str">
        <f aca="false">IF(OR($D290=0,$G290=""),"",IF(AND($H290*($E290-$F290)&gt;0,$H290*($E290-$G290)&gt;0),"Sim","Nao"))</f>
        <v/>
      </c>
      <c r="L290" s="38" t="n">
        <f aca="false">IF(OR($D290=0,$G290=""),0,IF($K290="Sim",MAX(0,$H290*($E290-$I290)),0))</f>
        <v>0</v>
      </c>
      <c r="M290" s="35" t="n">
        <f aca="false">INDEX(Parametros_ANEC73!$G$4:$G$6,MATCH($C290,Parametros_ANEC73!$A$4:$A$6,0))</f>
        <v>47</v>
      </c>
      <c r="N290" s="38" t="n">
        <f aca="false">IF(OR($D290=0,$G290=""),0,IF(AND($K290="Sim",$M290&lt;&gt;""),MAX(0,$H290*($E290-$M290)),0))</f>
        <v>0</v>
      </c>
      <c r="O290" s="35" t="n">
        <f aca="false">INDEX(Parametros_ANEC73!$J$4:$J$6,MATCH($C290,Parametros_ANEC73!$A$4:$A$6,0))</f>
        <v>0</v>
      </c>
      <c r="P290" s="38" t="n">
        <f aca="false">IF(OR($D290=0,$G290=""),0,IF(AND($K290="Sim",$O290&lt;&gt;""),MAX(0,$H290*($E290-$O290)),0))</f>
        <v>0</v>
      </c>
      <c r="Q290" s="35" t="n">
        <f aca="false">INDEX(Parametros_ANEC73!$F$4:$F$6,MATCH($C290,Parametros_ANEC73!$A$4:$A$6,0))</f>
        <v>1</v>
      </c>
      <c r="R290" s="35" t="n">
        <f aca="false">INDEX(Parametros_ANEC73!$I$4:$I$6,MATCH($C290,Parametros_ANEC73!$A$4:$A$6,0))</f>
        <v>2</v>
      </c>
      <c r="S290" s="35" t="n">
        <f aca="false">INDEX(Parametros_ANEC73!$L$4:$L$6,MATCH($C290,Parametros_ANEC73!$A$4:$A$6,0))</f>
        <v>0</v>
      </c>
      <c r="T290" s="39" t="n">
        <f aca="false">INDEX(Parametros_ANEC73!$B$14:$B$25,MATCH($B290,Parametros_ANEC73!$A$14:$A$25,0))</f>
        <v>386</v>
      </c>
      <c r="U290" s="40" t="n">
        <f aca="false">IF(OR($D290=0,$G290=""),0,$D290*($T290/100)*($L290*$Q290+$N290*(IF($R290="",$Q290,$R290)-$Q290)+$P290*(IF($S290="",IF($R290="",$Q290,$R290),$S290)-IF($R290="",$Q290,$R290))))</f>
        <v>0</v>
      </c>
      <c r="V290" s="41" t="str">
        <f aca="false">IF(OR($D290=0,$G290=""),"",IF($H290*($E290-INDEX(Parametros_ANEC73!$M$4:$M$6,MATCH($C290,Parametros_ANEC73!$A$4:$A$6,0)))&gt;0,"Sim","Nao"))</f>
        <v/>
      </c>
      <c r="W290" s="27" t="str">
        <f aca="false">$A290&amp;"|"&amp;$B290&amp;"|"&amp;$C290</f>
        <v>Aliança|Jan|Proteina</v>
      </c>
    </row>
    <row r="291" customFormat="false" ht="15" hidden="false" customHeight="false" outlineLevel="0" collapsed="false">
      <c r="A291" s="27" t="s">
        <v>47</v>
      </c>
      <c r="B291" s="27" t="s">
        <v>38</v>
      </c>
      <c r="C291" s="27" t="s">
        <v>110</v>
      </c>
      <c r="D291" s="34" t="n">
        <f aca="false">SUMIFS(Media_Cliente_Mes!$C$2:$C$145,Media_Cliente_Mes!$A$2:$A$145,$A291,Media_Cliente_Mes!$B$2:$B$145,$B291)</f>
        <v>0</v>
      </c>
      <c r="E291" s="35" t="str">
        <f aca="false">IF($D291=0,"",IF($C291="Proteina",SUMIFS(Media_Cliente_Mes!$D$2:$D$145,Media_Cliente_Mes!$A$2:$A$145,$A291,Media_Cliente_Mes!$B$2:$B$145,$B291),IF($C291="Umidade",SUMIFS(Media_Cliente_Mes!$E$2:$E$145,Media_Cliente_Mes!$A$2:$A$145,$A291,Media_Cliente_Mes!$B$2:$B$145,$B291),SUMIFS(Media_Cliente_Mes!$F$2:$F$145,Media_Cliente_Mes!$A$2:$A$145,$A291,Media_Cliente_Mes!$B$2:$B$145,$B291))))</f>
        <v/>
      </c>
      <c r="F291" s="35" t="n">
        <f aca="false">INDEX(Parametros_ANEC73!$C$4:$C$6,MATCH($C291,Parametros_ANEC73!$A$4:$A$6,0))</f>
        <v>12.5</v>
      </c>
      <c r="G291" s="35" t="n">
        <f aca="false">IF($C291="Proteina",INDEX(Media_Pool_Mes!$C$2:$C$13,MATCH($B291,Media_Pool_Mes!$A$2:$A$13,0)),IF($C291="Umidade",INDEX(Media_Pool_Mes!$D$2:$D$13,MATCH($B291,Media_Pool_Mes!$A$2:$A$13,0)),INDEX(Media_Pool_Mes!$E$2:$E$13,MATCH($B291,Media_Pool_Mes!$A$2:$A$13,0))))</f>
        <v>12.076727887935</v>
      </c>
      <c r="H291" s="37" t="n">
        <f aca="false">INDEX(Parametros_ANEC73!$B$4:$B$6,MATCH($C291,Parametros_ANEC73!$A$4:$A$6,0))</f>
        <v>1</v>
      </c>
      <c r="I291" s="38" t="str">
        <f aca="false">IF(OR($D291=0,$G291=""),"",IF($H291*($G291-$F291)&gt;0,$G291,$F291))</f>
        <v/>
      </c>
      <c r="J291" s="27" t="str">
        <f aca="false">IF(OR($D291=0,$G291=""),"",IF($H291*($G291-$F291)&gt;0,"Sim","Nao"))</f>
        <v/>
      </c>
      <c r="K291" s="27" t="str">
        <f aca="false">IF(OR($D291=0,$G291=""),"",IF(AND($H291*($E291-$F291)&gt;0,$H291*($E291-$G291)&gt;0),"Sim","Nao"))</f>
        <v/>
      </c>
      <c r="L291" s="38" t="n">
        <f aca="false">IF(OR($D291=0,$G291=""),0,IF($K291="Sim",MAX(0,$H291*($E291-$I291)),0))</f>
        <v>0</v>
      </c>
      <c r="M291" s="35" t="n">
        <f aca="false">INDEX(Parametros_ANEC73!$G$4:$G$6,MATCH($C291,Parametros_ANEC73!$A$4:$A$6,0))</f>
        <v>0</v>
      </c>
      <c r="N291" s="38" t="n">
        <f aca="false">IF(OR($D291=0,$G291=""),0,IF(AND($K291="Sim",$M291&lt;&gt;""),MAX(0,$H291*($E291-$M291)),0))</f>
        <v>0</v>
      </c>
      <c r="O291" s="35" t="n">
        <f aca="false">INDEX(Parametros_ANEC73!$J$4:$J$6,MATCH($C291,Parametros_ANEC73!$A$4:$A$6,0))</f>
        <v>0</v>
      </c>
      <c r="P291" s="38" t="n">
        <f aca="false">IF(OR($D291=0,$G291=""),0,IF(AND($K291="Sim",$O291&lt;&gt;""),MAX(0,$H291*($E291-$O291)),0))</f>
        <v>0</v>
      </c>
      <c r="Q291" s="35" t="n">
        <f aca="false">INDEX(Parametros_ANEC73!$F$4:$F$6,MATCH($C291,Parametros_ANEC73!$A$4:$A$6,0))</f>
        <v>1</v>
      </c>
      <c r="R291" s="35" t="n">
        <f aca="false">INDEX(Parametros_ANEC73!$I$4:$I$6,MATCH($C291,Parametros_ANEC73!$A$4:$A$6,0))</f>
        <v>0</v>
      </c>
      <c r="S291" s="35" t="n">
        <f aca="false">INDEX(Parametros_ANEC73!$L$4:$L$6,MATCH($C291,Parametros_ANEC73!$A$4:$A$6,0))</f>
        <v>0</v>
      </c>
      <c r="T291" s="39" t="n">
        <f aca="false">INDEX(Parametros_ANEC73!$B$14:$B$25,MATCH($B291,Parametros_ANEC73!$A$14:$A$25,0))</f>
        <v>386</v>
      </c>
      <c r="U291" s="40" t="n">
        <f aca="false">IF(OR($D291=0,$G291=""),0,$D291*($T291/100)*($L291*$Q291+$N291*(IF($R291="",$Q291,$R291)-$Q291)+$P291*(IF($S291="",IF($R291="",$Q291,$R291),$S291)-IF($R291="",$Q291,$R291))))</f>
        <v>0</v>
      </c>
      <c r="V291" s="41" t="str">
        <f aca="false">IF(OR($D291=0,$G291=""),"",IF($H291*($E291-INDEX(Parametros_ANEC73!$M$4:$M$6,MATCH($C291,Parametros_ANEC73!$A$4:$A$6,0)))&gt;0,"Sim","Nao"))</f>
        <v/>
      </c>
      <c r="W291" s="27" t="str">
        <f aca="false">$A291&amp;"|"&amp;$B291&amp;"|"&amp;$C291</f>
        <v>Aliança|Jan|Umidade</v>
      </c>
    </row>
    <row r="292" customFormat="false" ht="15" hidden="false" customHeight="false" outlineLevel="0" collapsed="false">
      <c r="A292" s="27" t="s">
        <v>47</v>
      </c>
      <c r="B292" s="27" t="s">
        <v>38</v>
      </c>
      <c r="C292" s="27" t="s">
        <v>111</v>
      </c>
      <c r="D292" s="34" t="n">
        <f aca="false">SUMIFS(Media_Cliente_Mes!$C$2:$C$145,Media_Cliente_Mes!$A$2:$A$145,$A292,Media_Cliente_Mes!$B$2:$B$145,$B292)</f>
        <v>0</v>
      </c>
      <c r="E292" s="35" t="str">
        <f aca="false">IF($D292=0,"",IF($C292="Proteina",SUMIFS(Media_Cliente_Mes!$D$2:$D$145,Media_Cliente_Mes!$A$2:$A$145,$A292,Media_Cliente_Mes!$B$2:$B$145,$B292),IF($C292="Umidade",SUMIFS(Media_Cliente_Mes!$E$2:$E$145,Media_Cliente_Mes!$A$2:$A$145,$A292,Media_Cliente_Mes!$B$2:$B$145,$B292),SUMIFS(Media_Cliente_Mes!$F$2:$F$145,Media_Cliente_Mes!$A$2:$A$145,$A292,Media_Cliente_Mes!$B$2:$B$145,$B292))))</f>
        <v/>
      </c>
      <c r="F292" s="35" t="n">
        <f aca="false">INDEX(Parametros_ANEC73!$C$4:$C$6,MATCH($C292,Parametros_ANEC73!$A$4:$A$6,0))</f>
        <v>3.5</v>
      </c>
      <c r="G292" s="35" t="n">
        <f aca="false">IF($C292="Proteina",INDEX(Media_Pool_Mes!$C$2:$C$13,MATCH($B292,Media_Pool_Mes!$A$2:$A$13,0)),IF($C292="Umidade",INDEX(Media_Pool_Mes!$D$2:$D$13,MATCH($B292,Media_Pool_Mes!$A$2:$A$13,0)),INDEX(Media_Pool_Mes!$E$2:$E$13,MATCH($B292,Media_Pool_Mes!$A$2:$A$13,0))))</f>
        <v>3.51752485295922</v>
      </c>
      <c r="H292" s="37" t="n">
        <f aca="false">INDEX(Parametros_ANEC73!$B$4:$B$6,MATCH($C292,Parametros_ANEC73!$A$4:$A$6,0))</f>
        <v>1</v>
      </c>
      <c r="I292" s="38" t="str">
        <f aca="false">IF(OR($D292=0,$G292=""),"",IF($H292*($G292-$F292)&gt;0,$G292,$F292))</f>
        <v/>
      </c>
      <c r="J292" s="27" t="str">
        <f aca="false">IF(OR($D292=0,$G292=""),"",IF($H292*($G292-$F292)&gt;0,"Sim","Nao"))</f>
        <v/>
      </c>
      <c r="K292" s="27" t="str">
        <f aca="false">IF(OR($D292=0,$G292=""),"",IF(AND($H292*($E292-$F292)&gt;0,$H292*($E292-$G292)&gt;0),"Sim","Nao"))</f>
        <v/>
      </c>
      <c r="L292" s="38" t="n">
        <f aca="false">IF(OR($D292=0,$G292=""),0,IF($K292="Sim",MAX(0,$H292*($E292-$I292)),0))</f>
        <v>0</v>
      </c>
      <c r="M292" s="35" t="n">
        <f aca="false">INDEX(Parametros_ANEC73!$G$4:$G$6,MATCH($C292,Parametros_ANEC73!$A$4:$A$6,0))</f>
        <v>3.8</v>
      </c>
      <c r="N292" s="38" t="n">
        <f aca="false">IF(OR($D292=0,$G292=""),0,IF(AND($K292="Sim",$M292&lt;&gt;""),MAX(0,$H292*($E292-$M292)),0))</f>
        <v>0</v>
      </c>
      <c r="O292" s="35" t="n">
        <f aca="false">INDEX(Parametros_ANEC73!$J$4:$J$6,MATCH($C292,Parametros_ANEC73!$A$4:$A$6,0))</f>
        <v>4</v>
      </c>
      <c r="P292" s="38" t="n">
        <f aca="false">IF(OR($D292=0,$G292=""),0,IF(AND($K292="Sim",$O292&lt;&gt;""),MAX(0,$H292*($E292-$O292)),0))</f>
        <v>0</v>
      </c>
      <c r="Q292" s="35" t="n">
        <f aca="false">INDEX(Parametros_ANEC73!$F$4:$F$6,MATCH($C292,Parametros_ANEC73!$A$4:$A$6,0))</f>
        <v>1</v>
      </c>
      <c r="R292" s="35" t="n">
        <f aca="false">INDEX(Parametros_ANEC73!$I$4:$I$6,MATCH($C292,Parametros_ANEC73!$A$4:$A$6,0))</f>
        <v>1.5</v>
      </c>
      <c r="S292" s="35" t="n">
        <f aca="false">INDEX(Parametros_ANEC73!$L$4:$L$6,MATCH($C292,Parametros_ANEC73!$A$4:$A$6,0))</f>
        <v>2</v>
      </c>
      <c r="T292" s="39" t="n">
        <f aca="false">INDEX(Parametros_ANEC73!$B$14:$B$25,MATCH($B292,Parametros_ANEC73!$A$14:$A$25,0))</f>
        <v>386</v>
      </c>
      <c r="U292" s="40" t="n">
        <f aca="false">IF(OR($D292=0,$G292=""),0,$D292*($T292/100)*($L292*$Q292+$N292*(IF($R292="",$Q292,$R292)-$Q292)+$P292*(IF($S292="",IF($R292="",$Q292,$R292),$S292)-IF($R292="",$Q292,$R292))))</f>
        <v>0</v>
      </c>
      <c r="V292" s="41" t="str">
        <f aca="false">IF(OR($D292=0,$G292=""),"",IF($H292*($E292-INDEX(Parametros_ANEC73!$M$4:$M$6,MATCH($C292,Parametros_ANEC73!$A$4:$A$6,0)))&gt;0,"Sim","Nao"))</f>
        <v/>
      </c>
      <c r="W292" s="27" t="str">
        <f aca="false">$A292&amp;"|"&amp;$B292&amp;"|"&amp;$C292</f>
        <v>Aliança|Jan|Fibra</v>
      </c>
    </row>
    <row r="293" customFormat="false" ht="15" hidden="false" customHeight="false" outlineLevel="0" collapsed="false">
      <c r="A293" s="27" t="s">
        <v>47</v>
      </c>
      <c r="B293" s="27" t="s">
        <v>59</v>
      </c>
      <c r="C293" s="27" t="s">
        <v>109</v>
      </c>
      <c r="D293" s="34" t="n">
        <f aca="false">SUMIFS(Media_Cliente_Mes!$C$2:$C$145,Media_Cliente_Mes!$A$2:$A$145,$A293,Media_Cliente_Mes!$B$2:$B$145,$B293)</f>
        <v>0</v>
      </c>
      <c r="E293" s="35" t="str">
        <f aca="false">IF($D293=0,"",IF($C293="Proteina",SUMIFS(Media_Cliente_Mes!$D$2:$D$145,Media_Cliente_Mes!$A$2:$A$145,$A293,Media_Cliente_Mes!$B$2:$B$145,$B293),IF($C293="Umidade",SUMIFS(Media_Cliente_Mes!$E$2:$E$145,Media_Cliente_Mes!$A$2:$A$145,$A293,Media_Cliente_Mes!$B$2:$B$145,$B293),SUMIFS(Media_Cliente_Mes!$F$2:$F$145,Media_Cliente_Mes!$A$2:$A$145,$A293,Media_Cliente_Mes!$B$2:$B$145,$B293))))</f>
        <v/>
      </c>
      <c r="F293" s="35" t="n">
        <f aca="false">INDEX(Parametros_ANEC73!$C$4:$C$6,MATCH($C293,Parametros_ANEC73!$A$4:$A$6,0))</f>
        <v>48</v>
      </c>
      <c r="G293" s="35" t="n">
        <f aca="false">IF($C293="Proteina",INDEX(Media_Pool_Mes!$C$2:$C$13,MATCH($B293,Media_Pool_Mes!$A$2:$A$13,0)),IF($C293="Umidade",INDEX(Media_Pool_Mes!$D$2:$D$13,MATCH($B293,Media_Pool_Mes!$A$2:$A$13,0)),INDEX(Media_Pool_Mes!$E$2:$E$13,MATCH($B293,Media_Pool_Mes!$A$2:$A$13,0))))</f>
        <v>47.3405726705791</v>
      </c>
      <c r="H293" s="37" t="n">
        <f aca="false">INDEX(Parametros_ANEC73!$B$4:$B$6,MATCH($C293,Parametros_ANEC73!$A$4:$A$6,0))</f>
        <v>-1</v>
      </c>
      <c r="I293" s="38" t="str">
        <f aca="false">IF(OR($D293=0,$G293=""),"",IF($H293*($G293-$F293)&gt;0,$G293,$F293))</f>
        <v/>
      </c>
      <c r="J293" s="27" t="str">
        <f aca="false">IF(OR($D293=0,$G293=""),"",IF($H293*($G293-$F293)&gt;0,"Sim","Nao"))</f>
        <v/>
      </c>
      <c r="K293" s="27" t="str">
        <f aca="false">IF(OR($D293=0,$G293=""),"",IF(AND($H293*($E293-$F293)&gt;0,$H293*($E293-$G293)&gt;0),"Sim","Nao"))</f>
        <v/>
      </c>
      <c r="L293" s="38" t="n">
        <f aca="false">IF(OR($D293=0,$G293=""),0,IF($K293="Sim",MAX(0,$H293*($E293-$I293)),0))</f>
        <v>0</v>
      </c>
      <c r="M293" s="35" t="n">
        <f aca="false">INDEX(Parametros_ANEC73!$G$4:$G$6,MATCH($C293,Parametros_ANEC73!$A$4:$A$6,0))</f>
        <v>47</v>
      </c>
      <c r="N293" s="38" t="n">
        <f aca="false">IF(OR($D293=0,$G293=""),0,IF(AND($K293="Sim",$M293&lt;&gt;""),MAX(0,$H293*($E293-$M293)),0))</f>
        <v>0</v>
      </c>
      <c r="O293" s="35" t="n">
        <f aca="false">INDEX(Parametros_ANEC73!$J$4:$J$6,MATCH($C293,Parametros_ANEC73!$A$4:$A$6,0))</f>
        <v>0</v>
      </c>
      <c r="P293" s="38" t="n">
        <f aca="false">IF(OR($D293=0,$G293=""),0,IF(AND($K293="Sim",$O293&lt;&gt;""),MAX(0,$H293*($E293-$O293)),0))</f>
        <v>0</v>
      </c>
      <c r="Q293" s="35" t="n">
        <f aca="false">INDEX(Parametros_ANEC73!$F$4:$F$6,MATCH($C293,Parametros_ANEC73!$A$4:$A$6,0))</f>
        <v>1</v>
      </c>
      <c r="R293" s="35" t="n">
        <f aca="false">INDEX(Parametros_ANEC73!$I$4:$I$6,MATCH($C293,Parametros_ANEC73!$A$4:$A$6,0))</f>
        <v>2</v>
      </c>
      <c r="S293" s="35" t="n">
        <f aca="false">INDEX(Parametros_ANEC73!$L$4:$L$6,MATCH($C293,Parametros_ANEC73!$A$4:$A$6,0))</f>
        <v>0</v>
      </c>
      <c r="T293" s="39" t="n">
        <f aca="false">INDEX(Parametros_ANEC73!$B$14:$B$25,MATCH($B293,Parametros_ANEC73!$A$14:$A$25,0))</f>
        <v>391</v>
      </c>
      <c r="U293" s="40" t="n">
        <f aca="false">IF(OR($D293=0,$G293=""),0,$D293*($T293/100)*($L293*$Q293+$N293*(IF($R293="",$Q293,$R293)-$Q293)+$P293*(IF($S293="",IF($R293="",$Q293,$R293),$S293)-IF($R293="",$Q293,$R293))))</f>
        <v>0</v>
      </c>
      <c r="V293" s="41" t="str">
        <f aca="false">IF(OR($D293=0,$G293=""),"",IF($H293*($E293-INDEX(Parametros_ANEC73!$M$4:$M$6,MATCH($C293,Parametros_ANEC73!$A$4:$A$6,0)))&gt;0,"Sim","Nao"))</f>
        <v/>
      </c>
      <c r="W293" s="27" t="str">
        <f aca="false">$A293&amp;"|"&amp;$B293&amp;"|"&amp;$C293</f>
        <v>Aliança|Fev|Proteina</v>
      </c>
    </row>
    <row r="294" customFormat="false" ht="15" hidden="false" customHeight="false" outlineLevel="0" collapsed="false">
      <c r="A294" s="27" t="s">
        <v>47</v>
      </c>
      <c r="B294" s="27" t="s">
        <v>59</v>
      </c>
      <c r="C294" s="27" t="s">
        <v>110</v>
      </c>
      <c r="D294" s="34" t="n">
        <f aca="false">SUMIFS(Media_Cliente_Mes!$C$2:$C$145,Media_Cliente_Mes!$A$2:$A$145,$A294,Media_Cliente_Mes!$B$2:$B$145,$B294)</f>
        <v>0</v>
      </c>
      <c r="E294" s="35" t="str">
        <f aca="false">IF($D294=0,"",IF($C294="Proteina",SUMIFS(Media_Cliente_Mes!$D$2:$D$145,Media_Cliente_Mes!$A$2:$A$145,$A294,Media_Cliente_Mes!$B$2:$B$145,$B294),IF($C294="Umidade",SUMIFS(Media_Cliente_Mes!$E$2:$E$145,Media_Cliente_Mes!$A$2:$A$145,$A294,Media_Cliente_Mes!$B$2:$B$145,$B294),SUMIFS(Media_Cliente_Mes!$F$2:$F$145,Media_Cliente_Mes!$A$2:$A$145,$A294,Media_Cliente_Mes!$B$2:$B$145,$B294))))</f>
        <v/>
      </c>
      <c r="F294" s="35" t="n">
        <f aca="false">INDEX(Parametros_ANEC73!$C$4:$C$6,MATCH($C294,Parametros_ANEC73!$A$4:$A$6,0))</f>
        <v>12.5</v>
      </c>
      <c r="G294" s="35" t="n">
        <f aca="false">IF($C294="Proteina",INDEX(Media_Pool_Mes!$C$2:$C$13,MATCH($B294,Media_Pool_Mes!$A$2:$A$13,0)),IF($C294="Umidade",INDEX(Media_Pool_Mes!$D$2:$D$13,MATCH($B294,Media_Pool_Mes!$A$2:$A$13,0)),INDEX(Media_Pool_Mes!$E$2:$E$13,MATCH($B294,Media_Pool_Mes!$A$2:$A$13,0))))</f>
        <v>12.2454829634779</v>
      </c>
      <c r="H294" s="37" t="n">
        <f aca="false">INDEX(Parametros_ANEC73!$B$4:$B$6,MATCH($C294,Parametros_ANEC73!$A$4:$A$6,0))</f>
        <v>1</v>
      </c>
      <c r="I294" s="38" t="str">
        <f aca="false">IF(OR($D294=0,$G294=""),"",IF($H294*($G294-$F294)&gt;0,$G294,$F294))</f>
        <v/>
      </c>
      <c r="J294" s="27" t="str">
        <f aca="false">IF(OR($D294=0,$G294=""),"",IF($H294*($G294-$F294)&gt;0,"Sim","Nao"))</f>
        <v/>
      </c>
      <c r="K294" s="27" t="str">
        <f aca="false">IF(OR($D294=0,$G294=""),"",IF(AND($H294*($E294-$F294)&gt;0,$H294*($E294-$G294)&gt;0),"Sim","Nao"))</f>
        <v/>
      </c>
      <c r="L294" s="38" t="n">
        <f aca="false">IF(OR($D294=0,$G294=""),0,IF($K294="Sim",MAX(0,$H294*($E294-$I294)),0))</f>
        <v>0</v>
      </c>
      <c r="M294" s="35" t="n">
        <f aca="false">INDEX(Parametros_ANEC73!$G$4:$G$6,MATCH($C294,Parametros_ANEC73!$A$4:$A$6,0))</f>
        <v>0</v>
      </c>
      <c r="N294" s="38" t="n">
        <f aca="false">IF(OR($D294=0,$G294=""),0,IF(AND($K294="Sim",$M294&lt;&gt;""),MAX(0,$H294*($E294-$M294)),0))</f>
        <v>0</v>
      </c>
      <c r="O294" s="35" t="n">
        <f aca="false">INDEX(Parametros_ANEC73!$J$4:$J$6,MATCH($C294,Parametros_ANEC73!$A$4:$A$6,0))</f>
        <v>0</v>
      </c>
      <c r="P294" s="38" t="n">
        <f aca="false">IF(OR($D294=0,$G294=""),0,IF(AND($K294="Sim",$O294&lt;&gt;""),MAX(0,$H294*($E294-$O294)),0))</f>
        <v>0</v>
      </c>
      <c r="Q294" s="35" t="n">
        <f aca="false">INDEX(Parametros_ANEC73!$F$4:$F$6,MATCH($C294,Parametros_ANEC73!$A$4:$A$6,0))</f>
        <v>1</v>
      </c>
      <c r="R294" s="35" t="n">
        <f aca="false">INDEX(Parametros_ANEC73!$I$4:$I$6,MATCH($C294,Parametros_ANEC73!$A$4:$A$6,0))</f>
        <v>0</v>
      </c>
      <c r="S294" s="35" t="n">
        <f aca="false">INDEX(Parametros_ANEC73!$L$4:$L$6,MATCH($C294,Parametros_ANEC73!$A$4:$A$6,0))</f>
        <v>0</v>
      </c>
      <c r="T294" s="39" t="n">
        <f aca="false">INDEX(Parametros_ANEC73!$B$14:$B$25,MATCH($B294,Parametros_ANEC73!$A$14:$A$25,0))</f>
        <v>391</v>
      </c>
      <c r="U294" s="40" t="n">
        <f aca="false">IF(OR($D294=0,$G294=""),0,$D294*($T294/100)*($L294*$Q294+$N294*(IF($R294="",$Q294,$R294)-$Q294)+$P294*(IF($S294="",IF($R294="",$Q294,$R294),$S294)-IF($R294="",$Q294,$R294))))</f>
        <v>0</v>
      </c>
      <c r="V294" s="41" t="str">
        <f aca="false">IF(OR($D294=0,$G294=""),"",IF($H294*($E294-INDEX(Parametros_ANEC73!$M$4:$M$6,MATCH($C294,Parametros_ANEC73!$A$4:$A$6,0)))&gt;0,"Sim","Nao"))</f>
        <v/>
      </c>
      <c r="W294" s="27" t="str">
        <f aca="false">$A294&amp;"|"&amp;$B294&amp;"|"&amp;$C294</f>
        <v>Aliança|Fev|Umidade</v>
      </c>
    </row>
    <row r="295" customFormat="false" ht="15" hidden="false" customHeight="false" outlineLevel="0" collapsed="false">
      <c r="A295" s="27" t="s">
        <v>47</v>
      </c>
      <c r="B295" s="27" t="s">
        <v>59</v>
      </c>
      <c r="C295" s="27" t="s">
        <v>111</v>
      </c>
      <c r="D295" s="34" t="n">
        <f aca="false">SUMIFS(Media_Cliente_Mes!$C$2:$C$145,Media_Cliente_Mes!$A$2:$A$145,$A295,Media_Cliente_Mes!$B$2:$B$145,$B295)</f>
        <v>0</v>
      </c>
      <c r="E295" s="35" t="str">
        <f aca="false">IF($D295=0,"",IF($C295="Proteina",SUMIFS(Media_Cliente_Mes!$D$2:$D$145,Media_Cliente_Mes!$A$2:$A$145,$A295,Media_Cliente_Mes!$B$2:$B$145,$B295),IF($C295="Umidade",SUMIFS(Media_Cliente_Mes!$E$2:$E$145,Media_Cliente_Mes!$A$2:$A$145,$A295,Media_Cliente_Mes!$B$2:$B$145,$B295),SUMIFS(Media_Cliente_Mes!$F$2:$F$145,Media_Cliente_Mes!$A$2:$A$145,$A295,Media_Cliente_Mes!$B$2:$B$145,$B295))))</f>
        <v/>
      </c>
      <c r="F295" s="35" t="n">
        <f aca="false">INDEX(Parametros_ANEC73!$C$4:$C$6,MATCH($C295,Parametros_ANEC73!$A$4:$A$6,0))</f>
        <v>3.5</v>
      </c>
      <c r="G295" s="35" t="n">
        <f aca="false">IF($C295="Proteina",INDEX(Media_Pool_Mes!$C$2:$C$13,MATCH($B295,Media_Pool_Mes!$A$2:$A$13,0)),IF($C295="Umidade",INDEX(Media_Pool_Mes!$D$2:$D$13,MATCH($B295,Media_Pool_Mes!$A$2:$A$13,0)),INDEX(Media_Pool_Mes!$E$2:$E$13,MATCH($B295,Media_Pool_Mes!$A$2:$A$13,0))))</f>
        <v>3.61845158781616</v>
      </c>
      <c r="H295" s="37" t="n">
        <f aca="false">INDEX(Parametros_ANEC73!$B$4:$B$6,MATCH($C295,Parametros_ANEC73!$A$4:$A$6,0))</f>
        <v>1</v>
      </c>
      <c r="I295" s="38" t="str">
        <f aca="false">IF(OR($D295=0,$G295=""),"",IF($H295*($G295-$F295)&gt;0,$G295,$F295))</f>
        <v/>
      </c>
      <c r="J295" s="27" t="str">
        <f aca="false">IF(OR($D295=0,$G295=""),"",IF($H295*($G295-$F295)&gt;0,"Sim","Nao"))</f>
        <v/>
      </c>
      <c r="K295" s="27" t="str">
        <f aca="false">IF(OR($D295=0,$G295=""),"",IF(AND($H295*($E295-$F295)&gt;0,$H295*($E295-$G295)&gt;0),"Sim","Nao"))</f>
        <v/>
      </c>
      <c r="L295" s="38" t="n">
        <f aca="false">IF(OR($D295=0,$G295=""),0,IF($K295="Sim",MAX(0,$H295*($E295-$I295)),0))</f>
        <v>0</v>
      </c>
      <c r="M295" s="35" t="n">
        <f aca="false">INDEX(Parametros_ANEC73!$G$4:$G$6,MATCH($C295,Parametros_ANEC73!$A$4:$A$6,0))</f>
        <v>3.8</v>
      </c>
      <c r="N295" s="38" t="n">
        <f aca="false">IF(OR($D295=0,$G295=""),0,IF(AND($K295="Sim",$M295&lt;&gt;""),MAX(0,$H295*($E295-$M295)),0))</f>
        <v>0</v>
      </c>
      <c r="O295" s="35" t="n">
        <f aca="false">INDEX(Parametros_ANEC73!$J$4:$J$6,MATCH($C295,Parametros_ANEC73!$A$4:$A$6,0))</f>
        <v>4</v>
      </c>
      <c r="P295" s="38" t="n">
        <f aca="false">IF(OR($D295=0,$G295=""),0,IF(AND($K295="Sim",$O295&lt;&gt;""),MAX(0,$H295*($E295-$O295)),0))</f>
        <v>0</v>
      </c>
      <c r="Q295" s="35" t="n">
        <f aca="false">INDEX(Parametros_ANEC73!$F$4:$F$6,MATCH($C295,Parametros_ANEC73!$A$4:$A$6,0))</f>
        <v>1</v>
      </c>
      <c r="R295" s="35" t="n">
        <f aca="false">INDEX(Parametros_ANEC73!$I$4:$I$6,MATCH($C295,Parametros_ANEC73!$A$4:$A$6,0))</f>
        <v>1.5</v>
      </c>
      <c r="S295" s="35" t="n">
        <f aca="false">INDEX(Parametros_ANEC73!$L$4:$L$6,MATCH($C295,Parametros_ANEC73!$A$4:$A$6,0))</f>
        <v>2</v>
      </c>
      <c r="T295" s="39" t="n">
        <f aca="false">INDEX(Parametros_ANEC73!$B$14:$B$25,MATCH($B295,Parametros_ANEC73!$A$14:$A$25,0))</f>
        <v>391</v>
      </c>
      <c r="U295" s="40" t="n">
        <f aca="false">IF(OR($D295=0,$G295=""),0,$D295*($T295/100)*($L295*$Q295+$N295*(IF($R295="",$Q295,$R295)-$Q295)+$P295*(IF($S295="",IF($R295="",$Q295,$R295),$S295)-IF($R295="",$Q295,$R295))))</f>
        <v>0</v>
      </c>
      <c r="V295" s="41" t="str">
        <f aca="false">IF(OR($D295=0,$G295=""),"",IF($H295*($E295-INDEX(Parametros_ANEC73!$M$4:$M$6,MATCH($C295,Parametros_ANEC73!$A$4:$A$6,0)))&gt;0,"Sim","Nao"))</f>
        <v/>
      </c>
      <c r="W295" s="27" t="str">
        <f aca="false">$A295&amp;"|"&amp;$B295&amp;"|"&amp;$C295</f>
        <v>Aliança|Fev|Fibra</v>
      </c>
    </row>
    <row r="296" customFormat="false" ht="15" hidden="false" customHeight="false" outlineLevel="0" collapsed="false">
      <c r="A296" s="27" t="s">
        <v>47</v>
      </c>
      <c r="B296" s="27" t="s">
        <v>60</v>
      </c>
      <c r="C296" s="27" t="s">
        <v>109</v>
      </c>
      <c r="D296" s="34" t="n">
        <f aca="false">SUMIFS(Media_Cliente_Mes!$C$2:$C$145,Media_Cliente_Mes!$A$2:$A$145,$A296,Media_Cliente_Mes!$B$2:$B$145,$B296)</f>
        <v>0</v>
      </c>
      <c r="E296" s="35" t="str">
        <f aca="false">IF($D296=0,"",IF($C296="Proteina",SUMIFS(Media_Cliente_Mes!$D$2:$D$145,Media_Cliente_Mes!$A$2:$A$145,$A296,Media_Cliente_Mes!$B$2:$B$145,$B296),IF($C296="Umidade",SUMIFS(Media_Cliente_Mes!$E$2:$E$145,Media_Cliente_Mes!$A$2:$A$145,$A296,Media_Cliente_Mes!$B$2:$B$145,$B296),SUMIFS(Media_Cliente_Mes!$F$2:$F$145,Media_Cliente_Mes!$A$2:$A$145,$A296,Media_Cliente_Mes!$B$2:$B$145,$B296))))</f>
        <v/>
      </c>
      <c r="F296" s="35" t="n">
        <f aca="false">INDEX(Parametros_ANEC73!$C$4:$C$6,MATCH($C296,Parametros_ANEC73!$A$4:$A$6,0))</f>
        <v>48</v>
      </c>
      <c r="G296" s="35" t="n">
        <f aca="false">IF($C296="Proteina",INDEX(Media_Pool_Mes!$C$2:$C$13,MATCH($B296,Media_Pool_Mes!$A$2:$A$13,0)),IF($C296="Umidade",INDEX(Media_Pool_Mes!$D$2:$D$13,MATCH($B296,Media_Pool_Mes!$A$2:$A$13,0)),INDEX(Media_Pool_Mes!$E$2:$E$13,MATCH($B296,Media_Pool_Mes!$A$2:$A$13,0))))</f>
        <v>47.332231823374</v>
      </c>
      <c r="H296" s="37" t="n">
        <f aca="false">INDEX(Parametros_ANEC73!$B$4:$B$6,MATCH($C296,Parametros_ANEC73!$A$4:$A$6,0))</f>
        <v>-1</v>
      </c>
      <c r="I296" s="38" t="str">
        <f aca="false">IF(OR($D296=0,$G296=""),"",IF($H296*($G296-$F296)&gt;0,$G296,$F296))</f>
        <v/>
      </c>
      <c r="J296" s="27" t="str">
        <f aca="false">IF(OR($D296=0,$G296=""),"",IF($H296*($G296-$F296)&gt;0,"Sim","Nao"))</f>
        <v/>
      </c>
      <c r="K296" s="27" t="str">
        <f aca="false">IF(OR($D296=0,$G296=""),"",IF(AND($H296*($E296-$F296)&gt;0,$H296*($E296-$G296)&gt;0),"Sim","Nao"))</f>
        <v/>
      </c>
      <c r="L296" s="38" t="n">
        <f aca="false">IF(OR($D296=0,$G296=""),0,IF($K296="Sim",MAX(0,$H296*($E296-$I296)),0))</f>
        <v>0</v>
      </c>
      <c r="M296" s="35" t="n">
        <f aca="false">INDEX(Parametros_ANEC73!$G$4:$G$6,MATCH($C296,Parametros_ANEC73!$A$4:$A$6,0))</f>
        <v>47</v>
      </c>
      <c r="N296" s="38" t="n">
        <f aca="false">IF(OR($D296=0,$G296=""),0,IF(AND($K296="Sim",$M296&lt;&gt;""),MAX(0,$H296*($E296-$M296)),0))</f>
        <v>0</v>
      </c>
      <c r="O296" s="35" t="n">
        <f aca="false">INDEX(Parametros_ANEC73!$J$4:$J$6,MATCH($C296,Parametros_ANEC73!$A$4:$A$6,0))</f>
        <v>0</v>
      </c>
      <c r="P296" s="38" t="n">
        <f aca="false">IF(OR($D296=0,$G296=""),0,IF(AND($K296="Sim",$O296&lt;&gt;""),MAX(0,$H296*($E296-$O296)),0))</f>
        <v>0</v>
      </c>
      <c r="Q296" s="35" t="n">
        <f aca="false">INDEX(Parametros_ANEC73!$F$4:$F$6,MATCH($C296,Parametros_ANEC73!$A$4:$A$6,0))</f>
        <v>1</v>
      </c>
      <c r="R296" s="35" t="n">
        <f aca="false">INDEX(Parametros_ANEC73!$I$4:$I$6,MATCH($C296,Parametros_ANEC73!$A$4:$A$6,0))</f>
        <v>2</v>
      </c>
      <c r="S296" s="35" t="n">
        <f aca="false">INDEX(Parametros_ANEC73!$L$4:$L$6,MATCH($C296,Parametros_ANEC73!$A$4:$A$6,0))</f>
        <v>0</v>
      </c>
      <c r="T296" s="39" t="n">
        <f aca="false">INDEX(Parametros_ANEC73!$B$14:$B$25,MATCH($B296,Parametros_ANEC73!$A$14:$A$25,0))</f>
        <v>404</v>
      </c>
      <c r="U296" s="40" t="n">
        <f aca="false">IF(OR($D296=0,$G296=""),0,$D296*($T296/100)*($L296*$Q296+$N296*(IF($R296="",$Q296,$R296)-$Q296)+$P296*(IF($S296="",IF($R296="",$Q296,$R296),$S296)-IF($R296="",$Q296,$R296))))</f>
        <v>0</v>
      </c>
      <c r="V296" s="41" t="str">
        <f aca="false">IF(OR($D296=0,$G296=""),"",IF($H296*($E296-INDEX(Parametros_ANEC73!$M$4:$M$6,MATCH($C296,Parametros_ANEC73!$A$4:$A$6,0)))&gt;0,"Sim","Nao"))</f>
        <v/>
      </c>
      <c r="W296" s="27" t="str">
        <f aca="false">$A296&amp;"|"&amp;$B296&amp;"|"&amp;$C296</f>
        <v>Aliança|Mar|Proteina</v>
      </c>
    </row>
    <row r="297" customFormat="false" ht="15" hidden="false" customHeight="false" outlineLevel="0" collapsed="false">
      <c r="A297" s="27" t="s">
        <v>47</v>
      </c>
      <c r="B297" s="27" t="s">
        <v>60</v>
      </c>
      <c r="C297" s="27" t="s">
        <v>110</v>
      </c>
      <c r="D297" s="34" t="n">
        <f aca="false">SUMIFS(Media_Cliente_Mes!$C$2:$C$145,Media_Cliente_Mes!$A$2:$A$145,$A297,Media_Cliente_Mes!$B$2:$B$145,$B297)</f>
        <v>0</v>
      </c>
      <c r="E297" s="35" t="str">
        <f aca="false">IF($D297=0,"",IF($C297="Proteina",SUMIFS(Media_Cliente_Mes!$D$2:$D$145,Media_Cliente_Mes!$A$2:$A$145,$A297,Media_Cliente_Mes!$B$2:$B$145,$B297),IF($C297="Umidade",SUMIFS(Media_Cliente_Mes!$E$2:$E$145,Media_Cliente_Mes!$A$2:$A$145,$A297,Media_Cliente_Mes!$B$2:$B$145,$B297),SUMIFS(Media_Cliente_Mes!$F$2:$F$145,Media_Cliente_Mes!$A$2:$A$145,$A297,Media_Cliente_Mes!$B$2:$B$145,$B297))))</f>
        <v/>
      </c>
      <c r="F297" s="35" t="n">
        <f aca="false">INDEX(Parametros_ANEC73!$C$4:$C$6,MATCH($C297,Parametros_ANEC73!$A$4:$A$6,0))</f>
        <v>12.5</v>
      </c>
      <c r="G297" s="35" t="n">
        <f aca="false">IF($C297="Proteina",INDEX(Media_Pool_Mes!$C$2:$C$13,MATCH($B297,Media_Pool_Mes!$A$2:$A$13,0)),IF($C297="Umidade",INDEX(Media_Pool_Mes!$D$2:$D$13,MATCH($B297,Media_Pool_Mes!$A$2:$A$13,0)),INDEX(Media_Pool_Mes!$E$2:$E$13,MATCH($B297,Media_Pool_Mes!$A$2:$A$13,0))))</f>
        <v>12.1740859181947</v>
      </c>
      <c r="H297" s="37" t="n">
        <f aca="false">INDEX(Parametros_ANEC73!$B$4:$B$6,MATCH($C297,Parametros_ANEC73!$A$4:$A$6,0))</f>
        <v>1</v>
      </c>
      <c r="I297" s="38" t="str">
        <f aca="false">IF(OR($D297=0,$G297=""),"",IF($H297*($G297-$F297)&gt;0,$G297,$F297))</f>
        <v/>
      </c>
      <c r="J297" s="27" t="str">
        <f aca="false">IF(OR($D297=0,$G297=""),"",IF($H297*($G297-$F297)&gt;0,"Sim","Nao"))</f>
        <v/>
      </c>
      <c r="K297" s="27" t="str">
        <f aca="false">IF(OR($D297=0,$G297=""),"",IF(AND($H297*($E297-$F297)&gt;0,$H297*($E297-$G297)&gt;0),"Sim","Nao"))</f>
        <v/>
      </c>
      <c r="L297" s="38" t="n">
        <f aca="false">IF(OR($D297=0,$G297=""),0,IF($K297="Sim",MAX(0,$H297*($E297-$I297)),0))</f>
        <v>0</v>
      </c>
      <c r="M297" s="35" t="n">
        <f aca="false">INDEX(Parametros_ANEC73!$G$4:$G$6,MATCH($C297,Parametros_ANEC73!$A$4:$A$6,0))</f>
        <v>0</v>
      </c>
      <c r="N297" s="38" t="n">
        <f aca="false">IF(OR($D297=0,$G297=""),0,IF(AND($K297="Sim",$M297&lt;&gt;""),MAX(0,$H297*($E297-$M297)),0))</f>
        <v>0</v>
      </c>
      <c r="O297" s="35" t="n">
        <f aca="false">INDEX(Parametros_ANEC73!$J$4:$J$6,MATCH($C297,Parametros_ANEC73!$A$4:$A$6,0))</f>
        <v>0</v>
      </c>
      <c r="P297" s="38" t="n">
        <f aca="false">IF(OR($D297=0,$G297=""),0,IF(AND($K297="Sim",$O297&lt;&gt;""),MAX(0,$H297*($E297-$O297)),0))</f>
        <v>0</v>
      </c>
      <c r="Q297" s="35" t="n">
        <f aca="false">INDEX(Parametros_ANEC73!$F$4:$F$6,MATCH($C297,Parametros_ANEC73!$A$4:$A$6,0))</f>
        <v>1</v>
      </c>
      <c r="R297" s="35" t="n">
        <f aca="false">INDEX(Parametros_ANEC73!$I$4:$I$6,MATCH($C297,Parametros_ANEC73!$A$4:$A$6,0))</f>
        <v>0</v>
      </c>
      <c r="S297" s="35" t="n">
        <f aca="false">INDEX(Parametros_ANEC73!$L$4:$L$6,MATCH($C297,Parametros_ANEC73!$A$4:$A$6,0))</f>
        <v>0</v>
      </c>
      <c r="T297" s="39" t="n">
        <f aca="false">INDEX(Parametros_ANEC73!$B$14:$B$25,MATCH($B297,Parametros_ANEC73!$A$14:$A$25,0))</f>
        <v>404</v>
      </c>
      <c r="U297" s="40" t="n">
        <f aca="false">IF(OR($D297=0,$G297=""),0,$D297*($T297/100)*($L297*$Q297+$N297*(IF($R297="",$Q297,$R297)-$Q297)+$P297*(IF($S297="",IF($R297="",$Q297,$R297),$S297)-IF($R297="",$Q297,$R297))))</f>
        <v>0</v>
      </c>
      <c r="V297" s="41" t="str">
        <f aca="false">IF(OR($D297=0,$G297=""),"",IF($H297*($E297-INDEX(Parametros_ANEC73!$M$4:$M$6,MATCH($C297,Parametros_ANEC73!$A$4:$A$6,0)))&gt;0,"Sim","Nao"))</f>
        <v/>
      </c>
      <c r="W297" s="27" t="str">
        <f aca="false">$A297&amp;"|"&amp;$B297&amp;"|"&amp;$C297</f>
        <v>Aliança|Mar|Umidade</v>
      </c>
    </row>
    <row r="298" customFormat="false" ht="15" hidden="false" customHeight="false" outlineLevel="0" collapsed="false">
      <c r="A298" s="27" t="s">
        <v>47</v>
      </c>
      <c r="B298" s="27" t="s">
        <v>60</v>
      </c>
      <c r="C298" s="27" t="s">
        <v>111</v>
      </c>
      <c r="D298" s="34" t="n">
        <f aca="false">SUMIFS(Media_Cliente_Mes!$C$2:$C$145,Media_Cliente_Mes!$A$2:$A$145,$A298,Media_Cliente_Mes!$B$2:$B$145,$B298)</f>
        <v>0</v>
      </c>
      <c r="E298" s="35" t="str">
        <f aca="false">IF($D298=0,"",IF($C298="Proteina",SUMIFS(Media_Cliente_Mes!$D$2:$D$145,Media_Cliente_Mes!$A$2:$A$145,$A298,Media_Cliente_Mes!$B$2:$B$145,$B298),IF($C298="Umidade",SUMIFS(Media_Cliente_Mes!$E$2:$E$145,Media_Cliente_Mes!$A$2:$A$145,$A298,Media_Cliente_Mes!$B$2:$B$145,$B298),SUMIFS(Media_Cliente_Mes!$F$2:$F$145,Media_Cliente_Mes!$A$2:$A$145,$A298,Media_Cliente_Mes!$B$2:$B$145,$B298))))</f>
        <v/>
      </c>
      <c r="F298" s="35" t="n">
        <f aca="false">INDEX(Parametros_ANEC73!$C$4:$C$6,MATCH($C298,Parametros_ANEC73!$A$4:$A$6,0))</f>
        <v>3.5</v>
      </c>
      <c r="G298" s="35" t="n">
        <f aca="false">IF($C298="Proteina",INDEX(Media_Pool_Mes!$C$2:$C$13,MATCH($B298,Media_Pool_Mes!$A$2:$A$13,0)),IF($C298="Umidade",INDEX(Media_Pool_Mes!$D$2:$D$13,MATCH($B298,Media_Pool_Mes!$A$2:$A$13,0)),INDEX(Media_Pool_Mes!$E$2:$E$13,MATCH($B298,Media_Pool_Mes!$A$2:$A$13,0))))</f>
        <v>3.70596068520473</v>
      </c>
      <c r="H298" s="37" t="n">
        <f aca="false">INDEX(Parametros_ANEC73!$B$4:$B$6,MATCH($C298,Parametros_ANEC73!$A$4:$A$6,0))</f>
        <v>1</v>
      </c>
      <c r="I298" s="38" t="str">
        <f aca="false">IF(OR($D298=0,$G298=""),"",IF($H298*($G298-$F298)&gt;0,$G298,$F298))</f>
        <v/>
      </c>
      <c r="J298" s="27" t="str">
        <f aca="false">IF(OR($D298=0,$G298=""),"",IF($H298*($G298-$F298)&gt;0,"Sim","Nao"))</f>
        <v/>
      </c>
      <c r="K298" s="27" t="str">
        <f aca="false">IF(OR($D298=0,$G298=""),"",IF(AND($H298*($E298-$F298)&gt;0,$H298*($E298-$G298)&gt;0),"Sim","Nao"))</f>
        <v/>
      </c>
      <c r="L298" s="38" t="n">
        <f aca="false">IF(OR($D298=0,$G298=""),0,IF($K298="Sim",MAX(0,$H298*($E298-$I298)),0))</f>
        <v>0</v>
      </c>
      <c r="M298" s="35" t="n">
        <f aca="false">INDEX(Parametros_ANEC73!$G$4:$G$6,MATCH($C298,Parametros_ANEC73!$A$4:$A$6,0))</f>
        <v>3.8</v>
      </c>
      <c r="N298" s="38" t="n">
        <f aca="false">IF(OR($D298=0,$G298=""),0,IF(AND($K298="Sim",$M298&lt;&gt;""),MAX(0,$H298*($E298-$M298)),0))</f>
        <v>0</v>
      </c>
      <c r="O298" s="35" t="n">
        <f aca="false">INDEX(Parametros_ANEC73!$J$4:$J$6,MATCH($C298,Parametros_ANEC73!$A$4:$A$6,0))</f>
        <v>4</v>
      </c>
      <c r="P298" s="38" t="n">
        <f aca="false">IF(OR($D298=0,$G298=""),0,IF(AND($K298="Sim",$O298&lt;&gt;""),MAX(0,$H298*($E298-$O298)),0))</f>
        <v>0</v>
      </c>
      <c r="Q298" s="35" t="n">
        <f aca="false">INDEX(Parametros_ANEC73!$F$4:$F$6,MATCH($C298,Parametros_ANEC73!$A$4:$A$6,0))</f>
        <v>1</v>
      </c>
      <c r="R298" s="35" t="n">
        <f aca="false">INDEX(Parametros_ANEC73!$I$4:$I$6,MATCH($C298,Parametros_ANEC73!$A$4:$A$6,0))</f>
        <v>1.5</v>
      </c>
      <c r="S298" s="35" t="n">
        <f aca="false">INDEX(Parametros_ANEC73!$L$4:$L$6,MATCH($C298,Parametros_ANEC73!$A$4:$A$6,0))</f>
        <v>2</v>
      </c>
      <c r="T298" s="39" t="n">
        <f aca="false">INDEX(Parametros_ANEC73!$B$14:$B$25,MATCH($B298,Parametros_ANEC73!$A$14:$A$25,0))</f>
        <v>404</v>
      </c>
      <c r="U298" s="40" t="n">
        <f aca="false">IF(OR($D298=0,$G298=""),0,$D298*($T298/100)*($L298*$Q298+$N298*(IF($R298="",$Q298,$R298)-$Q298)+$P298*(IF($S298="",IF($R298="",$Q298,$R298),$S298)-IF($R298="",$Q298,$R298))))</f>
        <v>0</v>
      </c>
      <c r="V298" s="41" t="str">
        <f aca="false">IF(OR($D298=0,$G298=""),"",IF($H298*($E298-INDEX(Parametros_ANEC73!$M$4:$M$6,MATCH($C298,Parametros_ANEC73!$A$4:$A$6,0)))&gt;0,"Sim","Nao"))</f>
        <v/>
      </c>
      <c r="W298" s="27" t="str">
        <f aca="false">$A298&amp;"|"&amp;$B298&amp;"|"&amp;$C298</f>
        <v>Aliança|Mar|Fibra</v>
      </c>
    </row>
    <row r="299" customFormat="false" ht="15" hidden="false" customHeight="false" outlineLevel="0" collapsed="false">
      <c r="A299" s="27" t="s">
        <v>47</v>
      </c>
      <c r="B299" s="27" t="s">
        <v>61</v>
      </c>
      <c r="C299" s="27" t="s">
        <v>109</v>
      </c>
      <c r="D299" s="34" t="n">
        <f aca="false">SUMIFS(Media_Cliente_Mes!$C$2:$C$145,Media_Cliente_Mes!$A$2:$A$145,$A299,Media_Cliente_Mes!$B$2:$B$145,$B299)</f>
        <v>0</v>
      </c>
      <c r="E299" s="35" t="str">
        <f aca="false">IF($D299=0,"",IF($C299="Proteina",SUMIFS(Media_Cliente_Mes!$D$2:$D$145,Media_Cliente_Mes!$A$2:$A$145,$A299,Media_Cliente_Mes!$B$2:$B$145,$B299),IF($C299="Umidade",SUMIFS(Media_Cliente_Mes!$E$2:$E$145,Media_Cliente_Mes!$A$2:$A$145,$A299,Media_Cliente_Mes!$B$2:$B$145,$B299),SUMIFS(Media_Cliente_Mes!$F$2:$F$145,Media_Cliente_Mes!$A$2:$A$145,$A299,Media_Cliente_Mes!$B$2:$B$145,$B299))))</f>
        <v/>
      </c>
      <c r="F299" s="35" t="n">
        <f aca="false">INDEX(Parametros_ANEC73!$C$4:$C$6,MATCH($C299,Parametros_ANEC73!$A$4:$A$6,0))</f>
        <v>48</v>
      </c>
      <c r="G299" s="35" t="n">
        <f aca="false">IF($C299="Proteina",INDEX(Media_Pool_Mes!$C$2:$C$13,MATCH($B299,Media_Pool_Mes!$A$2:$A$13,0)),IF($C299="Umidade",INDEX(Media_Pool_Mes!$D$2:$D$13,MATCH($B299,Media_Pool_Mes!$A$2:$A$13,0)),INDEX(Media_Pool_Mes!$E$2:$E$13,MATCH($B299,Media_Pool_Mes!$A$2:$A$13,0))))</f>
        <v>47.5395057496784</v>
      </c>
      <c r="H299" s="37" t="n">
        <f aca="false">INDEX(Parametros_ANEC73!$B$4:$B$6,MATCH($C299,Parametros_ANEC73!$A$4:$A$6,0))</f>
        <v>-1</v>
      </c>
      <c r="I299" s="38" t="str">
        <f aca="false">IF(OR($D299=0,$G299=""),"",IF($H299*($G299-$F299)&gt;0,$G299,$F299))</f>
        <v/>
      </c>
      <c r="J299" s="27" t="str">
        <f aca="false">IF(OR($D299=0,$G299=""),"",IF($H299*($G299-$F299)&gt;0,"Sim","Nao"))</f>
        <v/>
      </c>
      <c r="K299" s="27" t="str">
        <f aca="false">IF(OR($D299=0,$G299=""),"",IF(AND($H299*($E299-$F299)&gt;0,$H299*($E299-$G299)&gt;0),"Sim","Nao"))</f>
        <v/>
      </c>
      <c r="L299" s="38" t="n">
        <f aca="false">IF(OR($D299=0,$G299=""),0,IF($K299="Sim",MAX(0,$H299*($E299-$I299)),0))</f>
        <v>0</v>
      </c>
      <c r="M299" s="35" t="n">
        <f aca="false">INDEX(Parametros_ANEC73!$G$4:$G$6,MATCH($C299,Parametros_ANEC73!$A$4:$A$6,0))</f>
        <v>47</v>
      </c>
      <c r="N299" s="38" t="n">
        <f aca="false">IF(OR($D299=0,$G299=""),0,IF(AND($K299="Sim",$M299&lt;&gt;""),MAX(0,$H299*($E299-$M299)),0))</f>
        <v>0</v>
      </c>
      <c r="O299" s="35" t="n">
        <f aca="false">INDEX(Parametros_ANEC73!$J$4:$J$6,MATCH($C299,Parametros_ANEC73!$A$4:$A$6,0))</f>
        <v>0</v>
      </c>
      <c r="P299" s="38" t="n">
        <f aca="false">IF(OR($D299=0,$G299=""),0,IF(AND($K299="Sim",$O299&lt;&gt;""),MAX(0,$H299*($E299-$O299)),0))</f>
        <v>0</v>
      </c>
      <c r="Q299" s="35" t="n">
        <f aca="false">INDEX(Parametros_ANEC73!$F$4:$F$6,MATCH($C299,Parametros_ANEC73!$A$4:$A$6,0))</f>
        <v>1</v>
      </c>
      <c r="R299" s="35" t="n">
        <f aca="false">INDEX(Parametros_ANEC73!$I$4:$I$6,MATCH($C299,Parametros_ANEC73!$A$4:$A$6,0))</f>
        <v>2</v>
      </c>
      <c r="S299" s="35" t="n">
        <f aca="false">INDEX(Parametros_ANEC73!$L$4:$L$6,MATCH($C299,Parametros_ANEC73!$A$4:$A$6,0))</f>
        <v>0</v>
      </c>
      <c r="T299" s="39" t="n">
        <f aca="false">INDEX(Parametros_ANEC73!$B$14:$B$25,MATCH($B299,Parametros_ANEC73!$A$14:$A$25,0))</f>
        <v>415</v>
      </c>
      <c r="U299" s="40" t="n">
        <f aca="false">IF(OR($D299=0,$G299=""),0,$D299*($T299/100)*($L299*$Q299+$N299*(IF($R299="",$Q299,$R299)-$Q299)+$P299*(IF($S299="",IF($R299="",$Q299,$R299),$S299)-IF($R299="",$Q299,$R299))))</f>
        <v>0</v>
      </c>
      <c r="V299" s="41" t="str">
        <f aca="false">IF(OR($D299=0,$G299=""),"",IF($H299*($E299-INDEX(Parametros_ANEC73!$M$4:$M$6,MATCH($C299,Parametros_ANEC73!$A$4:$A$6,0)))&gt;0,"Sim","Nao"))</f>
        <v/>
      </c>
      <c r="W299" s="27" t="str">
        <f aca="false">$A299&amp;"|"&amp;$B299&amp;"|"&amp;$C299</f>
        <v>Aliança|Abr|Proteina</v>
      </c>
    </row>
    <row r="300" customFormat="false" ht="15" hidden="false" customHeight="false" outlineLevel="0" collapsed="false">
      <c r="A300" s="27" t="s">
        <v>47</v>
      </c>
      <c r="B300" s="27" t="s">
        <v>61</v>
      </c>
      <c r="C300" s="27" t="s">
        <v>110</v>
      </c>
      <c r="D300" s="34" t="n">
        <f aca="false">SUMIFS(Media_Cliente_Mes!$C$2:$C$145,Media_Cliente_Mes!$A$2:$A$145,$A300,Media_Cliente_Mes!$B$2:$B$145,$B300)</f>
        <v>0</v>
      </c>
      <c r="E300" s="35" t="str">
        <f aca="false">IF($D300=0,"",IF($C300="Proteina",SUMIFS(Media_Cliente_Mes!$D$2:$D$145,Media_Cliente_Mes!$A$2:$A$145,$A300,Media_Cliente_Mes!$B$2:$B$145,$B300),IF($C300="Umidade",SUMIFS(Media_Cliente_Mes!$E$2:$E$145,Media_Cliente_Mes!$A$2:$A$145,$A300,Media_Cliente_Mes!$B$2:$B$145,$B300),SUMIFS(Media_Cliente_Mes!$F$2:$F$145,Media_Cliente_Mes!$A$2:$A$145,$A300,Media_Cliente_Mes!$B$2:$B$145,$B300))))</f>
        <v/>
      </c>
      <c r="F300" s="35" t="n">
        <f aca="false">INDEX(Parametros_ANEC73!$C$4:$C$6,MATCH($C300,Parametros_ANEC73!$A$4:$A$6,0))</f>
        <v>12.5</v>
      </c>
      <c r="G300" s="35" t="n">
        <f aca="false">IF($C300="Proteina",INDEX(Media_Pool_Mes!$C$2:$C$13,MATCH($B300,Media_Pool_Mes!$A$2:$A$13,0)),IF($C300="Umidade",INDEX(Media_Pool_Mes!$D$2:$D$13,MATCH($B300,Media_Pool_Mes!$A$2:$A$13,0)),INDEX(Media_Pool_Mes!$E$2:$E$13,MATCH($B300,Media_Pool_Mes!$A$2:$A$13,0))))</f>
        <v>12.3606134360148</v>
      </c>
      <c r="H300" s="37" t="n">
        <f aca="false">INDEX(Parametros_ANEC73!$B$4:$B$6,MATCH($C300,Parametros_ANEC73!$A$4:$A$6,0))</f>
        <v>1</v>
      </c>
      <c r="I300" s="38" t="str">
        <f aca="false">IF(OR($D300=0,$G300=""),"",IF($H300*($G300-$F300)&gt;0,$G300,$F300))</f>
        <v/>
      </c>
      <c r="J300" s="27" t="str">
        <f aca="false">IF(OR($D300=0,$G300=""),"",IF($H300*($G300-$F300)&gt;0,"Sim","Nao"))</f>
        <v/>
      </c>
      <c r="K300" s="27" t="str">
        <f aca="false">IF(OR($D300=0,$G300=""),"",IF(AND($H300*($E300-$F300)&gt;0,$H300*($E300-$G300)&gt;0),"Sim","Nao"))</f>
        <v/>
      </c>
      <c r="L300" s="38" t="n">
        <f aca="false">IF(OR($D300=0,$G300=""),0,IF($K300="Sim",MAX(0,$H300*($E300-$I300)),0))</f>
        <v>0</v>
      </c>
      <c r="M300" s="35" t="n">
        <f aca="false">INDEX(Parametros_ANEC73!$G$4:$G$6,MATCH($C300,Parametros_ANEC73!$A$4:$A$6,0))</f>
        <v>0</v>
      </c>
      <c r="N300" s="38" t="n">
        <f aca="false">IF(OR($D300=0,$G300=""),0,IF(AND($K300="Sim",$M300&lt;&gt;""),MAX(0,$H300*($E300-$M300)),0))</f>
        <v>0</v>
      </c>
      <c r="O300" s="35" t="n">
        <f aca="false">INDEX(Parametros_ANEC73!$J$4:$J$6,MATCH($C300,Parametros_ANEC73!$A$4:$A$6,0))</f>
        <v>0</v>
      </c>
      <c r="P300" s="38" t="n">
        <f aca="false">IF(OR($D300=0,$G300=""),0,IF(AND($K300="Sim",$O300&lt;&gt;""),MAX(0,$H300*($E300-$O300)),0))</f>
        <v>0</v>
      </c>
      <c r="Q300" s="35" t="n">
        <f aca="false">INDEX(Parametros_ANEC73!$F$4:$F$6,MATCH($C300,Parametros_ANEC73!$A$4:$A$6,0))</f>
        <v>1</v>
      </c>
      <c r="R300" s="35" t="n">
        <f aca="false">INDEX(Parametros_ANEC73!$I$4:$I$6,MATCH($C300,Parametros_ANEC73!$A$4:$A$6,0))</f>
        <v>0</v>
      </c>
      <c r="S300" s="35" t="n">
        <f aca="false">INDEX(Parametros_ANEC73!$L$4:$L$6,MATCH($C300,Parametros_ANEC73!$A$4:$A$6,0))</f>
        <v>0</v>
      </c>
      <c r="T300" s="39" t="n">
        <f aca="false">INDEX(Parametros_ANEC73!$B$14:$B$25,MATCH($B300,Parametros_ANEC73!$A$14:$A$25,0))</f>
        <v>415</v>
      </c>
      <c r="U300" s="40" t="n">
        <f aca="false">IF(OR($D300=0,$G300=""),0,$D300*($T300/100)*($L300*$Q300+$N300*(IF($R300="",$Q300,$R300)-$Q300)+$P300*(IF($S300="",IF($R300="",$Q300,$R300),$S300)-IF($R300="",$Q300,$R300))))</f>
        <v>0</v>
      </c>
      <c r="V300" s="41" t="str">
        <f aca="false">IF(OR($D300=0,$G300=""),"",IF($H300*($E300-INDEX(Parametros_ANEC73!$M$4:$M$6,MATCH($C300,Parametros_ANEC73!$A$4:$A$6,0)))&gt;0,"Sim","Nao"))</f>
        <v/>
      </c>
      <c r="W300" s="27" t="str">
        <f aca="false">$A300&amp;"|"&amp;$B300&amp;"|"&amp;$C300</f>
        <v>Aliança|Abr|Umidade</v>
      </c>
    </row>
    <row r="301" customFormat="false" ht="15" hidden="false" customHeight="false" outlineLevel="0" collapsed="false">
      <c r="A301" s="27" t="s">
        <v>47</v>
      </c>
      <c r="B301" s="27" t="s">
        <v>61</v>
      </c>
      <c r="C301" s="27" t="s">
        <v>111</v>
      </c>
      <c r="D301" s="34" t="n">
        <f aca="false">SUMIFS(Media_Cliente_Mes!$C$2:$C$145,Media_Cliente_Mes!$A$2:$A$145,$A301,Media_Cliente_Mes!$B$2:$B$145,$B301)</f>
        <v>0</v>
      </c>
      <c r="E301" s="35" t="str">
        <f aca="false">IF($D301=0,"",IF($C301="Proteina",SUMIFS(Media_Cliente_Mes!$D$2:$D$145,Media_Cliente_Mes!$A$2:$A$145,$A301,Media_Cliente_Mes!$B$2:$B$145,$B301),IF($C301="Umidade",SUMIFS(Media_Cliente_Mes!$E$2:$E$145,Media_Cliente_Mes!$A$2:$A$145,$A301,Media_Cliente_Mes!$B$2:$B$145,$B301),SUMIFS(Media_Cliente_Mes!$F$2:$F$145,Media_Cliente_Mes!$A$2:$A$145,$A301,Media_Cliente_Mes!$B$2:$B$145,$B301))))</f>
        <v/>
      </c>
      <c r="F301" s="35" t="n">
        <f aca="false">INDEX(Parametros_ANEC73!$C$4:$C$6,MATCH($C301,Parametros_ANEC73!$A$4:$A$6,0))</f>
        <v>3.5</v>
      </c>
      <c r="G301" s="35" t="n">
        <f aca="false">IF($C301="Proteina",INDEX(Media_Pool_Mes!$C$2:$C$13,MATCH($B301,Media_Pool_Mes!$A$2:$A$13,0)),IF($C301="Umidade",INDEX(Media_Pool_Mes!$D$2:$D$13,MATCH($B301,Media_Pool_Mes!$A$2:$A$13,0)),INDEX(Media_Pool_Mes!$E$2:$E$13,MATCH($B301,Media_Pool_Mes!$A$2:$A$13,0))))</f>
        <v>3.66155636815217</v>
      </c>
      <c r="H301" s="37" t="n">
        <f aca="false">INDEX(Parametros_ANEC73!$B$4:$B$6,MATCH($C301,Parametros_ANEC73!$A$4:$A$6,0))</f>
        <v>1</v>
      </c>
      <c r="I301" s="38" t="str">
        <f aca="false">IF(OR($D301=0,$G301=""),"",IF($H301*($G301-$F301)&gt;0,$G301,$F301))</f>
        <v/>
      </c>
      <c r="J301" s="27" t="str">
        <f aca="false">IF(OR($D301=0,$G301=""),"",IF($H301*($G301-$F301)&gt;0,"Sim","Nao"))</f>
        <v/>
      </c>
      <c r="K301" s="27" t="str">
        <f aca="false">IF(OR($D301=0,$G301=""),"",IF(AND($H301*($E301-$F301)&gt;0,$H301*($E301-$G301)&gt;0),"Sim","Nao"))</f>
        <v/>
      </c>
      <c r="L301" s="38" t="n">
        <f aca="false">IF(OR($D301=0,$G301=""),0,IF($K301="Sim",MAX(0,$H301*($E301-$I301)),0))</f>
        <v>0</v>
      </c>
      <c r="M301" s="35" t="n">
        <f aca="false">INDEX(Parametros_ANEC73!$G$4:$G$6,MATCH($C301,Parametros_ANEC73!$A$4:$A$6,0))</f>
        <v>3.8</v>
      </c>
      <c r="N301" s="38" t="n">
        <f aca="false">IF(OR($D301=0,$G301=""),0,IF(AND($K301="Sim",$M301&lt;&gt;""),MAX(0,$H301*($E301-$M301)),0))</f>
        <v>0</v>
      </c>
      <c r="O301" s="35" t="n">
        <f aca="false">INDEX(Parametros_ANEC73!$J$4:$J$6,MATCH($C301,Parametros_ANEC73!$A$4:$A$6,0))</f>
        <v>4</v>
      </c>
      <c r="P301" s="38" t="n">
        <f aca="false">IF(OR($D301=0,$G301=""),0,IF(AND($K301="Sim",$O301&lt;&gt;""),MAX(0,$H301*($E301-$O301)),0))</f>
        <v>0</v>
      </c>
      <c r="Q301" s="35" t="n">
        <f aca="false">INDEX(Parametros_ANEC73!$F$4:$F$6,MATCH($C301,Parametros_ANEC73!$A$4:$A$6,0))</f>
        <v>1</v>
      </c>
      <c r="R301" s="35" t="n">
        <f aca="false">INDEX(Parametros_ANEC73!$I$4:$I$6,MATCH($C301,Parametros_ANEC73!$A$4:$A$6,0))</f>
        <v>1.5</v>
      </c>
      <c r="S301" s="35" t="n">
        <f aca="false">INDEX(Parametros_ANEC73!$L$4:$L$6,MATCH($C301,Parametros_ANEC73!$A$4:$A$6,0))</f>
        <v>2</v>
      </c>
      <c r="T301" s="39" t="n">
        <f aca="false">INDEX(Parametros_ANEC73!$B$14:$B$25,MATCH($B301,Parametros_ANEC73!$A$14:$A$25,0))</f>
        <v>415</v>
      </c>
      <c r="U301" s="40" t="n">
        <f aca="false">IF(OR($D301=0,$G301=""),0,$D301*($T301/100)*($L301*$Q301+$N301*(IF($R301="",$Q301,$R301)-$Q301)+$P301*(IF($S301="",IF($R301="",$Q301,$R301),$S301)-IF($R301="",$Q301,$R301))))</f>
        <v>0</v>
      </c>
      <c r="V301" s="41" t="str">
        <f aca="false">IF(OR($D301=0,$G301=""),"",IF($H301*($E301-INDEX(Parametros_ANEC73!$M$4:$M$6,MATCH($C301,Parametros_ANEC73!$A$4:$A$6,0)))&gt;0,"Sim","Nao"))</f>
        <v/>
      </c>
      <c r="W301" s="27" t="str">
        <f aca="false">$A301&amp;"|"&amp;$B301&amp;"|"&amp;$C301</f>
        <v>Aliança|Abr|Fibra</v>
      </c>
    </row>
    <row r="302" customFormat="false" ht="15" hidden="false" customHeight="false" outlineLevel="0" collapsed="false">
      <c r="A302" s="27" t="s">
        <v>47</v>
      </c>
      <c r="B302" s="27" t="s">
        <v>62</v>
      </c>
      <c r="C302" s="27" t="s">
        <v>109</v>
      </c>
      <c r="D302" s="34" t="n">
        <f aca="false">SUMIFS(Media_Cliente_Mes!$C$2:$C$145,Media_Cliente_Mes!$A$2:$A$145,$A302,Media_Cliente_Mes!$B$2:$B$145,$B302)</f>
        <v>0</v>
      </c>
      <c r="E302" s="35" t="str">
        <f aca="false">IF($D302=0,"",IF($C302="Proteina",SUMIFS(Media_Cliente_Mes!$D$2:$D$145,Media_Cliente_Mes!$A$2:$A$145,$A302,Media_Cliente_Mes!$B$2:$B$145,$B302),IF($C302="Umidade",SUMIFS(Media_Cliente_Mes!$E$2:$E$145,Media_Cliente_Mes!$A$2:$A$145,$A302,Media_Cliente_Mes!$B$2:$B$145,$B302),SUMIFS(Media_Cliente_Mes!$F$2:$F$145,Media_Cliente_Mes!$A$2:$A$145,$A302,Media_Cliente_Mes!$B$2:$B$145,$B302))))</f>
        <v/>
      </c>
      <c r="F302" s="35" t="n">
        <f aca="false">INDEX(Parametros_ANEC73!$C$4:$C$6,MATCH($C302,Parametros_ANEC73!$A$4:$A$6,0))</f>
        <v>48</v>
      </c>
      <c r="G302" s="35" t="n">
        <f aca="false">IF($C302="Proteina",INDEX(Media_Pool_Mes!$C$2:$C$13,MATCH($B302,Media_Pool_Mes!$A$2:$A$13,0)),IF($C302="Umidade",INDEX(Media_Pool_Mes!$D$2:$D$13,MATCH($B302,Media_Pool_Mes!$A$2:$A$13,0)),INDEX(Media_Pool_Mes!$E$2:$E$13,MATCH($B302,Media_Pool_Mes!$A$2:$A$13,0))))</f>
        <v>47.6334614958572</v>
      </c>
      <c r="H302" s="37" t="n">
        <f aca="false">INDEX(Parametros_ANEC73!$B$4:$B$6,MATCH($C302,Parametros_ANEC73!$A$4:$A$6,0))</f>
        <v>-1</v>
      </c>
      <c r="I302" s="38" t="str">
        <f aca="false">IF(OR($D302=0,$G302=""),"",IF($H302*($G302-$F302)&gt;0,$G302,$F302))</f>
        <v/>
      </c>
      <c r="J302" s="27" t="str">
        <f aca="false">IF(OR($D302=0,$G302=""),"",IF($H302*($G302-$F302)&gt;0,"Sim","Nao"))</f>
        <v/>
      </c>
      <c r="K302" s="27" t="str">
        <f aca="false">IF(OR($D302=0,$G302=""),"",IF(AND($H302*($E302-$F302)&gt;0,$H302*($E302-$G302)&gt;0),"Sim","Nao"))</f>
        <v/>
      </c>
      <c r="L302" s="38" t="n">
        <f aca="false">IF(OR($D302=0,$G302=""),0,IF($K302="Sim",MAX(0,$H302*($E302-$I302)),0))</f>
        <v>0</v>
      </c>
      <c r="M302" s="35" t="n">
        <f aca="false">INDEX(Parametros_ANEC73!$G$4:$G$6,MATCH($C302,Parametros_ANEC73!$A$4:$A$6,0))</f>
        <v>47</v>
      </c>
      <c r="N302" s="38" t="n">
        <f aca="false">IF(OR($D302=0,$G302=""),0,IF(AND($K302="Sim",$M302&lt;&gt;""),MAX(0,$H302*($E302-$M302)),0))</f>
        <v>0</v>
      </c>
      <c r="O302" s="35" t="n">
        <f aca="false">INDEX(Parametros_ANEC73!$J$4:$J$6,MATCH($C302,Parametros_ANEC73!$A$4:$A$6,0))</f>
        <v>0</v>
      </c>
      <c r="P302" s="38" t="n">
        <f aca="false">IF(OR($D302=0,$G302=""),0,IF(AND($K302="Sim",$O302&lt;&gt;""),MAX(0,$H302*($E302-$O302)),0))</f>
        <v>0</v>
      </c>
      <c r="Q302" s="35" t="n">
        <f aca="false">INDEX(Parametros_ANEC73!$F$4:$F$6,MATCH($C302,Parametros_ANEC73!$A$4:$A$6,0))</f>
        <v>1</v>
      </c>
      <c r="R302" s="35" t="n">
        <f aca="false">INDEX(Parametros_ANEC73!$I$4:$I$6,MATCH($C302,Parametros_ANEC73!$A$4:$A$6,0))</f>
        <v>2</v>
      </c>
      <c r="S302" s="35" t="n">
        <f aca="false">INDEX(Parametros_ANEC73!$L$4:$L$6,MATCH($C302,Parametros_ANEC73!$A$4:$A$6,0))</f>
        <v>0</v>
      </c>
      <c r="T302" s="39" t="n">
        <f aca="false">INDEX(Parametros_ANEC73!$B$14:$B$25,MATCH($B302,Parametros_ANEC73!$A$14:$A$25,0))</f>
        <v>343</v>
      </c>
      <c r="U302" s="40" t="n">
        <f aca="false">IF(OR($D302=0,$G302=""),0,$D302*($T302/100)*($L302*$Q302+$N302*(IF($R302="",$Q302,$R302)-$Q302)+$P302*(IF($S302="",IF($R302="",$Q302,$R302),$S302)-IF($R302="",$Q302,$R302))))</f>
        <v>0</v>
      </c>
      <c r="V302" s="41" t="str">
        <f aca="false">IF(OR($D302=0,$G302=""),"",IF($H302*($E302-INDEX(Parametros_ANEC73!$M$4:$M$6,MATCH($C302,Parametros_ANEC73!$A$4:$A$6,0)))&gt;0,"Sim","Nao"))</f>
        <v/>
      </c>
      <c r="W302" s="27" t="str">
        <f aca="false">$A302&amp;"|"&amp;$B302&amp;"|"&amp;$C302</f>
        <v>Aliança|Mai|Proteina</v>
      </c>
    </row>
    <row r="303" customFormat="false" ht="15" hidden="false" customHeight="false" outlineLevel="0" collapsed="false">
      <c r="A303" s="27" t="s">
        <v>47</v>
      </c>
      <c r="B303" s="27" t="s">
        <v>62</v>
      </c>
      <c r="C303" s="27" t="s">
        <v>110</v>
      </c>
      <c r="D303" s="34" t="n">
        <f aca="false">SUMIFS(Media_Cliente_Mes!$C$2:$C$145,Media_Cliente_Mes!$A$2:$A$145,$A303,Media_Cliente_Mes!$B$2:$B$145,$B303)</f>
        <v>0</v>
      </c>
      <c r="E303" s="35" t="str">
        <f aca="false">IF($D303=0,"",IF($C303="Proteina",SUMIFS(Media_Cliente_Mes!$D$2:$D$145,Media_Cliente_Mes!$A$2:$A$145,$A303,Media_Cliente_Mes!$B$2:$B$145,$B303),IF($C303="Umidade",SUMIFS(Media_Cliente_Mes!$E$2:$E$145,Media_Cliente_Mes!$A$2:$A$145,$A303,Media_Cliente_Mes!$B$2:$B$145,$B303),SUMIFS(Media_Cliente_Mes!$F$2:$F$145,Media_Cliente_Mes!$A$2:$A$145,$A303,Media_Cliente_Mes!$B$2:$B$145,$B303))))</f>
        <v/>
      </c>
      <c r="F303" s="35" t="n">
        <f aca="false">INDEX(Parametros_ANEC73!$C$4:$C$6,MATCH($C303,Parametros_ANEC73!$A$4:$A$6,0))</f>
        <v>12.5</v>
      </c>
      <c r="G303" s="35" t="n">
        <f aca="false">IF($C303="Proteina",INDEX(Media_Pool_Mes!$C$2:$C$13,MATCH($B303,Media_Pool_Mes!$A$2:$A$13,0)),IF($C303="Umidade",INDEX(Media_Pool_Mes!$D$2:$D$13,MATCH($B303,Media_Pool_Mes!$A$2:$A$13,0)),INDEX(Media_Pool_Mes!$E$2:$E$13,MATCH($B303,Media_Pool_Mes!$A$2:$A$13,0))))</f>
        <v>12.3121752562954</v>
      </c>
      <c r="H303" s="37" t="n">
        <f aca="false">INDEX(Parametros_ANEC73!$B$4:$B$6,MATCH($C303,Parametros_ANEC73!$A$4:$A$6,0))</f>
        <v>1</v>
      </c>
      <c r="I303" s="38" t="str">
        <f aca="false">IF(OR($D303=0,$G303=""),"",IF($H303*($G303-$F303)&gt;0,$G303,$F303))</f>
        <v/>
      </c>
      <c r="J303" s="27" t="str">
        <f aca="false">IF(OR($D303=0,$G303=""),"",IF($H303*($G303-$F303)&gt;0,"Sim","Nao"))</f>
        <v/>
      </c>
      <c r="K303" s="27" t="str">
        <f aca="false">IF(OR($D303=0,$G303=""),"",IF(AND($H303*($E303-$F303)&gt;0,$H303*($E303-$G303)&gt;0),"Sim","Nao"))</f>
        <v/>
      </c>
      <c r="L303" s="38" t="n">
        <f aca="false">IF(OR($D303=0,$G303=""),0,IF($K303="Sim",MAX(0,$H303*($E303-$I303)),0))</f>
        <v>0</v>
      </c>
      <c r="M303" s="35" t="n">
        <f aca="false">INDEX(Parametros_ANEC73!$G$4:$G$6,MATCH($C303,Parametros_ANEC73!$A$4:$A$6,0))</f>
        <v>0</v>
      </c>
      <c r="N303" s="38" t="n">
        <f aca="false">IF(OR($D303=0,$G303=""),0,IF(AND($K303="Sim",$M303&lt;&gt;""),MAX(0,$H303*($E303-$M303)),0))</f>
        <v>0</v>
      </c>
      <c r="O303" s="35" t="n">
        <f aca="false">INDEX(Parametros_ANEC73!$J$4:$J$6,MATCH($C303,Parametros_ANEC73!$A$4:$A$6,0))</f>
        <v>0</v>
      </c>
      <c r="P303" s="38" t="n">
        <f aca="false">IF(OR($D303=0,$G303=""),0,IF(AND($K303="Sim",$O303&lt;&gt;""),MAX(0,$H303*($E303-$O303)),0))</f>
        <v>0</v>
      </c>
      <c r="Q303" s="35" t="n">
        <f aca="false">INDEX(Parametros_ANEC73!$F$4:$F$6,MATCH($C303,Parametros_ANEC73!$A$4:$A$6,0))</f>
        <v>1</v>
      </c>
      <c r="R303" s="35" t="n">
        <f aca="false">INDEX(Parametros_ANEC73!$I$4:$I$6,MATCH($C303,Parametros_ANEC73!$A$4:$A$6,0))</f>
        <v>0</v>
      </c>
      <c r="S303" s="35" t="n">
        <f aca="false">INDEX(Parametros_ANEC73!$L$4:$L$6,MATCH($C303,Parametros_ANEC73!$A$4:$A$6,0))</f>
        <v>0</v>
      </c>
      <c r="T303" s="39" t="n">
        <f aca="false">INDEX(Parametros_ANEC73!$B$14:$B$25,MATCH($B303,Parametros_ANEC73!$A$14:$A$25,0))</f>
        <v>343</v>
      </c>
      <c r="U303" s="40" t="n">
        <f aca="false">IF(OR($D303=0,$G303=""),0,$D303*($T303/100)*($L303*$Q303+$N303*(IF($R303="",$Q303,$R303)-$Q303)+$P303*(IF($S303="",IF($R303="",$Q303,$R303),$S303)-IF($R303="",$Q303,$R303))))</f>
        <v>0</v>
      </c>
      <c r="V303" s="41" t="str">
        <f aca="false">IF(OR($D303=0,$G303=""),"",IF($H303*($E303-INDEX(Parametros_ANEC73!$M$4:$M$6,MATCH($C303,Parametros_ANEC73!$A$4:$A$6,0)))&gt;0,"Sim","Nao"))</f>
        <v/>
      </c>
      <c r="W303" s="27" t="str">
        <f aca="false">$A303&amp;"|"&amp;$B303&amp;"|"&amp;$C303</f>
        <v>Aliança|Mai|Umidade</v>
      </c>
    </row>
    <row r="304" customFormat="false" ht="15" hidden="false" customHeight="false" outlineLevel="0" collapsed="false">
      <c r="A304" s="27" t="s">
        <v>47</v>
      </c>
      <c r="B304" s="27" t="s">
        <v>62</v>
      </c>
      <c r="C304" s="27" t="s">
        <v>111</v>
      </c>
      <c r="D304" s="34" t="n">
        <f aca="false">SUMIFS(Media_Cliente_Mes!$C$2:$C$145,Media_Cliente_Mes!$A$2:$A$145,$A304,Media_Cliente_Mes!$B$2:$B$145,$B304)</f>
        <v>0</v>
      </c>
      <c r="E304" s="35" t="str">
        <f aca="false">IF($D304=0,"",IF($C304="Proteina",SUMIFS(Media_Cliente_Mes!$D$2:$D$145,Media_Cliente_Mes!$A$2:$A$145,$A304,Media_Cliente_Mes!$B$2:$B$145,$B304),IF($C304="Umidade",SUMIFS(Media_Cliente_Mes!$E$2:$E$145,Media_Cliente_Mes!$A$2:$A$145,$A304,Media_Cliente_Mes!$B$2:$B$145,$B304),SUMIFS(Media_Cliente_Mes!$F$2:$F$145,Media_Cliente_Mes!$A$2:$A$145,$A304,Media_Cliente_Mes!$B$2:$B$145,$B304))))</f>
        <v/>
      </c>
      <c r="F304" s="35" t="n">
        <f aca="false">INDEX(Parametros_ANEC73!$C$4:$C$6,MATCH($C304,Parametros_ANEC73!$A$4:$A$6,0))</f>
        <v>3.5</v>
      </c>
      <c r="G304" s="35" t="n">
        <f aca="false">IF($C304="Proteina",INDEX(Media_Pool_Mes!$C$2:$C$13,MATCH($B304,Media_Pool_Mes!$A$2:$A$13,0)),IF($C304="Umidade",INDEX(Media_Pool_Mes!$D$2:$D$13,MATCH($B304,Media_Pool_Mes!$A$2:$A$13,0)),INDEX(Media_Pool_Mes!$E$2:$E$13,MATCH($B304,Media_Pool_Mes!$A$2:$A$13,0))))</f>
        <v>3.64524916105719</v>
      </c>
      <c r="H304" s="37" t="n">
        <f aca="false">INDEX(Parametros_ANEC73!$B$4:$B$6,MATCH($C304,Parametros_ANEC73!$A$4:$A$6,0))</f>
        <v>1</v>
      </c>
      <c r="I304" s="38" t="str">
        <f aca="false">IF(OR($D304=0,$G304=""),"",IF($H304*($G304-$F304)&gt;0,$G304,$F304))</f>
        <v/>
      </c>
      <c r="J304" s="27" t="str">
        <f aca="false">IF(OR($D304=0,$G304=""),"",IF($H304*($G304-$F304)&gt;0,"Sim","Nao"))</f>
        <v/>
      </c>
      <c r="K304" s="27" t="str">
        <f aca="false">IF(OR($D304=0,$G304=""),"",IF(AND($H304*($E304-$F304)&gt;0,$H304*($E304-$G304)&gt;0),"Sim","Nao"))</f>
        <v/>
      </c>
      <c r="L304" s="38" t="n">
        <f aca="false">IF(OR($D304=0,$G304=""),0,IF($K304="Sim",MAX(0,$H304*($E304-$I304)),0))</f>
        <v>0</v>
      </c>
      <c r="M304" s="35" t="n">
        <f aca="false">INDEX(Parametros_ANEC73!$G$4:$G$6,MATCH($C304,Parametros_ANEC73!$A$4:$A$6,0))</f>
        <v>3.8</v>
      </c>
      <c r="N304" s="38" t="n">
        <f aca="false">IF(OR($D304=0,$G304=""),0,IF(AND($K304="Sim",$M304&lt;&gt;""),MAX(0,$H304*($E304-$M304)),0))</f>
        <v>0</v>
      </c>
      <c r="O304" s="35" t="n">
        <f aca="false">INDEX(Parametros_ANEC73!$J$4:$J$6,MATCH($C304,Parametros_ANEC73!$A$4:$A$6,0))</f>
        <v>4</v>
      </c>
      <c r="P304" s="38" t="n">
        <f aca="false">IF(OR($D304=0,$G304=""),0,IF(AND($K304="Sim",$O304&lt;&gt;""),MAX(0,$H304*($E304-$O304)),0))</f>
        <v>0</v>
      </c>
      <c r="Q304" s="35" t="n">
        <f aca="false">INDEX(Parametros_ANEC73!$F$4:$F$6,MATCH($C304,Parametros_ANEC73!$A$4:$A$6,0))</f>
        <v>1</v>
      </c>
      <c r="R304" s="35" t="n">
        <f aca="false">INDEX(Parametros_ANEC73!$I$4:$I$6,MATCH($C304,Parametros_ANEC73!$A$4:$A$6,0))</f>
        <v>1.5</v>
      </c>
      <c r="S304" s="35" t="n">
        <f aca="false">INDEX(Parametros_ANEC73!$L$4:$L$6,MATCH($C304,Parametros_ANEC73!$A$4:$A$6,0))</f>
        <v>2</v>
      </c>
      <c r="T304" s="39" t="n">
        <f aca="false">INDEX(Parametros_ANEC73!$B$14:$B$25,MATCH($B304,Parametros_ANEC73!$A$14:$A$25,0))</f>
        <v>343</v>
      </c>
      <c r="U304" s="40" t="n">
        <f aca="false">IF(OR($D304=0,$G304=""),0,$D304*($T304/100)*($L304*$Q304+$N304*(IF($R304="",$Q304,$R304)-$Q304)+$P304*(IF($S304="",IF($R304="",$Q304,$R304),$S304)-IF($R304="",$Q304,$R304))))</f>
        <v>0</v>
      </c>
      <c r="V304" s="41" t="str">
        <f aca="false">IF(OR($D304=0,$G304=""),"",IF($H304*($E304-INDEX(Parametros_ANEC73!$M$4:$M$6,MATCH($C304,Parametros_ANEC73!$A$4:$A$6,0)))&gt;0,"Sim","Nao"))</f>
        <v/>
      </c>
      <c r="W304" s="27" t="str">
        <f aca="false">$A304&amp;"|"&amp;$B304&amp;"|"&amp;$C304</f>
        <v>Aliança|Mai|Fibra</v>
      </c>
    </row>
    <row r="305" customFormat="false" ht="15" hidden="false" customHeight="false" outlineLevel="0" collapsed="false">
      <c r="A305" s="27" t="s">
        <v>47</v>
      </c>
      <c r="B305" s="27" t="s">
        <v>63</v>
      </c>
      <c r="C305" s="27" t="s">
        <v>109</v>
      </c>
      <c r="D305" s="34" t="n">
        <f aca="false">SUMIFS(Media_Cliente_Mes!$C$2:$C$145,Media_Cliente_Mes!$A$2:$A$145,$A305,Media_Cliente_Mes!$B$2:$B$145,$B305)</f>
        <v>0</v>
      </c>
      <c r="E305" s="35" t="str">
        <f aca="false">IF($D305=0,"",IF($C305="Proteina",SUMIFS(Media_Cliente_Mes!$D$2:$D$145,Media_Cliente_Mes!$A$2:$A$145,$A305,Media_Cliente_Mes!$B$2:$B$145,$B305),IF($C305="Umidade",SUMIFS(Media_Cliente_Mes!$E$2:$E$145,Media_Cliente_Mes!$A$2:$A$145,$A305,Media_Cliente_Mes!$B$2:$B$145,$B305),SUMIFS(Media_Cliente_Mes!$F$2:$F$145,Media_Cliente_Mes!$A$2:$A$145,$A305,Media_Cliente_Mes!$B$2:$B$145,$B305))))</f>
        <v/>
      </c>
      <c r="F305" s="35" t="n">
        <f aca="false">INDEX(Parametros_ANEC73!$C$4:$C$6,MATCH($C305,Parametros_ANEC73!$A$4:$A$6,0))</f>
        <v>48</v>
      </c>
      <c r="G305" s="35" t="n">
        <f aca="false">IF($C305="Proteina",INDEX(Media_Pool_Mes!$C$2:$C$13,MATCH($B305,Media_Pool_Mes!$A$2:$A$13,0)),IF($C305="Umidade",INDEX(Media_Pool_Mes!$D$2:$D$13,MATCH($B305,Media_Pool_Mes!$A$2:$A$13,0)),INDEX(Media_Pool_Mes!$E$2:$E$13,MATCH($B305,Media_Pool_Mes!$A$2:$A$13,0))))</f>
        <v>47.4834226367413</v>
      </c>
      <c r="H305" s="37" t="n">
        <f aca="false">INDEX(Parametros_ANEC73!$B$4:$B$6,MATCH($C305,Parametros_ANEC73!$A$4:$A$6,0))</f>
        <v>-1</v>
      </c>
      <c r="I305" s="38" t="str">
        <f aca="false">IF(OR($D305=0,$G305=""),"",IF($H305*($G305-$F305)&gt;0,$G305,$F305))</f>
        <v/>
      </c>
      <c r="J305" s="27" t="str">
        <f aca="false">IF(OR($D305=0,$G305=""),"",IF($H305*($G305-$F305)&gt;0,"Sim","Nao"))</f>
        <v/>
      </c>
      <c r="K305" s="27" t="str">
        <f aca="false">IF(OR($D305=0,$G305=""),"",IF(AND($H305*($E305-$F305)&gt;0,$H305*($E305-$G305)&gt;0),"Sim","Nao"))</f>
        <v/>
      </c>
      <c r="L305" s="38" t="n">
        <f aca="false">IF(OR($D305=0,$G305=""),0,IF($K305="Sim",MAX(0,$H305*($E305-$I305)),0))</f>
        <v>0</v>
      </c>
      <c r="M305" s="35" t="n">
        <f aca="false">INDEX(Parametros_ANEC73!$G$4:$G$6,MATCH($C305,Parametros_ANEC73!$A$4:$A$6,0))</f>
        <v>47</v>
      </c>
      <c r="N305" s="38" t="n">
        <f aca="false">IF(OR($D305=0,$G305=""),0,IF(AND($K305="Sim",$M305&lt;&gt;""),MAX(0,$H305*($E305-$M305)),0))</f>
        <v>0</v>
      </c>
      <c r="O305" s="35" t="n">
        <f aca="false">INDEX(Parametros_ANEC73!$J$4:$J$6,MATCH($C305,Parametros_ANEC73!$A$4:$A$6,0))</f>
        <v>0</v>
      </c>
      <c r="P305" s="38" t="n">
        <f aca="false">IF(OR($D305=0,$G305=""),0,IF(AND($K305="Sim",$O305&lt;&gt;""),MAX(0,$H305*($E305-$O305)),0))</f>
        <v>0</v>
      </c>
      <c r="Q305" s="35" t="n">
        <f aca="false">INDEX(Parametros_ANEC73!$F$4:$F$6,MATCH($C305,Parametros_ANEC73!$A$4:$A$6,0))</f>
        <v>1</v>
      </c>
      <c r="R305" s="35" t="n">
        <f aca="false">INDEX(Parametros_ANEC73!$I$4:$I$6,MATCH($C305,Parametros_ANEC73!$A$4:$A$6,0))</f>
        <v>2</v>
      </c>
      <c r="S305" s="35" t="n">
        <f aca="false">INDEX(Parametros_ANEC73!$L$4:$L$6,MATCH($C305,Parametros_ANEC73!$A$4:$A$6,0))</f>
        <v>0</v>
      </c>
      <c r="T305" s="39" t="n">
        <f aca="false">INDEX(Parametros_ANEC73!$B$14:$B$25,MATCH($B305,Parametros_ANEC73!$A$14:$A$25,0))</f>
        <v>326</v>
      </c>
      <c r="U305" s="40" t="n">
        <f aca="false">IF(OR($D305=0,$G305=""),0,$D305*($T305/100)*($L305*$Q305+$N305*(IF($R305="",$Q305,$R305)-$Q305)+$P305*(IF($S305="",IF($R305="",$Q305,$R305),$S305)-IF($R305="",$Q305,$R305))))</f>
        <v>0</v>
      </c>
      <c r="V305" s="41" t="str">
        <f aca="false">IF(OR($D305=0,$G305=""),"",IF($H305*($E305-INDEX(Parametros_ANEC73!$M$4:$M$6,MATCH($C305,Parametros_ANEC73!$A$4:$A$6,0)))&gt;0,"Sim","Nao"))</f>
        <v/>
      </c>
      <c r="W305" s="27" t="str">
        <f aca="false">$A305&amp;"|"&amp;$B305&amp;"|"&amp;$C305</f>
        <v>Aliança|Jun|Proteina</v>
      </c>
    </row>
    <row r="306" customFormat="false" ht="15" hidden="false" customHeight="false" outlineLevel="0" collapsed="false">
      <c r="A306" s="27" t="s">
        <v>47</v>
      </c>
      <c r="B306" s="27" t="s">
        <v>63</v>
      </c>
      <c r="C306" s="27" t="s">
        <v>110</v>
      </c>
      <c r="D306" s="34" t="n">
        <f aca="false">SUMIFS(Media_Cliente_Mes!$C$2:$C$145,Media_Cliente_Mes!$A$2:$A$145,$A306,Media_Cliente_Mes!$B$2:$B$145,$B306)</f>
        <v>0</v>
      </c>
      <c r="E306" s="35" t="str">
        <f aca="false">IF($D306=0,"",IF($C306="Proteina",SUMIFS(Media_Cliente_Mes!$D$2:$D$145,Media_Cliente_Mes!$A$2:$A$145,$A306,Media_Cliente_Mes!$B$2:$B$145,$B306),IF($C306="Umidade",SUMIFS(Media_Cliente_Mes!$E$2:$E$145,Media_Cliente_Mes!$A$2:$A$145,$A306,Media_Cliente_Mes!$B$2:$B$145,$B306),SUMIFS(Media_Cliente_Mes!$F$2:$F$145,Media_Cliente_Mes!$A$2:$A$145,$A306,Media_Cliente_Mes!$B$2:$B$145,$B306))))</f>
        <v/>
      </c>
      <c r="F306" s="35" t="n">
        <f aca="false">INDEX(Parametros_ANEC73!$C$4:$C$6,MATCH($C306,Parametros_ANEC73!$A$4:$A$6,0))</f>
        <v>12.5</v>
      </c>
      <c r="G306" s="35" t="n">
        <f aca="false">IF($C306="Proteina",INDEX(Media_Pool_Mes!$C$2:$C$13,MATCH($B306,Media_Pool_Mes!$A$2:$A$13,0)),IF($C306="Umidade",INDEX(Media_Pool_Mes!$D$2:$D$13,MATCH($B306,Media_Pool_Mes!$A$2:$A$13,0)),INDEX(Media_Pool_Mes!$E$2:$E$13,MATCH($B306,Media_Pool_Mes!$A$2:$A$13,0))))</f>
        <v>12.6225093779221</v>
      </c>
      <c r="H306" s="37" t="n">
        <f aca="false">INDEX(Parametros_ANEC73!$B$4:$B$6,MATCH($C306,Parametros_ANEC73!$A$4:$A$6,0))</f>
        <v>1</v>
      </c>
      <c r="I306" s="38" t="str">
        <f aca="false">IF(OR($D306=0,$G306=""),"",IF($H306*($G306-$F306)&gt;0,$G306,$F306))</f>
        <v/>
      </c>
      <c r="J306" s="27" t="str">
        <f aca="false">IF(OR($D306=0,$G306=""),"",IF($H306*($G306-$F306)&gt;0,"Sim","Nao"))</f>
        <v/>
      </c>
      <c r="K306" s="27" t="str">
        <f aca="false">IF(OR($D306=0,$G306=""),"",IF(AND($H306*($E306-$F306)&gt;0,$H306*($E306-$G306)&gt;0),"Sim","Nao"))</f>
        <v/>
      </c>
      <c r="L306" s="38" t="n">
        <f aca="false">IF(OR($D306=0,$G306=""),0,IF($K306="Sim",MAX(0,$H306*($E306-$I306)),0))</f>
        <v>0</v>
      </c>
      <c r="M306" s="35" t="n">
        <f aca="false">INDEX(Parametros_ANEC73!$G$4:$G$6,MATCH($C306,Parametros_ANEC73!$A$4:$A$6,0))</f>
        <v>0</v>
      </c>
      <c r="N306" s="38" t="n">
        <f aca="false">IF(OR($D306=0,$G306=""),0,IF(AND($K306="Sim",$M306&lt;&gt;""),MAX(0,$H306*($E306-$M306)),0))</f>
        <v>0</v>
      </c>
      <c r="O306" s="35" t="n">
        <f aca="false">INDEX(Parametros_ANEC73!$J$4:$J$6,MATCH($C306,Parametros_ANEC73!$A$4:$A$6,0))</f>
        <v>0</v>
      </c>
      <c r="P306" s="38" t="n">
        <f aca="false">IF(OR($D306=0,$G306=""),0,IF(AND($K306="Sim",$O306&lt;&gt;""),MAX(0,$H306*($E306-$O306)),0))</f>
        <v>0</v>
      </c>
      <c r="Q306" s="35" t="n">
        <f aca="false">INDEX(Parametros_ANEC73!$F$4:$F$6,MATCH($C306,Parametros_ANEC73!$A$4:$A$6,0))</f>
        <v>1</v>
      </c>
      <c r="R306" s="35" t="n">
        <f aca="false">INDEX(Parametros_ANEC73!$I$4:$I$6,MATCH($C306,Parametros_ANEC73!$A$4:$A$6,0))</f>
        <v>0</v>
      </c>
      <c r="S306" s="35" t="n">
        <f aca="false">INDEX(Parametros_ANEC73!$L$4:$L$6,MATCH($C306,Parametros_ANEC73!$A$4:$A$6,0))</f>
        <v>0</v>
      </c>
      <c r="T306" s="39" t="n">
        <f aca="false">INDEX(Parametros_ANEC73!$B$14:$B$25,MATCH($B306,Parametros_ANEC73!$A$14:$A$25,0))</f>
        <v>326</v>
      </c>
      <c r="U306" s="40" t="n">
        <f aca="false">IF(OR($D306=0,$G306=""),0,$D306*($T306/100)*($L306*$Q306+$N306*(IF($R306="",$Q306,$R306)-$Q306)+$P306*(IF($S306="",IF($R306="",$Q306,$R306),$S306)-IF($R306="",$Q306,$R306))))</f>
        <v>0</v>
      </c>
      <c r="V306" s="41" t="str">
        <f aca="false">IF(OR($D306=0,$G306=""),"",IF($H306*($E306-INDEX(Parametros_ANEC73!$M$4:$M$6,MATCH($C306,Parametros_ANEC73!$A$4:$A$6,0)))&gt;0,"Sim","Nao"))</f>
        <v/>
      </c>
      <c r="W306" s="27" t="str">
        <f aca="false">$A306&amp;"|"&amp;$B306&amp;"|"&amp;$C306</f>
        <v>Aliança|Jun|Umidade</v>
      </c>
    </row>
    <row r="307" customFormat="false" ht="15" hidden="false" customHeight="false" outlineLevel="0" collapsed="false">
      <c r="A307" s="27" t="s">
        <v>47</v>
      </c>
      <c r="B307" s="27" t="s">
        <v>63</v>
      </c>
      <c r="C307" s="27" t="s">
        <v>111</v>
      </c>
      <c r="D307" s="34" t="n">
        <f aca="false">SUMIFS(Media_Cliente_Mes!$C$2:$C$145,Media_Cliente_Mes!$A$2:$A$145,$A307,Media_Cliente_Mes!$B$2:$B$145,$B307)</f>
        <v>0</v>
      </c>
      <c r="E307" s="35" t="str">
        <f aca="false">IF($D307=0,"",IF($C307="Proteina",SUMIFS(Media_Cliente_Mes!$D$2:$D$145,Media_Cliente_Mes!$A$2:$A$145,$A307,Media_Cliente_Mes!$B$2:$B$145,$B307),IF($C307="Umidade",SUMIFS(Media_Cliente_Mes!$E$2:$E$145,Media_Cliente_Mes!$A$2:$A$145,$A307,Media_Cliente_Mes!$B$2:$B$145,$B307),SUMIFS(Media_Cliente_Mes!$F$2:$F$145,Media_Cliente_Mes!$A$2:$A$145,$A307,Media_Cliente_Mes!$B$2:$B$145,$B307))))</f>
        <v/>
      </c>
      <c r="F307" s="35" t="n">
        <f aca="false">INDEX(Parametros_ANEC73!$C$4:$C$6,MATCH($C307,Parametros_ANEC73!$A$4:$A$6,0))</f>
        <v>3.5</v>
      </c>
      <c r="G307" s="35" t="n">
        <f aca="false">IF($C307="Proteina",INDEX(Media_Pool_Mes!$C$2:$C$13,MATCH($B307,Media_Pool_Mes!$A$2:$A$13,0)),IF($C307="Umidade",INDEX(Media_Pool_Mes!$D$2:$D$13,MATCH($B307,Media_Pool_Mes!$A$2:$A$13,0)),INDEX(Media_Pool_Mes!$E$2:$E$13,MATCH($B307,Media_Pool_Mes!$A$2:$A$13,0))))</f>
        <v>3.72652113613862</v>
      </c>
      <c r="H307" s="37" t="n">
        <f aca="false">INDEX(Parametros_ANEC73!$B$4:$B$6,MATCH($C307,Parametros_ANEC73!$A$4:$A$6,0))</f>
        <v>1</v>
      </c>
      <c r="I307" s="38" t="str">
        <f aca="false">IF(OR($D307=0,$G307=""),"",IF($H307*($G307-$F307)&gt;0,$G307,$F307))</f>
        <v/>
      </c>
      <c r="J307" s="27" t="str">
        <f aca="false">IF(OR($D307=0,$G307=""),"",IF($H307*($G307-$F307)&gt;0,"Sim","Nao"))</f>
        <v/>
      </c>
      <c r="K307" s="27" t="str">
        <f aca="false">IF(OR($D307=0,$G307=""),"",IF(AND($H307*($E307-$F307)&gt;0,$H307*($E307-$G307)&gt;0),"Sim","Nao"))</f>
        <v/>
      </c>
      <c r="L307" s="38" t="n">
        <f aca="false">IF(OR($D307=0,$G307=""),0,IF($K307="Sim",MAX(0,$H307*($E307-$I307)),0))</f>
        <v>0</v>
      </c>
      <c r="M307" s="35" t="n">
        <f aca="false">INDEX(Parametros_ANEC73!$G$4:$G$6,MATCH($C307,Parametros_ANEC73!$A$4:$A$6,0))</f>
        <v>3.8</v>
      </c>
      <c r="N307" s="38" t="n">
        <f aca="false">IF(OR($D307=0,$G307=""),0,IF(AND($K307="Sim",$M307&lt;&gt;""),MAX(0,$H307*($E307-$M307)),0))</f>
        <v>0</v>
      </c>
      <c r="O307" s="35" t="n">
        <f aca="false">INDEX(Parametros_ANEC73!$J$4:$J$6,MATCH($C307,Parametros_ANEC73!$A$4:$A$6,0))</f>
        <v>4</v>
      </c>
      <c r="P307" s="38" t="n">
        <f aca="false">IF(OR($D307=0,$G307=""),0,IF(AND($K307="Sim",$O307&lt;&gt;""),MAX(0,$H307*($E307-$O307)),0))</f>
        <v>0</v>
      </c>
      <c r="Q307" s="35" t="n">
        <f aca="false">INDEX(Parametros_ANEC73!$F$4:$F$6,MATCH($C307,Parametros_ANEC73!$A$4:$A$6,0))</f>
        <v>1</v>
      </c>
      <c r="R307" s="35" t="n">
        <f aca="false">INDEX(Parametros_ANEC73!$I$4:$I$6,MATCH($C307,Parametros_ANEC73!$A$4:$A$6,0))</f>
        <v>1.5</v>
      </c>
      <c r="S307" s="35" t="n">
        <f aca="false">INDEX(Parametros_ANEC73!$L$4:$L$6,MATCH($C307,Parametros_ANEC73!$A$4:$A$6,0))</f>
        <v>2</v>
      </c>
      <c r="T307" s="39" t="n">
        <f aca="false">INDEX(Parametros_ANEC73!$B$14:$B$25,MATCH($B307,Parametros_ANEC73!$A$14:$A$25,0))</f>
        <v>326</v>
      </c>
      <c r="U307" s="40" t="n">
        <f aca="false">IF(OR($D307=0,$G307=""),0,$D307*($T307/100)*($L307*$Q307+$N307*(IF($R307="",$Q307,$R307)-$Q307)+$P307*(IF($S307="",IF($R307="",$Q307,$R307),$S307)-IF($R307="",$Q307,$R307))))</f>
        <v>0</v>
      </c>
      <c r="V307" s="41" t="str">
        <f aca="false">IF(OR($D307=0,$G307=""),"",IF($H307*($E307-INDEX(Parametros_ANEC73!$M$4:$M$6,MATCH($C307,Parametros_ANEC73!$A$4:$A$6,0)))&gt;0,"Sim","Nao"))</f>
        <v/>
      </c>
      <c r="W307" s="27" t="str">
        <f aca="false">$A307&amp;"|"&amp;$B307&amp;"|"&amp;$C307</f>
        <v>Aliança|Jun|Fibra</v>
      </c>
    </row>
    <row r="308" customFormat="false" ht="15" hidden="false" customHeight="false" outlineLevel="0" collapsed="false">
      <c r="A308" s="27" t="s">
        <v>47</v>
      </c>
      <c r="B308" s="27" t="s">
        <v>64</v>
      </c>
      <c r="C308" s="27" t="s">
        <v>109</v>
      </c>
      <c r="D308" s="34" t="n">
        <f aca="false">SUMIFS(Media_Cliente_Mes!$C$2:$C$145,Media_Cliente_Mes!$A$2:$A$145,$A308,Media_Cliente_Mes!$B$2:$B$145,$B308)</f>
        <v>0</v>
      </c>
      <c r="E308" s="35" t="str">
        <f aca="false">IF($D308=0,"",IF($C308="Proteina",SUMIFS(Media_Cliente_Mes!$D$2:$D$145,Media_Cliente_Mes!$A$2:$A$145,$A308,Media_Cliente_Mes!$B$2:$B$145,$B308),IF($C308="Umidade",SUMIFS(Media_Cliente_Mes!$E$2:$E$145,Media_Cliente_Mes!$A$2:$A$145,$A308,Media_Cliente_Mes!$B$2:$B$145,$B308),SUMIFS(Media_Cliente_Mes!$F$2:$F$145,Media_Cliente_Mes!$A$2:$A$145,$A308,Media_Cliente_Mes!$B$2:$B$145,$B308))))</f>
        <v/>
      </c>
      <c r="F308" s="35" t="n">
        <f aca="false">INDEX(Parametros_ANEC73!$C$4:$C$6,MATCH($C308,Parametros_ANEC73!$A$4:$A$6,0))</f>
        <v>48</v>
      </c>
      <c r="G308" s="35" t="n">
        <f aca="false">IF($C308="Proteina",INDEX(Media_Pool_Mes!$C$2:$C$13,MATCH($B308,Media_Pool_Mes!$A$2:$A$13,0)),IF($C308="Umidade",INDEX(Media_Pool_Mes!$D$2:$D$13,MATCH($B308,Media_Pool_Mes!$A$2:$A$13,0)),INDEX(Media_Pool_Mes!$E$2:$E$13,MATCH($B308,Media_Pool_Mes!$A$2:$A$13,0))))</f>
        <v>47.6816680231132</v>
      </c>
      <c r="H308" s="37" t="n">
        <f aca="false">INDEX(Parametros_ANEC73!$B$4:$B$6,MATCH($C308,Parametros_ANEC73!$A$4:$A$6,0))</f>
        <v>-1</v>
      </c>
      <c r="I308" s="38" t="str">
        <f aca="false">IF(OR($D308=0,$G308=""),"",IF($H308*($G308-$F308)&gt;0,$G308,$F308))</f>
        <v/>
      </c>
      <c r="J308" s="27" t="str">
        <f aca="false">IF(OR($D308=0,$G308=""),"",IF($H308*($G308-$F308)&gt;0,"Sim","Nao"))</f>
        <v/>
      </c>
      <c r="K308" s="27" t="str">
        <f aca="false">IF(OR($D308=0,$G308=""),"",IF(AND($H308*($E308-$F308)&gt;0,$H308*($E308-$G308)&gt;0),"Sim","Nao"))</f>
        <v/>
      </c>
      <c r="L308" s="38" t="n">
        <f aca="false">IF(OR($D308=0,$G308=""),0,IF($K308="Sim",MAX(0,$H308*($E308-$I308)),0))</f>
        <v>0</v>
      </c>
      <c r="M308" s="35" t="n">
        <f aca="false">INDEX(Parametros_ANEC73!$G$4:$G$6,MATCH($C308,Parametros_ANEC73!$A$4:$A$6,0))</f>
        <v>47</v>
      </c>
      <c r="N308" s="38" t="n">
        <f aca="false">IF(OR($D308=0,$G308=""),0,IF(AND($K308="Sim",$M308&lt;&gt;""),MAX(0,$H308*($E308-$M308)),0))</f>
        <v>0</v>
      </c>
      <c r="O308" s="35" t="n">
        <f aca="false">INDEX(Parametros_ANEC73!$J$4:$J$6,MATCH($C308,Parametros_ANEC73!$A$4:$A$6,0))</f>
        <v>0</v>
      </c>
      <c r="P308" s="38" t="n">
        <f aca="false">IF(OR($D308=0,$G308=""),0,IF(AND($K308="Sim",$O308&lt;&gt;""),MAX(0,$H308*($E308-$O308)),0))</f>
        <v>0</v>
      </c>
      <c r="Q308" s="35" t="n">
        <f aca="false">INDEX(Parametros_ANEC73!$F$4:$F$6,MATCH($C308,Parametros_ANEC73!$A$4:$A$6,0))</f>
        <v>1</v>
      </c>
      <c r="R308" s="35" t="n">
        <f aca="false">INDEX(Parametros_ANEC73!$I$4:$I$6,MATCH($C308,Parametros_ANEC73!$A$4:$A$6,0))</f>
        <v>2</v>
      </c>
      <c r="S308" s="35" t="n">
        <f aca="false">INDEX(Parametros_ANEC73!$L$4:$L$6,MATCH($C308,Parametros_ANEC73!$A$4:$A$6,0))</f>
        <v>0</v>
      </c>
      <c r="T308" s="39" t="n">
        <f aca="false">INDEX(Parametros_ANEC73!$B$14:$B$25,MATCH($B308,Parametros_ANEC73!$A$14:$A$25,0))</f>
        <v>326</v>
      </c>
      <c r="U308" s="40" t="n">
        <f aca="false">IF(OR($D308=0,$G308=""),0,$D308*($T308/100)*($L308*$Q308+$N308*(IF($R308="",$Q308,$R308)-$Q308)+$P308*(IF($S308="",IF($R308="",$Q308,$R308),$S308)-IF($R308="",$Q308,$R308))))</f>
        <v>0</v>
      </c>
      <c r="V308" s="41" t="str">
        <f aca="false">IF(OR($D308=0,$G308=""),"",IF($H308*($E308-INDEX(Parametros_ANEC73!$M$4:$M$6,MATCH($C308,Parametros_ANEC73!$A$4:$A$6,0)))&gt;0,"Sim","Nao"))</f>
        <v/>
      </c>
      <c r="W308" s="27" t="str">
        <f aca="false">$A308&amp;"|"&amp;$B308&amp;"|"&amp;$C308</f>
        <v>Aliança|Jul|Proteina</v>
      </c>
    </row>
    <row r="309" customFormat="false" ht="15" hidden="false" customHeight="false" outlineLevel="0" collapsed="false">
      <c r="A309" s="27" t="s">
        <v>47</v>
      </c>
      <c r="B309" s="27" t="s">
        <v>64</v>
      </c>
      <c r="C309" s="27" t="s">
        <v>110</v>
      </c>
      <c r="D309" s="34" t="n">
        <f aca="false">SUMIFS(Media_Cliente_Mes!$C$2:$C$145,Media_Cliente_Mes!$A$2:$A$145,$A309,Media_Cliente_Mes!$B$2:$B$145,$B309)</f>
        <v>0</v>
      </c>
      <c r="E309" s="35" t="str">
        <f aca="false">IF($D309=0,"",IF($C309="Proteina",SUMIFS(Media_Cliente_Mes!$D$2:$D$145,Media_Cliente_Mes!$A$2:$A$145,$A309,Media_Cliente_Mes!$B$2:$B$145,$B309),IF($C309="Umidade",SUMIFS(Media_Cliente_Mes!$E$2:$E$145,Media_Cliente_Mes!$A$2:$A$145,$A309,Media_Cliente_Mes!$B$2:$B$145,$B309),SUMIFS(Media_Cliente_Mes!$F$2:$F$145,Media_Cliente_Mes!$A$2:$A$145,$A309,Media_Cliente_Mes!$B$2:$B$145,$B309))))</f>
        <v/>
      </c>
      <c r="F309" s="35" t="n">
        <f aca="false">INDEX(Parametros_ANEC73!$C$4:$C$6,MATCH($C309,Parametros_ANEC73!$A$4:$A$6,0))</f>
        <v>12.5</v>
      </c>
      <c r="G309" s="35" t="n">
        <f aca="false">IF($C309="Proteina",INDEX(Media_Pool_Mes!$C$2:$C$13,MATCH($B309,Media_Pool_Mes!$A$2:$A$13,0)),IF($C309="Umidade",INDEX(Media_Pool_Mes!$D$2:$D$13,MATCH($B309,Media_Pool_Mes!$A$2:$A$13,0)),INDEX(Media_Pool_Mes!$E$2:$E$13,MATCH($B309,Media_Pool_Mes!$A$2:$A$13,0))))</f>
        <v>12.2356489048309</v>
      </c>
      <c r="H309" s="37" t="n">
        <f aca="false">INDEX(Parametros_ANEC73!$B$4:$B$6,MATCH($C309,Parametros_ANEC73!$A$4:$A$6,0))</f>
        <v>1</v>
      </c>
      <c r="I309" s="38" t="str">
        <f aca="false">IF(OR($D309=0,$G309=""),"",IF($H309*($G309-$F309)&gt;0,$G309,$F309))</f>
        <v/>
      </c>
      <c r="J309" s="27" t="str">
        <f aca="false">IF(OR($D309=0,$G309=""),"",IF($H309*($G309-$F309)&gt;0,"Sim","Nao"))</f>
        <v/>
      </c>
      <c r="K309" s="27" t="str">
        <f aca="false">IF(OR($D309=0,$G309=""),"",IF(AND($H309*($E309-$F309)&gt;0,$H309*($E309-$G309)&gt;0),"Sim","Nao"))</f>
        <v/>
      </c>
      <c r="L309" s="38" t="n">
        <f aca="false">IF(OR($D309=0,$G309=""),0,IF($K309="Sim",MAX(0,$H309*($E309-$I309)),0))</f>
        <v>0</v>
      </c>
      <c r="M309" s="35" t="n">
        <f aca="false">INDEX(Parametros_ANEC73!$G$4:$G$6,MATCH($C309,Parametros_ANEC73!$A$4:$A$6,0))</f>
        <v>0</v>
      </c>
      <c r="N309" s="38" t="n">
        <f aca="false">IF(OR($D309=0,$G309=""),0,IF(AND($K309="Sim",$M309&lt;&gt;""),MAX(0,$H309*($E309-$M309)),0))</f>
        <v>0</v>
      </c>
      <c r="O309" s="35" t="n">
        <f aca="false">INDEX(Parametros_ANEC73!$J$4:$J$6,MATCH($C309,Parametros_ANEC73!$A$4:$A$6,0))</f>
        <v>0</v>
      </c>
      <c r="P309" s="38" t="n">
        <f aca="false">IF(OR($D309=0,$G309=""),0,IF(AND($K309="Sim",$O309&lt;&gt;""),MAX(0,$H309*($E309-$O309)),0))</f>
        <v>0</v>
      </c>
      <c r="Q309" s="35" t="n">
        <f aca="false">INDEX(Parametros_ANEC73!$F$4:$F$6,MATCH($C309,Parametros_ANEC73!$A$4:$A$6,0))</f>
        <v>1</v>
      </c>
      <c r="R309" s="35" t="n">
        <f aca="false">INDEX(Parametros_ANEC73!$I$4:$I$6,MATCH($C309,Parametros_ANEC73!$A$4:$A$6,0))</f>
        <v>0</v>
      </c>
      <c r="S309" s="35" t="n">
        <f aca="false">INDEX(Parametros_ANEC73!$L$4:$L$6,MATCH($C309,Parametros_ANEC73!$A$4:$A$6,0))</f>
        <v>0</v>
      </c>
      <c r="T309" s="39" t="n">
        <f aca="false">INDEX(Parametros_ANEC73!$B$14:$B$25,MATCH($B309,Parametros_ANEC73!$A$14:$A$25,0))</f>
        <v>326</v>
      </c>
      <c r="U309" s="40" t="n">
        <f aca="false">IF(OR($D309=0,$G309=""),0,$D309*($T309/100)*($L309*$Q309+$N309*(IF($R309="",$Q309,$R309)-$Q309)+$P309*(IF($S309="",IF($R309="",$Q309,$R309),$S309)-IF($R309="",$Q309,$R309))))</f>
        <v>0</v>
      </c>
      <c r="V309" s="41" t="str">
        <f aca="false">IF(OR($D309=0,$G309=""),"",IF($H309*($E309-INDEX(Parametros_ANEC73!$M$4:$M$6,MATCH($C309,Parametros_ANEC73!$A$4:$A$6,0)))&gt;0,"Sim","Nao"))</f>
        <v/>
      </c>
      <c r="W309" s="27" t="str">
        <f aca="false">$A309&amp;"|"&amp;$B309&amp;"|"&amp;$C309</f>
        <v>Aliança|Jul|Umidade</v>
      </c>
    </row>
    <row r="310" customFormat="false" ht="15" hidden="false" customHeight="false" outlineLevel="0" collapsed="false">
      <c r="A310" s="27" t="s">
        <v>47</v>
      </c>
      <c r="B310" s="27" t="s">
        <v>64</v>
      </c>
      <c r="C310" s="27" t="s">
        <v>111</v>
      </c>
      <c r="D310" s="34" t="n">
        <f aca="false">SUMIFS(Media_Cliente_Mes!$C$2:$C$145,Media_Cliente_Mes!$A$2:$A$145,$A310,Media_Cliente_Mes!$B$2:$B$145,$B310)</f>
        <v>0</v>
      </c>
      <c r="E310" s="35" t="str">
        <f aca="false">IF($D310=0,"",IF($C310="Proteina",SUMIFS(Media_Cliente_Mes!$D$2:$D$145,Media_Cliente_Mes!$A$2:$A$145,$A310,Media_Cliente_Mes!$B$2:$B$145,$B310),IF($C310="Umidade",SUMIFS(Media_Cliente_Mes!$E$2:$E$145,Media_Cliente_Mes!$A$2:$A$145,$A310,Media_Cliente_Mes!$B$2:$B$145,$B310),SUMIFS(Media_Cliente_Mes!$F$2:$F$145,Media_Cliente_Mes!$A$2:$A$145,$A310,Media_Cliente_Mes!$B$2:$B$145,$B310))))</f>
        <v/>
      </c>
      <c r="F310" s="35" t="n">
        <f aca="false">INDEX(Parametros_ANEC73!$C$4:$C$6,MATCH($C310,Parametros_ANEC73!$A$4:$A$6,0))</f>
        <v>3.5</v>
      </c>
      <c r="G310" s="35" t="n">
        <f aca="false">IF($C310="Proteina",INDEX(Media_Pool_Mes!$C$2:$C$13,MATCH($B310,Media_Pool_Mes!$A$2:$A$13,0)),IF($C310="Umidade",INDEX(Media_Pool_Mes!$D$2:$D$13,MATCH($B310,Media_Pool_Mes!$A$2:$A$13,0)),INDEX(Media_Pool_Mes!$E$2:$E$13,MATCH($B310,Media_Pool_Mes!$A$2:$A$13,0))))</f>
        <v>3.48415625565953</v>
      </c>
      <c r="H310" s="37" t="n">
        <f aca="false">INDEX(Parametros_ANEC73!$B$4:$B$6,MATCH($C310,Parametros_ANEC73!$A$4:$A$6,0))</f>
        <v>1</v>
      </c>
      <c r="I310" s="38" t="str">
        <f aca="false">IF(OR($D310=0,$G310=""),"",IF($H310*($G310-$F310)&gt;0,$G310,$F310))</f>
        <v/>
      </c>
      <c r="J310" s="27" t="str">
        <f aca="false">IF(OR($D310=0,$G310=""),"",IF($H310*($G310-$F310)&gt;0,"Sim","Nao"))</f>
        <v/>
      </c>
      <c r="K310" s="27" t="str">
        <f aca="false">IF(OR($D310=0,$G310=""),"",IF(AND($H310*($E310-$F310)&gt;0,$H310*($E310-$G310)&gt;0),"Sim","Nao"))</f>
        <v/>
      </c>
      <c r="L310" s="38" t="n">
        <f aca="false">IF(OR($D310=0,$G310=""),0,IF($K310="Sim",MAX(0,$H310*($E310-$I310)),0))</f>
        <v>0</v>
      </c>
      <c r="M310" s="35" t="n">
        <f aca="false">INDEX(Parametros_ANEC73!$G$4:$G$6,MATCH($C310,Parametros_ANEC73!$A$4:$A$6,0))</f>
        <v>3.8</v>
      </c>
      <c r="N310" s="38" t="n">
        <f aca="false">IF(OR($D310=0,$G310=""),0,IF(AND($K310="Sim",$M310&lt;&gt;""),MAX(0,$H310*($E310-$M310)),0))</f>
        <v>0</v>
      </c>
      <c r="O310" s="35" t="n">
        <f aca="false">INDEX(Parametros_ANEC73!$J$4:$J$6,MATCH($C310,Parametros_ANEC73!$A$4:$A$6,0))</f>
        <v>4</v>
      </c>
      <c r="P310" s="38" t="n">
        <f aca="false">IF(OR($D310=0,$G310=""),0,IF(AND($K310="Sim",$O310&lt;&gt;""),MAX(0,$H310*($E310-$O310)),0))</f>
        <v>0</v>
      </c>
      <c r="Q310" s="35" t="n">
        <f aca="false">INDEX(Parametros_ANEC73!$F$4:$F$6,MATCH($C310,Parametros_ANEC73!$A$4:$A$6,0))</f>
        <v>1</v>
      </c>
      <c r="R310" s="35" t="n">
        <f aca="false">INDEX(Parametros_ANEC73!$I$4:$I$6,MATCH($C310,Parametros_ANEC73!$A$4:$A$6,0))</f>
        <v>1.5</v>
      </c>
      <c r="S310" s="35" t="n">
        <f aca="false">INDEX(Parametros_ANEC73!$L$4:$L$6,MATCH($C310,Parametros_ANEC73!$A$4:$A$6,0))</f>
        <v>2</v>
      </c>
      <c r="T310" s="39" t="n">
        <f aca="false">INDEX(Parametros_ANEC73!$B$14:$B$25,MATCH($B310,Parametros_ANEC73!$A$14:$A$25,0))</f>
        <v>326</v>
      </c>
      <c r="U310" s="40" t="n">
        <f aca="false">IF(OR($D310=0,$G310=""),0,$D310*($T310/100)*($L310*$Q310+$N310*(IF($R310="",$Q310,$R310)-$Q310)+$P310*(IF($S310="",IF($R310="",$Q310,$R310),$S310)-IF($R310="",$Q310,$R310))))</f>
        <v>0</v>
      </c>
      <c r="V310" s="41" t="str">
        <f aca="false">IF(OR($D310=0,$G310=""),"",IF($H310*($E310-INDEX(Parametros_ANEC73!$M$4:$M$6,MATCH($C310,Parametros_ANEC73!$A$4:$A$6,0)))&gt;0,"Sim","Nao"))</f>
        <v/>
      </c>
      <c r="W310" s="27" t="str">
        <f aca="false">$A310&amp;"|"&amp;$B310&amp;"|"&amp;$C310</f>
        <v>Aliança|Jul|Fibra</v>
      </c>
    </row>
    <row r="311" customFormat="false" ht="15" hidden="false" customHeight="false" outlineLevel="0" collapsed="false">
      <c r="A311" s="27" t="s">
        <v>47</v>
      </c>
      <c r="B311" s="27" t="s">
        <v>65</v>
      </c>
      <c r="C311" s="27" t="s">
        <v>109</v>
      </c>
      <c r="D311" s="34" t="n">
        <f aca="false">SUMIFS(Media_Cliente_Mes!$C$2:$C$145,Media_Cliente_Mes!$A$2:$A$145,$A311,Media_Cliente_Mes!$B$2:$B$145,$B311)</f>
        <v>0</v>
      </c>
      <c r="E311" s="35" t="str">
        <f aca="false">IF($D311=0,"",IF($C311="Proteina",SUMIFS(Media_Cliente_Mes!$D$2:$D$145,Media_Cliente_Mes!$A$2:$A$145,$A311,Media_Cliente_Mes!$B$2:$B$145,$B311),IF($C311="Umidade",SUMIFS(Media_Cliente_Mes!$E$2:$E$145,Media_Cliente_Mes!$A$2:$A$145,$A311,Media_Cliente_Mes!$B$2:$B$145,$B311),SUMIFS(Media_Cliente_Mes!$F$2:$F$145,Media_Cliente_Mes!$A$2:$A$145,$A311,Media_Cliente_Mes!$B$2:$B$145,$B311))))</f>
        <v/>
      </c>
      <c r="F311" s="35" t="n">
        <f aca="false">INDEX(Parametros_ANEC73!$C$4:$C$6,MATCH($C311,Parametros_ANEC73!$A$4:$A$6,0))</f>
        <v>48</v>
      </c>
      <c r="G311" s="35" t="n">
        <f aca="false">IF($C311="Proteina",INDEX(Media_Pool_Mes!$C$2:$C$13,MATCH($B311,Media_Pool_Mes!$A$2:$A$13,0)),IF($C311="Umidade",INDEX(Media_Pool_Mes!$D$2:$D$13,MATCH($B311,Media_Pool_Mes!$A$2:$A$13,0)),INDEX(Media_Pool_Mes!$E$2:$E$13,MATCH($B311,Media_Pool_Mes!$A$2:$A$13,0))))</f>
        <v>47.3199561197423</v>
      </c>
      <c r="H311" s="37" t="n">
        <f aca="false">INDEX(Parametros_ANEC73!$B$4:$B$6,MATCH($C311,Parametros_ANEC73!$A$4:$A$6,0))</f>
        <v>-1</v>
      </c>
      <c r="I311" s="38" t="str">
        <f aca="false">IF(OR($D311=0,$G311=""),"",IF($H311*($G311-$F311)&gt;0,$G311,$F311))</f>
        <v/>
      </c>
      <c r="J311" s="27" t="str">
        <f aca="false">IF(OR($D311=0,$G311=""),"",IF($H311*($G311-$F311)&gt;0,"Sim","Nao"))</f>
        <v/>
      </c>
      <c r="K311" s="27" t="str">
        <f aca="false">IF(OR($D311=0,$G311=""),"",IF(AND($H311*($E311-$F311)&gt;0,$H311*($E311-$G311)&gt;0),"Sim","Nao"))</f>
        <v/>
      </c>
      <c r="L311" s="38" t="n">
        <f aca="false">IF(OR($D311=0,$G311=""),0,IF($K311="Sim",MAX(0,$H311*($E311-$I311)),0))</f>
        <v>0</v>
      </c>
      <c r="M311" s="35" t="n">
        <f aca="false">INDEX(Parametros_ANEC73!$G$4:$G$6,MATCH($C311,Parametros_ANEC73!$A$4:$A$6,0))</f>
        <v>47</v>
      </c>
      <c r="N311" s="38" t="n">
        <f aca="false">IF(OR($D311=0,$G311=""),0,IF(AND($K311="Sim",$M311&lt;&gt;""),MAX(0,$H311*($E311-$M311)),0))</f>
        <v>0</v>
      </c>
      <c r="O311" s="35" t="n">
        <f aca="false">INDEX(Parametros_ANEC73!$J$4:$J$6,MATCH($C311,Parametros_ANEC73!$A$4:$A$6,0))</f>
        <v>0</v>
      </c>
      <c r="P311" s="38" t="n">
        <f aca="false">IF(OR($D311=0,$G311=""),0,IF(AND($K311="Sim",$O311&lt;&gt;""),MAX(0,$H311*($E311-$O311)),0))</f>
        <v>0</v>
      </c>
      <c r="Q311" s="35" t="n">
        <f aca="false">INDEX(Parametros_ANEC73!$F$4:$F$6,MATCH($C311,Parametros_ANEC73!$A$4:$A$6,0))</f>
        <v>1</v>
      </c>
      <c r="R311" s="35" t="n">
        <f aca="false">INDEX(Parametros_ANEC73!$I$4:$I$6,MATCH($C311,Parametros_ANEC73!$A$4:$A$6,0))</f>
        <v>2</v>
      </c>
      <c r="S311" s="35" t="n">
        <f aca="false">INDEX(Parametros_ANEC73!$L$4:$L$6,MATCH($C311,Parametros_ANEC73!$A$4:$A$6,0))</f>
        <v>0</v>
      </c>
      <c r="T311" s="39" t="n">
        <f aca="false">INDEX(Parametros_ANEC73!$B$14:$B$25,MATCH($B311,Parametros_ANEC73!$A$14:$A$25,0))</f>
        <v>326</v>
      </c>
      <c r="U311" s="40" t="n">
        <f aca="false">IF(OR($D311=0,$G311=""),0,$D311*($T311/100)*($L311*$Q311+$N311*(IF($R311="",$Q311,$R311)-$Q311)+$P311*(IF($S311="",IF($R311="",$Q311,$R311),$S311)-IF($R311="",$Q311,$R311))))</f>
        <v>0</v>
      </c>
      <c r="V311" s="41" t="str">
        <f aca="false">IF(OR($D311=0,$G311=""),"",IF($H311*($E311-INDEX(Parametros_ANEC73!$M$4:$M$6,MATCH($C311,Parametros_ANEC73!$A$4:$A$6,0)))&gt;0,"Sim","Nao"))</f>
        <v/>
      </c>
      <c r="W311" s="27" t="str">
        <f aca="false">$A311&amp;"|"&amp;$B311&amp;"|"&amp;$C311</f>
        <v>Aliança|Ago|Proteina</v>
      </c>
    </row>
    <row r="312" customFormat="false" ht="15" hidden="false" customHeight="false" outlineLevel="0" collapsed="false">
      <c r="A312" s="27" t="s">
        <v>47</v>
      </c>
      <c r="B312" s="27" t="s">
        <v>65</v>
      </c>
      <c r="C312" s="27" t="s">
        <v>110</v>
      </c>
      <c r="D312" s="34" t="n">
        <f aca="false">SUMIFS(Media_Cliente_Mes!$C$2:$C$145,Media_Cliente_Mes!$A$2:$A$145,$A312,Media_Cliente_Mes!$B$2:$B$145,$B312)</f>
        <v>0</v>
      </c>
      <c r="E312" s="35" t="str">
        <f aca="false">IF($D312=0,"",IF($C312="Proteina",SUMIFS(Media_Cliente_Mes!$D$2:$D$145,Media_Cliente_Mes!$A$2:$A$145,$A312,Media_Cliente_Mes!$B$2:$B$145,$B312),IF($C312="Umidade",SUMIFS(Media_Cliente_Mes!$E$2:$E$145,Media_Cliente_Mes!$A$2:$A$145,$A312,Media_Cliente_Mes!$B$2:$B$145,$B312),SUMIFS(Media_Cliente_Mes!$F$2:$F$145,Media_Cliente_Mes!$A$2:$A$145,$A312,Media_Cliente_Mes!$B$2:$B$145,$B312))))</f>
        <v/>
      </c>
      <c r="F312" s="35" t="n">
        <f aca="false">INDEX(Parametros_ANEC73!$C$4:$C$6,MATCH($C312,Parametros_ANEC73!$A$4:$A$6,0))</f>
        <v>12.5</v>
      </c>
      <c r="G312" s="35" t="n">
        <f aca="false">IF($C312="Proteina",INDEX(Media_Pool_Mes!$C$2:$C$13,MATCH($B312,Media_Pool_Mes!$A$2:$A$13,0)),IF($C312="Umidade",INDEX(Media_Pool_Mes!$D$2:$D$13,MATCH($B312,Media_Pool_Mes!$A$2:$A$13,0)),INDEX(Media_Pool_Mes!$E$2:$E$13,MATCH($B312,Media_Pool_Mes!$A$2:$A$13,0))))</f>
        <v>12.2068387200965</v>
      </c>
      <c r="H312" s="37" t="n">
        <f aca="false">INDEX(Parametros_ANEC73!$B$4:$B$6,MATCH($C312,Parametros_ANEC73!$A$4:$A$6,0))</f>
        <v>1</v>
      </c>
      <c r="I312" s="38" t="str">
        <f aca="false">IF(OR($D312=0,$G312=""),"",IF($H312*($G312-$F312)&gt;0,$G312,$F312))</f>
        <v/>
      </c>
      <c r="J312" s="27" t="str">
        <f aca="false">IF(OR($D312=0,$G312=""),"",IF($H312*($G312-$F312)&gt;0,"Sim","Nao"))</f>
        <v/>
      </c>
      <c r="K312" s="27" t="str">
        <f aca="false">IF(OR($D312=0,$G312=""),"",IF(AND($H312*($E312-$F312)&gt;0,$H312*($E312-$G312)&gt;0),"Sim","Nao"))</f>
        <v/>
      </c>
      <c r="L312" s="38" t="n">
        <f aca="false">IF(OR($D312=0,$G312=""),0,IF($K312="Sim",MAX(0,$H312*($E312-$I312)),0))</f>
        <v>0</v>
      </c>
      <c r="M312" s="35" t="n">
        <f aca="false">INDEX(Parametros_ANEC73!$G$4:$G$6,MATCH($C312,Parametros_ANEC73!$A$4:$A$6,0))</f>
        <v>0</v>
      </c>
      <c r="N312" s="38" t="n">
        <f aca="false">IF(OR($D312=0,$G312=""),0,IF(AND($K312="Sim",$M312&lt;&gt;""),MAX(0,$H312*($E312-$M312)),0))</f>
        <v>0</v>
      </c>
      <c r="O312" s="35" t="n">
        <f aca="false">INDEX(Parametros_ANEC73!$J$4:$J$6,MATCH($C312,Parametros_ANEC73!$A$4:$A$6,0))</f>
        <v>0</v>
      </c>
      <c r="P312" s="38" t="n">
        <f aca="false">IF(OR($D312=0,$G312=""),0,IF(AND($K312="Sim",$O312&lt;&gt;""),MAX(0,$H312*($E312-$O312)),0))</f>
        <v>0</v>
      </c>
      <c r="Q312" s="35" t="n">
        <f aca="false">INDEX(Parametros_ANEC73!$F$4:$F$6,MATCH($C312,Parametros_ANEC73!$A$4:$A$6,0))</f>
        <v>1</v>
      </c>
      <c r="R312" s="35" t="n">
        <f aca="false">INDEX(Parametros_ANEC73!$I$4:$I$6,MATCH($C312,Parametros_ANEC73!$A$4:$A$6,0))</f>
        <v>0</v>
      </c>
      <c r="S312" s="35" t="n">
        <f aca="false">INDEX(Parametros_ANEC73!$L$4:$L$6,MATCH($C312,Parametros_ANEC73!$A$4:$A$6,0))</f>
        <v>0</v>
      </c>
      <c r="T312" s="39" t="n">
        <f aca="false">INDEX(Parametros_ANEC73!$B$14:$B$25,MATCH($B312,Parametros_ANEC73!$A$14:$A$25,0))</f>
        <v>326</v>
      </c>
      <c r="U312" s="40" t="n">
        <f aca="false">IF(OR($D312=0,$G312=""),0,$D312*($T312/100)*($L312*$Q312+$N312*(IF($R312="",$Q312,$R312)-$Q312)+$P312*(IF($S312="",IF($R312="",$Q312,$R312),$S312)-IF($R312="",$Q312,$R312))))</f>
        <v>0</v>
      </c>
      <c r="V312" s="41" t="str">
        <f aca="false">IF(OR($D312=0,$G312=""),"",IF($H312*($E312-INDEX(Parametros_ANEC73!$M$4:$M$6,MATCH($C312,Parametros_ANEC73!$A$4:$A$6,0)))&gt;0,"Sim","Nao"))</f>
        <v/>
      </c>
      <c r="W312" s="27" t="str">
        <f aca="false">$A312&amp;"|"&amp;$B312&amp;"|"&amp;$C312</f>
        <v>Aliança|Ago|Umidade</v>
      </c>
    </row>
    <row r="313" customFormat="false" ht="15" hidden="false" customHeight="false" outlineLevel="0" collapsed="false">
      <c r="A313" s="27" t="s">
        <v>47</v>
      </c>
      <c r="B313" s="27" t="s">
        <v>65</v>
      </c>
      <c r="C313" s="27" t="s">
        <v>111</v>
      </c>
      <c r="D313" s="34" t="n">
        <f aca="false">SUMIFS(Media_Cliente_Mes!$C$2:$C$145,Media_Cliente_Mes!$A$2:$A$145,$A313,Media_Cliente_Mes!$B$2:$B$145,$B313)</f>
        <v>0</v>
      </c>
      <c r="E313" s="35" t="str">
        <f aca="false">IF($D313=0,"",IF($C313="Proteina",SUMIFS(Media_Cliente_Mes!$D$2:$D$145,Media_Cliente_Mes!$A$2:$A$145,$A313,Media_Cliente_Mes!$B$2:$B$145,$B313),IF($C313="Umidade",SUMIFS(Media_Cliente_Mes!$E$2:$E$145,Media_Cliente_Mes!$A$2:$A$145,$A313,Media_Cliente_Mes!$B$2:$B$145,$B313),SUMIFS(Media_Cliente_Mes!$F$2:$F$145,Media_Cliente_Mes!$A$2:$A$145,$A313,Media_Cliente_Mes!$B$2:$B$145,$B313))))</f>
        <v/>
      </c>
      <c r="F313" s="35" t="n">
        <f aca="false">INDEX(Parametros_ANEC73!$C$4:$C$6,MATCH($C313,Parametros_ANEC73!$A$4:$A$6,0))</f>
        <v>3.5</v>
      </c>
      <c r="G313" s="35" t="n">
        <f aca="false">IF($C313="Proteina",INDEX(Media_Pool_Mes!$C$2:$C$13,MATCH($B313,Media_Pool_Mes!$A$2:$A$13,0)),IF($C313="Umidade",INDEX(Media_Pool_Mes!$D$2:$D$13,MATCH($B313,Media_Pool_Mes!$A$2:$A$13,0)),INDEX(Media_Pool_Mes!$E$2:$E$13,MATCH($B313,Media_Pool_Mes!$A$2:$A$13,0))))</f>
        <v>3.7692688740906</v>
      </c>
      <c r="H313" s="37" t="n">
        <f aca="false">INDEX(Parametros_ANEC73!$B$4:$B$6,MATCH($C313,Parametros_ANEC73!$A$4:$A$6,0))</f>
        <v>1</v>
      </c>
      <c r="I313" s="38" t="str">
        <f aca="false">IF(OR($D313=0,$G313=""),"",IF($H313*($G313-$F313)&gt;0,$G313,$F313))</f>
        <v/>
      </c>
      <c r="J313" s="27" t="str">
        <f aca="false">IF(OR($D313=0,$G313=""),"",IF($H313*($G313-$F313)&gt;0,"Sim","Nao"))</f>
        <v/>
      </c>
      <c r="K313" s="27" t="str">
        <f aca="false">IF(OR($D313=0,$G313=""),"",IF(AND($H313*($E313-$F313)&gt;0,$H313*($E313-$G313)&gt;0),"Sim","Nao"))</f>
        <v/>
      </c>
      <c r="L313" s="38" t="n">
        <f aca="false">IF(OR($D313=0,$G313=""),0,IF($K313="Sim",MAX(0,$H313*($E313-$I313)),0))</f>
        <v>0</v>
      </c>
      <c r="M313" s="35" t="n">
        <f aca="false">INDEX(Parametros_ANEC73!$G$4:$G$6,MATCH($C313,Parametros_ANEC73!$A$4:$A$6,0))</f>
        <v>3.8</v>
      </c>
      <c r="N313" s="38" t="n">
        <f aca="false">IF(OR($D313=0,$G313=""),0,IF(AND($K313="Sim",$M313&lt;&gt;""),MAX(0,$H313*($E313-$M313)),0))</f>
        <v>0</v>
      </c>
      <c r="O313" s="35" t="n">
        <f aca="false">INDEX(Parametros_ANEC73!$J$4:$J$6,MATCH($C313,Parametros_ANEC73!$A$4:$A$6,0))</f>
        <v>4</v>
      </c>
      <c r="P313" s="38" t="n">
        <f aca="false">IF(OR($D313=0,$G313=""),0,IF(AND($K313="Sim",$O313&lt;&gt;""),MAX(0,$H313*($E313-$O313)),0))</f>
        <v>0</v>
      </c>
      <c r="Q313" s="35" t="n">
        <f aca="false">INDEX(Parametros_ANEC73!$F$4:$F$6,MATCH($C313,Parametros_ANEC73!$A$4:$A$6,0))</f>
        <v>1</v>
      </c>
      <c r="R313" s="35" t="n">
        <f aca="false">INDEX(Parametros_ANEC73!$I$4:$I$6,MATCH($C313,Parametros_ANEC73!$A$4:$A$6,0))</f>
        <v>1.5</v>
      </c>
      <c r="S313" s="35" t="n">
        <f aca="false">INDEX(Parametros_ANEC73!$L$4:$L$6,MATCH($C313,Parametros_ANEC73!$A$4:$A$6,0))</f>
        <v>2</v>
      </c>
      <c r="T313" s="39" t="n">
        <f aca="false">INDEX(Parametros_ANEC73!$B$14:$B$25,MATCH($B313,Parametros_ANEC73!$A$14:$A$25,0))</f>
        <v>326</v>
      </c>
      <c r="U313" s="40" t="n">
        <f aca="false">IF(OR($D313=0,$G313=""),0,$D313*($T313/100)*($L313*$Q313+$N313*(IF($R313="",$Q313,$R313)-$Q313)+$P313*(IF($S313="",IF($R313="",$Q313,$R313),$S313)-IF($R313="",$Q313,$R313))))</f>
        <v>0</v>
      </c>
      <c r="V313" s="41" t="str">
        <f aca="false">IF(OR($D313=0,$G313=""),"",IF($H313*($E313-INDEX(Parametros_ANEC73!$M$4:$M$6,MATCH($C313,Parametros_ANEC73!$A$4:$A$6,0)))&gt;0,"Sim","Nao"))</f>
        <v/>
      </c>
      <c r="W313" s="27" t="str">
        <f aca="false">$A313&amp;"|"&amp;$B313&amp;"|"&amp;$C313</f>
        <v>Aliança|Ago|Fibra</v>
      </c>
    </row>
    <row r="314" customFormat="false" ht="15" hidden="false" customHeight="false" outlineLevel="0" collapsed="false">
      <c r="A314" s="27" t="s">
        <v>47</v>
      </c>
      <c r="B314" s="27" t="s">
        <v>66</v>
      </c>
      <c r="C314" s="27" t="s">
        <v>109</v>
      </c>
      <c r="D314" s="34" t="n">
        <f aca="false">SUMIFS(Media_Cliente_Mes!$C$2:$C$145,Media_Cliente_Mes!$A$2:$A$145,$A314,Media_Cliente_Mes!$B$2:$B$145,$B314)</f>
        <v>0</v>
      </c>
      <c r="E314" s="35" t="str">
        <f aca="false">IF($D314=0,"",IF($C314="Proteina",SUMIFS(Media_Cliente_Mes!$D$2:$D$145,Media_Cliente_Mes!$A$2:$A$145,$A314,Media_Cliente_Mes!$B$2:$B$145,$B314),IF($C314="Umidade",SUMIFS(Media_Cliente_Mes!$E$2:$E$145,Media_Cliente_Mes!$A$2:$A$145,$A314,Media_Cliente_Mes!$B$2:$B$145,$B314),SUMIFS(Media_Cliente_Mes!$F$2:$F$145,Media_Cliente_Mes!$A$2:$A$145,$A314,Media_Cliente_Mes!$B$2:$B$145,$B314))))</f>
        <v/>
      </c>
      <c r="F314" s="35" t="n">
        <f aca="false">INDEX(Parametros_ANEC73!$C$4:$C$6,MATCH($C314,Parametros_ANEC73!$A$4:$A$6,0))</f>
        <v>48</v>
      </c>
      <c r="G314" s="35" t="n">
        <f aca="false">IF($C314="Proteina",INDEX(Media_Pool_Mes!$C$2:$C$13,MATCH($B314,Media_Pool_Mes!$A$2:$A$13,0)),IF($C314="Umidade",INDEX(Media_Pool_Mes!$D$2:$D$13,MATCH($B314,Media_Pool_Mes!$A$2:$A$13,0)),INDEX(Media_Pool_Mes!$E$2:$E$13,MATCH($B314,Media_Pool_Mes!$A$2:$A$13,0))))</f>
        <v>47.5387514497333</v>
      </c>
      <c r="H314" s="37" t="n">
        <f aca="false">INDEX(Parametros_ANEC73!$B$4:$B$6,MATCH($C314,Parametros_ANEC73!$A$4:$A$6,0))</f>
        <v>-1</v>
      </c>
      <c r="I314" s="38" t="str">
        <f aca="false">IF(OR($D314=0,$G314=""),"",IF($H314*($G314-$F314)&gt;0,$G314,$F314))</f>
        <v/>
      </c>
      <c r="J314" s="27" t="str">
        <f aca="false">IF(OR($D314=0,$G314=""),"",IF($H314*($G314-$F314)&gt;0,"Sim","Nao"))</f>
        <v/>
      </c>
      <c r="K314" s="27" t="str">
        <f aca="false">IF(OR($D314=0,$G314=""),"",IF(AND($H314*($E314-$F314)&gt;0,$H314*($E314-$G314)&gt;0),"Sim","Nao"))</f>
        <v/>
      </c>
      <c r="L314" s="38" t="n">
        <f aca="false">IF(OR($D314=0,$G314=""),0,IF($K314="Sim",MAX(0,$H314*($E314-$I314)),0))</f>
        <v>0</v>
      </c>
      <c r="M314" s="35" t="n">
        <f aca="false">INDEX(Parametros_ANEC73!$G$4:$G$6,MATCH($C314,Parametros_ANEC73!$A$4:$A$6,0))</f>
        <v>47</v>
      </c>
      <c r="N314" s="38" t="n">
        <f aca="false">IF(OR($D314=0,$G314=""),0,IF(AND($K314="Sim",$M314&lt;&gt;""),MAX(0,$H314*($E314-$M314)),0))</f>
        <v>0</v>
      </c>
      <c r="O314" s="35" t="n">
        <f aca="false">INDEX(Parametros_ANEC73!$J$4:$J$6,MATCH($C314,Parametros_ANEC73!$A$4:$A$6,0))</f>
        <v>0</v>
      </c>
      <c r="P314" s="38" t="n">
        <f aca="false">IF(OR($D314=0,$G314=""),0,IF(AND($K314="Sim",$O314&lt;&gt;""),MAX(0,$H314*($E314-$O314)),0))</f>
        <v>0</v>
      </c>
      <c r="Q314" s="35" t="n">
        <f aca="false">INDEX(Parametros_ANEC73!$F$4:$F$6,MATCH($C314,Parametros_ANEC73!$A$4:$A$6,0))</f>
        <v>1</v>
      </c>
      <c r="R314" s="35" t="n">
        <f aca="false">INDEX(Parametros_ANEC73!$I$4:$I$6,MATCH($C314,Parametros_ANEC73!$A$4:$A$6,0))</f>
        <v>2</v>
      </c>
      <c r="S314" s="35" t="n">
        <f aca="false">INDEX(Parametros_ANEC73!$L$4:$L$6,MATCH($C314,Parametros_ANEC73!$A$4:$A$6,0))</f>
        <v>0</v>
      </c>
      <c r="T314" s="39" t="n">
        <f aca="false">INDEX(Parametros_ANEC73!$B$14:$B$25,MATCH($B314,Parametros_ANEC73!$A$14:$A$25,0))</f>
        <v>326</v>
      </c>
      <c r="U314" s="40" t="n">
        <f aca="false">IF(OR($D314=0,$G314=""),0,$D314*($T314/100)*($L314*$Q314+$N314*(IF($R314="",$Q314,$R314)-$Q314)+$P314*(IF($S314="",IF($R314="",$Q314,$R314),$S314)-IF($R314="",$Q314,$R314))))</f>
        <v>0</v>
      </c>
      <c r="V314" s="41" t="str">
        <f aca="false">IF(OR($D314=0,$G314=""),"",IF($H314*($E314-INDEX(Parametros_ANEC73!$M$4:$M$6,MATCH($C314,Parametros_ANEC73!$A$4:$A$6,0)))&gt;0,"Sim","Nao"))</f>
        <v/>
      </c>
      <c r="W314" s="27" t="str">
        <f aca="false">$A314&amp;"|"&amp;$B314&amp;"|"&amp;$C314</f>
        <v>Aliança|Set|Proteina</v>
      </c>
    </row>
    <row r="315" customFormat="false" ht="15" hidden="false" customHeight="false" outlineLevel="0" collapsed="false">
      <c r="A315" s="27" t="s">
        <v>47</v>
      </c>
      <c r="B315" s="27" t="s">
        <v>66</v>
      </c>
      <c r="C315" s="27" t="s">
        <v>110</v>
      </c>
      <c r="D315" s="34" t="n">
        <f aca="false">SUMIFS(Media_Cliente_Mes!$C$2:$C$145,Media_Cliente_Mes!$A$2:$A$145,$A315,Media_Cliente_Mes!$B$2:$B$145,$B315)</f>
        <v>0</v>
      </c>
      <c r="E315" s="35" t="str">
        <f aca="false">IF($D315=0,"",IF($C315="Proteina",SUMIFS(Media_Cliente_Mes!$D$2:$D$145,Media_Cliente_Mes!$A$2:$A$145,$A315,Media_Cliente_Mes!$B$2:$B$145,$B315),IF($C315="Umidade",SUMIFS(Media_Cliente_Mes!$E$2:$E$145,Media_Cliente_Mes!$A$2:$A$145,$A315,Media_Cliente_Mes!$B$2:$B$145,$B315),SUMIFS(Media_Cliente_Mes!$F$2:$F$145,Media_Cliente_Mes!$A$2:$A$145,$A315,Media_Cliente_Mes!$B$2:$B$145,$B315))))</f>
        <v/>
      </c>
      <c r="F315" s="35" t="n">
        <f aca="false">INDEX(Parametros_ANEC73!$C$4:$C$6,MATCH($C315,Parametros_ANEC73!$A$4:$A$6,0))</f>
        <v>12.5</v>
      </c>
      <c r="G315" s="35" t="n">
        <f aca="false">IF($C315="Proteina",INDEX(Media_Pool_Mes!$C$2:$C$13,MATCH($B315,Media_Pool_Mes!$A$2:$A$13,0)),IF($C315="Umidade",INDEX(Media_Pool_Mes!$D$2:$D$13,MATCH($B315,Media_Pool_Mes!$A$2:$A$13,0)),INDEX(Media_Pool_Mes!$E$2:$E$13,MATCH($B315,Media_Pool_Mes!$A$2:$A$13,0))))</f>
        <v>12.4774576939468</v>
      </c>
      <c r="H315" s="37" t="n">
        <f aca="false">INDEX(Parametros_ANEC73!$B$4:$B$6,MATCH($C315,Parametros_ANEC73!$A$4:$A$6,0))</f>
        <v>1</v>
      </c>
      <c r="I315" s="38" t="str">
        <f aca="false">IF(OR($D315=0,$G315=""),"",IF($H315*($G315-$F315)&gt;0,$G315,$F315))</f>
        <v/>
      </c>
      <c r="J315" s="27" t="str">
        <f aca="false">IF(OR($D315=0,$G315=""),"",IF($H315*($G315-$F315)&gt;0,"Sim","Nao"))</f>
        <v/>
      </c>
      <c r="K315" s="27" t="str">
        <f aca="false">IF(OR($D315=0,$G315=""),"",IF(AND($H315*($E315-$F315)&gt;0,$H315*($E315-$G315)&gt;0),"Sim","Nao"))</f>
        <v/>
      </c>
      <c r="L315" s="38" t="n">
        <f aca="false">IF(OR($D315=0,$G315=""),0,IF($K315="Sim",MAX(0,$H315*($E315-$I315)),0))</f>
        <v>0</v>
      </c>
      <c r="M315" s="35" t="n">
        <f aca="false">INDEX(Parametros_ANEC73!$G$4:$G$6,MATCH($C315,Parametros_ANEC73!$A$4:$A$6,0))</f>
        <v>0</v>
      </c>
      <c r="N315" s="38" t="n">
        <f aca="false">IF(OR($D315=0,$G315=""),0,IF(AND($K315="Sim",$M315&lt;&gt;""),MAX(0,$H315*($E315-$M315)),0))</f>
        <v>0</v>
      </c>
      <c r="O315" s="35" t="n">
        <f aca="false">INDEX(Parametros_ANEC73!$J$4:$J$6,MATCH($C315,Parametros_ANEC73!$A$4:$A$6,0))</f>
        <v>0</v>
      </c>
      <c r="P315" s="38" t="n">
        <f aca="false">IF(OR($D315=0,$G315=""),0,IF(AND($K315="Sim",$O315&lt;&gt;""),MAX(0,$H315*($E315-$O315)),0))</f>
        <v>0</v>
      </c>
      <c r="Q315" s="35" t="n">
        <f aca="false">INDEX(Parametros_ANEC73!$F$4:$F$6,MATCH($C315,Parametros_ANEC73!$A$4:$A$6,0))</f>
        <v>1</v>
      </c>
      <c r="R315" s="35" t="n">
        <f aca="false">INDEX(Parametros_ANEC73!$I$4:$I$6,MATCH($C315,Parametros_ANEC73!$A$4:$A$6,0))</f>
        <v>0</v>
      </c>
      <c r="S315" s="35" t="n">
        <f aca="false">INDEX(Parametros_ANEC73!$L$4:$L$6,MATCH($C315,Parametros_ANEC73!$A$4:$A$6,0))</f>
        <v>0</v>
      </c>
      <c r="T315" s="39" t="n">
        <f aca="false">INDEX(Parametros_ANEC73!$B$14:$B$25,MATCH($B315,Parametros_ANEC73!$A$14:$A$25,0))</f>
        <v>326</v>
      </c>
      <c r="U315" s="40" t="n">
        <f aca="false">IF(OR($D315=0,$G315=""),0,$D315*($T315/100)*($L315*$Q315+$N315*(IF($R315="",$Q315,$R315)-$Q315)+$P315*(IF($S315="",IF($R315="",$Q315,$R315),$S315)-IF($R315="",$Q315,$R315))))</f>
        <v>0</v>
      </c>
      <c r="V315" s="41" t="str">
        <f aca="false">IF(OR($D315=0,$G315=""),"",IF($H315*($E315-INDEX(Parametros_ANEC73!$M$4:$M$6,MATCH($C315,Parametros_ANEC73!$A$4:$A$6,0)))&gt;0,"Sim","Nao"))</f>
        <v/>
      </c>
      <c r="W315" s="27" t="str">
        <f aca="false">$A315&amp;"|"&amp;$B315&amp;"|"&amp;$C315</f>
        <v>Aliança|Set|Umidade</v>
      </c>
    </row>
    <row r="316" customFormat="false" ht="15" hidden="false" customHeight="false" outlineLevel="0" collapsed="false">
      <c r="A316" s="27" t="s">
        <v>47</v>
      </c>
      <c r="B316" s="27" t="s">
        <v>66</v>
      </c>
      <c r="C316" s="27" t="s">
        <v>111</v>
      </c>
      <c r="D316" s="34" t="n">
        <f aca="false">SUMIFS(Media_Cliente_Mes!$C$2:$C$145,Media_Cliente_Mes!$A$2:$A$145,$A316,Media_Cliente_Mes!$B$2:$B$145,$B316)</f>
        <v>0</v>
      </c>
      <c r="E316" s="35" t="str">
        <f aca="false">IF($D316=0,"",IF($C316="Proteina",SUMIFS(Media_Cliente_Mes!$D$2:$D$145,Media_Cliente_Mes!$A$2:$A$145,$A316,Media_Cliente_Mes!$B$2:$B$145,$B316),IF($C316="Umidade",SUMIFS(Media_Cliente_Mes!$E$2:$E$145,Media_Cliente_Mes!$A$2:$A$145,$A316,Media_Cliente_Mes!$B$2:$B$145,$B316),SUMIFS(Media_Cliente_Mes!$F$2:$F$145,Media_Cliente_Mes!$A$2:$A$145,$A316,Media_Cliente_Mes!$B$2:$B$145,$B316))))</f>
        <v/>
      </c>
      <c r="F316" s="35" t="n">
        <f aca="false">INDEX(Parametros_ANEC73!$C$4:$C$6,MATCH($C316,Parametros_ANEC73!$A$4:$A$6,0))</f>
        <v>3.5</v>
      </c>
      <c r="G316" s="35" t="n">
        <f aca="false">IF($C316="Proteina",INDEX(Media_Pool_Mes!$C$2:$C$13,MATCH($B316,Media_Pool_Mes!$A$2:$A$13,0)),IF($C316="Umidade",INDEX(Media_Pool_Mes!$D$2:$D$13,MATCH($B316,Media_Pool_Mes!$A$2:$A$13,0)),INDEX(Media_Pool_Mes!$E$2:$E$13,MATCH($B316,Media_Pool_Mes!$A$2:$A$13,0))))</f>
        <v>3.7061372169236</v>
      </c>
      <c r="H316" s="37" t="n">
        <f aca="false">INDEX(Parametros_ANEC73!$B$4:$B$6,MATCH($C316,Parametros_ANEC73!$A$4:$A$6,0))</f>
        <v>1</v>
      </c>
      <c r="I316" s="38" t="str">
        <f aca="false">IF(OR($D316=0,$G316=""),"",IF($H316*($G316-$F316)&gt;0,$G316,$F316))</f>
        <v/>
      </c>
      <c r="J316" s="27" t="str">
        <f aca="false">IF(OR($D316=0,$G316=""),"",IF($H316*($G316-$F316)&gt;0,"Sim","Nao"))</f>
        <v/>
      </c>
      <c r="K316" s="27" t="str">
        <f aca="false">IF(OR($D316=0,$G316=""),"",IF(AND($H316*($E316-$F316)&gt;0,$H316*($E316-$G316)&gt;0),"Sim","Nao"))</f>
        <v/>
      </c>
      <c r="L316" s="38" t="n">
        <f aca="false">IF(OR($D316=0,$G316=""),0,IF($K316="Sim",MAX(0,$H316*($E316-$I316)),0))</f>
        <v>0</v>
      </c>
      <c r="M316" s="35" t="n">
        <f aca="false">INDEX(Parametros_ANEC73!$G$4:$G$6,MATCH($C316,Parametros_ANEC73!$A$4:$A$6,0))</f>
        <v>3.8</v>
      </c>
      <c r="N316" s="38" t="n">
        <f aca="false">IF(OR($D316=0,$G316=""),0,IF(AND($K316="Sim",$M316&lt;&gt;""),MAX(0,$H316*($E316-$M316)),0))</f>
        <v>0</v>
      </c>
      <c r="O316" s="35" t="n">
        <f aca="false">INDEX(Parametros_ANEC73!$J$4:$J$6,MATCH($C316,Parametros_ANEC73!$A$4:$A$6,0))</f>
        <v>4</v>
      </c>
      <c r="P316" s="38" t="n">
        <f aca="false">IF(OR($D316=0,$G316=""),0,IF(AND($K316="Sim",$O316&lt;&gt;""),MAX(0,$H316*($E316-$O316)),0))</f>
        <v>0</v>
      </c>
      <c r="Q316" s="35" t="n">
        <f aca="false">INDEX(Parametros_ANEC73!$F$4:$F$6,MATCH($C316,Parametros_ANEC73!$A$4:$A$6,0))</f>
        <v>1</v>
      </c>
      <c r="R316" s="35" t="n">
        <f aca="false">INDEX(Parametros_ANEC73!$I$4:$I$6,MATCH($C316,Parametros_ANEC73!$A$4:$A$6,0))</f>
        <v>1.5</v>
      </c>
      <c r="S316" s="35" t="n">
        <f aca="false">INDEX(Parametros_ANEC73!$L$4:$L$6,MATCH($C316,Parametros_ANEC73!$A$4:$A$6,0))</f>
        <v>2</v>
      </c>
      <c r="T316" s="39" t="n">
        <f aca="false">INDEX(Parametros_ANEC73!$B$14:$B$25,MATCH($B316,Parametros_ANEC73!$A$14:$A$25,0))</f>
        <v>326</v>
      </c>
      <c r="U316" s="40" t="n">
        <f aca="false">IF(OR($D316=0,$G316=""),0,$D316*($T316/100)*($L316*$Q316+$N316*(IF($R316="",$Q316,$R316)-$Q316)+$P316*(IF($S316="",IF($R316="",$Q316,$R316),$S316)-IF($R316="",$Q316,$R316))))</f>
        <v>0</v>
      </c>
      <c r="V316" s="41" t="str">
        <f aca="false">IF(OR($D316=0,$G316=""),"",IF($H316*($E316-INDEX(Parametros_ANEC73!$M$4:$M$6,MATCH($C316,Parametros_ANEC73!$A$4:$A$6,0)))&gt;0,"Sim","Nao"))</f>
        <v/>
      </c>
      <c r="W316" s="27" t="str">
        <f aca="false">$A316&amp;"|"&amp;$B316&amp;"|"&amp;$C316</f>
        <v>Aliança|Set|Fibra</v>
      </c>
    </row>
    <row r="317" customFormat="false" ht="15" hidden="false" customHeight="false" outlineLevel="0" collapsed="false">
      <c r="A317" s="27" t="s">
        <v>47</v>
      </c>
      <c r="B317" s="27" t="s">
        <v>67</v>
      </c>
      <c r="C317" s="27" t="s">
        <v>109</v>
      </c>
      <c r="D317" s="34" t="n">
        <f aca="false">SUMIFS(Media_Cliente_Mes!$C$2:$C$145,Media_Cliente_Mes!$A$2:$A$145,$A317,Media_Cliente_Mes!$B$2:$B$145,$B317)</f>
        <v>0</v>
      </c>
      <c r="E317" s="35" t="str">
        <f aca="false">IF($D317=0,"",IF($C317="Proteina",SUMIFS(Media_Cliente_Mes!$D$2:$D$145,Media_Cliente_Mes!$A$2:$A$145,$A317,Media_Cliente_Mes!$B$2:$B$145,$B317),IF($C317="Umidade",SUMIFS(Media_Cliente_Mes!$E$2:$E$145,Media_Cliente_Mes!$A$2:$A$145,$A317,Media_Cliente_Mes!$B$2:$B$145,$B317),SUMIFS(Media_Cliente_Mes!$F$2:$F$145,Media_Cliente_Mes!$A$2:$A$145,$A317,Media_Cliente_Mes!$B$2:$B$145,$B317))))</f>
        <v/>
      </c>
      <c r="F317" s="35" t="n">
        <f aca="false">INDEX(Parametros_ANEC73!$C$4:$C$6,MATCH($C317,Parametros_ANEC73!$A$4:$A$6,0))</f>
        <v>48</v>
      </c>
      <c r="G317" s="35" t="str">
        <f aca="false">IF($C317="Proteina",INDEX(Media_Pool_Mes!$C$2:$C$13,MATCH($B317,Media_Pool_Mes!$A$2:$A$13,0)),IF($C317="Umidade",INDEX(Media_Pool_Mes!$D$2:$D$13,MATCH($B317,Media_Pool_Mes!$A$2:$A$13,0)),INDEX(Media_Pool_Mes!$E$2:$E$13,MATCH($B317,Media_Pool_Mes!$A$2:$A$13,0))))</f>
        <v/>
      </c>
      <c r="H317" s="37" t="n">
        <f aca="false">INDEX(Parametros_ANEC73!$B$4:$B$6,MATCH($C317,Parametros_ANEC73!$A$4:$A$6,0))</f>
        <v>-1</v>
      </c>
      <c r="I317" s="38" t="str">
        <f aca="false">IF(OR($D317=0,$G317=""),"",IF($H317*($G317-$F317)&gt;0,$G317,$F317))</f>
        <v/>
      </c>
      <c r="J317" s="27" t="str">
        <f aca="false">IF(OR($D317=0,$G317=""),"",IF($H317*($G317-$F317)&gt;0,"Sim","Nao"))</f>
        <v/>
      </c>
      <c r="K317" s="27" t="str">
        <f aca="false">IF(OR($D317=0,$G317=""),"",IF(AND($H317*($E317-$F317)&gt;0,$H317*($E317-$G317)&gt;0),"Sim","Nao"))</f>
        <v/>
      </c>
      <c r="L317" s="38" t="n">
        <f aca="false">IF(OR($D317=0,$G317=""),0,IF($K317="Sim",MAX(0,$H317*($E317-$I317)),0))</f>
        <v>0</v>
      </c>
      <c r="M317" s="35" t="n">
        <f aca="false">INDEX(Parametros_ANEC73!$G$4:$G$6,MATCH($C317,Parametros_ANEC73!$A$4:$A$6,0))</f>
        <v>47</v>
      </c>
      <c r="N317" s="38" t="n">
        <f aca="false">IF(OR($D317=0,$G317=""),0,IF(AND($K317="Sim",$M317&lt;&gt;""),MAX(0,$H317*($E317-$M317)),0))</f>
        <v>0</v>
      </c>
      <c r="O317" s="35" t="n">
        <f aca="false">INDEX(Parametros_ANEC73!$J$4:$J$6,MATCH($C317,Parametros_ANEC73!$A$4:$A$6,0))</f>
        <v>0</v>
      </c>
      <c r="P317" s="38" t="n">
        <f aca="false">IF(OR($D317=0,$G317=""),0,IF(AND($K317="Sim",$O317&lt;&gt;""),MAX(0,$H317*($E317-$O317)),0))</f>
        <v>0</v>
      </c>
      <c r="Q317" s="35" t="n">
        <f aca="false">INDEX(Parametros_ANEC73!$F$4:$F$6,MATCH($C317,Parametros_ANEC73!$A$4:$A$6,0))</f>
        <v>1</v>
      </c>
      <c r="R317" s="35" t="n">
        <f aca="false">INDEX(Parametros_ANEC73!$I$4:$I$6,MATCH($C317,Parametros_ANEC73!$A$4:$A$6,0))</f>
        <v>2</v>
      </c>
      <c r="S317" s="35" t="n">
        <f aca="false">INDEX(Parametros_ANEC73!$L$4:$L$6,MATCH($C317,Parametros_ANEC73!$A$4:$A$6,0))</f>
        <v>0</v>
      </c>
      <c r="T317" s="39" t="n">
        <f aca="false">INDEX(Parametros_ANEC73!$B$14:$B$25,MATCH($B317,Parametros_ANEC73!$A$14:$A$25,0))</f>
        <v>0</v>
      </c>
      <c r="U317" s="40" t="n">
        <f aca="false">IF(OR($D317=0,$G317=""),0,$D317*($T317/100)*($L317*$Q317+$N317*(IF($R317="",$Q317,$R317)-$Q317)+$P317*(IF($S317="",IF($R317="",$Q317,$R317),$S317)-IF($R317="",$Q317,$R317))))</f>
        <v>0</v>
      </c>
      <c r="V317" s="41" t="str">
        <f aca="false">IF(OR($D317=0,$G317=""),"",IF($H317*($E317-INDEX(Parametros_ANEC73!$M$4:$M$6,MATCH($C317,Parametros_ANEC73!$A$4:$A$6,0)))&gt;0,"Sim","Nao"))</f>
        <v/>
      </c>
      <c r="W317" s="27" t="str">
        <f aca="false">$A317&amp;"|"&amp;$B317&amp;"|"&amp;$C317</f>
        <v>Aliança|Out|Proteina</v>
      </c>
    </row>
    <row r="318" customFormat="false" ht="15" hidden="false" customHeight="false" outlineLevel="0" collapsed="false">
      <c r="A318" s="27" t="s">
        <v>47</v>
      </c>
      <c r="B318" s="27" t="s">
        <v>67</v>
      </c>
      <c r="C318" s="27" t="s">
        <v>110</v>
      </c>
      <c r="D318" s="34" t="n">
        <f aca="false">SUMIFS(Media_Cliente_Mes!$C$2:$C$145,Media_Cliente_Mes!$A$2:$A$145,$A318,Media_Cliente_Mes!$B$2:$B$145,$B318)</f>
        <v>0</v>
      </c>
      <c r="E318" s="35" t="str">
        <f aca="false">IF($D318=0,"",IF($C318="Proteina",SUMIFS(Media_Cliente_Mes!$D$2:$D$145,Media_Cliente_Mes!$A$2:$A$145,$A318,Media_Cliente_Mes!$B$2:$B$145,$B318),IF($C318="Umidade",SUMIFS(Media_Cliente_Mes!$E$2:$E$145,Media_Cliente_Mes!$A$2:$A$145,$A318,Media_Cliente_Mes!$B$2:$B$145,$B318),SUMIFS(Media_Cliente_Mes!$F$2:$F$145,Media_Cliente_Mes!$A$2:$A$145,$A318,Media_Cliente_Mes!$B$2:$B$145,$B318))))</f>
        <v/>
      </c>
      <c r="F318" s="35" t="n">
        <f aca="false">INDEX(Parametros_ANEC73!$C$4:$C$6,MATCH($C318,Parametros_ANEC73!$A$4:$A$6,0))</f>
        <v>12.5</v>
      </c>
      <c r="G318" s="35" t="str">
        <f aca="false">IF($C318="Proteina",INDEX(Media_Pool_Mes!$C$2:$C$13,MATCH($B318,Media_Pool_Mes!$A$2:$A$13,0)),IF($C318="Umidade",INDEX(Media_Pool_Mes!$D$2:$D$13,MATCH($B318,Media_Pool_Mes!$A$2:$A$13,0)),INDEX(Media_Pool_Mes!$E$2:$E$13,MATCH($B318,Media_Pool_Mes!$A$2:$A$13,0))))</f>
        <v/>
      </c>
      <c r="H318" s="37" t="n">
        <f aca="false">INDEX(Parametros_ANEC73!$B$4:$B$6,MATCH($C318,Parametros_ANEC73!$A$4:$A$6,0))</f>
        <v>1</v>
      </c>
      <c r="I318" s="38" t="str">
        <f aca="false">IF(OR($D318=0,$G318=""),"",IF($H318*($G318-$F318)&gt;0,$G318,$F318))</f>
        <v/>
      </c>
      <c r="J318" s="27" t="str">
        <f aca="false">IF(OR($D318=0,$G318=""),"",IF($H318*($G318-$F318)&gt;0,"Sim","Nao"))</f>
        <v/>
      </c>
      <c r="K318" s="27" t="str">
        <f aca="false">IF(OR($D318=0,$G318=""),"",IF(AND($H318*($E318-$F318)&gt;0,$H318*($E318-$G318)&gt;0),"Sim","Nao"))</f>
        <v/>
      </c>
      <c r="L318" s="38" t="n">
        <f aca="false">IF(OR($D318=0,$G318=""),0,IF($K318="Sim",MAX(0,$H318*($E318-$I318)),0))</f>
        <v>0</v>
      </c>
      <c r="M318" s="35" t="n">
        <f aca="false">INDEX(Parametros_ANEC73!$G$4:$G$6,MATCH($C318,Parametros_ANEC73!$A$4:$A$6,0))</f>
        <v>0</v>
      </c>
      <c r="N318" s="38" t="n">
        <f aca="false">IF(OR($D318=0,$G318=""),0,IF(AND($K318="Sim",$M318&lt;&gt;""),MAX(0,$H318*($E318-$M318)),0))</f>
        <v>0</v>
      </c>
      <c r="O318" s="35" t="n">
        <f aca="false">INDEX(Parametros_ANEC73!$J$4:$J$6,MATCH($C318,Parametros_ANEC73!$A$4:$A$6,0))</f>
        <v>0</v>
      </c>
      <c r="P318" s="38" t="n">
        <f aca="false">IF(OR($D318=0,$G318=""),0,IF(AND($K318="Sim",$O318&lt;&gt;""),MAX(0,$H318*($E318-$O318)),0))</f>
        <v>0</v>
      </c>
      <c r="Q318" s="35" t="n">
        <f aca="false">INDEX(Parametros_ANEC73!$F$4:$F$6,MATCH($C318,Parametros_ANEC73!$A$4:$A$6,0))</f>
        <v>1</v>
      </c>
      <c r="R318" s="35" t="n">
        <f aca="false">INDEX(Parametros_ANEC73!$I$4:$I$6,MATCH($C318,Parametros_ANEC73!$A$4:$A$6,0))</f>
        <v>0</v>
      </c>
      <c r="S318" s="35" t="n">
        <f aca="false">INDEX(Parametros_ANEC73!$L$4:$L$6,MATCH($C318,Parametros_ANEC73!$A$4:$A$6,0))</f>
        <v>0</v>
      </c>
      <c r="T318" s="39" t="n">
        <f aca="false">INDEX(Parametros_ANEC73!$B$14:$B$25,MATCH($B318,Parametros_ANEC73!$A$14:$A$25,0))</f>
        <v>0</v>
      </c>
      <c r="U318" s="40" t="n">
        <f aca="false">IF(OR($D318=0,$G318=""),0,$D318*($T318/100)*($L318*$Q318+$N318*(IF($R318="",$Q318,$R318)-$Q318)+$P318*(IF($S318="",IF($R318="",$Q318,$R318),$S318)-IF($R318="",$Q318,$R318))))</f>
        <v>0</v>
      </c>
      <c r="V318" s="41" t="str">
        <f aca="false">IF(OR($D318=0,$G318=""),"",IF($H318*($E318-INDEX(Parametros_ANEC73!$M$4:$M$6,MATCH($C318,Parametros_ANEC73!$A$4:$A$6,0)))&gt;0,"Sim","Nao"))</f>
        <v/>
      </c>
      <c r="W318" s="27" t="str">
        <f aca="false">$A318&amp;"|"&amp;$B318&amp;"|"&amp;$C318</f>
        <v>Aliança|Out|Umidade</v>
      </c>
    </row>
    <row r="319" customFormat="false" ht="15" hidden="false" customHeight="false" outlineLevel="0" collapsed="false">
      <c r="A319" s="27" t="s">
        <v>47</v>
      </c>
      <c r="B319" s="27" t="s">
        <v>67</v>
      </c>
      <c r="C319" s="27" t="s">
        <v>111</v>
      </c>
      <c r="D319" s="34" t="n">
        <f aca="false">SUMIFS(Media_Cliente_Mes!$C$2:$C$145,Media_Cliente_Mes!$A$2:$A$145,$A319,Media_Cliente_Mes!$B$2:$B$145,$B319)</f>
        <v>0</v>
      </c>
      <c r="E319" s="35" t="str">
        <f aca="false">IF($D319=0,"",IF($C319="Proteina",SUMIFS(Media_Cliente_Mes!$D$2:$D$145,Media_Cliente_Mes!$A$2:$A$145,$A319,Media_Cliente_Mes!$B$2:$B$145,$B319),IF($C319="Umidade",SUMIFS(Media_Cliente_Mes!$E$2:$E$145,Media_Cliente_Mes!$A$2:$A$145,$A319,Media_Cliente_Mes!$B$2:$B$145,$B319),SUMIFS(Media_Cliente_Mes!$F$2:$F$145,Media_Cliente_Mes!$A$2:$A$145,$A319,Media_Cliente_Mes!$B$2:$B$145,$B319))))</f>
        <v/>
      </c>
      <c r="F319" s="35" t="n">
        <f aca="false">INDEX(Parametros_ANEC73!$C$4:$C$6,MATCH($C319,Parametros_ANEC73!$A$4:$A$6,0))</f>
        <v>3.5</v>
      </c>
      <c r="G319" s="35" t="str">
        <f aca="false">IF($C319="Proteina",INDEX(Media_Pool_Mes!$C$2:$C$13,MATCH($B319,Media_Pool_Mes!$A$2:$A$13,0)),IF($C319="Umidade",INDEX(Media_Pool_Mes!$D$2:$D$13,MATCH($B319,Media_Pool_Mes!$A$2:$A$13,0)),INDEX(Media_Pool_Mes!$E$2:$E$13,MATCH($B319,Media_Pool_Mes!$A$2:$A$13,0))))</f>
        <v/>
      </c>
      <c r="H319" s="37" t="n">
        <f aca="false">INDEX(Parametros_ANEC73!$B$4:$B$6,MATCH($C319,Parametros_ANEC73!$A$4:$A$6,0))</f>
        <v>1</v>
      </c>
      <c r="I319" s="38" t="str">
        <f aca="false">IF(OR($D319=0,$G319=""),"",IF($H319*($G319-$F319)&gt;0,$G319,$F319))</f>
        <v/>
      </c>
      <c r="J319" s="27" t="str">
        <f aca="false">IF(OR($D319=0,$G319=""),"",IF($H319*($G319-$F319)&gt;0,"Sim","Nao"))</f>
        <v/>
      </c>
      <c r="K319" s="27" t="str">
        <f aca="false">IF(OR($D319=0,$G319=""),"",IF(AND($H319*($E319-$F319)&gt;0,$H319*($E319-$G319)&gt;0),"Sim","Nao"))</f>
        <v/>
      </c>
      <c r="L319" s="38" t="n">
        <f aca="false">IF(OR($D319=0,$G319=""),0,IF($K319="Sim",MAX(0,$H319*($E319-$I319)),0))</f>
        <v>0</v>
      </c>
      <c r="M319" s="35" t="n">
        <f aca="false">INDEX(Parametros_ANEC73!$G$4:$G$6,MATCH($C319,Parametros_ANEC73!$A$4:$A$6,0))</f>
        <v>3.8</v>
      </c>
      <c r="N319" s="38" t="n">
        <f aca="false">IF(OR($D319=0,$G319=""),0,IF(AND($K319="Sim",$M319&lt;&gt;""),MAX(0,$H319*($E319-$M319)),0))</f>
        <v>0</v>
      </c>
      <c r="O319" s="35" t="n">
        <f aca="false">INDEX(Parametros_ANEC73!$J$4:$J$6,MATCH($C319,Parametros_ANEC73!$A$4:$A$6,0))</f>
        <v>4</v>
      </c>
      <c r="P319" s="38" t="n">
        <f aca="false">IF(OR($D319=0,$G319=""),0,IF(AND($K319="Sim",$O319&lt;&gt;""),MAX(0,$H319*($E319-$O319)),0))</f>
        <v>0</v>
      </c>
      <c r="Q319" s="35" t="n">
        <f aca="false">INDEX(Parametros_ANEC73!$F$4:$F$6,MATCH($C319,Parametros_ANEC73!$A$4:$A$6,0))</f>
        <v>1</v>
      </c>
      <c r="R319" s="35" t="n">
        <f aca="false">INDEX(Parametros_ANEC73!$I$4:$I$6,MATCH($C319,Parametros_ANEC73!$A$4:$A$6,0))</f>
        <v>1.5</v>
      </c>
      <c r="S319" s="35" t="n">
        <f aca="false">INDEX(Parametros_ANEC73!$L$4:$L$6,MATCH($C319,Parametros_ANEC73!$A$4:$A$6,0))</f>
        <v>2</v>
      </c>
      <c r="T319" s="39" t="n">
        <f aca="false">INDEX(Parametros_ANEC73!$B$14:$B$25,MATCH($B319,Parametros_ANEC73!$A$14:$A$25,0))</f>
        <v>0</v>
      </c>
      <c r="U319" s="40" t="n">
        <f aca="false">IF(OR($D319=0,$G319=""),0,$D319*($T319/100)*($L319*$Q319+$N319*(IF($R319="",$Q319,$R319)-$Q319)+$P319*(IF($S319="",IF($R319="",$Q319,$R319),$S319)-IF($R319="",$Q319,$R319))))</f>
        <v>0</v>
      </c>
      <c r="V319" s="41" t="str">
        <f aca="false">IF(OR($D319=0,$G319=""),"",IF($H319*($E319-INDEX(Parametros_ANEC73!$M$4:$M$6,MATCH($C319,Parametros_ANEC73!$A$4:$A$6,0)))&gt;0,"Sim","Nao"))</f>
        <v/>
      </c>
      <c r="W319" s="27" t="str">
        <f aca="false">$A319&amp;"|"&amp;$B319&amp;"|"&amp;$C319</f>
        <v>Aliança|Out|Fibra</v>
      </c>
    </row>
    <row r="320" customFormat="false" ht="15" hidden="false" customHeight="false" outlineLevel="0" collapsed="false">
      <c r="A320" s="27" t="s">
        <v>47</v>
      </c>
      <c r="B320" s="27" t="s">
        <v>68</v>
      </c>
      <c r="C320" s="27" t="s">
        <v>109</v>
      </c>
      <c r="D320" s="34" t="n">
        <f aca="false">SUMIFS(Media_Cliente_Mes!$C$2:$C$145,Media_Cliente_Mes!$A$2:$A$145,$A320,Media_Cliente_Mes!$B$2:$B$145,$B320)</f>
        <v>0</v>
      </c>
      <c r="E320" s="35" t="str">
        <f aca="false">IF($D320=0,"",IF($C320="Proteina",SUMIFS(Media_Cliente_Mes!$D$2:$D$145,Media_Cliente_Mes!$A$2:$A$145,$A320,Media_Cliente_Mes!$B$2:$B$145,$B320),IF($C320="Umidade",SUMIFS(Media_Cliente_Mes!$E$2:$E$145,Media_Cliente_Mes!$A$2:$A$145,$A320,Media_Cliente_Mes!$B$2:$B$145,$B320),SUMIFS(Media_Cliente_Mes!$F$2:$F$145,Media_Cliente_Mes!$A$2:$A$145,$A320,Media_Cliente_Mes!$B$2:$B$145,$B320))))</f>
        <v/>
      </c>
      <c r="F320" s="35" t="n">
        <f aca="false">INDEX(Parametros_ANEC73!$C$4:$C$6,MATCH($C320,Parametros_ANEC73!$A$4:$A$6,0))</f>
        <v>48</v>
      </c>
      <c r="G320" s="35" t="str">
        <f aca="false">IF($C320="Proteina",INDEX(Media_Pool_Mes!$C$2:$C$13,MATCH($B320,Media_Pool_Mes!$A$2:$A$13,0)),IF($C320="Umidade",INDEX(Media_Pool_Mes!$D$2:$D$13,MATCH($B320,Media_Pool_Mes!$A$2:$A$13,0)),INDEX(Media_Pool_Mes!$E$2:$E$13,MATCH($B320,Media_Pool_Mes!$A$2:$A$13,0))))</f>
        <v/>
      </c>
      <c r="H320" s="37" t="n">
        <f aca="false">INDEX(Parametros_ANEC73!$B$4:$B$6,MATCH($C320,Parametros_ANEC73!$A$4:$A$6,0))</f>
        <v>-1</v>
      </c>
      <c r="I320" s="38" t="str">
        <f aca="false">IF(OR($D320=0,$G320=""),"",IF($H320*($G320-$F320)&gt;0,$G320,$F320))</f>
        <v/>
      </c>
      <c r="J320" s="27" t="str">
        <f aca="false">IF(OR($D320=0,$G320=""),"",IF($H320*($G320-$F320)&gt;0,"Sim","Nao"))</f>
        <v/>
      </c>
      <c r="K320" s="27" t="str">
        <f aca="false">IF(OR($D320=0,$G320=""),"",IF(AND($H320*($E320-$F320)&gt;0,$H320*($E320-$G320)&gt;0),"Sim","Nao"))</f>
        <v/>
      </c>
      <c r="L320" s="38" t="n">
        <f aca="false">IF(OR($D320=0,$G320=""),0,IF($K320="Sim",MAX(0,$H320*($E320-$I320)),0))</f>
        <v>0</v>
      </c>
      <c r="M320" s="35" t="n">
        <f aca="false">INDEX(Parametros_ANEC73!$G$4:$G$6,MATCH($C320,Parametros_ANEC73!$A$4:$A$6,0))</f>
        <v>47</v>
      </c>
      <c r="N320" s="38" t="n">
        <f aca="false">IF(OR($D320=0,$G320=""),0,IF(AND($K320="Sim",$M320&lt;&gt;""),MAX(0,$H320*($E320-$M320)),0))</f>
        <v>0</v>
      </c>
      <c r="O320" s="35" t="n">
        <f aca="false">INDEX(Parametros_ANEC73!$J$4:$J$6,MATCH($C320,Parametros_ANEC73!$A$4:$A$6,0))</f>
        <v>0</v>
      </c>
      <c r="P320" s="38" t="n">
        <f aca="false">IF(OR($D320=0,$G320=""),0,IF(AND($K320="Sim",$O320&lt;&gt;""),MAX(0,$H320*($E320-$O320)),0))</f>
        <v>0</v>
      </c>
      <c r="Q320" s="35" t="n">
        <f aca="false">INDEX(Parametros_ANEC73!$F$4:$F$6,MATCH($C320,Parametros_ANEC73!$A$4:$A$6,0))</f>
        <v>1</v>
      </c>
      <c r="R320" s="35" t="n">
        <f aca="false">INDEX(Parametros_ANEC73!$I$4:$I$6,MATCH($C320,Parametros_ANEC73!$A$4:$A$6,0))</f>
        <v>2</v>
      </c>
      <c r="S320" s="35" t="n">
        <f aca="false">INDEX(Parametros_ANEC73!$L$4:$L$6,MATCH($C320,Parametros_ANEC73!$A$4:$A$6,0))</f>
        <v>0</v>
      </c>
      <c r="T320" s="39" t="n">
        <f aca="false">INDEX(Parametros_ANEC73!$B$14:$B$25,MATCH($B320,Parametros_ANEC73!$A$14:$A$25,0))</f>
        <v>0</v>
      </c>
      <c r="U320" s="40" t="n">
        <f aca="false">IF(OR($D320=0,$G320=""),0,$D320*($T320/100)*($L320*$Q320+$N320*(IF($R320="",$Q320,$R320)-$Q320)+$P320*(IF($S320="",IF($R320="",$Q320,$R320),$S320)-IF($R320="",$Q320,$R320))))</f>
        <v>0</v>
      </c>
      <c r="V320" s="41" t="str">
        <f aca="false">IF(OR($D320=0,$G320=""),"",IF($H320*($E320-INDEX(Parametros_ANEC73!$M$4:$M$6,MATCH($C320,Parametros_ANEC73!$A$4:$A$6,0)))&gt;0,"Sim","Nao"))</f>
        <v/>
      </c>
      <c r="W320" s="27" t="str">
        <f aca="false">$A320&amp;"|"&amp;$B320&amp;"|"&amp;$C320</f>
        <v>Aliança|Nov|Proteina</v>
      </c>
    </row>
    <row r="321" customFormat="false" ht="15" hidden="false" customHeight="false" outlineLevel="0" collapsed="false">
      <c r="A321" s="27" t="s">
        <v>47</v>
      </c>
      <c r="B321" s="27" t="s">
        <v>68</v>
      </c>
      <c r="C321" s="27" t="s">
        <v>110</v>
      </c>
      <c r="D321" s="34" t="n">
        <f aca="false">SUMIFS(Media_Cliente_Mes!$C$2:$C$145,Media_Cliente_Mes!$A$2:$A$145,$A321,Media_Cliente_Mes!$B$2:$B$145,$B321)</f>
        <v>0</v>
      </c>
      <c r="E321" s="35" t="str">
        <f aca="false">IF($D321=0,"",IF($C321="Proteina",SUMIFS(Media_Cliente_Mes!$D$2:$D$145,Media_Cliente_Mes!$A$2:$A$145,$A321,Media_Cliente_Mes!$B$2:$B$145,$B321),IF($C321="Umidade",SUMIFS(Media_Cliente_Mes!$E$2:$E$145,Media_Cliente_Mes!$A$2:$A$145,$A321,Media_Cliente_Mes!$B$2:$B$145,$B321),SUMIFS(Media_Cliente_Mes!$F$2:$F$145,Media_Cliente_Mes!$A$2:$A$145,$A321,Media_Cliente_Mes!$B$2:$B$145,$B321))))</f>
        <v/>
      </c>
      <c r="F321" s="35" t="n">
        <f aca="false">INDEX(Parametros_ANEC73!$C$4:$C$6,MATCH($C321,Parametros_ANEC73!$A$4:$A$6,0))</f>
        <v>12.5</v>
      </c>
      <c r="G321" s="35" t="str">
        <f aca="false">IF($C321="Proteina",INDEX(Media_Pool_Mes!$C$2:$C$13,MATCH($B321,Media_Pool_Mes!$A$2:$A$13,0)),IF($C321="Umidade",INDEX(Media_Pool_Mes!$D$2:$D$13,MATCH($B321,Media_Pool_Mes!$A$2:$A$13,0)),INDEX(Media_Pool_Mes!$E$2:$E$13,MATCH($B321,Media_Pool_Mes!$A$2:$A$13,0))))</f>
        <v/>
      </c>
      <c r="H321" s="37" t="n">
        <f aca="false">INDEX(Parametros_ANEC73!$B$4:$B$6,MATCH($C321,Parametros_ANEC73!$A$4:$A$6,0))</f>
        <v>1</v>
      </c>
      <c r="I321" s="38" t="str">
        <f aca="false">IF(OR($D321=0,$G321=""),"",IF($H321*($G321-$F321)&gt;0,$G321,$F321))</f>
        <v/>
      </c>
      <c r="J321" s="27" t="str">
        <f aca="false">IF(OR($D321=0,$G321=""),"",IF($H321*($G321-$F321)&gt;0,"Sim","Nao"))</f>
        <v/>
      </c>
      <c r="K321" s="27" t="str">
        <f aca="false">IF(OR($D321=0,$G321=""),"",IF(AND($H321*($E321-$F321)&gt;0,$H321*($E321-$G321)&gt;0),"Sim","Nao"))</f>
        <v/>
      </c>
      <c r="L321" s="38" t="n">
        <f aca="false">IF(OR($D321=0,$G321=""),0,IF($K321="Sim",MAX(0,$H321*($E321-$I321)),0))</f>
        <v>0</v>
      </c>
      <c r="M321" s="35" t="n">
        <f aca="false">INDEX(Parametros_ANEC73!$G$4:$G$6,MATCH($C321,Parametros_ANEC73!$A$4:$A$6,0))</f>
        <v>0</v>
      </c>
      <c r="N321" s="38" t="n">
        <f aca="false">IF(OR($D321=0,$G321=""),0,IF(AND($K321="Sim",$M321&lt;&gt;""),MAX(0,$H321*($E321-$M321)),0))</f>
        <v>0</v>
      </c>
      <c r="O321" s="35" t="n">
        <f aca="false">INDEX(Parametros_ANEC73!$J$4:$J$6,MATCH($C321,Parametros_ANEC73!$A$4:$A$6,0))</f>
        <v>0</v>
      </c>
      <c r="P321" s="38" t="n">
        <f aca="false">IF(OR($D321=0,$G321=""),0,IF(AND($K321="Sim",$O321&lt;&gt;""),MAX(0,$H321*($E321-$O321)),0))</f>
        <v>0</v>
      </c>
      <c r="Q321" s="35" t="n">
        <f aca="false">INDEX(Parametros_ANEC73!$F$4:$F$6,MATCH($C321,Parametros_ANEC73!$A$4:$A$6,0))</f>
        <v>1</v>
      </c>
      <c r="R321" s="35" t="n">
        <f aca="false">INDEX(Parametros_ANEC73!$I$4:$I$6,MATCH($C321,Parametros_ANEC73!$A$4:$A$6,0))</f>
        <v>0</v>
      </c>
      <c r="S321" s="35" t="n">
        <f aca="false">INDEX(Parametros_ANEC73!$L$4:$L$6,MATCH($C321,Parametros_ANEC73!$A$4:$A$6,0))</f>
        <v>0</v>
      </c>
      <c r="T321" s="39" t="n">
        <f aca="false">INDEX(Parametros_ANEC73!$B$14:$B$25,MATCH($B321,Parametros_ANEC73!$A$14:$A$25,0))</f>
        <v>0</v>
      </c>
      <c r="U321" s="40" t="n">
        <f aca="false">IF(OR($D321=0,$G321=""),0,$D321*($T321/100)*($L321*$Q321+$N321*(IF($R321="",$Q321,$R321)-$Q321)+$P321*(IF($S321="",IF($R321="",$Q321,$R321),$S321)-IF($R321="",$Q321,$R321))))</f>
        <v>0</v>
      </c>
      <c r="V321" s="41" t="str">
        <f aca="false">IF(OR($D321=0,$G321=""),"",IF($H321*($E321-INDEX(Parametros_ANEC73!$M$4:$M$6,MATCH($C321,Parametros_ANEC73!$A$4:$A$6,0)))&gt;0,"Sim","Nao"))</f>
        <v/>
      </c>
      <c r="W321" s="27" t="str">
        <f aca="false">$A321&amp;"|"&amp;$B321&amp;"|"&amp;$C321</f>
        <v>Aliança|Nov|Umidade</v>
      </c>
    </row>
    <row r="322" customFormat="false" ht="15" hidden="false" customHeight="false" outlineLevel="0" collapsed="false">
      <c r="A322" s="27" t="s">
        <v>47</v>
      </c>
      <c r="B322" s="27" t="s">
        <v>68</v>
      </c>
      <c r="C322" s="27" t="s">
        <v>111</v>
      </c>
      <c r="D322" s="34" t="n">
        <f aca="false">SUMIFS(Media_Cliente_Mes!$C$2:$C$145,Media_Cliente_Mes!$A$2:$A$145,$A322,Media_Cliente_Mes!$B$2:$B$145,$B322)</f>
        <v>0</v>
      </c>
      <c r="E322" s="35" t="str">
        <f aca="false">IF($D322=0,"",IF($C322="Proteina",SUMIFS(Media_Cliente_Mes!$D$2:$D$145,Media_Cliente_Mes!$A$2:$A$145,$A322,Media_Cliente_Mes!$B$2:$B$145,$B322),IF($C322="Umidade",SUMIFS(Media_Cliente_Mes!$E$2:$E$145,Media_Cliente_Mes!$A$2:$A$145,$A322,Media_Cliente_Mes!$B$2:$B$145,$B322),SUMIFS(Media_Cliente_Mes!$F$2:$F$145,Media_Cliente_Mes!$A$2:$A$145,$A322,Media_Cliente_Mes!$B$2:$B$145,$B322))))</f>
        <v/>
      </c>
      <c r="F322" s="35" t="n">
        <f aca="false">INDEX(Parametros_ANEC73!$C$4:$C$6,MATCH($C322,Parametros_ANEC73!$A$4:$A$6,0))</f>
        <v>3.5</v>
      </c>
      <c r="G322" s="35" t="str">
        <f aca="false">IF($C322="Proteina",INDEX(Media_Pool_Mes!$C$2:$C$13,MATCH($B322,Media_Pool_Mes!$A$2:$A$13,0)),IF($C322="Umidade",INDEX(Media_Pool_Mes!$D$2:$D$13,MATCH($B322,Media_Pool_Mes!$A$2:$A$13,0)),INDEX(Media_Pool_Mes!$E$2:$E$13,MATCH($B322,Media_Pool_Mes!$A$2:$A$13,0))))</f>
        <v/>
      </c>
      <c r="H322" s="37" t="n">
        <f aca="false">INDEX(Parametros_ANEC73!$B$4:$B$6,MATCH($C322,Parametros_ANEC73!$A$4:$A$6,0))</f>
        <v>1</v>
      </c>
      <c r="I322" s="38" t="str">
        <f aca="false">IF(OR($D322=0,$G322=""),"",IF($H322*($G322-$F322)&gt;0,$G322,$F322))</f>
        <v/>
      </c>
      <c r="J322" s="27" t="str">
        <f aca="false">IF(OR($D322=0,$G322=""),"",IF($H322*($G322-$F322)&gt;0,"Sim","Nao"))</f>
        <v/>
      </c>
      <c r="K322" s="27" t="str">
        <f aca="false">IF(OR($D322=0,$G322=""),"",IF(AND($H322*($E322-$F322)&gt;0,$H322*($E322-$G322)&gt;0),"Sim","Nao"))</f>
        <v/>
      </c>
      <c r="L322" s="38" t="n">
        <f aca="false">IF(OR($D322=0,$G322=""),0,IF($K322="Sim",MAX(0,$H322*($E322-$I322)),0))</f>
        <v>0</v>
      </c>
      <c r="M322" s="35" t="n">
        <f aca="false">INDEX(Parametros_ANEC73!$G$4:$G$6,MATCH($C322,Parametros_ANEC73!$A$4:$A$6,0))</f>
        <v>3.8</v>
      </c>
      <c r="N322" s="38" t="n">
        <f aca="false">IF(OR($D322=0,$G322=""),0,IF(AND($K322="Sim",$M322&lt;&gt;""),MAX(0,$H322*($E322-$M322)),0))</f>
        <v>0</v>
      </c>
      <c r="O322" s="35" t="n">
        <f aca="false">INDEX(Parametros_ANEC73!$J$4:$J$6,MATCH($C322,Parametros_ANEC73!$A$4:$A$6,0))</f>
        <v>4</v>
      </c>
      <c r="P322" s="38" t="n">
        <f aca="false">IF(OR($D322=0,$G322=""),0,IF(AND($K322="Sim",$O322&lt;&gt;""),MAX(0,$H322*($E322-$O322)),0))</f>
        <v>0</v>
      </c>
      <c r="Q322" s="35" t="n">
        <f aca="false">INDEX(Parametros_ANEC73!$F$4:$F$6,MATCH($C322,Parametros_ANEC73!$A$4:$A$6,0))</f>
        <v>1</v>
      </c>
      <c r="R322" s="35" t="n">
        <f aca="false">INDEX(Parametros_ANEC73!$I$4:$I$6,MATCH($C322,Parametros_ANEC73!$A$4:$A$6,0))</f>
        <v>1.5</v>
      </c>
      <c r="S322" s="35" t="n">
        <f aca="false">INDEX(Parametros_ANEC73!$L$4:$L$6,MATCH($C322,Parametros_ANEC73!$A$4:$A$6,0))</f>
        <v>2</v>
      </c>
      <c r="T322" s="39" t="n">
        <f aca="false">INDEX(Parametros_ANEC73!$B$14:$B$25,MATCH($B322,Parametros_ANEC73!$A$14:$A$25,0))</f>
        <v>0</v>
      </c>
      <c r="U322" s="40" t="n">
        <f aca="false">IF(OR($D322=0,$G322=""),0,$D322*($T322/100)*($L322*$Q322+$N322*(IF($R322="",$Q322,$R322)-$Q322)+$P322*(IF($S322="",IF($R322="",$Q322,$R322),$S322)-IF($R322="",$Q322,$R322))))</f>
        <v>0</v>
      </c>
      <c r="V322" s="41" t="str">
        <f aca="false">IF(OR($D322=0,$G322=""),"",IF($H322*($E322-INDEX(Parametros_ANEC73!$M$4:$M$6,MATCH($C322,Parametros_ANEC73!$A$4:$A$6,0)))&gt;0,"Sim","Nao"))</f>
        <v/>
      </c>
      <c r="W322" s="27" t="str">
        <f aca="false">$A322&amp;"|"&amp;$B322&amp;"|"&amp;$C322</f>
        <v>Aliança|Nov|Fibra</v>
      </c>
    </row>
    <row r="323" customFormat="false" ht="15" hidden="false" customHeight="false" outlineLevel="0" collapsed="false">
      <c r="A323" s="27" t="s">
        <v>47</v>
      </c>
      <c r="B323" s="27" t="s">
        <v>69</v>
      </c>
      <c r="C323" s="27" t="s">
        <v>109</v>
      </c>
      <c r="D323" s="34" t="n">
        <f aca="false">SUMIFS(Media_Cliente_Mes!$C$2:$C$145,Media_Cliente_Mes!$A$2:$A$145,$A323,Media_Cliente_Mes!$B$2:$B$145,$B323)</f>
        <v>0</v>
      </c>
      <c r="E323" s="35" t="str">
        <f aca="false">IF($D323=0,"",IF($C323="Proteina",SUMIFS(Media_Cliente_Mes!$D$2:$D$145,Media_Cliente_Mes!$A$2:$A$145,$A323,Media_Cliente_Mes!$B$2:$B$145,$B323),IF($C323="Umidade",SUMIFS(Media_Cliente_Mes!$E$2:$E$145,Media_Cliente_Mes!$A$2:$A$145,$A323,Media_Cliente_Mes!$B$2:$B$145,$B323),SUMIFS(Media_Cliente_Mes!$F$2:$F$145,Media_Cliente_Mes!$A$2:$A$145,$A323,Media_Cliente_Mes!$B$2:$B$145,$B323))))</f>
        <v/>
      </c>
      <c r="F323" s="35" t="n">
        <f aca="false">INDEX(Parametros_ANEC73!$C$4:$C$6,MATCH($C323,Parametros_ANEC73!$A$4:$A$6,0))</f>
        <v>48</v>
      </c>
      <c r="G323" s="35" t="str">
        <f aca="false">IF($C323="Proteina",INDEX(Media_Pool_Mes!$C$2:$C$13,MATCH($B323,Media_Pool_Mes!$A$2:$A$13,0)),IF($C323="Umidade",INDEX(Media_Pool_Mes!$D$2:$D$13,MATCH($B323,Media_Pool_Mes!$A$2:$A$13,0)),INDEX(Media_Pool_Mes!$E$2:$E$13,MATCH($B323,Media_Pool_Mes!$A$2:$A$13,0))))</f>
        <v/>
      </c>
      <c r="H323" s="37" t="n">
        <f aca="false">INDEX(Parametros_ANEC73!$B$4:$B$6,MATCH($C323,Parametros_ANEC73!$A$4:$A$6,0))</f>
        <v>-1</v>
      </c>
      <c r="I323" s="38" t="str">
        <f aca="false">IF(OR($D323=0,$G323=""),"",IF($H323*($G323-$F323)&gt;0,$G323,$F323))</f>
        <v/>
      </c>
      <c r="J323" s="27" t="str">
        <f aca="false">IF(OR($D323=0,$G323=""),"",IF($H323*($G323-$F323)&gt;0,"Sim","Nao"))</f>
        <v/>
      </c>
      <c r="K323" s="27" t="str">
        <f aca="false">IF(OR($D323=0,$G323=""),"",IF(AND($H323*($E323-$F323)&gt;0,$H323*($E323-$G323)&gt;0),"Sim","Nao"))</f>
        <v/>
      </c>
      <c r="L323" s="38" t="n">
        <f aca="false">IF(OR($D323=0,$G323=""),0,IF($K323="Sim",MAX(0,$H323*($E323-$I323)),0))</f>
        <v>0</v>
      </c>
      <c r="M323" s="35" t="n">
        <f aca="false">INDEX(Parametros_ANEC73!$G$4:$G$6,MATCH($C323,Parametros_ANEC73!$A$4:$A$6,0))</f>
        <v>47</v>
      </c>
      <c r="N323" s="38" t="n">
        <f aca="false">IF(OR($D323=0,$G323=""),0,IF(AND($K323="Sim",$M323&lt;&gt;""),MAX(0,$H323*($E323-$M323)),0))</f>
        <v>0</v>
      </c>
      <c r="O323" s="35" t="n">
        <f aca="false">INDEX(Parametros_ANEC73!$J$4:$J$6,MATCH($C323,Parametros_ANEC73!$A$4:$A$6,0))</f>
        <v>0</v>
      </c>
      <c r="P323" s="38" t="n">
        <f aca="false">IF(OR($D323=0,$G323=""),0,IF(AND($K323="Sim",$O323&lt;&gt;""),MAX(0,$H323*($E323-$O323)),0))</f>
        <v>0</v>
      </c>
      <c r="Q323" s="35" t="n">
        <f aca="false">INDEX(Parametros_ANEC73!$F$4:$F$6,MATCH($C323,Parametros_ANEC73!$A$4:$A$6,0))</f>
        <v>1</v>
      </c>
      <c r="R323" s="35" t="n">
        <f aca="false">INDEX(Parametros_ANEC73!$I$4:$I$6,MATCH($C323,Parametros_ANEC73!$A$4:$A$6,0))</f>
        <v>2</v>
      </c>
      <c r="S323" s="35" t="n">
        <f aca="false">INDEX(Parametros_ANEC73!$L$4:$L$6,MATCH($C323,Parametros_ANEC73!$A$4:$A$6,0))</f>
        <v>0</v>
      </c>
      <c r="T323" s="39" t="n">
        <f aca="false">INDEX(Parametros_ANEC73!$B$14:$B$25,MATCH($B323,Parametros_ANEC73!$A$14:$A$25,0))</f>
        <v>0</v>
      </c>
      <c r="U323" s="40" t="n">
        <f aca="false">IF(OR($D323=0,$G323=""),0,$D323*($T323/100)*($L323*$Q323+$N323*(IF($R323="",$Q323,$R323)-$Q323)+$P323*(IF($S323="",IF($R323="",$Q323,$R323),$S323)-IF($R323="",$Q323,$R323))))</f>
        <v>0</v>
      </c>
      <c r="V323" s="41" t="str">
        <f aca="false">IF(OR($D323=0,$G323=""),"",IF($H323*($E323-INDEX(Parametros_ANEC73!$M$4:$M$6,MATCH($C323,Parametros_ANEC73!$A$4:$A$6,0)))&gt;0,"Sim","Nao"))</f>
        <v/>
      </c>
      <c r="W323" s="27" t="str">
        <f aca="false">$A323&amp;"|"&amp;$B323&amp;"|"&amp;$C323</f>
        <v>Aliança|Dez|Proteina</v>
      </c>
    </row>
    <row r="324" customFormat="false" ht="15" hidden="false" customHeight="false" outlineLevel="0" collapsed="false">
      <c r="A324" s="27" t="s">
        <v>47</v>
      </c>
      <c r="B324" s="27" t="s">
        <v>69</v>
      </c>
      <c r="C324" s="27" t="s">
        <v>110</v>
      </c>
      <c r="D324" s="34" t="n">
        <f aca="false">SUMIFS(Media_Cliente_Mes!$C$2:$C$145,Media_Cliente_Mes!$A$2:$A$145,$A324,Media_Cliente_Mes!$B$2:$B$145,$B324)</f>
        <v>0</v>
      </c>
      <c r="E324" s="35" t="str">
        <f aca="false">IF($D324=0,"",IF($C324="Proteina",SUMIFS(Media_Cliente_Mes!$D$2:$D$145,Media_Cliente_Mes!$A$2:$A$145,$A324,Media_Cliente_Mes!$B$2:$B$145,$B324),IF($C324="Umidade",SUMIFS(Media_Cliente_Mes!$E$2:$E$145,Media_Cliente_Mes!$A$2:$A$145,$A324,Media_Cliente_Mes!$B$2:$B$145,$B324),SUMIFS(Media_Cliente_Mes!$F$2:$F$145,Media_Cliente_Mes!$A$2:$A$145,$A324,Media_Cliente_Mes!$B$2:$B$145,$B324))))</f>
        <v/>
      </c>
      <c r="F324" s="35" t="n">
        <f aca="false">INDEX(Parametros_ANEC73!$C$4:$C$6,MATCH($C324,Parametros_ANEC73!$A$4:$A$6,0))</f>
        <v>12.5</v>
      </c>
      <c r="G324" s="35" t="str">
        <f aca="false">IF($C324="Proteina",INDEX(Media_Pool_Mes!$C$2:$C$13,MATCH($B324,Media_Pool_Mes!$A$2:$A$13,0)),IF($C324="Umidade",INDEX(Media_Pool_Mes!$D$2:$D$13,MATCH($B324,Media_Pool_Mes!$A$2:$A$13,0)),INDEX(Media_Pool_Mes!$E$2:$E$13,MATCH($B324,Media_Pool_Mes!$A$2:$A$13,0))))</f>
        <v/>
      </c>
      <c r="H324" s="37" t="n">
        <f aca="false">INDEX(Parametros_ANEC73!$B$4:$B$6,MATCH($C324,Parametros_ANEC73!$A$4:$A$6,0))</f>
        <v>1</v>
      </c>
      <c r="I324" s="38" t="str">
        <f aca="false">IF(OR($D324=0,$G324=""),"",IF($H324*($G324-$F324)&gt;0,$G324,$F324))</f>
        <v/>
      </c>
      <c r="J324" s="27" t="str">
        <f aca="false">IF(OR($D324=0,$G324=""),"",IF($H324*($G324-$F324)&gt;0,"Sim","Nao"))</f>
        <v/>
      </c>
      <c r="K324" s="27" t="str">
        <f aca="false">IF(OR($D324=0,$G324=""),"",IF(AND($H324*($E324-$F324)&gt;0,$H324*($E324-$G324)&gt;0),"Sim","Nao"))</f>
        <v/>
      </c>
      <c r="L324" s="38" t="n">
        <f aca="false">IF(OR($D324=0,$G324=""),0,IF($K324="Sim",MAX(0,$H324*($E324-$I324)),0))</f>
        <v>0</v>
      </c>
      <c r="M324" s="35" t="n">
        <f aca="false">INDEX(Parametros_ANEC73!$G$4:$G$6,MATCH($C324,Parametros_ANEC73!$A$4:$A$6,0))</f>
        <v>0</v>
      </c>
      <c r="N324" s="38" t="n">
        <f aca="false">IF(OR($D324=0,$G324=""),0,IF(AND($K324="Sim",$M324&lt;&gt;""),MAX(0,$H324*($E324-$M324)),0))</f>
        <v>0</v>
      </c>
      <c r="O324" s="35" t="n">
        <f aca="false">INDEX(Parametros_ANEC73!$J$4:$J$6,MATCH($C324,Parametros_ANEC73!$A$4:$A$6,0))</f>
        <v>0</v>
      </c>
      <c r="P324" s="38" t="n">
        <f aca="false">IF(OR($D324=0,$G324=""),0,IF(AND($K324="Sim",$O324&lt;&gt;""),MAX(0,$H324*($E324-$O324)),0))</f>
        <v>0</v>
      </c>
      <c r="Q324" s="35" t="n">
        <f aca="false">INDEX(Parametros_ANEC73!$F$4:$F$6,MATCH($C324,Parametros_ANEC73!$A$4:$A$6,0))</f>
        <v>1</v>
      </c>
      <c r="R324" s="35" t="n">
        <f aca="false">INDEX(Parametros_ANEC73!$I$4:$I$6,MATCH($C324,Parametros_ANEC73!$A$4:$A$6,0))</f>
        <v>0</v>
      </c>
      <c r="S324" s="35" t="n">
        <f aca="false">INDEX(Parametros_ANEC73!$L$4:$L$6,MATCH($C324,Parametros_ANEC73!$A$4:$A$6,0))</f>
        <v>0</v>
      </c>
      <c r="T324" s="39" t="n">
        <f aca="false">INDEX(Parametros_ANEC73!$B$14:$B$25,MATCH($B324,Parametros_ANEC73!$A$14:$A$25,0))</f>
        <v>0</v>
      </c>
      <c r="U324" s="40" t="n">
        <f aca="false">IF(OR($D324=0,$G324=""),0,$D324*($T324/100)*($L324*$Q324+$N324*(IF($R324="",$Q324,$R324)-$Q324)+$P324*(IF($S324="",IF($R324="",$Q324,$R324),$S324)-IF($R324="",$Q324,$R324))))</f>
        <v>0</v>
      </c>
      <c r="V324" s="41" t="str">
        <f aca="false">IF(OR($D324=0,$G324=""),"",IF($H324*($E324-INDEX(Parametros_ANEC73!$M$4:$M$6,MATCH($C324,Parametros_ANEC73!$A$4:$A$6,0)))&gt;0,"Sim","Nao"))</f>
        <v/>
      </c>
      <c r="W324" s="27" t="str">
        <f aca="false">$A324&amp;"|"&amp;$B324&amp;"|"&amp;$C324</f>
        <v>Aliança|Dez|Umidade</v>
      </c>
    </row>
    <row r="325" customFormat="false" ht="15" hidden="false" customHeight="false" outlineLevel="0" collapsed="false">
      <c r="A325" s="27" t="s">
        <v>47</v>
      </c>
      <c r="B325" s="27" t="s">
        <v>69</v>
      </c>
      <c r="C325" s="27" t="s">
        <v>111</v>
      </c>
      <c r="D325" s="34" t="n">
        <f aca="false">SUMIFS(Media_Cliente_Mes!$C$2:$C$145,Media_Cliente_Mes!$A$2:$A$145,$A325,Media_Cliente_Mes!$B$2:$B$145,$B325)</f>
        <v>0</v>
      </c>
      <c r="E325" s="35" t="str">
        <f aca="false">IF($D325=0,"",IF($C325="Proteina",SUMIFS(Media_Cliente_Mes!$D$2:$D$145,Media_Cliente_Mes!$A$2:$A$145,$A325,Media_Cliente_Mes!$B$2:$B$145,$B325),IF($C325="Umidade",SUMIFS(Media_Cliente_Mes!$E$2:$E$145,Media_Cliente_Mes!$A$2:$A$145,$A325,Media_Cliente_Mes!$B$2:$B$145,$B325),SUMIFS(Media_Cliente_Mes!$F$2:$F$145,Media_Cliente_Mes!$A$2:$A$145,$A325,Media_Cliente_Mes!$B$2:$B$145,$B325))))</f>
        <v/>
      </c>
      <c r="F325" s="35" t="n">
        <f aca="false">INDEX(Parametros_ANEC73!$C$4:$C$6,MATCH($C325,Parametros_ANEC73!$A$4:$A$6,0))</f>
        <v>3.5</v>
      </c>
      <c r="G325" s="35" t="str">
        <f aca="false">IF($C325="Proteina",INDEX(Media_Pool_Mes!$C$2:$C$13,MATCH($B325,Media_Pool_Mes!$A$2:$A$13,0)),IF($C325="Umidade",INDEX(Media_Pool_Mes!$D$2:$D$13,MATCH($B325,Media_Pool_Mes!$A$2:$A$13,0)),INDEX(Media_Pool_Mes!$E$2:$E$13,MATCH($B325,Media_Pool_Mes!$A$2:$A$13,0))))</f>
        <v/>
      </c>
      <c r="H325" s="37" t="n">
        <f aca="false">INDEX(Parametros_ANEC73!$B$4:$B$6,MATCH($C325,Parametros_ANEC73!$A$4:$A$6,0))</f>
        <v>1</v>
      </c>
      <c r="I325" s="38" t="str">
        <f aca="false">IF(OR($D325=0,$G325=""),"",IF($H325*($G325-$F325)&gt;0,$G325,$F325))</f>
        <v/>
      </c>
      <c r="J325" s="27" t="str">
        <f aca="false">IF(OR($D325=0,$G325=""),"",IF($H325*($G325-$F325)&gt;0,"Sim","Nao"))</f>
        <v/>
      </c>
      <c r="K325" s="27" t="str">
        <f aca="false">IF(OR($D325=0,$G325=""),"",IF(AND($H325*($E325-$F325)&gt;0,$H325*($E325-$G325)&gt;0),"Sim","Nao"))</f>
        <v/>
      </c>
      <c r="L325" s="38" t="n">
        <f aca="false">IF(OR($D325=0,$G325=""),0,IF($K325="Sim",MAX(0,$H325*($E325-$I325)),0))</f>
        <v>0</v>
      </c>
      <c r="M325" s="35" t="n">
        <f aca="false">INDEX(Parametros_ANEC73!$G$4:$G$6,MATCH($C325,Parametros_ANEC73!$A$4:$A$6,0))</f>
        <v>3.8</v>
      </c>
      <c r="N325" s="38" t="n">
        <f aca="false">IF(OR($D325=0,$G325=""),0,IF(AND($K325="Sim",$M325&lt;&gt;""),MAX(0,$H325*($E325-$M325)),0))</f>
        <v>0</v>
      </c>
      <c r="O325" s="35" t="n">
        <f aca="false">INDEX(Parametros_ANEC73!$J$4:$J$6,MATCH($C325,Parametros_ANEC73!$A$4:$A$6,0))</f>
        <v>4</v>
      </c>
      <c r="P325" s="38" t="n">
        <f aca="false">IF(OR($D325=0,$G325=""),0,IF(AND($K325="Sim",$O325&lt;&gt;""),MAX(0,$H325*($E325-$O325)),0))</f>
        <v>0</v>
      </c>
      <c r="Q325" s="35" t="n">
        <f aca="false">INDEX(Parametros_ANEC73!$F$4:$F$6,MATCH($C325,Parametros_ANEC73!$A$4:$A$6,0))</f>
        <v>1</v>
      </c>
      <c r="R325" s="35" t="n">
        <f aca="false">INDEX(Parametros_ANEC73!$I$4:$I$6,MATCH($C325,Parametros_ANEC73!$A$4:$A$6,0))</f>
        <v>1.5</v>
      </c>
      <c r="S325" s="35" t="n">
        <f aca="false">INDEX(Parametros_ANEC73!$L$4:$L$6,MATCH($C325,Parametros_ANEC73!$A$4:$A$6,0))</f>
        <v>2</v>
      </c>
      <c r="T325" s="39" t="n">
        <f aca="false">INDEX(Parametros_ANEC73!$B$14:$B$25,MATCH($B325,Parametros_ANEC73!$A$14:$A$25,0))</f>
        <v>0</v>
      </c>
      <c r="U325" s="40" t="n">
        <f aca="false">IF(OR($D325=0,$G325=""),0,$D325*($T325/100)*($L325*$Q325+$N325*(IF($R325="",$Q325,$R325)-$Q325)+$P325*(IF($S325="",IF($R325="",$Q325,$R325),$S325)-IF($R325="",$Q325,$R325))))</f>
        <v>0</v>
      </c>
      <c r="V325" s="41" t="str">
        <f aca="false">IF(OR($D325=0,$G325=""),"",IF($H325*($E325-INDEX(Parametros_ANEC73!$M$4:$M$6,MATCH($C325,Parametros_ANEC73!$A$4:$A$6,0)))&gt;0,"Sim","Nao"))</f>
        <v/>
      </c>
      <c r="W325" s="27" t="str">
        <f aca="false">$A325&amp;"|"&amp;$B325&amp;"|"&amp;$C325</f>
        <v>Aliança|Dez|Fibra</v>
      </c>
    </row>
    <row r="326" customFormat="false" ht="15" hidden="false" customHeight="false" outlineLevel="0" collapsed="false">
      <c r="A326" s="27" t="s">
        <v>48</v>
      </c>
      <c r="B326" s="27" t="s">
        <v>38</v>
      </c>
      <c r="C326" s="27" t="s">
        <v>109</v>
      </c>
      <c r="D326" s="34" t="n">
        <f aca="false">SUMIFS(Media_Cliente_Mes!$C$2:$C$145,Media_Cliente_Mes!$A$2:$A$145,$A326,Media_Cliente_Mes!$B$2:$B$145,$B326)</f>
        <v>0</v>
      </c>
      <c r="E326" s="35" t="str">
        <f aca="false">IF($D326=0,"",IF($C326="Proteina",SUMIFS(Media_Cliente_Mes!$D$2:$D$145,Media_Cliente_Mes!$A$2:$A$145,$A326,Media_Cliente_Mes!$B$2:$B$145,$B326),IF($C326="Umidade",SUMIFS(Media_Cliente_Mes!$E$2:$E$145,Media_Cliente_Mes!$A$2:$A$145,$A326,Media_Cliente_Mes!$B$2:$B$145,$B326),SUMIFS(Media_Cliente_Mes!$F$2:$F$145,Media_Cliente_Mes!$A$2:$A$145,$A326,Media_Cliente_Mes!$B$2:$B$145,$B326))))</f>
        <v/>
      </c>
      <c r="F326" s="35" t="n">
        <f aca="false">INDEX(Parametros_ANEC73!$C$4:$C$6,MATCH($C326,Parametros_ANEC73!$A$4:$A$6,0))</f>
        <v>48</v>
      </c>
      <c r="G326" s="35" t="n">
        <f aca="false">IF($C326="Proteina",INDEX(Media_Pool_Mes!$C$2:$C$13,MATCH($B326,Media_Pool_Mes!$A$2:$A$13,0)),IF($C326="Umidade",INDEX(Media_Pool_Mes!$D$2:$D$13,MATCH($B326,Media_Pool_Mes!$A$2:$A$13,0)),INDEX(Media_Pool_Mes!$E$2:$E$13,MATCH($B326,Media_Pool_Mes!$A$2:$A$13,0))))</f>
        <v>47.8154367670349</v>
      </c>
      <c r="H326" s="37" t="n">
        <f aca="false">INDEX(Parametros_ANEC73!$B$4:$B$6,MATCH($C326,Parametros_ANEC73!$A$4:$A$6,0))</f>
        <v>-1</v>
      </c>
      <c r="I326" s="38" t="str">
        <f aca="false">IF(OR($D326=0,$G326=""),"",IF($H326*($G326-$F326)&gt;0,$G326,$F326))</f>
        <v/>
      </c>
      <c r="J326" s="27" t="str">
        <f aca="false">IF(OR($D326=0,$G326=""),"",IF($H326*($G326-$F326)&gt;0,"Sim","Nao"))</f>
        <v/>
      </c>
      <c r="K326" s="27" t="str">
        <f aca="false">IF(OR($D326=0,$G326=""),"",IF(AND($H326*($E326-$F326)&gt;0,$H326*($E326-$G326)&gt;0),"Sim","Nao"))</f>
        <v/>
      </c>
      <c r="L326" s="38" t="n">
        <f aca="false">IF(OR($D326=0,$G326=""),0,IF($K326="Sim",MAX(0,$H326*($E326-$I326)),0))</f>
        <v>0</v>
      </c>
      <c r="M326" s="35" t="n">
        <f aca="false">INDEX(Parametros_ANEC73!$G$4:$G$6,MATCH($C326,Parametros_ANEC73!$A$4:$A$6,0))</f>
        <v>47</v>
      </c>
      <c r="N326" s="38" t="n">
        <f aca="false">IF(OR($D326=0,$G326=""),0,IF(AND($K326="Sim",$M326&lt;&gt;""),MAX(0,$H326*($E326-$M326)),0))</f>
        <v>0</v>
      </c>
      <c r="O326" s="35" t="n">
        <f aca="false">INDEX(Parametros_ANEC73!$J$4:$J$6,MATCH($C326,Parametros_ANEC73!$A$4:$A$6,0))</f>
        <v>0</v>
      </c>
      <c r="P326" s="38" t="n">
        <f aca="false">IF(OR($D326=0,$G326=""),0,IF(AND($K326="Sim",$O326&lt;&gt;""),MAX(0,$H326*($E326-$O326)),0))</f>
        <v>0</v>
      </c>
      <c r="Q326" s="35" t="n">
        <f aca="false">INDEX(Parametros_ANEC73!$F$4:$F$6,MATCH($C326,Parametros_ANEC73!$A$4:$A$6,0))</f>
        <v>1</v>
      </c>
      <c r="R326" s="35" t="n">
        <f aca="false">INDEX(Parametros_ANEC73!$I$4:$I$6,MATCH($C326,Parametros_ANEC73!$A$4:$A$6,0))</f>
        <v>2</v>
      </c>
      <c r="S326" s="35" t="n">
        <f aca="false">INDEX(Parametros_ANEC73!$L$4:$L$6,MATCH($C326,Parametros_ANEC73!$A$4:$A$6,0))</f>
        <v>0</v>
      </c>
      <c r="T326" s="39" t="n">
        <f aca="false">INDEX(Parametros_ANEC73!$B$14:$B$25,MATCH($B326,Parametros_ANEC73!$A$14:$A$25,0))</f>
        <v>386</v>
      </c>
      <c r="U326" s="40" t="n">
        <f aca="false">IF(OR($D326=0,$G326=""),0,$D326*($T326/100)*($L326*$Q326+$N326*(IF($R326="",$Q326,$R326)-$Q326)+$P326*(IF($S326="",IF($R326="",$Q326,$R326),$S326)-IF($R326="",$Q326,$R326))))</f>
        <v>0</v>
      </c>
      <c r="V326" s="41" t="str">
        <f aca="false">IF(OR($D326=0,$G326=""),"",IF($H326*($E326-INDEX(Parametros_ANEC73!$M$4:$M$6,MATCH($C326,Parametros_ANEC73!$A$4:$A$6,0)))&gt;0,"Sim","Nao"))</f>
        <v/>
      </c>
      <c r="W326" s="27" t="str">
        <f aca="false">$A326&amp;"|"&amp;$B326&amp;"|"&amp;$C326</f>
        <v>Olfar|Jan|Proteina</v>
      </c>
    </row>
    <row r="327" customFormat="false" ht="15" hidden="false" customHeight="false" outlineLevel="0" collapsed="false">
      <c r="A327" s="27" t="s">
        <v>48</v>
      </c>
      <c r="B327" s="27" t="s">
        <v>38</v>
      </c>
      <c r="C327" s="27" t="s">
        <v>110</v>
      </c>
      <c r="D327" s="34" t="n">
        <f aca="false">SUMIFS(Media_Cliente_Mes!$C$2:$C$145,Media_Cliente_Mes!$A$2:$A$145,$A327,Media_Cliente_Mes!$B$2:$B$145,$B327)</f>
        <v>0</v>
      </c>
      <c r="E327" s="35" t="str">
        <f aca="false">IF($D327=0,"",IF($C327="Proteina",SUMIFS(Media_Cliente_Mes!$D$2:$D$145,Media_Cliente_Mes!$A$2:$A$145,$A327,Media_Cliente_Mes!$B$2:$B$145,$B327),IF($C327="Umidade",SUMIFS(Media_Cliente_Mes!$E$2:$E$145,Media_Cliente_Mes!$A$2:$A$145,$A327,Media_Cliente_Mes!$B$2:$B$145,$B327),SUMIFS(Media_Cliente_Mes!$F$2:$F$145,Media_Cliente_Mes!$A$2:$A$145,$A327,Media_Cliente_Mes!$B$2:$B$145,$B327))))</f>
        <v/>
      </c>
      <c r="F327" s="35" t="n">
        <f aca="false">INDEX(Parametros_ANEC73!$C$4:$C$6,MATCH($C327,Parametros_ANEC73!$A$4:$A$6,0))</f>
        <v>12.5</v>
      </c>
      <c r="G327" s="35" t="n">
        <f aca="false">IF($C327="Proteina",INDEX(Media_Pool_Mes!$C$2:$C$13,MATCH($B327,Media_Pool_Mes!$A$2:$A$13,0)),IF($C327="Umidade",INDEX(Media_Pool_Mes!$D$2:$D$13,MATCH($B327,Media_Pool_Mes!$A$2:$A$13,0)),INDEX(Media_Pool_Mes!$E$2:$E$13,MATCH($B327,Media_Pool_Mes!$A$2:$A$13,0))))</f>
        <v>12.076727887935</v>
      </c>
      <c r="H327" s="37" t="n">
        <f aca="false">INDEX(Parametros_ANEC73!$B$4:$B$6,MATCH($C327,Parametros_ANEC73!$A$4:$A$6,0))</f>
        <v>1</v>
      </c>
      <c r="I327" s="38" t="str">
        <f aca="false">IF(OR($D327=0,$G327=""),"",IF($H327*($G327-$F327)&gt;0,$G327,$F327))</f>
        <v/>
      </c>
      <c r="J327" s="27" t="str">
        <f aca="false">IF(OR($D327=0,$G327=""),"",IF($H327*($G327-$F327)&gt;0,"Sim","Nao"))</f>
        <v/>
      </c>
      <c r="K327" s="27" t="str">
        <f aca="false">IF(OR($D327=0,$G327=""),"",IF(AND($H327*($E327-$F327)&gt;0,$H327*($E327-$G327)&gt;0),"Sim","Nao"))</f>
        <v/>
      </c>
      <c r="L327" s="38" t="n">
        <f aca="false">IF(OR($D327=0,$G327=""),0,IF($K327="Sim",MAX(0,$H327*($E327-$I327)),0))</f>
        <v>0</v>
      </c>
      <c r="M327" s="35" t="n">
        <f aca="false">INDEX(Parametros_ANEC73!$G$4:$G$6,MATCH($C327,Parametros_ANEC73!$A$4:$A$6,0))</f>
        <v>0</v>
      </c>
      <c r="N327" s="38" t="n">
        <f aca="false">IF(OR($D327=0,$G327=""),0,IF(AND($K327="Sim",$M327&lt;&gt;""),MAX(0,$H327*($E327-$M327)),0))</f>
        <v>0</v>
      </c>
      <c r="O327" s="35" t="n">
        <f aca="false">INDEX(Parametros_ANEC73!$J$4:$J$6,MATCH($C327,Parametros_ANEC73!$A$4:$A$6,0))</f>
        <v>0</v>
      </c>
      <c r="P327" s="38" t="n">
        <f aca="false">IF(OR($D327=0,$G327=""),0,IF(AND($K327="Sim",$O327&lt;&gt;""),MAX(0,$H327*($E327-$O327)),0))</f>
        <v>0</v>
      </c>
      <c r="Q327" s="35" t="n">
        <f aca="false">INDEX(Parametros_ANEC73!$F$4:$F$6,MATCH($C327,Parametros_ANEC73!$A$4:$A$6,0))</f>
        <v>1</v>
      </c>
      <c r="R327" s="35" t="n">
        <f aca="false">INDEX(Parametros_ANEC73!$I$4:$I$6,MATCH($C327,Parametros_ANEC73!$A$4:$A$6,0))</f>
        <v>0</v>
      </c>
      <c r="S327" s="35" t="n">
        <f aca="false">INDEX(Parametros_ANEC73!$L$4:$L$6,MATCH($C327,Parametros_ANEC73!$A$4:$A$6,0))</f>
        <v>0</v>
      </c>
      <c r="T327" s="39" t="n">
        <f aca="false">INDEX(Parametros_ANEC73!$B$14:$B$25,MATCH($B327,Parametros_ANEC73!$A$14:$A$25,0))</f>
        <v>386</v>
      </c>
      <c r="U327" s="40" t="n">
        <f aca="false">IF(OR($D327=0,$G327=""),0,$D327*($T327/100)*($L327*$Q327+$N327*(IF($R327="",$Q327,$R327)-$Q327)+$P327*(IF($S327="",IF($R327="",$Q327,$R327),$S327)-IF($R327="",$Q327,$R327))))</f>
        <v>0</v>
      </c>
      <c r="V327" s="41" t="str">
        <f aca="false">IF(OR($D327=0,$G327=""),"",IF($H327*($E327-INDEX(Parametros_ANEC73!$M$4:$M$6,MATCH($C327,Parametros_ANEC73!$A$4:$A$6,0)))&gt;0,"Sim","Nao"))</f>
        <v/>
      </c>
      <c r="W327" s="27" t="str">
        <f aca="false">$A327&amp;"|"&amp;$B327&amp;"|"&amp;$C327</f>
        <v>Olfar|Jan|Umidade</v>
      </c>
    </row>
    <row r="328" customFormat="false" ht="15" hidden="false" customHeight="false" outlineLevel="0" collapsed="false">
      <c r="A328" s="27" t="s">
        <v>48</v>
      </c>
      <c r="B328" s="27" t="s">
        <v>38</v>
      </c>
      <c r="C328" s="27" t="s">
        <v>111</v>
      </c>
      <c r="D328" s="34" t="n">
        <f aca="false">SUMIFS(Media_Cliente_Mes!$C$2:$C$145,Media_Cliente_Mes!$A$2:$A$145,$A328,Media_Cliente_Mes!$B$2:$B$145,$B328)</f>
        <v>0</v>
      </c>
      <c r="E328" s="35" t="str">
        <f aca="false">IF($D328=0,"",IF($C328="Proteina",SUMIFS(Media_Cliente_Mes!$D$2:$D$145,Media_Cliente_Mes!$A$2:$A$145,$A328,Media_Cliente_Mes!$B$2:$B$145,$B328),IF($C328="Umidade",SUMIFS(Media_Cliente_Mes!$E$2:$E$145,Media_Cliente_Mes!$A$2:$A$145,$A328,Media_Cliente_Mes!$B$2:$B$145,$B328),SUMIFS(Media_Cliente_Mes!$F$2:$F$145,Media_Cliente_Mes!$A$2:$A$145,$A328,Media_Cliente_Mes!$B$2:$B$145,$B328))))</f>
        <v/>
      </c>
      <c r="F328" s="35" t="n">
        <f aca="false">INDEX(Parametros_ANEC73!$C$4:$C$6,MATCH($C328,Parametros_ANEC73!$A$4:$A$6,0))</f>
        <v>3.5</v>
      </c>
      <c r="G328" s="35" t="n">
        <f aca="false">IF($C328="Proteina",INDEX(Media_Pool_Mes!$C$2:$C$13,MATCH($B328,Media_Pool_Mes!$A$2:$A$13,0)),IF($C328="Umidade",INDEX(Media_Pool_Mes!$D$2:$D$13,MATCH($B328,Media_Pool_Mes!$A$2:$A$13,0)),INDEX(Media_Pool_Mes!$E$2:$E$13,MATCH($B328,Media_Pool_Mes!$A$2:$A$13,0))))</f>
        <v>3.51752485295922</v>
      </c>
      <c r="H328" s="37" t="n">
        <f aca="false">INDEX(Parametros_ANEC73!$B$4:$B$6,MATCH($C328,Parametros_ANEC73!$A$4:$A$6,0))</f>
        <v>1</v>
      </c>
      <c r="I328" s="38" t="str">
        <f aca="false">IF(OR($D328=0,$G328=""),"",IF($H328*($G328-$F328)&gt;0,$G328,$F328))</f>
        <v/>
      </c>
      <c r="J328" s="27" t="str">
        <f aca="false">IF(OR($D328=0,$G328=""),"",IF($H328*($G328-$F328)&gt;0,"Sim","Nao"))</f>
        <v/>
      </c>
      <c r="K328" s="27" t="str">
        <f aca="false">IF(OR($D328=0,$G328=""),"",IF(AND($H328*($E328-$F328)&gt;0,$H328*($E328-$G328)&gt;0),"Sim","Nao"))</f>
        <v/>
      </c>
      <c r="L328" s="38" t="n">
        <f aca="false">IF(OR($D328=0,$G328=""),0,IF($K328="Sim",MAX(0,$H328*($E328-$I328)),0))</f>
        <v>0</v>
      </c>
      <c r="M328" s="35" t="n">
        <f aca="false">INDEX(Parametros_ANEC73!$G$4:$G$6,MATCH($C328,Parametros_ANEC73!$A$4:$A$6,0))</f>
        <v>3.8</v>
      </c>
      <c r="N328" s="38" t="n">
        <f aca="false">IF(OR($D328=0,$G328=""),0,IF(AND($K328="Sim",$M328&lt;&gt;""),MAX(0,$H328*($E328-$M328)),0))</f>
        <v>0</v>
      </c>
      <c r="O328" s="35" t="n">
        <f aca="false">INDEX(Parametros_ANEC73!$J$4:$J$6,MATCH($C328,Parametros_ANEC73!$A$4:$A$6,0))</f>
        <v>4</v>
      </c>
      <c r="P328" s="38" t="n">
        <f aca="false">IF(OR($D328=0,$G328=""),0,IF(AND($K328="Sim",$O328&lt;&gt;""),MAX(0,$H328*($E328-$O328)),0))</f>
        <v>0</v>
      </c>
      <c r="Q328" s="35" t="n">
        <f aca="false">INDEX(Parametros_ANEC73!$F$4:$F$6,MATCH($C328,Parametros_ANEC73!$A$4:$A$6,0))</f>
        <v>1</v>
      </c>
      <c r="R328" s="35" t="n">
        <f aca="false">INDEX(Parametros_ANEC73!$I$4:$I$6,MATCH($C328,Parametros_ANEC73!$A$4:$A$6,0))</f>
        <v>1.5</v>
      </c>
      <c r="S328" s="35" t="n">
        <f aca="false">INDEX(Parametros_ANEC73!$L$4:$L$6,MATCH($C328,Parametros_ANEC73!$A$4:$A$6,0))</f>
        <v>2</v>
      </c>
      <c r="T328" s="39" t="n">
        <f aca="false">INDEX(Parametros_ANEC73!$B$14:$B$25,MATCH($B328,Parametros_ANEC73!$A$14:$A$25,0))</f>
        <v>386</v>
      </c>
      <c r="U328" s="40" t="n">
        <f aca="false">IF(OR($D328=0,$G328=""),0,$D328*($T328/100)*($L328*$Q328+$N328*(IF($R328="",$Q328,$R328)-$Q328)+$P328*(IF($S328="",IF($R328="",$Q328,$R328),$S328)-IF($R328="",$Q328,$R328))))</f>
        <v>0</v>
      </c>
      <c r="V328" s="41" t="str">
        <f aca="false">IF(OR($D328=0,$G328=""),"",IF($H328*($E328-INDEX(Parametros_ANEC73!$M$4:$M$6,MATCH($C328,Parametros_ANEC73!$A$4:$A$6,0)))&gt;0,"Sim","Nao"))</f>
        <v/>
      </c>
      <c r="W328" s="27" t="str">
        <f aca="false">$A328&amp;"|"&amp;$B328&amp;"|"&amp;$C328</f>
        <v>Olfar|Jan|Fibra</v>
      </c>
    </row>
    <row r="329" customFormat="false" ht="15" hidden="false" customHeight="false" outlineLevel="0" collapsed="false">
      <c r="A329" s="27" t="s">
        <v>48</v>
      </c>
      <c r="B329" s="27" t="s">
        <v>59</v>
      </c>
      <c r="C329" s="27" t="s">
        <v>109</v>
      </c>
      <c r="D329" s="34" t="n">
        <f aca="false">SUMIFS(Media_Cliente_Mes!$C$2:$C$145,Media_Cliente_Mes!$A$2:$A$145,$A329,Media_Cliente_Mes!$B$2:$B$145,$B329)</f>
        <v>0</v>
      </c>
      <c r="E329" s="35" t="str">
        <f aca="false">IF($D329=0,"",IF($C329="Proteina",SUMIFS(Media_Cliente_Mes!$D$2:$D$145,Media_Cliente_Mes!$A$2:$A$145,$A329,Media_Cliente_Mes!$B$2:$B$145,$B329),IF($C329="Umidade",SUMIFS(Media_Cliente_Mes!$E$2:$E$145,Media_Cliente_Mes!$A$2:$A$145,$A329,Media_Cliente_Mes!$B$2:$B$145,$B329),SUMIFS(Media_Cliente_Mes!$F$2:$F$145,Media_Cliente_Mes!$A$2:$A$145,$A329,Media_Cliente_Mes!$B$2:$B$145,$B329))))</f>
        <v/>
      </c>
      <c r="F329" s="35" t="n">
        <f aca="false">INDEX(Parametros_ANEC73!$C$4:$C$6,MATCH($C329,Parametros_ANEC73!$A$4:$A$6,0))</f>
        <v>48</v>
      </c>
      <c r="G329" s="35" t="n">
        <f aca="false">IF($C329="Proteina",INDEX(Media_Pool_Mes!$C$2:$C$13,MATCH($B329,Media_Pool_Mes!$A$2:$A$13,0)),IF($C329="Umidade",INDEX(Media_Pool_Mes!$D$2:$D$13,MATCH($B329,Media_Pool_Mes!$A$2:$A$13,0)),INDEX(Media_Pool_Mes!$E$2:$E$13,MATCH($B329,Media_Pool_Mes!$A$2:$A$13,0))))</f>
        <v>47.3405726705791</v>
      </c>
      <c r="H329" s="37" t="n">
        <f aca="false">INDEX(Parametros_ANEC73!$B$4:$B$6,MATCH($C329,Parametros_ANEC73!$A$4:$A$6,0))</f>
        <v>-1</v>
      </c>
      <c r="I329" s="38" t="str">
        <f aca="false">IF(OR($D329=0,$G329=""),"",IF($H329*($G329-$F329)&gt;0,$G329,$F329))</f>
        <v/>
      </c>
      <c r="J329" s="27" t="str">
        <f aca="false">IF(OR($D329=0,$G329=""),"",IF($H329*($G329-$F329)&gt;0,"Sim","Nao"))</f>
        <v/>
      </c>
      <c r="K329" s="27" t="str">
        <f aca="false">IF(OR($D329=0,$G329=""),"",IF(AND($H329*($E329-$F329)&gt;0,$H329*($E329-$G329)&gt;0),"Sim","Nao"))</f>
        <v/>
      </c>
      <c r="L329" s="38" t="n">
        <f aca="false">IF(OR($D329=0,$G329=""),0,IF($K329="Sim",MAX(0,$H329*($E329-$I329)),0))</f>
        <v>0</v>
      </c>
      <c r="M329" s="35" t="n">
        <f aca="false">INDEX(Parametros_ANEC73!$G$4:$G$6,MATCH($C329,Parametros_ANEC73!$A$4:$A$6,0))</f>
        <v>47</v>
      </c>
      <c r="N329" s="38" t="n">
        <f aca="false">IF(OR($D329=0,$G329=""),0,IF(AND($K329="Sim",$M329&lt;&gt;""),MAX(0,$H329*($E329-$M329)),0))</f>
        <v>0</v>
      </c>
      <c r="O329" s="35" t="n">
        <f aca="false">INDEX(Parametros_ANEC73!$J$4:$J$6,MATCH($C329,Parametros_ANEC73!$A$4:$A$6,0))</f>
        <v>0</v>
      </c>
      <c r="P329" s="38" t="n">
        <f aca="false">IF(OR($D329=0,$G329=""),0,IF(AND($K329="Sim",$O329&lt;&gt;""),MAX(0,$H329*($E329-$O329)),0))</f>
        <v>0</v>
      </c>
      <c r="Q329" s="35" t="n">
        <f aca="false">INDEX(Parametros_ANEC73!$F$4:$F$6,MATCH($C329,Parametros_ANEC73!$A$4:$A$6,0))</f>
        <v>1</v>
      </c>
      <c r="R329" s="35" t="n">
        <f aca="false">INDEX(Parametros_ANEC73!$I$4:$I$6,MATCH($C329,Parametros_ANEC73!$A$4:$A$6,0))</f>
        <v>2</v>
      </c>
      <c r="S329" s="35" t="n">
        <f aca="false">INDEX(Parametros_ANEC73!$L$4:$L$6,MATCH($C329,Parametros_ANEC73!$A$4:$A$6,0))</f>
        <v>0</v>
      </c>
      <c r="T329" s="39" t="n">
        <f aca="false">INDEX(Parametros_ANEC73!$B$14:$B$25,MATCH($B329,Parametros_ANEC73!$A$14:$A$25,0))</f>
        <v>391</v>
      </c>
      <c r="U329" s="40" t="n">
        <f aca="false">IF(OR($D329=0,$G329=""),0,$D329*($T329/100)*($L329*$Q329+$N329*(IF($R329="",$Q329,$R329)-$Q329)+$P329*(IF($S329="",IF($R329="",$Q329,$R329),$S329)-IF($R329="",$Q329,$R329))))</f>
        <v>0</v>
      </c>
      <c r="V329" s="41" t="str">
        <f aca="false">IF(OR($D329=0,$G329=""),"",IF($H329*($E329-INDEX(Parametros_ANEC73!$M$4:$M$6,MATCH($C329,Parametros_ANEC73!$A$4:$A$6,0)))&gt;0,"Sim","Nao"))</f>
        <v/>
      </c>
      <c r="W329" s="27" t="str">
        <f aca="false">$A329&amp;"|"&amp;$B329&amp;"|"&amp;$C329</f>
        <v>Olfar|Fev|Proteina</v>
      </c>
    </row>
    <row r="330" customFormat="false" ht="15" hidden="false" customHeight="false" outlineLevel="0" collapsed="false">
      <c r="A330" s="27" t="s">
        <v>48</v>
      </c>
      <c r="B330" s="27" t="s">
        <v>59</v>
      </c>
      <c r="C330" s="27" t="s">
        <v>110</v>
      </c>
      <c r="D330" s="34" t="n">
        <f aca="false">SUMIFS(Media_Cliente_Mes!$C$2:$C$145,Media_Cliente_Mes!$A$2:$A$145,$A330,Media_Cliente_Mes!$B$2:$B$145,$B330)</f>
        <v>0</v>
      </c>
      <c r="E330" s="35" t="str">
        <f aca="false">IF($D330=0,"",IF($C330="Proteina",SUMIFS(Media_Cliente_Mes!$D$2:$D$145,Media_Cliente_Mes!$A$2:$A$145,$A330,Media_Cliente_Mes!$B$2:$B$145,$B330),IF($C330="Umidade",SUMIFS(Media_Cliente_Mes!$E$2:$E$145,Media_Cliente_Mes!$A$2:$A$145,$A330,Media_Cliente_Mes!$B$2:$B$145,$B330),SUMIFS(Media_Cliente_Mes!$F$2:$F$145,Media_Cliente_Mes!$A$2:$A$145,$A330,Media_Cliente_Mes!$B$2:$B$145,$B330))))</f>
        <v/>
      </c>
      <c r="F330" s="35" t="n">
        <f aca="false">INDEX(Parametros_ANEC73!$C$4:$C$6,MATCH($C330,Parametros_ANEC73!$A$4:$A$6,0))</f>
        <v>12.5</v>
      </c>
      <c r="G330" s="35" t="n">
        <f aca="false">IF($C330="Proteina",INDEX(Media_Pool_Mes!$C$2:$C$13,MATCH($B330,Media_Pool_Mes!$A$2:$A$13,0)),IF($C330="Umidade",INDEX(Media_Pool_Mes!$D$2:$D$13,MATCH($B330,Media_Pool_Mes!$A$2:$A$13,0)),INDEX(Media_Pool_Mes!$E$2:$E$13,MATCH($B330,Media_Pool_Mes!$A$2:$A$13,0))))</f>
        <v>12.2454829634779</v>
      </c>
      <c r="H330" s="37" t="n">
        <f aca="false">INDEX(Parametros_ANEC73!$B$4:$B$6,MATCH($C330,Parametros_ANEC73!$A$4:$A$6,0))</f>
        <v>1</v>
      </c>
      <c r="I330" s="38" t="str">
        <f aca="false">IF(OR($D330=0,$G330=""),"",IF($H330*($G330-$F330)&gt;0,$G330,$F330))</f>
        <v/>
      </c>
      <c r="J330" s="27" t="str">
        <f aca="false">IF(OR($D330=0,$G330=""),"",IF($H330*($G330-$F330)&gt;0,"Sim","Nao"))</f>
        <v/>
      </c>
      <c r="K330" s="27" t="str">
        <f aca="false">IF(OR($D330=0,$G330=""),"",IF(AND($H330*($E330-$F330)&gt;0,$H330*($E330-$G330)&gt;0),"Sim","Nao"))</f>
        <v/>
      </c>
      <c r="L330" s="38" t="n">
        <f aca="false">IF(OR($D330=0,$G330=""),0,IF($K330="Sim",MAX(0,$H330*($E330-$I330)),0))</f>
        <v>0</v>
      </c>
      <c r="M330" s="35" t="n">
        <f aca="false">INDEX(Parametros_ANEC73!$G$4:$G$6,MATCH($C330,Parametros_ANEC73!$A$4:$A$6,0))</f>
        <v>0</v>
      </c>
      <c r="N330" s="38" t="n">
        <f aca="false">IF(OR($D330=0,$G330=""),0,IF(AND($K330="Sim",$M330&lt;&gt;""),MAX(0,$H330*($E330-$M330)),0))</f>
        <v>0</v>
      </c>
      <c r="O330" s="35" t="n">
        <f aca="false">INDEX(Parametros_ANEC73!$J$4:$J$6,MATCH($C330,Parametros_ANEC73!$A$4:$A$6,0))</f>
        <v>0</v>
      </c>
      <c r="P330" s="38" t="n">
        <f aca="false">IF(OR($D330=0,$G330=""),0,IF(AND($K330="Sim",$O330&lt;&gt;""),MAX(0,$H330*($E330-$O330)),0))</f>
        <v>0</v>
      </c>
      <c r="Q330" s="35" t="n">
        <f aca="false">INDEX(Parametros_ANEC73!$F$4:$F$6,MATCH($C330,Parametros_ANEC73!$A$4:$A$6,0))</f>
        <v>1</v>
      </c>
      <c r="R330" s="35" t="n">
        <f aca="false">INDEX(Parametros_ANEC73!$I$4:$I$6,MATCH($C330,Parametros_ANEC73!$A$4:$A$6,0))</f>
        <v>0</v>
      </c>
      <c r="S330" s="35" t="n">
        <f aca="false">INDEX(Parametros_ANEC73!$L$4:$L$6,MATCH($C330,Parametros_ANEC73!$A$4:$A$6,0))</f>
        <v>0</v>
      </c>
      <c r="T330" s="39" t="n">
        <f aca="false">INDEX(Parametros_ANEC73!$B$14:$B$25,MATCH($B330,Parametros_ANEC73!$A$14:$A$25,0))</f>
        <v>391</v>
      </c>
      <c r="U330" s="40" t="n">
        <f aca="false">IF(OR($D330=0,$G330=""),0,$D330*($T330/100)*($L330*$Q330+$N330*(IF($R330="",$Q330,$R330)-$Q330)+$P330*(IF($S330="",IF($R330="",$Q330,$R330),$S330)-IF($R330="",$Q330,$R330))))</f>
        <v>0</v>
      </c>
      <c r="V330" s="41" t="str">
        <f aca="false">IF(OR($D330=0,$G330=""),"",IF($H330*($E330-INDEX(Parametros_ANEC73!$M$4:$M$6,MATCH($C330,Parametros_ANEC73!$A$4:$A$6,0)))&gt;0,"Sim","Nao"))</f>
        <v/>
      </c>
      <c r="W330" s="27" t="str">
        <f aca="false">$A330&amp;"|"&amp;$B330&amp;"|"&amp;$C330</f>
        <v>Olfar|Fev|Umidade</v>
      </c>
    </row>
    <row r="331" customFormat="false" ht="15" hidden="false" customHeight="false" outlineLevel="0" collapsed="false">
      <c r="A331" s="27" t="s">
        <v>48</v>
      </c>
      <c r="B331" s="27" t="s">
        <v>59</v>
      </c>
      <c r="C331" s="27" t="s">
        <v>111</v>
      </c>
      <c r="D331" s="34" t="n">
        <f aca="false">SUMIFS(Media_Cliente_Mes!$C$2:$C$145,Media_Cliente_Mes!$A$2:$A$145,$A331,Media_Cliente_Mes!$B$2:$B$145,$B331)</f>
        <v>0</v>
      </c>
      <c r="E331" s="35" t="str">
        <f aca="false">IF($D331=0,"",IF($C331="Proteina",SUMIFS(Media_Cliente_Mes!$D$2:$D$145,Media_Cliente_Mes!$A$2:$A$145,$A331,Media_Cliente_Mes!$B$2:$B$145,$B331),IF($C331="Umidade",SUMIFS(Media_Cliente_Mes!$E$2:$E$145,Media_Cliente_Mes!$A$2:$A$145,$A331,Media_Cliente_Mes!$B$2:$B$145,$B331),SUMIFS(Media_Cliente_Mes!$F$2:$F$145,Media_Cliente_Mes!$A$2:$A$145,$A331,Media_Cliente_Mes!$B$2:$B$145,$B331))))</f>
        <v/>
      </c>
      <c r="F331" s="35" t="n">
        <f aca="false">INDEX(Parametros_ANEC73!$C$4:$C$6,MATCH($C331,Parametros_ANEC73!$A$4:$A$6,0))</f>
        <v>3.5</v>
      </c>
      <c r="G331" s="35" t="n">
        <f aca="false">IF($C331="Proteina",INDEX(Media_Pool_Mes!$C$2:$C$13,MATCH($B331,Media_Pool_Mes!$A$2:$A$13,0)),IF($C331="Umidade",INDEX(Media_Pool_Mes!$D$2:$D$13,MATCH($B331,Media_Pool_Mes!$A$2:$A$13,0)),INDEX(Media_Pool_Mes!$E$2:$E$13,MATCH($B331,Media_Pool_Mes!$A$2:$A$13,0))))</f>
        <v>3.61845158781616</v>
      </c>
      <c r="H331" s="37" t="n">
        <f aca="false">INDEX(Parametros_ANEC73!$B$4:$B$6,MATCH($C331,Parametros_ANEC73!$A$4:$A$6,0))</f>
        <v>1</v>
      </c>
      <c r="I331" s="38" t="str">
        <f aca="false">IF(OR($D331=0,$G331=""),"",IF($H331*($G331-$F331)&gt;0,$G331,$F331))</f>
        <v/>
      </c>
      <c r="J331" s="27" t="str">
        <f aca="false">IF(OR($D331=0,$G331=""),"",IF($H331*($G331-$F331)&gt;0,"Sim","Nao"))</f>
        <v/>
      </c>
      <c r="K331" s="27" t="str">
        <f aca="false">IF(OR($D331=0,$G331=""),"",IF(AND($H331*($E331-$F331)&gt;0,$H331*($E331-$G331)&gt;0),"Sim","Nao"))</f>
        <v/>
      </c>
      <c r="L331" s="38" t="n">
        <f aca="false">IF(OR($D331=0,$G331=""),0,IF($K331="Sim",MAX(0,$H331*($E331-$I331)),0))</f>
        <v>0</v>
      </c>
      <c r="M331" s="35" t="n">
        <f aca="false">INDEX(Parametros_ANEC73!$G$4:$G$6,MATCH($C331,Parametros_ANEC73!$A$4:$A$6,0))</f>
        <v>3.8</v>
      </c>
      <c r="N331" s="38" t="n">
        <f aca="false">IF(OR($D331=0,$G331=""),0,IF(AND($K331="Sim",$M331&lt;&gt;""),MAX(0,$H331*($E331-$M331)),0))</f>
        <v>0</v>
      </c>
      <c r="O331" s="35" t="n">
        <f aca="false">INDEX(Parametros_ANEC73!$J$4:$J$6,MATCH($C331,Parametros_ANEC73!$A$4:$A$6,0))</f>
        <v>4</v>
      </c>
      <c r="P331" s="38" t="n">
        <f aca="false">IF(OR($D331=0,$G331=""),0,IF(AND($K331="Sim",$O331&lt;&gt;""),MAX(0,$H331*($E331-$O331)),0))</f>
        <v>0</v>
      </c>
      <c r="Q331" s="35" t="n">
        <f aca="false">INDEX(Parametros_ANEC73!$F$4:$F$6,MATCH($C331,Parametros_ANEC73!$A$4:$A$6,0))</f>
        <v>1</v>
      </c>
      <c r="R331" s="35" t="n">
        <f aca="false">INDEX(Parametros_ANEC73!$I$4:$I$6,MATCH($C331,Parametros_ANEC73!$A$4:$A$6,0))</f>
        <v>1.5</v>
      </c>
      <c r="S331" s="35" t="n">
        <f aca="false">INDEX(Parametros_ANEC73!$L$4:$L$6,MATCH($C331,Parametros_ANEC73!$A$4:$A$6,0))</f>
        <v>2</v>
      </c>
      <c r="T331" s="39" t="n">
        <f aca="false">INDEX(Parametros_ANEC73!$B$14:$B$25,MATCH($B331,Parametros_ANEC73!$A$14:$A$25,0))</f>
        <v>391</v>
      </c>
      <c r="U331" s="40" t="n">
        <f aca="false">IF(OR($D331=0,$G331=""),0,$D331*($T331/100)*($L331*$Q331+$N331*(IF($R331="",$Q331,$R331)-$Q331)+$P331*(IF($S331="",IF($R331="",$Q331,$R331),$S331)-IF($R331="",$Q331,$R331))))</f>
        <v>0</v>
      </c>
      <c r="V331" s="41" t="str">
        <f aca="false">IF(OR($D331=0,$G331=""),"",IF($H331*($E331-INDEX(Parametros_ANEC73!$M$4:$M$6,MATCH($C331,Parametros_ANEC73!$A$4:$A$6,0)))&gt;0,"Sim","Nao"))</f>
        <v/>
      </c>
      <c r="W331" s="27" t="str">
        <f aca="false">$A331&amp;"|"&amp;$B331&amp;"|"&amp;$C331</f>
        <v>Olfar|Fev|Fibra</v>
      </c>
    </row>
    <row r="332" customFormat="false" ht="15" hidden="false" customHeight="false" outlineLevel="0" collapsed="false">
      <c r="A332" s="27" t="s">
        <v>48</v>
      </c>
      <c r="B332" s="27" t="s">
        <v>60</v>
      </c>
      <c r="C332" s="27" t="s">
        <v>109</v>
      </c>
      <c r="D332" s="34" t="n">
        <f aca="false">SUMIFS(Media_Cliente_Mes!$C$2:$C$145,Media_Cliente_Mes!$A$2:$A$145,$A332,Media_Cliente_Mes!$B$2:$B$145,$B332)</f>
        <v>0</v>
      </c>
      <c r="E332" s="35" t="str">
        <f aca="false">IF($D332=0,"",IF($C332="Proteina",SUMIFS(Media_Cliente_Mes!$D$2:$D$145,Media_Cliente_Mes!$A$2:$A$145,$A332,Media_Cliente_Mes!$B$2:$B$145,$B332),IF($C332="Umidade",SUMIFS(Media_Cliente_Mes!$E$2:$E$145,Media_Cliente_Mes!$A$2:$A$145,$A332,Media_Cliente_Mes!$B$2:$B$145,$B332),SUMIFS(Media_Cliente_Mes!$F$2:$F$145,Media_Cliente_Mes!$A$2:$A$145,$A332,Media_Cliente_Mes!$B$2:$B$145,$B332))))</f>
        <v/>
      </c>
      <c r="F332" s="35" t="n">
        <f aca="false">INDEX(Parametros_ANEC73!$C$4:$C$6,MATCH($C332,Parametros_ANEC73!$A$4:$A$6,0))</f>
        <v>48</v>
      </c>
      <c r="G332" s="35" t="n">
        <f aca="false">IF($C332="Proteina",INDEX(Media_Pool_Mes!$C$2:$C$13,MATCH($B332,Media_Pool_Mes!$A$2:$A$13,0)),IF($C332="Umidade",INDEX(Media_Pool_Mes!$D$2:$D$13,MATCH($B332,Media_Pool_Mes!$A$2:$A$13,0)),INDEX(Media_Pool_Mes!$E$2:$E$13,MATCH($B332,Media_Pool_Mes!$A$2:$A$13,0))))</f>
        <v>47.332231823374</v>
      </c>
      <c r="H332" s="37" t="n">
        <f aca="false">INDEX(Parametros_ANEC73!$B$4:$B$6,MATCH($C332,Parametros_ANEC73!$A$4:$A$6,0))</f>
        <v>-1</v>
      </c>
      <c r="I332" s="38" t="str">
        <f aca="false">IF(OR($D332=0,$G332=""),"",IF($H332*($G332-$F332)&gt;0,$G332,$F332))</f>
        <v/>
      </c>
      <c r="J332" s="27" t="str">
        <f aca="false">IF(OR($D332=0,$G332=""),"",IF($H332*($G332-$F332)&gt;0,"Sim","Nao"))</f>
        <v/>
      </c>
      <c r="K332" s="27" t="str">
        <f aca="false">IF(OR($D332=0,$G332=""),"",IF(AND($H332*($E332-$F332)&gt;0,$H332*($E332-$G332)&gt;0),"Sim","Nao"))</f>
        <v/>
      </c>
      <c r="L332" s="38" t="n">
        <f aca="false">IF(OR($D332=0,$G332=""),0,IF($K332="Sim",MAX(0,$H332*($E332-$I332)),0))</f>
        <v>0</v>
      </c>
      <c r="M332" s="35" t="n">
        <f aca="false">INDEX(Parametros_ANEC73!$G$4:$G$6,MATCH($C332,Parametros_ANEC73!$A$4:$A$6,0))</f>
        <v>47</v>
      </c>
      <c r="N332" s="38" t="n">
        <f aca="false">IF(OR($D332=0,$G332=""),0,IF(AND($K332="Sim",$M332&lt;&gt;""),MAX(0,$H332*($E332-$M332)),0))</f>
        <v>0</v>
      </c>
      <c r="O332" s="35" t="n">
        <f aca="false">INDEX(Parametros_ANEC73!$J$4:$J$6,MATCH($C332,Parametros_ANEC73!$A$4:$A$6,0))</f>
        <v>0</v>
      </c>
      <c r="P332" s="38" t="n">
        <f aca="false">IF(OR($D332=0,$G332=""),0,IF(AND($K332="Sim",$O332&lt;&gt;""),MAX(0,$H332*($E332-$O332)),0))</f>
        <v>0</v>
      </c>
      <c r="Q332" s="35" t="n">
        <f aca="false">INDEX(Parametros_ANEC73!$F$4:$F$6,MATCH($C332,Parametros_ANEC73!$A$4:$A$6,0))</f>
        <v>1</v>
      </c>
      <c r="R332" s="35" t="n">
        <f aca="false">INDEX(Parametros_ANEC73!$I$4:$I$6,MATCH($C332,Parametros_ANEC73!$A$4:$A$6,0))</f>
        <v>2</v>
      </c>
      <c r="S332" s="35" t="n">
        <f aca="false">INDEX(Parametros_ANEC73!$L$4:$L$6,MATCH($C332,Parametros_ANEC73!$A$4:$A$6,0))</f>
        <v>0</v>
      </c>
      <c r="T332" s="39" t="n">
        <f aca="false">INDEX(Parametros_ANEC73!$B$14:$B$25,MATCH($B332,Parametros_ANEC73!$A$14:$A$25,0))</f>
        <v>404</v>
      </c>
      <c r="U332" s="40" t="n">
        <f aca="false">IF(OR($D332=0,$G332=""),0,$D332*($T332/100)*($L332*$Q332+$N332*(IF($R332="",$Q332,$R332)-$Q332)+$P332*(IF($S332="",IF($R332="",$Q332,$R332),$S332)-IF($R332="",$Q332,$R332))))</f>
        <v>0</v>
      </c>
      <c r="V332" s="41" t="str">
        <f aca="false">IF(OR($D332=0,$G332=""),"",IF($H332*($E332-INDEX(Parametros_ANEC73!$M$4:$M$6,MATCH($C332,Parametros_ANEC73!$A$4:$A$6,0)))&gt;0,"Sim","Nao"))</f>
        <v/>
      </c>
      <c r="W332" s="27" t="str">
        <f aca="false">$A332&amp;"|"&amp;$B332&amp;"|"&amp;$C332</f>
        <v>Olfar|Mar|Proteina</v>
      </c>
    </row>
    <row r="333" customFormat="false" ht="15" hidden="false" customHeight="false" outlineLevel="0" collapsed="false">
      <c r="A333" s="27" t="s">
        <v>48</v>
      </c>
      <c r="B333" s="27" t="s">
        <v>60</v>
      </c>
      <c r="C333" s="27" t="s">
        <v>110</v>
      </c>
      <c r="D333" s="34" t="n">
        <f aca="false">SUMIFS(Media_Cliente_Mes!$C$2:$C$145,Media_Cliente_Mes!$A$2:$A$145,$A333,Media_Cliente_Mes!$B$2:$B$145,$B333)</f>
        <v>0</v>
      </c>
      <c r="E333" s="35" t="str">
        <f aca="false">IF($D333=0,"",IF($C333="Proteina",SUMIFS(Media_Cliente_Mes!$D$2:$D$145,Media_Cliente_Mes!$A$2:$A$145,$A333,Media_Cliente_Mes!$B$2:$B$145,$B333),IF($C333="Umidade",SUMIFS(Media_Cliente_Mes!$E$2:$E$145,Media_Cliente_Mes!$A$2:$A$145,$A333,Media_Cliente_Mes!$B$2:$B$145,$B333),SUMIFS(Media_Cliente_Mes!$F$2:$F$145,Media_Cliente_Mes!$A$2:$A$145,$A333,Media_Cliente_Mes!$B$2:$B$145,$B333))))</f>
        <v/>
      </c>
      <c r="F333" s="35" t="n">
        <f aca="false">INDEX(Parametros_ANEC73!$C$4:$C$6,MATCH($C333,Parametros_ANEC73!$A$4:$A$6,0))</f>
        <v>12.5</v>
      </c>
      <c r="G333" s="35" t="n">
        <f aca="false">IF($C333="Proteina",INDEX(Media_Pool_Mes!$C$2:$C$13,MATCH($B333,Media_Pool_Mes!$A$2:$A$13,0)),IF($C333="Umidade",INDEX(Media_Pool_Mes!$D$2:$D$13,MATCH($B333,Media_Pool_Mes!$A$2:$A$13,0)),INDEX(Media_Pool_Mes!$E$2:$E$13,MATCH($B333,Media_Pool_Mes!$A$2:$A$13,0))))</f>
        <v>12.1740859181947</v>
      </c>
      <c r="H333" s="37" t="n">
        <f aca="false">INDEX(Parametros_ANEC73!$B$4:$B$6,MATCH($C333,Parametros_ANEC73!$A$4:$A$6,0))</f>
        <v>1</v>
      </c>
      <c r="I333" s="38" t="str">
        <f aca="false">IF(OR($D333=0,$G333=""),"",IF($H333*($G333-$F333)&gt;0,$G333,$F333))</f>
        <v/>
      </c>
      <c r="J333" s="27" t="str">
        <f aca="false">IF(OR($D333=0,$G333=""),"",IF($H333*($G333-$F333)&gt;0,"Sim","Nao"))</f>
        <v/>
      </c>
      <c r="K333" s="27" t="str">
        <f aca="false">IF(OR($D333=0,$G333=""),"",IF(AND($H333*($E333-$F333)&gt;0,$H333*($E333-$G333)&gt;0),"Sim","Nao"))</f>
        <v/>
      </c>
      <c r="L333" s="38" t="n">
        <f aca="false">IF(OR($D333=0,$G333=""),0,IF($K333="Sim",MAX(0,$H333*($E333-$I333)),0))</f>
        <v>0</v>
      </c>
      <c r="M333" s="35" t="n">
        <f aca="false">INDEX(Parametros_ANEC73!$G$4:$G$6,MATCH($C333,Parametros_ANEC73!$A$4:$A$6,0))</f>
        <v>0</v>
      </c>
      <c r="N333" s="38" t="n">
        <f aca="false">IF(OR($D333=0,$G333=""),0,IF(AND($K333="Sim",$M333&lt;&gt;""),MAX(0,$H333*($E333-$M333)),0))</f>
        <v>0</v>
      </c>
      <c r="O333" s="35" t="n">
        <f aca="false">INDEX(Parametros_ANEC73!$J$4:$J$6,MATCH($C333,Parametros_ANEC73!$A$4:$A$6,0))</f>
        <v>0</v>
      </c>
      <c r="P333" s="38" t="n">
        <f aca="false">IF(OR($D333=0,$G333=""),0,IF(AND($K333="Sim",$O333&lt;&gt;""),MAX(0,$H333*($E333-$O333)),0))</f>
        <v>0</v>
      </c>
      <c r="Q333" s="35" t="n">
        <f aca="false">INDEX(Parametros_ANEC73!$F$4:$F$6,MATCH($C333,Parametros_ANEC73!$A$4:$A$6,0))</f>
        <v>1</v>
      </c>
      <c r="R333" s="35" t="n">
        <f aca="false">INDEX(Parametros_ANEC73!$I$4:$I$6,MATCH($C333,Parametros_ANEC73!$A$4:$A$6,0))</f>
        <v>0</v>
      </c>
      <c r="S333" s="35" t="n">
        <f aca="false">INDEX(Parametros_ANEC73!$L$4:$L$6,MATCH($C333,Parametros_ANEC73!$A$4:$A$6,0))</f>
        <v>0</v>
      </c>
      <c r="T333" s="39" t="n">
        <f aca="false">INDEX(Parametros_ANEC73!$B$14:$B$25,MATCH($B333,Parametros_ANEC73!$A$14:$A$25,0))</f>
        <v>404</v>
      </c>
      <c r="U333" s="40" t="n">
        <f aca="false">IF(OR($D333=0,$G333=""),0,$D333*($T333/100)*($L333*$Q333+$N333*(IF($R333="",$Q333,$R333)-$Q333)+$P333*(IF($S333="",IF($R333="",$Q333,$R333),$S333)-IF($R333="",$Q333,$R333))))</f>
        <v>0</v>
      </c>
      <c r="V333" s="41" t="str">
        <f aca="false">IF(OR($D333=0,$G333=""),"",IF($H333*($E333-INDEX(Parametros_ANEC73!$M$4:$M$6,MATCH($C333,Parametros_ANEC73!$A$4:$A$6,0)))&gt;0,"Sim","Nao"))</f>
        <v/>
      </c>
      <c r="W333" s="27" t="str">
        <f aca="false">$A333&amp;"|"&amp;$B333&amp;"|"&amp;$C333</f>
        <v>Olfar|Mar|Umidade</v>
      </c>
    </row>
    <row r="334" customFormat="false" ht="15" hidden="false" customHeight="false" outlineLevel="0" collapsed="false">
      <c r="A334" s="27" t="s">
        <v>48</v>
      </c>
      <c r="B334" s="27" t="s">
        <v>60</v>
      </c>
      <c r="C334" s="27" t="s">
        <v>111</v>
      </c>
      <c r="D334" s="34" t="n">
        <f aca="false">SUMIFS(Media_Cliente_Mes!$C$2:$C$145,Media_Cliente_Mes!$A$2:$A$145,$A334,Media_Cliente_Mes!$B$2:$B$145,$B334)</f>
        <v>0</v>
      </c>
      <c r="E334" s="35" t="str">
        <f aca="false">IF($D334=0,"",IF($C334="Proteina",SUMIFS(Media_Cliente_Mes!$D$2:$D$145,Media_Cliente_Mes!$A$2:$A$145,$A334,Media_Cliente_Mes!$B$2:$B$145,$B334),IF($C334="Umidade",SUMIFS(Media_Cliente_Mes!$E$2:$E$145,Media_Cliente_Mes!$A$2:$A$145,$A334,Media_Cliente_Mes!$B$2:$B$145,$B334),SUMIFS(Media_Cliente_Mes!$F$2:$F$145,Media_Cliente_Mes!$A$2:$A$145,$A334,Media_Cliente_Mes!$B$2:$B$145,$B334))))</f>
        <v/>
      </c>
      <c r="F334" s="35" t="n">
        <f aca="false">INDEX(Parametros_ANEC73!$C$4:$C$6,MATCH($C334,Parametros_ANEC73!$A$4:$A$6,0))</f>
        <v>3.5</v>
      </c>
      <c r="G334" s="35" t="n">
        <f aca="false">IF($C334="Proteina",INDEX(Media_Pool_Mes!$C$2:$C$13,MATCH($B334,Media_Pool_Mes!$A$2:$A$13,0)),IF($C334="Umidade",INDEX(Media_Pool_Mes!$D$2:$D$13,MATCH($B334,Media_Pool_Mes!$A$2:$A$13,0)),INDEX(Media_Pool_Mes!$E$2:$E$13,MATCH($B334,Media_Pool_Mes!$A$2:$A$13,0))))</f>
        <v>3.70596068520473</v>
      </c>
      <c r="H334" s="37" t="n">
        <f aca="false">INDEX(Parametros_ANEC73!$B$4:$B$6,MATCH($C334,Parametros_ANEC73!$A$4:$A$6,0))</f>
        <v>1</v>
      </c>
      <c r="I334" s="38" t="str">
        <f aca="false">IF(OR($D334=0,$G334=""),"",IF($H334*($G334-$F334)&gt;0,$G334,$F334))</f>
        <v/>
      </c>
      <c r="J334" s="27" t="str">
        <f aca="false">IF(OR($D334=0,$G334=""),"",IF($H334*($G334-$F334)&gt;0,"Sim","Nao"))</f>
        <v/>
      </c>
      <c r="K334" s="27" t="str">
        <f aca="false">IF(OR($D334=0,$G334=""),"",IF(AND($H334*($E334-$F334)&gt;0,$H334*($E334-$G334)&gt;0),"Sim","Nao"))</f>
        <v/>
      </c>
      <c r="L334" s="38" t="n">
        <f aca="false">IF(OR($D334=0,$G334=""),0,IF($K334="Sim",MAX(0,$H334*($E334-$I334)),0))</f>
        <v>0</v>
      </c>
      <c r="M334" s="35" t="n">
        <f aca="false">INDEX(Parametros_ANEC73!$G$4:$G$6,MATCH($C334,Parametros_ANEC73!$A$4:$A$6,0))</f>
        <v>3.8</v>
      </c>
      <c r="N334" s="38" t="n">
        <f aca="false">IF(OR($D334=0,$G334=""),0,IF(AND($K334="Sim",$M334&lt;&gt;""),MAX(0,$H334*($E334-$M334)),0))</f>
        <v>0</v>
      </c>
      <c r="O334" s="35" t="n">
        <f aca="false">INDEX(Parametros_ANEC73!$J$4:$J$6,MATCH($C334,Parametros_ANEC73!$A$4:$A$6,0))</f>
        <v>4</v>
      </c>
      <c r="P334" s="38" t="n">
        <f aca="false">IF(OR($D334=0,$G334=""),0,IF(AND($K334="Sim",$O334&lt;&gt;""),MAX(0,$H334*($E334-$O334)),0))</f>
        <v>0</v>
      </c>
      <c r="Q334" s="35" t="n">
        <f aca="false">INDEX(Parametros_ANEC73!$F$4:$F$6,MATCH($C334,Parametros_ANEC73!$A$4:$A$6,0))</f>
        <v>1</v>
      </c>
      <c r="R334" s="35" t="n">
        <f aca="false">INDEX(Parametros_ANEC73!$I$4:$I$6,MATCH($C334,Parametros_ANEC73!$A$4:$A$6,0))</f>
        <v>1.5</v>
      </c>
      <c r="S334" s="35" t="n">
        <f aca="false">INDEX(Parametros_ANEC73!$L$4:$L$6,MATCH($C334,Parametros_ANEC73!$A$4:$A$6,0))</f>
        <v>2</v>
      </c>
      <c r="T334" s="39" t="n">
        <f aca="false">INDEX(Parametros_ANEC73!$B$14:$B$25,MATCH($B334,Parametros_ANEC73!$A$14:$A$25,0))</f>
        <v>404</v>
      </c>
      <c r="U334" s="40" t="n">
        <f aca="false">IF(OR($D334=0,$G334=""),0,$D334*($T334/100)*($L334*$Q334+$N334*(IF($R334="",$Q334,$R334)-$Q334)+$P334*(IF($S334="",IF($R334="",$Q334,$R334),$S334)-IF($R334="",$Q334,$R334))))</f>
        <v>0</v>
      </c>
      <c r="V334" s="41" t="str">
        <f aca="false">IF(OR($D334=0,$G334=""),"",IF($H334*($E334-INDEX(Parametros_ANEC73!$M$4:$M$6,MATCH($C334,Parametros_ANEC73!$A$4:$A$6,0)))&gt;0,"Sim","Nao"))</f>
        <v/>
      </c>
      <c r="W334" s="27" t="str">
        <f aca="false">$A334&amp;"|"&amp;$B334&amp;"|"&amp;$C334</f>
        <v>Olfar|Mar|Fibra</v>
      </c>
    </row>
    <row r="335" customFormat="false" ht="15" hidden="false" customHeight="false" outlineLevel="0" collapsed="false">
      <c r="A335" s="27" t="s">
        <v>48</v>
      </c>
      <c r="B335" s="27" t="s">
        <v>61</v>
      </c>
      <c r="C335" s="27" t="s">
        <v>109</v>
      </c>
      <c r="D335" s="34" t="n">
        <f aca="false">SUMIFS(Media_Cliente_Mes!$C$2:$C$145,Media_Cliente_Mes!$A$2:$A$145,$A335,Media_Cliente_Mes!$B$2:$B$145,$B335)</f>
        <v>0</v>
      </c>
      <c r="E335" s="35" t="str">
        <f aca="false">IF($D335=0,"",IF($C335="Proteina",SUMIFS(Media_Cliente_Mes!$D$2:$D$145,Media_Cliente_Mes!$A$2:$A$145,$A335,Media_Cliente_Mes!$B$2:$B$145,$B335),IF($C335="Umidade",SUMIFS(Media_Cliente_Mes!$E$2:$E$145,Media_Cliente_Mes!$A$2:$A$145,$A335,Media_Cliente_Mes!$B$2:$B$145,$B335),SUMIFS(Media_Cliente_Mes!$F$2:$F$145,Media_Cliente_Mes!$A$2:$A$145,$A335,Media_Cliente_Mes!$B$2:$B$145,$B335))))</f>
        <v/>
      </c>
      <c r="F335" s="35" t="n">
        <f aca="false">INDEX(Parametros_ANEC73!$C$4:$C$6,MATCH($C335,Parametros_ANEC73!$A$4:$A$6,0))</f>
        <v>48</v>
      </c>
      <c r="G335" s="35" t="n">
        <f aca="false">IF($C335="Proteina",INDEX(Media_Pool_Mes!$C$2:$C$13,MATCH($B335,Media_Pool_Mes!$A$2:$A$13,0)),IF($C335="Umidade",INDEX(Media_Pool_Mes!$D$2:$D$13,MATCH($B335,Media_Pool_Mes!$A$2:$A$13,0)),INDEX(Media_Pool_Mes!$E$2:$E$13,MATCH($B335,Media_Pool_Mes!$A$2:$A$13,0))))</f>
        <v>47.5395057496784</v>
      </c>
      <c r="H335" s="37" t="n">
        <f aca="false">INDEX(Parametros_ANEC73!$B$4:$B$6,MATCH($C335,Parametros_ANEC73!$A$4:$A$6,0))</f>
        <v>-1</v>
      </c>
      <c r="I335" s="38" t="str">
        <f aca="false">IF(OR($D335=0,$G335=""),"",IF($H335*($G335-$F335)&gt;0,$G335,$F335))</f>
        <v/>
      </c>
      <c r="J335" s="27" t="str">
        <f aca="false">IF(OR($D335=0,$G335=""),"",IF($H335*($G335-$F335)&gt;0,"Sim","Nao"))</f>
        <v/>
      </c>
      <c r="K335" s="27" t="str">
        <f aca="false">IF(OR($D335=0,$G335=""),"",IF(AND($H335*($E335-$F335)&gt;0,$H335*($E335-$G335)&gt;0),"Sim","Nao"))</f>
        <v/>
      </c>
      <c r="L335" s="38" t="n">
        <f aca="false">IF(OR($D335=0,$G335=""),0,IF($K335="Sim",MAX(0,$H335*($E335-$I335)),0))</f>
        <v>0</v>
      </c>
      <c r="M335" s="35" t="n">
        <f aca="false">INDEX(Parametros_ANEC73!$G$4:$G$6,MATCH($C335,Parametros_ANEC73!$A$4:$A$6,0))</f>
        <v>47</v>
      </c>
      <c r="N335" s="38" t="n">
        <f aca="false">IF(OR($D335=0,$G335=""),0,IF(AND($K335="Sim",$M335&lt;&gt;""),MAX(0,$H335*($E335-$M335)),0))</f>
        <v>0</v>
      </c>
      <c r="O335" s="35" t="n">
        <f aca="false">INDEX(Parametros_ANEC73!$J$4:$J$6,MATCH($C335,Parametros_ANEC73!$A$4:$A$6,0))</f>
        <v>0</v>
      </c>
      <c r="P335" s="38" t="n">
        <f aca="false">IF(OR($D335=0,$G335=""),0,IF(AND($K335="Sim",$O335&lt;&gt;""),MAX(0,$H335*($E335-$O335)),0))</f>
        <v>0</v>
      </c>
      <c r="Q335" s="35" t="n">
        <f aca="false">INDEX(Parametros_ANEC73!$F$4:$F$6,MATCH($C335,Parametros_ANEC73!$A$4:$A$6,0))</f>
        <v>1</v>
      </c>
      <c r="R335" s="35" t="n">
        <f aca="false">INDEX(Parametros_ANEC73!$I$4:$I$6,MATCH($C335,Parametros_ANEC73!$A$4:$A$6,0))</f>
        <v>2</v>
      </c>
      <c r="S335" s="35" t="n">
        <f aca="false">INDEX(Parametros_ANEC73!$L$4:$L$6,MATCH($C335,Parametros_ANEC73!$A$4:$A$6,0))</f>
        <v>0</v>
      </c>
      <c r="T335" s="39" t="n">
        <f aca="false">INDEX(Parametros_ANEC73!$B$14:$B$25,MATCH($B335,Parametros_ANEC73!$A$14:$A$25,0))</f>
        <v>415</v>
      </c>
      <c r="U335" s="40" t="n">
        <f aca="false">IF(OR($D335=0,$G335=""),0,$D335*($T335/100)*($L335*$Q335+$N335*(IF($R335="",$Q335,$R335)-$Q335)+$P335*(IF($S335="",IF($R335="",$Q335,$R335),$S335)-IF($R335="",$Q335,$R335))))</f>
        <v>0</v>
      </c>
      <c r="V335" s="41" t="str">
        <f aca="false">IF(OR($D335=0,$G335=""),"",IF($H335*($E335-INDEX(Parametros_ANEC73!$M$4:$M$6,MATCH($C335,Parametros_ANEC73!$A$4:$A$6,0)))&gt;0,"Sim","Nao"))</f>
        <v/>
      </c>
      <c r="W335" s="27" t="str">
        <f aca="false">$A335&amp;"|"&amp;$B335&amp;"|"&amp;$C335</f>
        <v>Olfar|Abr|Proteina</v>
      </c>
    </row>
    <row r="336" customFormat="false" ht="15" hidden="false" customHeight="false" outlineLevel="0" collapsed="false">
      <c r="A336" s="27" t="s">
        <v>48</v>
      </c>
      <c r="B336" s="27" t="s">
        <v>61</v>
      </c>
      <c r="C336" s="27" t="s">
        <v>110</v>
      </c>
      <c r="D336" s="34" t="n">
        <f aca="false">SUMIFS(Media_Cliente_Mes!$C$2:$C$145,Media_Cliente_Mes!$A$2:$A$145,$A336,Media_Cliente_Mes!$B$2:$B$145,$B336)</f>
        <v>0</v>
      </c>
      <c r="E336" s="35" t="str">
        <f aca="false">IF($D336=0,"",IF($C336="Proteina",SUMIFS(Media_Cliente_Mes!$D$2:$D$145,Media_Cliente_Mes!$A$2:$A$145,$A336,Media_Cliente_Mes!$B$2:$B$145,$B336),IF($C336="Umidade",SUMIFS(Media_Cliente_Mes!$E$2:$E$145,Media_Cliente_Mes!$A$2:$A$145,$A336,Media_Cliente_Mes!$B$2:$B$145,$B336),SUMIFS(Media_Cliente_Mes!$F$2:$F$145,Media_Cliente_Mes!$A$2:$A$145,$A336,Media_Cliente_Mes!$B$2:$B$145,$B336))))</f>
        <v/>
      </c>
      <c r="F336" s="35" t="n">
        <f aca="false">INDEX(Parametros_ANEC73!$C$4:$C$6,MATCH($C336,Parametros_ANEC73!$A$4:$A$6,0))</f>
        <v>12.5</v>
      </c>
      <c r="G336" s="35" t="n">
        <f aca="false">IF($C336="Proteina",INDEX(Media_Pool_Mes!$C$2:$C$13,MATCH($B336,Media_Pool_Mes!$A$2:$A$13,0)),IF($C336="Umidade",INDEX(Media_Pool_Mes!$D$2:$D$13,MATCH($B336,Media_Pool_Mes!$A$2:$A$13,0)),INDEX(Media_Pool_Mes!$E$2:$E$13,MATCH($B336,Media_Pool_Mes!$A$2:$A$13,0))))</f>
        <v>12.3606134360148</v>
      </c>
      <c r="H336" s="37" t="n">
        <f aca="false">INDEX(Parametros_ANEC73!$B$4:$B$6,MATCH($C336,Parametros_ANEC73!$A$4:$A$6,0))</f>
        <v>1</v>
      </c>
      <c r="I336" s="38" t="str">
        <f aca="false">IF(OR($D336=0,$G336=""),"",IF($H336*($G336-$F336)&gt;0,$G336,$F336))</f>
        <v/>
      </c>
      <c r="J336" s="27" t="str">
        <f aca="false">IF(OR($D336=0,$G336=""),"",IF($H336*($G336-$F336)&gt;0,"Sim","Nao"))</f>
        <v/>
      </c>
      <c r="K336" s="27" t="str">
        <f aca="false">IF(OR($D336=0,$G336=""),"",IF(AND($H336*($E336-$F336)&gt;0,$H336*($E336-$G336)&gt;0),"Sim","Nao"))</f>
        <v/>
      </c>
      <c r="L336" s="38" t="n">
        <f aca="false">IF(OR($D336=0,$G336=""),0,IF($K336="Sim",MAX(0,$H336*($E336-$I336)),0))</f>
        <v>0</v>
      </c>
      <c r="M336" s="35" t="n">
        <f aca="false">INDEX(Parametros_ANEC73!$G$4:$G$6,MATCH($C336,Parametros_ANEC73!$A$4:$A$6,0))</f>
        <v>0</v>
      </c>
      <c r="N336" s="38" t="n">
        <f aca="false">IF(OR($D336=0,$G336=""),0,IF(AND($K336="Sim",$M336&lt;&gt;""),MAX(0,$H336*($E336-$M336)),0))</f>
        <v>0</v>
      </c>
      <c r="O336" s="35" t="n">
        <f aca="false">INDEX(Parametros_ANEC73!$J$4:$J$6,MATCH($C336,Parametros_ANEC73!$A$4:$A$6,0))</f>
        <v>0</v>
      </c>
      <c r="P336" s="38" t="n">
        <f aca="false">IF(OR($D336=0,$G336=""),0,IF(AND($K336="Sim",$O336&lt;&gt;""),MAX(0,$H336*($E336-$O336)),0))</f>
        <v>0</v>
      </c>
      <c r="Q336" s="35" t="n">
        <f aca="false">INDEX(Parametros_ANEC73!$F$4:$F$6,MATCH($C336,Parametros_ANEC73!$A$4:$A$6,0))</f>
        <v>1</v>
      </c>
      <c r="R336" s="35" t="n">
        <f aca="false">INDEX(Parametros_ANEC73!$I$4:$I$6,MATCH($C336,Parametros_ANEC73!$A$4:$A$6,0))</f>
        <v>0</v>
      </c>
      <c r="S336" s="35" t="n">
        <f aca="false">INDEX(Parametros_ANEC73!$L$4:$L$6,MATCH($C336,Parametros_ANEC73!$A$4:$A$6,0))</f>
        <v>0</v>
      </c>
      <c r="T336" s="39" t="n">
        <f aca="false">INDEX(Parametros_ANEC73!$B$14:$B$25,MATCH($B336,Parametros_ANEC73!$A$14:$A$25,0))</f>
        <v>415</v>
      </c>
      <c r="U336" s="40" t="n">
        <f aca="false">IF(OR($D336=0,$G336=""),0,$D336*($T336/100)*($L336*$Q336+$N336*(IF($R336="",$Q336,$R336)-$Q336)+$P336*(IF($S336="",IF($R336="",$Q336,$R336),$S336)-IF($R336="",$Q336,$R336))))</f>
        <v>0</v>
      </c>
      <c r="V336" s="41" t="str">
        <f aca="false">IF(OR($D336=0,$G336=""),"",IF($H336*($E336-INDEX(Parametros_ANEC73!$M$4:$M$6,MATCH($C336,Parametros_ANEC73!$A$4:$A$6,0)))&gt;0,"Sim","Nao"))</f>
        <v/>
      </c>
      <c r="W336" s="27" t="str">
        <f aca="false">$A336&amp;"|"&amp;$B336&amp;"|"&amp;$C336</f>
        <v>Olfar|Abr|Umidade</v>
      </c>
    </row>
    <row r="337" customFormat="false" ht="15" hidden="false" customHeight="false" outlineLevel="0" collapsed="false">
      <c r="A337" s="27" t="s">
        <v>48</v>
      </c>
      <c r="B337" s="27" t="s">
        <v>61</v>
      </c>
      <c r="C337" s="27" t="s">
        <v>111</v>
      </c>
      <c r="D337" s="34" t="n">
        <f aca="false">SUMIFS(Media_Cliente_Mes!$C$2:$C$145,Media_Cliente_Mes!$A$2:$A$145,$A337,Media_Cliente_Mes!$B$2:$B$145,$B337)</f>
        <v>0</v>
      </c>
      <c r="E337" s="35" t="str">
        <f aca="false">IF($D337=0,"",IF($C337="Proteina",SUMIFS(Media_Cliente_Mes!$D$2:$D$145,Media_Cliente_Mes!$A$2:$A$145,$A337,Media_Cliente_Mes!$B$2:$B$145,$B337),IF($C337="Umidade",SUMIFS(Media_Cliente_Mes!$E$2:$E$145,Media_Cliente_Mes!$A$2:$A$145,$A337,Media_Cliente_Mes!$B$2:$B$145,$B337),SUMIFS(Media_Cliente_Mes!$F$2:$F$145,Media_Cliente_Mes!$A$2:$A$145,$A337,Media_Cliente_Mes!$B$2:$B$145,$B337))))</f>
        <v/>
      </c>
      <c r="F337" s="35" t="n">
        <f aca="false">INDEX(Parametros_ANEC73!$C$4:$C$6,MATCH($C337,Parametros_ANEC73!$A$4:$A$6,0))</f>
        <v>3.5</v>
      </c>
      <c r="G337" s="35" t="n">
        <f aca="false">IF($C337="Proteina",INDEX(Media_Pool_Mes!$C$2:$C$13,MATCH($B337,Media_Pool_Mes!$A$2:$A$13,0)),IF($C337="Umidade",INDEX(Media_Pool_Mes!$D$2:$D$13,MATCH($B337,Media_Pool_Mes!$A$2:$A$13,0)),INDEX(Media_Pool_Mes!$E$2:$E$13,MATCH($B337,Media_Pool_Mes!$A$2:$A$13,0))))</f>
        <v>3.66155636815217</v>
      </c>
      <c r="H337" s="37" t="n">
        <f aca="false">INDEX(Parametros_ANEC73!$B$4:$B$6,MATCH($C337,Parametros_ANEC73!$A$4:$A$6,0))</f>
        <v>1</v>
      </c>
      <c r="I337" s="38" t="str">
        <f aca="false">IF(OR($D337=0,$G337=""),"",IF($H337*($G337-$F337)&gt;0,$G337,$F337))</f>
        <v/>
      </c>
      <c r="J337" s="27" t="str">
        <f aca="false">IF(OR($D337=0,$G337=""),"",IF($H337*($G337-$F337)&gt;0,"Sim","Nao"))</f>
        <v/>
      </c>
      <c r="K337" s="27" t="str">
        <f aca="false">IF(OR($D337=0,$G337=""),"",IF(AND($H337*($E337-$F337)&gt;0,$H337*($E337-$G337)&gt;0),"Sim","Nao"))</f>
        <v/>
      </c>
      <c r="L337" s="38" t="n">
        <f aca="false">IF(OR($D337=0,$G337=""),0,IF($K337="Sim",MAX(0,$H337*($E337-$I337)),0))</f>
        <v>0</v>
      </c>
      <c r="M337" s="35" t="n">
        <f aca="false">INDEX(Parametros_ANEC73!$G$4:$G$6,MATCH($C337,Parametros_ANEC73!$A$4:$A$6,0))</f>
        <v>3.8</v>
      </c>
      <c r="N337" s="38" t="n">
        <f aca="false">IF(OR($D337=0,$G337=""),0,IF(AND($K337="Sim",$M337&lt;&gt;""),MAX(0,$H337*($E337-$M337)),0))</f>
        <v>0</v>
      </c>
      <c r="O337" s="35" t="n">
        <f aca="false">INDEX(Parametros_ANEC73!$J$4:$J$6,MATCH($C337,Parametros_ANEC73!$A$4:$A$6,0))</f>
        <v>4</v>
      </c>
      <c r="P337" s="38" t="n">
        <f aca="false">IF(OR($D337=0,$G337=""),0,IF(AND($K337="Sim",$O337&lt;&gt;""),MAX(0,$H337*($E337-$O337)),0))</f>
        <v>0</v>
      </c>
      <c r="Q337" s="35" t="n">
        <f aca="false">INDEX(Parametros_ANEC73!$F$4:$F$6,MATCH($C337,Parametros_ANEC73!$A$4:$A$6,0))</f>
        <v>1</v>
      </c>
      <c r="R337" s="35" t="n">
        <f aca="false">INDEX(Parametros_ANEC73!$I$4:$I$6,MATCH($C337,Parametros_ANEC73!$A$4:$A$6,0))</f>
        <v>1.5</v>
      </c>
      <c r="S337" s="35" t="n">
        <f aca="false">INDEX(Parametros_ANEC73!$L$4:$L$6,MATCH($C337,Parametros_ANEC73!$A$4:$A$6,0))</f>
        <v>2</v>
      </c>
      <c r="T337" s="39" t="n">
        <f aca="false">INDEX(Parametros_ANEC73!$B$14:$B$25,MATCH($B337,Parametros_ANEC73!$A$14:$A$25,0))</f>
        <v>415</v>
      </c>
      <c r="U337" s="40" t="n">
        <f aca="false">IF(OR($D337=0,$G337=""),0,$D337*($T337/100)*($L337*$Q337+$N337*(IF($R337="",$Q337,$R337)-$Q337)+$P337*(IF($S337="",IF($R337="",$Q337,$R337),$S337)-IF($R337="",$Q337,$R337))))</f>
        <v>0</v>
      </c>
      <c r="V337" s="41" t="str">
        <f aca="false">IF(OR($D337=0,$G337=""),"",IF($H337*($E337-INDEX(Parametros_ANEC73!$M$4:$M$6,MATCH($C337,Parametros_ANEC73!$A$4:$A$6,0)))&gt;0,"Sim","Nao"))</f>
        <v/>
      </c>
      <c r="W337" s="27" t="str">
        <f aca="false">$A337&amp;"|"&amp;$B337&amp;"|"&amp;$C337</f>
        <v>Olfar|Abr|Fibra</v>
      </c>
    </row>
    <row r="338" customFormat="false" ht="15" hidden="false" customHeight="false" outlineLevel="0" collapsed="false">
      <c r="A338" s="27" t="s">
        <v>48</v>
      </c>
      <c r="B338" s="27" t="s">
        <v>62</v>
      </c>
      <c r="C338" s="27" t="s">
        <v>109</v>
      </c>
      <c r="D338" s="34" t="n">
        <f aca="false">SUMIFS(Media_Cliente_Mes!$C$2:$C$145,Media_Cliente_Mes!$A$2:$A$145,$A338,Media_Cliente_Mes!$B$2:$B$145,$B338)</f>
        <v>0</v>
      </c>
      <c r="E338" s="35" t="str">
        <f aca="false">IF($D338=0,"",IF($C338="Proteina",SUMIFS(Media_Cliente_Mes!$D$2:$D$145,Media_Cliente_Mes!$A$2:$A$145,$A338,Media_Cliente_Mes!$B$2:$B$145,$B338),IF($C338="Umidade",SUMIFS(Media_Cliente_Mes!$E$2:$E$145,Media_Cliente_Mes!$A$2:$A$145,$A338,Media_Cliente_Mes!$B$2:$B$145,$B338),SUMIFS(Media_Cliente_Mes!$F$2:$F$145,Media_Cliente_Mes!$A$2:$A$145,$A338,Media_Cliente_Mes!$B$2:$B$145,$B338))))</f>
        <v/>
      </c>
      <c r="F338" s="35" t="n">
        <f aca="false">INDEX(Parametros_ANEC73!$C$4:$C$6,MATCH($C338,Parametros_ANEC73!$A$4:$A$6,0))</f>
        <v>48</v>
      </c>
      <c r="G338" s="35" t="n">
        <f aca="false">IF($C338="Proteina",INDEX(Media_Pool_Mes!$C$2:$C$13,MATCH($B338,Media_Pool_Mes!$A$2:$A$13,0)),IF($C338="Umidade",INDEX(Media_Pool_Mes!$D$2:$D$13,MATCH($B338,Media_Pool_Mes!$A$2:$A$13,0)),INDEX(Media_Pool_Mes!$E$2:$E$13,MATCH($B338,Media_Pool_Mes!$A$2:$A$13,0))))</f>
        <v>47.6334614958572</v>
      </c>
      <c r="H338" s="37" t="n">
        <f aca="false">INDEX(Parametros_ANEC73!$B$4:$B$6,MATCH($C338,Parametros_ANEC73!$A$4:$A$6,0))</f>
        <v>-1</v>
      </c>
      <c r="I338" s="38" t="str">
        <f aca="false">IF(OR($D338=0,$G338=""),"",IF($H338*($G338-$F338)&gt;0,$G338,$F338))</f>
        <v/>
      </c>
      <c r="J338" s="27" t="str">
        <f aca="false">IF(OR($D338=0,$G338=""),"",IF($H338*($G338-$F338)&gt;0,"Sim","Nao"))</f>
        <v/>
      </c>
      <c r="K338" s="27" t="str">
        <f aca="false">IF(OR($D338=0,$G338=""),"",IF(AND($H338*($E338-$F338)&gt;0,$H338*($E338-$G338)&gt;0),"Sim","Nao"))</f>
        <v/>
      </c>
      <c r="L338" s="38" t="n">
        <f aca="false">IF(OR($D338=0,$G338=""),0,IF($K338="Sim",MAX(0,$H338*($E338-$I338)),0))</f>
        <v>0</v>
      </c>
      <c r="M338" s="35" t="n">
        <f aca="false">INDEX(Parametros_ANEC73!$G$4:$G$6,MATCH($C338,Parametros_ANEC73!$A$4:$A$6,0))</f>
        <v>47</v>
      </c>
      <c r="N338" s="38" t="n">
        <f aca="false">IF(OR($D338=0,$G338=""),0,IF(AND($K338="Sim",$M338&lt;&gt;""),MAX(0,$H338*($E338-$M338)),0))</f>
        <v>0</v>
      </c>
      <c r="O338" s="35" t="n">
        <f aca="false">INDEX(Parametros_ANEC73!$J$4:$J$6,MATCH($C338,Parametros_ANEC73!$A$4:$A$6,0))</f>
        <v>0</v>
      </c>
      <c r="P338" s="38" t="n">
        <f aca="false">IF(OR($D338=0,$G338=""),0,IF(AND($K338="Sim",$O338&lt;&gt;""),MAX(0,$H338*($E338-$O338)),0))</f>
        <v>0</v>
      </c>
      <c r="Q338" s="35" t="n">
        <f aca="false">INDEX(Parametros_ANEC73!$F$4:$F$6,MATCH($C338,Parametros_ANEC73!$A$4:$A$6,0))</f>
        <v>1</v>
      </c>
      <c r="R338" s="35" t="n">
        <f aca="false">INDEX(Parametros_ANEC73!$I$4:$I$6,MATCH($C338,Parametros_ANEC73!$A$4:$A$6,0))</f>
        <v>2</v>
      </c>
      <c r="S338" s="35" t="n">
        <f aca="false">INDEX(Parametros_ANEC73!$L$4:$L$6,MATCH($C338,Parametros_ANEC73!$A$4:$A$6,0))</f>
        <v>0</v>
      </c>
      <c r="T338" s="39" t="n">
        <f aca="false">INDEX(Parametros_ANEC73!$B$14:$B$25,MATCH($B338,Parametros_ANEC73!$A$14:$A$25,0))</f>
        <v>343</v>
      </c>
      <c r="U338" s="40" t="n">
        <f aca="false">IF(OR($D338=0,$G338=""),0,$D338*($T338/100)*($L338*$Q338+$N338*(IF($R338="",$Q338,$R338)-$Q338)+$P338*(IF($S338="",IF($R338="",$Q338,$R338),$S338)-IF($R338="",$Q338,$R338))))</f>
        <v>0</v>
      </c>
      <c r="V338" s="41" t="str">
        <f aca="false">IF(OR($D338=0,$G338=""),"",IF($H338*($E338-INDEX(Parametros_ANEC73!$M$4:$M$6,MATCH($C338,Parametros_ANEC73!$A$4:$A$6,0)))&gt;0,"Sim","Nao"))</f>
        <v/>
      </c>
      <c r="W338" s="27" t="str">
        <f aca="false">$A338&amp;"|"&amp;$B338&amp;"|"&amp;$C338</f>
        <v>Olfar|Mai|Proteina</v>
      </c>
    </row>
    <row r="339" customFormat="false" ht="15" hidden="false" customHeight="false" outlineLevel="0" collapsed="false">
      <c r="A339" s="27" t="s">
        <v>48</v>
      </c>
      <c r="B339" s="27" t="s">
        <v>62</v>
      </c>
      <c r="C339" s="27" t="s">
        <v>110</v>
      </c>
      <c r="D339" s="34" t="n">
        <f aca="false">SUMIFS(Media_Cliente_Mes!$C$2:$C$145,Media_Cliente_Mes!$A$2:$A$145,$A339,Media_Cliente_Mes!$B$2:$B$145,$B339)</f>
        <v>0</v>
      </c>
      <c r="E339" s="35" t="str">
        <f aca="false">IF($D339=0,"",IF($C339="Proteina",SUMIFS(Media_Cliente_Mes!$D$2:$D$145,Media_Cliente_Mes!$A$2:$A$145,$A339,Media_Cliente_Mes!$B$2:$B$145,$B339),IF($C339="Umidade",SUMIFS(Media_Cliente_Mes!$E$2:$E$145,Media_Cliente_Mes!$A$2:$A$145,$A339,Media_Cliente_Mes!$B$2:$B$145,$B339),SUMIFS(Media_Cliente_Mes!$F$2:$F$145,Media_Cliente_Mes!$A$2:$A$145,$A339,Media_Cliente_Mes!$B$2:$B$145,$B339))))</f>
        <v/>
      </c>
      <c r="F339" s="35" t="n">
        <f aca="false">INDEX(Parametros_ANEC73!$C$4:$C$6,MATCH($C339,Parametros_ANEC73!$A$4:$A$6,0))</f>
        <v>12.5</v>
      </c>
      <c r="G339" s="35" t="n">
        <f aca="false">IF($C339="Proteina",INDEX(Media_Pool_Mes!$C$2:$C$13,MATCH($B339,Media_Pool_Mes!$A$2:$A$13,0)),IF($C339="Umidade",INDEX(Media_Pool_Mes!$D$2:$D$13,MATCH($B339,Media_Pool_Mes!$A$2:$A$13,0)),INDEX(Media_Pool_Mes!$E$2:$E$13,MATCH($B339,Media_Pool_Mes!$A$2:$A$13,0))))</f>
        <v>12.3121752562954</v>
      </c>
      <c r="H339" s="37" t="n">
        <f aca="false">INDEX(Parametros_ANEC73!$B$4:$B$6,MATCH($C339,Parametros_ANEC73!$A$4:$A$6,0))</f>
        <v>1</v>
      </c>
      <c r="I339" s="38" t="str">
        <f aca="false">IF(OR($D339=0,$G339=""),"",IF($H339*($G339-$F339)&gt;0,$G339,$F339))</f>
        <v/>
      </c>
      <c r="J339" s="27" t="str">
        <f aca="false">IF(OR($D339=0,$G339=""),"",IF($H339*($G339-$F339)&gt;0,"Sim","Nao"))</f>
        <v/>
      </c>
      <c r="K339" s="27" t="str">
        <f aca="false">IF(OR($D339=0,$G339=""),"",IF(AND($H339*($E339-$F339)&gt;0,$H339*($E339-$G339)&gt;0),"Sim","Nao"))</f>
        <v/>
      </c>
      <c r="L339" s="38" t="n">
        <f aca="false">IF(OR($D339=0,$G339=""),0,IF($K339="Sim",MAX(0,$H339*($E339-$I339)),0))</f>
        <v>0</v>
      </c>
      <c r="M339" s="35" t="n">
        <f aca="false">INDEX(Parametros_ANEC73!$G$4:$G$6,MATCH($C339,Parametros_ANEC73!$A$4:$A$6,0))</f>
        <v>0</v>
      </c>
      <c r="N339" s="38" t="n">
        <f aca="false">IF(OR($D339=0,$G339=""),0,IF(AND($K339="Sim",$M339&lt;&gt;""),MAX(0,$H339*($E339-$M339)),0))</f>
        <v>0</v>
      </c>
      <c r="O339" s="35" t="n">
        <f aca="false">INDEX(Parametros_ANEC73!$J$4:$J$6,MATCH($C339,Parametros_ANEC73!$A$4:$A$6,0))</f>
        <v>0</v>
      </c>
      <c r="P339" s="38" t="n">
        <f aca="false">IF(OR($D339=0,$G339=""),0,IF(AND($K339="Sim",$O339&lt;&gt;""),MAX(0,$H339*($E339-$O339)),0))</f>
        <v>0</v>
      </c>
      <c r="Q339" s="35" t="n">
        <f aca="false">INDEX(Parametros_ANEC73!$F$4:$F$6,MATCH($C339,Parametros_ANEC73!$A$4:$A$6,0))</f>
        <v>1</v>
      </c>
      <c r="R339" s="35" t="n">
        <f aca="false">INDEX(Parametros_ANEC73!$I$4:$I$6,MATCH($C339,Parametros_ANEC73!$A$4:$A$6,0))</f>
        <v>0</v>
      </c>
      <c r="S339" s="35" t="n">
        <f aca="false">INDEX(Parametros_ANEC73!$L$4:$L$6,MATCH($C339,Parametros_ANEC73!$A$4:$A$6,0))</f>
        <v>0</v>
      </c>
      <c r="T339" s="39" t="n">
        <f aca="false">INDEX(Parametros_ANEC73!$B$14:$B$25,MATCH($B339,Parametros_ANEC73!$A$14:$A$25,0))</f>
        <v>343</v>
      </c>
      <c r="U339" s="40" t="n">
        <f aca="false">IF(OR($D339=0,$G339=""),0,$D339*($T339/100)*($L339*$Q339+$N339*(IF($R339="",$Q339,$R339)-$Q339)+$P339*(IF($S339="",IF($R339="",$Q339,$R339),$S339)-IF($R339="",$Q339,$R339))))</f>
        <v>0</v>
      </c>
      <c r="V339" s="41" t="str">
        <f aca="false">IF(OR($D339=0,$G339=""),"",IF($H339*($E339-INDEX(Parametros_ANEC73!$M$4:$M$6,MATCH($C339,Parametros_ANEC73!$A$4:$A$6,0)))&gt;0,"Sim","Nao"))</f>
        <v/>
      </c>
      <c r="W339" s="27" t="str">
        <f aca="false">$A339&amp;"|"&amp;$B339&amp;"|"&amp;$C339</f>
        <v>Olfar|Mai|Umidade</v>
      </c>
    </row>
    <row r="340" customFormat="false" ht="15" hidden="false" customHeight="false" outlineLevel="0" collapsed="false">
      <c r="A340" s="27" t="s">
        <v>48</v>
      </c>
      <c r="B340" s="27" t="s">
        <v>62</v>
      </c>
      <c r="C340" s="27" t="s">
        <v>111</v>
      </c>
      <c r="D340" s="34" t="n">
        <f aca="false">SUMIFS(Media_Cliente_Mes!$C$2:$C$145,Media_Cliente_Mes!$A$2:$A$145,$A340,Media_Cliente_Mes!$B$2:$B$145,$B340)</f>
        <v>0</v>
      </c>
      <c r="E340" s="35" t="str">
        <f aca="false">IF($D340=0,"",IF($C340="Proteina",SUMIFS(Media_Cliente_Mes!$D$2:$D$145,Media_Cliente_Mes!$A$2:$A$145,$A340,Media_Cliente_Mes!$B$2:$B$145,$B340),IF($C340="Umidade",SUMIFS(Media_Cliente_Mes!$E$2:$E$145,Media_Cliente_Mes!$A$2:$A$145,$A340,Media_Cliente_Mes!$B$2:$B$145,$B340),SUMIFS(Media_Cliente_Mes!$F$2:$F$145,Media_Cliente_Mes!$A$2:$A$145,$A340,Media_Cliente_Mes!$B$2:$B$145,$B340))))</f>
        <v/>
      </c>
      <c r="F340" s="35" t="n">
        <f aca="false">INDEX(Parametros_ANEC73!$C$4:$C$6,MATCH($C340,Parametros_ANEC73!$A$4:$A$6,0))</f>
        <v>3.5</v>
      </c>
      <c r="G340" s="35" t="n">
        <f aca="false">IF($C340="Proteina",INDEX(Media_Pool_Mes!$C$2:$C$13,MATCH($B340,Media_Pool_Mes!$A$2:$A$13,0)),IF($C340="Umidade",INDEX(Media_Pool_Mes!$D$2:$D$13,MATCH($B340,Media_Pool_Mes!$A$2:$A$13,0)),INDEX(Media_Pool_Mes!$E$2:$E$13,MATCH($B340,Media_Pool_Mes!$A$2:$A$13,0))))</f>
        <v>3.64524916105719</v>
      </c>
      <c r="H340" s="37" t="n">
        <f aca="false">INDEX(Parametros_ANEC73!$B$4:$B$6,MATCH($C340,Parametros_ANEC73!$A$4:$A$6,0))</f>
        <v>1</v>
      </c>
      <c r="I340" s="38" t="str">
        <f aca="false">IF(OR($D340=0,$G340=""),"",IF($H340*($G340-$F340)&gt;0,$G340,$F340))</f>
        <v/>
      </c>
      <c r="J340" s="27" t="str">
        <f aca="false">IF(OR($D340=0,$G340=""),"",IF($H340*($G340-$F340)&gt;0,"Sim","Nao"))</f>
        <v/>
      </c>
      <c r="K340" s="27" t="str">
        <f aca="false">IF(OR($D340=0,$G340=""),"",IF(AND($H340*($E340-$F340)&gt;0,$H340*($E340-$G340)&gt;0),"Sim","Nao"))</f>
        <v/>
      </c>
      <c r="L340" s="38" t="n">
        <f aca="false">IF(OR($D340=0,$G340=""),0,IF($K340="Sim",MAX(0,$H340*($E340-$I340)),0))</f>
        <v>0</v>
      </c>
      <c r="M340" s="35" t="n">
        <f aca="false">INDEX(Parametros_ANEC73!$G$4:$G$6,MATCH($C340,Parametros_ANEC73!$A$4:$A$6,0))</f>
        <v>3.8</v>
      </c>
      <c r="N340" s="38" t="n">
        <f aca="false">IF(OR($D340=0,$G340=""),0,IF(AND($K340="Sim",$M340&lt;&gt;""),MAX(0,$H340*($E340-$M340)),0))</f>
        <v>0</v>
      </c>
      <c r="O340" s="35" t="n">
        <f aca="false">INDEX(Parametros_ANEC73!$J$4:$J$6,MATCH($C340,Parametros_ANEC73!$A$4:$A$6,0))</f>
        <v>4</v>
      </c>
      <c r="P340" s="38" t="n">
        <f aca="false">IF(OR($D340=0,$G340=""),0,IF(AND($K340="Sim",$O340&lt;&gt;""),MAX(0,$H340*($E340-$O340)),0))</f>
        <v>0</v>
      </c>
      <c r="Q340" s="35" t="n">
        <f aca="false">INDEX(Parametros_ANEC73!$F$4:$F$6,MATCH($C340,Parametros_ANEC73!$A$4:$A$6,0))</f>
        <v>1</v>
      </c>
      <c r="R340" s="35" t="n">
        <f aca="false">INDEX(Parametros_ANEC73!$I$4:$I$6,MATCH($C340,Parametros_ANEC73!$A$4:$A$6,0))</f>
        <v>1.5</v>
      </c>
      <c r="S340" s="35" t="n">
        <f aca="false">INDEX(Parametros_ANEC73!$L$4:$L$6,MATCH($C340,Parametros_ANEC73!$A$4:$A$6,0))</f>
        <v>2</v>
      </c>
      <c r="T340" s="39" t="n">
        <f aca="false">INDEX(Parametros_ANEC73!$B$14:$B$25,MATCH($B340,Parametros_ANEC73!$A$14:$A$25,0))</f>
        <v>343</v>
      </c>
      <c r="U340" s="40" t="n">
        <f aca="false">IF(OR($D340=0,$G340=""),0,$D340*($T340/100)*($L340*$Q340+$N340*(IF($R340="",$Q340,$R340)-$Q340)+$P340*(IF($S340="",IF($R340="",$Q340,$R340),$S340)-IF($R340="",$Q340,$R340))))</f>
        <v>0</v>
      </c>
      <c r="V340" s="41" t="str">
        <f aca="false">IF(OR($D340=0,$G340=""),"",IF($H340*($E340-INDEX(Parametros_ANEC73!$M$4:$M$6,MATCH($C340,Parametros_ANEC73!$A$4:$A$6,0)))&gt;0,"Sim","Nao"))</f>
        <v/>
      </c>
      <c r="W340" s="27" t="str">
        <f aca="false">$A340&amp;"|"&amp;$B340&amp;"|"&amp;$C340</f>
        <v>Olfar|Mai|Fibra</v>
      </c>
    </row>
    <row r="341" customFormat="false" ht="15" hidden="false" customHeight="false" outlineLevel="0" collapsed="false">
      <c r="A341" s="27" t="s">
        <v>48</v>
      </c>
      <c r="B341" s="27" t="s">
        <v>63</v>
      </c>
      <c r="C341" s="27" t="s">
        <v>109</v>
      </c>
      <c r="D341" s="34" t="n">
        <f aca="false">SUMIFS(Media_Cliente_Mes!$C$2:$C$145,Media_Cliente_Mes!$A$2:$A$145,$A341,Media_Cliente_Mes!$B$2:$B$145,$B341)</f>
        <v>0</v>
      </c>
      <c r="E341" s="35" t="str">
        <f aca="false">IF($D341=0,"",IF($C341="Proteina",SUMIFS(Media_Cliente_Mes!$D$2:$D$145,Media_Cliente_Mes!$A$2:$A$145,$A341,Media_Cliente_Mes!$B$2:$B$145,$B341),IF($C341="Umidade",SUMIFS(Media_Cliente_Mes!$E$2:$E$145,Media_Cliente_Mes!$A$2:$A$145,$A341,Media_Cliente_Mes!$B$2:$B$145,$B341),SUMIFS(Media_Cliente_Mes!$F$2:$F$145,Media_Cliente_Mes!$A$2:$A$145,$A341,Media_Cliente_Mes!$B$2:$B$145,$B341))))</f>
        <v/>
      </c>
      <c r="F341" s="35" t="n">
        <f aca="false">INDEX(Parametros_ANEC73!$C$4:$C$6,MATCH($C341,Parametros_ANEC73!$A$4:$A$6,0))</f>
        <v>48</v>
      </c>
      <c r="G341" s="35" t="n">
        <f aca="false">IF($C341="Proteina",INDEX(Media_Pool_Mes!$C$2:$C$13,MATCH($B341,Media_Pool_Mes!$A$2:$A$13,0)),IF($C341="Umidade",INDEX(Media_Pool_Mes!$D$2:$D$13,MATCH($B341,Media_Pool_Mes!$A$2:$A$13,0)),INDEX(Media_Pool_Mes!$E$2:$E$13,MATCH($B341,Media_Pool_Mes!$A$2:$A$13,0))))</f>
        <v>47.4834226367413</v>
      </c>
      <c r="H341" s="37" t="n">
        <f aca="false">INDEX(Parametros_ANEC73!$B$4:$B$6,MATCH($C341,Parametros_ANEC73!$A$4:$A$6,0))</f>
        <v>-1</v>
      </c>
      <c r="I341" s="38" t="str">
        <f aca="false">IF(OR($D341=0,$G341=""),"",IF($H341*($G341-$F341)&gt;0,$G341,$F341))</f>
        <v/>
      </c>
      <c r="J341" s="27" t="str">
        <f aca="false">IF(OR($D341=0,$G341=""),"",IF($H341*($G341-$F341)&gt;0,"Sim","Nao"))</f>
        <v/>
      </c>
      <c r="K341" s="27" t="str">
        <f aca="false">IF(OR($D341=0,$G341=""),"",IF(AND($H341*($E341-$F341)&gt;0,$H341*($E341-$G341)&gt;0),"Sim","Nao"))</f>
        <v/>
      </c>
      <c r="L341" s="38" t="n">
        <f aca="false">IF(OR($D341=0,$G341=""),0,IF($K341="Sim",MAX(0,$H341*($E341-$I341)),0))</f>
        <v>0</v>
      </c>
      <c r="M341" s="35" t="n">
        <f aca="false">INDEX(Parametros_ANEC73!$G$4:$G$6,MATCH($C341,Parametros_ANEC73!$A$4:$A$6,0))</f>
        <v>47</v>
      </c>
      <c r="N341" s="38" t="n">
        <f aca="false">IF(OR($D341=0,$G341=""),0,IF(AND($K341="Sim",$M341&lt;&gt;""),MAX(0,$H341*($E341-$M341)),0))</f>
        <v>0</v>
      </c>
      <c r="O341" s="35" t="n">
        <f aca="false">INDEX(Parametros_ANEC73!$J$4:$J$6,MATCH($C341,Parametros_ANEC73!$A$4:$A$6,0))</f>
        <v>0</v>
      </c>
      <c r="P341" s="38" t="n">
        <f aca="false">IF(OR($D341=0,$G341=""),0,IF(AND($K341="Sim",$O341&lt;&gt;""),MAX(0,$H341*($E341-$O341)),0))</f>
        <v>0</v>
      </c>
      <c r="Q341" s="35" t="n">
        <f aca="false">INDEX(Parametros_ANEC73!$F$4:$F$6,MATCH($C341,Parametros_ANEC73!$A$4:$A$6,0))</f>
        <v>1</v>
      </c>
      <c r="R341" s="35" t="n">
        <f aca="false">INDEX(Parametros_ANEC73!$I$4:$I$6,MATCH($C341,Parametros_ANEC73!$A$4:$A$6,0))</f>
        <v>2</v>
      </c>
      <c r="S341" s="35" t="n">
        <f aca="false">INDEX(Parametros_ANEC73!$L$4:$L$6,MATCH($C341,Parametros_ANEC73!$A$4:$A$6,0))</f>
        <v>0</v>
      </c>
      <c r="T341" s="39" t="n">
        <f aca="false">INDEX(Parametros_ANEC73!$B$14:$B$25,MATCH($B341,Parametros_ANEC73!$A$14:$A$25,0))</f>
        <v>326</v>
      </c>
      <c r="U341" s="40" t="n">
        <f aca="false">IF(OR($D341=0,$G341=""),0,$D341*($T341/100)*($L341*$Q341+$N341*(IF($R341="",$Q341,$R341)-$Q341)+$P341*(IF($S341="",IF($R341="",$Q341,$R341),$S341)-IF($R341="",$Q341,$R341))))</f>
        <v>0</v>
      </c>
      <c r="V341" s="41" t="str">
        <f aca="false">IF(OR($D341=0,$G341=""),"",IF($H341*($E341-INDEX(Parametros_ANEC73!$M$4:$M$6,MATCH($C341,Parametros_ANEC73!$A$4:$A$6,0)))&gt;0,"Sim","Nao"))</f>
        <v/>
      </c>
      <c r="W341" s="27" t="str">
        <f aca="false">$A341&amp;"|"&amp;$B341&amp;"|"&amp;$C341</f>
        <v>Olfar|Jun|Proteina</v>
      </c>
    </row>
    <row r="342" customFormat="false" ht="15" hidden="false" customHeight="false" outlineLevel="0" collapsed="false">
      <c r="A342" s="27" t="s">
        <v>48</v>
      </c>
      <c r="B342" s="27" t="s">
        <v>63</v>
      </c>
      <c r="C342" s="27" t="s">
        <v>110</v>
      </c>
      <c r="D342" s="34" t="n">
        <f aca="false">SUMIFS(Media_Cliente_Mes!$C$2:$C$145,Media_Cliente_Mes!$A$2:$A$145,$A342,Media_Cliente_Mes!$B$2:$B$145,$B342)</f>
        <v>0</v>
      </c>
      <c r="E342" s="35" t="str">
        <f aca="false">IF($D342=0,"",IF($C342="Proteina",SUMIFS(Media_Cliente_Mes!$D$2:$D$145,Media_Cliente_Mes!$A$2:$A$145,$A342,Media_Cliente_Mes!$B$2:$B$145,$B342),IF($C342="Umidade",SUMIFS(Media_Cliente_Mes!$E$2:$E$145,Media_Cliente_Mes!$A$2:$A$145,$A342,Media_Cliente_Mes!$B$2:$B$145,$B342),SUMIFS(Media_Cliente_Mes!$F$2:$F$145,Media_Cliente_Mes!$A$2:$A$145,$A342,Media_Cliente_Mes!$B$2:$B$145,$B342))))</f>
        <v/>
      </c>
      <c r="F342" s="35" t="n">
        <f aca="false">INDEX(Parametros_ANEC73!$C$4:$C$6,MATCH($C342,Parametros_ANEC73!$A$4:$A$6,0))</f>
        <v>12.5</v>
      </c>
      <c r="G342" s="35" t="n">
        <f aca="false">IF($C342="Proteina",INDEX(Media_Pool_Mes!$C$2:$C$13,MATCH($B342,Media_Pool_Mes!$A$2:$A$13,0)),IF($C342="Umidade",INDEX(Media_Pool_Mes!$D$2:$D$13,MATCH($B342,Media_Pool_Mes!$A$2:$A$13,0)),INDEX(Media_Pool_Mes!$E$2:$E$13,MATCH($B342,Media_Pool_Mes!$A$2:$A$13,0))))</f>
        <v>12.6225093779221</v>
      </c>
      <c r="H342" s="37" t="n">
        <f aca="false">INDEX(Parametros_ANEC73!$B$4:$B$6,MATCH($C342,Parametros_ANEC73!$A$4:$A$6,0))</f>
        <v>1</v>
      </c>
      <c r="I342" s="38" t="str">
        <f aca="false">IF(OR($D342=0,$G342=""),"",IF($H342*($G342-$F342)&gt;0,$G342,$F342))</f>
        <v/>
      </c>
      <c r="J342" s="27" t="str">
        <f aca="false">IF(OR($D342=0,$G342=""),"",IF($H342*($G342-$F342)&gt;0,"Sim","Nao"))</f>
        <v/>
      </c>
      <c r="K342" s="27" t="str">
        <f aca="false">IF(OR($D342=0,$G342=""),"",IF(AND($H342*($E342-$F342)&gt;0,$H342*($E342-$G342)&gt;0),"Sim","Nao"))</f>
        <v/>
      </c>
      <c r="L342" s="38" t="n">
        <f aca="false">IF(OR($D342=0,$G342=""),0,IF($K342="Sim",MAX(0,$H342*($E342-$I342)),0))</f>
        <v>0</v>
      </c>
      <c r="M342" s="35" t="n">
        <f aca="false">INDEX(Parametros_ANEC73!$G$4:$G$6,MATCH($C342,Parametros_ANEC73!$A$4:$A$6,0))</f>
        <v>0</v>
      </c>
      <c r="N342" s="38" t="n">
        <f aca="false">IF(OR($D342=0,$G342=""),0,IF(AND($K342="Sim",$M342&lt;&gt;""),MAX(0,$H342*($E342-$M342)),0))</f>
        <v>0</v>
      </c>
      <c r="O342" s="35" t="n">
        <f aca="false">INDEX(Parametros_ANEC73!$J$4:$J$6,MATCH($C342,Parametros_ANEC73!$A$4:$A$6,0))</f>
        <v>0</v>
      </c>
      <c r="P342" s="38" t="n">
        <f aca="false">IF(OR($D342=0,$G342=""),0,IF(AND($K342="Sim",$O342&lt;&gt;""),MAX(0,$H342*($E342-$O342)),0))</f>
        <v>0</v>
      </c>
      <c r="Q342" s="35" t="n">
        <f aca="false">INDEX(Parametros_ANEC73!$F$4:$F$6,MATCH($C342,Parametros_ANEC73!$A$4:$A$6,0))</f>
        <v>1</v>
      </c>
      <c r="R342" s="35" t="n">
        <f aca="false">INDEX(Parametros_ANEC73!$I$4:$I$6,MATCH($C342,Parametros_ANEC73!$A$4:$A$6,0))</f>
        <v>0</v>
      </c>
      <c r="S342" s="35" t="n">
        <f aca="false">INDEX(Parametros_ANEC73!$L$4:$L$6,MATCH($C342,Parametros_ANEC73!$A$4:$A$6,0))</f>
        <v>0</v>
      </c>
      <c r="T342" s="39" t="n">
        <f aca="false">INDEX(Parametros_ANEC73!$B$14:$B$25,MATCH($B342,Parametros_ANEC73!$A$14:$A$25,0))</f>
        <v>326</v>
      </c>
      <c r="U342" s="40" t="n">
        <f aca="false">IF(OR($D342=0,$G342=""),0,$D342*($T342/100)*($L342*$Q342+$N342*(IF($R342="",$Q342,$R342)-$Q342)+$P342*(IF($S342="",IF($R342="",$Q342,$R342),$S342)-IF($R342="",$Q342,$R342))))</f>
        <v>0</v>
      </c>
      <c r="V342" s="41" t="str">
        <f aca="false">IF(OR($D342=0,$G342=""),"",IF($H342*($E342-INDEX(Parametros_ANEC73!$M$4:$M$6,MATCH($C342,Parametros_ANEC73!$A$4:$A$6,0)))&gt;0,"Sim","Nao"))</f>
        <v/>
      </c>
      <c r="W342" s="27" t="str">
        <f aca="false">$A342&amp;"|"&amp;$B342&amp;"|"&amp;$C342</f>
        <v>Olfar|Jun|Umidade</v>
      </c>
    </row>
    <row r="343" customFormat="false" ht="15" hidden="false" customHeight="false" outlineLevel="0" collapsed="false">
      <c r="A343" s="27" t="s">
        <v>48</v>
      </c>
      <c r="B343" s="27" t="s">
        <v>63</v>
      </c>
      <c r="C343" s="27" t="s">
        <v>111</v>
      </c>
      <c r="D343" s="34" t="n">
        <f aca="false">SUMIFS(Media_Cliente_Mes!$C$2:$C$145,Media_Cliente_Mes!$A$2:$A$145,$A343,Media_Cliente_Mes!$B$2:$B$145,$B343)</f>
        <v>0</v>
      </c>
      <c r="E343" s="35" t="str">
        <f aca="false">IF($D343=0,"",IF($C343="Proteina",SUMIFS(Media_Cliente_Mes!$D$2:$D$145,Media_Cliente_Mes!$A$2:$A$145,$A343,Media_Cliente_Mes!$B$2:$B$145,$B343),IF($C343="Umidade",SUMIFS(Media_Cliente_Mes!$E$2:$E$145,Media_Cliente_Mes!$A$2:$A$145,$A343,Media_Cliente_Mes!$B$2:$B$145,$B343),SUMIFS(Media_Cliente_Mes!$F$2:$F$145,Media_Cliente_Mes!$A$2:$A$145,$A343,Media_Cliente_Mes!$B$2:$B$145,$B343))))</f>
        <v/>
      </c>
      <c r="F343" s="35" t="n">
        <f aca="false">INDEX(Parametros_ANEC73!$C$4:$C$6,MATCH($C343,Parametros_ANEC73!$A$4:$A$6,0))</f>
        <v>3.5</v>
      </c>
      <c r="G343" s="35" t="n">
        <f aca="false">IF($C343="Proteina",INDEX(Media_Pool_Mes!$C$2:$C$13,MATCH($B343,Media_Pool_Mes!$A$2:$A$13,0)),IF($C343="Umidade",INDEX(Media_Pool_Mes!$D$2:$D$13,MATCH($B343,Media_Pool_Mes!$A$2:$A$13,0)),INDEX(Media_Pool_Mes!$E$2:$E$13,MATCH($B343,Media_Pool_Mes!$A$2:$A$13,0))))</f>
        <v>3.72652113613862</v>
      </c>
      <c r="H343" s="37" t="n">
        <f aca="false">INDEX(Parametros_ANEC73!$B$4:$B$6,MATCH($C343,Parametros_ANEC73!$A$4:$A$6,0))</f>
        <v>1</v>
      </c>
      <c r="I343" s="38" t="str">
        <f aca="false">IF(OR($D343=0,$G343=""),"",IF($H343*($G343-$F343)&gt;0,$G343,$F343))</f>
        <v/>
      </c>
      <c r="J343" s="27" t="str">
        <f aca="false">IF(OR($D343=0,$G343=""),"",IF($H343*($G343-$F343)&gt;0,"Sim","Nao"))</f>
        <v/>
      </c>
      <c r="K343" s="27" t="str">
        <f aca="false">IF(OR($D343=0,$G343=""),"",IF(AND($H343*($E343-$F343)&gt;0,$H343*($E343-$G343)&gt;0),"Sim","Nao"))</f>
        <v/>
      </c>
      <c r="L343" s="38" t="n">
        <f aca="false">IF(OR($D343=0,$G343=""),0,IF($K343="Sim",MAX(0,$H343*($E343-$I343)),0))</f>
        <v>0</v>
      </c>
      <c r="M343" s="35" t="n">
        <f aca="false">INDEX(Parametros_ANEC73!$G$4:$G$6,MATCH($C343,Parametros_ANEC73!$A$4:$A$6,0))</f>
        <v>3.8</v>
      </c>
      <c r="N343" s="38" t="n">
        <f aca="false">IF(OR($D343=0,$G343=""),0,IF(AND($K343="Sim",$M343&lt;&gt;""),MAX(0,$H343*($E343-$M343)),0))</f>
        <v>0</v>
      </c>
      <c r="O343" s="35" t="n">
        <f aca="false">INDEX(Parametros_ANEC73!$J$4:$J$6,MATCH($C343,Parametros_ANEC73!$A$4:$A$6,0))</f>
        <v>4</v>
      </c>
      <c r="P343" s="38" t="n">
        <f aca="false">IF(OR($D343=0,$G343=""),0,IF(AND($K343="Sim",$O343&lt;&gt;""),MAX(0,$H343*($E343-$O343)),0))</f>
        <v>0</v>
      </c>
      <c r="Q343" s="35" t="n">
        <f aca="false">INDEX(Parametros_ANEC73!$F$4:$F$6,MATCH($C343,Parametros_ANEC73!$A$4:$A$6,0))</f>
        <v>1</v>
      </c>
      <c r="R343" s="35" t="n">
        <f aca="false">INDEX(Parametros_ANEC73!$I$4:$I$6,MATCH($C343,Parametros_ANEC73!$A$4:$A$6,0))</f>
        <v>1.5</v>
      </c>
      <c r="S343" s="35" t="n">
        <f aca="false">INDEX(Parametros_ANEC73!$L$4:$L$6,MATCH($C343,Parametros_ANEC73!$A$4:$A$6,0))</f>
        <v>2</v>
      </c>
      <c r="T343" s="39" t="n">
        <f aca="false">INDEX(Parametros_ANEC73!$B$14:$B$25,MATCH($B343,Parametros_ANEC73!$A$14:$A$25,0))</f>
        <v>326</v>
      </c>
      <c r="U343" s="40" t="n">
        <f aca="false">IF(OR($D343=0,$G343=""),0,$D343*($T343/100)*($L343*$Q343+$N343*(IF($R343="",$Q343,$R343)-$Q343)+$P343*(IF($S343="",IF($R343="",$Q343,$R343),$S343)-IF($R343="",$Q343,$R343))))</f>
        <v>0</v>
      </c>
      <c r="V343" s="41" t="str">
        <f aca="false">IF(OR($D343=0,$G343=""),"",IF($H343*($E343-INDEX(Parametros_ANEC73!$M$4:$M$6,MATCH($C343,Parametros_ANEC73!$A$4:$A$6,0)))&gt;0,"Sim","Nao"))</f>
        <v/>
      </c>
      <c r="W343" s="27" t="str">
        <f aca="false">$A343&amp;"|"&amp;$B343&amp;"|"&amp;$C343</f>
        <v>Olfar|Jun|Fibra</v>
      </c>
    </row>
    <row r="344" customFormat="false" ht="15" hidden="false" customHeight="false" outlineLevel="0" collapsed="false">
      <c r="A344" s="27" t="s">
        <v>48</v>
      </c>
      <c r="B344" s="27" t="s">
        <v>64</v>
      </c>
      <c r="C344" s="27" t="s">
        <v>109</v>
      </c>
      <c r="D344" s="34" t="n">
        <f aca="false">SUMIFS(Media_Cliente_Mes!$C$2:$C$145,Media_Cliente_Mes!$A$2:$A$145,$A344,Media_Cliente_Mes!$B$2:$B$145,$B344)</f>
        <v>55089.56</v>
      </c>
      <c r="E344" s="35" t="n">
        <f aca="false">IF($D344=0,"",IF($C344="Proteina",SUMIFS(Media_Cliente_Mes!$D$2:$D$145,Media_Cliente_Mes!$A$2:$A$145,$A344,Media_Cliente_Mes!$B$2:$B$145,$B344),IF($C344="Umidade",SUMIFS(Media_Cliente_Mes!$E$2:$E$145,Media_Cliente_Mes!$A$2:$A$145,$A344,Media_Cliente_Mes!$B$2:$B$145,$B344),SUMIFS(Media_Cliente_Mes!$F$2:$F$145,Media_Cliente_Mes!$A$2:$A$145,$A344,Media_Cliente_Mes!$B$2:$B$145,$B344))))</f>
        <v>48.1625710933251</v>
      </c>
      <c r="F344" s="35" t="n">
        <f aca="false">INDEX(Parametros_ANEC73!$C$4:$C$6,MATCH($C344,Parametros_ANEC73!$A$4:$A$6,0))</f>
        <v>48</v>
      </c>
      <c r="G344" s="35" t="n">
        <f aca="false">IF($C344="Proteina",INDEX(Media_Pool_Mes!$C$2:$C$13,MATCH($B344,Media_Pool_Mes!$A$2:$A$13,0)),IF($C344="Umidade",INDEX(Media_Pool_Mes!$D$2:$D$13,MATCH($B344,Media_Pool_Mes!$A$2:$A$13,0)),INDEX(Media_Pool_Mes!$E$2:$E$13,MATCH($B344,Media_Pool_Mes!$A$2:$A$13,0))))</f>
        <v>47.6816680231132</v>
      </c>
      <c r="H344" s="37" t="n">
        <f aca="false">INDEX(Parametros_ANEC73!$B$4:$B$6,MATCH($C344,Parametros_ANEC73!$A$4:$A$6,0))</f>
        <v>-1</v>
      </c>
      <c r="I344" s="38" t="n">
        <f aca="false">IF(OR($D344=0,$G344=""),"",IF($H344*($G344-$F344)&gt;0,$G344,$F344))</f>
        <v>47.6816680231132</v>
      </c>
      <c r="J344" s="27" t="str">
        <f aca="false">IF(OR($D344=0,$G344=""),"",IF($H344*($G344-$F344)&gt;0,"Sim","Nao"))</f>
        <v>Sim</v>
      </c>
      <c r="K344" s="27" t="str">
        <f aca="false">IF(OR($D344=0,$G344=""),"",IF(AND($H344*($E344-$F344)&gt;0,$H344*($E344-$G344)&gt;0),"Sim","Nao"))</f>
        <v>Nao</v>
      </c>
      <c r="L344" s="38" t="n">
        <f aca="false">IF(OR($D344=0,$G344=""),0,IF($K344="Sim",MAX(0,$H344*($E344-$I344)),0))</f>
        <v>0</v>
      </c>
      <c r="M344" s="35" t="n">
        <f aca="false">INDEX(Parametros_ANEC73!$G$4:$G$6,MATCH($C344,Parametros_ANEC73!$A$4:$A$6,0))</f>
        <v>47</v>
      </c>
      <c r="N344" s="38" t="n">
        <f aca="false">IF(OR($D344=0,$G344=""),0,IF(AND($K344="Sim",$M344&lt;&gt;""),MAX(0,$H344*($E344-$M344)),0))</f>
        <v>0</v>
      </c>
      <c r="O344" s="35" t="n">
        <f aca="false">INDEX(Parametros_ANEC73!$J$4:$J$6,MATCH($C344,Parametros_ANEC73!$A$4:$A$6,0))</f>
        <v>0</v>
      </c>
      <c r="P344" s="38" t="n">
        <f aca="false">IF(OR($D344=0,$G344=""),0,IF(AND($K344="Sim",$O344&lt;&gt;""),MAX(0,$H344*($E344-$O344)),0))</f>
        <v>0</v>
      </c>
      <c r="Q344" s="35" t="n">
        <f aca="false">INDEX(Parametros_ANEC73!$F$4:$F$6,MATCH($C344,Parametros_ANEC73!$A$4:$A$6,0))</f>
        <v>1</v>
      </c>
      <c r="R344" s="35" t="n">
        <f aca="false">INDEX(Parametros_ANEC73!$I$4:$I$6,MATCH($C344,Parametros_ANEC73!$A$4:$A$6,0))</f>
        <v>2</v>
      </c>
      <c r="S344" s="35" t="n">
        <f aca="false">INDEX(Parametros_ANEC73!$L$4:$L$6,MATCH($C344,Parametros_ANEC73!$A$4:$A$6,0))</f>
        <v>0</v>
      </c>
      <c r="T344" s="39" t="n">
        <f aca="false">INDEX(Parametros_ANEC73!$B$14:$B$25,MATCH($B344,Parametros_ANEC73!$A$14:$A$25,0))</f>
        <v>326</v>
      </c>
      <c r="U344" s="40" t="n">
        <f aca="false">IF(OR($D344=0,$G344=""),0,$D344*($T344/100)*($L344*$Q344+$N344*(IF($R344="",$Q344,$R344)-$Q344)+$P344*(IF($S344="",IF($R344="",$Q344,$R344),$S344)-IF($R344="",$Q344,$R344))))</f>
        <v>0</v>
      </c>
      <c r="V344" s="41" t="str">
        <f aca="false">IF(OR($D344=0,$G344=""),"",IF($H344*($E344-INDEX(Parametros_ANEC73!$M$4:$M$6,MATCH($C344,Parametros_ANEC73!$A$4:$A$6,0)))&gt;0,"Sim","Nao"))</f>
        <v>Nao</v>
      </c>
      <c r="W344" s="27" t="str">
        <f aca="false">$A344&amp;"|"&amp;$B344&amp;"|"&amp;$C344</f>
        <v>Olfar|Jul|Proteina</v>
      </c>
    </row>
    <row r="345" customFormat="false" ht="15" hidden="false" customHeight="false" outlineLevel="0" collapsed="false">
      <c r="A345" s="27" t="s">
        <v>48</v>
      </c>
      <c r="B345" s="27" t="s">
        <v>64</v>
      </c>
      <c r="C345" s="27" t="s">
        <v>110</v>
      </c>
      <c r="D345" s="34" t="n">
        <f aca="false">SUMIFS(Media_Cliente_Mes!$C$2:$C$145,Media_Cliente_Mes!$A$2:$A$145,$A345,Media_Cliente_Mes!$B$2:$B$145,$B345)</f>
        <v>55089.56</v>
      </c>
      <c r="E345" s="35" t="n">
        <f aca="false">IF($D345=0,"",IF($C345="Proteina",SUMIFS(Media_Cliente_Mes!$D$2:$D$145,Media_Cliente_Mes!$A$2:$A$145,$A345,Media_Cliente_Mes!$B$2:$B$145,$B345),IF($C345="Umidade",SUMIFS(Media_Cliente_Mes!$E$2:$E$145,Media_Cliente_Mes!$A$2:$A$145,$A345,Media_Cliente_Mes!$B$2:$B$145,$B345),SUMIFS(Media_Cliente_Mes!$F$2:$F$145,Media_Cliente_Mes!$A$2:$A$145,$A345,Media_Cliente_Mes!$B$2:$B$145,$B345))))</f>
        <v>11.2093864245785</v>
      </c>
      <c r="F345" s="35" t="n">
        <f aca="false">INDEX(Parametros_ANEC73!$C$4:$C$6,MATCH($C345,Parametros_ANEC73!$A$4:$A$6,0))</f>
        <v>12.5</v>
      </c>
      <c r="G345" s="35" t="n">
        <f aca="false">IF($C345="Proteina",INDEX(Media_Pool_Mes!$C$2:$C$13,MATCH($B345,Media_Pool_Mes!$A$2:$A$13,0)),IF($C345="Umidade",INDEX(Media_Pool_Mes!$D$2:$D$13,MATCH($B345,Media_Pool_Mes!$A$2:$A$13,0)),INDEX(Media_Pool_Mes!$E$2:$E$13,MATCH($B345,Media_Pool_Mes!$A$2:$A$13,0))))</f>
        <v>12.2356489048309</v>
      </c>
      <c r="H345" s="37" t="n">
        <f aca="false">INDEX(Parametros_ANEC73!$B$4:$B$6,MATCH($C345,Parametros_ANEC73!$A$4:$A$6,0))</f>
        <v>1</v>
      </c>
      <c r="I345" s="38" t="n">
        <f aca="false">IF(OR($D345=0,$G345=""),"",IF($H345*($G345-$F345)&gt;0,$G345,$F345))</f>
        <v>12.5</v>
      </c>
      <c r="J345" s="27" t="str">
        <f aca="false">IF(OR($D345=0,$G345=""),"",IF($H345*($G345-$F345)&gt;0,"Sim","Nao"))</f>
        <v>Nao</v>
      </c>
      <c r="K345" s="27" t="str">
        <f aca="false">IF(OR($D345=0,$G345=""),"",IF(AND($H345*($E345-$F345)&gt;0,$H345*($E345-$G345)&gt;0),"Sim","Nao"))</f>
        <v>Nao</v>
      </c>
      <c r="L345" s="38" t="n">
        <f aca="false">IF(OR($D345=0,$G345=""),0,IF($K345="Sim",MAX(0,$H345*($E345-$I345)),0))</f>
        <v>0</v>
      </c>
      <c r="M345" s="35" t="n">
        <f aca="false">INDEX(Parametros_ANEC73!$G$4:$G$6,MATCH($C345,Parametros_ANEC73!$A$4:$A$6,0))</f>
        <v>0</v>
      </c>
      <c r="N345" s="38" t="n">
        <f aca="false">IF(OR($D345=0,$G345=""),0,IF(AND($K345="Sim",$M345&lt;&gt;""),MAX(0,$H345*($E345-$M345)),0))</f>
        <v>0</v>
      </c>
      <c r="O345" s="35" t="n">
        <f aca="false">INDEX(Parametros_ANEC73!$J$4:$J$6,MATCH($C345,Parametros_ANEC73!$A$4:$A$6,0))</f>
        <v>0</v>
      </c>
      <c r="P345" s="38" t="n">
        <f aca="false">IF(OR($D345=0,$G345=""),0,IF(AND($K345="Sim",$O345&lt;&gt;""),MAX(0,$H345*($E345-$O345)),0))</f>
        <v>0</v>
      </c>
      <c r="Q345" s="35" t="n">
        <f aca="false">INDEX(Parametros_ANEC73!$F$4:$F$6,MATCH($C345,Parametros_ANEC73!$A$4:$A$6,0))</f>
        <v>1</v>
      </c>
      <c r="R345" s="35" t="n">
        <f aca="false">INDEX(Parametros_ANEC73!$I$4:$I$6,MATCH($C345,Parametros_ANEC73!$A$4:$A$6,0))</f>
        <v>0</v>
      </c>
      <c r="S345" s="35" t="n">
        <f aca="false">INDEX(Parametros_ANEC73!$L$4:$L$6,MATCH($C345,Parametros_ANEC73!$A$4:$A$6,0))</f>
        <v>0</v>
      </c>
      <c r="T345" s="39" t="n">
        <f aca="false">INDEX(Parametros_ANEC73!$B$14:$B$25,MATCH($B345,Parametros_ANEC73!$A$14:$A$25,0))</f>
        <v>326</v>
      </c>
      <c r="U345" s="40" t="n">
        <f aca="false">IF(OR($D345=0,$G345=""),0,$D345*($T345/100)*($L345*$Q345+$N345*(IF($R345="",$Q345,$R345)-$Q345)+$P345*(IF($S345="",IF($R345="",$Q345,$R345),$S345)-IF($R345="",$Q345,$R345))))</f>
        <v>0</v>
      </c>
      <c r="V345" s="41" t="str">
        <f aca="false">IF(OR($D345=0,$G345=""),"",IF($H345*($E345-INDEX(Parametros_ANEC73!$M$4:$M$6,MATCH($C345,Parametros_ANEC73!$A$4:$A$6,0)))&gt;0,"Sim","Nao"))</f>
        <v>Nao</v>
      </c>
      <c r="W345" s="27" t="str">
        <f aca="false">$A345&amp;"|"&amp;$B345&amp;"|"&amp;$C345</f>
        <v>Olfar|Jul|Umidade</v>
      </c>
    </row>
    <row r="346" customFormat="false" ht="15" hidden="false" customHeight="false" outlineLevel="0" collapsed="false">
      <c r="A346" s="27" t="s">
        <v>48</v>
      </c>
      <c r="B346" s="27" t="s">
        <v>64</v>
      </c>
      <c r="C346" s="27" t="s">
        <v>111</v>
      </c>
      <c r="D346" s="34" t="n">
        <f aca="false">SUMIFS(Media_Cliente_Mes!$C$2:$C$145,Media_Cliente_Mes!$A$2:$A$145,$A346,Media_Cliente_Mes!$B$2:$B$145,$B346)</f>
        <v>55089.56</v>
      </c>
      <c r="E346" s="35" t="n">
        <f aca="false">IF($D346=0,"",IF($C346="Proteina",SUMIFS(Media_Cliente_Mes!$D$2:$D$145,Media_Cliente_Mes!$A$2:$A$145,$A346,Media_Cliente_Mes!$B$2:$B$145,$B346),IF($C346="Umidade",SUMIFS(Media_Cliente_Mes!$E$2:$E$145,Media_Cliente_Mes!$A$2:$A$145,$A346,Media_Cliente_Mes!$B$2:$B$145,$B346),SUMIFS(Media_Cliente_Mes!$F$2:$F$145,Media_Cliente_Mes!$A$2:$A$145,$A346,Media_Cliente_Mes!$B$2:$B$145,$B346))))</f>
        <v>3.26234643914382</v>
      </c>
      <c r="F346" s="35" t="n">
        <f aca="false">INDEX(Parametros_ANEC73!$C$4:$C$6,MATCH($C346,Parametros_ANEC73!$A$4:$A$6,0))</f>
        <v>3.5</v>
      </c>
      <c r="G346" s="35" t="n">
        <f aca="false">IF($C346="Proteina",INDEX(Media_Pool_Mes!$C$2:$C$13,MATCH($B346,Media_Pool_Mes!$A$2:$A$13,0)),IF($C346="Umidade",INDEX(Media_Pool_Mes!$D$2:$D$13,MATCH($B346,Media_Pool_Mes!$A$2:$A$13,0)),INDEX(Media_Pool_Mes!$E$2:$E$13,MATCH($B346,Media_Pool_Mes!$A$2:$A$13,0))))</f>
        <v>3.48415625565953</v>
      </c>
      <c r="H346" s="37" t="n">
        <f aca="false">INDEX(Parametros_ANEC73!$B$4:$B$6,MATCH($C346,Parametros_ANEC73!$A$4:$A$6,0))</f>
        <v>1</v>
      </c>
      <c r="I346" s="38" t="n">
        <f aca="false">IF(OR($D346=0,$G346=""),"",IF($H346*($G346-$F346)&gt;0,$G346,$F346))</f>
        <v>3.5</v>
      </c>
      <c r="J346" s="27" t="str">
        <f aca="false">IF(OR($D346=0,$G346=""),"",IF($H346*($G346-$F346)&gt;0,"Sim","Nao"))</f>
        <v>Nao</v>
      </c>
      <c r="K346" s="27" t="str">
        <f aca="false">IF(OR($D346=0,$G346=""),"",IF(AND($H346*($E346-$F346)&gt;0,$H346*($E346-$G346)&gt;0),"Sim","Nao"))</f>
        <v>Nao</v>
      </c>
      <c r="L346" s="38" t="n">
        <f aca="false">IF(OR($D346=0,$G346=""),0,IF($K346="Sim",MAX(0,$H346*($E346-$I346)),0))</f>
        <v>0</v>
      </c>
      <c r="M346" s="35" t="n">
        <f aca="false">INDEX(Parametros_ANEC73!$G$4:$G$6,MATCH($C346,Parametros_ANEC73!$A$4:$A$6,0))</f>
        <v>3.8</v>
      </c>
      <c r="N346" s="38" t="n">
        <f aca="false">IF(OR($D346=0,$G346=""),0,IF(AND($K346="Sim",$M346&lt;&gt;""),MAX(0,$H346*($E346-$M346)),0))</f>
        <v>0</v>
      </c>
      <c r="O346" s="35" t="n">
        <f aca="false">INDEX(Parametros_ANEC73!$J$4:$J$6,MATCH($C346,Parametros_ANEC73!$A$4:$A$6,0))</f>
        <v>4</v>
      </c>
      <c r="P346" s="38" t="n">
        <f aca="false">IF(OR($D346=0,$G346=""),0,IF(AND($K346="Sim",$O346&lt;&gt;""),MAX(0,$H346*($E346-$O346)),0))</f>
        <v>0</v>
      </c>
      <c r="Q346" s="35" t="n">
        <f aca="false">INDEX(Parametros_ANEC73!$F$4:$F$6,MATCH($C346,Parametros_ANEC73!$A$4:$A$6,0))</f>
        <v>1</v>
      </c>
      <c r="R346" s="35" t="n">
        <f aca="false">INDEX(Parametros_ANEC73!$I$4:$I$6,MATCH($C346,Parametros_ANEC73!$A$4:$A$6,0))</f>
        <v>1.5</v>
      </c>
      <c r="S346" s="35" t="n">
        <f aca="false">INDEX(Parametros_ANEC73!$L$4:$L$6,MATCH($C346,Parametros_ANEC73!$A$4:$A$6,0))</f>
        <v>2</v>
      </c>
      <c r="T346" s="39" t="n">
        <f aca="false">INDEX(Parametros_ANEC73!$B$14:$B$25,MATCH($B346,Parametros_ANEC73!$A$14:$A$25,0))</f>
        <v>326</v>
      </c>
      <c r="U346" s="40" t="n">
        <f aca="false">IF(OR($D346=0,$G346=""),0,$D346*($T346/100)*($L346*$Q346+$N346*(IF($R346="",$Q346,$R346)-$Q346)+$P346*(IF($S346="",IF($R346="",$Q346,$R346),$S346)-IF($R346="",$Q346,$R346))))</f>
        <v>0</v>
      </c>
      <c r="V346" s="41" t="str">
        <f aca="false">IF(OR($D346=0,$G346=""),"",IF($H346*($E346-INDEX(Parametros_ANEC73!$M$4:$M$6,MATCH($C346,Parametros_ANEC73!$A$4:$A$6,0)))&gt;0,"Sim","Nao"))</f>
        <v>Nao</v>
      </c>
      <c r="W346" s="27" t="str">
        <f aca="false">$A346&amp;"|"&amp;$B346&amp;"|"&amp;$C346</f>
        <v>Olfar|Jul|Fibra</v>
      </c>
    </row>
    <row r="347" customFormat="false" ht="15" hidden="false" customHeight="false" outlineLevel="0" collapsed="false">
      <c r="A347" s="27" t="s">
        <v>48</v>
      </c>
      <c r="B347" s="27" t="s">
        <v>65</v>
      </c>
      <c r="C347" s="27" t="s">
        <v>109</v>
      </c>
      <c r="D347" s="34" t="n">
        <f aca="false">SUMIFS(Media_Cliente_Mes!$C$2:$C$145,Media_Cliente_Mes!$A$2:$A$145,$A347,Media_Cliente_Mes!$B$2:$B$145,$B347)</f>
        <v>33862.86</v>
      </c>
      <c r="E347" s="35" t="n">
        <f aca="false">IF($D347=0,"",IF($C347="Proteina",SUMIFS(Media_Cliente_Mes!$D$2:$D$145,Media_Cliente_Mes!$A$2:$A$145,$A347,Media_Cliente_Mes!$B$2:$B$145,$B347),IF($C347="Umidade",SUMIFS(Media_Cliente_Mes!$E$2:$E$145,Media_Cliente_Mes!$A$2:$A$145,$A347,Media_Cliente_Mes!$B$2:$B$145,$B347),SUMIFS(Media_Cliente_Mes!$F$2:$F$145,Media_Cliente_Mes!$A$2:$A$145,$A347,Media_Cliente_Mes!$B$2:$B$145,$B347))))</f>
        <v>47.4182555165157</v>
      </c>
      <c r="F347" s="35" t="n">
        <f aca="false">INDEX(Parametros_ANEC73!$C$4:$C$6,MATCH($C347,Parametros_ANEC73!$A$4:$A$6,0))</f>
        <v>48</v>
      </c>
      <c r="G347" s="35" t="n">
        <f aca="false">IF($C347="Proteina",INDEX(Media_Pool_Mes!$C$2:$C$13,MATCH($B347,Media_Pool_Mes!$A$2:$A$13,0)),IF($C347="Umidade",INDEX(Media_Pool_Mes!$D$2:$D$13,MATCH($B347,Media_Pool_Mes!$A$2:$A$13,0)),INDEX(Media_Pool_Mes!$E$2:$E$13,MATCH($B347,Media_Pool_Mes!$A$2:$A$13,0))))</f>
        <v>47.3199561197423</v>
      </c>
      <c r="H347" s="37" t="n">
        <f aca="false">INDEX(Parametros_ANEC73!$B$4:$B$6,MATCH($C347,Parametros_ANEC73!$A$4:$A$6,0))</f>
        <v>-1</v>
      </c>
      <c r="I347" s="38" t="n">
        <f aca="false">IF(OR($D347=0,$G347=""),"",IF($H347*($G347-$F347)&gt;0,$G347,$F347))</f>
        <v>47.3199561197423</v>
      </c>
      <c r="J347" s="27" t="str">
        <f aca="false">IF(OR($D347=0,$G347=""),"",IF($H347*($G347-$F347)&gt;0,"Sim","Nao"))</f>
        <v>Sim</v>
      </c>
      <c r="K347" s="27" t="str">
        <f aca="false">IF(OR($D347=0,$G347=""),"",IF(AND($H347*($E347-$F347)&gt;0,$H347*($E347-$G347)&gt;0),"Sim","Nao"))</f>
        <v>Nao</v>
      </c>
      <c r="L347" s="38" t="n">
        <f aca="false">IF(OR($D347=0,$G347=""),0,IF($K347="Sim",MAX(0,$H347*($E347-$I347)),0))</f>
        <v>0</v>
      </c>
      <c r="M347" s="35" t="n">
        <f aca="false">INDEX(Parametros_ANEC73!$G$4:$G$6,MATCH($C347,Parametros_ANEC73!$A$4:$A$6,0))</f>
        <v>47</v>
      </c>
      <c r="N347" s="38" t="n">
        <f aca="false">IF(OR($D347=0,$G347=""),0,IF(AND($K347="Sim",$M347&lt;&gt;""),MAX(0,$H347*($E347-$M347)),0))</f>
        <v>0</v>
      </c>
      <c r="O347" s="35" t="n">
        <f aca="false">INDEX(Parametros_ANEC73!$J$4:$J$6,MATCH($C347,Parametros_ANEC73!$A$4:$A$6,0))</f>
        <v>0</v>
      </c>
      <c r="P347" s="38" t="n">
        <f aca="false">IF(OR($D347=0,$G347=""),0,IF(AND($K347="Sim",$O347&lt;&gt;""),MAX(0,$H347*($E347-$O347)),0))</f>
        <v>0</v>
      </c>
      <c r="Q347" s="35" t="n">
        <f aca="false">INDEX(Parametros_ANEC73!$F$4:$F$6,MATCH($C347,Parametros_ANEC73!$A$4:$A$6,0))</f>
        <v>1</v>
      </c>
      <c r="R347" s="35" t="n">
        <f aca="false">INDEX(Parametros_ANEC73!$I$4:$I$6,MATCH($C347,Parametros_ANEC73!$A$4:$A$6,0))</f>
        <v>2</v>
      </c>
      <c r="S347" s="35" t="n">
        <f aca="false">INDEX(Parametros_ANEC73!$L$4:$L$6,MATCH($C347,Parametros_ANEC73!$A$4:$A$6,0))</f>
        <v>0</v>
      </c>
      <c r="T347" s="39" t="n">
        <f aca="false">INDEX(Parametros_ANEC73!$B$14:$B$25,MATCH($B347,Parametros_ANEC73!$A$14:$A$25,0))</f>
        <v>326</v>
      </c>
      <c r="U347" s="40" t="n">
        <f aca="false">IF(OR($D347=0,$G347=""),0,$D347*($T347/100)*($L347*$Q347+$N347*(IF($R347="",$Q347,$R347)-$Q347)+$P347*(IF($S347="",IF($R347="",$Q347,$R347),$S347)-IF($R347="",$Q347,$R347))))</f>
        <v>0</v>
      </c>
      <c r="V347" s="41" t="str">
        <f aca="false">IF(OR($D347=0,$G347=""),"",IF($H347*($E347-INDEX(Parametros_ANEC73!$M$4:$M$6,MATCH($C347,Parametros_ANEC73!$A$4:$A$6,0)))&gt;0,"Sim","Nao"))</f>
        <v>Nao</v>
      </c>
      <c r="W347" s="27" t="str">
        <f aca="false">$A347&amp;"|"&amp;$B347&amp;"|"&amp;$C347</f>
        <v>Olfar|Ago|Proteina</v>
      </c>
    </row>
    <row r="348" customFormat="false" ht="15" hidden="false" customHeight="false" outlineLevel="0" collapsed="false">
      <c r="A348" s="27" t="s">
        <v>48</v>
      </c>
      <c r="B348" s="27" t="s">
        <v>65</v>
      </c>
      <c r="C348" s="27" t="s">
        <v>110</v>
      </c>
      <c r="D348" s="34" t="n">
        <f aca="false">SUMIFS(Media_Cliente_Mes!$C$2:$C$145,Media_Cliente_Mes!$A$2:$A$145,$A348,Media_Cliente_Mes!$B$2:$B$145,$B348)</f>
        <v>33862.86</v>
      </c>
      <c r="E348" s="35" t="n">
        <f aca="false">IF($D348=0,"",IF($C348="Proteina",SUMIFS(Media_Cliente_Mes!$D$2:$D$145,Media_Cliente_Mes!$A$2:$A$145,$A348,Media_Cliente_Mes!$B$2:$B$145,$B348),IF($C348="Umidade",SUMIFS(Media_Cliente_Mes!$E$2:$E$145,Media_Cliente_Mes!$A$2:$A$145,$A348,Media_Cliente_Mes!$B$2:$B$145,$B348),SUMIFS(Media_Cliente_Mes!$F$2:$F$145,Media_Cliente_Mes!$A$2:$A$145,$A348,Media_Cliente_Mes!$B$2:$B$145,$B348))))</f>
        <v>12.9977005368123</v>
      </c>
      <c r="F348" s="35" t="n">
        <f aca="false">INDEX(Parametros_ANEC73!$C$4:$C$6,MATCH($C348,Parametros_ANEC73!$A$4:$A$6,0))</f>
        <v>12.5</v>
      </c>
      <c r="G348" s="35" t="n">
        <f aca="false">IF($C348="Proteina",INDEX(Media_Pool_Mes!$C$2:$C$13,MATCH($B348,Media_Pool_Mes!$A$2:$A$13,0)),IF($C348="Umidade",INDEX(Media_Pool_Mes!$D$2:$D$13,MATCH($B348,Media_Pool_Mes!$A$2:$A$13,0)),INDEX(Media_Pool_Mes!$E$2:$E$13,MATCH($B348,Media_Pool_Mes!$A$2:$A$13,0))))</f>
        <v>12.2068387200965</v>
      </c>
      <c r="H348" s="37" t="n">
        <f aca="false">INDEX(Parametros_ANEC73!$B$4:$B$6,MATCH($C348,Parametros_ANEC73!$A$4:$A$6,0))</f>
        <v>1</v>
      </c>
      <c r="I348" s="38" t="n">
        <f aca="false">IF(OR($D348=0,$G348=""),"",IF($H348*($G348-$F348)&gt;0,$G348,$F348))</f>
        <v>12.5</v>
      </c>
      <c r="J348" s="27" t="str">
        <f aca="false">IF(OR($D348=0,$G348=""),"",IF($H348*($G348-$F348)&gt;0,"Sim","Nao"))</f>
        <v>Nao</v>
      </c>
      <c r="K348" s="27" t="str">
        <f aca="false">IF(OR($D348=0,$G348=""),"",IF(AND($H348*($E348-$F348)&gt;0,$H348*($E348-$G348)&gt;0),"Sim","Nao"))</f>
        <v>Sim</v>
      </c>
      <c r="L348" s="38" t="n">
        <f aca="false">IF(OR($D348=0,$G348=""),0,IF($K348="Sim",MAX(0,$H348*($E348-$I348)),0))</f>
        <v>0.497700536812307</v>
      </c>
      <c r="M348" s="35" t="n">
        <f aca="false">INDEX(Parametros_ANEC73!$G$4:$G$6,MATCH($C348,Parametros_ANEC73!$A$4:$A$6,0))</f>
        <v>0</v>
      </c>
      <c r="N348" s="38" t="n">
        <f aca="false">IF(OR($D348=0,$G348=""),0,IF(AND($K348="Sim",$M348&lt;&gt;""),MAX(0,$H348*($E348-$M348)),0))</f>
        <v>0</v>
      </c>
      <c r="O348" s="35" t="n">
        <f aca="false">INDEX(Parametros_ANEC73!$J$4:$J$6,MATCH($C348,Parametros_ANEC73!$A$4:$A$6,0))</f>
        <v>0</v>
      </c>
      <c r="P348" s="38" t="n">
        <f aca="false">IF(OR($D348=0,$G348=""),0,IF(AND($K348="Sim",$O348&lt;&gt;""),MAX(0,$H348*($E348-$O348)),0))</f>
        <v>0</v>
      </c>
      <c r="Q348" s="35" t="n">
        <f aca="false">INDEX(Parametros_ANEC73!$F$4:$F$6,MATCH($C348,Parametros_ANEC73!$A$4:$A$6,0))</f>
        <v>1</v>
      </c>
      <c r="R348" s="35" t="n">
        <f aca="false">INDEX(Parametros_ANEC73!$I$4:$I$6,MATCH($C348,Parametros_ANEC73!$A$4:$A$6,0))</f>
        <v>0</v>
      </c>
      <c r="S348" s="35" t="n">
        <f aca="false">INDEX(Parametros_ANEC73!$L$4:$L$6,MATCH($C348,Parametros_ANEC73!$A$4:$A$6,0))</f>
        <v>0</v>
      </c>
      <c r="T348" s="39" t="n">
        <f aca="false">INDEX(Parametros_ANEC73!$B$14:$B$25,MATCH($B348,Parametros_ANEC73!$A$14:$A$25,0))</f>
        <v>326</v>
      </c>
      <c r="U348" s="40" t="n">
        <f aca="false">IF(OR($D348=0,$G348=""),0,$D348*($T348/100)*($L348*$Q348+$N348*(IF($R348="",$Q348,$R348)-$Q348)+$P348*(IF($S348="",IF($R348="",$Q348,$R348),$S348)-IF($R348="",$Q348,$R348))))</f>
        <v>54942.617336</v>
      </c>
      <c r="V348" s="41" t="str">
        <f aca="false">IF(OR($D348=0,$G348=""),"",IF($H348*($E348-INDEX(Parametros_ANEC73!$M$4:$M$6,MATCH($C348,Parametros_ANEC73!$A$4:$A$6,0)))&gt;0,"Sim","Nao"))</f>
        <v>Nao</v>
      </c>
      <c r="W348" s="27" t="str">
        <f aca="false">$A348&amp;"|"&amp;$B348&amp;"|"&amp;$C348</f>
        <v>Olfar|Ago|Umidade</v>
      </c>
    </row>
    <row r="349" customFormat="false" ht="15" hidden="false" customHeight="false" outlineLevel="0" collapsed="false">
      <c r="A349" s="27" t="s">
        <v>48</v>
      </c>
      <c r="B349" s="27" t="s">
        <v>65</v>
      </c>
      <c r="C349" s="27" t="s">
        <v>111</v>
      </c>
      <c r="D349" s="34" t="n">
        <f aca="false">SUMIFS(Media_Cliente_Mes!$C$2:$C$145,Media_Cliente_Mes!$A$2:$A$145,$A349,Media_Cliente_Mes!$B$2:$B$145,$B349)</f>
        <v>33862.86</v>
      </c>
      <c r="E349" s="35" t="n">
        <f aca="false">IF($D349=0,"",IF($C349="Proteina",SUMIFS(Media_Cliente_Mes!$D$2:$D$145,Media_Cliente_Mes!$A$2:$A$145,$A349,Media_Cliente_Mes!$B$2:$B$145,$B349),IF($C349="Umidade",SUMIFS(Media_Cliente_Mes!$E$2:$E$145,Media_Cliente_Mes!$A$2:$A$145,$A349,Media_Cliente_Mes!$B$2:$B$145,$B349),SUMIFS(Media_Cliente_Mes!$F$2:$F$145,Media_Cliente_Mes!$A$2:$A$145,$A349,Media_Cliente_Mes!$B$2:$B$145,$B349))))</f>
        <v>3.86167457798898</v>
      </c>
      <c r="F349" s="35" t="n">
        <f aca="false">INDEX(Parametros_ANEC73!$C$4:$C$6,MATCH($C349,Parametros_ANEC73!$A$4:$A$6,0))</f>
        <v>3.5</v>
      </c>
      <c r="G349" s="35" t="n">
        <f aca="false">IF($C349="Proteina",INDEX(Media_Pool_Mes!$C$2:$C$13,MATCH($B349,Media_Pool_Mes!$A$2:$A$13,0)),IF($C349="Umidade",INDEX(Media_Pool_Mes!$D$2:$D$13,MATCH($B349,Media_Pool_Mes!$A$2:$A$13,0)),INDEX(Media_Pool_Mes!$E$2:$E$13,MATCH($B349,Media_Pool_Mes!$A$2:$A$13,0))))</f>
        <v>3.7692688740906</v>
      </c>
      <c r="H349" s="37" t="n">
        <f aca="false">INDEX(Parametros_ANEC73!$B$4:$B$6,MATCH($C349,Parametros_ANEC73!$A$4:$A$6,0))</f>
        <v>1</v>
      </c>
      <c r="I349" s="38" t="n">
        <f aca="false">IF(OR($D349=0,$G349=""),"",IF($H349*($G349-$F349)&gt;0,$G349,$F349))</f>
        <v>3.7692688740906</v>
      </c>
      <c r="J349" s="27" t="str">
        <f aca="false">IF(OR($D349=0,$G349=""),"",IF($H349*($G349-$F349)&gt;0,"Sim","Nao"))</f>
        <v>Sim</v>
      </c>
      <c r="K349" s="27" t="str">
        <f aca="false">IF(OR($D349=0,$G349=""),"",IF(AND($H349*($E349-$F349)&gt;0,$H349*($E349-$G349)&gt;0),"Sim","Nao"))</f>
        <v>Sim</v>
      </c>
      <c r="L349" s="38" t="n">
        <f aca="false">IF(OR($D349=0,$G349=""),0,IF($K349="Sim",MAX(0,$H349*($E349-$I349)),0))</f>
        <v>0.0924057038983848</v>
      </c>
      <c r="M349" s="35" t="n">
        <f aca="false">INDEX(Parametros_ANEC73!$G$4:$G$6,MATCH($C349,Parametros_ANEC73!$A$4:$A$6,0))</f>
        <v>3.8</v>
      </c>
      <c r="N349" s="38" t="n">
        <f aca="false">IF(OR($D349=0,$G349=""),0,IF(AND($K349="Sim",$M349&lt;&gt;""),MAX(0,$H349*($E349-$M349)),0))</f>
        <v>0.0616745779889829</v>
      </c>
      <c r="O349" s="35" t="n">
        <f aca="false">INDEX(Parametros_ANEC73!$J$4:$J$6,MATCH($C349,Parametros_ANEC73!$A$4:$A$6,0))</f>
        <v>4</v>
      </c>
      <c r="P349" s="38" t="n">
        <f aca="false">IF(OR($D349=0,$G349=""),0,IF(AND($K349="Sim",$O349&lt;&gt;""),MAX(0,$H349*($E349-$O349)),0))</f>
        <v>0</v>
      </c>
      <c r="Q349" s="35" t="n">
        <f aca="false">INDEX(Parametros_ANEC73!$F$4:$F$6,MATCH($C349,Parametros_ANEC73!$A$4:$A$6,0))</f>
        <v>1</v>
      </c>
      <c r="R349" s="35" t="n">
        <f aca="false">INDEX(Parametros_ANEC73!$I$4:$I$6,MATCH($C349,Parametros_ANEC73!$A$4:$A$6,0))</f>
        <v>1.5</v>
      </c>
      <c r="S349" s="35" t="n">
        <f aca="false">INDEX(Parametros_ANEC73!$L$4:$L$6,MATCH($C349,Parametros_ANEC73!$A$4:$A$6,0))</f>
        <v>2</v>
      </c>
      <c r="T349" s="39" t="n">
        <f aca="false">INDEX(Parametros_ANEC73!$B$14:$B$25,MATCH($B349,Parametros_ANEC73!$A$14:$A$25,0))</f>
        <v>326</v>
      </c>
      <c r="U349" s="40" t="n">
        <f aca="false">IF(OR($D349=0,$G349=""),0,$D349*($T349/100)*($L349*$Q349+$N349*(IF($R349="",$Q349,$R349)-$Q349)+$P349*(IF($S349="",IF($R349="",$Q349,$R349),$S349)-IF($R349="",$Q349,$R349))))</f>
        <v>13605.1542986586</v>
      </c>
      <c r="V349" s="41" t="str">
        <f aca="false">IF(OR($D349=0,$G349=""),"",IF($H349*($E349-INDEX(Parametros_ANEC73!$M$4:$M$6,MATCH($C349,Parametros_ANEC73!$A$4:$A$6,0)))&gt;0,"Sim","Nao"))</f>
        <v>Nao</v>
      </c>
      <c r="W349" s="27" t="str">
        <f aca="false">$A349&amp;"|"&amp;$B349&amp;"|"&amp;$C349</f>
        <v>Olfar|Ago|Fibra</v>
      </c>
    </row>
    <row r="350" customFormat="false" ht="15" hidden="false" customHeight="false" outlineLevel="0" collapsed="false">
      <c r="A350" s="27" t="s">
        <v>48</v>
      </c>
      <c r="B350" s="27" t="s">
        <v>66</v>
      </c>
      <c r="C350" s="27" t="s">
        <v>109</v>
      </c>
      <c r="D350" s="34" t="n">
        <f aca="false">SUMIFS(Media_Cliente_Mes!$C$2:$C$145,Media_Cliente_Mes!$A$2:$A$145,$A350,Media_Cliente_Mes!$B$2:$B$145,$B350)</f>
        <v>6769.23</v>
      </c>
      <c r="E350" s="35" t="n">
        <f aca="false">IF($D350=0,"",IF($C350="Proteina",SUMIFS(Media_Cliente_Mes!$D$2:$D$145,Media_Cliente_Mes!$A$2:$A$145,$A350,Media_Cliente_Mes!$B$2:$B$145,$B350),IF($C350="Umidade",SUMIFS(Media_Cliente_Mes!$E$2:$E$145,Media_Cliente_Mes!$A$2:$A$145,$A350,Media_Cliente_Mes!$B$2:$B$145,$B350),SUMIFS(Media_Cliente_Mes!$F$2:$F$145,Media_Cliente_Mes!$A$2:$A$145,$A350,Media_Cliente_Mes!$B$2:$B$145,$B350))))</f>
        <v>47.87</v>
      </c>
      <c r="F350" s="35" t="n">
        <f aca="false">INDEX(Parametros_ANEC73!$C$4:$C$6,MATCH($C350,Parametros_ANEC73!$A$4:$A$6,0))</f>
        <v>48</v>
      </c>
      <c r="G350" s="35" t="n">
        <f aca="false">IF($C350="Proteina",INDEX(Media_Pool_Mes!$C$2:$C$13,MATCH($B350,Media_Pool_Mes!$A$2:$A$13,0)),IF($C350="Umidade",INDEX(Media_Pool_Mes!$D$2:$D$13,MATCH($B350,Media_Pool_Mes!$A$2:$A$13,0)),INDEX(Media_Pool_Mes!$E$2:$E$13,MATCH($B350,Media_Pool_Mes!$A$2:$A$13,0))))</f>
        <v>47.5387514497333</v>
      </c>
      <c r="H350" s="37" t="n">
        <f aca="false">INDEX(Parametros_ANEC73!$B$4:$B$6,MATCH($C350,Parametros_ANEC73!$A$4:$A$6,0))</f>
        <v>-1</v>
      </c>
      <c r="I350" s="38" t="n">
        <f aca="false">IF(OR($D350=0,$G350=""),"",IF($H350*($G350-$F350)&gt;0,$G350,$F350))</f>
        <v>47.5387514497333</v>
      </c>
      <c r="J350" s="27" t="str">
        <f aca="false">IF(OR($D350=0,$G350=""),"",IF($H350*($G350-$F350)&gt;0,"Sim","Nao"))</f>
        <v>Sim</v>
      </c>
      <c r="K350" s="27" t="str">
        <f aca="false">IF(OR($D350=0,$G350=""),"",IF(AND($H350*($E350-$F350)&gt;0,$H350*($E350-$G350)&gt;0),"Sim","Nao"))</f>
        <v>Nao</v>
      </c>
      <c r="L350" s="38" t="n">
        <f aca="false">IF(OR($D350=0,$G350=""),0,IF($K350="Sim",MAX(0,$H350*($E350-$I350)),0))</f>
        <v>0</v>
      </c>
      <c r="M350" s="35" t="n">
        <f aca="false">INDEX(Parametros_ANEC73!$G$4:$G$6,MATCH($C350,Parametros_ANEC73!$A$4:$A$6,0))</f>
        <v>47</v>
      </c>
      <c r="N350" s="38" t="n">
        <f aca="false">IF(OR($D350=0,$G350=""),0,IF(AND($K350="Sim",$M350&lt;&gt;""),MAX(0,$H350*($E350-$M350)),0))</f>
        <v>0</v>
      </c>
      <c r="O350" s="35" t="n">
        <f aca="false">INDEX(Parametros_ANEC73!$J$4:$J$6,MATCH($C350,Parametros_ANEC73!$A$4:$A$6,0))</f>
        <v>0</v>
      </c>
      <c r="P350" s="38" t="n">
        <f aca="false">IF(OR($D350=0,$G350=""),0,IF(AND($K350="Sim",$O350&lt;&gt;""),MAX(0,$H350*($E350-$O350)),0))</f>
        <v>0</v>
      </c>
      <c r="Q350" s="35" t="n">
        <f aca="false">INDEX(Parametros_ANEC73!$F$4:$F$6,MATCH($C350,Parametros_ANEC73!$A$4:$A$6,0))</f>
        <v>1</v>
      </c>
      <c r="R350" s="35" t="n">
        <f aca="false">INDEX(Parametros_ANEC73!$I$4:$I$6,MATCH($C350,Parametros_ANEC73!$A$4:$A$6,0))</f>
        <v>2</v>
      </c>
      <c r="S350" s="35" t="n">
        <f aca="false">INDEX(Parametros_ANEC73!$L$4:$L$6,MATCH($C350,Parametros_ANEC73!$A$4:$A$6,0))</f>
        <v>0</v>
      </c>
      <c r="T350" s="39" t="n">
        <f aca="false">INDEX(Parametros_ANEC73!$B$14:$B$25,MATCH($B350,Parametros_ANEC73!$A$14:$A$25,0))</f>
        <v>326</v>
      </c>
      <c r="U350" s="40" t="n">
        <f aca="false">IF(OR($D350=0,$G350=""),0,$D350*($T350/100)*($L350*$Q350+$N350*(IF($R350="",$Q350,$R350)-$Q350)+$P350*(IF($S350="",IF($R350="",$Q350,$R350),$S350)-IF($R350="",$Q350,$R350))))</f>
        <v>0</v>
      </c>
      <c r="V350" s="41" t="str">
        <f aca="false">IF(OR($D350=0,$G350=""),"",IF($H350*($E350-INDEX(Parametros_ANEC73!$M$4:$M$6,MATCH($C350,Parametros_ANEC73!$A$4:$A$6,0)))&gt;0,"Sim","Nao"))</f>
        <v>Nao</v>
      </c>
      <c r="W350" s="27" t="str">
        <f aca="false">$A350&amp;"|"&amp;$B350&amp;"|"&amp;$C350</f>
        <v>Olfar|Set|Proteina</v>
      </c>
    </row>
    <row r="351" customFormat="false" ht="15" hidden="false" customHeight="false" outlineLevel="0" collapsed="false">
      <c r="A351" s="27" t="s">
        <v>48</v>
      </c>
      <c r="B351" s="27" t="s">
        <v>66</v>
      </c>
      <c r="C351" s="27" t="s">
        <v>110</v>
      </c>
      <c r="D351" s="34" t="n">
        <f aca="false">SUMIFS(Media_Cliente_Mes!$C$2:$C$145,Media_Cliente_Mes!$A$2:$A$145,$A351,Media_Cliente_Mes!$B$2:$B$145,$B351)</f>
        <v>6769.23</v>
      </c>
      <c r="E351" s="35" t="n">
        <f aca="false">IF($D351=0,"",IF($C351="Proteina",SUMIFS(Media_Cliente_Mes!$D$2:$D$145,Media_Cliente_Mes!$A$2:$A$145,$A351,Media_Cliente_Mes!$B$2:$B$145,$B351),IF($C351="Umidade",SUMIFS(Media_Cliente_Mes!$E$2:$E$145,Media_Cliente_Mes!$A$2:$A$145,$A351,Media_Cliente_Mes!$B$2:$B$145,$B351),SUMIFS(Media_Cliente_Mes!$F$2:$F$145,Media_Cliente_Mes!$A$2:$A$145,$A351,Media_Cliente_Mes!$B$2:$B$145,$B351))))</f>
        <v>12.71</v>
      </c>
      <c r="F351" s="35" t="n">
        <f aca="false">INDEX(Parametros_ANEC73!$C$4:$C$6,MATCH($C351,Parametros_ANEC73!$A$4:$A$6,0))</f>
        <v>12.5</v>
      </c>
      <c r="G351" s="35" t="n">
        <f aca="false">IF($C351="Proteina",INDEX(Media_Pool_Mes!$C$2:$C$13,MATCH($B351,Media_Pool_Mes!$A$2:$A$13,0)),IF($C351="Umidade",INDEX(Media_Pool_Mes!$D$2:$D$13,MATCH($B351,Media_Pool_Mes!$A$2:$A$13,0)),INDEX(Media_Pool_Mes!$E$2:$E$13,MATCH($B351,Media_Pool_Mes!$A$2:$A$13,0))))</f>
        <v>12.4774576939468</v>
      </c>
      <c r="H351" s="37" t="n">
        <f aca="false">INDEX(Parametros_ANEC73!$B$4:$B$6,MATCH($C351,Parametros_ANEC73!$A$4:$A$6,0))</f>
        <v>1</v>
      </c>
      <c r="I351" s="38" t="n">
        <f aca="false">IF(OR($D351=0,$G351=""),"",IF($H351*($G351-$F351)&gt;0,$G351,$F351))</f>
        <v>12.5</v>
      </c>
      <c r="J351" s="27" t="str">
        <f aca="false">IF(OR($D351=0,$G351=""),"",IF($H351*($G351-$F351)&gt;0,"Sim","Nao"))</f>
        <v>Nao</v>
      </c>
      <c r="K351" s="27" t="str">
        <f aca="false">IF(OR($D351=0,$G351=""),"",IF(AND($H351*($E351-$F351)&gt;0,$H351*($E351-$G351)&gt;0),"Sim","Nao"))</f>
        <v>Sim</v>
      </c>
      <c r="L351" s="38" t="n">
        <f aca="false">IF(OR($D351=0,$G351=""),0,IF($K351="Sim",MAX(0,$H351*($E351-$I351)),0))</f>
        <v>0.210000000000001</v>
      </c>
      <c r="M351" s="35" t="n">
        <f aca="false">INDEX(Parametros_ANEC73!$G$4:$G$6,MATCH($C351,Parametros_ANEC73!$A$4:$A$6,0))</f>
        <v>0</v>
      </c>
      <c r="N351" s="38" t="n">
        <f aca="false">IF(OR($D351=0,$G351=""),0,IF(AND($K351="Sim",$M351&lt;&gt;""),MAX(0,$H351*($E351-$M351)),0))</f>
        <v>0</v>
      </c>
      <c r="O351" s="35" t="n">
        <f aca="false">INDEX(Parametros_ANEC73!$J$4:$J$6,MATCH($C351,Parametros_ANEC73!$A$4:$A$6,0))</f>
        <v>0</v>
      </c>
      <c r="P351" s="38" t="n">
        <f aca="false">IF(OR($D351=0,$G351=""),0,IF(AND($K351="Sim",$O351&lt;&gt;""),MAX(0,$H351*($E351-$O351)),0))</f>
        <v>0</v>
      </c>
      <c r="Q351" s="35" t="n">
        <f aca="false">INDEX(Parametros_ANEC73!$F$4:$F$6,MATCH($C351,Parametros_ANEC73!$A$4:$A$6,0))</f>
        <v>1</v>
      </c>
      <c r="R351" s="35" t="n">
        <f aca="false">INDEX(Parametros_ANEC73!$I$4:$I$6,MATCH($C351,Parametros_ANEC73!$A$4:$A$6,0))</f>
        <v>0</v>
      </c>
      <c r="S351" s="35" t="n">
        <f aca="false">INDEX(Parametros_ANEC73!$L$4:$L$6,MATCH($C351,Parametros_ANEC73!$A$4:$A$6,0))</f>
        <v>0</v>
      </c>
      <c r="T351" s="39" t="n">
        <f aca="false">INDEX(Parametros_ANEC73!$B$14:$B$25,MATCH($B351,Parametros_ANEC73!$A$14:$A$25,0))</f>
        <v>326</v>
      </c>
      <c r="U351" s="40" t="n">
        <f aca="false">IF(OR($D351=0,$G351=""),0,$D351*($T351/100)*($L351*$Q351+$N351*(IF($R351="",$Q351,$R351)-$Q351)+$P351*(IF($S351="",IF($R351="",$Q351,$R351),$S351)-IF($R351="",$Q351,$R351))))</f>
        <v>4634.21485800002</v>
      </c>
      <c r="V351" s="41" t="str">
        <f aca="false">IF(OR($D351=0,$G351=""),"",IF($H351*($E351-INDEX(Parametros_ANEC73!$M$4:$M$6,MATCH($C351,Parametros_ANEC73!$A$4:$A$6,0)))&gt;0,"Sim","Nao"))</f>
        <v>Nao</v>
      </c>
      <c r="W351" s="27" t="str">
        <f aca="false">$A351&amp;"|"&amp;$B351&amp;"|"&amp;$C351</f>
        <v>Olfar|Set|Umidade</v>
      </c>
    </row>
    <row r="352" customFormat="false" ht="15" hidden="false" customHeight="false" outlineLevel="0" collapsed="false">
      <c r="A352" s="27" t="s">
        <v>48</v>
      </c>
      <c r="B352" s="27" t="s">
        <v>66</v>
      </c>
      <c r="C352" s="27" t="s">
        <v>111</v>
      </c>
      <c r="D352" s="34" t="n">
        <f aca="false">SUMIFS(Media_Cliente_Mes!$C$2:$C$145,Media_Cliente_Mes!$A$2:$A$145,$A352,Media_Cliente_Mes!$B$2:$B$145,$B352)</f>
        <v>6769.23</v>
      </c>
      <c r="E352" s="35" t="n">
        <f aca="false">IF($D352=0,"",IF($C352="Proteina",SUMIFS(Media_Cliente_Mes!$D$2:$D$145,Media_Cliente_Mes!$A$2:$A$145,$A352,Media_Cliente_Mes!$B$2:$B$145,$B352),IF($C352="Umidade",SUMIFS(Media_Cliente_Mes!$E$2:$E$145,Media_Cliente_Mes!$A$2:$A$145,$A352,Media_Cliente_Mes!$B$2:$B$145,$B352),SUMIFS(Media_Cliente_Mes!$F$2:$F$145,Media_Cliente_Mes!$A$2:$A$145,$A352,Media_Cliente_Mes!$B$2:$B$145,$B352))))</f>
        <v>3.61</v>
      </c>
      <c r="F352" s="35" t="n">
        <f aca="false">INDEX(Parametros_ANEC73!$C$4:$C$6,MATCH($C352,Parametros_ANEC73!$A$4:$A$6,0))</f>
        <v>3.5</v>
      </c>
      <c r="G352" s="35" t="n">
        <f aca="false">IF($C352="Proteina",INDEX(Media_Pool_Mes!$C$2:$C$13,MATCH($B352,Media_Pool_Mes!$A$2:$A$13,0)),IF($C352="Umidade",INDEX(Media_Pool_Mes!$D$2:$D$13,MATCH($B352,Media_Pool_Mes!$A$2:$A$13,0)),INDEX(Media_Pool_Mes!$E$2:$E$13,MATCH($B352,Media_Pool_Mes!$A$2:$A$13,0))))</f>
        <v>3.7061372169236</v>
      </c>
      <c r="H352" s="37" t="n">
        <f aca="false">INDEX(Parametros_ANEC73!$B$4:$B$6,MATCH($C352,Parametros_ANEC73!$A$4:$A$6,0))</f>
        <v>1</v>
      </c>
      <c r="I352" s="38" t="n">
        <f aca="false">IF(OR($D352=0,$G352=""),"",IF($H352*($G352-$F352)&gt;0,$G352,$F352))</f>
        <v>3.7061372169236</v>
      </c>
      <c r="J352" s="27" t="str">
        <f aca="false">IF(OR($D352=0,$G352=""),"",IF($H352*($G352-$F352)&gt;0,"Sim","Nao"))</f>
        <v>Sim</v>
      </c>
      <c r="K352" s="27" t="str">
        <f aca="false">IF(OR($D352=0,$G352=""),"",IF(AND($H352*($E352-$F352)&gt;0,$H352*($E352-$G352)&gt;0),"Sim","Nao"))</f>
        <v>Nao</v>
      </c>
      <c r="L352" s="38" t="n">
        <f aca="false">IF(OR($D352=0,$G352=""),0,IF($K352="Sim",MAX(0,$H352*($E352-$I352)),0))</f>
        <v>0</v>
      </c>
      <c r="M352" s="35" t="n">
        <f aca="false">INDEX(Parametros_ANEC73!$G$4:$G$6,MATCH($C352,Parametros_ANEC73!$A$4:$A$6,0))</f>
        <v>3.8</v>
      </c>
      <c r="N352" s="38" t="n">
        <f aca="false">IF(OR($D352=0,$G352=""),0,IF(AND($K352="Sim",$M352&lt;&gt;""),MAX(0,$H352*($E352-$M352)),0))</f>
        <v>0</v>
      </c>
      <c r="O352" s="35" t="n">
        <f aca="false">INDEX(Parametros_ANEC73!$J$4:$J$6,MATCH($C352,Parametros_ANEC73!$A$4:$A$6,0))</f>
        <v>4</v>
      </c>
      <c r="P352" s="38" t="n">
        <f aca="false">IF(OR($D352=0,$G352=""),0,IF(AND($K352="Sim",$O352&lt;&gt;""),MAX(0,$H352*($E352-$O352)),0))</f>
        <v>0</v>
      </c>
      <c r="Q352" s="35" t="n">
        <f aca="false">INDEX(Parametros_ANEC73!$F$4:$F$6,MATCH($C352,Parametros_ANEC73!$A$4:$A$6,0))</f>
        <v>1</v>
      </c>
      <c r="R352" s="35" t="n">
        <f aca="false">INDEX(Parametros_ANEC73!$I$4:$I$6,MATCH($C352,Parametros_ANEC73!$A$4:$A$6,0))</f>
        <v>1.5</v>
      </c>
      <c r="S352" s="35" t="n">
        <f aca="false">INDEX(Parametros_ANEC73!$L$4:$L$6,MATCH($C352,Parametros_ANEC73!$A$4:$A$6,0))</f>
        <v>2</v>
      </c>
      <c r="T352" s="39" t="n">
        <f aca="false">INDEX(Parametros_ANEC73!$B$14:$B$25,MATCH($B352,Parametros_ANEC73!$A$14:$A$25,0))</f>
        <v>326</v>
      </c>
      <c r="U352" s="40" t="n">
        <f aca="false">IF(OR($D352=0,$G352=""),0,$D352*($T352/100)*($L352*$Q352+$N352*(IF($R352="",$Q352,$R352)-$Q352)+$P352*(IF($S352="",IF($R352="",$Q352,$R352),$S352)-IF($R352="",$Q352,$R352))))</f>
        <v>0</v>
      </c>
      <c r="V352" s="41" t="str">
        <f aca="false">IF(OR($D352=0,$G352=""),"",IF($H352*($E352-INDEX(Parametros_ANEC73!$M$4:$M$6,MATCH($C352,Parametros_ANEC73!$A$4:$A$6,0)))&gt;0,"Sim","Nao"))</f>
        <v>Nao</v>
      </c>
      <c r="W352" s="27" t="str">
        <f aca="false">$A352&amp;"|"&amp;$B352&amp;"|"&amp;$C352</f>
        <v>Olfar|Set|Fibra</v>
      </c>
    </row>
    <row r="353" customFormat="false" ht="15" hidden="false" customHeight="false" outlineLevel="0" collapsed="false">
      <c r="A353" s="27" t="s">
        <v>48</v>
      </c>
      <c r="B353" s="27" t="s">
        <v>67</v>
      </c>
      <c r="C353" s="27" t="s">
        <v>109</v>
      </c>
      <c r="D353" s="34" t="n">
        <f aca="false">SUMIFS(Media_Cliente_Mes!$C$2:$C$145,Media_Cliente_Mes!$A$2:$A$145,$A353,Media_Cliente_Mes!$B$2:$B$145,$B353)</f>
        <v>0</v>
      </c>
      <c r="E353" s="35" t="str">
        <f aca="false">IF($D353=0,"",IF($C353="Proteina",SUMIFS(Media_Cliente_Mes!$D$2:$D$145,Media_Cliente_Mes!$A$2:$A$145,$A353,Media_Cliente_Mes!$B$2:$B$145,$B353),IF($C353="Umidade",SUMIFS(Media_Cliente_Mes!$E$2:$E$145,Media_Cliente_Mes!$A$2:$A$145,$A353,Media_Cliente_Mes!$B$2:$B$145,$B353),SUMIFS(Media_Cliente_Mes!$F$2:$F$145,Media_Cliente_Mes!$A$2:$A$145,$A353,Media_Cliente_Mes!$B$2:$B$145,$B353))))</f>
        <v/>
      </c>
      <c r="F353" s="35" t="n">
        <f aca="false">INDEX(Parametros_ANEC73!$C$4:$C$6,MATCH($C353,Parametros_ANEC73!$A$4:$A$6,0))</f>
        <v>48</v>
      </c>
      <c r="G353" s="35" t="str">
        <f aca="false">IF($C353="Proteina",INDEX(Media_Pool_Mes!$C$2:$C$13,MATCH($B353,Media_Pool_Mes!$A$2:$A$13,0)),IF($C353="Umidade",INDEX(Media_Pool_Mes!$D$2:$D$13,MATCH($B353,Media_Pool_Mes!$A$2:$A$13,0)),INDEX(Media_Pool_Mes!$E$2:$E$13,MATCH($B353,Media_Pool_Mes!$A$2:$A$13,0))))</f>
        <v/>
      </c>
      <c r="H353" s="37" t="n">
        <f aca="false">INDEX(Parametros_ANEC73!$B$4:$B$6,MATCH($C353,Parametros_ANEC73!$A$4:$A$6,0))</f>
        <v>-1</v>
      </c>
      <c r="I353" s="38" t="str">
        <f aca="false">IF(OR($D353=0,$G353=""),"",IF($H353*($G353-$F353)&gt;0,$G353,$F353))</f>
        <v/>
      </c>
      <c r="J353" s="27" t="str">
        <f aca="false">IF(OR($D353=0,$G353=""),"",IF($H353*($G353-$F353)&gt;0,"Sim","Nao"))</f>
        <v/>
      </c>
      <c r="K353" s="27" t="str">
        <f aca="false">IF(OR($D353=0,$G353=""),"",IF(AND($H353*($E353-$F353)&gt;0,$H353*($E353-$G353)&gt;0),"Sim","Nao"))</f>
        <v/>
      </c>
      <c r="L353" s="38" t="n">
        <f aca="false">IF(OR($D353=0,$G353=""),0,IF($K353="Sim",MAX(0,$H353*($E353-$I353)),0))</f>
        <v>0</v>
      </c>
      <c r="M353" s="35" t="n">
        <f aca="false">INDEX(Parametros_ANEC73!$G$4:$G$6,MATCH($C353,Parametros_ANEC73!$A$4:$A$6,0))</f>
        <v>47</v>
      </c>
      <c r="N353" s="38" t="n">
        <f aca="false">IF(OR($D353=0,$G353=""),0,IF(AND($K353="Sim",$M353&lt;&gt;""),MAX(0,$H353*($E353-$M353)),0))</f>
        <v>0</v>
      </c>
      <c r="O353" s="35" t="n">
        <f aca="false">INDEX(Parametros_ANEC73!$J$4:$J$6,MATCH($C353,Parametros_ANEC73!$A$4:$A$6,0))</f>
        <v>0</v>
      </c>
      <c r="P353" s="38" t="n">
        <f aca="false">IF(OR($D353=0,$G353=""),0,IF(AND($K353="Sim",$O353&lt;&gt;""),MAX(0,$H353*($E353-$O353)),0))</f>
        <v>0</v>
      </c>
      <c r="Q353" s="35" t="n">
        <f aca="false">INDEX(Parametros_ANEC73!$F$4:$F$6,MATCH($C353,Parametros_ANEC73!$A$4:$A$6,0))</f>
        <v>1</v>
      </c>
      <c r="R353" s="35" t="n">
        <f aca="false">INDEX(Parametros_ANEC73!$I$4:$I$6,MATCH($C353,Parametros_ANEC73!$A$4:$A$6,0))</f>
        <v>2</v>
      </c>
      <c r="S353" s="35" t="n">
        <f aca="false">INDEX(Parametros_ANEC73!$L$4:$L$6,MATCH($C353,Parametros_ANEC73!$A$4:$A$6,0))</f>
        <v>0</v>
      </c>
      <c r="T353" s="39" t="n">
        <f aca="false">INDEX(Parametros_ANEC73!$B$14:$B$25,MATCH($B353,Parametros_ANEC73!$A$14:$A$25,0))</f>
        <v>0</v>
      </c>
      <c r="U353" s="40" t="n">
        <f aca="false">IF(OR($D353=0,$G353=""),0,$D353*($T353/100)*($L353*$Q353+$N353*(IF($R353="",$Q353,$R353)-$Q353)+$P353*(IF($S353="",IF($R353="",$Q353,$R353),$S353)-IF($R353="",$Q353,$R353))))</f>
        <v>0</v>
      </c>
      <c r="V353" s="41" t="str">
        <f aca="false">IF(OR($D353=0,$G353=""),"",IF($H353*($E353-INDEX(Parametros_ANEC73!$M$4:$M$6,MATCH($C353,Parametros_ANEC73!$A$4:$A$6,0)))&gt;0,"Sim","Nao"))</f>
        <v/>
      </c>
      <c r="W353" s="27" t="str">
        <f aca="false">$A353&amp;"|"&amp;$B353&amp;"|"&amp;$C353</f>
        <v>Olfar|Out|Proteina</v>
      </c>
    </row>
    <row r="354" customFormat="false" ht="15" hidden="false" customHeight="false" outlineLevel="0" collapsed="false">
      <c r="A354" s="27" t="s">
        <v>48</v>
      </c>
      <c r="B354" s="27" t="s">
        <v>67</v>
      </c>
      <c r="C354" s="27" t="s">
        <v>110</v>
      </c>
      <c r="D354" s="34" t="n">
        <f aca="false">SUMIFS(Media_Cliente_Mes!$C$2:$C$145,Media_Cliente_Mes!$A$2:$A$145,$A354,Media_Cliente_Mes!$B$2:$B$145,$B354)</f>
        <v>0</v>
      </c>
      <c r="E354" s="35" t="str">
        <f aca="false">IF($D354=0,"",IF($C354="Proteina",SUMIFS(Media_Cliente_Mes!$D$2:$D$145,Media_Cliente_Mes!$A$2:$A$145,$A354,Media_Cliente_Mes!$B$2:$B$145,$B354),IF($C354="Umidade",SUMIFS(Media_Cliente_Mes!$E$2:$E$145,Media_Cliente_Mes!$A$2:$A$145,$A354,Media_Cliente_Mes!$B$2:$B$145,$B354),SUMIFS(Media_Cliente_Mes!$F$2:$F$145,Media_Cliente_Mes!$A$2:$A$145,$A354,Media_Cliente_Mes!$B$2:$B$145,$B354))))</f>
        <v/>
      </c>
      <c r="F354" s="35" t="n">
        <f aca="false">INDEX(Parametros_ANEC73!$C$4:$C$6,MATCH($C354,Parametros_ANEC73!$A$4:$A$6,0))</f>
        <v>12.5</v>
      </c>
      <c r="G354" s="35" t="str">
        <f aca="false">IF($C354="Proteina",INDEX(Media_Pool_Mes!$C$2:$C$13,MATCH($B354,Media_Pool_Mes!$A$2:$A$13,0)),IF($C354="Umidade",INDEX(Media_Pool_Mes!$D$2:$D$13,MATCH($B354,Media_Pool_Mes!$A$2:$A$13,0)),INDEX(Media_Pool_Mes!$E$2:$E$13,MATCH($B354,Media_Pool_Mes!$A$2:$A$13,0))))</f>
        <v/>
      </c>
      <c r="H354" s="37" t="n">
        <f aca="false">INDEX(Parametros_ANEC73!$B$4:$B$6,MATCH($C354,Parametros_ANEC73!$A$4:$A$6,0))</f>
        <v>1</v>
      </c>
      <c r="I354" s="38" t="str">
        <f aca="false">IF(OR($D354=0,$G354=""),"",IF($H354*($G354-$F354)&gt;0,$G354,$F354))</f>
        <v/>
      </c>
      <c r="J354" s="27" t="str">
        <f aca="false">IF(OR($D354=0,$G354=""),"",IF($H354*($G354-$F354)&gt;0,"Sim","Nao"))</f>
        <v/>
      </c>
      <c r="K354" s="27" t="str">
        <f aca="false">IF(OR($D354=0,$G354=""),"",IF(AND($H354*($E354-$F354)&gt;0,$H354*($E354-$G354)&gt;0),"Sim","Nao"))</f>
        <v/>
      </c>
      <c r="L354" s="38" t="n">
        <f aca="false">IF(OR($D354=0,$G354=""),0,IF($K354="Sim",MAX(0,$H354*($E354-$I354)),0))</f>
        <v>0</v>
      </c>
      <c r="M354" s="35" t="n">
        <f aca="false">INDEX(Parametros_ANEC73!$G$4:$G$6,MATCH($C354,Parametros_ANEC73!$A$4:$A$6,0))</f>
        <v>0</v>
      </c>
      <c r="N354" s="38" t="n">
        <f aca="false">IF(OR($D354=0,$G354=""),0,IF(AND($K354="Sim",$M354&lt;&gt;""),MAX(0,$H354*($E354-$M354)),0))</f>
        <v>0</v>
      </c>
      <c r="O354" s="35" t="n">
        <f aca="false">INDEX(Parametros_ANEC73!$J$4:$J$6,MATCH($C354,Parametros_ANEC73!$A$4:$A$6,0))</f>
        <v>0</v>
      </c>
      <c r="P354" s="38" t="n">
        <f aca="false">IF(OR($D354=0,$G354=""),0,IF(AND($K354="Sim",$O354&lt;&gt;""),MAX(0,$H354*($E354-$O354)),0))</f>
        <v>0</v>
      </c>
      <c r="Q354" s="35" t="n">
        <f aca="false">INDEX(Parametros_ANEC73!$F$4:$F$6,MATCH($C354,Parametros_ANEC73!$A$4:$A$6,0))</f>
        <v>1</v>
      </c>
      <c r="R354" s="35" t="n">
        <f aca="false">INDEX(Parametros_ANEC73!$I$4:$I$6,MATCH($C354,Parametros_ANEC73!$A$4:$A$6,0))</f>
        <v>0</v>
      </c>
      <c r="S354" s="35" t="n">
        <f aca="false">INDEX(Parametros_ANEC73!$L$4:$L$6,MATCH($C354,Parametros_ANEC73!$A$4:$A$6,0))</f>
        <v>0</v>
      </c>
      <c r="T354" s="39" t="n">
        <f aca="false">INDEX(Parametros_ANEC73!$B$14:$B$25,MATCH($B354,Parametros_ANEC73!$A$14:$A$25,0))</f>
        <v>0</v>
      </c>
      <c r="U354" s="40" t="n">
        <f aca="false">IF(OR($D354=0,$G354=""),0,$D354*($T354/100)*($L354*$Q354+$N354*(IF($R354="",$Q354,$R354)-$Q354)+$P354*(IF($S354="",IF($R354="",$Q354,$R354),$S354)-IF($R354="",$Q354,$R354))))</f>
        <v>0</v>
      </c>
      <c r="V354" s="41" t="str">
        <f aca="false">IF(OR($D354=0,$G354=""),"",IF($H354*($E354-INDEX(Parametros_ANEC73!$M$4:$M$6,MATCH($C354,Parametros_ANEC73!$A$4:$A$6,0)))&gt;0,"Sim","Nao"))</f>
        <v/>
      </c>
      <c r="W354" s="27" t="str">
        <f aca="false">$A354&amp;"|"&amp;$B354&amp;"|"&amp;$C354</f>
        <v>Olfar|Out|Umidade</v>
      </c>
    </row>
    <row r="355" customFormat="false" ht="15" hidden="false" customHeight="false" outlineLevel="0" collapsed="false">
      <c r="A355" s="27" t="s">
        <v>48</v>
      </c>
      <c r="B355" s="27" t="s">
        <v>67</v>
      </c>
      <c r="C355" s="27" t="s">
        <v>111</v>
      </c>
      <c r="D355" s="34" t="n">
        <f aca="false">SUMIFS(Media_Cliente_Mes!$C$2:$C$145,Media_Cliente_Mes!$A$2:$A$145,$A355,Media_Cliente_Mes!$B$2:$B$145,$B355)</f>
        <v>0</v>
      </c>
      <c r="E355" s="35" t="str">
        <f aca="false">IF($D355=0,"",IF($C355="Proteina",SUMIFS(Media_Cliente_Mes!$D$2:$D$145,Media_Cliente_Mes!$A$2:$A$145,$A355,Media_Cliente_Mes!$B$2:$B$145,$B355),IF($C355="Umidade",SUMIFS(Media_Cliente_Mes!$E$2:$E$145,Media_Cliente_Mes!$A$2:$A$145,$A355,Media_Cliente_Mes!$B$2:$B$145,$B355),SUMIFS(Media_Cliente_Mes!$F$2:$F$145,Media_Cliente_Mes!$A$2:$A$145,$A355,Media_Cliente_Mes!$B$2:$B$145,$B355))))</f>
        <v/>
      </c>
      <c r="F355" s="35" t="n">
        <f aca="false">INDEX(Parametros_ANEC73!$C$4:$C$6,MATCH($C355,Parametros_ANEC73!$A$4:$A$6,0))</f>
        <v>3.5</v>
      </c>
      <c r="G355" s="35" t="str">
        <f aca="false">IF($C355="Proteina",INDEX(Media_Pool_Mes!$C$2:$C$13,MATCH($B355,Media_Pool_Mes!$A$2:$A$13,0)),IF($C355="Umidade",INDEX(Media_Pool_Mes!$D$2:$D$13,MATCH($B355,Media_Pool_Mes!$A$2:$A$13,0)),INDEX(Media_Pool_Mes!$E$2:$E$13,MATCH($B355,Media_Pool_Mes!$A$2:$A$13,0))))</f>
        <v/>
      </c>
      <c r="H355" s="37" t="n">
        <f aca="false">INDEX(Parametros_ANEC73!$B$4:$B$6,MATCH($C355,Parametros_ANEC73!$A$4:$A$6,0))</f>
        <v>1</v>
      </c>
      <c r="I355" s="38" t="str">
        <f aca="false">IF(OR($D355=0,$G355=""),"",IF($H355*($G355-$F355)&gt;0,$G355,$F355))</f>
        <v/>
      </c>
      <c r="J355" s="27" t="str">
        <f aca="false">IF(OR($D355=0,$G355=""),"",IF($H355*($G355-$F355)&gt;0,"Sim","Nao"))</f>
        <v/>
      </c>
      <c r="K355" s="27" t="str">
        <f aca="false">IF(OR($D355=0,$G355=""),"",IF(AND($H355*($E355-$F355)&gt;0,$H355*($E355-$G355)&gt;0),"Sim","Nao"))</f>
        <v/>
      </c>
      <c r="L355" s="38" t="n">
        <f aca="false">IF(OR($D355=0,$G355=""),0,IF($K355="Sim",MAX(0,$H355*($E355-$I355)),0))</f>
        <v>0</v>
      </c>
      <c r="M355" s="35" t="n">
        <f aca="false">INDEX(Parametros_ANEC73!$G$4:$G$6,MATCH($C355,Parametros_ANEC73!$A$4:$A$6,0))</f>
        <v>3.8</v>
      </c>
      <c r="N355" s="38" t="n">
        <f aca="false">IF(OR($D355=0,$G355=""),0,IF(AND($K355="Sim",$M355&lt;&gt;""),MAX(0,$H355*($E355-$M355)),0))</f>
        <v>0</v>
      </c>
      <c r="O355" s="35" t="n">
        <f aca="false">INDEX(Parametros_ANEC73!$J$4:$J$6,MATCH($C355,Parametros_ANEC73!$A$4:$A$6,0))</f>
        <v>4</v>
      </c>
      <c r="P355" s="38" t="n">
        <f aca="false">IF(OR($D355=0,$G355=""),0,IF(AND($K355="Sim",$O355&lt;&gt;""),MAX(0,$H355*($E355-$O355)),0))</f>
        <v>0</v>
      </c>
      <c r="Q355" s="35" t="n">
        <f aca="false">INDEX(Parametros_ANEC73!$F$4:$F$6,MATCH($C355,Parametros_ANEC73!$A$4:$A$6,0))</f>
        <v>1</v>
      </c>
      <c r="R355" s="35" t="n">
        <f aca="false">INDEX(Parametros_ANEC73!$I$4:$I$6,MATCH($C355,Parametros_ANEC73!$A$4:$A$6,0))</f>
        <v>1.5</v>
      </c>
      <c r="S355" s="35" t="n">
        <f aca="false">INDEX(Parametros_ANEC73!$L$4:$L$6,MATCH($C355,Parametros_ANEC73!$A$4:$A$6,0))</f>
        <v>2</v>
      </c>
      <c r="T355" s="39" t="n">
        <f aca="false">INDEX(Parametros_ANEC73!$B$14:$B$25,MATCH($B355,Parametros_ANEC73!$A$14:$A$25,0))</f>
        <v>0</v>
      </c>
      <c r="U355" s="40" t="n">
        <f aca="false">IF(OR($D355=0,$G355=""),0,$D355*($T355/100)*($L355*$Q355+$N355*(IF($R355="",$Q355,$R355)-$Q355)+$P355*(IF($S355="",IF($R355="",$Q355,$R355),$S355)-IF($R355="",$Q355,$R355))))</f>
        <v>0</v>
      </c>
      <c r="V355" s="41" t="str">
        <f aca="false">IF(OR($D355=0,$G355=""),"",IF($H355*($E355-INDEX(Parametros_ANEC73!$M$4:$M$6,MATCH($C355,Parametros_ANEC73!$A$4:$A$6,0)))&gt;0,"Sim","Nao"))</f>
        <v/>
      </c>
      <c r="W355" s="27" t="str">
        <f aca="false">$A355&amp;"|"&amp;$B355&amp;"|"&amp;$C355</f>
        <v>Olfar|Out|Fibra</v>
      </c>
    </row>
    <row r="356" customFormat="false" ht="15" hidden="false" customHeight="false" outlineLevel="0" collapsed="false">
      <c r="A356" s="27" t="s">
        <v>48</v>
      </c>
      <c r="B356" s="27" t="s">
        <v>68</v>
      </c>
      <c r="C356" s="27" t="s">
        <v>109</v>
      </c>
      <c r="D356" s="34" t="n">
        <f aca="false">SUMIFS(Media_Cliente_Mes!$C$2:$C$145,Media_Cliente_Mes!$A$2:$A$145,$A356,Media_Cliente_Mes!$B$2:$B$145,$B356)</f>
        <v>0</v>
      </c>
      <c r="E356" s="35" t="str">
        <f aca="false">IF($D356=0,"",IF($C356="Proteina",SUMIFS(Media_Cliente_Mes!$D$2:$D$145,Media_Cliente_Mes!$A$2:$A$145,$A356,Media_Cliente_Mes!$B$2:$B$145,$B356),IF($C356="Umidade",SUMIFS(Media_Cliente_Mes!$E$2:$E$145,Media_Cliente_Mes!$A$2:$A$145,$A356,Media_Cliente_Mes!$B$2:$B$145,$B356),SUMIFS(Media_Cliente_Mes!$F$2:$F$145,Media_Cliente_Mes!$A$2:$A$145,$A356,Media_Cliente_Mes!$B$2:$B$145,$B356))))</f>
        <v/>
      </c>
      <c r="F356" s="35" t="n">
        <f aca="false">INDEX(Parametros_ANEC73!$C$4:$C$6,MATCH($C356,Parametros_ANEC73!$A$4:$A$6,0))</f>
        <v>48</v>
      </c>
      <c r="G356" s="35" t="str">
        <f aca="false">IF($C356="Proteina",INDEX(Media_Pool_Mes!$C$2:$C$13,MATCH($B356,Media_Pool_Mes!$A$2:$A$13,0)),IF($C356="Umidade",INDEX(Media_Pool_Mes!$D$2:$D$13,MATCH($B356,Media_Pool_Mes!$A$2:$A$13,0)),INDEX(Media_Pool_Mes!$E$2:$E$13,MATCH($B356,Media_Pool_Mes!$A$2:$A$13,0))))</f>
        <v/>
      </c>
      <c r="H356" s="37" t="n">
        <f aca="false">INDEX(Parametros_ANEC73!$B$4:$B$6,MATCH($C356,Parametros_ANEC73!$A$4:$A$6,0))</f>
        <v>-1</v>
      </c>
      <c r="I356" s="38" t="str">
        <f aca="false">IF(OR($D356=0,$G356=""),"",IF($H356*($G356-$F356)&gt;0,$G356,$F356))</f>
        <v/>
      </c>
      <c r="J356" s="27" t="str">
        <f aca="false">IF(OR($D356=0,$G356=""),"",IF($H356*($G356-$F356)&gt;0,"Sim","Nao"))</f>
        <v/>
      </c>
      <c r="K356" s="27" t="str">
        <f aca="false">IF(OR($D356=0,$G356=""),"",IF(AND($H356*($E356-$F356)&gt;0,$H356*($E356-$G356)&gt;0),"Sim","Nao"))</f>
        <v/>
      </c>
      <c r="L356" s="38" t="n">
        <f aca="false">IF(OR($D356=0,$G356=""),0,IF($K356="Sim",MAX(0,$H356*($E356-$I356)),0))</f>
        <v>0</v>
      </c>
      <c r="M356" s="35" t="n">
        <f aca="false">INDEX(Parametros_ANEC73!$G$4:$G$6,MATCH($C356,Parametros_ANEC73!$A$4:$A$6,0))</f>
        <v>47</v>
      </c>
      <c r="N356" s="38" t="n">
        <f aca="false">IF(OR($D356=0,$G356=""),0,IF(AND($K356="Sim",$M356&lt;&gt;""),MAX(0,$H356*($E356-$M356)),0))</f>
        <v>0</v>
      </c>
      <c r="O356" s="35" t="n">
        <f aca="false">INDEX(Parametros_ANEC73!$J$4:$J$6,MATCH($C356,Parametros_ANEC73!$A$4:$A$6,0))</f>
        <v>0</v>
      </c>
      <c r="P356" s="38" t="n">
        <f aca="false">IF(OR($D356=0,$G356=""),0,IF(AND($K356="Sim",$O356&lt;&gt;""),MAX(0,$H356*($E356-$O356)),0))</f>
        <v>0</v>
      </c>
      <c r="Q356" s="35" t="n">
        <f aca="false">INDEX(Parametros_ANEC73!$F$4:$F$6,MATCH($C356,Parametros_ANEC73!$A$4:$A$6,0))</f>
        <v>1</v>
      </c>
      <c r="R356" s="35" t="n">
        <f aca="false">INDEX(Parametros_ANEC73!$I$4:$I$6,MATCH($C356,Parametros_ANEC73!$A$4:$A$6,0))</f>
        <v>2</v>
      </c>
      <c r="S356" s="35" t="n">
        <f aca="false">INDEX(Parametros_ANEC73!$L$4:$L$6,MATCH($C356,Parametros_ANEC73!$A$4:$A$6,0))</f>
        <v>0</v>
      </c>
      <c r="T356" s="39" t="n">
        <f aca="false">INDEX(Parametros_ANEC73!$B$14:$B$25,MATCH($B356,Parametros_ANEC73!$A$14:$A$25,0))</f>
        <v>0</v>
      </c>
      <c r="U356" s="40" t="n">
        <f aca="false">IF(OR($D356=0,$G356=""),0,$D356*($T356/100)*($L356*$Q356+$N356*(IF($R356="",$Q356,$R356)-$Q356)+$P356*(IF($S356="",IF($R356="",$Q356,$R356),$S356)-IF($R356="",$Q356,$R356))))</f>
        <v>0</v>
      </c>
      <c r="V356" s="41" t="str">
        <f aca="false">IF(OR($D356=0,$G356=""),"",IF($H356*($E356-INDEX(Parametros_ANEC73!$M$4:$M$6,MATCH($C356,Parametros_ANEC73!$A$4:$A$6,0)))&gt;0,"Sim","Nao"))</f>
        <v/>
      </c>
      <c r="W356" s="27" t="str">
        <f aca="false">$A356&amp;"|"&amp;$B356&amp;"|"&amp;$C356</f>
        <v>Olfar|Nov|Proteina</v>
      </c>
    </row>
    <row r="357" customFormat="false" ht="15" hidden="false" customHeight="false" outlineLevel="0" collapsed="false">
      <c r="A357" s="27" t="s">
        <v>48</v>
      </c>
      <c r="B357" s="27" t="s">
        <v>68</v>
      </c>
      <c r="C357" s="27" t="s">
        <v>110</v>
      </c>
      <c r="D357" s="34" t="n">
        <f aca="false">SUMIFS(Media_Cliente_Mes!$C$2:$C$145,Media_Cliente_Mes!$A$2:$A$145,$A357,Media_Cliente_Mes!$B$2:$B$145,$B357)</f>
        <v>0</v>
      </c>
      <c r="E357" s="35" t="str">
        <f aca="false">IF($D357=0,"",IF($C357="Proteina",SUMIFS(Media_Cliente_Mes!$D$2:$D$145,Media_Cliente_Mes!$A$2:$A$145,$A357,Media_Cliente_Mes!$B$2:$B$145,$B357),IF($C357="Umidade",SUMIFS(Media_Cliente_Mes!$E$2:$E$145,Media_Cliente_Mes!$A$2:$A$145,$A357,Media_Cliente_Mes!$B$2:$B$145,$B357),SUMIFS(Media_Cliente_Mes!$F$2:$F$145,Media_Cliente_Mes!$A$2:$A$145,$A357,Media_Cliente_Mes!$B$2:$B$145,$B357))))</f>
        <v/>
      </c>
      <c r="F357" s="35" t="n">
        <f aca="false">INDEX(Parametros_ANEC73!$C$4:$C$6,MATCH($C357,Parametros_ANEC73!$A$4:$A$6,0))</f>
        <v>12.5</v>
      </c>
      <c r="G357" s="35" t="str">
        <f aca="false">IF($C357="Proteina",INDEX(Media_Pool_Mes!$C$2:$C$13,MATCH($B357,Media_Pool_Mes!$A$2:$A$13,0)),IF($C357="Umidade",INDEX(Media_Pool_Mes!$D$2:$D$13,MATCH($B357,Media_Pool_Mes!$A$2:$A$13,0)),INDEX(Media_Pool_Mes!$E$2:$E$13,MATCH($B357,Media_Pool_Mes!$A$2:$A$13,0))))</f>
        <v/>
      </c>
      <c r="H357" s="37" t="n">
        <f aca="false">INDEX(Parametros_ANEC73!$B$4:$B$6,MATCH($C357,Parametros_ANEC73!$A$4:$A$6,0))</f>
        <v>1</v>
      </c>
      <c r="I357" s="38" t="str">
        <f aca="false">IF(OR($D357=0,$G357=""),"",IF($H357*($G357-$F357)&gt;0,$G357,$F357))</f>
        <v/>
      </c>
      <c r="J357" s="27" t="str">
        <f aca="false">IF(OR($D357=0,$G357=""),"",IF($H357*($G357-$F357)&gt;0,"Sim","Nao"))</f>
        <v/>
      </c>
      <c r="K357" s="27" t="str">
        <f aca="false">IF(OR($D357=0,$G357=""),"",IF(AND($H357*($E357-$F357)&gt;0,$H357*($E357-$G357)&gt;0),"Sim","Nao"))</f>
        <v/>
      </c>
      <c r="L357" s="38" t="n">
        <f aca="false">IF(OR($D357=0,$G357=""),0,IF($K357="Sim",MAX(0,$H357*($E357-$I357)),0))</f>
        <v>0</v>
      </c>
      <c r="M357" s="35" t="n">
        <f aca="false">INDEX(Parametros_ANEC73!$G$4:$G$6,MATCH($C357,Parametros_ANEC73!$A$4:$A$6,0))</f>
        <v>0</v>
      </c>
      <c r="N357" s="38" t="n">
        <f aca="false">IF(OR($D357=0,$G357=""),0,IF(AND($K357="Sim",$M357&lt;&gt;""),MAX(0,$H357*($E357-$M357)),0))</f>
        <v>0</v>
      </c>
      <c r="O357" s="35" t="n">
        <f aca="false">INDEX(Parametros_ANEC73!$J$4:$J$6,MATCH($C357,Parametros_ANEC73!$A$4:$A$6,0))</f>
        <v>0</v>
      </c>
      <c r="P357" s="38" t="n">
        <f aca="false">IF(OR($D357=0,$G357=""),0,IF(AND($K357="Sim",$O357&lt;&gt;""),MAX(0,$H357*($E357-$O357)),0))</f>
        <v>0</v>
      </c>
      <c r="Q357" s="35" t="n">
        <f aca="false">INDEX(Parametros_ANEC73!$F$4:$F$6,MATCH($C357,Parametros_ANEC73!$A$4:$A$6,0))</f>
        <v>1</v>
      </c>
      <c r="R357" s="35" t="n">
        <f aca="false">INDEX(Parametros_ANEC73!$I$4:$I$6,MATCH($C357,Parametros_ANEC73!$A$4:$A$6,0))</f>
        <v>0</v>
      </c>
      <c r="S357" s="35" t="n">
        <f aca="false">INDEX(Parametros_ANEC73!$L$4:$L$6,MATCH($C357,Parametros_ANEC73!$A$4:$A$6,0))</f>
        <v>0</v>
      </c>
      <c r="T357" s="39" t="n">
        <f aca="false">INDEX(Parametros_ANEC73!$B$14:$B$25,MATCH($B357,Parametros_ANEC73!$A$14:$A$25,0))</f>
        <v>0</v>
      </c>
      <c r="U357" s="40" t="n">
        <f aca="false">IF(OR($D357=0,$G357=""),0,$D357*($T357/100)*($L357*$Q357+$N357*(IF($R357="",$Q357,$R357)-$Q357)+$P357*(IF($S357="",IF($R357="",$Q357,$R357),$S357)-IF($R357="",$Q357,$R357))))</f>
        <v>0</v>
      </c>
      <c r="V357" s="41" t="str">
        <f aca="false">IF(OR($D357=0,$G357=""),"",IF($H357*($E357-INDEX(Parametros_ANEC73!$M$4:$M$6,MATCH($C357,Parametros_ANEC73!$A$4:$A$6,0)))&gt;0,"Sim","Nao"))</f>
        <v/>
      </c>
      <c r="W357" s="27" t="str">
        <f aca="false">$A357&amp;"|"&amp;$B357&amp;"|"&amp;$C357</f>
        <v>Olfar|Nov|Umidade</v>
      </c>
    </row>
    <row r="358" customFormat="false" ht="15" hidden="false" customHeight="false" outlineLevel="0" collapsed="false">
      <c r="A358" s="27" t="s">
        <v>48</v>
      </c>
      <c r="B358" s="27" t="s">
        <v>68</v>
      </c>
      <c r="C358" s="27" t="s">
        <v>111</v>
      </c>
      <c r="D358" s="34" t="n">
        <f aca="false">SUMIFS(Media_Cliente_Mes!$C$2:$C$145,Media_Cliente_Mes!$A$2:$A$145,$A358,Media_Cliente_Mes!$B$2:$B$145,$B358)</f>
        <v>0</v>
      </c>
      <c r="E358" s="35" t="str">
        <f aca="false">IF($D358=0,"",IF($C358="Proteina",SUMIFS(Media_Cliente_Mes!$D$2:$D$145,Media_Cliente_Mes!$A$2:$A$145,$A358,Media_Cliente_Mes!$B$2:$B$145,$B358),IF($C358="Umidade",SUMIFS(Media_Cliente_Mes!$E$2:$E$145,Media_Cliente_Mes!$A$2:$A$145,$A358,Media_Cliente_Mes!$B$2:$B$145,$B358),SUMIFS(Media_Cliente_Mes!$F$2:$F$145,Media_Cliente_Mes!$A$2:$A$145,$A358,Media_Cliente_Mes!$B$2:$B$145,$B358))))</f>
        <v/>
      </c>
      <c r="F358" s="35" t="n">
        <f aca="false">INDEX(Parametros_ANEC73!$C$4:$C$6,MATCH($C358,Parametros_ANEC73!$A$4:$A$6,0))</f>
        <v>3.5</v>
      </c>
      <c r="G358" s="35" t="str">
        <f aca="false">IF($C358="Proteina",INDEX(Media_Pool_Mes!$C$2:$C$13,MATCH($B358,Media_Pool_Mes!$A$2:$A$13,0)),IF($C358="Umidade",INDEX(Media_Pool_Mes!$D$2:$D$13,MATCH($B358,Media_Pool_Mes!$A$2:$A$13,0)),INDEX(Media_Pool_Mes!$E$2:$E$13,MATCH($B358,Media_Pool_Mes!$A$2:$A$13,0))))</f>
        <v/>
      </c>
      <c r="H358" s="37" t="n">
        <f aca="false">INDEX(Parametros_ANEC73!$B$4:$B$6,MATCH($C358,Parametros_ANEC73!$A$4:$A$6,0))</f>
        <v>1</v>
      </c>
      <c r="I358" s="38" t="str">
        <f aca="false">IF(OR($D358=0,$G358=""),"",IF($H358*($G358-$F358)&gt;0,$G358,$F358))</f>
        <v/>
      </c>
      <c r="J358" s="27" t="str">
        <f aca="false">IF(OR($D358=0,$G358=""),"",IF($H358*($G358-$F358)&gt;0,"Sim","Nao"))</f>
        <v/>
      </c>
      <c r="K358" s="27" t="str">
        <f aca="false">IF(OR($D358=0,$G358=""),"",IF(AND($H358*($E358-$F358)&gt;0,$H358*($E358-$G358)&gt;0),"Sim","Nao"))</f>
        <v/>
      </c>
      <c r="L358" s="38" t="n">
        <f aca="false">IF(OR($D358=0,$G358=""),0,IF($K358="Sim",MAX(0,$H358*($E358-$I358)),0))</f>
        <v>0</v>
      </c>
      <c r="M358" s="35" t="n">
        <f aca="false">INDEX(Parametros_ANEC73!$G$4:$G$6,MATCH($C358,Parametros_ANEC73!$A$4:$A$6,0))</f>
        <v>3.8</v>
      </c>
      <c r="N358" s="38" t="n">
        <f aca="false">IF(OR($D358=0,$G358=""),0,IF(AND($K358="Sim",$M358&lt;&gt;""),MAX(0,$H358*($E358-$M358)),0))</f>
        <v>0</v>
      </c>
      <c r="O358" s="35" t="n">
        <f aca="false">INDEX(Parametros_ANEC73!$J$4:$J$6,MATCH($C358,Parametros_ANEC73!$A$4:$A$6,0))</f>
        <v>4</v>
      </c>
      <c r="P358" s="38" t="n">
        <f aca="false">IF(OR($D358=0,$G358=""),0,IF(AND($K358="Sim",$O358&lt;&gt;""),MAX(0,$H358*($E358-$O358)),0))</f>
        <v>0</v>
      </c>
      <c r="Q358" s="35" t="n">
        <f aca="false">INDEX(Parametros_ANEC73!$F$4:$F$6,MATCH($C358,Parametros_ANEC73!$A$4:$A$6,0))</f>
        <v>1</v>
      </c>
      <c r="R358" s="35" t="n">
        <f aca="false">INDEX(Parametros_ANEC73!$I$4:$I$6,MATCH($C358,Parametros_ANEC73!$A$4:$A$6,0))</f>
        <v>1.5</v>
      </c>
      <c r="S358" s="35" t="n">
        <f aca="false">INDEX(Parametros_ANEC73!$L$4:$L$6,MATCH($C358,Parametros_ANEC73!$A$4:$A$6,0))</f>
        <v>2</v>
      </c>
      <c r="T358" s="39" t="n">
        <f aca="false">INDEX(Parametros_ANEC73!$B$14:$B$25,MATCH($B358,Parametros_ANEC73!$A$14:$A$25,0))</f>
        <v>0</v>
      </c>
      <c r="U358" s="40" t="n">
        <f aca="false">IF(OR($D358=0,$G358=""),0,$D358*($T358/100)*($L358*$Q358+$N358*(IF($R358="",$Q358,$R358)-$Q358)+$P358*(IF($S358="",IF($R358="",$Q358,$R358),$S358)-IF($R358="",$Q358,$R358))))</f>
        <v>0</v>
      </c>
      <c r="V358" s="41" t="str">
        <f aca="false">IF(OR($D358=0,$G358=""),"",IF($H358*($E358-INDEX(Parametros_ANEC73!$M$4:$M$6,MATCH($C358,Parametros_ANEC73!$A$4:$A$6,0)))&gt;0,"Sim","Nao"))</f>
        <v/>
      </c>
      <c r="W358" s="27" t="str">
        <f aca="false">$A358&amp;"|"&amp;$B358&amp;"|"&amp;$C358</f>
        <v>Olfar|Nov|Fibra</v>
      </c>
    </row>
    <row r="359" customFormat="false" ht="15" hidden="false" customHeight="false" outlineLevel="0" collapsed="false">
      <c r="A359" s="27" t="s">
        <v>48</v>
      </c>
      <c r="B359" s="27" t="s">
        <v>69</v>
      </c>
      <c r="C359" s="27" t="s">
        <v>109</v>
      </c>
      <c r="D359" s="34" t="n">
        <f aca="false">SUMIFS(Media_Cliente_Mes!$C$2:$C$145,Media_Cliente_Mes!$A$2:$A$145,$A359,Media_Cliente_Mes!$B$2:$B$145,$B359)</f>
        <v>0</v>
      </c>
      <c r="E359" s="35" t="str">
        <f aca="false">IF($D359=0,"",IF($C359="Proteina",SUMIFS(Media_Cliente_Mes!$D$2:$D$145,Media_Cliente_Mes!$A$2:$A$145,$A359,Media_Cliente_Mes!$B$2:$B$145,$B359),IF($C359="Umidade",SUMIFS(Media_Cliente_Mes!$E$2:$E$145,Media_Cliente_Mes!$A$2:$A$145,$A359,Media_Cliente_Mes!$B$2:$B$145,$B359),SUMIFS(Media_Cliente_Mes!$F$2:$F$145,Media_Cliente_Mes!$A$2:$A$145,$A359,Media_Cliente_Mes!$B$2:$B$145,$B359))))</f>
        <v/>
      </c>
      <c r="F359" s="35" t="n">
        <f aca="false">INDEX(Parametros_ANEC73!$C$4:$C$6,MATCH($C359,Parametros_ANEC73!$A$4:$A$6,0))</f>
        <v>48</v>
      </c>
      <c r="G359" s="35" t="str">
        <f aca="false">IF($C359="Proteina",INDEX(Media_Pool_Mes!$C$2:$C$13,MATCH($B359,Media_Pool_Mes!$A$2:$A$13,0)),IF($C359="Umidade",INDEX(Media_Pool_Mes!$D$2:$D$13,MATCH($B359,Media_Pool_Mes!$A$2:$A$13,0)),INDEX(Media_Pool_Mes!$E$2:$E$13,MATCH($B359,Media_Pool_Mes!$A$2:$A$13,0))))</f>
        <v/>
      </c>
      <c r="H359" s="37" t="n">
        <f aca="false">INDEX(Parametros_ANEC73!$B$4:$B$6,MATCH($C359,Parametros_ANEC73!$A$4:$A$6,0))</f>
        <v>-1</v>
      </c>
      <c r="I359" s="38" t="str">
        <f aca="false">IF(OR($D359=0,$G359=""),"",IF($H359*($G359-$F359)&gt;0,$G359,$F359))</f>
        <v/>
      </c>
      <c r="J359" s="27" t="str">
        <f aca="false">IF(OR($D359=0,$G359=""),"",IF($H359*($G359-$F359)&gt;0,"Sim","Nao"))</f>
        <v/>
      </c>
      <c r="K359" s="27" t="str">
        <f aca="false">IF(OR($D359=0,$G359=""),"",IF(AND($H359*($E359-$F359)&gt;0,$H359*($E359-$G359)&gt;0),"Sim","Nao"))</f>
        <v/>
      </c>
      <c r="L359" s="38" t="n">
        <f aca="false">IF(OR($D359=0,$G359=""),0,IF($K359="Sim",MAX(0,$H359*($E359-$I359)),0))</f>
        <v>0</v>
      </c>
      <c r="M359" s="35" t="n">
        <f aca="false">INDEX(Parametros_ANEC73!$G$4:$G$6,MATCH($C359,Parametros_ANEC73!$A$4:$A$6,0))</f>
        <v>47</v>
      </c>
      <c r="N359" s="38" t="n">
        <f aca="false">IF(OR($D359=0,$G359=""),0,IF(AND($K359="Sim",$M359&lt;&gt;""),MAX(0,$H359*($E359-$M359)),0))</f>
        <v>0</v>
      </c>
      <c r="O359" s="35" t="n">
        <f aca="false">INDEX(Parametros_ANEC73!$J$4:$J$6,MATCH($C359,Parametros_ANEC73!$A$4:$A$6,0))</f>
        <v>0</v>
      </c>
      <c r="P359" s="38" t="n">
        <f aca="false">IF(OR($D359=0,$G359=""),0,IF(AND($K359="Sim",$O359&lt;&gt;""),MAX(0,$H359*($E359-$O359)),0))</f>
        <v>0</v>
      </c>
      <c r="Q359" s="35" t="n">
        <f aca="false">INDEX(Parametros_ANEC73!$F$4:$F$6,MATCH($C359,Parametros_ANEC73!$A$4:$A$6,0))</f>
        <v>1</v>
      </c>
      <c r="R359" s="35" t="n">
        <f aca="false">INDEX(Parametros_ANEC73!$I$4:$I$6,MATCH($C359,Parametros_ANEC73!$A$4:$A$6,0))</f>
        <v>2</v>
      </c>
      <c r="S359" s="35" t="n">
        <f aca="false">INDEX(Parametros_ANEC73!$L$4:$L$6,MATCH($C359,Parametros_ANEC73!$A$4:$A$6,0))</f>
        <v>0</v>
      </c>
      <c r="T359" s="39" t="n">
        <f aca="false">INDEX(Parametros_ANEC73!$B$14:$B$25,MATCH($B359,Parametros_ANEC73!$A$14:$A$25,0))</f>
        <v>0</v>
      </c>
      <c r="U359" s="40" t="n">
        <f aca="false">IF(OR($D359=0,$G359=""),0,$D359*($T359/100)*($L359*$Q359+$N359*(IF($R359="",$Q359,$R359)-$Q359)+$P359*(IF($S359="",IF($R359="",$Q359,$R359),$S359)-IF($R359="",$Q359,$R359))))</f>
        <v>0</v>
      </c>
      <c r="V359" s="41" t="str">
        <f aca="false">IF(OR($D359=0,$G359=""),"",IF($H359*($E359-INDEX(Parametros_ANEC73!$M$4:$M$6,MATCH($C359,Parametros_ANEC73!$A$4:$A$6,0)))&gt;0,"Sim","Nao"))</f>
        <v/>
      </c>
      <c r="W359" s="27" t="str">
        <f aca="false">$A359&amp;"|"&amp;$B359&amp;"|"&amp;$C359</f>
        <v>Olfar|Dez|Proteina</v>
      </c>
    </row>
    <row r="360" customFormat="false" ht="15" hidden="false" customHeight="false" outlineLevel="0" collapsed="false">
      <c r="A360" s="27" t="s">
        <v>48</v>
      </c>
      <c r="B360" s="27" t="s">
        <v>69</v>
      </c>
      <c r="C360" s="27" t="s">
        <v>110</v>
      </c>
      <c r="D360" s="34" t="n">
        <f aca="false">SUMIFS(Media_Cliente_Mes!$C$2:$C$145,Media_Cliente_Mes!$A$2:$A$145,$A360,Media_Cliente_Mes!$B$2:$B$145,$B360)</f>
        <v>0</v>
      </c>
      <c r="E360" s="35" t="str">
        <f aca="false">IF($D360=0,"",IF($C360="Proteina",SUMIFS(Media_Cliente_Mes!$D$2:$D$145,Media_Cliente_Mes!$A$2:$A$145,$A360,Media_Cliente_Mes!$B$2:$B$145,$B360),IF($C360="Umidade",SUMIFS(Media_Cliente_Mes!$E$2:$E$145,Media_Cliente_Mes!$A$2:$A$145,$A360,Media_Cliente_Mes!$B$2:$B$145,$B360),SUMIFS(Media_Cliente_Mes!$F$2:$F$145,Media_Cliente_Mes!$A$2:$A$145,$A360,Media_Cliente_Mes!$B$2:$B$145,$B360))))</f>
        <v/>
      </c>
      <c r="F360" s="35" t="n">
        <f aca="false">INDEX(Parametros_ANEC73!$C$4:$C$6,MATCH($C360,Parametros_ANEC73!$A$4:$A$6,0))</f>
        <v>12.5</v>
      </c>
      <c r="G360" s="35" t="str">
        <f aca="false">IF($C360="Proteina",INDEX(Media_Pool_Mes!$C$2:$C$13,MATCH($B360,Media_Pool_Mes!$A$2:$A$13,0)),IF($C360="Umidade",INDEX(Media_Pool_Mes!$D$2:$D$13,MATCH($B360,Media_Pool_Mes!$A$2:$A$13,0)),INDEX(Media_Pool_Mes!$E$2:$E$13,MATCH($B360,Media_Pool_Mes!$A$2:$A$13,0))))</f>
        <v/>
      </c>
      <c r="H360" s="37" t="n">
        <f aca="false">INDEX(Parametros_ANEC73!$B$4:$B$6,MATCH($C360,Parametros_ANEC73!$A$4:$A$6,0))</f>
        <v>1</v>
      </c>
      <c r="I360" s="38" t="str">
        <f aca="false">IF(OR($D360=0,$G360=""),"",IF($H360*($G360-$F360)&gt;0,$G360,$F360))</f>
        <v/>
      </c>
      <c r="J360" s="27" t="str">
        <f aca="false">IF(OR($D360=0,$G360=""),"",IF($H360*($G360-$F360)&gt;0,"Sim","Nao"))</f>
        <v/>
      </c>
      <c r="K360" s="27" t="str">
        <f aca="false">IF(OR($D360=0,$G360=""),"",IF(AND($H360*($E360-$F360)&gt;0,$H360*($E360-$G360)&gt;0),"Sim","Nao"))</f>
        <v/>
      </c>
      <c r="L360" s="38" t="n">
        <f aca="false">IF(OR($D360=0,$G360=""),0,IF($K360="Sim",MAX(0,$H360*($E360-$I360)),0))</f>
        <v>0</v>
      </c>
      <c r="M360" s="35" t="n">
        <f aca="false">INDEX(Parametros_ANEC73!$G$4:$G$6,MATCH($C360,Parametros_ANEC73!$A$4:$A$6,0))</f>
        <v>0</v>
      </c>
      <c r="N360" s="38" t="n">
        <f aca="false">IF(OR($D360=0,$G360=""),0,IF(AND($K360="Sim",$M360&lt;&gt;""),MAX(0,$H360*($E360-$M360)),0))</f>
        <v>0</v>
      </c>
      <c r="O360" s="35" t="n">
        <f aca="false">INDEX(Parametros_ANEC73!$J$4:$J$6,MATCH($C360,Parametros_ANEC73!$A$4:$A$6,0))</f>
        <v>0</v>
      </c>
      <c r="P360" s="38" t="n">
        <f aca="false">IF(OR($D360=0,$G360=""),0,IF(AND($K360="Sim",$O360&lt;&gt;""),MAX(0,$H360*($E360-$O360)),0))</f>
        <v>0</v>
      </c>
      <c r="Q360" s="35" t="n">
        <f aca="false">INDEX(Parametros_ANEC73!$F$4:$F$6,MATCH($C360,Parametros_ANEC73!$A$4:$A$6,0))</f>
        <v>1</v>
      </c>
      <c r="R360" s="35" t="n">
        <f aca="false">INDEX(Parametros_ANEC73!$I$4:$I$6,MATCH($C360,Parametros_ANEC73!$A$4:$A$6,0))</f>
        <v>0</v>
      </c>
      <c r="S360" s="35" t="n">
        <f aca="false">INDEX(Parametros_ANEC73!$L$4:$L$6,MATCH($C360,Parametros_ANEC73!$A$4:$A$6,0))</f>
        <v>0</v>
      </c>
      <c r="T360" s="39" t="n">
        <f aca="false">INDEX(Parametros_ANEC73!$B$14:$B$25,MATCH($B360,Parametros_ANEC73!$A$14:$A$25,0))</f>
        <v>0</v>
      </c>
      <c r="U360" s="40" t="n">
        <f aca="false">IF(OR($D360=0,$G360=""),0,$D360*($T360/100)*($L360*$Q360+$N360*(IF($R360="",$Q360,$R360)-$Q360)+$P360*(IF($S360="",IF($R360="",$Q360,$R360),$S360)-IF($R360="",$Q360,$R360))))</f>
        <v>0</v>
      </c>
      <c r="V360" s="41" t="str">
        <f aca="false">IF(OR($D360=0,$G360=""),"",IF($H360*($E360-INDEX(Parametros_ANEC73!$M$4:$M$6,MATCH($C360,Parametros_ANEC73!$A$4:$A$6,0)))&gt;0,"Sim","Nao"))</f>
        <v/>
      </c>
      <c r="W360" s="27" t="str">
        <f aca="false">$A360&amp;"|"&amp;$B360&amp;"|"&amp;$C360</f>
        <v>Olfar|Dez|Umidade</v>
      </c>
    </row>
    <row r="361" customFormat="false" ht="15" hidden="false" customHeight="false" outlineLevel="0" collapsed="false">
      <c r="A361" s="27" t="s">
        <v>48</v>
      </c>
      <c r="B361" s="27" t="s">
        <v>69</v>
      </c>
      <c r="C361" s="27" t="s">
        <v>111</v>
      </c>
      <c r="D361" s="34" t="n">
        <f aca="false">SUMIFS(Media_Cliente_Mes!$C$2:$C$145,Media_Cliente_Mes!$A$2:$A$145,$A361,Media_Cliente_Mes!$B$2:$B$145,$B361)</f>
        <v>0</v>
      </c>
      <c r="E361" s="35" t="str">
        <f aca="false">IF($D361=0,"",IF($C361="Proteina",SUMIFS(Media_Cliente_Mes!$D$2:$D$145,Media_Cliente_Mes!$A$2:$A$145,$A361,Media_Cliente_Mes!$B$2:$B$145,$B361),IF($C361="Umidade",SUMIFS(Media_Cliente_Mes!$E$2:$E$145,Media_Cliente_Mes!$A$2:$A$145,$A361,Media_Cliente_Mes!$B$2:$B$145,$B361),SUMIFS(Media_Cliente_Mes!$F$2:$F$145,Media_Cliente_Mes!$A$2:$A$145,$A361,Media_Cliente_Mes!$B$2:$B$145,$B361))))</f>
        <v/>
      </c>
      <c r="F361" s="35" t="n">
        <f aca="false">INDEX(Parametros_ANEC73!$C$4:$C$6,MATCH($C361,Parametros_ANEC73!$A$4:$A$6,0))</f>
        <v>3.5</v>
      </c>
      <c r="G361" s="35" t="str">
        <f aca="false">IF($C361="Proteina",INDEX(Media_Pool_Mes!$C$2:$C$13,MATCH($B361,Media_Pool_Mes!$A$2:$A$13,0)),IF($C361="Umidade",INDEX(Media_Pool_Mes!$D$2:$D$13,MATCH($B361,Media_Pool_Mes!$A$2:$A$13,0)),INDEX(Media_Pool_Mes!$E$2:$E$13,MATCH($B361,Media_Pool_Mes!$A$2:$A$13,0))))</f>
        <v/>
      </c>
      <c r="H361" s="37" t="n">
        <f aca="false">INDEX(Parametros_ANEC73!$B$4:$B$6,MATCH($C361,Parametros_ANEC73!$A$4:$A$6,0))</f>
        <v>1</v>
      </c>
      <c r="I361" s="38" t="str">
        <f aca="false">IF(OR($D361=0,$G361=""),"",IF($H361*($G361-$F361)&gt;0,$G361,$F361))</f>
        <v/>
      </c>
      <c r="J361" s="27" t="str">
        <f aca="false">IF(OR($D361=0,$G361=""),"",IF($H361*($G361-$F361)&gt;0,"Sim","Nao"))</f>
        <v/>
      </c>
      <c r="K361" s="27" t="str">
        <f aca="false">IF(OR($D361=0,$G361=""),"",IF(AND($H361*($E361-$F361)&gt;0,$H361*($E361-$G361)&gt;0),"Sim","Nao"))</f>
        <v/>
      </c>
      <c r="L361" s="38" t="n">
        <f aca="false">IF(OR($D361=0,$G361=""),0,IF($K361="Sim",MAX(0,$H361*($E361-$I361)),0))</f>
        <v>0</v>
      </c>
      <c r="M361" s="35" t="n">
        <f aca="false">INDEX(Parametros_ANEC73!$G$4:$G$6,MATCH($C361,Parametros_ANEC73!$A$4:$A$6,0))</f>
        <v>3.8</v>
      </c>
      <c r="N361" s="38" t="n">
        <f aca="false">IF(OR($D361=0,$G361=""),0,IF(AND($K361="Sim",$M361&lt;&gt;""),MAX(0,$H361*($E361-$M361)),0))</f>
        <v>0</v>
      </c>
      <c r="O361" s="35" t="n">
        <f aca="false">INDEX(Parametros_ANEC73!$J$4:$J$6,MATCH($C361,Parametros_ANEC73!$A$4:$A$6,0))</f>
        <v>4</v>
      </c>
      <c r="P361" s="38" t="n">
        <f aca="false">IF(OR($D361=0,$G361=""),0,IF(AND($K361="Sim",$O361&lt;&gt;""),MAX(0,$H361*($E361-$O361)),0))</f>
        <v>0</v>
      </c>
      <c r="Q361" s="35" t="n">
        <f aca="false">INDEX(Parametros_ANEC73!$F$4:$F$6,MATCH($C361,Parametros_ANEC73!$A$4:$A$6,0))</f>
        <v>1</v>
      </c>
      <c r="R361" s="35" t="n">
        <f aca="false">INDEX(Parametros_ANEC73!$I$4:$I$6,MATCH($C361,Parametros_ANEC73!$A$4:$A$6,0))</f>
        <v>1.5</v>
      </c>
      <c r="S361" s="35" t="n">
        <f aca="false">INDEX(Parametros_ANEC73!$L$4:$L$6,MATCH($C361,Parametros_ANEC73!$A$4:$A$6,0))</f>
        <v>2</v>
      </c>
      <c r="T361" s="39" t="n">
        <f aca="false">INDEX(Parametros_ANEC73!$B$14:$B$25,MATCH($B361,Parametros_ANEC73!$A$14:$A$25,0))</f>
        <v>0</v>
      </c>
      <c r="U361" s="40" t="n">
        <f aca="false">IF(OR($D361=0,$G361=""),0,$D361*($T361/100)*($L361*$Q361+$N361*(IF($R361="",$Q361,$R361)-$Q361)+$P361*(IF($S361="",IF($R361="",$Q361,$R361),$S361)-IF($R361="",$Q361,$R361))))</f>
        <v>0</v>
      </c>
      <c r="V361" s="41" t="str">
        <f aca="false">IF(OR($D361=0,$G361=""),"",IF($H361*($E361-INDEX(Parametros_ANEC73!$M$4:$M$6,MATCH($C361,Parametros_ANEC73!$A$4:$A$6,0)))&gt;0,"Sim","Nao"))</f>
        <v/>
      </c>
      <c r="W361" s="27" t="str">
        <f aca="false">$A361&amp;"|"&amp;$B361&amp;"|"&amp;$C361</f>
        <v>Olfar|Dez|Fibra</v>
      </c>
    </row>
    <row r="362" customFormat="false" ht="15" hidden="false" customHeight="false" outlineLevel="0" collapsed="false">
      <c r="A362" s="27" t="s">
        <v>49</v>
      </c>
      <c r="B362" s="27" t="s">
        <v>38</v>
      </c>
      <c r="C362" s="27" t="s">
        <v>109</v>
      </c>
      <c r="D362" s="34" t="n">
        <f aca="false">SUMIFS(Media_Cliente_Mes!$C$2:$C$145,Media_Cliente_Mes!$A$2:$A$145,$A362,Media_Cliente_Mes!$B$2:$B$145,$B362)</f>
        <v>0</v>
      </c>
      <c r="E362" s="35" t="str">
        <f aca="false">IF($D362=0,"",IF($C362="Proteina",SUMIFS(Media_Cliente_Mes!$D$2:$D$145,Media_Cliente_Mes!$A$2:$A$145,$A362,Media_Cliente_Mes!$B$2:$B$145,$B362),IF($C362="Umidade",SUMIFS(Media_Cliente_Mes!$E$2:$E$145,Media_Cliente_Mes!$A$2:$A$145,$A362,Media_Cliente_Mes!$B$2:$B$145,$B362),SUMIFS(Media_Cliente_Mes!$F$2:$F$145,Media_Cliente_Mes!$A$2:$A$145,$A362,Media_Cliente_Mes!$B$2:$B$145,$B362))))</f>
        <v/>
      </c>
      <c r="F362" s="35" t="n">
        <f aca="false">INDEX(Parametros_ANEC73!$C$4:$C$6,MATCH($C362,Parametros_ANEC73!$A$4:$A$6,0))</f>
        <v>48</v>
      </c>
      <c r="G362" s="35" t="n">
        <f aca="false">IF($C362="Proteina",INDEX(Media_Pool_Mes!$C$2:$C$13,MATCH($B362,Media_Pool_Mes!$A$2:$A$13,0)),IF($C362="Umidade",INDEX(Media_Pool_Mes!$D$2:$D$13,MATCH($B362,Media_Pool_Mes!$A$2:$A$13,0)),INDEX(Media_Pool_Mes!$E$2:$E$13,MATCH($B362,Media_Pool_Mes!$A$2:$A$13,0))))</f>
        <v>47.8154367670349</v>
      </c>
      <c r="H362" s="37" t="n">
        <f aca="false">INDEX(Parametros_ANEC73!$B$4:$B$6,MATCH($C362,Parametros_ANEC73!$A$4:$A$6,0))</f>
        <v>-1</v>
      </c>
      <c r="I362" s="38" t="str">
        <f aca="false">IF(OR($D362=0,$G362=""),"",IF($H362*($G362-$F362)&gt;0,$G362,$F362))</f>
        <v/>
      </c>
      <c r="J362" s="27" t="str">
        <f aca="false">IF(OR($D362=0,$G362=""),"",IF($H362*($G362-$F362)&gt;0,"Sim","Nao"))</f>
        <v/>
      </c>
      <c r="K362" s="27" t="str">
        <f aca="false">IF(OR($D362=0,$G362=""),"",IF(AND($H362*($E362-$F362)&gt;0,$H362*($E362-$G362)&gt;0),"Sim","Nao"))</f>
        <v/>
      </c>
      <c r="L362" s="38" t="n">
        <f aca="false">IF(OR($D362=0,$G362=""),0,IF($K362="Sim",MAX(0,$H362*($E362-$I362)),0))</f>
        <v>0</v>
      </c>
      <c r="M362" s="35" t="n">
        <f aca="false">INDEX(Parametros_ANEC73!$G$4:$G$6,MATCH($C362,Parametros_ANEC73!$A$4:$A$6,0))</f>
        <v>47</v>
      </c>
      <c r="N362" s="38" t="n">
        <f aca="false">IF(OR($D362=0,$G362=""),0,IF(AND($K362="Sim",$M362&lt;&gt;""),MAX(0,$H362*($E362-$M362)),0))</f>
        <v>0</v>
      </c>
      <c r="O362" s="35" t="n">
        <f aca="false">INDEX(Parametros_ANEC73!$J$4:$J$6,MATCH($C362,Parametros_ANEC73!$A$4:$A$6,0))</f>
        <v>0</v>
      </c>
      <c r="P362" s="38" t="n">
        <f aca="false">IF(OR($D362=0,$G362=""),0,IF(AND($K362="Sim",$O362&lt;&gt;""),MAX(0,$H362*($E362-$O362)),0))</f>
        <v>0</v>
      </c>
      <c r="Q362" s="35" t="n">
        <f aca="false">INDEX(Parametros_ANEC73!$F$4:$F$6,MATCH($C362,Parametros_ANEC73!$A$4:$A$6,0))</f>
        <v>1</v>
      </c>
      <c r="R362" s="35" t="n">
        <f aca="false">INDEX(Parametros_ANEC73!$I$4:$I$6,MATCH($C362,Parametros_ANEC73!$A$4:$A$6,0))</f>
        <v>2</v>
      </c>
      <c r="S362" s="35" t="n">
        <f aca="false">INDEX(Parametros_ANEC73!$L$4:$L$6,MATCH($C362,Parametros_ANEC73!$A$4:$A$6,0))</f>
        <v>0</v>
      </c>
      <c r="T362" s="39" t="n">
        <f aca="false">INDEX(Parametros_ANEC73!$B$14:$B$25,MATCH($B362,Parametros_ANEC73!$A$14:$A$25,0))</f>
        <v>386</v>
      </c>
      <c r="U362" s="40" t="n">
        <f aca="false">IF(OR($D362=0,$G362=""),0,$D362*($T362/100)*($L362*$Q362+$N362*(IF($R362="",$Q362,$R362)-$Q362)+$P362*(IF($S362="",IF($R362="",$Q362,$R362),$S362)-IF($R362="",$Q362,$R362))))</f>
        <v>0</v>
      </c>
      <c r="V362" s="41" t="str">
        <f aca="false">IF(OR($D362=0,$G362=""),"",IF($H362*($E362-INDEX(Parametros_ANEC73!$M$4:$M$6,MATCH($C362,Parametros_ANEC73!$A$4:$A$6,0)))&gt;0,"Sim","Nao"))</f>
        <v/>
      </c>
      <c r="W362" s="27" t="str">
        <f aca="false">$A362&amp;"|"&amp;$B362&amp;"|"&amp;$C362</f>
        <v>Novo06|Jan|Proteina</v>
      </c>
    </row>
    <row r="363" customFormat="false" ht="15" hidden="false" customHeight="false" outlineLevel="0" collapsed="false">
      <c r="A363" s="27" t="s">
        <v>49</v>
      </c>
      <c r="B363" s="27" t="s">
        <v>38</v>
      </c>
      <c r="C363" s="27" t="s">
        <v>110</v>
      </c>
      <c r="D363" s="34" t="n">
        <f aca="false">SUMIFS(Media_Cliente_Mes!$C$2:$C$145,Media_Cliente_Mes!$A$2:$A$145,$A363,Media_Cliente_Mes!$B$2:$B$145,$B363)</f>
        <v>0</v>
      </c>
      <c r="E363" s="35" t="str">
        <f aca="false">IF($D363=0,"",IF($C363="Proteina",SUMIFS(Media_Cliente_Mes!$D$2:$D$145,Media_Cliente_Mes!$A$2:$A$145,$A363,Media_Cliente_Mes!$B$2:$B$145,$B363),IF($C363="Umidade",SUMIFS(Media_Cliente_Mes!$E$2:$E$145,Media_Cliente_Mes!$A$2:$A$145,$A363,Media_Cliente_Mes!$B$2:$B$145,$B363),SUMIFS(Media_Cliente_Mes!$F$2:$F$145,Media_Cliente_Mes!$A$2:$A$145,$A363,Media_Cliente_Mes!$B$2:$B$145,$B363))))</f>
        <v/>
      </c>
      <c r="F363" s="35" t="n">
        <f aca="false">INDEX(Parametros_ANEC73!$C$4:$C$6,MATCH($C363,Parametros_ANEC73!$A$4:$A$6,0))</f>
        <v>12.5</v>
      </c>
      <c r="G363" s="35" t="n">
        <f aca="false">IF($C363="Proteina",INDEX(Media_Pool_Mes!$C$2:$C$13,MATCH($B363,Media_Pool_Mes!$A$2:$A$13,0)),IF($C363="Umidade",INDEX(Media_Pool_Mes!$D$2:$D$13,MATCH($B363,Media_Pool_Mes!$A$2:$A$13,0)),INDEX(Media_Pool_Mes!$E$2:$E$13,MATCH($B363,Media_Pool_Mes!$A$2:$A$13,0))))</f>
        <v>12.076727887935</v>
      </c>
      <c r="H363" s="37" t="n">
        <f aca="false">INDEX(Parametros_ANEC73!$B$4:$B$6,MATCH($C363,Parametros_ANEC73!$A$4:$A$6,0))</f>
        <v>1</v>
      </c>
      <c r="I363" s="38" t="str">
        <f aca="false">IF(OR($D363=0,$G363=""),"",IF($H363*($G363-$F363)&gt;0,$G363,$F363))</f>
        <v/>
      </c>
      <c r="J363" s="27" t="str">
        <f aca="false">IF(OR($D363=0,$G363=""),"",IF($H363*($G363-$F363)&gt;0,"Sim","Nao"))</f>
        <v/>
      </c>
      <c r="K363" s="27" t="str">
        <f aca="false">IF(OR($D363=0,$G363=""),"",IF(AND($H363*($E363-$F363)&gt;0,$H363*($E363-$G363)&gt;0),"Sim","Nao"))</f>
        <v/>
      </c>
      <c r="L363" s="38" t="n">
        <f aca="false">IF(OR($D363=0,$G363=""),0,IF($K363="Sim",MAX(0,$H363*($E363-$I363)),0))</f>
        <v>0</v>
      </c>
      <c r="M363" s="35" t="n">
        <f aca="false">INDEX(Parametros_ANEC73!$G$4:$G$6,MATCH($C363,Parametros_ANEC73!$A$4:$A$6,0))</f>
        <v>0</v>
      </c>
      <c r="N363" s="38" t="n">
        <f aca="false">IF(OR($D363=0,$G363=""),0,IF(AND($K363="Sim",$M363&lt;&gt;""),MAX(0,$H363*($E363-$M363)),0))</f>
        <v>0</v>
      </c>
      <c r="O363" s="35" t="n">
        <f aca="false">INDEX(Parametros_ANEC73!$J$4:$J$6,MATCH($C363,Parametros_ANEC73!$A$4:$A$6,0))</f>
        <v>0</v>
      </c>
      <c r="P363" s="38" t="n">
        <f aca="false">IF(OR($D363=0,$G363=""),0,IF(AND($K363="Sim",$O363&lt;&gt;""),MAX(0,$H363*($E363-$O363)),0))</f>
        <v>0</v>
      </c>
      <c r="Q363" s="35" t="n">
        <f aca="false">INDEX(Parametros_ANEC73!$F$4:$F$6,MATCH($C363,Parametros_ANEC73!$A$4:$A$6,0))</f>
        <v>1</v>
      </c>
      <c r="R363" s="35" t="n">
        <f aca="false">INDEX(Parametros_ANEC73!$I$4:$I$6,MATCH($C363,Parametros_ANEC73!$A$4:$A$6,0))</f>
        <v>0</v>
      </c>
      <c r="S363" s="35" t="n">
        <f aca="false">INDEX(Parametros_ANEC73!$L$4:$L$6,MATCH($C363,Parametros_ANEC73!$A$4:$A$6,0))</f>
        <v>0</v>
      </c>
      <c r="T363" s="39" t="n">
        <f aca="false">INDEX(Parametros_ANEC73!$B$14:$B$25,MATCH($B363,Parametros_ANEC73!$A$14:$A$25,0))</f>
        <v>386</v>
      </c>
      <c r="U363" s="40" t="n">
        <f aca="false">IF(OR($D363=0,$G363=""),0,$D363*($T363/100)*($L363*$Q363+$N363*(IF($R363="",$Q363,$R363)-$Q363)+$P363*(IF($S363="",IF($R363="",$Q363,$R363),$S363)-IF($R363="",$Q363,$R363))))</f>
        <v>0</v>
      </c>
      <c r="V363" s="41" t="str">
        <f aca="false">IF(OR($D363=0,$G363=""),"",IF($H363*($E363-INDEX(Parametros_ANEC73!$M$4:$M$6,MATCH($C363,Parametros_ANEC73!$A$4:$A$6,0)))&gt;0,"Sim","Nao"))</f>
        <v/>
      </c>
      <c r="W363" s="27" t="str">
        <f aca="false">$A363&amp;"|"&amp;$B363&amp;"|"&amp;$C363</f>
        <v>Novo06|Jan|Umidade</v>
      </c>
    </row>
    <row r="364" customFormat="false" ht="15" hidden="false" customHeight="false" outlineLevel="0" collapsed="false">
      <c r="A364" s="27" t="s">
        <v>49</v>
      </c>
      <c r="B364" s="27" t="s">
        <v>38</v>
      </c>
      <c r="C364" s="27" t="s">
        <v>111</v>
      </c>
      <c r="D364" s="34" t="n">
        <f aca="false">SUMIFS(Media_Cliente_Mes!$C$2:$C$145,Media_Cliente_Mes!$A$2:$A$145,$A364,Media_Cliente_Mes!$B$2:$B$145,$B364)</f>
        <v>0</v>
      </c>
      <c r="E364" s="35" t="str">
        <f aca="false">IF($D364=0,"",IF($C364="Proteina",SUMIFS(Media_Cliente_Mes!$D$2:$D$145,Media_Cliente_Mes!$A$2:$A$145,$A364,Media_Cliente_Mes!$B$2:$B$145,$B364),IF($C364="Umidade",SUMIFS(Media_Cliente_Mes!$E$2:$E$145,Media_Cliente_Mes!$A$2:$A$145,$A364,Media_Cliente_Mes!$B$2:$B$145,$B364),SUMIFS(Media_Cliente_Mes!$F$2:$F$145,Media_Cliente_Mes!$A$2:$A$145,$A364,Media_Cliente_Mes!$B$2:$B$145,$B364))))</f>
        <v/>
      </c>
      <c r="F364" s="35" t="n">
        <f aca="false">INDEX(Parametros_ANEC73!$C$4:$C$6,MATCH($C364,Parametros_ANEC73!$A$4:$A$6,0))</f>
        <v>3.5</v>
      </c>
      <c r="G364" s="35" t="n">
        <f aca="false">IF($C364="Proteina",INDEX(Media_Pool_Mes!$C$2:$C$13,MATCH($B364,Media_Pool_Mes!$A$2:$A$13,0)),IF($C364="Umidade",INDEX(Media_Pool_Mes!$D$2:$D$13,MATCH($B364,Media_Pool_Mes!$A$2:$A$13,0)),INDEX(Media_Pool_Mes!$E$2:$E$13,MATCH($B364,Media_Pool_Mes!$A$2:$A$13,0))))</f>
        <v>3.51752485295922</v>
      </c>
      <c r="H364" s="37" t="n">
        <f aca="false">INDEX(Parametros_ANEC73!$B$4:$B$6,MATCH($C364,Parametros_ANEC73!$A$4:$A$6,0))</f>
        <v>1</v>
      </c>
      <c r="I364" s="38" t="str">
        <f aca="false">IF(OR($D364=0,$G364=""),"",IF($H364*($G364-$F364)&gt;0,$G364,$F364))</f>
        <v/>
      </c>
      <c r="J364" s="27" t="str">
        <f aca="false">IF(OR($D364=0,$G364=""),"",IF($H364*($G364-$F364)&gt;0,"Sim","Nao"))</f>
        <v/>
      </c>
      <c r="K364" s="27" t="str">
        <f aca="false">IF(OR($D364=0,$G364=""),"",IF(AND($H364*($E364-$F364)&gt;0,$H364*($E364-$G364)&gt;0),"Sim","Nao"))</f>
        <v/>
      </c>
      <c r="L364" s="38" t="n">
        <f aca="false">IF(OR($D364=0,$G364=""),0,IF($K364="Sim",MAX(0,$H364*($E364-$I364)),0))</f>
        <v>0</v>
      </c>
      <c r="M364" s="35" t="n">
        <f aca="false">INDEX(Parametros_ANEC73!$G$4:$G$6,MATCH($C364,Parametros_ANEC73!$A$4:$A$6,0))</f>
        <v>3.8</v>
      </c>
      <c r="N364" s="38" t="n">
        <f aca="false">IF(OR($D364=0,$G364=""),0,IF(AND($K364="Sim",$M364&lt;&gt;""),MAX(0,$H364*($E364-$M364)),0))</f>
        <v>0</v>
      </c>
      <c r="O364" s="35" t="n">
        <f aca="false">INDEX(Parametros_ANEC73!$J$4:$J$6,MATCH($C364,Parametros_ANEC73!$A$4:$A$6,0))</f>
        <v>4</v>
      </c>
      <c r="P364" s="38" t="n">
        <f aca="false">IF(OR($D364=0,$G364=""),0,IF(AND($K364="Sim",$O364&lt;&gt;""),MAX(0,$H364*($E364-$O364)),0))</f>
        <v>0</v>
      </c>
      <c r="Q364" s="35" t="n">
        <f aca="false">INDEX(Parametros_ANEC73!$F$4:$F$6,MATCH($C364,Parametros_ANEC73!$A$4:$A$6,0))</f>
        <v>1</v>
      </c>
      <c r="R364" s="35" t="n">
        <f aca="false">INDEX(Parametros_ANEC73!$I$4:$I$6,MATCH($C364,Parametros_ANEC73!$A$4:$A$6,0))</f>
        <v>1.5</v>
      </c>
      <c r="S364" s="35" t="n">
        <f aca="false">INDEX(Parametros_ANEC73!$L$4:$L$6,MATCH($C364,Parametros_ANEC73!$A$4:$A$6,0))</f>
        <v>2</v>
      </c>
      <c r="T364" s="39" t="n">
        <f aca="false">INDEX(Parametros_ANEC73!$B$14:$B$25,MATCH($B364,Parametros_ANEC73!$A$14:$A$25,0))</f>
        <v>386</v>
      </c>
      <c r="U364" s="40" t="n">
        <f aca="false">IF(OR($D364=0,$G364=""),0,$D364*($T364/100)*($L364*$Q364+$N364*(IF($R364="",$Q364,$R364)-$Q364)+$P364*(IF($S364="",IF($R364="",$Q364,$R364),$S364)-IF($R364="",$Q364,$R364))))</f>
        <v>0</v>
      </c>
      <c r="V364" s="41" t="str">
        <f aca="false">IF(OR($D364=0,$G364=""),"",IF($H364*($E364-INDEX(Parametros_ANEC73!$M$4:$M$6,MATCH($C364,Parametros_ANEC73!$A$4:$A$6,0)))&gt;0,"Sim","Nao"))</f>
        <v/>
      </c>
      <c r="W364" s="27" t="str">
        <f aca="false">$A364&amp;"|"&amp;$B364&amp;"|"&amp;$C364</f>
        <v>Novo06|Jan|Fibra</v>
      </c>
    </row>
    <row r="365" customFormat="false" ht="15" hidden="false" customHeight="false" outlineLevel="0" collapsed="false">
      <c r="A365" s="27" t="s">
        <v>49</v>
      </c>
      <c r="B365" s="27" t="s">
        <v>59</v>
      </c>
      <c r="C365" s="27" t="s">
        <v>109</v>
      </c>
      <c r="D365" s="34" t="n">
        <f aca="false">SUMIFS(Media_Cliente_Mes!$C$2:$C$145,Media_Cliente_Mes!$A$2:$A$145,$A365,Media_Cliente_Mes!$B$2:$B$145,$B365)</f>
        <v>0</v>
      </c>
      <c r="E365" s="35" t="str">
        <f aca="false">IF($D365=0,"",IF($C365="Proteina",SUMIFS(Media_Cliente_Mes!$D$2:$D$145,Media_Cliente_Mes!$A$2:$A$145,$A365,Media_Cliente_Mes!$B$2:$B$145,$B365),IF($C365="Umidade",SUMIFS(Media_Cliente_Mes!$E$2:$E$145,Media_Cliente_Mes!$A$2:$A$145,$A365,Media_Cliente_Mes!$B$2:$B$145,$B365),SUMIFS(Media_Cliente_Mes!$F$2:$F$145,Media_Cliente_Mes!$A$2:$A$145,$A365,Media_Cliente_Mes!$B$2:$B$145,$B365))))</f>
        <v/>
      </c>
      <c r="F365" s="35" t="n">
        <f aca="false">INDEX(Parametros_ANEC73!$C$4:$C$6,MATCH($C365,Parametros_ANEC73!$A$4:$A$6,0))</f>
        <v>48</v>
      </c>
      <c r="G365" s="35" t="n">
        <f aca="false">IF($C365="Proteina",INDEX(Media_Pool_Mes!$C$2:$C$13,MATCH($B365,Media_Pool_Mes!$A$2:$A$13,0)),IF($C365="Umidade",INDEX(Media_Pool_Mes!$D$2:$D$13,MATCH($B365,Media_Pool_Mes!$A$2:$A$13,0)),INDEX(Media_Pool_Mes!$E$2:$E$13,MATCH($B365,Media_Pool_Mes!$A$2:$A$13,0))))</f>
        <v>47.3405726705791</v>
      </c>
      <c r="H365" s="37" t="n">
        <f aca="false">INDEX(Parametros_ANEC73!$B$4:$B$6,MATCH($C365,Parametros_ANEC73!$A$4:$A$6,0))</f>
        <v>-1</v>
      </c>
      <c r="I365" s="38" t="str">
        <f aca="false">IF(OR($D365=0,$G365=""),"",IF($H365*($G365-$F365)&gt;0,$G365,$F365))</f>
        <v/>
      </c>
      <c r="J365" s="27" t="str">
        <f aca="false">IF(OR($D365=0,$G365=""),"",IF($H365*($G365-$F365)&gt;0,"Sim","Nao"))</f>
        <v/>
      </c>
      <c r="K365" s="27" t="str">
        <f aca="false">IF(OR($D365=0,$G365=""),"",IF(AND($H365*($E365-$F365)&gt;0,$H365*($E365-$G365)&gt;0),"Sim","Nao"))</f>
        <v/>
      </c>
      <c r="L365" s="38" t="n">
        <f aca="false">IF(OR($D365=0,$G365=""),0,IF($K365="Sim",MAX(0,$H365*($E365-$I365)),0))</f>
        <v>0</v>
      </c>
      <c r="M365" s="35" t="n">
        <f aca="false">INDEX(Parametros_ANEC73!$G$4:$G$6,MATCH($C365,Parametros_ANEC73!$A$4:$A$6,0))</f>
        <v>47</v>
      </c>
      <c r="N365" s="38" t="n">
        <f aca="false">IF(OR($D365=0,$G365=""),0,IF(AND($K365="Sim",$M365&lt;&gt;""),MAX(0,$H365*($E365-$M365)),0))</f>
        <v>0</v>
      </c>
      <c r="O365" s="35" t="n">
        <f aca="false">INDEX(Parametros_ANEC73!$J$4:$J$6,MATCH($C365,Parametros_ANEC73!$A$4:$A$6,0))</f>
        <v>0</v>
      </c>
      <c r="P365" s="38" t="n">
        <f aca="false">IF(OR($D365=0,$G365=""),0,IF(AND($K365="Sim",$O365&lt;&gt;""),MAX(0,$H365*($E365-$O365)),0))</f>
        <v>0</v>
      </c>
      <c r="Q365" s="35" t="n">
        <f aca="false">INDEX(Parametros_ANEC73!$F$4:$F$6,MATCH($C365,Parametros_ANEC73!$A$4:$A$6,0))</f>
        <v>1</v>
      </c>
      <c r="R365" s="35" t="n">
        <f aca="false">INDEX(Parametros_ANEC73!$I$4:$I$6,MATCH($C365,Parametros_ANEC73!$A$4:$A$6,0))</f>
        <v>2</v>
      </c>
      <c r="S365" s="35" t="n">
        <f aca="false">INDEX(Parametros_ANEC73!$L$4:$L$6,MATCH($C365,Parametros_ANEC73!$A$4:$A$6,0))</f>
        <v>0</v>
      </c>
      <c r="T365" s="39" t="n">
        <f aca="false">INDEX(Parametros_ANEC73!$B$14:$B$25,MATCH($B365,Parametros_ANEC73!$A$14:$A$25,0))</f>
        <v>391</v>
      </c>
      <c r="U365" s="40" t="n">
        <f aca="false">IF(OR($D365=0,$G365=""),0,$D365*($T365/100)*($L365*$Q365+$N365*(IF($R365="",$Q365,$R365)-$Q365)+$P365*(IF($S365="",IF($R365="",$Q365,$R365),$S365)-IF($R365="",$Q365,$R365))))</f>
        <v>0</v>
      </c>
      <c r="V365" s="41" t="str">
        <f aca="false">IF(OR($D365=0,$G365=""),"",IF($H365*($E365-INDEX(Parametros_ANEC73!$M$4:$M$6,MATCH($C365,Parametros_ANEC73!$A$4:$A$6,0)))&gt;0,"Sim","Nao"))</f>
        <v/>
      </c>
      <c r="W365" s="27" t="str">
        <f aca="false">$A365&amp;"|"&amp;$B365&amp;"|"&amp;$C365</f>
        <v>Novo06|Fev|Proteina</v>
      </c>
    </row>
    <row r="366" customFormat="false" ht="15" hidden="false" customHeight="false" outlineLevel="0" collapsed="false">
      <c r="A366" s="27" t="s">
        <v>49</v>
      </c>
      <c r="B366" s="27" t="s">
        <v>59</v>
      </c>
      <c r="C366" s="27" t="s">
        <v>110</v>
      </c>
      <c r="D366" s="34" t="n">
        <f aca="false">SUMIFS(Media_Cliente_Mes!$C$2:$C$145,Media_Cliente_Mes!$A$2:$A$145,$A366,Media_Cliente_Mes!$B$2:$B$145,$B366)</f>
        <v>0</v>
      </c>
      <c r="E366" s="35" t="str">
        <f aca="false">IF($D366=0,"",IF($C366="Proteina",SUMIFS(Media_Cliente_Mes!$D$2:$D$145,Media_Cliente_Mes!$A$2:$A$145,$A366,Media_Cliente_Mes!$B$2:$B$145,$B366),IF($C366="Umidade",SUMIFS(Media_Cliente_Mes!$E$2:$E$145,Media_Cliente_Mes!$A$2:$A$145,$A366,Media_Cliente_Mes!$B$2:$B$145,$B366),SUMIFS(Media_Cliente_Mes!$F$2:$F$145,Media_Cliente_Mes!$A$2:$A$145,$A366,Media_Cliente_Mes!$B$2:$B$145,$B366))))</f>
        <v/>
      </c>
      <c r="F366" s="35" t="n">
        <f aca="false">INDEX(Parametros_ANEC73!$C$4:$C$6,MATCH($C366,Parametros_ANEC73!$A$4:$A$6,0))</f>
        <v>12.5</v>
      </c>
      <c r="G366" s="35" t="n">
        <f aca="false">IF($C366="Proteina",INDEX(Media_Pool_Mes!$C$2:$C$13,MATCH($B366,Media_Pool_Mes!$A$2:$A$13,0)),IF($C366="Umidade",INDEX(Media_Pool_Mes!$D$2:$D$13,MATCH($B366,Media_Pool_Mes!$A$2:$A$13,0)),INDEX(Media_Pool_Mes!$E$2:$E$13,MATCH($B366,Media_Pool_Mes!$A$2:$A$13,0))))</f>
        <v>12.2454829634779</v>
      </c>
      <c r="H366" s="37" t="n">
        <f aca="false">INDEX(Parametros_ANEC73!$B$4:$B$6,MATCH($C366,Parametros_ANEC73!$A$4:$A$6,0))</f>
        <v>1</v>
      </c>
      <c r="I366" s="38" t="str">
        <f aca="false">IF(OR($D366=0,$G366=""),"",IF($H366*($G366-$F366)&gt;0,$G366,$F366))</f>
        <v/>
      </c>
      <c r="J366" s="27" t="str">
        <f aca="false">IF(OR($D366=0,$G366=""),"",IF($H366*($G366-$F366)&gt;0,"Sim","Nao"))</f>
        <v/>
      </c>
      <c r="K366" s="27" t="str">
        <f aca="false">IF(OR($D366=0,$G366=""),"",IF(AND($H366*($E366-$F366)&gt;0,$H366*($E366-$G366)&gt;0),"Sim","Nao"))</f>
        <v/>
      </c>
      <c r="L366" s="38" t="n">
        <f aca="false">IF(OR($D366=0,$G366=""),0,IF($K366="Sim",MAX(0,$H366*($E366-$I366)),0))</f>
        <v>0</v>
      </c>
      <c r="M366" s="35" t="n">
        <f aca="false">INDEX(Parametros_ANEC73!$G$4:$G$6,MATCH($C366,Parametros_ANEC73!$A$4:$A$6,0))</f>
        <v>0</v>
      </c>
      <c r="N366" s="38" t="n">
        <f aca="false">IF(OR($D366=0,$G366=""),0,IF(AND($K366="Sim",$M366&lt;&gt;""),MAX(0,$H366*($E366-$M366)),0))</f>
        <v>0</v>
      </c>
      <c r="O366" s="35" t="n">
        <f aca="false">INDEX(Parametros_ANEC73!$J$4:$J$6,MATCH($C366,Parametros_ANEC73!$A$4:$A$6,0))</f>
        <v>0</v>
      </c>
      <c r="P366" s="38" t="n">
        <f aca="false">IF(OR($D366=0,$G366=""),0,IF(AND($K366="Sim",$O366&lt;&gt;""),MAX(0,$H366*($E366-$O366)),0))</f>
        <v>0</v>
      </c>
      <c r="Q366" s="35" t="n">
        <f aca="false">INDEX(Parametros_ANEC73!$F$4:$F$6,MATCH($C366,Parametros_ANEC73!$A$4:$A$6,0))</f>
        <v>1</v>
      </c>
      <c r="R366" s="35" t="n">
        <f aca="false">INDEX(Parametros_ANEC73!$I$4:$I$6,MATCH($C366,Parametros_ANEC73!$A$4:$A$6,0))</f>
        <v>0</v>
      </c>
      <c r="S366" s="35" t="n">
        <f aca="false">INDEX(Parametros_ANEC73!$L$4:$L$6,MATCH($C366,Parametros_ANEC73!$A$4:$A$6,0))</f>
        <v>0</v>
      </c>
      <c r="T366" s="39" t="n">
        <f aca="false">INDEX(Parametros_ANEC73!$B$14:$B$25,MATCH($B366,Parametros_ANEC73!$A$14:$A$25,0))</f>
        <v>391</v>
      </c>
      <c r="U366" s="40" t="n">
        <f aca="false">IF(OR($D366=0,$G366=""),0,$D366*($T366/100)*($L366*$Q366+$N366*(IF($R366="",$Q366,$R366)-$Q366)+$P366*(IF($S366="",IF($R366="",$Q366,$R366),$S366)-IF($R366="",$Q366,$R366))))</f>
        <v>0</v>
      </c>
      <c r="V366" s="41" t="str">
        <f aca="false">IF(OR($D366=0,$G366=""),"",IF($H366*($E366-INDEX(Parametros_ANEC73!$M$4:$M$6,MATCH($C366,Parametros_ANEC73!$A$4:$A$6,0)))&gt;0,"Sim","Nao"))</f>
        <v/>
      </c>
      <c r="W366" s="27" t="str">
        <f aca="false">$A366&amp;"|"&amp;$B366&amp;"|"&amp;$C366</f>
        <v>Novo06|Fev|Umidade</v>
      </c>
    </row>
    <row r="367" customFormat="false" ht="15" hidden="false" customHeight="false" outlineLevel="0" collapsed="false">
      <c r="A367" s="27" t="s">
        <v>49</v>
      </c>
      <c r="B367" s="27" t="s">
        <v>59</v>
      </c>
      <c r="C367" s="27" t="s">
        <v>111</v>
      </c>
      <c r="D367" s="34" t="n">
        <f aca="false">SUMIFS(Media_Cliente_Mes!$C$2:$C$145,Media_Cliente_Mes!$A$2:$A$145,$A367,Media_Cliente_Mes!$B$2:$B$145,$B367)</f>
        <v>0</v>
      </c>
      <c r="E367" s="35" t="str">
        <f aca="false">IF($D367=0,"",IF($C367="Proteina",SUMIFS(Media_Cliente_Mes!$D$2:$D$145,Media_Cliente_Mes!$A$2:$A$145,$A367,Media_Cliente_Mes!$B$2:$B$145,$B367),IF($C367="Umidade",SUMIFS(Media_Cliente_Mes!$E$2:$E$145,Media_Cliente_Mes!$A$2:$A$145,$A367,Media_Cliente_Mes!$B$2:$B$145,$B367),SUMIFS(Media_Cliente_Mes!$F$2:$F$145,Media_Cliente_Mes!$A$2:$A$145,$A367,Media_Cliente_Mes!$B$2:$B$145,$B367))))</f>
        <v/>
      </c>
      <c r="F367" s="35" t="n">
        <f aca="false">INDEX(Parametros_ANEC73!$C$4:$C$6,MATCH($C367,Parametros_ANEC73!$A$4:$A$6,0))</f>
        <v>3.5</v>
      </c>
      <c r="G367" s="35" t="n">
        <f aca="false">IF($C367="Proteina",INDEX(Media_Pool_Mes!$C$2:$C$13,MATCH($B367,Media_Pool_Mes!$A$2:$A$13,0)),IF($C367="Umidade",INDEX(Media_Pool_Mes!$D$2:$D$13,MATCH($B367,Media_Pool_Mes!$A$2:$A$13,0)),INDEX(Media_Pool_Mes!$E$2:$E$13,MATCH($B367,Media_Pool_Mes!$A$2:$A$13,0))))</f>
        <v>3.61845158781616</v>
      </c>
      <c r="H367" s="37" t="n">
        <f aca="false">INDEX(Parametros_ANEC73!$B$4:$B$6,MATCH($C367,Parametros_ANEC73!$A$4:$A$6,0))</f>
        <v>1</v>
      </c>
      <c r="I367" s="38" t="str">
        <f aca="false">IF(OR($D367=0,$G367=""),"",IF($H367*($G367-$F367)&gt;0,$G367,$F367))</f>
        <v/>
      </c>
      <c r="J367" s="27" t="str">
        <f aca="false">IF(OR($D367=0,$G367=""),"",IF($H367*($G367-$F367)&gt;0,"Sim","Nao"))</f>
        <v/>
      </c>
      <c r="K367" s="27" t="str">
        <f aca="false">IF(OR($D367=0,$G367=""),"",IF(AND($H367*($E367-$F367)&gt;0,$H367*($E367-$G367)&gt;0),"Sim","Nao"))</f>
        <v/>
      </c>
      <c r="L367" s="38" t="n">
        <f aca="false">IF(OR($D367=0,$G367=""),0,IF($K367="Sim",MAX(0,$H367*($E367-$I367)),0))</f>
        <v>0</v>
      </c>
      <c r="M367" s="35" t="n">
        <f aca="false">INDEX(Parametros_ANEC73!$G$4:$G$6,MATCH($C367,Parametros_ANEC73!$A$4:$A$6,0))</f>
        <v>3.8</v>
      </c>
      <c r="N367" s="38" t="n">
        <f aca="false">IF(OR($D367=0,$G367=""),0,IF(AND($K367="Sim",$M367&lt;&gt;""),MAX(0,$H367*($E367-$M367)),0))</f>
        <v>0</v>
      </c>
      <c r="O367" s="35" t="n">
        <f aca="false">INDEX(Parametros_ANEC73!$J$4:$J$6,MATCH($C367,Parametros_ANEC73!$A$4:$A$6,0))</f>
        <v>4</v>
      </c>
      <c r="P367" s="38" t="n">
        <f aca="false">IF(OR($D367=0,$G367=""),0,IF(AND($K367="Sim",$O367&lt;&gt;""),MAX(0,$H367*($E367-$O367)),0))</f>
        <v>0</v>
      </c>
      <c r="Q367" s="35" t="n">
        <f aca="false">INDEX(Parametros_ANEC73!$F$4:$F$6,MATCH($C367,Parametros_ANEC73!$A$4:$A$6,0))</f>
        <v>1</v>
      </c>
      <c r="R367" s="35" t="n">
        <f aca="false">INDEX(Parametros_ANEC73!$I$4:$I$6,MATCH($C367,Parametros_ANEC73!$A$4:$A$6,0))</f>
        <v>1.5</v>
      </c>
      <c r="S367" s="35" t="n">
        <f aca="false">INDEX(Parametros_ANEC73!$L$4:$L$6,MATCH($C367,Parametros_ANEC73!$A$4:$A$6,0))</f>
        <v>2</v>
      </c>
      <c r="T367" s="39" t="n">
        <f aca="false">INDEX(Parametros_ANEC73!$B$14:$B$25,MATCH($B367,Parametros_ANEC73!$A$14:$A$25,0))</f>
        <v>391</v>
      </c>
      <c r="U367" s="40" t="n">
        <f aca="false">IF(OR($D367=0,$G367=""),0,$D367*($T367/100)*($L367*$Q367+$N367*(IF($R367="",$Q367,$R367)-$Q367)+$P367*(IF($S367="",IF($R367="",$Q367,$R367),$S367)-IF($R367="",$Q367,$R367))))</f>
        <v>0</v>
      </c>
      <c r="V367" s="41" t="str">
        <f aca="false">IF(OR($D367=0,$G367=""),"",IF($H367*($E367-INDEX(Parametros_ANEC73!$M$4:$M$6,MATCH($C367,Parametros_ANEC73!$A$4:$A$6,0)))&gt;0,"Sim","Nao"))</f>
        <v/>
      </c>
      <c r="W367" s="27" t="str">
        <f aca="false">$A367&amp;"|"&amp;$B367&amp;"|"&amp;$C367</f>
        <v>Novo06|Fev|Fibra</v>
      </c>
    </row>
    <row r="368" customFormat="false" ht="15" hidden="false" customHeight="false" outlineLevel="0" collapsed="false">
      <c r="A368" s="27" t="s">
        <v>49</v>
      </c>
      <c r="B368" s="27" t="s">
        <v>60</v>
      </c>
      <c r="C368" s="27" t="s">
        <v>109</v>
      </c>
      <c r="D368" s="34" t="n">
        <f aca="false">SUMIFS(Media_Cliente_Mes!$C$2:$C$145,Media_Cliente_Mes!$A$2:$A$145,$A368,Media_Cliente_Mes!$B$2:$B$145,$B368)</f>
        <v>0</v>
      </c>
      <c r="E368" s="35" t="str">
        <f aca="false">IF($D368=0,"",IF($C368="Proteina",SUMIFS(Media_Cliente_Mes!$D$2:$D$145,Media_Cliente_Mes!$A$2:$A$145,$A368,Media_Cliente_Mes!$B$2:$B$145,$B368),IF($C368="Umidade",SUMIFS(Media_Cliente_Mes!$E$2:$E$145,Media_Cliente_Mes!$A$2:$A$145,$A368,Media_Cliente_Mes!$B$2:$B$145,$B368),SUMIFS(Media_Cliente_Mes!$F$2:$F$145,Media_Cliente_Mes!$A$2:$A$145,$A368,Media_Cliente_Mes!$B$2:$B$145,$B368))))</f>
        <v/>
      </c>
      <c r="F368" s="35" t="n">
        <f aca="false">INDEX(Parametros_ANEC73!$C$4:$C$6,MATCH($C368,Parametros_ANEC73!$A$4:$A$6,0))</f>
        <v>48</v>
      </c>
      <c r="G368" s="35" t="n">
        <f aca="false">IF($C368="Proteina",INDEX(Media_Pool_Mes!$C$2:$C$13,MATCH($B368,Media_Pool_Mes!$A$2:$A$13,0)),IF($C368="Umidade",INDEX(Media_Pool_Mes!$D$2:$D$13,MATCH($B368,Media_Pool_Mes!$A$2:$A$13,0)),INDEX(Media_Pool_Mes!$E$2:$E$13,MATCH($B368,Media_Pool_Mes!$A$2:$A$13,0))))</f>
        <v>47.332231823374</v>
      </c>
      <c r="H368" s="37" t="n">
        <f aca="false">INDEX(Parametros_ANEC73!$B$4:$B$6,MATCH($C368,Parametros_ANEC73!$A$4:$A$6,0))</f>
        <v>-1</v>
      </c>
      <c r="I368" s="38" t="str">
        <f aca="false">IF(OR($D368=0,$G368=""),"",IF($H368*($G368-$F368)&gt;0,$G368,$F368))</f>
        <v/>
      </c>
      <c r="J368" s="27" t="str">
        <f aca="false">IF(OR($D368=0,$G368=""),"",IF($H368*($G368-$F368)&gt;0,"Sim","Nao"))</f>
        <v/>
      </c>
      <c r="K368" s="27" t="str">
        <f aca="false">IF(OR($D368=0,$G368=""),"",IF(AND($H368*($E368-$F368)&gt;0,$H368*($E368-$G368)&gt;0),"Sim","Nao"))</f>
        <v/>
      </c>
      <c r="L368" s="38" t="n">
        <f aca="false">IF(OR($D368=0,$G368=""),0,IF($K368="Sim",MAX(0,$H368*($E368-$I368)),0))</f>
        <v>0</v>
      </c>
      <c r="M368" s="35" t="n">
        <f aca="false">INDEX(Parametros_ANEC73!$G$4:$G$6,MATCH($C368,Parametros_ANEC73!$A$4:$A$6,0))</f>
        <v>47</v>
      </c>
      <c r="N368" s="38" t="n">
        <f aca="false">IF(OR($D368=0,$G368=""),0,IF(AND($K368="Sim",$M368&lt;&gt;""),MAX(0,$H368*($E368-$M368)),0))</f>
        <v>0</v>
      </c>
      <c r="O368" s="35" t="n">
        <f aca="false">INDEX(Parametros_ANEC73!$J$4:$J$6,MATCH($C368,Parametros_ANEC73!$A$4:$A$6,0))</f>
        <v>0</v>
      </c>
      <c r="P368" s="38" t="n">
        <f aca="false">IF(OR($D368=0,$G368=""),0,IF(AND($K368="Sim",$O368&lt;&gt;""),MAX(0,$H368*($E368-$O368)),0))</f>
        <v>0</v>
      </c>
      <c r="Q368" s="35" t="n">
        <f aca="false">INDEX(Parametros_ANEC73!$F$4:$F$6,MATCH($C368,Parametros_ANEC73!$A$4:$A$6,0))</f>
        <v>1</v>
      </c>
      <c r="R368" s="35" t="n">
        <f aca="false">INDEX(Parametros_ANEC73!$I$4:$I$6,MATCH($C368,Parametros_ANEC73!$A$4:$A$6,0))</f>
        <v>2</v>
      </c>
      <c r="S368" s="35" t="n">
        <f aca="false">INDEX(Parametros_ANEC73!$L$4:$L$6,MATCH($C368,Parametros_ANEC73!$A$4:$A$6,0))</f>
        <v>0</v>
      </c>
      <c r="T368" s="39" t="n">
        <f aca="false">INDEX(Parametros_ANEC73!$B$14:$B$25,MATCH($B368,Parametros_ANEC73!$A$14:$A$25,0))</f>
        <v>404</v>
      </c>
      <c r="U368" s="40" t="n">
        <f aca="false">IF(OR($D368=0,$G368=""),0,$D368*($T368/100)*($L368*$Q368+$N368*(IF($R368="",$Q368,$R368)-$Q368)+$P368*(IF($S368="",IF($R368="",$Q368,$R368),$S368)-IF($R368="",$Q368,$R368))))</f>
        <v>0</v>
      </c>
      <c r="V368" s="41" t="str">
        <f aca="false">IF(OR($D368=0,$G368=""),"",IF($H368*($E368-INDEX(Parametros_ANEC73!$M$4:$M$6,MATCH($C368,Parametros_ANEC73!$A$4:$A$6,0)))&gt;0,"Sim","Nao"))</f>
        <v/>
      </c>
      <c r="W368" s="27" t="str">
        <f aca="false">$A368&amp;"|"&amp;$B368&amp;"|"&amp;$C368</f>
        <v>Novo06|Mar|Proteina</v>
      </c>
    </row>
    <row r="369" customFormat="false" ht="15" hidden="false" customHeight="false" outlineLevel="0" collapsed="false">
      <c r="A369" s="27" t="s">
        <v>49</v>
      </c>
      <c r="B369" s="27" t="s">
        <v>60</v>
      </c>
      <c r="C369" s="27" t="s">
        <v>110</v>
      </c>
      <c r="D369" s="34" t="n">
        <f aca="false">SUMIFS(Media_Cliente_Mes!$C$2:$C$145,Media_Cliente_Mes!$A$2:$A$145,$A369,Media_Cliente_Mes!$B$2:$B$145,$B369)</f>
        <v>0</v>
      </c>
      <c r="E369" s="35" t="str">
        <f aca="false">IF($D369=0,"",IF($C369="Proteina",SUMIFS(Media_Cliente_Mes!$D$2:$D$145,Media_Cliente_Mes!$A$2:$A$145,$A369,Media_Cliente_Mes!$B$2:$B$145,$B369),IF($C369="Umidade",SUMIFS(Media_Cliente_Mes!$E$2:$E$145,Media_Cliente_Mes!$A$2:$A$145,$A369,Media_Cliente_Mes!$B$2:$B$145,$B369),SUMIFS(Media_Cliente_Mes!$F$2:$F$145,Media_Cliente_Mes!$A$2:$A$145,$A369,Media_Cliente_Mes!$B$2:$B$145,$B369))))</f>
        <v/>
      </c>
      <c r="F369" s="35" t="n">
        <f aca="false">INDEX(Parametros_ANEC73!$C$4:$C$6,MATCH($C369,Parametros_ANEC73!$A$4:$A$6,0))</f>
        <v>12.5</v>
      </c>
      <c r="G369" s="35" t="n">
        <f aca="false">IF($C369="Proteina",INDEX(Media_Pool_Mes!$C$2:$C$13,MATCH($B369,Media_Pool_Mes!$A$2:$A$13,0)),IF($C369="Umidade",INDEX(Media_Pool_Mes!$D$2:$D$13,MATCH($B369,Media_Pool_Mes!$A$2:$A$13,0)),INDEX(Media_Pool_Mes!$E$2:$E$13,MATCH($B369,Media_Pool_Mes!$A$2:$A$13,0))))</f>
        <v>12.1740859181947</v>
      </c>
      <c r="H369" s="37" t="n">
        <f aca="false">INDEX(Parametros_ANEC73!$B$4:$B$6,MATCH($C369,Parametros_ANEC73!$A$4:$A$6,0))</f>
        <v>1</v>
      </c>
      <c r="I369" s="38" t="str">
        <f aca="false">IF(OR($D369=0,$G369=""),"",IF($H369*($G369-$F369)&gt;0,$G369,$F369))</f>
        <v/>
      </c>
      <c r="J369" s="27" t="str">
        <f aca="false">IF(OR($D369=0,$G369=""),"",IF($H369*($G369-$F369)&gt;0,"Sim","Nao"))</f>
        <v/>
      </c>
      <c r="K369" s="27" t="str">
        <f aca="false">IF(OR($D369=0,$G369=""),"",IF(AND($H369*($E369-$F369)&gt;0,$H369*($E369-$G369)&gt;0),"Sim","Nao"))</f>
        <v/>
      </c>
      <c r="L369" s="38" t="n">
        <f aca="false">IF(OR($D369=0,$G369=""),0,IF($K369="Sim",MAX(0,$H369*($E369-$I369)),0))</f>
        <v>0</v>
      </c>
      <c r="M369" s="35" t="n">
        <f aca="false">INDEX(Parametros_ANEC73!$G$4:$G$6,MATCH($C369,Parametros_ANEC73!$A$4:$A$6,0))</f>
        <v>0</v>
      </c>
      <c r="N369" s="38" t="n">
        <f aca="false">IF(OR($D369=0,$G369=""),0,IF(AND($K369="Sim",$M369&lt;&gt;""),MAX(0,$H369*($E369-$M369)),0))</f>
        <v>0</v>
      </c>
      <c r="O369" s="35" t="n">
        <f aca="false">INDEX(Parametros_ANEC73!$J$4:$J$6,MATCH($C369,Parametros_ANEC73!$A$4:$A$6,0))</f>
        <v>0</v>
      </c>
      <c r="P369" s="38" t="n">
        <f aca="false">IF(OR($D369=0,$G369=""),0,IF(AND($K369="Sim",$O369&lt;&gt;""),MAX(0,$H369*($E369-$O369)),0))</f>
        <v>0</v>
      </c>
      <c r="Q369" s="35" t="n">
        <f aca="false">INDEX(Parametros_ANEC73!$F$4:$F$6,MATCH($C369,Parametros_ANEC73!$A$4:$A$6,0))</f>
        <v>1</v>
      </c>
      <c r="R369" s="35" t="n">
        <f aca="false">INDEX(Parametros_ANEC73!$I$4:$I$6,MATCH($C369,Parametros_ANEC73!$A$4:$A$6,0))</f>
        <v>0</v>
      </c>
      <c r="S369" s="35" t="n">
        <f aca="false">INDEX(Parametros_ANEC73!$L$4:$L$6,MATCH($C369,Parametros_ANEC73!$A$4:$A$6,0))</f>
        <v>0</v>
      </c>
      <c r="T369" s="39" t="n">
        <f aca="false">INDEX(Parametros_ANEC73!$B$14:$B$25,MATCH($B369,Parametros_ANEC73!$A$14:$A$25,0))</f>
        <v>404</v>
      </c>
      <c r="U369" s="40" t="n">
        <f aca="false">IF(OR($D369=0,$G369=""),0,$D369*($T369/100)*($L369*$Q369+$N369*(IF($R369="",$Q369,$R369)-$Q369)+$P369*(IF($S369="",IF($R369="",$Q369,$R369),$S369)-IF($R369="",$Q369,$R369))))</f>
        <v>0</v>
      </c>
      <c r="V369" s="41" t="str">
        <f aca="false">IF(OR($D369=0,$G369=""),"",IF($H369*($E369-INDEX(Parametros_ANEC73!$M$4:$M$6,MATCH($C369,Parametros_ANEC73!$A$4:$A$6,0)))&gt;0,"Sim","Nao"))</f>
        <v/>
      </c>
      <c r="W369" s="27" t="str">
        <f aca="false">$A369&amp;"|"&amp;$B369&amp;"|"&amp;$C369</f>
        <v>Novo06|Mar|Umidade</v>
      </c>
    </row>
    <row r="370" customFormat="false" ht="15" hidden="false" customHeight="false" outlineLevel="0" collapsed="false">
      <c r="A370" s="27" t="s">
        <v>49</v>
      </c>
      <c r="B370" s="27" t="s">
        <v>60</v>
      </c>
      <c r="C370" s="27" t="s">
        <v>111</v>
      </c>
      <c r="D370" s="34" t="n">
        <f aca="false">SUMIFS(Media_Cliente_Mes!$C$2:$C$145,Media_Cliente_Mes!$A$2:$A$145,$A370,Media_Cliente_Mes!$B$2:$B$145,$B370)</f>
        <v>0</v>
      </c>
      <c r="E370" s="35" t="str">
        <f aca="false">IF($D370=0,"",IF($C370="Proteina",SUMIFS(Media_Cliente_Mes!$D$2:$D$145,Media_Cliente_Mes!$A$2:$A$145,$A370,Media_Cliente_Mes!$B$2:$B$145,$B370),IF($C370="Umidade",SUMIFS(Media_Cliente_Mes!$E$2:$E$145,Media_Cliente_Mes!$A$2:$A$145,$A370,Media_Cliente_Mes!$B$2:$B$145,$B370),SUMIFS(Media_Cliente_Mes!$F$2:$F$145,Media_Cliente_Mes!$A$2:$A$145,$A370,Media_Cliente_Mes!$B$2:$B$145,$B370))))</f>
        <v/>
      </c>
      <c r="F370" s="35" t="n">
        <f aca="false">INDEX(Parametros_ANEC73!$C$4:$C$6,MATCH($C370,Parametros_ANEC73!$A$4:$A$6,0))</f>
        <v>3.5</v>
      </c>
      <c r="G370" s="35" t="n">
        <f aca="false">IF($C370="Proteina",INDEX(Media_Pool_Mes!$C$2:$C$13,MATCH($B370,Media_Pool_Mes!$A$2:$A$13,0)),IF($C370="Umidade",INDEX(Media_Pool_Mes!$D$2:$D$13,MATCH($B370,Media_Pool_Mes!$A$2:$A$13,0)),INDEX(Media_Pool_Mes!$E$2:$E$13,MATCH($B370,Media_Pool_Mes!$A$2:$A$13,0))))</f>
        <v>3.70596068520473</v>
      </c>
      <c r="H370" s="37" t="n">
        <f aca="false">INDEX(Parametros_ANEC73!$B$4:$B$6,MATCH($C370,Parametros_ANEC73!$A$4:$A$6,0))</f>
        <v>1</v>
      </c>
      <c r="I370" s="38" t="str">
        <f aca="false">IF(OR($D370=0,$G370=""),"",IF($H370*($G370-$F370)&gt;0,$G370,$F370))</f>
        <v/>
      </c>
      <c r="J370" s="27" t="str">
        <f aca="false">IF(OR($D370=0,$G370=""),"",IF($H370*($G370-$F370)&gt;0,"Sim","Nao"))</f>
        <v/>
      </c>
      <c r="K370" s="27" t="str">
        <f aca="false">IF(OR($D370=0,$G370=""),"",IF(AND($H370*($E370-$F370)&gt;0,$H370*($E370-$G370)&gt;0),"Sim","Nao"))</f>
        <v/>
      </c>
      <c r="L370" s="38" t="n">
        <f aca="false">IF(OR($D370=0,$G370=""),0,IF($K370="Sim",MAX(0,$H370*($E370-$I370)),0))</f>
        <v>0</v>
      </c>
      <c r="M370" s="35" t="n">
        <f aca="false">INDEX(Parametros_ANEC73!$G$4:$G$6,MATCH($C370,Parametros_ANEC73!$A$4:$A$6,0))</f>
        <v>3.8</v>
      </c>
      <c r="N370" s="38" t="n">
        <f aca="false">IF(OR($D370=0,$G370=""),0,IF(AND($K370="Sim",$M370&lt;&gt;""),MAX(0,$H370*($E370-$M370)),0))</f>
        <v>0</v>
      </c>
      <c r="O370" s="35" t="n">
        <f aca="false">INDEX(Parametros_ANEC73!$J$4:$J$6,MATCH($C370,Parametros_ANEC73!$A$4:$A$6,0))</f>
        <v>4</v>
      </c>
      <c r="P370" s="38" t="n">
        <f aca="false">IF(OR($D370=0,$G370=""),0,IF(AND($K370="Sim",$O370&lt;&gt;""),MAX(0,$H370*($E370-$O370)),0))</f>
        <v>0</v>
      </c>
      <c r="Q370" s="35" t="n">
        <f aca="false">INDEX(Parametros_ANEC73!$F$4:$F$6,MATCH($C370,Parametros_ANEC73!$A$4:$A$6,0))</f>
        <v>1</v>
      </c>
      <c r="R370" s="35" t="n">
        <f aca="false">INDEX(Parametros_ANEC73!$I$4:$I$6,MATCH($C370,Parametros_ANEC73!$A$4:$A$6,0))</f>
        <v>1.5</v>
      </c>
      <c r="S370" s="35" t="n">
        <f aca="false">INDEX(Parametros_ANEC73!$L$4:$L$6,MATCH($C370,Parametros_ANEC73!$A$4:$A$6,0))</f>
        <v>2</v>
      </c>
      <c r="T370" s="39" t="n">
        <f aca="false">INDEX(Parametros_ANEC73!$B$14:$B$25,MATCH($B370,Parametros_ANEC73!$A$14:$A$25,0))</f>
        <v>404</v>
      </c>
      <c r="U370" s="40" t="n">
        <f aca="false">IF(OR($D370=0,$G370=""),0,$D370*($T370/100)*($L370*$Q370+$N370*(IF($R370="",$Q370,$R370)-$Q370)+$P370*(IF($S370="",IF($R370="",$Q370,$R370),$S370)-IF($R370="",$Q370,$R370))))</f>
        <v>0</v>
      </c>
      <c r="V370" s="41" t="str">
        <f aca="false">IF(OR($D370=0,$G370=""),"",IF($H370*($E370-INDEX(Parametros_ANEC73!$M$4:$M$6,MATCH($C370,Parametros_ANEC73!$A$4:$A$6,0)))&gt;0,"Sim","Nao"))</f>
        <v/>
      </c>
      <c r="W370" s="27" t="str">
        <f aca="false">$A370&amp;"|"&amp;$B370&amp;"|"&amp;$C370</f>
        <v>Novo06|Mar|Fibra</v>
      </c>
    </row>
    <row r="371" customFormat="false" ht="15" hidden="false" customHeight="false" outlineLevel="0" collapsed="false">
      <c r="A371" s="27" t="s">
        <v>49</v>
      </c>
      <c r="B371" s="27" t="s">
        <v>61</v>
      </c>
      <c r="C371" s="27" t="s">
        <v>109</v>
      </c>
      <c r="D371" s="34" t="n">
        <f aca="false">SUMIFS(Media_Cliente_Mes!$C$2:$C$145,Media_Cliente_Mes!$A$2:$A$145,$A371,Media_Cliente_Mes!$B$2:$B$145,$B371)</f>
        <v>0</v>
      </c>
      <c r="E371" s="35" t="str">
        <f aca="false">IF($D371=0,"",IF($C371="Proteina",SUMIFS(Media_Cliente_Mes!$D$2:$D$145,Media_Cliente_Mes!$A$2:$A$145,$A371,Media_Cliente_Mes!$B$2:$B$145,$B371),IF($C371="Umidade",SUMIFS(Media_Cliente_Mes!$E$2:$E$145,Media_Cliente_Mes!$A$2:$A$145,$A371,Media_Cliente_Mes!$B$2:$B$145,$B371),SUMIFS(Media_Cliente_Mes!$F$2:$F$145,Media_Cliente_Mes!$A$2:$A$145,$A371,Media_Cliente_Mes!$B$2:$B$145,$B371))))</f>
        <v/>
      </c>
      <c r="F371" s="35" t="n">
        <f aca="false">INDEX(Parametros_ANEC73!$C$4:$C$6,MATCH($C371,Parametros_ANEC73!$A$4:$A$6,0))</f>
        <v>48</v>
      </c>
      <c r="G371" s="35" t="n">
        <f aca="false">IF($C371="Proteina",INDEX(Media_Pool_Mes!$C$2:$C$13,MATCH($B371,Media_Pool_Mes!$A$2:$A$13,0)),IF($C371="Umidade",INDEX(Media_Pool_Mes!$D$2:$D$13,MATCH($B371,Media_Pool_Mes!$A$2:$A$13,0)),INDEX(Media_Pool_Mes!$E$2:$E$13,MATCH($B371,Media_Pool_Mes!$A$2:$A$13,0))))</f>
        <v>47.5395057496784</v>
      </c>
      <c r="H371" s="37" t="n">
        <f aca="false">INDEX(Parametros_ANEC73!$B$4:$B$6,MATCH($C371,Parametros_ANEC73!$A$4:$A$6,0))</f>
        <v>-1</v>
      </c>
      <c r="I371" s="38" t="str">
        <f aca="false">IF(OR($D371=0,$G371=""),"",IF($H371*($G371-$F371)&gt;0,$G371,$F371))</f>
        <v/>
      </c>
      <c r="J371" s="27" t="str">
        <f aca="false">IF(OR($D371=0,$G371=""),"",IF($H371*($G371-$F371)&gt;0,"Sim","Nao"))</f>
        <v/>
      </c>
      <c r="K371" s="27" t="str">
        <f aca="false">IF(OR($D371=0,$G371=""),"",IF(AND($H371*($E371-$F371)&gt;0,$H371*($E371-$G371)&gt;0),"Sim","Nao"))</f>
        <v/>
      </c>
      <c r="L371" s="38" t="n">
        <f aca="false">IF(OR($D371=0,$G371=""),0,IF($K371="Sim",MAX(0,$H371*($E371-$I371)),0))</f>
        <v>0</v>
      </c>
      <c r="M371" s="35" t="n">
        <f aca="false">INDEX(Parametros_ANEC73!$G$4:$G$6,MATCH($C371,Parametros_ANEC73!$A$4:$A$6,0))</f>
        <v>47</v>
      </c>
      <c r="N371" s="38" t="n">
        <f aca="false">IF(OR($D371=0,$G371=""),0,IF(AND($K371="Sim",$M371&lt;&gt;""),MAX(0,$H371*($E371-$M371)),0))</f>
        <v>0</v>
      </c>
      <c r="O371" s="35" t="n">
        <f aca="false">INDEX(Parametros_ANEC73!$J$4:$J$6,MATCH($C371,Parametros_ANEC73!$A$4:$A$6,0))</f>
        <v>0</v>
      </c>
      <c r="P371" s="38" t="n">
        <f aca="false">IF(OR($D371=0,$G371=""),0,IF(AND($K371="Sim",$O371&lt;&gt;""),MAX(0,$H371*($E371-$O371)),0))</f>
        <v>0</v>
      </c>
      <c r="Q371" s="35" t="n">
        <f aca="false">INDEX(Parametros_ANEC73!$F$4:$F$6,MATCH($C371,Parametros_ANEC73!$A$4:$A$6,0))</f>
        <v>1</v>
      </c>
      <c r="R371" s="35" t="n">
        <f aca="false">INDEX(Parametros_ANEC73!$I$4:$I$6,MATCH($C371,Parametros_ANEC73!$A$4:$A$6,0))</f>
        <v>2</v>
      </c>
      <c r="S371" s="35" t="n">
        <f aca="false">INDEX(Parametros_ANEC73!$L$4:$L$6,MATCH($C371,Parametros_ANEC73!$A$4:$A$6,0))</f>
        <v>0</v>
      </c>
      <c r="T371" s="39" t="n">
        <f aca="false">INDEX(Parametros_ANEC73!$B$14:$B$25,MATCH($B371,Parametros_ANEC73!$A$14:$A$25,0))</f>
        <v>415</v>
      </c>
      <c r="U371" s="40" t="n">
        <f aca="false">IF(OR($D371=0,$G371=""),0,$D371*($T371/100)*($L371*$Q371+$N371*(IF($R371="",$Q371,$R371)-$Q371)+$P371*(IF($S371="",IF($R371="",$Q371,$R371),$S371)-IF($R371="",$Q371,$R371))))</f>
        <v>0</v>
      </c>
      <c r="V371" s="41" t="str">
        <f aca="false">IF(OR($D371=0,$G371=""),"",IF($H371*($E371-INDEX(Parametros_ANEC73!$M$4:$M$6,MATCH($C371,Parametros_ANEC73!$A$4:$A$6,0)))&gt;0,"Sim","Nao"))</f>
        <v/>
      </c>
      <c r="W371" s="27" t="str">
        <f aca="false">$A371&amp;"|"&amp;$B371&amp;"|"&amp;$C371</f>
        <v>Novo06|Abr|Proteina</v>
      </c>
    </row>
    <row r="372" customFormat="false" ht="15" hidden="false" customHeight="false" outlineLevel="0" collapsed="false">
      <c r="A372" s="27" t="s">
        <v>49</v>
      </c>
      <c r="B372" s="27" t="s">
        <v>61</v>
      </c>
      <c r="C372" s="27" t="s">
        <v>110</v>
      </c>
      <c r="D372" s="34" t="n">
        <f aca="false">SUMIFS(Media_Cliente_Mes!$C$2:$C$145,Media_Cliente_Mes!$A$2:$A$145,$A372,Media_Cliente_Mes!$B$2:$B$145,$B372)</f>
        <v>0</v>
      </c>
      <c r="E372" s="35" t="str">
        <f aca="false">IF($D372=0,"",IF($C372="Proteina",SUMIFS(Media_Cliente_Mes!$D$2:$D$145,Media_Cliente_Mes!$A$2:$A$145,$A372,Media_Cliente_Mes!$B$2:$B$145,$B372),IF($C372="Umidade",SUMIFS(Media_Cliente_Mes!$E$2:$E$145,Media_Cliente_Mes!$A$2:$A$145,$A372,Media_Cliente_Mes!$B$2:$B$145,$B372),SUMIFS(Media_Cliente_Mes!$F$2:$F$145,Media_Cliente_Mes!$A$2:$A$145,$A372,Media_Cliente_Mes!$B$2:$B$145,$B372))))</f>
        <v/>
      </c>
      <c r="F372" s="35" t="n">
        <f aca="false">INDEX(Parametros_ANEC73!$C$4:$C$6,MATCH($C372,Parametros_ANEC73!$A$4:$A$6,0))</f>
        <v>12.5</v>
      </c>
      <c r="G372" s="35" t="n">
        <f aca="false">IF($C372="Proteina",INDEX(Media_Pool_Mes!$C$2:$C$13,MATCH($B372,Media_Pool_Mes!$A$2:$A$13,0)),IF($C372="Umidade",INDEX(Media_Pool_Mes!$D$2:$D$13,MATCH($B372,Media_Pool_Mes!$A$2:$A$13,0)),INDEX(Media_Pool_Mes!$E$2:$E$13,MATCH($B372,Media_Pool_Mes!$A$2:$A$13,0))))</f>
        <v>12.3606134360148</v>
      </c>
      <c r="H372" s="37" t="n">
        <f aca="false">INDEX(Parametros_ANEC73!$B$4:$B$6,MATCH($C372,Parametros_ANEC73!$A$4:$A$6,0))</f>
        <v>1</v>
      </c>
      <c r="I372" s="38" t="str">
        <f aca="false">IF(OR($D372=0,$G372=""),"",IF($H372*($G372-$F372)&gt;0,$G372,$F372))</f>
        <v/>
      </c>
      <c r="J372" s="27" t="str">
        <f aca="false">IF(OR($D372=0,$G372=""),"",IF($H372*($G372-$F372)&gt;0,"Sim","Nao"))</f>
        <v/>
      </c>
      <c r="K372" s="27" t="str">
        <f aca="false">IF(OR($D372=0,$G372=""),"",IF(AND($H372*($E372-$F372)&gt;0,$H372*($E372-$G372)&gt;0),"Sim","Nao"))</f>
        <v/>
      </c>
      <c r="L372" s="38" t="n">
        <f aca="false">IF(OR($D372=0,$G372=""),0,IF($K372="Sim",MAX(0,$H372*($E372-$I372)),0))</f>
        <v>0</v>
      </c>
      <c r="M372" s="35" t="n">
        <f aca="false">INDEX(Parametros_ANEC73!$G$4:$G$6,MATCH($C372,Parametros_ANEC73!$A$4:$A$6,0))</f>
        <v>0</v>
      </c>
      <c r="N372" s="38" t="n">
        <f aca="false">IF(OR($D372=0,$G372=""),0,IF(AND($K372="Sim",$M372&lt;&gt;""),MAX(0,$H372*($E372-$M372)),0))</f>
        <v>0</v>
      </c>
      <c r="O372" s="35" t="n">
        <f aca="false">INDEX(Parametros_ANEC73!$J$4:$J$6,MATCH($C372,Parametros_ANEC73!$A$4:$A$6,0))</f>
        <v>0</v>
      </c>
      <c r="P372" s="38" t="n">
        <f aca="false">IF(OR($D372=0,$G372=""),0,IF(AND($K372="Sim",$O372&lt;&gt;""),MAX(0,$H372*($E372-$O372)),0))</f>
        <v>0</v>
      </c>
      <c r="Q372" s="35" t="n">
        <f aca="false">INDEX(Parametros_ANEC73!$F$4:$F$6,MATCH($C372,Parametros_ANEC73!$A$4:$A$6,0))</f>
        <v>1</v>
      </c>
      <c r="R372" s="35" t="n">
        <f aca="false">INDEX(Parametros_ANEC73!$I$4:$I$6,MATCH($C372,Parametros_ANEC73!$A$4:$A$6,0))</f>
        <v>0</v>
      </c>
      <c r="S372" s="35" t="n">
        <f aca="false">INDEX(Parametros_ANEC73!$L$4:$L$6,MATCH($C372,Parametros_ANEC73!$A$4:$A$6,0))</f>
        <v>0</v>
      </c>
      <c r="T372" s="39" t="n">
        <f aca="false">INDEX(Parametros_ANEC73!$B$14:$B$25,MATCH($B372,Parametros_ANEC73!$A$14:$A$25,0))</f>
        <v>415</v>
      </c>
      <c r="U372" s="40" t="n">
        <f aca="false">IF(OR($D372=0,$G372=""),0,$D372*($T372/100)*($L372*$Q372+$N372*(IF($R372="",$Q372,$R372)-$Q372)+$P372*(IF($S372="",IF($R372="",$Q372,$R372),$S372)-IF($R372="",$Q372,$R372))))</f>
        <v>0</v>
      </c>
      <c r="V372" s="41" t="str">
        <f aca="false">IF(OR($D372=0,$G372=""),"",IF($H372*($E372-INDEX(Parametros_ANEC73!$M$4:$M$6,MATCH($C372,Parametros_ANEC73!$A$4:$A$6,0)))&gt;0,"Sim","Nao"))</f>
        <v/>
      </c>
      <c r="W372" s="27" t="str">
        <f aca="false">$A372&amp;"|"&amp;$B372&amp;"|"&amp;$C372</f>
        <v>Novo06|Abr|Umidade</v>
      </c>
    </row>
    <row r="373" customFormat="false" ht="15" hidden="false" customHeight="false" outlineLevel="0" collapsed="false">
      <c r="A373" s="27" t="s">
        <v>49</v>
      </c>
      <c r="B373" s="27" t="s">
        <v>61</v>
      </c>
      <c r="C373" s="27" t="s">
        <v>111</v>
      </c>
      <c r="D373" s="34" t="n">
        <f aca="false">SUMIFS(Media_Cliente_Mes!$C$2:$C$145,Media_Cliente_Mes!$A$2:$A$145,$A373,Media_Cliente_Mes!$B$2:$B$145,$B373)</f>
        <v>0</v>
      </c>
      <c r="E373" s="35" t="str">
        <f aca="false">IF($D373=0,"",IF($C373="Proteina",SUMIFS(Media_Cliente_Mes!$D$2:$D$145,Media_Cliente_Mes!$A$2:$A$145,$A373,Media_Cliente_Mes!$B$2:$B$145,$B373),IF($C373="Umidade",SUMIFS(Media_Cliente_Mes!$E$2:$E$145,Media_Cliente_Mes!$A$2:$A$145,$A373,Media_Cliente_Mes!$B$2:$B$145,$B373),SUMIFS(Media_Cliente_Mes!$F$2:$F$145,Media_Cliente_Mes!$A$2:$A$145,$A373,Media_Cliente_Mes!$B$2:$B$145,$B373))))</f>
        <v/>
      </c>
      <c r="F373" s="35" t="n">
        <f aca="false">INDEX(Parametros_ANEC73!$C$4:$C$6,MATCH($C373,Parametros_ANEC73!$A$4:$A$6,0))</f>
        <v>3.5</v>
      </c>
      <c r="G373" s="35" t="n">
        <f aca="false">IF($C373="Proteina",INDEX(Media_Pool_Mes!$C$2:$C$13,MATCH($B373,Media_Pool_Mes!$A$2:$A$13,0)),IF($C373="Umidade",INDEX(Media_Pool_Mes!$D$2:$D$13,MATCH($B373,Media_Pool_Mes!$A$2:$A$13,0)),INDEX(Media_Pool_Mes!$E$2:$E$13,MATCH($B373,Media_Pool_Mes!$A$2:$A$13,0))))</f>
        <v>3.66155636815217</v>
      </c>
      <c r="H373" s="37" t="n">
        <f aca="false">INDEX(Parametros_ANEC73!$B$4:$B$6,MATCH($C373,Parametros_ANEC73!$A$4:$A$6,0))</f>
        <v>1</v>
      </c>
      <c r="I373" s="38" t="str">
        <f aca="false">IF(OR($D373=0,$G373=""),"",IF($H373*($G373-$F373)&gt;0,$G373,$F373))</f>
        <v/>
      </c>
      <c r="J373" s="27" t="str">
        <f aca="false">IF(OR($D373=0,$G373=""),"",IF($H373*($G373-$F373)&gt;0,"Sim","Nao"))</f>
        <v/>
      </c>
      <c r="K373" s="27" t="str">
        <f aca="false">IF(OR($D373=0,$G373=""),"",IF(AND($H373*($E373-$F373)&gt;0,$H373*($E373-$G373)&gt;0),"Sim","Nao"))</f>
        <v/>
      </c>
      <c r="L373" s="38" t="n">
        <f aca="false">IF(OR($D373=0,$G373=""),0,IF($K373="Sim",MAX(0,$H373*($E373-$I373)),0))</f>
        <v>0</v>
      </c>
      <c r="M373" s="35" t="n">
        <f aca="false">INDEX(Parametros_ANEC73!$G$4:$G$6,MATCH($C373,Parametros_ANEC73!$A$4:$A$6,0))</f>
        <v>3.8</v>
      </c>
      <c r="N373" s="38" t="n">
        <f aca="false">IF(OR($D373=0,$G373=""),0,IF(AND($K373="Sim",$M373&lt;&gt;""),MAX(0,$H373*($E373-$M373)),0))</f>
        <v>0</v>
      </c>
      <c r="O373" s="35" t="n">
        <f aca="false">INDEX(Parametros_ANEC73!$J$4:$J$6,MATCH($C373,Parametros_ANEC73!$A$4:$A$6,0))</f>
        <v>4</v>
      </c>
      <c r="P373" s="38" t="n">
        <f aca="false">IF(OR($D373=0,$G373=""),0,IF(AND($K373="Sim",$O373&lt;&gt;""),MAX(0,$H373*($E373-$O373)),0))</f>
        <v>0</v>
      </c>
      <c r="Q373" s="35" t="n">
        <f aca="false">INDEX(Parametros_ANEC73!$F$4:$F$6,MATCH($C373,Parametros_ANEC73!$A$4:$A$6,0))</f>
        <v>1</v>
      </c>
      <c r="R373" s="35" t="n">
        <f aca="false">INDEX(Parametros_ANEC73!$I$4:$I$6,MATCH($C373,Parametros_ANEC73!$A$4:$A$6,0))</f>
        <v>1.5</v>
      </c>
      <c r="S373" s="35" t="n">
        <f aca="false">INDEX(Parametros_ANEC73!$L$4:$L$6,MATCH($C373,Parametros_ANEC73!$A$4:$A$6,0))</f>
        <v>2</v>
      </c>
      <c r="T373" s="39" t="n">
        <f aca="false">INDEX(Parametros_ANEC73!$B$14:$B$25,MATCH($B373,Parametros_ANEC73!$A$14:$A$25,0))</f>
        <v>415</v>
      </c>
      <c r="U373" s="40" t="n">
        <f aca="false">IF(OR($D373=0,$G373=""),0,$D373*($T373/100)*($L373*$Q373+$N373*(IF($R373="",$Q373,$R373)-$Q373)+$P373*(IF($S373="",IF($R373="",$Q373,$R373),$S373)-IF($R373="",$Q373,$R373))))</f>
        <v>0</v>
      </c>
      <c r="V373" s="41" t="str">
        <f aca="false">IF(OR($D373=0,$G373=""),"",IF($H373*($E373-INDEX(Parametros_ANEC73!$M$4:$M$6,MATCH($C373,Parametros_ANEC73!$A$4:$A$6,0)))&gt;0,"Sim","Nao"))</f>
        <v/>
      </c>
      <c r="W373" s="27" t="str">
        <f aca="false">$A373&amp;"|"&amp;$B373&amp;"|"&amp;$C373</f>
        <v>Novo06|Abr|Fibra</v>
      </c>
    </row>
    <row r="374" customFormat="false" ht="15" hidden="false" customHeight="false" outlineLevel="0" collapsed="false">
      <c r="A374" s="27" t="s">
        <v>49</v>
      </c>
      <c r="B374" s="27" t="s">
        <v>62</v>
      </c>
      <c r="C374" s="27" t="s">
        <v>109</v>
      </c>
      <c r="D374" s="34" t="n">
        <f aca="false">SUMIFS(Media_Cliente_Mes!$C$2:$C$145,Media_Cliente_Mes!$A$2:$A$145,$A374,Media_Cliente_Mes!$B$2:$B$145,$B374)</f>
        <v>0</v>
      </c>
      <c r="E374" s="35" t="str">
        <f aca="false">IF($D374=0,"",IF($C374="Proteina",SUMIFS(Media_Cliente_Mes!$D$2:$D$145,Media_Cliente_Mes!$A$2:$A$145,$A374,Media_Cliente_Mes!$B$2:$B$145,$B374),IF($C374="Umidade",SUMIFS(Media_Cliente_Mes!$E$2:$E$145,Media_Cliente_Mes!$A$2:$A$145,$A374,Media_Cliente_Mes!$B$2:$B$145,$B374),SUMIFS(Media_Cliente_Mes!$F$2:$F$145,Media_Cliente_Mes!$A$2:$A$145,$A374,Media_Cliente_Mes!$B$2:$B$145,$B374))))</f>
        <v/>
      </c>
      <c r="F374" s="35" t="n">
        <f aca="false">INDEX(Parametros_ANEC73!$C$4:$C$6,MATCH($C374,Parametros_ANEC73!$A$4:$A$6,0))</f>
        <v>48</v>
      </c>
      <c r="G374" s="35" t="n">
        <f aca="false">IF($C374="Proteina",INDEX(Media_Pool_Mes!$C$2:$C$13,MATCH($B374,Media_Pool_Mes!$A$2:$A$13,0)),IF($C374="Umidade",INDEX(Media_Pool_Mes!$D$2:$D$13,MATCH($B374,Media_Pool_Mes!$A$2:$A$13,0)),INDEX(Media_Pool_Mes!$E$2:$E$13,MATCH($B374,Media_Pool_Mes!$A$2:$A$13,0))))</f>
        <v>47.6334614958572</v>
      </c>
      <c r="H374" s="37" t="n">
        <f aca="false">INDEX(Parametros_ANEC73!$B$4:$B$6,MATCH($C374,Parametros_ANEC73!$A$4:$A$6,0))</f>
        <v>-1</v>
      </c>
      <c r="I374" s="38" t="str">
        <f aca="false">IF(OR($D374=0,$G374=""),"",IF($H374*($G374-$F374)&gt;0,$G374,$F374))</f>
        <v/>
      </c>
      <c r="J374" s="27" t="str">
        <f aca="false">IF(OR($D374=0,$G374=""),"",IF($H374*($G374-$F374)&gt;0,"Sim","Nao"))</f>
        <v/>
      </c>
      <c r="K374" s="27" t="str">
        <f aca="false">IF(OR($D374=0,$G374=""),"",IF(AND($H374*($E374-$F374)&gt;0,$H374*($E374-$G374)&gt;0),"Sim","Nao"))</f>
        <v/>
      </c>
      <c r="L374" s="38" t="n">
        <f aca="false">IF(OR($D374=0,$G374=""),0,IF($K374="Sim",MAX(0,$H374*($E374-$I374)),0))</f>
        <v>0</v>
      </c>
      <c r="M374" s="35" t="n">
        <f aca="false">INDEX(Parametros_ANEC73!$G$4:$G$6,MATCH($C374,Parametros_ANEC73!$A$4:$A$6,0))</f>
        <v>47</v>
      </c>
      <c r="N374" s="38" t="n">
        <f aca="false">IF(OR($D374=0,$G374=""),0,IF(AND($K374="Sim",$M374&lt;&gt;""),MAX(0,$H374*($E374-$M374)),0))</f>
        <v>0</v>
      </c>
      <c r="O374" s="35" t="n">
        <f aca="false">INDEX(Parametros_ANEC73!$J$4:$J$6,MATCH($C374,Parametros_ANEC73!$A$4:$A$6,0))</f>
        <v>0</v>
      </c>
      <c r="P374" s="38" t="n">
        <f aca="false">IF(OR($D374=0,$G374=""),0,IF(AND($K374="Sim",$O374&lt;&gt;""),MAX(0,$H374*($E374-$O374)),0))</f>
        <v>0</v>
      </c>
      <c r="Q374" s="35" t="n">
        <f aca="false">INDEX(Parametros_ANEC73!$F$4:$F$6,MATCH($C374,Parametros_ANEC73!$A$4:$A$6,0))</f>
        <v>1</v>
      </c>
      <c r="R374" s="35" t="n">
        <f aca="false">INDEX(Parametros_ANEC73!$I$4:$I$6,MATCH($C374,Parametros_ANEC73!$A$4:$A$6,0))</f>
        <v>2</v>
      </c>
      <c r="S374" s="35" t="n">
        <f aca="false">INDEX(Parametros_ANEC73!$L$4:$L$6,MATCH($C374,Parametros_ANEC73!$A$4:$A$6,0))</f>
        <v>0</v>
      </c>
      <c r="T374" s="39" t="n">
        <f aca="false">INDEX(Parametros_ANEC73!$B$14:$B$25,MATCH($B374,Parametros_ANEC73!$A$14:$A$25,0))</f>
        <v>343</v>
      </c>
      <c r="U374" s="40" t="n">
        <f aca="false">IF(OR($D374=0,$G374=""),0,$D374*($T374/100)*($L374*$Q374+$N374*(IF($R374="",$Q374,$R374)-$Q374)+$P374*(IF($S374="",IF($R374="",$Q374,$R374),$S374)-IF($R374="",$Q374,$R374))))</f>
        <v>0</v>
      </c>
      <c r="V374" s="41" t="str">
        <f aca="false">IF(OR($D374=0,$G374=""),"",IF($H374*($E374-INDEX(Parametros_ANEC73!$M$4:$M$6,MATCH($C374,Parametros_ANEC73!$A$4:$A$6,0)))&gt;0,"Sim","Nao"))</f>
        <v/>
      </c>
      <c r="W374" s="27" t="str">
        <f aca="false">$A374&amp;"|"&amp;$B374&amp;"|"&amp;$C374</f>
        <v>Novo06|Mai|Proteina</v>
      </c>
    </row>
    <row r="375" customFormat="false" ht="15" hidden="false" customHeight="false" outlineLevel="0" collapsed="false">
      <c r="A375" s="27" t="s">
        <v>49</v>
      </c>
      <c r="B375" s="27" t="s">
        <v>62</v>
      </c>
      <c r="C375" s="27" t="s">
        <v>110</v>
      </c>
      <c r="D375" s="34" t="n">
        <f aca="false">SUMIFS(Media_Cliente_Mes!$C$2:$C$145,Media_Cliente_Mes!$A$2:$A$145,$A375,Media_Cliente_Mes!$B$2:$B$145,$B375)</f>
        <v>0</v>
      </c>
      <c r="E375" s="35" t="str">
        <f aca="false">IF($D375=0,"",IF($C375="Proteina",SUMIFS(Media_Cliente_Mes!$D$2:$D$145,Media_Cliente_Mes!$A$2:$A$145,$A375,Media_Cliente_Mes!$B$2:$B$145,$B375),IF($C375="Umidade",SUMIFS(Media_Cliente_Mes!$E$2:$E$145,Media_Cliente_Mes!$A$2:$A$145,$A375,Media_Cliente_Mes!$B$2:$B$145,$B375),SUMIFS(Media_Cliente_Mes!$F$2:$F$145,Media_Cliente_Mes!$A$2:$A$145,$A375,Media_Cliente_Mes!$B$2:$B$145,$B375))))</f>
        <v/>
      </c>
      <c r="F375" s="35" t="n">
        <f aca="false">INDEX(Parametros_ANEC73!$C$4:$C$6,MATCH($C375,Parametros_ANEC73!$A$4:$A$6,0))</f>
        <v>12.5</v>
      </c>
      <c r="G375" s="35" t="n">
        <f aca="false">IF($C375="Proteina",INDEX(Media_Pool_Mes!$C$2:$C$13,MATCH($B375,Media_Pool_Mes!$A$2:$A$13,0)),IF($C375="Umidade",INDEX(Media_Pool_Mes!$D$2:$D$13,MATCH($B375,Media_Pool_Mes!$A$2:$A$13,0)),INDEX(Media_Pool_Mes!$E$2:$E$13,MATCH($B375,Media_Pool_Mes!$A$2:$A$13,0))))</f>
        <v>12.3121752562954</v>
      </c>
      <c r="H375" s="37" t="n">
        <f aca="false">INDEX(Parametros_ANEC73!$B$4:$B$6,MATCH($C375,Parametros_ANEC73!$A$4:$A$6,0))</f>
        <v>1</v>
      </c>
      <c r="I375" s="38" t="str">
        <f aca="false">IF(OR($D375=0,$G375=""),"",IF($H375*($G375-$F375)&gt;0,$G375,$F375))</f>
        <v/>
      </c>
      <c r="J375" s="27" t="str">
        <f aca="false">IF(OR($D375=0,$G375=""),"",IF($H375*($G375-$F375)&gt;0,"Sim","Nao"))</f>
        <v/>
      </c>
      <c r="K375" s="27" t="str">
        <f aca="false">IF(OR($D375=0,$G375=""),"",IF(AND($H375*($E375-$F375)&gt;0,$H375*($E375-$G375)&gt;0),"Sim","Nao"))</f>
        <v/>
      </c>
      <c r="L375" s="38" t="n">
        <f aca="false">IF(OR($D375=0,$G375=""),0,IF($K375="Sim",MAX(0,$H375*($E375-$I375)),0))</f>
        <v>0</v>
      </c>
      <c r="M375" s="35" t="n">
        <f aca="false">INDEX(Parametros_ANEC73!$G$4:$G$6,MATCH($C375,Parametros_ANEC73!$A$4:$A$6,0))</f>
        <v>0</v>
      </c>
      <c r="N375" s="38" t="n">
        <f aca="false">IF(OR($D375=0,$G375=""),0,IF(AND($K375="Sim",$M375&lt;&gt;""),MAX(0,$H375*($E375-$M375)),0))</f>
        <v>0</v>
      </c>
      <c r="O375" s="35" t="n">
        <f aca="false">INDEX(Parametros_ANEC73!$J$4:$J$6,MATCH($C375,Parametros_ANEC73!$A$4:$A$6,0))</f>
        <v>0</v>
      </c>
      <c r="P375" s="38" t="n">
        <f aca="false">IF(OR($D375=0,$G375=""),0,IF(AND($K375="Sim",$O375&lt;&gt;""),MAX(0,$H375*($E375-$O375)),0))</f>
        <v>0</v>
      </c>
      <c r="Q375" s="35" t="n">
        <f aca="false">INDEX(Parametros_ANEC73!$F$4:$F$6,MATCH($C375,Parametros_ANEC73!$A$4:$A$6,0))</f>
        <v>1</v>
      </c>
      <c r="R375" s="35" t="n">
        <f aca="false">INDEX(Parametros_ANEC73!$I$4:$I$6,MATCH($C375,Parametros_ANEC73!$A$4:$A$6,0))</f>
        <v>0</v>
      </c>
      <c r="S375" s="35" t="n">
        <f aca="false">INDEX(Parametros_ANEC73!$L$4:$L$6,MATCH($C375,Parametros_ANEC73!$A$4:$A$6,0))</f>
        <v>0</v>
      </c>
      <c r="T375" s="39" t="n">
        <f aca="false">INDEX(Parametros_ANEC73!$B$14:$B$25,MATCH($B375,Parametros_ANEC73!$A$14:$A$25,0))</f>
        <v>343</v>
      </c>
      <c r="U375" s="40" t="n">
        <f aca="false">IF(OR($D375=0,$G375=""),0,$D375*($T375/100)*($L375*$Q375+$N375*(IF($R375="",$Q375,$R375)-$Q375)+$P375*(IF($S375="",IF($R375="",$Q375,$R375),$S375)-IF($R375="",$Q375,$R375))))</f>
        <v>0</v>
      </c>
      <c r="V375" s="41" t="str">
        <f aca="false">IF(OR($D375=0,$G375=""),"",IF($H375*($E375-INDEX(Parametros_ANEC73!$M$4:$M$6,MATCH($C375,Parametros_ANEC73!$A$4:$A$6,0)))&gt;0,"Sim","Nao"))</f>
        <v/>
      </c>
      <c r="W375" s="27" t="str">
        <f aca="false">$A375&amp;"|"&amp;$B375&amp;"|"&amp;$C375</f>
        <v>Novo06|Mai|Umidade</v>
      </c>
    </row>
    <row r="376" customFormat="false" ht="15" hidden="false" customHeight="false" outlineLevel="0" collapsed="false">
      <c r="A376" s="27" t="s">
        <v>49</v>
      </c>
      <c r="B376" s="27" t="s">
        <v>62</v>
      </c>
      <c r="C376" s="27" t="s">
        <v>111</v>
      </c>
      <c r="D376" s="34" t="n">
        <f aca="false">SUMIFS(Media_Cliente_Mes!$C$2:$C$145,Media_Cliente_Mes!$A$2:$A$145,$A376,Media_Cliente_Mes!$B$2:$B$145,$B376)</f>
        <v>0</v>
      </c>
      <c r="E376" s="35" t="str">
        <f aca="false">IF($D376=0,"",IF($C376="Proteina",SUMIFS(Media_Cliente_Mes!$D$2:$D$145,Media_Cliente_Mes!$A$2:$A$145,$A376,Media_Cliente_Mes!$B$2:$B$145,$B376),IF($C376="Umidade",SUMIFS(Media_Cliente_Mes!$E$2:$E$145,Media_Cliente_Mes!$A$2:$A$145,$A376,Media_Cliente_Mes!$B$2:$B$145,$B376),SUMIFS(Media_Cliente_Mes!$F$2:$F$145,Media_Cliente_Mes!$A$2:$A$145,$A376,Media_Cliente_Mes!$B$2:$B$145,$B376))))</f>
        <v/>
      </c>
      <c r="F376" s="35" t="n">
        <f aca="false">INDEX(Parametros_ANEC73!$C$4:$C$6,MATCH($C376,Parametros_ANEC73!$A$4:$A$6,0))</f>
        <v>3.5</v>
      </c>
      <c r="G376" s="35" t="n">
        <f aca="false">IF($C376="Proteina",INDEX(Media_Pool_Mes!$C$2:$C$13,MATCH($B376,Media_Pool_Mes!$A$2:$A$13,0)),IF($C376="Umidade",INDEX(Media_Pool_Mes!$D$2:$D$13,MATCH($B376,Media_Pool_Mes!$A$2:$A$13,0)),INDEX(Media_Pool_Mes!$E$2:$E$13,MATCH($B376,Media_Pool_Mes!$A$2:$A$13,0))))</f>
        <v>3.64524916105719</v>
      </c>
      <c r="H376" s="37" t="n">
        <f aca="false">INDEX(Parametros_ANEC73!$B$4:$B$6,MATCH($C376,Parametros_ANEC73!$A$4:$A$6,0))</f>
        <v>1</v>
      </c>
      <c r="I376" s="38" t="str">
        <f aca="false">IF(OR($D376=0,$G376=""),"",IF($H376*($G376-$F376)&gt;0,$G376,$F376))</f>
        <v/>
      </c>
      <c r="J376" s="27" t="str">
        <f aca="false">IF(OR($D376=0,$G376=""),"",IF($H376*($G376-$F376)&gt;0,"Sim","Nao"))</f>
        <v/>
      </c>
      <c r="K376" s="27" t="str">
        <f aca="false">IF(OR($D376=0,$G376=""),"",IF(AND($H376*($E376-$F376)&gt;0,$H376*($E376-$G376)&gt;0),"Sim","Nao"))</f>
        <v/>
      </c>
      <c r="L376" s="38" t="n">
        <f aca="false">IF(OR($D376=0,$G376=""),0,IF($K376="Sim",MAX(0,$H376*($E376-$I376)),0))</f>
        <v>0</v>
      </c>
      <c r="M376" s="35" t="n">
        <f aca="false">INDEX(Parametros_ANEC73!$G$4:$G$6,MATCH($C376,Parametros_ANEC73!$A$4:$A$6,0))</f>
        <v>3.8</v>
      </c>
      <c r="N376" s="38" t="n">
        <f aca="false">IF(OR($D376=0,$G376=""),0,IF(AND($K376="Sim",$M376&lt;&gt;""),MAX(0,$H376*($E376-$M376)),0))</f>
        <v>0</v>
      </c>
      <c r="O376" s="35" t="n">
        <f aca="false">INDEX(Parametros_ANEC73!$J$4:$J$6,MATCH($C376,Parametros_ANEC73!$A$4:$A$6,0))</f>
        <v>4</v>
      </c>
      <c r="P376" s="38" t="n">
        <f aca="false">IF(OR($D376=0,$G376=""),0,IF(AND($K376="Sim",$O376&lt;&gt;""),MAX(0,$H376*($E376-$O376)),0))</f>
        <v>0</v>
      </c>
      <c r="Q376" s="35" t="n">
        <f aca="false">INDEX(Parametros_ANEC73!$F$4:$F$6,MATCH($C376,Parametros_ANEC73!$A$4:$A$6,0))</f>
        <v>1</v>
      </c>
      <c r="R376" s="35" t="n">
        <f aca="false">INDEX(Parametros_ANEC73!$I$4:$I$6,MATCH($C376,Parametros_ANEC73!$A$4:$A$6,0))</f>
        <v>1.5</v>
      </c>
      <c r="S376" s="35" t="n">
        <f aca="false">INDEX(Parametros_ANEC73!$L$4:$L$6,MATCH($C376,Parametros_ANEC73!$A$4:$A$6,0))</f>
        <v>2</v>
      </c>
      <c r="T376" s="39" t="n">
        <f aca="false">INDEX(Parametros_ANEC73!$B$14:$B$25,MATCH($B376,Parametros_ANEC73!$A$14:$A$25,0))</f>
        <v>343</v>
      </c>
      <c r="U376" s="40" t="n">
        <f aca="false">IF(OR($D376=0,$G376=""),0,$D376*($T376/100)*($L376*$Q376+$N376*(IF($R376="",$Q376,$R376)-$Q376)+$P376*(IF($S376="",IF($R376="",$Q376,$R376),$S376)-IF($R376="",$Q376,$R376))))</f>
        <v>0</v>
      </c>
      <c r="V376" s="41" t="str">
        <f aca="false">IF(OR($D376=0,$G376=""),"",IF($H376*($E376-INDEX(Parametros_ANEC73!$M$4:$M$6,MATCH($C376,Parametros_ANEC73!$A$4:$A$6,0)))&gt;0,"Sim","Nao"))</f>
        <v/>
      </c>
      <c r="W376" s="27" t="str">
        <f aca="false">$A376&amp;"|"&amp;$B376&amp;"|"&amp;$C376</f>
        <v>Novo06|Mai|Fibra</v>
      </c>
    </row>
    <row r="377" customFormat="false" ht="15" hidden="false" customHeight="false" outlineLevel="0" collapsed="false">
      <c r="A377" s="27" t="s">
        <v>49</v>
      </c>
      <c r="B377" s="27" t="s">
        <v>63</v>
      </c>
      <c r="C377" s="27" t="s">
        <v>109</v>
      </c>
      <c r="D377" s="34" t="n">
        <f aca="false">SUMIFS(Media_Cliente_Mes!$C$2:$C$145,Media_Cliente_Mes!$A$2:$A$145,$A377,Media_Cliente_Mes!$B$2:$B$145,$B377)</f>
        <v>0</v>
      </c>
      <c r="E377" s="35" t="str">
        <f aca="false">IF($D377=0,"",IF($C377="Proteina",SUMIFS(Media_Cliente_Mes!$D$2:$D$145,Media_Cliente_Mes!$A$2:$A$145,$A377,Media_Cliente_Mes!$B$2:$B$145,$B377),IF($C377="Umidade",SUMIFS(Media_Cliente_Mes!$E$2:$E$145,Media_Cliente_Mes!$A$2:$A$145,$A377,Media_Cliente_Mes!$B$2:$B$145,$B377),SUMIFS(Media_Cliente_Mes!$F$2:$F$145,Media_Cliente_Mes!$A$2:$A$145,$A377,Media_Cliente_Mes!$B$2:$B$145,$B377))))</f>
        <v/>
      </c>
      <c r="F377" s="35" t="n">
        <f aca="false">INDEX(Parametros_ANEC73!$C$4:$C$6,MATCH($C377,Parametros_ANEC73!$A$4:$A$6,0))</f>
        <v>48</v>
      </c>
      <c r="G377" s="35" t="n">
        <f aca="false">IF($C377="Proteina",INDEX(Media_Pool_Mes!$C$2:$C$13,MATCH($B377,Media_Pool_Mes!$A$2:$A$13,0)),IF($C377="Umidade",INDEX(Media_Pool_Mes!$D$2:$D$13,MATCH($B377,Media_Pool_Mes!$A$2:$A$13,0)),INDEX(Media_Pool_Mes!$E$2:$E$13,MATCH($B377,Media_Pool_Mes!$A$2:$A$13,0))))</f>
        <v>47.4834226367413</v>
      </c>
      <c r="H377" s="37" t="n">
        <f aca="false">INDEX(Parametros_ANEC73!$B$4:$B$6,MATCH($C377,Parametros_ANEC73!$A$4:$A$6,0))</f>
        <v>-1</v>
      </c>
      <c r="I377" s="38" t="str">
        <f aca="false">IF(OR($D377=0,$G377=""),"",IF($H377*($G377-$F377)&gt;0,$G377,$F377))</f>
        <v/>
      </c>
      <c r="J377" s="27" t="str">
        <f aca="false">IF(OR($D377=0,$G377=""),"",IF($H377*($G377-$F377)&gt;0,"Sim","Nao"))</f>
        <v/>
      </c>
      <c r="K377" s="27" t="str">
        <f aca="false">IF(OR($D377=0,$G377=""),"",IF(AND($H377*($E377-$F377)&gt;0,$H377*($E377-$G377)&gt;0),"Sim","Nao"))</f>
        <v/>
      </c>
      <c r="L377" s="38" t="n">
        <f aca="false">IF(OR($D377=0,$G377=""),0,IF($K377="Sim",MAX(0,$H377*($E377-$I377)),0))</f>
        <v>0</v>
      </c>
      <c r="M377" s="35" t="n">
        <f aca="false">INDEX(Parametros_ANEC73!$G$4:$G$6,MATCH($C377,Parametros_ANEC73!$A$4:$A$6,0))</f>
        <v>47</v>
      </c>
      <c r="N377" s="38" t="n">
        <f aca="false">IF(OR($D377=0,$G377=""),0,IF(AND($K377="Sim",$M377&lt;&gt;""),MAX(0,$H377*($E377-$M377)),0))</f>
        <v>0</v>
      </c>
      <c r="O377" s="35" t="n">
        <f aca="false">INDEX(Parametros_ANEC73!$J$4:$J$6,MATCH($C377,Parametros_ANEC73!$A$4:$A$6,0))</f>
        <v>0</v>
      </c>
      <c r="P377" s="38" t="n">
        <f aca="false">IF(OR($D377=0,$G377=""),0,IF(AND($K377="Sim",$O377&lt;&gt;""),MAX(0,$H377*($E377-$O377)),0))</f>
        <v>0</v>
      </c>
      <c r="Q377" s="35" t="n">
        <f aca="false">INDEX(Parametros_ANEC73!$F$4:$F$6,MATCH($C377,Parametros_ANEC73!$A$4:$A$6,0))</f>
        <v>1</v>
      </c>
      <c r="R377" s="35" t="n">
        <f aca="false">INDEX(Parametros_ANEC73!$I$4:$I$6,MATCH($C377,Parametros_ANEC73!$A$4:$A$6,0))</f>
        <v>2</v>
      </c>
      <c r="S377" s="35" t="n">
        <f aca="false">INDEX(Parametros_ANEC73!$L$4:$L$6,MATCH($C377,Parametros_ANEC73!$A$4:$A$6,0))</f>
        <v>0</v>
      </c>
      <c r="T377" s="39" t="n">
        <f aca="false">INDEX(Parametros_ANEC73!$B$14:$B$25,MATCH($B377,Parametros_ANEC73!$A$14:$A$25,0))</f>
        <v>326</v>
      </c>
      <c r="U377" s="40" t="n">
        <f aca="false">IF(OR($D377=0,$G377=""),0,$D377*($T377/100)*($L377*$Q377+$N377*(IF($R377="",$Q377,$R377)-$Q377)+$P377*(IF($S377="",IF($R377="",$Q377,$R377),$S377)-IF($R377="",$Q377,$R377))))</f>
        <v>0</v>
      </c>
      <c r="V377" s="41" t="str">
        <f aca="false">IF(OR($D377=0,$G377=""),"",IF($H377*($E377-INDEX(Parametros_ANEC73!$M$4:$M$6,MATCH($C377,Parametros_ANEC73!$A$4:$A$6,0)))&gt;0,"Sim","Nao"))</f>
        <v/>
      </c>
      <c r="W377" s="27" t="str">
        <f aca="false">$A377&amp;"|"&amp;$B377&amp;"|"&amp;$C377</f>
        <v>Novo06|Jun|Proteina</v>
      </c>
    </row>
    <row r="378" customFormat="false" ht="15" hidden="false" customHeight="false" outlineLevel="0" collapsed="false">
      <c r="A378" s="27" t="s">
        <v>49</v>
      </c>
      <c r="B378" s="27" t="s">
        <v>63</v>
      </c>
      <c r="C378" s="27" t="s">
        <v>110</v>
      </c>
      <c r="D378" s="34" t="n">
        <f aca="false">SUMIFS(Media_Cliente_Mes!$C$2:$C$145,Media_Cliente_Mes!$A$2:$A$145,$A378,Media_Cliente_Mes!$B$2:$B$145,$B378)</f>
        <v>0</v>
      </c>
      <c r="E378" s="35" t="str">
        <f aca="false">IF($D378=0,"",IF($C378="Proteina",SUMIFS(Media_Cliente_Mes!$D$2:$D$145,Media_Cliente_Mes!$A$2:$A$145,$A378,Media_Cliente_Mes!$B$2:$B$145,$B378),IF($C378="Umidade",SUMIFS(Media_Cliente_Mes!$E$2:$E$145,Media_Cliente_Mes!$A$2:$A$145,$A378,Media_Cliente_Mes!$B$2:$B$145,$B378),SUMIFS(Media_Cliente_Mes!$F$2:$F$145,Media_Cliente_Mes!$A$2:$A$145,$A378,Media_Cliente_Mes!$B$2:$B$145,$B378))))</f>
        <v/>
      </c>
      <c r="F378" s="35" t="n">
        <f aca="false">INDEX(Parametros_ANEC73!$C$4:$C$6,MATCH($C378,Parametros_ANEC73!$A$4:$A$6,0))</f>
        <v>12.5</v>
      </c>
      <c r="G378" s="35" t="n">
        <f aca="false">IF($C378="Proteina",INDEX(Media_Pool_Mes!$C$2:$C$13,MATCH($B378,Media_Pool_Mes!$A$2:$A$13,0)),IF($C378="Umidade",INDEX(Media_Pool_Mes!$D$2:$D$13,MATCH($B378,Media_Pool_Mes!$A$2:$A$13,0)),INDEX(Media_Pool_Mes!$E$2:$E$13,MATCH($B378,Media_Pool_Mes!$A$2:$A$13,0))))</f>
        <v>12.6225093779221</v>
      </c>
      <c r="H378" s="37" t="n">
        <f aca="false">INDEX(Parametros_ANEC73!$B$4:$B$6,MATCH($C378,Parametros_ANEC73!$A$4:$A$6,0))</f>
        <v>1</v>
      </c>
      <c r="I378" s="38" t="str">
        <f aca="false">IF(OR($D378=0,$G378=""),"",IF($H378*($G378-$F378)&gt;0,$G378,$F378))</f>
        <v/>
      </c>
      <c r="J378" s="27" t="str">
        <f aca="false">IF(OR($D378=0,$G378=""),"",IF($H378*($G378-$F378)&gt;0,"Sim","Nao"))</f>
        <v/>
      </c>
      <c r="K378" s="27" t="str">
        <f aca="false">IF(OR($D378=0,$G378=""),"",IF(AND($H378*($E378-$F378)&gt;0,$H378*($E378-$G378)&gt;0),"Sim","Nao"))</f>
        <v/>
      </c>
      <c r="L378" s="38" t="n">
        <f aca="false">IF(OR($D378=0,$G378=""),0,IF($K378="Sim",MAX(0,$H378*($E378-$I378)),0))</f>
        <v>0</v>
      </c>
      <c r="M378" s="35" t="n">
        <f aca="false">INDEX(Parametros_ANEC73!$G$4:$G$6,MATCH($C378,Parametros_ANEC73!$A$4:$A$6,0))</f>
        <v>0</v>
      </c>
      <c r="N378" s="38" t="n">
        <f aca="false">IF(OR($D378=0,$G378=""),0,IF(AND($K378="Sim",$M378&lt;&gt;""),MAX(0,$H378*($E378-$M378)),0))</f>
        <v>0</v>
      </c>
      <c r="O378" s="35" t="n">
        <f aca="false">INDEX(Parametros_ANEC73!$J$4:$J$6,MATCH($C378,Parametros_ANEC73!$A$4:$A$6,0))</f>
        <v>0</v>
      </c>
      <c r="P378" s="38" t="n">
        <f aca="false">IF(OR($D378=0,$G378=""),0,IF(AND($K378="Sim",$O378&lt;&gt;""),MAX(0,$H378*($E378-$O378)),0))</f>
        <v>0</v>
      </c>
      <c r="Q378" s="35" t="n">
        <f aca="false">INDEX(Parametros_ANEC73!$F$4:$F$6,MATCH($C378,Parametros_ANEC73!$A$4:$A$6,0))</f>
        <v>1</v>
      </c>
      <c r="R378" s="35" t="n">
        <f aca="false">INDEX(Parametros_ANEC73!$I$4:$I$6,MATCH($C378,Parametros_ANEC73!$A$4:$A$6,0))</f>
        <v>0</v>
      </c>
      <c r="S378" s="35" t="n">
        <f aca="false">INDEX(Parametros_ANEC73!$L$4:$L$6,MATCH($C378,Parametros_ANEC73!$A$4:$A$6,0))</f>
        <v>0</v>
      </c>
      <c r="T378" s="39" t="n">
        <f aca="false">INDEX(Parametros_ANEC73!$B$14:$B$25,MATCH($B378,Parametros_ANEC73!$A$14:$A$25,0))</f>
        <v>326</v>
      </c>
      <c r="U378" s="40" t="n">
        <f aca="false">IF(OR($D378=0,$G378=""),0,$D378*($T378/100)*($L378*$Q378+$N378*(IF($R378="",$Q378,$R378)-$Q378)+$P378*(IF($S378="",IF($R378="",$Q378,$R378),$S378)-IF($R378="",$Q378,$R378))))</f>
        <v>0</v>
      </c>
      <c r="V378" s="41" t="str">
        <f aca="false">IF(OR($D378=0,$G378=""),"",IF($H378*($E378-INDEX(Parametros_ANEC73!$M$4:$M$6,MATCH($C378,Parametros_ANEC73!$A$4:$A$6,0)))&gt;0,"Sim","Nao"))</f>
        <v/>
      </c>
      <c r="W378" s="27" t="str">
        <f aca="false">$A378&amp;"|"&amp;$B378&amp;"|"&amp;$C378</f>
        <v>Novo06|Jun|Umidade</v>
      </c>
    </row>
    <row r="379" customFormat="false" ht="15" hidden="false" customHeight="false" outlineLevel="0" collapsed="false">
      <c r="A379" s="27" t="s">
        <v>49</v>
      </c>
      <c r="B379" s="27" t="s">
        <v>63</v>
      </c>
      <c r="C379" s="27" t="s">
        <v>111</v>
      </c>
      <c r="D379" s="34" t="n">
        <f aca="false">SUMIFS(Media_Cliente_Mes!$C$2:$C$145,Media_Cliente_Mes!$A$2:$A$145,$A379,Media_Cliente_Mes!$B$2:$B$145,$B379)</f>
        <v>0</v>
      </c>
      <c r="E379" s="35" t="str">
        <f aca="false">IF($D379=0,"",IF($C379="Proteina",SUMIFS(Media_Cliente_Mes!$D$2:$D$145,Media_Cliente_Mes!$A$2:$A$145,$A379,Media_Cliente_Mes!$B$2:$B$145,$B379),IF($C379="Umidade",SUMIFS(Media_Cliente_Mes!$E$2:$E$145,Media_Cliente_Mes!$A$2:$A$145,$A379,Media_Cliente_Mes!$B$2:$B$145,$B379),SUMIFS(Media_Cliente_Mes!$F$2:$F$145,Media_Cliente_Mes!$A$2:$A$145,$A379,Media_Cliente_Mes!$B$2:$B$145,$B379))))</f>
        <v/>
      </c>
      <c r="F379" s="35" t="n">
        <f aca="false">INDEX(Parametros_ANEC73!$C$4:$C$6,MATCH($C379,Parametros_ANEC73!$A$4:$A$6,0))</f>
        <v>3.5</v>
      </c>
      <c r="G379" s="35" t="n">
        <f aca="false">IF($C379="Proteina",INDEX(Media_Pool_Mes!$C$2:$C$13,MATCH($B379,Media_Pool_Mes!$A$2:$A$13,0)),IF($C379="Umidade",INDEX(Media_Pool_Mes!$D$2:$D$13,MATCH($B379,Media_Pool_Mes!$A$2:$A$13,0)),INDEX(Media_Pool_Mes!$E$2:$E$13,MATCH($B379,Media_Pool_Mes!$A$2:$A$13,0))))</f>
        <v>3.72652113613862</v>
      </c>
      <c r="H379" s="37" t="n">
        <f aca="false">INDEX(Parametros_ANEC73!$B$4:$B$6,MATCH($C379,Parametros_ANEC73!$A$4:$A$6,0))</f>
        <v>1</v>
      </c>
      <c r="I379" s="38" t="str">
        <f aca="false">IF(OR($D379=0,$G379=""),"",IF($H379*($G379-$F379)&gt;0,$G379,$F379))</f>
        <v/>
      </c>
      <c r="J379" s="27" t="str">
        <f aca="false">IF(OR($D379=0,$G379=""),"",IF($H379*($G379-$F379)&gt;0,"Sim","Nao"))</f>
        <v/>
      </c>
      <c r="K379" s="27" t="str">
        <f aca="false">IF(OR($D379=0,$G379=""),"",IF(AND($H379*($E379-$F379)&gt;0,$H379*($E379-$G379)&gt;0),"Sim","Nao"))</f>
        <v/>
      </c>
      <c r="L379" s="38" t="n">
        <f aca="false">IF(OR($D379=0,$G379=""),0,IF($K379="Sim",MAX(0,$H379*($E379-$I379)),0))</f>
        <v>0</v>
      </c>
      <c r="M379" s="35" t="n">
        <f aca="false">INDEX(Parametros_ANEC73!$G$4:$G$6,MATCH($C379,Parametros_ANEC73!$A$4:$A$6,0))</f>
        <v>3.8</v>
      </c>
      <c r="N379" s="38" t="n">
        <f aca="false">IF(OR($D379=0,$G379=""),0,IF(AND($K379="Sim",$M379&lt;&gt;""),MAX(0,$H379*($E379-$M379)),0))</f>
        <v>0</v>
      </c>
      <c r="O379" s="35" t="n">
        <f aca="false">INDEX(Parametros_ANEC73!$J$4:$J$6,MATCH($C379,Parametros_ANEC73!$A$4:$A$6,0))</f>
        <v>4</v>
      </c>
      <c r="P379" s="38" t="n">
        <f aca="false">IF(OR($D379=0,$G379=""),0,IF(AND($K379="Sim",$O379&lt;&gt;""),MAX(0,$H379*($E379-$O379)),0))</f>
        <v>0</v>
      </c>
      <c r="Q379" s="35" t="n">
        <f aca="false">INDEX(Parametros_ANEC73!$F$4:$F$6,MATCH($C379,Parametros_ANEC73!$A$4:$A$6,0))</f>
        <v>1</v>
      </c>
      <c r="R379" s="35" t="n">
        <f aca="false">INDEX(Parametros_ANEC73!$I$4:$I$6,MATCH($C379,Parametros_ANEC73!$A$4:$A$6,0))</f>
        <v>1.5</v>
      </c>
      <c r="S379" s="35" t="n">
        <f aca="false">INDEX(Parametros_ANEC73!$L$4:$L$6,MATCH($C379,Parametros_ANEC73!$A$4:$A$6,0))</f>
        <v>2</v>
      </c>
      <c r="T379" s="39" t="n">
        <f aca="false">INDEX(Parametros_ANEC73!$B$14:$B$25,MATCH($B379,Parametros_ANEC73!$A$14:$A$25,0))</f>
        <v>326</v>
      </c>
      <c r="U379" s="40" t="n">
        <f aca="false">IF(OR($D379=0,$G379=""),0,$D379*($T379/100)*($L379*$Q379+$N379*(IF($R379="",$Q379,$R379)-$Q379)+$P379*(IF($S379="",IF($R379="",$Q379,$R379),$S379)-IF($R379="",$Q379,$R379))))</f>
        <v>0</v>
      </c>
      <c r="V379" s="41" t="str">
        <f aca="false">IF(OR($D379=0,$G379=""),"",IF($H379*($E379-INDEX(Parametros_ANEC73!$M$4:$M$6,MATCH($C379,Parametros_ANEC73!$A$4:$A$6,0)))&gt;0,"Sim","Nao"))</f>
        <v/>
      </c>
      <c r="W379" s="27" t="str">
        <f aca="false">$A379&amp;"|"&amp;$B379&amp;"|"&amp;$C379</f>
        <v>Novo06|Jun|Fibra</v>
      </c>
    </row>
    <row r="380" customFormat="false" ht="15" hidden="false" customHeight="false" outlineLevel="0" collapsed="false">
      <c r="A380" s="27" t="s">
        <v>49</v>
      </c>
      <c r="B380" s="27" t="s">
        <v>64</v>
      </c>
      <c r="C380" s="27" t="s">
        <v>109</v>
      </c>
      <c r="D380" s="34" t="n">
        <f aca="false">SUMIFS(Media_Cliente_Mes!$C$2:$C$145,Media_Cliente_Mes!$A$2:$A$145,$A380,Media_Cliente_Mes!$B$2:$B$145,$B380)</f>
        <v>0</v>
      </c>
      <c r="E380" s="35" t="str">
        <f aca="false">IF($D380=0,"",IF($C380="Proteina",SUMIFS(Media_Cliente_Mes!$D$2:$D$145,Media_Cliente_Mes!$A$2:$A$145,$A380,Media_Cliente_Mes!$B$2:$B$145,$B380),IF($C380="Umidade",SUMIFS(Media_Cliente_Mes!$E$2:$E$145,Media_Cliente_Mes!$A$2:$A$145,$A380,Media_Cliente_Mes!$B$2:$B$145,$B380),SUMIFS(Media_Cliente_Mes!$F$2:$F$145,Media_Cliente_Mes!$A$2:$A$145,$A380,Media_Cliente_Mes!$B$2:$B$145,$B380))))</f>
        <v/>
      </c>
      <c r="F380" s="35" t="n">
        <f aca="false">INDEX(Parametros_ANEC73!$C$4:$C$6,MATCH($C380,Parametros_ANEC73!$A$4:$A$6,0))</f>
        <v>48</v>
      </c>
      <c r="G380" s="35" t="n">
        <f aca="false">IF($C380="Proteina",INDEX(Media_Pool_Mes!$C$2:$C$13,MATCH($B380,Media_Pool_Mes!$A$2:$A$13,0)),IF($C380="Umidade",INDEX(Media_Pool_Mes!$D$2:$D$13,MATCH($B380,Media_Pool_Mes!$A$2:$A$13,0)),INDEX(Media_Pool_Mes!$E$2:$E$13,MATCH($B380,Media_Pool_Mes!$A$2:$A$13,0))))</f>
        <v>47.6816680231132</v>
      </c>
      <c r="H380" s="37" t="n">
        <f aca="false">INDEX(Parametros_ANEC73!$B$4:$B$6,MATCH($C380,Parametros_ANEC73!$A$4:$A$6,0))</f>
        <v>-1</v>
      </c>
      <c r="I380" s="38" t="str">
        <f aca="false">IF(OR($D380=0,$G380=""),"",IF($H380*($G380-$F380)&gt;0,$G380,$F380))</f>
        <v/>
      </c>
      <c r="J380" s="27" t="str">
        <f aca="false">IF(OR($D380=0,$G380=""),"",IF($H380*($G380-$F380)&gt;0,"Sim","Nao"))</f>
        <v/>
      </c>
      <c r="K380" s="27" t="str">
        <f aca="false">IF(OR($D380=0,$G380=""),"",IF(AND($H380*($E380-$F380)&gt;0,$H380*($E380-$G380)&gt;0),"Sim","Nao"))</f>
        <v/>
      </c>
      <c r="L380" s="38" t="n">
        <f aca="false">IF(OR($D380=0,$G380=""),0,IF($K380="Sim",MAX(0,$H380*($E380-$I380)),0))</f>
        <v>0</v>
      </c>
      <c r="M380" s="35" t="n">
        <f aca="false">INDEX(Parametros_ANEC73!$G$4:$G$6,MATCH($C380,Parametros_ANEC73!$A$4:$A$6,0))</f>
        <v>47</v>
      </c>
      <c r="N380" s="38" t="n">
        <f aca="false">IF(OR($D380=0,$G380=""),0,IF(AND($K380="Sim",$M380&lt;&gt;""),MAX(0,$H380*($E380-$M380)),0))</f>
        <v>0</v>
      </c>
      <c r="O380" s="35" t="n">
        <f aca="false">INDEX(Parametros_ANEC73!$J$4:$J$6,MATCH($C380,Parametros_ANEC73!$A$4:$A$6,0))</f>
        <v>0</v>
      </c>
      <c r="P380" s="38" t="n">
        <f aca="false">IF(OR($D380=0,$G380=""),0,IF(AND($K380="Sim",$O380&lt;&gt;""),MAX(0,$H380*($E380-$O380)),0))</f>
        <v>0</v>
      </c>
      <c r="Q380" s="35" t="n">
        <f aca="false">INDEX(Parametros_ANEC73!$F$4:$F$6,MATCH($C380,Parametros_ANEC73!$A$4:$A$6,0))</f>
        <v>1</v>
      </c>
      <c r="R380" s="35" t="n">
        <f aca="false">INDEX(Parametros_ANEC73!$I$4:$I$6,MATCH($C380,Parametros_ANEC73!$A$4:$A$6,0))</f>
        <v>2</v>
      </c>
      <c r="S380" s="35" t="n">
        <f aca="false">INDEX(Parametros_ANEC73!$L$4:$L$6,MATCH($C380,Parametros_ANEC73!$A$4:$A$6,0))</f>
        <v>0</v>
      </c>
      <c r="T380" s="39" t="n">
        <f aca="false">INDEX(Parametros_ANEC73!$B$14:$B$25,MATCH($B380,Parametros_ANEC73!$A$14:$A$25,0))</f>
        <v>326</v>
      </c>
      <c r="U380" s="40" t="n">
        <f aca="false">IF(OR($D380=0,$G380=""),0,$D380*($T380/100)*($L380*$Q380+$N380*(IF($R380="",$Q380,$R380)-$Q380)+$P380*(IF($S380="",IF($R380="",$Q380,$R380),$S380)-IF($R380="",$Q380,$R380))))</f>
        <v>0</v>
      </c>
      <c r="V380" s="41" t="str">
        <f aca="false">IF(OR($D380=0,$G380=""),"",IF($H380*($E380-INDEX(Parametros_ANEC73!$M$4:$M$6,MATCH($C380,Parametros_ANEC73!$A$4:$A$6,0)))&gt;0,"Sim","Nao"))</f>
        <v/>
      </c>
      <c r="W380" s="27" t="str">
        <f aca="false">$A380&amp;"|"&amp;$B380&amp;"|"&amp;$C380</f>
        <v>Novo06|Jul|Proteina</v>
      </c>
    </row>
    <row r="381" customFormat="false" ht="15" hidden="false" customHeight="false" outlineLevel="0" collapsed="false">
      <c r="A381" s="27" t="s">
        <v>49</v>
      </c>
      <c r="B381" s="27" t="s">
        <v>64</v>
      </c>
      <c r="C381" s="27" t="s">
        <v>110</v>
      </c>
      <c r="D381" s="34" t="n">
        <f aca="false">SUMIFS(Media_Cliente_Mes!$C$2:$C$145,Media_Cliente_Mes!$A$2:$A$145,$A381,Media_Cliente_Mes!$B$2:$B$145,$B381)</f>
        <v>0</v>
      </c>
      <c r="E381" s="35" t="str">
        <f aca="false">IF($D381=0,"",IF($C381="Proteina",SUMIFS(Media_Cliente_Mes!$D$2:$D$145,Media_Cliente_Mes!$A$2:$A$145,$A381,Media_Cliente_Mes!$B$2:$B$145,$B381),IF($C381="Umidade",SUMIFS(Media_Cliente_Mes!$E$2:$E$145,Media_Cliente_Mes!$A$2:$A$145,$A381,Media_Cliente_Mes!$B$2:$B$145,$B381),SUMIFS(Media_Cliente_Mes!$F$2:$F$145,Media_Cliente_Mes!$A$2:$A$145,$A381,Media_Cliente_Mes!$B$2:$B$145,$B381))))</f>
        <v/>
      </c>
      <c r="F381" s="35" t="n">
        <f aca="false">INDEX(Parametros_ANEC73!$C$4:$C$6,MATCH($C381,Parametros_ANEC73!$A$4:$A$6,0))</f>
        <v>12.5</v>
      </c>
      <c r="G381" s="35" t="n">
        <f aca="false">IF($C381="Proteina",INDEX(Media_Pool_Mes!$C$2:$C$13,MATCH($B381,Media_Pool_Mes!$A$2:$A$13,0)),IF($C381="Umidade",INDEX(Media_Pool_Mes!$D$2:$D$13,MATCH($B381,Media_Pool_Mes!$A$2:$A$13,0)),INDEX(Media_Pool_Mes!$E$2:$E$13,MATCH($B381,Media_Pool_Mes!$A$2:$A$13,0))))</f>
        <v>12.2356489048309</v>
      </c>
      <c r="H381" s="37" t="n">
        <f aca="false">INDEX(Parametros_ANEC73!$B$4:$B$6,MATCH($C381,Parametros_ANEC73!$A$4:$A$6,0))</f>
        <v>1</v>
      </c>
      <c r="I381" s="38" t="str">
        <f aca="false">IF(OR($D381=0,$G381=""),"",IF($H381*($G381-$F381)&gt;0,$G381,$F381))</f>
        <v/>
      </c>
      <c r="J381" s="27" t="str">
        <f aca="false">IF(OR($D381=0,$G381=""),"",IF($H381*($G381-$F381)&gt;0,"Sim","Nao"))</f>
        <v/>
      </c>
      <c r="K381" s="27" t="str">
        <f aca="false">IF(OR($D381=0,$G381=""),"",IF(AND($H381*($E381-$F381)&gt;0,$H381*($E381-$G381)&gt;0),"Sim","Nao"))</f>
        <v/>
      </c>
      <c r="L381" s="38" t="n">
        <f aca="false">IF(OR($D381=0,$G381=""),0,IF($K381="Sim",MAX(0,$H381*($E381-$I381)),0))</f>
        <v>0</v>
      </c>
      <c r="M381" s="35" t="n">
        <f aca="false">INDEX(Parametros_ANEC73!$G$4:$G$6,MATCH($C381,Parametros_ANEC73!$A$4:$A$6,0))</f>
        <v>0</v>
      </c>
      <c r="N381" s="38" t="n">
        <f aca="false">IF(OR($D381=0,$G381=""),0,IF(AND($K381="Sim",$M381&lt;&gt;""),MAX(0,$H381*($E381-$M381)),0))</f>
        <v>0</v>
      </c>
      <c r="O381" s="35" t="n">
        <f aca="false">INDEX(Parametros_ANEC73!$J$4:$J$6,MATCH($C381,Parametros_ANEC73!$A$4:$A$6,0))</f>
        <v>0</v>
      </c>
      <c r="P381" s="38" t="n">
        <f aca="false">IF(OR($D381=0,$G381=""),0,IF(AND($K381="Sim",$O381&lt;&gt;""),MAX(0,$H381*($E381-$O381)),0))</f>
        <v>0</v>
      </c>
      <c r="Q381" s="35" t="n">
        <f aca="false">INDEX(Parametros_ANEC73!$F$4:$F$6,MATCH($C381,Parametros_ANEC73!$A$4:$A$6,0))</f>
        <v>1</v>
      </c>
      <c r="R381" s="35" t="n">
        <f aca="false">INDEX(Parametros_ANEC73!$I$4:$I$6,MATCH($C381,Parametros_ANEC73!$A$4:$A$6,0))</f>
        <v>0</v>
      </c>
      <c r="S381" s="35" t="n">
        <f aca="false">INDEX(Parametros_ANEC73!$L$4:$L$6,MATCH($C381,Parametros_ANEC73!$A$4:$A$6,0))</f>
        <v>0</v>
      </c>
      <c r="T381" s="39" t="n">
        <f aca="false">INDEX(Parametros_ANEC73!$B$14:$B$25,MATCH($B381,Parametros_ANEC73!$A$14:$A$25,0))</f>
        <v>326</v>
      </c>
      <c r="U381" s="40" t="n">
        <f aca="false">IF(OR($D381=0,$G381=""),0,$D381*($T381/100)*($L381*$Q381+$N381*(IF($R381="",$Q381,$R381)-$Q381)+$P381*(IF($S381="",IF($R381="",$Q381,$R381),$S381)-IF($R381="",$Q381,$R381))))</f>
        <v>0</v>
      </c>
      <c r="V381" s="41" t="str">
        <f aca="false">IF(OR($D381=0,$G381=""),"",IF($H381*($E381-INDEX(Parametros_ANEC73!$M$4:$M$6,MATCH($C381,Parametros_ANEC73!$A$4:$A$6,0)))&gt;0,"Sim","Nao"))</f>
        <v/>
      </c>
      <c r="W381" s="27" t="str">
        <f aca="false">$A381&amp;"|"&amp;$B381&amp;"|"&amp;$C381</f>
        <v>Novo06|Jul|Umidade</v>
      </c>
    </row>
    <row r="382" customFormat="false" ht="15" hidden="false" customHeight="false" outlineLevel="0" collapsed="false">
      <c r="A382" s="27" t="s">
        <v>49</v>
      </c>
      <c r="B382" s="27" t="s">
        <v>64</v>
      </c>
      <c r="C382" s="27" t="s">
        <v>111</v>
      </c>
      <c r="D382" s="34" t="n">
        <f aca="false">SUMIFS(Media_Cliente_Mes!$C$2:$C$145,Media_Cliente_Mes!$A$2:$A$145,$A382,Media_Cliente_Mes!$B$2:$B$145,$B382)</f>
        <v>0</v>
      </c>
      <c r="E382" s="35" t="str">
        <f aca="false">IF($D382=0,"",IF($C382="Proteina",SUMIFS(Media_Cliente_Mes!$D$2:$D$145,Media_Cliente_Mes!$A$2:$A$145,$A382,Media_Cliente_Mes!$B$2:$B$145,$B382),IF($C382="Umidade",SUMIFS(Media_Cliente_Mes!$E$2:$E$145,Media_Cliente_Mes!$A$2:$A$145,$A382,Media_Cliente_Mes!$B$2:$B$145,$B382),SUMIFS(Media_Cliente_Mes!$F$2:$F$145,Media_Cliente_Mes!$A$2:$A$145,$A382,Media_Cliente_Mes!$B$2:$B$145,$B382))))</f>
        <v/>
      </c>
      <c r="F382" s="35" t="n">
        <f aca="false">INDEX(Parametros_ANEC73!$C$4:$C$6,MATCH($C382,Parametros_ANEC73!$A$4:$A$6,0))</f>
        <v>3.5</v>
      </c>
      <c r="G382" s="35" t="n">
        <f aca="false">IF($C382="Proteina",INDEX(Media_Pool_Mes!$C$2:$C$13,MATCH($B382,Media_Pool_Mes!$A$2:$A$13,0)),IF($C382="Umidade",INDEX(Media_Pool_Mes!$D$2:$D$13,MATCH($B382,Media_Pool_Mes!$A$2:$A$13,0)),INDEX(Media_Pool_Mes!$E$2:$E$13,MATCH($B382,Media_Pool_Mes!$A$2:$A$13,0))))</f>
        <v>3.48415625565953</v>
      </c>
      <c r="H382" s="37" t="n">
        <f aca="false">INDEX(Parametros_ANEC73!$B$4:$B$6,MATCH($C382,Parametros_ANEC73!$A$4:$A$6,0))</f>
        <v>1</v>
      </c>
      <c r="I382" s="38" t="str">
        <f aca="false">IF(OR($D382=0,$G382=""),"",IF($H382*($G382-$F382)&gt;0,$G382,$F382))</f>
        <v/>
      </c>
      <c r="J382" s="27" t="str">
        <f aca="false">IF(OR($D382=0,$G382=""),"",IF($H382*($G382-$F382)&gt;0,"Sim","Nao"))</f>
        <v/>
      </c>
      <c r="K382" s="27" t="str">
        <f aca="false">IF(OR($D382=0,$G382=""),"",IF(AND($H382*($E382-$F382)&gt;0,$H382*($E382-$G382)&gt;0),"Sim","Nao"))</f>
        <v/>
      </c>
      <c r="L382" s="38" t="n">
        <f aca="false">IF(OR($D382=0,$G382=""),0,IF($K382="Sim",MAX(0,$H382*($E382-$I382)),0))</f>
        <v>0</v>
      </c>
      <c r="M382" s="35" t="n">
        <f aca="false">INDEX(Parametros_ANEC73!$G$4:$G$6,MATCH($C382,Parametros_ANEC73!$A$4:$A$6,0))</f>
        <v>3.8</v>
      </c>
      <c r="N382" s="38" t="n">
        <f aca="false">IF(OR($D382=0,$G382=""),0,IF(AND($K382="Sim",$M382&lt;&gt;""),MAX(0,$H382*($E382-$M382)),0))</f>
        <v>0</v>
      </c>
      <c r="O382" s="35" t="n">
        <f aca="false">INDEX(Parametros_ANEC73!$J$4:$J$6,MATCH($C382,Parametros_ANEC73!$A$4:$A$6,0))</f>
        <v>4</v>
      </c>
      <c r="P382" s="38" t="n">
        <f aca="false">IF(OR($D382=0,$G382=""),0,IF(AND($K382="Sim",$O382&lt;&gt;""),MAX(0,$H382*($E382-$O382)),0))</f>
        <v>0</v>
      </c>
      <c r="Q382" s="35" t="n">
        <f aca="false">INDEX(Parametros_ANEC73!$F$4:$F$6,MATCH($C382,Parametros_ANEC73!$A$4:$A$6,0))</f>
        <v>1</v>
      </c>
      <c r="R382" s="35" t="n">
        <f aca="false">INDEX(Parametros_ANEC73!$I$4:$I$6,MATCH($C382,Parametros_ANEC73!$A$4:$A$6,0))</f>
        <v>1.5</v>
      </c>
      <c r="S382" s="35" t="n">
        <f aca="false">INDEX(Parametros_ANEC73!$L$4:$L$6,MATCH($C382,Parametros_ANEC73!$A$4:$A$6,0))</f>
        <v>2</v>
      </c>
      <c r="T382" s="39" t="n">
        <f aca="false">INDEX(Parametros_ANEC73!$B$14:$B$25,MATCH($B382,Parametros_ANEC73!$A$14:$A$25,0))</f>
        <v>326</v>
      </c>
      <c r="U382" s="40" t="n">
        <f aca="false">IF(OR($D382=0,$G382=""),0,$D382*($T382/100)*($L382*$Q382+$N382*(IF($R382="",$Q382,$R382)-$Q382)+$P382*(IF($S382="",IF($R382="",$Q382,$R382),$S382)-IF($R382="",$Q382,$R382))))</f>
        <v>0</v>
      </c>
      <c r="V382" s="41" t="str">
        <f aca="false">IF(OR($D382=0,$G382=""),"",IF($H382*($E382-INDEX(Parametros_ANEC73!$M$4:$M$6,MATCH($C382,Parametros_ANEC73!$A$4:$A$6,0)))&gt;0,"Sim","Nao"))</f>
        <v/>
      </c>
      <c r="W382" s="27" t="str">
        <f aca="false">$A382&amp;"|"&amp;$B382&amp;"|"&amp;$C382</f>
        <v>Novo06|Jul|Fibra</v>
      </c>
    </row>
    <row r="383" customFormat="false" ht="15" hidden="false" customHeight="false" outlineLevel="0" collapsed="false">
      <c r="A383" s="27" t="s">
        <v>49</v>
      </c>
      <c r="B383" s="27" t="s">
        <v>65</v>
      </c>
      <c r="C383" s="27" t="s">
        <v>109</v>
      </c>
      <c r="D383" s="34" t="n">
        <f aca="false">SUMIFS(Media_Cliente_Mes!$C$2:$C$145,Media_Cliente_Mes!$A$2:$A$145,$A383,Media_Cliente_Mes!$B$2:$B$145,$B383)</f>
        <v>0</v>
      </c>
      <c r="E383" s="35" t="str">
        <f aca="false">IF($D383=0,"",IF($C383="Proteina",SUMIFS(Media_Cliente_Mes!$D$2:$D$145,Media_Cliente_Mes!$A$2:$A$145,$A383,Media_Cliente_Mes!$B$2:$B$145,$B383),IF($C383="Umidade",SUMIFS(Media_Cliente_Mes!$E$2:$E$145,Media_Cliente_Mes!$A$2:$A$145,$A383,Media_Cliente_Mes!$B$2:$B$145,$B383),SUMIFS(Media_Cliente_Mes!$F$2:$F$145,Media_Cliente_Mes!$A$2:$A$145,$A383,Media_Cliente_Mes!$B$2:$B$145,$B383))))</f>
        <v/>
      </c>
      <c r="F383" s="35" t="n">
        <f aca="false">INDEX(Parametros_ANEC73!$C$4:$C$6,MATCH($C383,Parametros_ANEC73!$A$4:$A$6,0))</f>
        <v>48</v>
      </c>
      <c r="G383" s="35" t="n">
        <f aca="false">IF($C383="Proteina",INDEX(Media_Pool_Mes!$C$2:$C$13,MATCH($B383,Media_Pool_Mes!$A$2:$A$13,0)),IF($C383="Umidade",INDEX(Media_Pool_Mes!$D$2:$D$13,MATCH($B383,Media_Pool_Mes!$A$2:$A$13,0)),INDEX(Media_Pool_Mes!$E$2:$E$13,MATCH($B383,Media_Pool_Mes!$A$2:$A$13,0))))</f>
        <v>47.3199561197423</v>
      </c>
      <c r="H383" s="37" t="n">
        <f aca="false">INDEX(Parametros_ANEC73!$B$4:$B$6,MATCH($C383,Parametros_ANEC73!$A$4:$A$6,0))</f>
        <v>-1</v>
      </c>
      <c r="I383" s="38" t="str">
        <f aca="false">IF(OR($D383=0,$G383=""),"",IF($H383*($G383-$F383)&gt;0,$G383,$F383))</f>
        <v/>
      </c>
      <c r="J383" s="27" t="str">
        <f aca="false">IF(OR($D383=0,$G383=""),"",IF($H383*($G383-$F383)&gt;0,"Sim","Nao"))</f>
        <v/>
      </c>
      <c r="K383" s="27" t="str">
        <f aca="false">IF(OR($D383=0,$G383=""),"",IF(AND($H383*($E383-$F383)&gt;0,$H383*($E383-$G383)&gt;0),"Sim","Nao"))</f>
        <v/>
      </c>
      <c r="L383" s="38" t="n">
        <f aca="false">IF(OR($D383=0,$G383=""),0,IF($K383="Sim",MAX(0,$H383*($E383-$I383)),0))</f>
        <v>0</v>
      </c>
      <c r="M383" s="35" t="n">
        <f aca="false">INDEX(Parametros_ANEC73!$G$4:$G$6,MATCH($C383,Parametros_ANEC73!$A$4:$A$6,0))</f>
        <v>47</v>
      </c>
      <c r="N383" s="38" t="n">
        <f aca="false">IF(OR($D383=0,$G383=""),0,IF(AND($K383="Sim",$M383&lt;&gt;""),MAX(0,$H383*($E383-$M383)),0))</f>
        <v>0</v>
      </c>
      <c r="O383" s="35" t="n">
        <f aca="false">INDEX(Parametros_ANEC73!$J$4:$J$6,MATCH($C383,Parametros_ANEC73!$A$4:$A$6,0))</f>
        <v>0</v>
      </c>
      <c r="P383" s="38" t="n">
        <f aca="false">IF(OR($D383=0,$G383=""),0,IF(AND($K383="Sim",$O383&lt;&gt;""),MAX(0,$H383*($E383-$O383)),0))</f>
        <v>0</v>
      </c>
      <c r="Q383" s="35" t="n">
        <f aca="false">INDEX(Parametros_ANEC73!$F$4:$F$6,MATCH($C383,Parametros_ANEC73!$A$4:$A$6,0))</f>
        <v>1</v>
      </c>
      <c r="R383" s="35" t="n">
        <f aca="false">INDEX(Parametros_ANEC73!$I$4:$I$6,MATCH($C383,Parametros_ANEC73!$A$4:$A$6,0))</f>
        <v>2</v>
      </c>
      <c r="S383" s="35" t="n">
        <f aca="false">INDEX(Parametros_ANEC73!$L$4:$L$6,MATCH($C383,Parametros_ANEC73!$A$4:$A$6,0))</f>
        <v>0</v>
      </c>
      <c r="T383" s="39" t="n">
        <f aca="false">INDEX(Parametros_ANEC73!$B$14:$B$25,MATCH($B383,Parametros_ANEC73!$A$14:$A$25,0))</f>
        <v>326</v>
      </c>
      <c r="U383" s="40" t="n">
        <f aca="false">IF(OR($D383=0,$G383=""),0,$D383*($T383/100)*($L383*$Q383+$N383*(IF($R383="",$Q383,$R383)-$Q383)+$P383*(IF($S383="",IF($R383="",$Q383,$R383),$S383)-IF($R383="",$Q383,$R383))))</f>
        <v>0</v>
      </c>
      <c r="V383" s="41" t="str">
        <f aca="false">IF(OR($D383=0,$G383=""),"",IF($H383*($E383-INDEX(Parametros_ANEC73!$M$4:$M$6,MATCH($C383,Parametros_ANEC73!$A$4:$A$6,0)))&gt;0,"Sim","Nao"))</f>
        <v/>
      </c>
      <c r="W383" s="27" t="str">
        <f aca="false">$A383&amp;"|"&amp;$B383&amp;"|"&amp;$C383</f>
        <v>Novo06|Ago|Proteina</v>
      </c>
    </row>
    <row r="384" customFormat="false" ht="15" hidden="false" customHeight="false" outlineLevel="0" collapsed="false">
      <c r="A384" s="27" t="s">
        <v>49</v>
      </c>
      <c r="B384" s="27" t="s">
        <v>65</v>
      </c>
      <c r="C384" s="27" t="s">
        <v>110</v>
      </c>
      <c r="D384" s="34" t="n">
        <f aca="false">SUMIFS(Media_Cliente_Mes!$C$2:$C$145,Media_Cliente_Mes!$A$2:$A$145,$A384,Media_Cliente_Mes!$B$2:$B$145,$B384)</f>
        <v>0</v>
      </c>
      <c r="E384" s="35" t="str">
        <f aca="false">IF($D384=0,"",IF($C384="Proteina",SUMIFS(Media_Cliente_Mes!$D$2:$D$145,Media_Cliente_Mes!$A$2:$A$145,$A384,Media_Cliente_Mes!$B$2:$B$145,$B384),IF($C384="Umidade",SUMIFS(Media_Cliente_Mes!$E$2:$E$145,Media_Cliente_Mes!$A$2:$A$145,$A384,Media_Cliente_Mes!$B$2:$B$145,$B384),SUMIFS(Media_Cliente_Mes!$F$2:$F$145,Media_Cliente_Mes!$A$2:$A$145,$A384,Media_Cliente_Mes!$B$2:$B$145,$B384))))</f>
        <v/>
      </c>
      <c r="F384" s="35" t="n">
        <f aca="false">INDEX(Parametros_ANEC73!$C$4:$C$6,MATCH($C384,Parametros_ANEC73!$A$4:$A$6,0))</f>
        <v>12.5</v>
      </c>
      <c r="G384" s="35" t="n">
        <f aca="false">IF($C384="Proteina",INDEX(Media_Pool_Mes!$C$2:$C$13,MATCH($B384,Media_Pool_Mes!$A$2:$A$13,0)),IF($C384="Umidade",INDEX(Media_Pool_Mes!$D$2:$D$13,MATCH($B384,Media_Pool_Mes!$A$2:$A$13,0)),INDEX(Media_Pool_Mes!$E$2:$E$13,MATCH($B384,Media_Pool_Mes!$A$2:$A$13,0))))</f>
        <v>12.2068387200965</v>
      </c>
      <c r="H384" s="37" t="n">
        <f aca="false">INDEX(Parametros_ANEC73!$B$4:$B$6,MATCH($C384,Parametros_ANEC73!$A$4:$A$6,0))</f>
        <v>1</v>
      </c>
      <c r="I384" s="38" t="str">
        <f aca="false">IF(OR($D384=0,$G384=""),"",IF($H384*($G384-$F384)&gt;0,$G384,$F384))</f>
        <v/>
      </c>
      <c r="J384" s="27" t="str">
        <f aca="false">IF(OR($D384=0,$G384=""),"",IF($H384*($G384-$F384)&gt;0,"Sim","Nao"))</f>
        <v/>
      </c>
      <c r="K384" s="27" t="str">
        <f aca="false">IF(OR($D384=0,$G384=""),"",IF(AND($H384*($E384-$F384)&gt;0,$H384*($E384-$G384)&gt;0),"Sim","Nao"))</f>
        <v/>
      </c>
      <c r="L384" s="38" t="n">
        <f aca="false">IF(OR($D384=0,$G384=""),0,IF($K384="Sim",MAX(0,$H384*($E384-$I384)),0))</f>
        <v>0</v>
      </c>
      <c r="M384" s="35" t="n">
        <f aca="false">INDEX(Parametros_ANEC73!$G$4:$G$6,MATCH($C384,Parametros_ANEC73!$A$4:$A$6,0))</f>
        <v>0</v>
      </c>
      <c r="N384" s="38" t="n">
        <f aca="false">IF(OR($D384=0,$G384=""),0,IF(AND($K384="Sim",$M384&lt;&gt;""),MAX(0,$H384*($E384-$M384)),0))</f>
        <v>0</v>
      </c>
      <c r="O384" s="35" t="n">
        <f aca="false">INDEX(Parametros_ANEC73!$J$4:$J$6,MATCH($C384,Parametros_ANEC73!$A$4:$A$6,0))</f>
        <v>0</v>
      </c>
      <c r="P384" s="38" t="n">
        <f aca="false">IF(OR($D384=0,$G384=""),0,IF(AND($K384="Sim",$O384&lt;&gt;""),MAX(0,$H384*($E384-$O384)),0))</f>
        <v>0</v>
      </c>
      <c r="Q384" s="35" t="n">
        <f aca="false">INDEX(Parametros_ANEC73!$F$4:$F$6,MATCH($C384,Parametros_ANEC73!$A$4:$A$6,0))</f>
        <v>1</v>
      </c>
      <c r="R384" s="35" t="n">
        <f aca="false">INDEX(Parametros_ANEC73!$I$4:$I$6,MATCH($C384,Parametros_ANEC73!$A$4:$A$6,0))</f>
        <v>0</v>
      </c>
      <c r="S384" s="35" t="n">
        <f aca="false">INDEX(Parametros_ANEC73!$L$4:$L$6,MATCH($C384,Parametros_ANEC73!$A$4:$A$6,0))</f>
        <v>0</v>
      </c>
      <c r="T384" s="39" t="n">
        <f aca="false">INDEX(Parametros_ANEC73!$B$14:$B$25,MATCH($B384,Parametros_ANEC73!$A$14:$A$25,0))</f>
        <v>326</v>
      </c>
      <c r="U384" s="40" t="n">
        <f aca="false">IF(OR($D384=0,$G384=""),0,$D384*($T384/100)*($L384*$Q384+$N384*(IF($R384="",$Q384,$R384)-$Q384)+$P384*(IF($S384="",IF($R384="",$Q384,$R384),$S384)-IF($R384="",$Q384,$R384))))</f>
        <v>0</v>
      </c>
      <c r="V384" s="41" t="str">
        <f aca="false">IF(OR($D384=0,$G384=""),"",IF($H384*($E384-INDEX(Parametros_ANEC73!$M$4:$M$6,MATCH($C384,Parametros_ANEC73!$A$4:$A$6,0)))&gt;0,"Sim","Nao"))</f>
        <v/>
      </c>
      <c r="W384" s="27" t="str">
        <f aca="false">$A384&amp;"|"&amp;$B384&amp;"|"&amp;$C384</f>
        <v>Novo06|Ago|Umidade</v>
      </c>
    </row>
    <row r="385" customFormat="false" ht="15" hidden="false" customHeight="false" outlineLevel="0" collapsed="false">
      <c r="A385" s="27" t="s">
        <v>49</v>
      </c>
      <c r="B385" s="27" t="s">
        <v>65</v>
      </c>
      <c r="C385" s="27" t="s">
        <v>111</v>
      </c>
      <c r="D385" s="34" t="n">
        <f aca="false">SUMIFS(Media_Cliente_Mes!$C$2:$C$145,Media_Cliente_Mes!$A$2:$A$145,$A385,Media_Cliente_Mes!$B$2:$B$145,$B385)</f>
        <v>0</v>
      </c>
      <c r="E385" s="35" t="str">
        <f aca="false">IF($D385=0,"",IF($C385="Proteina",SUMIFS(Media_Cliente_Mes!$D$2:$D$145,Media_Cliente_Mes!$A$2:$A$145,$A385,Media_Cliente_Mes!$B$2:$B$145,$B385),IF($C385="Umidade",SUMIFS(Media_Cliente_Mes!$E$2:$E$145,Media_Cliente_Mes!$A$2:$A$145,$A385,Media_Cliente_Mes!$B$2:$B$145,$B385),SUMIFS(Media_Cliente_Mes!$F$2:$F$145,Media_Cliente_Mes!$A$2:$A$145,$A385,Media_Cliente_Mes!$B$2:$B$145,$B385))))</f>
        <v/>
      </c>
      <c r="F385" s="35" t="n">
        <f aca="false">INDEX(Parametros_ANEC73!$C$4:$C$6,MATCH($C385,Parametros_ANEC73!$A$4:$A$6,0))</f>
        <v>3.5</v>
      </c>
      <c r="G385" s="35" t="n">
        <f aca="false">IF($C385="Proteina",INDEX(Media_Pool_Mes!$C$2:$C$13,MATCH($B385,Media_Pool_Mes!$A$2:$A$13,0)),IF($C385="Umidade",INDEX(Media_Pool_Mes!$D$2:$D$13,MATCH($B385,Media_Pool_Mes!$A$2:$A$13,0)),INDEX(Media_Pool_Mes!$E$2:$E$13,MATCH($B385,Media_Pool_Mes!$A$2:$A$13,0))))</f>
        <v>3.7692688740906</v>
      </c>
      <c r="H385" s="37" t="n">
        <f aca="false">INDEX(Parametros_ANEC73!$B$4:$B$6,MATCH($C385,Parametros_ANEC73!$A$4:$A$6,0))</f>
        <v>1</v>
      </c>
      <c r="I385" s="38" t="str">
        <f aca="false">IF(OR($D385=0,$G385=""),"",IF($H385*($G385-$F385)&gt;0,$G385,$F385))</f>
        <v/>
      </c>
      <c r="J385" s="27" t="str">
        <f aca="false">IF(OR($D385=0,$G385=""),"",IF($H385*($G385-$F385)&gt;0,"Sim","Nao"))</f>
        <v/>
      </c>
      <c r="K385" s="27" t="str">
        <f aca="false">IF(OR($D385=0,$G385=""),"",IF(AND($H385*($E385-$F385)&gt;0,$H385*($E385-$G385)&gt;0),"Sim","Nao"))</f>
        <v/>
      </c>
      <c r="L385" s="38" t="n">
        <f aca="false">IF(OR($D385=0,$G385=""),0,IF($K385="Sim",MAX(0,$H385*($E385-$I385)),0))</f>
        <v>0</v>
      </c>
      <c r="M385" s="35" t="n">
        <f aca="false">INDEX(Parametros_ANEC73!$G$4:$G$6,MATCH($C385,Parametros_ANEC73!$A$4:$A$6,0))</f>
        <v>3.8</v>
      </c>
      <c r="N385" s="38" t="n">
        <f aca="false">IF(OR($D385=0,$G385=""),0,IF(AND($K385="Sim",$M385&lt;&gt;""),MAX(0,$H385*($E385-$M385)),0))</f>
        <v>0</v>
      </c>
      <c r="O385" s="35" t="n">
        <f aca="false">INDEX(Parametros_ANEC73!$J$4:$J$6,MATCH($C385,Parametros_ANEC73!$A$4:$A$6,0))</f>
        <v>4</v>
      </c>
      <c r="P385" s="38" t="n">
        <f aca="false">IF(OR($D385=0,$G385=""),0,IF(AND($K385="Sim",$O385&lt;&gt;""),MAX(0,$H385*($E385-$O385)),0))</f>
        <v>0</v>
      </c>
      <c r="Q385" s="35" t="n">
        <f aca="false">INDEX(Parametros_ANEC73!$F$4:$F$6,MATCH($C385,Parametros_ANEC73!$A$4:$A$6,0))</f>
        <v>1</v>
      </c>
      <c r="R385" s="35" t="n">
        <f aca="false">INDEX(Parametros_ANEC73!$I$4:$I$6,MATCH($C385,Parametros_ANEC73!$A$4:$A$6,0))</f>
        <v>1.5</v>
      </c>
      <c r="S385" s="35" t="n">
        <f aca="false">INDEX(Parametros_ANEC73!$L$4:$L$6,MATCH($C385,Parametros_ANEC73!$A$4:$A$6,0))</f>
        <v>2</v>
      </c>
      <c r="T385" s="39" t="n">
        <f aca="false">INDEX(Parametros_ANEC73!$B$14:$B$25,MATCH($B385,Parametros_ANEC73!$A$14:$A$25,0))</f>
        <v>326</v>
      </c>
      <c r="U385" s="40" t="n">
        <f aca="false">IF(OR($D385=0,$G385=""),0,$D385*($T385/100)*($L385*$Q385+$N385*(IF($R385="",$Q385,$R385)-$Q385)+$P385*(IF($S385="",IF($R385="",$Q385,$R385),$S385)-IF($R385="",$Q385,$R385))))</f>
        <v>0</v>
      </c>
      <c r="V385" s="41" t="str">
        <f aca="false">IF(OR($D385=0,$G385=""),"",IF($H385*($E385-INDEX(Parametros_ANEC73!$M$4:$M$6,MATCH($C385,Parametros_ANEC73!$A$4:$A$6,0)))&gt;0,"Sim","Nao"))</f>
        <v/>
      </c>
      <c r="W385" s="27" t="str">
        <f aca="false">$A385&amp;"|"&amp;$B385&amp;"|"&amp;$C385</f>
        <v>Novo06|Ago|Fibra</v>
      </c>
    </row>
    <row r="386" customFormat="false" ht="15" hidden="false" customHeight="false" outlineLevel="0" collapsed="false">
      <c r="A386" s="27" t="s">
        <v>49</v>
      </c>
      <c r="B386" s="27" t="s">
        <v>66</v>
      </c>
      <c r="C386" s="27" t="s">
        <v>109</v>
      </c>
      <c r="D386" s="34" t="n">
        <f aca="false">SUMIFS(Media_Cliente_Mes!$C$2:$C$145,Media_Cliente_Mes!$A$2:$A$145,$A386,Media_Cliente_Mes!$B$2:$B$145,$B386)</f>
        <v>0</v>
      </c>
      <c r="E386" s="35" t="str">
        <f aca="false">IF($D386=0,"",IF($C386="Proteina",SUMIFS(Media_Cliente_Mes!$D$2:$D$145,Media_Cliente_Mes!$A$2:$A$145,$A386,Media_Cliente_Mes!$B$2:$B$145,$B386),IF($C386="Umidade",SUMIFS(Media_Cliente_Mes!$E$2:$E$145,Media_Cliente_Mes!$A$2:$A$145,$A386,Media_Cliente_Mes!$B$2:$B$145,$B386),SUMIFS(Media_Cliente_Mes!$F$2:$F$145,Media_Cliente_Mes!$A$2:$A$145,$A386,Media_Cliente_Mes!$B$2:$B$145,$B386))))</f>
        <v/>
      </c>
      <c r="F386" s="35" t="n">
        <f aca="false">INDEX(Parametros_ANEC73!$C$4:$C$6,MATCH($C386,Parametros_ANEC73!$A$4:$A$6,0))</f>
        <v>48</v>
      </c>
      <c r="G386" s="35" t="n">
        <f aca="false">IF($C386="Proteina",INDEX(Media_Pool_Mes!$C$2:$C$13,MATCH($B386,Media_Pool_Mes!$A$2:$A$13,0)),IF($C386="Umidade",INDEX(Media_Pool_Mes!$D$2:$D$13,MATCH($B386,Media_Pool_Mes!$A$2:$A$13,0)),INDEX(Media_Pool_Mes!$E$2:$E$13,MATCH($B386,Media_Pool_Mes!$A$2:$A$13,0))))</f>
        <v>47.5387514497333</v>
      </c>
      <c r="H386" s="37" t="n">
        <f aca="false">INDEX(Parametros_ANEC73!$B$4:$B$6,MATCH($C386,Parametros_ANEC73!$A$4:$A$6,0))</f>
        <v>-1</v>
      </c>
      <c r="I386" s="38" t="str">
        <f aca="false">IF(OR($D386=0,$G386=""),"",IF($H386*($G386-$F386)&gt;0,$G386,$F386))</f>
        <v/>
      </c>
      <c r="J386" s="27" t="str">
        <f aca="false">IF(OR($D386=0,$G386=""),"",IF($H386*($G386-$F386)&gt;0,"Sim","Nao"))</f>
        <v/>
      </c>
      <c r="K386" s="27" t="str">
        <f aca="false">IF(OR($D386=0,$G386=""),"",IF(AND($H386*($E386-$F386)&gt;0,$H386*($E386-$G386)&gt;0),"Sim","Nao"))</f>
        <v/>
      </c>
      <c r="L386" s="38" t="n">
        <f aca="false">IF(OR($D386=0,$G386=""),0,IF($K386="Sim",MAX(0,$H386*($E386-$I386)),0))</f>
        <v>0</v>
      </c>
      <c r="M386" s="35" t="n">
        <f aca="false">INDEX(Parametros_ANEC73!$G$4:$G$6,MATCH($C386,Parametros_ANEC73!$A$4:$A$6,0))</f>
        <v>47</v>
      </c>
      <c r="N386" s="38" t="n">
        <f aca="false">IF(OR($D386=0,$G386=""),0,IF(AND($K386="Sim",$M386&lt;&gt;""),MAX(0,$H386*($E386-$M386)),0))</f>
        <v>0</v>
      </c>
      <c r="O386" s="35" t="n">
        <f aca="false">INDEX(Parametros_ANEC73!$J$4:$J$6,MATCH($C386,Parametros_ANEC73!$A$4:$A$6,0))</f>
        <v>0</v>
      </c>
      <c r="P386" s="38" t="n">
        <f aca="false">IF(OR($D386=0,$G386=""),0,IF(AND($K386="Sim",$O386&lt;&gt;""),MAX(0,$H386*($E386-$O386)),0))</f>
        <v>0</v>
      </c>
      <c r="Q386" s="35" t="n">
        <f aca="false">INDEX(Parametros_ANEC73!$F$4:$F$6,MATCH($C386,Parametros_ANEC73!$A$4:$A$6,0))</f>
        <v>1</v>
      </c>
      <c r="R386" s="35" t="n">
        <f aca="false">INDEX(Parametros_ANEC73!$I$4:$I$6,MATCH($C386,Parametros_ANEC73!$A$4:$A$6,0))</f>
        <v>2</v>
      </c>
      <c r="S386" s="35" t="n">
        <f aca="false">INDEX(Parametros_ANEC73!$L$4:$L$6,MATCH($C386,Parametros_ANEC73!$A$4:$A$6,0))</f>
        <v>0</v>
      </c>
      <c r="T386" s="39" t="n">
        <f aca="false">INDEX(Parametros_ANEC73!$B$14:$B$25,MATCH($B386,Parametros_ANEC73!$A$14:$A$25,0))</f>
        <v>326</v>
      </c>
      <c r="U386" s="40" t="n">
        <f aca="false">IF(OR($D386=0,$G386=""),0,$D386*($T386/100)*($L386*$Q386+$N386*(IF($R386="",$Q386,$R386)-$Q386)+$P386*(IF($S386="",IF($R386="",$Q386,$R386),$S386)-IF($R386="",$Q386,$R386))))</f>
        <v>0</v>
      </c>
      <c r="V386" s="41" t="str">
        <f aca="false">IF(OR($D386=0,$G386=""),"",IF($H386*($E386-INDEX(Parametros_ANEC73!$M$4:$M$6,MATCH($C386,Parametros_ANEC73!$A$4:$A$6,0)))&gt;0,"Sim","Nao"))</f>
        <v/>
      </c>
      <c r="W386" s="27" t="str">
        <f aca="false">$A386&amp;"|"&amp;$B386&amp;"|"&amp;$C386</f>
        <v>Novo06|Set|Proteina</v>
      </c>
    </row>
    <row r="387" customFormat="false" ht="15" hidden="false" customHeight="false" outlineLevel="0" collapsed="false">
      <c r="A387" s="27" t="s">
        <v>49</v>
      </c>
      <c r="B387" s="27" t="s">
        <v>66</v>
      </c>
      <c r="C387" s="27" t="s">
        <v>110</v>
      </c>
      <c r="D387" s="34" t="n">
        <f aca="false">SUMIFS(Media_Cliente_Mes!$C$2:$C$145,Media_Cliente_Mes!$A$2:$A$145,$A387,Media_Cliente_Mes!$B$2:$B$145,$B387)</f>
        <v>0</v>
      </c>
      <c r="E387" s="35" t="str">
        <f aca="false">IF($D387=0,"",IF($C387="Proteina",SUMIFS(Media_Cliente_Mes!$D$2:$D$145,Media_Cliente_Mes!$A$2:$A$145,$A387,Media_Cliente_Mes!$B$2:$B$145,$B387),IF($C387="Umidade",SUMIFS(Media_Cliente_Mes!$E$2:$E$145,Media_Cliente_Mes!$A$2:$A$145,$A387,Media_Cliente_Mes!$B$2:$B$145,$B387),SUMIFS(Media_Cliente_Mes!$F$2:$F$145,Media_Cliente_Mes!$A$2:$A$145,$A387,Media_Cliente_Mes!$B$2:$B$145,$B387))))</f>
        <v/>
      </c>
      <c r="F387" s="35" t="n">
        <f aca="false">INDEX(Parametros_ANEC73!$C$4:$C$6,MATCH($C387,Parametros_ANEC73!$A$4:$A$6,0))</f>
        <v>12.5</v>
      </c>
      <c r="G387" s="35" t="n">
        <f aca="false">IF($C387="Proteina",INDEX(Media_Pool_Mes!$C$2:$C$13,MATCH($B387,Media_Pool_Mes!$A$2:$A$13,0)),IF($C387="Umidade",INDEX(Media_Pool_Mes!$D$2:$D$13,MATCH($B387,Media_Pool_Mes!$A$2:$A$13,0)),INDEX(Media_Pool_Mes!$E$2:$E$13,MATCH($B387,Media_Pool_Mes!$A$2:$A$13,0))))</f>
        <v>12.4774576939468</v>
      </c>
      <c r="H387" s="37" t="n">
        <f aca="false">INDEX(Parametros_ANEC73!$B$4:$B$6,MATCH($C387,Parametros_ANEC73!$A$4:$A$6,0))</f>
        <v>1</v>
      </c>
      <c r="I387" s="38" t="str">
        <f aca="false">IF(OR($D387=0,$G387=""),"",IF($H387*($G387-$F387)&gt;0,$G387,$F387))</f>
        <v/>
      </c>
      <c r="J387" s="27" t="str">
        <f aca="false">IF(OR($D387=0,$G387=""),"",IF($H387*($G387-$F387)&gt;0,"Sim","Nao"))</f>
        <v/>
      </c>
      <c r="K387" s="27" t="str">
        <f aca="false">IF(OR($D387=0,$G387=""),"",IF(AND($H387*($E387-$F387)&gt;0,$H387*($E387-$G387)&gt;0),"Sim","Nao"))</f>
        <v/>
      </c>
      <c r="L387" s="38" t="n">
        <f aca="false">IF(OR($D387=0,$G387=""),0,IF($K387="Sim",MAX(0,$H387*($E387-$I387)),0))</f>
        <v>0</v>
      </c>
      <c r="M387" s="35" t="n">
        <f aca="false">INDEX(Parametros_ANEC73!$G$4:$G$6,MATCH($C387,Parametros_ANEC73!$A$4:$A$6,0))</f>
        <v>0</v>
      </c>
      <c r="N387" s="38" t="n">
        <f aca="false">IF(OR($D387=0,$G387=""),0,IF(AND($K387="Sim",$M387&lt;&gt;""),MAX(0,$H387*($E387-$M387)),0))</f>
        <v>0</v>
      </c>
      <c r="O387" s="35" t="n">
        <f aca="false">INDEX(Parametros_ANEC73!$J$4:$J$6,MATCH($C387,Parametros_ANEC73!$A$4:$A$6,0))</f>
        <v>0</v>
      </c>
      <c r="P387" s="38" t="n">
        <f aca="false">IF(OR($D387=0,$G387=""),0,IF(AND($K387="Sim",$O387&lt;&gt;""),MAX(0,$H387*($E387-$O387)),0))</f>
        <v>0</v>
      </c>
      <c r="Q387" s="35" t="n">
        <f aca="false">INDEX(Parametros_ANEC73!$F$4:$F$6,MATCH($C387,Parametros_ANEC73!$A$4:$A$6,0))</f>
        <v>1</v>
      </c>
      <c r="R387" s="35" t="n">
        <f aca="false">INDEX(Parametros_ANEC73!$I$4:$I$6,MATCH($C387,Parametros_ANEC73!$A$4:$A$6,0))</f>
        <v>0</v>
      </c>
      <c r="S387" s="35" t="n">
        <f aca="false">INDEX(Parametros_ANEC73!$L$4:$L$6,MATCH($C387,Parametros_ANEC73!$A$4:$A$6,0))</f>
        <v>0</v>
      </c>
      <c r="T387" s="39" t="n">
        <f aca="false">INDEX(Parametros_ANEC73!$B$14:$B$25,MATCH($B387,Parametros_ANEC73!$A$14:$A$25,0))</f>
        <v>326</v>
      </c>
      <c r="U387" s="40" t="n">
        <f aca="false">IF(OR($D387=0,$G387=""),0,$D387*($T387/100)*($L387*$Q387+$N387*(IF($R387="",$Q387,$R387)-$Q387)+$P387*(IF($S387="",IF($R387="",$Q387,$R387),$S387)-IF($R387="",$Q387,$R387))))</f>
        <v>0</v>
      </c>
      <c r="V387" s="41" t="str">
        <f aca="false">IF(OR($D387=0,$G387=""),"",IF($H387*($E387-INDEX(Parametros_ANEC73!$M$4:$M$6,MATCH($C387,Parametros_ANEC73!$A$4:$A$6,0)))&gt;0,"Sim","Nao"))</f>
        <v/>
      </c>
      <c r="W387" s="27" t="str">
        <f aca="false">$A387&amp;"|"&amp;$B387&amp;"|"&amp;$C387</f>
        <v>Novo06|Set|Umidade</v>
      </c>
    </row>
    <row r="388" customFormat="false" ht="15" hidden="false" customHeight="false" outlineLevel="0" collapsed="false">
      <c r="A388" s="27" t="s">
        <v>49</v>
      </c>
      <c r="B388" s="27" t="s">
        <v>66</v>
      </c>
      <c r="C388" s="27" t="s">
        <v>111</v>
      </c>
      <c r="D388" s="34" t="n">
        <f aca="false">SUMIFS(Media_Cliente_Mes!$C$2:$C$145,Media_Cliente_Mes!$A$2:$A$145,$A388,Media_Cliente_Mes!$B$2:$B$145,$B388)</f>
        <v>0</v>
      </c>
      <c r="E388" s="35" t="str">
        <f aca="false">IF($D388=0,"",IF($C388="Proteina",SUMIFS(Media_Cliente_Mes!$D$2:$D$145,Media_Cliente_Mes!$A$2:$A$145,$A388,Media_Cliente_Mes!$B$2:$B$145,$B388),IF($C388="Umidade",SUMIFS(Media_Cliente_Mes!$E$2:$E$145,Media_Cliente_Mes!$A$2:$A$145,$A388,Media_Cliente_Mes!$B$2:$B$145,$B388),SUMIFS(Media_Cliente_Mes!$F$2:$F$145,Media_Cliente_Mes!$A$2:$A$145,$A388,Media_Cliente_Mes!$B$2:$B$145,$B388))))</f>
        <v/>
      </c>
      <c r="F388" s="35" t="n">
        <f aca="false">INDEX(Parametros_ANEC73!$C$4:$C$6,MATCH($C388,Parametros_ANEC73!$A$4:$A$6,0))</f>
        <v>3.5</v>
      </c>
      <c r="G388" s="35" t="n">
        <f aca="false">IF($C388="Proteina",INDEX(Media_Pool_Mes!$C$2:$C$13,MATCH($B388,Media_Pool_Mes!$A$2:$A$13,0)),IF($C388="Umidade",INDEX(Media_Pool_Mes!$D$2:$D$13,MATCH($B388,Media_Pool_Mes!$A$2:$A$13,0)),INDEX(Media_Pool_Mes!$E$2:$E$13,MATCH($B388,Media_Pool_Mes!$A$2:$A$13,0))))</f>
        <v>3.7061372169236</v>
      </c>
      <c r="H388" s="37" t="n">
        <f aca="false">INDEX(Parametros_ANEC73!$B$4:$B$6,MATCH($C388,Parametros_ANEC73!$A$4:$A$6,0))</f>
        <v>1</v>
      </c>
      <c r="I388" s="38" t="str">
        <f aca="false">IF(OR($D388=0,$G388=""),"",IF($H388*($G388-$F388)&gt;0,$G388,$F388))</f>
        <v/>
      </c>
      <c r="J388" s="27" t="str">
        <f aca="false">IF(OR($D388=0,$G388=""),"",IF($H388*($G388-$F388)&gt;0,"Sim","Nao"))</f>
        <v/>
      </c>
      <c r="K388" s="27" t="str">
        <f aca="false">IF(OR($D388=0,$G388=""),"",IF(AND($H388*($E388-$F388)&gt;0,$H388*($E388-$G388)&gt;0),"Sim","Nao"))</f>
        <v/>
      </c>
      <c r="L388" s="38" t="n">
        <f aca="false">IF(OR($D388=0,$G388=""),0,IF($K388="Sim",MAX(0,$H388*($E388-$I388)),0))</f>
        <v>0</v>
      </c>
      <c r="M388" s="35" t="n">
        <f aca="false">INDEX(Parametros_ANEC73!$G$4:$G$6,MATCH($C388,Parametros_ANEC73!$A$4:$A$6,0))</f>
        <v>3.8</v>
      </c>
      <c r="N388" s="38" t="n">
        <f aca="false">IF(OR($D388=0,$G388=""),0,IF(AND($K388="Sim",$M388&lt;&gt;""),MAX(0,$H388*($E388-$M388)),0))</f>
        <v>0</v>
      </c>
      <c r="O388" s="35" t="n">
        <f aca="false">INDEX(Parametros_ANEC73!$J$4:$J$6,MATCH($C388,Parametros_ANEC73!$A$4:$A$6,0))</f>
        <v>4</v>
      </c>
      <c r="P388" s="38" t="n">
        <f aca="false">IF(OR($D388=0,$G388=""),0,IF(AND($K388="Sim",$O388&lt;&gt;""),MAX(0,$H388*($E388-$O388)),0))</f>
        <v>0</v>
      </c>
      <c r="Q388" s="35" t="n">
        <f aca="false">INDEX(Parametros_ANEC73!$F$4:$F$6,MATCH($C388,Parametros_ANEC73!$A$4:$A$6,0))</f>
        <v>1</v>
      </c>
      <c r="R388" s="35" t="n">
        <f aca="false">INDEX(Parametros_ANEC73!$I$4:$I$6,MATCH($C388,Parametros_ANEC73!$A$4:$A$6,0))</f>
        <v>1.5</v>
      </c>
      <c r="S388" s="35" t="n">
        <f aca="false">INDEX(Parametros_ANEC73!$L$4:$L$6,MATCH($C388,Parametros_ANEC73!$A$4:$A$6,0))</f>
        <v>2</v>
      </c>
      <c r="T388" s="39" t="n">
        <f aca="false">INDEX(Parametros_ANEC73!$B$14:$B$25,MATCH($B388,Parametros_ANEC73!$A$14:$A$25,0))</f>
        <v>326</v>
      </c>
      <c r="U388" s="40" t="n">
        <f aca="false">IF(OR($D388=0,$G388=""),0,$D388*($T388/100)*($L388*$Q388+$N388*(IF($R388="",$Q388,$R388)-$Q388)+$P388*(IF($S388="",IF($R388="",$Q388,$R388),$S388)-IF($R388="",$Q388,$R388))))</f>
        <v>0</v>
      </c>
      <c r="V388" s="41" t="str">
        <f aca="false">IF(OR($D388=0,$G388=""),"",IF($H388*($E388-INDEX(Parametros_ANEC73!$M$4:$M$6,MATCH($C388,Parametros_ANEC73!$A$4:$A$6,0)))&gt;0,"Sim","Nao"))</f>
        <v/>
      </c>
      <c r="W388" s="27" t="str">
        <f aca="false">$A388&amp;"|"&amp;$B388&amp;"|"&amp;$C388</f>
        <v>Novo06|Set|Fibra</v>
      </c>
    </row>
    <row r="389" customFormat="false" ht="15" hidden="false" customHeight="false" outlineLevel="0" collapsed="false">
      <c r="A389" s="27" t="s">
        <v>49</v>
      </c>
      <c r="B389" s="27" t="s">
        <v>67</v>
      </c>
      <c r="C389" s="27" t="s">
        <v>109</v>
      </c>
      <c r="D389" s="34" t="n">
        <f aca="false">SUMIFS(Media_Cliente_Mes!$C$2:$C$145,Media_Cliente_Mes!$A$2:$A$145,$A389,Media_Cliente_Mes!$B$2:$B$145,$B389)</f>
        <v>0</v>
      </c>
      <c r="E389" s="35" t="str">
        <f aca="false">IF($D389=0,"",IF($C389="Proteina",SUMIFS(Media_Cliente_Mes!$D$2:$D$145,Media_Cliente_Mes!$A$2:$A$145,$A389,Media_Cliente_Mes!$B$2:$B$145,$B389),IF($C389="Umidade",SUMIFS(Media_Cliente_Mes!$E$2:$E$145,Media_Cliente_Mes!$A$2:$A$145,$A389,Media_Cliente_Mes!$B$2:$B$145,$B389),SUMIFS(Media_Cliente_Mes!$F$2:$F$145,Media_Cliente_Mes!$A$2:$A$145,$A389,Media_Cliente_Mes!$B$2:$B$145,$B389))))</f>
        <v/>
      </c>
      <c r="F389" s="35" t="n">
        <f aca="false">INDEX(Parametros_ANEC73!$C$4:$C$6,MATCH($C389,Parametros_ANEC73!$A$4:$A$6,0))</f>
        <v>48</v>
      </c>
      <c r="G389" s="35" t="str">
        <f aca="false">IF($C389="Proteina",INDEX(Media_Pool_Mes!$C$2:$C$13,MATCH($B389,Media_Pool_Mes!$A$2:$A$13,0)),IF($C389="Umidade",INDEX(Media_Pool_Mes!$D$2:$D$13,MATCH($B389,Media_Pool_Mes!$A$2:$A$13,0)),INDEX(Media_Pool_Mes!$E$2:$E$13,MATCH($B389,Media_Pool_Mes!$A$2:$A$13,0))))</f>
        <v/>
      </c>
      <c r="H389" s="37" t="n">
        <f aca="false">INDEX(Parametros_ANEC73!$B$4:$B$6,MATCH($C389,Parametros_ANEC73!$A$4:$A$6,0))</f>
        <v>-1</v>
      </c>
      <c r="I389" s="38" t="str">
        <f aca="false">IF(OR($D389=0,$G389=""),"",IF($H389*($G389-$F389)&gt;0,$G389,$F389))</f>
        <v/>
      </c>
      <c r="J389" s="27" t="str">
        <f aca="false">IF(OR($D389=0,$G389=""),"",IF($H389*($G389-$F389)&gt;0,"Sim","Nao"))</f>
        <v/>
      </c>
      <c r="K389" s="27" t="str">
        <f aca="false">IF(OR($D389=0,$G389=""),"",IF(AND($H389*($E389-$F389)&gt;0,$H389*($E389-$G389)&gt;0),"Sim","Nao"))</f>
        <v/>
      </c>
      <c r="L389" s="38" t="n">
        <f aca="false">IF(OR($D389=0,$G389=""),0,IF($K389="Sim",MAX(0,$H389*($E389-$I389)),0))</f>
        <v>0</v>
      </c>
      <c r="M389" s="35" t="n">
        <f aca="false">INDEX(Parametros_ANEC73!$G$4:$G$6,MATCH($C389,Parametros_ANEC73!$A$4:$A$6,0))</f>
        <v>47</v>
      </c>
      <c r="N389" s="38" t="n">
        <f aca="false">IF(OR($D389=0,$G389=""),0,IF(AND($K389="Sim",$M389&lt;&gt;""),MAX(0,$H389*($E389-$M389)),0))</f>
        <v>0</v>
      </c>
      <c r="O389" s="35" t="n">
        <f aca="false">INDEX(Parametros_ANEC73!$J$4:$J$6,MATCH($C389,Parametros_ANEC73!$A$4:$A$6,0))</f>
        <v>0</v>
      </c>
      <c r="P389" s="38" t="n">
        <f aca="false">IF(OR($D389=0,$G389=""),0,IF(AND($K389="Sim",$O389&lt;&gt;""),MAX(0,$H389*($E389-$O389)),0))</f>
        <v>0</v>
      </c>
      <c r="Q389" s="35" t="n">
        <f aca="false">INDEX(Parametros_ANEC73!$F$4:$F$6,MATCH($C389,Parametros_ANEC73!$A$4:$A$6,0))</f>
        <v>1</v>
      </c>
      <c r="R389" s="35" t="n">
        <f aca="false">INDEX(Parametros_ANEC73!$I$4:$I$6,MATCH($C389,Parametros_ANEC73!$A$4:$A$6,0))</f>
        <v>2</v>
      </c>
      <c r="S389" s="35" t="n">
        <f aca="false">INDEX(Parametros_ANEC73!$L$4:$L$6,MATCH($C389,Parametros_ANEC73!$A$4:$A$6,0))</f>
        <v>0</v>
      </c>
      <c r="T389" s="39" t="n">
        <f aca="false">INDEX(Parametros_ANEC73!$B$14:$B$25,MATCH($B389,Parametros_ANEC73!$A$14:$A$25,0))</f>
        <v>0</v>
      </c>
      <c r="U389" s="40" t="n">
        <f aca="false">IF(OR($D389=0,$G389=""),0,$D389*($T389/100)*($L389*$Q389+$N389*(IF($R389="",$Q389,$R389)-$Q389)+$P389*(IF($S389="",IF($R389="",$Q389,$R389),$S389)-IF($R389="",$Q389,$R389))))</f>
        <v>0</v>
      </c>
      <c r="V389" s="41" t="str">
        <f aca="false">IF(OR($D389=0,$G389=""),"",IF($H389*($E389-INDEX(Parametros_ANEC73!$M$4:$M$6,MATCH($C389,Parametros_ANEC73!$A$4:$A$6,0)))&gt;0,"Sim","Nao"))</f>
        <v/>
      </c>
      <c r="W389" s="27" t="str">
        <f aca="false">$A389&amp;"|"&amp;$B389&amp;"|"&amp;$C389</f>
        <v>Novo06|Out|Proteina</v>
      </c>
    </row>
    <row r="390" customFormat="false" ht="15" hidden="false" customHeight="false" outlineLevel="0" collapsed="false">
      <c r="A390" s="27" t="s">
        <v>49</v>
      </c>
      <c r="B390" s="27" t="s">
        <v>67</v>
      </c>
      <c r="C390" s="27" t="s">
        <v>110</v>
      </c>
      <c r="D390" s="34" t="n">
        <f aca="false">SUMIFS(Media_Cliente_Mes!$C$2:$C$145,Media_Cliente_Mes!$A$2:$A$145,$A390,Media_Cliente_Mes!$B$2:$B$145,$B390)</f>
        <v>0</v>
      </c>
      <c r="E390" s="35" t="str">
        <f aca="false">IF($D390=0,"",IF($C390="Proteina",SUMIFS(Media_Cliente_Mes!$D$2:$D$145,Media_Cliente_Mes!$A$2:$A$145,$A390,Media_Cliente_Mes!$B$2:$B$145,$B390),IF($C390="Umidade",SUMIFS(Media_Cliente_Mes!$E$2:$E$145,Media_Cliente_Mes!$A$2:$A$145,$A390,Media_Cliente_Mes!$B$2:$B$145,$B390),SUMIFS(Media_Cliente_Mes!$F$2:$F$145,Media_Cliente_Mes!$A$2:$A$145,$A390,Media_Cliente_Mes!$B$2:$B$145,$B390))))</f>
        <v/>
      </c>
      <c r="F390" s="35" t="n">
        <f aca="false">INDEX(Parametros_ANEC73!$C$4:$C$6,MATCH($C390,Parametros_ANEC73!$A$4:$A$6,0))</f>
        <v>12.5</v>
      </c>
      <c r="G390" s="35" t="str">
        <f aca="false">IF($C390="Proteina",INDEX(Media_Pool_Mes!$C$2:$C$13,MATCH($B390,Media_Pool_Mes!$A$2:$A$13,0)),IF($C390="Umidade",INDEX(Media_Pool_Mes!$D$2:$D$13,MATCH($B390,Media_Pool_Mes!$A$2:$A$13,0)),INDEX(Media_Pool_Mes!$E$2:$E$13,MATCH($B390,Media_Pool_Mes!$A$2:$A$13,0))))</f>
        <v/>
      </c>
      <c r="H390" s="37" t="n">
        <f aca="false">INDEX(Parametros_ANEC73!$B$4:$B$6,MATCH($C390,Parametros_ANEC73!$A$4:$A$6,0))</f>
        <v>1</v>
      </c>
      <c r="I390" s="38" t="str">
        <f aca="false">IF(OR($D390=0,$G390=""),"",IF($H390*($G390-$F390)&gt;0,$G390,$F390))</f>
        <v/>
      </c>
      <c r="J390" s="27" t="str">
        <f aca="false">IF(OR($D390=0,$G390=""),"",IF($H390*($G390-$F390)&gt;0,"Sim","Nao"))</f>
        <v/>
      </c>
      <c r="K390" s="27" t="str">
        <f aca="false">IF(OR($D390=0,$G390=""),"",IF(AND($H390*($E390-$F390)&gt;0,$H390*($E390-$G390)&gt;0),"Sim","Nao"))</f>
        <v/>
      </c>
      <c r="L390" s="38" t="n">
        <f aca="false">IF(OR($D390=0,$G390=""),0,IF($K390="Sim",MAX(0,$H390*($E390-$I390)),0))</f>
        <v>0</v>
      </c>
      <c r="M390" s="35" t="n">
        <f aca="false">INDEX(Parametros_ANEC73!$G$4:$G$6,MATCH($C390,Parametros_ANEC73!$A$4:$A$6,0))</f>
        <v>0</v>
      </c>
      <c r="N390" s="38" t="n">
        <f aca="false">IF(OR($D390=0,$G390=""),0,IF(AND($K390="Sim",$M390&lt;&gt;""),MAX(0,$H390*($E390-$M390)),0))</f>
        <v>0</v>
      </c>
      <c r="O390" s="35" t="n">
        <f aca="false">INDEX(Parametros_ANEC73!$J$4:$J$6,MATCH($C390,Parametros_ANEC73!$A$4:$A$6,0))</f>
        <v>0</v>
      </c>
      <c r="P390" s="38" t="n">
        <f aca="false">IF(OR($D390=0,$G390=""),0,IF(AND($K390="Sim",$O390&lt;&gt;""),MAX(0,$H390*($E390-$O390)),0))</f>
        <v>0</v>
      </c>
      <c r="Q390" s="35" t="n">
        <f aca="false">INDEX(Parametros_ANEC73!$F$4:$F$6,MATCH($C390,Parametros_ANEC73!$A$4:$A$6,0))</f>
        <v>1</v>
      </c>
      <c r="R390" s="35" t="n">
        <f aca="false">INDEX(Parametros_ANEC73!$I$4:$I$6,MATCH($C390,Parametros_ANEC73!$A$4:$A$6,0))</f>
        <v>0</v>
      </c>
      <c r="S390" s="35" t="n">
        <f aca="false">INDEX(Parametros_ANEC73!$L$4:$L$6,MATCH($C390,Parametros_ANEC73!$A$4:$A$6,0))</f>
        <v>0</v>
      </c>
      <c r="T390" s="39" t="n">
        <f aca="false">INDEX(Parametros_ANEC73!$B$14:$B$25,MATCH($B390,Parametros_ANEC73!$A$14:$A$25,0))</f>
        <v>0</v>
      </c>
      <c r="U390" s="40" t="n">
        <f aca="false">IF(OR($D390=0,$G390=""),0,$D390*($T390/100)*($L390*$Q390+$N390*(IF($R390="",$Q390,$R390)-$Q390)+$P390*(IF($S390="",IF($R390="",$Q390,$R390),$S390)-IF($R390="",$Q390,$R390))))</f>
        <v>0</v>
      </c>
      <c r="V390" s="41" t="str">
        <f aca="false">IF(OR($D390=0,$G390=""),"",IF($H390*($E390-INDEX(Parametros_ANEC73!$M$4:$M$6,MATCH($C390,Parametros_ANEC73!$A$4:$A$6,0)))&gt;0,"Sim","Nao"))</f>
        <v/>
      </c>
      <c r="W390" s="27" t="str">
        <f aca="false">$A390&amp;"|"&amp;$B390&amp;"|"&amp;$C390</f>
        <v>Novo06|Out|Umidade</v>
      </c>
    </row>
    <row r="391" customFormat="false" ht="15" hidden="false" customHeight="false" outlineLevel="0" collapsed="false">
      <c r="A391" s="27" t="s">
        <v>49</v>
      </c>
      <c r="B391" s="27" t="s">
        <v>67</v>
      </c>
      <c r="C391" s="27" t="s">
        <v>111</v>
      </c>
      <c r="D391" s="34" t="n">
        <f aca="false">SUMIFS(Media_Cliente_Mes!$C$2:$C$145,Media_Cliente_Mes!$A$2:$A$145,$A391,Media_Cliente_Mes!$B$2:$B$145,$B391)</f>
        <v>0</v>
      </c>
      <c r="E391" s="35" t="str">
        <f aca="false">IF($D391=0,"",IF($C391="Proteina",SUMIFS(Media_Cliente_Mes!$D$2:$D$145,Media_Cliente_Mes!$A$2:$A$145,$A391,Media_Cliente_Mes!$B$2:$B$145,$B391),IF($C391="Umidade",SUMIFS(Media_Cliente_Mes!$E$2:$E$145,Media_Cliente_Mes!$A$2:$A$145,$A391,Media_Cliente_Mes!$B$2:$B$145,$B391),SUMIFS(Media_Cliente_Mes!$F$2:$F$145,Media_Cliente_Mes!$A$2:$A$145,$A391,Media_Cliente_Mes!$B$2:$B$145,$B391))))</f>
        <v/>
      </c>
      <c r="F391" s="35" t="n">
        <f aca="false">INDEX(Parametros_ANEC73!$C$4:$C$6,MATCH($C391,Parametros_ANEC73!$A$4:$A$6,0))</f>
        <v>3.5</v>
      </c>
      <c r="G391" s="35" t="str">
        <f aca="false">IF($C391="Proteina",INDEX(Media_Pool_Mes!$C$2:$C$13,MATCH($B391,Media_Pool_Mes!$A$2:$A$13,0)),IF($C391="Umidade",INDEX(Media_Pool_Mes!$D$2:$D$13,MATCH($B391,Media_Pool_Mes!$A$2:$A$13,0)),INDEX(Media_Pool_Mes!$E$2:$E$13,MATCH($B391,Media_Pool_Mes!$A$2:$A$13,0))))</f>
        <v/>
      </c>
      <c r="H391" s="37" t="n">
        <f aca="false">INDEX(Parametros_ANEC73!$B$4:$B$6,MATCH($C391,Parametros_ANEC73!$A$4:$A$6,0))</f>
        <v>1</v>
      </c>
      <c r="I391" s="38" t="str">
        <f aca="false">IF(OR($D391=0,$G391=""),"",IF($H391*($G391-$F391)&gt;0,$G391,$F391))</f>
        <v/>
      </c>
      <c r="J391" s="27" t="str">
        <f aca="false">IF(OR($D391=0,$G391=""),"",IF($H391*($G391-$F391)&gt;0,"Sim","Nao"))</f>
        <v/>
      </c>
      <c r="K391" s="27" t="str">
        <f aca="false">IF(OR($D391=0,$G391=""),"",IF(AND($H391*($E391-$F391)&gt;0,$H391*($E391-$G391)&gt;0),"Sim","Nao"))</f>
        <v/>
      </c>
      <c r="L391" s="38" t="n">
        <f aca="false">IF(OR($D391=0,$G391=""),0,IF($K391="Sim",MAX(0,$H391*($E391-$I391)),0))</f>
        <v>0</v>
      </c>
      <c r="M391" s="35" t="n">
        <f aca="false">INDEX(Parametros_ANEC73!$G$4:$G$6,MATCH($C391,Parametros_ANEC73!$A$4:$A$6,0))</f>
        <v>3.8</v>
      </c>
      <c r="N391" s="38" t="n">
        <f aca="false">IF(OR($D391=0,$G391=""),0,IF(AND($K391="Sim",$M391&lt;&gt;""),MAX(0,$H391*($E391-$M391)),0))</f>
        <v>0</v>
      </c>
      <c r="O391" s="35" t="n">
        <f aca="false">INDEX(Parametros_ANEC73!$J$4:$J$6,MATCH($C391,Parametros_ANEC73!$A$4:$A$6,0))</f>
        <v>4</v>
      </c>
      <c r="P391" s="38" t="n">
        <f aca="false">IF(OR($D391=0,$G391=""),0,IF(AND($K391="Sim",$O391&lt;&gt;""),MAX(0,$H391*($E391-$O391)),0))</f>
        <v>0</v>
      </c>
      <c r="Q391" s="35" t="n">
        <f aca="false">INDEX(Parametros_ANEC73!$F$4:$F$6,MATCH($C391,Parametros_ANEC73!$A$4:$A$6,0))</f>
        <v>1</v>
      </c>
      <c r="R391" s="35" t="n">
        <f aca="false">INDEX(Parametros_ANEC73!$I$4:$I$6,MATCH($C391,Parametros_ANEC73!$A$4:$A$6,0))</f>
        <v>1.5</v>
      </c>
      <c r="S391" s="35" t="n">
        <f aca="false">INDEX(Parametros_ANEC73!$L$4:$L$6,MATCH($C391,Parametros_ANEC73!$A$4:$A$6,0))</f>
        <v>2</v>
      </c>
      <c r="T391" s="39" t="n">
        <f aca="false">INDEX(Parametros_ANEC73!$B$14:$B$25,MATCH($B391,Parametros_ANEC73!$A$14:$A$25,0))</f>
        <v>0</v>
      </c>
      <c r="U391" s="40" t="n">
        <f aca="false">IF(OR($D391=0,$G391=""),0,$D391*($T391/100)*($L391*$Q391+$N391*(IF($R391="",$Q391,$R391)-$Q391)+$P391*(IF($S391="",IF($R391="",$Q391,$R391),$S391)-IF($R391="",$Q391,$R391))))</f>
        <v>0</v>
      </c>
      <c r="V391" s="41" t="str">
        <f aca="false">IF(OR($D391=0,$G391=""),"",IF($H391*($E391-INDEX(Parametros_ANEC73!$M$4:$M$6,MATCH($C391,Parametros_ANEC73!$A$4:$A$6,0)))&gt;0,"Sim","Nao"))</f>
        <v/>
      </c>
      <c r="W391" s="27" t="str">
        <f aca="false">$A391&amp;"|"&amp;$B391&amp;"|"&amp;$C391</f>
        <v>Novo06|Out|Fibra</v>
      </c>
    </row>
    <row r="392" customFormat="false" ht="15" hidden="false" customHeight="false" outlineLevel="0" collapsed="false">
      <c r="A392" s="27" t="s">
        <v>49</v>
      </c>
      <c r="B392" s="27" t="s">
        <v>68</v>
      </c>
      <c r="C392" s="27" t="s">
        <v>109</v>
      </c>
      <c r="D392" s="34" t="n">
        <f aca="false">SUMIFS(Media_Cliente_Mes!$C$2:$C$145,Media_Cliente_Mes!$A$2:$A$145,$A392,Media_Cliente_Mes!$B$2:$B$145,$B392)</f>
        <v>0</v>
      </c>
      <c r="E392" s="35" t="str">
        <f aca="false">IF($D392=0,"",IF($C392="Proteina",SUMIFS(Media_Cliente_Mes!$D$2:$D$145,Media_Cliente_Mes!$A$2:$A$145,$A392,Media_Cliente_Mes!$B$2:$B$145,$B392),IF($C392="Umidade",SUMIFS(Media_Cliente_Mes!$E$2:$E$145,Media_Cliente_Mes!$A$2:$A$145,$A392,Media_Cliente_Mes!$B$2:$B$145,$B392),SUMIFS(Media_Cliente_Mes!$F$2:$F$145,Media_Cliente_Mes!$A$2:$A$145,$A392,Media_Cliente_Mes!$B$2:$B$145,$B392))))</f>
        <v/>
      </c>
      <c r="F392" s="35" t="n">
        <f aca="false">INDEX(Parametros_ANEC73!$C$4:$C$6,MATCH($C392,Parametros_ANEC73!$A$4:$A$6,0))</f>
        <v>48</v>
      </c>
      <c r="G392" s="35" t="str">
        <f aca="false">IF($C392="Proteina",INDEX(Media_Pool_Mes!$C$2:$C$13,MATCH($B392,Media_Pool_Mes!$A$2:$A$13,0)),IF($C392="Umidade",INDEX(Media_Pool_Mes!$D$2:$D$13,MATCH($B392,Media_Pool_Mes!$A$2:$A$13,0)),INDEX(Media_Pool_Mes!$E$2:$E$13,MATCH($B392,Media_Pool_Mes!$A$2:$A$13,0))))</f>
        <v/>
      </c>
      <c r="H392" s="37" t="n">
        <f aca="false">INDEX(Parametros_ANEC73!$B$4:$B$6,MATCH($C392,Parametros_ANEC73!$A$4:$A$6,0))</f>
        <v>-1</v>
      </c>
      <c r="I392" s="38" t="str">
        <f aca="false">IF(OR($D392=0,$G392=""),"",IF($H392*($G392-$F392)&gt;0,$G392,$F392))</f>
        <v/>
      </c>
      <c r="J392" s="27" t="str">
        <f aca="false">IF(OR($D392=0,$G392=""),"",IF($H392*($G392-$F392)&gt;0,"Sim","Nao"))</f>
        <v/>
      </c>
      <c r="K392" s="27" t="str">
        <f aca="false">IF(OR($D392=0,$G392=""),"",IF(AND($H392*($E392-$F392)&gt;0,$H392*($E392-$G392)&gt;0),"Sim","Nao"))</f>
        <v/>
      </c>
      <c r="L392" s="38" t="n">
        <f aca="false">IF(OR($D392=0,$G392=""),0,IF($K392="Sim",MAX(0,$H392*($E392-$I392)),0))</f>
        <v>0</v>
      </c>
      <c r="M392" s="35" t="n">
        <f aca="false">INDEX(Parametros_ANEC73!$G$4:$G$6,MATCH($C392,Parametros_ANEC73!$A$4:$A$6,0))</f>
        <v>47</v>
      </c>
      <c r="N392" s="38" t="n">
        <f aca="false">IF(OR($D392=0,$G392=""),0,IF(AND($K392="Sim",$M392&lt;&gt;""),MAX(0,$H392*($E392-$M392)),0))</f>
        <v>0</v>
      </c>
      <c r="O392" s="35" t="n">
        <f aca="false">INDEX(Parametros_ANEC73!$J$4:$J$6,MATCH($C392,Parametros_ANEC73!$A$4:$A$6,0))</f>
        <v>0</v>
      </c>
      <c r="P392" s="38" t="n">
        <f aca="false">IF(OR($D392=0,$G392=""),0,IF(AND($K392="Sim",$O392&lt;&gt;""),MAX(0,$H392*($E392-$O392)),0))</f>
        <v>0</v>
      </c>
      <c r="Q392" s="35" t="n">
        <f aca="false">INDEX(Parametros_ANEC73!$F$4:$F$6,MATCH($C392,Parametros_ANEC73!$A$4:$A$6,0))</f>
        <v>1</v>
      </c>
      <c r="R392" s="35" t="n">
        <f aca="false">INDEX(Parametros_ANEC73!$I$4:$I$6,MATCH($C392,Parametros_ANEC73!$A$4:$A$6,0))</f>
        <v>2</v>
      </c>
      <c r="S392" s="35" t="n">
        <f aca="false">INDEX(Parametros_ANEC73!$L$4:$L$6,MATCH($C392,Parametros_ANEC73!$A$4:$A$6,0))</f>
        <v>0</v>
      </c>
      <c r="T392" s="39" t="n">
        <f aca="false">INDEX(Parametros_ANEC73!$B$14:$B$25,MATCH($B392,Parametros_ANEC73!$A$14:$A$25,0))</f>
        <v>0</v>
      </c>
      <c r="U392" s="40" t="n">
        <f aca="false">IF(OR($D392=0,$G392=""),0,$D392*($T392/100)*($L392*$Q392+$N392*(IF($R392="",$Q392,$R392)-$Q392)+$P392*(IF($S392="",IF($R392="",$Q392,$R392),$S392)-IF($R392="",$Q392,$R392))))</f>
        <v>0</v>
      </c>
      <c r="V392" s="41" t="str">
        <f aca="false">IF(OR($D392=0,$G392=""),"",IF($H392*($E392-INDEX(Parametros_ANEC73!$M$4:$M$6,MATCH($C392,Parametros_ANEC73!$A$4:$A$6,0)))&gt;0,"Sim","Nao"))</f>
        <v/>
      </c>
      <c r="W392" s="27" t="str">
        <f aca="false">$A392&amp;"|"&amp;$B392&amp;"|"&amp;$C392</f>
        <v>Novo06|Nov|Proteina</v>
      </c>
    </row>
    <row r="393" customFormat="false" ht="15" hidden="false" customHeight="false" outlineLevel="0" collapsed="false">
      <c r="A393" s="27" t="s">
        <v>49</v>
      </c>
      <c r="B393" s="27" t="s">
        <v>68</v>
      </c>
      <c r="C393" s="27" t="s">
        <v>110</v>
      </c>
      <c r="D393" s="34" t="n">
        <f aca="false">SUMIFS(Media_Cliente_Mes!$C$2:$C$145,Media_Cliente_Mes!$A$2:$A$145,$A393,Media_Cliente_Mes!$B$2:$B$145,$B393)</f>
        <v>0</v>
      </c>
      <c r="E393" s="35" t="str">
        <f aca="false">IF($D393=0,"",IF($C393="Proteina",SUMIFS(Media_Cliente_Mes!$D$2:$D$145,Media_Cliente_Mes!$A$2:$A$145,$A393,Media_Cliente_Mes!$B$2:$B$145,$B393),IF($C393="Umidade",SUMIFS(Media_Cliente_Mes!$E$2:$E$145,Media_Cliente_Mes!$A$2:$A$145,$A393,Media_Cliente_Mes!$B$2:$B$145,$B393),SUMIFS(Media_Cliente_Mes!$F$2:$F$145,Media_Cliente_Mes!$A$2:$A$145,$A393,Media_Cliente_Mes!$B$2:$B$145,$B393))))</f>
        <v/>
      </c>
      <c r="F393" s="35" t="n">
        <f aca="false">INDEX(Parametros_ANEC73!$C$4:$C$6,MATCH($C393,Parametros_ANEC73!$A$4:$A$6,0))</f>
        <v>12.5</v>
      </c>
      <c r="G393" s="35" t="str">
        <f aca="false">IF($C393="Proteina",INDEX(Media_Pool_Mes!$C$2:$C$13,MATCH($B393,Media_Pool_Mes!$A$2:$A$13,0)),IF($C393="Umidade",INDEX(Media_Pool_Mes!$D$2:$D$13,MATCH($B393,Media_Pool_Mes!$A$2:$A$13,0)),INDEX(Media_Pool_Mes!$E$2:$E$13,MATCH($B393,Media_Pool_Mes!$A$2:$A$13,0))))</f>
        <v/>
      </c>
      <c r="H393" s="37" t="n">
        <f aca="false">INDEX(Parametros_ANEC73!$B$4:$B$6,MATCH($C393,Parametros_ANEC73!$A$4:$A$6,0))</f>
        <v>1</v>
      </c>
      <c r="I393" s="38" t="str">
        <f aca="false">IF(OR($D393=0,$G393=""),"",IF($H393*($G393-$F393)&gt;0,$G393,$F393))</f>
        <v/>
      </c>
      <c r="J393" s="27" t="str">
        <f aca="false">IF(OR($D393=0,$G393=""),"",IF($H393*($G393-$F393)&gt;0,"Sim","Nao"))</f>
        <v/>
      </c>
      <c r="K393" s="27" t="str">
        <f aca="false">IF(OR($D393=0,$G393=""),"",IF(AND($H393*($E393-$F393)&gt;0,$H393*($E393-$G393)&gt;0),"Sim","Nao"))</f>
        <v/>
      </c>
      <c r="L393" s="38" t="n">
        <f aca="false">IF(OR($D393=0,$G393=""),0,IF($K393="Sim",MAX(0,$H393*($E393-$I393)),0))</f>
        <v>0</v>
      </c>
      <c r="M393" s="35" t="n">
        <f aca="false">INDEX(Parametros_ANEC73!$G$4:$G$6,MATCH($C393,Parametros_ANEC73!$A$4:$A$6,0))</f>
        <v>0</v>
      </c>
      <c r="N393" s="38" t="n">
        <f aca="false">IF(OR($D393=0,$G393=""),0,IF(AND($K393="Sim",$M393&lt;&gt;""),MAX(0,$H393*($E393-$M393)),0))</f>
        <v>0</v>
      </c>
      <c r="O393" s="35" t="n">
        <f aca="false">INDEX(Parametros_ANEC73!$J$4:$J$6,MATCH($C393,Parametros_ANEC73!$A$4:$A$6,0))</f>
        <v>0</v>
      </c>
      <c r="P393" s="38" t="n">
        <f aca="false">IF(OR($D393=0,$G393=""),0,IF(AND($K393="Sim",$O393&lt;&gt;""),MAX(0,$H393*($E393-$O393)),0))</f>
        <v>0</v>
      </c>
      <c r="Q393" s="35" t="n">
        <f aca="false">INDEX(Parametros_ANEC73!$F$4:$F$6,MATCH($C393,Parametros_ANEC73!$A$4:$A$6,0))</f>
        <v>1</v>
      </c>
      <c r="R393" s="35" t="n">
        <f aca="false">INDEX(Parametros_ANEC73!$I$4:$I$6,MATCH($C393,Parametros_ANEC73!$A$4:$A$6,0))</f>
        <v>0</v>
      </c>
      <c r="S393" s="35" t="n">
        <f aca="false">INDEX(Parametros_ANEC73!$L$4:$L$6,MATCH($C393,Parametros_ANEC73!$A$4:$A$6,0))</f>
        <v>0</v>
      </c>
      <c r="T393" s="39" t="n">
        <f aca="false">INDEX(Parametros_ANEC73!$B$14:$B$25,MATCH($B393,Parametros_ANEC73!$A$14:$A$25,0))</f>
        <v>0</v>
      </c>
      <c r="U393" s="40" t="n">
        <f aca="false">IF(OR($D393=0,$G393=""),0,$D393*($T393/100)*($L393*$Q393+$N393*(IF($R393="",$Q393,$R393)-$Q393)+$P393*(IF($S393="",IF($R393="",$Q393,$R393),$S393)-IF($R393="",$Q393,$R393))))</f>
        <v>0</v>
      </c>
      <c r="V393" s="41" t="str">
        <f aca="false">IF(OR($D393=0,$G393=""),"",IF($H393*($E393-INDEX(Parametros_ANEC73!$M$4:$M$6,MATCH($C393,Parametros_ANEC73!$A$4:$A$6,0)))&gt;0,"Sim","Nao"))</f>
        <v/>
      </c>
      <c r="W393" s="27" t="str">
        <f aca="false">$A393&amp;"|"&amp;$B393&amp;"|"&amp;$C393</f>
        <v>Novo06|Nov|Umidade</v>
      </c>
    </row>
    <row r="394" customFormat="false" ht="15" hidden="false" customHeight="false" outlineLevel="0" collapsed="false">
      <c r="A394" s="27" t="s">
        <v>49</v>
      </c>
      <c r="B394" s="27" t="s">
        <v>68</v>
      </c>
      <c r="C394" s="27" t="s">
        <v>111</v>
      </c>
      <c r="D394" s="34" t="n">
        <f aca="false">SUMIFS(Media_Cliente_Mes!$C$2:$C$145,Media_Cliente_Mes!$A$2:$A$145,$A394,Media_Cliente_Mes!$B$2:$B$145,$B394)</f>
        <v>0</v>
      </c>
      <c r="E394" s="35" t="str">
        <f aca="false">IF($D394=0,"",IF($C394="Proteina",SUMIFS(Media_Cliente_Mes!$D$2:$D$145,Media_Cliente_Mes!$A$2:$A$145,$A394,Media_Cliente_Mes!$B$2:$B$145,$B394),IF($C394="Umidade",SUMIFS(Media_Cliente_Mes!$E$2:$E$145,Media_Cliente_Mes!$A$2:$A$145,$A394,Media_Cliente_Mes!$B$2:$B$145,$B394),SUMIFS(Media_Cliente_Mes!$F$2:$F$145,Media_Cliente_Mes!$A$2:$A$145,$A394,Media_Cliente_Mes!$B$2:$B$145,$B394))))</f>
        <v/>
      </c>
      <c r="F394" s="35" t="n">
        <f aca="false">INDEX(Parametros_ANEC73!$C$4:$C$6,MATCH($C394,Parametros_ANEC73!$A$4:$A$6,0))</f>
        <v>3.5</v>
      </c>
      <c r="G394" s="35" t="str">
        <f aca="false">IF($C394="Proteina",INDEX(Media_Pool_Mes!$C$2:$C$13,MATCH($B394,Media_Pool_Mes!$A$2:$A$13,0)),IF($C394="Umidade",INDEX(Media_Pool_Mes!$D$2:$D$13,MATCH($B394,Media_Pool_Mes!$A$2:$A$13,0)),INDEX(Media_Pool_Mes!$E$2:$E$13,MATCH($B394,Media_Pool_Mes!$A$2:$A$13,0))))</f>
        <v/>
      </c>
      <c r="H394" s="37" t="n">
        <f aca="false">INDEX(Parametros_ANEC73!$B$4:$B$6,MATCH($C394,Parametros_ANEC73!$A$4:$A$6,0))</f>
        <v>1</v>
      </c>
      <c r="I394" s="38" t="str">
        <f aca="false">IF(OR($D394=0,$G394=""),"",IF($H394*($G394-$F394)&gt;0,$G394,$F394))</f>
        <v/>
      </c>
      <c r="J394" s="27" t="str">
        <f aca="false">IF(OR($D394=0,$G394=""),"",IF($H394*($G394-$F394)&gt;0,"Sim","Nao"))</f>
        <v/>
      </c>
      <c r="K394" s="27" t="str">
        <f aca="false">IF(OR($D394=0,$G394=""),"",IF(AND($H394*($E394-$F394)&gt;0,$H394*($E394-$G394)&gt;0),"Sim","Nao"))</f>
        <v/>
      </c>
      <c r="L394" s="38" t="n">
        <f aca="false">IF(OR($D394=0,$G394=""),0,IF($K394="Sim",MAX(0,$H394*($E394-$I394)),0))</f>
        <v>0</v>
      </c>
      <c r="M394" s="35" t="n">
        <f aca="false">INDEX(Parametros_ANEC73!$G$4:$G$6,MATCH($C394,Parametros_ANEC73!$A$4:$A$6,0))</f>
        <v>3.8</v>
      </c>
      <c r="N394" s="38" t="n">
        <f aca="false">IF(OR($D394=0,$G394=""),0,IF(AND($K394="Sim",$M394&lt;&gt;""),MAX(0,$H394*($E394-$M394)),0))</f>
        <v>0</v>
      </c>
      <c r="O394" s="35" t="n">
        <f aca="false">INDEX(Parametros_ANEC73!$J$4:$J$6,MATCH($C394,Parametros_ANEC73!$A$4:$A$6,0))</f>
        <v>4</v>
      </c>
      <c r="P394" s="38" t="n">
        <f aca="false">IF(OR($D394=0,$G394=""),0,IF(AND($K394="Sim",$O394&lt;&gt;""),MAX(0,$H394*($E394-$O394)),0))</f>
        <v>0</v>
      </c>
      <c r="Q394" s="35" t="n">
        <f aca="false">INDEX(Parametros_ANEC73!$F$4:$F$6,MATCH($C394,Parametros_ANEC73!$A$4:$A$6,0))</f>
        <v>1</v>
      </c>
      <c r="R394" s="35" t="n">
        <f aca="false">INDEX(Parametros_ANEC73!$I$4:$I$6,MATCH($C394,Parametros_ANEC73!$A$4:$A$6,0))</f>
        <v>1.5</v>
      </c>
      <c r="S394" s="35" t="n">
        <f aca="false">INDEX(Parametros_ANEC73!$L$4:$L$6,MATCH($C394,Parametros_ANEC73!$A$4:$A$6,0))</f>
        <v>2</v>
      </c>
      <c r="T394" s="39" t="n">
        <f aca="false">INDEX(Parametros_ANEC73!$B$14:$B$25,MATCH($B394,Parametros_ANEC73!$A$14:$A$25,0))</f>
        <v>0</v>
      </c>
      <c r="U394" s="40" t="n">
        <f aca="false">IF(OR($D394=0,$G394=""),0,$D394*($T394/100)*($L394*$Q394+$N394*(IF($R394="",$Q394,$R394)-$Q394)+$P394*(IF($S394="",IF($R394="",$Q394,$R394),$S394)-IF($R394="",$Q394,$R394))))</f>
        <v>0</v>
      </c>
      <c r="V394" s="41" t="str">
        <f aca="false">IF(OR($D394=0,$G394=""),"",IF($H394*($E394-INDEX(Parametros_ANEC73!$M$4:$M$6,MATCH($C394,Parametros_ANEC73!$A$4:$A$6,0)))&gt;0,"Sim","Nao"))</f>
        <v/>
      </c>
      <c r="W394" s="27" t="str">
        <f aca="false">$A394&amp;"|"&amp;$B394&amp;"|"&amp;$C394</f>
        <v>Novo06|Nov|Fibra</v>
      </c>
    </row>
    <row r="395" customFormat="false" ht="15" hidden="false" customHeight="false" outlineLevel="0" collapsed="false">
      <c r="A395" s="27" t="s">
        <v>49</v>
      </c>
      <c r="B395" s="27" t="s">
        <v>69</v>
      </c>
      <c r="C395" s="27" t="s">
        <v>109</v>
      </c>
      <c r="D395" s="34" t="n">
        <f aca="false">SUMIFS(Media_Cliente_Mes!$C$2:$C$145,Media_Cliente_Mes!$A$2:$A$145,$A395,Media_Cliente_Mes!$B$2:$B$145,$B395)</f>
        <v>0</v>
      </c>
      <c r="E395" s="35" t="str">
        <f aca="false">IF($D395=0,"",IF($C395="Proteina",SUMIFS(Media_Cliente_Mes!$D$2:$D$145,Media_Cliente_Mes!$A$2:$A$145,$A395,Media_Cliente_Mes!$B$2:$B$145,$B395),IF($C395="Umidade",SUMIFS(Media_Cliente_Mes!$E$2:$E$145,Media_Cliente_Mes!$A$2:$A$145,$A395,Media_Cliente_Mes!$B$2:$B$145,$B395),SUMIFS(Media_Cliente_Mes!$F$2:$F$145,Media_Cliente_Mes!$A$2:$A$145,$A395,Media_Cliente_Mes!$B$2:$B$145,$B395))))</f>
        <v/>
      </c>
      <c r="F395" s="35" t="n">
        <f aca="false">INDEX(Parametros_ANEC73!$C$4:$C$6,MATCH($C395,Parametros_ANEC73!$A$4:$A$6,0))</f>
        <v>48</v>
      </c>
      <c r="G395" s="35" t="str">
        <f aca="false">IF($C395="Proteina",INDEX(Media_Pool_Mes!$C$2:$C$13,MATCH($B395,Media_Pool_Mes!$A$2:$A$13,0)),IF($C395="Umidade",INDEX(Media_Pool_Mes!$D$2:$D$13,MATCH($B395,Media_Pool_Mes!$A$2:$A$13,0)),INDEX(Media_Pool_Mes!$E$2:$E$13,MATCH($B395,Media_Pool_Mes!$A$2:$A$13,0))))</f>
        <v/>
      </c>
      <c r="H395" s="37" t="n">
        <f aca="false">INDEX(Parametros_ANEC73!$B$4:$B$6,MATCH($C395,Parametros_ANEC73!$A$4:$A$6,0))</f>
        <v>-1</v>
      </c>
      <c r="I395" s="38" t="str">
        <f aca="false">IF(OR($D395=0,$G395=""),"",IF($H395*($G395-$F395)&gt;0,$G395,$F395))</f>
        <v/>
      </c>
      <c r="J395" s="27" t="str">
        <f aca="false">IF(OR($D395=0,$G395=""),"",IF($H395*($G395-$F395)&gt;0,"Sim","Nao"))</f>
        <v/>
      </c>
      <c r="K395" s="27" t="str">
        <f aca="false">IF(OR($D395=0,$G395=""),"",IF(AND($H395*($E395-$F395)&gt;0,$H395*($E395-$G395)&gt;0),"Sim","Nao"))</f>
        <v/>
      </c>
      <c r="L395" s="38" t="n">
        <f aca="false">IF(OR($D395=0,$G395=""),0,IF($K395="Sim",MAX(0,$H395*($E395-$I395)),0))</f>
        <v>0</v>
      </c>
      <c r="M395" s="35" t="n">
        <f aca="false">INDEX(Parametros_ANEC73!$G$4:$G$6,MATCH($C395,Parametros_ANEC73!$A$4:$A$6,0))</f>
        <v>47</v>
      </c>
      <c r="N395" s="38" t="n">
        <f aca="false">IF(OR($D395=0,$G395=""),0,IF(AND($K395="Sim",$M395&lt;&gt;""),MAX(0,$H395*($E395-$M395)),0))</f>
        <v>0</v>
      </c>
      <c r="O395" s="35" t="n">
        <f aca="false">INDEX(Parametros_ANEC73!$J$4:$J$6,MATCH($C395,Parametros_ANEC73!$A$4:$A$6,0))</f>
        <v>0</v>
      </c>
      <c r="P395" s="38" t="n">
        <f aca="false">IF(OR($D395=0,$G395=""),0,IF(AND($K395="Sim",$O395&lt;&gt;""),MAX(0,$H395*($E395-$O395)),0))</f>
        <v>0</v>
      </c>
      <c r="Q395" s="35" t="n">
        <f aca="false">INDEX(Parametros_ANEC73!$F$4:$F$6,MATCH($C395,Parametros_ANEC73!$A$4:$A$6,0))</f>
        <v>1</v>
      </c>
      <c r="R395" s="35" t="n">
        <f aca="false">INDEX(Parametros_ANEC73!$I$4:$I$6,MATCH($C395,Parametros_ANEC73!$A$4:$A$6,0))</f>
        <v>2</v>
      </c>
      <c r="S395" s="35" t="n">
        <f aca="false">INDEX(Parametros_ANEC73!$L$4:$L$6,MATCH($C395,Parametros_ANEC73!$A$4:$A$6,0))</f>
        <v>0</v>
      </c>
      <c r="T395" s="39" t="n">
        <f aca="false">INDEX(Parametros_ANEC73!$B$14:$B$25,MATCH($B395,Parametros_ANEC73!$A$14:$A$25,0))</f>
        <v>0</v>
      </c>
      <c r="U395" s="40" t="n">
        <f aca="false">IF(OR($D395=0,$G395=""),0,$D395*($T395/100)*($L395*$Q395+$N395*(IF($R395="",$Q395,$R395)-$Q395)+$P395*(IF($S395="",IF($R395="",$Q395,$R395),$S395)-IF($R395="",$Q395,$R395))))</f>
        <v>0</v>
      </c>
      <c r="V395" s="41" t="str">
        <f aca="false">IF(OR($D395=0,$G395=""),"",IF($H395*($E395-INDEX(Parametros_ANEC73!$M$4:$M$6,MATCH($C395,Parametros_ANEC73!$A$4:$A$6,0)))&gt;0,"Sim","Nao"))</f>
        <v/>
      </c>
      <c r="W395" s="27" t="str">
        <f aca="false">$A395&amp;"|"&amp;$B395&amp;"|"&amp;$C395</f>
        <v>Novo06|Dez|Proteina</v>
      </c>
    </row>
    <row r="396" customFormat="false" ht="15" hidden="false" customHeight="false" outlineLevel="0" collapsed="false">
      <c r="A396" s="27" t="s">
        <v>49</v>
      </c>
      <c r="B396" s="27" t="s">
        <v>69</v>
      </c>
      <c r="C396" s="27" t="s">
        <v>110</v>
      </c>
      <c r="D396" s="34" t="n">
        <f aca="false">SUMIFS(Media_Cliente_Mes!$C$2:$C$145,Media_Cliente_Mes!$A$2:$A$145,$A396,Media_Cliente_Mes!$B$2:$B$145,$B396)</f>
        <v>0</v>
      </c>
      <c r="E396" s="35" t="str">
        <f aca="false">IF($D396=0,"",IF($C396="Proteina",SUMIFS(Media_Cliente_Mes!$D$2:$D$145,Media_Cliente_Mes!$A$2:$A$145,$A396,Media_Cliente_Mes!$B$2:$B$145,$B396),IF($C396="Umidade",SUMIFS(Media_Cliente_Mes!$E$2:$E$145,Media_Cliente_Mes!$A$2:$A$145,$A396,Media_Cliente_Mes!$B$2:$B$145,$B396),SUMIFS(Media_Cliente_Mes!$F$2:$F$145,Media_Cliente_Mes!$A$2:$A$145,$A396,Media_Cliente_Mes!$B$2:$B$145,$B396))))</f>
        <v/>
      </c>
      <c r="F396" s="35" t="n">
        <f aca="false">INDEX(Parametros_ANEC73!$C$4:$C$6,MATCH($C396,Parametros_ANEC73!$A$4:$A$6,0))</f>
        <v>12.5</v>
      </c>
      <c r="G396" s="35" t="str">
        <f aca="false">IF($C396="Proteina",INDEX(Media_Pool_Mes!$C$2:$C$13,MATCH($B396,Media_Pool_Mes!$A$2:$A$13,0)),IF($C396="Umidade",INDEX(Media_Pool_Mes!$D$2:$D$13,MATCH($B396,Media_Pool_Mes!$A$2:$A$13,0)),INDEX(Media_Pool_Mes!$E$2:$E$13,MATCH($B396,Media_Pool_Mes!$A$2:$A$13,0))))</f>
        <v/>
      </c>
      <c r="H396" s="37" t="n">
        <f aca="false">INDEX(Parametros_ANEC73!$B$4:$B$6,MATCH($C396,Parametros_ANEC73!$A$4:$A$6,0))</f>
        <v>1</v>
      </c>
      <c r="I396" s="38" t="str">
        <f aca="false">IF(OR($D396=0,$G396=""),"",IF($H396*($G396-$F396)&gt;0,$G396,$F396))</f>
        <v/>
      </c>
      <c r="J396" s="27" t="str">
        <f aca="false">IF(OR($D396=0,$G396=""),"",IF($H396*($G396-$F396)&gt;0,"Sim","Nao"))</f>
        <v/>
      </c>
      <c r="K396" s="27" t="str">
        <f aca="false">IF(OR($D396=0,$G396=""),"",IF(AND($H396*($E396-$F396)&gt;0,$H396*($E396-$G396)&gt;0),"Sim","Nao"))</f>
        <v/>
      </c>
      <c r="L396" s="38" t="n">
        <f aca="false">IF(OR($D396=0,$G396=""),0,IF($K396="Sim",MAX(0,$H396*($E396-$I396)),0))</f>
        <v>0</v>
      </c>
      <c r="M396" s="35" t="n">
        <f aca="false">INDEX(Parametros_ANEC73!$G$4:$G$6,MATCH($C396,Parametros_ANEC73!$A$4:$A$6,0))</f>
        <v>0</v>
      </c>
      <c r="N396" s="38" t="n">
        <f aca="false">IF(OR($D396=0,$G396=""),0,IF(AND($K396="Sim",$M396&lt;&gt;""),MAX(0,$H396*($E396-$M396)),0))</f>
        <v>0</v>
      </c>
      <c r="O396" s="35" t="n">
        <f aca="false">INDEX(Parametros_ANEC73!$J$4:$J$6,MATCH($C396,Parametros_ANEC73!$A$4:$A$6,0))</f>
        <v>0</v>
      </c>
      <c r="P396" s="38" t="n">
        <f aca="false">IF(OR($D396=0,$G396=""),0,IF(AND($K396="Sim",$O396&lt;&gt;""),MAX(0,$H396*($E396-$O396)),0))</f>
        <v>0</v>
      </c>
      <c r="Q396" s="35" t="n">
        <f aca="false">INDEX(Parametros_ANEC73!$F$4:$F$6,MATCH($C396,Parametros_ANEC73!$A$4:$A$6,0))</f>
        <v>1</v>
      </c>
      <c r="R396" s="35" t="n">
        <f aca="false">INDEX(Parametros_ANEC73!$I$4:$I$6,MATCH($C396,Parametros_ANEC73!$A$4:$A$6,0))</f>
        <v>0</v>
      </c>
      <c r="S396" s="35" t="n">
        <f aca="false">INDEX(Parametros_ANEC73!$L$4:$L$6,MATCH($C396,Parametros_ANEC73!$A$4:$A$6,0))</f>
        <v>0</v>
      </c>
      <c r="T396" s="39" t="n">
        <f aca="false">INDEX(Parametros_ANEC73!$B$14:$B$25,MATCH($B396,Parametros_ANEC73!$A$14:$A$25,0))</f>
        <v>0</v>
      </c>
      <c r="U396" s="40" t="n">
        <f aca="false">IF(OR($D396=0,$G396=""),0,$D396*($T396/100)*($L396*$Q396+$N396*(IF($R396="",$Q396,$R396)-$Q396)+$P396*(IF($S396="",IF($R396="",$Q396,$R396),$S396)-IF($R396="",$Q396,$R396))))</f>
        <v>0</v>
      </c>
      <c r="V396" s="41" t="str">
        <f aca="false">IF(OR($D396=0,$G396=""),"",IF($H396*($E396-INDEX(Parametros_ANEC73!$M$4:$M$6,MATCH($C396,Parametros_ANEC73!$A$4:$A$6,0)))&gt;0,"Sim","Nao"))</f>
        <v/>
      </c>
      <c r="W396" s="27" t="str">
        <f aca="false">$A396&amp;"|"&amp;$B396&amp;"|"&amp;$C396</f>
        <v>Novo06|Dez|Umidade</v>
      </c>
    </row>
    <row r="397" customFormat="false" ht="15" hidden="false" customHeight="false" outlineLevel="0" collapsed="false">
      <c r="A397" s="27" t="s">
        <v>49</v>
      </c>
      <c r="B397" s="27" t="s">
        <v>69</v>
      </c>
      <c r="C397" s="27" t="s">
        <v>111</v>
      </c>
      <c r="D397" s="34" t="n">
        <f aca="false">SUMIFS(Media_Cliente_Mes!$C$2:$C$145,Media_Cliente_Mes!$A$2:$A$145,$A397,Media_Cliente_Mes!$B$2:$B$145,$B397)</f>
        <v>0</v>
      </c>
      <c r="E397" s="35" t="str">
        <f aca="false">IF($D397=0,"",IF($C397="Proteina",SUMIFS(Media_Cliente_Mes!$D$2:$D$145,Media_Cliente_Mes!$A$2:$A$145,$A397,Media_Cliente_Mes!$B$2:$B$145,$B397),IF($C397="Umidade",SUMIFS(Media_Cliente_Mes!$E$2:$E$145,Media_Cliente_Mes!$A$2:$A$145,$A397,Media_Cliente_Mes!$B$2:$B$145,$B397),SUMIFS(Media_Cliente_Mes!$F$2:$F$145,Media_Cliente_Mes!$A$2:$A$145,$A397,Media_Cliente_Mes!$B$2:$B$145,$B397))))</f>
        <v/>
      </c>
      <c r="F397" s="35" t="n">
        <f aca="false">INDEX(Parametros_ANEC73!$C$4:$C$6,MATCH($C397,Parametros_ANEC73!$A$4:$A$6,0))</f>
        <v>3.5</v>
      </c>
      <c r="G397" s="35" t="str">
        <f aca="false">IF($C397="Proteina",INDEX(Media_Pool_Mes!$C$2:$C$13,MATCH($B397,Media_Pool_Mes!$A$2:$A$13,0)),IF($C397="Umidade",INDEX(Media_Pool_Mes!$D$2:$D$13,MATCH($B397,Media_Pool_Mes!$A$2:$A$13,0)),INDEX(Media_Pool_Mes!$E$2:$E$13,MATCH($B397,Media_Pool_Mes!$A$2:$A$13,0))))</f>
        <v/>
      </c>
      <c r="H397" s="37" t="n">
        <f aca="false">INDEX(Parametros_ANEC73!$B$4:$B$6,MATCH($C397,Parametros_ANEC73!$A$4:$A$6,0))</f>
        <v>1</v>
      </c>
      <c r="I397" s="38" t="str">
        <f aca="false">IF(OR($D397=0,$G397=""),"",IF($H397*($G397-$F397)&gt;0,$G397,$F397))</f>
        <v/>
      </c>
      <c r="J397" s="27" t="str">
        <f aca="false">IF(OR($D397=0,$G397=""),"",IF($H397*($G397-$F397)&gt;0,"Sim","Nao"))</f>
        <v/>
      </c>
      <c r="K397" s="27" t="str">
        <f aca="false">IF(OR($D397=0,$G397=""),"",IF(AND($H397*($E397-$F397)&gt;0,$H397*($E397-$G397)&gt;0),"Sim","Nao"))</f>
        <v/>
      </c>
      <c r="L397" s="38" t="n">
        <f aca="false">IF(OR($D397=0,$G397=""),0,IF($K397="Sim",MAX(0,$H397*($E397-$I397)),0))</f>
        <v>0</v>
      </c>
      <c r="M397" s="35" t="n">
        <f aca="false">INDEX(Parametros_ANEC73!$G$4:$G$6,MATCH($C397,Parametros_ANEC73!$A$4:$A$6,0))</f>
        <v>3.8</v>
      </c>
      <c r="N397" s="38" t="n">
        <f aca="false">IF(OR($D397=0,$G397=""),0,IF(AND($K397="Sim",$M397&lt;&gt;""),MAX(0,$H397*($E397-$M397)),0))</f>
        <v>0</v>
      </c>
      <c r="O397" s="35" t="n">
        <f aca="false">INDEX(Parametros_ANEC73!$J$4:$J$6,MATCH($C397,Parametros_ANEC73!$A$4:$A$6,0))</f>
        <v>4</v>
      </c>
      <c r="P397" s="38" t="n">
        <f aca="false">IF(OR($D397=0,$G397=""),0,IF(AND($K397="Sim",$O397&lt;&gt;""),MAX(0,$H397*($E397-$O397)),0))</f>
        <v>0</v>
      </c>
      <c r="Q397" s="35" t="n">
        <f aca="false">INDEX(Parametros_ANEC73!$F$4:$F$6,MATCH($C397,Parametros_ANEC73!$A$4:$A$6,0))</f>
        <v>1</v>
      </c>
      <c r="R397" s="35" t="n">
        <f aca="false">INDEX(Parametros_ANEC73!$I$4:$I$6,MATCH($C397,Parametros_ANEC73!$A$4:$A$6,0))</f>
        <v>1.5</v>
      </c>
      <c r="S397" s="35" t="n">
        <f aca="false">INDEX(Parametros_ANEC73!$L$4:$L$6,MATCH($C397,Parametros_ANEC73!$A$4:$A$6,0))</f>
        <v>2</v>
      </c>
      <c r="T397" s="39" t="n">
        <f aca="false">INDEX(Parametros_ANEC73!$B$14:$B$25,MATCH($B397,Parametros_ANEC73!$A$14:$A$25,0))</f>
        <v>0</v>
      </c>
      <c r="U397" s="40" t="n">
        <f aca="false">IF(OR($D397=0,$G397=""),0,$D397*($T397/100)*($L397*$Q397+$N397*(IF($R397="",$Q397,$R397)-$Q397)+$P397*(IF($S397="",IF($R397="",$Q397,$R397),$S397)-IF($R397="",$Q397,$R397))))</f>
        <v>0</v>
      </c>
      <c r="V397" s="41" t="str">
        <f aca="false">IF(OR($D397=0,$G397=""),"",IF($H397*($E397-INDEX(Parametros_ANEC73!$M$4:$M$6,MATCH($C397,Parametros_ANEC73!$A$4:$A$6,0)))&gt;0,"Sim","Nao"))</f>
        <v/>
      </c>
      <c r="W397" s="27" t="str">
        <f aca="false">$A397&amp;"|"&amp;$B397&amp;"|"&amp;$C397</f>
        <v>Novo06|Dez|Fibra</v>
      </c>
    </row>
    <row r="398" customFormat="false" ht="15" hidden="false" customHeight="false" outlineLevel="0" collapsed="false">
      <c r="A398" s="27" t="s">
        <v>50</v>
      </c>
      <c r="B398" s="27" t="s">
        <v>38</v>
      </c>
      <c r="C398" s="27" t="s">
        <v>109</v>
      </c>
      <c r="D398" s="34" t="n">
        <f aca="false">SUMIFS(Media_Cliente_Mes!$C$2:$C$145,Media_Cliente_Mes!$A$2:$A$145,$A398,Media_Cliente_Mes!$B$2:$B$145,$B398)</f>
        <v>0</v>
      </c>
      <c r="E398" s="35" t="str">
        <f aca="false">IF($D398=0,"",IF($C398="Proteina",SUMIFS(Media_Cliente_Mes!$D$2:$D$145,Media_Cliente_Mes!$A$2:$A$145,$A398,Media_Cliente_Mes!$B$2:$B$145,$B398),IF($C398="Umidade",SUMIFS(Media_Cliente_Mes!$E$2:$E$145,Media_Cliente_Mes!$A$2:$A$145,$A398,Media_Cliente_Mes!$B$2:$B$145,$B398),SUMIFS(Media_Cliente_Mes!$F$2:$F$145,Media_Cliente_Mes!$A$2:$A$145,$A398,Media_Cliente_Mes!$B$2:$B$145,$B398))))</f>
        <v/>
      </c>
      <c r="F398" s="35" t="n">
        <f aca="false">INDEX(Parametros_ANEC73!$C$4:$C$6,MATCH($C398,Parametros_ANEC73!$A$4:$A$6,0))</f>
        <v>48</v>
      </c>
      <c r="G398" s="35" t="n">
        <f aca="false">IF($C398="Proteina",INDEX(Media_Pool_Mes!$C$2:$C$13,MATCH($B398,Media_Pool_Mes!$A$2:$A$13,0)),IF($C398="Umidade",INDEX(Media_Pool_Mes!$D$2:$D$13,MATCH($B398,Media_Pool_Mes!$A$2:$A$13,0)),INDEX(Media_Pool_Mes!$E$2:$E$13,MATCH($B398,Media_Pool_Mes!$A$2:$A$13,0))))</f>
        <v>47.8154367670349</v>
      </c>
      <c r="H398" s="37" t="n">
        <f aca="false">INDEX(Parametros_ANEC73!$B$4:$B$6,MATCH($C398,Parametros_ANEC73!$A$4:$A$6,0))</f>
        <v>-1</v>
      </c>
      <c r="I398" s="38" t="str">
        <f aca="false">IF(OR($D398=0,$G398=""),"",IF($H398*($G398-$F398)&gt;0,$G398,$F398))</f>
        <v/>
      </c>
      <c r="J398" s="27" t="str">
        <f aca="false">IF(OR($D398=0,$G398=""),"",IF($H398*($G398-$F398)&gt;0,"Sim","Nao"))</f>
        <v/>
      </c>
      <c r="K398" s="27" t="str">
        <f aca="false">IF(OR($D398=0,$G398=""),"",IF(AND($H398*($E398-$F398)&gt;0,$H398*($E398-$G398)&gt;0),"Sim","Nao"))</f>
        <v/>
      </c>
      <c r="L398" s="38" t="n">
        <f aca="false">IF(OR($D398=0,$G398=""),0,IF($K398="Sim",MAX(0,$H398*($E398-$I398)),0))</f>
        <v>0</v>
      </c>
      <c r="M398" s="35" t="n">
        <f aca="false">INDEX(Parametros_ANEC73!$G$4:$G$6,MATCH($C398,Parametros_ANEC73!$A$4:$A$6,0))</f>
        <v>47</v>
      </c>
      <c r="N398" s="38" t="n">
        <f aca="false">IF(OR($D398=0,$G398=""),0,IF(AND($K398="Sim",$M398&lt;&gt;""),MAX(0,$H398*($E398-$M398)),0))</f>
        <v>0</v>
      </c>
      <c r="O398" s="35" t="n">
        <f aca="false">INDEX(Parametros_ANEC73!$J$4:$J$6,MATCH($C398,Parametros_ANEC73!$A$4:$A$6,0))</f>
        <v>0</v>
      </c>
      <c r="P398" s="38" t="n">
        <f aca="false">IF(OR($D398=0,$G398=""),0,IF(AND($K398="Sim",$O398&lt;&gt;""),MAX(0,$H398*($E398-$O398)),0))</f>
        <v>0</v>
      </c>
      <c r="Q398" s="35" t="n">
        <f aca="false">INDEX(Parametros_ANEC73!$F$4:$F$6,MATCH($C398,Parametros_ANEC73!$A$4:$A$6,0))</f>
        <v>1</v>
      </c>
      <c r="R398" s="35" t="n">
        <f aca="false">INDEX(Parametros_ANEC73!$I$4:$I$6,MATCH($C398,Parametros_ANEC73!$A$4:$A$6,0))</f>
        <v>2</v>
      </c>
      <c r="S398" s="35" t="n">
        <f aca="false">INDEX(Parametros_ANEC73!$L$4:$L$6,MATCH($C398,Parametros_ANEC73!$A$4:$A$6,0))</f>
        <v>0</v>
      </c>
      <c r="T398" s="39" t="n">
        <f aca="false">INDEX(Parametros_ANEC73!$B$14:$B$25,MATCH($B398,Parametros_ANEC73!$A$14:$A$25,0))</f>
        <v>386</v>
      </c>
      <c r="U398" s="40" t="n">
        <f aca="false">IF(OR($D398=0,$G398=""),0,$D398*($T398/100)*($L398*$Q398+$N398*(IF($R398="",$Q398,$R398)-$Q398)+$P398*(IF($S398="",IF($R398="",$Q398,$R398),$S398)-IF($R398="",$Q398,$R398))))</f>
        <v>0</v>
      </c>
      <c r="V398" s="41" t="str">
        <f aca="false">IF(OR($D398=0,$G398=""),"",IF($H398*($E398-INDEX(Parametros_ANEC73!$M$4:$M$6,MATCH($C398,Parametros_ANEC73!$A$4:$A$6,0)))&gt;0,"Sim","Nao"))</f>
        <v/>
      </c>
      <c r="W398" s="27" t="str">
        <f aca="false">$A398&amp;"|"&amp;$B398&amp;"|"&amp;$C398</f>
        <v>Novo07|Jan|Proteina</v>
      </c>
    </row>
    <row r="399" customFormat="false" ht="15" hidden="false" customHeight="false" outlineLevel="0" collapsed="false">
      <c r="A399" s="27" t="s">
        <v>50</v>
      </c>
      <c r="B399" s="27" t="s">
        <v>38</v>
      </c>
      <c r="C399" s="27" t="s">
        <v>110</v>
      </c>
      <c r="D399" s="34" t="n">
        <f aca="false">SUMIFS(Media_Cliente_Mes!$C$2:$C$145,Media_Cliente_Mes!$A$2:$A$145,$A399,Media_Cliente_Mes!$B$2:$B$145,$B399)</f>
        <v>0</v>
      </c>
      <c r="E399" s="35" t="str">
        <f aca="false">IF($D399=0,"",IF($C399="Proteina",SUMIFS(Media_Cliente_Mes!$D$2:$D$145,Media_Cliente_Mes!$A$2:$A$145,$A399,Media_Cliente_Mes!$B$2:$B$145,$B399),IF($C399="Umidade",SUMIFS(Media_Cliente_Mes!$E$2:$E$145,Media_Cliente_Mes!$A$2:$A$145,$A399,Media_Cliente_Mes!$B$2:$B$145,$B399),SUMIFS(Media_Cliente_Mes!$F$2:$F$145,Media_Cliente_Mes!$A$2:$A$145,$A399,Media_Cliente_Mes!$B$2:$B$145,$B399))))</f>
        <v/>
      </c>
      <c r="F399" s="35" t="n">
        <f aca="false">INDEX(Parametros_ANEC73!$C$4:$C$6,MATCH($C399,Parametros_ANEC73!$A$4:$A$6,0))</f>
        <v>12.5</v>
      </c>
      <c r="G399" s="35" t="n">
        <f aca="false">IF($C399="Proteina",INDEX(Media_Pool_Mes!$C$2:$C$13,MATCH($B399,Media_Pool_Mes!$A$2:$A$13,0)),IF($C399="Umidade",INDEX(Media_Pool_Mes!$D$2:$D$13,MATCH($B399,Media_Pool_Mes!$A$2:$A$13,0)),INDEX(Media_Pool_Mes!$E$2:$E$13,MATCH($B399,Media_Pool_Mes!$A$2:$A$13,0))))</f>
        <v>12.076727887935</v>
      </c>
      <c r="H399" s="37" t="n">
        <f aca="false">INDEX(Parametros_ANEC73!$B$4:$B$6,MATCH($C399,Parametros_ANEC73!$A$4:$A$6,0))</f>
        <v>1</v>
      </c>
      <c r="I399" s="38" t="str">
        <f aca="false">IF(OR($D399=0,$G399=""),"",IF($H399*($G399-$F399)&gt;0,$G399,$F399))</f>
        <v/>
      </c>
      <c r="J399" s="27" t="str">
        <f aca="false">IF(OR($D399=0,$G399=""),"",IF($H399*($G399-$F399)&gt;0,"Sim","Nao"))</f>
        <v/>
      </c>
      <c r="K399" s="27" t="str">
        <f aca="false">IF(OR($D399=0,$G399=""),"",IF(AND($H399*($E399-$F399)&gt;0,$H399*($E399-$G399)&gt;0),"Sim","Nao"))</f>
        <v/>
      </c>
      <c r="L399" s="38" t="n">
        <f aca="false">IF(OR($D399=0,$G399=""),0,IF($K399="Sim",MAX(0,$H399*($E399-$I399)),0))</f>
        <v>0</v>
      </c>
      <c r="M399" s="35" t="n">
        <f aca="false">INDEX(Parametros_ANEC73!$G$4:$G$6,MATCH($C399,Parametros_ANEC73!$A$4:$A$6,0))</f>
        <v>0</v>
      </c>
      <c r="N399" s="38" t="n">
        <f aca="false">IF(OR($D399=0,$G399=""),0,IF(AND($K399="Sim",$M399&lt;&gt;""),MAX(0,$H399*($E399-$M399)),0))</f>
        <v>0</v>
      </c>
      <c r="O399" s="35" t="n">
        <f aca="false">INDEX(Parametros_ANEC73!$J$4:$J$6,MATCH($C399,Parametros_ANEC73!$A$4:$A$6,0))</f>
        <v>0</v>
      </c>
      <c r="P399" s="38" t="n">
        <f aca="false">IF(OR($D399=0,$G399=""),0,IF(AND($K399="Sim",$O399&lt;&gt;""),MAX(0,$H399*($E399-$O399)),0))</f>
        <v>0</v>
      </c>
      <c r="Q399" s="35" t="n">
        <f aca="false">INDEX(Parametros_ANEC73!$F$4:$F$6,MATCH($C399,Parametros_ANEC73!$A$4:$A$6,0))</f>
        <v>1</v>
      </c>
      <c r="R399" s="35" t="n">
        <f aca="false">INDEX(Parametros_ANEC73!$I$4:$I$6,MATCH($C399,Parametros_ANEC73!$A$4:$A$6,0))</f>
        <v>0</v>
      </c>
      <c r="S399" s="35" t="n">
        <f aca="false">INDEX(Parametros_ANEC73!$L$4:$L$6,MATCH($C399,Parametros_ANEC73!$A$4:$A$6,0))</f>
        <v>0</v>
      </c>
      <c r="T399" s="39" t="n">
        <f aca="false">INDEX(Parametros_ANEC73!$B$14:$B$25,MATCH($B399,Parametros_ANEC73!$A$14:$A$25,0))</f>
        <v>386</v>
      </c>
      <c r="U399" s="40" t="n">
        <f aca="false">IF(OR($D399=0,$G399=""),0,$D399*($T399/100)*($L399*$Q399+$N399*(IF($R399="",$Q399,$R399)-$Q399)+$P399*(IF($S399="",IF($R399="",$Q399,$R399),$S399)-IF($R399="",$Q399,$R399))))</f>
        <v>0</v>
      </c>
      <c r="V399" s="41" t="str">
        <f aca="false">IF(OR($D399=0,$G399=""),"",IF($H399*($E399-INDEX(Parametros_ANEC73!$M$4:$M$6,MATCH($C399,Parametros_ANEC73!$A$4:$A$6,0)))&gt;0,"Sim","Nao"))</f>
        <v/>
      </c>
      <c r="W399" s="27" t="str">
        <f aca="false">$A399&amp;"|"&amp;$B399&amp;"|"&amp;$C399</f>
        <v>Novo07|Jan|Umidade</v>
      </c>
    </row>
    <row r="400" customFormat="false" ht="15" hidden="false" customHeight="false" outlineLevel="0" collapsed="false">
      <c r="A400" s="27" t="s">
        <v>50</v>
      </c>
      <c r="B400" s="27" t="s">
        <v>38</v>
      </c>
      <c r="C400" s="27" t="s">
        <v>111</v>
      </c>
      <c r="D400" s="34" t="n">
        <f aca="false">SUMIFS(Media_Cliente_Mes!$C$2:$C$145,Media_Cliente_Mes!$A$2:$A$145,$A400,Media_Cliente_Mes!$B$2:$B$145,$B400)</f>
        <v>0</v>
      </c>
      <c r="E400" s="35" t="str">
        <f aca="false">IF($D400=0,"",IF($C400="Proteina",SUMIFS(Media_Cliente_Mes!$D$2:$D$145,Media_Cliente_Mes!$A$2:$A$145,$A400,Media_Cliente_Mes!$B$2:$B$145,$B400),IF($C400="Umidade",SUMIFS(Media_Cliente_Mes!$E$2:$E$145,Media_Cliente_Mes!$A$2:$A$145,$A400,Media_Cliente_Mes!$B$2:$B$145,$B400),SUMIFS(Media_Cliente_Mes!$F$2:$F$145,Media_Cliente_Mes!$A$2:$A$145,$A400,Media_Cliente_Mes!$B$2:$B$145,$B400))))</f>
        <v/>
      </c>
      <c r="F400" s="35" t="n">
        <f aca="false">INDEX(Parametros_ANEC73!$C$4:$C$6,MATCH($C400,Parametros_ANEC73!$A$4:$A$6,0))</f>
        <v>3.5</v>
      </c>
      <c r="G400" s="35" t="n">
        <f aca="false">IF($C400="Proteina",INDEX(Media_Pool_Mes!$C$2:$C$13,MATCH($B400,Media_Pool_Mes!$A$2:$A$13,0)),IF($C400="Umidade",INDEX(Media_Pool_Mes!$D$2:$D$13,MATCH($B400,Media_Pool_Mes!$A$2:$A$13,0)),INDEX(Media_Pool_Mes!$E$2:$E$13,MATCH($B400,Media_Pool_Mes!$A$2:$A$13,0))))</f>
        <v>3.51752485295922</v>
      </c>
      <c r="H400" s="37" t="n">
        <f aca="false">INDEX(Parametros_ANEC73!$B$4:$B$6,MATCH($C400,Parametros_ANEC73!$A$4:$A$6,0))</f>
        <v>1</v>
      </c>
      <c r="I400" s="38" t="str">
        <f aca="false">IF(OR($D400=0,$G400=""),"",IF($H400*($G400-$F400)&gt;0,$G400,$F400))</f>
        <v/>
      </c>
      <c r="J400" s="27" t="str">
        <f aca="false">IF(OR($D400=0,$G400=""),"",IF($H400*($G400-$F400)&gt;0,"Sim","Nao"))</f>
        <v/>
      </c>
      <c r="K400" s="27" t="str">
        <f aca="false">IF(OR($D400=0,$G400=""),"",IF(AND($H400*($E400-$F400)&gt;0,$H400*($E400-$G400)&gt;0),"Sim","Nao"))</f>
        <v/>
      </c>
      <c r="L400" s="38" t="n">
        <f aca="false">IF(OR($D400=0,$G400=""),0,IF($K400="Sim",MAX(0,$H400*($E400-$I400)),0))</f>
        <v>0</v>
      </c>
      <c r="M400" s="35" t="n">
        <f aca="false">INDEX(Parametros_ANEC73!$G$4:$G$6,MATCH($C400,Parametros_ANEC73!$A$4:$A$6,0))</f>
        <v>3.8</v>
      </c>
      <c r="N400" s="38" t="n">
        <f aca="false">IF(OR($D400=0,$G400=""),0,IF(AND($K400="Sim",$M400&lt;&gt;""),MAX(0,$H400*($E400-$M400)),0))</f>
        <v>0</v>
      </c>
      <c r="O400" s="35" t="n">
        <f aca="false">INDEX(Parametros_ANEC73!$J$4:$J$6,MATCH($C400,Parametros_ANEC73!$A$4:$A$6,0))</f>
        <v>4</v>
      </c>
      <c r="P400" s="38" t="n">
        <f aca="false">IF(OR($D400=0,$G400=""),0,IF(AND($K400="Sim",$O400&lt;&gt;""),MAX(0,$H400*($E400-$O400)),0))</f>
        <v>0</v>
      </c>
      <c r="Q400" s="35" t="n">
        <f aca="false">INDEX(Parametros_ANEC73!$F$4:$F$6,MATCH($C400,Parametros_ANEC73!$A$4:$A$6,0))</f>
        <v>1</v>
      </c>
      <c r="R400" s="35" t="n">
        <f aca="false">INDEX(Parametros_ANEC73!$I$4:$I$6,MATCH($C400,Parametros_ANEC73!$A$4:$A$6,0))</f>
        <v>1.5</v>
      </c>
      <c r="S400" s="35" t="n">
        <f aca="false">INDEX(Parametros_ANEC73!$L$4:$L$6,MATCH($C400,Parametros_ANEC73!$A$4:$A$6,0))</f>
        <v>2</v>
      </c>
      <c r="T400" s="39" t="n">
        <f aca="false">INDEX(Parametros_ANEC73!$B$14:$B$25,MATCH($B400,Parametros_ANEC73!$A$14:$A$25,0))</f>
        <v>386</v>
      </c>
      <c r="U400" s="40" t="n">
        <f aca="false">IF(OR($D400=0,$G400=""),0,$D400*($T400/100)*($L400*$Q400+$N400*(IF($R400="",$Q400,$R400)-$Q400)+$P400*(IF($S400="",IF($R400="",$Q400,$R400),$S400)-IF($R400="",$Q400,$R400))))</f>
        <v>0</v>
      </c>
      <c r="V400" s="41" t="str">
        <f aca="false">IF(OR($D400=0,$G400=""),"",IF($H400*($E400-INDEX(Parametros_ANEC73!$M$4:$M$6,MATCH($C400,Parametros_ANEC73!$A$4:$A$6,0)))&gt;0,"Sim","Nao"))</f>
        <v/>
      </c>
      <c r="W400" s="27" t="str">
        <f aca="false">$A400&amp;"|"&amp;$B400&amp;"|"&amp;$C400</f>
        <v>Novo07|Jan|Fibra</v>
      </c>
    </row>
    <row r="401" customFormat="false" ht="15" hidden="false" customHeight="false" outlineLevel="0" collapsed="false">
      <c r="A401" s="27" t="s">
        <v>50</v>
      </c>
      <c r="B401" s="27" t="s">
        <v>59</v>
      </c>
      <c r="C401" s="27" t="s">
        <v>109</v>
      </c>
      <c r="D401" s="34" t="n">
        <f aca="false">SUMIFS(Media_Cliente_Mes!$C$2:$C$145,Media_Cliente_Mes!$A$2:$A$145,$A401,Media_Cliente_Mes!$B$2:$B$145,$B401)</f>
        <v>0</v>
      </c>
      <c r="E401" s="35" t="str">
        <f aca="false">IF($D401=0,"",IF($C401="Proteina",SUMIFS(Media_Cliente_Mes!$D$2:$D$145,Media_Cliente_Mes!$A$2:$A$145,$A401,Media_Cliente_Mes!$B$2:$B$145,$B401),IF($C401="Umidade",SUMIFS(Media_Cliente_Mes!$E$2:$E$145,Media_Cliente_Mes!$A$2:$A$145,$A401,Media_Cliente_Mes!$B$2:$B$145,$B401),SUMIFS(Media_Cliente_Mes!$F$2:$F$145,Media_Cliente_Mes!$A$2:$A$145,$A401,Media_Cliente_Mes!$B$2:$B$145,$B401))))</f>
        <v/>
      </c>
      <c r="F401" s="35" t="n">
        <f aca="false">INDEX(Parametros_ANEC73!$C$4:$C$6,MATCH($C401,Parametros_ANEC73!$A$4:$A$6,0))</f>
        <v>48</v>
      </c>
      <c r="G401" s="35" t="n">
        <f aca="false">IF($C401="Proteina",INDEX(Media_Pool_Mes!$C$2:$C$13,MATCH($B401,Media_Pool_Mes!$A$2:$A$13,0)),IF($C401="Umidade",INDEX(Media_Pool_Mes!$D$2:$D$13,MATCH($B401,Media_Pool_Mes!$A$2:$A$13,0)),INDEX(Media_Pool_Mes!$E$2:$E$13,MATCH($B401,Media_Pool_Mes!$A$2:$A$13,0))))</f>
        <v>47.3405726705791</v>
      </c>
      <c r="H401" s="37" t="n">
        <f aca="false">INDEX(Parametros_ANEC73!$B$4:$B$6,MATCH($C401,Parametros_ANEC73!$A$4:$A$6,0))</f>
        <v>-1</v>
      </c>
      <c r="I401" s="38" t="str">
        <f aca="false">IF(OR($D401=0,$G401=""),"",IF($H401*($G401-$F401)&gt;0,$G401,$F401))</f>
        <v/>
      </c>
      <c r="J401" s="27" t="str">
        <f aca="false">IF(OR($D401=0,$G401=""),"",IF($H401*($G401-$F401)&gt;0,"Sim","Nao"))</f>
        <v/>
      </c>
      <c r="K401" s="27" t="str">
        <f aca="false">IF(OR($D401=0,$G401=""),"",IF(AND($H401*($E401-$F401)&gt;0,$H401*($E401-$G401)&gt;0),"Sim","Nao"))</f>
        <v/>
      </c>
      <c r="L401" s="38" t="n">
        <f aca="false">IF(OR($D401=0,$G401=""),0,IF($K401="Sim",MAX(0,$H401*($E401-$I401)),0))</f>
        <v>0</v>
      </c>
      <c r="M401" s="35" t="n">
        <f aca="false">INDEX(Parametros_ANEC73!$G$4:$G$6,MATCH($C401,Parametros_ANEC73!$A$4:$A$6,0))</f>
        <v>47</v>
      </c>
      <c r="N401" s="38" t="n">
        <f aca="false">IF(OR($D401=0,$G401=""),0,IF(AND($K401="Sim",$M401&lt;&gt;""),MAX(0,$H401*($E401-$M401)),0))</f>
        <v>0</v>
      </c>
      <c r="O401" s="35" t="n">
        <f aca="false">INDEX(Parametros_ANEC73!$J$4:$J$6,MATCH($C401,Parametros_ANEC73!$A$4:$A$6,0))</f>
        <v>0</v>
      </c>
      <c r="P401" s="38" t="n">
        <f aca="false">IF(OR($D401=0,$G401=""),0,IF(AND($K401="Sim",$O401&lt;&gt;""),MAX(0,$H401*($E401-$O401)),0))</f>
        <v>0</v>
      </c>
      <c r="Q401" s="35" t="n">
        <f aca="false">INDEX(Parametros_ANEC73!$F$4:$F$6,MATCH($C401,Parametros_ANEC73!$A$4:$A$6,0))</f>
        <v>1</v>
      </c>
      <c r="R401" s="35" t="n">
        <f aca="false">INDEX(Parametros_ANEC73!$I$4:$I$6,MATCH($C401,Parametros_ANEC73!$A$4:$A$6,0))</f>
        <v>2</v>
      </c>
      <c r="S401" s="35" t="n">
        <f aca="false">INDEX(Parametros_ANEC73!$L$4:$L$6,MATCH($C401,Parametros_ANEC73!$A$4:$A$6,0))</f>
        <v>0</v>
      </c>
      <c r="T401" s="39" t="n">
        <f aca="false">INDEX(Parametros_ANEC73!$B$14:$B$25,MATCH($B401,Parametros_ANEC73!$A$14:$A$25,0))</f>
        <v>391</v>
      </c>
      <c r="U401" s="40" t="n">
        <f aca="false">IF(OR($D401=0,$G401=""),0,$D401*($T401/100)*($L401*$Q401+$N401*(IF($R401="",$Q401,$R401)-$Q401)+$P401*(IF($S401="",IF($R401="",$Q401,$R401),$S401)-IF($R401="",$Q401,$R401))))</f>
        <v>0</v>
      </c>
      <c r="V401" s="41" t="str">
        <f aca="false">IF(OR($D401=0,$G401=""),"",IF($H401*($E401-INDEX(Parametros_ANEC73!$M$4:$M$6,MATCH($C401,Parametros_ANEC73!$A$4:$A$6,0)))&gt;0,"Sim","Nao"))</f>
        <v/>
      </c>
      <c r="W401" s="27" t="str">
        <f aca="false">$A401&amp;"|"&amp;$B401&amp;"|"&amp;$C401</f>
        <v>Novo07|Fev|Proteina</v>
      </c>
    </row>
    <row r="402" customFormat="false" ht="15" hidden="false" customHeight="false" outlineLevel="0" collapsed="false">
      <c r="A402" s="27" t="s">
        <v>50</v>
      </c>
      <c r="B402" s="27" t="s">
        <v>59</v>
      </c>
      <c r="C402" s="27" t="s">
        <v>110</v>
      </c>
      <c r="D402" s="34" t="n">
        <f aca="false">SUMIFS(Media_Cliente_Mes!$C$2:$C$145,Media_Cliente_Mes!$A$2:$A$145,$A402,Media_Cliente_Mes!$B$2:$B$145,$B402)</f>
        <v>0</v>
      </c>
      <c r="E402" s="35" t="str">
        <f aca="false">IF($D402=0,"",IF($C402="Proteina",SUMIFS(Media_Cliente_Mes!$D$2:$D$145,Media_Cliente_Mes!$A$2:$A$145,$A402,Media_Cliente_Mes!$B$2:$B$145,$B402),IF($C402="Umidade",SUMIFS(Media_Cliente_Mes!$E$2:$E$145,Media_Cliente_Mes!$A$2:$A$145,$A402,Media_Cliente_Mes!$B$2:$B$145,$B402),SUMIFS(Media_Cliente_Mes!$F$2:$F$145,Media_Cliente_Mes!$A$2:$A$145,$A402,Media_Cliente_Mes!$B$2:$B$145,$B402))))</f>
        <v/>
      </c>
      <c r="F402" s="35" t="n">
        <f aca="false">INDEX(Parametros_ANEC73!$C$4:$C$6,MATCH($C402,Parametros_ANEC73!$A$4:$A$6,0))</f>
        <v>12.5</v>
      </c>
      <c r="G402" s="35" t="n">
        <f aca="false">IF($C402="Proteina",INDEX(Media_Pool_Mes!$C$2:$C$13,MATCH($B402,Media_Pool_Mes!$A$2:$A$13,0)),IF($C402="Umidade",INDEX(Media_Pool_Mes!$D$2:$D$13,MATCH($B402,Media_Pool_Mes!$A$2:$A$13,0)),INDEX(Media_Pool_Mes!$E$2:$E$13,MATCH($B402,Media_Pool_Mes!$A$2:$A$13,0))))</f>
        <v>12.2454829634779</v>
      </c>
      <c r="H402" s="37" t="n">
        <f aca="false">INDEX(Parametros_ANEC73!$B$4:$B$6,MATCH($C402,Parametros_ANEC73!$A$4:$A$6,0))</f>
        <v>1</v>
      </c>
      <c r="I402" s="38" t="str">
        <f aca="false">IF(OR($D402=0,$G402=""),"",IF($H402*($G402-$F402)&gt;0,$G402,$F402))</f>
        <v/>
      </c>
      <c r="J402" s="27" t="str">
        <f aca="false">IF(OR($D402=0,$G402=""),"",IF($H402*($G402-$F402)&gt;0,"Sim","Nao"))</f>
        <v/>
      </c>
      <c r="K402" s="27" t="str">
        <f aca="false">IF(OR($D402=0,$G402=""),"",IF(AND($H402*($E402-$F402)&gt;0,$H402*($E402-$G402)&gt;0),"Sim","Nao"))</f>
        <v/>
      </c>
      <c r="L402" s="38" t="n">
        <f aca="false">IF(OR($D402=0,$G402=""),0,IF($K402="Sim",MAX(0,$H402*($E402-$I402)),0))</f>
        <v>0</v>
      </c>
      <c r="M402" s="35" t="n">
        <f aca="false">INDEX(Parametros_ANEC73!$G$4:$G$6,MATCH($C402,Parametros_ANEC73!$A$4:$A$6,0))</f>
        <v>0</v>
      </c>
      <c r="N402" s="38" t="n">
        <f aca="false">IF(OR($D402=0,$G402=""),0,IF(AND($K402="Sim",$M402&lt;&gt;""),MAX(0,$H402*($E402-$M402)),0))</f>
        <v>0</v>
      </c>
      <c r="O402" s="35" t="n">
        <f aca="false">INDEX(Parametros_ANEC73!$J$4:$J$6,MATCH($C402,Parametros_ANEC73!$A$4:$A$6,0))</f>
        <v>0</v>
      </c>
      <c r="P402" s="38" t="n">
        <f aca="false">IF(OR($D402=0,$G402=""),0,IF(AND($K402="Sim",$O402&lt;&gt;""),MAX(0,$H402*($E402-$O402)),0))</f>
        <v>0</v>
      </c>
      <c r="Q402" s="35" t="n">
        <f aca="false">INDEX(Parametros_ANEC73!$F$4:$F$6,MATCH($C402,Parametros_ANEC73!$A$4:$A$6,0))</f>
        <v>1</v>
      </c>
      <c r="R402" s="35" t="n">
        <f aca="false">INDEX(Parametros_ANEC73!$I$4:$I$6,MATCH($C402,Parametros_ANEC73!$A$4:$A$6,0))</f>
        <v>0</v>
      </c>
      <c r="S402" s="35" t="n">
        <f aca="false">INDEX(Parametros_ANEC73!$L$4:$L$6,MATCH($C402,Parametros_ANEC73!$A$4:$A$6,0))</f>
        <v>0</v>
      </c>
      <c r="T402" s="39" t="n">
        <f aca="false">INDEX(Parametros_ANEC73!$B$14:$B$25,MATCH($B402,Parametros_ANEC73!$A$14:$A$25,0))</f>
        <v>391</v>
      </c>
      <c r="U402" s="40" t="n">
        <f aca="false">IF(OR($D402=0,$G402=""),0,$D402*($T402/100)*($L402*$Q402+$N402*(IF($R402="",$Q402,$R402)-$Q402)+$P402*(IF($S402="",IF($R402="",$Q402,$R402),$S402)-IF($R402="",$Q402,$R402))))</f>
        <v>0</v>
      </c>
      <c r="V402" s="41" t="str">
        <f aca="false">IF(OR($D402=0,$G402=""),"",IF($H402*($E402-INDEX(Parametros_ANEC73!$M$4:$M$6,MATCH($C402,Parametros_ANEC73!$A$4:$A$6,0)))&gt;0,"Sim","Nao"))</f>
        <v/>
      </c>
      <c r="W402" s="27" t="str">
        <f aca="false">$A402&amp;"|"&amp;$B402&amp;"|"&amp;$C402</f>
        <v>Novo07|Fev|Umidade</v>
      </c>
    </row>
    <row r="403" customFormat="false" ht="15" hidden="false" customHeight="false" outlineLevel="0" collapsed="false">
      <c r="A403" s="27" t="s">
        <v>50</v>
      </c>
      <c r="B403" s="27" t="s">
        <v>59</v>
      </c>
      <c r="C403" s="27" t="s">
        <v>111</v>
      </c>
      <c r="D403" s="34" t="n">
        <f aca="false">SUMIFS(Media_Cliente_Mes!$C$2:$C$145,Media_Cliente_Mes!$A$2:$A$145,$A403,Media_Cliente_Mes!$B$2:$B$145,$B403)</f>
        <v>0</v>
      </c>
      <c r="E403" s="35" t="str">
        <f aca="false">IF($D403=0,"",IF($C403="Proteina",SUMIFS(Media_Cliente_Mes!$D$2:$D$145,Media_Cliente_Mes!$A$2:$A$145,$A403,Media_Cliente_Mes!$B$2:$B$145,$B403),IF($C403="Umidade",SUMIFS(Media_Cliente_Mes!$E$2:$E$145,Media_Cliente_Mes!$A$2:$A$145,$A403,Media_Cliente_Mes!$B$2:$B$145,$B403),SUMIFS(Media_Cliente_Mes!$F$2:$F$145,Media_Cliente_Mes!$A$2:$A$145,$A403,Media_Cliente_Mes!$B$2:$B$145,$B403))))</f>
        <v/>
      </c>
      <c r="F403" s="35" t="n">
        <f aca="false">INDEX(Parametros_ANEC73!$C$4:$C$6,MATCH($C403,Parametros_ANEC73!$A$4:$A$6,0))</f>
        <v>3.5</v>
      </c>
      <c r="G403" s="35" t="n">
        <f aca="false">IF($C403="Proteina",INDEX(Media_Pool_Mes!$C$2:$C$13,MATCH($B403,Media_Pool_Mes!$A$2:$A$13,0)),IF($C403="Umidade",INDEX(Media_Pool_Mes!$D$2:$D$13,MATCH($B403,Media_Pool_Mes!$A$2:$A$13,0)),INDEX(Media_Pool_Mes!$E$2:$E$13,MATCH($B403,Media_Pool_Mes!$A$2:$A$13,0))))</f>
        <v>3.61845158781616</v>
      </c>
      <c r="H403" s="37" t="n">
        <f aca="false">INDEX(Parametros_ANEC73!$B$4:$B$6,MATCH($C403,Parametros_ANEC73!$A$4:$A$6,0))</f>
        <v>1</v>
      </c>
      <c r="I403" s="38" t="str">
        <f aca="false">IF(OR($D403=0,$G403=""),"",IF($H403*($G403-$F403)&gt;0,$G403,$F403))</f>
        <v/>
      </c>
      <c r="J403" s="27" t="str">
        <f aca="false">IF(OR($D403=0,$G403=""),"",IF($H403*($G403-$F403)&gt;0,"Sim","Nao"))</f>
        <v/>
      </c>
      <c r="K403" s="27" t="str">
        <f aca="false">IF(OR($D403=0,$G403=""),"",IF(AND($H403*($E403-$F403)&gt;0,$H403*($E403-$G403)&gt;0),"Sim","Nao"))</f>
        <v/>
      </c>
      <c r="L403" s="38" t="n">
        <f aca="false">IF(OR($D403=0,$G403=""),0,IF($K403="Sim",MAX(0,$H403*($E403-$I403)),0))</f>
        <v>0</v>
      </c>
      <c r="M403" s="35" t="n">
        <f aca="false">INDEX(Parametros_ANEC73!$G$4:$G$6,MATCH($C403,Parametros_ANEC73!$A$4:$A$6,0))</f>
        <v>3.8</v>
      </c>
      <c r="N403" s="38" t="n">
        <f aca="false">IF(OR($D403=0,$G403=""),0,IF(AND($K403="Sim",$M403&lt;&gt;""),MAX(0,$H403*($E403-$M403)),0))</f>
        <v>0</v>
      </c>
      <c r="O403" s="35" t="n">
        <f aca="false">INDEX(Parametros_ANEC73!$J$4:$J$6,MATCH($C403,Parametros_ANEC73!$A$4:$A$6,0))</f>
        <v>4</v>
      </c>
      <c r="P403" s="38" t="n">
        <f aca="false">IF(OR($D403=0,$G403=""),0,IF(AND($K403="Sim",$O403&lt;&gt;""),MAX(0,$H403*($E403-$O403)),0))</f>
        <v>0</v>
      </c>
      <c r="Q403" s="35" t="n">
        <f aca="false">INDEX(Parametros_ANEC73!$F$4:$F$6,MATCH($C403,Parametros_ANEC73!$A$4:$A$6,0))</f>
        <v>1</v>
      </c>
      <c r="R403" s="35" t="n">
        <f aca="false">INDEX(Parametros_ANEC73!$I$4:$I$6,MATCH($C403,Parametros_ANEC73!$A$4:$A$6,0))</f>
        <v>1.5</v>
      </c>
      <c r="S403" s="35" t="n">
        <f aca="false">INDEX(Parametros_ANEC73!$L$4:$L$6,MATCH($C403,Parametros_ANEC73!$A$4:$A$6,0))</f>
        <v>2</v>
      </c>
      <c r="T403" s="39" t="n">
        <f aca="false">INDEX(Parametros_ANEC73!$B$14:$B$25,MATCH($B403,Parametros_ANEC73!$A$14:$A$25,0))</f>
        <v>391</v>
      </c>
      <c r="U403" s="40" t="n">
        <f aca="false">IF(OR($D403=0,$G403=""),0,$D403*($T403/100)*($L403*$Q403+$N403*(IF($R403="",$Q403,$R403)-$Q403)+$P403*(IF($S403="",IF($R403="",$Q403,$R403),$S403)-IF($R403="",$Q403,$R403))))</f>
        <v>0</v>
      </c>
      <c r="V403" s="41" t="str">
        <f aca="false">IF(OR($D403=0,$G403=""),"",IF($H403*($E403-INDEX(Parametros_ANEC73!$M$4:$M$6,MATCH($C403,Parametros_ANEC73!$A$4:$A$6,0)))&gt;0,"Sim","Nao"))</f>
        <v/>
      </c>
      <c r="W403" s="27" t="str">
        <f aca="false">$A403&amp;"|"&amp;$B403&amp;"|"&amp;$C403</f>
        <v>Novo07|Fev|Fibra</v>
      </c>
    </row>
    <row r="404" customFormat="false" ht="15" hidden="false" customHeight="false" outlineLevel="0" collapsed="false">
      <c r="A404" s="27" t="s">
        <v>50</v>
      </c>
      <c r="B404" s="27" t="s">
        <v>60</v>
      </c>
      <c r="C404" s="27" t="s">
        <v>109</v>
      </c>
      <c r="D404" s="34" t="n">
        <f aca="false">SUMIFS(Media_Cliente_Mes!$C$2:$C$145,Media_Cliente_Mes!$A$2:$A$145,$A404,Media_Cliente_Mes!$B$2:$B$145,$B404)</f>
        <v>0</v>
      </c>
      <c r="E404" s="35" t="str">
        <f aca="false">IF($D404=0,"",IF($C404="Proteina",SUMIFS(Media_Cliente_Mes!$D$2:$D$145,Media_Cliente_Mes!$A$2:$A$145,$A404,Media_Cliente_Mes!$B$2:$B$145,$B404),IF($C404="Umidade",SUMIFS(Media_Cliente_Mes!$E$2:$E$145,Media_Cliente_Mes!$A$2:$A$145,$A404,Media_Cliente_Mes!$B$2:$B$145,$B404),SUMIFS(Media_Cliente_Mes!$F$2:$F$145,Media_Cliente_Mes!$A$2:$A$145,$A404,Media_Cliente_Mes!$B$2:$B$145,$B404))))</f>
        <v/>
      </c>
      <c r="F404" s="35" t="n">
        <f aca="false">INDEX(Parametros_ANEC73!$C$4:$C$6,MATCH($C404,Parametros_ANEC73!$A$4:$A$6,0))</f>
        <v>48</v>
      </c>
      <c r="G404" s="35" t="n">
        <f aca="false">IF($C404="Proteina",INDEX(Media_Pool_Mes!$C$2:$C$13,MATCH($B404,Media_Pool_Mes!$A$2:$A$13,0)),IF($C404="Umidade",INDEX(Media_Pool_Mes!$D$2:$D$13,MATCH($B404,Media_Pool_Mes!$A$2:$A$13,0)),INDEX(Media_Pool_Mes!$E$2:$E$13,MATCH($B404,Media_Pool_Mes!$A$2:$A$13,0))))</f>
        <v>47.332231823374</v>
      </c>
      <c r="H404" s="37" t="n">
        <f aca="false">INDEX(Parametros_ANEC73!$B$4:$B$6,MATCH($C404,Parametros_ANEC73!$A$4:$A$6,0))</f>
        <v>-1</v>
      </c>
      <c r="I404" s="38" t="str">
        <f aca="false">IF(OR($D404=0,$G404=""),"",IF($H404*($G404-$F404)&gt;0,$G404,$F404))</f>
        <v/>
      </c>
      <c r="J404" s="27" t="str">
        <f aca="false">IF(OR($D404=0,$G404=""),"",IF($H404*($G404-$F404)&gt;0,"Sim","Nao"))</f>
        <v/>
      </c>
      <c r="K404" s="27" t="str">
        <f aca="false">IF(OR($D404=0,$G404=""),"",IF(AND($H404*($E404-$F404)&gt;0,$H404*($E404-$G404)&gt;0),"Sim","Nao"))</f>
        <v/>
      </c>
      <c r="L404" s="38" t="n">
        <f aca="false">IF(OR($D404=0,$G404=""),0,IF($K404="Sim",MAX(0,$H404*($E404-$I404)),0))</f>
        <v>0</v>
      </c>
      <c r="M404" s="35" t="n">
        <f aca="false">INDEX(Parametros_ANEC73!$G$4:$G$6,MATCH($C404,Parametros_ANEC73!$A$4:$A$6,0))</f>
        <v>47</v>
      </c>
      <c r="N404" s="38" t="n">
        <f aca="false">IF(OR($D404=0,$G404=""),0,IF(AND($K404="Sim",$M404&lt;&gt;""),MAX(0,$H404*($E404-$M404)),0))</f>
        <v>0</v>
      </c>
      <c r="O404" s="35" t="n">
        <f aca="false">INDEX(Parametros_ANEC73!$J$4:$J$6,MATCH($C404,Parametros_ANEC73!$A$4:$A$6,0))</f>
        <v>0</v>
      </c>
      <c r="P404" s="38" t="n">
        <f aca="false">IF(OR($D404=0,$G404=""),0,IF(AND($K404="Sim",$O404&lt;&gt;""),MAX(0,$H404*($E404-$O404)),0))</f>
        <v>0</v>
      </c>
      <c r="Q404" s="35" t="n">
        <f aca="false">INDEX(Parametros_ANEC73!$F$4:$F$6,MATCH($C404,Parametros_ANEC73!$A$4:$A$6,0))</f>
        <v>1</v>
      </c>
      <c r="R404" s="35" t="n">
        <f aca="false">INDEX(Parametros_ANEC73!$I$4:$I$6,MATCH($C404,Parametros_ANEC73!$A$4:$A$6,0))</f>
        <v>2</v>
      </c>
      <c r="S404" s="35" t="n">
        <f aca="false">INDEX(Parametros_ANEC73!$L$4:$L$6,MATCH($C404,Parametros_ANEC73!$A$4:$A$6,0))</f>
        <v>0</v>
      </c>
      <c r="T404" s="39" t="n">
        <f aca="false">INDEX(Parametros_ANEC73!$B$14:$B$25,MATCH($B404,Parametros_ANEC73!$A$14:$A$25,0))</f>
        <v>404</v>
      </c>
      <c r="U404" s="40" t="n">
        <f aca="false">IF(OR($D404=0,$G404=""),0,$D404*($T404/100)*($L404*$Q404+$N404*(IF($R404="",$Q404,$R404)-$Q404)+$P404*(IF($S404="",IF($R404="",$Q404,$R404),$S404)-IF($R404="",$Q404,$R404))))</f>
        <v>0</v>
      </c>
      <c r="V404" s="41" t="str">
        <f aca="false">IF(OR($D404=0,$G404=""),"",IF($H404*($E404-INDEX(Parametros_ANEC73!$M$4:$M$6,MATCH($C404,Parametros_ANEC73!$A$4:$A$6,0)))&gt;0,"Sim","Nao"))</f>
        <v/>
      </c>
      <c r="W404" s="27" t="str">
        <f aca="false">$A404&amp;"|"&amp;$B404&amp;"|"&amp;$C404</f>
        <v>Novo07|Mar|Proteina</v>
      </c>
    </row>
    <row r="405" customFormat="false" ht="15" hidden="false" customHeight="false" outlineLevel="0" collapsed="false">
      <c r="A405" s="27" t="s">
        <v>50</v>
      </c>
      <c r="B405" s="27" t="s">
        <v>60</v>
      </c>
      <c r="C405" s="27" t="s">
        <v>110</v>
      </c>
      <c r="D405" s="34" t="n">
        <f aca="false">SUMIFS(Media_Cliente_Mes!$C$2:$C$145,Media_Cliente_Mes!$A$2:$A$145,$A405,Media_Cliente_Mes!$B$2:$B$145,$B405)</f>
        <v>0</v>
      </c>
      <c r="E405" s="35" t="str">
        <f aca="false">IF($D405=0,"",IF($C405="Proteina",SUMIFS(Media_Cliente_Mes!$D$2:$D$145,Media_Cliente_Mes!$A$2:$A$145,$A405,Media_Cliente_Mes!$B$2:$B$145,$B405),IF($C405="Umidade",SUMIFS(Media_Cliente_Mes!$E$2:$E$145,Media_Cliente_Mes!$A$2:$A$145,$A405,Media_Cliente_Mes!$B$2:$B$145,$B405),SUMIFS(Media_Cliente_Mes!$F$2:$F$145,Media_Cliente_Mes!$A$2:$A$145,$A405,Media_Cliente_Mes!$B$2:$B$145,$B405))))</f>
        <v/>
      </c>
      <c r="F405" s="35" t="n">
        <f aca="false">INDEX(Parametros_ANEC73!$C$4:$C$6,MATCH($C405,Parametros_ANEC73!$A$4:$A$6,0))</f>
        <v>12.5</v>
      </c>
      <c r="G405" s="35" t="n">
        <f aca="false">IF($C405="Proteina",INDEX(Media_Pool_Mes!$C$2:$C$13,MATCH($B405,Media_Pool_Mes!$A$2:$A$13,0)),IF($C405="Umidade",INDEX(Media_Pool_Mes!$D$2:$D$13,MATCH($B405,Media_Pool_Mes!$A$2:$A$13,0)),INDEX(Media_Pool_Mes!$E$2:$E$13,MATCH($B405,Media_Pool_Mes!$A$2:$A$13,0))))</f>
        <v>12.1740859181947</v>
      </c>
      <c r="H405" s="37" t="n">
        <f aca="false">INDEX(Parametros_ANEC73!$B$4:$B$6,MATCH($C405,Parametros_ANEC73!$A$4:$A$6,0))</f>
        <v>1</v>
      </c>
      <c r="I405" s="38" t="str">
        <f aca="false">IF(OR($D405=0,$G405=""),"",IF($H405*($G405-$F405)&gt;0,$G405,$F405))</f>
        <v/>
      </c>
      <c r="J405" s="27" t="str">
        <f aca="false">IF(OR($D405=0,$G405=""),"",IF($H405*($G405-$F405)&gt;0,"Sim","Nao"))</f>
        <v/>
      </c>
      <c r="K405" s="27" t="str">
        <f aca="false">IF(OR($D405=0,$G405=""),"",IF(AND($H405*($E405-$F405)&gt;0,$H405*($E405-$G405)&gt;0),"Sim","Nao"))</f>
        <v/>
      </c>
      <c r="L405" s="38" t="n">
        <f aca="false">IF(OR($D405=0,$G405=""),0,IF($K405="Sim",MAX(0,$H405*($E405-$I405)),0))</f>
        <v>0</v>
      </c>
      <c r="M405" s="35" t="n">
        <f aca="false">INDEX(Parametros_ANEC73!$G$4:$G$6,MATCH($C405,Parametros_ANEC73!$A$4:$A$6,0))</f>
        <v>0</v>
      </c>
      <c r="N405" s="38" t="n">
        <f aca="false">IF(OR($D405=0,$G405=""),0,IF(AND($K405="Sim",$M405&lt;&gt;""),MAX(0,$H405*($E405-$M405)),0))</f>
        <v>0</v>
      </c>
      <c r="O405" s="35" t="n">
        <f aca="false">INDEX(Parametros_ANEC73!$J$4:$J$6,MATCH($C405,Parametros_ANEC73!$A$4:$A$6,0))</f>
        <v>0</v>
      </c>
      <c r="P405" s="38" t="n">
        <f aca="false">IF(OR($D405=0,$G405=""),0,IF(AND($K405="Sim",$O405&lt;&gt;""),MAX(0,$H405*($E405-$O405)),0))</f>
        <v>0</v>
      </c>
      <c r="Q405" s="35" t="n">
        <f aca="false">INDEX(Parametros_ANEC73!$F$4:$F$6,MATCH($C405,Parametros_ANEC73!$A$4:$A$6,0))</f>
        <v>1</v>
      </c>
      <c r="R405" s="35" t="n">
        <f aca="false">INDEX(Parametros_ANEC73!$I$4:$I$6,MATCH($C405,Parametros_ANEC73!$A$4:$A$6,0))</f>
        <v>0</v>
      </c>
      <c r="S405" s="35" t="n">
        <f aca="false">INDEX(Parametros_ANEC73!$L$4:$L$6,MATCH($C405,Parametros_ANEC73!$A$4:$A$6,0))</f>
        <v>0</v>
      </c>
      <c r="T405" s="39" t="n">
        <f aca="false">INDEX(Parametros_ANEC73!$B$14:$B$25,MATCH($B405,Parametros_ANEC73!$A$14:$A$25,0))</f>
        <v>404</v>
      </c>
      <c r="U405" s="40" t="n">
        <f aca="false">IF(OR($D405=0,$G405=""),0,$D405*($T405/100)*($L405*$Q405+$N405*(IF($R405="",$Q405,$R405)-$Q405)+$P405*(IF($S405="",IF($R405="",$Q405,$R405),$S405)-IF($R405="",$Q405,$R405))))</f>
        <v>0</v>
      </c>
      <c r="V405" s="41" t="str">
        <f aca="false">IF(OR($D405=0,$G405=""),"",IF($H405*($E405-INDEX(Parametros_ANEC73!$M$4:$M$6,MATCH($C405,Parametros_ANEC73!$A$4:$A$6,0)))&gt;0,"Sim","Nao"))</f>
        <v/>
      </c>
      <c r="W405" s="27" t="str">
        <f aca="false">$A405&amp;"|"&amp;$B405&amp;"|"&amp;$C405</f>
        <v>Novo07|Mar|Umidade</v>
      </c>
    </row>
    <row r="406" customFormat="false" ht="15" hidden="false" customHeight="false" outlineLevel="0" collapsed="false">
      <c r="A406" s="27" t="s">
        <v>50</v>
      </c>
      <c r="B406" s="27" t="s">
        <v>60</v>
      </c>
      <c r="C406" s="27" t="s">
        <v>111</v>
      </c>
      <c r="D406" s="34" t="n">
        <f aca="false">SUMIFS(Media_Cliente_Mes!$C$2:$C$145,Media_Cliente_Mes!$A$2:$A$145,$A406,Media_Cliente_Mes!$B$2:$B$145,$B406)</f>
        <v>0</v>
      </c>
      <c r="E406" s="35" t="str">
        <f aca="false">IF($D406=0,"",IF($C406="Proteina",SUMIFS(Media_Cliente_Mes!$D$2:$D$145,Media_Cliente_Mes!$A$2:$A$145,$A406,Media_Cliente_Mes!$B$2:$B$145,$B406),IF($C406="Umidade",SUMIFS(Media_Cliente_Mes!$E$2:$E$145,Media_Cliente_Mes!$A$2:$A$145,$A406,Media_Cliente_Mes!$B$2:$B$145,$B406),SUMIFS(Media_Cliente_Mes!$F$2:$F$145,Media_Cliente_Mes!$A$2:$A$145,$A406,Media_Cliente_Mes!$B$2:$B$145,$B406))))</f>
        <v/>
      </c>
      <c r="F406" s="35" t="n">
        <f aca="false">INDEX(Parametros_ANEC73!$C$4:$C$6,MATCH($C406,Parametros_ANEC73!$A$4:$A$6,0))</f>
        <v>3.5</v>
      </c>
      <c r="G406" s="35" t="n">
        <f aca="false">IF($C406="Proteina",INDEX(Media_Pool_Mes!$C$2:$C$13,MATCH($B406,Media_Pool_Mes!$A$2:$A$13,0)),IF($C406="Umidade",INDEX(Media_Pool_Mes!$D$2:$D$13,MATCH($B406,Media_Pool_Mes!$A$2:$A$13,0)),INDEX(Media_Pool_Mes!$E$2:$E$13,MATCH($B406,Media_Pool_Mes!$A$2:$A$13,0))))</f>
        <v>3.70596068520473</v>
      </c>
      <c r="H406" s="37" t="n">
        <f aca="false">INDEX(Parametros_ANEC73!$B$4:$B$6,MATCH($C406,Parametros_ANEC73!$A$4:$A$6,0))</f>
        <v>1</v>
      </c>
      <c r="I406" s="38" t="str">
        <f aca="false">IF(OR($D406=0,$G406=""),"",IF($H406*($G406-$F406)&gt;0,$G406,$F406))</f>
        <v/>
      </c>
      <c r="J406" s="27" t="str">
        <f aca="false">IF(OR($D406=0,$G406=""),"",IF($H406*($G406-$F406)&gt;0,"Sim","Nao"))</f>
        <v/>
      </c>
      <c r="K406" s="27" t="str">
        <f aca="false">IF(OR($D406=0,$G406=""),"",IF(AND($H406*($E406-$F406)&gt;0,$H406*($E406-$G406)&gt;0),"Sim","Nao"))</f>
        <v/>
      </c>
      <c r="L406" s="38" t="n">
        <f aca="false">IF(OR($D406=0,$G406=""),0,IF($K406="Sim",MAX(0,$H406*($E406-$I406)),0))</f>
        <v>0</v>
      </c>
      <c r="M406" s="35" t="n">
        <f aca="false">INDEX(Parametros_ANEC73!$G$4:$G$6,MATCH($C406,Parametros_ANEC73!$A$4:$A$6,0))</f>
        <v>3.8</v>
      </c>
      <c r="N406" s="38" t="n">
        <f aca="false">IF(OR($D406=0,$G406=""),0,IF(AND($K406="Sim",$M406&lt;&gt;""),MAX(0,$H406*($E406-$M406)),0))</f>
        <v>0</v>
      </c>
      <c r="O406" s="35" t="n">
        <f aca="false">INDEX(Parametros_ANEC73!$J$4:$J$6,MATCH($C406,Parametros_ANEC73!$A$4:$A$6,0))</f>
        <v>4</v>
      </c>
      <c r="P406" s="38" t="n">
        <f aca="false">IF(OR($D406=0,$G406=""),0,IF(AND($K406="Sim",$O406&lt;&gt;""),MAX(0,$H406*($E406-$O406)),0))</f>
        <v>0</v>
      </c>
      <c r="Q406" s="35" t="n">
        <f aca="false">INDEX(Parametros_ANEC73!$F$4:$F$6,MATCH($C406,Parametros_ANEC73!$A$4:$A$6,0))</f>
        <v>1</v>
      </c>
      <c r="R406" s="35" t="n">
        <f aca="false">INDEX(Parametros_ANEC73!$I$4:$I$6,MATCH($C406,Parametros_ANEC73!$A$4:$A$6,0))</f>
        <v>1.5</v>
      </c>
      <c r="S406" s="35" t="n">
        <f aca="false">INDEX(Parametros_ANEC73!$L$4:$L$6,MATCH($C406,Parametros_ANEC73!$A$4:$A$6,0))</f>
        <v>2</v>
      </c>
      <c r="T406" s="39" t="n">
        <f aca="false">INDEX(Parametros_ANEC73!$B$14:$B$25,MATCH($B406,Parametros_ANEC73!$A$14:$A$25,0))</f>
        <v>404</v>
      </c>
      <c r="U406" s="40" t="n">
        <f aca="false">IF(OR($D406=0,$G406=""),0,$D406*($T406/100)*($L406*$Q406+$N406*(IF($R406="",$Q406,$R406)-$Q406)+$P406*(IF($S406="",IF($R406="",$Q406,$R406),$S406)-IF($R406="",$Q406,$R406))))</f>
        <v>0</v>
      </c>
      <c r="V406" s="41" t="str">
        <f aca="false">IF(OR($D406=0,$G406=""),"",IF($H406*($E406-INDEX(Parametros_ANEC73!$M$4:$M$6,MATCH($C406,Parametros_ANEC73!$A$4:$A$6,0)))&gt;0,"Sim","Nao"))</f>
        <v/>
      </c>
      <c r="W406" s="27" t="str">
        <f aca="false">$A406&amp;"|"&amp;$B406&amp;"|"&amp;$C406</f>
        <v>Novo07|Mar|Fibra</v>
      </c>
    </row>
    <row r="407" customFormat="false" ht="15" hidden="false" customHeight="false" outlineLevel="0" collapsed="false">
      <c r="A407" s="27" t="s">
        <v>50</v>
      </c>
      <c r="B407" s="27" t="s">
        <v>61</v>
      </c>
      <c r="C407" s="27" t="s">
        <v>109</v>
      </c>
      <c r="D407" s="34" t="n">
        <f aca="false">SUMIFS(Media_Cliente_Mes!$C$2:$C$145,Media_Cliente_Mes!$A$2:$A$145,$A407,Media_Cliente_Mes!$B$2:$B$145,$B407)</f>
        <v>0</v>
      </c>
      <c r="E407" s="35" t="str">
        <f aca="false">IF($D407=0,"",IF($C407="Proteina",SUMIFS(Media_Cliente_Mes!$D$2:$D$145,Media_Cliente_Mes!$A$2:$A$145,$A407,Media_Cliente_Mes!$B$2:$B$145,$B407),IF($C407="Umidade",SUMIFS(Media_Cliente_Mes!$E$2:$E$145,Media_Cliente_Mes!$A$2:$A$145,$A407,Media_Cliente_Mes!$B$2:$B$145,$B407),SUMIFS(Media_Cliente_Mes!$F$2:$F$145,Media_Cliente_Mes!$A$2:$A$145,$A407,Media_Cliente_Mes!$B$2:$B$145,$B407))))</f>
        <v/>
      </c>
      <c r="F407" s="35" t="n">
        <f aca="false">INDEX(Parametros_ANEC73!$C$4:$C$6,MATCH($C407,Parametros_ANEC73!$A$4:$A$6,0))</f>
        <v>48</v>
      </c>
      <c r="G407" s="35" t="n">
        <f aca="false">IF($C407="Proteina",INDEX(Media_Pool_Mes!$C$2:$C$13,MATCH($B407,Media_Pool_Mes!$A$2:$A$13,0)),IF($C407="Umidade",INDEX(Media_Pool_Mes!$D$2:$D$13,MATCH($B407,Media_Pool_Mes!$A$2:$A$13,0)),INDEX(Media_Pool_Mes!$E$2:$E$13,MATCH($B407,Media_Pool_Mes!$A$2:$A$13,0))))</f>
        <v>47.5395057496784</v>
      </c>
      <c r="H407" s="37" t="n">
        <f aca="false">INDEX(Parametros_ANEC73!$B$4:$B$6,MATCH($C407,Parametros_ANEC73!$A$4:$A$6,0))</f>
        <v>-1</v>
      </c>
      <c r="I407" s="38" t="str">
        <f aca="false">IF(OR($D407=0,$G407=""),"",IF($H407*($G407-$F407)&gt;0,$G407,$F407))</f>
        <v/>
      </c>
      <c r="J407" s="27" t="str">
        <f aca="false">IF(OR($D407=0,$G407=""),"",IF($H407*($G407-$F407)&gt;0,"Sim","Nao"))</f>
        <v/>
      </c>
      <c r="K407" s="27" t="str">
        <f aca="false">IF(OR($D407=0,$G407=""),"",IF(AND($H407*($E407-$F407)&gt;0,$H407*($E407-$G407)&gt;0),"Sim","Nao"))</f>
        <v/>
      </c>
      <c r="L407" s="38" t="n">
        <f aca="false">IF(OR($D407=0,$G407=""),0,IF($K407="Sim",MAX(0,$H407*($E407-$I407)),0))</f>
        <v>0</v>
      </c>
      <c r="M407" s="35" t="n">
        <f aca="false">INDEX(Parametros_ANEC73!$G$4:$G$6,MATCH($C407,Parametros_ANEC73!$A$4:$A$6,0))</f>
        <v>47</v>
      </c>
      <c r="N407" s="38" t="n">
        <f aca="false">IF(OR($D407=0,$G407=""),0,IF(AND($K407="Sim",$M407&lt;&gt;""),MAX(0,$H407*($E407-$M407)),0))</f>
        <v>0</v>
      </c>
      <c r="O407" s="35" t="n">
        <f aca="false">INDEX(Parametros_ANEC73!$J$4:$J$6,MATCH($C407,Parametros_ANEC73!$A$4:$A$6,0))</f>
        <v>0</v>
      </c>
      <c r="P407" s="38" t="n">
        <f aca="false">IF(OR($D407=0,$G407=""),0,IF(AND($K407="Sim",$O407&lt;&gt;""),MAX(0,$H407*($E407-$O407)),0))</f>
        <v>0</v>
      </c>
      <c r="Q407" s="35" t="n">
        <f aca="false">INDEX(Parametros_ANEC73!$F$4:$F$6,MATCH($C407,Parametros_ANEC73!$A$4:$A$6,0))</f>
        <v>1</v>
      </c>
      <c r="R407" s="35" t="n">
        <f aca="false">INDEX(Parametros_ANEC73!$I$4:$I$6,MATCH($C407,Parametros_ANEC73!$A$4:$A$6,0))</f>
        <v>2</v>
      </c>
      <c r="S407" s="35" t="n">
        <f aca="false">INDEX(Parametros_ANEC73!$L$4:$L$6,MATCH($C407,Parametros_ANEC73!$A$4:$A$6,0))</f>
        <v>0</v>
      </c>
      <c r="T407" s="39" t="n">
        <f aca="false">INDEX(Parametros_ANEC73!$B$14:$B$25,MATCH($B407,Parametros_ANEC73!$A$14:$A$25,0))</f>
        <v>415</v>
      </c>
      <c r="U407" s="40" t="n">
        <f aca="false">IF(OR($D407=0,$G407=""),0,$D407*($T407/100)*($L407*$Q407+$N407*(IF($R407="",$Q407,$R407)-$Q407)+$P407*(IF($S407="",IF($R407="",$Q407,$R407),$S407)-IF($R407="",$Q407,$R407))))</f>
        <v>0</v>
      </c>
      <c r="V407" s="41" t="str">
        <f aca="false">IF(OR($D407=0,$G407=""),"",IF($H407*($E407-INDEX(Parametros_ANEC73!$M$4:$M$6,MATCH($C407,Parametros_ANEC73!$A$4:$A$6,0)))&gt;0,"Sim","Nao"))</f>
        <v/>
      </c>
      <c r="W407" s="27" t="str">
        <f aca="false">$A407&amp;"|"&amp;$B407&amp;"|"&amp;$C407</f>
        <v>Novo07|Abr|Proteina</v>
      </c>
    </row>
    <row r="408" customFormat="false" ht="15" hidden="false" customHeight="false" outlineLevel="0" collapsed="false">
      <c r="A408" s="27" t="s">
        <v>50</v>
      </c>
      <c r="B408" s="27" t="s">
        <v>61</v>
      </c>
      <c r="C408" s="27" t="s">
        <v>110</v>
      </c>
      <c r="D408" s="34" t="n">
        <f aca="false">SUMIFS(Media_Cliente_Mes!$C$2:$C$145,Media_Cliente_Mes!$A$2:$A$145,$A408,Media_Cliente_Mes!$B$2:$B$145,$B408)</f>
        <v>0</v>
      </c>
      <c r="E408" s="35" t="str">
        <f aca="false">IF($D408=0,"",IF($C408="Proteina",SUMIFS(Media_Cliente_Mes!$D$2:$D$145,Media_Cliente_Mes!$A$2:$A$145,$A408,Media_Cliente_Mes!$B$2:$B$145,$B408),IF($C408="Umidade",SUMIFS(Media_Cliente_Mes!$E$2:$E$145,Media_Cliente_Mes!$A$2:$A$145,$A408,Media_Cliente_Mes!$B$2:$B$145,$B408),SUMIFS(Media_Cliente_Mes!$F$2:$F$145,Media_Cliente_Mes!$A$2:$A$145,$A408,Media_Cliente_Mes!$B$2:$B$145,$B408))))</f>
        <v/>
      </c>
      <c r="F408" s="35" t="n">
        <f aca="false">INDEX(Parametros_ANEC73!$C$4:$C$6,MATCH($C408,Parametros_ANEC73!$A$4:$A$6,0))</f>
        <v>12.5</v>
      </c>
      <c r="G408" s="35" t="n">
        <f aca="false">IF($C408="Proteina",INDEX(Media_Pool_Mes!$C$2:$C$13,MATCH($B408,Media_Pool_Mes!$A$2:$A$13,0)),IF($C408="Umidade",INDEX(Media_Pool_Mes!$D$2:$D$13,MATCH($B408,Media_Pool_Mes!$A$2:$A$13,0)),INDEX(Media_Pool_Mes!$E$2:$E$13,MATCH($B408,Media_Pool_Mes!$A$2:$A$13,0))))</f>
        <v>12.3606134360148</v>
      </c>
      <c r="H408" s="37" t="n">
        <f aca="false">INDEX(Parametros_ANEC73!$B$4:$B$6,MATCH($C408,Parametros_ANEC73!$A$4:$A$6,0))</f>
        <v>1</v>
      </c>
      <c r="I408" s="38" t="str">
        <f aca="false">IF(OR($D408=0,$G408=""),"",IF($H408*($G408-$F408)&gt;0,$G408,$F408))</f>
        <v/>
      </c>
      <c r="J408" s="27" t="str">
        <f aca="false">IF(OR($D408=0,$G408=""),"",IF($H408*($G408-$F408)&gt;0,"Sim","Nao"))</f>
        <v/>
      </c>
      <c r="K408" s="27" t="str">
        <f aca="false">IF(OR($D408=0,$G408=""),"",IF(AND($H408*($E408-$F408)&gt;0,$H408*($E408-$G408)&gt;0),"Sim","Nao"))</f>
        <v/>
      </c>
      <c r="L408" s="38" t="n">
        <f aca="false">IF(OR($D408=0,$G408=""),0,IF($K408="Sim",MAX(0,$H408*($E408-$I408)),0))</f>
        <v>0</v>
      </c>
      <c r="M408" s="35" t="n">
        <f aca="false">INDEX(Parametros_ANEC73!$G$4:$G$6,MATCH($C408,Parametros_ANEC73!$A$4:$A$6,0))</f>
        <v>0</v>
      </c>
      <c r="N408" s="38" t="n">
        <f aca="false">IF(OR($D408=0,$G408=""),0,IF(AND($K408="Sim",$M408&lt;&gt;""),MAX(0,$H408*($E408-$M408)),0))</f>
        <v>0</v>
      </c>
      <c r="O408" s="35" t="n">
        <f aca="false">INDEX(Parametros_ANEC73!$J$4:$J$6,MATCH($C408,Parametros_ANEC73!$A$4:$A$6,0))</f>
        <v>0</v>
      </c>
      <c r="P408" s="38" t="n">
        <f aca="false">IF(OR($D408=0,$G408=""),0,IF(AND($K408="Sim",$O408&lt;&gt;""),MAX(0,$H408*($E408-$O408)),0))</f>
        <v>0</v>
      </c>
      <c r="Q408" s="35" t="n">
        <f aca="false">INDEX(Parametros_ANEC73!$F$4:$F$6,MATCH($C408,Parametros_ANEC73!$A$4:$A$6,0))</f>
        <v>1</v>
      </c>
      <c r="R408" s="35" t="n">
        <f aca="false">INDEX(Parametros_ANEC73!$I$4:$I$6,MATCH($C408,Parametros_ANEC73!$A$4:$A$6,0))</f>
        <v>0</v>
      </c>
      <c r="S408" s="35" t="n">
        <f aca="false">INDEX(Parametros_ANEC73!$L$4:$L$6,MATCH($C408,Parametros_ANEC73!$A$4:$A$6,0))</f>
        <v>0</v>
      </c>
      <c r="T408" s="39" t="n">
        <f aca="false">INDEX(Parametros_ANEC73!$B$14:$B$25,MATCH($B408,Parametros_ANEC73!$A$14:$A$25,0))</f>
        <v>415</v>
      </c>
      <c r="U408" s="40" t="n">
        <f aca="false">IF(OR($D408=0,$G408=""),0,$D408*($T408/100)*($L408*$Q408+$N408*(IF($R408="",$Q408,$R408)-$Q408)+$P408*(IF($S408="",IF($R408="",$Q408,$R408),$S408)-IF($R408="",$Q408,$R408))))</f>
        <v>0</v>
      </c>
      <c r="V408" s="41" t="str">
        <f aca="false">IF(OR($D408=0,$G408=""),"",IF($H408*($E408-INDEX(Parametros_ANEC73!$M$4:$M$6,MATCH($C408,Parametros_ANEC73!$A$4:$A$6,0)))&gt;0,"Sim","Nao"))</f>
        <v/>
      </c>
      <c r="W408" s="27" t="str">
        <f aca="false">$A408&amp;"|"&amp;$B408&amp;"|"&amp;$C408</f>
        <v>Novo07|Abr|Umidade</v>
      </c>
    </row>
    <row r="409" customFormat="false" ht="15" hidden="false" customHeight="false" outlineLevel="0" collapsed="false">
      <c r="A409" s="27" t="s">
        <v>50</v>
      </c>
      <c r="B409" s="27" t="s">
        <v>61</v>
      </c>
      <c r="C409" s="27" t="s">
        <v>111</v>
      </c>
      <c r="D409" s="34" t="n">
        <f aca="false">SUMIFS(Media_Cliente_Mes!$C$2:$C$145,Media_Cliente_Mes!$A$2:$A$145,$A409,Media_Cliente_Mes!$B$2:$B$145,$B409)</f>
        <v>0</v>
      </c>
      <c r="E409" s="35" t="str">
        <f aca="false">IF($D409=0,"",IF($C409="Proteina",SUMIFS(Media_Cliente_Mes!$D$2:$D$145,Media_Cliente_Mes!$A$2:$A$145,$A409,Media_Cliente_Mes!$B$2:$B$145,$B409),IF($C409="Umidade",SUMIFS(Media_Cliente_Mes!$E$2:$E$145,Media_Cliente_Mes!$A$2:$A$145,$A409,Media_Cliente_Mes!$B$2:$B$145,$B409),SUMIFS(Media_Cliente_Mes!$F$2:$F$145,Media_Cliente_Mes!$A$2:$A$145,$A409,Media_Cliente_Mes!$B$2:$B$145,$B409))))</f>
        <v/>
      </c>
      <c r="F409" s="35" t="n">
        <f aca="false">INDEX(Parametros_ANEC73!$C$4:$C$6,MATCH($C409,Parametros_ANEC73!$A$4:$A$6,0))</f>
        <v>3.5</v>
      </c>
      <c r="G409" s="35" t="n">
        <f aca="false">IF($C409="Proteina",INDEX(Media_Pool_Mes!$C$2:$C$13,MATCH($B409,Media_Pool_Mes!$A$2:$A$13,0)),IF($C409="Umidade",INDEX(Media_Pool_Mes!$D$2:$D$13,MATCH($B409,Media_Pool_Mes!$A$2:$A$13,0)),INDEX(Media_Pool_Mes!$E$2:$E$13,MATCH($B409,Media_Pool_Mes!$A$2:$A$13,0))))</f>
        <v>3.66155636815217</v>
      </c>
      <c r="H409" s="37" t="n">
        <f aca="false">INDEX(Parametros_ANEC73!$B$4:$B$6,MATCH($C409,Parametros_ANEC73!$A$4:$A$6,0))</f>
        <v>1</v>
      </c>
      <c r="I409" s="38" t="str">
        <f aca="false">IF(OR($D409=0,$G409=""),"",IF($H409*($G409-$F409)&gt;0,$G409,$F409))</f>
        <v/>
      </c>
      <c r="J409" s="27" t="str">
        <f aca="false">IF(OR($D409=0,$G409=""),"",IF($H409*($G409-$F409)&gt;0,"Sim","Nao"))</f>
        <v/>
      </c>
      <c r="K409" s="27" t="str">
        <f aca="false">IF(OR($D409=0,$G409=""),"",IF(AND($H409*($E409-$F409)&gt;0,$H409*($E409-$G409)&gt;0),"Sim","Nao"))</f>
        <v/>
      </c>
      <c r="L409" s="38" t="n">
        <f aca="false">IF(OR($D409=0,$G409=""),0,IF($K409="Sim",MAX(0,$H409*($E409-$I409)),0))</f>
        <v>0</v>
      </c>
      <c r="M409" s="35" t="n">
        <f aca="false">INDEX(Parametros_ANEC73!$G$4:$G$6,MATCH($C409,Parametros_ANEC73!$A$4:$A$6,0))</f>
        <v>3.8</v>
      </c>
      <c r="N409" s="38" t="n">
        <f aca="false">IF(OR($D409=0,$G409=""),0,IF(AND($K409="Sim",$M409&lt;&gt;""),MAX(0,$H409*($E409-$M409)),0))</f>
        <v>0</v>
      </c>
      <c r="O409" s="35" t="n">
        <f aca="false">INDEX(Parametros_ANEC73!$J$4:$J$6,MATCH($C409,Parametros_ANEC73!$A$4:$A$6,0))</f>
        <v>4</v>
      </c>
      <c r="P409" s="38" t="n">
        <f aca="false">IF(OR($D409=0,$G409=""),0,IF(AND($K409="Sim",$O409&lt;&gt;""),MAX(0,$H409*($E409-$O409)),0))</f>
        <v>0</v>
      </c>
      <c r="Q409" s="35" t="n">
        <f aca="false">INDEX(Parametros_ANEC73!$F$4:$F$6,MATCH($C409,Parametros_ANEC73!$A$4:$A$6,0))</f>
        <v>1</v>
      </c>
      <c r="R409" s="35" t="n">
        <f aca="false">INDEX(Parametros_ANEC73!$I$4:$I$6,MATCH($C409,Parametros_ANEC73!$A$4:$A$6,0))</f>
        <v>1.5</v>
      </c>
      <c r="S409" s="35" t="n">
        <f aca="false">INDEX(Parametros_ANEC73!$L$4:$L$6,MATCH($C409,Parametros_ANEC73!$A$4:$A$6,0))</f>
        <v>2</v>
      </c>
      <c r="T409" s="39" t="n">
        <f aca="false">INDEX(Parametros_ANEC73!$B$14:$B$25,MATCH($B409,Parametros_ANEC73!$A$14:$A$25,0))</f>
        <v>415</v>
      </c>
      <c r="U409" s="40" t="n">
        <f aca="false">IF(OR($D409=0,$G409=""),0,$D409*($T409/100)*($L409*$Q409+$N409*(IF($R409="",$Q409,$R409)-$Q409)+$P409*(IF($S409="",IF($R409="",$Q409,$R409),$S409)-IF($R409="",$Q409,$R409))))</f>
        <v>0</v>
      </c>
      <c r="V409" s="41" t="str">
        <f aca="false">IF(OR($D409=0,$G409=""),"",IF($H409*($E409-INDEX(Parametros_ANEC73!$M$4:$M$6,MATCH($C409,Parametros_ANEC73!$A$4:$A$6,0)))&gt;0,"Sim","Nao"))</f>
        <v/>
      </c>
      <c r="W409" s="27" t="str">
        <f aca="false">$A409&amp;"|"&amp;$B409&amp;"|"&amp;$C409</f>
        <v>Novo07|Abr|Fibra</v>
      </c>
    </row>
    <row r="410" customFormat="false" ht="15" hidden="false" customHeight="false" outlineLevel="0" collapsed="false">
      <c r="A410" s="27" t="s">
        <v>50</v>
      </c>
      <c r="B410" s="27" t="s">
        <v>62</v>
      </c>
      <c r="C410" s="27" t="s">
        <v>109</v>
      </c>
      <c r="D410" s="34" t="n">
        <f aca="false">SUMIFS(Media_Cliente_Mes!$C$2:$C$145,Media_Cliente_Mes!$A$2:$A$145,$A410,Media_Cliente_Mes!$B$2:$B$145,$B410)</f>
        <v>0</v>
      </c>
      <c r="E410" s="35" t="str">
        <f aca="false">IF($D410=0,"",IF($C410="Proteina",SUMIFS(Media_Cliente_Mes!$D$2:$D$145,Media_Cliente_Mes!$A$2:$A$145,$A410,Media_Cliente_Mes!$B$2:$B$145,$B410),IF($C410="Umidade",SUMIFS(Media_Cliente_Mes!$E$2:$E$145,Media_Cliente_Mes!$A$2:$A$145,$A410,Media_Cliente_Mes!$B$2:$B$145,$B410),SUMIFS(Media_Cliente_Mes!$F$2:$F$145,Media_Cliente_Mes!$A$2:$A$145,$A410,Media_Cliente_Mes!$B$2:$B$145,$B410))))</f>
        <v/>
      </c>
      <c r="F410" s="35" t="n">
        <f aca="false">INDEX(Parametros_ANEC73!$C$4:$C$6,MATCH($C410,Parametros_ANEC73!$A$4:$A$6,0))</f>
        <v>48</v>
      </c>
      <c r="G410" s="35" t="n">
        <f aca="false">IF($C410="Proteina",INDEX(Media_Pool_Mes!$C$2:$C$13,MATCH($B410,Media_Pool_Mes!$A$2:$A$13,0)),IF($C410="Umidade",INDEX(Media_Pool_Mes!$D$2:$D$13,MATCH($B410,Media_Pool_Mes!$A$2:$A$13,0)),INDEX(Media_Pool_Mes!$E$2:$E$13,MATCH($B410,Media_Pool_Mes!$A$2:$A$13,0))))</f>
        <v>47.6334614958572</v>
      </c>
      <c r="H410" s="37" t="n">
        <f aca="false">INDEX(Parametros_ANEC73!$B$4:$B$6,MATCH($C410,Parametros_ANEC73!$A$4:$A$6,0))</f>
        <v>-1</v>
      </c>
      <c r="I410" s="38" t="str">
        <f aca="false">IF(OR($D410=0,$G410=""),"",IF($H410*($G410-$F410)&gt;0,$G410,$F410))</f>
        <v/>
      </c>
      <c r="J410" s="27" t="str">
        <f aca="false">IF(OR($D410=0,$G410=""),"",IF($H410*($G410-$F410)&gt;0,"Sim","Nao"))</f>
        <v/>
      </c>
      <c r="K410" s="27" t="str">
        <f aca="false">IF(OR($D410=0,$G410=""),"",IF(AND($H410*($E410-$F410)&gt;0,$H410*($E410-$G410)&gt;0),"Sim","Nao"))</f>
        <v/>
      </c>
      <c r="L410" s="38" t="n">
        <f aca="false">IF(OR($D410=0,$G410=""),0,IF($K410="Sim",MAX(0,$H410*($E410-$I410)),0))</f>
        <v>0</v>
      </c>
      <c r="M410" s="35" t="n">
        <f aca="false">INDEX(Parametros_ANEC73!$G$4:$G$6,MATCH($C410,Parametros_ANEC73!$A$4:$A$6,0))</f>
        <v>47</v>
      </c>
      <c r="N410" s="38" t="n">
        <f aca="false">IF(OR($D410=0,$G410=""),0,IF(AND($K410="Sim",$M410&lt;&gt;""),MAX(0,$H410*($E410-$M410)),0))</f>
        <v>0</v>
      </c>
      <c r="O410" s="35" t="n">
        <f aca="false">INDEX(Parametros_ANEC73!$J$4:$J$6,MATCH($C410,Parametros_ANEC73!$A$4:$A$6,0))</f>
        <v>0</v>
      </c>
      <c r="P410" s="38" t="n">
        <f aca="false">IF(OR($D410=0,$G410=""),0,IF(AND($K410="Sim",$O410&lt;&gt;""),MAX(0,$H410*($E410-$O410)),0))</f>
        <v>0</v>
      </c>
      <c r="Q410" s="35" t="n">
        <f aca="false">INDEX(Parametros_ANEC73!$F$4:$F$6,MATCH($C410,Parametros_ANEC73!$A$4:$A$6,0))</f>
        <v>1</v>
      </c>
      <c r="R410" s="35" t="n">
        <f aca="false">INDEX(Parametros_ANEC73!$I$4:$I$6,MATCH($C410,Parametros_ANEC73!$A$4:$A$6,0))</f>
        <v>2</v>
      </c>
      <c r="S410" s="35" t="n">
        <f aca="false">INDEX(Parametros_ANEC73!$L$4:$L$6,MATCH($C410,Parametros_ANEC73!$A$4:$A$6,0))</f>
        <v>0</v>
      </c>
      <c r="T410" s="39" t="n">
        <f aca="false">INDEX(Parametros_ANEC73!$B$14:$B$25,MATCH($B410,Parametros_ANEC73!$A$14:$A$25,0))</f>
        <v>343</v>
      </c>
      <c r="U410" s="40" t="n">
        <f aca="false">IF(OR($D410=0,$G410=""),0,$D410*($T410/100)*($L410*$Q410+$N410*(IF($R410="",$Q410,$R410)-$Q410)+$P410*(IF($S410="",IF($R410="",$Q410,$R410),$S410)-IF($R410="",$Q410,$R410))))</f>
        <v>0</v>
      </c>
      <c r="V410" s="41" t="str">
        <f aca="false">IF(OR($D410=0,$G410=""),"",IF($H410*($E410-INDEX(Parametros_ANEC73!$M$4:$M$6,MATCH($C410,Parametros_ANEC73!$A$4:$A$6,0)))&gt;0,"Sim","Nao"))</f>
        <v/>
      </c>
      <c r="W410" s="27" t="str">
        <f aca="false">$A410&amp;"|"&amp;$B410&amp;"|"&amp;$C410</f>
        <v>Novo07|Mai|Proteina</v>
      </c>
    </row>
    <row r="411" customFormat="false" ht="15" hidden="false" customHeight="false" outlineLevel="0" collapsed="false">
      <c r="A411" s="27" t="s">
        <v>50</v>
      </c>
      <c r="B411" s="27" t="s">
        <v>62</v>
      </c>
      <c r="C411" s="27" t="s">
        <v>110</v>
      </c>
      <c r="D411" s="34" t="n">
        <f aca="false">SUMIFS(Media_Cliente_Mes!$C$2:$C$145,Media_Cliente_Mes!$A$2:$A$145,$A411,Media_Cliente_Mes!$B$2:$B$145,$B411)</f>
        <v>0</v>
      </c>
      <c r="E411" s="35" t="str">
        <f aca="false">IF($D411=0,"",IF($C411="Proteina",SUMIFS(Media_Cliente_Mes!$D$2:$D$145,Media_Cliente_Mes!$A$2:$A$145,$A411,Media_Cliente_Mes!$B$2:$B$145,$B411),IF($C411="Umidade",SUMIFS(Media_Cliente_Mes!$E$2:$E$145,Media_Cliente_Mes!$A$2:$A$145,$A411,Media_Cliente_Mes!$B$2:$B$145,$B411),SUMIFS(Media_Cliente_Mes!$F$2:$F$145,Media_Cliente_Mes!$A$2:$A$145,$A411,Media_Cliente_Mes!$B$2:$B$145,$B411))))</f>
        <v/>
      </c>
      <c r="F411" s="35" t="n">
        <f aca="false">INDEX(Parametros_ANEC73!$C$4:$C$6,MATCH($C411,Parametros_ANEC73!$A$4:$A$6,0))</f>
        <v>12.5</v>
      </c>
      <c r="G411" s="35" t="n">
        <f aca="false">IF($C411="Proteina",INDEX(Media_Pool_Mes!$C$2:$C$13,MATCH($B411,Media_Pool_Mes!$A$2:$A$13,0)),IF($C411="Umidade",INDEX(Media_Pool_Mes!$D$2:$D$13,MATCH($B411,Media_Pool_Mes!$A$2:$A$13,0)),INDEX(Media_Pool_Mes!$E$2:$E$13,MATCH($B411,Media_Pool_Mes!$A$2:$A$13,0))))</f>
        <v>12.3121752562954</v>
      </c>
      <c r="H411" s="37" t="n">
        <f aca="false">INDEX(Parametros_ANEC73!$B$4:$B$6,MATCH($C411,Parametros_ANEC73!$A$4:$A$6,0))</f>
        <v>1</v>
      </c>
      <c r="I411" s="38" t="str">
        <f aca="false">IF(OR($D411=0,$G411=""),"",IF($H411*($G411-$F411)&gt;0,$G411,$F411))</f>
        <v/>
      </c>
      <c r="J411" s="27" t="str">
        <f aca="false">IF(OR($D411=0,$G411=""),"",IF($H411*($G411-$F411)&gt;0,"Sim","Nao"))</f>
        <v/>
      </c>
      <c r="K411" s="27" t="str">
        <f aca="false">IF(OR($D411=0,$G411=""),"",IF(AND($H411*($E411-$F411)&gt;0,$H411*($E411-$G411)&gt;0),"Sim","Nao"))</f>
        <v/>
      </c>
      <c r="L411" s="38" t="n">
        <f aca="false">IF(OR($D411=0,$G411=""),0,IF($K411="Sim",MAX(0,$H411*($E411-$I411)),0))</f>
        <v>0</v>
      </c>
      <c r="M411" s="35" t="n">
        <f aca="false">INDEX(Parametros_ANEC73!$G$4:$G$6,MATCH($C411,Parametros_ANEC73!$A$4:$A$6,0))</f>
        <v>0</v>
      </c>
      <c r="N411" s="38" t="n">
        <f aca="false">IF(OR($D411=0,$G411=""),0,IF(AND($K411="Sim",$M411&lt;&gt;""),MAX(0,$H411*($E411-$M411)),0))</f>
        <v>0</v>
      </c>
      <c r="O411" s="35" t="n">
        <f aca="false">INDEX(Parametros_ANEC73!$J$4:$J$6,MATCH($C411,Parametros_ANEC73!$A$4:$A$6,0))</f>
        <v>0</v>
      </c>
      <c r="P411" s="38" t="n">
        <f aca="false">IF(OR($D411=0,$G411=""),0,IF(AND($K411="Sim",$O411&lt;&gt;""),MAX(0,$H411*($E411-$O411)),0))</f>
        <v>0</v>
      </c>
      <c r="Q411" s="35" t="n">
        <f aca="false">INDEX(Parametros_ANEC73!$F$4:$F$6,MATCH($C411,Parametros_ANEC73!$A$4:$A$6,0))</f>
        <v>1</v>
      </c>
      <c r="R411" s="35" t="n">
        <f aca="false">INDEX(Parametros_ANEC73!$I$4:$I$6,MATCH($C411,Parametros_ANEC73!$A$4:$A$6,0))</f>
        <v>0</v>
      </c>
      <c r="S411" s="35" t="n">
        <f aca="false">INDEX(Parametros_ANEC73!$L$4:$L$6,MATCH($C411,Parametros_ANEC73!$A$4:$A$6,0))</f>
        <v>0</v>
      </c>
      <c r="T411" s="39" t="n">
        <f aca="false">INDEX(Parametros_ANEC73!$B$14:$B$25,MATCH($B411,Parametros_ANEC73!$A$14:$A$25,0))</f>
        <v>343</v>
      </c>
      <c r="U411" s="40" t="n">
        <f aca="false">IF(OR($D411=0,$G411=""),0,$D411*($T411/100)*($L411*$Q411+$N411*(IF($R411="",$Q411,$R411)-$Q411)+$P411*(IF($S411="",IF($R411="",$Q411,$R411),$S411)-IF($R411="",$Q411,$R411))))</f>
        <v>0</v>
      </c>
      <c r="V411" s="41" t="str">
        <f aca="false">IF(OR($D411=0,$G411=""),"",IF($H411*($E411-INDEX(Parametros_ANEC73!$M$4:$M$6,MATCH($C411,Parametros_ANEC73!$A$4:$A$6,0)))&gt;0,"Sim","Nao"))</f>
        <v/>
      </c>
      <c r="W411" s="27" t="str">
        <f aca="false">$A411&amp;"|"&amp;$B411&amp;"|"&amp;$C411</f>
        <v>Novo07|Mai|Umidade</v>
      </c>
    </row>
    <row r="412" customFormat="false" ht="15" hidden="false" customHeight="false" outlineLevel="0" collapsed="false">
      <c r="A412" s="27" t="s">
        <v>50</v>
      </c>
      <c r="B412" s="27" t="s">
        <v>62</v>
      </c>
      <c r="C412" s="27" t="s">
        <v>111</v>
      </c>
      <c r="D412" s="34" t="n">
        <f aca="false">SUMIFS(Media_Cliente_Mes!$C$2:$C$145,Media_Cliente_Mes!$A$2:$A$145,$A412,Media_Cliente_Mes!$B$2:$B$145,$B412)</f>
        <v>0</v>
      </c>
      <c r="E412" s="35" t="str">
        <f aca="false">IF($D412=0,"",IF($C412="Proteina",SUMIFS(Media_Cliente_Mes!$D$2:$D$145,Media_Cliente_Mes!$A$2:$A$145,$A412,Media_Cliente_Mes!$B$2:$B$145,$B412),IF($C412="Umidade",SUMIFS(Media_Cliente_Mes!$E$2:$E$145,Media_Cliente_Mes!$A$2:$A$145,$A412,Media_Cliente_Mes!$B$2:$B$145,$B412),SUMIFS(Media_Cliente_Mes!$F$2:$F$145,Media_Cliente_Mes!$A$2:$A$145,$A412,Media_Cliente_Mes!$B$2:$B$145,$B412))))</f>
        <v/>
      </c>
      <c r="F412" s="35" t="n">
        <f aca="false">INDEX(Parametros_ANEC73!$C$4:$C$6,MATCH($C412,Parametros_ANEC73!$A$4:$A$6,0))</f>
        <v>3.5</v>
      </c>
      <c r="G412" s="35" t="n">
        <f aca="false">IF($C412="Proteina",INDEX(Media_Pool_Mes!$C$2:$C$13,MATCH($B412,Media_Pool_Mes!$A$2:$A$13,0)),IF($C412="Umidade",INDEX(Media_Pool_Mes!$D$2:$D$13,MATCH($B412,Media_Pool_Mes!$A$2:$A$13,0)),INDEX(Media_Pool_Mes!$E$2:$E$13,MATCH($B412,Media_Pool_Mes!$A$2:$A$13,0))))</f>
        <v>3.64524916105719</v>
      </c>
      <c r="H412" s="37" t="n">
        <f aca="false">INDEX(Parametros_ANEC73!$B$4:$B$6,MATCH($C412,Parametros_ANEC73!$A$4:$A$6,0))</f>
        <v>1</v>
      </c>
      <c r="I412" s="38" t="str">
        <f aca="false">IF(OR($D412=0,$G412=""),"",IF($H412*($G412-$F412)&gt;0,$G412,$F412))</f>
        <v/>
      </c>
      <c r="J412" s="27" t="str">
        <f aca="false">IF(OR($D412=0,$G412=""),"",IF($H412*($G412-$F412)&gt;0,"Sim","Nao"))</f>
        <v/>
      </c>
      <c r="K412" s="27" t="str">
        <f aca="false">IF(OR($D412=0,$G412=""),"",IF(AND($H412*($E412-$F412)&gt;0,$H412*($E412-$G412)&gt;0),"Sim","Nao"))</f>
        <v/>
      </c>
      <c r="L412" s="38" t="n">
        <f aca="false">IF(OR($D412=0,$G412=""),0,IF($K412="Sim",MAX(0,$H412*($E412-$I412)),0))</f>
        <v>0</v>
      </c>
      <c r="M412" s="35" t="n">
        <f aca="false">INDEX(Parametros_ANEC73!$G$4:$G$6,MATCH($C412,Parametros_ANEC73!$A$4:$A$6,0))</f>
        <v>3.8</v>
      </c>
      <c r="N412" s="38" t="n">
        <f aca="false">IF(OR($D412=0,$G412=""),0,IF(AND($K412="Sim",$M412&lt;&gt;""),MAX(0,$H412*($E412-$M412)),0))</f>
        <v>0</v>
      </c>
      <c r="O412" s="35" t="n">
        <f aca="false">INDEX(Parametros_ANEC73!$J$4:$J$6,MATCH($C412,Parametros_ANEC73!$A$4:$A$6,0))</f>
        <v>4</v>
      </c>
      <c r="P412" s="38" t="n">
        <f aca="false">IF(OR($D412=0,$G412=""),0,IF(AND($K412="Sim",$O412&lt;&gt;""),MAX(0,$H412*($E412-$O412)),0))</f>
        <v>0</v>
      </c>
      <c r="Q412" s="35" t="n">
        <f aca="false">INDEX(Parametros_ANEC73!$F$4:$F$6,MATCH($C412,Parametros_ANEC73!$A$4:$A$6,0))</f>
        <v>1</v>
      </c>
      <c r="R412" s="35" t="n">
        <f aca="false">INDEX(Parametros_ANEC73!$I$4:$I$6,MATCH($C412,Parametros_ANEC73!$A$4:$A$6,0))</f>
        <v>1.5</v>
      </c>
      <c r="S412" s="35" t="n">
        <f aca="false">INDEX(Parametros_ANEC73!$L$4:$L$6,MATCH($C412,Parametros_ANEC73!$A$4:$A$6,0))</f>
        <v>2</v>
      </c>
      <c r="T412" s="39" t="n">
        <f aca="false">INDEX(Parametros_ANEC73!$B$14:$B$25,MATCH($B412,Parametros_ANEC73!$A$14:$A$25,0))</f>
        <v>343</v>
      </c>
      <c r="U412" s="40" t="n">
        <f aca="false">IF(OR($D412=0,$G412=""),0,$D412*($T412/100)*($L412*$Q412+$N412*(IF($R412="",$Q412,$R412)-$Q412)+$P412*(IF($S412="",IF($R412="",$Q412,$R412),$S412)-IF($R412="",$Q412,$R412))))</f>
        <v>0</v>
      </c>
      <c r="V412" s="41" t="str">
        <f aca="false">IF(OR($D412=0,$G412=""),"",IF($H412*($E412-INDEX(Parametros_ANEC73!$M$4:$M$6,MATCH($C412,Parametros_ANEC73!$A$4:$A$6,0)))&gt;0,"Sim","Nao"))</f>
        <v/>
      </c>
      <c r="W412" s="27" t="str">
        <f aca="false">$A412&amp;"|"&amp;$B412&amp;"|"&amp;$C412</f>
        <v>Novo07|Mai|Fibra</v>
      </c>
    </row>
    <row r="413" customFormat="false" ht="15" hidden="false" customHeight="false" outlineLevel="0" collapsed="false">
      <c r="A413" s="27" t="s">
        <v>50</v>
      </c>
      <c r="B413" s="27" t="s">
        <v>63</v>
      </c>
      <c r="C413" s="27" t="s">
        <v>109</v>
      </c>
      <c r="D413" s="34" t="n">
        <f aca="false">SUMIFS(Media_Cliente_Mes!$C$2:$C$145,Media_Cliente_Mes!$A$2:$A$145,$A413,Media_Cliente_Mes!$B$2:$B$145,$B413)</f>
        <v>0</v>
      </c>
      <c r="E413" s="35" t="str">
        <f aca="false">IF($D413=0,"",IF($C413="Proteina",SUMIFS(Media_Cliente_Mes!$D$2:$D$145,Media_Cliente_Mes!$A$2:$A$145,$A413,Media_Cliente_Mes!$B$2:$B$145,$B413),IF($C413="Umidade",SUMIFS(Media_Cliente_Mes!$E$2:$E$145,Media_Cliente_Mes!$A$2:$A$145,$A413,Media_Cliente_Mes!$B$2:$B$145,$B413),SUMIFS(Media_Cliente_Mes!$F$2:$F$145,Media_Cliente_Mes!$A$2:$A$145,$A413,Media_Cliente_Mes!$B$2:$B$145,$B413))))</f>
        <v/>
      </c>
      <c r="F413" s="35" t="n">
        <f aca="false">INDEX(Parametros_ANEC73!$C$4:$C$6,MATCH($C413,Parametros_ANEC73!$A$4:$A$6,0))</f>
        <v>48</v>
      </c>
      <c r="G413" s="35" t="n">
        <f aca="false">IF($C413="Proteina",INDEX(Media_Pool_Mes!$C$2:$C$13,MATCH($B413,Media_Pool_Mes!$A$2:$A$13,0)),IF($C413="Umidade",INDEX(Media_Pool_Mes!$D$2:$D$13,MATCH($B413,Media_Pool_Mes!$A$2:$A$13,0)),INDEX(Media_Pool_Mes!$E$2:$E$13,MATCH($B413,Media_Pool_Mes!$A$2:$A$13,0))))</f>
        <v>47.4834226367413</v>
      </c>
      <c r="H413" s="37" t="n">
        <f aca="false">INDEX(Parametros_ANEC73!$B$4:$B$6,MATCH($C413,Parametros_ANEC73!$A$4:$A$6,0))</f>
        <v>-1</v>
      </c>
      <c r="I413" s="38" t="str">
        <f aca="false">IF(OR($D413=0,$G413=""),"",IF($H413*($G413-$F413)&gt;0,$G413,$F413))</f>
        <v/>
      </c>
      <c r="J413" s="27" t="str">
        <f aca="false">IF(OR($D413=0,$G413=""),"",IF($H413*($G413-$F413)&gt;0,"Sim","Nao"))</f>
        <v/>
      </c>
      <c r="K413" s="27" t="str">
        <f aca="false">IF(OR($D413=0,$G413=""),"",IF(AND($H413*($E413-$F413)&gt;0,$H413*($E413-$G413)&gt;0),"Sim","Nao"))</f>
        <v/>
      </c>
      <c r="L413" s="38" t="n">
        <f aca="false">IF(OR($D413=0,$G413=""),0,IF($K413="Sim",MAX(0,$H413*($E413-$I413)),0))</f>
        <v>0</v>
      </c>
      <c r="M413" s="35" t="n">
        <f aca="false">INDEX(Parametros_ANEC73!$G$4:$G$6,MATCH($C413,Parametros_ANEC73!$A$4:$A$6,0))</f>
        <v>47</v>
      </c>
      <c r="N413" s="38" t="n">
        <f aca="false">IF(OR($D413=0,$G413=""),0,IF(AND($K413="Sim",$M413&lt;&gt;""),MAX(0,$H413*($E413-$M413)),0))</f>
        <v>0</v>
      </c>
      <c r="O413" s="35" t="n">
        <f aca="false">INDEX(Parametros_ANEC73!$J$4:$J$6,MATCH($C413,Parametros_ANEC73!$A$4:$A$6,0))</f>
        <v>0</v>
      </c>
      <c r="P413" s="38" t="n">
        <f aca="false">IF(OR($D413=0,$G413=""),0,IF(AND($K413="Sim",$O413&lt;&gt;""),MAX(0,$H413*($E413-$O413)),0))</f>
        <v>0</v>
      </c>
      <c r="Q413" s="35" t="n">
        <f aca="false">INDEX(Parametros_ANEC73!$F$4:$F$6,MATCH($C413,Parametros_ANEC73!$A$4:$A$6,0))</f>
        <v>1</v>
      </c>
      <c r="R413" s="35" t="n">
        <f aca="false">INDEX(Parametros_ANEC73!$I$4:$I$6,MATCH($C413,Parametros_ANEC73!$A$4:$A$6,0))</f>
        <v>2</v>
      </c>
      <c r="S413" s="35" t="n">
        <f aca="false">INDEX(Parametros_ANEC73!$L$4:$L$6,MATCH($C413,Parametros_ANEC73!$A$4:$A$6,0))</f>
        <v>0</v>
      </c>
      <c r="T413" s="39" t="n">
        <f aca="false">INDEX(Parametros_ANEC73!$B$14:$B$25,MATCH($B413,Parametros_ANEC73!$A$14:$A$25,0))</f>
        <v>326</v>
      </c>
      <c r="U413" s="40" t="n">
        <f aca="false">IF(OR($D413=0,$G413=""),0,$D413*($T413/100)*($L413*$Q413+$N413*(IF($R413="",$Q413,$R413)-$Q413)+$P413*(IF($S413="",IF($R413="",$Q413,$R413),$S413)-IF($R413="",$Q413,$R413))))</f>
        <v>0</v>
      </c>
      <c r="V413" s="41" t="str">
        <f aca="false">IF(OR($D413=0,$G413=""),"",IF($H413*($E413-INDEX(Parametros_ANEC73!$M$4:$M$6,MATCH($C413,Parametros_ANEC73!$A$4:$A$6,0)))&gt;0,"Sim","Nao"))</f>
        <v/>
      </c>
      <c r="W413" s="27" t="str">
        <f aca="false">$A413&amp;"|"&amp;$B413&amp;"|"&amp;$C413</f>
        <v>Novo07|Jun|Proteina</v>
      </c>
    </row>
    <row r="414" customFormat="false" ht="15" hidden="false" customHeight="false" outlineLevel="0" collapsed="false">
      <c r="A414" s="27" t="s">
        <v>50</v>
      </c>
      <c r="B414" s="27" t="s">
        <v>63</v>
      </c>
      <c r="C414" s="27" t="s">
        <v>110</v>
      </c>
      <c r="D414" s="34" t="n">
        <f aca="false">SUMIFS(Media_Cliente_Mes!$C$2:$C$145,Media_Cliente_Mes!$A$2:$A$145,$A414,Media_Cliente_Mes!$B$2:$B$145,$B414)</f>
        <v>0</v>
      </c>
      <c r="E414" s="35" t="str">
        <f aca="false">IF($D414=0,"",IF($C414="Proteina",SUMIFS(Media_Cliente_Mes!$D$2:$D$145,Media_Cliente_Mes!$A$2:$A$145,$A414,Media_Cliente_Mes!$B$2:$B$145,$B414),IF($C414="Umidade",SUMIFS(Media_Cliente_Mes!$E$2:$E$145,Media_Cliente_Mes!$A$2:$A$145,$A414,Media_Cliente_Mes!$B$2:$B$145,$B414),SUMIFS(Media_Cliente_Mes!$F$2:$F$145,Media_Cliente_Mes!$A$2:$A$145,$A414,Media_Cliente_Mes!$B$2:$B$145,$B414))))</f>
        <v/>
      </c>
      <c r="F414" s="35" t="n">
        <f aca="false">INDEX(Parametros_ANEC73!$C$4:$C$6,MATCH($C414,Parametros_ANEC73!$A$4:$A$6,0))</f>
        <v>12.5</v>
      </c>
      <c r="G414" s="35" t="n">
        <f aca="false">IF($C414="Proteina",INDEX(Media_Pool_Mes!$C$2:$C$13,MATCH($B414,Media_Pool_Mes!$A$2:$A$13,0)),IF($C414="Umidade",INDEX(Media_Pool_Mes!$D$2:$D$13,MATCH($B414,Media_Pool_Mes!$A$2:$A$13,0)),INDEX(Media_Pool_Mes!$E$2:$E$13,MATCH($B414,Media_Pool_Mes!$A$2:$A$13,0))))</f>
        <v>12.6225093779221</v>
      </c>
      <c r="H414" s="37" t="n">
        <f aca="false">INDEX(Parametros_ANEC73!$B$4:$B$6,MATCH($C414,Parametros_ANEC73!$A$4:$A$6,0))</f>
        <v>1</v>
      </c>
      <c r="I414" s="38" t="str">
        <f aca="false">IF(OR($D414=0,$G414=""),"",IF($H414*($G414-$F414)&gt;0,$G414,$F414))</f>
        <v/>
      </c>
      <c r="J414" s="27" t="str">
        <f aca="false">IF(OR($D414=0,$G414=""),"",IF($H414*($G414-$F414)&gt;0,"Sim","Nao"))</f>
        <v/>
      </c>
      <c r="K414" s="27" t="str">
        <f aca="false">IF(OR($D414=0,$G414=""),"",IF(AND($H414*($E414-$F414)&gt;0,$H414*($E414-$G414)&gt;0),"Sim","Nao"))</f>
        <v/>
      </c>
      <c r="L414" s="38" t="n">
        <f aca="false">IF(OR($D414=0,$G414=""),0,IF($K414="Sim",MAX(0,$H414*($E414-$I414)),0))</f>
        <v>0</v>
      </c>
      <c r="M414" s="35" t="n">
        <f aca="false">INDEX(Parametros_ANEC73!$G$4:$G$6,MATCH($C414,Parametros_ANEC73!$A$4:$A$6,0))</f>
        <v>0</v>
      </c>
      <c r="N414" s="38" t="n">
        <f aca="false">IF(OR($D414=0,$G414=""),0,IF(AND($K414="Sim",$M414&lt;&gt;""),MAX(0,$H414*($E414-$M414)),0))</f>
        <v>0</v>
      </c>
      <c r="O414" s="35" t="n">
        <f aca="false">INDEX(Parametros_ANEC73!$J$4:$J$6,MATCH($C414,Parametros_ANEC73!$A$4:$A$6,0))</f>
        <v>0</v>
      </c>
      <c r="P414" s="38" t="n">
        <f aca="false">IF(OR($D414=0,$G414=""),0,IF(AND($K414="Sim",$O414&lt;&gt;""),MAX(0,$H414*($E414-$O414)),0))</f>
        <v>0</v>
      </c>
      <c r="Q414" s="35" t="n">
        <f aca="false">INDEX(Parametros_ANEC73!$F$4:$F$6,MATCH($C414,Parametros_ANEC73!$A$4:$A$6,0))</f>
        <v>1</v>
      </c>
      <c r="R414" s="35" t="n">
        <f aca="false">INDEX(Parametros_ANEC73!$I$4:$I$6,MATCH($C414,Parametros_ANEC73!$A$4:$A$6,0))</f>
        <v>0</v>
      </c>
      <c r="S414" s="35" t="n">
        <f aca="false">INDEX(Parametros_ANEC73!$L$4:$L$6,MATCH($C414,Parametros_ANEC73!$A$4:$A$6,0))</f>
        <v>0</v>
      </c>
      <c r="T414" s="39" t="n">
        <f aca="false">INDEX(Parametros_ANEC73!$B$14:$B$25,MATCH($B414,Parametros_ANEC73!$A$14:$A$25,0))</f>
        <v>326</v>
      </c>
      <c r="U414" s="40" t="n">
        <f aca="false">IF(OR($D414=0,$G414=""),0,$D414*($T414/100)*($L414*$Q414+$N414*(IF($R414="",$Q414,$R414)-$Q414)+$P414*(IF($S414="",IF($R414="",$Q414,$R414),$S414)-IF($R414="",$Q414,$R414))))</f>
        <v>0</v>
      </c>
      <c r="V414" s="41" t="str">
        <f aca="false">IF(OR($D414=0,$G414=""),"",IF($H414*($E414-INDEX(Parametros_ANEC73!$M$4:$M$6,MATCH($C414,Parametros_ANEC73!$A$4:$A$6,0)))&gt;0,"Sim","Nao"))</f>
        <v/>
      </c>
      <c r="W414" s="27" t="str">
        <f aca="false">$A414&amp;"|"&amp;$B414&amp;"|"&amp;$C414</f>
        <v>Novo07|Jun|Umidade</v>
      </c>
    </row>
    <row r="415" customFormat="false" ht="15" hidden="false" customHeight="false" outlineLevel="0" collapsed="false">
      <c r="A415" s="27" t="s">
        <v>50</v>
      </c>
      <c r="B415" s="27" t="s">
        <v>63</v>
      </c>
      <c r="C415" s="27" t="s">
        <v>111</v>
      </c>
      <c r="D415" s="34" t="n">
        <f aca="false">SUMIFS(Media_Cliente_Mes!$C$2:$C$145,Media_Cliente_Mes!$A$2:$A$145,$A415,Media_Cliente_Mes!$B$2:$B$145,$B415)</f>
        <v>0</v>
      </c>
      <c r="E415" s="35" t="str">
        <f aca="false">IF($D415=0,"",IF($C415="Proteina",SUMIFS(Media_Cliente_Mes!$D$2:$D$145,Media_Cliente_Mes!$A$2:$A$145,$A415,Media_Cliente_Mes!$B$2:$B$145,$B415),IF($C415="Umidade",SUMIFS(Media_Cliente_Mes!$E$2:$E$145,Media_Cliente_Mes!$A$2:$A$145,$A415,Media_Cliente_Mes!$B$2:$B$145,$B415),SUMIFS(Media_Cliente_Mes!$F$2:$F$145,Media_Cliente_Mes!$A$2:$A$145,$A415,Media_Cliente_Mes!$B$2:$B$145,$B415))))</f>
        <v/>
      </c>
      <c r="F415" s="35" t="n">
        <f aca="false">INDEX(Parametros_ANEC73!$C$4:$C$6,MATCH($C415,Parametros_ANEC73!$A$4:$A$6,0))</f>
        <v>3.5</v>
      </c>
      <c r="G415" s="35" t="n">
        <f aca="false">IF($C415="Proteina",INDEX(Media_Pool_Mes!$C$2:$C$13,MATCH($B415,Media_Pool_Mes!$A$2:$A$13,0)),IF($C415="Umidade",INDEX(Media_Pool_Mes!$D$2:$D$13,MATCH($B415,Media_Pool_Mes!$A$2:$A$13,0)),INDEX(Media_Pool_Mes!$E$2:$E$13,MATCH($B415,Media_Pool_Mes!$A$2:$A$13,0))))</f>
        <v>3.72652113613862</v>
      </c>
      <c r="H415" s="37" t="n">
        <f aca="false">INDEX(Parametros_ANEC73!$B$4:$B$6,MATCH($C415,Parametros_ANEC73!$A$4:$A$6,0))</f>
        <v>1</v>
      </c>
      <c r="I415" s="38" t="str">
        <f aca="false">IF(OR($D415=0,$G415=""),"",IF($H415*($G415-$F415)&gt;0,$G415,$F415))</f>
        <v/>
      </c>
      <c r="J415" s="27" t="str">
        <f aca="false">IF(OR($D415=0,$G415=""),"",IF($H415*($G415-$F415)&gt;0,"Sim","Nao"))</f>
        <v/>
      </c>
      <c r="K415" s="27" t="str">
        <f aca="false">IF(OR($D415=0,$G415=""),"",IF(AND($H415*($E415-$F415)&gt;0,$H415*($E415-$G415)&gt;0),"Sim","Nao"))</f>
        <v/>
      </c>
      <c r="L415" s="38" t="n">
        <f aca="false">IF(OR($D415=0,$G415=""),0,IF($K415="Sim",MAX(0,$H415*($E415-$I415)),0))</f>
        <v>0</v>
      </c>
      <c r="M415" s="35" t="n">
        <f aca="false">INDEX(Parametros_ANEC73!$G$4:$G$6,MATCH($C415,Parametros_ANEC73!$A$4:$A$6,0))</f>
        <v>3.8</v>
      </c>
      <c r="N415" s="38" t="n">
        <f aca="false">IF(OR($D415=0,$G415=""),0,IF(AND($K415="Sim",$M415&lt;&gt;""),MAX(0,$H415*($E415-$M415)),0))</f>
        <v>0</v>
      </c>
      <c r="O415" s="35" t="n">
        <f aca="false">INDEX(Parametros_ANEC73!$J$4:$J$6,MATCH($C415,Parametros_ANEC73!$A$4:$A$6,0))</f>
        <v>4</v>
      </c>
      <c r="P415" s="38" t="n">
        <f aca="false">IF(OR($D415=0,$G415=""),0,IF(AND($K415="Sim",$O415&lt;&gt;""),MAX(0,$H415*($E415-$O415)),0))</f>
        <v>0</v>
      </c>
      <c r="Q415" s="35" t="n">
        <f aca="false">INDEX(Parametros_ANEC73!$F$4:$F$6,MATCH($C415,Parametros_ANEC73!$A$4:$A$6,0))</f>
        <v>1</v>
      </c>
      <c r="R415" s="35" t="n">
        <f aca="false">INDEX(Parametros_ANEC73!$I$4:$I$6,MATCH($C415,Parametros_ANEC73!$A$4:$A$6,0))</f>
        <v>1.5</v>
      </c>
      <c r="S415" s="35" t="n">
        <f aca="false">INDEX(Parametros_ANEC73!$L$4:$L$6,MATCH($C415,Parametros_ANEC73!$A$4:$A$6,0))</f>
        <v>2</v>
      </c>
      <c r="T415" s="39" t="n">
        <f aca="false">INDEX(Parametros_ANEC73!$B$14:$B$25,MATCH($B415,Parametros_ANEC73!$A$14:$A$25,0))</f>
        <v>326</v>
      </c>
      <c r="U415" s="40" t="n">
        <f aca="false">IF(OR($D415=0,$G415=""),0,$D415*($T415/100)*($L415*$Q415+$N415*(IF($R415="",$Q415,$R415)-$Q415)+$P415*(IF($S415="",IF($R415="",$Q415,$R415),$S415)-IF($R415="",$Q415,$R415))))</f>
        <v>0</v>
      </c>
      <c r="V415" s="41" t="str">
        <f aca="false">IF(OR($D415=0,$G415=""),"",IF($H415*($E415-INDEX(Parametros_ANEC73!$M$4:$M$6,MATCH($C415,Parametros_ANEC73!$A$4:$A$6,0)))&gt;0,"Sim","Nao"))</f>
        <v/>
      </c>
      <c r="W415" s="27" t="str">
        <f aca="false">$A415&amp;"|"&amp;$B415&amp;"|"&amp;$C415</f>
        <v>Novo07|Jun|Fibra</v>
      </c>
    </row>
    <row r="416" customFormat="false" ht="15" hidden="false" customHeight="false" outlineLevel="0" collapsed="false">
      <c r="A416" s="27" t="s">
        <v>50</v>
      </c>
      <c r="B416" s="27" t="s">
        <v>64</v>
      </c>
      <c r="C416" s="27" t="s">
        <v>109</v>
      </c>
      <c r="D416" s="34" t="n">
        <f aca="false">SUMIFS(Media_Cliente_Mes!$C$2:$C$145,Media_Cliente_Mes!$A$2:$A$145,$A416,Media_Cliente_Mes!$B$2:$B$145,$B416)</f>
        <v>0</v>
      </c>
      <c r="E416" s="35" t="str">
        <f aca="false">IF($D416=0,"",IF($C416="Proteina",SUMIFS(Media_Cliente_Mes!$D$2:$D$145,Media_Cliente_Mes!$A$2:$A$145,$A416,Media_Cliente_Mes!$B$2:$B$145,$B416),IF($C416="Umidade",SUMIFS(Media_Cliente_Mes!$E$2:$E$145,Media_Cliente_Mes!$A$2:$A$145,$A416,Media_Cliente_Mes!$B$2:$B$145,$B416),SUMIFS(Media_Cliente_Mes!$F$2:$F$145,Media_Cliente_Mes!$A$2:$A$145,$A416,Media_Cliente_Mes!$B$2:$B$145,$B416))))</f>
        <v/>
      </c>
      <c r="F416" s="35" t="n">
        <f aca="false">INDEX(Parametros_ANEC73!$C$4:$C$6,MATCH($C416,Parametros_ANEC73!$A$4:$A$6,0))</f>
        <v>48</v>
      </c>
      <c r="G416" s="35" t="n">
        <f aca="false">IF($C416="Proteina",INDEX(Media_Pool_Mes!$C$2:$C$13,MATCH($B416,Media_Pool_Mes!$A$2:$A$13,0)),IF($C416="Umidade",INDEX(Media_Pool_Mes!$D$2:$D$13,MATCH($B416,Media_Pool_Mes!$A$2:$A$13,0)),INDEX(Media_Pool_Mes!$E$2:$E$13,MATCH($B416,Media_Pool_Mes!$A$2:$A$13,0))))</f>
        <v>47.6816680231132</v>
      </c>
      <c r="H416" s="37" t="n">
        <f aca="false">INDEX(Parametros_ANEC73!$B$4:$B$6,MATCH($C416,Parametros_ANEC73!$A$4:$A$6,0))</f>
        <v>-1</v>
      </c>
      <c r="I416" s="38" t="str">
        <f aca="false">IF(OR($D416=0,$G416=""),"",IF($H416*($G416-$F416)&gt;0,$G416,$F416))</f>
        <v/>
      </c>
      <c r="J416" s="27" t="str">
        <f aca="false">IF(OR($D416=0,$G416=""),"",IF($H416*($G416-$F416)&gt;0,"Sim","Nao"))</f>
        <v/>
      </c>
      <c r="K416" s="27" t="str">
        <f aca="false">IF(OR($D416=0,$G416=""),"",IF(AND($H416*($E416-$F416)&gt;0,$H416*($E416-$G416)&gt;0),"Sim","Nao"))</f>
        <v/>
      </c>
      <c r="L416" s="38" t="n">
        <f aca="false">IF(OR($D416=0,$G416=""),0,IF($K416="Sim",MAX(0,$H416*($E416-$I416)),0))</f>
        <v>0</v>
      </c>
      <c r="M416" s="35" t="n">
        <f aca="false">INDEX(Parametros_ANEC73!$G$4:$G$6,MATCH($C416,Parametros_ANEC73!$A$4:$A$6,0))</f>
        <v>47</v>
      </c>
      <c r="N416" s="38" t="n">
        <f aca="false">IF(OR($D416=0,$G416=""),0,IF(AND($K416="Sim",$M416&lt;&gt;""),MAX(0,$H416*($E416-$M416)),0))</f>
        <v>0</v>
      </c>
      <c r="O416" s="35" t="n">
        <f aca="false">INDEX(Parametros_ANEC73!$J$4:$J$6,MATCH($C416,Parametros_ANEC73!$A$4:$A$6,0))</f>
        <v>0</v>
      </c>
      <c r="P416" s="38" t="n">
        <f aca="false">IF(OR($D416=0,$G416=""),0,IF(AND($K416="Sim",$O416&lt;&gt;""),MAX(0,$H416*($E416-$O416)),0))</f>
        <v>0</v>
      </c>
      <c r="Q416" s="35" t="n">
        <f aca="false">INDEX(Parametros_ANEC73!$F$4:$F$6,MATCH($C416,Parametros_ANEC73!$A$4:$A$6,0))</f>
        <v>1</v>
      </c>
      <c r="R416" s="35" t="n">
        <f aca="false">INDEX(Parametros_ANEC73!$I$4:$I$6,MATCH($C416,Parametros_ANEC73!$A$4:$A$6,0))</f>
        <v>2</v>
      </c>
      <c r="S416" s="35" t="n">
        <f aca="false">INDEX(Parametros_ANEC73!$L$4:$L$6,MATCH($C416,Parametros_ANEC73!$A$4:$A$6,0))</f>
        <v>0</v>
      </c>
      <c r="T416" s="39" t="n">
        <f aca="false">INDEX(Parametros_ANEC73!$B$14:$B$25,MATCH($B416,Parametros_ANEC73!$A$14:$A$25,0))</f>
        <v>326</v>
      </c>
      <c r="U416" s="40" t="n">
        <f aca="false">IF(OR($D416=0,$G416=""),0,$D416*($T416/100)*($L416*$Q416+$N416*(IF($R416="",$Q416,$R416)-$Q416)+$P416*(IF($S416="",IF($R416="",$Q416,$R416),$S416)-IF($R416="",$Q416,$R416))))</f>
        <v>0</v>
      </c>
      <c r="V416" s="41" t="str">
        <f aca="false">IF(OR($D416=0,$G416=""),"",IF($H416*($E416-INDEX(Parametros_ANEC73!$M$4:$M$6,MATCH($C416,Parametros_ANEC73!$A$4:$A$6,0)))&gt;0,"Sim","Nao"))</f>
        <v/>
      </c>
      <c r="W416" s="27" t="str">
        <f aca="false">$A416&amp;"|"&amp;$B416&amp;"|"&amp;$C416</f>
        <v>Novo07|Jul|Proteina</v>
      </c>
    </row>
    <row r="417" customFormat="false" ht="15" hidden="false" customHeight="false" outlineLevel="0" collapsed="false">
      <c r="A417" s="27" t="s">
        <v>50</v>
      </c>
      <c r="B417" s="27" t="s">
        <v>64</v>
      </c>
      <c r="C417" s="27" t="s">
        <v>110</v>
      </c>
      <c r="D417" s="34" t="n">
        <f aca="false">SUMIFS(Media_Cliente_Mes!$C$2:$C$145,Media_Cliente_Mes!$A$2:$A$145,$A417,Media_Cliente_Mes!$B$2:$B$145,$B417)</f>
        <v>0</v>
      </c>
      <c r="E417" s="35" t="str">
        <f aca="false">IF($D417=0,"",IF($C417="Proteina",SUMIFS(Media_Cliente_Mes!$D$2:$D$145,Media_Cliente_Mes!$A$2:$A$145,$A417,Media_Cliente_Mes!$B$2:$B$145,$B417),IF($C417="Umidade",SUMIFS(Media_Cliente_Mes!$E$2:$E$145,Media_Cliente_Mes!$A$2:$A$145,$A417,Media_Cliente_Mes!$B$2:$B$145,$B417),SUMIFS(Media_Cliente_Mes!$F$2:$F$145,Media_Cliente_Mes!$A$2:$A$145,$A417,Media_Cliente_Mes!$B$2:$B$145,$B417))))</f>
        <v/>
      </c>
      <c r="F417" s="35" t="n">
        <f aca="false">INDEX(Parametros_ANEC73!$C$4:$C$6,MATCH($C417,Parametros_ANEC73!$A$4:$A$6,0))</f>
        <v>12.5</v>
      </c>
      <c r="G417" s="35" t="n">
        <f aca="false">IF($C417="Proteina",INDEX(Media_Pool_Mes!$C$2:$C$13,MATCH($B417,Media_Pool_Mes!$A$2:$A$13,0)),IF($C417="Umidade",INDEX(Media_Pool_Mes!$D$2:$D$13,MATCH($B417,Media_Pool_Mes!$A$2:$A$13,0)),INDEX(Media_Pool_Mes!$E$2:$E$13,MATCH($B417,Media_Pool_Mes!$A$2:$A$13,0))))</f>
        <v>12.2356489048309</v>
      </c>
      <c r="H417" s="37" t="n">
        <f aca="false">INDEX(Parametros_ANEC73!$B$4:$B$6,MATCH($C417,Parametros_ANEC73!$A$4:$A$6,0))</f>
        <v>1</v>
      </c>
      <c r="I417" s="38" t="str">
        <f aca="false">IF(OR($D417=0,$G417=""),"",IF($H417*($G417-$F417)&gt;0,$G417,$F417))</f>
        <v/>
      </c>
      <c r="J417" s="27" t="str">
        <f aca="false">IF(OR($D417=0,$G417=""),"",IF($H417*($G417-$F417)&gt;0,"Sim","Nao"))</f>
        <v/>
      </c>
      <c r="K417" s="27" t="str">
        <f aca="false">IF(OR($D417=0,$G417=""),"",IF(AND($H417*($E417-$F417)&gt;0,$H417*($E417-$G417)&gt;0),"Sim","Nao"))</f>
        <v/>
      </c>
      <c r="L417" s="38" t="n">
        <f aca="false">IF(OR($D417=0,$G417=""),0,IF($K417="Sim",MAX(0,$H417*($E417-$I417)),0))</f>
        <v>0</v>
      </c>
      <c r="M417" s="35" t="n">
        <f aca="false">INDEX(Parametros_ANEC73!$G$4:$G$6,MATCH($C417,Parametros_ANEC73!$A$4:$A$6,0))</f>
        <v>0</v>
      </c>
      <c r="N417" s="38" t="n">
        <f aca="false">IF(OR($D417=0,$G417=""),0,IF(AND($K417="Sim",$M417&lt;&gt;""),MAX(0,$H417*($E417-$M417)),0))</f>
        <v>0</v>
      </c>
      <c r="O417" s="35" t="n">
        <f aca="false">INDEX(Parametros_ANEC73!$J$4:$J$6,MATCH($C417,Parametros_ANEC73!$A$4:$A$6,0))</f>
        <v>0</v>
      </c>
      <c r="P417" s="38" t="n">
        <f aca="false">IF(OR($D417=0,$G417=""),0,IF(AND($K417="Sim",$O417&lt;&gt;""),MAX(0,$H417*($E417-$O417)),0))</f>
        <v>0</v>
      </c>
      <c r="Q417" s="35" t="n">
        <f aca="false">INDEX(Parametros_ANEC73!$F$4:$F$6,MATCH($C417,Parametros_ANEC73!$A$4:$A$6,0))</f>
        <v>1</v>
      </c>
      <c r="R417" s="35" t="n">
        <f aca="false">INDEX(Parametros_ANEC73!$I$4:$I$6,MATCH($C417,Parametros_ANEC73!$A$4:$A$6,0))</f>
        <v>0</v>
      </c>
      <c r="S417" s="35" t="n">
        <f aca="false">INDEX(Parametros_ANEC73!$L$4:$L$6,MATCH($C417,Parametros_ANEC73!$A$4:$A$6,0))</f>
        <v>0</v>
      </c>
      <c r="T417" s="39" t="n">
        <f aca="false">INDEX(Parametros_ANEC73!$B$14:$B$25,MATCH($B417,Parametros_ANEC73!$A$14:$A$25,0))</f>
        <v>326</v>
      </c>
      <c r="U417" s="40" t="n">
        <f aca="false">IF(OR($D417=0,$G417=""),0,$D417*($T417/100)*($L417*$Q417+$N417*(IF($R417="",$Q417,$R417)-$Q417)+$P417*(IF($S417="",IF($R417="",$Q417,$R417),$S417)-IF($R417="",$Q417,$R417))))</f>
        <v>0</v>
      </c>
      <c r="V417" s="41" t="str">
        <f aca="false">IF(OR($D417=0,$G417=""),"",IF($H417*($E417-INDEX(Parametros_ANEC73!$M$4:$M$6,MATCH($C417,Parametros_ANEC73!$A$4:$A$6,0)))&gt;0,"Sim","Nao"))</f>
        <v/>
      </c>
      <c r="W417" s="27" t="str">
        <f aca="false">$A417&amp;"|"&amp;$B417&amp;"|"&amp;$C417</f>
        <v>Novo07|Jul|Umidade</v>
      </c>
    </row>
    <row r="418" customFormat="false" ht="15" hidden="false" customHeight="false" outlineLevel="0" collapsed="false">
      <c r="A418" s="27" t="s">
        <v>50</v>
      </c>
      <c r="B418" s="27" t="s">
        <v>64</v>
      </c>
      <c r="C418" s="27" t="s">
        <v>111</v>
      </c>
      <c r="D418" s="34" t="n">
        <f aca="false">SUMIFS(Media_Cliente_Mes!$C$2:$C$145,Media_Cliente_Mes!$A$2:$A$145,$A418,Media_Cliente_Mes!$B$2:$B$145,$B418)</f>
        <v>0</v>
      </c>
      <c r="E418" s="35" t="str">
        <f aca="false">IF($D418=0,"",IF($C418="Proteina",SUMIFS(Media_Cliente_Mes!$D$2:$D$145,Media_Cliente_Mes!$A$2:$A$145,$A418,Media_Cliente_Mes!$B$2:$B$145,$B418),IF($C418="Umidade",SUMIFS(Media_Cliente_Mes!$E$2:$E$145,Media_Cliente_Mes!$A$2:$A$145,$A418,Media_Cliente_Mes!$B$2:$B$145,$B418),SUMIFS(Media_Cliente_Mes!$F$2:$F$145,Media_Cliente_Mes!$A$2:$A$145,$A418,Media_Cliente_Mes!$B$2:$B$145,$B418))))</f>
        <v/>
      </c>
      <c r="F418" s="35" t="n">
        <f aca="false">INDEX(Parametros_ANEC73!$C$4:$C$6,MATCH($C418,Parametros_ANEC73!$A$4:$A$6,0))</f>
        <v>3.5</v>
      </c>
      <c r="G418" s="35" t="n">
        <f aca="false">IF($C418="Proteina",INDEX(Media_Pool_Mes!$C$2:$C$13,MATCH($B418,Media_Pool_Mes!$A$2:$A$13,0)),IF($C418="Umidade",INDEX(Media_Pool_Mes!$D$2:$D$13,MATCH($B418,Media_Pool_Mes!$A$2:$A$13,0)),INDEX(Media_Pool_Mes!$E$2:$E$13,MATCH($B418,Media_Pool_Mes!$A$2:$A$13,0))))</f>
        <v>3.48415625565953</v>
      </c>
      <c r="H418" s="37" t="n">
        <f aca="false">INDEX(Parametros_ANEC73!$B$4:$B$6,MATCH($C418,Parametros_ANEC73!$A$4:$A$6,0))</f>
        <v>1</v>
      </c>
      <c r="I418" s="38" t="str">
        <f aca="false">IF(OR($D418=0,$G418=""),"",IF($H418*($G418-$F418)&gt;0,$G418,$F418))</f>
        <v/>
      </c>
      <c r="J418" s="27" t="str">
        <f aca="false">IF(OR($D418=0,$G418=""),"",IF($H418*($G418-$F418)&gt;0,"Sim","Nao"))</f>
        <v/>
      </c>
      <c r="K418" s="27" t="str">
        <f aca="false">IF(OR($D418=0,$G418=""),"",IF(AND($H418*($E418-$F418)&gt;0,$H418*($E418-$G418)&gt;0),"Sim","Nao"))</f>
        <v/>
      </c>
      <c r="L418" s="38" t="n">
        <f aca="false">IF(OR($D418=0,$G418=""),0,IF($K418="Sim",MAX(0,$H418*($E418-$I418)),0))</f>
        <v>0</v>
      </c>
      <c r="M418" s="35" t="n">
        <f aca="false">INDEX(Parametros_ANEC73!$G$4:$G$6,MATCH($C418,Parametros_ANEC73!$A$4:$A$6,0))</f>
        <v>3.8</v>
      </c>
      <c r="N418" s="38" t="n">
        <f aca="false">IF(OR($D418=0,$G418=""),0,IF(AND($K418="Sim",$M418&lt;&gt;""),MAX(0,$H418*($E418-$M418)),0))</f>
        <v>0</v>
      </c>
      <c r="O418" s="35" t="n">
        <f aca="false">INDEX(Parametros_ANEC73!$J$4:$J$6,MATCH($C418,Parametros_ANEC73!$A$4:$A$6,0))</f>
        <v>4</v>
      </c>
      <c r="P418" s="38" t="n">
        <f aca="false">IF(OR($D418=0,$G418=""),0,IF(AND($K418="Sim",$O418&lt;&gt;""),MAX(0,$H418*($E418-$O418)),0))</f>
        <v>0</v>
      </c>
      <c r="Q418" s="35" t="n">
        <f aca="false">INDEX(Parametros_ANEC73!$F$4:$F$6,MATCH($C418,Parametros_ANEC73!$A$4:$A$6,0))</f>
        <v>1</v>
      </c>
      <c r="R418" s="35" t="n">
        <f aca="false">INDEX(Parametros_ANEC73!$I$4:$I$6,MATCH($C418,Parametros_ANEC73!$A$4:$A$6,0))</f>
        <v>1.5</v>
      </c>
      <c r="S418" s="35" t="n">
        <f aca="false">INDEX(Parametros_ANEC73!$L$4:$L$6,MATCH($C418,Parametros_ANEC73!$A$4:$A$6,0))</f>
        <v>2</v>
      </c>
      <c r="T418" s="39" t="n">
        <f aca="false">INDEX(Parametros_ANEC73!$B$14:$B$25,MATCH($B418,Parametros_ANEC73!$A$14:$A$25,0))</f>
        <v>326</v>
      </c>
      <c r="U418" s="40" t="n">
        <f aca="false">IF(OR($D418=0,$G418=""),0,$D418*($T418/100)*($L418*$Q418+$N418*(IF($R418="",$Q418,$R418)-$Q418)+$P418*(IF($S418="",IF($R418="",$Q418,$R418),$S418)-IF($R418="",$Q418,$R418))))</f>
        <v>0</v>
      </c>
      <c r="V418" s="41" t="str">
        <f aca="false">IF(OR($D418=0,$G418=""),"",IF($H418*($E418-INDEX(Parametros_ANEC73!$M$4:$M$6,MATCH($C418,Parametros_ANEC73!$A$4:$A$6,0)))&gt;0,"Sim","Nao"))</f>
        <v/>
      </c>
      <c r="W418" s="27" t="str">
        <f aca="false">$A418&amp;"|"&amp;$B418&amp;"|"&amp;$C418</f>
        <v>Novo07|Jul|Fibra</v>
      </c>
    </row>
    <row r="419" customFormat="false" ht="15" hidden="false" customHeight="false" outlineLevel="0" collapsed="false">
      <c r="A419" s="27" t="s">
        <v>50</v>
      </c>
      <c r="B419" s="27" t="s">
        <v>65</v>
      </c>
      <c r="C419" s="27" t="s">
        <v>109</v>
      </c>
      <c r="D419" s="34" t="n">
        <f aca="false">SUMIFS(Media_Cliente_Mes!$C$2:$C$145,Media_Cliente_Mes!$A$2:$A$145,$A419,Media_Cliente_Mes!$B$2:$B$145,$B419)</f>
        <v>0</v>
      </c>
      <c r="E419" s="35" t="str">
        <f aca="false">IF($D419=0,"",IF($C419="Proteina",SUMIFS(Media_Cliente_Mes!$D$2:$D$145,Media_Cliente_Mes!$A$2:$A$145,$A419,Media_Cliente_Mes!$B$2:$B$145,$B419),IF($C419="Umidade",SUMIFS(Media_Cliente_Mes!$E$2:$E$145,Media_Cliente_Mes!$A$2:$A$145,$A419,Media_Cliente_Mes!$B$2:$B$145,$B419),SUMIFS(Media_Cliente_Mes!$F$2:$F$145,Media_Cliente_Mes!$A$2:$A$145,$A419,Media_Cliente_Mes!$B$2:$B$145,$B419))))</f>
        <v/>
      </c>
      <c r="F419" s="35" t="n">
        <f aca="false">INDEX(Parametros_ANEC73!$C$4:$C$6,MATCH($C419,Parametros_ANEC73!$A$4:$A$6,0))</f>
        <v>48</v>
      </c>
      <c r="G419" s="35" t="n">
        <f aca="false">IF($C419="Proteina",INDEX(Media_Pool_Mes!$C$2:$C$13,MATCH($B419,Media_Pool_Mes!$A$2:$A$13,0)),IF($C419="Umidade",INDEX(Media_Pool_Mes!$D$2:$D$13,MATCH($B419,Media_Pool_Mes!$A$2:$A$13,0)),INDEX(Media_Pool_Mes!$E$2:$E$13,MATCH($B419,Media_Pool_Mes!$A$2:$A$13,0))))</f>
        <v>47.3199561197423</v>
      </c>
      <c r="H419" s="37" t="n">
        <f aca="false">INDEX(Parametros_ANEC73!$B$4:$B$6,MATCH($C419,Parametros_ANEC73!$A$4:$A$6,0))</f>
        <v>-1</v>
      </c>
      <c r="I419" s="38" t="str">
        <f aca="false">IF(OR($D419=0,$G419=""),"",IF($H419*($G419-$F419)&gt;0,$G419,$F419))</f>
        <v/>
      </c>
      <c r="J419" s="27" t="str">
        <f aca="false">IF(OR($D419=0,$G419=""),"",IF($H419*($G419-$F419)&gt;0,"Sim","Nao"))</f>
        <v/>
      </c>
      <c r="K419" s="27" t="str">
        <f aca="false">IF(OR($D419=0,$G419=""),"",IF(AND($H419*($E419-$F419)&gt;0,$H419*($E419-$G419)&gt;0),"Sim","Nao"))</f>
        <v/>
      </c>
      <c r="L419" s="38" t="n">
        <f aca="false">IF(OR($D419=0,$G419=""),0,IF($K419="Sim",MAX(0,$H419*($E419-$I419)),0))</f>
        <v>0</v>
      </c>
      <c r="M419" s="35" t="n">
        <f aca="false">INDEX(Parametros_ANEC73!$G$4:$G$6,MATCH($C419,Parametros_ANEC73!$A$4:$A$6,0))</f>
        <v>47</v>
      </c>
      <c r="N419" s="38" t="n">
        <f aca="false">IF(OR($D419=0,$G419=""),0,IF(AND($K419="Sim",$M419&lt;&gt;""),MAX(0,$H419*($E419-$M419)),0))</f>
        <v>0</v>
      </c>
      <c r="O419" s="35" t="n">
        <f aca="false">INDEX(Parametros_ANEC73!$J$4:$J$6,MATCH($C419,Parametros_ANEC73!$A$4:$A$6,0))</f>
        <v>0</v>
      </c>
      <c r="P419" s="38" t="n">
        <f aca="false">IF(OR($D419=0,$G419=""),0,IF(AND($K419="Sim",$O419&lt;&gt;""),MAX(0,$H419*($E419-$O419)),0))</f>
        <v>0</v>
      </c>
      <c r="Q419" s="35" t="n">
        <f aca="false">INDEX(Parametros_ANEC73!$F$4:$F$6,MATCH($C419,Parametros_ANEC73!$A$4:$A$6,0))</f>
        <v>1</v>
      </c>
      <c r="R419" s="35" t="n">
        <f aca="false">INDEX(Parametros_ANEC73!$I$4:$I$6,MATCH($C419,Parametros_ANEC73!$A$4:$A$6,0))</f>
        <v>2</v>
      </c>
      <c r="S419" s="35" t="n">
        <f aca="false">INDEX(Parametros_ANEC73!$L$4:$L$6,MATCH($C419,Parametros_ANEC73!$A$4:$A$6,0))</f>
        <v>0</v>
      </c>
      <c r="T419" s="39" t="n">
        <f aca="false">INDEX(Parametros_ANEC73!$B$14:$B$25,MATCH($B419,Parametros_ANEC73!$A$14:$A$25,0))</f>
        <v>326</v>
      </c>
      <c r="U419" s="40" t="n">
        <f aca="false">IF(OR($D419=0,$G419=""),0,$D419*($T419/100)*($L419*$Q419+$N419*(IF($R419="",$Q419,$R419)-$Q419)+$P419*(IF($S419="",IF($R419="",$Q419,$R419),$S419)-IF($R419="",$Q419,$R419))))</f>
        <v>0</v>
      </c>
      <c r="V419" s="41" t="str">
        <f aca="false">IF(OR($D419=0,$G419=""),"",IF($H419*($E419-INDEX(Parametros_ANEC73!$M$4:$M$6,MATCH($C419,Parametros_ANEC73!$A$4:$A$6,0)))&gt;0,"Sim","Nao"))</f>
        <v/>
      </c>
      <c r="W419" s="27" t="str">
        <f aca="false">$A419&amp;"|"&amp;$B419&amp;"|"&amp;$C419</f>
        <v>Novo07|Ago|Proteina</v>
      </c>
    </row>
    <row r="420" customFormat="false" ht="15" hidden="false" customHeight="false" outlineLevel="0" collapsed="false">
      <c r="A420" s="27" t="s">
        <v>50</v>
      </c>
      <c r="B420" s="27" t="s">
        <v>65</v>
      </c>
      <c r="C420" s="27" t="s">
        <v>110</v>
      </c>
      <c r="D420" s="34" t="n">
        <f aca="false">SUMIFS(Media_Cliente_Mes!$C$2:$C$145,Media_Cliente_Mes!$A$2:$A$145,$A420,Media_Cliente_Mes!$B$2:$B$145,$B420)</f>
        <v>0</v>
      </c>
      <c r="E420" s="35" t="str">
        <f aca="false">IF($D420=0,"",IF($C420="Proteina",SUMIFS(Media_Cliente_Mes!$D$2:$D$145,Media_Cliente_Mes!$A$2:$A$145,$A420,Media_Cliente_Mes!$B$2:$B$145,$B420),IF($C420="Umidade",SUMIFS(Media_Cliente_Mes!$E$2:$E$145,Media_Cliente_Mes!$A$2:$A$145,$A420,Media_Cliente_Mes!$B$2:$B$145,$B420),SUMIFS(Media_Cliente_Mes!$F$2:$F$145,Media_Cliente_Mes!$A$2:$A$145,$A420,Media_Cliente_Mes!$B$2:$B$145,$B420))))</f>
        <v/>
      </c>
      <c r="F420" s="35" t="n">
        <f aca="false">INDEX(Parametros_ANEC73!$C$4:$C$6,MATCH($C420,Parametros_ANEC73!$A$4:$A$6,0))</f>
        <v>12.5</v>
      </c>
      <c r="G420" s="35" t="n">
        <f aca="false">IF($C420="Proteina",INDEX(Media_Pool_Mes!$C$2:$C$13,MATCH($B420,Media_Pool_Mes!$A$2:$A$13,0)),IF($C420="Umidade",INDEX(Media_Pool_Mes!$D$2:$D$13,MATCH($B420,Media_Pool_Mes!$A$2:$A$13,0)),INDEX(Media_Pool_Mes!$E$2:$E$13,MATCH($B420,Media_Pool_Mes!$A$2:$A$13,0))))</f>
        <v>12.2068387200965</v>
      </c>
      <c r="H420" s="37" t="n">
        <f aca="false">INDEX(Parametros_ANEC73!$B$4:$B$6,MATCH($C420,Parametros_ANEC73!$A$4:$A$6,0))</f>
        <v>1</v>
      </c>
      <c r="I420" s="38" t="str">
        <f aca="false">IF(OR($D420=0,$G420=""),"",IF($H420*($G420-$F420)&gt;0,$G420,$F420))</f>
        <v/>
      </c>
      <c r="J420" s="27" t="str">
        <f aca="false">IF(OR($D420=0,$G420=""),"",IF($H420*($G420-$F420)&gt;0,"Sim","Nao"))</f>
        <v/>
      </c>
      <c r="K420" s="27" t="str">
        <f aca="false">IF(OR($D420=0,$G420=""),"",IF(AND($H420*($E420-$F420)&gt;0,$H420*($E420-$G420)&gt;0),"Sim","Nao"))</f>
        <v/>
      </c>
      <c r="L420" s="38" t="n">
        <f aca="false">IF(OR($D420=0,$G420=""),0,IF($K420="Sim",MAX(0,$H420*($E420-$I420)),0))</f>
        <v>0</v>
      </c>
      <c r="M420" s="35" t="n">
        <f aca="false">INDEX(Parametros_ANEC73!$G$4:$G$6,MATCH($C420,Parametros_ANEC73!$A$4:$A$6,0))</f>
        <v>0</v>
      </c>
      <c r="N420" s="38" t="n">
        <f aca="false">IF(OR($D420=0,$G420=""),0,IF(AND($K420="Sim",$M420&lt;&gt;""),MAX(0,$H420*($E420-$M420)),0))</f>
        <v>0</v>
      </c>
      <c r="O420" s="35" t="n">
        <f aca="false">INDEX(Parametros_ANEC73!$J$4:$J$6,MATCH($C420,Parametros_ANEC73!$A$4:$A$6,0))</f>
        <v>0</v>
      </c>
      <c r="P420" s="38" t="n">
        <f aca="false">IF(OR($D420=0,$G420=""),0,IF(AND($K420="Sim",$O420&lt;&gt;""),MAX(0,$H420*($E420-$O420)),0))</f>
        <v>0</v>
      </c>
      <c r="Q420" s="35" t="n">
        <f aca="false">INDEX(Parametros_ANEC73!$F$4:$F$6,MATCH($C420,Parametros_ANEC73!$A$4:$A$6,0))</f>
        <v>1</v>
      </c>
      <c r="R420" s="35" t="n">
        <f aca="false">INDEX(Parametros_ANEC73!$I$4:$I$6,MATCH($C420,Parametros_ANEC73!$A$4:$A$6,0))</f>
        <v>0</v>
      </c>
      <c r="S420" s="35" t="n">
        <f aca="false">INDEX(Parametros_ANEC73!$L$4:$L$6,MATCH($C420,Parametros_ANEC73!$A$4:$A$6,0))</f>
        <v>0</v>
      </c>
      <c r="T420" s="39" t="n">
        <f aca="false">INDEX(Parametros_ANEC73!$B$14:$B$25,MATCH($B420,Parametros_ANEC73!$A$14:$A$25,0))</f>
        <v>326</v>
      </c>
      <c r="U420" s="40" t="n">
        <f aca="false">IF(OR($D420=0,$G420=""),0,$D420*($T420/100)*($L420*$Q420+$N420*(IF($R420="",$Q420,$R420)-$Q420)+$P420*(IF($S420="",IF($R420="",$Q420,$R420),$S420)-IF($R420="",$Q420,$R420))))</f>
        <v>0</v>
      </c>
      <c r="V420" s="41" t="str">
        <f aca="false">IF(OR($D420=0,$G420=""),"",IF($H420*($E420-INDEX(Parametros_ANEC73!$M$4:$M$6,MATCH($C420,Parametros_ANEC73!$A$4:$A$6,0)))&gt;0,"Sim","Nao"))</f>
        <v/>
      </c>
      <c r="W420" s="27" t="str">
        <f aca="false">$A420&amp;"|"&amp;$B420&amp;"|"&amp;$C420</f>
        <v>Novo07|Ago|Umidade</v>
      </c>
    </row>
    <row r="421" customFormat="false" ht="15" hidden="false" customHeight="false" outlineLevel="0" collapsed="false">
      <c r="A421" s="27" t="s">
        <v>50</v>
      </c>
      <c r="B421" s="27" t="s">
        <v>65</v>
      </c>
      <c r="C421" s="27" t="s">
        <v>111</v>
      </c>
      <c r="D421" s="34" t="n">
        <f aca="false">SUMIFS(Media_Cliente_Mes!$C$2:$C$145,Media_Cliente_Mes!$A$2:$A$145,$A421,Media_Cliente_Mes!$B$2:$B$145,$B421)</f>
        <v>0</v>
      </c>
      <c r="E421" s="35" t="str">
        <f aca="false">IF($D421=0,"",IF($C421="Proteina",SUMIFS(Media_Cliente_Mes!$D$2:$D$145,Media_Cliente_Mes!$A$2:$A$145,$A421,Media_Cliente_Mes!$B$2:$B$145,$B421),IF($C421="Umidade",SUMIFS(Media_Cliente_Mes!$E$2:$E$145,Media_Cliente_Mes!$A$2:$A$145,$A421,Media_Cliente_Mes!$B$2:$B$145,$B421),SUMIFS(Media_Cliente_Mes!$F$2:$F$145,Media_Cliente_Mes!$A$2:$A$145,$A421,Media_Cliente_Mes!$B$2:$B$145,$B421))))</f>
        <v/>
      </c>
      <c r="F421" s="35" t="n">
        <f aca="false">INDEX(Parametros_ANEC73!$C$4:$C$6,MATCH($C421,Parametros_ANEC73!$A$4:$A$6,0))</f>
        <v>3.5</v>
      </c>
      <c r="G421" s="35" t="n">
        <f aca="false">IF($C421="Proteina",INDEX(Media_Pool_Mes!$C$2:$C$13,MATCH($B421,Media_Pool_Mes!$A$2:$A$13,0)),IF($C421="Umidade",INDEX(Media_Pool_Mes!$D$2:$D$13,MATCH($B421,Media_Pool_Mes!$A$2:$A$13,0)),INDEX(Media_Pool_Mes!$E$2:$E$13,MATCH($B421,Media_Pool_Mes!$A$2:$A$13,0))))</f>
        <v>3.7692688740906</v>
      </c>
      <c r="H421" s="37" t="n">
        <f aca="false">INDEX(Parametros_ANEC73!$B$4:$B$6,MATCH($C421,Parametros_ANEC73!$A$4:$A$6,0))</f>
        <v>1</v>
      </c>
      <c r="I421" s="38" t="str">
        <f aca="false">IF(OR($D421=0,$G421=""),"",IF($H421*($G421-$F421)&gt;0,$G421,$F421))</f>
        <v/>
      </c>
      <c r="J421" s="27" t="str">
        <f aca="false">IF(OR($D421=0,$G421=""),"",IF($H421*($G421-$F421)&gt;0,"Sim","Nao"))</f>
        <v/>
      </c>
      <c r="K421" s="27" t="str">
        <f aca="false">IF(OR($D421=0,$G421=""),"",IF(AND($H421*($E421-$F421)&gt;0,$H421*($E421-$G421)&gt;0),"Sim","Nao"))</f>
        <v/>
      </c>
      <c r="L421" s="38" t="n">
        <f aca="false">IF(OR($D421=0,$G421=""),0,IF($K421="Sim",MAX(0,$H421*($E421-$I421)),0))</f>
        <v>0</v>
      </c>
      <c r="M421" s="35" t="n">
        <f aca="false">INDEX(Parametros_ANEC73!$G$4:$G$6,MATCH($C421,Parametros_ANEC73!$A$4:$A$6,0))</f>
        <v>3.8</v>
      </c>
      <c r="N421" s="38" t="n">
        <f aca="false">IF(OR($D421=0,$G421=""),0,IF(AND($K421="Sim",$M421&lt;&gt;""),MAX(0,$H421*($E421-$M421)),0))</f>
        <v>0</v>
      </c>
      <c r="O421" s="35" t="n">
        <f aca="false">INDEX(Parametros_ANEC73!$J$4:$J$6,MATCH($C421,Parametros_ANEC73!$A$4:$A$6,0))</f>
        <v>4</v>
      </c>
      <c r="P421" s="38" t="n">
        <f aca="false">IF(OR($D421=0,$G421=""),0,IF(AND($K421="Sim",$O421&lt;&gt;""),MAX(0,$H421*($E421-$O421)),0))</f>
        <v>0</v>
      </c>
      <c r="Q421" s="35" t="n">
        <f aca="false">INDEX(Parametros_ANEC73!$F$4:$F$6,MATCH($C421,Parametros_ANEC73!$A$4:$A$6,0))</f>
        <v>1</v>
      </c>
      <c r="R421" s="35" t="n">
        <f aca="false">INDEX(Parametros_ANEC73!$I$4:$I$6,MATCH($C421,Parametros_ANEC73!$A$4:$A$6,0))</f>
        <v>1.5</v>
      </c>
      <c r="S421" s="35" t="n">
        <f aca="false">INDEX(Parametros_ANEC73!$L$4:$L$6,MATCH($C421,Parametros_ANEC73!$A$4:$A$6,0))</f>
        <v>2</v>
      </c>
      <c r="T421" s="39" t="n">
        <f aca="false">INDEX(Parametros_ANEC73!$B$14:$B$25,MATCH($B421,Parametros_ANEC73!$A$14:$A$25,0))</f>
        <v>326</v>
      </c>
      <c r="U421" s="40" t="n">
        <f aca="false">IF(OR($D421=0,$G421=""),0,$D421*($T421/100)*($L421*$Q421+$N421*(IF($R421="",$Q421,$R421)-$Q421)+$P421*(IF($S421="",IF($R421="",$Q421,$R421),$S421)-IF($R421="",$Q421,$R421))))</f>
        <v>0</v>
      </c>
      <c r="V421" s="41" t="str">
        <f aca="false">IF(OR($D421=0,$G421=""),"",IF($H421*($E421-INDEX(Parametros_ANEC73!$M$4:$M$6,MATCH($C421,Parametros_ANEC73!$A$4:$A$6,0)))&gt;0,"Sim","Nao"))</f>
        <v/>
      </c>
      <c r="W421" s="27" t="str">
        <f aca="false">$A421&amp;"|"&amp;$B421&amp;"|"&amp;$C421</f>
        <v>Novo07|Ago|Fibra</v>
      </c>
    </row>
    <row r="422" customFormat="false" ht="15" hidden="false" customHeight="false" outlineLevel="0" collapsed="false">
      <c r="A422" s="27" t="s">
        <v>50</v>
      </c>
      <c r="B422" s="27" t="s">
        <v>66</v>
      </c>
      <c r="C422" s="27" t="s">
        <v>109</v>
      </c>
      <c r="D422" s="34" t="n">
        <f aca="false">SUMIFS(Media_Cliente_Mes!$C$2:$C$145,Media_Cliente_Mes!$A$2:$A$145,$A422,Media_Cliente_Mes!$B$2:$B$145,$B422)</f>
        <v>0</v>
      </c>
      <c r="E422" s="35" t="str">
        <f aca="false">IF($D422=0,"",IF($C422="Proteina",SUMIFS(Media_Cliente_Mes!$D$2:$D$145,Media_Cliente_Mes!$A$2:$A$145,$A422,Media_Cliente_Mes!$B$2:$B$145,$B422),IF($C422="Umidade",SUMIFS(Media_Cliente_Mes!$E$2:$E$145,Media_Cliente_Mes!$A$2:$A$145,$A422,Media_Cliente_Mes!$B$2:$B$145,$B422),SUMIFS(Media_Cliente_Mes!$F$2:$F$145,Media_Cliente_Mes!$A$2:$A$145,$A422,Media_Cliente_Mes!$B$2:$B$145,$B422))))</f>
        <v/>
      </c>
      <c r="F422" s="35" t="n">
        <f aca="false">INDEX(Parametros_ANEC73!$C$4:$C$6,MATCH($C422,Parametros_ANEC73!$A$4:$A$6,0))</f>
        <v>48</v>
      </c>
      <c r="G422" s="35" t="n">
        <f aca="false">IF($C422="Proteina",INDEX(Media_Pool_Mes!$C$2:$C$13,MATCH($B422,Media_Pool_Mes!$A$2:$A$13,0)),IF($C422="Umidade",INDEX(Media_Pool_Mes!$D$2:$D$13,MATCH($B422,Media_Pool_Mes!$A$2:$A$13,0)),INDEX(Media_Pool_Mes!$E$2:$E$13,MATCH($B422,Media_Pool_Mes!$A$2:$A$13,0))))</f>
        <v>47.5387514497333</v>
      </c>
      <c r="H422" s="37" t="n">
        <f aca="false">INDEX(Parametros_ANEC73!$B$4:$B$6,MATCH($C422,Parametros_ANEC73!$A$4:$A$6,0))</f>
        <v>-1</v>
      </c>
      <c r="I422" s="38" t="str">
        <f aca="false">IF(OR($D422=0,$G422=""),"",IF($H422*($G422-$F422)&gt;0,$G422,$F422))</f>
        <v/>
      </c>
      <c r="J422" s="27" t="str">
        <f aca="false">IF(OR($D422=0,$G422=""),"",IF($H422*($G422-$F422)&gt;0,"Sim","Nao"))</f>
        <v/>
      </c>
      <c r="K422" s="27" t="str">
        <f aca="false">IF(OR($D422=0,$G422=""),"",IF(AND($H422*($E422-$F422)&gt;0,$H422*($E422-$G422)&gt;0),"Sim","Nao"))</f>
        <v/>
      </c>
      <c r="L422" s="38" t="n">
        <f aca="false">IF(OR($D422=0,$G422=""),0,IF($K422="Sim",MAX(0,$H422*($E422-$I422)),0))</f>
        <v>0</v>
      </c>
      <c r="M422" s="35" t="n">
        <f aca="false">INDEX(Parametros_ANEC73!$G$4:$G$6,MATCH($C422,Parametros_ANEC73!$A$4:$A$6,0))</f>
        <v>47</v>
      </c>
      <c r="N422" s="38" t="n">
        <f aca="false">IF(OR($D422=0,$G422=""),0,IF(AND($K422="Sim",$M422&lt;&gt;""),MAX(0,$H422*($E422-$M422)),0))</f>
        <v>0</v>
      </c>
      <c r="O422" s="35" t="n">
        <f aca="false">INDEX(Parametros_ANEC73!$J$4:$J$6,MATCH($C422,Parametros_ANEC73!$A$4:$A$6,0))</f>
        <v>0</v>
      </c>
      <c r="P422" s="38" t="n">
        <f aca="false">IF(OR($D422=0,$G422=""),0,IF(AND($K422="Sim",$O422&lt;&gt;""),MAX(0,$H422*($E422-$O422)),0))</f>
        <v>0</v>
      </c>
      <c r="Q422" s="35" t="n">
        <f aca="false">INDEX(Parametros_ANEC73!$F$4:$F$6,MATCH($C422,Parametros_ANEC73!$A$4:$A$6,0))</f>
        <v>1</v>
      </c>
      <c r="R422" s="35" t="n">
        <f aca="false">INDEX(Parametros_ANEC73!$I$4:$I$6,MATCH($C422,Parametros_ANEC73!$A$4:$A$6,0))</f>
        <v>2</v>
      </c>
      <c r="S422" s="35" t="n">
        <f aca="false">INDEX(Parametros_ANEC73!$L$4:$L$6,MATCH($C422,Parametros_ANEC73!$A$4:$A$6,0))</f>
        <v>0</v>
      </c>
      <c r="T422" s="39" t="n">
        <f aca="false">INDEX(Parametros_ANEC73!$B$14:$B$25,MATCH($B422,Parametros_ANEC73!$A$14:$A$25,0))</f>
        <v>326</v>
      </c>
      <c r="U422" s="40" t="n">
        <f aca="false">IF(OR($D422=0,$G422=""),0,$D422*($T422/100)*($L422*$Q422+$N422*(IF($R422="",$Q422,$R422)-$Q422)+$P422*(IF($S422="",IF($R422="",$Q422,$R422),$S422)-IF($R422="",$Q422,$R422))))</f>
        <v>0</v>
      </c>
      <c r="V422" s="41" t="str">
        <f aca="false">IF(OR($D422=0,$G422=""),"",IF($H422*($E422-INDEX(Parametros_ANEC73!$M$4:$M$6,MATCH($C422,Parametros_ANEC73!$A$4:$A$6,0)))&gt;0,"Sim","Nao"))</f>
        <v/>
      </c>
      <c r="W422" s="27" t="str">
        <f aca="false">$A422&amp;"|"&amp;$B422&amp;"|"&amp;$C422</f>
        <v>Novo07|Set|Proteina</v>
      </c>
    </row>
    <row r="423" customFormat="false" ht="15" hidden="false" customHeight="false" outlineLevel="0" collapsed="false">
      <c r="A423" s="27" t="s">
        <v>50</v>
      </c>
      <c r="B423" s="27" t="s">
        <v>66</v>
      </c>
      <c r="C423" s="27" t="s">
        <v>110</v>
      </c>
      <c r="D423" s="34" t="n">
        <f aca="false">SUMIFS(Media_Cliente_Mes!$C$2:$C$145,Media_Cliente_Mes!$A$2:$A$145,$A423,Media_Cliente_Mes!$B$2:$B$145,$B423)</f>
        <v>0</v>
      </c>
      <c r="E423" s="35" t="str">
        <f aca="false">IF($D423=0,"",IF($C423="Proteina",SUMIFS(Media_Cliente_Mes!$D$2:$D$145,Media_Cliente_Mes!$A$2:$A$145,$A423,Media_Cliente_Mes!$B$2:$B$145,$B423),IF($C423="Umidade",SUMIFS(Media_Cliente_Mes!$E$2:$E$145,Media_Cliente_Mes!$A$2:$A$145,$A423,Media_Cliente_Mes!$B$2:$B$145,$B423),SUMIFS(Media_Cliente_Mes!$F$2:$F$145,Media_Cliente_Mes!$A$2:$A$145,$A423,Media_Cliente_Mes!$B$2:$B$145,$B423))))</f>
        <v/>
      </c>
      <c r="F423" s="35" t="n">
        <f aca="false">INDEX(Parametros_ANEC73!$C$4:$C$6,MATCH($C423,Parametros_ANEC73!$A$4:$A$6,0))</f>
        <v>12.5</v>
      </c>
      <c r="G423" s="35" t="n">
        <f aca="false">IF($C423="Proteina",INDEX(Media_Pool_Mes!$C$2:$C$13,MATCH($B423,Media_Pool_Mes!$A$2:$A$13,0)),IF($C423="Umidade",INDEX(Media_Pool_Mes!$D$2:$D$13,MATCH($B423,Media_Pool_Mes!$A$2:$A$13,0)),INDEX(Media_Pool_Mes!$E$2:$E$13,MATCH($B423,Media_Pool_Mes!$A$2:$A$13,0))))</f>
        <v>12.4774576939468</v>
      </c>
      <c r="H423" s="37" t="n">
        <f aca="false">INDEX(Parametros_ANEC73!$B$4:$B$6,MATCH($C423,Parametros_ANEC73!$A$4:$A$6,0))</f>
        <v>1</v>
      </c>
      <c r="I423" s="38" t="str">
        <f aca="false">IF(OR($D423=0,$G423=""),"",IF($H423*($G423-$F423)&gt;0,$G423,$F423))</f>
        <v/>
      </c>
      <c r="J423" s="27" t="str">
        <f aca="false">IF(OR($D423=0,$G423=""),"",IF($H423*($G423-$F423)&gt;0,"Sim","Nao"))</f>
        <v/>
      </c>
      <c r="K423" s="27" t="str">
        <f aca="false">IF(OR($D423=0,$G423=""),"",IF(AND($H423*($E423-$F423)&gt;0,$H423*($E423-$G423)&gt;0),"Sim","Nao"))</f>
        <v/>
      </c>
      <c r="L423" s="38" t="n">
        <f aca="false">IF(OR($D423=0,$G423=""),0,IF($K423="Sim",MAX(0,$H423*($E423-$I423)),0))</f>
        <v>0</v>
      </c>
      <c r="M423" s="35" t="n">
        <f aca="false">INDEX(Parametros_ANEC73!$G$4:$G$6,MATCH($C423,Parametros_ANEC73!$A$4:$A$6,0))</f>
        <v>0</v>
      </c>
      <c r="N423" s="38" t="n">
        <f aca="false">IF(OR($D423=0,$G423=""),0,IF(AND($K423="Sim",$M423&lt;&gt;""),MAX(0,$H423*($E423-$M423)),0))</f>
        <v>0</v>
      </c>
      <c r="O423" s="35" t="n">
        <f aca="false">INDEX(Parametros_ANEC73!$J$4:$J$6,MATCH($C423,Parametros_ANEC73!$A$4:$A$6,0))</f>
        <v>0</v>
      </c>
      <c r="P423" s="38" t="n">
        <f aca="false">IF(OR($D423=0,$G423=""),0,IF(AND($K423="Sim",$O423&lt;&gt;""),MAX(0,$H423*($E423-$O423)),0))</f>
        <v>0</v>
      </c>
      <c r="Q423" s="35" t="n">
        <f aca="false">INDEX(Parametros_ANEC73!$F$4:$F$6,MATCH($C423,Parametros_ANEC73!$A$4:$A$6,0))</f>
        <v>1</v>
      </c>
      <c r="R423" s="35" t="n">
        <f aca="false">INDEX(Parametros_ANEC73!$I$4:$I$6,MATCH($C423,Parametros_ANEC73!$A$4:$A$6,0))</f>
        <v>0</v>
      </c>
      <c r="S423" s="35" t="n">
        <f aca="false">INDEX(Parametros_ANEC73!$L$4:$L$6,MATCH($C423,Parametros_ANEC73!$A$4:$A$6,0))</f>
        <v>0</v>
      </c>
      <c r="T423" s="39" t="n">
        <f aca="false">INDEX(Parametros_ANEC73!$B$14:$B$25,MATCH($B423,Parametros_ANEC73!$A$14:$A$25,0))</f>
        <v>326</v>
      </c>
      <c r="U423" s="40" t="n">
        <f aca="false">IF(OR($D423=0,$G423=""),0,$D423*($T423/100)*($L423*$Q423+$N423*(IF($R423="",$Q423,$R423)-$Q423)+$P423*(IF($S423="",IF($R423="",$Q423,$R423),$S423)-IF($R423="",$Q423,$R423))))</f>
        <v>0</v>
      </c>
      <c r="V423" s="41" t="str">
        <f aca="false">IF(OR($D423=0,$G423=""),"",IF($H423*($E423-INDEX(Parametros_ANEC73!$M$4:$M$6,MATCH($C423,Parametros_ANEC73!$A$4:$A$6,0)))&gt;0,"Sim","Nao"))</f>
        <v/>
      </c>
      <c r="W423" s="27" t="str">
        <f aca="false">$A423&amp;"|"&amp;$B423&amp;"|"&amp;$C423</f>
        <v>Novo07|Set|Umidade</v>
      </c>
    </row>
    <row r="424" customFormat="false" ht="15" hidden="false" customHeight="false" outlineLevel="0" collapsed="false">
      <c r="A424" s="27" t="s">
        <v>50</v>
      </c>
      <c r="B424" s="27" t="s">
        <v>66</v>
      </c>
      <c r="C424" s="27" t="s">
        <v>111</v>
      </c>
      <c r="D424" s="34" t="n">
        <f aca="false">SUMIFS(Media_Cliente_Mes!$C$2:$C$145,Media_Cliente_Mes!$A$2:$A$145,$A424,Media_Cliente_Mes!$B$2:$B$145,$B424)</f>
        <v>0</v>
      </c>
      <c r="E424" s="35" t="str">
        <f aca="false">IF($D424=0,"",IF($C424="Proteina",SUMIFS(Media_Cliente_Mes!$D$2:$D$145,Media_Cliente_Mes!$A$2:$A$145,$A424,Media_Cliente_Mes!$B$2:$B$145,$B424),IF($C424="Umidade",SUMIFS(Media_Cliente_Mes!$E$2:$E$145,Media_Cliente_Mes!$A$2:$A$145,$A424,Media_Cliente_Mes!$B$2:$B$145,$B424),SUMIFS(Media_Cliente_Mes!$F$2:$F$145,Media_Cliente_Mes!$A$2:$A$145,$A424,Media_Cliente_Mes!$B$2:$B$145,$B424))))</f>
        <v/>
      </c>
      <c r="F424" s="35" t="n">
        <f aca="false">INDEX(Parametros_ANEC73!$C$4:$C$6,MATCH($C424,Parametros_ANEC73!$A$4:$A$6,0))</f>
        <v>3.5</v>
      </c>
      <c r="G424" s="35" t="n">
        <f aca="false">IF($C424="Proteina",INDEX(Media_Pool_Mes!$C$2:$C$13,MATCH($B424,Media_Pool_Mes!$A$2:$A$13,0)),IF($C424="Umidade",INDEX(Media_Pool_Mes!$D$2:$D$13,MATCH($B424,Media_Pool_Mes!$A$2:$A$13,0)),INDEX(Media_Pool_Mes!$E$2:$E$13,MATCH($B424,Media_Pool_Mes!$A$2:$A$13,0))))</f>
        <v>3.7061372169236</v>
      </c>
      <c r="H424" s="37" t="n">
        <f aca="false">INDEX(Parametros_ANEC73!$B$4:$B$6,MATCH($C424,Parametros_ANEC73!$A$4:$A$6,0))</f>
        <v>1</v>
      </c>
      <c r="I424" s="38" t="str">
        <f aca="false">IF(OR($D424=0,$G424=""),"",IF($H424*($G424-$F424)&gt;0,$G424,$F424))</f>
        <v/>
      </c>
      <c r="J424" s="27" t="str">
        <f aca="false">IF(OR($D424=0,$G424=""),"",IF($H424*($G424-$F424)&gt;0,"Sim","Nao"))</f>
        <v/>
      </c>
      <c r="K424" s="27" t="str">
        <f aca="false">IF(OR($D424=0,$G424=""),"",IF(AND($H424*($E424-$F424)&gt;0,$H424*($E424-$G424)&gt;0),"Sim","Nao"))</f>
        <v/>
      </c>
      <c r="L424" s="38" t="n">
        <f aca="false">IF(OR($D424=0,$G424=""),0,IF($K424="Sim",MAX(0,$H424*($E424-$I424)),0))</f>
        <v>0</v>
      </c>
      <c r="M424" s="35" t="n">
        <f aca="false">INDEX(Parametros_ANEC73!$G$4:$G$6,MATCH($C424,Parametros_ANEC73!$A$4:$A$6,0))</f>
        <v>3.8</v>
      </c>
      <c r="N424" s="38" t="n">
        <f aca="false">IF(OR($D424=0,$G424=""),0,IF(AND($K424="Sim",$M424&lt;&gt;""),MAX(0,$H424*($E424-$M424)),0))</f>
        <v>0</v>
      </c>
      <c r="O424" s="35" t="n">
        <f aca="false">INDEX(Parametros_ANEC73!$J$4:$J$6,MATCH($C424,Parametros_ANEC73!$A$4:$A$6,0))</f>
        <v>4</v>
      </c>
      <c r="P424" s="38" t="n">
        <f aca="false">IF(OR($D424=0,$G424=""),0,IF(AND($K424="Sim",$O424&lt;&gt;""),MAX(0,$H424*($E424-$O424)),0))</f>
        <v>0</v>
      </c>
      <c r="Q424" s="35" t="n">
        <f aca="false">INDEX(Parametros_ANEC73!$F$4:$F$6,MATCH($C424,Parametros_ANEC73!$A$4:$A$6,0))</f>
        <v>1</v>
      </c>
      <c r="R424" s="35" t="n">
        <f aca="false">INDEX(Parametros_ANEC73!$I$4:$I$6,MATCH($C424,Parametros_ANEC73!$A$4:$A$6,0))</f>
        <v>1.5</v>
      </c>
      <c r="S424" s="35" t="n">
        <f aca="false">INDEX(Parametros_ANEC73!$L$4:$L$6,MATCH($C424,Parametros_ANEC73!$A$4:$A$6,0))</f>
        <v>2</v>
      </c>
      <c r="T424" s="39" t="n">
        <f aca="false">INDEX(Parametros_ANEC73!$B$14:$B$25,MATCH($B424,Parametros_ANEC73!$A$14:$A$25,0))</f>
        <v>326</v>
      </c>
      <c r="U424" s="40" t="n">
        <f aca="false">IF(OR($D424=0,$G424=""),0,$D424*($T424/100)*($L424*$Q424+$N424*(IF($R424="",$Q424,$R424)-$Q424)+$P424*(IF($S424="",IF($R424="",$Q424,$R424),$S424)-IF($R424="",$Q424,$R424))))</f>
        <v>0</v>
      </c>
      <c r="V424" s="41" t="str">
        <f aca="false">IF(OR($D424=0,$G424=""),"",IF($H424*($E424-INDEX(Parametros_ANEC73!$M$4:$M$6,MATCH($C424,Parametros_ANEC73!$A$4:$A$6,0)))&gt;0,"Sim","Nao"))</f>
        <v/>
      </c>
      <c r="W424" s="27" t="str">
        <f aca="false">$A424&amp;"|"&amp;$B424&amp;"|"&amp;$C424</f>
        <v>Novo07|Set|Fibra</v>
      </c>
    </row>
    <row r="425" customFormat="false" ht="15" hidden="false" customHeight="false" outlineLevel="0" collapsed="false">
      <c r="A425" s="27" t="s">
        <v>50</v>
      </c>
      <c r="B425" s="27" t="s">
        <v>67</v>
      </c>
      <c r="C425" s="27" t="s">
        <v>109</v>
      </c>
      <c r="D425" s="34" t="n">
        <f aca="false">SUMIFS(Media_Cliente_Mes!$C$2:$C$145,Media_Cliente_Mes!$A$2:$A$145,$A425,Media_Cliente_Mes!$B$2:$B$145,$B425)</f>
        <v>0</v>
      </c>
      <c r="E425" s="35" t="str">
        <f aca="false">IF($D425=0,"",IF($C425="Proteina",SUMIFS(Media_Cliente_Mes!$D$2:$D$145,Media_Cliente_Mes!$A$2:$A$145,$A425,Media_Cliente_Mes!$B$2:$B$145,$B425),IF($C425="Umidade",SUMIFS(Media_Cliente_Mes!$E$2:$E$145,Media_Cliente_Mes!$A$2:$A$145,$A425,Media_Cliente_Mes!$B$2:$B$145,$B425),SUMIFS(Media_Cliente_Mes!$F$2:$F$145,Media_Cliente_Mes!$A$2:$A$145,$A425,Media_Cliente_Mes!$B$2:$B$145,$B425))))</f>
        <v/>
      </c>
      <c r="F425" s="35" t="n">
        <f aca="false">INDEX(Parametros_ANEC73!$C$4:$C$6,MATCH($C425,Parametros_ANEC73!$A$4:$A$6,0))</f>
        <v>48</v>
      </c>
      <c r="G425" s="35" t="str">
        <f aca="false">IF($C425="Proteina",INDEX(Media_Pool_Mes!$C$2:$C$13,MATCH($B425,Media_Pool_Mes!$A$2:$A$13,0)),IF($C425="Umidade",INDEX(Media_Pool_Mes!$D$2:$D$13,MATCH($B425,Media_Pool_Mes!$A$2:$A$13,0)),INDEX(Media_Pool_Mes!$E$2:$E$13,MATCH($B425,Media_Pool_Mes!$A$2:$A$13,0))))</f>
        <v/>
      </c>
      <c r="H425" s="37" t="n">
        <f aca="false">INDEX(Parametros_ANEC73!$B$4:$B$6,MATCH($C425,Parametros_ANEC73!$A$4:$A$6,0))</f>
        <v>-1</v>
      </c>
      <c r="I425" s="38" t="str">
        <f aca="false">IF(OR($D425=0,$G425=""),"",IF($H425*($G425-$F425)&gt;0,$G425,$F425))</f>
        <v/>
      </c>
      <c r="J425" s="27" t="str">
        <f aca="false">IF(OR($D425=0,$G425=""),"",IF($H425*($G425-$F425)&gt;0,"Sim","Nao"))</f>
        <v/>
      </c>
      <c r="K425" s="27" t="str">
        <f aca="false">IF(OR($D425=0,$G425=""),"",IF(AND($H425*($E425-$F425)&gt;0,$H425*($E425-$G425)&gt;0),"Sim","Nao"))</f>
        <v/>
      </c>
      <c r="L425" s="38" t="n">
        <f aca="false">IF(OR($D425=0,$G425=""),0,IF($K425="Sim",MAX(0,$H425*($E425-$I425)),0))</f>
        <v>0</v>
      </c>
      <c r="M425" s="35" t="n">
        <f aca="false">INDEX(Parametros_ANEC73!$G$4:$G$6,MATCH($C425,Parametros_ANEC73!$A$4:$A$6,0))</f>
        <v>47</v>
      </c>
      <c r="N425" s="38" t="n">
        <f aca="false">IF(OR($D425=0,$G425=""),0,IF(AND($K425="Sim",$M425&lt;&gt;""),MAX(0,$H425*($E425-$M425)),0))</f>
        <v>0</v>
      </c>
      <c r="O425" s="35" t="n">
        <f aca="false">INDEX(Parametros_ANEC73!$J$4:$J$6,MATCH($C425,Parametros_ANEC73!$A$4:$A$6,0))</f>
        <v>0</v>
      </c>
      <c r="P425" s="38" t="n">
        <f aca="false">IF(OR($D425=0,$G425=""),0,IF(AND($K425="Sim",$O425&lt;&gt;""),MAX(0,$H425*($E425-$O425)),0))</f>
        <v>0</v>
      </c>
      <c r="Q425" s="35" t="n">
        <f aca="false">INDEX(Parametros_ANEC73!$F$4:$F$6,MATCH($C425,Parametros_ANEC73!$A$4:$A$6,0))</f>
        <v>1</v>
      </c>
      <c r="R425" s="35" t="n">
        <f aca="false">INDEX(Parametros_ANEC73!$I$4:$I$6,MATCH($C425,Parametros_ANEC73!$A$4:$A$6,0))</f>
        <v>2</v>
      </c>
      <c r="S425" s="35" t="n">
        <f aca="false">INDEX(Parametros_ANEC73!$L$4:$L$6,MATCH($C425,Parametros_ANEC73!$A$4:$A$6,0))</f>
        <v>0</v>
      </c>
      <c r="T425" s="39" t="n">
        <f aca="false">INDEX(Parametros_ANEC73!$B$14:$B$25,MATCH($B425,Parametros_ANEC73!$A$14:$A$25,0))</f>
        <v>0</v>
      </c>
      <c r="U425" s="40" t="n">
        <f aca="false">IF(OR($D425=0,$G425=""),0,$D425*($T425/100)*($L425*$Q425+$N425*(IF($R425="",$Q425,$R425)-$Q425)+$P425*(IF($S425="",IF($R425="",$Q425,$R425),$S425)-IF($R425="",$Q425,$R425))))</f>
        <v>0</v>
      </c>
      <c r="V425" s="41" t="str">
        <f aca="false">IF(OR($D425=0,$G425=""),"",IF($H425*($E425-INDEX(Parametros_ANEC73!$M$4:$M$6,MATCH($C425,Parametros_ANEC73!$A$4:$A$6,0)))&gt;0,"Sim","Nao"))</f>
        <v/>
      </c>
      <c r="W425" s="27" t="str">
        <f aca="false">$A425&amp;"|"&amp;$B425&amp;"|"&amp;$C425</f>
        <v>Novo07|Out|Proteina</v>
      </c>
    </row>
    <row r="426" customFormat="false" ht="15" hidden="false" customHeight="false" outlineLevel="0" collapsed="false">
      <c r="A426" s="27" t="s">
        <v>50</v>
      </c>
      <c r="B426" s="27" t="s">
        <v>67</v>
      </c>
      <c r="C426" s="27" t="s">
        <v>110</v>
      </c>
      <c r="D426" s="34" t="n">
        <f aca="false">SUMIFS(Media_Cliente_Mes!$C$2:$C$145,Media_Cliente_Mes!$A$2:$A$145,$A426,Media_Cliente_Mes!$B$2:$B$145,$B426)</f>
        <v>0</v>
      </c>
      <c r="E426" s="35" t="str">
        <f aca="false">IF($D426=0,"",IF($C426="Proteina",SUMIFS(Media_Cliente_Mes!$D$2:$D$145,Media_Cliente_Mes!$A$2:$A$145,$A426,Media_Cliente_Mes!$B$2:$B$145,$B426),IF($C426="Umidade",SUMIFS(Media_Cliente_Mes!$E$2:$E$145,Media_Cliente_Mes!$A$2:$A$145,$A426,Media_Cliente_Mes!$B$2:$B$145,$B426),SUMIFS(Media_Cliente_Mes!$F$2:$F$145,Media_Cliente_Mes!$A$2:$A$145,$A426,Media_Cliente_Mes!$B$2:$B$145,$B426))))</f>
        <v/>
      </c>
      <c r="F426" s="35" t="n">
        <f aca="false">INDEX(Parametros_ANEC73!$C$4:$C$6,MATCH($C426,Parametros_ANEC73!$A$4:$A$6,0))</f>
        <v>12.5</v>
      </c>
      <c r="G426" s="35" t="str">
        <f aca="false">IF($C426="Proteina",INDEX(Media_Pool_Mes!$C$2:$C$13,MATCH($B426,Media_Pool_Mes!$A$2:$A$13,0)),IF($C426="Umidade",INDEX(Media_Pool_Mes!$D$2:$D$13,MATCH($B426,Media_Pool_Mes!$A$2:$A$13,0)),INDEX(Media_Pool_Mes!$E$2:$E$13,MATCH($B426,Media_Pool_Mes!$A$2:$A$13,0))))</f>
        <v/>
      </c>
      <c r="H426" s="37" t="n">
        <f aca="false">INDEX(Parametros_ANEC73!$B$4:$B$6,MATCH($C426,Parametros_ANEC73!$A$4:$A$6,0))</f>
        <v>1</v>
      </c>
      <c r="I426" s="38" t="str">
        <f aca="false">IF(OR($D426=0,$G426=""),"",IF($H426*($G426-$F426)&gt;0,$G426,$F426))</f>
        <v/>
      </c>
      <c r="J426" s="27" t="str">
        <f aca="false">IF(OR($D426=0,$G426=""),"",IF($H426*($G426-$F426)&gt;0,"Sim","Nao"))</f>
        <v/>
      </c>
      <c r="K426" s="27" t="str">
        <f aca="false">IF(OR($D426=0,$G426=""),"",IF(AND($H426*($E426-$F426)&gt;0,$H426*($E426-$G426)&gt;0),"Sim","Nao"))</f>
        <v/>
      </c>
      <c r="L426" s="38" t="n">
        <f aca="false">IF(OR($D426=0,$G426=""),0,IF($K426="Sim",MAX(0,$H426*($E426-$I426)),0))</f>
        <v>0</v>
      </c>
      <c r="M426" s="35" t="n">
        <f aca="false">INDEX(Parametros_ANEC73!$G$4:$G$6,MATCH($C426,Parametros_ANEC73!$A$4:$A$6,0))</f>
        <v>0</v>
      </c>
      <c r="N426" s="38" t="n">
        <f aca="false">IF(OR($D426=0,$G426=""),0,IF(AND($K426="Sim",$M426&lt;&gt;""),MAX(0,$H426*($E426-$M426)),0))</f>
        <v>0</v>
      </c>
      <c r="O426" s="35" t="n">
        <f aca="false">INDEX(Parametros_ANEC73!$J$4:$J$6,MATCH($C426,Parametros_ANEC73!$A$4:$A$6,0))</f>
        <v>0</v>
      </c>
      <c r="P426" s="38" t="n">
        <f aca="false">IF(OR($D426=0,$G426=""),0,IF(AND($K426="Sim",$O426&lt;&gt;""),MAX(0,$H426*($E426-$O426)),0))</f>
        <v>0</v>
      </c>
      <c r="Q426" s="35" t="n">
        <f aca="false">INDEX(Parametros_ANEC73!$F$4:$F$6,MATCH($C426,Parametros_ANEC73!$A$4:$A$6,0))</f>
        <v>1</v>
      </c>
      <c r="R426" s="35" t="n">
        <f aca="false">INDEX(Parametros_ANEC73!$I$4:$I$6,MATCH($C426,Parametros_ANEC73!$A$4:$A$6,0))</f>
        <v>0</v>
      </c>
      <c r="S426" s="35" t="n">
        <f aca="false">INDEX(Parametros_ANEC73!$L$4:$L$6,MATCH($C426,Parametros_ANEC73!$A$4:$A$6,0))</f>
        <v>0</v>
      </c>
      <c r="T426" s="39" t="n">
        <f aca="false">INDEX(Parametros_ANEC73!$B$14:$B$25,MATCH($B426,Parametros_ANEC73!$A$14:$A$25,0))</f>
        <v>0</v>
      </c>
      <c r="U426" s="40" t="n">
        <f aca="false">IF(OR($D426=0,$G426=""),0,$D426*($T426/100)*($L426*$Q426+$N426*(IF($R426="",$Q426,$R426)-$Q426)+$P426*(IF($S426="",IF($R426="",$Q426,$R426),$S426)-IF($R426="",$Q426,$R426))))</f>
        <v>0</v>
      </c>
      <c r="V426" s="41" t="str">
        <f aca="false">IF(OR($D426=0,$G426=""),"",IF($H426*($E426-INDEX(Parametros_ANEC73!$M$4:$M$6,MATCH($C426,Parametros_ANEC73!$A$4:$A$6,0)))&gt;0,"Sim","Nao"))</f>
        <v/>
      </c>
      <c r="W426" s="27" t="str">
        <f aca="false">$A426&amp;"|"&amp;$B426&amp;"|"&amp;$C426</f>
        <v>Novo07|Out|Umidade</v>
      </c>
    </row>
    <row r="427" customFormat="false" ht="15" hidden="false" customHeight="false" outlineLevel="0" collapsed="false">
      <c r="A427" s="27" t="s">
        <v>50</v>
      </c>
      <c r="B427" s="27" t="s">
        <v>67</v>
      </c>
      <c r="C427" s="27" t="s">
        <v>111</v>
      </c>
      <c r="D427" s="34" t="n">
        <f aca="false">SUMIFS(Media_Cliente_Mes!$C$2:$C$145,Media_Cliente_Mes!$A$2:$A$145,$A427,Media_Cliente_Mes!$B$2:$B$145,$B427)</f>
        <v>0</v>
      </c>
      <c r="E427" s="35" t="str">
        <f aca="false">IF($D427=0,"",IF($C427="Proteina",SUMIFS(Media_Cliente_Mes!$D$2:$D$145,Media_Cliente_Mes!$A$2:$A$145,$A427,Media_Cliente_Mes!$B$2:$B$145,$B427),IF($C427="Umidade",SUMIFS(Media_Cliente_Mes!$E$2:$E$145,Media_Cliente_Mes!$A$2:$A$145,$A427,Media_Cliente_Mes!$B$2:$B$145,$B427),SUMIFS(Media_Cliente_Mes!$F$2:$F$145,Media_Cliente_Mes!$A$2:$A$145,$A427,Media_Cliente_Mes!$B$2:$B$145,$B427))))</f>
        <v/>
      </c>
      <c r="F427" s="35" t="n">
        <f aca="false">INDEX(Parametros_ANEC73!$C$4:$C$6,MATCH($C427,Parametros_ANEC73!$A$4:$A$6,0))</f>
        <v>3.5</v>
      </c>
      <c r="G427" s="35" t="str">
        <f aca="false">IF($C427="Proteina",INDEX(Media_Pool_Mes!$C$2:$C$13,MATCH($B427,Media_Pool_Mes!$A$2:$A$13,0)),IF($C427="Umidade",INDEX(Media_Pool_Mes!$D$2:$D$13,MATCH($B427,Media_Pool_Mes!$A$2:$A$13,0)),INDEX(Media_Pool_Mes!$E$2:$E$13,MATCH($B427,Media_Pool_Mes!$A$2:$A$13,0))))</f>
        <v/>
      </c>
      <c r="H427" s="37" t="n">
        <f aca="false">INDEX(Parametros_ANEC73!$B$4:$B$6,MATCH($C427,Parametros_ANEC73!$A$4:$A$6,0))</f>
        <v>1</v>
      </c>
      <c r="I427" s="38" t="str">
        <f aca="false">IF(OR($D427=0,$G427=""),"",IF($H427*($G427-$F427)&gt;0,$G427,$F427))</f>
        <v/>
      </c>
      <c r="J427" s="27" t="str">
        <f aca="false">IF(OR($D427=0,$G427=""),"",IF($H427*($G427-$F427)&gt;0,"Sim","Nao"))</f>
        <v/>
      </c>
      <c r="K427" s="27" t="str">
        <f aca="false">IF(OR($D427=0,$G427=""),"",IF(AND($H427*($E427-$F427)&gt;0,$H427*($E427-$G427)&gt;0),"Sim","Nao"))</f>
        <v/>
      </c>
      <c r="L427" s="38" t="n">
        <f aca="false">IF(OR($D427=0,$G427=""),0,IF($K427="Sim",MAX(0,$H427*($E427-$I427)),0))</f>
        <v>0</v>
      </c>
      <c r="M427" s="35" t="n">
        <f aca="false">INDEX(Parametros_ANEC73!$G$4:$G$6,MATCH($C427,Parametros_ANEC73!$A$4:$A$6,0))</f>
        <v>3.8</v>
      </c>
      <c r="N427" s="38" t="n">
        <f aca="false">IF(OR($D427=0,$G427=""),0,IF(AND($K427="Sim",$M427&lt;&gt;""),MAX(0,$H427*($E427-$M427)),0))</f>
        <v>0</v>
      </c>
      <c r="O427" s="35" t="n">
        <f aca="false">INDEX(Parametros_ANEC73!$J$4:$J$6,MATCH($C427,Parametros_ANEC73!$A$4:$A$6,0))</f>
        <v>4</v>
      </c>
      <c r="P427" s="38" t="n">
        <f aca="false">IF(OR($D427=0,$G427=""),0,IF(AND($K427="Sim",$O427&lt;&gt;""),MAX(0,$H427*($E427-$O427)),0))</f>
        <v>0</v>
      </c>
      <c r="Q427" s="35" t="n">
        <f aca="false">INDEX(Parametros_ANEC73!$F$4:$F$6,MATCH($C427,Parametros_ANEC73!$A$4:$A$6,0))</f>
        <v>1</v>
      </c>
      <c r="R427" s="35" t="n">
        <f aca="false">INDEX(Parametros_ANEC73!$I$4:$I$6,MATCH($C427,Parametros_ANEC73!$A$4:$A$6,0))</f>
        <v>1.5</v>
      </c>
      <c r="S427" s="35" t="n">
        <f aca="false">INDEX(Parametros_ANEC73!$L$4:$L$6,MATCH($C427,Parametros_ANEC73!$A$4:$A$6,0))</f>
        <v>2</v>
      </c>
      <c r="T427" s="39" t="n">
        <f aca="false">INDEX(Parametros_ANEC73!$B$14:$B$25,MATCH($B427,Parametros_ANEC73!$A$14:$A$25,0))</f>
        <v>0</v>
      </c>
      <c r="U427" s="40" t="n">
        <f aca="false">IF(OR($D427=0,$G427=""),0,$D427*($T427/100)*($L427*$Q427+$N427*(IF($R427="",$Q427,$R427)-$Q427)+$P427*(IF($S427="",IF($R427="",$Q427,$R427),$S427)-IF($R427="",$Q427,$R427))))</f>
        <v>0</v>
      </c>
      <c r="V427" s="41" t="str">
        <f aca="false">IF(OR($D427=0,$G427=""),"",IF($H427*($E427-INDEX(Parametros_ANEC73!$M$4:$M$6,MATCH($C427,Parametros_ANEC73!$A$4:$A$6,0)))&gt;0,"Sim","Nao"))</f>
        <v/>
      </c>
      <c r="W427" s="27" t="str">
        <f aca="false">$A427&amp;"|"&amp;$B427&amp;"|"&amp;$C427</f>
        <v>Novo07|Out|Fibra</v>
      </c>
    </row>
    <row r="428" customFormat="false" ht="15" hidden="false" customHeight="false" outlineLevel="0" collapsed="false">
      <c r="A428" s="27" t="s">
        <v>50</v>
      </c>
      <c r="B428" s="27" t="s">
        <v>68</v>
      </c>
      <c r="C428" s="27" t="s">
        <v>109</v>
      </c>
      <c r="D428" s="34" t="n">
        <f aca="false">SUMIFS(Media_Cliente_Mes!$C$2:$C$145,Media_Cliente_Mes!$A$2:$A$145,$A428,Media_Cliente_Mes!$B$2:$B$145,$B428)</f>
        <v>0</v>
      </c>
      <c r="E428" s="35" t="str">
        <f aca="false">IF($D428=0,"",IF($C428="Proteina",SUMIFS(Media_Cliente_Mes!$D$2:$D$145,Media_Cliente_Mes!$A$2:$A$145,$A428,Media_Cliente_Mes!$B$2:$B$145,$B428),IF($C428="Umidade",SUMIFS(Media_Cliente_Mes!$E$2:$E$145,Media_Cliente_Mes!$A$2:$A$145,$A428,Media_Cliente_Mes!$B$2:$B$145,$B428),SUMIFS(Media_Cliente_Mes!$F$2:$F$145,Media_Cliente_Mes!$A$2:$A$145,$A428,Media_Cliente_Mes!$B$2:$B$145,$B428))))</f>
        <v/>
      </c>
      <c r="F428" s="35" t="n">
        <f aca="false">INDEX(Parametros_ANEC73!$C$4:$C$6,MATCH($C428,Parametros_ANEC73!$A$4:$A$6,0))</f>
        <v>48</v>
      </c>
      <c r="G428" s="35" t="str">
        <f aca="false">IF($C428="Proteina",INDEX(Media_Pool_Mes!$C$2:$C$13,MATCH($B428,Media_Pool_Mes!$A$2:$A$13,0)),IF($C428="Umidade",INDEX(Media_Pool_Mes!$D$2:$D$13,MATCH($B428,Media_Pool_Mes!$A$2:$A$13,0)),INDEX(Media_Pool_Mes!$E$2:$E$13,MATCH($B428,Media_Pool_Mes!$A$2:$A$13,0))))</f>
        <v/>
      </c>
      <c r="H428" s="37" t="n">
        <f aca="false">INDEX(Parametros_ANEC73!$B$4:$B$6,MATCH($C428,Parametros_ANEC73!$A$4:$A$6,0))</f>
        <v>-1</v>
      </c>
      <c r="I428" s="38" t="str">
        <f aca="false">IF(OR($D428=0,$G428=""),"",IF($H428*($G428-$F428)&gt;0,$G428,$F428))</f>
        <v/>
      </c>
      <c r="J428" s="27" t="str">
        <f aca="false">IF(OR($D428=0,$G428=""),"",IF($H428*($G428-$F428)&gt;0,"Sim","Nao"))</f>
        <v/>
      </c>
      <c r="K428" s="27" t="str">
        <f aca="false">IF(OR($D428=0,$G428=""),"",IF(AND($H428*($E428-$F428)&gt;0,$H428*($E428-$G428)&gt;0),"Sim","Nao"))</f>
        <v/>
      </c>
      <c r="L428" s="38" t="n">
        <f aca="false">IF(OR($D428=0,$G428=""),0,IF($K428="Sim",MAX(0,$H428*($E428-$I428)),0))</f>
        <v>0</v>
      </c>
      <c r="M428" s="35" t="n">
        <f aca="false">INDEX(Parametros_ANEC73!$G$4:$G$6,MATCH($C428,Parametros_ANEC73!$A$4:$A$6,0))</f>
        <v>47</v>
      </c>
      <c r="N428" s="38" t="n">
        <f aca="false">IF(OR($D428=0,$G428=""),0,IF(AND($K428="Sim",$M428&lt;&gt;""),MAX(0,$H428*($E428-$M428)),0))</f>
        <v>0</v>
      </c>
      <c r="O428" s="35" t="n">
        <f aca="false">INDEX(Parametros_ANEC73!$J$4:$J$6,MATCH($C428,Parametros_ANEC73!$A$4:$A$6,0))</f>
        <v>0</v>
      </c>
      <c r="P428" s="38" t="n">
        <f aca="false">IF(OR($D428=0,$G428=""),0,IF(AND($K428="Sim",$O428&lt;&gt;""),MAX(0,$H428*($E428-$O428)),0))</f>
        <v>0</v>
      </c>
      <c r="Q428" s="35" t="n">
        <f aca="false">INDEX(Parametros_ANEC73!$F$4:$F$6,MATCH($C428,Parametros_ANEC73!$A$4:$A$6,0))</f>
        <v>1</v>
      </c>
      <c r="R428" s="35" t="n">
        <f aca="false">INDEX(Parametros_ANEC73!$I$4:$I$6,MATCH($C428,Parametros_ANEC73!$A$4:$A$6,0))</f>
        <v>2</v>
      </c>
      <c r="S428" s="35" t="n">
        <f aca="false">INDEX(Parametros_ANEC73!$L$4:$L$6,MATCH($C428,Parametros_ANEC73!$A$4:$A$6,0))</f>
        <v>0</v>
      </c>
      <c r="T428" s="39" t="n">
        <f aca="false">INDEX(Parametros_ANEC73!$B$14:$B$25,MATCH($B428,Parametros_ANEC73!$A$14:$A$25,0))</f>
        <v>0</v>
      </c>
      <c r="U428" s="40" t="n">
        <f aca="false">IF(OR($D428=0,$G428=""),0,$D428*($T428/100)*($L428*$Q428+$N428*(IF($R428="",$Q428,$R428)-$Q428)+$P428*(IF($S428="",IF($R428="",$Q428,$R428),$S428)-IF($R428="",$Q428,$R428))))</f>
        <v>0</v>
      </c>
      <c r="V428" s="41" t="str">
        <f aca="false">IF(OR($D428=0,$G428=""),"",IF($H428*($E428-INDEX(Parametros_ANEC73!$M$4:$M$6,MATCH($C428,Parametros_ANEC73!$A$4:$A$6,0)))&gt;0,"Sim","Nao"))</f>
        <v/>
      </c>
      <c r="W428" s="27" t="str">
        <f aca="false">$A428&amp;"|"&amp;$B428&amp;"|"&amp;$C428</f>
        <v>Novo07|Nov|Proteina</v>
      </c>
    </row>
    <row r="429" customFormat="false" ht="15" hidden="false" customHeight="false" outlineLevel="0" collapsed="false">
      <c r="A429" s="27" t="s">
        <v>50</v>
      </c>
      <c r="B429" s="27" t="s">
        <v>68</v>
      </c>
      <c r="C429" s="27" t="s">
        <v>110</v>
      </c>
      <c r="D429" s="34" t="n">
        <f aca="false">SUMIFS(Media_Cliente_Mes!$C$2:$C$145,Media_Cliente_Mes!$A$2:$A$145,$A429,Media_Cliente_Mes!$B$2:$B$145,$B429)</f>
        <v>0</v>
      </c>
      <c r="E429" s="35" t="str">
        <f aca="false">IF($D429=0,"",IF($C429="Proteina",SUMIFS(Media_Cliente_Mes!$D$2:$D$145,Media_Cliente_Mes!$A$2:$A$145,$A429,Media_Cliente_Mes!$B$2:$B$145,$B429),IF($C429="Umidade",SUMIFS(Media_Cliente_Mes!$E$2:$E$145,Media_Cliente_Mes!$A$2:$A$145,$A429,Media_Cliente_Mes!$B$2:$B$145,$B429),SUMIFS(Media_Cliente_Mes!$F$2:$F$145,Media_Cliente_Mes!$A$2:$A$145,$A429,Media_Cliente_Mes!$B$2:$B$145,$B429))))</f>
        <v/>
      </c>
      <c r="F429" s="35" t="n">
        <f aca="false">INDEX(Parametros_ANEC73!$C$4:$C$6,MATCH($C429,Parametros_ANEC73!$A$4:$A$6,0))</f>
        <v>12.5</v>
      </c>
      <c r="G429" s="35" t="str">
        <f aca="false">IF($C429="Proteina",INDEX(Media_Pool_Mes!$C$2:$C$13,MATCH($B429,Media_Pool_Mes!$A$2:$A$13,0)),IF($C429="Umidade",INDEX(Media_Pool_Mes!$D$2:$D$13,MATCH($B429,Media_Pool_Mes!$A$2:$A$13,0)),INDEX(Media_Pool_Mes!$E$2:$E$13,MATCH($B429,Media_Pool_Mes!$A$2:$A$13,0))))</f>
        <v/>
      </c>
      <c r="H429" s="37" t="n">
        <f aca="false">INDEX(Parametros_ANEC73!$B$4:$B$6,MATCH($C429,Parametros_ANEC73!$A$4:$A$6,0))</f>
        <v>1</v>
      </c>
      <c r="I429" s="38" t="str">
        <f aca="false">IF(OR($D429=0,$G429=""),"",IF($H429*($G429-$F429)&gt;0,$G429,$F429))</f>
        <v/>
      </c>
      <c r="J429" s="27" t="str">
        <f aca="false">IF(OR($D429=0,$G429=""),"",IF($H429*($G429-$F429)&gt;0,"Sim","Nao"))</f>
        <v/>
      </c>
      <c r="K429" s="27" t="str">
        <f aca="false">IF(OR($D429=0,$G429=""),"",IF(AND($H429*($E429-$F429)&gt;0,$H429*($E429-$G429)&gt;0),"Sim","Nao"))</f>
        <v/>
      </c>
      <c r="L429" s="38" t="n">
        <f aca="false">IF(OR($D429=0,$G429=""),0,IF($K429="Sim",MAX(0,$H429*($E429-$I429)),0))</f>
        <v>0</v>
      </c>
      <c r="M429" s="35" t="n">
        <f aca="false">INDEX(Parametros_ANEC73!$G$4:$G$6,MATCH($C429,Parametros_ANEC73!$A$4:$A$6,0))</f>
        <v>0</v>
      </c>
      <c r="N429" s="38" t="n">
        <f aca="false">IF(OR($D429=0,$G429=""),0,IF(AND($K429="Sim",$M429&lt;&gt;""),MAX(0,$H429*($E429-$M429)),0))</f>
        <v>0</v>
      </c>
      <c r="O429" s="35" t="n">
        <f aca="false">INDEX(Parametros_ANEC73!$J$4:$J$6,MATCH($C429,Parametros_ANEC73!$A$4:$A$6,0))</f>
        <v>0</v>
      </c>
      <c r="P429" s="38" t="n">
        <f aca="false">IF(OR($D429=0,$G429=""),0,IF(AND($K429="Sim",$O429&lt;&gt;""),MAX(0,$H429*($E429-$O429)),0))</f>
        <v>0</v>
      </c>
      <c r="Q429" s="35" t="n">
        <f aca="false">INDEX(Parametros_ANEC73!$F$4:$F$6,MATCH($C429,Parametros_ANEC73!$A$4:$A$6,0))</f>
        <v>1</v>
      </c>
      <c r="R429" s="35" t="n">
        <f aca="false">INDEX(Parametros_ANEC73!$I$4:$I$6,MATCH($C429,Parametros_ANEC73!$A$4:$A$6,0))</f>
        <v>0</v>
      </c>
      <c r="S429" s="35" t="n">
        <f aca="false">INDEX(Parametros_ANEC73!$L$4:$L$6,MATCH($C429,Parametros_ANEC73!$A$4:$A$6,0))</f>
        <v>0</v>
      </c>
      <c r="T429" s="39" t="n">
        <f aca="false">INDEX(Parametros_ANEC73!$B$14:$B$25,MATCH($B429,Parametros_ANEC73!$A$14:$A$25,0))</f>
        <v>0</v>
      </c>
      <c r="U429" s="40" t="n">
        <f aca="false">IF(OR($D429=0,$G429=""),0,$D429*($T429/100)*($L429*$Q429+$N429*(IF($R429="",$Q429,$R429)-$Q429)+$P429*(IF($S429="",IF($R429="",$Q429,$R429),$S429)-IF($R429="",$Q429,$R429))))</f>
        <v>0</v>
      </c>
      <c r="V429" s="41" t="str">
        <f aca="false">IF(OR($D429=0,$G429=""),"",IF($H429*($E429-INDEX(Parametros_ANEC73!$M$4:$M$6,MATCH($C429,Parametros_ANEC73!$A$4:$A$6,0)))&gt;0,"Sim","Nao"))</f>
        <v/>
      </c>
      <c r="W429" s="27" t="str">
        <f aca="false">$A429&amp;"|"&amp;$B429&amp;"|"&amp;$C429</f>
        <v>Novo07|Nov|Umidade</v>
      </c>
    </row>
    <row r="430" customFormat="false" ht="15" hidden="false" customHeight="false" outlineLevel="0" collapsed="false">
      <c r="A430" s="27" t="s">
        <v>50</v>
      </c>
      <c r="B430" s="27" t="s">
        <v>68</v>
      </c>
      <c r="C430" s="27" t="s">
        <v>111</v>
      </c>
      <c r="D430" s="34" t="n">
        <f aca="false">SUMIFS(Media_Cliente_Mes!$C$2:$C$145,Media_Cliente_Mes!$A$2:$A$145,$A430,Media_Cliente_Mes!$B$2:$B$145,$B430)</f>
        <v>0</v>
      </c>
      <c r="E430" s="35" t="str">
        <f aca="false">IF($D430=0,"",IF($C430="Proteina",SUMIFS(Media_Cliente_Mes!$D$2:$D$145,Media_Cliente_Mes!$A$2:$A$145,$A430,Media_Cliente_Mes!$B$2:$B$145,$B430),IF($C430="Umidade",SUMIFS(Media_Cliente_Mes!$E$2:$E$145,Media_Cliente_Mes!$A$2:$A$145,$A430,Media_Cliente_Mes!$B$2:$B$145,$B430),SUMIFS(Media_Cliente_Mes!$F$2:$F$145,Media_Cliente_Mes!$A$2:$A$145,$A430,Media_Cliente_Mes!$B$2:$B$145,$B430))))</f>
        <v/>
      </c>
      <c r="F430" s="35" t="n">
        <f aca="false">INDEX(Parametros_ANEC73!$C$4:$C$6,MATCH($C430,Parametros_ANEC73!$A$4:$A$6,0))</f>
        <v>3.5</v>
      </c>
      <c r="G430" s="35" t="str">
        <f aca="false">IF($C430="Proteina",INDEX(Media_Pool_Mes!$C$2:$C$13,MATCH($B430,Media_Pool_Mes!$A$2:$A$13,0)),IF($C430="Umidade",INDEX(Media_Pool_Mes!$D$2:$D$13,MATCH($B430,Media_Pool_Mes!$A$2:$A$13,0)),INDEX(Media_Pool_Mes!$E$2:$E$13,MATCH($B430,Media_Pool_Mes!$A$2:$A$13,0))))</f>
        <v/>
      </c>
      <c r="H430" s="37" t="n">
        <f aca="false">INDEX(Parametros_ANEC73!$B$4:$B$6,MATCH($C430,Parametros_ANEC73!$A$4:$A$6,0))</f>
        <v>1</v>
      </c>
      <c r="I430" s="38" t="str">
        <f aca="false">IF(OR($D430=0,$G430=""),"",IF($H430*($G430-$F430)&gt;0,$G430,$F430))</f>
        <v/>
      </c>
      <c r="J430" s="27" t="str">
        <f aca="false">IF(OR($D430=0,$G430=""),"",IF($H430*($G430-$F430)&gt;0,"Sim","Nao"))</f>
        <v/>
      </c>
      <c r="K430" s="27" t="str">
        <f aca="false">IF(OR($D430=0,$G430=""),"",IF(AND($H430*($E430-$F430)&gt;0,$H430*($E430-$G430)&gt;0),"Sim","Nao"))</f>
        <v/>
      </c>
      <c r="L430" s="38" t="n">
        <f aca="false">IF(OR($D430=0,$G430=""),0,IF($K430="Sim",MAX(0,$H430*($E430-$I430)),0))</f>
        <v>0</v>
      </c>
      <c r="M430" s="35" t="n">
        <f aca="false">INDEX(Parametros_ANEC73!$G$4:$G$6,MATCH($C430,Parametros_ANEC73!$A$4:$A$6,0))</f>
        <v>3.8</v>
      </c>
      <c r="N430" s="38" t="n">
        <f aca="false">IF(OR($D430=0,$G430=""),0,IF(AND($K430="Sim",$M430&lt;&gt;""),MAX(0,$H430*($E430-$M430)),0))</f>
        <v>0</v>
      </c>
      <c r="O430" s="35" t="n">
        <f aca="false">INDEX(Parametros_ANEC73!$J$4:$J$6,MATCH($C430,Parametros_ANEC73!$A$4:$A$6,0))</f>
        <v>4</v>
      </c>
      <c r="P430" s="38" t="n">
        <f aca="false">IF(OR($D430=0,$G430=""),0,IF(AND($K430="Sim",$O430&lt;&gt;""),MAX(0,$H430*($E430-$O430)),0))</f>
        <v>0</v>
      </c>
      <c r="Q430" s="35" t="n">
        <f aca="false">INDEX(Parametros_ANEC73!$F$4:$F$6,MATCH($C430,Parametros_ANEC73!$A$4:$A$6,0))</f>
        <v>1</v>
      </c>
      <c r="R430" s="35" t="n">
        <f aca="false">INDEX(Parametros_ANEC73!$I$4:$I$6,MATCH($C430,Parametros_ANEC73!$A$4:$A$6,0))</f>
        <v>1.5</v>
      </c>
      <c r="S430" s="35" t="n">
        <f aca="false">INDEX(Parametros_ANEC73!$L$4:$L$6,MATCH($C430,Parametros_ANEC73!$A$4:$A$6,0))</f>
        <v>2</v>
      </c>
      <c r="T430" s="39" t="n">
        <f aca="false">INDEX(Parametros_ANEC73!$B$14:$B$25,MATCH($B430,Parametros_ANEC73!$A$14:$A$25,0))</f>
        <v>0</v>
      </c>
      <c r="U430" s="40" t="n">
        <f aca="false">IF(OR($D430=0,$G430=""),0,$D430*($T430/100)*($L430*$Q430+$N430*(IF($R430="",$Q430,$R430)-$Q430)+$P430*(IF($S430="",IF($R430="",$Q430,$R430),$S430)-IF($R430="",$Q430,$R430))))</f>
        <v>0</v>
      </c>
      <c r="V430" s="41" t="str">
        <f aca="false">IF(OR($D430=0,$G430=""),"",IF($H430*($E430-INDEX(Parametros_ANEC73!$M$4:$M$6,MATCH($C430,Parametros_ANEC73!$A$4:$A$6,0)))&gt;0,"Sim","Nao"))</f>
        <v/>
      </c>
      <c r="W430" s="27" t="str">
        <f aca="false">$A430&amp;"|"&amp;$B430&amp;"|"&amp;$C430</f>
        <v>Novo07|Nov|Fibra</v>
      </c>
    </row>
    <row r="431" customFormat="false" ht="15" hidden="false" customHeight="false" outlineLevel="0" collapsed="false">
      <c r="A431" s="27" t="s">
        <v>50</v>
      </c>
      <c r="B431" s="27" t="s">
        <v>69</v>
      </c>
      <c r="C431" s="27" t="s">
        <v>109</v>
      </c>
      <c r="D431" s="34" t="n">
        <f aca="false">SUMIFS(Media_Cliente_Mes!$C$2:$C$145,Media_Cliente_Mes!$A$2:$A$145,$A431,Media_Cliente_Mes!$B$2:$B$145,$B431)</f>
        <v>0</v>
      </c>
      <c r="E431" s="35" t="str">
        <f aca="false">IF($D431=0,"",IF($C431="Proteina",SUMIFS(Media_Cliente_Mes!$D$2:$D$145,Media_Cliente_Mes!$A$2:$A$145,$A431,Media_Cliente_Mes!$B$2:$B$145,$B431),IF($C431="Umidade",SUMIFS(Media_Cliente_Mes!$E$2:$E$145,Media_Cliente_Mes!$A$2:$A$145,$A431,Media_Cliente_Mes!$B$2:$B$145,$B431),SUMIFS(Media_Cliente_Mes!$F$2:$F$145,Media_Cliente_Mes!$A$2:$A$145,$A431,Media_Cliente_Mes!$B$2:$B$145,$B431))))</f>
        <v/>
      </c>
      <c r="F431" s="35" t="n">
        <f aca="false">INDEX(Parametros_ANEC73!$C$4:$C$6,MATCH($C431,Parametros_ANEC73!$A$4:$A$6,0))</f>
        <v>48</v>
      </c>
      <c r="G431" s="35" t="str">
        <f aca="false">IF($C431="Proteina",INDEX(Media_Pool_Mes!$C$2:$C$13,MATCH($B431,Media_Pool_Mes!$A$2:$A$13,0)),IF($C431="Umidade",INDEX(Media_Pool_Mes!$D$2:$D$13,MATCH($B431,Media_Pool_Mes!$A$2:$A$13,0)),INDEX(Media_Pool_Mes!$E$2:$E$13,MATCH($B431,Media_Pool_Mes!$A$2:$A$13,0))))</f>
        <v/>
      </c>
      <c r="H431" s="37" t="n">
        <f aca="false">INDEX(Parametros_ANEC73!$B$4:$B$6,MATCH($C431,Parametros_ANEC73!$A$4:$A$6,0))</f>
        <v>-1</v>
      </c>
      <c r="I431" s="38" t="str">
        <f aca="false">IF(OR($D431=0,$G431=""),"",IF($H431*($G431-$F431)&gt;0,$G431,$F431))</f>
        <v/>
      </c>
      <c r="J431" s="27" t="str">
        <f aca="false">IF(OR($D431=0,$G431=""),"",IF($H431*($G431-$F431)&gt;0,"Sim","Nao"))</f>
        <v/>
      </c>
      <c r="K431" s="27" t="str">
        <f aca="false">IF(OR($D431=0,$G431=""),"",IF(AND($H431*($E431-$F431)&gt;0,$H431*($E431-$G431)&gt;0),"Sim","Nao"))</f>
        <v/>
      </c>
      <c r="L431" s="38" t="n">
        <f aca="false">IF(OR($D431=0,$G431=""),0,IF($K431="Sim",MAX(0,$H431*($E431-$I431)),0))</f>
        <v>0</v>
      </c>
      <c r="M431" s="35" t="n">
        <f aca="false">INDEX(Parametros_ANEC73!$G$4:$G$6,MATCH($C431,Parametros_ANEC73!$A$4:$A$6,0))</f>
        <v>47</v>
      </c>
      <c r="N431" s="38" t="n">
        <f aca="false">IF(OR($D431=0,$G431=""),0,IF(AND($K431="Sim",$M431&lt;&gt;""),MAX(0,$H431*($E431-$M431)),0))</f>
        <v>0</v>
      </c>
      <c r="O431" s="35" t="n">
        <f aca="false">INDEX(Parametros_ANEC73!$J$4:$J$6,MATCH($C431,Parametros_ANEC73!$A$4:$A$6,0))</f>
        <v>0</v>
      </c>
      <c r="P431" s="38" t="n">
        <f aca="false">IF(OR($D431=0,$G431=""),0,IF(AND($K431="Sim",$O431&lt;&gt;""),MAX(0,$H431*($E431-$O431)),0))</f>
        <v>0</v>
      </c>
      <c r="Q431" s="35" t="n">
        <f aca="false">INDEX(Parametros_ANEC73!$F$4:$F$6,MATCH($C431,Parametros_ANEC73!$A$4:$A$6,0))</f>
        <v>1</v>
      </c>
      <c r="R431" s="35" t="n">
        <f aca="false">INDEX(Parametros_ANEC73!$I$4:$I$6,MATCH($C431,Parametros_ANEC73!$A$4:$A$6,0))</f>
        <v>2</v>
      </c>
      <c r="S431" s="35" t="n">
        <f aca="false">INDEX(Parametros_ANEC73!$L$4:$L$6,MATCH($C431,Parametros_ANEC73!$A$4:$A$6,0))</f>
        <v>0</v>
      </c>
      <c r="T431" s="39" t="n">
        <f aca="false">INDEX(Parametros_ANEC73!$B$14:$B$25,MATCH($B431,Parametros_ANEC73!$A$14:$A$25,0))</f>
        <v>0</v>
      </c>
      <c r="U431" s="40" t="n">
        <f aca="false">IF(OR($D431=0,$G431=""),0,$D431*($T431/100)*($L431*$Q431+$N431*(IF($R431="",$Q431,$R431)-$Q431)+$P431*(IF($S431="",IF($R431="",$Q431,$R431),$S431)-IF($R431="",$Q431,$R431))))</f>
        <v>0</v>
      </c>
      <c r="V431" s="41" t="str">
        <f aca="false">IF(OR($D431=0,$G431=""),"",IF($H431*($E431-INDEX(Parametros_ANEC73!$M$4:$M$6,MATCH($C431,Parametros_ANEC73!$A$4:$A$6,0)))&gt;0,"Sim","Nao"))</f>
        <v/>
      </c>
      <c r="W431" s="27" t="str">
        <f aca="false">$A431&amp;"|"&amp;$B431&amp;"|"&amp;$C431</f>
        <v>Novo07|Dez|Proteina</v>
      </c>
    </row>
    <row r="432" customFormat="false" ht="15" hidden="false" customHeight="false" outlineLevel="0" collapsed="false">
      <c r="A432" s="27" t="s">
        <v>50</v>
      </c>
      <c r="B432" s="27" t="s">
        <v>69</v>
      </c>
      <c r="C432" s="27" t="s">
        <v>110</v>
      </c>
      <c r="D432" s="34" t="n">
        <f aca="false">SUMIFS(Media_Cliente_Mes!$C$2:$C$145,Media_Cliente_Mes!$A$2:$A$145,$A432,Media_Cliente_Mes!$B$2:$B$145,$B432)</f>
        <v>0</v>
      </c>
      <c r="E432" s="35" t="str">
        <f aca="false">IF($D432=0,"",IF($C432="Proteina",SUMIFS(Media_Cliente_Mes!$D$2:$D$145,Media_Cliente_Mes!$A$2:$A$145,$A432,Media_Cliente_Mes!$B$2:$B$145,$B432),IF($C432="Umidade",SUMIFS(Media_Cliente_Mes!$E$2:$E$145,Media_Cliente_Mes!$A$2:$A$145,$A432,Media_Cliente_Mes!$B$2:$B$145,$B432),SUMIFS(Media_Cliente_Mes!$F$2:$F$145,Media_Cliente_Mes!$A$2:$A$145,$A432,Media_Cliente_Mes!$B$2:$B$145,$B432))))</f>
        <v/>
      </c>
      <c r="F432" s="35" t="n">
        <f aca="false">INDEX(Parametros_ANEC73!$C$4:$C$6,MATCH($C432,Parametros_ANEC73!$A$4:$A$6,0))</f>
        <v>12.5</v>
      </c>
      <c r="G432" s="35" t="str">
        <f aca="false">IF($C432="Proteina",INDEX(Media_Pool_Mes!$C$2:$C$13,MATCH($B432,Media_Pool_Mes!$A$2:$A$13,0)),IF($C432="Umidade",INDEX(Media_Pool_Mes!$D$2:$D$13,MATCH($B432,Media_Pool_Mes!$A$2:$A$13,0)),INDEX(Media_Pool_Mes!$E$2:$E$13,MATCH($B432,Media_Pool_Mes!$A$2:$A$13,0))))</f>
        <v/>
      </c>
      <c r="H432" s="37" t="n">
        <f aca="false">INDEX(Parametros_ANEC73!$B$4:$B$6,MATCH($C432,Parametros_ANEC73!$A$4:$A$6,0))</f>
        <v>1</v>
      </c>
      <c r="I432" s="38" t="str">
        <f aca="false">IF(OR($D432=0,$G432=""),"",IF($H432*($G432-$F432)&gt;0,$G432,$F432))</f>
        <v/>
      </c>
      <c r="J432" s="27" t="str">
        <f aca="false">IF(OR($D432=0,$G432=""),"",IF($H432*($G432-$F432)&gt;0,"Sim","Nao"))</f>
        <v/>
      </c>
      <c r="K432" s="27" t="str">
        <f aca="false">IF(OR($D432=0,$G432=""),"",IF(AND($H432*($E432-$F432)&gt;0,$H432*($E432-$G432)&gt;0),"Sim","Nao"))</f>
        <v/>
      </c>
      <c r="L432" s="38" t="n">
        <f aca="false">IF(OR($D432=0,$G432=""),0,IF($K432="Sim",MAX(0,$H432*($E432-$I432)),0))</f>
        <v>0</v>
      </c>
      <c r="M432" s="35" t="n">
        <f aca="false">INDEX(Parametros_ANEC73!$G$4:$G$6,MATCH($C432,Parametros_ANEC73!$A$4:$A$6,0))</f>
        <v>0</v>
      </c>
      <c r="N432" s="38" t="n">
        <f aca="false">IF(OR($D432=0,$G432=""),0,IF(AND($K432="Sim",$M432&lt;&gt;""),MAX(0,$H432*($E432-$M432)),0))</f>
        <v>0</v>
      </c>
      <c r="O432" s="35" t="n">
        <f aca="false">INDEX(Parametros_ANEC73!$J$4:$J$6,MATCH($C432,Parametros_ANEC73!$A$4:$A$6,0))</f>
        <v>0</v>
      </c>
      <c r="P432" s="38" t="n">
        <f aca="false">IF(OR($D432=0,$G432=""),0,IF(AND($K432="Sim",$O432&lt;&gt;""),MAX(0,$H432*($E432-$O432)),0))</f>
        <v>0</v>
      </c>
      <c r="Q432" s="35" t="n">
        <f aca="false">INDEX(Parametros_ANEC73!$F$4:$F$6,MATCH($C432,Parametros_ANEC73!$A$4:$A$6,0))</f>
        <v>1</v>
      </c>
      <c r="R432" s="35" t="n">
        <f aca="false">INDEX(Parametros_ANEC73!$I$4:$I$6,MATCH($C432,Parametros_ANEC73!$A$4:$A$6,0))</f>
        <v>0</v>
      </c>
      <c r="S432" s="35" t="n">
        <f aca="false">INDEX(Parametros_ANEC73!$L$4:$L$6,MATCH($C432,Parametros_ANEC73!$A$4:$A$6,0))</f>
        <v>0</v>
      </c>
      <c r="T432" s="39" t="n">
        <f aca="false">INDEX(Parametros_ANEC73!$B$14:$B$25,MATCH($B432,Parametros_ANEC73!$A$14:$A$25,0))</f>
        <v>0</v>
      </c>
      <c r="U432" s="40" t="n">
        <f aca="false">IF(OR($D432=0,$G432=""),0,$D432*($T432/100)*($L432*$Q432+$N432*(IF($R432="",$Q432,$R432)-$Q432)+$P432*(IF($S432="",IF($R432="",$Q432,$R432),$S432)-IF($R432="",$Q432,$R432))))</f>
        <v>0</v>
      </c>
      <c r="V432" s="41" t="str">
        <f aca="false">IF(OR($D432=0,$G432=""),"",IF($H432*($E432-INDEX(Parametros_ANEC73!$M$4:$M$6,MATCH($C432,Parametros_ANEC73!$A$4:$A$6,0)))&gt;0,"Sim","Nao"))</f>
        <v/>
      </c>
      <c r="W432" s="27" t="str">
        <f aca="false">$A432&amp;"|"&amp;$B432&amp;"|"&amp;$C432</f>
        <v>Novo07|Dez|Umidade</v>
      </c>
    </row>
    <row r="433" customFormat="false" ht="15" hidden="false" customHeight="false" outlineLevel="0" collapsed="false">
      <c r="A433" s="27" t="s">
        <v>50</v>
      </c>
      <c r="B433" s="27" t="s">
        <v>69</v>
      </c>
      <c r="C433" s="27" t="s">
        <v>111</v>
      </c>
      <c r="D433" s="34" t="n">
        <f aca="false">SUMIFS(Media_Cliente_Mes!$C$2:$C$145,Media_Cliente_Mes!$A$2:$A$145,$A433,Media_Cliente_Mes!$B$2:$B$145,$B433)</f>
        <v>0</v>
      </c>
      <c r="E433" s="35" t="str">
        <f aca="false">IF($D433=0,"",IF($C433="Proteina",SUMIFS(Media_Cliente_Mes!$D$2:$D$145,Media_Cliente_Mes!$A$2:$A$145,$A433,Media_Cliente_Mes!$B$2:$B$145,$B433),IF($C433="Umidade",SUMIFS(Media_Cliente_Mes!$E$2:$E$145,Media_Cliente_Mes!$A$2:$A$145,$A433,Media_Cliente_Mes!$B$2:$B$145,$B433),SUMIFS(Media_Cliente_Mes!$F$2:$F$145,Media_Cliente_Mes!$A$2:$A$145,$A433,Media_Cliente_Mes!$B$2:$B$145,$B433))))</f>
        <v/>
      </c>
      <c r="F433" s="35" t="n">
        <f aca="false">INDEX(Parametros_ANEC73!$C$4:$C$6,MATCH($C433,Parametros_ANEC73!$A$4:$A$6,0))</f>
        <v>3.5</v>
      </c>
      <c r="G433" s="35" t="str">
        <f aca="false">IF($C433="Proteina",INDEX(Media_Pool_Mes!$C$2:$C$13,MATCH($B433,Media_Pool_Mes!$A$2:$A$13,0)),IF($C433="Umidade",INDEX(Media_Pool_Mes!$D$2:$D$13,MATCH($B433,Media_Pool_Mes!$A$2:$A$13,0)),INDEX(Media_Pool_Mes!$E$2:$E$13,MATCH($B433,Media_Pool_Mes!$A$2:$A$13,0))))</f>
        <v/>
      </c>
      <c r="H433" s="37" t="n">
        <f aca="false">INDEX(Parametros_ANEC73!$B$4:$B$6,MATCH($C433,Parametros_ANEC73!$A$4:$A$6,0))</f>
        <v>1</v>
      </c>
      <c r="I433" s="38" t="str">
        <f aca="false">IF(OR($D433=0,$G433=""),"",IF($H433*($G433-$F433)&gt;0,$G433,$F433))</f>
        <v/>
      </c>
      <c r="J433" s="27" t="str">
        <f aca="false">IF(OR($D433=0,$G433=""),"",IF($H433*($G433-$F433)&gt;0,"Sim","Nao"))</f>
        <v/>
      </c>
      <c r="K433" s="27" t="str">
        <f aca="false">IF(OR($D433=0,$G433=""),"",IF(AND($H433*($E433-$F433)&gt;0,$H433*($E433-$G433)&gt;0),"Sim","Nao"))</f>
        <v/>
      </c>
      <c r="L433" s="38" t="n">
        <f aca="false">IF(OR($D433=0,$G433=""),0,IF($K433="Sim",MAX(0,$H433*($E433-$I433)),0))</f>
        <v>0</v>
      </c>
      <c r="M433" s="35" t="n">
        <f aca="false">INDEX(Parametros_ANEC73!$G$4:$G$6,MATCH($C433,Parametros_ANEC73!$A$4:$A$6,0))</f>
        <v>3.8</v>
      </c>
      <c r="N433" s="38" t="n">
        <f aca="false">IF(OR($D433=0,$G433=""),0,IF(AND($K433="Sim",$M433&lt;&gt;""),MAX(0,$H433*($E433-$M433)),0))</f>
        <v>0</v>
      </c>
      <c r="O433" s="35" t="n">
        <f aca="false">INDEX(Parametros_ANEC73!$J$4:$J$6,MATCH($C433,Parametros_ANEC73!$A$4:$A$6,0))</f>
        <v>4</v>
      </c>
      <c r="P433" s="38" t="n">
        <f aca="false">IF(OR($D433=0,$G433=""),0,IF(AND($K433="Sim",$O433&lt;&gt;""),MAX(0,$H433*($E433-$O433)),0))</f>
        <v>0</v>
      </c>
      <c r="Q433" s="35" t="n">
        <f aca="false">INDEX(Parametros_ANEC73!$F$4:$F$6,MATCH($C433,Parametros_ANEC73!$A$4:$A$6,0))</f>
        <v>1</v>
      </c>
      <c r="R433" s="35" t="n">
        <f aca="false">INDEX(Parametros_ANEC73!$I$4:$I$6,MATCH($C433,Parametros_ANEC73!$A$4:$A$6,0))</f>
        <v>1.5</v>
      </c>
      <c r="S433" s="35" t="n">
        <f aca="false">INDEX(Parametros_ANEC73!$L$4:$L$6,MATCH($C433,Parametros_ANEC73!$A$4:$A$6,0))</f>
        <v>2</v>
      </c>
      <c r="T433" s="39" t="n">
        <f aca="false">INDEX(Parametros_ANEC73!$B$14:$B$25,MATCH($B433,Parametros_ANEC73!$A$14:$A$25,0))</f>
        <v>0</v>
      </c>
      <c r="U433" s="40" t="n">
        <f aca="false">IF(OR($D433=0,$G433=""),0,$D433*($T433/100)*($L433*$Q433+$N433*(IF($R433="",$Q433,$R433)-$Q433)+$P433*(IF($S433="",IF($R433="",$Q433,$R433),$S433)-IF($R433="",$Q433,$R433))))</f>
        <v>0</v>
      </c>
      <c r="V433" s="41" t="str">
        <f aca="false">IF(OR($D433=0,$G433=""),"",IF($H433*($E433-INDEX(Parametros_ANEC73!$M$4:$M$6,MATCH($C433,Parametros_ANEC73!$A$4:$A$6,0)))&gt;0,"Sim","Nao"))</f>
        <v/>
      </c>
      <c r="W433" s="27" t="str">
        <f aca="false">$A433&amp;"|"&amp;$B433&amp;"|"&amp;$C433</f>
        <v>Novo07|Dez|Fibra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7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22.35" hidden="false" customHeight="false" outlineLevel="0" collapsed="false">
      <c r="A1" s="36" t="s">
        <v>123</v>
      </c>
      <c r="B1" s="36" t="s">
        <v>86</v>
      </c>
      <c r="C1" s="36" t="s">
        <v>104</v>
      </c>
      <c r="D1" s="36" t="s">
        <v>75</v>
      </c>
      <c r="E1" s="36" t="s">
        <v>219</v>
      </c>
      <c r="F1" s="36" t="s">
        <v>226</v>
      </c>
      <c r="G1" s="36" t="s">
        <v>229</v>
      </c>
      <c r="H1" s="36" t="s">
        <v>230</v>
      </c>
      <c r="I1" s="36" t="s">
        <v>231</v>
      </c>
      <c r="J1" s="36" t="s">
        <v>232</v>
      </c>
      <c r="K1" s="36" t="s">
        <v>233</v>
      </c>
      <c r="L1" s="36" t="s">
        <v>234</v>
      </c>
    </row>
    <row r="2" customFormat="false" ht="15" hidden="false" customHeight="false" outlineLevel="0" collapsed="false">
      <c r="A2" s="27" t="s">
        <v>39</v>
      </c>
      <c r="B2" s="27" t="s">
        <v>38</v>
      </c>
      <c r="C2" s="27" t="s">
        <v>109</v>
      </c>
      <c r="D2" s="34" t="n">
        <f aca="false">SUMIFS(Desconto_Cliente_Mes!$D$2:$D$433,Desconto_Cliente_Mes!$A$2:$A$433,$A2,Desconto_Cliente_Mes!$B$2:$B$433,$B2,Desconto_Cliente_Mes!$C$2:$C$433,$C2)</f>
        <v>0</v>
      </c>
      <c r="E2" s="37" t="str">
        <f aca="false">INDEX(Desconto_Cliente_Mes!$K$2:$K$433,MATCH($A2&amp;"|"&amp;$B2&amp;"|"&amp;$C2,Desconto_Cliente_Mes!$W$2:$W$433,0))</f>
        <v/>
      </c>
      <c r="F2" s="39" t="n">
        <f aca="false">SUMIFS(Desconto_Cliente_Mes!$U$2:$U$433,Desconto_Cliente_Mes!$A$2:$A$433,$A2,Desconto_Cliente_Mes!$B$2:$B$433,$B2,Desconto_Cliente_Mes!$C$2:$C$433,$C2)</f>
        <v>0</v>
      </c>
      <c r="G2" s="39" t="n">
        <f aca="false">SUMIFS(Desconto_Cliente_Mes!$U$2:$U$433,Desconto_Cliente_Mes!$B$2:$B$433,$B2,Desconto_Cliente_Mes!$C$2:$C$433,$C2,Desconto_Cliente_Mes!$K$2:$K$433,"Sim")</f>
        <v>91377.0669671845</v>
      </c>
      <c r="H2" s="37" t="n">
        <f aca="false">SUMIFS(Desconto_Cliente_Mes!$D$2:$D$433,Desconto_Cliente_Mes!$B$2:$B$433,$B2,Desconto_Cliente_Mes!$C$2:$C$433,$C2,Desconto_Cliente_Mes!$K$2:$K$433,"Nao",Desconto_Cliente_Mes!$D$2:$D$433,"&gt;0")</f>
        <v>58734.34</v>
      </c>
      <c r="I2" s="42" t="n">
        <f aca="false">IF(AND($E2="Nao",$D2&gt;0,$H2&gt;0),$D2/$H2,0)</f>
        <v>0</v>
      </c>
      <c r="J2" s="40" t="n">
        <f aca="false">$I2*$G2</f>
        <v>0</v>
      </c>
      <c r="K2" s="40" t="n">
        <f aca="false">$J2-$F2</f>
        <v>0</v>
      </c>
      <c r="L2" s="27" t="str">
        <f aca="false">IF($D2=0,"Sem embarque",IF($K2&gt;0,"Recebe","Paga"))</f>
        <v>Sem embarque</v>
      </c>
    </row>
    <row r="3" customFormat="false" ht="15" hidden="false" customHeight="false" outlineLevel="0" collapsed="false">
      <c r="A3" s="27" t="s">
        <v>39</v>
      </c>
      <c r="B3" s="27" t="s">
        <v>38</v>
      </c>
      <c r="C3" s="27" t="s">
        <v>110</v>
      </c>
      <c r="D3" s="34" t="n">
        <f aca="false">SUMIFS(Desconto_Cliente_Mes!$D$2:$D$433,Desconto_Cliente_Mes!$A$2:$A$433,$A3,Desconto_Cliente_Mes!$B$2:$B$433,$B3,Desconto_Cliente_Mes!$C$2:$C$433,$C3)</f>
        <v>0</v>
      </c>
      <c r="E3" s="37" t="str">
        <f aca="false">INDEX(Desconto_Cliente_Mes!$K$2:$K$433,MATCH($A3&amp;"|"&amp;$B3&amp;"|"&amp;$C3,Desconto_Cliente_Mes!$W$2:$W$433,0))</f>
        <v/>
      </c>
      <c r="F3" s="39" t="n">
        <f aca="false">SUMIFS(Desconto_Cliente_Mes!$U$2:$U$433,Desconto_Cliente_Mes!$A$2:$A$433,$A3,Desconto_Cliente_Mes!$B$2:$B$433,$B3,Desconto_Cliente_Mes!$C$2:$C$433,$C3)</f>
        <v>0</v>
      </c>
      <c r="G3" s="39" t="n">
        <f aca="false">SUMIFS(Desconto_Cliente_Mes!$U$2:$U$433,Desconto_Cliente_Mes!$B$2:$B$433,$B3,Desconto_Cliente_Mes!$C$2:$C$433,$C3,Desconto_Cliente_Mes!$K$2:$K$433,"Sim")</f>
        <v>0</v>
      </c>
      <c r="H3" s="37" t="n">
        <f aca="false">SUMIFS(Desconto_Cliente_Mes!$D$2:$D$433,Desconto_Cliente_Mes!$B$2:$B$433,$B3,Desconto_Cliente_Mes!$C$2:$C$433,$C3,Desconto_Cliente_Mes!$K$2:$K$433,"Nao",Desconto_Cliente_Mes!$D$2:$D$433,"&gt;0")</f>
        <v>263816.27</v>
      </c>
      <c r="I3" s="42" t="n">
        <f aca="false">IF(AND($E3="Nao",$D3&gt;0,$H3&gt;0),$D3/$H3,0)</f>
        <v>0</v>
      </c>
      <c r="J3" s="40" t="n">
        <f aca="false">$I3*$G3</f>
        <v>0</v>
      </c>
      <c r="K3" s="40" t="n">
        <f aca="false">$J3-$F3</f>
        <v>0</v>
      </c>
      <c r="L3" s="27" t="str">
        <f aca="false">IF($D3=0,"Sem embarque",IF($K3&gt;0,"Recebe","Paga"))</f>
        <v>Sem embarque</v>
      </c>
    </row>
    <row r="4" customFormat="false" ht="15" hidden="false" customHeight="false" outlineLevel="0" collapsed="false">
      <c r="A4" s="27" t="s">
        <v>39</v>
      </c>
      <c r="B4" s="27" t="s">
        <v>38</v>
      </c>
      <c r="C4" s="27" t="s">
        <v>111</v>
      </c>
      <c r="D4" s="34" t="n">
        <f aca="false">SUMIFS(Desconto_Cliente_Mes!$D$2:$D$433,Desconto_Cliente_Mes!$A$2:$A$433,$A4,Desconto_Cliente_Mes!$B$2:$B$433,$B4,Desconto_Cliente_Mes!$C$2:$C$433,$C4)</f>
        <v>0</v>
      </c>
      <c r="E4" s="37" t="str">
        <f aca="false">INDEX(Desconto_Cliente_Mes!$K$2:$K$433,MATCH($A4&amp;"|"&amp;$B4&amp;"|"&amp;$C4,Desconto_Cliente_Mes!$W$2:$W$433,0))</f>
        <v/>
      </c>
      <c r="F4" s="39" t="n">
        <f aca="false">SUMIFS(Desconto_Cliente_Mes!$U$2:$U$433,Desconto_Cliente_Mes!$A$2:$A$433,$A4,Desconto_Cliente_Mes!$B$2:$B$433,$B4,Desconto_Cliente_Mes!$C$2:$C$433,$C4)</f>
        <v>0</v>
      </c>
      <c r="G4" s="39" t="n">
        <f aca="false">SUMIFS(Desconto_Cliente_Mes!$U$2:$U$433,Desconto_Cliente_Mes!$B$2:$B$433,$B4,Desconto_Cliente_Mes!$C$2:$C$433,$C4,Desconto_Cliente_Mes!$K$2:$K$433,"Sim")</f>
        <v>71216.4191325092</v>
      </c>
      <c r="H4" s="37" t="n">
        <f aca="false">SUMIFS(Desconto_Cliente_Mes!$D$2:$D$433,Desconto_Cliente_Mes!$B$2:$B$433,$B4,Desconto_Cliente_Mes!$C$2:$C$433,$C4,Desconto_Cliente_Mes!$K$2:$K$433,"Nao",Desconto_Cliente_Mes!$D$2:$D$433,"&gt;0")</f>
        <v>116867.62</v>
      </c>
      <c r="I4" s="42" t="n">
        <f aca="false">IF(AND($E4="Nao",$D4&gt;0,$H4&gt;0),$D4/$H4,0)</f>
        <v>0</v>
      </c>
      <c r="J4" s="40" t="n">
        <f aca="false">$I4*$G4</f>
        <v>0</v>
      </c>
      <c r="K4" s="40" t="n">
        <f aca="false">$J4-$F4</f>
        <v>0</v>
      </c>
      <c r="L4" s="27" t="str">
        <f aca="false">IF($D4=0,"Sem embarque",IF($K4&gt;0,"Recebe","Paga"))</f>
        <v>Sem embarque</v>
      </c>
    </row>
    <row r="5" customFormat="false" ht="15" hidden="false" customHeight="false" outlineLevel="0" collapsed="false">
      <c r="A5" s="27" t="s">
        <v>39</v>
      </c>
      <c r="B5" s="27" t="s">
        <v>59</v>
      </c>
      <c r="C5" s="27" t="s">
        <v>109</v>
      </c>
      <c r="D5" s="34" t="n">
        <f aca="false">SUMIFS(Desconto_Cliente_Mes!$D$2:$D$433,Desconto_Cliente_Mes!$A$2:$A$433,$A5,Desconto_Cliente_Mes!$B$2:$B$433,$B5,Desconto_Cliente_Mes!$C$2:$C$433,$C5)</f>
        <v>0</v>
      </c>
      <c r="E5" s="37" t="str">
        <f aca="false">INDEX(Desconto_Cliente_Mes!$K$2:$K$433,MATCH($A5&amp;"|"&amp;$B5&amp;"|"&amp;$C5,Desconto_Cliente_Mes!$W$2:$W$433,0))</f>
        <v/>
      </c>
      <c r="F5" s="39" t="n">
        <f aca="false">SUMIFS(Desconto_Cliente_Mes!$U$2:$U$433,Desconto_Cliente_Mes!$A$2:$A$433,$A5,Desconto_Cliente_Mes!$B$2:$B$433,$B5,Desconto_Cliente_Mes!$C$2:$C$433,$C5)</f>
        <v>0</v>
      </c>
      <c r="G5" s="39" t="n">
        <f aca="false">SUMIFS(Desconto_Cliente_Mes!$U$2:$U$433,Desconto_Cliente_Mes!$B$2:$B$433,$B5,Desconto_Cliente_Mes!$C$2:$C$433,$C5,Desconto_Cliente_Mes!$K$2:$K$433,"Sim")</f>
        <v>166858.825867758</v>
      </c>
      <c r="H5" s="37" t="n">
        <f aca="false">SUMIFS(Desconto_Cliente_Mes!$D$2:$D$433,Desconto_Cliente_Mes!$B$2:$B$433,$B5,Desconto_Cliente_Mes!$C$2:$C$433,$C5,Desconto_Cliente_Mes!$K$2:$K$433,"Nao",Desconto_Cliente_Mes!$D$2:$D$433,"&gt;0")</f>
        <v>83594.61</v>
      </c>
      <c r="I5" s="42" t="n">
        <f aca="false">IF(AND($E5="Nao",$D5&gt;0,$H5&gt;0),$D5/$H5,0)</f>
        <v>0</v>
      </c>
      <c r="J5" s="40" t="n">
        <f aca="false">$I5*$G5</f>
        <v>0</v>
      </c>
      <c r="K5" s="40" t="n">
        <f aca="false">$J5-$F5</f>
        <v>0</v>
      </c>
      <c r="L5" s="27" t="str">
        <f aca="false">IF($D5=0,"Sem embarque",IF($K5&gt;0,"Recebe","Paga"))</f>
        <v>Sem embarque</v>
      </c>
    </row>
    <row r="6" customFormat="false" ht="15" hidden="false" customHeight="false" outlineLevel="0" collapsed="false">
      <c r="A6" s="27" t="s">
        <v>39</v>
      </c>
      <c r="B6" s="27" t="s">
        <v>59</v>
      </c>
      <c r="C6" s="27" t="s">
        <v>110</v>
      </c>
      <c r="D6" s="34" t="n">
        <f aca="false">SUMIFS(Desconto_Cliente_Mes!$D$2:$D$433,Desconto_Cliente_Mes!$A$2:$A$433,$A6,Desconto_Cliente_Mes!$B$2:$B$433,$B6,Desconto_Cliente_Mes!$C$2:$C$433,$C6)</f>
        <v>0</v>
      </c>
      <c r="E6" s="37" t="str">
        <f aca="false">INDEX(Desconto_Cliente_Mes!$K$2:$K$433,MATCH($A6&amp;"|"&amp;$B6&amp;"|"&amp;$C6,Desconto_Cliente_Mes!$W$2:$W$433,0))</f>
        <v/>
      </c>
      <c r="F6" s="39" t="n">
        <f aca="false">SUMIFS(Desconto_Cliente_Mes!$U$2:$U$433,Desconto_Cliente_Mes!$A$2:$A$433,$A6,Desconto_Cliente_Mes!$B$2:$B$433,$B6,Desconto_Cliente_Mes!$C$2:$C$433,$C6)</f>
        <v>0</v>
      </c>
      <c r="G6" s="39" t="n">
        <f aca="false">SUMIFS(Desconto_Cliente_Mes!$U$2:$U$433,Desconto_Cliente_Mes!$B$2:$B$433,$B6,Desconto_Cliente_Mes!$C$2:$C$433,$C6,Desconto_Cliente_Mes!$K$2:$K$433,"Sim")</f>
        <v>8132.39257800007</v>
      </c>
      <c r="H6" s="37" t="n">
        <f aca="false">SUMIFS(Desconto_Cliente_Mes!$D$2:$D$433,Desconto_Cliente_Mes!$B$2:$B$433,$B6,Desconto_Cliente_Mes!$C$2:$C$433,$C6,Desconto_Cliente_Mes!$K$2:$K$433,"Nao",Desconto_Cliente_Mes!$D$2:$D$433,"&gt;0")</f>
        <v>289730.52</v>
      </c>
      <c r="I6" s="42" t="n">
        <f aca="false">IF(AND($E6="Nao",$D6&gt;0,$H6&gt;0),$D6/$H6,0)</f>
        <v>0</v>
      </c>
      <c r="J6" s="40" t="n">
        <f aca="false">$I6*$G6</f>
        <v>0</v>
      </c>
      <c r="K6" s="40" t="n">
        <f aca="false">$J6-$F6</f>
        <v>0</v>
      </c>
      <c r="L6" s="27" t="str">
        <f aca="false">IF($D6=0,"Sem embarque",IF($K6&gt;0,"Recebe","Paga"))</f>
        <v>Sem embarque</v>
      </c>
    </row>
    <row r="7" customFormat="false" ht="15" hidden="false" customHeight="false" outlineLevel="0" collapsed="false">
      <c r="A7" s="27" t="s">
        <v>39</v>
      </c>
      <c r="B7" s="27" t="s">
        <v>59</v>
      </c>
      <c r="C7" s="27" t="s">
        <v>111</v>
      </c>
      <c r="D7" s="34" t="n">
        <f aca="false">SUMIFS(Desconto_Cliente_Mes!$D$2:$D$433,Desconto_Cliente_Mes!$A$2:$A$433,$A7,Desconto_Cliente_Mes!$B$2:$B$433,$B7,Desconto_Cliente_Mes!$C$2:$C$433,$C7)</f>
        <v>0</v>
      </c>
      <c r="E7" s="37" t="str">
        <f aca="false">INDEX(Desconto_Cliente_Mes!$K$2:$K$433,MATCH($A7&amp;"|"&amp;$B7&amp;"|"&amp;$C7,Desconto_Cliente_Mes!$W$2:$W$433,0))</f>
        <v/>
      </c>
      <c r="F7" s="39" t="n">
        <f aca="false">SUMIFS(Desconto_Cliente_Mes!$U$2:$U$433,Desconto_Cliente_Mes!$A$2:$A$433,$A7,Desconto_Cliente_Mes!$B$2:$B$433,$B7,Desconto_Cliente_Mes!$C$2:$C$433,$C7)</f>
        <v>0</v>
      </c>
      <c r="G7" s="39" t="n">
        <f aca="false">SUMIFS(Desconto_Cliente_Mes!$U$2:$U$433,Desconto_Cliente_Mes!$B$2:$B$433,$B7,Desconto_Cliente_Mes!$C$2:$C$433,$C7,Desconto_Cliente_Mes!$K$2:$K$433,"Sim")</f>
        <v>47707.8352836299</v>
      </c>
      <c r="H7" s="37" t="n">
        <f aca="false">SUMIFS(Desconto_Cliente_Mes!$D$2:$D$433,Desconto_Cliente_Mes!$B$2:$B$433,$B7,Desconto_Cliente_Mes!$C$2:$C$433,$C7,Desconto_Cliente_Mes!$K$2:$K$433,"Nao",Desconto_Cliente_Mes!$D$2:$D$433,"&gt;0")</f>
        <v>185268.24</v>
      </c>
      <c r="I7" s="42" t="n">
        <f aca="false">IF(AND($E7="Nao",$D7&gt;0,$H7&gt;0),$D7/$H7,0)</f>
        <v>0</v>
      </c>
      <c r="J7" s="40" t="n">
        <f aca="false">$I7*$G7</f>
        <v>0</v>
      </c>
      <c r="K7" s="40" t="n">
        <f aca="false">$J7-$F7</f>
        <v>0</v>
      </c>
      <c r="L7" s="27" t="str">
        <f aca="false">IF($D7=0,"Sem embarque",IF($K7&gt;0,"Recebe","Paga"))</f>
        <v>Sem embarque</v>
      </c>
    </row>
    <row r="8" customFormat="false" ht="15" hidden="false" customHeight="false" outlineLevel="0" collapsed="false">
      <c r="A8" s="27" t="s">
        <v>39</v>
      </c>
      <c r="B8" s="27" t="s">
        <v>60</v>
      </c>
      <c r="C8" s="27" t="s">
        <v>109</v>
      </c>
      <c r="D8" s="34" t="n">
        <f aca="false">SUMIFS(Desconto_Cliente_Mes!$D$2:$D$433,Desconto_Cliente_Mes!$A$2:$A$433,$A8,Desconto_Cliente_Mes!$B$2:$B$433,$B8,Desconto_Cliente_Mes!$C$2:$C$433,$C8)</f>
        <v>0</v>
      </c>
      <c r="E8" s="37" t="str">
        <f aca="false">INDEX(Desconto_Cliente_Mes!$K$2:$K$433,MATCH($A8&amp;"|"&amp;$B8&amp;"|"&amp;$C8,Desconto_Cliente_Mes!$W$2:$W$433,0))</f>
        <v/>
      </c>
      <c r="F8" s="39" t="n">
        <f aca="false">SUMIFS(Desconto_Cliente_Mes!$U$2:$U$433,Desconto_Cliente_Mes!$A$2:$A$433,$A8,Desconto_Cliente_Mes!$B$2:$B$433,$B8,Desconto_Cliente_Mes!$C$2:$C$433,$C8)</f>
        <v>0</v>
      </c>
      <c r="G8" s="39" t="n">
        <f aca="false">SUMIFS(Desconto_Cliente_Mes!$U$2:$U$433,Desconto_Cliente_Mes!$B$2:$B$433,$B8,Desconto_Cliente_Mes!$C$2:$C$433,$C8,Desconto_Cliente_Mes!$K$2:$K$433,"Sim")</f>
        <v>75633.0761548471</v>
      </c>
      <c r="H8" s="37" t="n">
        <f aca="false">SUMIFS(Desconto_Cliente_Mes!$D$2:$D$433,Desconto_Cliente_Mes!$B$2:$B$433,$B8,Desconto_Cliente_Mes!$C$2:$C$433,$C8,Desconto_Cliente_Mes!$K$2:$K$433,"Nao",Desconto_Cliente_Mes!$D$2:$D$433,"&gt;0")</f>
        <v>55750.4</v>
      </c>
      <c r="I8" s="42" t="n">
        <f aca="false">IF(AND($E8="Nao",$D8&gt;0,$H8&gt;0),$D8/$H8,0)</f>
        <v>0</v>
      </c>
      <c r="J8" s="40" t="n">
        <f aca="false">$I8*$G8</f>
        <v>0</v>
      </c>
      <c r="K8" s="40" t="n">
        <f aca="false">$J8-$F8</f>
        <v>0</v>
      </c>
      <c r="L8" s="27" t="str">
        <f aca="false">IF($D8=0,"Sem embarque",IF($K8&gt;0,"Recebe","Paga"))</f>
        <v>Sem embarque</v>
      </c>
    </row>
    <row r="9" customFormat="false" ht="15" hidden="false" customHeight="false" outlineLevel="0" collapsed="false">
      <c r="A9" s="27" t="s">
        <v>39</v>
      </c>
      <c r="B9" s="27" t="s">
        <v>60</v>
      </c>
      <c r="C9" s="27" t="s">
        <v>110</v>
      </c>
      <c r="D9" s="34" t="n">
        <f aca="false">SUMIFS(Desconto_Cliente_Mes!$D$2:$D$433,Desconto_Cliente_Mes!$A$2:$A$433,$A9,Desconto_Cliente_Mes!$B$2:$B$433,$B9,Desconto_Cliente_Mes!$C$2:$C$433,$C9)</f>
        <v>0</v>
      </c>
      <c r="E9" s="37" t="str">
        <f aca="false">INDEX(Desconto_Cliente_Mes!$K$2:$K$433,MATCH($A9&amp;"|"&amp;$B9&amp;"|"&amp;$C9,Desconto_Cliente_Mes!$W$2:$W$433,0))</f>
        <v/>
      </c>
      <c r="F9" s="39" t="n">
        <f aca="false">SUMIFS(Desconto_Cliente_Mes!$U$2:$U$433,Desconto_Cliente_Mes!$A$2:$A$433,$A9,Desconto_Cliente_Mes!$B$2:$B$433,$B9,Desconto_Cliente_Mes!$C$2:$C$433,$C9)</f>
        <v>0</v>
      </c>
      <c r="G9" s="39" t="n">
        <f aca="false">SUMIFS(Desconto_Cliente_Mes!$U$2:$U$433,Desconto_Cliente_Mes!$B$2:$B$433,$B9,Desconto_Cliente_Mes!$C$2:$C$433,$C9,Desconto_Cliente_Mes!$K$2:$K$433,"Sim")</f>
        <v>0</v>
      </c>
      <c r="H9" s="37" t="n">
        <f aca="false">SUMIFS(Desconto_Cliente_Mes!$D$2:$D$433,Desconto_Cliente_Mes!$B$2:$B$433,$B9,Desconto_Cliente_Mes!$C$2:$C$433,$C9,Desconto_Cliente_Mes!$K$2:$K$433,"Nao",Desconto_Cliente_Mes!$D$2:$D$433,"&gt;0")</f>
        <v>240729.22</v>
      </c>
      <c r="I9" s="42" t="n">
        <f aca="false">IF(AND($E9="Nao",$D9&gt;0,$H9&gt;0),$D9/$H9,0)</f>
        <v>0</v>
      </c>
      <c r="J9" s="40" t="n">
        <f aca="false">$I9*$G9</f>
        <v>0</v>
      </c>
      <c r="K9" s="40" t="n">
        <f aca="false">$J9-$F9</f>
        <v>0</v>
      </c>
      <c r="L9" s="27" t="str">
        <f aca="false">IF($D9=0,"Sem embarque",IF($K9&gt;0,"Recebe","Paga"))</f>
        <v>Sem embarque</v>
      </c>
    </row>
    <row r="10" customFormat="false" ht="15" hidden="false" customHeight="false" outlineLevel="0" collapsed="false">
      <c r="A10" s="27" t="s">
        <v>39</v>
      </c>
      <c r="B10" s="27" t="s">
        <v>60</v>
      </c>
      <c r="C10" s="27" t="s">
        <v>111</v>
      </c>
      <c r="D10" s="34" t="n">
        <f aca="false">SUMIFS(Desconto_Cliente_Mes!$D$2:$D$433,Desconto_Cliente_Mes!$A$2:$A$433,$A10,Desconto_Cliente_Mes!$B$2:$B$433,$B10,Desconto_Cliente_Mes!$C$2:$C$433,$C10)</f>
        <v>0</v>
      </c>
      <c r="E10" s="37" t="str">
        <f aca="false">INDEX(Desconto_Cliente_Mes!$K$2:$K$433,MATCH($A10&amp;"|"&amp;$B10&amp;"|"&amp;$C10,Desconto_Cliente_Mes!$W$2:$W$433,0))</f>
        <v/>
      </c>
      <c r="F10" s="39" t="n">
        <f aca="false">SUMIFS(Desconto_Cliente_Mes!$U$2:$U$433,Desconto_Cliente_Mes!$A$2:$A$433,$A10,Desconto_Cliente_Mes!$B$2:$B$433,$B10,Desconto_Cliente_Mes!$C$2:$C$433,$C10)</f>
        <v>0</v>
      </c>
      <c r="G10" s="39" t="n">
        <f aca="false">SUMIFS(Desconto_Cliente_Mes!$U$2:$U$433,Desconto_Cliente_Mes!$B$2:$B$433,$B10,Desconto_Cliente_Mes!$C$2:$C$433,$C10,Desconto_Cliente_Mes!$K$2:$K$433,"Sim")</f>
        <v>15973.4860651284</v>
      </c>
      <c r="H10" s="37" t="n">
        <f aca="false">SUMIFS(Desconto_Cliente_Mes!$D$2:$D$433,Desconto_Cliente_Mes!$B$2:$B$433,$B10,Desconto_Cliente_Mes!$C$2:$C$433,$C10,Desconto_Cliente_Mes!$K$2:$K$433,"Nao",Desconto_Cliente_Mes!$D$2:$D$433,"&gt;0")</f>
        <v>55750.4</v>
      </c>
      <c r="I10" s="42" t="n">
        <f aca="false">IF(AND($E10="Nao",$D10&gt;0,$H10&gt;0),$D10/$H10,0)</f>
        <v>0</v>
      </c>
      <c r="J10" s="40" t="n">
        <f aca="false">$I10*$G10</f>
        <v>0</v>
      </c>
      <c r="K10" s="40" t="n">
        <f aca="false">$J10-$F10</f>
        <v>0</v>
      </c>
      <c r="L10" s="27" t="str">
        <f aca="false">IF($D10=0,"Sem embarque",IF($K10&gt;0,"Recebe","Paga"))</f>
        <v>Sem embarque</v>
      </c>
    </row>
    <row r="11" customFormat="false" ht="15" hidden="false" customHeight="false" outlineLevel="0" collapsed="false">
      <c r="A11" s="27" t="s">
        <v>39</v>
      </c>
      <c r="B11" s="27" t="s">
        <v>61</v>
      </c>
      <c r="C11" s="27" t="s">
        <v>109</v>
      </c>
      <c r="D11" s="34" t="n">
        <f aca="false">SUMIFS(Desconto_Cliente_Mes!$D$2:$D$433,Desconto_Cliente_Mes!$A$2:$A$433,$A11,Desconto_Cliente_Mes!$B$2:$B$433,$B11,Desconto_Cliente_Mes!$C$2:$C$433,$C11)</f>
        <v>16786.6</v>
      </c>
      <c r="E11" s="37" t="str">
        <f aca="false">INDEX(Desconto_Cliente_Mes!$K$2:$K$433,MATCH($A11&amp;"|"&amp;$B11&amp;"|"&amp;$C11,Desconto_Cliente_Mes!$W$2:$W$433,0))</f>
        <v>Sim</v>
      </c>
      <c r="F11" s="39" t="n">
        <f aca="false">SUMIFS(Desconto_Cliente_Mes!$U$2:$U$433,Desconto_Cliente_Mes!$A$2:$A$433,$A11,Desconto_Cliente_Mes!$B$2:$B$433,$B11,Desconto_Cliente_Mes!$C$2:$C$433,$C11)</f>
        <v>11164.1856528379</v>
      </c>
      <c r="G11" s="39" t="n">
        <f aca="false">SUMIFS(Desconto_Cliente_Mes!$U$2:$U$433,Desconto_Cliente_Mes!$B$2:$B$433,$B11,Desconto_Cliente_Mes!$C$2:$C$433,$C11,Desconto_Cliente_Mes!$K$2:$K$433,"Sim")</f>
        <v>101062.110385431</v>
      </c>
      <c r="H11" s="37" t="n">
        <f aca="false">SUMIFS(Desconto_Cliente_Mes!$D$2:$D$433,Desconto_Cliente_Mes!$B$2:$B$433,$B11,Desconto_Cliente_Mes!$C$2:$C$433,$C11,Desconto_Cliente_Mes!$K$2:$K$433,"Nao",Desconto_Cliente_Mes!$D$2:$D$433,"&gt;0")</f>
        <v>195833.47</v>
      </c>
      <c r="I11" s="42" t="n">
        <f aca="false">IF(AND($E11="Nao",$D11&gt;0,$H11&gt;0),$D11/$H11,0)</f>
        <v>0</v>
      </c>
      <c r="J11" s="40" t="n">
        <f aca="false">$I11*$G11</f>
        <v>0</v>
      </c>
      <c r="K11" s="40" t="n">
        <f aca="false">$J11-$F11</f>
        <v>-11164.1856528379</v>
      </c>
      <c r="L11" s="27" t="str">
        <f aca="false">IF($D11=0,"Sem embarque",IF($K11&gt;0,"Recebe","Paga"))</f>
        <v>Paga</v>
      </c>
    </row>
    <row r="12" customFormat="false" ht="15" hidden="false" customHeight="false" outlineLevel="0" collapsed="false">
      <c r="A12" s="27" t="s">
        <v>39</v>
      </c>
      <c r="B12" s="27" t="s">
        <v>61</v>
      </c>
      <c r="C12" s="27" t="s">
        <v>110</v>
      </c>
      <c r="D12" s="34" t="n">
        <f aca="false">SUMIFS(Desconto_Cliente_Mes!$D$2:$D$433,Desconto_Cliente_Mes!$A$2:$A$433,$A12,Desconto_Cliente_Mes!$B$2:$B$433,$B12,Desconto_Cliente_Mes!$C$2:$C$433,$C12)</f>
        <v>16786.6</v>
      </c>
      <c r="E12" s="37" t="str">
        <f aca="false">INDEX(Desconto_Cliente_Mes!$K$2:$K$433,MATCH($A12&amp;"|"&amp;$B12&amp;"|"&amp;$C12,Desconto_Cliente_Mes!$W$2:$W$433,0))</f>
        <v>Nao</v>
      </c>
      <c r="F12" s="39" t="n">
        <f aca="false">SUMIFS(Desconto_Cliente_Mes!$U$2:$U$433,Desconto_Cliente_Mes!$A$2:$A$433,$A12,Desconto_Cliente_Mes!$B$2:$B$433,$B12,Desconto_Cliente_Mes!$C$2:$C$433,$C12)</f>
        <v>0</v>
      </c>
      <c r="G12" s="39" t="n">
        <f aca="false">SUMIFS(Desconto_Cliente_Mes!$U$2:$U$433,Desconto_Cliente_Mes!$B$2:$B$433,$B12,Desconto_Cliente_Mes!$C$2:$C$433,$C12,Desconto_Cliente_Mes!$K$2:$K$433,"Sim")</f>
        <v>89392.5188999994</v>
      </c>
      <c r="H12" s="37" t="n">
        <f aca="false">SUMIFS(Desconto_Cliente_Mes!$D$2:$D$433,Desconto_Cliente_Mes!$B$2:$B$433,$B12,Desconto_Cliente_Mes!$C$2:$C$433,$C12,Desconto_Cliente_Mes!$K$2:$K$433,"Nao",Desconto_Cliente_Mes!$D$2:$D$433,"&gt;0")</f>
        <v>315561.27</v>
      </c>
      <c r="I12" s="42" t="n">
        <f aca="false">IF(AND($E12="Nao",$D12&gt;0,$H12&gt;0),$D12/$H12,0)</f>
        <v>0.0531960084962264</v>
      </c>
      <c r="J12" s="40" t="n">
        <f aca="false">$I12*$G12</f>
        <v>4755.32519490345</v>
      </c>
      <c r="K12" s="40" t="n">
        <f aca="false">$J12-$F12</f>
        <v>4755.32519490345</v>
      </c>
      <c r="L12" s="27" t="str">
        <f aca="false">IF($D12=0,"Sem embarque",IF($K12&gt;0,"Recebe","Paga"))</f>
        <v>Recebe</v>
      </c>
    </row>
    <row r="13" customFormat="false" ht="15" hidden="false" customHeight="false" outlineLevel="0" collapsed="false">
      <c r="A13" s="27" t="s">
        <v>39</v>
      </c>
      <c r="B13" s="27" t="s">
        <v>61</v>
      </c>
      <c r="C13" s="27" t="s">
        <v>111</v>
      </c>
      <c r="D13" s="34" t="n">
        <f aca="false">SUMIFS(Desconto_Cliente_Mes!$D$2:$D$433,Desconto_Cliente_Mes!$A$2:$A$433,$A13,Desconto_Cliente_Mes!$B$2:$B$433,$B13,Desconto_Cliente_Mes!$C$2:$C$433,$C13)</f>
        <v>16786.6</v>
      </c>
      <c r="E13" s="37" t="str">
        <f aca="false">INDEX(Desconto_Cliente_Mes!$K$2:$K$433,MATCH($A13&amp;"|"&amp;$B13&amp;"|"&amp;$C13,Desconto_Cliente_Mes!$W$2:$W$433,0))</f>
        <v>Sim</v>
      </c>
      <c r="F13" s="39" t="n">
        <f aca="false">SUMIFS(Desconto_Cliente_Mes!$U$2:$U$433,Desconto_Cliente_Mes!$A$2:$A$433,$A13,Desconto_Cliente_Mes!$B$2:$B$433,$B13,Desconto_Cliente_Mes!$C$2:$C$433,$C13)</f>
        <v>6161.3716620637</v>
      </c>
      <c r="G13" s="39" t="n">
        <f aca="false">SUMIFS(Desconto_Cliente_Mes!$U$2:$U$433,Desconto_Cliente_Mes!$B$2:$B$433,$B13,Desconto_Cliente_Mes!$C$2:$C$433,$C13,Desconto_Cliente_Mes!$K$2:$K$433,"Sim")</f>
        <v>45945.9604253753</v>
      </c>
      <c r="H13" s="37" t="n">
        <f aca="false">SUMIFS(Desconto_Cliente_Mes!$D$2:$D$433,Desconto_Cliente_Mes!$B$2:$B$433,$B13,Desconto_Cliente_Mes!$C$2:$C$433,$C13,Desconto_Cliente_Mes!$K$2:$K$433,"Nao",Desconto_Cliente_Mes!$D$2:$D$433,"&gt;0")</f>
        <v>238706.16</v>
      </c>
      <c r="I13" s="42" t="n">
        <f aca="false">IF(AND($E13="Nao",$D13&gt;0,$H13&gt;0),$D13/$H13,0)</f>
        <v>0</v>
      </c>
      <c r="J13" s="40" t="n">
        <f aca="false">$I13*$G13</f>
        <v>0</v>
      </c>
      <c r="K13" s="40" t="n">
        <f aca="false">$J13-$F13</f>
        <v>-6161.3716620637</v>
      </c>
      <c r="L13" s="27" t="str">
        <f aca="false">IF($D13=0,"Sem embarque",IF($K13&gt;0,"Recebe","Paga"))</f>
        <v>Paga</v>
      </c>
    </row>
    <row r="14" customFormat="false" ht="15" hidden="false" customHeight="false" outlineLevel="0" collapsed="false">
      <c r="A14" s="27" t="s">
        <v>39</v>
      </c>
      <c r="B14" s="27" t="s">
        <v>62</v>
      </c>
      <c r="C14" s="27" t="s">
        <v>109</v>
      </c>
      <c r="D14" s="34" t="n">
        <f aca="false">SUMIFS(Desconto_Cliente_Mes!$D$2:$D$433,Desconto_Cliente_Mes!$A$2:$A$433,$A14,Desconto_Cliente_Mes!$B$2:$B$433,$B14,Desconto_Cliente_Mes!$C$2:$C$433,$C14)</f>
        <v>43820.37</v>
      </c>
      <c r="E14" s="37" t="str">
        <f aca="false">INDEX(Desconto_Cliente_Mes!$K$2:$K$433,MATCH($A14&amp;"|"&amp;$B14&amp;"|"&amp;$C14,Desconto_Cliente_Mes!$W$2:$W$433,0))</f>
        <v>Sim</v>
      </c>
      <c r="F14" s="39" t="n">
        <f aca="false">SUMIFS(Desconto_Cliente_Mes!$U$2:$U$433,Desconto_Cliente_Mes!$A$2:$A$433,$A14,Desconto_Cliente_Mes!$B$2:$B$433,$B14,Desconto_Cliente_Mes!$C$2:$C$433,$C14)</f>
        <v>7573.29672621064</v>
      </c>
      <c r="G14" s="39" t="n">
        <f aca="false">SUMIFS(Desconto_Cliente_Mes!$U$2:$U$433,Desconto_Cliente_Mes!$B$2:$B$433,$B14,Desconto_Cliente_Mes!$C$2:$C$433,$C14,Desconto_Cliente_Mes!$K$2:$K$433,"Sim")</f>
        <v>82370.9873921197</v>
      </c>
      <c r="H14" s="37" t="n">
        <f aca="false">SUMIFS(Desconto_Cliente_Mes!$D$2:$D$433,Desconto_Cliente_Mes!$B$2:$B$433,$B14,Desconto_Cliente_Mes!$C$2:$C$433,$C14,Desconto_Cliente_Mes!$K$2:$K$433,"Nao",Desconto_Cliente_Mes!$D$2:$D$433,"&gt;0")</f>
        <v>113342.84</v>
      </c>
      <c r="I14" s="42" t="n">
        <f aca="false">IF(AND($E14="Nao",$D14&gt;0,$H14&gt;0),$D14/$H14,0)</f>
        <v>0</v>
      </c>
      <c r="J14" s="40" t="n">
        <f aca="false">$I14*$G14</f>
        <v>0</v>
      </c>
      <c r="K14" s="40" t="n">
        <f aca="false">$J14-$F14</f>
        <v>-7573.29672621064</v>
      </c>
      <c r="L14" s="27" t="str">
        <f aca="false">IF($D14=0,"Sem embarque",IF($K14&gt;0,"Recebe","Paga"))</f>
        <v>Paga</v>
      </c>
    </row>
    <row r="15" customFormat="false" ht="15" hidden="false" customHeight="false" outlineLevel="0" collapsed="false">
      <c r="A15" s="27" t="s">
        <v>39</v>
      </c>
      <c r="B15" s="27" t="s">
        <v>62</v>
      </c>
      <c r="C15" s="27" t="s">
        <v>110</v>
      </c>
      <c r="D15" s="34" t="n">
        <f aca="false">SUMIFS(Desconto_Cliente_Mes!$D$2:$D$433,Desconto_Cliente_Mes!$A$2:$A$433,$A15,Desconto_Cliente_Mes!$B$2:$B$433,$B15,Desconto_Cliente_Mes!$C$2:$C$433,$C15)</f>
        <v>43820.37</v>
      </c>
      <c r="E15" s="37" t="str">
        <f aca="false">INDEX(Desconto_Cliente_Mes!$K$2:$K$433,MATCH($A15&amp;"|"&amp;$B15&amp;"|"&amp;$C15,Desconto_Cliente_Mes!$W$2:$W$433,0))</f>
        <v>Nao</v>
      </c>
      <c r="F15" s="39" t="n">
        <f aca="false">SUMIFS(Desconto_Cliente_Mes!$U$2:$U$433,Desconto_Cliente_Mes!$A$2:$A$433,$A15,Desconto_Cliente_Mes!$B$2:$B$433,$B15,Desconto_Cliente_Mes!$C$2:$C$433,$C15)</f>
        <v>0</v>
      </c>
      <c r="G15" s="39" t="n">
        <f aca="false">SUMIFS(Desconto_Cliente_Mes!$U$2:$U$433,Desconto_Cliente_Mes!$B$2:$B$433,$B15,Desconto_Cliente_Mes!$C$2:$C$433,$C15,Desconto_Cliente_Mes!$K$2:$K$433,"Sim")</f>
        <v>18695.6934849998</v>
      </c>
      <c r="H15" s="37" t="n">
        <f aca="false">SUMIFS(Desconto_Cliente_Mes!$D$2:$D$433,Desconto_Cliente_Mes!$B$2:$B$433,$B15,Desconto_Cliente_Mes!$C$2:$C$433,$C15,Desconto_Cliente_Mes!$K$2:$K$433,"Nao",Desconto_Cliente_Mes!$D$2:$D$433,"&gt;0")</f>
        <v>209144.13</v>
      </c>
      <c r="I15" s="42" t="n">
        <f aca="false">IF(AND($E15="Nao",$D15&gt;0,$H15&gt;0),$D15/$H15,0)</f>
        <v>0.209522351882408</v>
      </c>
      <c r="J15" s="40" t="n">
        <f aca="false">$I15*$G15</f>
        <v>3917.16566904977</v>
      </c>
      <c r="K15" s="40" t="n">
        <f aca="false">$J15-$F15</f>
        <v>3917.16566904977</v>
      </c>
      <c r="L15" s="27" t="str">
        <f aca="false">IF($D15=0,"Sem embarque",IF($K15&gt;0,"Recebe","Paga"))</f>
        <v>Recebe</v>
      </c>
    </row>
    <row r="16" customFormat="false" ht="15" hidden="false" customHeight="false" outlineLevel="0" collapsed="false">
      <c r="A16" s="27" t="s">
        <v>39</v>
      </c>
      <c r="B16" s="27" t="s">
        <v>62</v>
      </c>
      <c r="C16" s="27" t="s">
        <v>111</v>
      </c>
      <c r="D16" s="34" t="n">
        <f aca="false">SUMIFS(Desconto_Cliente_Mes!$D$2:$D$433,Desconto_Cliente_Mes!$A$2:$A$433,$A16,Desconto_Cliente_Mes!$B$2:$B$433,$B16,Desconto_Cliente_Mes!$C$2:$C$433,$C16)</f>
        <v>43820.37</v>
      </c>
      <c r="E16" s="37" t="str">
        <f aca="false">INDEX(Desconto_Cliente_Mes!$K$2:$K$433,MATCH($A16&amp;"|"&amp;$B16&amp;"|"&amp;$C16,Desconto_Cliente_Mes!$W$2:$W$433,0))</f>
        <v>Nao</v>
      </c>
      <c r="F16" s="39" t="n">
        <f aca="false">SUMIFS(Desconto_Cliente_Mes!$U$2:$U$433,Desconto_Cliente_Mes!$A$2:$A$433,$A16,Desconto_Cliente_Mes!$B$2:$B$433,$B16,Desconto_Cliente_Mes!$C$2:$C$433,$C16)</f>
        <v>0</v>
      </c>
      <c r="G16" s="39" t="n">
        <f aca="false">SUMIFS(Desconto_Cliente_Mes!$U$2:$U$433,Desconto_Cliente_Mes!$B$2:$B$433,$B16,Desconto_Cliente_Mes!$C$2:$C$433,$C16,Desconto_Cliente_Mes!$K$2:$K$433,"Sim")</f>
        <v>34643.0933013345</v>
      </c>
      <c r="H16" s="37" t="n">
        <f aca="false">SUMIFS(Desconto_Cliente_Mes!$D$2:$D$433,Desconto_Cliente_Mes!$B$2:$B$433,$B16,Desconto_Cliente_Mes!$C$2:$C$433,$C16,Desconto_Cliente_Mes!$K$2:$K$433,"Nao",Desconto_Cliente_Mes!$D$2:$D$433,"&gt;0")</f>
        <v>157163.21</v>
      </c>
      <c r="I16" s="42" t="n">
        <f aca="false">IF(AND($E16="Nao",$D16&gt;0,$H16&gt;0),$D16/$H16,0)</f>
        <v>0.278820787638532</v>
      </c>
      <c r="J16" s="40" t="n">
        <f aca="false">$I16*$G16</f>
        <v>9659.21456051324</v>
      </c>
      <c r="K16" s="40" t="n">
        <f aca="false">$J16-$F16</f>
        <v>9659.21456051324</v>
      </c>
      <c r="L16" s="27" t="str">
        <f aca="false">IF($D16=0,"Sem embarque",IF($K16&gt;0,"Recebe","Paga"))</f>
        <v>Recebe</v>
      </c>
    </row>
    <row r="17" customFormat="false" ht="15" hidden="false" customHeight="false" outlineLevel="0" collapsed="false">
      <c r="A17" s="27" t="s">
        <v>39</v>
      </c>
      <c r="B17" s="27" t="s">
        <v>63</v>
      </c>
      <c r="C17" s="27" t="s">
        <v>109</v>
      </c>
      <c r="D17" s="34" t="n">
        <f aca="false">SUMIFS(Desconto_Cliente_Mes!$D$2:$D$433,Desconto_Cliente_Mes!$A$2:$A$433,$A17,Desconto_Cliente_Mes!$B$2:$B$433,$B17,Desconto_Cliente_Mes!$C$2:$C$433,$C17)</f>
        <v>41353.91</v>
      </c>
      <c r="E17" s="37" t="str">
        <f aca="false">INDEX(Desconto_Cliente_Mes!$K$2:$K$433,MATCH($A17&amp;"|"&amp;$B17&amp;"|"&amp;$C17,Desconto_Cliente_Mes!$W$2:$W$433,0))</f>
        <v>Nao</v>
      </c>
      <c r="F17" s="39" t="n">
        <f aca="false">SUMIFS(Desconto_Cliente_Mes!$U$2:$U$433,Desconto_Cliente_Mes!$A$2:$A$433,$A17,Desconto_Cliente_Mes!$B$2:$B$433,$B17,Desconto_Cliente_Mes!$C$2:$C$433,$C17)</f>
        <v>0</v>
      </c>
      <c r="G17" s="39" t="n">
        <f aca="false">SUMIFS(Desconto_Cliente_Mes!$U$2:$U$433,Desconto_Cliente_Mes!$B$2:$B$433,$B17,Desconto_Cliente_Mes!$C$2:$C$433,$C17,Desconto_Cliente_Mes!$K$2:$K$433,"Sim")</f>
        <v>47810.1541211094</v>
      </c>
      <c r="H17" s="37" t="n">
        <f aca="false">SUMIFS(Desconto_Cliente_Mes!$D$2:$D$433,Desconto_Cliente_Mes!$B$2:$B$433,$B17,Desconto_Cliente_Mes!$C$2:$C$433,$C17,Desconto_Cliente_Mes!$K$2:$K$433,"Nao",Desconto_Cliente_Mes!$D$2:$D$433,"&gt;0")</f>
        <v>127871.4</v>
      </c>
      <c r="I17" s="42" t="n">
        <f aca="false">IF(AND($E17="Nao",$D17&gt;0,$H17&gt;0),$D17/$H17,0)</f>
        <v>0.323402340163633</v>
      </c>
      <c r="J17" s="40" t="n">
        <f aca="false">$I17*$G17</f>
        <v>15461.9157263507</v>
      </c>
      <c r="K17" s="40" t="n">
        <f aca="false">$J17-$F17</f>
        <v>15461.9157263507</v>
      </c>
      <c r="L17" s="27" t="str">
        <f aca="false">IF($D17=0,"Sem embarque",IF($K17&gt;0,"Recebe","Paga"))</f>
        <v>Recebe</v>
      </c>
    </row>
    <row r="18" customFormat="false" ht="15" hidden="false" customHeight="false" outlineLevel="0" collapsed="false">
      <c r="A18" s="27" t="s">
        <v>39</v>
      </c>
      <c r="B18" s="27" t="s">
        <v>63</v>
      </c>
      <c r="C18" s="27" t="s">
        <v>110</v>
      </c>
      <c r="D18" s="34" t="n">
        <f aca="false">SUMIFS(Desconto_Cliente_Mes!$D$2:$D$433,Desconto_Cliente_Mes!$A$2:$A$433,$A18,Desconto_Cliente_Mes!$B$2:$B$433,$B18,Desconto_Cliente_Mes!$C$2:$C$433,$C18)</f>
        <v>41353.91</v>
      </c>
      <c r="E18" s="37" t="str">
        <f aca="false">INDEX(Desconto_Cliente_Mes!$K$2:$K$433,MATCH($A18&amp;"|"&amp;$B18&amp;"|"&amp;$C18,Desconto_Cliente_Mes!$W$2:$W$433,0))</f>
        <v>Nao</v>
      </c>
      <c r="F18" s="39" t="n">
        <f aca="false">SUMIFS(Desconto_Cliente_Mes!$U$2:$U$433,Desconto_Cliente_Mes!$A$2:$A$433,$A18,Desconto_Cliente_Mes!$B$2:$B$433,$B18,Desconto_Cliente_Mes!$C$2:$C$433,$C18)</f>
        <v>0</v>
      </c>
      <c r="G18" s="39" t="n">
        <f aca="false">SUMIFS(Desconto_Cliente_Mes!$U$2:$U$433,Desconto_Cliente_Mes!$B$2:$B$433,$B18,Desconto_Cliente_Mes!$C$2:$C$433,$C18,Desconto_Cliente_Mes!$K$2:$K$433,"Sim")</f>
        <v>147648.667120088</v>
      </c>
      <c r="H18" s="37" t="n">
        <f aca="false">SUMIFS(Desconto_Cliente_Mes!$D$2:$D$433,Desconto_Cliente_Mes!$B$2:$B$433,$B18,Desconto_Cliente_Mes!$C$2:$C$433,$C18,Desconto_Cliente_Mes!$K$2:$K$433,"Nao",Desconto_Cliente_Mes!$D$2:$D$433,"&gt;0")</f>
        <v>232651.12</v>
      </c>
      <c r="I18" s="42" t="n">
        <f aca="false">IF(AND($E18="Nao",$D18&gt;0,$H18&gt;0),$D18/$H18,0)</f>
        <v>0.177750745407974</v>
      </c>
      <c r="J18" s="40" t="n">
        <f aca="false">$I18*$G18</f>
        <v>26244.6606390894</v>
      </c>
      <c r="K18" s="40" t="n">
        <f aca="false">$J18-$F18</f>
        <v>26244.6606390894</v>
      </c>
      <c r="L18" s="27" t="str">
        <f aca="false">IF($D18=0,"Sem embarque",IF($K18&gt;0,"Recebe","Paga"))</f>
        <v>Recebe</v>
      </c>
    </row>
    <row r="19" customFormat="false" ht="15" hidden="false" customHeight="false" outlineLevel="0" collapsed="false">
      <c r="A19" s="27" t="s">
        <v>39</v>
      </c>
      <c r="B19" s="27" t="s">
        <v>63</v>
      </c>
      <c r="C19" s="27" t="s">
        <v>111</v>
      </c>
      <c r="D19" s="34" t="n">
        <f aca="false">SUMIFS(Desconto_Cliente_Mes!$D$2:$D$433,Desconto_Cliente_Mes!$A$2:$A$433,$A19,Desconto_Cliente_Mes!$B$2:$B$433,$B19,Desconto_Cliente_Mes!$C$2:$C$433,$C19)</f>
        <v>41353.91</v>
      </c>
      <c r="E19" s="37" t="str">
        <f aca="false">INDEX(Desconto_Cliente_Mes!$K$2:$K$433,MATCH($A19&amp;"|"&amp;$B19&amp;"|"&amp;$C19,Desconto_Cliente_Mes!$W$2:$W$433,0))</f>
        <v>Nao</v>
      </c>
      <c r="F19" s="39" t="n">
        <f aca="false">SUMIFS(Desconto_Cliente_Mes!$U$2:$U$433,Desconto_Cliente_Mes!$A$2:$A$433,$A19,Desconto_Cliente_Mes!$B$2:$B$433,$B19,Desconto_Cliente_Mes!$C$2:$C$433,$C19)</f>
        <v>0</v>
      </c>
      <c r="G19" s="39" t="n">
        <f aca="false">SUMIFS(Desconto_Cliente_Mes!$U$2:$U$433,Desconto_Cliente_Mes!$B$2:$B$433,$B19,Desconto_Cliente_Mes!$C$2:$C$433,$C19,Desconto_Cliente_Mes!$K$2:$K$433,"Sim")</f>
        <v>31621.0546248943</v>
      </c>
      <c r="H19" s="37" t="n">
        <f aca="false">SUMIFS(Desconto_Cliente_Mes!$D$2:$D$433,Desconto_Cliente_Mes!$B$2:$B$433,$B19,Desconto_Cliente_Mes!$C$2:$C$433,$C19,Desconto_Cliente_Mes!$K$2:$K$433,"Nao",Desconto_Cliente_Mes!$D$2:$D$433,"&gt;0")</f>
        <v>127871.4</v>
      </c>
      <c r="I19" s="42" t="n">
        <f aca="false">IF(AND($E19="Nao",$D19&gt;0,$H19&gt;0),$D19/$H19,0)</f>
        <v>0.323402340163633</v>
      </c>
      <c r="J19" s="40" t="n">
        <f aca="false">$I19*$G19</f>
        <v>10226.3230641329</v>
      </c>
      <c r="K19" s="40" t="n">
        <f aca="false">$J19-$F19</f>
        <v>10226.3230641329</v>
      </c>
      <c r="L19" s="27" t="str">
        <f aca="false">IF($D19=0,"Sem embarque",IF($K19&gt;0,"Recebe","Paga"))</f>
        <v>Recebe</v>
      </c>
    </row>
    <row r="20" customFormat="false" ht="15" hidden="false" customHeight="false" outlineLevel="0" collapsed="false">
      <c r="A20" s="27" t="s">
        <v>39</v>
      </c>
      <c r="B20" s="27" t="s">
        <v>64</v>
      </c>
      <c r="C20" s="27" t="s">
        <v>109</v>
      </c>
      <c r="D20" s="34" t="n">
        <f aca="false">SUMIFS(Desconto_Cliente_Mes!$D$2:$D$433,Desconto_Cliente_Mes!$A$2:$A$433,$A20,Desconto_Cliente_Mes!$B$2:$B$433,$B20,Desconto_Cliente_Mes!$C$2:$C$433,$C20)</f>
        <v>46167.46</v>
      </c>
      <c r="E20" s="37" t="str">
        <f aca="false">INDEX(Desconto_Cliente_Mes!$K$2:$K$433,MATCH($A20&amp;"|"&amp;$B20&amp;"|"&amp;$C20,Desconto_Cliente_Mes!$W$2:$W$433,0))</f>
        <v>Sim</v>
      </c>
      <c r="F20" s="39" t="n">
        <f aca="false">SUMIFS(Desconto_Cliente_Mes!$U$2:$U$433,Desconto_Cliente_Mes!$A$2:$A$433,$A20,Desconto_Cliente_Mes!$B$2:$B$433,$B20,Desconto_Cliente_Mes!$C$2:$C$433,$C20)</f>
        <v>55542.8416585708</v>
      </c>
      <c r="G20" s="39" t="n">
        <f aca="false">SUMIFS(Desconto_Cliente_Mes!$U$2:$U$433,Desconto_Cliente_Mes!$B$2:$B$433,$B20,Desconto_Cliente_Mes!$C$2:$C$433,$C20,Desconto_Cliente_Mes!$K$2:$K$433,"Sim")</f>
        <v>176913.022848898</v>
      </c>
      <c r="H20" s="37" t="n">
        <f aca="false">SUMIFS(Desconto_Cliente_Mes!$D$2:$D$433,Desconto_Cliente_Mes!$B$2:$B$433,$B20,Desconto_Cliente_Mes!$C$2:$C$433,$C20,Desconto_Cliente_Mes!$K$2:$K$433,"Nao",Desconto_Cliente_Mes!$D$2:$D$433,"&gt;0")</f>
        <v>227119.227</v>
      </c>
      <c r="I20" s="42" t="n">
        <f aca="false">IF(AND($E20="Nao",$D20&gt;0,$H20&gt;0),$D20/$H20,0)</f>
        <v>0</v>
      </c>
      <c r="J20" s="40" t="n">
        <f aca="false">$I20*$G20</f>
        <v>0</v>
      </c>
      <c r="K20" s="40" t="n">
        <f aca="false">$J20-$F20</f>
        <v>-55542.8416585708</v>
      </c>
      <c r="L20" s="27" t="str">
        <f aca="false">IF($D20=0,"Sem embarque",IF($K20&gt;0,"Recebe","Paga"))</f>
        <v>Paga</v>
      </c>
    </row>
    <row r="21" customFormat="false" ht="15" hidden="false" customHeight="false" outlineLevel="0" collapsed="false">
      <c r="A21" s="27" t="s">
        <v>39</v>
      </c>
      <c r="B21" s="27" t="s">
        <v>64</v>
      </c>
      <c r="C21" s="27" t="s">
        <v>110</v>
      </c>
      <c r="D21" s="34" t="n">
        <f aca="false">SUMIFS(Desconto_Cliente_Mes!$D$2:$D$433,Desconto_Cliente_Mes!$A$2:$A$433,$A21,Desconto_Cliente_Mes!$B$2:$B$433,$B21,Desconto_Cliente_Mes!$C$2:$C$433,$C21)</f>
        <v>46167.46</v>
      </c>
      <c r="E21" s="37" t="str">
        <f aca="false">INDEX(Desconto_Cliente_Mes!$K$2:$K$433,MATCH($A21&amp;"|"&amp;$B21&amp;"|"&amp;$C21,Desconto_Cliente_Mes!$W$2:$W$433,0))</f>
        <v>Nao</v>
      </c>
      <c r="F21" s="39" t="n">
        <f aca="false">SUMIFS(Desconto_Cliente_Mes!$U$2:$U$433,Desconto_Cliente_Mes!$A$2:$A$433,$A21,Desconto_Cliente_Mes!$B$2:$B$433,$B21,Desconto_Cliente_Mes!$C$2:$C$433,$C21)</f>
        <v>0</v>
      </c>
      <c r="G21" s="39" t="n">
        <f aca="false">SUMIFS(Desconto_Cliente_Mes!$U$2:$U$433,Desconto_Cliente_Mes!$B$2:$B$433,$B21,Desconto_Cliente_Mes!$C$2:$C$433,$C21,Desconto_Cliente_Mes!$K$2:$K$433,"Sim")</f>
        <v>78148.4030953999</v>
      </c>
      <c r="H21" s="37" t="n">
        <f aca="false">SUMIFS(Desconto_Cliente_Mes!$D$2:$D$433,Desconto_Cliente_Mes!$B$2:$B$433,$B21,Desconto_Cliente_Mes!$C$2:$C$433,$C21,Desconto_Cliente_Mes!$K$2:$K$433,"Nao",Desconto_Cliente_Mes!$D$2:$D$433,"&gt;0")</f>
        <v>367366.52</v>
      </c>
      <c r="I21" s="42" t="n">
        <f aca="false">IF(AND($E21="Nao",$D21&gt;0,$H21&gt;0),$D21/$H21,0)</f>
        <v>0.125671386712104</v>
      </c>
      <c r="J21" s="40" t="n">
        <f aca="false">$I21*$G21</f>
        <v>9821.01818633541</v>
      </c>
      <c r="K21" s="40" t="n">
        <f aca="false">$J21-$F21</f>
        <v>9821.01818633541</v>
      </c>
      <c r="L21" s="27" t="str">
        <f aca="false">IF($D21=0,"Sem embarque",IF($K21&gt;0,"Recebe","Paga"))</f>
        <v>Recebe</v>
      </c>
    </row>
    <row r="22" customFormat="false" ht="15" hidden="false" customHeight="false" outlineLevel="0" collapsed="false">
      <c r="A22" s="27" t="s">
        <v>39</v>
      </c>
      <c r="B22" s="27" t="s">
        <v>64</v>
      </c>
      <c r="C22" s="27" t="s">
        <v>111</v>
      </c>
      <c r="D22" s="34" t="n">
        <f aca="false">SUMIFS(Desconto_Cliente_Mes!$D$2:$D$433,Desconto_Cliente_Mes!$A$2:$A$433,$A22,Desconto_Cliente_Mes!$B$2:$B$433,$B22,Desconto_Cliente_Mes!$C$2:$C$433,$C22)</f>
        <v>46167.46</v>
      </c>
      <c r="E22" s="37" t="str">
        <f aca="false">INDEX(Desconto_Cliente_Mes!$K$2:$K$433,MATCH($A22&amp;"|"&amp;$B22&amp;"|"&amp;$C22,Desconto_Cliente_Mes!$W$2:$W$433,0))</f>
        <v>Sim</v>
      </c>
      <c r="F22" s="39" t="n">
        <f aca="false">SUMIFS(Desconto_Cliente_Mes!$U$2:$U$433,Desconto_Cliente_Mes!$A$2:$A$433,$A22,Desconto_Cliente_Mes!$B$2:$B$433,$B22,Desconto_Cliente_Mes!$C$2:$C$433,$C22)</f>
        <v>20295.0061199999</v>
      </c>
      <c r="G22" s="39" t="n">
        <f aca="false">SUMIFS(Desconto_Cliente_Mes!$U$2:$U$433,Desconto_Cliente_Mes!$B$2:$B$433,$B22,Desconto_Cliente_Mes!$C$2:$C$433,$C22,Desconto_Cliente_Mes!$K$2:$K$433,"Sim")</f>
        <v>53234.6338979999</v>
      </c>
      <c r="H22" s="37" t="n">
        <f aca="false">SUMIFS(Desconto_Cliente_Mes!$D$2:$D$433,Desconto_Cliente_Mes!$B$2:$B$433,$B22,Desconto_Cliente_Mes!$C$2:$C$433,$C22,Desconto_Cliente_Mes!$K$2:$K$433,"Nao",Desconto_Cliente_Mes!$D$2:$D$433,"&gt;0")</f>
        <v>250467.867</v>
      </c>
      <c r="I22" s="42" t="n">
        <f aca="false">IF(AND($E22="Nao",$D22&gt;0,$H22&gt;0),$D22/$H22,0)</f>
        <v>0</v>
      </c>
      <c r="J22" s="40" t="n">
        <f aca="false">$I22*$G22</f>
        <v>0</v>
      </c>
      <c r="K22" s="40" t="n">
        <f aca="false">$J22-$F22</f>
        <v>-20295.0061199999</v>
      </c>
      <c r="L22" s="27" t="str">
        <f aca="false">IF($D22=0,"Sem embarque",IF($K22&gt;0,"Recebe","Paga"))</f>
        <v>Paga</v>
      </c>
    </row>
    <row r="23" customFormat="false" ht="15" hidden="false" customHeight="false" outlineLevel="0" collapsed="false">
      <c r="A23" s="27" t="s">
        <v>39</v>
      </c>
      <c r="B23" s="27" t="s">
        <v>65</v>
      </c>
      <c r="C23" s="27" t="s">
        <v>109</v>
      </c>
      <c r="D23" s="34" t="n">
        <f aca="false">SUMIFS(Desconto_Cliente_Mes!$D$2:$D$433,Desconto_Cliente_Mes!$A$2:$A$433,$A23,Desconto_Cliente_Mes!$B$2:$B$433,$B23,Desconto_Cliente_Mes!$C$2:$C$433,$C23)</f>
        <v>44263.22</v>
      </c>
      <c r="E23" s="37" t="str">
        <f aca="false">INDEX(Desconto_Cliente_Mes!$K$2:$K$433,MATCH($A23&amp;"|"&amp;$B23&amp;"|"&amp;$C23,Desconto_Cliente_Mes!$W$2:$W$433,0))</f>
        <v>Sim</v>
      </c>
      <c r="F23" s="39" t="n">
        <f aca="false">SUMIFS(Desconto_Cliente_Mes!$U$2:$U$433,Desconto_Cliente_Mes!$A$2:$A$433,$A23,Desconto_Cliente_Mes!$B$2:$B$433,$B23,Desconto_Cliente_Mes!$C$2:$C$433,$C23)</f>
        <v>137138.687706306</v>
      </c>
      <c r="G23" s="39" t="n">
        <f aca="false">SUMIFS(Desconto_Cliente_Mes!$U$2:$U$433,Desconto_Cliente_Mes!$B$2:$B$433,$B23,Desconto_Cliente_Mes!$C$2:$C$433,$C23,Desconto_Cliente_Mes!$K$2:$K$433,"Sim")</f>
        <v>264399.663796851</v>
      </c>
      <c r="H23" s="37" t="n">
        <f aca="false">SUMIFS(Desconto_Cliente_Mes!$D$2:$D$433,Desconto_Cliente_Mes!$B$2:$B$433,$B23,Desconto_Cliente_Mes!$C$2:$C$433,$C23,Desconto_Cliente_Mes!$K$2:$K$433,"Nao",Desconto_Cliente_Mes!$D$2:$D$433,"&gt;0")</f>
        <v>166556.65</v>
      </c>
      <c r="I23" s="42" t="n">
        <f aca="false">IF(AND($E23="Nao",$D23&gt;0,$H23&gt;0),$D23/$H23,0)</f>
        <v>0</v>
      </c>
      <c r="J23" s="40" t="n">
        <f aca="false">$I23*$G23</f>
        <v>0</v>
      </c>
      <c r="K23" s="40" t="n">
        <f aca="false">$J23-$F23</f>
        <v>-137138.687706306</v>
      </c>
      <c r="L23" s="27" t="str">
        <f aca="false">IF($D23=0,"Sem embarque",IF($K23&gt;0,"Recebe","Paga"))</f>
        <v>Paga</v>
      </c>
    </row>
    <row r="24" customFormat="false" ht="15" hidden="false" customHeight="false" outlineLevel="0" collapsed="false">
      <c r="A24" s="27" t="s">
        <v>39</v>
      </c>
      <c r="B24" s="27" t="s">
        <v>65</v>
      </c>
      <c r="C24" s="27" t="s">
        <v>110</v>
      </c>
      <c r="D24" s="34" t="n">
        <f aca="false">SUMIFS(Desconto_Cliente_Mes!$D$2:$D$433,Desconto_Cliente_Mes!$A$2:$A$433,$A24,Desconto_Cliente_Mes!$B$2:$B$433,$B24,Desconto_Cliente_Mes!$C$2:$C$433,$C24)</f>
        <v>44263.22</v>
      </c>
      <c r="E24" s="37" t="str">
        <f aca="false">INDEX(Desconto_Cliente_Mes!$K$2:$K$433,MATCH($A24&amp;"|"&amp;$B24&amp;"|"&amp;$C24,Desconto_Cliente_Mes!$W$2:$W$433,0))</f>
        <v>Nao</v>
      </c>
      <c r="F24" s="39" t="n">
        <f aca="false">SUMIFS(Desconto_Cliente_Mes!$U$2:$U$433,Desconto_Cliente_Mes!$A$2:$A$433,$A24,Desconto_Cliente_Mes!$B$2:$B$433,$B24,Desconto_Cliente_Mes!$C$2:$C$433,$C24)</f>
        <v>0</v>
      </c>
      <c r="G24" s="39" t="n">
        <f aca="false">SUMIFS(Desconto_Cliente_Mes!$U$2:$U$433,Desconto_Cliente_Mes!$B$2:$B$433,$B24,Desconto_Cliente_Mes!$C$2:$C$433,$C24,Desconto_Cliente_Mes!$K$2:$K$433,"Sim")</f>
        <v>54942.617336</v>
      </c>
      <c r="H24" s="37" t="n">
        <f aca="false">SUMIFS(Desconto_Cliente_Mes!$D$2:$D$433,Desconto_Cliente_Mes!$B$2:$B$433,$B24,Desconto_Cliente_Mes!$C$2:$C$433,$C24,Desconto_Cliente_Mes!$K$2:$K$433,"Nao",Desconto_Cliente_Mes!$D$2:$D$433,"&gt;0")</f>
        <v>378160.7</v>
      </c>
      <c r="I24" s="42" t="n">
        <f aca="false">IF(AND($E24="Nao",$D24&gt;0,$H24&gt;0),$D24/$H24,0)</f>
        <v>0.117048704426452</v>
      </c>
      <c r="J24" s="40" t="n">
        <f aca="false">$I24*$G24</f>
        <v>6430.96217697709</v>
      </c>
      <c r="K24" s="40" t="n">
        <f aca="false">$J24-$F24</f>
        <v>6430.96217697709</v>
      </c>
      <c r="L24" s="27" t="str">
        <f aca="false">IF($D24=0,"Sem embarque",IF($K24&gt;0,"Recebe","Paga"))</f>
        <v>Recebe</v>
      </c>
    </row>
    <row r="25" customFormat="false" ht="15" hidden="false" customHeight="false" outlineLevel="0" collapsed="false">
      <c r="A25" s="27" t="s">
        <v>39</v>
      </c>
      <c r="B25" s="27" t="s">
        <v>65</v>
      </c>
      <c r="C25" s="27" t="s">
        <v>111</v>
      </c>
      <c r="D25" s="34" t="n">
        <f aca="false">SUMIFS(Desconto_Cliente_Mes!$D$2:$D$433,Desconto_Cliente_Mes!$A$2:$A$433,$A25,Desconto_Cliente_Mes!$B$2:$B$433,$B25,Desconto_Cliente_Mes!$C$2:$C$433,$C25)</f>
        <v>44263.22</v>
      </c>
      <c r="E25" s="37" t="str">
        <f aca="false">INDEX(Desconto_Cliente_Mes!$K$2:$K$433,MATCH($A25&amp;"|"&amp;$B25&amp;"|"&amp;$C25,Desconto_Cliente_Mes!$W$2:$W$433,0))</f>
        <v>Sim</v>
      </c>
      <c r="F25" s="39" t="n">
        <f aca="false">SUMIFS(Desconto_Cliente_Mes!$U$2:$U$433,Desconto_Cliente_Mes!$A$2:$A$433,$A25,Desconto_Cliente_Mes!$B$2:$B$433,$B25,Desconto_Cliente_Mes!$C$2:$C$433,$C25)</f>
        <v>45443.7336135402</v>
      </c>
      <c r="G25" s="39" t="n">
        <f aca="false">SUMIFS(Desconto_Cliente_Mes!$U$2:$U$433,Desconto_Cliente_Mes!$B$2:$B$433,$B25,Desconto_Cliente_Mes!$C$2:$C$433,$C25,Desconto_Cliente_Mes!$K$2:$K$433,"Sim")</f>
        <v>131995.749729693</v>
      </c>
      <c r="H25" s="37" t="n">
        <f aca="false">SUMIFS(Desconto_Cliente_Mes!$D$2:$D$433,Desconto_Cliente_Mes!$B$2:$B$433,$B25,Desconto_Cliente_Mes!$C$2:$C$433,$C25,Desconto_Cliente_Mes!$K$2:$K$433,"Nao",Desconto_Cliente_Mes!$D$2:$D$433,"&gt;0")</f>
        <v>132693.79</v>
      </c>
      <c r="I25" s="42" t="n">
        <f aca="false">IF(AND($E25="Nao",$D25&gt;0,$H25&gt;0),$D25/$H25,0)</f>
        <v>0</v>
      </c>
      <c r="J25" s="40" t="n">
        <f aca="false">$I25*$G25</f>
        <v>0</v>
      </c>
      <c r="K25" s="40" t="n">
        <f aca="false">$J25-$F25</f>
        <v>-45443.7336135402</v>
      </c>
      <c r="L25" s="27" t="str">
        <f aca="false">IF($D25=0,"Sem embarque",IF($K25&gt;0,"Recebe","Paga"))</f>
        <v>Paga</v>
      </c>
    </row>
    <row r="26" customFormat="false" ht="15" hidden="false" customHeight="false" outlineLevel="0" collapsed="false">
      <c r="A26" s="27" t="s">
        <v>39</v>
      </c>
      <c r="B26" s="27" t="s">
        <v>66</v>
      </c>
      <c r="C26" s="27" t="s">
        <v>109</v>
      </c>
      <c r="D26" s="34" t="n">
        <f aca="false">SUMIFS(Desconto_Cliente_Mes!$D$2:$D$433,Desconto_Cliente_Mes!$A$2:$A$433,$A26,Desconto_Cliente_Mes!$B$2:$B$433,$B26,Desconto_Cliente_Mes!$C$2:$C$433,$C26)</f>
        <v>2244.02</v>
      </c>
      <c r="E26" s="37" t="str">
        <f aca="false">INDEX(Desconto_Cliente_Mes!$K$2:$K$433,MATCH($A26&amp;"|"&amp;$B26&amp;"|"&amp;$C26,Desconto_Cliente_Mes!$W$2:$W$433,0))</f>
        <v>Sim</v>
      </c>
      <c r="F26" s="39" t="n">
        <f aca="false">SUMIFS(Desconto_Cliente_Mes!$U$2:$U$433,Desconto_Cliente_Mes!$A$2:$A$433,$A26,Desconto_Cliente_Mes!$B$2:$B$433,$B26,Desconto_Cliente_Mes!$C$2:$C$433,$C26)</f>
        <v>3063.37840803134</v>
      </c>
      <c r="G26" s="39" t="n">
        <f aca="false">SUMIFS(Desconto_Cliente_Mes!$U$2:$U$433,Desconto_Cliente_Mes!$B$2:$B$433,$B26,Desconto_Cliente_Mes!$C$2:$C$433,$C26,Desconto_Cliente_Mes!$K$2:$K$433,"Sim")</f>
        <v>26408.1404587724</v>
      </c>
      <c r="H26" s="37" t="n">
        <f aca="false">SUMIFS(Desconto_Cliente_Mes!$D$2:$D$433,Desconto_Cliente_Mes!$B$2:$B$433,$B26,Desconto_Cliente_Mes!$C$2:$C$433,$C26,Desconto_Cliente_Mes!$K$2:$K$433,"Nao",Desconto_Cliente_Mes!$D$2:$D$433,"&gt;0")</f>
        <v>25249.51</v>
      </c>
      <c r="I26" s="42" t="n">
        <f aca="false">IF(AND($E26="Nao",$D26&gt;0,$H26&gt;0),$D26/$H26,0)</f>
        <v>0</v>
      </c>
      <c r="J26" s="40" t="n">
        <f aca="false">$I26*$G26</f>
        <v>0</v>
      </c>
      <c r="K26" s="40" t="n">
        <f aca="false">$J26-$F26</f>
        <v>-3063.37840803134</v>
      </c>
      <c r="L26" s="27" t="str">
        <f aca="false">IF($D26=0,"Sem embarque",IF($K26&gt;0,"Recebe","Paga"))</f>
        <v>Paga</v>
      </c>
    </row>
    <row r="27" customFormat="false" ht="15" hidden="false" customHeight="false" outlineLevel="0" collapsed="false">
      <c r="A27" s="27" t="s">
        <v>39</v>
      </c>
      <c r="B27" s="27" t="s">
        <v>66</v>
      </c>
      <c r="C27" s="27" t="s">
        <v>110</v>
      </c>
      <c r="D27" s="34" t="n">
        <f aca="false">SUMIFS(Desconto_Cliente_Mes!$D$2:$D$433,Desconto_Cliente_Mes!$A$2:$A$433,$A27,Desconto_Cliente_Mes!$B$2:$B$433,$B27,Desconto_Cliente_Mes!$C$2:$C$433,$C27)</f>
        <v>2244.02</v>
      </c>
      <c r="E27" s="37" t="str">
        <f aca="false">INDEX(Desconto_Cliente_Mes!$K$2:$K$433,MATCH($A27&amp;"|"&amp;$B27&amp;"|"&amp;$C27,Desconto_Cliente_Mes!$W$2:$W$433,0))</f>
        <v>Nao</v>
      </c>
      <c r="F27" s="39" t="n">
        <f aca="false">SUMIFS(Desconto_Cliente_Mes!$U$2:$U$433,Desconto_Cliente_Mes!$A$2:$A$433,$A27,Desconto_Cliente_Mes!$B$2:$B$433,$B27,Desconto_Cliente_Mes!$C$2:$C$433,$C27)</f>
        <v>0</v>
      </c>
      <c r="G27" s="39" t="n">
        <f aca="false">SUMIFS(Desconto_Cliente_Mes!$U$2:$U$433,Desconto_Cliente_Mes!$B$2:$B$433,$B27,Desconto_Cliente_Mes!$C$2:$C$433,$C27,Desconto_Cliente_Mes!$K$2:$K$433,"Sim")</f>
        <v>20574.688366</v>
      </c>
      <c r="H27" s="37" t="n">
        <f aca="false">SUMIFS(Desconto_Cliente_Mes!$D$2:$D$433,Desconto_Cliente_Mes!$B$2:$B$433,$B27,Desconto_Cliente_Mes!$C$2:$C$433,$C27,Desconto_Cliente_Mes!$K$2:$K$433,"Nao",Desconto_Cliente_Mes!$D$2:$D$433,"&gt;0")</f>
        <v>36785.35</v>
      </c>
      <c r="I27" s="42" t="n">
        <f aca="false">IF(AND($E27="Nao",$D27&gt;0,$H27&gt;0),$D27/$H27,0)</f>
        <v>0.0610030895451586</v>
      </c>
      <c r="J27" s="40" t="n">
        <f aca="false">$I27*$G27</f>
        <v>1255.11955675483</v>
      </c>
      <c r="K27" s="40" t="n">
        <f aca="false">$J27-$F27</f>
        <v>1255.11955675483</v>
      </c>
      <c r="L27" s="27" t="str">
        <f aca="false">IF($D27=0,"Sem embarque",IF($K27&gt;0,"Recebe","Paga"))</f>
        <v>Recebe</v>
      </c>
    </row>
    <row r="28" customFormat="false" ht="15" hidden="false" customHeight="false" outlineLevel="0" collapsed="false">
      <c r="A28" s="27" t="s">
        <v>39</v>
      </c>
      <c r="B28" s="27" t="s">
        <v>66</v>
      </c>
      <c r="C28" s="27" t="s">
        <v>111</v>
      </c>
      <c r="D28" s="34" t="n">
        <f aca="false">SUMIFS(Desconto_Cliente_Mes!$D$2:$D$433,Desconto_Cliente_Mes!$A$2:$A$433,$A28,Desconto_Cliente_Mes!$B$2:$B$433,$B28,Desconto_Cliente_Mes!$C$2:$C$433,$C28)</f>
        <v>2244.02</v>
      </c>
      <c r="E28" s="37" t="str">
        <f aca="false">INDEX(Desconto_Cliente_Mes!$K$2:$K$433,MATCH($A28&amp;"|"&amp;$B28&amp;"|"&amp;$C28,Desconto_Cliente_Mes!$W$2:$W$433,0))</f>
        <v>Sim</v>
      </c>
      <c r="F28" s="39" t="n">
        <f aca="false">SUMIFS(Desconto_Cliente_Mes!$U$2:$U$433,Desconto_Cliente_Mes!$A$2:$A$433,$A28,Desconto_Cliente_Mes!$B$2:$B$433,$B28,Desconto_Cliente_Mes!$C$2:$C$433,$C28)</f>
        <v>1893.71203568191</v>
      </c>
      <c r="G28" s="39" t="n">
        <f aca="false">SUMIFS(Desconto_Cliente_Mes!$U$2:$U$433,Desconto_Cliente_Mes!$B$2:$B$433,$B28,Desconto_Cliente_Mes!$C$2:$C$433,$C28,Desconto_Cliente_Mes!$K$2:$K$433,"Sim")</f>
        <v>12224.7687289319</v>
      </c>
      <c r="H28" s="37" t="n">
        <f aca="false">SUMIFS(Desconto_Cliente_Mes!$D$2:$D$433,Desconto_Cliente_Mes!$B$2:$B$433,$B28,Desconto_Cliente_Mes!$C$2:$C$433,$C28,Desconto_Cliente_Mes!$K$2:$K$433,"Nao",Desconto_Cliente_Mes!$D$2:$D$433,"&gt;0")</f>
        <v>41847.52</v>
      </c>
      <c r="I28" s="42" t="n">
        <f aca="false">IF(AND($E28="Nao",$D28&gt;0,$H28&gt;0),$D28/$H28,0)</f>
        <v>0</v>
      </c>
      <c r="J28" s="40" t="n">
        <f aca="false">$I28*$G28</f>
        <v>0</v>
      </c>
      <c r="K28" s="40" t="n">
        <f aca="false">$J28-$F28</f>
        <v>-1893.71203568191</v>
      </c>
      <c r="L28" s="27" t="str">
        <f aca="false">IF($D28=0,"Sem embarque",IF($K28&gt;0,"Recebe","Paga"))</f>
        <v>Paga</v>
      </c>
    </row>
    <row r="29" customFormat="false" ht="15" hidden="false" customHeight="false" outlineLevel="0" collapsed="false">
      <c r="A29" s="27" t="s">
        <v>39</v>
      </c>
      <c r="B29" s="27" t="s">
        <v>67</v>
      </c>
      <c r="C29" s="27" t="s">
        <v>109</v>
      </c>
      <c r="D29" s="34" t="n">
        <f aca="false">SUMIFS(Desconto_Cliente_Mes!$D$2:$D$433,Desconto_Cliente_Mes!$A$2:$A$433,$A29,Desconto_Cliente_Mes!$B$2:$B$433,$B29,Desconto_Cliente_Mes!$C$2:$C$433,$C29)</f>
        <v>0</v>
      </c>
      <c r="E29" s="37" t="str">
        <f aca="false">INDEX(Desconto_Cliente_Mes!$K$2:$K$433,MATCH($A29&amp;"|"&amp;$B29&amp;"|"&amp;$C29,Desconto_Cliente_Mes!$W$2:$W$433,0))</f>
        <v/>
      </c>
      <c r="F29" s="39" t="n">
        <f aca="false">SUMIFS(Desconto_Cliente_Mes!$U$2:$U$433,Desconto_Cliente_Mes!$A$2:$A$433,$A29,Desconto_Cliente_Mes!$B$2:$B$433,$B29,Desconto_Cliente_Mes!$C$2:$C$433,$C29)</f>
        <v>0</v>
      </c>
      <c r="G29" s="39" t="n">
        <f aca="false">SUMIFS(Desconto_Cliente_Mes!$U$2:$U$433,Desconto_Cliente_Mes!$B$2:$B$433,$B29,Desconto_Cliente_Mes!$C$2:$C$433,$C29,Desconto_Cliente_Mes!$K$2:$K$433,"Sim")</f>
        <v>0</v>
      </c>
      <c r="H29" s="37" t="n">
        <f aca="false">SUMIFS(Desconto_Cliente_Mes!$D$2:$D$433,Desconto_Cliente_Mes!$B$2:$B$433,$B29,Desconto_Cliente_Mes!$C$2:$C$433,$C29,Desconto_Cliente_Mes!$K$2:$K$433,"Nao",Desconto_Cliente_Mes!$D$2:$D$433,"&gt;0")</f>
        <v>0</v>
      </c>
      <c r="I29" s="42" t="n">
        <f aca="false">IF(AND($E29="Nao",$D29&gt;0,$H29&gt;0),$D29/$H29,0)</f>
        <v>0</v>
      </c>
      <c r="J29" s="40" t="n">
        <f aca="false">$I29*$G29</f>
        <v>0</v>
      </c>
      <c r="K29" s="40" t="n">
        <f aca="false">$J29-$F29</f>
        <v>0</v>
      </c>
      <c r="L29" s="27" t="str">
        <f aca="false">IF($D29=0,"Sem embarque",IF($K29&gt;0,"Recebe","Paga"))</f>
        <v>Sem embarque</v>
      </c>
    </row>
    <row r="30" customFormat="false" ht="15" hidden="false" customHeight="false" outlineLevel="0" collapsed="false">
      <c r="A30" s="27" t="s">
        <v>39</v>
      </c>
      <c r="B30" s="27" t="s">
        <v>67</v>
      </c>
      <c r="C30" s="27" t="s">
        <v>110</v>
      </c>
      <c r="D30" s="34" t="n">
        <f aca="false">SUMIFS(Desconto_Cliente_Mes!$D$2:$D$433,Desconto_Cliente_Mes!$A$2:$A$433,$A30,Desconto_Cliente_Mes!$B$2:$B$433,$B30,Desconto_Cliente_Mes!$C$2:$C$433,$C30)</f>
        <v>0</v>
      </c>
      <c r="E30" s="37" t="str">
        <f aca="false">INDEX(Desconto_Cliente_Mes!$K$2:$K$433,MATCH($A30&amp;"|"&amp;$B30&amp;"|"&amp;$C30,Desconto_Cliente_Mes!$W$2:$W$433,0))</f>
        <v/>
      </c>
      <c r="F30" s="39" t="n">
        <f aca="false">SUMIFS(Desconto_Cliente_Mes!$U$2:$U$433,Desconto_Cliente_Mes!$A$2:$A$433,$A30,Desconto_Cliente_Mes!$B$2:$B$433,$B30,Desconto_Cliente_Mes!$C$2:$C$433,$C30)</f>
        <v>0</v>
      </c>
      <c r="G30" s="39" t="n">
        <f aca="false">SUMIFS(Desconto_Cliente_Mes!$U$2:$U$433,Desconto_Cliente_Mes!$B$2:$B$433,$B30,Desconto_Cliente_Mes!$C$2:$C$433,$C30,Desconto_Cliente_Mes!$K$2:$K$433,"Sim")</f>
        <v>0</v>
      </c>
      <c r="H30" s="37" t="n">
        <f aca="false">SUMIFS(Desconto_Cliente_Mes!$D$2:$D$433,Desconto_Cliente_Mes!$B$2:$B$433,$B30,Desconto_Cliente_Mes!$C$2:$C$433,$C30,Desconto_Cliente_Mes!$K$2:$K$433,"Nao",Desconto_Cliente_Mes!$D$2:$D$433,"&gt;0")</f>
        <v>0</v>
      </c>
      <c r="I30" s="42" t="n">
        <f aca="false">IF(AND($E30="Nao",$D30&gt;0,$H30&gt;0),$D30/$H30,0)</f>
        <v>0</v>
      </c>
      <c r="J30" s="40" t="n">
        <f aca="false">$I30*$G30</f>
        <v>0</v>
      </c>
      <c r="K30" s="40" t="n">
        <f aca="false">$J30-$F30</f>
        <v>0</v>
      </c>
      <c r="L30" s="27" t="str">
        <f aca="false">IF($D30=0,"Sem embarque",IF($K30&gt;0,"Recebe","Paga"))</f>
        <v>Sem embarque</v>
      </c>
    </row>
    <row r="31" customFormat="false" ht="15" hidden="false" customHeight="false" outlineLevel="0" collapsed="false">
      <c r="A31" s="27" t="s">
        <v>39</v>
      </c>
      <c r="B31" s="27" t="s">
        <v>67</v>
      </c>
      <c r="C31" s="27" t="s">
        <v>111</v>
      </c>
      <c r="D31" s="34" t="n">
        <f aca="false">SUMIFS(Desconto_Cliente_Mes!$D$2:$D$433,Desconto_Cliente_Mes!$A$2:$A$433,$A31,Desconto_Cliente_Mes!$B$2:$B$433,$B31,Desconto_Cliente_Mes!$C$2:$C$433,$C31)</f>
        <v>0</v>
      </c>
      <c r="E31" s="37" t="str">
        <f aca="false">INDEX(Desconto_Cliente_Mes!$K$2:$K$433,MATCH($A31&amp;"|"&amp;$B31&amp;"|"&amp;$C31,Desconto_Cliente_Mes!$W$2:$W$433,0))</f>
        <v/>
      </c>
      <c r="F31" s="39" t="n">
        <f aca="false">SUMIFS(Desconto_Cliente_Mes!$U$2:$U$433,Desconto_Cliente_Mes!$A$2:$A$433,$A31,Desconto_Cliente_Mes!$B$2:$B$433,$B31,Desconto_Cliente_Mes!$C$2:$C$433,$C31)</f>
        <v>0</v>
      </c>
      <c r="G31" s="39" t="n">
        <f aca="false">SUMIFS(Desconto_Cliente_Mes!$U$2:$U$433,Desconto_Cliente_Mes!$B$2:$B$433,$B31,Desconto_Cliente_Mes!$C$2:$C$433,$C31,Desconto_Cliente_Mes!$K$2:$K$433,"Sim")</f>
        <v>0</v>
      </c>
      <c r="H31" s="37" t="n">
        <f aca="false">SUMIFS(Desconto_Cliente_Mes!$D$2:$D$433,Desconto_Cliente_Mes!$B$2:$B$433,$B31,Desconto_Cliente_Mes!$C$2:$C$433,$C31,Desconto_Cliente_Mes!$K$2:$K$433,"Nao",Desconto_Cliente_Mes!$D$2:$D$433,"&gt;0")</f>
        <v>0</v>
      </c>
      <c r="I31" s="42" t="n">
        <f aca="false">IF(AND($E31="Nao",$D31&gt;0,$H31&gt;0),$D31/$H31,0)</f>
        <v>0</v>
      </c>
      <c r="J31" s="40" t="n">
        <f aca="false">$I31*$G31</f>
        <v>0</v>
      </c>
      <c r="K31" s="40" t="n">
        <f aca="false">$J31-$F31</f>
        <v>0</v>
      </c>
      <c r="L31" s="27" t="str">
        <f aca="false">IF($D31=0,"Sem embarque",IF($K31&gt;0,"Recebe","Paga"))</f>
        <v>Sem embarque</v>
      </c>
    </row>
    <row r="32" customFormat="false" ht="15" hidden="false" customHeight="false" outlineLevel="0" collapsed="false">
      <c r="A32" s="27" t="s">
        <v>39</v>
      </c>
      <c r="B32" s="27" t="s">
        <v>68</v>
      </c>
      <c r="C32" s="27" t="s">
        <v>109</v>
      </c>
      <c r="D32" s="34" t="n">
        <f aca="false">SUMIFS(Desconto_Cliente_Mes!$D$2:$D$433,Desconto_Cliente_Mes!$A$2:$A$433,$A32,Desconto_Cliente_Mes!$B$2:$B$433,$B32,Desconto_Cliente_Mes!$C$2:$C$433,$C32)</f>
        <v>0</v>
      </c>
      <c r="E32" s="37" t="str">
        <f aca="false">INDEX(Desconto_Cliente_Mes!$K$2:$K$433,MATCH($A32&amp;"|"&amp;$B32&amp;"|"&amp;$C32,Desconto_Cliente_Mes!$W$2:$W$433,0))</f>
        <v/>
      </c>
      <c r="F32" s="39" t="n">
        <f aca="false">SUMIFS(Desconto_Cliente_Mes!$U$2:$U$433,Desconto_Cliente_Mes!$A$2:$A$433,$A32,Desconto_Cliente_Mes!$B$2:$B$433,$B32,Desconto_Cliente_Mes!$C$2:$C$433,$C32)</f>
        <v>0</v>
      </c>
      <c r="G32" s="39" t="n">
        <f aca="false">SUMIFS(Desconto_Cliente_Mes!$U$2:$U$433,Desconto_Cliente_Mes!$B$2:$B$433,$B32,Desconto_Cliente_Mes!$C$2:$C$433,$C32,Desconto_Cliente_Mes!$K$2:$K$433,"Sim")</f>
        <v>0</v>
      </c>
      <c r="H32" s="37" t="n">
        <f aca="false">SUMIFS(Desconto_Cliente_Mes!$D$2:$D$433,Desconto_Cliente_Mes!$B$2:$B$433,$B32,Desconto_Cliente_Mes!$C$2:$C$433,$C32,Desconto_Cliente_Mes!$K$2:$K$433,"Nao",Desconto_Cliente_Mes!$D$2:$D$433,"&gt;0")</f>
        <v>0</v>
      </c>
      <c r="I32" s="42" t="n">
        <f aca="false">IF(AND($E32="Nao",$D32&gt;0,$H32&gt;0),$D32/$H32,0)</f>
        <v>0</v>
      </c>
      <c r="J32" s="40" t="n">
        <f aca="false">$I32*$G32</f>
        <v>0</v>
      </c>
      <c r="K32" s="40" t="n">
        <f aca="false">$J32-$F32</f>
        <v>0</v>
      </c>
      <c r="L32" s="27" t="str">
        <f aca="false">IF($D32=0,"Sem embarque",IF($K32&gt;0,"Recebe","Paga"))</f>
        <v>Sem embarque</v>
      </c>
    </row>
    <row r="33" customFormat="false" ht="15" hidden="false" customHeight="false" outlineLevel="0" collapsed="false">
      <c r="A33" s="27" t="s">
        <v>39</v>
      </c>
      <c r="B33" s="27" t="s">
        <v>68</v>
      </c>
      <c r="C33" s="27" t="s">
        <v>110</v>
      </c>
      <c r="D33" s="34" t="n">
        <f aca="false">SUMIFS(Desconto_Cliente_Mes!$D$2:$D$433,Desconto_Cliente_Mes!$A$2:$A$433,$A33,Desconto_Cliente_Mes!$B$2:$B$433,$B33,Desconto_Cliente_Mes!$C$2:$C$433,$C33)</f>
        <v>0</v>
      </c>
      <c r="E33" s="37" t="str">
        <f aca="false">INDEX(Desconto_Cliente_Mes!$K$2:$K$433,MATCH($A33&amp;"|"&amp;$B33&amp;"|"&amp;$C33,Desconto_Cliente_Mes!$W$2:$W$433,0))</f>
        <v/>
      </c>
      <c r="F33" s="39" t="n">
        <f aca="false">SUMIFS(Desconto_Cliente_Mes!$U$2:$U$433,Desconto_Cliente_Mes!$A$2:$A$433,$A33,Desconto_Cliente_Mes!$B$2:$B$433,$B33,Desconto_Cliente_Mes!$C$2:$C$433,$C33)</f>
        <v>0</v>
      </c>
      <c r="G33" s="39" t="n">
        <f aca="false">SUMIFS(Desconto_Cliente_Mes!$U$2:$U$433,Desconto_Cliente_Mes!$B$2:$B$433,$B33,Desconto_Cliente_Mes!$C$2:$C$433,$C33,Desconto_Cliente_Mes!$K$2:$K$433,"Sim")</f>
        <v>0</v>
      </c>
      <c r="H33" s="37" t="n">
        <f aca="false">SUMIFS(Desconto_Cliente_Mes!$D$2:$D$433,Desconto_Cliente_Mes!$B$2:$B$433,$B33,Desconto_Cliente_Mes!$C$2:$C$433,$C33,Desconto_Cliente_Mes!$K$2:$K$433,"Nao",Desconto_Cliente_Mes!$D$2:$D$433,"&gt;0")</f>
        <v>0</v>
      </c>
      <c r="I33" s="42" t="n">
        <f aca="false">IF(AND($E33="Nao",$D33&gt;0,$H33&gt;0),$D33/$H33,0)</f>
        <v>0</v>
      </c>
      <c r="J33" s="40" t="n">
        <f aca="false">$I33*$G33</f>
        <v>0</v>
      </c>
      <c r="K33" s="40" t="n">
        <f aca="false">$J33-$F33</f>
        <v>0</v>
      </c>
      <c r="L33" s="27" t="str">
        <f aca="false">IF($D33=0,"Sem embarque",IF($K33&gt;0,"Recebe","Paga"))</f>
        <v>Sem embarque</v>
      </c>
    </row>
    <row r="34" customFormat="false" ht="15" hidden="false" customHeight="false" outlineLevel="0" collapsed="false">
      <c r="A34" s="27" t="s">
        <v>39</v>
      </c>
      <c r="B34" s="27" t="s">
        <v>68</v>
      </c>
      <c r="C34" s="27" t="s">
        <v>111</v>
      </c>
      <c r="D34" s="34" t="n">
        <f aca="false">SUMIFS(Desconto_Cliente_Mes!$D$2:$D$433,Desconto_Cliente_Mes!$A$2:$A$433,$A34,Desconto_Cliente_Mes!$B$2:$B$433,$B34,Desconto_Cliente_Mes!$C$2:$C$433,$C34)</f>
        <v>0</v>
      </c>
      <c r="E34" s="37" t="str">
        <f aca="false">INDEX(Desconto_Cliente_Mes!$K$2:$K$433,MATCH($A34&amp;"|"&amp;$B34&amp;"|"&amp;$C34,Desconto_Cliente_Mes!$W$2:$W$433,0))</f>
        <v/>
      </c>
      <c r="F34" s="39" t="n">
        <f aca="false">SUMIFS(Desconto_Cliente_Mes!$U$2:$U$433,Desconto_Cliente_Mes!$A$2:$A$433,$A34,Desconto_Cliente_Mes!$B$2:$B$433,$B34,Desconto_Cliente_Mes!$C$2:$C$433,$C34)</f>
        <v>0</v>
      </c>
      <c r="G34" s="39" t="n">
        <f aca="false">SUMIFS(Desconto_Cliente_Mes!$U$2:$U$433,Desconto_Cliente_Mes!$B$2:$B$433,$B34,Desconto_Cliente_Mes!$C$2:$C$433,$C34,Desconto_Cliente_Mes!$K$2:$K$433,"Sim")</f>
        <v>0</v>
      </c>
      <c r="H34" s="37" t="n">
        <f aca="false">SUMIFS(Desconto_Cliente_Mes!$D$2:$D$433,Desconto_Cliente_Mes!$B$2:$B$433,$B34,Desconto_Cliente_Mes!$C$2:$C$433,$C34,Desconto_Cliente_Mes!$K$2:$K$433,"Nao",Desconto_Cliente_Mes!$D$2:$D$433,"&gt;0")</f>
        <v>0</v>
      </c>
      <c r="I34" s="42" t="n">
        <f aca="false">IF(AND($E34="Nao",$D34&gt;0,$H34&gt;0),$D34/$H34,0)</f>
        <v>0</v>
      </c>
      <c r="J34" s="40" t="n">
        <f aca="false">$I34*$G34</f>
        <v>0</v>
      </c>
      <c r="K34" s="40" t="n">
        <f aca="false">$J34-$F34</f>
        <v>0</v>
      </c>
      <c r="L34" s="27" t="str">
        <f aca="false">IF($D34=0,"Sem embarque",IF($K34&gt;0,"Recebe","Paga"))</f>
        <v>Sem embarque</v>
      </c>
    </row>
    <row r="35" customFormat="false" ht="15" hidden="false" customHeight="false" outlineLevel="0" collapsed="false">
      <c r="A35" s="27" t="s">
        <v>39</v>
      </c>
      <c r="B35" s="27" t="s">
        <v>69</v>
      </c>
      <c r="C35" s="27" t="s">
        <v>109</v>
      </c>
      <c r="D35" s="34" t="n">
        <f aca="false">SUMIFS(Desconto_Cliente_Mes!$D$2:$D$433,Desconto_Cliente_Mes!$A$2:$A$433,$A35,Desconto_Cliente_Mes!$B$2:$B$433,$B35,Desconto_Cliente_Mes!$C$2:$C$433,$C35)</f>
        <v>0</v>
      </c>
      <c r="E35" s="37" t="str">
        <f aca="false">INDEX(Desconto_Cliente_Mes!$K$2:$K$433,MATCH($A35&amp;"|"&amp;$B35&amp;"|"&amp;$C35,Desconto_Cliente_Mes!$W$2:$W$433,0))</f>
        <v/>
      </c>
      <c r="F35" s="39" t="n">
        <f aca="false">SUMIFS(Desconto_Cliente_Mes!$U$2:$U$433,Desconto_Cliente_Mes!$A$2:$A$433,$A35,Desconto_Cliente_Mes!$B$2:$B$433,$B35,Desconto_Cliente_Mes!$C$2:$C$433,$C35)</f>
        <v>0</v>
      </c>
      <c r="G35" s="39" t="n">
        <f aca="false">SUMIFS(Desconto_Cliente_Mes!$U$2:$U$433,Desconto_Cliente_Mes!$B$2:$B$433,$B35,Desconto_Cliente_Mes!$C$2:$C$433,$C35,Desconto_Cliente_Mes!$K$2:$K$433,"Sim")</f>
        <v>0</v>
      </c>
      <c r="H35" s="37" t="n">
        <f aca="false">SUMIFS(Desconto_Cliente_Mes!$D$2:$D$433,Desconto_Cliente_Mes!$B$2:$B$433,$B35,Desconto_Cliente_Mes!$C$2:$C$433,$C35,Desconto_Cliente_Mes!$K$2:$K$433,"Nao",Desconto_Cliente_Mes!$D$2:$D$433,"&gt;0")</f>
        <v>0</v>
      </c>
      <c r="I35" s="42" t="n">
        <f aca="false">IF(AND($E35="Nao",$D35&gt;0,$H35&gt;0),$D35/$H35,0)</f>
        <v>0</v>
      </c>
      <c r="J35" s="40" t="n">
        <f aca="false">$I35*$G35</f>
        <v>0</v>
      </c>
      <c r="K35" s="40" t="n">
        <f aca="false">$J35-$F35</f>
        <v>0</v>
      </c>
      <c r="L35" s="27" t="str">
        <f aca="false">IF($D35=0,"Sem embarque",IF($K35&gt;0,"Recebe","Paga"))</f>
        <v>Sem embarque</v>
      </c>
    </row>
    <row r="36" customFormat="false" ht="15" hidden="false" customHeight="false" outlineLevel="0" collapsed="false">
      <c r="A36" s="27" t="s">
        <v>39</v>
      </c>
      <c r="B36" s="27" t="s">
        <v>69</v>
      </c>
      <c r="C36" s="27" t="s">
        <v>110</v>
      </c>
      <c r="D36" s="34" t="n">
        <f aca="false">SUMIFS(Desconto_Cliente_Mes!$D$2:$D$433,Desconto_Cliente_Mes!$A$2:$A$433,$A36,Desconto_Cliente_Mes!$B$2:$B$433,$B36,Desconto_Cliente_Mes!$C$2:$C$433,$C36)</f>
        <v>0</v>
      </c>
      <c r="E36" s="37" t="str">
        <f aca="false">INDEX(Desconto_Cliente_Mes!$K$2:$K$433,MATCH($A36&amp;"|"&amp;$B36&amp;"|"&amp;$C36,Desconto_Cliente_Mes!$W$2:$W$433,0))</f>
        <v/>
      </c>
      <c r="F36" s="39" t="n">
        <f aca="false">SUMIFS(Desconto_Cliente_Mes!$U$2:$U$433,Desconto_Cliente_Mes!$A$2:$A$433,$A36,Desconto_Cliente_Mes!$B$2:$B$433,$B36,Desconto_Cliente_Mes!$C$2:$C$433,$C36)</f>
        <v>0</v>
      </c>
      <c r="G36" s="39" t="n">
        <f aca="false">SUMIFS(Desconto_Cliente_Mes!$U$2:$U$433,Desconto_Cliente_Mes!$B$2:$B$433,$B36,Desconto_Cliente_Mes!$C$2:$C$433,$C36,Desconto_Cliente_Mes!$K$2:$K$433,"Sim")</f>
        <v>0</v>
      </c>
      <c r="H36" s="37" t="n">
        <f aca="false">SUMIFS(Desconto_Cliente_Mes!$D$2:$D$433,Desconto_Cliente_Mes!$B$2:$B$433,$B36,Desconto_Cliente_Mes!$C$2:$C$433,$C36,Desconto_Cliente_Mes!$K$2:$K$433,"Nao",Desconto_Cliente_Mes!$D$2:$D$433,"&gt;0")</f>
        <v>0</v>
      </c>
      <c r="I36" s="42" t="n">
        <f aca="false">IF(AND($E36="Nao",$D36&gt;0,$H36&gt;0),$D36/$H36,0)</f>
        <v>0</v>
      </c>
      <c r="J36" s="40" t="n">
        <f aca="false">$I36*$G36</f>
        <v>0</v>
      </c>
      <c r="K36" s="40" t="n">
        <f aca="false">$J36-$F36</f>
        <v>0</v>
      </c>
      <c r="L36" s="27" t="str">
        <f aca="false">IF($D36=0,"Sem embarque",IF($K36&gt;0,"Recebe","Paga"))</f>
        <v>Sem embarque</v>
      </c>
    </row>
    <row r="37" customFormat="false" ht="15" hidden="false" customHeight="false" outlineLevel="0" collapsed="false">
      <c r="A37" s="27" t="s">
        <v>39</v>
      </c>
      <c r="B37" s="27" t="s">
        <v>69</v>
      </c>
      <c r="C37" s="27" t="s">
        <v>111</v>
      </c>
      <c r="D37" s="34" t="n">
        <f aca="false">SUMIFS(Desconto_Cliente_Mes!$D$2:$D$433,Desconto_Cliente_Mes!$A$2:$A$433,$A37,Desconto_Cliente_Mes!$B$2:$B$433,$B37,Desconto_Cliente_Mes!$C$2:$C$433,$C37)</f>
        <v>0</v>
      </c>
      <c r="E37" s="37" t="str">
        <f aca="false">INDEX(Desconto_Cliente_Mes!$K$2:$K$433,MATCH($A37&amp;"|"&amp;$B37&amp;"|"&amp;$C37,Desconto_Cliente_Mes!$W$2:$W$433,0))</f>
        <v/>
      </c>
      <c r="F37" s="39" t="n">
        <f aca="false">SUMIFS(Desconto_Cliente_Mes!$U$2:$U$433,Desconto_Cliente_Mes!$A$2:$A$433,$A37,Desconto_Cliente_Mes!$B$2:$B$433,$B37,Desconto_Cliente_Mes!$C$2:$C$433,$C37)</f>
        <v>0</v>
      </c>
      <c r="G37" s="39" t="n">
        <f aca="false">SUMIFS(Desconto_Cliente_Mes!$U$2:$U$433,Desconto_Cliente_Mes!$B$2:$B$433,$B37,Desconto_Cliente_Mes!$C$2:$C$433,$C37,Desconto_Cliente_Mes!$K$2:$K$433,"Sim")</f>
        <v>0</v>
      </c>
      <c r="H37" s="37" t="n">
        <f aca="false">SUMIFS(Desconto_Cliente_Mes!$D$2:$D$433,Desconto_Cliente_Mes!$B$2:$B$433,$B37,Desconto_Cliente_Mes!$C$2:$C$433,$C37,Desconto_Cliente_Mes!$K$2:$K$433,"Nao",Desconto_Cliente_Mes!$D$2:$D$433,"&gt;0")</f>
        <v>0</v>
      </c>
      <c r="I37" s="42" t="n">
        <f aca="false">IF(AND($E37="Nao",$D37&gt;0,$H37&gt;0),$D37/$H37,0)</f>
        <v>0</v>
      </c>
      <c r="J37" s="40" t="n">
        <f aca="false">$I37*$G37</f>
        <v>0</v>
      </c>
      <c r="K37" s="40" t="n">
        <f aca="false">$J37-$F37</f>
        <v>0</v>
      </c>
      <c r="L37" s="27" t="str">
        <f aca="false">IF($D37=0,"Sem embarque",IF($K37&gt;0,"Recebe","Paga"))</f>
        <v>Sem embarque</v>
      </c>
    </row>
    <row r="38" customFormat="false" ht="15" hidden="false" customHeight="false" outlineLevel="0" collapsed="false">
      <c r="A38" s="27" t="s">
        <v>40</v>
      </c>
      <c r="B38" s="27" t="s">
        <v>38</v>
      </c>
      <c r="C38" s="27" t="s">
        <v>109</v>
      </c>
      <c r="D38" s="34" t="n">
        <f aca="false">SUMIFS(Desconto_Cliente_Mes!$D$2:$D$433,Desconto_Cliente_Mes!$A$2:$A$433,$A38,Desconto_Cliente_Mes!$B$2:$B$433,$B38,Desconto_Cliente_Mes!$C$2:$C$433,$C38)</f>
        <v>39842.6</v>
      </c>
      <c r="E38" s="37" t="str">
        <f aca="false">INDEX(Desconto_Cliente_Mes!$K$2:$K$433,MATCH($A38&amp;"|"&amp;$B38&amp;"|"&amp;$C38,Desconto_Cliente_Mes!$W$2:$W$433,0))</f>
        <v>Nao</v>
      </c>
      <c r="F38" s="39" t="n">
        <f aca="false">SUMIFS(Desconto_Cliente_Mes!$U$2:$U$433,Desconto_Cliente_Mes!$A$2:$A$433,$A38,Desconto_Cliente_Mes!$B$2:$B$433,$B38,Desconto_Cliente_Mes!$C$2:$C$433,$C38)</f>
        <v>0</v>
      </c>
      <c r="G38" s="39" t="n">
        <f aca="false">SUMIFS(Desconto_Cliente_Mes!$U$2:$U$433,Desconto_Cliente_Mes!$B$2:$B$433,$B38,Desconto_Cliente_Mes!$C$2:$C$433,$C38,Desconto_Cliente_Mes!$K$2:$K$433,"Sim")</f>
        <v>91377.0669671845</v>
      </c>
      <c r="H38" s="37" t="n">
        <f aca="false">SUMIFS(Desconto_Cliente_Mes!$D$2:$D$433,Desconto_Cliente_Mes!$B$2:$B$433,$B38,Desconto_Cliente_Mes!$C$2:$C$433,$C38,Desconto_Cliente_Mes!$K$2:$K$433,"Nao",Desconto_Cliente_Mes!$D$2:$D$433,"&gt;0")</f>
        <v>58734.34</v>
      </c>
      <c r="I38" s="42" t="n">
        <f aca="false">IF(AND($E38="Nao",$D38&gt;0,$H38&gt;0),$D38/$H38,0)</f>
        <v>0.678352731979282</v>
      </c>
      <c r="J38" s="40" t="n">
        <f aca="false">$I38*$G38</f>
        <v>61985.8830174434</v>
      </c>
      <c r="K38" s="40" t="n">
        <f aca="false">$J38-$F38</f>
        <v>61985.8830174434</v>
      </c>
      <c r="L38" s="27" t="str">
        <f aca="false">IF($D38=0,"Sem embarque",IF($K38&gt;0,"Recebe","Paga"))</f>
        <v>Recebe</v>
      </c>
    </row>
    <row r="39" customFormat="false" ht="15" hidden="false" customHeight="false" outlineLevel="0" collapsed="false">
      <c r="A39" s="27" t="s">
        <v>40</v>
      </c>
      <c r="B39" s="27" t="s">
        <v>38</v>
      </c>
      <c r="C39" s="27" t="s">
        <v>110</v>
      </c>
      <c r="D39" s="34" t="n">
        <f aca="false">SUMIFS(Desconto_Cliente_Mes!$D$2:$D$433,Desconto_Cliente_Mes!$A$2:$A$433,$A39,Desconto_Cliente_Mes!$B$2:$B$433,$B39,Desconto_Cliente_Mes!$C$2:$C$433,$C39)</f>
        <v>39842.6</v>
      </c>
      <c r="E39" s="37" t="str">
        <f aca="false">INDEX(Desconto_Cliente_Mes!$K$2:$K$433,MATCH($A39&amp;"|"&amp;$B39&amp;"|"&amp;$C39,Desconto_Cliente_Mes!$W$2:$W$433,0))</f>
        <v>Nao</v>
      </c>
      <c r="F39" s="39" t="n">
        <f aca="false">SUMIFS(Desconto_Cliente_Mes!$U$2:$U$433,Desconto_Cliente_Mes!$A$2:$A$433,$A39,Desconto_Cliente_Mes!$B$2:$B$433,$B39,Desconto_Cliente_Mes!$C$2:$C$433,$C39)</f>
        <v>0</v>
      </c>
      <c r="G39" s="39" t="n">
        <f aca="false">SUMIFS(Desconto_Cliente_Mes!$U$2:$U$433,Desconto_Cliente_Mes!$B$2:$B$433,$B39,Desconto_Cliente_Mes!$C$2:$C$433,$C39,Desconto_Cliente_Mes!$K$2:$K$433,"Sim")</f>
        <v>0</v>
      </c>
      <c r="H39" s="37" t="n">
        <f aca="false">SUMIFS(Desconto_Cliente_Mes!$D$2:$D$433,Desconto_Cliente_Mes!$B$2:$B$433,$B39,Desconto_Cliente_Mes!$C$2:$C$433,$C39,Desconto_Cliente_Mes!$K$2:$K$433,"Nao",Desconto_Cliente_Mes!$D$2:$D$433,"&gt;0")</f>
        <v>263816.27</v>
      </c>
      <c r="I39" s="42" t="n">
        <f aca="false">IF(AND($E39="Nao",$D39&gt;0,$H39&gt;0),$D39/$H39,0)</f>
        <v>0.151024044119796</v>
      </c>
      <c r="J39" s="40" t="n">
        <f aca="false">$I39*$G39</f>
        <v>0</v>
      </c>
      <c r="K39" s="40" t="n">
        <f aca="false">$J39-$F39</f>
        <v>0</v>
      </c>
      <c r="L39" s="27" t="str">
        <f aca="false">IF($D39=0,"Sem embarque",IF($K39&gt;0,"Recebe","Paga"))</f>
        <v>Paga</v>
      </c>
    </row>
    <row r="40" customFormat="false" ht="15" hidden="false" customHeight="false" outlineLevel="0" collapsed="false">
      <c r="A40" s="27" t="s">
        <v>40</v>
      </c>
      <c r="B40" s="27" t="s">
        <v>38</v>
      </c>
      <c r="C40" s="27" t="s">
        <v>111</v>
      </c>
      <c r="D40" s="34" t="n">
        <f aca="false">SUMIFS(Desconto_Cliente_Mes!$D$2:$D$433,Desconto_Cliente_Mes!$A$2:$A$433,$A40,Desconto_Cliente_Mes!$B$2:$B$433,$B40,Desconto_Cliente_Mes!$C$2:$C$433,$C40)</f>
        <v>39842.6</v>
      </c>
      <c r="E40" s="37" t="str">
        <f aca="false">INDEX(Desconto_Cliente_Mes!$K$2:$K$433,MATCH($A40&amp;"|"&amp;$B40&amp;"|"&amp;$C40,Desconto_Cliente_Mes!$W$2:$W$433,0))</f>
        <v>Nao</v>
      </c>
      <c r="F40" s="39" t="n">
        <f aca="false">SUMIFS(Desconto_Cliente_Mes!$U$2:$U$433,Desconto_Cliente_Mes!$A$2:$A$433,$A40,Desconto_Cliente_Mes!$B$2:$B$433,$B40,Desconto_Cliente_Mes!$C$2:$C$433,$C40)</f>
        <v>0</v>
      </c>
      <c r="G40" s="39" t="n">
        <f aca="false">SUMIFS(Desconto_Cliente_Mes!$U$2:$U$433,Desconto_Cliente_Mes!$B$2:$B$433,$B40,Desconto_Cliente_Mes!$C$2:$C$433,$C40,Desconto_Cliente_Mes!$K$2:$K$433,"Sim")</f>
        <v>71216.4191325092</v>
      </c>
      <c r="H40" s="37" t="n">
        <f aca="false">SUMIFS(Desconto_Cliente_Mes!$D$2:$D$433,Desconto_Cliente_Mes!$B$2:$B$433,$B40,Desconto_Cliente_Mes!$C$2:$C$433,$C40,Desconto_Cliente_Mes!$K$2:$K$433,"Nao",Desconto_Cliente_Mes!$D$2:$D$433,"&gt;0")</f>
        <v>116867.62</v>
      </c>
      <c r="I40" s="42" t="n">
        <f aca="false">IF(AND($E40="Nao",$D40&gt;0,$H40&gt;0),$D40/$H40,0)</f>
        <v>0.340920778569804</v>
      </c>
      <c r="J40" s="40" t="n">
        <f aca="false">$I40*$G40</f>
        <v>24279.1570576085</v>
      </c>
      <c r="K40" s="40" t="n">
        <f aca="false">$J40-$F40</f>
        <v>24279.1570576085</v>
      </c>
      <c r="L40" s="27" t="str">
        <f aca="false">IF($D40=0,"Sem embarque",IF($K40&gt;0,"Recebe","Paga"))</f>
        <v>Recebe</v>
      </c>
    </row>
    <row r="41" customFormat="false" ht="15" hidden="false" customHeight="false" outlineLevel="0" collapsed="false">
      <c r="A41" s="27" t="s">
        <v>40</v>
      </c>
      <c r="B41" s="27" t="s">
        <v>59</v>
      </c>
      <c r="C41" s="27" t="s">
        <v>109</v>
      </c>
      <c r="D41" s="34" t="n">
        <f aca="false">SUMIFS(Desconto_Cliente_Mes!$D$2:$D$433,Desconto_Cliente_Mes!$A$2:$A$433,$A41,Desconto_Cliente_Mes!$B$2:$B$433,$B41,Desconto_Cliente_Mes!$C$2:$C$433,$C41)</f>
        <v>30370.33</v>
      </c>
      <c r="E41" s="37" t="str">
        <f aca="false">INDEX(Desconto_Cliente_Mes!$K$2:$K$433,MATCH($A41&amp;"|"&amp;$B41&amp;"|"&amp;$C41,Desconto_Cliente_Mes!$W$2:$W$433,0))</f>
        <v>Nao</v>
      </c>
      <c r="F41" s="39" t="n">
        <f aca="false">SUMIFS(Desconto_Cliente_Mes!$U$2:$U$433,Desconto_Cliente_Mes!$A$2:$A$433,$A41,Desconto_Cliente_Mes!$B$2:$B$433,$B41,Desconto_Cliente_Mes!$C$2:$C$433,$C41)</f>
        <v>0</v>
      </c>
      <c r="G41" s="39" t="n">
        <f aca="false">SUMIFS(Desconto_Cliente_Mes!$U$2:$U$433,Desconto_Cliente_Mes!$B$2:$B$433,$B41,Desconto_Cliente_Mes!$C$2:$C$433,$C41,Desconto_Cliente_Mes!$K$2:$K$433,"Sim")</f>
        <v>166858.825867758</v>
      </c>
      <c r="H41" s="37" t="n">
        <f aca="false">SUMIFS(Desconto_Cliente_Mes!$D$2:$D$433,Desconto_Cliente_Mes!$B$2:$B$433,$B41,Desconto_Cliente_Mes!$C$2:$C$433,$C41,Desconto_Cliente_Mes!$K$2:$K$433,"Nao",Desconto_Cliente_Mes!$D$2:$D$433,"&gt;0")</f>
        <v>83594.61</v>
      </c>
      <c r="I41" s="42" t="n">
        <f aca="false">IF(AND($E41="Nao",$D41&gt;0,$H41&gt;0),$D41/$H41,0)</f>
        <v>0.363304882934438</v>
      </c>
      <c r="J41" s="40" t="n">
        <f aca="false">$I41*$G41</f>
        <v>60620.6261984638</v>
      </c>
      <c r="K41" s="40" t="n">
        <f aca="false">$J41-$F41</f>
        <v>60620.6261984638</v>
      </c>
      <c r="L41" s="27" t="str">
        <f aca="false">IF($D41=0,"Sem embarque",IF($K41&gt;0,"Recebe","Paga"))</f>
        <v>Recebe</v>
      </c>
    </row>
    <row r="42" customFormat="false" ht="15" hidden="false" customHeight="false" outlineLevel="0" collapsed="false">
      <c r="A42" s="27" t="s">
        <v>40</v>
      </c>
      <c r="B42" s="27" t="s">
        <v>59</v>
      </c>
      <c r="C42" s="27" t="s">
        <v>110</v>
      </c>
      <c r="D42" s="34" t="n">
        <f aca="false">SUMIFS(Desconto_Cliente_Mes!$D$2:$D$433,Desconto_Cliente_Mes!$A$2:$A$433,$A42,Desconto_Cliente_Mes!$B$2:$B$433,$B42,Desconto_Cliente_Mes!$C$2:$C$433,$C42)</f>
        <v>30370.33</v>
      </c>
      <c r="E42" s="37" t="str">
        <f aca="false">INDEX(Desconto_Cliente_Mes!$K$2:$K$433,MATCH($A42&amp;"|"&amp;$B42&amp;"|"&amp;$C42,Desconto_Cliente_Mes!$W$2:$W$433,0))</f>
        <v>Nao</v>
      </c>
      <c r="F42" s="39" t="n">
        <f aca="false">SUMIFS(Desconto_Cliente_Mes!$U$2:$U$433,Desconto_Cliente_Mes!$A$2:$A$433,$A42,Desconto_Cliente_Mes!$B$2:$B$433,$B42,Desconto_Cliente_Mes!$C$2:$C$433,$C42)</f>
        <v>0</v>
      </c>
      <c r="G42" s="39" t="n">
        <f aca="false">SUMIFS(Desconto_Cliente_Mes!$U$2:$U$433,Desconto_Cliente_Mes!$B$2:$B$433,$B42,Desconto_Cliente_Mes!$C$2:$C$433,$C42,Desconto_Cliente_Mes!$K$2:$K$433,"Sim")</f>
        <v>8132.39257800007</v>
      </c>
      <c r="H42" s="37" t="n">
        <f aca="false">SUMIFS(Desconto_Cliente_Mes!$D$2:$D$433,Desconto_Cliente_Mes!$B$2:$B$433,$B42,Desconto_Cliente_Mes!$C$2:$C$433,$C42,Desconto_Cliente_Mes!$K$2:$K$433,"Nao",Desconto_Cliente_Mes!$D$2:$D$433,"&gt;0")</f>
        <v>289730.52</v>
      </c>
      <c r="I42" s="42" t="n">
        <f aca="false">IF(AND($E42="Nao",$D42&gt;0,$H42&gt;0),$D42/$H42,0)</f>
        <v>0.104822681435149</v>
      </c>
      <c r="J42" s="40" t="n">
        <f aca="false">$I42*$G42</f>
        <v>852.459196509269</v>
      </c>
      <c r="K42" s="40" t="n">
        <f aca="false">$J42-$F42</f>
        <v>852.459196509269</v>
      </c>
      <c r="L42" s="27" t="str">
        <f aca="false">IF($D42=0,"Sem embarque",IF($K42&gt;0,"Recebe","Paga"))</f>
        <v>Recebe</v>
      </c>
    </row>
    <row r="43" customFormat="false" ht="15" hidden="false" customHeight="false" outlineLevel="0" collapsed="false">
      <c r="A43" s="27" t="s">
        <v>40</v>
      </c>
      <c r="B43" s="27" t="s">
        <v>59</v>
      </c>
      <c r="C43" s="27" t="s">
        <v>111</v>
      </c>
      <c r="D43" s="34" t="n">
        <f aca="false">SUMIFS(Desconto_Cliente_Mes!$D$2:$D$433,Desconto_Cliente_Mes!$A$2:$A$433,$A43,Desconto_Cliente_Mes!$B$2:$B$433,$B43,Desconto_Cliente_Mes!$C$2:$C$433,$C43)</f>
        <v>30370.33</v>
      </c>
      <c r="E43" s="37" t="str">
        <f aca="false">INDEX(Desconto_Cliente_Mes!$K$2:$K$433,MATCH($A43&amp;"|"&amp;$B43&amp;"|"&amp;$C43,Desconto_Cliente_Mes!$W$2:$W$433,0))</f>
        <v>Nao</v>
      </c>
      <c r="F43" s="39" t="n">
        <f aca="false">SUMIFS(Desconto_Cliente_Mes!$U$2:$U$433,Desconto_Cliente_Mes!$A$2:$A$433,$A43,Desconto_Cliente_Mes!$B$2:$B$433,$B43,Desconto_Cliente_Mes!$C$2:$C$433,$C43)</f>
        <v>0</v>
      </c>
      <c r="G43" s="39" t="n">
        <f aca="false">SUMIFS(Desconto_Cliente_Mes!$U$2:$U$433,Desconto_Cliente_Mes!$B$2:$B$433,$B43,Desconto_Cliente_Mes!$C$2:$C$433,$C43,Desconto_Cliente_Mes!$K$2:$K$433,"Sim")</f>
        <v>47707.8352836299</v>
      </c>
      <c r="H43" s="37" t="n">
        <f aca="false">SUMIFS(Desconto_Cliente_Mes!$D$2:$D$433,Desconto_Cliente_Mes!$B$2:$B$433,$B43,Desconto_Cliente_Mes!$C$2:$C$433,$C43,Desconto_Cliente_Mes!$K$2:$K$433,"Nao",Desconto_Cliente_Mes!$D$2:$D$433,"&gt;0")</f>
        <v>185268.24</v>
      </c>
      <c r="I43" s="42" t="n">
        <f aca="false">IF(AND($E43="Nao",$D43&gt;0,$H43&gt;0),$D43/$H43,0)</f>
        <v>0.16392626172732</v>
      </c>
      <c r="J43" s="40" t="n">
        <f aca="false">$I43*$G43</f>
        <v>7820.56709314821</v>
      </c>
      <c r="K43" s="40" t="n">
        <f aca="false">$J43-$F43</f>
        <v>7820.56709314821</v>
      </c>
      <c r="L43" s="27" t="str">
        <f aca="false">IF($D43=0,"Sem embarque",IF($K43&gt;0,"Recebe","Paga"))</f>
        <v>Recebe</v>
      </c>
    </row>
    <row r="44" customFormat="false" ht="15" hidden="false" customHeight="false" outlineLevel="0" collapsed="false">
      <c r="A44" s="27" t="s">
        <v>40</v>
      </c>
      <c r="B44" s="27" t="s">
        <v>60</v>
      </c>
      <c r="C44" s="27" t="s">
        <v>109</v>
      </c>
      <c r="D44" s="34" t="n">
        <f aca="false">SUMIFS(Desconto_Cliente_Mes!$D$2:$D$433,Desconto_Cliente_Mes!$A$2:$A$433,$A44,Desconto_Cliente_Mes!$B$2:$B$433,$B44,Desconto_Cliente_Mes!$C$2:$C$433,$C44)</f>
        <v>43330.53</v>
      </c>
      <c r="E44" s="37" t="str">
        <f aca="false">INDEX(Desconto_Cliente_Mes!$K$2:$K$433,MATCH($A44&amp;"|"&amp;$B44&amp;"|"&amp;$C44,Desconto_Cliente_Mes!$W$2:$W$433,0))</f>
        <v>Nao</v>
      </c>
      <c r="F44" s="39" t="n">
        <f aca="false">SUMIFS(Desconto_Cliente_Mes!$U$2:$U$433,Desconto_Cliente_Mes!$A$2:$A$433,$A44,Desconto_Cliente_Mes!$B$2:$B$433,$B44,Desconto_Cliente_Mes!$C$2:$C$433,$C44)</f>
        <v>0</v>
      </c>
      <c r="G44" s="39" t="n">
        <f aca="false">SUMIFS(Desconto_Cliente_Mes!$U$2:$U$433,Desconto_Cliente_Mes!$B$2:$B$433,$B44,Desconto_Cliente_Mes!$C$2:$C$433,$C44,Desconto_Cliente_Mes!$K$2:$K$433,"Sim")</f>
        <v>75633.0761548471</v>
      </c>
      <c r="H44" s="37" t="n">
        <f aca="false">SUMIFS(Desconto_Cliente_Mes!$D$2:$D$433,Desconto_Cliente_Mes!$B$2:$B$433,$B44,Desconto_Cliente_Mes!$C$2:$C$433,$C44,Desconto_Cliente_Mes!$K$2:$K$433,"Nao",Desconto_Cliente_Mes!$D$2:$D$433,"&gt;0")</f>
        <v>55750.4</v>
      </c>
      <c r="I44" s="42" t="n">
        <f aca="false">IF(AND($E44="Nao",$D44&gt;0,$H44&gt;0),$D44/$H44,0)</f>
        <v>0.777223661175525</v>
      </c>
      <c r="J44" s="40" t="n">
        <f aca="false">$I44*$G44</f>
        <v>58783.8163550375</v>
      </c>
      <c r="K44" s="40" t="n">
        <f aca="false">$J44-$F44</f>
        <v>58783.8163550375</v>
      </c>
      <c r="L44" s="27" t="str">
        <f aca="false">IF($D44=0,"Sem embarque",IF($K44&gt;0,"Recebe","Paga"))</f>
        <v>Recebe</v>
      </c>
    </row>
    <row r="45" customFormat="false" ht="15" hidden="false" customHeight="false" outlineLevel="0" collapsed="false">
      <c r="A45" s="27" t="s">
        <v>40</v>
      </c>
      <c r="B45" s="27" t="s">
        <v>60</v>
      </c>
      <c r="C45" s="27" t="s">
        <v>110</v>
      </c>
      <c r="D45" s="34" t="n">
        <f aca="false">SUMIFS(Desconto_Cliente_Mes!$D$2:$D$433,Desconto_Cliente_Mes!$A$2:$A$433,$A45,Desconto_Cliente_Mes!$B$2:$B$433,$B45,Desconto_Cliente_Mes!$C$2:$C$433,$C45)</f>
        <v>43330.53</v>
      </c>
      <c r="E45" s="37" t="str">
        <f aca="false">INDEX(Desconto_Cliente_Mes!$K$2:$K$433,MATCH($A45&amp;"|"&amp;$B45&amp;"|"&amp;$C45,Desconto_Cliente_Mes!$W$2:$W$433,0))</f>
        <v>Nao</v>
      </c>
      <c r="F45" s="39" t="n">
        <f aca="false">SUMIFS(Desconto_Cliente_Mes!$U$2:$U$433,Desconto_Cliente_Mes!$A$2:$A$433,$A45,Desconto_Cliente_Mes!$B$2:$B$433,$B45,Desconto_Cliente_Mes!$C$2:$C$433,$C45)</f>
        <v>0</v>
      </c>
      <c r="G45" s="39" t="n">
        <f aca="false">SUMIFS(Desconto_Cliente_Mes!$U$2:$U$433,Desconto_Cliente_Mes!$B$2:$B$433,$B45,Desconto_Cliente_Mes!$C$2:$C$433,$C45,Desconto_Cliente_Mes!$K$2:$K$433,"Sim")</f>
        <v>0</v>
      </c>
      <c r="H45" s="37" t="n">
        <f aca="false">SUMIFS(Desconto_Cliente_Mes!$D$2:$D$433,Desconto_Cliente_Mes!$B$2:$B$433,$B45,Desconto_Cliente_Mes!$C$2:$C$433,$C45,Desconto_Cliente_Mes!$K$2:$K$433,"Nao",Desconto_Cliente_Mes!$D$2:$D$433,"&gt;0")</f>
        <v>240729.22</v>
      </c>
      <c r="I45" s="42" t="n">
        <f aca="false">IF(AND($E45="Nao",$D45&gt;0,$H45&gt;0),$D45/$H45,0)</f>
        <v>0.179996969208806</v>
      </c>
      <c r="J45" s="40" t="n">
        <f aca="false">$I45*$G45</f>
        <v>0</v>
      </c>
      <c r="K45" s="40" t="n">
        <f aca="false">$J45-$F45</f>
        <v>0</v>
      </c>
      <c r="L45" s="27" t="str">
        <f aca="false">IF($D45=0,"Sem embarque",IF($K45&gt;0,"Recebe","Paga"))</f>
        <v>Paga</v>
      </c>
    </row>
    <row r="46" customFormat="false" ht="15" hidden="false" customHeight="false" outlineLevel="0" collapsed="false">
      <c r="A46" s="27" t="s">
        <v>40</v>
      </c>
      <c r="B46" s="27" t="s">
        <v>60</v>
      </c>
      <c r="C46" s="27" t="s">
        <v>111</v>
      </c>
      <c r="D46" s="34" t="n">
        <f aca="false">SUMIFS(Desconto_Cliente_Mes!$D$2:$D$433,Desconto_Cliente_Mes!$A$2:$A$433,$A46,Desconto_Cliente_Mes!$B$2:$B$433,$B46,Desconto_Cliente_Mes!$C$2:$C$433,$C46)</f>
        <v>43330.53</v>
      </c>
      <c r="E46" s="37" t="str">
        <f aca="false">INDEX(Desconto_Cliente_Mes!$K$2:$K$433,MATCH($A46&amp;"|"&amp;$B46&amp;"|"&amp;$C46,Desconto_Cliente_Mes!$W$2:$W$433,0))</f>
        <v>Nao</v>
      </c>
      <c r="F46" s="39" t="n">
        <f aca="false">SUMIFS(Desconto_Cliente_Mes!$U$2:$U$433,Desconto_Cliente_Mes!$A$2:$A$433,$A46,Desconto_Cliente_Mes!$B$2:$B$433,$B46,Desconto_Cliente_Mes!$C$2:$C$433,$C46)</f>
        <v>0</v>
      </c>
      <c r="G46" s="39" t="n">
        <f aca="false">SUMIFS(Desconto_Cliente_Mes!$U$2:$U$433,Desconto_Cliente_Mes!$B$2:$B$433,$B46,Desconto_Cliente_Mes!$C$2:$C$433,$C46,Desconto_Cliente_Mes!$K$2:$K$433,"Sim")</f>
        <v>15973.4860651284</v>
      </c>
      <c r="H46" s="37" t="n">
        <f aca="false">SUMIFS(Desconto_Cliente_Mes!$D$2:$D$433,Desconto_Cliente_Mes!$B$2:$B$433,$B46,Desconto_Cliente_Mes!$C$2:$C$433,$C46,Desconto_Cliente_Mes!$K$2:$K$433,"Nao",Desconto_Cliente_Mes!$D$2:$D$433,"&gt;0")</f>
        <v>55750.4</v>
      </c>
      <c r="I46" s="42" t="n">
        <f aca="false">IF(AND($E46="Nao",$D46&gt;0,$H46&gt;0),$D46/$H46,0)</f>
        <v>0.777223661175525</v>
      </c>
      <c r="J46" s="40" t="n">
        <f aca="false">$I46*$G46</f>
        <v>12414.9713212753</v>
      </c>
      <c r="K46" s="40" t="n">
        <f aca="false">$J46-$F46</f>
        <v>12414.9713212753</v>
      </c>
      <c r="L46" s="27" t="str">
        <f aca="false">IF($D46=0,"Sem embarque",IF($K46&gt;0,"Recebe","Paga"))</f>
        <v>Recebe</v>
      </c>
    </row>
    <row r="47" customFormat="false" ht="15" hidden="false" customHeight="false" outlineLevel="0" collapsed="false">
      <c r="A47" s="27" t="s">
        <v>40</v>
      </c>
      <c r="B47" s="27" t="s">
        <v>61</v>
      </c>
      <c r="C47" s="27" t="s">
        <v>109</v>
      </c>
      <c r="D47" s="34" t="n">
        <f aca="false">SUMIFS(Desconto_Cliente_Mes!$D$2:$D$433,Desconto_Cliente_Mes!$A$2:$A$433,$A47,Desconto_Cliente_Mes!$B$2:$B$433,$B47,Desconto_Cliente_Mes!$C$2:$C$433,$C47)</f>
        <v>53319.92</v>
      </c>
      <c r="E47" s="37" t="str">
        <f aca="false">INDEX(Desconto_Cliente_Mes!$K$2:$K$433,MATCH($A47&amp;"|"&amp;$B47&amp;"|"&amp;$C47,Desconto_Cliente_Mes!$W$2:$W$433,0))</f>
        <v>Nao</v>
      </c>
      <c r="F47" s="39" t="n">
        <f aca="false">SUMIFS(Desconto_Cliente_Mes!$U$2:$U$433,Desconto_Cliente_Mes!$A$2:$A$433,$A47,Desconto_Cliente_Mes!$B$2:$B$433,$B47,Desconto_Cliente_Mes!$C$2:$C$433,$C47)</f>
        <v>0</v>
      </c>
      <c r="G47" s="39" t="n">
        <f aca="false">SUMIFS(Desconto_Cliente_Mes!$U$2:$U$433,Desconto_Cliente_Mes!$B$2:$B$433,$B47,Desconto_Cliente_Mes!$C$2:$C$433,$C47,Desconto_Cliente_Mes!$K$2:$K$433,"Sim")</f>
        <v>101062.110385431</v>
      </c>
      <c r="H47" s="37" t="n">
        <f aca="false">SUMIFS(Desconto_Cliente_Mes!$D$2:$D$433,Desconto_Cliente_Mes!$B$2:$B$433,$B47,Desconto_Cliente_Mes!$C$2:$C$433,$C47,Desconto_Cliente_Mes!$K$2:$K$433,"Nao",Desconto_Cliente_Mes!$D$2:$D$433,"&gt;0")</f>
        <v>195833.47</v>
      </c>
      <c r="I47" s="42" t="n">
        <f aca="false">IF(AND($E47="Nao",$D47&gt;0,$H47&gt;0),$D47/$H47,0)</f>
        <v>0.272271741903976</v>
      </c>
      <c r="J47" s="40" t="n">
        <f aca="false">$I47*$G47</f>
        <v>27516.3568351333</v>
      </c>
      <c r="K47" s="40" t="n">
        <f aca="false">$J47-$F47</f>
        <v>27516.3568351333</v>
      </c>
      <c r="L47" s="27" t="str">
        <f aca="false">IF($D47=0,"Sem embarque",IF($K47&gt;0,"Recebe","Paga"))</f>
        <v>Recebe</v>
      </c>
    </row>
    <row r="48" customFormat="false" ht="15" hidden="false" customHeight="false" outlineLevel="0" collapsed="false">
      <c r="A48" s="27" t="s">
        <v>40</v>
      </c>
      <c r="B48" s="27" t="s">
        <v>61</v>
      </c>
      <c r="C48" s="27" t="s">
        <v>110</v>
      </c>
      <c r="D48" s="34" t="n">
        <f aca="false">SUMIFS(Desconto_Cliente_Mes!$D$2:$D$433,Desconto_Cliente_Mes!$A$2:$A$433,$A48,Desconto_Cliente_Mes!$B$2:$B$433,$B48,Desconto_Cliente_Mes!$C$2:$C$433,$C48)</f>
        <v>53319.92</v>
      </c>
      <c r="E48" s="37" t="str">
        <f aca="false">INDEX(Desconto_Cliente_Mes!$K$2:$K$433,MATCH($A48&amp;"|"&amp;$B48&amp;"|"&amp;$C48,Desconto_Cliente_Mes!$W$2:$W$433,0))</f>
        <v>Nao</v>
      </c>
      <c r="F48" s="39" t="n">
        <f aca="false">SUMIFS(Desconto_Cliente_Mes!$U$2:$U$433,Desconto_Cliente_Mes!$A$2:$A$433,$A48,Desconto_Cliente_Mes!$B$2:$B$433,$B48,Desconto_Cliente_Mes!$C$2:$C$433,$C48)</f>
        <v>0</v>
      </c>
      <c r="G48" s="39" t="n">
        <f aca="false">SUMIFS(Desconto_Cliente_Mes!$U$2:$U$433,Desconto_Cliente_Mes!$B$2:$B$433,$B48,Desconto_Cliente_Mes!$C$2:$C$433,$C48,Desconto_Cliente_Mes!$K$2:$K$433,"Sim")</f>
        <v>89392.5188999994</v>
      </c>
      <c r="H48" s="37" t="n">
        <f aca="false">SUMIFS(Desconto_Cliente_Mes!$D$2:$D$433,Desconto_Cliente_Mes!$B$2:$B$433,$B48,Desconto_Cliente_Mes!$C$2:$C$433,$C48,Desconto_Cliente_Mes!$K$2:$K$433,"Nao",Desconto_Cliente_Mes!$D$2:$D$433,"&gt;0")</f>
        <v>315561.27</v>
      </c>
      <c r="I48" s="42" t="n">
        <f aca="false">IF(AND($E48="Nao",$D48&gt;0,$H48&gt;0),$D48/$H48,0)</f>
        <v>0.168968517587726</v>
      </c>
      <c r="J48" s="40" t="n">
        <f aca="false">$I48*$G48</f>
        <v>15104.5214019656</v>
      </c>
      <c r="K48" s="40" t="n">
        <f aca="false">$J48-$F48</f>
        <v>15104.5214019656</v>
      </c>
      <c r="L48" s="27" t="str">
        <f aca="false">IF($D48=0,"Sem embarque",IF($K48&gt;0,"Recebe","Paga"))</f>
        <v>Recebe</v>
      </c>
    </row>
    <row r="49" customFormat="false" ht="15" hidden="false" customHeight="false" outlineLevel="0" collapsed="false">
      <c r="A49" s="27" t="s">
        <v>40</v>
      </c>
      <c r="B49" s="27" t="s">
        <v>61</v>
      </c>
      <c r="C49" s="27" t="s">
        <v>111</v>
      </c>
      <c r="D49" s="34" t="n">
        <f aca="false">SUMIFS(Desconto_Cliente_Mes!$D$2:$D$433,Desconto_Cliente_Mes!$A$2:$A$433,$A49,Desconto_Cliente_Mes!$B$2:$B$433,$B49,Desconto_Cliente_Mes!$C$2:$C$433,$C49)</f>
        <v>53319.92</v>
      </c>
      <c r="E49" s="37" t="str">
        <f aca="false">INDEX(Desconto_Cliente_Mes!$K$2:$K$433,MATCH($A49&amp;"|"&amp;$B49&amp;"|"&amp;$C49,Desconto_Cliente_Mes!$W$2:$W$433,0))</f>
        <v>Nao</v>
      </c>
      <c r="F49" s="39" t="n">
        <f aca="false">SUMIFS(Desconto_Cliente_Mes!$U$2:$U$433,Desconto_Cliente_Mes!$A$2:$A$433,$A49,Desconto_Cliente_Mes!$B$2:$B$433,$B49,Desconto_Cliente_Mes!$C$2:$C$433,$C49)</f>
        <v>0</v>
      </c>
      <c r="G49" s="39" t="n">
        <f aca="false">SUMIFS(Desconto_Cliente_Mes!$U$2:$U$433,Desconto_Cliente_Mes!$B$2:$B$433,$B49,Desconto_Cliente_Mes!$C$2:$C$433,$C49,Desconto_Cliente_Mes!$K$2:$K$433,"Sim")</f>
        <v>45945.9604253753</v>
      </c>
      <c r="H49" s="37" t="n">
        <f aca="false">SUMIFS(Desconto_Cliente_Mes!$D$2:$D$433,Desconto_Cliente_Mes!$B$2:$B$433,$B49,Desconto_Cliente_Mes!$C$2:$C$433,$C49,Desconto_Cliente_Mes!$K$2:$K$433,"Nao",Desconto_Cliente_Mes!$D$2:$D$433,"&gt;0")</f>
        <v>238706.16</v>
      </c>
      <c r="I49" s="42" t="n">
        <f aca="false">IF(AND($E49="Nao",$D49&gt;0,$H49&gt;0),$D49/$H49,0)</f>
        <v>0.223370523827286</v>
      </c>
      <c r="J49" s="40" t="n">
        <f aca="false">$I49*$G49</f>
        <v>10262.9732479638</v>
      </c>
      <c r="K49" s="40" t="n">
        <f aca="false">$J49-$F49</f>
        <v>10262.9732479638</v>
      </c>
      <c r="L49" s="27" t="str">
        <f aca="false">IF($D49=0,"Sem embarque",IF($K49&gt;0,"Recebe","Paga"))</f>
        <v>Recebe</v>
      </c>
    </row>
    <row r="50" customFormat="false" ht="15" hidden="false" customHeight="false" outlineLevel="0" collapsed="false">
      <c r="A50" s="27" t="s">
        <v>40</v>
      </c>
      <c r="B50" s="27" t="s">
        <v>62</v>
      </c>
      <c r="C50" s="27" t="s">
        <v>109</v>
      </c>
      <c r="D50" s="34" t="n">
        <f aca="false">SUMIFS(Desconto_Cliente_Mes!$D$2:$D$433,Desconto_Cliente_Mes!$A$2:$A$433,$A50,Desconto_Cliente_Mes!$B$2:$B$433,$B50,Desconto_Cliente_Mes!$C$2:$C$433,$C50)</f>
        <v>49598.12</v>
      </c>
      <c r="E50" s="37" t="str">
        <f aca="false">INDEX(Desconto_Cliente_Mes!$K$2:$K$433,MATCH($A50&amp;"|"&amp;$B50&amp;"|"&amp;$C50,Desconto_Cliente_Mes!$W$2:$W$433,0))</f>
        <v>Nao</v>
      </c>
      <c r="F50" s="39" t="n">
        <f aca="false">SUMIFS(Desconto_Cliente_Mes!$U$2:$U$433,Desconto_Cliente_Mes!$A$2:$A$433,$A50,Desconto_Cliente_Mes!$B$2:$B$433,$B50,Desconto_Cliente_Mes!$C$2:$C$433,$C50)</f>
        <v>0</v>
      </c>
      <c r="G50" s="39" t="n">
        <f aca="false">SUMIFS(Desconto_Cliente_Mes!$U$2:$U$433,Desconto_Cliente_Mes!$B$2:$B$433,$B50,Desconto_Cliente_Mes!$C$2:$C$433,$C50,Desconto_Cliente_Mes!$K$2:$K$433,"Sim")</f>
        <v>82370.9873921197</v>
      </c>
      <c r="H50" s="37" t="n">
        <f aca="false">SUMIFS(Desconto_Cliente_Mes!$D$2:$D$433,Desconto_Cliente_Mes!$B$2:$B$433,$B50,Desconto_Cliente_Mes!$C$2:$C$433,$C50,Desconto_Cliente_Mes!$K$2:$K$433,"Nao",Desconto_Cliente_Mes!$D$2:$D$433,"&gt;0")</f>
        <v>113342.84</v>
      </c>
      <c r="I50" s="42" t="n">
        <f aca="false">IF(AND($E50="Nao",$D50&gt;0,$H50&gt;0),$D50/$H50,0)</f>
        <v>0.437593764193662</v>
      </c>
      <c r="J50" s="40" t="n">
        <f aca="false">$I50*$G50</f>
        <v>36045.0304332664</v>
      </c>
      <c r="K50" s="40" t="n">
        <f aca="false">$J50-$F50</f>
        <v>36045.0304332664</v>
      </c>
      <c r="L50" s="27" t="str">
        <f aca="false">IF($D50=0,"Sem embarque",IF($K50&gt;0,"Recebe","Paga"))</f>
        <v>Recebe</v>
      </c>
    </row>
    <row r="51" customFormat="false" ht="15" hidden="false" customHeight="false" outlineLevel="0" collapsed="false">
      <c r="A51" s="27" t="s">
        <v>40</v>
      </c>
      <c r="B51" s="27" t="s">
        <v>62</v>
      </c>
      <c r="C51" s="27" t="s">
        <v>110</v>
      </c>
      <c r="D51" s="34" t="n">
        <f aca="false">SUMIFS(Desconto_Cliente_Mes!$D$2:$D$433,Desconto_Cliente_Mes!$A$2:$A$433,$A51,Desconto_Cliente_Mes!$B$2:$B$433,$B51,Desconto_Cliente_Mes!$C$2:$C$433,$C51)</f>
        <v>49598.12</v>
      </c>
      <c r="E51" s="37" t="str">
        <f aca="false">INDEX(Desconto_Cliente_Mes!$K$2:$K$433,MATCH($A51&amp;"|"&amp;$B51&amp;"|"&amp;$C51,Desconto_Cliente_Mes!$W$2:$W$433,0))</f>
        <v>Nao</v>
      </c>
      <c r="F51" s="39" t="n">
        <f aca="false">SUMIFS(Desconto_Cliente_Mes!$U$2:$U$433,Desconto_Cliente_Mes!$A$2:$A$433,$A51,Desconto_Cliente_Mes!$B$2:$B$433,$B51,Desconto_Cliente_Mes!$C$2:$C$433,$C51)</f>
        <v>0</v>
      </c>
      <c r="G51" s="39" t="n">
        <f aca="false">SUMIFS(Desconto_Cliente_Mes!$U$2:$U$433,Desconto_Cliente_Mes!$B$2:$B$433,$B51,Desconto_Cliente_Mes!$C$2:$C$433,$C51,Desconto_Cliente_Mes!$K$2:$K$433,"Sim")</f>
        <v>18695.6934849998</v>
      </c>
      <c r="H51" s="37" t="n">
        <f aca="false">SUMIFS(Desconto_Cliente_Mes!$D$2:$D$433,Desconto_Cliente_Mes!$B$2:$B$433,$B51,Desconto_Cliente_Mes!$C$2:$C$433,$C51,Desconto_Cliente_Mes!$K$2:$K$433,"Nao",Desconto_Cliente_Mes!$D$2:$D$433,"&gt;0")</f>
        <v>209144.13</v>
      </c>
      <c r="I51" s="42" t="n">
        <f aca="false">IF(AND($E51="Nao",$D51&gt;0,$H51&gt;0),$D51/$H51,0)</f>
        <v>0.23714803757581</v>
      </c>
      <c r="J51" s="40" t="n">
        <f aca="false">$I51*$G51</f>
        <v>4433.64702108656</v>
      </c>
      <c r="K51" s="40" t="n">
        <f aca="false">$J51-$F51</f>
        <v>4433.64702108656</v>
      </c>
      <c r="L51" s="27" t="str">
        <f aca="false">IF($D51=0,"Sem embarque",IF($K51&gt;0,"Recebe","Paga"))</f>
        <v>Recebe</v>
      </c>
    </row>
    <row r="52" customFormat="false" ht="15" hidden="false" customHeight="false" outlineLevel="0" collapsed="false">
      <c r="A52" s="27" t="s">
        <v>40</v>
      </c>
      <c r="B52" s="27" t="s">
        <v>62</v>
      </c>
      <c r="C52" s="27" t="s">
        <v>111</v>
      </c>
      <c r="D52" s="34" t="n">
        <f aca="false">SUMIFS(Desconto_Cliente_Mes!$D$2:$D$433,Desconto_Cliente_Mes!$A$2:$A$433,$A52,Desconto_Cliente_Mes!$B$2:$B$433,$B52,Desconto_Cliente_Mes!$C$2:$C$433,$C52)</f>
        <v>49598.12</v>
      </c>
      <c r="E52" s="37" t="str">
        <f aca="false">INDEX(Desconto_Cliente_Mes!$K$2:$K$433,MATCH($A52&amp;"|"&amp;$B52&amp;"|"&amp;$C52,Desconto_Cliente_Mes!$W$2:$W$433,0))</f>
        <v>Nao</v>
      </c>
      <c r="F52" s="39" t="n">
        <f aca="false">SUMIFS(Desconto_Cliente_Mes!$U$2:$U$433,Desconto_Cliente_Mes!$A$2:$A$433,$A52,Desconto_Cliente_Mes!$B$2:$B$433,$B52,Desconto_Cliente_Mes!$C$2:$C$433,$C52)</f>
        <v>0</v>
      </c>
      <c r="G52" s="39" t="n">
        <f aca="false">SUMIFS(Desconto_Cliente_Mes!$U$2:$U$433,Desconto_Cliente_Mes!$B$2:$B$433,$B52,Desconto_Cliente_Mes!$C$2:$C$433,$C52,Desconto_Cliente_Mes!$K$2:$K$433,"Sim")</f>
        <v>34643.0933013345</v>
      </c>
      <c r="H52" s="37" t="n">
        <f aca="false">SUMIFS(Desconto_Cliente_Mes!$D$2:$D$433,Desconto_Cliente_Mes!$B$2:$B$433,$B52,Desconto_Cliente_Mes!$C$2:$C$433,$C52,Desconto_Cliente_Mes!$K$2:$K$433,"Nao",Desconto_Cliente_Mes!$D$2:$D$433,"&gt;0")</f>
        <v>157163.21</v>
      </c>
      <c r="I52" s="42" t="n">
        <f aca="false">IF(AND($E52="Nao",$D52&gt;0,$H52&gt;0),$D52/$H52,0)</f>
        <v>0.315583526195475</v>
      </c>
      <c r="J52" s="40" t="n">
        <f aca="false">$I52*$G52</f>
        <v>10932.789542354</v>
      </c>
      <c r="K52" s="40" t="n">
        <f aca="false">$J52-$F52</f>
        <v>10932.789542354</v>
      </c>
      <c r="L52" s="27" t="str">
        <f aca="false">IF($D52=0,"Sem embarque",IF($K52&gt;0,"Recebe","Paga"))</f>
        <v>Recebe</v>
      </c>
    </row>
    <row r="53" customFormat="false" ht="15" hidden="false" customHeight="false" outlineLevel="0" collapsed="false">
      <c r="A53" s="27" t="s">
        <v>40</v>
      </c>
      <c r="B53" s="27" t="s">
        <v>63</v>
      </c>
      <c r="C53" s="27" t="s">
        <v>109</v>
      </c>
      <c r="D53" s="34" t="n">
        <f aca="false">SUMIFS(Desconto_Cliente_Mes!$D$2:$D$433,Desconto_Cliente_Mes!$A$2:$A$433,$A53,Desconto_Cliente_Mes!$B$2:$B$433,$B53,Desconto_Cliente_Mes!$C$2:$C$433,$C53)</f>
        <v>45020.35</v>
      </c>
      <c r="E53" s="37" t="str">
        <f aca="false">INDEX(Desconto_Cliente_Mes!$K$2:$K$433,MATCH($A53&amp;"|"&amp;$B53&amp;"|"&amp;$C53,Desconto_Cliente_Mes!$W$2:$W$433,0))</f>
        <v>Nao</v>
      </c>
      <c r="F53" s="39" t="n">
        <f aca="false">SUMIFS(Desconto_Cliente_Mes!$U$2:$U$433,Desconto_Cliente_Mes!$A$2:$A$433,$A53,Desconto_Cliente_Mes!$B$2:$B$433,$B53,Desconto_Cliente_Mes!$C$2:$C$433,$C53)</f>
        <v>0</v>
      </c>
      <c r="G53" s="39" t="n">
        <f aca="false">SUMIFS(Desconto_Cliente_Mes!$U$2:$U$433,Desconto_Cliente_Mes!$B$2:$B$433,$B53,Desconto_Cliente_Mes!$C$2:$C$433,$C53,Desconto_Cliente_Mes!$K$2:$K$433,"Sim")</f>
        <v>47810.1541211094</v>
      </c>
      <c r="H53" s="37" t="n">
        <f aca="false">SUMIFS(Desconto_Cliente_Mes!$D$2:$D$433,Desconto_Cliente_Mes!$B$2:$B$433,$B53,Desconto_Cliente_Mes!$C$2:$C$433,$C53,Desconto_Cliente_Mes!$K$2:$K$433,"Nao",Desconto_Cliente_Mes!$D$2:$D$433,"&gt;0")</f>
        <v>127871.4</v>
      </c>
      <c r="I53" s="42" t="n">
        <f aca="false">IF(AND($E53="Nao",$D53&gt;0,$H53&gt;0),$D53/$H53,0)</f>
        <v>0.352075209937484</v>
      </c>
      <c r="J53" s="40" t="n">
        <f aca="false">$I53*$G53</f>
        <v>16832.7700493331</v>
      </c>
      <c r="K53" s="40" t="n">
        <f aca="false">$J53-$F53</f>
        <v>16832.7700493331</v>
      </c>
      <c r="L53" s="27" t="str">
        <f aca="false">IF($D53=0,"Sem embarque",IF($K53&gt;0,"Recebe","Paga"))</f>
        <v>Recebe</v>
      </c>
    </row>
    <row r="54" customFormat="false" ht="15" hidden="false" customHeight="false" outlineLevel="0" collapsed="false">
      <c r="A54" s="27" t="s">
        <v>40</v>
      </c>
      <c r="B54" s="27" t="s">
        <v>63</v>
      </c>
      <c r="C54" s="27" t="s">
        <v>110</v>
      </c>
      <c r="D54" s="34" t="n">
        <f aca="false">SUMIFS(Desconto_Cliente_Mes!$D$2:$D$433,Desconto_Cliente_Mes!$A$2:$A$433,$A54,Desconto_Cliente_Mes!$B$2:$B$433,$B54,Desconto_Cliente_Mes!$C$2:$C$433,$C54)</f>
        <v>45020.35</v>
      </c>
      <c r="E54" s="37" t="str">
        <f aca="false">INDEX(Desconto_Cliente_Mes!$K$2:$K$433,MATCH($A54&amp;"|"&amp;$B54&amp;"|"&amp;$C54,Desconto_Cliente_Mes!$W$2:$W$433,0))</f>
        <v>Nao</v>
      </c>
      <c r="F54" s="39" t="n">
        <f aca="false">SUMIFS(Desconto_Cliente_Mes!$U$2:$U$433,Desconto_Cliente_Mes!$A$2:$A$433,$A54,Desconto_Cliente_Mes!$B$2:$B$433,$B54,Desconto_Cliente_Mes!$C$2:$C$433,$C54)</f>
        <v>0</v>
      </c>
      <c r="G54" s="39" t="n">
        <f aca="false">SUMIFS(Desconto_Cliente_Mes!$U$2:$U$433,Desconto_Cliente_Mes!$B$2:$B$433,$B54,Desconto_Cliente_Mes!$C$2:$C$433,$C54,Desconto_Cliente_Mes!$K$2:$K$433,"Sim")</f>
        <v>147648.667120088</v>
      </c>
      <c r="H54" s="37" t="n">
        <f aca="false">SUMIFS(Desconto_Cliente_Mes!$D$2:$D$433,Desconto_Cliente_Mes!$B$2:$B$433,$B54,Desconto_Cliente_Mes!$C$2:$C$433,$C54,Desconto_Cliente_Mes!$K$2:$K$433,"Nao",Desconto_Cliente_Mes!$D$2:$D$433,"&gt;0")</f>
        <v>232651.12</v>
      </c>
      <c r="I54" s="42" t="n">
        <f aca="false">IF(AND($E54="Nao",$D54&gt;0,$H54&gt;0),$D54/$H54,0)</f>
        <v>0.193510136551245</v>
      </c>
      <c r="J54" s="40" t="n">
        <f aca="false">$I54*$G54</f>
        <v>28571.5137360175</v>
      </c>
      <c r="K54" s="40" t="n">
        <f aca="false">$J54-$F54</f>
        <v>28571.5137360175</v>
      </c>
      <c r="L54" s="27" t="str">
        <f aca="false">IF($D54=0,"Sem embarque",IF($K54&gt;0,"Recebe","Paga"))</f>
        <v>Recebe</v>
      </c>
    </row>
    <row r="55" customFormat="false" ht="15" hidden="false" customHeight="false" outlineLevel="0" collapsed="false">
      <c r="A55" s="27" t="s">
        <v>40</v>
      </c>
      <c r="B55" s="27" t="s">
        <v>63</v>
      </c>
      <c r="C55" s="27" t="s">
        <v>111</v>
      </c>
      <c r="D55" s="34" t="n">
        <f aca="false">SUMIFS(Desconto_Cliente_Mes!$D$2:$D$433,Desconto_Cliente_Mes!$A$2:$A$433,$A55,Desconto_Cliente_Mes!$B$2:$B$433,$B55,Desconto_Cliente_Mes!$C$2:$C$433,$C55)</f>
        <v>45020.35</v>
      </c>
      <c r="E55" s="37" t="str">
        <f aca="false">INDEX(Desconto_Cliente_Mes!$K$2:$K$433,MATCH($A55&amp;"|"&amp;$B55&amp;"|"&amp;$C55,Desconto_Cliente_Mes!$W$2:$W$433,0))</f>
        <v>Nao</v>
      </c>
      <c r="F55" s="39" t="n">
        <f aca="false">SUMIFS(Desconto_Cliente_Mes!$U$2:$U$433,Desconto_Cliente_Mes!$A$2:$A$433,$A55,Desconto_Cliente_Mes!$B$2:$B$433,$B55,Desconto_Cliente_Mes!$C$2:$C$433,$C55)</f>
        <v>0</v>
      </c>
      <c r="G55" s="39" t="n">
        <f aca="false">SUMIFS(Desconto_Cliente_Mes!$U$2:$U$433,Desconto_Cliente_Mes!$B$2:$B$433,$B55,Desconto_Cliente_Mes!$C$2:$C$433,$C55,Desconto_Cliente_Mes!$K$2:$K$433,"Sim")</f>
        <v>31621.0546248943</v>
      </c>
      <c r="H55" s="37" t="n">
        <f aca="false">SUMIFS(Desconto_Cliente_Mes!$D$2:$D$433,Desconto_Cliente_Mes!$B$2:$B$433,$B55,Desconto_Cliente_Mes!$C$2:$C$433,$C55,Desconto_Cliente_Mes!$K$2:$K$433,"Nao",Desconto_Cliente_Mes!$D$2:$D$433,"&gt;0")</f>
        <v>127871.4</v>
      </c>
      <c r="I55" s="42" t="n">
        <f aca="false">IF(AND($E55="Nao",$D55&gt;0,$H55&gt;0),$D55/$H55,0)</f>
        <v>0.352075209937484</v>
      </c>
      <c r="J55" s="40" t="n">
        <f aca="false">$I55*$G55</f>
        <v>11132.9894455043</v>
      </c>
      <c r="K55" s="40" t="n">
        <f aca="false">$J55-$F55</f>
        <v>11132.9894455043</v>
      </c>
      <c r="L55" s="27" t="str">
        <f aca="false">IF($D55=0,"Sem embarque",IF($K55&gt;0,"Recebe","Paga"))</f>
        <v>Recebe</v>
      </c>
    </row>
    <row r="56" customFormat="false" ht="15" hidden="false" customHeight="false" outlineLevel="0" collapsed="false">
      <c r="A56" s="27" t="s">
        <v>40</v>
      </c>
      <c r="B56" s="27" t="s">
        <v>64</v>
      </c>
      <c r="C56" s="27" t="s">
        <v>109</v>
      </c>
      <c r="D56" s="34" t="n">
        <f aca="false">SUMIFS(Desconto_Cliente_Mes!$D$2:$D$433,Desconto_Cliente_Mes!$A$2:$A$433,$A56,Desconto_Cliente_Mes!$B$2:$B$433,$B56,Desconto_Cliente_Mes!$C$2:$C$433,$C56)</f>
        <v>44244.44</v>
      </c>
      <c r="E56" s="37" t="str">
        <f aca="false">INDEX(Desconto_Cliente_Mes!$K$2:$K$433,MATCH($A56&amp;"|"&amp;$B56&amp;"|"&amp;$C56,Desconto_Cliente_Mes!$W$2:$W$433,0))</f>
        <v>Nao</v>
      </c>
      <c r="F56" s="39" t="n">
        <f aca="false">SUMIFS(Desconto_Cliente_Mes!$U$2:$U$433,Desconto_Cliente_Mes!$A$2:$A$433,$A56,Desconto_Cliente_Mes!$B$2:$B$433,$B56,Desconto_Cliente_Mes!$C$2:$C$433,$C56)</f>
        <v>0</v>
      </c>
      <c r="G56" s="39" t="n">
        <f aca="false">SUMIFS(Desconto_Cliente_Mes!$U$2:$U$433,Desconto_Cliente_Mes!$B$2:$B$433,$B56,Desconto_Cliente_Mes!$C$2:$C$433,$C56,Desconto_Cliente_Mes!$K$2:$K$433,"Sim")</f>
        <v>176913.022848898</v>
      </c>
      <c r="H56" s="37" t="n">
        <f aca="false">SUMIFS(Desconto_Cliente_Mes!$D$2:$D$433,Desconto_Cliente_Mes!$B$2:$B$433,$B56,Desconto_Cliente_Mes!$C$2:$C$433,$C56,Desconto_Cliente_Mes!$K$2:$K$433,"Nao",Desconto_Cliente_Mes!$D$2:$D$433,"&gt;0")</f>
        <v>227119.227</v>
      </c>
      <c r="I56" s="42" t="n">
        <f aca="false">IF(AND($E56="Nao",$D56&gt;0,$H56&gt;0),$D56/$H56,0)</f>
        <v>0.194807108955157</v>
      </c>
      <c r="J56" s="40" t="n">
        <f aca="false">$I56*$G56</f>
        <v>34463.9145177114</v>
      </c>
      <c r="K56" s="40" t="n">
        <f aca="false">$J56-$F56</f>
        <v>34463.9145177114</v>
      </c>
      <c r="L56" s="27" t="str">
        <f aca="false">IF($D56=0,"Sem embarque",IF($K56&gt;0,"Recebe","Paga"))</f>
        <v>Recebe</v>
      </c>
    </row>
    <row r="57" customFormat="false" ht="15" hidden="false" customHeight="false" outlineLevel="0" collapsed="false">
      <c r="A57" s="27" t="s">
        <v>40</v>
      </c>
      <c r="B57" s="27" t="s">
        <v>64</v>
      </c>
      <c r="C57" s="27" t="s">
        <v>110</v>
      </c>
      <c r="D57" s="34" t="n">
        <f aca="false">SUMIFS(Desconto_Cliente_Mes!$D$2:$D$433,Desconto_Cliente_Mes!$A$2:$A$433,$A57,Desconto_Cliente_Mes!$B$2:$B$433,$B57,Desconto_Cliente_Mes!$C$2:$C$433,$C57)</f>
        <v>44244.44</v>
      </c>
      <c r="E57" s="37" t="str">
        <f aca="false">INDEX(Desconto_Cliente_Mes!$K$2:$K$433,MATCH($A57&amp;"|"&amp;$B57&amp;"|"&amp;$C57,Desconto_Cliente_Mes!$W$2:$W$433,0))</f>
        <v>Nao</v>
      </c>
      <c r="F57" s="39" t="n">
        <f aca="false">SUMIFS(Desconto_Cliente_Mes!$U$2:$U$433,Desconto_Cliente_Mes!$A$2:$A$433,$A57,Desconto_Cliente_Mes!$B$2:$B$433,$B57,Desconto_Cliente_Mes!$C$2:$C$433,$C57)</f>
        <v>0</v>
      </c>
      <c r="G57" s="39" t="n">
        <f aca="false">SUMIFS(Desconto_Cliente_Mes!$U$2:$U$433,Desconto_Cliente_Mes!$B$2:$B$433,$B57,Desconto_Cliente_Mes!$C$2:$C$433,$C57,Desconto_Cliente_Mes!$K$2:$K$433,"Sim")</f>
        <v>78148.4030953999</v>
      </c>
      <c r="H57" s="37" t="n">
        <f aca="false">SUMIFS(Desconto_Cliente_Mes!$D$2:$D$433,Desconto_Cliente_Mes!$B$2:$B$433,$B57,Desconto_Cliente_Mes!$C$2:$C$433,$C57,Desconto_Cliente_Mes!$K$2:$K$433,"Nao",Desconto_Cliente_Mes!$D$2:$D$433,"&gt;0")</f>
        <v>367366.52</v>
      </c>
      <c r="I57" s="42" t="n">
        <f aca="false">IF(AND($E57="Nao",$D57&gt;0,$H57&gt;0),$D57/$H57,0)</f>
        <v>0.120436777962238</v>
      </c>
      <c r="J57" s="40" t="n">
        <f aca="false">$I57*$G57</f>
        <v>9411.94187170414</v>
      </c>
      <c r="K57" s="40" t="n">
        <f aca="false">$J57-$F57</f>
        <v>9411.94187170414</v>
      </c>
      <c r="L57" s="27" t="str">
        <f aca="false">IF($D57=0,"Sem embarque",IF($K57&gt;0,"Recebe","Paga"))</f>
        <v>Recebe</v>
      </c>
    </row>
    <row r="58" customFormat="false" ht="15" hidden="false" customHeight="false" outlineLevel="0" collapsed="false">
      <c r="A58" s="27" t="s">
        <v>40</v>
      </c>
      <c r="B58" s="27" t="s">
        <v>64</v>
      </c>
      <c r="C58" s="27" t="s">
        <v>111</v>
      </c>
      <c r="D58" s="34" t="n">
        <f aca="false">SUMIFS(Desconto_Cliente_Mes!$D$2:$D$433,Desconto_Cliente_Mes!$A$2:$A$433,$A58,Desconto_Cliente_Mes!$B$2:$B$433,$B58,Desconto_Cliente_Mes!$C$2:$C$433,$C58)</f>
        <v>44244.44</v>
      </c>
      <c r="E58" s="37" t="str">
        <f aca="false">INDEX(Desconto_Cliente_Mes!$K$2:$K$433,MATCH($A58&amp;"|"&amp;$B58&amp;"|"&amp;$C58,Desconto_Cliente_Mes!$W$2:$W$433,0))</f>
        <v>Nao</v>
      </c>
      <c r="F58" s="39" t="n">
        <f aca="false">SUMIFS(Desconto_Cliente_Mes!$U$2:$U$433,Desconto_Cliente_Mes!$A$2:$A$433,$A58,Desconto_Cliente_Mes!$B$2:$B$433,$B58,Desconto_Cliente_Mes!$C$2:$C$433,$C58)</f>
        <v>0</v>
      </c>
      <c r="G58" s="39" t="n">
        <f aca="false">SUMIFS(Desconto_Cliente_Mes!$U$2:$U$433,Desconto_Cliente_Mes!$B$2:$B$433,$B58,Desconto_Cliente_Mes!$C$2:$C$433,$C58,Desconto_Cliente_Mes!$K$2:$K$433,"Sim")</f>
        <v>53234.6338979999</v>
      </c>
      <c r="H58" s="37" t="n">
        <f aca="false">SUMIFS(Desconto_Cliente_Mes!$D$2:$D$433,Desconto_Cliente_Mes!$B$2:$B$433,$B58,Desconto_Cliente_Mes!$C$2:$C$433,$C58,Desconto_Cliente_Mes!$K$2:$K$433,"Nao",Desconto_Cliente_Mes!$D$2:$D$433,"&gt;0")</f>
        <v>250467.867</v>
      </c>
      <c r="I58" s="42" t="n">
        <f aca="false">IF(AND($E58="Nao",$D58&gt;0,$H58&gt;0),$D58/$H58,0)</f>
        <v>0.176647170473169</v>
      </c>
      <c r="J58" s="40" t="n">
        <f aca="false">$I58*$G58</f>
        <v>9403.74744925673</v>
      </c>
      <c r="K58" s="40" t="n">
        <f aca="false">$J58-$F58</f>
        <v>9403.74744925673</v>
      </c>
      <c r="L58" s="27" t="str">
        <f aca="false">IF($D58=0,"Sem embarque",IF($K58&gt;0,"Recebe","Paga"))</f>
        <v>Recebe</v>
      </c>
    </row>
    <row r="59" customFormat="false" ht="15" hidden="false" customHeight="false" outlineLevel="0" collapsed="false">
      <c r="A59" s="27" t="s">
        <v>40</v>
      </c>
      <c r="B59" s="27" t="s">
        <v>65</v>
      </c>
      <c r="C59" s="27" t="s">
        <v>109</v>
      </c>
      <c r="D59" s="34" t="n">
        <f aca="false">SUMIFS(Desconto_Cliente_Mes!$D$2:$D$433,Desconto_Cliente_Mes!$A$2:$A$433,$A59,Desconto_Cliente_Mes!$B$2:$B$433,$B59,Desconto_Cliente_Mes!$C$2:$C$433,$C59)</f>
        <v>43335.41</v>
      </c>
      <c r="E59" s="37" t="str">
        <f aca="false">INDEX(Desconto_Cliente_Mes!$K$2:$K$433,MATCH($A59&amp;"|"&amp;$B59&amp;"|"&amp;$C59,Desconto_Cliente_Mes!$W$2:$W$433,0))</f>
        <v>Nao</v>
      </c>
      <c r="F59" s="39" t="n">
        <f aca="false">SUMIFS(Desconto_Cliente_Mes!$U$2:$U$433,Desconto_Cliente_Mes!$A$2:$A$433,$A59,Desconto_Cliente_Mes!$B$2:$B$433,$B59,Desconto_Cliente_Mes!$C$2:$C$433,$C59)</f>
        <v>0</v>
      </c>
      <c r="G59" s="39" t="n">
        <f aca="false">SUMIFS(Desconto_Cliente_Mes!$U$2:$U$433,Desconto_Cliente_Mes!$B$2:$B$433,$B59,Desconto_Cliente_Mes!$C$2:$C$433,$C59,Desconto_Cliente_Mes!$K$2:$K$433,"Sim")</f>
        <v>264399.663796851</v>
      </c>
      <c r="H59" s="37" t="n">
        <f aca="false">SUMIFS(Desconto_Cliente_Mes!$D$2:$D$433,Desconto_Cliente_Mes!$B$2:$B$433,$B59,Desconto_Cliente_Mes!$C$2:$C$433,$C59,Desconto_Cliente_Mes!$K$2:$K$433,"Nao",Desconto_Cliente_Mes!$D$2:$D$433,"&gt;0")</f>
        <v>166556.65</v>
      </c>
      <c r="I59" s="42" t="n">
        <f aca="false">IF(AND($E59="Nao",$D59&gt;0,$H59&gt;0),$D59/$H59,0)</f>
        <v>0.260184207595434</v>
      </c>
      <c r="J59" s="40" t="n">
        <f aca="false">$I59*$G59</f>
        <v>68792.6170134827</v>
      </c>
      <c r="K59" s="40" t="n">
        <f aca="false">$J59-$F59</f>
        <v>68792.6170134827</v>
      </c>
      <c r="L59" s="27" t="str">
        <f aca="false">IF($D59=0,"Sem embarque",IF($K59&gt;0,"Recebe","Paga"))</f>
        <v>Recebe</v>
      </c>
    </row>
    <row r="60" customFormat="false" ht="15" hidden="false" customHeight="false" outlineLevel="0" collapsed="false">
      <c r="A60" s="27" t="s">
        <v>40</v>
      </c>
      <c r="B60" s="27" t="s">
        <v>65</v>
      </c>
      <c r="C60" s="27" t="s">
        <v>110</v>
      </c>
      <c r="D60" s="34" t="n">
        <f aca="false">SUMIFS(Desconto_Cliente_Mes!$D$2:$D$433,Desconto_Cliente_Mes!$A$2:$A$433,$A60,Desconto_Cliente_Mes!$B$2:$B$433,$B60,Desconto_Cliente_Mes!$C$2:$C$433,$C60)</f>
        <v>43335.41</v>
      </c>
      <c r="E60" s="37" t="str">
        <f aca="false">INDEX(Desconto_Cliente_Mes!$K$2:$K$433,MATCH($A60&amp;"|"&amp;$B60&amp;"|"&amp;$C60,Desconto_Cliente_Mes!$W$2:$W$433,0))</f>
        <v>Nao</v>
      </c>
      <c r="F60" s="39" t="n">
        <f aca="false">SUMIFS(Desconto_Cliente_Mes!$U$2:$U$433,Desconto_Cliente_Mes!$A$2:$A$433,$A60,Desconto_Cliente_Mes!$B$2:$B$433,$B60,Desconto_Cliente_Mes!$C$2:$C$433,$C60)</f>
        <v>0</v>
      </c>
      <c r="G60" s="39" t="n">
        <f aca="false">SUMIFS(Desconto_Cliente_Mes!$U$2:$U$433,Desconto_Cliente_Mes!$B$2:$B$433,$B60,Desconto_Cliente_Mes!$C$2:$C$433,$C60,Desconto_Cliente_Mes!$K$2:$K$433,"Sim")</f>
        <v>54942.617336</v>
      </c>
      <c r="H60" s="37" t="n">
        <f aca="false">SUMIFS(Desconto_Cliente_Mes!$D$2:$D$433,Desconto_Cliente_Mes!$B$2:$B$433,$B60,Desconto_Cliente_Mes!$C$2:$C$433,$C60,Desconto_Cliente_Mes!$K$2:$K$433,"Nao",Desconto_Cliente_Mes!$D$2:$D$433,"&gt;0")</f>
        <v>378160.7</v>
      </c>
      <c r="I60" s="42" t="n">
        <f aca="false">IF(AND($E60="Nao",$D60&gt;0,$H60&gt;0),$D60/$H60,0)</f>
        <v>0.114595223670783</v>
      </c>
      <c r="J60" s="40" t="n">
        <f aca="false">$I60*$G60</f>
        <v>6296.16152267717</v>
      </c>
      <c r="K60" s="40" t="n">
        <f aca="false">$J60-$F60</f>
        <v>6296.16152267717</v>
      </c>
      <c r="L60" s="27" t="str">
        <f aca="false">IF($D60=0,"Sem embarque",IF($K60&gt;0,"Recebe","Paga"))</f>
        <v>Recebe</v>
      </c>
    </row>
    <row r="61" customFormat="false" ht="15" hidden="false" customHeight="false" outlineLevel="0" collapsed="false">
      <c r="A61" s="27" t="s">
        <v>40</v>
      </c>
      <c r="B61" s="27" t="s">
        <v>65</v>
      </c>
      <c r="C61" s="27" t="s">
        <v>111</v>
      </c>
      <c r="D61" s="34" t="n">
        <f aca="false">SUMIFS(Desconto_Cliente_Mes!$D$2:$D$433,Desconto_Cliente_Mes!$A$2:$A$433,$A61,Desconto_Cliente_Mes!$B$2:$B$433,$B61,Desconto_Cliente_Mes!$C$2:$C$433,$C61)</f>
        <v>43335.41</v>
      </c>
      <c r="E61" s="37" t="str">
        <f aca="false">INDEX(Desconto_Cliente_Mes!$K$2:$K$433,MATCH($A61&amp;"|"&amp;$B61&amp;"|"&amp;$C61,Desconto_Cliente_Mes!$W$2:$W$433,0))</f>
        <v>Nao</v>
      </c>
      <c r="F61" s="39" t="n">
        <f aca="false">SUMIFS(Desconto_Cliente_Mes!$U$2:$U$433,Desconto_Cliente_Mes!$A$2:$A$433,$A61,Desconto_Cliente_Mes!$B$2:$B$433,$B61,Desconto_Cliente_Mes!$C$2:$C$433,$C61)</f>
        <v>0</v>
      </c>
      <c r="G61" s="39" t="n">
        <f aca="false">SUMIFS(Desconto_Cliente_Mes!$U$2:$U$433,Desconto_Cliente_Mes!$B$2:$B$433,$B61,Desconto_Cliente_Mes!$C$2:$C$433,$C61,Desconto_Cliente_Mes!$K$2:$K$433,"Sim")</f>
        <v>131995.749729693</v>
      </c>
      <c r="H61" s="37" t="n">
        <f aca="false">SUMIFS(Desconto_Cliente_Mes!$D$2:$D$433,Desconto_Cliente_Mes!$B$2:$B$433,$B61,Desconto_Cliente_Mes!$C$2:$C$433,$C61,Desconto_Cliente_Mes!$K$2:$K$433,"Nao",Desconto_Cliente_Mes!$D$2:$D$433,"&gt;0")</f>
        <v>132693.79</v>
      </c>
      <c r="I61" s="42" t="n">
        <f aca="false">IF(AND($E61="Nao",$D61&gt;0,$H61&gt;0),$D61/$H61,0)</f>
        <v>0.326582050297908</v>
      </c>
      <c r="J61" s="40" t="n">
        <f aca="false">$I61*$G61</f>
        <v>43107.4425773326</v>
      </c>
      <c r="K61" s="40" t="n">
        <f aca="false">$J61-$F61</f>
        <v>43107.4425773326</v>
      </c>
      <c r="L61" s="27" t="str">
        <f aca="false">IF($D61=0,"Sem embarque",IF($K61&gt;0,"Recebe","Paga"))</f>
        <v>Recebe</v>
      </c>
    </row>
    <row r="62" customFormat="false" ht="15" hidden="false" customHeight="false" outlineLevel="0" collapsed="false">
      <c r="A62" s="27" t="s">
        <v>40</v>
      </c>
      <c r="B62" s="27" t="s">
        <v>66</v>
      </c>
      <c r="C62" s="27" t="s">
        <v>109</v>
      </c>
      <c r="D62" s="34" t="n">
        <f aca="false">SUMIFS(Desconto_Cliente_Mes!$D$2:$D$433,Desconto_Cliente_Mes!$A$2:$A$433,$A62,Desconto_Cliente_Mes!$B$2:$B$433,$B62,Desconto_Cliente_Mes!$C$2:$C$433,$C62)</f>
        <v>9195.05</v>
      </c>
      <c r="E62" s="37" t="str">
        <f aca="false">INDEX(Desconto_Cliente_Mes!$K$2:$K$433,MATCH($A62&amp;"|"&amp;$B62&amp;"|"&amp;$C62,Desconto_Cliente_Mes!$W$2:$W$433,0))</f>
        <v>Nao</v>
      </c>
      <c r="F62" s="39" t="n">
        <f aca="false">SUMIFS(Desconto_Cliente_Mes!$U$2:$U$433,Desconto_Cliente_Mes!$A$2:$A$433,$A62,Desconto_Cliente_Mes!$B$2:$B$433,$B62,Desconto_Cliente_Mes!$C$2:$C$433,$C62)</f>
        <v>0</v>
      </c>
      <c r="G62" s="39" t="n">
        <f aca="false">SUMIFS(Desconto_Cliente_Mes!$U$2:$U$433,Desconto_Cliente_Mes!$B$2:$B$433,$B62,Desconto_Cliente_Mes!$C$2:$C$433,$C62,Desconto_Cliente_Mes!$K$2:$K$433,"Sim")</f>
        <v>26408.1404587724</v>
      </c>
      <c r="H62" s="37" t="n">
        <f aca="false">SUMIFS(Desconto_Cliente_Mes!$D$2:$D$433,Desconto_Cliente_Mes!$B$2:$B$433,$B62,Desconto_Cliente_Mes!$C$2:$C$433,$C62,Desconto_Cliente_Mes!$K$2:$K$433,"Nao",Desconto_Cliente_Mes!$D$2:$D$433,"&gt;0")</f>
        <v>25249.51</v>
      </c>
      <c r="I62" s="42" t="n">
        <f aca="false">IF(AND($E62="Nao",$D62&gt;0,$H62&gt;0),$D62/$H62,0)</f>
        <v>0.364167463051758</v>
      </c>
      <c r="J62" s="40" t="n">
        <f aca="false">$I62*$G62</f>
        <v>9616.98551478562</v>
      </c>
      <c r="K62" s="40" t="n">
        <f aca="false">$J62-$F62</f>
        <v>9616.98551478562</v>
      </c>
      <c r="L62" s="27" t="str">
        <f aca="false">IF($D62=0,"Sem embarque",IF($K62&gt;0,"Recebe","Paga"))</f>
        <v>Recebe</v>
      </c>
    </row>
    <row r="63" customFormat="false" ht="15" hidden="false" customHeight="false" outlineLevel="0" collapsed="false">
      <c r="A63" s="27" t="s">
        <v>40</v>
      </c>
      <c r="B63" s="27" t="s">
        <v>66</v>
      </c>
      <c r="C63" s="27" t="s">
        <v>110</v>
      </c>
      <c r="D63" s="34" t="n">
        <f aca="false">SUMIFS(Desconto_Cliente_Mes!$D$2:$D$433,Desconto_Cliente_Mes!$A$2:$A$433,$A63,Desconto_Cliente_Mes!$B$2:$B$433,$B63,Desconto_Cliente_Mes!$C$2:$C$433,$C63)</f>
        <v>9195.05</v>
      </c>
      <c r="E63" s="37" t="str">
        <f aca="false">INDEX(Desconto_Cliente_Mes!$K$2:$K$433,MATCH($A63&amp;"|"&amp;$B63&amp;"|"&amp;$C63,Desconto_Cliente_Mes!$W$2:$W$433,0))</f>
        <v>Nao</v>
      </c>
      <c r="F63" s="39" t="n">
        <f aca="false">SUMIFS(Desconto_Cliente_Mes!$U$2:$U$433,Desconto_Cliente_Mes!$A$2:$A$433,$A63,Desconto_Cliente_Mes!$B$2:$B$433,$B63,Desconto_Cliente_Mes!$C$2:$C$433,$C63)</f>
        <v>0</v>
      </c>
      <c r="G63" s="39" t="n">
        <f aca="false">SUMIFS(Desconto_Cliente_Mes!$U$2:$U$433,Desconto_Cliente_Mes!$B$2:$B$433,$B63,Desconto_Cliente_Mes!$C$2:$C$433,$C63,Desconto_Cliente_Mes!$K$2:$K$433,"Sim")</f>
        <v>20574.688366</v>
      </c>
      <c r="H63" s="37" t="n">
        <f aca="false">SUMIFS(Desconto_Cliente_Mes!$D$2:$D$433,Desconto_Cliente_Mes!$B$2:$B$433,$B63,Desconto_Cliente_Mes!$C$2:$C$433,$C63,Desconto_Cliente_Mes!$K$2:$K$433,"Nao",Desconto_Cliente_Mes!$D$2:$D$433,"&gt;0")</f>
        <v>36785.35</v>
      </c>
      <c r="I63" s="42" t="n">
        <f aca="false">IF(AND($E63="Nao",$D63&gt;0,$H63&gt;0),$D63/$H63,0)</f>
        <v>0.249964999653395</v>
      </c>
      <c r="J63" s="40" t="n">
        <f aca="false">$I63*$G63</f>
        <v>5142.95197027589</v>
      </c>
      <c r="K63" s="40" t="n">
        <f aca="false">$J63-$F63</f>
        <v>5142.95197027589</v>
      </c>
      <c r="L63" s="27" t="str">
        <f aca="false">IF($D63=0,"Sem embarque",IF($K63&gt;0,"Recebe","Paga"))</f>
        <v>Recebe</v>
      </c>
    </row>
    <row r="64" customFormat="false" ht="15" hidden="false" customHeight="false" outlineLevel="0" collapsed="false">
      <c r="A64" s="27" t="s">
        <v>40</v>
      </c>
      <c r="B64" s="27" t="s">
        <v>66</v>
      </c>
      <c r="C64" s="27" t="s">
        <v>111</v>
      </c>
      <c r="D64" s="34" t="n">
        <f aca="false">SUMIFS(Desconto_Cliente_Mes!$D$2:$D$433,Desconto_Cliente_Mes!$A$2:$A$433,$A64,Desconto_Cliente_Mes!$B$2:$B$433,$B64,Desconto_Cliente_Mes!$C$2:$C$433,$C64)</f>
        <v>9195.05</v>
      </c>
      <c r="E64" s="37" t="str">
        <f aca="false">INDEX(Desconto_Cliente_Mes!$K$2:$K$433,MATCH($A64&amp;"|"&amp;$B64&amp;"|"&amp;$C64,Desconto_Cliente_Mes!$W$2:$W$433,0))</f>
        <v>Nao</v>
      </c>
      <c r="F64" s="39" t="n">
        <f aca="false">SUMIFS(Desconto_Cliente_Mes!$U$2:$U$433,Desconto_Cliente_Mes!$A$2:$A$433,$A64,Desconto_Cliente_Mes!$B$2:$B$433,$B64,Desconto_Cliente_Mes!$C$2:$C$433,$C64)</f>
        <v>0</v>
      </c>
      <c r="G64" s="39" t="n">
        <f aca="false">SUMIFS(Desconto_Cliente_Mes!$U$2:$U$433,Desconto_Cliente_Mes!$B$2:$B$433,$B64,Desconto_Cliente_Mes!$C$2:$C$433,$C64,Desconto_Cliente_Mes!$K$2:$K$433,"Sim")</f>
        <v>12224.7687289319</v>
      </c>
      <c r="H64" s="37" t="n">
        <f aca="false">SUMIFS(Desconto_Cliente_Mes!$D$2:$D$433,Desconto_Cliente_Mes!$B$2:$B$433,$B64,Desconto_Cliente_Mes!$C$2:$C$433,$C64,Desconto_Cliente_Mes!$K$2:$K$433,"Nao",Desconto_Cliente_Mes!$D$2:$D$433,"&gt;0")</f>
        <v>41847.52</v>
      </c>
      <c r="I64" s="42" t="n">
        <f aca="false">IF(AND($E64="Nao",$D64&gt;0,$H64&gt;0),$D64/$H64,0)</f>
        <v>0.219727477279418</v>
      </c>
      <c r="J64" s="40" t="n">
        <f aca="false">$I64*$G64</f>
        <v>2686.11759313253</v>
      </c>
      <c r="K64" s="40" t="n">
        <f aca="false">$J64-$F64</f>
        <v>2686.11759313253</v>
      </c>
      <c r="L64" s="27" t="str">
        <f aca="false">IF($D64=0,"Sem embarque",IF($K64&gt;0,"Recebe","Paga"))</f>
        <v>Recebe</v>
      </c>
    </row>
    <row r="65" customFormat="false" ht="15" hidden="false" customHeight="false" outlineLevel="0" collapsed="false">
      <c r="A65" s="27" t="s">
        <v>40</v>
      </c>
      <c r="B65" s="27" t="s">
        <v>67</v>
      </c>
      <c r="C65" s="27" t="s">
        <v>109</v>
      </c>
      <c r="D65" s="34" t="n">
        <f aca="false">SUMIFS(Desconto_Cliente_Mes!$D$2:$D$433,Desconto_Cliente_Mes!$A$2:$A$433,$A65,Desconto_Cliente_Mes!$B$2:$B$433,$B65,Desconto_Cliente_Mes!$C$2:$C$433,$C65)</f>
        <v>0</v>
      </c>
      <c r="E65" s="37" t="str">
        <f aca="false">INDEX(Desconto_Cliente_Mes!$K$2:$K$433,MATCH($A65&amp;"|"&amp;$B65&amp;"|"&amp;$C65,Desconto_Cliente_Mes!$W$2:$W$433,0))</f>
        <v/>
      </c>
      <c r="F65" s="39" t="n">
        <f aca="false">SUMIFS(Desconto_Cliente_Mes!$U$2:$U$433,Desconto_Cliente_Mes!$A$2:$A$433,$A65,Desconto_Cliente_Mes!$B$2:$B$433,$B65,Desconto_Cliente_Mes!$C$2:$C$433,$C65)</f>
        <v>0</v>
      </c>
      <c r="G65" s="39" t="n">
        <f aca="false">SUMIFS(Desconto_Cliente_Mes!$U$2:$U$433,Desconto_Cliente_Mes!$B$2:$B$433,$B65,Desconto_Cliente_Mes!$C$2:$C$433,$C65,Desconto_Cliente_Mes!$K$2:$K$433,"Sim")</f>
        <v>0</v>
      </c>
      <c r="H65" s="37" t="n">
        <f aca="false">SUMIFS(Desconto_Cliente_Mes!$D$2:$D$433,Desconto_Cliente_Mes!$B$2:$B$433,$B65,Desconto_Cliente_Mes!$C$2:$C$433,$C65,Desconto_Cliente_Mes!$K$2:$K$433,"Nao",Desconto_Cliente_Mes!$D$2:$D$433,"&gt;0")</f>
        <v>0</v>
      </c>
      <c r="I65" s="42" t="n">
        <f aca="false">IF(AND($E65="Nao",$D65&gt;0,$H65&gt;0),$D65/$H65,0)</f>
        <v>0</v>
      </c>
      <c r="J65" s="40" t="n">
        <f aca="false">$I65*$G65</f>
        <v>0</v>
      </c>
      <c r="K65" s="40" t="n">
        <f aca="false">$J65-$F65</f>
        <v>0</v>
      </c>
      <c r="L65" s="27" t="str">
        <f aca="false">IF($D65=0,"Sem embarque",IF($K65&gt;0,"Recebe","Paga"))</f>
        <v>Sem embarque</v>
      </c>
    </row>
    <row r="66" customFormat="false" ht="15" hidden="false" customHeight="false" outlineLevel="0" collapsed="false">
      <c r="A66" s="27" t="s">
        <v>40</v>
      </c>
      <c r="B66" s="27" t="s">
        <v>67</v>
      </c>
      <c r="C66" s="27" t="s">
        <v>110</v>
      </c>
      <c r="D66" s="34" t="n">
        <f aca="false">SUMIFS(Desconto_Cliente_Mes!$D$2:$D$433,Desconto_Cliente_Mes!$A$2:$A$433,$A66,Desconto_Cliente_Mes!$B$2:$B$433,$B66,Desconto_Cliente_Mes!$C$2:$C$433,$C66)</f>
        <v>0</v>
      </c>
      <c r="E66" s="37" t="str">
        <f aca="false">INDEX(Desconto_Cliente_Mes!$K$2:$K$433,MATCH($A66&amp;"|"&amp;$B66&amp;"|"&amp;$C66,Desconto_Cliente_Mes!$W$2:$W$433,0))</f>
        <v/>
      </c>
      <c r="F66" s="39" t="n">
        <f aca="false">SUMIFS(Desconto_Cliente_Mes!$U$2:$U$433,Desconto_Cliente_Mes!$A$2:$A$433,$A66,Desconto_Cliente_Mes!$B$2:$B$433,$B66,Desconto_Cliente_Mes!$C$2:$C$433,$C66)</f>
        <v>0</v>
      </c>
      <c r="G66" s="39" t="n">
        <f aca="false">SUMIFS(Desconto_Cliente_Mes!$U$2:$U$433,Desconto_Cliente_Mes!$B$2:$B$433,$B66,Desconto_Cliente_Mes!$C$2:$C$433,$C66,Desconto_Cliente_Mes!$K$2:$K$433,"Sim")</f>
        <v>0</v>
      </c>
      <c r="H66" s="37" t="n">
        <f aca="false">SUMIFS(Desconto_Cliente_Mes!$D$2:$D$433,Desconto_Cliente_Mes!$B$2:$B$433,$B66,Desconto_Cliente_Mes!$C$2:$C$433,$C66,Desconto_Cliente_Mes!$K$2:$K$433,"Nao",Desconto_Cliente_Mes!$D$2:$D$433,"&gt;0")</f>
        <v>0</v>
      </c>
      <c r="I66" s="42" t="n">
        <f aca="false">IF(AND($E66="Nao",$D66&gt;0,$H66&gt;0),$D66/$H66,0)</f>
        <v>0</v>
      </c>
      <c r="J66" s="40" t="n">
        <f aca="false">$I66*$G66</f>
        <v>0</v>
      </c>
      <c r="K66" s="40" t="n">
        <f aca="false">$J66-$F66</f>
        <v>0</v>
      </c>
      <c r="L66" s="27" t="str">
        <f aca="false">IF($D66=0,"Sem embarque",IF($K66&gt;0,"Recebe","Paga"))</f>
        <v>Sem embarque</v>
      </c>
    </row>
    <row r="67" customFormat="false" ht="15" hidden="false" customHeight="false" outlineLevel="0" collapsed="false">
      <c r="A67" s="27" t="s">
        <v>40</v>
      </c>
      <c r="B67" s="27" t="s">
        <v>67</v>
      </c>
      <c r="C67" s="27" t="s">
        <v>111</v>
      </c>
      <c r="D67" s="34" t="n">
        <f aca="false">SUMIFS(Desconto_Cliente_Mes!$D$2:$D$433,Desconto_Cliente_Mes!$A$2:$A$433,$A67,Desconto_Cliente_Mes!$B$2:$B$433,$B67,Desconto_Cliente_Mes!$C$2:$C$433,$C67)</f>
        <v>0</v>
      </c>
      <c r="E67" s="37" t="str">
        <f aca="false">INDEX(Desconto_Cliente_Mes!$K$2:$K$433,MATCH($A67&amp;"|"&amp;$B67&amp;"|"&amp;$C67,Desconto_Cliente_Mes!$W$2:$W$433,0))</f>
        <v/>
      </c>
      <c r="F67" s="39" t="n">
        <f aca="false">SUMIFS(Desconto_Cliente_Mes!$U$2:$U$433,Desconto_Cliente_Mes!$A$2:$A$433,$A67,Desconto_Cliente_Mes!$B$2:$B$433,$B67,Desconto_Cliente_Mes!$C$2:$C$433,$C67)</f>
        <v>0</v>
      </c>
      <c r="G67" s="39" t="n">
        <f aca="false">SUMIFS(Desconto_Cliente_Mes!$U$2:$U$433,Desconto_Cliente_Mes!$B$2:$B$433,$B67,Desconto_Cliente_Mes!$C$2:$C$433,$C67,Desconto_Cliente_Mes!$K$2:$K$433,"Sim")</f>
        <v>0</v>
      </c>
      <c r="H67" s="37" t="n">
        <f aca="false">SUMIFS(Desconto_Cliente_Mes!$D$2:$D$433,Desconto_Cliente_Mes!$B$2:$B$433,$B67,Desconto_Cliente_Mes!$C$2:$C$433,$C67,Desconto_Cliente_Mes!$K$2:$K$433,"Nao",Desconto_Cliente_Mes!$D$2:$D$433,"&gt;0")</f>
        <v>0</v>
      </c>
      <c r="I67" s="42" t="n">
        <f aca="false">IF(AND($E67="Nao",$D67&gt;0,$H67&gt;0),$D67/$H67,0)</f>
        <v>0</v>
      </c>
      <c r="J67" s="40" t="n">
        <f aca="false">$I67*$G67</f>
        <v>0</v>
      </c>
      <c r="K67" s="40" t="n">
        <f aca="false">$J67-$F67</f>
        <v>0</v>
      </c>
      <c r="L67" s="27" t="str">
        <f aca="false">IF($D67=0,"Sem embarque",IF($K67&gt;0,"Recebe","Paga"))</f>
        <v>Sem embarque</v>
      </c>
    </row>
    <row r="68" customFormat="false" ht="15" hidden="false" customHeight="false" outlineLevel="0" collapsed="false">
      <c r="A68" s="27" t="s">
        <v>40</v>
      </c>
      <c r="B68" s="27" t="s">
        <v>68</v>
      </c>
      <c r="C68" s="27" t="s">
        <v>109</v>
      </c>
      <c r="D68" s="34" t="n">
        <f aca="false">SUMIFS(Desconto_Cliente_Mes!$D$2:$D$433,Desconto_Cliente_Mes!$A$2:$A$433,$A68,Desconto_Cliente_Mes!$B$2:$B$433,$B68,Desconto_Cliente_Mes!$C$2:$C$433,$C68)</f>
        <v>0</v>
      </c>
      <c r="E68" s="37" t="str">
        <f aca="false">INDEX(Desconto_Cliente_Mes!$K$2:$K$433,MATCH($A68&amp;"|"&amp;$B68&amp;"|"&amp;$C68,Desconto_Cliente_Mes!$W$2:$W$433,0))</f>
        <v/>
      </c>
      <c r="F68" s="39" t="n">
        <f aca="false">SUMIFS(Desconto_Cliente_Mes!$U$2:$U$433,Desconto_Cliente_Mes!$A$2:$A$433,$A68,Desconto_Cliente_Mes!$B$2:$B$433,$B68,Desconto_Cliente_Mes!$C$2:$C$433,$C68)</f>
        <v>0</v>
      </c>
      <c r="G68" s="39" t="n">
        <f aca="false">SUMIFS(Desconto_Cliente_Mes!$U$2:$U$433,Desconto_Cliente_Mes!$B$2:$B$433,$B68,Desconto_Cliente_Mes!$C$2:$C$433,$C68,Desconto_Cliente_Mes!$K$2:$K$433,"Sim")</f>
        <v>0</v>
      </c>
      <c r="H68" s="37" t="n">
        <f aca="false">SUMIFS(Desconto_Cliente_Mes!$D$2:$D$433,Desconto_Cliente_Mes!$B$2:$B$433,$B68,Desconto_Cliente_Mes!$C$2:$C$433,$C68,Desconto_Cliente_Mes!$K$2:$K$433,"Nao",Desconto_Cliente_Mes!$D$2:$D$433,"&gt;0")</f>
        <v>0</v>
      </c>
      <c r="I68" s="42" t="n">
        <f aca="false">IF(AND($E68="Nao",$D68&gt;0,$H68&gt;0),$D68/$H68,0)</f>
        <v>0</v>
      </c>
      <c r="J68" s="40" t="n">
        <f aca="false">$I68*$G68</f>
        <v>0</v>
      </c>
      <c r="K68" s="40" t="n">
        <f aca="false">$J68-$F68</f>
        <v>0</v>
      </c>
      <c r="L68" s="27" t="str">
        <f aca="false">IF($D68=0,"Sem embarque",IF($K68&gt;0,"Recebe","Paga"))</f>
        <v>Sem embarque</v>
      </c>
    </row>
    <row r="69" customFormat="false" ht="15" hidden="false" customHeight="false" outlineLevel="0" collapsed="false">
      <c r="A69" s="27" t="s">
        <v>40</v>
      </c>
      <c r="B69" s="27" t="s">
        <v>68</v>
      </c>
      <c r="C69" s="27" t="s">
        <v>110</v>
      </c>
      <c r="D69" s="34" t="n">
        <f aca="false">SUMIFS(Desconto_Cliente_Mes!$D$2:$D$433,Desconto_Cliente_Mes!$A$2:$A$433,$A69,Desconto_Cliente_Mes!$B$2:$B$433,$B69,Desconto_Cliente_Mes!$C$2:$C$433,$C69)</f>
        <v>0</v>
      </c>
      <c r="E69" s="37" t="str">
        <f aca="false">INDEX(Desconto_Cliente_Mes!$K$2:$K$433,MATCH($A69&amp;"|"&amp;$B69&amp;"|"&amp;$C69,Desconto_Cliente_Mes!$W$2:$W$433,0))</f>
        <v/>
      </c>
      <c r="F69" s="39" t="n">
        <f aca="false">SUMIFS(Desconto_Cliente_Mes!$U$2:$U$433,Desconto_Cliente_Mes!$A$2:$A$433,$A69,Desconto_Cliente_Mes!$B$2:$B$433,$B69,Desconto_Cliente_Mes!$C$2:$C$433,$C69)</f>
        <v>0</v>
      </c>
      <c r="G69" s="39" t="n">
        <f aca="false">SUMIFS(Desconto_Cliente_Mes!$U$2:$U$433,Desconto_Cliente_Mes!$B$2:$B$433,$B69,Desconto_Cliente_Mes!$C$2:$C$433,$C69,Desconto_Cliente_Mes!$K$2:$K$433,"Sim")</f>
        <v>0</v>
      </c>
      <c r="H69" s="37" t="n">
        <f aca="false">SUMIFS(Desconto_Cliente_Mes!$D$2:$D$433,Desconto_Cliente_Mes!$B$2:$B$433,$B69,Desconto_Cliente_Mes!$C$2:$C$433,$C69,Desconto_Cliente_Mes!$K$2:$K$433,"Nao",Desconto_Cliente_Mes!$D$2:$D$433,"&gt;0")</f>
        <v>0</v>
      </c>
      <c r="I69" s="42" t="n">
        <f aca="false">IF(AND($E69="Nao",$D69&gt;0,$H69&gt;0),$D69/$H69,0)</f>
        <v>0</v>
      </c>
      <c r="J69" s="40" t="n">
        <f aca="false">$I69*$G69</f>
        <v>0</v>
      </c>
      <c r="K69" s="40" t="n">
        <f aca="false">$J69-$F69</f>
        <v>0</v>
      </c>
      <c r="L69" s="27" t="str">
        <f aca="false">IF($D69=0,"Sem embarque",IF($K69&gt;0,"Recebe","Paga"))</f>
        <v>Sem embarque</v>
      </c>
    </row>
    <row r="70" customFormat="false" ht="15" hidden="false" customHeight="false" outlineLevel="0" collapsed="false">
      <c r="A70" s="27" t="s">
        <v>40</v>
      </c>
      <c r="B70" s="27" t="s">
        <v>68</v>
      </c>
      <c r="C70" s="27" t="s">
        <v>111</v>
      </c>
      <c r="D70" s="34" t="n">
        <f aca="false">SUMIFS(Desconto_Cliente_Mes!$D$2:$D$433,Desconto_Cliente_Mes!$A$2:$A$433,$A70,Desconto_Cliente_Mes!$B$2:$B$433,$B70,Desconto_Cliente_Mes!$C$2:$C$433,$C70)</f>
        <v>0</v>
      </c>
      <c r="E70" s="37" t="str">
        <f aca="false">INDEX(Desconto_Cliente_Mes!$K$2:$K$433,MATCH($A70&amp;"|"&amp;$B70&amp;"|"&amp;$C70,Desconto_Cliente_Mes!$W$2:$W$433,0))</f>
        <v/>
      </c>
      <c r="F70" s="39" t="n">
        <f aca="false">SUMIFS(Desconto_Cliente_Mes!$U$2:$U$433,Desconto_Cliente_Mes!$A$2:$A$433,$A70,Desconto_Cliente_Mes!$B$2:$B$433,$B70,Desconto_Cliente_Mes!$C$2:$C$433,$C70)</f>
        <v>0</v>
      </c>
      <c r="G70" s="39" t="n">
        <f aca="false">SUMIFS(Desconto_Cliente_Mes!$U$2:$U$433,Desconto_Cliente_Mes!$B$2:$B$433,$B70,Desconto_Cliente_Mes!$C$2:$C$433,$C70,Desconto_Cliente_Mes!$K$2:$K$433,"Sim")</f>
        <v>0</v>
      </c>
      <c r="H70" s="37" t="n">
        <f aca="false">SUMIFS(Desconto_Cliente_Mes!$D$2:$D$433,Desconto_Cliente_Mes!$B$2:$B$433,$B70,Desconto_Cliente_Mes!$C$2:$C$433,$C70,Desconto_Cliente_Mes!$K$2:$K$433,"Nao",Desconto_Cliente_Mes!$D$2:$D$433,"&gt;0")</f>
        <v>0</v>
      </c>
      <c r="I70" s="42" t="n">
        <f aca="false">IF(AND($E70="Nao",$D70&gt;0,$H70&gt;0),$D70/$H70,0)</f>
        <v>0</v>
      </c>
      <c r="J70" s="40" t="n">
        <f aca="false">$I70*$G70</f>
        <v>0</v>
      </c>
      <c r="K70" s="40" t="n">
        <f aca="false">$J70-$F70</f>
        <v>0</v>
      </c>
      <c r="L70" s="27" t="str">
        <f aca="false">IF($D70=0,"Sem embarque",IF($K70&gt;0,"Recebe","Paga"))</f>
        <v>Sem embarque</v>
      </c>
    </row>
    <row r="71" customFormat="false" ht="15" hidden="false" customHeight="false" outlineLevel="0" collapsed="false">
      <c r="A71" s="27" t="s">
        <v>40</v>
      </c>
      <c r="B71" s="27" t="s">
        <v>69</v>
      </c>
      <c r="C71" s="27" t="s">
        <v>109</v>
      </c>
      <c r="D71" s="34" t="n">
        <f aca="false">SUMIFS(Desconto_Cliente_Mes!$D$2:$D$433,Desconto_Cliente_Mes!$A$2:$A$433,$A71,Desconto_Cliente_Mes!$B$2:$B$433,$B71,Desconto_Cliente_Mes!$C$2:$C$433,$C71)</f>
        <v>0</v>
      </c>
      <c r="E71" s="37" t="str">
        <f aca="false">INDEX(Desconto_Cliente_Mes!$K$2:$K$433,MATCH($A71&amp;"|"&amp;$B71&amp;"|"&amp;$C71,Desconto_Cliente_Mes!$W$2:$W$433,0))</f>
        <v/>
      </c>
      <c r="F71" s="39" t="n">
        <f aca="false">SUMIFS(Desconto_Cliente_Mes!$U$2:$U$433,Desconto_Cliente_Mes!$A$2:$A$433,$A71,Desconto_Cliente_Mes!$B$2:$B$433,$B71,Desconto_Cliente_Mes!$C$2:$C$433,$C71)</f>
        <v>0</v>
      </c>
      <c r="G71" s="39" t="n">
        <f aca="false">SUMIFS(Desconto_Cliente_Mes!$U$2:$U$433,Desconto_Cliente_Mes!$B$2:$B$433,$B71,Desconto_Cliente_Mes!$C$2:$C$433,$C71,Desconto_Cliente_Mes!$K$2:$K$433,"Sim")</f>
        <v>0</v>
      </c>
      <c r="H71" s="37" t="n">
        <f aca="false">SUMIFS(Desconto_Cliente_Mes!$D$2:$D$433,Desconto_Cliente_Mes!$B$2:$B$433,$B71,Desconto_Cliente_Mes!$C$2:$C$433,$C71,Desconto_Cliente_Mes!$K$2:$K$433,"Nao",Desconto_Cliente_Mes!$D$2:$D$433,"&gt;0")</f>
        <v>0</v>
      </c>
      <c r="I71" s="42" t="n">
        <f aca="false">IF(AND($E71="Nao",$D71&gt;0,$H71&gt;0),$D71/$H71,0)</f>
        <v>0</v>
      </c>
      <c r="J71" s="40" t="n">
        <f aca="false">$I71*$G71</f>
        <v>0</v>
      </c>
      <c r="K71" s="40" t="n">
        <f aca="false">$J71-$F71</f>
        <v>0</v>
      </c>
      <c r="L71" s="27" t="str">
        <f aca="false">IF($D71=0,"Sem embarque",IF($K71&gt;0,"Recebe","Paga"))</f>
        <v>Sem embarque</v>
      </c>
    </row>
    <row r="72" customFormat="false" ht="15" hidden="false" customHeight="false" outlineLevel="0" collapsed="false">
      <c r="A72" s="27" t="s">
        <v>40</v>
      </c>
      <c r="B72" s="27" t="s">
        <v>69</v>
      </c>
      <c r="C72" s="27" t="s">
        <v>110</v>
      </c>
      <c r="D72" s="34" t="n">
        <f aca="false">SUMIFS(Desconto_Cliente_Mes!$D$2:$D$433,Desconto_Cliente_Mes!$A$2:$A$433,$A72,Desconto_Cliente_Mes!$B$2:$B$433,$B72,Desconto_Cliente_Mes!$C$2:$C$433,$C72)</f>
        <v>0</v>
      </c>
      <c r="E72" s="37" t="str">
        <f aca="false">INDEX(Desconto_Cliente_Mes!$K$2:$K$433,MATCH($A72&amp;"|"&amp;$B72&amp;"|"&amp;$C72,Desconto_Cliente_Mes!$W$2:$W$433,0))</f>
        <v/>
      </c>
      <c r="F72" s="39" t="n">
        <f aca="false">SUMIFS(Desconto_Cliente_Mes!$U$2:$U$433,Desconto_Cliente_Mes!$A$2:$A$433,$A72,Desconto_Cliente_Mes!$B$2:$B$433,$B72,Desconto_Cliente_Mes!$C$2:$C$433,$C72)</f>
        <v>0</v>
      </c>
      <c r="G72" s="39" t="n">
        <f aca="false">SUMIFS(Desconto_Cliente_Mes!$U$2:$U$433,Desconto_Cliente_Mes!$B$2:$B$433,$B72,Desconto_Cliente_Mes!$C$2:$C$433,$C72,Desconto_Cliente_Mes!$K$2:$K$433,"Sim")</f>
        <v>0</v>
      </c>
      <c r="H72" s="37" t="n">
        <f aca="false">SUMIFS(Desconto_Cliente_Mes!$D$2:$D$433,Desconto_Cliente_Mes!$B$2:$B$433,$B72,Desconto_Cliente_Mes!$C$2:$C$433,$C72,Desconto_Cliente_Mes!$K$2:$K$433,"Nao",Desconto_Cliente_Mes!$D$2:$D$433,"&gt;0")</f>
        <v>0</v>
      </c>
      <c r="I72" s="42" t="n">
        <f aca="false">IF(AND($E72="Nao",$D72&gt;0,$H72&gt;0),$D72/$H72,0)</f>
        <v>0</v>
      </c>
      <c r="J72" s="40" t="n">
        <f aca="false">$I72*$G72</f>
        <v>0</v>
      </c>
      <c r="K72" s="40" t="n">
        <f aca="false">$J72-$F72</f>
        <v>0</v>
      </c>
      <c r="L72" s="27" t="str">
        <f aca="false">IF($D72=0,"Sem embarque",IF($K72&gt;0,"Recebe","Paga"))</f>
        <v>Sem embarque</v>
      </c>
    </row>
    <row r="73" customFormat="false" ht="15" hidden="false" customHeight="false" outlineLevel="0" collapsed="false">
      <c r="A73" s="27" t="s">
        <v>40</v>
      </c>
      <c r="B73" s="27" t="s">
        <v>69</v>
      </c>
      <c r="C73" s="27" t="s">
        <v>111</v>
      </c>
      <c r="D73" s="34" t="n">
        <f aca="false">SUMIFS(Desconto_Cliente_Mes!$D$2:$D$433,Desconto_Cliente_Mes!$A$2:$A$433,$A73,Desconto_Cliente_Mes!$B$2:$B$433,$B73,Desconto_Cliente_Mes!$C$2:$C$433,$C73)</f>
        <v>0</v>
      </c>
      <c r="E73" s="37" t="str">
        <f aca="false">INDEX(Desconto_Cliente_Mes!$K$2:$K$433,MATCH($A73&amp;"|"&amp;$B73&amp;"|"&amp;$C73,Desconto_Cliente_Mes!$W$2:$W$433,0))</f>
        <v/>
      </c>
      <c r="F73" s="39" t="n">
        <f aca="false">SUMIFS(Desconto_Cliente_Mes!$U$2:$U$433,Desconto_Cliente_Mes!$A$2:$A$433,$A73,Desconto_Cliente_Mes!$B$2:$B$433,$B73,Desconto_Cliente_Mes!$C$2:$C$433,$C73)</f>
        <v>0</v>
      </c>
      <c r="G73" s="39" t="n">
        <f aca="false">SUMIFS(Desconto_Cliente_Mes!$U$2:$U$433,Desconto_Cliente_Mes!$B$2:$B$433,$B73,Desconto_Cliente_Mes!$C$2:$C$433,$C73,Desconto_Cliente_Mes!$K$2:$K$433,"Sim")</f>
        <v>0</v>
      </c>
      <c r="H73" s="37" t="n">
        <f aca="false">SUMIFS(Desconto_Cliente_Mes!$D$2:$D$433,Desconto_Cliente_Mes!$B$2:$B$433,$B73,Desconto_Cliente_Mes!$C$2:$C$433,$C73,Desconto_Cliente_Mes!$K$2:$K$433,"Nao",Desconto_Cliente_Mes!$D$2:$D$433,"&gt;0")</f>
        <v>0</v>
      </c>
      <c r="I73" s="42" t="n">
        <f aca="false">IF(AND($E73="Nao",$D73&gt;0,$H73&gt;0),$D73/$H73,0)</f>
        <v>0</v>
      </c>
      <c r="J73" s="40" t="n">
        <f aca="false">$I73*$G73</f>
        <v>0</v>
      </c>
      <c r="K73" s="40" t="n">
        <f aca="false">$J73-$F73</f>
        <v>0</v>
      </c>
      <c r="L73" s="27" t="str">
        <f aca="false">IF($D73=0,"Sem embarque",IF($K73&gt;0,"Recebe","Paga"))</f>
        <v>Sem embarque</v>
      </c>
    </row>
    <row r="74" customFormat="false" ht="15" hidden="false" customHeight="false" outlineLevel="0" collapsed="false">
      <c r="A74" s="27" t="s">
        <v>41</v>
      </c>
      <c r="B74" s="27" t="s">
        <v>38</v>
      </c>
      <c r="C74" s="27" t="s">
        <v>109</v>
      </c>
      <c r="D74" s="34" t="n">
        <f aca="false">SUMIFS(Desconto_Cliente_Mes!$D$2:$D$433,Desconto_Cliente_Mes!$A$2:$A$433,$A74,Desconto_Cliente_Mes!$B$2:$B$433,$B74,Desconto_Cliente_Mes!$C$2:$C$433,$C74)</f>
        <v>18891.74</v>
      </c>
      <c r="E74" s="37" t="str">
        <f aca="false">INDEX(Desconto_Cliente_Mes!$K$2:$K$433,MATCH($A74&amp;"|"&amp;$B74&amp;"|"&amp;$C74,Desconto_Cliente_Mes!$W$2:$W$433,0))</f>
        <v>Nao</v>
      </c>
      <c r="F74" s="39" t="n">
        <f aca="false">SUMIFS(Desconto_Cliente_Mes!$U$2:$U$433,Desconto_Cliente_Mes!$A$2:$A$433,$A74,Desconto_Cliente_Mes!$B$2:$B$433,$B74,Desconto_Cliente_Mes!$C$2:$C$433,$C74)</f>
        <v>0</v>
      </c>
      <c r="G74" s="39" t="n">
        <f aca="false">SUMIFS(Desconto_Cliente_Mes!$U$2:$U$433,Desconto_Cliente_Mes!$B$2:$B$433,$B74,Desconto_Cliente_Mes!$C$2:$C$433,$C74,Desconto_Cliente_Mes!$K$2:$K$433,"Sim")</f>
        <v>91377.0669671845</v>
      </c>
      <c r="H74" s="37" t="n">
        <f aca="false">SUMIFS(Desconto_Cliente_Mes!$D$2:$D$433,Desconto_Cliente_Mes!$B$2:$B$433,$B74,Desconto_Cliente_Mes!$C$2:$C$433,$C74,Desconto_Cliente_Mes!$K$2:$K$433,"Nao",Desconto_Cliente_Mes!$D$2:$D$433,"&gt;0")</f>
        <v>58734.34</v>
      </c>
      <c r="I74" s="42" t="n">
        <f aca="false">IF(AND($E74="Nao",$D74&gt;0,$H74&gt;0),$D74/$H74,0)</f>
        <v>0.321647268020718</v>
      </c>
      <c r="J74" s="40" t="n">
        <f aca="false">$I74*$G74</f>
        <v>29391.1839497411</v>
      </c>
      <c r="K74" s="40" t="n">
        <f aca="false">$J74-$F74</f>
        <v>29391.1839497411</v>
      </c>
      <c r="L74" s="27" t="str">
        <f aca="false">IF($D74=0,"Sem embarque",IF($K74&gt;0,"Recebe","Paga"))</f>
        <v>Recebe</v>
      </c>
    </row>
    <row r="75" customFormat="false" ht="15" hidden="false" customHeight="false" outlineLevel="0" collapsed="false">
      <c r="A75" s="27" t="s">
        <v>41</v>
      </c>
      <c r="B75" s="27" t="s">
        <v>38</v>
      </c>
      <c r="C75" s="27" t="s">
        <v>110</v>
      </c>
      <c r="D75" s="34" t="n">
        <f aca="false">SUMIFS(Desconto_Cliente_Mes!$D$2:$D$433,Desconto_Cliente_Mes!$A$2:$A$433,$A75,Desconto_Cliente_Mes!$B$2:$B$433,$B75,Desconto_Cliente_Mes!$C$2:$C$433,$C75)</f>
        <v>18891.74</v>
      </c>
      <c r="E75" s="37" t="str">
        <f aca="false">INDEX(Desconto_Cliente_Mes!$K$2:$K$433,MATCH($A75&amp;"|"&amp;$B75&amp;"|"&amp;$C75,Desconto_Cliente_Mes!$W$2:$W$433,0))</f>
        <v>Nao</v>
      </c>
      <c r="F75" s="39" t="n">
        <f aca="false">SUMIFS(Desconto_Cliente_Mes!$U$2:$U$433,Desconto_Cliente_Mes!$A$2:$A$433,$A75,Desconto_Cliente_Mes!$B$2:$B$433,$B75,Desconto_Cliente_Mes!$C$2:$C$433,$C75)</f>
        <v>0</v>
      </c>
      <c r="G75" s="39" t="n">
        <f aca="false">SUMIFS(Desconto_Cliente_Mes!$U$2:$U$433,Desconto_Cliente_Mes!$B$2:$B$433,$B75,Desconto_Cliente_Mes!$C$2:$C$433,$C75,Desconto_Cliente_Mes!$K$2:$K$433,"Sim")</f>
        <v>0</v>
      </c>
      <c r="H75" s="37" t="n">
        <f aca="false">SUMIFS(Desconto_Cliente_Mes!$D$2:$D$433,Desconto_Cliente_Mes!$B$2:$B$433,$B75,Desconto_Cliente_Mes!$C$2:$C$433,$C75,Desconto_Cliente_Mes!$K$2:$K$433,"Nao",Desconto_Cliente_Mes!$D$2:$D$433,"&gt;0")</f>
        <v>263816.27</v>
      </c>
      <c r="I75" s="42" t="n">
        <f aca="false">IF(AND($E75="Nao",$D75&gt;0,$H75&gt;0),$D75/$H75,0)</f>
        <v>0.0716094575971376</v>
      </c>
      <c r="J75" s="40" t="n">
        <f aca="false">$I75*$G75</f>
        <v>0</v>
      </c>
      <c r="K75" s="40" t="n">
        <f aca="false">$J75-$F75</f>
        <v>0</v>
      </c>
      <c r="L75" s="27" t="str">
        <f aca="false">IF($D75=0,"Sem embarque",IF($K75&gt;0,"Recebe","Paga"))</f>
        <v>Paga</v>
      </c>
    </row>
    <row r="76" customFormat="false" ht="15" hidden="false" customHeight="false" outlineLevel="0" collapsed="false">
      <c r="A76" s="27" t="s">
        <v>41</v>
      </c>
      <c r="B76" s="27" t="s">
        <v>38</v>
      </c>
      <c r="C76" s="27" t="s">
        <v>111</v>
      </c>
      <c r="D76" s="34" t="n">
        <f aca="false">SUMIFS(Desconto_Cliente_Mes!$D$2:$D$433,Desconto_Cliente_Mes!$A$2:$A$433,$A76,Desconto_Cliente_Mes!$B$2:$B$433,$B76,Desconto_Cliente_Mes!$C$2:$C$433,$C76)</f>
        <v>18891.74</v>
      </c>
      <c r="E76" s="37" t="str">
        <f aca="false">INDEX(Desconto_Cliente_Mes!$K$2:$K$433,MATCH($A76&amp;"|"&amp;$B76&amp;"|"&amp;$C76,Desconto_Cliente_Mes!$W$2:$W$433,0))</f>
        <v>Nao</v>
      </c>
      <c r="F76" s="39" t="n">
        <f aca="false">SUMIFS(Desconto_Cliente_Mes!$U$2:$U$433,Desconto_Cliente_Mes!$A$2:$A$433,$A76,Desconto_Cliente_Mes!$B$2:$B$433,$B76,Desconto_Cliente_Mes!$C$2:$C$433,$C76)</f>
        <v>0</v>
      </c>
      <c r="G76" s="39" t="n">
        <f aca="false">SUMIFS(Desconto_Cliente_Mes!$U$2:$U$433,Desconto_Cliente_Mes!$B$2:$B$433,$B76,Desconto_Cliente_Mes!$C$2:$C$433,$C76,Desconto_Cliente_Mes!$K$2:$K$433,"Sim")</f>
        <v>71216.4191325092</v>
      </c>
      <c r="H76" s="37" t="n">
        <f aca="false">SUMIFS(Desconto_Cliente_Mes!$D$2:$D$433,Desconto_Cliente_Mes!$B$2:$B$433,$B76,Desconto_Cliente_Mes!$C$2:$C$433,$C76,Desconto_Cliente_Mes!$K$2:$K$433,"Nao",Desconto_Cliente_Mes!$D$2:$D$433,"&gt;0")</f>
        <v>116867.62</v>
      </c>
      <c r="I76" s="42" t="n">
        <f aca="false">IF(AND($E76="Nao",$D76&gt;0,$H76&gt;0),$D76/$H76,0)</f>
        <v>0.161650763487782</v>
      </c>
      <c r="J76" s="40" t="n">
        <f aca="false">$I76*$G76</f>
        <v>11512.188525636</v>
      </c>
      <c r="K76" s="40" t="n">
        <f aca="false">$J76-$F76</f>
        <v>11512.188525636</v>
      </c>
      <c r="L76" s="27" t="str">
        <f aca="false">IF($D76=0,"Sem embarque",IF($K76&gt;0,"Recebe","Paga"))</f>
        <v>Recebe</v>
      </c>
    </row>
    <row r="77" customFormat="false" ht="15" hidden="false" customHeight="false" outlineLevel="0" collapsed="false">
      <c r="A77" s="27" t="s">
        <v>41</v>
      </c>
      <c r="B77" s="27" t="s">
        <v>59</v>
      </c>
      <c r="C77" s="27" t="s">
        <v>109</v>
      </c>
      <c r="D77" s="34" t="n">
        <f aca="false">SUMIFS(Desconto_Cliente_Mes!$D$2:$D$433,Desconto_Cliente_Mes!$A$2:$A$433,$A77,Desconto_Cliente_Mes!$B$2:$B$433,$B77,Desconto_Cliente_Mes!$C$2:$C$433,$C77)</f>
        <v>9485.48</v>
      </c>
      <c r="E77" s="37" t="str">
        <f aca="false">INDEX(Desconto_Cliente_Mes!$K$2:$K$433,MATCH($A77&amp;"|"&amp;$B77&amp;"|"&amp;$C77,Desconto_Cliente_Mes!$W$2:$W$433,0))</f>
        <v>Sim</v>
      </c>
      <c r="F77" s="39" t="n">
        <f aca="false">SUMIFS(Desconto_Cliente_Mes!$U$2:$U$433,Desconto_Cliente_Mes!$A$2:$A$433,$A77,Desconto_Cliente_Mes!$B$2:$B$433,$B77,Desconto_Cliente_Mes!$C$2:$C$433,$C77)</f>
        <v>4892.1464693196</v>
      </c>
      <c r="G77" s="39" t="n">
        <f aca="false">SUMIFS(Desconto_Cliente_Mes!$U$2:$U$433,Desconto_Cliente_Mes!$B$2:$B$433,$B77,Desconto_Cliente_Mes!$C$2:$C$433,$C77,Desconto_Cliente_Mes!$K$2:$K$433,"Sim")</f>
        <v>166858.825867758</v>
      </c>
      <c r="H77" s="37" t="n">
        <f aca="false">SUMIFS(Desconto_Cliente_Mes!$D$2:$D$433,Desconto_Cliente_Mes!$B$2:$B$433,$B77,Desconto_Cliente_Mes!$C$2:$C$433,$C77,Desconto_Cliente_Mes!$K$2:$K$433,"Nao",Desconto_Cliente_Mes!$D$2:$D$433,"&gt;0")</f>
        <v>83594.61</v>
      </c>
      <c r="I77" s="42" t="n">
        <f aca="false">IF(AND($E77="Nao",$D77&gt;0,$H77&gt;0),$D77/$H77,0)</f>
        <v>0</v>
      </c>
      <c r="J77" s="40" t="n">
        <f aca="false">$I77*$G77</f>
        <v>0</v>
      </c>
      <c r="K77" s="40" t="n">
        <f aca="false">$J77-$F77</f>
        <v>-4892.1464693196</v>
      </c>
      <c r="L77" s="27" t="str">
        <f aca="false">IF($D77=0,"Sem embarque",IF($K77&gt;0,"Recebe","Paga"))</f>
        <v>Paga</v>
      </c>
    </row>
    <row r="78" customFormat="false" ht="15" hidden="false" customHeight="false" outlineLevel="0" collapsed="false">
      <c r="A78" s="27" t="s">
        <v>41</v>
      </c>
      <c r="B78" s="27" t="s">
        <v>59</v>
      </c>
      <c r="C78" s="27" t="s">
        <v>110</v>
      </c>
      <c r="D78" s="34" t="n">
        <f aca="false">SUMIFS(Desconto_Cliente_Mes!$D$2:$D$433,Desconto_Cliente_Mes!$A$2:$A$433,$A78,Desconto_Cliente_Mes!$B$2:$B$433,$B78,Desconto_Cliente_Mes!$C$2:$C$433,$C78)</f>
        <v>9485.48</v>
      </c>
      <c r="E78" s="37" t="str">
        <f aca="false">INDEX(Desconto_Cliente_Mes!$K$2:$K$433,MATCH($A78&amp;"|"&amp;$B78&amp;"|"&amp;$C78,Desconto_Cliente_Mes!$W$2:$W$433,0))</f>
        <v>Sim</v>
      </c>
      <c r="F78" s="39" t="n">
        <f aca="false">SUMIFS(Desconto_Cliente_Mes!$U$2:$U$433,Desconto_Cliente_Mes!$A$2:$A$433,$A78,Desconto_Cliente_Mes!$B$2:$B$433,$B78,Desconto_Cliente_Mes!$C$2:$C$433,$C78)</f>
        <v>8132.39257800007</v>
      </c>
      <c r="G78" s="39" t="n">
        <f aca="false">SUMIFS(Desconto_Cliente_Mes!$U$2:$U$433,Desconto_Cliente_Mes!$B$2:$B$433,$B78,Desconto_Cliente_Mes!$C$2:$C$433,$C78,Desconto_Cliente_Mes!$K$2:$K$433,"Sim")</f>
        <v>8132.39257800007</v>
      </c>
      <c r="H78" s="37" t="n">
        <f aca="false">SUMIFS(Desconto_Cliente_Mes!$D$2:$D$433,Desconto_Cliente_Mes!$B$2:$B$433,$B78,Desconto_Cliente_Mes!$C$2:$C$433,$C78,Desconto_Cliente_Mes!$K$2:$K$433,"Nao",Desconto_Cliente_Mes!$D$2:$D$433,"&gt;0")</f>
        <v>289730.52</v>
      </c>
      <c r="I78" s="42" t="n">
        <f aca="false">IF(AND($E78="Nao",$D78&gt;0,$H78&gt;0),$D78/$H78,0)</f>
        <v>0</v>
      </c>
      <c r="J78" s="40" t="n">
        <f aca="false">$I78*$G78</f>
        <v>0</v>
      </c>
      <c r="K78" s="40" t="n">
        <f aca="false">$J78-$F78</f>
        <v>-8132.39257800007</v>
      </c>
      <c r="L78" s="27" t="str">
        <f aca="false">IF($D78=0,"Sem embarque",IF($K78&gt;0,"Recebe","Paga"))</f>
        <v>Paga</v>
      </c>
    </row>
    <row r="79" customFormat="false" ht="15" hidden="false" customHeight="false" outlineLevel="0" collapsed="false">
      <c r="A79" s="27" t="s">
        <v>41</v>
      </c>
      <c r="B79" s="27" t="s">
        <v>59</v>
      </c>
      <c r="C79" s="27" t="s">
        <v>111</v>
      </c>
      <c r="D79" s="34" t="n">
        <f aca="false">SUMIFS(Desconto_Cliente_Mes!$D$2:$D$433,Desconto_Cliente_Mes!$A$2:$A$433,$A79,Desconto_Cliente_Mes!$B$2:$B$433,$B79,Desconto_Cliente_Mes!$C$2:$C$433,$C79)</f>
        <v>9485.48</v>
      </c>
      <c r="E79" s="37" t="str">
        <f aca="false">INDEX(Desconto_Cliente_Mes!$K$2:$K$433,MATCH($A79&amp;"|"&amp;$B79&amp;"|"&amp;$C79,Desconto_Cliente_Mes!$W$2:$W$433,0))</f>
        <v>Sim</v>
      </c>
      <c r="F79" s="39" t="n">
        <f aca="false">SUMIFS(Desconto_Cliente_Mes!$U$2:$U$433,Desconto_Cliente_Mes!$A$2:$A$433,$A79,Desconto_Cliente_Mes!$B$2:$B$433,$B79,Desconto_Cliente_Mes!$C$2:$C$433,$C79)</f>
        <v>4187.84238225417</v>
      </c>
      <c r="G79" s="39" t="n">
        <f aca="false">SUMIFS(Desconto_Cliente_Mes!$U$2:$U$433,Desconto_Cliente_Mes!$B$2:$B$433,$B79,Desconto_Cliente_Mes!$C$2:$C$433,$C79,Desconto_Cliente_Mes!$K$2:$K$433,"Sim")</f>
        <v>47707.8352836299</v>
      </c>
      <c r="H79" s="37" t="n">
        <f aca="false">SUMIFS(Desconto_Cliente_Mes!$D$2:$D$433,Desconto_Cliente_Mes!$B$2:$B$433,$B79,Desconto_Cliente_Mes!$C$2:$C$433,$C79,Desconto_Cliente_Mes!$K$2:$K$433,"Nao",Desconto_Cliente_Mes!$D$2:$D$433,"&gt;0")</f>
        <v>185268.24</v>
      </c>
      <c r="I79" s="42" t="n">
        <f aca="false">IF(AND($E79="Nao",$D79&gt;0,$H79&gt;0),$D79/$H79,0)</f>
        <v>0</v>
      </c>
      <c r="J79" s="40" t="n">
        <f aca="false">$I79*$G79</f>
        <v>0</v>
      </c>
      <c r="K79" s="40" t="n">
        <f aca="false">$J79-$F79</f>
        <v>-4187.84238225417</v>
      </c>
      <c r="L79" s="27" t="str">
        <f aca="false">IF($D79=0,"Sem embarque",IF($K79&gt;0,"Recebe","Paga"))</f>
        <v>Paga</v>
      </c>
    </row>
    <row r="80" customFormat="false" ht="15" hidden="false" customHeight="false" outlineLevel="0" collapsed="false">
      <c r="A80" s="27" t="s">
        <v>41</v>
      </c>
      <c r="B80" s="27" t="s">
        <v>60</v>
      </c>
      <c r="C80" s="27" t="s">
        <v>109</v>
      </c>
      <c r="D80" s="34" t="n">
        <f aca="false">SUMIFS(Desconto_Cliente_Mes!$D$2:$D$433,Desconto_Cliente_Mes!$A$2:$A$433,$A80,Desconto_Cliente_Mes!$B$2:$B$433,$B80,Desconto_Cliente_Mes!$C$2:$C$433,$C80)</f>
        <v>12278.31</v>
      </c>
      <c r="E80" s="37" t="str">
        <f aca="false">INDEX(Desconto_Cliente_Mes!$K$2:$K$433,MATCH($A80&amp;"|"&amp;$B80&amp;"|"&amp;$C80,Desconto_Cliente_Mes!$W$2:$W$433,0))</f>
        <v>Nao</v>
      </c>
      <c r="F80" s="39" t="n">
        <f aca="false">SUMIFS(Desconto_Cliente_Mes!$U$2:$U$433,Desconto_Cliente_Mes!$A$2:$A$433,$A80,Desconto_Cliente_Mes!$B$2:$B$433,$B80,Desconto_Cliente_Mes!$C$2:$C$433,$C80)</f>
        <v>0</v>
      </c>
      <c r="G80" s="39" t="n">
        <f aca="false">SUMIFS(Desconto_Cliente_Mes!$U$2:$U$433,Desconto_Cliente_Mes!$B$2:$B$433,$B80,Desconto_Cliente_Mes!$C$2:$C$433,$C80,Desconto_Cliente_Mes!$K$2:$K$433,"Sim")</f>
        <v>75633.0761548471</v>
      </c>
      <c r="H80" s="37" t="n">
        <f aca="false">SUMIFS(Desconto_Cliente_Mes!$D$2:$D$433,Desconto_Cliente_Mes!$B$2:$B$433,$B80,Desconto_Cliente_Mes!$C$2:$C$433,$C80,Desconto_Cliente_Mes!$K$2:$K$433,"Nao",Desconto_Cliente_Mes!$D$2:$D$433,"&gt;0")</f>
        <v>55750.4</v>
      </c>
      <c r="I80" s="42" t="n">
        <f aca="false">IF(AND($E80="Nao",$D80&gt;0,$H80&gt;0),$D80/$H80,0)</f>
        <v>0.220237164217656</v>
      </c>
      <c r="J80" s="40" t="n">
        <f aca="false">$I80*$G80</f>
        <v>16657.2142134015</v>
      </c>
      <c r="K80" s="40" t="n">
        <f aca="false">$J80-$F80</f>
        <v>16657.2142134015</v>
      </c>
      <c r="L80" s="27" t="str">
        <f aca="false">IF($D80=0,"Sem embarque",IF($K80&gt;0,"Recebe","Paga"))</f>
        <v>Recebe</v>
      </c>
    </row>
    <row r="81" customFormat="false" ht="15" hidden="false" customHeight="false" outlineLevel="0" collapsed="false">
      <c r="A81" s="27" t="s">
        <v>41</v>
      </c>
      <c r="B81" s="27" t="s">
        <v>60</v>
      </c>
      <c r="C81" s="27" t="s">
        <v>110</v>
      </c>
      <c r="D81" s="34" t="n">
        <f aca="false">SUMIFS(Desconto_Cliente_Mes!$D$2:$D$433,Desconto_Cliente_Mes!$A$2:$A$433,$A81,Desconto_Cliente_Mes!$B$2:$B$433,$B81,Desconto_Cliente_Mes!$C$2:$C$433,$C81)</f>
        <v>12278.31</v>
      </c>
      <c r="E81" s="37" t="str">
        <f aca="false">INDEX(Desconto_Cliente_Mes!$K$2:$K$433,MATCH($A81&amp;"|"&amp;$B81&amp;"|"&amp;$C81,Desconto_Cliente_Mes!$W$2:$W$433,0))</f>
        <v>Nao</v>
      </c>
      <c r="F81" s="39" t="n">
        <f aca="false">SUMIFS(Desconto_Cliente_Mes!$U$2:$U$433,Desconto_Cliente_Mes!$A$2:$A$433,$A81,Desconto_Cliente_Mes!$B$2:$B$433,$B81,Desconto_Cliente_Mes!$C$2:$C$433,$C81)</f>
        <v>0</v>
      </c>
      <c r="G81" s="39" t="n">
        <f aca="false">SUMIFS(Desconto_Cliente_Mes!$U$2:$U$433,Desconto_Cliente_Mes!$B$2:$B$433,$B81,Desconto_Cliente_Mes!$C$2:$C$433,$C81,Desconto_Cliente_Mes!$K$2:$K$433,"Sim")</f>
        <v>0</v>
      </c>
      <c r="H81" s="37" t="n">
        <f aca="false">SUMIFS(Desconto_Cliente_Mes!$D$2:$D$433,Desconto_Cliente_Mes!$B$2:$B$433,$B81,Desconto_Cliente_Mes!$C$2:$C$433,$C81,Desconto_Cliente_Mes!$K$2:$K$433,"Nao",Desconto_Cliente_Mes!$D$2:$D$433,"&gt;0")</f>
        <v>240729.22</v>
      </c>
      <c r="I81" s="42" t="n">
        <f aca="false">IF(AND($E81="Nao",$D81&gt;0,$H81&gt;0),$D81/$H81,0)</f>
        <v>0.0510046516164511</v>
      </c>
      <c r="J81" s="40" t="n">
        <f aca="false">$I81*$G81</f>
        <v>0</v>
      </c>
      <c r="K81" s="40" t="n">
        <f aca="false">$J81-$F81</f>
        <v>0</v>
      </c>
      <c r="L81" s="27" t="str">
        <f aca="false">IF($D81=0,"Sem embarque",IF($K81&gt;0,"Recebe","Paga"))</f>
        <v>Paga</v>
      </c>
    </row>
    <row r="82" customFormat="false" ht="15" hidden="false" customHeight="false" outlineLevel="0" collapsed="false">
      <c r="A82" s="27" t="s">
        <v>41</v>
      </c>
      <c r="B82" s="27" t="s">
        <v>60</v>
      </c>
      <c r="C82" s="27" t="s">
        <v>111</v>
      </c>
      <c r="D82" s="34" t="n">
        <f aca="false">SUMIFS(Desconto_Cliente_Mes!$D$2:$D$433,Desconto_Cliente_Mes!$A$2:$A$433,$A82,Desconto_Cliente_Mes!$B$2:$B$433,$B82,Desconto_Cliente_Mes!$C$2:$C$433,$C82)</f>
        <v>12278.31</v>
      </c>
      <c r="E82" s="37" t="str">
        <f aca="false">INDEX(Desconto_Cliente_Mes!$K$2:$K$433,MATCH($A82&amp;"|"&amp;$B82&amp;"|"&amp;$C82,Desconto_Cliente_Mes!$W$2:$W$433,0))</f>
        <v>Nao</v>
      </c>
      <c r="F82" s="39" t="n">
        <f aca="false">SUMIFS(Desconto_Cliente_Mes!$U$2:$U$433,Desconto_Cliente_Mes!$A$2:$A$433,$A82,Desconto_Cliente_Mes!$B$2:$B$433,$B82,Desconto_Cliente_Mes!$C$2:$C$433,$C82)</f>
        <v>0</v>
      </c>
      <c r="G82" s="39" t="n">
        <f aca="false">SUMIFS(Desconto_Cliente_Mes!$U$2:$U$433,Desconto_Cliente_Mes!$B$2:$B$433,$B82,Desconto_Cliente_Mes!$C$2:$C$433,$C82,Desconto_Cliente_Mes!$K$2:$K$433,"Sim")</f>
        <v>15973.4860651284</v>
      </c>
      <c r="H82" s="37" t="n">
        <f aca="false">SUMIFS(Desconto_Cliente_Mes!$D$2:$D$433,Desconto_Cliente_Mes!$B$2:$B$433,$B82,Desconto_Cliente_Mes!$C$2:$C$433,$C82,Desconto_Cliente_Mes!$K$2:$K$433,"Nao",Desconto_Cliente_Mes!$D$2:$D$433,"&gt;0")</f>
        <v>55750.4</v>
      </c>
      <c r="I82" s="42" t="n">
        <f aca="false">IF(AND($E82="Nao",$D82&gt;0,$H82&gt;0),$D82/$H82,0)</f>
        <v>0.220237164217656</v>
      </c>
      <c r="J82" s="40" t="n">
        <f aca="false">$I82*$G82</f>
        <v>3517.95527365411</v>
      </c>
      <c r="K82" s="40" t="n">
        <f aca="false">$J82-$F82</f>
        <v>3517.95527365411</v>
      </c>
      <c r="L82" s="27" t="str">
        <f aca="false">IF($D82=0,"Sem embarque",IF($K82&gt;0,"Recebe","Paga"))</f>
        <v>Recebe</v>
      </c>
    </row>
    <row r="83" customFormat="false" ht="15" hidden="false" customHeight="false" outlineLevel="0" collapsed="false">
      <c r="A83" s="27" t="s">
        <v>41</v>
      </c>
      <c r="B83" s="27" t="s">
        <v>61</v>
      </c>
      <c r="C83" s="27" t="s">
        <v>109</v>
      </c>
      <c r="D83" s="34" t="n">
        <f aca="false">SUMIFS(Desconto_Cliente_Mes!$D$2:$D$433,Desconto_Cliente_Mes!$A$2:$A$433,$A83,Desconto_Cliente_Mes!$B$2:$B$433,$B83,Desconto_Cliente_Mes!$C$2:$C$433,$C83)</f>
        <v>42872.69</v>
      </c>
      <c r="E83" s="37" t="str">
        <f aca="false">INDEX(Desconto_Cliente_Mes!$K$2:$K$433,MATCH($A83&amp;"|"&amp;$B83&amp;"|"&amp;$C83,Desconto_Cliente_Mes!$W$2:$W$433,0))</f>
        <v>Sim</v>
      </c>
      <c r="F83" s="39" t="n">
        <f aca="false">SUMIFS(Desconto_Cliente_Mes!$U$2:$U$433,Desconto_Cliente_Mes!$A$2:$A$433,$A83,Desconto_Cliente_Mes!$B$2:$B$433,$B83,Desconto_Cliente_Mes!$C$2:$C$433,$C83)</f>
        <v>332.276635595977</v>
      </c>
      <c r="G83" s="39" t="n">
        <f aca="false">SUMIFS(Desconto_Cliente_Mes!$U$2:$U$433,Desconto_Cliente_Mes!$B$2:$B$433,$B83,Desconto_Cliente_Mes!$C$2:$C$433,$C83,Desconto_Cliente_Mes!$K$2:$K$433,"Sim")</f>
        <v>101062.110385431</v>
      </c>
      <c r="H83" s="37" t="n">
        <f aca="false">SUMIFS(Desconto_Cliente_Mes!$D$2:$D$433,Desconto_Cliente_Mes!$B$2:$B$433,$B83,Desconto_Cliente_Mes!$C$2:$C$433,$C83,Desconto_Cliente_Mes!$K$2:$K$433,"Nao",Desconto_Cliente_Mes!$D$2:$D$433,"&gt;0")</f>
        <v>195833.47</v>
      </c>
      <c r="I83" s="42" t="n">
        <f aca="false">IF(AND($E83="Nao",$D83&gt;0,$H83&gt;0),$D83/$H83,0)</f>
        <v>0</v>
      </c>
      <c r="J83" s="40" t="n">
        <f aca="false">$I83*$G83</f>
        <v>0</v>
      </c>
      <c r="K83" s="40" t="n">
        <f aca="false">$J83-$F83</f>
        <v>-332.276635595977</v>
      </c>
      <c r="L83" s="27" t="str">
        <f aca="false">IF($D83=0,"Sem embarque",IF($K83&gt;0,"Recebe","Paga"))</f>
        <v>Paga</v>
      </c>
    </row>
    <row r="84" customFormat="false" ht="15" hidden="false" customHeight="false" outlineLevel="0" collapsed="false">
      <c r="A84" s="27" t="s">
        <v>41</v>
      </c>
      <c r="B84" s="27" t="s">
        <v>61</v>
      </c>
      <c r="C84" s="27" t="s">
        <v>110</v>
      </c>
      <c r="D84" s="34" t="n">
        <f aca="false">SUMIFS(Desconto_Cliente_Mes!$D$2:$D$433,Desconto_Cliente_Mes!$A$2:$A$433,$A84,Desconto_Cliente_Mes!$B$2:$B$433,$B84,Desconto_Cliente_Mes!$C$2:$C$433,$C84)</f>
        <v>42872.69</v>
      </c>
      <c r="E84" s="37" t="str">
        <f aca="false">INDEX(Desconto_Cliente_Mes!$K$2:$K$433,MATCH($A84&amp;"|"&amp;$B84&amp;"|"&amp;$C84,Desconto_Cliente_Mes!$W$2:$W$433,0))</f>
        <v>Sim</v>
      </c>
      <c r="F84" s="39" t="n">
        <f aca="false">SUMIFS(Desconto_Cliente_Mes!$U$2:$U$433,Desconto_Cliente_Mes!$A$2:$A$433,$A84,Desconto_Cliente_Mes!$B$2:$B$433,$B84,Desconto_Cliente_Mes!$C$2:$C$433,$C84)</f>
        <v>89392.5188999994</v>
      </c>
      <c r="G84" s="39" t="n">
        <f aca="false">SUMIFS(Desconto_Cliente_Mes!$U$2:$U$433,Desconto_Cliente_Mes!$B$2:$B$433,$B84,Desconto_Cliente_Mes!$C$2:$C$433,$C84,Desconto_Cliente_Mes!$K$2:$K$433,"Sim")</f>
        <v>89392.5188999994</v>
      </c>
      <c r="H84" s="37" t="n">
        <f aca="false">SUMIFS(Desconto_Cliente_Mes!$D$2:$D$433,Desconto_Cliente_Mes!$B$2:$B$433,$B84,Desconto_Cliente_Mes!$C$2:$C$433,$C84,Desconto_Cliente_Mes!$K$2:$K$433,"Nao",Desconto_Cliente_Mes!$D$2:$D$433,"&gt;0")</f>
        <v>315561.27</v>
      </c>
      <c r="I84" s="42" t="n">
        <f aca="false">IF(AND($E84="Nao",$D84&gt;0,$H84&gt;0),$D84/$H84,0)</f>
        <v>0</v>
      </c>
      <c r="J84" s="40" t="n">
        <f aca="false">$I84*$G84</f>
        <v>0</v>
      </c>
      <c r="K84" s="40" t="n">
        <f aca="false">$J84-$F84</f>
        <v>-89392.5188999994</v>
      </c>
      <c r="L84" s="27" t="str">
        <f aca="false">IF($D84=0,"Sem embarque",IF($K84&gt;0,"Recebe","Paga"))</f>
        <v>Paga</v>
      </c>
    </row>
    <row r="85" customFormat="false" ht="15" hidden="false" customHeight="false" outlineLevel="0" collapsed="false">
      <c r="A85" s="27" t="s">
        <v>41</v>
      </c>
      <c r="B85" s="27" t="s">
        <v>61</v>
      </c>
      <c r="C85" s="27" t="s">
        <v>111</v>
      </c>
      <c r="D85" s="34" t="n">
        <f aca="false">SUMIFS(Desconto_Cliente_Mes!$D$2:$D$433,Desconto_Cliente_Mes!$A$2:$A$433,$A85,Desconto_Cliente_Mes!$B$2:$B$433,$B85,Desconto_Cliente_Mes!$C$2:$C$433,$C85)</f>
        <v>42872.69</v>
      </c>
      <c r="E85" s="37" t="str">
        <f aca="false">INDEX(Desconto_Cliente_Mes!$K$2:$K$433,MATCH($A85&amp;"|"&amp;$B85&amp;"|"&amp;$C85,Desconto_Cliente_Mes!$W$2:$W$433,0))</f>
        <v>Nao</v>
      </c>
      <c r="F85" s="39" t="n">
        <f aca="false">SUMIFS(Desconto_Cliente_Mes!$U$2:$U$433,Desconto_Cliente_Mes!$A$2:$A$433,$A85,Desconto_Cliente_Mes!$B$2:$B$433,$B85,Desconto_Cliente_Mes!$C$2:$C$433,$C85)</f>
        <v>0</v>
      </c>
      <c r="G85" s="39" t="n">
        <f aca="false">SUMIFS(Desconto_Cliente_Mes!$U$2:$U$433,Desconto_Cliente_Mes!$B$2:$B$433,$B85,Desconto_Cliente_Mes!$C$2:$C$433,$C85,Desconto_Cliente_Mes!$K$2:$K$433,"Sim")</f>
        <v>45945.9604253753</v>
      </c>
      <c r="H85" s="37" t="n">
        <f aca="false">SUMIFS(Desconto_Cliente_Mes!$D$2:$D$433,Desconto_Cliente_Mes!$B$2:$B$433,$B85,Desconto_Cliente_Mes!$C$2:$C$433,$C85,Desconto_Cliente_Mes!$K$2:$K$433,"Nao",Desconto_Cliente_Mes!$D$2:$D$433,"&gt;0")</f>
        <v>238706.16</v>
      </c>
      <c r="I85" s="42" t="n">
        <f aca="false">IF(AND($E85="Nao",$D85&gt;0,$H85&gt;0),$D85/$H85,0)</f>
        <v>0.179604455955389</v>
      </c>
      <c r="J85" s="40" t="n">
        <f aca="false">$I85*$G85</f>
        <v>8252.09922554735</v>
      </c>
      <c r="K85" s="40" t="n">
        <f aca="false">$J85-$F85</f>
        <v>8252.09922554735</v>
      </c>
      <c r="L85" s="27" t="str">
        <f aca="false">IF($D85=0,"Sem embarque",IF($K85&gt;0,"Recebe","Paga"))</f>
        <v>Recebe</v>
      </c>
    </row>
    <row r="86" customFormat="false" ht="15" hidden="false" customHeight="false" outlineLevel="0" collapsed="false">
      <c r="A86" s="27" t="s">
        <v>41</v>
      </c>
      <c r="B86" s="27" t="s">
        <v>62</v>
      </c>
      <c r="C86" s="27" t="s">
        <v>109</v>
      </c>
      <c r="D86" s="34" t="n">
        <f aca="false">SUMIFS(Desconto_Cliente_Mes!$D$2:$D$433,Desconto_Cliente_Mes!$A$2:$A$433,$A86,Desconto_Cliente_Mes!$B$2:$B$433,$B86,Desconto_Cliente_Mes!$C$2:$C$433,$C86)</f>
        <v>17619.63</v>
      </c>
      <c r="E86" s="37" t="str">
        <f aca="false">INDEX(Desconto_Cliente_Mes!$K$2:$K$433,MATCH($A86&amp;"|"&amp;$B86&amp;"|"&amp;$C86,Desconto_Cliente_Mes!$W$2:$W$433,0))</f>
        <v>Sim</v>
      </c>
      <c r="F86" s="39" t="n">
        <f aca="false">SUMIFS(Desconto_Cliente_Mes!$U$2:$U$433,Desconto_Cliente_Mes!$A$2:$A$433,$A86,Desconto_Cliente_Mes!$B$2:$B$433,$B86,Desconto_Cliente_Mes!$C$2:$C$433,$C86)</f>
        <v>11052.2724855385</v>
      </c>
      <c r="G86" s="39" t="n">
        <f aca="false">SUMIFS(Desconto_Cliente_Mes!$U$2:$U$433,Desconto_Cliente_Mes!$B$2:$B$433,$B86,Desconto_Cliente_Mes!$C$2:$C$433,$C86,Desconto_Cliente_Mes!$K$2:$K$433,"Sim")</f>
        <v>82370.9873921197</v>
      </c>
      <c r="H86" s="37" t="n">
        <f aca="false">SUMIFS(Desconto_Cliente_Mes!$D$2:$D$433,Desconto_Cliente_Mes!$B$2:$B$433,$B86,Desconto_Cliente_Mes!$C$2:$C$433,$C86,Desconto_Cliente_Mes!$K$2:$K$433,"Nao",Desconto_Cliente_Mes!$D$2:$D$433,"&gt;0")</f>
        <v>113342.84</v>
      </c>
      <c r="I86" s="42" t="n">
        <f aca="false">IF(AND($E86="Nao",$D86&gt;0,$H86&gt;0),$D86/$H86,0)</f>
        <v>0</v>
      </c>
      <c r="J86" s="40" t="n">
        <f aca="false">$I86*$G86</f>
        <v>0</v>
      </c>
      <c r="K86" s="40" t="n">
        <f aca="false">$J86-$F86</f>
        <v>-11052.2724855385</v>
      </c>
      <c r="L86" s="27" t="str">
        <f aca="false">IF($D86=0,"Sem embarque",IF($K86&gt;0,"Recebe","Paga"))</f>
        <v>Paga</v>
      </c>
    </row>
    <row r="87" customFormat="false" ht="15" hidden="false" customHeight="false" outlineLevel="0" collapsed="false">
      <c r="A87" s="27" t="s">
        <v>41</v>
      </c>
      <c r="B87" s="27" t="s">
        <v>62</v>
      </c>
      <c r="C87" s="27" t="s">
        <v>110</v>
      </c>
      <c r="D87" s="34" t="n">
        <f aca="false">SUMIFS(Desconto_Cliente_Mes!$D$2:$D$433,Desconto_Cliente_Mes!$A$2:$A$433,$A87,Desconto_Cliente_Mes!$B$2:$B$433,$B87,Desconto_Cliente_Mes!$C$2:$C$433,$C87)</f>
        <v>17619.63</v>
      </c>
      <c r="E87" s="37" t="str">
        <f aca="false">INDEX(Desconto_Cliente_Mes!$K$2:$K$433,MATCH($A87&amp;"|"&amp;$B87&amp;"|"&amp;$C87,Desconto_Cliente_Mes!$W$2:$W$433,0))</f>
        <v>Sim</v>
      </c>
      <c r="F87" s="39" t="n">
        <f aca="false">SUMIFS(Desconto_Cliente_Mes!$U$2:$U$433,Desconto_Cliente_Mes!$A$2:$A$433,$A87,Desconto_Cliente_Mes!$B$2:$B$433,$B87,Desconto_Cliente_Mes!$C$2:$C$433,$C87)</f>
        <v>17054.955043</v>
      </c>
      <c r="G87" s="39" t="n">
        <f aca="false">SUMIFS(Desconto_Cliente_Mes!$U$2:$U$433,Desconto_Cliente_Mes!$B$2:$B$433,$B87,Desconto_Cliente_Mes!$C$2:$C$433,$C87,Desconto_Cliente_Mes!$K$2:$K$433,"Sim")</f>
        <v>18695.6934849998</v>
      </c>
      <c r="H87" s="37" t="n">
        <f aca="false">SUMIFS(Desconto_Cliente_Mes!$D$2:$D$433,Desconto_Cliente_Mes!$B$2:$B$433,$B87,Desconto_Cliente_Mes!$C$2:$C$433,$C87,Desconto_Cliente_Mes!$K$2:$K$433,"Nao",Desconto_Cliente_Mes!$D$2:$D$433,"&gt;0")</f>
        <v>209144.13</v>
      </c>
      <c r="I87" s="42" t="n">
        <f aca="false">IF(AND($E87="Nao",$D87&gt;0,$H87&gt;0),$D87/$H87,0)</f>
        <v>0</v>
      </c>
      <c r="J87" s="40" t="n">
        <f aca="false">$I87*$G87</f>
        <v>0</v>
      </c>
      <c r="K87" s="40" t="n">
        <f aca="false">$J87-$F87</f>
        <v>-17054.955043</v>
      </c>
      <c r="L87" s="27" t="str">
        <f aca="false">IF($D87=0,"Sem embarque",IF($K87&gt;0,"Recebe","Paga"))</f>
        <v>Paga</v>
      </c>
    </row>
    <row r="88" customFormat="false" ht="15" hidden="false" customHeight="false" outlineLevel="0" collapsed="false">
      <c r="A88" s="27" t="s">
        <v>41</v>
      </c>
      <c r="B88" s="27" t="s">
        <v>62</v>
      </c>
      <c r="C88" s="27" t="s">
        <v>111</v>
      </c>
      <c r="D88" s="34" t="n">
        <f aca="false">SUMIFS(Desconto_Cliente_Mes!$D$2:$D$433,Desconto_Cliente_Mes!$A$2:$A$433,$A88,Desconto_Cliente_Mes!$B$2:$B$433,$B88,Desconto_Cliente_Mes!$C$2:$C$433,$C88)</f>
        <v>17619.63</v>
      </c>
      <c r="E88" s="37" t="str">
        <f aca="false">INDEX(Desconto_Cliente_Mes!$K$2:$K$433,MATCH($A88&amp;"|"&amp;$B88&amp;"|"&amp;$C88,Desconto_Cliente_Mes!$W$2:$W$433,0))</f>
        <v>Sim</v>
      </c>
      <c r="F88" s="39" t="n">
        <f aca="false">SUMIFS(Desconto_Cliente_Mes!$U$2:$U$433,Desconto_Cliente_Mes!$A$2:$A$433,$A88,Desconto_Cliente_Mes!$B$2:$B$433,$B88,Desconto_Cliente_Mes!$C$2:$C$433,$C88)</f>
        <v>3137.37306356125</v>
      </c>
      <c r="G88" s="39" t="n">
        <f aca="false">SUMIFS(Desconto_Cliente_Mes!$U$2:$U$433,Desconto_Cliente_Mes!$B$2:$B$433,$B88,Desconto_Cliente_Mes!$C$2:$C$433,$C88,Desconto_Cliente_Mes!$K$2:$K$433,"Sim")</f>
        <v>34643.0933013345</v>
      </c>
      <c r="H88" s="37" t="n">
        <f aca="false">SUMIFS(Desconto_Cliente_Mes!$D$2:$D$433,Desconto_Cliente_Mes!$B$2:$B$433,$B88,Desconto_Cliente_Mes!$C$2:$C$433,$C88,Desconto_Cliente_Mes!$K$2:$K$433,"Nao",Desconto_Cliente_Mes!$D$2:$D$433,"&gt;0")</f>
        <v>157163.21</v>
      </c>
      <c r="I88" s="42" t="n">
        <f aca="false">IF(AND($E88="Nao",$D88&gt;0,$H88&gt;0),$D88/$H88,0)</f>
        <v>0</v>
      </c>
      <c r="J88" s="40" t="n">
        <f aca="false">$I88*$G88</f>
        <v>0</v>
      </c>
      <c r="K88" s="40" t="n">
        <f aca="false">$J88-$F88</f>
        <v>-3137.37306356125</v>
      </c>
      <c r="L88" s="27" t="str">
        <f aca="false">IF($D88=0,"Sem embarque",IF($K88&gt;0,"Recebe","Paga"))</f>
        <v>Paga</v>
      </c>
    </row>
    <row r="89" customFormat="false" ht="15" hidden="false" customHeight="false" outlineLevel="0" collapsed="false">
      <c r="A89" s="27" t="s">
        <v>41</v>
      </c>
      <c r="B89" s="27" t="s">
        <v>63</v>
      </c>
      <c r="C89" s="27" t="s">
        <v>109</v>
      </c>
      <c r="D89" s="34" t="n">
        <f aca="false">SUMIFS(Desconto_Cliente_Mes!$D$2:$D$433,Desconto_Cliente_Mes!$A$2:$A$433,$A89,Desconto_Cliente_Mes!$B$2:$B$433,$B89,Desconto_Cliente_Mes!$C$2:$C$433,$C89)</f>
        <v>41497.14</v>
      </c>
      <c r="E89" s="37" t="str">
        <f aca="false">INDEX(Desconto_Cliente_Mes!$K$2:$K$433,MATCH($A89&amp;"|"&amp;$B89&amp;"|"&amp;$C89,Desconto_Cliente_Mes!$W$2:$W$433,0))</f>
        <v>Nao</v>
      </c>
      <c r="F89" s="39" t="n">
        <f aca="false">SUMIFS(Desconto_Cliente_Mes!$U$2:$U$433,Desconto_Cliente_Mes!$A$2:$A$433,$A89,Desconto_Cliente_Mes!$B$2:$B$433,$B89,Desconto_Cliente_Mes!$C$2:$C$433,$C89)</f>
        <v>0</v>
      </c>
      <c r="G89" s="39" t="n">
        <f aca="false">SUMIFS(Desconto_Cliente_Mes!$U$2:$U$433,Desconto_Cliente_Mes!$B$2:$B$433,$B89,Desconto_Cliente_Mes!$C$2:$C$433,$C89,Desconto_Cliente_Mes!$K$2:$K$433,"Sim")</f>
        <v>47810.1541211094</v>
      </c>
      <c r="H89" s="37" t="n">
        <f aca="false">SUMIFS(Desconto_Cliente_Mes!$D$2:$D$433,Desconto_Cliente_Mes!$B$2:$B$433,$B89,Desconto_Cliente_Mes!$C$2:$C$433,$C89,Desconto_Cliente_Mes!$K$2:$K$433,"Nao",Desconto_Cliente_Mes!$D$2:$D$433,"&gt;0")</f>
        <v>127871.4</v>
      </c>
      <c r="I89" s="42" t="n">
        <f aca="false">IF(AND($E89="Nao",$D89&gt;0,$H89&gt;0),$D89/$H89,0)</f>
        <v>0.324522449898883</v>
      </c>
      <c r="J89" s="40" t="n">
        <f aca="false">$I89*$G89</f>
        <v>15515.4683454256</v>
      </c>
      <c r="K89" s="40" t="n">
        <f aca="false">$J89-$F89</f>
        <v>15515.4683454256</v>
      </c>
      <c r="L89" s="27" t="str">
        <f aca="false">IF($D89=0,"Sem embarque",IF($K89&gt;0,"Recebe","Paga"))</f>
        <v>Recebe</v>
      </c>
    </row>
    <row r="90" customFormat="false" ht="15" hidden="false" customHeight="false" outlineLevel="0" collapsed="false">
      <c r="A90" s="27" t="s">
        <v>41</v>
      </c>
      <c r="B90" s="27" t="s">
        <v>63</v>
      </c>
      <c r="C90" s="27" t="s">
        <v>110</v>
      </c>
      <c r="D90" s="34" t="n">
        <f aca="false">SUMIFS(Desconto_Cliente_Mes!$D$2:$D$433,Desconto_Cliente_Mes!$A$2:$A$433,$A90,Desconto_Cliente_Mes!$B$2:$B$433,$B90,Desconto_Cliente_Mes!$C$2:$C$433,$C90)</f>
        <v>41497.14</v>
      </c>
      <c r="E90" s="37" t="str">
        <f aca="false">INDEX(Desconto_Cliente_Mes!$K$2:$K$433,MATCH($A90&amp;"|"&amp;$B90&amp;"|"&amp;$C90,Desconto_Cliente_Mes!$W$2:$W$433,0))</f>
        <v>Sim</v>
      </c>
      <c r="F90" s="39" t="n">
        <f aca="false">SUMIFS(Desconto_Cliente_Mes!$U$2:$U$433,Desconto_Cliente_Mes!$A$2:$A$433,$A90,Desconto_Cliente_Mes!$B$2:$B$433,$B90,Desconto_Cliente_Mes!$C$2:$C$433,$C90)</f>
        <v>123568.213577357</v>
      </c>
      <c r="G90" s="39" t="n">
        <f aca="false">SUMIFS(Desconto_Cliente_Mes!$U$2:$U$433,Desconto_Cliente_Mes!$B$2:$B$433,$B90,Desconto_Cliente_Mes!$C$2:$C$433,$C90,Desconto_Cliente_Mes!$K$2:$K$433,"Sim")</f>
        <v>147648.667120088</v>
      </c>
      <c r="H90" s="37" t="n">
        <f aca="false">SUMIFS(Desconto_Cliente_Mes!$D$2:$D$433,Desconto_Cliente_Mes!$B$2:$B$433,$B90,Desconto_Cliente_Mes!$C$2:$C$433,$C90,Desconto_Cliente_Mes!$K$2:$K$433,"Nao",Desconto_Cliente_Mes!$D$2:$D$433,"&gt;0")</f>
        <v>232651.12</v>
      </c>
      <c r="I90" s="42" t="n">
        <f aca="false">IF(AND($E90="Nao",$D90&gt;0,$H90&gt;0),$D90/$H90,0)</f>
        <v>0</v>
      </c>
      <c r="J90" s="40" t="n">
        <f aca="false">$I90*$G90</f>
        <v>0</v>
      </c>
      <c r="K90" s="40" t="n">
        <f aca="false">$J90-$F90</f>
        <v>-123568.213577357</v>
      </c>
      <c r="L90" s="27" t="str">
        <f aca="false">IF($D90=0,"Sem embarque",IF($K90&gt;0,"Recebe","Paga"))</f>
        <v>Paga</v>
      </c>
    </row>
    <row r="91" customFormat="false" ht="15" hidden="false" customHeight="false" outlineLevel="0" collapsed="false">
      <c r="A91" s="27" t="s">
        <v>41</v>
      </c>
      <c r="B91" s="27" t="s">
        <v>63</v>
      </c>
      <c r="C91" s="27" t="s">
        <v>111</v>
      </c>
      <c r="D91" s="34" t="n">
        <f aca="false">SUMIFS(Desconto_Cliente_Mes!$D$2:$D$433,Desconto_Cliente_Mes!$A$2:$A$433,$A91,Desconto_Cliente_Mes!$B$2:$B$433,$B91,Desconto_Cliente_Mes!$C$2:$C$433,$C91)</f>
        <v>41497.14</v>
      </c>
      <c r="E91" s="37" t="str">
        <f aca="false">INDEX(Desconto_Cliente_Mes!$K$2:$K$433,MATCH($A91&amp;"|"&amp;$B91&amp;"|"&amp;$C91,Desconto_Cliente_Mes!$W$2:$W$433,0))</f>
        <v>Nao</v>
      </c>
      <c r="F91" s="39" t="n">
        <f aca="false">SUMIFS(Desconto_Cliente_Mes!$U$2:$U$433,Desconto_Cliente_Mes!$A$2:$A$433,$A91,Desconto_Cliente_Mes!$B$2:$B$433,$B91,Desconto_Cliente_Mes!$C$2:$C$433,$C91)</f>
        <v>0</v>
      </c>
      <c r="G91" s="39" t="n">
        <f aca="false">SUMIFS(Desconto_Cliente_Mes!$U$2:$U$433,Desconto_Cliente_Mes!$B$2:$B$433,$B91,Desconto_Cliente_Mes!$C$2:$C$433,$C91,Desconto_Cliente_Mes!$K$2:$K$433,"Sim")</f>
        <v>31621.0546248943</v>
      </c>
      <c r="H91" s="37" t="n">
        <f aca="false">SUMIFS(Desconto_Cliente_Mes!$D$2:$D$433,Desconto_Cliente_Mes!$B$2:$B$433,$B91,Desconto_Cliente_Mes!$C$2:$C$433,$C91,Desconto_Cliente_Mes!$K$2:$K$433,"Nao",Desconto_Cliente_Mes!$D$2:$D$433,"&gt;0")</f>
        <v>127871.4</v>
      </c>
      <c r="I91" s="42" t="n">
        <f aca="false">IF(AND($E91="Nao",$D91&gt;0,$H91&gt;0),$D91/$H91,0)</f>
        <v>0.324522449898883</v>
      </c>
      <c r="J91" s="40" t="n">
        <f aca="false">$I91*$G91</f>
        <v>10261.7421152571</v>
      </c>
      <c r="K91" s="40" t="n">
        <f aca="false">$J91-$F91</f>
        <v>10261.7421152571</v>
      </c>
      <c r="L91" s="27" t="str">
        <f aca="false">IF($D91=0,"Sem embarque",IF($K91&gt;0,"Recebe","Paga"))</f>
        <v>Recebe</v>
      </c>
    </row>
    <row r="92" customFormat="false" ht="15" hidden="false" customHeight="false" outlineLevel="0" collapsed="false">
      <c r="A92" s="27" t="s">
        <v>41</v>
      </c>
      <c r="B92" s="27" t="s">
        <v>64</v>
      </c>
      <c r="C92" s="27" t="s">
        <v>109</v>
      </c>
      <c r="D92" s="34" t="n">
        <f aca="false">SUMIFS(Desconto_Cliente_Mes!$D$2:$D$433,Desconto_Cliente_Mes!$A$2:$A$433,$A92,Desconto_Cliente_Mes!$B$2:$B$433,$B92,Desconto_Cliente_Mes!$C$2:$C$433,$C92)</f>
        <v>78263.287</v>
      </c>
      <c r="E92" s="37" t="str">
        <f aca="false">INDEX(Desconto_Cliente_Mes!$K$2:$K$433,MATCH($A92&amp;"|"&amp;$B92&amp;"|"&amp;$C92,Desconto_Cliente_Mes!$W$2:$W$433,0))</f>
        <v>Nao</v>
      </c>
      <c r="F92" s="39" t="n">
        <f aca="false">SUMIFS(Desconto_Cliente_Mes!$U$2:$U$433,Desconto_Cliente_Mes!$A$2:$A$433,$A92,Desconto_Cliente_Mes!$B$2:$B$433,$B92,Desconto_Cliente_Mes!$C$2:$C$433,$C92)</f>
        <v>0</v>
      </c>
      <c r="G92" s="39" t="n">
        <f aca="false">SUMIFS(Desconto_Cliente_Mes!$U$2:$U$433,Desconto_Cliente_Mes!$B$2:$B$433,$B92,Desconto_Cliente_Mes!$C$2:$C$433,$C92,Desconto_Cliente_Mes!$K$2:$K$433,"Sim")</f>
        <v>176913.022848898</v>
      </c>
      <c r="H92" s="37" t="n">
        <f aca="false">SUMIFS(Desconto_Cliente_Mes!$D$2:$D$433,Desconto_Cliente_Mes!$B$2:$B$433,$B92,Desconto_Cliente_Mes!$C$2:$C$433,$C92,Desconto_Cliente_Mes!$K$2:$K$433,"Nao",Desconto_Cliente_Mes!$D$2:$D$433,"&gt;0")</f>
        <v>227119.227</v>
      </c>
      <c r="I92" s="42" t="n">
        <f aca="false">IF(AND($E92="Nao",$D92&gt;0,$H92&gt;0),$D92/$H92,0)</f>
        <v>0.344591200110064</v>
      </c>
      <c r="J92" s="40" t="n">
        <f aca="false">$I92*$G92</f>
        <v>60962.6708586009</v>
      </c>
      <c r="K92" s="40" t="n">
        <f aca="false">$J92-$F92</f>
        <v>60962.6708586009</v>
      </c>
      <c r="L92" s="27" t="str">
        <f aca="false">IF($D92=0,"Sem embarque",IF($K92&gt;0,"Recebe","Paga"))</f>
        <v>Recebe</v>
      </c>
    </row>
    <row r="93" customFormat="false" ht="15" hidden="false" customHeight="false" outlineLevel="0" collapsed="false">
      <c r="A93" s="27" t="s">
        <v>41</v>
      </c>
      <c r="B93" s="27" t="s">
        <v>64</v>
      </c>
      <c r="C93" s="27" t="s">
        <v>110</v>
      </c>
      <c r="D93" s="34" t="n">
        <f aca="false">SUMIFS(Desconto_Cliente_Mes!$D$2:$D$433,Desconto_Cliente_Mes!$A$2:$A$433,$A93,Desconto_Cliente_Mes!$B$2:$B$433,$B93,Desconto_Cliente_Mes!$C$2:$C$433,$C93)</f>
        <v>78263.287</v>
      </c>
      <c r="E93" s="37" t="str">
        <f aca="false">INDEX(Desconto_Cliente_Mes!$K$2:$K$433,MATCH($A93&amp;"|"&amp;$B93&amp;"|"&amp;$C93,Desconto_Cliente_Mes!$W$2:$W$433,0))</f>
        <v>Sim</v>
      </c>
      <c r="F93" s="39" t="n">
        <f aca="false">SUMIFS(Desconto_Cliente_Mes!$U$2:$U$433,Desconto_Cliente_Mes!$A$2:$A$433,$A93,Desconto_Cliente_Mes!$B$2:$B$433,$B93,Desconto_Cliente_Mes!$C$2:$C$433,$C93)</f>
        <v>73997.1262673999</v>
      </c>
      <c r="G93" s="39" t="n">
        <f aca="false">SUMIFS(Desconto_Cliente_Mes!$U$2:$U$433,Desconto_Cliente_Mes!$B$2:$B$433,$B93,Desconto_Cliente_Mes!$C$2:$C$433,$C93,Desconto_Cliente_Mes!$K$2:$K$433,"Sim")</f>
        <v>78148.4030953999</v>
      </c>
      <c r="H93" s="37" t="n">
        <f aca="false">SUMIFS(Desconto_Cliente_Mes!$D$2:$D$433,Desconto_Cliente_Mes!$B$2:$B$433,$B93,Desconto_Cliente_Mes!$C$2:$C$433,$C93,Desconto_Cliente_Mes!$K$2:$K$433,"Nao",Desconto_Cliente_Mes!$D$2:$D$433,"&gt;0")</f>
        <v>367366.52</v>
      </c>
      <c r="I93" s="42" t="n">
        <f aca="false">IF(AND($E93="Nao",$D93&gt;0,$H93&gt;0),$D93/$H93,0)</f>
        <v>0</v>
      </c>
      <c r="J93" s="40" t="n">
        <f aca="false">$I93*$G93</f>
        <v>0</v>
      </c>
      <c r="K93" s="40" t="n">
        <f aca="false">$J93-$F93</f>
        <v>-73997.1262673999</v>
      </c>
      <c r="L93" s="27" t="str">
        <f aca="false">IF($D93=0,"Sem embarque",IF($K93&gt;0,"Recebe","Paga"))</f>
        <v>Paga</v>
      </c>
    </row>
    <row r="94" customFormat="false" ht="15" hidden="false" customHeight="false" outlineLevel="0" collapsed="false">
      <c r="A94" s="27" t="s">
        <v>41</v>
      </c>
      <c r="B94" s="27" t="s">
        <v>64</v>
      </c>
      <c r="C94" s="27" t="s">
        <v>111</v>
      </c>
      <c r="D94" s="34" t="n">
        <f aca="false">SUMIFS(Desconto_Cliente_Mes!$D$2:$D$433,Desconto_Cliente_Mes!$A$2:$A$433,$A94,Desconto_Cliente_Mes!$B$2:$B$433,$B94,Desconto_Cliente_Mes!$C$2:$C$433,$C94)</f>
        <v>78263.287</v>
      </c>
      <c r="E94" s="37" t="str">
        <f aca="false">INDEX(Desconto_Cliente_Mes!$K$2:$K$433,MATCH($A94&amp;"|"&amp;$B94&amp;"|"&amp;$C94,Desconto_Cliente_Mes!$W$2:$W$433,0))</f>
        <v>Nao</v>
      </c>
      <c r="F94" s="39" t="n">
        <f aca="false">SUMIFS(Desconto_Cliente_Mes!$U$2:$U$433,Desconto_Cliente_Mes!$A$2:$A$433,$A94,Desconto_Cliente_Mes!$B$2:$B$433,$B94,Desconto_Cliente_Mes!$C$2:$C$433,$C94)</f>
        <v>0</v>
      </c>
      <c r="G94" s="39" t="n">
        <f aca="false">SUMIFS(Desconto_Cliente_Mes!$U$2:$U$433,Desconto_Cliente_Mes!$B$2:$B$433,$B94,Desconto_Cliente_Mes!$C$2:$C$433,$C94,Desconto_Cliente_Mes!$K$2:$K$433,"Sim")</f>
        <v>53234.6338979999</v>
      </c>
      <c r="H94" s="37" t="n">
        <f aca="false">SUMIFS(Desconto_Cliente_Mes!$D$2:$D$433,Desconto_Cliente_Mes!$B$2:$B$433,$B94,Desconto_Cliente_Mes!$C$2:$C$433,$C94,Desconto_Cliente_Mes!$K$2:$K$433,"Nao",Desconto_Cliente_Mes!$D$2:$D$433,"&gt;0")</f>
        <v>250467.867</v>
      </c>
      <c r="I94" s="42" t="n">
        <f aca="false">IF(AND($E94="Nao",$D94&gt;0,$H94&gt;0),$D94/$H94,0)</f>
        <v>0.312468373438099</v>
      </c>
      <c r="J94" s="40" t="n">
        <f aca="false">$I94*$G94</f>
        <v>16634.1394646807</v>
      </c>
      <c r="K94" s="40" t="n">
        <f aca="false">$J94-$F94</f>
        <v>16634.1394646807</v>
      </c>
      <c r="L94" s="27" t="str">
        <f aca="false">IF($D94=0,"Sem embarque",IF($K94&gt;0,"Recebe","Paga"))</f>
        <v>Recebe</v>
      </c>
    </row>
    <row r="95" customFormat="false" ht="15" hidden="false" customHeight="false" outlineLevel="0" collapsed="false">
      <c r="A95" s="27" t="s">
        <v>41</v>
      </c>
      <c r="B95" s="27" t="s">
        <v>65</v>
      </c>
      <c r="C95" s="27" t="s">
        <v>109</v>
      </c>
      <c r="D95" s="34" t="n">
        <f aca="false">SUMIFS(Desconto_Cliente_Mes!$D$2:$D$433,Desconto_Cliente_Mes!$A$2:$A$433,$A95,Desconto_Cliente_Mes!$B$2:$B$433,$B95,Desconto_Cliente_Mes!$C$2:$C$433,$C95)</f>
        <v>77775.89</v>
      </c>
      <c r="E95" s="37" t="str">
        <f aca="false">INDEX(Desconto_Cliente_Mes!$K$2:$K$433,MATCH($A95&amp;"|"&amp;$B95&amp;"|"&amp;$C95,Desconto_Cliente_Mes!$W$2:$W$433,0))</f>
        <v>Nao</v>
      </c>
      <c r="F95" s="39" t="n">
        <f aca="false">SUMIFS(Desconto_Cliente_Mes!$U$2:$U$433,Desconto_Cliente_Mes!$A$2:$A$433,$A95,Desconto_Cliente_Mes!$B$2:$B$433,$B95,Desconto_Cliente_Mes!$C$2:$C$433,$C95)</f>
        <v>0</v>
      </c>
      <c r="G95" s="39" t="n">
        <f aca="false">SUMIFS(Desconto_Cliente_Mes!$U$2:$U$433,Desconto_Cliente_Mes!$B$2:$B$433,$B95,Desconto_Cliente_Mes!$C$2:$C$433,$C95,Desconto_Cliente_Mes!$K$2:$K$433,"Sim")</f>
        <v>264399.663796851</v>
      </c>
      <c r="H95" s="37" t="n">
        <f aca="false">SUMIFS(Desconto_Cliente_Mes!$D$2:$D$433,Desconto_Cliente_Mes!$B$2:$B$433,$B95,Desconto_Cliente_Mes!$C$2:$C$433,$C95,Desconto_Cliente_Mes!$K$2:$K$433,"Nao",Desconto_Cliente_Mes!$D$2:$D$433,"&gt;0")</f>
        <v>166556.65</v>
      </c>
      <c r="I95" s="42" t="n">
        <f aca="false">IF(AND($E95="Nao",$D95&gt;0,$H95&gt;0),$D95/$H95,0)</f>
        <v>0.466963582660915</v>
      </c>
      <c r="J95" s="40" t="n">
        <f aca="false">$I95*$G95</f>
        <v>123465.014260919</v>
      </c>
      <c r="K95" s="40" t="n">
        <f aca="false">$J95-$F95</f>
        <v>123465.014260919</v>
      </c>
      <c r="L95" s="27" t="str">
        <f aca="false">IF($D95=0,"Sem embarque",IF($K95&gt;0,"Recebe","Paga"))</f>
        <v>Recebe</v>
      </c>
    </row>
    <row r="96" customFormat="false" ht="15" hidden="false" customHeight="false" outlineLevel="0" collapsed="false">
      <c r="A96" s="27" t="s">
        <v>41</v>
      </c>
      <c r="B96" s="27" t="s">
        <v>65</v>
      </c>
      <c r="C96" s="27" t="s">
        <v>110</v>
      </c>
      <c r="D96" s="34" t="n">
        <f aca="false">SUMIFS(Desconto_Cliente_Mes!$D$2:$D$433,Desconto_Cliente_Mes!$A$2:$A$433,$A96,Desconto_Cliente_Mes!$B$2:$B$433,$B96,Desconto_Cliente_Mes!$C$2:$C$433,$C96)</f>
        <v>77775.89</v>
      </c>
      <c r="E96" s="37" t="str">
        <f aca="false">INDEX(Desconto_Cliente_Mes!$K$2:$K$433,MATCH($A96&amp;"|"&amp;$B96&amp;"|"&amp;$C96,Desconto_Cliente_Mes!$W$2:$W$433,0))</f>
        <v>Nao</v>
      </c>
      <c r="F96" s="39" t="n">
        <f aca="false">SUMIFS(Desconto_Cliente_Mes!$U$2:$U$433,Desconto_Cliente_Mes!$A$2:$A$433,$A96,Desconto_Cliente_Mes!$B$2:$B$433,$B96,Desconto_Cliente_Mes!$C$2:$C$433,$C96)</f>
        <v>0</v>
      </c>
      <c r="G96" s="39" t="n">
        <f aca="false">SUMIFS(Desconto_Cliente_Mes!$U$2:$U$433,Desconto_Cliente_Mes!$B$2:$B$433,$B96,Desconto_Cliente_Mes!$C$2:$C$433,$C96,Desconto_Cliente_Mes!$K$2:$K$433,"Sim")</f>
        <v>54942.617336</v>
      </c>
      <c r="H96" s="37" t="n">
        <f aca="false">SUMIFS(Desconto_Cliente_Mes!$D$2:$D$433,Desconto_Cliente_Mes!$B$2:$B$433,$B96,Desconto_Cliente_Mes!$C$2:$C$433,$C96,Desconto_Cliente_Mes!$K$2:$K$433,"Nao",Desconto_Cliente_Mes!$D$2:$D$433,"&gt;0")</f>
        <v>378160.7</v>
      </c>
      <c r="I96" s="42" t="n">
        <f aca="false">IF(AND($E96="Nao",$D96&gt;0,$H96&gt;0),$D96/$H96,0)</f>
        <v>0.205668886269779</v>
      </c>
      <c r="J96" s="40" t="n">
        <f aca="false">$I96*$G96</f>
        <v>11299.9869162418</v>
      </c>
      <c r="K96" s="40" t="n">
        <f aca="false">$J96-$F96</f>
        <v>11299.9869162418</v>
      </c>
      <c r="L96" s="27" t="str">
        <f aca="false">IF($D96=0,"Sem embarque",IF($K96&gt;0,"Recebe","Paga"))</f>
        <v>Recebe</v>
      </c>
    </row>
    <row r="97" customFormat="false" ht="15" hidden="false" customHeight="false" outlineLevel="0" collapsed="false">
      <c r="A97" s="27" t="s">
        <v>41</v>
      </c>
      <c r="B97" s="27" t="s">
        <v>65</v>
      </c>
      <c r="C97" s="27" t="s">
        <v>111</v>
      </c>
      <c r="D97" s="34" t="n">
        <f aca="false">SUMIFS(Desconto_Cliente_Mes!$D$2:$D$433,Desconto_Cliente_Mes!$A$2:$A$433,$A97,Desconto_Cliente_Mes!$B$2:$B$433,$B97,Desconto_Cliente_Mes!$C$2:$C$433,$C97)</f>
        <v>77775.89</v>
      </c>
      <c r="E97" s="37" t="str">
        <f aca="false">INDEX(Desconto_Cliente_Mes!$K$2:$K$433,MATCH($A97&amp;"|"&amp;$B97&amp;"|"&amp;$C97,Desconto_Cliente_Mes!$W$2:$W$433,0))</f>
        <v>Nao</v>
      </c>
      <c r="F97" s="39" t="n">
        <f aca="false">SUMIFS(Desconto_Cliente_Mes!$U$2:$U$433,Desconto_Cliente_Mes!$A$2:$A$433,$A97,Desconto_Cliente_Mes!$B$2:$B$433,$B97,Desconto_Cliente_Mes!$C$2:$C$433,$C97)</f>
        <v>0</v>
      </c>
      <c r="G97" s="39" t="n">
        <f aca="false">SUMIFS(Desconto_Cliente_Mes!$U$2:$U$433,Desconto_Cliente_Mes!$B$2:$B$433,$B97,Desconto_Cliente_Mes!$C$2:$C$433,$C97,Desconto_Cliente_Mes!$K$2:$K$433,"Sim")</f>
        <v>131995.749729693</v>
      </c>
      <c r="H97" s="37" t="n">
        <f aca="false">SUMIFS(Desconto_Cliente_Mes!$D$2:$D$433,Desconto_Cliente_Mes!$B$2:$B$433,$B97,Desconto_Cliente_Mes!$C$2:$C$433,$C97,Desconto_Cliente_Mes!$K$2:$K$433,"Nao",Desconto_Cliente_Mes!$D$2:$D$433,"&gt;0")</f>
        <v>132693.79</v>
      </c>
      <c r="I97" s="42" t="n">
        <f aca="false">IF(AND($E97="Nao",$D97&gt;0,$H97&gt;0),$D97/$H97,0)</f>
        <v>0.586130594355621</v>
      </c>
      <c r="J97" s="40" t="n">
        <f aca="false">$I97*$G97</f>
        <v>77366.7472414807</v>
      </c>
      <c r="K97" s="40" t="n">
        <f aca="false">$J97-$F97</f>
        <v>77366.7472414807</v>
      </c>
      <c r="L97" s="27" t="str">
        <f aca="false">IF($D97=0,"Sem embarque",IF($K97&gt;0,"Recebe","Paga"))</f>
        <v>Recebe</v>
      </c>
    </row>
    <row r="98" customFormat="false" ht="15" hidden="false" customHeight="false" outlineLevel="0" collapsed="false">
      <c r="A98" s="27" t="s">
        <v>41</v>
      </c>
      <c r="B98" s="27" t="s">
        <v>66</v>
      </c>
      <c r="C98" s="27" t="s">
        <v>109</v>
      </c>
      <c r="D98" s="34" t="n">
        <f aca="false">SUMIFS(Desconto_Cliente_Mes!$D$2:$D$433,Desconto_Cliente_Mes!$A$2:$A$433,$A98,Desconto_Cliente_Mes!$B$2:$B$433,$B98,Desconto_Cliente_Mes!$C$2:$C$433,$C98)</f>
        <v>4163.45</v>
      </c>
      <c r="E98" s="37" t="str">
        <f aca="false">INDEX(Desconto_Cliente_Mes!$K$2:$K$433,MATCH($A98&amp;"|"&amp;$B98&amp;"|"&amp;$C98,Desconto_Cliente_Mes!$W$2:$W$433,0))</f>
        <v>Nao</v>
      </c>
      <c r="F98" s="39" t="n">
        <f aca="false">SUMIFS(Desconto_Cliente_Mes!$U$2:$U$433,Desconto_Cliente_Mes!$A$2:$A$433,$A98,Desconto_Cliente_Mes!$B$2:$B$433,$B98,Desconto_Cliente_Mes!$C$2:$C$433,$C98)</f>
        <v>0</v>
      </c>
      <c r="G98" s="39" t="n">
        <f aca="false">SUMIFS(Desconto_Cliente_Mes!$U$2:$U$433,Desconto_Cliente_Mes!$B$2:$B$433,$B98,Desconto_Cliente_Mes!$C$2:$C$433,$C98,Desconto_Cliente_Mes!$K$2:$K$433,"Sim")</f>
        <v>26408.1404587724</v>
      </c>
      <c r="H98" s="37" t="n">
        <f aca="false">SUMIFS(Desconto_Cliente_Mes!$D$2:$D$433,Desconto_Cliente_Mes!$B$2:$B$433,$B98,Desconto_Cliente_Mes!$C$2:$C$433,$C98,Desconto_Cliente_Mes!$K$2:$K$433,"Nao",Desconto_Cliente_Mes!$D$2:$D$433,"&gt;0")</f>
        <v>25249.51</v>
      </c>
      <c r="I98" s="42" t="n">
        <f aca="false">IF(AND($E98="Nao",$D98&gt;0,$H98&gt;0),$D98/$H98,0)</f>
        <v>0.16489230880124</v>
      </c>
      <c r="J98" s="40" t="n">
        <f aca="false">$I98*$G98</f>
        <v>4354.49925139441</v>
      </c>
      <c r="K98" s="40" t="n">
        <f aca="false">$J98-$F98</f>
        <v>4354.49925139441</v>
      </c>
      <c r="L98" s="27" t="str">
        <f aca="false">IF($D98=0,"Sem embarque",IF($K98&gt;0,"Recebe","Paga"))</f>
        <v>Recebe</v>
      </c>
    </row>
    <row r="99" customFormat="false" ht="15" hidden="false" customHeight="false" outlineLevel="0" collapsed="false">
      <c r="A99" s="27" t="s">
        <v>41</v>
      </c>
      <c r="B99" s="27" t="s">
        <v>66</v>
      </c>
      <c r="C99" s="27" t="s">
        <v>110</v>
      </c>
      <c r="D99" s="34" t="n">
        <f aca="false">SUMIFS(Desconto_Cliente_Mes!$D$2:$D$433,Desconto_Cliente_Mes!$A$2:$A$433,$A99,Desconto_Cliente_Mes!$B$2:$B$433,$B99,Desconto_Cliente_Mes!$C$2:$C$433,$C99)</f>
        <v>4163.45</v>
      </c>
      <c r="E99" s="37" t="str">
        <f aca="false">INDEX(Desconto_Cliente_Mes!$K$2:$K$433,MATCH($A99&amp;"|"&amp;$B99&amp;"|"&amp;$C99,Desconto_Cliente_Mes!$W$2:$W$433,0))</f>
        <v>Sim</v>
      </c>
      <c r="F99" s="39" t="n">
        <f aca="false">SUMIFS(Desconto_Cliente_Mes!$U$2:$U$433,Desconto_Cliente_Mes!$A$2:$A$433,$A99,Desconto_Cliente_Mes!$B$2:$B$433,$B99,Desconto_Cliente_Mes!$C$2:$C$433,$C99)</f>
        <v>1628.74163999999</v>
      </c>
      <c r="G99" s="39" t="n">
        <f aca="false">SUMIFS(Desconto_Cliente_Mes!$U$2:$U$433,Desconto_Cliente_Mes!$B$2:$B$433,$B99,Desconto_Cliente_Mes!$C$2:$C$433,$C99,Desconto_Cliente_Mes!$K$2:$K$433,"Sim")</f>
        <v>20574.688366</v>
      </c>
      <c r="H99" s="37" t="n">
        <f aca="false">SUMIFS(Desconto_Cliente_Mes!$D$2:$D$433,Desconto_Cliente_Mes!$B$2:$B$433,$B99,Desconto_Cliente_Mes!$C$2:$C$433,$C99,Desconto_Cliente_Mes!$K$2:$K$433,"Nao",Desconto_Cliente_Mes!$D$2:$D$433,"&gt;0")</f>
        <v>36785.35</v>
      </c>
      <c r="I99" s="42" t="n">
        <f aca="false">IF(AND($E99="Nao",$D99&gt;0,$H99&gt;0),$D99/$H99,0)</f>
        <v>0</v>
      </c>
      <c r="J99" s="40" t="n">
        <f aca="false">$I99*$G99</f>
        <v>0</v>
      </c>
      <c r="K99" s="40" t="n">
        <f aca="false">$J99-$F99</f>
        <v>-1628.74163999999</v>
      </c>
      <c r="L99" s="27" t="str">
        <f aca="false">IF($D99=0,"Sem embarque",IF($K99&gt;0,"Recebe","Paga"))</f>
        <v>Paga</v>
      </c>
    </row>
    <row r="100" customFormat="false" ht="15" hidden="false" customHeight="false" outlineLevel="0" collapsed="false">
      <c r="A100" s="27" t="s">
        <v>41</v>
      </c>
      <c r="B100" s="27" t="s">
        <v>66</v>
      </c>
      <c r="C100" s="27" t="s">
        <v>111</v>
      </c>
      <c r="D100" s="34" t="n">
        <f aca="false">SUMIFS(Desconto_Cliente_Mes!$D$2:$D$433,Desconto_Cliente_Mes!$A$2:$A$433,$A100,Desconto_Cliente_Mes!$B$2:$B$433,$B100,Desconto_Cliente_Mes!$C$2:$C$433,$C100)</f>
        <v>4163.45</v>
      </c>
      <c r="E100" s="37" t="str">
        <f aca="false">INDEX(Desconto_Cliente_Mes!$K$2:$K$433,MATCH($A100&amp;"|"&amp;$B100&amp;"|"&amp;$C100,Desconto_Cliente_Mes!$W$2:$W$433,0))</f>
        <v>Nao</v>
      </c>
      <c r="F100" s="39" t="n">
        <f aca="false">SUMIFS(Desconto_Cliente_Mes!$U$2:$U$433,Desconto_Cliente_Mes!$A$2:$A$433,$A100,Desconto_Cliente_Mes!$B$2:$B$433,$B100,Desconto_Cliente_Mes!$C$2:$C$433,$C100)</f>
        <v>0</v>
      </c>
      <c r="G100" s="39" t="n">
        <f aca="false">SUMIFS(Desconto_Cliente_Mes!$U$2:$U$433,Desconto_Cliente_Mes!$B$2:$B$433,$B100,Desconto_Cliente_Mes!$C$2:$C$433,$C100,Desconto_Cliente_Mes!$K$2:$K$433,"Sim")</f>
        <v>12224.7687289319</v>
      </c>
      <c r="H100" s="37" t="n">
        <f aca="false">SUMIFS(Desconto_Cliente_Mes!$D$2:$D$433,Desconto_Cliente_Mes!$B$2:$B$433,$B100,Desconto_Cliente_Mes!$C$2:$C$433,$C100,Desconto_Cliente_Mes!$K$2:$K$433,"Nao",Desconto_Cliente_Mes!$D$2:$D$433,"&gt;0")</f>
        <v>41847.52</v>
      </c>
      <c r="I100" s="42" t="n">
        <f aca="false">IF(AND($E100="Nao",$D100&gt;0,$H100&gt;0),$D100/$H100,0)</f>
        <v>0.099490961471552</v>
      </c>
      <c r="J100" s="40" t="n">
        <f aca="false">$I100*$G100</f>
        <v>1216.2539946088</v>
      </c>
      <c r="K100" s="40" t="n">
        <f aca="false">$J100-$F100</f>
        <v>1216.2539946088</v>
      </c>
      <c r="L100" s="27" t="str">
        <f aca="false">IF($D100=0,"Sem embarque",IF($K100&gt;0,"Recebe","Paga"))</f>
        <v>Recebe</v>
      </c>
    </row>
    <row r="101" customFormat="false" ht="15" hidden="false" customHeight="false" outlineLevel="0" collapsed="false">
      <c r="A101" s="27" t="s">
        <v>41</v>
      </c>
      <c r="B101" s="27" t="s">
        <v>67</v>
      </c>
      <c r="C101" s="27" t="s">
        <v>109</v>
      </c>
      <c r="D101" s="34" t="n">
        <f aca="false">SUMIFS(Desconto_Cliente_Mes!$D$2:$D$433,Desconto_Cliente_Mes!$A$2:$A$433,$A101,Desconto_Cliente_Mes!$B$2:$B$433,$B101,Desconto_Cliente_Mes!$C$2:$C$433,$C101)</f>
        <v>0</v>
      </c>
      <c r="E101" s="37" t="str">
        <f aca="false">INDEX(Desconto_Cliente_Mes!$K$2:$K$433,MATCH($A101&amp;"|"&amp;$B101&amp;"|"&amp;$C101,Desconto_Cliente_Mes!$W$2:$W$433,0))</f>
        <v/>
      </c>
      <c r="F101" s="39" t="n">
        <f aca="false">SUMIFS(Desconto_Cliente_Mes!$U$2:$U$433,Desconto_Cliente_Mes!$A$2:$A$433,$A101,Desconto_Cliente_Mes!$B$2:$B$433,$B101,Desconto_Cliente_Mes!$C$2:$C$433,$C101)</f>
        <v>0</v>
      </c>
      <c r="G101" s="39" t="n">
        <f aca="false">SUMIFS(Desconto_Cliente_Mes!$U$2:$U$433,Desconto_Cliente_Mes!$B$2:$B$433,$B101,Desconto_Cliente_Mes!$C$2:$C$433,$C101,Desconto_Cliente_Mes!$K$2:$K$433,"Sim")</f>
        <v>0</v>
      </c>
      <c r="H101" s="37" t="n">
        <f aca="false">SUMIFS(Desconto_Cliente_Mes!$D$2:$D$433,Desconto_Cliente_Mes!$B$2:$B$433,$B101,Desconto_Cliente_Mes!$C$2:$C$433,$C101,Desconto_Cliente_Mes!$K$2:$K$433,"Nao",Desconto_Cliente_Mes!$D$2:$D$433,"&gt;0")</f>
        <v>0</v>
      </c>
      <c r="I101" s="42" t="n">
        <f aca="false">IF(AND($E101="Nao",$D101&gt;0,$H101&gt;0),$D101/$H101,0)</f>
        <v>0</v>
      </c>
      <c r="J101" s="40" t="n">
        <f aca="false">$I101*$G101</f>
        <v>0</v>
      </c>
      <c r="K101" s="40" t="n">
        <f aca="false">$J101-$F101</f>
        <v>0</v>
      </c>
      <c r="L101" s="27" t="str">
        <f aca="false">IF($D101=0,"Sem embarque",IF($K101&gt;0,"Recebe","Paga"))</f>
        <v>Sem embarque</v>
      </c>
    </row>
    <row r="102" customFormat="false" ht="15" hidden="false" customHeight="false" outlineLevel="0" collapsed="false">
      <c r="A102" s="27" t="s">
        <v>41</v>
      </c>
      <c r="B102" s="27" t="s">
        <v>67</v>
      </c>
      <c r="C102" s="27" t="s">
        <v>110</v>
      </c>
      <c r="D102" s="34" t="n">
        <f aca="false">SUMIFS(Desconto_Cliente_Mes!$D$2:$D$433,Desconto_Cliente_Mes!$A$2:$A$433,$A102,Desconto_Cliente_Mes!$B$2:$B$433,$B102,Desconto_Cliente_Mes!$C$2:$C$433,$C102)</f>
        <v>0</v>
      </c>
      <c r="E102" s="37" t="str">
        <f aca="false">INDEX(Desconto_Cliente_Mes!$K$2:$K$433,MATCH($A102&amp;"|"&amp;$B102&amp;"|"&amp;$C102,Desconto_Cliente_Mes!$W$2:$W$433,0))</f>
        <v/>
      </c>
      <c r="F102" s="39" t="n">
        <f aca="false">SUMIFS(Desconto_Cliente_Mes!$U$2:$U$433,Desconto_Cliente_Mes!$A$2:$A$433,$A102,Desconto_Cliente_Mes!$B$2:$B$433,$B102,Desconto_Cliente_Mes!$C$2:$C$433,$C102)</f>
        <v>0</v>
      </c>
      <c r="G102" s="39" t="n">
        <f aca="false">SUMIFS(Desconto_Cliente_Mes!$U$2:$U$433,Desconto_Cliente_Mes!$B$2:$B$433,$B102,Desconto_Cliente_Mes!$C$2:$C$433,$C102,Desconto_Cliente_Mes!$K$2:$K$433,"Sim")</f>
        <v>0</v>
      </c>
      <c r="H102" s="37" t="n">
        <f aca="false">SUMIFS(Desconto_Cliente_Mes!$D$2:$D$433,Desconto_Cliente_Mes!$B$2:$B$433,$B102,Desconto_Cliente_Mes!$C$2:$C$433,$C102,Desconto_Cliente_Mes!$K$2:$K$433,"Nao",Desconto_Cliente_Mes!$D$2:$D$433,"&gt;0")</f>
        <v>0</v>
      </c>
      <c r="I102" s="42" t="n">
        <f aca="false">IF(AND($E102="Nao",$D102&gt;0,$H102&gt;0),$D102/$H102,0)</f>
        <v>0</v>
      </c>
      <c r="J102" s="40" t="n">
        <f aca="false">$I102*$G102</f>
        <v>0</v>
      </c>
      <c r="K102" s="40" t="n">
        <f aca="false">$J102-$F102</f>
        <v>0</v>
      </c>
      <c r="L102" s="27" t="str">
        <f aca="false">IF($D102=0,"Sem embarque",IF($K102&gt;0,"Recebe","Paga"))</f>
        <v>Sem embarque</v>
      </c>
    </row>
    <row r="103" customFormat="false" ht="15" hidden="false" customHeight="false" outlineLevel="0" collapsed="false">
      <c r="A103" s="27" t="s">
        <v>41</v>
      </c>
      <c r="B103" s="27" t="s">
        <v>67</v>
      </c>
      <c r="C103" s="27" t="s">
        <v>111</v>
      </c>
      <c r="D103" s="34" t="n">
        <f aca="false">SUMIFS(Desconto_Cliente_Mes!$D$2:$D$433,Desconto_Cliente_Mes!$A$2:$A$433,$A103,Desconto_Cliente_Mes!$B$2:$B$433,$B103,Desconto_Cliente_Mes!$C$2:$C$433,$C103)</f>
        <v>0</v>
      </c>
      <c r="E103" s="37" t="str">
        <f aca="false">INDEX(Desconto_Cliente_Mes!$K$2:$K$433,MATCH($A103&amp;"|"&amp;$B103&amp;"|"&amp;$C103,Desconto_Cliente_Mes!$W$2:$W$433,0))</f>
        <v/>
      </c>
      <c r="F103" s="39" t="n">
        <f aca="false">SUMIFS(Desconto_Cliente_Mes!$U$2:$U$433,Desconto_Cliente_Mes!$A$2:$A$433,$A103,Desconto_Cliente_Mes!$B$2:$B$433,$B103,Desconto_Cliente_Mes!$C$2:$C$433,$C103)</f>
        <v>0</v>
      </c>
      <c r="G103" s="39" t="n">
        <f aca="false">SUMIFS(Desconto_Cliente_Mes!$U$2:$U$433,Desconto_Cliente_Mes!$B$2:$B$433,$B103,Desconto_Cliente_Mes!$C$2:$C$433,$C103,Desconto_Cliente_Mes!$K$2:$K$433,"Sim")</f>
        <v>0</v>
      </c>
      <c r="H103" s="37" t="n">
        <f aca="false">SUMIFS(Desconto_Cliente_Mes!$D$2:$D$433,Desconto_Cliente_Mes!$B$2:$B$433,$B103,Desconto_Cliente_Mes!$C$2:$C$433,$C103,Desconto_Cliente_Mes!$K$2:$K$433,"Nao",Desconto_Cliente_Mes!$D$2:$D$433,"&gt;0")</f>
        <v>0</v>
      </c>
      <c r="I103" s="42" t="n">
        <f aca="false">IF(AND($E103="Nao",$D103&gt;0,$H103&gt;0),$D103/$H103,0)</f>
        <v>0</v>
      </c>
      <c r="J103" s="40" t="n">
        <f aca="false">$I103*$G103</f>
        <v>0</v>
      </c>
      <c r="K103" s="40" t="n">
        <f aca="false">$J103-$F103</f>
        <v>0</v>
      </c>
      <c r="L103" s="27" t="str">
        <f aca="false">IF($D103=0,"Sem embarque",IF($K103&gt;0,"Recebe","Paga"))</f>
        <v>Sem embarque</v>
      </c>
    </row>
    <row r="104" customFormat="false" ht="15" hidden="false" customHeight="false" outlineLevel="0" collapsed="false">
      <c r="A104" s="27" t="s">
        <v>41</v>
      </c>
      <c r="B104" s="27" t="s">
        <v>68</v>
      </c>
      <c r="C104" s="27" t="s">
        <v>109</v>
      </c>
      <c r="D104" s="34" t="n">
        <f aca="false">SUMIFS(Desconto_Cliente_Mes!$D$2:$D$433,Desconto_Cliente_Mes!$A$2:$A$433,$A104,Desconto_Cliente_Mes!$B$2:$B$433,$B104,Desconto_Cliente_Mes!$C$2:$C$433,$C104)</f>
        <v>0</v>
      </c>
      <c r="E104" s="37" t="str">
        <f aca="false">INDEX(Desconto_Cliente_Mes!$K$2:$K$433,MATCH($A104&amp;"|"&amp;$B104&amp;"|"&amp;$C104,Desconto_Cliente_Mes!$W$2:$W$433,0))</f>
        <v/>
      </c>
      <c r="F104" s="39" t="n">
        <f aca="false">SUMIFS(Desconto_Cliente_Mes!$U$2:$U$433,Desconto_Cliente_Mes!$A$2:$A$433,$A104,Desconto_Cliente_Mes!$B$2:$B$433,$B104,Desconto_Cliente_Mes!$C$2:$C$433,$C104)</f>
        <v>0</v>
      </c>
      <c r="G104" s="39" t="n">
        <f aca="false">SUMIFS(Desconto_Cliente_Mes!$U$2:$U$433,Desconto_Cliente_Mes!$B$2:$B$433,$B104,Desconto_Cliente_Mes!$C$2:$C$433,$C104,Desconto_Cliente_Mes!$K$2:$K$433,"Sim")</f>
        <v>0</v>
      </c>
      <c r="H104" s="37" t="n">
        <f aca="false">SUMIFS(Desconto_Cliente_Mes!$D$2:$D$433,Desconto_Cliente_Mes!$B$2:$B$433,$B104,Desconto_Cliente_Mes!$C$2:$C$433,$C104,Desconto_Cliente_Mes!$K$2:$K$433,"Nao",Desconto_Cliente_Mes!$D$2:$D$433,"&gt;0")</f>
        <v>0</v>
      </c>
      <c r="I104" s="42" t="n">
        <f aca="false">IF(AND($E104="Nao",$D104&gt;0,$H104&gt;0),$D104/$H104,0)</f>
        <v>0</v>
      </c>
      <c r="J104" s="40" t="n">
        <f aca="false">$I104*$G104</f>
        <v>0</v>
      </c>
      <c r="K104" s="40" t="n">
        <f aca="false">$J104-$F104</f>
        <v>0</v>
      </c>
      <c r="L104" s="27" t="str">
        <f aca="false">IF($D104=0,"Sem embarque",IF($K104&gt;0,"Recebe","Paga"))</f>
        <v>Sem embarque</v>
      </c>
    </row>
    <row r="105" customFormat="false" ht="15" hidden="false" customHeight="false" outlineLevel="0" collapsed="false">
      <c r="A105" s="27" t="s">
        <v>41</v>
      </c>
      <c r="B105" s="27" t="s">
        <v>68</v>
      </c>
      <c r="C105" s="27" t="s">
        <v>110</v>
      </c>
      <c r="D105" s="34" t="n">
        <f aca="false">SUMIFS(Desconto_Cliente_Mes!$D$2:$D$433,Desconto_Cliente_Mes!$A$2:$A$433,$A105,Desconto_Cliente_Mes!$B$2:$B$433,$B105,Desconto_Cliente_Mes!$C$2:$C$433,$C105)</f>
        <v>0</v>
      </c>
      <c r="E105" s="37" t="str">
        <f aca="false">INDEX(Desconto_Cliente_Mes!$K$2:$K$433,MATCH($A105&amp;"|"&amp;$B105&amp;"|"&amp;$C105,Desconto_Cliente_Mes!$W$2:$W$433,0))</f>
        <v/>
      </c>
      <c r="F105" s="39" t="n">
        <f aca="false">SUMIFS(Desconto_Cliente_Mes!$U$2:$U$433,Desconto_Cliente_Mes!$A$2:$A$433,$A105,Desconto_Cliente_Mes!$B$2:$B$433,$B105,Desconto_Cliente_Mes!$C$2:$C$433,$C105)</f>
        <v>0</v>
      </c>
      <c r="G105" s="39" t="n">
        <f aca="false">SUMIFS(Desconto_Cliente_Mes!$U$2:$U$433,Desconto_Cliente_Mes!$B$2:$B$433,$B105,Desconto_Cliente_Mes!$C$2:$C$433,$C105,Desconto_Cliente_Mes!$K$2:$K$433,"Sim")</f>
        <v>0</v>
      </c>
      <c r="H105" s="37" t="n">
        <f aca="false">SUMIFS(Desconto_Cliente_Mes!$D$2:$D$433,Desconto_Cliente_Mes!$B$2:$B$433,$B105,Desconto_Cliente_Mes!$C$2:$C$433,$C105,Desconto_Cliente_Mes!$K$2:$K$433,"Nao",Desconto_Cliente_Mes!$D$2:$D$433,"&gt;0")</f>
        <v>0</v>
      </c>
      <c r="I105" s="42" t="n">
        <f aca="false">IF(AND($E105="Nao",$D105&gt;0,$H105&gt;0),$D105/$H105,0)</f>
        <v>0</v>
      </c>
      <c r="J105" s="40" t="n">
        <f aca="false">$I105*$G105</f>
        <v>0</v>
      </c>
      <c r="K105" s="40" t="n">
        <f aca="false">$J105-$F105</f>
        <v>0</v>
      </c>
      <c r="L105" s="27" t="str">
        <f aca="false">IF($D105=0,"Sem embarque",IF($K105&gt;0,"Recebe","Paga"))</f>
        <v>Sem embarque</v>
      </c>
    </row>
    <row r="106" customFormat="false" ht="15" hidden="false" customHeight="false" outlineLevel="0" collapsed="false">
      <c r="A106" s="27" t="s">
        <v>41</v>
      </c>
      <c r="B106" s="27" t="s">
        <v>68</v>
      </c>
      <c r="C106" s="27" t="s">
        <v>111</v>
      </c>
      <c r="D106" s="34" t="n">
        <f aca="false">SUMIFS(Desconto_Cliente_Mes!$D$2:$D$433,Desconto_Cliente_Mes!$A$2:$A$433,$A106,Desconto_Cliente_Mes!$B$2:$B$433,$B106,Desconto_Cliente_Mes!$C$2:$C$433,$C106)</f>
        <v>0</v>
      </c>
      <c r="E106" s="37" t="str">
        <f aca="false">INDEX(Desconto_Cliente_Mes!$K$2:$K$433,MATCH($A106&amp;"|"&amp;$B106&amp;"|"&amp;$C106,Desconto_Cliente_Mes!$W$2:$W$433,0))</f>
        <v/>
      </c>
      <c r="F106" s="39" t="n">
        <f aca="false">SUMIFS(Desconto_Cliente_Mes!$U$2:$U$433,Desconto_Cliente_Mes!$A$2:$A$433,$A106,Desconto_Cliente_Mes!$B$2:$B$433,$B106,Desconto_Cliente_Mes!$C$2:$C$433,$C106)</f>
        <v>0</v>
      </c>
      <c r="G106" s="39" t="n">
        <f aca="false">SUMIFS(Desconto_Cliente_Mes!$U$2:$U$433,Desconto_Cliente_Mes!$B$2:$B$433,$B106,Desconto_Cliente_Mes!$C$2:$C$433,$C106,Desconto_Cliente_Mes!$K$2:$K$433,"Sim")</f>
        <v>0</v>
      </c>
      <c r="H106" s="37" t="n">
        <f aca="false">SUMIFS(Desconto_Cliente_Mes!$D$2:$D$433,Desconto_Cliente_Mes!$B$2:$B$433,$B106,Desconto_Cliente_Mes!$C$2:$C$433,$C106,Desconto_Cliente_Mes!$K$2:$K$433,"Nao",Desconto_Cliente_Mes!$D$2:$D$433,"&gt;0")</f>
        <v>0</v>
      </c>
      <c r="I106" s="42" t="n">
        <f aca="false">IF(AND($E106="Nao",$D106&gt;0,$H106&gt;0),$D106/$H106,0)</f>
        <v>0</v>
      </c>
      <c r="J106" s="40" t="n">
        <f aca="false">$I106*$G106</f>
        <v>0</v>
      </c>
      <c r="K106" s="40" t="n">
        <f aca="false">$J106-$F106</f>
        <v>0</v>
      </c>
      <c r="L106" s="27" t="str">
        <f aca="false">IF($D106=0,"Sem embarque",IF($K106&gt;0,"Recebe","Paga"))</f>
        <v>Sem embarque</v>
      </c>
    </row>
    <row r="107" customFormat="false" ht="15" hidden="false" customHeight="false" outlineLevel="0" collapsed="false">
      <c r="A107" s="27" t="s">
        <v>41</v>
      </c>
      <c r="B107" s="27" t="s">
        <v>69</v>
      </c>
      <c r="C107" s="27" t="s">
        <v>109</v>
      </c>
      <c r="D107" s="34" t="n">
        <f aca="false">SUMIFS(Desconto_Cliente_Mes!$D$2:$D$433,Desconto_Cliente_Mes!$A$2:$A$433,$A107,Desconto_Cliente_Mes!$B$2:$B$433,$B107,Desconto_Cliente_Mes!$C$2:$C$433,$C107)</f>
        <v>0</v>
      </c>
      <c r="E107" s="37" t="str">
        <f aca="false">INDEX(Desconto_Cliente_Mes!$K$2:$K$433,MATCH($A107&amp;"|"&amp;$B107&amp;"|"&amp;$C107,Desconto_Cliente_Mes!$W$2:$W$433,0))</f>
        <v/>
      </c>
      <c r="F107" s="39" t="n">
        <f aca="false">SUMIFS(Desconto_Cliente_Mes!$U$2:$U$433,Desconto_Cliente_Mes!$A$2:$A$433,$A107,Desconto_Cliente_Mes!$B$2:$B$433,$B107,Desconto_Cliente_Mes!$C$2:$C$433,$C107)</f>
        <v>0</v>
      </c>
      <c r="G107" s="39" t="n">
        <f aca="false">SUMIFS(Desconto_Cliente_Mes!$U$2:$U$433,Desconto_Cliente_Mes!$B$2:$B$433,$B107,Desconto_Cliente_Mes!$C$2:$C$433,$C107,Desconto_Cliente_Mes!$K$2:$K$433,"Sim")</f>
        <v>0</v>
      </c>
      <c r="H107" s="37" t="n">
        <f aca="false">SUMIFS(Desconto_Cliente_Mes!$D$2:$D$433,Desconto_Cliente_Mes!$B$2:$B$433,$B107,Desconto_Cliente_Mes!$C$2:$C$433,$C107,Desconto_Cliente_Mes!$K$2:$K$433,"Nao",Desconto_Cliente_Mes!$D$2:$D$433,"&gt;0")</f>
        <v>0</v>
      </c>
      <c r="I107" s="42" t="n">
        <f aca="false">IF(AND($E107="Nao",$D107&gt;0,$H107&gt;0),$D107/$H107,0)</f>
        <v>0</v>
      </c>
      <c r="J107" s="40" t="n">
        <f aca="false">$I107*$G107</f>
        <v>0</v>
      </c>
      <c r="K107" s="40" t="n">
        <f aca="false">$J107-$F107</f>
        <v>0</v>
      </c>
      <c r="L107" s="27" t="str">
        <f aca="false">IF($D107=0,"Sem embarque",IF($K107&gt;0,"Recebe","Paga"))</f>
        <v>Sem embarque</v>
      </c>
    </row>
    <row r="108" customFormat="false" ht="15" hidden="false" customHeight="false" outlineLevel="0" collapsed="false">
      <c r="A108" s="27" t="s">
        <v>41</v>
      </c>
      <c r="B108" s="27" t="s">
        <v>69</v>
      </c>
      <c r="C108" s="27" t="s">
        <v>110</v>
      </c>
      <c r="D108" s="34" t="n">
        <f aca="false">SUMIFS(Desconto_Cliente_Mes!$D$2:$D$433,Desconto_Cliente_Mes!$A$2:$A$433,$A108,Desconto_Cliente_Mes!$B$2:$B$433,$B108,Desconto_Cliente_Mes!$C$2:$C$433,$C108)</f>
        <v>0</v>
      </c>
      <c r="E108" s="37" t="str">
        <f aca="false">INDEX(Desconto_Cliente_Mes!$K$2:$K$433,MATCH($A108&amp;"|"&amp;$B108&amp;"|"&amp;$C108,Desconto_Cliente_Mes!$W$2:$W$433,0))</f>
        <v/>
      </c>
      <c r="F108" s="39" t="n">
        <f aca="false">SUMIFS(Desconto_Cliente_Mes!$U$2:$U$433,Desconto_Cliente_Mes!$A$2:$A$433,$A108,Desconto_Cliente_Mes!$B$2:$B$433,$B108,Desconto_Cliente_Mes!$C$2:$C$433,$C108)</f>
        <v>0</v>
      </c>
      <c r="G108" s="39" t="n">
        <f aca="false">SUMIFS(Desconto_Cliente_Mes!$U$2:$U$433,Desconto_Cliente_Mes!$B$2:$B$433,$B108,Desconto_Cliente_Mes!$C$2:$C$433,$C108,Desconto_Cliente_Mes!$K$2:$K$433,"Sim")</f>
        <v>0</v>
      </c>
      <c r="H108" s="37" t="n">
        <f aca="false">SUMIFS(Desconto_Cliente_Mes!$D$2:$D$433,Desconto_Cliente_Mes!$B$2:$B$433,$B108,Desconto_Cliente_Mes!$C$2:$C$433,$C108,Desconto_Cliente_Mes!$K$2:$K$433,"Nao",Desconto_Cliente_Mes!$D$2:$D$433,"&gt;0")</f>
        <v>0</v>
      </c>
      <c r="I108" s="42" t="n">
        <f aca="false">IF(AND($E108="Nao",$D108&gt;0,$H108&gt;0),$D108/$H108,0)</f>
        <v>0</v>
      </c>
      <c r="J108" s="40" t="n">
        <f aca="false">$I108*$G108</f>
        <v>0</v>
      </c>
      <c r="K108" s="40" t="n">
        <f aca="false">$J108-$F108</f>
        <v>0</v>
      </c>
      <c r="L108" s="27" t="str">
        <f aca="false">IF($D108=0,"Sem embarque",IF($K108&gt;0,"Recebe","Paga"))</f>
        <v>Sem embarque</v>
      </c>
    </row>
    <row r="109" customFormat="false" ht="15" hidden="false" customHeight="false" outlineLevel="0" collapsed="false">
      <c r="A109" s="27" t="s">
        <v>41</v>
      </c>
      <c r="B109" s="27" t="s">
        <v>69</v>
      </c>
      <c r="C109" s="27" t="s">
        <v>111</v>
      </c>
      <c r="D109" s="34" t="n">
        <f aca="false">SUMIFS(Desconto_Cliente_Mes!$D$2:$D$433,Desconto_Cliente_Mes!$A$2:$A$433,$A109,Desconto_Cliente_Mes!$B$2:$B$433,$B109,Desconto_Cliente_Mes!$C$2:$C$433,$C109)</f>
        <v>0</v>
      </c>
      <c r="E109" s="37" t="str">
        <f aca="false">INDEX(Desconto_Cliente_Mes!$K$2:$K$433,MATCH($A109&amp;"|"&amp;$B109&amp;"|"&amp;$C109,Desconto_Cliente_Mes!$W$2:$W$433,0))</f>
        <v/>
      </c>
      <c r="F109" s="39" t="n">
        <f aca="false">SUMIFS(Desconto_Cliente_Mes!$U$2:$U$433,Desconto_Cliente_Mes!$A$2:$A$433,$A109,Desconto_Cliente_Mes!$B$2:$B$433,$B109,Desconto_Cliente_Mes!$C$2:$C$433,$C109)</f>
        <v>0</v>
      </c>
      <c r="G109" s="39" t="n">
        <f aca="false">SUMIFS(Desconto_Cliente_Mes!$U$2:$U$433,Desconto_Cliente_Mes!$B$2:$B$433,$B109,Desconto_Cliente_Mes!$C$2:$C$433,$C109,Desconto_Cliente_Mes!$K$2:$K$433,"Sim")</f>
        <v>0</v>
      </c>
      <c r="H109" s="37" t="n">
        <f aca="false">SUMIFS(Desconto_Cliente_Mes!$D$2:$D$433,Desconto_Cliente_Mes!$B$2:$B$433,$B109,Desconto_Cliente_Mes!$C$2:$C$433,$C109,Desconto_Cliente_Mes!$K$2:$K$433,"Nao",Desconto_Cliente_Mes!$D$2:$D$433,"&gt;0")</f>
        <v>0</v>
      </c>
      <c r="I109" s="42" t="n">
        <f aca="false">IF(AND($E109="Nao",$D109&gt;0,$H109&gt;0),$D109/$H109,0)</f>
        <v>0</v>
      </c>
      <c r="J109" s="40" t="n">
        <f aca="false">$I109*$G109</f>
        <v>0</v>
      </c>
      <c r="K109" s="40" t="n">
        <f aca="false">$J109-$F109</f>
        <v>0</v>
      </c>
      <c r="L109" s="27" t="str">
        <f aca="false">IF($D109=0,"Sem embarque",IF($K109&gt;0,"Recebe","Paga"))</f>
        <v>Sem embarque</v>
      </c>
    </row>
    <row r="110" customFormat="false" ht="15" hidden="false" customHeight="false" outlineLevel="0" collapsed="false">
      <c r="A110" s="27" t="s">
        <v>42</v>
      </c>
      <c r="B110" s="27" t="s">
        <v>38</v>
      </c>
      <c r="C110" s="27" t="s">
        <v>109</v>
      </c>
      <c r="D110" s="34" t="n">
        <f aca="false">SUMIFS(Desconto_Cliente_Mes!$D$2:$D$433,Desconto_Cliente_Mes!$A$2:$A$433,$A110,Desconto_Cliente_Mes!$B$2:$B$433,$B110,Desconto_Cliente_Mes!$C$2:$C$433,$C110)</f>
        <v>26334.33</v>
      </c>
      <c r="E110" s="37" t="str">
        <f aca="false">INDEX(Desconto_Cliente_Mes!$K$2:$K$433,MATCH($A110&amp;"|"&amp;$B110&amp;"|"&amp;$C110,Desconto_Cliente_Mes!$W$2:$W$433,0))</f>
        <v>Sim</v>
      </c>
      <c r="F110" s="39" t="n">
        <f aca="false">SUMIFS(Desconto_Cliente_Mes!$U$2:$U$433,Desconto_Cliente_Mes!$A$2:$A$433,$A110,Desconto_Cliente_Mes!$B$2:$B$433,$B110,Desconto_Cliente_Mes!$C$2:$C$433,$C110)</f>
        <v>972.304730506277</v>
      </c>
      <c r="G110" s="39" t="n">
        <f aca="false">SUMIFS(Desconto_Cliente_Mes!$U$2:$U$433,Desconto_Cliente_Mes!$B$2:$B$433,$B110,Desconto_Cliente_Mes!$C$2:$C$433,$C110,Desconto_Cliente_Mes!$K$2:$K$433,"Sim")</f>
        <v>91377.0669671845</v>
      </c>
      <c r="H110" s="37" t="n">
        <f aca="false">SUMIFS(Desconto_Cliente_Mes!$D$2:$D$433,Desconto_Cliente_Mes!$B$2:$B$433,$B110,Desconto_Cliente_Mes!$C$2:$C$433,$C110,Desconto_Cliente_Mes!$K$2:$K$433,"Nao",Desconto_Cliente_Mes!$D$2:$D$433,"&gt;0")</f>
        <v>58734.34</v>
      </c>
      <c r="I110" s="42" t="n">
        <f aca="false">IF(AND($E110="Nao",$D110&gt;0,$H110&gt;0),$D110/$H110,0)</f>
        <v>0</v>
      </c>
      <c r="J110" s="40" t="n">
        <f aca="false">$I110*$G110</f>
        <v>0</v>
      </c>
      <c r="K110" s="40" t="n">
        <f aca="false">$J110-$F110</f>
        <v>-972.304730506277</v>
      </c>
      <c r="L110" s="27" t="str">
        <f aca="false">IF($D110=0,"Sem embarque",IF($K110&gt;0,"Recebe","Paga"))</f>
        <v>Paga</v>
      </c>
    </row>
    <row r="111" customFormat="false" ht="15" hidden="false" customHeight="false" outlineLevel="0" collapsed="false">
      <c r="A111" s="27" t="s">
        <v>42</v>
      </c>
      <c r="B111" s="27" t="s">
        <v>38</v>
      </c>
      <c r="C111" s="27" t="s">
        <v>110</v>
      </c>
      <c r="D111" s="34" t="n">
        <f aca="false">SUMIFS(Desconto_Cliente_Mes!$D$2:$D$433,Desconto_Cliente_Mes!$A$2:$A$433,$A111,Desconto_Cliente_Mes!$B$2:$B$433,$B111,Desconto_Cliente_Mes!$C$2:$C$433,$C111)</f>
        <v>26334.33</v>
      </c>
      <c r="E111" s="37" t="str">
        <f aca="false">INDEX(Desconto_Cliente_Mes!$K$2:$K$433,MATCH($A111&amp;"|"&amp;$B111&amp;"|"&amp;$C111,Desconto_Cliente_Mes!$W$2:$W$433,0))</f>
        <v>Nao</v>
      </c>
      <c r="F111" s="39" t="n">
        <f aca="false">SUMIFS(Desconto_Cliente_Mes!$U$2:$U$433,Desconto_Cliente_Mes!$A$2:$A$433,$A111,Desconto_Cliente_Mes!$B$2:$B$433,$B111,Desconto_Cliente_Mes!$C$2:$C$433,$C111)</f>
        <v>0</v>
      </c>
      <c r="G111" s="39" t="n">
        <f aca="false">SUMIFS(Desconto_Cliente_Mes!$U$2:$U$433,Desconto_Cliente_Mes!$B$2:$B$433,$B111,Desconto_Cliente_Mes!$C$2:$C$433,$C111,Desconto_Cliente_Mes!$K$2:$K$433,"Sim")</f>
        <v>0</v>
      </c>
      <c r="H111" s="37" t="n">
        <f aca="false">SUMIFS(Desconto_Cliente_Mes!$D$2:$D$433,Desconto_Cliente_Mes!$B$2:$B$433,$B111,Desconto_Cliente_Mes!$C$2:$C$433,$C111,Desconto_Cliente_Mes!$K$2:$K$433,"Nao",Desconto_Cliente_Mes!$D$2:$D$433,"&gt;0")</f>
        <v>263816.27</v>
      </c>
      <c r="I111" s="42" t="n">
        <f aca="false">IF(AND($E111="Nao",$D111&gt;0,$H111&gt;0),$D111/$H111,0)</f>
        <v>0.0998207199275465</v>
      </c>
      <c r="J111" s="40" t="n">
        <f aca="false">$I111*$G111</f>
        <v>0</v>
      </c>
      <c r="K111" s="40" t="n">
        <f aca="false">$J111-$F111</f>
        <v>0</v>
      </c>
      <c r="L111" s="27" t="str">
        <f aca="false">IF($D111=0,"Sem embarque",IF($K111&gt;0,"Recebe","Paga"))</f>
        <v>Paga</v>
      </c>
    </row>
    <row r="112" customFormat="false" ht="15" hidden="false" customHeight="false" outlineLevel="0" collapsed="false">
      <c r="A112" s="27" t="s">
        <v>42</v>
      </c>
      <c r="B112" s="27" t="s">
        <v>38</v>
      </c>
      <c r="C112" s="27" t="s">
        <v>111</v>
      </c>
      <c r="D112" s="34" t="n">
        <f aca="false">SUMIFS(Desconto_Cliente_Mes!$D$2:$D$433,Desconto_Cliente_Mes!$A$2:$A$433,$A112,Desconto_Cliente_Mes!$B$2:$B$433,$B112,Desconto_Cliente_Mes!$C$2:$C$433,$C112)</f>
        <v>26334.33</v>
      </c>
      <c r="E112" s="37" t="str">
        <f aca="false">INDEX(Desconto_Cliente_Mes!$K$2:$K$433,MATCH($A112&amp;"|"&amp;$B112&amp;"|"&amp;$C112,Desconto_Cliente_Mes!$W$2:$W$433,0))</f>
        <v>Sim</v>
      </c>
      <c r="F112" s="39" t="n">
        <f aca="false">SUMIFS(Desconto_Cliente_Mes!$U$2:$U$433,Desconto_Cliente_Mes!$A$2:$A$433,$A112,Desconto_Cliente_Mes!$B$2:$B$433,$B112,Desconto_Cliente_Mes!$C$2:$C$433,$C112)</f>
        <v>8217.9115864258</v>
      </c>
      <c r="G112" s="39" t="n">
        <f aca="false">SUMIFS(Desconto_Cliente_Mes!$U$2:$U$433,Desconto_Cliente_Mes!$B$2:$B$433,$B112,Desconto_Cliente_Mes!$C$2:$C$433,$C112,Desconto_Cliente_Mes!$K$2:$K$433,"Sim")</f>
        <v>71216.4191325092</v>
      </c>
      <c r="H112" s="37" t="n">
        <f aca="false">SUMIFS(Desconto_Cliente_Mes!$D$2:$D$433,Desconto_Cliente_Mes!$B$2:$B$433,$B112,Desconto_Cliente_Mes!$C$2:$C$433,$C112,Desconto_Cliente_Mes!$K$2:$K$433,"Nao",Desconto_Cliente_Mes!$D$2:$D$433,"&gt;0")</f>
        <v>116867.62</v>
      </c>
      <c r="I112" s="42" t="n">
        <f aca="false">IF(AND($E112="Nao",$D112&gt;0,$H112&gt;0),$D112/$H112,0)</f>
        <v>0</v>
      </c>
      <c r="J112" s="40" t="n">
        <f aca="false">$I112*$G112</f>
        <v>0</v>
      </c>
      <c r="K112" s="40" t="n">
        <f aca="false">$J112-$F112</f>
        <v>-8217.9115864258</v>
      </c>
      <c r="L112" s="27" t="str">
        <f aca="false">IF($D112=0,"Sem embarque",IF($K112&gt;0,"Recebe","Paga"))</f>
        <v>Paga</v>
      </c>
    </row>
    <row r="113" customFormat="false" ht="15" hidden="false" customHeight="false" outlineLevel="0" collapsed="false">
      <c r="A113" s="27" t="s">
        <v>42</v>
      </c>
      <c r="B113" s="27" t="s">
        <v>59</v>
      </c>
      <c r="C113" s="27" t="s">
        <v>109</v>
      </c>
      <c r="D113" s="34" t="n">
        <f aca="false">SUMIFS(Desconto_Cliente_Mes!$D$2:$D$433,Desconto_Cliente_Mes!$A$2:$A$433,$A113,Desconto_Cliente_Mes!$B$2:$B$433,$B113,Desconto_Cliente_Mes!$C$2:$C$433,$C113)</f>
        <v>62578.1</v>
      </c>
      <c r="E113" s="37" t="str">
        <f aca="false">INDEX(Desconto_Cliente_Mes!$K$2:$K$433,MATCH($A113&amp;"|"&amp;$B113&amp;"|"&amp;$C113,Desconto_Cliente_Mes!$W$2:$W$433,0))</f>
        <v>Sim</v>
      </c>
      <c r="F113" s="39" t="n">
        <f aca="false">SUMIFS(Desconto_Cliente_Mes!$U$2:$U$433,Desconto_Cliente_Mes!$A$2:$A$433,$A113,Desconto_Cliente_Mes!$B$2:$B$433,$B113,Desconto_Cliente_Mes!$C$2:$C$433,$C113)</f>
        <v>98347.3918397593</v>
      </c>
      <c r="G113" s="39" t="n">
        <f aca="false">SUMIFS(Desconto_Cliente_Mes!$U$2:$U$433,Desconto_Cliente_Mes!$B$2:$B$433,$B113,Desconto_Cliente_Mes!$C$2:$C$433,$C113,Desconto_Cliente_Mes!$K$2:$K$433,"Sim")</f>
        <v>166858.825867758</v>
      </c>
      <c r="H113" s="37" t="n">
        <f aca="false">SUMIFS(Desconto_Cliente_Mes!$D$2:$D$433,Desconto_Cliente_Mes!$B$2:$B$433,$B113,Desconto_Cliente_Mes!$C$2:$C$433,$C113,Desconto_Cliente_Mes!$K$2:$K$433,"Nao",Desconto_Cliente_Mes!$D$2:$D$433,"&gt;0")</f>
        <v>83594.61</v>
      </c>
      <c r="I113" s="42" t="n">
        <f aca="false">IF(AND($E113="Nao",$D113&gt;0,$H113&gt;0),$D113/$H113,0)</f>
        <v>0</v>
      </c>
      <c r="J113" s="40" t="n">
        <f aca="false">$I113*$G113</f>
        <v>0</v>
      </c>
      <c r="K113" s="40" t="n">
        <f aca="false">$J113-$F113</f>
        <v>-98347.3918397593</v>
      </c>
      <c r="L113" s="27" t="str">
        <f aca="false">IF($D113=0,"Sem embarque",IF($K113&gt;0,"Recebe","Paga"))</f>
        <v>Paga</v>
      </c>
    </row>
    <row r="114" customFormat="false" ht="15" hidden="false" customHeight="false" outlineLevel="0" collapsed="false">
      <c r="A114" s="27" t="s">
        <v>42</v>
      </c>
      <c r="B114" s="27" t="s">
        <v>59</v>
      </c>
      <c r="C114" s="27" t="s">
        <v>110</v>
      </c>
      <c r="D114" s="34" t="n">
        <f aca="false">SUMIFS(Desconto_Cliente_Mes!$D$2:$D$433,Desconto_Cliente_Mes!$A$2:$A$433,$A114,Desconto_Cliente_Mes!$B$2:$B$433,$B114,Desconto_Cliente_Mes!$C$2:$C$433,$C114)</f>
        <v>62578.1</v>
      </c>
      <c r="E114" s="37" t="str">
        <f aca="false">INDEX(Desconto_Cliente_Mes!$K$2:$K$433,MATCH($A114&amp;"|"&amp;$B114&amp;"|"&amp;$C114,Desconto_Cliente_Mes!$W$2:$W$433,0))</f>
        <v>Nao</v>
      </c>
      <c r="F114" s="39" t="n">
        <f aca="false">SUMIFS(Desconto_Cliente_Mes!$U$2:$U$433,Desconto_Cliente_Mes!$A$2:$A$433,$A114,Desconto_Cliente_Mes!$B$2:$B$433,$B114,Desconto_Cliente_Mes!$C$2:$C$433,$C114)</f>
        <v>0</v>
      </c>
      <c r="G114" s="39" t="n">
        <f aca="false">SUMIFS(Desconto_Cliente_Mes!$U$2:$U$433,Desconto_Cliente_Mes!$B$2:$B$433,$B114,Desconto_Cliente_Mes!$C$2:$C$433,$C114,Desconto_Cliente_Mes!$K$2:$K$433,"Sim")</f>
        <v>8132.39257800007</v>
      </c>
      <c r="H114" s="37" t="n">
        <f aca="false">SUMIFS(Desconto_Cliente_Mes!$D$2:$D$433,Desconto_Cliente_Mes!$B$2:$B$433,$B114,Desconto_Cliente_Mes!$C$2:$C$433,$C114,Desconto_Cliente_Mes!$K$2:$K$433,"Nao",Desconto_Cliente_Mes!$D$2:$D$433,"&gt;0")</f>
        <v>289730.52</v>
      </c>
      <c r="I114" s="42" t="n">
        <f aca="false">IF(AND($E114="Nao",$D114&gt;0,$H114&gt;0),$D114/$H114,0)</f>
        <v>0.215987256019835</v>
      </c>
      <c r="J114" s="40" t="n">
        <f aca="false">$I114*$G114</f>
        <v>1756.49315779831</v>
      </c>
      <c r="K114" s="40" t="n">
        <f aca="false">$J114-$F114</f>
        <v>1756.49315779831</v>
      </c>
      <c r="L114" s="27" t="str">
        <f aca="false">IF($D114=0,"Sem embarque",IF($K114&gt;0,"Recebe","Paga"))</f>
        <v>Recebe</v>
      </c>
    </row>
    <row r="115" customFormat="false" ht="15" hidden="false" customHeight="false" outlineLevel="0" collapsed="false">
      <c r="A115" s="27" t="s">
        <v>42</v>
      </c>
      <c r="B115" s="27" t="s">
        <v>59</v>
      </c>
      <c r="C115" s="27" t="s">
        <v>111</v>
      </c>
      <c r="D115" s="34" t="n">
        <f aca="false">SUMIFS(Desconto_Cliente_Mes!$D$2:$D$433,Desconto_Cliente_Mes!$A$2:$A$433,$A115,Desconto_Cliente_Mes!$B$2:$B$433,$B115,Desconto_Cliente_Mes!$C$2:$C$433,$C115)</f>
        <v>62578.1</v>
      </c>
      <c r="E115" s="37" t="str">
        <f aca="false">INDEX(Desconto_Cliente_Mes!$K$2:$K$433,MATCH($A115&amp;"|"&amp;$B115&amp;"|"&amp;$C115,Desconto_Cliente_Mes!$W$2:$W$433,0))</f>
        <v>Sim</v>
      </c>
      <c r="F115" s="39" t="n">
        <f aca="false">SUMIFS(Desconto_Cliente_Mes!$U$2:$U$433,Desconto_Cliente_Mes!$A$2:$A$433,$A115,Desconto_Cliente_Mes!$B$2:$B$433,$B115,Desconto_Cliente_Mes!$C$2:$C$433,$C115)</f>
        <v>22006.204493603</v>
      </c>
      <c r="G115" s="39" t="n">
        <f aca="false">SUMIFS(Desconto_Cliente_Mes!$U$2:$U$433,Desconto_Cliente_Mes!$B$2:$B$433,$B115,Desconto_Cliente_Mes!$C$2:$C$433,$C115,Desconto_Cliente_Mes!$K$2:$K$433,"Sim")</f>
        <v>47707.8352836299</v>
      </c>
      <c r="H115" s="37" t="n">
        <f aca="false">SUMIFS(Desconto_Cliente_Mes!$D$2:$D$433,Desconto_Cliente_Mes!$B$2:$B$433,$B115,Desconto_Cliente_Mes!$C$2:$C$433,$C115,Desconto_Cliente_Mes!$K$2:$K$433,"Nao",Desconto_Cliente_Mes!$D$2:$D$433,"&gt;0")</f>
        <v>185268.24</v>
      </c>
      <c r="I115" s="42" t="n">
        <f aca="false">IF(AND($E115="Nao",$D115&gt;0,$H115&gt;0),$D115/$H115,0)</f>
        <v>0</v>
      </c>
      <c r="J115" s="40" t="n">
        <f aca="false">$I115*$G115</f>
        <v>0</v>
      </c>
      <c r="K115" s="40" t="n">
        <f aca="false">$J115-$F115</f>
        <v>-22006.204493603</v>
      </c>
      <c r="L115" s="27" t="str">
        <f aca="false">IF($D115=0,"Sem embarque",IF($K115&gt;0,"Recebe","Paga"))</f>
        <v>Paga</v>
      </c>
    </row>
    <row r="116" customFormat="false" ht="15" hidden="false" customHeight="false" outlineLevel="0" collapsed="false">
      <c r="A116" s="27" t="s">
        <v>42</v>
      </c>
      <c r="B116" s="27" t="s">
        <v>60</v>
      </c>
      <c r="C116" s="27" t="s">
        <v>109</v>
      </c>
      <c r="D116" s="34" t="n">
        <f aca="false">SUMIFS(Desconto_Cliente_Mes!$D$2:$D$433,Desconto_Cliente_Mes!$A$2:$A$433,$A116,Desconto_Cliente_Mes!$B$2:$B$433,$B116,Desconto_Cliente_Mes!$C$2:$C$433,$C116)</f>
        <v>60137.37</v>
      </c>
      <c r="E116" s="37" t="str">
        <f aca="false">INDEX(Desconto_Cliente_Mes!$K$2:$K$433,MATCH($A116&amp;"|"&amp;$B116&amp;"|"&amp;$C116,Desconto_Cliente_Mes!$W$2:$W$433,0))</f>
        <v>Sim</v>
      </c>
      <c r="F116" s="39" t="n">
        <f aca="false">SUMIFS(Desconto_Cliente_Mes!$U$2:$U$433,Desconto_Cliente_Mes!$A$2:$A$433,$A116,Desconto_Cliente_Mes!$B$2:$B$433,$B116,Desconto_Cliente_Mes!$C$2:$C$433,$C116)</f>
        <v>25553.6516035876</v>
      </c>
      <c r="G116" s="39" t="n">
        <f aca="false">SUMIFS(Desconto_Cliente_Mes!$U$2:$U$433,Desconto_Cliente_Mes!$B$2:$B$433,$B116,Desconto_Cliente_Mes!$C$2:$C$433,$C116,Desconto_Cliente_Mes!$K$2:$K$433,"Sim")</f>
        <v>75633.0761548471</v>
      </c>
      <c r="H116" s="37" t="n">
        <f aca="false">SUMIFS(Desconto_Cliente_Mes!$D$2:$D$433,Desconto_Cliente_Mes!$B$2:$B$433,$B116,Desconto_Cliente_Mes!$C$2:$C$433,$C116,Desconto_Cliente_Mes!$K$2:$K$433,"Nao",Desconto_Cliente_Mes!$D$2:$D$433,"&gt;0")</f>
        <v>55750.4</v>
      </c>
      <c r="I116" s="42" t="n">
        <f aca="false">IF(AND($E116="Nao",$D116&gt;0,$H116&gt;0),$D116/$H116,0)</f>
        <v>0</v>
      </c>
      <c r="J116" s="40" t="n">
        <f aca="false">$I116*$G116</f>
        <v>0</v>
      </c>
      <c r="K116" s="40" t="n">
        <f aca="false">$J116-$F116</f>
        <v>-25553.6516035876</v>
      </c>
      <c r="L116" s="27" t="str">
        <f aca="false">IF($D116=0,"Sem embarque",IF($K116&gt;0,"Recebe","Paga"))</f>
        <v>Paga</v>
      </c>
    </row>
    <row r="117" customFormat="false" ht="15" hidden="false" customHeight="false" outlineLevel="0" collapsed="false">
      <c r="A117" s="27" t="s">
        <v>42</v>
      </c>
      <c r="B117" s="27" t="s">
        <v>60</v>
      </c>
      <c r="C117" s="27" t="s">
        <v>110</v>
      </c>
      <c r="D117" s="34" t="n">
        <f aca="false">SUMIFS(Desconto_Cliente_Mes!$D$2:$D$433,Desconto_Cliente_Mes!$A$2:$A$433,$A117,Desconto_Cliente_Mes!$B$2:$B$433,$B117,Desconto_Cliente_Mes!$C$2:$C$433,$C117)</f>
        <v>60137.37</v>
      </c>
      <c r="E117" s="37" t="str">
        <f aca="false">INDEX(Desconto_Cliente_Mes!$K$2:$K$433,MATCH($A117&amp;"|"&amp;$B117&amp;"|"&amp;$C117,Desconto_Cliente_Mes!$W$2:$W$433,0))</f>
        <v>Nao</v>
      </c>
      <c r="F117" s="39" t="n">
        <f aca="false">SUMIFS(Desconto_Cliente_Mes!$U$2:$U$433,Desconto_Cliente_Mes!$A$2:$A$433,$A117,Desconto_Cliente_Mes!$B$2:$B$433,$B117,Desconto_Cliente_Mes!$C$2:$C$433,$C117)</f>
        <v>0</v>
      </c>
      <c r="G117" s="39" t="n">
        <f aca="false">SUMIFS(Desconto_Cliente_Mes!$U$2:$U$433,Desconto_Cliente_Mes!$B$2:$B$433,$B117,Desconto_Cliente_Mes!$C$2:$C$433,$C117,Desconto_Cliente_Mes!$K$2:$K$433,"Sim")</f>
        <v>0</v>
      </c>
      <c r="H117" s="37" t="n">
        <f aca="false">SUMIFS(Desconto_Cliente_Mes!$D$2:$D$433,Desconto_Cliente_Mes!$B$2:$B$433,$B117,Desconto_Cliente_Mes!$C$2:$C$433,$C117,Desconto_Cliente_Mes!$K$2:$K$433,"Nao",Desconto_Cliente_Mes!$D$2:$D$433,"&gt;0")</f>
        <v>240729.22</v>
      </c>
      <c r="I117" s="42" t="n">
        <f aca="false">IF(AND($E117="Nao",$D117&gt;0,$H117&gt;0),$D117/$H117,0)</f>
        <v>0.249813337990295</v>
      </c>
      <c r="J117" s="40" t="n">
        <f aca="false">$I117*$G117</f>
        <v>0</v>
      </c>
      <c r="K117" s="40" t="n">
        <f aca="false">$J117-$F117</f>
        <v>0</v>
      </c>
      <c r="L117" s="27" t="str">
        <f aca="false">IF($D117=0,"Sem embarque",IF($K117&gt;0,"Recebe","Paga"))</f>
        <v>Paga</v>
      </c>
    </row>
    <row r="118" customFormat="false" ht="15" hidden="false" customHeight="false" outlineLevel="0" collapsed="false">
      <c r="A118" s="27" t="s">
        <v>42</v>
      </c>
      <c r="B118" s="27" t="s">
        <v>60</v>
      </c>
      <c r="C118" s="27" t="s">
        <v>111</v>
      </c>
      <c r="D118" s="34" t="n">
        <f aca="false">SUMIFS(Desconto_Cliente_Mes!$D$2:$D$433,Desconto_Cliente_Mes!$A$2:$A$433,$A118,Desconto_Cliente_Mes!$B$2:$B$433,$B118,Desconto_Cliente_Mes!$C$2:$C$433,$C118)</f>
        <v>60137.37</v>
      </c>
      <c r="E118" s="37" t="str">
        <f aca="false">INDEX(Desconto_Cliente_Mes!$K$2:$K$433,MATCH($A118&amp;"|"&amp;$B118&amp;"|"&amp;$C118,Desconto_Cliente_Mes!$W$2:$W$433,0))</f>
        <v>Sim</v>
      </c>
      <c r="F118" s="39" t="n">
        <f aca="false">SUMIFS(Desconto_Cliente_Mes!$U$2:$U$433,Desconto_Cliente_Mes!$A$2:$A$433,$A118,Desconto_Cliente_Mes!$B$2:$B$433,$B118,Desconto_Cliente_Mes!$C$2:$C$433,$C118)</f>
        <v>6561.67333629427</v>
      </c>
      <c r="G118" s="39" t="n">
        <f aca="false">SUMIFS(Desconto_Cliente_Mes!$U$2:$U$433,Desconto_Cliente_Mes!$B$2:$B$433,$B118,Desconto_Cliente_Mes!$C$2:$C$433,$C118,Desconto_Cliente_Mes!$K$2:$K$433,"Sim")</f>
        <v>15973.4860651284</v>
      </c>
      <c r="H118" s="37" t="n">
        <f aca="false">SUMIFS(Desconto_Cliente_Mes!$D$2:$D$433,Desconto_Cliente_Mes!$B$2:$B$433,$B118,Desconto_Cliente_Mes!$C$2:$C$433,$C118,Desconto_Cliente_Mes!$K$2:$K$433,"Nao",Desconto_Cliente_Mes!$D$2:$D$433,"&gt;0")</f>
        <v>55750.4</v>
      </c>
      <c r="I118" s="42" t="n">
        <f aca="false">IF(AND($E118="Nao",$D118&gt;0,$H118&gt;0),$D118/$H118,0)</f>
        <v>0</v>
      </c>
      <c r="J118" s="40" t="n">
        <f aca="false">$I118*$G118</f>
        <v>0</v>
      </c>
      <c r="K118" s="40" t="n">
        <f aca="false">$J118-$F118</f>
        <v>-6561.67333629427</v>
      </c>
      <c r="L118" s="27" t="str">
        <f aca="false">IF($D118=0,"Sem embarque",IF($K118&gt;0,"Recebe","Paga"))</f>
        <v>Paga</v>
      </c>
    </row>
    <row r="119" customFormat="false" ht="15" hidden="false" customHeight="false" outlineLevel="0" collapsed="false">
      <c r="A119" s="27" t="s">
        <v>42</v>
      </c>
      <c r="B119" s="27" t="s">
        <v>61</v>
      </c>
      <c r="C119" s="27" t="s">
        <v>109</v>
      </c>
      <c r="D119" s="34" t="n">
        <f aca="false">SUMIFS(Desconto_Cliente_Mes!$D$2:$D$433,Desconto_Cliente_Mes!$A$2:$A$433,$A119,Desconto_Cliente_Mes!$B$2:$B$433,$B119,Desconto_Cliente_Mes!$C$2:$C$433,$C119)</f>
        <v>53714.89</v>
      </c>
      <c r="E119" s="37" t="str">
        <f aca="false">INDEX(Desconto_Cliente_Mes!$K$2:$K$433,MATCH($A119&amp;"|"&amp;$B119&amp;"|"&amp;$C119,Desconto_Cliente_Mes!$W$2:$W$433,0))</f>
        <v>Nao</v>
      </c>
      <c r="F119" s="39" t="n">
        <f aca="false">SUMIFS(Desconto_Cliente_Mes!$U$2:$U$433,Desconto_Cliente_Mes!$A$2:$A$433,$A119,Desconto_Cliente_Mes!$B$2:$B$433,$B119,Desconto_Cliente_Mes!$C$2:$C$433,$C119)</f>
        <v>0</v>
      </c>
      <c r="G119" s="39" t="n">
        <f aca="false">SUMIFS(Desconto_Cliente_Mes!$U$2:$U$433,Desconto_Cliente_Mes!$B$2:$B$433,$B119,Desconto_Cliente_Mes!$C$2:$C$433,$C119,Desconto_Cliente_Mes!$K$2:$K$433,"Sim")</f>
        <v>101062.110385431</v>
      </c>
      <c r="H119" s="37" t="n">
        <f aca="false">SUMIFS(Desconto_Cliente_Mes!$D$2:$D$433,Desconto_Cliente_Mes!$B$2:$B$433,$B119,Desconto_Cliente_Mes!$C$2:$C$433,$C119,Desconto_Cliente_Mes!$K$2:$K$433,"Nao",Desconto_Cliente_Mes!$D$2:$D$433,"&gt;0")</f>
        <v>195833.47</v>
      </c>
      <c r="I119" s="42" t="n">
        <f aca="false">IF(AND($E119="Nao",$D119&gt;0,$H119&gt;0),$D119/$H119,0)</f>
        <v>0.274288608581567</v>
      </c>
      <c r="J119" s="40" t="n">
        <f aca="false">$I119*$G119</f>
        <v>27720.1856379367</v>
      </c>
      <c r="K119" s="40" t="n">
        <f aca="false">$J119-$F119</f>
        <v>27720.1856379367</v>
      </c>
      <c r="L119" s="27" t="str">
        <f aca="false">IF($D119=0,"Sem embarque",IF($K119&gt;0,"Recebe","Paga"))</f>
        <v>Recebe</v>
      </c>
    </row>
    <row r="120" customFormat="false" ht="15" hidden="false" customHeight="false" outlineLevel="0" collapsed="false">
      <c r="A120" s="27" t="s">
        <v>42</v>
      </c>
      <c r="B120" s="27" t="s">
        <v>61</v>
      </c>
      <c r="C120" s="27" t="s">
        <v>110</v>
      </c>
      <c r="D120" s="34" t="n">
        <f aca="false">SUMIFS(Desconto_Cliente_Mes!$D$2:$D$433,Desconto_Cliente_Mes!$A$2:$A$433,$A120,Desconto_Cliente_Mes!$B$2:$B$433,$B120,Desconto_Cliente_Mes!$C$2:$C$433,$C120)</f>
        <v>53714.89</v>
      </c>
      <c r="E120" s="37" t="str">
        <f aca="false">INDEX(Desconto_Cliente_Mes!$K$2:$K$433,MATCH($A120&amp;"|"&amp;$B120&amp;"|"&amp;$C120,Desconto_Cliente_Mes!$W$2:$W$433,0))</f>
        <v>Nao</v>
      </c>
      <c r="F120" s="39" t="n">
        <f aca="false">SUMIFS(Desconto_Cliente_Mes!$U$2:$U$433,Desconto_Cliente_Mes!$A$2:$A$433,$A120,Desconto_Cliente_Mes!$B$2:$B$433,$B120,Desconto_Cliente_Mes!$C$2:$C$433,$C120)</f>
        <v>0</v>
      </c>
      <c r="G120" s="39" t="n">
        <f aca="false">SUMIFS(Desconto_Cliente_Mes!$U$2:$U$433,Desconto_Cliente_Mes!$B$2:$B$433,$B120,Desconto_Cliente_Mes!$C$2:$C$433,$C120,Desconto_Cliente_Mes!$K$2:$K$433,"Sim")</f>
        <v>89392.5188999994</v>
      </c>
      <c r="H120" s="37" t="n">
        <f aca="false">SUMIFS(Desconto_Cliente_Mes!$D$2:$D$433,Desconto_Cliente_Mes!$B$2:$B$433,$B120,Desconto_Cliente_Mes!$C$2:$C$433,$C120,Desconto_Cliente_Mes!$K$2:$K$433,"Nao",Desconto_Cliente_Mes!$D$2:$D$433,"&gt;0")</f>
        <v>315561.27</v>
      </c>
      <c r="I120" s="42" t="n">
        <f aca="false">IF(AND($E120="Nao",$D120&gt;0,$H120&gt;0),$D120/$H120,0)</f>
        <v>0.170220160414489</v>
      </c>
      <c r="J120" s="40" t="n">
        <f aca="false">$I120*$G120</f>
        <v>15216.4089070132</v>
      </c>
      <c r="K120" s="40" t="n">
        <f aca="false">$J120-$F120</f>
        <v>15216.4089070132</v>
      </c>
      <c r="L120" s="27" t="str">
        <f aca="false">IF($D120=0,"Sem embarque",IF($K120&gt;0,"Recebe","Paga"))</f>
        <v>Recebe</v>
      </c>
    </row>
    <row r="121" customFormat="false" ht="15" hidden="false" customHeight="false" outlineLevel="0" collapsed="false">
      <c r="A121" s="27" t="s">
        <v>42</v>
      </c>
      <c r="B121" s="27" t="s">
        <v>61</v>
      </c>
      <c r="C121" s="27" t="s">
        <v>111</v>
      </c>
      <c r="D121" s="34" t="n">
        <f aca="false">SUMIFS(Desconto_Cliente_Mes!$D$2:$D$433,Desconto_Cliente_Mes!$A$2:$A$433,$A121,Desconto_Cliente_Mes!$B$2:$B$433,$B121,Desconto_Cliente_Mes!$C$2:$C$433,$C121)</f>
        <v>53714.89</v>
      </c>
      <c r="E121" s="37" t="str">
        <f aca="false">INDEX(Desconto_Cliente_Mes!$K$2:$K$433,MATCH($A121&amp;"|"&amp;$B121&amp;"|"&amp;$C121,Desconto_Cliente_Mes!$W$2:$W$433,0))</f>
        <v>Nao</v>
      </c>
      <c r="F121" s="39" t="n">
        <f aca="false">SUMIFS(Desconto_Cliente_Mes!$U$2:$U$433,Desconto_Cliente_Mes!$A$2:$A$433,$A121,Desconto_Cliente_Mes!$B$2:$B$433,$B121,Desconto_Cliente_Mes!$C$2:$C$433,$C121)</f>
        <v>0</v>
      </c>
      <c r="G121" s="39" t="n">
        <f aca="false">SUMIFS(Desconto_Cliente_Mes!$U$2:$U$433,Desconto_Cliente_Mes!$B$2:$B$433,$B121,Desconto_Cliente_Mes!$C$2:$C$433,$C121,Desconto_Cliente_Mes!$K$2:$K$433,"Sim")</f>
        <v>45945.9604253753</v>
      </c>
      <c r="H121" s="37" t="n">
        <f aca="false">SUMIFS(Desconto_Cliente_Mes!$D$2:$D$433,Desconto_Cliente_Mes!$B$2:$B$433,$B121,Desconto_Cliente_Mes!$C$2:$C$433,$C121,Desconto_Cliente_Mes!$K$2:$K$433,"Nao",Desconto_Cliente_Mes!$D$2:$D$433,"&gt;0")</f>
        <v>238706.16</v>
      </c>
      <c r="I121" s="42" t="n">
        <f aca="false">IF(AND($E121="Nao",$D121&gt;0,$H121&gt;0),$D121/$H121,0)</f>
        <v>0.225025152262514</v>
      </c>
      <c r="J121" s="40" t="n">
        <f aca="false">$I121*$G121</f>
        <v>10338.9967405675</v>
      </c>
      <c r="K121" s="40" t="n">
        <f aca="false">$J121-$F121</f>
        <v>10338.9967405675</v>
      </c>
      <c r="L121" s="27" t="str">
        <f aca="false">IF($D121=0,"Sem embarque",IF($K121&gt;0,"Recebe","Paga"))</f>
        <v>Recebe</v>
      </c>
    </row>
    <row r="122" customFormat="false" ht="15" hidden="false" customHeight="false" outlineLevel="0" collapsed="false">
      <c r="A122" s="27" t="s">
        <v>42</v>
      </c>
      <c r="B122" s="27" t="s">
        <v>62</v>
      </c>
      <c r="C122" s="27" t="s">
        <v>109</v>
      </c>
      <c r="D122" s="34" t="n">
        <f aca="false">SUMIFS(Desconto_Cliente_Mes!$D$2:$D$433,Desconto_Cliente_Mes!$A$2:$A$433,$A122,Desconto_Cliente_Mes!$B$2:$B$433,$B122,Desconto_Cliente_Mes!$C$2:$C$433,$C122)</f>
        <v>53120.9</v>
      </c>
      <c r="E122" s="37" t="str">
        <f aca="false">INDEX(Desconto_Cliente_Mes!$K$2:$K$433,MATCH($A122&amp;"|"&amp;$B122&amp;"|"&amp;$C122,Desconto_Cliente_Mes!$W$2:$W$433,0))</f>
        <v>Sim</v>
      </c>
      <c r="F122" s="39" t="n">
        <f aca="false">SUMIFS(Desconto_Cliente_Mes!$U$2:$U$433,Desconto_Cliente_Mes!$A$2:$A$433,$A122,Desconto_Cliente_Mes!$B$2:$B$433,$B122,Desconto_Cliente_Mes!$C$2:$C$433,$C122)</f>
        <v>33484.9540542134</v>
      </c>
      <c r="G122" s="39" t="n">
        <f aca="false">SUMIFS(Desconto_Cliente_Mes!$U$2:$U$433,Desconto_Cliente_Mes!$B$2:$B$433,$B122,Desconto_Cliente_Mes!$C$2:$C$433,$C122,Desconto_Cliente_Mes!$K$2:$K$433,"Sim")</f>
        <v>82370.9873921197</v>
      </c>
      <c r="H122" s="37" t="n">
        <f aca="false">SUMIFS(Desconto_Cliente_Mes!$D$2:$D$433,Desconto_Cliente_Mes!$B$2:$B$433,$B122,Desconto_Cliente_Mes!$C$2:$C$433,$C122,Desconto_Cliente_Mes!$K$2:$K$433,"Nao",Desconto_Cliente_Mes!$D$2:$D$433,"&gt;0")</f>
        <v>113342.84</v>
      </c>
      <c r="I122" s="42" t="n">
        <f aca="false">IF(AND($E122="Nao",$D122&gt;0,$H122&gt;0),$D122/$H122,0)</f>
        <v>0</v>
      </c>
      <c r="J122" s="40" t="n">
        <f aca="false">$I122*$G122</f>
        <v>0</v>
      </c>
      <c r="K122" s="40" t="n">
        <f aca="false">$J122-$F122</f>
        <v>-33484.9540542134</v>
      </c>
      <c r="L122" s="27" t="str">
        <f aca="false">IF($D122=0,"Sem embarque",IF($K122&gt;0,"Recebe","Paga"))</f>
        <v>Paga</v>
      </c>
    </row>
    <row r="123" customFormat="false" ht="15" hidden="false" customHeight="false" outlineLevel="0" collapsed="false">
      <c r="A123" s="27" t="s">
        <v>42</v>
      </c>
      <c r="B123" s="27" t="s">
        <v>62</v>
      </c>
      <c r="C123" s="27" t="s">
        <v>110</v>
      </c>
      <c r="D123" s="34" t="n">
        <f aca="false">SUMIFS(Desconto_Cliente_Mes!$D$2:$D$433,Desconto_Cliente_Mes!$A$2:$A$433,$A123,Desconto_Cliente_Mes!$B$2:$B$433,$B123,Desconto_Cliente_Mes!$C$2:$C$433,$C123)</f>
        <v>53120.9</v>
      </c>
      <c r="E123" s="37" t="str">
        <f aca="false">INDEX(Desconto_Cliente_Mes!$K$2:$K$433,MATCH($A123&amp;"|"&amp;$B123&amp;"|"&amp;$C123,Desconto_Cliente_Mes!$W$2:$W$433,0))</f>
        <v>Nao</v>
      </c>
      <c r="F123" s="39" t="n">
        <f aca="false">SUMIFS(Desconto_Cliente_Mes!$U$2:$U$433,Desconto_Cliente_Mes!$A$2:$A$433,$A123,Desconto_Cliente_Mes!$B$2:$B$433,$B123,Desconto_Cliente_Mes!$C$2:$C$433,$C123)</f>
        <v>0</v>
      </c>
      <c r="G123" s="39" t="n">
        <f aca="false">SUMIFS(Desconto_Cliente_Mes!$U$2:$U$433,Desconto_Cliente_Mes!$B$2:$B$433,$B123,Desconto_Cliente_Mes!$C$2:$C$433,$C123,Desconto_Cliente_Mes!$K$2:$K$433,"Sim")</f>
        <v>18695.6934849998</v>
      </c>
      <c r="H123" s="37" t="n">
        <f aca="false">SUMIFS(Desconto_Cliente_Mes!$D$2:$D$433,Desconto_Cliente_Mes!$B$2:$B$433,$B123,Desconto_Cliente_Mes!$C$2:$C$433,$C123,Desconto_Cliente_Mes!$K$2:$K$433,"Nao",Desconto_Cliente_Mes!$D$2:$D$433,"&gt;0")</f>
        <v>209144.13</v>
      </c>
      <c r="I123" s="42" t="n">
        <f aca="false">IF(AND($E123="Nao",$D123&gt;0,$H123&gt;0),$D123/$H123,0)</f>
        <v>0.253991828506016</v>
      </c>
      <c r="J123" s="40" t="n">
        <f aca="false">$I123*$G123</f>
        <v>4748.55337344312</v>
      </c>
      <c r="K123" s="40" t="n">
        <f aca="false">$J123-$F123</f>
        <v>4748.55337344312</v>
      </c>
      <c r="L123" s="27" t="str">
        <f aca="false">IF($D123=0,"Sem embarque",IF($K123&gt;0,"Recebe","Paga"))</f>
        <v>Recebe</v>
      </c>
    </row>
    <row r="124" customFormat="false" ht="15" hidden="false" customHeight="false" outlineLevel="0" collapsed="false">
      <c r="A124" s="27" t="s">
        <v>42</v>
      </c>
      <c r="B124" s="27" t="s">
        <v>62</v>
      </c>
      <c r="C124" s="27" t="s">
        <v>111</v>
      </c>
      <c r="D124" s="34" t="n">
        <f aca="false">SUMIFS(Desconto_Cliente_Mes!$D$2:$D$433,Desconto_Cliente_Mes!$A$2:$A$433,$A124,Desconto_Cliente_Mes!$B$2:$B$433,$B124,Desconto_Cliente_Mes!$C$2:$C$433,$C124)</f>
        <v>53120.9</v>
      </c>
      <c r="E124" s="37" t="str">
        <f aca="false">INDEX(Desconto_Cliente_Mes!$K$2:$K$433,MATCH($A124&amp;"|"&amp;$B124&amp;"|"&amp;$C124,Desconto_Cliente_Mes!$W$2:$W$433,0))</f>
        <v>Sim</v>
      </c>
      <c r="F124" s="39" t="n">
        <f aca="false">SUMIFS(Desconto_Cliente_Mes!$U$2:$U$433,Desconto_Cliente_Mes!$A$2:$A$433,$A124,Desconto_Cliente_Mes!$B$2:$B$433,$B124,Desconto_Cliente_Mes!$C$2:$C$433,$C124)</f>
        <v>8734.15282456172</v>
      </c>
      <c r="G124" s="39" t="n">
        <f aca="false">SUMIFS(Desconto_Cliente_Mes!$U$2:$U$433,Desconto_Cliente_Mes!$B$2:$B$433,$B124,Desconto_Cliente_Mes!$C$2:$C$433,$C124,Desconto_Cliente_Mes!$K$2:$K$433,"Sim")</f>
        <v>34643.0933013345</v>
      </c>
      <c r="H124" s="37" t="n">
        <f aca="false">SUMIFS(Desconto_Cliente_Mes!$D$2:$D$433,Desconto_Cliente_Mes!$B$2:$B$433,$B124,Desconto_Cliente_Mes!$C$2:$C$433,$C124,Desconto_Cliente_Mes!$K$2:$K$433,"Nao",Desconto_Cliente_Mes!$D$2:$D$433,"&gt;0")</f>
        <v>157163.21</v>
      </c>
      <c r="I124" s="42" t="n">
        <f aca="false">IF(AND($E124="Nao",$D124&gt;0,$H124&gt;0),$D124/$H124,0)</f>
        <v>0</v>
      </c>
      <c r="J124" s="40" t="n">
        <f aca="false">$I124*$G124</f>
        <v>0</v>
      </c>
      <c r="K124" s="40" t="n">
        <f aca="false">$J124-$F124</f>
        <v>-8734.15282456172</v>
      </c>
      <c r="L124" s="27" t="str">
        <f aca="false">IF($D124=0,"Sem embarque",IF($K124&gt;0,"Recebe","Paga"))</f>
        <v>Paga</v>
      </c>
    </row>
    <row r="125" customFormat="false" ht="15" hidden="false" customHeight="false" outlineLevel="0" collapsed="false">
      <c r="A125" s="27" t="s">
        <v>42</v>
      </c>
      <c r="B125" s="27" t="s">
        <v>63</v>
      </c>
      <c r="C125" s="27" t="s">
        <v>109</v>
      </c>
      <c r="D125" s="34" t="n">
        <f aca="false">SUMIFS(Desconto_Cliente_Mes!$D$2:$D$433,Desconto_Cliente_Mes!$A$2:$A$433,$A125,Desconto_Cliente_Mes!$B$2:$B$433,$B125,Desconto_Cliente_Mes!$C$2:$C$433,$C125)</f>
        <v>40336.83</v>
      </c>
      <c r="E125" s="37" t="str">
        <f aca="false">INDEX(Desconto_Cliente_Mes!$K$2:$K$433,MATCH($A125&amp;"|"&amp;$B125&amp;"|"&amp;$C125,Desconto_Cliente_Mes!$W$2:$W$433,0))</f>
        <v>Sim</v>
      </c>
      <c r="F125" s="39" t="n">
        <f aca="false">SUMIFS(Desconto_Cliente_Mes!$U$2:$U$433,Desconto_Cliente_Mes!$A$2:$A$433,$A125,Desconto_Cliente_Mes!$B$2:$B$433,$B125,Desconto_Cliente_Mes!$C$2:$C$433,$C125)</f>
        <v>5180.33923942371</v>
      </c>
      <c r="G125" s="39" t="n">
        <f aca="false">SUMIFS(Desconto_Cliente_Mes!$U$2:$U$433,Desconto_Cliente_Mes!$B$2:$B$433,$B125,Desconto_Cliente_Mes!$C$2:$C$433,$C125,Desconto_Cliente_Mes!$K$2:$K$433,"Sim")</f>
        <v>47810.1541211094</v>
      </c>
      <c r="H125" s="37" t="n">
        <f aca="false">SUMIFS(Desconto_Cliente_Mes!$D$2:$D$433,Desconto_Cliente_Mes!$B$2:$B$433,$B125,Desconto_Cliente_Mes!$C$2:$C$433,$C125,Desconto_Cliente_Mes!$K$2:$K$433,"Nao",Desconto_Cliente_Mes!$D$2:$D$433,"&gt;0")</f>
        <v>127871.4</v>
      </c>
      <c r="I125" s="42" t="n">
        <f aca="false">IF(AND($E125="Nao",$D125&gt;0,$H125&gt;0),$D125/$H125,0)</f>
        <v>0</v>
      </c>
      <c r="J125" s="40" t="n">
        <f aca="false">$I125*$G125</f>
        <v>0</v>
      </c>
      <c r="K125" s="40" t="n">
        <f aca="false">$J125-$F125</f>
        <v>-5180.33923942371</v>
      </c>
      <c r="L125" s="27" t="str">
        <f aca="false">IF($D125=0,"Sem embarque",IF($K125&gt;0,"Recebe","Paga"))</f>
        <v>Paga</v>
      </c>
    </row>
    <row r="126" customFormat="false" ht="15" hidden="false" customHeight="false" outlineLevel="0" collapsed="false">
      <c r="A126" s="27" t="s">
        <v>42</v>
      </c>
      <c r="B126" s="27" t="s">
        <v>63</v>
      </c>
      <c r="C126" s="27" t="s">
        <v>110</v>
      </c>
      <c r="D126" s="34" t="n">
        <f aca="false">SUMIFS(Desconto_Cliente_Mes!$D$2:$D$433,Desconto_Cliente_Mes!$A$2:$A$433,$A126,Desconto_Cliente_Mes!$B$2:$B$433,$B126,Desconto_Cliente_Mes!$C$2:$C$433,$C126)</f>
        <v>40336.83</v>
      </c>
      <c r="E126" s="37" t="str">
        <f aca="false">INDEX(Desconto_Cliente_Mes!$K$2:$K$433,MATCH($A126&amp;"|"&amp;$B126&amp;"|"&amp;$C126,Desconto_Cliente_Mes!$W$2:$W$433,0))</f>
        <v>Sim</v>
      </c>
      <c r="F126" s="39" t="n">
        <f aca="false">SUMIFS(Desconto_Cliente_Mes!$U$2:$U$433,Desconto_Cliente_Mes!$A$2:$A$433,$A126,Desconto_Cliente_Mes!$B$2:$B$433,$B126,Desconto_Cliente_Mes!$C$2:$C$433,$C126)</f>
        <v>17092.0458488846</v>
      </c>
      <c r="G126" s="39" t="n">
        <f aca="false">SUMIFS(Desconto_Cliente_Mes!$U$2:$U$433,Desconto_Cliente_Mes!$B$2:$B$433,$B126,Desconto_Cliente_Mes!$C$2:$C$433,$C126,Desconto_Cliente_Mes!$K$2:$K$433,"Sim")</f>
        <v>147648.667120088</v>
      </c>
      <c r="H126" s="37" t="n">
        <f aca="false">SUMIFS(Desconto_Cliente_Mes!$D$2:$D$433,Desconto_Cliente_Mes!$B$2:$B$433,$B126,Desconto_Cliente_Mes!$C$2:$C$433,$C126,Desconto_Cliente_Mes!$K$2:$K$433,"Nao",Desconto_Cliente_Mes!$D$2:$D$433,"&gt;0")</f>
        <v>232651.12</v>
      </c>
      <c r="I126" s="42" t="n">
        <f aca="false">IF(AND($E126="Nao",$D126&gt;0,$H126&gt;0),$D126/$H126,0)</f>
        <v>0</v>
      </c>
      <c r="J126" s="40" t="n">
        <f aca="false">$I126*$G126</f>
        <v>0</v>
      </c>
      <c r="K126" s="40" t="n">
        <f aca="false">$J126-$F126</f>
        <v>-17092.0458488846</v>
      </c>
      <c r="L126" s="27" t="str">
        <f aca="false">IF($D126=0,"Sem embarque",IF($K126&gt;0,"Recebe","Paga"))</f>
        <v>Paga</v>
      </c>
    </row>
    <row r="127" customFormat="false" ht="15" hidden="false" customHeight="false" outlineLevel="0" collapsed="false">
      <c r="A127" s="27" t="s">
        <v>42</v>
      </c>
      <c r="B127" s="27" t="s">
        <v>63</v>
      </c>
      <c r="C127" s="27" t="s">
        <v>111</v>
      </c>
      <c r="D127" s="34" t="n">
        <f aca="false">SUMIFS(Desconto_Cliente_Mes!$D$2:$D$433,Desconto_Cliente_Mes!$A$2:$A$433,$A127,Desconto_Cliente_Mes!$B$2:$B$433,$B127,Desconto_Cliente_Mes!$C$2:$C$433,$C127)</f>
        <v>40336.83</v>
      </c>
      <c r="E127" s="37" t="str">
        <f aca="false">INDEX(Desconto_Cliente_Mes!$K$2:$K$433,MATCH($A127&amp;"|"&amp;$B127&amp;"|"&amp;$C127,Desconto_Cliente_Mes!$W$2:$W$433,0))</f>
        <v>Sim</v>
      </c>
      <c r="F127" s="39" t="n">
        <f aca="false">SUMIFS(Desconto_Cliente_Mes!$U$2:$U$433,Desconto_Cliente_Mes!$A$2:$A$433,$A127,Desconto_Cliente_Mes!$B$2:$B$433,$B127,Desconto_Cliente_Mes!$C$2:$C$433,$C127)</f>
        <v>5599.94174095274</v>
      </c>
      <c r="G127" s="39" t="n">
        <f aca="false">SUMIFS(Desconto_Cliente_Mes!$U$2:$U$433,Desconto_Cliente_Mes!$B$2:$B$433,$B127,Desconto_Cliente_Mes!$C$2:$C$433,$C127,Desconto_Cliente_Mes!$K$2:$K$433,"Sim")</f>
        <v>31621.0546248943</v>
      </c>
      <c r="H127" s="37" t="n">
        <f aca="false">SUMIFS(Desconto_Cliente_Mes!$D$2:$D$433,Desconto_Cliente_Mes!$B$2:$B$433,$B127,Desconto_Cliente_Mes!$C$2:$C$433,$C127,Desconto_Cliente_Mes!$K$2:$K$433,"Nao",Desconto_Cliente_Mes!$D$2:$D$433,"&gt;0")</f>
        <v>127871.4</v>
      </c>
      <c r="I127" s="42" t="n">
        <f aca="false">IF(AND($E127="Nao",$D127&gt;0,$H127&gt;0),$D127/$H127,0)</f>
        <v>0</v>
      </c>
      <c r="J127" s="40" t="n">
        <f aca="false">$I127*$G127</f>
        <v>0</v>
      </c>
      <c r="K127" s="40" t="n">
        <f aca="false">$J127-$F127</f>
        <v>-5599.94174095274</v>
      </c>
      <c r="L127" s="27" t="str">
        <f aca="false">IF($D127=0,"Sem embarque",IF($K127&gt;0,"Recebe","Paga"))</f>
        <v>Paga</v>
      </c>
    </row>
    <row r="128" customFormat="false" ht="15" hidden="false" customHeight="false" outlineLevel="0" collapsed="false">
      <c r="A128" s="27" t="s">
        <v>42</v>
      </c>
      <c r="B128" s="27" t="s">
        <v>64</v>
      </c>
      <c r="C128" s="27" t="s">
        <v>109</v>
      </c>
      <c r="D128" s="34" t="n">
        <f aca="false">SUMIFS(Desconto_Cliente_Mes!$D$2:$D$433,Desconto_Cliente_Mes!$A$2:$A$433,$A128,Desconto_Cliente_Mes!$B$2:$B$433,$B128,Desconto_Cliente_Mes!$C$2:$C$433,$C128)</f>
        <v>5705.09</v>
      </c>
      <c r="E128" s="37" t="str">
        <f aca="false">INDEX(Desconto_Cliente_Mes!$K$2:$K$433,MATCH($A128&amp;"|"&amp;$B128&amp;"|"&amp;$C128,Desconto_Cliente_Mes!$W$2:$W$433,0))</f>
        <v>Sim</v>
      </c>
      <c r="F128" s="39" t="n">
        <f aca="false">SUMIFS(Desconto_Cliente_Mes!$U$2:$U$433,Desconto_Cliente_Mes!$A$2:$A$433,$A128,Desconto_Cliente_Mes!$B$2:$B$433,$B128,Desconto_Cliente_Mes!$C$2:$C$433,$C128)</f>
        <v>10976.6805456647</v>
      </c>
      <c r="G128" s="39" t="n">
        <f aca="false">SUMIFS(Desconto_Cliente_Mes!$U$2:$U$433,Desconto_Cliente_Mes!$B$2:$B$433,$B128,Desconto_Cliente_Mes!$C$2:$C$433,$C128,Desconto_Cliente_Mes!$K$2:$K$433,"Sim")</f>
        <v>176913.022848898</v>
      </c>
      <c r="H128" s="37" t="n">
        <f aca="false">SUMIFS(Desconto_Cliente_Mes!$D$2:$D$433,Desconto_Cliente_Mes!$B$2:$B$433,$B128,Desconto_Cliente_Mes!$C$2:$C$433,$C128,Desconto_Cliente_Mes!$K$2:$K$433,"Nao",Desconto_Cliente_Mes!$D$2:$D$433,"&gt;0")</f>
        <v>227119.227</v>
      </c>
      <c r="I128" s="42" t="n">
        <f aca="false">IF(AND($E128="Nao",$D128&gt;0,$H128&gt;0),$D128/$H128,0)</f>
        <v>0</v>
      </c>
      <c r="J128" s="40" t="n">
        <f aca="false">$I128*$G128</f>
        <v>0</v>
      </c>
      <c r="K128" s="40" t="n">
        <f aca="false">$J128-$F128</f>
        <v>-10976.6805456647</v>
      </c>
      <c r="L128" s="27" t="str">
        <f aca="false">IF($D128=0,"Sem embarque",IF($K128&gt;0,"Recebe","Paga"))</f>
        <v>Paga</v>
      </c>
    </row>
    <row r="129" customFormat="false" ht="15" hidden="false" customHeight="false" outlineLevel="0" collapsed="false">
      <c r="A129" s="27" t="s">
        <v>42</v>
      </c>
      <c r="B129" s="27" t="s">
        <v>64</v>
      </c>
      <c r="C129" s="27" t="s">
        <v>110</v>
      </c>
      <c r="D129" s="34" t="n">
        <f aca="false">SUMIFS(Desconto_Cliente_Mes!$D$2:$D$433,Desconto_Cliente_Mes!$A$2:$A$433,$A129,Desconto_Cliente_Mes!$B$2:$B$433,$B129,Desconto_Cliente_Mes!$C$2:$C$433,$C129)</f>
        <v>5705.09</v>
      </c>
      <c r="E129" s="37" t="str">
        <f aca="false">INDEX(Desconto_Cliente_Mes!$K$2:$K$433,MATCH($A129&amp;"|"&amp;$B129&amp;"|"&amp;$C129,Desconto_Cliente_Mes!$W$2:$W$433,0))</f>
        <v>Sim</v>
      </c>
      <c r="F129" s="39" t="n">
        <f aca="false">SUMIFS(Desconto_Cliente_Mes!$U$2:$U$433,Desconto_Cliente_Mes!$A$2:$A$433,$A129,Desconto_Cliente_Mes!$B$2:$B$433,$B129,Desconto_Cliente_Mes!$C$2:$C$433,$C129)</f>
        <v>4151.27682800003</v>
      </c>
      <c r="G129" s="39" t="n">
        <f aca="false">SUMIFS(Desconto_Cliente_Mes!$U$2:$U$433,Desconto_Cliente_Mes!$B$2:$B$433,$B129,Desconto_Cliente_Mes!$C$2:$C$433,$C129,Desconto_Cliente_Mes!$K$2:$K$433,"Sim")</f>
        <v>78148.4030953999</v>
      </c>
      <c r="H129" s="37" t="n">
        <f aca="false">SUMIFS(Desconto_Cliente_Mes!$D$2:$D$433,Desconto_Cliente_Mes!$B$2:$B$433,$B129,Desconto_Cliente_Mes!$C$2:$C$433,$C129,Desconto_Cliente_Mes!$K$2:$K$433,"Nao",Desconto_Cliente_Mes!$D$2:$D$433,"&gt;0")</f>
        <v>367366.52</v>
      </c>
      <c r="I129" s="42" t="n">
        <f aca="false">IF(AND($E129="Nao",$D129&gt;0,$H129&gt;0),$D129/$H129,0)</f>
        <v>0</v>
      </c>
      <c r="J129" s="40" t="n">
        <f aca="false">$I129*$G129</f>
        <v>0</v>
      </c>
      <c r="K129" s="40" t="n">
        <f aca="false">$J129-$F129</f>
        <v>-4151.27682800003</v>
      </c>
      <c r="L129" s="27" t="str">
        <f aca="false">IF($D129=0,"Sem embarque",IF($K129&gt;0,"Recebe","Paga"))</f>
        <v>Paga</v>
      </c>
    </row>
    <row r="130" customFormat="false" ht="15" hidden="false" customHeight="false" outlineLevel="0" collapsed="false">
      <c r="A130" s="27" t="s">
        <v>42</v>
      </c>
      <c r="B130" s="27" t="s">
        <v>64</v>
      </c>
      <c r="C130" s="27" t="s">
        <v>111</v>
      </c>
      <c r="D130" s="34" t="n">
        <f aca="false">SUMIFS(Desconto_Cliente_Mes!$D$2:$D$433,Desconto_Cliente_Mes!$A$2:$A$433,$A130,Desconto_Cliente_Mes!$B$2:$B$433,$B130,Desconto_Cliente_Mes!$C$2:$C$433,$C130)</f>
        <v>5705.09</v>
      </c>
      <c r="E130" s="37" t="str">
        <f aca="false">INDEX(Desconto_Cliente_Mes!$K$2:$K$433,MATCH($A130&amp;"|"&amp;$B130&amp;"|"&amp;$C130,Desconto_Cliente_Mes!$W$2:$W$433,0))</f>
        <v>Sim</v>
      </c>
      <c r="F130" s="39" t="n">
        <f aca="false">SUMIFS(Desconto_Cliente_Mes!$U$2:$U$433,Desconto_Cliente_Mes!$A$2:$A$433,$A130,Desconto_Cliente_Mes!$B$2:$B$433,$B130,Desconto_Cliente_Mes!$C$2:$C$433,$C130)</f>
        <v>8333.047044</v>
      </c>
      <c r="G130" s="39" t="n">
        <f aca="false">SUMIFS(Desconto_Cliente_Mes!$U$2:$U$433,Desconto_Cliente_Mes!$B$2:$B$433,$B130,Desconto_Cliente_Mes!$C$2:$C$433,$C130,Desconto_Cliente_Mes!$K$2:$K$433,"Sim")</f>
        <v>53234.6338979999</v>
      </c>
      <c r="H130" s="37" t="n">
        <f aca="false">SUMIFS(Desconto_Cliente_Mes!$D$2:$D$433,Desconto_Cliente_Mes!$B$2:$B$433,$B130,Desconto_Cliente_Mes!$C$2:$C$433,$C130,Desconto_Cliente_Mes!$K$2:$K$433,"Nao",Desconto_Cliente_Mes!$D$2:$D$433,"&gt;0")</f>
        <v>250467.867</v>
      </c>
      <c r="I130" s="42" t="n">
        <f aca="false">IF(AND($E130="Nao",$D130&gt;0,$H130&gt;0),$D130/$H130,0)</f>
        <v>0</v>
      </c>
      <c r="J130" s="40" t="n">
        <f aca="false">$I130*$G130</f>
        <v>0</v>
      </c>
      <c r="K130" s="40" t="n">
        <f aca="false">$J130-$F130</f>
        <v>-8333.047044</v>
      </c>
      <c r="L130" s="27" t="str">
        <f aca="false">IF($D130=0,"Sem embarque",IF($K130&gt;0,"Recebe","Paga"))</f>
        <v>Paga</v>
      </c>
    </row>
    <row r="131" customFormat="false" ht="15" hidden="false" customHeight="false" outlineLevel="0" collapsed="false">
      <c r="A131" s="27" t="s">
        <v>42</v>
      </c>
      <c r="B131" s="27" t="s">
        <v>65</v>
      </c>
      <c r="C131" s="27" t="s">
        <v>109</v>
      </c>
      <c r="D131" s="34" t="n">
        <f aca="false">SUMIFS(Desconto_Cliente_Mes!$D$2:$D$433,Desconto_Cliente_Mes!$A$2:$A$433,$A131,Desconto_Cliente_Mes!$B$2:$B$433,$B131,Desconto_Cliente_Mes!$C$2:$C$433,$C131)</f>
        <v>5005.2</v>
      </c>
      <c r="E131" s="37" t="str">
        <f aca="false">INDEX(Desconto_Cliente_Mes!$K$2:$K$433,MATCH($A131&amp;"|"&amp;$B131&amp;"|"&amp;$C131,Desconto_Cliente_Mes!$W$2:$W$433,0))</f>
        <v>Sim</v>
      </c>
      <c r="F131" s="39" t="n">
        <f aca="false">SUMIFS(Desconto_Cliente_Mes!$U$2:$U$433,Desconto_Cliente_Mes!$A$2:$A$433,$A131,Desconto_Cliente_Mes!$B$2:$B$433,$B131,Desconto_Cliente_Mes!$C$2:$C$433,$C131)</f>
        <v>2652.30525994093</v>
      </c>
      <c r="G131" s="39" t="n">
        <f aca="false">SUMIFS(Desconto_Cliente_Mes!$U$2:$U$433,Desconto_Cliente_Mes!$B$2:$B$433,$B131,Desconto_Cliente_Mes!$C$2:$C$433,$C131,Desconto_Cliente_Mes!$K$2:$K$433,"Sim")</f>
        <v>264399.663796851</v>
      </c>
      <c r="H131" s="37" t="n">
        <f aca="false">SUMIFS(Desconto_Cliente_Mes!$D$2:$D$433,Desconto_Cliente_Mes!$B$2:$B$433,$B131,Desconto_Cliente_Mes!$C$2:$C$433,$C131,Desconto_Cliente_Mes!$K$2:$K$433,"Nao",Desconto_Cliente_Mes!$D$2:$D$433,"&gt;0")</f>
        <v>166556.65</v>
      </c>
      <c r="I131" s="42" t="n">
        <f aca="false">IF(AND($E131="Nao",$D131&gt;0,$H131&gt;0),$D131/$H131,0)</f>
        <v>0</v>
      </c>
      <c r="J131" s="40" t="n">
        <f aca="false">$I131*$G131</f>
        <v>0</v>
      </c>
      <c r="K131" s="40" t="n">
        <f aca="false">$J131-$F131</f>
        <v>-2652.30525994093</v>
      </c>
      <c r="L131" s="27" t="str">
        <f aca="false">IF($D131=0,"Sem embarque",IF($K131&gt;0,"Recebe","Paga"))</f>
        <v>Paga</v>
      </c>
    </row>
    <row r="132" customFormat="false" ht="15" hidden="false" customHeight="false" outlineLevel="0" collapsed="false">
      <c r="A132" s="27" t="s">
        <v>42</v>
      </c>
      <c r="B132" s="27" t="s">
        <v>65</v>
      </c>
      <c r="C132" s="27" t="s">
        <v>110</v>
      </c>
      <c r="D132" s="34" t="n">
        <f aca="false">SUMIFS(Desconto_Cliente_Mes!$D$2:$D$433,Desconto_Cliente_Mes!$A$2:$A$433,$A132,Desconto_Cliente_Mes!$B$2:$B$433,$B132,Desconto_Cliente_Mes!$C$2:$C$433,$C132)</f>
        <v>5005.2</v>
      </c>
      <c r="E132" s="37" t="str">
        <f aca="false">INDEX(Desconto_Cliente_Mes!$K$2:$K$433,MATCH($A132&amp;"|"&amp;$B132&amp;"|"&amp;$C132,Desconto_Cliente_Mes!$W$2:$W$433,0))</f>
        <v>Nao</v>
      </c>
      <c r="F132" s="39" t="n">
        <f aca="false">SUMIFS(Desconto_Cliente_Mes!$U$2:$U$433,Desconto_Cliente_Mes!$A$2:$A$433,$A132,Desconto_Cliente_Mes!$B$2:$B$433,$B132,Desconto_Cliente_Mes!$C$2:$C$433,$C132)</f>
        <v>0</v>
      </c>
      <c r="G132" s="39" t="n">
        <f aca="false">SUMIFS(Desconto_Cliente_Mes!$U$2:$U$433,Desconto_Cliente_Mes!$B$2:$B$433,$B132,Desconto_Cliente_Mes!$C$2:$C$433,$C132,Desconto_Cliente_Mes!$K$2:$K$433,"Sim")</f>
        <v>54942.617336</v>
      </c>
      <c r="H132" s="37" t="n">
        <f aca="false">SUMIFS(Desconto_Cliente_Mes!$D$2:$D$433,Desconto_Cliente_Mes!$B$2:$B$433,$B132,Desconto_Cliente_Mes!$C$2:$C$433,$C132,Desconto_Cliente_Mes!$K$2:$K$433,"Nao",Desconto_Cliente_Mes!$D$2:$D$433,"&gt;0")</f>
        <v>378160.7</v>
      </c>
      <c r="I132" s="42" t="n">
        <f aca="false">IF(AND($E132="Nao",$D132&gt;0,$H132&gt;0),$D132/$H132,0)</f>
        <v>0.013235642942273</v>
      </c>
      <c r="J132" s="40" t="n">
        <f aca="false">$I132*$G132</f>
        <v>727.200865373231</v>
      </c>
      <c r="K132" s="40" t="n">
        <f aca="false">$J132-$F132</f>
        <v>727.200865373231</v>
      </c>
      <c r="L132" s="27" t="str">
        <f aca="false">IF($D132=0,"Sem embarque",IF($K132&gt;0,"Recebe","Paga"))</f>
        <v>Recebe</v>
      </c>
    </row>
    <row r="133" customFormat="false" ht="15" hidden="false" customHeight="false" outlineLevel="0" collapsed="false">
      <c r="A133" s="27" t="s">
        <v>42</v>
      </c>
      <c r="B133" s="27" t="s">
        <v>65</v>
      </c>
      <c r="C133" s="27" t="s">
        <v>111</v>
      </c>
      <c r="D133" s="34" t="n">
        <f aca="false">SUMIFS(Desconto_Cliente_Mes!$D$2:$D$433,Desconto_Cliente_Mes!$A$2:$A$433,$A133,Desconto_Cliente_Mes!$B$2:$B$433,$B133,Desconto_Cliente_Mes!$C$2:$C$433,$C133)</f>
        <v>5005.2</v>
      </c>
      <c r="E133" s="37" t="str">
        <f aca="false">INDEX(Desconto_Cliente_Mes!$K$2:$K$433,MATCH($A133&amp;"|"&amp;$B133&amp;"|"&amp;$C133,Desconto_Cliente_Mes!$W$2:$W$433,0))</f>
        <v>Sim</v>
      </c>
      <c r="F133" s="39" t="n">
        <f aca="false">SUMIFS(Desconto_Cliente_Mes!$U$2:$U$433,Desconto_Cliente_Mes!$A$2:$A$433,$A133,Desconto_Cliente_Mes!$B$2:$B$433,$B133,Desconto_Cliente_Mes!$C$2:$C$433,$C133)</f>
        <v>3486.71044536968</v>
      </c>
      <c r="G133" s="39" t="n">
        <f aca="false">SUMIFS(Desconto_Cliente_Mes!$U$2:$U$433,Desconto_Cliente_Mes!$B$2:$B$433,$B133,Desconto_Cliente_Mes!$C$2:$C$433,$C133,Desconto_Cliente_Mes!$K$2:$K$433,"Sim")</f>
        <v>131995.749729693</v>
      </c>
      <c r="H133" s="37" t="n">
        <f aca="false">SUMIFS(Desconto_Cliente_Mes!$D$2:$D$433,Desconto_Cliente_Mes!$B$2:$B$433,$B133,Desconto_Cliente_Mes!$C$2:$C$433,$C133,Desconto_Cliente_Mes!$K$2:$K$433,"Nao",Desconto_Cliente_Mes!$D$2:$D$433,"&gt;0")</f>
        <v>132693.79</v>
      </c>
      <c r="I133" s="42" t="n">
        <f aca="false">IF(AND($E133="Nao",$D133&gt;0,$H133&gt;0),$D133/$H133,0)</f>
        <v>0</v>
      </c>
      <c r="J133" s="40" t="n">
        <f aca="false">$I133*$G133</f>
        <v>0</v>
      </c>
      <c r="K133" s="40" t="n">
        <f aca="false">$J133-$F133</f>
        <v>-3486.71044536968</v>
      </c>
      <c r="L133" s="27" t="str">
        <f aca="false">IF($D133=0,"Sem embarque",IF($K133&gt;0,"Recebe","Paga"))</f>
        <v>Paga</v>
      </c>
    </row>
    <row r="134" customFormat="false" ht="15" hidden="false" customHeight="false" outlineLevel="0" collapsed="false">
      <c r="A134" s="27" t="s">
        <v>42</v>
      </c>
      <c r="B134" s="27" t="s">
        <v>66</v>
      </c>
      <c r="C134" s="27" t="s">
        <v>109</v>
      </c>
      <c r="D134" s="34" t="n">
        <f aca="false">SUMIFS(Desconto_Cliente_Mes!$D$2:$D$433,Desconto_Cliente_Mes!$A$2:$A$433,$A134,Desconto_Cliente_Mes!$B$2:$B$433,$B134,Desconto_Cliente_Mes!$C$2:$C$433,$C134)</f>
        <v>229.82</v>
      </c>
      <c r="E134" s="37" t="str">
        <f aca="false">INDEX(Desconto_Cliente_Mes!$K$2:$K$433,MATCH($A134&amp;"|"&amp;$B134&amp;"|"&amp;$C134,Desconto_Cliente_Mes!$W$2:$W$433,0))</f>
        <v>Sim</v>
      </c>
      <c r="F134" s="39" t="n">
        <f aca="false">SUMIFS(Desconto_Cliente_Mes!$U$2:$U$433,Desconto_Cliente_Mes!$A$2:$A$433,$A134,Desconto_Cliente_Mes!$B$2:$B$433,$B134,Desconto_Cliente_Mes!$C$2:$C$433,$C134)</f>
        <v>208.844265659303</v>
      </c>
      <c r="G134" s="39" t="n">
        <f aca="false">SUMIFS(Desconto_Cliente_Mes!$U$2:$U$433,Desconto_Cliente_Mes!$B$2:$B$433,$B134,Desconto_Cliente_Mes!$C$2:$C$433,$C134,Desconto_Cliente_Mes!$K$2:$K$433,"Sim")</f>
        <v>26408.1404587724</v>
      </c>
      <c r="H134" s="37" t="n">
        <f aca="false">SUMIFS(Desconto_Cliente_Mes!$D$2:$D$433,Desconto_Cliente_Mes!$B$2:$B$433,$B134,Desconto_Cliente_Mes!$C$2:$C$433,$C134,Desconto_Cliente_Mes!$K$2:$K$433,"Nao",Desconto_Cliente_Mes!$D$2:$D$433,"&gt;0")</f>
        <v>25249.51</v>
      </c>
      <c r="I134" s="42" t="n">
        <f aca="false">IF(AND($E134="Nao",$D134&gt;0,$H134&gt;0),$D134/$H134,0)</f>
        <v>0</v>
      </c>
      <c r="J134" s="40" t="n">
        <f aca="false">$I134*$G134</f>
        <v>0</v>
      </c>
      <c r="K134" s="40" t="n">
        <f aca="false">$J134-$F134</f>
        <v>-208.844265659303</v>
      </c>
      <c r="L134" s="27" t="str">
        <f aca="false">IF($D134=0,"Sem embarque",IF($K134&gt;0,"Recebe","Paga"))</f>
        <v>Paga</v>
      </c>
    </row>
    <row r="135" customFormat="false" ht="15" hidden="false" customHeight="false" outlineLevel="0" collapsed="false">
      <c r="A135" s="27" t="s">
        <v>42</v>
      </c>
      <c r="B135" s="27" t="s">
        <v>66</v>
      </c>
      <c r="C135" s="27" t="s">
        <v>110</v>
      </c>
      <c r="D135" s="34" t="n">
        <f aca="false">SUMIFS(Desconto_Cliente_Mes!$D$2:$D$433,Desconto_Cliente_Mes!$A$2:$A$433,$A135,Desconto_Cliente_Mes!$B$2:$B$433,$B135,Desconto_Cliente_Mes!$C$2:$C$433,$C135)</f>
        <v>229.82</v>
      </c>
      <c r="E135" s="37" t="str">
        <f aca="false">INDEX(Desconto_Cliente_Mes!$K$2:$K$433,MATCH($A135&amp;"|"&amp;$B135&amp;"|"&amp;$C135,Desconto_Cliente_Mes!$W$2:$W$433,0))</f>
        <v>Nao</v>
      </c>
      <c r="F135" s="39" t="n">
        <f aca="false">SUMIFS(Desconto_Cliente_Mes!$U$2:$U$433,Desconto_Cliente_Mes!$A$2:$A$433,$A135,Desconto_Cliente_Mes!$B$2:$B$433,$B135,Desconto_Cliente_Mes!$C$2:$C$433,$C135)</f>
        <v>0</v>
      </c>
      <c r="G135" s="39" t="n">
        <f aca="false">SUMIFS(Desconto_Cliente_Mes!$U$2:$U$433,Desconto_Cliente_Mes!$B$2:$B$433,$B135,Desconto_Cliente_Mes!$C$2:$C$433,$C135,Desconto_Cliente_Mes!$K$2:$K$433,"Sim")</f>
        <v>20574.688366</v>
      </c>
      <c r="H135" s="37" t="n">
        <f aca="false">SUMIFS(Desconto_Cliente_Mes!$D$2:$D$433,Desconto_Cliente_Mes!$B$2:$B$433,$B135,Desconto_Cliente_Mes!$C$2:$C$433,$C135,Desconto_Cliente_Mes!$K$2:$K$433,"Nao",Desconto_Cliente_Mes!$D$2:$D$433,"&gt;0")</f>
        <v>36785.35</v>
      </c>
      <c r="I135" s="42" t="n">
        <f aca="false">IF(AND($E135="Nao",$D135&gt;0,$H135&gt;0),$D135/$H135,0)</f>
        <v>0.00624759584997832</v>
      </c>
      <c r="J135" s="40" t="n">
        <f aca="false">$I135*$G135</f>
        <v>128.542337650019</v>
      </c>
      <c r="K135" s="40" t="n">
        <f aca="false">$J135-$F135</f>
        <v>128.542337650019</v>
      </c>
      <c r="L135" s="27" t="str">
        <f aca="false">IF($D135=0,"Sem embarque",IF($K135&gt;0,"Recebe","Paga"))</f>
        <v>Recebe</v>
      </c>
    </row>
    <row r="136" customFormat="false" ht="15" hidden="false" customHeight="false" outlineLevel="0" collapsed="false">
      <c r="A136" s="27" t="s">
        <v>42</v>
      </c>
      <c r="B136" s="27" t="s">
        <v>66</v>
      </c>
      <c r="C136" s="27" t="s">
        <v>111</v>
      </c>
      <c r="D136" s="34" t="n">
        <f aca="false">SUMIFS(Desconto_Cliente_Mes!$D$2:$D$433,Desconto_Cliente_Mes!$A$2:$A$433,$A136,Desconto_Cliente_Mes!$B$2:$B$433,$B136,Desconto_Cliente_Mes!$C$2:$C$433,$C136)</f>
        <v>229.82</v>
      </c>
      <c r="E136" s="37" t="str">
        <f aca="false">INDEX(Desconto_Cliente_Mes!$K$2:$K$433,MATCH($A136&amp;"|"&amp;$B136&amp;"|"&amp;$C136,Desconto_Cliente_Mes!$W$2:$W$433,0))</f>
        <v>Sim</v>
      </c>
      <c r="F136" s="39" t="n">
        <f aca="false">SUMIFS(Desconto_Cliente_Mes!$U$2:$U$433,Desconto_Cliente_Mes!$A$2:$A$433,$A136,Desconto_Cliente_Mes!$B$2:$B$433,$B136,Desconto_Cliente_Mes!$C$2:$C$433,$C136)</f>
        <v>148.990622069578</v>
      </c>
      <c r="G136" s="39" t="n">
        <f aca="false">SUMIFS(Desconto_Cliente_Mes!$U$2:$U$433,Desconto_Cliente_Mes!$B$2:$B$433,$B136,Desconto_Cliente_Mes!$C$2:$C$433,$C136,Desconto_Cliente_Mes!$K$2:$K$433,"Sim")</f>
        <v>12224.7687289319</v>
      </c>
      <c r="H136" s="37" t="n">
        <f aca="false">SUMIFS(Desconto_Cliente_Mes!$D$2:$D$433,Desconto_Cliente_Mes!$B$2:$B$433,$B136,Desconto_Cliente_Mes!$C$2:$C$433,$C136,Desconto_Cliente_Mes!$K$2:$K$433,"Nao",Desconto_Cliente_Mes!$D$2:$D$433,"&gt;0")</f>
        <v>41847.52</v>
      </c>
      <c r="I136" s="42" t="n">
        <f aca="false">IF(AND($E136="Nao",$D136&gt;0,$H136&gt;0),$D136/$H136,0)</f>
        <v>0</v>
      </c>
      <c r="J136" s="40" t="n">
        <f aca="false">$I136*$G136</f>
        <v>0</v>
      </c>
      <c r="K136" s="40" t="n">
        <f aca="false">$J136-$F136</f>
        <v>-148.990622069578</v>
      </c>
      <c r="L136" s="27" t="str">
        <f aca="false">IF($D136=0,"Sem embarque",IF($K136&gt;0,"Recebe","Paga"))</f>
        <v>Paga</v>
      </c>
    </row>
    <row r="137" customFormat="false" ht="15" hidden="false" customHeight="false" outlineLevel="0" collapsed="false">
      <c r="A137" s="27" t="s">
        <v>42</v>
      </c>
      <c r="B137" s="27" t="s">
        <v>67</v>
      </c>
      <c r="C137" s="27" t="s">
        <v>109</v>
      </c>
      <c r="D137" s="34" t="n">
        <f aca="false">SUMIFS(Desconto_Cliente_Mes!$D$2:$D$433,Desconto_Cliente_Mes!$A$2:$A$433,$A137,Desconto_Cliente_Mes!$B$2:$B$433,$B137,Desconto_Cliente_Mes!$C$2:$C$433,$C137)</f>
        <v>0</v>
      </c>
      <c r="E137" s="37" t="str">
        <f aca="false">INDEX(Desconto_Cliente_Mes!$K$2:$K$433,MATCH($A137&amp;"|"&amp;$B137&amp;"|"&amp;$C137,Desconto_Cliente_Mes!$W$2:$W$433,0))</f>
        <v/>
      </c>
      <c r="F137" s="39" t="n">
        <f aca="false">SUMIFS(Desconto_Cliente_Mes!$U$2:$U$433,Desconto_Cliente_Mes!$A$2:$A$433,$A137,Desconto_Cliente_Mes!$B$2:$B$433,$B137,Desconto_Cliente_Mes!$C$2:$C$433,$C137)</f>
        <v>0</v>
      </c>
      <c r="G137" s="39" t="n">
        <f aca="false">SUMIFS(Desconto_Cliente_Mes!$U$2:$U$433,Desconto_Cliente_Mes!$B$2:$B$433,$B137,Desconto_Cliente_Mes!$C$2:$C$433,$C137,Desconto_Cliente_Mes!$K$2:$K$433,"Sim")</f>
        <v>0</v>
      </c>
      <c r="H137" s="37" t="n">
        <f aca="false">SUMIFS(Desconto_Cliente_Mes!$D$2:$D$433,Desconto_Cliente_Mes!$B$2:$B$433,$B137,Desconto_Cliente_Mes!$C$2:$C$433,$C137,Desconto_Cliente_Mes!$K$2:$K$433,"Nao",Desconto_Cliente_Mes!$D$2:$D$433,"&gt;0")</f>
        <v>0</v>
      </c>
      <c r="I137" s="42" t="n">
        <f aca="false">IF(AND($E137="Nao",$D137&gt;0,$H137&gt;0),$D137/$H137,0)</f>
        <v>0</v>
      </c>
      <c r="J137" s="40" t="n">
        <f aca="false">$I137*$G137</f>
        <v>0</v>
      </c>
      <c r="K137" s="40" t="n">
        <f aca="false">$J137-$F137</f>
        <v>0</v>
      </c>
      <c r="L137" s="27" t="str">
        <f aca="false">IF($D137=0,"Sem embarque",IF($K137&gt;0,"Recebe","Paga"))</f>
        <v>Sem embarque</v>
      </c>
    </row>
    <row r="138" customFormat="false" ht="15" hidden="false" customHeight="false" outlineLevel="0" collapsed="false">
      <c r="A138" s="27" t="s">
        <v>42</v>
      </c>
      <c r="B138" s="27" t="s">
        <v>67</v>
      </c>
      <c r="C138" s="27" t="s">
        <v>110</v>
      </c>
      <c r="D138" s="34" t="n">
        <f aca="false">SUMIFS(Desconto_Cliente_Mes!$D$2:$D$433,Desconto_Cliente_Mes!$A$2:$A$433,$A138,Desconto_Cliente_Mes!$B$2:$B$433,$B138,Desconto_Cliente_Mes!$C$2:$C$433,$C138)</f>
        <v>0</v>
      </c>
      <c r="E138" s="37" t="str">
        <f aca="false">INDEX(Desconto_Cliente_Mes!$K$2:$K$433,MATCH($A138&amp;"|"&amp;$B138&amp;"|"&amp;$C138,Desconto_Cliente_Mes!$W$2:$W$433,0))</f>
        <v/>
      </c>
      <c r="F138" s="39" t="n">
        <f aca="false">SUMIFS(Desconto_Cliente_Mes!$U$2:$U$433,Desconto_Cliente_Mes!$A$2:$A$433,$A138,Desconto_Cliente_Mes!$B$2:$B$433,$B138,Desconto_Cliente_Mes!$C$2:$C$433,$C138)</f>
        <v>0</v>
      </c>
      <c r="G138" s="39" t="n">
        <f aca="false">SUMIFS(Desconto_Cliente_Mes!$U$2:$U$433,Desconto_Cliente_Mes!$B$2:$B$433,$B138,Desconto_Cliente_Mes!$C$2:$C$433,$C138,Desconto_Cliente_Mes!$K$2:$K$433,"Sim")</f>
        <v>0</v>
      </c>
      <c r="H138" s="37" t="n">
        <f aca="false">SUMIFS(Desconto_Cliente_Mes!$D$2:$D$433,Desconto_Cliente_Mes!$B$2:$B$433,$B138,Desconto_Cliente_Mes!$C$2:$C$433,$C138,Desconto_Cliente_Mes!$K$2:$K$433,"Nao",Desconto_Cliente_Mes!$D$2:$D$433,"&gt;0")</f>
        <v>0</v>
      </c>
      <c r="I138" s="42" t="n">
        <f aca="false">IF(AND($E138="Nao",$D138&gt;0,$H138&gt;0),$D138/$H138,0)</f>
        <v>0</v>
      </c>
      <c r="J138" s="40" t="n">
        <f aca="false">$I138*$G138</f>
        <v>0</v>
      </c>
      <c r="K138" s="40" t="n">
        <f aca="false">$J138-$F138</f>
        <v>0</v>
      </c>
      <c r="L138" s="27" t="str">
        <f aca="false">IF($D138=0,"Sem embarque",IF($K138&gt;0,"Recebe","Paga"))</f>
        <v>Sem embarque</v>
      </c>
    </row>
    <row r="139" customFormat="false" ht="15" hidden="false" customHeight="false" outlineLevel="0" collapsed="false">
      <c r="A139" s="27" t="s">
        <v>42</v>
      </c>
      <c r="B139" s="27" t="s">
        <v>67</v>
      </c>
      <c r="C139" s="27" t="s">
        <v>111</v>
      </c>
      <c r="D139" s="34" t="n">
        <f aca="false">SUMIFS(Desconto_Cliente_Mes!$D$2:$D$433,Desconto_Cliente_Mes!$A$2:$A$433,$A139,Desconto_Cliente_Mes!$B$2:$B$433,$B139,Desconto_Cliente_Mes!$C$2:$C$433,$C139)</f>
        <v>0</v>
      </c>
      <c r="E139" s="37" t="str">
        <f aca="false">INDEX(Desconto_Cliente_Mes!$K$2:$K$433,MATCH($A139&amp;"|"&amp;$B139&amp;"|"&amp;$C139,Desconto_Cliente_Mes!$W$2:$W$433,0))</f>
        <v/>
      </c>
      <c r="F139" s="39" t="n">
        <f aca="false">SUMIFS(Desconto_Cliente_Mes!$U$2:$U$433,Desconto_Cliente_Mes!$A$2:$A$433,$A139,Desconto_Cliente_Mes!$B$2:$B$433,$B139,Desconto_Cliente_Mes!$C$2:$C$433,$C139)</f>
        <v>0</v>
      </c>
      <c r="G139" s="39" t="n">
        <f aca="false">SUMIFS(Desconto_Cliente_Mes!$U$2:$U$433,Desconto_Cliente_Mes!$B$2:$B$433,$B139,Desconto_Cliente_Mes!$C$2:$C$433,$C139,Desconto_Cliente_Mes!$K$2:$K$433,"Sim")</f>
        <v>0</v>
      </c>
      <c r="H139" s="37" t="n">
        <f aca="false">SUMIFS(Desconto_Cliente_Mes!$D$2:$D$433,Desconto_Cliente_Mes!$B$2:$B$433,$B139,Desconto_Cliente_Mes!$C$2:$C$433,$C139,Desconto_Cliente_Mes!$K$2:$K$433,"Nao",Desconto_Cliente_Mes!$D$2:$D$433,"&gt;0")</f>
        <v>0</v>
      </c>
      <c r="I139" s="42" t="n">
        <f aca="false">IF(AND($E139="Nao",$D139&gt;0,$H139&gt;0),$D139/$H139,0)</f>
        <v>0</v>
      </c>
      <c r="J139" s="40" t="n">
        <f aca="false">$I139*$G139</f>
        <v>0</v>
      </c>
      <c r="K139" s="40" t="n">
        <f aca="false">$J139-$F139</f>
        <v>0</v>
      </c>
      <c r="L139" s="27" t="str">
        <f aca="false">IF($D139=0,"Sem embarque",IF($K139&gt;0,"Recebe","Paga"))</f>
        <v>Sem embarque</v>
      </c>
    </row>
    <row r="140" customFormat="false" ht="15" hidden="false" customHeight="false" outlineLevel="0" collapsed="false">
      <c r="A140" s="27" t="s">
        <v>42</v>
      </c>
      <c r="B140" s="27" t="s">
        <v>68</v>
      </c>
      <c r="C140" s="27" t="s">
        <v>109</v>
      </c>
      <c r="D140" s="34" t="n">
        <f aca="false">SUMIFS(Desconto_Cliente_Mes!$D$2:$D$433,Desconto_Cliente_Mes!$A$2:$A$433,$A140,Desconto_Cliente_Mes!$B$2:$B$433,$B140,Desconto_Cliente_Mes!$C$2:$C$433,$C140)</f>
        <v>0</v>
      </c>
      <c r="E140" s="37" t="str">
        <f aca="false">INDEX(Desconto_Cliente_Mes!$K$2:$K$433,MATCH($A140&amp;"|"&amp;$B140&amp;"|"&amp;$C140,Desconto_Cliente_Mes!$W$2:$W$433,0))</f>
        <v/>
      </c>
      <c r="F140" s="39" t="n">
        <f aca="false">SUMIFS(Desconto_Cliente_Mes!$U$2:$U$433,Desconto_Cliente_Mes!$A$2:$A$433,$A140,Desconto_Cliente_Mes!$B$2:$B$433,$B140,Desconto_Cliente_Mes!$C$2:$C$433,$C140)</f>
        <v>0</v>
      </c>
      <c r="G140" s="39" t="n">
        <f aca="false">SUMIFS(Desconto_Cliente_Mes!$U$2:$U$433,Desconto_Cliente_Mes!$B$2:$B$433,$B140,Desconto_Cliente_Mes!$C$2:$C$433,$C140,Desconto_Cliente_Mes!$K$2:$K$433,"Sim")</f>
        <v>0</v>
      </c>
      <c r="H140" s="37" t="n">
        <f aca="false">SUMIFS(Desconto_Cliente_Mes!$D$2:$D$433,Desconto_Cliente_Mes!$B$2:$B$433,$B140,Desconto_Cliente_Mes!$C$2:$C$433,$C140,Desconto_Cliente_Mes!$K$2:$K$433,"Nao",Desconto_Cliente_Mes!$D$2:$D$433,"&gt;0")</f>
        <v>0</v>
      </c>
      <c r="I140" s="42" t="n">
        <f aca="false">IF(AND($E140="Nao",$D140&gt;0,$H140&gt;0),$D140/$H140,0)</f>
        <v>0</v>
      </c>
      <c r="J140" s="40" t="n">
        <f aca="false">$I140*$G140</f>
        <v>0</v>
      </c>
      <c r="K140" s="40" t="n">
        <f aca="false">$J140-$F140</f>
        <v>0</v>
      </c>
      <c r="L140" s="27" t="str">
        <f aca="false">IF($D140=0,"Sem embarque",IF($K140&gt;0,"Recebe","Paga"))</f>
        <v>Sem embarque</v>
      </c>
    </row>
    <row r="141" customFormat="false" ht="15" hidden="false" customHeight="false" outlineLevel="0" collapsed="false">
      <c r="A141" s="27" t="s">
        <v>42</v>
      </c>
      <c r="B141" s="27" t="s">
        <v>68</v>
      </c>
      <c r="C141" s="27" t="s">
        <v>110</v>
      </c>
      <c r="D141" s="34" t="n">
        <f aca="false">SUMIFS(Desconto_Cliente_Mes!$D$2:$D$433,Desconto_Cliente_Mes!$A$2:$A$433,$A141,Desconto_Cliente_Mes!$B$2:$B$433,$B141,Desconto_Cliente_Mes!$C$2:$C$433,$C141)</f>
        <v>0</v>
      </c>
      <c r="E141" s="37" t="str">
        <f aca="false">INDEX(Desconto_Cliente_Mes!$K$2:$K$433,MATCH($A141&amp;"|"&amp;$B141&amp;"|"&amp;$C141,Desconto_Cliente_Mes!$W$2:$W$433,0))</f>
        <v/>
      </c>
      <c r="F141" s="39" t="n">
        <f aca="false">SUMIFS(Desconto_Cliente_Mes!$U$2:$U$433,Desconto_Cliente_Mes!$A$2:$A$433,$A141,Desconto_Cliente_Mes!$B$2:$B$433,$B141,Desconto_Cliente_Mes!$C$2:$C$433,$C141)</f>
        <v>0</v>
      </c>
      <c r="G141" s="39" t="n">
        <f aca="false">SUMIFS(Desconto_Cliente_Mes!$U$2:$U$433,Desconto_Cliente_Mes!$B$2:$B$433,$B141,Desconto_Cliente_Mes!$C$2:$C$433,$C141,Desconto_Cliente_Mes!$K$2:$K$433,"Sim")</f>
        <v>0</v>
      </c>
      <c r="H141" s="37" t="n">
        <f aca="false">SUMIFS(Desconto_Cliente_Mes!$D$2:$D$433,Desconto_Cliente_Mes!$B$2:$B$433,$B141,Desconto_Cliente_Mes!$C$2:$C$433,$C141,Desconto_Cliente_Mes!$K$2:$K$433,"Nao",Desconto_Cliente_Mes!$D$2:$D$433,"&gt;0")</f>
        <v>0</v>
      </c>
      <c r="I141" s="42" t="n">
        <f aca="false">IF(AND($E141="Nao",$D141&gt;0,$H141&gt;0),$D141/$H141,0)</f>
        <v>0</v>
      </c>
      <c r="J141" s="40" t="n">
        <f aca="false">$I141*$G141</f>
        <v>0</v>
      </c>
      <c r="K141" s="40" t="n">
        <f aca="false">$J141-$F141</f>
        <v>0</v>
      </c>
      <c r="L141" s="27" t="str">
        <f aca="false">IF($D141=0,"Sem embarque",IF($K141&gt;0,"Recebe","Paga"))</f>
        <v>Sem embarque</v>
      </c>
    </row>
    <row r="142" customFormat="false" ht="15" hidden="false" customHeight="false" outlineLevel="0" collapsed="false">
      <c r="A142" s="27" t="s">
        <v>42</v>
      </c>
      <c r="B142" s="27" t="s">
        <v>68</v>
      </c>
      <c r="C142" s="27" t="s">
        <v>111</v>
      </c>
      <c r="D142" s="34" t="n">
        <f aca="false">SUMIFS(Desconto_Cliente_Mes!$D$2:$D$433,Desconto_Cliente_Mes!$A$2:$A$433,$A142,Desconto_Cliente_Mes!$B$2:$B$433,$B142,Desconto_Cliente_Mes!$C$2:$C$433,$C142)</f>
        <v>0</v>
      </c>
      <c r="E142" s="37" t="str">
        <f aca="false">INDEX(Desconto_Cliente_Mes!$K$2:$K$433,MATCH($A142&amp;"|"&amp;$B142&amp;"|"&amp;$C142,Desconto_Cliente_Mes!$W$2:$W$433,0))</f>
        <v/>
      </c>
      <c r="F142" s="39" t="n">
        <f aca="false">SUMIFS(Desconto_Cliente_Mes!$U$2:$U$433,Desconto_Cliente_Mes!$A$2:$A$433,$A142,Desconto_Cliente_Mes!$B$2:$B$433,$B142,Desconto_Cliente_Mes!$C$2:$C$433,$C142)</f>
        <v>0</v>
      </c>
      <c r="G142" s="39" t="n">
        <f aca="false">SUMIFS(Desconto_Cliente_Mes!$U$2:$U$433,Desconto_Cliente_Mes!$B$2:$B$433,$B142,Desconto_Cliente_Mes!$C$2:$C$433,$C142,Desconto_Cliente_Mes!$K$2:$K$433,"Sim")</f>
        <v>0</v>
      </c>
      <c r="H142" s="37" t="n">
        <f aca="false">SUMIFS(Desconto_Cliente_Mes!$D$2:$D$433,Desconto_Cliente_Mes!$B$2:$B$433,$B142,Desconto_Cliente_Mes!$C$2:$C$433,$C142,Desconto_Cliente_Mes!$K$2:$K$433,"Nao",Desconto_Cliente_Mes!$D$2:$D$433,"&gt;0")</f>
        <v>0</v>
      </c>
      <c r="I142" s="42" t="n">
        <f aca="false">IF(AND($E142="Nao",$D142&gt;0,$H142&gt;0),$D142/$H142,0)</f>
        <v>0</v>
      </c>
      <c r="J142" s="40" t="n">
        <f aca="false">$I142*$G142</f>
        <v>0</v>
      </c>
      <c r="K142" s="40" t="n">
        <f aca="false">$J142-$F142</f>
        <v>0</v>
      </c>
      <c r="L142" s="27" t="str">
        <f aca="false">IF($D142=0,"Sem embarque",IF($K142&gt;0,"Recebe","Paga"))</f>
        <v>Sem embarque</v>
      </c>
    </row>
    <row r="143" customFormat="false" ht="15" hidden="false" customHeight="false" outlineLevel="0" collapsed="false">
      <c r="A143" s="27" t="s">
        <v>42</v>
      </c>
      <c r="B143" s="27" t="s">
        <v>69</v>
      </c>
      <c r="C143" s="27" t="s">
        <v>109</v>
      </c>
      <c r="D143" s="34" t="n">
        <f aca="false">SUMIFS(Desconto_Cliente_Mes!$D$2:$D$433,Desconto_Cliente_Mes!$A$2:$A$433,$A143,Desconto_Cliente_Mes!$B$2:$B$433,$B143,Desconto_Cliente_Mes!$C$2:$C$433,$C143)</f>
        <v>0</v>
      </c>
      <c r="E143" s="37" t="str">
        <f aca="false">INDEX(Desconto_Cliente_Mes!$K$2:$K$433,MATCH($A143&amp;"|"&amp;$B143&amp;"|"&amp;$C143,Desconto_Cliente_Mes!$W$2:$W$433,0))</f>
        <v/>
      </c>
      <c r="F143" s="39" t="n">
        <f aca="false">SUMIFS(Desconto_Cliente_Mes!$U$2:$U$433,Desconto_Cliente_Mes!$A$2:$A$433,$A143,Desconto_Cliente_Mes!$B$2:$B$433,$B143,Desconto_Cliente_Mes!$C$2:$C$433,$C143)</f>
        <v>0</v>
      </c>
      <c r="G143" s="39" t="n">
        <f aca="false">SUMIFS(Desconto_Cliente_Mes!$U$2:$U$433,Desconto_Cliente_Mes!$B$2:$B$433,$B143,Desconto_Cliente_Mes!$C$2:$C$433,$C143,Desconto_Cliente_Mes!$K$2:$K$433,"Sim")</f>
        <v>0</v>
      </c>
      <c r="H143" s="37" t="n">
        <f aca="false">SUMIFS(Desconto_Cliente_Mes!$D$2:$D$433,Desconto_Cliente_Mes!$B$2:$B$433,$B143,Desconto_Cliente_Mes!$C$2:$C$433,$C143,Desconto_Cliente_Mes!$K$2:$K$433,"Nao",Desconto_Cliente_Mes!$D$2:$D$433,"&gt;0")</f>
        <v>0</v>
      </c>
      <c r="I143" s="42" t="n">
        <f aca="false">IF(AND($E143="Nao",$D143&gt;0,$H143&gt;0),$D143/$H143,0)</f>
        <v>0</v>
      </c>
      <c r="J143" s="40" t="n">
        <f aca="false">$I143*$G143</f>
        <v>0</v>
      </c>
      <c r="K143" s="40" t="n">
        <f aca="false">$J143-$F143</f>
        <v>0</v>
      </c>
      <c r="L143" s="27" t="str">
        <f aca="false">IF($D143=0,"Sem embarque",IF($K143&gt;0,"Recebe","Paga"))</f>
        <v>Sem embarque</v>
      </c>
    </row>
    <row r="144" customFormat="false" ht="15" hidden="false" customHeight="false" outlineLevel="0" collapsed="false">
      <c r="A144" s="27" t="s">
        <v>42</v>
      </c>
      <c r="B144" s="27" t="s">
        <v>69</v>
      </c>
      <c r="C144" s="27" t="s">
        <v>110</v>
      </c>
      <c r="D144" s="34" t="n">
        <f aca="false">SUMIFS(Desconto_Cliente_Mes!$D$2:$D$433,Desconto_Cliente_Mes!$A$2:$A$433,$A144,Desconto_Cliente_Mes!$B$2:$B$433,$B144,Desconto_Cliente_Mes!$C$2:$C$433,$C144)</f>
        <v>0</v>
      </c>
      <c r="E144" s="37" t="str">
        <f aca="false">INDEX(Desconto_Cliente_Mes!$K$2:$K$433,MATCH($A144&amp;"|"&amp;$B144&amp;"|"&amp;$C144,Desconto_Cliente_Mes!$W$2:$W$433,0))</f>
        <v/>
      </c>
      <c r="F144" s="39" t="n">
        <f aca="false">SUMIFS(Desconto_Cliente_Mes!$U$2:$U$433,Desconto_Cliente_Mes!$A$2:$A$433,$A144,Desconto_Cliente_Mes!$B$2:$B$433,$B144,Desconto_Cliente_Mes!$C$2:$C$433,$C144)</f>
        <v>0</v>
      </c>
      <c r="G144" s="39" t="n">
        <f aca="false">SUMIFS(Desconto_Cliente_Mes!$U$2:$U$433,Desconto_Cliente_Mes!$B$2:$B$433,$B144,Desconto_Cliente_Mes!$C$2:$C$433,$C144,Desconto_Cliente_Mes!$K$2:$K$433,"Sim")</f>
        <v>0</v>
      </c>
      <c r="H144" s="37" t="n">
        <f aca="false">SUMIFS(Desconto_Cliente_Mes!$D$2:$D$433,Desconto_Cliente_Mes!$B$2:$B$433,$B144,Desconto_Cliente_Mes!$C$2:$C$433,$C144,Desconto_Cliente_Mes!$K$2:$K$433,"Nao",Desconto_Cliente_Mes!$D$2:$D$433,"&gt;0")</f>
        <v>0</v>
      </c>
      <c r="I144" s="42" t="n">
        <f aca="false">IF(AND($E144="Nao",$D144&gt;0,$H144&gt;0),$D144/$H144,0)</f>
        <v>0</v>
      </c>
      <c r="J144" s="40" t="n">
        <f aca="false">$I144*$G144</f>
        <v>0</v>
      </c>
      <c r="K144" s="40" t="n">
        <f aca="false">$J144-$F144</f>
        <v>0</v>
      </c>
      <c r="L144" s="27" t="str">
        <f aca="false">IF($D144=0,"Sem embarque",IF($K144&gt;0,"Recebe","Paga"))</f>
        <v>Sem embarque</v>
      </c>
    </row>
    <row r="145" customFormat="false" ht="15" hidden="false" customHeight="false" outlineLevel="0" collapsed="false">
      <c r="A145" s="27" t="s">
        <v>42</v>
      </c>
      <c r="B145" s="27" t="s">
        <v>69</v>
      </c>
      <c r="C145" s="27" t="s">
        <v>111</v>
      </c>
      <c r="D145" s="34" t="n">
        <f aca="false">SUMIFS(Desconto_Cliente_Mes!$D$2:$D$433,Desconto_Cliente_Mes!$A$2:$A$433,$A145,Desconto_Cliente_Mes!$B$2:$B$433,$B145,Desconto_Cliente_Mes!$C$2:$C$433,$C145)</f>
        <v>0</v>
      </c>
      <c r="E145" s="37" t="str">
        <f aca="false">INDEX(Desconto_Cliente_Mes!$K$2:$K$433,MATCH($A145&amp;"|"&amp;$B145&amp;"|"&amp;$C145,Desconto_Cliente_Mes!$W$2:$W$433,0))</f>
        <v/>
      </c>
      <c r="F145" s="39" t="n">
        <f aca="false">SUMIFS(Desconto_Cliente_Mes!$U$2:$U$433,Desconto_Cliente_Mes!$A$2:$A$433,$A145,Desconto_Cliente_Mes!$B$2:$B$433,$B145,Desconto_Cliente_Mes!$C$2:$C$433,$C145)</f>
        <v>0</v>
      </c>
      <c r="G145" s="39" t="n">
        <f aca="false">SUMIFS(Desconto_Cliente_Mes!$U$2:$U$433,Desconto_Cliente_Mes!$B$2:$B$433,$B145,Desconto_Cliente_Mes!$C$2:$C$433,$C145,Desconto_Cliente_Mes!$K$2:$K$433,"Sim")</f>
        <v>0</v>
      </c>
      <c r="H145" s="37" t="n">
        <f aca="false">SUMIFS(Desconto_Cliente_Mes!$D$2:$D$433,Desconto_Cliente_Mes!$B$2:$B$433,$B145,Desconto_Cliente_Mes!$C$2:$C$433,$C145,Desconto_Cliente_Mes!$K$2:$K$433,"Nao",Desconto_Cliente_Mes!$D$2:$D$433,"&gt;0")</f>
        <v>0</v>
      </c>
      <c r="I145" s="42" t="n">
        <f aca="false">IF(AND($E145="Nao",$D145&gt;0,$H145&gt;0),$D145/$H145,0)</f>
        <v>0</v>
      </c>
      <c r="J145" s="40" t="n">
        <f aca="false">$I145*$G145</f>
        <v>0</v>
      </c>
      <c r="K145" s="40" t="n">
        <f aca="false">$J145-$F145</f>
        <v>0</v>
      </c>
      <c r="L145" s="27" t="str">
        <f aca="false">IF($D145=0,"Sem embarque",IF($K145&gt;0,"Recebe","Paga"))</f>
        <v>Sem embarque</v>
      </c>
    </row>
    <row r="146" customFormat="false" ht="15" hidden="false" customHeight="false" outlineLevel="0" collapsed="false">
      <c r="A146" s="27" t="s">
        <v>43</v>
      </c>
      <c r="B146" s="27" t="s">
        <v>38</v>
      </c>
      <c r="C146" s="27" t="s">
        <v>109</v>
      </c>
      <c r="D146" s="34" t="n">
        <f aca="false">SUMIFS(Desconto_Cliente_Mes!$D$2:$D$433,Desconto_Cliente_Mes!$A$2:$A$433,$A146,Desconto_Cliente_Mes!$B$2:$B$433,$B146,Desconto_Cliente_Mes!$C$2:$C$433,$C146)</f>
        <v>58133.28</v>
      </c>
      <c r="E146" s="37" t="str">
        <f aca="false">INDEX(Desconto_Cliente_Mes!$K$2:$K$433,MATCH($A146&amp;"|"&amp;$B146&amp;"|"&amp;$C146,Desconto_Cliente_Mes!$W$2:$W$433,0))</f>
        <v>Sim</v>
      </c>
      <c r="F146" s="39" t="n">
        <f aca="false">SUMIFS(Desconto_Cliente_Mes!$U$2:$U$433,Desconto_Cliente_Mes!$A$2:$A$433,$A146,Desconto_Cliente_Mes!$B$2:$B$433,$B146,Desconto_Cliente_Mes!$C$2:$C$433,$C146)</f>
        <v>12259.8872772863</v>
      </c>
      <c r="G146" s="39" t="n">
        <f aca="false">SUMIFS(Desconto_Cliente_Mes!$U$2:$U$433,Desconto_Cliente_Mes!$B$2:$B$433,$B146,Desconto_Cliente_Mes!$C$2:$C$433,$C146,Desconto_Cliente_Mes!$K$2:$K$433,"Sim")</f>
        <v>91377.0669671845</v>
      </c>
      <c r="H146" s="37" t="n">
        <f aca="false">SUMIFS(Desconto_Cliente_Mes!$D$2:$D$433,Desconto_Cliente_Mes!$B$2:$B$433,$B146,Desconto_Cliente_Mes!$C$2:$C$433,$C146,Desconto_Cliente_Mes!$K$2:$K$433,"Nao",Desconto_Cliente_Mes!$D$2:$D$433,"&gt;0")</f>
        <v>58734.34</v>
      </c>
      <c r="I146" s="42" t="n">
        <f aca="false">IF(AND($E146="Nao",$D146&gt;0,$H146&gt;0),$D146/$H146,0)</f>
        <v>0</v>
      </c>
      <c r="J146" s="40" t="n">
        <f aca="false">$I146*$G146</f>
        <v>0</v>
      </c>
      <c r="K146" s="40" t="n">
        <f aca="false">$J146-$F146</f>
        <v>-12259.8872772863</v>
      </c>
      <c r="L146" s="27" t="str">
        <f aca="false">IF($D146=0,"Sem embarque",IF($K146&gt;0,"Recebe","Paga"))</f>
        <v>Paga</v>
      </c>
    </row>
    <row r="147" customFormat="false" ht="15" hidden="false" customHeight="false" outlineLevel="0" collapsed="false">
      <c r="A147" s="27" t="s">
        <v>43</v>
      </c>
      <c r="B147" s="27" t="s">
        <v>38</v>
      </c>
      <c r="C147" s="27" t="s">
        <v>110</v>
      </c>
      <c r="D147" s="34" t="n">
        <f aca="false">SUMIFS(Desconto_Cliente_Mes!$D$2:$D$433,Desconto_Cliente_Mes!$A$2:$A$433,$A147,Desconto_Cliente_Mes!$B$2:$B$433,$B147,Desconto_Cliente_Mes!$C$2:$C$433,$C147)</f>
        <v>58133.28</v>
      </c>
      <c r="E147" s="37" t="str">
        <f aca="false">INDEX(Desconto_Cliente_Mes!$K$2:$K$433,MATCH($A147&amp;"|"&amp;$B147&amp;"|"&amp;$C147,Desconto_Cliente_Mes!$W$2:$W$433,0))</f>
        <v>Nao</v>
      </c>
      <c r="F147" s="39" t="n">
        <f aca="false">SUMIFS(Desconto_Cliente_Mes!$U$2:$U$433,Desconto_Cliente_Mes!$A$2:$A$433,$A147,Desconto_Cliente_Mes!$B$2:$B$433,$B147,Desconto_Cliente_Mes!$C$2:$C$433,$C147)</f>
        <v>0</v>
      </c>
      <c r="G147" s="39" t="n">
        <f aca="false">SUMIFS(Desconto_Cliente_Mes!$U$2:$U$433,Desconto_Cliente_Mes!$B$2:$B$433,$B147,Desconto_Cliente_Mes!$C$2:$C$433,$C147,Desconto_Cliente_Mes!$K$2:$K$433,"Sim")</f>
        <v>0</v>
      </c>
      <c r="H147" s="37" t="n">
        <f aca="false">SUMIFS(Desconto_Cliente_Mes!$D$2:$D$433,Desconto_Cliente_Mes!$B$2:$B$433,$B147,Desconto_Cliente_Mes!$C$2:$C$433,$C147,Desconto_Cliente_Mes!$K$2:$K$433,"Nao",Desconto_Cliente_Mes!$D$2:$D$433,"&gt;0")</f>
        <v>263816.27</v>
      </c>
      <c r="I147" s="42" t="n">
        <f aca="false">IF(AND($E147="Nao",$D147&gt;0,$H147&gt;0),$D147/$H147,0)</f>
        <v>0.22035517369721</v>
      </c>
      <c r="J147" s="40" t="n">
        <f aca="false">$I147*$G147</f>
        <v>0</v>
      </c>
      <c r="K147" s="40" t="n">
        <f aca="false">$J147-$F147</f>
        <v>0</v>
      </c>
      <c r="L147" s="27" t="str">
        <f aca="false">IF($D147=0,"Sem embarque",IF($K147&gt;0,"Recebe","Paga"))</f>
        <v>Paga</v>
      </c>
    </row>
    <row r="148" customFormat="false" ht="15" hidden="false" customHeight="false" outlineLevel="0" collapsed="false">
      <c r="A148" s="27" t="s">
        <v>43</v>
      </c>
      <c r="B148" s="27" t="s">
        <v>38</v>
      </c>
      <c r="C148" s="27" t="s">
        <v>111</v>
      </c>
      <c r="D148" s="34" t="n">
        <f aca="false">SUMIFS(Desconto_Cliente_Mes!$D$2:$D$433,Desconto_Cliente_Mes!$A$2:$A$433,$A148,Desconto_Cliente_Mes!$B$2:$B$433,$B148,Desconto_Cliente_Mes!$C$2:$C$433,$C148)</f>
        <v>58133.28</v>
      </c>
      <c r="E148" s="37" t="str">
        <f aca="false">INDEX(Desconto_Cliente_Mes!$K$2:$K$433,MATCH($A148&amp;"|"&amp;$B148&amp;"|"&amp;$C148,Desconto_Cliente_Mes!$W$2:$W$433,0))</f>
        <v>Nao</v>
      </c>
      <c r="F148" s="39" t="n">
        <f aca="false">SUMIFS(Desconto_Cliente_Mes!$U$2:$U$433,Desconto_Cliente_Mes!$A$2:$A$433,$A148,Desconto_Cliente_Mes!$B$2:$B$433,$B148,Desconto_Cliente_Mes!$C$2:$C$433,$C148)</f>
        <v>0</v>
      </c>
      <c r="G148" s="39" t="n">
        <f aca="false">SUMIFS(Desconto_Cliente_Mes!$U$2:$U$433,Desconto_Cliente_Mes!$B$2:$B$433,$B148,Desconto_Cliente_Mes!$C$2:$C$433,$C148,Desconto_Cliente_Mes!$K$2:$K$433,"Sim")</f>
        <v>71216.4191325092</v>
      </c>
      <c r="H148" s="37" t="n">
        <f aca="false">SUMIFS(Desconto_Cliente_Mes!$D$2:$D$433,Desconto_Cliente_Mes!$B$2:$B$433,$B148,Desconto_Cliente_Mes!$C$2:$C$433,$C148,Desconto_Cliente_Mes!$K$2:$K$433,"Nao",Desconto_Cliente_Mes!$D$2:$D$433,"&gt;0")</f>
        <v>116867.62</v>
      </c>
      <c r="I148" s="42" t="n">
        <f aca="false">IF(AND($E148="Nao",$D148&gt;0,$H148&gt;0),$D148/$H148,0)</f>
        <v>0.497428457942414</v>
      </c>
      <c r="J148" s="40" t="n">
        <f aca="false">$I148*$G148</f>
        <v>35425.0735492647</v>
      </c>
      <c r="K148" s="40" t="n">
        <f aca="false">$J148-$F148</f>
        <v>35425.0735492647</v>
      </c>
      <c r="L148" s="27" t="str">
        <f aca="false">IF($D148=0,"Sem embarque",IF($K148&gt;0,"Recebe","Paga"))</f>
        <v>Recebe</v>
      </c>
    </row>
    <row r="149" customFormat="false" ht="15" hidden="false" customHeight="false" outlineLevel="0" collapsed="false">
      <c r="A149" s="27" t="s">
        <v>43</v>
      </c>
      <c r="B149" s="27" t="s">
        <v>59</v>
      </c>
      <c r="C149" s="27" t="s">
        <v>109</v>
      </c>
      <c r="D149" s="34" t="n">
        <f aca="false">SUMIFS(Desconto_Cliente_Mes!$D$2:$D$433,Desconto_Cliente_Mes!$A$2:$A$433,$A149,Desconto_Cliente_Mes!$B$2:$B$433,$B149,Desconto_Cliente_Mes!$C$2:$C$433,$C149)</f>
        <v>53224.28</v>
      </c>
      <c r="E149" s="37" t="str">
        <f aca="false">INDEX(Desconto_Cliente_Mes!$K$2:$K$433,MATCH($A149&amp;"|"&amp;$B149&amp;"|"&amp;$C149,Desconto_Cliente_Mes!$W$2:$W$433,0))</f>
        <v>Nao</v>
      </c>
      <c r="F149" s="39" t="n">
        <f aca="false">SUMIFS(Desconto_Cliente_Mes!$U$2:$U$433,Desconto_Cliente_Mes!$A$2:$A$433,$A149,Desconto_Cliente_Mes!$B$2:$B$433,$B149,Desconto_Cliente_Mes!$C$2:$C$433,$C149)</f>
        <v>0</v>
      </c>
      <c r="G149" s="39" t="n">
        <f aca="false">SUMIFS(Desconto_Cliente_Mes!$U$2:$U$433,Desconto_Cliente_Mes!$B$2:$B$433,$B149,Desconto_Cliente_Mes!$C$2:$C$433,$C149,Desconto_Cliente_Mes!$K$2:$K$433,"Sim")</f>
        <v>166858.825867758</v>
      </c>
      <c r="H149" s="37" t="n">
        <f aca="false">SUMIFS(Desconto_Cliente_Mes!$D$2:$D$433,Desconto_Cliente_Mes!$B$2:$B$433,$B149,Desconto_Cliente_Mes!$C$2:$C$433,$C149,Desconto_Cliente_Mes!$K$2:$K$433,"Nao",Desconto_Cliente_Mes!$D$2:$D$433,"&gt;0")</f>
        <v>83594.61</v>
      </c>
      <c r="I149" s="42" t="n">
        <f aca="false">IF(AND($E149="Nao",$D149&gt;0,$H149&gt;0),$D149/$H149,0)</f>
        <v>0.636695117065562</v>
      </c>
      <c r="J149" s="40" t="n">
        <f aca="false">$I149*$G149</f>
        <v>106238.199669295</v>
      </c>
      <c r="K149" s="40" t="n">
        <f aca="false">$J149-$F149</f>
        <v>106238.199669295</v>
      </c>
      <c r="L149" s="27" t="str">
        <f aca="false">IF($D149=0,"Sem embarque",IF($K149&gt;0,"Recebe","Paga"))</f>
        <v>Recebe</v>
      </c>
    </row>
    <row r="150" customFormat="false" ht="15" hidden="false" customHeight="false" outlineLevel="0" collapsed="false">
      <c r="A150" s="27" t="s">
        <v>43</v>
      </c>
      <c r="B150" s="27" t="s">
        <v>59</v>
      </c>
      <c r="C150" s="27" t="s">
        <v>110</v>
      </c>
      <c r="D150" s="34" t="n">
        <f aca="false">SUMIFS(Desconto_Cliente_Mes!$D$2:$D$433,Desconto_Cliente_Mes!$A$2:$A$433,$A150,Desconto_Cliente_Mes!$B$2:$B$433,$B150,Desconto_Cliente_Mes!$C$2:$C$433,$C150)</f>
        <v>53224.28</v>
      </c>
      <c r="E150" s="37" t="str">
        <f aca="false">INDEX(Desconto_Cliente_Mes!$K$2:$K$433,MATCH($A150&amp;"|"&amp;$B150&amp;"|"&amp;$C150,Desconto_Cliente_Mes!$W$2:$W$433,0))</f>
        <v>Nao</v>
      </c>
      <c r="F150" s="39" t="n">
        <f aca="false">SUMIFS(Desconto_Cliente_Mes!$U$2:$U$433,Desconto_Cliente_Mes!$A$2:$A$433,$A150,Desconto_Cliente_Mes!$B$2:$B$433,$B150,Desconto_Cliente_Mes!$C$2:$C$433,$C150)</f>
        <v>0</v>
      </c>
      <c r="G150" s="39" t="n">
        <f aca="false">SUMIFS(Desconto_Cliente_Mes!$U$2:$U$433,Desconto_Cliente_Mes!$B$2:$B$433,$B150,Desconto_Cliente_Mes!$C$2:$C$433,$C150,Desconto_Cliente_Mes!$K$2:$K$433,"Sim")</f>
        <v>8132.39257800007</v>
      </c>
      <c r="H150" s="37" t="n">
        <f aca="false">SUMIFS(Desconto_Cliente_Mes!$D$2:$D$433,Desconto_Cliente_Mes!$B$2:$B$433,$B150,Desconto_Cliente_Mes!$C$2:$C$433,$C150,Desconto_Cliente_Mes!$K$2:$K$433,"Nao",Desconto_Cliente_Mes!$D$2:$D$433,"&gt;0")</f>
        <v>289730.52</v>
      </c>
      <c r="I150" s="42" t="n">
        <f aca="false">IF(AND($E150="Nao",$D150&gt;0,$H150&gt;0),$D150/$H150,0)</f>
        <v>0.183702704154191</v>
      </c>
      <c r="J150" s="40" t="n">
        <f aca="false">$I150*$G150</f>
        <v>1493.94250782209</v>
      </c>
      <c r="K150" s="40" t="n">
        <f aca="false">$J150-$F150</f>
        <v>1493.94250782209</v>
      </c>
      <c r="L150" s="27" t="str">
        <f aca="false">IF($D150=0,"Sem embarque",IF($K150&gt;0,"Recebe","Paga"))</f>
        <v>Recebe</v>
      </c>
    </row>
    <row r="151" customFormat="false" ht="15" hidden="false" customHeight="false" outlineLevel="0" collapsed="false">
      <c r="A151" s="27" t="s">
        <v>43</v>
      </c>
      <c r="B151" s="27" t="s">
        <v>59</v>
      </c>
      <c r="C151" s="27" t="s">
        <v>111</v>
      </c>
      <c r="D151" s="34" t="n">
        <f aca="false">SUMIFS(Desconto_Cliente_Mes!$D$2:$D$433,Desconto_Cliente_Mes!$A$2:$A$433,$A151,Desconto_Cliente_Mes!$B$2:$B$433,$B151,Desconto_Cliente_Mes!$C$2:$C$433,$C151)</f>
        <v>53224.28</v>
      </c>
      <c r="E151" s="37" t="str">
        <f aca="false">INDEX(Desconto_Cliente_Mes!$K$2:$K$433,MATCH($A151&amp;"|"&amp;$B151&amp;"|"&amp;$C151,Desconto_Cliente_Mes!$W$2:$W$433,0))</f>
        <v>Nao</v>
      </c>
      <c r="F151" s="39" t="n">
        <f aca="false">SUMIFS(Desconto_Cliente_Mes!$U$2:$U$433,Desconto_Cliente_Mes!$A$2:$A$433,$A151,Desconto_Cliente_Mes!$B$2:$B$433,$B151,Desconto_Cliente_Mes!$C$2:$C$433,$C151)</f>
        <v>0</v>
      </c>
      <c r="G151" s="39" t="n">
        <f aca="false">SUMIFS(Desconto_Cliente_Mes!$U$2:$U$433,Desconto_Cliente_Mes!$B$2:$B$433,$B151,Desconto_Cliente_Mes!$C$2:$C$433,$C151,Desconto_Cliente_Mes!$K$2:$K$433,"Sim")</f>
        <v>47707.8352836299</v>
      </c>
      <c r="H151" s="37" t="n">
        <f aca="false">SUMIFS(Desconto_Cliente_Mes!$D$2:$D$433,Desconto_Cliente_Mes!$B$2:$B$433,$B151,Desconto_Cliente_Mes!$C$2:$C$433,$C151,Desconto_Cliente_Mes!$K$2:$K$433,"Nao",Desconto_Cliente_Mes!$D$2:$D$433,"&gt;0")</f>
        <v>185268.24</v>
      </c>
      <c r="I151" s="42" t="n">
        <f aca="false">IF(AND($E151="Nao",$D151&gt;0,$H151&gt;0),$D151/$H151,0)</f>
        <v>0.287282267052356</v>
      </c>
      <c r="J151" s="40" t="n">
        <f aca="false">$I151*$G151</f>
        <v>13705.6150764416</v>
      </c>
      <c r="K151" s="40" t="n">
        <f aca="false">$J151-$F151</f>
        <v>13705.6150764416</v>
      </c>
      <c r="L151" s="27" t="str">
        <f aca="false">IF($D151=0,"Sem embarque",IF($K151&gt;0,"Recebe","Paga"))</f>
        <v>Recebe</v>
      </c>
    </row>
    <row r="152" customFormat="false" ht="15" hidden="false" customHeight="false" outlineLevel="0" collapsed="false">
      <c r="A152" s="27" t="s">
        <v>43</v>
      </c>
      <c r="B152" s="27" t="s">
        <v>60</v>
      </c>
      <c r="C152" s="27" t="s">
        <v>109</v>
      </c>
      <c r="D152" s="34" t="n">
        <f aca="false">SUMIFS(Desconto_Cliente_Mes!$D$2:$D$433,Desconto_Cliente_Mes!$A$2:$A$433,$A152,Desconto_Cliente_Mes!$B$2:$B$433,$B152,Desconto_Cliente_Mes!$C$2:$C$433,$C152)</f>
        <v>66365.71</v>
      </c>
      <c r="E152" s="37" t="str">
        <f aca="false">INDEX(Desconto_Cliente_Mes!$K$2:$K$433,MATCH($A152&amp;"|"&amp;$B152&amp;"|"&amp;$C152,Desconto_Cliente_Mes!$W$2:$W$433,0))</f>
        <v>Sim</v>
      </c>
      <c r="F152" s="39" t="n">
        <f aca="false">SUMIFS(Desconto_Cliente_Mes!$U$2:$U$433,Desconto_Cliente_Mes!$A$2:$A$433,$A152,Desconto_Cliente_Mes!$B$2:$B$433,$B152,Desconto_Cliente_Mes!$C$2:$C$433,$C152)</f>
        <v>5783.31269295219</v>
      </c>
      <c r="G152" s="39" t="n">
        <f aca="false">SUMIFS(Desconto_Cliente_Mes!$U$2:$U$433,Desconto_Cliente_Mes!$B$2:$B$433,$B152,Desconto_Cliente_Mes!$C$2:$C$433,$C152,Desconto_Cliente_Mes!$K$2:$K$433,"Sim")</f>
        <v>75633.0761548471</v>
      </c>
      <c r="H152" s="37" t="n">
        <f aca="false">SUMIFS(Desconto_Cliente_Mes!$D$2:$D$433,Desconto_Cliente_Mes!$B$2:$B$433,$B152,Desconto_Cliente_Mes!$C$2:$C$433,$C152,Desconto_Cliente_Mes!$K$2:$K$433,"Nao",Desconto_Cliente_Mes!$D$2:$D$433,"&gt;0")</f>
        <v>55750.4</v>
      </c>
      <c r="I152" s="42" t="n">
        <f aca="false">IF(AND($E152="Nao",$D152&gt;0,$H152&gt;0),$D152/$H152,0)</f>
        <v>0</v>
      </c>
      <c r="J152" s="40" t="n">
        <f aca="false">$I152*$G152</f>
        <v>0</v>
      </c>
      <c r="K152" s="40" t="n">
        <f aca="false">$J152-$F152</f>
        <v>-5783.31269295219</v>
      </c>
      <c r="L152" s="27" t="str">
        <f aca="false">IF($D152=0,"Sem embarque",IF($K152&gt;0,"Recebe","Paga"))</f>
        <v>Paga</v>
      </c>
    </row>
    <row r="153" customFormat="false" ht="15" hidden="false" customHeight="false" outlineLevel="0" collapsed="false">
      <c r="A153" s="27" t="s">
        <v>43</v>
      </c>
      <c r="B153" s="27" t="s">
        <v>60</v>
      </c>
      <c r="C153" s="27" t="s">
        <v>110</v>
      </c>
      <c r="D153" s="34" t="n">
        <f aca="false">SUMIFS(Desconto_Cliente_Mes!$D$2:$D$433,Desconto_Cliente_Mes!$A$2:$A$433,$A153,Desconto_Cliente_Mes!$B$2:$B$433,$B153,Desconto_Cliente_Mes!$C$2:$C$433,$C153)</f>
        <v>66365.71</v>
      </c>
      <c r="E153" s="37" t="str">
        <f aca="false">INDEX(Desconto_Cliente_Mes!$K$2:$K$433,MATCH($A153&amp;"|"&amp;$B153&amp;"|"&amp;$C153,Desconto_Cliente_Mes!$W$2:$W$433,0))</f>
        <v>Nao</v>
      </c>
      <c r="F153" s="39" t="n">
        <f aca="false">SUMIFS(Desconto_Cliente_Mes!$U$2:$U$433,Desconto_Cliente_Mes!$A$2:$A$433,$A153,Desconto_Cliente_Mes!$B$2:$B$433,$B153,Desconto_Cliente_Mes!$C$2:$C$433,$C153)</f>
        <v>0</v>
      </c>
      <c r="G153" s="39" t="n">
        <f aca="false">SUMIFS(Desconto_Cliente_Mes!$U$2:$U$433,Desconto_Cliente_Mes!$B$2:$B$433,$B153,Desconto_Cliente_Mes!$C$2:$C$433,$C153,Desconto_Cliente_Mes!$K$2:$K$433,"Sim")</f>
        <v>0</v>
      </c>
      <c r="H153" s="37" t="n">
        <f aca="false">SUMIFS(Desconto_Cliente_Mes!$D$2:$D$433,Desconto_Cliente_Mes!$B$2:$B$433,$B153,Desconto_Cliente_Mes!$C$2:$C$433,$C153,Desconto_Cliente_Mes!$K$2:$K$433,"Nao",Desconto_Cliente_Mes!$D$2:$D$433,"&gt;0")</f>
        <v>240729.22</v>
      </c>
      <c r="I153" s="42" t="n">
        <f aca="false">IF(AND($E153="Nao",$D153&gt;0,$H153&gt;0),$D153/$H153,0)</f>
        <v>0.275686142297142</v>
      </c>
      <c r="J153" s="40" t="n">
        <f aca="false">$I153*$G153</f>
        <v>0</v>
      </c>
      <c r="K153" s="40" t="n">
        <f aca="false">$J153-$F153</f>
        <v>0</v>
      </c>
      <c r="L153" s="27" t="str">
        <f aca="false">IF($D153=0,"Sem embarque",IF($K153&gt;0,"Recebe","Paga"))</f>
        <v>Paga</v>
      </c>
    </row>
    <row r="154" customFormat="false" ht="15" hidden="false" customHeight="false" outlineLevel="0" collapsed="false">
      <c r="A154" s="27" t="s">
        <v>43</v>
      </c>
      <c r="B154" s="27" t="s">
        <v>60</v>
      </c>
      <c r="C154" s="27" t="s">
        <v>111</v>
      </c>
      <c r="D154" s="34" t="n">
        <f aca="false">SUMIFS(Desconto_Cliente_Mes!$D$2:$D$433,Desconto_Cliente_Mes!$A$2:$A$433,$A154,Desconto_Cliente_Mes!$B$2:$B$433,$B154,Desconto_Cliente_Mes!$C$2:$C$433,$C154)</f>
        <v>66365.71</v>
      </c>
      <c r="E154" s="37" t="str">
        <f aca="false">INDEX(Desconto_Cliente_Mes!$K$2:$K$433,MATCH($A154&amp;"|"&amp;$B154&amp;"|"&amp;$C154,Desconto_Cliente_Mes!$W$2:$W$433,0))</f>
        <v>Sim</v>
      </c>
      <c r="F154" s="39" t="n">
        <f aca="false">SUMIFS(Desconto_Cliente_Mes!$U$2:$U$433,Desconto_Cliente_Mes!$A$2:$A$433,$A154,Desconto_Cliente_Mes!$B$2:$B$433,$B154,Desconto_Cliente_Mes!$C$2:$C$433,$C154)</f>
        <v>4356.77637697858</v>
      </c>
      <c r="G154" s="39" t="n">
        <f aca="false">SUMIFS(Desconto_Cliente_Mes!$U$2:$U$433,Desconto_Cliente_Mes!$B$2:$B$433,$B154,Desconto_Cliente_Mes!$C$2:$C$433,$C154,Desconto_Cliente_Mes!$K$2:$K$433,"Sim")</f>
        <v>15973.4860651284</v>
      </c>
      <c r="H154" s="37" t="n">
        <f aca="false">SUMIFS(Desconto_Cliente_Mes!$D$2:$D$433,Desconto_Cliente_Mes!$B$2:$B$433,$B154,Desconto_Cliente_Mes!$C$2:$C$433,$C154,Desconto_Cliente_Mes!$K$2:$K$433,"Nao",Desconto_Cliente_Mes!$D$2:$D$433,"&gt;0")</f>
        <v>55750.4</v>
      </c>
      <c r="I154" s="42" t="n">
        <f aca="false">IF(AND($E154="Nao",$D154&gt;0,$H154&gt;0),$D154/$H154,0)</f>
        <v>0</v>
      </c>
      <c r="J154" s="40" t="n">
        <f aca="false">$I154*$G154</f>
        <v>0</v>
      </c>
      <c r="K154" s="40" t="n">
        <f aca="false">$J154-$F154</f>
        <v>-4356.77637697858</v>
      </c>
      <c r="L154" s="27" t="str">
        <f aca="false">IF($D154=0,"Sem embarque",IF($K154&gt;0,"Recebe","Paga"))</f>
        <v>Paga</v>
      </c>
    </row>
    <row r="155" customFormat="false" ht="15" hidden="false" customHeight="false" outlineLevel="0" collapsed="false">
      <c r="A155" s="27" t="s">
        <v>43</v>
      </c>
      <c r="B155" s="27" t="s">
        <v>61</v>
      </c>
      <c r="C155" s="27" t="s">
        <v>109</v>
      </c>
      <c r="D155" s="34" t="n">
        <f aca="false">SUMIFS(Desconto_Cliente_Mes!$D$2:$D$433,Desconto_Cliente_Mes!$A$2:$A$433,$A155,Desconto_Cliente_Mes!$B$2:$B$433,$B155,Desconto_Cliente_Mes!$C$2:$C$433,$C155)</f>
        <v>92764.41</v>
      </c>
      <c r="E155" s="37" t="str">
        <f aca="false">INDEX(Desconto_Cliente_Mes!$K$2:$K$433,MATCH($A155&amp;"|"&amp;$B155&amp;"|"&amp;$C155,Desconto_Cliente_Mes!$W$2:$W$433,0))</f>
        <v>Sim</v>
      </c>
      <c r="F155" s="39" t="n">
        <f aca="false">SUMIFS(Desconto_Cliente_Mes!$U$2:$U$433,Desconto_Cliente_Mes!$A$2:$A$433,$A155,Desconto_Cliente_Mes!$B$2:$B$433,$B155,Desconto_Cliente_Mes!$C$2:$C$433,$C155)</f>
        <v>85543.8817761789</v>
      </c>
      <c r="G155" s="39" t="n">
        <f aca="false">SUMIFS(Desconto_Cliente_Mes!$U$2:$U$433,Desconto_Cliente_Mes!$B$2:$B$433,$B155,Desconto_Cliente_Mes!$C$2:$C$433,$C155,Desconto_Cliente_Mes!$K$2:$K$433,"Sim")</f>
        <v>101062.110385431</v>
      </c>
      <c r="H155" s="37" t="n">
        <f aca="false">SUMIFS(Desconto_Cliente_Mes!$D$2:$D$433,Desconto_Cliente_Mes!$B$2:$B$433,$B155,Desconto_Cliente_Mes!$C$2:$C$433,$C155,Desconto_Cliente_Mes!$K$2:$K$433,"Nao",Desconto_Cliente_Mes!$D$2:$D$433,"&gt;0")</f>
        <v>195833.47</v>
      </c>
      <c r="I155" s="42" t="n">
        <f aca="false">IF(AND($E155="Nao",$D155&gt;0,$H155&gt;0),$D155/$H155,0)</f>
        <v>0</v>
      </c>
      <c r="J155" s="40" t="n">
        <f aca="false">$I155*$G155</f>
        <v>0</v>
      </c>
      <c r="K155" s="40" t="n">
        <f aca="false">$J155-$F155</f>
        <v>-85543.8817761789</v>
      </c>
      <c r="L155" s="27" t="str">
        <f aca="false">IF($D155=0,"Sem embarque",IF($K155&gt;0,"Recebe","Paga"))</f>
        <v>Paga</v>
      </c>
    </row>
    <row r="156" customFormat="false" ht="15" hidden="false" customHeight="false" outlineLevel="0" collapsed="false">
      <c r="A156" s="27" t="s">
        <v>43</v>
      </c>
      <c r="B156" s="27" t="s">
        <v>61</v>
      </c>
      <c r="C156" s="27" t="s">
        <v>110</v>
      </c>
      <c r="D156" s="34" t="n">
        <f aca="false">SUMIFS(Desconto_Cliente_Mes!$D$2:$D$433,Desconto_Cliente_Mes!$A$2:$A$433,$A156,Desconto_Cliente_Mes!$B$2:$B$433,$B156,Desconto_Cliente_Mes!$C$2:$C$433,$C156)</f>
        <v>92764.41</v>
      </c>
      <c r="E156" s="37" t="str">
        <f aca="false">INDEX(Desconto_Cliente_Mes!$K$2:$K$433,MATCH($A156&amp;"|"&amp;$B156&amp;"|"&amp;$C156,Desconto_Cliente_Mes!$W$2:$W$433,0))</f>
        <v>Nao</v>
      </c>
      <c r="F156" s="39" t="n">
        <f aca="false">SUMIFS(Desconto_Cliente_Mes!$U$2:$U$433,Desconto_Cliente_Mes!$A$2:$A$433,$A156,Desconto_Cliente_Mes!$B$2:$B$433,$B156,Desconto_Cliente_Mes!$C$2:$C$433,$C156)</f>
        <v>0</v>
      </c>
      <c r="G156" s="39" t="n">
        <f aca="false">SUMIFS(Desconto_Cliente_Mes!$U$2:$U$433,Desconto_Cliente_Mes!$B$2:$B$433,$B156,Desconto_Cliente_Mes!$C$2:$C$433,$C156,Desconto_Cliente_Mes!$K$2:$K$433,"Sim")</f>
        <v>89392.5188999994</v>
      </c>
      <c r="H156" s="37" t="n">
        <f aca="false">SUMIFS(Desconto_Cliente_Mes!$D$2:$D$433,Desconto_Cliente_Mes!$B$2:$B$433,$B156,Desconto_Cliente_Mes!$C$2:$C$433,$C156,Desconto_Cliente_Mes!$K$2:$K$433,"Nao",Desconto_Cliente_Mes!$D$2:$D$433,"&gt;0")</f>
        <v>315561.27</v>
      </c>
      <c r="I156" s="42" t="n">
        <f aca="false">IF(AND($E156="Nao",$D156&gt;0,$H156&gt;0),$D156/$H156,0)</f>
        <v>0.293966398347934</v>
      </c>
      <c r="J156" s="40" t="n">
        <f aca="false">$I156*$G156</f>
        <v>26278.3968202825</v>
      </c>
      <c r="K156" s="40" t="n">
        <f aca="false">$J156-$F156</f>
        <v>26278.3968202825</v>
      </c>
      <c r="L156" s="27" t="str">
        <f aca="false">IF($D156=0,"Sem embarque",IF($K156&gt;0,"Recebe","Paga"))</f>
        <v>Recebe</v>
      </c>
    </row>
    <row r="157" customFormat="false" ht="15" hidden="false" customHeight="false" outlineLevel="0" collapsed="false">
      <c r="A157" s="27" t="s">
        <v>43</v>
      </c>
      <c r="B157" s="27" t="s">
        <v>61</v>
      </c>
      <c r="C157" s="27" t="s">
        <v>111</v>
      </c>
      <c r="D157" s="34" t="n">
        <f aca="false">SUMIFS(Desconto_Cliente_Mes!$D$2:$D$433,Desconto_Cliente_Mes!$A$2:$A$433,$A157,Desconto_Cliente_Mes!$B$2:$B$433,$B157,Desconto_Cliente_Mes!$C$2:$C$433,$C157)</f>
        <v>92764.41</v>
      </c>
      <c r="E157" s="37" t="str">
        <f aca="false">INDEX(Desconto_Cliente_Mes!$K$2:$K$433,MATCH($A157&amp;"|"&amp;$B157&amp;"|"&amp;$C157,Desconto_Cliente_Mes!$W$2:$W$433,0))</f>
        <v>Sim</v>
      </c>
      <c r="F157" s="39" t="n">
        <f aca="false">SUMIFS(Desconto_Cliente_Mes!$U$2:$U$433,Desconto_Cliente_Mes!$A$2:$A$433,$A157,Desconto_Cliente_Mes!$B$2:$B$433,$B157,Desconto_Cliente_Mes!$C$2:$C$433,$C157)</f>
        <v>38293.9794454779</v>
      </c>
      <c r="G157" s="39" t="n">
        <f aca="false">SUMIFS(Desconto_Cliente_Mes!$U$2:$U$433,Desconto_Cliente_Mes!$B$2:$B$433,$B157,Desconto_Cliente_Mes!$C$2:$C$433,$C157,Desconto_Cliente_Mes!$K$2:$K$433,"Sim")</f>
        <v>45945.9604253753</v>
      </c>
      <c r="H157" s="37" t="n">
        <f aca="false">SUMIFS(Desconto_Cliente_Mes!$D$2:$D$433,Desconto_Cliente_Mes!$B$2:$B$433,$B157,Desconto_Cliente_Mes!$C$2:$C$433,$C157,Desconto_Cliente_Mes!$K$2:$K$433,"Nao",Desconto_Cliente_Mes!$D$2:$D$433,"&gt;0")</f>
        <v>238706.16</v>
      </c>
      <c r="I157" s="42" t="n">
        <f aca="false">IF(AND($E157="Nao",$D157&gt;0,$H157&gt;0),$D157/$H157,0)</f>
        <v>0</v>
      </c>
      <c r="J157" s="40" t="n">
        <f aca="false">$I157*$G157</f>
        <v>0</v>
      </c>
      <c r="K157" s="40" t="n">
        <f aca="false">$J157-$F157</f>
        <v>-38293.9794454779</v>
      </c>
      <c r="L157" s="27" t="str">
        <f aca="false">IF($D157=0,"Sem embarque",IF($K157&gt;0,"Recebe","Paga"))</f>
        <v>Paga</v>
      </c>
    </row>
    <row r="158" customFormat="false" ht="15" hidden="false" customHeight="false" outlineLevel="0" collapsed="false">
      <c r="A158" s="27" t="s">
        <v>43</v>
      </c>
      <c r="B158" s="27" t="s">
        <v>62</v>
      </c>
      <c r="C158" s="27" t="s">
        <v>109</v>
      </c>
      <c r="D158" s="34" t="n">
        <f aca="false">SUMIFS(Desconto_Cliente_Mes!$D$2:$D$433,Desconto_Cliente_Mes!$A$2:$A$433,$A158,Desconto_Cliente_Mes!$B$2:$B$433,$B158,Desconto_Cliente_Mes!$C$2:$C$433,$C158)</f>
        <v>63744.72</v>
      </c>
      <c r="E158" s="37" t="str">
        <f aca="false">INDEX(Desconto_Cliente_Mes!$K$2:$K$433,MATCH($A158&amp;"|"&amp;$B158&amp;"|"&amp;$C158,Desconto_Cliente_Mes!$W$2:$W$433,0))</f>
        <v>Nao</v>
      </c>
      <c r="F158" s="39" t="n">
        <f aca="false">SUMIFS(Desconto_Cliente_Mes!$U$2:$U$433,Desconto_Cliente_Mes!$A$2:$A$433,$A158,Desconto_Cliente_Mes!$B$2:$B$433,$B158,Desconto_Cliente_Mes!$C$2:$C$433,$C158)</f>
        <v>0</v>
      </c>
      <c r="G158" s="39" t="n">
        <f aca="false">SUMIFS(Desconto_Cliente_Mes!$U$2:$U$433,Desconto_Cliente_Mes!$B$2:$B$433,$B158,Desconto_Cliente_Mes!$C$2:$C$433,$C158,Desconto_Cliente_Mes!$K$2:$K$433,"Sim")</f>
        <v>82370.9873921197</v>
      </c>
      <c r="H158" s="37" t="n">
        <f aca="false">SUMIFS(Desconto_Cliente_Mes!$D$2:$D$433,Desconto_Cliente_Mes!$B$2:$B$433,$B158,Desconto_Cliente_Mes!$C$2:$C$433,$C158,Desconto_Cliente_Mes!$K$2:$K$433,"Nao",Desconto_Cliente_Mes!$D$2:$D$433,"&gt;0")</f>
        <v>113342.84</v>
      </c>
      <c r="I158" s="42" t="n">
        <f aca="false">IF(AND($E158="Nao",$D158&gt;0,$H158&gt;0),$D158/$H158,0)</f>
        <v>0.562406235806338</v>
      </c>
      <c r="J158" s="40" t="n">
        <f aca="false">$I158*$G158</f>
        <v>46325.9569588533</v>
      </c>
      <c r="K158" s="40" t="n">
        <f aca="false">$J158-$F158</f>
        <v>46325.9569588533</v>
      </c>
      <c r="L158" s="27" t="str">
        <f aca="false">IF($D158=0,"Sem embarque",IF($K158&gt;0,"Recebe","Paga"))</f>
        <v>Recebe</v>
      </c>
    </row>
    <row r="159" customFormat="false" ht="15" hidden="false" customHeight="false" outlineLevel="0" collapsed="false">
      <c r="A159" s="27" t="s">
        <v>43</v>
      </c>
      <c r="B159" s="27" t="s">
        <v>62</v>
      </c>
      <c r="C159" s="27" t="s">
        <v>110</v>
      </c>
      <c r="D159" s="34" t="n">
        <f aca="false">SUMIFS(Desconto_Cliente_Mes!$D$2:$D$433,Desconto_Cliente_Mes!$A$2:$A$433,$A159,Desconto_Cliente_Mes!$B$2:$B$433,$B159,Desconto_Cliente_Mes!$C$2:$C$433,$C159)</f>
        <v>63744.72</v>
      </c>
      <c r="E159" s="37" t="str">
        <f aca="false">INDEX(Desconto_Cliente_Mes!$K$2:$K$433,MATCH($A159&amp;"|"&amp;$B159&amp;"|"&amp;$C159,Desconto_Cliente_Mes!$W$2:$W$433,0))</f>
        <v>Sim</v>
      </c>
      <c r="F159" s="39" t="n">
        <f aca="false">SUMIFS(Desconto_Cliente_Mes!$U$2:$U$433,Desconto_Cliente_Mes!$A$2:$A$433,$A159,Desconto_Cliente_Mes!$B$2:$B$433,$B159,Desconto_Cliente_Mes!$C$2:$C$433,$C159)</f>
        <v>1640.73844199981</v>
      </c>
      <c r="G159" s="39" t="n">
        <f aca="false">SUMIFS(Desconto_Cliente_Mes!$U$2:$U$433,Desconto_Cliente_Mes!$B$2:$B$433,$B159,Desconto_Cliente_Mes!$C$2:$C$433,$C159,Desconto_Cliente_Mes!$K$2:$K$433,"Sim")</f>
        <v>18695.6934849998</v>
      </c>
      <c r="H159" s="37" t="n">
        <f aca="false">SUMIFS(Desconto_Cliente_Mes!$D$2:$D$433,Desconto_Cliente_Mes!$B$2:$B$433,$B159,Desconto_Cliente_Mes!$C$2:$C$433,$C159,Desconto_Cliente_Mes!$K$2:$K$433,"Nao",Desconto_Cliente_Mes!$D$2:$D$433,"&gt;0")</f>
        <v>209144.13</v>
      </c>
      <c r="I159" s="42" t="n">
        <f aca="false">IF(AND($E159="Nao",$D159&gt;0,$H159&gt;0),$D159/$H159,0)</f>
        <v>0</v>
      </c>
      <c r="J159" s="40" t="n">
        <f aca="false">$I159*$G159</f>
        <v>0</v>
      </c>
      <c r="K159" s="40" t="n">
        <f aca="false">$J159-$F159</f>
        <v>-1640.73844199981</v>
      </c>
      <c r="L159" s="27" t="str">
        <f aca="false">IF($D159=0,"Sem embarque",IF($K159&gt;0,"Recebe","Paga"))</f>
        <v>Paga</v>
      </c>
    </row>
    <row r="160" customFormat="false" ht="15" hidden="false" customHeight="false" outlineLevel="0" collapsed="false">
      <c r="A160" s="27" t="s">
        <v>43</v>
      </c>
      <c r="B160" s="27" t="s">
        <v>62</v>
      </c>
      <c r="C160" s="27" t="s">
        <v>111</v>
      </c>
      <c r="D160" s="34" t="n">
        <f aca="false">SUMIFS(Desconto_Cliente_Mes!$D$2:$D$433,Desconto_Cliente_Mes!$A$2:$A$433,$A160,Desconto_Cliente_Mes!$B$2:$B$433,$B160,Desconto_Cliente_Mes!$C$2:$C$433,$C160)</f>
        <v>63744.72</v>
      </c>
      <c r="E160" s="37" t="str">
        <f aca="false">INDEX(Desconto_Cliente_Mes!$K$2:$K$433,MATCH($A160&amp;"|"&amp;$B160&amp;"|"&amp;$C160,Desconto_Cliente_Mes!$W$2:$W$433,0))</f>
        <v>Nao</v>
      </c>
      <c r="F160" s="39" t="n">
        <f aca="false">SUMIFS(Desconto_Cliente_Mes!$U$2:$U$433,Desconto_Cliente_Mes!$A$2:$A$433,$A160,Desconto_Cliente_Mes!$B$2:$B$433,$B160,Desconto_Cliente_Mes!$C$2:$C$433,$C160)</f>
        <v>0</v>
      </c>
      <c r="G160" s="39" t="n">
        <f aca="false">SUMIFS(Desconto_Cliente_Mes!$U$2:$U$433,Desconto_Cliente_Mes!$B$2:$B$433,$B160,Desconto_Cliente_Mes!$C$2:$C$433,$C160,Desconto_Cliente_Mes!$K$2:$K$433,"Sim")</f>
        <v>34643.0933013345</v>
      </c>
      <c r="H160" s="37" t="n">
        <f aca="false">SUMIFS(Desconto_Cliente_Mes!$D$2:$D$433,Desconto_Cliente_Mes!$B$2:$B$433,$B160,Desconto_Cliente_Mes!$C$2:$C$433,$C160,Desconto_Cliente_Mes!$K$2:$K$433,"Nao",Desconto_Cliente_Mes!$D$2:$D$433,"&gt;0")</f>
        <v>157163.21</v>
      </c>
      <c r="I160" s="42" t="n">
        <f aca="false">IF(AND($E160="Nao",$D160&gt;0,$H160&gt;0),$D160/$H160,0)</f>
        <v>0.405595686165993</v>
      </c>
      <c r="J160" s="40" t="n">
        <f aca="false">$I160*$G160</f>
        <v>14051.0891984673</v>
      </c>
      <c r="K160" s="40" t="n">
        <f aca="false">$J160-$F160</f>
        <v>14051.0891984673</v>
      </c>
      <c r="L160" s="27" t="str">
        <f aca="false">IF($D160=0,"Sem embarque",IF($K160&gt;0,"Recebe","Paga"))</f>
        <v>Recebe</v>
      </c>
    </row>
    <row r="161" customFormat="false" ht="15" hidden="false" customHeight="false" outlineLevel="0" collapsed="false">
      <c r="A161" s="27" t="s">
        <v>43</v>
      </c>
      <c r="B161" s="27" t="s">
        <v>63</v>
      </c>
      <c r="C161" s="27" t="s">
        <v>109</v>
      </c>
      <c r="D161" s="34" t="n">
        <f aca="false">SUMIFS(Desconto_Cliente_Mes!$D$2:$D$433,Desconto_Cliente_Mes!$A$2:$A$433,$A161,Desconto_Cliente_Mes!$B$2:$B$433,$B161,Desconto_Cliente_Mes!$C$2:$C$433,$C161)</f>
        <v>94743.83</v>
      </c>
      <c r="E161" s="37" t="str">
        <f aca="false">INDEX(Desconto_Cliente_Mes!$K$2:$K$433,MATCH($A161&amp;"|"&amp;$B161&amp;"|"&amp;$C161,Desconto_Cliente_Mes!$W$2:$W$433,0))</f>
        <v>Sim</v>
      </c>
      <c r="F161" s="39" t="n">
        <f aca="false">SUMIFS(Desconto_Cliente_Mes!$U$2:$U$433,Desconto_Cliente_Mes!$A$2:$A$433,$A161,Desconto_Cliente_Mes!$B$2:$B$433,$B161,Desconto_Cliente_Mes!$C$2:$C$433,$C161)</f>
        <v>12134.9712322488</v>
      </c>
      <c r="G161" s="39" t="n">
        <f aca="false">SUMIFS(Desconto_Cliente_Mes!$U$2:$U$433,Desconto_Cliente_Mes!$B$2:$B$433,$B161,Desconto_Cliente_Mes!$C$2:$C$433,$C161,Desconto_Cliente_Mes!$K$2:$K$433,"Sim")</f>
        <v>47810.1541211094</v>
      </c>
      <c r="H161" s="37" t="n">
        <f aca="false">SUMIFS(Desconto_Cliente_Mes!$D$2:$D$433,Desconto_Cliente_Mes!$B$2:$B$433,$B161,Desconto_Cliente_Mes!$C$2:$C$433,$C161,Desconto_Cliente_Mes!$K$2:$K$433,"Nao",Desconto_Cliente_Mes!$D$2:$D$433,"&gt;0")</f>
        <v>127871.4</v>
      </c>
      <c r="I161" s="42" t="n">
        <f aca="false">IF(AND($E161="Nao",$D161&gt;0,$H161&gt;0),$D161/$H161,0)</f>
        <v>0</v>
      </c>
      <c r="J161" s="40" t="n">
        <f aca="false">$I161*$G161</f>
        <v>0</v>
      </c>
      <c r="K161" s="40" t="n">
        <f aca="false">$J161-$F161</f>
        <v>-12134.9712322488</v>
      </c>
      <c r="L161" s="27" t="str">
        <f aca="false">IF($D161=0,"Sem embarque",IF($K161&gt;0,"Recebe","Paga"))</f>
        <v>Paga</v>
      </c>
    </row>
    <row r="162" customFormat="false" ht="15" hidden="false" customHeight="false" outlineLevel="0" collapsed="false">
      <c r="A162" s="27" t="s">
        <v>43</v>
      </c>
      <c r="B162" s="27" t="s">
        <v>63</v>
      </c>
      <c r="C162" s="27" t="s">
        <v>110</v>
      </c>
      <c r="D162" s="34" t="n">
        <f aca="false">SUMIFS(Desconto_Cliente_Mes!$D$2:$D$433,Desconto_Cliente_Mes!$A$2:$A$433,$A162,Desconto_Cliente_Mes!$B$2:$B$433,$B162,Desconto_Cliente_Mes!$C$2:$C$433,$C162)</f>
        <v>94743.83</v>
      </c>
      <c r="E162" s="37" t="str">
        <f aca="false">INDEX(Desconto_Cliente_Mes!$K$2:$K$433,MATCH($A162&amp;"|"&amp;$B162&amp;"|"&amp;$C162,Desconto_Cliente_Mes!$W$2:$W$433,0))</f>
        <v>Nao</v>
      </c>
      <c r="F162" s="39" t="n">
        <f aca="false">SUMIFS(Desconto_Cliente_Mes!$U$2:$U$433,Desconto_Cliente_Mes!$A$2:$A$433,$A162,Desconto_Cliente_Mes!$B$2:$B$433,$B162,Desconto_Cliente_Mes!$C$2:$C$433,$C162)</f>
        <v>0</v>
      </c>
      <c r="G162" s="39" t="n">
        <f aca="false">SUMIFS(Desconto_Cliente_Mes!$U$2:$U$433,Desconto_Cliente_Mes!$B$2:$B$433,$B162,Desconto_Cliente_Mes!$C$2:$C$433,$C162,Desconto_Cliente_Mes!$K$2:$K$433,"Sim")</f>
        <v>147648.667120088</v>
      </c>
      <c r="H162" s="37" t="n">
        <f aca="false">SUMIFS(Desconto_Cliente_Mes!$D$2:$D$433,Desconto_Cliente_Mes!$B$2:$B$433,$B162,Desconto_Cliente_Mes!$C$2:$C$433,$C162,Desconto_Cliente_Mes!$K$2:$K$433,"Nao",Desconto_Cliente_Mes!$D$2:$D$433,"&gt;0")</f>
        <v>232651.12</v>
      </c>
      <c r="I162" s="42" t="n">
        <f aca="false">IF(AND($E162="Nao",$D162&gt;0,$H162&gt;0),$D162/$H162,0)</f>
        <v>0.407235649671491</v>
      </c>
      <c r="J162" s="40" t="n">
        <f aca="false">$I162*$G162</f>
        <v>60127.8008777787</v>
      </c>
      <c r="K162" s="40" t="n">
        <f aca="false">$J162-$F162</f>
        <v>60127.8008777787</v>
      </c>
      <c r="L162" s="27" t="str">
        <f aca="false">IF($D162=0,"Sem embarque",IF($K162&gt;0,"Recebe","Paga"))</f>
        <v>Recebe</v>
      </c>
    </row>
    <row r="163" customFormat="false" ht="15" hidden="false" customHeight="false" outlineLevel="0" collapsed="false">
      <c r="A163" s="27" t="s">
        <v>43</v>
      </c>
      <c r="B163" s="27" t="s">
        <v>63</v>
      </c>
      <c r="C163" s="27" t="s">
        <v>111</v>
      </c>
      <c r="D163" s="34" t="n">
        <f aca="false">SUMIFS(Desconto_Cliente_Mes!$D$2:$D$433,Desconto_Cliente_Mes!$A$2:$A$433,$A163,Desconto_Cliente_Mes!$B$2:$B$433,$B163,Desconto_Cliente_Mes!$C$2:$C$433,$C163)</f>
        <v>94743.83</v>
      </c>
      <c r="E163" s="37" t="str">
        <f aca="false">INDEX(Desconto_Cliente_Mes!$K$2:$K$433,MATCH($A163&amp;"|"&amp;$B163&amp;"|"&amp;$C163,Desconto_Cliente_Mes!$W$2:$W$433,0))</f>
        <v>Sim</v>
      </c>
      <c r="F163" s="39" t="n">
        <f aca="false">SUMIFS(Desconto_Cliente_Mes!$U$2:$U$433,Desconto_Cliente_Mes!$A$2:$A$433,$A163,Desconto_Cliente_Mes!$B$2:$B$433,$B163,Desconto_Cliente_Mes!$C$2:$C$433,$C163)</f>
        <v>15803.5456392583</v>
      </c>
      <c r="G163" s="39" t="n">
        <f aca="false">SUMIFS(Desconto_Cliente_Mes!$U$2:$U$433,Desconto_Cliente_Mes!$B$2:$B$433,$B163,Desconto_Cliente_Mes!$C$2:$C$433,$C163,Desconto_Cliente_Mes!$K$2:$K$433,"Sim")</f>
        <v>31621.0546248943</v>
      </c>
      <c r="H163" s="37" t="n">
        <f aca="false">SUMIFS(Desconto_Cliente_Mes!$D$2:$D$433,Desconto_Cliente_Mes!$B$2:$B$433,$B163,Desconto_Cliente_Mes!$C$2:$C$433,$C163,Desconto_Cliente_Mes!$K$2:$K$433,"Nao",Desconto_Cliente_Mes!$D$2:$D$433,"&gt;0")</f>
        <v>127871.4</v>
      </c>
      <c r="I163" s="42" t="n">
        <f aca="false">IF(AND($E163="Nao",$D163&gt;0,$H163&gt;0),$D163/$H163,0)</f>
        <v>0</v>
      </c>
      <c r="J163" s="40" t="n">
        <f aca="false">$I163*$G163</f>
        <v>0</v>
      </c>
      <c r="K163" s="40" t="n">
        <f aca="false">$J163-$F163</f>
        <v>-15803.5456392583</v>
      </c>
      <c r="L163" s="27" t="str">
        <f aca="false">IF($D163=0,"Sem embarque",IF($K163&gt;0,"Recebe","Paga"))</f>
        <v>Paga</v>
      </c>
    </row>
    <row r="164" customFormat="false" ht="15" hidden="false" customHeight="false" outlineLevel="0" collapsed="false">
      <c r="A164" s="27" t="s">
        <v>43</v>
      </c>
      <c r="B164" s="27" t="s">
        <v>64</v>
      </c>
      <c r="C164" s="27" t="s">
        <v>109</v>
      </c>
      <c r="D164" s="34" t="n">
        <f aca="false">SUMIFS(Desconto_Cliente_Mes!$D$2:$D$433,Desconto_Cliente_Mes!$A$2:$A$433,$A164,Desconto_Cliente_Mes!$B$2:$B$433,$B164,Desconto_Cliente_Mes!$C$2:$C$433,$C164)</f>
        <v>72870.58</v>
      </c>
      <c r="E164" s="37" t="str">
        <f aca="false">INDEX(Desconto_Cliente_Mes!$K$2:$K$433,MATCH($A164&amp;"|"&amp;$B164&amp;"|"&amp;$C164,Desconto_Cliente_Mes!$W$2:$W$433,0))</f>
        <v>Sim</v>
      </c>
      <c r="F164" s="39" t="n">
        <f aca="false">SUMIFS(Desconto_Cliente_Mes!$U$2:$U$433,Desconto_Cliente_Mes!$A$2:$A$433,$A164,Desconto_Cliente_Mes!$B$2:$B$433,$B164,Desconto_Cliente_Mes!$C$2:$C$433,$C164)</f>
        <v>67485.5175781872</v>
      </c>
      <c r="G164" s="39" t="n">
        <f aca="false">SUMIFS(Desconto_Cliente_Mes!$U$2:$U$433,Desconto_Cliente_Mes!$B$2:$B$433,$B164,Desconto_Cliente_Mes!$C$2:$C$433,$C164,Desconto_Cliente_Mes!$K$2:$K$433,"Sim")</f>
        <v>176913.022848898</v>
      </c>
      <c r="H164" s="37" t="n">
        <f aca="false">SUMIFS(Desconto_Cliente_Mes!$D$2:$D$433,Desconto_Cliente_Mes!$B$2:$B$433,$B164,Desconto_Cliente_Mes!$C$2:$C$433,$C164,Desconto_Cliente_Mes!$K$2:$K$433,"Nao",Desconto_Cliente_Mes!$D$2:$D$433,"&gt;0")</f>
        <v>227119.227</v>
      </c>
      <c r="I164" s="42" t="n">
        <f aca="false">IF(AND($E164="Nao",$D164&gt;0,$H164&gt;0),$D164/$H164,0)</f>
        <v>0</v>
      </c>
      <c r="J164" s="40" t="n">
        <f aca="false">$I164*$G164</f>
        <v>0</v>
      </c>
      <c r="K164" s="40" t="n">
        <f aca="false">$J164-$F164</f>
        <v>-67485.5175781872</v>
      </c>
      <c r="L164" s="27" t="str">
        <f aca="false">IF($D164=0,"Sem embarque",IF($K164&gt;0,"Recebe","Paga"))</f>
        <v>Paga</v>
      </c>
    </row>
    <row r="165" customFormat="false" ht="15" hidden="false" customHeight="false" outlineLevel="0" collapsed="false">
      <c r="A165" s="27" t="s">
        <v>43</v>
      </c>
      <c r="B165" s="27" t="s">
        <v>64</v>
      </c>
      <c r="C165" s="27" t="s">
        <v>110</v>
      </c>
      <c r="D165" s="34" t="n">
        <f aca="false">SUMIFS(Desconto_Cliente_Mes!$D$2:$D$433,Desconto_Cliente_Mes!$A$2:$A$433,$A165,Desconto_Cliente_Mes!$B$2:$B$433,$B165,Desconto_Cliente_Mes!$C$2:$C$433,$C165)</f>
        <v>72870.58</v>
      </c>
      <c r="E165" s="37" t="str">
        <f aca="false">INDEX(Desconto_Cliente_Mes!$K$2:$K$433,MATCH($A165&amp;"|"&amp;$B165&amp;"|"&amp;$C165,Desconto_Cliente_Mes!$W$2:$W$433,0))</f>
        <v>Nao</v>
      </c>
      <c r="F165" s="39" t="n">
        <f aca="false">SUMIFS(Desconto_Cliente_Mes!$U$2:$U$433,Desconto_Cliente_Mes!$A$2:$A$433,$A165,Desconto_Cliente_Mes!$B$2:$B$433,$B165,Desconto_Cliente_Mes!$C$2:$C$433,$C165)</f>
        <v>0</v>
      </c>
      <c r="G165" s="39" t="n">
        <f aca="false">SUMIFS(Desconto_Cliente_Mes!$U$2:$U$433,Desconto_Cliente_Mes!$B$2:$B$433,$B165,Desconto_Cliente_Mes!$C$2:$C$433,$C165,Desconto_Cliente_Mes!$K$2:$K$433,"Sim")</f>
        <v>78148.4030953999</v>
      </c>
      <c r="H165" s="37" t="n">
        <f aca="false">SUMIFS(Desconto_Cliente_Mes!$D$2:$D$433,Desconto_Cliente_Mes!$B$2:$B$433,$B165,Desconto_Cliente_Mes!$C$2:$C$433,$C165,Desconto_Cliente_Mes!$K$2:$K$433,"Nao",Desconto_Cliente_Mes!$D$2:$D$433,"&gt;0")</f>
        <v>367366.52</v>
      </c>
      <c r="I165" s="42" t="n">
        <f aca="false">IF(AND($E165="Nao",$D165&gt;0,$H165&gt;0),$D165/$H165,0)</f>
        <v>0.198359338787868</v>
      </c>
      <c r="J165" s="40" t="n">
        <f aca="false">$I165*$G165</f>
        <v>15501.4655653313</v>
      </c>
      <c r="K165" s="40" t="n">
        <f aca="false">$J165-$F165</f>
        <v>15501.4655653313</v>
      </c>
      <c r="L165" s="27" t="str">
        <f aca="false">IF($D165=0,"Sem embarque",IF($K165&gt;0,"Recebe","Paga"))</f>
        <v>Recebe</v>
      </c>
    </row>
    <row r="166" customFormat="false" ht="15" hidden="false" customHeight="false" outlineLevel="0" collapsed="false">
      <c r="A166" s="27" t="s">
        <v>43</v>
      </c>
      <c r="B166" s="27" t="s">
        <v>64</v>
      </c>
      <c r="C166" s="27" t="s">
        <v>111</v>
      </c>
      <c r="D166" s="34" t="n">
        <f aca="false">SUMIFS(Desconto_Cliente_Mes!$D$2:$D$433,Desconto_Cliente_Mes!$A$2:$A$433,$A166,Desconto_Cliente_Mes!$B$2:$B$433,$B166,Desconto_Cliente_Mes!$C$2:$C$433,$C166)</f>
        <v>72870.58</v>
      </c>
      <c r="E166" s="37" t="str">
        <f aca="false">INDEX(Desconto_Cliente_Mes!$K$2:$K$433,MATCH($A166&amp;"|"&amp;$B166&amp;"|"&amp;$C166,Desconto_Cliente_Mes!$W$2:$W$433,0))</f>
        <v>Nao</v>
      </c>
      <c r="F166" s="39" t="n">
        <f aca="false">SUMIFS(Desconto_Cliente_Mes!$U$2:$U$433,Desconto_Cliente_Mes!$A$2:$A$433,$A166,Desconto_Cliente_Mes!$B$2:$B$433,$B166,Desconto_Cliente_Mes!$C$2:$C$433,$C166)</f>
        <v>0</v>
      </c>
      <c r="G166" s="39" t="n">
        <f aca="false">SUMIFS(Desconto_Cliente_Mes!$U$2:$U$433,Desconto_Cliente_Mes!$B$2:$B$433,$B166,Desconto_Cliente_Mes!$C$2:$C$433,$C166,Desconto_Cliente_Mes!$K$2:$K$433,"Sim")</f>
        <v>53234.6338979999</v>
      </c>
      <c r="H166" s="37" t="n">
        <f aca="false">SUMIFS(Desconto_Cliente_Mes!$D$2:$D$433,Desconto_Cliente_Mes!$B$2:$B$433,$B166,Desconto_Cliente_Mes!$C$2:$C$433,$C166,Desconto_Cliente_Mes!$K$2:$K$433,"Nao",Desconto_Cliente_Mes!$D$2:$D$433,"&gt;0")</f>
        <v>250467.867</v>
      </c>
      <c r="I166" s="42" t="n">
        <f aca="false">IF(AND($E166="Nao",$D166&gt;0,$H166&gt;0),$D166/$H166,0)</f>
        <v>0.290937839144053</v>
      </c>
      <c r="J166" s="40" t="n">
        <f aca="false">$I166*$G166</f>
        <v>15487.9693539088</v>
      </c>
      <c r="K166" s="40" t="n">
        <f aca="false">$J166-$F166</f>
        <v>15487.9693539088</v>
      </c>
      <c r="L166" s="27" t="str">
        <f aca="false">IF($D166=0,"Sem embarque",IF($K166&gt;0,"Recebe","Paga"))</f>
        <v>Recebe</v>
      </c>
    </row>
    <row r="167" customFormat="false" ht="15" hidden="false" customHeight="false" outlineLevel="0" collapsed="false">
      <c r="A167" s="27" t="s">
        <v>43</v>
      </c>
      <c r="B167" s="27" t="s">
        <v>65</v>
      </c>
      <c r="C167" s="27" t="s">
        <v>109</v>
      </c>
      <c r="D167" s="34" t="n">
        <f aca="false">SUMIFS(Desconto_Cliente_Mes!$D$2:$D$433,Desconto_Cliente_Mes!$A$2:$A$433,$A167,Desconto_Cliente_Mes!$B$2:$B$433,$B167,Desconto_Cliente_Mes!$C$2:$C$433,$C167)</f>
        <v>70028.07</v>
      </c>
      <c r="E167" s="37" t="str">
        <f aca="false">INDEX(Desconto_Cliente_Mes!$K$2:$K$433,MATCH($A167&amp;"|"&amp;$B167&amp;"|"&amp;$C167,Desconto_Cliente_Mes!$W$2:$W$433,0))</f>
        <v>Sim</v>
      </c>
      <c r="F167" s="39" t="n">
        <f aca="false">SUMIFS(Desconto_Cliente_Mes!$U$2:$U$433,Desconto_Cliente_Mes!$A$2:$A$433,$A167,Desconto_Cliente_Mes!$B$2:$B$433,$B167,Desconto_Cliente_Mes!$C$2:$C$433,$C167)</f>
        <v>71335.7455937847</v>
      </c>
      <c r="G167" s="39" t="n">
        <f aca="false">SUMIFS(Desconto_Cliente_Mes!$U$2:$U$433,Desconto_Cliente_Mes!$B$2:$B$433,$B167,Desconto_Cliente_Mes!$C$2:$C$433,$C167,Desconto_Cliente_Mes!$K$2:$K$433,"Sim")</f>
        <v>264399.663796851</v>
      </c>
      <c r="H167" s="37" t="n">
        <f aca="false">SUMIFS(Desconto_Cliente_Mes!$D$2:$D$433,Desconto_Cliente_Mes!$B$2:$B$433,$B167,Desconto_Cliente_Mes!$C$2:$C$433,$C167,Desconto_Cliente_Mes!$K$2:$K$433,"Nao",Desconto_Cliente_Mes!$D$2:$D$433,"&gt;0")</f>
        <v>166556.65</v>
      </c>
      <c r="I167" s="42" t="n">
        <f aca="false">IF(AND($E167="Nao",$D167&gt;0,$H167&gt;0),$D167/$H167,0)</f>
        <v>0</v>
      </c>
      <c r="J167" s="40" t="n">
        <f aca="false">$I167*$G167</f>
        <v>0</v>
      </c>
      <c r="K167" s="40" t="n">
        <f aca="false">$J167-$F167</f>
        <v>-71335.7455937847</v>
      </c>
      <c r="L167" s="27" t="str">
        <f aca="false">IF($D167=0,"Sem embarque",IF($K167&gt;0,"Recebe","Paga"))</f>
        <v>Paga</v>
      </c>
    </row>
    <row r="168" customFormat="false" ht="15" hidden="false" customHeight="false" outlineLevel="0" collapsed="false">
      <c r="A168" s="27" t="s">
        <v>43</v>
      </c>
      <c r="B168" s="27" t="s">
        <v>65</v>
      </c>
      <c r="C168" s="27" t="s">
        <v>110</v>
      </c>
      <c r="D168" s="34" t="n">
        <f aca="false">SUMIFS(Desconto_Cliente_Mes!$D$2:$D$433,Desconto_Cliente_Mes!$A$2:$A$433,$A168,Desconto_Cliente_Mes!$B$2:$B$433,$B168,Desconto_Cliente_Mes!$C$2:$C$433,$C168)</f>
        <v>70028.07</v>
      </c>
      <c r="E168" s="37" t="str">
        <f aca="false">INDEX(Desconto_Cliente_Mes!$K$2:$K$433,MATCH($A168&amp;"|"&amp;$B168&amp;"|"&amp;$C168,Desconto_Cliente_Mes!$W$2:$W$433,0))</f>
        <v>Nao</v>
      </c>
      <c r="F168" s="39" t="n">
        <f aca="false">SUMIFS(Desconto_Cliente_Mes!$U$2:$U$433,Desconto_Cliente_Mes!$A$2:$A$433,$A168,Desconto_Cliente_Mes!$B$2:$B$433,$B168,Desconto_Cliente_Mes!$C$2:$C$433,$C168)</f>
        <v>0</v>
      </c>
      <c r="G168" s="39" t="n">
        <f aca="false">SUMIFS(Desconto_Cliente_Mes!$U$2:$U$433,Desconto_Cliente_Mes!$B$2:$B$433,$B168,Desconto_Cliente_Mes!$C$2:$C$433,$C168,Desconto_Cliente_Mes!$K$2:$K$433,"Sim")</f>
        <v>54942.617336</v>
      </c>
      <c r="H168" s="37" t="n">
        <f aca="false">SUMIFS(Desconto_Cliente_Mes!$D$2:$D$433,Desconto_Cliente_Mes!$B$2:$B$433,$B168,Desconto_Cliente_Mes!$C$2:$C$433,$C168,Desconto_Cliente_Mes!$K$2:$K$433,"Nao",Desconto_Cliente_Mes!$D$2:$D$433,"&gt;0")</f>
        <v>378160.7</v>
      </c>
      <c r="I168" s="42" t="n">
        <f aca="false">IF(AND($E168="Nao",$D168&gt;0,$H168&gt;0),$D168/$H168,0)</f>
        <v>0.185180718144429</v>
      </c>
      <c r="J168" s="40" t="n">
        <f aca="false">$I168*$G168</f>
        <v>10174.313335015</v>
      </c>
      <c r="K168" s="40" t="n">
        <f aca="false">$J168-$F168</f>
        <v>10174.313335015</v>
      </c>
      <c r="L168" s="27" t="str">
        <f aca="false">IF($D168=0,"Sem embarque",IF($K168&gt;0,"Recebe","Paga"))</f>
        <v>Recebe</v>
      </c>
    </row>
    <row r="169" customFormat="false" ht="15" hidden="false" customHeight="false" outlineLevel="0" collapsed="false">
      <c r="A169" s="27" t="s">
        <v>43</v>
      </c>
      <c r="B169" s="27" t="s">
        <v>65</v>
      </c>
      <c r="C169" s="27" t="s">
        <v>111</v>
      </c>
      <c r="D169" s="34" t="n">
        <f aca="false">SUMIFS(Desconto_Cliente_Mes!$D$2:$D$433,Desconto_Cliente_Mes!$A$2:$A$433,$A169,Desconto_Cliente_Mes!$B$2:$B$433,$B169,Desconto_Cliente_Mes!$C$2:$C$433,$C169)</f>
        <v>70028.07</v>
      </c>
      <c r="E169" s="37" t="str">
        <f aca="false">INDEX(Desconto_Cliente_Mes!$K$2:$K$433,MATCH($A169&amp;"|"&amp;$B169&amp;"|"&amp;$C169,Desconto_Cliente_Mes!$W$2:$W$433,0))</f>
        <v>Sim</v>
      </c>
      <c r="F169" s="39" t="n">
        <f aca="false">SUMIFS(Desconto_Cliente_Mes!$U$2:$U$433,Desconto_Cliente_Mes!$A$2:$A$433,$A169,Desconto_Cliente_Mes!$B$2:$B$433,$B169,Desconto_Cliente_Mes!$C$2:$C$433,$C169)</f>
        <v>41372.8503395416</v>
      </c>
      <c r="G169" s="39" t="n">
        <f aca="false">SUMIFS(Desconto_Cliente_Mes!$U$2:$U$433,Desconto_Cliente_Mes!$B$2:$B$433,$B169,Desconto_Cliente_Mes!$C$2:$C$433,$C169,Desconto_Cliente_Mes!$K$2:$K$433,"Sim")</f>
        <v>131995.749729693</v>
      </c>
      <c r="H169" s="37" t="n">
        <f aca="false">SUMIFS(Desconto_Cliente_Mes!$D$2:$D$433,Desconto_Cliente_Mes!$B$2:$B$433,$B169,Desconto_Cliente_Mes!$C$2:$C$433,$C169,Desconto_Cliente_Mes!$K$2:$K$433,"Nao",Desconto_Cliente_Mes!$D$2:$D$433,"&gt;0")</f>
        <v>132693.79</v>
      </c>
      <c r="I169" s="42" t="n">
        <f aca="false">IF(AND($E169="Nao",$D169&gt;0,$H169&gt;0),$D169/$H169,0)</f>
        <v>0</v>
      </c>
      <c r="J169" s="40" t="n">
        <f aca="false">$I169*$G169</f>
        <v>0</v>
      </c>
      <c r="K169" s="40" t="n">
        <f aca="false">$J169-$F169</f>
        <v>-41372.8503395416</v>
      </c>
      <c r="L169" s="27" t="str">
        <f aca="false">IF($D169=0,"Sem embarque",IF($K169&gt;0,"Recebe","Paga"))</f>
        <v>Paga</v>
      </c>
    </row>
    <row r="170" customFormat="false" ht="15" hidden="false" customHeight="false" outlineLevel="0" collapsed="false">
      <c r="A170" s="27" t="s">
        <v>43</v>
      </c>
      <c r="B170" s="27" t="s">
        <v>66</v>
      </c>
      <c r="C170" s="27" t="s">
        <v>109</v>
      </c>
      <c r="D170" s="34" t="n">
        <f aca="false">SUMIFS(Desconto_Cliente_Mes!$D$2:$D$433,Desconto_Cliente_Mes!$A$2:$A$433,$A170,Desconto_Cliente_Mes!$B$2:$B$433,$B170,Desconto_Cliente_Mes!$C$2:$C$433,$C170)</f>
        <v>16598.01</v>
      </c>
      <c r="E170" s="37" t="str">
        <f aca="false">INDEX(Desconto_Cliente_Mes!$K$2:$K$433,MATCH($A170&amp;"|"&amp;$B170&amp;"|"&amp;$C170,Desconto_Cliente_Mes!$W$2:$W$433,0))</f>
        <v>Sim</v>
      </c>
      <c r="F170" s="39" t="n">
        <f aca="false">SUMIFS(Desconto_Cliente_Mes!$U$2:$U$433,Desconto_Cliente_Mes!$A$2:$A$433,$A170,Desconto_Cliente_Mes!$B$2:$B$433,$B170,Desconto_Cliente_Mes!$C$2:$C$433,$C170)</f>
        <v>1555.72693161107</v>
      </c>
      <c r="G170" s="39" t="n">
        <f aca="false">SUMIFS(Desconto_Cliente_Mes!$U$2:$U$433,Desconto_Cliente_Mes!$B$2:$B$433,$B170,Desconto_Cliente_Mes!$C$2:$C$433,$C170,Desconto_Cliente_Mes!$K$2:$K$433,"Sim")</f>
        <v>26408.1404587724</v>
      </c>
      <c r="H170" s="37" t="n">
        <f aca="false">SUMIFS(Desconto_Cliente_Mes!$D$2:$D$433,Desconto_Cliente_Mes!$B$2:$B$433,$B170,Desconto_Cliente_Mes!$C$2:$C$433,$C170,Desconto_Cliente_Mes!$K$2:$K$433,"Nao",Desconto_Cliente_Mes!$D$2:$D$433,"&gt;0")</f>
        <v>25249.51</v>
      </c>
      <c r="I170" s="42" t="n">
        <f aca="false">IF(AND($E170="Nao",$D170&gt;0,$H170&gt;0),$D170/$H170,0)</f>
        <v>0</v>
      </c>
      <c r="J170" s="40" t="n">
        <f aca="false">$I170*$G170</f>
        <v>0</v>
      </c>
      <c r="K170" s="40" t="n">
        <f aca="false">$J170-$F170</f>
        <v>-1555.72693161107</v>
      </c>
      <c r="L170" s="27" t="str">
        <f aca="false">IF($D170=0,"Sem embarque",IF($K170&gt;0,"Recebe","Paga"))</f>
        <v>Paga</v>
      </c>
    </row>
    <row r="171" customFormat="false" ht="15" hidden="false" customHeight="false" outlineLevel="0" collapsed="false">
      <c r="A171" s="27" t="s">
        <v>43</v>
      </c>
      <c r="B171" s="27" t="s">
        <v>66</v>
      </c>
      <c r="C171" s="27" t="s">
        <v>110</v>
      </c>
      <c r="D171" s="34" t="n">
        <f aca="false">SUMIFS(Desconto_Cliente_Mes!$D$2:$D$433,Desconto_Cliente_Mes!$A$2:$A$433,$A171,Desconto_Cliente_Mes!$B$2:$B$433,$B171,Desconto_Cliente_Mes!$C$2:$C$433,$C171)</f>
        <v>16598.01</v>
      </c>
      <c r="E171" s="37" t="str">
        <f aca="false">INDEX(Desconto_Cliente_Mes!$K$2:$K$433,MATCH($A171&amp;"|"&amp;$B171&amp;"|"&amp;$C171,Desconto_Cliente_Mes!$W$2:$W$433,0))</f>
        <v>Sim</v>
      </c>
      <c r="F171" s="39" t="n">
        <f aca="false">SUMIFS(Desconto_Cliente_Mes!$U$2:$U$433,Desconto_Cliente_Mes!$A$2:$A$433,$A171,Desconto_Cliente_Mes!$B$2:$B$433,$B171,Desconto_Cliente_Mes!$C$2:$C$433,$C171)</f>
        <v>14068.473276</v>
      </c>
      <c r="G171" s="39" t="n">
        <f aca="false">SUMIFS(Desconto_Cliente_Mes!$U$2:$U$433,Desconto_Cliente_Mes!$B$2:$B$433,$B171,Desconto_Cliente_Mes!$C$2:$C$433,$C171,Desconto_Cliente_Mes!$K$2:$K$433,"Sim")</f>
        <v>20574.688366</v>
      </c>
      <c r="H171" s="37" t="n">
        <f aca="false">SUMIFS(Desconto_Cliente_Mes!$D$2:$D$433,Desconto_Cliente_Mes!$B$2:$B$433,$B171,Desconto_Cliente_Mes!$C$2:$C$433,$C171,Desconto_Cliente_Mes!$K$2:$K$433,"Nao",Desconto_Cliente_Mes!$D$2:$D$433,"&gt;0")</f>
        <v>36785.35</v>
      </c>
      <c r="I171" s="42" t="n">
        <f aca="false">IF(AND($E171="Nao",$D171&gt;0,$H171&gt;0),$D171/$H171,0)</f>
        <v>0</v>
      </c>
      <c r="J171" s="40" t="n">
        <f aca="false">$I171*$G171</f>
        <v>0</v>
      </c>
      <c r="K171" s="40" t="n">
        <f aca="false">$J171-$F171</f>
        <v>-14068.473276</v>
      </c>
      <c r="L171" s="27" t="str">
        <f aca="false">IF($D171=0,"Sem embarque",IF($K171&gt;0,"Recebe","Paga"))</f>
        <v>Paga</v>
      </c>
    </row>
    <row r="172" customFormat="false" ht="15" hidden="false" customHeight="false" outlineLevel="0" collapsed="false">
      <c r="A172" s="27" t="s">
        <v>43</v>
      </c>
      <c r="B172" s="27" t="s">
        <v>66</v>
      </c>
      <c r="C172" s="27" t="s">
        <v>111</v>
      </c>
      <c r="D172" s="34" t="n">
        <f aca="false">SUMIFS(Desconto_Cliente_Mes!$D$2:$D$433,Desconto_Cliente_Mes!$A$2:$A$433,$A172,Desconto_Cliente_Mes!$B$2:$B$433,$B172,Desconto_Cliente_Mes!$C$2:$C$433,$C172)</f>
        <v>16598.01</v>
      </c>
      <c r="E172" s="37" t="str">
        <f aca="false">INDEX(Desconto_Cliente_Mes!$K$2:$K$433,MATCH($A172&amp;"|"&amp;$B172&amp;"|"&amp;$C172,Desconto_Cliente_Mes!$W$2:$W$433,0))</f>
        <v>Nao</v>
      </c>
      <c r="F172" s="39" t="n">
        <f aca="false">SUMIFS(Desconto_Cliente_Mes!$U$2:$U$433,Desconto_Cliente_Mes!$A$2:$A$433,$A172,Desconto_Cliente_Mes!$B$2:$B$433,$B172,Desconto_Cliente_Mes!$C$2:$C$433,$C172)</f>
        <v>0</v>
      </c>
      <c r="G172" s="39" t="n">
        <f aca="false">SUMIFS(Desconto_Cliente_Mes!$U$2:$U$433,Desconto_Cliente_Mes!$B$2:$B$433,$B172,Desconto_Cliente_Mes!$C$2:$C$433,$C172,Desconto_Cliente_Mes!$K$2:$K$433,"Sim")</f>
        <v>12224.7687289319</v>
      </c>
      <c r="H172" s="37" t="n">
        <f aca="false">SUMIFS(Desconto_Cliente_Mes!$D$2:$D$433,Desconto_Cliente_Mes!$B$2:$B$433,$B172,Desconto_Cliente_Mes!$C$2:$C$433,$C172,Desconto_Cliente_Mes!$K$2:$K$433,"Nao",Desconto_Cliente_Mes!$D$2:$D$433,"&gt;0")</f>
        <v>41847.52</v>
      </c>
      <c r="I172" s="42" t="n">
        <f aca="false">IF(AND($E172="Nao",$D172&gt;0,$H172&gt;0),$D172/$H172,0)</f>
        <v>0.396630672498633</v>
      </c>
      <c r="J172" s="40" t="n">
        <f aca="false">$I172*$G172</f>
        <v>4848.71824209653</v>
      </c>
      <c r="K172" s="40" t="n">
        <f aca="false">$J172-$F172</f>
        <v>4848.71824209653</v>
      </c>
      <c r="L172" s="27" t="str">
        <f aca="false">IF($D172=0,"Sem embarque",IF($K172&gt;0,"Recebe","Paga"))</f>
        <v>Recebe</v>
      </c>
    </row>
    <row r="173" customFormat="false" ht="15" hidden="false" customHeight="false" outlineLevel="0" collapsed="false">
      <c r="A173" s="27" t="s">
        <v>43</v>
      </c>
      <c r="B173" s="27" t="s">
        <v>67</v>
      </c>
      <c r="C173" s="27" t="s">
        <v>109</v>
      </c>
      <c r="D173" s="34" t="n">
        <f aca="false">SUMIFS(Desconto_Cliente_Mes!$D$2:$D$433,Desconto_Cliente_Mes!$A$2:$A$433,$A173,Desconto_Cliente_Mes!$B$2:$B$433,$B173,Desconto_Cliente_Mes!$C$2:$C$433,$C173)</f>
        <v>0</v>
      </c>
      <c r="E173" s="37" t="str">
        <f aca="false">INDEX(Desconto_Cliente_Mes!$K$2:$K$433,MATCH($A173&amp;"|"&amp;$B173&amp;"|"&amp;$C173,Desconto_Cliente_Mes!$W$2:$W$433,0))</f>
        <v/>
      </c>
      <c r="F173" s="39" t="n">
        <f aca="false">SUMIFS(Desconto_Cliente_Mes!$U$2:$U$433,Desconto_Cliente_Mes!$A$2:$A$433,$A173,Desconto_Cliente_Mes!$B$2:$B$433,$B173,Desconto_Cliente_Mes!$C$2:$C$433,$C173)</f>
        <v>0</v>
      </c>
      <c r="G173" s="39" t="n">
        <f aca="false">SUMIFS(Desconto_Cliente_Mes!$U$2:$U$433,Desconto_Cliente_Mes!$B$2:$B$433,$B173,Desconto_Cliente_Mes!$C$2:$C$433,$C173,Desconto_Cliente_Mes!$K$2:$K$433,"Sim")</f>
        <v>0</v>
      </c>
      <c r="H173" s="37" t="n">
        <f aca="false">SUMIFS(Desconto_Cliente_Mes!$D$2:$D$433,Desconto_Cliente_Mes!$B$2:$B$433,$B173,Desconto_Cliente_Mes!$C$2:$C$433,$C173,Desconto_Cliente_Mes!$K$2:$K$433,"Nao",Desconto_Cliente_Mes!$D$2:$D$433,"&gt;0")</f>
        <v>0</v>
      </c>
      <c r="I173" s="42" t="n">
        <f aca="false">IF(AND($E173="Nao",$D173&gt;0,$H173&gt;0),$D173/$H173,0)</f>
        <v>0</v>
      </c>
      <c r="J173" s="40" t="n">
        <f aca="false">$I173*$G173</f>
        <v>0</v>
      </c>
      <c r="K173" s="40" t="n">
        <f aca="false">$J173-$F173</f>
        <v>0</v>
      </c>
      <c r="L173" s="27" t="str">
        <f aca="false">IF($D173=0,"Sem embarque",IF($K173&gt;0,"Recebe","Paga"))</f>
        <v>Sem embarque</v>
      </c>
    </row>
    <row r="174" customFormat="false" ht="15" hidden="false" customHeight="false" outlineLevel="0" collapsed="false">
      <c r="A174" s="27" t="s">
        <v>43</v>
      </c>
      <c r="B174" s="27" t="s">
        <v>67</v>
      </c>
      <c r="C174" s="27" t="s">
        <v>110</v>
      </c>
      <c r="D174" s="34" t="n">
        <f aca="false">SUMIFS(Desconto_Cliente_Mes!$D$2:$D$433,Desconto_Cliente_Mes!$A$2:$A$433,$A174,Desconto_Cliente_Mes!$B$2:$B$433,$B174,Desconto_Cliente_Mes!$C$2:$C$433,$C174)</f>
        <v>0</v>
      </c>
      <c r="E174" s="37" t="str">
        <f aca="false">INDEX(Desconto_Cliente_Mes!$K$2:$K$433,MATCH($A174&amp;"|"&amp;$B174&amp;"|"&amp;$C174,Desconto_Cliente_Mes!$W$2:$W$433,0))</f>
        <v/>
      </c>
      <c r="F174" s="39" t="n">
        <f aca="false">SUMIFS(Desconto_Cliente_Mes!$U$2:$U$433,Desconto_Cliente_Mes!$A$2:$A$433,$A174,Desconto_Cliente_Mes!$B$2:$B$433,$B174,Desconto_Cliente_Mes!$C$2:$C$433,$C174)</f>
        <v>0</v>
      </c>
      <c r="G174" s="39" t="n">
        <f aca="false">SUMIFS(Desconto_Cliente_Mes!$U$2:$U$433,Desconto_Cliente_Mes!$B$2:$B$433,$B174,Desconto_Cliente_Mes!$C$2:$C$433,$C174,Desconto_Cliente_Mes!$K$2:$K$433,"Sim")</f>
        <v>0</v>
      </c>
      <c r="H174" s="37" t="n">
        <f aca="false">SUMIFS(Desconto_Cliente_Mes!$D$2:$D$433,Desconto_Cliente_Mes!$B$2:$B$433,$B174,Desconto_Cliente_Mes!$C$2:$C$433,$C174,Desconto_Cliente_Mes!$K$2:$K$433,"Nao",Desconto_Cliente_Mes!$D$2:$D$433,"&gt;0")</f>
        <v>0</v>
      </c>
      <c r="I174" s="42" t="n">
        <f aca="false">IF(AND($E174="Nao",$D174&gt;0,$H174&gt;0),$D174/$H174,0)</f>
        <v>0</v>
      </c>
      <c r="J174" s="40" t="n">
        <f aca="false">$I174*$G174</f>
        <v>0</v>
      </c>
      <c r="K174" s="40" t="n">
        <f aca="false">$J174-$F174</f>
        <v>0</v>
      </c>
      <c r="L174" s="27" t="str">
        <f aca="false">IF($D174=0,"Sem embarque",IF($K174&gt;0,"Recebe","Paga"))</f>
        <v>Sem embarque</v>
      </c>
    </row>
    <row r="175" customFormat="false" ht="15" hidden="false" customHeight="false" outlineLevel="0" collapsed="false">
      <c r="A175" s="27" t="s">
        <v>43</v>
      </c>
      <c r="B175" s="27" t="s">
        <v>67</v>
      </c>
      <c r="C175" s="27" t="s">
        <v>111</v>
      </c>
      <c r="D175" s="34" t="n">
        <f aca="false">SUMIFS(Desconto_Cliente_Mes!$D$2:$D$433,Desconto_Cliente_Mes!$A$2:$A$433,$A175,Desconto_Cliente_Mes!$B$2:$B$433,$B175,Desconto_Cliente_Mes!$C$2:$C$433,$C175)</f>
        <v>0</v>
      </c>
      <c r="E175" s="37" t="str">
        <f aca="false">INDEX(Desconto_Cliente_Mes!$K$2:$K$433,MATCH($A175&amp;"|"&amp;$B175&amp;"|"&amp;$C175,Desconto_Cliente_Mes!$W$2:$W$433,0))</f>
        <v/>
      </c>
      <c r="F175" s="39" t="n">
        <f aca="false">SUMIFS(Desconto_Cliente_Mes!$U$2:$U$433,Desconto_Cliente_Mes!$A$2:$A$433,$A175,Desconto_Cliente_Mes!$B$2:$B$433,$B175,Desconto_Cliente_Mes!$C$2:$C$433,$C175)</f>
        <v>0</v>
      </c>
      <c r="G175" s="39" t="n">
        <f aca="false">SUMIFS(Desconto_Cliente_Mes!$U$2:$U$433,Desconto_Cliente_Mes!$B$2:$B$433,$B175,Desconto_Cliente_Mes!$C$2:$C$433,$C175,Desconto_Cliente_Mes!$K$2:$K$433,"Sim")</f>
        <v>0</v>
      </c>
      <c r="H175" s="37" t="n">
        <f aca="false">SUMIFS(Desconto_Cliente_Mes!$D$2:$D$433,Desconto_Cliente_Mes!$B$2:$B$433,$B175,Desconto_Cliente_Mes!$C$2:$C$433,$C175,Desconto_Cliente_Mes!$K$2:$K$433,"Nao",Desconto_Cliente_Mes!$D$2:$D$433,"&gt;0")</f>
        <v>0</v>
      </c>
      <c r="I175" s="42" t="n">
        <f aca="false">IF(AND($E175="Nao",$D175&gt;0,$H175&gt;0),$D175/$H175,0)</f>
        <v>0</v>
      </c>
      <c r="J175" s="40" t="n">
        <f aca="false">$I175*$G175</f>
        <v>0</v>
      </c>
      <c r="K175" s="40" t="n">
        <f aca="false">$J175-$F175</f>
        <v>0</v>
      </c>
      <c r="L175" s="27" t="str">
        <f aca="false">IF($D175=0,"Sem embarque",IF($K175&gt;0,"Recebe","Paga"))</f>
        <v>Sem embarque</v>
      </c>
    </row>
    <row r="176" customFormat="false" ht="15" hidden="false" customHeight="false" outlineLevel="0" collapsed="false">
      <c r="A176" s="27" t="s">
        <v>43</v>
      </c>
      <c r="B176" s="27" t="s">
        <v>68</v>
      </c>
      <c r="C176" s="27" t="s">
        <v>109</v>
      </c>
      <c r="D176" s="34" t="n">
        <f aca="false">SUMIFS(Desconto_Cliente_Mes!$D$2:$D$433,Desconto_Cliente_Mes!$A$2:$A$433,$A176,Desconto_Cliente_Mes!$B$2:$B$433,$B176,Desconto_Cliente_Mes!$C$2:$C$433,$C176)</f>
        <v>0</v>
      </c>
      <c r="E176" s="37" t="str">
        <f aca="false">INDEX(Desconto_Cliente_Mes!$K$2:$K$433,MATCH($A176&amp;"|"&amp;$B176&amp;"|"&amp;$C176,Desconto_Cliente_Mes!$W$2:$W$433,0))</f>
        <v/>
      </c>
      <c r="F176" s="39" t="n">
        <f aca="false">SUMIFS(Desconto_Cliente_Mes!$U$2:$U$433,Desconto_Cliente_Mes!$A$2:$A$433,$A176,Desconto_Cliente_Mes!$B$2:$B$433,$B176,Desconto_Cliente_Mes!$C$2:$C$433,$C176)</f>
        <v>0</v>
      </c>
      <c r="G176" s="39" t="n">
        <f aca="false">SUMIFS(Desconto_Cliente_Mes!$U$2:$U$433,Desconto_Cliente_Mes!$B$2:$B$433,$B176,Desconto_Cliente_Mes!$C$2:$C$433,$C176,Desconto_Cliente_Mes!$K$2:$K$433,"Sim")</f>
        <v>0</v>
      </c>
      <c r="H176" s="37" t="n">
        <f aca="false">SUMIFS(Desconto_Cliente_Mes!$D$2:$D$433,Desconto_Cliente_Mes!$B$2:$B$433,$B176,Desconto_Cliente_Mes!$C$2:$C$433,$C176,Desconto_Cliente_Mes!$K$2:$K$433,"Nao",Desconto_Cliente_Mes!$D$2:$D$433,"&gt;0")</f>
        <v>0</v>
      </c>
      <c r="I176" s="42" t="n">
        <f aca="false">IF(AND($E176="Nao",$D176&gt;0,$H176&gt;0),$D176/$H176,0)</f>
        <v>0</v>
      </c>
      <c r="J176" s="40" t="n">
        <f aca="false">$I176*$G176</f>
        <v>0</v>
      </c>
      <c r="K176" s="40" t="n">
        <f aca="false">$J176-$F176</f>
        <v>0</v>
      </c>
      <c r="L176" s="27" t="str">
        <f aca="false">IF($D176=0,"Sem embarque",IF($K176&gt;0,"Recebe","Paga"))</f>
        <v>Sem embarque</v>
      </c>
    </row>
    <row r="177" customFormat="false" ht="15" hidden="false" customHeight="false" outlineLevel="0" collapsed="false">
      <c r="A177" s="27" t="s">
        <v>43</v>
      </c>
      <c r="B177" s="27" t="s">
        <v>68</v>
      </c>
      <c r="C177" s="27" t="s">
        <v>110</v>
      </c>
      <c r="D177" s="34" t="n">
        <f aca="false">SUMIFS(Desconto_Cliente_Mes!$D$2:$D$433,Desconto_Cliente_Mes!$A$2:$A$433,$A177,Desconto_Cliente_Mes!$B$2:$B$433,$B177,Desconto_Cliente_Mes!$C$2:$C$433,$C177)</f>
        <v>0</v>
      </c>
      <c r="E177" s="37" t="str">
        <f aca="false">INDEX(Desconto_Cliente_Mes!$K$2:$K$433,MATCH($A177&amp;"|"&amp;$B177&amp;"|"&amp;$C177,Desconto_Cliente_Mes!$W$2:$W$433,0))</f>
        <v/>
      </c>
      <c r="F177" s="39" t="n">
        <f aca="false">SUMIFS(Desconto_Cliente_Mes!$U$2:$U$433,Desconto_Cliente_Mes!$A$2:$A$433,$A177,Desconto_Cliente_Mes!$B$2:$B$433,$B177,Desconto_Cliente_Mes!$C$2:$C$433,$C177)</f>
        <v>0</v>
      </c>
      <c r="G177" s="39" t="n">
        <f aca="false">SUMIFS(Desconto_Cliente_Mes!$U$2:$U$433,Desconto_Cliente_Mes!$B$2:$B$433,$B177,Desconto_Cliente_Mes!$C$2:$C$433,$C177,Desconto_Cliente_Mes!$K$2:$K$433,"Sim")</f>
        <v>0</v>
      </c>
      <c r="H177" s="37" t="n">
        <f aca="false">SUMIFS(Desconto_Cliente_Mes!$D$2:$D$433,Desconto_Cliente_Mes!$B$2:$B$433,$B177,Desconto_Cliente_Mes!$C$2:$C$433,$C177,Desconto_Cliente_Mes!$K$2:$K$433,"Nao",Desconto_Cliente_Mes!$D$2:$D$433,"&gt;0")</f>
        <v>0</v>
      </c>
      <c r="I177" s="42" t="n">
        <f aca="false">IF(AND($E177="Nao",$D177&gt;0,$H177&gt;0),$D177/$H177,0)</f>
        <v>0</v>
      </c>
      <c r="J177" s="40" t="n">
        <f aca="false">$I177*$G177</f>
        <v>0</v>
      </c>
      <c r="K177" s="40" t="n">
        <f aca="false">$J177-$F177</f>
        <v>0</v>
      </c>
      <c r="L177" s="27" t="str">
        <f aca="false">IF($D177=0,"Sem embarque",IF($K177&gt;0,"Recebe","Paga"))</f>
        <v>Sem embarque</v>
      </c>
    </row>
    <row r="178" customFormat="false" ht="15" hidden="false" customHeight="false" outlineLevel="0" collapsed="false">
      <c r="A178" s="27" t="s">
        <v>43</v>
      </c>
      <c r="B178" s="27" t="s">
        <v>68</v>
      </c>
      <c r="C178" s="27" t="s">
        <v>111</v>
      </c>
      <c r="D178" s="34" t="n">
        <f aca="false">SUMIFS(Desconto_Cliente_Mes!$D$2:$D$433,Desconto_Cliente_Mes!$A$2:$A$433,$A178,Desconto_Cliente_Mes!$B$2:$B$433,$B178,Desconto_Cliente_Mes!$C$2:$C$433,$C178)</f>
        <v>0</v>
      </c>
      <c r="E178" s="37" t="str">
        <f aca="false">INDEX(Desconto_Cliente_Mes!$K$2:$K$433,MATCH($A178&amp;"|"&amp;$B178&amp;"|"&amp;$C178,Desconto_Cliente_Mes!$W$2:$W$433,0))</f>
        <v/>
      </c>
      <c r="F178" s="39" t="n">
        <f aca="false">SUMIFS(Desconto_Cliente_Mes!$U$2:$U$433,Desconto_Cliente_Mes!$A$2:$A$433,$A178,Desconto_Cliente_Mes!$B$2:$B$433,$B178,Desconto_Cliente_Mes!$C$2:$C$433,$C178)</f>
        <v>0</v>
      </c>
      <c r="G178" s="39" t="n">
        <f aca="false">SUMIFS(Desconto_Cliente_Mes!$U$2:$U$433,Desconto_Cliente_Mes!$B$2:$B$433,$B178,Desconto_Cliente_Mes!$C$2:$C$433,$C178,Desconto_Cliente_Mes!$K$2:$K$433,"Sim")</f>
        <v>0</v>
      </c>
      <c r="H178" s="37" t="n">
        <f aca="false">SUMIFS(Desconto_Cliente_Mes!$D$2:$D$433,Desconto_Cliente_Mes!$B$2:$B$433,$B178,Desconto_Cliente_Mes!$C$2:$C$433,$C178,Desconto_Cliente_Mes!$K$2:$K$433,"Nao",Desconto_Cliente_Mes!$D$2:$D$433,"&gt;0")</f>
        <v>0</v>
      </c>
      <c r="I178" s="42" t="n">
        <f aca="false">IF(AND($E178="Nao",$D178&gt;0,$H178&gt;0),$D178/$H178,0)</f>
        <v>0</v>
      </c>
      <c r="J178" s="40" t="n">
        <f aca="false">$I178*$G178</f>
        <v>0</v>
      </c>
      <c r="K178" s="40" t="n">
        <f aca="false">$J178-$F178</f>
        <v>0</v>
      </c>
      <c r="L178" s="27" t="str">
        <f aca="false">IF($D178=0,"Sem embarque",IF($K178&gt;0,"Recebe","Paga"))</f>
        <v>Sem embarque</v>
      </c>
    </row>
    <row r="179" customFormat="false" ht="15" hidden="false" customHeight="false" outlineLevel="0" collapsed="false">
      <c r="A179" s="27" t="s">
        <v>43</v>
      </c>
      <c r="B179" s="27" t="s">
        <v>69</v>
      </c>
      <c r="C179" s="27" t="s">
        <v>109</v>
      </c>
      <c r="D179" s="34" t="n">
        <f aca="false">SUMIFS(Desconto_Cliente_Mes!$D$2:$D$433,Desconto_Cliente_Mes!$A$2:$A$433,$A179,Desconto_Cliente_Mes!$B$2:$B$433,$B179,Desconto_Cliente_Mes!$C$2:$C$433,$C179)</f>
        <v>0</v>
      </c>
      <c r="E179" s="37" t="str">
        <f aca="false">INDEX(Desconto_Cliente_Mes!$K$2:$K$433,MATCH($A179&amp;"|"&amp;$B179&amp;"|"&amp;$C179,Desconto_Cliente_Mes!$W$2:$W$433,0))</f>
        <v/>
      </c>
      <c r="F179" s="39" t="n">
        <f aca="false">SUMIFS(Desconto_Cliente_Mes!$U$2:$U$433,Desconto_Cliente_Mes!$A$2:$A$433,$A179,Desconto_Cliente_Mes!$B$2:$B$433,$B179,Desconto_Cliente_Mes!$C$2:$C$433,$C179)</f>
        <v>0</v>
      </c>
      <c r="G179" s="39" t="n">
        <f aca="false">SUMIFS(Desconto_Cliente_Mes!$U$2:$U$433,Desconto_Cliente_Mes!$B$2:$B$433,$B179,Desconto_Cliente_Mes!$C$2:$C$433,$C179,Desconto_Cliente_Mes!$K$2:$K$433,"Sim")</f>
        <v>0</v>
      </c>
      <c r="H179" s="37" t="n">
        <f aca="false">SUMIFS(Desconto_Cliente_Mes!$D$2:$D$433,Desconto_Cliente_Mes!$B$2:$B$433,$B179,Desconto_Cliente_Mes!$C$2:$C$433,$C179,Desconto_Cliente_Mes!$K$2:$K$433,"Nao",Desconto_Cliente_Mes!$D$2:$D$433,"&gt;0")</f>
        <v>0</v>
      </c>
      <c r="I179" s="42" t="n">
        <f aca="false">IF(AND($E179="Nao",$D179&gt;0,$H179&gt;0),$D179/$H179,0)</f>
        <v>0</v>
      </c>
      <c r="J179" s="40" t="n">
        <f aca="false">$I179*$G179</f>
        <v>0</v>
      </c>
      <c r="K179" s="40" t="n">
        <f aca="false">$J179-$F179</f>
        <v>0</v>
      </c>
      <c r="L179" s="27" t="str">
        <f aca="false">IF($D179=0,"Sem embarque",IF($K179&gt;0,"Recebe","Paga"))</f>
        <v>Sem embarque</v>
      </c>
    </row>
    <row r="180" customFormat="false" ht="15" hidden="false" customHeight="false" outlineLevel="0" collapsed="false">
      <c r="A180" s="27" t="s">
        <v>43</v>
      </c>
      <c r="B180" s="27" t="s">
        <v>69</v>
      </c>
      <c r="C180" s="27" t="s">
        <v>110</v>
      </c>
      <c r="D180" s="34" t="n">
        <f aca="false">SUMIFS(Desconto_Cliente_Mes!$D$2:$D$433,Desconto_Cliente_Mes!$A$2:$A$433,$A180,Desconto_Cliente_Mes!$B$2:$B$433,$B180,Desconto_Cliente_Mes!$C$2:$C$433,$C180)</f>
        <v>0</v>
      </c>
      <c r="E180" s="37" t="str">
        <f aca="false">INDEX(Desconto_Cliente_Mes!$K$2:$K$433,MATCH($A180&amp;"|"&amp;$B180&amp;"|"&amp;$C180,Desconto_Cliente_Mes!$W$2:$W$433,0))</f>
        <v/>
      </c>
      <c r="F180" s="39" t="n">
        <f aca="false">SUMIFS(Desconto_Cliente_Mes!$U$2:$U$433,Desconto_Cliente_Mes!$A$2:$A$433,$A180,Desconto_Cliente_Mes!$B$2:$B$433,$B180,Desconto_Cliente_Mes!$C$2:$C$433,$C180)</f>
        <v>0</v>
      </c>
      <c r="G180" s="39" t="n">
        <f aca="false">SUMIFS(Desconto_Cliente_Mes!$U$2:$U$433,Desconto_Cliente_Mes!$B$2:$B$433,$B180,Desconto_Cliente_Mes!$C$2:$C$433,$C180,Desconto_Cliente_Mes!$K$2:$K$433,"Sim")</f>
        <v>0</v>
      </c>
      <c r="H180" s="37" t="n">
        <f aca="false">SUMIFS(Desconto_Cliente_Mes!$D$2:$D$433,Desconto_Cliente_Mes!$B$2:$B$433,$B180,Desconto_Cliente_Mes!$C$2:$C$433,$C180,Desconto_Cliente_Mes!$K$2:$K$433,"Nao",Desconto_Cliente_Mes!$D$2:$D$433,"&gt;0")</f>
        <v>0</v>
      </c>
      <c r="I180" s="42" t="n">
        <f aca="false">IF(AND($E180="Nao",$D180&gt;0,$H180&gt;0),$D180/$H180,0)</f>
        <v>0</v>
      </c>
      <c r="J180" s="40" t="n">
        <f aca="false">$I180*$G180</f>
        <v>0</v>
      </c>
      <c r="K180" s="40" t="n">
        <f aca="false">$J180-$F180</f>
        <v>0</v>
      </c>
      <c r="L180" s="27" t="str">
        <f aca="false">IF($D180=0,"Sem embarque",IF($K180&gt;0,"Recebe","Paga"))</f>
        <v>Sem embarque</v>
      </c>
    </row>
    <row r="181" customFormat="false" ht="15" hidden="false" customHeight="false" outlineLevel="0" collapsed="false">
      <c r="A181" s="27" t="s">
        <v>43</v>
      </c>
      <c r="B181" s="27" t="s">
        <v>69</v>
      </c>
      <c r="C181" s="27" t="s">
        <v>111</v>
      </c>
      <c r="D181" s="34" t="n">
        <f aca="false">SUMIFS(Desconto_Cliente_Mes!$D$2:$D$433,Desconto_Cliente_Mes!$A$2:$A$433,$A181,Desconto_Cliente_Mes!$B$2:$B$433,$B181,Desconto_Cliente_Mes!$C$2:$C$433,$C181)</f>
        <v>0</v>
      </c>
      <c r="E181" s="37" t="str">
        <f aca="false">INDEX(Desconto_Cliente_Mes!$K$2:$K$433,MATCH($A181&amp;"|"&amp;$B181&amp;"|"&amp;$C181,Desconto_Cliente_Mes!$W$2:$W$433,0))</f>
        <v/>
      </c>
      <c r="F181" s="39" t="n">
        <f aca="false">SUMIFS(Desconto_Cliente_Mes!$U$2:$U$433,Desconto_Cliente_Mes!$A$2:$A$433,$A181,Desconto_Cliente_Mes!$B$2:$B$433,$B181,Desconto_Cliente_Mes!$C$2:$C$433,$C181)</f>
        <v>0</v>
      </c>
      <c r="G181" s="39" t="n">
        <f aca="false">SUMIFS(Desconto_Cliente_Mes!$U$2:$U$433,Desconto_Cliente_Mes!$B$2:$B$433,$B181,Desconto_Cliente_Mes!$C$2:$C$433,$C181,Desconto_Cliente_Mes!$K$2:$K$433,"Sim")</f>
        <v>0</v>
      </c>
      <c r="H181" s="37" t="n">
        <f aca="false">SUMIFS(Desconto_Cliente_Mes!$D$2:$D$433,Desconto_Cliente_Mes!$B$2:$B$433,$B181,Desconto_Cliente_Mes!$C$2:$C$433,$C181,Desconto_Cliente_Mes!$K$2:$K$433,"Nao",Desconto_Cliente_Mes!$D$2:$D$433,"&gt;0")</f>
        <v>0</v>
      </c>
      <c r="I181" s="42" t="n">
        <f aca="false">IF(AND($E181="Nao",$D181&gt;0,$H181&gt;0),$D181/$H181,0)</f>
        <v>0</v>
      </c>
      <c r="J181" s="40" t="n">
        <f aca="false">$I181*$G181</f>
        <v>0</v>
      </c>
      <c r="K181" s="40" t="n">
        <f aca="false">$J181-$F181</f>
        <v>0</v>
      </c>
      <c r="L181" s="27" t="str">
        <f aca="false">IF($D181=0,"Sem embarque",IF($K181&gt;0,"Recebe","Paga"))</f>
        <v>Sem embarque</v>
      </c>
    </row>
    <row r="182" customFormat="false" ht="15" hidden="false" customHeight="false" outlineLevel="0" collapsed="false">
      <c r="A182" s="27" t="s">
        <v>44</v>
      </c>
      <c r="B182" s="27" t="s">
        <v>38</v>
      </c>
      <c r="C182" s="27" t="s">
        <v>109</v>
      </c>
      <c r="D182" s="34" t="n">
        <f aca="false">SUMIFS(Desconto_Cliente_Mes!$D$2:$D$433,Desconto_Cliente_Mes!$A$2:$A$433,$A182,Desconto_Cliente_Mes!$B$2:$B$433,$B182,Desconto_Cliente_Mes!$C$2:$C$433,$C182)</f>
        <v>48560.63</v>
      </c>
      <c r="E182" s="37" t="str">
        <f aca="false">INDEX(Desconto_Cliente_Mes!$K$2:$K$433,MATCH($A182&amp;"|"&amp;$B182&amp;"|"&amp;$C182,Desconto_Cliente_Mes!$W$2:$W$433,0))</f>
        <v>Sim</v>
      </c>
      <c r="F182" s="39" t="n">
        <f aca="false">SUMIFS(Desconto_Cliente_Mes!$U$2:$U$433,Desconto_Cliente_Mes!$A$2:$A$433,$A182,Desconto_Cliente_Mes!$B$2:$B$433,$B182,Desconto_Cliente_Mes!$C$2:$C$433,$C182)</f>
        <v>46317.6601929737</v>
      </c>
      <c r="G182" s="39" t="n">
        <f aca="false">SUMIFS(Desconto_Cliente_Mes!$U$2:$U$433,Desconto_Cliente_Mes!$B$2:$B$433,$B182,Desconto_Cliente_Mes!$C$2:$C$433,$C182,Desconto_Cliente_Mes!$K$2:$K$433,"Sim")</f>
        <v>91377.0669671845</v>
      </c>
      <c r="H182" s="37" t="n">
        <f aca="false">SUMIFS(Desconto_Cliente_Mes!$D$2:$D$433,Desconto_Cliente_Mes!$B$2:$B$433,$B182,Desconto_Cliente_Mes!$C$2:$C$433,$C182,Desconto_Cliente_Mes!$K$2:$K$433,"Nao",Desconto_Cliente_Mes!$D$2:$D$433,"&gt;0")</f>
        <v>58734.34</v>
      </c>
      <c r="I182" s="42" t="n">
        <f aca="false">IF(AND($E182="Nao",$D182&gt;0,$H182&gt;0),$D182/$H182,0)</f>
        <v>0</v>
      </c>
      <c r="J182" s="40" t="n">
        <f aca="false">$I182*$G182</f>
        <v>0</v>
      </c>
      <c r="K182" s="40" t="n">
        <f aca="false">$J182-$F182</f>
        <v>-46317.6601929737</v>
      </c>
      <c r="L182" s="27" t="str">
        <f aca="false">IF($D182=0,"Sem embarque",IF($K182&gt;0,"Recebe","Paga"))</f>
        <v>Paga</v>
      </c>
    </row>
    <row r="183" customFormat="false" ht="15" hidden="false" customHeight="false" outlineLevel="0" collapsed="false">
      <c r="A183" s="27" t="s">
        <v>44</v>
      </c>
      <c r="B183" s="27" t="s">
        <v>38</v>
      </c>
      <c r="C183" s="27" t="s">
        <v>110</v>
      </c>
      <c r="D183" s="34" t="n">
        <f aca="false">SUMIFS(Desconto_Cliente_Mes!$D$2:$D$433,Desconto_Cliente_Mes!$A$2:$A$433,$A183,Desconto_Cliente_Mes!$B$2:$B$433,$B183,Desconto_Cliente_Mes!$C$2:$C$433,$C183)</f>
        <v>48560.63</v>
      </c>
      <c r="E183" s="37" t="str">
        <f aca="false">INDEX(Desconto_Cliente_Mes!$K$2:$K$433,MATCH($A183&amp;"|"&amp;$B183&amp;"|"&amp;$C183,Desconto_Cliente_Mes!$W$2:$W$433,0))</f>
        <v>Nao</v>
      </c>
      <c r="F183" s="39" t="n">
        <f aca="false">SUMIFS(Desconto_Cliente_Mes!$U$2:$U$433,Desconto_Cliente_Mes!$A$2:$A$433,$A183,Desconto_Cliente_Mes!$B$2:$B$433,$B183,Desconto_Cliente_Mes!$C$2:$C$433,$C183)</f>
        <v>0</v>
      </c>
      <c r="G183" s="39" t="n">
        <f aca="false">SUMIFS(Desconto_Cliente_Mes!$U$2:$U$433,Desconto_Cliente_Mes!$B$2:$B$433,$B183,Desconto_Cliente_Mes!$C$2:$C$433,$C183,Desconto_Cliente_Mes!$K$2:$K$433,"Sim")</f>
        <v>0</v>
      </c>
      <c r="H183" s="37" t="n">
        <f aca="false">SUMIFS(Desconto_Cliente_Mes!$D$2:$D$433,Desconto_Cliente_Mes!$B$2:$B$433,$B183,Desconto_Cliente_Mes!$C$2:$C$433,$C183,Desconto_Cliente_Mes!$K$2:$K$433,"Nao",Desconto_Cliente_Mes!$D$2:$D$433,"&gt;0")</f>
        <v>263816.27</v>
      </c>
      <c r="I183" s="42" t="n">
        <f aca="false">IF(AND($E183="Nao",$D183&gt;0,$H183&gt;0),$D183/$H183,0)</f>
        <v>0.184069883180442</v>
      </c>
      <c r="J183" s="40" t="n">
        <f aca="false">$I183*$G183</f>
        <v>0</v>
      </c>
      <c r="K183" s="40" t="n">
        <f aca="false">$J183-$F183</f>
        <v>0</v>
      </c>
      <c r="L183" s="27" t="str">
        <f aca="false">IF($D183=0,"Sem embarque",IF($K183&gt;0,"Recebe","Paga"))</f>
        <v>Paga</v>
      </c>
    </row>
    <row r="184" customFormat="false" ht="15" hidden="false" customHeight="false" outlineLevel="0" collapsed="false">
      <c r="A184" s="27" t="s">
        <v>44</v>
      </c>
      <c r="B184" s="27" t="s">
        <v>38</v>
      </c>
      <c r="C184" s="27" t="s">
        <v>111</v>
      </c>
      <c r="D184" s="34" t="n">
        <f aca="false">SUMIFS(Desconto_Cliente_Mes!$D$2:$D$433,Desconto_Cliente_Mes!$A$2:$A$433,$A184,Desconto_Cliente_Mes!$B$2:$B$433,$B184,Desconto_Cliente_Mes!$C$2:$C$433,$C184)</f>
        <v>48560.63</v>
      </c>
      <c r="E184" s="37" t="str">
        <f aca="false">INDEX(Desconto_Cliente_Mes!$K$2:$K$433,MATCH($A184&amp;"|"&amp;$B184&amp;"|"&amp;$C184,Desconto_Cliente_Mes!$W$2:$W$433,0))</f>
        <v>Sim</v>
      </c>
      <c r="F184" s="39" t="n">
        <f aca="false">SUMIFS(Desconto_Cliente_Mes!$U$2:$U$433,Desconto_Cliente_Mes!$A$2:$A$433,$A184,Desconto_Cliente_Mes!$B$2:$B$433,$B184,Desconto_Cliente_Mes!$C$2:$C$433,$C184)</f>
        <v>19937.9213546217</v>
      </c>
      <c r="G184" s="39" t="n">
        <f aca="false">SUMIFS(Desconto_Cliente_Mes!$U$2:$U$433,Desconto_Cliente_Mes!$B$2:$B$433,$B184,Desconto_Cliente_Mes!$C$2:$C$433,$C184,Desconto_Cliente_Mes!$K$2:$K$433,"Sim")</f>
        <v>71216.4191325092</v>
      </c>
      <c r="H184" s="37" t="n">
        <f aca="false">SUMIFS(Desconto_Cliente_Mes!$D$2:$D$433,Desconto_Cliente_Mes!$B$2:$B$433,$B184,Desconto_Cliente_Mes!$C$2:$C$433,$C184,Desconto_Cliente_Mes!$K$2:$K$433,"Nao",Desconto_Cliente_Mes!$D$2:$D$433,"&gt;0")</f>
        <v>116867.62</v>
      </c>
      <c r="I184" s="42" t="n">
        <f aca="false">IF(AND($E184="Nao",$D184&gt;0,$H184&gt;0),$D184/$H184,0)</f>
        <v>0</v>
      </c>
      <c r="J184" s="40" t="n">
        <f aca="false">$I184*$G184</f>
        <v>0</v>
      </c>
      <c r="K184" s="40" t="n">
        <f aca="false">$J184-$F184</f>
        <v>-19937.9213546217</v>
      </c>
      <c r="L184" s="27" t="str">
        <f aca="false">IF($D184=0,"Sem embarque",IF($K184&gt;0,"Recebe","Paga"))</f>
        <v>Paga</v>
      </c>
    </row>
    <row r="185" customFormat="false" ht="15" hidden="false" customHeight="false" outlineLevel="0" collapsed="false">
      <c r="A185" s="27" t="s">
        <v>44</v>
      </c>
      <c r="B185" s="27" t="s">
        <v>59</v>
      </c>
      <c r="C185" s="27" t="s">
        <v>109</v>
      </c>
      <c r="D185" s="34" t="n">
        <f aca="false">SUMIFS(Desconto_Cliente_Mes!$D$2:$D$433,Desconto_Cliente_Mes!$A$2:$A$433,$A185,Desconto_Cliente_Mes!$B$2:$B$433,$B185,Desconto_Cliente_Mes!$C$2:$C$433,$C185)</f>
        <v>41884.18</v>
      </c>
      <c r="E185" s="37" t="str">
        <f aca="false">INDEX(Desconto_Cliente_Mes!$K$2:$K$433,MATCH($A185&amp;"|"&amp;$B185&amp;"|"&amp;$C185,Desconto_Cliente_Mes!$W$2:$W$433,0))</f>
        <v>Sim</v>
      </c>
      <c r="F185" s="39" t="n">
        <f aca="false">SUMIFS(Desconto_Cliente_Mes!$U$2:$U$433,Desconto_Cliente_Mes!$A$2:$A$433,$A185,Desconto_Cliente_Mes!$B$2:$B$433,$B185,Desconto_Cliente_Mes!$C$2:$C$433,$C185)</f>
        <v>31457.2126860795</v>
      </c>
      <c r="G185" s="39" t="n">
        <f aca="false">SUMIFS(Desconto_Cliente_Mes!$U$2:$U$433,Desconto_Cliente_Mes!$B$2:$B$433,$B185,Desconto_Cliente_Mes!$C$2:$C$433,$C185,Desconto_Cliente_Mes!$K$2:$K$433,"Sim")</f>
        <v>166858.825867758</v>
      </c>
      <c r="H185" s="37" t="n">
        <f aca="false">SUMIFS(Desconto_Cliente_Mes!$D$2:$D$433,Desconto_Cliente_Mes!$B$2:$B$433,$B185,Desconto_Cliente_Mes!$C$2:$C$433,$C185,Desconto_Cliente_Mes!$K$2:$K$433,"Nao",Desconto_Cliente_Mes!$D$2:$D$433,"&gt;0")</f>
        <v>83594.61</v>
      </c>
      <c r="I185" s="42" t="n">
        <f aca="false">IF(AND($E185="Nao",$D185&gt;0,$H185&gt;0),$D185/$H185,0)</f>
        <v>0</v>
      </c>
      <c r="J185" s="40" t="n">
        <f aca="false">$I185*$G185</f>
        <v>0</v>
      </c>
      <c r="K185" s="40" t="n">
        <f aca="false">$J185-$F185</f>
        <v>-31457.2126860795</v>
      </c>
      <c r="L185" s="27" t="str">
        <f aca="false">IF($D185=0,"Sem embarque",IF($K185&gt;0,"Recebe","Paga"))</f>
        <v>Paga</v>
      </c>
    </row>
    <row r="186" customFormat="false" ht="15" hidden="false" customHeight="false" outlineLevel="0" collapsed="false">
      <c r="A186" s="27" t="s">
        <v>44</v>
      </c>
      <c r="B186" s="27" t="s">
        <v>59</v>
      </c>
      <c r="C186" s="27" t="s">
        <v>110</v>
      </c>
      <c r="D186" s="34" t="n">
        <f aca="false">SUMIFS(Desconto_Cliente_Mes!$D$2:$D$433,Desconto_Cliente_Mes!$A$2:$A$433,$A186,Desconto_Cliente_Mes!$B$2:$B$433,$B186,Desconto_Cliente_Mes!$C$2:$C$433,$C186)</f>
        <v>41884.18</v>
      </c>
      <c r="E186" s="37" t="str">
        <f aca="false">INDEX(Desconto_Cliente_Mes!$K$2:$K$433,MATCH($A186&amp;"|"&amp;$B186&amp;"|"&amp;$C186,Desconto_Cliente_Mes!$W$2:$W$433,0))</f>
        <v>Nao</v>
      </c>
      <c r="F186" s="39" t="n">
        <f aca="false">SUMIFS(Desconto_Cliente_Mes!$U$2:$U$433,Desconto_Cliente_Mes!$A$2:$A$433,$A186,Desconto_Cliente_Mes!$B$2:$B$433,$B186,Desconto_Cliente_Mes!$C$2:$C$433,$C186)</f>
        <v>0</v>
      </c>
      <c r="G186" s="39" t="n">
        <f aca="false">SUMIFS(Desconto_Cliente_Mes!$U$2:$U$433,Desconto_Cliente_Mes!$B$2:$B$433,$B186,Desconto_Cliente_Mes!$C$2:$C$433,$C186,Desconto_Cliente_Mes!$K$2:$K$433,"Sim")</f>
        <v>8132.39257800007</v>
      </c>
      <c r="H186" s="37" t="n">
        <f aca="false">SUMIFS(Desconto_Cliente_Mes!$D$2:$D$433,Desconto_Cliente_Mes!$B$2:$B$433,$B186,Desconto_Cliente_Mes!$C$2:$C$433,$C186,Desconto_Cliente_Mes!$K$2:$K$433,"Nao",Desconto_Cliente_Mes!$D$2:$D$433,"&gt;0")</f>
        <v>289730.52</v>
      </c>
      <c r="I186" s="42" t="n">
        <f aca="false">IF(AND($E186="Nao",$D186&gt;0,$H186&gt;0),$D186/$H186,0)</f>
        <v>0.144562540390981</v>
      </c>
      <c r="J186" s="40" t="n">
        <f aca="false">$I186*$G186</f>
        <v>1175.63933053245</v>
      </c>
      <c r="K186" s="40" t="n">
        <f aca="false">$J186-$F186</f>
        <v>1175.63933053245</v>
      </c>
      <c r="L186" s="27" t="str">
        <f aca="false">IF($D186=0,"Sem embarque",IF($K186&gt;0,"Recebe","Paga"))</f>
        <v>Recebe</v>
      </c>
    </row>
    <row r="187" customFormat="false" ht="15" hidden="false" customHeight="false" outlineLevel="0" collapsed="false">
      <c r="A187" s="27" t="s">
        <v>44</v>
      </c>
      <c r="B187" s="27" t="s">
        <v>59</v>
      </c>
      <c r="C187" s="27" t="s">
        <v>111</v>
      </c>
      <c r="D187" s="34" t="n">
        <f aca="false">SUMIFS(Desconto_Cliente_Mes!$D$2:$D$433,Desconto_Cliente_Mes!$A$2:$A$433,$A187,Desconto_Cliente_Mes!$B$2:$B$433,$B187,Desconto_Cliente_Mes!$C$2:$C$433,$C187)</f>
        <v>41884.18</v>
      </c>
      <c r="E187" s="37" t="str">
        <f aca="false">INDEX(Desconto_Cliente_Mes!$K$2:$K$433,MATCH($A187&amp;"|"&amp;$B187&amp;"|"&amp;$C187,Desconto_Cliente_Mes!$W$2:$W$433,0))</f>
        <v>Sim</v>
      </c>
      <c r="F187" s="39" t="n">
        <f aca="false">SUMIFS(Desconto_Cliente_Mes!$U$2:$U$433,Desconto_Cliente_Mes!$A$2:$A$433,$A187,Desconto_Cliente_Mes!$B$2:$B$433,$B187,Desconto_Cliente_Mes!$C$2:$C$433,$C187)</f>
        <v>21513.7884077727</v>
      </c>
      <c r="G187" s="39" t="n">
        <f aca="false">SUMIFS(Desconto_Cliente_Mes!$U$2:$U$433,Desconto_Cliente_Mes!$B$2:$B$433,$B187,Desconto_Cliente_Mes!$C$2:$C$433,$C187,Desconto_Cliente_Mes!$K$2:$K$433,"Sim")</f>
        <v>47707.8352836299</v>
      </c>
      <c r="H187" s="37" t="n">
        <f aca="false">SUMIFS(Desconto_Cliente_Mes!$D$2:$D$433,Desconto_Cliente_Mes!$B$2:$B$433,$B187,Desconto_Cliente_Mes!$C$2:$C$433,$C187,Desconto_Cliente_Mes!$K$2:$K$433,"Nao",Desconto_Cliente_Mes!$D$2:$D$433,"&gt;0")</f>
        <v>185268.24</v>
      </c>
      <c r="I187" s="42" t="n">
        <f aca="false">IF(AND($E187="Nao",$D187&gt;0,$H187&gt;0),$D187/$H187,0)</f>
        <v>0</v>
      </c>
      <c r="J187" s="40" t="n">
        <f aca="false">$I187*$G187</f>
        <v>0</v>
      </c>
      <c r="K187" s="40" t="n">
        <f aca="false">$J187-$F187</f>
        <v>-21513.7884077727</v>
      </c>
      <c r="L187" s="27" t="str">
        <f aca="false">IF($D187=0,"Sem embarque",IF($K187&gt;0,"Recebe","Paga"))</f>
        <v>Paga</v>
      </c>
    </row>
    <row r="188" customFormat="false" ht="15" hidden="false" customHeight="false" outlineLevel="0" collapsed="false">
      <c r="A188" s="27" t="s">
        <v>44</v>
      </c>
      <c r="B188" s="27" t="s">
        <v>60</v>
      </c>
      <c r="C188" s="27" t="s">
        <v>109</v>
      </c>
      <c r="D188" s="34" t="n">
        <f aca="false">SUMIFS(Desconto_Cliente_Mes!$D$2:$D$433,Desconto_Cliente_Mes!$A$2:$A$433,$A188,Desconto_Cliente_Mes!$B$2:$B$433,$B188,Desconto_Cliente_Mes!$C$2:$C$433,$C188)</f>
        <v>58475.74</v>
      </c>
      <c r="E188" s="37" t="str">
        <f aca="false">INDEX(Desconto_Cliente_Mes!$K$2:$K$433,MATCH($A188&amp;"|"&amp;$B188&amp;"|"&amp;$C188,Desconto_Cliente_Mes!$W$2:$W$433,0))</f>
        <v>Sim</v>
      </c>
      <c r="F188" s="39" t="n">
        <f aca="false">SUMIFS(Desconto_Cliente_Mes!$U$2:$U$433,Desconto_Cliente_Mes!$A$2:$A$433,$A188,Desconto_Cliente_Mes!$B$2:$B$433,$B188,Desconto_Cliente_Mes!$C$2:$C$433,$C188)</f>
        <v>44296.1118583073</v>
      </c>
      <c r="G188" s="39" t="n">
        <f aca="false">SUMIFS(Desconto_Cliente_Mes!$U$2:$U$433,Desconto_Cliente_Mes!$B$2:$B$433,$B188,Desconto_Cliente_Mes!$C$2:$C$433,$C188,Desconto_Cliente_Mes!$K$2:$K$433,"Sim")</f>
        <v>75633.0761548471</v>
      </c>
      <c r="H188" s="37" t="n">
        <f aca="false">SUMIFS(Desconto_Cliente_Mes!$D$2:$D$433,Desconto_Cliente_Mes!$B$2:$B$433,$B188,Desconto_Cliente_Mes!$C$2:$C$433,$C188,Desconto_Cliente_Mes!$K$2:$K$433,"Nao",Desconto_Cliente_Mes!$D$2:$D$433,"&gt;0")</f>
        <v>55750.4</v>
      </c>
      <c r="I188" s="42" t="n">
        <f aca="false">IF(AND($E188="Nao",$D188&gt;0,$H188&gt;0),$D188/$H188,0)</f>
        <v>0</v>
      </c>
      <c r="J188" s="40" t="n">
        <f aca="false">$I188*$G188</f>
        <v>0</v>
      </c>
      <c r="K188" s="40" t="n">
        <f aca="false">$J188-$F188</f>
        <v>-44296.1118583073</v>
      </c>
      <c r="L188" s="27" t="str">
        <f aca="false">IF($D188=0,"Sem embarque",IF($K188&gt;0,"Recebe","Paga"))</f>
        <v>Paga</v>
      </c>
    </row>
    <row r="189" customFormat="false" ht="15" hidden="false" customHeight="false" outlineLevel="0" collapsed="false">
      <c r="A189" s="27" t="s">
        <v>44</v>
      </c>
      <c r="B189" s="27" t="s">
        <v>60</v>
      </c>
      <c r="C189" s="27" t="s">
        <v>110</v>
      </c>
      <c r="D189" s="34" t="n">
        <f aca="false">SUMIFS(Desconto_Cliente_Mes!$D$2:$D$433,Desconto_Cliente_Mes!$A$2:$A$433,$A189,Desconto_Cliente_Mes!$B$2:$B$433,$B189,Desconto_Cliente_Mes!$C$2:$C$433,$C189)</f>
        <v>58475.74</v>
      </c>
      <c r="E189" s="37" t="str">
        <f aca="false">INDEX(Desconto_Cliente_Mes!$K$2:$K$433,MATCH($A189&amp;"|"&amp;$B189&amp;"|"&amp;$C189,Desconto_Cliente_Mes!$W$2:$W$433,0))</f>
        <v>Nao</v>
      </c>
      <c r="F189" s="39" t="n">
        <f aca="false">SUMIFS(Desconto_Cliente_Mes!$U$2:$U$433,Desconto_Cliente_Mes!$A$2:$A$433,$A189,Desconto_Cliente_Mes!$B$2:$B$433,$B189,Desconto_Cliente_Mes!$C$2:$C$433,$C189)</f>
        <v>0</v>
      </c>
      <c r="G189" s="39" t="n">
        <f aca="false">SUMIFS(Desconto_Cliente_Mes!$U$2:$U$433,Desconto_Cliente_Mes!$B$2:$B$433,$B189,Desconto_Cliente_Mes!$C$2:$C$433,$C189,Desconto_Cliente_Mes!$K$2:$K$433,"Sim")</f>
        <v>0</v>
      </c>
      <c r="H189" s="37" t="n">
        <f aca="false">SUMIFS(Desconto_Cliente_Mes!$D$2:$D$433,Desconto_Cliente_Mes!$B$2:$B$433,$B189,Desconto_Cliente_Mes!$C$2:$C$433,$C189,Desconto_Cliente_Mes!$K$2:$K$433,"Nao",Desconto_Cliente_Mes!$D$2:$D$433,"&gt;0")</f>
        <v>240729.22</v>
      </c>
      <c r="I189" s="42" t="n">
        <f aca="false">IF(AND($E189="Nao",$D189&gt;0,$H189&gt;0),$D189/$H189,0)</f>
        <v>0.242910852284571</v>
      </c>
      <c r="J189" s="40" t="n">
        <f aca="false">$I189*$G189</f>
        <v>0</v>
      </c>
      <c r="K189" s="40" t="n">
        <f aca="false">$J189-$F189</f>
        <v>0</v>
      </c>
      <c r="L189" s="27" t="str">
        <f aca="false">IF($D189=0,"Sem embarque",IF($K189&gt;0,"Recebe","Paga"))</f>
        <v>Paga</v>
      </c>
    </row>
    <row r="190" customFormat="false" ht="15" hidden="false" customHeight="false" outlineLevel="0" collapsed="false">
      <c r="A190" s="27" t="s">
        <v>44</v>
      </c>
      <c r="B190" s="27" t="s">
        <v>60</v>
      </c>
      <c r="C190" s="27" t="s">
        <v>111</v>
      </c>
      <c r="D190" s="34" t="n">
        <f aca="false">SUMIFS(Desconto_Cliente_Mes!$D$2:$D$433,Desconto_Cliente_Mes!$A$2:$A$433,$A190,Desconto_Cliente_Mes!$B$2:$B$433,$B190,Desconto_Cliente_Mes!$C$2:$C$433,$C190)</f>
        <v>58475.74</v>
      </c>
      <c r="E190" s="37" t="str">
        <f aca="false">INDEX(Desconto_Cliente_Mes!$K$2:$K$433,MATCH($A190&amp;"|"&amp;$B190&amp;"|"&amp;$C190,Desconto_Cliente_Mes!$W$2:$W$433,0))</f>
        <v>Sim</v>
      </c>
      <c r="F190" s="39" t="n">
        <f aca="false">SUMIFS(Desconto_Cliente_Mes!$U$2:$U$433,Desconto_Cliente_Mes!$A$2:$A$433,$A190,Desconto_Cliente_Mes!$B$2:$B$433,$B190,Desconto_Cliente_Mes!$C$2:$C$433,$C190)</f>
        <v>5055.03635185551</v>
      </c>
      <c r="G190" s="39" t="n">
        <f aca="false">SUMIFS(Desconto_Cliente_Mes!$U$2:$U$433,Desconto_Cliente_Mes!$B$2:$B$433,$B190,Desconto_Cliente_Mes!$C$2:$C$433,$C190,Desconto_Cliente_Mes!$K$2:$K$433,"Sim")</f>
        <v>15973.4860651284</v>
      </c>
      <c r="H190" s="37" t="n">
        <f aca="false">SUMIFS(Desconto_Cliente_Mes!$D$2:$D$433,Desconto_Cliente_Mes!$B$2:$B$433,$B190,Desconto_Cliente_Mes!$C$2:$C$433,$C190,Desconto_Cliente_Mes!$K$2:$K$433,"Nao",Desconto_Cliente_Mes!$D$2:$D$433,"&gt;0")</f>
        <v>55750.4</v>
      </c>
      <c r="I190" s="42" t="n">
        <f aca="false">IF(AND($E190="Nao",$D190&gt;0,$H190&gt;0),$D190/$H190,0)</f>
        <v>0</v>
      </c>
      <c r="J190" s="40" t="n">
        <f aca="false">$I190*$G190</f>
        <v>0</v>
      </c>
      <c r="K190" s="40" t="n">
        <f aca="false">$J190-$F190</f>
        <v>-5055.03635185551</v>
      </c>
      <c r="L190" s="27" t="str">
        <f aca="false">IF($D190=0,"Sem embarque",IF($K190&gt;0,"Recebe","Paga"))</f>
        <v>Paga</v>
      </c>
    </row>
    <row r="191" customFormat="false" ht="15" hidden="false" customHeight="false" outlineLevel="0" collapsed="false">
      <c r="A191" s="27" t="s">
        <v>44</v>
      </c>
      <c r="B191" s="27" t="s">
        <v>61</v>
      </c>
      <c r="C191" s="27" t="s">
        <v>109</v>
      </c>
      <c r="D191" s="34" t="n">
        <f aca="false">SUMIFS(Desconto_Cliente_Mes!$D$2:$D$433,Desconto_Cliente_Mes!$A$2:$A$433,$A191,Desconto_Cliente_Mes!$B$2:$B$433,$B191,Desconto_Cliente_Mes!$C$2:$C$433,$C191)</f>
        <v>88798.66</v>
      </c>
      <c r="E191" s="37" t="str">
        <f aca="false">INDEX(Desconto_Cliente_Mes!$K$2:$K$433,MATCH($A191&amp;"|"&amp;$B191&amp;"|"&amp;$C191,Desconto_Cliente_Mes!$W$2:$W$433,0))</f>
        <v>Nao</v>
      </c>
      <c r="F191" s="39" t="n">
        <f aca="false">SUMIFS(Desconto_Cliente_Mes!$U$2:$U$433,Desconto_Cliente_Mes!$A$2:$A$433,$A191,Desconto_Cliente_Mes!$B$2:$B$433,$B191,Desconto_Cliente_Mes!$C$2:$C$433,$C191)</f>
        <v>0</v>
      </c>
      <c r="G191" s="39" t="n">
        <f aca="false">SUMIFS(Desconto_Cliente_Mes!$U$2:$U$433,Desconto_Cliente_Mes!$B$2:$B$433,$B191,Desconto_Cliente_Mes!$C$2:$C$433,$C191,Desconto_Cliente_Mes!$K$2:$K$433,"Sim")</f>
        <v>101062.110385431</v>
      </c>
      <c r="H191" s="37" t="n">
        <f aca="false">SUMIFS(Desconto_Cliente_Mes!$D$2:$D$433,Desconto_Cliente_Mes!$B$2:$B$433,$B191,Desconto_Cliente_Mes!$C$2:$C$433,$C191,Desconto_Cliente_Mes!$K$2:$K$433,"Nao",Desconto_Cliente_Mes!$D$2:$D$433,"&gt;0")</f>
        <v>195833.47</v>
      </c>
      <c r="I191" s="42" t="n">
        <f aca="false">IF(AND($E191="Nao",$D191&gt;0,$H191&gt;0),$D191/$H191,0)</f>
        <v>0.453439649514457</v>
      </c>
      <c r="J191" s="40" t="n">
        <f aca="false">$I191*$G191</f>
        <v>45825.5679123614</v>
      </c>
      <c r="K191" s="40" t="n">
        <f aca="false">$J191-$F191</f>
        <v>45825.5679123614</v>
      </c>
      <c r="L191" s="27" t="str">
        <f aca="false">IF($D191=0,"Sem embarque",IF($K191&gt;0,"Recebe","Paga"))</f>
        <v>Recebe</v>
      </c>
    </row>
    <row r="192" customFormat="false" ht="15" hidden="false" customHeight="false" outlineLevel="0" collapsed="false">
      <c r="A192" s="27" t="s">
        <v>44</v>
      </c>
      <c r="B192" s="27" t="s">
        <v>61</v>
      </c>
      <c r="C192" s="27" t="s">
        <v>110</v>
      </c>
      <c r="D192" s="34" t="n">
        <f aca="false">SUMIFS(Desconto_Cliente_Mes!$D$2:$D$433,Desconto_Cliente_Mes!$A$2:$A$433,$A192,Desconto_Cliente_Mes!$B$2:$B$433,$B192,Desconto_Cliente_Mes!$C$2:$C$433,$C192)</f>
        <v>88798.66</v>
      </c>
      <c r="E192" s="37" t="str">
        <f aca="false">INDEX(Desconto_Cliente_Mes!$K$2:$K$433,MATCH($A192&amp;"|"&amp;$B192&amp;"|"&amp;$C192,Desconto_Cliente_Mes!$W$2:$W$433,0))</f>
        <v>Nao</v>
      </c>
      <c r="F192" s="39" t="n">
        <f aca="false">SUMIFS(Desconto_Cliente_Mes!$U$2:$U$433,Desconto_Cliente_Mes!$A$2:$A$433,$A192,Desconto_Cliente_Mes!$B$2:$B$433,$B192,Desconto_Cliente_Mes!$C$2:$C$433,$C192)</f>
        <v>0</v>
      </c>
      <c r="G192" s="39" t="n">
        <f aca="false">SUMIFS(Desconto_Cliente_Mes!$U$2:$U$433,Desconto_Cliente_Mes!$B$2:$B$433,$B192,Desconto_Cliente_Mes!$C$2:$C$433,$C192,Desconto_Cliente_Mes!$K$2:$K$433,"Sim")</f>
        <v>89392.5188999994</v>
      </c>
      <c r="H192" s="37" t="n">
        <f aca="false">SUMIFS(Desconto_Cliente_Mes!$D$2:$D$433,Desconto_Cliente_Mes!$B$2:$B$433,$B192,Desconto_Cliente_Mes!$C$2:$C$433,$C192,Desconto_Cliente_Mes!$K$2:$K$433,"Nao",Desconto_Cliente_Mes!$D$2:$D$433,"&gt;0")</f>
        <v>315561.27</v>
      </c>
      <c r="I192" s="42" t="n">
        <f aca="false">IF(AND($E192="Nao",$D192&gt;0,$H192&gt;0),$D192/$H192,0)</f>
        <v>0.281399108325302</v>
      </c>
      <c r="J192" s="40" t="n">
        <f aca="false">$I192*$G192</f>
        <v>25154.9751094126</v>
      </c>
      <c r="K192" s="40" t="n">
        <f aca="false">$J192-$F192</f>
        <v>25154.9751094126</v>
      </c>
      <c r="L192" s="27" t="str">
        <f aca="false">IF($D192=0,"Sem embarque",IF($K192&gt;0,"Recebe","Paga"))</f>
        <v>Recebe</v>
      </c>
    </row>
    <row r="193" customFormat="false" ht="15" hidden="false" customHeight="false" outlineLevel="0" collapsed="false">
      <c r="A193" s="27" t="s">
        <v>44</v>
      </c>
      <c r="B193" s="27" t="s">
        <v>61</v>
      </c>
      <c r="C193" s="27" t="s">
        <v>111</v>
      </c>
      <c r="D193" s="34" t="n">
        <f aca="false">SUMIFS(Desconto_Cliente_Mes!$D$2:$D$433,Desconto_Cliente_Mes!$A$2:$A$433,$A193,Desconto_Cliente_Mes!$B$2:$B$433,$B193,Desconto_Cliente_Mes!$C$2:$C$433,$C193)</f>
        <v>88798.66</v>
      </c>
      <c r="E193" s="37" t="str">
        <f aca="false">INDEX(Desconto_Cliente_Mes!$K$2:$K$433,MATCH($A193&amp;"|"&amp;$B193&amp;"|"&amp;$C193,Desconto_Cliente_Mes!$W$2:$W$433,0))</f>
        <v>Nao</v>
      </c>
      <c r="F193" s="39" t="n">
        <f aca="false">SUMIFS(Desconto_Cliente_Mes!$U$2:$U$433,Desconto_Cliente_Mes!$A$2:$A$433,$A193,Desconto_Cliente_Mes!$B$2:$B$433,$B193,Desconto_Cliente_Mes!$C$2:$C$433,$C193)</f>
        <v>0</v>
      </c>
      <c r="G193" s="39" t="n">
        <f aca="false">SUMIFS(Desconto_Cliente_Mes!$U$2:$U$433,Desconto_Cliente_Mes!$B$2:$B$433,$B193,Desconto_Cliente_Mes!$C$2:$C$433,$C193,Desconto_Cliente_Mes!$K$2:$K$433,"Sim")</f>
        <v>45945.9604253753</v>
      </c>
      <c r="H193" s="37" t="n">
        <f aca="false">SUMIFS(Desconto_Cliente_Mes!$D$2:$D$433,Desconto_Cliente_Mes!$B$2:$B$433,$B193,Desconto_Cliente_Mes!$C$2:$C$433,$C193,Desconto_Cliente_Mes!$K$2:$K$433,"Nao",Desconto_Cliente_Mes!$D$2:$D$433,"&gt;0")</f>
        <v>238706.16</v>
      </c>
      <c r="I193" s="42" t="n">
        <f aca="false">IF(AND($E193="Nao",$D193&gt;0,$H193&gt;0),$D193/$H193,0)</f>
        <v>0.371999867954811</v>
      </c>
      <c r="J193" s="40" t="n">
        <f aca="false">$I193*$G193</f>
        <v>17091.8912112966</v>
      </c>
      <c r="K193" s="40" t="n">
        <f aca="false">$J193-$F193</f>
        <v>17091.8912112966</v>
      </c>
      <c r="L193" s="27" t="str">
        <f aca="false">IF($D193=0,"Sem embarque",IF($K193&gt;0,"Recebe","Paga"))</f>
        <v>Recebe</v>
      </c>
    </row>
    <row r="194" customFormat="false" ht="15" hidden="false" customHeight="false" outlineLevel="0" collapsed="false">
      <c r="A194" s="27" t="s">
        <v>44</v>
      </c>
      <c r="B194" s="27" t="s">
        <v>62</v>
      </c>
      <c r="C194" s="27" t="s">
        <v>109</v>
      </c>
      <c r="D194" s="34" t="n">
        <f aca="false">SUMIFS(Desconto_Cliente_Mes!$D$2:$D$433,Desconto_Cliente_Mes!$A$2:$A$433,$A194,Desconto_Cliente_Mes!$B$2:$B$433,$B194,Desconto_Cliente_Mes!$C$2:$C$433,$C194)</f>
        <v>62604.74</v>
      </c>
      <c r="E194" s="37" t="str">
        <f aca="false">INDEX(Desconto_Cliente_Mes!$K$2:$K$433,MATCH($A194&amp;"|"&amp;$B194&amp;"|"&amp;$C194,Desconto_Cliente_Mes!$W$2:$W$433,0))</f>
        <v>Sim</v>
      </c>
      <c r="F194" s="39" t="n">
        <f aca="false">SUMIFS(Desconto_Cliente_Mes!$U$2:$U$433,Desconto_Cliente_Mes!$A$2:$A$433,$A194,Desconto_Cliente_Mes!$B$2:$B$433,$B194,Desconto_Cliente_Mes!$C$2:$C$433,$C194)</f>
        <v>30260.4641261572</v>
      </c>
      <c r="G194" s="39" t="n">
        <f aca="false">SUMIFS(Desconto_Cliente_Mes!$U$2:$U$433,Desconto_Cliente_Mes!$B$2:$B$433,$B194,Desconto_Cliente_Mes!$C$2:$C$433,$C194,Desconto_Cliente_Mes!$K$2:$K$433,"Sim")</f>
        <v>82370.9873921197</v>
      </c>
      <c r="H194" s="37" t="n">
        <f aca="false">SUMIFS(Desconto_Cliente_Mes!$D$2:$D$433,Desconto_Cliente_Mes!$B$2:$B$433,$B194,Desconto_Cliente_Mes!$C$2:$C$433,$C194,Desconto_Cliente_Mes!$K$2:$K$433,"Nao",Desconto_Cliente_Mes!$D$2:$D$433,"&gt;0")</f>
        <v>113342.84</v>
      </c>
      <c r="I194" s="42" t="n">
        <f aca="false">IF(AND($E194="Nao",$D194&gt;0,$H194&gt;0),$D194/$H194,0)</f>
        <v>0</v>
      </c>
      <c r="J194" s="40" t="n">
        <f aca="false">$I194*$G194</f>
        <v>0</v>
      </c>
      <c r="K194" s="40" t="n">
        <f aca="false">$J194-$F194</f>
        <v>-30260.4641261572</v>
      </c>
      <c r="L194" s="27" t="str">
        <f aca="false">IF($D194=0,"Sem embarque",IF($K194&gt;0,"Recebe","Paga"))</f>
        <v>Paga</v>
      </c>
    </row>
    <row r="195" customFormat="false" ht="15" hidden="false" customHeight="false" outlineLevel="0" collapsed="false">
      <c r="A195" s="27" t="s">
        <v>44</v>
      </c>
      <c r="B195" s="27" t="s">
        <v>62</v>
      </c>
      <c r="C195" s="27" t="s">
        <v>110</v>
      </c>
      <c r="D195" s="34" t="n">
        <f aca="false">SUMIFS(Desconto_Cliente_Mes!$D$2:$D$433,Desconto_Cliente_Mes!$A$2:$A$433,$A195,Desconto_Cliente_Mes!$B$2:$B$433,$B195,Desconto_Cliente_Mes!$C$2:$C$433,$C195)</f>
        <v>62604.74</v>
      </c>
      <c r="E195" s="37" t="str">
        <f aca="false">INDEX(Desconto_Cliente_Mes!$K$2:$K$433,MATCH($A195&amp;"|"&amp;$B195&amp;"|"&amp;$C195,Desconto_Cliente_Mes!$W$2:$W$433,0))</f>
        <v>Nao</v>
      </c>
      <c r="F195" s="39" t="n">
        <f aca="false">SUMIFS(Desconto_Cliente_Mes!$U$2:$U$433,Desconto_Cliente_Mes!$A$2:$A$433,$A195,Desconto_Cliente_Mes!$B$2:$B$433,$B195,Desconto_Cliente_Mes!$C$2:$C$433,$C195)</f>
        <v>0</v>
      </c>
      <c r="G195" s="39" t="n">
        <f aca="false">SUMIFS(Desconto_Cliente_Mes!$U$2:$U$433,Desconto_Cliente_Mes!$B$2:$B$433,$B195,Desconto_Cliente_Mes!$C$2:$C$433,$C195,Desconto_Cliente_Mes!$K$2:$K$433,"Sim")</f>
        <v>18695.6934849998</v>
      </c>
      <c r="H195" s="37" t="n">
        <f aca="false">SUMIFS(Desconto_Cliente_Mes!$D$2:$D$433,Desconto_Cliente_Mes!$B$2:$B$433,$B195,Desconto_Cliente_Mes!$C$2:$C$433,$C195,Desconto_Cliente_Mes!$K$2:$K$433,"Nao",Desconto_Cliente_Mes!$D$2:$D$433,"&gt;0")</f>
        <v>209144.13</v>
      </c>
      <c r="I195" s="42" t="n">
        <f aca="false">IF(AND($E195="Nao",$D195&gt;0,$H195&gt;0),$D195/$H195,0)</f>
        <v>0.299337782035766</v>
      </c>
      <c r="J195" s="40" t="n">
        <f aca="false">$I195*$G195</f>
        <v>5596.32742142037</v>
      </c>
      <c r="K195" s="40" t="n">
        <f aca="false">$J195-$F195</f>
        <v>5596.32742142037</v>
      </c>
      <c r="L195" s="27" t="str">
        <f aca="false">IF($D195=0,"Sem embarque",IF($K195&gt;0,"Recebe","Paga"))</f>
        <v>Recebe</v>
      </c>
    </row>
    <row r="196" customFormat="false" ht="15" hidden="false" customHeight="false" outlineLevel="0" collapsed="false">
      <c r="A196" s="27" t="s">
        <v>44</v>
      </c>
      <c r="B196" s="27" t="s">
        <v>62</v>
      </c>
      <c r="C196" s="27" t="s">
        <v>111</v>
      </c>
      <c r="D196" s="34" t="n">
        <f aca="false">SUMIFS(Desconto_Cliente_Mes!$D$2:$D$433,Desconto_Cliente_Mes!$A$2:$A$433,$A196,Desconto_Cliente_Mes!$B$2:$B$433,$B196,Desconto_Cliente_Mes!$C$2:$C$433,$C196)</f>
        <v>62604.74</v>
      </c>
      <c r="E196" s="37" t="str">
        <f aca="false">INDEX(Desconto_Cliente_Mes!$K$2:$K$433,MATCH($A196&amp;"|"&amp;$B196&amp;"|"&amp;$C196,Desconto_Cliente_Mes!$W$2:$W$433,0))</f>
        <v>Sim</v>
      </c>
      <c r="F196" s="39" t="n">
        <f aca="false">SUMIFS(Desconto_Cliente_Mes!$U$2:$U$433,Desconto_Cliente_Mes!$A$2:$A$433,$A196,Desconto_Cliente_Mes!$B$2:$B$433,$B196,Desconto_Cliente_Mes!$C$2:$C$433,$C196)</f>
        <v>22771.5674132115</v>
      </c>
      <c r="G196" s="39" t="n">
        <f aca="false">SUMIFS(Desconto_Cliente_Mes!$U$2:$U$433,Desconto_Cliente_Mes!$B$2:$B$433,$B196,Desconto_Cliente_Mes!$C$2:$C$433,$C196,Desconto_Cliente_Mes!$K$2:$K$433,"Sim")</f>
        <v>34643.0933013345</v>
      </c>
      <c r="H196" s="37" t="n">
        <f aca="false">SUMIFS(Desconto_Cliente_Mes!$D$2:$D$433,Desconto_Cliente_Mes!$B$2:$B$433,$B196,Desconto_Cliente_Mes!$C$2:$C$433,$C196,Desconto_Cliente_Mes!$K$2:$K$433,"Nao",Desconto_Cliente_Mes!$D$2:$D$433,"&gt;0")</f>
        <v>157163.21</v>
      </c>
      <c r="I196" s="42" t="n">
        <f aca="false">IF(AND($E196="Nao",$D196&gt;0,$H196&gt;0),$D196/$H196,0)</f>
        <v>0</v>
      </c>
      <c r="J196" s="40" t="n">
        <f aca="false">$I196*$G196</f>
        <v>0</v>
      </c>
      <c r="K196" s="40" t="n">
        <f aca="false">$J196-$F196</f>
        <v>-22771.5674132115</v>
      </c>
      <c r="L196" s="27" t="str">
        <f aca="false">IF($D196=0,"Sem embarque",IF($K196&gt;0,"Recebe","Paga"))</f>
        <v>Paga</v>
      </c>
    </row>
    <row r="197" customFormat="false" ht="15" hidden="false" customHeight="false" outlineLevel="0" collapsed="false">
      <c r="A197" s="27" t="s">
        <v>44</v>
      </c>
      <c r="B197" s="27" t="s">
        <v>63</v>
      </c>
      <c r="C197" s="27" t="s">
        <v>109</v>
      </c>
      <c r="D197" s="34" t="n">
        <f aca="false">SUMIFS(Desconto_Cliente_Mes!$D$2:$D$433,Desconto_Cliente_Mes!$A$2:$A$433,$A197,Desconto_Cliente_Mes!$B$2:$B$433,$B197,Desconto_Cliente_Mes!$C$2:$C$433,$C197)</f>
        <v>51533.03</v>
      </c>
      <c r="E197" s="37" t="str">
        <f aca="false">INDEX(Desconto_Cliente_Mes!$K$2:$K$433,MATCH($A197&amp;"|"&amp;$B197&amp;"|"&amp;$C197,Desconto_Cliente_Mes!$W$2:$W$433,0))</f>
        <v>Sim</v>
      </c>
      <c r="F197" s="39" t="n">
        <f aca="false">SUMIFS(Desconto_Cliente_Mes!$U$2:$U$433,Desconto_Cliente_Mes!$A$2:$A$433,$A197,Desconto_Cliente_Mes!$B$2:$B$433,$B197,Desconto_Cliente_Mes!$C$2:$C$433,$C197)</f>
        <v>11998.5634704992</v>
      </c>
      <c r="G197" s="39" t="n">
        <f aca="false">SUMIFS(Desconto_Cliente_Mes!$U$2:$U$433,Desconto_Cliente_Mes!$B$2:$B$433,$B197,Desconto_Cliente_Mes!$C$2:$C$433,$C197,Desconto_Cliente_Mes!$K$2:$K$433,"Sim")</f>
        <v>47810.1541211094</v>
      </c>
      <c r="H197" s="37" t="n">
        <f aca="false">SUMIFS(Desconto_Cliente_Mes!$D$2:$D$433,Desconto_Cliente_Mes!$B$2:$B$433,$B197,Desconto_Cliente_Mes!$C$2:$C$433,$C197,Desconto_Cliente_Mes!$K$2:$K$433,"Nao",Desconto_Cliente_Mes!$D$2:$D$433,"&gt;0")</f>
        <v>127871.4</v>
      </c>
      <c r="I197" s="42" t="n">
        <f aca="false">IF(AND($E197="Nao",$D197&gt;0,$H197&gt;0),$D197/$H197,0)</f>
        <v>0</v>
      </c>
      <c r="J197" s="40" t="n">
        <f aca="false">$I197*$G197</f>
        <v>0</v>
      </c>
      <c r="K197" s="40" t="n">
        <f aca="false">$J197-$F197</f>
        <v>-11998.5634704992</v>
      </c>
      <c r="L197" s="27" t="str">
        <f aca="false">IF($D197=0,"Sem embarque",IF($K197&gt;0,"Recebe","Paga"))</f>
        <v>Paga</v>
      </c>
    </row>
    <row r="198" customFormat="false" ht="15" hidden="false" customHeight="false" outlineLevel="0" collapsed="false">
      <c r="A198" s="27" t="s">
        <v>44</v>
      </c>
      <c r="B198" s="27" t="s">
        <v>63</v>
      </c>
      <c r="C198" s="27" t="s">
        <v>110</v>
      </c>
      <c r="D198" s="34" t="n">
        <f aca="false">SUMIFS(Desconto_Cliente_Mes!$D$2:$D$433,Desconto_Cliente_Mes!$A$2:$A$433,$A198,Desconto_Cliente_Mes!$B$2:$B$433,$B198,Desconto_Cliente_Mes!$C$2:$C$433,$C198)</f>
        <v>51533.03</v>
      </c>
      <c r="E198" s="37" t="str">
        <f aca="false">INDEX(Desconto_Cliente_Mes!$K$2:$K$433,MATCH($A198&amp;"|"&amp;$B198&amp;"|"&amp;$C198,Desconto_Cliente_Mes!$W$2:$W$433,0))</f>
        <v>Nao</v>
      </c>
      <c r="F198" s="39" t="n">
        <f aca="false">SUMIFS(Desconto_Cliente_Mes!$U$2:$U$433,Desconto_Cliente_Mes!$A$2:$A$433,$A198,Desconto_Cliente_Mes!$B$2:$B$433,$B198,Desconto_Cliente_Mes!$C$2:$C$433,$C198)</f>
        <v>0</v>
      </c>
      <c r="G198" s="39" t="n">
        <f aca="false">SUMIFS(Desconto_Cliente_Mes!$U$2:$U$433,Desconto_Cliente_Mes!$B$2:$B$433,$B198,Desconto_Cliente_Mes!$C$2:$C$433,$C198,Desconto_Cliente_Mes!$K$2:$K$433,"Sim")</f>
        <v>147648.667120088</v>
      </c>
      <c r="H198" s="37" t="n">
        <f aca="false">SUMIFS(Desconto_Cliente_Mes!$D$2:$D$433,Desconto_Cliente_Mes!$B$2:$B$433,$B198,Desconto_Cliente_Mes!$C$2:$C$433,$C198,Desconto_Cliente_Mes!$K$2:$K$433,"Nao",Desconto_Cliente_Mes!$D$2:$D$433,"&gt;0")</f>
        <v>232651.12</v>
      </c>
      <c r="I198" s="42" t="n">
        <f aca="false">IF(AND($E198="Nao",$D198&gt;0,$H198&gt;0),$D198/$H198,0)</f>
        <v>0.22150346836929</v>
      </c>
      <c r="J198" s="40" t="n">
        <f aca="false">$I198*$G198</f>
        <v>32704.6918672023</v>
      </c>
      <c r="K198" s="40" t="n">
        <f aca="false">$J198-$F198</f>
        <v>32704.6918672023</v>
      </c>
      <c r="L198" s="27" t="str">
        <f aca="false">IF($D198=0,"Sem embarque",IF($K198&gt;0,"Recebe","Paga"))</f>
        <v>Recebe</v>
      </c>
    </row>
    <row r="199" customFormat="false" ht="15" hidden="false" customHeight="false" outlineLevel="0" collapsed="false">
      <c r="A199" s="27" t="s">
        <v>44</v>
      </c>
      <c r="B199" s="27" t="s">
        <v>63</v>
      </c>
      <c r="C199" s="27" t="s">
        <v>111</v>
      </c>
      <c r="D199" s="34" t="n">
        <f aca="false">SUMIFS(Desconto_Cliente_Mes!$D$2:$D$433,Desconto_Cliente_Mes!$A$2:$A$433,$A199,Desconto_Cliente_Mes!$B$2:$B$433,$B199,Desconto_Cliente_Mes!$C$2:$C$433,$C199)</f>
        <v>51533.03</v>
      </c>
      <c r="E199" s="37" t="str">
        <f aca="false">INDEX(Desconto_Cliente_Mes!$K$2:$K$433,MATCH($A199&amp;"|"&amp;$B199&amp;"|"&amp;$C199,Desconto_Cliente_Mes!$W$2:$W$433,0))</f>
        <v>Sim</v>
      </c>
      <c r="F199" s="39" t="n">
        <f aca="false">SUMIFS(Desconto_Cliente_Mes!$U$2:$U$433,Desconto_Cliente_Mes!$A$2:$A$433,$A199,Desconto_Cliente_Mes!$B$2:$B$433,$B199,Desconto_Cliente_Mes!$C$2:$C$433,$C199)</f>
        <v>7101.75024609388</v>
      </c>
      <c r="G199" s="39" t="n">
        <f aca="false">SUMIFS(Desconto_Cliente_Mes!$U$2:$U$433,Desconto_Cliente_Mes!$B$2:$B$433,$B199,Desconto_Cliente_Mes!$C$2:$C$433,$C199,Desconto_Cliente_Mes!$K$2:$K$433,"Sim")</f>
        <v>31621.0546248943</v>
      </c>
      <c r="H199" s="37" t="n">
        <f aca="false">SUMIFS(Desconto_Cliente_Mes!$D$2:$D$433,Desconto_Cliente_Mes!$B$2:$B$433,$B199,Desconto_Cliente_Mes!$C$2:$C$433,$C199,Desconto_Cliente_Mes!$K$2:$K$433,"Nao",Desconto_Cliente_Mes!$D$2:$D$433,"&gt;0")</f>
        <v>127871.4</v>
      </c>
      <c r="I199" s="42" t="n">
        <f aca="false">IF(AND($E199="Nao",$D199&gt;0,$H199&gt;0),$D199/$H199,0)</f>
        <v>0</v>
      </c>
      <c r="J199" s="40" t="n">
        <f aca="false">$I199*$G199</f>
        <v>0</v>
      </c>
      <c r="K199" s="40" t="n">
        <f aca="false">$J199-$F199</f>
        <v>-7101.75024609388</v>
      </c>
      <c r="L199" s="27" t="str">
        <f aca="false">IF($D199=0,"Sem embarque",IF($K199&gt;0,"Recebe","Paga"))</f>
        <v>Paga</v>
      </c>
    </row>
    <row r="200" customFormat="false" ht="15" hidden="false" customHeight="false" outlineLevel="0" collapsed="false">
      <c r="A200" s="27" t="s">
        <v>44</v>
      </c>
      <c r="B200" s="27" t="s">
        <v>64</v>
      </c>
      <c r="C200" s="27" t="s">
        <v>109</v>
      </c>
      <c r="D200" s="34" t="n">
        <f aca="false">SUMIFS(Desconto_Cliente_Mes!$D$2:$D$433,Desconto_Cliente_Mes!$A$2:$A$433,$A200,Desconto_Cliente_Mes!$B$2:$B$433,$B200,Desconto_Cliente_Mes!$C$2:$C$433,$C200)</f>
        <v>49521.94</v>
      </c>
      <c r="E200" s="37" t="str">
        <f aca="false">INDEX(Desconto_Cliente_Mes!$K$2:$K$433,MATCH($A200&amp;"|"&amp;$B200&amp;"|"&amp;$C200,Desconto_Cliente_Mes!$W$2:$W$433,0))</f>
        <v>Nao</v>
      </c>
      <c r="F200" s="39" t="n">
        <f aca="false">SUMIFS(Desconto_Cliente_Mes!$U$2:$U$433,Desconto_Cliente_Mes!$A$2:$A$433,$A200,Desconto_Cliente_Mes!$B$2:$B$433,$B200,Desconto_Cliente_Mes!$C$2:$C$433,$C200)</f>
        <v>0</v>
      </c>
      <c r="G200" s="39" t="n">
        <f aca="false">SUMIFS(Desconto_Cliente_Mes!$U$2:$U$433,Desconto_Cliente_Mes!$B$2:$B$433,$B200,Desconto_Cliente_Mes!$C$2:$C$433,$C200,Desconto_Cliente_Mes!$K$2:$K$433,"Sim")</f>
        <v>176913.022848898</v>
      </c>
      <c r="H200" s="37" t="n">
        <f aca="false">SUMIFS(Desconto_Cliente_Mes!$D$2:$D$433,Desconto_Cliente_Mes!$B$2:$B$433,$B200,Desconto_Cliente_Mes!$C$2:$C$433,$C200,Desconto_Cliente_Mes!$K$2:$K$433,"Nao",Desconto_Cliente_Mes!$D$2:$D$433,"&gt;0")</f>
        <v>227119.227</v>
      </c>
      <c r="I200" s="42" t="n">
        <f aca="false">IF(AND($E200="Nao",$D200&gt;0,$H200&gt;0),$D200/$H200,0)</f>
        <v>0.21804380304623</v>
      </c>
      <c r="J200" s="40" t="n">
        <f aca="false">$I200*$G200</f>
        <v>38574.7883103783</v>
      </c>
      <c r="K200" s="40" t="n">
        <f aca="false">$J200-$F200</f>
        <v>38574.7883103783</v>
      </c>
      <c r="L200" s="27" t="str">
        <f aca="false">IF($D200=0,"Sem embarque",IF($K200&gt;0,"Recebe","Paga"))</f>
        <v>Recebe</v>
      </c>
    </row>
    <row r="201" customFormat="false" ht="15" hidden="false" customHeight="false" outlineLevel="0" collapsed="false">
      <c r="A201" s="27" t="s">
        <v>44</v>
      </c>
      <c r="B201" s="27" t="s">
        <v>64</v>
      </c>
      <c r="C201" s="27" t="s">
        <v>110</v>
      </c>
      <c r="D201" s="34" t="n">
        <f aca="false">SUMIFS(Desconto_Cliente_Mes!$D$2:$D$433,Desconto_Cliente_Mes!$A$2:$A$433,$A201,Desconto_Cliente_Mes!$B$2:$B$433,$B201,Desconto_Cliente_Mes!$C$2:$C$433,$C201)</f>
        <v>49521.94</v>
      </c>
      <c r="E201" s="37" t="str">
        <f aca="false">INDEX(Desconto_Cliente_Mes!$K$2:$K$433,MATCH($A201&amp;"|"&amp;$B201&amp;"|"&amp;$C201,Desconto_Cliente_Mes!$W$2:$W$433,0))</f>
        <v>Nao</v>
      </c>
      <c r="F201" s="39" t="n">
        <f aca="false">SUMIFS(Desconto_Cliente_Mes!$U$2:$U$433,Desconto_Cliente_Mes!$A$2:$A$433,$A201,Desconto_Cliente_Mes!$B$2:$B$433,$B201,Desconto_Cliente_Mes!$C$2:$C$433,$C201)</f>
        <v>0</v>
      </c>
      <c r="G201" s="39" t="n">
        <f aca="false">SUMIFS(Desconto_Cliente_Mes!$U$2:$U$433,Desconto_Cliente_Mes!$B$2:$B$433,$B201,Desconto_Cliente_Mes!$C$2:$C$433,$C201,Desconto_Cliente_Mes!$K$2:$K$433,"Sim")</f>
        <v>78148.4030953999</v>
      </c>
      <c r="H201" s="37" t="n">
        <f aca="false">SUMIFS(Desconto_Cliente_Mes!$D$2:$D$433,Desconto_Cliente_Mes!$B$2:$B$433,$B201,Desconto_Cliente_Mes!$C$2:$C$433,$C201,Desconto_Cliente_Mes!$K$2:$K$433,"Nao",Desconto_Cliente_Mes!$D$2:$D$433,"&gt;0")</f>
        <v>367366.52</v>
      </c>
      <c r="I201" s="42" t="n">
        <f aca="false">IF(AND($E201="Nao",$D201&gt;0,$H201&gt;0),$D201/$H201,0)</f>
        <v>0.134802539981052</v>
      </c>
      <c r="J201" s="40" t="n">
        <f aca="false">$I201*$G201</f>
        <v>10534.603232723</v>
      </c>
      <c r="K201" s="40" t="n">
        <f aca="false">$J201-$F201</f>
        <v>10534.603232723</v>
      </c>
      <c r="L201" s="27" t="str">
        <f aca="false">IF($D201=0,"Sem embarque",IF($K201&gt;0,"Recebe","Paga"))</f>
        <v>Recebe</v>
      </c>
    </row>
    <row r="202" customFormat="false" ht="15" hidden="false" customHeight="false" outlineLevel="0" collapsed="false">
      <c r="A202" s="27" t="s">
        <v>44</v>
      </c>
      <c r="B202" s="27" t="s">
        <v>64</v>
      </c>
      <c r="C202" s="27" t="s">
        <v>111</v>
      </c>
      <c r="D202" s="34" t="n">
        <f aca="false">SUMIFS(Desconto_Cliente_Mes!$D$2:$D$433,Desconto_Cliente_Mes!$A$2:$A$433,$A202,Desconto_Cliente_Mes!$B$2:$B$433,$B202,Desconto_Cliente_Mes!$C$2:$C$433,$C202)</f>
        <v>49521.94</v>
      </c>
      <c r="E202" s="37" t="str">
        <f aca="false">INDEX(Desconto_Cliente_Mes!$K$2:$K$433,MATCH($A202&amp;"|"&amp;$B202&amp;"|"&amp;$C202,Desconto_Cliente_Mes!$W$2:$W$433,0))</f>
        <v>Sim</v>
      </c>
      <c r="F202" s="39" t="n">
        <f aca="false">SUMIFS(Desconto_Cliente_Mes!$U$2:$U$433,Desconto_Cliente_Mes!$A$2:$A$433,$A202,Desconto_Cliente_Mes!$B$2:$B$433,$B202,Desconto_Cliente_Mes!$C$2:$C$433,$C202)</f>
        <v>15254.4860519999</v>
      </c>
      <c r="G202" s="39" t="n">
        <f aca="false">SUMIFS(Desconto_Cliente_Mes!$U$2:$U$433,Desconto_Cliente_Mes!$B$2:$B$433,$B202,Desconto_Cliente_Mes!$C$2:$C$433,$C202,Desconto_Cliente_Mes!$K$2:$K$433,"Sim")</f>
        <v>53234.6338979999</v>
      </c>
      <c r="H202" s="37" t="n">
        <f aca="false">SUMIFS(Desconto_Cliente_Mes!$D$2:$D$433,Desconto_Cliente_Mes!$B$2:$B$433,$B202,Desconto_Cliente_Mes!$C$2:$C$433,$C202,Desconto_Cliente_Mes!$K$2:$K$433,"Nao",Desconto_Cliente_Mes!$D$2:$D$433,"&gt;0")</f>
        <v>250467.867</v>
      </c>
      <c r="I202" s="42" t="n">
        <f aca="false">IF(AND($E202="Nao",$D202&gt;0,$H202&gt;0),$D202/$H202,0)</f>
        <v>0</v>
      </c>
      <c r="J202" s="40" t="n">
        <f aca="false">$I202*$G202</f>
        <v>0</v>
      </c>
      <c r="K202" s="40" t="n">
        <f aca="false">$J202-$F202</f>
        <v>-15254.4860519999</v>
      </c>
      <c r="L202" s="27" t="str">
        <f aca="false">IF($D202=0,"Sem embarque",IF($K202&gt;0,"Recebe","Paga"))</f>
        <v>Paga</v>
      </c>
    </row>
    <row r="203" customFormat="false" ht="15" hidden="false" customHeight="false" outlineLevel="0" collapsed="false">
      <c r="A203" s="27" t="s">
        <v>44</v>
      </c>
      <c r="B203" s="27" t="s">
        <v>65</v>
      </c>
      <c r="C203" s="27" t="s">
        <v>109</v>
      </c>
      <c r="D203" s="34" t="n">
        <f aca="false">SUMIFS(Desconto_Cliente_Mes!$D$2:$D$433,Desconto_Cliente_Mes!$A$2:$A$433,$A203,Desconto_Cliente_Mes!$B$2:$B$433,$B203,Desconto_Cliente_Mes!$C$2:$C$433,$C203)</f>
        <v>47668.74</v>
      </c>
      <c r="E203" s="37" t="str">
        <f aca="false">INDEX(Desconto_Cliente_Mes!$K$2:$K$433,MATCH($A203&amp;"|"&amp;$B203&amp;"|"&amp;$C203,Desconto_Cliente_Mes!$W$2:$W$433,0))</f>
        <v>Sim</v>
      </c>
      <c r="F203" s="39" t="n">
        <f aca="false">SUMIFS(Desconto_Cliente_Mes!$U$2:$U$433,Desconto_Cliente_Mes!$A$2:$A$433,$A203,Desconto_Cliente_Mes!$B$2:$B$433,$B203,Desconto_Cliente_Mes!$C$2:$C$433,$C203)</f>
        <v>25953.3642678953</v>
      </c>
      <c r="G203" s="39" t="n">
        <f aca="false">SUMIFS(Desconto_Cliente_Mes!$U$2:$U$433,Desconto_Cliente_Mes!$B$2:$B$433,$B203,Desconto_Cliente_Mes!$C$2:$C$433,$C203,Desconto_Cliente_Mes!$K$2:$K$433,"Sim")</f>
        <v>264399.663796851</v>
      </c>
      <c r="H203" s="37" t="n">
        <f aca="false">SUMIFS(Desconto_Cliente_Mes!$D$2:$D$433,Desconto_Cliente_Mes!$B$2:$B$433,$B203,Desconto_Cliente_Mes!$C$2:$C$433,$C203,Desconto_Cliente_Mes!$K$2:$K$433,"Nao",Desconto_Cliente_Mes!$D$2:$D$433,"&gt;0")</f>
        <v>166556.65</v>
      </c>
      <c r="I203" s="42" t="n">
        <f aca="false">IF(AND($E203="Nao",$D203&gt;0,$H203&gt;0),$D203/$H203,0)</f>
        <v>0</v>
      </c>
      <c r="J203" s="40" t="n">
        <f aca="false">$I203*$G203</f>
        <v>0</v>
      </c>
      <c r="K203" s="40" t="n">
        <f aca="false">$J203-$F203</f>
        <v>-25953.3642678953</v>
      </c>
      <c r="L203" s="27" t="str">
        <f aca="false">IF($D203=0,"Sem embarque",IF($K203&gt;0,"Recebe","Paga"))</f>
        <v>Paga</v>
      </c>
    </row>
    <row r="204" customFormat="false" ht="15" hidden="false" customHeight="false" outlineLevel="0" collapsed="false">
      <c r="A204" s="27" t="s">
        <v>44</v>
      </c>
      <c r="B204" s="27" t="s">
        <v>65</v>
      </c>
      <c r="C204" s="27" t="s">
        <v>110</v>
      </c>
      <c r="D204" s="34" t="n">
        <f aca="false">SUMIFS(Desconto_Cliente_Mes!$D$2:$D$433,Desconto_Cliente_Mes!$A$2:$A$433,$A204,Desconto_Cliente_Mes!$B$2:$B$433,$B204,Desconto_Cliente_Mes!$C$2:$C$433,$C204)</f>
        <v>47668.74</v>
      </c>
      <c r="E204" s="37" t="str">
        <f aca="false">INDEX(Desconto_Cliente_Mes!$K$2:$K$433,MATCH($A204&amp;"|"&amp;$B204&amp;"|"&amp;$C204,Desconto_Cliente_Mes!$W$2:$W$433,0))</f>
        <v>Nao</v>
      </c>
      <c r="F204" s="39" t="n">
        <f aca="false">SUMIFS(Desconto_Cliente_Mes!$U$2:$U$433,Desconto_Cliente_Mes!$A$2:$A$433,$A204,Desconto_Cliente_Mes!$B$2:$B$433,$B204,Desconto_Cliente_Mes!$C$2:$C$433,$C204)</f>
        <v>0</v>
      </c>
      <c r="G204" s="39" t="n">
        <f aca="false">SUMIFS(Desconto_Cliente_Mes!$U$2:$U$433,Desconto_Cliente_Mes!$B$2:$B$433,$B204,Desconto_Cliente_Mes!$C$2:$C$433,$C204,Desconto_Cliente_Mes!$K$2:$K$433,"Sim")</f>
        <v>54942.617336</v>
      </c>
      <c r="H204" s="37" t="n">
        <f aca="false">SUMIFS(Desconto_Cliente_Mes!$D$2:$D$433,Desconto_Cliente_Mes!$B$2:$B$433,$B204,Desconto_Cliente_Mes!$C$2:$C$433,$C204,Desconto_Cliente_Mes!$K$2:$K$433,"Nao",Desconto_Cliente_Mes!$D$2:$D$433,"&gt;0")</f>
        <v>378160.7</v>
      </c>
      <c r="I204" s="42" t="n">
        <f aca="false">IF(AND($E204="Nao",$D204&gt;0,$H204&gt;0),$D204/$H204,0)</f>
        <v>0.126054188074012</v>
      </c>
      <c r="J204" s="40" t="n">
        <f aca="false">$I204*$G204</f>
        <v>6925.74701895061</v>
      </c>
      <c r="K204" s="40" t="n">
        <f aca="false">$J204-$F204</f>
        <v>6925.74701895061</v>
      </c>
      <c r="L204" s="27" t="str">
        <f aca="false">IF($D204=0,"Sem embarque",IF($K204&gt;0,"Recebe","Paga"))</f>
        <v>Recebe</v>
      </c>
    </row>
    <row r="205" customFormat="false" ht="15" hidden="false" customHeight="false" outlineLevel="0" collapsed="false">
      <c r="A205" s="27" t="s">
        <v>44</v>
      </c>
      <c r="B205" s="27" t="s">
        <v>65</v>
      </c>
      <c r="C205" s="27" t="s">
        <v>111</v>
      </c>
      <c r="D205" s="34" t="n">
        <f aca="false">SUMIFS(Desconto_Cliente_Mes!$D$2:$D$433,Desconto_Cliente_Mes!$A$2:$A$433,$A205,Desconto_Cliente_Mes!$B$2:$B$433,$B205,Desconto_Cliente_Mes!$C$2:$C$433,$C205)</f>
        <v>47668.74</v>
      </c>
      <c r="E205" s="37" t="str">
        <f aca="false">INDEX(Desconto_Cliente_Mes!$K$2:$K$433,MATCH($A205&amp;"|"&amp;$B205&amp;"|"&amp;$C205,Desconto_Cliente_Mes!$W$2:$W$433,0))</f>
        <v>Sim</v>
      </c>
      <c r="F205" s="39" t="n">
        <f aca="false">SUMIFS(Desconto_Cliente_Mes!$U$2:$U$433,Desconto_Cliente_Mes!$A$2:$A$433,$A205,Desconto_Cliente_Mes!$B$2:$B$433,$B205,Desconto_Cliente_Mes!$C$2:$C$433,$C205)</f>
        <v>17222.2776378772</v>
      </c>
      <c r="G205" s="39" t="n">
        <f aca="false">SUMIFS(Desconto_Cliente_Mes!$U$2:$U$433,Desconto_Cliente_Mes!$B$2:$B$433,$B205,Desconto_Cliente_Mes!$C$2:$C$433,$C205,Desconto_Cliente_Mes!$K$2:$K$433,"Sim")</f>
        <v>131995.749729693</v>
      </c>
      <c r="H205" s="37" t="n">
        <f aca="false">SUMIFS(Desconto_Cliente_Mes!$D$2:$D$433,Desconto_Cliente_Mes!$B$2:$B$433,$B205,Desconto_Cliente_Mes!$C$2:$C$433,$C205,Desconto_Cliente_Mes!$K$2:$K$433,"Nao",Desconto_Cliente_Mes!$D$2:$D$433,"&gt;0")</f>
        <v>132693.79</v>
      </c>
      <c r="I205" s="42" t="n">
        <f aca="false">IF(AND($E205="Nao",$D205&gt;0,$H205&gt;0),$D205/$H205,0)</f>
        <v>0</v>
      </c>
      <c r="J205" s="40" t="n">
        <f aca="false">$I205*$G205</f>
        <v>0</v>
      </c>
      <c r="K205" s="40" t="n">
        <f aca="false">$J205-$F205</f>
        <v>-17222.2776378772</v>
      </c>
      <c r="L205" s="27" t="str">
        <f aca="false">IF($D205=0,"Sem embarque",IF($K205&gt;0,"Recebe","Paga"))</f>
        <v>Paga</v>
      </c>
    </row>
    <row r="206" customFormat="false" ht="15" hidden="false" customHeight="false" outlineLevel="0" collapsed="false">
      <c r="A206" s="27" t="s">
        <v>44</v>
      </c>
      <c r="B206" s="27" t="s">
        <v>66</v>
      </c>
      <c r="C206" s="27" t="s">
        <v>109</v>
      </c>
      <c r="D206" s="34" t="n">
        <f aca="false">SUMIFS(Desconto_Cliente_Mes!$D$2:$D$433,Desconto_Cliente_Mes!$A$2:$A$433,$A206,Desconto_Cliente_Mes!$B$2:$B$433,$B206,Desconto_Cliente_Mes!$C$2:$C$433,$C206)</f>
        <v>5121.78</v>
      </c>
      <c r="E206" s="37" t="str">
        <f aca="false">INDEX(Desconto_Cliente_Mes!$K$2:$K$433,MATCH($A206&amp;"|"&amp;$B206&amp;"|"&amp;$C206,Desconto_Cliente_Mes!$W$2:$W$433,0))</f>
        <v>Nao</v>
      </c>
      <c r="F206" s="39" t="n">
        <f aca="false">SUMIFS(Desconto_Cliente_Mes!$U$2:$U$433,Desconto_Cliente_Mes!$A$2:$A$433,$A206,Desconto_Cliente_Mes!$B$2:$B$433,$B206,Desconto_Cliente_Mes!$C$2:$C$433,$C206)</f>
        <v>0</v>
      </c>
      <c r="G206" s="39" t="n">
        <f aca="false">SUMIFS(Desconto_Cliente_Mes!$U$2:$U$433,Desconto_Cliente_Mes!$B$2:$B$433,$B206,Desconto_Cliente_Mes!$C$2:$C$433,$C206,Desconto_Cliente_Mes!$K$2:$K$433,"Sim")</f>
        <v>26408.1404587724</v>
      </c>
      <c r="H206" s="37" t="n">
        <f aca="false">SUMIFS(Desconto_Cliente_Mes!$D$2:$D$433,Desconto_Cliente_Mes!$B$2:$B$433,$B206,Desconto_Cliente_Mes!$C$2:$C$433,$C206,Desconto_Cliente_Mes!$K$2:$K$433,"Nao",Desconto_Cliente_Mes!$D$2:$D$433,"&gt;0")</f>
        <v>25249.51</v>
      </c>
      <c r="I206" s="42" t="n">
        <f aca="false">IF(AND($E206="Nao",$D206&gt;0,$H206&gt;0),$D206/$H206,0)</f>
        <v>0.202846708708407</v>
      </c>
      <c r="J206" s="40" t="n">
        <f aca="false">$I206*$G206</f>
        <v>5356.80437517128</v>
      </c>
      <c r="K206" s="40" t="n">
        <f aca="false">$J206-$F206</f>
        <v>5356.80437517128</v>
      </c>
      <c r="L206" s="27" t="str">
        <f aca="false">IF($D206=0,"Sem embarque",IF($K206&gt;0,"Recebe","Paga"))</f>
        <v>Recebe</v>
      </c>
    </row>
    <row r="207" customFormat="false" ht="15" hidden="false" customHeight="false" outlineLevel="0" collapsed="false">
      <c r="A207" s="27" t="s">
        <v>44</v>
      </c>
      <c r="B207" s="27" t="s">
        <v>66</v>
      </c>
      <c r="C207" s="27" t="s">
        <v>110</v>
      </c>
      <c r="D207" s="34" t="n">
        <f aca="false">SUMIFS(Desconto_Cliente_Mes!$D$2:$D$433,Desconto_Cliente_Mes!$A$2:$A$433,$A207,Desconto_Cliente_Mes!$B$2:$B$433,$B207,Desconto_Cliente_Mes!$C$2:$C$433,$C207)</f>
        <v>5121.78</v>
      </c>
      <c r="E207" s="37" t="str">
        <f aca="false">INDEX(Desconto_Cliente_Mes!$K$2:$K$433,MATCH($A207&amp;"|"&amp;$B207&amp;"|"&amp;$C207,Desconto_Cliente_Mes!$W$2:$W$433,0))</f>
        <v>Nao</v>
      </c>
      <c r="F207" s="39" t="n">
        <f aca="false">SUMIFS(Desconto_Cliente_Mes!$U$2:$U$433,Desconto_Cliente_Mes!$A$2:$A$433,$A207,Desconto_Cliente_Mes!$B$2:$B$433,$B207,Desconto_Cliente_Mes!$C$2:$C$433,$C207)</f>
        <v>0</v>
      </c>
      <c r="G207" s="39" t="n">
        <f aca="false">SUMIFS(Desconto_Cliente_Mes!$U$2:$U$433,Desconto_Cliente_Mes!$B$2:$B$433,$B207,Desconto_Cliente_Mes!$C$2:$C$433,$C207,Desconto_Cliente_Mes!$K$2:$K$433,"Sim")</f>
        <v>20574.688366</v>
      </c>
      <c r="H207" s="37" t="n">
        <f aca="false">SUMIFS(Desconto_Cliente_Mes!$D$2:$D$433,Desconto_Cliente_Mes!$B$2:$B$433,$B207,Desconto_Cliente_Mes!$C$2:$C$433,$C207,Desconto_Cliente_Mes!$K$2:$K$433,"Nao",Desconto_Cliente_Mes!$D$2:$D$433,"&gt;0")</f>
        <v>36785.35</v>
      </c>
      <c r="I207" s="42" t="n">
        <f aca="false">IF(AND($E207="Nao",$D207&gt;0,$H207&gt;0),$D207/$H207,0)</f>
        <v>0.139234233193377</v>
      </c>
      <c r="J207" s="40" t="n">
        <f aca="false">$I207*$G207</f>
        <v>2864.70095783271</v>
      </c>
      <c r="K207" s="40" t="n">
        <f aca="false">$J207-$F207</f>
        <v>2864.70095783271</v>
      </c>
      <c r="L207" s="27" t="str">
        <f aca="false">IF($D207=0,"Sem embarque",IF($K207&gt;0,"Recebe","Paga"))</f>
        <v>Recebe</v>
      </c>
    </row>
    <row r="208" customFormat="false" ht="15" hidden="false" customHeight="false" outlineLevel="0" collapsed="false">
      <c r="A208" s="27" t="s">
        <v>44</v>
      </c>
      <c r="B208" s="27" t="s">
        <v>66</v>
      </c>
      <c r="C208" s="27" t="s">
        <v>111</v>
      </c>
      <c r="D208" s="34" t="n">
        <f aca="false">SUMIFS(Desconto_Cliente_Mes!$D$2:$D$433,Desconto_Cliente_Mes!$A$2:$A$433,$A208,Desconto_Cliente_Mes!$B$2:$B$433,$B208,Desconto_Cliente_Mes!$C$2:$C$433,$C208)</f>
        <v>5121.78</v>
      </c>
      <c r="E208" s="37" t="str">
        <f aca="false">INDEX(Desconto_Cliente_Mes!$K$2:$K$433,MATCH($A208&amp;"|"&amp;$B208&amp;"|"&amp;$C208,Desconto_Cliente_Mes!$W$2:$W$433,0))</f>
        <v>Nao</v>
      </c>
      <c r="F208" s="39" t="n">
        <f aca="false">SUMIFS(Desconto_Cliente_Mes!$U$2:$U$433,Desconto_Cliente_Mes!$A$2:$A$433,$A208,Desconto_Cliente_Mes!$B$2:$B$433,$B208,Desconto_Cliente_Mes!$C$2:$C$433,$C208)</f>
        <v>0</v>
      </c>
      <c r="G208" s="39" t="n">
        <f aca="false">SUMIFS(Desconto_Cliente_Mes!$U$2:$U$433,Desconto_Cliente_Mes!$B$2:$B$433,$B208,Desconto_Cliente_Mes!$C$2:$C$433,$C208,Desconto_Cliente_Mes!$K$2:$K$433,"Sim")</f>
        <v>12224.7687289319</v>
      </c>
      <c r="H208" s="37" t="n">
        <f aca="false">SUMIFS(Desconto_Cliente_Mes!$D$2:$D$433,Desconto_Cliente_Mes!$B$2:$B$433,$B208,Desconto_Cliente_Mes!$C$2:$C$433,$C208,Desconto_Cliente_Mes!$K$2:$K$433,"Nao",Desconto_Cliente_Mes!$D$2:$D$433,"&gt;0")</f>
        <v>41847.52</v>
      </c>
      <c r="I208" s="42" t="n">
        <f aca="false">IF(AND($E208="Nao",$D208&gt;0,$H208&gt;0),$D208/$H208,0)</f>
        <v>0.122391482219257</v>
      </c>
      <c r="J208" s="40" t="n">
        <f aca="false">$I208*$G208</f>
        <v>1496.2075645216</v>
      </c>
      <c r="K208" s="40" t="n">
        <f aca="false">$J208-$F208</f>
        <v>1496.2075645216</v>
      </c>
      <c r="L208" s="27" t="str">
        <f aca="false">IF($D208=0,"Sem embarque",IF($K208&gt;0,"Recebe","Paga"))</f>
        <v>Recebe</v>
      </c>
    </row>
    <row r="209" customFormat="false" ht="15" hidden="false" customHeight="false" outlineLevel="0" collapsed="false">
      <c r="A209" s="27" t="s">
        <v>44</v>
      </c>
      <c r="B209" s="27" t="s">
        <v>67</v>
      </c>
      <c r="C209" s="27" t="s">
        <v>109</v>
      </c>
      <c r="D209" s="34" t="n">
        <f aca="false">SUMIFS(Desconto_Cliente_Mes!$D$2:$D$433,Desconto_Cliente_Mes!$A$2:$A$433,$A209,Desconto_Cliente_Mes!$B$2:$B$433,$B209,Desconto_Cliente_Mes!$C$2:$C$433,$C209)</f>
        <v>0</v>
      </c>
      <c r="E209" s="37" t="str">
        <f aca="false">INDEX(Desconto_Cliente_Mes!$K$2:$K$433,MATCH($A209&amp;"|"&amp;$B209&amp;"|"&amp;$C209,Desconto_Cliente_Mes!$W$2:$W$433,0))</f>
        <v/>
      </c>
      <c r="F209" s="39" t="n">
        <f aca="false">SUMIFS(Desconto_Cliente_Mes!$U$2:$U$433,Desconto_Cliente_Mes!$A$2:$A$433,$A209,Desconto_Cliente_Mes!$B$2:$B$433,$B209,Desconto_Cliente_Mes!$C$2:$C$433,$C209)</f>
        <v>0</v>
      </c>
      <c r="G209" s="39" t="n">
        <f aca="false">SUMIFS(Desconto_Cliente_Mes!$U$2:$U$433,Desconto_Cliente_Mes!$B$2:$B$433,$B209,Desconto_Cliente_Mes!$C$2:$C$433,$C209,Desconto_Cliente_Mes!$K$2:$K$433,"Sim")</f>
        <v>0</v>
      </c>
      <c r="H209" s="37" t="n">
        <f aca="false">SUMIFS(Desconto_Cliente_Mes!$D$2:$D$433,Desconto_Cliente_Mes!$B$2:$B$433,$B209,Desconto_Cliente_Mes!$C$2:$C$433,$C209,Desconto_Cliente_Mes!$K$2:$K$433,"Nao",Desconto_Cliente_Mes!$D$2:$D$433,"&gt;0")</f>
        <v>0</v>
      </c>
      <c r="I209" s="42" t="n">
        <f aca="false">IF(AND($E209="Nao",$D209&gt;0,$H209&gt;0),$D209/$H209,0)</f>
        <v>0</v>
      </c>
      <c r="J209" s="40" t="n">
        <f aca="false">$I209*$G209</f>
        <v>0</v>
      </c>
      <c r="K209" s="40" t="n">
        <f aca="false">$J209-$F209</f>
        <v>0</v>
      </c>
      <c r="L209" s="27" t="str">
        <f aca="false">IF($D209=0,"Sem embarque",IF($K209&gt;0,"Recebe","Paga"))</f>
        <v>Sem embarque</v>
      </c>
    </row>
    <row r="210" customFormat="false" ht="15" hidden="false" customHeight="false" outlineLevel="0" collapsed="false">
      <c r="A210" s="27" t="s">
        <v>44</v>
      </c>
      <c r="B210" s="27" t="s">
        <v>67</v>
      </c>
      <c r="C210" s="27" t="s">
        <v>110</v>
      </c>
      <c r="D210" s="34" t="n">
        <f aca="false">SUMIFS(Desconto_Cliente_Mes!$D$2:$D$433,Desconto_Cliente_Mes!$A$2:$A$433,$A210,Desconto_Cliente_Mes!$B$2:$B$433,$B210,Desconto_Cliente_Mes!$C$2:$C$433,$C210)</f>
        <v>0</v>
      </c>
      <c r="E210" s="37" t="str">
        <f aca="false">INDEX(Desconto_Cliente_Mes!$K$2:$K$433,MATCH($A210&amp;"|"&amp;$B210&amp;"|"&amp;$C210,Desconto_Cliente_Mes!$W$2:$W$433,0))</f>
        <v/>
      </c>
      <c r="F210" s="39" t="n">
        <f aca="false">SUMIFS(Desconto_Cliente_Mes!$U$2:$U$433,Desconto_Cliente_Mes!$A$2:$A$433,$A210,Desconto_Cliente_Mes!$B$2:$B$433,$B210,Desconto_Cliente_Mes!$C$2:$C$433,$C210)</f>
        <v>0</v>
      </c>
      <c r="G210" s="39" t="n">
        <f aca="false">SUMIFS(Desconto_Cliente_Mes!$U$2:$U$433,Desconto_Cliente_Mes!$B$2:$B$433,$B210,Desconto_Cliente_Mes!$C$2:$C$433,$C210,Desconto_Cliente_Mes!$K$2:$K$433,"Sim")</f>
        <v>0</v>
      </c>
      <c r="H210" s="37" t="n">
        <f aca="false">SUMIFS(Desconto_Cliente_Mes!$D$2:$D$433,Desconto_Cliente_Mes!$B$2:$B$433,$B210,Desconto_Cliente_Mes!$C$2:$C$433,$C210,Desconto_Cliente_Mes!$K$2:$K$433,"Nao",Desconto_Cliente_Mes!$D$2:$D$433,"&gt;0")</f>
        <v>0</v>
      </c>
      <c r="I210" s="42" t="n">
        <f aca="false">IF(AND($E210="Nao",$D210&gt;0,$H210&gt;0),$D210/$H210,0)</f>
        <v>0</v>
      </c>
      <c r="J210" s="40" t="n">
        <f aca="false">$I210*$G210</f>
        <v>0</v>
      </c>
      <c r="K210" s="40" t="n">
        <f aca="false">$J210-$F210</f>
        <v>0</v>
      </c>
      <c r="L210" s="27" t="str">
        <f aca="false">IF($D210=0,"Sem embarque",IF($K210&gt;0,"Recebe","Paga"))</f>
        <v>Sem embarque</v>
      </c>
    </row>
    <row r="211" customFormat="false" ht="15" hidden="false" customHeight="false" outlineLevel="0" collapsed="false">
      <c r="A211" s="27" t="s">
        <v>44</v>
      </c>
      <c r="B211" s="27" t="s">
        <v>67</v>
      </c>
      <c r="C211" s="27" t="s">
        <v>111</v>
      </c>
      <c r="D211" s="34" t="n">
        <f aca="false">SUMIFS(Desconto_Cliente_Mes!$D$2:$D$433,Desconto_Cliente_Mes!$A$2:$A$433,$A211,Desconto_Cliente_Mes!$B$2:$B$433,$B211,Desconto_Cliente_Mes!$C$2:$C$433,$C211)</f>
        <v>0</v>
      </c>
      <c r="E211" s="37" t="str">
        <f aca="false">INDEX(Desconto_Cliente_Mes!$K$2:$K$433,MATCH($A211&amp;"|"&amp;$B211&amp;"|"&amp;$C211,Desconto_Cliente_Mes!$W$2:$W$433,0))</f>
        <v/>
      </c>
      <c r="F211" s="39" t="n">
        <f aca="false">SUMIFS(Desconto_Cliente_Mes!$U$2:$U$433,Desconto_Cliente_Mes!$A$2:$A$433,$A211,Desconto_Cliente_Mes!$B$2:$B$433,$B211,Desconto_Cliente_Mes!$C$2:$C$433,$C211)</f>
        <v>0</v>
      </c>
      <c r="G211" s="39" t="n">
        <f aca="false">SUMIFS(Desconto_Cliente_Mes!$U$2:$U$433,Desconto_Cliente_Mes!$B$2:$B$433,$B211,Desconto_Cliente_Mes!$C$2:$C$433,$C211,Desconto_Cliente_Mes!$K$2:$K$433,"Sim")</f>
        <v>0</v>
      </c>
      <c r="H211" s="37" t="n">
        <f aca="false">SUMIFS(Desconto_Cliente_Mes!$D$2:$D$433,Desconto_Cliente_Mes!$B$2:$B$433,$B211,Desconto_Cliente_Mes!$C$2:$C$433,$C211,Desconto_Cliente_Mes!$K$2:$K$433,"Nao",Desconto_Cliente_Mes!$D$2:$D$433,"&gt;0")</f>
        <v>0</v>
      </c>
      <c r="I211" s="42" t="n">
        <f aca="false">IF(AND($E211="Nao",$D211&gt;0,$H211&gt;0),$D211/$H211,0)</f>
        <v>0</v>
      </c>
      <c r="J211" s="40" t="n">
        <f aca="false">$I211*$G211</f>
        <v>0</v>
      </c>
      <c r="K211" s="40" t="n">
        <f aca="false">$J211-$F211</f>
        <v>0</v>
      </c>
      <c r="L211" s="27" t="str">
        <f aca="false">IF($D211=0,"Sem embarque",IF($K211&gt;0,"Recebe","Paga"))</f>
        <v>Sem embarque</v>
      </c>
    </row>
    <row r="212" customFormat="false" ht="15" hidden="false" customHeight="false" outlineLevel="0" collapsed="false">
      <c r="A212" s="27" t="s">
        <v>44</v>
      </c>
      <c r="B212" s="27" t="s">
        <v>68</v>
      </c>
      <c r="C212" s="27" t="s">
        <v>109</v>
      </c>
      <c r="D212" s="34" t="n">
        <f aca="false">SUMIFS(Desconto_Cliente_Mes!$D$2:$D$433,Desconto_Cliente_Mes!$A$2:$A$433,$A212,Desconto_Cliente_Mes!$B$2:$B$433,$B212,Desconto_Cliente_Mes!$C$2:$C$433,$C212)</f>
        <v>0</v>
      </c>
      <c r="E212" s="37" t="str">
        <f aca="false">INDEX(Desconto_Cliente_Mes!$K$2:$K$433,MATCH($A212&amp;"|"&amp;$B212&amp;"|"&amp;$C212,Desconto_Cliente_Mes!$W$2:$W$433,0))</f>
        <v/>
      </c>
      <c r="F212" s="39" t="n">
        <f aca="false">SUMIFS(Desconto_Cliente_Mes!$U$2:$U$433,Desconto_Cliente_Mes!$A$2:$A$433,$A212,Desconto_Cliente_Mes!$B$2:$B$433,$B212,Desconto_Cliente_Mes!$C$2:$C$433,$C212)</f>
        <v>0</v>
      </c>
      <c r="G212" s="39" t="n">
        <f aca="false">SUMIFS(Desconto_Cliente_Mes!$U$2:$U$433,Desconto_Cliente_Mes!$B$2:$B$433,$B212,Desconto_Cliente_Mes!$C$2:$C$433,$C212,Desconto_Cliente_Mes!$K$2:$K$433,"Sim")</f>
        <v>0</v>
      </c>
      <c r="H212" s="37" t="n">
        <f aca="false">SUMIFS(Desconto_Cliente_Mes!$D$2:$D$433,Desconto_Cliente_Mes!$B$2:$B$433,$B212,Desconto_Cliente_Mes!$C$2:$C$433,$C212,Desconto_Cliente_Mes!$K$2:$K$433,"Nao",Desconto_Cliente_Mes!$D$2:$D$433,"&gt;0")</f>
        <v>0</v>
      </c>
      <c r="I212" s="42" t="n">
        <f aca="false">IF(AND($E212="Nao",$D212&gt;0,$H212&gt;0),$D212/$H212,0)</f>
        <v>0</v>
      </c>
      <c r="J212" s="40" t="n">
        <f aca="false">$I212*$G212</f>
        <v>0</v>
      </c>
      <c r="K212" s="40" t="n">
        <f aca="false">$J212-$F212</f>
        <v>0</v>
      </c>
      <c r="L212" s="27" t="str">
        <f aca="false">IF($D212=0,"Sem embarque",IF($K212&gt;0,"Recebe","Paga"))</f>
        <v>Sem embarque</v>
      </c>
    </row>
    <row r="213" customFormat="false" ht="15" hidden="false" customHeight="false" outlineLevel="0" collapsed="false">
      <c r="A213" s="27" t="s">
        <v>44</v>
      </c>
      <c r="B213" s="27" t="s">
        <v>68</v>
      </c>
      <c r="C213" s="27" t="s">
        <v>110</v>
      </c>
      <c r="D213" s="34" t="n">
        <f aca="false">SUMIFS(Desconto_Cliente_Mes!$D$2:$D$433,Desconto_Cliente_Mes!$A$2:$A$433,$A213,Desconto_Cliente_Mes!$B$2:$B$433,$B213,Desconto_Cliente_Mes!$C$2:$C$433,$C213)</f>
        <v>0</v>
      </c>
      <c r="E213" s="37" t="str">
        <f aca="false">INDEX(Desconto_Cliente_Mes!$K$2:$K$433,MATCH($A213&amp;"|"&amp;$B213&amp;"|"&amp;$C213,Desconto_Cliente_Mes!$W$2:$W$433,0))</f>
        <v/>
      </c>
      <c r="F213" s="39" t="n">
        <f aca="false">SUMIFS(Desconto_Cliente_Mes!$U$2:$U$433,Desconto_Cliente_Mes!$A$2:$A$433,$A213,Desconto_Cliente_Mes!$B$2:$B$433,$B213,Desconto_Cliente_Mes!$C$2:$C$433,$C213)</f>
        <v>0</v>
      </c>
      <c r="G213" s="39" t="n">
        <f aca="false">SUMIFS(Desconto_Cliente_Mes!$U$2:$U$433,Desconto_Cliente_Mes!$B$2:$B$433,$B213,Desconto_Cliente_Mes!$C$2:$C$433,$C213,Desconto_Cliente_Mes!$K$2:$K$433,"Sim")</f>
        <v>0</v>
      </c>
      <c r="H213" s="37" t="n">
        <f aca="false">SUMIFS(Desconto_Cliente_Mes!$D$2:$D$433,Desconto_Cliente_Mes!$B$2:$B$433,$B213,Desconto_Cliente_Mes!$C$2:$C$433,$C213,Desconto_Cliente_Mes!$K$2:$K$433,"Nao",Desconto_Cliente_Mes!$D$2:$D$433,"&gt;0")</f>
        <v>0</v>
      </c>
      <c r="I213" s="42" t="n">
        <f aca="false">IF(AND($E213="Nao",$D213&gt;0,$H213&gt;0),$D213/$H213,0)</f>
        <v>0</v>
      </c>
      <c r="J213" s="40" t="n">
        <f aca="false">$I213*$G213</f>
        <v>0</v>
      </c>
      <c r="K213" s="40" t="n">
        <f aca="false">$J213-$F213</f>
        <v>0</v>
      </c>
      <c r="L213" s="27" t="str">
        <f aca="false">IF($D213=0,"Sem embarque",IF($K213&gt;0,"Recebe","Paga"))</f>
        <v>Sem embarque</v>
      </c>
    </row>
    <row r="214" customFormat="false" ht="15" hidden="false" customHeight="false" outlineLevel="0" collapsed="false">
      <c r="A214" s="27" t="s">
        <v>44</v>
      </c>
      <c r="B214" s="27" t="s">
        <v>68</v>
      </c>
      <c r="C214" s="27" t="s">
        <v>111</v>
      </c>
      <c r="D214" s="34" t="n">
        <f aca="false">SUMIFS(Desconto_Cliente_Mes!$D$2:$D$433,Desconto_Cliente_Mes!$A$2:$A$433,$A214,Desconto_Cliente_Mes!$B$2:$B$433,$B214,Desconto_Cliente_Mes!$C$2:$C$433,$C214)</f>
        <v>0</v>
      </c>
      <c r="E214" s="37" t="str">
        <f aca="false">INDEX(Desconto_Cliente_Mes!$K$2:$K$433,MATCH($A214&amp;"|"&amp;$B214&amp;"|"&amp;$C214,Desconto_Cliente_Mes!$W$2:$W$433,0))</f>
        <v/>
      </c>
      <c r="F214" s="39" t="n">
        <f aca="false">SUMIFS(Desconto_Cliente_Mes!$U$2:$U$433,Desconto_Cliente_Mes!$A$2:$A$433,$A214,Desconto_Cliente_Mes!$B$2:$B$433,$B214,Desconto_Cliente_Mes!$C$2:$C$433,$C214)</f>
        <v>0</v>
      </c>
      <c r="G214" s="39" t="n">
        <f aca="false">SUMIFS(Desconto_Cliente_Mes!$U$2:$U$433,Desconto_Cliente_Mes!$B$2:$B$433,$B214,Desconto_Cliente_Mes!$C$2:$C$433,$C214,Desconto_Cliente_Mes!$K$2:$K$433,"Sim")</f>
        <v>0</v>
      </c>
      <c r="H214" s="37" t="n">
        <f aca="false">SUMIFS(Desconto_Cliente_Mes!$D$2:$D$433,Desconto_Cliente_Mes!$B$2:$B$433,$B214,Desconto_Cliente_Mes!$C$2:$C$433,$C214,Desconto_Cliente_Mes!$K$2:$K$433,"Nao",Desconto_Cliente_Mes!$D$2:$D$433,"&gt;0")</f>
        <v>0</v>
      </c>
      <c r="I214" s="42" t="n">
        <f aca="false">IF(AND($E214="Nao",$D214&gt;0,$H214&gt;0),$D214/$H214,0)</f>
        <v>0</v>
      </c>
      <c r="J214" s="40" t="n">
        <f aca="false">$I214*$G214</f>
        <v>0</v>
      </c>
      <c r="K214" s="40" t="n">
        <f aca="false">$J214-$F214</f>
        <v>0</v>
      </c>
      <c r="L214" s="27" t="str">
        <f aca="false">IF($D214=0,"Sem embarque",IF($K214&gt;0,"Recebe","Paga"))</f>
        <v>Sem embarque</v>
      </c>
    </row>
    <row r="215" customFormat="false" ht="15" hidden="false" customHeight="false" outlineLevel="0" collapsed="false">
      <c r="A215" s="27" t="s">
        <v>44</v>
      </c>
      <c r="B215" s="27" t="s">
        <v>69</v>
      </c>
      <c r="C215" s="27" t="s">
        <v>109</v>
      </c>
      <c r="D215" s="34" t="n">
        <f aca="false">SUMIFS(Desconto_Cliente_Mes!$D$2:$D$433,Desconto_Cliente_Mes!$A$2:$A$433,$A215,Desconto_Cliente_Mes!$B$2:$B$433,$B215,Desconto_Cliente_Mes!$C$2:$C$433,$C215)</f>
        <v>0</v>
      </c>
      <c r="E215" s="37" t="str">
        <f aca="false">INDEX(Desconto_Cliente_Mes!$K$2:$K$433,MATCH($A215&amp;"|"&amp;$B215&amp;"|"&amp;$C215,Desconto_Cliente_Mes!$W$2:$W$433,0))</f>
        <v/>
      </c>
      <c r="F215" s="39" t="n">
        <f aca="false">SUMIFS(Desconto_Cliente_Mes!$U$2:$U$433,Desconto_Cliente_Mes!$A$2:$A$433,$A215,Desconto_Cliente_Mes!$B$2:$B$433,$B215,Desconto_Cliente_Mes!$C$2:$C$433,$C215)</f>
        <v>0</v>
      </c>
      <c r="G215" s="39" t="n">
        <f aca="false">SUMIFS(Desconto_Cliente_Mes!$U$2:$U$433,Desconto_Cliente_Mes!$B$2:$B$433,$B215,Desconto_Cliente_Mes!$C$2:$C$433,$C215,Desconto_Cliente_Mes!$K$2:$K$433,"Sim")</f>
        <v>0</v>
      </c>
      <c r="H215" s="37" t="n">
        <f aca="false">SUMIFS(Desconto_Cliente_Mes!$D$2:$D$433,Desconto_Cliente_Mes!$B$2:$B$433,$B215,Desconto_Cliente_Mes!$C$2:$C$433,$C215,Desconto_Cliente_Mes!$K$2:$K$433,"Nao",Desconto_Cliente_Mes!$D$2:$D$433,"&gt;0")</f>
        <v>0</v>
      </c>
      <c r="I215" s="42" t="n">
        <f aca="false">IF(AND($E215="Nao",$D215&gt;0,$H215&gt;0),$D215/$H215,0)</f>
        <v>0</v>
      </c>
      <c r="J215" s="40" t="n">
        <f aca="false">$I215*$G215</f>
        <v>0</v>
      </c>
      <c r="K215" s="40" t="n">
        <f aca="false">$J215-$F215</f>
        <v>0</v>
      </c>
      <c r="L215" s="27" t="str">
        <f aca="false">IF($D215=0,"Sem embarque",IF($K215&gt;0,"Recebe","Paga"))</f>
        <v>Sem embarque</v>
      </c>
    </row>
    <row r="216" customFormat="false" ht="15" hidden="false" customHeight="false" outlineLevel="0" collapsed="false">
      <c r="A216" s="27" t="s">
        <v>44</v>
      </c>
      <c r="B216" s="27" t="s">
        <v>69</v>
      </c>
      <c r="C216" s="27" t="s">
        <v>110</v>
      </c>
      <c r="D216" s="34" t="n">
        <f aca="false">SUMIFS(Desconto_Cliente_Mes!$D$2:$D$433,Desconto_Cliente_Mes!$A$2:$A$433,$A216,Desconto_Cliente_Mes!$B$2:$B$433,$B216,Desconto_Cliente_Mes!$C$2:$C$433,$C216)</f>
        <v>0</v>
      </c>
      <c r="E216" s="37" t="str">
        <f aca="false">INDEX(Desconto_Cliente_Mes!$K$2:$K$433,MATCH($A216&amp;"|"&amp;$B216&amp;"|"&amp;$C216,Desconto_Cliente_Mes!$W$2:$W$433,0))</f>
        <v/>
      </c>
      <c r="F216" s="39" t="n">
        <f aca="false">SUMIFS(Desconto_Cliente_Mes!$U$2:$U$433,Desconto_Cliente_Mes!$A$2:$A$433,$A216,Desconto_Cliente_Mes!$B$2:$B$433,$B216,Desconto_Cliente_Mes!$C$2:$C$433,$C216)</f>
        <v>0</v>
      </c>
      <c r="G216" s="39" t="n">
        <f aca="false">SUMIFS(Desconto_Cliente_Mes!$U$2:$U$433,Desconto_Cliente_Mes!$B$2:$B$433,$B216,Desconto_Cliente_Mes!$C$2:$C$433,$C216,Desconto_Cliente_Mes!$K$2:$K$433,"Sim")</f>
        <v>0</v>
      </c>
      <c r="H216" s="37" t="n">
        <f aca="false">SUMIFS(Desconto_Cliente_Mes!$D$2:$D$433,Desconto_Cliente_Mes!$B$2:$B$433,$B216,Desconto_Cliente_Mes!$C$2:$C$433,$C216,Desconto_Cliente_Mes!$K$2:$K$433,"Nao",Desconto_Cliente_Mes!$D$2:$D$433,"&gt;0")</f>
        <v>0</v>
      </c>
      <c r="I216" s="42" t="n">
        <f aca="false">IF(AND($E216="Nao",$D216&gt;0,$H216&gt;0),$D216/$H216,0)</f>
        <v>0</v>
      </c>
      <c r="J216" s="40" t="n">
        <f aca="false">$I216*$G216</f>
        <v>0</v>
      </c>
      <c r="K216" s="40" t="n">
        <f aca="false">$J216-$F216</f>
        <v>0</v>
      </c>
      <c r="L216" s="27" t="str">
        <f aca="false">IF($D216=0,"Sem embarque",IF($K216&gt;0,"Recebe","Paga"))</f>
        <v>Sem embarque</v>
      </c>
    </row>
    <row r="217" customFormat="false" ht="15" hidden="false" customHeight="false" outlineLevel="0" collapsed="false">
      <c r="A217" s="27" t="s">
        <v>44</v>
      </c>
      <c r="B217" s="27" t="s">
        <v>69</v>
      </c>
      <c r="C217" s="27" t="s">
        <v>111</v>
      </c>
      <c r="D217" s="34" t="n">
        <f aca="false">SUMIFS(Desconto_Cliente_Mes!$D$2:$D$433,Desconto_Cliente_Mes!$A$2:$A$433,$A217,Desconto_Cliente_Mes!$B$2:$B$433,$B217,Desconto_Cliente_Mes!$C$2:$C$433,$C217)</f>
        <v>0</v>
      </c>
      <c r="E217" s="37" t="str">
        <f aca="false">INDEX(Desconto_Cliente_Mes!$K$2:$K$433,MATCH($A217&amp;"|"&amp;$B217&amp;"|"&amp;$C217,Desconto_Cliente_Mes!$W$2:$W$433,0))</f>
        <v/>
      </c>
      <c r="F217" s="39" t="n">
        <f aca="false">SUMIFS(Desconto_Cliente_Mes!$U$2:$U$433,Desconto_Cliente_Mes!$A$2:$A$433,$A217,Desconto_Cliente_Mes!$B$2:$B$433,$B217,Desconto_Cliente_Mes!$C$2:$C$433,$C217)</f>
        <v>0</v>
      </c>
      <c r="G217" s="39" t="n">
        <f aca="false">SUMIFS(Desconto_Cliente_Mes!$U$2:$U$433,Desconto_Cliente_Mes!$B$2:$B$433,$B217,Desconto_Cliente_Mes!$C$2:$C$433,$C217,Desconto_Cliente_Mes!$K$2:$K$433,"Sim")</f>
        <v>0</v>
      </c>
      <c r="H217" s="37" t="n">
        <f aca="false">SUMIFS(Desconto_Cliente_Mes!$D$2:$D$433,Desconto_Cliente_Mes!$B$2:$B$433,$B217,Desconto_Cliente_Mes!$C$2:$C$433,$C217,Desconto_Cliente_Mes!$K$2:$K$433,"Nao",Desconto_Cliente_Mes!$D$2:$D$433,"&gt;0")</f>
        <v>0</v>
      </c>
      <c r="I217" s="42" t="n">
        <f aca="false">IF(AND($E217="Nao",$D217&gt;0,$H217&gt;0),$D217/$H217,0)</f>
        <v>0</v>
      </c>
      <c r="J217" s="40" t="n">
        <f aca="false">$I217*$G217</f>
        <v>0</v>
      </c>
      <c r="K217" s="40" t="n">
        <f aca="false">$J217-$F217</f>
        <v>0</v>
      </c>
      <c r="L217" s="27" t="str">
        <f aca="false">IF($D217=0,"Sem embarque",IF($K217&gt;0,"Recebe","Paga"))</f>
        <v>Sem embarque</v>
      </c>
    </row>
    <row r="218" customFormat="false" ht="15" hidden="false" customHeight="false" outlineLevel="0" collapsed="false">
      <c r="A218" s="27" t="s">
        <v>45</v>
      </c>
      <c r="B218" s="27" t="s">
        <v>38</v>
      </c>
      <c r="C218" s="27" t="s">
        <v>109</v>
      </c>
      <c r="D218" s="34" t="n">
        <f aca="false">SUMIFS(Desconto_Cliente_Mes!$D$2:$D$433,Desconto_Cliente_Mes!$A$2:$A$433,$A218,Desconto_Cliente_Mes!$B$2:$B$433,$B218,Desconto_Cliente_Mes!$C$2:$C$433,$C218)</f>
        <v>72053.69</v>
      </c>
      <c r="E218" s="37" t="str">
        <f aca="false">INDEX(Desconto_Cliente_Mes!$K$2:$K$433,MATCH($A218&amp;"|"&amp;$B218&amp;"|"&amp;$C218,Desconto_Cliente_Mes!$W$2:$W$433,0))</f>
        <v>Sim</v>
      </c>
      <c r="F218" s="39" t="n">
        <f aca="false">SUMIFS(Desconto_Cliente_Mes!$U$2:$U$433,Desconto_Cliente_Mes!$A$2:$A$433,$A218,Desconto_Cliente_Mes!$B$2:$B$433,$B218,Desconto_Cliente_Mes!$C$2:$C$433,$C218)</f>
        <v>31827.2147664183</v>
      </c>
      <c r="G218" s="39" t="n">
        <f aca="false">SUMIFS(Desconto_Cliente_Mes!$U$2:$U$433,Desconto_Cliente_Mes!$B$2:$B$433,$B218,Desconto_Cliente_Mes!$C$2:$C$433,$C218,Desconto_Cliente_Mes!$K$2:$K$433,"Sim")</f>
        <v>91377.0669671845</v>
      </c>
      <c r="H218" s="37" t="n">
        <f aca="false">SUMIFS(Desconto_Cliente_Mes!$D$2:$D$433,Desconto_Cliente_Mes!$B$2:$B$433,$B218,Desconto_Cliente_Mes!$C$2:$C$433,$C218,Desconto_Cliente_Mes!$K$2:$K$433,"Nao",Desconto_Cliente_Mes!$D$2:$D$433,"&gt;0")</f>
        <v>58734.34</v>
      </c>
      <c r="I218" s="42" t="n">
        <f aca="false">IF(AND($E218="Nao",$D218&gt;0,$H218&gt;0),$D218/$H218,0)</f>
        <v>0</v>
      </c>
      <c r="J218" s="40" t="n">
        <f aca="false">$I218*$G218</f>
        <v>0</v>
      </c>
      <c r="K218" s="40" t="n">
        <f aca="false">$J218-$F218</f>
        <v>-31827.2147664183</v>
      </c>
      <c r="L218" s="27" t="str">
        <f aca="false">IF($D218=0,"Sem embarque",IF($K218&gt;0,"Recebe","Paga"))</f>
        <v>Paga</v>
      </c>
    </row>
    <row r="219" customFormat="false" ht="15" hidden="false" customHeight="false" outlineLevel="0" collapsed="false">
      <c r="A219" s="27" t="s">
        <v>45</v>
      </c>
      <c r="B219" s="27" t="s">
        <v>38</v>
      </c>
      <c r="C219" s="27" t="s">
        <v>110</v>
      </c>
      <c r="D219" s="34" t="n">
        <f aca="false">SUMIFS(Desconto_Cliente_Mes!$D$2:$D$433,Desconto_Cliente_Mes!$A$2:$A$433,$A219,Desconto_Cliente_Mes!$B$2:$B$433,$B219,Desconto_Cliente_Mes!$C$2:$C$433,$C219)</f>
        <v>72053.69</v>
      </c>
      <c r="E219" s="37" t="str">
        <f aca="false">INDEX(Desconto_Cliente_Mes!$K$2:$K$433,MATCH($A219&amp;"|"&amp;$B219&amp;"|"&amp;$C219,Desconto_Cliente_Mes!$W$2:$W$433,0))</f>
        <v>Nao</v>
      </c>
      <c r="F219" s="39" t="n">
        <f aca="false">SUMIFS(Desconto_Cliente_Mes!$U$2:$U$433,Desconto_Cliente_Mes!$A$2:$A$433,$A219,Desconto_Cliente_Mes!$B$2:$B$433,$B219,Desconto_Cliente_Mes!$C$2:$C$433,$C219)</f>
        <v>0</v>
      </c>
      <c r="G219" s="39" t="n">
        <f aca="false">SUMIFS(Desconto_Cliente_Mes!$U$2:$U$433,Desconto_Cliente_Mes!$B$2:$B$433,$B219,Desconto_Cliente_Mes!$C$2:$C$433,$C219,Desconto_Cliente_Mes!$K$2:$K$433,"Sim")</f>
        <v>0</v>
      </c>
      <c r="H219" s="37" t="n">
        <f aca="false">SUMIFS(Desconto_Cliente_Mes!$D$2:$D$433,Desconto_Cliente_Mes!$B$2:$B$433,$B219,Desconto_Cliente_Mes!$C$2:$C$433,$C219,Desconto_Cliente_Mes!$K$2:$K$433,"Nao",Desconto_Cliente_Mes!$D$2:$D$433,"&gt;0")</f>
        <v>263816.27</v>
      </c>
      <c r="I219" s="42" t="n">
        <f aca="false">IF(AND($E219="Nao",$D219&gt;0,$H219&gt;0),$D219/$H219,0)</f>
        <v>0.273120721477868</v>
      </c>
      <c r="J219" s="40" t="n">
        <f aca="false">$I219*$G219</f>
        <v>0</v>
      </c>
      <c r="K219" s="40" t="n">
        <f aca="false">$J219-$F219</f>
        <v>0</v>
      </c>
      <c r="L219" s="27" t="str">
        <f aca="false">IF($D219=0,"Sem embarque",IF($K219&gt;0,"Recebe","Paga"))</f>
        <v>Paga</v>
      </c>
    </row>
    <row r="220" customFormat="false" ht="15" hidden="false" customHeight="false" outlineLevel="0" collapsed="false">
      <c r="A220" s="27" t="s">
        <v>45</v>
      </c>
      <c r="B220" s="27" t="s">
        <v>38</v>
      </c>
      <c r="C220" s="27" t="s">
        <v>111</v>
      </c>
      <c r="D220" s="34" t="n">
        <f aca="false">SUMIFS(Desconto_Cliente_Mes!$D$2:$D$433,Desconto_Cliente_Mes!$A$2:$A$433,$A220,Desconto_Cliente_Mes!$B$2:$B$433,$B220,Desconto_Cliente_Mes!$C$2:$C$433,$C220)</f>
        <v>72053.69</v>
      </c>
      <c r="E220" s="37" t="str">
        <f aca="false">INDEX(Desconto_Cliente_Mes!$K$2:$K$433,MATCH($A220&amp;"|"&amp;$B220&amp;"|"&amp;$C220,Desconto_Cliente_Mes!$W$2:$W$433,0))</f>
        <v>Sim</v>
      </c>
      <c r="F220" s="39" t="n">
        <f aca="false">SUMIFS(Desconto_Cliente_Mes!$U$2:$U$433,Desconto_Cliente_Mes!$A$2:$A$433,$A220,Desconto_Cliente_Mes!$B$2:$B$433,$B220,Desconto_Cliente_Mes!$C$2:$C$433,$C220)</f>
        <v>43060.5861914618</v>
      </c>
      <c r="G220" s="39" t="n">
        <f aca="false">SUMIFS(Desconto_Cliente_Mes!$U$2:$U$433,Desconto_Cliente_Mes!$B$2:$B$433,$B220,Desconto_Cliente_Mes!$C$2:$C$433,$C220,Desconto_Cliente_Mes!$K$2:$K$433,"Sim")</f>
        <v>71216.4191325092</v>
      </c>
      <c r="H220" s="37" t="n">
        <f aca="false">SUMIFS(Desconto_Cliente_Mes!$D$2:$D$433,Desconto_Cliente_Mes!$B$2:$B$433,$B220,Desconto_Cliente_Mes!$C$2:$C$433,$C220,Desconto_Cliente_Mes!$K$2:$K$433,"Nao",Desconto_Cliente_Mes!$D$2:$D$433,"&gt;0")</f>
        <v>116867.62</v>
      </c>
      <c r="I220" s="42" t="n">
        <f aca="false">IF(AND($E220="Nao",$D220&gt;0,$H220&gt;0),$D220/$H220,0)</f>
        <v>0</v>
      </c>
      <c r="J220" s="40" t="n">
        <f aca="false">$I220*$G220</f>
        <v>0</v>
      </c>
      <c r="K220" s="40" t="n">
        <f aca="false">$J220-$F220</f>
        <v>-43060.5861914618</v>
      </c>
      <c r="L220" s="27" t="str">
        <f aca="false">IF($D220=0,"Sem embarque",IF($K220&gt;0,"Recebe","Paga"))</f>
        <v>Paga</v>
      </c>
    </row>
    <row r="221" customFormat="false" ht="15" hidden="false" customHeight="false" outlineLevel="0" collapsed="false">
      <c r="A221" s="27" t="s">
        <v>45</v>
      </c>
      <c r="B221" s="27" t="s">
        <v>59</v>
      </c>
      <c r="C221" s="27" t="s">
        <v>109</v>
      </c>
      <c r="D221" s="34" t="n">
        <f aca="false">SUMIFS(Desconto_Cliente_Mes!$D$2:$D$433,Desconto_Cliente_Mes!$A$2:$A$433,$A221,Desconto_Cliente_Mes!$B$2:$B$433,$B221,Desconto_Cliente_Mes!$C$2:$C$433,$C221)</f>
        <v>101673.63</v>
      </c>
      <c r="E221" s="37" t="str">
        <f aca="false">INDEX(Desconto_Cliente_Mes!$K$2:$K$433,MATCH($A221&amp;"|"&amp;$B221&amp;"|"&amp;$C221,Desconto_Cliente_Mes!$W$2:$W$433,0))</f>
        <v>Sim</v>
      </c>
      <c r="F221" s="39" t="n">
        <f aca="false">SUMIFS(Desconto_Cliente_Mes!$U$2:$U$433,Desconto_Cliente_Mes!$A$2:$A$433,$A221,Desconto_Cliente_Mes!$B$2:$B$433,$B221,Desconto_Cliente_Mes!$C$2:$C$433,$C221)</f>
        <v>32162.0748726001</v>
      </c>
      <c r="G221" s="39" t="n">
        <f aca="false">SUMIFS(Desconto_Cliente_Mes!$U$2:$U$433,Desconto_Cliente_Mes!$B$2:$B$433,$B221,Desconto_Cliente_Mes!$C$2:$C$433,$C221,Desconto_Cliente_Mes!$K$2:$K$433,"Sim")</f>
        <v>166858.825867758</v>
      </c>
      <c r="H221" s="37" t="n">
        <f aca="false">SUMIFS(Desconto_Cliente_Mes!$D$2:$D$433,Desconto_Cliente_Mes!$B$2:$B$433,$B221,Desconto_Cliente_Mes!$C$2:$C$433,$C221,Desconto_Cliente_Mes!$K$2:$K$433,"Nao",Desconto_Cliente_Mes!$D$2:$D$433,"&gt;0")</f>
        <v>83594.61</v>
      </c>
      <c r="I221" s="42" t="n">
        <f aca="false">IF(AND($E221="Nao",$D221&gt;0,$H221&gt;0),$D221/$H221,0)</f>
        <v>0</v>
      </c>
      <c r="J221" s="40" t="n">
        <f aca="false">$I221*$G221</f>
        <v>0</v>
      </c>
      <c r="K221" s="40" t="n">
        <f aca="false">$J221-$F221</f>
        <v>-32162.0748726001</v>
      </c>
      <c r="L221" s="27" t="str">
        <f aca="false">IF($D221=0,"Sem embarque",IF($K221&gt;0,"Recebe","Paga"))</f>
        <v>Paga</v>
      </c>
    </row>
    <row r="222" customFormat="false" ht="15" hidden="false" customHeight="false" outlineLevel="0" collapsed="false">
      <c r="A222" s="27" t="s">
        <v>45</v>
      </c>
      <c r="B222" s="27" t="s">
        <v>59</v>
      </c>
      <c r="C222" s="27" t="s">
        <v>110</v>
      </c>
      <c r="D222" s="34" t="n">
        <f aca="false">SUMIFS(Desconto_Cliente_Mes!$D$2:$D$433,Desconto_Cliente_Mes!$A$2:$A$433,$A222,Desconto_Cliente_Mes!$B$2:$B$433,$B222,Desconto_Cliente_Mes!$C$2:$C$433,$C222)</f>
        <v>101673.63</v>
      </c>
      <c r="E222" s="37" t="str">
        <f aca="false">INDEX(Desconto_Cliente_Mes!$K$2:$K$433,MATCH($A222&amp;"|"&amp;$B222&amp;"|"&amp;$C222,Desconto_Cliente_Mes!$W$2:$W$433,0))</f>
        <v>Nao</v>
      </c>
      <c r="F222" s="39" t="n">
        <f aca="false">SUMIFS(Desconto_Cliente_Mes!$U$2:$U$433,Desconto_Cliente_Mes!$A$2:$A$433,$A222,Desconto_Cliente_Mes!$B$2:$B$433,$B222,Desconto_Cliente_Mes!$C$2:$C$433,$C222)</f>
        <v>0</v>
      </c>
      <c r="G222" s="39" t="n">
        <f aca="false">SUMIFS(Desconto_Cliente_Mes!$U$2:$U$433,Desconto_Cliente_Mes!$B$2:$B$433,$B222,Desconto_Cliente_Mes!$C$2:$C$433,$C222,Desconto_Cliente_Mes!$K$2:$K$433,"Sim")</f>
        <v>8132.39257800007</v>
      </c>
      <c r="H222" s="37" t="n">
        <f aca="false">SUMIFS(Desconto_Cliente_Mes!$D$2:$D$433,Desconto_Cliente_Mes!$B$2:$B$433,$B222,Desconto_Cliente_Mes!$C$2:$C$433,$C222,Desconto_Cliente_Mes!$K$2:$K$433,"Nao",Desconto_Cliente_Mes!$D$2:$D$433,"&gt;0")</f>
        <v>289730.52</v>
      </c>
      <c r="I222" s="42" t="n">
        <f aca="false">IF(AND($E222="Nao",$D222&gt;0,$H222&gt;0),$D222/$H222,0)</f>
        <v>0.350924817999843</v>
      </c>
      <c r="J222" s="40" t="n">
        <f aca="false">$I222*$G222</f>
        <v>2853.85838533795</v>
      </c>
      <c r="K222" s="40" t="n">
        <f aca="false">$J222-$F222</f>
        <v>2853.85838533795</v>
      </c>
      <c r="L222" s="27" t="str">
        <f aca="false">IF($D222=0,"Sem embarque",IF($K222&gt;0,"Recebe","Paga"))</f>
        <v>Recebe</v>
      </c>
    </row>
    <row r="223" customFormat="false" ht="15" hidden="false" customHeight="false" outlineLevel="0" collapsed="false">
      <c r="A223" s="27" t="s">
        <v>45</v>
      </c>
      <c r="B223" s="27" t="s">
        <v>59</v>
      </c>
      <c r="C223" s="27" t="s">
        <v>111</v>
      </c>
      <c r="D223" s="34" t="n">
        <f aca="false">SUMIFS(Desconto_Cliente_Mes!$D$2:$D$433,Desconto_Cliente_Mes!$A$2:$A$433,$A223,Desconto_Cliente_Mes!$B$2:$B$433,$B223,Desconto_Cliente_Mes!$C$2:$C$433,$C223)</f>
        <v>101673.63</v>
      </c>
      <c r="E223" s="37" t="str">
        <f aca="false">INDEX(Desconto_Cliente_Mes!$K$2:$K$433,MATCH($A223&amp;"|"&amp;$B223&amp;"|"&amp;$C223,Desconto_Cliente_Mes!$W$2:$W$433,0))</f>
        <v>Nao</v>
      </c>
      <c r="F223" s="39" t="n">
        <f aca="false">SUMIFS(Desconto_Cliente_Mes!$U$2:$U$433,Desconto_Cliente_Mes!$A$2:$A$433,$A223,Desconto_Cliente_Mes!$B$2:$B$433,$B223,Desconto_Cliente_Mes!$C$2:$C$433,$C223)</f>
        <v>0</v>
      </c>
      <c r="G223" s="39" t="n">
        <f aca="false">SUMIFS(Desconto_Cliente_Mes!$U$2:$U$433,Desconto_Cliente_Mes!$B$2:$B$433,$B223,Desconto_Cliente_Mes!$C$2:$C$433,$C223,Desconto_Cliente_Mes!$K$2:$K$433,"Sim")</f>
        <v>47707.8352836299</v>
      </c>
      <c r="H223" s="37" t="n">
        <f aca="false">SUMIFS(Desconto_Cliente_Mes!$D$2:$D$433,Desconto_Cliente_Mes!$B$2:$B$433,$B223,Desconto_Cliente_Mes!$C$2:$C$433,$C223,Desconto_Cliente_Mes!$K$2:$K$433,"Nao",Desconto_Cliente_Mes!$D$2:$D$433,"&gt;0")</f>
        <v>185268.24</v>
      </c>
      <c r="I223" s="42" t="n">
        <f aca="false">IF(AND($E223="Nao",$D223&gt;0,$H223&gt;0),$D223/$H223,0)</f>
        <v>0.548791471220324</v>
      </c>
      <c r="J223" s="40" t="n">
        <f aca="false">$I223*$G223</f>
        <v>26181.6531140401</v>
      </c>
      <c r="K223" s="40" t="n">
        <f aca="false">$J223-$F223</f>
        <v>26181.6531140401</v>
      </c>
      <c r="L223" s="27" t="str">
        <f aca="false">IF($D223=0,"Sem embarque",IF($K223&gt;0,"Recebe","Paga"))</f>
        <v>Recebe</v>
      </c>
    </row>
    <row r="224" customFormat="false" ht="15" hidden="false" customHeight="false" outlineLevel="0" collapsed="false">
      <c r="A224" s="27" t="s">
        <v>45</v>
      </c>
      <c r="B224" s="27" t="s">
        <v>60</v>
      </c>
      <c r="C224" s="27" t="s">
        <v>109</v>
      </c>
      <c r="D224" s="34" t="n">
        <f aca="false">SUMIFS(Desconto_Cliente_Mes!$D$2:$D$433,Desconto_Cliente_Mes!$A$2:$A$433,$A224,Desconto_Cliente_Mes!$B$2:$B$433,$B224,Desconto_Cliente_Mes!$C$2:$C$433,$C224)</f>
        <v>141.56</v>
      </c>
      <c r="E224" s="37" t="str">
        <f aca="false">INDEX(Desconto_Cliente_Mes!$K$2:$K$433,MATCH($A224&amp;"|"&amp;$B224&amp;"|"&amp;$C224,Desconto_Cliente_Mes!$W$2:$W$433,0))</f>
        <v>Nao</v>
      </c>
      <c r="F224" s="39" t="n">
        <f aca="false">SUMIFS(Desconto_Cliente_Mes!$U$2:$U$433,Desconto_Cliente_Mes!$A$2:$A$433,$A224,Desconto_Cliente_Mes!$B$2:$B$433,$B224,Desconto_Cliente_Mes!$C$2:$C$433,$C224)</f>
        <v>0</v>
      </c>
      <c r="G224" s="39" t="n">
        <f aca="false">SUMIFS(Desconto_Cliente_Mes!$U$2:$U$433,Desconto_Cliente_Mes!$B$2:$B$433,$B224,Desconto_Cliente_Mes!$C$2:$C$433,$C224,Desconto_Cliente_Mes!$K$2:$K$433,"Sim")</f>
        <v>75633.0761548471</v>
      </c>
      <c r="H224" s="37" t="n">
        <f aca="false">SUMIFS(Desconto_Cliente_Mes!$D$2:$D$433,Desconto_Cliente_Mes!$B$2:$B$433,$B224,Desconto_Cliente_Mes!$C$2:$C$433,$C224,Desconto_Cliente_Mes!$K$2:$K$433,"Nao",Desconto_Cliente_Mes!$D$2:$D$433,"&gt;0")</f>
        <v>55750.4</v>
      </c>
      <c r="I224" s="42" t="n">
        <f aca="false">IF(AND($E224="Nao",$D224&gt;0,$H224&gt;0),$D224/$H224,0)</f>
        <v>0.00253917460681896</v>
      </c>
      <c r="J224" s="40" t="n">
        <f aca="false">$I224*$G224</f>
        <v>192.045586407993</v>
      </c>
      <c r="K224" s="40" t="n">
        <f aca="false">$J224-$F224</f>
        <v>192.045586407993</v>
      </c>
      <c r="L224" s="27" t="str">
        <f aca="false">IF($D224=0,"Sem embarque",IF($K224&gt;0,"Recebe","Paga"))</f>
        <v>Recebe</v>
      </c>
    </row>
    <row r="225" customFormat="false" ht="15" hidden="false" customHeight="false" outlineLevel="0" collapsed="false">
      <c r="A225" s="27" t="s">
        <v>45</v>
      </c>
      <c r="B225" s="27" t="s">
        <v>60</v>
      </c>
      <c r="C225" s="27" t="s">
        <v>110</v>
      </c>
      <c r="D225" s="34" t="n">
        <f aca="false">SUMIFS(Desconto_Cliente_Mes!$D$2:$D$433,Desconto_Cliente_Mes!$A$2:$A$433,$A225,Desconto_Cliente_Mes!$B$2:$B$433,$B225,Desconto_Cliente_Mes!$C$2:$C$433,$C225)</f>
        <v>141.56</v>
      </c>
      <c r="E225" s="37" t="str">
        <f aca="false">INDEX(Desconto_Cliente_Mes!$K$2:$K$433,MATCH($A225&amp;"|"&amp;$B225&amp;"|"&amp;$C225,Desconto_Cliente_Mes!$W$2:$W$433,0))</f>
        <v>Nao</v>
      </c>
      <c r="F225" s="39" t="n">
        <f aca="false">SUMIFS(Desconto_Cliente_Mes!$U$2:$U$433,Desconto_Cliente_Mes!$A$2:$A$433,$A225,Desconto_Cliente_Mes!$B$2:$B$433,$B225,Desconto_Cliente_Mes!$C$2:$C$433,$C225)</f>
        <v>0</v>
      </c>
      <c r="G225" s="39" t="n">
        <f aca="false">SUMIFS(Desconto_Cliente_Mes!$U$2:$U$433,Desconto_Cliente_Mes!$B$2:$B$433,$B225,Desconto_Cliente_Mes!$C$2:$C$433,$C225,Desconto_Cliente_Mes!$K$2:$K$433,"Sim")</f>
        <v>0</v>
      </c>
      <c r="H225" s="37" t="n">
        <f aca="false">SUMIFS(Desconto_Cliente_Mes!$D$2:$D$433,Desconto_Cliente_Mes!$B$2:$B$433,$B225,Desconto_Cliente_Mes!$C$2:$C$433,$C225,Desconto_Cliente_Mes!$K$2:$K$433,"Nao",Desconto_Cliente_Mes!$D$2:$D$433,"&gt;0")</f>
        <v>240729.22</v>
      </c>
      <c r="I225" s="42" t="n">
        <f aca="false">IF(AND($E225="Nao",$D225&gt;0,$H225&gt;0),$D225/$H225,0)</f>
        <v>0.000588046602734807</v>
      </c>
      <c r="J225" s="40" t="n">
        <f aca="false">$I225*$G225</f>
        <v>0</v>
      </c>
      <c r="K225" s="40" t="n">
        <f aca="false">$J225-$F225</f>
        <v>0</v>
      </c>
      <c r="L225" s="27" t="str">
        <f aca="false">IF($D225=0,"Sem embarque",IF($K225&gt;0,"Recebe","Paga"))</f>
        <v>Paga</v>
      </c>
    </row>
    <row r="226" customFormat="false" ht="15" hidden="false" customHeight="false" outlineLevel="0" collapsed="false">
      <c r="A226" s="27" t="s">
        <v>45</v>
      </c>
      <c r="B226" s="27" t="s">
        <v>60</v>
      </c>
      <c r="C226" s="27" t="s">
        <v>111</v>
      </c>
      <c r="D226" s="34" t="n">
        <f aca="false">SUMIFS(Desconto_Cliente_Mes!$D$2:$D$433,Desconto_Cliente_Mes!$A$2:$A$433,$A226,Desconto_Cliente_Mes!$B$2:$B$433,$B226,Desconto_Cliente_Mes!$C$2:$C$433,$C226)</f>
        <v>141.56</v>
      </c>
      <c r="E226" s="37" t="str">
        <f aca="false">INDEX(Desconto_Cliente_Mes!$K$2:$K$433,MATCH($A226&amp;"|"&amp;$B226&amp;"|"&amp;$C226,Desconto_Cliente_Mes!$W$2:$W$433,0))</f>
        <v>Nao</v>
      </c>
      <c r="F226" s="39" t="n">
        <f aca="false">SUMIFS(Desconto_Cliente_Mes!$U$2:$U$433,Desconto_Cliente_Mes!$A$2:$A$433,$A226,Desconto_Cliente_Mes!$B$2:$B$433,$B226,Desconto_Cliente_Mes!$C$2:$C$433,$C226)</f>
        <v>0</v>
      </c>
      <c r="G226" s="39" t="n">
        <f aca="false">SUMIFS(Desconto_Cliente_Mes!$U$2:$U$433,Desconto_Cliente_Mes!$B$2:$B$433,$B226,Desconto_Cliente_Mes!$C$2:$C$433,$C226,Desconto_Cliente_Mes!$K$2:$K$433,"Sim")</f>
        <v>15973.4860651284</v>
      </c>
      <c r="H226" s="37" t="n">
        <f aca="false">SUMIFS(Desconto_Cliente_Mes!$D$2:$D$433,Desconto_Cliente_Mes!$B$2:$B$433,$B226,Desconto_Cliente_Mes!$C$2:$C$433,$C226,Desconto_Cliente_Mes!$K$2:$K$433,"Nao",Desconto_Cliente_Mes!$D$2:$D$433,"&gt;0")</f>
        <v>55750.4</v>
      </c>
      <c r="I226" s="42" t="n">
        <f aca="false">IF(AND($E226="Nao",$D226&gt;0,$H226&gt;0),$D226/$H226,0)</f>
        <v>0.00253917460681896</v>
      </c>
      <c r="J226" s="40" t="n">
        <f aca="false">$I226*$G226</f>
        <v>40.5594701989505</v>
      </c>
      <c r="K226" s="40" t="n">
        <f aca="false">$J226-$F226</f>
        <v>40.5594701989505</v>
      </c>
      <c r="L226" s="27" t="str">
        <f aca="false">IF($D226=0,"Sem embarque",IF($K226&gt;0,"Recebe","Paga"))</f>
        <v>Recebe</v>
      </c>
    </row>
    <row r="227" customFormat="false" ht="15" hidden="false" customHeight="false" outlineLevel="0" collapsed="false">
      <c r="A227" s="27" t="s">
        <v>45</v>
      </c>
      <c r="B227" s="27" t="s">
        <v>61</v>
      </c>
      <c r="C227" s="27" t="s">
        <v>109</v>
      </c>
      <c r="D227" s="34" t="n">
        <f aca="false">SUMIFS(Desconto_Cliente_Mes!$D$2:$D$433,Desconto_Cliente_Mes!$A$2:$A$433,$A227,Desconto_Cliente_Mes!$B$2:$B$433,$B227,Desconto_Cliente_Mes!$C$2:$C$433,$C227)</f>
        <v>10176.79</v>
      </c>
      <c r="E227" s="37" t="str">
        <f aca="false">INDEX(Desconto_Cliente_Mes!$K$2:$K$433,MATCH($A227&amp;"|"&amp;$B227&amp;"|"&amp;$C227,Desconto_Cliente_Mes!$W$2:$W$433,0))</f>
        <v>Sim</v>
      </c>
      <c r="F227" s="39" t="n">
        <f aca="false">SUMIFS(Desconto_Cliente_Mes!$U$2:$U$433,Desconto_Cliente_Mes!$A$2:$A$433,$A227,Desconto_Cliente_Mes!$B$2:$B$433,$B227,Desconto_Cliente_Mes!$C$2:$C$433,$C227)</f>
        <v>4021.76632081863</v>
      </c>
      <c r="G227" s="39" t="n">
        <f aca="false">SUMIFS(Desconto_Cliente_Mes!$U$2:$U$433,Desconto_Cliente_Mes!$B$2:$B$433,$B227,Desconto_Cliente_Mes!$C$2:$C$433,$C227,Desconto_Cliente_Mes!$K$2:$K$433,"Sim")</f>
        <v>101062.110385431</v>
      </c>
      <c r="H227" s="37" t="n">
        <f aca="false">SUMIFS(Desconto_Cliente_Mes!$D$2:$D$433,Desconto_Cliente_Mes!$B$2:$B$433,$B227,Desconto_Cliente_Mes!$C$2:$C$433,$C227,Desconto_Cliente_Mes!$K$2:$K$433,"Nao",Desconto_Cliente_Mes!$D$2:$D$433,"&gt;0")</f>
        <v>195833.47</v>
      </c>
      <c r="I227" s="42" t="n">
        <f aca="false">IF(AND($E227="Nao",$D227&gt;0,$H227&gt;0),$D227/$H227,0)</f>
        <v>0</v>
      </c>
      <c r="J227" s="40" t="n">
        <f aca="false">$I227*$G227</f>
        <v>0</v>
      </c>
      <c r="K227" s="40" t="n">
        <f aca="false">$J227-$F227</f>
        <v>-4021.76632081863</v>
      </c>
      <c r="L227" s="27" t="str">
        <f aca="false">IF($D227=0,"Sem embarque",IF($K227&gt;0,"Recebe","Paga"))</f>
        <v>Paga</v>
      </c>
    </row>
    <row r="228" customFormat="false" ht="15" hidden="false" customHeight="false" outlineLevel="0" collapsed="false">
      <c r="A228" s="27" t="s">
        <v>45</v>
      </c>
      <c r="B228" s="27" t="s">
        <v>61</v>
      </c>
      <c r="C228" s="27" t="s">
        <v>110</v>
      </c>
      <c r="D228" s="34" t="n">
        <f aca="false">SUMIFS(Desconto_Cliente_Mes!$D$2:$D$433,Desconto_Cliente_Mes!$A$2:$A$433,$A228,Desconto_Cliente_Mes!$B$2:$B$433,$B228,Desconto_Cliente_Mes!$C$2:$C$433,$C228)</f>
        <v>10176.79</v>
      </c>
      <c r="E228" s="37" t="str">
        <f aca="false">INDEX(Desconto_Cliente_Mes!$K$2:$K$433,MATCH($A228&amp;"|"&amp;$B228&amp;"|"&amp;$C228,Desconto_Cliente_Mes!$W$2:$W$433,0))</f>
        <v>Nao</v>
      </c>
      <c r="F228" s="39" t="n">
        <f aca="false">SUMIFS(Desconto_Cliente_Mes!$U$2:$U$433,Desconto_Cliente_Mes!$A$2:$A$433,$A228,Desconto_Cliente_Mes!$B$2:$B$433,$B228,Desconto_Cliente_Mes!$C$2:$C$433,$C228)</f>
        <v>0</v>
      </c>
      <c r="G228" s="39" t="n">
        <f aca="false">SUMIFS(Desconto_Cliente_Mes!$U$2:$U$433,Desconto_Cliente_Mes!$B$2:$B$433,$B228,Desconto_Cliente_Mes!$C$2:$C$433,$C228,Desconto_Cliente_Mes!$K$2:$K$433,"Sim")</f>
        <v>89392.5188999994</v>
      </c>
      <c r="H228" s="37" t="n">
        <f aca="false">SUMIFS(Desconto_Cliente_Mes!$D$2:$D$433,Desconto_Cliente_Mes!$B$2:$B$433,$B228,Desconto_Cliente_Mes!$C$2:$C$433,$C228,Desconto_Cliente_Mes!$K$2:$K$433,"Nao",Desconto_Cliente_Mes!$D$2:$D$433,"&gt;0")</f>
        <v>315561.27</v>
      </c>
      <c r="I228" s="42" t="n">
        <f aca="false">IF(AND($E228="Nao",$D228&gt;0,$H228&gt;0),$D228/$H228,0)</f>
        <v>0.0322498068283221</v>
      </c>
      <c r="J228" s="40" t="n">
        <f aca="false">$I228*$G228</f>
        <v>2882.89146642212</v>
      </c>
      <c r="K228" s="40" t="n">
        <f aca="false">$J228-$F228</f>
        <v>2882.89146642212</v>
      </c>
      <c r="L228" s="27" t="str">
        <f aca="false">IF($D228=0,"Sem embarque",IF($K228&gt;0,"Recebe","Paga"))</f>
        <v>Recebe</v>
      </c>
    </row>
    <row r="229" customFormat="false" ht="15" hidden="false" customHeight="false" outlineLevel="0" collapsed="false">
      <c r="A229" s="27" t="s">
        <v>45</v>
      </c>
      <c r="B229" s="27" t="s">
        <v>61</v>
      </c>
      <c r="C229" s="27" t="s">
        <v>111</v>
      </c>
      <c r="D229" s="34" t="n">
        <f aca="false">SUMIFS(Desconto_Cliente_Mes!$D$2:$D$433,Desconto_Cliente_Mes!$A$2:$A$433,$A229,Desconto_Cliente_Mes!$B$2:$B$433,$B229,Desconto_Cliente_Mes!$C$2:$C$433,$C229)</f>
        <v>10176.79</v>
      </c>
      <c r="E229" s="37" t="str">
        <f aca="false">INDEX(Desconto_Cliente_Mes!$K$2:$K$433,MATCH($A229&amp;"|"&amp;$B229&amp;"|"&amp;$C229,Desconto_Cliente_Mes!$W$2:$W$433,0))</f>
        <v>Sim</v>
      </c>
      <c r="F229" s="39" t="n">
        <f aca="false">SUMIFS(Desconto_Cliente_Mes!$U$2:$U$433,Desconto_Cliente_Mes!$A$2:$A$433,$A229,Desconto_Cliente_Mes!$B$2:$B$433,$B229,Desconto_Cliente_Mes!$C$2:$C$433,$C229)</f>
        <v>1490.60931783364</v>
      </c>
      <c r="G229" s="39" t="n">
        <f aca="false">SUMIFS(Desconto_Cliente_Mes!$U$2:$U$433,Desconto_Cliente_Mes!$B$2:$B$433,$B229,Desconto_Cliente_Mes!$C$2:$C$433,$C229,Desconto_Cliente_Mes!$K$2:$K$433,"Sim")</f>
        <v>45945.9604253753</v>
      </c>
      <c r="H229" s="37" t="n">
        <f aca="false">SUMIFS(Desconto_Cliente_Mes!$D$2:$D$433,Desconto_Cliente_Mes!$B$2:$B$433,$B229,Desconto_Cliente_Mes!$C$2:$C$433,$C229,Desconto_Cliente_Mes!$K$2:$K$433,"Nao",Desconto_Cliente_Mes!$D$2:$D$433,"&gt;0")</f>
        <v>238706.16</v>
      </c>
      <c r="I229" s="42" t="n">
        <f aca="false">IF(AND($E229="Nao",$D229&gt;0,$H229&gt;0),$D229/$H229,0)</f>
        <v>0</v>
      </c>
      <c r="J229" s="40" t="n">
        <f aca="false">$I229*$G229</f>
        <v>0</v>
      </c>
      <c r="K229" s="40" t="n">
        <f aca="false">$J229-$F229</f>
        <v>-1490.60931783364</v>
      </c>
      <c r="L229" s="27" t="str">
        <f aca="false">IF($D229=0,"Sem embarque",IF($K229&gt;0,"Recebe","Paga"))</f>
        <v>Paga</v>
      </c>
    </row>
    <row r="230" customFormat="false" ht="15" hidden="false" customHeight="false" outlineLevel="0" collapsed="false">
      <c r="A230" s="27" t="s">
        <v>45</v>
      </c>
      <c r="B230" s="27" t="s">
        <v>62</v>
      </c>
      <c r="C230" s="27" t="s">
        <v>109</v>
      </c>
      <c r="D230" s="34" t="n">
        <f aca="false">SUMIFS(Desconto_Cliente_Mes!$D$2:$D$433,Desconto_Cliente_Mes!$A$2:$A$433,$A230,Desconto_Cliente_Mes!$B$2:$B$433,$B230,Desconto_Cliente_Mes!$C$2:$C$433,$C230)</f>
        <v>0</v>
      </c>
      <c r="E230" s="37" t="str">
        <f aca="false">INDEX(Desconto_Cliente_Mes!$K$2:$K$433,MATCH($A230&amp;"|"&amp;$B230&amp;"|"&amp;$C230,Desconto_Cliente_Mes!$W$2:$W$433,0))</f>
        <v/>
      </c>
      <c r="F230" s="39" t="n">
        <f aca="false">SUMIFS(Desconto_Cliente_Mes!$U$2:$U$433,Desconto_Cliente_Mes!$A$2:$A$433,$A230,Desconto_Cliente_Mes!$B$2:$B$433,$B230,Desconto_Cliente_Mes!$C$2:$C$433,$C230)</f>
        <v>0</v>
      </c>
      <c r="G230" s="39" t="n">
        <f aca="false">SUMIFS(Desconto_Cliente_Mes!$U$2:$U$433,Desconto_Cliente_Mes!$B$2:$B$433,$B230,Desconto_Cliente_Mes!$C$2:$C$433,$C230,Desconto_Cliente_Mes!$K$2:$K$433,"Sim")</f>
        <v>82370.9873921197</v>
      </c>
      <c r="H230" s="37" t="n">
        <f aca="false">SUMIFS(Desconto_Cliente_Mes!$D$2:$D$433,Desconto_Cliente_Mes!$B$2:$B$433,$B230,Desconto_Cliente_Mes!$C$2:$C$433,$C230,Desconto_Cliente_Mes!$K$2:$K$433,"Nao",Desconto_Cliente_Mes!$D$2:$D$433,"&gt;0")</f>
        <v>113342.84</v>
      </c>
      <c r="I230" s="42" t="n">
        <f aca="false">IF(AND($E230="Nao",$D230&gt;0,$H230&gt;0),$D230/$H230,0)</f>
        <v>0</v>
      </c>
      <c r="J230" s="40" t="n">
        <f aca="false">$I230*$G230</f>
        <v>0</v>
      </c>
      <c r="K230" s="40" t="n">
        <f aca="false">$J230-$F230</f>
        <v>0</v>
      </c>
      <c r="L230" s="27" t="str">
        <f aca="false">IF($D230=0,"Sem embarque",IF($K230&gt;0,"Recebe","Paga"))</f>
        <v>Sem embarque</v>
      </c>
    </row>
    <row r="231" customFormat="false" ht="15" hidden="false" customHeight="false" outlineLevel="0" collapsed="false">
      <c r="A231" s="27" t="s">
        <v>45</v>
      </c>
      <c r="B231" s="27" t="s">
        <v>62</v>
      </c>
      <c r="C231" s="27" t="s">
        <v>110</v>
      </c>
      <c r="D231" s="34" t="n">
        <f aca="false">SUMIFS(Desconto_Cliente_Mes!$D$2:$D$433,Desconto_Cliente_Mes!$A$2:$A$433,$A231,Desconto_Cliente_Mes!$B$2:$B$433,$B231,Desconto_Cliente_Mes!$C$2:$C$433,$C231)</f>
        <v>0</v>
      </c>
      <c r="E231" s="37" t="str">
        <f aca="false">INDEX(Desconto_Cliente_Mes!$K$2:$K$433,MATCH($A231&amp;"|"&amp;$B231&amp;"|"&amp;$C231,Desconto_Cliente_Mes!$W$2:$W$433,0))</f>
        <v/>
      </c>
      <c r="F231" s="39" t="n">
        <f aca="false">SUMIFS(Desconto_Cliente_Mes!$U$2:$U$433,Desconto_Cliente_Mes!$A$2:$A$433,$A231,Desconto_Cliente_Mes!$B$2:$B$433,$B231,Desconto_Cliente_Mes!$C$2:$C$433,$C231)</f>
        <v>0</v>
      </c>
      <c r="G231" s="39" t="n">
        <f aca="false">SUMIFS(Desconto_Cliente_Mes!$U$2:$U$433,Desconto_Cliente_Mes!$B$2:$B$433,$B231,Desconto_Cliente_Mes!$C$2:$C$433,$C231,Desconto_Cliente_Mes!$K$2:$K$433,"Sim")</f>
        <v>18695.6934849998</v>
      </c>
      <c r="H231" s="37" t="n">
        <f aca="false">SUMIFS(Desconto_Cliente_Mes!$D$2:$D$433,Desconto_Cliente_Mes!$B$2:$B$433,$B231,Desconto_Cliente_Mes!$C$2:$C$433,$C231,Desconto_Cliente_Mes!$K$2:$K$433,"Nao",Desconto_Cliente_Mes!$D$2:$D$433,"&gt;0")</f>
        <v>209144.13</v>
      </c>
      <c r="I231" s="42" t="n">
        <f aca="false">IF(AND($E231="Nao",$D231&gt;0,$H231&gt;0),$D231/$H231,0)</f>
        <v>0</v>
      </c>
      <c r="J231" s="40" t="n">
        <f aca="false">$I231*$G231</f>
        <v>0</v>
      </c>
      <c r="K231" s="40" t="n">
        <f aca="false">$J231-$F231</f>
        <v>0</v>
      </c>
      <c r="L231" s="27" t="str">
        <f aca="false">IF($D231=0,"Sem embarque",IF($K231&gt;0,"Recebe","Paga"))</f>
        <v>Sem embarque</v>
      </c>
    </row>
    <row r="232" customFormat="false" ht="15" hidden="false" customHeight="false" outlineLevel="0" collapsed="false">
      <c r="A232" s="27" t="s">
        <v>45</v>
      </c>
      <c r="B232" s="27" t="s">
        <v>62</v>
      </c>
      <c r="C232" s="27" t="s">
        <v>111</v>
      </c>
      <c r="D232" s="34" t="n">
        <f aca="false">SUMIFS(Desconto_Cliente_Mes!$D$2:$D$433,Desconto_Cliente_Mes!$A$2:$A$433,$A232,Desconto_Cliente_Mes!$B$2:$B$433,$B232,Desconto_Cliente_Mes!$C$2:$C$433,$C232)</f>
        <v>0</v>
      </c>
      <c r="E232" s="37" t="str">
        <f aca="false">INDEX(Desconto_Cliente_Mes!$K$2:$K$433,MATCH($A232&amp;"|"&amp;$B232&amp;"|"&amp;$C232,Desconto_Cliente_Mes!$W$2:$W$433,0))</f>
        <v/>
      </c>
      <c r="F232" s="39" t="n">
        <f aca="false">SUMIFS(Desconto_Cliente_Mes!$U$2:$U$433,Desconto_Cliente_Mes!$A$2:$A$433,$A232,Desconto_Cliente_Mes!$B$2:$B$433,$B232,Desconto_Cliente_Mes!$C$2:$C$433,$C232)</f>
        <v>0</v>
      </c>
      <c r="G232" s="39" t="n">
        <f aca="false">SUMIFS(Desconto_Cliente_Mes!$U$2:$U$433,Desconto_Cliente_Mes!$B$2:$B$433,$B232,Desconto_Cliente_Mes!$C$2:$C$433,$C232,Desconto_Cliente_Mes!$K$2:$K$433,"Sim")</f>
        <v>34643.0933013345</v>
      </c>
      <c r="H232" s="37" t="n">
        <f aca="false">SUMIFS(Desconto_Cliente_Mes!$D$2:$D$433,Desconto_Cliente_Mes!$B$2:$B$433,$B232,Desconto_Cliente_Mes!$C$2:$C$433,$C232,Desconto_Cliente_Mes!$K$2:$K$433,"Nao",Desconto_Cliente_Mes!$D$2:$D$433,"&gt;0")</f>
        <v>157163.21</v>
      </c>
      <c r="I232" s="42" t="n">
        <f aca="false">IF(AND($E232="Nao",$D232&gt;0,$H232&gt;0),$D232/$H232,0)</f>
        <v>0</v>
      </c>
      <c r="J232" s="40" t="n">
        <f aca="false">$I232*$G232</f>
        <v>0</v>
      </c>
      <c r="K232" s="40" t="n">
        <f aca="false">$J232-$F232</f>
        <v>0</v>
      </c>
      <c r="L232" s="27" t="str">
        <f aca="false">IF($D232=0,"Sem embarque",IF($K232&gt;0,"Recebe","Paga"))</f>
        <v>Sem embarque</v>
      </c>
    </row>
    <row r="233" customFormat="false" ht="15" hidden="false" customHeight="false" outlineLevel="0" collapsed="false">
      <c r="A233" s="27" t="s">
        <v>45</v>
      </c>
      <c r="B233" s="27" t="s">
        <v>63</v>
      </c>
      <c r="C233" s="27" t="s">
        <v>109</v>
      </c>
      <c r="D233" s="34" t="n">
        <f aca="false">SUMIFS(Desconto_Cliente_Mes!$D$2:$D$433,Desconto_Cliente_Mes!$A$2:$A$433,$A233,Desconto_Cliente_Mes!$B$2:$B$433,$B233,Desconto_Cliente_Mes!$C$2:$C$433,$C233)</f>
        <v>33179.88</v>
      </c>
      <c r="E233" s="37" t="str">
        <f aca="false">INDEX(Desconto_Cliente_Mes!$K$2:$K$433,MATCH($A233&amp;"|"&amp;$B233&amp;"|"&amp;$C233,Desconto_Cliente_Mes!$W$2:$W$433,0))</f>
        <v>Sim</v>
      </c>
      <c r="F233" s="39" t="n">
        <f aca="false">SUMIFS(Desconto_Cliente_Mes!$U$2:$U$433,Desconto_Cliente_Mes!$A$2:$A$433,$A233,Desconto_Cliente_Mes!$B$2:$B$433,$B233,Desconto_Cliente_Mes!$C$2:$C$433,$C233)</f>
        <v>18496.2801789377</v>
      </c>
      <c r="G233" s="39" t="n">
        <f aca="false">SUMIFS(Desconto_Cliente_Mes!$U$2:$U$433,Desconto_Cliente_Mes!$B$2:$B$433,$B233,Desconto_Cliente_Mes!$C$2:$C$433,$C233,Desconto_Cliente_Mes!$K$2:$K$433,"Sim")</f>
        <v>47810.1541211094</v>
      </c>
      <c r="H233" s="37" t="n">
        <f aca="false">SUMIFS(Desconto_Cliente_Mes!$D$2:$D$433,Desconto_Cliente_Mes!$B$2:$B$433,$B233,Desconto_Cliente_Mes!$C$2:$C$433,$C233,Desconto_Cliente_Mes!$K$2:$K$433,"Nao",Desconto_Cliente_Mes!$D$2:$D$433,"&gt;0")</f>
        <v>127871.4</v>
      </c>
      <c r="I233" s="42" t="n">
        <f aca="false">IF(AND($E233="Nao",$D233&gt;0,$H233&gt;0),$D233/$H233,0)</f>
        <v>0</v>
      </c>
      <c r="J233" s="40" t="n">
        <f aca="false">$I233*$G233</f>
        <v>0</v>
      </c>
      <c r="K233" s="40" t="n">
        <f aca="false">$J233-$F233</f>
        <v>-18496.2801789377</v>
      </c>
      <c r="L233" s="27" t="str">
        <f aca="false">IF($D233=0,"Sem embarque",IF($K233&gt;0,"Recebe","Paga"))</f>
        <v>Paga</v>
      </c>
    </row>
    <row r="234" customFormat="false" ht="15" hidden="false" customHeight="false" outlineLevel="0" collapsed="false">
      <c r="A234" s="27" t="s">
        <v>45</v>
      </c>
      <c r="B234" s="27" t="s">
        <v>63</v>
      </c>
      <c r="C234" s="27" t="s">
        <v>110</v>
      </c>
      <c r="D234" s="34" t="n">
        <f aca="false">SUMIFS(Desconto_Cliente_Mes!$D$2:$D$433,Desconto_Cliente_Mes!$A$2:$A$433,$A234,Desconto_Cliente_Mes!$B$2:$B$433,$B234,Desconto_Cliente_Mes!$C$2:$C$433,$C234)</f>
        <v>33179.88</v>
      </c>
      <c r="E234" s="37" t="str">
        <f aca="false">INDEX(Desconto_Cliente_Mes!$K$2:$K$433,MATCH($A234&amp;"|"&amp;$B234&amp;"|"&amp;$C234,Desconto_Cliente_Mes!$W$2:$W$433,0))</f>
        <v>Sim</v>
      </c>
      <c r="F234" s="39" t="n">
        <f aca="false">SUMIFS(Desconto_Cliente_Mes!$U$2:$U$433,Desconto_Cliente_Mes!$A$2:$A$433,$A234,Desconto_Cliente_Mes!$B$2:$B$433,$B234,Desconto_Cliente_Mes!$C$2:$C$433,$C234)</f>
        <v>6988.40769384588</v>
      </c>
      <c r="G234" s="39" t="n">
        <f aca="false">SUMIFS(Desconto_Cliente_Mes!$U$2:$U$433,Desconto_Cliente_Mes!$B$2:$B$433,$B234,Desconto_Cliente_Mes!$C$2:$C$433,$C234,Desconto_Cliente_Mes!$K$2:$K$433,"Sim")</f>
        <v>147648.667120088</v>
      </c>
      <c r="H234" s="37" t="n">
        <f aca="false">SUMIFS(Desconto_Cliente_Mes!$D$2:$D$433,Desconto_Cliente_Mes!$B$2:$B$433,$B234,Desconto_Cliente_Mes!$C$2:$C$433,$C234,Desconto_Cliente_Mes!$K$2:$K$433,"Nao",Desconto_Cliente_Mes!$D$2:$D$433,"&gt;0")</f>
        <v>232651.12</v>
      </c>
      <c r="I234" s="42" t="n">
        <f aca="false">IF(AND($E234="Nao",$D234&gt;0,$H234&gt;0),$D234/$H234,0)</f>
        <v>0</v>
      </c>
      <c r="J234" s="40" t="n">
        <f aca="false">$I234*$G234</f>
        <v>0</v>
      </c>
      <c r="K234" s="40" t="n">
        <f aca="false">$J234-$F234</f>
        <v>-6988.40769384588</v>
      </c>
      <c r="L234" s="27" t="str">
        <f aca="false">IF($D234=0,"Sem embarque",IF($K234&gt;0,"Recebe","Paga"))</f>
        <v>Paga</v>
      </c>
    </row>
    <row r="235" customFormat="false" ht="15" hidden="false" customHeight="false" outlineLevel="0" collapsed="false">
      <c r="A235" s="27" t="s">
        <v>45</v>
      </c>
      <c r="B235" s="27" t="s">
        <v>63</v>
      </c>
      <c r="C235" s="27" t="s">
        <v>111</v>
      </c>
      <c r="D235" s="34" t="n">
        <f aca="false">SUMIFS(Desconto_Cliente_Mes!$D$2:$D$433,Desconto_Cliente_Mes!$A$2:$A$433,$A235,Desconto_Cliente_Mes!$B$2:$B$433,$B235,Desconto_Cliente_Mes!$C$2:$C$433,$C235)</f>
        <v>33179.88</v>
      </c>
      <c r="E235" s="37" t="str">
        <f aca="false">INDEX(Desconto_Cliente_Mes!$K$2:$K$433,MATCH($A235&amp;"|"&amp;$B235&amp;"|"&amp;$C235,Desconto_Cliente_Mes!$W$2:$W$433,0))</f>
        <v>Sim</v>
      </c>
      <c r="F235" s="39" t="n">
        <f aca="false">SUMIFS(Desconto_Cliente_Mes!$U$2:$U$433,Desconto_Cliente_Mes!$A$2:$A$433,$A235,Desconto_Cliente_Mes!$B$2:$B$433,$B235,Desconto_Cliente_Mes!$C$2:$C$433,$C235)</f>
        <v>3115.81699858937</v>
      </c>
      <c r="G235" s="39" t="n">
        <f aca="false">SUMIFS(Desconto_Cliente_Mes!$U$2:$U$433,Desconto_Cliente_Mes!$B$2:$B$433,$B235,Desconto_Cliente_Mes!$C$2:$C$433,$C235,Desconto_Cliente_Mes!$K$2:$K$433,"Sim")</f>
        <v>31621.0546248943</v>
      </c>
      <c r="H235" s="37" t="n">
        <f aca="false">SUMIFS(Desconto_Cliente_Mes!$D$2:$D$433,Desconto_Cliente_Mes!$B$2:$B$433,$B235,Desconto_Cliente_Mes!$C$2:$C$433,$C235,Desconto_Cliente_Mes!$K$2:$K$433,"Nao",Desconto_Cliente_Mes!$D$2:$D$433,"&gt;0")</f>
        <v>127871.4</v>
      </c>
      <c r="I235" s="42" t="n">
        <f aca="false">IF(AND($E235="Nao",$D235&gt;0,$H235&gt;0),$D235/$H235,0)</f>
        <v>0</v>
      </c>
      <c r="J235" s="40" t="n">
        <f aca="false">$I235*$G235</f>
        <v>0</v>
      </c>
      <c r="K235" s="40" t="n">
        <f aca="false">$J235-$F235</f>
        <v>-3115.81699858937</v>
      </c>
      <c r="L235" s="27" t="str">
        <f aca="false">IF($D235=0,"Sem embarque",IF($K235&gt;0,"Recebe","Paga"))</f>
        <v>Paga</v>
      </c>
    </row>
    <row r="236" customFormat="false" ht="15" hidden="false" customHeight="false" outlineLevel="0" collapsed="false">
      <c r="A236" s="27" t="s">
        <v>45</v>
      </c>
      <c r="B236" s="27" t="s">
        <v>64</v>
      </c>
      <c r="C236" s="27" t="s">
        <v>109</v>
      </c>
      <c r="D236" s="34" t="n">
        <f aca="false">SUMIFS(Desconto_Cliente_Mes!$D$2:$D$433,Desconto_Cliente_Mes!$A$2:$A$433,$A236,Desconto_Cliente_Mes!$B$2:$B$433,$B236,Desconto_Cliente_Mes!$C$2:$C$433,$C236)</f>
        <v>99472.54</v>
      </c>
      <c r="E236" s="37" t="str">
        <f aca="false">INDEX(Desconto_Cliente_Mes!$K$2:$K$433,MATCH($A236&amp;"|"&amp;$B236&amp;"|"&amp;$C236,Desconto_Cliente_Mes!$W$2:$W$433,0))</f>
        <v>Sim</v>
      </c>
      <c r="F236" s="39" t="n">
        <f aca="false">SUMIFS(Desconto_Cliente_Mes!$U$2:$U$433,Desconto_Cliente_Mes!$A$2:$A$433,$A236,Desconto_Cliente_Mes!$B$2:$B$433,$B236,Desconto_Cliente_Mes!$C$2:$C$433,$C236)</f>
        <v>42907.9830664752</v>
      </c>
      <c r="G236" s="39" t="n">
        <f aca="false">SUMIFS(Desconto_Cliente_Mes!$U$2:$U$433,Desconto_Cliente_Mes!$B$2:$B$433,$B236,Desconto_Cliente_Mes!$C$2:$C$433,$C236,Desconto_Cliente_Mes!$K$2:$K$433,"Sim")</f>
        <v>176913.022848898</v>
      </c>
      <c r="H236" s="37" t="n">
        <f aca="false">SUMIFS(Desconto_Cliente_Mes!$D$2:$D$433,Desconto_Cliente_Mes!$B$2:$B$433,$B236,Desconto_Cliente_Mes!$C$2:$C$433,$C236,Desconto_Cliente_Mes!$K$2:$K$433,"Nao",Desconto_Cliente_Mes!$D$2:$D$433,"&gt;0")</f>
        <v>227119.227</v>
      </c>
      <c r="I236" s="42" t="n">
        <f aca="false">IF(AND($E236="Nao",$D236&gt;0,$H236&gt;0),$D236/$H236,0)</f>
        <v>0</v>
      </c>
      <c r="J236" s="40" t="n">
        <f aca="false">$I236*$G236</f>
        <v>0</v>
      </c>
      <c r="K236" s="40" t="n">
        <f aca="false">$J236-$F236</f>
        <v>-42907.9830664752</v>
      </c>
      <c r="L236" s="27" t="str">
        <f aca="false">IF($D236=0,"Sem embarque",IF($K236&gt;0,"Recebe","Paga"))</f>
        <v>Paga</v>
      </c>
    </row>
    <row r="237" customFormat="false" ht="15" hidden="false" customHeight="false" outlineLevel="0" collapsed="false">
      <c r="A237" s="27" t="s">
        <v>45</v>
      </c>
      <c r="B237" s="27" t="s">
        <v>64</v>
      </c>
      <c r="C237" s="27" t="s">
        <v>110</v>
      </c>
      <c r="D237" s="34" t="n">
        <f aca="false">SUMIFS(Desconto_Cliente_Mes!$D$2:$D$433,Desconto_Cliente_Mes!$A$2:$A$433,$A237,Desconto_Cliente_Mes!$B$2:$B$433,$B237,Desconto_Cliente_Mes!$C$2:$C$433,$C237)</f>
        <v>99472.54</v>
      </c>
      <c r="E237" s="37" t="str">
        <f aca="false">INDEX(Desconto_Cliente_Mes!$K$2:$K$433,MATCH($A237&amp;"|"&amp;$B237&amp;"|"&amp;$C237,Desconto_Cliente_Mes!$W$2:$W$433,0))</f>
        <v>Nao</v>
      </c>
      <c r="F237" s="39" t="n">
        <f aca="false">SUMIFS(Desconto_Cliente_Mes!$U$2:$U$433,Desconto_Cliente_Mes!$A$2:$A$433,$A237,Desconto_Cliente_Mes!$B$2:$B$433,$B237,Desconto_Cliente_Mes!$C$2:$C$433,$C237)</f>
        <v>0</v>
      </c>
      <c r="G237" s="39" t="n">
        <f aca="false">SUMIFS(Desconto_Cliente_Mes!$U$2:$U$433,Desconto_Cliente_Mes!$B$2:$B$433,$B237,Desconto_Cliente_Mes!$C$2:$C$433,$C237,Desconto_Cliente_Mes!$K$2:$K$433,"Sim")</f>
        <v>78148.4030953999</v>
      </c>
      <c r="H237" s="37" t="n">
        <f aca="false">SUMIFS(Desconto_Cliente_Mes!$D$2:$D$433,Desconto_Cliente_Mes!$B$2:$B$433,$B237,Desconto_Cliente_Mes!$C$2:$C$433,$C237,Desconto_Cliente_Mes!$K$2:$K$433,"Nao",Desconto_Cliente_Mes!$D$2:$D$433,"&gt;0")</f>
        <v>367366.52</v>
      </c>
      <c r="I237" s="42" t="n">
        <f aca="false">IF(AND($E237="Nao",$D237&gt;0,$H237&gt;0),$D237/$H237,0)</f>
        <v>0.270771925541827</v>
      </c>
      <c r="J237" s="40" t="n">
        <f aca="false">$I237*$G237</f>
        <v>21160.3935841603</v>
      </c>
      <c r="K237" s="40" t="n">
        <f aca="false">$J237-$F237</f>
        <v>21160.3935841603</v>
      </c>
      <c r="L237" s="27" t="str">
        <f aca="false">IF($D237=0,"Sem embarque",IF($K237&gt;0,"Recebe","Paga"))</f>
        <v>Recebe</v>
      </c>
    </row>
    <row r="238" customFormat="false" ht="15" hidden="false" customHeight="false" outlineLevel="0" collapsed="false">
      <c r="A238" s="27" t="s">
        <v>45</v>
      </c>
      <c r="B238" s="27" t="s">
        <v>64</v>
      </c>
      <c r="C238" s="27" t="s">
        <v>111</v>
      </c>
      <c r="D238" s="34" t="n">
        <f aca="false">SUMIFS(Desconto_Cliente_Mes!$D$2:$D$433,Desconto_Cliente_Mes!$A$2:$A$433,$A238,Desconto_Cliente_Mes!$B$2:$B$433,$B238,Desconto_Cliente_Mes!$C$2:$C$433,$C238)</f>
        <v>99472.54</v>
      </c>
      <c r="E238" s="37" t="str">
        <f aca="false">INDEX(Desconto_Cliente_Mes!$K$2:$K$433,MATCH($A238&amp;"|"&amp;$B238&amp;"|"&amp;$C238,Desconto_Cliente_Mes!$W$2:$W$433,0))</f>
        <v>Sim</v>
      </c>
      <c r="F238" s="39" t="n">
        <f aca="false">SUMIFS(Desconto_Cliente_Mes!$U$2:$U$433,Desconto_Cliente_Mes!$A$2:$A$433,$A238,Desconto_Cliente_Mes!$B$2:$B$433,$B238,Desconto_Cliente_Mes!$C$2:$C$433,$C238)</f>
        <v>9352.09468200002</v>
      </c>
      <c r="G238" s="39" t="n">
        <f aca="false">SUMIFS(Desconto_Cliente_Mes!$U$2:$U$433,Desconto_Cliente_Mes!$B$2:$B$433,$B238,Desconto_Cliente_Mes!$C$2:$C$433,$C238,Desconto_Cliente_Mes!$K$2:$K$433,"Sim")</f>
        <v>53234.6338979999</v>
      </c>
      <c r="H238" s="37" t="n">
        <f aca="false">SUMIFS(Desconto_Cliente_Mes!$D$2:$D$433,Desconto_Cliente_Mes!$B$2:$B$433,$B238,Desconto_Cliente_Mes!$C$2:$C$433,$C238,Desconto_Cliente_Mes!$K$2:$K$433,"Nao",Desconto_Cliente_Mes!$D$2:$D$433,"&gt;0")</f>
        <v>250467.867</v>
      </c>
      <c r="I238" s="42" t="n">
        <f aca="false">IF(AND($E238="Nao",$D238&gt;0,$H238&gt;0),$D238/$H238,0)</f>
        <v>0</v>
      </c>
      <c r="J238" s="40" t="n">
        <f aca="false">$I238*$G238</f>
        <v>0</v>
      </c>
      <c r="K238" s="40" t="n">
        <f aca="false">$J238-$F238</f>
        <v>-9352.09468200002</v>
      </c>
      <c r="L238" s="27" t="str">
        <f aca="false">IF($D238=0,"Sem embarque",IF($K238&gt;0,"Recebe","Paga"))</f>
        <v>Paga</v>
      </c>
    </row>
    <row r="239" customFormat="false" ht="15" hidden="false" customHeight="false" outlineLevel="0" collapsed="false">
      <c r="A239" s="27" t="s">
        <v>45</v>
      </c>
      <c r="B239" s="27" t="s">
        <v>65</v>
      </c>
      <c r="C239" s="27" t="s">
        <v>109</v>
      </c>
      <c r="D239" s="34" t="n">
        <f aca="false">SUMIFS(Desconto_Cliente_Mes!$D$2:$D$433,Desconto_Cliente_Mes!$A$2:$A$433,$A239,Desconto_Cliente_Mes!$B$2:$B$433,$B239,Desconto_Cliente_Mes!$C$2:$C$433,$C239)</f>
        <v>78501.68</v>
      </c>
      <c r="E239" s="37" t="str">
        <f aca="false">INDEX(Desconto_Cliente_Mes!$K$2:$K$433,MATCH($A239&amp;"|"&amp;$B239&amp;"|"&amp;$C239,Desconto_Cliente_Mes!$W$2:$W$433,0))</f>
        <v>Sim</v>
      </c>
      <c r="F239" s="39" t="n">
        <f aca="false">SUMIFS(Desconto_Cliente_Mes!$U$2:$U$433,Desconto_Cliente_Mes!$A$2:$A$433,$A239,Desconto_Cliente_Mes!$B$2:$B$433,$B239,Desconto_Cliente_Mes!$C$2:$C$433,$C239)</f>
        <v>27319.5609689237</v>
      </c>
      <c r="G239" s="39" t="n">
        <f aca="false">SUMIFS(Desconto_Cliente_Mes!$U$2:$U$433,Desconto_Cliente_Mes!$B$2:$B$433,$B239,Desconto_Cliente_Mes!$C$2:$C$433,$C239,Desconto_Cliente_Mes!$K$2:$K$433,"Sim")</f>
        <v>264399.663796851</v>
      </c>
      <c r="H239" s="37" t="n">
        <f aca="false">SUMIFS(Desconto_Cliente_Mes!$D$2:$D$433,Desconto_Cliente_Mes!$B$2:$B$433,$B239,Desconto_Cliente_Mes!$C$2:$C$433,$C239,Desconto_Cliente_Mes!$K$2:$K$433,"Nao",Desconto_Cliente_Mes!$D$2:$D$433,"&gt;0")</f>
        <v>166556.65</v>
      </c>
      <c r="I239" s="42" t="n">
        <f aca="false">IF(AND($E239="Nao",$D239&gt;0,$H239&gt;0),$D239/$H239,0)</f>
        <v>0</v>
      </c>
      <c r="J239" s="40" t="n">
        <f aca="false">$I239*$G239</f>
        <v>0</v>
      </c>
      <c r="K239" s="40" t="n">
        <f aca="false">$J239-$F239</f>
        <v>-27319.5609689237</v>
      </c>
      <c r="L239" s="27" t="str">
        <f aca="false">IF($D239=0,"Sem embarque",IF($K239&gt;0,"Recebe","Paga"))</f>
        <v>Paga</v>
      </c>
    </row>
    <row r="240" customFormat="false" ht="15" hidden="false" customHeight="false" outlineLevel="0" collapsed="false">
      <c r="A240" s="27" t="s">
        <v>45</v>
      </c>
      <c r="B240" s="27" t="s">
        <v>65</v>
      </c>
      <c r="C240" s="27" t="s">
        <v>110</v>
      </c>
      <c r="D240" s="34" t="n">
        <f aca="false">SUMIFS(Desconto_Cliente_Mes!$D$2:$D$433,Desconto_Cliente_Mes!$A$2:$A$433,$A240,Desconto_Cliente_Mes!$B$2:$B$433,$B240,Desconto_Cliente_Mes!$C$2:$C$433,$C240)</f>
        <v>78501.68</v>
      </c>
      <c r="E240" s="37" t="str">
        <f aca="false">INDEX(Desconto_Cliente_Mes!$K$2:$K$433,MATCH($A240&amp;"|"&amp;$B240&amp;"|"&amp;$C240,Desconto_Cliente_Mes!$W$2:$W$433,0))</f>
        <v>Nao</v>
      </c>
      <c r="F240" s="39" t="n">
        <f aca="false">SUMIFS(Desconto_Cliente_Mes!$U$2:$U$433,Desconto_Cliente_Mes!$A$2:$A$433,$A240,Desconto_Cliente_Mes!$B$2:$B$433,$B240,Desconto_Cliente_Mes!$C$2:$C$433,$C240)</f>
        <v>0</v>
      </c>
      <c r="G240" s="39" t="n">
        <f aca="false">SUMIFS(Desconto_Cliente_Mes!$U$2:$U$433,Desconto_Cliente_Mes!$B$2:$B$433,$B240,Desconto_Cliente_Mes!$C$2:$C$433,$C240,Desconto_Cliente_Mes!$K$2:$K$433,"Sim")</f>
        <v>54942.617336</v>
      </c>
      <c r="H240" s="37" t="n">
        <f aca="false">SUMIFS(Desconto_Cliente_Mes!$D$2:$D$433,Desconto_Cliente_Mes!$B$2:$B$433,$B240,Desconto_Cliente_Mes!$C$2:$C$433,$C240,Desconto_Cliente_Mes!$K$2:$K$433,"Nao",Desconto_Cliente_Mes!$D$2:$D$433,"&gt;0")</f>
        <v>378160.7</v>
      </c>
      <c r="I240" s="42" t="n">
        <f aca="false">IF(AND($E240="Nao",$D240&gt;0,$H240&gt;0),$D240/$H240,0)</f>
        <v>0.207588149694032</v>
      </c>
      <c r="J240" s="40" t="n">
        <f aca="false">$I240*$G240</f>
        <v>11405.4362721275</v>
      </c>
      <c r="K240" s="40" t="n">
        <f aca="false">$J240-$F240</f>
        <v>11405.4362721275</v>
      </c>
      <c r="L240" s="27" t="str">
        <f aca="false">IF($D240=0,"Sem embarque",IF($K240&gt;0,"Recebe","Paga"))</f>
        <v>Recebe</v>
      </c>
    </row>
    <row r="241" customFormat="false" ht="15" hidden="false" customHeight="false" outlineLevel="0" collapsed="false">
      <c r="A241" s="27" t="s">
        <v>45</v>
      </c>
      <c r="B241" s="27" t="s">
        <v>65</v>
      </c>
      <c r="C241" s="27" t="s">
        <v>111</v>
      </c>
      <c r="D241" s="34" t="n">
        <f aca="false">SUMIFS(Desconto_Cliente_Mes!$D$2:$D$433,Desconto_Cliente_Mes!$A$2:$A$433,$A241,Desconto_Cliente_Mes!$B$2:$B$433,$B241,Desconto_Cliente_Mes!$C$2:$C$433,$C241)</f>
        <v>78501.68</v>
      </c>
      <c r="E241" s="37" t="str">
        <f aca="false">INDEX(Desconto_Cliente_Mes!$K$2:$K$433,MATCH($A241&amp;"|"&amp;$B241&amp;"|"&amp;$C241,Desconto_Cliente_Mes!$W$2:$W$433,0))</f>
        <v>Sim</v>
      </c>
      <c r="F241" s="39" t="n">
        <f aca="false">SUMIFS(Desconto_Cliente_Mes!$U$2:$U$433,Desconto_Cliente_Mes!$A$2:$A$433,$A241,Desconto_Cliente_Mes!$B$2:$B$433,$B241,Desconto_Cliente_Mes!$C$2:$C$433,$C241)</f>
        <v>10865.0233947054</v>
      </c>
      <c r="G241" s="39" t="n">
        <f aca="false">SUMIFS(Desconto_Cliente_Mes!$U$2:$U$433,Desconto_Cliente_Mes!$B$2:$B$433,$B241,Desconto_Cliente_Mes!$C$2:$C$433,$C241,Desconto_Cliente_Mes!$K$2:$K$433,"Sim")</f>
        <v>131995.749729693</v>
      </c>
      <c r="H241" s="37" t="n">
        <f aca="false">SUMIFS(Desconto_Cliente_Mes!$D$2:$D$433,Desconto_Cliente_Mes!$B$2:$B$433,$B241,Desconto_Cliente_Mes!$C$2:$C$433,$C241,Desconto_Cliente_Mes!$K$2:$K$433,"Nao",Desconto_Cliente_Mes!$D$2:$D$433,"&gt;0")</f>
        <v>132693.79</v>
      </c>
      <c r="I241" s="42" t="n">
        <f aca="false">IF(AND($E241="Nao",$D241&gt;0,$H241&gt;0),$D241/$H241,0)</f>
        <v>0</v>
      </c>
      <c r="J241" s="40" t="n">
        <f aca="false">$I241*$G241</f>
        <v>0</v>
      </c>
      <c r="K241" s="40" t="n">
        <f aca="false">$J241-$F241</f>
        <v>-10865.0233947054</v>
      </c>
      <c r="L241" s="27" t="str">
        <f aca="false">IF($D241=0,"Sem embarque",IF($K241&gt;0,"Recebe","Paga"))</f>
        <v>Paga</v>
      </c>
    </row>
    <row r="242" customFormat="false" ht="15" hidden="false" customHeight="false" outlineLevel="0" collapsed="false">
      <c r="A242" s="27" t="s">
        <v>45</v>
      </c>
      <c r="B242" s="27" t="s">
        <v>66</v>
      </c>
      <c r="C242" s="27" t="s">
        <v>109</v>
      </c>
      <c r="D242" s="34" t="n">
        <f aca="false">SUMIFS(Desconto_Cliente_Mes!$D$2:$D$433,Desconto_Cliente_Mes!$A$2:$A$433,$A242,Desconto_Cliente_Mes!$B$2:$B$433,$B242,Desconto_Cliente_Mes!$C$2:$C$433,$C242)</f>
        <v>19994.68</v>
      </c>
      <c r="E242" s="37" t="str">
        <f aca="false">INDEX(Desconto_Cliente_Mes!$K$2:$K$433,MATCH($A242&amp;"|"&amp;$B242&amp;"|"&amp;$C242,Desconto_Cliente_Mes!$W$2:$W$433,0))</f>
        <v>Sim</v>
      </c>
      <c r="F242" s="39" t="n">
        <f aca="false">SUMIFS(Desconto_Cliente_Mes!$U$2:$U$433,Desconto_Cliente_Mes!$A$2:$A$433,$A242,Desconto_Cliente_Mes!$B$2:$B$433,$B242,Desconto_Cliente_Mes!$C$2:$C$433,$C242)</f>
        <v>18676.2737784668</v>
      </c>
      <c r="G242" s="39" t="n">
        <f aca="false">SUMIFS(Desconto_Cliente_Mes!$U$2:$U$433,Desconto_Cliente_Mes!$B$2:$B$433,$B242,Desconto_Cliente_Mes!$C$2:$C$433,$C242,Desconto_Cliente_Mes!$K$2:$K$433,"Sim")</f>
        <v>26408.1404587724</v>
      </c>
      <c r="H242" s="37" t="n">
        <f aca="false">SUMIFS(Desconto_Cliente_Mes!$D$2:$D$433,Desconto_Cliente_Mes!$B$2:$B$433,$B242,Desconto_Cliente_Mes!$C$2:$C$433,$C242,Desconto_Cliente_Mes!$K$2:$K$433,"Nao",Desconto_Cliente_Mes!$D$2:$D$433,"&gt;0")</f>
        <v>25249.51</v>
      </c>
      <c r="I242" s="42" t="n">
        <f aca="false">IF(AND($E242="Nao",$D242&gt;0,$H242&gt;0),$D242/$H242,0)</f>
        <v>0</v>
      </c>
      <c r="J242" s="40" t="n">
        <f aca="false">$I242*$G242</f>
        <v>0</v>
      </c>
      <c r="K242" s="40" t="n">
        <f aca="false">$J242-$F242</f>
        <v>-18676.2737784668</v>
      </c>
      <c r="L242" s="27" t="str">
        <f aca="false">IF($D242=0,"Sem embarque",IF($K242&gt;0,"Recebe","Paga"))</f>
        <v>Paga</v>
      </c>
    </row>
    <row r="243" customFormat="false" ht="15" hidden="false" customHeight="false" outlineLevel="0" collapsed="false">
      <c r="A243" s="27" t="s">
        <v>45</v>
      </c>
      <c r="B243" s="27" t="s">
        <v>66</v>
      </c>
      <c r="C243" s="27" t="s">
        <v>110</v>
      </c>
      <c r="D243" s="34" t="n">
        <f aca="false">SUMIFS(Desconto_Cliente_Mes!$D$2:$D$433,Desconto_Cliente_Mes!$A$2:$A$433,$A243,Desconto_Cliente_Mes!$B$2:$B$433,$B243,Desconto_Cliente_Mes!$C$2:$C$433,$C243)</f>
        <v>19994.68</v>
      </c>
      <c r="E243" s="37" t="str">
        <f aca="false">INDEX(Desconto_Cliente_Mes!$K$2:$K$433,MATCH($A243&amp;"|"&amp;$B243&amp;"|"&amp;$C243,Desconto_Cliente_Mes!$W$2:$W$433,0))</f>
        <v>Nao</v>
      </c>
      <c r="F243" s="39" t="n">
        <f aca="false">SUMIFS(Desconto_Cliente_Mes!$U$2:$U$433,Desconto_Cliente_Mes!$A$2:$A$433,$A243,Desconto_Cliente_Mes!$B$2:$B$433,$B243,Desconto_Cliente_Mes!$C$2:$C$433,$C243)</f>
        <v>0</v>
      </c>
      <c r="G243" s="39" t="n">
        <f aca="false">SUMIFS(Desconto_Cliente_Mes!$U$2:$U$433,Desconto_Cliente_Mes!$B$2:$B$433,$B243,Desconto_Cliente_Mes!$C$2:$C$433,$C243,Desconto_Cliente_Mes!$K$2:$K$433,"Sim")</f>
        <v>20574.688366</v>
      </c>
      <c r="H243" s="37" t="n">
        <f aca="false">SUMIFS(Desconto_Cliente_Mes!$D$2:$D$433,Desconto_Cliente_Mes!$B$2:$B$433,$B243,Desconto_Cliente_Mes!$C$2:$C$433,$C243,Desconto_Cliente_Mes!$K$2:$K$433,"Nao",Desconto_Cliente_Mes!$D$2:$D$433,"&gt;0")</f>
        <v>36785.35</v>
      </c>
      <c r="I243" s="42" t="n">
        <f aca="false">IF(AND($E243="Nao",$D243&gt;0,$H243&gt;0),$D243/$H243,0)</f>
        <v>0.543550081758091</v>
      </c>
      <c r="J243" s="40" t="n">
        <f aca="false">$I243*$G243</f>
        <v>11183.3735434865</v>
      </c>
      <c r="K243" s="40" t="n">
        <f aca="false">$J243-$F243</f>
        <v>11183.3735434865</v>
      </c>
      <c r="L243" s="27" t="str">
        <f aca="false">IF($D243=0,"Sem embarque",IF($K243&gt;0,"Recebe","Paga"))</f>
        <v>Recebe</v>
      </c>
    </row>
    <row r="244" customFormat="false" ht="15" hidden="false" customHeight="false" outlineLevel="0" collapsed="false">
      <c r="A244" s="27" t="s">
        <v>45</v>
      </c>
      <c r="B244" s="27" t="s">
        <v>66</v>
      </c>
      <c r="C244" s="27" t="s">
        <v>111</v>
      </c>
      <c r="D244" s="34" t="n">
        <f aca="false">SUMIFS(Desconto_Cliente_Mes!$D$2:$D$433,Desconto_Cliente_Mes!$A$2:$A$433,$A244,Desconto_Cliente_Mes!$B$2:$B$433,$B244,Desconto_Cliente_Mes!$C$2:$C$433,$C244)</f>
        <v>19994.68</v>
      </c>
      <c r="E244" s="37" t="str">
        <f aca="false">INDEX(Desconto_Cliente_Mes!$K$2:$K$433,MATCH($A244&amp;"|"&amp;$B244&amp;"|"&amp;$C244,Desconto_Cliente_Mes!$W$2:$W$433,0))</f>
        <v>Sim</v>
      </c>
      <c r="F244" s="39" t="n">
        <f aca="false">SUMIFS(Desconto_Cliente_Mes!$U$2:$U$433,Desconto_Cliente_Mes!$A$2:$A$433,$A244,Desconto_Cliente_Mes!$B$2:$B$433,$B244,Desconto_Cliente_Mes!$C$2:$C$433,$C244)</f>
        <v>8675.53176056206</v>
      </c>
      <c r="G244" s="39" t="n">
        <f aca="false">SUMIFS(Desconto_Cliente_Mes!$U$2:$U$433,Desconto_Cliente_Mes!$B$2:$B$433,$B244,Desconto_Cliente_Mes!$C$2:$C$433,$C244,Desconto_Cliente_Mes!$K$2:$K$433,"Sim")</f>
        <v>12224.7687289319</v>
      </c>
      <c r="H244" s="37" t="n">
        <f aca="false">SUMIFS(Desconto_Cliente_Mes!$D$2:$D$433,Desconto_Cliente_Mes!$B$2:$B$433,$B244,Desconto_Cliente_Mes!$C$2:$C$433,$C244,Desconto_Cliente_Mes!$K$2:$K$433,"Nao",Desconto_Cliente_Mes!$D$2:$D$433,"&gt;0")</f>
        <v>41847.52</v>
      </c>
      <c r="I244" s="42" t="n">
        <f aca="false">IF(AND($E244="Nao",$D244&gt;0,$H244&gt;0),$D244/$H244,0)</f>
        <v>0</v>
      </c>
      <c r="J244" s="40" t="n">
        <f aca="false">$I244*$G244</f>
        <v>0</v>
      </c>
      <c r="K244" s="40" t="n">
        <f aca="false">$J244-$F244</f>
        <v>-8675.53176056206</v>
      </c>
      <c r="L244" s="27" t="str">
        <f aca="false">IF($D244=0,"Sem embarque",IF($K244&gt;0,"Recebe","Paga"))</f>
        <v>Paga</v>
      </c>
    </row>
    <row r="245" customFormat="false" ht="15" hidden="false" customHeight="false" outlineLevel="0" collapsed="false">
      <c r="A245" s="27" t="s">
        <v>45</v>
      </c>
      <c r="B245" s="27" t="s">
        <v>67</v>
      </c>
      <c r="C245" s="27" t="s">
        <v>109</v>
      </c>
      <c r="D245" s="34" t="n">
        <f aca="false">SUMIFS(Desconto_Cliente_Mes!$D$2:$D$433,Desconto_Cliente_Mes!$A$2:$A$433,$A245,Desconto_Cliente_Mes!$B$2:$B$433,$B245,Desconto_Cliente_Mes!$C$2:$C$433,$C245)</f>
        <v>0</v>
      </c>
      <c r="E245" s="37" t="str">
        <f aca="false">INDEX(Desconto_Cliente_Mes!$K$2:$K$433,MATCH($A245&amp;"|"&amp;$B245&amp;"|"&amp;$C245,Desconto_Cliente_Mes!$W$2:$W$433,0))</f>
        <v/>
      </c>
      <c r="F245" s="39" t="n">
        <f aca="false">SUMIFS(Desconto_Cliente_Mes!$U$2:$U$433,Desconto_Cliente_Mes!$A$2:$A$433,$A245,Desconto_Cliente_Mes!$B$2:$B$433,$B245,Desconto_Cliente_Mes!$C$2:$C$433,$C245)</f>
        <v>0</v>
      </c>
      <c r="G245" s="39" t="n">
        <f aca="false">SUMIFS(Desconto_Cliente_Mes!$U$2:$U$433,Desconto_Cliente_Mes!$B$2:$B$433,$B245,Desconto_Cliente_Mes!$C$2:$C$433,$C245,Desconto_Cliente_Mes!$K$2:$K$433,"Sim")</f>
        <v>0</v>
      </c>
      <c r="H245" s="37" t="n">
        <f aca="false">SUMIFS(Desconto_Cliente_Mes!$D$2:$D$433,Desconto_Cliente_Mes!$B$2:$B$433,$B245,Desconto_Cliente_Mes!$C$2:$C$433,$C245,Desconto_Cliente_Mes!$K$2:$K$433,"Nao",Desconto_Cliente_Mes!$D$2:$D$433,"&gt;0")</f>
        <v>0</v>
      </c>
      <c r="I245" s="42" t="n">
        <f aca="false">IF(AND($E245="Nao",$D245&gt;0,$H245&gt;0),$D245/$H245,0)</f>
        <v>0</v>
      </c>
      <c r="J245" s="40" t="n">
        <f aca="false">$I245*$G245</f>
        <v>0</v>
      </c>
      <c r="K245" s="40" t="n">
        <f aca="false">$J245-$F245</f>
        <v>0</v>
      </c>
      <c r="L245" s="27" t="str">
        <f aca="false">IF($D245=0,"Sem embarque",IF($K245&gt;0,"Recebe","Paga"))</f>
        <v>Sem embarque</v>
      </c>
    </row>
    <row r="246" customFormat="false" ht="15" hidden="false" customHeight="false" outlineLevel="0" collapsed="false">
      <c r="A246" s="27" t="s">
        <v>45</v>
      </c>
      <c r="B246" s="27" t="s">
        <v>67</v>
      </c>
      <c r="C246" s="27" t="s">
        <v>110</v>
      </c>
      <c r="D246" s="34" t="n">
        <f aca="false">SUMIFS(Desconto_Cliente_Mes!$D$2:$D$433,Desconto_Cliente_Mes!$A$2:$A$433,$A246,Desconto_Cliente_Mes!$B$2:$B$433,$B246,Desconto_Cliente_Mes!$C$2:$C$433,$C246)</f>
        <v>0</v>
      </c>
      <c r="E246" s="37" t="str">
        <f aca="false">INDEX(Desconto_Cliente_Mes!$K$2:$K$433,MATCH($A246&amp;"|"&amp;$B246&amp;"|"&amp;$C246,Desconto_Cliente_Mes!$W$2:$W$433,0))</f>
        <v/>
      </c>
      <c r="F246" s="39" t="n">
        <f aca="false">SUMIFS(Desconto_Cliente_Mes!$U$2:$U$433,Desconto_Cliente_Mes!$A$2:$A$433,$A246,Desconto_Cliente_Mes!$B$2:$B$433,$B246,Desconto_Cliente_Mes!$C$2:$C$433,$C246)</f>
        <v>0</v>
      </c>
      <c r="G246" s="39" t="n">
        <f aca="false">SUMIFS(Desconto_Cliente_Mes!$U$2:$U$433,Desconto_Cliente_Mes!$B$2:$B$433,$B246,Desconto_Cliente_Mes!$C$2:$C$433,$C246,Desconto_Cliente_Mes!$K$2:$K$433,"Sim")</f>
        <v>0</v>
      </c>
      <c r="H246" s="37" t="n">
        <f aca="false">SUMIFS(Desconto_Cliente_Mes!$D$2:$D$433,Desconto_Cliente_Mes!$B$2:$B$433,$B246,Desconto_Cliente_Mes!$C$2:$C$433,$C246,Desconto_Cliente_Mes!$K$2:$K$433,"Nao",Desconto_Cliente_Mes!$D$2:$D$433,"&gt;0")</f>
        <v>0</v>
      </c>
      <c r="I246" s="42" t="n">
        <f aca="false">IF(AND($E246="Nao",$D246&gt;0,$H246&gt;0),$D246/$H246,0)</f>
        <v>0</v>
      </c>
      <c r="J246" s="40" t="n">
        <f aca="false">$I246*$G246</f>
        <v>0</v>
      </c>
      <c r="K246" s="40" t="n">
        <f aca="false">$J246-$F246</f>
        <v>0</v>
      </c>
      <c r="L246" s="27" t="str">
        <f aca="false">IF($D246=0,"Sem embarque",IF($K246&gt;0,"Recebe","Paga"))</f>
        <v>Sem embarque</v>
      </c>
    </row>
    <row r="247" customFormat="false" ht="15" hidden="false" customHeight="false" outlineLevel="0" collapsed="false">
      <c r="A247" s="27" t="s">
        <v>45</v>
      </c>
      <c r="B247" s="27" t="s">
        <v>67</v>
      </c>
      <c r="C247" s="27" t="s">
        <v>111</v>
      </c>
      <c r="D247" s="34" t="n">
        <f aca="false">SUMIFS(Desconto_Cliente_Mes!$D$2:$D$433,Desconto_Cliente_Mes!$A$2:$A$433,$A247,Desconto_Cliente_Mes!$B$2:$B$433,$B247,Desconto_Cliente_Mes!$C$2:$C$433,$C247)</f>
        <v>0</v>
      </c>
      <c r="E247" s="37" t="str">
        <f aca="false">INDEX(Desconto_Cliente_Mes!$K$2:$K$433,MATCH($A247&amp;"|"&amp;$B247&amp;"|"&amp;$C247,Desconto_Cliente_Mes!$W$2:$W$433,0))</f>
        <v/>
      </c>
      <c r="F247" s="39" t="n">
        <f aca="false">SUMIFS(Desconto_Cliente_Mes!$U$2:$U$433,Desconto_Cliente_Mes!$A$2:$A$433,$A247,Desconto_Cliente_Mes!$B$2:$B$433,$B247,Desconto_Cliente_Mes!$C$2:$C$433,$C247)</f>
        <v>0</v>
      </c>
      <c r="G247" s="39" t="n">
        <f aca="false">SUMIFS(Desconto_Cliente_Mes!$U$2:$U$433,Desconto_Cliente_Mes!$B$2:$B$433,$B247,Desconto_Cliente_Mes!$C$2:$C$433,$C247,Desconto_Cliente_Mes!$K$2:$K$433,"Sim")</f>
        <v>0</v>
      </c>
      <c r="H247" s="37" t="n">
        <f aca="false">SUMIFS(Desconto_Cliente_Mes!$D$2:$D$433,Desconto_Cliente_Mes!$B$2:$B$433,$B247,Desconto_Cliente_Mes!$C$2:$C$433,$C247,Desconto_Cliente_Mes!$K$2:$K$433,"Nao",Desconto_Cliente_Mes!$D$2:$D$433,"&gt;0")</f>
        <v>0</v>
      </c>
      <c r="I247" s="42" t="n">
        <f aca="false">IF(AND($E247="Nao",$D247&gt;0,$H247&gt;0),$D247/$H247,0)</f>
        <v>0</v>
      </c>
      <c r="J247" s="40" t="n">
        <f aca="false">$I247*$G247</f>
        <v>0</v>
      </c>
      <c r="K247" s="40" t="n">
        <f aca="false">$J247-$F247</f>
        <v>0</v>
      </c>
      <c r="L247" s="27" t="str">
        <f aca="false">IF($D247=0,"Sem embarque",IF($K247&gt;0,"Recebe","Paga"))</f>
        <v>Sem embarque</v>
      </c>
    </row>
    <row r="248" customFormat="false" ht="15" hidden="false" customHeight="false" outlineLevel="0" collapsed="false">
      <c r="A248" s="27" t="s">
        <v>45</v>
      </c>
      <c r="B248" s="27" t="s">
        <v>68</v>
      </c>
      <c r="C248" s="27" t="s">
        <v>109</v>
      </c>
      <c r="D248" s="34" t="n">
        <f aca="false">SUMIFS(Desconto_Cliente_Mes!$D$2:$D$433,Desconto_Cliente_Mes!$A$2:$A$433,$A248,Desconto_Cliente_Mes!$B$2:$B$433,$B248,Desconto_Cliente_Mes!$C$2:$C$433,$C248)</f>
        <v>0</v>
      </c>
      <c r="E248" s="37" t="str">
        <f aca="false">INDEX(Desconto_Cliente_Mes!$K$2:$K$433,MATCH($A248&amp;"|"&amp;$B248&amp;"|"&amp;$C248,Desconto_Cliente_Mes!$W$2:$W$433,0))</f>
        <v/>
      </c>
      <c r="F248" s="39" t="n">
        <f aca="false">SUMIFS(Desconto_Cliente_Mes!$U$2:$U$433,Desconto_Cliente_Mes!$A$2:$A$433,$A248,Desconto_Cliente_Mes!$B$2:$B$433,$B248,Desconto_Cliente_Mes!$C$2:$C$433,$C248)</f>
        <v>0</v>
      </c>
      <c r="G248" s="39" t="n">
        <f aca="false">SUMIFS(Desconto_Cliente_Mes!$U$2:$U$433,Desconto_Cliente_Mes!$B$2:$B$433,$B248,Desconto_Cliente_Mes!$C$2:$C$433,$C248,Desconto_Cliente_Mes!$K$2:$K$433,"Sim")</f>
        <v>0</v>
      </c>
      <c r="H248" s="37" t="n">
        <f aca="false">SUMIFS(Desconto_Cliente_Mes!$D$2:$D$433,Desconto_Cliente_Mes!$B$2:$B$433,$B248,Desconto_Cliente_Mes!$C$2:$C$433,$C248,Desconto_Cliente_Mes!$K$2:$K$433,"Nao",Desconto_Cliente_Mes!$D$2:$D$433,"&gt;0")</f>
        <v>0</v>
      </c>
      <c r="I248" s="42" t="n">
        <f aca="false">IF(AND($E248="Nao",$D248&gt;0,$H248&gt;0),$D248/$H248,0)</f>
        <v>0</v>
      </c>
      <c r="J248" s="40" t="n">
        <f aca="false">$I248*$G248</f>
        <v>0</v>
      </c>
      <c r="K248" s="40" t="n">
        <f aca="false">$J248-$F248</f>
        <v>0</v>
      </c>
      <c r="L248" s="27" t="str">
        <f aca="false">IF($D248=0,"Sem embarque",IF($K248&gt;0,"Recebe","Paga"))</f>
        <v>Sem embarque</v>
      </c>
    </row>
    <row r="249" customFormat="false" ht="15" hidden="false" customHeight="false" outlineLevel="0" collapsed="false">
      <c r="A249" s="27" t="s">
        <v>45</v>
      </c>
      <c r="B249" s="27" t="s">
        <v>68</v>
      </c>
      <c r="C249" s="27" t="s">
        <v>110</v>
      </c>
      <c r="D249" s="34" t="n">
        <f aca="false">SUMIFS(Desconto_Cliente_Mes!$D$2:$D$433,Desconto_Cliente_Mes!$A$2:$A$433,$A249,Desconto_Cliente_Mes!$B$2:$B$433,$B249,Desconto_Cliente_Mes!$C$2:$C$433,$C249)</f>
        <v>0</v>
      </c>
      <c r="E249" s="37" t="str">
        <f aca="false">INDEX(Desconto_Cliente_Mes!$K$2:$K$433,MATCH($A249&amp;"|"&amp;$B249&amp;"|"&amp;$C249,Desconto_Cliente_Mes!$W$2:$W$433,0))</f>
        <v/>
      </c>
      <c r="F249" s="39" t="n">
        <f aca="false">SUMIFS(Desconto_Cliente_Mes!$U$2:$U$433,Desconto_Cliente_Mes!$A$2:$A$433,$A249,Desconto_Cliente_Mes!$B$2:$B$433,$B249,Desconto_Cliente_Mes!$C$2:$C$433,$C249)</f>
        <v>0</v>
      </c>
      <c r="G249" s="39" t="n">
        <f aca="false">SUMIFS(Desconto_Cliente_Mes!$U$2:$U$433,Desconto_Cliente_Mes!$B$2:$B$433,$B249,Desconto_Cliente_Mes!$C$2:$C$433,$C249,Desconto_Cliente_Mes!$K$2:$K$433,"Sim")</f>
        <v>0</v>
      </c>
      <c r="H249" s="37" t="n">
        <f aca="false">SUMIFS(Desconto_Cliente_Mes!$D$2:$D$433,Desconto_Cliente_Mes!$B$2:$B$433,$B249,Desconto_Cliente_Mes!$C$2:$C$433,$C249,Desconto_Cliente_Mes!$K$2:$K$433,"Nao",Desconto_Cliente_Mes!$D$2:$D$433,"&gt;0")</f>
        <v>0</v>
      </c>
      <c r="I249" s="42" t="n">
        <f aca="false">IF(AND($E249="Nao",$D249&gt;0,$H249&gt;0),$D249/$H249,0)</f>
        <v>0</v>
      </c>
      <c r="J249" s="40" t="n">
        <f aca="false">$I249*$G249</f>
        <v>0</v>
      </c>
      <c r="K249" s="40" t="n">
        <f aca="false">$J249-$F249</f>
        <v>0</v>
      </c>
      <c r="L249" s="27" t="str">
        <f aca="false">IF($D249=0,"Sem embarque",IF($K249&gt;0,"Recebe","Paga"))</f>
        <v>Sem embarque</v>
      </c>
    </row>
    <row r="250" customFormat="false" ht="15" hidden="false" customHeight="false" outlineLevel="0" collapsed="false">
      <c r="A250" s="27" t="s">
        <v>45</v>
      </c>
      <c r="B250" s="27" t="s">
        <v>68</v>
      </c>
      <c r="C250" s="27" t="s">
        <v>111</v>
      </c>
      <c r="D250" s="34" t="n">
        <f aca="false">SUMIFS(Desconto_Cliente_Mes!$D$2:$D$433,Desconto_Cliente_Mes!$A$2:$A$433,$A250,Desconto_Cliente_Mes!$B$2:$B$433,$B250,Desconto_Cliente_Mes!$C$2:$C$433,$C250)</f>
        <v>0</v>
      </c>
      <c r="E250" s="37" t="str">
        <f aca="false">INDEX(Desconto_Cliente_Mes!$K$2:$K$433,MATCH($A250&amp;"|"&amp;$B250&amp;"|"&amp;$C250,Desconto_Cliente_Mes!$W$2:$W$433,0))</f>
        <v/>
      </c>
      <c r="F250" s="39" t="n">
        <f aca="false">SUMIFS(Desconto_Cliente_Mes!$U$2:$U$433,Desconto_Cliente_Mes!$A$2:$A$433,$A250,Desconto_Cliente_Mes!$B$2:$B$433,$B250,Desconto_Cliente_Mes!$C$2:$C$433,$C250)</f>
        <v>0</v>
      </c>
      <c r="G250" s="39" t="n">
        <f aca="false">SUMIFS(Desconto_Cliente_Mes!$U$2:$U$433,Desconto_Cliente_Mes!$B$2:$B$433,$B250,Desconto_Cliente_Mes!$C$2:$C$433,$C250,Desconto_Cliente_Mes!$K$2:$K$433,"Sim")</f>
        <v>0</v>
      </c>
      <c r="H250" s="37" t="n">
        <f aca="false">SUMIFS(Desconto_Cliente_Mes!$D$2:$D$433,Desconto_Cliente_Mes!$B$2:$B$433,$B250,Desconto_Cliente_Mes!$C$2:$C$433,$C250,Desconto_Cliente_Mes!$K$2:$K$433,"Nao",Desconto_Cliente_Mes!$D$2:$D$433,"&gt;0")</f>
        <v>0</v>
      </c>
      <c r="I250" s="42" t="n">
        <f aca="false">IF(AND($E250="Nao",$D250&gt;0,$H250&gt;0),$D250/$H250,0)</f>
        <v>0</v>
      </c>
      <c r="J250" s="40" t="n">
        <f aca="false">$I250*$G250</f>
        <v>0</v>
      </c>
      <c r="K250" s="40" t="n">
        <f aca="false">$J250-$F250</f>
        <v>0</v>
      </c>
      <c r="L250" s="27" t="str">
        <f aca="false">IF($D250=0,"Sem embarque",IF($K250&gt;0,"Recebe","Paga"))</f>
        <v>Sem embarque</v>
      </c>
    </row>
    <row r="251" customFormat="false" ht="15" hidden="false" customHeight="false" outlineLevel="0" collapsed="false">
      <c r="A251" s="27" t="s">
        <v>45</v>
      </c>
      <c r="B251" s="27" t="s">
        <v>69</v>
      </c>
      <c r="C251" s="27" t="s">
        <v>109</v>
      </c>
      <c r="D251" s="34" t="n">
        <f aca="false">SUMIFS(Desconto_Cliente_Mes!$D$2:$D$433,Desconto_Cliente_Mes!$A$2:$A$433,$A251,Desconto_Cliente_Mes!$B$2:$B$433,$B251,Desconto_Cliente_Mes!$C$2:$C$433,$C251)</f>
        <v>0</v>
      </c>
      <c r="E251" s="37" t="str">
        <f aca="false">INDEX(Desconto_Cliente_Mes!$K$2:$K$433,MATCH($A251&amp;"|"&amp;$B251&amp;"|"&amp;$C251,Desconto_Cliente_Mes!$W$2:$W$433,0))</f>
        <v/>
      </c>
      <c r="F251" s="39" t="n">
        <f aca="false">SUMIFS(Desconto_Cliente_Mes!$U$2:$U$433,Desconto_Cliente_Mes!$A$2:$A$433,$A251,Desconto_Cliente_Mes!$B$2:$B$433,$B251,Desconto_Cliente_Mes!$C$2:$C$433,$C251)</f>
        <v>0</v>
      </c>
      <c r="G251" s="39" t="n">
        <f aca="false">SUMIFS(Desconto_Cliente_Mes!$U$2:$U$433,Desconto_Cliente_Mes!$B$2:$B$433,$B251,Desconto_Cliente_Mes!$C$2:$C$433,$C251,Desconto_Cliente_Mes!$K$2:$K$433,"Sim")</f>
        <v>0</v>
      </c>
      <c r="H251" s="37" t="n">
        <f aca="false">SUMIFS(Desconto_Cliente_Mes!$D$2:$D$433,Desconto_Cliente_Mes!$B$2:$B$433,$B251,Desconto_Cliente_Mes!$C$2:$C$433,$C251,Desconto_Cliente_Mes!$K$2:$K$433,"Nao",Desconto_Cliente_Mes!$D$2:$D$433,"&gt;0")</f>
        <v>0</v>
      </c>
      <c r="I251" s="42" t="n">
        <f aca="false">IF(AND($E251="Nao",$D251&gt;0,$H251&gt;0),$D251/$H251,0)</f>
        <v>0</v>
      </c>
      <c r="J251" s="40" t="n">
        <f aca="false">$I251*$G251</f>
        <v>0</v>
      </c>
      <c r="K251" s="40" t="n">
        <f aca="false">$J251-$F251</f>
        <v>0</v>
      </c>
      <c r="L251" s="27" t="str">
        <f aca="false">IF($D251=0,"Sem embarque",IF($K251&gt;0,"Recebe","Paga"))</f>
        <v>Sem embarque</v>
      </c>
    </row>
    <row r="252" customFormat="false" ht="15" hidden="false" customHeight="false" outlineLevel="0" collapsed="false">
      <c r="A252" s="27" t="s">
        <v>45</v>
      </c>
      <c r="B252" s="27" t="s">
        <v>69</v>
      </c>
      <c r="C252" s="27" t="s">
        <v>110</v>
      </c>
      <c r="D252" s="34" t="n">
        <f aca="false">SUMIFS(Desconto_Cliente_Mes!$D$2:$D$433,Desconto_Cliente_Mes!$A$2:$A$433,$A252,Desconto_Cliente_Mes!$B$2:$B$433,$B252,Desconto_Cliente_Mes!$C$2:$C$433,$C252)</f>
        <v>0</v>
      </c>
      <c r="E252" s="37" t="str">
        <f aca="false">INDEX(Desconto_Cliente_Mes!$K$2:$K$433,MATCH($A252&amp;"|"&amp;$B252&amp;"|"&amp;$C252,Desconto_Cliente_Mes!$W$2:$W$433,0))</f>
        <v/>
      </c>
      <c r="F252" s="39" t="n">
        <f aca="false">SUMIFS(Desconto_Cliente_Mes!$U$2:$U$433,Desconto_Cliente_Mes!$A$2:$A$433,$A252,Desconto_Cliente_Mes!$B$2:$B$433,$B252,Desconto_Cliente_Mes!$C$2:$C$433,$C252)</f>
        <v>0</v>
      </c>
      <c r="G252" s="39" t="n">
        <f aca="false">SUMIFS(Desconto_Cliente_Mes!$U$2:$U$433,Desconto_Cliente_Mes!$B$2:$B$433,$B252,Desconto_Cliente_Mes!$C$2:$C$433,$C252,Desconto_Cliente_Mes!$K$2:$K$433,"Sim")</f>
        <v>0</v>
      </c>
      <c r="H252" s="37" t="n">
        <f aca="false">SUMIFS(Desconto_Cliente_Mes!$D$2:$D$433,Desconto_Cliente_Mes!$B$2:$B$433,$B252,Desconto_Cliente_Mes!$C$2:$C$433,$C252,Desconto_Cliente_Mes!$K$2:$K$433,"Nao",Desconto_Cliente_Mes!$D$2:$D$433,"&gt;0")</f>
        <v>0</v>
      </c>
      <c r="I252" s="42" t="n">
        <f aca="false">IF(AND($E252="Nao",$D252&gt;0,$H252&gt;0),$D252/$H252,0)</f>
        <v>0</v>
      </c>
      <c r="J252" s="40" t="n">
        <f aca="false">$I252*$G252</f>
        <v>0</v>
      </c>
      <c r="K252" s="40" t="n">
        <f aca="false">$J252-$F252</f>
        <v>0</v>
      </c>
      <c r="L252" s="27" t="str">
        <f aca="false">IF($D252=0,"Sem embarque",IF($K252&gt;0,"Recebe","Paga"))</f>
        <v>Sem embarque</v>
      </c>
    </row>
    <row r="253" customFormat="false" ht="15" hidden="false" customHeight="false" outlineLevel="0" collapsed="false">
      <c r="A253" s="27" t="s">
        <v>45</v>
      </c>
      <c r="B253" s="27" t="s">
        <v>69</v>
      </c>
      <c r="C253" s="27" t="s">
        <v>111</v>
      </c>
      <c r="D253" s="34" t="n">
        <f aca="false">SUMIFS(Desconto_Cliente_Mes!$D$2:$D$433,Desconto_Cliente_Mes!$A$2:$A$433,$A253,Desconto_Cliente_Mes!$B$2:$B$433,$B253,Desconto_Cliente_Mes!$C$2:$C$433,$C253)</f>
        <v>0</v>
      </c>
      <c r="E253" s="37" t="str">
        <f aca="false">INDEX(Desconto_Cliente_Mes!$K$2:$K$433,MATCH($A253&amp;"|"&amp;$B253&amp;"|"&amp;$C253,Desconto_Cliente_Mes!$W$2:$W$433,0))</f>
        <v/>
      </c>
      <c r="F253" s="39" t="n">
        <f aca="false">SUMIFS(Desconto_Cliente_Mes!$U$2:$U$433,Desconto_Cliente_Mes!$A$2:$A$433,$A253,Desconto_Cliente_Mes!$B$2:$B$433,$B253,Desconto_Cliente_Mes!$C$2:$C$433,$C253)</f>
        <v>0</v>
      </c>
      <c r="G253" s="39" t="n">
        <f aca="false">SUMIFS(Desconto_Cliente_Mes!$U$2:$U$433,Desconto_Cliente_Mes!$B$2:$B$433,$B253,Desconto_Cliente_Mes!$C$2:$C$433,$C253,Desconto_Cliente_Mes!$K$2:$K$433,"Sim")</f>
        <v>0</v>
      </c>
      <c r="H253" s="37" t="n">
        <f aca="false">SUMIFS(Desconto_Cliente_Mes!$D$2:$D$433,Desconto_Cliente_Mes!$B$2:$B$433,$B253,Desconto_Cliente_Mes!$C$2:$C$433,$C253,Desconto_Cliente_Mes!$K$2:$K$433,"Nao",Desconto_Cliente_Mes!$D$2:$D$433,"&gt;0")</f>
        <v>0</v>
      </c>
      <c r="I253" s="42" t="n">
        <f aca="false">IF(AND($E253="Nao",$D253&gt;0,$H253&gt;0),$D253/$H253,0)</f>
        <v>0</v>
      </c>
      <c r="J253" s="40" t="n">
        <f aca="false">$I253*$G253</f>
        <v>0</v>
      </c>
      <c r="K253" s="40" t="n">
        <f aca="false">$J253-$F253</f>
        <v>0</v>
      </c>
      <c r="L253" s="27" t="str">
        <f aca="false">IF($D253=0,"Sem embarque",IF($K253&gt;0,"Recebe","Paga"))</f>
        <v>Sem embarque</v>
      </c>
    </row>
    <row r="254" customFormat="false" ht="15" hidden="false" customHeight="false" outlineLevel="0" collapsed="false">
      <c r="A254" s="27" t="s">
        <v>46</v>
      </c>
      <c r="B254" s="27" t="s">
        <v>38</v>
      </c>
      <c r="C254" s="27" t="s">
        <v>109</v>
      </c>
      <c r="D254" s="34" t="n">
        <f aca="false">SUMIFS(Desconto_Cliente_Mes!$D$2:$D$433,Desconto_Cliente_Mes!$A$2:$A$433,$A254,Desconto_Cliente_Mes!$B$2:$B$433,$B254,Desconto_Cliente_Mes!$C$2:$C$433,$C254)</f>
        <v>0</v>
      </c>
      <c r="E254" s="37" t="str">
        <f aca="false">INDEX(Desconto_Cliente_Mes!$K$2:$K$433,MATCH($A254&amp;"|"&amp;$B254&amp;"|"&amp;$C254,Desconto_Cliente_Mes!$W$2:$W$433,0))</f>
        <v/>
      </c>
      <c r="F254" s="39" t="n">
        <f aca="false">SUMIFS(Desconto_Cliente_Mes!$U$2:$U$433,Desconto_Cliente_Mes!$A$2:$A$433,$A254,Desconto_Cliente_Mes!$B$2:$B$433,$B254,Desconto_Cliente_Mes!$C$2:$C$433,$C254)</f>
        <v>0</v>
      </c>
      <c r="G254" s="39" t="n">
        <f aca="false">SUMIFS(Desconto_Cliente_Mes!$U$2:$U$433,Desconto_Cliente_Mes!$B$2:$B$433,$B254,Desconto_Cliente_Mes!$C$2:$C$433,$C254,Desconto_Cliente_Mes!$K$2:$K$433,"Sim")</f>
        <v>91377.0669671845</v>
      </c>
      <c r="H254" s="37" t="n">
        <f aca="false">SUMIFS(Desconto_Cliente_Mes!$D$2:$D$433,Desconto_Cliente_Mes!$B$2:$B$433,$B254,Desconto_Cliente_Mes!$C$2:$C$433,$C254,Desconto_Cliente_Mes!$K$2:$K$433,"Nao",Desconto_Cliente_Mes!$D$2:$D$433,"&gt;0")</f>
        <v>58734.34</v>
      </c>
      <c r="I254" s="42" t="n">
        <f aca="false">IF(AND($E254="Nao",$D254&gt;0,$H254&gt;0),$D254/$H254,0)</f>
        <v>0</v>
      </c>
      <c r="J254" s="40" t="n">
        <f aca="false">$I254*$G254</f>
        <v>0</v>
      </c>
      <c r="K254" s="40" t="n">
        <f aca="false">$J254-$F254</f>
        <v>0</v>
      </c>
      <c r="L254" s="27" t="str">
        <f aca="false">IF($D254=0,"Sem embarque",IF($K254&gt;0,"Recebe","Paga"))</f>
        <v>Sem embarque</v>
      </c>
    </row>
    <row r="255" customFormat="false" ht="15" hidden="false" customHeight="false" outlineLevel="0" collapsed="false">
      <c r="A255" s="27" t="s">
        <v>46</v>
      </c>
      <c r="B255" s="27" t="s">
        <v>38</v>
      </c>
      <c r="C255" s="27" t="s">
        <v>110</v>
      </c>
      <c r="D255" s="34" t="n">
        <f aca="false">SUMIFS(Desconto_Cliente_Mes!$D$2:$D$433,Desconto_Cliente_Mes!$A$2:$A$433,$A255,Desconto_Cliente_Mes!$B$2:$B$433,$B255,Desconto_Cliente_Mes!$C$2:$C$433,$C255)</f>
        <v>0</v>
      </c>
      <c r="E255" s="37" t="str">
        <f aca="false">INDEX(Desconto_Cliente_Mes!$K$2:$K$433,MATCH($A255&amp;"|"&amp;$B255&amp;"|"&amp;$C255,Desconto_Cliente_Mes!$W$2:$W$433,0))</f>
        <v/>
      </c>
      <c r="F255" s="39" t="n">
        <f aca="false">SUMIFS(Desconto_Cliente_Mes!$U$2:$U$433,Desconto_Cliente_Mes!$A$2:$A$433,$A255,Desconto_Cliente_Mes!$B$2:$B$433,$B255,Desconto_Cliente_Mes!$C$2:$C$433,$C255)</f>
        <v>0</v>
      </c>
      <c r="G255" s="39" t="n">
        <f aca="false">SUMIFS(Desconto_Cliente_Mes!$U$2:$U$433,Desconto_Cliente_Mes!$B$2:$B$433,$B255,Desconto_Cliente_Mes!$C$2:$C$433,$C255,Desconto_Cliente_Mes!$K$2:$K$433,"Sim")</f>
        <v>0</v>
      </c>
      <c r="H255" s="37" t="n">
        <f aca="false">SUMIFS(Desconto_Cliente_Mes!$D$2:$D$433,Desconto_Cliente_Mes!$B$2:$B$433,$B255,Desconto_Cliente_Mes!$C$2:$C$433,$C255,Desconto_Cliente_Mes!$K$2:$K$433,"Nao",Desconto_Cliente_Mes!$D$2:$D$433,"&gt;0")</f>
        <v>263816.27</v>
      </c>
      <c r="I255" s="42" t="n">
        <f aca="false">IF(AND($E255="Nao",$D255&gt;0,$H255&gt;0),$D255/$H255,0)</f>
        <v>0</v>
      </c>
      <c r="J255" s="40" t="n">
        <f aca="false">$I255*$G255</f>
        <v>0</v>
      </c>
      <c r="K255" s="40" t="n">
        <f aca="false">$J255-$F255</f>
        <v>0</v>
      </c>
      <c r="L255" s="27" t="str">
        <f aca="false">IF($D255=0,"Sem embarque",IF($K255&gt;0,"Recebe","Paga"))</f>
        <v>Sem embarque</v>
      </c>
    </row>
    <row r="256" customFormat="false" ht="15" hidden="false" customHeight="false" outlineLevel="0" collapsed="false">
      <c r="A256" s="27" t="s">
        <v>46</v>
      </c>
      <c r="B256" s="27" t="s">
        <v>38</v>
      </c>
      <c r="C256" s="27" t="s">
        <v>111</v>
      </c>
      <c r="D256" s="34" t="n">
        <f aca="false">SUMIFS(Desconto_Cliente_Mes!$D$2:$D$433,Desconto_Cliente_Mes!$A$2:$A$433,$A256,Desconto_Cliente_Mes!$B$2:$B$433,$B256,Desconto_Cliente_Mes!$C$2:$C$433,$C256)</f>
        <v>0</v>
      </c>
      <c r="E256" s="37" t="str">
        <f aca="false">INDEX(Desconto_Cliente_Mes!$K$2:$K$433,MATCH($A256&amp;"|"&amp;$B256&amp;"|"&amp;$C256,Desconto_Cliente_Mes!$W$2:$W$433,0))</f>
        <v/>
      </c>
      <c r="F256" s="39" t="n">
        <f aca="false">SUMIFS(Desconto_Cliente_Mes!$U$2:$U$433,Desconto_Cliente_Mes!$A$2:$A$433,$A256,Desconto_Cliente_Mes!$B$2:$B$433,$B256,Desconto_Cliente_Mes!$C$2:$C$433,$C256)</f>
        <v>0</v>
      </c>
      <c r="G256" s="39" t="n">
        <f aca="false">SUMIFS(Desconto_Cliente_Mes!$U$2:$U$433,Desconto_Cliente_Mes!$B$2:$B$433,$B256,Desconto_Cliente_Mes!$C$2:$C$433,$C256,Desconto_Cliente_Mes!$K$2:$K$433,"Sim")</f>
        <v>71216.4191325092</v>
      </c>
      <c r="H256" s="37" t="n">
        <f aca="false">SUMIFS(Desconto_Cliente_Mes!$D$2:$D$433,Desconto_Cliente_Mes!$B$2:$B$433,$B256,Desconto_Cliente_Mes!$C$2:$C$433,$C256,Desconto_Cliente_Mes!$K$2:$K$433,"Nao",Desconto_Cliente_Mes!$D$2:$D$433,"&gt;0")</f>
        <v>116867.62</v>
      </c>
      <c r="I256" s="42" t="n">
        <f aca="false">IF(AND($E256="Nao",$D256&gt;0,$H256&gt;0),$D256/$H256,0)</f>
        <v>0</v>
      </c>
      <c r="J256" s="40" t="n">
        <f aca="false">$I256*$G256</f>
        <v>0</v>
      </c>
      <c r="K256" s="40" t="n">
        <f aca="false">$J256-$F256</f>
        <v>0</v>
      </c>
      <c r="L256" s="27" t="str">
        <f aca="false">IF($D256=0,"Sem embarque",IF($K256&gt;0,"Recebe","Paga"))</f>
        <v>Sem embarque</v>
      </c>
    </row>
    <row r="257" customFormat="false" ht="15" hidden="false" customHeight="false" outlineLevel="0" collapsed="false">
      <c r="A257" s="27" t="s">
        <v>46</v>
      </c>
      <c r="B257" s="27" t="s">
        <v>59</v>
      </c>
      <c r="C257" s="27" t="s">
        <v>109</v>
      </c>
      <c r="D257" s="34" t="n">
        <f aca="false">SUMIFS(Desconto_Cliente_Mes!$D$2:$D$433,Desconto_Cliente_Mes!$A$2:$A$433,$A257,Desconto_Cliente_Mes!$B$2:$B$433,$B257,Desconto_Cliente_Mes!$C$2:$C$433,$C257)</f>
        <v>0</v>
      </c>
      <c r="E257" s="37" t="str">
        <f aca="false">INDEX(Desconto_Cliente_Mes!$K$2:$K$433,MATCH($A257&amp;"|"&amp;$B257&amp;"|"&amp;$C257,Desconto_Cliente_Mes!$W$2:$W$433,0))</f>
        <v/>
      </c>
      <c r="F257" s="39" t="n">
        <f aca="false">SUMIFS(Desconto_Cliente_Mes!$U$2:$U$433,Desconto_Cliente_Mes!$A$2:$A$433,$A257,Desconto_Cliente_Mes!$B$2:$B$433,$B257,Desconto_Cliente_Mes!$C$2:$C$433,$C257)</f>
        <v>0</v>
      </c>
      <c r="G257" s="39" t="n">
        <f aca="false">SUMIFS(Desconto_Cliente_Mes!$U$2:$U$433,Desconto_Cliente_Mes!$B$2:$B$433,$B257,Desconto_Cliente_Mes!$C$2:$C$433,$C257,Desconto_Cliente_Mes!$K$2:$K$433,"Sim")</f>
        <v>166858.825867758</v>
      </c>
      <c r="H257" s="37" t="n">
        <f aca="false">SUMIFS(Desconto_Cliente_Mes!$D$2:$D$433,Desconto_Cliente_Mes!$B$2:$B$433,$B257,Desconto_Cliente_Mes!$C$2:$C$433,$C257,Desconto_Cliente_Mes!$K$2:$K$433,"Nao",Desconto_Cliente_Mes!$D$2:$D$433,"&gt;0")</f>
        <v>83594.61</v>
      </c>
      <c r="I257" s="42" t="n">
        <f aca="false">IF(AND($E257="Nao",$D257&gt;0,$H257&gt;0),$D257/$H257,0)</f>
        <v>0</v>
      </c>
      <c r="J257" s="40" t="n">
        <f aca="false">$I257*$G257</f>
        <v>0</v>
      </c>
      <c r="K257" s="40" t="n">
        <f aca="false">$J257-$F257</f>
        <v>0</v>
      </c>
      <c r="L257" s="27" t="str">
        <f aca="false">IF($D257=0,"Sem embarque",IF($K257&gt;0,"Recebe","Paga"))</f>
        <v>Sem embarque</v>
      </c>
    </row>
    <row r="258" customFormat="false" ht="15" hidden="false" customHeight="false" outlineLevel="0" collapsed="false">
      <c r="A258" s="27" t="s">
        <v>46</v>
      </c>
      <c r="B258" s="27" t="s">
        <v>59</v>
      </c>
      <c r="C258" s="27" t="s">
        <v>110</v>
      </c>
      <c r="D258" s="34" t="n">
        <f aca="false">SUMIFS(Desconto_Cliente_Mes!$D$2:$D$433,Desconto_Cliente_Mes!$A$2:$A$433,$A258,Desconto_Cliente_Mes!$B$2:$B$433,$B258,Desconto_Cliente_Mes!$C$2:$C$433,$C258)</f>
        <v>0</v>
      </c>
      <c r="E258" s="37" t="str">
        <f aca="false">INDEX(Desconto_Cliente_Mes!$K$2:$K$433,MATCH($A258&amp;"|"&amp;$B258&amp;"|"&amp;$C258,Desconto_Cliente_Mes!$W$2:$W$433,0))</f>
        <v/>
      </c>
      <c r="F258" s="39" t="n">
        <f aca="false">SUMIFS(Desconto_Cliente_Mes!$U$2:$U$433,Desconto_Cliente_Mes!$A$2:$A$433,$A258,Desconto_Cliente_Mes!$B$2:$B$433,$B258,Desconto_Cliente_Mes!$C$2:$C$433,$C258)</f>
        <v>0</v>
      </c>
      <c r="G258" s="39" t="n">
        <f aca="false">SUMIFS(Desconto_Cliente_Mes!$U$2:$U$433,Desconto_Cliente_Mes!$B$2:$B$433,$B258,Desconto_Cliente_Mes!$C$2:$C$433,$C258,Desconto_Cliente_Mes!$K$2:$K$433,"Sim")</f>
        <v>8132.39257800007</v>
      </c>
      <c r="H258" s="37" t="n">
        <f aca="false">SUMIFS(Desconto_Cliente_Mes!$D$2:$D$433,Desconto_Cliente_Mes!$B$2:$B$433,$B258,Desconto_Cliente_Mes!$C$2:$C$433,$C258,Desconto_Cliente_Mes!$K$2:$K$433,"Nao",Desconto_Cliente_Mes!$D$2:$D$433,"&gt;0")</f>
        <v>289730.52</v>
      </c>
      <c r="I258" s="42" t="n">
        <f aca="false">IF(AND($E258="Nao",$D258&gt;0,$H258&gt;0),$D258/$H258,0)</f>
        <v>0</v>
      </c>
      <c r="J258" s="40" t="n">
        <f aca="false">$I258*$G258</f>
        <v>0</v>
      </c>
      <c r="K258" s="40" t="n">
        <f aca="false">$J258-$F258</f>
        <v>0</v>
      </c>
      <c r="L258" s="27" t="str">
        <f aca="false">IF($D258=0,"Sem embarque",IF($K258&gt;0,"Recebe","Paga"))</f>
        <v>Sem embarque</v>
      </c>
    </row>
    <row r="259" customFormat="false" ht="15" hidden="false" customHeight="false" outlineLevel="0" collapsed="false">
      <c r="A259" s="27" t="s">
        <v>46</v>
      </c>
      <c r="B259" s="27" t="s">
        <v>59</v>
      </c>
      <c r="C259" s="27" t="s">
        <v>111</v>
      </c>
      <c r="D259" s="34" t="n">
        <f aca="false">SUMIFS(Desconto_Cliente_Mes!$D$2:$D$433,Desconto_Cliente_Mes!$A$2:$A$433,$A259,Desconto_Cliente_Mes!$B$2:$B$433,$B259,Desconto_Cliente_Mes!$C$2:$C$433,$C259)</f>
        <v>0</v>
      </c>
      <c r="E259" s="37" t="str">
        <f aca="false">INDEX(Desconto_Cliente_Mes!$K$2:$K$433,MATCH($A259&amp;"|"&amp;$B259&amp;"|"&amp;$C259,Desconto_Cliente_Mes!$W$2:$W$433,0))</f>
        <v/>
      </c>
      <c r="F259" s="39" t="n">
        <f aca="false">SUMIFS(Desconto_Cliente_Mes!$U$2:$U$433,Desconto_Cliente_Mes!$A$2:$A$433,$A259,Desconto_Cliente_Mes!$B$2:$B$433,$B259,Desconto_Cliente_Mes!$C$2:$C$433,$C259)</f>
        <v>0</v>
      </c>
      <c r="G259" s="39" t="n">
        <f aca="false">SUMIFS(Desconto_Cliente_Mes!$U$2:$U$433,Desconto_Cliente_Mes!$B$2:$B$433,$B259,Desconto_Cliente_Mes!$C$2:$C$433,$C259,Desconto_Cliente_Mes!$K$2:$K$433,"Sim")</f>
        <v>47707.8352836299</v>
      </c>
      <c r="H259" s="37" t="n">
        <f aca="false">SUMIFS(Desconto_Cliente_Mes!$D$2:$D$433,Desconto_Cliente_Mes!$B$2:$B$433,$B259,Desconto_Cliente_Mes!$C$2:$C$433,$C259,Desconto_Cliente_Mes!$K$2:$K$433,"Nao",Desconto_Cliente_Mes!$D$2:$D$433,"&gt;0")</f>
        <v>185268.24</v>
      </c>
      <c r="I259" s="42" t="n">
        <f aca="false">IF(AND($E259="Nao",$D259&gt;0,$H259&gt;0),$D259/$H259,0)</f>
        <v>0</v>
      </c>
      <c r="J259" s="40" t="n">
        <f aca="false">$I259*$G259</f>
        <v>0</v>
      </c>
      <c r="K259" s="40" t="n">
        <f aca="false">$J259-$F259</f>
        <v>0</v>
      </c>
      <c r="L259" s="27" t="str">
        <f aca="false">IF($D259=0,"Sem embarque",IF($K259&gt;0,"Recebe","Paga"))</f>
        <v>Sem embarque</v>
      </c>
    </row>
    <row r="260" customFormat="false" ht="15" hidden="false" customHeight="false" outlineLevel="0" collapsed="false">
      <c r="A260" s="27" t="s">
        <v>46</v>
      </c>
      <c r="B260" s="27" t="s">
        <v>60</v>
      </c>
      <c r="C260" s="27" t="s">
        <v>109</v>
      </c>
      <c r="D260" s="34" t="n">
        <f aca="false">SUMIFS(Desconto_Cliente_Mes!$D$2:$D$433,Desconto_Cliente_Mes!$A$2:$A$433,$A260,Desconto_Cliente_Mes!$B$2:$B$433,$B260,Desconto_Cliente_Mes!$C$2:$C$433,$C260)</f>
        <v>0</v>
      </c>
      <c r="E260" s="37" t="str">
        <f aca="false">INDEX(Desconto_Cliente_Mes!$K$2:$K$433,MATCH($A260&amp;"|"&amp;$B260&amp;"|"&amp;$C260,Desconto_Cliente_Mes!$W$2:$W$433,0))</f>
        <v/>
      </c>
      <c r="F260" s="39" t="n">
        <f aca="false">SUMIFS(Desconto_Cliente_Mes!$U$2:$U$433,Desconto_Cliente_Mes!$A$2:$A$433,$A260,Desconto_Cliente_Mes!$B$2:$B$433,$B260,Desconto_Cliente_Mes!$C$2:$C$433,$C260)</f>
        <v>0</v>
      </c>
      <c r="G260" s="39" t="n">
        <f aca="false">SUMIFS(Desconto_Cliente_Mes!$U$2:$U$433,Desconto_Cliente_Mes!$B$2:$B$433,$B260,Desconto_Cliente_Mes!$C$2:$C$433,$C260,Desconto_Cliente_Mes!$K$2:$K$433,"Sim")</f>
        <v>75633.0761548471</v>
      </c>
      <c r="H260" s="37" t="n">
        <f aca="false">SUMIFS(Desconto_Cliente_Mes!$D$2:$D$433,Desconto_Cliente_Mes!$B$2:$B$433,$B260,Desconto_Cliente_Mes!$C$2:$C$433,$C260,Desconto_Cliente_Mes!$K$2:$K$433,"Nao",Desconto_Cliente_Mes!$D$2:$D$433,"&gt;0")</f>
        <v>55750.4</v>
      </c>
      <c r="I260" s="42" t="n">
        <f aca="false">IF(AND($E260="Nao",$D260&gt;0,$H260&gt;0),$D260/$H260,0)</f>
        <v>0</v>
      </c>
      <c r="J260" s="40" t="n">
        <f aca="false">$I260*$G260</f>
        <v>0</v>
      </c>
      <c r="K260" s="40" t="n">
        <f aca="false">$J260-$F260</f>
        <v>0</v>
      </c>
      <c r="L260" s="27" t="str">
        <f aca="false">IF($D260=0,"Sem embarque",IF($K260&gt;0,"Recebe","Paga"))</f>
        <v>Sem embarque</v>
      </c>
    </row>
    <row r="261" customFormat="false" ht="15" hidden="false" customHeight="false" outlineLevel="0" collapsed="false">
      <c r="A261" s="27" t="s">
        <v>46</v>
      </c>
      <c r="B261" s="27" t="s">
        <v>60</v>
      </c>
      <c r="C261" s="27" t="s">
        <v>110</v>
      </c>
      <c r="D261" s="34" t="n">
        <f aca="false">SUMIFS(Desconto_Cliente_Mes!$D$2:$D$433,Desconto_Cliente_Mes!$A$2:$A$433,$A261,Desconto_Cliente_Mes!$B$2:$B$433,$B261,Desconto_Cliente_Mes!$C$2:$C$433,$C261)</f>
        <v>0</v>
      </c>
      <c r="E261" s="37" t="str">
        <f aca="false">INDEX(Desconto_Cliente_Mes!$K$2:$K$433,MATCH($A261&amp;"|"&amp;$B261&amp;"|"&amp;$C261,Desconto_Cliente_Mes!$W$2:$W$433,0))</f>
        <v/>
      </c>
      <c r="F261" s="39" t="n">
        <f aca="false">SUMIFS(Desconto_Cliente_Mes!$U$2:$U$433,Desconto_Cliente_Mes!$A$2:$A$433,$A261,Desconto_Cliente_Mes!$B$2:$B$433,$B261,Desconto_Cliente_Mes!$C$2:$C$433,$C261)</f>
        <v>0</v>
      </c>
      <c r="G261" s="39" t="n">
        <f aca="false">SUMIFS(Desconto_Cliente_Mes!$U$2:$U$433,Desconto_Cliente_Mes!$B$2:$B$433,$B261,Desconto_Cliente_Mes!$C$2:$C$433,$C261,Desconto_Cliente_Mes!$K$2:$K$433,"Sim")</f>
        <v>0</v>
      </c>
      <c r="H261" s="37" t="n">
        <f aca="false">SUMIFS(Desconto_Cliente_Mes!$D$2:$D$433,Desconto_Cliente_Mes!$B$2:$B$433,$B261,Desconto_Cliente_Mes!$C$2:$C$433,$C261,Desconto_Cliente_Mes!$K$2:$K$433,"Nao",Desconto_Cliente_Mes!$D$2:$D$433,"&gt;0")</f>
        <v>240729.22</v>
      </c>
      <c r="I261" s="42" t="n">
        <f aca="false">IF(AND($E261="Nao",$D261&gt;0,$H261&gt;0),$D261/$H261,0)</f>
        <v>0</v>
      </c>
      <c r="J261" s="40" t="n">
        <f aca="false">$I261*$G261</f>
        <v>0</v>
      </c>
      <c r="K261" s="40" t="n">
        <f aca="false">$J261-$F261</f>
        <v>0</v>
      </c>
      <c r="L261" s="27" t="str">
        <f aca="false">IF($D261=0,"Sem embarque",IF($K261&gt;0,"Recebe","Paga"))</f>
        <v>Sem embarque</v>
      </c>
    </row>
    <row r="262" customFormat="false" ht="15" hidden="false" customHeight="false" outlineLevel="0" collapsed="false">
      <c r="A262" s="27" t="s">
        <v>46</v>
      </c>
      <c r="B262" s="27" t="s">
        <v>60</v>
      </c>
      <c r="C262" s="27" t="s">
        <v>111</v>
      </c>
      <c r="D262" s="34" t="n">
        <f aca="false">SUMIFS(Desconto_Cliente_Mes!$D$2:$D$433,Desconto_Cliente_Mes!$A$2:$A$433,$A262,Desconto_Cliente_Mes!$B$2:$B$433,$B262,Desconto_Cliente_Mes!$C$2:$C$433,$C262)</f>
        <v>0</v>
      </c>
      <c r="E262" s="37" t="str">
        <f aca="false">INDEX(Desconto_Cliente_Mes!$K$2:$K$433,MATCH($A262&amp;"|"&amp;$B262&amp;"|"&amp;$C262,Desconto_Cliente_Mes!$W$2:$W$433,0))</f>
        <v/>
      </c>
      <c r="F262" s="39" t="n">
        <f aca="false">SUMIFS(Desconto_Cliente_Mes!$U$2:$U$433,Desconto_Cliente_Mes!$A$2:$A$433,$A262,Desconto_Cliente_Mes!$B$2:$B$433,$B262,Desconto_Cliente_Mes!$C$2:$C$433,$C262)</f>
        <v>0</v>
      </c>
      <c r="G262" s="39" t="n">
        <f aca="false">SUMIFS(Desconto_Cliente_Mes!$U$2:$U$433,Desconto_Cliente_Mes!$B$2:$B$433,$B262,Desconto_Cliente_Mes!$C$2:$C$433,$C262,Desconto_Cliente_Mes!$K$2:$K$433,"Sim")</f>
        <v>15973.4860651284</v>
      </c>
      <c r="H262" s="37" t="n">
        <f aca="false">SUMIFS(Desconto_Cliente_Mes!$D$2:$D$433,Desconto_Cliente_Mes!$B$2:$B$433,$B262,Desconto_Cliente_Mes!$C$2:$C$433,$C262,Desconto_Cliente_Mes!$K$2:$K$433,"Nao",Desconto_Cliente_Mes!$D$2:$D$433,"&gt;0")</f>
        <v>55750.4</v>
      </c>
      <c r="I262" s="42" t="n">
        <f aca="false">IF(AND($E262="Nao",$D262&gt;0,$H262&gt;0),$D262/$H262,0)</f>
        <v>0</v>
      </c>
      <c r="J262" s="40" t="n">
        <f aca="false">$I262*$G262</f>
        <v>0</v>
      </c>
      <c r="K262" s="40" t="n">
        <f aca="false">$J262-$F262</f>
        <v>0</v>
      </c>
      <c r="L262" s="27" t="str">
        <f aca="false">IF($D262=0,"Sem embarque",IF($K262&gt;0,"Recebe","Paga"))</f>
        <v>Sem embarque</v>
      </c>
    </row>
    <row r="263" customFormat="false" ht="15" hidden="false" customHeight="false" outlineLevel="0" collapsed="false">
      <c r="A263" s="27" t="s">
        <v>46</v>
      </c>
      <c r="B263" s="27" t="s">
        <v>61</v>
      </c>
      <c r="C263" s="27" t="s">
        <v>109</v>
      </c>
      <c r="D263" s="34" t="n">
        <f aca="false">SUMIFS(Desconto_Cliente_Mes!$D$2:$D$433,Desconto_Cliente_Mes!$A$2:$A$433,$A263,Desconto_Cliente_Mes!$B$2:$B$433,$B263,Desconto_Cliente_Mes!$C$2:$C$433,$C263)</f>
        <v>0</v>
      </c>
      <c r="E263" s="37" t="str">
        <f aca="false">INDEX(Desconto_Cliente_Mes!$K$2:$K$433,MATCH($A263&amp;"|"&amp;$B263&amp;"|"&amp;$C263,Desconto_Cliente_Mes!$W$2:$W$433,0))</f>
        <v/>
      </c>
      <c r="F263" s="39" t="n">
        <f aca="false">SUMIFS(Desconto_Cliente_Mes!$U$2:$U$433,Desconto_Cliente_Mes!$A$2:$A$433,$A263,Desconto_Cliente_Mes!$B$2:$B$433,$B263,Desconto_Cliente_Mes!$C$2:$C$433,$C263)</f>
        <v>0</v>
      </c>
      <c r="G263" s="39" t="n">
        <f aca="false">SUMIFS(Desconto_Cliente_Mes!$U$2:$U$433,Desconto_Cliente_Mes!$B$2:$B$433,$B263,Desconto_Cliente_Mes!$C$2:$C$433,$C263,Desconto_Cliente_Mes!$K$2:$K$433,"Sim")</f>
        <v>101062.110385431</v>
      </c>
      <c r="H263" s="37" t="n">
        <f aca="false">SUMIFS(Desconto_Cliente_Mes!$D$2:$D$433,Desconto_Cliente_Mes!$B$2:$B$433,$B263,Desconto_Cliente_Mes!$C$2:$C$433,$C263,Desconto_Cliente_Mes!$K$2:$K$433,"Nao",Desconto_Cliente_Mes!$D$2:$D$433,"&gt;0")</f>
        <v>195833.47</v>
      </c>
      <c r="I263" s="42" t="n">
        <f aca="false">IF(AND($E263="Nao",$D263&gt;0,$H263&gt;0),$D263/$H263,0)</f>
        <v>0</v>
      </c>
      <c r="J263" s="40" t="n">
        <f aca="false">$I263*$G263</f>
        <v>0</v>
      </c>
      <c r="K263" s="40" t="n">
        <f aca="false">$J263-$F263</f>
        <v>0</v>
      </c>
      <c r="L263" s="27" t="str">
        <f aca="false">IF($D263=0,"Sem embarque",IF($K263&gt;0,"Recebe","Paga"))</f>
        <v>Sem embarque</v>
      </c>
    </row>
    <row r="264" customFormat="false" ht="15" hidden="false" customHeight="false" outlineLevel="0" collapsed="false">
      <c r="A264" s="27" t="s">
        <v>46</v>
      </c>
      <c r="B264" s="27" t="s">
        <v>61</v>
      </c>
      <c r="C264" s="27" t="s">
        <v>110</v>
      </c>
      <c r="D264" s="34" t="n">
        <f aca="false">SUMIFS(Desconto_Cliente_Mes!$D$2:$D$433,Desconto_Cliente_Mes!$A$2:$A$433,$A264,Desconto_Cliente_Mes!$B$2:$B$433,$B264,Desconto_Cliente_Mes!$C$2:$C$433,$C264)</f>
        <v>0</v>
      </c>
      <c r="E264" s="37" t="str">
        <f aca="false">INDEX(Desconto_Cliente_Mes!$K$2:$K$433,MATCH($A264&amp;"|"&amp;$B264&amp;"|"&amp;$C264,Desconto_Cliente_Mes!$W$2:$W$433,0))</f>
        <v/>
      </c>
      <c r="F264" s="39" t="n">
        <f aca="false">SUMIFS(Desconto_Cliente_Mes!$U$2:$U$433,Desconto_Cliente_Mes!$A$2:$A$433,$A264,Desconto_Cliente_Mes!$B$2:$B$433,$B264,Desconto_Cliente_Mes!$C$2:$C$433,$C264)</f>
        <v>0</v>
      </c>
      <c r="G264" s="39" t="n">
        <f aca="false">SUMIFS(Desconto_Cliente_Mes!$U$2:$U$433,Desconto_Cliente_Mes!$B$2:$B$433,$B264,Desconto_Cliente_Mes!$C$2:$C$433,$C264,Desconto_Cliente_Mes!$K$2:$K$433,"Sim")</f>
        <v>89392.5188999994</v>
      </c>
      <c r="H264" s="37" t="n">
        <f aca="false">SUMIFS(Desconto_Cliente_Mes!$D$2:$D$433,Desconto_Cliente_Mes!$B$2:$B$433,$B264,Desconto_Cliente_Mes!$C$2:$C$433,$C264,Desconto_Cliente_Mes!$K$2:$K$433,"Nao",Desconto_Cliente_Mes!$D$2:$D$433,"&gt;0")</f>
        <v>315561.27</v>
      </c>
      <c r="I264" s="42" t="n">
        <f aca="false">IF(AND($E264="Nao",$D264&gt;0,$H264&gt;0),$D264/$H264,0)</f>
        <v>0</v>
      </c>
      <c r="J264" s="40" t="n">
        <f aca="false">$I264*$G264</f>
        <v>0</v>
      </c>
      <c r="K264" s="40" t="n">
        <f aca="false">$J264-$F264</f>
        <v>0</v>
      </c>
      <c r="L264" s="27" t="str">
        <f aca="false">IF($D264=0,"Sem embarque",IF($K264&gt;0,"Recebe","Paga"))</f>
        <v>Sem embarque</v>
      </c>
    </row>
    <row r="265" customFormat="false" ht="15" hidden="false" customHeight="false" outlineLevel="0" collapsed="false">
      <c r="A265" s="27" t="s">
        <v>46</v>
      </c>
      <c r="B265" s="27" t="s">
        <v>61</v>
      </c>
      <c r="C265" s="27" t="s">
        <v>111</v>
      </c>
      <c r="D265" s="34" t="n">
        <f aca="false">SUMIFS(Desconto_Cliente_Mes!$D$2:$D$433,Desconto_Cliente_Mes!$A$2:$A$433,$A265,Desconto_Cliente_Mes!$B$2:$B$433,$B265,Desconto_Cliente_Mes!$C$2:$C$433,$C265)</f>
        <v>0</v>
      </c>
      <c r="E265" s="37" t="str">
        <f aca="false">INDEX(Desconto_Cliente_Mes!$K$2:$K$433,MATCH($A265&amp;"|"&amp;$B265&amp;"|"&amp;$C265,Desconto_Cliente_Mes!$W$2:$W$433,0))</f>
        <v/>
      </c>
      <c r="F265" s="39" t="n">
        <f aca="false">SUMIFS(Desconto_Cliente_Mes!$U$2:$U$433,Desconto_Cliente_Mes!$A$2:$A$433,$A265,Desconto_Cliente_Mes!$B$2:$B$433,$B265,Desconto_Cliente_Mes!$C$2:$C$433,$C265)</f>
        <v>0</v>
      </c>
      <c r="G265" s="39" t="n">
        <f aca="false">SUMIFS(Desconto_Cliente_Mes!$U$2:$U$433,Desconto_Cliente_Mes!$B$2:$B$433,$B265,Desconto_Cliente_Mes!$C$2:$C$433,$C265,Desconto_Cliente_Mes!$K$2:$K$433,"Sim")</f>
        <v>45945.9604253753</v>
      </c>
      <c r="H265" s="37" t="n">
        <f aca="false">SUMIFS(Desconto_Cliente_Mes!$D$2:$D$433,Desconto_Cliente_Mes!$B$2:$B$433,$B265,Desconto_Cliente_Mes!$C$2:$C$433,$C265,Desconto_Cliente_Mes!$K$2:$K$433,"Nao",Desconto_Cliente_Mes!$D$2:$D$433,"&gt;0")</f>
        <v>238706.16</v>
      </c>
      <c r="I265" s="42" t="n">
        <f aca="false">IF(AND($E265="Nao",$D265&gt;0,$H265&gt;0),$D265/$H265,0)</f>
        <v>0</v>
      </c>
      <c r="J265" s="40" t="n">
        <f aca="false">$I265*$G265</f>
        <v>0</v>
      </c>
      <c r="K265" s="40" t="n">
        <f aca="false">$J265-$F265</f>
        <v>0</v>
      </c>
      <c r="L265" s="27" t="str">
        <f aca="false">IF($D265=0,"Sem embarque",IF($K265&gt;0,"Recebe","Paga"))</f>
        <v>Sem embarque</v>
      </c>
    </row>
    <row r="266" customFormat="false" ht="15" hidden="false" customHeight="false" outlineLevel="0" collapsed="false">
      <c r="A266" s="27" t="s">
        <v>46</v>
      </c>
      <c r="B266" s="27" t="s">
        <v>62</v>
      </c>
      <c r="C266" s="27" t="s">
        <v>109</v>
      </c>
      <c r="D266" s="34" t="n">
        <f aca="false">SUMIFS(Desconto_Cliente_Mes!$D$2:$D$433,Desconto_Cliente_Mes!$A$2:$A$433,$A266,Desconto_Cliente_Mes!$B$2:$B$433,$B266,Desconto_Cliente_Mes!$C$2:$C$433,$C266)</f>
        <v>0</v>
      </c>
      <c r="E266" s="37" t="str">
        <f aca="false">INDEX(Desconto_Cliente_Mes!$K$2:$K$433,MATCH($A266&amp;"|"&amp;$B266&amp;"|"&amp;$C266,Desconto_Cliente_Mes!$W$2:$W$433,0))</f>
        <v/>
      </c>
      <c r="F266" s="39" t="n">
        <f aca="false">SUMIFS(Desconto_Cliente_Mes!$U$2:$U$433,Desconto_Cliente_Mes!$A$2:$A$433,$A266,Desconto_Cliente_Mes!$B$2:$B$433,$B266,Desconto_Cliente_Mes!$C$2:$C$433,$C266)</f>
        <v>0</v>
      </c>
      <c r="G266" s="39" t="n">
        <f aca="false">SUMIFS(Desconto_Cliente_Mes!$U$2:$U$433,Desconto_Cliente_Mes!$B$2:$B$433,$B266,Desconto_Cliente_Mes!$C$2:$C$433,$C266,Desconto_Cliente_Mes!$K$2:$K$433,"Sim")</f>
        <v>82370.9873921197</v>
      </c>
      <c r="H266" s="37" t="n">
        <f aca="false">SUMIFS(Desconto_Cliente_Mes!$D$2:$D$433,Desconto_Cliente_Mes!$B$2:$B$433,$B266,Desconto_Cliente_Mes!$C$2:$C$433,$C266,Desconto_Cliente_Mes!$K$2:$K$433,"Nao",Desconto_Cliente_Mes!$D$2:$D$433,"&gt;0")</f>
        <v>113342.84</v>
      </c>
      <c r="I266" s="42" t="n">
        <f aca="false">IF(AND($E266="Nao",$D266&gt;0,$H266&gt;0),$D266/$H266,0)</f>
        <v>0</v>
      </c>
      <c r="J266" s="40" t="n">
        <f aca="false">$I266*$G266</f>
        <v>0</v>
      </c>
      <c r="K266" s="40" t="n">
        <f aca="false">$J266-$F266</f>
        <v>0</v>
      </c>
      <c r="L266" s="27" t="str">
        <f aca="false">IF($D266=0,"Sem embarque",IF($K266&gt;0,"Recebe","Paga"))</f>
        <v>Sem embarque</v>
      </c>
    </row>
    <row r="267" customFormat="false" ht="15" hidden="false" customHeight="false" outlineLevel="0" collapsed="false">
      <c r="A267" s="27" t="s">
        <v>46</v>
      </c>
      <c r="B267" s="27" t="s">
        <v>62</v>
      </c>
      <c r="C267" s="27" t="s">
        <v>110</v>
      </c>
      <c r="D267" s="34" t="n">
        <f aca="false">SUMIFS(Desconto_Cliente_Mes!$D$2:$D$433,Desconto_Cliente_Mes!$A$2:$A$433,$A267,Desconto_Cliente_Mes!$B$2:$B$433,$B267,Desconto_Cliente_Mes!$C$2:$C$433,$C267)</f>
        <v>0</v>
      </c>
      <c r="E267" s="37" t="str">
        <f aca="false">INDEX(Desconto_Cliente_Mes!$K$2:$K$433,MATCH($A267&amp;"|"&amp;$B267&amp;"|"&amp;$C267,Desconto_Cliente_Mes!$W$2:$W$433,0))</f>
        <v/>
      </c>
      <c r="F267" s="39" t="n">
        <f aca="false">SUMIFS(Desconto_Cliente_Mes!$U$2:$U$433,Desconto_Cliente_Mes!$A$2:$A$433,$A267,Desconto_Cliente_Mes!$B$2:$B$433,$B267,Desconto_Cliente_Mes!$C$2:$C$433,$C267)</f>
        <v>0</v>
      </c>
      <c r="G267" s="39" t="n">
        <f aca="false">SUMIFS(Desconto_Cliente_Mes!$U$2:$U$433,Desconto_Cliente_Mes!$B$2:$B$433,$B267,Desconto_Cliente_Mes!$C$2:$C$433,$C267,Desconto_Cliente_Mes!$K$2:$K$433,"Sim")</f>
        <v>18695.6934849998</v>
      </c>
      <c r="H267" s="37" t="n">
        <f aca="false">SUMIFS(Desconto_Cliente_Mes!$D$2:$D$433,Desconto_Cliente_Mes!$B$2:$B$433,$B267,Desconto_Cliente_Mes!$C$2:$C$433,$C267,Desconto_Cliente_Mes!$K$2:$K$433,"Nao",Desconto_Cliente_Mes!$D$2:$D$433,"&gt;0")</f>
        <v>209144.13</v>
      </c>
      <c r="I267" s="42" t="n">
        <f aca="false">IF(AND($E267="Nao",$D267&gt;0,$H267&gt;0),$D267/$H267,0)</f>
        <v>0</v>
      </c>
      <c r="J267" s="40" t="n">
        <f aca="false">$I267*$G267</f>
        <v>0</v>
      </c>
      <c r="K267" s="40" t="n">
        <f aca="false">$J267-$F267</f>
        <v>0</v>
      </c>
      <c r="L267" s="27" t="str">
        <f aca="false">IF($D267=0,"Sem embarque",IF($K267&gt;0,"Recebe","Paga"))</f>
        <v>Sem embarque</v>
      </c>
    </row>
    <row r="268" customFormat="false" ht="15" hidden="false" customHeight="false" outlineLevel="0" collapsed="false">
      <c r="A268" s="27" t="s">
        <v>46</v>
      </c>
      <c r="B268" s="27" t="s">
        <v>62</v>
      </c>
      <c r="C268" s="27" t="s">
        <v>111</v>
      </c>
      <c r="D268" s="34" t="n">
        <f aca="false">SUMIFS(Desconto_Cliente_Mes!$D$2:$D$433,Desconto_Cliente_Mes!$A$2:$A$433,$A268,Desconto_Cliente_Mes!$B$2:$B$433,$B268,Desconto_Cliente_Mes!$C$2:$C$433,$C268)</f>
        <v>0</v>
      </c>
      <c r="E268" s="37" t="str">
        <f aca="false">INDEX(Desconto_Cliente_Mes!$K$2:$K$433,MATCH($A268&amp;"|"&amp;$B268&amp;"|"&amp;$C268,Desconto_Cliente_Mes!$W$2:$W$433,0))</f>
        <v/>
      </c>
      <c r="F268" s="39" t="n">
        <f aca="false">SUMIFS(Desconto_Cliente_Mes!$U$2:$U$433,Desconto_Cliente_Mes!$A$2:$A$433,$A268,Desconto_Cliente_Mes!$B$2:$B$433,$B268,Desconto_Cliente_Mes!$C$2:$C$433,$C268)</f>
        <v>0</v>
      </c>
      <c r="G268" s="39" t="n">
        <f aca="false">SUMIFS(Desconto_Cliente_Mes!$U$2:$U$433,Desconto_Cliente_Mes!$B$2:$B$433,$B268,Desconto_Cliente_Mes!$C$2:$C$433,$C268,Desconto_Cliente_Mes!$K$2:$K$433,"Sim")</f>
        <v>34643.0933013345</v>
      </c>
      <c r="H268" s="37" t="n">
        <f aca="false">SUMIFS(Desconto_Cliente_Mes!$D$2:$D$433,Desconto_Cliente_Mes!$B$2:$B$433,$B268,Desconto_Cliente_Mes!$C$2:$C$433,$C268,Desconto_Cliente_Mes!$K$2:$K$433,"Nao",Desconto_Cliente_Mes!$D$2:$D$433,"&gt;0")</f>
        <v>157163.21</v>
      </c>
      <c r="I268" s="42" t="n">
        <f aca="false">IF(AND($E268="Nao",$D268&gt;0,$H268&gt;0),$D268/$H268,0)</f>
        <v>0</v>
      </c>
      <c r="J268" s="40" t="n">
        <f aca="false">$I268*$G268</f>
        <v>0</v>
      </c>
      <c r="K268" s="40" t="n">
        <f aca="false">$J268-$F268</f>
        <v>0</v>
      </c>
      <c r="L268" s="27" t="str">
        <f aca="false">IF($D268=0,"Sem embarque",IF($K268&gt;0,"Recebe","Paga"))</f>
        <v>Sem embarque</v>
      </c>
    </row>
    <row r="269" customFormat="false" ht="15" hidden="false" customHeight="false" outlineLevel="0" collapsed="false">
      <c r="A269" s="27" t="s">
        <v>46</v>
      </c>
      <c r="B269" s="27" t="s">
        <v>63</v>
      </c>
      <c r="C269" s="27" t="s">
        <v>109</v>
      </c>
      <c r="D269" s="34" t="n">
        <f aca="false">SUMIFS(Desconto_Cliente_Mes!$D$2:$D$433,Desconto_Cliente_Mes!$A$2:$A$433,$A269,Desconto_Cliente_Mes!$B$2:$B$433,$B269,Desconto_Cliente_Mes!$C$2:$C$433,$C269)</f>
        <v>0</v>
      </c>
      <c r="E269" s="37" t="str">
        <f aca="false">INDEX(Desconto_Cliente_Mes!$K$2:$K$433,MATCH($A269&amp;"|"&amp;$B269&amp;"|"&amp;$C269,Desconto_Cliente_Mes!$W$2:$W$433,0))</f>
        <v/>
      </c>
      <c r="F269" s="39" t="n">
        <f aca="false">SUMIFS(Desconto_Cliente_Mes!$U$2:$U$433,Desconto_Cliente_Mes!$A$2:$A$433,$A269,Desconto_Cliente_Mes!$B$2:$B$433,$B269,Desconto_Cliente_Mes!$C$2:$C$433,$C269)</f>
        <v>0</v>
      </c>
      <c r="G269" s="39" t="n">
        <f aca="false">SUMIFS(Desconto_Cliente_Mes!$U$2:$U$433,Desconto_Cliente_Mes!$B$2:$B$433,$B269,Desconto_Cliente_Mes!$C$2:$C$433,$C269,Desconto_Cliente_Mes!$K$2:$K$433,"Sim")</f>
        <v>47810.1541211094</v>
      </c>
      <c r="H269" s="37" t="n">
        <f aca="false">SUMIFS(Desconto_Cliente_Mes!$D$2:$D$433,Desconto_Cliente_Mes!$B$2:$B$433,$B269,Desconto_Cliente_Mes!$C$2:$C$433,$C269,Desconto_Cliente_Mes!$K$2:$K$433,"Nao",Desconto_Cliente_Mes!$D$2:$D$433,"&gt;0")</f>
        <v>127871.4</v>
      </c>
      <c r="I269" s="42" t="n">
        <f aca="false">IF(AND($E269="Nao",$D269&gt;0,$H269&gt;0),$D269/$H269,0)</f>
        <v>0</v>
      </c>
      <c r="J269" s="40" t="n">
        <f aca="false">$I269*$G269</f>
        <v>0</v>
      </c>
      <c r="K269" s="40" t="n">
        <f aca="false">$J269-$F269</f>
        <v>0</v>
      </c>
      <c r="L269" s="27" t="str">
        <f aca="false">IF($D269=0,"Sem embarque",IF($K269&gt;0,"Recebe","Paga"))</f>
        <v>Sem embarque</v>
      </c>
    </row>
    <row r="270" customFormat="false" ht="15" hidden="false" customHeight="false" outlineLevel="0" collapsed="false">
      <c r="A270" s="27" t="s">
        <v>46</v>
      </c>
      <c r="B270" s="27" t="s">
        <v>63</v>
      </c>
      <c r="C270" s="27" t="s">
        <v>110</v>
      </c>
      <c r="D270" s="34" t="n">
        <f aca="false">SUMIFS(Desconto_Cliente_Mes!$D$2:$D$433,Desconto_Cliente_Mes!$A$2:$A$433,$A270,Desconto_Cliente_Mes!$B$2:$B$433,$B270,Desconto_Cliente_Mes!$C$2:$C$433,$C270)</f>
        <v>0</v>
      </c>
      <c r="E270" s="37" t="str">
        <f aca="false">INDEX(Desconto_Cliente_Mes!$K$2:$K$433,MATCH($A270&amp;"|"&amp;$B270&amp;"|"&amp;$C270,Desconto_Cliente_Mes!$W$2:$W$433,0))</f>
        <v/>
      </c>
      <c r="F270" s="39" t="n">
        <f aca="false">SUMIFS(Desconto_Cliente_Mes!$U$2:$U$433,Desconto_Cliente_Mes!$A$2:$A$433,$A270,Desconto_Cliente_Mes!$B$2:$B$433,$B270,Desconto_Cliente_Mes!$C$2:$C$433,$C270)</f>
        <v>0</v>
      </c>
      <c r="G270" s="39" t="n">
        <f aca="false">SUMIFS(Desconto_Cliente_Mes!$U$2:$U$433,Desconto_Cliente_Mes!$B$2:$B$433,$B270,Desconto_Cliente_Mes!$C$2:$C$433,$C270,Desconto_Cliente_Mes!$K$2:$K$433,"Sim")</f>
        <v>147648.667120088</v>
      </c>
      <c r="H270" s="37" t="n">
        <f aca="false">SUMIFS(Desconto_Cliente_Mes!$D$2:$D$433,Desconto_Cliente_Mes!$B$2:$B$433,$B270,Desconto_Cliente_Mes!$C$2:$C$433,$C270,Desconto_Cliente_Mes!$K$2:$K$433,"Nao",Desconto_Cliente_Mes!$D$2:$D$433,"&gt;0")</f>
        <v>232651.12</v>
      </c>
      <c r="I270" s="42" t="n">
        <f aca="false">IF(AND($E270="Nao",$D270&gt;0,$H270&gt;0),$D270/$H270,0)</f>
        <v>0</v>
      </c>
      <c r="J270" s="40" t="n">
        <f aca="false">$I270*$G270</f>
        <v>0</v>
      </c>
      <c r="K270" s="40" t="n">
        <f aca="false">$J270-$F270</f>
        <v>0</v>
      </c>
      <c r="L270" s="27" t="str">
        <f aca="false">IF($D270=0,"Sem embarque",IF($K270&gt;0,"Recebe","Paga"))</f>
        <v>Sem embarque</v>
      </c>
    </row>
    <row r="271" customFormat="false" ht="15" hidden="false" customHeight="false" outlineLevel="0" collapsed="false">
      <c r="A271" s="27" t="s">
        <v>46</v>
      </c>
      <c r="B271" s="27" t="s">
        <v>63</v>
      </c>
      <c r="C271" s="27" t="s">
        <v>111</v>
      </c>
      <c r="D271" s="34" t="n">
        <f aca="false">SUMIFS(Desconto_Cliente_Mes!$D$2:$D$433,Desconto_Cliente_Mes!$A$2:$A$433,$A271,Desconto_Cliente_Mes!$B$2:$B$433,$B271,Desconto_Cliente_Mes!$C$2:$C$433,$C271)</f>
        <v>0</v>
      </c>
      <c r="E271" s="37" t="str">
        <f aca="false">INDEX(Desconto_Cliente_Mes!$K$2:$K$433,MATCH($A271&amp;"|"&amp;$B271&amp;"|"&amp;$C271,Desconto_Cliente_Mes!$W$2:$W$433,0))</f>
        <v/>
      </c>
      <c r="F271" s="39" t="n">
        <f aca="false">SUMIFS(Desconto_Cliente_Mes!$U$2:$U$433,Desconto_Cliente_Mes!$A$2:$A$433,$A271,Desconto_Cliente_Mes!$B$2:$B$433,$B271,Desconto_Cliente_Mes!$C$2:$C$433,$C271)</f>
        <v>0</v>
      </c>
      <c r="G271" s="39" t="n">
        <f aca="false">SUMIFS(Desconto_Cliente_Mes!$U$2:$U$433,Desconto_Cliente_Mes!$B$2:$B$433,$B271,Desconto_Cliente_Mes!$C$2:$C$433,$C271,Desconto_Cliente_Mes!$K$2:$K$433,"Sim")</f>
        <v>31621.0546248943</v>
      </c>
      <c r="H271" s="37" t="n">
        <f aca="false">SUMIFS(Desconto_Cliente_Mes!$D$2:$D$433,Desconto_Cliente_Mes!$B$2:$B$433,$B271,Desconto_Cliente_Mes!$C$2:$C$433,$C271,Desconto_Cliente_Mes!$K$2:$K$433,"Nao",Desconto_Cliente_Mes!$D$2:$D$433,"&gt;0")</f>
        <v>127871.4</v>
      </c>
      <c r="I271" s="42" t="n">
        <f aca="false">IF(AND($E271="Nao",$D271&gt;0,$H271&gt;0),$D271/$H271,0)</f>
        <v>0</v>
      </c>
      <c r="J271" s="40" t="n">
        <f aca="false">$I271*$G271</f>
        <v>0</v>
      </c>
      <c r="K271" s="40" t="n">
        <f aca="false">$J271-$F271</f>
        <v>0</v>
      </c>
      <c r="L271" s="27" t="str">
        <f aca="false">IF($D271=0,"Sem embarque",IF($K271&gt;0,"Recebe","Paga"))</f>
        <v>Sem embarque</v>
      </c>
    </row>
    <row r="272" customFormat="false" ht="15" hidden="false" customHeight="false" outlineLevel="0" collapsed="false">
      <c r="A272" s="27" t="s">
        <v>46</v>
      </c>
      <c r="B272" s="27" t="s">
        <v>64</v>
      </c>
      <c r="C272" s="27" t="s">
        <v>109</v>
      </c>
      <c r="D272" s="34" t="n">
        <f aca="false">SUMIFS(Desconto_Cliente_Mes!$D$2:$D$433,Desconto_Cliente_Mes!$A$2:$A$433,$A272,Desconto_Cliente_Mes!$B$2:$B$433,$B272,Desconto_Cliente_Mes!$C$2:$C$433,$C272)</f>
        <v>0</v>
      </c>
      <c r="E272" s="37" t="str">
        <f aca="false">INDEX(Desconto_Cliente_Mes!$K$2:$K$433,MATCH($A272&amp;"|"&amp;$B272&amp;"|"&amp;$C272,Desconto_Cliente_Mes!$W$2:$W$433,0))</f>
        <v/>
      </c>
      <c r="F272" s="39" t="n">
        <f aca="false">SUMIFS(Desconto_Cliente_Mes!$U$2:$U$433,Desconto_Cliente_Mes!$A$2:$A$433,$A272,Desconto_Cliente_Mes!$B$2:$B$433,$B272,Desconto_Cliente_Mes!$C$2:$C$433,$C272)</f>
        <v>0</v>
      </c>
      <c r="G272" s="39" t="n">
        <f aca="false">SUMIFS(Desconto_Cliente_Mes!$U$2:$U$433,Desconto_Cliente_Mes!$B$2:$B$433,$B272,Desconto_Cliente_Mes!$C$2:$C$433,$C272,Desconto_Cliente_Mes!$K$2:$K$433,"Sim")</f>
        <v>176913.022848898</v>
      </c>
      <c r="H272" s="37" t="n">
        <f aca="false">SUMIFS(Desconto_Cliente_Mes!$D$2:$D$433,Desconto_Cliente_Mes!$B$2:$B$433,$B272,Desconto_Cliente_Mes!$C$2:$C$433,$C272,Desconto_Cliente_Mes!$K$2:$K$433,"Nao",Desconto_Cliente_Mes!$D$2:$D$433,"&gt;0")</f>
        <v>227119.227</v>
      </c>
      <c r="I272" s="42" t="n">
        <f aca="false">IF(AND($E272="Nao",$D272&gt;0,$H272&gt;0),$D272/$H272,0)</f>
        <v>0</v>
      </c>
      <c r="J272" s="40" t="n">
        <f aca="false">$I272*$G272</f>
        <v>0</v>
      </c>
      <c r="K272" s="40" t="n">
        <f aca="false">$J272-$F272</f>
        <v>0</v>
      </c>
      <c r="L272" s="27" t="str">
        <f aca="false">IF($D272=0,"Sem embarque",IF($K272&gt;0,"Recebe","Paga"))</f>
        <v>Sem embarque</v>
      </c>
    </row>
    <row r="273" customFormat="false" ht="15" hidden="false" customHeight="false" outlineLevel="0" collapsed="false">
      <c r="A273" s="27" t="s">
        <v>46</v>
      </c>
      <c r="B273" s="27" t="s">
        <v>64</v>
      </c>
      <c r="C273" s="27" t="s">
        <v>110</v>
      </c>
      <c r="D273" s="34" t="n">
        <f aca="false">SUMIFS(Desconto_Cliente_Mes!$D$2:$D$433,Desconto_Cliente_Mes!$A$2:$A$433,$A273,Desconto_Cliente_Mes!$B$2:$B$433,$B273,Desconto_Cliente_Mes!$C$2:$C$433,$C273)</f>
        <v>0</v>
      </c>
      <c r="E273" s="37" t="str">
        <f aca="false">INDEX(Desconto_Cliente_Mes!$K$2:$K$433,MATCH($A273&amp;"|"&amp;$B273&amp;"|"&amp;$C273,Desconto_Cliente_Mes!$W$2:$W$433,0))</f>
        <v/>
      </c>
      <c r="F273" s="39" t="n">
        <f aca="false">SUMIFS(Desconto_Cliente_Mes!$U$2:$U$433,Desconto_Cliente_Mes!$A$2:$A$433,$A273,Desconto_Cliente_Mes!$B$2:$B$433,$B273,Desconto_Cliente_Mes!$C$2:$C$433,$C273)</f>
        <v>0</v>
      </c>
      <c r="G273" s="39" t="n">
        <f aca="false">SUMIFS(Desconto_Cliente_Mes!$U$2:$U$433,Desconto_Cliente_Mes!$B$2:$B$433,$B273,Desconto_Cliente_Mes!$C$2:$C$433,$C273,Desconto_Cliente_Mes!$K$2:$K$433,"Sim")</f>
        <v>78148.4030953999</v>
      </c>
      <c r="H273" s="37" t="n">
        <f aca="false">SUMIFS(Desconto_Cliente_Mes!$D$2:$D$433,Desconto_Cliente_Mes!$B$2:$B$433,$B273,Desconto_Cliente_Mes!$C$2:$C$433,$C273,Desconto_Cliente_Mes!$K$2:$K$433,"Nao",Desconto_Cliente_Mes!$D$2:$D$433,"&gt;0")</f>
        <v>367366.52</v>
      </c>
      <c r="I273" s="42" t="n">
        <f aca="false">IF(AND($E273="Nao",$D273&gt;0,$H273&gt;0),$D273/$H273,0)</f>
        <v>0</v>
      </c>
      <c r="J273" s="40" t="n">
        <f aca="false">$I273*$G273</f>
        <v>0</v>
      </c>
      <c r="K273" s="40" t="n">
        <f aca="false">$J273-$F273</f>
        <v>0</v>
      </c>
      <c r="L273" s="27" t="str">
        <f aca="false">IF($D273=0,"Sem embarque",IF($K273&gt;0,"Recebe","Paga"))</f>
        <v>Sem embarque</v>
      </c>
    </row>
    <row r="274" customFormat="false" ht="15" hidden="false" customHeight="false" outlineLevel="0" collapsed="false">
      <c r="A274" s="27" t="s">
        <v>46</v>
      </c>
      <c r="B274" s="27" t="s">
        <v>64</v>
      </c>
      <c r="C274" s="27" t="s">
        <v>111</v>
      </c>
      <c r="D274" s="34" t="n">
        <f aca="false">SUMIFS(Desconto_Cliente_Mes!$D$2:$D$433,Desconto_Cliente_Mes!$A$2:$A$433,$A274,Desconto_Cliente_Mes!$B$2:$B$433,$B274,Desconto_Cliente_Mes!$C$2:$C$433,$C274)</f>
        <v>0</v>
      </c>
      <c r="E274" s="37" t="str">
        <f aca="false">INDEX(Desconto_Cliente_Mes!$K$2:$K$433,MATCH($A274&amp;"|"&amp;$B274&amp;"|"&amp;$C274,Desconto_Cliente_Mes!$W$2:$W$433,0))</f>
        <v/>
      </c>
      <c r="F274" s="39" t="n">
        <f aca="false">SUMIFS(Desconto_Cliente_Mes!$U$2:$U$433,Desconto_Cliente_Mes!$A$2:$A$433,$A274,Desconto_Cliente_Mes!$B$2:$B$433,$B274,Desconto_Cliente_Mes!$C$2:$C$433,$C274)</f>
        <v>0</v>
      </c>
      <c r="G274" s="39" t="n">
        <f aca="false">SUMIFS(Desconto_Cliente_Mes!$U$2:$U$433,Desconto_Cliente_Mes!$B$2:$B$433,$B274,Desconto_Cliente_Mes!$C$2:$C$433,$C274,Desconto_Cliente_Mes!$K$2:$K$433,"Sim")</f>
        <v>53234.6338979999</v>
      </c>
      <c r="H274" s="37" t="n">
        <f aca="false">SUMIFS(Desconto_Cliente_Mes!$D$2:$D$433,Desconto_Cliente_Mes!$B$2:$B$433,$B274,Desconto_Cliente_Mes!$C$2:$C$433,$C274,Desconto_Cliente_Mes!$K$2:$K$433,"Nao",Desconto_Cliente_Mes!$D$2:$D$433,"&gt;0")</f>
        <v>250467.867</v>
      </c>
      <c r="I274" s="42" t="n">
        <f aca="false">IF(AND($E274="Nao",$D274&gt;0,$H274&gt;0),$D274/$H274,0)</f>
        <v>0</v>
      </c>
      <c r="J274" s="40" t="n">
        <f aca="false">$I274*$G274</f>
        <v>0</v>
      </c>
      <c r="K274" s="40" t="n">
        <f aca="false">$J274-$F274</f>
        <v>0</v>
      </c>
      <c r="L274" s="27" t="str">
        <f aca="false">IF($D274=0,"Sem embarque",IF($K274&gt;0,"Recebe","Paga"))</f>
        <v>Sem embarque</v>
      </c>
    </row>
    <row r="275" customFormat="false" ht="15" hidden="false" customHeight="false" outlineLevel="0" collapsed="false">
      <c r="A275" s="27" t="s">
        <v>46</v>
      </c>
      <c r="B275" s="27" t="s">
        <v>65</v>
      </c>
      <c r="C275" s="27" t="s">
        <v>109</v>
      </c>
      <c r="D275" s="34" t="n">
        <f aca="false">SUMIFS(Desconto_Cliente_Mes!$D$2:$D$433,Desconto_Cliente_Mes!$A$2:$A$433,$A275,Desconto_Cliente_Mes!$B$2:$B$433,$B275,Desconto_Cliente_Mes!$C$2:$C$433,$C275)</f>
        <v>11582.49</v>
      </c>
      <c r="E275" s="37" t="str">
        <f aca="false">INDEX(Desconto_Cliente_Mes!$K$2:$K$433,MATCH($A275&amp;"|"&amp;$B275&amp;"|"&amp;$C275,Desconto_Cliente_Mes!$W$2:$W$433,0))</f>
        <v>Nao</v>
      </c>
      <c r="F275" s="39" t="n">
        <f aca="false">SUMIFS(Desconto_Cliente_Mes!$U$2:$U$433,Desconto_Cliente_Mes!$A$2:$A$433,$A275,Desconto_Cliente_Mes!$B$2:$B$433,$B275,Desconto_Cliente_Mes!$C$2:$C$433,$C275)</f>
        <v>0</v>
      </c>
      <c r="G275" s="39" t="n">
        <f aca="false">SUMIFS(Desconto_Cliente_Mes!$U$2:$U$433,Desconto_Cliente_Mes!$B$2:$B$433,$B275,Desconto_Cliente_Mes!$C$2:$C$433,$C275,Desconto_Cliente_Mes!$K$2:$K$433,"Sim")</f>
        <v>264399.663796851</v>
      </c>
      <c r="H275" s="37" t="n">
        <f aca="false">SUMIFS(Desconto_Cliente_Mes!$D$2:$D$433,Desconto_Cliente_Mes!$B$2:$B$433,$B275,Desconto_Cliente_Mes!$C$2:$C$433,$C275,Desconto_Cliente_Mes!$K$2:$K$433,"Nao",Desconto_Cliente_Mes!$D$2:$D$433,"&gt;0")</f>
        <v>166556.65</v>
      </c>
      <c r="I275" s="42" t="n">
        <f aca="false">IF(AND($E275="Nao",$D275&gt;0,$H275&gt;0),$D275/$H275,0)</f>
        <v>0.0695408439110657</v>
      </c>
      <c r="J275" s="40" t="n">
        <f aca="false">$I275*$G275</f>
        <v>18386.5757502351</v>
      </c>
      <c r="K275" s="40" t="n">
        <f aca="false">$J275-$F275</f>
        <v>18386.5757502351</v>
      </c>
      <c r="L275" s="27" t="str">
        <f aca="false">IF($D275=0,"Sem embarque",IF($K275&gt;0,"Recebe","Paga"))</f>
        <v>Recebe</v>
      </c>
    </row>
    <row r="276" customFormat="false" ht="15" hidden="false" customHeight="false" outlineLevel="0" collapsed="false">
      <c r="A276" s="27" t="s">
        <v>46</v>
      </c>
      <c r="B276" s="27" t="s">
        <v>65</v>
      </c>
      <c r="C276" s="27" t="s">
        <v>110</v>
      </c>
      <c r="D276" s="34" t="n">
        <f aca="false">SUMIFS(Desconto_Cliente_Mes!$D$2:$D$433,Desconto_Cliente_Mes!$A$2:$A$433,$A276,Desconto_Cliente_Mes!$B$2:$B$433,$B276,Desconto_Cliente_Mes!$C$2:$C$433,$C276)</f>
        <v>11582.49</v>
      </c>
      <c r="E276" s="37" t="str">
        <f aca="false">INDEX(Desconto_Cliente_Mes!$K$2:$K$433,MATCH($A276&amp;"|"&amp;$B276&amp;"|"&amp;$C276,Desconto_Cliente_Mes!$W$2:$W$433,0))</f>
        <v>Nao</v>
      </c>
      <c r="F276" s="39" t="n">
        <f aca="false">SUMIFS(Desconto_Cliente_Mes!$U$2:$U$433,Desconto_Cliente_Mes!$A$2:$A$433,$A276,Desconto_Cliente_Mes!$B$2:$B$433,$B276,Desconto_Cliente_Mes!$C$2:$C$433,$C276)</f>
        <v>0</v>
      </c>
      <c r="G276" s="39" t="n">
        <f aca="false">SUMIFS(Desconto_Cliente_Mes!$U$2:$U$433,Desconto_Cliente_Mes!$B$2:$B$433,$B276,Desconto_Cliente_Mes!$C$2:$C$433,$C276,Desconto_Cliente_Mes!$K$2:$K$433,"Sim")</f>
        <v>54942.617336</v>
      </c>
      <c r="H276" s="37" t="n">
        <f aca="false">SUMIFS(Desconto_Cliente_Mes!$D$2:$D$433,Desconto_Cliente_Mes!$B$2:$B$433,$B276,Desconto_Cliente_Mes!$C$2:$C$433,$C276,Desconto_Cliente_Mes!$K$2:$K$433,"Nao",Desconto_Cliente_Mes!$D$2:$D$433,"&gt;0")</f>
        <v>378160.7</v>
      </c>
      <c r="I276" s="42" t="n">
        <f aca="false">IF(AND($E276="Nao",$D276&gt;0,$H276&gt;0),$D276/$H276,0)</f>
        <v>0.03062848677824</v>
      </c>
      <c r="J276" s="40" t="n">
        <f aca="false">$I276*$G276</f>
        <v>1682.80922863758</v>
      </c>
      <c r="K276" s="40" t="n">
        <f aca="false">$J276-$F276</f>
        <v>1682.80922863758</v>
      </c>
      <c r="L276" s="27" t="str">
        <f aca="false">IF($D276=0,"Sem embarque",IF($K276&gt;0,"Recebe","Paga"))</f>
        <v>Recebe</v>
      </c>
    </row>
    <row r="277" customFormat="false" ht="15" hidden="false" customHeight="false" outlineLevel="0" collapsed="false">
      <c r="A277" s="27" t="s">
        <v>46</v>
      </c>
      <c r="B277" s="27" t="s">
        <v>65</v>
      </c>
      <c r="C277" s="27" t="s">
        <v>111</v>
      </c>
      <c r="D277" s="34" t="n">
        <f aca="false">SUMIFS(Desconto_Cliente_Mes!$D$2:$D$433,Desconto_Cliente_Mes!$A$2:$A$433,$A277,Desconto_Cliente_Mes!$B$2:$B$433,$B277,Desconto_Cliente_Mes!$C$2:$C$433,$C277)</f>
        <v>11582.49</v>
      </c>
      <c r="E277" s="37" t="str">
        <f aca="false">INDEX(Desconto_Cliente_Mes!$K$2:$K$433,MATCH($A277&amp;"|"&amp;$B277&amp;"|"&amp;$C277,Desconto_Cliente_Mes!$W$2:$W$433,0))</f>
        <v>Nao</v>
      </c>
      <c r="F277" s="39" t="n">
        <f aca="false">SUMIFS(Desconto_Cliente_Mes!$U$2:$U$433,Desconto_Cliente_Mes!$A$2:$A$433,$A277,Desconto_Cliente_Mes!$B$2:$B$433,$B277,Desconto_Cliente_Mes!$C$2:$C$433,$C277)</f>
        <v>0</v>
      </c>
      <c r="G277" s="39" t="n">
        <f aca="false">SUMIFS(Desconto_Cliente_Mes!$U$2:$U$433,Desconto_Cliente_Mes!$B$2:$B$433,$B277,Desconto_Cliente_Mes!$C$2:$C$433,$C277,Desconto_Cliente_Mes!$K$2:$K$433,"Sim")</f>
        <v>131995.749729693</v>
      </c>
      <c r="H277" s="37" t="n">
        <f aca="false">SUMIFS(Desconto_Cliente_Mes!$D$2:$D$433,Desconto_Cliente_Mes!$B$2:$B$433,$B277,Desconto_Cliente_Mes!$C$2:$C$433,$C277,Desconto_Cliente_Mes!$K$2:$K$433,"Nao",Desconto_Cliente_Mes!$D$2:$D$433,"&gt;0")</f>
        <v>132693.79</v>
      </c>
      <c r="I277" s="42" t="n">
        <f aca="false">IF(AND($E277="Nao",$D277&gt;0,$H277&gt;0),$D277/$H277,0)</f>
        <v>0.087287355346471</v>
      </c>
      <c r="J277" s="40" t="n">
        <f aca="false">$I277*$G277</f>
        <v>11521.5599108795</v>
      </c>
      <c r="K277" s="40" t="n">
        <f aca="false">$J277-$F277</f>
        <v>11521.5599108795</v>
      </c>
      <c r="L277" s="27" t="str">
        <f aca="false">IF($D277=0,"Sem embarque",IF($K277&gt;0,"Recebe","Paga"))</f>
        <v>Recebe</v>
      </c>
    </row>
    <row r="278" customFormat="false" ht="15" hidden="false" customHeight="false" outlineLevel="0" collapsed="false">
      <c r="A278" s="27" t="s">
        <v>46</v>
      </c>
      <c r="B278" s="27" t="s">
        <v>66</v>
      </c>
      <c r="C278" s="27" t="s">
        <v>109</v>
      </c>
      <c r="D278" s="34" t="n">
        <f aca="false">SUMIFS(Desconto_Cliente_Mes!$D$2:$D$433,Desconto_Cliente_Mes!$A$2:$A$433,$A278,Desconto_Cliente_Mes!$B$2:$B$433,$B278,Desconto_Cliente_Mes!$C$2:$C$433,$C278)</f>
        <v>3730.96</v>
      </c>
      <c r="E278" s="37" t="str">
        <f aca="false">INDEX(Desconto_Cliente_Mes!$K$2:$K$433,MATCH($A278&amp;"|"&amp;$B278&amp;"|"&amp;$C278,Desconto_Cliente_Mes!$W$2:$W$433,0))</f>
        <v>Sim</v>
      </c>
      <c r="F278" s="39" t="n">
        <f aca="false">SUMIFS(Desconto_Cliente_Mes!$U$2:$U$433,Desconto_Cliente_Mes!$A$2:$A$433,$A278,Desconto_Cliente_Mes!$B$2:$B$433,$B278,Desconto_Cliente_Mes!$C$2:$C$433,$C278)</f>
        <v>2903.91707500381</v>
      </c>
      <c r="G278" s="39" t="n">
        <f aca="false">SUMIFS(Desconto_Cliente_Mes!$U$2:$U$433,Desconto_Cliente_Mes!$B$2:$B$433,$B278,Desconto_Cliente_Mes!$C$2:$C$433,$C278,Desconto_Cliente_Mes!$K$2:$K$433,"Sim")</f>
        <v>26408.1404587724</v>
      </c>
      <c r="H278" s="37" t="n">
        <f aca="false">SUMIFS(Desconto_Cliente_Mes!$D$2:$D$433,Desconto_Cliente_Mes!$B$2:$B$433,$B278,Desconto_Cliente_Mes!$C$2:$C$433,$C278,Desconto_Cliente_Mes!$K$2:$K$433,"Nao",Desconto_Cliente_Mes!$D$2:$D$433,"&gt;0")</f>
        <v>25249.51</v>
      </c>
      <c r="I278" s="42" t="n">
        <f aca="false">IF(AND($E278="Nao",$D278&gt;0,$H278&gt;0),$D278/$H278,0)</f>
        <v>0</v>
      </c>
      <c r="J278" s="40" t="n">
        <f aca="false">$I278*$G278</f>
        <v>0</v>
      </c>
      <c r="K278" s="40" t="n">
        <f aca="false">$J278-$F278</f>
        <v>-2903.91707500381</v>
      </c>
      <c r="L278" s="27" t="str">
        <f aca="false">IF($D278=0,"Sem embarque",IF($K278&gt;0,"Recebe","Paga"))</f>
        <v>Paga</v>
      </c>
    </row>
    <row r="279" customFormat="false" ht="15" hidden="false" customHeight="false" outlineLevel="0" collapsed="false">
      <c r="A279" s="27" t="s">
        <v>46</v>
      </c>
      <c r="B279" s="27" t="s">
        <v>66</v>
      </c>
      <c r="C279" s="27" t="s">
        <v>110</v>
      </c>
      <c r="D279" s="34" t="n">
        <f aca="false">SUMIFS(Desconto_Cliente_Mes!$D$2:$D$433,Desconto_Cliente_Mes!$A$2:$A$433,$A279,Desconto_Cliente_Mes!$B$2:$B$433,$B279,Desconto_Cliente_Mes!$C$2:$C$433,$C279)</f>
        <v>3730.96</v>
      </c>
      <c r="E279" s="37" t="str">
        <f aca="false">INDEX(Desconto_Cliente_Mes!$K$2:$K$433,MATCH($A279&amp;"|"&amp;$B279&amp;"|"&amp;$C279,Desconto_Cliente_Mes!$W$2:$W$433,0))</f>
        <v>Sim</v>
      </c>
      <c r="F279" s="39" t="n">
        <f aca="false">SUMIFS(Desconto_Cliente_Mes!$U$2:$U$433,Desconto_Cliente_Mes!$A$2:$A$433,$A279,Desconto_Cliente_Mes!$B$2:$B$433,$B279,Desconto_Cliente_Mes!$C$2:$C$433,$C279)</f>
        <v>243.258591999995</v>
      </c>
      <c r="G279" s="39" t="n">
        <f aca="false">SUMIFS(Desconto_Cliente_Mes!$U$2:$U$433,Desconto_Cliente_Mes!$B$2:$B$433,$B279,Desconto_Cliente_Mes!$C$2:$C$433,$C279,Desconto_Cliente_Mes!$K$2:$K$433,"Sim")</f>
        <v>20574.688366</v>
      </c>
      <c r="H279" s="37" t="n">
        <f aca="false">SUMIFS(Desconto_Cliente_Mes!$D$2:$D$433,Desconto_Cliente_Mes!$B$2:$B$433,$B279,Desconto_Cliente_Mes!$C$2:$C$433,$C279,Desconto_Cliente_Mes!$K$2:$K$433,"Nao",Desconto_Cliente_Mes!$D$2:$D$433,"&gt;0")</f>
        <v>36785.35</v>
      </c>
      <c r="I279" s="42" t="n">
        <f aca="false">IF(AND($E279="Nao",$D279&gt;0,$H279&gt;0),$D279/$H279,0)</f>
        <v>0</v>
      </c>
      <c r="J279" s="40" t="n">
        <f aca="false">$I279*$G279</f>
        <v>0</v>
      </c>
      <c r="K279" s="40" t="n">
        <f aca="false">$J279-$F279</f>
        <v>-243.258591999995</v>
      </c>
      <c r="L279" s="27" t="str">
        <f aca="false">IF($D279=0,"Sem embarque",IF($K279&gt;0,"Recebe","Paga"))</f>
        <v>Paga</v>
      </c>
    </row>
    <row r="280" customFormat="false" ht="15" hidden="false" customHeight="false" outlineLevel="0" collapsed="false">
      <c r="A280" s="27" t="s">
        <v>46</v>
      </c>
      <c r="B280" s="27" t="s">
        <v>66</v>
      </c>
      <c r="C280" s="27" t="s">
        <v>111</v>
      </c>
      <c r="D280" s="34" t="n">
        <f aca="false">SUMIFS(Desconto_Cliente_Mes!$D$2:$D$433,Desconto_Cliente_Mes!$A$2:$A$433,$A280,Desconto_Cliente_Mes!$B$2:$B$433,$B280,Desconto_Cliente_Mes!$C$2:$C$433,$C280)</f>
        <v>3730.96</v>
      </c>
      <c r="E280" s="37" t="str">
        <f aca="false">INDEX(Desconto_Cliente_Mes!$K$2:$K$433,MATCH($A280&amp;"|"&amp;$B280&amp;"|"&amp;$C280,Desconto_Cliente_Mes!$W$2:$W$433,0))</f>
        <v>Sim</v>
      </c>
      <c r="F280" s="39" t="n">
        <f aca="false">SUMIFS(Desconto_Cliente_Mes!$U$2:$U$433,Desconto_Cliente_Mes!$A$2:$A$433,$A280,Desconto_Cliente_Mes!$B$2:$B$433,$B280,Desconto_Cliente_Mes!$C$2:$C$433,$C280)</f>
        <v>1506.53431061837</v>
      </c>
      <c r="G280" s="39" t="n">
        <f aca="false">SUMIFS(Desconto_Cliente_Mes!$U$2:$U$433,Desconto_Cliente_Mes!$B$2:$B$433,$B280,Desconto_Cliente_Mes!$C$2:$C$433,$C280,Desconto_Cliente_Mes!$K$2:$K$433,"Sim")</f>
        <v>12224.7687289319</v>
      </c>
      <c r="H280" s="37" t="n">
        <f aca="false">SUMIFS(Desconto_Cliente_Mes!$D$2:$D$433,Desconto_Cliente_Mes!$B$2:$B$433,$B280,Desconto_Cliente_Mes!$C$2:$C$433,$C280,Desconto_Cliente_Mes!$K$2:$K$433,"Nao",Desconto_Cliente_Mes!$D$2:$D$433,"&gt;0")</f>
        <v>41847.52</v>
      </c>
      <c r="I280" s="42" t="n">
        <f aca="false">IF(AND($E280="Nao",$D280&gt;0,$H280&gt;0),$D280/$H280,0)</f>
        <v>0</v>
      </c>
      <c r="J280" s="40" t="n">
        <f aca="false">$I280*$G280</f>
        <v>0</v>
      </c>
      <c r="K280" s="40" t="n">
        <f aca="false">$J280-$F280</f>
        <v>-1506.53431061837</v>
      </c>
      <c r="L280" s="27" t="str">
        <f aca="false">IF($D280=0,"Sem embarque",IF($K280&gt;0,"Recebe","Paga"))</f>
        <v>Paga</v>
      </c>
    </row>
    <row r="281" customFormat="false" ht="15" hidden="false" customHeight="false" outlineLevel="0" collapsed="false">
      <c r="A281" s="27" t="s">
        <v>46</v>
      </c>
      <c r="B281" s="27" t="s">
        <v>67</v>
      </c>
      <c r="C281" s="27" t="s">
        <v>109</v>
      </c>
      <c r="D281" s="34" t="n">
        <f aca="false">SUMIFS(Desconto_Cliente_Mes!$D$2:$D$433,Desconto_Cliente_Mes!$A$2:$A$433,$A281,Desconto_Cliente_Mes!$B$2:$B$433,$B281,Desconto_Cliente_Mes!$C$2:$C$433,$C281)</f>
        <v>0</v>
      </c>
      <c r="E281" s="37" t="str">
        <f aca="false">INDEX(Desconto_Cliente_Mes!$K$2:$K$433,MATCH($A281&amp;"|"&amp;$B281&amp;"|"&amp;$C281,Desconto_Cliente_Mes!$W$2:$W$433,0))</f>
        <v/>
      </c>
      <c r="F281" s="39" t="n">
        <f aca="false">SUMIFS(Desconto_Cliente_Mes!$U$2:$U$433,Desconto_Cliente_Mes!$A$2:$A$433,$A281,Desconto_Cliente_Mes!$B$2:$B$433,$B281,Desconto_Cliente_Mes!$C$2:$C$433,$C281)</f>
        <v>0</v>
      </c>
      <c r="G281" s="39" t="n">
        <f aca="false">SUMIFS(Desconto_Cliente_Mes!$U$2:$U$433,Desconto_Cliente_Mes!$B$2:$B$433,$B281,Desconto_Cliente_Mes!$C$2:$C$433,$C281,Desconto_Cliente_Mes!$K$2:$K$433,"Sim")</f>
        <v>0</v>
      </c>
      <c r="H281" s="37" t="n">
        <f aca="false">SUMIFS(Desconto_Cliente_Mes!$D$2:$D$433,Desconto_Cliente_Mes!$B$2:$B$433,$B281,Desconto_Cliente_Mes!$C$2:$C$433,$C281,Desconto_Cliente_Mes!$K$2:$K$433,"Nao",Desconto_Cliente_Mes!$D$2:$D$433,"&gt;0")</f>
        <v>0</v>
      </c>
      <c r="I281" s="42" t="n">
        <f aca="false">IF(AND($E281="Nao",$D281&gt;0,$H281&gt;0),$D281/$H281,0)</f>
        <v>0</v>
      </c>
      <c r="J281" s="40" t="n">
        <f aca="false">$I281*$G281</f>
        <v>0</v>
      </c>
      <c r="K281" s="40" t="n">
        <f aca="false">$J281-$F281</f>
        <v>0</v>
      </c>
      <c r="L281" s="27" t="str">
        <f aca="false">IF($D281=0,"Sem embarque",IF($K281&gt;0,"Recebe","Paga"))</f>
        <v>Sem embarque</v>
      </c>
    </row>
    <row r="282" customFormat="false" ht="15" hidden="false" customHeight="false" outlineLevel="0" collapsed="false">
      <c r="A282" s="27" t="s">
        <v>46</v>
      </c>
      <c r="B282" s="27" t="s">
        <v>67</v>
      </c>
      <c r="C282" s="27" t="s">
        <v>110</v>
      </c>
      <c r="D282" s="34" t="n">
        <f aca="false">SUMIFS(Desconto_Cliente_Mes!$D$2:$D$433,Desconto_Cliente_Mes!$A$2:$A$433,$A282,Desconto_Cliente_Mes!$B$2:$B$433,$B282,Desconto_Cliente_Mes!$C$2:$C$433,$C282)</f>
        <v>0</v>
      </c>
      <c r="E282" s="37" t="str">
        <f aca="false">INDEX(Desconto_Cliente_Mes!$K$2:$K$433,MATCH($A282&amp;"|"&amp;$B282&amp;"|"&amp;$C282,Desconto_Cliente_Mes!$W$2:$W$433,0))</f>
        <v/>
      </c>
      <c r="F282" s="39" t="n">
        <f aca="false">SUMIFS(Desconto_Cliente_Mes!$U$2:$U$433,Desconto_Cliente_Mes!$A$2:$A$433,$A282,Desconto_Cliente_Mes!$B$2:$B$433,$B282,Desconto_Cliente_Mes!$C$2:$C$433,$C282)</f>
        <v>0</v>
      </c>
      <c r="G282" s="39" t="n">
        <f aca="false">SUMIFS(Desconto_Cliente_Mes!$U$2:$U$433,Desconto_Cliente_Mes!$B$2:$B$433,$B282,Desconto_Cliente_Mes!$C$2:$C$433,$C282,Desconto_Cliente_Mes!$K$2:$K$433,"Sim")</f>
        <v>0</v>
      </c>
      <c r="H282" s="37" t="n">
        <f aca="false">SUMIFS(Desconto_Cliente_Mes!$D$2:$D$433,Desconto_Cliente_Mes!$B$2:$B$433,$B282,Desconto_Cliente_Mes!$C$2:$C$433,$C282,Desconto_Cliente_Mes!$K$2:$K$433,"Nao",Desconto_Cliente_Mes!$D$2:$D$433,"&gt;0")</f>
        <v>0</v>
      </c>
      <c r="I282" s="42" t="n">
        <f aca="false">IF(AND($E282="Nao",$D282&gt;0,$H282&gt;0),$D282/$H282,0)</f>
        <v>0</v>
      </c>
      <c r="J282" s="40" t="n">
        <f aca="false">$I282*$G282</f>
        <v>0</v>
      </c>
      <c r="K282" s="40" t="n">
        <f aca="false">$J282-$F282</f>
        <v>0</v>
      </c>
      <c r="L282" s="27" t="str">
        <f aca="false">IF($D282=0,"Sem embarque",IF($K282&gt;0,"Recebe","Paga"))</f>
        <v>Sem embarque</v>
      </c>
    </row>
    <row r="283" customFormat="false" ht="15" hidden="false" customHeight="false" outlineLevel="0" collapsed="false">
      <c r="A283" s="27" t="s">
        <v>46</v>
      </c>
      <c r="B283" s="27" t="s">
        <v>67</v>
      </c>
      <c r="C283" s="27" t="s">
        <v>111</v>
      </c>
      <c r="D283" s="34" t="n">
        <f aca="false">SUMIFS(Desconto_Cliente_Mes!$D$2:$D$433,Desconto_Cliente_Mes!$A$2:$A$433,$A283,Desconto_Cliente_Mes!$B$2:$B$433,$B283,Desconto_Cliente_Mes!$C$2:$C$433,$C283)</f>
        <v>0</v>
      </c>
      <c r="E283" s="37" t="str">
        <f aca="false">INDEX(Desconto_Cliente_Mes!$K$2:$K$433,MATCH($A283&amp;"|"&amp;$B283&amp;"|"&amp;$C283,Desconto_Cliente_Mes!$W$2:$W$433,0))</f>
        <v/>
      </c>
      <c r="F283" s="39" t="n">
        <f aca="false">SUMIFS(Desconto_Cliente_Mes!$U$2:$U$433,Desconto_Cliente_Mes!$A$2:$A$433,$A283,Desconto_Cliente_Mes!$B$2:$B$433,$B283,Desconto_Cliente_Mes!$C$2:$C$433,$C283)</f>
        <v>0</v>
      </c>
      <c r="G283" s="39" t="n">
        <f aca="false">SUMIFS(Desconto_Cliente_Mes!$U$2:$U$433,Desconto_Cliente_Mes!$B$2:$B$433,$B283,Desconto_Cliente_Mes!$C$2:$C$433,$C283,Desconto_Cliente_Mes!$K$2:$K$433,"Sim")</f>
        <v>0</v>
      </c>
      <c r="H283" s="37" t="n">
        <f aca="false">SUMIFS(Desconto_Cliente_Mes!$D$2:$D$433,Desconto_Cliente_Mes!$B$2:$B$433,$B283,Desconto_Cliente_Mes!$C$2:$C$433,$C283,Desconto_Cliente_Mes!$K$2:$K$433,"Nao",Desconto_Cliente_Mes!$D$2:$D$433,"&gt;0")</f>
        <v>0</v>
      </c>
      <c r="I283" s="42" t="n">
        <f aca="false">IF(AND($E283="Nao",$D283&gt;0,$H283&gt;0),$D283/$H283,0)</f>
        <v>0</v>
      </c>
      <c r="J283" s="40" t="n">
        <f aca="false">$I283*$G283</f>
        <v>0</v>
      </c>
      <c r="K283" s="40" t="n">
        <f aca="false">$J283-$F283</f>
        <v>0</v>
      </c>
      <c r="L283" s="27" t="str">
        <f aca="false">IF($D283=0,"Sem embarque",IF($K283&gt;0,"Recebe","Paga"))</f>
        <v>Sem embarque</v>
      </c>
    </row>
    <row r="284" customFormat="false" ht="15" hidden="false" customHeight="false" outlineLevel="0" collapsed="false">
      <c r="A284" s="27" t="s">
        <v>46</v>
      </c>
      <c r="B284" s="27" t="s">
        <v>68</v>
      </c>
      <c r="C284" s="27" t="s">
        <v>109</v>
      </c>
      <c r="D284" s="34" t="n">
        <f aca="false">SUMIFS(Desconto_Cliente_Mes!$D$2:$D$433,Desconto_Cliente_Mes!$A$2:$A$433,$A284,Desconto_Cliente_Mes!$B$2:$B$433,$B284,Desconto_Cliente_Mes!$C$2:$C$433,$C284)</f>
        <v>0</v>
      </c>
      <c r="E284" s="37" t="str">
        <f aca="false">INDEX(Desconto_Cliente_Mes!$K$2:$K$433,MATCH($A284&amp;"|"&amp;$B284&amp;"|"&amp;$C284,Desconto_Cliente_Mes!$W$2:$W$433,0))</f>
        <v/>
      </c>
      <c r="F284" s="39" t="n">
        <f aca="false">SUMIFS(Desconto_Cliente_Mes!$U$2:$U$433,Desconto_Cliente_Mes!$A$2:$A$433,$A284,Desconto_Cliente_Mes!$B$2:$B$433,$B284,Desconto_Cliente_Mes!$C$2:$C$433,$C284)</f>
        <v>0</v>
      </c>
      <c r="G284" s="39" t="n">
        <f aca="false">SUMIFS(Desconto_Cliente_Mes!$U$2:$U$433,Desconto_Cliente_Mes!$B$2:$B$433,$B284,Desconto_Cliente_Mes!$C$2:$C$433,$C284,Desconto_Cliente_Mes!$K$2:$K$433,"Sim")</f>
        <v>0</v>
      </c>
      <c r="H284" s="37" t="n">
        <f aca="false">SUMIFS(Desconto_Cliente_Mes!$D$2:$D$433,Desconto_Cliente_Mes!$B$2:$B$433,$B284,Desconto_Cliente_Mes!$C$2:$C$433,$C284,Desconto_Cliente_Mes!$K$2:$K$433,"Nao",Desconto_Cliente_Mes!$D$2:$D$433,"&gt;0")</f>
        <v>0</v>
      </c>
      <c r="I284" s="42" t="n">
        <f aca="false">IF(AND($E284="Nao",$D284&gt;0,$H284&gt;0),$D284/$H284,0)</f>
        <v>0</v>
      </c>
      <c r="J284" s="40" t="n">
        <f aca="false">$I284*$G284</f>
        <v>0</v>
      </c>
      <c r="K284" s="40" t="n">
        <f aca="false">$J284-$F284</f>
        <v>0</v>
      </c>
      <c r="L284" s="27" t="str">
        <f aca="false">IF($D284=0,"Sem embarque",IF($K284&gt;0,"Recebe","Paga"))</f>
        <v>Sem embarque</v>
      </c>
    </row>
    <row r="285" customFormat="false" ht="15" hidden="false" customHeight="false" outlineLevel="0" collapsed="false">
      <c r="A285" s="27" t="s">
        <v>46</v>
      </c>
      <c r="B285" s="27" t="s">
        <v>68</v>
      </c>
      <c r="C285" s="27" t="s">
        <v>110</v>
      </c>
      <c r="D285" s="34" t="n">
        <f aca="false">SUMIFS(Desconto_Cliente_Mes!$D$2:$D$433,Desconto_Cliente_Mes!$A$2:$A$433,$A285,Desconto_Cliente_Mes!$B$2:$B$433,$B285,Desconto_Cliente_Mes!$C$2:$C$433,$C285)</f>
        <v>0</v>
      </c>
      <c r="E285" s="37" t="str">
        <f aca="false">INDEX(Desconto_Cliente_Mes!$K$2:$K$433,MATCH($A285&amp;"|"&amp;$B285&amp;"|"&amp;$C285,Desconto_Cliente_Mes!$W$2:$W$433,0))</f>
        <v/>
      </c>
      <c r="F285" s="39" t="n">
        <f aca="false">SUMIFS(Desconto_Cliente_Mes!$U$2:$U$433,Desconto_Cliente_Mes!$A$2:$A$433,$A285,Desconto_Cliente_Mes!$B$2:$B$433,$B285,Desconto_Cliente_Mes!$C$2:$C$433,$C285)</f>
        <v>0</v>
      </c>
      <c r="G285" s="39" t="n">
        <f aca="false">SUMIFS(Desconto_Cliente_Mes!$U$2:$U$433,Desconto_Cliente_Mes!$B$2:$B$433,$B285,Desconto_Cliente_Mes!$C$2:$C$433,$C285,Desconto_Cliente_Mes!$K$2:$K$433,"Sim")</f>
        <v>0</v>
      </c>
      <c r="H285" s="37" t="n">
        <f aca="false">SUMIFS(Desconto_Cliente_Mes!$D$2:$D$433,Desconto_Cliente_Mes!$B$2:$B$433,$B285,Desconto_Cliente_Mes!$C$2:$C$433,$C285,Desconto_Cliente_Mes!$K$2:$K$433,"Nao",Desconto_Cliente_Mes!$D$2:$D$433,"&gt;0")</f>
        <v>0</v>
      </c>
      <c r="I285" s="42" t="n">
        <f aca="false">IF(AND($E285="Nao",$D285&gt;0,$H285&gt;0),$D285/$H285,0)</f>
        <v>0</v>
      </c>
      <c r="J285" s="40" t="n">
        <f aca="false">$I285*$G285</f>
        <v>0</v>
      </c>
      <c r="K285" s="40" t="n">
        <f aca="false">$J285-$F285</f>
        <v>0</v>
      </c>
      <c r="L285" s="27" t="str">
        <f aca="false">IF($D285=0,"Sem embarque",IF($K285&gt;0,"Recebe","Paga"))</f>
        <v>Sem embarque</v>
      </c>
    </row>
    <row r="286" customFormat="false" ht="15" hidden="false" customHeight="false" outlineLevel="0" collapsed="false">
      <c r="A286" s="27" t="s">
        <v>46</v>
      </c>
      <c r="B286" s="27" t="s">
        <v>68</v>
      </c>
      <c r="C286" s="27" t="s">
        <v>111</v>
      </c>
      <c r="D286" s="34" t="n">
        <f aca="false">SUMIFS(Desconto_Cliente_Mes!$D$2:$D$433,Desconto_Cliente_Mes!$A$2:$A$433,$A286,Desconto_Cliente_Mes!$B$2:$B$433,$B286,Desconto_Cliente_Mes!$C$2:$C$433,$C286)</f>
        <v>0</v>
      </c>
      <c r="E286" s="37" t="str">
        <f aca="false">INDEX(Desconto_Cliente_Mes!$K$2:$K$433,MATCH($A286&amp;"|"&amp;$B286&amp;"|"&amp;$C286,Desconto_Cliente_Mes!$W$2:$W$433,0))</f>
        <v/>
      </c>
      <c r="F286" s="39" t="n">
        <f aca="false">SUMIFS(Desconto_Cliente_Mes!$U$2:$U$433,Desconto_Cliente_Mes!$A$2:$A$433,$A286,Desconto_Cliente_Mes!$B$2:$B$433,$B286,Desconto_Cliente_Mes!$C$2:$C$433,$C286)</f>
        <v>0</v>
      </c>
      <c r="G286" s="39" t="n">
        <f aca="false">SUMIFS(Desconto_Cliente_Mes!$U$2:$U$433,Desconto_Cliente_Mes!$B$2:$B$433,$B286,Desconto_Cliente_Mes!$C$2:$C$433,$C286,Desconto_Cliente_Mes!$K$2:$K$433,"Sim")</f>
        <v>0</v>
      </c>
      <c r="H286" s="37" t="n">
        <f aca="false">SUMIFS(Desconto_Cliente_Mes!$D$2:$D$433,Desconto_Cliente_Mes!$B$2:$B$433,$B286,Desconto_Cliente_Mes!$C$2:$C$433,$C286,Desconto_Cliente_Mes!$K$2:$K$433,"Nao",Desconto_Cliente_Mes!$D$2:$D$433,"&gt;0")</f>
        <v>0</v>
      </c>
      <c r="I286" s="42" t="n">
        <f aca="false">IF(AND($E286="Nao",$D286&gt;0,$H286&gt;0),$D286/$H286,0)</f>
        <v>0</v>
      </c>
      <c r="J286" s="40" t="n">
        <f aca="false">$I286*$G286</f>
        <v>0</v>
      </c>
      <c r="K286" s="40" t="n">
        <f aca="false">$J286-$F286</f>
        <v>0</v>
      </c>
      <c r="L286" s="27" t="str">
        <f aca="false">IF($D286=0,"Sem embarque",IF($K286&gt;0,"Recebe","Paga"))</f>
        <v>Sem embarque</v>
      </c>
    </row>
    <row r="287" customFormat="false" ht="15" hidden="false" customHeight="false" outlineLevel="0" collapsed="false">
      <c r="A287" s="27" t="s">
        <v>46</v>
      </c>
      <c r="B287" s="27" t="s">
        <v>69</v>
      </c>
      <c r="C287" s="27" t="s">
        <v>109</v>
      </c>
      <c r="D287" s="34" t="n">
        <f aca="false">SUMIFS(Desconto_Cliente_Mes!$D$2:$D$433,Desconto_Cliente_Mes!$A$2:$A$433,$A287,Desconto_Cliente_Mes!$B$2:$B$433,$B287,Desconto_Cliente_Mes!$C$2:$C$433,$C287)</f>
        <v>0</v>
      </c>
      <c r="E287" s="37" t="str">
        <f aca="false">INDEX(Desconto_Cliente_Mes!$K$2:$K$433,MATCH($A287&amp;"|"&amp;$B287&amp;"|"&amp;$C287,Desconto_Cliente_Mes!$W$2:$W$433,0))</f>
        <v/>
      </c>
      <c r="F287" s="39" t="n">
        <f aca="false">SUMIFS(Desconto_Cliente_Mes!$U$2:$U$433,Desconto_Cliente_Mes!$A$2:$A$433,$A287,Desconto_Cliente_Mes!$B$2:$B$433,$B287,Desconto_Cliente_Mes!$C$2:$C$433,$C287)</f>
        <v>0</v>
      </c>
      <c r="G287" s="39" t="n">
        <f aca="false">SUMIFS(Desconto_Cliente_Mes!$U$2:$U$433,Desconto_Cliente_Mes!$B$2:$B$433,$B287,Desconto_Cliente_Mes!$C$2:$C$433,$C287,Desconto_Cliente_Mes!$K$2:$K$433,"Sim")</f>
        <v>0</v>
      </c>
      <c r="H287" s="37" t="n">
        <f aca="false">SUMIFS(Desconto_Cliente_Mes!$D$2:$D$433,Desconto_Cliente_Mes!$B$2:$B$433,$B287,Desconto_Cliente_Mes!$C$2:$C$433,$C287,Desconto_Cliente_Mes!$K$2:$K$433,"Nao",Desconto_Cliente_Mes!$D$2:$D$433,"&gt;0")</f>
        <v>0</v>
      </c>
      <c r="I287" s="42" t="n">
        <f aca="false">IF(AND($E287="Nao",$D287&gt;0,$H287&gt;0),$D287/$H287,0)</f>
        <v>0</v>
      </c>
      <c r="J287" s="40" t="n">
        <f aca="false">$I287*$G287</f>
        <v>0</v>
      </c>
      <c r="K287" s="40" t="n">
        <f aca="false">$J287-$F287</f>
        <v>0</v>
      </c>
      <c r="L287" s="27" t="str">
        <f aca="false">IF($D287=0,"Sem embarque",IF($K287&gt;0,"Recebe","Paga"))</f>
        <v>Sem embarque</v>
      </c>
    </row>
    <row r="288" customFormat="false" ht="15" hidden="false" customHeight="false" outlineLevel="0" collapsed="false">
      <c r="A288" s="27" t="s">
        <v>46</v>
      </c>
      <c r="B288" s="27" t="s">
        <v>69</v>
      </c>
      <c r="C288" s="27" t="s">
        <v>110</v>
      </c>
      <c r="D288" s="34" t="n">
        <f aca="false">SUMIFS(Desconto_Cliente_Mes!$D$2:$D$433,Desconto_Cliente_Mes!$A$2:$A$433,$A288,Desconto_Cliente_Mes!$B$2:$B$433,$B288,Desconto_Cliente_Mes!$C$2:$C$433,$C288)</f>
        <v>0</v>
      </c>
      <c r="E288" s="37" t="str">
        <f aca="false">INDEX(Desconto_Cliente_Mes!$K$2:$K$433,MATCH($A288&amp;"|"&amp;$B288&amp;"|"&amp;$C288,Desconto_Cliente_Mes!$W$2:$W$433,0))</f>
        <v/>
      </c>
      <c r="F288" s="39" t="n">
        <f aca="false">SUMIFS(Desconto_Cliente_Mes!$U$2:$U$433,Desconto_Cliente_Mes!$A$2:$A$433,$A288,Desconto_Cliente_Mes!$B$2:$B$433,$B288,Desconto_Cliente_Mes!$C$2:$C$433,$C288)</f>
        <v>0</v>
      </c>
      <c r="G288" s="39" t="n">
        <f aca="false">SUMIFS(Desconto_Cliente_Mes!$U$2:$U$433,Desconto_Cliente_Mes!$B$2:$B$433,$B288,Desconto_Cliente_Mes!$C$2:$C$433,$C288,Desconto_Cliente_Mes!$K$2:$K$433,"Sim")</f>
        <v>0</v>
      </c>
      <c r="H288" s="37" t="n">
        <f aca="false">SUMIFS(Desconto_Cliente_Mes!$D$2:$D$433,Desconto_Cliente_Mes!$B$2:$B$433,$B288,Desconto_Cliente_Mes!$C$2:$C$433,$C288,Desconto_Cliente_Mes!$K$2:$K$433,"Nao",Desconto_Cliente_Mes!$D$2:$D$433,"&gt;0")</f>
        <v>0</v>
      </c>
      <c r="I288" s="42" t="n">
        <f aca="false">IF(AND($E288="Nao",$D288&gt;0,$H288&gt;0),$D288/$H288,0)</f>
        <v>0</v>
      </c>
      <c r="J288" s="40" t="n">
        <f aca="false">$I288*$G288</f>
        <v>0</v>
      </c>
      <c r="K288" s="40" t="n">
        <f aca="false">$J288-$F288</f>
        <v>0</v>
      </c>
      <c r="L288" s="27" t="str">
        <f aca="false">IF($D288=0,"Sem embarque",IF($K288&gt;0,"Recebe","Paga"))</f>
        <v>Sem embarque</v>
      </c>
    </row>
    <row r="289" customFormat="false" ht="15" hidden="false" customHeight="false" outlineLevel="0" collapsed="false">
      <c r="A289" s="27" t="s">
        <v>46</v>
      </c>
      <c r="B289" s="27" t="s">
        <v>69</v>
      </c>
      <c r="C289" s="27" t="s">
        <v>111</v>
      </c>
      <c r="D289" s="34" t="n">
        <f aca="false">SUMIFS(Desconto_Cliente_Mes!$D$2:$D$433,Desconto_Cliente_Mes!$A$2:$A$433,$A289,Desconto_Cliente_Mes!$B$2:$B$433,$B289,Desconto_Cliente_Mes!$C$2:$C$433,$C289)</f>
        <v>0</v>
      </c>
      <c r="E289" s="37" t="str">
        <f aca="false">INDEX(Desconto_Cliente_Mes!$K$2:$K$433,MATCH($A289&amp;"|"&amp;$B289&amp;"|"&amp;$C289,Desconto_Cliente_Mes!$W$2:$W$433,0))</f>
        <v/>
      </c>
      <c r="F289" s="39" t="n">
        <f aca="false">SUMIFS(Desconto_Cliente_Mes!$U$2:$U$433,Desconto_Cliente_Mes!$A$2:$A$433,$A289,Desconto_Cliente_Mes!$B$2:$B$433,$B289,Desconto_Cliente_Mes!$C$2:$C$433,$C289)</f>
        <v>0</v>
      </c>
      <c r="G289" s="39" t="n">
        <f aca="false">SUMIFS(Desconto_Cliente_Mes!$U$2:$U$433,Desconto_Cliente_Mes!$B$2:$B$433,$B289,Desconto_Cliente_Mes!$C$2:$C$433,$C289,Desconto_Cliente_Mes!$K$2:$K$433,"Sim")</f>
        <v>0</v>
      </c>
      <c r="H289" s="37" t="n">
        <f aca="false">SUMIFS(Desconto_Cliente_Mes!$D$2:$D$433,Desconto_Cliente_Mes!$B$2:$B$433,$B289,Desconto_Cliente_Mes!$C$2:$C$433,$C289,Desconto_Cliente_Mes!$K$2:$K$433,"Nao",Desconto_Cliente_Mes!$D$2:$D$433,"&gt;0")</f>
        <v>0</v>
      </c>
      <c r="I289" s="42" t="n">
        <f aca="false">IF(AND($E289="Nao",$D289&gt;0,$H289&gt;0),$D289/$H289,0)</f>
        <v>0</v>
      </c>
      <c r="J289" s="40" t="n">
        <f aca="false">$I289*$G289</f>
        <v>0</v>
      </c>
      <c r="K289" s="40" t="n">
        <f aca="false">$J289-$F289</f>
        <v>0</v>
      </c>
      <c r="L289" s="27" t="str">
        <f aca="false">IF($D289=0,"Sem embarque",IF($K289&gt;0,"Recebe","Paga"))</f>
        <v>Sem embarque</v>
      </c>
    </row>
    <row r="290" customFormat="false" ht="15" hidden="false" customHeight="false" outlineLevel="0" collapsed="false">
      <c r="A290" s="27" t="s">
        <v>47</v>
      </c>
      <c r="B290" s="27" t="s">
        <v>38</v>
      </c>
      <c r="C290" s="27" t="s">
        <v>109</v>
      </c>
      <c r="D290" s="34" t="n">
        <f aca="false">SUMIFS(Desconto_Cliente_Mes!$D$2:$D$433,Desconto_Cliente_Mes!$A$2:$A$433,$A290,Desconto_Cliente_Mes!$B$2:$B$433,$B290,Desconto_Cliente_Mes!$C$2:$C$433,$C290)</f>
        <v>0</v>
      </c>
      <c r="E290" s="37" t="str">
        <f aca="false">INDEX(Desconto_Cliente_Mes!$K$2:$K$433,MATCH($A290&amp;"|"&amp;$B290&amp;"|"&amp;$C290,Desconto_Cliente_Mes!$W$2:$W$433,0))</f>
        <v/>
      </c>
      <c r="F290" s="39" t="n">
        <f aca="false">SUMIFS(Desconto_Cliente_Mes!$U$2:$U$433,Desconto_Cliente_Mes!$A$2:$A$433,$A290,Desconto_Cliente_Mes!$B$2:$B$433,$B290,Desconto_Cliente_Mes!$C$2:$C$433,$C290)</f>
        <v>0</v>
      </c>
      <c r="G290" s="39" t="n">
        <f aca="false">SUMIFS(Desconto_Cliente_Mes!$U$2:$U$433,Desconto_Cliente_Mes!$B$2:$B$433,$B290,Desconto_Cliente_Mes!$C$2:$C$433,$C290,Desconto_Cliente_Mes!$K$2:$K$433,"Sim")</f>
        <v>91377.0669671845</v>
      </c>
      <c r="H290" s="37" t="n">
        <f aca="false">SUMIFS(Desconto_Cliente_Mes!$D$2:$D$433,Desconto_Cliente_Mes!$B$2:$B$433,$B290,Desconto_Cliente_Mes!$C$2:$C$433,$C290,Desconto_Cliente_Mes!$K$2:$K$433,"Nao",Desconto_Cliente_Mes!$D$2:$D$433,"&gt;0")</f>
        <v>58734.34</v>
      </c>
      <c r="I290" s="42" t="n">
        <f aca="false">IF(AND($E290="Nao",$D290&gt;0,$H290&gt;0),$D290/$H290,0)</f>
        <v>0</v>
      </c>
      <c r="J290" s="40" t="n">
        <f aca="false">$I290*$G290</f>
        <v>0</v>
      </c>
      <c r="K290" s="40" t="n">
        <f aca="false">$J290-$F290</f>
        <v>0</v>
      </c>
      <c r="L290" s="27" t="str">
        <f aca="false">IF($D290=0,"Sem embarque",IF($K290&gt;0,"Recebe","Paga"))</f>
        <v>Sem embarque</v>
      </c>
    </row>
    <row r="291" customFormat="false" ht="15" hidden="false" customHeight="false" outlineLevel="0" collapsed="false">
      <c r="A291" s="27" t="s">
        <v>47</v>
      </c>
      <c r="B291" s="27" t="s">
        <v>38</v>
      </c>
      <c r="C291" s="27" t="s">
        <v>110</v>
      </c>
      <c r="D291" s="34" t="n">
        <f aca="false">SUMIFS(Desconto_Cliente_Mes!$D$2:$D$433,Desconto_Cliente_Mes!$A$2:$A$433,$A291,Desconto_Cliente_Mes!$B$2:$B$433,$B291,Desconto_Cliente_Mes!$C$2:$C$433,$C291)</f>
        <v>0</v>
      </c>
      <c r="E291" s="37" t="str">
        <f aca="false">INDEX(Desconto_Cliente_Mes!$K$2:$K$433,MATCH($A291&amp;"|"&amp;$B291&amp;"|"&amp;$C291,Desconto_Cliente_Mes!$W$2:$W$433,0))</f>
        <v/>
      </c>
      <c r="F291" s="39" t="n">
        <f aca="false">SUMIFS(Desconto_Cliente_Mes!$U$2:$U$433,Desconto_Cliente_Mes!$A$2:$A$433,$A291,Desconto_Cliente_Mes!$B$2:$B$433,$B291,Desconto_Cliente_Mes!$C$2:$C$433,$C291)</f>
        <v>0</v>
      </c>
      <c r="G291" s="39" t="n">
        <f aca="false">SUMIFS(Desconto_Cliente_Mes!$U$2:$U$433,Desconto_Cliente_Mes!$B$2:$B$433,$B291,Desconto_Cliente_Mes!$C$2:$C$433,$C291,Desconto_Cliente_Mes!$K$2:$K$433,"Sim")</f>
        <v>0</v>
      </c>
      <c r="H291" s="37" t="n">
        <f aca="false">SUMIFS(Desconto_Cliente_Mes!$D$2:$D$433,Desconto_Cliente_Mes!$B$2:$B$433,$B291,Desconto_Cliente_Mes!$C$2:$C$433,$C291,Desconto_Cliente_Mes!$K$2:$K$433,"Nao",Desconto_Cliente_Mes!$D$2:$D$433,"&gt;0")</f>
        <v>263816.27</v>
      </c>
      <c r="I291" s="42" t="n">
        <f aca="false">IF(AND($E291="Nao",$D291&gt;0,$H291&gt;0),$D291/$H291,0)</f>
        <v>0</v>
      </c>
      <c r="J291" s="40" t="n">
        <f aca="false">$I291*$G291</f>
        <v>0</v>
      </c>
      <c r="K291" s="40" t="n">
        <f aca="false">$J291-$F291</f>
        <v>0</v>
      </c>
      <c r="L291" s="27" t="str">
        <f aca="false">IF($D291=0,"Sem embarque",IF($K291&gt;0,"Recebe","Paga"))</f>
        <v>Sem embarque</v>
      </c>
    </row>
    <row r="292" customFormat="false" ht="15" hidden="false" customHeight="false" outlineLevel="0" collapsed="false">
      <c r="A292" s="27" t="s">
        <v>47</v>
      </c>
      <c r="B292" s="27" t="s">
        <v>38</v>
      </c>
      <c r="C292" s="27" t="s">
        <v>111</v>
      </c>
      <c r="D292" s="34" t="n">
        <f aca="false">SUMIFS(Desconto_Cliente_Mes!$D$2:$D$433,Desconto_Cliente_Mes!$A$2:$A$433,$A292,Desconto_Cliente_Mes!$B$2:$B$433,$B292,Desconto_Cliente_Mes!$C$2:$C$433,$C292)</f>
        <v>0</v>
      </c>
      <c r="E292" s="37" t="str">
        <f aca="false">INDEX(Desconto_Cliente_Mes!$K$2:$K$433,MATCH($A292&amp;"|"&amp;$B292&amp;"|"&amp;$C292,Desconto_Cliente_Mes!$W$2:$W$433,0))</f>
        <v/>
      </c>
      <c r="F292" s="39" t="n">
        <f aca="false">SUMIFS(Desconto_Cliente_Mes!$U$2:$U$433,Desconto_Cliente_Mes!$A$2:$A$433,$A292,Desconto_Cliente_Mes!$B$2:$B$433,$B292,Desconto_Cliente_Mes!$C$2:$C$433,$C292)</f>
        <v>0</v>
      </c>
      <c r="G292" s="39" t="n">
        <f aca="false">SUMIFS(Desconto_Cliente_Mes!$U$2:$U$433,Desconto_Cliente_Mes!$B$2:$B$433,$B292,Desconto_Cliente_Mes!$C$2:$C$433,$C292,Desconto_Cliente_Mes!$K$2:$K$433,"Sim")</f>
        <v>71216.4191325092</v>
      </c>
      <c r="H292" s="37" t="n">
        <f aca="false">SUMIFS(Desconto_Cliente_Mes!$D$2:$D$433,Desconto_Cliente_Mes!$B$2:$B$433,$B292,Desconto_Cliente_Mes!$C$2:$C$433,$C292,Desconto_Cliente_Mes!$K$2:$K$433,"Nao",Desconto_Cliente_Mes!$D$2:$D$433,"&gt;0")</f>
        <v>116867.62</v>
      </c>
      <c r="I292" s="42" t="n">
        <f aca="false">IF(AND($E292="Nao",$D292&gt;0,$H292&gt;0),$D292/$H292,0)</f>
        <v>0</v>
      </c>
      <c r="J292" s="40" t="n">
        <f aca="false">$I292*$G292</f>
        <v>0</v>
      </c>
      <c r="K292" s="40" t="n">
        <f aca="false">$J292-$F292</f>
        <v>0</v>
      </c>
      <c r="L292" s="27" t="str">
        <f aca="false">IF($D292=0,"Sem embarque",IF($K292&gt;0,"Recebe","Paga"))</f>
        <v>Sem embarque</v>
      </c>
    </row>
    <row r="293" customFormat="false" ht="15" hidden="false" customHeight="false" outlineLevel="0" collapsed="false">
      <c r="A293" s="27" t="s">
        <v>47</v>
      </c>
      <c r="B293" s="27" t="s">
        <v>59</v>
      </c>
      <c r="C293" s="27" t="s">
        <v>109</v>
      </c>
      <c r="D293" s="34" t="n">
        <f aca="false">SUMIFS(Desconto_Cliente_Mes!$D$2:$D$433,Desconto_Cliente_Mes!$A$2:$A$433,$A293,Desconto_Cliente_Mes!$B$2:$B$433,$B293,Desconto_Cliente_Mes!$C$2:$C$433,$C293)</f>
        <v>0</v>
      </c>
      <c r="E293" s="37" t="str">
        <f aca="false">INDEX(Desconto_Cliente_Mes!$K$2:$K$433,MATCH($A293&amp;"|"&amp;$B293&amp;"|"&amp;$C293,Desconto_Cliente_Mes!$W$2:$W$433,0))</f>
        <v/>
      </c>
      <c r="F293" s="39" t="n">
        <f aca="false">SUMIFS(Desconto_Cliente_Mes!$U$2:$U$433,Desconto_Cliente_Mes!$A$2:$A$433,$A293,Desconto_Cliente_Mes!$B$2:$B$433,$B293,Desconto_Cliente_Mes!$C$2:$C$433,$C293)</f>
        <v>0</v>
      </c>
      <c r="G293" s="39" t="n">
        <f aca="false">SUMIFS(Desconto_Cliente_Mes!$U$2:$U$433,Desconto_Cliente_Mes!$B$2:$B$433,$B293,Desconto_Cliente_Mes!$C$2:$C$433,$C293,Desconto_Cliente_Mes!$K$2:$K$433,"Sim")</f>
        <v>166858.825867758</v>
      </c>
      <c r="H293" s="37" t="n">
        <f aca="false">SUMIFS(Desconto_Cliente_Mes!$D$2:$D$433,Desconto_Cliente_Mes!$B$2:$B$433,$B293,Desconto_Cliente_Mes!$C$2:$C$433,$C293,Desconto_Cliente_Mes!$K$2:$K$433,"Nao",Desconto_Cliente_Mes!$D$2:$D$433,"&gt;0")</f>
        <v>83594.61</v>
      </c>
      <c r="I293" s="42" t="n">
        <f aca="false">IF(AND($E293="Nao",$D293&gt;0,$H293&gt;0),$D293/$H293,0)</f>
        <v>0</v>
      </c>
      <c r="J293" s="40" t="n">
        <f aca="false">$I293*$G293</f>
        <v>0</v>
      </c>
      <c r="K293" s="40" t="n">
        <f aca="false">$J293-$F293</f>
        <v>0</v>
      </c>
      <c r="L293" s="27" t="str">
        <f aca="false">IF($D293=0,"Sem embarque",IF($K293&gt;0,"Recebe","Paga"))</f>
        <v>Sem embarque</v>
      </c>
    </row>
    <row r="294" customFormat="false" ht="15" hidden="false" customHeight="false" outlineLevel="0" collapsed="false">
      <c r="A294" s="27" t="s">
        <v>47</v>
      </c>
      <c r="B294" s="27" t="s">
        <v>59</v>
      </c>
      <c r="C294" s="27" t="s">
        <v>110</v>
      </c>
      <c r="D294" s="34" t="n">
        <f aca="false">SUMIFS(Desconto_Cliente_Mes!$D$2:$D$433,Desconto_Cliente_Mes!$A$2:$A$433,$A294,Desconto_Cliente_Mes!$B$2:$B$433,$B294,Desconto_Cliente_Mes!$C$2:$C$433,$C294)</f>
        <v>0</v>
      </c>
      <c r="E294" s="37" t="str">
        <f aca="false">INDEX(Desconto_Cliente_Mes!$K$2:$K$433,MATCH($A294&amp;"|"&amp;$B294&amp;"|"&amp;$C294,Desconto_Cliente_Mes!$W$2:$W$433,0))</f>
        <v/>
      </c>
      <c r="F294" s="39" t="n">
        <f aca="false">SUMIFS(Desconto_Cliente_Mes!$U$2:$U$433,Desconto_Cliente_Mes!$A$2:$A$433,$A294,Desconto_Cliente_Mes!$B$2:$B$433,$B294,Desconto_Cliente_Mes!$C$2:$C$433,$C294)</f>
        <v>0</v>
      </c>
      <c r="G294" s="39" t="n">
        <f aca="false">SUMIFS(Desconto_Cliente_Mes!$U$2:$U$433,Desconto_Cliente_Mes!$B$2:$B$433,$B294,Desconto_Cliente_Mes!$C$2:$C$433,$C294,Desconto_Cliente_Mes!$K$2:$K$433,"Sim")</f>
        <v>8132.39257800007</v>
      </c>
      <c r="H294" s="37" t="n">
        <f aca="false">SUMIFS(Desconto_Cliente_Mes!$D$2:$D$433,Desconto_Cliente_Mes!$B$2:$B$433,$B294,Desconto_Cliente_Mes!$C$2:$C$433,$C294,Desconto_Cliente_Mes!$K$2:$K$433,"Nao",Desconto_Cliente_Mes!$D$2:$D$433,"&gt;0")</f>
        <v>289730.52</v>
      </c>
      <c r="I294" s="42" t="n">
        <f aca="false">IF(AND($E294="Nao",$D294&gt;0,$H294&gt;0),$D294/$H294,0)</f>
        <v>0</v>
      </c>
      <c r="J294" s="40" t="n">
        <f aca="false">$I294*$G294</f>
        <v>0</v>
      </c>
      <c r="K294" s="40" t="n">
        <f aca="false">$J294-$F294</f>
        <v>0</v>
      </c>
      <c r="L294" s="27" t="str">
        <f aca="false">IF($D294=0,"Sem embarque",IF($K294&gt;0,"Recebe","Paga"))</f>
        <v>Sem embarque</v>
      </c>
    </row>
    <row r="295" customFormat="false" ht="15" hidden="false" customHeight="false" outlineLevel="0" collapsed="false">
      <c r="A295" s="27" t="s">
        <v>47</v>
      </c>
      <c r="B295" s="27" t="s">
        <v>59</v>
      </c>
      <c r="C295" s="27" t="s">
        <v>111</v>
      </c>
      <c r="D295" s="34" t="n">
        <f aca="false">SUMIFS(Desconto_Cliente_Mes!$D$2:$D$433,Desconto_Cliente_Mes!$A$2:$A$433,$A295,Desconto_Cliente_Mes!$B$2:$B$433,$B295,Desconto_Cliente_Mes!$C$2:$C$433,$C295)</f>
        <v>0</v>
      </c>
      <c r="E295" s="37" t="str">
        <f aca="false">INDEX(Desconto_Cliente_Mes!$K$2:$K$433,MATCH($A295&amp;"|"&amp;$B295&amp;"|"&amp;$C295,Desconto_Cliente_Mes!$W$2:$W$433,0))</f>
        <v/>
      </c>
      <c r="F295" s="39" t="n">
        <f aca="false">SUMIFS(Desconto_Cliente_Mes!$U$2:$U$433,Desconto_Cliente_Mes!$A$2:$A$433,$A295,Desconto_Cliente_Mes!$B$2:$B$433,$B295,Desconto_Cliente_Mes!$C$2:$C$433,$C295)</f>
        <v>0</v>
      </c>
      <c r="G295" s="39" t="n">
        <f aca="false">SUMIFS(Desconto_Cliente_Mes!$U$2:$U$433,Desconto_Cliente_Mes!$B$2:$B$433,$B295,Desconto_Cliente_Mes!$C$2:$C$433,$C295,Desconto_Cliente_Mes!$K$2:$K$433,"Sim")</f>
        <v>47707.8352836299</v>
      </c>
      <c r="H295" s="37" t="n">
        <f aca="false">SUMIFS(Desconto_Cliente_Mes!$D$2:$D$433,Desconto_Cliente_Mes!$B$2:$B$433,$B295,Desconto_Cliente_Mes!$C$2:$C$433,$C295,Desconto_Cliente_Mes!$K$2:$K$433,"Nao",Desconto_Cliente_Mes!$D$2:$D$433,"&gt;0")</f>
        <v>185268.24</v>
      </c>
      <c r="I295" s="42" t="n">
        <f aca="false">IF(AND($E295="Nao",$D295&gt;0,$H295&gt;0),$D295/$H295,0)</f>
        <v>0</v>
      </c>
      <c r="J295" s="40" t="n">
        <f aca="false">$I295*$G295</f>
        <v>0</v>
      </c>
      <c r="K295" s="40" t="n">
        <f aca="false">$J295-$F295</f>
        <v>0</v>
      </c>
      <c r="L295" s="27" t="str">
        <f aca="false">IF($D295=0,"Sem embarque",IF($K295&gt;0,"Recebe","Paga"))</f>
        <v>Sem embarque</v>
      </c>
    </row>
    <row r="296" customFormat="false" ht="15" hidden="false" customHeight="false" outlineLevel="0" collapsed="false">
      <c r="A296" s="27" t="s">
        <v>47</v>
      </c>
      <c r="B296" s="27" t="s">
        <v>60</v>
      </c>
      <c r="C296" s="27" t="s">
        <v>109</v>
      </c>
      <c r="D296" s="34" t="n">
        <f aca="false">SUMIFS(Desconto_Cliente_Mes!$D$2:$D$433,Desconto_Cliente_Mes!$A$2:$A$433,$A296,Desconto_Cliente_Mes!$B$2:$B$433,$B296,Desconto_Cliente_Mes!$C$2:$C$433,$C296)</f>
        <v>0</v>
      </c>
      <c r="E296" s="37" t="str">
        <f aca="false">INDEX(Desconto_Cliente_Mes!$K$2:$K$433,MATCH($A296&amp;"|"&amp;$B296&amp;"|"&amp;$C296,Desconto_Cliente_Mes!$W$2:$W$433,0))</f>
        <v/>
      </c>
      <c r="F296" s="39" t="n">
        <f aca="false">SUMIFS(Desconto_Cliente_Mes!$U$2:$U$433,Desconto_Cliente_Mes!$A$2:$A$433,$A296,Desconto_Cliente_Mes!$B$2:$B$433,$B296,Desconto_Cliente_Mes!$C$2:$C$433,$C296)</f>
        <v>0</v>
      </c>
      <c r="G296" s="39" t="n">
        <f aca="false">SUMIFS(Desconto_Cliente_Mes!$U$2:$U$433,Desconto_Cliente_Mes!$B$2:$B$433,$B296,Desconto_Cliente_Mes!$C$2:$C$433,$C296,Desconto_Cliente_Mes!$K$2:$K$433,"Sim")</f>
        <v>75633.0761548471</v>
      </c>
      <c r="H296" s="37" t="n">
        <f aca="false">SUMIFS(Desconto_Cliente_Mes!$D$2:$D$433,Desconto_Cliente_Mes!$B$2:$B$433,$B296,Desconto_Cliente_Mes!$C$2:$C$433,$C296,Desconto_Cliente_Mes!$K$2:$K$433,"Nao",Desconto_Cliente_Mes!$D$2:$D$433,"&gt;0")</f>
        <v>55750.4</v>
      </c>
      <c r="I296" s="42" t="n">
        <f aca="false">IF(AND($E296="Nao",$D296&gt;0,$H296&gt;0),$D296/$H296,0)</f>
        <v>0</v>
      </c>
      <c r="J296" s="40" t="n">
        <f aca="false">$I296*$G296</f>
        <v>0</v>
      </c>
      <c r="K296" s="40" t="n">
        <f aca="false">$J296-$F296</f>
        <v>0</v>
      </c>
      <c r="L296" s="27" t="str">
        <f aca="false">IF($D296=0,"Sem embarque",IF($K296&gt;0,"Recebe","Paga"))</f>
        <v>Sem embarque</v>
      </c>
    </row>
    <row r="297" customFormat="false" ht="15" hidden="false" customHeight="false" outlineLevel="0" collapsed="false">
      <c r="A297" s="27" t="s">
        <v>47</v>
      </c>
      <c r="B297" s="27" t="s">
        <v>60</v>
      </c>
      <c r="C297" s="27" t="s">
        <v>110</v>
      </c>
      <c r="D297" s="34" t="n">
        <f aca="false">SUMIFS(Desconto_Cliente_Mes!$D$2:$D$433,Desconto_Cliente_Mes!$A$2:$A$433,$A297,Desconto_Cliente_Mes!$B$2:$B$433,$B297,Desconto_Cliente_Mes!$C$2:$C$433,$C297)</f>
        <v>0</v>
      </c>
      <c r="E297" s="37" t="str">
        <f aca="false">INDEX(Desconto_Cliente_Mes!$K$2:$K$433,MATCH($A297&amp;"|"&amp;$B297&amp;"|"&amp;$C297,Desconto_Cliente_Mes!$W$2:$W$433,0))</f>
        <v/>
      </c>
      <c r="F297" s="39" t="n">
        <f aca="false">SUMIFS(Desconto_Cliente_Mes!$U$2:$U$433,Desconto_Cliente_Mes!$A$2:$A$433,$A297,Desconto_Cliente_Mes!$B$2:$B$433,$B297,Desconto_Cliente_Mes!$C$2:$C$433,$C297)</f>
        <v>0</v>
      </c>
      <c r="G297" s="39" t="n">
        <f aca="false">SUMIFS(Desconto_Cliente_Mes!$U$2:$U$433,Desconto_Cliente_Mes!$B$2:$B$433,$B297,Desconto_Cliente_Mes!$C$2:$C$433,$C297,Desconto_Cliente_Mes!$K$2:$K$433,"Sim")</f>
        <v>0</v>
      </c>
      <c r="H297" s="37" t="n">
        <f aca="false">SUMIFS(Desconto_Cliente_Mes!$D$2:$D$433,Desconto_Cliente_Mes!$B$2:$B$433,$B297,Desconto_Cliente_Mes!$C$2:$C$433,$C297,Desconto_Cliente_Mes!$K$2:$K$433,"Nao",Desconto_Cliente_Mes!$D$2:$D$433,"&gt;0")</f>
        <v>240729.22</v>
      </c>
      <c r="I297" s="42" t="n">
        <f aca="false">IF(AND($E297="Nao",$D297&gt;0,$H297&gt;0),$D297/$H297,0)</f>
        <v>0</v>
      </c>
      <c r="J297" s="40" t="n">
        <f aca="false">$I297*$G297</f>
        <v>0</v>
      </c>
      <c r="K297" s="40" t="n">
        <f aca="false">$J297-$F297</f>
        <v>0</v>
      </c>
      <c r="L297" s="27" t="str">
        <f aca="false">IF($D297=0,"Sem embarque",IF($K297&gt;0,"Recebe","Paga"))</f>
        <v>Sem embarque</v>
      </c>
    </row>
    <row r="298" customFormat="false" ht="15" hidden="false" customHeight="false" outlineLevel="0" collapsed="false">
      <c r="A298" s="27" t="s">
        <v>47</v>
      </c>
      <c r="B298" s="27" t="s">
        <v>60</v>
      </c>
      <c r="C298" s="27" t="s">
        <v>111</v>
      </c>
      <c r="D298" s="34" t="n">
        <f aca="false">SUMIFS(Desconto_Cliente_Mes!$D$2:$D$433,Desconto_Cliente_Mes!$A$2:$A$433,$A298,Desconto_Cliente_Mes!$B$2:$B$433,$B298,Desconto_Cliente_Mes!$C$2:$C$433,$C298)</f>
        <v>0</v>
      </c>
      <c r="E298" s="37" t="str">
        <f aca="false">INDEX(Desconto_Cliente_Mes!$K$2:$K$433,MATCH($A298&amp;"|"&amp;$B298&amp;"|"&amp;$C298,Desconto_Cliente_Mes!$W$2:$W$433,0))</f>
        <v/>
      </c>
      <c r="F298" s="39" t="n">
        <f aca="false">SUMIFS(Desconto_Cliente_Mes!$U$2:$U$433,Desconto_Cliente_Mes!$A$2:$A$433,$A298,Desconto_Cliente_Mes!$B$2:$B$433,$B298,Desconto_Cliente_Mes!$C$2:$C$433,$C298)</f>
        <v>0</v>
      </c>
      <c r="G298" s="39" t="n">
        <f aca="false">SUMIFS(Desconto_Cliente_Mes!$U$2:$U$433,Desconto_Cliente_Mes!$B$2:$B$433,$B298,Desconto_Cliente_Mes!$C$2:$C$433,$C298,Desconto_Cliente_Mes!$K$2:$K$433,"Sim")</f>
        <v>15973.4860651284</v>
      </c>
      <c r="H298" s="37" t="n">
        <f aca="false">SUMIFS(Desconto_Cliente_Mes!$D$2:$D$433,Desconto_Cliente_Mes!$B$2:$B$433,$B298,Desconto_Cliente_Mes!$C$2:$C$433,$C298,Desconto_Cliente_Mes!$K$2:$K$433,"Nao",Desconto_Cliente_Mes!$D$2:$D$433,"&gt;0")</f>
        <v>55750.4</v>
      </c>
      <c r="I298" s="42" t="n">
        <f aca="false">IF(AND($E298="Nao",$D298&gt;0,$H298&gt;0),$D298/$H298,0)</f>
        <v>0</v>
      </c>
      <c r="J298" s="40" t="n">
        <f aca="false">$I298*$G298</f>
        <v>0</v>
      </c>
      <c r="K298" s="40" t="n">
        <f aca="false">$J298-$F298</f>
        <v>0</v>
      </c>
      <c r="L298" s="27" t="str">
        <f aca="false">IF($D298=0,"Sem embarque",IF($K298&gt;0,"Recebe","Paga"))</f>
        <v>Sem embarque</v>
      </c>
    </row>
    <row r="299" customFormat="false" ht="15" hidden="false" customHeight="false" outlineLevel="0" collapsed="false">
      <c r="A299" s="27" t="s">
        <v>47</v>
      </c>
      <c r="B299" s="27" t="s">
        <v>61</v>
      </c>
      <c r="C299" s="27" t="s">
        <v>109</v>
      </c>
      <c r="D299" s="34" t="n">
        <f aca="false">SUMIFS(Desconto_Cliente_Mes!$D$2:$D$433,Desconto_Cliente_Mes!$A$2:$A$433,$A299,Desconto_Cliente_Mes!$B$2:$B$433,$B299,Desconto_Cliente_Mes!$C$2:$C$433,$C299)</f>
        <v>0</v>
      </c>
      <c r="E299" s="37" t="str">
        <f aca="false">INDEX(Desconto_Cliente_Mes!$K$2:$K$433,MATCH($A299&amp;"|"&amp;$B299&amp;"|"&amp;$C299,Desconto_Cliente_Mes!$W$2:$W$433,0))</f>
        <v/>
      </c>
      <c r="F299" s="39" t="n">
        <f aca="false">SUMIFS(Desconto_Cliente_Mes!$U$2:$U$433,Desconto_Cliente_Mes!$A$2:$A$433,$A299,Desconto_Cliente_Mes!$B$2:$B$433,$B299,Desconto_Cliente_Mes!$C$2:$C$433,$C299)</f>
        <v>0</v>
      </c>
      <c r="G299" s="39" t="n">
        <f aca="false">SUMIFS(Desconto_Cliente_Mes!$U$2:$U$433,Desconto_Cliente_Mes!$B$2:$B$433,$B299,Desconto_Cliente_Mes!$C$2:$C$433,$C299,Desconto_Cliente_Mes!$K$2:$K$433,"Sim")</f>
        <v>101062.110385431</v>
      </c>
      <c r="H299" s="37" t="n">
        <f aca="false">SUMIFS(Desconto_Cliente_Mes!$D$2:$D$433,Desconto_Cliente_Mes!$B$2:$B$433,$B299,Desconto_Cliente_Mes!$C$2:$C$433,$C299,Desconto_Cliente_Mes!$K$2:$K$433,"Nao",Desconto_Cliente_Mes!$D$2:$D$433,"&gt;0")</f>
        <v>195833.47</v>
      </c>
      <c r="I299" s="42" t="n">
        <f aca="false">IF(AND($E299="Nao",$D299&gt;0,$H299&gt;0),$D299/$H299,0)</f>
        <v>0</v>
      </c>
      <c r="J299" s="40" t="n">
        <f aca="false">$I299*$G299</f>
        <v>0</v>
      </c>
      <c r="K299" s="40" t="n">
        <f aca="false">$J299-$F299</f>
        <v>0</v>
      </c>
      <c r="L299" s="27" t="str">
        <f aca="false">IF($D299=0,"Sem embarque",IF($K299&gt;0,"Recebe","Paga"))</f>
        <v>Sem embarque</v>
      </c>
    </row>
    <row r="300" customFormat="false" ht="15" hidden="false" customHeight="false" outlineLevel="0" collapsed="false">
      <c r="A300" s="27" t="s">
        <v>47</v>
      </c>
      <c r="B300" s="27" t="s">
        <v>61</v>
      </c>
      <c r="C300" s="27" t="s">
        <v>110</v>
      </c>
      <c r="D300" s="34" t="n">
        <f aca="false">SUMIFS(Desconto_Cliente_Mes!$D$2:$D$433,Desconto_Cliente_Mes!$A$2:$A$433,$A300,Desconto_Cliente_Mes!$B$2:$B$433,$B300,Desconto_Cliente_Mes!$C$2:$C$433,$C300)</f>
        <v>0</v>
      </c>
      <c r="E300" s="37" t="str">
        <f aca="false">INDEX(Desconto_Cliente_Mes!$K$2:$K$433,MATCH($A300&amp;"|"&amp;$B300&amp;"|"&amp;$C300,Desconto_Cliente_Mes!$W$2:$W$433,0))</f>
        <v/>
      </c>
      <c r="F300" s="39" t="n">
        <f aca="false">SUMIFS(Desconto_Cliente_Mes!$U$2:$U$433,Desconto_Cliente_Mes!$A$2:$A$433,$A300,Desconto_Cliente_Mes!$B$2:$B$433,$B300,Desconto_Cliente_Mes!$C$2:$C$433,$C300)</f>
        <v>0</v>
      </c>
      <c r="G300" s="39" t="n">
        <f aca="false">SUMIFS(Desconto_Cliente_Mes!$U$2:$U$433,Desconto_Cliente_Mes!$B$2:$B$433,$B300,Desconto_Cliente_Mes!$C$2:$C$433,$C300,Desconto_Cliente_Mes!$K$2:$K$433,"Sim")</f>
        <v>89392.5188999994</v>
      </c>
      <c r="H300" s="37" t="n">
        <f aca="false">SUMIFS(Desconto_Cliente_Mes!$D$2:$D$433,Desconto_Cliente_Mes!$B$2:$B$433,$B300,Desconto_Cliente_Mes!$C$2:$C$433,$C300,Desconto_Cliente_Mes!$K$2:$K$433,"Nao",Desconto_Cliente_Mes!$D$2:$D$433,"&gt;0")</f>
        <v>315561.27</v>
      </c>
      <c r="I300" s="42" t="n">
        <f aca="false">IF(AND($E300="Nao",$D300&gt;0,$H300&gt;0),$D300/$H300,0)</f>
        <v>0</v>
      </c>
      <c r="J300" s="40" t="n">
        <f aca="false">$I300*$G300</f>
        <v>0</v>
      </c>
      <c r="K300" s="40" t="n">
        <f aca="false">$J300-$F300</f>
        <v>0</v>
      </c>
      <c r="L300" s="27" t="str">
        <f aca="false">IF($D300=0,"Sem embarque",IF($K300&gt;0,"Recebe","Paga"))</f>
        <v>Sem embarque</v>
      </c>
    </row>
    <row r="301" customFormat="false" ht="15" hidden="false" customHeight="false" outlineLevel="0" collapsed="false">
      <c r="A301" s="27" t="s">
        <v>47</v>
      </c>
      <c r="B301" s="27" t="s">
        <v>61</v>
      </c>
      <c r="C301" s="27" t="s">
        <v>111</v>
      </c>
      <c r="D301" s="34" t="n">
        <f aca="false">SUMIFS(Desconto_Cliente_Mes!$D$2:$D$433,Desconto_Cliente_Mes!$A$2:$A$433,$A301,Desconto_Cliente_Mes!$B$2:$B$433,$B301,Desconto_Cliente_Mes!$C$2:$C$433,$C301)</f>
        <v>0</v>
      </c>
      <c r="E301" s="37" t="str">
        <f aca="false">INDEX(Desconto_Cliente_Mes!$K$2:$K$433,MATCH($A301&amp;"|"&amp;$B301&amp;"|"&amp;$C301,Desconto_Cliente_Mes!$W$2:$W$433,0))</f>
        <v/>
      </c>
      <c r="F301" s="39" t="n">
        <f aca="false">SUMIFS(Desconto_Cliente_Mes!$U$2:$U$433,Desconto_Cliente_Mes!$A$2:$A$433,$A301,Desconto_Cliente_Mes!$B$2:$B$433,$B301,Desconto_Cliente_Mes!$C$2:$C$433,$C301)</f>
        <v>0</v>
      </c>
      <c r="G301" s="39" t="n">
        <f aca="false">SUMIFS(Desconto_Cliente_Mes!$U$2:$U$433,Desconto_Cliente_Mes!$B$2:$B$433,$B301,Desconto_Cliente_Mes!$C$2:$C$433,$C301,Desconto_Cliente_Mes!$K$2:$K$433,"Sim")</f>
        <v>45945.9604253753</v>
      </c>
      <c r="H301" s="37" t="n">
        <f aca="false">SUMIFS(Desconto_Cliente_Mes!$D$2:$D$433,Desconto_Cliente_Mes!$B$2:$B$433,$B301,Desconto_Cliente_Mes!$C$2:$C$433,$C301,Desconto_Cliente_Mes!$K$2:$K$433,"Nao",Desconto_Cliente_Mes!$D$2:$D$433,"&gt;0")</f>
        <v>238706.16</v>
      </c>
      <c r="I301" s="42" t="n">
        <f aca="false">IF(AND($E301="Nao",$D301&gt;0,$H301&gt;0),$D301/$H301,0)</f>
        <v>0</v>
      </c>
      <c r="J301" s="40" t="n">
        <f aca="false">$I301*$G301</f>
        <v>0</v>
      </c>
      <c r="K301" s="40" t="n">
        <f aca="false">$J301-$F301</f>
        <v>0</v>
      </c>
      <c r="L301" s="27" t="str">
        <f aca="false">IF($D301=0,"Sem embarque",IF($K301&gt;0,"Recebe","Paga"))</f>
        <v>Sem embarque</v>
      </c>
    </row>
    <row r="302" customFormat="false" ht="15" hidden="false" customHeight="false" outlineLevel="0" collapsed="false">
      <c r="A302" s="27" t="s">
        <v>47</v>
      </c>
      <c r="B302" s="27" t="s">
        <v>62</v>
      </c>
      <c r="C302" s="27" t="s">
        <v>109</v>
      </c>
      <c r="D302" s="34" t="n">
        <f aca="false">SUMIFS(Desconto_Cliente_Mes!$D$2:$D$433,Desconto_Cliente_Mes!$A$2:$A$433,$A302,Desconto_Cliente_Mes!$B$2:$B$433,$B302,Desconto_Cliente_Mes!$C$2:$C$433,$C302)</f>
        <v>0</v>
      </c>
      <c r="E302" s="37" t="str">
        <f aca="false">INDEX(Desconto_Cliente_Mes!$K$2:$K$433,MATCH($A302&amp;"|"&amp;$B302&amp;"|"&amp;$C302,Desconto_Cliente_Mes!$W$2:$W$433,0))</f>
        <v/>
      </c>
      <c r="F302" s="39" t="n">
        <f aca="false">SUMIFS(Desconto_Cliente_Mes!$U$2:$U$433,Desconto_Cliente_Mes!$A$2:$A$433,$A302,Desconto_Cliente_Mes!$B$2:$B$433,$B302,Desconto_Cliente_Mes!$C$2:$C$433,$C302)</f>
        <v>0</v>
      </c>
      <c r="G302" s="39" t="n">
        <f aca="false">SUMIFS(Desconto_Cliente_Mes!$U$2:$U$433,Desconto_Cliente_Mes!$B$2:$B$433,$B302,Desconto_Cliente_Mes!$C$2:$C$433,$C302,Desconto_Cliente_Mes!$K$2:$K$433,"Sim")</f>
        <v>82370.9873921197</v>
      </c>
      <c r="H302" s="37" t="n">
        <f aca="false">SUMIFS(Desconto_Cliente_Mes!$D$2:$D$433,Desconto_Cliente_Mes!$B$2:$B$433,$B302,Desconto_Cliente_Mes!$C$2:$C$433,$C302,Desconto_Cliente_Mes!$K$2:$K$433,"Nao",Desconto_Cliente_Mes!$D$2:$D$433,"&gt;0")</f>
        <v>113342.84</v>
      </c>
      <c r="I302" s="42" t="n">
        <f aca="false">IF(AND($E302="Nao",$D302&gt;0,$H302&gt;0),$D302/$H302,0)</f>
        <v>0</v>
      </c>
      <c r="J302" s="40" t="n">
        <f aca="false">$I302*$G302</f>
        <v>0</v>
      </c>
      <c r="K302" s="40" t="n">
        <f aca="false">$J302-$F302</f>
        <v>0</v>
      </c>
      <c r="L302" s="27" t="str">
        <f aca="false">IF($D302=0,"Sem embarque",IF($K302&gt;0,"Recebe","Paga"))</f>
        <v>Sem embarque</v>
      </c>
    </row>
    <row r="303" customFormat="false" ht="15" hidden="false" customHeight="false" outlineLevel="0" collapsed="false">
      <c r="A303" s="27" t="s">
        <v>47</v>
      </c>
      <c r="B303" s="27" t="s">
        <v>62</v>
      </c>
      <c r="C303" s="27" t="s">
        <v>110</v>
      </c>
      <c r="D303" s="34" t="n">
        <f aca="false">SUMIFS(Desconto_Cliente_Mes!$D$2:$D$433,Desconto_Cliente_Mes!$A$2:$A$433,$A303,Desconto_Cliente_Mes!$B$2:$B$433,$B303,Desconto_Cliente_Mes!$C$2:$C$433,$C303)</f>
        <v>0</v>
      </c>
      <c r="E303" s="37" t="str">
        <f aca="false">INDEX(Desconto_Cliente_Mes!$K$2:$K$433,MATCH($A303&amp;"|"&amp;$B303&amp;"|"&amp;$C303,Desconto_Cliente_Mes!$W$2:$W$433,0))</f>
        <v/>
      </c>
      <c r="F303" s="39" t="n">
        <f aca="false">SUMIFS(Desconto_Cliente_Mes!$U$2:$U$433,Desconto_Cliente_Mes!$A$2:$A$433,$A303,Desconto_Cliente_Mes!$B$2:$B$433,$B303,Desconto_Cliente_Mes!$C$2:$C$433,$C303)</f>
        <v>0</v>
      </c>
      <c r="G303" s="39" t="n">
        <f aca="false">SUMIFS(Desconto_Cliente_Mes!$U$2:$U$433,Desconto_Cliente_Mes!$B$2:$B$433,$B303,Desconto_Cliente_Mes!$C$2:$C$433,$C303,Desconto_Cliente_Mes!$K$2:$K$433,"Sim")</f>
        <v>18695.6934849998</v>
      </c>
      <c r="H303" s="37" t="n">
        <f aca="false">SUMIFS(Desconto_Cliente_Mes!$D$2:$D$433,Desconto_Cliente_Mes!$B$2:$B$433,$B303,Desconto_Cliente_Mes!$C$2:$C$433,$C303,Desconto_Cliente_Mes!$K$2:$K$433,"Nao",Desconto_Cliente_Mes!$D$2:$D$433,"&gt;0")</f>
        <v>209144.13</v>
      </c>
      <c r="I303" s="42" t="n">
        <f aca="false">IF(AND($E303="Nao",$D303&gt;0,$H303&gt;0),$D303/$H303,0)</f>
        <v>0</v>
      </c>
      <c r="J303" s="40" t="n">
        <f aca="false">$I303*$G303</f>
        <v>0</v>
      </c>
      <c r="K303" s="40" t="n">
        <f aca="false">$J303-$F303</f>
        <v>0</v>
      </c>
      <c r="L303" s="27" t="str">
        <f aca="false">IF($D303=0,"Sem embarque",IF($K303&gt;0,"Recebe","Paga"))</f>
        <v>Sem embarque</v>
      </c>
    </row>
    <row r="304" customFormat="false" ht="15" hidden="false" customHeight="false" outlineLevel="0" collapsed="false">
      <c r="A304" s="27" t="s">
        <v>47</v>
      </c>
      <c r="B304" s="27" t="s">
        <v>62</v>
      </c>
      <c r="C304" s="27" t="s">
        <v>111</v>
      </c>
      <c r="D304" s="34" t="n">
        <f aca="false">SUMIFS(Desconto_Cliente_Mes!$D$2:$D$433,Desconto_Cliente_Mes!$A$2:$A$433,$A304,Desconto_Cliente_Mes!$B$2:$B$433,$B304,Desconto_Cliente_Mes!$C$2:$C$433,$C304)</f>
        <v>0</v>
      </c>
      <c r="E304" s="37" t="str">
        <f aca="false">INDEX(Desconto_Cliente_Mes!$K$2:$K$433,MATCH($A304&amp;"|"&amp;$B304&amp;"|"&amp;$C304,Desconto_Cliente_Mes!$W$2:$W$433,0))</f>
        <v/>
      </c>
      <c r="F304" s="39" t="n">
        <f aca="false">SUMIFS(Desconto_Cliente_Mes!$U$2:$U$433,Desconto_Cliente_Mes!$A$2:$A$433,$A304,Desconto_Cliente_Mes!$B$2:$B$433,$B304,Desconto_Cliente_Mes!$C$2:$C$433,$C304)</f>
        <v>0</v>
      </c>
      <c r="G304" s="39" t="n">
        <f aca="false">SUMIFS(Desconto_Cliente_Mes!$U$2:$U$433,Desconto_Cliente_Mes!$B$2:$B$433,$B304,Desconto_Cliente_Mes!$C$2:$C$433,$C304,Desconto_Cliente_Mes!$K$2:$K$433,"Sim")</f>
        <v>34643.0933013345</v>
      </c>
      <c r="H304" s="37" t="n">
        <f aca="false">SUMIFS(Desconto_Cliente_Mes!$D$2:$D$433,Desconto_Cliente_Mes!$B$2:$B$433,$B304,Desconto_Cliente_Mes!$C$2:$C$433,$C304,Desconto_Cliente_Mes!$K$2:$K$433,"Nao",Desconto_Cliente_Mes!$D$2:$D$433,"&gt;0")</f>
        <v>157163.21</v>
      </c>
      <c r="I304" s="42" t="n">
        <f aca="false">IF(AND($E304="Nao",$D304&gt;0,$H304&gt;0),$D304/$H304,0)</f>
        <v>0</v>
      </c>
      <c r="J304" s="40" t="n">
        <f aca="false">$I304*$G304</f>
        <v>0</v>
      </c>
      <c r="K304" s="40" t="n">
        <f aca="false">$J304-$F304</f>
        <v>0</v>
      </c>
      <c r="L304" s="27" t="str">
        <f aca="false">IF($D304=0,"Sem embarque",IF($K304&gt;0,"Recebe","Paga"))</f>
        <v>Sem embarque</v>
      </c>
    </row>
    <row r="305" customFormat="false" ht="15" hidden="false" customHeight="false" outlineLevel="0" collapsed="false">
      <c r="A305" s="27" t="s">
        <v>47</v>
      </c>
      <c r="B305" s="27" t="s">
        <v>63</v>
      </c>
      <c r="C305" s="27" t="s">
        <v>109</v>
      </c>
      <c r="D305" s="34" t="n">
        <f aca="false">SUMIFS(Desconto_Cliente_Mes!$D$2:$D$433,Desconto_Cliente_Mes!$A$2:$A$433,$A305,Desconto_Cliente_Mes!$B$2:$B$433,$B305,Desconto_Cliente_Mes!$C$2:$C$433,$C305)</f>
        <v>0</v>
      </c>
      <c r="E305" s="37" t="str">
        <f aca="false">INDEX(Desconto_Cliente_Mes!$K$2:$K$433,MATCH($A305&amp;"|"&amp;$B305&amp;"|"&amp;$C305,Desconto_Cliente_Mes!$W$2:$W$433,0))</f>
        <v/>
      </c>
      <c r="F305" s="39" t="n">
        <f aca="false">SUMIFS(Desconto_Cliente_Mes!$U$2:$U$433,Desconto_Cliente_Mes!$A$2:$A$433,$A305,Desconto_Cliente_Mes!$B$2:$B$433,$B305,Desconto_Cliente_Mes!$C$2:$C$433,$C305)</f>
        <v>0</v>
      </c>
      <c r="G305" s="39" t="n">
        <f aca="false">SUMIFS(Desconto_Cliente_Mes!$U$2:$U$433,Desconto_Cliente_Mes!$B$2:$B$433,$B305,Desconto_Cliente_Mes!$C$2:$C$433,$C305,Desconto_Cliente_Mes!$K$2:$K$433,"Sim")</f>
        <v>47810.1541211094</v>
      </c>
      <c r="H305" s="37" t="n">
        <f aca="false">SUMIFS(Desconto_Cliente_Mes!$D$2:$D$433,Desconto_Cliente_Mes!$B$2:$B$433,$B305,Desconto_Cliente_Mes!$C$2:$C$433,$C305,Desconto_Cliente_Mes!$K$2:$K$433,"Nao",Desconto_Cliente_Mes!$D$2:$D$433,"&gt;0")</f>
        <v>127871.4</v>
      </c>
      <c r="I305" s="42" t="n">
        <f aca="false">IF(AND($E305="Nao",$D305&gt;0,$H305&gt;0),$D305/$H305,0)</f>
        <v>0</v>
      </c>
      <c r="J305" s="40" t="n">
        <f aca="false">$I305*$G305</f>
        <v>0</v>
      </c>
      <c r="K305" s="40" t="n">
        <f aca="false">$J305-$F305</f>
        <v>0</v>
      </c>
      <c r="L305" s="27" t="str">
        <f aca="false">IF($D305=0,"Sem embarque",IF($K305&gt;0,"Recebe","Paga"))</f>
        <v>Sem embarque</v>
      </c>
    </row>
    <row r="306" customFormat="false" ht="15" hidden="false" customHeight="false" outlineLevel="0" collapsed="false">
      <c r="A306" s="27" t="s">
        <v>47</v>
      </c>
      <c r="B306" s="27" t="s">
        <v>63</v>
      </c>
      <c r="C306" s="27" t="s">
        <v>110</v>
      </c>
      <c r="D306" s="34" t="n">
        <f aca="false">SUMIFS(Desconto_Cliente_Mes!$D$2:$D$433,Desconto_Cliente_Mes!$A$2:$A$433,$A306,Desconto_Cliente_Mes!$B$2:$B$433,$B306,Desconto_Cliente_Mes!$C$2:$C$433,$C306)</f>
        <v>0</v>
      </c>
      <c r="E306" s="37" t="str">
        <f aca="false">INDEX(Desconto_Cliente_Mes!$K$2:$K$433,MATCH($A306&amp;"|"&amp;$B306&amp;"|"&amp;$C306,Desconto_Cliente_Mes!$W$2:$W$433,0))</f>
        <v/>
      </c>
      <c r="F306" s="39" t="n">
        <f aca="false">SUMIFS(Desconto_Cliente_Mes!$U$2:$U$433,Desconto_Cliente_Mes!$A$2:$A$433,$A306,Desconto_Cliente_Mes!$B$2:$B$433,$B306,Desconto_Cliente_Mes!$C$2:$C$433,$C306)</f>
        <v>0</v>
      </c>
      <c r="G306" s="39" t="n">
        <f aca="false">SUMIFS(Desconto_Cliente_Mes!$U$2:$U$433,Desconto_Cliente_Mes!$B$2:$B$433,$B306,Desconto_Cliente_Mes!$C$2:$C$433,$C306,Desconto_Cliente_Mes!$K$2:$K$433,"Sim")</f>
        <v>147648.667120088</v>
      </c>
      <c r="H306" s="37" t="n">
        <f aca="false">SUMIFS(Desconto_Cliente_Mes!$D$2:$D$433,Desconto_Cliente_Mes!$B$2:$B$433,$B306,Desconto_Cliente_Mes!$C$2:$C$433,$C306,Desconto_Cliente_Mes!$K$2:$K$433,"Nao",Desconto_Cliente_Mes!$D$2:$D$433,"&gt;0")</f>
        <v>232651.12</v>
      </c>
      <c r="I306" s="42" t="n">
        <f aca="false">IF(AND($E306="Nao",$D306&gt;0,$H306&gt;0),$D306/$H306,0)</f>
        <v>0</v>
      </c>
      <c r="J306" s="40" t="n">
        <f aca="false">$I306*$G306</f>
        <v>0</v>
      </c>
      <c r="K306" s="40" t="n">
        <f aca="false">$J306-$F306</f>
        <v>0</v>
      </c>
      <c r="L306" s="27" t="str">
        <f aca="false">IF($D306=0,"Sem embarque",IF($K306&gt;0,"Recebe","Paga"))</f>
        <v>Sem embarque</v>
      </c>
    </row>
    <row r="307" customFormat="false" ht="15" hidden="false" customHeight="false" outlineLevel="0" collapsed="false">
      <c r="A307" s="27" t="s">
        <v>47</v>
      </c>
      <c r="B307" s="27" t="s">
        <v>63</v>
      </c>
      <c r="C307" s="27" t="s">
        <v>111</v>
      </c>
      <c r="D307" s="34" t="n">
        <f aca="false">SUMIFS(Desconto_Cliente_Mes!$D$2:$D$433,Desconto_Cliente_Mes!$A$2:$A$433,$A307,Desconto_Cliente_Mes!$B$2:$B$433,$B307,Desconto_Cliente_Mes!$C$2:$C$433,$C307)</f>
        <v>0</v>
      </c>
      <c r="E307" s="37" t="str">
        <f aca="false">INDEX(Desconto_Cliente_Mes!$K$2:$K$433,MATCH($A307&amp;"|"&amp;$B307&amp;"|"&amp;$C307,Desconto_Cliente_Mes!$W$2:$W$433,0))</f>
        <v/>
      </c>
      <c r="F307" s="39" t="n">
        <f aca="false">SUMIFS(Desconto_Cliente_Mes!$U$2:$U$433,Desconto_Cliente_Mes!$A$2:$A$433,$A307,Desconto_Cliente_Mes!$B$2:$B$433,$B307,Desconto_Cliente_Mes!$C$2:$C$433,$C307)</f>
        <v>0</v>
      </c>
      <c r="G307" s="39" t="n">
        <f aca="false">SUMIFS(Desconto_Cliente_Mes!$U$2:$U$433,Desconto_Cliente_Mes!$B$2:$B$433,$B307,Desconto_Cliente_Mes!$C$2:$C$433,$C307,Desconto_Cliente_Mes!$K$2:$K$433,"Sim")</f>
        <v>31621.0546248943</v>
      </c>
      <c r="H307" s="37" t="n">
        <f aca="false">SUMIFS(Desconto_Cliente_Mes!$D$2:$D$433,Desconto_Cliente_Mes!$B$2:$B$433,$B307,Desconto_Cliente_Mes!$C$2:$C$433,$C307,Desconto_Cliente_Mes!$K$2:$K$433,"Nao",Desconto_Cliente_Mes!$D$2:$D$433,"&gt;0")</f>
        <v>127871.4</v>
      </c>
      <c r="I307" s="42" t="n">
        <f aca="false">IF(AND($E307="Nao",$D307&gt;0,$H307&gt;0),$D307/$H307,0)</f>
        <v>0</v>
      </c>
      <c r="J307" s="40" t="n">
        <f aca="false">$I307*$G307</f>
        <v>0</v>
      </c>
      <c r="K307" s="40" t="n">
        <f aca="false">$J307-$F307</f>
        <v>0</v>
      </c>
      <c r="L307" s="27" t="str">
        <f aca="false">IF($D307=0,"Sem embarque",IF($K307&gt;0,"Recebe","Paga"))</f>
        <v>Sem embarque</v>
      </c>
    </row>
    <row r="308" customFormat="false" ht="15" hidden="false" customHeight="false" outlineLevel="0" collapsed="false">
      <c r="A308" s="27" t="s">
        <v>47</v>
      </c>
      <c r="B308" s="27" t="s">
        <v>64</v>
      </c>
      <c r="C308" s="27" t="s">
        <v>109</v>
      </c>
      <c r="D308" s="34" t="n">
        <f aca="false">SUMIFS(Desconto_Cliente_Mes!$D$2:$D$433,Desconto_Cliente_Mes!$A$2:$A$433,$A308,Desconto_Cliente_Mes!$B$2:$B$433,$B308,Desconto_Cliente_Mes!$C$2:$C$433,$C308)</f>
        <v>0</v>
      </c>
      <c r="E308" s="37" t="str">
        <f aca="false">INDEX(Desconto_Cliente_Mes!$K$2:$K$433,MATCH($A308&amp;"|"&amp;$B308&amp;"|"&amp;$C308,Desconto_Cliente_Mes!$W$2:$W$433,0))</f>
        <v/>
      </c>
      <c r="F308" s="39" t="n">
        <f aca="false">SUMIFS(Desconto_Cliente_Mes!$U$2:$U$433,Desconto_Cliente_Mes!$A$2:$A$433,$A308,Desconto_Cliente_Mes!$B$2:$B$433,$B308,Desconto_Cliente_Mes!$C$2:$C$433,$C308)</f>
        <v>0</v>
      </c>
      <c r="G308" s="39" t="n">
        <f aca="false">SUMIFS(Desconto_Cliente_Mes!$U$2:$U$433,Desconto_Cliente_Mes!$B$2:$B$433,$B308,Desconto_Cliente_Mes!$C$2:$C$433,$C308,Desconto_Cliente_Mes!$K$2:$K$433,"Sim")</f>
        <v>176913.022848898</v>
      </c>
      <c r="H308" s="37" t="n">
        <f aca="false">SUMIFS(Desconto_Cliente_Mes!$D$2:$D$433,Desconto_Cliente_Mes!$B$2:$B$433,$B308,Desconto_Cliente_Mes!$C$2:$C$433,$C308,Desconto_Cliente_Mes!$K$2:$K$433,"Nao",Desconto_Cliente_Mes!$D$2:$D$433,"&gt;0")</f>
        <v>227119.227</v>
      </c>
      <c r="I308" s="42" t="n">
        <f aca="false">IF(AND($E308="Nao",$D308&gt;0,$H308&gt;0),$D308/$H308,0)</f>
        <v>0</v>
      </c>
      <c r="J308" s="40" t="n">
        <f aca="false">$I308*$G308</f>
        <v>0</v>
      </c>
      <c r="K308" s="40" t="n">
        <f aca="false">$J308-$F308</f>
        <v>0</v>
      </c>
      <c r="L308" s="27" t="str">
        <f aca="false">IF($D308=0,"Sem embarque",IF($K308&gt;0,"Recebe","Paga"))</f>
        <v>Sem embarque</v>
      </c>
    </row>
    <row r="309" customFormat="false" ht="15" hidden="false" customHeight="false" outlineLevel="0" collapsed="false">
      <c r="A309" s="27" t="s">
        <v>47</v>
      </c>
      <c r="B309" s="27" t="s">
        <v>64</v>
      </c>
      <c r="C309" s="27" t="s">
        <v>110</v>
      </c>
      <c r="D309" s="34" t="n">
        <f aca="false">SUMIFS(Desconto_Cliente_Mes!$D$2:$D$433,Desconto_Cliente_Mes!$A$2:$A$433,$A309,Desconto_Cliente_Mes!$B$2:$B$433,$B309,Desconto_Cliente_Mes!$C$2:$C$433,$C309)</f>
        <v>0</v>
      </c>
      <c r="E309" s="37" t="str">
        <f aca="false">INDEX(Desconto_Cliente_Mes!$K$2:$K$433,MATCH($A309&amp;"|"&amp;$B309&amp;"|"&amp;$C309,Desconto_Cliente_Mes!$W$2:$W$433,0))</f>
        <v/>
      </c>
      <c r="F309" s="39" t="n">
        <f aca="false">SUMIFS(Desconto_Cliente_Mes!$U$2:$U$433,Desconto_Cliente_Mes!$A$2:$A$433,$A309,Desconto_Cliente_Mes!$B$2:$B$433,$B309,Desconto_Cliente_Mes!$C$2:$C$433,$C309)</f>
        <v>0</v>
      </c>
      <c r="G309" s="39" t="n">
        <f aca="false">SUMIFS(Desconto_Cliente_Mes!$U$2:$U$433,Desconto_Cliente_Mes!$B$2:$B$433,$B309,Desconto_Cliente_Mes!$C$2:$C$433,$C309,Desconto_Cliente_Mes!$K$2:$K$433,"Sim")</f>
        <v>78148.4030953999</v>
      </c>
      <c r="H309" s="37" t="n">
        <f aca="false">SUMIFS(Desconto_Cliente_Mes!$D$2:$D$433,Desconto_Cliente_Mes!$B$2:$B$433,$B309,Desconto_Cliente_Mes!$C$2:$C$433,$C309,Desconto_Cliente_Mes!$K$2:$K$433,"Nao",Desconto_Cliente_Mes!$D$2:$D$433,"&gt;0")</f>
        <v>367366.52</v>
      </c>
      <c r="I309" s="42" t="n">
        <f aca="false">IF(AND($E309="Nao",$D309&gt;0,$H309&gt;0),$D309/$H309,0)</f>
        <v>0</v>
      </c>
      <c r="J309" s="40" t="n">
        <f aca="false">$I309*$G309</f>
        <v>0</v>
      </c>
      <c r="K309" s="40" t="n">
        <f aca="false">$J309-$F309</f>
        <v>0</v>
      </c>
      <c r="L309" s="27" t="str">
        <f aca="false">IF($D309=0,"Sem embarque",IF($K309&gt;0,"Recebe","Paga"))</f>
        <v>Sem embarque</v>
      </c>
    </row>
    <row r="310" customFormat="false" ht="15" hidden="false" customHeight="false" outlineLevel="0" collapsed="false">
      <c r="A310" s="27" t="s">
        <v>47</v>
      </c>
      <c r="B310" s="27" t="s">
        <v>64</v>
      </c>
      <c r="C310" s="27" t="s">
        <v>111</v>
      </c>
      <c r="D310" s="34" t="n">
        <f aca="false">SUMIFS(Desconto_Cliente_Mes!$D$2:$D$433,Desconto_Cliente_Mes!$A$2:$A$433,$A310,Desconto_Cliente_Mes!$B$2:$B$433,$B310,Desconto_Cliente_Mes!$C$2:$C$433,$C310)</f>
        <v>0</v>
      </c>
      <c r="E310" s="37" t="str">
        <f aca="false">INDEX(Desconto_Cliente_Mes!$K$2:$K$433,MATCH($A310&amp;"|"&amp;$B310&amp;"|"&amp;$C310,Desconto_Cliente_Mes!$W$2:$W$433,0))</f>
        <v/>
      </c>
      <c r="F310" s="39" t="n">
        <f aca="false">SUMIFS(Desconto_Cliente_Mes!$U$2:$U$433,Desconto_Cliente_Mes!$A$2:$A$433,$A310,Desconto_Cliente_Mes!$B$2:$B$433,$B310,Desconto_Cliente_Mes!$C$2:$C$433,$C310)</f>
        <v>0</v>
      </c>
      <c r="G310" s="39" t="n">
        <f aca="false">SUMIFS(Desconto_Cliente_Mes!$U$2:$U$433,Desconto_Cliente_Mes!$B$2:$B$433,$B310,Desconto_Cliente_Mes!$C$2:$C$433,$C310,Desconto_Cliente_Mes!$K$2:$K$433,"Sim")</f>
        <v>53234.6338979999</v>
      </c>
      <c r="H310" s="37" t="n">
        <f aca="false">SUMIFS(Desconto_Cliente_Mes!$D$2:$D$433,Desconto_Cliente_Mes!$B$2:$B$433,$B310,Desconto_Cliente_Mes!$C$2:$C$433,$C310,Desconto_Cliente_Mes!$K$2:$K$433,"Nao",Desconto_Cliente_Mes!$D$2:$D$433,"&gt;0")</f>
        <v>250467.867</v>
      </c>
      <c r="I310" s="42" t="n">
        <f aca="false">IF(AND($E310="Nao",$D310&gt;0,$H310&gt;0),$D310/$H310,0)</f>
        <v>0</v>
      </c>
      <c r="J310" s="40" t="n">
        <f aca="false">$I310*$G310</f>
        <v>0</v>
      </c>
      <c r="K310" s="40" t="n">
        <f aca="false">$J310-$F310</f>
        <v>0</v>
      </c>
      <c r="L310" s="27" t="str">
        <f aca="false">IF($D310=0,"Sem embarque",IF($K310&gt;0,"Recebe","Paga"))</f>
        <v>Sem embarque</v>
      </c>
    </row>
    <row r="311" customFormat="false" ht="15" hidden="false" customHeight="false" outlineLevel="0" collapsed="false">
      <c r="A311" s="27" t="s">
        <v>47</v>
      </c>
      <c r="B311" s="27" t="s">
        <v>65</v>
      </c>
      <c r="C311" s="27" t="s">
        <v>109</v>
      </c>
      <c r="D311" s="34" t="n">
        <f aca="false">SUMIFS(Desconto_Cliente_Mes!$D$2:$D$433,Desconto_Cliente_Mes!$A$2:$A$433,$A311,Desconto_Cliente_Mes!$B$2:$B$433,$B311,Desconto_Cliente_Mes!$C$2:$C$433,$C311)</f>
        <v>0</v>
      </c>
      <c r="E311" s="37" t="str">
        <f aca="false">INDEX(Desconto_Cliente_Mes!$K$2:$K$433,MATCH($A311&amp;"|"&amp;$B311&amp;"|"&amp;$C311,Desconto_Cliente_Mes!$W$2:$W$433,0))</f>
        <v/>
      </c>
      <c r="F311" s="39" t="n">
        <f aca="false">SUMIFS(Desconto_Cliente_Mes!$U$2:$U$433,Desconto_Cliente_Mes!$A$2:$A$433,$A311,Desconto_Cliente_Mes!$B$2:$B$433,$B311,Desconto_Cliente_Mes!$C$2:$C$433,$C311)</f>
        <v>0</v>
      </c>
      <c r="G311" s="39" t="n">
        <f aca="false">SUMIFS(Desconto_Cliente_Mes!$U$2:$U$433,Desconto_Cliente_Mes!$B$2:$B$433,$B311,Desconto_Cliente_Mes!$C$2:$C$433,$C311,Desconto_Cliente_Mes!$K$2:$K$433,"Sim")</f>
        <v>264399.663796851</v>
      </c>
      <c r="H311" s="37" t="n">
        <f aca="false">SUMIFS(Desconto_Cliente_Mes!$D$2:$D$433,Desconto_Cliente_Mes!$B$2:$B$433,$B311,Desconto_Cliente_Mes!$C$2:$C$433,$C311,Desconto_Cliente_Mes!$K$2:$K$433,"Nao",Desconto_Cliente_Mes!$D$2:$D$433,"&gt;0")</f>
        <v>166556.65</v>
      </c>
      <c r="I311" s="42" t="n">
        <f aca="false">IF(AND($E311="Nao",$D311&gt;0,$H311&gt;0),$D311/$H311,0)</f>
        <v>0</v>
      </c>
      <c r="J311" s="40" t="n">
        <f aca="false">$I311*$G311</f>
        <v>0</v>
      </c>
      <c r="K311" s="40" t="n">
        <f aca="false">$J311-$F311</f>
        <v>0</v>
      </c>
      <c r="L311" s="27" t="str">
        <f aca="false">IF($D311=0,"Sem embarque",IF($K311&gt;0,"Recebe","Paga"))</f>
        <v>Sem embarque</v>
      </c>
    </row>
    <row r="312" customFormat="false" ht="15" hidden="false" customHeight="false" outlineLevel="0" collapsed="false">
      <c r="A312" s="27" t="s">
        <v>47</v>
      </c>
      <c r="B312" s="27" t="s">
        <v>65</v>
      </c>
      <c r="C312" s="27" t="s">
        <v>110</v>
      </c>
      <c r="D312" s="34" t="n">
        <f aca="false">SUMIFS(Desconto_Cliente_Mes!$D$2:$D$433,Desconto_Cliente_Mes!$A$2:$A$433,$A312,Desconto_Cliente_Mes!$B$2:$B$433,$B312,Desconto_Cliente_Mes!$C$2:$C$433,$C312)</f>
        <v>0</v>
      </c>
      <c r="E312" s="37" t="str">
        <f aca="false">INDEX(Desconto_Cliente_Mes!$K$2:$K$433,MATCH($A312&amp;"|"&amp;$B312&amp;"|"&amp;$C312,Desconto_Cliente_Mes!$W$2:$W$433,0))</f>
        <v/>
      </c>
      <c r="F312" s="39" t="n">
        <f aca="false">SUMIFS(Desconto_Cliente_Mes!$U$2:$U$433,Desconto_Cliente_Mes!$A$2:$A$433,$A312,Desconto_Cliente_Mes!$B$2:$B$433,$B312,Desconto_Cliente_Mes!$C$2:$C$433,$C312)</f>
        <v>0</v>
      </c>
      <c r="G312" s="39" t="n">
        <f aca="false">SUMIFS(Desconto_Cliente_Mes!$U$2:$U$433,Desconto_Cliente_Mes!$B$2:$B$433,$B312,Desconto_Cliente_Mes!$C$2:$C$433,$C312,Desconto_Cliente_Mes!$K$2:$K$433,"Sim")</f>
        <v>54942.617336</v>
      </c>
      <c r="H312" s="37" t="n">
        <f aca="false">SUMIFS(Desconto_Cliente_Mes!$D$2:$D$433,Desconto_Cliente_Mes!$B$2:$B$433,$B312,Desconto_Cliente_Mes!$C$2:$C$433,$C312,Desconto_Cliente_Mes!$K$2:$K$433,"Nao",Desconto_Cliente_Mes!$D$2:$D$433,"&gt;0")</f>
        <v>378160.7</v>
      </c>
      <c r="I312" s="42" t="n">
        <f aca="false">IF(AND($E312="Nao",$D312&gt;0,$H312&gt;0),$D312/$H312,0)</f>
        <v>0</v>
      </c>
      <c r="J312" s="40" t="n">
        <f aca="false">$I312*$G312</f>
        <v>0</v>
      </c>
      <c r="K312" s="40" t="n">
        <f aca="false">$J312-$F312</f>
        <v>0</v>
      </c>
      <c r="L312" s="27" t="str">
        <f aca="false">IF($D312=0,"Sem embarque",IF($K312&gt;0,"Recebe","Paga"))</f>
        <v>Sem embarque</v>
      </c>
    </row>
    <row r="313" customFormat="false" ht="15" hidden="false" customHeight="false" outlineLevel="0" collapsed="false">
      <c r="A313" s="27" t="s">
        <v>47</v>
      </c>
      <c r="B313" s="27" t="s">
        <v>65</v>
      </c>
      <c r="C313" s="27" t="s">
        <v>111</v>
      </c>
      <c r="D313" s="34" t="n">
        <f aca="false">SUMIFS(Desconto_Cliente_Mes!$D$2:$D$433,Desconto_Cliente_Mes!$A$2:$A$433,$A313,Desconto_Cliente_Mes!$B$2:$B$433,$B313,Desconto_Cliente_Mes!$C$2:$C$433,$C313)</f>
        <v>0</v>
      </c>
      <c r="E313" s="37" t="str">
        <f aca="false">INDEX(Desconto_Cliente_Mes!$K$2:$K$433,MATCH($A313&amp;"|"&amp;$B313&amp;"|"&amp;$C313,Desconto_Cliente_Mes!$W$2:$W$433,0))</f>
        <v/>
      </c>
      <c r="F313" s="39" t="n">
        <f aca="false">SUMIFS(Desconto_Cliente_Mes!$U$2:$U$433,Desconto_Cliente_Mes!$A$2:$A$433,$A313,Desconto_Cliente_Mes!$B$2:$B$433,$B313,Desconto_Cliente_Mes!$C$2:$C$433,$C313)</f>
        <v>0</v>
      </c>
      <c r="G313" s="39" t="n">
        <f aca="false">SUMIFS(Desconto_Cliente_Mes!$U$2:$U$433,Desconto_Cliente_Mes!$B$2:$B$433,$B313,Desconto_Cliente_Mes!$C$2:$C$433,$C313,Desconto_Cliente_Mes!$K$2:$K$433,"Sim")</f>
        <v>131995.749729693</v>
      </c>
      <c r="H313" s="37" t="n">
        <f aca="false">SUMIFS(Desconto_Cliente_Mes!$D$2:$D$433,Desconto_Cliente_Mes!$B$2:$B$433,$B313,Desconto_Cliente_Mes!$C$2:$C$433,$C313,Desconto_Cliente_Mes!$K$2:$K$433,"Nao",Desconto_Cliente_Mes!$D$2:$D$433,"&gt;0")</f>
        <v>132693.79</v>
      </c>
      <c r="I313" s="42" t="n">
        <f aca="false">IF(AND($E313="Nao",$D313&gt;0,$H313&gt;0),$D313/$H313,0)</f>
        <v>0</v>
      </c>
      <c r="J313" s="40" t="n">
        <f aca="false">$I313*$G313</f>
        <v>0</v>
      </c>
      <c r="K313" s="40" t="n">
        <f aca="false">$J313-$F313</f>
        <v>0</v>
      </c>
      <c r="L313" s="27" t="str">
        <f aca="false">IF($D313=0,"Sem embarque",IF($K313&gt;0,"Recebe","Paga"))</f>
        <v>Sem embarque</v>
      </c>
    </row>
    <row r="314" customFormat="false" ht="15" hidden="false" customHeight="false" outlineLevel="0" collapsed="false">
      <c r="A314" s="27" t="s">
        <v>47</v>
      </c>
      <c r="B314" s="27" t="s">
        <v>66</v>
      </c>
      <c r="C314" s="27" t="s">
        <v>109</v>
      </c>
      <c r="D314" s="34" t="n">
        <f aca="false">SUMIFS(Desconto_Cliente_Mes!$D$2:$D$433,Desconto_Cliente_Mes!$A$2:$A$433,$A314,Desconto_Cliente_Mes!$B$2:$B$433,$B314,Desconto_Cliente_Mes!$C$2:$C$433,$C314)</f>
        <v>0</v>
      </c>
      <c r="E314" s="37" t="str">
        <f aca="false">INDEX(Desconto_Cliente_Mes!$K$2:$K$433,MATCH($A314&amp;"|"&amp;$B314&amp;"|"&amp;$C314,Desconto_Cliente_Mes!$W$2:$W$433,0))</f>
        <v/>
      </c>
      <c r="F314" s="39" t="n">
        <f aca="false">SUMIFS(Desconto_Cliente_Mes!$U$2:$U$433,Desconto_Cliente_Mes!$A$2:$A$433,$A314,Desconto_Cliente_Mes!$B$2:$B$433,$B314,Desconto_Cliente_Mes!$C$2:$C$433,$C314)</f>
        <v>0</v>
      </c>
      <c r="G314" s="39" t="n">
        <f aca="false">SUMIFS(Desconto_Cliente_Mes!$U$2:$U$433,Desconto_Cliente_Mes!$B$2:$B$433,$B314,Desconto_Cliente_Mes!$C$2:$C$433,$C314,Desconto_Cliente_Mes!$K$2:$K$433,"Sim")</f>
        <v>26408.1404587724</v>
      </c>
      <c r="H314" s="37" t="n">
        <f aca="false">SUMIFS(Desconto_Cliente_Mes!$D$2:$D$433,Desconto_Cliente_Mes!$B$2:$B$433,$B314,Desconto_Cliente_Mes!$C$2:$C$433,$C314,Desconto_Cliente_Mes!$K$2:$K$433,"Nao",Desconto_Cliente_Mes!$D$2:$D$433,"&gt;0")</f>
        <v>25249.51</v>
      </c>
      <c r="I314" s="42" t="n">
        <f aca="false">IF(AND($E314="Nao",$D314&gt;0,$H314&gt;0),$D314/$H314,0)</f>
        <v>0</v>
      </c>
      <c r="J314" s="40" t="n">
        <f aca="false">$I314*$G314</f>
        <v>0</v>
      </c>
      <c r="K314" s="40" t="n">
        <f aca="false">$J314-$F314</f>
        <v>0</v>
      </c>
      <c r="L314" s="27" t="str">
        <f aca="false">IF($D314=0,"Sem embarque",IF($K314&gt;0,"Recebe","Paga"))</f>
        <v>Sem embarque</v>
      </c>
    </row>
    <row r="315" customFormat="false" ht="15" hidden="false" customHeight="false" outlineLevel="0" collapsed="false">
      <c r="A315" s="27" t="s">
        <v>47</v>
      </c>
      <c r="B315" s="27" t="s">
        <v>66</v>
      </c>
      <c r="C315" s="27" t="s">
        <v>110</v>
      </c>
      <c r="D315" s="34" t="n">
        <f aca="false">SUMIFS(Desconto_Cliente_Mes!$D$2:$D$433,Desconto_Cliente_Mes!$A$2:$A$433,$A315,Desconto_Cliente_Mes!$B$2:$B$433,$B315,Desconto_Cliente_Mes!$C$2:$C$433,$C315)</f>
        <v>0</v>
      </c>
      <c r="E315" s="37" t="str">
        <f aca="false">INDEX(Desconto_Cliente_Mes!$K$2:$K$433,MATCH($A315&amp;"|"&amp;$B315&amp;"|"&amp;$C315,Desconto_Cliente_Mes!$W$2:$W$433,0))</f>
        <v/>
      </c>
      <c r="F315" s="39" t="n">
        <f aca="false">SUMIFS(Desconto_Cliente_Mes!$U$2:$U$433,Desconto_Cliente_Mes!$A$2:$A$433,$A315,Desconto_Cliente_Mes!$B$2:$B$433,$B315,Desconto_Cliente_Mes!$C$2:$C$433,$C315)</f>
        <v>0</v>
      </c>
      <c r="G315" s="39" t="n">
        <f aca="false">SUMIFS(Desconto_Cliente_Mes!$U$2:$U$433,Desconto_Cliente_Mes!$B$2:$B$433,$B315,Desconto_Cliente_Mes!$C$2:$C$433,$C315,Desconto_Cliente_Mes!$K$2:$K$433,"Sim")</f>
        <v>20574.688366</v>
      </c>
      <c r="H315" s="37" t="n">
        <f aca="false">SUMIFS(Desconto_Cliente_Mes!$D$2:$D$433,Desconto_Cliente_Mes!$B$2:$B$433,$B315,Desconto_Cliente_Mes!$C$2:$C$433,$C315,Desconto_Cliente_Mes!$K$2:$K$433,"Nao",Desconto_Cliente_Mes!$D$2:$D$433,"&gt;0")</f>
        <v>36785.35</v>
      </c>
      <c r="I315" s="42" t="n">
        <f aca="false">IF(AND($E315="Nao",$D315&gt;0,$H315&gt;0),$D315/$H315,0)</f>
        <v>0</v>
      </c>
      <c r="J315" s="40" t="n">
        <f aca="false">$I315*$G315</f>
        <v>0</v>
      </c>
      <c r="K315" s="40" t="n">
        <f aca="false">$J315-$F315</f>
        <v>0</v>
      </c>
      <c r="L315" s="27" t="str">
        <f aca="false">IF($D315=0,"Sem embarque",IF($K315&gt;0,"Recebe","Paga"))</f>
        <v>Sem embarque</v>
      </c>
    </row>
    <row r="316" customFormat="false" ht="15" hidden="false" customHeight="false" outlineLevel="0" collapsed="false">
      <c r="A316" s="27" t="s">
        <v>47</v>
      </c>
      <c r="B316" s="27" t="s">
        <v>66</v>
      </c>
      <c r="C316" s="27" t="s">
        <v>111</v>
      </c>
      <c r="D316" s="34" t="n">
        <f aca="false">SUMIFS(Desconto_Cliente_Mes!$D$2:$D$433,Desconto_Cliente_Mes!$A$2:$A$433,$A316,Desconto_Cliente_Mes!$B$2:$B$433,$B316,Desconto_Cliente_Mes!$C$2:$C$433,$C316)</f>
        <v>0</v>
      </c>
      <c r="E316" s="37" t="str">
        <f aca="false">INDEX(Desconto_Cliente_Mes!$K$2:$K$433,MATCH($A316&amp;"|"&amp;$B316&amp;"|"&amp;$C316,Desconto_Cliente_Mes!$W$2:$W$433,0))</f>
        <v/>
      </c>
      <c r="F316" s="39" t="n">
        <f aca="false">SUMIFS(Desconto_Cliente_Mes!$U$2:$U$433,Desconto_Cliente_Mes!$A$2:$A$433,$A316,Desconto_Cliente_Mes!$B$2:$B$433,$B316,Desconto_Cliente_Mes!$C$2:$C$433,$C316)</f>
        <v>0</v>
      </c>
      <c r="G316" s="39" t="n">
        <f aca="false">SUMIFS(Desconto_Cliente_Mes!$U$2:$U$433,Desconto_Cliente_Mes!$B$2:$B$433,$B316,Desconto_Cliente_Mes!$C$2:$C$433,$C316,Desconto_Cliente_Mes!$K$2:$K$433,"Sim")</f>
        <v>12224.7687289319</v>
      </c>
      <c r="H316" s="37" t="n">
        <f aca="false">SUMIFS(Desconto_Cliente_Mes!$D$2:$D$433,Desconto_Cliente_Mes!$B$2:$B$433,$B316,Desconto_Cliente_Mes!$C$2:$C$433,$C316,Desconto_Cliente_Mes!$K$2:$K$433,"Nao",Desconto_Cliente_Mes!$D$2:$D$433,"&gt;0")</f>
        <v>41847.52</v>
      </c>
      <c r="I316" s="42" t="n">
        <f aca="false">IF(AND($E316="Nao",$D316&gt;0,$H316&gt;0),$D316/$H316,0)</f>
        <v>0</v>
      </c>
      <c r="J316" s="40" t="n">
        <f aca="false">$I316*$G316</f>
        <v>0</v>
      </c>
      <c r="K316" s="40" t="n">
        <f aca="false">$J316-$F316</f>
        <v>0</v>
      </c>
      <c r="L316" s="27" t="str">
        <f aca="false">IF($D316=0,"Sem embarque",IF($K316&gt;0,"Recebe","Paga"))</f>
        <v>Sem embarque</v>
      </c>
    </row>
    <row r="317" customFormat="false" ht="15" hidden="false" customHeight="false" outlineLevel="0" collapsed="false">
      <c r="A317" s="27" t="s">
        <v>47</v>
      </c>
      <c r="B317" s="27" t="s">
        <v>67</v>
      </c>
      <c r="C317" s="27" t="s">
        <v>109</v>
      </c>
      <c r="D317" s="34" t="n">
        <f aca="false">SUMIFS(Desconto_Cliente_Mes!$D$2:$D$433,Desconto_Cliente_Mes!$A$2:$A$433,$A317,Desconto_Cliente_Mes!$B$2:$B$433,$B317,Desconto_Cliente_Mes!$C$2:$C$433,$C317)</f>
        <v>0</v>
      </c>
      <c r="E317" s="37" t="str">
        <f aca="false">INDEX(Desconto_Cliente_Mes!$K$2:$K$433,MATCH($A317&amp;"|"&amp;$B317&amp;"|"&amp;$C317,Desconto_Cliente_Mes!$W$2:$W$433,0))</f>
        <v/>
      </c>
      <c r="F317" s="39" t="n">
        <f aca="false">SUMIFS(Desconto_Cliente_Mes!$U$2:$U$433,Desconto_Cliente_Mes!$A$2:$A$433,$A317,Desconto_Cliente_Mes!$B$2:$B$433,$B317,Desconto_Cliente_Mes!$C$2:$C$433,$C317)</f>
        <v>0</v>
      </c>
      <c r="G317" s="39" t="n">
        <f aca="false">SUMIFS(Desconto_Cliente_Mes!$U$2:$U$433,Desconto_Cliente_Mes!$B$2:$B$433,$B317,Desconto_Cliente_Mes!$C$2:$C$433,$C317,Desconto_Cliente_Mes!$K$2:$K$433,"Sim")</f>
        <v>0</v>
      </c>
      <c r="H317" s="37" t="n">
        <f aca="false">SUMIFS(Desconto_Cliente_Mes!$D$2:$D$433,Desconto_Cliente_Mes!$B$2:$B$433,$B317,Desconto_Cliente_Mes!$C$2:$C$433,$C317,Desconto_Cliente_Mes!$K$2:$K$433,"Nao",Desconto_Cliente_Mes!$D$2:$D$433,"&gt;0")</f>
        <v>0</v>
      </c>
      <c r="I317" s="42" t="n">
        <f aca="false">IF(AND($E317="Nao",$D317&gt;0,$H317&gt;0),$D317/$H317,0)</f>
        <v>0</v>
      </c>
      <c r="J317" s="40" t="n">
        <f aca="false">$I317*$G317</f>
        <v>0</v>
      </c>
      <c r="K317" s="40" t="n">
        <f aca="false">$J317-$F317</f>
        <v>0</v>
      </c>
      <c r="L317" s="27" t="str">
        <f aca="false">IF($D317=0,"Sem embarque",IF($K317&gt;0,"Recebe","Paga"))</f>
        <v>Sem embarque</v>
      </c>
    </row>
    <row r="318" customFormat="false" ht="15" hidden="false" customHeight="false" outlineLevel="0" collapsed="false">
      <c r="A318" s="27" t="s">
        <v>47</v>
      </c>
      <c r="B318" s="27" t="s">
        <v>67</v>
      </c>
      <c r="C318" s="27" t="s">
        <v>110</v>
      </c>
      <c r="D318" s="34" t="n">
        <f aca="false">SUMIFS(Desconto_Cliente_Mes!$D$2:$D$433,Desconto_Cliente_Mes!$A$2:$A$433,$A318,Desconto_Cliente_Mes!$B$2:$B$433,$B318,Desconto_Cliente_Mes!$C$2:$C$433,$C318)</f>
        <v>0</v>
      </c>
      <c r="E318" s="37" t="str">
        <f aca="false">INDEX(Desconto_Cliente_Mes!$K$2:$K$433,MATCH($A318&amp;"|"&amp;$B318&amp;"|"&amp;$C318,Desconto_Cliente_Mes!$W$2:$W$433,0))</f>
        <v/>
      </c>
      <c r="F318" s="39" t="n">
        <f aca="false">SUMIFS(Desconto_Cliente_Mes!$U$2:$U$433,Desconto_Cliente_Mes!$A$2:$A$433,$A318,Desconto_Cliente_Mes!$B$2:$B$433,$B318,Desconto_Cliente_Mes!$C$2:$C$433,$C318)</f>
        <v>0</v>
      </c>
      <c r="G318" s="39" t="n">
        <f aca="false">SUMIFS(Desconto_Cliente_Mes!$U$2:$U$433,Desconto_Cliente_Mes!$B$2:$B$433,$B318,Desconto_Cliente_Mes!$C$2:$C$433,$C318,Desconto_Cliente_Mes!$K$2:$K$433,"Sim")</f>
        <v>0</v>
      </c>
      <c r="H318" s="37" t="n">
        <f aca="false">SUMIFS(Desconto_Cliente_Mes!$D$2:$D$433,Desconto_Cliente_Mes!$B$2:$B$433,$B318,Desconto_Cliente_Mes!$C$2:$C$433,$C318,Desconto_Cliente_Mes!$K$2:$K$433,"Nao",Desconto_Cliente_Mes!$D$2:$D$433,"&gt;0")</f>
        <v>0</v>
      </c>
      <c r="I318" s="42" t="n">
        <f aca="false">IF(AND($E318="Nao",$D318&gt;0,$H318&gt;0),$D318/$H318,0)</f>
        <v>0</v>
      </c>
      <c r="J318" s="40" t="n">
        <f aca="false">$I318*$G318</f>
        <v>0</v>
      </c>
      <c r="K318" s="40" t="n">
        <f aca="false">$J318-$F318</f>
        <v>0</v>
      </c>
      <c r="L318" s="27" t="str">
        <f aca="false">IF($D318=0,"Sem embarque",IF($K318&gt;0,"Recebe","Paga"))</f>
        <v>Sem embarque</v>
      </c>
    </row>
    <row r="319" customFormat="false" ht="15" hidden="false" customHeight="false" outlineLevel="0" collapsed="false">
      <c r="A319" s="27" t="s">
        <v>47</v>
      </c>
      <c r="B319" s="27" t="s">
        <v>67</v>
      </c>
      <c r="C319" s="27" t="s">
        <v>111</v>
      </c>
      <c r="D319" s="34" t="n">
        <f aca="false">SUMIFS(Desconto_Cliente_Mes!$D$2:$D$433,Desconto_Cliente_Mes!$A$2:$A$433,$A319,Desconto_Cliente_Mes!$B$2:$B$433,$B319,Desconto_Cliente_Mes!$C$2:$C$433,$C319)</f>
        <v>0</v>
      </c>
      <c r="E319" s="37" t="str">
        <f aca="false">INDEX(Desconto_Cliente_Mes!$K$2:$K$433,MATCH($A319&amp;"|"&amp;$B319&amp;"|"&amp;$C319,Desconto_Cliente_Mes!$W$2:$W$433,0))</f>
        <v/>
      </c>
      <c r="F319" s="39" t="n">
        <f aca="false">SUMIFS(Desconto_Cliente_Mes!$U$2:$U$433,Desconto_Cliente_Mes!$A$2:$A$433,$A319,Desconto_Cliente_Mes!$B$2:$B$433,$B319,Desconto_Cliente_Mes!$C$2:$C$433,$C319)</f>
        <v>0</v>
      </c>
      <c r="G319" s="39" t="n">
        <f aca="false">SUMIFS(Desconto_Cliente_Mes!$U$2:$U$433,Desconto_Cliente_Mes!$B$2:$B$433,$B319,Desconto_Cliente_Mes!$C$2:$C$433,$C319,Desconto_Cliente_Mes!$K$2:$K$433,"Sim")</f>
        <v>0</v>
      </c>
      <c r="H319" s="37" t="n">
        <f aca="false">SUMIFS(Desconto_Cliente_Mes!$D$2:$D$433,Desconto_Cliente_Mes!$B$2:$B$433,$B319,Desconto_Cliente_Mes!$C$2:$C$433,$C319,Desconto_Cliente_Mes!$K$2:$K$433,"Nao",Desconto_Cliente_Mes!$D$2:$D$433,"&gt;0")</f>
        <v>0</v>
      </c>
      <c r="I319" s="42" t="n">
        <f aca="false">IF(AND($E319="Nao",$D319&gt;0,$H319&gt;0),$D319/$H319,0)</f>
        <v>0</v>
      </c>
      <c r="J319" s="40" t="n">
        <f aca="false">$I319*$G319</f>
        <v>0</v>
      </c>
      <c r="K319" s="40" t="n">
        <f aca="false">$J319-$F319</f>
        <v>0</v>
      </c>
      <c r="L319" s="27" t="str">
        <f aca="false">IF($D319=0,"Sem embarque",IF($K319&gt;0,"Recebe","Paga"))</f>
        <v>Sem embarque</v>
      </c>
    </row>
    <row r="320" customFormat="false" ht="15" hidden="false" customHeight="false" outlineLevel="0" collapsed="false">
      <c r="A320" s="27" t="s">
        <v>47</v>
      </c>
      <c r="B320" s="27" t="s">
        <v>68</v>
      </c>
      <c r="C320" s="27" t="s">
        <v>109</v>
      </c>
      <c r="D320" s="34" t="n">
        <f aca="false">SUMIFS(Desconto_Cliente_Mes!$D$2:$D$433,Desconto_Cliente_Mes!$A$2:$A$433,$A320,Desconto_Cliente_Mes!$B$2:$B$433,$B320,Desconto_Cliente_Mes!$C$2:$C$433,$C320)</f>
        <v>0</v>
      </c>
      <c r="E320" s="37" t="str">
        <f aca="false">INDEX(Desconto_Cliente_Mes!$K$2:$K$433,MATCH($A320&amp;"|"&amp;$B320&amp;"|"&amp;$C320,Desconto_Cliente_Mes!$W$2:$W$433,0))</f>
        <v/>
      </c>
      <c r="F320" s="39" t="n">
        <f aca="false">SUMIFS(Desconto_Cliente_Mes!$U$2:$U$433,Desconto_Cliente_Mes!$A$2:$A$433,$A320,Desconto_Cliente_Mes!$B$2:$B$433,$B320,Desconto_Cliente_Mes!$C$2:$C$433,$C320)</f>
        <v>0</v>
      </c>
      <c r="G320" s="39" t="n">
        <f aca="false">SUMIFS(Desconto_Cliente_Mes!$U$2:$U$433,Desconto_Cliente_Mes!$B$2:$B$433,$B320,Desconto_Cliente_Mes!$C$2:$C$433,$C320,Desconto_Cliente_Mes!$K$2:$K$433,"Sim")</f>
        <v>0</v>
      </c>
      <c r="H320" s="37" t="n">
        <f aca="false">SUMIFS(Desconto_Cliente_Mes!$D$2:$D$433,Desconto_Cliente_Mes!$B$2:$B$433,$B320,Desconto_Cliente_Mes!$C$2:$C$433,$C320,Desconto_Cliente_Mes!$K$2:$K$433,"Nao",Desconto_Cliente_Mes!$D$2:$D$433,"&gt;0")</f>
        <v>0</v>
      </c>
      <c r="I320" s="42" t="n">
        <f aca="false">IF(AND($E320="Nao",$D320&gt;0,$H320&gt;0),$D320/$H320,0)</f>
        <v>0</v>
      </c>
      <c r="J320" s="40" t="n">
        <f aca="false">$I320*$G320</f>
        <v>0</v>
      </c>
      <c r="K320" s="40" t="n">
        <f aca="false">$J320-$F320</f>
        <v>0</v>
      </c>
      <c r="L320" s="27" t="str">
        <f aca="false">IF($D320=0,"Sem embarque",IF($K320&gt;0,"Recebe","Paga"))</f>
        <v>Sem embarque</v>
      </c>
    </row>
    <row r="321" customFormat="false" ht="15" hidden="false" customHeight="false" outlineLevel="0" collapsed="false">
      <c r="A321" s="27" t="s">
        <v>47</v>
      </c>
      <c r="B321" s="27" t="s">
        <v>68</v>
      </c>
      <c r="C321" s="27" t="s">
        <v>110</v>
      </c>
      <c r="D321" s="34" t="n">
        <f aca="false">SUMIFS(Desconto_Cliente_Mes!$D$2:$D$433,Desconto_Cliente_Mes!$A$2:$A$433,$A321,Desconto_Cliente_Mes!$B$2:$B$433,$B321,Desconto_Cliente_Mes!$C$2:$C$433,$C321)</f>
        <v>0</v>
      </c>
      <c r="E321" s="37" t="str">
        <f aca="false">INDEX(Desconto_Cliente_Mes!$K$2:$K$433,MATCH($A321&amp;"|"&amp;$B321&amp;"|"&amp;$C321,Desconto_Cliente_Mes!$W$2:$W$433,0))</f>
        <v/>
      </c>
      <c r="F321" s="39" t="n">
        <f aca="false">SUMIFS(Desconto_Cliente_Mes!$U$2:$U$433,Desconto_Cliente_Mes!$A$2:$A$433,$A321,Desconto_Cliente_Mes!$B$2:$B$433,$B321,Desconto_Cliente_Mes!$C$2:$C$433,$C321)</f>
        <v>0</v>
      </c>
      <c r="G321" s="39" t="n">
        <f aca="false">SUMIFS(Desconto_Cliente_Mes!$U$2:$U$433,Desconto_Cliente_Mes!$B$2:$B$433,$B321,Desconto_Cliente_Mes!$C$2:$C$433,$C321,Desconto_Cliente_Mes!$K$2:$K$433,"Sim")</f>
        <v>0</v>
      </c>
      <c r="H321" s="37" t="n">
        <f aca="false">SUMIFS(Desconto_Cliente_Mes!$D$2:$D$433,Desconto_Cliente_Mes!$B$2:$B$433,$B321,Desconto_Cliente_Mes!$C$2:$C$433,$C321,Desconto_Cliente_Mes!$K$2:$K$433,"Nao",Desconto_Cliente_Mes!$D$2:$D$433,"&gt;0")</f>
        <v>0</v>
      </c>
      <c r="I321" s="42" t="n">
        <f aca="false">IF(AND($E321="Nao",$D321&gt;0,$H321&gt;0),$D321/$H321,0)</f>
        <v>0</v>
      </c>
      <c r="J321" s="40" t="n">
        <f aca="false">$I321*$G321</f>
        <v>0</v>
      </c>
      <c r="K321" s="40" t="n">
        <f aca="false">$J321-$F321</f>
        <v>0</v>
      </c>
      <c r="L321" s="27" t="str">
        <f aca="false">IF($D321=0,"Sem embarque",IF($K321&gt;0,"Recebe","Paga"))</f>
        <v>Sem embarque</v>
      </c>
    </row>
    <row r="322" customFormat="false" ht="15" hidden="false" customHeight="false" outlineLevel="0" collapsed="false">
      <c r="A322" s="27" t="s">
        <v>47</v>
      </c>
      <c r="B322" s="27" t="s">
        <v>68</v>
      </c>
      <c r="C322" s="27" t="s">
        <v>111</v>
      </c>
      <c r="D322" s="34" t="n">
        <f aca="false">SUMIFS(Desconto_Cliente_Mes!$D$2:$D$433,Desconto_Cliente_Mes!$A$2:$A$433,$A322,Desconto_Cliente_Mes!$B$2:$B$433,$B322,Desconto_Cliente_Mes!$C$2:$C$433,$C322)</f>
        <v>0</v>
      </c>
      <c r="E322" s="37" t="str">
        <f aca="false">INDEX(Desconto_Cliente_Mes!$K$2:$K$433,MATCH($A322&amp;"|"&amp;$B322&amp;"|"&amp;$C322,Desconto_Cliente_Mes!$W$2:$W$433,0))</f>
        <v/>
      </c>
      <c r="F322" s="39" t="n">
        <f aca="false">SUMIFS(Desconto_Cliente_Mes!$U$2:$U$433,Desconto_Cliente_Mes!$A$2:$A$433,$A322,Desconto_Cliente_Mes!$B$2:$B$433,$B322,Desconto_Cliente_Mes!$C$2:$C$433,$C322)</f>
        <v>0</v>
      </c>
      <c r="G322" s="39" t="n">
        <f aca="false">SUMIFS(Desconto_Cliente_Mes!$U$2:$U$433,Desconto_Cliente_Mes!$B$2:$B$433,$B322,Desconto_Cliente_Mes!$C$2:$C$433,$C322,Desconto_Cliente_Mes!$K$2:$K$433,"Sim")</f>
        <v>0</v>
      </c>
      <c r="H322" s="37" t="n">
        <f aca="false">SUMIFS(Desconto_Cliente_Mes!$D$2:$D$433,Desconto_Cliente_Mes!$B$2:$B$433,$B322,Desconto_Cliente_Mes!$C$2:$C$433,$C322,Desconto_Cliente_Mes!$K$2:$K$433,"Nao",Desconto_Cliente_Mes!$D$2:$D$433,"&gt;0")</f>
        <v>0</v>
      </c>
      <c r="I322" s="42" t="n">
        <f aca="false">IF(AND($E322="Nao",$D322&gt;0,$H322&gt;0),$D322/$H322,0)</f>
        <v>0</v>
      </c>
      <c r="J322" s="40" t="n">
        <f aca="false">$I322*$G322</f>
        <v>0</v>
      </c>
      <c r="K322" s="40" t="n">
        <f aca="false">$J322-$F322</f>
        <v>0</v>
      </c>
      <c r="L322" s="27" t="str">
        <f aca="false">IF($D322=0,"Sem embarque",IF($K322&gt;0,"Recebe","Paga"))</f>
        <v>Sem embarque</v>
      </c>
    </row>
    <row r="323" customFormat="false" ht="15" hidden="false" customHeight="false" outlineLevel="0" collapsed="false">
      <c r="A323" s="27" t="s">
        <v>47</v>
      </c>
      <c r="B323" s="27" t="s">
        <v>69</v>
      </c>
      <c r="C323" s="27" t="s">
        <v>109</v>
      </c>
      <c r="D323" s="34" t="n">
        <f aca="false">SUMIFS(Desconto_Cliente_Mes!$D$2:$D$433,Desconto_Cliente_Mes!$A$2:$A$433,$A323,Desconto_Cliente_Mes!$B$2:$B$433,$B323,Desconto_Cliente_Mes!$C$2:$C$433,$C323)</f>
        <v>0</v>
      </c>
      <c r="E323" s="37" t="str">
        <f aca="false">INDEX(Desconto_Cliente_Mes!$K$2:$K$433,MATCH($A323&amp;"|"&amp;$B323&amp;"|"&amp;$C323,Desconto_Cliente_Mes!$W$2:$W$433,0))</f>
        <v/>
      </c>
      <c r="F323" s="39" t="n">
        <f aca="false">SUMIFS(Desconto_Cliente_Mes!$U$2:$U$433,Desconto_Cliente_Mes!$A$2:$A$433,$A323,Desconto_Cliente_Mes!$B$2:$B$433,$B323,Desconto_Cliente_Mes!$C$2:$C$433,$C323)</f>
        <v>0</v>
      </c>
      <c r="G323" s="39" t="n">
        <f aca="false">SUMIFS(Desconto_Cliente_Mes!$U$2:$U$433,Desconto_Cliente_Mes!$B$2:$B$433,$B323,Desconto_Cliente_Mes!$C$2:$C$433,$C323,Desconto_Cliente_Mes!$K$2:$K$433,"Sim")</f>
        <v>0</v>
      </c>
      <c r="H323" s="37" t="n">
        <f aca="false">SUMIFS(Desconto_Cliente_Mes!$D$2:$D$433,Desconto_Cliente_Mes!$B$2:$B$433,$B323,Desconto_Cliente_Mes!$C$2:$C$433,$C323,Desconto_Cliente_Mes!$K$2:$K$433,"Nao",Desconto_Cliente_Mes!$D$2:$D$433,"&gt;0")</f>
        <v>0</v>
      </c>
      <c r="I323" s="42" t="n">
        <f aca="false">IF(AND($E323="Nao",$D323&gt;0,$H323&gt;0),$D323/$H323,0)</f>
        <v>0</v>
      </c>
      <c r="J323" s="40" t="n">
        <f aca="false">$I323*$G323</f>
        <v>0</v>
      </c>
      <c r="K323" s="40" t="n">
        <f aca="false">$J323-$F323</f>
        <v>0</v>
      </c>
      <c r="L323" s="27" t="str">
        <f aca="false">IF($D323=0,"Sem embarque",IF($K323&gt;0,"Recebe","Paga"))</f>
        <v>Sem embarque</v>
      </c>
    </row>
    <row r="324" customFormat="false" ht="15" hidden="false" customHeight="false" outlineLevel="0" collapsed="false">
      <c r="A324" s="27" t="s">
        <v>47</v>
      </c>
      <c r="B324" s="27" t="s">
        <v>69</v>
      </c>
      <c r="C324" s="27" t="s">
        <v>110</v>
      </c>
      <c r="D324" s="34" t="n">
        <f aca="false">SUMIFS(Desconto_Cliente_Mes!$D$2:$D$433,Desconto_Cliente_Mes!$A$2:$A$433,$A324,Desconto_Cliente_Mes!$B$2:$B$433,$B324,Desconto_Cliente_Mes!$C$2:$C$433,$C324)</f>
        <v>0</v>
      </c>
      <c r="E324" s="37" t="str">
        <f aca="false">INDEX(Desconto_Cliente_Mes!$K$2:$K$433,MATCH($A324&amp;"|"&amp;$B324&amp;"|"&amp;$C324,Desconto_Cliente_Mes!$W$2:$W$433,0))</f>
        <v/>
      </c>
      <c r="F324" s="39" t="n">
        <f aca="false">SUMIFS(Desconto_Cliente_Mes!$U$2:$U$433,Desconto_Cliente_Mes!$A$2:$A$433,$A324,Desconto_Cliente_Mes!$B$2:$B$433,$B324,Desconto_Cliente_Mes!$C$2:$C$433,$C324)</f>
        <v>0</v>
      </c>
      <c r="G324" s="39" t="n">
        <f aca="false">SUMIFS(Desconto_Cliente_Mes!$U$2:$U$433,Desconto_Cliente_Mes!$B$2:$B$433,$B324,Desconto_Cliente_Mes!$C$2:$C$433,$C324,Desconto_Cliente_Mes!$K$2:$K$433,"Sim")</f>
        <v>0</v>
      </c>
      <c r="H324" s="37" t="n">
        <f aca="false">SUMIFS(Desconto_Cliente_Mes!$D$2:$D$433,Desconto_Cliente_Mes!$B$2:$B$433,$B324,Desconto_Cliente_Mes!$C$2:$C$433,$C324,Desconto_Cliente_Mes!$K$2:$K$433,"Nao",Desconto_Cliente_Mes!$D$2:$D$433,"&gt;0")</f>
        <v>0</v>
      </c>
      <c r="I324" s="42" t="n">
        <f aca="false">IF(AND($E324="Nao",$D324&gt;0,$H324&gt;0),$D324/$H324,0)</f>
        <v>0</v>
      </c>
      <c r="J324" s="40" t="n">
        <f aca="false">$I324*$G324</f>
        <v>0</v>
      </c>
      <c r="K324" s="40" t="n">
        <f aca="false">$J324-$F324</f>
        <v>0</v>
      </c>
      <c r="L324" s="27" t="str">
        <f aca="false">IF($D324=0,"Sem embarque",IF($K324&gt;0,"Recebe","Paga"))</f>
        <v>Sem embarque</v>
      </c>
    </row>
    <row r="325" customFormat="false" ht="15" hidden="false" customHeight="false" outlineLevel="0" collapsed="false">
      <c r="A325" s="27" t="s">
        <v>47</v>
      </c>
      <c r="B325" s="27" t="s">
        <v>69</v>
      </c>
      <c r="C325" s="27" t="s">
        <v>111</v>
      </c>
      <c r="D325" s="34" t="n">
        <f aca="false">SUMIFS(Desconto_Cliente_Mes!$D$2:$D$433,Desconto_Cliente_Mes!$A$2:$A$433,$A325,Desconto_Cliente_Mes!$B$2:$B$433,$B325,Desconto_Cliente_Mes!$C$2:$C$433,$C325)</f>
        <v>0</v>
      </c>
      <c r="E325" s="37" t="str">
        <f aca="false">INDEX(Desconto_Cliente_Mes!$K$2:$K$433,MATCH($A325&amp;"|"&amp;$B325&amp;"|"&amp;$C325,Desconto_Cliente_Mes!$W$2:$W$433,0))</f>
        <v/>
      </c>
      <c r="F325" s="39" t="n">
        <f aca="false">SUMIFS(Desconto_Cliente_Mes!$U$2:$U$433,Desconto_Cliente_Mes!$A$2:$A$433,$A325,Desconto_Cliente_Mes!$B$2:$B$433,$B325,Desconto_Cliente_Mes!$C$2:$C$433,$C325)</f>
        <v>0</v>
      </c>
      <c r="G325" s="39" t="n">
        <f aca="false">SUMIFS(Desconto_Cliente_Mes!$U$2:$U$433,Desconto_Cliente_Mes!$B$2:$B$433,$B325,Desconto_Cliente_Mes!$C$2:$C$433,$C325,Desconto_Cliente_Mes!$K$2:$K$433,"Sim")</f>
        <v>0</v>
      </c>
      <c r="H325" s="37" t="n">
        <f aca="false">SUMIFS(Desconto_Cliente_Mes!$D$2:$D$433,Desconto_Cliente_Mes!$B$2:$B$433,$B325,Desconto_Cliente_Mes!$C$2:$C$433,$C325,Desconto_Cliente_Mes!$K$2:$K$433,"Nao",Desconto_Cliente_Mes!$D$2:$D$433,"&gt;0")</f>
        <v>0</v>
      </c>
      <c r="I325" s="42" t="n">
        <f aca="false">IF(AND($E325="Nao",$D325&gt;0,$H325&gt;0),$D325/$H325,0)</f>
        <v>0</v>
      </c>
      <c r="J325" s="40" t="n">
        <f aca="false">$I325*$G325</f>
        <v>0</v>
      </c>
      <c r="K325" s="40" t="n">
        <f aca="false">$J325-$F325</f>
        <v>0</v>
      </c>
      <c r="L325" s="27" t="str">
        <f aca="false">IF($D325=0,"Sem embarque",IF($K325&gt;0,"Recebe","Paga"))</f>
        <v>Sem embarque</v>
      </c>
    </row>
    <row r="326" customFormat="false" ht="15" hidden="false" customHeight="false" outlineLevel="0" collapsed="false">
      <c r="A326" s="27" t="s">
        <v>48</v>
      </c>
      <c r="B326" s="27" t="s">
        <v>38</v>
      </c>
      <c r="C326" s="27" t="s">
        <v>109</v>
      </c>
      <c r="D326" s="34" t="n">
        <f aca="false">SUMIFS(Desconto_Cliente_Mes!$D$2:$D$433,Desconto_Cliente_Mes!$A$2:$A$433,$A326,Desconto_Cliente_Mes!$B$2:$B$433,$B326,Desconto_Cliente_Mes!$C$2:$C$433,$C326)</f>
        <v>0</v>
      </c>
      <c r="E326" s="37" t="str">
        <f aca="false">INDEX(Desconto_Cliente_Mes!$K$2:$K$433,MATCH($A326&amp;"|"&amp;$B326&amp;"|"&amp;$C326,Desconto_Cliente_Mes!$W$2:$W$433,0))</f>
        <v/>
      </c>
      <c r="F326" s="39" t="n">
        <f aca="false">SUMIFS(Desconto_Cliente_Mes!$U$2:$U$433,Desconto_Cliente_Mes!$A$2:$A$433,$A326,Desconto_Cliente_Mes!$B$2:$B$433,$B326,Desconto_Cliente_Mes!$C$2:$C$433,$C326)</f>
        <v>0</v>
      </c>
      <c r="G326" s="39" t="n">
        <f aca="false">SUMIFS(Desconto_Cliente_Mes!$U$2:$U$433,Desconto_Cliente_Mes!$B$2:$B$433,$B326,Desconto_Cliente_Mes!$C$2:$C$433,$C326,Desconto_Cliente_Mes!$K$2:$K$433,"Sim")</f>
        <v>91377.0669671845</v>
      </c>
      <c r="H326" s="37" t="n">
        <f aca="false">SUMIFS(Desconto_Cliente_Mes!$D$2:$D$433,Desconto_Cliente_Mes!$B$2:$B$433,$B326,Desconto_Cliente_Mes!$C$2:$C$433,$C326,Desconto_Cliente_Mes!$K$2:$K$433,"Nao",Desconto_Cliente_Mes!$D$2:$D$433,"&gt;0")</f>
        <v>58734.34</v>
      </c>
      <c r="I326" s="42" t="n">
        <f aca="false">IF(AND($E326="Nao",$D326&gt;0,$H326&gt;0),$D326/$H326,0)</f>
        <v>0</v>
      </c>
      <c r="J326" s="40" t="n">
        <f aca="false">$I326*$G326</f>
        <v>0</v>
      </c>
      <c r="K326" s="40" t="n">
        <f aca="false">$J326-$F326</f>
        <v>0</v>
      </c>
      <c r="L326" s="27" t="str">
        <f aca="false">IF($D326=0,"Sem embarque",IF($K326&gt;0,"Recebe","Paga"))</f>
        <v>Sem embarque</v>
      </c>
    </row>
    <row r="327" customFormat="false" ht="15" hidden="false" customHeight="false" outlineLevel="0" collapsed="false">
      <c r="A327" s="27" t="s">
        <v>48</v>
      </c>
      <c r="B327" s="27" t="s">
        <v>38</v>
      </c>
      <c r="C327" s="27" t="s">
        <v>110</v>
      </c>
      <c r="D327" s="34" t="n">
        <f aca="false">SUMIFS(Desconto_Cliente_Mes!$D$2:$D$433,Desconto_Cliente_Mes!$A$2:$A$433,$A327,Desconto_Cliente_Mes!$B$2:$B$433,$B327,Desconto_Cliente_Mes!$C$2:$C$433,$C327)</f>
        <v>0</v>
      </c>
      <c r="E327" s="37" t="str">
        <f aca="false">INDEX(Desconto_Cliente_Mes!$K$2:$K$433,MATCH($A327&amp;"|"&amp;$B327&amp;"|"&amp;$C327,Desconto_Cliente_Mes!$W$2:$W$433,0))</f>
        <v/>
      </c>
      <c r="F327" s="39" t="n">
        <f aca="false">SUMIFS(Desconto_Cliente_Mes!$U$2:$U$433,Desconto_Cliente_Mes!$A$2:$A$433,$A327,Desconto_Cliente_Mes!$B$2:$B$433,$B327,Desconto_Cliente_Mes!$C$2:$C$433,$C327)</f>
        <v>0</v>
      </c>
      <c r="G327" s="39" t="n">
        <f aca="false">SUMIFS(Desconto_Cliente_Mes!$U$2:$U$433,Desconto_Cliente_Mes!$B$2:$B$433,$B327,Desconto_Cliente_Mes!$C$2:$C$433,$C327,Desconto_Cliente_Mes!$K$2:$K$433,"Sim")</f>
        <v>0</v>
      </c>
      <c r="H327" s="37" t="n">
        <f aca="false">SUMIFS(Desconto_Cliente_Mes!$D$2:$D$433,Desconto_Cliente_Mes!$B$2:$B$433,$B327,Desconto_Cliente_Mes!$C$2:$C$433,$C327,Desconto_Cliente_Mes!$K$2:$K$433,"Nao",Desconto_Cliente_Mes!$D$2:$D$433,"&gt;0")</f>
        <v>263816.27</v>
      </c>
      <c r="I327" s="42" t="n">
        <f aca="false">IF(AND($E327="Nao",$D327&gt;0,$H327&gt;0),$D327/$H327,0)</f>
        <v>0</v>
      </c>
      <c r="J327" s="40" t="n">
        <f aca="false">$I327*$G327</f>
        <v>0</v>
      </c>
      <c r="K327" s="40" t="n">
        <f aca="false">$J327-$F327</f>
        <v>0</v>
      </c>
      <c r="L327" s="27" t="str">
        <f aca="false">IF($D327=0,"Sem embarque",IF($K327&gt;0,"Recebe","Paga"))</f>
        <v>Sem embarque</v>
      </c>
    </row>
    <row r="328" customFormat="false" ht="15" hidden="false" customHeight="false" outlineLevel="0" collapsed="false">
      <c r="A328" s="27" t="s">
        <v>48</v>
      </c>
      <c r="B328" s="27" t="s">
        <v>38</v>
      </c>
      <c r="C328" s="27" t="s">
        <v>111</v>
      </c>
      <c r="D328" s="34" t="n">
        <f aca="false">SUMIFS(Desconto_Cliente_Mes!$D$2:$D$433,Desconto_Cliente_Mes!$A$2:$A$433,$A328,Desconto_Cliente_Mes!$B$2:$B$433,$B328,Desconto_Cliente_Mes!$C$2:$C$433,$C328)</f>
        <v>0</v>
      </c>
      <c r="E328" s="37" t="str">
        <f aca="false">INDEX(Desconto_Cliente_Mes!$K$2:$K$433,MATCH($A328&amp;"|"&amp;$B328&amp;"|"&amp;$C328,Desconto_Cliente_Mes!$W$2:$W$433,0))</f>
        <v/>
      </c>
      <c r="F328" s="39" t="n">
        <f aca="false">SUMIFS(Desconto_Cliente_Mes!$U$2:$U$433,Desconto_Cliente_Mes!$A$2:$A$433,$A328,Desconto_Cliente_Mes!$B$2:$B$433,$B328,Desconto_Cliente_Mes!$C$2:$C$433,$C328)</f>
        <v>0</v>
      </c>
      <c r="G328" s="39" t="n">
        <f aca="false">SUMIFS(Desconto_Cliente_Mes!$U$2:$U$433,Desconto_Cliente_Mes!$B$2:$B$433,$B328,Desconto_Cliente_Mes!$C$2:$C$433,$C328,Desconto_Cliente_Mes!$K$2:$K$433,"Sim")</f>
        <v>71216.4191325092</v>
      </c>
      <c r="H328" s="37" t="n">
        <f aca="false">SUMIFS(Desconto_Cliente_Mes!$D$2:$D$433,Desconto_Cliente_Mes!$B$2:$B$433,$B328,Desconto_Cliente_Mes!$C$2:$C$433,$C328,Desconto_Cliente_Mes!$K$2:$K$433,"Nao",Desconto_Cliente_Mes!$D$2:$D$433,"&gt;0")</f>
        <v>116867.62</v>
      </c>
      <c r="I328" s="42" t="n">
        <f aca="false">IF(AND($E328="Nao",$D328&gt;0,$H328&gt;0),$D328/$H328,0)</f>
        <v>0</v>
      </c>
      <c r="J328" s="40" t="n">
        <f aca="false">$I328*$G328</f>
        <v>0</v>
      </c>
      <c r="K328" s="40" t="n">
        <f aca="false">$J328-$F328</f>
        <v>0</v>
      </c>
      <c r="L328" s="27" t="str">
        <f aca="false">IF($D328=0,"Sem embarque",IF($K328&gt;0,"Recebe","Paga"))</f>
        <v>Sem embarque</v>
      </c>
    </row>
    <row r="329" customFormat="false" ht="15" hidden="false" customHeight="false" outlineLevel="0" collapsed="false">
      <c r="A329" s="27" t="s">
        <v>48</v>
      </c>
      <c r="B329" s="27" t="s">
        <v>59</v>
      </c>
      <c r="C329" s="27" t="s">
        <v>109</v>
      </c>
      <c r="D329" s="34" t="n">
        <f aca="false">SUMIFS(Desconto_Cliente_Mes!$D$2:$D$433,Desconto_Cliente_Mes!$A$2:$A$433,$A329,Desconto_Cliente_Mes!$B$2:$B$433,$B329,Desconto_Cliente_Mes!$C$2:$C$433,$C329)</f>
        <v>0</v>
      </c>
      <c r="E329" s="37" t="str">
        <f aca="false">INDEX(Desconto_Cliente_Mes!$K$2:$K$433,MATCH($A329&amp;"|"&amp;$B329&amp;"|"&amp;$C329,Desconto_Cliente_Mes!$W$2:$W$433,0))</f>
        <v/>
      </c>
      <c r="F329" s="39" t="n">
        <f aca="false">SUMIFS(Desconto_Cliente_Mes!$U$2:$U$433,Desconto_Cliente_Mes!$A$2:$A$433,$A329,Desconto_Cliente_Mes!$B$2:$B$433,$B329,Desconto_Cliente_Mes!$C$2:$C$433,$C329)</f>
        <v>0</v>
      </c>
      <c r="G329" s="39" t="n">
        <f aca="false">SUMIFS(Desconto_Cliente_Mes!$U$2:$U$433,Desconto_Cliente_Mes!$B$2:$B$433,$B329,Desconto_Cliente_Mes!$C$2:$C$433,$C329,Desconto_Cliente_Mes!$K$2:$K$433,"Sim")</f>
        <v>166858.825867758</v>
      </c>
      <c r="H329" s="37" t="n">
        <f aca="false">SUMIFS(Desconto_Cliente_Mes!$D$2:$D$433,Desconto_Cliente_Mes!$B$2:$B$433,$B329,Desconto_Cliente_Mes!$C$2:$C$433,$C329,Desconto_Cliente_Mes!$K$2:$K$433,"Nao",Desconto_Cliente_Mes!$D$2:$D$433,"&gt;0")</f>
        <v>83594.61</v>
      </c>
      <c r="I329" s="42" t="n">
        <f aca="false">IF(AND($E329="Nao",$D329&gt;0,$H329&gt;0),$D329/$H329,0)</f>
        <v>0</v>
      </c>
      <c r="J329" s="40" t="n">
        <f aca="false">$I329*$G329</f>
        <v>0</v>
      </c>
      <c r="K329" s="40" t="n">
        <f aca="false">$J329-$F329</f>
        <v>0</v>
      </c>
      <c r="L329" s="27" t="str">
        <f aca="false">IF($D329=0,"Sem embarque",IF($K329&gt;0,"Recebe","Paga"))</f>
        <v>Sem embarque</v>
      </c>
    </row>
    <row r="330" customFormat="false" ht="15" hidden="false" customHeight="false" outlineLevel="0" collapsed="false">
      <c r="A330" s="27" t="s">
        <v>48</v>
      </c>
      <c r="B330" s="27" t="s">
        <v>59</v>
      </c>
      <c r="C330" s="27" t="s">
        <v>110</v>
      </c>
      <c r="D330" s="34" t="n">
        <f aca="false">SUMIFS(Desconto_Cliente_Mes!$D$2:$D$433,Desconto_Cliente_Mes!$A$2:$A$433,$A330,Desconto_Cliente_Mes!$B$2:$B$433,$B330,Desconto_Cliente_Mes!$C$2:$C$433,$C330)</f>
        <v>0</v>
      </c>
      <c r="E330" s="37" t="str">
        <f aca="false">INDEX(Desconto_Cliente_Mes!$K$2:$K$433,MATCH($A330&amp;"|"&amp;$B330&amp;"|"&amp;$C330,Desconto_Cliente_Mes!$W$2:$W$433,0))</f>
        <v/>
      </c>
      <c r="F330" s="39" t="n">
        <f aca="false">SUMIFS(Desconto_Cliente_Mes!$U$2:$U$433,Desconto_Cliente_Mes!$A$2:$A$433,$A330,Desconto_Cliente_Mes!$B$2:$B$433,$B330,Desconto_Cliente_Mes!$C$2:$C$433,$C330)</f>
        <v>0</v>
      </c>
      <c r="G330" s="39" t="n">
        <f aca="false">SUMIFS(Desconto_Cliente_Mes!$U$2:$U$433,Desconto_Cliente_Mes!$B$2:$B$433,$B330,Desconto_Cliente_Mes!$C$2:$C$433,$C330,Desconto_Cliente_Mes!$K$2:$K$433,"Sim")</f>
        <v>8132.39257800007</v>
      </c>
      <c r="H330" s="37" t="n">
        <f aca="false">SUMIFS(Desconto_Cliente_Mes!$D$2:$D$433,Desconto_Cliente_Mes!$B$2:$B$433,$B330,Desconto_Cliente_Mes!$C$2:$C$433,$C330,Desconto_Cliente_Mes!$K$2:$K$433,"Nao",Desconto_Cliente_Mes!$D$2:$D$433,"&gt;0")</f>
        <v>289730.52</v>
      </c>
      <c r="I330" s="42" t="n">
        <f aca="false">IF(AND($E330="Nao",$D330&gt;0,$H330&gt;0),$D330/$H330,0)</f>
        <v>0</v>
      </c>
      <c r="J330" s="40" t="n">
        <f aca="false">$I330*$G330</f>
        <v>0</v>
      </c>
      <c r="K330" s="40" t="n">
        <f aca="false">$J330-$F330</f>
        <v>0</v>
      </c>
      <c r="L330" s="27" t="str">
        <f aca="false">IF($D330=0,"Sem embarque",IF($K330&gt;0,"Recebe","Paga"))</f>
        <v>Sem embarque</v>
      </c>
    </row>
    <row r="331" customFormat="false" ht="15" hidden="false" customHeight="false" outlineLevel="0" collapsed="false">
      <c r="A331" s="27" t="s">
        <v>48</v>
      </c>
      <c r="B331" s="27" t="s">
        <v>59</v>
      </c>
      <c r="C331" s="27" t="s">
        <v>111</v>
      </c>
      <c r="D331" s="34" t="n">
        <f aca="false">SUMIFS(Desconto_Cliente_Mes!$D$2:$D$433,Desconto_Cliente_Mes!$A$2:$A$433,$A331,Desconto_Cliente_Mes!$B$2:$B$433,$B331,Desconto_Cliente_Mes!$C$2:$C$433,$C331)</f>
        <v>0</v>
      </c>
      <c r="E331" s="37" t="str">
        <f aca="false">INDEX(Desconto_Cliente_Mes!$K$2:$K$433,MATCH($A331&amp;"|"&amp;$B331&amp;"|"&amp;$C331,Desconto_Cliente_Mes!$W$2:$W$433,0))</f>
        <v/>
      </c>
      <c r="F331" s="39" t="n">
        <f aca="false">SUMIFS(Desconto_Cliente_Mes!$U$2:$U$433,Desconto_Cliente_Mes!$A$2:$A$433,$A331,Desconto_Cliente_Mes!$B$2:$B$433,$B331,Desconto_Cliente_Mes!$C$2:$C$433,$C331)</f>
        <v>0</v>
      </c>
      <c r="G331" s="39" t="n">
        <f aca="false">SUMIFS(Desconto_Cliente_Mes!$U$2:$U$433,Desconto_Cliente_Mes!$B$2:$B$433,$B331,Desconto_Cliente_Mes!$C$2:$C$433,$C331,Desconto_Cliente_Mes!$K$2:$K$433,"Sim")</f>
        <v>47707.8352836299</v>
      </c>
      <c r="H331" s="37" t="n">
        <f aca="false">SUMIFS(Desconto_Cliente_Mes!$D$2:$D$433,Desconto_Cliente_Mes!$B$2:$B$433,$B331,Desconto_Cliente_Mes!$C$2:$C$433,$C331,Desconto_Cliente_Mes!$K$2:$K$433,"Nao",Desconto_Cliente_Mes!$D$2:$D$433,"&gt;0")</f>
        <v>185268.24</v>
      </c>
      <c r="I331" s="42" t="n">
        <f aca="false">IF(AND($E331="Nao",$D331&gt;0,$H331&gt;0),$D331/$H331,0)</f>
        <v>0</v>
      </c>
      <c r="J331" s="40" t="n">
        <f aca="false">$I331*$G331</f>
        <v>0</v>
      </c>
      <c r="K331" s="40" t="n">
        <f aca="false">$J331-$F331</f>
        <v>0</v>
      </c>
      <c r="L331" s="27" t="str">
        <f aca="false">IF($D331=0,"Sem embarque",IF($K331&gt;0,"Recebe","Paga"))</f>
        <v>Sem embarque</v>
      </c>
    </row>
    <row r="332" customFormat="false" ht="15" hidden="false" customHeight="false" outlineLevel="0" collapsed="false">
      <c r="A332" s="27" t="s">
        <v>48</v>
      </c>
      <c r="B332" s="27" t="s">
        <v>60</v>
      </c>
      <c r="C332" s="27" t="s">
        <v>109</v>
      </c>
      <c r="D332" s="34" t="n">
        <f aca="false">SUMIFS(Desconto_Cliente_Mes!$D$2:$D$433,Desconto_Cliente_Mes!$A$2:$A$433,$A332,Desconto_Cliente_Mes!$B$2:$B$433,$B332,Desconto_Cliente_Mes!$C$2:$C$433,$C332)</f>
        <v>0</v>
      </c>
      <c r="E332" s="37" t="str">
        <f aca="false">INDEX(Desconto_Cliente_Mes!$K$2:$K$433,MATCH($A332&amp;"|"&amp;$B332&amp;"|"&amp;$C332,Desconto_Cliente_Mes!$W$2:$W$433,0))</f>
        <v/>
      </c>
      <c r="F332" s="39" t="n">
        <f aca="false">SUMIFS(Desconto_Cliente_Mes!$U$2:$U$433,Desconto_Cliente_Mes!$A$2:$A$433,$A332,Desconto_Cliente_Mes!$B$2:$B$433,$B332,Desconto_Cliente_Mes!$C$2:$C$433,$C332)</f>
        <v>0</v>
      </c>
      <c r="G332" s="39" t="n">
        <f aca="false">SUMIFS(Desconto_Cliente_Mes!$U$2:$U$433,Desconto_Cliente_Mes!$B$2:$B$433,$B332,Desconto_Cliente_Mes!$C$2:$C$433,$C332,Desconto_Cliente_Mes!$K$2:$K$433,"Sim")</f>
        <v>75633.0761548471</v>
      </c>
      <c r="H332" s="37" t="n">
        <f aca="false">SUMIFS(Desconto_Cliente_Mes!$D$2:$D$433,Desconto_Cliente_Mes!$B$2:$B$433,$B332,Desconto_Cliente_Mes!$C$2:$C$433,$C332,Desconto_Cliente_Mes!$K$2:$K$433,"Nao",Desconto_Cliente_Mes!$D$2:$D$433,"&gt;0")</f>
        <v>55750.4</v>
      </c>
      <c r="I332" s="42" t="n">
        <f aca="false">IF(AND($E332="Nao",$D332&gt;0,$H332&gt;0),$D332/$H332,0)</f>
        <v>0</v>
      </c>
      <c r="J332" s="40" t="n">
        <f aca="false">$I332*$G332</f>
        <v>0</v>
      </c>
      <c r="K332" s="40" t="n">
        <f aca="false">$J332-$F332</f>
        <v>0</v>
      </c>
      <c r="L332" s="27" t="str">
        <f aca="false">IF($D332=0,"Sem embarque",IF($K332&gt;0,"Recebe","Paga"))</f>
        <v>Sem embarque</v>
      </c>
    </row>
    <row r="333" customFormat="false" ht="15" hidden="false" customHeight="false" outlineLevel="0" collapsed="false">
      <c r="A333" s="27" t="s">
        <v>48</v>
      </c>
      <c r="B333" s="27" t="s">
        <v>60</v>
      </c>
      <c r="C333" s="27" t="s">
        <v>110</v>
      </c>
      <c r="D333" s="34" t="n">
        <f aca="false">SUMIFS(Desconto_Cliente_Mes!$D$2:$D$433,Desconto_Cliente_Mes!$A$2:$A$433,$A333,Desconto_Cliente_Mes!$B$2:$B$433,$B333,Desconto_Cliente_Mes!$C$2:$C$433,$C333)</f>
        <v>0</v>
      </c>
      <c r="E333" s="37" t="str">
        <f aca="false">INDEX(Desconto_Cliente_Mes!$K$2:$K$433,MATCH($A333&amp;"|"&amp;$B333&amp;"|"&amp;$C333,Desconto_Cliente_Mes!$W$2:$W$433,0))</f>
        <v/>
      </c>
      <c r="F333" s="39" t="n">
        <f aca="false">SUMIFS(Desconto_Cliente_Mes!$U$2:$U$433,Desconto_Cliente_Mes!$A$2:$A$433,$A333,Desconto_Cliente_Mes!$B$2:$B$433,$B333,Desconto_Cliente_Mes!$C$2:$C$433,$C333)</f>
        <v>0</v>
      </c>
      <c r="G333" s="39" t="n">
        <f aca="false">SUMIFS(Desconto_Cliente_Mes!$U$2:$U$433,Desconto_Cliente_Mes!$B$2:$B$433,$B333,Desconto_Cliente_Mes!$C$2:$C$433,$C333,Desconto_Cliente_Mes!$K$2:$K$433,"Sim")</f>
        <v>0</v>
      </c>
      <c r="H333" s="37" t="n">
        <f aca="false">SUMIFS(Desconto_Cliente_Mes!$D$2:$D$433,Desconto_Cliente_Mes!$B$2:$B$433,$B333,Desconto_Cliente_Mes!$C$2:$C$433,$C333,Desconto_Cliente_Mes!$K$2:$K$433,"Nao",Desconto_Cliente_Mes!$D$2:$D$433,"&gt;0")</f>
        <v>240729.22</v>
      </c>
      <c r="I333" s="42" t="n">
        <f aca="false">IF(AND($E333="Nao",$D333&gt;0,$H333&gt;0),$D333/$H333,0)</f>
        <v>0</v>
      </c>
      <c r="J333" s="40" t="n">
        <f aca="false">$I333*$G333</f>
        <v>0</v>
      </c>
      <c r="K333" s="40" t="n">
        <f aca="false">$J333-$F333</f>
        <v>0</v>
      </c>
      <c r="L333" s="27" t="str">
        <f aca="false">IF($D333=0,"Sem embarque",IF($K333&gt;0,"Recebe","Paga"))</f>
        <v>Sem embarque</v>
      </c>
    </row>
    <row r="334" customFormat="false" ht="15" hidden="false" customHeight="false" outlineLevel="0" collapsed="false">
      <c r="A334" s="27" t="s">
        <v>48</v>
      </c>
      <c r="B334" s="27" t="s">
        <v>60</v>
      </c>
      <c r="C334" s="27" t="s">
        <v>111</v>
      </c>
      <c r="D334" s="34" t="n">
        <f aca="false">SUMIFS(Desconto_Cliente_Mes!$D$2:$D$433,Desconto_Cliente_Mes!$A$2:$A$433,$A334,Desconto_Cliente_Mes!$B$2:$B$433,$B334,Desconto_Cliente_Mes!$C$2:$C$433,$C334)</f>
        <v>0</v>
      </c>
      <c r="E334" s="37" t="str">
        <f aca="false">INDEX(Desconto_Cliente_Mes!$K$2:$K$433,MATCH($A334&amp;"|"&amp;$B334&amp;"|"&amp;$C334,Desconto_Cliente_Mes!$W$2:$W$433,0))</f>
        <v/>
      </c>
      <c r="F334" s="39" t="n">
        <f aca="false">SUMIFS(Desconto_Cliente_Mes!$U$2:$U$433,Desconto_Cliente_Mes!$A$2:$A$433,$A334,Desconto_Cliente_Mes!$B$2:$B$433,$B334,Desconto_Cliente_Mes!$C$2:$C$433,$C334)</f>
        <v>0</v>
      </c>
      <c r="G334" s="39" t="n">
        <f aca="false">SUMIFS(Desconto_Cliente_Mes!$U$2:$U$433,Desconto_Cliente_Mes!$B$2:$B$433,$B334,Desconto_Cliente_Mes!$C$2:$C$433,$C334,Desconto_Cliente_Mes!$K$2:$K$433,"Sim")</f>
        <v>15973.4860651284</v>
      </c>
      <c r="H334" s="37" t="n">
        <f aca="false">SUMIFS(Desconto_Cliente_Mes!$D$2:$D$433,Desconto_Cliente_Mes!$B$2:$B$433,$B334,Desconto_Cliente_Mes!$C$2:$C$433,$C334,Desconto_Cliente_Mes!$K$2:$K$433,"Nao",Desconto_Cliente_Mes!$D$2:$D$433,"&gt;0")</f>
        <v>55750.4</v>
      </c>
      <c r="I334" s="42" t="n">
        <f aca="false">IF(AND($E334="Nao",$D334&gt;0,$H334&gt;0),$D334/$H334,0)</f>
        <v>0</v>
      </c>
      <c r="J334" s="40" t="n">
        <f aca="false">$I334*$G334</f>
        <v>0</v>
      </c>
      <c r="K334" s="40" t="n">
        <f aca="false">$J334-$F334</f>
        <v>0</v>
      </c>
      <c r="L334" s="27" t="str">
        <f aca="false">IF($D334=0,"Sem embarque",IF($K334&gt;0,"Recebe","Paga"))</f>
        <v>Sem embarque</v>
      </c>
    </row>
    <row r="335" customFormat="false" ht="15" hidden="false" customHeight="false" outlineLevel="0" collapsed="false">
      <c r="A335" s="27" t="s">
        <v>48</v>
      </c>
      <c r="B335" s="27" t="s">
        <v>61</v>
      </c>
      <c r="C335" s="27" t="s">
        <v>109</v>
      </c>
      <c r="D335" s="34" t="n">
        <f aca="false">SUMIFS(Desconto_Cliente_Mes!$D$2:$D$433,Desconto_Cliente_Mes!$A$2:$A$433,$A335,Desconto_Cliente_Mes!$B$2:$B$433,$B335,Desconto_Cliente_Mes!$C$2:$C$433,$C335)</f>
        <v>0</v>
      </c>
      <c r="E335" s="37" t="str">
        <f aca="false">INDEX(Desconto_Cliente_Mes!$K$2:$K$433,MATCH($A335&amp;"|"&amp;$B335&amp;"|"&amp;$C335,Desconto_Cliente_Mes!$W$2:$W$433,0))</f>
        <v/>
      </c>
      <c r="F335" s="39" t="n">
        <f aca="false">SUMIFS(Desconto_Cliente_Mes!$U$2:$U$433,Desconto_Cliente_Mes!$A$2:$A$433,$A335,Desconto_Cliente_Mes!$B$2:$B$433,$B335,Desconto_Cliente_Mes!$C$2:$C$433,$C335)</f>
        <v>0</v>
      </c>
      <c r="G335" s="39" t="n">
        <f aca="false">SUMIFS(Desconto_Cliente_Mes!$U$2:$U$433,Desconto_Cliente_Mes!$B$2:$B$433,$B335,Desconto_Cliente_Mes!$C$2:$C$433,$C335,Desconto_Cliente_Mes!$K$2:$K$433,"Sim")</f>
        <v>101062.110385431</v>
      </c>
      <c r="H335" s="37" t="n">
        <f aca="false">SUMIFS(Desconto_Cliente_Mes!$D$2:$D$433,Desconto_Cliente_Mes!$B$2:$B$433,$B335,Desconto_Cliente_Mes!$C$2:$C$433,$C335,Desconto_Cliente_Mes!$K$2:$K$433,"Nao",Desconto_Cliente_Mes!$D$2:$D$433,"&gt;0")</f>
        <v>195833.47</v>
      </c>
      <c r="I335" s="42" t="n">
        <f aca="false">IF(AND($E335="Nao",$D335&gt;0,$H335&gt;0),$D335/$H335,0)</f>
        <v>0</v>
      </c>
      <c r="J335" s="40" t="n">
        <f aca="false">$I335*$G335</f>
        <v>0</v>
      </c>
      <c r="K335" s="40" t="n">
        <f aca="false">$J335-$F335</f>
        <v>0</v>
      </c>
      <c r="L335" s="27" t="str">
        <f aca="false">IF($D335=0,"Sem embarque",IF($K335&gt;0,"Recebe","Paga"))</f>
        <v>Sem embarque</v>
      </c>
    </row>
    <row r="336" customFormat="false" ht="15" hidden="false" customHeight="false" outlineLevel="0" collapsed="false">
      <c r="A336" s="27" t="s">
        <v>48</v>
      </c>
      <c r="B336" s="27" t="s">
        <v>61</v>
      </c>
      <c r="C336" s="27" t="s">
        <v>110</v>
      </c>
      <c r="D336" s="34" t="n">
        <f aca="false">SUMIFS(Desconto_Cliente_Mes!$D$2:$D$433,Desconto_Cliente_Mes!$A$2:$A$433,$A336,Desconto_Cliente_Mes!$B$2:$B$433,$B336,Desconto_Cliente_Mes!$C$2:$C$433,$C336)</f>
        <v>0</v>
      </c>
      <c r="E336" s="37" t="str">
        <f aca="false">INDEX(Desconto_Cliente_Mes!$K$2:$K$433,MATCH($A336&amp;"|"&amp;$B336&amp;"|"&amp;$C336,Desconto_Cliente_Mes!$W$2:$W$433,0))</f>
        <v/>
      </c>
      <c r="F336" s="39" t="n">
        <f aca="false">SUMIFS(Desconto_Cliente_Mes!$U$2:$U$433,Desconto_Cliente_Mes!$A$2:$A$433,$A336,Desconto_Cliente_Mes!$B$2:$B$433,$B336,Desconto_Cliente_Mes!$C$2:$C$433,$C336)</f>
        <v>0</v>
      </c>
      <c r="G336" s="39" t="n">
        <f aca="false">SUMIFS(Desconto_Cliente_Mes!$U$2:$U$433,Desconto_Cliente_Mes!$B$2:$B$433,$B336,Desconto_Cliente_Mes!$C$2:$C$433,$C336,Desconto_Cliente_Mes!$K$2:$K$433,"Sim")</f>
        <v>89392.5188999994</v>
      </c>
      <c r="H336" s="37" t="n">
        <f aca="false">SUMIFS(Desconto_Cliente_Mes!$D$2:$D$433,Desconto_Cliente_Mes!$B$2:$B$433,$B336,Desconto_Cliente_Mes!$C$2:$C$433,$C336,Desconto_Cliente_Mes!$K$2:$K$433,"Nao",Desconto_Cliente_Mes!$D$2:$D$433,"&gt;0")</f>
        <v>315561.27</v>
      </c>
      <c r="I336" s="42" t="n">
        <f aca="false">IF(AND($E336="Nao",$D336&gt;0,$H336&gt;0),$D336/$H336,0)</f>
        <v>0</v>
      </c>
      <c r="J336" s="40" t="n">
        <f aca="false">$I336*$G336</f>
        <v>0</v>
      </c>
      <c r="K336" s="40" t="n">
        <f aca="false">$J336-$F336</f>
        <v>0</v>
      </c>
      <c r="L336" s="27" t="str">
        <f aca="false">IF($D336=0,"Sem embarque",IF($K336&gt;0,"Recebe","Paga"))</f>
        <v>Sem embarque</v>
      </c>
    </row>
    <row r="337" customFormat="false" ht="15" hidden="false" customHeight="false" outlineLevel="0" collapsed="false">
      <c r="A337" s="27" t="s">
        <v>48</v>
      </c>
      <c r="B337" s="27" t="s">
        <v>61</v>
      </c>
      <c r="C337" s="27" t="s">
        <v>111</v>
      </c>
      <c r="D337" s="34" t="n">
        <f aca="false">SUMIFS(Desconto_Cliente_Mes!$D$2:$D$433,Desconto_Cliente_Mes!$A$2:$A$433,$A337,Desconto_Cliente_Mes!$B$2:$B$433,$B337,Desconto_Cliente_Mes!$C$2:$C$433,$C337)</f>
        <v>0</v>
      </c>
      <c r="E337" s="37" t="str">
        <f aca="false">INDEX(Desconto_Cliente_Mes!$K$2:$K$433,MATCH($A337&amp;"|"&amp;$B337&amp;"|"&amp;$C337,Desconto_Cliente_Mes!$W$2:$W$433,0))</f>
        <v/>
      </c>
      <c r="F337" s="39" t="n">
        <f aca="false">SUMIFS(Desconto_Cliente_Mes!$U$2:$U$433,Desconto_Cliente_Mes!$A$2:$A$433,$A337,Desconto_Cliente_Mes!$B$2:$B$433,$B337,Desconto_Cliente_Mes!$C$2:$C$433,$C337)</f>
        <v>0</v>
      </c>
      <c r="G337" s="39" t="n">
        <f aca="false">SUMIFS(Desconto_Cliente_Mes!$U$2:$U$433,Desconto_Cliente_Mes!$B$2:$B$433,$B337,Desconto_Cliente_Mes!$C$2:$C$433,$C337,Desconto_Cliente_Mes!$K$2:$K$433,"Sim")</f>
        <v>45945.9604253753</v>
      </c>
      <c r="H337" s="37" t="n">
        <f aca="false">SUMIFS(Desconto_Cliente_Mes!$D$2:$D$433,Desconto_Cliente_Mes!$B$2:$B$433,$B337,Desconto_Cliente_Mes!$C$2:$C$433,$C337,Desconto_Cliente_Mes!$K$2:$K$433,"Nao",Desconto_Cliente_Mes!$D$2:$D$433,"&gt;0")</f>
        <v>238706.16</v>
      </c>
      <c r="I337" s="42" t="n">
        <f aca="false">IF(AND($E337="Nao",$D337&gt;0,$H337&gt;0),$D337/$H337,0)</f>
        <v>0</v>
      </c>
      <c r="J337" s="40" t="n">
        <f aca="false">$I337*$G337</f>
        <v>0</v>
      </c>
      <c r="K337" s="40" t="n">
        <f aca="false">$J337-$F337</f>
        <v>0</v>
      </c>
      <c r="L337" s="27" t="str">
        <f aca="false">IF($D337=0,"Sem embarque",IF($K337&gt;0,"Recebe","Paga"))</f>
        <v>Sem embarque</v>
      </c>
    </row>
    <row r="338" customFormat="false" ht="15" hidden="false" customHeight="false" outlineLevel="0" collapsed="false">
      <c r="A338" s="27" t="s">
        <v>48</v>
      </c>
      <c r="B338" s="27" t="s">
        <v>62</v>
      </c>
      <c r="C338" s="27" t="s">
        <v>109</v>
      </c>
      <c r="D338" s="34" t="n">
        <f aca="false">SUMIFS(Desconto_Cliente_Mes!$D$2:$D$433,Desconto_Cliente_Mes!$A$2:$A$433,$A338,Desconto_Cliente_Mes!$B$2:$B$433,$B338,Desconto_Cliente_Mes!$C$2:$C$433,$C338)</f>
        <v>0</v>
      </c>
      <c r="E338" s="37" t="str">
        <f aca="false">INDEX(Desconto_Cliente_Mes!$K$2:$K$433,MATCH($A338&amp;"|"&amp;$B338&amp;"|"&amp;$C338,Desconto_Cliente_Mes!$W$2:$W$433,0))</f>
        <v/>
      </c>
      <c r="F338" s="39" t="n">
        <f aca="false">SUMIFS(Desconto_Cliente_Mes!$U$2:$U$433,Desconto_Cliente_Mes!$A$2:$A$433,$A338,Desconto_Cliente_Mes!$B$2:$B$433,$B338,Desconto_Cliente_Mes!$C$2:$C$433,$C338)</f>
        <v>0</v>
      </c>
      <c r="G338" s="39" t="n">
        <f aca="false">SUMIFS(Desconto_Cliente_Mes!$U$2:$U$433,Desconto_Cliente_Mes!$B$2:$B$433,$B338,Desconto_Cliente_Mes!$C$2:$C$433,$C338,Desconto_Cliente_Mes!$K$2:$K$433,"Sim")</f>
        <v>82370.9873921197</v>
      </c>
      <c r="H338" s="37" t="n">
        <f aca="false">SUMIFS(Desconto_Cliente_Mes!$D$2:$D$433,Desconto_Cliente_Mes!$B$2:$B$433,$B338,Desconto_Cliente_Mes!$C$2:$C$433,$C338,Desconto_Cliente_Mes!$K$2:$K$433,"Nao",Desconto_Cliente_Mes!$D$2:$D$433,"&gt;0")</f>
        <v>113342.84</v>
      </c>
      <c r="I338" s="42" t="n">
        <f aca="false">IF(AND($E338="Nao",$D338&gt;0,$H338&gt;0),$D338/$H338,0)</f>
        <v>0</v>
      </c>
      <c r="J338" s="40" t="n">
        <f aca="false">$I338*$G338</f>
        <v>0</v>
      </c>
      <c r="K338" s="40" t="n">
        <f aca="false">$J338-$F338</f>
        <v>0</v>
      </c>
      <c r="L338" s="27" t="str">
        <f aca="false">IF($D338=0,"Sem embarque",IF($K338&gt;0,"Recebe","Paga"))</f>
        <v>Sem embarque</v>
      </c>
    </row>
    <row r="339" customFormat="false" ht="15" hidden="false" customHeight="false" outlineLevel="0" collapsed="false">
      <c r="A339" s="27" t="s">
        <v>48</v>
      </c>
      <c r="B339" s="27" t="s">
        <v>62</v>
      </c>
      <c r="C339" s="27" t="s">
        <v>110</v>
      </c>
      <c r="D339" s="34" t="n">
        <f aca="false">SUMIFS(Desconto_Cliente_Mes!$D$2:$D$433,Desconto_Cliente_Mes!$A$2:$A$433,$A339,Desconto_Cliente_Mes!$B$2:$B$433,$B339,Desconto_Cliente_Mes!$C$2:$C$433,$C339)</f>
        <v>0</v>
      </c>
      <c r="E339" s="37" t="str">
        <f aca="false">INDEX(Desconto_Cliente_Mes!$K$2:$K$433,MATCH($A339&amp;"|"&amp;$B339&amp;"|"&amp;$C339,Desconto_Cliente_Mes!$W$2:$W$433,0))</f>
        <v/>
      </c>
      <c r="F339" s="39" t="n">
        <f aca="false">SUMIFS(Desconto_Cliente_Mes!$U$2:$U$433,Desconto_Cliente_Mes!$A$2:$A$433,$A339,Desconto_Cliente_Mes!$B$2:$B$433,$B339,Desconto_Cliente_Mes!$C$2:$C$433,$C339)</f>
        <v>0</v>
      </c>
      <c r="G339" s="39" t="n">
        <f aca="false">SUMIFS(Desconto_Cliente_Mes!$U$2:$U$433,Desconto_Cliente_Mes!$B$2:$B$433,$B339,Desconto_Cliente_Mes!$C$2:$C$433,$C339,Desconto_Cliente_Mes!$K$2:$K$433,"Sim")</f>
        <v>18695.6934849998</v>
      </c>
      <c r="H339" s="37" t="n">
        <f aca="false">SUMIFS(Desconto_Cliente_Mes!$D$2:$D$433,Desconto_Cliente_Mes!$B$2:$B$433,$B339,Desconto_Cliente_Mes!$C$2:$C$433,$C339,Desconto_Cliente_Mes!$K$2:$K$433,"Nao",Desconto_Cliente_Mes!$D$2:$D$433,"&gt;0")</f>
        <v>209144.13</v>
      </c>
      <c r="I339" s="42" t="n">
        <f aca="false">IF(AND($E339="Nao",$D339&gt;0,$H339&gt;0),$D339/$H339,0)</f>
        <v>0</v>
      </c>
      <c r="J339" s="40" t="n">
        <f aca="false">$I339*$G339</f>
        <v>0</v>
      </c>
      <c r="K339" s="40" t="n">
        <f aca="false">$J339-$F339</f>
        <v>0</v>
      </c>
      <c r="L339" s="27" t="str">
        <f aca="false">IF($D339=0,"Sem embarque",IF($K339&gt;0,"Recebe","Paga"))</f>
        <v>Sem embarque</v>
      </c>
    </row>
    <row r="340" customFormat="false" ht="15" hidden="false" customHeight="false" outlineLevel="0" collapsed="false">
      <c r="A340" s="27" t="s">
        <v>48</v>
      </c>
      <c r="B340" s="27" t="s">
        <v>62</v>
      </c>
      <c r="C340" s="27" t="s">
        <v>111</v>
      </c>
      <c r="D340" s="34" t="n">
        <f aca="false">SUMIFS(Desconto_Cliente_Mes!$D$2:$D$433,Desconto_Cliente_Mes!$A$2:$A$433,$A340,Desconto_Cliente_Mes!$B$2:$B$433,$B340,Desconto_Cliente_Mes!$C$2:$C$433,$C340)</f>
        <v>0</v>
      </c>
      <c r="E340" s="37" t="str">
        <f aca="false">INDEX(Desconto_Cliente_Mes!$K$2:$K$433,MATCH($A340&amp;"|"&amp;$B340&amp;"|"&amp;$C340,Desconto_Cliente_Mes!$W$2:$W$433,0))</f>
        <v/>
      </c>
      <c r="F340" s="39" t="n">
        <f aca="false">SUMIFS(Desconto_Cliente_Mes!$U$2:$U$433,Desconto_Cliente_Mes!$A$2:$A$433,$A340,Desconto_Cliente_Mes!$B$2:$B$433,$B340,Desconto_Cliente_Mes!$C$2:$C$433,$C340)</f>
        <v>0</v>
      </c>
      <c r="G340" s="39" t="n">
        <f aca="false">SUMIFS(Desconto_Cliente_Mes!$U$2:$U$433,Desconto_Cliente_Mes!$B$2:$B$433,$B340,Desconto_Cliente_Mes!$C$2:$C$433,$C340,Desconto_Cliente_Mes!$K$2:$K$433,"Sim")</f>
        <v>34643.0933013345</v>
      </c>
      <c r="H340" s="37" t="n">
        <f aca="false">SUMIFS(Desconto_Cliente_Mes!$D$2:$D$433,Desconto_Cliente_Mes!$B$2:$B$433,$B340,Desconto_Cliente_Mes!$C$2:$C$433,$C340,Desconto_Cliente_Mes!$K$2:$K$433,"Nao",Desconto_Cliente_Mes!$D$2:$D$433,"&gt;0")</f>
        <v>157163.21</v>
      </c>
      <c r="I340" s="42" t="n">
        <f aca="false">IF(AND($E340="Nao",$D340&gt;0,$H340&gt;0),$D340/$H340,0)</f>
        <v>0</v>
      </c>
      <c r="J340" s="40" t="n">
        <f aca="false">$I340*$G340</f>
        <v>0</v>
      </c>
      <c r="K340" s="40" t="n">
        <f aca="false">$J340-$F340</f>
        <v>0</v>
      </c>
      <c r="L340" s="27" t="str">
        <f aca="false">IF($D340=0,"Sem embarque",IF($K340&gt;0,"Recebe","Paga"))</f>
        <v>Sem embarque</v>
      </c>
    </row>
    <row r="341" customFormat="false" ht="15" hidden="false" customHeight="false" outlineLevel="0" collapsed="false">
      <c r="A341" s="27" t="s">
        <v>48</v>
      </c>
      <c r="B341" s="27" t="s">
        <v>63</v>
      </c>
      <c r="C341" s="27" t="s">
        <v>109</v>
      </c>
      <c r="D341" s="34" t="n">
        <f aca="false">SUMIFS(Desconto_Cliente_Mes!$D$2:$D$433,Desconto_Cliente_Mes!$A$2:$A$433,$A341,Desconto_Cliente_Mes!$B$2:$B$433,$B341,Desconto_Cliente_Mes!$C$2:$C$433,$C341)</f>
        <v>0</v>
      </c>
      <c r="E341" s="37" t="str">
        <f aca="false">INDEX(Desconto_Cliente_Mes!$K$2:$K$433,MATCH($A341&amp;"|"&amp;$B341&amp;"|"&amp;$C341,Desconto_Cliente_Mes!$W$2:$W$433,0))</f>
        <v/>
      </c>
      <c r="F341" s="39" t="n">
        <f aca="false">SUMIFS(Desconto_Cliente_Mes!$U$2:$U$433,Desconto_Cliente_Mes!$A$2:$A$433,$A341,Desconto_Cliente_Mes!$B$2:$B$433,$B341,Desconto_Cliente_Mes!$C$2:$C$433,$C341)</f>
        <v>0</v>
      </c>
      <c r="G341" s="39" t="n">
        <f aca="false">SUMIFS(Desconto_Cliente_Mes!$U$2:$U$433,Desconto_Cliente_Mes!$B$2:$B$433,$B341,Desconto_Cliente_Mes!$C$2:$C$433,$C341,Desconto_Cliente_Mes!$K$2:$K$433,"Sim")</f>
        <v>47810.1541211094</v>
      </c>
      <c r="H341" s="37" t="n">
        <f aca="false">SUMIFS(Desconto_Cliente_Mes!$D$2:$D$433,Desconto_Cliente_Mes!$B$2:$B$433,$B341,Desconto_Cliente_Mes!$C$2:$C$433,$C341,Desconto_Cliente_Mes!$K$2:$K$433,"Nao",Desconto_Cliente_Mes!$D$2:$D$433,"&gt;0")</f>
        <v>127871.4</v>
      </c>
      <c r="I341" s="42" t="n">
        <f aca="false">IF(AND($E341="Nao",$D341&gt;0,$H341&gt;0),$D341/$H341,0)</f>
        <v>0</v>
      </c>
      <c r="J341" s="40" t="n">
        <f aca="false">$I341*$G341</f>
        <v>0</v>
      </c>
      <c r="K341" s="40" t="n">
        <f aca="false">$J341-$F341</f>
        <v>0</v>
      </c>
      <c r="L341" s="27" t="str">
        <f aca="false">IF($D341=0,"Sem embarque",IF($K341&gt;0,"Recebe","Paga"))</f>
        <v>Sem embarque</v>
      </c>
    </row>
    <row r="342" customFormat="false" ht="15" hidden="false" customHeight="false" outlineLevel="0" collapsed="false">
      <c r="A342" s="27" t="s">
        <v>48</v>
      </c>
      <c r="B342" s="27" t="s">
        <v>63</v>
      </c>
      <c r="C342" s="27" t="s">
        <v>110</v>
      </c>
      <c r="D342" s="34" t="n">
        <f aca="false">SUMIFS(Desconto_Cliente_Mes!$D$2:$D$433,Desconto_Cliente_Mes!$A$2:$A$433,$A342,Desconto_Cliente_Mes!$B$2:$B$433,$B342,Desconto_Cliente_Mes!$C$2:$C$433,$C342)</f>
        <v>0</v>
      </c>
      <c r="E342" s="37" t="str">
        <f aca="false">INDEX(Desconto_Cliente_Mes!$K$2:$K$433,MATCH($A342&amp;"|"&amp;$B342&amp;"|"&amp;$C342,Desconto_Cliente_Mes!$W$2:$W$433,0))</f>
        <v/>
      </c>
      <c r="F342" s="39" t="n">
        <f aca="false">SUMIFS(Desconto_Cliente_Mes!$U$2:$U$433,Desconto_Cliente_Mes!$A$2:$A$433,$A342,Desconto_Cliente_Mes!$B$2:$B$433,$B342,Desconto_Cliente_Mes!$C$2:$C$433,$C342)</f>
        <v>0</v>
      </c>
      <c r="G342" s="39" t="n">
        <f aca="false">SUMIFS(Desconto_Cliente_Mes!$U$2:$U$433,Desconto_Cliente_Mes!$B$2:$B$433,$B342,Desconto_Cliente_Mes!$C$2:$C$433,$C342,Desconto_Cliente_Mes!$K$2:$K$433,"Sim")</f>
        <v>147648.667120088</v>
      </c>
      <c r="H342" s="37" t="n">
        <f aca="false">SUMIFS(Desconto_Cliente_Mes!$D$2:$D$433,Desconto_Cliente_Mes!$B$2:$B$433,$B342,Desconto_Cliente_Mes!$C$2:$C$433,$C342,Desconto_Cliente_Mes!$K$2:$K$433,"Nao",Desconto_Cliente_Mes!$D$2:$D$433,"&gt;0")</f>
        <v>232651.12</v>
      </c>
      <c r="I342" s="42" t="n">
        <f aca="false">IF(AND($E342="Nao",$D342&gt;0,$H342&gt;0),$D342/$H342,0)</f>
        <v>0</v>
      </c>
      <c r="J342" s="40" t="n">
        <f aca="false">$I342*$G342</f>
        <v>0</v>
      </c>
      <c r="K342" s="40" t="n">
        <f aca="false">$J342-$F342</f>
        <v>0</v>
      </c>
      <c r="L342" s="27" t="str">
        <f aca="false">IF($D342=0,"Sem embarque",IF($K342&gt;0,"Recebe","Paga"))</f>
        <v>Sem embarque</v>
      </c>
    </row>
    <row r="343" customFormat="false" ht="15" hidden="false" customHeight="false" outlineLevel="0" collapsed="false">
      <c r="A343" s="27" t="s">
        <v>48</v>
      </c>
      <c r="B343" s="27" t="s">
        <v>63</v>
      </c>
      <c r="C343" s="27" t="s">
        <v>111</v>
      </c>
      <c r="D343" s="34" t="n">
        <f aca="false">SUMIFS(Desconto_Cliente_Mes!$D$2:$D$433,Desconto_Cliente_Mes!$A$2:$A$433,$A343,Desconto_Cliente_Mes!$B$2:$B$433,$B343,Desconto_Cliente_Mes!$C$2:$C$433,$C343)</f>
        <v>0</v>
      </c>
      <c r="E343" s="37" t="str">
        <f aca="false">INDEX(Desconto_Cliente_Mes!$K$2:$K$433,MATCH($A343&amp;"|"&amp;$B343&amp;"|"&amp;$C343,Desconto_Cliente_Mes!$W$2:$W$433,0))</f>
        <v/>
      </c>
      <c r="F343" s="39" t="n">
        <f aca="false">SUMIFS(Desconto_Cliente_Mes!$U$2:$U$433,Desconto_Cliente_Mes!$A$2:$A$433,$A343,Desconto_Cliente_Mes!$B$2:$B$433,$B343,Desconto_Cliente_Mes!$C$2:$C$433,$C343)</f>
        <v>0</v>
      </c>
      <c r="G343" s="39" t="n">
        <f aca="false">SUMIFS(Desconto_Cliente_Mes!$U$2:$U$433,Desconto_Cliente_Mes!$B$2:$B$433,$B343,Desconto_Cliente_Mes!$C$2:$C$433,$C343,Desconto_Cliente_Mes!$K$2:$K$433,"Sim")</f>
        <v>31621.0546248943</v>
      </c>
      <c r="H343" s="37" t="n">
        <f aca="false">SUMIFS(Desconto_Cliente_Mes!$D$2:$D$433,Desconto_Cliente_Mes!$B$2:$B$433,$B343,Desconto_Cliente_Mes!$C$2:$C$433,$C343,Desconto_Cliente_Mes!$K$2:$K$433,"Nao",Desconto_Cliente_Mes!$D$2:$D$433,"&gt;0")</f>
        <v>127871.4</v>
      </c>
      <c r="I343" s="42" t="n">
        <f aca="false">IF(AND($E343="Nao",$D343&gt;0,$H343&gt;0),$D343/$H343,0)</f>
        <v>0</v>
      </c>
      <c r="J343" s="40" t="n">
        <f aca="false">$I343*$G343</f>
        <v>0</v>
      </c>
      <c r="K343" s="40" t="n">
        <f aca="false">$J343-$F343</f>
        <v>0</v>
      </c>
      <c r="L343" s="27" t="str">
        <f aca="false">IF($D343=0,"Sem embarque",IF($K343&gt;0,"Recebe","Paga"))</f>
        <v>Sem embarque</v>
      </c>
    </row>
    <row r="344" customFormat="false" ht="15" hidden="false" customHeight="false" outlineLevel="0" collapsed="false">
      <c r="A344" s="27" t="s">
        <v>48</v>
      </c>
      <c r="B344" s="27" t="s">
        <v>64</v>
      </c>
      <c r="C344" s="27" t="s">
        <v>109</v>
      </c>
      <c r="D344" s="34" t="n">
        <f aca="false">SUMIFS(Desconto_Cliente_Mes!$D$2:$D$433,Desconto_Cliente_Mes!$A$2:$A$433,$A344,Desconto_Cliente_Mes!$B$2:$B$433,$B344,Desconto_Cliente_Mes!$C$2:$C$433,$C344)</f>
        <v>55089.56</v>
      </c>
      <c r="E344" s="37" t="str">
        <f aca="false">INDEX(Desconto_Cliente_Mes!$K$2:$K$433,MATCH($A344&amp;"|"&amp;$B344&amp;"|"&amp;$C344,Desconto_Cliente_Mes!$W$2:$W$433,0))</f>
        <v>Nao</v>
      </c>
      <c r="F344" s="39" t="n">
        <f aca="false">SUMIFS(Desconto_Cliente_Mes!$U$2:$U$433,Desconto_Cliente_Mes!$A$2:$A$433,$A344,Desconto_Cliente_Mes!$B$2:$B$433,$B344,Desconto_Cliente_Mes!$C$2:$C$433,$C344)</f>
        <v>0</v>
      </c>
      <c r="G344" s="39" t="n">
        <f aca="false">SUMIFS(Desconto_Cliente_Mes!$U$2:$U$433,Desconto_Cliente_Mes!$B$2:$B$433,$B344,Desconto_Cliente_Mes!$C$2:$C$433,$C344,Desconto_Cliente_Mes!$K$2:$K$433,"Sim")</f>
        <v>176913.022848898</v>
      </c>
      <c r="H344" s="37" t="n">
        <f aca="false">SUMIFS(Desconto_Cliente_Mes!$D$2:$D$433,Desconto_Cliente_Mes!$B$2:$B$433,$B344,Desconto_Cliente_Mes!$C$2:$C$433,$C344,Desconto_Cliente_Mes!$K$2:$K$433,"Nao",Desconto_Cliente_Mes!$D$2:$D$433,"&gt;0")</f>
        <v>227119.227</v>
      </c>
      <c r="I344" s="42" t="n">
        <f aca="false">IF(AND($E344="Nao",$D344&gt;0,$H344&gt;0),$D344/$H344,0)</f>
        <v>0.242557887888549</v>
      </c>
      <c r="J344" s="40" t="n">
        <f aca="false">$I344*$G344</f>
        <v>42911.6491622074</v>
      </c>
      <c r="K344" s="40" t="n">
        <f aca="false">$J344-$F344</f>
        <v>42911.6491622074</v>
      </c>
      <c r="L344" s="27" t="str">
        <f aca="false">IF($D344=0,"Sem embarque",IF($K344&gt;0,"Recebe","Paga"))</f>
        <v>Recebe</v>
      </c>
    </row>
    <row r="345" customFormat="false" ht="15" hidden="false" customHeight="false" outlineLevel="0" collapsed="false">
      <c r="A345" s="27" t="s">
        <v>48</v>
      </c>
      <c r="B345" s="27" t="s">
        <v>64</v>
      </c>
      <c r="C345" s="27" t="s">
        <v>110</v>
      </c>
      <c r="D345" s="34" t="n">
        <f aca="false">SUMIFS(Desconto_Cliente_Mes!$D$2:$D$433,Desconto_Cliente_Mes!$A$2:$A$433,$A345,Desconto_Cliente_Mes!$B$2:$B$433,$B345,Desconto_Cliente_Mes!$C$2:$C$433,$C345)</f>
        <v>55089.56</v>
      </c>
      <c r="E345" s="37" t="str">
        <f aca="false">INDEX(Desconto_Cliente_Mes!$K$2:$K$433,MATCH($A345&amp;"|"&amp;$B345&amp;"|"&amp;$C345,Desconto_Cliente_Mes!$W$2:$W$433,0))</f>
        <v>Nao</v>
      </c>
      <c r="F345" s="39" t="n">
        <f aca="false">SUMIFS(Desconto_Cliente_Mes!$U$2:$U$433,Desconto_Cliente_Mes!$A$2:$A$433,$A345,Desconto_Cliente_Mes!$B$2:$B$433,$B345,Desconto_Cliente_Mes!$C$2:$C$433,$C345)</f>
        <v>0</v>
      </c>
      <c r="G345" s="39" t="n">
        <f aca="false">SUMIFS(Desconto_Cliente_Mes!$U$2:$U$433,Desconto_Cliente_Mes!$B$2:$B$433,$B345,Desconto_Cliente_Mes!$C$2:$C$433,$C345,Desconto_Cliente_Mes!$K$2:$K$433,"Sim")</f>
        <v>78148.4030953999</v>
      </c>
      <c r="H345" s="37" t="n">
        <f aca="false">SUMIFS(Desconto_Cliente_Mes!$D$2:$D$433,Desconto_Cliente_Mes!$B$2:$B$433,$B345,Desconto_Cliente_Mes!$C$2:$C$433,$C345,Desconto_Cliente_Mes!$K$2:$K$433,"Nao",Desconto_Cliente_Mes!$D$2:$D$433,"&gt;0")</f>
        <v>367366.52</v>
      </c>
      <c r="I345" s="42" t="n">
        <f aca="false">IF(AND($E345="Nao",$D345&gt;0,$H345&gt;0),$D345/$H345,0)</f>
        <v>0.149958031014911</v>
      </c>
      <c r="J345" s="40" t="n">
        <f aca="false">$I345*$G345</f>
        <v>11718.9806551458</v>
      </c>
      <c r="K345" s="40" t="n">
        <f aca="false">$J345-$F345</f>
        <v>11718.9806551458</v>
      </c>
      <c r="L345" s="27" t="str">
        <f aca="false">IF($D345=0,"Sem embarque",IF($K345&gt;0,"Recebe","Paga"))</f>
        <v>Recebe</v>
      </c>
    </row>
    <row r="346" customFormat="false" ht="15" hidden="false" customHeight="false" outlineLevel="0" collapsed="false">
      <c r="A346" s="27" t="s">
        <v>48</v>
      </c>
      <c r="B346" s="27" t="s">
        <v>64</v>
      </c>
      <c r="C346" s="27" t="s">
        <v>111</v>
      </c>
      <c r="D346" s="34" t="n">
        <f aca="false">SUMIFS(Desconto_Cliente_Mes!$D$2:$D$433,Desconto_Cliente_Mes!$A$2:$A$433,$A346,Desconto_Cliente_Mes!$B$2:$B$433,$B346,Desconto_Cliente_Mes!$C$2:$C$433,$C346)</f>
        <v>55089.56</v>
      </c>
      <c r="E346" s="37" t="str">
        <f aca="false">INDEX(Desconto_Cliente_Mes!$K$2:$K$433,MATCH($A346&amp;"|"&amp;$B346&amp;"|"&amp;$C346,Desconto_Cliente_Mes!$W$2:$W$433,0))</f>
        <v>Nao</v>
      </c>
      <c r="F346" s="39" t="n">
        <f aca="false">SUMIFS(Desconto_Cliente_Mes!$U$2:$U$433,Desconto_Cliente_Mes!$A$2:$A$433,$A346,Desconto_Cliente_Mes!$B$2:$B$433,$B346,Desconto_Cliente_Mes!$C$2:$C$433,$C346)</f>
        <v>0</v>
      </c>
      <c r="G346" s="39" t="n">
        <f aca="false">SUMIFS(Desconto_Cliente_Mes!$U$2:$U$433,Desconto_Cliente_Mes!$B$2:$B$433,$B346,Desconto_Cliente_Mes!$C$2:$C$433,$C346,Desconto_Cliente_Mes!$K$2:$K$433,"Sim")</f>
        <v>53234.6338979999</v>
      </c>
      <c r="H346" s="37" t="n">
        <f aca="false">SUMIFS(Desconto_Cliente_Mes!$D$2:$D$433,Desconto_Cliente_Mes!$B$2:$B$433,$B346,Desconto_Cliente_Mes!$C$2:$C$433,$C346,Desconto_Cliente_Mes!$K$2:$K$433,"Nao",Desconto_Cliente_Mes!$D$2:$D$433,"&gt;0")</f>
        <v>250467.867</v>
      </c>
      <c r="I346" s="42" t="n">
        <f aca="false">IF(AND($E346="Nao",$D346&gt;0,$H346&gt;0),$D346/$H346,0)</f>
        <v>0.21994661694468</v>
      </c>
      <c r="J346" s="40" t="n">
        <f aca="false">$I346*$G346</f>
        <v>11708.7776301536</v>
      </c>
      <c r="K346" s="40" t="n">
        <f aca="false">$J346-$F346</f>
        <v>11708.7776301536</v>
      </c>
      <c r="L346" s="27" t="str">
        <f aca="false">IF($D346=0,"Sem embarque",IF($K346&gt;0,"Recebe","Paga"))</f>
        <v>Recebe</v>
      </c>
    </row>
    <row r="347" customFormat="false" ht="15" hidden="false" customHeight="false" outlineLevel="0" collapsed="false">
      <c r="A347" s="27" t="s">
        <v>48</v>
      </c>
      <c r="B347" s="27" t="s">
        <v>65</v>
      </c>
      <c r="C347" s="27" t="s">
        <v>109</v>
      </c>
      <c r="D347" s="34" t="n">
        <f aca="false">SUMIFS(Desconto_Cliente_Mes!$D$2:$D$433,Desconto_Cliente_Mes!$A$2:$A$433,$A347,Desconto_Cliente_Mes!$B$2:$B$433,$B347,Desconto_Cliente_Mes!$C$2:$C$433,$C347)</f>
        <v>33862.86</v>
      </c>
      <c r="E347" s="37" t="str">
        <f aca="false">INDEX(Desconto_Cliente_Mes!$K$2:$K$433,MATCH($A347&amp;"|"&amp;$B347&amp;"|"&amp;$C347,Desconto_Cliente_Mes!$W$2:$W$433,0))</f>
        <v>Nao</v>
      </c>
      <c r="F347" s="39" t="n">
        <f aca="false">SUMIFS(Desconto_Cliente_Mes!$U$2:$U$433,Desconto_Cliente_Mes!$A$2:$A$433,$A347,Desconto_Cliente_Mes!$B$2:$B$433,$B347,Desconto_Cliente_Mes!$C$2:$C$433,$C347)</f>
        <v>0</v>
      </c>
      <c r="G347" s="39" t="n">
        <f aca="false">SUMIFS(Desconto_Cliente_Mes!$U$2:$U$433,Desconto_Cliente_Mes!$B$2:$B$433,$B347,Desconto_Cliente_Mes!$C$2:$C$433,$C347,Desconto_Cliente_Mes!$K$2:$K$433,"Sim")</f>
        <v>264399.663796851</v>
      </c>
      <c r="H347" s="37" t="n">
        <f aca="false">SUMIFS(Desconto_Cliente_Mes!$D$2:$D$433,Desconto_Cliente_Mes!$B$2:$B$433,$B347,Desconto_Cliente_Mes!$C$2:$C$433,$C347,Desconto_Cliente_Mes!$K$2:$K$433,"Nao",Desconto_Cliente_Mes!$D$2:$D$433,"&gt;0")</f>
        <v>166556.65</v>
      </c>
      <c r="I347" s="42" t="n">
        <f aca="false">IF(AND($E347="Nao",$D347&gt;0,$H347&gt;0),$D347/$H347,0)</f>
        <v>0.203311365832586</v>
      </c>
      <c r="J347" s="40" t="n">
        <f aca="false">$I347*$G347</f>
        <v>53755.4567722143</v>
      </c>
      <c r="K347" s="40" t="n">
        <f aca="false">$J347-$F347</f>
        <v>53755.4567722143</v>
      </c>
      <c r="L347" s="27" t="str">
        <f aca="false">IF($D347=0,"Sem embarque",IF($K347&gt;0,"Recebe","Paga"))</f>
        <v>Recebe</v>
      </c>
    </row>
    <row r="348" customFormat="false" ht="15" hidden="false" customHeight="false" outlineLevel="0" collapsed="false">
      <c r="A348" s="27" t="s">
        <v>48</v>
      </c>
      <c r="B348" s="27" t="s">
        <v>65</v>
      </c>
      <c r="C348" s="27" t="s">
        <v>110</v>
      </c>
      <c r="D348" s="34" t="n">
        <f aca="false">SUMIFS(Desconto_Cliente_Mes!$D$2:$D$433,Desconto_Cliente_Mes!$A$2:$A$433,$A348,Desconto_Cliente_Mes!$B$2:$B$433,$B348,Desconto_Cliente_Mes!$C$2:$C$433,$C348)</f>
        <v>33862.86</v>
      </c>
      <c r="E348" s="37" t="str">
        <f aca="false">INDEX(Desconto_Cliente_Mes!$K$2:$K$433,MATCH($A348&amp;"|"&amp;$B348&amp;"|"&amp;$C348,Desconto_Cliente_Mes!$W$2:$W$433,0))</f>
        <v>Sim</v>
      </c>
      <c r="F348" s="39" t="n">
        <f aca="false">SUMIFS(Desconto_Cliente_Mes!$U$2:$U$433,Desconto_Cliente_Mes!$A$2:$A$433,$A348,Desconto_Cliente_Mes!$B$2:$B$433,$B348,Desconto_Cliente_Mes!$C$2:$C$433,$C348)</f>
        <v>54942.617336</v>
      </c>
      <c r="G348" s="39" t="n">
        <f aca="false">SUMIFS(Desconto_Cliente_Mes!$U$2:$U$433,Desconto_Cliente_Mes!$B$2:$B$433,$B348,Desconto_Cliente_Mes!$C$2:$C$433,$C348,Desconto_Cliente_Mes!$K$2:$K$433,"Sim")</f>
        <v>54942.617336</v>
      </c>
      <c r="H348" s="37" t="n">
        <f aca="false">SUMIFS(Desconto_Cliente_Mes!$D$2:$D$433,Desconto_Cliente_Mes!$B$2:$B$433,$B348,Desconto_Cliente_Mes!$C$2:$C$433,$C348,Desconto_Cliente_Mes!$K$2:$K$433,"Nao",Desconto_Cliente_Mes!$D$2:$D$433,"&gt;0")</f>
        <v>378160.7</v>
      </c>
      <c r="I348" s="42" t="n">
        <f aca="false">IF(AND($E348="Nao",$D348&gt;0,$H348&gt;0),$D348/$H348,0)</f>
        <v>0</v>
      </c>
      <c r="J348" s="40" t="n">
        <f aca="false">$I348*$G348</f>
        <v>0</v>
      </c>
      <c r="K348" s="40" t="n">
        <f aca="false">$J348-$F348</f>
        <v>-54942.617336</v>
      </c>
      <c r="L348" s="27" t="str">
        <f aca="false">IF($D348=0,"Sem embarque",IF($K348&gt;0,"Recebe","Paga"))</f>
        <v>Paga</v>
      </c>
    </row>
    <row r="349" customFormat="false" ht="15" hidden="false" customHeight="false" outlineLevel="0" collapsed="false">
      <c r="A349" s="27" t="s">
        <v>48</v>
      </c>
      <c r="B349" s="27" t="s">
        <v>65</v>
      </c>
      <c r="C349" s="27" t="s">
        <v>111</v>
      </c>
      <c r="D349" s="34" t="n">
        <f aca="false">SUMIFS(Desconto_Cliente_Mes!$D$2:$D$433,Desconto_Cliente_Mes!$A$2:$A$433,$A349,Desconto_Cliente_Mes!$B$2:$B$433,$B349,Desconto_Cliente_Mes!$C$2:$C$433,$C349)</f>
        <v>33862.86</v>
      </c>
      <c r="E349" s="37" t="str">
        <f aca="false">INDEX(Desconto_Cliente_Mes!$K$2:$K$433,MATCH($A349&amp;"|"&amp;$B349&amp;"|"&amp;$C349,Desconto_Cliente_Mes!$W$2:$W$433,0))</f>
        <v>Sim</v>
      </c>
      <c r="F349" s="39" t="n">
        <f aca="false">SUMIFS(Desconto_Cliente_Mes!$U$2:$U$433,Desconto_Cliente_Mes!$A$2:$A$433,$A349,Desconto_Cliente_Mes!$B$2:$B$433,$B349,Desconto_Cliente_Mes!$C$2:$C$433,$C349)</f>
        <v>13605.1542986586</v>
      </c>
      <c r="G349" s="39" t="n">
        <f aca="false">SUMIFS(Desconto_Cliente_Mes!$U$2:$U$433,Desconto_Cliente_Mes!$B$2:$B$433,$B349,Desconto_Cliente_Mes!$C$2:$C$433,$C349,Desconto_Cliente_Mes!$K$2:$K$433,"Sim")</f>
        <v>131995.749729693</v>
      </c>
      <c r="H349" s="37" t="n">
        <f aca="false">SUMIFS(Desconto_Cliente_Mes!$D$2:$D$433,Desconto_Cliente_Mes!$B$2:$B$433,$B349,Desconto_Cliente_Mes!$C$2:$C$433,$C349,Desconto_Cliente_Mes!$K$2:$K$433,"Nao",Desconto_Cliente_Mes!$D$2:$D$433,"&gt;0")</f>
        <v>132693.79</v>
      </c>
      <c r="I349" s="42" t="n">
        <f aca="false">IF(AND($E349="Nao",$D349&gt;0,$H349&gt;0),$D349/$H349,0)</f>
        <v>0</v>
      </c>
      <c r="J349" s="40" t="n">
        <f aca="false">$I349*$G349</f>
        <v>0</v>
      </c>
      <c r="K349" s="40" t="n">
        <f aca="false">$J349-$F349</f>
        <v>-13605.1542986586</v>
      </c>
      <c r="L349" s="27" t="str">
        <f aca="false">IF($D349=0,"Sem embarque",IF($K349&gt;0,"Recebe","Paga"))</f>
        <v>Paga</v>
      </c>
    </row>
    <row r="350" customFormat="false" ht="15" hidden="false" customHeight="false" outlineLevel="0" collapsed="false">
      <c r="A350" s="27" t="s">
        <v>48</v>
      </c>
      <c r="B350" s="27" t="s">
        <v>66</v>
      </c>
      <c r="C350" s="27" t="s">
        <v>109</v>
      </c>
      <c r="D350" s="34" t="n">
        <f aca="false">SUMIFS(Desconto_Cliente_Mes!$D$2:$D$433,Desconto_Cliente_Mes!$A$2:$A$433,$A350,Desconto_Cliente_Mes!$B$2:$B$433,$B350,Desconto_Cliente_Mes!$C$2:$C$433,$C350)</f>
        <v>6769.23</v>
      </c>
      <c r="E350" s="37" t="str">
        <f aca="false">INDEX(Desconto_Cliente_Mes!$K$2:$K$433,MATCH($A350&amp;"|"&amp;$B350&amp;"|"&amp;$C350,Desconto_Cliente_Mes!$W$2:$W$433,0))</f>
        <v>Nao</v>
      </c>
      <c r="F350" s="39" t="n">
        <f aca="false">SUMIFS(Desconto_Cliente_Mes!$U$2:$U$433,Desconto_Cliente_Mes!$A$2:$A$433,$A350,Desconto_Cliente_Mes!$B$2:$B$433,$B350,Desconto_Cliente_Mes!$C$2:$C$433,$C350)</f>
        <v>0</v>
      </c>
      <c r="G350" s="39" t="n">
        <f aca="false">SUMIFS(Desconto_Cliente_Mes!$U$2:$U$433,Desconto_Cliente_Mes!$B$2:$B$433,$B350,Desconto_Cliente_Mes!$C$2:$C$433,$C350,Desconto_Cliente_Mes!$K$2:$K$433,"Sim")</f>
        <v>26408.1404587724</v>
      </c>
      <c r="H350" s="37" t="n">
        <f aca="false">SUMIFS(Desconto_Cliente_Mes!$D$2:$D$433,Desconto_Cliente_Mes!$B$2:$B$433,$B350,Desconto_Cliente_Mes!$C$2:$C$433,$C350,Desconto_Cliente_Mes!$K$2:$K$433,"Nao",Desconto_Cliente_Mes!$D$2:$D$433,"&gt;0")</f>
        <v>25249.51</v>
      </c>
      <c r="I350" s="42" t="n">
        <f aca="false">IF(AND($E350="Nao",$D350&gt;0,$H350&gt;0),$D350/$H350,0)</f>
        <v>0.268093519438595</v>
      </c>
      <c r="J350" s="40" t="n">
        <f aca="false">$I350*$G350</f>
        <v>7079.85131742103</v>
      </c>
      <c r="K350" s="40" t="n">
        <f aca="false">$J350-$F350</f>
        <v>7079.85131742103</v>
      </c>
      <c r="L350" s="27" t="str">
        <f aca="false">IF($D350=0,"Sem embarque",IF($K350&gt;0,"Recebe","Paga"))</f>
        <v>Recebe</v>
      </c>
    </row>
    <row r="351" customFormat="false" ht="15" hidden="false" customHeight="false" outlineLevel="0" collapsed="false">
      <c r="A351" s="27" t="s">
        <v>48</v>
      </c>
      <c r="B351" s="27" t="s">
        <v>66</v>
      </c>
      <c r="C351" s="27" t="s">
        <v>110</v>
      </c>
      <c r="D351" s="34" t="n">
        <f aca="false">SUMIFS(Desconto_Cliente_Mes!$D$2:$D$433,Desconto_Cliente_Mes!$A$2:$A$433,$A351,Desconto_Cliente_Mes!$B$2:$B$433,$B351,Desconto_Cliente_Mes!$C$2:$C$433,$C351)</f>
        <v>6769.23</v>
      </c>
      <c r="E351" s="37" t="str">
        <f aca="false">INDEX(Desconto_Cliente_Mes!$K$2:$K$433,MATCH($A351&amp;"|"&amp;$B351&amp;"|"&amp;$C351,Desconto_Cliente_Mes!$W$2:$W$433,0))</f>
        <v>Sim</v>
      </c>
      <c r="F351" s="39" t="n">
        <f aca="false">SUMIFS(Desconto_Cliente_Mes!$U$2:$U$433,Desconto_Cliente_Mes!$A$2:$A$433,$A351,Desconto_Cliente_Mes!$B$2:$B$433,$B351,Desconto_Cliente_Mes!$C$2:$C$433,$C351)</f>
        <v>4634.21485800002</v>
      </c>
      <c r="G351" s="39" t="n">
        <f aca="false">SUMIFS(Desconto_Cliente_Mes!$U$2:$U$433,Desconto_Cliente_Mes!$B$2:$B$433,$B351,Desconto_Cliente_Mes!$C$2:$C$433,$C351,Desconto_Cliente_Mes!$K$2:$K$433,"Sim")</f>
        <v>20574.688366</v>
      </c>
      <c r="H351" s="37" t="n">
        <f aca="false">SUMIFS(Desconto_Cliente_Mes!$D$2:$D$433,Desconto_Cliente_Mes!$B$2:$B$433,$B351,Desconto_Cliente_Mes!$C$2:$C$433,$C351,Desconto_Cliente_Mes!$K$2:$K$433,"Nao",Desconto_Cliente_Mes!$D$2:$D$433,"&gt;0")</f>
        <v>36785.35</v>
      </c>
      <c r="I351" s="42" t="n">
        <f aca="false">IF(AND($E351="Nao",$D351&gt;0,$H351&gt;0),$D351/$H351,0)</f>
        <v>0</v>
      </c>
      <c r="J351" s="40" t="n">
        <f aca="false">$I351*$G351</f>
        <v>0</v>
      </c>
      <c r="K351" s="40" t="n">
        <f aca="false">$J351-$F351</f>
        <v>-4634.21485800002</v>
      </c>
      <c r="L351" s="27" t="str">
        <f aca="false">IF($D351=0,"Sem embarque",IF($K351&gt;0,"Recebe","Paga"))</f>
        <v>Paga</v>
      </c>
    </row>
    <row r="352" customFormat="false" ht="15" hidden="false" customHeight="false" outlineLevel="0" collapsed="false">
      <c r="A352" s="27" t="s">
        <v>48</v>
      </c>
      <c r="B352" s="27" t="s">
        <v>66</v>
      </c>
      <c r="C352" s="27" t="s">
        <v>111</v>
      </c>
      <c r="D352" s="34" t="n">
        <f aca="false">SUMIFS(Desconto_Cliente_Mes!$D$2:$D$433,Desconto_Cliente_Mes!$A$2:$A$433,$A352,Desconto_Cliente_Mes!$B$2:$B$433,$B352,Desconto_Cliente_Mes!$C$2:$C$433,$C352)</f>
        <v>6769.23</v>
      </c>
      <c r="E352" s="37" t="str">
        <f aca="false">INDEX(Desconto_Cliente_Mes!$K$2:$K$433,MATCH($A352&amp;"|"&amp;$B352&amp;"|"&amp;$C352,Desconto_Cliente_Mes!$W$2:$W$433,0))</f>
        <v>Nao</v>
      </c>
      <c r="F352" s="39" t="n">
        <f aca="false">SUMIFS(Desconto_Cliente_Mes!$U$2:$U$433,Desconto_Cliente_Mes!$A$2:$A$433,$A352,Desconto_Cliente_Mes!$B$2:$B$433,$B352,Desconto_Cliente_Mes!$C$2:$C$433,$C352)</f>
        <v>0</v>
      </c>
      <c r="G352" s="39" t="n">
        <f aca="false">SUMIFS(Desconto_Cliente_Mes!$U$2:$U$433,Desconto_Cliente_Mes!$B$2:$B$433,$B352,Desconto_Cliente_Mes!$C$2:$C$433,$C352,Desconto_Cliente_Mes!$K$2:$K$433,"Sim")</f>
        <v>12224.7687289319</v>
      </c>
      <c r="H352" s="37" t="n">
        <f aca="false">SUMIFS(Desconto_Cliente_Mes!$D$2:$D$433,Desconto_Cliente_Mes!$B$2:$B$433,$B352,Desconto_Cliente_Mes!$C$2:$C$433,$C352,Desconto_Cliente_Mes!$K$2:$K$433,"Nao",Desconto_Cliente_Mes!$D$2:$D$433,"&gt;0")</f>
        <v>41847.52</v>
      </c>
      <c r="I352" s="42" t="n">
        <f aca="false">IF(AND($E352="Nao",$D352&gt;0,$H352&gt;0),$D352/$H352,0)</f>
        <v>0.16175940653114</v>
      </c>
      <c r="J352" s="40" t="n">
        <f aca="false">$I352*$G352</f>
        <v>1977.47133457246</v>
      </c>
      <c r="K352" s="40" t="n">
        <f aca="false">$J352-$F352</f>
        <v>1977.47133457246</v>
      </c>
      <c r="L352" s="27" t="str">
        <f aca="false">IF($D352=0,"Sem embarque",IF($K352&gt;0,"Recebe","Paga"))</f>
        <v>Recebe</v>
      </c>
    </row>
    <row r="353" customFormat="false" ht="15" hidden="false" customHeight="false" outlineLevel="0" collapsed="false">
      <c r="A353" s="27" t="s">
        <v>48</v>
      </c>
      <c r="B353" s="27" t="s">
        <v>67</v>
      </c>
      <c r="C353" s="27" t="s">
        <v>109</v>
      </c>
      <c r="D353" s="34" t="n">
        <f aca="false">SUMIFS(Desconto_Cliente_Mes!$D$2:$D$433,Desconto_Cliente_Mes!$A$2:$A$433,$A353,Desconto_Cliente_Mes!$B$2:$B$433,$B353,Desconto_Cliente_Mes!$C$2:$C$433,$C353)</f>
        <v>0</v>
      </c>
      <c r="E353" s="37" t="str">
        <f aca="false">INDEX(Desconto_Cliente_Mes!$K$2:$K$433,MATCH($A353&amp;"|"&amp;$B353&amp;"|"&amp;$C353,Desconto_Cliente_Mes!$W$2:$W$433,0))</f>
        <v/>
      </c>
      <c r="F353" s="39" t="n">
        <f aca="false">SUMIFS(Desconto_Cliente_Mes!$U$2:$U$433,Desconto_Cliente_Mes!$A$2:$A$433,$A353,Desconto_Cliente_Mes!$B$2:$B$433,$B353,Desconto_Cliente_Mes!$C$2:$C$433,$C353)</f>
        <v>0</v>
      </c>
      <c r="G353" s="39" t="n">
        <f aca="false">SUMIFS(Desconto_Cliente_Mes!$U$2:$U$433,Desconto_Cliente_Mes!$B$2:$B$433,$B353,Desconto_Cliente_Mes!$C$2:$C$433,$C353,Desconto_Cliente_Mes!$K$2:$K$433,"Sim")</f>
        <v>0</v>
      </c>
      <c r="H353" s="37" t="n">
        <f aca="false">SUMIFS(Desconto_Cliente_Mes!$D$2:$D$433,Desconto_Cliente_Mes!$B$2:$B$433,$B353,Desconto_Cliente_Mes!$C$2:$C$433,$C353,Desconto_Cliente_Mes!$K$2:$K$433,"Nao",Desconto_Cliente_Mes!$D$2:$D$433,"&gt;0")</f>
        <v>0</v>
      </c>
      <c r="I353" s="42" t="n">
        <f aca="false">IF(AND($E353="Nao",$D353&gt;0,$H353&gt;0),$D353/$H353,0)</f>
        <v>0</v>
      </c>
      <c r="J353" s="40" t="n">
        <f aca="false">$I353*$G353</f>
        <v>0</v>
      </c>
      <c r="K353" s="40" t="n">
        <f aca="false">$J353-$F353</f>
        <v>0</v>
      </c>
      <c r="L353" s="27" t="str">
        <f aca="false">IF($D353=0,"Sem embarque",IF($K353&gt;0,"Recebe","Paga"))</f>
        <v>Sem embarque</v>
      </c>
    </row>
    <row r="354" customFormat="false" ht="15" hidden="false" customHeight="false" outlineLevel="0" collapsed="false">
      <c r="A354" s="27" t="s">
        <v>48</v>
      </c>
      <c r="B354" s="27" t="s">
        <v>67</v>
      </c>
      <c r="C354" s="27" t="s">
        <v>110</v>
      </c>
      <c r="D354" s="34" t="n">
        <f aca="false">SUMIFS(Desconto_Cliente_Mes!$D$2:$D$433,Desconto_Cliente_Mes!$A$2:$A$433,$A354,Desconto_Cliente_Mes!$B$2:$B$433,$B354,Desconto_Cliente_Mes!$C$2:$C$433,$C354)</f>
        <v>0</v>
      </c>
      <c r="E354" s="37" t="str">
        <f aca="false">INDEX(Desconto_Cliente_Mes!$K$2:$K$433,MATCH($A354&amp;"|"&amp;$B354&amp;"|"&amp;$C354,Desconto_Cliente_Mes!$W$2:$W$433,0))</f>
        <v/>
      </c>
      <c r="F354" s="39" t="n">
        <f aca="false">SUMIFS(Desconto_Cliente_Mes!$U$2:$U$433,Desconto_Cliente_Mes!$A$2:$A$433,$A354,Desconto_Cliente_Mes!$B$2:$B$433,$B354,Desconto_Cliente_Mes!$C$2:$C$433,$C354)</f>
        <v>0</v>
      </c>
      <c r="G354" s="39" t="n">
        <f aca="false">SUMIFS(Desconto_Cliente_Mes!$U$2:$U$433,Desconto_Cliente_Mes!$B$2:$B$433,$B354,Desconto_Cliente_Mes!$C$2:$C$433,$C354,Desconto_Cliente_Mes!$K$2:$K$433,"Sim")</f>
        <v>0</v>
      </c>
      <c r="H354" s="37" t="n">
        <f aca="false">SUMIFS(Desconto_Cliente_Mes!$D$2:$D$433,Desconto_Cliente_Mes!$B$2:$B$433,$B354,Desconto_Cliente_Mes!$C$2:$C$433,$C354,Desconto_Cliente_Mes!$K$2:$K$433,"Nao",Desconto_Cliente_Mes!$D$2:$D$433,"&gt;0")</f>
        <v>0</v>
      </c>
      <c r="I354" s="42" t="n">
        <f aca="false">IF(AND($E354="Nao",$D354&gt;0,$H354&gt;0),$D354/$H354,0)</f>
        <v>0</v>
      </c>
      <c r="J354" s="40" t="n">
        <f aca="false">$I354*$G354</f>
        <v>0</v>
      </c>
      <c r="K354" s="40" t="n">
        <f aca="false">$J354-$F354</f>
        <v>0</v>
      </c>
      <c r="L354" s="27" t="str">
        <f aca="false">IF($D354=0,"Sem embarque",IF($K354&gt;0,"Recebe","Paga"))</f>
        <v>Sem embarque</v>
      </c>
    </row>
    <row r="355" customFormat="false" ht="15" hidden="false" customHeight="false" outlineLevel="0" collapsed="false">
      <c r="A355" s="27" t="s">
        <v>48</v>
      </c>
      <c r="B355" s="27" t="s">
        <v>67</v>
      </c>
      <c r="C355" s="27" t="s">
        <v>111</v>
      </c>
      <c r="D355" s="34" t="n">
        <f aca="false">SUMIFS(Desconto_Cliente_Mes!$D$2:$D$433,Desconto_Cliente_Mes!$A$2:$A$433,$A355,Desconto_Cliente_Mes!$B$2:$B$433,$B355,Desconto_Cliente_Mes!$C$2:$C$433,$C355)</f>
        <v>0</v>
      </c>
      <c r="E355" s="37" t="str">
        <f aca="false">INDEX(Desconto_Cliente_Mes!$K$2:$K$433,MATCH($A355&amp;"|"&amp;$B355&amp;"|"&amp;$C355,Desconto_Cliente_Mes!$W$2:$W$433,0))</f>
        <v/>
      </c>
      <c r="F355" s="39" t="n">
        <f aca="false">SUMIFS(Desconto_Cliente_Mes!$U$2:$U$433,Desconto_Cliente_Mes!$A$2:$A$433,$A355,Desconto_Cliente_Mes!$B$2:$B$433,$B355,Desconto_Cliente_Mes!$C$2:$C$433,$C355)</f>
        <v>0</v>
      </c>
      <c r="G355" s="39" t="n">
        <f aca="false">SUMIFS(Desconto_Cliente_Mes!$U$2:$U$433,Desconto_Cliente_Mes!$B$2:$B$433,$B355,Desconto_Cliente_Mes!$C$2:$C$433,$C355,Desconto_Cliente_Mes!$K$2:$K$433,"Sim")</f>
        <v>0</v>
      </c>
      <c r="H355" s="37" t="n">
        <f aca="false">SUMIFS(Desconto_Cliente_Mes!$D$2:$D$433,Desconto_Cliente_Mes!$B$2:$B$433,$B355,Desconto_Cliente_Mes!$C$2:$C$433,$C355,Desconto_Cliente_Mes!$K$2:$K$433,"Nao",Desconto_Cliente_Mes!$D$2:$D$433,"&gt;0")</f>
        <v>0</v>
      </c>
      <c r="I355" s="42" t="n">
        <f aca="false">IF(AND($E355="Nao",$D355&gt;0,$H355&gt;0),$D355/$H355,0)</f>
        <v>0</v>
      </c>
      <c r="J355" s="40" t="n">
        <f aca="false">$I355*$G355</f>
        <v>0</v>
      </c>
      <c r="K355" s="40" t="n">
        <f aca="false">$J355-$F355</f>
        <v>0</v>
      </c>
      <c r="L355" s="27" t="str">
        <f aca="false">IF($D355=0,"Sem embarque",IF($K355&gt;0,"Recebe","Paga"))</f>
        <v>Sem embarque</v>
      </c>
    </row>
    <row r="356" customFormat="false" ht="15" hidden="false" customHeight="false" outlineLevel="0" collapsed="false">
      <c r="A356" s="27" t="s">
        <v>48</v>
      </c>
      <c r="B356" s="27" t="s">
        <v>68</v>
      </c>
      <c r="C356" s="27" t="s">
        <v>109</v>
      </c>
      <c r="D356" s="34" t="n">
        <f aca="false">SUMIFS(Desconto_Cliente_Mes!$D$2:$D$433,Desconto_Cliente_Mes!$A$2:$A$433,$A356,Desconto_Cliente_Mes!$B$2:$B$433,$B356,Desconto_Cliente_Mes!$C$2:$C$433,$C356)</f>
        <v>0</v>
      </c>
      <c r="E356" s="37" t="str">
        <f aca="false">INDEX(Desconto_Cliente_Mes!$K$2:$K$433,MATCH($A356&amp;"|"&amp;$B356&amp;"|"&amp;$C356,Desconto_Cliente_Mes!$W$2:$W$433,0))</f>
        <v/>
      </c>
      <c r="F356" s="39" t="n">
        <f aca="false">SUMIFS(Desconto_Cliente_Mes!$U$2:$U$433,Desconto_Cliente_Mes!$A$2:$A$433,$A356,Desconto_Cliente_Mes!$B$2:$B$433,$B356,Desconto_Cliente_Mes!$C$2:$C$433,$C356)</f>
        <v>0</v>
      </c>
      <c r="G356" s="39" t="n">
        <f aca="false">SUMIFS(Desconto_Cliente_Mes!$U$2:$U$433,Desconto_Cliente_Mes!$B$2:$B$433,$B356,Desconto_Cliente_Mes!$C$2:$C$433,$C356,Desconto_Cliente_Mes!$K$2:$K$433,"Sim")</f>
        <v>0</v>
      </c>
      <c r="H356" s="37" t="n">
        <f aca="false">SUMIFS(Desconto_Cliente_Mes!$D$2:$D$433,Desconto_Cliente_Mes!$B$2:$B$433,$B356,Desconto_Cliente_Mes!$C$2:$C$433,$C356,Desconto_Cliente_Mes!$K$2:$K$433,"Nao",Desconto_Cliente_Mes!$D$2:$D$433,"&gt;0")</f>
        <v>0</v>
      </c>
      <c r="I356" s="42" t="n">
        <f aca="false">IF(AND($E356="Nao",$D356&gt;0,$H356&gt;0),$D356/$H356,0)</f>
        <v>0</v>
      </c>
      <c r="J356" s="40" t="n">
        <f aca="false">$I356*$G356</f>
        <v>0</v>
      </c>
      <c r="K356" s="40" t="n">
        <f aca="false">$J356-$F356</f>
        <v>0</v>
      </c>
      <c r="L356" s="27" t="str">
        <f aca="false">IF($D356=0,"Sem embarque",IF($K356&gt;0,"Recebe","Paga"))</f>
        <v>Sem embarque</v>
      </c>
    </row>
    <row r="357" customFormat="false" ht="15" hidden="false" customHeight="false" outlineLevel="0" collapsed="false">
      <c r="A357" s="27" t="s">
        <v>48</v>
      </c>
      <c r="B357" s="27" t="s">
        <v>68</v>
      </c>
      <c r="C357" s="27" t="s">
        <v>110</v>
      </c>
      <c r="D357" s="34" t="n">
        <f aca="false">SUMIFS(Desconto_Cliente_Mes!$D$2:$D$433,Desconto_Cliente_Mes!$A$2:$A$433,$A357,Desconto_Cliente_Mes!$B$2:$B$433,$B357,Desconto_Cliente_Mes!$C$2:$C$433,$C357)</f>
        <v>0</v>
      </c>
      <c r="E357" s="37" t="str">
        <f aca="false">INDEX(Desconto_Cliente_Mes!$K$2:$K$433,MATCH($A357&amp;"|"&amp;$B357&amp;"|"&amp;$C357,Desconto_Cliente_Mes!$W$2:$W$433,0))</f>
        <v/>
      </c>
      <c r="F357" s="39" t="n">
        <f aca="false">SUMIFS(Desconto_Cliente_Mes!$U$2:$U$433,Desconto_Cliente_Mes!$A$2:$A$433,$A357,Desconto_Cliente_Mes!$B$2:$B$433,$B357,Desconto_Cliente_Mes!$C$2:$C$433,$C357)</f>
        <v>0</v>
      </c>
      <c r="G357" s="39" t="n">
        <f aca="false">SUMIFS(Desconto_Cliente_Mes!$U$2:$U$433,Desconto_Cliente_Mes!$B$2:$B$433,$B357,Desconto_Cliente_Mes!$C$2:$C$433,$C357,Desconto_Cliente_Mes!$K$2:$K$433,"Sim")</f>
        <v>0</v>
      </c>
      <c r="H357" s="37" t="n">
        <f aca="false">SUMIFS(Desconto_Cliente_Mes!$D$2:$D$433,Desconto_Cliente_Mes!$B$2:$B$433,$B357,Desconto_Cliente_Mes!$C$2:$C$433,$C357,Desconto_Cliente_Mes!$K$2:$K$433,"Nao",Desconto_Cliente_Mes!$D$2:$D$433,"&gt;0")</f>
        <v>0</v>
      </c>
      <c r="I357" s="42" t="n">
        <f aca="false">IF(AND($E357="Nao",$D357&gt;0,$H357&gt;0),$D357/$H357,0)</f>
        <v>0</v>
      </c>
      <c r="J357" s="40" t="n">
        <f aca="false">$I357*$G357</f>
        <v>0</v>
      </c>
      <c r="K357" s="40" t="n">
        <f aca="false">$J357-$F357</f>
        <v>0</v>
      </c>
      <c r="L357" s="27" t="str">
        <f aca="false">IF($D357=0,"Sem embarque",IF($K357&gt;0,"Recebe","Paga"))</f>
        <v>Sem embarque</v>
      </c>
    </row>
    <row r="358" customFormat="false" ht="15" hidden="false" customHeight="false" outlineLevel="0" collapsed="false">
      <c r="A358" s="27" t="s">
        <v>48</v>
      </c>
      <c r="B358" s="27" t="s">
        <v>68</v>
      </c>
      <c r="C358" s="27" t="s">
        <v>111</v>
      </c>
      <c r="D358" s="34" t="n">
        <f aca="false">SUMIFS(Desconto_Cliente_Mes!$D$2:$D$433,Desconto_Cliente_Mes!$A$2:$A$433,$A358,Desconto_Cliente_Mes!$B$2:$B$433,$B358,Desconto_Cliente_Mes!$C$2:$C$433,$C358)</f>
        <v>0</v>
      </c>
      <c r="E358" s="37" t="str">
        <f aca="false">INDEX(Desconto_Cliente_Mes!$K$2:$K$433,MATCH($A358&amp;"|"&amp;$B358&amp;"|"&amp;$C358,Desconto_Cliente_Mes!$W$2:$W$433,0))</f>
        <v/>
      </c>
      <c r="F358" s="39" t="n">
        <f aca="false">SUMIFS(Desconto_Cliente_Mes!$U$2:$U$433,Desconto_Cliente_Mes!$A$2:$A$433,$A358,Desconto_Cliente_Mes!$B$2:$B$433,$B358,Desconto_Cliente_Mes!$C$2:$C$433,$C358)</f>
        <v>0</v>
      </c>
      <c r="G358" s="39" t="n">
        <f aca="false">SUMIFS(Desconto_Cliente_Mes!$U$2:$U$433,Desconto_Cliente_Mes!$B$2:$B$433,$B358,Desconto_Cliente_Mes!$C$2:$C$433,$C358,Desconto_Cliente_Mes!$K$2:$K$433,"Sim")</f>
        <v>0</v>
      </c>
      <c r="H358" s="37" t="n">
        <f aca="false">SUMIFS(Desconto_Cliente_Mes!$D$2:$D$433,Desconto_Cliente_Mes!$B$2:$B$433,$B358,Desconto_Cliente_Mes!$C$2:$C$433,$C358,Desconto_Cliente_Mes!$K$2:$K$433,"Nao",Desconto_Cliente_Mes!$D$2:$D$433,"&gt;0")</f>
        <v>0</v>
      </c>
      <c r="I358" s="42" t="n">
        <f aca="false">IF(AND($E358="Nao",$D358&gt;0,$H358&gt;0),$D358/$H358,0)</f>
        <v>0</v>
      </c>
      <c r="J358" s="40" t="n">
        <f aca="false">$I358*$G358</f>
        <v>0</v>
      </c>
      <c r="K358" s="40" t="n">
        <f aca="false">$J358-$F358</f>
        <v>0</v>
      </c>
      <c r="L358" s="27" t="str">
        <f aca="false">IF($D358=0,"Sem embarque",IF($K358&gt;0,"Recebe","Paga"))</f>
        <v>Sem embarque</v>
      </c>
    </row>
    <row r="359" customFormat="false" ht="15" hidden="false" customHeight="false" outlineLevel="0" collapsed="false">
      <c r="A359" s="27" t="s">
        <v>48</v>
      </c>
      <c r="B359" s="27" t="s">
        <v>69</v>
      </c>
      <c r="C359" s="27" t="s">
        <v>109</v>
      </c>
      <c r="D359" s="34" t="n">
        <f aca="false">SUMIFS(Desconto_Cliente_Mes!$D$2:$D$433,Desconto_Cliente_Mes!$A$2:$A$433,$A359,Desconto_Cliente_Mes!$B$2:$B$433,$B359,Desconto_Cliente_Mes!$C$2:$C$433,$C359)</f>
        <v>0</v>
      </c>
      <c r="E359" s="37" t="str">
        <f aca="false">INDEX(Desconto_Cliente_Mes!$K$2:$K$433,MATCH($A359&amp;"|"&amp;$B359&amp;"|"&amp;$C359,Desconto_Cliente_Mes!$W$2:$W$433,0))</f>
        <v/>
      </c>
      <c r="F359" s="39" t="n">
        <f aca="false">SUMIFS(Desconto_Cliente_Mes!$U$2:$U$433,Desconto_Cliente_Mes!$A$2:$A$433,$A359,Desconto_Cliente_Mes!$B$2:$B$433,$B359,Desconto_Cliente_Mes!$C$2:$C$433,$C359)</f>
        <v>0</v>
      </c>
      <c r="G359" s="39" t="n">
        <f aca="false">SUMIFS(Desconto_Cliente_Mes!$U$2:$U$433,Desconto_Cliente_Mes!$B$2:$B$433,$B359,Desconto_Cliente_Mes!$C$2:$C$433,$C359,Desconto_Cliente_Mes!$K$2:$K$433,"Sim")</f>
        <v>0</v>
      </c>
      <c r="H359" s="37" t="n">
        <f aca="false">SUMIFS(Desconto_Cliente_Mes!$D$2:$D$433,Desconto_Cliente_Mes!$B$2:$B$433,$B359,Desconto_Cliente_Mes!$C$2:$C$433,$C359,Desconto_Cliente_Mes!$K$2:$K$433,"Nao",Desconto_Cliente_Mes!$D$2:$D$433,"&gt;0")</f>
        <v>0</v>
      </c>
      <c r="I359" s="42" t="n">
        <f aca="false">IF(AND($E359="Nao",$D359&gt;0,$H359&gt;0),$D359/$H359,0)</f>
        <v>0</v>
      </c>
      <c r="J359" s="40" t="n">
        <f aca="false">$I359*$G359</f>
        <v>0</v>
      </c>
      <c r="K359" s="40" t="n">
        <f aca="false">$J359-$F359</f>
        <v>0</v>
      </c>
      <c r="L359" s="27" t="str">
        <f aca="false">IF($D359=0,"Sem embarque",IF($K359&gt;0,"Recebe","Paga"))</f>
        <v>Sem embarque</v>
      </c>
    </row>
    <row r="360" customFormat="false" ht="15" hidden="false" customHeight="false" outlineLevel="0" collapsed="false">
      <c r="A360" s="27" t="s">
        <v>48</v>
      </c>
      <c r="B360" s="27" t="s">
        <v>69</v>
      </c>
      <c r="C360" s="27" t="s">
        <v>110</v>
      </c>
      <c r="D360" s="34" t="n">
        <f aca="false">SUMIFS(Desconto_Cliente_Mes!$D$2:$D$433,Desconto_Cliente_Mes!$A$2:$A$433,$A360,Desconto_Cliente_Mes!$B$2:$B$433,$B360,Desconto_Cliente_Mes!$C$2:$C$433,$C360)</f>
        <v>0</v>
      </c>
      <c r="E360" s="37" t="str">
        <f aca="false">INDEX(Desconto_Cliente_Mes!$K$2:$K$433,MATCH($A360&amp;"|"&amp;$B360&amp;"|"&amp;$C360,Desconto_Cliente_Mes!$W$2:$W$433,0))</f>
        <v/>
      </c>
      <c r="F360" s="39" t="n">
        <f aca="false">SUMIFS(Desconto_Cliente_Mes!$U$2:$U$433,Desconto_Cliente_Mes!$A$2:$A$433,$A360,Desconto_Cliente_Mes!$B$2:$B$433,$B360,Desconto_Cliente_Mes!$C$2:$C$433,$C360)</f>
        <v>0</v>
      </c>
      <c r="G360" s="39" t="n">
        <f aca="false">SUMIFS(Desconto_Cliente_Mes!$U$2:$U$433,Desconto_Cliente_Mes!$B$2:$B$433,$B360,Desconto_Cliente_Mes!$C$2:$C$433,$C360,Desconto_Cliente_Mes!$K$2:$K$433,"Sim")</f>
        <v>0</v>
      </c>
      <c r="H360" s="37" t="n">
        <f aca="false">SUMIFS(Desconto_Cliente_Mes!$D$2:$D$433,Desconto_Cliente_Mes!$B$2:$B$433,$B360,Desconto_Cliente_Mes!$C$2:$C$433,$C360,Desconto_Cliente_Mes!$K$2:$K$433,"Nao",Desconto_Cliente_Mes!$D$2:$D$433,"&gt;0")</f>
        <v>0</v>
      </c>
      <c r="I360" s="42" t="n">
        <f aca="false">IF(AND($E360="Nao",$D360&gt;0,$H360&gt;0),$D360/$H360,0)</f>
        <v>0</v>
      </c>
      <c r="J360" s="40" t="n">
        <f aca="false">$I360*$G360</f>
        <v>0</v>
      </c>
      <c r="K360" s="40" t="n">
        <f aca="false">$J360-$F360</f>
        <v>0</v>
      </c>
      <c r="L360" s="27" t="str">
        <f aca="false">IF($D360=0,"Sem embarque",IF($K360&gt;0,"Recebe","Paga"))</f>
        <v>Sem embarque</v>
      </c>
    </row>
    <row r="361" customFormat="false" ht="15" hidden="false" customHeight="false" outlineLevel="0" collapsed="false">
      <c r="A361" s="27" t="s">
        <v>48</v>
      </c>
      <c r="B361" s="27" t="s">
        <v>69</v>
      </c>
      <c r="C361" s="27" t="s">
        <v>111</v>
      </c>
      <c r="D361" s="34" t="n">
        <f aca="false">SUMIFS(Desconto_Cliente_Mes!$D$2:$D$433,Desconto_Cliente_Mes!$A$2:$A$433,$A361,Desconto_Cliente_Mes!$B$2:$B$433,$B361,Desconto_Cliente_Mes!$C$2:$C$433,$C361)</f>
        <v>0</v>
      </c>
      <c r="E361" s="37" t="str">
        <f aca="false">INDEX(Desconto_Cliente_Mes!$K$2:$K$433,MATCH($A361&amp;"|"&amp;$B361&amp;"|"&amp;$C361,Desconto_Cliente_Mes!$W$2:$W$433,0))</f>
        <v/>
      </c>
      <c r="F361" s="39" t="n">
        <f aca="false">SUMIFS(Desconto_Cliente_Mes!$U$2:$U$433,Desconto_Cliente_Mes!$A$2:$A$433,$A361,Desconto_Cliente_Mes!$B$2:$B$433,$B361,Desconto_Cliente_Mes!$C$2:$C$433,$C361)</f>
        <v>0</v>
      </c>
      <c r="G361" s="39" t="n">
        <f aca="false">SUMIFS(Desconto_Cliente_Mes!$U$2:$U$433,Desconto_Cliente_Mes!$B$2:$B$433,$B361,Desconto_Cliente_Mes!$C$2:$C$433,$C361,Desconto_Cliente_Mes!$K$2:$K$433,"Sim")</f>
        <v>0</v>
      </c>
      <c r="H361" s="37" t="n">
        <f aca="false">SUMIFS(Desconto_Cliente_Mes!$D$2:$D$433,Desconto_Cliente_Mes!$B$2:$B$433,$B361,Desconto_Cliente_Mes!$C$2:$C$433,$C361,Desconto_Cliente_Mes!$K$2:$K$433,"Nao",Desconto_Cliente_Mes!$D$2:$D$433,"&gt;0")</f>
        <v>0</v>
      </c>
      <c r="I361" s="42" t="n">
        <f aca="false">IF(AND($E361="Nao",$D361&gt;0,$H361&gt;0),$D361/$H361,0)</f>
        <v>0</v>
      </c>
      <c r="J361" s="40" t="n">
        <f aca="false">$I361*$G361</f>
        <v>0</v>
      </c>
      <c r="K361" s="40" t="n">
        <f aca="false">$J361-$F361</f>
        <v>0</v>
      </c>
      <c r="L361" s="27" t="str">
        <f aca="false">IF($D361=0,"Sem embarque",IF($K361&gt;0,"Recebe","Paga"))</f>
        <v>Sem embarque</v>
      </c>
    </row>
    <row r="362" customFormat="false" ht="15" hidden="false" customHeight="false" outlineLevel="0" collapsed="false">
      <c r="A362" s="27" t="s">
        <v>49</v>
      </c>
      <c r="B362" s="27" t="s">
        <v>38</v>
      </c>
      <c r="C362" s="27" t="s">
        <v>109</v>
      </c>
      <c r="D362" s="34" t="n">
        <f aca="false">SUMIFS(Desconto_Cliente_Mes!$D$2:$D$433,Desconto_Cliente_Mes!$A$2:$A$433,$A362,Desconto_Cliente_Mes!$B$2:$B$433,$B362,Desconto_Cliente_Mes!$C$2:$C$433,$C362)</f>
        <v>0</v>
      </c>
      <c r="E362" s="37" t="str">
        <f aca="false">INDEX(Desconto_Cliente_Mes!$K$2:$K$433,MATCH($A362&amp;"|"&amp;$B362&amp;"|"&amp;$C362,Desconto_Cliente_Mes!$W$2:$W$433,0))</f>
        <v/>
      </c>
      <c r="F362" s="39" t="n">
        <f aca="false">SUMIFS(Desconto_Cliente_Mes!$U$2:$U$433,Desconto_Cliente_Mes!$A$2:$A$433,$A362,Desconto_Cliente_Mes!$B$2:$B$433,$B362,Desconto_Cliente_Mes!$C$2:$C$433,$C362)</f>
        <v>0</v>
      </c>
      <c r="G362" s="39" t="n">
        <f aca="false">SUMIFS(Desconto_Cliente_Mes!$U$2:$U$433,Desconto_Cliente_Mes!$B$2:$B$433,$B362,Desconto_Cliente_Mes!$C$2:$C$433,$C362,Desconto_Cliente_Mes!$K$2:$K$433,"Sim")</f>
        <v>91377.0669671845</v>
      </c>
      <c r="H362" s="37" t="n">
        <f aca="false">SUMIFS(Desconto_Cliente_Mes!$D$2:$D$433,Desconto_Cliente_Mes!$B$2:$B$433,$B362,Desconto_Cliente_Mes!$C$2:$C$433,$C362,Desconto_Cliente_Mes!$K$2:$K$433,"Nao",Desconto_Cliente_Mes!$D$2:$D$433,"&gt;0")</f>
        <v>58734.34</v>
      </c>
      <c r="I362" s="42" t="n">
        <f aca="false">IF(AND($E362="Nao",$D362&gt;0,$H362&gt;0),$D362/$H362,0)</f>
        <v>0</v>
      </c>
      <c r="J362" s="40" t="n">
        <f aca="false">$I362*$G362</f>
        <v>0</v>
      </c>
      <c r="K362" s="40" t="n">
        <f aca="false">$J362-$F362</f>
        <v>0</v>
      </c>
      <c r="L362" s="27" t="str">
        <f aca="false">IF($D362=0,"Sem embarque",IF($K362&gt;0,"Recebe","Paga"))</f>
        <v>Sem embarque</v>
      </c>
    </row>
    <row r="363" customFormat="false" ht="15" hidden="false" customHeight="false" outlineLevel="0" collapsed="false">
      <c r="A363" s="27" t="s">
        <v>49</v>
      </c>
      <c r="B363" s="27" t="s">
        <v>38</v>
      </c>
      <c r="C363" s="27" t="s">
        <v>110</v>
      </c>
      <c r="D363" s="34" t="n">
        <f aca="false">SUMIFS(Desconto_Cliente_Mes!$D$2:$D$433,Desconto_Cliente_Mes!$A$2:$A$433,$A363,Desconto_Cliente_Mes!$B$2:$B$433,$B363,Desconto_Cliente_Mes!$C$2:$C$433,$C363)</f>
        <v>0</v>
      </c>
      <c r="E363" s="37" t="str">
        <f aca="false">INDEX(Desconto_Cliente_Mes!$K$2:$K$433,MATCH($A363&amp;"|"&amp;$B363&amp;"|"&amp;$C363,Desconto_Cliente_Mes!$W$2:$W$433,0))</f>
        <v/>
      </c>
      <c r="F363" s="39" t="n">
        <f aca="false">SUMIFS(Desconto_Cliente_Mes!$U$2:$U$433,Desconto_Cliente_Mes!$A$2:$A$433,$A363,Desconto_Cliente_Mes!$B$2:$B$433,$B363,Desconto_Cliente_Mes!$C$2:$C$433,$C363)</f>
        <v>0</v>
      </c>
      <c r="G363" s="39" t="n">
        <f aca="false">SUMIFS(Desconto_Cliente_Mes!$U$2:$U$433,Desconto_Cliente_Mes!$B$2:$B$433,$B363,Desconto_Cliente_Mes!$C$2:$C$433,$C363,Desconto_Cliente_Mes!$K$2:$K$433,"Sim")</f>
        <v>0</v>
      </c>
      <c r="H363" s="37" t="n">
        <f aca="false">SUMIFS(Desconto_Cliente_Mes!$D$2:$D$433,Desconto_Cliente_Mes!$B$2:$B$433,$B363,Desconto_Cliente_Mes!$C$2:$C$433,$C363,Desconto_Cliente_Mes!$K$2:$K$433,"Nao",Desconto_Cliente_Mes!$D$2:$D$433,"&gt;0")</f>
        <v>263816.27</v>
      </c>
      <c r="I363" s="42" t="n">
        <f aca="false">IF(AND($E363="Nao",$D363&gt;0,$H363&gt;0),$D363/$H363,0)</f>
        <v>0</v>
      </c>
      <c r="J363" s="40" t="n">
        <f aca="false">$I363*$G363</f>
        <v>0</v>
      </c>
      <c r="K363" s="40" t="n">
        <f aca="false">$J363-$F363</f>
        <v>0</v>
      </c>
      <c r="L363" s="27" t="str">
        <f aca="false">IF($D363=0,"Sem embarque",IF($K363&gt;0,"Recebe","Paga"))</f>
        <v>Sem embarque</v>
      </c>
    </row>
    <row r="364" customFormat="false" ht="15" hidden="false" customHeight="false" outlineLevel="0" collapsed="false">
      <c r="A364" s="27" t="s">
        <v>49</v>
      </c>
      <c r="B364" s="27" t="s">
        <v>38</v>
      </c>
      <c r="C364" s="27" t="s">
        <v>111</v>
      </c>
      <c r="D364" s="34" t="n">
        <f aca="false">SUMIFS(Desconto_Cliente_Mes!$D$2:$D$433,Desconto_Cliente_Mes!$A$2:$A$433,$A364,Desconto_Cliente_Mes!$B$2:$B$433,$B364,Desconto_Cliente_Mes!$C$2:$C$433,$C364)</f>
        <v>0</v>
      </c>
      <c r="E364" s="37" t="str">
        <f aca="false">INDEX(Desconto_Cliente_Mes!$K$2:$K$433,MATCH($A364&amp;"|"&amp;$B364&amp;"|"&amp;$C364,Desconto_Cliente_Mes!$W$2:$W$433,0))</f>
        <v/>
      </c>
      <c r="F364" s="39" t="n">
        <f aca="false">SUMIFS(Desconto_Cliente_Mes!$U$2:$U$433,Desconto_Cliente_Mes!$A$2:$A$433,$A364,Desconto_Cliente_Mes!$B$2:$B$433,$B364,Desconto_Cliente_Mes!$C$2:$C$433,$C364)</f>
        <v>0</v>
      </c>
      <c r="G364" s="39" t="n">
        <f aca="false">SUMIFS(Desconto_Cliente_Mes!$U$2:$U$433,Desconto_Cliente_Mes!$B$2:$B$433,$B364,Desconto_Cliente_Mes!$C$2:$C$433,$C364,Desconto_Cliente_Mes!$K$2:$K$433,"Sim")</f>
        <v>71216.4191325092</v>
      </c>
      <c r="H364" s="37" t="n">
        <f aca="false">SUMIFS(Desconto_Cliente_Mes!$D$2:$D$433,Desconto_Cliente_Mes!$B$2:$B$433,$B364,Desconto_Cliente_Mes!$C$2:$C$433,$C364,Desconto_Cliente_Mes!$K$2:$K$433,"Nao",Desconto_Cliente_Mes!$D$2:$D$433,"&gt;0")</f>
        <v>116867.62</v>
      </c>
      <c r="I364" s="42" t="n">
        <f aca="false">IF(AND($E364="Nao",$D364&gt;0,$H364&gt;0),$D364/$H364,0)</f>
        <v>0</v>
      </c>
      <c r="J364" s="40" t="n">
        <f aca="false">$I364*$G364</f>
        <v>0</v>
      </c>
      <c r="K364" s="40" t="n">
        <f aca="false">$J364-$F364</f>
        <v>0</v>
      </c>
      <c r="L364" s="27" t="str">
        <f aca="false">IF($D364=0,"Sem embarque",IF($K364&gt;0,"Recebe","Paga"))</f>
        <v>Sem embarque</v>
      </c>
    </row>
    <row r="365" customFormat="false" ht="15" hidden="false" customHeight="false" outlineLevel="0" collapsed="false">
      <c r="A365" s="27" t="s">
        <v>49</v>
      </c>
      <c r="B365" s="27" t="s">
        <v>59</v>
      </c>
      <c r="C365" s="27" t="s">
        <v>109</v>
      </c>
      <c r="D365" s="34" t="n">
        <f aca="false">SUMIFS(Desconto_Cliente_Mes!$D$2:$D$433,Desconto_Cliente_Mes!$A$2:$A$433,$A365,Desconto_Cliente_Mes!$B$2:$B$433,$B365,Desconto_Cliente_Mes!$C$2:$C$433,$C365)</f>
        <v>0</v>
      </c>
      <c r="E365" s="37" t="str">
        <f aca="false">INDEX(Desconto_Cliente_Mes!$K$2:$K$433,MATCH($A365&amp;"|"&amp;$B365&amp;"|"&amp;$C365,Desconto_Cliente_Mes!$W$2:$W$433,0))</f>
        <v/>
      </c>
      <c r="F365" s="39" t="n">
        <f aca="false">SUMIFS(Desconto_Cliente_Mes!$U$2:$U$433,Desconto_Cliente_Mes!$A$2:$A$433,$A365,Desconto_Cliente_Mes!$B$2:$B$433,$B365,Desconto_Cliente_Mes!$C$2:$C$433,$C365)</f>
        <v>0</v>
      </c>
      <c r="G365" s="39" t="n">
        <f aca="false">SUMIFS(Desconto_Cliente_Mes!$U$2:$U$433,Desconto_Cliente_Mes!$B$2:$B$433,$B365,Desconto_Cliente_Mes!$C$2:$C$433,$C365,Desconto_Cliente_Mes!$K$2:$K$433,"Sim")</f>
        <v>166858.825867758</v>
      </c>
      <c r="H365" s="37" t="n">
        <f aca="false">SUMIFS(Desconto_Cliente_Mes!$D$2:$D$433,Desconto_Cliente_Mes!$B$2:$B$433,$B365,Desconto_Cliente_Mes!$C$2:$C$433,$C365,Desconto_Cliente_Mes!$K$2:$K$433,"Nao",Desconto_Cliente_Mes!$D$2:$D$433,"&gt;0")</f>
        <v>83594.61</v>
      </c>
      <c r="I365" s="42" t="n">
        <f aca="false">IF(AND($E365="Nao",$D365&gt;0,$H365&gt;0),$D365/$H365,0)</f>
        <v>0</v>
      </c>
      <c r="J365" s="40" t="n">
        <f aca="false">$I365*$G365</f>
        <v>0</v>
      </c>
      <c r="K365" s="40" t="n">
        <f aca="false">$J365-$F365</f>
        <v>0</v>
      </c>
      <c r="L365" s="27" t="str">
        <f aca="false">IF($D365=0,"Sem embarque",IF($K365&gt;0,"Recebe","Paga"))</f>
        <v>Sem embarque</v>
      </c>
    </row>
    <row r="366" customFormat="false" ht="15" hidden="false" customHeight="false" outlineLevel="0" collapsed="false">
      <c r="A366" s="27" t="s">
        <v>49</v>
      </c>
      <c r="B366" s="27" t="s">
        <v>59</v>
      </c>
      <c r="C366" s="27" t="s">
        <v>110</v>
      </c>
      <c r="D366" s="34" t="n">
        <f aca="false">SUMIFS(Desconto_Cliente_Mes!$D$2:$D$433,Desconto_Cliente_Mes!$A$2:$A$433,$A366,Desconto_Cliente_Mes!$B$2:$B$433,$B366,Desconto_Cliente_Mes!$C$2:$C$433,$C366)</f>
        <v>0</v>
      </c>
      <c r="E366" s="37" t="str">
        <f aca="false">INDEX(Desconto_Cliente_Mes!$K$2:$K$433,MATCH($A366&amp;"|"&amp;$B366&amp;"|"&amp;$C366,Desconto_Cliente_Mes!$W$2:$W$433,0))</f>
        <v/>
      </c>
      <c r="F366" s="39" t="n">
        <f aca="false">SUMIFS(Desconto_Cliente_Mes!$U$2:$U$433,Desconto_Cliente_Mes!$A$2:$A$433,$A366,Desconto_Cliente_Mes!$B$2:$B$433,$B366,Desconto_Cliente_Mes!$C$2:$C$433,$C366)</f>
        <v>0</v>
      </c>
      <c r="G366" s="39" t="n">
        <f aca="false">SUMIFS(Desconto_Cliente_Mes!$U$2:$U$433,Desconto_Cliente_Mes!$B$2:$B$433,$B366,Desconto_Cliente_Mes!$C$2:$C$433,$C366,Desconto_Cliente_Mes!$K$2:$K$433,"Sim")</f>
        <v>8132.39257800007</v>
      </c>
      <c r="H366" s="37" t="n">
        <f aca="false">SUMIFS(Desconto_Cliente_Mes!$D$2:$D$433,Desconto_Cliente_Mes!$B$2:$B$433,$B366,Desconto_Cliente_Mes!$C$2:$C$433,$C366,Desconto_Cliente_Mes!$K$2:$K$433,"Nao",Desconto_Cliente_Mes!$D$2:$D$433,"&gt;0")</f>
        <v>289730.52</v>
      </c>
      <c r="I366" s="42" t="n">
        <f aca="false">IF(AND($E366="Nao",$D366&gt;0,$H366&gt;0),$D366/$H366,0)</f>
        <v>0</v>
      </c>
      <c r="J366" s="40" t="n">
        <f aca="false">$I366*$G366</f>
        <v>0</v>
      </c>
      <c r="K366" s="40" t="n">
        <f aca="false">$J366-$F366</f>
        <v>0</v>
      </c>
      <c r="L366" s="27" t="str">
        <f aca="false">IF($D366=0,"Sem embarque",IF($K366&gt;0,"Recebe","Paga"))</f>
        <v>Sem embarque</v>
      </c>
    </row>
    <row r="367" customFormat="false" ht="15" hidden="false" customHeight="false" outlineLevel="0" collapsed="false">
      <c r="A367" s="27" t="s">
        <v>49</v>
      </c>
      <c r="B367" s="27" t="s">
        <v>59</v>
      </c>
      <c r="C367" s="27" t="s">
        <v>111</v>
      </c>
      <c r="D367" s="34" t="n">
        <f aca="false">SUMIFS(Desconto_Cliente_Mes!$D$2:$D$433,Desconto_Cliente_Mes!$A$2:$A$433,$A367,Desconto_Cliente_Mes!$B$2:$B$433,$B367,Desconto_Cliente_Mes!$C$2:$C$433,$C367)</f>
        <v>0</v>
      </c>
      <c r="E367" s="37" t="str">
        <f aca="false">INDEX(Desconto_Cliente_Mes!$K$2:$K$433,MATCH($A367&amp;"|"&amp;$B367&amp;"|"&amp;$C367,Desconto_Cliente_Mes!$W$2:$W$433,0))</f>
        <v/>
      </c>
      <c r="F367" s="39" t="n">
        <f aca="false">SUMIFS(Desconto_Cliente_Mes!$U$2:$U$433,Desconto_Cliente_Mes!$A$2:$A$433,$A367,Desconto_Cliente_Mes!$B$2:$B$433,$B367,Desconto_Cliente_Mes!$C$2:$C$433,$C367)</f>
        <v>0</v>
      </c>
      <c r="G367" s="39" t="n">
        <f aca="false">SUMIFS(Desconto_Cliente_Mes!$U$2:$U$433,Desconto_Cliente_Mes!$B$2:$B$433,$B367,Desconto_Cliente_Mes!$C$2:$C$433,$C367,Desconto_Cliente_Mes!$K$2:$K$433,"Sim")</f>
        <v>47707.8352836299</v>
      </c>
      <c r="H367" s="37" t="n">
        <f aca="false">SUMIFS(Desconto_Cliente_Mes!$D$2:$D$433,Desconto_Cliente_Mes!$B$2:$B$433,$B367,Desconto_Cliente_Mes!$C$2:$C$433,$C367,Desconto_Cliente_Mes!$K$2:$K$433,"Nao",Desconto_Cliente_Mes!$D$2:$D$433,"&gt;0")</f>
        <v>185268.24</v>
      </c>
      <c r="I367" s="42" t="n">
        <f aca="false">IF(AND($E367="Nao",$D367&gt;0,$H367&gt;0),$D367/$H367,0)</f>
        <v>0</v>
      </c>
      <c r="J367" s="40" t="n">
        <f aca="false">$I367*$G367</f>
        <v>0</v>
      </c>
      <c r="K367" s="40" t="n">
        <f aca="false">$J367-$F367</f>
        <v>0</v>
      </c>
      <c r="L367" s="27" t="str">
        <f aca="false">IF($D367=0,"Sem embarque",IF($K367&gt;0,"Recebe","Paga"))</f>
        <v>Sem embarque</v>
      </c>
    </row>
    <row r="368" customFormat="false" ht="15" hidden="false" customHeight="false" outlineLevel="0" collapsed="false">
      <c r="A368" s="27" t="s">
        <v>49</v>
      </c>
      <c r="B368" s="27" t="s">
        <v>60</v>
      </c>
      <c r="C368" s="27" t="s">
        <v>109</v>
      </c>
      <c r="D368" s="34" t="n">
        <f aca="false">SUMIFS(Desconto_Cliente_Mes!$D$2:$D$433,Desconto_Cliente_Mes!$A$2:$A$433,$A368,Desconto_Cliente_Mes!$B$2:$B$433,$B368,Desconto_Cliente_Mes!$C$2:$C$433,$C368)</f>
        <v>0</v>
      </c>
      <c r="E368" s="37" t="str">
        <f aca="false">INDEX(Desconto_Cliente_Mes!$K$2:$K$433,MATCH($A368&amp;"|"&amp;$B368&amp;"|"&amp;$C368,Desconto_Cliente_Mes!$W$2:$W$433,0))</f>
        <v/>
      </c>
      <c r="F368" s="39" t="n">
        <f aca="false">SUMIFS(Desconto_Cliente_Mes!$U$2:$U$433,Desconto_Cliente_Mes!$A$2:$A$433,$A368,Desconto_Cliente_Mes!$B$2:$B$433,$B368,Desconto_Cliente_Mes!$C$2:$C$433,$C368)</f>
        <v>0</v>
      </c>
      <c r="G368" s="39" t="n">
        <f aca="false">SUMIFS(Desconto_Cliente_Mes!$U$2:$U$433,Desconto_Cliente_Mes!$B$2:$B$433,$B368,Desconto_Cliente_Mes!$C$2:$C$433,$C368,Desconto_Cliente_Mes!$K$2:$K$433,"Sim")</f>
        <v>75633.0761548471</v>
      </c>
      <c r="H368" s="37" t="n">
        <f aca="false">SUMIFS(Desconto_Cliente_Mes!$D$2:$D$433,Desconto_Cliente_Mes!$B$2:$B$433,$B368,Desconto_Cliente_Mes!$C$2:$C$433,$C368,Desconto_Cliente_Mes!$K$2:$K$433,"Nao",Desconto_Cliente_Mes!$D$2:$D$433,"&gt;0")</f>
        <v>55750.4</v>
      </c>
      <c r="I368" s="42" t="n">
        <f aca="false">IF(AND($E368="Nao",$D368&gt;0,$H368&gt;0),$D368/$H368,0)</f>
        <v>0</v>
      </c>
      <c r="J368" s="40" t="n">
        <f aca="false">$I368*$G368</f>
        <v>0</v>
      </c>
      <c r="K368" s="40" t="n">
        <f aca="false">$J368-$F368</f>
        <v>0</v>
      </c>
      <c r="L368" s="27" t="str">
        <f aca="false">IF($D368=0,"Sem embarque",IF($K368&gt;0,"Recebe","Paga"))</f>
        <v>Sem embarque</v>
      </c>
    </row>
    <row r="369" customFormat="false" ht="15" hidden="false" customHeight="false" outlineLevel="0" collapsed="false">
      <c r="A369" s="27" t="s">
        <v>49</v>
      </c>
      <c r="B369" s="27" t="s">
        <v>60</v>
      </c>
      <c r="C369" s="27" t="s">
        <v>110</v>
      </c>
      <c r="D369" s="34" t="n">
        <f aca="false">SUMIFS(Desconto_Cliente_Mes!$D$2:$D$433,Desconto_Cliente_Mes!$A$2:$A$433,$A369,Desconto_Cliente_Mes!$B$2:$B$433,$B369,Desconto_Cliente_Mes!$C$2:$C$433,$C369)</f>
        <v>0</v>
      </c>
      <c r="E369" s="37" t="str">
        <f aca="false">INDEX(Desconto_Cliente_Mes!$K$2:$K$433,MATCH($A369&amp;"|"&amp;$B369&amp;"|"&amp;$C369,Desconto_Cliente_Mes!$W$2:$W$433,0))</f>
        <v/>
      </c>
      <c r="F369" s="39" t="n">
        <f aca="false">SUMIFS(Desconto_Cliente_Mes!$U$2:$U$433,Desconto_Cliente_Mes!$A$2:$A$433,$A369,Desconto_Cliente_Mes!$B$2:$B$433,$B369,Desconto_Cliente_Mes!$C$2:$C$433,$C369)</f>
        <v>0</v>
      </c>
      <c r="G369" s="39" t="n">
        <f aca="false">SUMIFS(Desconto_Cliente_Mes!$U$2:$U$433,Desconto_Cliente_Mes!$B$2:$B$433,$B369,Desconto_Cliente_Mes!$C$2:$C$433,$C369,Desconto_Cliente_Mes!$K$2:$K$433,"Sim")</f>
        <v>0</v>
      </c>
      <c r="H369" s="37" t="n">
        <f aca="false">SUMIFS(Desconto_Cliente_Mes!$D$2:$D$433,Desconto_Cliente_Mes!$B$2:$B$433,$B369,Desconto_Cliente_Mes!$C$2:$C$433,$C369,Desconto_Cliente_Mes!$K$2:$K$433,"Nao",Desconto_Cliente_Mes!$D$2:$D$433,"&gt;0")</f>
        <v>240729.22</v>
      </c>
      <c r="I369" s="42" t="n">
        <f aca="false">IF(AND($E369="Nao",$D369&gt;0,$H369&gt;0),$D369/$H369,0)</f>
        <v>0</v>
      </c>
      <c r="J369" s="40" t="n">
        <f aca="false">$I369*$G369</f>
        <v>0</v>
      </c>
      <c r="K369" s="40" t="n">
        <f aca="false">$J369-$F369</f>
        <v>0</v>
      </c>
      <c r="L369" s="27" t="str">
        <f aca="false">IF($D369=0,"Sem embarque",IF($K369&gt;0,"Recebe","Paga"))</f>
        <v>Sem embarque</v>
      </c>
    </row>
    <row r="370" customFormat="false" ht="15" hidden="false" customHeight="false" outlineLevel="0" collapsed="false">
      <c r="A370" s="27" t="s">
        <v>49</v>
      </c>
      <c r="B370" s="27" t="s">
        <v>60</v>
      </c>
      <c r="C370" s="27" t="s">
        <v>111</v>
      </c>
      <c r="D370" s="34" t="n">
        <f aca="false">SUMIFS(Desconto_Cliente_Mes!$D$2:$D$433,Desconto_Cliente_Mes!$A$2:$A$433,$A370,Desconto_Cliente_Mes!$B$2:$B$433,$B370,Desconto_Cliente_Mes!$C$2:$C$433,$C370)</f>
        <v>0</v>
      </c>
      <c r="E370" s="37" t="str">
        <f aca="false">INDEX(Desconto_Cliente_Mes!$K$2:$K$433,MATCH($A370&amp;"|"&amp;$B370&amp;"|"&amp;$C370,Desconto_Cliente_Mes!$W$2:$W$433,0))</f>
        <v/>
      </c>
      <c r="F370" s="39" t="n">
        <f aca="false">SUMIFS(Desconto_Cliente_Mes!$U$2:$U$433,Desconto_Cliente_Mes!$A$2:$A$433,$A370,Desconto_Cliente_Mes!$B$2:$B$433,$B370,Desconto_Cliente_Mes!$C$2:$C$433,$C370)</f>
        <v>0</v>
      </c>
      <c r="G370" s="39" t="n">
        <f aca="false">SUMIFS(Desconto_Cliente_Mes!$U$2:$U$433,Desconto_Cliente_Mes!$B$2:$B$433,$B370,Desconto_Cliente_Mes!$C$2:$C$433,$C370,Desconto_Cliente_Mes!$K$2:$K$433,"Sim")</f>
        <v>15973.4860651284</v>
      </c>
      <c r="H370" s="37" t="n">
        <f aca="false">SUMIFS(Desconto_Cliente_Mes!$D$2:$D$433,Desconto_Cliente_Mes!$B$2:$B$433,$B370,Desconto_Cliente_Mes!$C$2:$C$433,$C370,Desconto_Cliente_Mes!$K$2:$K$433,"Nao",Desconto_Cliente_Mes!$D$2:$D$433,"&gt;0")</f>
        <v>55750.4</v>
      </c>
      <c r="I370" s="42" t="n">
        <f aca="false">IF(AND($E370="Nao",$D370&gt;0,$H370&gt;0),$D370/$H370,0)</f>
        <v>0</v>
      </c>
      <c r="J370" s="40" t="n">
        <f aca="false">$I370*$G370</f>
        <v>0</v>
      </c>
      <c r="K370" s="40" t="n">
        <f aca="false">$J370-$F370</f>
        <v>0</v>
      </c>
      <c r="L370" s="27" t="str">
        <f aca="false">IF($D370=0,"Sem embarque",IF($K370&gt;0,"Recebe","Paga"))</f>
        <v>Sem embarque</v>
      </c>
    </row>
    <row r="371" customFormat="false" ht="15" hidden="false" customHeight="false" outlineLevel="0" collapsed="false">
      <c r="A371" s="27" t="s">
        <v>49</v>
      </c>
      <c r="B371" s="27" t="s">
        <v>61</v>
      </c>
      <c r="C371" s="27" t="s">
        <v>109</v>
      </c>
      <c r="D371" s="34" t="n">
        <f aca="false">SUMIFS(Desconto_Cliente_Mes!$D$2:$D$433,Desconto_Cliente_Mes!$A$2:$A$433,$A371,Desconto_Cliente_Mes!$B$2:$B$433,$B371,Desconto_Cliente_Mes!$C$2:$C$433,$C371)</f>
        <v>0</v>
      </c>
      <c r="E371" s="37" t="str">
        <f aca="false">INDEX(Desconto_Cliente_Mes!$K$2:$K$433,MATCH($A371&amp;"|"&amp;$B371&amp;"|"&amp;$C371,Desconto_Cliente_Mes!$W$2:$W$433,0))</f>
        <v/>
      </c>
      <c r="F371" s="39" t="n">
        <f aca="false">SUMIFS(Desconto_Cliente_Mes!$U$2:$U$433,Desconto_Cliente_Mes!$A$2:$A$433,$A371,Desconto_Cliente_Mes!$B$2:$B$433,$B371,Desconto_Cliente_Mes!$C$2:$C$433,$C371)</f>
        <v>0</v>
      </c>
      <c r="G371" s="39" t="n">
        <f aca="false">SUMIFS(Desconto_Cliente_Mes!$U$2:$U$433,Desconto_Cliente_Mes!$B$2:$B$433,$B371,Desconto_Cliente_Mes!$C$2:$C$433,$C371,Desconto_Cliente_Mes!$K$2:$K$433,"Sim")</f>
        <v>101062.110385431</v>
      </c>
      <c r="H371" s="37" t="n">
        <f aca="false">SUMIFS(Desconto_Cliente_Mes!$D$2:$D$433,Desconto_Cliente_Mes!$B$2:$B$433,$B371,Desconto_Cliente_Mes!$C$2:$C$433,$C371,Desconto_Cliente_Mes!$K$2:$K$433,"Nao",Desconto_Cliente_Mes!$D$2:$D$433,"&gt;0")</f>
        <v>195833.47</v>
      </c>
      <c r="I371" s="42" t="n">
        <f aca="false">IF(AND($E371="Nao",$D371&gt;0,$H371&gt;0),$D371/$H371,0)</f>
        <v>0</v>
      </c>
      <c r="J371" s="40" t="n">
        <f aca="false">$I371*$G371</f>
        <v>0</v>
      </c>
      <c r="K371" s="40" t="n">
        <f aca="false">$J371-$F371</f>
        <v>0</v>
      </c>
      <c r="L371" s="27" t="str">
        <f aca="false">IF($D371=0,"Sem embarque",IF($K371&gt;0,"Recebe","Paga"))</f>
        <v>Sem embarque</v>
      </c>
    </row>
    <row r="372" customFormat="false" ht="15" hidden="false" customHeight="false" outlineLevel="0" collapsed="false">
      <c r="A372" s="27" t="s">
        <v>49</v>
      </c>
      <c r="B372" s="27" t="s">
        <v>61</v>
      </c>
      <c r="C372" s="27" t="s">
        <v>110</v>
      </c>
      <c r="D372" s="34" t="n">
        <f aca="false">SUMIFS(Desconto_Cliente_Mes!$D$2:$D$433,Desconto_Cliente_Mes!$A$2:$A$433,$A372,Desconto_Cliente_Mes!$B$2:$B$433,$B372,Desconto_Cliente_Mes!$C$2:$C$433,$C372)</f>
        <v>0</v>
      </c>
      <c r="E372" s="37" t="str">
        <f aca="false">INDEX(Desconto_Cliente_Mes!$K$2:$K$433,MATCH($A372&amp;"|"&amp;$B372&amp;"|"&amp;$C372,Desconto_Cliente_Mes!$W$2:$W$433,0))</f>
        <v/>
      </c>
      <c r="F372" s="39" t="n">
        <f aca="false">SUMIFS(Desconto_Cliente_Mes!$U$2:$U$433,Desconto_Cliente_Mes!$A$2:$A$433,$A372,Desconto_Cliente_Mes!$B$2:$B$433,$B372,Desconto_Cliente_Mes!$C$2:$C$433,$C372)</f>
        <v>0</v>
      </c>
      <c r="G372" s="39" t="n">
        <f aca="false">SUMIFS(Desconto_Cliente_Mes!$U$2:$U$433,Desconto_Cliente_Mes!$B$2:$B$433,$B372,Desconto_Cliente_Mes!$C$2:$C$433,$C372,Desconto_Cliente_Mes!$K$2:$K$433,"Sim")</f>
        <v>89392.5188999994</v>
      </c>
      <c r="H372" s="37" t="n">
        <f aca="false">SUMIFS(Desconto_Cliente_Mes!$D$2:$D$433,Desconto_Cliente_Mes!$B$2:$B$433,$B372,Desconto_Cliente_Mes!$C$2:$C$433,$C372,Desconto_Cliente_Mes!$K$2:$K$433,"Nao",Desconto_Cliente_Mes!$D$2:$D$433,"&gt;0")</f>
        <v>315561.27</v>
      </c>
      <c r="I372" s="42" t="n">
        <f aca="false">IF(AND($E372="Nao",$D372&gt;0,$H372&gt;0),$D372/$H372,0)</f>
        <v>0</v>
      </c>
      <c r="J372" s="40" t="n">
        <f aca="false">$I372*$G372</f>
        <v>0</v>
      </c>
      <c r="K372" s="40" t="n">
        <f aca="false">$J372-$F372</f>
        <v>0</v>
      </c>
      <c r="L372" s="27" t="str">
        <f aca="false">IF($D372=0,"Sem embarque",IF($K372&gt;0,"Recebe","Paga"))</f>
        <v>Sem embarque</v>
      </c>
    </row>
    <row r="373" customFormat="false" ht="15" hidden="false" customHeight="false" outlineLevel="0" collapsed="false">
      <c r="A373" s="27" t="s">
        <v>49</v>
      </c>
      <c r="B373" s="27" t="s">
        <v>61</v>
      </c>
      <c r="C373" s="27" t="s">
        <v>111</v>
      </c>
      <c r="D373" s="34" t="n">
        <f aca="false">SUMIFS(Desconto_Cliente_Mes!$D$2:$D$433,Desconto_Cliente_Mes!$A$2:$A$433,$A373,Desconto_Cliente_Mes!$B$2:$B$433,$B373,Desconto_Cliente_Mes!$C$2:$C$433,$C373)</f>
        <v>0</v>
      </c>
      <c r="E373" s="37" t="str">
        <f aca="false">INDEX(Desconto_Cliente_Mes!$K$2:$K$433,MATCH($A373&amp;"|"&amp;$B373&amp;"|"&amp;$C373,Desconto_Cliente_Mes!$W$2:$W$433,0))</f>
        <v/>
      </c>
      <c r="F373" s="39" t="n">
        <f aca="false">SUMIFS(Desconto_Cliente_Mes!$U$2:$U$433,Desconto_Cliente_Mes!$A$2:$A$433,$A373,Desconto_Cliente_Mes!$B$2:$B$433,$B373,Desconto_Cliente_Mes!$C$2:$C$433,$C373)</f>
        <v>0</v>
      </c>
      <c r="G373" s="39" t="n">
        <f aca="false">SUMIFS(Desconto_Cliente_Mes!$U$2:$U$433,Desconto_Cliente_Mes!$B$2:$B$433,$B373,Desconto_Cliente_Mes!$C$2:$C$433,$C373,Desconto_Cliente_Mes!$K$2:$K$433,"Sim")</f>
        <v>45945.9604253753</v>
      </c>
      <c r="H373" s="37" t="n">
        <f aca="false">SUMIFS(Desconto_Cliente_Mes!$D$2:$D$433,Desconto_Cliente_Mes!$B$2:$B$433,$B373,Desconto_Cliente_Mes!$C$2:$C$433,$C373,Desconto_Cliente_Mes!$K$2:$K$433,"Nao",Desconto_Cliente_Mes!$D$2:$D$433,"&gt;0")</f>
        <v>238706.16</v>
      </c>
      <c r="I373" s="42" t="n">
        <f aca="false">IF(AND($E373="Nao",$D373&gt;0,$H373&gt;0),$D373/$H373,0)</f>
        <v>0</v>
      </c>
      <c r="J373" s="40" t="n">
        <f aca="false">$I373*$G373</f>
        <v>0</v>
      </c>
      <c r="K373" s="40" t="n">
        <f aca="false">$J373-$F373</f>
        <v>0</v>
      </c>
      <c r="L373" s="27" t="str">
        <f aca="false">IF($D373=0,"Sem embarque",IF($K373&gt;0,"Recebe","Paga"))</f>
        <v>Sem embarque</v>
      </c>
    </row>
    <row r="374" customFormat="false" ht="15" hidden="false" customHeight="false" outlineLevel="0" collapsed="false">
      <c r="A374" s="27" t="s">
        <v>49</v>
      </c>
      <c r="B374" s="27" t="s">
        <v>62</v>
      </c>
      <c r="C374" s="27" t="s">
        <v>109</v>
      </c>
      <c r="D374" s="34" t="n">
        <f aca="false">SUMIFS(Desconto_Cliente_Mes!$D$2:$D$433,Desconto_Cliente_Mes!$A$2:$A$433,$A374,Desconto_Cliente_Mes!$B$2:$B$433,$B374,Desconto_Cliente_Mes!$C$2:$C$433,$C374)</f>
        <v>0</v>
      </c>
      <c r="E374" s="37" t="str">
        <f aca="false">INDEX(Desconto_Cliente_Mes!$K$2:$K$433,MATCH($A374&amp;"|"&amp;$B374&amp;"|"&amp;$C374,Desconto_Cliente_Mes!$W$2:$W$433,0))</f>
        <v/>
      </c>
      <c r="F374" s="39" t="n">
        <f aca="false">SUMIFS(Desconto_Cliente_Mes!$U$2:$U$433,Desconto_Cliente_Mes!$A$2:$A$433,$A374,Desconto_Cliente_Mes!$B$2:$B$433,$B374,Desconto_Cliente_Mes!$C$2:$C$433,$C374)</f>
        <v>0</v>
      </c>
      <c r="G374" s="39" t="n">
        <f aca="false">SUMIFS(Desconto_Cliente_Mes!$U$2:$U$433,Desconto_Cliente_Mes!$B$2:$B$433,$B374,Desconto_Cliente_Mes!$C$2:$C$433,$C374,Desconto_Cliente_Mes!$K$2:$K$433,"Sim")</f>
        <v>82370.9873921197</v>
      </c>
      <c r="H374" s="37" t="n">
        <f aca="false">SUMIFS(Desconto_Cliente_Mes!$D$2:$D$433,Desconto_Cliente_Mes!$B$2:$B$433,$B374,Desconto_Cliente_Mes!$C$2:$C$433,$C374,Desconto_Cliente_Mes!$K$2:$K$433,"Nao",Desconto_Cliente_Mes!$D$2:$D$433,"&gt;0")</f>
        <v>113342.84</v>
      </c>
      <c r="I374" s="42" t="n">
        <f aca="false">IF(AND($E374="Nao",$D374&gt;0,$H374&gt;0),$D374/$H374,0)</f>
        <v>0</v>
      </c>
      <c r="J374" s="40" t="n">
        <f aca="false">$I374*$G374</f>
        <v>0</v>
      </c>
      <c r="K374" s="40" t="n">
        <f aca="false">$J374-$F374</f>
        <v>0</v>
      </c>
      <c r="L374" s="27" t="str">
        <f aca="false">IF($D374=0,"Sem embarque",IF($K374&gt;0,"Recebe","Paga"))</f>
        <v>Sem embarque</v>
      </c>
    </row>
    <row r="375" customFormat="false" ht="15" hidden="false" customHeight="false" outlineLevel="0" collapsed="false">
      <c r="A375" s="27" t="s">
        <v>49</v>
      </c>
      <c r="B375" s="27" t="s">
        <v>62</v>
      </c>
      <c r="C375" s="27" t="s">
        <v>110</v>
      </c>
      <c r="D375" s="34" t="n">
        <f aca="false">SUMIFS(Desconto_Cliente_Mes!$D$2:$D$433,Desconto_Cliente_Mes!$A$2:$A$433,$A375,Desconto_Cliente_Mes!$B$2:$B$433,$B375,Desconto_Cliente_Mes!$C$2:$C$433,$C375)</f>
        <v>0</v>
      </c>
      <c r="E375" s="37" t="str">
        <f aca="false">INDEX(Desconto_Cliente_Mes!$K$2:$K$433,MATCH($A375&amp;"|"&amp;$B375&amp;"|"&amp;$C375,Desconto_Cliente_Mes!$W$2:$W$433,0))</f>
        <v/>
      </c>
      <c r="F375" s="39" t="n">
        <f aca="false">SUMIFS(Desconto_Cliente_Mes!$U$2:$U$433,Desconto_Cliente_Mes!$A$2:$A$433,$A375,Desconto_Cliente_Mes!$B$2:$B$433,$B375,Desconto_Cliente_Mes!$C$2:$C$433,$C375)</f>
        <v>0</v>
      </c>
      <c r="G375" s="39" t="n">
        <f aca="false">SUMIFS(Desconto_Cliente_Mes!$U$2:$U$433,Desconto_Cliente_Mes!$B$2:$B$433,$B375,Desconto_Cliente_Mes!$C$2:$C$433,$C375,Desconto_Cliente_Mes!$K$2:$K$433,"Sim")</f>
        <v>18695.6934849998</v>
      </c>
      <c r="H375" s="37" t="n">
        <f aca="false">SUMIFS(Desconto_Cliente_Mes!$D$2:$D$433,Desconto_Cliente_Mes!$B$2:$B$433,$B375,Desconto_Cliente_Mes!$C$2:$C$433,$C375,Desconto_Cliente_Mes!$K$2:$K$433,"Nao",Desconto_Cliente_Mes!$D$2:$D$433,"&gt;0")</f>
        <v>209144.13</v>
      </c>
      <c r="I375" s="42" t="n">
        <f aca="false">IF(AND($E375="Nao",$D375&gt;0,$H375&gt;0),$D375/$H375,0)</f>
        <v>0</v>
      </c>
      <c r="J375" s="40" t="n">
        <f aca="false">$I375*$G375</f>
        <v>0</v>
      </c>
      <c r="K375" s="40" t="n">
        <f aca="false">$J375-$F375</f>
        <v>0</v>
      </c>
      <c r="L375" s="27" t="str">
        <f aca="false">IF($D375=0,"Sem embarque",IF($K375&gt;0,"Recebe","Paga"))</f>
        <v>Sem embarque</v>
      </c>
    </row>
    <row r="376" customFormat="false" ht="15" hidden="false" customHeight="false" outlineLevel="0" collapsed="false">
      <c r="A376" s="27" t="s">
        <v>49</v>
      </c>
      <c r="B376" s="27" t="s">
        <v>62</v>
      </c>
      <c r="C376" s="27" t="s">
        <v>111</v>
      </c>
      <c r="D376" s="34" t="n">
        <f aca="false">SUMIFS(Desconto_Cliente_Mes!$D$2:$D$433,Desconto_Cliente_Mes!$A$2:$A$433,$A376,Desconto_Cliente_Mes!$B$2:$B$433,$B376,Desconto_Cliente_Mes!$C$2:$C$433,$C376)</f>
        <v>0</v>
      </c>
      <c r="E376" s="37" t="str">
        <f aca="false">INDEX(Desconto_Cliente_Mes!$K$2:$K$433,MATCH($A376&amp;"|"&amp;$B376&amp;"|"&amp;$C376,Desconto_Cliente_Mes!$W$2:$W$433,0))</f>
        <v/>
      </c>
      <c r="F376" s="39" t="n">
        <f aca="false">SUMIFS(Desconto_Cliente_Mes!$U$2:$U$433,Desconto_Cliente_Mes!$A$2:$A$433,$A376,Desconto_Cliente_Mes!$B$2:$B$433,$B376,Desconto_Cliente_Mes!$C$2:$C$433,$C376)</f>
        <v>0</v>
      </c>
      <c r="G376" s="39" t="n">
        <f aca="false">SUMIFS(Desconto_Cliente_Mes!$U$2:$U$433,Desconto_Cliente_Mes!$B$2:$B$433,$B376,Desconto_Cliente_Mes!$C$2:$C$433,$C376,Desconto_Cliente_Mes!$K$2:$K$433,"Sim")</f>
        <v>34643.0933013345</v>
      </c>
      <c r="H376" s="37" t="n">
        <f aca="false">SUMIFS(Desconto_Cliente_Mes!$D$2:$D$433,Desconto_Cliente_Mes!$B$2:$B$433,$B376,Desconto_Cliente_Mes!$C$2:$C$433,$C376,Desconto_Cliente_Mes!$K$2:$K$433,"Nao",Desconto_Cliente_Mes!$D$2:$D$433,"&gt;0")</f>
        <v>157163.21</v>
      </c>
      <c r="I376" s="42" t="n">
        <f aca="false">IF(AND($E376="Nao",$D376&gt;0,$H376&gt;0),$D376/$H376,0)</f>
        <v>0</v>
      </c>
      <c r="J376" s="40" t="n">
        <f aca="false">$I376*$G376</f>
        <v>0</v>
      </c>
      <c r="K376" s="40" t="n">
        <f aca="false">$J376-$F376</f>
        <v>0</v>
      </c>
      <c r="L376" s="27" t="str">
        <f aca="false">IF($D376=0,"Sem embarque",IF($K376&gt;0,"Recebe","Paga"))</f>
        <v>Sem embarque</v>
      </c>
    </row>
    <row r="377" customFormat="false" ht="15" hidden="false" customHeight="false" outlineLevel="0" collapsed="false">
      <c r="A377" s="27" t="s">
        <v>49</v>
      </c>
      <c r="B377" s="27" t="s">
        <v>63</v>
      </c>
      <c r="C377" s="27" t="s">
        <v>109</v>
      </c>
      <c r="D377" s="34" t="n">
        <f aca="false">SUMIFS(Desconto_Cliente_Mes!$D$2:$D$433,Desconto_Cliente_Mes!$A$2:$A$433,$A377,Desconto_Cliente_Mes!$B$2:$B$433,$B377,Desconto_Cliente_Mes!$C$2:$C$433,$C377)</f>
        <v>0</v>
      </c>
      <c r="E377" s="37" t="str">
        <f aca="false">INDEX(Desconto_Cliente_Mes!$K$2:$K$433,MATCH($A377&amp;"|"&amp;$B377&amp;"|"&amp;$C377,Desconto_Cliente_Mes!$W$2:$W$433,0))</f>
        <v/>
      </c>
      <c r="F377" s="39" t="n">
        <f aca="false">SUMIFS(Desconto_Cliente_Mes!$U$2:$U$433,Desconto_Cliente_Mes!$A$2:$A$433,$A377,Desconto_Cliente_Mes!$B$2:$B$433,$B377,Desconto_Cliente_Mes!$C$2:$C$433,$C377)</f>
        <v>0</v>
      </c>
      <c r="G377" s="39" t="n">
        <f aca="false">SUMIFS(Desconto_Cliente_Mes!$U$2:$U$433,Desconto_Cliente_Mes!$B$2:$B$433,$B377,Desconto_Cliente_Mes!$C$2:$C$433,$C377,Desconto_Cliente_Mes!$K$2:$K$433,"Sim")</f>
        <v>47810.1541211094</v>
      </c>
      <c r="H377" s="37" t="n">
        <f aca="false">SUMIFS(Desconto_Cliente_Mes!$D$2:$D$433,Desconto_Cliente_Mes!$B$2:$B$433,$B377,Desconto_Cliente_Mes!$C$2:$C$433,$C377,Desconto_Cliente_Mes!$K$2:$K$433,"Nao",Desconto_Cliente_Mes!$D$2:$D$433,"&gt;0")</f>
        <v>127871.4</v>
      </c>
      <c r="I377" s="42" t="n">
        <f aca="false">IF(AND($E377="Nao",$D377&gt;0,$H377&gt;0),$D377/$H377,0)</f>
        <v>0</v>
      </c>
      <c r="J377" s="40" t="n">
        <f aca="false">$I377*$G377</f>
        <v>0</v>
      </c>
      <c r="K377" s="40" t="n">
        <f aca="false">$J377-$F377</f>
        <v>0</v>
      </c>
      <c r="L377" s="27" t="str">
        <f aca="false">IF($D377=0,"Sem embarque",IF($K377&gt;0,"Recebe","Paga"))</f>
        <v>Sem embarque</v>
      </c>
    </row>
    <row r="378" customFormat="false" ht="15" hidden="false" customHeight="false" outlineLevel="0" collapsed="false">
      <c r="A378" s="27" t="s">
        <v>49</v>
      </c>
      <c r="B378" s="27" t="s">
        <v>63</v>
      </c>
      <c r="C378" s="27" t="s">
        <v>110</v>
      </c>
      <c r="D378" s="34" t="n">
        <f aca="false">SUMIFS(Desconto_Cliente_Mes!$D$2:$D$433,Desconto_Cliente_Mes!$A$2:$A$433,$A378,Desconto_Cliente_Mes!$B$2:$B$433,$B378,Desconto_Cliente_Mes!$C$2:$C$433,$C378)</f>
        <v>0</v>
      </c>
      <c r="E378" s="37" t="str">
        <f aca="false">INDEX(Desconto_Cliente_Mes!$K$2:$K$433,MATCH($A378&amp;"|"&amp;$B378&amp;"|"&amp;$C378,Desconto_Cliente_Mes!$W$2:$W$433,0))</f>
        <v/>
      </c>
      <c r="F378" s="39" t="n">
        <f aca="false">SUMIFS(Desconto_Cliente_Mes!$U$2:$U$433,Desconto_Cliente_Mes!$A$2:$A$433,$A378,Desconto_Cliente_Mes!$B$2:$B$433,$B378,Desconto_Cliente_Mes!$C$2:$C$433,$C378)</f>
        <v>0</v>
      </c>
      <c r="G378" s="39" t="n">
        <f aca="false">SUMIFS(Desconto_Cliente_Mes!$U$2:$U$433,Desconto_Cliente_Mes!$B$2:$B$433,$B378,Desconto_Cliente_Mes!$C$2:$C$433,$C378,Desconto_Cliente_Mes!$K$2:$K$433,"Sim")</f>
        <v>147648.667120088</v>
      </c>
      <c r="H378" s="37" t="n">
        <f aca="false">SUMIFS(Desconto_Cliente_Mes!$D$2:$D$433,Desconto_Cliente_Mes!$B$2:$B$433,$B378,Desconto_Cliente_Mes!$C$2:$C$433,$C378,Desconto_Cliente_Mes!$K$2:$K$433,"Nao",Desconto_Cliente_Mes!$D$2:$D$433,"&gt;0")</f>
        <v>232651.12</v>
      </c>
      <c r="I378" s="42" t="n">
        <f aca="false">IF(AND($E378="Nao",$D378&gt;0,$H378&gt;0),$D378/$H378,0)</f>
        <v>0</v>
      </c>
      <c r="J378" s="40" t="n">
        <f aca="false">$I378*$G378</f>
        <v>0</v>
      </c>
      <c r="K378" s="40" t="n">
        <f aca="false">$J378-$F378</f>
        <v>0</v>
      </c>
      <c r="L378" s="27" t="str">
        <f aca="false">IF($D378=0,"Sem embarque",IF($K378&gt;0,"Recebe","Paga"))</f>
        <v>Sem embarque</v>
      </c>
    </row>
    <row r="379" customFormat="false" ht="15" hidden="false" customHeight="false" outlineLevel="0" collapsed="false">
      <c r="A379" s="27" t="s">
        <v>49</v>
      </c>
      <c r="B379" s="27" t="s">
        <v>63</v>
      </c>
      <c r="C379" s="27" t="s">
        <v>111</v>
      </c>
      <c r="D379" s="34" t="n">
        <f aca="false">SUMIFS(Desconto_Cliente_Mes!$D$2:$D$433,Desconto_Cliente_Mes!$A$2:$A$433,$A379,Desconto_Cliente_Mes!$B$2:$B$433,$B379,Desconto_Cliente_Mes!$C$2:$C$433,$C379)</f>
        <v>0</v>
      </c>
      <c r="E379" s="37" t="str">
        <f aca="false">INDEX(Desconto_Cliente_Mes!$K$2:$K$433,MATCH($A379&amp;"|"&amp;$B379&amp;"|"&amp;$C379,Desconto_Cliente_Mes!$W$2:$W$433,0))</f>
        <v/>
      </c>
      <c r="F379" s="39" t="n">
        <f aca="false">SUMIFS(Desconto_Cliente_Mes!$U$2:$U$433,Desconto_Cliente_Mes!$A$2:$A$433,$A379,Desconto_Cliente_Mes!$B$2:$B$433,$B379,Desconto_Cliente_Mes!$C$2:$C$433,$C379)</f>
        <v>0</v>
      </c>
      <c r="G379" s="39" t="n">
        <f aca="false">SUMIFS(Desconto_Cliente_Mes!$U$2:$U$433,Desconto_Cliente_Mes!$B$2:$B$433,$B379,Desconto_Cliente_Mes!$C$2:$C$433,$C379,Desconto_Cliente_Mes!$K$2:$K$433,"Sim")</f>
        <v>31621.0546248943</v>
      </c>
      <c r="H379" s="37" t="n">
        <f aca="false">SUMIFS(Desconto_Cliente_Mes!$D$2:$D$433,Desconto_Cliente_Mes!$B$2:$B$433,$B379,Desconto_Cliente_Mes!$C$2:$C$433,$C379,Desconto_Cliente_Mes!$K$2:$K$433,"Nao",Desconto_Cliente_Mes!$D$2:$D$433,"&gt;0")</f>
        <v>127871.4</v>
      </c>
      <c r="I379" s="42" t="n">
        <f aca="false">IF(AND($E379="Nao",$D379&gt;0,$H379&gt;0),$D379/$H379,0)</f>
        <v>0</v>
      </c>
      <c r="J379" s="40" t="n">
        <f aca="false">$I379*$G379</f>
        <v>0</v>
      </c>
      <c r="K379" s="40" t="n">
        <f aca="false">$J379-$F379</f>
        <v>0</v>
      </c>
      <c r="L379" s="27" t="str">
        <f aca="false">IF($D379=0,"Sem embarque",IF($K379&gt;0,"Recebe","Paga"))</f>
        <v>Sem embarque</v>
      </c>
    </row>
    <row r="380" customFormat="false" ht="15" hidden="false" customHeight="false" outlineLevel="0" collapsed="false">
      <c r="A380" s="27" t="s">
        <v>49</v>
      </c>
      <c r="B380" s="27" t="s">
        <v>64</v>
      </c>
      <c r="C380" s="27" t="s">
        <v>109</v>
      </c>
      <c r="D380" s="34" t="n">
        <f aca="false">SUMIFS(Desconto_Cliente_Mes!$D$2:$D$433,Desconto_Cliente_Mes!$A$2:$A$433,$A380,Desconto_Cliente_Mes!$B$2:$B$433,$B380,Desconto_Cliente_Mes!$C$2:$C$433,$C380)</f>
        <v>0</v>
      </c>
      <c r="E380" s="37" t="str">
        <f aca="false">INDEX(Desconto_Cliente_Mes!$K$2:$K$433,MATCH($A380&amp;"|"&amp;$B380&amp;"|"&amp;$C380,Desconto_Cliente_Mes!$W$2:$W$433,0))</f>
        <v/>
      </c>
      <c r="F380" s="39" t="n">
        <f aca="false">SUMIFS(Desconto_Cliente_Mes!$U$2:$U$433,Desconto_Cliente_Mes!$A$2:$A$433,$A380,Desconto_Cliente_Mes!$B$2:$B$433,$B380,Desconto_Cliente_Mes!$C$2:$C$433,$C380)</f>
        <v>0</v>
      </c>
      <c r="G380" s="39" t="n">
        <f aca="false">SUMIFS(Desconto_Cliente_Mes!$U$2:$U$433,Desconto_Cliente_Mes!$B$2:$B$433,$B380,Desconto_Cliente_Mes!$C$2:$C$433,$C380,Desconto_Cliente_Mes!$K$2:$K$433,"Sim")</f>
        <v>176913.022848898</v>
      </c>
      <c r="H380" s="37" t="n">
        <f aca="false">SUMIFS(Desconto_Cliente_Mes!$D$2:$D$433,Desconto_Cliente_Mes!$B$2:$B$433,$B380,Desconto_Cliente_Mes!$C$2:$C$433,$C380,Desconto_Cliente_Mes!$K$2:$K$433,"Nao",Desconto_Cliente_Mes!$D$2:$D$433,"&gt;0")</f>
        <v>227119.227</v>
      </c>
      <c r="I380" s="42" t="n">
        <f aca="false">IF(AND($E380="Nao",$D380&gt;0,$H380&gt;0),$D380/$H380,0)</f>
        <v>0</v>
      </c>
      <c r="J380" s="40" t="n">
        <f aca="false">$I380*$G380</f>
        <v>0</v>
      </c>
      <c r="K380" s="40" t="n">
        <f aca="false">$J380-$F380</f>
        <v>0</v>
      </c>
      <c r="L380" s="27" t="str">
        <f aca="false">IF($D380=0,"Sem embarque",IF($K380&gt;0,"Recebe","Paga"))</f>
        <v>Sem embarque</v>
      </c>
    </row>
    <row r="381" customFormat="false" ht="15" hidden="false" customHeight="false" outlineLevel="0" collapsed="false">
      <c r="A381" s="27" t="s">
        <v>49</v>
      </c>
      <c r="B381" s="27" t="s">
        <v>64</v>
      </c>
      <c r="C381" s="27" t="s">
        <v>110</v>
      </c>
      <c r="D381" s="34" t="n">
        <f aca="false">SUMIFS(Desconto_Cliente_Mes!$D$2:$D$433,Desconto_Cliente_Mes!$A$2:$A$433,$A381,Desconto_Cliente_Mes!$B$2:$B$433,$B381,Desconto_Cliente_Mes!$C$2:$C$433,$C381)</f>
        <v>0</v>
      </c>
      <c r="E381" s="37" t="str">
        <f aca="false">INDEX(Desconto_Cliente_Mes!$K$2:$K$433,MATCH($A381&amp;"|"&amp;$B381&amp;"|"&amp;$C381,Desconto_Cliente_Mes!$W$2:$W$433,0))</f>
        <v/>
      </c>
      <c r="F381" s="39" t="n">
        <f aca="false">SUMIFS(Desconto_Cliente_Mes!$U$2:$U$433,Desconto_Cliente_Mes!$A$2:$A$433,$A381,Desconto_Cliente_Mes!$B$2:$B$433,$B381,Desconto_Cliente_Mes!$C$2:$C$433,$C381)</f>
        <v>0</v>
      </c>
      <c r="G381" s="39" t="n">
        <f aca="false">SUMIFS(Desconto_Cliente_Mes!$U$2:$U$433,Desconto_Cliente_Mes!$B$2:$B$433,$B381,Desconto_Cliente_Mes!$C$2:$C$433,$C381,Desconto_Cliente_Mes!$K$2:$K$433,"Sim")</f>
        <v>78148.4030953999</v>
      </c>
      <c r="H381" s="37" t="n">
        <f aca="false">SUMIFS(Desconto_Cliente_Mes!$D$2:$D$433,Desconto_Cliente_Mes!$B$2:$B$433,$B381,Desconto_Cliente_Mes!$C$2:$C$433,$C381,Desconto_Cliente_Mes!$K$2:$K$433,"Nao",Desconto_Cliente_Mes!$D$2:$D$433,"&gt;0")</f>
        <v>367366.52</v>
      </c>
      <c r="I381" s="42" t="n">
        <f aca="false">IF(AND($E381="Nao",$D381&gt;0,$H381&gt;0),$D381/$H381,0)</f>
        <v>0</v>
      </c>
      <c r="J381" s="40" t="n">
        <f aca="false">$I381*$G381</f>
        <v>0</v>
      </c>
      <c r="K381" s="40" t="n">
        <f aca="false">$J381-$F381</f>
        <v>0</v>
      </c>
      <c r="L381" s="27" t="str">
        <f aca="false">IF($D381=0,"Sem embarque",IF($K381&gt;0,"Recebe","Paga"))</f>
        <v>Sem embarque</v>
      </c>
    </row>
    <row r="382" customFormat="false" ht="15" hidden="false" customHeight="false" outlineLevel="0" collapsed="false">
      <c r="A382" s="27" t="s">
        <v>49</v>
      </c>
      <c r="B382" s="27" t="s">
        <v>64</v>
      </c>
      <c r="C382" s="27" t="s">
        <v>111</v>
      </c>
      <c r="D382" s="34" t="n">
        <f aca="false">SUMIFS(Desconto_Cliente_Mes!$D$2:$D$433,Desconto_Cliente_Mes!$A$2:$A$433,$A382,Desconto_Cliente_Mes!$B$2:$B$433,$B382,Desconto_Cliente_Mes!$C$2:$C$433,$C382)</f>
        <v>0</v>
      </c>
      <c r="E382" s="37" t="str">
        <f aca="false">INDEX(Desconto_Cliente_Mes!$K$2:$K$433,MATCH($A382&amp;"|"&amp;$B382&amp;"|"&amp;$C382,Desconto_Cliente_Mes!$W$2:$W$433,0))</f>
        <v/>
      </c>
      <c r="F382" s="39" t="n">
        <f aca="false">SUMIFS(Desconto_Cliente_Mes!$U$2:$U$433,Desconto_Cliente_Mes!$A$2:$A$433,$A382,Desconto_Cliente_Mes!$B$2:$B$433,$B382,Desconto_Cliente_Mes!$C$2:$C$433,$C382)</f>
        <v>0</v>
      </c>
      <c r="G382" s="39" t="n">
        <f aca="false">SUMIFS(Desconto_Cliente_Mes!$U$2:$U$433,Desconto_Cliente_Mes!$B$2:$B$433,$B382,Desconto_Cliente_Mes!$C$2:$C$433,$C382,Desconto_Cliente_Mes!$K$2:$K$433,"Sim")</f>
        <v>53234.6338979999</v>
      </c>
      <c r="H382" s="37" t="n">
        <f aca="false">SUMIFS(Desconto_Cliente_Mes!$D$2:$D$433,Desconto_Cliente_Mes!$B$2:$B$433,$B382,Desconto_Cliente_Mes!$C$2:$C$433,$C382,Desconto_Cliente_Mes!$K$2:$K$433,"Nao",Desconto_Cliente_Mes!$D$2:$D$433,"&gt;0")</f>
        <v>250467.867</v>
      </c>
      <c r="I382" s="42" t="n">
        <f aca="false">IF(AND($E382="Nao",$D382&gt;0,$H382&gt;0),$D382/$H382,0)</f>
        <v>0</v>
      </c>
      <c r="J382" s="40" t="n">
        <f aca="false">$I382*$G382</f>
        <v>0</v>
      </c>
      <c r="K382" s="40" t="n">
        <f aca="false">$J382-$F382</f>
        <v>0</v>
      </c>
      <c r="L382" s="27" t="str">
        <f aca="false">IF($D382=0,"Sem embarque",IF($K382&gt;0,"Recebe","Paga"))</f>
        <v>Sem embarque</v>
      </c>
    </row>
    <row r="383" customFormat="false" ht="15" hidden="false" customHeight="false" outlineLevel="0" collapsed="false">
      <c r="A383" s="27" t="s">
        <v>49</v>
      </c>
      <c r="B383" s="27" t="s">
        <v>65</v>
      </c>
      <c r="C383" s="27" t="s">
        <v>109</v>
      </c>
      <c r="D383" s="34" t="n">
        <f aca="false">SUMIFS(Desconto_Cliente_Mes!$D$2:$D$433,Desconto_Cliente_Mes!$A$2:$A$433,$A383,Desconto_Cliente_Mes!$B$2:$B$433,$B383,Desconto_Cliente_Mes!$C$2:$C$433,$C383)</f>
        <v>0</v>
      </c>
      <c r="E383" s="37" t="str">
        <f aca="false">INDEX(Desconto_Cliente_Mes!$K$2:$K$433,MATCH($A383&amp;"|"&amp;$B383&amp;"|"&amp;$C383,Desconto_Cliente_Mes!$W$2:$W$433,0))</f>
        <v/>
      </c>
      <c r="F383" s="39" t="n">
        <f aca="false">SUMIFS(Desconto_Cliente_Mes!$U$2:$U$433,Desconto_Cliente_Mes!$A$2:$A$433,$A383,Desconto_Cliente_Mes!$B$2:$B$433,$B383,Desconto_Cliente_Mes!$C$2:$C$433,$C383)</f>
        <v>0</v>
      </c>
      <c r="G383" s="39" t="n">
        <f aca="false">SUMIFS(Desconto_Cliente_Mes!$U$2:$U$433,Desconto_Cliente_Mes!$B$2:$B$433,$B383,Desconto_Cliente_Mes!$C$2:$C$433,$C383,Desconto_Cliente_Mes!$K$2:$K$433,"Sim")</f>
        <v>264399.663796851</v>
      </c>
      <c r="H383" s="37" t="n">
        <f aca="false">SUMIFS(Desconto_Cliente_Mes!$D$2:$D$433,Desconto_Cliente_Mes!$B$2:$B$433,$B383,Desconto_Cliente_Mes!$C$2:$C$433,$C383,Desconto_Cliente_Mes!$K$2:$K$433,"Nao",Desconto_Cliente_Mes!$D$2:$D$433,"&gt;0")</f>
        <v>166556.65</v>
      </c>
      <c r="I383" s="42" t="n">
        <f aca="false">IF(AND($E383="Nao",$D383&gt;0,$H383&gt;0),$D383/$H383,0)</f>
        <v>0</v>
      </c>
      <c r="J383" s="40" t="n">
        <f aca="false">$I383*$G383</f>
        <v>0</v>
      </c>
      <c r="K383" s="40" t="n">
        <f aca="false">$J383-$F383</f>
        <v>0</v>
      </c>
      <c r="L383" s="27" t="str">
        <f aca="false">IF($D383=0,"Sem embarque",IF($K383&gt;0,"Recebe","Paga"))</f>
        <v>Sem embarque</v>
      </c>
    </row>
    <row r="384" customFormat="false" ht="15" hidden="false" customHeight="false" outlineLevel="0" collapsed="false">
      <c r="A384" s="27" t="s">
        <v>49</v>
      </c>
      <c r="B384" s="27" t="s">
        <v>65</v>
      </c>
      <c r="C384" s="27" t="s">
        <v>110</v>
      </c>
      <c r="D384" s="34" t="n">
        <f aca="false">SUMIFS(Desconto_Cliente_Mes!$D$2:$D$433,Desconto_Cliente_Mes!$A$2:$A$433,$A384,Desconto_Cliente_Mes!$B$2:$B$433,$B384,Desconto_Cliente_Mes!$C$2:$C$433,$C384)</f>
        <v>0</v>
      </c>
      <c r="E384" s="37" t="str">
        <f aca="false">INDEX(Desconto_Cliente_Mes!$K$2:$K$433,MATCH($A384&amp;"|"&amp;$B384&amp;"|"&amp;$C384,Desconto_Cliente_Mes!$W$2:$W$433,0))</f>
        <v/>
      </c>
      <c r="F384" s="39" t="n">
        <f aca="false">SUMIFS(Desconto_Cliente_Mes!$U$2:$U$433,Desconto_Cliente_Mes!$A$2:$A$433,$A384,Desconto_Cliente_Mes!$B$2:$B$433,$B384,Desconto_Cliente_Mes!$C$2:$C$433,$C384)</f>
        <v>0</v>
      </c>
      <c r="G384" s="39" t="n">
        <f aca="false">SUMIFS(Desconto_Cliente_Mes!$U$2:$U$433,Desconto_Cliente_Mes!$B$2:$B$433,$B384,Desconto_Cliente_Mes!$C$2:$C$433,$C384,Desconto_Cliente_Mes!$K$2:$K$433,"Sim")</f>
        <v>54942.617336</v>
      </c>
      <c r="H384" s="37" t="n">
        <f aca="false">SUMIFS(Desconto_Cliente_Mes!$D$2:$D$433,Desconto_Cliente_Mes!$B$2:$B$433,$B384,Desconto_Cliente_Mes!$C$2:$C$433,$C384,Desconto_Cliente_Mes!$K$2:$K$433,"Nao",Desconto_Cliente_Mes!$D$2:$D$433,"&gt;0")</f>
        <v>378160.7</v>
      </c>
      <c r="I384" s="42" t="n">
        <f aca="false">IF(AND($E384="Nao",$D384&gt;0,$H384&gt;0),$D384/$H384,0)</f>
        <v>0</v>
      </c>
      <c r="J384" s="40" t="n">
        <f aca="false">$I384*$G384</f>
        <v>0</v>
      </c>
      <c r="K384" s="40" t="n">
        <f aca="false">$J384-$F384</f>
        <v>0</v>
      </c>
      <c r="L384" s="27" t="str">
        <f aca="false">IF($D384=0,"Sem embarque",IF($K384&gt;0,"Recebe","Paga"))</f>
        <v>Sem embarque</v>
      </c>
    </row>
    <row r="385" customFormat="false" ht="15" hidden="false" customHeight="false" outlineLevel="0" collapsed="false">
      <c r="A385" s="27" t="s">
        <v>49</v>
      </c>
      <c r="B385" s="27" t="s">
        <v>65</v>
      </c>
      <c r="C385" s="27" t="s">
        <v>111</v>
      </c>
      <c r="D385" s="34" t="n">
        <f aca="false">SUMIFS(Desconto_Cliente_Mes!$D$2:$D$433,Desconto_Cliente_Mes!$A$2:$A$433,$A385,Desconto_Cliente_Mes!$B$2:$B$433,$B385,Desconto_Cliente_Mes!$C$2:$C$433,$C385)</f>
        <v>0</v>
      </c>
      <c r="E385" s="37" t="str">
        <f aca="false">INDEX(Desconto_Cliente_Mes!$K$2:$K$433,MATCH($A385&amp;"|"&amp;$B385&amp;"|"&amp;$C385,Desconto_Cliente_Mes!$W$2:$W$433,0))</f>
        <v/>
      </c>
      <c r="F385" s="39" t="n">
        <f aca="false">SUMIFS(Desconto_Cliente_Mes!$U$2:$U$433,Desconto_Cliente_Mes!$A$2:$A$433,$A385,Desconto_Cliente_Mes!$B$2:$B$433,$B385,Desconto_Cliente_Mes!$C$2:$C$433,$C385)</f>
        <v>0</v>
      </c>
      <c r="G385" s="39" t="n">
        <f aca="false">SUMIFS(Desconto_Cliente_Mes!$U$2:$U$433,Desconto_Cliente_Mes!$B$2:$B$433,$B385,Desconto_Cliente_Mes!$C$2:$C$433,$C385,Desconto_Cliente_Mes!$K$2:$K$433,"Sim")</f>
        <v>131995.749729693</v>
      </c>
      <c r="H385" s="37" t="n">
        <f aca="false">SUMIFS(Desconto_Cliente_Mes!$D$2:$D$433,Desconto_Cliente_Mes!$B$2:$B$433,$B385,Desconto_Cliente_Mes!$C$2:$C$433,$C385,Desconto_Cliente_Mes!$K$2:$K$433,"Nao",Desconto_Cliente_Mes!$D$2:$D$433,"&gt;0")</f>
        <v>132693.79</v>
      </c>
      <c r="I385" s="42" t="n">
        <f aca="false">IF(AND($E385="Nao",$D385&gt;0,$H385&gt;0),$D385/$H385,0)</f>
        <v>0</v>
      </c>
      <c r="J385" s="40" t="n">
        <f aca="false">$I385*$G385</f>
        <v>0</v>
      </c>
      <c r="K385" s="40" t="n">
        <f aca="false">$J385-$F385</f>
        <v>0</v>
      </c>
      <c r="L385" s="27" t="str">
        <f aca="false">IF($D385=0,"Sem embarque",IF($K385&gt;0,"Recebe","Paga"))</f>
        <v>Sem embarque</v>
      </c>
    </row>
    <row r="386" customFormat="false" ht="15" hidden="false" customHeight="false" outlineLevel="0" collapsed="false">
      <c r="A386" s="27" t="s">
        <v>49</v>
      </c>
      <c r="B386" s="27" t="s">
        <v>66</v>
      </c>
      <c r="C386" s="27" t="s">
        <v>109</v>
      </c>
      <c r="D386" s="34" t="n">
        <f aca="false">SUMIFS(Desconto_Cliente_Mes!$D$2:$D$433,Desconto_Cliente_Mes!$A$2:$A$433,$A386,Desconto_Cliente_Mes!$B$2:$B$433,$B386,Desconto_Cliente_Mes!$C$2:$C$433,$C386)</f>
        <v>0</v>
      </c>
      <c r="E386" s="37" t="str">
        <f aca="false">INDEX(Desconto_Cliente_Mes!$K$2:$K$433,MATCH($A386&amp;"|"&amp;$B386&amp;"|"&amp;$C386,Desconto_Cliente_Mes!$W$2:$W$433,0))</f>
        <v/>
      </c>
      <c r="F386" s="39" t="n">
        <f aca="false">SUMIFS(Desconto_Cliente_Mes!$U$2:$U$433,Desconto_Cliente_Mes!$A$2:$A$433,$A386,Desconto_Cliente_Mes!$B$2:$B$433,$B386,Desconto_Cliente_Mes!$C$2:$C$433,$C386)</f>
        <v>0</v>
      </c>
      <c r="G386" s="39" t="n">
        <f aca="false">SUMIFS(Desconto_Cliente_Mes!$U$2:$U$433,Desconto_Cliente_Mes!$B$2:$B$433,$B386,Desconto_Cliente_Mes!$C$2:$C$433,$C386,Desconto_Cliente_Mes!$K$2:$K$433,"Sim")</f>
        <v>26408.1404587724</v>
      </c>
      <c r="H386" s="37" t="n">
        <f aca="false">SUMIFS(Desconto_Cliente_Mes!$D$2:$D$433,Desconto_Cliente_Mes!$B$2:$B$433,$B386,Desconto_Cliente_Mes!$C$2:$C$433,$C386,Desconto_Cliente_Mes!$K$2:$K$433,"Nao",Desconto_Cliente_Mes!$D$2:$D$433,"&gt;0")</f>
        <v>25249.51</v>
      </c>
      <c r="I386" s="42" t="n">
        <f aca="false">IF(AND($E386="Nao",$D386&gt;0,$H386&gt;0),$D386/$H386,0)</f>
        <v>0</v>
      </c>
      <c r="J386" s="40" t="n">
        <f aca="false">$I386*$G386</f>
        <v>0</v>
      </c>
      <c r="K386" s="40" t="n">
        <f aca="false">$J386-$F386</f>
        <v>0</v>
      </c>
      <c r="L386" s="27" t="str">
        <f aca="false">IF($D386=0,"Sem embarque",IF($K386&gt;0,"Recebe","Paga"))</f>
        <v>Sem embarque</v>
      </c>
    </row>
    <row r="387" customFormat="false" ht="15" hidden="false" customHeight="false" outlineLevel="0" collapsed="false">
      <c r="A387" s="27" t="s">
        <v>49</v>
      </c>
      <c r="B387" s="27" t="s">
        <v>66</v>
      </c>
      <c r="C387" s="27" t="s">
        <v>110</v>
      </c>
      <c r="D387" s="34" t="n">
        <f aca="false">SUMIFS(Desconto_Cliente_Mes!$D$2:$D$433,Desconto_Cliente_Mes!$A$2:$A$433,$A387,Desconto_Cliente_Mes!$B$2:$B$433,$B387,Desconto_Cliente_Mes!$C$2:$C$433,$C387)</f>
        <v>0</v>
      </c>
      <c r="E387" s="37" t="str">
        <f aca="false">INDEX(Desconto_Cliente_Mes!$K$2:$K$433,MATCH($A387&amp;"|"&amp;$B387&amp;"|"&amp;$C387,Desconto_Cliente_Mes!$W$2:$W$433,0))</f>
        <v/>
      </c>
      <c r="F387" s="39" t="n">
        <f aca="false">SUMIFS(Desconto_Cliente_Mes!$U$2:$U$433,Desconto_Cliente_Mes!$A$2:$A$433,$A387,Desconto_Cliente_Mes!$B$2:$B$433,$B387,Desconto_Cliente_Mes!$C$2:$C$433,$C387)</f>
        <v>0</v>
      </c>
      <c r="G387" s="39" t="n">
        <f aca="false">SUMIFS(Desconto_Cliente_Mes!$U$2:$U$433,Desconto_Cliente_Mes!$B$2:$B$433,$B387,Desconto_Cliente_Mes!$C$2:$C$433,$C387,Desconto_Cliente_Mes!$K$2:$K$433,"Sim")</f>
        <v>20574.688366</v>
      </c>
      <c r="H387" s="37" t="n">
        <f aca="false">SUMIFS(Desconto_Cliente_Mes!$D$2:$D$433,Desconto_Cliente_Mes!$B$2:$B$433,$B387,Desconto_Cliente_Mes!$C$2:$C$433,$C387,Desconto_Cliente_Mes!$K$2:$K$433,"Nao",Desconto_Cliente_Mes!$D$2:$D$433,"&gt;0")</f>
        <v>36785.35</v>
      </c>
      <c r="I387" s="42" t="n">
        <f aca="false">IF(AND($E387="Nao",$D387&gt;0,$H387&gt;0),$D387/$H387,0)</f>
        <v>0</v>
      </c>
      <c r="J387" s="40" t="n">
        <f aca="false">$I387*$G387</f>
        <v>0</v>
      </c>
      <c r="K387" s="40" t="n">
        <f aca="false">$J387-$F387</f>
        <v>0</v>
      </c>
      <c r="L387" s="27" t="str">
        <f aca="false">IF($D387=0,"Sem embarque",IF($K387&gt;0,"Recebe","Paga"))</f>
        <v>Sem embarque</v>
      </c>
    </row>
    <row r="388" customFormat="false" ht="15" hidden="false" customHeight="false" outlineLevel="0" collapsed="false">
      <c r="A388" s="27" t="s">
        <v>49</v>
      </c>
      <c r="B388" s="27" t="s">
        <v>66</v>
      </c>
      <c r="C388" s="27" t="s">
        <v>111</v>
      </c>
      <c r="D388" s="34" t="n">
        <f aca="false">SUMIFS(Desconto_Cliente_Mes!$D$2:$D$433,Desconto_Cliente_Mes!$A$2:$A$433,$A388,Desconto_Cliente_Mes!$B$2:$B$433,$B388,Desconto_Cliente_Mes!$C$2:$C$433,$C388)</f>
        <v>0</v>
      </c>
      <c r="E388" s="37" t="str">
        <f aca="false">INDEX(Desconto_Cliente_Mes!$K$2:$K$433,MATCH($A388&amp;"|"&amp;$B388&amp;"|"&amp;$C388,Desconto_Cliente_Mes!$W$2:$W$433,0))</f>
        <v/>
      </c>
      <c r="F388" s="39" t="n">
        <f aca="false">SUMIFS(Desconto_Cliente_Mes!$U$2:$U$433,Desconto_Cliente_Mes!$A$2:$A$433,$A388,Desconto_Cliente_Mes!$B$2:$B$433,$B388,Desconto_Cliente_Mes!$C$2:$C$433,$C388)</f>
        <v>0</v>
      </c>
      <c r="G388" s="39" t="n">
        <f aca="false">SUMIFS(Desconto_Cliente_Mes!$U$2:$U$433,Desconto_Cliente_Mes!$B$2:$B$433,$B388,Desconto_Cliente_Mes!$C$2:$C$433,$C388,Desconto_Cliente_Mes!$K$2:$K$433,"Sim")</f>
        <v>12224.7687289319</v>
      </c>
      <c r="H388" s="37" t="n">
        <f aca="false">SUMIFS(Desconto_Cliente_Mes!$D$2:$D$433,Desconto_Cliente_Mes!$B$2:$B$433,$B388,Desconto_Cliente_Mes!$C$2:$C$433,$C388,Desconto_Cliente_Mes!$K$2:$K$433,"Nao",Desconto_Cliente_Mes!$D$2:$D$433,"&gt;0")</f>
        <v>41847.52</v>
      </c>
      <c r="I388" s="42" t="n">
        <f aca="false">IF(AND($E388="Nao",$D388&gt;0,$H388&gt;0),$D388/$H388,0)</f>
        <v>0</v>
      </c>
      <c r="J388" s="40" t="n">
        <f aca="false">$I388*$G388</f>
        <v>0</v>
      </c>
      <c r="K388" s="40" t="n">
        <f aca="false">$J388-$F388</f>
        <v>0</v>
      </c>
      <c r="L388" s="27" t="str">
        <f aca="false">IF($D388=0,"Sem embarque",IF($K388&gt;0,"Recebe","Paga"))</f>
        <v>Sem embarque</v>
      </c>
    </row>
    <row r="389" customFormat="false" ht="15" hidden="false" customHeight="false" outlineLevel="0" collapsed="false">
      <c r="A389" s="27" t="s">
        <v>49</v>
      </c>
      <c r="B389" s="27" t="s">
        <v>67</v>
      </c>
      <c r="C389" s="27" t="s">
        <v>109</v>
      </c>
      <c r="D389" s="34" t="n">
        <f aca="false">SUMIFS(Desconto_Cliente_Mes!$D$2:$D$433,Desconto_Cliente_Mes!$A$2:$A$433,$A389,Desconto_Cliente_Mes!$B$2:$B$433,$B389,Desconto_Cliente_Mes!$C$2:$C$433,$C389)</f>
        <v>0</v>
      </c>
      <c r="E389" s="37" t="str">
        <f aca="false">INDEX(Desconto_Cliente_Mes!$K$2:$K$433,MATCH($A389&amp;"|"&amp;$B389&amp;"|"&amp;$C389,Desconto_Cliente_Mes!$W$2:$W$433,0))</f>
        <v/>
      </c>
      <c r="F389" s="39" t="n">
        <f aca="false">SUMIFS(Desconto_Cliente_Mes!$U$2:$U$433,Desconto_Cliente_Mes!$A$2:$A$433,$A389,Desconto_Cliente_Mes!$B$2:$B$433,$B389,Desconto_Cliente_Mes!$C$2:$C$433,$C389)</f>
        <v>0</v>
      </c>
      <c r="G389" s="39" t="n">
        <f aca="false">SUMIFS(Desconto_Cliente_Mes!$U$2:$U$433,Desconto_Cliente_Mes!$B$2:$B$433,$B389,Desconto_Cliente_Mes!$C$2:$C$433,$C389,Desconto_Cliente_Mes!$K$2:$K$433,"Sim")</f>
        <v>0</v>
      </c>
      <c r="H389" s="37" t="n">
        <f aca="false">SUMIFS(Desconto_Cliente_Mes!$D$2:$D$433,Desconto_Cliente_Mes!$B$2:$B$433,$B389,Desconto_Cliente_Mes!$C$2:$C$433,$C389,Desconto_Cliente_Mes!$K$2:$K$433,"Nao",Desconto_Cliente_Mes!$D$2:$D$433,"&gt;0")</f>
        <v>0</v>
      </c>
      <c r="I389" s="42" t="n">
        <f aca="false">IF(AND($E389="Nao",$D389&gt;0,$H389&gt;0),$D389/$H389,0)</f>
        <v>0</v>
      </c>
      <c r="J389" s="40" t="n">
        <f aca="false">$I389*$G389</f>
        <v>0</v>
      </c>
      <c r="K389" s="40" t="n">
        <f aca="false">$J389-$F389</f>
        <v>0</v>
      </c>
      <c r="L389" s="27" t="str">
        <f aca="false">IF($D389=0,"Sem embarque",IF($K389&gt;0,"Recebe","Paga"))</f>
        <v>Sem embarque</v>
      </c>
    </row>
    <row r="390" customFormat="false" ht="15" hidden="false" customHeight="false" outlineLevel="0" collapsed="false">
      <c r="A390" s="27" t="s">
        <v>49</v>
      </c>
      <c r="B390" s="27" t="s">
        <v>67</v>
      </c>
      <c r="C390" s="27" t="s">
        <v>110</v>
      </c>
      <c r="D390" s="34" t="n">
        <f aca="false">SUMIFS(Desconto_Cliente_Mes!$D$2:$D$433,Desconto_Cliente_Mes!$A$2:$A$433,$A390,Desconto_Cliente_Mes!$B$2:$B$433,$B390,Desconto_Cliente_Mes!$C$2:$C$433,$C390)</f>
        <v>0</v>
      </c>
      <c r="E390" s="37" t="str">
        <f aca="false">INDEX(Desconto_Cliente_Mes!$K$2:$K$433,MATCH($A390&amp;"|"&amp;$B390&amp;"|"&amp;$C390,Desconto_Cliente_Mes!$W$2:$W$433,0))</f>
        <v/>
      </c>
      <c r="F390" s="39" t="n">
        <f aca="false">SUMIFS(Desconto_Cliente_Mes!$U$2:$U$433,Desconto_Cliente_Mes!$A$2:$A$433,$A390,Desconto_Cliente_Mes!$B$2:$B$433,$B390,Desconto_Cliente_Mes!$C$2:$C$433,$C390)</f>
        <v>0</v>
      </c>
      <c r="G390" s="39" t="n">
        <f aca="false">SUMIFS(Desconto_Cliente_Mes!$U$2:$U$433,Desconto_Cliente_Mes!$B$2:$B$433,$B390,Desconto_Cliente_Mes!$C$2:$C$433,$C390,Desconto_Cliente_Mes!$K$2:$K$433,"Sim")</f>
        <v>0</v>
      </c>
      <c r="H390" s="37" t="n">
        <f aca="false">SUMIFS(Desconto_Cliente_Mes!$D$2:$D$433,Desconto_Cliente_Mes!$B$2:$B$433,$B390,Desconto_Cliente_Mes!$C$2:$C$433,$C390,Desconto_Cliente_Mes!$K$2:$K$433,"Nao",Desconto_Cliente_Mes!$D$2:$D$433,"&gt;0")</f>
        <v>0</v>
      </c>
      <c r="I390" s="42" t="n">
        <f aca="false">IF(AND($E390="Nao",$D390&gt;0,$H390&gt;0),$D390/$H390,0)</f>
        <v>0</v>
      </c>
      <c r="J390" s="40" t="n">
        <f aca="false">$I390*$G390</f>
        <v>0</v>
      </c>
      <c r="K390" s="40" t="n">
        <f aca="false">$J390-$F390</f>
        <v>0</v>
      </c>
      <c r="L390" s="27" t="str">
        <f aca="false">IF($D390=0,"Sem embarque",IF($K390&gt;0,"Recebe","Paga"))</f>
        <v>Sem embarque</v>
      </c>
    </row>
    <row r="391" customFormat="false" ht="15" hidden="false" customHeight="false" outlineLevel="0" collapsed="false">
      <c r="A391" s="27" t="s">
        <v>49</v>
      </c>
      <c r="B391" s="27" t="s">
        <v>67</v>
      </c>
      <c r="C391" s="27" t="s">
        <v>111</v>
      </c>
      <c r="D391" s="34" t="n">
        <f aca="false">SUMIFS(Desconto_Cliente_Mes!$D$2:$D$433,Desconto_Cliente_Mes!$A$2:$A$433,$A391,Desconto_Cliente_Mes!$B$2:$B$433,$B391,Desconto_Cliente_Mes!$C$2:$C$433,$C391)</f>
        <v>0</v>
      </c>
      <c r="E391" s="37" t="str">
        <f aca="false">INDEX(Desconto_Cliente_Mes!$K$2:$K$433,MATCH($A391&amp;"|"&amp;$B391&amp;"|"&amp;$C391,Desconto_Cliente_Mes!$W$2:$W$433,0))</f>
        <v/>
      </c>
      <c r="F391" s="39" t="n">
        <f aca="false">SUMIFS(Desconto_Cliente_Mes!$U$2:$U$433,Desconto_Cliente_Mes!$A$2:$A$433,$A391,Desconto_Cliente_Mes!$B$2:$B$433,$B391,Desconto_Cliente_Mes!$C$2:$C$433,$C391)</f>
        <v>0</v>
      </c>
      <c r="G391" s="39" t="n">
        <f aca="false">SUMIFS(Desconto_Cliente_Mes!$U$2:$U$433,Desconto_Cliente_Mes!$B$2:$B$433,$B391,Desconto_Cliente_Mes!$C$2:$C$433,$C391,Desconto_Cliente_Mes!$K$2:$K$433,"Sim")</f>
        <v>0</v>
      </c>
      <c r="H391" s="37" t="n">
        <f aca="false">SUMIFS(Desconto_Cliente_Mes!$D$2:$D$433,Desconto_Cliente_Mes!$B$2:$B$433,$B391,Desconto_Cliente_Mes!$C$2:$C$433,$C391,Desconto_Cliente_Mes!$K$2:$K$433,"Nao",Desconto_Cliente_Mes!$D$2:$D$433,"&gt;0")</f>
        <v>0</v>
      </c>
      <c r="I391" s="42" t="n">
        <f aca="false">IF(AND($E391="Nao",$D391&gt;0,$H391&gt;0),$D391/$H391,0)</f>
        <v>0</v>
      </c>
      <c r="J391" s="40" t="n">
        <f aca="false">$I391*$G391</f>
        <v>0</v>
      </c>
      <c r="K391" s="40" t="n">
        <f aca="false">$J391-$F391</f>
        <v>0</v>
      </c>
      <c r="L391" s="27" t="str">
        <f aca="false">IF($D391=0,"Sem embarque",IF($K391&gt;0,"Recebe","Paga"))</f>
        <v>Sem embarque</v>
      </c>
    </row>
    <row r="392" customFormat="false" ht="15" hidden="false" customHeight="false" outlineLevel="0" collapsed="false">
      <c r="A392" s="27" t="s">
        <v>49</v>
      </c>
      <c r="B392" s="27" t="s">
        <v>68</v>
      </c>
      <c r="C392" s="27" t="s">
        <v>109</v>
      </c>
      <c r="D392" s="34" t="n">
        <f aca="false">SUMIFS(Desconto_Cliente_Mes!$D$2:$D$433,Desconto_Cliente_Mes!$A$2:$A$433,$A392,Desconto_Cliente_Mes!$B$2:$B$433,$B392,Desconto_Cliente_Mes!$C$2:$C$433,$C392)</f>
        <v>0</v>
      </c>
      <c r="E392" s="37" t="str">
        <f aca="false">INDEX(Desconto_Cliente_Mes!$K$2:$K$433,MATCH($A392&amp;"|"&amp;$B392&amp;"|"&amp;$C392,Desconto_Cliente_Mes!$W$2:$W$433,0))</f>
        <v/>
      </c>
      <c r="F392" s="39" t="n">
        <f aca="false">SUMIFS(Desconto_Cliente_Mes!$U$2:$U$433,Desconto_Cliente_Mes!$A$2:$A$433,$A392,Desconto_Cliente_Mes!$B$2:$B$433,$B392,Desconto_Cliente_Mes!$C$2:$C$433,$C392)</f>
        <v>0</v>
      </c>
      <c r="G392" s="39" t="n">
        <f aca="false">SUMIFS(Desconto_Cliente_Mes!$U$2:$U$433,Desconto_Cliente_Mes!$B$2:$B$433,$B392,Desconto_Cliente_Mes!$C$2:$C$433,$C392,Desconto_Cliente_Mes!$K$2:$K$433,"Sim")</f>
        <v>0</v>
      </c>
      <c r="H392" s="37" t="n">
        <f aca="false">SUMIFS(Desconto_Cliente_Mes!$D$2:$D$433,Desconto_Cliente_Mes!$B$2:$B$433,$B392,Desconto_Cliente_Mes!$C$2:$C$433,$C392,Desconto_Cliente_Mes!$K$2:$K$433,"Nao",Desconto_Cliente_Mes!$D$2:$D$433,"&gt;0")</f>
        <v>0</v>
      </c>
      <c r="I392" s="42" t="n">
        <f aca="false">IF(AND($E392="Nao",$D392&gt;0,$H392&gt;0),$D392/$H392,0)</f>
        <v>0</v>
      </c>
      <c r="J392" s="40" t="n">
        <f aca="false">$I392*$G392</f>
        <v>0</v>
      </c>
      <c r="K392" s="40" t="n">
        <f aca="false">$J392-$F392</f>
        <v>0</v>
      </c>
      <c r="L392" s="27" t="str">
        <f aca="false">IF($D392=0,"Sem embarque",IF($K392&gt;0,"Recebe","Paga"))</f>
        <v>Sem embarque</v>
      </c>
    </row>
    <row r="393" customFormat="false" ht="15" hidden="false" customHeight="false" outlineLevel="0" collapsed="false">
      <c r="A393" s="27" t="s">
        <v>49</v>
      </c>
      <c r="B393" s="27" t="s">
        <v>68</v>
      </c>
      <c r="C393" s="27" t="s">
        <v>110</v>
      </c>
      <c r="D393" s="34" t="n">
        <f aca="false">SUMIFS(Desconto_Cliente_Mes!$D$2:$D$433,Desconto_Cliente_Mes!$A$2:$A$433,$A393,Desconto_Cliente_Mes!$B$2:$B$433,$B393,Desconto_Cliente_Mes!$C$2:$C$433,$C393)</f>
        <v>0</v>
      </c>
      <c r="E393" s="37" t="str">
        <f aca="false">INDEX(Desconto_Cliente_Mes!$K$2:$K$433,MATCH($A393&amp;"|"&amp;$B393&amp;"|"&amp;$C393,Desconto_Cliente_Mes!$W$2:$W$433,0))</f>
        <v/>
      </c>
      <c r="F393" s="39" t="n">
        <f aca="false">SUMIFS(Desconto_Cliente_Mes!$U$2:$U$433,Desconto_Cliente_Mes!$A$2:$A$433,$A393,Desconto_Cliente_Mes!$B$2:$B$433,$B393,Desconto_Cliente_Mes!$C$2:$C$433,$C393)</f>
        <v>0</v>
      </c>
      <c r="G393" s="39" t="n">
        <f aca="false">SUMIFS(Desconto_Cliente_Mes!$U$2:$U$433,Desconto_Cliente_Mes!$B$2:$B$433,$B393,Desconto_Cliente_Mes!$C$2:$C$433,$C393,Desconto_Cliente_Mes!$K$2:$K$433,"Sim")</f>
        <v>0</v>
      </c>
      <c r="H393" s="37" t="n">
        <f aca="false">SUMIFS(Desconto_Cliente_Mes!$D$2:$D$433,Desconto_Cliente_Mes!$B$2:$B$433,$B393,Desconto_Cliente_Mes!$C$2:$C$433,$C393,Desconto_Cliente_Mes!$K$2:$K$433,"Nao",Desconto_Cliente_Mes!$D$2:$D$433,"&gt;0")</f>
        <v>0</v>
      </c>
      <c r="I393" s="42" t="n">
        <f aca="false">IF(AND($E393="Nao",$D393&gt;0,$H393&gt;0),$D393/$H393,0)</f>
        <v>0</v>
      </c>
      <c r="J393" s="40" t="n">
        <f aca="false">$I393*$G393</f>
        <v>0</v>
      </c>
      <c r="K393" s="40" t="n">
        <f aca="false">$J393-$F393</f>
        <v>0</v>
      </c>
      <c r="L393" s="27" t="str">
        <f aca="false">IF($D393=0,"Sem embarque",IF($K393&gt;0,"Recebe","Paga"))</f>
        <v>Sem embarque</v>
      </c>
    </row>
    <row r="394" customFormat="false" ht="15" hidden="false" customHeight="false" outlineLevel="0" collapsed="false">
      <c r="A394" s="27" t="s">
        <v>49</v>
      </c>
      <c r="B394" s="27" t="s">
        <v>68</v>
      </c>
      <c r="C394" s="27" t="s">
        <v>111</v>
      </c>
      <c r="D394" s="34" t="n">
        <f aca="false">SUMIFS(Desconto_Cliente_Mes!$D$2:$D$433,Desconto_Cliente_Mes!$A$2:$A$433,$A394,Desconto_Cliente_Mes!$B$2:$B$433,$B394,Desconto_Cliente_Mes!$C$2:$C$433,$C394)</f>
        <v>0</v>
      </c>
      <c r="E394" s="37" t="str">
        <f aca="false">INDEX(Desconto_Cliente_Mes!$K$2:$K$433,MATCH($A394&amp;"|"&amp;$B394&amp;"|"&amp;$C394,Desconto_Cliente_Mes!$W$2:$W$433,0))</f>
        <v/>
      </c>
      <c r="F394" s="39" t="n">
        <f aca="false">SUMIFS(Desconto_Cliente_Mes!$U$2:$U$433,Desconto_Cliente_Mes!$A$2:$A$433,$A394,Desconto_Cliente_Mes!$B$2:$B$433,$B394,Desconto_Cliente_Mes!$C$2:$C$433,$C394)</f>
        <v>0</v>
      </c>
      <c r="G394" s="39" t="n">
        <f aca="false">SUMIFS(Desconto_Cliente_Mes!$U$2:$U$433,Desconto_Cliente_Mes!$B$2:$B$433,$B394,Desconto_Cliente_Mes!$C$2:$C$433,$C394,Desconto_Cliente_Mes!$K$2:$K$433,"Sim")</f>
        <v>0</v>
      </c>
      <c r="H394" s="37" t="n">
        <f aca="false">SUMIFS(Desconto_Cliente_Mes!$D$2:$D$433,Desconto_Cliente_Mes!$B$2:$B$433,$B394,Desconto_Cliente_Mes!$C$2:$C$433,$C394,Desconto_Cliente_Mes!$K$2:$K$433,"Nao",Desconto_Cliente_Mes!$D$2:$D$433,"&gt;0")</f>
        <v>0</v>
      </c>
      <c r="I394" s="42" t="n">
        <f aca="false">IF(AND($E394="Nao",$D394&gt;0,$H394&gt;0),$D394/$H394,0)</f>
        <v>0</v>
      </c>
      <c r="J394" s="40" t="n">
        <f aca="false">$I394*$G394</f>
        <v>0</v>
      </c>
      <c r="K394" s="40" t="n">
        <f aca="false">$J394-$F394</f>
        <v>0</v>
      </c>
      <c r="L394" s="27" t="str">
        <f aca="false">IF($D394=0,"Sem embarque",IF($K394&gt;0,"Recebe","Paga"))</f>
        <v>Sem embarque</v>
      </c>
    </row>
    <row r="395" customFormat="false" ht="15" hidden="false" customHeight="false" outlineLevel="0" collapsed="false">
      <c r="A395" s="27" t="s">
        <v>49</v>
      </c>
      <c r="B395" s="27" t="s">
        <v>69</v>
      </c>
      <c r="C395" s="27" t="s">
        <v>109</v>
      </c>
      <c r="D395" s="34" t="n">
        <f aca="false">SUMIFS(Desconto_Cliente_Mes!$D$2:$D$433,Desconto_Cliente_Mes!$A$2:$A$433,$A395,Desconto_Cliente_Mes!$B$2:$B$433,$B395,Desconto_Cliente_Mes!$C$2:$C$433,$C395)</f>
        <v>0</v>
      </c>
      <c r="E395" s="37" t="str">
        <f aca="false">INDEX(Desconto_Cliente_Mes!$K$2:$K$433,MATCH($A395&amp;"|"&amp;$B395&amp;"|"&amp;$C395,Desconto_Cliente_Mes!$W$2:$W$433,0))</f>
        <v/>
      </c>
      <c r="F395" s="39" t="n">
        <f aca="false">SUMIFS(Desconto_Cliente_Mes!$U$2:$U$433,Desconto_Cliente_Mes!$A$2:$A$433,$A395,Desconto_Cliente_Mes!$B$2:$B$433,$B395,Desconto_Cliente_Mes!$C$2:$C$433,$C395)</f>
        <v>0</v>
      </c>
      <c r="G395" s="39" t="n">
        <f aca="false">SUMIFS(Desconto_Cliente_Mes!$U$2:$U$433,Desconto_Cliente_Mes!$B$2:$B$433,$B395,Desconto_Cliente_Mes!$C$2:$C$433,$C395,Desconto_Cliente_Mes!$K$2:$K$433,"Sim")</f>
        <v>0</v>
      </c>
      <c r="H395" s="37" t="n">
        <f aca="false">SUMIFS(Desconto_Cliente_Mes!$D$2:$D$433,Desconto_Cliente_Mes!$B$2:$B$433,$B395,Desconto_Cliente_Mes!$C$2:$C$433,$C395,Desconto_Cliente_Mes!$K$2:$K$433,"Nao",Desconto_Cliente_Mes!$D$2:$D$433,"&gt;0")</f>
        <v>0</v>
      </c>
      <c r="I395" s="42" t="n">
        <f aca="false">IF(AND($E395="Nao",$D395&gt;0,$H395&gt;0),$D395/$H395,0)</f>
        <v>0</v>
      </c>
      <c r="J395" s="40" t="n">
        <f aca="false">$I395*$G395</f>
        <v>0</v>
      </c>
      <c r="K395" s="40" t="n">
        <f aca="false">$J395-$F395</f>
        <v>0</v>
      </c>
      <c r="L395" s="27" t="str">
        <f aca="false">IF($D395=0,"Sem embarque",IF($K395&gt;0,"Recebe","Paga"))</f>
        <v>Sem embarque</v>
      </c>
    </row>
    <row r="396" customFormat="false" ht="15" hidden="false" customHeight="false" outlineLevel="0" collapsed="false">
      <c r="A396" s="27" t="s">
        <v>49</v>
      </c>
      <c r="B396" s="27" t="s">
        <v>69</v>
      </c>
      <c r="C396" s="27" t="s">
        <v>110</v>
      </c>
      <c r="D396" s="34" t="n">
        <f aca="false">SUMIFS(Desconto_Cliente_Mes!$D$2:$D$433,Desconto_Cliente_Mes!$A$2:$A$433,$A396,Desconto_Cliente_Mes!$B$2:$B$433,$B396,Desconto_Cliente_Mes!$C$2:$C$433,$C396)</f>
        <v>0</v>
      </c>
      <c r="E396" s="37" t="str">
        <f aca="false">INDEX(Desconto_Cliente_Mes!$K$2:$K$433,MATCH($A396&amp;"|"&amp;$B396&amp;"|"&amp;$C396,Desconto_Cliente_Mes!$W$2:$W$433,0))</f>
        <v/>
      </c>
      <c r="F396" s="39" t="n">
        <f aca="false">SUMIFS(Desconto_Cliente_Mes!$U$2:$U$433,Desconto_Cliente_Mes!$A$2:$A$433,$A396,Desconto_Cliente_Mes!$B$2:$B$433,$B396,Desconto_Cliente_Mes!$C$2:$C$433,$C396)</f>
        <v>0</v>
      </c>
      <c r="G396" s="39" t="n">
        <f aca="false">SUMIFS(Desconto_Cliente_Mes!$U$2:$U$433,Desconto_Cliente_Mes!$B$2:$B$433,$B396,Desconto_Cliente_Mes!$C$2:$C$433,$C396,Desconto_Cliente_Mes!$K$2:$K$433,"Sim")</f>
        <v>0</v>
      </c>
      <c r="H396" s="37" t="n">
        <f aca="false">SUMIFS(Desconto_Cliente_Mes!$D$2:$D$433,Desconto_Cliente_Mes!$B$2:$B$433,$B396,Desconto_Cliente_Mes!$C$2:$C$433,$C396,Desconto_Cliente_Mes!$K$2:$K$433,"Nao",Desconto_Cliente_Mes!$D$2:$D$433,"&gt;0")</f>
        <v>0</v>
      </c>
      <c r="I396" s="42" t="n">
        <f aca="false">IF(AND($E396="Nao",$D396&gt;0,$H396&gt;0),$D396/$H396,0)</f>
        <v>0</v>
      </c>
      <c r="J396" s="40" t="n">
        <f aca="false">$I396*$G396</f>
        <v>0</v>
      </c>
      <c r="K396" s="40" t="n">
        <f aca="false">$J396-$F396</f>
        <v>0</v>
      </c>
      <c r="L396" s="27" t="str">
        <f aca="false">IF($D396=0,"Sem embarque",IF($K396&gt;0,"Recebe","Paga"))</f>
        <v>Sem embarque</v>
      </c>
    </row>
    <row r="397" customFormat="false" ht="15" hidden="false" customHeight="false" outlineLevel="0" collapsed="false">
      <c r="A397" s="27" t="s">
        <v>49</v>
      </c>
      <c r="B397" s="27" t="s">
        <v>69</v>
      </c>
      <c r="C397" s="27" t="s">
        <v>111</v>
      </c>
      <c r="D397" s="34" t="n">
        <f aca="false">SUMIFS(Desconto_Cliente_Mes!$D$2:$D$433,Desconto_Cliente_Mes!$A$2:$A$433,$A397,Desconto_Cliente_Mes!$B$2:$B$433,$B397,Desconto_Cliente_Mes!$C$2:$C$433,$C397)</f>
        <v>0</v>
      </c>
      <c r="E397" s="37" t="str">
        <f aca="false">INDEX(Desconto_Cliente_Mes!$K$2:$K$433,MATCH($A397&amp;"|"&amp;$B397&amp;"|"&amp;$C397,Desconto_Cliente_Mes!$W$2:$W$433,0))</f>
        <v/>
      </c>
      <c r="F397" s="39" t="n">
        <f aca="false">SUMIFS(Desconto_Cliente_Mes!$U$2:$U$433,Desconto_Cliente_Mes!$A$2:$A$433,$A397,Desconto_Cliente_Mes!$B$2:$B$433,$B397,Desconto_Cliente_Mes!$C$2:$C$433,$C397)</f>
        <v>0</v>
      </c>
      <c r="G397" s="39" t="n">
        <f aca="false">SUMIFS(Desconto_Cliente_Mes!$U$2:$U$433,Desconto_Cliente_Mes!$B$2:$B$433,$B397,Desconto_Cliente_Mes!$C$2:$C$433,$C397,Desconto_Cliente_Mes!$K$2:$K$433,"Sim")</f>
        <v>0</v>
      </c>
      <c r="H397" s="37" t="n">
        <f aca="false">SUMIFS(Desconto_Cliente_Mes!$D$2:$D$433,Desconto_Cliente_Mes!$B$2:$B$433,$B397,Desconto_Cliente_Mes!$C$2:$C$433,$C397,Desconto_Cliente_Mes!$K$2:$K$433,"Nao",Desconto_Cliente_Mes!$D$2:$D$433,"&gt;0")</f>
        <v>0</v>
      </c>
      <c r="I397" s="42" t="n">
        <f aca="false">IF(AND($E397="Nao",$D397&gt;0,$H397&gt;0),$D397/$H397,0)</f>
        <v>0</v>
      </c>
      <c r="J397" s="40" t="n">
        <f aca="false">$I397*$G397</f>
        <v>0</v>
      </c>
      <c r="K397" s="40" t="n">
        <f aca="false">$J397-$F397</f>
        <v>0</v>
      </c>
      <c r="L397" s="27" t="str">
        <f aca="false">IF($D397=0,"Sem embarque",IF($K397&gt;0,"Recebe","Paga"))</f>
        <v>Sem embarque</v>
      </c>
    </row>
    <row r="398" customFormat="false" ht="15" hidden="false" customHeight="false" outlineLevel="0" collapsed="false">
      <c r="A398" s="27" t="s">
        <v>50</v>
      </c>
      <c r="B398" s="27" t="s">
        <v>38</v>
      </c>
      <c r="C398" s="27" t="s">
        <v>109</v>
      </c>
      <c r="D398" s="34" t="n">
        <f aca="false">SUMIFS(Desconto_Cliente_Mes!$D$2:$D$433,Desconto_Cliente_Mes!$A$2:$A$433,$A398,Desconto_Cliente_Mes!$B$2:$B$433,$B398,Desconto_Cliente_Mes!$C$2:$C$433,$C398)</f>
        <v>0</v>
      </c>
      <c r="E398" s="37" t="str">
        <f aca="false">INDEX(Desconto_Cliente_Mes!$K$2:$K$433,MATCH($A398&amp;"|"&amp;$B398&amp;"|"&amp;$C398,Desconto_Cliente_Mes!$W$2:$W$433,0))</f>
        <v/>
      </c>
      <c r="F398" s="39" t="n">
        <f aca="false">SUMIFS(Desconto_Cliente_Mes!$U$2:$U$433,Desconto_Cliente_Mes!$A$2:$A$433,$A398,Desconto_Cliente_Mes!$B$2:$B$433,$B398,Desconto_Cliente_Mes!$C$2:$C$433,$C398)</f>
        <v>0</v>
      </c>
      <c r="G398" s="39" t="n">
        <f aca="false">SUMIFS(Desconto_Cliente_Mes!$U$2:$U$433,Desconto_Cliente_Mes!$B$2:$B$433,$B398,Desconto_Cliente_Mes!$C$2:$C$433,$C398,Desconto_Cliente_Mes!$K$2:$K$433,"Sim")</f>
        <v>91377.0669671845</v>
      </c>
      <c r="H398" s="37" t="n">
        <f aca="false">SUMIFS(Desconto_Cliente_Mes!$D$2:$D$433,Desconto_Cliente_Mes!$B$2:$B$433,$B398,Desconto_Cliente_Mes!$C$2:$C$433,$C398,Desconto_Cliente_Mes!$K$2:$K$433,"Nao",Desconto_Cliente_Mes!$D$2:$D$433,"&gt;0")</f>
        <v>58734.34</v>
      </c>
      <c r="I398" s="42" t="n">
        <f aca="false">IF(AND($E398="Nao",$D398&gt;0,$H398&gt;0),$D398/$H398,0)</f>
        <v>0</v>
      </c>
      <c r="J398" s="40" t="n">
        <f aca="false">$I398*$G398</f>
        <v>0</v>
      </c>
      <c r="K398" s="40" t="n">
        <f aca="false">$J398-$F398</f>
        <v>0</v>
      </c>
      <c r="L398" s="27" t="str">
        <f aca="false">IF($D398=0,"Sem embarque",IF($K398&gt;0,"Recebe","Paga"))</f>
        <v>Sem embarque</v>
      </c>
    </row>
    <row r="399" customFormat="false" ht="15" hidden="false" customHeight="false" outlineLevel="0" collapsed="false">
      <c r="A399" s="27" t="s">
        <v>50</v>
      </c>
      <c r="B399" s="27" t="s">
        <v>38</v>
      </c>
      <c r="C399" s="27" t="s">
        <v>110</v>
      </c>
      <c r="D399" s="34" t="n">
        <f aca="false">SUMIFS(Desconto_Cliente_Mes!$D$2:$D$433,Desconto_Cliente_Mes!$A$2:$A$433,$A399,Desconto_Cliente_Mes!$B$2:$B$433,$B399,Desconto_Cliente_Mes!$C$2:$C$433,$C399)</f>
        <v>0</v>
      </c>
      <c r="E399" s="37" t="str">
        <f aca="false">INDEX(Desconto_Cliente_Mes!$K$2:$K$433,MATCH($A399&amp;"|"&amp;$B399&amp;"|"&amp;$C399,Desconto_Cliente_Mes!$W$2:$W$433,0))</f>
        <v/>
      </c>
      <c r="F399" s="39" t="n">
        <f aca="false">SUMIFS(Desconto_Cliente_Mes!$U$2:$U$433,Desconto_Cliente_Mes!$A$2:$A$433,$A399,Desconto_Cliente_Mes!$B$2:$B$433,$B399,Desconto_Cliente_Mes!$C$2:$C$433,$C399)</f>
        <v>0</v>
      </c>
      <c r="G399" s="39" t="n">
        <f aca="false">SUMIFS(Desconto_Cliente_Mes!$U$2:$U$433,Desconto_Cliente_Mes!$B$2:$B$433,$B399,Desconto_Cliente_Mes!$C$2:$C$433,$C399,Desconto_Cliente_Mes!$K$2:$K$433,"Sim")</f>
        <v>0</v>
      </c>
      <c r="H399" s="37" t="n">
        <f aca="false">SUMIFS(Desconto_Cliente_Mes!$D$2:$D$433,Desconto_Cliente_Mes!$B$2:$B$433,$B399,Desconto_Cliente_Mes!$C$2:$C$433,$C399,Desconto_Cliente_Mes!$K$2:$K$433,"Nao",Desconto_Cliente_Mes!$D$2:$D$433,"&gt;0")</f>
        <v>263816.27</v>
      </c>
      <c r="I399" s="42" t="n">
        <f aca="false">IF(AND($E399="Nao",$D399&gt;0,$H399&gt;0),$D399/$H399,0)</f>
        <v>0</v>
      </c>
      <c r="J399" s="40" t="n">
        <f aca="false">$I399*$G399</f>
        <v>0</v>
      </c>
      <c r="K399" s="40" t="n">
        <f aca="false">$J399-$F399</f>
        <v>0</v>
      </c>
      <c r="L399" s="27" t="str">
        <f aca="false">IF($D399=0,"Sem embarque",IF($K399&gt;0,"Recebe","Paga"))</f>
        <v>Sem embarque</v>
      </c>
    </row>
    <row r="400" customFormat="false" ht="15" hidden="false" customHeight="false" outlineLevel="0" collapsed="false">
      <c r="A400" s="27" t="s">
        <v>50</v>
      </c>
      <c r="B400" s="27" t="s">
        <v>38</v>
      </c>
      <c r="C400" s="27" t="s">
        <v>111</v>
      </c>
      <c r="D400" s="34" t="n">
        <f aca="false">SUMIFS(Desconto_Cliente_Mes!$D$2:$D$433,Desconto_Cliente_Mes!$A$2:$A$433,$A400,Desconto_Cliente_Mes!$B$2:$B$433,$B400,Desconto_Cliente_Mes!$C$2:$C$433,$C400)</f>
        <v>0</v>
      </c>
      <c r="E400" s="37" t="str">
        <f aca="false">INDEX(Desconto_Cliente_Mes!$K$2:$K$433,MATCH($A400&amp;"|"&amp;$B400&amp;"|"&amp;$C400,Desconto_Cliente_Mes!$W$2:$W$433,0))</f>
        <v/>
      </c>
      <c r="F400" s="39" t="n">
        <f aca="false">SUMIFS(Desconto_Cliente_Mes!$U$2:$U$433,Desconto_Cliente_Mes!$A$2:$A$433,$A400,Desconto_Cliente_Mes!$B$2:$B$433,$B400,Desconto_Cliente_Mes!$C$2:$C$433,$C400)</f>
        <v>0</v>
      </c>
      <c r="G400" s="39" t="n">
        <f aca="false">SUMIFS(Desconto_Cliente_Mes!$U$2:$U$433,Desconto_Cliente_Mes!$B$2:$B$433,$B400,Desconto_Cliente_Mes!$C$2:$C$433,$C400,Desconto_Cliente_Mes!$K$2:$K$433,"Sim")</f>
        <v>71216.4191325092</v>
      </c>
      <c r="H400" s="37" t="n">
        <f aca="false">SUMIFS(Desconto_Cliente_Mes!$D$2:$D$433,Desconto_Cliente_Mes!$B$2:$B$433,$B400,Desconto_Cliente_Mes!$C$2:$C$433,$C400,Desconto_Cliente_Mes!$K$2:$K$433,"Nao",Desconto_Cliente_Mes!$D$2:$D$433,"&gt;0")</f>
        <v>116867.62</v>
      </c>
      <c r="I400" s="42" t="n">
        <f aca="false">IF(AND($E400="Nao",$D400&gt;0,$H400&gt;0),$D400/$H400,0)</f>
        <v>0</v>
      </c>
      <c r="J400" s="40" t="n">
        <f aca="false">$I400*$G400</f>
        <v>0</v>
      </c>
      <c r="K400" s="40" t="n">
        <f aca="false">$J400-$F400</f>
        <v>0</v>
      </c>
      <c r="L400" s="27" t="str">
        <f aca="false">IF($D400=0,"Sem embarque",IF($K400&gt;0,"Recebe","Paga"))</f>
        <v>Sem embarque</v>
      </c>
    </row>
    <row r="401" customFormat="false" ht="15" hidden="false" customHeight="false" outlineLevel="0" collapsed="false">
      <c r="A401" s="27" t="s">
        <v>50</v>
      </c>
      <c r="B401" s="27" t="s">
        <v>59</v>
      </c>
      <c r="C401" s="27" t="s">
        <v>109</v>
      </c>
      <c r="D401" s="34" t="n">
        <f aca="false">SUMIFS(Desconto_Cliente_Mes!$D$2:$D$433,Desconto_Cliente_Mes!$A$2:$A$433,$A401,Desconto_Cliente_Mes!$B$2:$B$433,$B401,Desconto_Cliente_Mes!$C$2:$C$433,$C401)</f>
        <v>0</v>
      </c>
      <c r="E401" s="37" t="str">
        <f aca="false">INDEX(Desconto_Cliente_Mes!$K$2:$K$433,MATCH($A401&amp;"|"&amp;$B401&amp;"|"&amp;$C401,Desconto_Cliente_Mes!$W$2:$W$433,0))</f>
        <v/>
      </c>
      <c r="F401" s="39" t="n">
        <f aca="false">SUMIFS(Desconto_Cliente_Mes!$U$2:$U$433,Desconto_Cliente_Mes!$A$2:$A$433,$A401,Desconto_Cliente_Mes!$B$2:$B$433,$B401,Desconto_Cliente_Mes!$C$2:$C$433,$C401)</f>
        <v>0</v>
      </c>
      <c r="G401" s="39" t="n">
        <f aca="false">SUMIFS(Desconto_Cliente_Mes!$U$2:$U$433,Desconto_Cliente_Mes!$B$2:$B$433,$B401,Desconto_Cliente_Mes!$C$2:$C$433,$C401,Desconto_Cliente_Mes!$K$2:$K$433,"Sim")</f>
        <v>166858.825867758</v>
      </c>
      <c r="H401" s="37" t="n">
        <f aca="false">SUMIFS(Desconto_Cliente_Mes!$D$2:$D$433,Desconto_Cliente_Mes!$B$2:$B$433,$B401,Desconto_Cliente_Mes!$C$2:$C$433,$C401,Desconto_Cliente_Mes!$K$2:$K$433,"Nao",Desconto_Cliente_Mes!$D$2:$D$433,"&gt;0")</f>
        <v>83594.61</v>
      </c>
      <c r="I401" s="42" t="n">
        <f aca="false">IF(AND($E401="Nao",$D401&gt;0,$H401&gt;0),$D401/$H401,0)</f>
        <v>0</v>
      </c>
      <c r="J401" s="40" t="n">
        <f aca="false">$I401*$G401</f>
        <v>0</v>
      </c>
      <c r="K401" s="40" t="n">
        <f aca="false">$J401-$F401</f>
        <v>0</v>
      </c>
      <c r="L401" s="27" t="str">
        <f aca="false">IF($D401=0,"Sem embarque",IF($K401&gt;0,"Recebe","Paga"))</f>
        <v>Sem embarque</v>
      </c>
    </row>
    <row r="402" customFormat="false" ht="15" hidden="false" customHeight="false" outlineLevel="0" collapsed="false">
      <c r="A402" s="27" t="s">
        <v>50</v>
      </c>
      <c r="B402" s="27" t="s">
        <v>59</v>
      </c>
      <c r="C402" s="27" t="s">
        <v>110</v>
      </c>
      <c r="D402" s="34" t="n">
        <f aca="false">SUMIFS(Desconto_Cliente_Mes!$D$2:$D$433,Desconto_Cliente_Mes!$A$2:$A$433,$A402,Desconto_Cliente_Mes!$B$2:$B$433,$B402,Desconto_Cliente_Mes!$C$2:$C$433,$C402)</f>
        <v>0</v>
      </c>
      <c r="E402" s="37" t="str">
        <f aca="false">INDEX(Desconto_Cliente_Mes!$K$2:$K$433,MATCH($A402&amp;"|"&amp;$B402&amp;"|"&amp;$C402,Desconto_Cliente_Mes!$W$2:$W$433,0))</f>
        <v/>
      </c>
      <c r="F402" s="39" t="n">
        <f aca="false">SUMIFS(Desconto_Cliente_Mes!$U$2:$U$433,Desconto_Cliente_Mes!$A$2:$A$433,$A402,Desconto_Cliente_Mes!$B$2:$B$433,$B402,Desconto_Cliente_Mes!$C$2:$C$433,$C402)</f>
        <v>0</v>
      </c>
      <c r="G402" s="39" t="n">
        <f aca="false">SUMIFS(Desconto_Cliente_Mes!$U$2:$U$433,Desconto_Cliente_Mes!$B$2:$B$433,$B402,Desconto_Cliente_Mes!$C$2:$C$433,$C402,Desconto_Cliente_Mes!$K$2:$K$433,"Sim")</f>
        <v>8132.39257800007</v>
      </c>
      <c r="H402" s="37" t="n">
        <f aca="false">SUMIFS(Desconto_Cliente_Mes!$D$2:$D$433,Desconto_Cliente_Mes!$B$2:$B$433,$B402,Desconto_Cliente_Mes!$C$2:$C$433,$C402,Desconto_Cliente_Mes!$K$2:$K$433,"Nao",Desconto_Cliente_Mes!$D$2:$D$433,"&gt;0")</f>
        <v>289730.52</v>
      </c>
      <c r="I402" s="42" t="n">
        <f aca="false">IF(AND($E402="Nao",$D402&gt;0,$H402&gt;0),$D402/$H402,0)</f>
        <v>0</v>
      </c>
      <c r="J402" s="40" t="n">
        <f aca="false">$I402*$G402</f>
        <v>0</v>
      </c>
      <c r="K402" s="40" t="n">
        <f aca="false">$J402-$F402</f>
        <v>0</v>
      </c>
      <c r="L402" s="27" t="str">
        <f aca="false">IF($D402=0,"Sem embarque",IF($K402&gt;0,"Recebe","Paga"))</f>
        <v>Sem embarque</v>
      </c>
    </row>
    <row r="403" customFormat="false" ht="15" hidden="false" customHeight="false" outlineLevel="0" collapsed="false">
      <c r="A403" s="27" t="s">
        <v>50</v>
      </c>
      <c r="B403" s="27" t="s">
        <v>59</v>
      </c>
      <c r="C403" s="27" t="s">
        <v>111</v>
      </c>
      <c r="D403" s="34" t="n">
        <f aca="false">SUMIFS(Desconto_Cliente_Mes!$D$2:$D$433,Desconto_Cliente_Mes!$A$2:$A$433,$A403,Desconto_Cliente_Mes!$B$2:$B$433,$B403,Desconto_Cliente_Mes!$C$2:$C$433,$C403)</f>
        <v>0</v>
      </c>
      <c r="E403" s="37" t="str">
        <f aca="false">INDEX(Desconto_Cliente_Mes!$K$2:$K$433,MATCH($A403&amp;"|"&amp;$B403&amp;"|"&amp;$C403,Desconto_Cliente_Mes!$W$2:$W$433,0))</f>
        <v/>
      </c>
      <c r="F403" s="39" t="n">
        <f aca="false">SUMIFS(Desconto_Cliente_Mes!$U$2:$U$433,Desconto_Cliente_Mes!$A$2:$A$433,$A403,Desconto_Cliente_Mes!$B$2:$B$433,$B403,Desconto_Cliente_Mes!$C$2:$C$433,$C403)</f>
        <v>0</v>
      </c>
      <c r="G403" s="39" t="n">
        <f aca="false">SUMIFS(Desconto_Cliente_Mes!$U$2:$U$433,Desconto_Cliente_Mes!$B$2:$B$433,$B403,Desconto_Cliente_Mes!$C$2:$C$433,$C403,Desconto_Cliente_Mes!$K$2:$K$433,"Sim")</f>
        <v>47707.8352836299</v>
      </c>
      <c r="H403" s="37" t="n">
        <f aca="false">SUMIFS(Desconto_Cliente_Mes!$D$2:$D$433,Desconto_Cliente_Mes!$B$2:$B$433,$B403,Desconto_Cliente_Mes!$C$2:$C$433,$C403,Desconto_Cliente_Mes!$K$2:$K$433,"Nao",Desconto_Cliente_Mes!$D$2:$D$433,"&gt;0")</f>
        <v>185268.24</v>
      </c>
      <c r="I403" s="42" t="n">
        <f aca="false">IF(AND($E403="Nao",$D403&gt;0,$H403&gt;0),$D403/$H403,0)</f>
        <v>0</v>
      </c>
      <c r="J403" s="40" t="n">
        <f aca="false">$I403*$G403</f>
        <v>0</v>
      </c>
      <c r="K403" s="40" t="n">
        <f aca="false">$J403-$F403</f>
        <v>0</v>
      </c>
      <c r="L403" s="27" t="str">
        <f aca="false">IF($D403=0,"Sem embarque",IF($K403&gt;0,"Recebe","Paga"))</f>
        <v>Sem embarque</v>
      </c>
    </row>
    <row r="404" customFormat="false" ht="15" hidden="false" customHeight="false" outlineLevel="0" collapsed="false">
      <c r="A404" s="27" t="s">
        <v>50</v>
      </c>
      <c r="B404" s="27" t="s">
        <v>60</v>
      </c>
      <c r="C404" s="27" t="s">
        <v>109</v>
      </c>
      <c r="D404" s="34" t="n">
        <f aca="false">SUMIFS(Desconto_Cliente_Mes!$D$2:$D$433,Desconto_Cliente_Mes!$A$2:$A$433,$A404,Desconto_Cliente_Mes!$B$2:$B$433,$B404,Desconto_Cliente_Mes!$C$2:$C$433,$C404)</f>
        <v>0</v>
      </c>
      <c r="E404" s="37" t="str">
        <f aca="false">INDEX(Desconto_Cliente_Mes!$K$2:$K$433,MATCH($A404&amp;"|"&amp;$B404&amp;"|"&amp;$C404,Desconto_Cliente_Mes!$W$2:$W$433,0))</f>
        <v/>
      </c>
      <c r="F404" s="39" t="n">
        <f aca="false">SUMIFS(Desconto_Cliente_Mes!$U$2:$U$433,Desconto_Cliente_Mes!$A$2:$A$433,$A404,Desconto_Cliente_Mes!$B$2:$B$433,$B404,Desconto_Cliente_Mes!$C$2:$C$433,$C404)</f>
        <v>0</v>
      </c>
      <c r="G404" s="39" t="n">
        <f aca="false">SUMIFS(Desconto_Cliente_Mes!$U$2:$U$433,Desconto_Cliente_Mes!$B$2:$B$433,$B404,Desconto_Cliente_Mes!$C$2:$C$433,$C404,Desconto_Cliente_Mes!$K$2:$K$433,"Sim")</f>
        <v>75633.0761548471</v>
      </c>
      <c r="H404" s="37" t="n">
        <f aca="false">SUMIFS(Desconto_Cliente_Mes!$D$2:$D$433,Desconto_Cliente_Mes!$B$2:$B$433,$B404,Desconto_Cliente_Mes!$C$2:$C$433,$C404,Desconto_Cliente_Mes!$K$2:$K$433,"Nao",Desconto_Cliente_Mes!$D$2:$D$433,"&gt;0")</f>
        <v>55750.4</v>
      </c>
      <c r="I404" s="42" t="n">
        <f aca="false">IF(AND($E404="Nao",$D404&gt;0,$H404&gt;0),$D404/$H404,0)</f>
        <v>0</v>
      </c>
      <c r="J404" s="40" t="n">
        <f aca="false">$I404*$G404</f>
        <v>0</v>
      </c>
      <c r="K404" s="40" t="n">
        <f aca="false">$J404-$F404</f>
        <v>0</v>
      </c>
      <c r="L404" s="27" t="str">
        <f aca="false">IF($D404=0,"Sem embarque",IF($K404&gt;0,"Recebe","Paga"))</f>
        <v>Sem embarque</v>
      </c>
    </row>
    <row r="405" customFormat="false" ht="15" hidden="false" customHeight="false" outlineLevel="0" collapsed="false">
      <c r="A405" s="27" t="s">
        <v>50</v>
      </c>
      <c r="B405" s="27" t="s">
        <v>60</v>
      </c>
      <c r="C405" s="27" t="s">
        <v>110</v>
      </c>
      <c r="D405" s="34" t="n">
        <f aca="false">SUMIFS(Desconto_Cliente_Mes!$D$2:$D$433,Desconto_Cliente_Mes!$A$2:$A$433,$A405,Desconto_Cliente_Mes!$B$2:$B$433,$B405,Desconto_Cliente_Mes!$C$2:$C$433,$C405)</f>
        <v>0</v>
      </c>
      <c r="E405" s="37" t="str">
        <f aca="false">INDEX(Desconto_Cliente_Mes!$K$2:$K$433,MATCH($A405&amp;"|"&amp;$B405&amp;"|"&amp;$C405,Desconto_Cliente_Mes!$W$2:$W$433,0))</f>
        <v/>
      </c>
      <c r="F405" s="39" t="n">
        <f aca="false">SUMIFS(Desconto_Cliente_Mes!$U$2:$U$433,Desconto_Cliente_Mes!$A$2:$A$433,$A405,Desconto_Cliente_Mes!$B$2:$B$433,$B405,Desconto_Cliente_Mes!$C$2:$C$433,$C405)</f>
        <v>0</v>
      </c>
      <c r="G405" s="39" t="n">
        <f aca="false">SUMIFS(Desconto_Cliente_Mes!$U$2:$U$433,Desconto_Cliente_Mes!$B$2:$B$433,$B405,Desconto_Cliente_Mes!$C$2:$C$433,$C405,Desconto_Cliente_Mes!$K$2:$K$433,"Sim")</f>
        <v>0</v>
      </c>
      <c r="H405" s="37" t="n">
        <f aca="false">SUMIFS(Desconto_Cliente_Mes!$D$2:$D$433,Desconto_Cliente_Mes!$B$2:$B$433,$B405,Desconto_Cliente_Mes!$C$2:$C$433,$C405,Desconto_Cliente_Mes!$K$2:$K$433,"Nao",Desconto_Cliente_Mes!$D$2:$D$433,"&gt;0")</f>
        <v>240729.22</v>
      </c>
      <c r="I405" s="42" t="n">
        <f aca="false">IF(AND($E405="Nao",$D405&gt;0,$H405&gt;0),$D405/$H405,0)</f>
        <v>0</v>
      </c>
      <c r="J405" s="40" t="n">
        <f aca="false">$I405*$G405</f>
        <v>0</v>
      </c>
      <c r="K405" s="40" t="n">
        <f aca="false">$J405-$F405</f>
        <v>0</v>
      </c>
      <c r="L405" s="27" t="str">
        <f aca="false">IF($D405=0,"Sem embarque",IF($K405&gt;0,"Recebe","Paga"))</f>
        <v>Sem embarque</v>
      </c>
    </row>
    <row r="406" customFormat="false" ht="15" hidden="false" customHeight="false" outlineLevel="0" collapsed="false">
      <c r="A406" s="27" t="s">
        <v>50</v>
      </c>
      <c r="B406" s="27" t="s">
        <v>60</v>
      </c>
      <c r="C406" s="27" t="s">
        <v>111</v>
      </c>
      <c r="D406" s="34" t="n">
        <f aca="false">SUMIFS(Desconto_Cliente_Mes!$D$2:$D$433,Desconto_Cliente_Mes!$A$2:$A$433,$A406,Desconto_Cliente_Mes!$B$2:$B$433,$B406,Desconto_Cliente_Mes!$C$2:$C$433,$C406)</f>
        <v>0</v>
      </c>
      <c r="E406" s="37" t="str">
        <f aca="false">INDEX(Desconto_Cliente_Mes!$K$2:$K$433,MATCH($A406&amp;"|"&amp;$B406&amp;"|"&amp;$C406,Desconto_Cliente_Mes!$W$2:$W$433,0))</f>
        <v/>
      </c>
      <c r="F406" s="39" t="n">
        <f aca="false">SUMIFS(Desconto_Cliente_Mes!$U$2:$U$433,Desconto_Cliente_Mes!$A$2:$A$433,$A406,Desconto_Cliente_Mes!$B$2:$B$433,$B406,Desconto_Cliente_Mes!$C$2:$C$433,$C406)</f>
        <v>0</v>
      </c>
      <c r="G406" s="39" t="n">
        <f aca="false">SUMIFS(Desconto_Cliente_Mes!$U$2:$U$433,Desconto_Cliente_Mes!$B$2:$B$433,$B406,Desconto_Cliente_Mes!$C$2:$C$433,$C406,Desconto_Cliente_Mes!$K$2:$K$433,"Sim")</f>
        <v>15973.4860651284</v>
      </c>
      <c r="H406" s="37" t="n">
        <f aca="false">SUMIFS(Desconto_Cliente_Mes!$D$2:$D$433,Desconto_Cliente_Mes!$B$2:$B$433,$B406,Desconto_Cliente_Mes!$C$2:$C$433,$C406,Desconto_Cliente_Mes!$K$2:$K$433,"Nao",Desconto_Cliente_Mes!$D$2:$D$433,"&gt;0")</f>
        <v>55750.4</v>
      </c>
      <c r="I406" s="42" t="n">
        <f aca="false">IF(AND($E406="Nao",$D406&gt;0,$H406&gt;0),$D406/$H406,0)</f>
        <v>0</v>
      </c>
      <c r="J406" s="40" t="n">
        <f aca="false">$I406*$G406</f>
        <v>0</v>
      </c>
      <c r="K406" s="40" t="n">
        <f aca="false">$J406-$F406</f>
        <v>0</v>
      </c>
      <c r="L406" s="27" t="str">
        <f aca="false">IF($D406=0,"Sem embarque",IF($K406&gt;0,"Recebe","Paga"))</f>
        <v>Sem embarque</v>
      </c>
    </row>
    <row r="407" customFormat="false" ht="15" hidden="false" customHeight="false" outlineLevel="0" collapsed="false">
      <c r="A407" s="27" t="s">
        <v>50</v>
      </c>
      <c r="B407" s="27" t="s">
        <v>61</v>
      </c>
      <c r="C407" s="27" t="s">
        <v>109</v>
      </c>
      <c r="D407" s="34" t="n">
        <f aca="false">SUMIFS(Desconto_Cliente_Mes!$D$2:$D$433,Desconto_Cliente_Mes!$A$2:$A$433,$A407,Desconto_Cliente_Mes!$B$2:$B$433,$B407,Desconto_Cliente_Mes!$C$2:$C$433,$C407)</f>
        <v>0</v>
      </c>
      <c r="E407" s="37" t="str">
        <f aca="false">INDEX(Desconto_Cliente_Mes!$K$2:$K$433,MATCH($A407&amp;"|"&amp;$B407&amp;"|"&amp;$C407,Desconto_Cliente_Mes!$W$2:$W$433,0))</f>
        <v/>
      </c>
      <c r="F407" s="39" t="n">
        <f aca="false">SUMIFS(Desconto_Cliente_Mes!$U$2:$U$433,Desconto_Cliente_Mes!$A$2:$A$433,$A407,Desconto_Cliente_Mes!$B$2:$B$433,$B407,Desconto_Cliente_Mes!$C$2:$C$433,$C407)</f>
        <v>0</v>
      </c>
      <c r="G407" s="39" t="n">
        <f aca="false">SUMIFS(Desconto_Cliente_Mes!$U$2:$U$433,Desconto_Cliente_Mes!$B$2:$B$433,$B407,Desconto_Cliente_Mes!$C$2:$C$433,$C407,Desconto_Cliente_Mes!$K$2:$K$433,"Sim")</f>
        <v>101062.110385431</v>
      </c>
      <c r="H407" s="37" t="n">
        <f aca="false">SUMIFS(Desconto_Cliente_Mes!$D$2:$D$433,Desconto_Cliente_Mes!$B$2:$B$433,$B407,Desconto_Cliente_Mes!$C$2:$C$433,$C407,Desconto_Cliente_Mes!$K$2:$K$433,"Nao",Desconto_Cliente_Mes!$D$2:$D$433,"&gt;0")</f>
        <v>195833.47</v>
      </c>
      <c r="I407" s="42" t="n">
        <f aca="false">IF(AND($E407="Nao",$D407&gt;0,$H407&gt;0),$D407/$H407,0)</f>
        <v>0</v>
      </c>
      <c r="J407" s="40" t="n">
        <f aca="false">$I407*$G407</f>
        <v>0</v>
      </c>
      <c r="K407" s="40" t="n">
        <f aca="false">$J407-$F407</f>
        <v>0</v>
      </c>
      <c r="L407" s="27" t="str">
        <f aca="false">IF($D407=0,"Sem embarque",IF($K407&gt;0,"Recebe","Paga"))</f>
        <v>Sem embarque</v>
      </c>
    </row>
    <row r="408" customFormat="false" ht="15" hidden="false" customHeight="false" outlineLevel="0" collapsed="false">
      <c r="A408" s="27" t="s">
        <v>50</v>
      </c>
      <c r="B408" s="27" t="s">
        <v>61</v>
      </c>
      <c r="C408" s="27" t="s">
        <v>110</v>
      </c>
      <c r="D408" s="34" t="n">
        <f aca="false">SUMIFS(Desconto_Cliente_Mes!$D$2:$D$433,Desconto_Cliente_Mes!$A$2:$A$433,$A408,Desconto_Cliente_Mes!$B$2:$B$433,$B408,Desconto_Cliente_Mes!$C$2:$C$433,$C408)</f>
        <v>0</v>
      </c>
      <c r="E408" s="37" t="str">
        <f aca="false">INDEX(Desconto_Cliente_Mes!$K$2:$K$433,MATCH($A408&amp;"|"&amp;$B408&amp;"|"&amp;$C408,Desconto_Cliente_Mes!$W$2:$W$433,0))</f>
        <v/>
      </c>
      <c r="F408" s="39" t="n">
        <f aca="false">SUMIFS(Desconto_Cliente_Mes!$U$2:$U$433,Desconto_Cliente_Mes!$A$2:$A$433,$A408,Desconto_Cliente_Mes!$B$2:$B$433,$B408,Desconto_Cliente_Mes!$C$2:$C$433,$C408)</f>
        <v>0</v>
      </c>
      <c r="G408" s="39" t="n">
        <f aca="false">SUMIFS(Desconto_Cliente_Mes!$U$2:$U$433,Desconto_Cliente_Mes!$B$2:$B$433,$B408,Desconto_Cliente_Mes!$C$2:$C$433,$C408,Desconto_Cliente_Mes!$K$2:$K$433,"Sim")</f>
        <v>89392.5188999994</v>
      </c>
      <c r="H408" s="37" t="n">
        <f aca="false">SUMIFS(Desconto_Cliente_Mes!$D$2:$D$433,Desconto_Cliente_Mes!$B$2:$B$433,$B408,Desconto_Cliente_Mes!$C$2:$C$433,$C408,Desconto_Cliente_Mes!$K$2:$K$433,"Nao",Desconto_Cliente_Mes!$D$2:$D$433,"&gt;0")</f>
        <v>315561.27</v>
      </c>
      <c r="I408" s="42" t="n">
        <f aca="false">IF(AND($E408="Nao",$D408&gt;0,$H408&gt;0),$D408/$H408,0)</f>
        <v>0</v>
      </c>
      <c r="J408" s="40" t="n">
        <f aca="false">$I408*$G408</f>
        <v>0</v>
      </c>
      <c r="K408" s="40" t="n">
        <f aca="false">$J408-$F408</f>
        <v>0</v>
      </c>
      <c r="L408" s="27" t="str">
        <f aca="false">IF($D408=0,"Sem embarque",IF($K408&gt;0,"Recebe","Paga"))</f>
        <v>Sem embarque</v>
      </c>
    </row>
    <row r="409" customFormat="false" ht="15" hidden="false" customHeight="false" outlineLevel="0" collapsed="false">
      <c r="A409" s="27" t="s">
        <v>50</v>
      </c>
      <c r="B409" s="27" t="s">
        <v>61</v>
      </c>
      <c r="C409" s="27" t="s">
        <v>111</v>
      </c>
      <c r="D409" s="34" t="n">
        <f aca="false">SUMIFS(Desconto_Cliente_Mes!$D$2:$D$433,Desconto_Cliente_Mes!$A$2:$A$433,$A409,Desconto_Cliente_Mes!$B$2:$B$433,$B409,Desconto_Cliente_Mes!$C$2:$C$433,$C409)</f>
        <v>0</v>
      </c>
      <c r="E409" s="37" t="str">
        <f aca="false">INDEX(Desconto_Cliente_Mes!$K$2:$K$433,MATCH($A409&amp;"|"&amp;$B409&amp;"|"&amp;$C409,Desconto_Cliente_Mes!$W$2:$W$433,0))</f>
        <v/>
      </c>
      <c r="F409" s="39" t="n">
        <f aca="false">SUMIFS(Desconto_Cliente_Mes!$U$2:$U$433,Desconto_Cliente_Mes!$A$2:$A$433,$A409,Desconto_Cliente_Mes!$B$2:$B$433,$B409,Desconto_Cliente_Mes!$C$2:$C$433,$C409)</f>
        <v>0</v>
      </c>
      <c r="G409" s="39" t="n">
        <f aca="false">SUMIFS(Desconto_Cliente_Mes!$U$2:$U$433,Desconto_Cliente_Mes!$B$2:$B$433,$B409,Desconto_Cliente_Mes!$C$2:$C$433,$C409,Desconto_Cliente_Mes!$K$2:$K$433,"Sim")</f>
        <v>45945.9604253753</v>
      </c>
      <c r="H409" s="37" t="n">
        <f aca="false">SUMIFS(Desconto_Cliente_Mes!$D$2:$D$433,Desconto_Cliente_Mes!$B$2:$B$433,$B409,Desconto_Cliente_Mes!$C$2:$C$433,$C409,Desconto_Cliente_Mes!$K$2:$K$433,"Nao",Desconto_Cliente_Mes!$D$2:$D$433,"&gt;0")</f>
        <v>238706.16</v>
      </c>
      <c r="I409" s="42" t="n">
        <f aca="false">IF(AND($E409="Nao",$D409&gt;0,$H409&gt;0),$D409/$H409,0)</f>
        <v>0</v>
      </c>
      <c r="J409" s="40" t="n">
        <f aca="false">$I409*$G409</f>
        <v>0</v>
      </c>
      <c r="K409" s="40" t="n">
        <f aca="false">$J409-$F409</f>
        <v>0</v>
      </c>
      <c r="L409" s="27" t="str">
        <f aca="false">IF($D409=0,"Sem embarque",IF($K409&gt;0,"Recebe","Paga"))</f>
        <v>Sem embarque</v>
      </c>
    </row>
    <row r="410" customFormat="false" ht="15" hidden="false" customHeight="false" outlineLevel="0" collapsed="false">
      <c r="A410" s="27" t="s">
        <v>50</v>
      </c>
      <c r="B410" s="27" t="s">
        <v>62</v>
      </c>
      <c r="C410" s="27" t="s">
        <v>109</v>
      </c>
      <c r="D410" s="34" t="n">
        <f aca="false">SUMIFS(Desconto_Cliente_Mes!$D$2:$D$433,Desconto_Cliente_Mes!$A$2:$A$433,$A410,Desconto_Cliente_Mes!$B$2:$B$433,$B410,Desconto_Cliente_Mes!$C$2:$C$433,$C410)</f>
        <v>0</v>
      </c>
      <c r="E410" s="37" t="str">
        <f aca="false">INDEX(Desconto_Cliente_Mes!$K$2:$K$433,MATCH($A410&amp;"|"&amp;$B410&amp;"|"&amp;$C410,Desconto_Cliente_Mes!$W$2:$W$433,0))</f>
        <v/>
      </c>
      <c r="F410" s="39" t="n">
        <f aca="false">SUMIFS(Desconto_Cliente_Mes!$U$2:$U$433,Desconto_Cliente_Mes!$A$2:$A$433,$A410,Desconto_Cliente_Mes!$B$2:$B$433,$B410,Desconto_Cliente_Mes!$C$2:$C$433,$C410)</f>
        <v>0</v>
      </c>
      <c r="G410" s="39" t="n">
        <f aca="false">SUMIFS(Desconto_Cliente_Mes!$U$2:$U$433,Desconto_Cliente_Mes!$B$2:$B$433,$B410,Desconto_Cliente_Mes!$C$2:$C$433,$C410,Desconto_Cliente_Mes!$K$2:$K$433,"Sim")</f>
        <v>82370.9873921197</v>
      </c>
      <c r="H410" s="37" t="n">
        <f aca="false">SUMIFS(Desconto_Cliente_Mes!$D$2:$D$433,Desconto_Cliente_Mes!$B$2:$B$433,$B410,Desconto_Cliente_Mes!$C$2:$C$433,$C410,Desconto_Cliente_Mes!$K$2:$K$433,"Nao",Desconto_Cliente_Mes!$D$2:$D$433,"&gt;0")</f>
        <v>113342.84</v>
      </c>
      <c r="I410" s="42" t="n">
        <f aca="false">IF(AND($E410="Nao",$D410&gt;0,$H410&gt;0),$D410/$H410,0)</f>
        <v>0</v>
      </c>
      <c r="J410" s="40" t="n">
        <f aca="false">$I410*$G410</f>
        <v>0</v>
      </c>
      <c r="K410" s="40" t="n">
        <f aca="false">$J410-$F410</f>
        <v>0</v>
      </c>
      <c r="L410" s="27" t="str">
        <f aca="false">IF($D410=0,"Sem embarque",IF($K410&gt;0,"Recebe","Paga"))</f>
        <v>Sem embarque</v>
      </c>
    </row>
    <row r="411" customFormat="false" ht="15" hidden="false" customHeight="false" outlineLevel="0" collapsed="false">
      <c r="A411" s="27" t="s">
        <v>50</v>
      </c>
      <c r="B411" s="27" t="s">
        <v>62</v>
      </c>
      <c r="C411" s="27" t="s">
        <v>110</v>
      </c>
      <c r="D411" s="34" t="n">
        <f aca="false">SUMIFS(Desconto_Cliente_Mes!$D$2:$D$433,Desconto_Cliente_Mes!$A$2:$A$433,$A411,Desconto_Cliente_Mes!$B$2:$B$433,$B411,Desconto_Cliente_Mes!$C$2:$C$433,$C411)</f>
        <v>0</v>
      </c>
      <c r="E411" s="37" t="str">
        <f aca="false">INDEX(Desconto_Cliente_Mes!$K$2:$K$433,MATCH($A411&amp;"|"&amp;$B411&amp;"|"&amp;$C411,Desconto_Cliente_Mes!$W$2:$W$433,0))</f>
        <v/>
      </c>
      <c r="F411" s="39" t="n">
        <f aca="false">SUMIFS(Desconto_Cliente_Mes!$U$2:$U$433,Desconto_Cliente_Mes!$A$2:$A$433,$A411,Desconto_Cliente_Mes!$B$2:$B$433,$B411,Desconto_Cliente_Mes!$C$2:$C$433,$C411)</f>
        <v>0</v>
      </c>
      <c r="G411" s="39" t="n">
        <f aca="false">SUMIFS(Desconto_Cliente_Mes!$U$2:$U$433,Desconto_Cliente_Mes!$B$2:$B$433,$B411,Desconto_Cliente_Mes!$C$2:$C$433,$C411,Desconto_Cliente_Mes!$K$2:$K$433,"Sim")</f>
        <v>18695.6934849998</v>
      </c>
      <c r="H411" s="37" t="n">
        <f aca="false">SUMIFS(Desconto_Cliente_Mes!$D$2:$D$433,Desconto_Cliente_Mes!$B$2:$B$433,$B411,Desconto_Cliente_Mes!$C$2:$C$433,$C411,Desconto_Cliente_Mes!$K$2:$K$433,"Nao",Desconto_Cliente_Mes!$D$2:$D$433,"&gt;0")</f>
        <v>209144.13</v>
      </c>
      <c r="I411" s="42" t="n">
        <f aca="false">IF(AND($E411="Nao",$D411&gt;0,$H411&gt;0),$D411/$H411,0)</f>
        <v>0</v>
      </c>
      <c r="J411" s="40" t="n">
        <f aca="false">$I411*$G411</f>
        <v>0</v>
      </c>
      <c r="K411" s="40" t="n">
        <f aca="false">$J411-$F411</f>
        <v>0</v>
      </c>
      <c r="L411" s="27" t="str">
        <f aca="false">IF($D411=0,"Sem embarque",IF($K411&gt;0,"Recebe","Paga"))</f>
        <v>Sem embarque</v>
      </c>
    </row>
    <row r="412" customFormat="false" ht="15" hidden="false" customHeight="false" outlineLevel="0" collapsed="false">
      <c r="A412" s="27" t="s">
        <v>50</v>
      </c>
      <c r="B412" s="27" t="s">
        <v>62</v>
      </c>
      <c r="C412" s="27" t="s">
        <v>111</v>
      </c>
      <c r="D412" s="34" t="n">
        <f aca="false">SUMIFS(Desconto_Cliente_Mes!$D$2:$D$433,Desconto_Cliente_Mes!$A$2:$A$433,$A412,Desconto_Cliente_Mes!$B$2:$B$433,$B412,Desconto_Cliente_Mes!$C$2:$C$433,$C412)</f>
        <v>0</v>
      </c>
      <c r="E412" s="37" t="str">
        <f aca="false">INDEX(Desconto_Cliente_Mes!$K$2:$K$433,MATCH($A412&amp;"|"&amp;$B412&amp;"|"&amp;$C412,Desconto_Cliente_Mes!$W$2:$W$433,0))</f>
        <v/>
      </c>
      <c r="F412" s="39" t="n">
        <f aca="false">SUMIFS(Desconto_Cliente_Mes!$U$2:$U$433,Desconto_Cliente_Mes!$A$2:$A$433,$A412,Desconto_Cliente_Mes!$B$2:$B$433,$B412,Desconto_Cliente_Mes!$C$2:$C$433,$C412)</f>
        <v>0</v>
      </c>
      <c r="G412" s="39" t="n">
        <f aca="false">SUMIFS(Desconto_Cliente_Mes!$U$2:$U$433,Desconto_Cliente_Mes!$B$2:$B$433,$B412,Desconto_Cliente_Mes!$C$2:$C$433,$C412,Desconto_Cliente_Mes!$K$2:$K$433,"Sim")</f>
        <v>34643.0933013345</v>
      </c>
      <c r="H412" s="37" t="n">
        <f aca="false">SUMIFS(Desconto_Cliente_Mes!$D$2:$D$433,Desconto_Cliente_Mes!$B$2:$B$433,$B412,Desconto_Cliente_Mes!$C$2:$C$433,$C412,Desconto_Cliente_Mes!$K$2:$K$433,"Nao",Desconto_Cliente_Mes!$D$2:$D$433,"&gt;0")</f>
        <v>157163.21</v>
      </c>
      <c r="I412" s="42" t="n">
        <f aca="false">IF(AND($E412="Nao",$D412&gt;0,$H412&gt;0),$D412/$H412,0)</f>
        <v>0</v>
      </c>
      <c r="J412" s="40" t="n">
        <f aca="false">$I412*$G412</f>
        <v>0</v>
      </c>
      <c r="K412" s="40" t="n">
        <f aca="false">$J412-$F412</f>
        <v>0</v>
      </c>
      <c r="L412" s="27" t="str">
        <f aca="false">IF($D412=0,"Sem embarque",IF($K412&gt;0,"Recebe","Paga"))</f>
        <v>Sem embarque</v>
      </c>
    </row>
    <row r="413" customFormat="false" ht="15" hidden="false" customHeight="false" outlineLevel="0" collapsed="false">
      <c r="A413" s="27" t="s">
        <v>50</v>
      </c>
      <c r="B413" s="27" t="s">
        <v>63</v>
      </c>
      <c r="C413" s="27" t="s">
        <v>109</v>
      </c>
      <c r="D413" s="34" t="n">
        <f aca="false">SUMIFS(Desconto_Cliente_Mes!$D$2:$D$433,Desconto_Cliente_Mes!$A$2:$A$433,$A413,Desconto_Cliente_Mes!$B$2:$B$433,$B413,Desconto_Cliente_Mes!$C$2:$C$433,$C413)</f>
        <v>0</v>
      </c>
      <c r="E413" s="37" t="str">
        <f aca="false">INDEX(Desconto_Cliente_Mes!$K$2:$K$433,MATCH($A413&amp;"|"&amp;$B413&amp;"|"&amp;$C413,Desconto_Cliente_Mes!$W$2:$W$433,0))</f>
        <v/>
      </c>
      <c r="F413" s="39" t="n">
        <f aca="false">SUMIFS(Desconto_Cliente_Mes!$U$2:$U$433,Desconto_Cliente_Mes!$A$2:$A$433,$A413,Desconto_Cliente_Mes!$B$2:$B$433,$B413,Desconto_Cliente_Mes!$C$2:$C$433,$C413)</f>
        <v>0</v>
      </c>
      <c r="G413" s="39" t="n">
        <f aca="false">SUMIFS(Desconto_Cliente_Mes!$U$2:$U$433,Desconto_Cliente_Mes!$B$2:$B$433,$B413,Desconto_Cliente_Mes!$C$2:$C$433,$C413,Desconto_Cliente_Mes!$K$2:$K$433,"Sim")</f>
        <v>47810.1541211094</v>
      </c>
      <c r="H413" s="37" t="n">
        <f aca="false">SUMIFS(Desconto_Cliente_Mes!$D$2:$D$433,Desconto_Cliente_Mes!$B$2:$B$433,$B413,Desconto_Cliente_Mes!$C$2:$C$433,$C413,Desconto_Cliente_Mes!$K$2:$K$433,"Nao",Desconto_Cliente_Mes!$D$2:$D$433,"&gt;0")</f>
        <v>127871.4</v>
      </c>
      <c r="I413" s="42" t="n">
        <f aca="false">IF(AND($E413="Nao",$D413&gt;0,$H413&gt;0),$D413/$H413,0)</f>
        <v>0</v>
      </c>
      <c r="J413" s="40" t="n">
        <f aca="false">$I413*$G413</f>
        <v>0</v>
      </c>
      <c r="K413" s="40" t="n">
        <f aca="false">$J413-$F413</f>
        <v>0</v>
      </c>
      <c r="L413" s="27" t="str">
        <f aca="false">IF($D413=0,"Sem embarque",IF($K413&gt;0,"Recebe","Paga"))</f>
        <v>Sem embarque</v>
      </c>
    </row>
    <row r="414" customFormat="false" ht="15" hidden="false" customHeight="false" outlineLevel="0" collapsed="false">
      <c r="A414" s="27" t="s">
        <v>50</v>
      </c>
      <c r="B414" s="27" t="s">
        <v>63</v>
      </c>
      <c r="C414" s="27" t="s">
        <v>110</v>
      </c>
      <c r="D414" s="34" t="n">
        <f aca="false">SUMIFS(Desconto_Cliente_Mes!$D$2:$D$433,Desconto_Cliente_Mes!$A$2:$A$433,$A414,Desconto_Cliente_Mes!$B$2:$B$433,$B414,Desconto_Cliente_Mes!$C$2:$C$433,$C414)</f>
        <v>0</v>
      </c>
      <c r="E414" s="37" t="str">
        <f aca="false">INDEX(Desconto_Cliente_Mes!$K$2:$K$433,MATCH($A414&amp;"|"&amp;$B414&amp;"|"&amp;$C414,Desconto_Cliente_Mes!$W$2:$W$433,0))</f>
        <v/>
      </c>
      <c r="F414" s="39" t="n">
        <f aca="false">SUMIFS(Desconto_Cliente_Mes!$U$2:$U$433,Desconto_Cliente_Mes!$A$2:$A$433,$A414,Desconto_Cliente_Mes!$B$2:$B$433,$B414,Desconto_Cliente_Mes!$C$2:$C$433,$C414)</f>
        <v>0</v>
      </c>
      <c r="G414" s="39" t="n">
        <f aca="false">SUMIFS(Desconto_Cliente_Mes!$U$2:$U$433,Desconto_Cliente_Mes!$B$2:$B$433,$B414,Desconto_Cliente_Mes!$C$2:$C$433,$C414,Desconto_Cliente_Mes!$K$2:$K$433,"Sim")</f>
        <v>147648.667120088</v>
      </c>
      <c r="H414" s="37" t="n">
        <f aca="false">SUMIFS(Desconto_Cliente_Mes!$D$2:$D$433,Desconto_Cliente_Mes!$B$2:$B$433,$B414,Desconto_Cliente_Mes!$C$2:$C$433,$C414,Desconto_Cliente_Mes!$K$2:$K$433,"Nao",Desconto_Cliente_Mes!$D$2:$D$433,"&gt;0")</f>
        <v>232651.12</v>
      </c>
      <c r="I414" s="42" t="n">
        <f aca="false">IF(AND($E414="Nao",$D414&gt;0,$H414&gt;0),$D414/$H414,0)</f>
        <v>0</v>
      </c>
      <c r="J414" s="40" t="n">
        <f aca="false">$I414*$G414</f>
        <v>0</v>
      </c>
      <c r="K414" s="40" t="n">
        <f aca="false">$J414-$F414</f>
        <v>0</v>
      </c>
      <c r="L414" s="27" t="str">
        <f aca="false">IF($D414=0,"Sem embarque",IF($K414&gt;0,"Recebe","Paga"))</f>
        <v>Sem embarque</v>
      </c>
    </row>
    <row r="415" customFormat="false" ht="15" hidden="false" customHeight="false" outlineLevel="0" collapsed="false">
      <c r="A415" s="27" t="s">
        <v>50</v>
      </c>
      <c r="B415" s="27" t="s">
        <v>63</v>
      </c>
      <c r="C415" s="27" t="s">
        <v>111</v>
      </c>
      <c r="D415" s="34" t="n">
        <f aca="false">SUMIFS(Desconto_Cliente_Mes!$D$2:$D$433,Desconto_Cliente_Mes!$A$2:$A$433,$A415,Desconto_Cliente_Mes!$B$2:$B$433,$B415,Desconto_Cliente_Mes!$C$2:$C$433,$C415)</f>
        <v>0</v>
      </c>
      <c r="E415" s="37" t="str">
        <f aca="false">INDEX(Desconto_Cliente_Mes!$K$2:$K$433,MATCH($A415&amp;"|"&amp;$B415&amp;"|"&amp;$C415,Desconto_Cliente_Mes!$W$2:$W$433,0))</f>
        <v/>
      </c>
      <c r="F415" s="39" t="n">
        <f aca="false">SUMIFS(Desconto_Cliente_Mes!$U$2:$U$433,Desconto_Cliente_Mes!$A$2:$A$433,$A415,Desconto_Cliente_Mes!$B$2:$B$433,$B415,Desconto_Cliente_Mes!$C$2:$C$433,$C415)</f>
        <v>0</v>
      </c>
      <c r="G415" s="39" t="n">
        <f aca="false">SUMIFS(Desconto_Cliente_Mes!$U$2:$U$433,Desconto_Cliente_Mes!$B$2:$B$433,$B415,Desconto_Cliente_Mes!$C$2:$C$433,$C415,Desconto_Cliente_Mes!$K$2:$K$433,"Sim")</f>
        <v>31621.0546248943</v>
      </c>
      <c r="H415" s="37" t="n">
        <f aca="false">SUMIFS(Desconto_Cliente_Mes!$D$2:$D$433,Desconto_Cliente_Mes!$B$2:$B$433,$B415,Desconto_Cliente_Mes!$C$2:$C$433,$C415,Desconto_Cliente_Mes!$K$2:$K$433,"Nao",Desconto_Cliente_Mes!$D$2:$D$433,"&gt;0")</f>
        <v>127871.4</v>
      </c>
      <c r="I415" s="42" t="n">
        <f aca="false">IF(AND($E415="Nao",$D415&gt;0,$H415&gt;0),$D415/$H415,0)</f>
        <v>0</v>
      </c>
      <c r="J415" s="40" t="n">
        <f aca="false">$I415*$G415</f>
        <v>0</v>
      </c>
      <c r="K415" s="40" t="n">
        <f aca="false">$J415-$F415</f>
        <v>0</v>
      </c>
      <c r="L415" s="27" t="str">
        <f aca="false">IF($D415=0,"Sem embarque",IF($K415&gt;0,"Recebe","Paga"))</f>
        <v>Sem embarque</v>
      </c>
    </row>
    <row r="416" customFormat="false" ht="15" hidden="false" customHeight="false" outlineLevel="0" collapsed="false">
      <c r="A416" s="27" t="s">
        <v>50</v>
      </c>
      <c r="B416" s="27" t="s">
        <v>64</v>
      </c>
      <c r="C416" s="27" t="s">
        <v>109</v>
      </c>
      <c r="D416" s="34" t="n">
        <f aca="false">SUMIFS(Desconto_Cliente_Mes!$D$2:$D$433,Desconto_Cliente_Mes!$A$2:$A$433,$A416,Desconto_Cliente_Mes!$B$2:$B$433,$B416,Desconto_Cliente_Mes!$C$2:$C$433,$C416)</f>
        <v>0</v>
      </c>
      <c r="E416" s="37" t="str">
        <f aca="false">INDEX(Desconto_Cliente_Mes!$K$2:$K$433,MATCH($A416&amp;"|"&amp;$B416&amp;"|"&amp;$C416,Desconto_Cliente_Mes!$W$2:$W$433,0))</f>
        <v/>
      </c>
      <c r="F416" s="39" t="n">
        <f aca="false">SUMIFS(Desconto_Cliente_Mes!$U$2:$U$433,Desconto_Cliente_Mes!$A$2:$A$433,$A416,Desconto_Cliente_Mes!$B$2:$B$433,$B416,Desconto_Cliente_Mes!$C$2:$C$433,$C416)</f>
        <v>0</v>
      </c>
      <c r="G416" s="39" t="n">
        <f aca="false">SUMIFS(Desconto_Cliente_Mes!$U$2:$U$433,Desconto_Cliente_Mes!$B$2:$B$433,$B416,Desconto_Cliente_Mes!$C$2:$C$433,$C416,Desconto_Cliente_Mes!$K$2:$K$433,"Sim")</f>
        <v>176913.022848898</v>
      </c>
      <c r="H416" s="37" t="n">
        <f aca="false">SUMIFS(Desconto_Cliente_Mes!$D$2:$D$433,Desconto_Cliente_Mes!$B$2:$B$433,$B416,Desconto_Cliente_Mes!$C$2:$C$433,$C416,Desconto_Cliente_Mes!$K$2:$K$433,"Nao",Desconto_Cliente_Mes!$D$2:$D$433,"&gt;0")</f>
        <v>227119.227</v>
      </c>
      <c r="I416" s="42" t="n">
        <f aca="false">IF(AND($E416="Nao",$D416&gt;0,$H416&gt;0),$D416/$H416,0)</f>
        <v>0</v>
      </c>
      <c r="J416" s="40" t="n">
        <f aca="false">$I416*$G416</f>
        <v>0</v>
      </c>
      <c r="K416" s="40" t="n">
        <f aca="false">$J416-$F416</f>
        <v>0</v>
      </c>
      <c r="L416" s="27" t="str">
        <f aca="false">IF($D416=0,"Sem embarque",IF($K416&gt;0,"Recebe","Paga"))</f>
        <v>Sem embarque</v>
      </c>
    </row>
    <row r="417" customFormat="false" ht="15" hidden="false" customHeight="false" outlineLevel="0" collapsed="false">
      <c r="A417" s="27" t="s">
        <v>50</v>
      </c>
      <c r="B417" s="27" t="s">
        <v>64</v>
      </c>
      <c r="C417" s="27" t="s">
        <v>110</v>
      </c>
      <c r="D417" s="34" t="n">
        <f aca="false">SUMIFS(Desconto_Cliente_Mes!$D$2:$D$433,Desconto_Cliente_Mes!$A$2:$A$433,$A417,Desconto_Cliente_Mes!$B$2:$B$433,$B417,Desconto_Cliente_Mes!$C$2:$C$433,$C417)</f>
        <v>0</v>
      </c>
      <c r="E417" s="37" t="str">
        <f aca="false">INDEX(Desconto_Cliente_Mes!$K$2:$K$433,MATCH($A417&amp;"|"&amp;$B417&amp;"|"&amp;$C417,Desconto_Cliente_Mes!$W$2:$W$433,0))</f>
        <v/>
      </c>
      <c r="F417" s="39" t="n">
        <f aca="false">SUMIFS(Desconto_Cliente_Mes!$U$2:$U$433,Desconto_Cliente_Mes!$A$2:$A$433,$A417,Desconto_Cliente_Mes!$B$2:$B$433,$B417,Desconto_Cliente_Mes!$C$2:$C$433,$C417)</f>
        <v>0</v>
      </c>
      <c r="G417" s="39" t="n">
        <f aca="false">SUMIFS(Desconto_Cliente_Mes!$U$2:$U$433,Desconto_Cliente_Mes!$B$2:$B$433,$B417,Desconto_Cliente_Mes!$C$2:$C$433,$C417,Desconto_Cliente_Mes!$K$2:$K$433,"Sim")</f>
        <v>78148.4030953999</v>
      </c>
      <c r="H417" s="37" t="n">
        <f aca="false">SUMIFS(Desconto_Cliente_Mes!$D$2:$D$433,Desconto_Cliente_Mes!$B$2:$B$433,$B417,Desconto_Cliente_Mes!$C$2:$C$433,$C417,Desconto_Cliente_Mes!$K$2:$K$433,"Nao",Desconto_Cliente_Mes!$D$2:$D$433,"&gt;0")</f>
        <v>367366.52</v>
      </c>
      <c r="I417" s="42" t="n">
        <f aca="false">IF(AND($E417="Nao",$D417&gt;0,$H417&gt;0),$D417/$H417,0)</f>
        <v>0</v>
      </c>
      <c r="J417" s="40" t="n">
        <f aca="false">$I417*$G417</f>
        <v>0</v>
      </c>
      <c r="K417" s="40" t="n">
        <f aca="false">$J417-$F417</f>
        <v>0</v>
      </c>
      <c r="L417" s="27" t="str">
        <f aca="false">IF($D417=0,"Sem embarque",IF($K417&gt;0,"Recebe","Paga"))</f>
        <v>Sem embarque</v>
      </c>
    </row>
    <row r="418" customFormat="false" ht="15" hidden="false" customHeight="false" outlineLevel="0" collapsed="false">
      <c r="A418" s="27" t="s">
        <v>50</v>
      </c>
      <c r="B418" s="27" t="s">
        <v>64</v>
      </c>
      <c r="C418" s="27" t="s">
        <v>111</v>
      </c>
      <c r="D418" s="34" t="n">
        <f aca="false">SUMIFS(Desconto_Cliente_Mes!$D$2:$D$433,Desconto_Cliente_Mes!$A$2:$A$433,$A418,Desconto_Cliente_Mes!$B$2:$B$433,$B418,Desconto_Cliente_Mes!$C$2:$C$433,$C418)</f>
        <v>0</v>
      </c>
      <c r="E418" s="37" t="str">
        <f aca="false">INDEX(Desconto_Cliente_Mes!$K$2:$K$433,MATCH($A418&amp;"|"&amp;$B418&amp;"|"&amp;$C418,Desconto_Cliente_Mes!$W$2:$W$433,0))</f>
        <v/>
      </c>
      <c r="F418" s="39" t="n">
        <f aca="false">SUMIFS(Desconto_Cliente_Mes!$U$2:$U$433,Desconto_Cliente_Mes!$A$2:$A$433,$A418,Desconto_Cliente_Mes!$B$2:$B$433,$B418,Desconto_Cliente_Mes!$C$2:$C$433,$C418)</f>
        <v>0</v>
      </c>
      <c r="G418" s="39" t="n">
        <f aca="false">SUMIFS(Desconto_Cliente_Mes!$U$2:$U$433,Desconto_Cliente_Mes!$B$2:$B$433,$B418,Desconto_Cliente_Mes!$C$2:$C$433,$C418,Desconto_Cliente_Mes!$K$2:$K$433,"Sim")</f>
        <v>53234.6338979999</v>
      </c>
      <c r="H418" s="37" t="n">
        <f aca="false">SUMIFS(Desconto_Cliente_Mes!$D$2:$D$433,Desconto_Cliente_Mes!$B$2:$B$433,$B418,Desconto_Cliente_Mes!$C$2:$C$433,$C418,Desconto_Cliente_Mes!$K$2:$K$433,"Nao",Desconto_Cliente_Mes!$D$2:$D$433,"&gt;0")</f>
        <v>250467.867</v>
      </c>
      <c r="I418" s="42" t="n">
        <f aca="false">IF(AND($E418="Nao",$D418&gt;0,$H418&gt;0),$D418/$H418,0)</f>
        <v>0</v>
      </c>
      <c r="J418" s="40" t="n">
        <f aca="false">$I418*$G418</f>
        <v>0</v>
      </c>
      <c r="K418" s="40" t="n">
        <f aca="false">$J418-$F418</f>
        <v>0</v>
      </c>
      <c r="L418" s="27" t="str">
        <f aca="false">IF($D418=0,"Sem embarque",IF($K418&gt;0,"Recebe","Paga"))</f>
        <v>Sem embarque</v>
      </c>
    </row>
    <row r="419" customFormat="false" ht="15" hidden="false" customHeight="false" outlineLevel="0" collapsed="false">
      <c r="A419" s="27" t="s">
        <v>50</v>
      </c>
      <c r="B419" s="27" t="s">
        <v>65</v>
      </c>
      <c r="C419" s="27" t="s">
        <v>109</v>
      </c>
      <c r="D419" s="34" t="n">
        <f aca="false">SUMIFS(Desconto_Cliente_Mes!$D$2:$D$433,Desconto_Cliente_Mes!$A$2:$A$433,$A419,Desconto_Cliente_Mes!$B$2:$B$433,$B419,Desconto_Cliente_Mes!$C$2:$C$433,$C419)</f>
        <v>0</v>
      </c>
      <c r="E419" s="37" t="str">
        <f aca="false">INDEX(Desconto_Cliente_Mes!$K$2:$K$433,MATCH($A419&amp;"|"&amp;$B419&amp;"|"&amp;$C419,Desconto_Cliente_Mes!$W$2:$W$433,0))</f>
        <v/>
      </c>
      <c r="F419" s="39" t="n">
        <f aca="false">SUMIFS(Desconto_Cliente_Mes!$U$2:$U$433,Desconto_Cliente_Mes!$A$2:$A$433,$A419,Desconto_Cliente_Mes!$B$2:$B$433,$B419,Desconto_Cliente_Mes!$C$2:$C$433,$C419)</f>
        <v>0</v>
      </c>
      <c r="G419" s="39" t="n">
        <f aca="false">SUMIFS(Desconto_Cliente_Mes!$U$2:$U$433,Desconto_Cliente_Mes!$B$2:$B$433,$B419,Desconto_Cliente_Mes!$C$2:$C$433,$C419,Desconto_Cliente_Mes!$K$2:$K$433,"Sim")</f>
        <v>264399.663796851</v>
      </c>
      <c r="H419" s="37" t="n">
        <f aca="false">SUMIFS(Desconto_Cliente_Mes!$D$2:$D$433,Desconto_Cliente_Mes!$B$2:$B$433,$B419,Desconto_Cliente_Mes!$C$2:$C$433,$C419,Desconto_Cliente_Mes!$K$2:$K$433,"Nao",Desconto_Cliente_Mes!$D$2:$D$433,"&gt;0")</f>
        <v>166556.65</v>
      </c>
      <c r="I419" s="42" t="n">
        <f aca="false">IF(AND($E419="Nao",$D419&gt;0,$H419&gt;0),$D419/$H419,0)</f>
        <v>0</v>
      </c>
      <c r="J419" s="40" t="n">
        <f aca="false">$I419*$G419</f>
        <v>0</v>
      </c>
      <c r="K419" s="40" t="n">
        <f aca="false">$J419-$F419</f>
        <v>0</v>
      </c>
      <c r="L419" s="27" t="str">
        <f aca="false">IF($D419=0,"Sem embarque",IF($K419&gt;0,"Recebe","Paga"))</f>
        <v>Sem embarque</v>
      </c>
    </row>
    <row r="420" customFormat="false" ht="15" hidden="false" customHeight="false" outlineLevel="0" collapsed="false">
      <c r="A420" s="27" t="s">
        <v>50</v>
      </c>
      <c r="B420" s="27" t="s">
        <v>65</v>
      </c>
      <c r="C420" s="27" t="s">
        <v>110</v>
      </c>
      <c r="D420" s="34" t="n">
        <f aca="false">SUMIFS(Desconto_Cliente_Mes!$D$2:$D$433,Desconto_Cliente_Mes!$A$2:$A$433,$A420,Desconto_Cliente_Mes!$B$2:$B$433,$B420,Desconto_Cliente_Mes!$C$2:$C$433,$C420)</f>
        <v>0</v>
      </c>
      <c r="E420" s="37" t="str">
        <f aca="false">INDEX(Desconto_Cliente_Mes!$K$2:$K$433,MATCH($A420&amp;"|"&amp;$B420&amp;"|"&amp;$C420,Desconto_Cliente_Mes!$W$2:$W$433,0))</f>
        <v/>
      </c>
      <c r="F420" s="39" t="n">
        <f aca="false">SUMIFS(Desconto_Cliente_Mes!$U$2:$U$433,Desconto_Cliente_Mes!$A$2:$A$433,$A420,Desconto_Cliente_Mes!$B$2:$B$433,$B420,Desconto_Cliente_Mes!$C$2:$C$433,$C420)</f>
        <v>0</v>
      </c>
      <c r="G420" s="39" t="n">
        <f aca="false">SUMIFS(Desconto_Cliente_Mes!$U$2:$U$433,Desconto_Cliente_Mes!$B$2:$B$433,$B420,Desconto_Cliente_Mes!$C$2:$C$433,$C420,Desconto_Cliente_Mes!$K$2:$K$433,"Sim")</f>
        <v>54942.617336</v>
      </c>
      <c r="H420" s="37" t="n">
        <f aca="false">SUMIFS(Desconto_Cliente_Mes!$D$2:$D$433,Desconto_Cliente_Mes!$B$2:$B$433,$B420,Desconto_Cliente_Mes!$C$2:$C$433,$C420,Desconto_Cliente_Mes!$K$2:$K$433,"Nao",Desconto_Cliente_Mes!$D$2:$D$433,"&gt;0")</f>
        <v>378160.7</v>
      </c>
      <c r="I420" s="42" t="n">
        <f aca="false">IF(AND($E420="Nao",$D420&gt;0,$H420&gt;0),$D420/$H420,0)</f>
        <v>0</v>
      </c>
      <c r="J420" s="40" t="n">
        <f aca="false">$I420*$G420</f>
        <v>0</v>
      </c>
      <c r="K420" s="40" t="n">
        <f aca="false">$J420-$F420</f>
        <v>0</v>
      </c>
      <c r="L420" s="27" t="str">
        <f aca="false">IF($D420=0,"Sem embarque",IF($K420&gt;0,"Recebe","Paga"))</f>
        <v>Sem embarque</v>
      </c>
    </row>
    <row r="421" customFormat="false" ht="15" hidden="false" customHeight="false" outlineLevel="0" collapsed="false">
      <c r="A421" s="27" t="s">
        <v>50</v>
      </c>
      <c r="B421" s="27" t="s">
        <v>65</v>
      </c>
      <c r="C421" s="27" t="s">
        <v>111</v>
      </c>
      <c r="D421" s="34" t="n">
        <f aca="false">SUMIFS(Desconto_Cliente_Mes!$D$2:$D$433,Desconto_Cliente_Mes!$A$2:$A$433,$A421,Desconto_Cliente_Mes!$B$2:$B$433,$B421,Desconto_Cliente_Mes!$C$2:$C$433,$C421)</f>
        <v>0</v>
      </c>
      <c r="E421" s="37" t="str">
        <f aca="false">INDEX(Desconto_Cliente_Mes!$K$2:$K$433,MATCH($A421&amp;"|"&amp;$B421&amp;"|"&amp;$C421,Desconto_Cliente_Mes!$W$2:$W$433,0))</f>
        <v/>
      </c>
      <c r="F421" s="39" t="n">
        <f aca="false">SUMIFS(Desconto_Cliente_Mes!$U$2:$U$433,Desconto_Cliente_Mes!$A$2:$A$433,$A421,Desconto_Cliente_Mes!$B$2:$B$433,$B421,Desconto_Cliente_Mes!$C$2:$C$433,$C421)</f>
        <v>0</v>
      </c>
      <c r="G421" s="39" t="n">
        <f aca="false">SUMIFS(Desconto_Cliente_Mes!$U$2:$U$433,Desconto_Cliente_Mes!$B$2:$B$433,$B421,Desconto_Cliente_Mes!$C$2:$C$433,$C421,Desconto_Cliente_Mes!$K$2:$K$433,"Sim")</f>
        <v>131995.749729693</v>
      </c>
      <c r="H421" s="37" t="n">
        <f aca="false">SUMIFS(Desconto_Cliente_Mes!$D$2:$D$433,Desconto_Cliente_Mes!$B$2:$B$433,$B421,Desconto_Cliente_Mes!$C$2:$C$433,$C421,Desconto_Cliente_Mes!$K$2:$K$433,"Nao",Desconto_Cliente_Mes!$D$2:$D$433,"&gt;0")</f>
        <v>132693.79</v>
      </c>
      <c r="I421" s="42" t="n">
        <f aca="false">IF(AND($E421="Nao",$D421&gt;0,$H421&gt;0),$D421/$H421,0)</f>
        <v>0</v>
      </c>
      <c r="J421" s="40" t="n">
        <f aca="false">$I421*$G421</f>
        <v>0</v>
      </c>
      <c r="K421" s="40" t="n">
        <f aca="false">$J421-$F421</f>
        <v>0</v>
      </c>
      <c r="L421" s="27" t="str">
        <f aca="false">IF($D421=0,"Sem embarque",IF($K421&gt;0,"Recebe","Paga"))</f>
        <v>Sem embarque</v>
      </c>
    </row>
    <row r="422" customFormat="false" ht="15" hidden="false" customHeight="false" outlineLevel="0" collapsed="false">
      <c r="A422" s="27" t="s">
        <v>50</v>
      </c>
      <c r="B422" s="27" t="s">
        <v>66</v>
      </c>
      <c r="C422" s="27" t="s">
        <v>109</v>
      </c>
      <c r="D422" s="34" t="n">
        <f aca="false">SUMIFS(Desconto_Cliente_Mes!$D$2:$D$433,Desconto_Cliente_Mes!$A$2:$A$433,$A422,Desconto_Cliente_Mes!$B$2:$B$433,$B422,Desconto_Cliente_Mes!$C$2:$C$433,$C422)</f>
        <v>0</v>
      </c>
      <c r="E422" s="37" t="str">
        <f aca="false">INDEX(Desconto_Cliente_Mes!$K$2:$K$433,MATCH($A422&amp;"|"&amp;$B422&amp;"|"&amp;$C422,Desconto_Cliente_Mes!$W$2:$W$433,0))</f>
        <v/>
      </c>
      <c r="F422" s="39" t="n">
        <f aca="false">SUMIFS(Desconto_Cliente_Mes!$U$2:$U$433,Desconto_Cliente_Mes!$A$2:$A$433,$A422,Desconto_Cliente_Mes!$B$2:$B$433,$B422,Desconto_Cliente_Mes!$C$2:$C$433,$C422)</f>
        <v>0</v>
      </c>
      <c r="G422" s="39" t="n">
        <f aca="false">SUMIFS(Desconto_Cliente_Mes!$U$2:$U$433,Desconto_Cliente_Mes!$B$2:$B$433,$B422,Desconto_Cliente_Mes!$C$2:$C$433,$C422,Desconto_Cliente_Mes!$K$2:$K$433,"Sim")</f>
        <v>26408.1404587724</v>
      </c>
      <c r="H422" s="37" t="n">
        <f aca="false">SUMIFS(Desconto_Cliente_Mes!$D$2:$D$433,Desconto_Cliente_Mes!$B$2:$B$433,$B422,Desconto_Cliente_Mes!$C$2:$C$433,$C422,Desconto_Cliente_Mes!$K$2:$K$433,"Nao",Desconto_Cliente_Mes!$D$2:$D$433,"&gt;0")</f>
        <v>25249.51</v>
      </c>
      <c r="I422" s="42" t="n">
        <f aca="false">IF(AND($E422="Nao",$D422&gt;0,$H422&gt;0),$D422/$H422,0)</f>
        <v>0</v>
      </c>
      <c r="J422" s="40" t="n">
        <f aca="false">$I422*$G422</f>
        <v>0</v>
      </c>
      <c r="K422" s="40" t="n">
        <f aca="false">$J422-$F422</f>
        <v>0</v>
      </c>
      <c r="L422" s="27" t="str">
        <f aca="false">IF($D422=0,"Sem embarque",IF($K422&gt;0,"Recebe","Paga"))</f>
        <v>Sem embarque</v>
      </c>
    </row>
    <row r="423" customFormat="false" ht="15" hidden="false" customHeight="false" outlineLevel="0" collapsed="false">
      <c r="A423" s="27" t="s">
        <v>50</v>
      </c>
      <c r="B423" s="27" t="s">
        <v>66</v>
      </c>
      <c r="C423" s="27" t="s">
        <v>110</v>
      </c>
      <c r="D423" s="34" t="n">
        <f aca="false">SUMIFS(Desconto_Cliente_Mes!$D$2:$D$433,Desconto_Cliente_Mes!$A$2:$A$433,$A423,Desconto_Cliente_Mes!$B$2:$B$433,$B423,Desconto_Cliente_Mes!$C$2:$C$433,$C423)</f>
        <v>0</v>
      </c>
      <c r="E423" s="37" t="str">
        <f aca="false">INDEX(Desconto_Cliente_Mes!$K$2:$K$433,MATCH($A423&amp;"|"&amp;$B423&amp;"|"&amp;$C423,Desconto_Cliente_Mes!$W$2:$W$433,0))</f>
        <v/>
      </c>
      <c r="F423" s="39" t="n">
        <f aca="false">SUMIFS(Desconto_Cliente_Mes!$U$2:$U$433,Desconto_Cliente_Mes!$A$2:$A$433,$A423,Desconto_Cliente_Mes!$B$2:$B$433,$B423,Desconto_Cliente_Mes!$C$2:$C$433,$C423)</f>
        <v>0</v>
      </c>
      <c r="G423" s="39" t="n">
        <f aca="false">SUMIFS(Desconto_Cliente_Mes!$U$2:$U$433,Desconto_Cliente_Mes!$B$2:$B$433,$B423,Desconto_Cliente_Mes!$C$2:$C$433,$C423,Desconto_Cliente_Mes!$K$2:$K$433,"Sim")</f>
        <v>20574.688366</v>
      </c>
      <c r="H423" s="37" t="n">
        <f aca="false">SUMIFS(Desconto_Cliente_Mes!$D$2:$D$433,Desconto_Cliente_Mes!$B$2:$B$433,$B423,Desconto_Cliente_Mes!$C$2:$C$433,$C423,Desconto_Cliente_Mes!$K$2:$K$433,"Nao",Desconto_Cliente_Mes!$D$2:$D$433,"&gt;0")</f>
        <v>36785.35</v>
      </c>
      <c r="I423" s="42" t="n">
        <f aca="false">IF(AND($E423="Nao",$D423&gt;0,$H423&gt;0),$D423/$H423,0)</f>
        <v>0</v>
      </c>
      <c r="J423" s="40" t="n">
        <f aca="false">$I423*$G423</f>
        <v>0</v>
      </c>
      <c r="K423" s="40" t="n">
        <f aca="false">$J423-$F423</f>
        <v>0</v>
      </c>
      <c r="L423" s="27" t="str">
        <f aca="false">IF($D423=0,"Sem embarque",IF($K423&gt;0,"Recebe","Paga"))</f>
        <v>Sem embarque</v>
      </c>
    </row>
    <row r="424" customFormat="false" ht="15" hidden="false" customHeight="false" outlineLevel="0" collapsed="false">
      <c r="A424" s="27" t="s">
        <v>50</v>
      </c>
      <c r="B424" s="27" t="s">
        <v>66</v>
      </c>
      <c r="C424" s="27" t="s">
        <v>111</v>
      </c>
      <c r="D424" s="34" t="n">
        <f aca="false">SUMIFS(Desconto_Cliente_Mes!$D$2:$D$433,Desconto_Cliente_Mes!$A$2:$A$433,$A424,Desconto_Cliente_Mes!$B$2:$B$433,$B424,Desconto_Cliente_Mes!$C$2:$C$433,$C424)</f>
        <v>0</v>
      </c>
      <c r="E424" s="37" t="str">
        <f aca="false">INDEX(Desconto_Cliente_Mes!$K$2:$K$433,MATCH($A424&amp;"|"&amp;$B424&amp;"|"&amp;$C424,Desconto_Cliente_Mes!$W$2:$W$433,0))</f>
        <v/>
      </c>
      <c r="F424" s="39" t="n">
        <f aca="false">SUMIFS(Desconto_Cliente_Mes!$U$2:$U$433,Desconto_Cliente_Mes!$A$2:$A$433,$A424,Desconto_Cliente_Mes!$B$2:$B$433,$B424,Desconto_Cliente_Mes!$C$2:$C$433,$C424)</f>
        <v>0</v>
      </c>
      <c r="G424" s="39" t="n">
        <f aca="false">SUMIFS(Desconto_Cliente_Mes!$U$2:$U$433,Desconto_Cliente_Mes!$B$2:$B$433,$B424,Desconto_Cliente_Mes!$C$2:$C$433,$C424,Desconto_Cliente_Mes!$K$2:$K$433,"Sim")</f>
        <v>12224.7687289319</v>
      </c>
      <c r="H424" s="37" t="n">
        <f aca="false">SUMIFS(Desconto_Cliente_Mes!$D$2:$D$433,Desconto_Cliente_Mes!$B$2:$B$433,$B424,Desconto_Cliente_Mes!$C$2:$C$433,$C424,Desconto_Cliente_Mes!$K$2:$K$433,"Nao",Desconto_Cliente_Mes!$D$2:$D$433,"&gt;0")</f>
        <v>41847.52</v>
      </c>
      <c r="I424" s="42" t="n">
        <f aca="false">IF(AND($E424="Nao",$D424&gt;0,$H424&gt;0),$D424/$H424,0)</f>
        <v>0</v>
      </c>
      <c r="J424" s="40" t="n">
        <f aca="false">$I424*$G424</f>
        <v>0</v>
      </c>
      <c r="K424" s="40" t="n">
        <f aca="false">$J424-$F424</f>
        <v>0</v>
      </c>
      <c r="L424" s="27" t="str">
        <f aca="false">IF($D424=0,"Sem embarque",IF($K424&gt;0,"Recebe","Paga"))</f>
        <v>Sem embarque</v>
      </c>
    </row>
    <row r="425" customFormat="false" ht="15" hidden="false" customHeight="false" outlineLevel="0" collapsed="false">
      <c r="A425" s="27" t="s">
        <v>50</v>
      </c>
      <c r="B425" s="27" t="s">
        <v>67</v>
      </c>
      <c r="C425" s="27" t="s">
        <v>109</v>
      </c>
      <c r="D425" s="34" t="n">
        <f aca="false">SUMIFS(Desconto_Cliente_Mes!$D$2:$D$433,Desconto_Cliente_Mes!$A$2:$A$433,$A425,Desconto_Cliente_Mes!$B$2:$B$433,$B425,Desconto_Cliente_Mes!$C$2:$C$433,$C425)</f>
        <v>0</v>
      </c>
      <c r="E425" s="37" t="str">
        <f aca="false">INDEX(Desconto_Cliente_Mes!$K$2:$K$433,MATCH($A425&amp;"|"&amp;$B425&amp;"|"&amp;$C425,Desconto_Cliente_Mes!$W$2:$W$433,0))</f>
        <v/>
      </c>
      <c r="F425" s="39" t="n">
        <f aca="false">SUMIFS(Desconto_Cliente_Mes!$U$2:$U$433,Desconto_Cliente_Mes!$A$2:$A$433,$A425,Desconto_Cliente_Mes!$B$2:$B$433,$B425,Desconto_Cliente_Mes!$C$2:$C$433,$C425)</f>
        <v>0</v>
      </c>
      <c r="G425" s="39" t="n">
        <f aca="false">SUMIFS(Desconto_Cliente_Mes!$U$2:$U$433,Desconto_Cliente_Mes!$B$2:$B$433,$B425,Desconto_Cliente_Mes!$C$2:$C$433,$C425,Desconto_Cliente_Mes!$K$2:$K$433,"Sim")</f>
        <v>0</v>
      </c>
      <c r="H425" s="37" t="n">
        <f aca="false">SUMIFS(Desconto_Cliente_Mes!$D$2:$D$433,Desconto_Cliente_Mes!$B$2:$B$433,$B425,Desconto_Cliente_Mes!$C$2:$C$433,$C425,Desconto_Cliente_Mes!$K$2:$K$433,"Nao",Desconto_Cliente_Mes!$D$2:$D$433,"&gt;0")</f>
        <v>0</v>
      </c>
      <c r="I425" s="42" t="n">
        <f aca="false">IF(AND($E425="Nao",$D425&gt;0,$H425&gt;0),$D425/$H425,0)</f>
        <v>0</v>
      </c>
      <c r="J425" s="40" t="n">
        <f aca="false">$I425*$G425</f>
        <v>0</v>
      </c>
      <c r="K425" s="40" t="n">
        <f aca="false">$J425-$F425</f>
        <v>0</v>
      </c>
      <c r="L425" s="27" t="str">
        <f aca="false">IF($D425=0,"Sem embarque",IF($K425&gt;0,"Recebe","Paga"))</f>
        <v>Sem embarque</v>
      </c>
    </row>
    <row r="426" customFormat="false" ht="15" hidden="false" customHeight="false" outlineLevel="0" collapsed="false">
      <c r="A426" s="27" t="s">
        <v>50</v>
      </c>
      <c r="B426" s="27" t="s">
        <v>67</v>
      </c>
      <c r="C426" s="27" t="s">
        <v>110</v>
      </c>
      <c r="D426" s="34" t="n">
        <f aca="false">SUMIFS(Desconto_Cliente_Mes!$D$2:$D$433,Desconto_Cliente_Mes!$A$2:$A$433,$A426,Desconto_Cliente_Mes!$B$2:$B$433,$B426,Desconto_Cliente_Mes!$C$2:$C$433,$C426)</f>
        <v>0</v>
      </c>
      <c r="E426" s="37" t="str">
        <f aca="false">INDEX(Desconto_Cliente_Mes!$K$2:$K$433,MATCH($A426&amp;"|"&amp;$B426&amp;"|"&amp;$C426,Desconto_Cliente_Mes!$W$2:$W$433,0))</f>
        <v/>
      </c>
      <c r="F426" s="39" t="n">
        <f aca="false">SUMIFS(Desconto_Cliente_Mes!$U$2:$U$433,Desconto_Cliente_Mes!$A$2:$A$433,$A426,Desconto_Cliente_Mes!$B$2:$B$433,$B426,Desconto_Cliente_Mes!$C$2:$C$433,$C426)</f>
        <v>0</v>
      </c>
      <c r="G426" s="39" t="n">
        <f aca="false">SUMIFS(Desconto_Cliente_Mes!$U$2:$U$433,Desconto_Cliente_Mes!$B$2:$B$433,$B426,Desconto_Cliente_Mes!$C$2:$C$433,$C426,Desconto_Cliente_Mes!$K$2:$K$433,"Sim")</f>
        <v>0</v>
      </c>
      <c r="H426" s="37" t="n">
        <f aca="false">SUMIFS(Desconto_Cliente_Mes!$D$2:$D$433,Desconto_Cliente_Mes!$B$2:$B$433,$B426,Desconto_Cliente_Mes!$C$2:$C$433,$C426,Desconto_Cliente_Mes!$K$2:$K$433,"Nao",Desconto_Cliente_Mes!$D$2:$D$433,"&gt;0")</f>
        <v>0</v>
      </c>
      <c r="I426" s="42" t="n">
        <f aca="false">IF(AND($E426="Nao",$D426&gt;0,$H426&gt;0),$D426/$H426,0)</f>
        <v>0</v>
      </c>
      <c r="J426" s="40" t="n">
        <f aca="false">$I426*$G426</f>
        <v>0</v>
      </c>
      <c r="K426" s="40" t="n">
        <f aca="false">$J426-$F426</f>
        <v>0</v>
      </c>
      <c r="L426" s="27" t="str">
        <f aca="false">IF($D426=0,"Sem embarque",IF($K426&gt;0,"Recebe","Paga"))</f>
        <v>Sem embarque</v>
      </c>
    </row>
    <row r="427" customFormat="false" ht="15" hidden="false" customHeight="false" outlineLevel="0" collapsed="false">
      <c r="A427" s="27" t="s">
        <v>50</v>
      </c>
      <c r="B427" s="27" t="s">
        <v>67</v>
      </c>
      <c r="C427" s="27" t="s">
        <v>111</v>
      </c>
      <c r="D427" s="34" t="n">
        <f aca="false">SUMIFS(Desconto_Cliente_Mes!$D$2:$D$433,Desconto_Cliente_Mes!$A$2:$A$433,$A427,Desconto_Cliente_Mes!$B$2:$B$433,$B427,Desconto_Cliente_Mes!$C$2:$C$433,$C427)</f>
        <v>0</v>
      </c>
      <c r="E427" s="37" t="str">
        <f aca="false">INDEX(Desconto_Cliente_Mes!$K$2:$K$433,MATCH($A427&amp;"|"&amp;$B427&amp;"|"&amp;$C427,Desconto_Cliente_Mes!$W$2:$W$433,0))</f>
        <v/>
      </c>
      <c r="F427" s="39" t="n">
        <f aca="false">SUMIFS(Desconto_Cliente_Mes!$U$2:$U$433,Desconto_Cliente_Mes!$A$2:$A$433,$A427,Desconto_Cliente_Mes!$B$2:$B$433,$B427,Desconto_Cliente_Mes!$C$2:$C$433,$C427)</f>
        <v>0</v>
      </c>
      <c r="G427" s="39" t="n">
        <f aca="false">SUMIFS(Desconto_Cliente_Mes!$U$2:$U$433,Desconto_Cliente_Mes!$B$2:$B$433,$B427,Desconto_Cliente_Mes!$C$2:$C$433,$C427,Desconto_Cliente_Mes!$K$2:$K$433,"Sim")</f>
        <v>0</v>
      </c>
      <c r="H427" s="37" t="n">
        <f aca="false">SUMIFS(Desconto_Cliente_Mes!$D$2:$D$433,Desconto_Cliente_Mes!$B$2:$B$433,$B427,Desconto_Cliente_Mes!$C$2:$C$433,$C427,Desconto_Cliente_Mes!$K$2:$K$433,"Nao",Desconto_Cliente_Mes!$D$2:$D$433,"&gt;0")</f>
        <v>0</v>
      </c>
      <c r="I427" s="42" t="n">
        <f aca="false">IF(AND($E427="Nao",$D427&gt;0,$H427&gt;0),$D427/$H427,0)</f>
        <v>0</v>
      </c>
      <c r="J427" s="40" t="n">
        <f aca="false">$I427*$G427</f>
        <v>0</v>
      </c>
      <c r="K427" s="40" t="n">
        <f aca="false">$J427-$F427</f>
        <v>0</v>
      </c>
      <c r="L427" s="27" t="str">
        <f aca="false">IF($D427=0,"Sem embarque",IF($K427&gt;0,"Recebe","Paga"))</f>
        <v>Sem embarque</v>
      </c>
    </row>
    <row r="428" customFormat="false" ht="15" hidden="false" customHeight="false" outlineLevel="0" collapsed="false">
      <c r="A428" s="27" t="s">
        <v>50</v>
      </c>
      <c r="B428" s="27" t="s">
        <v>68</v>
      </c>
      <c r="C428" s="27" t="s">
        <v>109</v>
      </c>
      <c r="D428" s="34" t="n">
        <f aca="false">SUMIFS(Desconto_Cliente_Mes!$D$2:$D$433,Desconto_Cliente_Mes!$A$2:$A$433,$A428,Desconto_Cliente_Mes!$B$2:$B$433,$B428,Desconto_Cliente_Mes!$C$2:$C$433,$C428)</f>
        <v>0</v>
      </c>
      <c r="E428" s="37" t="str">
        <f aca="false">INDEX(Desconto_Cliente_Mes!$K$2:$K$433,MATCH($A428&amp;"|"&amp;$B428&amp;"|"&amp;$C428,Desconto_Cliente_Mes!$W$2:$W$433,0))</f>
        <v/>
      </c>
      <c r="F428" s="39" t="n">
        <f aca="false">SUMIFS(Desconto_Cliente_Mes!$U$2:$U$433,Desconto_Cliente_Mes!$A$2:$A$433,$A428,Desconto_Cliente_Mes!$B$2:$B$433,$B428,Desconto_Cliente_Mes!$C$2:$C$433,$C428)</f>
        <v>0</v>
      </c>
      <c r="G428" s="39" t="n">
        <f aca="false">SUMIFS(Desconto_Cliente_Mes!$U$2:$U$433,Desconto_Cliente_Mes!$B$2:$B$433,$B428,Desconto_Cliente_Mes!$C$2:$C$433,$C428,Desconto_Cliente_Mes!$K$2:$K$433,"Sim")</f>
        <v>0</v>
      </c>
      <c r="H428" s="37" t="n">
        <f aca="false">SUMIFS(Desconto_Cliente_Mes!$D$2:$D$433,Desconto_Cliente_Mes!$B$2:$B$433,$B428,Desconto_Cliente_Mes!$C$2:$C$433,$C428,Desconto_Cliente_Mes!$K$2:$K$433,"Nao",Desconto_Cliente_Mes!$D$2:$D$433,"&gt;0")</f>
        <v>0</v>
      </c>
      <c r="I428" s="42" t="n">
        <f aca="false">IF(AND($E428="Nao",$D428&gt;0,$H428&gt;0),$D428/$H428,0)</f>
        <v>0</v>
      </c>
      <c r="J428" s="40" t="n">
        <f aca="false">$I428*$G428</f>
        <v>0</v>
      </c>
      <c r="K428" s="40" t="n">
        <f aca="false">$J428-$F428</f>
        <v>0</v>
      </c>
      <c r="L428" s="27" t="str">
        <f aca="false">IF($D428=0,"Sem embarque",IF($K428&gt;0,"Recebe","Paga"))</f>
        <v>Sem embarque</v>
      </c>
    </row>
    <row r="429" customFormat="false" ht="15" hidden="false" customHeight="false" outlineLevel="0" collapsed="false">
      <c r="A429" s="27" t="s">
        <v>50</v>
      </c>
      <c r="B429" s="27" t="s">
        <v>68</v>
      </c>
      <c r="C429" s="27" t="s">
        <v>110</v>
      </c>
      <c r="D429" s="34" t="n">
        <f aca="false">SUMIFS(Desconto_Cliente_Mes!$D$2:$D$433,Desconto_Cliente_Mes!$A$2:$A$433,$A429,Desconto_Cliente_Mes!$B$2:$B$433,$B429,Desconto_Cliente_Mes!$C$2:$C$433,$C429)</f>
        <v>0</v>
      </c>
      <c r="E429" s="37" t="str">
        <f aca="false">INDEX(Desconto_Cliente_Mes!$K$2:$K$433,MATCH($A429&amp;"|"&amp;$B429&amp;"|"&amp;$C429,Desconto_Cliente_Mes!$W$2:$W$433,0))</f>
        <v/>
      </c>
      <c r="F429" s="39" t="n">
        <f aca="false">SUMIFS(Desconto_Cliente_Mes!$U$2:$U$433,Desconto_Cliente_Mes!$A$2:$A$433,$A429,Desconto_Cliente_Mes!$B$2:$B$433,$B429,Desconto_Cliente_Mes!$C$2:$C$433,$C429)</f>
        <v>0</v>
      </c>
      <c r="G429" s="39" t="n">
        <f aca="false">SUMIFS(Desconto_Cliente_Mes!$U$2:$U$433,Desconto_Cliente_Mes!$B$2:$B$433,$B429,Desconto_Cliente_Mes!$C$2:$C$433,$C429,Desconto_Cliente_Mes!$K$2:$K$433,"Sim")</f>
        <v>0</v>
      </c>
      <c r="H429" s="37" t="n">
        <f aca="false">SUMIFS(Desconto_Cliente_Mes!$D$2:$D$433,Desconto_Cliente_Mes!$B$2:$B$433,$B429,Desconto_Cliente_Mes!$C$2:$C$433,$C429,Desconto_Cliente_Mes!$K$2:$K$433,"Nao",Desconto_Cliente_Mes!$D$2:$D$433,"&gt;0")</f>
        <v>0</v>
      </c>
      <c r="I429" s="42" t="n">
        <f aca="false">IF(AND($E429="Nao",$D429&gt;0,$H429&gt;0),$D429/$H429,0)</f>
        <v>0</v>
      </c>
      <c r="J429" s="40" t="n">
        <f aca="false">$I429*$G429</f>
        <v>0</v>
      </c>
      <c r="K429" s="40" t="n">
        <f aca="false">$J429-$F429</f>
        <v>0</v>
      </c>
      <c r="L429" s="27" t="str">
        <f aca="false">IF($D429=0,"Sem embarque",IF($K429&gt;0,"Recebe","Paga"))</f>
        <v>Sem embarque</v>
      </c>
    </row>
    <row r="430" customFormat="false" ht="15" hidden="false" customHeight="false" outlineLevel="0" collapsed="false">
      <c r="A430" s="27" t="s">
        <v>50</v>
      </c>
      <c r="B430" s="27" t="s">
        <v>68</v>
      </c>
      <c r="C430" s="27" t="s">
        <v>111</v>
      </c>
      <c r="D430" s="34" t="n">
        <f aca="false">SUMIFS(Desconto_Cliente_Mes!$D$2:$D$433,Desconto_Cliente_Mes!$A$2:$A$433,$A430,Desconto_Cliente_Mes!$B$2:$B$433,$B430,Desconto_Cliente_Mes!$C$2:$C$433,$C430)</f>
        <v>0</v>
      </c>
      <c r="E430" s="37" t="str">
        <f aca="false">INDEX(Desconto_Cliente_Mes!$K$2:$K$433,MATCH($A430&amp;"|"&amp;$B430&amp;"|"&amp;$C430,Desconto_Cliente_Mes!$W$2:$W$433,0))</f>
        <v/>
      </c>
      <c r="F430" s="39" t="n">
        <f aca="false">SUMIFS(Desconto_Cliente_Mes!$U$2:$U$433,Desconto_Cliente_Mes!$A$2:$A$433,$A430,Desconto_Cliente_Mes!$B$2:$B$433,$B430,Desconto_Cliente_Mes!$C$2:$C$433,$C430)</f>
        <v>0</v>
      </c>
      <c r="G430" s="39" t="n">
        <f aca="false">SUMIFS(Desconto_Cliente_Mes!$U$2:$U$433,Desconto_Cliente_Mes!$B$2:$B$433,$B430,Desconto_Cliente_Mes!$C$2:$C$433,$C430,Desconto_Cliente_Mes!$K$2:$K$433,"Sim")</f>
        <v>0</v>
      </c>
      <c r="H430" s="37" t="n">
        <f aca="false">SUMIFS(Desconto_Cliente_Mes!$D$2:$D$433,Desconto_Cliente_Mes!$B$2:$B$433,$B430,Desconto_Cliente_Mes!$C$2:$C$433,$C430,Desconto_Cliente_Mes!$K$2:$K$433,"Nao",Desconto_Cliente_Mes!$D$2:$D$433,"&gt;0")</f>
        <v>0</v>
      </c>
      <c r="I430" s="42" t="n">
        <f aca="false">IF(AND($E430="Nao",$D430&gt;0,$H430&gt;0),$D430/$H430,0)</f>
        <v>0</v>
      </c>
      <c r="J430" s="40" t="n">
        <f aca="false">$I430*$G430</f>
        <v>0</v>
      </c>
      <c r="K430" s="40" t="n">
        <f aca="false">$J430-$F430</f>
        <v>0</v>
      </c>
      <c r="L430" s="27" t="str">
        <f aca="false">IF($D430=0,"Sem embarque",IF($K430&gt;0,"Recebe","Paga"))</f>
        <v>Sem embarque</v>
      </c>
    </row>
    <row r="431" customFormat="false" ht="15" hidden="false" customHeight="false" outlineLevel="0" collapsed="false">
      <c r="A431" s="27" t="s">
        <v>50</v>
      </c>
      <c r="B431" s="27" t="s">
        <v>69</v>
      </c>
      <c r="C431" s="27" t="s">
        <v>109</v>
      </c>
      <c r="D431" s="34" t="n">
        <f aca="false">SUMIFS(Desconto_Cliente_Mes!$D$2:$D$433,Desconto_Cliente_Mes!$A$2:$A$433,$A431,Desconto_Cliente_Mes!$B$2:$B$433,$B431,Desconto_Cliente_Mes!$C$2:$C$433,$C431)</f>
        <v>0</v>
      </c>
      <c r="E431" s="37" t="str">
        <f aca="false">INDEX(Desconto_Cliente_Mes!$K$2:$K$433,MATCH($A431&amp;"|"&amp;$B431&amp;"|"&amp;$C431,Desconto_Cliente_Mes!$W$2:$W$433,0))</f>
        <v/>
      </c>
      <c r="F431" s="39" t="n">
        <f aca="false">SUMIFS(Desconto_Cliente_Mes!$U$2:$U$433,Desconto_Cliente_Mes!$A$2:$A$433,$A431,Desconto_Cliente_Mes!$B$2:$B$433,$B431,Desconto_Cliente_Mes!$C$2:$C$433,$C431)</f>
        <v>0</v>
      </c>
      <c r="G431" s="39" t="n">
        <f aca="false">SUMIFS(Desconto_Cliente_Mes!$U$2:$U$433,Desconto_Cliente_Mes!$B$2:$B$433,$B431,Desconto_Cliente_Mes!$C$2:$C$433,$C431,Desconto_Cliente_Mes!$K$2:$K$433,"Sim")</f>
        <v>0</v>
      </c>
      <c r="H431" s="37" t="n">
        <f aca="false">SUMIFS(Desconto_Cliente_Mes!$D$2:$D$433,Desconto_Cliente_Mes!$B$2:$B$433,$B431,Desconto_Cliente_Mes!$C$2:$C$433,$C431,Desconto_Cliente_Mes!$K$2:$K$433,"Nao",Desconto_Cliente_Mes!$D$2:$D$433,"&gt;0")</f>
        <v>0</v>
      </c>
      <c r="I431" s="42" t="n">
        <f aca="false">IF(AND($E431="Nao",$D431&gt;0,$H431&gt;0),$D431/$H431,0)</f>
        <v>0</v>
      </c>
      <c r="J431" s="40" t="n">
        <f aca="false">$I431*$G431</f>
        <v>0</v>
      </c>
      <c r="K431" s="40" t="n">
        <f aca="false">$J431-$F431</f>
        <v>0</v>
      </c>
      <c r="L431" s="27" t="str">
        <f aca="false">IF($D431=0,"Sem embarque",IF($K431&gt;0,"Recebe","Paga"))</f>
        <v>Sem embarque</v>
      </c>
    </row>
    <row r="432" customFormat="false" ht="15" hidden="false" customHeight="false" outlineLevel="0" collapsed="false">
      <c r="A432" s="27" t="s">
        <v>50</v>
      </c>
      <c r="B432" s="27" t="s">
        <v>69</v>
      </c>
      <c r="C432" s="27" t="s">
        <v>110</v>
      </c>
      <c r="D432" s="34" t="n">
        <f aca="false">SUMIFS(Desconto_Cliente_Mes!$D$2:$D$433,Desconto_Cliente_Mes!$A$2:$A$433,$A432,Desconto_Cliente_Mes!$B$2:$B$433,$B432,Desconto_Cliente_Mes!$C$2:$C$433,$C432)</f>
        <v>0</v>
      </c>
      <c r="E432" s="37" t="str">
        <f aca="false">INDEX(Desconto_Cliente_Mes!$K$2:$K$433,MATCH($A432&amp;"|"&amp;$B432&amp;"|"&amp;$C432,Desconto_Cliente_Mes!$W$2:$W$433,0))</f>
        <v/>
      </c>
      <c r="F432" s="39" t="n">
        <f aca="false">SUMIFS(Desconto_Cliente_Mes!$U$2:$U$433,Desconto_Cliente_Mes!$A$2:$A$433,$A432,Desconto_Cliente_Mes!$B$2:$B$433,$B432,Desconto_Cliente_Mes!$C$2:$C$433,$C432)</f>
        <v>0</v>
      </c>
      <c r="G432" s="39" t="n">
        <f aca="false">SUMIFS(Desconto_Cliente_Mes!$U$2:$U$433,Desconto_Cliente_Mes!$B$2:$B$433,$B432,Desconto_Cliente_Mes!$C$2:$C$433,$C432,Desconto_Cliente_Mes!$K$2:$K$433,"Sim")</f>
        <v>0</v>
      </c>
      <c r="H432" s="37" t="n">
        <f aca="false">SUMIFS(Desconto_Cliente_Mes!$D$2:$D$433,Desconto_Cliente_Mes!$B$2:$B$433,$B432,Desconto_Cliente_Mes!$C$2:$C$433,$C432,Desconto_Cliente_Mes!$K$2:$K$433,"Nao",Desconto_Cliente_Mes!$D$2:$D$433,"&gt;0")</f>
        <v>0</v>
      </c>
      <c r="I432" s="42" t="n">
        <f aca="false">IF(AND($E432="Nao",$D432&gt;0,$H432&gt;0),$D432/$H432,0)</f>
        <v>0</v>
      </c>
      <c r="J432" s="40" t="n">
        <f aca="false">$I432*$G432</f>
        <v>0</v>
      </c>
      <c r="K432" s="40" t="n">
        <f aca="false">$J432-$F432</f>
        <v>0</v>
      </c>
      <c r="L432" s="27" t="str">
        <f aca="false">IF($D432=0,"Sem embarque",IF($K432&gt;0,"Recebe","Paga"))</f>
        <v>Sem embarque</v>
      </c>
    </row>
    <row r="433" customFormat="false" ht="15" hidden="false" customHeight="false" outlineLevel="0" collapsed="false">
      <c r="A433" s="27" t="s">
        <v>50</v>
      </c>
      <c r="B433" s="27" t="s">
        <v>69</v>
      </c>
      <c r="C433" s="27" t="s">
        <v>111</v>
      </c>
      <c r="D433" s="34" t="n">
        <f aca="false">SUMIFS(Desconto_Cliente_Mes!$D$2:$D$433,Desconto_Cliente_Mes!$A$2:$A$433,$A433,Desconto_Cliente_Mes!$B$2:$B$433,$B433,Desconto_Cliente_Mes!$C$2:$C$433,$C433)</f>
        <v>0</v>
      </c>
      <c r="E433" s="37" t="str">
        <f aca="false">INDEX(Desconto_Cliente_Mes!$K$2:$K$433,MATCH($A433&amp;"|"&amp;$B433&amp;"|"&amp;$C433,Desconto_Cliente_Mes!$W$2:$W$433,0))</f>
        <v/>
      </c>
      <c r="F433" s="39" t="n">
        <f aca="false">SUMIFS(Desconto_Cliente_Mes!$U$2:$U$433,Desconto_Cliente_Mes!$A$2:$A$433,$A433,Desconto_Cliente_Mes!$B$2:$B$433,$B433,Desconto_Cliente_Mes!$C$2:$C$433,$C433)</f>
        <v>0</v>
      </c>
      <c r="G433" s="39" t="n">
        <f aca="false">SUMIFS(Desconto_Cliente_Mes!$U$2:$U$433,Desconto_Cliente_Mes!$B$2:$B$433,$B433,Desconto_Cliente_Mes!$C$2:$C$433,$C433,Desconto_Cliente_Mes!$K$2:$K$433,"Sim")</f>
        <v>0</v>
      </c>
      <c r="H433" s="37" t="n">
        <f aca="false">SUMIFS(Desconto_Cliente_Mes!$D$2:$D$433,Desconto_Cliente_Mes!$B$2:$B$433,$B433,Desconto_Cliente_Mes!$C$2:$C$433,$C433,Desconto_Cliente_Mes!$K$2:$K$433,"Nao",Desconto_Cliente_Mes!$D$2:$D$433,"&gt;0")</f>
        <v>0</v>
      </c>
      <c r="I433" s="42" t="n">
        <f aca="false">IF(AND($E433="Nao",$D433&gt;0,$H433&gt;0),$D433/$H433,0)</f>
        <v>0</v>
      </c>
      <c r="J433" s="40" t="n">
        <f aca="false">$I433*$G433</f>
        <v>0</v>
      </c>
      <c r="K433" s="40" t="n">
        <f aca="false">$J433-$F433</f>
        <v>0</v>
      </c>
      <c r="L433" s="27" t="str">
        <f aca="false">IF($D433=0,"Sem embarque",IF($K433&gt;0,"Recebe","Paga"))</f>
        <v>Sem embarque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3"/>
  </cols>
  <sheetData>
    <row r="1" customFormat="false" ht="22.35" hidden="false" customHeight="false" outlineLevel="0" collapsed="false">
      <c r="A1" s="36" t="s">
        <v>123</v>
      </c>
      <c r="B1" s="36" t="s">
        <v>86</v>
      </c>
      <c r="C1" s="36" t="s">
        <v>75</v>
      </c>
      <c r="D1" s="36" t="s">
        <v>235</v>
      </c>
      <c r="E1" s="36" t="s">
        <v>236</v>
      </c>
      <c r="F1" s="36" t="s">
        <v>237</v>
      </c>
      <c r="G1" s="36" t="s">
        <v>238</v>
      </c>
      <c r="H1" s="36" t="s">
        <v>234</v>
      </c>
    </row>
    <row r="2" customFormat="false" ht="15" hidden="false" customHeight="false" outlineLevel="0" collapsed="false">
      <c r="A2" s="27" t="s">
        <v>39</v>
      </c>
      <c r="B2" s="27" t="s">
        <v>38</v>
      </c>
      <c r="C2" s="34" t="n">
        <f aca="false">SUMIFS(Acerto_Detalhado!$D$2:$D$433,Acerto_Detalhado!$A$2:$A$433,$A2,Acerto_Detalhado!$B$2:$B$433,$B2,Acerto_Detalhado!$C$2:$C$433,"Proteina")</f>
        <v>0</v>
      </c>
      <c r="D2" s="39" t="n">
        <f aca="false">SUMIFS(Acerto_Detalhado!$K$2:$K$433,Acerto_Detalhado!$A$2:$A$433,$A2,Acerto_Detalhado!$B$2:$B$433,$B2,Acerto_Detalhado!$C$2:$C$433,"Proteina")</f>
        <v>0</v>
      </c>
      <c r="E2" s="39" t="n">
        <f aca="false">SUMIFS(Acerto_Detalhado!$K$2:$K$433,Acerto_Detalhado!$A$2:$A$433,$A2,Acerto_Detalhado!$B$2:$B$433,$B2,Acerto_Detalhado!$C$2:$C$433,"Umidade")</f>
        <v>0</v>
      </c>
      <c r="F2" s="39" t="n">
        <f aca="false">SUMIFS(Acerto_Detalhado!$K$2:$K$433,Acerto_Detalhado!$A$2:$A$433,$A2,Acerto_Detalhado!$B$2:$B$433,$B2,Acerto_Detalhado!$C$2:$C$433,"Fibra")</f>
        <v>0</v>
      </c>
      <c r="G2" s="40" t="n">
        <f aca="false">$D2+$E2+$F2</f>
        <v>0</v>
      </c>
      <c r="H2" s="27" t="str">
        <f aca="false">IF($C2=0,"Sem embarque",IF($G2&gt;0,"Recebe","Paga"))</f>
        <v>Sem embarque</v>
      </c>
    </row>
    <row r="3" customFormat="false" ht="15" hidden="false" customHeight="false" outlineLevel="0" collapsed="false">
      <c r="A3" s="27" t="s">
        <v>39</v>
      </c>
      <c r="B3" s="27" t="s">
        <v>59</v>
      </c>
      <c r="C3" s="34" t="n">
        <f aca="false">SUMIFS(Acerto_Detalhado!$D$2:$D$433,Acerto_Detalhado!$A$2:$A$433,$A3,Acerto_Detalhado!$B$2:$B$433,$B3,Acerto_Detalhado!$C$2:$C$433,"Proteina")</f>
        <v>0</v>
      </c>
      <c r="D3" s="39" t="n">
        <f aca="false">SUMIFS(Acerto_Detalhado!$K$2:$K$433,Acerto_Detalhado!$A$2:$A$433,$A3,Acerto_Detalhado!$B$2:$B$433,$B3,Acerto_Detalhado!$C$2:$C$433,"Proteina")</f>
        <v>0</v>
      </c>
      <c r="E3" s="39" t="n">
        <f aca="false">SUMIFS(Acerto_Detalhado!$K$2:$K$433,Acerto_Detalhado!$A$2:$A$433,$A3,Acerto_Detalhado!$B$2:$B$433,$B3,Acerto_Detalhado!$C$2:$C$433,"Umidade")</f>
        <v>0</v>
      </c>
      <c r="F3" s="39" t="n">
        <f aca="false">SUMIFS(Acerto_Detalhado!$K$2:$K$433,Acerto_Detalhado!$A$2:$A$433,$A3,Acerto_Detalhado!$B$2:$B$433,$B3,Acerto_Detalhado!$C$2:$C$433,"Fibra")</f>
        <v>0</v>
      </c>
      <c r="G3" s="40" t="n">
        <f aca="false">$D3+$E3+$F3</f>
        <v>0</v>
      </c>
      <c r="H3" s="27" t="str">
        <f aca="false">IF($C3=0,"Sem embarque",IF($G3&gt;0,"Recebe","Paga"))</f>
        <v>Sem embarque</v>
      </c>
    </row>
    <row r="4" customFormat="false" ht="15" hidden="false" customHeight="false" outlineLevel="0" collapsed="false">
      <c r="A4" s="27" t="s">
        <v>39</v>
      </c>
      <c r="B4" s="27" t="s">
        <v>60</v>
      </c>
      <c r="C4" s="34" t="n">
        <f aca="false">SUMIFS(Acerto_Detalhado!$D$2:$D$433,Acerto_Detalhado!$A$2:$A$433,$A4,Acerto_Detalhado!$B$2:$B$433,$B4,Acerto_Detalhado!$C$2:$C$433,"Proteina")</f>
        <v>0</v>
      </c>
      <c r="D4" s="39" t="n">
        <f aca="false">SUMIFS(Acerto_Detalhado!$K$2:$K$433,Acerto_Detalhado!$A$2:$A$433,$A4,Acerto_Detalhado!$B$2:$B$433,$B4,Acerto_Detalhado!$C$2:$C$433,"Proteina")</f>
        <v>0</v>
      </c>
      <c r="E4" s="39" t="n">
        <f aca="false">SUMIFS(Acerto_Detalhado!$K$2:$K$433,Acerto_Detalhado!$A$2:$A$433,$A4,Acerto_Detalhado!$B$2:$B$433,$B4,Acerto_Detalhado!$C$2:$C$433,"Umidade")</f>
        <v>0</v>
      </c>
      <c r="F4" s="39" t="n">
        <f aca="false">SUMIFS(Acerto_Detalhado!$K$2:$K$433,Acerto_Detalhado!$A$2:$A$433,$A4,Acerto_Detalhado!$B$2:$B$433,$B4,Acerto_Detalhado!$C$2:$C$433,"Fibra")</f>
        <v>0</v>
      </c>
      <c r="G4" s="40" t="n">
        <f aca="false">$D4+$E4+$F4</f>
        <v>0</v>
      </c>
      <c r="H4" s="27" t="str">
        <f aca="false">IF($C4=0,"Sem embarque",IF($G4&gt;0,"Recebe","Paga"))</f>
        <v>Sem embarque</v>
      </c>
    </row>
    <row r="5" customFormat="false" ht="15" hidden="false" customHeight="false" outlineLevel="0" collapsed="false">
      <c r="A5" s="27" t="s">
        <v>39</v>
      </c>
      <c r="B5" s="27" t="s">
        <v>61</v>
      </c>
      <c r="C5" s="34" t="n">
        <f aca="false">SUMIFS(Acerto_Detalhado!$D$2:$D$433,Acerto_Detalhado!$A$2:$A$433,$A5,Acerto_Detalhado!$B$2:$B$433,$B5,Acerto_Detalhado!$C$2:$C$433,"Proteina")</f>
        <v>16786.6</v>
      </c>
      <c r="D5" s="39" t="n">
        <f aca="false">SUMIFS(Acerto_Detalhado!$K$2:$K$433,Acerto_Detalhado!$A$2:$A$433,$A5,Acerto_Detalhado!$B$2:$B$433,$B5,Acerto_Detalhado!$C$2:$C$433,"Proteina")</f>
        <v>-11164.1856528379</v>
      </c>
      <c r="E5" s="39" t="n">
        <f aca="false">SUMIFS(Acerto_Detalhado!$K$2:$K$433,Acerto_Detalhado!$A$2:$A$433,$A5,Acerto_Detalhado!$B$2:$B$433,$B5,Acerto_Detalhado!$C$2:$C$433,"Umidade")</f>
        <v>4755.32519490345</v>
      </c>
      <c r="F5" s="39" t="n">
        <f aca="false">SUMIFS(Acerto_Detalhado!$K$2:$K$433,Acerto_Detalhado!$A$2:$A$433,$A5,Acerto_Detalhado!$B$2:$B$433,$B5,Acerto_Detalhado!$C$2:$C$433,"Fibra")</f>
        <v>-6161.3716620637</v>
      </c>
      <c r="G5" s="40" t="n">
        <f aca="false">$D5+$E5+$F5</f>
        <v>-12570.2321199982</v>
      </c>
      <c r="H5" s="27" t="str">
        <f aca="false">IF($C5=0,"Sem embarque",IF($G5&gt;0,"Recebe","Paga"))</f>
        <v>Paga</v>
      </c>
    </row>
    <row r="6" customFormat="false" ht="15" hidden="false" customHeight="false" outlineLevel="0" collapsed="false">
      <c r="A6" s="27" t="s">
        <v>39</v>
      </c>
      <c r="B6" s="27" t="s">
        <v>62</v>
      </c>
      <c r="C6" s="34" t="n">
        <f aca="false">SUMIFS(Acerto_Detalhado!$D$2:$D$433,Acerto_Detalhado!$A$2:$A$433,$A6,Acerto_Detalhado!$B$2:$B$433,$B6,Acerto_Detalhado!$C$2:$C$433,"Proteina")</f>
        <v>43820.37</v>
      </c>
      <c r="D6" s="39" t="n">
        <f aca="false">SUMIFS(Acerto_Detalhado!$K$2:$K$433,Acerto_Detalhado!$A$2:$A$433,$A6,Acerto_Detalhado!$B$2:$B$433,$B6,Acerto_Detalhado!$C$2:$C$433,"Proteina")</f>
        <v>-7573.29672621064</v>
      </c>
      <c r="E6" s="39" t="n">
        <f aca="false">SUMIFS(Acerto_Detalhado!$K$2:$K$433,Acerto_Detalhado!$A$2:$A$433,$A6,Acerto_Detalhado!$B$2:$B$433,$B6,Acerto_Detalhado!$C$2:$C$433,"Umidade")</f>
        <v>3917.16566904977</v>
      </c>
      <c r="F6" s="39" t="n">
        <f aca="false">SUMIFS(Acerto_Detalhado!$K$2:$K$433,Acerto_Detalhado!$A$2:$A$433,$A6,Acerto_Detalhado!$B$2:$B$433,$B6,Acerto_Detalhado!$C$2:$C$433,"Fibra")</f>
        <v>9659.21456051324</v>
      </c>
      <c r="G6" s="40" t="n">
        <f aca="false">$D6+$E6+$F6</f>
        <v>6003.08350335236</v>
      </c>
      <c r="H6" s="27" t="str">
        <f aca="false">IF($C6=0,"Sem embarque",IF($G6&gt;0,"Recebe","Paga"))</f>
        <v>Recebe</v>
      </c>
    </row>
    <row r="7" customFormat="false" ht="15" hidden="false" customHeight="false" outlineLevel="0" collapsed="false">
      <c r="A7" s="27" t="s">
        <v>39</v>
      </c>
      <c r="B7" s="27" t="s">
        <v>63</v>
      </c>
      <c r="C7" s="34" t="n">
        <f aca="false">SUMIFS(Acerto_Detalhado!$D$2:$D$433,Acerto_Detalhado!$A$2:$A$433,$A7,Acerto_Detalhado!$B$2:$B$433,$B7,Acerto_Detalhado!$C$2:$C$433,"Proteina")</f>
        <v>41353.91</v>
      </c>
      <c r="D7" s="39" t="n">
        <f aca="false">SUMIFS(Acerto_Detalhado!$K$2:$K$433,Acerto_Detalhado!$A$2:$A$433,$A7,Acerto_Detalhado!$B$2:$B$433,$B7,Acerto_Detalhado!$C$2:$C$433,"Proteina")</f>
        <v>15461.9157263507</v>
      </c>
      <c r="E7" s="39" t="n">
        <f aca="false">SUMIFS(Acerto_Detalhado!$K$2:$K$433,Acerto_Detalhado!$A$2:$A$433,$A7,Acerto_Detalhado!$B$2:$B$433,$B7,Acerto_Detalhado!$C$2:$C$433,"Umidade")</f>
        <v>26244.6606390894</v>
      </c>
      <c r="F7" s="39" t="n">
        <f aca="false">SUMIFS(Acerto_Detalhado!$K$2:$K$433,Acerto_Detalhado!$A$2:$A$433,$A7,Acerto_Detalhado!$B$2:$B$433,$B7,Acerto_Detalhado!$C$2:$C$433,"Fibra")</f>
        <v>10226.3230641329</v>
      </c>
      <c r="G7" s="40" t="n">
        <f aca="false">$D7+$E7+$F7</f>
        <v>51932.8994295731</v>
      </c>
      <c r="H7" s="27" t="str">
        <f aca="false">IF($C7=0,"Sem embarque",IF($G7&gt;0,"Recebe","Paga"))</f>
        <v>Recebe</v>
      </c>
    </row>
    <row r="8" customFormat="false" ht="15" hidden="false" customHeight="false" outlineLevel="0" collapsed="false">
      <c r="A8" s="27" t="s">
        <v>39</v>
      </c>
      <c r="B8" s="27" t="s">
        <v>64</v>
      </c>
      <c r="C8" s="34" t="n">
        <f aca="false">SUMIFS(Acerto_Detalhado!$D$2:$D$433,Acerto_Detalhado!$A$2:$A$433,$A8,Acerto_Detalhado!$B$2:$B$433,$B8,Acerto_Detalhado!$C$2:$C$433,"Proteina")</f>
        <v>46167.46</v>
      </c>
      <c r="D8" s="39" t="n">
        <f aca="false">SUMIFS(Acerto_Detalhado!$K$2:$K$433,Acerto_Detalhado!$A$2:$A$433,$A8,Acerto_Detalhado!$B$2:$B$433,$B8,Acerto_Detalhado!$C$2:$C$433,"Proteina")</f>
        <v>-55542.8416585708</v>
      </c>
      <c r="E8" s="39" t="n">
        <f aca="false">SUMIFS(Acerto_Detalhado!$K$2:$K$433,Acerto_Detalhado!$A$2:$A$433,$A8,Acerto_Detalhado!$B$2:$B$433,$B8,Acerto_Detalhado!$C$2:$C$433,"Umidade")</f>
        <v>9821.01818633541</v>
      </c>
      <c r="F8" s="39" t="n">
        <f aca="false">SUMIFS(Acerto_Detalhado!$K$2:$K$433,Acerto_Detalhado!$A$2:$A$433,$A8,Acerto_Detalhado!$B$2:$B$433,$B8,Acerto_Detalhado!$C$2:$C$433,"Fibra")</f>
        <v>-20295.0061199999</v>
      </c>
      <c r="G8" s="40" t="n">
        <f aca="false">$D8+$E8+$F8</f>
        <v>-66016.8295922353</v>
      </c>
      <c r="H8" s="27" t="str">
        <f aca="false">IF($C8=0,"Sem embarque",IF($G8&gt;0,"Recebe","Paga"))</f>
        <v>Paga</v>
      </c>
    </row>
    <row r="9" customFormat="false" ht="15" hidden="false" customHeight="false" outlineLevel="0" collapsed="false">
      <c r="A9" s="27" t="s">
        <v>39</v>
      </c>
      <c r="B9" s="27" t="s">
        <v>65</v>
      </c>
      <c r="C9" s="34" t="n">
        <f aca="false">SUMIFS(Acerto_Detalhado!$D$2:$D$433,Acerto_Detalhado!$A$2:$A$433,$A9,Acerto_Detalhado!$B$2:$B$433,$B9,Acerto_Detalhado!$C$2:$C$433,"Proteina")</f>
        <v>44263.22</v>
      </c>
      <c r="D9" s="39" t="n">
        <f aca="false">SUMIFS(Acerto_Detalhado!$K$2:$K$433,Acerto_Detalhado!$A$2:$A$433,$A9,Acerto_Detalhado!$B$2:$B$433,$B9,Acerto_Detalhado!$C$2:$C$433,"Proteina")</f>
        <v>-137138.687706306</v>
      </c>
      <c r="E9" s="39" t="n">
        <f aca="false">SUMIFS(Acerto_Detalhado!$K$2:$K$433,Acerto_Detalhado!$A$2:$A$433,$A9,Acerto_Detalhado!$B$2:$B$433,$B9,Acerto_Detalhado!$C$2:$C$433,"Umidade")</f>
        <v>6430.96217697709</v>
      </c>
      <c r="F9" s="39" t="n">
        <f aca="false">SUMIFS(Acerto_Detalhado!$K$2:$K$433,Acerto_Detalhado!$A$2:$A$433,$A9,Acerto_Detalhado!$B$2:$B$433,$B9,Acerto_Detalhado!$C$2:$C$433,"Fibra")</f>
        <v>-45443.7336135402</v>
      </c>
      <c r="G9" s="40" t="n">
        <f aca="false">$D9+$E9+$F9</f>
        <v>-176151.459142869</v>
      </c>
      <c r="H9" s="27" t="str">
        <f aca="false">IF($C9=0,"Sem embarque",IF($G9&gt;0,"Recebe","Paga"))</f>
        <v>Paga</v>
      </c>
    </row>
    <row r="10" customFormat="false" ht="15" hidden="false" customHeight="false" outlineLevel="0" collapsed="false">
      <c r="A10" s="27" t="s">
        <v>39</v>
      </c>
      <c r="B10" s="27" t="s">
        <v>66</v>
      </c>
      <c r="C10" s="34" t="n">
        <f aca="false">SUMIFS(Acerto_Detalhado!$D$2:$D$433,Acerto_Detalhado!$A$2:$A$433,$A10,Acerto_Detalhado!$B$2:$B$433,$B10,Acerto_Detalhado!$C$2:$C$433,"Proteina")</f>
        <v>2244.02</v>
      </c>
      <c r="D10" s="39" t="n">
        <f aca="false">SUMIFS(Acerto_Detalhado!$K$2:$K$433,Acerto_Detalhado!$A$2:$A$433,$A10,Acerto_Detalhado!$B$2:$B$433,$B10,Acerto_Detalhado!$C$2:$C$433,"Proteina")</f>
        <v>-3063.37840803134</v>
      </c>
      <c r="E10" s="39" t="n">
        <f aca="false">SUMIFS(Acerto_Detalhado!$K$2:$K$433,Acerto_Detalhado!$A$2:$A$433,$A10,Acerto_Detalhado!$B$2:$B$433,$B10,Acerto_Detalhado!$C$2:$C$433,"Umidade")</f>
        <v>1255.11955675483</v>
      </c>
      <c r="F10" s="39" t="n">
        <f aca="false">SUMIFS(Acerto_Detalhado!$K$2:$K$433,Acerto_Detalhado!$A$2:$A$433,$A10,Acerto_Detalhado!$B$2:$B$433,$B10,Acerto_Detalhado!$C$2:$C$433,"Fibra")</f>
        <v>-1893.71203568191</v>
      </c>
      <c r="G10" s="40" t="n">
        <f aca="false">$D10+$E10+$F10</f>
        <v>-3701.97088695842</v>
      </c>
      <c r="H10" s="27" t="str">
        <f aca="false">IF($C10=0,"Sem embarque",IF($G10&gt;0,"Recebe","Paga"))</f>
        <v>Paga</v>
      </c>
    </row>
    <row r="11" customFormat="false" ht="15" hidden="false" customHeight="false" outlineLevel="0" collapsed="false">
      <c r="A11" s="27" t="s">
        <v>39</v>
      </c>
      <c r="B11" s="27" t="s">
        <v>67</v>
      </c>
      <c r="C11" s="34" t="n">
        <f aca="false">SUMIFS(Acerto_Detalhado!$D$2:$D$433,Acerto_Detalhado!$A$2:$A$433,$A11,Acerto_Detalhado!$B$2:$B$433,$B11,Acerto_Detalhado!$C$2:$C$433,"Proteina")</f>
        <v>0</v>
      </c>
      <c r="D11" s="39" t="n">
        <f aca="false">SUMIFS(Acerto_Detalhado!$K$2:$K$433,Acerto_Detalhado!$A$2:$A$433,$A11,Acerto_Detalhado!$B$2:$B$433,$B11,Acerto_Detalhado!$C$2:$C$433,"Proteina")</f>
        <v>0</v>
      </c>
      <c r="E11" s="39" t="n">
        <f aca="false">SUMIFS(Acerto_Detalhado!$K$2:$K$433,Acerto_Detalhado!$A$2:$A$433,$A11,Acerto_Detalhado!$B$2:$B$433,$B11,Acerto_Detalhado!$C$2:$C$433,"Umidade")</f>
        <v>0</v>
      </c>
      <c r="F11" s="39" t="n">
        <f aca="false">SUMIFS(Acerto_Detalhado!$K$2:$K$433,Acerto_Detalhado!$A$2:$A$433,$A11,Acerto_Detalhado!$B$2:$B$433,$B11,Acerto_Detalhado!$C$2:$C$433,"Fibra")</f>
        <v>0</v>
      </c>
      <c r="G11" s="40" t="n">
        <f aca="false">$D11+$E11+$F11</f>
        <v>0</v>
      </c>
      <c r="H11" s="27" t="str">
        <f aca="false">IF($C11=0,"Sem embarque",IF($G11&gt;0,"Recebe","Paga"))</f>
        <v>Sem embarque</v>
      </c>
    </row>
    <row r="12" customFormat="false" ht="15" hidden="false" customHeight="false" outlineLevel="0" collapsed="false">
      <c r="A12" s="27" t="s">
        <v>39</v>
      </c>
      <c r="B12" s="27" t="s">
        <v>68</v>
      </c>
      <c r="C12" s="34" t="n">
        <f aca="false">SUMIFS(Acerto_Detalhado!$D$2:$D$433,Acerto_Detalhado!$A$2:$A$433,$A12,Acerto_Detalhado!$B$2:$B$433,$B12,Acerto_Detalhado!$C$2:$C$433,"Proteina")</f>
        <v>0</v>
      </c>
      <c r="D12" s="39" t="n">
        <f aca="false">SUMIFS(Acerto_Detalhado!$K$2:$K$433,Acerto_Detalhado!$A$2:$A$433,$A12,Acerto_Detalhado!$B$2:$B$433,$B12,Acerto_Detalhado!$C$2:$C$433,"Proteina")</f>
        <v>0</v>
      </c>
      <c r="E12" s="39" t="n">
        <f aca="false">SUMIFS(Acerto_Detalhado!$K$2:$K$433,Acerto_Detalhado!$A$2:$A$433,$A12,Acerto_Detalhado!$B$2:$B$433,$B12,Acerto_Detalhado!$C$2:$C$433,"Umidade")</f>
        <v>0</v>
      </c>
      <c r="F12" s="39" t="n">
        <f aca="false">SUMIFS(Acerto_Detalhado!$K$2:$K$433,Acerto_Detalhado!$A$2:$A$433,$A12,Acerto_Detalhado!$B$2:$B$433,$B12,Acerto_Detalhado!$C$2:$C$433,"Fibra")</f>
        <v>0</v>
      </c>
      <c r="G12" s="40" t="n">
        <f aca="false">$D12+$E12+$F12</f>
        <v>0</v>
      </c>
      <c r="H12" s="27" t="str">
        <f aca="false">IF($C12=0,"Sem embarque",IF($G12&gt;0,"Recebe","Paga"))</f>
        <v>Sem embarque</v>
      </c>
    </row>
    <row r="13" customFormat="false" ht="15" hidden="false" customHeight="false" outlineLevel="0" collapsed="false">
      <c r="A13" s="27" t="s">
        <v>39</v>
      </c>
      <c r="B13" s="27" t="s">
        <v>69</v>
      </c>
      <c r="C13" s="34" t="n">
        <f aca="false">SUMIFS(Acerto_Detalhado!$D$2:$D$433,Acerto_Detalhado!$A$2:$A$433,$A13,Acerto_Detalhado!$B$2:$B$433,$B13,Acerto_Detalhado!$C$2:$C$433,"Proteina")</f>
        <v>0</v>
      </c>
      <c r="D13" s="39" t="n">
        <f aca="false">SUMIFS(Acerto_Detalhado!$K$2:$K$433,Acerto_Detalhado!$A$2:$A$433,$A13,Acerto_Detalhado!$B$2:$B$433,$B13,Acerto_Detalhado!$C$2:$C$433,"Proteina")</f>
        <v>0</v>
      </c>
      <c r="E13" s="39" t="n">
        <f aca="false">SUMIFS(Acerto_Detalhado!$K$2:$K$433,Acerto_Detalhado!$A$2:$A$433,$A13,Acerto_Detalhado!$B$2:$B$433,$B13,Acerto_Detalhado!$C$2:$C$433,"Umidade")</f>
        <v>0</v>
      </c>
      <c r="F13" s="39" t="n">
        <f aca="false">SUMIFS(Acerto_Detalhado!$K$2:$K$433,Acerto_Detalhado!$A$2:$A$433,$A13,Acerto_Detalhado!$B$2:$B$433,$B13,Acerto_Detalhado!$C$2:$C$433,"Fibra")</f>
        <v>0</v>
      </c>
      <c r="G13" s="40" t="n">
        <f aca="false">$D13+$E13+$F13</f>
        <v>0</v>
      </c>
      <c r="H13" s="27" t="str">
        <f aca="false">IF($C13=0,"Sem embarque",IF($G13&gt;0,"Recebe","Paga"))</f>
        <v>Sem embarque</v>
      </c>
    </row>
    <row r="14" customFormat="false" ht="15" hidden="false" customHeight="false" outlineLevel="0" collapsed="false">
      <c r="A14" s="27" t="s">
        <v>40</v>
      </c>
      <c r="B14" s="27" t="s">
        <v>38</v>
      </c>
      <c r="C14" s="34" t="n">
        <f aca="false">SUMIFS(Acerto_Detalhado!$D$2:$D$433,Acerto_Detalhado!$A$2:$A$433,$A14,Acerto_Detalhado!$B$2:$B$433,$B14,Acerto_Detalhado!$C$2:$C$433,"Proteina")</f>
        <v>39842.6</v>
      </c>
      <c r="D14" s="39" t="n">
        <f aca="false">SUMIFS(Acerto_Detalhado!$K$2:$K$433,Acerto_Detalhado!$A$2:$A$433,$A14,Acerto_Detalhado!$B$2:$B$433,$B14,Acerto_Detalhado!$C$2:$C$433,"Proteina")</f>
        <v>61985.8830174434</v>
      </c>
      <c r="E14" s="39" t="n">
        <f aca="false">SUMIFS(Acerto_Detalhado!$K$2:$K$433,Acerto_Detalhado!$A$2:$A$433,$A14,Acerto_Detalhado!$B$2:$B$433,$B14,Acerto_Detalhado!$C$2:$C$433,"Umidade")</f>
        <v>0</v>
      </c>
      <c r="F14" s="39" t="n">
        <f aca="false">SUMIFS(Acerto_Detalhado!$K$2:$K$433,Acerto_Detalhado!$A$2:$A$433,$A14,Acerto_Detalhado!$B$2:$B$433,$B14,Acerto_Detalhado!$C$2:$C$433,"Fibra")</f>
        <v>24279.1570576085</v>
      </c>
      <c r="G14" s="40" t="n">
        <f aca="false">$D14+$E14+$F14</f>
        <v>86265.0400750519</v>
      </c>
      <c r="H14" s="27" t="str">
        <f aca="false">IF($C14=0,"Sem embarque",IF($G14&gt;0,"Recebe","Paga"))</f>
        <v>Recebe</v>
      </c>
    </row>
    <row r="15" customFormat="false" ht="15" hidden="false" customHeight="false" outlineLevel="0" collapsed="false">
      <c r="A15" s="27" t="s">
        <v>40</v>
      </c>
      <c r="B15" s="27" t="s">
        <v>59</v>
      </c>
      <c r="C15" s="34" t="n">
        <f aca="false">SUMIFS(Acerto_Detalhado!$D$2:$D$433,Acerto_Detalhado!$A$2:$A$433,$A15,Acerto_Detalhado!$B$2:$B$433,$B15,Acerto_Detalhado!$C$2:$C$433,"Proteina")</f>
        <v>30370.33</v>
      </c>
      <c r="D15" s="39" t="n">
        <f aca="false">SUMIFS(Acerto_Detalhado!$K$2:$K$433,Acerto_Detalhado!$A$2:$A$433,$A15,Acerto_Detalhado!$B$2:$B$433,$B15,Acerto_Detalhado!$C$2:$C$433,"Proteina")</f>
        <v>60620.6261984638</v>
      </c>
      <c r="E15" s="39" t="n">
        <f aca="false">SUMIFS(Acerto_Detalhado!$K$2:$K$433,Acerto_Detalhado!$A$2:$A$433,$A15,Acerto_Detalhado!$B$2:$B$433,$B15,Acerto_Detalhado!$C$2:$C$433,"Umidade")</f>
        <v>852.459196509269</v>
      </c>
      <c r="F15" s="39" t="n">
        <f aca="false">SUMIFS(Acerto_Detalhado!$K$2:$K$433,Acerto_Detalhado!$A$2:$A$433,$A15,Acerto_Detalhado!$B$2:$B$433,$B15,Acerto_Detalhado!$C$2:$C$433,"Fibra")</f>
        <v>7820.56709314821</v>
      </c>
      <c r="G15" s="40" t="n">
        <f aca="false">$D15+$E15+$F15</f>
        <v>69293.6524881212</v>
      </c>
      <c r="H15" s="27" t="str">
        <f aca="false">IF($C15=0,"Sem embarque",IF($G15&gt;0,"Recebe","Paga"))</f>
        <v>Recebe</v>
      </c>
    </row>
    <row r="16" customFormat="false" ht="15" hidden="false" customHeight="false" outlineLevel="0" collapsed="false">
      <c r="A16" s="27" t="s">
        <v>40</v>
      </c>
      <c r="B16" s="27" t="s">
        <v>60</v>
      </c>
      <c r="C16" s="34" t="n">
        <f aca="false">SUMIFS(Acerto_Detalhado!$D$2:$D$433,Acerto_Detalhado!$A$2:$A$433,$A16,Acerto_Detalhado!$B$2:$B$433,$B16,Acerto_Detalhado!$C$2:$C$433,"Proteina")</f>
        <v>43330.53</v>
      </c>
      <c r="D16" s="39" t="n">
        <f aca="false">SUMIFS(Acerto_Detalhado!$K$2:$K$433,Acerto_Detalhado!$A$2:$A$433,$A16,Acerto_Detalhado!$B$2:$B$433,$B16,Acerto_Detalhado!$C$2:$C$433,"Proteina")</f>
        <v>58783.8163550375</v>
      </c>
      <c r="E16" s="39" t="n">
        <f aca="false">SUMIFS(Acerto_Detalhado!$K$2:$K$433,Acerto_Detalhado!$A$2:$A$433,$A16,Acerto_Detalhado!$B$2:$B$433,$B16,Acerto_Detalhado!$C$2:$C$433,"Umidade")</f>
        <v>0</v>
      </c>
      <c r="F16" s="39" t="n">
        <f aca="false">SUMIFS(Acerto_Detalhado!$K$2:$K$433,Acerto_Detalhado!$A$2:$A$433,$A16,Acerto_Detalhado!$B$2:$B$433,$B16,Acerto_Detalhado!$C$2:$C$433,"Fibra")</f>
        <v>12414.9713212753</v>
      </c>
      <c r="G16" s="40" t="n">
        <f aca="false">$D16+$E16+$F16</f>
        <v>71198.7876763128</v>
      </c>
      <c r="H16" s="27" t="str">
        <f aca="false">IF($C16=0,"Sem embarque",IF($G16&gt;0,"Recebe","Paga"))</f>
        <v>Recebe</v>
      </c>
    </row>
    <row r="17" customFormat="false" ht="15" hidden="false" customHeight="false" outlineLevel="0" collapsed="false">
      <c r="A17" s="27" t="s">
        <v>40</v>
      </c>
      <c r="B17" s="27" t="s">
        <v>61</v>
      </c>
      <c r="C17" s="34" t="n">
        <f aca="false">SUMIFS(Acerto_Detalhado!$D$2:$D$433,Acerto_Detalhado!$A$2:$A$433,$A17,Acerto_Detalhado!$B$2:$B$433,$B17,Acerto_Detalhado!$C$2:$C$433,"Proteina")</f>
        <v>53319.92</v>
      </c>
      <c r="D17" s="39" t="n">
        <f aca="false">SUMIFS(Acerto_Detalhado!$K$2:$K$433,Acerto_Detalhado!$A$2:$A$433,$A17,Acerto_Detalhado!$B$2:$B$433,$B17,Acerto_Detalhado!$C$2:$C$433,"Proteina")</f>
        <v>27516.3568351333</v>
      </c>
      <c r="E17" s="39" t="n">
        <f aca="false">SUMIFS(Acerto_Detalhado!$K$2:$K$433,Acerto_Detalhado!$A$2:$A$433,$A17,Acerto_Detalhado!$B$2:$B$433,$B17,Acerto_Detalhado!$C$2:$C$433,"Umidade")</f>
        <v>15104.5214019656</v>
      </c>
      <c r="F17" s="39" t="n">
        <f aca="false">SUMIFS(Acerto_Detalhado!$K$2:$K$433,Acerto_Detalhado!$A$2:$A$433,$A17,Acerto_Detalhado!$B$2:$B$433,$B17,Acerto_Detalhado!$C$2:$C$433,"Fibra")</f>
        <v>10262.9732479638</v>
      </c>
      <c r="G17" s="40" t="n">
        <f aca="false">$D17+$E17+$F17</f>
        <v>52883.8514850628</v>
      </c>
      <c r="H17" s="27" t="str">
        <f aca="false">IF($C17=0,"Sem embarque",IF($G17&gt;0,"Recebe","Paga"))</f>
        <v>Recebe</v>
      </c>
    </row>
    <row r="18" customFormat="false" ht="15" hidden="false" customHeight="false" outlineLevel="0" collapsed="false">
      <c r="A18" s="27" t="s">
        <v>40</v>
      </c>
      <c r="B18" s="27" t="s">
        <v>62</v>
      </c>
      <c r="C18" s="34" t="n">
        <f aca="false">SUMIFS(Acerto_Detalhado!$D$2:$D$433,Acerto_Detalhado!$A$2:$A$433,$A18,Acerto_Detalhado!$B$2:$B$433,$B18,Acerto_Detalhado!$C$2:$C$433,"Proteina")</f>
        <v>49598.12</v>
      </c>
      <c r="D18" s="39" t="n">
        <f aca="false">SUMIFS(Acerto_Detalhado!$K$2:$K$433,Acerto_Detalhado!$A$2:$A$433,$A18,Acerto_Detalhado!$B$2:$B$433,$B18,Acerto_Detalhado!$C$2:$C$433,"Proteina")</f>
        <v>36045.0304332664</v>
      </c>
      <c r="E18" s="39" t="n">
        <f aca="false">SUMIFS(Acerto_Detalhado!$K$2:$K$433,Acerto_Detalhado!$A$2:$A$433,$A18,Acerto_Detalhado!$B$2:$B$433,$B18,Acerto_Detalhado!$C$2:$C$433,"Umidade")</f>
        <v>4433.64702108656</v>
      </c>
      <c r="F18" s="39" t="n">
        <f aca="false">SUMIFS(Acerto_Detalhado!$K$2:$K$433,Acerto_Detalhado!$A$2:$A$433,$A18,Acerto_Detalhado!$B$2:$B$433,$B18,Acerto_Detalhado!$C$2:$C$433,"Fibra")</f>
        <v>10932.789542354</v>
      </c>
      <c r="G18" s="40" t="n">
        <f aca="false">$D18+$E18+$F18</f>
        <v>51411.4669967069</v>
      </c>
      <c r="H18" s="27" t="str">
        <f aca="false">IF($C18=0,"Sem embarque",IF($G18&gt;0,"Recebe","Paga"))</f>
        <v>Recebe</v>
      </c>
    </row>
    <row r="19" customFormat="false" ht="15" hidden="false" customHeight="false" outlineLevel="0" collapsed="false">
      <c r="A19" s="27" t="s">
        <v>40</v>
      </c>
      <c r="B19" s="27" t="s">
        <v>63</v>
      </c>
      <c r="C19" s="34" t="n">
        <f aca="false">SUMIFS(Acerto_Detalhado!$D$2:$D$433,Acerto_Detalhado!$A$2:$A$433,$A19,Acerto_Detalhado!$B$2:$B$433,$B19,Acerto_Detalhado!$C$2:$C$433,"Proteina")</f>
        <v>45020.35</v>
      </c>
      <c r="D19" s="39" t="n">
        <f aca="false">SUMIFS(Acerto_Detalhado!$K$2:$K$433,Acerto_Detalhado!$A$2:$A$433,$A19,Acerto_Detalhado!$B$2:$B$433,$B19,Acerto_Detalhado!$C$2:$C$433,"Proteina")</f>
        <v>16832.7700493331</v>
      </c>
      <c r="E19" s="39" t="n">
        <f aca="false">SUMIFS(Acerto_Detalhado!$K$2:$K$433,Acerto_Detalhado!$A$2:$A$433,$A19,Acerto_Detalhado!$B$2:$B$433,$B19,Acerto_Detalhado!$C$2:$C$433,"Umidade")</f>
        <v>28571.5137360175</v>
      </c>
      <c r="F19" s="39" t="n">
        <f aca="false">SUMIFS(Acerto_Detalhado!$K$2:$K$433,Acerto_Detalhado!$A$2:$A$433,$A19,Acerto_Detalhado!$B$2:$B$433,$B19,Acerto_Detalhado!$C$2:$C$433,"Fibra")</f>
        <v>11132.9894455043</v>
      </c>
      <c r="G19" s="40" t="n">
        <f aca="false">$D19+$E19+$F19</f>
        <v>56537.2732308548</v>
      </c>
      <c r="H19" s="27" t="str">
        <f aca="false">IF($C19=0,"Sem embarque",IF($G19&gt;0,"Recebe","Paga"))</f>
        <v>Recebe</v>
      </c>
    </row>
    <row r="20" customFormat="false" ht="15" hidden="false" customHeight="false" outlineLevel="0" collapsed="false">
      <c r="A20" s="27" t="s">
        <v>40</v>
      </c>
      <c r="B20" s="27" t="s">
        <v>64</v>
      </c>
      <c r="C20" s="34" t="n">
        <f aca="false">SUMIFS(Acerto_Detalhado!$D$2:$D$433,Acerto_Detalhado!$A$2:$A$433,$A20,Acerto_Detalhado!$B$2:$B$433,$B20,Acerto_Detalhado!$C$2:$C$433,"Proteina")</f>
        <v>44244.44</v>
      </c>
      <c r="D20" s="39" t="n">
        <f aca="false">SUMIFS(Acerto_Detalhado!$K$2:$K$433,Acerto_Detalhado!$A$2:$A$433,$A20,Acerto_Detalhado!$B$2:$B$433,$B20,Acerto_Detalhado!$C$2:$C$433,"Proteina")</f>
        <v>34463.9145177114</v>
      </c>
      <c r="E20" s="39" t="n">
        <f aca="false">SUMIFS(Acerto_Detalhado!$K$2:$K$433,Acerto_Detalhado!$A$2:$A$433,$A20,Acerto_Detalhado!$B$2:$B$433,$B20,Acerto_Detalhado!$C$2:$C$433,"Umidade")</f>
        <v>9411.94187170414</v>
      </c>
      <c r="F20" s="39" t="n">
        <f aca="false">SUMIFS(Acerto_Detalhado!$K$2:$K$433,Acerto_Detalhado!$A$2:$A$433,$A20,Acerto_Detalhado!$B$2:$B$433,$B20,Acerto_Detalhado!$C$2:$C$433,"Fibra")</f>
        <v>9403.74744925673</v>
      </c>
      <c r="G20" s="40" t="n">
        <f aca="false">$D20+$E20+$F20</f>
        <v>53279.6038386723</v>
      </c>
      <c r="H20" s="27" t="str">
        <f aca="false">IF($C20=0,"Sem embarque",IF($G20&gt;0,"Recebe","Paga"))</f>
        <v>Recebe</v>
      </c>
    </row>
    <row r="21" customFormat="false" ht="15" hidden="false" customHeight="false" outlineLevel="0" collapsed="false">
      <c r="A21" s="27" t="s">
        <v>40</v>
      </c>
      <c r="B21" s="27" t="s">
        <v>65</v>
      </c>
      <c r="C21" s="34" t="n">
        <f aca="false">SUMIFS(Acerto_Detalhado!$D$2:$D$433,Acerto_Detalhado!$A$2:$A$433,$A21,Acerto_Detalhado!$B$2:$B$433,$B21,Acerto_Detalhado!$C$2:$C$433,"Proteina")</f>
        <v>43335.41</v>
      </c>
      <c r="D21" s="39" t="n">
        <f aca="false">SUMIFS(Acerto_Detalhado!$K$2:$K$433,Acerto_Detalhado!$A$2:$A$433,$A21,Acerto_Detalhado!$B$2:$B$433,$B21,Acerto_Detalhado!$C$2:$C$433,"Proteina")</f>
        <v>68792.6170134827</v>
      </c>
      <c r="E21" s="39" t="n">
        <f aca="false">SUMIFS(Acerto_Detalhado!$K$2:$K$433,Acerto_Detalhado!$A$2:$A$433,$A21,Acerto_Detalhado!$B$2:$B$433,$B21,Acerto_Detalhado!$C$2:$C$433,"Umidade")</f>
        <v>6296.16152267717</v>
      </c>
      <c r="F21" s="39" t="n">
        <f aca="false">SUMIFS(Acerto_Detalhado!$K$2:$K$433,Acerto_Detalhado!$A$2:$A$433,$A21,Acerto_Detalhado!$B$2:$B$433,$B21,Acerto_Detalhado!$C$2:$C$433,"Fibra")</f>
        <v>43107.4425773326</v>
      </c>
      <c r="G21" s="40" t="n">
        <f aca="false">$D21+$E21+$F21</f>
        <v>118196.221113492</v>
      </c>
      <c r="H21" s="27" t="str">
        <f aca="false">IF($C21=0,"Sem embarque",IF($G21&gt;0,"Recebe","Paga"))</f>
        <v>Recebe</v>
      </c>
    </row>
    <row r="22" customFormat="false" ht="15" hidden="false" customHeight="false" outlineLevel="0" collapsed="false">
      <c r="A22" s="27" t="s">
        <v>40</v>
      </c>
      <c r="B22" s="27" t="s">
        <v>66</v>
      </c>
      <c r="C22" s="34" t="n">
        <f aca="false">SUMIFS(Acerto_Detalhado!$D$2:$D$433,Acerto_Detalhado!$A$2:$A$433,$A22,Acerto_Detalhado!$B$2:$B$433,$B22,Acerto_Detalhado!$C$2:$C$433,"Proteina")</f>
        <v>9195.05</v>
      </c>
      <c r="D22" s="39" t="n">
        <f aca="false">SUMIFS(Acerto_Detalhado!$K$2:$K$433,Acerto_Detalhado!$A$2:$A$433,$A22,Acerto_Detalhado!$B$2:$B$433,$B22,Acerto_Detalhado!$C$2:$C$433,"Proteina")</f>
        <v>9616.98551478562</v>
      </c>
      <c r="E22" s="39" t="n">
        <f aca="false">SUMIFS(Acerto_Detalhado!$K$2:$K$433,Acerto_Detalhado!$A$2:$A$433,$A22,Acerto_Detalhado!$B$2:$B$433,$B22,Acerto_Detalhado!$C$2:$C$433,"Umidade")</f>
        <v>5142.95197027589</v>
      </c>
      <c r="F22" s="39" t="n">
        <f aca="false">SUMIFS(Acerto_Detalhado!$K$2:$K$433,Acerto_Detalhado!$A$2:$A$433,$A22,Acerto_Detalhado!$B$2:$B$433,$B22,Acerto_Detalhado!$C$2:$C$433,"Fibra")</f>
        <v>2686.11759313253</v>
      </c>
      <c r="G22" s="40" t="n">
        <f aca="false">$D22+$E22+$F22</f>
        <v>17446.055078194</v>
      </c>
      <c r="H22" s="27" t="str">
        <f aca="false">IF($C22=0,"Sem embarque",IF($G22&gt;0,"Recebe","Paga"))</f>
        <v>Recebe</v>
      </c>
    </row>
    <row r="23" customFormat="false" ht="15" hidden="false" customHeight="false" outlineLevel="0" collapsed="false">
      <c r="A23" s="27" t="s">
        <v>40</v>
      </c>
      <c r="B23" s="27" t="s">
        <v>67</v>
      </c>
      <c r="C23" s="34" t="n">
        <f aca="false">SUMIFS(Acerto_Detalhado!$D$2:$D$433,Acerto_Detalhado!$A$2:$A$433,$A23,Acerto_Detalhado!$B$2:$B$433,$B23,Acerto_Detalhado!$C$2:$C$433,"Proteina")</f>
        <v>0</v>
      </c>
      <c r="D23" s="39" t="n">
        <f aca="false">SUMIFS(Acerto_Detalhado!$K$2:$K$433,Acerto_Detalhado!$A$2:$A$433,$A23,Acerto_Detalhado!$B$2:$B$433,$B23,Acerto_Detalhado!$C$2:$C$433,"Proteina")</f>
        <v>0</v>
      </c>
      <c r="E23" s="39" t="n">
        <f aca="false">SUMIFS(Acerto_Detalhado!$K$2:$K$433,Acerto_Detalhado!$A$2:$A$433,$A23,Acerto_Detalhado!$B$2:$B$433,$B23,Acerto_Detalhado!$C$2:$C$433,"Umidade")</f>
        <v>0</v>
      </c>
      <c r="F23" s="39" t="n">
        <f aca="false">SUMIFS(Acerto_Detalhado!$K$2:$K$433,Acerto_Detalhado!$A$2:$A$433,$A23,Acerto_Detalhado!$B$2:$B$433,$B23,Acerto_Detalhado!$C$2:$C$433,"Fibra")</f>
        <v>0</v>
      </c>
      <c r="G23" s="40" t="n">
        <f aca="false">$D23+$E23+$F23</f>
        <v>0</v>
      </c>
      <c r="H23" s="27" t="str">
        <f aca="false">IF($C23=0,"Sem embarque",IF($G23&gt;0,"Recebe","Paga"))</f>
        <v>Sem embarque</v>
      </c>
    </row>
    <row r="24" customFormat="false" ht="15" hidden="false" customHeight="false" outlineLevel="0" collapsed="false">
      <c r="A24" s="27" t="s">
        <v>40</v>
      </c>
      <c r="B24" s="27" t="s">
        <v>68</v>
      </c>
      <c r="C24" s="34" t="n">
        <f aca="false">SUMIFS(Acerto_Detalhado!$D$2:$D$433,Acerto_Detalhado!$A$2:$A$433,$A24,Acerto_Detalhado!$B$2:$B$433,$B24,Acerto_Detalhado!$C$2:$C$433,"Proteina")</f>
        <v>0</v>
      </c>
      <c r="D24" s="39" t="n">
        <f aca="false">SUMIFS(Acerto_Detalhado!$K$2:$K$433,Acerto_Detalhado!$A$2:$A$433,$A24,Acerto_Detalhado!$B$2:$B$433,$B24,Acerto_Detalhado!$C$2:$C$433,"Proteina")</f>
        <v>0</v>
      </c>
      <c r="E24" s="39" t="n">
        <f aca="false">SUMIFS(Acerto_Detalhado!$K$2:$K$433,Acerto_Detalhado!$A$2:$A$433,$A24,Acerto_Detalhado!$B$2:$B$433,$B24,Acerto_Detalhado!$C$2:$C$433,"Umidade")</f>
        <v>0</v>
      </c>
      <c r="F24" s="39" t="n">
        <f aca="false">SUMIFS(Acerto_Detalhado!$K$2:$K$433,Acerto_Detalhado!$A$2:$A$433,$A24,Acerto_Detalhado!$B$2:$B$433,$B24,Acerto_Detalhado!$C$2:$C$433,"Fibra")</f>
        <v>0</v>
      </c>
      <c r="G24" s="40" t="n">
        <f aca="false">$D24+$E24+$F24</f>
        <v>0</v>
      </c>
      <c r="H24" s="27" t="str">
        <f aca="false">IF($C24=0,"Sem embarque",IF($G24&gt;0,"Recebe","Paga"))</f>
        <v>Sem embarque</v>
      </c>
    </row>
    <row r="25" customFormat="false" ht="15" hidden="false" customHeight="false" outlineLevel="0" collapsed="false">
      <c r="A25" s="27" t="s">
        <v>40</v>
      </c>
      <c r="B25" s="27" t="s">
        <v>69</v>
      </c>
      <c r="C25" s="34" t="n">
        <f aca="false">SUMIFS(Acerto_Detalhado!$D$2:$D$433,Acerto_Detalhado!$A$2:$A$433,$A25,Acerto_Detalhado!$B$2:$B$433,$B25,Acerto_Detalhado!$C$2:$C$433,"Proteina")</f>
        <v>0</v>
      </c>
      <c r="D25" s="39" t="n">
        <f aca="false">SUMIFS(Acerto_Detalhado!$K$2:$K$433,Acerto_Detalhado!$A$2:$A$433,$A25,Acerto_Detalhado!$B$2:$B$433,$B25,Acerto_Detalhado!$C$2:$C$433,"Proteina")</f>
        <v>0</v>
      </c>
      <c r="E25" s="39" t="n">
        <f aca="false">SUMIFS(Acerto_Detalhado!$K$2:$K$433,Acerto_Detalhado!$A$2:$A$433,$A25,Acerto_Detalhado!$B$2:$B$433,$B25,Acerto_Detalhado!$C$2:$C$433,"Umidade")</f>
        <v>0</v>
      </c>
      <c r="F25" s="39" t="n">
        <f aca="false">SUMIFS(Acerto_Detalhado!$K$2:$K$433,Acerto_Detalhado!$A$2:$A$433,$A25,Acerto_Detalhado!$B$2:$B$433,$B25,Acerto_Detalhado!$C$2:$C$433,"Fibra")</f>
        <v>0</v>
      </c>
      <c r="G25" s="40" t="n">
        <f aca="false">$D25+$E25+$F25</f>
        <v>0</v>
      </c>
      <c r="H25" s="27" t="str">
        <f aca="false">IF($C25=0,"Sem embarque",IF($G25&gt;0,"Recebe","Paga"))</f>
        <v>Sem embarque</v>
      </c>
    </row>
    <row r="26" customFormat="false" ht="15" hidden="false" customHeight="false" outlineLevel="0" collapsed="false">
      <c r="A26" s="27" t="s">
        <v>41</v>
      </c>
      <c r="B26" s="27" t="s">
        <v>38</v>
      </c>
      <c r="C26" s="34" t="n">
        <f aca="false">SUMIFS(Acerto_Detalhado!$D$2:$D$433,Acerto_Detalhado!$A$2:$A$433,$A26,Acerto_Detalhado!$B$2:$B$433,$B26,Acerto_Detalhado!$C$2:$C$433,"Proteina")</f>
        <v>18891.74</v>
      </c>
      <c r="D26" s="39" t="n">
        <f aca="false">SUMIFS(Acerto_Detalhado!$K$2:$K$433,Acerto_Detalhado!$A$2:$A$433,$A26,Acerto_Detalhado!$B$2:$B$433,$B26,Acerto_Detalhado!$C$2:$C$433,"Proteina")</f>
        <v>29391.1839497411</v>
      </c>
      <c r="E26" s="39" t="n">
        <f aca="false">SUMIFS(Acerto_Detalhado!$K$2:$K$433,Acerto_Detalhado!$A$2:$A$433,$A26,Acerto_Detalhado!$B$2:$B$433,$B26,Acerto_Detalhado!$C$2:$C$433,"Umidade")</f>
        <v>0</v>
      </c>
      <c r="F26" s="39" t="n">
        <f aca="false">SUMIFS(Acerto_Detalhado!$K$2:$K$433,Acerto_Detalhado!$A$2:$A$433,$A26,Acerto_Detalhado!$B$2:$B$433,$B26,Acerto_Detalhado!$C$2:$C$433,"Fibra")</f>
        <v>11512.188525636</v>
      </c>
      <c r="G26" s="40" t="n">
        <f aca="false">$D26+$E26+$F26</f>
        <v>40903.3724753771</v>
      </c>
      <c r="H26" s="27" t="str">
        <f aca="false">IF($C26=0,"Sem embarque",IF($G26&gt;0,"Recebe","Paga"))</f>
        <v>Recebe</v>
      </c>
    </row>
    <row r="27" customFormat="false" ht="15" hidden="false" customHeight="false" outlineLevel="0" collapsed="false">
      <c r="A27" s="27" t="s">
        <v>41</v>
      </c>
      <c r="B27" s="27" t="s">
        <v>59</v>
      </c>
      <c r="C27" s="34" t="n">
        <f aca="false">SUMIFS(Acerto_Detalhado!$D$2:$D$433,Acerto_Detalhado!$A$2:$A$433,$A27,Acerto_Detalhado!$B$2:$B$433,$B27,Acerto_Detalhado!$C$2:$C$433,"Proteina")</f>
        <v>9485.48</v>
      </c>
      <c r="D27" s="39" t="n">
        <f aca="false">SUMIFS(Acerto_Detalhado!$K$2:$K$433,Acerto_Detalhado!$A$2:$A$433,$A27,Acerto_Detalhado!$B$2:$B$433,$B27,Acerto_Detalhado!$C$2:$C$433,"Proteina")</f>
        <v>-4892.1464693196</v>
      </c>
      <c r="E27" s="39" t="n">
        <f aca="false">SUMIFS(Acerto_Detalhado!$K$2:$K$433,Acerto_Detalhado!$A$2:$A$433,$A27,Acerto_Detalhado!$B$2:$B$433,$B27,Acerto_Detalhado!$C$2:$C$433,"Umidade")</f>
        <v>-8132.39257800007</v>
      </c>
      <c r="F27" s="39" t="n">
        <f aca="false">SUMIFS(Acerto_Detalhado!$K$2:$K$433,Acerto_Detalhado!$A$2:$A$433,$A27,Acerto_Detalhado!$B$2:$B$433,$B27,Acerto_Detalhado!$C$2:$C$433,"Fibra")</f>
        <v>-4187.84238225417</v>
      </c>
      <c r="G27" s="40" t="n">
        <f aca="false">$D27+$E27+$F27</f>
        <v>-17212.3814295738</v>
      </c>
      <c r="H27" s="27" t="str">
        <f aca="false">IF($C27=0,"Sem embarque",IF($G27&gt;0,"Recebe","Paga"))</f>
        <v>Paga</v>
      </c>
    </row>
    <row r="28" customFormat="false" ht="15" hidden="false" customHeight="false" outlineLevel="0" collapsed="false">
      <c r="A28" s="27" t="s">
        <v>41</v>
      </c>
      <c r="B28" s="27" t="s">
        <v>60</v>
      </c>
      <c r="C28" s="34" t="n">
        <f aca="false">SUMIFS(Acerto_Detalhado!$D$2:$D$433,Acerto_Detalhado!$A$2:$A$433,$A28,Acerto_Detalhado!$B$2:$B$433,$B28,Acerto_Detalhado!$C$2:$C$433,"Proteina")</f>
        <v>12278.31</v>
      </c>
      <c r="D28" s="39" t="n">
        <f aca="false">SUMIFS(Acerto_Detalhado!$K$2:$K$433,Acerto_Detalhado!$A$2:$A$433,$A28,Acerto_Detalhado!$B$2:$B$433,$B28,Acerto_Detalhado!$C$2:$C$433,"Proteina")</f>
        <v>16657.2142134015</v>
      </c>
      <c r="E28" s="39" t="n">
        <f aca="false">SUMIFS(Acerto_Detalhado!$K$2:$K$433,Acerto_Detalhado!$A$2:$A$433,$A28,Acerto_Detalhado!$B$2:$B$433,$B28,Acerto_Detalhado!$C$2:$C$433,"Umidade")</f>
        <v>0</v>
      </c>
      <c r="F28" s="39" t="n">
        <f aca="false">SUMIFS(Acerto_Detalhado!$K$2:$K$433,Acerto_Detalhado!$A$2:$A$433,$A28,Acerto_Detalhado!$B$2:$B$433,$B28,Acerto_Detalhado!$C$2:$C$433,"Fibra")</f>
        <v>3517.95527365411</v>
      </c>
      <c r="G28" s="40" t="n">
        <f aca="false">$D28+$E28+$F28</f>
        <v>20175.1694870556</v>
      </c>
      <c r="H28" s="27" t="str">
        <f aca="false">IF($C28=0,"Sem embarque",IF($G28&gt;0,"Recebe","Paga"))</f>
        <v>Recebe</v>
      </c>
    </row>
    <row r="29" customFormat="false" ht="15" hidden="false" customHeight="false" outlineLevel="0" collapsed="false">
      <c r="A29" s="27" t="s">
        <v>41</v>
      </c>
      <c r="B29" s="27" t="s">
        <v>61</v>
      </c>
      <c r="C29" s="34" t="n">
        <f aca="false">SUMIFS(Acerto_Detalhado!$D$2:$D$433,Acerto_Detalhado!$A$2:$A$433,$A29,Acerto_Detalhado!$B$2:$B$433,$B29,Acerto_Detalhado!$C$2:$C$433,"Proteina")</f>
        <v>42872.69</v>
      </c>
      <c r="D29" s="39" t="n">
        <f aca="false">SUMIFS(Acerto_Detalhado!$K$2:$K$433,Acerto_Detalhado!$A$2:$A$433,$A29,Acerto_Detalhado!$B$2:$B$433,$B29,Acerto_Detalhado!$C$2:$C$433,"Proteina")</f>
        <v>-332.276635595977</v>
      </c>
      <c r="E29" s="39" t="n">
        <f aca="false">SUMIFS(Acerto_Detalhado!$K$2:$K$433,Acerto_Detalhado!$A$2:$A$433,$A29,Acerto_Detalhado!$B$2:$B$433,$B29,Acerto_Detalhado!$C$2:$C$433,"Umidade")</f>
        <v>-89392.5188999994</v>
      </c>
      <c r="F29" s="39" t="n">
        <f aca="false">SUMIFS(Acerto_Detalhado!$K$2:$K$433,Acerto_Detalhado!$A$2:$A$433,$A29,Acerto_Detalhado!$B$2:$B$433,$B29,Acerto_Detalhado!$C$2:$C$433,"Fibra")</f>
        <v>8252.09922554735</v>
      </c>
      <c r="G29" s="40" t="n">
        <f aca="false">$D29+$E29+$F29</f>
        <v>-81472.6963100481</v>
      </c>
      <c r="H29" s="27" t="str">
        <f aca="false">IF($C29=0,"Sem embarque",IF($G29&gt;0,"Recebe","Paga"))</f>
        <v>Paga</v>
      </c>
    </row>
    <row r="30" customFormat="false" ht="15" hidden="false" customHeight="false" outlineLevel="0" collapsed="false">
      <c r="A30" s="27" t="s">
        <v>41</v>
      </c>
      <c r="B30" s="27" t="s">
        <v>62</v>
      </c>
      <c r="C30" s="34" t="n">
        <f aca="false">SUMIFS(Acerto_Detalhado!$D$2:$D$433,Acerto_Detalhado!$A$2:$A$433,$A30,Acerto_Detalhado!$B$2:$B$433,$B30,Acerto_Detalhado!$C$2:$C$433,"Proteina")</f>
        <v>17619.63</v>
      </c>
      <c r="D30" s="39" t="n">
        <f aca="false">SUMIFS(Acerto_Detalhado!$K$2:$K$433,Acerto_Detalhado!$A$2:$A$433,$A30,Acerto_Detalhado!$B$2:$B$433,$B30,Acerto_Detalhado!$C$2:$C$433,"Proteina")</f>
        <v>-11052.2724855385</v>
      </c>
      <c r="E30" s="39" t="n">
        <f aca="false">SUMIFS(Acerto_Detalhado!$K$2:$K$433,Acerto_Detalhado!$A$2:$A$433,$A30,Acerto_Detalhado!$B$2:$B$433,$B30,Acerto_Detalhado!$C$2:$C$433,"Umidade")</f>
        <v>-17054.955043</v>
      </c>
      <c r="F30" s="39" t="n">
        <f aca="false">SUMIFS(Acerto_Detalhado!$K$2:$K$433,Acerto_Detalhado!$A$2:$A$433,$A30,Acerto_Detalhado!$B$2:$B$433,$B30,Acerto_Detalhado!$C$2:$C$433,"Fibra")</f>
        <v>-3137.37306356125</v>
      </c>
      <c r="G30" s="40" t="n">
        <f aca="false">$D30+$E30+$F30</f>
        <v>-31244.6005920997</v>
      </c>
      <c r="H30" s="27" t="str">
        <f aca="false">IF($C30=0,"Sem embarque",IF($G30&gt;0,"Recebe","Paga"))</f>
        <v>Paga</v>
      </c>
    </row>
    <row r="31" customFormat="false" ht="15" hidden="false" customHeight="false" outlineLevel="0" collapsed="false">
      <c r="A31" s="27" t="s">
        <v>41</v>
      </c>
      <c r="B31" s="27" t="s">
        <v>63</v>
      </c>
      <c r="C31" s="34" t="n">
        <f aca="false">SUMIFS(Acerto_Detalhado!$D$2:$D$433,Acerto_Detalhado!$A$2:$A$433,$A31,Acerto_Detalhado!$B$2:$B$433,$B31,Acerto_Detalhado!$C$2:$C$433,"Proteina")</f>
        <v>41497.14</v>
      </c>
      <c r="D31" s="39" t="n">
        <f aca="false">SUMIFS(Acerto_Detalhado!$K$2:$K$433,Acerto_Detalhado!$A$2:$A$433,$A31,Acerto_Detalhado!$B$2:$B$433,$B31,Acerto_Detalhado!$C$2:$C$433,"Proteina")</f>
        <v>15515.4683454256</v>
      </c>
      <c r="E31" s="39" t="n">
        <f aca="false">SUMIFS(Acerto_Detalhado!$K$2:$K$433,Acerto_Detalhado!$A$2:$A$433,$A31,Acerto_Detalhado!$B$2:$B$433,$B31,Acerto_Detalhado!$C$2:$C$433,"Umidade")</f>
        <v>-123568.213577357</v>
      </c>
      <c r="F31" s="39" t="n">
        <f aca="false">SUMIFS(Acerto_Detalhado!$K$2:$K$433,Acerto_Detalhado!$A$2:$A$433,$A31,Acerto_Detalhado!$B$2:$B$433,$B31,Acerto_Detalhado!$C$2:$C$433,"Fibra")</f>
        <v>10261.7421152571</v>
      </c>
      <c r="G31" s="40" t="n">
        <f aca="false">$D31+$E31+$F31</f>
        <v>-97791.0031166747</v>
      </c>
      <c r="H31" s="27" t="str">
        <f aca="false">IF($C31=0,"Sem embarque",IF($G31&gt;0,"Recebe","Paga"))</f>
        <v>Paga</v>
      </c>
    </row>
    <row r="32" customFormat="false" ht="15" hidden="false" customHeight="false" outlineLevel="0" collapsed="false">
      <c r="A32" s="27" t="s">
        <v>41</v>
      </c>
      <c r="B32" s="27" t="s">
        <v>64</v>
      </c>
      <c r="C32" s="34" t="n">
        <f aca="false">SUMIFS(Acerto_Detalhado!$D$2:$D$433,Acerto_Detalhado!$A$2:$A$433,$A32,Acerto_Detalhado!$B$2:$B$433,$B32,Acerto_Detalhado!$C$2:$C$433,"Proteina")</f>
        <v>78263.287</v>
      </c>
      <c r="D32" s="39" t="n">
        <f aca="false">SUMIFS(Acerto_Detalhado!$K$2:$K$433,Acerto_Detalhado!$A$2:$A$433,$A32,Acerto_Detalhado!$B$2:$B$433,$B32,Acerto_Detalhado!$C$2:$C$433,"Proteina")</f>
        <v>60962.6708586009</v>
      </c>
      <c r="E32" s="39" t="n">
        <f aca="false">SUMIFS(Acerto_Detalhado!$K$2:$K$433,Acerto_Detalhado!$A$2:$A$433,$A32,Acerto_Detalhado!$B$2:$B$433,$B32,Acerto_Detalhado!$C$2:$C$433,"Umidade")</f>
        <v>-73997.1262673999</v>
      </c>
      <c r="F32" s="39" t="n">
        <f aca="false">SUMIFS(Acerto_Detalhado!$K$2:$K$433,Acerto_Detalhado!$A$2:$A$433,$A32,Acerto_Detalhado!$B$2:$B$433,$B32,Acerto_Detalhado!$C$2:$C$433,"Fibra")</f>
        <v>16634.1394646807</v>
      </c>
      <c r="G32" s="40" t="n">
        <f aca="false">$D32+$E32+$F32</f>
        <v>3599.68405588167</v>
      </c>
      <c r="H32" s="27" t="str">
        <f aca="false">IF($C32=0,"Sem embarque",IF($G32&gt;0,"Recebe","Paga"))</f>
        <v>Recebe</v>
      </c>
    </row>
    <row r="33" customFormat="false" ht="15" hidden="false" customHeight="false" outlineLevel="0" collapsed="false">
      <c r="A33" s="27" t="s">
        <v>41</v>
      </c>
      <c r="B33" s="27" t="s">
        <v>65</v>
      </c>
      <c r="C33" s="34" t="n">
        <f aca="false">SUMIFS(Acerto_Detalhado!$D$2:$D$433,Acerto_Detalhado!$A$2:$A$433,$A33,Acerto_Detalhado!$B$2:$B$433,$B33,Acerto_Detalhado!$C$2:$C$433,"Proteina")</f>
        <v>77775.89</v>
      </c>
      <c r="D33" s="39" t="n">
        <f aca="false">SUMIFS(Acerto_Detalhado!$K$2:$K$433,Acerto_Detalhado!$A$2:$A$433,$A33,Acerto_Detalhado!$B$2:$B$433,$B33,Acerto_Detalhado!$C$2:$C$433,"Proteina")</f>
        <v>123465.014260919</v>
      </c>
      <c r="E33" s="39" t="n">
        <f aca="false">SUMIFS(Acerto_Detalhado!$K$2:$K$433,Acerto_Detalhado!$A$2:$A$433,$A33,Acerto_Detalhado!$B$2:$B$433,$B33,Acerto_Detalhado!$C$2:$C$433,"Umidade")</f>
        <v>11299.9869162418</v>
      </c>
      <c r="F33" s="39" t="n">
        <f aca="false">SUMIFS(Acerto_Detalhado!$K$2:$K$433,Acerto_Detalhado!$A$2:$A$433,$A33,Acerto_Detalhado!$B$2:$B$433,$B33,Acerto_Detalhado!$C$2:$C$433,"Fibra")</f>
        <v>77366.7472414807</v>
      </c>
      <c r="G33" s="40" t="n">
        <f aca="false">$D33+$E33+$F33</f>
        <v>212131.748418641</v>
      </c>
      <c r="H33" s="27" t="str">
        <f aca="false">IF($C33=0,"Sem embarque",IF($G33&gt;0,"Recebe","Paga"))</f>
        <v>Recebe</v>
      </c>
    </row>
    <row r="34" customFormat="false" ht="15" hidden="false" customHeight="false" outlineLevel="0" collapsed="false">
      <c r="A34" s="27" t="s">
        <v>41</v>
      </c>
      <c r="B34" s="27" t="s">
        <v>66</v>
      </c>
      <c r="C34" s="34" t="n">
        <f aca="false">SUMIFS(Acerto_Detalhado!$D$2:$D$433,Acerto_Detalhado!$A$2:$A$433,$A34,Acerto_Detalhado!$B$2:$B$433,$B34,Acerto_Detalhado!$C$2:$C$433,"Proteina")</f>
        <v>4163.45</v>
      </c>
      <c r="D34" s="39" t="n">
        <f aca="false">SUMIFS(Acerto_Detalhado!$K$2:$K$433,Acerto_Detalhado!$A$2:$A$433,$A34,Acerto_Detalhado!$B$2:$B$433,$B34,Acerto_Detalhado!$C$2:$C$433,"Proteina")</f>
        <v>4354.49925139441</v>
      </c>
      <c r="E34" s="39" t="n">
        <f aca="false">SUMIFS(Acerto_Detalhado!$K$2:$K$433,Acerto_Detalhado!$A$2:$A$433,$A34,Acerto_Detalhado!$B$2:$B$433,$B34,Acerto_Detalhado!$C$2:$C$433,"Umidade")</f>
        <v>-1628.74163999999</v>
      </c>
      <c r="F34" s="39" t="n">
        <f aca="false">SUMIFS(Acerto_Detalhado!$K$2:$K$433,Acerto_Detalhado!$A$2:$A$433,$A34,Acerto_Detalhado!$B$2:$B$433,$B34,Acerto_Detalhado!$C$2:$C$433,"Fibra")</f>
        <v>1216.2539946088</v>
      </c>
      <c r="G34" s="40" t="n">
        <f aca="false">$D34+$E34+$F34</f>
        <v>3942.01160600322</v>
      </c>
      <c r="H34" s="27" t="str">
        <f aca="false">IF($C34=0,"Sem embarque",IF($G34&gt;0,"Recebe","Paga"))</f>
        <v>Recebe</v>
      </c>
    </row>
    <row r="35" customFormat="false" ht="15" hidden="false" customHeight="false" outlineLevel="0" collapsed="false">
      <c r="A35" s="27" t="s">
        <v>41</v>
      </c>
      <c r="B35" s="27" t="s">
        <v>67</v>
      </c>
      <c r="C35" s="34" t="n">
        <f aca="false">SUMIFS(Acerto_Detalhado!$D$2:$D$433,Acerto_Detalhado!$A$2:$A$433,$A35,Acerto_Detalhado!$B$2:$B$433,$B35,Acerto_Detalhado!$C$2:$C$433,"Proteina")</f>
        <v>0</v>
      </c>
      <c r="D35" s="39" t="n">
        <f aca="false">SUMIFS(Acerto_Detalhado!$K$2:$K$433,Acerto_Detalhado!$A$2:$A$433,$A35,Acerto_Detalhado!$B$2:$B$433,$B35,Acerto_Detalhado!$C$2:$C$433,"Proteina")</f>
        <v>0</v>
      </c>
      <c r="E35" s="39" t="n">
        <f aca="false">SUMIFS(Acerto_Detalhado!$K$2:$K$433,Acerto_Detalhado!$A$2:$A$433,$A35,Acerto_Detalhado!$B$2:$B$433,$B35,Acerto_Detalhado!$C$2:$C$433,"Umidade")</f>
        <v>0</v>
      </c>
      <c r="F35" s="39" t="n">
        <f aca="false">SUMIFS(Acerto_Detalhado!$K$2:$K$433,Acerto_Detalhado!$A$2:$A$433,$A35,Acerto_Detalhado!$B$2:$B$433,$B35,Acerto_Detalhado!$C$2:$C$433,"Fibra")</f>
        <v>0</v>
      </c>
      <c r="G35" s="40" t="n">
        <f aca="false">$D35+$E35+$F35</f>
        <v>0</v>
      </c>
      <c r="H35" s="27" t="str">
        <f aca="false">IF($C35=0,"Sem embarque",IF($G35&gt;0,"Recebe","Paga"))</f>
        <v>Sem embarque</v>
      </c>
    </row>
    <row r="36" customFormat="false" ht="15" hidden="false" customHeight="false" outlineLevel="0" collapsed="false">
      <c r="A36" s="27" t="s">
        <v>41</v>
      </c>
      <c r="B36" s="27" t="s">
        <v>68</v>
      </c>
      <c r="C36" s="34" t="n">
        <f aca="false">SUMIFS(Acerto_Detalhado!$D$2:$D$433,Acerto_Detalhado!$A$2:$A$433,$A36,Acerto_Detalhado!$B$2:$B$433,$B36,Acerto_Detalhado!$C$2:$C$433,"Proteina")</f>
        <v>0</v>
      </c>
      <c r="D36" s="39" t="n">
        <f aca="false">SUMIFS(Acerto_Detalhado!$K$2:$K$433,Acerto_Detalhado!$A$2:$A$433,$A36,Acerto_Detalhado!$B$2:$B$433,$B36,Acerto_Detalhado!$C$2:$C$433,"Proteina")</f>
        <v>0</v>
      </c>
      <c r="E36" s="39" t="n">
        <f aca="false">SUMIFS(Acerto_Detalhado!$K$2:$K$433,Acerto_Detalhado!$A$2:$A$433,$A36,Acerto_Detalhado!$B$2:$B$433,$B36,Acerto_Detalhado!$C$2:$C$433,"Umidade")</f>
        <v>0</v>
      </c>
      <c r="F36" s="39" t="n">
        <f aca="false">SUMIFS(Acerto_Detalhado!$K$2:$K$433,Acerto_Detalhado!$A$2:$A$433,$A36,Acerto_Detalhado!$B$2:$B$433,$B36,Acerto_Detalhado!$C$2:$C$433,"Fibra")</f>
        <v>0</v>
      </c>
      <c r="G36" s="40" t="n">
        <f aca="false">$D36+$E36+$F36</f>
        <v>0</v>
      </c>
      <c r="H36" s="27" t="str">
        <f aca="false">IF($C36=0,"Sem embarque",IF($G36&gt;0,"Recebe","Paga"))</f>
        <v>Sem embarque</v>
      </c>
    </row>
    <row r="37" customFormat="false" ht="15" hidden="false" customHeight="false" outlineLevel="0" collapsed="false">
      <c r="A37" s="27" t="s">
        <v>41</v>
      </c>
      <c r="B37" s="27" t="s">
        <v>69</v>
      </c>
      <c r="C37" s="34" t="n">
        <f aca="false">SUMIFS(Acerto_Detalhado!$D$2:$D$433,Acerto_Detalhado!$A$2:$A$433,$A37,Acerto_Detalhado!$B$2:$B$433,$B37,Acerto_Detalhado!$C$2:$C$433,"Proteina")</f>
        <v>0</v>
      </c>
      <c r="D37" s="39" t="n">
        <f aca="false">SUMIFS(Acerto_Detalhado!$K$2:$K$433,Acerto_Detalhado!$A$2:$A$433,$A37,Acerto_Detalhado!$B$2:$B$433,$B37,Acerto_Detalhado!$C$2:$C$433,"Proteina")</f>
        <v>0</v>
      </c>
      <c r="E37" s="39" t="n">
        <f aca="false">SUMIFS(Acerto_Detalhado!$K$2:$K$433,Acerto_Detalhado!$A$2:$A$433,$A37,Acerto_Detalhado!$B$2:$B$433,$B37,Acerto_Detalhado!$C$2:$C$433,"Umidade")</f>
        <v>0</v>
      </c>
      <c r="F37" s="39" t="n">
        <f aca="false">SUMIFS(Acerto_Detalhado!$K$2:$K$433,Acerto_Detalhado!$A$2:$A$433,$A37,Acerto_Detalhado!$B$2:$B$433,$B37,Acerto_Detalhado!$C$2:$C$433,"Fibra")</f>
        <v>0</v>
      </c>
      <c r="G37" s="40" t="n">
        <f aca="false">$D37+$E37+$F37</f>
        <v>0</v>
      </c>
      <c r="H37" s="27" t="str">
        <f aca="false">IF($C37=0,"Sem embarque",IF($G37&gt;0,"Recebe","Paga"))</f>
        <v>Sem embarque</v>
      </c>
    </row>
    <row r="38" customFormat="false" ht="15" hidden="false" customHeight="false" outlineLevel="0" collapsed="false">
      <c r="A38" s="27" t="s">
        <v>42</v>
      </c>
      <c r="B38" s="27" t="s">
        <v>38</v>
      </c>
      <c r="C38" s="34" t="n">
        <f aca="false">SUMIFS(Acerto_Detalhado!$D$2:$D$433,Acerto_Detalhado!$A$2:$A$433,$A38,Acerto_Detalhado!$B$2:$B$433,$B38,Acerto_Detalhado!$C$2:$C$433,"Proteina")</f>
        <v>26334.33</v>
      </c>
      <c r="D38" s="39" t="n">
        <f aca="false">SUMIFS(Acerto_Detalhado!$K$2:$K$433,Acerto_Detalhado!$A$2:$A$433,$A38,Acerto_Detalhado!$B$2:$B$433,$B38,Acerto_Detalhado!$C$2:$C$433,"Proteina")</f>
        <v>-972.304730506277</v>
      </c>
      <c r="E38" s="39" t="n">
        <f aca="false">SUMIFS(Acerto_Detalhado!$K$2:$K$433,Acerto_Detalhado!$A$2:$A$433,$A38,Acerto_Detalhado!$B$2:$B$433,$B38,Acerto_Detalhado!$C$2:$C$433,"Umidade")</f>
        <v>0</v>
      </c>
      <c r="F38" s="39" t="n">
        <f aca="false">SUMIFS(Acerto_Detalhado!$K$2:$K$433,Acerto_Detalhado!$A$2:$A$433,$A38,Acerto_Detalhado!$B$2:$B$433,$B38,Acerto_Detalhado!$C$2:$C$433,"Fibra")</f>
        <v>-8217.9115864258</v>
      </c>
      <c r="G38" s="40" t="n">
        <f aca="false">$D38+$E38+$F38</f>
        <v>-9190.21631693208</v>
      </c>
      <c r="H38" s="27" t="str">
        <f aca="false">IF($C38=0,"Sem embarque",IF($G38&gt;0,"Recebe","Paga"))</f>
        <v>Paga</v>
      </c>
    </row>
    <row r="39" customFormat="false" ht="15" hidden="false" customHeight="false" outlineLevel="0" collapsed="false">
      <c r="A39" s="27" t="s">
        <v>42</v>
      </c>
      <c r="B39" s="27" t="s">
        <v>59</v>
      </c>
      <c r="C39" s="34" t="n">
        <f aca="false">SUMIFS(Acerto_Detalhado!$D$2:$D$433,Acerto_Detalhado!$A$2:$A$433,$A39,Acerto_Detalhado!$B$2:$B$433,$B39,Acerto_Detalhado!$C$2:$C$433,"Proteina")</f>
        <v>62578.1</v>
      </c>
      <c r="D39" s="39" t="n">
        <f aca="false">SUMIFS(Acerto_Detalhado!$K$2:$K$433,Acerto_Detalhado!$A$2:$A$433,$A39,Acerto_Detalhado!$B$2:$B$433,$B39,Acerto_Detalhado!$C$2:$C$433,"Proteina")</f>
        <v>-98347.3918397593</v>
      </c>
      <c r="E39" s="39" t="n">
        <f aca="false">SUMIFS(Acerto_Detalhado!$K$2:$K$433,Acerto_Detalhado!$A$2:$A$433,$A39,Acerto_Detalhado!$B$2:$B$433,$B39,Acerto_Detalhado!$C$2:$C$433,"Umidade")</f>
        <v>1756.49315779831</v>
      </c>
      <c r="F39" s="39" t="n">
        <f aca="false">SUMIFS(Acerto_Detalhado!$K$2:$K$433,Acerto_Detalhado!$A$2:$A$433,$A39,Acerto_Detalhado!$B$2:$B$433,$B39,Acerto_Detalhado!$C$2:$C$433,"Fibra")</f>
        <v>-22006.204493603</v>
      </c>
      <c r="G39" s="40" t="n">
        <f aca="false">$D39+$E39+$F39</f>
        <v>-118597.103175564</v>
      </c>
      <c r="H39" s="27" t="str">
        <f aca="false">IF($C39=0,"Sem embarque",IF($G39&gt;0,"Recebe","Paga"))</f>
        <v>Paga</v>
      </c>
    </row>
    <row r="40" customFormat="false" ht="15" hidden="false" customHeight="false" outlineLevel="0" collapsed="false">
      <c r="A40" s="27" t="s">
        <v>42</v>
      </c>
      <c r="B40" s="27" t="s">
        <v>60</v>
      </c>
      <c r="C40" s="34" t="n">
        <f aca="false">SUMIFS(Acerto_Detalhado!$D$2:$D$433,Acerto_Detalhado!$A$2:$A$433,$A40,Acerto_Detalhado!$B$2:$B$433,$B40,Acerto_Detalhado!$C$2:$C$433,"Proteina")</f>
        <v>60137.37</v>
      </c>
      <c r="D40" s="39" t="n">
        <f aca="false">SUMIFS(Acerto_Detalhado!$K$2:$K$433,Acerto_Detalhado!$A$2:$A$433,$A40,Acerto_Detalhado!$B$2:$B$433,$B40,Acerto_Detalhado!$C$2:$C$433,"Proteina")</f>
        <v>-25553.6516035876</v>
      </c>
      <c r="E40" s="39" t="n">
        <f aca="false">SUMIFS(Acerto_Detalhado!$K$2:$K$433,Acerto_Detalhado!$A$2:$A$433,$A40,Acerto_Detalhado!$B$2:$B$433,$B40,Acerto_Detalhado!$C$2:$C$433,"Umidade")</f>
        <v>0</v>
      </c>
      <c r="F40" s="39" t="n">
        <f aca="false">SUMIFS(Acerto_Detalhado!$K$2:$K$433,Acerto_Detalhado!$A$2:$A$433,$A40,Acerto_Detalhado!$B$2:$B$433,$B40,Acerto_Detalhado!$C$2:$C$433,"Fibra")</f>
        <v>-6561.67333629427</v>
      </c>
      <c r="G40" s="40" t="n">
        <f aca="false">$D40+$E40+$F40</f>
        <v>-32115.3249398819</v>
      </c>
      <c r="H40" s="27" t="str">
        <f aca="false">IF($C40=0,"Sem embarque",IF($G40&gt;0,"Recebe","Paga"))</f>
        <v>Paga</v>
      </c>
    </row>
    <row r="41" customFormat="false" ht="15" hidden="false" customHeight="false" outlineLevel="0" collapsed="false">
      <c r="A41" s="27" t="s">
        <v>42</v>
      </c>
      <c r="B41" s="27" t="s">
        <v>61</v>
      </c>
      <c r="C41" s="34" t="n">
        <f aca="false">SUMIFS(Acerto_Detalhado!$D$2:$D$433,Acerto_Detalhado!$A$2:$A$433,$A41,Acerto_Detalhado!$B$2:$B$433,$B41,Acerto_Detalhado!$C$2:$C$433,"Proteina")</f>
        <v>53714.89</v>
      </c>
      <c r="D41" s="39" t="n">
        <f aca="false">SUMIFS(Acerto_Detalhado!$K$2:$K$433,Acerto_Detalhado!$A$2:$A$433,$A41,Acerto_Detalhado!$B$2:$B$433,$B41,Acerto_Detalhado!$C$2:$C$433,"Proteina")</f>
        <v>27720.1856379367</v>
      </c>
      <c r="E41" s="39" t="n">
        <f aca="false">SUMIFS(Acerto_Detalhado!$K$2:$K$433,Acerto_Detalhado!$A$2:$A$433,$A41,Acerto_Detalhado!$B$2:$B$433,$B41,Acerto_Detalhado!$C$2:$C$433,"Umidade")</f>
        <v>15216.4089070132</v>
      </c>
      <c r="F41" s="39" t="n">
        <f aca="false">SUMIFS(Acerto_Detalhado!$K$2:$K$433,Acerto_Detalhado!$A$2:$A$433,$A41,Acerto_Detalhado!$B$2:$B$433,$B41,Acerto_Detalhado!$C$2:$C$433,"Fibra")</f>
        <v>10338.9967405675</v>
      </c>
      <c r="G41" s="40" t="n">
        <f aca="false">$D41+$E41+$F41</f>
        <v>53275.5912855174</v>
      </c>
      <c r="H41" s="27" t="str">
        <f aca="false">IF($C41=0,"Sem embarque",IF($G41&gt;0,"Recebe","Paga"))</f>
        <v>Recebe</v>
      </c>
    </row>
    <row r="42" customFormat="false" ht="15" hidden="false" customHeight="false" outlineLevel="0" collapsed="false">
      <c r="A42" s="27" t="s">
        <v>42</v>
      </c>
      <c r="B42" s="27" t="s">
        <v>62</v>
      </c>
      <c r="C42" s="34" t="n">
        <f aca="false">SUMIFS(Acerto_Detalhado!$D$2:$D$433,Acerto_Detalhado!$A$2:$A$433,$A42,Acerto_Detalhado!$B$2:$B$433,$B42,Acerto_Detalhado!$C$2:$C$433,"Proteina")</f>
        <v>53120.9</v>
      </c>
      <c r="D42" s="39" t="n">
        <f aca="false">SUMIFS(Acerto_Detalhado!$K$2:$K$433,Acerto_Detalhado!$A$2:$A$433,$A42,Acerto_Detalhado!$B$2:$B$433,$B42,Acerto_Detalhado!$C$2:$C$433,"Proteina")</f>
        <v>-33484.9540542134</v>
      </c>
      <c r="E42" s="39" t="n">
        <f aca="false">SUMIFS(Acerto_Detalhado!$K$2:$K$433,Acerto_Detalhado!$A$2:$A$433,$A42,Acerto_Detalhado!$B$2:$B$433,$B42,Acerto_Detalhado!$C$2:$C$433,"Umidade")</f>
        <v>4748.55337344312</v>
      </c>
      <c r="F42" s="39" t="n">
        <f aca="false">SUMIFS(Acerto_Detalhado!$K$2:$K$433,Acerto_Detalhado!$A$2:$A$433,$A42,Acerto_Detalhado!$B$2:$B$433,$B42,Acerto_Detalhado!$C$2:$C$433,"Fibra")</f>
        <v>-8734.15282456172</v>
      </c>
      <c r="G42" s="40" t="n">
        <f aca="false">$D42+$E42+$F42</f>
        <v>-37470.553505332</v>
      </c>
      <c r="H42" s="27" t="str">
        <f aca="false">IF($C42=0,"Sem embarque",IF($G42&gt;0,"Recebe","Paga"))</f>
        <v>Paga</v>
      </c>
    </row>
    <row r="43" customFormat="false" ht="15" hidden="false" customHeight="false" outlineLevel="0" collapsed="false">
      <c r="A43" s="27" t="s">
        <v>42</v>
      </c>
      <c r="B43" s="27" t="s">
        <v>63</v>
      </c>
      <c r="C43" s="34" t="n">
        <f aca="false">SUMIFS(Acerto_Detalhado!$D$2:$D$433,Acerto_Detalhado!$A$2:$A$433,$A43,Acerto_Detalhado!$B$2:$B$433,$B43,Acerto_Detalhado!$C$2:$C$433,"Proteina")</f>
        <v>40336.83</v>
      </c>
      <c r="D43" s="39" t="n">
        <f aca="false">SUMIFS(Acerto_Detalhado!$K$2:$K$433,Acerto_Detalhado!$A$2:$A$433,$A43,Acerto_Detalhado!$B$2:$B$433,$B43,Acerto_Detalhado!$C$2:$C$433,"Proteina")</f>
        <v>-5180.33923942371</v>
      </c>
      <c r="E43" s="39" t="n">
        <f aca="false">SUMIFS(Acerto_Detalhado!$K$2:$K$433,Acerto_Detalhado!$A$2:$A$433,$A43,Acerto_Detalhado!$B$2:$B$433,$B43,Acerto_Detalhado!$C$2:$C$433,"Umidade")</f>
        <v>-17092.0458488846</v>
      </c>
      <c r="F43" s="39" t="n">
        <f aca="false">SUMIFS(Acerto_Detalhado!$K$2:$K$433,Acerto_Detalhado!$A$2:$A$433,$A43,Acerto_Detalhado!$B$2:$B$433,$B43,Acerto_Detalhado!$C$2:$C$433,"Fibra")</f>
        <v>-5599.94174095274</v>
      </c>
      <c r="G43" s="40" t="n">
        <f aca="false">$D43+$E43+$F43</f>
        <v>-27872.3268292611</v>
      </c>
      <c r="H43" s="27" t="str">
        <f aca="false">IF($C43=0,"Sem embarque",IF($G43&gt;0,"Recebe","Paga"))</f>
        <v>Paga</v>
      </c>
    </row>
    <row r="44" customFormat="false" ht="15" hidden="false" customHeight="false" outlineLevel="0" collapsed="false">
      <c r="A44" s="27" t="s">
        <v>42</v>
      </c>
      <c r="B44" s="27" t="s">
        <v>64</v>
      </c>
      <c r="C44" s="34" t="n">
        <f aca="false">SUMIFS(Acerto_Detalhado!$D$2:$D$433,Acerto_Detalhado!$A$2:$A$433,$A44,Acerto_Detalhado!$B$2:$B$433,$B44,Acerto_Detalhado!$C$2:$C$433,"Proteina")</f>
        <v>5705.09</v>
      </c>
      <c r="D44" s="39" t="n">
        <f aca="false">SUMIFS(Acerto_Detalhado!$K$2:$K$433,Acerto_Detalhado!$A$2:$A$433,$A44,Acerto_Detalhado!$B$2:$B$433,$B44,Acerto_Detalhado!$C$2:$C$433,"Proteina")</f>
        <v>-10976.6805456647</v>
      </c>
      <c r="E44" s="39" t="n">
        <f aca="false">SUMIFS(Acerto_Detalhado!$K$2:$K$433,Acerto_Detalhado!$A$2:$A$433,$A44,Acerto_Detalhado!$B$2:$B$433,$B44,Acerto_Detalhado!$C$2:$C$433,"Umidade")</f>
        <v>-4151.27682800003</v>
      </c>
      <c r="F44" s="39" t="n">
        <f aca="false">SUMIFS(Acerto_Detalhado!$K$2:$K$433,Acerto_Detalhado!$A$2:$A$433,$A44,Acerto_Detalhado!$B$2:$B$433,$B44,Acerto_Detalhado!$C$2:$C$433,"Fibra")</f>
        <v>-8333.047044</v>
      </c>
      <c r="G44" s="40" t="n">
        <f aca="false">$D44+$E44+$F44</f>
        <v>-23461.0044176647</v>
      </c>
      <c r="H44" s="27" t="str">
        <f aca="false">IF($C44=0,"Sem embarque",IF($G44&gt;0,"Recebe","Paga"))</f>
        <v>Paga</v>
      </c>
    </row>
    <row r="45" customFormat="false" ht="15" hidden="false" customHeight="false" outlineLevel="0" collapsed="false">
      <c r="A45" s="27" t="s">
        <v>42</v>
      </c>
      <c r="B45" s="27" t="s">
        <v>65</v>
      </c>
      <c r="C45" s="34" t="n">
        <f aca="false">SUMIFS(Acerto_Detalhado!$D$2:$D$433,Acerto_Detalhado!$A$2:$A$433,$A45,Acerto_Detalhado!$B$2:$B$433,$B45,Acerto_Detalhado!$C$2:$C$433,"Proteina")</f>
        <v>5005.2</v>
      </c>
      <c r="D45" s="39" t="n">
        <f aca="false">SUMIFS(Acerto_Detalhado!$K$2:$K$433,Acerto_Detalhado!$A$2:$A$433,$A45,Acerto_Detalhado!$B$2:$B$433,$B45,Acerto_Detalhado!$C$2:$C$433,"Proteina")</f>
        <v>-2652.30525994093</v>
      </c>
      <c r="E45" s="39" t="n">
        <f aca="false">SUMIFS(Acerto_Detalhado!$K$2:$K$433,Acerto_Detalhado!$A$2:$A$433,$A45,Acerto_Detalhado!$B$2:$B$433,$B45,Acerto_Detalhado!$C$2:$C$433,"Umidade")</f>
        <v>727.200865373231</v>
      </c>
      <c r="F45" s="39" t="n">
        <f aca="false">SUMIFS(Acerto_Detalhado!$K$2:$K$433,Acerto_Detalhado!$A$2:$A$433,$A45,Acerto_Detalhado!$B$2:$B$433,$B45,Acerto_Detalhado!$C$2:$C$433,"Fibra")</f>
        <v>-3486.71044536968</v>
      </c>
      <c r="G45" s="40" t="n">
        <f aca="false">$D45+$E45+$F45</f>
        <v>-5411.81483993738</v>
      </c>
      <c r="H45" s="27" t="str">
        <f aca="false">IF($C45=0,"Sem embarque",IF($G45&gt;0,"Recebe","Paga"))</f>
        <v>Paga</v>
      </c>
    </row>
    <row r="46" customFormat="false" ht="15" hidden="false" customHeight="false" outlineLevel="0" collapsed="false">
      <c r="A46" s="27" t="s">
        <v>42</v>
      </c>
      <c r="B46" s="27" t="s">
        <v>66</v>
      </c>
      <c r="C46" s="34" t="n">
        <f aca="false">SUMIFS(Acerto_Detalhado!$D$2:$D$433,Acerto_Detalhado!$A$2:$A$433,$A46,Acerto_Detalhado!$B$2:$B$433,$B46,Acerto_Detalhado!$C$2:$C$433,"Proteina")</f>
        <v>229.82</v>
      </c>
      <c r="D46" s="39" t="n">
        <f aca="false">SUMIFS(Acerto_Detalhado!$K$2:$K$433,Acerto_Detalhado!$A$2:$A$433,$A46,Acerto_Detalhado!$B$2:$B$433,$B46,Acerto_Detalhado!$C$2:$C$433,"Proteina")</f>
        <v>-208.844265659303</v>
      </c>
      <c r="E46" s="39" t="n">
        <f aca="false">SUMIFS(Acerto_Detalhado!$K$2:$K$433,Acerto_Detalhado!$A$2:$A$433,$A46,Acerto_Detalhado!$B$2:$B$433,$B46,Acerto_Detalhado!$C$2:$C$433,"Umidade")</f>
        <v>128.542337650019</v>
      </c>
      <c r="F46" s="39" t="n">
        <f aca="false">SUMIFS(Acerto_Detalhado!$K$2:$K$433,Acerto_Detalhado!$A$2:$A$433,$A46,Acerto_Detalhado!$B$2:$B$433,$B46,Acerto_Detalhado!$C$2:$C$433,"Fibra")</f>
        <v>-148.990622069578</v>
      </c>
      <c r="G46" s="40" t="n">
        <f aca="false">$D46+$E46+$F46</f>
        <v>-229.292550078863</v>
      </c>
      <c r="H46" s="27" t="str">
        <f aca="false">IF($C46=0,"Sem embarque",IF($G46&gt;0,"Recebe","Paga"))</f>
        <v>Paga</v>
      </c>
    </row>
    <row r="47" customFormat="false" ht="15" hidden="false" customHeight="false" outlineLevel="0" collapsed="false">
      <c r="A47" s="27" t="s">
        <v>42</v>
      </c>
      <c r="B47" s="27" t="s">
        <v>67</v>
      </c>
      <c r="C47" s="34" t="n">
        <f aca="false">SUMIFS(Acerto_Detalhado!$D$2:$D$433,Acerto_Detalhado!$A$2:$A$433,$A47,Acerto_Detalhado!$B$2:$B$433,$B47,Acerto_Detalhado!$C$2:$C$433,"Proteina")</f>
        <v>0</v>
      </c>
      <c r="D47" s="39" t="n">
        <f aca="false">SUMIFS(Acerto_Detalhado!$K$2:$K$433,Acerto_Detalhado!$A$2:$A$433,$A47,Acerto_Detalhado!$B$2:$B$433,$B47,Acerto_Detalhado!$C$2:$C$433,"Proteina")</f>
        <v>0</v>
      </c>
      <c r="E47" s="39" t="n">
        <f aca="false">SUMIFS(Acerto_Detalhado!$K$2:$K$433,Acerto_Detalhado!$A$2:$A$433,$A47,Acerto_Detalhado!$B$2:$B$433,$B47,Acerto_Detalhado!$C$2:$C$433,"Umidade")</f>
        <v>0</v>
      </c>
      <c r="F47" s="39" t="n">
        <f aca="false">SUMIFS(Acerto_Detalhado!$K$2:$K$433,Acerto_Detalhado!$A$2:$A$433,$A47,Acerto_Detalhado!$B$2:$B$433,$B47,Acerto_Detalhado!$C$2:$C$433,"Fibra")</f>
        <v>0</v>
      </c>
      <c r="G47" s="40" t="n">
        <f aca="false">$D47+$E47+$F47</f>
        <v>0</v>
      </c>
      <c r="H47" s="27" t="str">
        <f aca="false">IF($C47=0,"Sem embarque",IF($G47&gt;0,"Recebe","Paga"))</f>
        <v>Sem embarque</v>
      </c>
    </row>
    <row r="48" customFormat="false" ht="15" hidden="false" customHeight="false" outlineLevel="0" collapsed="false">
      <c r="A48" s="27" t="s">
        <v>42</v>
      </c>
      <c r="B48" s="27" t="s">
        <v>68</v>
      </c>
      <c r="C48" s="34" t="n">
        <f aca="false">SUMIFS(Acerto_Detalhado!$D$2:$D$433,Acerto_Detalhado!$A$2:$A$433,$A48,Acerto_Detalhado!$B$2:$B$433,$B48,Acerto_Detalhado!$C$2:$C$433,"Proteina")</f>
        <v>0</v>
      </c>
      <c r="D48" s="39" t="n">
        <f aca="false">SUMIFS(Acerto_Detalhado!$K$2:$K$433,Acerto_Detalhado!$A$2:$A$433,$A48,Acerto_Detalhado!$B$2:$B$433,$B48,Acerto_Detalhado!$C$2:$C$433,"Proteina")</f>
        <v>0</v>
      </c>
      <c r="E48" s="39" t="n">
        <f aca="false">SUMIFS(Acerto_Detalhado!$K$2:$K$433,Acerto_Detalhado!$A$2:$A$433,$A48,Acerto_Detalhado!$B$2:$B$433,$B48,Acerto_Detalhado!$C$2:$C$433,"Umidade")</f>
        <v>0</v>
      </c>
      <c r="F48" s="39" t="n">
        <f aca="false">SUMIFS(Acerto_Detalhado!$K$2:$K$433,Acerto_Detalhado!$A$2:$A$433,$A48,Acerto_Detalhado!$B$2:$B$433,$B48,Acerto_Detalhado!$C$2:$C$433,"Fibra")</f>
        <v>0</v>
      </c>
      <c r="G48" s="40" t="n">
        <f aca="false">$D48+$E48+$F48</f>
        <v>0</v>
      </c>
      <c r="H48" s="27" t="str">
        <f aca="false">IF($C48=0,"Sem embarque",IF($G48&gt;0,"Recebe","Paga"))</f>
        <v>Sem embarque</v>
      </c>
    </row>
    <row r="49" customFormat="false" ht="15" hidden="false" customHeight="false" outlineLevel="0" collapsed="false">
      <c r="A49" s="27" t="s">
        <v>42</v>
      </c>
      <c r="B49" s="27" t="s">
        <v>69</v>
      </c>
      <c r="C49" s="34" t="n">
        <f aca="false">SUMIFS(Acerto_Detalhado!$D$2:$D$433,Acerto_Detalhado!$A$2:$A$433,$A49,Acerto_Detalhado!$B$2:$B$433,$B49,Acerto_Detalhado!$C$2:$C$433,"Proteina")</f>
        <v>0</v>
      </c>
      <c r="D49" s="39" t="n">
        <f aca="false">SUMIFS(Acerto_Detalhado!$K$2:$K$433,Acerto_Detalhado!$A$2:$A$433,$A49,Acerto_Detalhado!$B$2:$B$433,$B49,Acerto_Detalhado!$C$2:$C$433,"Proteina")</f>
        <v>0</v>
      </c>
      <c r="E49" s="39" t="n">
        <f aca="false">SUMIFS(Acerto_Detalhado!$K$2:$K$433,Acerto_Detalhado!$A$2:$A$433,$A49,Acerto_Detalhado!$B$2:$B$433,$B49,Acerto_Detalhado!$C$2:$C$433,"Umidade")</f>
        <v>0</v>
      </c>
      <c r="F49" s="39" t="n">
        <f aca="false">SUMIFS(Acerto_Detalhado!$K$2:$K$433,Acerto_Detalhado!$A$2:$A$433,$A49,Acerto_Detalhado!$B$2:$B$433,$B49,Acerto_Detalhado!$C$2:$C$433,"Fibra")</f>
        <v>0</v>
      </c>
      <c r="G49" s="40" t="n">
        <f aca="false">$D49+$E49+$F49</f>
        <v>0</v>
      </c>
      <c r="H49" s="27" t="str">
        <f aca="false">IF($C49=0,"Sem embarque",IF($G49&gt;0,"Recebe","Paga"))</f>
        <v>Sem embarque</v>
      </c>
    </row>
    <row r="50" customFormat="false" ht="15" hidden="false" customHeight="false" outlineLevel="0" collapsed="false">
      <c r="A50" s="27" t="s">
        <v>43</v>
      </c>
      <c r="B50" s="27" t="s">
        <v>38</v>
      </c>
      <c r="C50" s="34" t="n">
        <f aca="false">SUMIFS(Acerto_Detalhado!$D$2:$D$433,Acerto_Detalhado!$A$2:$A$433,$A50,Acerto_Detalhado!$B$2:$B$433,$B50,Acerto_Detalhado!$C$2:$C$433,"Proteina")</f>
        <v>58133.28</v>
      </c>
      <c r="D50" s="39" t="n">
        <f aca="false">SUMIFS(Acerto_Detalhado!$K$2:$K$433,Acerto_Detalhado!$A$2:$A$433,$A50,Acerto_Detalhado!$B$2:$B$433,$B50,Acerto_Detalhado!$C$2:$C$433,"Proteina")</f>
        <v>-12259.8872772863</v>
      </c>
      <c r="E50" s="39" t="n">
        <f aca="false">SUMIFS(Acerto_Detalhado!$K$2:$K$433,Acerto_Detalhado!$A$2:$A$433,$A50,Acerto_Detalhado!$B$2:$B$433,$B50,Acerto_Detalhado!$C$2:$C$433,"Umidade")</f>
        <v>0</v>
      </c>
      <c r="F50" s="39" t="n">
        <f aca="false">SUMIFS(Acerto_Detalhado!$K$2:$K$433,Acerto_Detalhado!$A$2:$A$433,$A50,Acerto_Detalhado!$B$2:$B$433,$B50,Acerto_Detalhado!$C$2:$C$433,"Fibra")</f>
        <v>35425.0735492647</v>
      </c>
      <c r="G50" s="40" t="n">
        <f aca="false">$D50+$E50+$F50</f>
        <v>23165.1862719784</v>
      </c>
      <c r="H50" s="27" t="str">
        <f aca="false">IF($C50=0,"Sem embarque",IF($G50&gt;0,"Recebe","Paga"))</f>
        <v>Recebe</v>
      </c>
    </row>
    <row r="51" customFormat="false" ht="15" hidden="false" customHeight="false" outlineLevel="0" collapsed="false">
      <c r="A51" s="27" t="s">
        <v>43</v>
      </c>
      <c r="B51" s="27" t="s">
        <v>59</v>
      </c>
      <c r="C51" s="34" t="n">
        <f aca="false">SUMIFS(Acerto_Detalhado!$D$2:$D$433,Acerto_Detalhado!$A$2:$A$433,$A51,Acerto_Detalhado!$B$2:$B$433,$B51,Acerto_Detalhado!$C$2:$C$433,"Proteina")</f>
        <v>53224.28</v>
      </c>
      <c r="D51" s="39" t="n">
        <f aca="false">SUMIFS(Acerto_Detalhado!$K$2:$K$433,Acerto_Detalhado!$A$2:$A$433,$A51,Acerto_Detalhado!$B$2:$B$433,$B51,Acerto_Detalhado!$C$2:$C$433,"Proteina")</f>
        <v>106238.199669295</v>
      </c>
      <c r="E51" s="39" t="n">
        <f aca="false">SUMIFS(Acerto_Detalhado!$K$2:$K$433,Acerto_Detalhado!$A$2:$A$433,$A51,Acerto_Detalhado!$B$2:$B$433,$B51,Acerto_Detalhado!$C$2:$C$433,"Umidade")</f>
        <v>1493.94250782209</v>
      </c>
      <c r="F51" s="39" t="n">
        <f aca="false">SUMIFS(Acerto_Detalhado!$K$2:$K$433,Acerto_Detalhado!$A$2:$A$433,$A51,Acerto_Detalhado!$B$2:$B$433,$B51,Acerto_Detalhado!$C$2:$C$433,"Fibra")</f>
        <v>13705.6150764416</v>
      </c>
      <c r="G51" s="40" t="n">
        <f aca="false">$D51+$E51+$F51</f>
        <v>121437.757253558</v>
      </c>
      <c r="H51" s="27" t="str">
        <f aca="false">IF($C51=0,"Sem embarque",IF($G51&gt;0,"Recebe","Paga"))</f>
        <v>Recebe</v>
      </c>
    </row>
    <row r="52" customFormat="false" ht="15" hidden="false" customHeight="false" outlineLevel="0" collapsed="false">
      <c r="A52" s="27" t="s">
        <v>43</v>
      </c>
      <c r="B52" s="27" t="s">
        <v>60</v>
      </c>
      <c r="C52" s="34" t="n">
        <f aca="false">SUMIFS(Acerto_Detalhado!$D$2:$D$433,Acerto_Detalhado!$A$2:$A$433,$A52,Acerto_Detalhado!$B$2:$B$433,$B52,Acerto_Detalhado!$C$2:$C$433,"Proteina")</f>
        <v>66365.71</v>
      </c>
      <c r="D52" s="39" t="n">
        <f aca="false">SUMIFS(Acerto_Detalhado!$K$2:$K$433,Acerto_Detalhado!$A$2:$A$433,$A52,Acerto_Detalhado!$B$2:$B$433,$B52,Acerto_Detalhado!$C$2:$C$433,"Proteina")</f>
        <v>-5783.31269295219</v>
      </c>
      <c r="E52" s="39" t="n">
        <f aca="false">SUMIFS(Acerto_Detalhado!$K$2:$K$433,Acerto_Detalhado!$A$2:$A$433,$A52,Acerto_Detalhado!$B$2:$B$433,$B52,Acerto_Detalhado!$C$2:$C$433,"Umidade")</f>
        <v>0</v>
      </c>
      <c r="F52" s="39" t="n">
        <f aca="false">SUMIFS(Acerto_Detalhado!$K$2:$K$433,Acerto_Detalhado!$A$2:$A$433,$A52,Acerto_Detalhado!$B$2:$B$433,$B52,Acerto_Detalhado!$C$2:$C$433,"Fibra")</f>
        <v>-4356.77637697858</v>
      </c>
      <c r="G52" s="40" t="n">
        <f aca="false">$D52+$E52+$F52</f>
        <v>-10140.0890699308</v>
      </c>
      <c r="H52" s="27" t="str">
        <f aca="false">IF($C52=0,"Sem embarque",IF($G52&gt;0,"Recebe","Paga"))</f>
        <v>Paga</v>
      </c>
    </row>
    <row r="53" customFormat="false" ht="15" hidden="false" customHeight="false" outlineLevel="0" collapsed="false">
      <c r="A53" s="27" t="s">
        <v>43</v>
      </c>
      <c r="B53" s="27" t="s">
        <v>61</v>
      </c>
      <c r="C53" s="34" t="n">
        <f aca="false">SUMIFS(Acerto_Detalhado!$D$2:$D$433,Acerto_Detalhado!$A$2:$A$433,$A53,Acerto_Detalhado!$B$2:$B$433,$B53,Acerto_Detalhado!$C$2:$C$433,"Proteina")</f>
        <v>92764.41</v>
      </c>
      <c r="D53" s="39" t="n">
        <f aca="false">SUMIFS(Acerto_Detalhado!$K$2:$K$433,Acerto_Detalhado!$A$2:$A$433,$A53,Acerto_Detalhado!$B$2:$B$433,$B53,Acerto_Detalhado!$C$2:$C$433,"Proteina")</f>
        <v>-85543.8817761789</v>
      </c>
      <c r="E53" s="39" t="n">
        <f aca="false">SUMIFS(Acerto_Detalhado!$K$2:$K$433,Acerto_Detalhado!$A$2:$A$433,$A53,Acerto_Detalhado!$B$2:$B$433,$B53,Acerto_Detalhado!$C$2:$C$433,"Umidade")</f>
        <v>26278.3968202825</v>
      </c>
      <c r="F53" s="39" t="n">
        <f aca="false">SUMIFS(Acerto_Detalhado!$K$2:$K$433,Acerto_Detalhado!$A$2:$A$433,$A53,Acerto_Detalhado!$B$2:$B$433,$B53,Acerto_Detalhado!$C$2:$C$433,"Fibra")</f>
        <v>-38293.9794454779</v>
      </c>
      <c r="G53" s="40" t="n">
        <f aca="false">$D53+$E53+$F53</f>
        <v>-97559.4644013743</v>
      </c>
      <c r="H53" s="27" t="str">
        <f aca="false">IF($C53=0,"Sem embarque",IF($G53&gt;0,"Recebe","Paga"))</f>
        <v>Paga</v>
      </c>
    </row>
    <row r="54" customFormat="false" ht="15" hidden="false" customHeight="false" outlineLevel="0" collapsed="false">
      <c r="A54" s="27" t="s">
        <v>43</v>
      </c>
      <c r="B54" s="27" t="s">
        <v>62</v>
      </c>
      <c r="C54" s="34" t="n">
        <f aca="false">SUMIFS(Acerto_Detalhado!$D$2:$D$433,Acerto_Detalhado!$A$2:$A$433,$A54,Acerto_Detalhado!$B$2:$B$433,$B54,Acerto_Detalhado!$C$2:$C$433,"Proteina")</f>
        <v>63744.72</v>
      </c>
      <c r="D54" s="39" t="n">
        <f aca="false">SUMIFS(Acerto_Detalhado!$K$2:$K$433,Acerto_Detalhado!$A$2:$A$433,$A54,Acerto_Detalhado!$B$2:$B$433,$B54,Acerto_Detalhado!$C$2:$C$433,"Proteina")</f>
        <v>46325.9569588533</v>
      </c>
      <c r="E54" s="39" t="n">
        <f aca="false">SUMIFS(Acerto_Detalhado!$K$2:$K$433,Acerto_Detalhado!$A$2:$A$433,$A54,Acerto_Detalhado!$B$2:$B$433,$B54,Acerto_Detalhado!$C$2:$C$433,"Umidade")</f>
        <v>-1640.73844199981</v>
      </c>
      <c r="F54" s="39" t="n">
        <f aca="false">SUMIFS(Acerto_Detalhado!$K$2:$K$433,Acerto_Detalhado!$A$2:$A$433,$A54,Acerto_Detalhado!$B$2:$B$433,$B54,Acerto_Detalhado!$C$2:$C$433,"Fibra")</f>
        <v>14051.0891984673</v>
      </c>
      <c r="G54" s="40" t="n">
        <f aca="false">$D54+$E54+$F54</f>
        <v>58736.3077153208</v>
      </c>
      <c r="H54" s="27" t="str">
        <f aca="false">IF($C54=0,"Sem embarque",IF($G54&gt;0,"Recebe","Paga"))</f>
        <v>Recebe</v>
      </c>
    </row>
    <row r="55" customFormat="false" ht="15" hidden="false" customHeight="false" outlineLevel="0" collapsed="false">
      <c r="A55" s="27" t="s">
        <v>43</v>
      </c>
      <c r="B55" s="27" t="s">
        <v>63</v>
      </c>
      <c r="C55" s="34" t="n">
        <f aca="false">SUMIFS(Acerto_Detalhado!$D$2:$D$433,Acerto_Detalhado!$A$2:$A$433,$A55,Acerto_Detalhado!$B$2:$B$433,$B55,Acerto_Detalhado!$C$2:$C$433,"Proteina")</f>
        <v>94743.83</v>
      </c>
      <c r="D55" s="39" t="n">
        <f aca="false">SUMIFS(Acerto_Detalhado!$K$2:$K$433,Acerto_Detalhado!$A$2:$A$433,$A55,Acerto_Detalhado!$B$2:$B$433,$B55,Acerto_Detalhado!$C$2:$C$433,"Proteina")</f>
        <v>-12134.9712322488</v>
      </c>
      <c r="E55" s="39" t="n">
        <f aca="false">SUMIFS(Acerto_Detalhado!$K$2:$K$433,Acerto_Detalhado!$A$2:$A$433,$A55,Acerto_Detalhado!$B$2:$B$433,$B55,Acerto_Detalhado!$C$2:$C$433,"Umidade")</f>
        <v>60127.8008777787</v>
      </c>
      <c r="F55" s="39" t="n">
        <f aca="false">SUMIFS(Acerto_Detalhado!$K$2:$K$433,Acerto_Detalhado!$A$2:$A$433,$A55,Acerto_Detalhado!$B$2:$B$433,$B55,Acerto_Detalhado!$C$2:$C$433,"Fibra")</f>
        <v>-15803.5456392583</v>
      </c>
      <c r="G55" s="40" t="n">
        <f aca="false">$D55+$E55+$F55</f>
        <v>32189.2840062716</v>
      </c>
      <c r="H55" s="27" t="str">
        <f aca="false">IF($C55=0,"Sem embarque",IF($G55&gt;0,"Recebe","Paga"))</f>
        <v>Recebe</v>
      </c>
    </row>
    <row r="56" customFormat="false" ht="15" hidden="false" customHeight="false" outlineLevel="0" collapsed="false">
      <c r="A56" s="27" t="s">
        <v>43</v>
      </c>
      <c r="B56" s="27" t="s">
        <v>64</v>
      </c>
      <c r="C56" s="34" t="n">
        <f aca="false">SUMIFS(Acerto_Detalhado!$D$2:$D$433,Acerto_Detalhado!$A$2:$A$433,$A56,Acerto_Detalhado!$B$2:$B$433,$B56,Acerto_Detalhado!$C$2:$C$433,"Proteina")</f>
        <v>72870.58</v>
      </c>
      <c r="D56" s="39" t="n">
        <f aca="false">SUMIFS(Acerto_Detalhado!$K$2:$K$433,Acerto_Detalhado!$A$2:$A$433,$A56,Acerto_Detalhado!$B$2:$B$433,$B56,Acerto_Detalhado!$C$2:$C$433,"Proteina")</f>
        <v>-67485.5175781872</v>
      </c>
      <c r="E56" s="39" t="n">
        <f aca="false">SUMIFS(Acerto_Detalhado!$K$2:$K$433,Acerto_Detalhado!$A$2:$A$433,$A56,Acerto_Detalhado!$B$2:$B$433,$B56,Acerto_Detalhado!$C$2:$C$433,"Umidade")</f>
        <v>15501.4655653313</v>
      </c>
      <c r="F56" s="39" t="n">
        <f aca="false">SUMIFS(Acerto_Detalhado!$K$2:$K$433,Acerto_Detalhado!$A$2:$A$433,$A56,Acerto_Detalhado!$B$2:$B$433,$B56,Acerto_Detalhado!$C$2:$C$433,"Fibra")</f>
        <v>15487.9693539088</v>
      </c>
      <c r="G56" s="40" t="n">
        <f aca="false">$D56+$E56+$F56</f>
        <v>-36496.0826589471</v>
      </c>
      <c r="H56" s="27" t="str">
        <f aca="false">IF($C56=0,"Sem embarque",IF($G56&gt;0,"Recebe","Paga"))</f>
        <v>Paga</v>
      </c>
    </row>
    <row r="57" customFormat="false" ht="15" hidden="false" customHeight="false" outlineLevel="0" collapsed="false">
      <c r="A57" s="27" t="s">
        <v>43</v>
      </c>
      <c r="B57" s="27" t="s">
        <v>65</v>
      </c>
      <c r="C57" s="34" t="n">
        <f aca="false">SUMIFS(Acerto_Detalhado!$D$2:$D$433,Acerto_Detalhado!$A$2:$A$433,$A57,Acerto_Detalhado!$B$2:$B$433,$B57,Acerto_Detalhado!$C$2:$C$433,"Proteina")</f>
        <v>70028.07</v>
      </c>
      <c r="D57" s="39" t="n">
        <f aca="false">SUMIFS(Acerto_Detalhado!$K$2:$K$433,Acerto_Detalhado!$A$2:$A$433,$A57,Acerto_Detalhado!$B$2:$B$433,$B57,Acerto_Detalhado!$C$2:$C$433,"Proteina")</f>
        <v>-71335.7455937847</v>
      </c>
      <c r="E57" s="39" t="n">
        <f aca="false">SUMIFS(Acerto_Detalhado!$K$2:$K$433,Acerto_Detalhado!$A$2:$A$433,$A57,Acerto_Detalhado!$B$2:$B$433,$B57,Acerto_Detalhado!$C$2:$C$433,"Umidade")</f>
        <v>10174.313335015</v>
      </c>
      <c r="F57" s="39" t="n">
        <f aca="false">SUMIFS(Acerto_Detalhado!$K$2:$K$433,Acerto_Detalhado!$A$2:$A$433,$A57,Acerto_Detalhado!$B$2:$B$433,$B57,Acerto_Detalhado!$C$2:$C$433,"Fibra")</f>
        <v>-41372.8503395416</v>
      </c>
      <c r="G57" s="40" t="n">
        <f aca="false">$D57+$E57+$F57</f>
        <v>-102534.282598311</v>
      </c>
      <c r="H57" s="27" t="str">
        <f aca="false">IF($C57=0,"Sem embarque",IF($G57&gt;0,"Recebe","Paga"))</f>
        <v>Paga</v>
      </c>
    </row>
    <row r="58" customFormat="false" ht="15" hidden="false" customHeight="false" outlineLevel="0" collapsed="false">
      <c r="A58" s="27" t="s">
        <v>43</v>
      </c>
      <c r="B58" s="27" t="s">
        <v>66</v>
      </c>
      <c r="C58" s="34" t="n">
        <f aca="false">SUMIFS(Acerto_Detalhado!$D$2:$D$433,Acerto_Detalhado!$A$2:$A$433,$A58,Acerto_Detalhado!$B$2:$B$433,$B58,Acerto_Detalhado!$C$2:$C$433,"Proteina")</f>
        <v>16598.01</v>
      </c>
      <c r="D58" s="39" t="n">
        <f aca="false">SUMIFS(Acerto_Detalhado!$K$2:$K$433,Acerto_Detalhado!$A$2:$A$433,$A58,Acerto_Detalhado!$B$2:$B$433,$B58,Acerto_Detalhado!$C$2:$C$433,"Proteina")</f>
        <v>-1555.72693161107</v>
      </c>
      <c r="E58" s="39" t="n">
        <f aca="false">SUMIFS(Acerto_Detalhado!$K$2:$K$433,Acerto_Detalhado!$A$2:$A$433,$A58,Acerto_Detalhado!$B$2:$B$433,$B58,Acerto_Detalhado!$C$2:$C$433,"Umidade")</f>
        <v>-14068.473276</v>
      </c>
      <c r="F58" s="39" t="n">
        <f aca="false">SUMIFS(Acerto_Detalhado!$K$2:$K$433,Acerto_Detalhado!$A$2:$A$433,$A58,Acerto_Detalhado!$B$2:$B$433,$B58,Acerto_Detalhado!$C$2:$C$433,"Fibra")</f>
        <v>4848.71824209653</v>
      </c>
      <c r="G58" s="40" t="n">
        <f aca="false">$D58+$E58+$F58</f>
        <v>-10775.4819655145</v>
      </c>
      <c r="H58" s="27" t="str">
        <f aca="false">IF($C58=0,"Sem embarque",IF($G58&gt;0,"Recebe","Paga"))</f>
        <v>Paga</v>
      </c>
    </row>
    <row r="59" customFormat="false" ht="15" hidden="false" customHeight="false" outlineLevel="0" collapsed="false">
      <c r="A59" s="27" t="s">
        <v>43</v>
      </c>
      <c r="B59" s="27" t="s">
        <v>67</v>
      </c>
      <c r="C59" s="34" t="n">
        <f aca="false">SUMIFS(Acerto_Detalhado!$D$2:$D$433,Acerto_Detalhado!$A$2:$A$433,$A59,Acerto_Detalhado!$B$2:$B$433,$B59,Acerto_Detalhado!$C$2:$C$433,"Proteina")</f>
        <v>0</v>
      </c>
      <c r="D59" s="39" t="n">
        <f aca="false">SUMIFS(Acerto_Detalhado!$K$2:$K$433,Acerto_Detalhado!$A$2:$A$433,$A59,Acerto_Detalhado!$B$2:$B$433,$B59,Acerto_Detalhado!$C$2:$C$433,"Proteina")</f>
        <v>0</v>
      </c>
      <c r="E59" s="39" t="n">
        <f aca="false">SUMIFS(Acerto_Detalhado!$K$2:$K$433,Acerto_Detalhado!$A$2:$A$433,$A59,Acerto_Detalhado!$B$2:$B$433,$B59,Acerto_Detalhado!$C$2:$C$433,"Umidade")</f>
        <v>0</v>
      </c>
      <c r="F59" s="39" t="n">
        <f aca="false">SUMIFS(Acerto_Detalhado!$K$2:$K$433,Acerto_Detalhado!$A$2:$A$433,$A59,Acerto_Detalhado!$B$2:$B$433,$B59,Acerto_Detalhado!$C$2:$C$433,"Fibra")</f>
        <v>0</v>
      </c>
      <c r="G59" s="40" t="n">
        <f aca="false">$D59+$E59+$F59</f>
        <v>0</v>
      </c>
      <c r="H59" s="27" t="str">
        <f aca="false">IF($C59=0,"Sem embarque",IF($G59&gt;0,"Recebe","Paga"))</f>
        <v>Sem embarque</v>
      </c>
    </row>
    <row r="60" customFormat="false" ht="15" hidden="false" customHeight="false" outlineLevel="0" collapsed="false">
      <c r="A60" s="27" t="s">
        <v>43</v>
      </c>
      <c r="B60" s="27" t="s">
        <v>68</v>
      </c>
      <c r="C60" s="34" t="n">
        <f aca="false">SUMIFS(Acerto_Detalhado!$D$2:$D$433,Acerto_Detalhado!$A$2:$A$433,$A60,Acerto_Detalhado!$B$2:$B$433,$B60,Acerto_Detalhado!$C$2:$C$433,"Proteina")</f>
        <v>0</v>
      </c>
      <c r="D60" s="39" t="n">
        <f aca="false">SUMIFS(Acerto_Detalhado!$K$2:$K$433,Acerto_Detalhado!$A$2:$A$433,$A60,Acerto_Detalhado!$B$2:$B$433,$B60,Acerto_Detalhado!$C$2:$C$433,"Proteina")</f>
        <v>0</v>
      </c>
      <c r="E60" s="39" t="n">
        <f aca="false">SUMIFS(Acerto_Detalhado!$K$2:$K$433,Acerto_Detalhado!$A$2:$A$433,$A60,Acerto_Detalhado!$B$2:$B$433,$B60,Acerto_Detalhado!$C$2:$C$433,"Umidade")</f>
        <v>0</v>
      </c>
      <c r="F60" s="39" t="n">
        <f aca="false">SUMIFS(Acerto_Detalhado!$K$2:$K$433,Acerto_Detalhado!$A$2:$A$433,$A60,Acerto_Detalhado!$B$2:$B$433,$B60,Acerto_Detalhado!$C$2:$C$433,"Fibra")</f>
        <v>0</v>
      </c>
      <c r="G60" s="40" t="n">
        <f aca="false">$D60+$E60+$F60</f>
        <v>0</v>
      </c>
      <c r="H60" s="27" t="str">
        <f aca="false">IF($C60=0,"Sem embarque",IF($G60&gt;0,"Recebe","Paga"))</f>
        <v>Sem embarque</v>
      </c>
    </row>
    <row r="61" customFormat="false" ht="15" hidden="false" customHeight="false" outlineLevel="0" collapsed="false">
      <c r="A61" s="27" t="s">
        <v>43</v>
      </c>
      <c r="B61" s="27" t="s">
        <v>69</v>
      </c>
      <c r="C61" s="34" t="n">
        <f aca="false">SUMIFS(Acerto_Detalhado!$D$2:$D$433,Acerto_Detalhado!$A$2:$A$433,$A61,Acerto_Detalhado!$B$2:$B$433,$B61,Acerto_Detalhado!$C$2:$C$433,"Proteina")</f>
        <v>0</v>
      </c>
      <c r="D61" s="39" t="n">
        <f aca="false">SUMIFS(Acerto_Detalhado!$K$2:$K$433,Acerto_Detalhado!$A$2:$A$433,$A61,Acerto_Detalhado!$B$2:$B$433,$B61,Acerto_Detalhado!$C$2:$C$433,"Proteina")</f>
        <v>0</v>
      </c>
      <c r="E61" s="39" t="n">
        <f aca="false">SUMIFS(Acerto_Detalhado!$K$2:$K$433,Acerto_Detalhado!$A$2:$A$433,$A61,Acerto_Detalhado!$B$2:$B$433,$B61,Acerto_Detalhado!$C$2:$C$433,"Umidade")</f>
        <v>0</v>
      </c>
      <c r="F61" s="39" t="n">
        <f aca="false">SUMIFS(Acerto_Detalhado!$K$2:$K$433,Acerto_Detalhado!$A$2:$A$433,$A61,Acerto_Detalhado!$B$2:$B$433,$B61,Acerto_Detalhado!$C$2:$C$433,"Fibra")</f>
        <v>0</v>
      </c>
      <c r="G61" s="40" t="n">
        <f aca="false">$D61+$E61+$F61</f>
        <v>0</v>
      </c>
      <c r="H61" s="27" t="str">
        <f aca="false">IF($C61=0,"Sem embarque",IF($G61&gt;0,"Recebe","Paga"))</f>
        <v>Sem embarque</v>
      </c>
    </row>
    <row r="62" customFormat="false" ht="15" hidden="false" customHeight="false" outlineLevel="0" collapsed="false">
      <c r="A62" s="27" t="s">
        <v>44</v>
      </c>
      <c r="B62" s="27" t="s">
        <v>38</v>
      </c>
      <c r="C62" s="34" t="n">
        <f aca="false">SUMIFS(Acerto_Detalhado!$D$2:$D$433,Acerto_Detalhado!$A$2:$A$433,$A62,Acerto_Detalhado!$B$2:$B$433,$B62,Acerto_Detalhado!$C$2:$C$433,"Proteina")</f>
        <v>48560.63</v>
      </c>
      <c r="D62" s="39" t="n">
        <f aca="false">SUMIFS(Acerto_Detalhado!$K$2:$K$433,Acerto_Detalhado!$A$2:$A$433,$A62,Acerto_Detalhado!$B$2:$B$433,$B62,Acerto_Detalhado!$C$2:$C$433,"Proteina")</f>
        <v>-46317.6601929737</v>
      </c>
      <c r="E62" s="39" t="n">
        <f aca="false">SUMIFS(Acerto_Detalhado!$K$2:$K$433,Acerto_Detalhado!$A$2:$A$433,$A62,Acerto_Detalhado!$B$2:$B$433,$B62,Acerto_Detalhado!$C$2:$C$433,"Umidade")</f>
        <v>0</v>
      </c>
      <c r="F62" s="39" t="n">
        <f aca="false">SUMIFS(Acerto_Detalhado!$K$2:$K$433,Acerto_Detalhado!$A$2:$A$433,$A62,Acerto_Detalhado!$B$2:$B$433,$B62,Acerto_Detalhado!$C$2:$C$433,"Fibra")</f>
        <v>-19937.9213546217</v>
      </c>
      <c r="G62" s="40" t="n">
        <f aca="false">$D62+$E62+$F62</f>
        <v>-66255.5815475953</v>
      </c>
      <c r="H62" s="27" t="str">
        <f aca="false">IF($C62=0,"Sem embarque",IF($G62&gt;0,"Recebe","Paga"))</f>
        <v>Paga</v>
      </c>
    </row>
    <row r="63" customFormat="false" ht="15" hidden="false" customHeight="false" outlineLevel="0" collapsed="false">
      <c r="A63" s="27" t="s">
        <v>44</v>
      </c>
      <c r="B63" s="27" t="s">
        <v>59</v>
      </c>
      <c r="C63" s="34" t="n">
        <f aca="false">SUMIFS(Acerto_Detalhado!$D$2:$D$433,Acerto_Detalhado!$A$2:$A$433,$A63,Acerto_Detalhado!$B$2:$B$433,$B63,Acerto_Detalhado!$C$2:$C$433,"Proteina")</f>
        <v>41884.18</v>
      </c>
      <c r="D63" s="39" t="n">
        <f aca="false">SUMIFS(Acerto_Detalhado!$K$2:$K$433,Acerto_Detalhado!$A$2:$A$433,$A63,Acerto_Detalhado!$B$2:$B$433,$B63,Acerto_Detalhado!$C$2:$C$433,"Proteina")</f>
        <v>-31457.2126860795</v>
      </c>
      <c r="E63" s="39" t="n">
        <f aca="false">SUMIFS(Acerto_Detalhado!$K$2:$K$433,Acerto_Detalhado!$A$2:$A$433,$A63,Acerto_Detalhado!$B$2:$B$433,$B63,Acerto_Detalhado!$C$2:$C$433,"Umidade")</f>
        <v>1175.63933053245</v>
      </c>
      <c r="F63" s="39" t="n">
        <f aca="false">SUMIFS(Acerto_Detalhado!$K$2:$K$433,Acerto_Detalhado!$A$2:$A$433,$A63,Acerto_Detalhado!$B$2:$B$433,$B63,Acerto_Detalhado!$C$2:$C$433,"Fibra")</f>
        <v>-21513.7884077727</v>
      </c>
      <c r="G63" s="40" t="n">
        <f aca="false">$D63+$E63+$F63</f>
        <v>-51795.3617633198</v>
      </c>
      <c r="H63" s="27" t="str">
        <f aca="false">IF($C63=0,"Sem embarque",IF($G63&gt;0,"Recebe","Paga"))</f>
        <v>Paga</v>
      </c>
    </row>
    <row r="64" customFormat="false" ht="15" hidden="false" customHeight="false" outlineLevel="0" collapsed="false">
      <c r="A64" s="27" t="s">
        <v>44</v>
      </c>
      <c r="B64" s="27" t="s">
        <v>60</v>
      </c>
      <c r="C64" s="34" t="n">
        <f aca="false">SUMIFS(Acerto_Detalhado!$D$2:$D$433,Acerto_Detalhado!$A$2:$A$433,$A64,Acerto_Detalhado!$B$2:$B$433,$B64,Acerto_Detalhado!$C$2:$C$433,"Proteina")</f>
        <v>58475.74</v>
      </c>
      <c r="D64" s="39" t="n">
        <f aca="false">SUMIFS(Acerto_Detalhado!$K$2:$K$433,Acerto_Detalhado!$A$2:$A$433,$A64,Acerto_Detalhado!$B$2:$B$433,$B64,Acerto_Detalhado!$C$2:$C$433,"Proteina")</f>
        <v>-44296.1118583073</v>
      </c>
      <c r="E64" s="39" t="n">
        <f aca="false">SUMIFS(Acerto_Detalhado!$K$2:$K$433,Acerto_Detalhado!$A$2:$A$433,$A64,Acerto_Detalhado!$B$2:$B$433,$B64,Acerto_Detalhado!$C$2:$C$433,"Umidade")</f>
        <v>0</v>
      </c>
      <c r="F64" s="39" t="n">
        <f aca="false">SUMIFS(Acerto_Detalhado!$K$2:$K$433,Acerto_Detalhado!$A$2:$A$433,$A64,Acerto_Detalhado!$B$2:$B$433,$B64,Acerto_Detalhado!$C$2:$C$433,"Fibra")</f>
        <v>-5055.03635185551</v>
      </c>
      <c r="G64" s="40" t="n">
        <f aca="false">$D64+$E64+$F64</f>
        <v>-49351.1482101628</v>
      </c>
      <c r="H64" s="27" t="str">
        <f aca="false">IF($C64=0,"Sem embarque",IF($G64&gt;0,"Recebe","Paga"))</f>
        <v>Paga</v>
      </c>
    </row>
    <row r="65" customFormat="false" ht="15" hidden="false" customHeight="false" outlineLevel="0" collapsed="false">
      <c r="A65" s="27" t="s">
        <v>44</v>
      </c>
      <c r="B65" s="27" t="s">
        <v>61</v>
      </c>
      <c r="C65" s="34" t="n">
        <f aca="false">SUMIFS(Acerto_Detalhado!$D$2:$D$433,Acerto_Detalhado!$A$2:$A$433,$A65,Acerto_Detalhado!$B$2:$B$433,$B65,Acerto_Detalhado!$C$2:$C$433,"Proteina")</f>
        <v>88798.66</v>
      </c>
      <c r="D65" s="39" t="n">
        <f aca="false">SUMIFS(Acerto_Detalhado!$K$2:$K$433,Acerto_Detalhado!$A$2:$A$433,$A65,Acerto_Detalhado!$B$2:$B$433,$B65,Acerto_Detalhado!$C$2:$C$433,"Proteina")</f>
        <v>45825.5679123614</v>
      </c>
      <c r="E65" s="39" t="n">
        <f aca="false">SUMIFS(Acerto_Detalhado!$K$2:$K$433,Acerto_Detalhado!$A$2:$A$433,$A65,Acerto_Detalhado!$B$2:$B$433,$B65,Acerto_Detalhado!$C$2:$C$433,"Umidade")</f>
        <v>25154.9751094126</v>
      </c>
      <c r="F65" s="39" t="n">
        <f aca="false">SUMIFS(Acerto_Detalhado!$K$2:$K$433,Acerto_Detalhado!$A$2:$A$433,$A65,Acerto_Detalhado!$B$2:$B$433,$B65,Acerto_Detalhado!$C$2:$C$433,"Fibra")</f>
        <v>17091.8912112966</v>
      </c>
      <c r="G65" s="40" t="n">
        <f aca="false">$D65+$E65+$F65</f>
        <v>88072.4342330706</v>
      </c>
      <c r="H65" s="27" t="str">
        <f aca="false">IF($C65=0,"Sem embarque",IF($G65&gt;0,"Recebe","Paga"))</f>
        <v>Recebe</v>
      </c>
    </row>
    <row r="66" customFormat="false" ht="15" hidden="false" customHeight="false" outlineLevel="0" collapsed="false">
      <c r="A66" s="27" t="s">
        <v>44</v>
      </c>
      <c r="B66" s="27" t="s">
        <v>62</v>
      </c>
      <c r="C66" s="34" t="n">
        <f aca="false">SUMIFS(Acerto_Detalhado!$D$2:$D$433,Acerto_Detalhado!$A$2:$A$433,$A66,Acerto_Detalhado!$B$2:$B$433,$B66,Acerto_Detalhado!$C$2:$C$433,"Proteina")</f>
        <v>62604.74</v>
      </c>
      <c r="D66" s="39" t="n">
        <f aca="false">SUMIFS(Acerto_Detalhado!$K$2:$K$433,Acerto_Detalhado!$A$2:$A$433,$A66,Acerto_Detalhado!$B$2:$B$433,$B66,Acerto_Detalhado!$C$2:$C$433,"Proteina")</f>
        <v>-30260.4641261572</v>
      </c>
      <c r="E66" s="39" t="n">
        <f aca="false">SUMIFS(Acerto_Detalhado!$K$2:$K$433,Acerto_Detalhado!$A$2:$A$433,$A66,Acerto_Detalhado!$B$2:$B$433,$B66,Acerto_Detalhado!$C$2:$C$433,"Umidade")</f>
        <v>5596.32742142037</v>
      </c>
      <c r="F66" s="39" t="n">
        <f aca="false">SUMIFS(Acerto_Detalhado!$K$2:$K$433,Acerto_Detalhado!$A$2:$A$433,$A66,Acerto_Detalhado!$B$2:$B$433,$B66,Acerto_Detalhado!$C$2:$C$433,"Fibra")</f>
        <v>-22771.5674132115</v>
      </c>
      <c r="G66" s="40" t="n">
        <f aca="false">$D66+$E66+$F66</f>
        <v>-47435.7041179483</v>
      </c>
      <c r="H66" s="27" t="str">
        <f aca="false">IF($C66=0,"Sem embarque",IF($G66&gt;0,"Recebe","Paga"))</f>
        <v>Paga</v>
      </c>
    </row>
    <row r="67" customFormat="false" ht="15" hidden="false" customHeight="false" outlineLevel="0" collapsed="false">
      <c r="A67" s="27" t="s">
        <v>44</v>
      </c>
      <c r="B67" s="27" t="s">
        <v>63</v>
      </c>
      <c r="C67" s="34" t="n">
        <f aca="false">SUMIFS(Acerto_Detalhado!$D$2:$D$433,Acerto_Detalhado!$A$2:$A$433,$A67,Acerto_Detalhado!$B$2:$B$433,$B67,Acerto_Detalhado!$C$2:$C$433,"Proteina")</f>
        <v>51533.03</v>
      </c>
      <c r="D67" s="39" t="n">
        <f aca="false">SUMIFS(Acerto_Detalhado!$K$2:$K$433,Acerto_Detalhado!$A$2:$A$433,$A67,Acerto_Detalhado!$B$2:$B$433,$B67,Acerto_Detalhado!$C$2:$C$433,"Proteina")</f>
        <v>-11998.5634704992</v>
      </c>
      <c r="E67" s="39" t="n">
        <f aca="false">SUMIFS(Acerto_Detalhado!$K$2:$K$433,Acerto_Detalhado!$A$2:$A$433,$A67,Acerto_Detalhado!$B$2:$B$433,$B67,Acerto_Detalhado!$C$2:$C$433,"Umidade")</f>
        <v>32704.6918672023</v>
      </c>
      <c r="F67" s="39" t="n">
        <f aca="false">SUMIFS(Acerto_Detalhado!$K$2:$K$433,Acerto_Detalhado!$A$2:$A$433,$A67,Acerto_Detalhado!$B$2:$B$433,$B67,Acerto_Detalhado!$C$2:$C$433,"Fibra")</f>
        <v>-7101.75024609388</v>
      </c>
      <c r="G67" s="40" t="n">
        <f aca="false">$D67+$E67+$F67</f>
        <v>13604.3781506092</v>
      </c>
      <c r="H67" s="27" t="str">
        <f aca="false">IF($C67=0,"Sem embarque",IF($G67&gt;0,"Recebe","Paga"))</f>
        <v>Recebe</v>
      </c>
    </row>
    <row r="68" customFormat="false" ht="15" hidden="false" customHeight="false" outlineLevel="0" collapsed="false">
      <c r="A68" s="27" t="s">
        <v>44</v>
      </c>
      <c r="B68" s="27" t="s">
        <v>64</v>
      </c>
      <c r="C68" s="34" t="n">
        <f aca="false">SUMIFS(Acerto_Detalhado!$D$2:$D$433,Acerto_Detalhado!$A$2:$A$433,$A68,Acerto_Detalhado!$B$2:$B$433,$B68,Acerto_Detalhado!$C$2:$C$433,"Proteina")</f>
        <v>49521.94</v>
      </c>
      <c r="D68" s="39" t="n">
        <f aca="false">SUMIFS(Acerto_Detalhado!$K$2:$K$433,Acerto_Detalhado!$A$2:$A$433,$A68,Acerto_Detalhado!$B$2:$B$433,$B68,Acerto_Detalhado!$C$2:$C$433,"Proteina")</f>
        <v>38574.7883103783</v>
      </c>
      <c r="E68" s="39" t="n">
        <f aca="false">SUMIFS(Acerto_Detalhado!$K$2:$K$433,Acerto_Detalhado!$A$2:$A$433,$A68,Acerto_Detalhado!$B$2:$B$433,$B68,Acerto_Detalhado!$C$2:$C$433,"Umidade")</f>
        <v>10534.603232723</v>
      </c>
      <c r="F68" s="39" t="n">
        <f aca="false">SUMIFS(Acerto_Detalhado!$K$2:$K$433,Acerto_Detalhado!$A$2:$A$433,$A68,Acerto_Detalhado!$B$2:$B$433,$B68,Acerto_Detalhado!$C$2:$C$433,"Fibra")</f>
        <v>-15254.4860519999</v>
      </c>
      <c r="G68" s="40" t="n">
        <f aca="false">$D68+$E68+$F68</f>
        <v>33854.9054911014</v>
      </c>
      <c r="H68" s="27" t="str">
        <f aca="false">IF($C68=0,"Sem embarque",IF($G68&gt;0,"Recebe","Paga"))</f>
        <v>Recebe</v>
      </c>
    </row>
    <row r="69" customFormat="false" ht="15" hidden="false" customHeight="false" outlineLevel="0" collapsed="false">
      <c r="A69" s="27" t="s">
        <v>44</v>
      </c>
      <c r="B69" s="27" t="s">
        <v>65</v>
      </c>
      <c r="C69" s="34" t="n">
        <f aca="false">SUMIFS(Acerto_Detalhado!$D$2:$D$433,Acerto_Detalhado!$A$2:$A$433,$A69,Acerto_Detalhado!$B$2:$B$433,$B69,Acerto_Detalhado!$C$2:$C$433,"Proteina")</f>
        <v>47668.74</v>
      </c>
      <c r="D69" s="39" t="n">
        <f aca="false">SUMIFS(Acerto_Detalhado!$K$2:$K$433,Acerto_Detalhado!$A$2:$A$433,$A69,Acerto_Detalhado!$B$2:$B$433,$B69,Acerto_Detalhado!$C$2:$C$433,"Proteina")</f>
        <v>-25953.3642678953</v>
      </c>
      <c r="E69" s="39" t="n">
        <f aca="false">SUMIFS(Acerto_Detalhado!$K$2:$K$433,Acerto_Detalhado!$A$2:$A$433,$A69,Acerto_Detalhado!$B$2:$B$433,$B69,Acerto_Detalhado!$C$2:$C$433,"Umidade")</f>
        <v>6925.74701895061</v>
      </c>
      <c r="F69" s="39" t="n">
        <f aca="false">SUMIFS(Acerto_Detalhado!$K$2:$K$433,Acerto_Detalhado!$A$2:$A$433,$A69,Acerto_Detalhado!$B$2:$B$433,$B69,Acerto_Detalhado!$C$2:$C$433,"Fibra")</f>
        <v>-17222.2776378772</v>
      </c>
      <c r="G69" s="40" t="n">
        <f aca="false">$D69+$E69+$F69</f>
        <v>-36249.8948868219</v>
      </c>
      <c r="H69" s="27" t="str">
        <f aca="false">IF($C69=0,"Sem embarque",IF($G69&gt;0,"Recebe","Paga"))</f>
        <v>Paga</v>
      </c>
    </row>
    <row r="70" customFormat="false" ht="15" hidden="false" customHeight="false" outlineLevel="0" collapsed="false">
      <c r="A70" s="27" t="s">
        <v>44</v>
      </c>
      <c r="B70" s="27" t="s">
        <v>66</v>
      </c>
      <c r="C70" s="34" t="n">
        <f aca="false">SUMIFS(Acerto_Detalhado!$D$2:$D$433,Acerto_Detalhado!$A$2:$A$433,$A70,Acerto_Detalhado!$B$2:$B$433,$B70,Acerto_Detalhado!$C$2:$C$433,"Proteina")</f>
        <v>5121.78</v>
      </c>
      <c r="D70" s="39" t="n">
        <f aca="false">SUMIFS(Acerto_Detalhado!$K$2:$K$433,Acerto_Detalhado!$A$2:$A$433,$A70,Acerto_Detalhado!$B$2:$B$433,$B70,Acerto_Detalhado!$C$2:$C$433,"Proteina")</f>
        <v>5356.80437517128</v>
      </c>
      <c r="E70" s="39" t="n">
        <f aca="false">SUMIFS(Acerto_Detalhado!$K$2:$K$433,Acerto_Detalhado!$A$2:$A$433,$A70,Acerto_Detalhado!$B$2:$B$433,$B70,Acerto_Detalhado!$C$2:$C$433,"Umidade")</f>
        <v>2864.70095783271</v>
      </c>
      <c r="F70" s="39" t="n">
        <f aca="false">SUMIFS(Acerto_Detalhado!$K$2:$K$433,Acerto_Detalhado!$A$2:$A$433,$A70,Acerto_Detalhado!$B$2:$B$433,$B70,Acerto_Detalhado!$C$2:$C$433,"Fibra")</f>
        <v>1496.2075645216</v>
      </c>
      <c r="G70" s="40" t="n">
        <f aca="false">$D70+$E70+$F70</f>
        <v>9717.71289752559</v>
      </c>
      <c r="H70" s="27" t="str">
        <f aca="false">IF($C70=0,"Sem embarque",IF($G70&gt;0,"Recebe","Paga"))</f>
        <v>Recebe</v>
      </c>
    </row>
    <row r="71" customFormat="false" ht="15" hidden="false" customHeight="false" outlineLevel="0" collapsed="false">
      <c r="A71" s="27" t="s">
        <v>44</v>
      </c>
      <c r="B71" s="27" t="s">
        <v>67</v>
      </c>
      <c r="C71" s="34" t="n">
        <f aca="false">SUMIFS(Acerto_Detalhado!$D$2:$D$433,Acerto_Detalhado!$A$2:$A$433,$A71,Acerto_Detalhado!$B$2:$B$433,$B71,Acerto_Detalhado!$C$2:$C$433,"Proteina")</f>
        <v>0</v>
      </c>
      <c r="D71" s="39" t="n">
        <f aca="false">SUMIFS(Acerto_Detalhado!$K$2:$K$433,Acerto_Detalhado!$A$2:$A$433,$A71,Acerto_Detalhado!$B$2:$B$433,$B71,Acerto_Detalhado!$C$2:$C$433,"Proteina")</f>
        <v>0</v>
      </c>
      <c r="E71" s="39" t="n">
        <f aca="false">SUMIFS(Acerto_Detalhado!$K$2:$K$433,Acerto_Detalhado!$A$2:$A$433,$A71,Acerto_Detalhado!$B$2:$B$433,$B71,Acerto_Detalhado!$C$2:$C$433,"Umidade")</f>
        <v>0</v>
      </c>
      <c r="F71" s="39" t="n">
        <f aca="false">SUMIFS(Acerto_Detalhado!$K$2:$K$433,Acerto_Detalhado!$A$2:$A$433,$A71,Acerto_Detalhado!$B$2:$B$433,$B71,Acerto_Detalhado!$C$2:$C$433,"Fibra")</f>
        <v>0</v>
      </c>
      <c r="G71" s="40" t="n">
        <f aca="false">$D71+$E71+$F71</f>
        <v>0</v>
      </c>
      <c r="H71" s="27" t="str">
        <f aca="false">IF($C71=0,"Sem embarque",IF($G71&gt;0,"Recebe","Paga"))</f>
        <v>Sem embarque</v>
      </c>
    </row>
    <row r="72" customFormat="false" ht="15" hidden="false" customHeight="false" outlineLevel="0" collapsed="false">
      <c r="A72" s="27" t="s">
        <v>44</v>
      </c>
      <c r="B72" s="27" t="s">
        <v>68</v>
      </c>
      <c r="C72" s="34" t="n">
        <f aca="false">SUMIFS(Acerto_Detalhado!$D$2:$D$433,Acerto_Detalhado!$A$2:$A$433,$A72,Acerto_Detalhado!$B$2:$B$433,$B72,Acerto_Detalhado!$C$2:$C$433,"Proteina")</f>
        <v>0</v>
      </c>
      <c r="D72" s="39" t="n">
        <f aca="false">SUMIFS(Acerto_Detalhado!$K$2:$K$433,Acerto_Detalhado!$A$2:$A$433,$A72,Acerto_Detalhado!$B$2:$B$433,$B72,Acerto_Detalhado!$C$2:$C$433,"Proteina")</f>
        <v>0</v>
      </c>
      <c r="E72" s="39" t="n">
        <f aca="false">SUMIFS(Acerto_Detalhado!$K$2:$K$433,Acerto_Detalhado!$A$2:$A$433,$A72,Acerto_Detalhado!$B$2:$B$433,$B72,Acerto_Detalhado!$C$2:$C$433,"Umidade")</f>
        <v>0</v>
      </c>
      <c r="F72" s="39" t="n">
        <f aca="false">SUMIFS(Acerto_Detalhado!$K$2:$K$433,Acerto_Detalhado!$A$2:$A$433,$A72,Acerto_Detalhado!$B$2:$B$433,$B72,Acerto_Detalhado!$C$2:$C$433,"Fibra")</f>
        <v>0</v>
      </c>
      <c r="G72" s="40" t="n">
        <f aca="false">$D72+$E72+$F72</f>
        <v>0</v>
      </c>
      <c r="H72" s="27" t="str">
        <f aca="false">IF($C72=0,"Sem embarque",IF($G72&gt;0,"Recebe","Paga"))</f>
        <v>Sem embarque</v>
      </c>
    </row>
    <row r="73" customFormat="false" ht="15" hidden="false" customHeight="false" outlineLevel="0" collapsed="false">
      <c r="A73" s="27" t="s">
        <v>44</v>
      </c>
      <c r="B73" s="27" t="s">
        <v>69</v>
      </c>
      <c r="C73" s="34" t="n">
        <f aca="false">SUMIFS(Acerto_Detalhado!$D$2:$D$433,Acerto_Detalhado!$A$2:$A$433,$A73,Acerto_Detalhado!$B$2:$B$433,$B73,Acerto_Detalhado!$C$2:$C$433,"Proteina")</f>
        <v>0</v>
      </c>
      <c r="D73" s="39" t="n">
        <f aca="false">SUMIFS(Acerto_Detalhado!$K$2:$K$433,Acerto_Detalhado!$A$2:$A$433,$A73,Acerto_Detalhado!$B$2:$B$433,$B73,Acerto_Detalhado!$C$2:$C$433,"Proteina")</f>
        <v>0</v>
      </c>
      <c r="E73" s="39" t="n">
        <f aca="false">SUMIFS(Acerto_Detalhado!$K$2:$K$433,Acerto_Detalhado!$A$2:$A$433,$A73,Acerto_Detalhado!$B$2:$B$433,$B73,Acerto_Detalhado!$C$2:$C$433,"Umidade")</f>
        <v>0</v>
      </c>
      <c r="F73" s="39" t="n">
        <f aca="false">SUMIFS(Acerto_Detalhado!$K$2:$K$433,Acerto_Detalhado!$A$2:$A$433,$A73,Acerto_Detalhado!$B$2:$B$433,$B73,Acerto_Detalhado!$C$2:$C$433,"Fibra")</f>
        <v>0</v>
      </c>
      <c r="G73" s="40" t="n">
        <f aca="false">$D73+$E73+$F73</f>
        <v>0</v>
      </c>
      <c r="H73" s="27" t="str">
        <f aca="false">IF($C73=0,"Sem embarque",IF($G73&gt;0,"Recebe","Paga"))</f>
        <v>Sem embarque</v>
      </c>
    </row>
    <row r="74" customFormat="false" ht="15" hidden="false" customHeight="false" outlineLevel="0" collapsed="false">
      <c r="A74" s="27" t="s">
        <v>45</v>
      </c>
      <c r="B74" s="27" t="s">
        <v>38</v>
      </c>
      <c r="C74" s="34" t="n">
        <f aca="false">SUMIFS(Acerto_Detalhado!$D$2:$D$433,Acerto_Detalhado!$A$2:$A$433,$A74,Acerto_Detalhado!$B$2:$B$433,$B74,Acerto_Detalhado!$C$2:$C$433,"Proteina")</f>
        <v>72053.69</v>
      </c>
      <c r="D74" s="39" t="n">
        <f aca="false">SUMIFS(Acerto_Detalhado!$K$2:$K$433,Acerto_Detalhado!$A$2:$A$433,$A74,Acerto_Detalhado!$B$2:$B$433,$B74,Acerto_Detalhado!$C$2:$C$433,"Proteina")</f>
        <v>-31827.2147664183</v>
      </c>
      <c r="E74" s="39" t="n">
        <f aca="false">SUMIFS(Acerto_Detalhado!$K$2:$K$433,Acerto_Detalhado!$A$2:$A$433,$A74,Acerto_Detalhado!$B$2:$B$433,$B74,Acerto_Detalhado!$C$2:$C$433,"Umidade")</f>
        <v>0</v>
      </c>
      <c r="F74" s="39" t="n">
        <f aca="false">SUMIFS(Acerto_Detalhado!$K$2:$K$433,Acerto_Detalhado!$A$2:$A$433,$A74,Acerto_Detalhado!$B$2:$B$433,$B74,Acerto_Detalhado!$C$2:$C$433,"Fibra")</f>
        <v>-43060.5861914618</v>
      </c>
      <c r="G74" s="40" t="n">
        <f aca="false">$D74+$E74+$F74</f>
        <v>-74887.8009578801</v>
      </c>
      <c r="H74" s="27" t="str">
        <f aca="false">IF($C74=0,"Sem embarque",IF($G74&gt;0,"Recebe","Paga"))</f>
        <v>Paga</v>
      </c>
    </row>
    <row r="75" customFormat="false" ht="15" hidden="false" customHeight="false" outlineLevel="0" collapsed="false">
      <c r="A75" s="27" t="s">
        <v>45</v>
      </c>
      <c r="B75" s="27" t="s">
        <v>59</v>
      </c>
      <c r="C75" s="34" t="n">
        <f aca="false">SUMIFS(Acerto_Detalhado!$D$2:$D$433,Acerto_Detalhado!$A$2:$A$433,$A75,Acerto_Detalhado!$B$2:$B$433,$B75,Acerto_Detalhado!$C$2:$C$433,"Proteina")</f>
        <v>101673.63</v>
      </c>
      <c r="D75" s="39" t="n">
        <f aca="false">SUMIFS(Acerto_Detalhado!$K$2:$K$433,Acerto_Detalhado!$A$2:$A$433,$A75,Acerto_Detalhado!$B$2:$B$433,$B75,Acerto_Detalhado!$C$2:$C$433,"Proteina")</f>
        <v>-32162.0748726001</v>
      </c>
      <c r="E75" s="39" t="n">
        <f aca="false">SUMIFS(Acerto_Detalhado!$K$2:$K$433,Acerto_Detalhado!$A$2:$A$433,$A75,Acerto_Detalhado!$B$2:$B$433,$B75,Acerto_Detalhado!$C$2:$C$433,"Umidade")</f>
        <v>2853.85838533795</v>
      </c>
      <c r="F75" s="39" t="n">
        <f aca="false">SUMIFS(Acerto_Detalhado!$K$2:$K$433,Acerto_Detalhado!$A$2:$A$433,$A75,Acerto_Detalhado!$B$2:$B$433,$B75,Acerto_Detalhado!$C$2:$C$433,"Fibra")</f>
        <v>26181.6531140401</v>
      </c>
      <c r="G75" s="40" t="n">
        <f aca="false">$D75+$E75+$F75</f>
        <v>-3126.56337322201</v>
      </c>
      <c r="H75" s="27" t="str">
        <f aca="false">IF($C75=0,"Sem embarque",IF($G75&gt;0,"Recebe","Paga"))</f>
        <v>Paga</v>
      </c>
    </row>
    <row r="76" customFormat="false" ht="15" hidden="false" customHeight="false" outlineLevel="0" collapsed="false">
      <c r="A76" s="27" t="s">
        <v>45</v>
      </c>
      <c r="B76" s="27" t="s">
        <v>60</v>
      </c>
      <c r="C76" s="34" t="n">
        <f aca="false">SUMIFS(Acerto_Detalhado!$D$2:$D$433,Acerto_Detalhado!$A$2:$A$433,$A76,Acerto_Detalhado!$B$2:$B$433,$B76,Acerto_Detalhado!$C$2:$C$433,"Proteina")</f>
        <v>141.56</v>
      </c>
      <c r="D76" s="39" t="n">
        <f aca="false">SUMIFS(Acerto_Detalhado!$K$2:$K$433,Acerto_Detalhado!$A$2:$A$433,$A76,Acerto_Detalhado!$B$2:$B$433,$B76,Acerto_Detalhado!$C$2:$C$433,"Proteina")</f>
        <v>192.045586407993</v>
      </c>
      <c r="E76" s="39" t="n">
        <f aca="false">SUMIFS(Acerto_Detalhado!$K$2:$K$433,Acerto_Detalhado!$A$2:$A$433,$A76,Acerto_Detalhado!$B$2:$B$433,$B76,Acerto_Detalhado!$C$2:$C$433,"Umidade")</f>
        <v>0</v>
      </c>
      <c r="F76" s="39" t="n">
        <f aca="false">SUMIFS(Acerto_Detalhado!$K$2:$K$433,Acerto_Detalhado!$A$2:$A$433,$A76,Acerto_Detalhado!$B$2:$B$433,$B76,Acerto_Detalhado!$C$2:$C$433,"Fibra")</f>
        <v>40.5594701989505</v>
      </c>
      <c r="G76" s="40" t="n">
        <f aca="false">$D76+$E76+$F76</f>
        <v>232.605056606943</v>
      </c>
      <c r="H76" s="27" t="str">
        <f aca="false">IF($C76=0,"Sem embarque",IF($G76&gt;0,"Recebe","Paga"))</f>
        <v>Recebe</v>
      </c>
    </row>
    <row r="77" customFormat="false" ht="15" hidden="false" customHeight="false" outlineLevel="0" collapsed="false">
      <c r="A77" s="27" t="s">
        <v>45</v>
      </c>
      <c r="B77" s="27" t="s">
        <v>61</v>
      </c>
      <c r="C77" s="34" t="n">
        <f aca="false">SUMIFS(Acerto_Detalhado!$D$2:$D$433,Acerto_Detalhado!$A$2:$A$433,$A77,Acerto_Detalhado!$B$2:$B$433,$B77,Acerto_Detalhado!$C$2:$C$433,"Proteina")</f>
        <v>10176.79</v>
      </c>
      <c r="D77" s="39" t="n">
        <f aca="false">SUMIFS(Acerto_Detalhado!$K$2:$K$433,Acerto_Detalhado!$A$2:$A$433,$A77,Acerto_Detalhado!$B$2:$B$433,$B77,Acerto_Detalhado!$C$2:$C$433,"Proteina")</f>
        <v>-4021.76632081863</v>
      </c>
      <c r="E77" s="39" t="n">
        <f aca="false">SUMIFS(Acerto_Detalhado!$K$2:$K$433,Acerto_Detalhado!$A$2:$A$433,$A77,Acerto_Detalhado!$B$2:$B$433,$B77,Acerto_Detalhado!$C$2:$C$433,"Umidade")</f>
        <v>2882.89146642212</v>
      </c>
      <c r="F77" s="39" t="n">
        <f aca="false">SUMIFS(Acerto_Detalhado!$K$2:$K$433,Acerto_Detalhado!$A$2:$A$433,$A77,Acerto_Detalhado!$B$2:$B$433,$B77,Acerto_Detalhado!$C$2:$C$433,"Fibra")</f>
        <v>-1490.60931783364</v>
      </c>
      <c r="G77" s="40" t="n">
        <f aca="false">$D77+$E77+$F77</f>
        <v>-2629.48417223015</v>
      </c>
      <c r="H77" s="27" t="str">
        <f aca="false">IF($C77=0,"Sem embarque",IF($G77&gt;0,"Recebe","Paga"))</f>
        <v>Paga</v>
      </c>
    </row>
    <row r="78" customFormat="false" ht="15" hidden="false" customHeight="false" outlineLevel="0" collapsed="false">
      <c r="A78" s="27" t="s">
        <v>45</v>
      </c>
      <c r="B78" s="27" t="s">
        <v>62</v>
      </c>
      <c r="C78" s="34" t="n">
        <f aca="false">SUMIFS(Acerto_Detalhado!$D$2:$D$433,Acerto_Detalhado!$A$2:$A$433,$A78,Acerto_Detalhado!$B$2:$B$433,$B78,Acerto_Detalhado!$C$2:$C$433,"Proteina")</f>
        <v>0</v>
      </c>
      <c r="D78" s="39" t="n">
        <f aca="false">SUMIFS(Acerto_Detalhado!$K$2:$K$433,Acerto_Detalhado!$A$2:$A$433,$A78,Acerto_Detalhado!$B$2:$B$433,$B78,Acerto_Detalhado!$C$2:$C$433,"Proteina")</f>
        <v>0</v>
      </c>
      <c r="E78" s="39" t="n">
        <f aca="false">SUMIFS(Acerto_Detalhado!$K$2:$K$433,Acerto_Detalhado!$A$2:$A$433,$A78,Acerto_Detalhado!$B$2:$B$433,$B78,Acerto_Detalhado!$C$2:$C$433,"Umidade")</f>
        <v>0</v>
      </c>
      <c r="F78" s="39" t="n">
        <f aca="false">SUMIFS(Acerto_Detalhado!$K$2:$K$433,Acerto_Detalhado!$A$2:$A$433,$A78,Acerto_Detalhado!$B$2:$B$433,$B78,Acerto_Detalhado!$C$2:$C$433,"Fibra")</f>
        <v>0</v>
      </c>
      <c r="G78" s="40" t="n">
        <f aca="false">$D78+$E78+$F78</f>
        <v>0</v>
      </c>
      <c r="H78" s="27" t="str">
        <f aca="false">IF($C78=0,"Sem embarque",IF($G78&gt;0,"Recebe","Paga"))</f>
        <v>Sem embarque</v>
      </c>
    </row>
    <row r="79" customFormat="false" ht="15" hidden="false" customHeight="false" outlineLevel="0" collapsed="false">
      <c r="A79" s="27" t="s">
        <v>45</v>
      </c>
      <c r="B79" s="27" t="s">
        <v>63</v>
      </c>
      <c r="C79" s="34" t="n">
        <f aca="false">SUMIFS(Acerto_Detalhado!$D$2:$D$433,Acerto_Detalhado!$A$2:$A$433,$A79,Acerto_Detalhado!$B$2:$B$433,$B79,Acerto_Detalhado!$C$2:$C$433,"Proteina")</f>
        <v>33179.88</v>
      </c>
      <c r="D79" s="39" t="n">
        <f aca="false">SUMIFS(Acerto_Detalhado!$K$2:$K$433,Acerto_Detalhado!$A$2:$A$433,$A79,Acerto_Detalhado!$B$2:$B$433,$B79,Acerto_Detalhado!$C$2:$C$433,"Proteina")</f>
        <v>-18496.2801789377</v>
      </c>
      <c r="E79" s="39" t="n">
        <f aca="false">SUMIFS(Acerto_Detalhado!$K$2:$K$433,Acerto_Detalhado!$A$2:$A$433,$A79,Acerto_Detalhado!$B$2:$B$433,$B79,Acerto_Detalhado!$C$2:$C$433,"Umidade")</f>
        <v>-6988.40769384588</v>
      </c>
      <c r="F79" s="39" t="n">
        <f aca="false">SUMIFS(Acerto_Detalhado!$K$2:$K$433,Acerto_Detalhado!$A$2:$A$433,$A79,Acerto_Detalhado!$B$2:$B$433,$B79,Acerto_Detalhado!$C$2:$C$433,"Fibra")</f>
        <v>-3115.81699858937</v>
      </c>
      <c r="G79" s="40" t="n">
        <f aca="false">$D79+$E79+$F79</f>
        <v>-28600.5048713729</v>
      </c>
      <c r="H79" s="27" t="str">
        <f aca="false">IF($C79=0,"Sem embarque",IF($G79&gt;0,"Recebe","Paga"))</f>
        <v>Paga</v>
      </c>
    </row>
    <row r="80" customFormat="false" ht="15" hidden="false" customHeight="false" outlineLevel="0" collapsed="false">
      <c r="A80" s="27" t="s">
        <v>45</v>
      </c>
      <c r="B80" s="27" t="s">
        <v>64</v>
      </c>
      <c r="C80" s="34" t="n">
        <f aca="false">SUMIFS(Acerto_Detalhado!$D$2:$D$433,Acerto_Detalhado!$A$2:$A$433,$A80,Acerto_Detalhado!$B$2:$B$433,$B80,Acerto_Detalhado!$C$2:$C$433,"Proteina")</f>
        <v>99472.54</v>
      </c>
      <c r="D80" s="39" t="n">
        <f aca="false">SUMIFS(Acerto_Detalhado!$K$2:$K$433,Acerto_Detalhado!$A$2:$A$433,$A80,Acerto_Detalhado!$B$2:$B$433,$B80,Acerto_Detalhado!$C$2:$C$433,"Proteina")</f>
        <v>-42907.9830664752</v>
      </c>
      <c r="E80" s="39" t="n">
        <f aca="false">SUMIFS(Acerto_Detalhado!$K$2:$K$433,Acerto_Detalhado!$A$2:$A$433,$A80,Acerto_Detalhado!$B$2:$B$433,$B80,Acerto_Detalhado!$C$2:$C$433,"Umidade")</f>
        <v>21160.3935841603</v>
      </c>
      <c r="F80" s="39" t="n">
        <f aca="false">SUMIFS(Acerto_Detalhado!$K$2:$K$433,Acerto_Detalhado!$A$2:$A$433,$A80,Acerto_Detalhado!$B$2:$B$433,$B80,Acerto_Detalhado!$C$2:$C$433,"Fibra")</f>
        <v>-9352.09468200002</v>
      </c>
      <c r="G80" s="40" t="n">
        <f aca="false">$D80+$E80+$F80</f>
        <v>-31099.684164315</v>
      </c>
      <c r="H80" s="27" t="str">
        <f aca="false">IF($C80=0,"Sem embarque",IF($G80&gt;0,"Recebe","Paga"))</f>
        <v>Paga</v>
      </c>
    </row>
    <row r="81" customFormat="false" ht="15" hidden="false" customHeight="false" outlineLevel="0" collapsed="false">
      <c r="A81" s="27" t="s">
        <v>45</v>
      </c>
      <c r="B81" s="27" t="s">
        <v>65</v>
      </c>
      <c r="C81" s="34" t="n">
        <f aca="false">SUMIFS(Acerto_Detalhado!$D$2:$D$433,Acerto_Detalhado!$A$2:$A$433,$A81,Acerto_Detalhado!$B$2:$B$433,$B81,Acerto_Detalhado!$C$2:$C$433,"Proteina")</f>
        <v>78501.68</v>
      </c>
      <c r="D81" s="39" t="n">
        <f aca="false">SUMIFS(Acerto_Detalhado!$K$2:$K$433,Acerto_Detalhado!$A$2:$A$433,$A81,Acerto_Detalhado!$B$2:$B$433,$B81,Acerto_Detalhado!$C$2:$C$433,"Proteina")</f>
        <v>-27319.5609689237</v>
      </c>
      <c r="E81" s="39" t="n">
        <f aca="false">SUMIFS(Acerto_Detalhado!$K$2:$K$433,Acerto_Detalhado!$A$2:$A$433,$A81,Acerto_Detalhado!$B$2:$B$433,$B81,Acerto_Detalhado!$C$2:$C$433,"Umidade")</f>
        <v>11405.4362721275</v>
      </c>
      <c r="F81" s="39" t="n">
        <f aca="false">SUMIFS(Acerto_Detalhado!$K$2:$K$433,Acerto_Detalhado!$A$2:$A$433,$A81,Acerto_Detalhado!$B$2:$B$433,$B81,Acerto_Detalhado!$C$2:$C$433,"Fibra")</f>
        <v>-10865.0233947054</v>
      </c>
      <c r="G81" s="40" t="n">
        <f aca="false">$D81+$E81+$F81</f>
        <v>-26779.1480915017</v>
      </c>
      <c r="H81" s="27" t="str">
        <f aca="false">IF($C81=0,"Sem embarque",IF($G81&gt;0,"Recebe","Paga"))</f>
        <v>Paga</v>
      </c>
    </row>
    <row r="82" customFormat="false" ht="15" hidden="false" customHeight="false" outlineLevel="0" collapsed="false">
      <c r="A82" s="27" t="s">
        <v>45</v>
      </c>
      <c r="B82" s="27" t="s">
        <v>66</v>
      </c>
      <c r="C82" s="34" t="n">
        <f aca="false">SUMIFS(Acerto_Detalhado!$D$2:$D$433,Acerto_Detalhado!$A$2:$A$433,$A82,Acerto_Detalhado!$B$2:$B$433,$B82,Acerto_Detalhado!$C$2:$C$433,"Proteina")</f>
        <v>19994.68</v>
      </c>
      <c r="D82" s="39" t="n">
        <f aca="false">SUMIFS(Acerto_Detalhado!$K$2:$K$433,Acerto_Detalhado!$A$2:$A$433,$A82,Acerto_Detalhado!$B$2:$B$433,$B82,Acerto_Detalhado!$C$2:$C$433,"Proteina")</f>
        <v>-18676.2737784668</v>
      </c>
      <c r="E82" s="39" t="n">
        <f aca="false">SUMIFS(Acerto_Detalhado!$K$2:$K$433,Acerto_Detalhado!$A$2:$A$433,$A82,Acerto_Detalhado!$B$2:$B$433,$B82,Acerto_Detalhado!$C$2:$C$433,"Umidade")</f>
        <v>11183.3735434865</v>
      </c>
      <c r="F82" s="39" t="n">
        <f aca="false">SUMIFS(Acerto_Detalhado!$K$2:$K$433,Acerto_Detalhado!$A$2:$A$433,$A82,Acerto_Detalhado!$B$2:$B$433,$B82,Acerto_Detalhado!$C$2:$C$433,"Fibra")</f>
        <v>-8675.53176056206</v>
      </c>
      <c r="G82" s="40" t="n">
        <f aca="false">$D82+$E82+$F82</f>
        <v>-16168.4319955423</v>
      </c>
      <c r="H82" s="27" t="str">
        <f aca="false">IF($C82=0,"Sem embarque",IF($G82&gt;0,"Recebe","Paga"))</f>
        <v>Paga</v>
      </c>
    </row>
    <row r="83" customFormat="false" ht="15" hidden="false" customHeight="false" outlineLevel="0" collapsed="false">
      <c r="A83" s="27" t="s">
        <v>45</v>
      </c>
      <c r="B83" s="27" t="s">
        <v>67</v>
      </c>
      <c r="C83" s="34" t="n">
        <f aca="false">SUMIFS(Acerto_Detalhado!$D$2:$D$433,Acerto_Detalhado!$A$2:$A$433,$A83,Acerto_Detalhado!$B$2:$B$433,$B83,Acerto_Detalhado!$C$2:$C$433,"Proteina")</f>
        <v>0</v>
      </c>
      <c r="D83" s="39" t="n">
        <f aca="false">SUMIFS(Acerto_Detalhado!$K$2:$K$433,Acerto_Detalhado!$A$2:$A$433,$A83,Acerto_Detalhado!$B$2:$B$433,$B83,Acerto_Detalhado!$C$2:$C$433,"Proteina")</f>
        <v>0</v>
      </c>
      <c r="E83" s="39" t="n">
        <f aca="false">SUMIFS(Acerto_Detalhado!$K$2:$K$433,Acerto_Detalhado!$A$2:$A$433,$A83,Acerto_Detalhado!$B$2:$B$433,$B83,Acerto_Detalhado!$C$2:$C$433,"Umidade")</f>
        <v>0</v>
      </c>
      <c r="F83" s="39" t="n">
        <f aca="false">SUMIFS(Acerto_Detalhado!$K$2:$K$433,Acerto_Detalhado!$A$2:$A$433,$A83,Acerto_Detalhado!$B$2:$B$433,$B83,Acerto_Detalhado!$C$2:$C$433,"Fibra")</f>
        <v>0</v>
      </c>
      <c r="G83" s="40" t="n">
        <f aca="false">$D83+$E83+$F83</f>
        <v>0</v>
      </c>
      <c r="H83" s="27" t="str">
        <f aca="false">IF($C83=0,"Sem embarque",IF($G83&gt;0,"Recebe","Paga"))</f>
        <v>Sem embarque</v>
      </c>
    </row>
    <row r="84" customFormat="false" ht="15" hidden="false" customHeight="false" outlineLevel="0" collapsed="false">
      <c r="A84" s="27" t="s">
        <v>45</v>
      </c>
      <c r="B84" s="27" t="s">
        <v>68</v>
      </c>
      <c r="C84" s="34" t="n">
        <f aca="false">SUMIFS(Acerto_Detalhado!$D$2:$D$433,Acerto_Detalhado!$A$2:$A$433,$A84,Acerto_Detalhado!$B$2:$B$433,$B84,Acerto_Detalhado!$C$2:$C$433,"Proteina")</f>
        <v>0</v>
      </c>
      <c r="D84" s="39" t="n">
        <f aca="false">SUMIFS(Acerto_Detalhado!$K$2:$K$433,Acerto_Detalhado!$A$2:$A$433,$A84,Acerto_Detalhado!$B$2:$B$433,$B84,Acerto_Detalhado!$C$2:$C$433,"Proteina")</f>
        <v>0</v>
      </c>
      <c r="E84" s="39" t="n">
        <f aca="false">SUMIFS(Acerto_Detalhado!$K$2:$K$433,Acerto_Detalhado!$A$2:$A$433,$A84,Acerto_Detalhado!$B$2:$B$433,$B84,Acerto_Detalhado!$C$2:$C$433,"Umidade")</f>
        <v>0</v>
      </c>
      <c r="F84" s="39" t="n">
        <f aca="false">SUMIFS(Acerto_Detalhado!$K$2:$K$433,Acerto_Detalhado!$A$2:$A$433,$A84,Acerto_Detalhado!$B$2:$B$433,$B84,Acerto_Detalhado!$C$2:$C$433,"Fibra")</f>
        <v>0</v>
      </c>
      <c r="G84" s="40" t="n">
        <f aca="false">$D84+$E84+$F84</f>
        <v>0</v>
      </c>
      <c r="H84" s="27" t="str">
        <f aca="false">IF($C84=0,"Sem embarque",IF($G84&gt;0,"Recebe","Paga"))</f>
        <v>Sem embarque</v>
      </c>
    </row>
    <row r="85" customFormat="false" ht="15" hidden="false" customHeight="false" outlineLevel="0" collapsed="false">
      <c r="A85" s="27" t="s">
        <v>45</v>
      </c>
      <c r="B85" s="27" t="s">
        <v>69</v>
      </c>
      <c r="C85" s="34" t="n">
        <f aca="false">SUMIFS(Acerto_Detalhado!$D$2:$D$433,Acerto_Detalhado!$A$2:$A$433,$A85,Acerto_Detalhado!$B$2:$B$433,$B85,Acerto_Detalhado!$C$2:$C$433,"Proteina")</f>
        <v>0</v>
      </c>
      <c r="D85" s="39" t="n">
        <f aca="false">SUMIFS(Acerto_Detalhado!$K$2:$K$433,Acerto_Detalhado!$A$2:$A$433,$A85,Acerto_Detalhado!$B$2:$B$433,$B85,Acerto_Detalhado!$C$2:$C$433,"Proteina")</f>
        <v>0</v>
      </c>
      <c r="E85" s="39" t="n">
        <f aca="false">SUMIFS(Acerto_Detalhado!$K$2:$K$433,Acerto_Detalhado!$A$2:$A$433,$A85,Acerto_Detalhado!$B$2:$B$433,$B85,Acerto_Detalhado!$C$2:$C$433,"Umidade")</f>
        <v>0</v>
      </c>
      <c r="F85" s="39" t="n">
        <f aca="false">SUMIFS(Acerto_Detalhado!$K$2:$K$433,Acerto_Detalhado!$A$2:$A$433,$A85,Acerto_Detalhado!$B$2:$B$433,$B85,Acerto_Detalhado!$C$2:$C$433,"Fibra")</f>
        <v>0</v>
      </c>
      <c r="G85" s="40" t="n">
        <f aca="false">$D85+$E85+$F85</f>
        <v>0</v>
      </c>
      <c r="H85" s="27" t="str">
        <f aca="false">IF($C85=0,"Sem embarque",IF($G85&gt;0,"Recebe","Paga"))</f>
        <v>Sem embarque</v>
      </c>
    </row>
    <row r="86" customFormat="false" ht="15" hidden="false" customHeight="false" outlineLevel="0" collapsed="false">
      <c r="A86" s="27" t="s">
        <v>46</v>
      </c>
      <c r="B86" s="27" t="s">
        <v>38</v>
      </c>
      <c r="C86" s="34" t="n">
        <f aca="false">SUMIFS(Acerto_Detalhado!$D$2:$D$433,Acerto_Detalhado!$A$2:$A$433,$A86,Acerto_Detalhado!$B$2:$B$433,$B86,Acerto_Detalhado!$C$2:$C$433,"Proteina")</f>
        <v>0</v>
      </c>
      <c r="D86" s="39" t="n">
        <f aca="false">SUMIFS(Acerto_Detalhado!$K$2:$K$433,Acerto_Detalhado!$A$2:$A$433,$A86,Acerto_Detalhado!$B$2:$B$433,$B86,Acerto_Detalhado!$C$2:$C$433,"Proteina")</f>
        <v>0</v>
      </c>
      <c r="E86" s="39" t="n">
        <f aca="false">SUMIFS(Acerto_Detalhado!$K$2:$K$433,Acerto_Detalhado!$A$2:$A$433,$A86,Acerto_Detalhado!$B$2:$B$433,$B86,Acerto_Detalhado!$C$2:$C$433,"Umidade")</f>
        <v>0</v>
      </c>
      <c r="F86" s="39" t="n">
        <f aca="false">SUMIFS(Acerto_Detalhado!$K$2:$K$433,Acerto_Detalhado!$A$2:$A$433,$A86,Acerto_Detalhado!$B$2:$B$433,$B86,Acerto_Detalhado!$C$2:$C$433,"Fibra")</f>
        <v>0</v>
      </c>
      <c r="G86" s="40" t="n">
        <f aca="false">$D86+$E86+$F86</f>
        <v>0</v>
      </c>
      <c r="H86" s="27" t="str">
        <f aca="false">IF($C86=0,"Sem embarque",IF($G86&gt;0,"Recebe","Paga"))</f>
        <v>Sem embarque</v>
      </c>
    </row>
    <row r="87" customFormat="false" ht="15" hidden="false" customHeight="false" outlineLevel="0" collapsed="false">
      <c r="A87" s="27" t="s">
        <v>46</v>
      </c>
      <c r="B87" s="27" t="s">
        <v>59</v>
      </c>
      <c r="C87" s="34" t="n">
        <f aca="false">SUMIFS(Acerto_Detalhado!$D$2:$D$433,Acerto_Detalhado!$A$2:$A$433,$A87,Acerto_Detalhado!$B$2:$B$433,$B87,Acerto_Detalhado!$C$2:$C$433,"Proteina")</f>
        <v>0</v>
      </c>
      <c r="D87" s="39" t="n">
        <f aca="false">SUMIFS(Acerto_Detalhado!$K$2:$K$433,Acerto_Detalhado!$A$2:$A$433,$A87,Acerto_Detalhado!$B$2:$B$433,$B87,Acerto_Detalhado!$C$2:$C$433,"Proteina")</f>
        <v>0</v>
      </c>
      <c r="E87" s="39" t="n">
        <f aca="false">SUMIFS(Acerto_Detalhado!$K$2:$K$433,Acerto_Detalhado!$A$2:$A$433,$A87,Acerto_Detalhado!$B$2:$B$433,$B87,Acerto_Detalhado!$C$2:$C$433,"Umidade")</f>
        <v>0</v>
      </c>
      <c r="F87" s="39" t="n">
        <f aca="false">SUMIFS(Acerto_Detalhado!$K$2:$K$433,Acerto_Detalhado!$A$2:$A$433,$A87,Acerto_Detalhado!$B$2:$B$433,$B87,Acerto_Detalhado!$C$2:$C$433,"Fibra")</f>
        <v>0</v>
      </c>
      <c r="G87" s="40" t="n">
        <f aca="false">$D87+$E87+$F87</f>
        <v>0</v>
      </c>
      <c r="H87" s="27" t="str">
        <f aca="false">IF($C87=0,"Sem embarque",IF($G87&gt;0,"Recebe","Paga"))</f>
        <v>Sem embarque</v>
      </c>
    </row>
    <row r="88" customFormat="false" ht="15" hidden="false" customHeight="false" outlineLevel="0" collapsed="false">
      <c r="A88" s="27" t="s">
        <v>46</v>
      </c>
      <c r="B88" s="27" t="s">
        <v>60</v>
      </c>
      <c r="C88" s="34" t="n">
        <f aca="false">SUMIFS(Acerto_Detalhado!$D$2:$D$433,Acerto_Detalhado!$A$2:$A$433,$A88,Acerto_Detalhado!$B$2:$B$433,$B88,Acerto_Detalhado!$C$2:$C$433,"Proteina")</f>
        <v>0</v>
      </c>
      <c r="D88" s="39" t="n">
        <f aca="false">SUMIFS(Acerto_Detalhado!$K$2:$K$433,Acerto_Detalhado!$A$2:$A$433,$A88,Acerto_Detalhado!$B$2:$B$433,$B88,Acerto_Detalhado!$C$2:$C$433,"Proteina")</f>
        <v>0</v>
      </c>
      <c r="E88" s="39" t="n">
        <f aca="false">SUMIFS(Acerto_Detalhado!$K$2:$K$433,Acerto_Detalhado!$A$2:$A$433,$A88,Acerto_Detalhado!$B$2:$B$433,$B88,Acerto_Detalhado!$C$2:$C$433,"Umidade")</f>
        <v>0</v>
      </c>
      <c r="F88" s="39" t="n">
        <f aca="false">SUMIFS(Acerto_Detalhado!$K$2:$K$433,Acerto_Detalhado!$A$2:$A$433,$A88,Acerto_Detalhado!$B$2:$B$433,$B88,Acerto_Detalhado!$C$2:$C$433,"Fibra")</f>
        <v>0</v>
      </c>
      <c r="G88" s="40" t="n">
        <f aca="false">$D88+$E88+$F88</f>
        <v>0</v>
      </c>
      <c r="H88" s="27" t="str">
        <f aca="false">IF($C88=0,"Sem embarque",IF($G88&gt;0,"Recebe","Paga"))</f>
        <v>Sem embarque</v>
      </c>
    </row>
    <row r="89" customFormat="false" ht="15" hidden="false" customHeight="false" outlineLevel="0" collapsed="false">
      <c r="A89" s="27" t="s">
        <v>46</v>
      </c>
      <c r="B89" s="27" t="s">
        <v>61</v>
      </c>
      <c r="C89" s="34" t="n">
        <f aca="false">SUMIFS(Acerto_Detalhado!$D$2:$D$433,Acerto_Detalhado!$A$2:$A$433,$A89,Acerto_Detalhado!$B$2:$B$433,$B89,Acerto_Detalhado!$C$2:$C$433,"Proteina")</f>
        <v>0</v>
      </c>
      <c r="D89" s="39" t="n">
        <f aca="false">SUMIFS(Acerto_Detalhado!$K$2:$K$433,Acerto_Detalhado!$A$2:$A$433,$A89,Acerto_Detalhado!$B$2:$B$433,$B89,Acerto_Detalhado!$C$2:$C$433,"Proteina")</f>
        <v>0</v>
      </c>
      <c r="E89" s="39" t="n">
        <f aca="false">SUMIFS(Acerto_Detalhado!$K$2:$K$433,Acerto_Detalhado!$A$2:$A$433,$A89,Acerto_Detalhado!$B$2:$B$433,$B89,Acerto_Detalhado!$C$2:$C$433,"Umidade")</f>
        <v>0</v>
      </c>
      <c r="F89" s="39" t="n">
        <f aca="false">SUMIFS(Acerto_Detalhado!$K$2:$K$433,Acerto_Detalhado!$A$2:$A$433,$A89,Acerto_Detalhado!$B$2:$B$433,$B89,Acerto_Detalhado!$C$2:$C$433,"Fibra")</f>
        <v>0</v>
      </c>
      <c r="G89" s="40" t="n">
        <f aca="false">$D89+$E89+$F89</f>
        <v>0</v>
      </c>
      <c r="H89" s="27" t="str">
        <f aca="false">IF($C89=0,"Sem embarque",IF($G89&gt;0,"Recebe","Paga"))</f>
        <v>Sem embarque</v>
      </c>
    </row>
    <row r="90" customFormat="false" ht="15" hidden="false" customHeight="false" outlineLevel="0" collapsed="false">
      <c r="A90" s="27" t="s">
        <v>46</v>
      </c>
      <c r="B90" s="27" t="s">
        <v>62</v>
      </c>
      <c r="C90" s="34" t="n">
        <f aca="false">SUMIFS(Acerto_Detalhado!$D$2:$D$433,Acerto_Detalhado!$A$2:$A$433,$A90,Acerto_Detalhado!$B$2:$B$433,$B90,Acerto_Detalhado!$C$2:$C$433,"Proteina")</f>
        <v>0</v>
      </c>
      <c r="D90" s="39" t="n">
        <f aca="false">SUMIFS(Acerto_Detalhado!$K$2:$K$433,Acerto_Detalhado!$A$2:$A$433,$A90,Acerto_Detalhado!$B$2:$B$433,$B90,Acerto_Detalhado!$C$2:$C$433,"Proteina")</f>
        <v>0</v>
      </c>
      <c r="E90" s="39" t="n">
        <f aca="false">SUMIFS(Acerto_Detalhado!$K$2:$K$433,Acerto_Detalhado!$A$2:$A$433,$A90,Acerto_Detalhado!$B$2:$B$433,$B90,Acerto_Detalhado!$C$2:$C$433,"Umidade")</f>
        <v>0</v>
      </c>
      <c r="F90" s="39" t="n">
        <f aca="false">SUMIFS(Acerto_Detalhado!$K$2:$K$433,Acerto_Detalhado!$A$2:$A$433,$A90,Acerto_Detalhado!$B$2:$B$433,$B90,Acerto_Detalhado!$C$2:$C$433,"Fibra")</f>
        <v>0</v>
      </c>
      <c r="G90" s="40" t="n">
        <f aca="false">$D90+$E90+$F90</f>
        <v>0</v>
      </c>
      <c r="H90" s="27" t="str">
        <f aca="false">IF($C90=0,"Sem embarque",IF($G90&gt;0,"Recebe","Paga"))</f>
        <v>Sem embarque</v>
      </c>
    </row>
    <row r="91" customFormat="false" ht="15" hidden="false" customHeight="false" outlineLevel="0" collapsed="false">
      <c r="A91" s="27" t="s">
        <v>46</v>
      </c>
      <c r="B91" s="27" t="s">
        <v>63</v>
      </c>
      <c r="C91" s="34" t="n">
        <f aca="false">SUMIFS(Acerto_Detalhado!$D$2:$D$433,Acerto_Detalhado!$A$2:$A$433,$A91,Acerto_Detalhado!$B$2:$B$433,$B91,Acerto_Detalhado!$C$2:$C$433,"Proteina")</f>
        <v>0</v>
      </c>
      <c r="D91" s="39" t="n">
        <f aca="false">SUMIFS(Acerto_Detalhado!$K$2:$K$433,Acerto_Detalhado!$A$2:$A$433,$A91,Acerto_Detalhado!$B$2:$B$433,$B91,Acerto_Detalhado!$C$2:$C$433,"Proteina")</f>
        <v>0</v>
      </c>
      <c r="E91" s="39" t="n">
        <f aca="false">SUMIFS(Acerto_Detalhado!$K$2:$K$433,Acerto_Detalhado!$A$2:$A$433,$A91,Acerto_Detalhado!$B$2:$B$433,$B91,Acerto_Detalhado!$C$2:$C$433,"Umidade")</f>
        <v>0</v>
      </c>
      <c r="F91" s="39" t="n">
        <f aca="false">SUMIFS(Acerto_Detalhado!$K$2:$K$433,Acerto_Detalhado!$A$2:$A$433,$A91,Acerto_Detalhado!$B$2:$B$433,$B91,Acerto_Detalhado!$C$2:$C$433,"Fibra")</f>
        <v>0</v>
      </c>
      <c r="G91" s="40" t="n">
        <f aca="false">$D91+$E91+$F91</f>
        <v>0</v>
      </c>
      <c r="H91" s="27" t="str">
        <f aca="false">IF($C91=0,"Sem embarque",IF($G91&gt;0,"Recebe","Paga"))</f>
        <v>Sem embarque</v>
      </c>
    </row>
    <row r="92" customFormat="false" ht="15" hidden="false" customHeight="false" outlineLevel="0" collapsed="false">
      <c r="A92" s="27" t="s">
        <v>46</v>
      </c>
      <c r="B92" s="27" t="s">
        <v>64</v>
      </c>
      <c r="C92" s="34" t="n">
        <f aca="false">SUMIFS(Acerto_Detalhado!$D$2:$D$433,Acerto_Detalhado!$A$2:$A$433,$A92,Acerto_Detalhado!$B$2:$B$433,$B92,Acerto_Detalhado!$C$2:$C$433,"Proteina")</f>
        <v>0</v>
      </c>
      <c r="D92" s="39" t="n">
        <f aca="false">SUMIFS(Acerto_Detalhado!$K$2:$K$433,Acerto_Detalhado!$A$2:$A$433,$A92,Acerto_Detalhado!$B$2:$B$433,$B92,Acerto_Detalhado!$C$2:$C$433,"Proteina")</f>
        <v>0</v>
      </c>
      <c r="E92" s="39" t="n">
        <f aca="false">SUMIFS(Acerto_Detalhado!$K$2:$K$433,Acerto_Detalhado!$A$2:$A$433,$A92,Acerto_Detalhado!$B$2:$B$433,$B92,Acerto_Detalhado!$C$2:$C$433,"Umidade")</f>
        <v>0</v>
      </c>
      <c r="F92" s="39" t="n">
        <f aca="false">SUMIFS(Acerto_Detalhado!$K$2:$K$433,Acerto_Detalhado!$A$2:$A$433,$A92,Acerto_Detalhado!$B$2:$B$433,$B92,Acerto_Detalhado!$C$2:$C$433,"Fibra")</f>
        <v>0</v>
      </c>
      <c r="G92" s="40" t="n">
        <f aca="false">$D92+$E92+$F92</f>
        <v>0</v>
      </c>
      <c r="H92" s="27" t="str">
        <f aca="false">IF($C92=0,"Sem embarque",IF($G92&gt;0,"Recebe","Paga"))</f>
        <v>Sem embarque</v>
      </c>
    </row>
    <row r="93" customFormat="false" ht="15" hidden="false" customHeight="false" outlineLevel="0" collapsed="false">
      <c r="A93" s="27" t="s">
        <v>46</v>
      </c>
      <c r="B93" s="27" t="s">
        <v>65</v>
      </c>
      <c r="C93" s="34" t="n">
        <f aca="false">SUMIFS(Acerto_Detalhado!$D$2:$D$433,Acerto_Detalhado!$A$2:$A$433,$A93,Acerto_Detalhado!$B$2:$B$433,$B93,Acerto_Detalhado!$C$2:$C$433,"Proteina")</f>
        <v>11582.49</v>
      </c>
      <c r="D93" s="39" t="n">
        <f aca="false">SUMIFS(Acerto_Detalhado!$K$2:$K$433,Acerto_Detalhado!$A$2:$A$433,$A93,Acerto_Detalhado!$B$2:$B$433,$B93,Acerto_Detalhado!$C$2:$C$433,"Proteina")</f>
        <v>18386.5757502351</v>
      </c>
      <c r="E93" s="39" t="n">
        <f aca="false">SUMIFS(Acerto_Detalhado!$K$2:$K$433,Acerto_Detalhado!$A$2:$A$433,$A93,Acerto_Detalhado!$B$2:$B$433,$B93,Acerto_Detalhado!$C$2:$C$433,"Umidade")</f>
        <v>1682.80922863758</v>
      </c>
      <c r="F93" s="39" t="n">
        <f aca="false">SUMIFS(Acerto_Detalhado!$K$2:$K$433,Acerto_Detalhado!$A$2:$A$433,$A93,Acerto_Detalhado!$B$2:$B$433,$B93,Acerto_Detalhado!$C$2:$C$433,"Fibra")</f>
        <v>11521.5599108795</v>
      </c>
      <c r="G93" s="40" t="n">
        <f aca="false">$D93+$E93+$F93</f>
        <v>31590.9448897522</v>
      </c>
      <c r="H93" s="27" t="str">
        <f aca="false">IF($C93=0,"Sem embarque",IF($G93&gt;0,"Recebe","Paga"))</f>
        <v>Recebe</v>
      </c>
    </row>
    <row r="94" customFormat="false" ht="15" hidden="false" customHeight="false" outlineLevel="0" collapsed="false">
      <c r="A94" s="27" t="s">
        <v>46</v>
      </c>
      <c r="B94" s="27" t="s">
        <v>66</v>
      </c>
      <c r="C94" s="34" t="n">
        <f aca="false">SUMIFS(Acerto_Detalhado!$D$2:$D$433,Acerto_Detalhado!$A$2:$A$433,$A94,Acerto_Detalhado!$B$2:$B$433,$B94,Acerto_Detalhado!$C$2:$C$433,"Proteina")</f>
        <v>3730.96</v>
      </c>
      <c r="D94" s="39" t="n">
        <f aca="false">SUMIFS(Acerto_Detalhado!$K$2:$K$433,Acerto_Detalhado!$A$2:$A$433,$A94,Acerto_Detalhado!$B$2:$B$433,$B94,Acerto_Detalhado!$C$2:$C$433,"Proteina")</f>
        <v>-2903.91707500381</v>
      </c>
      <c r="E94" s="39" t="n">
        <f aca="false">SUMIFS(Acerto_Detalhado!$K$2:$K$433,Acerto_Detalhado!$A$2:$A$433,$A94,Acerto_Detalhado!$B$2:$B$433,$B94,Acerto_Detalhado!$C$2:$C$433,"Umidade")</f>
        <v>-243.258591999995</v>
      </c>
      <c r="F94" s="39" t="n">
        <f aca="false">SUMIFS(Acerto_Detalhado!$K$2:$K$433,Acerto_Detalhado!$A$2:$A$433,$A94,Acerto_Detalhado!$B$2:$B$433,$B94,Acerto_Detalhado!$C$2:$C$433,"Fibra")</f>
        <v>-1506.53431061837</v>
      </c>
      <c r="G94" s="40" t="n">
        <f aca="false">$D94+$E94+$F94</f>
        <v>-4653.70997762217</v>
      </c>
      <c r="H94" s="27" t="str">
        <f aca="false">IF($C94=0,"Sem embarque",IF($G94&gt;0,"Recebe","Paga"))</f>
        <v>Paga</v>
      </c>
    </row>
    <row r="95" customFormat="false" ht="15" hidden="false" customHeight="false" outlineLevel="0" collapsed="false">
      <c r="A95" s="27" t="s">
        <v>46</v>
      </c>
      <c r="B95" s="27" t="s">
        <v>67</v>
      </c>
      <c r="C95" s="34" t="n">
        <f aca="false">SUMIFS(Acerto_Detalhado!$D$2:$D$433,Acerto_Detalhado!$A$2:$A$433,$A95,Acerto_Detalhado!$B$2:$B$433,$B95,Acerto_Detalhado!$C$2:$C$433,"Proteina")</f>
        <v>0</v>
      </c>
      <c r="D95" s="39" t="n">
        <f aca="false">SUMIFS(Acerto_Detalhado!$K$2:$K$433,Acerto_Detalhado!$A$2:$A$433,$A95,Acerto_Detalhado!$B$2:$B$433,$B95,Acerto_Detalhado!$C$2:$C$433,"Proteina")</f>
        <v>0</v>
      </c>
      <c r="E95" s="39" t="n">
        <f aca="false">SUMIFS(Acerto_Detalhado!$K$2:$K$433,Acerto_Detalhado!$A$2:$A$433,$A95,Acerto_Detalhado!$B$2:$B$433,$B95,Acerto_Detalhado!$C$2:$C$433,"Umidade")</f>
        <v>0</v>
      </c>
      <c r="F95" s="39" t="n">
        <f aca="false">SUMIFS(Acerto_Detalhado!$K$2:$K$433,Acerto_Detalhado!$A$2:$A$433,$A95,Acerto_Detalhado!$B$2:$B$433,$B95,Acerto_Detalhado!$C$2:$C$433,"Fibra")</f>
        <v>0</v>
      </c>
      <c r="G95" s="40" t="n">
        <f aca="false">$D95+$E95+$F95</f>
        <v>0</v>
      </c>
      <c r="H95" s="27" t="str">
        <f aca="false">IF($C95=0,"Sem embarque",IF($G95&gt;0,"Recebe","Paga"))</f>
        <v>Sem embarque</v>
      </c>
    </row>
    <row r="96" customFormat="false" ht="15" hidden="false" customHeight="false" outlineLevel="0" collapsed="false">
      <c r="A96" s="27" t="s">
        <v>46</v>
      </c>
      <c r="B96" s="27" t="s">
        <v>68</v>
      </c>
      <c r="C96" s="34" t="n">
        <f aca="false">SUMIFS(Acerto_Detalhado!$D$2:$D$433,Acerto_Detalhado!$A$2:$A$433,$A96,Acerto_Detalhado!$B$2:$B$433,$B96,Acerto_Detalhado!$C$2:$C$433,"Proteina")</f>
        <v>0</v>
      </c>
      <c r="D96" s="39" t="n">
        <f aca="false">SUMIFS(Acerto_Detalhado!$K$2:$K$433,Acerto_Detalhado!$A$2:$A$433,$A96,Acerto_Detalhado!$B$2:$B$433,$B96,Acerto_Detalhado!$C$2:$C$433,"Proteina")</f>
        <v>0</v>
      </c>
      <c r="E96" s="39" t="n">
        <f aca="false">SUMIFS(Acerto_Detalhado!$K$2:$K$433,Acerto_Detalhado!$A$2:$A$433,$A96,Acerto_Detalhado!$B$2:$B$433,$B96,Acerto_Detalhado!$C$2:$C$433,"Umidade")</f>
        <v>0</v>
      </c>
      <c r="F96" s="39" t="n">
        <f aca="false">SUMIFS(Acerto_Detalhado!$K$2:$K$433,Acerto_Detalhado!$A$2:$A$433,$A96,Acerto_Detalhado!$B$2:$B$433,$B96,Acerto_Detalhado!$C$2:$C$433,"Fibra")</f>
        <v>0</v>
      </c>
      <c r="G96" s="40" t="n">
        <f aca="false">$D96+$E96+$F96</f>
        <v>0</v>
      </c>
      <c r="H96" s="27" t="str">
        <f aca="false">IF($C96=0,"Sem embarque",IF($G96&gt;0,"Recebe","Paga"))</f>
        <v>Sem embarque</v>
      </c>
    </row>
    <row r="97" customFormat="false" ht="15" hidden="false" customHeight="false" outlineLevel="0" collapsed="false">
      <c r="A97" s="27" t="s">
        <v>46</v>
      </c>
      <c r="B97" s="27" t="s">
        <v>69</v>
      </c>
      <c r="C97" s="34" t="n">
        <f aca="false">SUMIFS(Acerto_Detalhado!$D$2:$D$433,Acerto_Detalhado!$A$2:$A$433,$A97,Acerto_Detalhado!$B$2:$B$433,$B97,Acerto_Detalhado!$C$2:$C$433,"Proteina")</f>
        <v>0</v>
      </c>
      <c r="D97" s="39" t="n">
        <f aca="false">SUMIFS(Acerto_Detalhado!$K$2:$K$433,Acerto_Detalhado!$A$2:$A$433,$A97,Acerto_Detalhado!$B$2:$B$433,$B97,Acerto_Detalhado!$C$2:$C$433,"Proteina")</f>
        <v>0</v>
      </c>
      <c r="E97" s="39" t="n">
        <f aca="false">SUMIFS(Acerto_Detalhado!$K$2:$K$433,Acerto_Detalhado!$A$2:$A$433,$A97,Acerto_Detalhado!$B$2:$B$433,$B97,Acerto_Detalhado!$C$2:$C$433,"Umidade")</f>
        <v>0</v>
      </c>
      <c r="F97" s="39" t="n">
        <f aca="false">SUMIFS(Acerto_Detalhado!$K$2:$K$433,Acerto_Detalhado!$A$2:$A$433,$A97,Acerto_Detalhado!$B$2:$B$433,$B97,Acerto_Detalhado!$C$2:$C$433,"Fibra")</f>
        <v>0</v>
      </c>
      <c r="G97" s="40" t="n">
        <f aca="false">$D97+$E97+$F97</f>
        <v>0</v>
      </c>
      <c r="H97" s="27" t="str">
        <f aca="false">IF($C97=0,"Sem embarque",IF($G97&gt;0,"Recebe","Paga"))</f>
        <v>Sem embarque</v>
      </c>
    </row>
    <row r="98" customFormat="false" ht="15" hidden="false" customHeight="false" outlineLevel="0" collapsed="false">
      <c r="A98" s="27" t="s">
        <v>47</v>
      </c>
      <c r="B98" s="27" t="s">
        <v>38</v>
      </c>
      <c r="C98" s="34" t="n">
        <f aca="false">SUMIFS(Acerto_Detalhado!$D$2:$D$433,Acerto_Detalhado!$A$2:$A$433,$A98,Acerto_Detalhado!$B$2:$B$433,$B98,Acerto_Detalhado!$C$2:$C$433,"Proteina")</f>
        <v>0</v>
      </c>
      <c r="D98" s="39" t="n">
        <f aca="false">SUMIFS(Acerto_Detalhado!$K$2:$K$433,Acerto_Detalhado!$A$2:$A$433,$A98,Acerto_Detalhado!$B$2:$B$433,$B98,Acerto_Detalhado!$C$2:$C$433,"Proteina")</f>
        <v>0</v>
      </c>
      <c r="E98" s="39" t="n">
        <f aca="false">SUMIFS(Acerto_Detalhado!$K$2:$K$433,Acerto_Detalhado!$A$2:$A$433,$A98,Acerto_Detalhado!$B$2:$B$433,$B98,Acerto_Detalhado!$C$2:$C$433,"Umidade")</f>
        <v>0</v>
      </c>
      <c r="F98" s="39" t="n">
        <f aca="false">SUMIFS(Acerto_Detalhado!$K$2:$K$433,Acerto_Detalhado!$A$2:$A$433,$A98,Acerto_Detalhado!$B$2:$B$433,$B98,Acerto_Detalhado!$C$2:$C$433,"Fibra")</f>
        <v>0</v>
      </c>
      <c r="G98" s="40" t="n">
        <f aca="false">$D98+$E98+$F98</f>
        <v>0</v>
      </c>
      <c r="H98" s="27" t="str">
        <f aca="false">IF($C98=0,"Sem embarque",IF($G98&gt;0,"Recebe","Paga"))</f>
        <v>Sem embarque</v>
      </c>
    </row>
    <row r="99" customFormat="false" ht="15" hidden="false" customHeight="false" outlineLevel="0" collapsed="false">
      <c r="A99" s="27" t="s">
        <v>47</v>
      </c>
      <c r="B99" s="27" t="s">
        <v>59</v>
      </c>
      <c r="C99" s="34" t="n">
        <f aca="false">SUMIFS(Acerto_Detalhado!$D$2:$D$433,Acerto_Detalhado!$A$2:$A$433,$A99,Acerto_Detalhado!$B$2:$B$433,$B99,Acerto_Detalhado!$C$2:$C$433,"Proteina")</f>
        <v>0</v>
      </c>
      <c r="D99" s="39" t="n">
        <f aca="false">SUMIFS(Acerto_Detalhado!$K$2:$K$433,Acerto_Detalhado!$A$2:$A$433,$A99,Acerto_Detalhado!$B$2:$B$433,$B99,Acerto_Detalhado!$C$2:$C$433,"Proteina")</f>
        <v>0</v>
      </c>
      <c r="E99" s="39" t="n">
        <f aca="false">SUMIFS(Acerto_Detalhado!$K$2:$K$433,Acerto_Detalhado!$A$2:$A$433,$A99,Acerto_Detalhado!$B$2:$B$433,$B99,Acerto_Detalhado!$C$2:$C$433,"Umidade")</f>
        <v>0</v>
      </c>
      <c r="F99" s="39" t="n">
        <f aca="false">SUMIFS(Acerto_Detalhado!$K$2:$K$433,Acerto_Detalhado!$A$2:$A$433,$A99,Acerto_Detalhado!$B$2:$B$433,$B99,Acerto_Detalhado!$C$2:$C$433,"Fibra")</f>
        <v>0</v>
      </c>
      <c r="G99" s="40" t="n">
        <f aca="false">$D99+$E99+$F99</f>
        <v>0</v>
      </c>
      <c r="H99" s="27" t="str">
        <f aca="false">IF($C99=0,"Sem embarque",IF($G99&gt;0,"Recebe","Paga"))</f>
        <v>Sem embarque</v>
      </c>
    </row>
    <row r="100" customFormat="false" ht="15" hidden="false" customHeight="false" outlineLevel="0" collapsed="false">
      <c r="A100" s="27" t="s">
        <v>47</v>
      </c>
      <c r="B100" s="27" t="s">
        <v>60</v>
      </c>
      <c r="C100" s="34" t="n">
        <f aca="false">SUMIFS(Acerto_Detalhado!$D$2:$D$433,Acerto_Detalhado!$A$2:$A$433,$A100,Acerto_Detalhado!$B$2:$B$433,$B100,Acerto_Detalhado!$C$2:$C$433,"Proteina")</f>
        <v>0</v>
      </c>
      <c r="D100" s="39" t="n">
        <f aca="false">SUMIFS(Acerto_Detalhado!$K$2:$K$433,Acerto_Detalhado!$A$2:$A$433,$A100,Acerto_Detalhado!$B$2:$B$433,$B100,Acerto_Detalhado!$C$2:$C$433,"Proteina")</f>
        <v>0</v>
      </c>
      <c r="E100" s="39" t="n">
        <f aca="false">SUMIFS(Acerto_Detalhado!$K$2:$K$433,Acerto_Detalhado!$A$2:$A$433,$A100,Acerto_Detalhado!$B$2:$B$433,$B100,Acerto_Detalhado!$C$2:$C$433,"Umidade")</f>
        <v>0</v>
      </c>
      <c r="F100" s="39" t="n">
        <f aca="false">SUMIFS(Acerto_Detalhado!$K$2:$K$433,Acerto_Detalhado!$A$2:$A$433,$A100,Acerto_Detalhado!$B$2:$B$433,$B100,Acerto_Detalhado!$C$2:$C$433,"Fibra")</f>
        <v>0</v>
      </c>
      <c r="G100" s="40" t="n">
        <f aca="false">$D100+$E100+$F100</f>
        <v>0</v>
      </c>
      <c r="H100" s="27" t="str">
        <f aca="false">IF($C100=0,"Sem embarque",IF($G100&gt;0,"Recebe","Paga"))</f>
        <v>Sem embarque</v>
      </c>
    </row>
    <row r="101" customFormat="false" ht="15" hidden="false" customHeight="false" outlineLevel="0" collapsed="false">
      <c r="A101" s="27" t="s">
        <v>47</v>
      </c>
      <c r="B101" s="27" t="s">
        <v>61</v>
      </c>
      <c r="C101" s="34" t="n">
        <f aca="false">SUMIFS(Acerto_Detalhado!$D$2:$D$433,Acerto_Detalhado!$A$2:$A$433,$A101,Acerto_Detalhado!$B$2:$B$433,$B101,Acerto_Detalhado!$C$2:$C$433,"Proteina")</f>
        <v>0</v>
      </c>
      <c r="D101" s="39" t="n">
        <f aca="false">SUMIFS(Acerto_Detalhado!$K$2:$K$433,Acerto_Detalhado!$A$2:$A$433,$A101,Acerto_Detalhado!$B$2:$B$433,$B101,Acerto_Detalhado!$C$2:$C$433,"Proteina")</f>
        <v>0</v>
      </c>
      <c r="E101" s="39" t="n">
        <f aca="false">SUMIFS(Acerto_Detalhado!$K$2:$K$433,Acerto_Detalhado!$A$2:$A$433,$A101,Acerto_Detalhado!$B$2:$B$433,$B101,Acerto_Detalhado!$C$2:$C$433,"Umidade")</f>
        <v>0</v>
      </c>
      <c r="F101" s="39" t="n">
        <f aca="false">SUMIFS(Acerto_Detalhado!$K$2:$K$433,Acerto_Detalhado!$A$2:$A$433,$A101,Acerto_Detalhado!$B$2:$B$433,$B101,Acerto_Detalhado!$C$2:$C$433,"Fibra")</f>
        <v>0</v>
      </c>
      <c r="G101" s="40" t="n">
        <f aca="false">$D101+$E101+$F101</f>
        <v>0</v>
      </c>
      <c r="H101" s="27" t="str">
        <f aca="false">IF($C101=0,"Sem embarque",IF($G101&gt;0,"Recebe","Paga"))</f>
        <v>Sem embarque</v>
      </c>
    </row>
    <row r="102" customFormat="false" ht="15" hidden="false" customHeight="false" outlineLevel="0" collapsed="false">
      <c r="A102" s="27" t="s">
        <v>47</v>
      </c>
      <c r="B102" s="27" t="s">
        <v>62</v>
      </c>
      <c r="C102" s="34" t="n">
        <f aca="false">SUMIFS(Acerto_Detalhado!$D$2:$D$433,Acerto_Detalhado!$A$2:$A$433,$A102,Acerto_Detalhado!$B$2:$B$433,$B102,Acerto_Detalhado!$C$2:$C$433,"Proteina")</f>
        <v>0</v>
      </c>
      <c r="D102" s="39" t="n">
        <f aca="false">SUMIFS(Acerto_Detalhado!$K$2:$K$433,Acerto_Detalhado!$A$2:$A$433,$A102,Acerto_Detalhado!$B$2:$B$433,$B102,Acerto_Detalhado!$C$2:$C$433,"Proteina")</f>
        <v>0</v>
      </c>
      <c r="E102" s="39" t="n">
        <f aca="false">SUMIFS(Acerto_Detalhado!$K$2:$K$433,Acerto_Detalhado!$A$2:$A$433,$A102,Acerto_Detalhado!$B$2:$B$433,$B102,Acerto_Detalhado!$C$2:$C$433,"Umidade")</f>
        <v>0</v>
      </c>
      <c r="F102" s="39" t="n">
        <f aca="false">SUMIFS(Acerto_Detalhado!$K$2:$K$433,Acerto_Detalhado!$A$2:$A$433,$A102,Acerto_Detalhado!$B$2:$B$433,$B102,Acerto_Detalhado!$C$2:$C$433,"Fibra")</f>
        <v>0</v>
      </c>
      <c r="G102" s="40" t="n">
        <f aca="false">$D102+$E102+$F102</f>
        <v>0</v>
      </c>
      <c r="H102" s="27" t="str">
        <f aca="false">IF($C102=0,"Sem embarque",IF($G102&gt;0,"Recebe","Paga"))</f>
        <v>Sem embarque</v>
      </c>
    </row>
    <row r="103" customFormat="false" ht="15" hidden="false" customHeight="false" outlineLevel="0" collapsed="false">
      <c r="A103" s="27" t="s">
        <v>47</v>
      </c>
      <c r="B103" s="27" t="s">
        <v>63</v>
      </c>
      <c r="C103" s="34" t="n">
        <f aca="false">SUMIFS(Acerto_Detalhado!$D$2:$D$433,Acerto_Detalhado!$A$2:$A$433,$A103,Acerto_Detalhado!$B$2:$B$433,$B103,Acerto_Detalhado!$C$2:$C$433,"Proteina")</f>
        <v>0</v>
      </c>
      <c r="D103" s="39" t="n">
        <f aca="false">SUMIFS(Acerto_Detalhado!$K$2:$K$433,Acerto_Detalhado!$A$2:$A$433,$A103,Acerto_Detalhado!$B$2:$B$433,$B103,Acerto_Detalhado!$C$2:$C$433,"Proteina")</f>
        <v>0</v>
      </c>
      <c r="E103" s="39" t="n">
        <f aca="false">SUMIFS(Acerto_Detalhado!$K$2:$K$433,Acerto_Detalhado!$A$2:$A$433,$A103,Acerto_Detalhado!$B$2:$B$433,$B103,Acerto_Detalhado!$C$2:$C$433,"Umidade")</f>
        <v>0</v>
      </c>
      <c r="F103" s="39" t="n">
        <f aca="false">SUMIFS(Acerto_Detalhado!$K$2:$K$433,Acerto_Detalhado!$A$2:$A$433,$A103,Acerto_Detalhado!$B$2:$B$433,$B103,Acerto_Detalhado!$C$2:$C$433,"Fibra")</f>
        <v>0</v>
      </c>
      <c r="G103" s="40" t="n">
        <f aca="false">$D103+$E103+$F103</f>
        <v>0</v>
      </c>
      <c r="H103" s="27" t="str">
        <f aca="false">IF($C103=0,"Sem embarque",IF($G103&gt;0,"Recebe","Paga"))</f>
        <v>Sem embarque</v>
      </c>
    </row>
    <row r="104" customFormat="false" ht="15" hidden="false" customHeight="false" outlineLevel="0" collapsed="false">
      <c r="A104" s="27" t="s">
        <v>47</v>
      </c>
      <c r="B104" s="27" t="s">
        <v>64</v>
      </c>
      <c r="C104" s="34" t="n">
        <f aca="false">SUMIFS(Acerto_Detalhado!$D$2:$D$433,Acerto_Detalhado!$A$2:$A$433,$A104,Acerto_Detalhado!$B$2:$B$433,$B104,Acerto_Detalhado!$C$2:$C$433,"Proteina")</f>
        <v>0</v>
      </c>
      <c r="D104" s="39" t="n">
        <f aca="false">SUMIFS(Acerto_Detalhado!$K$2:$K$433,Acerto_Detalhado!$A$2:$A$433,$A104,Acerto_Detalhado!$B$2:$B$433,$B104,Acerto_Detalhado!$C$2:$C$433,"Proteina")</f>
        <v>0</v>
      </c>
      <c r="E104" s="39" t="n">
        <f aca="false">SUMIFS(Acerto_Detalhado!$K$2:$K$433,Acerto_Detalhado!$A$2:$A$433,$A104,Acerto_Detalhado!$B$2:$B$433,$B104,Acerto_Detalhado!$C$2:$C$433,"Umidade")</f>
        <v>0</v>
      </c>
      <c r="F104" s="39" t="n">
        <f aca="false">SUMIFS(Acerto_Detalhado!$K$2:$K$433,Acerto_Detalhado!$A$2:$A$433,$A104,Acerto_Detalhado!$B$2:$B$433,$B104,Acerto_Detalhado!$C$2:$C$433,"Fibra")</f>
        <v>0</v>
      </c>
      <c r="G104" s="40" t="n">
        <f aca="false">$D104+$E104+$F104</f>
        <v>0</v>
      </c>
      <c r="H104" s="27" t="str">
        <f aca="false">IF($C104=0,"Sem embarque",IF($G104&gt;0,"Recebe","Paga"))</f>
        <v>Sem embarque</v>
      </c>
    </row>
    <row r="105" customFormat="false" ht="15" hidden="false" customHeight="false" outlineLevel="0" collapsed="false">
      <c r="A105" s="27" t="s">
        <v>47</v>
      </c>
      <c r="B105" s="27" t="s">
        <v>65</v>
      </c>
      <c r="C105" s="34" t="n">
        <f aca="false">SUMIFS(Acerto_Detalhado!$D$2:$D$433,Acerto_Detalhado!$A$2:$A$433,$A105,Acerto_Detalhado!$B$2:$B$433,$B105,Acerto_Detalhado!$C$2:$C$433,"Proteina")</f>
        <v>0</v>
      </c>
      <c r="D105" s="39" t="n">
        <f aca="false">SUMIFS(Acerto_Detalhado!$K$2:$K$433,Acerto_Detalhado!$A$2:$A$433,$A105,Acerto_Detalhado!$B$2:$B$433,$B105,Acerto_Detalhado!$C$2:$C$433,"Proteina")</f>
        <v>0</v>
      </c>
      <c r="E105" s="39" t="n">
        <f aca="false">SUMIFS(Acerto_Detalhado!$K$2:$K$433,Acerto_Detalhado!$A$2:$A$433,$A105,Acerto_Detalhado!$B$2:$B$433,$B105,Acerto_Detalhado!$C$2:$C$433,"Umidade")</f>
        <v>0</v>
      </c>
      <c r="F105" s="39" t="n">
        <f aca="false">SUMIFS(Acerto_Detalhado!$K$2:$K$433,Acerto_Detalhado!$A$2:$A$433,$A105,Acerto_Detalhado!$B$2:$B$433,$B105,Acerto_Detalhado!$C$2:$C$433,"Fibra")</f>
        <v>0</v>
      </c>
      <c r="G105" s="40" t="n">
        <f aca="false">$D105+$E105+$F105</f>
        <v>0</v>
      </c>
      <c r="H105" s="27" t="str">
        <f aca="false">IF($C105=0,"Sem embarque",IF($G105&gt;0,"Recebe","Paga"))</f>
        <v>Sem embarque</v>
      </c>
    </row>
    <row r="106" customFormat="false" ht="15" hidden="false" customHeight="false" outlineLevel="0" collapsed="false">
      <c r="A106" s="27" t="s">
        <v>47</v>
      </c>
      <c r="B106" s="27" t="s">
        <v>66</v>
      </c>
      <c r="C106" s="34" t="n">
        <f aca="false">SUMIFS(Acerto_Detalhado!$D$2:$D$433,Acerto_Detalhado!$A$2:$A$433,$A106,Acerto_Detalhado!$B$2:$B$433,$B106,Acerto_Detalhado!$C$2:$C$433,"Proteina")</f>
        <v>0</v>
      </c>
      <c r="D106" s="39" t="n">
        <f aca="false">SUMIFS(Acerto_Detalhado!$K$2:$K$433,Acerto_Detalhado!$A$2:$A$433,$A106,Acerto_Detalhado!$B$2:$B$433,$B106,Acerto_Detalhado!$C$2:$C$433,"Proteina")</f>
        <v>0</v>
      </c>
      <c r="E106" s="39" t="n">
        <f aca="false">SUMIFS(Acerto_Detalhado!$K$2:$K$433,Acerto_Detalhado!$A$2:$A$433,$A106,Acerto_Detalhado!$B$2:$B$433,$B106,Acerto_Detalhado!$C$2:$C$433,"Umidade")</f>
        <v>0</v>
      </c>
      <c r="F106" s="39" t="n">
        <f aca="false">SUMIFS(Acerto_Detalhado!$K$2:$K$433,Acerto_Detalhado!$A$2:$A$433,$A106,Acerto_Detalhado!$B$2:$B$433,$B106,Acerto_Detalhado!$C$2:$C$433,"Fibra")</f>
        <v>0</v>
      </c>
      <c r="G106" s="40" t="n">
        <f aca="false">$D106+$E106+$F106</f>
        <v>0</v>
      </c>
      <c r="H106" s="27" t="str">
        <f aca="false">IF($C106=0,"Sem embarque",IF($G106&gt;0,"Recebe","Paga"))</f>
        <v>Sem embarque</v>
      </c>
    </row>
    <row r="107" customFormat="false" ht="15" hidden="false" customHeight="false" outlineLevel="0" collapsed="false">
      <c r="A107" s="27" t="s">
        <v>47</v>
      </c>
      <c r="B107" s="27" t="s">
        <v>67</v>
      </c>
      <c r="C107" s="34" t="n">
        <f aca="false">SUMIFS(Acerto_Detalhado!$D$2:$D$433,Acerto_Detalhado!$A$2:$A$433,$A107,Acerto_Detalhado!$B$2:$B$433,$B107,Acerto_Detalhado!$C$2:$C$433,"Proteina")</f>
        <v>0</v>
      </c>
      <c r="D107" s="39" t="n">
        <f aca="false">SUMIFS(Acerto_Detalhado!$K$2:$K$433,Acerto_Detalhado!$A$2:$A$433,$A107,Acerto_Detalhado!$B$2:$B$433,$B107,Acerto_Detalhado!$C$2:$C$433,"Proteina")</f>
        <v>0</v>
      </c>
      <c r="E107" s="39" t="n">
        <f aca="false">SUMIFS(Acerto_Detalhado!$K$2:$K$433,Acerto_Detalhado!$A$2:$A$433,$A107,Acerto_Detalhado!$B$2:$B$433,$B107,Acerto_Detalhado!$C$2:$C$433,"Umidade")</f>
        <v>0</v>
      </c>
      <c r="F107" s="39" t="n">
        <f aca="false">SUMIFS(Acerto_Detalhado!$K$2:$K$433,Acerto_Detalhado!$A$2:$A$433,$A107,Acerto_Detalhado!$B$2:$B$433,$B107,Acerto_Detalhado!$C$2:$C$433,"Fibra")</f>
        <v>0</v>
      </c>
      <c r="G107" s="40" t="n">
        <f aca="false">$D107+$E107+$F107</f>
        <v>0</v>
      </c>
      <c r="H107" s="27" t="str">
        <f aca="false">IF($C107=0,"Sem embarque",IF($G107&gt;0,"Recebe","Paga"))</f>
        <v>Sem embarque</v>
      </c>
    </row>
    <row r="108" customFormat="false" ht="15" hidden="false" customHeight="false" outlineLevel="0" collapsed="false">
      <c r="A108" s="27" t="s">
        <v>47</v>
      </c>
      <c r="B108" s="27" t="s">
        <v>68</v>
      </c>
      <c r="C108" s="34" t="n">
        <f aca="false">SUMIFS(Acerto_Detalhado!$D$2:$D$433,Acerto_Detalhado!$A$2:$A$433,$A108,Acerto_Detalhado!$B$2:$B$433,$B108,Acerto_Detalhado!$C$2:$C$433,"Proteina")</f>
        <v>0</v>
      </c>
      <c r="D108" s="39" t="n">
        <f aca="false">SUMIFS(Acerto_Detalhado!$K$2:$K$433,Acerto_Detalhado!$A$2:$A$433,$A108,Acerto_Detalhado!$B$2:$B$433,$B108,Acerto_Detalhado!$C$2:$C$433,"Proteina")</f>
        <v>0</v>
      </c>
      <c r="E108" s="39" t="n">
        <f aca="false">SUMIFS(Acerto_Detalhado!$K$2:$K$433,Acerto_Detalhado!$A$2:$A$433,$A108,Acerto_Detalhado!$B$2:$B$433,$B108,Acerto_Detalhado!$C$2:$C$433,"Umidade")</f>
        <v>0</v>
      </c>
      <c r="F108" s="39" t="n">
        <f aca="false">SUMIFS(Acerto_Detalhado!$K$2:$K$433,Acerto_Detalhado!$A$2:$A$433,$A108,Acerto_Detalhado!$B$2:$B$433,$B108,Acerto_Detalhado!$C$2:$C$433,"Fibra")</f>
        <v>0</v>
      </c>
      <c r="G108" s="40" t="n">
        <f aca="false">$D108+$E108+$F108</f>
        <v>0</v>
      </c>
      <c r="H108" s="27" t="str">
        <f aca="false">IF($C108=0,"Sem embarque",IF($G108&gt;0,"Recebe","Paga"))</f>
        <v>Sem embarque</v>
      </c>
    </row>
    <row r="109" customFormat="false" ht="15" hidden="false" customHeight="false" outlineLevel="0" collapsed="false">
      <c r="A109" s="27" t="s">
        <v>47</v>
      </c>
      <c r="B109" s="27" t="s">
        <v>69</v>
      </c>
      <c r="C109" s="34" t="n">
        <f aca="false">SUMIFS(Acerto_Detalhado!$D$2:$D$433,Acerto_Detalhado!$A$2:$A$433,$A109,Acerto_Detalhado!$B$2:$B$433,$B109,Acerto_Detalhado!$C$2:$C$433,"Proteina")</f>
        <v>0</v>
      </c>
      <c r="D109" s="39" t="n">
        <f aca="false">SUMIFS(Acerto_Detalhado!$K$2:$K$433,Acerto_Detalhado!$A$2:$A$433,$A109,Acerto_Detalhado!$B$2:$B$433,$B109,Acerto_Detalhado!$C$2:$C$433,"Proteina")</f>
        <v>0</v>
      </c>
      <c r="E109" s="39" t="n">
        <f aca="false">SUMIFS(Acerto_Detalhado!$K$2:$K$433,Acerto_Detalhado!$A$2:$A$433,$A109,Acerto_Detalhado!$B$2:$B$433,$B109,Acerto_Detalhado!$C$2:$C$433,"Umidade")</f>
        <v>0</v>
      </c>
      <c r="F109" s="39" t="n">
        <f aca="false">SUMIFS(Acerto_Detalhado!$K$2:$K$433,Acerto_Detalhado!$A$2:$A$433,$A109,Acerto_Detalhado!$B$2:$B$433,$B109,Acerto_Detalhado!$C$2:$C$433,"Fibra")</f>
        <v>0</v>
      </c>
      <c r="G109" s="40" t="n">
        <f aca="false">$D109+$E109+$F109</f>
        <v>0</v>
      </c>
      <c r="H109" s="27" t="str">
        <f aca="false">IF($C109=0,"Sem embarque",IF($G109&gt;0,"Recebe","Paga"))</f>
        <v>Sem embarque</v>
      </c>
    </row>
    <row r="110" customFormat="false" ht="15" hidden="false" customHeight="false" outlineLevel="0" collapsed="false">
      <c r="A110" s="27" t="s">
        <v>48</v>
      </c>
      <c r="B110" s="27" t="s">
        <v>38</v>
      </c>
      <c r="C110" s="34" t="n">
        <f aca="false">SUMIFS(Acerto_Detalhado!$D$2:$D$433,Acerto_Detalhado!$A$2:$A$433,$A110,Acerto_Detalhado!$B$2:$B$433,$B110,Acerto_Detalhado!$C$2:$C$433,"Proteina")</f>
        <v>0</v>
      </c>
      <c r="D110" s="39" t="n">
        <f aca="false">SUMIFS(Acerto_Detalhado!$K$2:$K$433,Acerto_Detalhado!$A$2:$A$433,$A110,Acerto_Detalhado!$B$2:$B$433,$B110,Acerto_Detalhado!$C$2:$C$433,"Proteina")</f>
        <v>0</v>
      </c>
      <c r="E110" s="39" t="n">
        <f aca="false">SUMIFS(Acerto_Detalhado!$K$2:$K$433,Acerto_Detalhado!$A$2:$A$433,$A110,Acerto_Detalhado!$B$2:$B$433,$B110,Acerto_Detalhado!$C$2:$C$433,"Umidade")</f>
        <v>0</v>
      </c>
      <c r="F110" s="39" t="n">
        <f aca="false">SUMIFS(Acerto_Detalhado!$K$2:$K$433,Acerto_Detalhado!$A$2:$A$433,$A110,Acerto_Detalhado!$B$2:$B$433,$B110,Acerto_Detalhado!$C$2:$C$433,"Fibra")</f>
        <v>0</v>
      </c>
      <c r="G110" s="40" t="n">
        <f aca="false">$D110+$E110+$F110</f>
        <v>0</v>
      </c>
      <c r="H110" s="27" t="str">
        <f aca="false">IF($C110=0,"Sem embarque",IF($G110&gt;0,"Recebe","Paga"))</f>
        <v>Sem embarque</v>
      </c>
    </row>
    <row r="111" customFormat="false" ht="15" hidden="false" customHeight="false" outlineLevel="0" collapsed="false">
      <c r="A111" s="27" t="s">
        <v>48</v>
      </c>
      <c r="B111" s="27" t="s">
        <v>59</v>
      </c>
      <c r="C111" s="34" t="n">
        <f aca="false">SUMIFS(Acerto_Detalhado!$D$2:$D$433,Acerto_Detalhado!$A$2:$A$433,$A111,Acerto_Detalhado!$B$2:$B$433,$B111,Acerto_Detalhado!$C$2:$C$433,"Proteina")</f>
        <v>0</v>
      </c>
      <c r="D111" s="39" t="n">
        <f aca="false">SUMIFS(Acerto_Detalhado!$K$2:$K$433,Acerto_Detalhado!$A$2:$A$433,$A111,Acerto_Detalhado!$B$2:$B$433,$B111,Acerto_Detalhado!$C$2:$C$433,"Proteina")</f>
        <v>0</v>
      </c>
      <c r="E111" s="39" t="n">
        <f aca="false">SUMIFS(Acerto_Detalhado!$K$2:$K$433,Acerto_Detalhado!$A$2:$A$433,$A111,Acerto_Detalhado!$B$2:$B$433,$B111,Acerto_Detalhado!$C$2:$C$433,"Umidade")</f>
        <v>0</v>
      </c>
      <c r="F111" s="39" t="n">
        <f aca="false">SUMIFS(Acerto_Detalhado!$K$2:$K$433,Acerto_Detalhado!$A$2:$A$433,$A111,Acerto_Detalhado!$B$2:$B$433,$B111,Acerto_Detalhado!$C$2:$C$433,"Fibra")</f>
        <v>0</v>
      </c>
      <c r="G111" s="40" t="n">
        <f aca="false">$D111+$E111+$F111</f>
        <v>0</v>
      </c>
      <c r="H111" s="27" t="str">
        <f aca="false">IF($C111=0,"Sem embarque",IF($G111&gt;0,"Recebe","Paga"))</f>
        <v>Sem embarque</v>
      </c>
    </row>
    <row r="112" customFormat="false" ht="15" hidden="false" customHeight="false" outlineLevel="0" collapsed="false">
      <c r="A112" s="27" t="s">
        <v>48</v>
      </c>
      <c r="B112" s="27" t="s">
        <v>60</v>
      </c>
      <c r="C112" s="34" t="n">
        <f aca="false">SUMIFS(Acerto_Detalhado!$D$2:$D$433,Acerto_Detalhado!$A$2:$A$433,$A112,Acerto_Detalhado!$B$2:$B$433,$B112,Acerto_Detalhado!$C$2:$C$433,"Proteina")</f>
        <v>0</v>
      </c>
      <c r="D112" s="39" t="n">
        <f aca="false">SUMIFS(Acerto_Detalhado!$K$2:$K$433,Acerto_Detalhado!$A$2:$A$433,$A112,Acerto_Detalhado!$B$2:$B$433,$B112,Acerto_Detalhado!$C$2:$C$433,"Proteina")</f>
        <v>0</v>
      </c>
      <c r="E112" s="39" t="n">
        <f aca="false">SUMIFS(Acerto_Detalhado!$K$2:$K$433,Acerto_Detalhado!$A$2:$A$433,$A112,Acerto_Detalhado!$B$2:$B$433,$B112,Acerto_Detalhado!$C$2:$C$433,"Umidade")</f>
        <v>0</v>
      </c>
      <c r="F112" s="39" t="n">
        <f aca="false">SUMIFS(Acerto_Detalhado!$K$2:$K$433,Acerto_Detalhado!$A$2:$A$433,$A112,Acerto_Detalhado!$B$2:$B$433,$B112,Acerto_Detalhado!$C$2:$C$433,"Fibra")</f>
        <v>0</v>
      </c>
      <c r="G112" s="40" t="n">
        <f aca="false">$D112+$E112+$F112</f>
        <v>0</v>
      </c>
      <c r="H112" s="27" t="str">
        <f aca="false">IF($C112=0,"Sem embarque",IF($G112&gt;0,"Recebe","Paga"))</f>
        <v>Sem embarque</v>
      </c>
    </row>
    <row r="113" customFormat="false" ht="15" hidden="false" customHeight="false" outlineLevel="0" collapsed="false">
      <c r="A113" s="27" t="s">
        <v>48</v>
      </c>
      <c r="B113" s="27" t="s">
        <v>61</v>
      </c>
      <c r="C113" s="34" t="n">
        <f aca="false">SUMIFS(Acerto_Detalhado!$D$2:$D$433,Acerto_Detalhado!$A$2:$A$433,$A113,Acerto_Detalhado!$B$2:$B$433,$B113,Acerto_Detalhado!$C$2:$C$433,"Proteina")</f>
        <v>0</v>
      </c>
      <c r="D113" s="39" t="n">
        <f aca="false">SUMIFS(Acerto_Detalhado!$K$2:$K$433,Acerto_Detalhado!$A$2:$A$433,$A113,Acerto_Detalhado!$B$2:$B$433,$B113,Acerto_Detalhado!$C$2:$C$433,"Proteina")</f>
        <v>0</v>
      </c>
      <c r="E113" s="39" t="n">
        <f aca="false">SUMIFS(Acerto_Detalhado!$K$2:$K$433,Acerto_Detalhado!$A$2:$A$433,$A113,Acerto_Detalhado!$B$2:$B$433,$B113,Acerto_Detalhado!$C$2:$C$433,"Umidade")</f>
        <v>0</v>
      </c>
      <c r="F113" s="39" t="n">
        <f aca="false">SUMIFS(Acerto_Detalhado!$K$2:$K$433,Acerto_Detalhado!$A$2:$A$433,$A113,Acerto_Detalhado!$B$2:$B$433,$B113,Acerto_Detalhado!$C$2:$C$433,"Fibra")</f>
        <v>0</v>
      </c>
      <c r="G113" s="40" t="n">
        <f aca="false">$D113+$E113+$F113</f>
        <v>0</v>
      </c>
      <c r="H113" s="27" t="str">
        <f aca="false">IF($C113=0,"Sem embarque",IF($G113&gt;0,"Recebe","Paga"))</f>
        <v>Sem embarque</v>
      </c>
    </row>
    <row r="114" customFormat="false" ht="15" hidden="false" customHeight="false" outlineLevel="0" collapsed="false">
      <c r="A114" s="27" t="s">
        <v>48</v>
      </c>
      <c r="B114" s="27" t="s">
        <v>62</v>
      </c>
      <c r="C114" s="34" t="n">
        <f aca="false">SUMIFS(Acerto_Detalhado!$D$2:$D$433,Acerto_Detalhado!$A$2:$A$433,$A114,Acerto_Detalhado!$B$2:$B$433,$B114,Acerto_Detalhado!$C$2:$C$433,"Proteina")</f>
        <v>0</v>
      </c>
      <c r="D114" s="39" t="n">
        <f aca="false">SUMIFS(Acerto_Detalhado!$K$2:$K$433,Acerto_Detalhado!$A$2:$A$433,$A114,Acerto_Detalhado!$B$2:$B$433,$B114,Acerto_Detalhado!$C$2:$C$433,"Proteina")</f>
        <v>0</v>
      </c>
      <c r="E114" s="39" t="n">
        <f aca="false">SUMIFS(Acerto_Detalhado!$K$2:$K$433,Acerto_Detalhado!$A$2:$A$433,$A114,Acerto_Detalhado!$B$2:$B$433,$B114,Acerto_Detalhado!$C$2:$C$433,"Umidade")</f>
        <v>0</v>
      </c>
      <c r="F114" s="39" t="n">
        <f aca="false">SUMIFS(Acerto_Detalhado!$K$2:$K$433,Acerto_Detalhado!$A$2:$A$433,$A114,Acerto_Detalhado!$B$2:$B$433,$B114,Acerto_Detalhado!$C$2:$C$433,"Fibra")</f>
        <v>0</v>
      </c>
      <c r="G114" s="40" t="n">
        <f aca="false">$D114+$E114+$F114</f>
        <v>0</v>
      </c>
      <c r="H114" s="27" t="str">
        <f aca="false">IF($C114=0,"Sem embarque",IF($G114&gt;0,"Recebe","Paga"))</f>
        <v>Sem embarque</v>
      </c>
    </row>
    <row r="115" customFormat="false" ht="15" hidden="false" customHeight="false" outlineLevel="0" collapsed="false">
      <c r="A115" s="27" t="s">
        <v>48</v>
      </c>
      <c r="B115" s="27" t="s">
        <v>63</v>
      </c>
      <c r="C115" s="34" t="n">
        <f aca="false">SUMIFS(Acerto_Detalhado!$D$2:$D$433,Acerto_Detalhado!$A$2:$A$433,$A115,Acerto_Detalhado!$B$2:$B$433,$B115,Acerto_Detalhado!$C$2:$C$433,"Proteina")</f>
        <v>0</v>
      </c>
      <c r="D115" s="39" t="n">
        <f aca="false">SUMIFS(Acerto_Detalhado!$K$2:$K$433,Acerto_Detalhado!$A$2:$A$433,$A115,Acerto_Detalhado!$B$2:$B$433,$B115,Acerto_Detalhado!$C$2:$C$433,"Proteina")</f>
        <v>0</v>
      </c>
      <c r="E115" s="39" t="n">
        <f aca="false">SUMIFS(Acerto_Detalhado!$K$2:$K$433,Acerto_Detalhado!$A$2:$A$433,$A115,Acerto_Detalhado!$B$2:$B$433,$B115,Acerto_Detalhado!$C$2:$C$433,"Umidade")</f>
        <v>0</v>
      </c>
      <c r="F115" s="39" t="n">
        <f aca="false">SUMIFS(Acerto_Detalhado!$K$2:$K$433,Acerto_Detalhado!$A$2:$A$433,$A115,Acerto_Detalhado!$B$2:$B$433,$B115,Acerto_Detalhado!$C$2:$C$433,"Fibra")</f>
        <v>0</v>
      </c>
      <c r="G115" s="40" t="n">
        <f aca="false">$D115+$E115+$F115</f>
        <v>0</v>
      </c>
      <c r="H115" s="27" t="str">
        <f aca="false">IF($C115=0,"Sem embarque",IF($G115&gt;0,"Recebe","Paga"))</f>
        <v>Sem embarque</v>
      </c>
    </row>
    <row r="116" customFormat="false" ht="15" hidden="false" customHeight="false" outlineLevel="0" collapsed="false">
      <c r="A116" s="27" t="s">
        <v>48</v>
      </c>
      <c r="B116" s="27" t="s">
        <v>64</v>
      </c>
      <c r="C116" s="34" t="n">
        <f aca="false">SUMIFS(Acerto_Detalhado!$D$2:$D$433,Acerto_Detalhado!$A$2:$A$433,$A116,Acerto_Detalhado!$B$2:$B$433,$B116,Acerto_Detalhado!$C$2:$C$433,"Proteina")</f>
        <v>55089.56</v>
      </c>
      <c r="D116" s="39" t="n">
        <f aca="false">SUMIFS(Acerto_Detalhado!$K$2:$K$433,Acerto_Detalhado!$A$2:$A$433,$A116,Acerto_Detalhado!$B$2:$B$433,$B116,Acerto_Detalhado!$C$2:$C$433,"Proteina")</f>
        <v>42911.6491622074</v>
      </c>
      <c r="E116" s="39" t="n">
        <f aca="false">SUMIFS(Acerto_Detalhado!$K$2:$K$433,Acerto_Detalhado!$A$2:$A$433,$A116,Acerto_Detalhado!$B$2:$B$433,$B116,Acerto_Detalhado!$C$2:$C$433,"Umidade")</f>
        <v>11718.9806551458</v>
      </c>
      <c r="F116" s="39" t="n">
        <f aca="false">SUMIFS(Acerto_Detalhado!$K$2:$K$433,Acerto_Detalhado!$A$2:$A$433,$A116,Acerto_Detalhado!$B$2:$B$433,$B116,Acerto_Detalhado!$C$2:$C$433,"Fibra")</f>
        <v>11708.7776301536</v>
      </c>
      <c r="G116" s="40" t="n">
        <f aca="false">$D116+$E116+$F116</f>
        <v>66339.4074475068</v>
      </c>
      <c r="H116" s="27" t="str">
        <f aca="false">IF($C116=0,"Sem embarque",IF($G116&gt;0,"Recebe","Paga"))</f>
        <v>Recebe</v>
      </c>
    </row>
    <row r="117" customFormat="false" ht="15" hidden="false" customHeight="false" outlineLevel="0" collapsed="false">
      <c r="A117" s="27" t="s">
        <v>48</v>
      </c>
      <c r="B117" s="27" t="s">
        <v>65</v>
      </c>
      <c r="C117" s="34" t="n">
        <f aca="false">SUMIFS(Acerto_Detalhado!$D$2:$D$433,Acerto_Detalhado!$A$2:$A$433,$A117,Acerto_Detalhado!$B$2:$B$433,$B117,Acerto_Detalhado!$C$2:$C$433,"Proteina")</f>
        <v>33862.86</v>
      </c>
      <c r="D117" s="39" t="n">
        <f aca="false">SUMIFS(Acerto_Detalhado!$K$2:$K$433,Acerto_Detalhado!$A$2:$A$433,$A117,Acerto_Detalhado!$B$2:$B$433,$B117,Acerto_Detalhado!$C$2:$C$433,"Proteina")</f>
        <v>53755.4567722143</v>
      </c>
      <c r="E117" s="39" t="n">
        <f aca="false">SUMIFS(Acerto_Detalhado!$K$2:$K$433,Acerto_Detalhado!$A$2:$A$433,$A117,Acerto_Detalhado!$B$2:$B$433,$B117,Acerto_Detalhado!$C$2:$C$433,"Umidade")</f>
        <v>-54942.617336</v>
      </c>
      <c r="F117" s="39" t="n">
        <f aca="false">SUMIFS(Acerto_Detalhado!$K$2:$K$433,Acerto_Detalhado!$A$2:$A$433,$A117,Acerto_Detalhado!$B$2:$B$433,$B117,Acerto_Detalhado!$C$2:$C$433,"Fibra")</f>
        <v>-13605.1542986586</v>
      </c>
      <c r="G117" s="40" t="n">
        <f aca="false">$D117+$E117+$F117</f>
        <v>-14792.3148624443</v>
      </c>
      <c r="H117" s="27" t="str">
        <f aca="false">IF($C117=0,"Sem embarque",IF($G117&gt;0,"Recebe","Paga"))</f>
        <v>Paga</v>
      </c>
    </row>
    <row r="118" customFormat="false" ht="15" hidden="false" customHeight="false" outlineLevel="0" collapsed="false">
      <c r="A118" s="27" t="s">
        <v>48</v>
      </c>
      <c r="B118" s="27" t="s">
        <v>66</v>
      </c>
      <c r="C118" s="34" t="n">
        <f aca="false">SUMIFS(Acerto_Detalhado!$D$2:$D$433,Acerto_Detalhado!$A$2:$A$433,$A118,Acerto_Detalhado!$B$2:$B$433,$B118,Acerto_Detalhado!$C$2:$C$433,"Proteina")</f>
        <v>6769.23</v>
      </c>
      <c r="D118" s="39" t="n">
        <f aca="false">SUMIFS(Acerto_Detalhado!$K$2:$K$433,Acerto_Detalhado!$A$2:$A$433,$A118,Acerto_Detalhado!$B$2:$B$433,$B118,Acerto_Detalhado!$C$2:$C$433,"Proteina")</f>
        <v>7079.85131742103</v>
      </c>
      <c r="E118" s="39" t="n">
        <f aca="false">SUMIFS(Acerto_Detalhado!$K$2:$K$433,Acerto_Detalhado!$A$2:$A$433,$A118,Acerto_Detalhado!$B$2:$B$433,$B118,Acerto_Detalhado!$C$2:$C$433,"Umidade")</f>
        <v>-4634.21485800002</v>
      </c>
      <c r="F118" s="39" t="n">
        <f aca="false">SUMIFS(Acerto_Detalhado!$K$2:$K$433,Acerto_Detalhado!$A$2:$A$433,$A118,Acerto_Detalhado!$B$2:$B$433,$B118,Acerto_Detalhado!$C$2:$C$433,"Fibra")</f>
        <v>1977.47133457246</v>
      </c>
      <c r="G118" s="40" t="n">
        <f aca="false">$D118+$E118+$F118</f>
        <v>4423.10779399347</v>
      </c>
      <c r="H118" s="27" t="str">
        <f aca="false">IF($C118=0,"Sem embarque",IF($G118&gt;0,"Recebe","Paga"))</f>
        <v>Recebe</v>
      </c>
    </row>
    <row r="119" customFormat="false" ht="15" hidden="false" customHeight="false" outlineLevel="0" collapsed="false">
      <c r="A119" s="27" t="s">
        <v>48</v>
      </c>
      <c r="B119" s="27" t="s">
        <v>67</v>
      </c>
      <c r="C119" s="34" t="n">
        <f aca="false">SUMIFS(Acerto_Detalhado!$D$2:$D$433,Acerto_Detalhado!$A$2:$A$433,$A119,Acerto_Detalhado!$B$2:$B$433,$B119,Acerto_Detalhado!$C$2:$C$433,"Proteina")</f>
        <v>0</v>
      </c>
      <c r="D119" s="39" t="n">
        <f aca="false">SUMIFS(Acerto_Detalhado!$K$2:$K$433,Acerto_Detalhado!$A$2:$A$433,$A119,Acerto_Detalhado!$B$2:$B$433,$B119,Acerto_Detalhado!$C$2:$C$433,"Proteina")</f>
        <v>0</v>
      </c>
      <c r="E119" s="39" t="n">
        <f aca="false">SUMIFS(Acerto_Detalhado!$K$2:$K$433,Acerto_Detalhado!$A$2:$A$433,$A119,Acerto_Detalhado!$B$2:$B$433,$B119,Acerto_Detalhado!$C$2:$C$433,"Umidade")</f>
        <v>0</v>
      </c>
      <c r="F119" s="39" t="n">
        <f aca="false">SUMIFS(Acerto_Detalhado!$K$2:$K$433,Acerto_Detalhado!$A$2:$A$433,$A119,Acerto_Detalhado!$B$2:$B$433,$B119,Acerto_Detalhado!$C$2:$C$433,"Fibra")</f>
        <v>0</v>
      </c>
      <c r="G119" s="40" t="n">
        <f aca="false">$D119+$E119+$F119</f>
        <v>0</v>
      </c>
      <c r="H119" s="27" t="str">
        <f aca="false">IF($C119=0,"Sem embarque",IF($G119&gt;0,"Recebe","Paga"))</f>
        <v>Sem embarque</v>
      </c>
    </row>
    <row r="120" customFormat="false" ht="15" hidden="false" customHeight="false" outlineLevel="0" collapsed="false">
      <c r="A120" s="27" t="s">
        <v>48</v>
      </c>
      <c r="B120" s="27" t="s">
        <v>68</v>
      </c>
      <c r="C120" s="34" t="n">
        <f aca="false">SUMIFS(Acerto_Detalhado!$D$2:$D$433,Acerto_Detalhado!$A$2:$A$433,$A120,Acerto_Detalhado!$B$2:$B$433,$B120,Acerto_Detalhado!$C$2:$C$433,"Proteina")</f>
        <v>0</v>
      </c>
      <c r="D120" s="39" t="n">
        <f aca="false">SUMIFS(Acerto_Detalhado!$K$2:$K$433,Acerto_Detalhado!$A$2:$A$433,$A120,Acerto_Detalhado!$B$2:$B$433,$B120,Acerto_Detalhado!$C$2:$C$433,"Proteina")</f>
        <v>0</v>
      </c>
      <c r="E120" s="39" t="n">
        <f aca="false">SUMIFS(Acerto_Detalhado!$K$2:$K$433,Acerto_Detalhado!$A$2:$A$433,$A120,Acerto_Detalhado!$B$2:$B$433,$B120,Acerto_Detalhado!$C$2:$C$433,"Umidade")</f>
        <v>0</v>
      </c>
      <c r="F120" s="39" t="n">
        <f aca="false">SUMIFS(Acerto_Detalhado!$K$2:$K$433,Acerto_Detalhado!$A$2:$A$433,$A120,Acerto_Detalhado!$B$2:$B$433,$B120,Acerto_Detalhado!$C$2:$C$433,"Fibra")</f>
        <v>0</v>
      </c>
      <c r="G120" s="40" t="n">
        <f aca="false">$D120+$E120+$F120</f>
        <v>0</v>
      </c>
      <c r="H120" s="27" t="str">
        <f aca="false">IF($C120=0,"Sem embarque",IF($G120&gt;0,"Recebe","Paga"))</f>
        <v>Sem embarque</v>
      </c>
    </row>
    <row r="121" customFormat="false" ht="15" hidden="false" customHeight="false" outlineLevel="0" collapsed="false">
      <c r="A121" s="27" t="s">
        <v>48</v>
      </c>
      <c r="B121" s="27" t="s">
        <v>69</v>
      </c>
      <c r="C121" s="34" t="n">
        <f aca="false">SUMIFS(Acerto_Detalhado!$D$2:$D$433,Acerto_Detalhado!$A$2:$A$433,$A121,Acerto_Detalhado!$B$2:$B$433,$B121,Acerto_Detalhado!$C$2:$C$433,"Proteina")</f>
        <v>0</v>
      </c>
      <c r="D121" s="39" t="n">
        <f aca="false">SUMIFS(Acerto_Detalhado!$K$2:$K$433,Acerto_Detalhado!$A$2:$A$433,$A121,Acerto_Detalhado!$B$2:$B$433,$B121,Acerto_Detalhado!$C$2:$C$433,"Proteina")</f>
        <v>0</v>
      </c>
      <c r="E121" s="39" t="n">
        <f aca="false">SUMIFS(Acerto_Detalhado!$K$2:$K$433,Acerto_Detalhado!$A$2:$A$433,$A121,Acerto_Detalhado!$B$2:$B$433,$B121,Acerto_Detalhado!$C$2:$C$433,"Umidade")</f>
        <v>0</v>
      </c>
      <c r="F121" s="39" t="n">
        <f aca="false">SUMIFS(Acerto_Detalhado!$K$2:$K$433,Acerto_Detalhado!$A$2:$A$433,$A121,Acerto_Detalhado!$B$2:$B$433,$B121,Acerto_Detalhado!$C$2:$C$433,"Fibra")</f>
        <v>0</v>
      </c>
      <c r="G121" s="40" t="n">
        <f aca="false">$D121+$E121+$F121</f>
        <v>0</v>
      </c>
      <c r="H121" s="27" t="str">
        <f aca="false">IF($C121=0,"Sem embarque",IF($G121&gt;0,"Recebe","Paga"))</f>
        <v>Sem embarque</v>
      </c>
    </row>
    <row r="122" customFormat="false" ht="15" hidden="false" customHeight="false" outlineLevel="0" collapsed="false">
      <c r="A122" s="27" t="s">
        <v>49</v>
      </c>
      <c r="B122" s="27" t="s">
        <v>38</v>
      </c>
      <c r="C122" s="34" t="n">
        <f aca="false">SUMIFS(Acerto_Detalhado!$D$2:$D$433,Acerto_Detalhado!$A$2:$A$433,$A122,Acerto_Detalhado!$B$2:$B$433,$B122,Acerto_Detalhado!$C$2:$C$433,"Proteina")</f>
        <v>0</v>
      </c>
      <c r="D122" s="39" t="n">
        <f aca="false">SUMIFS(Acerto_Detalhado!$K$2:$K$433,Acerto_Detalhado!$A$2:$A$433,$A122,Acerto_Detalhado!$B$2:$B$433,$B122,Acerto_Detalhado!$C$2:$C$433,"Proteina")</f>
        <v>0</v>
      </c>
      <c r="E122" s="39" t="n">
        <f aca="false">SUMIFS(Acerto_Detalhado!$K$2:$K$433,Acerto_Detalhado!$A$2:$A$433,$A122,Acerto_Detalhado!$B$2:$B$433,$B122,Acerto_Detalhado!$C$2:$C$433,"Umidade")</f>
        <v>0</v>
      </c>
      <c r="F122" s="39" t="n">
        <f aca="false">SUMIFS(Acerto_Detalhado!$K$2:$K$433,Acerto_Detalhado!$A$2:$A$433,$A122,Acerto_Detalhado!$B$2:$B$433,$B122,Acerto_Detalhado!$C$2:$C$433,"Fibra")</f>
        <v>0</v>
      </c>
      <c r="G122" s="40" t="n">
        <f aca="false">$D122+$E122+$F122</f>
        <v>0</v>
      </c>
      <c r="H122" s="27" t="str">
        <f aca="false">IF($C122=0,"Sem embarque",IF($G122&gt;0,"Recebe","Paga"))</f>
        <v>Sem embarque</v>
      </c>
    </row>
    <row r="123" customFormat="false" ht="15" hidden="false" customHeight="false" outlineLevel="0" collapsed="false">
      <c r="A123" s="27" t="s">
        <v>49</v>
      </c>
      <c r="B123" s="27" t="s">
        <v>59</v>
      </c>
      <c r="C123" s="34" t="n">
        <f aca="false">SUMIFS(Acerto_Detalhado!$D$2:$D$433,Acerto_Detalhado!$A$2:$A$433,$A123,Acerto_Detalhado!$B$2:$B$433,$B123,Acerto_Detalhado!$C$2:$C$433,"Proteina")</f>
        <v>0</v>
      </c>
      <c r="D123" s="39" t="n">
        <f aca="false">SUMIFS(Acerto_Detalhado!$K$2:$K$433,Acerto_Detalhado!$A$2:$A$433,$A123,Acerto_Detalhado!$B$2:$B$433,$B123,Acerto_Detalhado!$C$2:$C$433,"Proteina")</f>
        <v>0</v>
      </c>
      <c r="E123" s="39" t="n">
        <f aca="false">SUMIFS(Acerto_Detalhado!$K$2:$K$433,Acerto_Detalhado!$A$2:$A$433,$A123,Acerto_Detalhado!$B$2:$B$433,$B123,Acerto_Detalhado!$C$2:$C$433,"Umidade")</f>
        <v>0</v>
      </c>
      <c r="F123" s="39" t="n">
        <f aca="false">SUMIFS(Acerto_Detalhado!$K$2:$K$433,Acerto_Detalhado!$A$2:$A$433,$A123,Acerto_Detalhado!$B$2:$B$433,$B123,Acerto_Detalhado!$C$2:$C$433,"Fibra")</f>
        <v>0</v>
      </c>
      <c r="G123" s="40" t="n">
        <f aca="false">$D123+$E123+$F123</f>
        <v>0</v>
      </c>
      <c r="H123" s="27" t="str">
        <f aca="false">IF($C123=0,"Sem embarque",IF($G123&gt;0,"Recebe","Paga"))</f>
        <v>Sem embarque</v>
      </c>
    </row>
    <row r="124" customFormat="false" ht="15" hidden="false" customHeight="false" outlineLevel="0" collapsed="false">
      <c r="A124" s="27" t="s">
        <v>49</v>
      </c>
      <c r="B124" s="27" t="s">
        <v>60</v>
      </c>
      <c r="C124" s="34" t="n">
        <f aca="false">SUMIFS(Acerto_Detalhado!$D$2:$D$433,Acerto_Detalhado!$A$2:$A$433,$A124,Acerto_Detalhado!$B$2:$B$433,$B124,Acerto_Detalhado!$C$2:$C$433,"Proteina")</f>
        <v>0</v>
      </c>
      <c r="D124" s="39" t="n">
        <f aca="false">SUMIFS(Acerto_Detalhado!$K$2:$K$433,Acerto_Detalhado!$A$2:$A$433,$A124,Acerto_Detalhado!$B$2:$B$433,$B124,Acerto_Detalhado!$C$2:$C$433,"Proteina")</f>
        <v>0</v>
      </c>
      <c r="E124" s="39" t="n">
        <f aca="false">SUMIFS(Acerto_Detalhado!$K$2:$K$433,Acerto_Detalhado!$A$2:$A$433,$A124,Acerto_Detalhado!$B$2:$B$433,$B124,Acerto_Detalhado!$C$2:$C$433,"Umidade")</f>
        <v>0</v>
      </c>
      <c r="F124" s="39" t="n">
        <f aca="false">SUMIFS(Acerto_Detalhado!$K$2:$K$433,Acerto_Detalhado!$A$2:$A$433,$A124,Acerto_Detalhado!$B$2:$B$433,$B124,Acerto_Detalhado!$C$2:$C$433,"Fibra")</f>
        <v>0</v>
      </c>
      <c r="G124" s="40" t="n">
        <f aca="false">$D124+$E124+$F124</f>
        <v>0</v>
      </c>
      <c r="H124" s="27" t="str">
        <f aca="false">IF($C124=0,"Sem embarque",IF($G124&gt;0,"Recebe","Paga"))</f>
        <v>Sem embarque</v>
      </c>
    </row>
    <row r="125" customFormat="false" ht="15" hidden="false" customHeight="false" outlineLevel="0" collapsed="false">
      <c r="A125" s="27" t="s">
        <v>49</v>
      </c>
      <c r="B125" s="27" t="s">
        <v>61</v>
      </c>
      <c r="C125" s="34" t="n">
        <f aca="false">SUMIFS(Acerto_Detalhado!$D$2:$D$433,Acerto_Detalhado!$A$2:$A$433,$A125,Acerto_Detalhado!$B$2:$B$433,$B125,Acerto_Detalhado!$C$2:$C$433,"Proteina")</f>
        <v>0</v>
      </c>
      <c r="D125" s="39" t="n">
        <f aca="false">SUMIFS(Acerto_Detalhado!$K$2:$K$433,Acerto_Detalhado!$A$2:$A$433,$A125,Acerto_Detalhado!$B$2:$B$433,$B125,Acerto_Detalhado!$C$2:$C$433,"Proteina")</f>
        <v>0</v>
      </c>
      <c r="E125" s="39" t="n">
        <f aca="false">SUMIFS(Acerto_Detalhado!$K$2:$K$433,Acerto_Detalhado!$A$2:$A$433,$A125,Acerto_Detalhado!$B$2:$B$433,$B125,Acerto_Detalhado!$C$2:$C$433,"Umidade")</f>
        <v>0</v>
      </c>
      <c r="F125" s="39" t="n">
        <f aca="false">SUMIFS(Acerto_Detalhado!$K$2:$K$433,Acerto_Detalhado!$A$2:$A$433,$A125,Acerto_Detalhado!$B$2:$B$433,$B125,Acerto_Detalhado!$C$2:$C$433,"Fibra")</f>
        <v>0</v>
      </c>
      <c r="G125" s="40" t="n">
        <f aca="false">$D125+$E125+$F125</f>
        <v>0</v>
      </c>
      <c r="H125" s="27" t="str">
        <f aca="false">IF($C125=0,"Sem embarque",IF($G125&gt;0,"Recebe","Paga"))</f>
        <v>Sem embarque</v>
      </c>
    </row>
    <row r="126" customFormat="false" ht="15" hidden="false" customHeight="false" outlineLevel="0" collapsed="false">
      <c r="A126" s="27" t="s">
        <v>49</v>
      </c>
      <c r="B126" s="27" t="s">
        <v>62</v>
      </c>
      <c r="C126" s="34" t="n">
        <f aca="false">SUMIFS(Acerto_Detalhado!$D$2:$D$433,Acerto_Detalhado!$A$2:$A$433,$A126,Acerto_Detalhado!$B$2:$B$433,$B126,Acerto_Detalhado!$C$2:$C$433,"Proteina")</f>
        <v>0</v>
      </c>
      <c r="D126" s="39" t="n">
        <f aca="false">SUMIFS(Acerto_Detalhado!$K$2:$K$433,Acerto_Detalhado!$A$2:$A$433,$A126,Acerto_Detalhado!$B$2:$B$433,$B126,Acerto_Detalhado!$C$2:$C$433,"Proteina")</f>
        <v>0</v>
      </c>
      <c r="E126" s="39" t="n">
        <f aca="false">SUMIFS(Acerto_Detalhado!$K$2:$K$433,Acerto_Detalhado!$A$2:$A$433,$A126,Acerto_Detalhado!$B$2:$B$433,$B126,Acerto_Detalhado!$C$2:$C$433,"Umidade")</f>
        <v>0</v>
      </c>
      <c r="F126" s="39" t="n">
        <f aca="false">SUMIFS(Acerto_Detalhado!$K$2:$K$433,Acerto_Detalhado!$A$2:$A$433,$A126,Acerto_Detalhado!$B$2:$B$433,$B126,Acerto_Detalhado!$C$2:$C$433,"Fibra")</f>
        <v>0</v>
      </c>
      <c r="G126" s="40" t="n">
        <f aca="false">$D126+$E126+$F126</f>
        <v>0</v>
      </c>
      <c r="H126" s="27" t="str">
        <f aca="false">IF($C126=0,"Sem embarque",IF($G126&gt;0,"Recebe","Paga"))</f>
        <v>Sem embarque</v>
      </c>
    </row>
    <row r="127" customFormat="false" ht="15" hidden="false" customHeight="false" outlineLevel="0" collapsed="false">
      <c r="A127" s="27" t="s">
        <v>49</v>
      </c>
      <c r="B127" s="27" t="s">
        <v>63</v>
      </c>
      <c r="C127" s="34" t="n">
        <f aca="false">SUMIFS(Acerto_Detalhado!$D$2:$D$433,Acerto_Detalhado!$A$2:$A$433,$A127,Acerto_Detalhado!$B$2:$B$433,$B127,Acerto_Detalhado!$C$2:$C$433,"Proteina")</f>
        <v>0</v>
      </c>
      <c r="D127" s="39" t="n">
        <f aca="false">SUMIFS(Acerto_Detalhado!$K$2:$K$433,Acerto_Detalhado!$A$2:$A$433,$A127,Acerto_Detalhado!$B$2:$B$433,$B127,Acerto_Detalhado!$C$2:$C$433,"Proteina")</f>
        <v>0</v>
      </c>
      <c r="E127" s="39" t="n">
        <f aca="false">SUMIFS(Acerto_Detalhado!$K$2:$K$433,Acerto_Detalhado!$A$2:$A$433,$A127,Acerto_Detalhado!$B$2:$B$433,$B127,Acerto_Detalhado!$C$2:$C$433,"Umidade")</f>
        <v>0</v>
      </c>
      <c r="F127" s="39" t="n">
        <f aca="false">SUMIFS(Acerto_Detalhado!$K$2:$K$433,Acerto_Detalhado!$A$2:$A$433,$A127,Acerto_Detalhado!$B$2:$B$433,$B127,Acerto_Detalhado!$C$2:$C$433,"Fibra")</f>
        <v>0</v>
      </c>
      <c r="G127" s="40" t="n">
        <f aca="false">$D127+$E127+$F127</f>
        <v>0</v>
      </c>
      <c r="H127" s="27" t="str">
        <f aca="false">IF($C127=0,"Sem embarque",IF($G127&gt;0,"Recebe","Paga"))</f>
        <v>Sem embarque</v>
      </c>
    </row>
    <row r="128" customFormat="false" ht="15" hidden="false" customHeight="false" outlineLevel="0" collapsed="false">
      <c r="A128" s="27" t="s">
        <v>49</v>
      </c>
      <c r="B128" s="27" t="s">
        <v>64</v>
      </c>
      <c r="C128" s="34" t="n">
        <f aca="false">SUMIFS(Acerto_Detalhado!$D$2:$D$433,Acerto_Detalhado!$A$2:$A$433,$A128,Acerto_Detalhado!$B$2:$B$433,$B128,Acerto_Detalhado!$C$2:$C$433,"Proteina")</f>
        <v>0</v>
      </c>
      <c r="D128" s="39" t="n">
        <f aca="false">SUMIFS(Acerto_Detalhado!$K$2:$K$433,Acerto_Detalhado!$A$2:$A$433,$A128,Acerto_Detalhado!$B$2:$B$433,$B128,Acerto_Detalhado!$C$2:$C$433,"Proteina")</f>
        <v>0</v>
      </c>
      <c r="E128" s="39" t="n">
        <f aca="false">SUMIFS(Acerto_Detalhado!$K$2:$K$433,Acerto_Detalhado!$A$2:$A$433,$A128,Acerto_Detalhado!$B$2:$B$433,$B128,Acerto_Detalhado!$C$2:$C$433,"Umidade")</f>
        <v>0</v>
      </c>
      <c r="F128" s="39" t="n">
        <f aca="false">SUMIFS(Acerto_Detalhado!$K$2:$K$433,Acerto_Detalhado!$A$2:$A$433,$A128,Acerto_Detalhado!$B$2:$B$433,$B128,Acerto_Detalhado!$C$2:$C$433,"Fibra")</f>
        <v>0</v>
      </c>
      <c r="G128" s="40" t="n">
        <f aca="false">$D128+$E128+$F128</f>
        <v>0</v>
      </c>
      <c r="H128" s="27" t="str">
        <f aca="false">IF($C128=0,"Sem embarque",IF($G128&gt;0,"Recebe","Paga"))</f>
        <v>Sem embarque</v>
      </c>
    </row>
    <row r="129" customFormat="false" ht="15" hidden="false" customHeight="false" outlineLevel="0" collapsed="false">
      <c r="A129" s="27" t="s">
        <v>49</v>
      </c>
      <c r="B129" s="27" t="s">
        <v>65</v>
      </c>
      <c r="C129" s="34" t="n">
        <f aca="false">SUMIFS(Acerto_Detalhado!$D$2:$D$433,Acerto_Detalhado!$A$2:$A$433,$A129,Acerto_Detalhado!$B$2:$B$433,$B129,Acerto_Detalhado!$C$2:$C$433,"Proteina")</f>
        <v>0</v>
      </c>
      <c r="D129" s="39" t="n">
        <f aca="false">SUMIFS(Acerto_Detalhado!$K$2:$K$433,Acerto_Detalhado!$A$2:$A$433,$A129,Acerto_Detalhado!$B$2:$B$433,$B129,Acerto_Detalhado!$C$2:$C$433,"Proteina")</f>
        <v>0</v>
      </c>
      <c r="E129" s="39" t="n">
        <f aca="false">SUMIFS(Acerto_Detalhado!$K$2:$K$433,Acerto_Detalhado!$A$2:$A$433,$A129,Acerto_Detalhado!$B$2:$B$433,$B129,Acerto_Detalhado!$C$2:$C$433,"Umidade")</f>
        <v>0</v>
      </c>
      <c r="F129" s="39" t="n">
        <f aca="false">SUMIFS(Acerto_Detalhado!$K$2:$K$433,Acerto_Detalhado!$A$2:$A$433,$A129,Acerto_Detalhado!$B$2:$B$433,$B129,Acerto_Detalhado!$C$2:$C$433,"Fibra")</f>
        <v>0</v>
      </c>
      <c r="G129" s="40" t="n">
        <f aca="false">$D129+$E129+$F129</f>
        <v>0</v>
      </c>
      <c r="H129" s="27" t="str">
        <f aca="false">IF($C129=0,"Sem embarque",IF($G129&gt;0,"Recebe","Paga"))</f>
        <v>Sem embarque</v>
      </c>
    </row>
    <row r="130" customFormat="false" ht="15" hidden="false" customHeight="false" outlineLevel="0" collapsed="false">
      <c r="A130" s="27" t="s">
        <v>49</v>
      </c>
      <c r="B130" s="27" t="s">
        <v>66</v>
      </c>
      <c r="C130" s="34" t="n">
        <f aca="false">SUMIFS(Acerto_Detalhado!$D$2:$D$433,Acerto_Detalhado!$A$2:$A$433,$A130,Acerto_Detalhado!$B$2:$B$433,$B130,Acerto_Detalhado!$C$2:$C$433,"Proteina")</f>
        <v>0</v>
      </c>
      <c r="D130" s="39" t="n">
        <f aca="false">SUMIFS(Acerto_Detalhado!$K$2:$K$433,Acerto_Detalhado!$A$2:$A$433,$A130,Acerto_Detalhado!$B$2:$B$433,$B130,Acerto_Detalhado!$C$2:$C$433,"Proteina")</f>
        <v>0</v>
      </c>
      <c r="E130" s="39" t="n">
        <f aca="false">SUMIFS(Acerto_Detalhado!$K$2:$K$433,Acerto_Detalhado!$A$2:$A$433,$A130,Acerto_Detalhado!$B$2:$B$433,$B130,Acerto_Detalhado!$C$2:$C$433,"Umidade")</f>
        <v>0</v>
      </c>
      <c r="F130" s="39" t="n">
        <f aca="false">SUMIFS(Acerto_Detalhado!$K$2:$K$433,Acerto_Detalhado!$A$2:$A$433,$A130,Acerto_Detalhado!$B$2:$B$433,$B130,Acerto_Detalhado!$C$2:$C$433,"Fibra")</f>
        <v>0</v>
      </c>
      <c r="G130" s="40" t="n">
        <f aca="false">$D130+$E130+$F130</f>
        <v>0</v>
      </c>
      <c r="H130" s="27" t="str">
        <f aca="false">IF($C130=0,"Sem embarque",IF($G130&gt;0,"Recebe","Paga"))</f>
        <v>Sem embarque</v>
      </c>
    </row>
    <row r="131" customFormat="false" ht="15" hidden="false" customHeight="false" outlineLevel="0" collapsed="false">
      <c r="A131" s="27" t="s">
        <v>49</v>
      </c>
      <c r="B131" s="27" t="s">
        <v>67</v>
      </c>
      <c r="C131" s="34" t="n">
        <f aca="false">SUMIFS(Acerto_Detalhado!$D$2:$D$433,Acerto_Detalhado!$A$2:$A$433,$A131,Acerto_Detalhado!$B$2:$B$433,$B131,Acerto_Detalhado!$C$2:$C$433,"Proteina")</f>
        <v>0</v>
      </c>
      <c r="D131" s="39" t="n">
        <f aca="false">SUMIFS(Acerto_Detalhado!$K$2:$K$433,Acerto_Detalhado!$A$2:$A$433,$A131,Acerto_Detalhado!$B$2:$B$433,$B131,Acerto_Detalhado!$C$2:$C$433,"Proteina")</f>
        <v>0</v>
      </c>
      <c r="E131" s="39" t="n">
        <f aca="false">SUMIFS(Acerto_Detalhado!$K$2:$K$433,Acerto_Detalhado!$A$2:$A$433,$A131,Acerto_Detalhado!$B$2:$B$433,$B131,Acerto_Detalhado!$C$2:$C$433,"Umidade")</f>
        <v>0</v>
      </c>
      <c r="F131" s="39" t="n">
        <f aca="false">SUMIFS(Acerto_Detalhado!$K$2:$K$433,Acerto_Detalhado!$A$2:$A$433,$A131,Acerto_Detalhado!$B$2:$B$433,$B131,Acerto_Detalhado!$C$2:$C$433,"Fibra")</f>
        <v>0</v>
      </c>
      <c r="G131" s="40" t="n">
        <f aca="false">$D131+$E131+$F131</f>
        <v>0</v>
      </c>
      <c r="H131" s="27" t="str">
        <f aca="false">IF($C131=0,"Sem embarque",IF($G131&gt;0,"Recebe","Paga"))</f>
        <v>Sem embarque</v>
      </c>
    </row>
    <row r="132" customFormat="false" ht="15" hidden="false" customHeight="false" outlineLevel="0" collapsed="false">
      <c r="A132" s="27" t="s">
        <v>49</v>
      </c>
      <c r="B132" s="27" t="s">
        <v>68</v>
      </c>
      <c r="C132" s="34" t="n">
        <f aca="false">SUMIFS(Acerto_Detalhado!$D$2:$D$433,Acerto_Detalhado!$A$2:$A$433,$A132,Acerto_Detalhado!$B$2:$B$433,$B132,Acerto_Detalhado!$C$2:$C$433,"Proteina")</f>
        <v>0</v>
      </c>
      <c r="D132" s="39" t="n">
        <f aca="false">SUMIFS(Acerto_Detalhado!$K$2:$K$433,Acerto_Detalhado!$A$2:$A$433,$A132,Acerto_Detalhado!$B$2:$B$433,$B132,Acerto_Detalhado!$C$2:$C$433,"Proteina")</f>
        <v>0</v>
      </c>
      <c r="E132" s="39" t="n">
        <f aca="false">SUMIFS(Acerto_Detalhado!$K$2:$K$433,Acerto_Detalhado!$A$2:$A$433,$A132,Acerto_Detalhado!$B$2:$B$433,$B132,Acerto_Detalhado!$C$2:$C$433,"Umidade")</f>
        <v>0</v>
      </c>
      <c r="F132" s="39" t="n">
        <f aca="false">SUMIFS(Acerto_Detalhado!$K$2:$K$433,Acerto_Detalhado!$A$2:$A$433,$A132,Acerto_Detalhado!$B$2:$B$433,$B132,Acerto_Detalhado!$C$2:$C$433,"Fibra")</f>
        <v>0</v>
      </c>
      <c r="G132" s="40" t="n">
        <f aca="false">$D132+$E132+$F132</f>
        <v>0</v>
      </c>
      <c r="H132" s="27" t="str">
        <f aca="false">IF($C132=0,"Sem embarque",IF($G132&gt;0,"Recebe","Paga"))</f>
        <v>Sem embarque</v>
      </c>
    </row>
    <row r="133" customFormat="false" ht="15" hidden="false" customHeight="false" outlineLevel="0" collapsed="false">
      <c r="A133" s="27" t="s">
        <v>49</v>
      </c>
      <c r="B133" s="27" t="s">
        <v>69</v>
      </c>
      <c r="C133" s="34" t="n">
        <f aca="false">SUMIFS(Acerto_Detalhado!$D$2:$D$433,Acerto_Detalhado!$A$2:$A$433,$A133,Acerto_Detalhado!$B$2:$B$433,$B133,Acerto_Detalhado!$C$2:$C$433,"Proteina")</f>
        <v>0</v>
      </c>
      <c r="D133" s="39" t="n">
        <f aca="false">SUMIFS(Acerto_Detalhado!$K$2:$K$433,Acerto_Detalhado!$A$2:$A$433,$A133,Acerto_Detalhado!$B$2:$B$433,$B133,Acerto_Detalhado!$C$2:$C$433,"Proteina")</f>
        <v>0</v>
      </c>
      <c r="E133" s="39" t="n">
        <f aca="false">SUMIFS(Acerto_Detalhado!$K$2:$K$433,Acerto_Detalhado!$A$2:$A$433,$A133,Acerto_Detalhado!$B$2:$B$433,$B133,Acerto_Detalhado!$C$2:$C$433,"Umidade")</f>
        <v>0</v>
      </c>
      <c r="F133" s="39" t="n">
        <f aca="false">SUMIFS(Acerto_Detalhado!$K$2:$K$433,Acerto_Detalhado!$A$2:$A$433,$A133,Acerto_Detalhado!$B$2:$B$433,$B133,Acerto_Detalhado!$C$2:$C$433,"Fibra")</f>
        <v>0</v>
      </c>
      <c r="G133" s="40" t="n">
        <f aca="false">$D133+$E133+$F133</f>
        <v>0</v>
      </c>
      <c r="H133" s="27" t="str">
        <f aca="false">IF($C133=0,"Sem embarque",IF($G133&gt;0,"Recebe","Paga"))</f>
        <v>Sem embarque</v>
      </c>
    </row>
    <row r="134" customFormat="false" ht="15" hidden="false" customHeight="false" outlineLevel="0" collapsed="false">
      <c r="A134" s="27" t="s">
        <v>50</v>
      </c>
      <c r="B134" s="27" t="s">
        <v>38</v>
      </c>
      <c r="C134" s="34" t="n">
        <f aca="false">SUMIFS(Acerto_Detalhado!$D$2:$D$433,Acerto_Detalhado!$A$2:$A$433,$A134,Acerto_Detalhado!$B$2:$B$433,$B134,Acerto_Detalhado!$C$2:$C$433,"Proteina")</f>
        <v>0</v>
      </c>
      <c r="D134" s="39" t="n">
        <f aca="false">SUMIFS(Acerto_Detalhado!$K$2:$K$433,Acerto_Detalhado!$A$2:$A$433,$A134,Acerto_Detalhado!$B$2:$B$433,$B134,Acerto_Detalhado!$C$2:$C$433,"Proteina")</f>
        <v>0</v>
      </c>
      <c r="E134" s="39" t="n">
        <f aca="false">SUMIFS(Acerto_Detalhado!$K$2:$K$433,Acerto_Detalhado!$A$2:$A$433,$A134,Acerto_Detalhado!$B$2:$B$433,$B134,Acerto_Detalhado!$C$2:$C$433,"Umidade")</f>
        <v>0</v>
      </c>
      <c r="F134" s="39" t="n">
        <f aca="false">SUMIFS(Acerto_Detalhado!$K$2:$K$433,Acerto_Detalhado!$A$2:$A$433,$A134,Acerto_Detalhado!$B$2:$B$433,$B134,Acerto_Detalhado!$C$2:$C$433,"Fibra")</f>
        <v>0</v>
      </c>
      <c r="G134" s="40" t="n">
        <f aca="false">$D134+$E134+$F134</f>
        <v>0</v>
      </c>
      <c r="H134" s="27" t="str">
        <f aca="false">IF($C134=0,"Sem embarque",IF($G134&gt;0,"Recebe","Paga"))</f>
        <v>Sem embarque</v>
      </c>
    </row>
    <row r="135" customFormat="false" ht="15" hidden="false" customHeight="false" outlineLevel="0" collapsed="false">
      <c r="A135" s="27" t="s">
        <v>50</v>
      </c>
      <c r="B135" s="27" t="s">
        <v>59</v>
      </c>
      <c r="C135" s="34" t="n">
        <f aca="false">SUMIFS(Acerto_Detalhado!$D$2:$D$433,Acerto_Detalhado!$A$2:$A$433,$A135,Acerto_Detalhado!$B$2:$B$433,$B135,Acerto_Detalhado!$C$2:$C$433,"Proteina")</f>
        <v>0</v>
      </c>
      <c r="D135" s="39" t="n">
        <f aca="false">SUMIFS(Acerto_Detalhado!$K$2:$K$433,Acerto_Detalhado!$A$2:$A$433,$A135,Acerto_Detalhado!$B$2:$B$433,$B135,Acerto_Detalhado!$C$2:$C$433,"Proteina")</f>
        <v>0</v>
      </c>
      <c r="E135" s="39" t="n">
        <f aca="false">SUMIFS(Acerto_Detalhado!$K$2:$K$433,Acerto_Detalhado!$A$2:$A$433,$A135,Acerto_Detalhado!$B$2:$B$433,$B135,Acerto_Detalhado!$C$2:$C$433,"Umidade")</f>
        <v>0</v>
      </c>
      <c r="F135" s="39" t="n">
        <f aca="false">SUMIFS(Acerto_Detalhado!$K$2:$K$433,Acerto_Detalhado!$A$2:$A$433,$A135,Acerto_Detalhado!$B$2:$B$433,$B135,Acerto_Detalhado!$C$2:$C$433,"Fibra")</f>
        <v>0</v>
      </c>
      <c r="G135" s="40" t="n">
        <f aca="false">$D135+$E135+$F135</f>
        <v>0</v>
      </c>
      <c r="H135" s="27" t="str">
        <f aca="false">IF($C135=0,"Sem embarque",IF($G135&gt;0,"Recebe","Paga"))</f>
        <v>Sem embarque</v>
      </c>
    </row>
    <row r="136" customFormat="false" ht="15" hidden="false" customHeight="false" outlineLevel="0" collapsed="false">
      <c r="A136" s="27" t="s">
        <v>50</v>
      </c>
      <c r="B136" s="27" t="s">
        <v>60</v>
      </c>
      <c r="C136" s="34" t="n">
        <f aca="false">SUMIFS(Acerto_Detalhado!$D$2:$D$433,Acerto_Detalhado!$A$2:$A$433,$A136,Acerto_Detalhado!$B$2:$B$433,$B136,Acerto_Detalhado!$C$2:$C$433,"Proteina")</f>
        <v>0</v>
      </c>
      <c r="D136" s="39" t="n">
        <f aca="false">SUMIFS(Acerto_Detalhado!$K$2:$K$433,Acerto_Detalhado!$A$2:$A$433,$A136,Acerto_Detalhado!$B$2:$B$433,$B136,Acerto_Detalhado!$C$2:$C$433,"Proteina")</f>
        <v>0</v>
      </c>
      <c r="E136" s="39" t="n">
        <f aca="false">SUMIFS(Acerto_Detalhado!$K$2:$K$433,Acerto_Detalhado!$A$2:$A$433,$A136,Acerto_Detalhado!$B$2:$B$433,$B136,Acerto_Detalhado!$C$2:$C$433,"Umidade")</f>
        <v>0</v>
      </c>
      <c r="F136" s="39" t="n">
        <f aca="false">SUMIFS(Acerto_Detalhado!$K$2:$K$433,Acerto_Detalhado!$A$2:$A$433,$A136,Acerto_Detalhado!$B$2:$B$433,$B136,Acerto_Detalhado!$C$2:$C$433,"Fibra")</f>
        <v>0</v>
      </c>
      <c r="G136" s="40" t="n">
        <f aca="false">$D136+$E136+$F136</f>
        <v>0</v>
      </c>
      <c r="H136" s="27" t="str">
        <f aca="false">IF($C136=0,"Sem embarque",IF($G136&gt;0,"Recebe","Paga"))</f>
        <v>Sem embarque</v>
      </c>
    </row>
    <row r="137" customFormat="false" ht="15" hidden="false" customHeight="false" outlineLevel="0" collapsed="false">
      <c r="A137" s="27" t="s">
        <v>50</v>
      </c>
      <c r="B137" s="27" t="s">
        <v>61</v>
      </c>
      <c r="C137" s="34" t="n">
        <f aca="false">SUMIFS(Acerto_Detalhado!$D$2:$D$433,Acerto_Detalhado!$A$2:$A$433,$A137,Acerto_Detalhado!$B$2:$B$433,$B137,Acerto_Detalhado!$C$2:$C$433,"Proteina")</f>
        <v>0</v>
      </c>
      <c r="D137" s="39" t="n">
        <f aca="false">SUMIFS(Acerto_Detalhado!$K$2:$K$433,Acerto_Detalhado!$A$2:$A$433,$A137,Acerto_Detalhado!$B$2:$B$433,$B137,Acerto_Detalhado!$C$2:$C$433,"Proteina")</f>
        <v>0</v>
      </c>
      <c r="E137" s="39" t="n">
        <f aca="false">SUMIFS(Acerto_Detalhado!$K$2:$K$433,Acerto_Detalhado!$A$2:$A$433,$A137,Acerto_Detalhado!$B$2:$B$433,$B137,Acerto_Detalhado!$C$2:$C$433,"Umidade")</f>
        <v>0</v>
      </c>
      <c r="F137" s="39" t="n">
        <f aca="false">SUMIFS(Acerto_Detalhado!$K$2:$K$433,Acerto_Detalhado!$A$2:$A$433,$A137,Acerto_Detalhado!$B$2:$B$433,$B137,Acerto_Detalhado!$C$2:$C$433,"Fibra")</f>
        <v>0</v>
      </c>
      <c r="G137" s="40" t="n">
        <f aca="false">$D137+$E137+$F137</f>
        <v>0</v>
      </c>
      <c r="H137" s="27" t="str">
        <f aca="false">IF($C137=0,"Sem embarque",IF($G137&gt;0,"Recebe","Paga"))</f>
        <v>Sem embarque</v>
      </c>
    </row>
    <row r="138" customFormat="false" ht="15" hidden="false" customHeight="false" outlineLevel="0" collapsed="false">
      <c r="A138" s="27" t="s">
        <v>50</v>
      </c>
      <c r="B138" s="27" t="s">
        <v>62</v>
      </c>
      <c r="C138" s="34" t="n">
        <f aca="false">SUMIFS(Acerto_Detalhado!$D$2:$D$433,Acerto_Detalhado!$A$2:$A$433,$A138,Acerto_Detalhado!$B$2:$B$433,$B138,Acerto_Detalhado!$C$2:$C$433,"Proteina")</f>
        <v>0</v>
      </c>
      <c r="D138" s="39" t="n">
        <f aca="false">SUMIFS(Acerto_Detalhado!$K$2:$K$433,Acerto_Detalhado!$A$2:$A$433,$A138,Acerto_Detalhado!$B$2:$B$433,$B138,Acerto_Detalhado!$C$2:$C$433,"Proteina")</f>
        <v>0</v>
      </c>
      <c r="E138" s="39" t="n">
        <f aca="false">SUMIFS(Acerto_Detalhado!$K$2:$K$433,Acerto_Detalhado!$A$2:$A$433,$A138,Acerto_Detalhado!$B$2:$B$433,$B138,Acerto_Detalhado!$C$2:$C$433,"Umidade")</f>
        <v>0</v>
      </c>
      <c r="F138" s="39" t="n">
        <f aca="false">SUMIFS(Acerto_Detalhado!$K$2:$K$433,Acerto_Detalhado!$A$2:$A$433,$A138,Acerto_Detalhado!$B$2:$B$433,$B138,Acerto_Detalhado!$C$2:$C$433,"Fibra")</f>
        <v>0</v>
      </c>
      <c r="G138" s="40" t="n">
        <f aca="false">$D138+$E138+$F138</f>
        <v>0</v>
      </c>
      <c r="H138" s="27" t="str">
        <f aca="false">IF($C138=0,"Sem embarque",IF($G138&gt;0,"Recebe","Paga"))</f>
        <v>Sem embarque</v>
      </c>
    </row>
    <row r="139" customFormat="false" ht="15" hidden="false" customHeight="false" outlineLevel="0" collapsed="false">
      <c r="A139" s="27" t="s">
        <v>50</v>
      </c>
      <c r="B139" s="27" t="s">
        <v>63</v>
      </c>
      <c r="C139" s="34" t="n">
        <f aca="false">SUMIFS(Acerto_Detalhado!$D$2:$D$433,Acerto_Detalhado!$A$2:$A$433,$A139,Acerto_Detalhado!$B$2:$B$433,$B139,Acerto_Detalhado!$C$2:$C$433,"Proteina")</f>
        <v>0</v>
      </c>
      <c r="D139" s="39" t="n">
        <f aca="false">SUMIFS(Acerto_Detalhado!$K$2:$K$433,Acerto_Detalhado!$A$2:$A$433,$A139,Acerto_Detalhado!$B$2:$B$433,$B139,Acerto_Detalhado!$C$2:$C$433,"Proteina")</f>
        <v>0</v>
      </c>
      <c r="E139" s="39" t="n">
        <f aca="false">SUMIFS(Acerto_Detalhado!$K$2:$K$433,Acerto_Detalhado!$A$2:$A$433,$A139,Acerto_Detalhado!$B$2:$B$433,$B139,Acerto_Detalhado!$C$2:$C$433,"Umidade")</f>
        <v>0</v>
      </c>
      <c r="F139" s="39" t="n">
        <f aca="false">SUMIFS(Acerto_Detalhado!$K$2:$K$433,Acerto_Detalhado!$A$2:$A$433,$A139,Acerto_Detalhado!$B$2:$B$433,$B139,Acerto_Detalhado!$C$2:$C$433,"Fibra")</f>
        <v>0</v>
      </c>
      <c r="G139" s="40" t="n">
        <f aca="false">$D139+$E139+$F139</f>
        <v>0</v>
      </c>
      <c r="H139" s="27" t="str">
        <f aca="false">IF($C139=0,"Sem embarque",IF($G139&gt;0,"Recebe","Paga"))</f>
        <v>Sem embarque</v>
      </c>
    </row>
    <row r="140" customFormat="false" ht="15" hidden="false" customHeight="false" outlineLevel="0" collapsed="false">
      <c r="A140" s="27" t="s">
        <v>50</v>
      </c>
      <c r="B140" s="27" t="s">
        <v>64</v>
      </c>
      <c r="C140" s="34" t="n">
        <f aca="false">SUMIFS(Acerto_Detalhado!$D$2:$D$433,Acerto_Detalhado!$A$2:$A$433,$A140,Acerto_Detalhado!$B$2:$B$433,$B140,Acerto_Detalhado!$C$2:$C$433,"Proteina")</f>
        <v>0</v>
      </c>
      <c r="D140" s="39" t="n">
        <f aca="false">SUMIFS(Acerto_Detalhado!$K$2:$K$433,Acerto_Detalhado!$A$2:$A$433,$A140,Acerto_Detalhado!$B$2:$B$433,$B140,Acerto_Detalhado!$C$2:$C$433,"Proteina")</f>
        <v>0</v>
      </c>
      <c r="E140" s="39" t="n">
        <f aca="false">SUMIFS(Acerto_Detalhado!$K$2:$K$433,Acerto_Detalhado!$A$2:$A$433,$A140,Acerto_Detalhado!$B$2:$B$433,$B140,Acerto_Detalhado!$C$2:$C$433,"Umidade")</f>
        <v>0</v>
      </c>
      <c r="F140" s="39" t="n">
        <f aca="false">SUMIFS(Acerto_Detalhado!$K$2:$K$433,Acerto_Detalhado!$A$2:$A$433,$A140,Acerto_Detalhado!$B$2:$B$433,$B140,Acerto_Detalhado!$C$2:$C$433,"Fibra")</f>
        <v>0</v>
      </c>
      <c r="G140" s="40" t="n">
        <f aca="false">$D140+$E140+$F140</f>
        <v>0</v>
      </c>
      <c r="H140" s="27" t="str">
        <f aca="false">IF($C140=0,"Sem embarque",IF($G140&gt;0,"Recebe","Paga"))</f>
        <v>Sem embarque</v>
      </c>
    </row>
    <row r="141" customFormat="false" ht="15" hidden="false" customHeight="false" outlineLevel="0" collapsed="false">
      <c r="A141" s="27" t="s">
        <v>50</v>
      </c>
      <c r="B141" s="27" t="s">
        <v>65</v>
      </c>
      <c r="C141" s="34" t="n">
        <f aca="false">SUMIFS(Acerto_Detalhado!$D$2:$D$433,Acerto_Detalhado!$A$2:$A$433,$A141,Acerto_Detalhado!$B$2:$B$433,$B141,Acerto_Detalhado!$C$2:$C$433,"Proteina")</f>
        <v>0</v>
      </c>
      <c r="D141" s="39" t="n">
        <f aca="false">SUMIFS(Acerto_Detalhado!$K$2:$K$433,Acerto_Detalhado!$A$2:$A$433,$A141,Acerto_Detalhado!$B$2:$B$433,$B141,Acerto_Detalhado!$C$2:$C$433,"Proteina")</f>
        <v>0</v>
      </c>
      <c r="E141" s="39" t="n">
        <f aca="false">SUMIFS(Acerto_Detalhado!$K$2:$K$433,Acerto_Detalhado!$A$2:$A$433,$A141,Acerto_Detalhado!$B$2:$B$433,$B141,Acerto_Detalhado!$C$2:$C$433,"Umidade")</f>
        <v>0</v>
      </c>
      <c r="F141" s="39" t="n">
        <f aca="false">SUMIFS(Acerto_Detalhado!$K$2:$K$433,Acerto_Detalhado!$A$2:$A$433,$A141,Acerto_Detalhado!$B$2:$B$433,$B141,Acerto_Detalhado!$C$2:$C$433,"Fibra")</f>
        <v>0</v>
      </c>
      <c r="G141" s="40" t="n">
        <f aca="false">$D141+$E141+$F141</f>
        <v>0</v>
      </c>
      <c r="H141" s="27" t="str">
        <f aca="false">IF($C141=0,"Sem embarque",IF($G141&gt;0,"Recebe","Paga"))</f>
        <v>Sem embarque</v>
      </c>
    </row>
    <row r="142" customFormat="false" ht="15" hidden="false" customHeight="false" outlineLevel="0" collapsed="false">
      <c r="A142" s="27" t="s">
        <v>50</v>
      </c>
      <c r="B142" s="27" t="s">
        <v>66</v>
      </c>
      <c r="C142" s="34" t="n">
        <f aca="false">SUMIFS(Acerto_Detalhado!$D$2:$D$433,Acerto_Detalhado!$A$2:$A$433,$A142,Acerto_Detalhado!$B$2:$B$433,$B142,Acerto_Detalhado!$C$2:$C$433,"Proteina")</f>
        <v>0</v>
      </c>
      <c r="D142" s="39" t="n">
        <f aca="false">SUMIFS(Acerto_Detalhado!$K$2:$K$433,Acerto_Detalhado!$A$2:$A$433,$A142,Acerto_Detalhado!$B$2:$B$433,$B142,Acerto_Detalhado!$C$2:$C$433,"Proteina")</f>
        <v>0</v>
      </c>
      <c r="E142" s="39" t="n">
        <f aca="false">SUMIFS(Acerto_Detalhado!$K$2:$K$433,Acerto_Detalhado!$A$2:$A$433,$A142,Acerto_Detalhado!$B$2:$B$433,$B142,Acerto_Detalhado!$C$2:$C$433,"Umidade")</f>
        <v>0</v>
      </c>
      <c r="F142" s="39" t="n">
        <f aca="false">SUMIFS(Acerto_Detalhado!$K$2:$K$433,Acerto_Detalhado!$A$2:$A$433,$A142,Acerto_Detalhado!$B$2:$B$433,$B142,Acerto_Detalhado!$C$2:$C$433,"Fibra")</f>
        <v>0</v>
      </c>
      <c r="G142" s="40" t="n">
        <f aca="false">$D142+$E142+$F142</f>
        <v>0</v>
      </c>
      <c r="H142" s="27" t="str">
        <f aca="false">IF($C142=0,"Sem embarque",IF($G142&gt;0,"Recebe","Paga"))</f>
        <v>Sem embarque</v>
      </c>
    </row>
    <row r="143" customFormat="false" ht="15" hidden="false" customHeight="false" outlineLevel="0" collapsed="false">
      <c r="A143" s="27" t="s">
        <v>50</v>
      </c>
      <c r="B143" s="27" t="s">
        <v>67</v>
      </c>
      <c r="C143" s="34" t="n">
        <f aca="false">SUMIFS(Acerto_Detalhado!$D$2:$D$433,Acerto_Detalhado!$A$2:$A$433,$A143,Acerto_Detalhado!$B$2:$B$433,$B143,Acerto_Detalhado!$C$2:$C$433,"Proteina")</f>
        <v>0</v>
      </c>
      <c r="D143" s="39" t="n">
        <f aca="false">SUMIFS(Acerto_Detalhado!$K$2:$K$433,Acerto_Detalhado!$A$2:$A$433,$A143,Acerto_Detalhado!$B$2:$B$433,$B143,Acerto_Detalhado!$C$2:$C$433,"Proteina")</f>
        <v>0</v>
      </c>
      <c r="E143" s="39" t="n">
        <f aca="false">SUMIFS(Acerto_Detalhado!$K$2:$K$433,Acerto_Detalhado!$A$2:$A$433,$A143,Acerto_Detalhado!$B$2:$B$433,$B143,Acerto_Detalhado!$C$2:$C$433,"Umidade")</f>
        <v>0</v>
      </c>
      <c r="F143" s="39" t="n">
        <f aca="false">SUMIFS(Acerto_Detalhado!$K$2:$K$433,Acerto_Detalhado!$A$2:$A$433,$A143,Acerto_Detalhado!$B$2:$B$433,$B143,Acerto_Detalhado!$C$2:$C$433,"Fibra")</f>
        <v>0</v>
      </c>
      <c r="G143" s="40" t="n">
        <f aca="false">$D143+$E143+$F143</f>
        <v>0</v>
      </c>
      <c r="H143" s="27" t="str">
        <f aca="false">IF($C143=0,"Sem embarque",IF($G143&gt;0,"Recebe","Paga"))</f>
        <v>Sem embarque</v>
      </c>
    </row>
    <row r="144" customFormat="false" ht="15" hidden="false" customHeight="false" outlineLevel="0" collapsed="false">
      <c r="A144" s="27" t="s">
        <v>50</v>
      </c>
      <c r="B144" s="27" t="s">
        <v>68</v>
      </c>
      <c r="C144" s="34" t="n">
        <f aca="false">SUMIFS(Acerto_Detalhado!$D$2:$D$433,Acerto_Detalhado!$A$2:$A$433,$A144,Acerto_Detalhado!$B$2:$B$433,$B144,Acerto_Detalhado!$C$2:$C$433,"Proteina")</f>
        <v>0</v>
      </c>
      <c r="D144" s="39" t="n">
        <f aca="false">SUMIFS(Acerto_Detalhado!$K$2:$K$433,Acerto_Detalhado!$A$2:$A$433,$A144,Acerto_Detalhado!$B$2:$B$433,$B144,Acerto_Detalhado!$C$2:$C$433,"Proteina")</f>
        <v>0</v>
      </c>
      <c r="E144" s="39" t="n">
        <f aca="false">SUMIFS(Acerto_Detalhado!$K$2:$K$433,Acerto_Detalhado!$A$2:$A$433,$A144,Acerto_Detalhado!$B$2:$B$433,$B144,Acerto_Detalhado!$C$2:$C$433,"Umidade")</f>
        <v>0</v>
      </c>
      <c r="F144" s="39" t="n">
        <f aca="false">SUMIFS(Acerto_Detalhado!$K$2:$K$433,Acerto_Detalhado!$A$2:$A$433,$A144,Acerto_Detalhado!$B$2:$B$433,$B144,Acerto_Detalhado!$C$2:$C$433,"Fibra")</f>
        <v>0</v>
      </c>
      <c r="G144" s="40" t="n">
        <f aca="false">$D144+$E144+$F144</f>
        <v>0</v>
      </c>
      <c r="H144" s="27" t="str">
        <f aca="false">IF($C144=0,"Sem embarque",IF($G144&gt;0,"Recebe","Paga"))</f>
        <v>Sem embarque</v>
      </c>
    </row>
    <row r="145" customFormat="false" ht="15" hidden="false" customHeight="false" outlineLevel="0" collapsed="false">
      <c r="A145" s="27" t="s">
        <v>50</v>
      </c>
      <c r="B145" s="27" t="s">
        <v>69</v>
      </c>
      <c r="C145" s="34" t="n">
        <f aca="false">SUMIFS(Acerto_Detalhado!$D$2:$D$433,Acerto_Detalhado!$A$2:$A$433,$A145,Acerto_Detalhado!$B$2:$B$433,$B145,Acerto_Detalhado!$C$2:$C$433,"Proteina")</f>
        <v>0</v>
      </c>
      <c r="D145" s="39" t="n">
        <f aca="false">SUMIFS(Acerto_Detalhado!$K$2:$K$433,Acerto_Detalhado!$A$2:$A$433,$A145,Acerto_Detalhado!$B$2:$B$433,$B145,Acerto_Detalhado!$C$2:$C$433,"Proteina")</f>
        <v>0</v>
      </c>
      <c r="E145" s="39" t="n">
        <f aca="false">SUMIFS(Acerto_Detalhado!$K$2:$K$433,Acerto_Detalhado!$A$2:$A$433,$A145,Acerto_Detalhado!$B$2:$B$433,$B145,Acerto_Detalhado!$C$2:$C$433,"Umidade")</f>
        <v>0</v>
      </c>
      <c r="F145" s="39" t="n">
        <f aca="false">SUMIFS(Acerto_Detalhado!$K$2:$K$433,Acerto_Detalhado!$A$2:$A$433,$A145,Acerto_Detalhado!$B$2:$B$433,$B145,Acerto_Detalhado!$C$2:$C$433,"Fibra")</f>
        <v>0</v>
      </c>
      <c r="G145" s="40" t="n">
        <f aca="false">$D145+$E145+$F145</f>
        <v>0</v>
      </c>
      <c r="H145" s="27" t="str">
        <f aca="false">IF($C145=0,"Sem embarque",IF($G145&gt;0,"Recebe","Paga"))</f>
        <v>Sem embarque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2026-09-19T14:51:41Z</dcterms:created>
  <dc:creator>openpyxl</dc:creator>
  <dc:description/>
  <dc:language>en-US</dc:language>
  <cp:lastModifiedBy/>
  <dcterms:modified xsi:type="dcterms:W3CDTF">2026-09-19T14:51:53Z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